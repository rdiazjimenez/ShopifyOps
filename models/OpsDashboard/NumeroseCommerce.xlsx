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6.xml" ContentType="application/vnd.openxmlformats-officedocument.spreadsheetml.query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queryTables/queryTable8.xml" ContentType="application/vnd.openxmlformats-officedocument.spreadsheetml.queryTable+xml"/>
  <Override PartName="/xl/tables/table16.xml" ContentType="application/vnd.openxmlformats-officedocument.spreadsheetml.table+xml"/>
  <Override PartName="/xl/queryTables/queryTable9.xml" ContentType="application/vnd.openxmlformats-officedocument.spreadsheetml.queryTable+xml"/>
  <Override PartName="/xl/tables/table17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03eddd6c0b20ab0/Documentos/Referencia y herramientas/Excel/"/>
    </mc:Choice>
  </mc:AlternateContent>
  <xr:revisionPtr revIDLastSave="1535" documentId="8_{5DB28599-042B-416E-9C36-DD03390073F7}" xr6:coauthVersionLast="47" xr6:coauthVersionMax="47" xr10:uidLastSave="{8B57C81F-AB54-416D-958E-050BED2048BE}"/>
  <bookViews>
    <workbookView xWindow="-120" yWindow="-120" windowWidth="29040" windowHeight="15720" activeTab="5" xr2:uid="{5E636807-58B5-4539-A616-72F494A7DFFF}"/>
  </bookViews>
  <sheets>
    <sheet name="Dashboard" sheetId="6" r:id="rId1"/>
    <sheet name="Mensual" sheetId="5" r:id="rId2"/>
    <sheet name="Semanal" sheetId="4" r:id="rId3"/>
    <sheet name="Diario" sheetId="1" r:id="rId4"/>
    <sheet name="Params" sheetId="3" r:id="rId5"/>
    <sheet name="Datos" sheetId="2" r:id="rId6"/>
    <sheet name="SummaryMonthlyData" sheetId="14" r:id="rId7"/>
    <sheet name="SummaryMonthly" sheetId="13" r:id="rId8"/>
    <sheet name="SalesBreakdownMonthly" sheetId="16" r:id="rId9"/>
    <sheet name="Shopify-Summary" sheetId="7" r:id="rId10"/>
    <sheet name="Shopify-SalesQuantityOrderedByS" sheetId="11" r:id="rId11"/>
    <sheet name="Shopify-SalesByUTM" sheetId="8" r:id="rId12"/>
  </sheets>
  <definedNames>
    <definedName name="_xlnm._FilterDatabase" localSheetId="3" hidden="1">Diario!$B$6:$AL$6</definedName>
    <definedName name="ExternalData_1" localSheetId="4" hidden="1">Params!$I$36:$N$535</definedName>
    <definedName name="ExternalData_1" localSheetId="9" hidden="1">'Shopify-Summary'!$B$5:$CI$369</definedName>
    <definedName name="ExternalData_2" localSheetId="8" hidden="1">SalesBreakdownMonthly!$A$1:$V$6</definedName>
    <definedName name="ExternalData_2" localSheetId="11" hidden="1">'Shopify-SalesByUTM'!$B$5:$L$277</definedName>
    <definedName name="ExternalData_2" localSheetId="7" hidden="1">SummaryMonthly!$A$1:$CI$6</definedName>
    <definedName name="ExternalData_3" localSheetId="6" hidden="1">SummaryMonthlyData!$B$5:$CJ$9</definedName>
    <definedName name="ExternalData_4" localSheetId="10" hidden="1">'Shopify-SalesQuantityOrderedByS'!$B$5:$H$2842</definedName>
    <definedName name="ExternalData_4" localSheetId="6" hidden="1">SummaryMonthlyData!$B$11:$C$24</definedName>
    <definedName name="ExternalData_6" localSheetId="5" hidden="1">Datos!$N$5:$S$1257</definedName>
    <definedName name="ExternalData_7" localSheetId="5" hidden="1">Datos!$D$5:$L$383</definedName>
    <definedName name="ParamAccessToken">Params!$C$7</definedName>
    <definedName name="ParamAccountingCOGS">Params!$C$21</definedName>
    <definedName name="ParamApiVersion">Params!$C$8</definedName>
    <definedName name="ParamDiaSemanaReporte">Params!$C$10</definedName>
    <definedName name="ParamFechaFinReporte">Params!$C$13</definedName>
    <definedName name="ParamFechaInicioReporte">Params!$C$12</definedName>
    <definedName name="ParamFechaRefrescarHistorico">Params!$C$14</definedName>
    <definedName name="ParamGoogleReportSource">Params!$C$19</definedName>
    <definedName name="ParamMetaAccountID">Params!$C$17</definedName>
    <definedName name="ParamMetaSystemToken">Params!$C$16</definedName>
    <definedName name="ParamNombreTablaHistDiario">Params!$C$24</definedName>
    <definedName name="ParamNombreTablaHistMensual">Params!$C$25</definedName>
    <definedName name="ParamNombreTablaHistSemanal">Params!$C$26</definedName>
    <definedName name="ParamShopName">Params!$C$6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I12" i="3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/>
  <c r="B100" i="1" a="1"/>
  <c r="B100" i="1"/>
  <c r="B101" i="1" a="1"/>
  <c r="B101" i="1"/>
  <c r="B102" i="1" a="1"/>
  <c r="B102" i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/>
  <c r="B131" i="1" a="1"/>
  <c r="B131" i="1"/>
  <c r="B132" i="1" a="1"/>
  <c r="B132" i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/>
  <c r="B192" i="1" a="1"/>
  <c r="B192" i="1"/>
  <c r="B193" i="1" a="1"/>
  <c r="B193" i="1"/>
  <c r="B194" i="1" a="1"/>
  <c r="B194" i="1"/>
  <c r="B195" i="1" a="1"/>
  <c r="B195" i="1"/>
  <c r="B196" i="1" a="1"/>
  <c r="B196" i="1"/>
  <c r="B197" i="1" a="1"/>
  <c r="B197" i="1"/>
  <c r="B198" i="1" a="1"/>
  <c r="B198" i="1"/>
  <c r="B199" i="1" a="1"/>
  <c r="B199" i="1"/>
  <c r="B200" i="1" a="1"/>
  <c r="B200" i="1"/>
  <c r="B201" i="1" a="1"/>
  <c r="B201" i="1"/>
  <c r="B202" i="1" a="1"/>
  <c r="B202" i="1"/>
  <c r="B203" i="1" a="1"/>
  <c r="B203" i="1"/>
  <c r="B204" i="1" a="1"/>
  <c r="B204" i="1"/>
  <c r="B205" i="1" a="1"/>
  <c r="B205" i="1"/>
  <c r="B206" i="1" a="1"/>
  <c r="B206" i="1"/>
  <c r="B207" i="1" a="1"/>
  <c r="B207" i="1"/>
  <c r="B208" i="1" a="1"/>
  <c r="B208" i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/>
  <c r="B222" i="1" a="1"/>
  <c r="B222" i="1"/>
  <c r="B223" i="1" a="1"/>
  <c r="B223" i="1"/>
  <c r="B224" i="1" a="1"/>
  <c r="B224" i="1"/>
  <c r="B225" i="1" a="1"/>
  <c r="B225" i="1"/>
  <c r="B226" i="1" a="1"/>
  <c r="B226" i="1"/>
  <c r="B227" i="1" a="1"/>
  <c r="B227" i="1"/>
  <c r="B228" i="1" a="1"/>
  <c r="B228" i="1"/>
  <c r="B229" i="1" a="1"/>
  <c r="B229" i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/>
  <c r="B254" i="1" a="1"/>
  <c r="B254" i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B285" i="1" a="1"/>
  <c r="B285" i="1" s="1"/>
  <c r="B286" i="1" a="1"/>
  <c r="B286" i="1" s="1"/>
  <c r="B287" i="1" a="1"/>
  <c r="B287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  <c r="B293" i="1" a="1"/>
  <c r="B293" i="1" s="1"/>
  <c r="B294" i="1" a="1"/>
  <c r="B294" i="1" s="1"/>
  <c r="B295" i="1" a="1"/>
  <c r="B295" i="1" s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302" i="1" a="1"/>
  <c r="B302" i="1" s="1"/>
  <c r="B303" i="1" a="1"/>
  <c r="B303" i="1" s="1"/>
  <c r="B304" i="1" a="1"/>
  <c r="B304" i="1" s="1"/>
  <c r="B305" i="1" a="1"/>
  <c r="B305" i="1" s="1"/>
  <c r="B306" i="1" a="1"/>
  <c r="B306" i="1" s="1"/>
  <c r="B307" i="1" a="1"/>
  <c r="B307" i="1" s="1"/>
  <c r="B308" i="1" a="1"/>
  <c r="B308" i="1" s="1"/>
  <c r="B309" i="1" a="1"/>
  <c r="B309" i="1" s="1"/>
  <c r="B310" i="1" a="1"/>
  <c r="B310" i="1" s="1"/>
  <c r="B311" i="1" a="1"/>
  <c r="B311" i="1" s="1"/>
  <c r="B312" i="1" a="1"/>
  <c r="B312" i="1" s="1"/>
  <c r="B313" i="1" a="1"/>
  <c r="B313" i="1" s="1"/>
  <c r="B314" i="1" a="1"/>
  <c r="B314" i="1" s="1"/>
  <c r="B315" i="1" a="1"/>
  <c r="B315" i="1" s="1"/>
  <c r="B316" i="1" a="1"/>
  <c r="B316" i="1" s="1"/>
  <c r="B317" i="1" a="1"/>
  <c r="B317" i="1" s="1"/>
  <c r="B318" i="1" a="1"/>
  <c r="B318" i="1" s="1"/>
  <c r="B319" i="1" a="1"/>
  <c r="B319" i="1" s="1"/>
  <c r="B320" i="1" a="1"/>
  <c r="B320" i="1" s="1"/>
  <c r="B321" i="1" a="1"/>
  <c r="B321" i="1" s="1"/>
  <c r="B322" i="1" a="1"/>
  <c r="B322" i="1" s="1"/>
  <c r="B323" i="1" a="1"/>
  <c r="B323" i="1" s="1"/>
  <c r="B324" i="1" a="1"/>
  <c r="B324" i="1" s="1"/>
  <c r="B325" i="1" a="1"/>
  <c r="B325" i="1" s="1"/>
  <c r="B326" i="1" a="1"/>
  <c r="B326" i="1" s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4" i="1" a="1"/>
  <c r="B334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C13" i="3"/>
  <c r="C14" i="3" s="1"/>
  <c r="C12" i="3" l="1"/>
  <c r="C9" i="1" l="1"/>
  <c r="G9" i="1" s="1"/>
  <c r="C8" i="1"/>
  <c r="G8" i="1" s="1"/>
  <c r="C46" i="1"/>
  <c r="G46" i="1" s="1"/>
  <c r="C45" i="1"/>
  <c r="G45" i="1" s="1"/>
  <c r="C44" i="1"/>
  <c r="G44" i="1" s="1"/>
  <c r="C43" i="1"/>
  <c r="G43" i="1" s="1"/>
  <c r="C42" i="1"/>
  <c r="G42" i="1" s="1"/>
  <c r="C41" i="1"/>
  <c r="G41" i="1" s="1"/>
  <c r="C40" i="1"/>
  <c r="G40" i="1" s="1"/>
  <c r="C39" i="1"/>
  <c r="G39" i="1" s="1"/>
  <c r="C38" i="1"/>
  <c r="G38" i="1" s="1"/>
  <c r="C37" i="1"/>
  <c r="G37" i="1" s="1"/>
  <c r="C36" i="1"/>
  <c r="G36" i="1" s="1"/>
  <c r="C35" i="1"/>
  <c r="G35" i="1" s="1"/>
  <c r="C34" i="1"/>
  <c r="G34" i="1" s="1"/>
  <c r="C33" i="1"/>
  <c r="G33" i="1" s="1"/>
  <c r="C32" i="1"/>
  <c r="G32" i="1" s="1"/>
  <c r="C31" i="1"/>
  <c r="G31" i="1" s="1"/>
  <c r="C30" i="1"/>
  <c r="G30" i="1" s="1"/>
  <c r="C29" i="1"/>
  <c r="G29" i="1" s="1"/>
  <c r="C28" i="1"/>
  <c r="G28" i="1" s="1"/>
  <c r="C27" i="1"/>
  <c r="G27" i="1" s="1"/>
  <c r="C26" i="1"/>
  <c r="G26" i="1" s="1"/>
  <c r="C25" i="1"/>
  <c r="G25" i="1" s="1"/>
  <c r="C24" i="1"/>
  <c r="G24" i="1" s="1"/>
  <c r="C23" i="1"/>
  <c r="G23" i="1" s="1"/>
  <c r="C22" i="1"/>
  <c r="G22" i="1" s="1"/>
  <c r="C21" i="1"/>
  <c r="G21" i="1" s="1"/>
  <c r="C20" i="1"/>
  <c r="G20" i="1" s="1"/>
  <c r="C19" i="1"/>
  <c r="G19" i="1" s="1"/>
  <c r="C18" i="1"/>
  <c r="G18" i="1" s="1"/>
  <c r="C17" i="1"/>
  <c r="G17" i="1" s="1"/>
  <c r="C16" i="1"/>
  <c r="G16" i="1" s="1"/>
  <c r="C15" i="1"/>
  <c r="G15" i="1" s="1"/>
  <c r="C14" i="1"/>
  <c r="G14" i="1" s="1"/>
  <c r="C13" i="1"/>
  <c r="G13" i="1" s="1"/>
  <c r="C12" i="1"/>
  <c r="G12" i="1" s="1"/>
  <c r="C11" i="1"/>
  <c r="G11" i="1" s="1"/>
  <c r="C10" i="1"/>
  <c r="G10" i="1" s="1"/>
  <c r="C105" i="1"/>
  <c r="G105" i="1" s="1"/>
  <c r="C104" i="1"/>
  <c r="G104" i="1" s="1"/>
  <c r="C103" i="1"/>
  <c r="G103" i="1" s="1"/>
  <c r="C102" i="1"/>
  <c r="G102" i="1" s="1"/>
  <c r="C101" i="1"/>
  <c r="G101" i="1" s="1"/>
  <c r="C100" i="1"/>
  <c r="G100" i="1" s="1"/>
  <c r="C99" i="1"/>
  <c r="G99" i="1" s="1"/>
  <c r="C98" i="1"/>
  <c r="G98" i="1" s="1"/>
  <c r="C97" i="1"/>
  <c r="G97" i="1" s="1"/>
  <c r="C96" i="1"/>
  <c r="G96" i="1" s="1"/>
  <c r="C95" i="1"/>
  <c r="G95" i="1" s="1"/>
  <c r="C94" i="1"/>
  <c r="G94" i="1" s="1"/>
  <c r="C93" i="1"/>
  <c r="G93" i="1" s="1"/>
  <c r="C92" i="1"/>
  <c r="G92" i="1" s="1"/>
  <c r="C91" i="1"/>
  <c r="G91" i="1" s="1"/>
  <c r="C90" i="1"/>
  <c r="G90" i="1" s="1"/>
  <c r="C89" i="1"/>
  <c r="G89" i="1" s="1"/>
  <c r="C88" i="1"/>
  <c r="G88" i="1" s="1"/>
  <c r="C87" i="1"/>
  <c r="G87" i="1" s="1"/>
  <c r="C86" i="1"/>
  <c r="G86" i="1" s="1"/>
  <c r="C85" i="1"/>
  <c r="G85" i="1" s="1"/>
  <c r="C84" i="1"/>
  <c r="G84" i="1" s="1"/>
  <c r="C83" i="1"/>
  <c r="G83" i="1" s="1"/>
  <c r="C82" i="1"/>
  <c r="G82" i="1" s="1"/>
  <c r="C81" i="1"/>
  <c r="G81" i="1" s="1"/>
  <c r="C80" i="1"/>
  <c r="G80" i="1" s="1"/>
  <c r="C79" i="1"/>
  <c r="G79" i="1" s="1"/>
  <c r="C78" i="1"/>
  <c r="G78" i="1" s="1"/>
  <c r="C77" i="1"/>
  <c r="G77" i="1" s="1"/>
  <c r="C76" i="1"/>
  <c r="G76" i="1" s="1"/>
  <c r="C75" i="1"/>
  <c r="G75" i="1" s="1"/>
  <c r="C74" i="1"/>
  <c r="G74" i="1" s="1"/>
  <c r="C73" i="1"/>
  <c r="G73" i="1" s="1"/>
  <c r="C72" i="1"/>
  <c r="G72" i="1" s="1"/>
  <c r="C71" i="1"/>
  <c r="G71" i="1" s="1"/>
  <c r="C70" i="1"/>
  <c r="G70" i="1" s="1"/>
  <c r="C69" i="1"/>
  <c r="G69" i="1" s="1"/>
  <c r="C68" i="1"/>
  <c r="G68" i="1" s="1"/>
  <c r="C67" i="1"/>
  <c r="G67" i="1" s="1"/>
  <c r="C66" i="1"/>
  <c r="G66" i="1" s="1"/>
  <c r="C65" i="1"/>
  <c r="G65" i="1" s="1"/>
  <c r="C64" i="1"/>
  <c r="G64" i="1" s="1"/>
  <c r="C63" i="1"/>
  <c r="G63" i="1" s="1"/>
  <c r="C62" i="1"/>
  <c r="G62" i="1" s="1"/>
  <c r="C61" i="1"/>
  <c r="G61" i="1" s="1"/>
  <c r="C60" i="1"/>
  <c r="G60" i="1" s="1"/>
  <c r="C59" i="1"/>
  <c r="G59" i="1" s="1"/>
  <c r="C58" i="1"/>
  <c r="G58" i="1" s="1"/>
  <c r="C57" i="1"/>
  <c r="G57" i="1" s="1"/>
  <c r="C56" i="1"/>
  <c r="G56" i="1" s="1"/>
  <c r="C55" i="1"/>
  <c r="G55" i="1" s="1"/>
  <c r="C54" i="1"/>
  <c r="G54" i="1" s="1"/>
  <c r="C53" i="1"/>
  <c r="G53" i="1" s="1"/>
  <c r="C52" i="1"/>
  <c r="G52" i="1" s="1"/>
  <c r="C51" i="1"/>
  <c r="G51" i="1" s="1"/>
  <c r="C50" i="1"/>
  <c r="G50" i="1" s="1"/>
  <c r="C49" i="1"/>
  <c r="G49" i="1" s="1"/>
  <c r="C48" i="1"/>
  <c r="G48" i="1" s="1"/>
  <c r="C47" i="1"/>
  <c r="G47" i="1" s="1"/>
  <c r="C122" i="1"/>
  <c r="G122" i="1" s="1"/>
  <c r="C121" i="1"/>
  <c r="G121" i="1" s="1"/>
  <c r="C120" i="1"/>
  <c r="G120" i="1" s="1"/>
  <c r="C119" i="1"/>
  <c r="G119" i="1" s="1"/>
  <c r="C118" i="1"/>
  <c r="G118" i="1" s="1"/>
  <c r="C117" i="1"/>
  <c r="G117" i="1" s="1"/>
  <c r="C116" i="1"/>
  <c r="G116" i="1" s="1"/>
  <c r="C115" i="1"/>
  <c r="G115" i="1" s="1"/>
  <c r="C114" i="1"/>
  <c r="G114" i="1" s="1"/>
  <c r="C113" i="1"/>
  <c r="G113" i="1" s="1"/>
  <c r="C112" i="1"/>
  <c r="G112" i="1" s="1"/>
  <c r="C110" i="1"/>
  <c r="G110" i="1" s="1"/>
  <c r="C108" i="1"/>
  <c r="G108" i="1" s="1"/>
  <c r="C126" i="1"/>
  <c r="G126" i="1" s="1"/>
  <c r="C8" i="4"/>
  <c r="C365" i="1"/>
  <c r="G365" i="1" s="1"/>
  <c r="C364" i="1"/>
  <c r="G364" i="1" s="1"/>
  <c r="C363" i="1"/>
  <c r="G363" i="1" s="1"/>
  <c r="C362" i="1"/>
  <c r="G362" i="1" s="1"/>
  <c r="C361" i="1"/>
  <c r="G361" i="1" s="1"/>
  <c r="C360" i="1"/>
  <c r="G360" i="1" s="1"/>
  <c r="C359" i="1"/>
  <c r="G359" i="1" s="1"/>
  <c r="C358" i="1"/>
  <c r="G358" i="1" s="1"/>
  <c r="C357" i="1"/>
  <c r="G357" i="1" s="1"/>
  <c r="C356" i="1"/>
  <c r="G356" i="1" s="1"/>
  <c r="C355" i="1"/>
  <c r="G355" i="1" s="1"/>
  <c r="C354" i="1"/>
  <c r="G354" i="1" s="1"/>
  <c r="C353" i="1"/>
  <c r="G353" i="1" s="1"/>
  <c r="C352" i="1"/>
  <c r="G352" i="1" s="1"/>
  <c r="C351" i="1"/>
  <c r="G351" i="1" s="1"/>
  <c r="C350" i="1"/>
  <c r="G350" i="1" s="1"/>
  <c r="C349" i="1"/>
  <c r="G349" i="1" s="1"/>
  <c r="C348" i="1"/>
  <c r="G348" i="1" s="1"/>
  <c r="C347" i="1"/>
  <c r="G347" i="1" s="1"/>
  <c r="C346" i="1"/>
  <c r="G346" i="1" s="1"/>
  <c r="C345" i="1"/>
  <c r="G345" i="1" s="1"/>
  <c r="C344" i="1"/>
  <c r="G344" i="1" s="1"/>
  <c r="C343" i="1"/>
  <c r="G343" i="1" s="1"/>
  <c r="C342" i="1"/>
  <c r="G342" i="1" s="1"/>
  <c r="C341" i="1"/>
  <c r="G341" i="1" s="1"/>
  <c r="C340" i="1"/>
  <c r="G340" i="1" s="1"/>
  <c r="C339" i="1"/>
  <c r="G339" i="1" s="1"/>
  <c r="C338" i="1"/>
  <c r="G338" i="1" s="1"/>
  <c r="C337" i="1"/>
  <c r="G337" i="1" s="1"/>
  <c r="C336" i="1"/>
  <c r="G336" i="1" s="1"/>
  <c r="C335" i="1"/>
  <c r="G335" i="1" s="1"/>
  <c r="C334" i="1"/>
  <c r="G334" i="1" s="1"/>
  <c r="C333" i="1"/>
  <c r="G333" i="1" s="1"/>
  <c r="C332" i="1"/>
  <c r="G332" i="1" s="1"/>
  <c r="C331" i="1"/>
  <c r="G331" i="1" s="1"/>
  <c r="C330" i="1"/>
  <c r="G330" i="1" s="1"/>
  <c r="C329" i="1"/>
  <c r="G329" i="1" s="1"/>
  <c r="C328" i="1"/>
  <c r="G328" i="1" s="1"/>
  <c r="C327" i="1"/>
  <c r="G327" i="1" s="1"/>
  <c r="C326" i="1"/>
  <c r="G326" i="1" s="1"/>
  <c r="C325" i="1"/>
  <c r="G325" i="1" s="1"/>
  <c r="C324" i="1"/>
  <c r="G324" i="1" s="1"/>
  <c r="C323" i="1"/>
  <c r="G323" i="1" s="1"/>
  <c r="C322" i="1"/>
  <c r="G322" i="1" s="1"/>
  <c r="C321" i="1"/>
  <c r="G321" i="1" s="1"/>
  <c r="C320" i="1"/>
  <c r="G320" i="1" s="1"/>
  <c r="C319" i="1"/>
  <c r="G319" i="1" s="1"/>
  <c r="C318" i="1"/>
  <c r="G318" i="1" s="1"/>
  <c r="C317" i="1"/>
  <c r="G317" i="1" s="1"/>
  <c r="C316" i="1"/>
  <c r="G316" i="1" s="1"/>
  <c r="C315" i="1"/>
  <c r="G315" i="1" s="1"/>
  <c r="C314" i="1"/>
  <c r="G314" i="1" s="1"/>
  <c r="C313" i="1"/>
  <c r="G313" i="1" s="1"/>
  <c r="C312" i="1"/>
  <c r="G312" i="1" s="1"/>
  <c r="C311" i="1"/>
  <c r="G311" i="1" s="1"/>
  <c r="C310" i="1"/>
  <c r="G310" i="1" s="1"/>
  <c r="C309" i="1"/>
  <c r="G309" i="1" s="1"/>
  <c r="C308" i="1"/>
  <c r="G308" i="1" s="1"/>
  <c r="C307" i="1"/>
  <c r="G307" i="1" s="1"/>
  <c r="C306" i="1"/>
  <c r="G306" i="1" s="1"/>
  <c r="C305" i="1"/>
  <c r="G305" i="1" s="1"/>
  <c r="C304" i="1"/>
  <c r="G304" i="1" s="1"/>
  <c r="C303" i="1"/>
  <c r="G303" i="1" s="1"/>
  <c r="C302" i="1"/>
  <c r="G302" i="1" s="1"/>
  <c r="C301" i="1"/>
  <c r="G301" i="1" s="1"/>
  <c r="C300" i="1"/>
  <c r="G300" i="1" s="1"/>
  <c r="C299" i="1"/>
  <c r="G299" i="1" s="1"/>
  <c r="C298" i="1"/>
  <c r="G298" i="1" s="1"/>
  <c r="C297" i="1"/>
  <c r="G297" i="1" s="1"/>
  <c r="C296" i="1"/>
  <c r="G296" i="1" s="1"/>
  <c r="C295" i="1"/>
  <c r="G295" i="1" s="1"/>
  <c r="C294" i="1"/>
  <c r="G294" i="1" s="1"/>
  <c r="C8" i="5"/>
  <c r="C293" i="1"/>
  <c r="G293" i="1" s="1"/>
  <c r="C292" i="1"/>
  <c r="G292" i="1" s="1"/>
  <c r="C291" i="1"/>
  <c r="G291" i="1" s="1"/>
  <c r="C290" i="1"/>
  <c r="G290" i="1" s="1"/>
  <c r="C289" i="1"/>
  <c r="G289" i="1" s="1"/>
  <c r="C288" i="1"/>
  <c r="G288" i="1" s="1"/>
  <c r="C287" i="1"/>
  <c r="G287" i="1" s="1"/>
  <c r="C286" i="1"/>
  <c r="G286" i="1" s="1"/>
  <c r="C285" i="1"/>
  <c r="G285" i="1" s="1"/>
  <c r="C284" i="1"/>
  <c r="G284" i="1" s="1"/>
  <c r="C283" i="1"/>
  <c r="G283" i="1" s="1"/>
  <c r="C282" i="1"/>
  <c r="G282" i="1" s="1"/>
  <c r="C281" i="1"/>
  <c r="G281" i="1" s="1"/>
  <c r="C280" i="1"/>
  <c r="G280" i="1" s="1"/>
  <c r="C279" i="1"/>
  <c r="G279" i="1" s="1"/>
  <c r="C278" i="1"/>
  <c r="G278" i="1" s="1"/>
  <c r="C277" i="1"/>
  <c r="G277" i="1" s="1"/>
  <c r="C276" i="1"/>
  <c r="G276" i="1" s="1"/>
  <c r="C275" i="1"/>
  <c r="G275" i="1" s="1"/>
  <c r="C274" i="1"/>
  <c r="G274" i="1" s="1"/>
  <c r="C273" i="1"/>
  <c r="G273" i="1" s="1"/>
  <c r="C272" i="1"/>
  <c r="G272" i="1" s="1"/>
  <c r="C271" i="1"/>
  <c r="G271" i="1" s="1"/>
  <c r="C270" i="1"/>
  <c r="G270" i="1" s="1"/>
  <c r="C269" i="1"/>
  <c r="G269" i="1" s="1"/>
  <c r="C268" i="1"/>
  <c r="G268" i="1" s="1"/>
  <c r="C267" i="1"/>
  <c r="G267" i="1" s="1"/>
  <c r="C266" i="1"/>
  <c r="G266" i="1" s="1"/>
  <c r="C265" i="1"/>
  <c r="G265" i="1" s="1"/>
  <c r="C264" i="1"/>
  <c r="G264" i="1" s="1"/>
  <c r="C263" i="1"/>
  <c r="G263" i="1" s="1"/>
  <c r="C262" i="1"/>
  <c r="G262" i="1" s="1"/>
  <c r="C261" i="1"/>
  <c r="G261" i="1" s="1"/>
  <c r="C260" i="1"/>
  <c r="G260" i="1" s="1"/>
  <c r="C259" i="1"/>
  <c r="G259" i="1" s="1"/>
  <c r="C258" i="1"/>
  <c r="G258" i="1" s="1"/>
  <c r="C257" i="1"/>
  <c r="G257" i="1" s="1"/>
  <c r="C256" i="1"/>
  <c r="G256" i="1" s="1"/>
  <c r="C255" i="1"/>
  <c r="G255" i="1" s="1"/>
  <c r="C254" i="1"/>
  <c r="G254" i="1" s="1"/>
  <c r="C253" i="1"/>
  <c r="G253" i="1" s="1"/>
  <c r="C252" i="1"/>
  <c r="G252" i="1" s="1"/>
  <c r="C251" i="1"/>
  <c r="G251" i="1" s="1"/>
  <c r="C250" i="1"/>
  <c r="G250" i="1" s="1"/>
  <c r="C249" i="1"/>
  <c r="G249" i="1" s="1"/>
  <c r="C248" i="1"/>
  <c r="G248" i="1" s="1"/>
  <c r="C247" i="1"/>
  <c r="G247" i="1" s="1"/>
  <c r="C246" i="1"/>
  <c r="G246" i="1" s="1"/>
  <c r="C245" i="1"/>
  <c r="G245" i="1" s="1"/>
  <c r="C244" i="1"/>
  <c r="G244" i="1" s="1"/>
  <c r="C243" i="1"/>
  <c r="G243" i="1" s="1"/>
  <c r="C242" i="1"/>
  <c r="G242" i="1" s="1"/>
  <c r="C241" i="1"/>
  <c r="G241" i="1" s="1"/>
  <c r="C240" i="1"/>
  <c r="G240" i="1" s="1"/>
  <c r="C239" i="1"/>
  <c r="G239" i="1" s="1"/>
  <c r="C238" i="1"/>
  <c r="G238" i="1" s="1"/>
  <c r="C237" i="1"/>
  <c r="G237" i="1" s="1"/>
  <c r="C236" i="1"/>
  <c r="G236" i="1" s="1"/>
  <c r="C235" i="1"/>
  <c r="G235" i="1" s="1"/>
  <c r="C234" i="1"/>
  <c r="G234" i="1" s="1"/>
  <c r="C233" i="1"/>
  <c r="G233" i="1" s="1"/>
  <c r="C232" i="1"/>
  <c r="G232" i="1" s="1"/>
  <c r="C231" i="1"/>
  <c r="G231" i="1" s="1"/>
  <c r="C230" i="1"/>
  <c r="G230" i="1" s="1"/>
  <c r="C229" i="1"/>
  <c r="G229" i="1" s="1"/>
  <c r="C228" i="1"/>
  <c r="G228" i="1" s="1"/>
  <c r="C227" i="1"/>
  <c r="G227" i="1" s="1"/>
  <c r="C226" i="1"/>
  <c r="G226" i="1" s="1"/>
  <c r="C225" i="1"/>
  <c r="G225" i="1" s="1"/>
  <c r="C224" i="1"/>
  <c r="G224" i="1" s="1"/>
  <c r="C223" i="1"/>
  <c r="G223" i="1" s="1"/>
  <c r="C222" i="1"/>
  <c r="G222" i="1" s="1"/>
  <c r="C221" i="1"/>
  <c r="G221" i="1" s="1"/>
  <c r="C220" i="1"/>
  <c r="G220" i="1" s="1"/>
  <c r="C219" i="1"/>
  <c r="G219" i="1" s="1"/>
  <c r="C218" i="1"/>
  <c r="G218" i="1" s="1"/>
  <c r="C217" i="1"/>
  <c r="G217" i="1" s="1"/>
  <c r="C216" i="1"/>
  <c r="G216" i="1" s="1"/>
  <c r="C215" i="1"/>
  <c r="G215" i="1" s="1"/>
  <c r="C214" i="1"/>
  <c r="G214" i="1" s="1"/>
  <c r="C213" i="1"/>
  <c r="G213" i="1" s="1"/>
  <c r="C212" i="1"/>
  <c r="G212" i="1" s="1"/>
  <c r="C211" i="1"/>
  <c r="G211" i="1" s="1"/>
  <c r="C210" i="1"/>
  <c r="G210" i="1" s="1"/>
  <c r="C209" i="1"/>
  <c r="G209" i="1" s="1"/>
  <c r="C208" i="1"/>
  <c r="G208" i="1" s="1"/>
  <c r="C207" i="1"/>
  <c r="G207" i="1" s="1"/>
  <c r="C206" i="1"/>
  <c r="G206" i="1" s="1"/>
  <c r="C205" i="1"/>
  <c r="G205" i="1" s="1"/>
  <c r="C204" i="1"/>
  <c r="G204" i="1" s="1"/>
  <c r="C111" i="1"/>
  <c r="G111" i="1" s="1"/>
  <c r="C109" i="1"/>
  <c r="G109" i="1" s="1"/>
  <c r="C107" i="1"/>
  <c r="G107" i="1" s="1"/>
  <c r="C106" i="1"/>
  <c r="G106" i="1" s="1"/>
  <c r="C125" i="1"/>
  <c r="G125" i="1" s="1"/>
  <c r="C124" i="1"/>
  <c r="G124" i="1" s="1"/>
  <c r="C123" i="1"/>
  <c r="G123" i="1" s="1"/>
  <c r="C203" i="1"/>
  <c r="G203" i="1" s="1"/>
  <c r="C202" i="1"/>
  <c r="G202" i="1" s="1"/>
  <c r="C201" i="1"/>
  <c r="G201" i="1" s="1"/>
  <c r="C200" i="1"/>
  <c r="G200" i="1" s="1"/>
  <c r="C199" i="1"/>
  <c r="G199" i="1" s="1"/>
  <c r="C198" i="1"/>
  <c r="G198" i="1" s="1"/>
  <c r="C197" i="1"/>
  <c r="G197" i="1" s="1"/>
  <c r="C196" i="1"/>
  <c r="G196" i="1" s="1"/>
  <c r="C195" i="1"/>
  <c r="G195" i="1" s="1"/>
  <c r="C194" i="1"/>
  <c r="G194" i="1" s="1"/>
  <c r="C193" i="1"/>
  <c r="G193" i="1" s="1"/>
  <c r="C192" i="1"/>
  <c r="G192" i="1" s="1"/>
  <c r="C191" i="1"/>
  <c r="G191" i="1" s="1"/>
  <c r="C190" i="1"/>
  <c r="G190" i="1" s="1"/>
  <c r="C189" i="1"/>
  <c r="G189" i="1" s="1"/>
  <c r="C188" i="1"/>
  <c r="G188" i="1" s="1"/>
  <c r="C187" i="1"/>
  <c r="G187" i="1" s="1"/>
  <c r="C186" i="1"/>
  <c r="G186" i="1" s="1"/>
  <c r="C185" i="1"/>
  <c r="G185" i="1" s="1"/>
  <c r="C184" i="1"/>
  <c r="G184" i="1" s="1"/>
  <c r="C183" i="1"/>
  <c r="G183" i="1" s="1"/>
  <c r="C182" i="1"/>
  <c r="G182" i="1" s="1"/>
  <c r="C181" i="1"/>
  <c r="G181" i="1" s="1"/>
  <c r="C180" i="1"/>
  <c r="G180" i="1" s="1"/>
  <c r="C179" i="1"/>
  <c r="G179" i="1" s="1"/>
  <c r="C178" i="1"/>
  <c r="G178" i="1" s="1"/>
  <c r="C177" i="1"/>
  <c r="G177" i="1" s="1"/>
  <c r="C176" i="1"/>
  <c r="G176" i="1" s="1"/>
  <c r="C175" i="1"/>
  <c r="G175" i="1" s="1"/>
  <c r="C174" i="1"/>
  <c r="G174" i="1" s="1"/>
  <c r="C173" i="1"/>
  <c r="G173" i="1" s="1"/>
  <c r="C172" i="1"/>
  <c r="G172" i="1" s="1"/>
  <c r="C171" i="1"/>
  <c r="G171" i="1" s="1"/>
  <c r="C170" i="1"/>
  <c r="G170" i="1" s="1"/>
  <c r="C169" i="1"/>
  <c r="G169" i="1" s="1"/>
  <c r="C168" i="1"/>
  <c r="G168" i="1" s="1"/>
  <c r="C167" i="1"/>
  <c r="G167" i="1" s="1"/>
  <c r="C166" i="1"/>
  <c r="G166" i="1" s="1"/>
  <c r="C165" i="1"/>
  <c r="G165" i="1" s="1"/>
  <c r="C164" i="1"/>
  <c r="G164" i="1" s="1"/>
  <c r="C163" i="1"/>
  <c r="G163" i="1" s="1"/>
  <c r="C162" i="1"/>
  <c r="G162" i="1" s="1"/>
  <c r="C161" i="1"/>
  <c r="G161" i="1" s="1"/>
  <c r="C160" i="1"/>
  <c r="G160" i="1" s="1"/>
  <c r="C159" i="1"/>
  <c r="G159" i="1" s="1"/>
  <c r="C158" i="1"/>
  <c r="G158" i="1" s="1"/>
  <c r="C157" i="1"/>
  <c r="G157" i="1" s="1"/>
  <c r="C156" i="1"/>
  <c r="G156" i="1" s="1"/>
  <c r="C155" i="1"/>
  <c r="G155" i="1" s="1"/>
  <c r="C154" i="1"/>
  <c r="G154" i="1" s="1"/>
  <c r="C153" i="1"/>
  <c r="G153" i="1" s="1"/>
  <c r="C152" i="1"/>
  <c r="G152" i="1" s="1"/>
  <c r="C151" i="1"/>
  <c r="G151" i="1" s="1"/>
  <c r="C150" i="1"/>
  <c r="G150" i="1" s="1"/>
  <c r="C149" i="1"/>
  <c r="G149" i="1" s="1"/>
  <c r="C148" i="1"/>
  <c r="G148" i="1" s="1"/>
  <c r="C147" i="1"/>
  <c r="G147" i="1" s="1"/>
  <c r="C146" i="1"/>
  <c r="G146" i="1" s="1"/>
  <c r="C145" i="1"/>
  <c r="G145" i="1" s="1"/>
  <c r="C144" i="1"/>
  <c r="G144" i="1" s="1"/>
  <c r="C143" i="1"/>
  <c r="G143" i="1" s="1"/>
  <c r="C142" i="1"/>
  <c r="G142" i="1" s="1"/>
  <c r="C141" i="1"/>
  <c r="G141" i="1" s="1"/>
  <c r="C140" i="1"/>
  <c r="G140" i="1" s="1"/>
  <c r="C139" i="1"/>
  <c r="G139" i="1" s="1"/>
  <c r="C138" i="1"/>
  <c r="G138" i="1" s="1"/>
  <c r="C137" i="1"/>
  <c r="G137" i="1" s="1"/>
  <c r="C136" i="1"/>
  <c r="G136" i="1" s="1"/>
  <c r="C135" i="1"/>
  <c r="G135" i="1" s="1"/>
  <c r="C134" i="1"/>
  <c r="G134" i="1" s="1"/>
  <c r="C133" i="1"/>
  <c r="G133" i="1" s="1"/>
  <c r="C132" i="1"/>
  <c r="G132" i="1" s="1"/>
  <c r="C131" i="1"/>
  <c r="G131" i="1" s="1"/>
  <c r="C130" i="1"/>
  <c r="G130" i="1" s="1"/>
  <c r="C129" i="1"/>
  <c r="G129" i="1" s="1"/>
  <c r="C128" i="1"/>
  <c r="G128" i="1" s="1"/>
  <c r="C127" i="1"/>
  <c r="G127" i="1" s="1"/>
  <c r="C372" i="1"/>
  <c r="G372" i="1" s="1"/>
  <c r="C371" i="1"/>
  <c r="G371" i="1" s="1"/>
  <c r="C370" i="1"/>
  <c r="G370" i="1" s="1"/>
  <c r="C369" i="1"/>
  <c r="G369" i="1" s="1"/>
  <c r="C368" i="1"/>
  <c r="G368" i="1" s="1"/>
  <c r="C367" i="1"/>
  <c r="G367" i="1" s="1"/>
  <c r="C366" i="1"/>
  <c r="G366" i="1" s="1"/>
  <c r="Z9" i="1" l="1"/>
  <c r="AA9" i="1"/>
  <c r="AM9" i="1"/>
  <c r="AN9" i="1"/>
  <c r="AO9" i="1"/>
  <c r="AP9" i="1" s="1"/>
  <c r="L9" i="1"/>
  <c r="D9" i="1"/>
  <c r="O9" i="1"/>
  <c r="M9" i="1"/>
  <c r="R9" i="1"/>
  <c r="P9" i="1"/>
  <c r="U9" i="1"/>
  <c r="S9" i="1"/>
  <c r="I9" i="1"/>
  <c r="V9" i="1"/>
  <c r="K9" i="1"/>
  <c r="F9" i="1"/>
  <c r="J9" i="1"/>
  <c r="Q9" i="1"/>
  <c r="N9" i="1"/>
  <c r="W9" i="1"/>
  <c r="T9" i="1"/>
  <c r="E9" i="1"/>
  <c r="Y9" i="1"/>
  <c r="AC9" i="1" s="1"/>
  <c r="X9" i="1"/>
  <c r="AB9" i="1" s="1"/>
  <c r="X8" i="1"/>
  <c r="Z8" i="1"/>
  <c r="Y8" i="1"/>
  <c r="AA8" i="1"/>
  <c r="AM8" i="1"/>
  <c r="AN8" i="1"/>
  <c r="AO8" i="1"/>
  <c r="AP8" i="1" s="1"/>
  <c r="E8" i="1"/>
  <c r="L8" i="1"/>
  <c r="O8" i="1"/>
  <c r="M8" i="1"/>
  <c r="R8" i="1"/>
  <c r="P8" i="1"/>
  <c r="U8" i="1"/>
  <c r="S8" i="1"/>
  <c r="V8" i="1"/>
  <c r="D8" i="1"/>
  <c r="I8" i="1"/>
  <c r="K8" i="1"/>
  <c r="F8" i="1"/>
  <c r="J8" i="1"/>
  <c r="Q8" i="1"/>
  <c r="N8" i="1"/>
  <c r="W8" i="1"/>
  <c r="T8" i="1"/>
  <c r="Y46" i="1"/>
  <c r="Z46" i="1"/>
  <c r="AA46" i="1"/>
  <c r="AM46" i="1"/>
  <c r="AN46" i="1"/>
  <c r="AO46" i="1"/>
  <c r="AP46" i="1" s="1"/>
  <c r="L46" i="1"/>
  <c r="D46" i="1"/>
  <c r="O46" i="1"/>
  <c r="M46" i="1"/>
  <c r="P46" i="1"/>
  <c r="R46" i="1"/>
  <c r="U46" i="1"/>
  <c r="S46" i="1"/>
  <c r="I46" i="1"/>
  <c r="V46" i="1"/>
  <c r="K46" i="1"/>
  <c r="F46" i="1"/>
  <c r="Q46" i="1"/>
  <c r="N46" i="1"/>
  <c r="W46" i="1"/>
  <c r="T46" i="1"/>
  <c r="J46" i="1"/>
  <c r="E46" i="1"/>
  <c r="X46" i="1"/>
  <c r="AB46" i="1" s="1"/>
  <c r="AE46" i="1" s="1"/>
  <c r="Z45" i="1"/>
  <c r="AA45" i="1"/>
  <c r="AM45" i="1"/>
  <c r="AN45" i="1"/>
  <c r="AO45" i="1"/>
  <c r="AP45" i="1" s="1"/>
  <c r="L45" i="1"/>
  <c r="D45" i="1"/>
  <c r="O45" i="1"/>
  <c r="M45" i="1"/>
  <c r="R45" i="1"/>
  <c r="P45" i="1"/>
  <c r="U45" i="1"/>
  <c r="S45" i="1"/>
  <c r="I45" i="1"/>
  <c r="V45" i="1"/>
  <c r="K45" i="1"/>
  <c r="F45" i="1"/>
  <c r="E45" i="1"/>
  <c r="X45" i="1"/>
  <c r="AB45" i="1" s="1"/>
  <c r="Q45" i="1"/>
  <c r="N45" i="1"/>
  <c r="W45" i="1"/>
  <c r="T45" i="1"/>
  <c r="Y45" i="1"/>
  <c r="AC45" i="1" s="1"/>
  <c r="AD45" i="1" s="1"/>
  <c r="J45" i="1"/>
  <c r="Z44" i="1"/>
  <c r="AA44" i="1"/>
  <c r="AM44" i="1"/>
  <c r="AN44" i="1"/>
  <c r="AO44" i="1"/>
  <c r="AP44" i="1" s="1"/>
  <c r="L44" i="1"/>
  <c r="D44" i="1"/>
  <c r="O44" i="1"/>
  <c r="M44" i="1"/>
  <c r="R44" i="1"/>
  <c r="P44" i="1"/>
  <c r="U44" i="1"/>
  <c r="S44" i="1"/>
  <c r="I44" i="1"/>
  <c r="V44" i="1"/>
  <c r="K44" i="1"/>
  <c r="F44" i="1"/>
  <c r="Y44" i="1"/>
  <c r="AC44" i="1" s="1"/>
  <c r="Q44" i="1"/>
  <c r="N44" i="1"/>
  <c r="W44" i="1"/>
  <c r="T44" i="1"/>
  <c r="J44" i="1"/>
  <c r="E44" i="1"/>
  <c r="X44" i="1"/>
  <c r="AB44" i="1" s="1"/>
  <c r="Y43" i="1"/>
  <c r="Z43" i="1"/>
  <c r="AA43" i="1"/>
  <c r="AM43" i="1"/>
  <c r="AN43" i="1"/>
  <c r="AO43" i="1"/>
  <c r="AP43" i="1" s="1"/>
  <c r="L43" i="1"/>
  <c r="D43" i="1"/>
  <c r="O43" i="1"/>
  <c r="M43" i="1"/>
  <c r="R43" i="1"/>
  <c r="P43" i="1"/>
  <c r="U43" i="1"/>
  <c r="S43" i="1"/>
  <c r="I43" i="1"/>
  <c r="V43" i="1"/>
  <c r="K43" i="1"/>
  <c r="F43" i="1"/>
  <c r="Q43" i="1"/>
  <c r="N43" i="1"/>
  <c r="W43" i="1"/>
  <c r="T43" i="1"/>
  <c r="J43" i="1"/>
  <c r="X43" i="1"/>
  <c r="AB43" i="1" s="1"/>
  <c r="AE43" i="1" s="1"/>
  <c r="E43" i="1"/>
  <c r="X42" i="1"/>
  <c r="Y42" i="1"/>
  <c r="Z42" i="1"/>
  <c r="AA42" i="1"/>
  <c r="AM42" i="1"/>
  <c r="AN42" i="1"/>
  <c r="AO42" i="1"/>
  <c r="AP42" i="1" s="1"/>
  <c r="L42" i="1"/>
  <c r="D42" i="1"/>
  <c r="O42" i="1"/>
  <c r="M42" i="1"/>
  <c r="P42" i="1"/>
  <c r="R42" i="1"/>
  <c r="U42" i="1"/>
  <c r="S42" i="1"/>
  <c r="I42" i="1"/>
  <c r="V42" i="1"/>
  <c r="K42" i="1"/>
  <c r="F42" i="1"/>
  <c r="Q42" i="1"/>
  <c r="N42" i="1"/>
  <c r="W42" i="1"/>
  <c r="T42" i="1"/>
  <c r="E42" i="1"/>
  <c r="J42" i="1"/>
  <c r="X41" i="1"/>
  <c r="Z41" i="1"/>
  <c r="AA41" i="1"/>
  <c r="AM41" i="1"/>
  <c r="AN41" i="1"/>
  <c r="AO41" i="1"/>
  <c r="AP41" i="1" s="1"/>
  <c r="L41" i="1"/>
  <c r="D41" i="1"/>
  <c r="O41" i="1"/>
  <c r="M41" i="1"/>
  <c r="P41" i="1"/>
  <c r="R41" i="1"/>
  <c r="U41" i="1"/>
  <c r="S41" i="1"/>
  <c r="I41" i="1"/>
  <c r="V41" i="1"/>
  <c r="K41" i="1"/>
  <c r="F41" i="1"/>
  <c r="Y41" i="1"/>
  <c r="AC41" i="1" s="1"/>
  <c r="Q41" i="1"/>
  <c r="N41" i="1"/>
  <c r="W41" i="1"/>
  <c r="T41" i="1"/>
  <c r="J41" i="1"/>
  <c r="E41" i="1"/>
  <c r="J40" i="1"/>
  <c r="Z40" i="1"/>
  <c r="AA40" i="1"/>
  <c r="AM40" i="1"/>
  <c r="AN40" i="1"/>
  <c r="AO40" i="1"/>
  <c r="AP40" i="1" s="1"/>
  <c r="L40" i="1"/>
  <c r="D40" i="1"/>
  <c r="O40" i="1"/>
  <c r="M40" i="1"/>
  <c r="P40" i="1"/>
  <c r="R40" i="1"/>
  <c r="U40" i="1"/>
  <c r="S40" i="1"/>
  <c r="I40" i="1"/>
  <c r="V40" i="1"/>
  <c r="K40" i="1"/>
  <c r="F40" i="1"/>
  <c r="E40" i="1"/>
  <c r="Y40" i="1"/>
  <c r="AC40" i="1" s="1"/>
  <c r="Q40" i="1"/>
  <c r="N40" i="1"/>
  <c r="W40" i="1"/>
  <c r="T40" i="1"/>
  <c r="X40" i="1"/>
  <c r="AB40" i="1" s="1"/>
  <c r="AE40" i="1" s="1"/>
  <c r="Z39" i="1"/>
  <c r="AA39" i="1"/>
  <c r="AM39" i="1"/>
  <c r="AN39" i="1"/>
  <c r="AO39" i="1"/>
  <c r="AP39" i="1" s="1"/>
  <c r="L39" i="1"/>
  <c r="D39" i="1"/>
  <c r="O39" i="1"/>
  <c r="M39" i="1"/>
  <c r="P39" i="1"/>
  <c r="R39" i="1"/>
  <c r="U39" i="1"/>
  <c r="S39" i="1"/>
  <c r="I39" i="1"/>
  <c r="V39" i="1"/>
  <c r="K39" i="1"/>
  <c r="F39" i="1"/>
  <c r="J39" i="1"/>
  <c r="Y39" i="1"/>
  <c r="AC39" i="1" s="1"/>
  <c r="Q39" i="1"/>
  <c r="N39" i="1"/>
  <c r="W39" i="1"/>
  <c r="T39" i="1"/>
  <c r="E39" i="1"/>
  <c r="X39" i="1"/>
  <c r="AB39" i="1" s="1"/>
  <c r="AE39" i="1" s="1"/>
  <c r="J38" i="1"/>
  <c r="Z38" i="1"/>
  <c r="AA38" i="1"/>
  <c r="AM38" i="1"/>
  <c r="AN38" i="1"/>
  <c r="AO38" i="1"/>
  <c r="AP38" i="1" s="1"/>
  <c r="L38" i="1"/>
  <c r="D38" i="1"/>
  <c r="O38" i="1"/>
  <c r="M38" i="1"/>
  <c r="R38" i="1"/>
  <c r="P38" i="1"/>
  <c r="U38" i="1"/>
  <c r="S38" i="1"/>
  <c r="I38" i="1"/>
  <c r="V38" i="1"/>
  <c r="K38" i="1"/>
  <c r="F38" i="1"/>
  <c r="Y38" i="1"/>
  <c r="AC38" i="1" s="1"/>
  <c r="Q38" i="1"/>
  <c r="N38" i="1"/>
  <c r="W38" i="1"/>
  <c r="T38" i="1"/>
  <c r="X38" i="1"/>
  <c r="AB38" i="1" s="1"/>
  <c r="AE38" i="1" s="1"/>
  <c r="E38" i="1"/>
  <c r="E37" i="1"/>
  <c r="Y37" i="1"/>
  <c r="Z37" i="1"/>
  <c r="AA37" i="1"/>
  <c r="AM37" i="1"/>
  <c r="AN37" i="1"/>
  <c r="AO37" i="1"/>
  <c r="AP37" i="1" s="1"/>
  <c r="L37" i="1"/>
  <c r="D37" i="1"/>
  <c r="O37" i="1"/>
  <c r="M37" i="1"/>
  <c r="P37" i="1"/>
  <c r="R37" i="1"/>
  <c r="U37" i="1"/>
  <c r="S37" i="1"/>
  <c r="I37" i="1"/>
  <c r="V37" i="1"/>
  <c r="K37" i="1"/>
  <c r="F37" i="1"/>
  <c r="Q37" i="1"/>
  <c r="N37" i="1"/>
  <c r="W37" i="1"/>
  <c r="T37" i="1"/>
  <c r="X37" i="1"/>
  <c r="AB37" i="1" s="1"/>
  <c r="J37" i="1"/>
  <c r="Z36" i="1"/>
  <c r="AA36" i="1"/>
  <c r="AM36" i="1"/>
  <c r="AN36" i="1"/>
  <c r="AO36" i="1"/>
  <c r="AP36" i="1" s="1"/>
  <c r="L36" i="1"/>
  <c r="D36" i="1"/>
  <c r="O36" i="1"/>
  <c r="M36" i="1"/>
  <c r="R36" i="1"/>
  <c r="P36" i="1"/>
  <c r="U36" i="1"/>
  <c r="S36" i="1"/>
  <c r="I36" i="1"/>
  <c r="V36" i="1"/>
  <c r="K36" i="1"/>
  <c r="F36" i="1"/>
  <c r="Y36" i="1"/>
  <c r="AC36" i="1" s="1"/>
  <c r="Q36" i="1"/>
  <c r="N36" i="1"/>
  <c r="W36" i="1"/>
  <c r="T36" i="1"/>
  <c r="J36" i="1"/>
  <c r="X36" i="1"/>
  <c r="AB36" i="1" s="1"/>
  <c r="AE36" i="1" s="1"/>
  <c r="E36" i="1"/>
  <c r="Z35" i="1"/>
  <c r="AA35" i="1"/>
  <c r="AM35" i="1"/>
  <c r="AN35" i="1"/>
  <c r="AO35" i="1"/>
  <c r="AP35" i="1" s="1"/>
  <c r="L35" i="1"/>
  <c r="D35" i="1"/>
  <c r="O35" i="1"/>
  <c r="M35" i="1"/>
  <c r="P35" i="1"/>
  <c r="R35" i="1"/>
  <c r="U35" i="1"/>
  <c r="S35" i="1"/>
  <c r="I35" i="1"/>
  <c r="V35" i="1"/>
  <c r="K35" i="1"/>
  <c r="F35" i="1"/>
  <c r="Y35" i="1"/>
  <c r="AC35" i="1" s="1"/>
  <c r="Q35" i="1"/>
  <c r="N35" i="1"/>
  <c r="W35" i="1"/>
  <c r="T35" i="1"/>
  <c r="E35" i="1"/>
  <c r="X35" i="1"/>
  <c r="AB35" i="1" s="1"/>
  <c r="AE35" i="1" s="1"/>
  <c r="J35" i="1"/>
  <c r="Z34" i="1"/>
  <c r="AA34" i="1"/>
  <c r="AM34" i="1"/>
  <c r="AN34" i="1"/>
  <c r="AO34" i="1"/>
  <c r="AP34" i="1" s="1"/>
  <c r="L34" i="1"/>
  <c r="D34" i="1"/>
  <c r="O34" i="1"/>
  <c r="M34" i="1"/>
  <c r="R34" i="1"/>
  <c r="P34" i="1"/>
  <c r="U34" i="1"/>
  <c r="S34" i="1"/>
  <c r="I34" i="1"/>
  <c r="V34" i="1"/>
  <c r="K34" i="1"/>
  <c r="F34" i="1"/>
  <c r="Q34" i="1"/>
  <c r="N34" i="1"/>
  <c r="W34" i="1"/>
  <c r="T34" i="1"/>
  <c r="J34" i="1"/>
  <c r="Y34" i="1"/>
  <c r="AC34" i="1" s="1"/>
  <c r="X34" i="1"/>
  <c r="AB34" i="1" s="1"/>
  <c r="E34" i="1"/>
  <c r="E33" i="1"/>
  <c r="Z33" i="1"/>
  <c r="AA33" i="1"/>
  <c r="AM33" i="1"/>
  <c r="AN33" i="1"/>
  <c r="AO33" i="1"/>
  <c r="AP33" i="1" s="1"/>
  <c r="L33" i="1"/>
  <c r="D33" i="1"/>
  <c r="O33" i="1"/>
  <c r="M33" i="1"/>
  <c r="R33" i="1"/>
  <c r="P33" i="1"/>
  <c r="U33" i="1"/>
  <c r="S33" i="1"/>
  <c r="I33" i="1"/>
  <c r="V33" i="1"/>
  <c r="K33" i="1"/>
  <c r="F33" i="1"/>
  <c r="Q33" i="1"/>
  <c r="N33" i="1"/>
  <c r="W33" i="1"/>
  <c r="T33" i="1"/>
  <c r="Y33" i="1"/>
  <c r="AC33" i="1" s="1"/>
  <c r="X33" i="1"/>
  <c r="AB33" i="1" s="1"/>
  <c r="J33" i="1"/>
  <c r="X32" i="1"/>
  <c r="Z32" i="1"/>
  <c r="AA32" i="1"/>
  <c r="AM32" i="1"/>
  <c r="AN32" i="1"/>
  <c r="AO32" i="1"/>
  <c r="AP32" i="1" s="1"/>
  <c r="L32" i="1"/>
  <c r="D32" i="1"/>
  <c r="O32" i="1"/>
  <c r="M32" i="1"/>
  <c r="R32" i="1"/>
  <c r="P32" i="1"/>
  <c r="U32" i="1"/>
  <c r="S32" i="1"/>
  <c r="I32" i="1"/>
  <c r="V32" i="1"/>
  <c r="K32" i="1"/>
  <c r="F32" i="1"/>
  <c r="Q32" i="1"/>
  <c r="N32" i="1"/>
  <c r="W32" i="1"/>
  <c r="T32" i="1"/>
  <c r="Y32" i="1"/>
  <c r="AC32" i="1" s="1"/>
  <c r="E32" i="1"/>
  <c r="J32" i="1"/>
  <c r="X31" i="1"/>
  <c r="Y31" i="1"/>
  <c r="Z31" i="1"/>
  <c r="AA31" i="1"/>
  <c r="AM31" i="1"/>
  <c r="AN31" i="1"/>
  <c r="AO31" i="1"/>
  <c r="AP31" i="1" s="1"/>
  <c r="L31" i="1"/>
  <c r="D31" i="1"/>
  <c r="O31" i="1"/>
  <c r="M31" i="1"/>
  <c r="R31" i="1"/>
  <c r="P31" i="1"/>
  <c r="U31" i="1"/>
  <c r="S31" i="1"/>
  <c r="I31" i="1"/>
  <c r="V31" i="1"/>
  <c r="K31" i="1"/>
  <c r="F31" i="1"/>
  <c r="Q31" i="1"/>
  <c r="N31" i="1"/>
  <c r="W31" i="1"/>
  <c r="T31" i="1"/>
  <c r="J31" i="1"/>
  <c r="E31" i="1"/>
  <c r="Y30" i="1"/>
  <c r="Z30" i="1"/>
  <c r="AA30" i="1"/>
  <c r="AM30" i="1"/>
  <c r="AN30" i="1"/>
  <c r="AO30" i="1"/>
  <c r="AP30" i="1" s="1"/>
  <c r="L30" i="1"/>
  <c r="D30" i="1"/>
  <c r="O30" i="1"/>
  <c r="M30" i="1"/>
  <c r="R30" i="1"/>
  <c r="P30" i="1"/>
  <c r="U30" i="1"/>
  <c r="S30" i="1"/>
  <c r="I30" i="1"/>
  <c r="V30" i="1"/>
  <c r="K30" i="1"/>
  <c r="F30" i="1"/>
  <c r="Q30" i="1"/>
  <c r="N30" i="1"/>
  <c r="W30" i="1"/>
  <c r="T30" i="1"/>
  <c r="E30" i="1"/>
  <c r="X30" i="1"/>
  <c r="AB30" i="1" s="1"/>
  <c r="AE30" i="1" s="1"/>
  <c r="J30" i="1"/>
  <c r="Y29" i="1"/>
  <c r="Z29" i="1"/>
  <c r="AA29" i="1"/>
  <c r="AM29" i="1"/>
  <c r="AN29" i="1"/>
  <c r="AO29" i="1"/>
  <c r="AP29" i="1" s="1"/>
  <c r="L29" i="1"/>
  <c r="D29" i="1"/>
  <c r="O29" i="1"/>
  <c r="M29" i="1"/>
  <c r="R29" i="1"/>
  <c r="P29" i="1"/>
  <c r="U29" i="1"/>
  <c r="S29" i="1"/>
  <c r="I29" i="1"/>
  <c r="V29" i="1"/>
  <c r="K29" i="1"/>
  <c r="F29" i="1"/>
  <c r="Q29" i="1"/>
  <c r="N29" i="1"/>
  <c r="W29" i="1"/>
  <c r="T29" i="1"/>
  <c r="E29" i="1"/>
  <c r="X29" i="1"/>
  <c r="AB29" i="1" s="1"/>
  <c r="AE29" i="1" s="1"/>
  <c r="J29" i="1"/>
  <c r="Y28" i="1"/>
  <c r="Z28" i="1"/>
  <c r="AA28" i="1"/>
  <c r="AM28" i="1"/>
  <c r="AN28" i="1"/>
  <c r="AO28" i="1"/>
  <c r="AP28" i="1" s="1"/>
  <c r="L28" i="1"/>
  <c r="D28" i="1"/>
  <c r="O28" i="1"/>
  <c r="M28" i="1"/>
  <c r="R28" i="1"/>
  <c r="P28" i="1"/>
  <c r="U28" i="1"/>
  <c r="S28" i="1"/>
  <c r="I28" i="1"/>
  <c r="V28" i="1"/>
  <c r="K28" i="1"/>
  <c r="F28" i="1"/>
  <c r="Q28" i="1"/>
  <c r="N28" i="1"/>
  <c r="W28" i="1"/>
  <c r="T28" i="1"/>
  <c r="X28" i="1"/>
  <c r="AB28" i="1" s="1"/>
  <c r="AE28" i="1" s="1"/>
  <c r="J28" i="1"/>
  <c r="E28" i="1"/>
  <c r="Y27" i="1"/>
  <c r="Z27" i="1"/>
  <c r="AA27" i="1"/>
  <c r="AM27" i="1"/>
  <c r="AN27" i="1"/>
  <c r="AO27" i="1"/>
  <c r="AP27" i="1" s="1"/>
  <c r="L27" i="1"/>
  <c r="D27" i="1"/>
  <c r="O27" i="1"/>
  <c r="M27" i="1"/>
  <c r="R27" i="1"/>
  <c r="P27" i="1"/>
  <c r="U27" i="1"/>
  <c r="S27" i="1"/>
  <c r="I27" i="1"/>
  <c r="V27" i="1"/>
  <c r="K27" i="1"/>
  <c r="F27" i="1"/>
  <c r="Q27" i="1"/>
  <c r="N27" i="1"/>
  <c r="W27" i="1"/>
  <c r="T27" i="1"/>
  <c r="J27" i="1"/>
  <c r="X27" i="1"/>
  <c r="AB27" i="1" s="1"/>
  <c r="AE27" i="1" s="1"/>
  <c r="E27" i="1"/>
  <c r="Y26" i="1"/>
  <c r="Z26" i="1"/>
  <c r="AA26" i="1"/>
  <c r="AM26" i="1"/>
  <c r="AN26" i="1"/>
  <c r="AO26" i="1"/>
  <c r="AP26" i="1" s="1"/>
  <c r="L26" i="1"/>
  <c r="D26" i="1"/>
  <c r="O26" i="1"/>
  <c r="M26" i="1"/>
  <c r="R26" i="1"/>
  <c r="P26" i="1"/>
  <c r="U26" i="1"/>
  <c r="S26" i="1"/>
  <c r="I26" i="1"/>
  <c r="V26" i="1"/>
  <c r="K26" i="1"/>
  <c r="F26" i="1"/>
  <c r="Q26" i="1"/>
  <c r="N26" i="1"/>
  <c r="W26" i="1"/>
  <c r="T26" i="1"/>
  <c r="E26" i="1"/>
  <c r="X26" i="1"/>
  <c r="AB26" i="1" s="1"/>
  <c r="AE26" i="1" s="1"/>
  <c r="J26" i="1"/>
  <c r="Z25" i="1"/>
  <c r="AA25" i="1"/>
  <c r="AM25" i="1"/>
  <c r="AN25" i="1"/>
  <c r="AO25" i="1"/>
  <c r="AP25" i="1" s="1"/>
  <c r="L25" i="1"/>
  <c r="D25" i="1"/>
  <c r="O25" i="1"/>
  <c r="M25" i="1"/>
  <c r="R25" i="1"/>
  <c r="P25" i="1"/>
  <c r="U25" i="1"/>
  <c r="S25" i="1"/>
  <c r="I25" i="1"/>
  <c r="V25" i="1"/>
  <c r="K25" i="1"/>
  <c r="F25" i="1"/>
  <c r="Q25" i="1"/>
  <c r="N25" i="1"/>
  <c r="W25" i="1"/>
  <c r="T25" i="1"/>
  <c r="Y25" i="1"/>
  <c r="AC25" i="1" s="1"/>
  <c r="J25" i="1"/>
  <c r="E25" i="1"/>
  <c r="X25" i="1"/>
  <c r="AB25" i="1" s="1"/>
  <c r="AE25" i="1" s="1"/>
  <c r="Z24" i="1"/>
  <c r="AA24" i="1"/>
  <c r="AM24" i="1"/>
  <c r="AN24" i="1"/>
  <c r="AO24" i="1"/>
  <c r="AP24" i="1" s="1"/>
  <c r="L24" i="1"/>
  <c r="D24" i="1"/>
  <c r="O24" i="1"/>
  <c r="M24" i="1"/>
  <c r="R24" i="1"/>
  <c r="P24" i="1"/>
  <c r="U24" i="1"/>
  <c r="S24" i="1"/>
  <c r="I24" i="1"/>
  <c r="V24" i="1"/>
  <c r="J24" i="1"/>
  <c r="X24" i="1"/>
  <c r="AB24" i="1" s="1"/>
  <c r="AE24" i="1" s="1"/>
  <c r="K24" i="1"/>
  <c r="F24" i="1"/>
  <c r="Q24" i="1"/>
  <c r="N24" i="1"/>
  <c r="W24" i="1"/>
  <c r="T24" i="1"/>
  <c r="Y24" i="1"/>
  <c r="AC24" i="1" s="1"/>
  <c r="AD24" i="1" s="1"/>
  <c r="E24" i="1"/>
  <c r="Z23" i="1"/>
  <c r="AA23" i="1"/>
  <c r="AM23" i="1"/>
  <c r="AN23" i="1"/>
  <c r="AO23" i="1"/>
  <c r="AP23" i="1" s="1"/>
  <c r="L23" i="1"/>
  <c r="D23" i="1"/>
  <c r="O23" i="1"/>
  <c r="M23" i="1"/>
  <c r="R23" i="1"/>
  <c r="P23" i="1"/>
  <c r="U23" i="1"/>
  <c r="S23" i="1"/>
  <c r="I23" i="1"/>
  <c r="V23" i="1"/>
  <c r="K23" i="1"/>
  <c r="F23" i="1"/>
  <c r="Q23" i="1"/>
  <c r="N23" i="1"/>
  <c r="W23" i="1"/>
  <c r="T23" i="1"/>
  <c r="E23" i="1"/>
  <c r="X23" i="1"/>
  <c r="AB23" i="1" s="1"/>
  <c r="AE23" i="1" s="1"/>
  <c r="Y23" i="1"/>
  <c r="AC23" i="1" s="1"/>
  <c r="AD23" i="1" s="1"/>
  <c r="J23" i="1"/>
  <c r="Z22" i="1"/>
  <c r="AA22" i="1"/>
  <c r="AM22" i="1"/>
  <c r="AN22" i="1"/>
  <c r="AO22" i="1"/>
  <c r="AP22" i="1" s="1"/>
  <c r="L22" i="1"/>
  <c r="D22" i="1"/>
  <c r="O22" i="1"/>
  <c r="M22" i="1"/>
  <c r="R22" i="1"/>
  <c r="P22" i="1"/>
  <c r="U22" i="1"/>
  <c r="S22" i="1"/>
  <c r="I22" i="1"/>
  <c r="V22" i="1"/>
  <c r="K22" i="1"/>
  <c r="F22" i="1"/>
  <c r="E22" i="1"/>
  <c r="Q22" i="1"/>
  <c r="N22" i="1"/>
  <c r="W22" i="1"/>
  <c r="T22" i="1"/>
  <c r="Y22" i="1"/>
  <c r="AC22" i="1" s="1"/>
  <c r="J22" i="1"/>
  <c r="X22" i="1"/>
  <c r="AB22" i="1" s="1"/>
  <c r="AE22" i="1" s="1"/>
  <c r="Z21" i="1"/>
  <c r="AA21" i="1"/>
  <c r="AM21" i="1"/>
  <c r="AN21" i="1"/>
  <c r="AO21" i="1"/>
  <c r="AP21" i="1" s="1"/>
  <c r="L21" i="1"/>
  <c r="D21" i="1"/>
  <c r="O21" i="1"/>
  <c r="M21" i="1"/>
  <c r="R21" i="1"/>
  <c r="P21" i="1"/>
  <c r="U21" i="1"/>
  <c r="S21" i="1"/>
  <c r="I21" i="1"/>
  <c r="V21" i="1"/>
  <c r="K21" i="1"/>
  <c r="F21" i="1"/>
  <c r="Y21" i="1"/>
  <c r="AC21" i="1" s="1"/>
  <c r="Q21" i="1"/>
  <c r="N21" i="1"/>
  <c r="W21" i="1"/>
  <c r="T21" i="1"/>
  <c r="E21" i="1"/>
  <c r="J21" i="1"/>
  <c r="X21" i="1"/>
  <c r="AB21" i="1" s="1"/>
  <c r="AE21" i="1" s="1"/>
  <c r="J20" i="1"/>
  <c r="Z20" i="1"/>
  <c r="AA20" i="1"/>
  <c r="AM20" i="1"/>
  <c r="AN20" i="1"/>
  <c r="AO20" i="1"/>
  <c r="AP20" i="1" s="1"/>
  <c r="L20" i="1"/>
  <c r="D20" i="1"/>
  <c r="O20" i="1"/>
  <c r="M20" i="1"/>
  <c r="R20" i="1"/>
  <c r="P20" i="1"/>
  <c r="U20" i="1"/>
  <c r="S20" i="1"/>
  <c r="I20" i="1"/>
  <c r="V20" i="1"/>
  <c r="K20" i="1"/>
  <c r="F20" i="1"/>
  <c r="X20" i="1"/>
  <c r="Q20" i="1"/>
  <c r="N20" i="1"/>
  <c r="W20" i="1"/>
  <c r="T20" i="1"/>
  <c r="E20" i="1"/>
  <c r="Y20" i="1"/>
  <c r="Y19" i="1"/>
  <c r="Z19" i="1"/>
  <c r="AA19" i="1"/>
  <c r="AM19" i="1"/>
  <c r="AN19" i="1"/>
  <c r="AO19" i="1"/>
  <c r="AP19" i="1" s="1"/>
  <c r="L19" i="1"/>
  <c r="D19" i="1"/>
  <c r="O19" i="1"/>
  <c r="M19" i="1"/>
  <c r="R19" i="1"/>
  <c r="P19" i="1"/>
  <c r="U19" i="1"/>
  <c r="S19" i="1"/>
  <c r="I19" i="1"/>
  <c r="V19" i="1"/>
  <c r="K19" i="1"/>
  <c r="F19" i="1"/>
  <c r="E19" i="1"/>
  <c r="X19" i="1"/>
  <c r="AB19" i="1" s="1"/>
  <c r="Q19" i="1"/>
  <c r="N19" i="1"/>
  <c r="W19" i="1"/>
  <c r="T19" i="1"/>
  <c r="J19" i="1"/>
  <c r="Y18" i="1"/>
  <c r="Z18" i="1"/>
  <c r="AA18" i="1"/>
  <c r="AM18" i="1"/>
  <c r="AN18" i="1"/>
  <c r="AO18" i="1"/>
  <c r="AP18" i="1" s="1"/>
  <c r="L18" i="1"/>
  <c r="D18" i="1"/>
  <c r="O18" i="1"/>
  <c r="M18" i="1"/>
  <c r="R18" i="1"/>
  <c r="P18" i="1"/>
  <c r="U18" i="1"/>
  <c r="S18" i="1"/>
  <c r="I18" i="1"/>
  <c r="V18" i="1"/>
  <c r="K18" i="1"/>
  <c r="F18" i="1"/>
  <c r="Q18" i="1"/>
  <c r="N18" i="1"/>
  <c r="W18" i="1"/>
  <c r="T18" i="1"/>
  <c r="J18" i="1"/>
  <c r="X18" i="1"/>
  <c r="AB18" i="1" s="1"/>
  <c r="E18" i="1"/>
  <c r="X17" i="1"/>
  <c r="Z17" i="1"/>
  <c r="AA17" i="1"/>
  <c r="AM17" i="1"/>
  <c r="AN17" i="1"/>
  <c r="AO17" i="1"/>
  <c r="AP17" i="1" s="1"/>
  <c r="L17" i="1"/>
  <c r="D17" i="1"/>
  <c r="O17" i="1"/>
  <c r="M17" i="1"/>
  <c r="R17" i="1"/>
  <c r="P17" i="1"/>
  <c r="U17" i="1"/>
  <c r="S17" i="1"/>
  <c r="I17" i="1"/>
  <c r="V17" i="1"/>
  <c r="K17" i="1"/>
  <c r="F17" i="1"/>
  <c r="E17" i="1"/>
  <c r="Y17" i="1"/>
  <c r="AC17" i="1" s="1"/>
  <c r="Q17" i="1"/>
  <c r="N17" i="1"/>
  <c r="W17" i="1"/>
  <c r="T17" i="1"/>
  <c r="J17" i="1"/>
  <c r="Z16" i="1"/>
  <c r="AA16" i="1"/>
  <c r="AM16" i="1"/>
  <c r="AN16" i="1"/>
  <c r="AO16" i="1"/>
  <c r="AP16" i="1" s="1"/>
  <c r="L16" i="1"/>
  <c r="D16" i="1"/>
  <c r="O16" i="1"/>
  <c r="M16" i="1"/>
  <c r="R16" i="1"/>
  <c r="P16" i="1"/>
  <c r="U16" i="1"/>
  <c r="S16" i="1"/>
  <c r="I16" i="1"/>
  <c r="V16" i="1"/>
  <c r="K16" i="1"/>
  <c r="F16" i="1"/>
  <c r="Y16" i="1"/>
  <c r="AC16" i="1" s="1"/>
  <c r="Q16" i="1"/>
  <c r="N16" i="1"/>
  <c r="W16" i="1"/>
  <c r="T16" i="1"/>
  <c r="E16" i="1"/>
  <c r="X16" i="1"/>
  <c r="AB16" i="1" s="1"/>
  <c r="AE16" i="1" s="1"/>
  <c r="J16" i="1"/>
  <c r="E15" i="1"/>
  <c r="Z15" i="1"/>
  <c r="AA15" i="1"/>
  <c r="AM15" i="1"/>
  <c r="AN15" i="1"/>
  <c r="AO15" i="1"/>
  <c r="AP15" i="1" s="1"/>
  <c r="L15" i="1"/>
  <c r="D15" i="1"/>
  <c r="O15" i="1"/>
  <c r="M15" i="1"/>
  <c r="R15" i="1"/>
  <c r="P15" i="1"/>
  <c r="U15" i="1"/>
  <c r="S15" i="1"/>
  <c r="I15" i="1"/>
  <c r="V15" i="1"/>
  <c r="K15" i="1"/>
  <c r="F15" i="1"/>
  <c r="Y15" i="1"/>
  <c r="AC15" i="1" s="1"/>
  <c r="Q15" i="1"/>
  <c r="N15" i="1"/>
  <c r="W15" i="1"/>
  <c r="T15" i="1"/>
  <c r="X15" i="1"/>
  <c r="AB15" i="1" s="1"/>
  <c r="AE15" i="1" s="1"/>
  <c r="J15" i="1"/>
  <c r="Z14" i="1"/>
  <c r="AA14" i="1"/>
  <c r="AM14" i="1"/>
  <c r="AN14" i="1"/>
  <c r="AO14" i="1"/>
  <c r="AP14" i="1" s="1"/>
  <c r="L14" i="1"/>
  <c r="D14" i="1"/>
  <c r="O14" i="1"/>
  <c r="M14" i="1"/>
  <c r="R14" i="1"/>
  <c r="P14" i="1"/>
  <c r="U14" i="1"/>
  <c r="S14" i="1"/>
  <c r="I14" i="1"/>
  <c r="V14" i="1"/>
  <c r="K14" i="1"/>
  <c r="F14" i="1"/>
  <c r="J14" i="1"/>
  <c r="Y14" i="1"/>
  <c r="AC14" i="1" s="1"/>
  <c r="Q14" i="1"/>
  <c r="N14" i="1"/>
  <c r="W14" i="1"/>
  <c r="T14" i="1"/>
  <c r="X14" i="1"/>
  <c r="AB14" i="1" s="1"/>
  <c r="AE14" i="1" s="1"/>
  <c r="E14" i="1"/>
  <c r="Z13" i="1"/>
  <c r="AA13" i="1"/>
  <c r="AM13" i="1"/>
  <c r="AN13" i="1"/>
  <c r="AO13" i="1"/>
  <c r="AP13" i="1" s="1"/>
  <c r="L13" i="1"/>
  <c r="D13" i="1"/>
  <c r="O13" i="1"/>
  <c r="M13" i="1"/>
  <c r="R13" i="1"/>
  <c r="P13" i="1"/>
  <c r="U13" i="1"/>
  <c r="S13" i="1"/>
  <c r="I13" i="1"/>
  <c r="V13" i="1"/>
  <c r="K13" i="1"/>
  <c r="F13" i="1"/>
  <c r="Y13" i="1"/>
  <c r="AC13" i="1" s="1"/>
  <c r="Q13" i="1"/>
  <c r="N13" i="1"/>
  <c r="W13" i="1"/>
  <c r="T13" i="1"/>
  <c r="E13" i="1"/>
  <c r="X13" i="1"/>
  <c r="AB13" i="1" s="1"/>
  <c r="AE13" i="1" s="1"/>
  <c r="J13" i="1"/>
  <c r="Z12" i="1"/>
  <c r="AA12" i="1"/>
  <c r="AM12" i="1"/>
  <c r="AN12" i="1"/>
  <c r="AO12" i="1"/>
  <c r="AP12" i="1" s="1"/>
  <c r="L12" i="1"/>
  <c r="D12" i="1"/>
  <c r="O12" i="1"/>
  <c r="M12" i="1"/>
  <c r="R12" i="1"/>
  <c r="P12" i="1"/>
  <c r="U12" i="1"/>
  <c r="S12" i="1"/>
  <c r="I12" i="1"/>
  <c r="V12" i="1"/>
  <c r="K12" i="1"/>
  <c r="F12" i="1"/>
  <c r="E12" i="1"/>
  <c r="Q12" i="1"/>
  <c r="N12" i="1"/>
  <c r="W12" i="1"/>
  <c r="T12" i="1"/>
  <c r="X12" i="1"/>
  <c r="AB12" i="1" s="1"/>
  <c r="AE12" i="1" s="1"/>
  <c r="Y12" i="1"/>
  <c r="AC12" i="1" s="1"/>
  <c r="J12" i="1"/>
  <c r="Z11" i="1"/>
  <c r="AA11" i="1"/>
  <c r="AM11" i="1"/>
  <c r="AN11" i="1"/>
  <c r="AO11" i="1"/>
  <c r="AP11" i="1" s="1"/>
  <c r="L11" i="1"/>
  <c r="D11" i="1"/>
  <c r="O11" i="1"/>
  <c r="M11" i="1"/>
  <c r="R11" i="1"/>
  <c r="P11" i="1"/>
  <c r="U11" i="1"/>
  <c r="S11" i="1"/>
  <c r="I11" i="1"/>
  <c r="V11" i="1"/>
  <c r="K11" i="1"/>
  <c r="F11" i="1"/>
  <c r="Q11" i="1"/>
  <c r="N11" i="1"/>
  <c r="W11" i="1"/>
  <c r="T11" i="1"/>
  <c r="Y11" i="1"/>
  <c r="AC11" i="1" s="1"/>
  <c r="J11" i="1"/>
  <c r="X11" i="1"/>
  <c r="AB11" i="1" s="1"/>
  <c r="AE11" i="1" s="1"/>
  <c r="E11" i="1"/>
  <c r="Z10" i="1"/>
  <c r="AA10" i="1"/>
  <c r="AM10" i="1"/>
  <c r="AN10" i="1"/>
  <c r="AO10" i="1"/>
  <c r="AP10" i="1" s="1"/>
  <c r="L10" i="1"/>
  <c r="D10" i="1"/>
  <c r="O10" i="1"/>
  <c r="M10" i="1"/>
  <c r="R10" i="1"/>
  <c r="P10" i="1"/>
  <c r="U10" i="1"/>
  <c r="S10" i="1"/>
  <c r="I10" i="1"/>
  <c r="V10" i="1"/>
  <c r="K10" i="1"/>
  <c r="F10" i="1"/>
  <c r="Y10" i="1"/>
  <c r="AC10" i="1" s="1"/>
  <c r="Q10" i="1"/>
  <c r="N10" i="1"/>
  <c r="W10" i="1"/>
  <c r="T10" i="1"/>
  <c r="X10" i="1"/>
  <c r="AB10" i="1" s="1"/>
  <c r="AE10" i="1" s="1"/>
  <c r="E10" i="1"/>
  <c r="J10" i="1"/>
  <c r="Z105" i="1"/>
  <c r="AA105" i="1"/>
  <c r="AM105" i="1"/>
  <c r="AN105" i="1"/>
  <c r="AO105" i="1"/>
  <c r="AP105" i="1" s="1"/>
  <c r="L105" i="1"/>
  <c r="D105" i="1"/>
  <c r="O105" i="1"/>
  <c r="M105" i="1"/>
  <c r="R105" i="1"/>
  <c r="P105" i="1"/>
  <c r="U105" i="1"/>
  <c r="S105" i="1"/>
  <c r="I105" i="1"/>
  <c r="V105" i="1"/>
  <c r="E105" i="1"/>
  <c r="K105" i="1"/>
  <c r="F105" i="1"/>
  <c r="Q105" i="1"/>
  <c r="N105" i="1"/>
  <c r="W105" i="1"/>
  <c r="T105" i="1"/>
  <c r="X105" i="1"/>
  <c r="AB105" i="1" s="1"/>
  <c r="J105" i="1"/>
  <c r="Y105" i="1"/>
  <c r="AC105" i="1" s="1"/>
  <c r="Z104" i="1"/>
  <c r="AA104" i="1"/>
  <c r="AM104" i="1"/>
  <c r="AN104" i="1"/>
  <c r="AO104" i="1"/>
  <c r="AP104" i="1" s="1"/>
  <c r="L104" i="1"/>
  <c r="D104" i="1"/>
  <c r="O104" i="1"/>
  <c r="M104" i="1"/>
  <c r="R104" i="1"/>
  <c r="P104" i="1"/>
  <c r="U104" i="1"/>
  <c r="S104" i="1"/>
  <c r="I104" i="1"/>
  <c r="V104" i="1"/>
  <c r="K104" i="1"/>
  <c r="F104" i="1"/>
  <c r="Q104" i="1"/>
  <c r="N104" i="1"/>
  <c r="W104" i="1"/>
  <c r="T104" i="1"/>
  <c r="X104" i="1"/>
  <c r="AB104" i="1" s="1"/>
  <c r="AE104" i="1" s="1"/>
  <c r="Y104" i="1"/>
  <c r="AC104" i="1" s="1"/>
  <c r="J104" i="1"/>
  <c r="E104" i="1"/>
  <c r="Y103" i="1"/>
  <c r="Z103" i="1"/>
  <c r="AA103" i="1"/>
  <c r="AM103" i="1"/>
  <c r="AN103" i="1"/>
  <c r="AO103" i="1"/>
  <c r="AP103" i="1" s="1"/>
  <c r="L103" i="1"/>
  <c r="D103" i="1"/>
  <c r="O103" i="1"/>
  <c r="M103" i="1"/>
  <c r="R103" i="1"/>
  <c r="P103" i="1"/>
  <c r="U103" i="1"/>
  <c r="S103" i="1"/>
  <c r="I103" i="1"/>
  <c r="V103" i="1"/>
  <c r="K103" i="1"/>
  <c r="F103" i="1"/>
  <c r="Q103" i="1"/>
  <c r="N103" i="1"/>
  <c r="W103" i="1"/>
  <c r="T103" i="1"/>
  <c r="E103" i="1"/>
  <c r="X103" i="1"/>
  <c r="AB103" i="1" s="1"/>
  <c r="AE103" i="1" s="1"/>
  <c r="J103" i="1"/>
  <c r="E102" i="1"/>
  <c r="Y102" i="1"/>
  <c r="Z102" i="1"/>
  <c r="AA102" i="1"/>
  <c r="AM102" i="1"/>
  <c r="AN102" i="1"/>
  <c r="AO102" i="1"/>
  <c r="AP102" i="1" s="1"/>
  <c r="L102" i="1"/>
  <c r="D102" i="1"/>
  <c r="O102" i="1"/>
  <c r="M102" i="1"/>
  <c r="R102" i="1"/>
  <c r="P102" i="1"/>
  <c r="U102" i="1"/>
  <c r="S102" i="1"/>
  <c r="I102" i="1"/>
  <c r="V102" i="1"/>
  <c r="K102" i="1"/>
  <c r="F102" i="1"/>
  <c r="Q102" i="1"/>
  <c r="N102" i="1"/>
  <c r="W102" i="1"/>
  <c r="T102" i="1"/>
  <c r="J102" i="1"/>
  <c r="X102" i="1"/>
  <c r="AB102" i="1" s="1"/>
  <c r="AE102" i="1" s="1"/>
  <c r="X101" i="1"/>
  <c r="Z101" i="1"/>
  <c r="AA101" i="1"/>
  <c r="AM101" i="1"/>
  <c r="AN101" i="1"/>
  <c r="AO101" i="1"/>
  <c r="AP101" i="1" s="1"/>
  <c r="L101" i="1"/>
  <c r="D101" i="1"/>
  <c r="O101" i="1"/>
  <c r="M101" i="1"/>
  <c r="R101" i="1"/>
  <c r="P101" i="1"/>
  <c r="U101" i="1"/>
  <c r="S101" i="1"/>
  <c r="I101" i="1"/>
  <c r="V101" i="1"/>
  <c r="J101" i="1"/>
  <c r="Y101" i="1"/>
  <c r="AC101" i="1" s="1"/>
  <c r="K101" i="1"/>
  <c r="F101" i="1"/>
  <c r="Q101" i="1"/>
  <c r="N101" i="1"/>
  <c r="W101" i="1"/>
  <c r="T101" i="1"/>
  <c r="E101" i="1"/>
  <c r="X100" i="1"/>
  <c r="Y100" i="1"/>
  <c r="Z100" i="1"/>
  <c r="AA100" i="1"/>
  <c r="AM100" i="1"/>
  <c r="AN100" i="1"/>
  <c r="AO100" i="1"/>
  <c r="AP100" i="1" s="1"/>
  <c r="L100" i="1"/>
  <c r="O100" i="1"/>
  <c r="M100" i="1"/>
  <c r="R100" i="1"/>
  <c r="P100" i="1"/>
  <c r="U100" i="1"/>
  <c r="S100" i="1"/>
  <c r="I100" i="1"/>
  <c r="V100" i="1"/>
  <c r="K100" i="1"/>
  <c r="F100" i="1"/>
  <c r="Q100" i="1"/>
  <c r="N100" i="1"/>
  <c r="W100" i="1"/>
  <c r="T100" i="1"/>
  <c r="D100" i="1"/>
  <c r="E100" i="1"/>
  <c r="J100" i="1"/>
  <c r="Y99" i="1"/>
  <c r="Z99" i="1"/>
  <c r="AA99" i="1"/>
  <c r="AM99" i="1"/>
  <c r="AN99" i="1"/>
  <c r="AO99" i="1"/>
  <c r="AP99" i="1" s="1"/>
  <c r="L99" i="1"/>
  <c r="D99" i="1"/>
  <c r="O99" i="1"/>
  <c r="M99" i="1"/>
  <c r="R99" i="1"/>
  <c r="P99" i="1"/>
  <c r="U99" i="1"/>
  <c r="S99" i="1"/>
  <c r="I99" i="1"/>
  <c r="V99" i="1"/>
  <c r="J99" i="1"/>
  <c r="K99" i="1"/>
  <c r="F99" i="1"/>
  <c r="Q99" i="1"/>
  <c r="N99" i="1"/>
  <c r="W99" i="1"/>
  <c r="T99" i="1"/>
  <c r="E99" i="1"/>
  <c r="X99" i="1"/>
  <c r="AB99" i="1" s="1"/>
  <c r="AE99" i="1" s="1"/>
  <c r="X98" i="1"/>
  <c r="Y98" i="1"/>
  <c r="Z98" i="1"/>
  <c r="AA98" i="1"/>
  <c r="AM98" i="1"/>
  <c r="AN98" i="1"/>
  <c r="AO98" i="1"/>
  <c r="AP98" i="1" s="1"/>
  <c r="L98" i="1"/>
  <c r="D98" i="1"/>
  <c r="O98" i="1"/>
  <c r="M98" i="1"/>
  <c r="R98" i="1"/>
  <c r="P98" i="1"/>
  <c r="U98" i="1"/>
  <c r="S98" i="1"/>
  <c r="I98" i="1"/>
  <c r="V98" i="1"/>
  <c r="K98" i="1"/>
  <c r="F98" i="1"/>
  <c r="Q98" i="1"/>
  <c r="N98" i="1"/>
  <c r="W98" i="1"/>
  <c r="T98" i="1"/>
  <c r="E98" i="1"/>
  <c r="J98" i="1"/>
  <c r="E97" i="1"/>
  <c r="Y97" i="1"/>
  <c r="X97" i="1"/>
  <c r="Z97" i="1"/>
  <c r="AA97" i="1"/>
  <c r="AM97" i="1"/>
  <c r="AN97" i="1"/>
  <c r="AO97" i="1"/>
  <c r="AP97" i="1" s="1"/>
  <c r="L97" i="1"/>
  <c r="D97" i="1"/>
  <c r="O97" i="1"/>
  <c r="M97" i="1"/>
  <c r="R97" i="1"/>
  <c r="P97" i="1"/>
  <c r="U97" i="1"/>
  <c r="S97" i="1"/>
  <c r="I97" i="1"/>
  <c r="V97" i="1"/>
  <c r="J97" i="1"/>
  <c r="K97" i="1"/>
  <c r="F97" i="1"/>
  <c r="Q97" i="1"/>
  <c r="N97" i="1"/>
  <c r="W97" i="1"/>
  <c r="T97" i="1"/>
  <c r="Z96" i="1"/>
  <c r="AA96" i="1"/>
  <c r="AM96" i="1"/>
  <c r="AN96" i="1"/>
  <c r="AO96" i="1"/>
  <c r="AP96" i="1" s="1"/>
  <c r="L96" i="1"/>
  <c r="D96" i="1"/>
  <c r="O96" i="1"/>
  <c r="M96" i="1"/>
  <c r="R96" i="1"/>
  <c r="P96" i="1"/>
  <c r="U96" i="1"/>
  <c r="S96" i="1"/>
  <c r="I96" i="1"/>
  <c r="V96" i="1"/>
  <c r="K96" i="1"/>
  <c r="F96" i="1"/>
  <c r="Q96" i="1"/>
  <c r="N96" i="1"/>
  <c r="W96" i="1"/>
  <c r="T96" i="1"/>
  <c r="E96" i="1"/>
  <c r="Y96" i="1"/>
  <c r="AC96" i="1" s="1"/>
  <c r="J96" i="1"/>
  <c r="X96" i="1"/>
  <c r="AB96" i="1" s="1"/>
  <c r="AE96" i="1" s="1"/>
  <c r="Z95" i="1"/>
  <c r="AA95" i="1"/>
  <c r="AM95" i="1"/>
  <c r="AN95" i="1"/>
  <c r="AO95" i="1"/>
  <c r="AP95" i="1" s="1"/>
  <c r="L95" i="1"/>
  <c r="D95" i="1"/>
  <c r="O95" i="1"/>
  <c r="M95" i="1"/>
  <c r="R95" i="1"/>
  <c r="P95" i="1"/>
  <c r="U95" i="1"/>
  <c r="S95" i="1"/>
  <c r="I95" i="1"/>
  <c r="V95" i="1"/>
  <c r="E95" i="1"/>
  <c r="Y95" i="1"/>
  <c r="AC95" i="1" s="1"/>
  <c r="K95" i="1"/>
  <c r="F95" i="1"/>
  <c r="Q95" i="1"/>
  <c r="N95" i="1"/>
  <c r="W95" i="1"/>
  <c r="T95" i="1"/>
  <c r="J95" i="1"/>
  <c r="X95" i="1"/>
  <c r="AB95" i="1" s="1"/>
  <c r="AE95" i="1" s="1"/>
  <c r="J94" i="1"/>
  <c r="Z94" i="1"/>
  <c r="AA94" i="1"/>
  <c r="AM94" i="1"/>
  <c r="AN94" i="1"/>
  <c r="AO94" i="1"/>
  <c r="AP94" i="1" s="1"/>
  <c r="L94" i="1"/>
  <c r="D94" i="1"/>
  <c r="O94" i="1"/>
  <c r="M94" i="1"/>
  <c r="R94" i="1"/>
  <c r="P94" i="1"/>
  <c r="U94" i="1"/>
  <c r="S94" i="1"/>
  <c r="I94" i="1"/>
  <c r="V94" i="1"/>
  <c r="K94" i="1"/>
  <c r="F94" i="1"/>
  <c r="Q94" i="1"/>
  <c r="N94" i="1"/>
  <c r="W94" i="1"/>
  <c r="T94" i="1"/>
  <c r="Y94" i="1"/>
  <c r="AC94" i="1" s="1"/>
  <c r="X94" i="1"/>
  <c r="AB94" i="1" s="1"/>
  <c r="AE94" i="1" s="1"/>
  <c r="E94" i="1"/>
  <c r="X93" i="1"/>
  <c r="Z93" i="1"/>
  <c r="AA93" i="1"/>
  <c r="AM93" i="1"/>
  <c r="AN93" i="1"/>
  <c r="AO93" i="1"/>
  <c r="AP93" i="1" s="1"/>
  <c r="L93" i="1"/>
  <c r="D93" i="1"/>
  <c r="O93" i="1"/>
  <c r="M93" i="1"/>
  <c r="R93" i="1"/>
  <c r="P93" i="1"/>
  <c r="U93" i="1"/>
  <c r="S93" i="1"/>
  <c r="I93" i="1"/>
  <c r="V93" i="1"/>
  <c r="J93" i="1"/>
  <c r="K93" i="1"/>
  <c r="F93" i="1"/>
  <c r="Q93" i="1"/>
  <c r="N93" i="1"/>
  <c r="W93" i="1"/>
  <c r="T93" i="1"/>
  <c r="E93" i="1"/>
  <c r="Y93" i="1"/>
  <c r="AC93" i="1" s="1"/>
  <c r="J92" i="1"/>
  <c r="Z92" i="1"/>
  <c r="AA92" i="1"/>
  <c r="AM92" i="1"/>
  <c r="AN92" i="1"/>
  <c r="AO92" i="1"/>
  <c r="AP92" i="1" s="1"/>
  <c r="L92" i="1"/>
  <c r="D92" i="1"/>
  <c r="O92" i="1"/>
  <c r="M92" i="1"/>
  <c r="R92" i="1"/>
  <c r="P92" i="1"/>
  <c r="U92" i="1"/>
  <c r="S92" i="1"/>
  <c r="I92" i="1"/>
  <c r="V92" i="1"/>
  <c r="E92" i="1"/>
  <c r="K92" i="1"/>
  <c r="F92" i="1"/>
  <c r="Q92" i="1"/>
  <c r="N92" i="1"/>
  <c r="W92" i="1"/>
  <c r="T92" i="1"/>
  <c r="Y92" i="1"/>
  <c r="AC92" i="1" s="1"/>
  <c r="X92" i="1"/>
  <c r="AB92" i="1" s="1"/>
  <c r="X91" i="1"/>
  <c r="Y91" i="1"/>
  <c r="Z91" i="1"/>
  <c r="AA91" i="1"/>
  <c r="AM91" i="1"/>
  <c r="AN91" i="1"/>
  <c r="AO91" i="1"/>
  <c r="AP91" i="1" s="1"/>
  <c r="L91" i="1"/>
  <c r="D91" i="1"/>
  <c r="O91" i="1"/>
  <c r="M91" i="1"/>
  <c r="R91" i="1"/>
  <c r="P91" i="1"/>
  <c r="U91" i="1"/>
  <c r="S91" i="1"/>
  <c r="I91" i="1"/>
  <c r="V91" i="1"/>
  <c r="K91" i="1"/>
  <c r="F91" i="1"/>
  <c r="Q91" i="1"/>
  <c r="N91" i="1"/>
  <c r="W91" i="1"/>
  <c r="T91" i="1"/>
  <c r="J91" i="1"/>
  <c r="E91" i="1"/>
  <c r="Y90" i="1"/>
  <c r="Z90" i="1"/>
  <c r="AA90" i="1"/>
  <c r="AM90" i="1"/>
  <c r="AN90" i="1"/>
  <c r="AO90" i="1"/>
  <c r="AP90" i="1" s="1"/>
  <c r="L90" i="1"/>
  <c r="D90" i="1"/>
  <c r="O90" i="1"/>
  <c r="M90" i="1"/>
  <c r="R90" i="1"/>
  <c r="P90" i="1"/>
  <c r="U90" i="1"/>
  <c r="S90" i="1"/>
  <c r="I90" i="1"/>
  <c r="V90" i="1"/>
  <c r="K90" i="1"/>
  <c r="F90" i="1"/>
  <c r="Q90" i="1"/>
  <c r="N90" i="1"/>
  <c r="W90" i="1"/>
  <c r="T90" i="1"/>
  <c r="X90" i="1"/>
  <c r="AB90" i="1" s="1"/>
  <c r="J90" i="1"/>
  <c r="E90" i="1"/>
  <c r="Y89" i="1"/>
  <c r="Z89" i="1"/>
  <c r="AA89" i="1"/>
  <c r="AM89" i="1"/>
  <c r="AN89" i="1"/>
  <c r="AO89" i="1"/>
  <c r="L89" i="1"/>
  <c r="D89" i="1"/>
  <c r="O89" i="1"/>
  <c r="M89" i="1"/>
  <c r="R89" i="1"/>
  <c r="P89" i="1"/>
  <c r="U89" i="1"/>
  <c r="S89" i="1"/>
  <c r="I89" i="1"/>
  <c r="V89" i="1"/>
  <c r="K89" i="1"/>
  <c r="F89" i="1"/>
  <c r="Q89" i="1"/>
  <c r="N89" i="1"/>
  <c r="W89" i="1"/>
  <c r="T89" i="1"/>
  <c r="E89" i="1"/>
  <c r="X89" i="1"/>
  <c r="AB89" i="1" s="1"/>
  <c r="J89" i="1"/>
  <c r="Z88" i="1"/>
  <c r="AA88" i="1"/>
  <c r="AM88" i="1"/>
  <c r="AN88" i="1"/>
  <c r="AO88" i="1"/>
  <c r="AP88" i="1" s="1"/>
  <c r="L88" i="1"/>
  <c r="D88" i="1"/>
  <c r="P88" i="1"/>
  <c r="M88" i="1"/>
  <c r="O88" i="1"/>
  <c r="U88" i="1"/>
  <c r="S88" i="1"/>
  <c r="R88" i="1"/>
  <c r="I88" i="1"/>
  <c r="V88" i="1"/>
  <c r="Y88" i="1"/>
  <c r="AC88" i="1" s="1"/>
  <c r="K88" i="1"/>
  <c r="F88" i="1"/>
  <c r="N88" i="1"/>
  <c r="Q88" i="1"/>
  <c r="W88" i="1"/>
  <c r="T88" i="1"/>
  <c r="X88" i="1"/>
  <c r="E88" i="1"/>
  <c r="J88" i="1"/>
  <c r="E87" i="1"/>
  <c r="Z87" i="1"/>
  <c r="AA87" i="1"/>
  <c r="AM87" i="1"/>
  <c r="AN87" i="1"/>
  <c r="AO87" i="1"/>
  <c r="AP87" i="1" s="1"/>
  <c r="L87" i="1"/>
  <c r="D87" i="1"/>
  <c r="M87" i="1"/>
  <c r="P87" i="1"/>
  <c r="O87" i="1"/>
  <c r="U87" i="1"/>
  <c r="S87" i="1"/>
  <c r="R87" i="1"/>
  <c r="I87" i="1"/>
  <c r="V87" i="1"/>
  <c r="X87" i="1"/>
  <c r="Y87" i="1"/>
  <c r="K87" i="1"/>
  <c r="F87" i="1"/>
  <c r="Q87" i="1"/>
  <c r="N87" i="1"/>
  <c r="W87" i="1"/>
  <c r="T87" i="1"/>
  <c r="J87" i="1"/>
  <c r="Z86" i="1"/>
  <c r="AA86" i="1"/>
  <c r="AM86" i="1"/>
  <c r="AN86" i="1"/>
  <c r="AO86" i="1"/>
  <c r="AP86" i="1" s="1"/>
  <c r="L86" i="1"/>
  <c r="D86" i="1"/>
  <c r="M86" i="1"/>
  <c r="P86" i="1"/>
  <c r="O86" i="1"/>
  <c r="U86" i="1"/>
  <c r="S86" i="1"/>
  <c r="R86" i="1"/>
  <c r="I86" i="1"/>
  <c r="V86" i="1"/>
  <c r="J86" i="1"/>
  <c r="Y86" i="1"/>
  <c r="AC86" i="1" s="1"/>
  <c r="K86" i="1"/>
  <c r="F86" i="1"/>
  <c r="Q86" i="1"/>
  <c r="N86" i="1"/>
  <c r="W86" i="1"/>
  <c r="T86" i="1"/>
  <c r="X86" i="1"/>
  <c r="AB86" i="1" s="1"/>
  <c r="AE86" i="1" s="1"/>
  <c r="E86" i="1"/>
  <c r="Z85" i="1"/>
  <c r="AA85" i="1"/>
  <c r="AM85" i="1"/>
  <c r="AN85" i="1"/>
  <c r="AO85" i="1"/>
  <c r="AP85" i="1" s="1"/>
  <c r="L85" i="1"/>
  <c r="D85" i="1"/>
  <c r="M85" i="1"/>
  <c r="P85" i="1"/>
  <c r="O85" i="1"/>
  <c r="S85" i="1"/>
  <c r="U85" i="1"/>
  <c r="R85" i="1"/>
  <c r="I85" i="1"/>
  <c r="V85" i="1"/>
  <c r="Y85" i="1"/>
  <c r="AC85" i="1" s="1"/>
  <c r="K85" i="1"/>
  <c r="F85" i="1"/>
  <c r="Q85" i="1"/>
  <c r="N85" i="1"/>
  <c r="W85" i="1"/>
  <c r="T85" i="1"/>
  <c r="X85" i="1"/>
  <c r="AB85" i="1" s="1"/>
  <c r="E85" i="1"/>
  <c r="J85" i="1"/>
  <c r="Z84" i="1"/>
  <c r="AA84" i="1"/>
  <c r="AM84" i="1"/>
  <c r="AN84" i="1"/>
  <c r="AO84" i="1"/>
  <c r="AP84" i="1" s="1"/>
  <c r="L84" i="1"/>
  <c r="D84" i="1"/>
  <c r="M84" i="1"/>
  <c r="P84" i="1"/>
  <c r="O84" i="1"/>
  <c r="U84" i="1"/>
  <c r="S84" i="1"/>
  <c r="R84" i="1"/>
  <c r="I84" i="1"/>
  <c r="V84" i="1"/>
  <c r="X84" i="1"/>
  <c r="AB84" i="1" s="1"/>
  <c r="K84" i="1"/>
  <c r="F84" i="1"/>
  <c r="Q84" i="1"/>
  <c r="N84" i="1"/>
  <c r="W84" i="1"/>
  <c r="T84" i="1"/>
  <c r="Y84" i="1"/>
  <c r="AC84" i="1" s="1"/>
  <c r="AD84" i="1" s="1"/>
  <c r="E84" i="1"/>
  <c r="J84" i="1"/>
  <c r="Z83" i="1"/>
  <c r="AA83" i="1"/>
  <c r="AM83" i="1"/>
  <c r="AN83" i="1"/>
  <c r="AO83" i="1"/>
  <c r="AP83" i="1" s="1"/>
  <c r="L83" i="1"/>
  <c r="D83" i="1"/>
  <c r="M83" i="1"/>
  <c r="P83" i="1"/>
  <c r="O83" i="1"/>
  <c r="S83" i="1"/>
  <c r="U83" i="1"/>
  <c r="R83" i="1"/>
  <c r="I83" i="1"/>
  <c r="V83" i="1"/>
  <c r="K83" i="1"/>
  <c r="F83" i="1"/>
  <c r="N83" i="1"/>
  <c r="Q83" i="1"/>
  <c r="W83" i="1"/>
  <c r="T83" i="1"/>
  <c r="Y83" i="1"/>
  <c r="AC83" i="1" s="1"/>
  <c r="E83" i="1"/>
  <c r="X83" i="1"/>
  <c r="AB83" i="1" s="1"/>
  <c r="AE83" i="1" s="1"/>
  <c r="J83" i="1"/>
  <c r="X82" i="1"/>
  <c r="Z82" i="1"/>
  <c r="AA82" i="1"/>
  <c r="AM82" i="1"/>
  <c r="AN82" i="1"/>
  <c r="AO82" i="1"/>
  <c r="AP82" i="1" s="1"/>
  <c r="L82" i="1"/>
  <c r="D82" i="1"/>
  <c r="M82" i="1"/>
  <c r="P82" i="1"/>
  <c r="O82" i="1"/>
  <c r="S82" i="1"/>
  <c r="U82" i="1"/>
  <c r="R82" i="1"/>
  <c r="I82" i="1"/>
  <c r="V82" i="1"/>
  <c r="K82" i="1"/>
  <c r="F82" i="1"/>
  <c r="Y82" i="1"/>
  <c r="AC82" i="1" s="1"/>
  <c r="N82" i="1"/>
  <c r="Q82" i="1"/>
  <c r="W82" i="1"/>
  <c r="T82" i="1"/>
  <c r="J82" i="1"/>
  <c r="E82" i="1"/>
  <c r="E81" i="1"/>
  <c r="Y81" i="1"/>
  <c r="Z81" i="1"/>
  <c r="AA81" i="1"/>
  <c r="AM81" i="1"/>
  <c r="AN81" i="1"/>
  <c r="AO81" i="1"/>
  <c r="AP81" i="1" s="1"/>
  <c r="L81" i="1"/>
  <c r="D81" i="1"/>
  <c r="M81" i="1"/>
  <c r="P81" i="1"/>
  <c r="O81" i="1"/>
  <c r="U81" i="1"/>
  <c r="S81" i="1"/>
  <c r="R81" i="1"/>
  <c r="I81" i="1"/>
  <c r="V81" i="1"/>
  <c r="K81" i="1"/>
  <c r="F81" i="1"/>
  <c r="N81" i="1"/>
  <c r="Q81" i="1"/>
  <c r="W81" i="1"/>
  <c r="T81" i="1"/>
  <c r="X81" i="1"/>
  <c r="AB81" i="1" s="1"/>
  <c r="AE81" i="1" s="1"/>
  <c r="J81" i="1"/>
  <c r="Y80" i="1"/>
  <c r="Z80" i="1"/>
  <c r="AA80" i="1"/>
  <c r="AM80" i="1"/>
  <c r="AN80" i="1"/>
  <c r="AO80" i="1"/>
  <c r="AP80" i="1" s="1"/>
  <c r="L80" i="1"/>
  <c r="D80" i="1"/>
  <c r="M80" i="1"/>
  <c r="P80" i="1"/>
  <c r="O80" i="1"/>
  <c r="S80" i="1"/>
  <c r="U80" i="1"/>
  <c r="R80" i="1"/>
  <c r="I80" i="1"/>
  <c r="V80" i="1"/>
  <c r="K80" i="1"/>
  <c r="F80" i="1"/>
  <c r="X80" i="1"/>
  <c r="AB80" i="1" s="1"/>
  <c r="Q80" i="1"/>
  <c r="N80" i="1"/>
  <c r="W80" i="1"/>
  <c r="T80" i="1"/>
  <c r="E80" i="1"/>
  <c r="J80" i="1"/>
  <c r="J79" i="1"/>
  <c r="Y79" i="1"/>
  <c r="Z79" i="1"/>
  <c r="AA79" i="1"/>
  <c r="AM79" i="1"/>
  <c r="AN79" i="1"/>
  <c r="AO79" i="1"/>
  <c r="AP79" i="1" s="1"/>
  <c r="L79" i="1"/>
  <c r="D79" i="1"/>
  <c r="M79" i="1"/>
  <c r="P79" i="1"/>
  <c r="O79" i="1"/>
  <c r="U79" i="1"/>
  <c r="S79" i="1"/>
  <c r="R79" i="1"/>
  <c r="I79" i="1"/>
  <c r="V79" i="1"/>
  <c r="K79" i="1"/>
  <c r="F79" i="1"/>
  <c r="E79" i="1"/>
  <c r="Q79" i="1"/>
  <c r="N79" i="1"/>
  <c r="W79" i="1"/>
  <c r="T79" i="1"/>
  <c r="X79" i="1"/>
  <c r="AB79" i="1" s="1"/>
  <c r="Y78" i="1"/>
  <c r="Z78" i="1"/>
  <c r="AA78" i="1"/>
  <c r="AM78" i="1"/>
  <c r="AN78" i="1"/>
  <c r="AO78" i="1"/>
  <c r="AP78" i="1" s="1"/>
  <c r="L78" i="1"/>
  <c r="D78" i="1"/>
  <c r="M78" i="1"/>
  <c r="O78" i="1"/>
  <c r="R78" i="1"/>
  <c r="P78" i="1"/>
  <c r="S78" i="1"/>
  <c r="U78" i="1"/>
  <c r="I78" i="1"/>
  <c r="V78" i="1"/>
  <c r="K78" i="1"/>
  <c r="F78" i="1"/>
  <c r="Q78" i="1"/>
  <c r="N78" i="1"/>
  <c r="W78" i="1"/>
  <c r="T78" i="1"/>
  <c r="X78" i="1"/>
  <c r="AB78" i="1" s="1"/>
  <c r="AE78" i="1" s="1"/>
  <c r="E78" i="1"/>
  <c r="J78" i="1"/>
  <c r="Y77" i="1"/>
  <c r="Z77" i="1"/>
  <c r="AA77" i="1"/>
  <c r="AM77" i="1"/>
  <c r="AN77" i="1"/>
  <c r="AO77" i="1"/>
  <c r="L77" i="1"/>
  <c r="D77" i="1"/>
  <c r="O77" i="1"/>
  <c r="M77" i="1"/>
  <c r="R77" i="1"/>
  <c r="P77" i="1"/>
  <c r="U77" i="1"/>
  <c r="S77" i="1"/>
  <c r="I77" i="1"/>
  <c r="V77" i="1"/>
  <c r="K77" i="1"/>
  <c r="F77" i="1"/>
  <c r="E77" i="1"/>
  <c r="N77" i="1"/>
  <c r="Q77" i="1"/>
  <c r="W77" i="1"/>
  <c r="T77" i="1"/>
  <c r="X77" i="1"/>
  <c r="AB77" i="1" s="1"/>
  <c r="AE77" i="1" s="1"/>
  <c r="J77" i="1"/>
  <c r="X76" i="1"/>
  <c r="Y76" i="1"/>
  <c r="Z76" i="1"/>
  <c r="AA76" i="1"/>
  <c r="AM76" i="1"/>
  <c r="AN76" i="1"/>
  <c r="AO76" i="1"/>
  <c r="AP76" i="1" s="1"/>
  <c r="L76" i="1"/>
  <c r="D76" i="1"/>
  <c r="O76" i="1"/>
  <c r="M76" i="1"/>
  <c r="R76" i="1"/>
  <c r="P76" i="1"/>
  <c r="U76" i="1"/>
  <c r="S76" i="1"/>
  <c r="I76" i="1"/>
  <c r="V76" i="1"/>
  <c r="K76" i="1"/>
  <c r="F76" i="1"/>
  <c r="Q76" i="1"/>
  <c r="N76" i="1"/>
  <c r="W76" i="1"/>
  <c r="T76" i="1"/>
  <c r="E76" i="1"/>
  <c r="J76" i="1"/>
  <c r="X75" i="1"/>
  <c r="Y75" i="1"/>
  <c r="Z75" i="1"/>
  <c r="AA75" i="1"/>
  <c r="AM75" i="1"/>
  <c r="AN75" i="1"/>
  <c r="AO75" i="1"/>
  <c r="AP75" i="1" s="1"/>
  <c r="L75" i="1"/>
  <c r="D75" i="1"/>
  <c r="O75" i="1"/>
  <c r="M75" i="1"/>
  <c r="R75" i="1"/>
  <c r="P75" i="1"/>
  <c r="S75" i="1"/>
  <c r="U75" i="1"/>
  <c r="I75" i="1"/>
  <c r="V75" i="1"/>
  <c r="K75" i="1"/>
  <c r="F75" i="1"/>
  <c r="Q75" i="1"/>
  <c r="N75" i="1"/>
  <c r="W75" i="1"/>
  <c r="T75" i="1"/>
  <c r="E75" i="1"/>
  <c r="J75" i="1"/>
  <c r="Y74" i="1"/>
  <c r="Z74" i="1"/>
  <c r="AA74" i="1"/>
  <c r="AM74" i="1"/>
  <c r="AN74" i="1"/>
  <c r="AO74" i="1"/>
  <c r="L74" i="1"/>
  <c r="D74" i="1"/>
  <c r="O74" i="1"/>
  <c r="M74" i="1"/>
  <c r="R74" i="1"/>
  <c r="P74" i="1"/>
  <c r="S74" i="1"/>
  <c r="U74" i="1"/>
  <c r="I74" i="1"/>
  <c r="V74" i="1"/>
  <c r="K74" i="1"/>
  <c r="F74" i="1"/>
  <c r="E74" i="1"/>
  <c r="X74" i="1"/>
  <c r="N74" i="1"/>
  <c r="Q74" i="1"/>
  <c r="W74" i="1"/>
  <c r="T74" i="1"/>
  <c r="J74" i="1"/>
  <c r="J73" i="1"/>
  <c r="X73" i="1"/>
  <c r="Z73" i="1"/>
  <c r="AA73" i="1"/>
  <c r="AM73" i="1"/>
  <c r="AN73" i="1"/>
  <c r="AO73" i="1"/>
  <c r="L73" i="1"/>
  <c r="D73" i="1"/>
  <c r="O73" i="1"/>
  <c r="M73" i="1"/>
  <c r="R73" i="1"/>
  <c r="P73" i="1"/>
  <c r="U73" i="1"/>
  <c r="S73" i="1"/>
  <c r="I73" i="1"/>
  <c r="V73" i="1"/>
  <c r="K73" i="1"/>
  <c r="F73" i="1"/>
  <c r="E73" i="1"/>
  <c r="N73" i="1"/>
  <c r="Q73" i="1"/>
  <c r="W73" i="1"/>
  <c r="T73" i="1"/>
  <c r="Y73" i="1"/>
  <c r="AC73" i="1" s="1"/>
  <c r="E72" i="1"/>
  <c r="Z72" i="1"/>
  <c r="AA72" i="1"/>
  <c r="AM72" i="1"/>
  <c r="AN72" i="1"/>
  <c r="AO72" i="1"/>
  <c r="AP72" i="1" s="1"/>
  <c r="L72" i="1"/>
  <c r="D72" i="1"/>
  <c r="O72" i="1"/>
  <c r="M72" i="1"/>
  <c r="R72" i="1"/>
  <c r="P72" i="1"/>
  <c r="U72" i="1"/>
  <c r="S72" i="1"/>
  <c r="I72" i="1"/>
  <c r="V72" i="1"/>
  <c r="K72" i="1"/>
  <c r="F72" i="1"/>
  <c r="N72" i="1"/>
  <c r="Q72" i="1"/>
  <c r="W72" i="1"/>
  <c r="T72" i="1"/>
  <c r="Y72" i="1"/>
  <c r="AC72" i="1" s="1"/>
  <c r="X72" i="1"/>
  <c r="AB72" i="1" s="1"/>
  <c r="AE72" i="1" s="1"/>
  <c r="J72" i="1"/>
  <c r="J71" i="1"/>
  <c r="Z71" i="1"/>
  <c r="AA71" i="1"/>
  <c r="AM71" i="1"/>
  <c r="AN71" i="1"/>
  <c r="AO71" i="1"/>
  <c r="AP71" i="1" s="1"/>
  <c r="L71" i="1"/>
  <c r="D71" i="1"/>
  <c r="O71" i="1"/>
  <c r="M71" i="1"/>
  <c r="R71" i="1"/>
  <c r="P71" i="1"/>
  <c r="U71" i="1"/>
  <c r="S71" i="1"/>
  <c r="I71" i="1"/>
  <c r="V71" i="1"/>
  <c r="K71" i="1"/>
  <c r="F71" i="1"/>
  <c r="X71" i="1"/>
  <c r="AB71" i="1" s="1"/>
  <c r="AE71" i="1" s="1"/>
  <c r="N71" i="1"/>
  <c r="Q71" i="1"/>
  <c r="W71" i="1"/>
  <c r="T71" i="1"/>
  <c r="E71" i="1"/>
  <c r="Y71" i="1"/>
  <c r="AC71" i="1" s="1"/>
  <c r="AD71" i="1" s="1"/>
  <c r="Z70" i="1"/>
  <c r="AA70" i="1"/>
  <c r="AM70" i="1"/>
  <c r="AN70" i="1"/>
  <c r="AO70" i="1"/>
  <c r="AP70" i="1" s="1"/>
  <c r="L70" i="1"/>
  <c r="D70" i="1"/>
  <c r="O70" i="1"/>
  <c r="M70" i="1"/>
  <c r="R70" i="1"/>
  <c r="P70" i="1"/>
  <c r="U70" i="1"/>
  <c r="S70" i="1"/>
  <c r="I70" i="1"/>
  <c r="V70" i="1"/>
  <c r="E70" i="1"/>
  <c r="J70" i="1"/>
  <c r="X70" i="1"/>
  <c r="AB70" i="1" s="1"/>
  <c r="K70" i="1"/>
  <c r="F70" i="1"/>
  <c r="N70" i="1"/>
  <c r="Q70" i="1"/>
  <c r="W70" i="1"/>
  <c r="T70" i="1"/>
  <c r="Y70" i="1"/>
  <c r="AC70" i="1" s="1"/>
  <c r="AD70" i="1" s="1"/>
  <c r="Z69" i="1"/>
  <c r="AA69" i="1"/>
  <c r="AM69" i="1"/>
  <c r="AN69" i="1"/>
  <c r="AO69" i="1"/>
  <c r="AP69" i="1" s="1"/>
  <c r="L69" i="1"/>
  <c r="D69" i="1"/>
  <c r="O69" i="1"/>
  <c r="M69" i="1"/>
  <c r="R69" i="1"/>
  <c r="P69" i="1"/>
  <c r="U69" i="1"/>
  <c r="S69" i="1"/>
  <c r="I69" i="1"/>
  <c r="V69" i="1"/>
  <c r="K69" i="1"/>
  <c r="F69" i="1"/>
  <c r="Q69" i="1"/>
  <c r="N69" i="1"/>
  <c r="W69" i="1"/>
  <c r="T69" i="1"/>
  <c r="J69" i="1"/>
  <c r="Y69" i="1"/>
  <c r="AC69" i="1" s="1"/>
  <c r="X69" i="1"/>
  <c r="AB69" i="1" s="1"/>
  <c r="E69" i="1"/>
  <c r="Z68" i="1"/>
  <c r="AA68" i="1"/>
  <c r="AM68" i="1"/>
  <c r="AN68" i="1"/>
  <c r="AO68" i="1"/>
  <c r="AP68" i="1" s="1"/>
  <c r="L68" i="1"/>
  <c r="D68" i="1"/>
  <c r="O68" i="1"/>
  <c r="M68" i="1"/>
  <c r="R68" i="1"/>
  <c r="P68" i="1"/>
  <c r="U68" i="1"/>
  <c r="S68" i="1"/>
  <c r="I68" i="1"/>
  <c r="V68" i="1"/>
  <c r="K68" i="1"/>
  <c r="F68" i="1"/>
  <c r="J68" i="1"/>
  <c r="N68" i="1"/>
  <c r="Q68" i="1"/>
  <c r="W68" i="1"/>
  <c r="T68" i="1"/>
  <c r="E68" i="1"/>
  <c r="X68" i="1"/>
  <c r="AB68" i="1" s="1"/>
  <c r="Y68" i="1"/>
  <c r="AC68" i="1" s="1"/>
  <c r="AD68" i="1" s="1"/>
  <c r="Y67" i="1"/>
  <c r="Z67" i="1"/>
  <c r="AA67" i="1"/>
  <c r="AM67" i="1"/>
  <c r="AN67" i="1"/>
  <c r="AO67" i="1"/>
  <c r="L67" i="1"/>
  <c r="D67" i="1"/>
  <c r="O67" i="1"/>
  <c r="M67" i="1"/>
  <c r="R67" i="1"/>
  <c r="P67" i="1"/>
  <c r="U67" i="1"/>
  <c r="S67" i="1"/>
  <c r="I67" i="1"/>
  <c r="V67" i="1"/>
  <c r="K67" i="1"/>
  <c r="F67" i="1"/>
  <c r="E67" i="1"/>
  <c r="N67" i="1"/>
  <c r="Q67" i="1"/>
  <c r="W67" i="1"/>
  <c r="T67" i="1"/>
  <c r="J67" i="1"/>
  <c r="X67" i="1"/>
  <c r="AB67" i="1" s="1"/>
  <c r="AE67" i="1" s="1"/>
  <c r="Y66" i="1"/>
  <c r="Z66" i="1"/>
  <c r="AA66" i="1"/>
  <c r="AM66" i="1"/>
  <c r="AN66" i="1"/>
  <c r="AO66" i="1"/>
  <c r="L66" i="1"/>
  <c r="D66" i="1"/>
  <c r="O66" i="1"/>
  <c r="M66" i="1"/>
  <c r="R66" i="1"/>
  <c r="P66" i="1"/>
  <c r="U66" i="1"/>
  <c r="S66" i="1"/>
  <c r="I66" i="1"/>
  <c r="V66" i="1"/>
  <c r="K66" i="1"/>
  <c r="F66" i="1"/>
  <c r="Q66" i="1"/>
  <c r="N66" i="1"/>
  <c r="W66" i="1"/>
  <c r="T66" i="1"/>
  <c r="E66" i="1"/>
  <c r="X66" i="1"/>
  <c r="AB66" i="1" s="1"/>
  <c r="AE66" i="1" s="1"/>
  <c r="J66" i="1"/>
  <c r="X65" i="1"/>
  <c r="Z65" i="1"/>
  <c r="AA65" i="1"/>
  <c r="AM65" i="1"/>
  <c r="AN65" i="1"/>
  <c r="AO65" i="1"/>
  <c r="L65" i="1"/>
  <c r="D65" i="1"/>
  <c r="O65" i="1"/>
  <c r="M65" i="1"/>
  <c r="R65" i="1"/>
  <c r="P65" i="1"/>
  <c r="S65" i="1"/>
  <c r="U65" i="1"/>
  <c r="I65" i="1"/>
  <c r="V65" i="1"/>
  <c r="K65" i="1"/>
  <c r="F65" i="1"/>
  <c r="Y65" i="1"/>
  <c r="AC65" i="1" s="1"/>
  <c r="Q65" i="1"/>
  <c r="N65" i="1"/>
  <c r="W65" i="1"/>
  <c r="T65" i="1"/>
  <c r="E65" i="1"/>
  <c r="J65" i="1"/>
  <c r="X64" i="1"/>
  <c r="Z64" i="1"/>
  <c r="AA64" i="1"/>
  <c r="AM64" i="1"/>
  <c r="AN64" i="1"/>
  <c r="AO64" i="1"/>
  <c r="L64" i="1"/>
  <c r="D64" i="1"/>
  <c r="O64" i="1"/>
  <c r="M64" i="1"/>
  <c r="R64" i="1"/>
  <c r="P64" i="1"/>
  <c r="U64" i="1"/>
  <c r="S64" i="1"/>
  <c r="I64" i="1"/>
  <c r="V64" i="1"/>
  <c r="K64" i="1"/>
  <c r="F64" i="1"/>
  <c r="Y64" i="1"/>
  <c r="AC64" i="1" s="1"/>
  <c r="Q64" i="1"/>
  <c r="N64" i="1"/>
  <c r="W64" i="1"/>
  <c r="T64" i="1"/>
  <c r="J64" i="1"/>
  <c r="E64" i="1"/>
  <c r="Z63" i="1"/>
  <c r="AA63" i="1"/>
  <c r="AM63" i="1"/>
  <c r="AN63" i="1"/>
  <c r="AO63" i="1"/>
  <c r="AP63" i="1" s="1"/>
  <c r="L63" i="1"/>
  <c r="D63" i="1"/>
  <c r="O63" i="1"/>
  <c r="M63" i="1"/>
  <c r="R63" i="1"/>
  <c r="P63" i="1"/>
  <c r="U63" i="1"/>
  <c r="S63" i="1"/>
  <c r="I63" i="1"/>
  <c r="V63" i="1"/>
  <c r="K63" i="1"/>
  <c r="F63" i="1"/>
  <c r="Y63" i="1"/>
  <c r="AC63" i="1" s="1"/>
  <c r="N63" i="1"/>
  <c r="Q63" i="1"/>
  <c r="W63" i="1"/>
  <c r="T63" i="1"/>
  <c r="X63" i="1"/>
  <c r="AB63" i="1" s="1"/>
  <c r="J63" i="1"/>
  <c r="E63" i="1"/>
  <c r="Z62" i="1"/>
  <c r="AA62" i="1"/>
  <c r="AM62" i="1"/>
  <c r="AN62" i="1"/>
  <c r="AO62" i="1"/>
  <c r="L62" i="1"/>
  <c r="D62" i="1"/>
  <c r="O62" i="1"/>
  <c r="M62" i="1"/>
  <c r="R62" i="1"/>
  <c r="P62" i="1"/>
  <c r="U62" i="1"/>
  <c r="S62" i="1"/>
  <c r="I62" i="1"/>
  <c r="V62" i="1"/>
  <c r="K62" i="1"/>
  <c r="F62" i="1"/>
  <c r="Y62" i="1"/>
  <c r="Q62" i="1"/>
  <c r="N62" i="1"/>
  <c r="W62" i="1"/>
  <c r="T62" i="1"/>
  <c r="E62" i="1"/>
  <c r="X62" i="1"/>
  <c r="AB62" i="1" s="1"/>
  <c r="AE62" i="1" s="1"/>
  <c r="J62" i="1"/>
  <c r="Z61" i="1"/>
  <c r="AA61" i="1"/>
  <c r="AM61" i="1"/>
  <c r="AN61" i="1"/>
  <c r="AO61" i="1"/>
  <c r="AP61" i="1" s="1"/>
  <c r="L61" i="1"/>
  <c r="D61" i="1"/>
  <c r="O61" i="1"/>
  <c r="M61" i="1"/>
  <c r="R61" i="1"/>
  <c r="P61" i="1"/>
  <c r="U61" i="1"/>
  <c r="S61" i="1"/>
  <c r="I61" i="1"/>
  <c r="V61" i="1"/>
  <c r="K61" i="1"/>
  <c r="F61" i="1"/>
  <c r="Q61" i="1"/>
  <c r="N61" i="1"/>
  <c r="W61" i="1"/>
  <c r="T61" i="1"/>
  <c r="Y61" i="1"/>
  <c r="AC61" i="1" s="1"/>
  <c r="E61" i="1"/>
  <c r="J61" i="1"/>
  <c r="X61" i="1"/>
  <c r="AB61" i="1" s="1"/>
  <c r="AE61" i="1" s="1"/>
  <c r="J60" i="1"/>
  <c r="Z60" i="1"/>
  <c r="AA60" i="1"/>
  <c r="AM60" i="1"/>
  <c r="AN60" i="1"/>
  <c r="AO60" i="1"/>
  <c r="AP60" i="1" s="1"/>
  <c r="L60" i="1"/>
  <c r="D60" i="1"/>
  <c r="O60" i="1"/>
  <c r="M60" i="1"/>
  <c r="R60" i="1"/>
  <c r="P60" i="1"/>
  <c r="U60" i="1"/>
  <c r="S60" i="1"/>
  <c r="I60" i="1"/>
  <c r="V60" i="1"/>
  <c r="K60" i="1"/>
  <c r="F60" i="1"/>
  <c r="Q60" i="1"/>
  <c r="N60" i="1"/>
  <c r="W60" i="1"/>
  <c r="T60" i="1"/>
  <c r="Y60" i="1"/>
  <c r="AC60" i="1" s="1"/>
  <c r="E60" i="1"/>
  <c r="X60" i="1"/>
  <c r="AB60" i="1" s="1"/>
  <c r="AE60" i="1" s="1"/>
  <c r="E59" i="1"/>
  <c r="X59" i="1"/>
  <c r="Z59" i="1"/>
  <c r="AA59" i="1"/>
  <c r="AM59" i="1"/>
  <c r="AN59" i="1"/>
  <c r="AO59" i="1"/>
  <c r="AP59" i="1" s="1"/>
  <c r="L59" i="1"/>
  <c r="D59" i="1"/>
  <c r="O59" i="1"/>
  <c r="M59" i="1"/>
  <c r="R59" i="1"/>
  <c r="P59" i="1"/>
  <c r="U59" i="1"/>
  <c r="S59" i="1"/>
  <c r="I59" i="1"/>
  <c r="V59" i="1"/>
  <c r="K59" i="1"/>
  <c r="F59" i="1"/>
  <c r="J59" i="1"/>
  <c r="Q59" i="1"/>
  <c r="N59" i="1"/>
  <c r="W59" i="1"/>
  <c r="T59" i="1"/>
  <c r="Y59" i="1"/>
  <c r="Z58" i="1"/>
  <c r="AA58" i="1"/>
  <c r="AM58" i="1"/>
  <c r="AN58" i="1"/>
  <c r="AO58" i="1"/>
  <c r="L58" i="1"/>
  <c r="D58" i="1"/>
  <c r="O58" i="1"/>
  <c r="M58" i="1"/>
  <c r="R58" i="1"/>
  <c r="P58" i="1"/>
  <c r="U58" i="1"/>
  <c r="S58" i="1"/>
  <c r="I58" i="1"/>
  <c r="V58" i="1"/>
  <c r="K58" i="1"/>
  <c r="F58" i="1"/>
  <c r="Q58" i="1"/>
  <c r="N58" i="1"/>
  <c r="W58" i="1"/>
  <c r="T58" i="1"/>
  <c r="X58" i="1"/>
  <c r="Y58" i="1"/>
  <c r="E58" i="1"/>
  <c r="J58" i="1"/>
  <c r="Z57" i="1"/>
  <c r="AA57" i="1"/>
  <c r="AM57" i="1"/>
  <c r="AN57" i="1"/>
  <c r="AO57" i="1"/>
  <c r="AP57" i="1" s="1"/>
  <c r="L57" i="1"/>
  <c r="D57" i="1"/>
  <c r="O57" i="1"/>
  <c r="M57" i="1"/>
  <c r="R57" i="1"/>
  <c r="P57" i="1"/>
  <c r="U57" i="1"/>
  <c r="S57" i="1"/>
  <c r="I57" i="1"/>
  <c r="V57" i="1"/>
  <c r="K57" i="1"/>
  <c r="F57" i="1"/>
  <c r="Q57" i="1"/>
  <c r="N57" i="1"/>
  <c r="W57" i="1"/>
  <c r="T57" i="1"/>
  <c r="X57" i="1"/>
  <c r="AB57" i="1" s="1"/>
  <c r="J57" i="1"/>
  <c r="E57" i="1"/>
  <c r="Y57" i="1"/>
  <c r="AC57" i="1" s="1"/>
  <c r="AD57" i="1" s="1"/>
  <c r="J56" i="1"/>
  <c r="Z56" i="1"/>
  <c r="AA56" i="1"/>
  <c r="AM56" i="1"/>
  <c r="AN56" i="1"/>
  <c r="AO56" i="1"/>
  <c r="AP56" i="1" s="1"/>
  <c r="L56" i="1"/>
  <c r="D56" i="1"/>
  <c r="O56" i="1"/>
  <c r="M56" i="1"/>
  <c r="R56" i="1"/>
  <c r="P56" i="1"/>
  <c r="U56" i="1"/>
  <c r="S56" i="1"/>
  <c r="I56" i="1"/>
  <c r="V56" i="1"/>
  <c r="K56" i="1"/>
  <c r="F56" i="1"/>
  <c r="Q56" i="1"/>
  <c r="N56" i="1"/>
  <c r="W56" i="1"/>
  <c r="T56" i="1"/>
  <c r="E56" i="1"/>
  <c r="X56" i="1"/>
  <c r="AB56" i="1" s="1"/>
  <c r="Y56" i="1"/>
  <c r="AC56" i="1" s="1"/>
  <c r="Y55" i="1"/>
  <c r="Z55" i="1"/>
  <c r="AA55" i="1"/>
  <c r="AM55" i="1"/>
  <c r="AN55" i="1"/>
  <c r="AO55" i="1"/>
  <c r="L55" i="1"/>
  <c r="D55" i="1"/>
  <c r="O55" i="1"/>
  <c r="M55" i="1"/>
  <c r="R55" i="1"/>
  <c r="P55" i="1"/>
  <c r="U55" i="1"/>
  <c r="S55" i="1"/>
  <c r="I55" i="1"/>
  <c r="V55" i="1"/>
  <c r="J55" i="1"/>
  <c r="K55" i="1"/>
  <c r="F55" i="1"/>
  <c r="Q55" i="1"/>
  <c r="N55" i="1"/>
  <c r="W55" i="1"/>
  <c r="T55" i="1"/>
  <c r="E55" i="1"/>
  <c r="X55" i="1"/>
  <c r="AB55" i="1" s="1"/>
  <c r="AE55" i="1" s="1"/>
  <c r="Y54" i="1"/>
  <c r="Z54" i="1"/>
  <c r="AA54" i="1"/>
  <c r="AM54" i="1"/>
  <c r="AN54" i="1"/>
  <c r="AO54" i="1"/>
  <c r="L54" i="1"/>
  <c r="D54" i="1"/>
  <c r="O54" i="1"/>
  <c r="M54" i="1"/>
  <c r="R54" i="1"/>
  <c r="P54" i="1"/>
  <c r="U54" i="1"/>
  <c r="S54" i="1"/>
  <c r="I54" i="1"/>
  <c r="V54" i="1"/>
  <c r="J54" i="1"/>
  <c r="K54" i="1"/>
  <c r="F54" i="1"/>
  <c r="Q54" i="1"/>
  <c r="N54" i="1"/>
  <c r="W54" i="1"/>
  <c r="T54" i="1"/>
  <c r="E54" i="1"/>
  <c r="X54" i="1"/>
  <c r="AB54" i="1" s="1"/>
  <c r="AE54" i="1" s="1"/>
  <c r="Y53" i="1"/>
  <c r="Z53" i="1"/>
  <c r="AA53" i="1"/>
  <c r="AM53" i="1"/>
  <c r="AN53" i="1"/>
  <c r="AO53" i="1"/>
  <c r="L53" i="1"/>
  <c r="D53" i="1"/>
  <c r="O53" i="1"/>
  <c r="M53" i="1"/>
  <c r="R53" i="1"/>
  <c r="P53" i="1"/>
  <c r="U53" i="1"/>
  <c r="S53" i="1"/>
  <c r="I53" i="1"/>
  <c r="V53" i="1"/>
  <c r="X53" i="1"/>
  <c r="AB53" i="1" s="1"/>
  <c r="K53" i="1"/>
  <c r="F53" i="1"/>
  <c r="N53" i="1"/>
  <c r="Q53" i="1"/>
  <c r="W53" i="1"/>
  <c r="T53" i="1"/>
  <c r="J53" i="1"/>
  <c r="E53" i="1"/>
  <c r="X52" i="1"/>
  <c r="Y52" i="1"/>
  <c r="Z52" i="1"/>
  <c r="AA52" i="1"/>
  <c r="AM52" i="1"/>
  <c r="AN52" i="1"/>
  <c r="AO52" i="1"/>
  <c r="L52" i="1"/>
  <c r="D52" i="1"/>
  <c r="O52" i="1"/>
  <c r="M52" i="1"/>
  <c r="R52" i="1"/>
  <c r="P52" i="1"/>
  <c r="U52" i="1"/>
  <c r="S52" i="1"/>
  <c r="I52" i="1"/>
  <c r="V52" i="1"/>
  <c r="K52" i="1"/>
  <c r="F52" i="1"/>
  <c r="Q52" i="1"/>
  <c r="N52" i="1"/>
  <c r="W52" i="1"/>
  <c r="T52" i="1"/>
  <c r="E52" i="1"/>
  <c r="J52" i="1"/>
  <c r="Y51" i="1"/>
  <c r="Z51" i="1"/>
  <c r="AA51" i="1"/>
  <c r="AM51" i="1"/>
  <c r="AN51" i="1"/>
  <c r="AO51" i="1"/>
  <c r="L51" i="1"/>
  <c r="D51" i="1"/>
  <c r="O51" i="1"/>
  <c r="M51" i="1"/>
  <c r="R51" i="1"/>
  <c r="P51" i="1"/>
  <c r="V51" i="1"/>
  <c r="S51" i="1"/>
  <c r="I51" i="1"/>
  <c r="U51" i="1"/>
  <c r="X51" i="1"/>
  <c r="K51" i="1"/>
  <c r="F51" i="1"/>
  <c r="N51" i="1"/>
  <c r="Q51" i="1"/>
  <c r="W51" i="1"/>
  <c r="T51" i="1"/>
  <c r="J51" i="1"/>
  <c r="E51" i="1"/>
  <c r="E50" i="1"/>
  <c r="X50" i="1"/>
  <c r="Y50" i="1"/>
  <c r="Z50" i="1"/>
  <c r="AA50" i="1"/>
  <c r="AM50" i="1"/>
  <c r="AN50" i="1"/>
  <c r="AO50" i="1"/>
  <c r="AP50" i="1" s="1"/>
  <c r="L50" i="1"/>
  <c r="D50" i="1"/>
  <c r="O50" i="1"/>
  <c r="M50" i="1"/>
  <c r="R50" i="1"/>
  <c r="P50" i="1"/>
  <c r="U50" i="1"/>
  <c r="S50" i="1"/>
  <c r="I50" i="1"/>
  <c r="V50" i="1"/>
  <c r="K50" i="1"/>
  <c r="F50" i="1"/>
  <c r="N50" i="1"/>
  <c r="Q50" i="1"/>
  <c r="W50" i="1"/>
  <c r="T50" i="1"/>
  <c r="J50" i="1"/>
  <c r="Z49" i="1"/>
  <c r="AA49" i="1"/>
  <c r="AM49" i="1"/>
  <c r="AN49" i="1"/>
  <c r="AO49" i="1"/>
  <c r="L49" i="1"/>
  <c r="D49" i="1"/>
  <c r="O49" i="1"/>
  <c r="M49" i="1"/>
  <c r="R49" i="1"/>
  <c r="P49" i="1"/>
  <c r="U49" i="1"/>
  <c r="S49" i="1"/>
  <c r="I49" i="1"/>
  <c r="V49" i="1"/>
  <c r="K49" i="1"/>
  <c r="F49" i="1"/>
  <c r="Q49" i="1"/>
  <c r="N49" i="1"/>
  <c r="W49" i="1"/>
  <c r="T49" i="1"/>
  <c r="J49" i="1"/>
  <c r="Y49" i="1"/>
  <c r="E49" i="1"/>
  <c r="X49" i="1"/>
  <c r="AB49" i="1" s="1"/>
  <c r="X48" i="1"/>
  <c r="Y48" i="1"/>
  <c r="Z48" i="1"/>
  <c r="AA48" i="1"/>
  <c r="AM48" i="1"/>
  <c r="AN48" i="1"/>
  <c r="AO48" i="1"/>
  <c r="L48" i="1"/>
  <c r="D48" i="1"/>
  <c r="O48" i="1"/>
  <c r="M48" i="1"/>
  <c r="P48" i="1"/>
  <c r="R48" i="1"/>
  <c r="U48" i="1"/>
  <c r="S48" i="1"/>
  <c r="I48" i="1"/>
  <c r="V48" i="1"/>
  <c r="K48" i="1"/>
  <c r="F48" i="1"/>
  <c r="T48" i="1"/>
  <c r="Q48" i="1"/>
  <c r="N48" i="1"/>
  <c r="W48" i="1"/>
  <c r="J48" i="1"/>
  <c r="E48" i="1"/>
  <c r="Y47" i="1"/>
  <c r="Z47" i="1"/>
  <c r="AA47" i="1"/>
  <c r="AM47" i="1"/>
  <c r="AN47" i="1"/>
  <c r="AO47" i="1"/>
  <c r="L47" i="1"/>
  <c r="D47" i="1"/>
  <c r="O47" i="1"/>
  <c r="M47" i="1"/>
  <c r="R47" i="1"/>
  <c r="P47" i="1"/>
  <c r="U47" i="1"/>
  <c r="S47" i="1"/>
  <c r="I47" i="1"/>
  <c r="V47" i="1"/>
  <c r="E47" i="1"/>
  <c r="K47" i="1"/>
  <c r="F47" i="1"/>
  <c r="T47" i="1"/>
  <c r="Q47" i="1"/>
  <c r="N47" i="1"/>
  <c r="W47" i="1"/>
  <c r="J47" i="1"/>
  <c r="X47" i="1"/>
  <c r="Y122" i="1"/>
  <c r="Z122" i="1"/>
  <c r="AA122" i="1"/>
  <c r="AM122" i="1"/>
  <c r="AN122" i="1"/>
  <c r="AO122" i="1"/>
  <c r="AP122" i="1" s="1"/>
  <c r="L122" i="1"/>
  <c r="D122" i="1"/>
  <c r="O122" i="1"/>
  <c r="M122" i="1"/>
  <c r="R122" i="1"/>
  <c r="P122" i="1"/>
  <c r="U122" i="1"/>
  <c r="S122" i="1"/>
  <c r="I122" i="1"/>
  <c r="V122" i="1"/>
  <c r="K122" i="1"/>
  <c r="F122" i="1"/>
  <c r="Q122" i="1"/>
  <c r="N122" i="1"/>
  <c r="W122" i="1"/>
  <c r="T122" i="1"/>
  <c r="X122" i="1"/>
  <c r="E122" i="1"/>
  <c r="J122" i="1"/>
  <c r="Y121" i="1"/>
  <c r="Z121" i="1"/>
  <c r="AA121" i="1"/>
  <c r="AM121" i="1"/>
  <c r="AN121" i="1"/>
  <c r="AO121" i="1"/>
  <c r="L121" i="1"/>
  <c r="D121" i="1"/>
  <c r="O121" i="1"/>
  <c r="M121" i="1"/>
  <c r="R121" i="1"/>
  <c r="P121" i="1"/>
  <c r="U121" i="1"/>
  <c r="S121" i="1"/>
  <c r="I121" i="1"/>
  <c r="V121" i="1"/>
  <c r="E121" i="1"/>
  <c r="X121" i="1"/>
  <c r="K121" i="1"/>
  <c r="F121" i="1"/>
  <c r="Q121" i="1"/>
  <c r="N121" i="1"/>
  <c r="W121" i="1"/>
  <c r="T121" i="1"/>
  <c r="J121" i="1"/>
  <c r="E120" i="1"/>
  <c r="Y120" i="1"/>
  <c r="Z120" i="1"/>
  <c r="AA120" i="1"/>
  <c r="AM120" i="1"/>
  <c r="AN120" i="1"/>
  <c r="AO120" i="1"/>
  <c r="AP120" i="1" s="1"/>
  <c r="L120" i="1"/>
  <c r="D120" i="1"/>
  <c r="O120" i="1"/>
  <c r="M120" i="1"/>
  <c r="R120" i="1"/>
  <c r="P120" i="1"/>
  <c r="U120" i="1"/>
  <c r="S120" i="1"/>
  <c r="I120" i="1"/>
  <c r="V120" i="1"/>
  <c r="K120" i="1"/>
  <c r="J120" i="1"/>
  <c r="F120" i="1"/>
  <c r="Q120" i="1"/>
  <c r="N120" i="1"/>
  <c r="W120" i="1"/>
  <c r="T120" i="1"/>
  <c r="X120" i="1"/>
  <c r="AB120" i="1" s="1"/>
  <c r="AE120" i="1" s="1"/>
  <c r="Y119" i="1"/>
  <c r="Z119" i="1"/>
  <c r="AA119" i="1"/>
  <c r="AM119" i="1"/>
  <c r="AN119" i="1"/>
  <c r="AO119" i="1"/>
  <c r="AP119" i="1" s="1"/>
  <c r="L119" i="1"/>
  <c r="D119" i="1"/>
  <c r="O119" i="1"/>
  <c r="M119" i="1"/>
  <c r="R119" i="1"/>
  <c r="P119" i="1"/>
  <c r="U119" i="1"/>
  <c r="S119" i="1"/>
  <c r="I119" i="1"/>
  <c r="V119" i="1"/>
  <c r="K119" i="1"/>
  <c r="F119" i="1"/>
  <c r="Q119" i="1"/>
  <c r="N119" i="1"/>
  <c r="W119" i="1"/>
  <c r="T119" i="1"/>
  <c r="E119" i="1"/>
  <c r="J119" i="1"/>
  <c r="X119" i="1"/>
  <c r="AB119" i="1" s="1"/>
  <c r="AE119" i="1" s="1"/>
  <c r="E118" i="1"/>
  <c r="Y118" i="1"/>
  <c r="Z118" i="1"/>
  <c r="AA118" i="1"/>
  <c r="AM118" i="1"/>
  <c r="AN118" i="1"/>
  <c r="AO118" i="1"/>
  <c r="AP118" i="1" s="1"/>
  <c r="L118" i="1"/>
  <c r="D118" i="1"/>
  <c r="O118" i="1"/>
  <c r="M118" i="1"/>
  <c r="R118" i="1"/>
  <c r="P118" i="1"/>
  <c r="U118" i="1"/>
  <c r="S118" i="1"/>
  <c r="I118" i="1"/>
  <c r="V118" i="1"/>
  <c r="X118" i="1"/>
  <c r="AB118" i="1" s="1"/>
  <c r="K118" i="1"/>
  <c r="F118" i="1"/>
  <c r="Q118" i="1"/>
  <c r="N118" i="1"/>
  <c r="W118" i="1"/>
  <c r="T118" i="1"/>
  <c r="J118" i="1"/>
  <c r="E117" i="1"/>
  <c r="J117" i="1"/>
  <c r="Z117" i="1"/>
  <c r="AA117" i="1"/>
  <c r="AM117" i="1"/>
  <c r="AN117" i="1"/>
  <c r="AO117" i="1"/>
  <c r="AP117" i="1" s="1"/>
  <c r="L117" i="1"/>
  <c r="D117" i="1"/>
  <c r="O117" i="1"/>
  <c r="P117" i="1"/>
  <c r="M117" i="1"/>
  <c r="S117" i="1"/>
  <c r="R117" i="1"/>
  <c r="V117" i="1"/>
  <c r="U117" i="1"/>
  <c r="F117" i="1"/>
  <c r="I117" i="1"/>
  <c r="K117" i="1"/>
  <c r="Q117" i="1"/>
  <c r="N117" i="1"/>
  <c r="W117" i="1"/>
  <c r="T117" i="1"/>
  <c r="X117" i="1"/>
  <c r="AB117" i="1" s="1"/>
  <c r="AE117" i="1" s="1"/>
  <c r="Y117" i="1"/>
  <c r="AC117" i="1" s="1"/>
  <c r="X116" i="1"/>
  <c r="Z116" i="1"/>
  <c r="AA116" i="1"/>
  <c r="AM116" i="1"/>
  <c r="AN116" i="1"/>
  <c r="AO116" i="1"/>
  <c r="AP116" i="1" s="1"/>
  <c r="L116" i="1"/>
  <c r="D116" i="1"/>
  <c r="O116" i="1"/>
  <c r="M116" i="1"/>
  <c r="R116" i="1"/>
  <c r="P116" i="1"/>
  <c r="U116" i="1"/>
  <c r="S116" i="1"/>
  <c r="I116" i="1"/>
  <c r="V116" i="1"/>
  <c r="K116" i="1"/>
  <c r="F116" i="1"/>
  <c r="Q116" i="1"/>
  <c r="N116" i="1"/>
  <c r="W116" i="1"/>
  <c r="T116" i="1"/>
  <c r="J116" i="1"/>
  <c r="E116" i="1"/>
  <c r="Y116" i="1"/>
  <c r="AC116" i="1" s="1"/>
  <c r="Y115" i="1"/>
  <c r="Z115" i="1"/>
  <c r="AA115" i="1"/>
  <c r="AM115" i="1"/>
  <c r="AN115" i="1"/>
  <c r="AO115" i="1"/>
  <c r="AP115" i="1" s="1"/>
  <c r="L115" i="1"/>
  <c r="D115" i="1"/>
  <c r="O115" i="1"/>
  <c r="M115" i="1"/>
  <c r="R115" i="1"/>
  <c r="P115" i="1"/>
  <c r="U115" i="1"/>
  <c r="S115" i="1"/>
  <c r="I115" i="1"/>
  <c r="V115" i="1"/>
  <c r="K115" i="1"/>
  <c r="F115" i="1"/>
  <c r="Q115" i="1"/>
  <c r="N115" i="1"/>
  <c r="W115" i="1"/>
  <c r="T115" i="1"/>
  <c r="X115" i="1"/>
  <c r="AB115" i="1" s="1"/>
  <c r="E115" i="1"/>
  <c r="J115" i="1"/>
  <c r="Y114" i="1"/>
  <c r="Z114" i="1"/>
  <c r="AA114" i="1"/>
  <c r="AM114" i="1"/>
  <c r="AN114" i="1"/>
  <c r="AO114" i="1"/>
  <c r="AP114" i="1" s="1"/>
  <c r="L114" i="1"/>
  <c r="D114" i="1"/>
  <c r="O114" i="1"/>
  <c r="M114" i="1"/>
  <c r="R114" i="1"/>
  <c r="P114" i="1"/>
  <c r="U114" i="1"/>
  <c r="S114" i="1"/>
  <c r="I114" i="1"/>
  <c r="V114" i="1"/>
  <c r="J114" i="1"/>
  <c r="K114" i="1"/>
  <c r="F114" i="1"/>
  <c r="Q114" i="1"/>
  <c r="N114" i="1"/>
  <c r="W114" i="1"/>
  <c r="T114" i="1"/>
  <c r="E114" i="1"/>
  <c r="X114" i="1"/>
  <c r="AB114" i="1" s="1"/>
  <c r="AE114" i="1" s="1"/>
  <c r="Y113" i="1"/>
  <c r="X113" i="1"/>
  <c r="Z113" i="1"/>
  <c r="AA113" i="1"/>
  <c r="AM113" i="1"/>
  <c r="AN113" i="1"/>
  <c r="AO113" i="1"/>
  <c r="AP113" i="1" s="1"/>
  <c r="L113" i="1"/>
  <c r="D113" i="1"/>
  <c r="O113" i="1"/>
  <c r="M113" i="1"/>
  <c r="R113" i="1"/>
  <c r="P113" i="1"/>
  <c r="U113" i="1"/>
  <c r="S113" i="1"/>
  <c r="I113" i="1"/>
  <c r="V113" i="1"/>
  <c r="K113" i="1"/>
  <c r="F113" i="1"/>
  <c r="Q113" i="1"/>
  <c r="N113" i="1"/>
  <c r="W113" i="1"/>
  <c r="T113" i="1"/>
  <c r="E113" i="1"/>
  <c r="J113" i="1"/>
  <c r="J112" i="1"/>
  <c r="X112" i="1"/>
  <c r="Z112" i="1"/>
  <c r="AA112" i="1"/>
  <c r="AM112" i="1"/>
  <c r="AN112" i="1"/>
  <c r="AO112" i="1"/>
  <c r="AP112" i="1" s="1"/>
  <c r="L112" i="1"/>
  <c r="E112" i="1"/>
  <c r="O112" i="1"/>
  <c r="M112" i="1"/>
  <c r="R112" i="1"/>
  <c r="P112" i="1"/>
  <c r="U112" i="1"/>
  <c r="S112" i="1"/>
  <c r="I112" i="1"/>
  <c r="V112" i="1"/>
  <c r="Y112" i="1"/>
  <c r="K112" i="1"/>
  <c r="F112" i="1"/>
  <c r="Q112" i="1"/>
  <c r="N112" i="1"/>
  <c r="W112" i="1"/>
  <c r="T112" i="1"/>
  <c r="D112" i="1"/>
  <c r="Z110" i="1"/>
  <c r="AA110" i="1"/>
  <c r="AM110" i="1"/>
  <c r="AN110" i="1"/>
  <c r="AO110" i="1"/>
  <c r="AP110" i="1" s="1"/>
  <c r="L110" i="1"/>
  <c r="D110" i="1"/>
  <c r="O110" i="1"/>
  <c r="M110" i="1"/>
  <c r="R110" i="1"/>
  <c r="P110" i="1"/>
  <c r="U110" i="1"/>
  <c r="S110" i="1"/>
  <c r="I110" i="1"/>
  <c r="V110" i="1"/>
  <c r="Y110" i="1"/>
  <c r="AC110" i="1" s="1"/>
  <c r="K110" i="1"/>
  <c r="F110" i="1"/>
  <c r="Q110" i="1"/>
  <c r="N110" i="1"/>
  <c r="W110" i="1"/>
  <c r="T110" i="1"/>
  <c r="J110" i="1"/>
  <c r="E110" i="1"/>
  <c r="X110" i="1"/>
  <c r="AB110" i="1" s="1"/>
  <c r="AE110" i="1" s="1"/>
  <c r="J108" i="1"/>
  <c r="Z108" i="1"/>
  <c r="AA108" i="1"/>
  <c r="AM108" i="1"/>
  <c r="AN108" i="1"/>
  <c r="AO108" i="1"/>
  <c r="AP108" i="1" s="1"/>
  <c r="L108" i="1"/>
  <c r="D108" i="1"/>
  <c r="O108" i="1"/>
  <c r="M108" i="1"/>
  <c r="R108" i="1"/>
  <c r="P108" i="1"/>
  <c r="U108" i="1"/>
  <c r="S108" i="1"/>
  <c r="I108" i="1"/>
  <c r="V108" i="1"/>
  <c r="Y108" i="1"/>
  <c r="K108" i="1"/>
  <c r="F108" i="1"/>
  <c r="Q108" i="1"/>
  <c r="N108" i="1"/>
  <c r="W108" i="1"/>
  <c r="T108" i="1"/>
  <c r="E108" i="1"/>
  <c r="X108" i="1"/>
  <c r="AB108" i="1" s="1"/>
  <c r="AE108" i="1" s="1"/>
  <c r="Y126" i="1"/>
  <c r="Z126" i="1"/>
  <c r="AA126" i="1"/>
  <c r="AM126" i="1"/>
  <c r="AN126" i="1"/>
  <c r="AO126" i="1"/>
  <c r="AP126" i="1" s="1"/>
  <c r="L126" i="1"/>
  <c r="X126" i="1"/>
  <c r="AB126" i="1" s="1"/>
  <c r="O126" i="1"/>
  <c r="P126" i="1"/>
  <c r="M126" i="1"/>
  <c r="S126" i="1"/>
  <c r="R126" i="1"/>
  <c r="U126" i="1"/>
  <c r="V126" i="1"/>
  <c r="F126" i="1"/>
  <c r="I126" i="1"/>
  <c r="D126" i="1"/>
  <c r="K126" i="1"/>
  <c r="Q126" i="1"/>
  <c r="N126" i="1"/>
  <c r="W126" i="1"/>
  <c r="T126" i="1"/>
  <c r="J126" i="1"/>
  <c r="E126" i="1"/>
  <c r="C9" i="4"/>
  <c r="D8" i="4"/>
  <c r="D365" i="1"/>
  <c r="E365" i="1"/>
  <c r="F365" i="1"/>
  <c r="I365" i="1"/>
  <c r="J365" i="1"/>
  <c r="K365" i="1"/>
  <c r="L365" i="1"/>
  <c r="M365" i="1"/>
  <c r="Q365" i="1"/>
  <c r="N365" i="1"/>
  <c r="O365" i="1"/>
  <c r="P365" i="1"/>
  <c r="R365" i="1"/>
  <c r="S365" i="1"/>
  <c r="T365" i="1"/>
  <c r="U365" i="1"/>
  <c r="V365" i="1"/>
  <c r="W365" i="1"/>
  <c r="X365" i="1"/>
  <c r="Y365" i="1"/>
  <c r="Z365" i="1"/>
  <c r="AA365" i="1"/>
  <c r="AO365" i="1"/>
  <c r="AM365" i="1"/>
  <c r="AN365" i="1"/>
  <c r="D364" i="1"/>
  <c r="E364" i="1"/>
  <c r="F364" i="1"/>
  <c r="I364" i="1"/>
  <c r="J364" i="1"/>
  <c r="Q364" i="1"/>
  <c r="K364" i="1"/>
  <c r="L364" i="1"/>
  <c r="M364" i="1"/>
  <c r="N364" i="1"/>
  <c r="O364" i="1"/>
  <c r="P364" i="1"/>
  <c r="R364" i="1"/>
  <c r="S364" i="1"/>
  <c r="T364" i="1"/>
  <c r="W364" i="1"/>
  <c r="U364" i="1"/>
  <c r="V364" i="1"/>
  <c r="X364" i="1"/>
  <c r="Y364" i="1"/>
  <c r="Z364" i="1"/>
  <c r="AA364" i="1"/>
  <c r="AM364" i="1"/>
  <c r="AN364" i="1"/>
  <c r="AO364" i="1"/>
  <c r="AP364" i="1" s="1"/>
  <c r="D363" i="1"/>
  <c r="E363" i="1"/>
  <c r="F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W363" i="1"/>
  <c r="U363" i="1"/>
  <c r="V363" i="1"/>
  <c r="X363" i="1"/>
  <c r="Y363" i="1"/>
  <c r="Z363" i="1"/>
  <c r="AA363" i="1"/>
  <c r="AO363" i="1"/>
  <c r="AM363" i="1"/>
  <c r="AN363" i="1"/>
  <c r="D362" i="1"/>
  <c r="E362" i="1"/>
  <c r="F362" i="1"/>
  <c r="I362" i="1"/>
  <c r="J362" i="1"/>
  <c r="K362" i="1"/>
  <c r="L362" i="1"/>
  <c r="M362" i="1"/>
  <c r="Q362" i="1"/>
  <c r="N362" i="1"/>
  <c r="O362" i="1"/>
  <c r="P362" i="1"/>
  <c r="R362" i="1"/>
  <c r="S362" i="1"/>
  <c r="T362" i="1"/>
  <c r="U362" i="1"/>
  <c r="V362" i="1"/>
  <c r="W362" i="1"/>
  <c r="X362" i="1"/>
  <c r="Y362" i="1"/>
  <c r="Z362" i="1"/>
  <c r="AA362" i="1"/>
  <c r="AM362" i="1"/>
  <c r="AN362" i="1"/>
  <c r="AO362" i="1"/>
  <c r="D361" i="1"/>
  <c r="E361" i="1"/>
  <c r="F361" i="1"/>
  <c r="I361" i="1"/>
  <c r="J361" i="1"/>
  <c r="Q361" i="1"/>
  <c r="K361" i="1"/>
  <c r="L361" i="1"/>
  <c r="M361" i="1"/>
  <c r="N361" i="1"/>
  <c r="O361" i="1"/>
  <c r="P361" i="1"/>
  <c r="R361" i="1"/>
  <c r="S361" i="1"/>
  <c r="T361" i="1"/>
  <c r="W361" i="1"/>
  <c r="U361" i="1"/>
  <c r="V361" i="1"/>
  <c r="X361" i="1"/>
  <c r="Y361" i="1"/>
  <c r="Z361" i="1"/>
  <c r="AA361" i="1"/>
  <c r="AO361" i="1"/>
  <c r="AM361" i="1"/>
  <c r="AN361" i="1"/>
  <c r="D360" i="1"/>
  <c r="E360" i="1"/>
  <c r="F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M360" i="1"/>
  <c r="AN360" i="1"/>
  <c r="AO360" i="1"/>
  <c r="AP360" i="1" s="1"/>
  <c r="D359" i="1"/>
  <c r="E359" i="1"/>
  <c r="F359" i="1"/>
  <c r="I359" i="1"/>
  <c r="J359" i="1"/>
  <c r="K359" i="1"/>
  <c r="L359" i="1"/>
  <c r="M359" i="1"/>
  <c r="Q359" i="1"/>
  <c r="N359" i="1"/>
  <c r="O359" i="1"/>
  <c r="P359" i="1"/>
  <c r="R359" i="1"/>
  <c r="S359" i="1"/>
  <c r="T359" i="1"/>
  <c r="W359" i="1"/>
  <c r="U359" i="1"/>
  <c r="V359" i="1"/>
  <c r="X359" i="1"/>
  <c r="Y359" i="1"/>
  <c r="Z359" i="1"/>
  <c r="AA359" i="1"/>
  <c r="AO359" i="1"/>
  <c r="AM359" i="1"/>
  <c r="AN359" i="1"/>
  <c r="D358" i="1"/>
  <c r="E358" i="1"/>
  <c r="F358" i="1"/>
  <c r="I358" i="1"/>
  <c r="J358" i="1"/>
  <c r="Q358" i="1"/>
  <c r="K358" i="1"/>
  <c r="L358" i="1"/>
  <c r="M358" i="1"/>
  <c r="N358" i="1"/>
  <c r="O358" i="1"/>
  <c r="P358" i="1"/>
  <c r="R358" i="1"/>
  <c r="S358" i="1"/>
  <c r="T358" i="1"/>
  <c r="U358" i="1"/>
  <c r="V358" i="1"/>
  <c r="W358" i="1"/>
  <c r="X358" i="1"/>
  <c r="Y358" i="1"/>
  <c r="Z358" i="1"/>
  <c r="AA358" i="1"/>
  <c r="AM358" i="1"/>
  <c r="AN358" i="1"/>
  <c r="AO358" i="1"/>
  <c r="AP358" i="1" s="1"/>
  <c r="D357" i="1"/>
  <c r="E357" i="1"/>
  <c r="F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W357" i="1"/>
  <c r="U357" i="1"/>
  <c r="V357" i="1"/>
  <c r="X357" i="1"/>
  <c r="Y357" i="1"/>
  <c r="Z357" i="1"/>
  <c r="AA357" i="1"/>
  <c r="AM357" i="1"/>
  <c r="AN357" i="1"/>
  <c r="AO357" i="1"/>
  <c r="D356" i="1"/>
  <c r="E356" i="1"/>
  <c r="F356" i="1"/>
  <c r="I356" i="1"/>
  <c r="J356" i="1"/>
  <c r="K356" i="1"/>
  <c r="L356" i="1"/>
  <c r="M356" i="1"/>
  <c r="Q356" i="1"/>
  <c r="N356" i="1"/>
  <c r="O356" i="1"/>
  <c r="P356" i="1"/>
  <c r="R356" i="1"/>
  <c r="S356" i="1"/>
  <c r="T356" i="1"/>
  <c r="U356" i="1"/>
  <c r="V356" i="1"/>
  <c r="W356" i="1"/>
  <c r="X356" i="1"/>
  <c r="Y356" i="1"/>
  <c r="Z356" i="1"/>
  <c r="AA356" i="1"/>
  <c r="AM356" i="1"/>
  <c r="AN356" i="1"/>
  <c r="AO356" i="1"/>
  <c r="AP356" i="1" s="1"/>
  <c r="D355" i="1"/>
  <c r="E355" i="1"/>
  <c r="F355" i="1"/>
  <c r="I355" i="1"/>
  <c r="J355" i="1"/>
  <c r="Q355" i="1"/>
  <c r="K355" i="1"/>
  <c r="L355" i="1"/>
  <c r="M355" i="1"/>
  <c r="N355" i="1"/>
  <c r="O355" i="1"/>
  <c r="P355" i="1"/>
  <c r="R355" i="1"/>
  <c r="S355" i="1"/>
  <c r="T355" i="1"/>
  <c r="W355" i="1"/>
  <c r="U355" i="1"/>
  <c r="V355" i="1"/>
  <c r="X355" i="1"/>
  <c r="Y355" i="1"/>
  <c r="Z355" i="1"/>
  <c r="AA355" i="1"/>
  <c r="AM355" i="1"/>
  <c r="AO355" i="1"/>
  <c r="AN355" i="1"/>
  <c r="D354" i="1"/>
  <c r="E354" i="1"/>
  <c r="F354" i="1"/>
  <c r="I354" i="1"/>
  <c r="J354" i="1"/>
  <c r="K354" i="1"/>
  <c r="L354" i="1"/>
  <c r="M354" i="1"/>
  <c r="Q354" i="1"/>
  <c r="N354" i="1"/>
  <c r="O354" i="1"/>
  <c r="P354" i="1"/>
  <c r="R354" i="1"/>
  <c r="S354" i="1"/>
  <c r="T354" i="1"/>
  <c r="U354" i="1"/>
  <c r="V354" i="1"/>
  <c r="W354" i="1"/>
  <c r="X354" i="1"/>
  <c r="Y354" i="1"/>
  <c r="Z354" i="1"/>
  <c r="AA354" i="1"/>
  <c r="AN354" i="1"/>
  <c r="AM354" i="1"/>
  <c r="AO354" i="1"/>
  <c r="D353" i="1"/>
  <c r="E353" i="1"/>
  <c r="F353" i="1"/>
  <c r="I353" i="1"/>
  <c r="J353" i="1"/>
  <c r="Q353" i="1"/>
  <c r="K353" i="1"/>
  <c r="L353" i="1"/>
  <c r="M353" i="1"/>
  <c r="N353" i="1"/>
  <c r="O353" i="1"/>
  <c r="P353" i="1"/>
  <c r="R353" i="1"/>
  <c r="S353" i="1"/>
  <c r="T353" i="1"/>
  <c r="W353" i="1"/>
  <c r="U353" i="1"/>
  <c r="V353" i="1"/>
  <c r="X353" i="1"/>
  <c r="Y353" i="1"/>
  <c r="Z353" i="1"/>
  <c r="AA353" i="1"/>
  <c r="AM353" i="1"/>
  <c r="AO353" i="1"/>
  <c r="AP353" i="1" s="1"/>
  <c r="AN353" i="1"/>
  <c r="D352" i="1"/>
  <c r="E352" i="1"/>
  <c r="F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N352" i="1"/>
  <c r="AM352" i="1"/>
  <c r="AO352" i="1"/>
  <c r="AP352" i="1" s="1"/>
  <c r="D351" i="1"/>
  <c r="E351" i="1"/>
  <c r="F351" i="1"/>
  <c r="I351" i="1"/>
  <c r="J351" i="1"/>
  <c r="K351" i="1"/>
  <c r="L351" i="1"/>
  <c r="M351" i="1"/>
  <c r="Q351" i="1"/>
  <c r="N351" i="1"/>
  <c r="O351" i="1"/>
  <c r="P351" i="1"/>
  <c r="R351" i="1"/>
  <c r="S351" i="1"/>
  <c r="T351" i="1"/>
  <c r="W351" i="1"/>
  <c r="U351" i="1"/>
  <c r="V351" i="1"/>
  <c r="X351" i="1"/>
  <c r="Y351" i="1"/>
  <c r="Z351" i="1"/>
  <c r="AA351" i="1"/>
  <c r="AM351" i="1"/>
  <c r="AO351" i="1"/>
  <c r="AN351" i="1"/>
  <c r="D350" i="1"/>
  <c r="E350" i="1"/>
  <c r="F350" i="1"/>
  <c r="I350" i="1"/>
  <c r="J350" i="1"/>
  <c r="Q350" i="1"/>
  <c r="K350" i="1"/>
  <c r="L350" i="1"/>
  <c r="M350" i="1"/>
  <c r="N350" i="1"/>
  <c r="O350" i="1"/>
  <c r="P350" i="1"/>
  <c r="R350" i="1"/>
  <c r="S350" i="1"/>
  <c r="T350" i="1"/>
  <c r="U350" i="1"/>
  <c r="V350" i="1"/>
  <c r="W350" i="1"/>
  <c r="X350" i="1"/>
  <c r="Y350" i="1"/>
  <c r="Z350" i="1"/>
  <c r="AA350" i="1"/>
  <c r="AN350" i="1"/>
  <c r="AM350" i="1"/>
  <c r="AO350" i="1"/>
  <c r="AP350" i="1" s="1"/>
  <c r="D349" i="1"/>
  <c r="E349" i="1"/>
  <c r="F349" i="1"/>
  <c r="I349" i="1"/>
  <c r="J349" i="1"/>
  <c r="Q349" i="1"/>
  <c r="K349" i="1"/>
  <c r="L349" i="1"/>
  <c r="M349" i="1"/>
  <c r="N349" i="1"/>
  <c r="O349" i="1"/>
  <c r="P349" i="1"/>
  <c r="R349" i="1"/>
  <c r="S349" i="1"/>
  <c r="T349" i="1"/>
  <c r="W349" i="1"/>
  <c r="U349" i="1"/>
  <c r="V349" i="1"/>
  <c r="X349" i="1"/>
  <c r="Y349" i="1"/>
  <c r="Z349" i="1"/>
  <c r="AA349" i="1"/>
  <c r="AM349" i="1"/>
  <c r="AO349" i="1"/>
  <c r="AN349" i="1"/>
  <c r="D348" i="1"/>
  <c r="E348" i="1"/>
  <c r="F348" i="1"/>
  <c r="I348" i="1"/>
  <c r="J348" i="1"/>
  <c r="K348" i="1"/>
  <c r="L348" i="1"/>
  <c r="M348" i="1"/>
  <c r="Q348" i="1"/>
  <c r="N348" i="1"/>
  <c r="O348" i="1"/>
  <c r="P348" i="1"/>
  <c r="R348" i="1"/>
  <c r="S348" i="1"/>
  <c r="T348" i="1"/>
  <c r="U348" i="1"/>
  <c r="V348" i="1"/>
  <c r="W348" i="1"/>
  <c r="X348" i="1"/>
  <c r="Y348" i="1"/>
  <c r="Z348" i="1"/>
  <c r="AA348" i="1"/>
  <c r="AN348" i="1"/>
  <c r="AM348" i="1"/>
  <c r="AO348" i="1"/>
  <c r="D347" i="1"/>
  <c r="E347" i="1"/>
  <c r="F347" i="1"/>
  <c r="I347" i="1"/>
  <c r="J347" i="1"/>
  <c r="Q347" i="1"/>
  <c r="K347" i="1"/>
  <c r="L347" i="1"/>
  <c r="M347" i="1"/>
  <c r="N347" i="1"/>
  <c r="O347" i="1"/>
  <c r="P347" i="1"/>
  <c r="R347" i="1"/>
  <c r="S347" i="1"/>
  <c r="T347" i="1"/>
  <c r="W347" i="1"/>
  <c r="U347" i="1"/>
  <c r="V347" i="1"/>
  <c r="X347" i="1"/>
  <c r="Y347" i="1"/>
  <c r="Z347" i="1"/>
  <c r="AA347" i="1"/>
  <c r="AM347" i="1"/>
  <c r="AO347" i="1"/>
  <c r="AN347" i="1"/>
  <c r="D346" i="1"/>
  <c r="E346" i="1"/>
  <c r="F346" i="1"/>
  <c r="I346" i="1"/>
  <c r="J346" i="1"/>
  <c r="K346" i="1"/>
  <c r="L346" i="1"/>
  <c r="M346" i="1"/>
  <c r="Q346" i="1"/>
  <c r="N346" i="1"/>
  <c r="O346" i="1"/>
  <c r="P346" i="1"/>
  <c r="R346" i="1"/>
  <c r="S346" i="1"/>
  <c r="T346" i="1"/>
  <c r="U346" i="1"/>
  <c r="V346" i="1"/>
  <c r="W346" i="1"/>
  <c r="X346" i="1"/>
  <c r="Y346" i="1"/>
  <c r="Z346" i="1"/>
  <c r="AA346" i="1"/>
  <c r="AN346" i="1"/>
  <c r="AM346" i="1"/>
  <c r="AO346" i="1"/>
  <c r="D345" i="1"/>
  <c r="E345" i="1"/>
  <c r="F345" i="1"/>
  <c r="I345" i="1"/>
  <c r="J345" i="1"/>
  <c r="Q345" i="1"/>
  <c r="K345" i="1"/>
  <c r="L345" i="1"/>
  <c r="M345" i="1"/>
  <c r="N345" i="1"/>
  <c r="O345" i="1"/>
  <c r="P345" i="1"/>
  <c r="R345" i="1"/>
  <c r="S345" i="1"/>
  <c r="T345" i="1"/>
  <c r="W345" i="1"/>
  <c r="U345" i="1"/>
  <c r="V345" i="1"/>
  <c r="X345" i="1"/>
  <c r="Y345" i="1"/>
  <c r="Z345" i="1"/>
  <c r="AA345" i="1"/>
  <c r="AM345" i="1"/>
  <c r="AO345" i="1"/>
  <c r="AN345" i="1"/>
  <c r="D344" i="1"/>
  <c r="E344" i="1"/>
  <c r="F344" i="1"/>
  <c r="I344" i="1"/>
  <c r="J344" i="1"/>
  <c r="K344" i="1"/>
  <c r="L344" i="1"/>
  <c r="M344" i="1"/>
  <c r="Q344" i="1"/>
  <c r="N344" i="1"/>
  <c r="O344" i="1"/>
  <c r="P344" i="1"/>
  <c r="R344" i="1"/>
  <c r="S344" i="1"/>
  <c r="T344" i="1"/>
  <c r="U344" i="1"/>
  <c r="V344" i="1"/>
  <c r="W344" i="1"/>
  <c r="X344" i="1"/>
  <c r="Y344" i="1"/>
  <c r="Z344" i="1"/>
  <c r="AA344" i="1"/>
  <c r="AN344" i="1"/>
  <c r="AM344" i="1"/>
  <c r="AO344" i="1"/>
  <c r="D343" i="1"/>
  <c r="E343" i="1"/>
  <c r="F343" i="1"/>
  <c r="I343" i="1"/>
  <c r="J343" i="1"/>
  <c r="Q343" i="1"/>
  <c r="K343" i="1"/>
  <c r="L343" i="1"/>
  <c r="M343" i="1"/>
  <c r="N343" i="1"/>
  <c r="O343" i="1"/>
  <c r="P343" i="1"/>
  <c r="R343" i="1"/>
  <c r="S343" i="1"/>
  <c r="T343" i="1"/>
  <c r="W343" i="1"/>
  <c r="U343" i="1"/>
  <c r="V343" i="1"/>
  <c r="X343" i="1"/>
  <c r="Y343" i="1"/>
  <c r="Z343" i="1"/>
  <c r="AA343" i="1"/>
  <c r="AM343" i="1"/>
  <c r="AO343" i="1"/>
  <c r="AN343" i="1"/>
  <c r="D342" i="1"/>
  <c r="E342" i="1"/>
  <c r="F342" i="1"/>
  <c r="I342" i="1"/>
  <c r="J342" i="1"/>
  <c r="K342" i="1"/>
  <c r="L342" i="1"/>
  <c r="M342" i="1"/>
  <c r="Q342" i="1"/>
  <c r="N342" i="1"/>
  <c r="O342" i="1"/>
  <c r="P342" i="1"/>
  <c r="R342" i="1"/>
  <c r="S342" i="1"/>
  <c r="T342" i="1"/>
  <c r="W342" i="1"/>
  <c r="U342" i="1"/>
  <c r="V342" i="1"/>
  <c r="X342" i="1"/>
  <c r="Y342" i="1"/>
  <c r="Z342" i="1"/>
  <c r="AA342" i="1"/>
  <c r="AM342" i="1"/>
  <c r="AN342" i="1"/>
  <c r="AO342" i="1"/>
  <c r="AP342" i="1" s="1"/>
  <c r="D341" i="1"/>
  <c r="E341" i="1"/>
  <c r="F341" i="1"/>
  <c r="I341" i="1"/>
  <c r="J341" i="1"/>
  <c r="Q341" i="1"/>
  <c r="K341" i="1"/>
  <c r="L341" i="1"/>
  <c r="M341" i="1"/>
  <c r="N341" i="1"/>
  <c r="O341" i="1"/>
  <c r="P341" i="1"/>
  <c r="R341" i="1"/>
  <c r="S341" i="1"/>
  <c r="T341" i="1"/>
  <c r="U341" i="1"/>
  <c r="V341" i="1"/>
  <c r="W341" i="1"/>
  <c r="X341" i="1"/>
  <c r="Y341" i="1"/>
  <c r="Z341" i="1"/>
  <c r="AA341" i="1"/>
  <c r="AM341" i="1"/>
  <c r="AO341" i="1"/>
  <c r="AN341" i="1"/>
  <c r="D340" i="1"/>
  <c r="E340" i="1"/>
  <c r="F340" i="1"/>
  <c r="I340" i="1"/>
  <c r="J340" i="1"/>
  <c r="K340" i="1"/>
  <c r="L340" i="1"/>
  <c r="M340" i="1"/>
  <c r="Q340" i="1"/>
  <c r="N340" i="1"/>
  <c r="O340" i="1"/>
  <c r="P340" i="1"/>
  <c r="R340" i="1"/>
  <c r="S340" i="1"/>
  <c r="T340" i="1"/>
  <c r="W340" i="1"/>
  <c r="U340" i="1"/>
  <c r="V340" i="1"/>
  <c r="X340" i="1"/>
  <c r="Y340" i="1"/>
  <c r="Z340" i="1"/>
  <c r="AA340" i="1"/>
  <c r="AN340" i="1"/>
  <c r="AM340" i="1"/>
  <c r="AO340" i="1"/>
  <c r="D339" i="1"/>
  <c r="E339" i="1"/>
  <c r="F339" i="1"/>
  <c r="I339" i="1"/>
  <c r="J339" i="1"/>
  <c r="Q339" i="1"/>
  <c r="K339" i="1"/>
  <c r="L339" i="1"/>
  <c r="M339" i="1"/>
  <c r="N339" i="1"/>
  <c r="O339" i="1"/>
  <c r="P339" i="1"/>
  <c r="R339" i="1"/>
  <c r="S339" i="1"/>
  <c r="T339" i="1"/>
  <c r="U339" i="1"/>
  <c r="V339" i="1"/>
  <c r="W339" i="1"/>
  <c r="X339" i="1"/>
  <c r="Y339" i="1"/>
  <c r="Z339" i="1"/>
  <c r="AA339" i="1"/>
  <c r="AM339" i="1"/>
  <c r="AO339" i="1"/>
  <c r="AN339" i="1"/>
  <c r="D338" i="1"/>
  <c r="E338" i="1"/>
  <c r="F338" i="1"/>
  <c r="I338" i="1"/>
  <c r="J338" i="1"/>
  <c r="K338" i="1"/>
  <c r="L338" i="1"/>
  <c r="M338" i="1"/>
  <c r="Q338" i="1"/>
  <c r="N338" i="1"/>
  <c r="O338" i="1"/>
  <c r="P338" i="1"/>
  <c r="R338" i="1"/>
  <c r="S338" i="1"/>
  <c r="T338" i="1"/>
  <c r="W338" i="1"/>
  <c r="U338" i="1"/>
  <c r="V338" i="1"/>
  <c r="X338" i="1"/>
  <c r="Y338" i="1"/>
  <c r="Z338" i="1"/>
  <c r="AA338" i="1"/>
  <c r="AM338" i="1"/>
  <c r="AN338" i="1"/>
  <c r="AO338" i="1"/>
  <c r="AP338" i="1" s="1"/>
  <c r="D337" i="1"/>
  <c r="E337" i="1"/>
  <c r="F337" i="1"/>
  <c r="I337" i="1"/>
  <c r="J337" i="1"/>
  <c r="Q337" i="1"/>
  <c r="K337" i="1"/>
  <c r="L337" i="1"/>
  <c r="M337" i="1"/>
  <c r="N337" i="1"/>
  <c r="O337" i="1"/>
  <c r="P337" i="1"/>
  <c r="R337" i="1"/>
  <c r="S337" i="1"/>
  <c r="T337" i="1"/>
  <c r="U337" i="1"/>
  <c r="V337" i="1"/>
  <c r="W337" i="1"/>
  <c r="X337" i="1"/>
  <c r="Y337" i="1"/>
  <c r="Z337" i="1"/>
  <c r="AA337" i="1"/>
  <c r="AM337" i="1"/>
  <c r="AO337" i="1"/>
  <c r="AN337" i="1"/>
  <c r="D336" i="1"/>
  <c r="E336" i="1"/>
  <c r="F336" i="1"/>
  <c r="I336" i="1"/>
  <c r="J336" i="1"/>
  <c r="K336" i="1"/>
  <c r="L336" i="1"/>
  <c r="M336" i="1"/>
  <c r="Q336" i="1"/>
  <c r="N336" i="1"/>
  <c r="O336" i="1"/>
  <c r="P336" i="1"/>
  <c r="R336" i="1"/>
  <c r="S336" i="1"/>
  <c r="T336" i="1"/>
  <c r="W336" i="1"/>
  <c r="U336" i="1"/>
  <c r="V336" i="1"/>
  <c r="X336" i="1"/>
  <c r="Y336" i="1"/>
  <c r="Z336" i="1"/>
  <c r="AA336" i="1"/>
  <c r="AM336" i="1"/>
  <c r="AN336" i="1"/>
  <c r="AO336" i="1"/>
  <c r="D335" i="1"/>
  <c r="E335" i="1"/>
  <c r="F335" i="1"/>
  <c r="I335" i="1"/>
  <c r="J335" i="1"/>
  <c r="Q335" i="1"/>
  <c r="K335" i="1"/>
  <c r="L335" i="1"/>
  <c r="M335" i="1"/>
  <c r="N335" i="1"/>
  <c r="O335" i="1"/>
  <c r="P335" i="1"/>
  <c r="R335" i="1"/>
  <c r="S335" i="1"/>
  <c r="T335" i="1"/>
  <c r="U335" i="1"/>
  <c r="V335" i="1"/>
  <c r="W335" i="1"/>
  <c r="X335" i="1"/>
  <c r="Y335" i="1"/>
  <c r="Z335" i="1"/>
  <c r="AA335" i="1"/>
  <c r="AM335" i="1"/>
  <c r="AO335" i="1"/>
  <c r="AN335" i="1"/>
  <c r="D334" i="1"/>
  <c r="E334" i="1"/>
  <c r="F334" i="1"/>
  <c r="I334" i="1"/>
  <c r="J334" i="1"/>
  <c r="K334" i="1"/>
  <c r="L334" i="1"/>
  <c r="M334" i="1"/>
  <c r="Q334" i="1"/>
  <c r="N334" i="1"/>
  <c r="O334" i="1"/>
  <c r="P334" i="1"/>
  <c r="R334" i="1"/>
  <c r="S334" i="1"/>
  <c r="T334" i="1"/>
  <c r="W334" i="1"/>
  <c r="U334" i="1"/>
  <c r="V334" i="1"/>
  <c r="X334" i="1"/>
  <c r="Y334" i="1"/>
  <c r="Z334" i="1"/>
  <c r="AA334" i="1"/>
  <c r="AM334" i="1"/>
  <c r="AN334" i="1"/>
  <c r="AO334" i="1"/>
  <c r="D333" i="1"/>
  <c r="E333" i="1"/>
  <c r="F333" i="1"/>
  <c r="I333" i="1"/>
  <c r="J333" i="1"/>
  <c r="Q333" i="1"/>
  <c r="K333" i="1"/>
  <c r="L333" i="1"/>
  <c r="M333" i="1"/>
  <c r="N333" i="1"/>
  <c r="O333" i="1"/>
  <c r="P333" i="1"/>
  <c r="R333" i="1"/>
  <c r="S333" i="1"/>
  <c r="T333" i="1"/>
  <c r="U333" i="1"/>
  <c r="V333" i="1"/>
  <c r="W333" i="1"/>
  <c r="X333" i="1"/>
  <c r="Y333" i="1"/>
  <c r="Z333" i="1"/>
  <c r="AA333" i="1"/>
  <c r="AM333" i="1"/>
  <c r="AO333" i="1"/>
  <c r="AN333" i="1"/>
  <c r="D332" i="1"/>
  <c r="E332" i="1"/>
  <c r="F332" i="1"/>
  <c r="I332" i="1"/>
  <c r="J332" i="1"/>
  <c r="K332" i="1"/>
  <c r="L332" i="1"/>
  <c r="M332" i="1"/>
  <c r="Q332" i="1"/>
  <c r="N332" i="1"/>
  <c r="O332" i="1"/>
  <c r="P332" i="1"/>
  <c r="R332" i="1"/>
  <c r="S332" i="1"/>
  <c r="T332" i="1"/>
  <c r="W332" i="1"/>
  <c r="U332" i="1"/>
  <c r="V332" i="1"/>
  <c r="X332" i="1"/>
  <c r="Y332" i="1"/>
  <c r="Z332" i="1"/>
  <c r="AA332" i="1"/>
  <c r="AM332" i="1"/>
  <c r="AN332" i="1"/>
  <c r="AO332" i="1"/>
  <c r="D331" i="1"/>
  <c r="E331" i="1"/>
  <c r="F331" i="1"/>
  <c r="I331" i="1"/>
  <c r="J331" i="1"/>
  <c r="Q331" i="1"/>
  <c r="K331" i="1"/>
  <c r="L331" i="1"/>
  <c r="M331" i="1"/>
  <c r="N331" i="1"/>
  <c r="O331" i="1"/>
  <c r="P331" i="1"/>
  <c r="R331" i="1"/>
  <c r="S331" i="1"/>
  <c r="T331" i="1"/>
  <c r="U331" i="1"/>
  <c r="V331" i="1"/>
  <c r="W331" i="1"/>
  <c r="X331" i="1"/>
  <c r="Y331" i="1"/>
  <c r="Z331" i="1"/>
  <c r="AA331" i="1"/>
  <c r="AM331" i="1"/>
  <c r="AO331" i="1"/>
  <c r="AN331" i="1"/>
  <c r="D330" i="1"/>
  <c r="E330" i="1"/>
  <c r="F330" i="1"/>
  <c r="I330" i="1"/>
  <c r="J330" i="1"/>
  <c r="K330" i="1"/>
  <c r="L330" i="1"/>
  <c r="M330" i="1"/>
  <c r="Q330" i="1"/>
  <c r="N330" i="1"/>
  <c r="O330" i="1"/>
  <c r="P330" i="1"/>
  <c r="R330" i="1"/>
  <c r="S330" i="1"/>
  <c r="T330" i="1"/>
  <c r="W330" i="1"/>
  <c r="U330" i="1"/>
  <c r="V330" i="1"/>
  <c r="X330" i="1"/>
  <c r="Y330" i="1"/>
  <c r="Z330" i="1"/>
  <c r="AA330" i="1"/>
  <c r="AM330" i="1"/>
  <c r="AN330" i="1"/>
  <c r="AO330" i="1"/>
  <c r="D329" i="1"/>
  <c r="E329" i="1"/>
  <c r="F329" i="1"/>
  <c r="I329" i="1"/>
  <c r="J329" i="1"/>
  <c r="Q329" i="1"/>
  <c r="K329" i="1"/>
  <c r="L329" i="1"/>
  <c r="M329" i="1"/>
  <c r="N329" i="1"/>
  <c r="O329" i="1"/>
  <c r="P329" i="1"/>
  <c r="R329" i="1"/>
  <c r="S329" i="1"/>
  <c r="T329" i="1"/>
  <c r="U329" i="1"/>
  <c r="V329" i="1"/>
  <c r="W329" i="1"/>
  <c r="X329" i="1"/>
  <c r="Y329" i="1"/>
  <c r="Z329" i="1"/>
  <c r="AA329" i="1"/>
  <c r="AM329" i="1"/>
  <c r="AO329" i="1"/>
  <c r="AN329" i="1"/>
  <c r="D328" i="1"/>
  <c r="E328" i="1"/>
  <c r="F328" i="1"/>
  <c r="I328" i="1"/>
  <c r="J328" i="1"/>
  <c r="K328" i="1"/>
  <c r="L328" i="1"/>
  <c r="M328" i="1"/>
  <c r="Q328" i="1"/>
  <c r="N328" i="1"/>
  <c r="O328" i="1"/>
  <c r="P328" i="1"/>
  <c r="R328" i="1"/>
  <c r="S328" i="1"/>
  <c r="T328" i="1"/>
  <c r="W328" i="1"/>
  <c r="U328" i="1"/>
  <c r="V328" i="1"/>
  <c r="X328" i="1"/>
  <c r="Y328" i="1"/>
  <c r="Z328" i="1"/>
  <c r="AA328" i="1"/>
  <c r="AM328" i="1"/>
  <c r="AN328" i="1"/>
  <c r="AO328" i="1"/>
  <c r="D327" i="1"/>
  <c r="E327" i="1"/>
  <c r="F327" i="1"/>
  <c r="I327" i="1"/>
  <c r="J327" i="1"/>
  <c r="Q327" i="1"/>
  <c r="K327" i="1"/>
  <c r="L327" i="1"/>
  <c r="M327" i="1"/>
  <c r="N327" i="1"/>
  <c r="O327" i="1"/>
  <c r="P327" i="1"/>
  <c r="R327" i="1"/>
  <c r="S327" i="1"/>
  <c r="T327" i="1"/>
  <c r="U327" i="1"/>
  <c r="V327" i="1"/>
  <c r="W327" i="1"/>
  <c r="X327" i="1"/>
  <c r="Y327" i="1"/>
  <c r="Z327" i="1"/>
  <c r="AA327" i="1"/>
  <c r="AO327" i="1"/>
  <c r="AM327" i="1"/>
  <c r="AN327" i="1"/>
  <c r="D326" i="1"/>
  <c r="E326" i="1"/>
  <c r="F326" i="1"/>
  <c r="I326" i="1"/>
  <c r="J326" i="1"/>
  <c r="K326" i="1"/>
  <c r="L326" i="1"/>
  <c r="M326" i="1"/>
  <c r="Q326" i="1"/>
  <c r="N326" i="1"/>
  <c r="O326" i="1"/>
  <c r="P326" i="1"/>
  <c r="R326" i="1"/>
  <c r="S326" i="1"/>
  <c r="T326" i="1"/>
  <c r="W326" i="1"/>
  <c r="U326" i="1"/>
  <c r="V326" i="1"/>
  <c r="X326" i="1"/>
  <c r="Y326" i="1"/>
  <c r="Z326" i="1"/>
  <c r="AA326" i="1"/>
  <c r="AM326" i="1"/>
  <c r="AN326" i="1"/>
  <c r="AO326" i="1"/>
  <c r="D325" i="1"/>
  <c r="E325" i="1"/>
  <c r="F325" i="1"/>
  <c r="I325" i="1"/>
  <c r="J325" i="1"/>
  <c r="N325" i="1"/>
  <c r="Q325" i="1"/>
  <c r="K325" i="1"/>
  <c r="L325" i="1"/>
  <c r="M325" i="1"/>
  <c r="O325" i="1"/>
  <c r="P325" i="1"/>
  <c r="R325" i="1"/>
  <c r="S325" i="1"/>
  <c r="T325" i="1"/>
  <c r="U325" i="1"/>
  <c r="V325" i="1"/>
  <c r="W325" i="1"/>
  <c r="X325" i="1"/>
  <c r="Y325" i="1"/>
  <c r="Z325" i="1"/>
  <c r="AA325" i="1"/>
  <c r="AM325" i="1"/>
  <c r="AO325" i="1"/>
  <c r="AN325" i="1"/>
  <c r="D324" i="1"/>
  <c r="E324" i="1"/>
  <c r="F324" i="1"/>
  <c r="I324" i="1"/>
  <c r="J324" i="1"/>
  <c r="K324" i="1"/>
  <c r="L324" i="1"/>
  <c r="M324" i="1"/>
  <c r="N324" i="1"/>
  <c r="Q324" i="1"/>
  <c r="O324" i="1"/>
  <c r="P324" i="1"/>
  <c r="R324" i="1"/>
  <c r="S324" i="1"/>
  <c r="T324" i="1"/>
  <c r="W324" i="1"/>
  <c r="U324" i="1"/>
  <c r="V324" i="1"/>
  <c r="X324" i="1"/>
  <c r="Y324" i="1"/>
  <c r="Z324" i="1"/>
  <c r="AA324" i="1"/>
  <c r="AM324" i="1"/>
  <c r="AN324" i="1"/>
  <c r="AO324" i="1"/>
  <c r="D323" i="1"/>
  <c r="E323" i="1"/>
  <c r="F323" i="1"/>
  <c r="I323" i="1"/>
  <c r="J323" i="1"/>
  <c r="N323" i="1"/>
  <c r="Q323" i="1"/>
  <c r="K323" i="1"/>
  <c r="L323" i="1"/>
  <c r="M323" i="1"/>
  <c r="O323" i="1"/>
  <c r="P323" i="1"/>
  <c r="R323" i="1"/>
  <c r="S323" i="1"/>
  <c r="T323" i="1"/>
  <c r="U323" i="1"/>
  <c r="V323" i="1"/>
  <c r="W323" i="1"/>
  <c r="X323" i="1"/>
  <c r="Y323" i="1"/>
  <c r="Z323" i="1"/>
  <c r="AA323" i="1"/>
  <c r="AO323" i="1"/>
  <c r="AM323" i="1"/>
  <c r="AN323" i="1"/>
  <c r="D322" i="1"/>
  <c r="E322" i="1"/>
  <c r="F322" i="1"/>
  <c r="I322" i="1"/>
  <c r="J322" i="1"/>
  <c r="K322" i="1"/>
  <c r="L322" i="1"/>
  <c r="M322" i="1"/>
  <c r="N322" i="1"/>
  <c r="Q322" i="1"/>
  <c r="O322" i="1"/>
  <c r="P322" i="1"/>
  <c r="R322" i="1"/>
  <c r="S322" i="1"/>
  <c r="T322" i="1"/>
  <c r="W322" i="1"/>
  <c r="U322" i="1"/>
  <c r="V322" i="1"/>
  <c r="X322" i="1"/>
  <c r="Y322" i="1"/>
  <c r="Z322" i="1"/>
  <c r="AA322" i="1"/>
  <c r="AM322" i="1"/>
  <c r="AN322" i="1"/>
  <c r="AO322" i="1"/>
  <c r="AP322" i="1" s="1"/>
  <c r="D321" i="1"/>
  <c r="E321" i="1"/>
  <c r="F321" i="1"/>
  <c r="I321" i="1"/>
  <c r="J321" i="1"/>
  <c r="N321" i="1"/>
  <c r="Q321" i="1"/>
  <c r="K321" i="1"/>
  <c r="L321" i="1"/>
  <c r="M321" i="1"/>
  <c r="O321" i="1"/>
  <c r="P321" i="1"/>
  <c r="R321" i="1"/>
  <c r="S321" i="1"/>
  <c r="T321" i="1"/>
  <c r="U321" i="1"/>
  <c r="V321" i="1"/>
  <c r="W321" i="1"/>
  <c r="X321" i="1"/>
  <c r="Y321" i="1"/>
  <c r="Z321" i="1"/>
  <c r="AA321" i="1"/>
  <c r="AO321" i="1"/>
  <c r="AM321" i="1"/>
  <c r="AN321" i="1"/>
  <c r="D320" i="1"/>
  <c r="E320" i="1"/>
  <c r="F320" i="1"/>
  <c r="I320" i="1"/>
  <c r="J320" i="1"/>
  <c r="K320" i="1"/>
  <c r="L320" i="1"/>
  <c r="M320" i="1"/>
  <c r="N320" i="1"/>
  <c r="Q320" i="1"/>
  <c r="O320" i="1"/>
  <c r="P320" i="1"/>
  <c r="R320" i="1"/>
  <c r="S320" i="1"/>
  <c r="T320" i="1"/>
  <c r="W320" i="1"/>
  <c r="U320" i="1"/>
  <c r="V320" i="1"/>
  <c r="X320" i="1"/>
  <c r="Y320" i="1"/>
  <c r="Z320" i="1"/>
  <c r="AA320" i="1"/>
  <c r="AM320" i="1"/>
  <c r="AN320" i="1"/>
  <c r="AO320" i="1"/>
  <c r="AP320" i="1" s="1"/>
  <c r="D319" i="1"/>
  <c r="E319" i="1"/>
  <c r="F319" i="1"/>
  <c r="I319" i="1"/>
  <c r="J319" i="1"/>
  <c r="N319" i="1"/>
  <c r="Q319" i="1"/>
  <c r="K319" i="1"/>
  <c r="L319" i="1"/>
  <c r="M319" i="1"/>
  <c r="O319" i="1"/>
  <c r="P319" i="1"/>
  <c r="R319" i="1"/>
  <c r="S319" i="1"/>
  <c r="T319" i="1"/>
  <c r="U319" i="1"/>
  <c r="V319" i="1"/>
  <c r="W319" i="1"/>
  <c r="X319" i="1"/>
  <c r="Y319" i="1"/>
  <c r="Z319" i="1"/>
  <c r="AA319" i="1"/>
  <c r="AO319" i="1"/>
  <c r="AM319" i="1"/>
  <c r="AN319" i="1"/>
  <c r="D318" i="1"/>
  <c r="E318" i="1"/>
  <c r="F318" i="1"/>
  <c r="I318" i="1"/>
  <c r="J318" i="1"/>
  <c r="K318" i="1"/>
  <c r="L318" i="1"/>
  <c r="M318" i="1"/>
  <c r="N318" i="1"/>
  <c r="Q318" i="1"/>
  <c r="O318" i="1"/>
  <c r="P318" i="1"/>
  <c r="R318" i="1"/>
  <c r="S318" i="1"/>
  <c r="T318" i="1"/>
  <c r="W318" i="1"/>
  <c r="U318" i="1"/>
  <c r="V318" i="1"/>
  <c r="X318" i="1"/>
  <c r="Y318" i="1"/>
  <c r="Z318" i="1"/>
  <c r="AA318" i="1"/>
  <c r="AM318" i="1"/>
  <c r="AN318" i="1"/>
  <c r="AO318" i="1"/>
  <c r="AP318" i="1" s="1"/>
  <c r="D317" i="1"/>
  <c r="E317" i="1"/>
  <c r="F317" i="1"/>
  <c r="I317" i="1"/>
  <c r="J317" i="1"/>
  <c r="N317" i="1"/>
  <c r="Q317" i="1"/>
  <c r="K317" i="1"/>
  <c r="L317" i="1"/>
  <c r="M317" i="1"/>
  <c r="O317" i="1"/>
  <c r="P317" i="1"/>
  <c r="R317" i="1"/>
  <c r="S317" i="1"/>
  <c r="T317" i="1"/>
  <c r="U317" i="1"/>
  <c r="V317" i="1"/>
  <c r="W317" i="1"/>
  <c r="X317" i="1"/>
  <c r="Y317" i="1"/>
  <c r="Z317" i="1"/>
  <c r="AA317" i="1"/>
  <c r="AO317" i="1"/>
  <c r="AM317" i="1"/>
  <c r="AN317" i="1"/>
  <c r="D316" i="1"/>
  <c r="E316" i="1"/>
  <c r="F316" i="1"/>
  <c r="I316" i="1"/>
  <c r="J316" i="1"/>
  <c r="K316" i="1"/>
  <c r="L316" i="1"/>
  <c r="M316" i="1"/>
  <c r="N316" i="1"/>
  <c r="Q316" i="1"/>
  <c r="O316" i="1"/>
  <c r="P316" i="1"/>
  <c r="R316" i="1"/>
  <c r="S316" i="1"/>
  <c r="T316" i="1"/>
  <c r="W316" i="1"/>
  <c r="U316" i="1"/>
  <c r="V316" i="1"/>
  <c r="X316" i="1"/>
  <c r="Y316" i="1"/>
  <c r="Z316" i="1"/>
  <c r="AA316" i="1"/>
  <c r="AM316" i="1"/>
  <c r="AN316" i="1"/>
  <c r="AO316" i="1"/>
  <c r="AP316" i="1" s="1"/>
  <c r="D315" i="1"/>
  <c r="E315" i="1"/>
  <c r="F315" i="1"/>
  <c r="I315" i="1"/>
  <c r="J315" i="1"/>
  <c r="N315" i="1"/>
  <c r="Q315" i="1"/>
  <c r="K315" i="1"/>
  <c r="L315" i="1"/>
  <c r="M315" i="1"/>
  <c r="O315" i="1"/>
  <c r="P315" i="1"/>
  <c r="R315" i="1"/>
  <c r="S315" i="1"/>
  <c r="T315" i="1"/>
  <c r="U315" i="1"/>
  <c r="V315" i="1"/>
  <c r="W315" i="1"/>
  <c r="X315" i="1"/>
  <c r="Y315" i="1"/>
  <c r="Z315" i="1"/>
  <c r="AA315" i="1"/>
  <c r="AO315" i="1"/>
  <c r="AM315" i="1"/>
  <c r="AN315" i="1"/>
  <c r="D314" i="1"/>
  <c r="E314" i="1"/>
  <c r="F314" i="1"/>
  <c r="I314" i="1"/>
  <c r="J314" i="1"/>
  <c r="K314" i="1"/>
  <c r="L314" i="1"/>
  <c r="M314" i="1"/>
  <c r="N314" i="1"/>
  <c r="Q314" i="1"/>
  <c r="O314" i="1"/>
  <c r="P314" i="1"/>
  <c r="R314" i="1"/>
  <c r="S314" i="1"/>
  <c r="T314" i="1"/>
  <c r="W314" i="1"/>
  <c r="U314" i="1"/>
  <c r="V314" i="1"/>
  <c r="X314" i="1"/>
  <c r="Y314" i="1"/>
  <c r="Z314" i="1"/>
  <c r="AA314" i="1"/>
  <c r="AM314" i="1"/>
  <c r="AN314" i="1"/>
  <c r="AO314" i="1"/>
  <c r="D313" i="1"/>
  <c r="E313" i="1"/>
  <c r="F313" i="1"/>
  <c r="I313" i="1"/>
  <c r="J313" i="1"/>
  <c r="N313" i="1"/>
  <c r="Q313" i="1"/>
  <c r="K313" i="1"/>
  <c r="L313" i="1"/>
  <c r="M313" i="1"/>
  <c r="O313" i="1"/>
  <c r="P313" i="1"/>
  <c r="R313" i="1"/>
  <c r="S313" i="1"/>
  <c r="T313" i="1"/>
  <c r="U313" i="1"/>
  <c r="V313" i="1"/>
  <c r="W313" i="1"/>
  <c r="X313" i="1"/>
  <c r="Y313" i="1"/>
  <c r="Z313" i="1"/>
  <c r="AA313" i="1"/>
  <c r="AO313" i="1"/>
  <c r="AM313" i="1"/>
  <c r="AN313" i="1"/>
  <c r="D312" i="1"/>
  <c r="E312" i="1"/>
  <c r="F312" i="1"/>
  <c r="I312" i="1"/>
  <c r="J312" i="1"/>
  <c r="K312" i="1"/>
  <c r="L312" i="1"/>
  <c r="M312" i="1"/>
  <c r="N312" i="1"/>
  <c r="Q312" i="1"/>
  <c r="O312" i="1"/>
  <c r="P312" i="1"/>
  <c r="R312" i="1"/>
  <c r="S312" i="1"/>
  <c r="T312" i="1"/>
  <c r="W312" i="1"/>
  <c r="U312" i="1"/>
  <c r="V312" i="1"/>
  <c r="X312" i="1"/>
  <c r="Y312" i="1"/>
  <c r="Z312" i="1"/>
  <c r="AA312" i="1"/>
  <c r="AO312" i="1"/>
  <c r="AM312" i="1"/>
  <c r="AN312" i="1"/>
  <c r="D311" i="1"/>
  <c r="E311" i="1"/>
  <c r="F311" i="1"/>
  <c r="I311" i="1"/>
  <c r="J311" i="1"/>
  <c r="N311" i="1"/>
  <c r="Q311" i="1"/>
  <c r="K311" i="1"/>
  <c r="L311" i="1"/>
  <c r="M311" i="1"/>
  <c r="O311" i="1"/>
  <c r="P311" i="1"/>
  <c r="R311" i="1"/>
  <c r="S311" i="1"/>
  <c r="T311" i="1"/>
  <c r="U311" i="1"/>
  <c r="V311" i="1"/>
  <c r="W311" i="1"/>
  <c r="X311" i="1"/>
  <c r="Y311" i="1"/>
  <c r="Z311" i="1"/>
  <c r="AA311" i="1"/>
  <c r="AM311" i="1"/>
  <c r="AN311" i="1"/>
  <c r="AO311" i="1"/>
  <c r="AP311" i="1" s="1"/>
  <c r="D310" i="1"/>
  <c r="E310" i="1"/>
  <c r="F310" i="1"/>
  <c r="I310" i="1"/>
  <c r="J310" i="1"/>
  <c r="K310" i="1"/>
  <c r="L310" i="1"/>
  <c r="M310" i="1"/>
  <c r="N310" i="1"/>
  <c r="Q310" i="1"/>
  <c r="O310" i="1"/>
  <c r="P310" i="1"/>
  <c r="R310" i="1"/>
  <c r="S310" i="1"/>
  <c r="T310" i="1"/>
  <c r="W310" i="1"/>
  <c r="U310" i="1"/>
  <c r="V310" i="1"/>
  <c r="X310" i="1"/>
  <c r="Y310" i="1"/>
  <c r="Z310" i="1"/>
  <c r="AA310" i="1"/>
  <c r="AO310" i="1"/>
  <c r="AM310" i="1"/>
  <c r="AN310" i="1"/>
  <c r="D309" i="1"/>
  <c r="E309" i="1"/>
  <c r="F309" i="1"/>
  <c r="I309" i="1"/>
  <c r="J309" i="1"/>
  <c r="N309" i="1"/>
  <c r="Q309" i="1"/>
  <c r="K309" i="1"/>
  <c r="L309" i="1"/>
  <c r="M309" i="1"/>
  <c r="O309" i="1"/>
  <c r="P309" i="1"/>
  <c r="R309" i="1"/>
  <c r="S309" i="1"/>
  <c r="T309" i="1"/>
  <c r="U309" i="1"/>
  <c r="V309" i="1"/>
  <c r="W309" i="1"/>
  <c r="X309" i="1"/>
  <c r="Y309" i="1"/>
  <c r="Z309" i="1"/>
  <c r="AA309" i="1"/>
  <c r="AM309" i="1"/>
  <c r="AN309" i="1"/>
  <c r="AO309" i="1"/>
  <c r="D308" i="1"/>
  <c r="E308" i="1"/>
  <c r="F308" i="1"/>
  <c r="I308" i="1"/>
  <c r="J308" i="1"/>
  <c r="K308" i="1"/>
  <c r="L308" i="1"/>
  <c r="M308" i="1"/>
  <c r="N308" i="1"/>
  <c r="Q308" i="1"/>
  <c r="O308" i="1"/>
  <c r="P308" i="1"/>
  <c r="R308" i="1"/>
  <c r="S308" i="1"/>
  <c r="T308" i="1"/>
  <c r="Y308" i="1"/>
  <c r="AM308" i="1"/>
  <c r="W308" i="1"/>
  <c r="Z308" i="1"/>
  <c r="AN308" i="1"/>
  <c r="U308" i="1"/>
  <c r="AA308" i="1"/>
  <c r="V308" i="1"/>
  <c r="X308" i="1"/>
  <c r="AB308" i="1" s="1"/>
  <c r="AE308" i="1" s="1"/>
  <c r="AO308" i="1"/>
  <c r="AP308" i="1" s="1"/>
  <c r="E307" i="1"/>
  <c r="J307" i="1"/>
  <c r="Q307" i="1"/>
  <c r="O307" i="1"/>
  <c r="T307" i="1"/>
  <c r="W307" i="1"/>
  <c r="Z307" i="1"/>
  <c r="AO307" i="1"/>
  <c r="F307" i="1"/>
  <c r="N307" i="1"/>
  <c r="M307" i="1"/>
  <c r="R307" i="1"/>
  <c r="U307" i="1"/>
  <c r="AA307" i="1"/>
  <c r="D307" i="1"/>
  <c r="I307" i="1"/>
  <c r="K307" i="1"/>
  <c r="S307" i="1"/>
  <c r="V307" i="1"/>
  <c r="X307" i="1"/>
  <c r="AB307" i="1" s="1"/>
  <c r="AM307" i="1"/>
  <c r="L307" i="1"/>
  <c r="P307" i="1"/>
  <c r="Y307" i="1"/>
  <c r="AC307" i="1" s="1"/>
  <c r="AD307" i="1" s="1"/>
  <c r="AN307" i="1"/>
  <c r="F306" i="1"/>
  <c r="K306" i="1"/>
  <c r="O306" i="1"/>
  <c r="S306" i="1"/>
  <c r="T306" i="1"/>
  <c r="U306" i="1"/>
  <c r="V306" i="1"/>
  <c r="W306" i="1"/>
  <c r="X306" i="1"/>
  <c r="Y306" i="1"/>
  <c r="Z306" i="1"/>
  <c r="AA306" i="1"/>
  <c r="AO306" i="1"/>
  <c r="AM306" i="1"/>
  <c r="AN306" i="1"/>
  <c r="D306" i="1"/>
  <c r="I306" i="1"/>
  <c r="M306" i="1"/>
  <c r="R306" i="1"/>
  <c r="E306" i="1"/>
  <c r="J306" i="1"/>
  <c r="N306" i="1"/>
  <c r="P306" i="1"/>
  <c r="L306" i="1"/>
  <c r="Q306" i="1"/>
  <c r="D305" i="1"/>
  <c r="E305" i="1"/>
  <c r="F305" i="1"/>
  <c r="I305" i="1"/>
  <c r="J305" i="1"/>
  <c r="N305" i="1"/>
  <c r="Q305" i="1"/>
  <c r="K305" i="1"/>
  <c r="L305" i="1"/>
  <c r="M305" i="1"/>
  <c r="O305" i="1"/>
  <c r="P305" i="1"/>
  <c r="R305" i="1"/>
  <c r="S305" i="1"/>
  <c r="T305" i="1"/>
  <c r="U305" i="1"/>
  <c r="V305" i="1"/>
  <c r="W305" i="1"/>
  <c r="X305" i="1"/>
  <c r="Y305" i="1"/>
  <c r="Z305" i="1"/>
  <c r="AA305" i="1"/>
  <c r="AM305" i="1"/>
  <c r="AN305" i="1"/>
  <c r="AO305" i="1"/>
  <c r="D304" i="1"/>
  <c r="E304" i="1"/>
  <c r="F304" i="1"/>
  <c r="I304" i="1"/>
  <c r="J304" i="1"/>
  <c r="K304" i="1"/>
  <c r="L304" i="1"/>
  <c r="M304" i="1"/>
  <c r="N304" i="1"/>
  <c r="Q304" i="1"/>
  <c r="O304" i="1"/>
  <c r="P304" i="1"/>
  <c r="R304" i="1"/>
  <c r="S304" i="1"/>
  <c r="T304" i="1"/>
  <c r="U304" i="1"/>
  <c r="V304" i="1"/>
  <c r="W304" i="1"/>
  <c r="X304" i="1"/>
  <c r="Y304" i="1"/>
  <c r="Z304" i="1"/>
  <c r="AA304" i="1"/>
  <c r="AO304" i="1"/>
  <c r="AM304" i="1"/>
  <c r="AN304" i="1"/>
  <c r="D303" i="1"/>
  <c r="E303" i="1"/>
  <c r="F303" i="1"/>
  <c r="I303" i="1"/>
  <c r="J303" i="1"/>
  <c r="N303" i="1"/>
  <c r="Q303" i="1"/>
  <c r="K303" i="1"/>
  <c r="L303" i="1"/>
  <c r="M303" i="1"/>
  <c r="O303" i="1"/>
  <c r="P303" i="1"/>
  <c r="R303" i="1"/>
  <c r="S303" i="1"/>
  <c r="T303" i="1"/>
  <c r="U303" i="1"/>
  <c r="V303" i="1"/>
  <c r="W303" i="1"/>
  <c r="X303" i="1"/>
  <c r="Y303" i="1"/>
  <c r="Z303" i="1"/>
  <c r="AA303" i="1"/>
  <c r="AM303" i="1"/>
  <c r="AN303" i="1"/>
  <c r="AO303" i="1"/>
  <c r="AP303" i="1" s="1"/>
  <c r="D302" i="1"/>
  <c r="E302" i="1"/>
  <c r="F302" i="1"/>
  <c r="I302" i="1"/>
  <c r="J302" i="1"/>
  <c r="K302" i="1"/>
  <c r="L302" i="1"/>
  <c r="M302" i="1"/>
  <c r="N302" i="1"/>
  <c r="Q302" i="1"/>
  <c r="O302" i="1"/>
  <c r="P302" i="1"/>
  <c r="R302" i="1"/>
  <c r="S302" i="1"/>
  <c r="T302" i="1"/>
  <c r="U302" i="1"/>
  <c r="V302" i="1"/>
  <c r="W302" i="1"/>
  <c r="X302" i="1"/>
  <c r="Y302" i="1"/>
  <c r="Z302" i="1"/>
  <c r="AA302" i="1"/>
  <c r="AM302" i="1"/>
  <c r="AN302" i="1"/>
  <c r="AO302" i="1"/>
  <c r="AP302" i="1" s="1"/>
  <c r="D301" i="1"/>
  <c r="E301" i="1"/>
  <c r="F301" i="1"/>
  <c r="I301" i="1"/>
  <c r="J301" i="1"/>
  <c r="N301" i="1"/>
  <c r="Q301" i="1"/>
  <c r="K301" i="1"/>
  <c r="L301" i="1"/>
  <c r="M301" i="1"/>
  <c r="O301" i="1"/>
  <c r="P301" i="1"/>
  <c r="R301" i="1"/>
  <c r="S301" i="1"/>
  <c r="T301" i="1"/>
  <c r="U301" i="1"/>
  <c r="V301" i="1"/>
  <c r="W301" i="1"/>
  <c r="X301" i="1"/>
  <c r="Y301" i="1"/>
  <c r="Z301" i="1"/>
  <c r="AA301" i="1"/>
  <c r="AO301" i="1"/>
  <c r="AM301" i="1"/>
  <c r="AN301" i="1"/>
  <c r="D300" i="1"/>
  <c r="E300" i="1"/>
  <c r="F300" i="1"/>
  <c r="I300" i="1"/>
  <c r="J300" i="1"/>
  <c r="K300" i="1"/>
  <c r="L300" i="1"/>
  <c r="M300" i="1"/>
  <c r="N300" i="1"/>
  <c r="Q300" i="1"/>
  <c r="O300" i="1"/>
  <c r="P300" i="1"/>
  <c r="R300" i="1"/>
  <c r="S300" i="1"/>
  <c r="T300" i="1"/>
  <c r="U300" i="1"/>
  <c r="V300" i="1"/>
  <c r="W300" i="1"/>
  <c r="X300" i="1"/>
  <c r="Y300" i="1"/>
  <c r="Z300" i="1"/>
  <c r="AA300" i="1"/>
  <c r="AM300" i="1"/>
  <c r="AN300" i="1"/>
  <c r="AO300" i="1"/>
  <c r="AP300" i="1" s="1"/>
  <c r="D299" i="1"/>
  <c r="E299" i="1"/>
  <c r="F299" i="1"/>
  <c r="I299" i="1"/>
  <c r="J299" i="1"/>
  <c r="N299" i="1"/>
  <c r="K299" i="1"/>
  <c r="L299" i="1"/>
  <c r="M299" i="1"/>
  <c r="Q299" i="1"/>
  <c r="O299" i="1"/>
  <c r="P299" i="1"/>
  <c r="R299" i="1"/>
  <c r="S299" i="1"/>
  <c r="T299" i="1"/>
  <c r="U299" i="1"/>
  <c r="V299" i="1"/>
  <c r="W299" i="1"/>
  <c r="X299" i="1"/>
  <c r="Y299" i="1"/>
  <c r="Z299" i="1"/>
  <c r="AA299" i="1"/>
  <c r="AM299" i="1"/>
  <c r="AN299" i="1"/>
  <c r="AO299" i="1"/>
  <c r="AP299" i="1" s="1"/>
  <c r="D298" i="1"/>
  <c r="E298" i="1"/>
  <c r="F298" i="1"/>
  <c r="I298" i="1"/>
  <c r="J298" i="1"/>
  <c r="K298" i="1"/>
  <c r="L298" i="1"/>
  <c r="M298" i="1"/>
  <c r="N298" i="1"/>
  <c r="Q298" i="1"/>
  <c r="O298" i="1"/>
  <c r="P298" i="1"/>
  <c r="R298" i="1"/>
  <c r="S298" i="1"/>
  <c r="T298" i="1"/>
  <c r="U298" i="1"/>
  <c r="V298" i="1"/>
  <c r="W298" i="1"/>
  <c r="X298" i="1"/>
  <c r="Y298" i="1"/>
  <c r="Z298" i="1"/>
  <c r="AA298" i="1"/>
  <c r="AM298" i="1"/>
  <c r="AN298" i="1"/>
  <c r="AO298" i="1"/>
  <c r="AP298" i="1" s="1"/>
  <c r="D297" i="1"/>
  <c r="E297" i="1"/>
  <c r="F297" i="1"/>
  <c r="I297" i="1"/>
  <c r="J297" i="1"/>
  <c r="N297" i="1"/>
  <c r="K297" i="1"/>
  <c r="L297" i="1"/>
  <c r="M297" i="1"/>
  <c r="Q297" i="1"/>
  <c r="O297" i="1"/>
  <c r="P297" i="1"/>
  <c r="R297" i="1"/>
  <c r="S297" i="1"/>
  <c r="T297" i="1"/>
  <c r="U297" i="1"/>
  <c r="V297" i="1"/>
  <c r="W297" i="1"/>
  <c r="X297" i="1"/>
  <c r="Y297" i="1"/>
  <c r="Z297" i="1"/>
  <c r="AA297" i="1"/>
  <c r="AM297" i="1"/>
  <c r="AN297" i="1"/>
  <c r="AO297" i="1"/>
  <c r="AP297" i="1" s="1"/>
  <c r="R296" i="1"/>
  <c r="AA296" i="1"/>
  <c r="X296" i="1"/>
  <c r="F296" i="1"/>
  <c r="K296" i="1"/>
  <c r="D296" i="1"/>
  <c r="E296" i="1"/>
  <c r="I296" i="1"/>
  <c r="J296" i="1"/>
  <c r="L296" i="1"/>
  <c r="M296" i="1"/>
  <c r="N296" i="1"/>
  <c r="O296" i="1"/>
  <c r="P296" i="1"/>
  <c r="Q296" i="1"/>
  <c r="S296" i="1"/>
  <c r="T296" i="1"/>
  <c r="U296" i="1"/>
  <c r="V296" i="1"/>
  <c r="W296" i="1"/>
  <c r="Y296" i="1"/>
  <c r="Z296" i="1"/>
  <c r="AM296" i="1"/>
  <c r="AN296" i="1"/>
  <c r="AO296" i="1"/>
  <c r="AP296" i="1" s="1"/>
  <c r="F295" i="1"/>
  <c r="R295" i="1"/>
  <c r="X295" i="1"/>
  <c r="AA295" i="1"/>
  <c r="K295" i="1"/>
  <c r="D295" i="1"/>
  <c r="E295" i="1"/>
  <c r="I295" i="1"/>
  <c r="J295" i="1"/>
  <c r="L295" i="1"/>
  <c r="M295" i="1"/>
  <c r="N295" i="1"/>
  <c r="O295" i="1"/>
  <c r="P295" i="1"/>
  <c r="Q295" i="1"/>
  <c r="S295" i="1"/>
  <c r="T295" i="1"/>
  <c r="U295" i="1"/>
  <c r="V295" i="1"/>
  <c r="W295" i="1"/>
  <c r="Y295" i="1"/>
  <c r="Z295" i="1"/>
  <c r="AM295" i="1"/>
  <c r="AN295" i="1"/>
  <c r="AO295" i="1"/>
  <c r="F294" i="1"/>
  <c r="AA294" i="1"/>
  <c r="R294" i="1"/>
  <c r="X294" i="1"/>
  <c r="K294" i="1"/>
  <c r="D294" i="1"/>
  <c r="E294" i="1"/>
  <c r="I294" i="1"/>
  <c r="J294" i="1"/>
  <c r="L294" i="1"/>
  <c r="M294" i="1"/>
  <c r="N294" i="1"/>
  <c r="O294" i="1"/>
  <c r="P294" i="1"/>
  <c r="Q294" i="1"/>
  <c r="S294" i="1"/>
  <c r="T294" i="1"/>
  <c r="U294" i="1"/>
  <c r="V294" i="1"/>
  <c r="W294" i="1"/>
  <c r="Y294" i="1"/>
  <c r="AC294" i="1" s="1"/>
  <c r="Z294" i="1"/>
  <c r="AM294" i="1"/>
  <c r="AN294" i="1"/>
  <c r="AO294" i="1"/>
  <c r="AP294" i="1" s="1"/>
  <c r="D8" i="5"/>
  <c r="AE8" i="5"/>
  <c r="C9" i="5"/>
  <c r="F293" i="1"/>
  <c r="R293" i="1"/>
  <c r="K293" i="1"/>
  <c r="X293" i="1"/>
  <c r="AA293" i="1"/>
  <c r="D293" i="1"/>
  <c r="E293" i="1"/>
  <c r="I293" i="1"/>
  <c r="J293" i="1"/>
  <c r="L293" i="1"/>
  <c r="M293" i="1"/>
  <c r="N293" i="1"/>
  <c r="O293" i="1"/>
  <c r="P293" i="1"/>
  <c r="Q293" i="1"/>
  <c r="S293" i="1"/>
  <c r="T293" i="1"/>
  <c r="U293" i="1"/>
  <c r="V293" i="1"/>
  <c r="W293" i="1"/>
  <c r="Y293" i="1"/>
  <c r="AC293" i="1" s="1"/>
  <c r="Z293" i="1"/>
  <c r="AM293" i="1"/>
  <c r="AN293" i="1"/>
  <c r="AO293" i="1"/>
  <c r="AP293" i="1" s="1"/>
  <c r="F292" i="1"/>
  <c r="X292" i="1"/>
  <c r="R292" i="1"/>
  <c r="AA292" i="1"/>
  <c r="K292" i="1"/>
  <c r="D292" i="1"/>
  <c r="E292" i="1"/>
  <c r="I292" i="1"/>
  <c r="J292" i="1"/>
  <c r="L292" i="1"/>
  <c r="M292" i="1"/>
  <c r="N292" i="1"/>
  <c r="O292" i="1"/>
  <c r="P292" i="1"/>
  <c r="Q292" i="1"/>
  <c r="S292" i="1"/>
  <c r="T292" i="1"/>
  <c r="U292" i="1"/>
  <c r="V292" i="1"/>
  <c r="W292" i="1"/>
  <c r="Y292" i="1"/>
  <c r="AC292" i="1" s="1"/>
  <c r="Z292" i="1"/>
  <c r="AM292" i="1"/>
  <c r="AN292" i="1"/>
  <c r="AO292" i="1"/>
  <c r="AP292" i="1" s="1"/>
  <c r="F291" i="1"/>
  <c r="R291" i="1"/>
  <c r="X291" i="1"/>
  <c r="AA291" i="1"/>
  <c r="K291" i="1"/>
  <c r="D291" i="1"/>
  <c r="E291" i="1"/>
  <c r="I291" i="1"/>
  <c r="J291" i="1"/>
  <c r="L291" i="1"/>
  <c r="M291" i="1"/>
  <c r="N291" i="1"/>
  <c r="O291" i="1"/>
  <c r="P291" i="1"/>
  <c r="Q291" i="1"/>
  <c r="S291" i="1"/>
  <c r="T291" i="1"/>
  <c r="U291" i="1"/>
  <c r="V291" i="1"/>
  <c r="W291" i="1"/>
  <c r="Y291" i="1"/>
  <c r="AC291" i="1" s="1"/>
  <c r="Z291" i="1"/>
  <c r="AM291" i="1"/>
  <c r="AN291" i="1"/>
  <c r="AO291" i="1"/>
  <c r="F290" i="1"/>
  <c r="R290" i="1"/>
  <c r="X290" i="1"/>
  <c r="AA290" i="1"/>
  <c r="K290" i="1"/>
  <c r="D290" i="1"/>
  <c r="E290" i="1"/>
  <c r="I290" i="1"/>
  <c r="J290" i="1"/>
  <c r="L290" i="1"/>
  <c r="M290" i="1"/>
  <c r="N290" i="1"/>
  <c r="O290" i="1"/>
  <c r="P290" i="1"/>
  <c r="Q290" i="1"/>
  <c r="S290" i="1"/>
  <c r="T290" i="1"/>
  <c r="U290" i="1"/>
  <c r="V290" i="1"/>
  <c r="W290" i="1"/>
  <c r="Y290" i="1"/>
  <c r="AC290" i="1" s="1"/>
  <c r="Z290" i="1"/>
  <c r="AM290" i="1"/>
  <c r="AN290" i="1"/>
  <c r="AO290" i="1"/>
  <c r="AP290" i="1" s="1"/>
  <c r="AA289" i="1"/>
  <c r="R289" i="1"/>
  <c r="X289" i="1"/>
  <c r="F289" i="1"/>
  <c r="K289" i="1"/>
  <c r="D289" i="1"/>
  <c r="E289" i="1"/>
  <c r="I289" i="1"/>
  <c r="J289" i="1"/>
  <c r="L289" i="1"/>
  <c r="M289" i="1"/>
  <c r="N289" i="1"/>
  <c r="O289" i="1"/>
  <c r="P289" i="1"/>
  <c r="Q289" i="1"/>
  <c r="S289" i="1"/>
  <c r="T289" i="1"/>
  <c r="U289" i="1"/>
  <c r="V289" i="1"/>
  <c r="W289" i="1"/>
  <c r="Y289" i="1"/>
  <c r="AC289" i="1" s="1"/>
  <c r="Z289" i="1"/>
  <c r="AM289" i="1"/>
  <c r="AN289" i="1"/>
  <c r="AO289" i="1"/>
  <c r="K288" i="1"/>
  <c r="R288" i="1"/>
  <c r="X288" i="1"/>
  <c r="AA288" i="1"/>
  <c r="F288" i="1"/>
  <c r="D288" i="1"/>
  <c r="E288" i="1"/>
  <c r="I288" i="1"/>
  <c r="J288" i="1"/>
  <c r="L288" i="1"/>
  <c r="M288" i="1"/>
  <c r="N288" i="1"/>
  <c r="O288" i="1"/>
  <c r="P288" i="1"/>
  <c r="Q288" i="1"/>
  <c r="S288" i="1"/>
  <c r="T288" i="1"/>
  <c r="U288" i="1"/>
  <c r="V288" i="1"/>
  <c r="W288" i="1"/>
  <c r="Y288" i="1"/>
  <c r="AC288" i="1" s="1"/>
  <c r="Z288" i="1"/>
  <c r="AM288" i="1"/>
  <c r="AN288" i="1"/>
  <c r="AO288" i="1"/>
  <c r="AP288" i="1" s="1"/>
  <c r="F287" i="1"/>
  <c r="R287" i="1"/>
  <c r="K287" i="1"/>
  <c r="AA287" i="1"/>
  <c r="X287" i="1"/>
  <c r="D287" i="1"/>
  <c r="E287" i="1"/>
  <c r="I287" i="1"/>
  <c r="J287" i="1"/>
  <c r="L287" i="1"/>
  <c r="M287" i="1"/>
  <c r="N287" i="1"/>
  <c r="O287" i="1"/>
  <c r="P287" i="1"/>
  <c r="Q287" i="1"/>
  <c r="S287" i="1"/>
  <c r="T287" i="1"/>
  <c r="U287" i="1"/>
  <c r="V287" i="1"/>
  <c r="W287" i="1"/>
  <c r="Y287" i="1"/>
  <c r="AC287" i="1" s="1"/>
  <c r="Z287" i="1"/>
  <c r="AM287" i="1"/>
  <c r="AN287" i="1"/>
  <c r="AO287" i="1"/>
  <c r="AP287" i="1" s="1"/>
  <c r="R286" i="1"/>
  <c r="AA286" i="1"/>
  <c r="X286" i="1"/>
  <c r="F286" i="1"/>
  <c r="K286" i="1"/>
  <c r="D286" i="1"/>
  <c r="E286" i="1"/>
  <c r="I286" i="1"/>
  <c r="J286" i="1"/>
  <c r="L286" i="1"/>
  <c r="M286" i="1"/>
  <c r="N286" i="1"/>
  <c r="O286" i="1"/>
  <c r="P286" i="1"/>
  <c r="Q286" i="1"/>
  <c r="S286" i="1"/>
  <c r="T286" i="1"/>
  <c r="U286" i="1"/>
  <c r="V286" i="1"/>
  <c r="W286" i="1"/>
  <c r="Y286" i="1"/>
  <c r="AC286" i="1" s="1"/>
  <c r="Z286" i="1"/>
  <c r="AM286" i="1"/>
  <c r="AN286" i="1"/>
  <c r="AO286" i="1"/>
  <c r="AP286" i="1" s="1"/>
  <c r="K285" i="1"/>
  <c r="X285" i="1"/>
  <c r="F285" i="1"/>
  <c r="R285" i="1"/>
  <c r="D285" i="1"/>
  <c r="E285" i="1"/>
  <c r="I285" i="1"/>
  <c r="J285" i="1"/>
  <c r="L285" i="1"/>
  <c r="M285" i="1"/>
  <c r="N285" i="1"/>
  <c r="O285" i="1"/>
  <c r="P285" i="1"/>
  <c r="Q285" i="1"/>
  <c r="S285" i="1"/>
  <c r="T285" i="1"/>
  <c r="U285" i="1"/>
  <c r="V285" i="1"/>
  <c r="W285" i="1"/>
  <c r="Y285" i="1"/>
  <c r="Z285" i="1"/>
  <c r="AA285" i="1"/>
  <c r="AM285" i="1"/>
  <c r="AN285" i="1"/>
  <c r="AO285" i="1"/>
  <c r="AP285" i="1" s="1"/>
  <c r="R284" i="1"/>
  <c r="X284" i="1"/>
  <c r="K284" i="1"/>
  <c r="F284" i="1"/>
  <c r="D284" i="1"/>
  <c r="E284" i="1"/>
  <c r="I284" i="1"/>
  <c r="J284" i="1"/>
  <c r="L284" i="1"/>
  <c r="M284" i="1"/>
  <c r="N284" i="1"/>
  <c r="O284" i="1"/>
  <c r="P284" i="1"/>
  <c r="Q284" i="1"/>
  <c r="S284" i="1"/>
  <c r="T284" i="1"/>
  <c r="U284" i="1"/>
  <c r="V284" i="1"/>
  <c r="W284" i="1"/>
  <c r="Y284" i="1"/>
  <c r="Z284" i="1"/>
  <c r="AA284" i="1"/>
  <c r="AM284" i="1"/>
  <c r="AN284" i="1"/>
  <c r="AO284" i="1"/>
  <c r="AP284" i="1" s="1"/>
  <c r="R283" i="1"/>
  <c r="X283" i="1"/>
  <c r="K283" i="1"/>
  <c r="F283" i="1"/>
  <c r="D283" i="1"/>
  <c r="E283" i="1"/>
  <c r="I283" i="1"/>
  <c r="J283" i="1"/>
  <c r="L283" i="1"/>
  <c r="M283" i="1"/>
  <c r="N283" i="1"/>
  <c r="O283" i="1"/>
  <c r="P283" i="1"/>
  <c r="Q283" i="1"/>
  <c r="S283" i="1"/>
  <c r="T283" i="1"/>
  <c r="U283" i="1"/>
  <c r="V283" i="1"/>
  <c r="W283" i="1"/>
  <c r="Y283" i="1"/>
  <c r="Z283" i="1"/>
  <c r="AA283" i="1"/>
  <c r="AM283" i="1"/>
  <c r="AN283" i="1"/>
  <c r="AO283" i="1"/>
  <c r="R282" i="1"/>
  <c r="K282" i="1"/>
  <c r="X282" i="1"/>
  <c r="F282" i="1"/>
  <c r="D282" i="1"/>
  <c r="E282" i="1"/>
  <c r="I282" i="1"/>
  <c r="J282" i="1"/>
  <c r="L282" i="1"/>
  <c r="M282" i="1"/>
  <c r="N282" i="1"/>
  <c r="O282" i="1"/>
  <c r="P282" i="1"/>
  <c r="Q282" i="1"/>
  <c r="S282" i="1"/>
  <c r="T282" i="1"/>
  <c r="U282" i="1"/>
  <c r="V282" i="1"/>
  <c r="W282" i="1"/>
  <c r="Y282" i="1"/>
  <c r="Z282" i="1"/>
  <c r="AA282" i="1"/>
  <c r="AM282" i="1"/>
  <c r="AN282" i="1"/>
  <c r="AO282" i="1"/>
  <c r="R281" i="1"/>
  <c r="K281" i="1"/>
  <c r="F281" i="1"/>
  <c r="X281" i="1"/>
  <c r="D281" i="1"/>
  <c r="E281" i="1"/>
  <c r="I281" i="1"/>
  <c r="J281" i="1"/>
  <c r="L281" i="1"/>
  <c r="M281" i="1"/>
  <c r="N281" i="1"/>
  <c r="O281" i="1"/>
  <c r="P281" i="1"/>
  <c r="Q281" i="1"/>
  <c r="S281" i="1"/>
  <c r="T281" i="1"/>
  <c r="U281" i="1"/>
  <c r="V281" i="1"/>
  <c r="W281" i="1"/>
  <c r="Y281" i="1"/>
  <c r="Z281" i="1"/>
  <c r="AA281" i="1"/>
  <c r="AM281" i="1"/>
  <c r="AN281" i="1"/>
  <c r="AO281" i="1"/>
  <c r="AP281" i="1" s="1"/>
  <c r="D280" i="1"/>
  <c r="E280" i="1"/>
  <c r="F280" i="1"/>
  <c r="I280" i="1"/>
  <c r="J280" i="1"/>
  <c r="AA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AC280" i="1" s="1"/>
  <c r="Z280" i="1"/>
  <c r="AO280" i="1"/>
  <c r="AM280" i="1"/>
  <c r="AN280" i="1"/>
  <c r="D279" i="1"/>
  <c r="E279" i="1"/>
  <c r="F279" i="1"/>
  <c r="I279" i="1"/>
  <c r="J279" i="1"/>
  <c r="K279" i="1"/>
  <c r="L279" i="1"/>
  <c r="M279" i="1"/>
  <c r="N279" i="1"/>
  <c r="O279" i="1"/>
  <c r="P279" i="1"/>
  <c r="Q279" i="1"/>
  <c r="AA279" i="1"/>
  <c r="R279" i="1"/>
  <c r="S279" i="1"/>
  <c r="T279" i="1"/>
  <c r="U279" i="1"/>
  <c r="V279" i="1"/>
  <c r="W279" i="1"/>
  <c r="X279" i="1"/>
  <c r="Y279" i="1"/>
  <c r="AC279" i="1" s="1"/>
  <c r="Z279" i="1"/>
  <c r="AN279" i="1"/>
  <c r="AO279" i="1"/>
  <c r="AM279" i="1"/>
  <c r="D278" i="1"/>
  <c r="E278" i="1"/>
  <c r="F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O278" i="1"/>
  <c r="AM278" i="1"/>
  <c r="AN278" i="1"/>
  <c r="D277" i="1"/>
  <c r="E277" i="1"/>
  <c r="F277" i="1"/>
  <c r="I277" i="1"/>
  <c r="J277" i="1"/>
  <c r="K277" i="1"/>
  <c r="L277" i="1"/>
  <c r="M277" i="1"/>
  <c r="N277" i="1"/>
  <c r="AA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N277" i="1"/>
  <c r="AO277" i="1"/>
  <c r="AM277" i="1"/>
  <c r="D276" i="1"/>
  <c r="E276" i="1"/>
  <c r="F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AA276" i="1"/>
  <c r="U276" i="1"/>
  <c r="V276" i="1"/>
  <c r="W276" i="1"/>
  <c r="X276" i="1"/>
  <c r="Y276" i="1"/>
  <c r="AC276" i="1" s="1"/>
  <c r="Z276" i="1"/>
  <c r="AM276" i="1"/>
  <c r="AN276" i="1"/>
  <c r="AO276" i="1"/>
  <c r="D275" i="1"/>
  <c r="E275" i="1"/>
  <c r="F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AA275" i="1"/>
  <c r="X275" i="1"/>
  <c r="Y275" i="1"/>
  <c r="Z275" i="1"/>
  <c r="AN275" i="1"/>
  <c r="AO275" i="1"/>
  <c r="AM275" i="1"/>
  <c r="D274" i="1"/>
  <c r="E274" i="1"/>
  <c r="F274" i="1"/>
  <c r="I274" i="1"/>
  <c r="J274" i="1"/>
  <c r="K274" i="1"/>
  <c r="AA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AC274" i="1" s="1"/>
  <c r="Z274" i="1"/>
  <c r="AM274" i="1"/>
  <c r="AN274" i="1"/>
  <c r="AO274" i="1"/>
  <c r="D273" i="1"/>
  <c r="E273" i="1"/>
  <c r="F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N273" i="1"/>
  <c r="AO273" i="1"/>
  <c r="AM273" i="1"/>
  <c r="D272" i="1"/>
  <c r="E272" i="1"/>
  <c r="F272" i="1"/>
  <c r="I272" i="1"/>
  <c r="J272" i="1"/>
  <c r="K272" i="1"/>
  <c r="L272" i="1"/>
  <c r="M272" i="1"/>
  <c r="N272" i="1"/>
  <c r="O272" i="1"/>
  <c r="P272" i="1"/>
  <c r="Q272" i="1"/>
  <c r="AA272" i="1"/>
  <c r="R272" i="1"/>
  <c r="S272" i="1"/>
  <c r="T272" i="1"/>
  <c r="U272" i="1"/>
  <c r="V272" i="1"/>
  <c r="W272" i="1"/>
  <c r="X272" i="1"/>
  <c r="Y272" i="1"/>
  <c r="AC272" i="1" s="1"/>
  <c r="Z272" i="1"/>
  <c r="AM272" i="1"/>
  <c r="AN272" i="1"/>
  <c r="AO272" i="1"/>
  <c r="D271" i="1"/>
  <c r="E271" i="1"/>
  <c r="F271" i="1"/>
  <c r="I271" i="1"/>
  <c r="J271" i="1"/>
  <c r="K271" i="1"/>
  <c r="L271" i="1"/>
  <c r="M271" i="1"/>
  <c r="N271" i="1"/>
  <c r="AA271" i="1"/>
  <c r="O271" i="1"/>
  <c r="P271" i="1"/>
  <c r="Q271" i="1"/>
  <c r="R271" i="1"/>
  <c r="S271" i="1"/>
  <c r="T271" i="1"/>
  <c r="U271" i="1"/>
  <c r="V271" i="1"/>
  <c r="W271" i="1"/>
  <c r="X271" i="1"/>
  <c r="Y271" i="1"/>
  <c r="AC271" i="1" s="1"/>
  <c r="Z271" i="1"/>
  <c r="AN271" i="1"/>
  <c r="AO271" i="1"/>
  <c r="AM271" i="1"/>
  <c r="D270" i="1"/>
  <c r="E270" i="1"/>
  <c r="F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AA270" i="1"/>
  <c r="U270" i="1"/>
  <c r="V270" i="1"/>
  <c r="W270" i="1"/>
  <c r="X270" i="1"/>
  <c r="Y270" i="1"/>
  <c r="Z270" i="1"/>
  <c r="AM270" i="1"/>
  <c r="AN270" i="1"/>
  <c r="AO270" i="1"/>
  <c r="D269" i="1"/>
  <c r="E269" i="1"/>
  <c r="F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AA269" i="1"/>
  <c r="X269" i="1"/>
  <c r="Y269" i="1"/>
  <c r="Z269" i="1"/>
  <c r="AN269" i="1"/>
  <c r="AO269" i="1"/>
  <c r="AM269" i="1"/>
  <c r="D268" i="1"/>
  <c r="E268" i="1"/>
  <c r="F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M268" i="1"/>
  <c r="AN268" i="1"/>
  <c r="AO268" i="1"/>
  <c r="D267" i="1"/>
  <c r="E267" i="1"/>
  <c r="F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AA267" i="1"/>
  <c r="U267" i="1"/>
  <c r="V267" i="1"/>
  <c r="W267" i="1"/>
  <c r="X267" i="1"/>
  <c r="Y267" i="1"/>
  <c r="AC267" i="1" s="1"/>
  <c r="Z267" i="1"/>
  <c r="AN267" i="1"/>
  <c r="AO267" i="1"/>
  <c r="AM267" i="1"/>
  <c r="D266" i="1"/>
  <c r="E266" i="1"/>
  <c r="F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AA266" i="1"/>
  <c r="X266" i="1"/>
  <c r="Y266" i="1"/>
  <c r="Z266" i="1"/>
  <c r="AM266" i="1"/>
  <c r="AN266" i="1"/>
  <c r="AO266" i="1"/>
  <c r="D265" i="1"/>
  <c r="E265" i="1"/>
  <c r="F265" i="1"/>
  <c r="I265" i="1"/>
  <c r="J265" i="1"/>
  <c r="K265" i="1"/>
  <c r="L265" i="1"/>
  <c r="M265" i="1"/>
  <c r="N265" i="1"/>
  <c r="AA265" i="1"/>
  <c r="O265" i="1"/>
  <c r="P265" i="1"/>
  <c r="Q265" i="1"/>
  <c r="R265" i="1"/>
  <c r="S265" i="1"/>
  <c r="T265" i="1"/>
  <c r="U265" i="1"/>
  <c r="V265" i="1"/>
  <c r="W265" i="1"/>
  <c r="X265" i="1"/>
  <c r="Y265" i="1"/>
  <c r="AC265" i="1" s="1"/>
  <c r="Z265" i="1"/>
  <c r="AN265" i="1"/>
  <c r="AM265" i="1"/>
  <c r="AO265" i="1"/>
  <c r="D264" i="1"/>
  <c r="E264" i="1"/>
  <c r="F264" i="1"/>
  <c r="I264" i="1"/>
  <c r="J264" i="1"/>
  <c r="K264" i="1"/>
  <c r="AA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AC264" i="1" s="1"/>
  <c r="Z264" i="1"/>
  <c r="AO264" i="1"/>
  <c r="AM264" i="1"/>
  <c r="AN264" i="1"/>
  <c r="D263" i="1"/>
  <c r="E263" i="1"/>
  <c r="F263" i="1"/>
  <c r="I263" i="1"/>
  <c r="J263" i="1"/>
  <c r="K263" i="1"/>
  <c r="L263" i="1"/>
  <c r="M263" i="1"/>
  <c r="N263" i="1"/>
  <c r="O263" i="1"/>
  <c r="P263" i="1"/>
  <c r="Q263" i="1"/>
  <c r="AA263" i="1"/>
  <c r="R263" i="1"/>
  <c r="S263" i="1"/>
  <c r="T263" i="1"/>
  <c r="U263" i="1"/>
  <c r="V263" i="1"/>
  <c r="W263" i="1"/>
  <c r="X263" i="1"/>
  <c r="Y263" i="1"/>
  <c r="AC263" i="1" s="1"/>
  <c r="Z263" i="1"/>
  <c r="AN263" i="1"/>
  <c r="AM263" i="1"/>
  <c r="AO263" i="1"/>
  <c r="D262" i="1"/>
  <c r="E262" i="1"/>
  <c r="F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O262" i="1"/>
  <c r="AM262" i="1"/>
  <c r="AN262" i="1"/>
  <c r="D261" i="1"/>
  <c r="E261" i="1"/>
  <c r="F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AA261" i="1"/>
  <c r="U261" i="1"/>
  <c r="V261" i="1"/>
  <c r="W261" i="1"/>
  <c r="X261" i="1"/>
  <c r="Y261" i="1"/>
  <c r="Z261" i="1"/>
  <c r="AN261" i="1"/>
  <c r="AM261" i="1"/>
  <c r="AO261" i="1"/>
  <c r="D260" i="1"/>
  <c r="E260" i="1"/>
  <c r="F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AA260" i="1"/>
  <c r="X260" i="1"/>
  <c r="Y260" i="1"/>
  <c r="AC260" i="1" s="1"/>
  <c r="Z260" i="1"/>
  <c r="AO260" i="1"/>
  <c r="AM260" i="1"/>
  <c r="AN260" i="1"/>
  <c r="D259" i="1"/>
  <c r="E259" i="1"/>
  <c r="F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M259" i="1"/>
  <c r="AN259" i="1"/>
  <c r="AO259" i="1"/>
  <c r="AP259" i="1" s="1"/>
  <c r="D258" i="1"/>
  <c r="E258" i="1"/>
  <c r="F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AA258" i="1"/>
  <c r="U258" i="1"/>
  <c r="V258" i="1"/>
  <c r="W258" i="1"/>
  <c r="X258" i="1"/>
  <c r="Y258" i="1"/>
  <c r="AC258" i="1" s="1"/>
  <c r="Z258" i="1"/>
  <c r="AN258" i="1"/>
  <c r="AO258" i="1"/>
  <c r="AM258" i="1"/>
  <c r="D257" i="1"/>
  <c r="E257" i="1"/>
  <c r="F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AA257" i="1"/>
  <c r="X257" i="1"/>
  <c r="Y257" i="1"/>
  <c r="AC257" i="1" s="1"/>
  <c r="Z257" i="1"/>
  <c r="AM257" i="1"/>
  <c r="AN257" i="1"/>
  <c r="AO257" i="1"/>
  <c r="AP257" i="1" s="1"/>
  <c r="D256" i="1"/>
  <c r="E256" i="1"/>
  <c r="F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N256" i="1"/>
  <c r="AO256" i="1"/>
  <c r="AM256" i="1"/>
  <c r="D255" i="1"/>
  <c r="E255" i="1"/>
  <c r="F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AA255" i="1"/>
  <c r="U255" i="1"/>
  <c r="V255" i="1"/>
  <c r="W255" i="1"/>
  <c r="X255" i="1"/>
  <c r="Y255" i="1"/>
  <c r="AC255" i="1" s="1"/>
  <c r="Z255" i="1"/>
  <c r="AM255" i="1"/>
  <c r="AN255" i="1"/>
  <c r="AO255" i="1"/>
  <c r="AP255" i="1" s="1"/>
  <c r="D254" i="1"/>
  <c r="E254" i="1"/>
  <c r="F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N254" i="1"/>
  <c r="AO254" i="1"/>
  <c r="AM254" i="1"/>
  <c r="D253" i="1"/>
  <c r="E253" i="1"/>
  <c r="F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AA253" i="1"/>
  <c r="X253" i="1"/>
  <c r="Y253" i="1"/>
  <c r="AC253" i="1" s="1"/>
  <c r="Z253" i="1"/>
  <c r="AM253" i="1"/>
  <c r="AN253" i="1"/>
  <c r="AO253" i="1"/>
  <c r="AP253" i="1" s="1"/>
  <c r="D252" i="1"/>
  <c r="E252" i="1"/>
  <c r="F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AA252" i="1"/>
  <c r="U252" i="1"/>
  <c r="V252" i="1"/>
  <c r="W252" i="1"/>
  <c r="X252" i="1"/>
  <c r="Y252" i="1"/>
  <c r="AC252" i="1" s="1"/>
  <c r="Z252" i="1"/>
  <c r="AN252" i="1"/>
  <c r="AO252" i="1"/>
  <c r="AM252" i="1"/>
  <c r="D251" i="1"/>
  <c r="E251" i="1"/>
  <c r="F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M251" i="1"/>
  <c r="AN251" i="1"/>
  <c r="AO251" i="1"/>
  <c r="AP251" i="1" s="1"/>
  <c r="D250" i="1"/>
  <c r="E250" i="1"/>
  <c r="F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AA250" i="1"/>
  <c r="X250" i="1"/>
  <c r="Y250" i="1"/>
  <c r="AC250" i="1" s="1"/>
  <c r="Z250" i="1"/>
  <c r="AN250" i="1"/>
  <c r="AO250" i="1"/>
  <c r="AM250" i="1"/>
  <c r="D249" i="1"/>
  <c r="E249" i="1"/>
  <c r="F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AA249" i="1"/>
  <c r="U249" i="1"/>
  <c r="V249" i="1"/>
  <c r="W249" i="1"/>
  <c r="X249" i="1"/>
  <c r="Y249" i="1"/>
  <c r="AC249" i="1" s="1"/>
  <c r="Z249" i="1"/>
  <c r="AM249" i="1"/>
  <c r="AN249" i="1"/>
  <c r="AO249" i="1"/>
  <c r="AP249" i="1" s="1"/>
  <c r="D248" i="1"/>
  <c r="E248" i="1"/>
  <c r="F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N248" i="1"/>
  <c r="AO248" i="1"/>
  <c r="AM248" i="1"/>
  <c r="D247" i="1"/>
  <c r="E247" i="1"/>
  <c r="F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AA247" i="1"/>
  <c r="X247" i="1"/>
  <c r="Y247" i="1"/>
  <c r="AC247" i="1" s="1"/>
  <c r="Z247" i="1"/>
  <c r="AM247" i="1"/>
  <c r="AN247" i="1"/>
  <c r="AO247" i="1"/>
  <c r="AP247" i="1" s="1"/>
  <c r="D246" i="1"/>
  <c r="E246" i="1"/>
  <c r="F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AA246" i="1"/>
  <c r="U246" i="1"/>
  <c r="V246" i="1"/>
  <c r="W246" i="1"/>
  <c r="X246" i="1"/>
  <c r="Y246" i="1"/>
  <c r="AC246" i="1" s="1"/>
  <c r="Z246" i="1"/>
  <c r="AN246" i="1"/>
  <c r="AO246" i="1"/>
  <c r="AM246" i="1"/>
  <c r="D245" i="1"/>
  <c r="E245" i="1"/>
  <c r="F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M245" i="1"/>
  <c r="AN245" i="1"/>
  <c r="AO245" i="1"/>
  <c r="AP245" i="1" s="1"/>
  <c r="D244" i="1"/>
  <c r="E244" i="1"/>
  <c r="F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AA244" i="1"/>
  <c r="X244" i="1"/>
  <c r="Y244" i="1"/>
  <c r="AC244" i="1" s="1"/>
  <c r="Z244" i="1"/>
  <c r="AN244" i="1"/>
  <c r="AO244" i="1"/>
  <c r="AM244" i="1"/>
  <c r="D243" i="1"/>
  <c r="E243" i="1"/>
  <c r="F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M243" i="1"/>
  <c r="AN243" i="1"/>
  <c r="AO243" i="1"/>
  <c r="AP243" i="1" s="1"/>
  <c r="D242" i="1"/>
  <c r="E242" i="1"/>
  <c r="F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AA242" i="1"/>
  <c r="U242" i="1"/>
  <c r="V242" i="1"/>
  <c r="W242" i="1"/>
  <c r="X242" i="1"/>
  <c r="Y242" i="1"/>
  <c r="AC242" i="1" s="1"/>
  <c r="Z242" i="1"/>
  <c r="AO242" i="1"/>
  <c r="AM242" i="1"/>
  <c r="AN242" i="1"/>
  <c r="D241" i="1"/>
  <c r="E241" i="1"/>
  <c r="F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AA241" i="1"/>
  <c r="X241" i="1"/>
  <c r="Y241" i="1"/>
  <c r="AC241" i="1" s="1"/>
  <c r="Z241" i="1"/>
  <c r="AN241" i="1"/>
  <c r="AM241" i="1"/>
  <c r="AO241" i="1"/>
  <c r="D240" i="1"/>
  <c r="E240" i="1"/>
  <c r="F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O240" i="1"/>
  <c r="AM240" i="1"/>
  <c r="AN240" i="1"/>
  <c r="D239" i="1"/>
  <c r="E239" i="1"/>
  <c r="F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AA239" i="1"/>
  <c r="U239" i="1"/>
  <c r="V239" i="1"/>
  <c r="W239" i="1"/>
  <c r="X239" i="1"/>
  <c r="Y239" i="1"/>
  <c r="AC239" i="1" s="1"/>
  <c r="Z239" i="1"/>
  <c r="AN239" i="1"/>
  <c r="AM239" i="1"/>
  <c r="AO239" i="1"/>
  <c r="D238" i="1"/>
  <c r="E238" i="1"/>
  <c r="F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AA238" i="1"/>
  <c r="X238" i="1"/>
  <c r="Y238" i="1"/>
  <c r="Z238" i="1"/>
  <c r="AO238" i="1"/>
  <c r="AM238" i="1"/>
  <c r="AN238" i="1"/>
  <c r="D237" i="1"/>
  <c r="E237" i="1"/>
  <c r="F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N237" i="1"/>
  <c r="AM237" i="1"/>
  <c r="AO237" i="1"/>
  <c r="AP237" i="1" s="1"/>
  <c r="D236" i="1"/>
  <c r="E236" i="1"/>
  <c r="F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AA236" i="1"/>
  <c r="U236" i="1"/>
  <c r="V236" i="1"/>
  <c r="W236" i="1"/>
  <c r="X236" i="1"/>
  <c r="Y236" i="1"/>
  <c r="AC236" i="1" s="1"/>
  <c r="Z236" i="1"/>
  <c r="AO236" i="1"/>
  <c r="AM236" i="1"/>
  <c r="AN236" i="1"/>
  <c r="D235" i="1"/>
  <c r="E235" i="1"/>
  <c r="F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X235" i="1"/>
  <c r="U235" i="1"/>
  <c r="V235" i="1"/>
  <c r="W235" i="1"/>
  <c r="AA235" i="1"/>
  <c r="Y235" i="1"/>
  <c r="AC235" i="1" s="1"/>
  <c r="Z235" i="1"/>
  <c r="AN235" i="1"/>
  <c r="AM235" i="1"/>
  <c r="AO235" i="1"/>
  <c r="AP235" i="1" s="1"/>
  <c r="D234" i="1"/>
  <c r="E234" i="1"/>
  <c r="F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O234" i="1"/>
  <c r="AM234" i="1"/>
  <c r="AN234" i="1"/>
  <c r="D233" i="1"/>
  <c r="E233" i="1"/>
  <c r="F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X233" i="1"/>
  <c r="AA233" i="1"/>
  <c r="U233" i="1"/>
  <c r="V233" i="1"/>
  <c r="W233" i="1"/>
  <c r="Y233" i="1"/>
  <c r="AC233" i="1" s="1"/>
  <c r="Z233" i="1"/>
  <c r="AN233" i="1"/>
  <c r="AM233" i="1"/>
  <c r="AO233" i="1"/>
  <c r="AP233" i="1" s="1"/>
  <c r="D232" i="1"/>
  <c r="E232" i="1"/>
  <c r="F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AA232" i="1"/>
  <c r="Y232" i="1"/>
  <c r="AC232" i="1" s="1"/>
  <c r="Z232" i="1"/>
  <c r="AO232" i="1"/>
  <c r="AM232" i="1"/>
  <c r="AN232" i="1"/>
  <c r="D231" i="1"/>
  <c r="E231" i="1"/>
  <c r="F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X231" i="1"/>
  <c r="U231" i="1"/>
  <c r="V231" i="1"/>
  <c r="W231" i="1"/>
  <c r="Y231" i="1"/>
  <c r="Z231" i="1"/>
  <c r="AA231" i="1"/>
  <c r="AN231" i="1"/>
  <c r="AM231" i="1"/>
  <c r="AO231" i="1"/>
  <c r="AP231" i="1" s="1"/>
  <c r="D230" i="1"/>
  <c r="E230" i="1"/>
  <c r="F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AA230" i="1"/>
  <c r="U230" i="1"/>
  <c r="V230" i="1"/>
  <c r="W230" i="1"/>
  <c r="X230" i="1"/>
  <c r="Y230" i="1"/>
  <c r="AC230" i="1" s="1"/>
  <c r="Z230" i="1"/>
  <c r="AO230" i="1"/>
  <c r="AM230" i="1"/>
  <c r="AN230" i="1"/>
  <c r="D229" i="1"/>
  <c r="E229" i="1"/>
  <c r="F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X229" i="1"/>
  <c r="U229" i="1"/>
  <c r="V229" i="1"/>
  <c r="W229" i="1"/>
  <c r="AA229" i="1"/>
  <c r="Y229" i="1"/>
  <c r="AC229" i="1" s="1"/>
  <c r="Z229" i="1"/>
  <c r="AN229" i="1"/>
  <c r="AM229" i="1"/>
  <c r="AO229" i="1"/>
  <c r="AP229" i="1" s="1"/>
  <c r="D228" i="1"/>
  <c r="E228" i="1"/>
  <c r="F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O228" i="1"/>
  <c r="AM228" i="1"/>
  <c r="AN228" i="1"/>
  <c r="D227" i="1"/>
  <c r="E227" i="1"/>
  <c r="F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X227" i="1"/>
  <c r="AA227" i="1"/>
  <c r="U227" i="1"/>
  <c r="V227" i="1"/>
  <c r="W227" i="1"/>
  <c r="Y227" i="1"/>
  <c r="AC227" i="1" s="1"/>
  <c r="Z227" i="1"/>
  <c r="AN227" i="1"/>
  <c r="AM227" i="1"/>
  <c r="AO227" i="1"/>
  <c r="AP227" i="1" s="1"/>
  <c r="D226" i="1"/>
  <c r="E226" i="1"/>
  <c r="F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O226" i="1"/>
  <c r="AM226" i="1"/>
  <c r="AN226" i="1"/>
  <c r="D225" i="1"/>
  <c r="E225" i="1"/>
  <c r="F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X225" i="1"/>
  <c r="U225" i="1"/>
  <c r="V225" i="1"/>
  <c r="W225" i="1"/>
  <c r="AA225" i="1"/>
  <c r="Y225" i="1"/>
  <c r="AC225" i="1" s="1"/>
  <c r="Z225" i="1"/>
  <c r="AN225" i="1"/>
  <c r="AM225" i="1"/>
  <c r="AO225" i="1"/>
  <c r="AP225" i="1" s="1"/>
  <c r="D224" i="1"/>
  <c r="E224" i="1"/>
  <c r="F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AA224" i="1"/>
  <c r="U224" i="1"/>
  <c r="V224" i="1"/>
  <c r="W224" i="1"/>
  <c r="X224" i="1"/>
  <c r="Y224" i="1"/>
  <c r="AC224" i="1" s="1"/>
  <c r="Z224" i="1"/>
  <c r="AO224" i="1"/>
  <c r="AM224" i="1"/>
  <c r="AN224" i="1"/>
  <c r="D223" i="1"/>
  <c r="E223" i="1"/>
  <c r="F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X223" i="1"/>
  <c r="U223" i="1"/>
  <c r="V223" i="1"/>
  <c r="W223" i="1"/>
  <c r="Y223" i="1"/>
  <c r="Z223" i="1"/>
  <c r="AA223" i="1"/>
  <c r="AN223" i="1"/>
  <c r="AM223" i="1"/>
  <c r="AO223" i="1"/>
  <c r="AP223" i="1" s="1"/>
  <c r="D222" i="1"/>
  <c r="E222" i="1"/>
  <c r="F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AA222" i="1"/>
  <c r="Y222" i="1"/>
  <c r="AC222" i="1" s="1"/>
  <c r="Z222" i="1"/>
  <c r="AO222" i="1"/>
  <c r="AM222" i="1"/>
  <c r="AN222" i="1"/>
  <c r="D221" i="1"/>
  <c r="E221" i="1"/>
  <c r="F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X221" i="1"/>
  <c r="AA221" i="1"/>
  <c r="U221" i="1"/>
  <c r="V221" i="1"/>
  <c r="W221" i="1"/>
  <c r="Y221" i="1"/>
  <c r="AC221" i="1" s="1"/>
  <c r="Z221" i="1"/>
  <c r="AN221" i="1"/>
  <c r="AM221" i="1"/>
  <c r="AO221" i="1"/>
  <c r="AP221" i="1" s="1"/>
  <c r="D220" i="1"/>
  <c r="E220" i="1"/>
  <c r="F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O220" i="1"/>
  <c r="AM220" i="1"/>
  <c r="AN220" i="1"/>
  <c r="D219" i="1"/>
  <c r="E219" i="1"/>
  <c r="F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X219" i="1"/>
  <c r="U219" i="1"/>
  <c r="V219" i="1"/>
  <c r="W219" i="1"/>
  <c r="AA219" i="1"/>
  <c r="Y219" i="1"/>
  <c r="AC219" i="1" s="1"/>
  <c r="Z219" i="1"/>
  <c r="AN219" i="1"/>
  <c r="AM219" i="1"/>
  <c r="AO219" i="1"/>
  <c r="AP219" i="1" s="1"/>
  <c r="D218" i="1"/>
  <c r="E218" i="1"/>
  <c r="F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AA218" i="1"/>
  <c r="U218" i="1"/>
  <c r="V218" i="1"/>
  <c r="W218" i="1"/>
  <c r="X218" i="1"/>
  <c r="Y218" i="1"/>
  <c r="AC218" i="1" s="1"/>
  <c r="Z218" i="1"/>
  <c r="AO218" i="1"/>
  <c r="AM218" i="1"/>
  <c r="AN218" i="1"/>
  <c r="D217" i="1"/>
  <c r="E217" i="1"/>
  <c r="F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X217" i="1"/>
  <c r="U217" i="1"/>
  <c r="V217" i="1"/>
  <c r="W217" i="1"/>
  <c r="Y217" i="1"/>
  <c r="Z217" i="1"/>
  <c r="AA217" i="1"/>
  <c r="AN217" i="1"/>
  <c r="AM217" i="1"/>
  <c r="AO217" i="1"/>
  <c r="AP217" i="1" s="1"/>
  <c r="D216" i="1"/>
  <c r="E216" i="1"/>
  <c r="F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AA216" i="1"/>
  <c r="Y216" i="1"/>
  <c r="AC216" i="1" s="1"/>
  <c r="Z216" i="1"/>
  <c r="AO216" i="1"/>
  <c r="AM216" i="1"/>
  <c r="AN216" i="1"/>
  <c r="D215" i="1"/>
  <c r="E215" i="1"/>
  <c r="F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X215" i="1"/>
  <c r="AA215" i="1"/>
  <c r="U215" i="1"/>
  <c r="V215" i="1"/>
  <c r="W215" i="1"/>
  <c r="Y215" i="1"/>
  <c r="AC215" i="1" s="1"/>
  <c r="Z215" i="1"/>
  <c r="AM215" i="1"/>
  <c r="AN215" i="1"/>
  <c r="AO215" i="1"/>
  <c r="AP215" i="1" s="1"/>
  <c r="D214" i="1"/>
  <c r="E214" i="1"/>
  <c r="F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N214" i="1"/>
  <c r="AO214" i="1"/>
  <c r="AM214" i="1"/>
  <c r="D213" i="1"/>
  <c r="E213" i="1"/>
  <c r="F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X213" i="1"/>
  <c r="U213" i="1"/>
  <c r="V213" i="1"/>
  <c r="W213" i="1"/>
  <c r="AA213" i="1"/>
  <c r="Y213" i="1"/>
  <c r="AC213" i="1" s="1"/>
  <c r="Z213" i="1"/>
  <c r="AM213" i="1"/>
  <c r="AN213" i="1"/>
  <c r="AO213" i="1"/>
  <c r="AP213" i="1" s="1"/>
  <c r="D212" i="1"/>
  <c r="E212" i="1"/>
  <c r="F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AA212" i="1"/>
  <c r="U212" i="1"/>
  <c r="V212" i="1"/>
  <c r="W212" i="1"/>
  <c r="X212" i="1"/>
  <c r="Y212" i="1"/>
  <c r="AC212" i="1" s="1"/>
  <c r="Z212" i="1"/>
  <c r="AN212" i="1"/>
  <c r="AO212" i="1"/>
  <c r="AM212" i="1"/>
  <c r="D211" i="1"/>
  <c r="E211" i="1"/>
  <c r="F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X211" i="1"/>
  <c r="U211" i="1"/>
  <c r="V211" i="1"/>
  <c r="W211" i="1"/>
  <c r="Y211" i="1"/>
  <c r="Z211" i="1"/>
  <c r="AA211" i="1"/>
  <c r="AM211" i="1"/>
  <c r="AN211" i="1"/>
  <c r="AO211" i="1"/>
  <c r="AP211" i="1" s="1"/>
  <c r="D210" i="1"/>
  <c r="E210" i="1"/>
  <c r="J210" i="1"/>
  <c r="M210" i="1"/>
  <c r="P210" i="1"/>
  <c r="S210" i="1"/>
  <c r="V210" i="1"/>
  <c r="AA210" i="1"/>
  <c r="AO210" i="1"/>
  <c r="I210" i="1"/>
  <c r="L210" i="1"/>
  <c r="O210" i="1"/>
  <c r="R210" i="1"/>
  <c r="U210" i="1"/>
  <c r="Y210" i="1"/>
  <c r="AC210" i="1" s="1"/>
  <c r="AN210" i="1"/>
  <c r="F210" i="1"/>
  <c r="K210" i="1"/>
  <c r="N210" i="1"/>
  <c r="Q210" i="1"/>
  <c r="T210" i="1"/>
  <c r="W210" i="1"/>
  <c r="X210" i="1"/>
  <c r="Z210" i="1"/>
  <c r="AM210" i="1"/>
  <c r="D209" i="1"/>
  <c r="F209" i="1"/>
  <c r="J209" i="1"/>
  <c r="L209" i="1"/>
  <c r="N209" i="1"/>
  <c r="P209" i="1"/>
  <c r="R209" i="1"/>
  <c r="T209" i="1"/>
  <c r="AA209" i="1"/>
  <c r="U209" i="1"/>
  <c r="V209" i="1"/>
  <c r="W209" i="1"/>
  <c r="Y209" i="1"/>
  <c r="AC209" i="1" s="1"/>
  <c r="Z209" i="1"/>
  <c r="AM209" i="1"/>
  <c r="AN209" i="1"/>
  <c r="AO209" i="1"/>
  <c r="AP209" i="1" s="1"/>
  <c r="E209" i="1"/>
  <c r="I209" i="1"/>
  <c r="K209" i="1"/>
  <c r="M209" i="1"/>
  <c r="O209" i="1"/>
  <c r="Q209" i="1"/>
  <c r="S209" i="1"/>
  <c r="X209" i="1"/>
  <c r="AB209" i="1" s="1"/>
  <c r="D208" i="1"/>
  <c r="E208" i="1"/>
  <c r="F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N208" i="1"/>
  <c r="AO208" i="1"/>
  <c r="AM208" i="1"/>
  <c r="D207" i="1"/>
  <c r="E207" i="1"/>
  <c r="F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AA207" i="1"/>
  <c r="Y207" i="1"/>
  <c r="Z207" i="1"/>
  <c r="AM207" i="1"/>
  <c r="AN207" i="1"/>
  <c r="AO207" i="1"/>
  <c r="AP207" i="1" s="1"/>
  <c r="D206" i="1"/>
  <c r="E206" i="1"/>
  <c r="F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X206" i="1"/>
  <c r="AA206" i="1"/>
  <c r="U206" i="1"/>
  <c r="V206" i="1"/>
  <c r="W206" i="1"/>
  <c r="Y206" i="1"/>
  <c r="Z206" i="1"/>
  <c r="AO206" i="1"/>
  <c r="AM206" i="1"/>
  <c r="AN206" i="1"/>
  <c r="D205" i="1"/>
  <c r="E205" i="1"/>
  <c r="F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N205" i="1"/>
  <c r="AM205" i="1"/>
  <c r="AO205" i="1"/>
  <c r="AP205" i="1" s="1"/>
  <c r="D204" i="1"/>
  <c r="E204" i="1"/>
  <c r="F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X204" i="1"/>
  <c r="U204" i="1"/>
  <c r="V204" i="1"/>
  <c r="W204" i="1"/>
  <c r="AA204" i="1"/>
  <c r="Y204" i="1"/>
  <c r="Z204" i="1"/>
  <c r="AO204" i="1"/>
  <c r="AM204" i="1"/>
  <c r="AN204" i="1"/>
  <c r="Y111" i="1"/>
  <c r="X111" i="1"/>
  <c r="Z111" i="1"/>
  <c r="AA111" i="1"/>
  <c r="AM111" i="1"/>
  <c r="AN111" i="1"/>
  <c r="AO111" i="1"/>
  <c r="AP111" i="1" s="1"/>
  <c r="L111" i="1"/>
  <c r="D111" i="1"/>
  <c r="O111" i="1"/>
  <c r="M111" i="1"/>
  <c r="R111" i="1"/>
  <c r="P111" i="1"/>
  <c r="U111" i="1"/>
  <c r="S111" i="1"/>
  <c r="I111" i="1"/>
  <c r="V111" i="1"/>
  <c r="K111" i="1"/>
  <c r="F111" i="1"/>
  <c r="Q111" i="1"/>
  <c r="N111" i="1"/>
  <c r="W111" i="1"/>
  <c r="T111" i="1"/>
  <c r="J111" i="1"/>
  <c r="E111" i="1"/>
  <c r="Z109" i="1"/>
  <c r="AA109" i="1"/>
  <c r="AM109" i="1"/>
  <c r="AN109" i="1"/>
  <c r="AO109" i="1"/>
  <c r="AP109" i="1" s="1"/>
  <c r="L109" i="1"/>
  <c r="D109" i="1"/>
  <c r="O109" i="1"/>
  <c r="M109" i="1"/>
  <c r="R109" i="1"/>
  <c r="P109" i="1"/>
  <c r="U109" i="1"/>
  <c r="S109" i="1"/>
  <c r="I109" i="1"/>
  <c r="V109" i="1"/>
  <c r="Y109" i="1"/>
  <c r="AC109" i="1" s="1"/>
  <c r="K109" i="1"/>
  <c r="F109" i="1"/>
  <c r="Q109" i="1"/>
  <c r="N109" i="1"/>
  <c r="W109" i="1"/>
  <c r="T109" i="1"/>
  <c r="E109" i="1"/>
  <c r="J109" i="1"/>
  <c r="X109" i="1"/>
  <c r="AB109" i="1" s="1"/>
  <c r="J107" i="1"/>
  <c r="X107" i="1"/>
  <c r="Z107" i="1"/>
  <c r="AA107" i="1"/>
  <c r="AM107" i="1"/>
  <c r="AN107" i="1"/>
  <c r="AO107" i="1"/>
  <c r="AP107" i="1" s="1"/>
  <c r="L107" i="1"/>
  <c r="D107" i="1"/>
  <c r="O107" i="1"/>
  <c r="M107" i="1"/>
  <c r="R107" i="1"/>
  <c r="P107" i="1"/>
  <c r="U107" i="1"/>
  <c r="S107" i="1"/>
  <c r="I107" i="1"/>
  <c r="V107" i="1"/>
  <c r="K107" i="1"/>
  <c r="F107" i="1"/>
  <c r="Q107" i="1"/>
  <c r="N107" i="1"/>
  <c r="W107" i="1"/>
  <c r="T107" i="1"/>
  <c r="Y107" i="1"/>
  <c r="AC107" i="1" s="1"/>
  <c r="E107" i="1"/>
  <c r="Z106" i="1"/>
  <c r="AA106" i="1"/>
  <c r="AM106" i="1"/>
  <c r="AN106" i="1"/>
  <c r="AO106" i="1"/>
  <c r="AP106" i="1" s="1"/>
  <c r="L106" i="1"/>
  <c r="D106" i="1"/>
  <c r="O106" i="1"/>
  <c r="M106" i="1"/>
  <c r="R106" i="1"/>
  <c r="P106" i="1"/>
  <c r="U106" i="1"/>
  <c r="S106" i="1"/>
  <c r="I106" i="1"/>
  <c r="V106" i="1"/>
  <c r="E106" i="1"/>
  <c r="N106" i="1"/>
  <c r="K106" i="1"/>
  <c r="F106" i="1"/>
  <c r="T106" i="1"/>
  <c r="Q106" i="1"/>
  <c r="W106" i="1"/>
  <c r="J106" i="1"/>
  <c r="Y106" i="1"/>
  <c r="AC106" i="1" s="1"/>
  <c r="X106" i="1"/>
  <c r="AB106" i="1" s="1"/>
  <c r="AE106" i="1" s="1"/>
  <c r="J125" i="1"/>
  <c r="Y125" i="1"/>
  <c r="Z125" i="1"/>
  <c r="AA125" i="1"/>
  <c r="AM125" i="1"/>
  <c r="AN125" i="1"/>
  <c r="AO125" i="1"/>
  <c r="AP125" i="1" s="1"/>
  <c r="L125" i="1"/>
  <c r="X125" i="1"/>
  <c r="AB125" i="1" s="1"/>
  <c r="O125" i="1"/>
  <c r="M125" i="1"/>
  <c r="R125" i="1"/>
  <c r="P125" i="1"/>
  <c r="U125" i="1"/>
  <c r="V125" i="1"/>
  <c r="S125" i="1"/>
  <c r="F125" i="1"/>
  <c r="I125" i="1"/>
  <c r="K125" i="1"/>
  <c r="Q125" i="1"/>
  <c r="N125" i="1"/>
  <c r="W125" i="1"/>
  <c r="T125" i="1"/>
  <c r="D125" i="1"/>
  <c r="E125" i="1"/>
  <c r="Y124" i="1"/>
  <c r="Z124" i="1"/>
  <c r="AA124" i="1"/>
  <c r="AM124" i="1"/>
  <c r="AN124" i="1"/>
  <c r="AO124" i="1"/>
  <c r="AP124" i="1" s="1"/>
  <c r="L124" i="1"/>
  <c r="X124" i="1"/>
  <c r="AB124" i="1" s="1"/>
  <c r="O124" i="1"/>
  <c r="M124" i="1"/>
  <c r="R124" i="1"/>
  <c r="P124" i="1"/>
  <c r="U124" i="1"/>
  <c r="V124" i="1"/>
  <c r="S124" i="1"/>
  <c r="F124" i="1"/>
  <c r="I124" i="1"/>
  <c r="K124" i="1"/>
  <c r="Q124" i="1"/>
  <c r="N124" i="1"/>
  <c r="T124" i="1"/>
  <c r="W124" i="1"/>
  <c r="D124" i="1"/>
  <c r="J124" i="1"/>
  <c r="E124" i="1"/>
  <c r="Z123" i="1"/>
  <c r="AA123" i="1"/>
  <c r="AM123" i="1"/>
  <c r="AN123" i="1"/>
  <c r="AO123" i="1"/>
  <c r="AP123" i="1" s="1"/>
  <c r="L123" i="1"/>
  <c r="X123" i="1"/>
  <c r="AB123" i="1" s="1"/>
  <c r="O123" i="1"/>
  <c r="M123" i="1"/>
  <c r="R123" i="1"/>
  <c r="P123" i="1"/>
  <c r="U123" i="1"/>
  <c r="V123" i="1"/>
  <c r="S123" i="1"/>
  <c r="F123" i="1"/>
  <c r="I123" i="1"/>
  <c r="Y123" i="1"/>
  <c r="AC123" i="1" s="1"/>
  <c r="AD123" i="1" s="1"/>
  <c r="K123" i="1"/>
  <c r="Q123" i="1"/>
  <c r="N123" i="1"/>
  <c r="W123" i="1"/>
  <c r="T123" i="1"/>
  <c r="E123" i="1"/>
  <c r="J123" i="1"/>
  <c r="D123" i="1"/>
  <c r="D203" i="1"/>
  <c r="E203" i="1"/>
  <c r="F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AA203" i="1"/>
  <c r="U203" i="1"/>
  <c r="V203" i="1"/>
  <c r="W203" i="1"/>
  <c r="X203" i="1"/>
  <c r="Y203" i="1"/>
  <c r="AC203" i="1" s="1"/>
  <c r="Z203" i="1"/>
  <c r="AN203" i="1"/>
  <c r="AM203" i="1"/>
  <c r="AO203" i="1"/>
  <c r="AP203" i="1" s="1"/>
  <c r="D202" i="1"/>
  <c r="E202" i="1"/>
  <c r="F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X202" i="1"/>
  <c r="U202" i="1"/>
  <c r="V202" i="1"/>
  <c r="W202" i="1"/>
  <c r="Y202" i="1"/>
  <c r="Z202" i="1"/>
  <c r="AA202" i="1"/>
  <c r="AO202" i="1"/>
  <c r="AM202" i="1"/>
  <c r="AN202" i="1"/>
  <c r="D201" i="1"/>
  <c r="E201" i="1"/>
  <c r="F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AA201" i="1"/>
  <c r="Y201" i="1"/>
  <c r="AC201" i="1" s="1"/>
  <c r="Z201" i="1"/>
  <c r="AN201" i="1"/>
  <c r="AM201" i="1"/>
  <c r="AO201" i="1"/>
  <c r="AP201" i="1" s="1"/>
  <c r="D200" i="1"/>
  <c r="E200" i="1"/>
  <c r="F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X200" i="1"/>
  <c r="AA200" i="1"/>
  <c r="U200" i="1"/>
  <c r="V200" i="1"/>
  <c r="W200" i="1"/>
  <c r="Y200" i="1"/>
  <c r="AC200" i="1" s="1"/>
  <c r="Z200" i="1"/>
  <c r="AO200" i="1"/>
  <c r="AM200" i="1"/>
  <c r="AN200" i="1"/>
  <c r="D199" i="1"/>
  <c r="E199" i="1"/>
  <c r="F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N199" i="1"/>
  <c r="AM199" i="1"/>
  <c r="AO199" i="1"/>
  <c r="AP199" i="1" s="1"/>
  <c r="D198" i="1"/>
  <c r="E198" i="1"/>
  <c r="F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X198" i="1"/>
  <c r="U198" i="1"/>
  <c r="V198" i="1"/>
  <c r="W198" i="1"/>
  <c r="Y198" i="1"/>
  <c r="Z198" i="1"/>
  <c r="AA198" i="1"/>
  <c r="AO198" i="1"/>
  <c r="AM198" i="1"/>
  <c r="AN198" i="1"/>
  <c r="D197" i="1"/>
  <c r="E197" i="1"/>
  <c r="F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AA197" i="1"/>
  <c r="Y197" i="1"/>
  <c r="AC197" i="1" s="1"/>
  <c r="Z197" i="1"/>
  <c r="AN197" i="1"/>
  <c r="AM197" i="1"/>
  <c r="AO197" i="1"/>
  <c r="AP197" i="1" s="1"/>
  <c r="D196" i="1"/>
  <c r="E196" i="1"/>
  <c r="F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X196" i="1"/>
  <c r="AA196" i="1"/>
  <c r="U196" i="1"/>
  <c r="V196" i="1"/>
  <c r="W196" i="1"/>
  <c r="Y196" i="1"/>
  <c r="AC196" i="1" s="1"/>
  <c r="Z196" i="1"/>
  <c r="AM196" i="1"/>
  <c r="AN196" i="1"/>
  <c r="AO196" i="1"/>
  <c r="AP196" i="1" s="1"/>
  <c r="D195" i="1"/>
  <c r="E195" i="1"/>
  <c r="F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N195" i="1"/>
  <c r="AO195" i="1"/>
  <c r="AM195" i="1"/>
  <c r="D194" i="1"/>
  <c r="E194" i="1"/>
  <c r="F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X194" i="1"/>
  <c r="U194" i="1"/>
  <c r="V194" i="1"/>
  <c r="W194" i="1"/>
  <c r="Y194" i="1"/>
  <c r="Z194" i="1"/>
  <c r="AA194" i="1"/>
  <c r="AM194" i="1"/>
  <c r="AN194" i="1"/>
  <c r="AO194" i="1"/>
  <c r="AP194" i="1" s="1"/>
  <c r="D193" i="1"/>
  <c r="E193" i="1"/>
  <c r="F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N193" i="1"/>
  <c r="AO193" i="1"/>
  <c r="AM193" i="1"/>
  <c r="D192" i="1"/>
  <c r="E192" i="1"/>
  <c r="F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M192" i="1"/>
  <c r="AN192" i="1"/>
  <c r="AO192" i="1"/>
  <c r="AP192" i="1" s="1"/>
  <c r="D191" i="1"/>
  <c r="E191" i="1"/>
  <c r="F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X191" i="1"/>
  <c r="U191" i="1"/>
  <c r="V191" i="1"/>
  <c r="W191" i="1"/>
  <c r="Y191" i="1"/>
  <c r="Z191" i="1"/>
  <c r="AA191" i="1"/>
  <c r="AN191" i="1"/>
  <c r="AO191" i="1"/>
  <c r="AM191" i="1"/>
  <c r="D190" i="1"/>
  <c r="E190" i="1"/>
  <c r="F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M190" i="1"/>
  <c r="AN190" i="1"/>
  <c r="AO190" i="1"/>
  <c r="AP190" i="1" s="1"/>
  <c r="D189" i="1"/>
  <c r="E189" i="1"/>
  <c r="F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X189" i="1"/>
  <c r="U189" i="1"/>
  <c r="V189" i="1"/>
  <c r="W189" i="1"/>
  <c r="Y189" i="1"/>
  <c r="Z189" i="1"/>
  <c r="AA189" i="1"/>
  <c r="AN189" i="1"/>
  <c r="AO189" i="1"/>
  <c r="AM189" i="1"/>
  <c r="D188" i="1"/>
  <c r="E188" i="1"/>
  <c r="F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M188" i="1"/>
  <c r="AN188" i="1"/>
  <c r="AO188" i="1"/>
  <c r="AP188" i="1" s="1"/>
  <c r="D187" i="1"/>
  <c r="E187" i="1"/>
  <c r="F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X187" i="1"/>
  <c r="U187" i="1"/>
  <c r="V187" i="1"/>
  <c r="W187" i="1"/>
  <c r="Y187" i="1"/>
  <c r="Z187" i="1"/>
  <c r="AA187" i="1"/>
  <c r="AO187" i="1"/>
  <c r="AM187" i="1"/>
  <c r="AN187" i="1"/>
  <c r="D186" i="1"/>
  <c r="E186" i="1"/>
  <c r="F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N186" i="1"/>
  <c r="AM186" i="1"/>
  <c r="AO186" i="1"/>
  <c r="AP186" i="1" s="1"/>
  <c r="D185" i="1"/>
  <c r="E185" i="1"/>
  <c r="F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X185" i="1"/>
  <c r="V185" i="1"/>
  <c r="W185" i="1"/>
  <c r="Y185" i="1"/>
  <c r="Z185" i="1"/>
  <c r="AA185" i="1"/>
  <c r="AO185" i="1"/>
  <c r="AM185" i="1"/>
  <c r="AN185" i="1"/>
  <c r="D184" i="1"/>
  <c r="E184" i="1"/>
  <c r="F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N184" i="1"/>
  <c r="AM184" i="1"/>
  <c r="AO184" i="1"/>
  <c r="D183" i="1"/>
  <c r="E183" i="1"/>
  <c r="F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X183" i="1"/>
  <c r="V183" i="1"/>
  <c r="W183" i="1"/>
  <c r="Y183" i="1"/>
  <c r="Z183" i="1"/>
  <c r="AA183" i="1"/>
  <c r="AO183" i="1"/>
  <c r="AM183" i="1"/>
  <c r="AN183" i="1"/>
  <c r="D182" i="1"/>
  <c r="E182" i="1"/>
  <c r="F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N182" i="1"/>
  <c r="AM182" i="1"/>
  <c r="AO182" i="1"/>
  <c r="AP182" i="1" s="1"/>
  <c r="D181" i="1"/>
  <c r="E181" i="1"/>
  <c r="F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X181" i="1"/>
  <c r="V181" i="1"/>
  <c r="W181" i="1"/>
  <c r="Y181" i="1"/>
  <c r="Z181" i="1"/>
  <c r="AA181" i="1"/>
  <c r="AO181" i="1"/>
  <c r="AM181" i="1"/>
  <c r="AN181" i="1"/>
  <c r="D180" i="1"/>
  <c r="E180" i="1"/>
  <c r="F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N180" i="1"/>
  <c r="AM180" i="1"/>
  <c r="AO180" i="1"/>
  <c r="AP180" i="1" s="1"/>
  <c r="D179" i="1"/>
  <c r="E179" i="1"/>
  <c r="F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X179" i="1"/>
  <c r="V179" i="1"/>
  <c r="W179" i="1"/>
  <c r="Y179" i="1"/>
  <c r="Z179" i="1"/>
  <c r="AA179" i="1"/>
  <c r="AO179" i="1"/>
  <c r="AM179" i="1"/>
  <c r="AN179" i="1"/>
  <c r="D178" i="1"/>
  <c r="E178" i="1"/>
  <c r="F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N178" i="1"/>
  <c r="AM178" i="1"/>
  <c r="AO178" i="1"/>
  <c r="AP178" i="1" s="1"/>
  <c r="D177" i="1"/>
  <c r="E177" i="1"/>
  <c r="F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X177" i="1"/>
  <c r="V177" i="1"/>
  <c r="W177" i="1"/>
  <c r="Y177" i="1"/>
  <c r="Z177" i="1"/>
  <c r="AA177" i="1"/>
  <c r="AO177" i="1"/>
  <c r="AM177" i="1"/>
  <c r="AN177" i="1"/>
  <c r="D176" i="1"/>
  <c r="E176" i="1"/>
  <c r="F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N176" i="1"/>
  <c r="AM176" i="1"/>
  <c r="AO176" i="1"/>
  <c r="AP176" i="1" s="1"/>
  <c r="D175" i="1"/>
  <c r="E175" i="1"/>
  <c r="F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X175" i="1"/>
  <c r="V175" i="1"/>
  <c r="W175" i="1"/>
  <c r="Y175" i="1"/>
  <c r="Z175" i="1"/>
  <c r="AA175" i="1"/>
  <c r="AO175" i="1"/>
  <c r="AM175" i="1"/>
  <c r="AN175" i="1"/>
  <c r="D174" i="1"/>
  <c r="E174" i="1"/>
  <c r="F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X174" i="1"/>
  <c r="V174" i="1"/>
  <c r="W174" i="1"/>
  <c r="Y174" i="1"/>
  <c r="Z174" i="1"/>
  <c r="AA174" i="1"/>
  <c r="AN174" i="1"/>
  <c r="AM174" i="1"/>
  <c r="AO174" i="1"/>
  <c r="AP174" i="1" s="1"/>
  <c r="D173" i="1"/>
  <c r="E173" i="1"/>
  <c r="F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O173" i="1"/>
  <c r="AM173" i="1"/>
  <c r="AN173" i="1"/>
  <c r="D172" i="1"/>
  <c r="E172" i="1"/>
  <c r="F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X172" i="1"/>
  <c r="V172" i="1"/>
  <c r="W172" i="1"/>
  <c r="Y172" i="1"/>
  <c r="Z172" i="1"/>
  <c r="AA172" i="1"/>
  <c r="AN172" i="1"/>
  <c r="AM172" i="1"/>
  <c r="AO172" i="1"/>
  <c r="AP172" i="1" s="1"/>
  <c r="D171" i="1"/>
  <c r="E171" i="1"/>
  <c r="F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M171" i="1"/>
  <c r="AN171" i="1"/>
  <c r="AO171" i="1"/>
  <c r="AP171" i="1" s="1"/>
  <c r="D170" i="1"/>
  <c r="E170" i="1"/>
  <c r="F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X170" i="1"/>
  <c r="V170" i="1"/>
  <c r="W170" i="1"/>
  <c r="Y170" i="1"/>
  <c r="Z170" i="1"/>
  <c r="AA170" i="1"/>
  <c r="AN170" i="1"/>
  <c r="AO170" i="1"/>
  <c r="AM170" i="1"/>
  <c r="D169" i="1"/>
  <c r="E169" i="1"/>
  <c r="F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M169" i="1"/>
  <c r="AN169" i="1"/>
  <c r="AO169" i="1"/>
  <c r="AP169" i="1" s="1"/>
  <c r="D168" i="1"/>
  <c r="E168" i="1"/>
  <c r="F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X168" i="1"/>
  <c r="V168" i="1"/>
  <c r="W168" i="1"/>
  <c r="Y168" i="1"/>
  <c r="Z168" i="1"/>
  <c r="AA168" i="1"/>
  <c r="AN168" i="1"/>
  <c r="AO168" i="1"/>
  <c r="AM168" i="1"/>
  <c r="D167" i="1"/>
  <c r="E167" i="1"/>
  <c r="F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M167" i="1"/>
  <c r="AN167" i="1"/>
  <c r="AO167" i="1"/>
  <c r="AP167" i="1" s="1"/>
  <c r="D166" i="1"/>
  <c r="E166" i="1"/>
  <c r="F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X166" i="1"/>
  <c r="V166" i="1"/>
  <c r="W166" i="1"/>
  <c r="Y166" i="1"/>
  <c r="Z166" i="1"/>
  <c r="AA166" i="1"/>
  <c r="AN166" i="1"/>
  <c r="AO166" i="1"/>
  <c r="AM166" i="1"/>
  <c r="D165" i="1"/>
  <c r="E165" i="1"/>
  <c r="F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M165" i="1"/>
  <c r="AN165" i="1"/>
  <c r="AO165" i="1"/>
  <c r="AP165" i="1" s="1"/>
  <c r="D164" i="1"/>
  <c r="E164" i="1"/>
  <c r="F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X164" i="1"/>
  <c r="V164" i="1"/>
  <c r="W164" i="1"/>
  <c r="Y164" i="1"/>
  <c r="Z164" i="1"/>
  <c r="AA164" i="1"/>
  <c r="AN164" i="1"/>
  <c r="AO164" i="1"/>
  <c r="AM164" i="1"/>
  <c r="D163" i="1"/>
  <c r="E163" i="1"/>
  <c r="F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M163" i="1"/>
  <c r="AN163" i="1"/>
  <c r="AO163" i="1"/>
  <c r="AP163" i="1" s="1"/>
  <c r="D162" i="1"/>
  <c r="E162" i="1"/>
  <c r="F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X162" i="1"/>
  <c r="V162" i="1"/>
  <c r="W162" i="1"/>
  <c r="Y162" i="1"/>
  <c r="Z162" i="1"/>
  <c r="AA162" i="1"/>
  <c r="AN162" i="1"/>
  <c r="AO162" i="1"/>
  <c r="AM162" i="1"/>
  <c r="D161" i="1"/>
  <c r="E161" i="1"/>
  <c r="F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M161" i="1"/>
  <c r="AN161" i="1"/>
  <c r="AO161" i="1"/>
  <c r="AP161" i="1" s="1"/>
  <c r="D160" i="1"/>
  <c r="E160" i="1"/>
  <c r="F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X160" i="1"/>
  <c r="V160" i="1"/>
  <c r="W160" i="1"/>
  <c r="Y160" i="1"/>
  <c r="Z160" i="1"/>
  <c r="AA160" i="1"/>
  <c r="AN160" i="1"/>
  <c r="AO160" i="1"/>
  <c r="AM160" i="1"/>
  <c r="D159" i="1"/>
  <c r="E159" i="1"/>
  <c r="F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M159" i="1"/>
  <c r="AN159" i="1"/>
  <c r="AO159" i="1"/>
  <c r="AP159" i="1" s="1"/>
  <c r="D158" i="1"/>
  <c r="E158" i="1"/>
  <c r="F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N158" i="1"/>
  <c r="AM158" i="1"/>
  <c r="AO158" i="1"/>
  <c r="D157" i="1"/>
  <c r="E157" i="1"/>
  <c r="F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X157" i="1"/>
  <c r="V157" i="1"/>
  <c r="W157" i="1"/>
  <c r="Y157" i="1"/>
  <c r="Z157" i="1"/>
  <c r="AA157" i="1"/>
  <c r="AO157" i="1"/>
  <c r="AM157" i="1"/>
  <c r="AN157" i="1"/>
  <c r="D156" i="1"/>
  <c r="E156" i="1"/>
  <c r="F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N156" i="1"/>
  <c r="AM156" i="1"/>
  <c r="AO156" i="1"/>
  <c r="D155" i="1"/>
  <c r="E155" i="1"/>
  <c r="F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X155" i="1"/>
  <c r="V155" i="1"/>
  <c r="W155" i="1"/>
  <c r="Y155" i="1"/>
  <c r="Z155" i="1"/>
  <c r="AA155" i="1"/>
  <c r="AO155" i="1"/>
  <c r="AM155" i="1"/>
  <c r="AN155" i="1"/>
  <c r="D154" i="1"/>
  <c r="E154" i="1"/>
  <c r="F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X154" i="1"/>
  <c r="V154" i="1"/>
  <c r="W154" i="1"/>
  <c r="Y154" i="1"/>
  <c r="Z154" i="1"/>
  <c r="AA154" i="1"/>
  <c r="AN154" i="1"/>
  <c r="AM154" i="1"/>
  <c r="AO154" i="1"/>
  <c r="D153" i="1"/>
  <c r="E153" i="1"/>
  <c r="F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O153" i="1"/>
  <c r="AM153" i="1"/>
  <c r="AN153" i="1"/>
  <c r="D152" i="1"/>
  <c r="E152" i="1"/>
  <c r="F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X152" i="1"/>
  <c r="V152" i="1"/>
  <c r="W152" i="1"/>
  <c r="Y152" i="1"/>
  <c r="Z152" i="1"/>
  <c r="AA152" i="1"/>
  <c r="AN152" i="1"/>
  <c r="AM152" i="1"/>
  <c r="AO152" i="1"/>
  <c r="AP152" i="1" s="1"/>
  <c r="D151" i="1"/>
  <c r="E151" i="1"/>
  <c r="F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O151" i="1"/>
  <c r="AM151" i="1"/>
  <c r="AN151" i="1"/>
  <c r="D150" i="1"/>
  <c r="E150" i="1"/>
  <c r="F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X150" i="1"/>
  <c r="V150" i="1"/>
  <c r="W150" i="1"/>
  <c r="Y150" i="1"/>
  <c r="Z150" i="1"/>
  <c r="AA150" i="1"/>
  <c r="AN150" i="1"/>
  <c r="AM150" i="1"/>
  <c r="AO150" i="1"/>
  <c r="AP150" i="1" s="1"/>
  <c r="D149" i="1"/>
  <c r="E149" i="1"/>
  <c r="F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O149" i="1"/>
  <c r="AM149" i="1"/>
  <c r="AN149" i="1"/>
  <c r="D148" i="1"/>
  <c r="E148" i="1"/>
  <c r="F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X148" i="1"/>
  <c r="V148" i="1"/>
  <c r="W148" i="1"/>
  <c r="Y148" i="1"/>
  <c r="Z148" i="1"/>
  <c r="AA148" i="1"/>
  <c r="AN148" i="1"/>
  <c r="AM148" i="1"/>
  <c r="AO148" i="1"/>
  <c r="AP148" i="1" s="1"/>
  <c r="D147" i="1"/>
  <c r="E147" i="1"/>
  <c r="F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O147" i="1"/>
  <c r="AM147" i="1"/>
  <c r="AN147" i="1"/>
  <c r="D146" i="1"/>
  <c r="E146" i="1"/>
  <c r="F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X146" i="1"/>
  <c r="V146" i="1"/>
  <c r="W146" i="1"/>
  <c r="Y146" i="1"/>
  <c r="Z146" i="1"/>
  <c r="AA146" i="1"/>
  <c r="AN146" i="1"/>
  <c r="AM146" i="1"/>
  <c r="AO146" i="1"/>
  <c r="AP146" i="1" s="1"/>
  <c r="D145" i="1"/>
  <c r="E145" i="1"/>
  <c r="F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O145" i="1"/>
  <c r="AM145" i="1"/>
  <c r="AN145" i="1"/>
  <c r="D144" i="1"/>
  <c r="E144" i="1"/>
  <c r="F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X144" i="1"/>
  <c r="V144" i="1"/>
  <c r="W144" i="1"/>
  <c r="Y144" i="1"/>
  <c r="Z144" i="1"/>
  <c r="AA144" i="1"/>
  <c r="AN144" i="1"/>
  <c r="AM144" i="1"/>
  <c r="AO144" i="1"/>
  <c r="AP144" i="1" s="1"/>
  <c r="D143" i="1"/>
  <c r="E143" i="1"/>
  <c r="F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O143" i="1"/>
  <c r="AM143" i="1"/>
  <c r="AN143" i="1"/>
  <c r="D142" i="1"/>
  <c r="E142" i="1"/>
  <c r="F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X142" i="1"/>
  <c r="V142" i="1"/>
  <c r="W142" i="1"/>
  <c r="Y142" i="1"/>
  <c r="Z142" i="1"/>
  <c r="AA142" i="1"/>
  <c r="AN142" i="1"/>
  <c r="AM142" i="1"/>
  <c r="AO142" i="1"/>
  <c r="AP142" i="1" s="1"/>
  <c r="D141" i="1"/>
  <c r="E141" i="1"/>
  <c r="F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O141" i="1"/>
  <c r="AM141" i="1"/>
  <c r="AN141" i="1"/>
  <c r="D140" i="1"/>
  <c r="E140" i="1"/>
  <c r="F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X140" i="1"/>
  <c r="V140" i="1"/>
  <c r="W140" i="1"/>
  <c r="Y140" i="1"/>
  <c r="Z140" i="1"/>
  <c r="AA140" i="1"/>
  <c r="AN140" i="1"/>
  <c r="AM140" i="1"/>
  <c r="AO140" i="1"/>
  <c r="D139" i="1"/>
  <c r="E139" i="1"/>
  <c r="F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X139" i="1"/>
  <c r="V139" i="1"/>
  <c r="W139" i="1"/>
  <c r="Y139" i="1"/>
  <c r="Z139" i="1"/>
  <c r="AA139" i="1"/>
  <c r="AO139" i="1"/>
  <c r="AM139" i="1"/>
  <c r="AN139" i="1"/>
  <c r="D138" i="1"/>
  <c r="E138" i="1"/>
  <c r="F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N138" i="1"/>
  <c r="AM138" i="1"/>
  <c r="AO138" i="1"/>
  <c r="D137" i="1"/>
  <c r="E137" i="1"/>
  <c r="F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X137" i="1"/>
  <c r="V137" i="1"/>
  <c r="W137" i="1"/>
  <c r="Y137" i="1"/>
  <c r="Z137" i="1"/>
  <c r="AA137" i="1"/>
  <c r="AO137" i="1"/>
  <c r="AM137" i="1"/>
  <c r="AN137" i="1"/>
  <c r="D136" i="1"/>
  <c r="E136" i="1"/>
  <c r="F136" i="1"/>
  <c r="I136" i="1"/>
  <c r="J136" i="1"/>
  <c r="K136" i="1"/>
  <c r="L136" i="1"/>
  <c r="M136" i="1"/>
  <c r="N136" i="1"/>
  <c r="R136" i="1"/>
  <c r="O136" i="1"/>
  <c r="P136" i="1"/>
  <c r="Q136" i="1"/>
  <c r="S136" i="1"/>
  <c r="T136" i="1"/>
  <c r="U136" i="1"/>
  <c r="V136" i="1"/>
  <c r="W136" i="1"/>
  <c r="X136" i="1"/>
  <c r="Y136" i="1"/>
  <c r="Z136" i="1"/>
  <c r="AA136" i="1"/>
  <c r="AN136" i="1"/>
  <c r="AM136" i="1"/>
  <c r="AO136" i="1"/>
  <c r="D135" i="1"/>
  <c r="E135" i="1"/>
  <c r="F135" i="1"/>
  <c r="I135" i="1"/>
  <c r="J135" i="1"/>
  <c r="K135" i="1"/>
  <c r="R135" i="1"/>
  <c r="L135" i="1"/>
  <c r="M135" i="1"/>
  <c r="N135" i="1"/>
  <c r="O135" i="1"/>
  <c r="P135" i="1"/>
  <c r="Q135" i="1"/>
  <c r="S135" i="1"/>
  <c r="T135" i="1"/>
  <c r="U135" i="1"/>
  <c r="X135" i="1"/>
  <c r="V135" i="1"/>
  <c r="W135" i="1"/>
  <c r="Y135" i="1"/>
  <c r="Z135" i="1"/>
  <c r="AA135" i="1"/>
  <c r="AO135" i="1"/>
  <c r="AM135" i="1"/>
  <c r="AN135" i="1"/>
  <c r="D134" i="1"/>
  <c r="E134" i="1"/>
  <c r="F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N134" i="1"/>
  <c r="AM134" i="1"/>
  <c r="AO134" i="1"/>
  <c r="D133" i="1"/>
  <c r="E133" i="1"/>
  <c r="F133" i="1"/>
  <c r="I133" i="1"/>
  <c r="J133" i="1"/>
  <c r="K133" i="1"/>
  <c r="L133" i="1"/>
  <c r="M133" i="1"/>
  <c r="N133" i="1"/>
  <c r="R133" i="1"/>
  <c r="O133" i="1"/>
  <c r="P133" i="1"/>
  <c r="Q133" i="1"/>
  <c r="S133" i="1"/>
  <c r="T133" i="1"/>
  <c r="U133" i="1"/>
  <c r="V133" i="1"/>
  <c r="W133" i="1"/>
  <c r="X133" i="1"/>
  <c r="Y133" i="1"/>
  <c r="Z133" i="1"/>
  <c r="AA133" i="1"/>
  <c r="AM133" i="1"/>
  <c r="AN133" i="1"/>
  <c r="AO133" i="1"/>
  <c r="D132" i="1"/>
  <c r="E132" i="1"/>
  <c r="F132" i="1"/>
  <c r="I132" i="1"/>
  <c r="J132" i="1"/>
  <c r="K132" i="1"/>
  <c r="R132" i="1"/>
  <c r="L132" i="1"/>
  <c r="M132" i="1"/>
  <c r="N132" i="1"/>
  <c r="O132" i="1"/>
  <c r="P132" i="1"/>
  <c r="Q132" i="1"/>
  <c r="S132" i="1"/>
  <c r="T132" i="1"/>
  <c r="U132" i="1"/>
  <c r="X132" i="1"/>
  <c r="V132" i="1"/>
  <c r="W132" i="1"/>
  <c r="Y132" i="1"/>
  <c r="Z132" i="1"/>
  <c r="AA132" i="1"/>
  <c r="AN132" i="1"/>
  <c r="AO132" i="1"/>
  <c r="AM132" i="1"/>
  <c r="D131" i="1"/>
  <c r="E131" i="1"/>
  <c r="F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X131" i="1"/>
  <c r="V131" i="1"/>
  <c r="W131" i="1"/>
  <c r="Y131" i="1"/>
  <c r="Z131" i="1"/>
  <c r="AA131" i="1"/>
  <c r="AM131" i="1"/>
  <c r="AN131" i="1"/>
  <c r="AO131" i="1"/>
  <c r="D130" i="1"/>
  <c r="E130" i="1"/>
  <c r="F130" i="1"/>
  <c r="I130" i="1"/>
  <c r="J130" i="1"/>
  <c r="K130" i="1"/>
  <c r="L130" i="1"/>
  <c r="M130" i="1"/>
  <c r="N130" i="1"/>
  <c r="R130" i="1"/>
  <c r="O130" i="1"/>
  <c r="P130" i="1"/>
  <c r="Q130" i="1"/>
  <c r="S130" i="1"/>
  <c r="T130" i="1"/>
  <c r="U130" i="1"/>
  <c r="V130" i="1"/>
  <c r="W130" i="1"/>
  <c r="X130" i="1"/>
  <c r="Y130" i="1"/>
  <c r="Z130" i="1"/>
  <c r="AA130" i="1"/>
  <c r="AN130" i="1"/>
  <c r="AO130" i="1"/>
  <c r="AM130" i="1"/>
  <c r="D129" i="1"/>
  <c r="E129" i="1"/>
  <c r="F129" i="1"/>
  <c r="I129" i="1"/>
  <c r="J129" i="1"/>
  <c r="K129" i="1"/>
  <c r="R129" i="1"/>
  <c r="L129" i="1"/>
  <c r="M129" i="1"/>
  <c r="N129" i="1"/>
  <c r="O129" i="1"/>
  <c r="P129" i="1"/>
  <c r="Q129" i="1"/>
  <c r="S129" i="1"/>
  <c r="T129" i="1"/>
  <c r="U129" i="1"/>
  <c r="V129" i="1"/>
  <c r="W129" i="1"/>
  <c r="X129" i="1"/>
  <c r="Y129" i="1"/>
  <c r="Z129" i="1"/>
  <c r="AA129" i="1"/>
  <c r="AM129" i="1"/>
  <c r="AN129" i="1"/>
  <c r="AO129" i="1"/>
  <c r="D128" i="1"/>
  <c r="E128" i="1"/>
  <c r="F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X128" i="1"/>
  <c r="V128" i="1"/>
  <c r="W128" i="1"/>
  <c r="Y128" i="1"/>
  <c r="Z128" i="1"/>
  <c r="AA128" i="1"/>
  <c r="AN128" i="1"/>
  <c r="AO128" i="1"/>
  <c r="AM128" i="1"/>
  <c r="Y127" i="1"/>
  <c r="Z127" i="1"/>
  <c r="AA127" i="1"/>
  <c r="AM127" i="1"/>
  <c r="AN127" i="1"/>
  <c r="AO127" i="1"/>
  <c r="AP127" i="1" s="1"/>
  <c r="L127" i="1"/>
  <c r="X127" i="1"/>
  <c r="AB127" i="1" s="1"/>
  <c r="O127" i="1"/>
  <c r="M127" i="1"/>
  <c r="R127" i="1"/>
  <c r="P127" i="1"/>
  <c r="U127" i="1"/>
  <c r="S127" i="1"/>
  <c r="I127" i="1"/>
  <c r="V127" i="1"/>
  <c r="K127" i="1"/>
  <c r="F127" i="1"/>
  <c r="Q127" i="1"/>
  <c r="N127" i="1"/>
  <c r="W127" i="1"/>
  <c r="T127" i="1"/>
  <c r="D127" i="1"/>
  <c r="E127" i="1"/>
  <c r="J127" i="1"/>
  <c r="D372" i="1"/>
  <c r="E372" i="1"/>
  <c r="F372" i="1"/>
  <c r="I372" i="1"/>
  <c r="J372" i="1"/>
  <c r="K372" i="1"/>
  <c r="R372" i="1"/>
  <c r="L372" i="1"/>
  <c r="M372" i="1"/>
  <c r="N372" i="1"/>
  <c r="O372" i="1"/>
  <c r="P372" i="1"/>
  <c r="Q372" i="1"/>
  <c r="S372" i="1"/>
  <c r="T372" i="1"/>
  <c r="U372" i="1"/>
  <c r="X372" i="1"/>
  <c r="V372" i="1"/>
  <c r="W372" i="1"/>
  <c r="AA372" i="1"/>
  <c r="Y372" i="1"/>
  <c r="Z372" i="1"/>
  <c r="AN372" i="1"/>
  <c r="AO372" i="1"/>
  <c r="AM372" i="1"/>
  <c r="D371" i="1"/>
  <c r="E371" i="1"/>
  <c r="F371" i="1"/>
  <c r="I371" i="1"/>
  <c r="J371" i="1"/>
  <c r="K371" i="1"/>
  <c r="R371" i="1"/>
  <c r="L371" i="1"/>
  <c r="M371" i="1"/>
  <c r="N371" i="1"/>
  <c r="O371" i="1"/>
  <c r="P371" i="1"/>
  <c r="Q371" i="1"/>
  <c r="S371" i="1"/>
  <c r="T371" i="1"/>
  <c r="U371" i="1"/>
  <c r="X371" i="1"/>
  <c r="AA371" i="1"/>
  <c r="V371" i="1"/>
  <c r="W371" i="1"/>
  <c r="Y371" i="1"/>
  <c r="AC371" i="1" s="1"/>
  <c r="Z371" i="1"/>
  <c r="AO371" i="1"/>
  <c r="AM371" i="1"/>
  <c r="AN371" i="1"/>
  <c r="D370" i="1"/>
  <c r="E370" i="1"/>
  <c r="F370" i="1"/>
  <c r="I370" i="1"/>
  <c r="J370" i="1"/>
  <c r="K370" i="1"/>
  <c r="R370" i="1"/>
  <c r="L370" i="1"/>
  <c r="M370" i="1"/>
  <c r="N370" i="1"/>
  <c r="O370" i="1"/>
  <c r="P370" i="1"/>
  <c r="Q370" i="1"/>
  <c r="S370" i="1"/>
  <c r="T370" i="1"/>
  <c r="U370" i="1"/>
  <c r="X370" i="1"/>
  <c r="V370" i="1"/>
  <c r="W370" i="1"/>
  <c r="AA370" i="1"/>
  <c r="Y370" i="1"/>
  <c r="Z370" i="1"/>
  <c r="AO370" i="1"/>
  <c r="AM370" i="1"/>
  <c r="AN370" i="1"/>
  <c r="D369" i="1"/>
  <c r="E369" i="1"/>
  <c r="F369" i="1"/>
  <c r="I369" i="1"/>
  <c r="J369" i="1"/>
  <c r="K369" i="1"/>
  <c r="R369" i="1"/>
  <c r="L369" i="1"/>
  <c r="M369" i="1"/>
  <c r="N369" i="1"/>
  <c r="O369" i="1"/>
  <c r="P369" i="1"/>
  <c r="Q369" i="1"/>
  <c r="S369" i="1"/>
  <c r="T369" i="1"/>
  <c r="U369" i="1"/>
  <c r="X369" i="1"/>
  <c r="AA369" i="1"/>
  <c r="V369" i="1"/>
  <c r="W369" i="1"/>
  <c r="Y369" i="1"/>
  <c r="AC369" i="1" s="1"/>
  <c r="Z369" i="1"/>
  <c r="AN369" i="1"/>
  <c r="AO369" i="1"/>
  <c r="AM369" i="1"/>
  <c r="D368" i="1"/>
  <c r="E368" i="1"/>
  <c r="F368" i="1"/>
  <c r="I368" i="1"/>
  <c r="J368" i="1"/>
  <c r="K368" i="1"/>
  <c r="R368" i="1"/>
  <c r="L368" i="1"/>
  <c r="M368" i="1"/>
  <c r="N368" i="1"/>
  <c r="O368" i="1"/>
  <c r="P368" i="1"/>
  <c r="Q368" i="1"/>
  <c r="S368" i="1"/>
  <c r="T368" i="1"/>
  <c r="U368" i="1"/>
  <c r="X368" i="1"/>
  <c r="V368" i="1"/>
  <c r="W368" i="1"/>
  <c r="Y368" i="1"/>
  <c r="Z368" i="1"/>
  <c r="AA368" i="1"/>
  <c r="AO368" i="1"/>
  <c r="AM368" i="1"/>
  <c r="AN368" i="1"/>
  <c r="D367" i="1"/>
  <c r="E367" i="1"/>
  <c r="F367" i="1"/>
  <c r="I367" i="1"/>
  <c r="J367" i="1"/>
  <c r="K367" i="1"/>
  <c r="R367" i="1"/>
  <c r="L367" i="1"/>
  <c r="M367" i="1"/>
  <c r="N367" i="1"/>
  <c r="O367" i="1"/>
  <c r="P367" i="1"/>
  <c r="Q367" i="1"/>
  <c r="S367" i="1"/>
  <c r="T367" i="1"/>
  <c r="U367" i="1"/>
  <c r="X367" i="1"/>
  <c r="V367" i="1"/>
  <c r="W367" i="1"/>
  <c r="AA367" i="1"/>
  <c r="Y367" i="1"/>
  <c r="Z367" i="1"/>
  <c r="AO367" i="1"/>
  <c r="AM367" i="1"/>
  <c r="AN367" i="1"/>
  <c r="D366" i="1"/>
  <c r="E366" i="1"/>
  <c r="F366" i="1"/>
  <c r="I366" i="1"/>
  <c r="J366" i="1"/>
  <c r="K366" i="1"/>
  <c r="R366" i="1"/>
  <c r="L366" i="1"/>
  <c r="M366" i="1"/>
  <c r="N366" i="1"/>
  <c r="O366" i="1"/>
  <c r="P366" i="1"/>
  <c r="Q366" i="1"/>
  <c r="S366" i="1"/>
  <c r="T366" i="1"/>
  <c r="U366" i="1"/>
  <c r="X366" i="1"/>
  <c r="AA366" i="1"/>
  <c r="V366" i="1"/>
  <c r="W366" i="1"/>
  <c r="Y366" i="1"/>
  <c r="AC366" i="1" s="1"/>
  <c r="Z366" i="1"/>
  <c r="AO366" i="1"/>
  <c r="AM366" i="1"/>
  <c r="AN366" i="1"/>
  <c r="AD15" i="1"/>
  <c r="AD14" i="1"/>
  <c r="AD105" i="1"/>
  <c r="AD10" i="1"/>
  <c r="AD104" i="1"/>
  <c r="AD16" i="1"/>
  <c r="AE105" i="1"/>
  <c r="AE109" i="1"/>
  <c r="AD117" i="1"/>
  <c r="AD11" i="1"/>
  <c r="AE19" i="1"/>
  <c r="AE118" i="1"/>
  <c r="AE18" i="1"/>
  <c r="AD12" i="1"/>
  <c r="AD13" i="1"/>
  <c r="AP73" i="1" l="1"/>
  <c r="AP274" i="1"/>
  <c r="AP154" i="1"/>
  <c r="AP348" i="1"/>
  <c r="AP239" i="1"/>
  <c r="AP283" i="1"/>
  <c r="AC270" i="1"/>
  <c r="AP336" i="1"/>
  <c r="AC269" i="1"/>
  <c r="AP349" i="1"/>
  <c r="AC277" i="1"/>
  <c r="AC108" i="1"/>
  <c r="AP309" i="1"/>
  <c r="AP362" i="1"/>
  <c r="AP351" i="1"/>
  <c r="AP305" i="1"/>
  <c r="AP241" i="1"/>
  <c r="AC62" i="1"/>
  <c r="AB20" i="1"/>
  <c r="AE20" i="1" s="1"/>
  <c r="AP66" i="1"/>
  <c r="AP184" i="1"/>
  <c r="AC206" i="1"/>
  <c r="AE9" i="1"/>
  <c r="AD9" i="1"/>
  <c r="AE45" i="1"/>
  <c r="AE44" i="1"/>
  <c r="AD44" i="1"/>
  <c r="AD40" i="1"/>
  <c r="AD39" i="1"/>
  <c r="AD38" i="1"/>
  <c r="AE37" i="1"/>
  <c r="AD36" i="1"/>
  <c r="AD35" i="1"/>
  <c r="AE34" i="1"/>
  <c r="AD34" i="1"/>
  <c r="AE33" i="1"/>
  <c r="AD33" i="1"/>
  <c r="AD25" i="1"/>
  <c r="AD22" i="1"/>
  <c r="AD21" i="1"/>
  <c r="AP89" i="1"/>
  <c r="AB74" i="1"/>
  <c r="AE74" i="1" s="1"/>
  <c r="AP314" i="1"/>
  <c r="AB88" i="1"/>
  <c r="AC59" i="1"/>
  <c r="AC275" i="1"/>
  <c r="AC238" i="1"/>
  <c r="AC20" i="1"/>
  <c r="AD20" i="1" s="1"/>
  <c r="AB87" i="1"/>
  <c r="AE87" i="1" s="1"/>
  <c r="AC87" i="1"/>
  <c r="AB58" i="1"/>
  <c r="AE58" i="1" s="1"/>
  <c r="AC58" i="1"/>
  <c r="AC207" i="1"/>
  <c r="AP357" i="1"/>
  <c r="AP347" i="1"/>
  <c r="AP295" i="1"/>
  <c r="AC204" i="1"/>
  <c r="AP266" i="1"/>
  <c r="AP282" i="1"/>
  <c r="AP67" i="1"/>
  <c r="AB51" i="1"/>
  <c r="AE51" i="1" s="1"/>
  <c r="AP276" i="1"/>
  <c r="AD96" i="1"/>
  <c r="AD95" i="1"/>
  <c r="AD94" i="1"/>
  <c r="AE92" i="1"/>
  <c r="AD92" i="1"/>
  <c r="AP52" i="1"/>
  <c r="AP51" i="1"/>
  <c r="AC266" i="1"/>
  <c r="AC49" i="1"/>
  <c r="AD49" i="1" s="1"/>
  <c r="AP326" i="1"/>
  <c r="AP55" i="1"/>
  <c r="AC372" i="1"/>
  <c r="AP272" i="1"/>
  <c r="AP158" i="1"/>
  <c r="AP156" i="1"/>
  <c r="AP339" i="1"/>
  <c r="AP138" i="1"/>
  <c r="AP291" i="1"/>
  <c r="AP289" i="1"/>
  <c r="AP270" i="1"/>
  <c r="AP62" i="1"/>
  <c r="AP268" i="1"/>
  <c r="AP58" i="1"/>
  <c r="AP47" i="1"/>
  <c r="AP346" i="1"/>
  <c r="AD56" i="1"/>
  <c r="AP53" i="1"/>
  <c r="AP345" i="1"/>
  <c r="AP265" i="1"/>
  <c r="AP77" i="1"/>
  <c r="AP54" i="1"/>
  <c r="AB47" i="1"/>
  <c r="AE47" i="1" s="1"/>
  <c r="AP344" i="1"/>
  <c r="AP354" i="1"/>
  <c r="AP337" i="1"/>
  <c r="AP355" i="1"/>
  <c r="AP335" i="1"/>
  <c r="AP330" i="1"/>
  <c r="AP131" i="1"/>
  <c r="AP331" i="1"/>
  <c r="AP332" i="1"/>
  <c r="AP334" i="1"/>
  <c r="AP263" i="1"/>
  <c r="AP333" i="1"/>
  <c r="AP133" i="1"/>
  <c r="AP129" i="1"/>
  <c r="AD58" i="1"/>
  <c r="AC261" i="1"/>
  <c r="AP341" i="1"/>
  <c r="AP324" i="1"/>
  <c r="AP65" i="1"/>
  <c r="AP64" i="1"/>
  <c r="AP328" i="1"/>
  <c r="AP49" i="1"/>
  <c r="AD110" i="1"/>
  <c r="AD108" i="1"/>
  <c r="AP343" i="1"/>
  <c r="H8" i="4"/>
  <c r="Q8" i="4"/>
  <c r="AI8" i="4"/>
  <c r="N8" i="4"/>
  <c r="F8" i="4"/>
  <c r="AJ8" i="4"/>
  <c r="V8" i="4"/>
  <c r="K8" i="4"/>
  <c r="O8" i="4"/>
  <c r="E8" i="4"/>
  <c r="U8" i="4"/>
  <c r="M8" i="4"/>
  <c r="L8" i="4"/>
  <c r="J8" i="4"/>
  <c r="W8" i="4"/>
  <c r="T8" i="4"/>
  <c r="S8" i="4"/>
  <c r="R8" i="4"/>
  <c r="P8" i="4"/>
  <c r="AP136" i="1"/>
  <c r="H210" i="1"/>
  <c r="AC370" i="1"/>
  <c r="AP140" i="1"/>
  <c r="AP340" i="1"/>
  <c r="AE307" i="1"/>
  <c r="B8" i="5"/>
  <c r="N8" i="5"/>
  <c r="AC8" i="5"/>
  <c r="AD8" i="5" s="1"/>
  <c r="O8" i="5"/>
  <c r="I8" i="5"/>
  <c r="L8" i="5"/>
  <c r="J8" i="5"/>
  <c r="K8" i="5"/>
  <c r="M8" i="5"/>
  <c r="P8" i="5"/>
  <c r="E8" i="5"/>
  <c r="AK8" i="5"/>
  <c r="AJ8" i="5"/>
  <c r="AI8" i="5"/>
  <c r="T8" i="5"/>
  <c r="Q8" i="5"/>
  <c r="H8" i="5"/>
  <c r="S8" i="5"/>
  <c r="F8" i="5"/>
  <c r="R8" i="5"/>
  <c r="G8" i="5"/>
  <c r="AP325" i="1"/>
  <c r="AP134" i="1"/>
  <c r="AE90" i="1"/>
  <c r="AE89" i="1"/>
  <c r="AE88" i="1"/>
  <c r="AD88" i="1"/>
  <c r="AD86" i="1"/>
  <c r="AE85" i="1"/>
  <c r="AD85" i="1"/>
  <c r="AE84" i="1"/>
  <c r="AD83" i="1"/>
  <c r="AE80" i="1"/>
  <c r="AE79" i="1"/>
  <c r="AD72" i="1"/>
  <c r="AE70" i="1"/>
  <c r="AE69" i="1"/>
  <c r="AD69" i="1"/>
  <c r="AE68" i="1"/>
  <c r="AE63" i="1"/>
  <c r="AD63" i="1"/>
  <c r="AD62" i="1"/>
  <c r="AD61" i="1"/>
  <c r="AD60" i="1"/>
  <c r="AE57" i="1"/>
  <c r="AE56" i="1"/>
  <c r="AB122" i="1"/>
  <c r="AE122" i="1" s="1"/>
  <c r="AP74" i="1"/>
  <c r="AP48" i="1"/>
  <c r="AC367" i="1"/>
  <c r="AP329" i="1"/>
  <c r="AE53" i="1"/>
  <c r="AE49" i="1"/>
  <c r="AP261" i="1"/>
  <c r="AP121" i="1"/>
  <c r="AB121" i="1"/>
  <c r="AE121" i="1" s="1"/>
  <c r="AE115" i="1"/>
  <c r="AC256" i="1"/>
  <c r="AC251" i="1"/>
  <c r="AD109" i="1"/>
  <c r="AD106" i="1"/>
  <c r="H123" i="1"/>
  <c r="C10" i="4"/>
  <c r="D9" i="4"/>
  <c r="AK8" i="4"/>
  <c r="B8" i="4"/>
  <c r="D9" i="5"/>
  <c r="AE9" i="5"/>
  <c r="C10" i="5"/>
  <c r="H9" i="1"/>
  <c r="AB8" i="1"/>
  <c r="AE8" i="1" s="1"/>
  <c r="AC8" i="1"/>
  <c r="H8" i="1"/>
  <c r="AC46" i="1"/>
  <c r="AD46" i="1" s="1"/>
  <c r="H46" i="1"/>
  <c r="H45" i="1"/>
  <c r="H44" i="1"/>
  <c r="AC43" i="1"/>
  <c r="AD43" i="1" s="1"/>
  <c r="H43" i="1"/>
  <c r="AB42" i="1"/>
  <c r="AE42" i="1" s="1"/>
  <c r="AC42" i="1"/>
  <c r="H42" i="1"/>
  <c r="AB41" i="1"/>
  <c r="H41" i="1"/>
  <c r="H40" i="1"/>
  <c r="H39" i="1"/>
  <c r="H38" i="1"/>
  <c r="AC37" i="1"/>
  <c r="AD37" i="1" s="1"/>
  <c r="H37" i="1"/>
  <c r="H36" i="1"/>
  <c r="H35" i="1"/>
  <c r="H34" i="1"/>
  <c r="H33" i="1"/>
  <c r="AB32" i="1"/>
  <c r="H32" i="1"/>
  <c r="AB31" i="1"/>
  <c r="AE31" i="1" s="1"/>
  <c r="AC31" i="1"/>
  <c r="H31" i="1"/>
  <c r="AC30" i="1"/>
  <c r="AD30" i="1" s="1"/>
  <c r="H30" i="1"/>
  <c r="AC29" i="1"/>
  <c r="AD29" i="1" s="1"/>
  <c r="H29" i="1"/>
  <c r="AC28" i="1"/>
  <c r="AD28" i="1" s="1"/>
  <c r="H28" i="1"/>
  <c r="AC27" i="1"/>
  <c r="AD27" i="1" s="1"/>
  <c r="H27" i="1"/>
  <c r="AC26" i="1"/>
  <c r="AD26" i="1" s="1"/>
  <c r="H26" i="1"/>
  <c r="H25" i="1"/>
  <c r="H24" i="1"/>
  <c r="H23" i="1"/>
  <c r="H22" i="1"/>
  <c r="H21" i="1"/>
  <c r="H20" i="1"/>
  <c r="AC19" i="1"/>
  <c r="AD19" i="1" s="1"/>
  <c r="H19" i="1"/>
  <c r="AC18" i="1"/>
  <c r="AD18" i="1" s="1"/>
  <c r="H18" i="1"/>
  <c r="AB17" i="1"/>
  <c r="H17" i="1"/>
  <c r="H16" i="1"/>
  <c r="H15" i="1"/>
  <c r="H14" i="1"/>
  <c r="H13" i="1"/>
  <c r="H12" i="1"/>
  <c r="H11" i="1"/>
  <c r="H10" i="1"/>
  <c r="H105" i="1"/>
  <c r="H104" i="1"/>
  <c r="AC103" i="1"/>
  <c r="AD103" i="1" s="1"/>
  <c r="H103" i="1"/>
  <c r="AC102" i="1"/>
  <c r="AD102" i="1" s="1"/>
  <c r="H102" i="1"/>
  <c r="AB101" i="1"/>
  <c r="H101" i="1"/>
  <c r="AB100" i="1"/>
  <c r="AE100" i="1" s="1"/>
  <c r="AC100" i="1"/>
  <c r="AD100" i="1" s="1"/>
  <c r="H100" i="1"/>
  <c r="AC99" i="1"/>
  <c r="AD99" i="1" s="1"/>
  <c r="H99" i="1"/>
  <c r="AB98" i="1"/>
  <c r="AE98" i="1" s="1"/>
  <c r="AC98" i="1"/>
  <c r="H98" i="1"/>
  <c r="AC97" i="1"/>
  <c r="AB97" i="1"/>
  <c r="AE97" i="1" s="1"/>
  <c r="H97" i="1"/>
  <c r="H96" i="1"/>
  <c r="H95" i="1"/>
  <c r="H94" i="1"/>
  <c r="AB93" i="1"/>
  <c r="H93" i="1"/>
  <c r="H92" i="1"/>
  <c r="AB91" i="1"/>
  <c r="AE91" i="1" s="1"/>
  <c r="AC91" i="1"/>
  <c r="AD91" i="1" s="1"/>
  <c r="H91" i="1"/>
  <c r="AB113" i="1"/>
  <c r="AE113" i="1" s="1"/>
  <c r="H113" i="1"/>
  <c r="AB112" i="1"/>
  <c r="AE112" i="1" s="1"/>
  <c r="AC314" i="1"/>
  <c r="H255" i="1"/>
  <c r="AB254" i="1"/>
  <c r="AE254" i="1" s="1"/>
  <c r="H253" i="1"/>
  <c r="AB253" i="1"/>
  <c r="H252" i="1"/>
  <c r="AB252" i="1"/>
  <c r="H251" i="1"/>
  <c r="AE123" i="1"/>
  <c r="AC90" i="1"/>
  <c r="AD90" i="1" s="1"/>
  <c r="H90" i="1"/>
  <c r="AC89" i="1"/>
  <c r="AD89" i="1" s="1"/>
  <c r="H89" i="1"/>
  <c r="H88" i="1"/>
  <c r="H87" i="1"/>
  <c r="H86" i="1"/>
  <c r="H85" i="1"/>
  <c r="H84" i="1"/>
  <c r="H83" i="1"/>
  <c r="AB82" i="1"/>
  <c r="H82" i="1"/>
  <c r="AC81" i="1"/>
  <c r="AD81" i="1" s="1"/>
  <c r="H81" i="1"/>
  <c r="AC80" i="1"/>
  <c r="AD80" i="1" s="1"/>
  <c r="H80" i="1"/>
  <c r="AC79" i="1"/>
  <c r="AD79" i="1" s="1"/>
  <c r="H79" i="1"/>
  <c r="AC78" i="1"/>
  <c r="AD78" i="1" s="1"/>
  <c r="H78" i="1"/>
  <c r="AC77" i="1"/>
  <c r="AD77" i="1" s="1"/>
  <c r="H77" i="1"/>
  <c r="AB76" i="1"/>
  <c r="AE76" i="1" s="1"/>
  <c r="AC76" i="1"/>
  <c r="AD76" i="1" s="1"/>
  <c r="H76" i="1"/>
  <c r="AB75" i="1"/>
  <c r="AE75" i="1" s="1"/>
  <c r="AC75" i="1"/>
  <c r="H75" i="1"/>
  <c r="AC74" i="1"/>
  <c r="H74" i="1"/>
  <c r="AB73" i="1"/>
  <c r="H73" i="1"/>
  <c r="H72" i="1"/>
  <c r="H71" i="1"/>
  <c r="H70" i="1"/>
  <c r="H69" i="1"/>
  <c r="H68" i="1"/>
  <c r="AC67" i="1"/>
  <c r="AD67" i="1" s="1"/>
  <c r="H67" i="1"/>
  <c r="AC66" i="1"/>
  <c r="AD66" i="1" s="1"/>
  <c r="H66" i="1"/>
  <c r="AB65" i="1"/>
  <c r="H65" i="1"/>
  <c r="AB64" i="1"/>
  <c r="H64" i="1"/>
  <c r="H63" i="1"/>
  <c r="H62" i="1"/>
  <c r="H61" i="1"/>
  <c r="H60" i="1"/>
  <c r="AB59" i="1"/>
  <c r="H59" i="1"/>
  <c r="H58" i="1"/>
  <c r="H57" i="1"/>
  <c r="H56" i="1"/>
  <c r="AC55" i="1"/>
  <c r="AD55" i="1" s="1"/>
  <c r="H55" i="1"/>
  <c r="AC54" i="1"/>
  <c r="AD54" i="1" s="1"/>
  <c r="H54" i="1"/>
  <c r="AC53" i="1"/>
  <c r="AD53" i="1" s="1"/>
  <c r="H53" i="1"/>
  <c r="AB52" i="1"/>
  <c r="AE52" i="1" s="1"/>
  <c r="AC52" i="1"/>
  <c r="H52" i="1"/>
  <c r="AC51" i="1"/>
  <c r="H51" i="1"/>
  <c r="AB50" i="1"/>
  <c r="AE50" i="1" s="1"/>
  <c r="AC50" i="1"/>
  <c r="H50" i="1"/>
  <c r="H49" i="1"/>
  <c r="AB48" i="1"/>
  <c r="AE48" i="1" s="1"/>
  <c r="AC48" i="1"/>
  <c r="AD48" i="1" s="1"/>
  <c r="H48" i="1"/>
  <c r="AC47" i="1"/>
  <c r="H47" i="1"/>
  <c r="AC122" i="1"/>
  <c r="H122" i="1"/>
  <c r="AC121" i="1"/>
  <c r="H121" i="1"/>
  <c r="AC120" i="1"/>
  <c r="AD120" i="1" s="1"/>
  <c r="H120" i="1"/>
  <c r="AC119" i="1"/>
  <c r="AD119" i="1" s="1"/>
  <c r="H119" i="1"/>
  <c r="AC118" i="1"/>
  <c r="AD118" i="1" s="1"/>
  <c r="H118" i="1"/>
  <c r="H117" i="1"/>
  <c r="AB116" i="1"/>
  <c r="H116" i="1"/>
  <c r="AC115" i="1"/>
  <c r="AD115" i="1" s="1"/>
  <c r="H115" i="1"/>
  <c r="AC114" i="1"/>
  <c r="AD114" i="1" s="1"/>
  <c r="H114" i="1"/>
  <c r="AC113" i="1"/>
  <c r="AC254" i="1"/>
  <c r="AB251" i="1"/>
  <c r="AC112" i="1"/>
  <c r="H112" i="1"/>
  <c r="H110" i="1"/>
  <c r="H108" i="1"/>
  <c r="AC126" i="1"/>
  <c r="AD126" i="1" s="1"/>
  <c r="AE126" i="1"/>
  <c r="H126" i="1"/>
  <c r="H365" i="1"/>
  <c r="AB365" i="1"/>
  <c r="AE365" i="1" s="1"/>
  <c r="AC365" i="1"/>
  <c r="AD365" i="1" s="1"/>
  <c r="AP365" i="1"/>
  <c r="H364" i="1"/>
  <c r="AB364" i="1"/>
  <c r="AE364" i="1" s="1"/>
  <c r="AC364" i="1"/>
  <c r="AD364" i="1" s="1"/>
  <c r="H363" i="1"/>
  <c r="AB363" i="1"/>
  <c r="AE363" i="1" s="1"/>
  <c r="AC363" i="1"/>
  <c r="AD363" i="1" s="1"/>
  <c r="AP363" i="1"/>
  <c r="H362" i="1"/>
  <c r="AB362" i="1"/>
  <c r="AE362" i="1" s="1"/>
  <c r="AC362" i="1"/>
  <c r="AD362" i="1" s="1"/>
  <c r="H361" i="1"/>
  <c r="AB361" i="1"/>
  <c r="AE361" i="1" s="1"/>
  <c r="AC361" i="1"/>
  <c r="AP361" i="1"/>
  <c r="H360" i="1"/>
  <c r="AB360" i="1"/>
  <c r="AE360" i="1" s="1"/>
  <c r="AC360" i="1"/>
  <c r="AD360" i="1" s="1"/>
  <c r="H359" i="1"/>
  <c r="AB359" i="1"/>
  <c r="AE359" i="1" s="1"/>
  <c r="AC359" i="1"/>
  <c r="AP359" i="1"/>
  <c r="H358" i="1"/>
  <c r="AB358" i="1"/>
  <c r="AE358" i="1" s="1"/>
  <c r="AC358" i="1"/>
  <c r="H357" i="1"/>
  <c r="AB357" i="1"/>
  <c r="AE357" i="1" s="1"/>
  <c r="AC357" i="1"/>
  <c r="H356" i="1"/>
  <c r="AB356" i="1"/>
  <c r="AE356" i="1" s="1"/>
  <c r="AC356" i="1"/>
  <c r="H355" i="1"/>
  <c r="AB355" i="1"/>
  <c r="AE355" i="1" s="1"/>
  <c r="AC355" i="1"/>
  <c r="AD355" i="1" s="1"/>
  <c r="H354" i="1"/>
  <c r="AB354" i="1"/>
  <c r="AE354" i="1" s="1"/>
  <c r="AC354" i="1"/>
  <c r="AD354" i="1" s="1"/>
  <c r="H353" i="1"/>
  <c r="AB353" i="1"/>
  <c r="AE353" i="1" s="1"/>
  <c r="AC353" i="1"/>
  <c r="AD353" i="1" s="1"/>
  <c r="H352" i="1"/>
  <c r="AB352" i="1"/>
  <c r="AE352" i="1" s="1"/>
  <c r="AC352" i="1"/>
  <c r="AD352" i="1" s="1"/>
  <c r="H351" i="1"/>
  <c r="AB351" i="1"/>
  <c r="AE351" i="1" s="1"/>
  <c r="AC351" i="1"/>
  <c r="AD351" i="1" s="1"/>
  <c r="H350" i="1"/>
  <c r="AB350" i="1"/>
  <c r="AE350" i="1" s="1"/>
  <c r="AC350" i="1"/>
  <c r="AD350" i="1" s="1"/>
  <c r="H349" i="1"/>
  <c r="AB349" i="1"/>
  <c r="AE349" i="1" s="1"/>
  <c r="AC349" i="1"/>
  <c r="AD349" i="1" s="1"/>
  <c r="H348" i="1"/>
  <c r="AB348" i="1"/>
  <c r="AE348" i="1" s="1"/>
  <c r="AC348" i="1"/>
  <c r="AD348" i="1" s="1"/>
  <c r="H347" i="1"/>
  <c r="AB347" i="1"/>
  <c r="AE347" i="1" s="1"/>
  <c r="AC347" i="1"/>
  <c r="H346" i="1"/>
  <c r="AB346" i="1"/>
  <c r="AE346" i="1" s="1"/>
  <c r="AC346" i="1"/>
  <c r="H345" i="1"/>
  <c r="AB345" i="1"/>
  <c r="AE345" i="1" s="1"/>
  <c r="AC345" i="1"/>
  <c r="AD345" i="1" s="1"/>
  <c r="H344" i="1"/>
  <c r="AB344" i="1"/>
  <c r="AE344" i="1" s="1"/>
  <c r="AC344" i="1"/>
  <c r="H343" i="1"/>
  <c r="AB343" i="1"/>
  <c r="AE343" i="1" s="1"/>
  <c r="AC343" i="1"/>
  <c r="H342" i="1"/>
  <c r="AB342" i="1"/>
  <c r="AE342" i="1" s="1"/>
  <c r="AC342" i="1"/>
  <c r="H341" i="1"/>
  <c r="AB341" i="1"/>
  <c r="AE341" i="1" s="1"/>
  <c r="AC341" i="1"/>
  <c r="AD341" i="1" s="1"/>
  <c r="H340" i="1"/>
  <c r="AB340" i="1"/>
  <c r="AE340" i="1" s="1"/>
  <c r="AC340" i="1"/>
  <c r="H339" i="1"/>
  <c r="AB339" i="1"/>
  <c r="AE339" i="1" s="1"/>
  <c r="AC339" i="1"/>
  <c r="H338" i="1"/>
  <c r="AB338" i="1"/>
  <c r="AE338" i="1" s="1"/>
  <c r="AC338" i="1"/>
  <c r="AD338" i="1" s="1"/>
  <c r="H337" i="1"/>
  <c r="AB337" i="1"/>
  <c r="AE337" i="1" s="1"/>
  <c r="AC337" i="1"/>
  <c r="AD337" i="1" s="1"/>
  <c r="H336" i="1"/>
  <c r="AB336" i="1"/>
  <c r="AE336" i="1" s="1"/>
  <c r="AC336" i="1"/>
  <c r="H335" i="1"/>
  <c r="AB335" i="1"/>
  <c r="AE335" i="1" s="1"/>
  <c r="AC335" i="1"/>
  <c r="AD335" i="1" s="1"/>
  <c r="H334" i="1"/>
  <c r="AB334" i="1"/>
  <c r="AE334" i="1" s="1"/>
  <c r="AC334" i="1"/>
  <c r="AD334" i="1" s="1"/>
  <c r="H333" i="1"/>
  <c r="AB333" i="1"/>
  <c r="AE333" i="1" s="1"/>
  <c r="AC333" i="1"/>
  <c r="H332" i="1"/>
  <c r="AB332" i="1"/>
  <c r="AE332" i="1" s="1"/>
  <c r="AC332" i="1"/>
  <c r="AD332" i="1" s="1"/>
  <c r="H331" i="1"/>
  <c r="AB331" i="1"/>
  <c r="AE331" i="1" s="1"/>
  <c r="AC331" i="1"/>
  <c r="H330" i="1"/>
  <c r="AB330" i="1"/>
  <c r="AE330" i="1" s="1"/>
  <c r="AC330" i="1"/>
  <c r="H329" i="1"/>
  <c r="AB329" i="1"/>
  <c r="AE329" i="1" s="1"/>
  <c r="AC329" i="1"/>
  <c r="H328" i="1"/>
  <c r="AB328" i="1"/>
  <c r="AE328" i="1" s="1"/>
  <c r="AC328" i="1"/>
  <c r="AD328" i="1" s="1"/>
  <c r="H327" i="1"/>
  <c r="AB327" i="1"/>
  <c r="AE327" i="1" s="1"/>
  <c r="AC327" i="1"/>
  <c r="AP327" i="1"/>
  <c r="H326" i="1"/>
  <c r="AB326" i="1"/>
  <c r="AE326" i="1" s="1"/>
  <c r="AC326" i="1"/>
  <c r="AD326" i="1" s="1"/>
  <c r="H325" i="1"/>
  <c r="AB325" i="1"/>
  <c r="AE325" i="1" s="1"/>
  <c r="AC325" i="1"/>
  <c r="AD325" i="1" s="1"/>
  <c r="H324" i="1"/>
  <c r="AB324" i="1"/>
  <c r="AE324" i="1" s="1"/>
  <c r="AC324" i="1"/>
  <c r="AD324" i="1" s="1"/>
  <c r="H323" i="1"/>
  <c r="AB323" i="1"/>
  <c r="AE323" i="1" s="1"/>
  <c r="AC323" i="1"/>
  <c r="AP323" i="1"/>
  <c r="H322" i="1"/>
  <c r="AB322" i="1"/>
  <c r="AE322" i="1" s="1"/>
  <c r="AC322" i="1"/>
  <c r="AD322" i="1" s="1"/>
  <c r="H321" i="1"/>
  <c r="AB321" i="1"/>
  <c r="AE321" i="1" s="1"/>
  <c r="AC321" i="1"/>
  <c r="AD321" i="1" s="1"/>
  <c r="AP321" i="1"/>
  <c r="H320" i="1"/>
  <c r="AB320" i="1"/>
  <c r="AE320" i="1" s="1"/>
  <c r="AC320" i="1"/>
  <c r="AD320" i="1" s="1"/>
  <c r="H319" i="1"/>
  <c r="AB319" i="1"/>
  <c r="AE319" i="1" s="1"/>
  <c r="AC319" i="1"/>
  <c r="AD319" i="1" s="1"/>
  <c r="AP319" i="1"/>
  <c r="H318" i="1"/>
  <c r="AB318" i="1"/>
  <c r="AE318" i="1" s="1"/>
  <c r="AC318" i="1"/>
  <c r="H317" i="1"/>
  <c r="AB317" i="1"/>
  <c r="AE317" i="1" s="1"/>
  <c r="AC317" i="1"/>
  <c r="AD317" i="1" s="1"/>
  <c r="AP317" i="1"/>
  <c r="H316" i="1"/>
  <c r="AB316" i="1"/>
  <c r="AE316" i="1" s="1"/>
  <c r="AC316" i="1"/>
  <c r="AD316" i="1" s="1"/>
  <c r="H315" i="1"/>
  <c r="AB315" i="1"/>
  <c r="AE315" i="1" s="1"/>
  <c r="AC315" i="1"/>
  <c r="AD315" i="1" s="1"/>
  <c r="AP315" i="1"/>
  <c r="H314" i="1"/>
  <c r="AP256" i="1"/>
  <c r="AB255" i="1"/>
  <c r="H254" i="1"/>
  <c r="AP254" i="1"/>
  <c r="H313" i="1"/>
  <c r="AB313" i="1"/>
  <c r="AE313" i="1" s="1"/>
  <c r="AC313" i="1"/>
  <c r="AD313" i="1" s="1"/>
  <c r="AP313" i="1"/>
  <c r="H312" i="1"/>
  <c r="AB312" i="1"/>
  <c r="AE312" i="1" s="1"/>
  <c r="AC312" i="1"/>
  <c r="AP312" i="1"/>
  <c r="H311" i="1"/>
  <c r="AB311" i="1"/>
  <c r="AE311" i="1" s="1"/>
  <c r="AC311" i="1"/>
  <c r="AD311" i="1" s="1"/>
  <c r="H310" i="1"/>
  <c r="AB310" i="1"/>
  <c r="AE310" i="1" s="1"/>
  <c r="AC310" i="1"/>
  <c r="AD310" i="1" s="1"/>
  <c r="AP310" i="1"/>
  <c r="H309" i="1"/>
  <c r="AB309" i="1"/>
  <c r="AE309" i="1" s="1"/>
  <c r="AC309" i="1"/>
  <c r="AD309" i="1" s="1"/>
  <c r="H308" i="1"/>
  <c r="AC308" i="1"/>
  <c r="AD308" i="1" s="1"/>
  <c r="AP307" i="1"/>
  <c r="H307" i="1"/>
  <c r="H306" i="1"/>
  <c r="AB306" i="1"/>
  <c r="AE306" i="1" s="1"/>
  <c r="AC306" i="1"/>
  <c r="AD306" i="1" s="1"/>
  <c r="AP306" i="1"/>
  <c r="H305" i="1"/>
  <c r="AB305" i="1"/>
  <c r="AE305" i="1" s="1"/>
  <c r="AC305" i="1"/>
  <c r="H304" i="1"/>
  <c r="AB304" i="1"/>
  <c r="AE304" i="1" s="1"/>
  <c r="AC304" i="1"/>
  <c r="AP304" i="1"/>
  <c r="H303" i="1"/>
  <c r="AB303" i="1"/>
  <c r="AE303" i="1" s="1"/>
  <c r="AC303" i="1"/>
  <c r="AD303" i="1" s="1"/>
  <c r="H302" i="1"/>
  <c r="AB302" i="1"/>
  <c r="AE302" i="1" s="1"/>
  <c r="AC302" i="1"/>
  <c r="H301" i="1"/>
  <c r="AB301" i="1"/>
  <c r="AE301" i="1" s="1"/>
  <c r="AC301" i="1"/>
  <c r="AP301" i="1"/>
  <c r="H300" i="1"/>
  <c r="AB300" i="1"/>
  <c r="AE300" i="1" s="1"/>
  <c r="AC300" i="1"/>
  <c r="AD300" i="1" s="1"/>
  <c r="H299" i="1"/>
  <c r="AB299" i="1"/>
  <c r="AE299" i="1" s="1"/>
  <c r="AC299" i="1"/>
  <c r="AD299" i="1" s="1"/>
  <c r="H298" i="1"/>
  <c r="AB298" i="1"/>
  <c r="AE298" i="1" s="1"/>
  <c r="AC298" i="1"/>
  <c r="AD298" i="1" s="1"/>
  <c r="H297" i="1"/>
  <c r="AB297" i="1"/>
  <c r="AE297" i="1" s="1"/>
  <c r="AC297" i="1"/>
  <c r="AD297" i="1" s="1"/>
  <c r="AC296" i="1"/>
  <c r="AB296" i="1"/>
  <c r="AE296" i="1" s="1"/>
  <c r="H296" i="1"/>
  <c r="H295" i="1"/>
  <c r="AB295" i="1"/>
  <c r="AE295" i="1" s="1"/>
  <c r="AC295" i="1"/>
  <c r="AD295" i="1" s="1"/>
  <c r="H294" i="1"/>
  <c r="AB294" i="1"/>
  <c r="H293" i="1"/>
  <c r="AB293" i="1"/>
  <c r="H292" i="1"/>
  <c r="AB292" i="1"/>
  <c r="H291" i="1"/>
  <c r="AB291" i="1"/>
  <c r="H290" i="1"/>
  <c r="AB290" i="1"/>
  <c r="AB289" i="1"/>
  <c r="H289" i="1"/>
  <c r="AB288" i="1"/>
  <c r="H288" i="1"/>
  <c r="H287" i="1"/>
  <c r="AB287" i="1"/>
  <c r="AB286" i="1"/>
  <c r="H286" i="1"/>
  <c r="AB285" i="1"/>
  <c r="AE285" i="1" s="1"/>
  <c r="H285" i="1"/>
  <c r="AC285" i="1"/>
  <c r="AB284" i="1"/>
  <c r="AE284" i="1" s="1"/>
  <c r="H284" i="1"/>
  <c r="AC284" i="1"/>
  <c r="AB283" i="1"/>
  <c r="AE283" i="1" s="1"/>
  <c r="H283" i="1"/>
  <c r="AC283" i="1"/>
  <c r="AB282" i="1"/>
  <c r="AE282" i="1" s="1"/>
  <c r="H282" i="1"/>
  <c r="AC282" i="1"/>
  <c r="H281" i="1"/>
  <c r="AB281" i="1"/>
  <c r="AE281" i="1" s="1"/>
  <c r="AC281" i="1"/>
  <c r="AD281" i="1" s="1"/>
  <c r="H280" i="1"/>
  <c r="AB280" i="1"/>
  <c r="AP280" i="1"/>
  <c r="H279" i="1"/>
  <c r="AB279" i="1"/>
  <c r="AP279" i="1"/>
  <c r="H278" i="1"/>
  <c r="AB278" i="1"/>
  <c r="AE278" i="1" s="1"/>
  <c r="AC278" i="1"/>
  <c r="AD278" i="1" s="1"/>
  <c r="AP278" i="1"/>
  <c r="H277" i="1"/>
  <c r="AB277" i="1"/>
  <c r="AP277" i="1"/>
  <c r="H276" i="1"/>
  <c r="AB276" i="1"/>
  <c r="H275" i="1"/>
  <c r="AB275" i="1"/>
  <c r="AP275" i="1"/>
  <c r="H274" i="1"/>
  <c r="AB274" i="1"/>
  <c r="H273" i="1"/>
  <c r="AB273" i="1"/>
  <c r="AE273" i="1" s="1"/>
  <c r="AC273" i="1"/>
  <c r="AD273" i="1" s="1"/>
  <c r="AP273" i="1"/>
  <c r="H272" i="1"/>
  <c r="AB272" i="1"/>
  <c r="H271" i="1"/>
  <c r="AB271" i="1"/>
  <c r="AP271" i="1"/>
  <c r="H270" i="1"/>
  <c r="AB270" i="1"/>
  <c r="H269" i="1"/>
  <c r="AB269" i="1"/>
  <c r="AP269" i="1"/>
  <c r="H268" i="1"/>
  <c r="AB268" i="1"/>
  <c r="AE268" i="1" s="1"/>
  <c r="AC268" i="1"/>
  <c r="H267" i="1"/>
  <c r="AB267" i="1"/>
  <c r="AP267" i="1"/>
  <c r="H266" i="1"/>
  <c r="AB266" i="1"/>
  <c r="H265" i="1"/>
  <c r="AB265" i="1"/>
  <c r="H264" i="1"/>
  <c r="AB264" i="1"/>
  <c r="AP264" i="1"/>
  <c r="H263" i="1"/>
  <c r="AB263" i="1"/>
  <c r="H262" i="1"/>
  <c r="AB262" i="1"/>
  <c r="AE262" i="1" s="1"/>
  <c r="AC262" i="1"/>
  <c r="AD262" i="1" s="1"/>
  <c r="AP262" i="1"/>
  <c r="H261" i="1"/>
  <c r="AB261" i="1"/>
  <c r="H260" i="1"/>
  <c r="AB260" i="1"/>
  <c r="AP260" i="1"/>
  <c r="H259" i="1"/>
  <c r="AB259" i="1"/>
  <c r="AE259" i="1" s="1"/>
  <c r="AC259" i="1"/>
  <c r="H258" i="1"/>
  <c r="AB258" i="1"/>
  <c r="AP258" i="1"/>
  <c r="H257" i="1"/>
  <c r="AB257" i="1"/>
  <c r="H256" i="1"/>
  <c r="H250" i="1"/>
  <c r="AB250" i="1"/>
  <c r="AP250" i="1"/>
  <c r="H249" i="1"/>
  <c r="AB249" i="1"/>
  <c r="H248" i="1"/>
  <c r="AB248" i="1"/>
  <c r="AE248" i="1" s="1"/>
  <c r="AC248" i="1"/>
  <c r="AD248" i="1" s="1"/>
  <c r="AP248" i="1"/>
  <c r="H247" i="1"/>
  <c r="AB247" i="1"/>
  <c r="H246" i="1"/>
  <c r="AB246" i="1"/>
  <c r="AP246" i="1"/>
  <c r="H245" i="1"/>
  <c r="AB245" i="1"/>
  <c r="AE245" i="1" s="1"/>
  <c r="AC245" i="1"/>
  <c r="H244" i="1"/>
  <c r="AB244" i="1"/>
  <c r="AP244" i="1"/>
  <c r="H243" i="1"/>
  <c r="AB243" i="1"/>
  <c r="AE243" i="1" s="1"/>
  <c r="AC243" i="1"/>
  <c r="H242" i="1"/>
  <c r="AB242" i="1"/>
  <c r="AP242" i="1"/>
  <c r="H241" i="1"/>
  <c r="AB241" i="1"/>
  <c r="H240" i="1"/>
  <c r="AB240" i="1"/>
  <c r="AE240" i="1" s="1"/>
  <c r="AC240" i="1"/>
  <c r="AD240" i="1" s="1"/>
  <c r="AP240" i="1"/>
  <c r="H239" i="1"/>
  <c r="AB239" i="1"/>
  <c r="H238" i="1"/>
  <c r="AB238" i="1"/>
  <c r="AP238" i="1"/>
  <c r="H237" i="1"/>
  <c r="AB237" i="1"/>
  <c r="AE237" i="1" s="1"/>
  <c r="AC237" i="1"/>
  <c r="AD237" i="1" s="1"/>
  <c r="H236" i="1"/>
  <c r="AB236" i="1"/>
  <c r="AP236" i="1"/>
  <c r="H235" i="1"/>
  <c r="AB235" i="1"/>
  <c r="H234" i="1"/>
  <c r="AB234" i="1"/>
  <c r="AE234" i="1" s="1"/>
  <c r="AC234" i="1"/>
  <c r="AD234" i="1" s="1"/>
  <c r="AP234" i="1"/>
  <c r="H233" i="1"/>
  <c r="AB233" i="1"/>
  <c r="H232" i="1"/>
  <c r="AB232" i="1"/>
  <c r="AP232" i="1"/>
  <c r="H231" i="1"/>
  <c r="AB231" i="1"/>
  <c r="AE231" i="1" s="1"/>
  <c r="AC231" i="1"/>
  <c r="AD231" i="1" s="1"/>
  <c r="H230" i="1"/>
  <c r="AB230" i="1"/>
  <c r="AP230" i="1"/>
  <c r="H229" i="1"/>
  <c r="AB229" i="1"/>
  <c r="H228" i="1"/>
  <c r="AB228" i="1"/>
  <c r="AE228" i="1" s="1"/>
  <c r="AC228" i="1"/>
  <c r="AD228" i="1" s="1"/>
  <c r="AP228" i="1"/>
  <c r="H227" i="1"/>
  <c r="AB227" i="1"/>
  <c r="H226" i="1"/>
  <c r="AB226" i="1"/>
  <c r="AE226" i="1" s="1"/>
  <c r="AC226" i="1"/>
  <c r="AD226" i="1" s="1"/>
  <c r="AP226" i="1"/>
  <c r="H225" i="1"/>
  <c r="AB225" i="1"/>
  <c r="H224" i="1"/>
  <c r="AB224" i="1"/>
  <c r="AP224" i="1"/>
  <c r="H223" i="1"/>
  <c r="AB223" i="1"/>
  <c r="AE223" i="1" s="1"/>
  <c r="AC223" i="1"/>
  <c r="AD223" i="1" s="1"/>
  <c r="H222" i="1"/>
  <c r="AB222" i="1"/>
  <c r="AP222" i="1"/>
  <c r="H221" i="1"/>
  <c r="AB221" i="1"/>
  <c r="H220" i="1"/>
  <c r="AB220" i="1"/>
  <c r="AE220" i="1" s="1"/>
  <c r="AC220" i="1"/>
  <c r="AD220" i="1" s="1"/>
  <c r="AP220" i="1"/>
  <c r="H219" i="1"/>
  <c r="AB219" i="1"/>
  <c r="H218" i="1"/>
  <c r="AB218" i="1"/>
  <c r="AP218" i="1"/>
  <c r="H217" i="1"/>
  <c r="AB217" i="1"/>
  <c r="AE217" i="1" s="1"/>
  <c r="AC217" i="1"/>
  <c r="AD217" i="1" s="1"/>
  <c r="H216" i="1"/>
  <c r="AB216" i="1"/>
  <c r="AP216" i="1"/>
  <c r="H215" i="1"/>
  <c r="AB215" i="1"/>
  <c r="H214" i="1"/>
  <c r="AB214" i="1"/>
  <c r="AE214" i="1" s="1"/>
  <c r="AC214" i="1"/>
  <c r="AD214" i="1" s="1"/>
  <c r="AP214" i="1"/>
  <c r="H213" i="1"/>
  <c r="AB213" i="1"/>
  <c r="H212" i="1"/>
  <c r="AB212" i="1"/>
  <c r="AP212" i="1"/>
  <c r="H211" i="1"/>
  <c r="AB211" i="1"/>
  <c r="AE211" i="1" s="1"/>
  <c r="AC211" i="1"/>
  <c r="AD211" i="1" s="1"/>
  <c r="AP210" i="1"/>
  <c r="AB210" i="1"/>
  <c r="H209" i="1"/>
  <c r="AD209" i="1"/>
  <c r="AE209" i="1"/>
  <c r="H208" i="1"/>
  <c r="AB208" i="1"/>
  <c r="AE208" i="1" s="1"/>
  <c r="AC208" i="1"/>
  <c r="AD208" i="1" s="1"/>
  <c r="AP208" i="1"/>
  <c r="H207" i="1"/>
  <c r="AB207" i="1"/>
  <c r="H206" i="1"/>
  <c r="AB206" i="1"/>
  <c r="AP206" i="1"/>
  <c r="H205" i="1"/>
  <c r="AB205" i="1"/>
  <c r="AE205" i="1" s="1"/>
  <c r="AC205" i="1"/>
  <c r="AD205" i="1" s="1"/>
  <c r="H204" i="1"/>
  <c r="AB204" i="1"/>
  <c r="AP204" i="1"/>
  <c r="AC111" i="1"/>
  <c r="AB111" i="1"/>
  <c r="AE111" i="1" s="1"/>
  <c r="H111" i="1"/>
  <c r="H109" i="1"/>
  <c r="AB107" i="1"/>
  <c r="H107" i="1"/>
  <c r="H106" i="1"/>
  <c r="AC125" i="1"/>
  <c r="AD125" i="1" s="1"/>
  <c r="AE125" i="1"/>
  <c r="H125" i="1"/>
  <c r="AC124" i="1"/>
  <c r="AD124" i="1" s="1"/>
  <c r="AE124" i="1"/>
  <c r="H203" i="1"/>
  <c r="AB203" i="1"/>
  <c r="H202" i="1"/>
  <c r="AB202" i="1"/>
  <c r="AE202" i="1" s="1"/>
  <c r="AC202" i="1"/>
  <c r="AD202" i="1" s="1"/>
  <c r="AP202" i="1"/>
  <c r="H201" i="1"/>
  <c r="AB201" i="1"/>
  <c r="H200" i="1"/>
  <c r="AB200" i="1"/>
  <c r="AP200" i="1"/>
  <c r="H199" i="1"/>
  <c r="AB199" i="1"/>
  <c r="AE199" i="1" s="1"/>
  <c r="AC199" i="1"/>
  <c r="H198" i="1"/>
  <c r="AB198" i="1"/>
  <c r="AE198" i="1" s="1"/>
  <c r="AC198" i="1"/>
  <c r="AD198" i="1" s="1"/>
  <c r="AP198" i="1"/>
  <c r="H197" i="1"/>
  <c r="AB197" i="1"/>
  <c r="H196" i="1"/>
  <c r="AB196" i="1"/>
  <c r="H195" i="1"/>
  <c r="AB195" i="1"/>
  <c r="AE195" i="1" s="1"/>
  <c r="AC195" i="1"/>
  <c r="AD195" i="1" s="1"/>
  <c r="AP195" i="1"/>
  <c r="H194" i="1"/>
  <c r="AB194" i="1"/>
  <c r="AE194" i="1" s="1"/>
  <c r="AC194" i="1"/>
  <c r="H193" i="1"/>
  <c r="AB193" i="1"/>
  <c r="AE193" i="1" s="1"/>
  <c r="AC193" i="1"/>
  <c r="AD193" i="1" s="1"/>
  <c r="AP193" i="1"/>
  <c r="H192" i="1"/>
  <c r="AB192" i="1"/>
  <c r="AE192" i="1" s="1"/>
  <c r="AC192" i="1"/>
  <c r="AD192" i="1" s="1"/>
  <c r="H191" i="1"/>
  <c r="AB191" i="1"/>
  <c r="AE191" i="1" s="1"/>
  <c r="AC191" i="1"/>
  <c r="AD191" i="1" s="1"/>
  <c r="AP191" i="1"/>
  <c r="H190" i="1"/>
  <c r="AB190" i="1"/>
  <c r="AE190" i="1" s="1"/>
  <c r="AC190" i="1"/>
  <c r="AD190" i="1" s="1"/>
  <c r="H189" i="1"/>
  <c r="AB189" i="1"/>
  <c r="AE189" i="1" s="1"/>
  <c r="AC189" i="1"/>
  <c r="AD189" i="1" s="1"/>
  <c r="AP189" i="1"/>
  <c r="H188" i="1"/>
  <c r="AB188" i="1"/>
  <c r="AE188" i="1" s="1"/>
  <c r="AC188" i="1"/>
  <c r="AD188" i="1" s="1"/>
  <c r="H187" i="1"/>
  <c r="AB187" i="1"/>
  <c r="AE187" i="1" s="1"/>
  <c r="AC187" i="1"/>
  <c r="AD187" i="1" s="1"/>
  <c r="AP187" i="1"/>
  <c r="H186" i="1"/>
  <c r="AB186" i="1"/>
  <c r="AE186" i="1" s="1"/>
  <c r="AC186" i="1"/>
  <c r="AD186" i="1" s="1"/>
  <c r="H185" i="1"/>
  <c r="AB185" i="1"/>
  <c r="AE185" i="1" s="1"/>
  <c r="AC185" i="1"/>
  <c r="AD185" i="1" s="1"/>
  <c r="AP185" i="1"/>
  <c r="H184" i="1"/>
  <c r="AB184" i="1"/>
  <c r="AE184" i="1" s="1"/>
  <c r="AC184" i="1"/>
  <c r="AD184" i="1" s="1"/>
  <c r="H183" i="1"/>
  <c r="AB183" i="1"/>
  <c r="AE183" i="1" s="1"/>
  <c r="AC183" i="1"/>
  <c r="AD183" i="1" s="1"/>
  <c r="AP183" i="1"/>
  <c r="H182" i="1"/>
  <c r="AB182" i="1"/>
  <c r="AE182" i="1" s="1"/>
  <c r="AC182" i="1"/>
  <c r="AD182" i="1" s="1"/>
  <c r="H181" i="1"/>
  <c r="AB181" i="1"/>
  <c r="AE181" i="1" s="1"/>
  <c r="AC181" i="1"/>
  <c r="AD181" i="1" s="1"/>
  <c r="AP181" i="1"/>
  <c r="H180" i="1"/>
  <c r="AB180" i="1"/>
  <c r="AE180" i="1" s="1"/>
  <c r="AC180" i="1"/>
  <c r="AD180" i="1" s="1"/>
  <c r="H179" i="1"/>
  <c r="AB179" i="1"/>
  <c r="AE179" i="1" s="1"/>
  <c r="AC179" i="1"/>
  <c r="AD179" i="1" s="1"/>
  <c r="AP179" i="1"/>
  <c r="H178" i="1"/>
  <c r="AB178" i="1"/>
  <c r="AE178" i="1" s="1"/>
  <c r="AC178" i="1"/>
  <c r="AD178" i="1" s="1"/>
  <c r="H177" i="1"/>
  <c r="AB177" i="1"/>
  <c r="AE177" i="1" s="1"/>
  <c r="AC177" i="1"/>
  <c r="AD177" i="1" s="1"/>
  <c r="AP177" i="1"/>
  <c r="H176" i="1"/>
  <c r="AB176" i="1"/>
  <c r="AE176" i="1" s="1"/>
  <c r="AC176" i="1"/>
  <c r="AD176" i="1" s="1"/>
  <c r="H175" i="1"/>
  <c r="AB175" i="1"/>
  <c r="AE175" i="1" s="1"/>
  <c r="AC175" i="1"/>
  <c r="AD175" i="1" s="1"/>
  <c r="AP175" i="1"/>
  <c r="H174" i="1"/>
  <c r="AB174" i="1"/>
  <c r="AE174" i="1" s="1"/>
  <c r="AC174" i="1"/>
  <c r="AD174" i="1" s="1"/>
  <c r="H173" i="1"/>
  <c r="AB173" i="1"/>
  <c r="AE173" i="1" s="1"/>
  <c r="AC173" i="1"/>
  <c r="AD173" i="1" s="1"/>
  <c r="AP173" i="1"/>
  <c r="H172" i="1"/>
  <c r="AB172" i="1"/>
  <c r="AE172" i="1" s="1"/>
  <c r="AC172" i="1"/>
  <c r="AD172" i="1" s="1"/>
  <c r="H171" i="1"/>
  <c r="AB171" i="1"/>
  <c r="AE171" i="1" s="1"/>
  <c r="AC171" i="1"/>
  <c r="AD171" i="1" s="1"/>
  <c r="H170" i="1"/>
  <c r="AB170" i="1"/>
  <c r="AE170" i="1" s="1"/>
  <c r="AC170" i="1"/>
  <c r="AD170" i="1" s="1"/>
  <c r="AP170" i="1"/>
  <c r="H169" i="1"/>
  <c r="AB169" i="1"/>
  <c r="AE169" i="1" s="1"/>
  <c r="AC169" i="1"/>
  <c r="AD169" i="1" s="1"/>
  <c r="H168" i="1"/>
  <c r="AB168" i="1"/>
  <c r="AE168" i="1" s="1"/>
  <c r="AC168" i="1"/>
  <c r="AD168" i="1" s="1"/>
  <c r="AP168" i="1"/>
  <c r="H167" i="1"/>
  <c r="AB167" i="1"/>
  <c r="AE167" i="1" s="1"/>
  <c r="AC167" i="1"/>
  <c r="AD167" i="1" s="1"/>
  <c r="H166" i="1"/>
  <c r="AB166" i="1"/>
  <c r="AE166" i="1" s="1"/>
  <c r="AC166" i="1"/>
  <c r="AD166" i="1" s="1"/>
  <c r="AP166" i="1"/>
  <c r="H165" i="1"/>
  <c r="AB165" i="1"/>
  <c r="AE165" i="1" s="1"/>
  <c r="AC165" i="1"/>
  <c r="H164" i="1"/>
  <c r="AB164" i="1"/>
  <c r="AE164" i="1" s="1"/>
  <c r="AC164" i="1"/>
  <c r="AD164" i="1" s="1"/>
  <c r="AP164" i="1"/>
  <c r="H163" i="1"/>
  <c r="AB163" i="1"/>
  <c r="AE163" i="1" s="1"/>
  <c r="AC163" i="1"/>
  <c r="H162" i="1"/>
  <c r="AB162" i="1"/>
  <c r="AE162" i="1" s="1"/>
  <c r="AC162" i="1"/>
  <c r="AD162" i="1" s="1"/>
  <c r="AP162" i="1"/>
  <c r="H161" i="1"/>
  <c r="AB161" i="1"/>
  <c r="AE161" i="1" s="1"/>
  <c r="AC161" i="1"/>
  <c r="H160" i="1"/>
  <c r="AB160" i="1"/>
  <c r="AE160" i="1" s="1"/>
  <c r="AC160" i="1"/>
  <c r="AP160" i="1"/>
  <c r="H159" i="1"/>
  <c r="AB159" i="1"/>
  <c r="AE159" i="1" s="1"/>
  <c r="AC159" i="1"/>
  <c r="AD159" i="1" s="1"/>
  <c r="H158" i="1"/>
  <c r="AB158" i="1"/>
  <c r="AE158" i="1" s="1"/>
  <c r="AC158" i="1"/>
  <c r="H157" i="1"/>
  <c r="AB157" i="1"/>
  <c r="AE157" i="1" s="1"/>
  <c r="AC157" i="1"/>
  <c r="AP157" i="1"/>
  <c r="H156" i="1"/>
  <c r="AB156" i="1"/>
  <c r="AE156" i="1" s="1"/>
  <c r="AC156" i="1"/>
  <c r="AD156" i="1" s="1"/>
  <c r="H155" i="1"/>
  <c r="AB155" i="1"/>
  <c r="AE155" i="1" s="1"/>
  <c r="AC155" i="1"/>
  <c r="AP155" i="1"/>
  <c r="H154" i="1"/>
  <c r="AB154" i="1"/>
  <c r="AE154" i="1" s="1"/>
  <c r="AC154" i="1"/>
  <c r="H153" i="1"/>
  <c r="AB153" i="1"/>
  <c r="AE153" i="1" s="1"/>
  <c r="AC153" i="1"/>
  <c r="AD153" i="1" s="1"/>
  <c r="AP153" i="1"/>
  <c r="H152" i="1"/>
  <c r="AB152" i="1"/>
  <c r="AE152" i="1" s="1"/>
  <c r="AC152" i="1"/>
  <c r="AD152" i="1" s="1"/>
  <c r="H151" i="1"/>
  <c r="AB151" i="1"/>
  <c r="AE151" i="1" s="1"/>
  <c r="AC151" i="1"/>
  <c r="AP151" i="1"/>
  <c r="H150" i="1"/>
  <c r="AB150" i="1"/>
  <c r="AE150" i="1" s="1"/>
  <c r="AC150" i="1"/>
  <c r="H149" i="1"/>
  <c r="AB149" i="1"/>
  <c r="AE149" i="1" s="1"/>
  <c r="AC149" i="1"/>
  <c r="AD149" i="1" s="1"/>
  <c r="AP149" i="1"/>
  <c r="H148" i="1"/>
  <c r="AB148" i="1"/>
  <c r="AE148" i="1" s="1"/>
  <c r="AC148" i="1"/>
  <c r="H147" i="1"/>
  <c r="AB147" i="1"/>
  <c r="AE147" i="1" s="1"/>
  <c r="AC147" i="1"/>
  <c r="AD147" i="1" s="1"/>
  <c r="AP147" i="1"/>
  <c r="H146" i="1"/>
  <c r="AB146" i="1"/>
  <c r="AE146" i="1" s="1"/>
  <c r="AC146" i="1"/>
  <c r="AD146" i="1" s="1"/>
  <c r="H145" i="1"/>
  <c r="AB145" i="1"/>
  <c r="AE145" i="1" s="1"/>
  <c r="AC145" i="1"/>
  <c r="AP145" i="1"/>
  <c r="H144" i="1"/>
  <c r="AB144" i="1"/>
  <c r="AE144" i="1" s="1"/>
  <c r="AC144" i="1"/>
  <c r="H143" i="1"/>
  <c r="AB143" i="1"/>
  <c r="AE143" i="1" s="1"/>
  <c r="AC143" i="1"/>
  <c r="AD143" i="1" s="1"/>
  <c r="AP143" i="1"/>
  <c r="H142" i="1"/>
  <c r="AB142" i="1"/>
  <c r="AE142" i="1" s="1"/>
  <c r="AC142" i="1"/>
  <c r="H141" i="1"/>
  <c r="AB141" i="1"/>
  <c r="AE141" i="1" s="1"/>
  <c r="AC141" i="1"/>
  <c r="AD141" i="1" s="1"/>
  <c r="AP141" i="1"/>
  <c r="H140" i="1"/>
  <c r="AB140" i="1"/>
  <c r="AE140" i="1" s="1"/>
  <c r="AC140" i="1"/>
  <c r="AD140" i="1" s="1"/>
  <c r="H139" i="1"/>
  <c r="AB139" i="1"/>
  <c r="AE139" i="1" s="1"/>
  <c r="AC139" i="1"/>
  <c r="AD139" i="1" s="1"/>
  <c r="AP139" i="1"/>
  <c r="H138" i="1"/>
  <c r="AB138" i="1"/>
  <c r="AE138" i="1" s="1"/>
  <c r="AC138" i="1"/>
  <c r="AD138" i="1" s="1"/>
  <c r="H137" i="1"/>
  <c r="AB137" i="1"/>
  <c r="AE137" i="1" s="1"/>
  <c r="AC137" i="1"/>
  <c r="AD137" i="1" s="1"/>
  <c r="AP137" i="1"/>
  <c r="H136" i="1"/>
  <c r="AB136" i="1"/>
  <c r="AE136" i="1" s="1"/>
  <c r="AC136" i="1"/>
  <c r="AD136" i="1" s="1"/>
  <c r="H135" i="1"/>
  <c r="AB135" i="1"/>
  <c r="AE135" i="1" s="1"/>
  <c r="AC135" i="1"/>
  <c r="AD135" i="1" s="1"/>
  <c r="AP135" i="1"/>
  <c r="H134" i="1"/>
  <c r="AB134" i="1"/>
  <c r="AE134" i="1" s="1"/>
  <c r="AC134" i="1"/>
  <c r="AD134" i="1" s="1"/>
  <c r="H133" i="1"/>
  <c r="AB133" i="1"/>
  <c r="AE133" i="1" s="1"/>
  <c r="AC133" i="1"/>
  <c r="AD133" i="1" s="1"/>
  <c r="H132" i="1"/>
  <c r="AB132" i="1"/>
  <c r="AE132" i="1" s="1"/>
  <c r="AC132" i="1"/>
  <c r="AP132" i="1"/>
  <c r="H131" i="1"/>
  <c r="AB131" i="1"/>
  <c r="AE131" i="1" s="1"/>
  <c r="AC131" i="1"/>
  <c r="AD131" i="1" s="1"/>
  <c r="H130" i="1"/>
  <c r="AB130" i="1"/>
  <c r="AE130" i="1" s="1"/>
  <c r="AC130" i="1"/>
  <c r="AD130" i="1" s="1"/>
  <c r="AP130" i="1"/>
  <c r="H129" i="1"/>
  <c r="AB129" i="1"/>
  <c r="AE129" i="1" s="1"/>
  <c r="AC129" i="1"/>
  <c r="AD129" i="1" s="1"/>
  <c r="H128" i="1"/>
  <c r="AB128" i="1"/>
  <c r="AE128" i="1" s="1"/>
  <c r="AC128" i="1"/>
  <c r="AP128" i="1"/>
  <c r="AC127" i="1"/>
  <c r="AD127" i="1" s="1"/>
  <c r="AE127" i="1"/>
  <c r="H127" i="1"/>
  <c r="H372" i="1"/>
  <c r="AB372" i="1"/>
  <c r="AP372" i="1"/>
  <c r="H371" i="1"/>
  <c r="AB371" i="1"/>
  <c r="AP371" i="1"/>
  <c r="H370" i="1"/>
  <c r="AB370" i="1"/>
  <c r="AP370" i="1"/>
  <c r="H369" i="1"/>
  <c r="AB369" i="1"/>
  <c r="AP369" i="1"/>
  <c r="H368" i="1"/>
  <c r="AB368" i="1"/>
  <c r="AE368" i="1" s="1"/>
  <c r="AC368" i="1"/>
  <c r="AD368" i="1" s="1"/>
  <c r="AP368" i="1"/>
  <c r="H367" i="1"/>
  <c r="AB367" i="1"/>
  <c r="AP367" i="1"/>
  <c r="H366" i="1"/>
  <c r="AB366" i="1"/>
  <c r="AP366" i="1"/>
  <c r="AB314" i="1"/>
  <c r="AE314" i="1" s="1"/>
  <c r="AB256" i="1"/>
  <c r="AP252" i="1"/>
  <c r="H124" i="1"/>
  <c r="AD359" i="1" l="1"/>
  <c r="AD74" i="1"/>
  <c r="AD331" i="1"/>
  <c r="AD87" i="1"/>
  <c r="AD358" i="1"/>
  <c r="AD305" i="1"/>
  <c r="AD194" i="1"/>
  <c r="AD8" i="1"/>
  <c r="AD357" i="1"/>
  <c r="AD304" i="1"/>
  <c r="AD268" i="1"/>
  <c r="AD356" i="1"/>
  <c r="AD301" i="1"/>
  <c r="AD347" i="1"/>
  <c r="AD165" i="1"/>
  <c r="AD346" i="1"/>
  <c r="AL8" i="4"/>
  <c r="AD344" i="1"/>
  <c r="AD51" i="1"/>
  <c r="AD75" i="1"/>
  <c r="AD163" i="1"/>
  <c r="AD343" i="1"/>
  <c r="AD342" i="1"/>
  <c r="AD340" i="1"/>
  <c r="AD339" i="1"/>
  <c r="AD150" i="1"/>
  <c r="AD285" i="1"/>
  <c r="AD284" i="1"/>
  <c r="AD160" i="1"/>
  <c r="AD336" i="1"/>
  <c r="AD283" i="1"/>
  <c r="AD98" i="1"/>
  <c r="AD52" i="1"/>
  <c r="AD282" i="1"/>
  <c r="AD47" i="1"/>
  <c r="AD50" i="1"/>
  <c r="AD42" i="1"/>
  <c r="AD128" i="1"/>
  <c r="G8" i="4"/>
  <c r="I8" i="4" s="1"/>
  <c r="AF8" i="5"/>
  <c r="AG8" i="5" s="1"/>
  <c r="Y8" i="5" s="1"/>
  <c r="AD157" i="1"/>
  <c r="AD31" i="1"/>
  <c r="X8" i="4"/>
  <c r="AA8" i="4" s="1"/>
  <c r="AD330" i="1"/>
  <c r="AD329" i="1"/>
  <c r="AD155" i="1"/>
  <c r="AL8" i="5"/>
  <c r="AD327" i="1"/>
  <c r="AD154" i="1"/>
  <c r="Y8" i="4"/>
  <c r="V8" i="5"/>
  <c r="U8" i="5"/>
  <c r="X8" i="5" s="1"/>
  <c r="AD323" i="1"/>
  <c r="AD122" i="1"/>
  <c r="AD151" i="1"/>
  <c r="AD318" i="1"/>
  <c r="AD259" i="1"/>
  <c r="AD148" i="1"/>
  <c r="AD314" i="1"/>
  <c r="AD145" i="1"/>
  <c r="AD158" i="1"/>
  <c r="AD333" i="1"/>
  <c r="AD161" i="1"/>
  <c r="AB8" i="5"/>
  <c r="AH8" i="5" s="1"/>
  <c r="AD312" i="1"/>
  <c r="AD245" i="1"/>
  <c r="AD144" i="1"/>
  <c r="AD199" i="1"/>
  <c r="AD121" i="1"/>
  <c r="AD243" i="1"/>
  <c r="AD97" i="1"/>
  <c r="AD142" i="1"/>
  <c r="D10" i="4"/>
  <c r="C11" i="4"/>
  <c r="F9" i="4"/>
  <c r="V9" i="4"/>
  <c r="T9" i="4"/>
  <c r="U9" i="4"/>
  <c r="K9" i="4"/>
  <c r="W9" i="4"/>
  <c r="E9" i="4"/>
  <c r="B9" i="4"/>
  <c r="AK9" i="4"/>
  <c r="AI9" i="4"/>
  <c r="AJ9" i="4"/>
  <c r="M9" i="4"/>
  <c r="N9" i="4"/>
  <c r="O9" i="4"/>
  <c r="P9" i="4"/>
  <c r="Q9" i="4"/>
  <c r="R9" i="4"/>
  <c r="S9" i="4"/>
  <c r="L9" i="4"/>
  <c r="J9" i="4"/>
  <c r="H9" i="4"/>
  <c r="AK9" i="5"/>
  <c r="K9" i="5"/>
  <c r="I9" i="5"/>
  <c r="L9" i="5"/>
  <c r="M9" i="5"/>
  <c r="O9" i="5"/>
  <c r="N9" i="5"/>
  <c r="B9" i="5"/>
  <c r="E9" i="5"/>
  <c r="G3" i="5" s="1"/>
  <c r="T9" i="5"/>
  <c r="Q9" i="5"/>
  <c r="H9" i="5"/>
  <c r="S9" i="5"/>
  <c r="F9" i="5"/>
  <c r="AC9" i="5"/>
  <c r="AD9" i="5" s="1"/>
  <c r="D10" i="5"/>
  <c r="C11" i="5"/>
  <c r="AE10" i="5"/>
  <c r="AD41" i="1"/>
  <c r="AE41" i="1"/>
  <c r="AD32" i="1"/>
  <c r="AE32" i="1"/>
  <c r="AE17" i="1"/>
  <c r="AD17" i="1"/>
  <c r="AD101" i="1"/>
  <c r="AE101" i="1"/>
  <c r="AE93" i="1"/>
  <c r="AD93" i="1"/>
  <c r="AD253" i="1"/>
  <c r="AE253" i="1"/>
  <c r="AE252" i="1"/>
  <c r="AD252" i="1"/>
  <c r="AD82" i="1"/>
  <c r="AE82" i="1"/>
  <c r="AD73" i="1"/>
  <c r="AE73" i="1"/>
  <c r="AD65" i="1"/>
  <c r="AE65" i="1"/>
  <c r="AE64" i="1"/>
  <c r="AD64" i="1"/>
  <c r="AE59" i="1"/>
  <c r="AD59" i="1"/>
  <c r="AD116" i="1"/>
  <c r="AE116" i="1"/>
  <c r="AD251" i="1"/>
  <c r="AE251" i="1"/>
  <c r="AE255" i="1"/>
  <c r="AD255" i="1"/>
  <c r="AD294" i="1"/>
  <c r="AE294" i="1"/>
  <c r="AD293" i="1"/>
  <c r="AE293" i="1"/>
  <c r="AD292" i="1"/>
  <c r="AE292" i="1"/>
  <c r="AD291" i="1"/>
  <c r="AE291" i="1"/>
  <c r="AD290" i="1"/>
  <c r="AE290" i="1"/>
  <c r="AD289" i="1"/>
  <c r="AE289" i="1"/>
  <c r="AD288" i="1"/>
  <c r="AE288" i="1"/>
  <c r="AD287" i="1"/>
  <c r="AE287" i="1"/>
  <c r="AD286" i="1"/>
  <c r="AE286" i="1"/>
  <c r="AE280" i="1"/>
  <c r="AD280" i="1"/>
  <c r="AE279" i="1"/>
  <c r="AD279" i="1"/>
  <c r="AE277" i="1"/>
  <c r="AD277" i="1"/>
  <c r="AE276" i="1"/>
  <c r="AD276" i="1"/>
  <c r="AE275" i="1"/>
  <c r="AD275" i="1"/>
  <c r="AE274" i="1"/>
  <c r="AD274" i="1"/>
  <c r="AE272" i="1"/>
  <c r="AD272" i="1"/>
  <c r="AE271" i="1"/>
  <c r="AD271" i="1"/>
  <c r="AE270" i="1"/>
  <c r="AD270" i="1"/>
  <c r="AE269" i="1"/>
  <c r="AD269" i="1"/>
  <c r="AE267" i="1"/>
  <c r="AD267" i="1"/>
  <c r="AE266" i="1"/>
  <c r="AD266" i="1"/>
  <c r="AE265" i="1"/>
  <c r="AD265" i="1"/>
  <c r="AE264" i="1"/>
  <c r="AD264" i="1"/>
  <c r="AE263" i="1"/>
  <c r="AD263" i="1"/>
  <c r="AE261" i="1"/>
  <c r="AD261" i="1"/>
  <c r="AE260" i="1"/>
  <c r="AD260" i="1"/>
  <c r="AE258" i="1"/>
  <c r="AD258" i="1"/>
  <c r="AE257" i="1"/>
  <c r="AD257" i="1"/>
  <c r="AE250" i="1"/>
  <c r="AD250" i="1"/>
  <c r="AE249" i="1"/>
  <c r="AD249" i="1"/>
  <c r="AE247" i="1"/>
  <c r="AD247" i="1"/>
  <c r="AE246" i="1"/>
  <c r="AD246" i="1"/>
  <c r="AE244" i="1"/>
  <c r="AD244" i="1"/>
  <c r="AE242" i="1"/>
  <c r="AD242" i="1"/>
  <c r="AE241" i="1"/>
  <c r="AD241" i="1"/>
  <c r="AE239" i="1"/>
  <c r="AD239" i="1"/>
  <c r="AE238" i="1"/>
  <c r="AD238" i="1"/>
  <c r="AE236" i="1"/>
  <c r="AD236" i="1"/>
  <c r="AE235" i="1"/>
  <c r="AD235" i="1"/>
  <c r="AE233" i="1"/>
  <c r="AD233" i="1"/>
  <c r="AE232" i="1"/>
  <c r="AD232" i="1"/>
  <c r="AE230" i="1"/>
  <c r="AD230" i="1"/>
  <c r="AE229" i="1"/>
  <c r="AD229" i="1"/>
  <c r="AE227" i="1"/>
  <c r="AD227" i="1"/>
  <c r="AE225" i="1"/>
  <c r="AD225" i="1"/>
  <c r="AE224" i="1"/>
  <c r="AD224" i="1"/>
  <c r="AE222" i="1"/>
  <c r="AD222" i="1"/>
  <c r="AE221" i="1"/>
  <c r="AD221" i="1"/>
  <c r="AE219" i="1"/>
  <c r="AD219" i="1"/>
  <c r="AE218" i="1"/>
  <c r="AD218" i="1"/>
  <c r="AE216" i="1"/>
  <c r="AD216" i="1"/>
  <c r="AE215" i="1"/>
  <c r="AD215" i="1"/>
  <c r="AE213" i="1"/>
  <c r="AD213" i="1"/>
  <c r="AE212" i="1"/>
  <c r="AD212" i="1"/>
  <c r="AD210" i="1"/>
  <c r="AE210" i="1"/>
  <c r="AE207" i="1"/>
  <c r="AD207" i="1"/>
  <c r="AE206" i="1"/>
  <c r="AD206" i="1"/>
  <c r="AD204" i="1"/>
  <c r="AE204" i="1"/>
  <c r="AD107" i="1"/>
  <c r="AE107" i="1"/>
  <c r="AE203" i="1"/>
  <c r="AD203" i="1"/>
  <c r="AE201" i="1"/>
  <c r="AD201" i="1"/>
  <c r="AE200" i="1"/>
  <c r="AD200" i="1"/>
  <c r="AE197" i="1"/>
  <c r="AD197" i="1"/>
  <c r="AE196" i="1"/>
  <c r="AD196" i="1"/>
  <c r="AE372" i="1"/>
  <c r="AD372" i="1"/>
  <c r="AE371" i="1"/>
  <c r="AD371" i="1"/>
  <c r="AE370" i="1"/>
  <c r="AD370" i="1"/>
  <c r="AE369" i="1"/>
  <c r="AD369" i="1"/>
  <c r="AE367" i="1"/>
  <c r="AD367" i="1"/>
  <c r="AE366" i="1"/>
  <c r="AD366" i="1"/>
  <c r="AE256" i="1"/>
  <c r="AD256" i="1"/>
  <c r="AD113" i="1"/>
  <c r="AD254" i="1"/>
  <c r="AD112" i="1"/>
  <c r="AD361" i="1"/>
  <c r="AD302" i="1"/>
  <c r="AD296" i="1"/>
  <c r="AD111" i="1"/>
  <c r="AD132" i="1"/>
  <c r="G9" i="5"/>
  <c r="R9" i="5"/>
  <c r="AJ9" i="5"/>
  <c r="AI9" i="5"/>
  <c r="J9" i="5"/>
  <c r="P9" i="5"/>
  <c r="F1" i="5" l="1"/>
  <c r="H1" i="5"/>
  <c r="Z8" i="4"/>
  <c r="W8" i="5"/>
  <c r="AL9" i="5"/>
  <c r="G9" i="4"/>
  <c r="I9" i="4" s="1"/>
  <c r="V9" i="5"/>
  <c r="X9" i="4"/>
  <c r="AA9" i="4" s="1"/>
  <c r="E10" i="4"/>
  <c r="U10" i="4"/>
  <c r="T10" i="4"/>
  <c r="V10" i="4"/>
  <c r="J10" i="4"/>
  <c r="K10" i="4"/>
  <c r="F10" i="4"/>
  <c r="W10" i="4"/>
  <c r="B10" i="4"/>
  <c r="AI10" i="4"/>
  <c r="AK10" i="4"/>
  <c r="M10" i="4"/>
  <c r="N10" i="4"/>
  <c r="O10" i="4"/>
  <c r="P10" i="4"/>
  <c r="Q10" i="4"/>
  <c r="R10" i="4"/>
  <c r="S10" i="4"/>
  <c r="L10" i="4"/>
  <c r="AJ10" i="4"/>
  <c r="H10" i="4"/>
  <c r="C12" i="4"/>
  <c r="D11" i="4"/>
  <c r="B10" i="5"/>
  <c r="AC10" i="5"/>
  <c r="AD10" i="5" s="1"/>
  <c r="D11" i="5"/>
  <c r="H11" i="5" s="1"/>
  <c r="C12" i="5"/>
  <c r="AE11" i="5"/>
  <c r="Y9" i="4"/>
  <c r="AF9" i="5"/>
  <c r="AG9" i="5" s="1"/>
  <c r="Y9" i="5" s="1"/>
  <c r="U9" i="5"/>
  <c r="AL9" i="4"/>
  <c r="S10" i="5"/>
  <c r="G10" i="5"/>
  <c r="R10" i="5"/>
  <c r="T10" i="5"/>
  <c r="H10" i="5"/>
  <c r="F10" i="5"/>
  <c r="AJ10" i="5"/>
  <c r="I10" i="5"/>
  <c r="K10" i="5"/>
  <c r="M10" i="5"/>
  <c r="O10" i="5"/>
  <c r="Q10" i="5"/>
  <c r="E10" i="5"/>
  <c r="AI10" i="5"/>
  <c r="AK10" i="5"/>
  <c r="J10" i="5"/>
  <c r="L10" i="5"/>
  <c r="N10" i="5"/>
  <c r="P10" i="5"/>
  <c r="AL10" i="4" l="1"/>
  <c r="Z9" i="4"/>
  <c r="U10" i="5"/>
  <c r="AL10" i="5"/>
  <c r="Q11" i="5"/>
  <c r="G11" i="5"/>
  <c r="F11" i="5"/>
  <c r="S11" i="5"/>
  <c r="R11" i="5"/>
  <c r="L11" i="5"/>
  <c r="C13" i="4"/>
  <c r="D12" i="4"/>
  <c r="J11" i="4"/>
  <c r="M11" i="4"/>
  <c r="N11" i="4"/>
  <c r="B11" i="4"/>
  <c r="K11" i="4"/>
  <c r="F11" i="4"/>
  <c r="E11" i="4"/>
  <c r="AK11" i="4"/>
  <c r="S11" i="4"/>
  <c r="W11" i="4"/>
  <c r="T11" i="4"/>
  <c r="R11" i="4"/>
  <c r="U11" i="4"/>
  <c r="L11" i="4"/>
  <c r="Q11" i="4"/>
  <c r="V11" i="4"/>
  <c r="AI11" i="4"/>
  <c r="P11" i="4"/>
  <c r="AJ11" i="4"/>
  <c r="O11" i="4"/>
  <c r="H11" i="4"/>
  <c r="B11" i="5"/>
  <c r="AC11" i="5"/>
  <c r="AD11" i="5" s="1"/>
  <c r="D12" i="5"/>
  <c r="C13" i="5"/>
  <c r="AE12" i="5"/>
  <c r="W9" i="5"/>
  <c r="AB9" i="5"/>
  <c r="AH9" i="5" s="1"/>
  <c r="X9" i="5"/>
  <c r="G10" i="4"/>
  <c r="I10" i="4" s="1"/>
  <c r="AF10" i="5"/>
  <c r="AG10" i="5" s="1"/>
  <c r="Y10" i="5" s="1"/>
  <c r="V10" i="5"/>
  <c r="Y10" i="4"/>
  <c r="X10" i="4"/>
  <c r="AA10" i="4" s="1"/>
  <c r="E11" i="5"/>
  <c r="T11" i="5"/>
  <c r="AI11" i="5"/>
  <c r="AJ11" i="5"/>
  <c r="AK11" i="5"/>
  <c r="I11" i="5"/>
  <c r="J11" i="5"/>
  <c r="K11" i="5"/>
  <c r="M11" i="5"/>
  <c r="N11" i="5"/>
  <c r="O11" i="5"/>
  <c r="P11" i="5"/>
  <c r="L1" i="5" l="1"/>
  <c r="I1" i="5"/>
  <c r="K1" i="5"/>
  <c r="M1" i="5"/>
  <c r="O1" i="5"/>
  <c r="P1" i="5"/>
  <c r="J1" i="5"/>
  <c r="N1" i="5"/>
  <c r="G11" i="4"/>
  <c r="I11" i="4" s="1"/>
  <c r="U11" i="5"/>
  <c r="W10" i="5"/>
  <c r="AB10" i="5"/>
  <c r="AH10" i="5" s="1"/>
  <c r="X10" i="5"/>
  <c r="AK12" i="5"/>
  <c r="F12" i="5"/>
  <c r="Y11" i="4"/>
  <c r="AL11" i="5"/>
  <c r="V11" i="5"/>
  <c r="AK12" i="4"/>
  <c r="S12" i="4"/>
  <c r="R12" i="4"/>
  <c r="Q12" i="4"/>
  <c r="P12" i="4"/>
  <c r="N12" i="4"/>
  <c r="M12" i="4"/>
  <c r="L12" i="4"/>
  <c r="AI12" i="4"/>
  <c r="O12" i="4"/>
  <c r="AJ12" i="4"/>
  <c r="E12" i="5"/>
  <c r="T12" i="5"/>
  <c r="AI12" i="5"/>
  <c r="L12" i="5"/>
  <c r="H12" i="5"/>
  <c r="J12" i="5"/>
  <c r="R12" i="5"/>
  <c r="C14" i="4"/>
  <c r="D13" i="4"/>
  <c r="B12" i="4"/>
  <c r="H12" i="4"/>
  <c r="B12" i="5"/>
  <c r="AC12" i="5"/>
  <c r="AD12" i="5" s="1"/>
  <c r="D13" i="5"/>
  <c r="AE13" i="5"/>
  <c r="C14" i="5"/>
  <c r="X11" i="4"/>
  <c r="Z10" i="4"/>
  <c r="AF11" i="5"/>
  <c r="AG11" i="5" s="1"/>
  <c r="Y11" i="5" s="1"/>
  <c r="AL11" i="4"/>
  <c r="V12" i="4"/>
  <c r="E12" i="4"/>
  <c r="J12" i="4"/>
  <c r="T12" i="4"/>
  <c r="F12" i="4"/>
  <c r="U12" i="4"/>
  <c r="K12" i="4"/>
  <c r="W12" i="4"/>
  <c r="N12" i="5"/>
  <c r="S12" i="5"/>
  <c r="K12" i="5"/>
  <c r="O12" i="5"/>
  <c r="Q12" i="5"/>
  <c r="G12" i="5"/>
  <c r="I12" i="5"/>
  <c r="M12" i="5"/>
  <c r="P12" i="5"/>
  <c r="AJ12" i="5"/>
  <c r="L2" i="5" l="1"/>
  <c r="J2" i="5"/>
  <c r="I2" i="5"/>
  <c r="N2" i="5"/>
  <c r="K2" i="5"/>
  <c r="O2" i="5"/>
  <c r="M2" i="5"/>
  <c r="P2" i="5"/>
  <c r="AF12" i="5"/>
  <c r="AG12" i="5" s="1"/>
  <c r="Y12" i="5" s="1"/>
  <c r="W11" i="5"/>
  <c r="X12" i="4"/>
  <c r="AA12" i="4" s="1"/>
  <c r="X11" i="5"/>
  <c r="AB11" i="5"/>
  <c r="AH11" i="5" s="1"/>
  <c r="AL12" i="5"/>
  <c r="AL12" i="4"/>
  <c r="V12" i="5"/>
  <c r="Y12" i="4"/>
  <c r="U12" i="5"/>
  <c r="E13" i="4"/>
  <c r="O13" i="4"/>
  <c r="T13" i="4"/>
  <c r="AI13" i="4"/>
  <c r="W13" i="4"/>
  <c r="K13" i="4"/>
  <c r="N13" i="4"/>
  <c r="M13" i="4"/>
  <c r="L13" i="4"/>
  <c r="U13" i="4"/>
  <c r="AJ13" i="4"/>
  <c r="AK13" i="4"/>
  <c r="V13" i="4"/>
  <c r="J13" i="4"/>
  <c r="F13" i="4"/>
  <c r="D14" i="4"/>
  <c r="C15" i="4"/>
  <c r="P13" i="4"/>
  <c r="Q13" i="4"/>
  <c r="R13" i="4"/>
  <c r="S13" i="4"/>
  <c r="B13" i="4"/>
  <c r="H13" i="4"/>
  <c r="B13" i="5"/>
  <c r="AC13" i="5"/>
  <c r="AD13" i="5" s="1"/>
  <c r="D14" i="5"/>
  <c r="C15" i="5"/>
  <c r="AE14" i="5"/>
  <c r="Z11" i="4"/>
  <c r="AA11" i="4"/>
  <c r="G12" i="4"/>
  <c r="I12" i="4" s="1"/>
  <c r="Q13" i="5"/>
  <c r="G13" i="5"/>
  <c r="F13" i="5"/>
  <c r="R13" i="5"/>
  <c r="E13" i="5"/>
  <c r="S13" i="5"/>
  <c r="AK13" i="5"/>
  <c r="AI13" i="5"/>
  <c r="AJ13" i="5"/>
  <c r="I13" i="5"/>
  <c r="J13" i="5"/>
  <c r="K13" i="5"/>
  <c r="L13" i="5"/>
  <c r="M13" i="5"/>
  <c r="N13" i="5"/>
  <c r="O13" i="5"/>
  <c r="T13" i="5"/>
  <c r="P13" i="5"/>
  <c r="H13" i="5"/>
  <c r="J3" i="5" l="1"/>
  <c r="N3" i="5"/>
  <c r="K3" i="5"/>
  <c r="L3" i="5"/>
  <c r="M3" i="5"/>
  <c r="O3" i="5"/>
  <c r="P3" i="5"/>
  <c r="I3" i="5"/>
  <c r="X12" i="5"/>
  <c r="AB12" i="5"/>
  <c r="AH12" i="5" s="1"/>
  <c r="Z12" i="4"/>
  <c r="W12" i="5"/>
  <c r="Y13" i="4"/>
  <c r="G13" i="4"/>
  <c r="I13" i="4" s="1"/>
  <c r="S14" i="5"/>
  <c r="Q14" i="5"/>
  <c r="AL13" i="4"/>
  <c r="K14" i="4"/>
  <c r="U14" i="4"/>
  <c r="X13" i="4"/>
  <c r="U13" i="5"/>
  <c r="T14" i="5"/>
  <c r="F14" i="5"/>
  <c r="G14" i="5"/>
  <c r="E14" i="5"/>
  <c r="H14" i="5"/>
  <c r="AI14" i="5"/>
  <c r="I14" i="5"/>
  <c r="K14" i="5"/>
  <c r="R14" i="5"/>
  <c r="AJ14" i="5"/>
  <c r="J14" i="5"/>
  <c r="L14" i="5"/>
  <c r="M14" i="5"/>
  <c r="N14" i="5"/>
  <c r="O14" i="5"/>
  <c r="J14" i="4"/>
  <c r="T14" i="4"/>
  <c r="F14" i="4"/>
  <c r="E14" i="4"/>
  <c r="V14" i="4"/>
  <c r="W14" i="4"/>
  <c r="AK14" i="4"/>
  <c r="AJ14" i="4"/>
  <c r="AI14" i="4"/>
  <c r="L14" i="4"/>
  <c r="M14" i="4"/>
  <c r="N14" i="4"/>
  <c r="O14" i="4"/>
  <c r="P14" i="4"/>
  <c r="Q14" i="4"/>
  <c r="R14" i="4"/>
  <c r="S14" i="4"/>
  <c r="B14" i="4"/>
  <c r="H14" i="4"/>
  <c r="D15" i="4"/>
  <c r="C16" i="4"/>
  <c r="B14" i="5"/>
  <c r="AC14" i="5"/>
  <c r="AD14" i="5" s="1"/>
  <c r="D15" i="5"/>
  <c r="C16" i="5"/>
  <c r="AE15" i="5"/>
  <c r="AF13" i="5"/>
  <c r="AG13" i="5" s="1"/>
  <c r="Y13" i="5" s="1"/>
  <c r="AL13" i="5"/>
  <c r="V13" i="5"/>
  <c r="P14" i="5"/>
  <c r="AK14" i="5"/>
  <c r="AF14" i="5" l="1"/>
  <c r="AG14" i="5" s="1"/>
  <c r="Y14" i="5" s="1"/>
  <c r="U14" i="5"/>
  <c r="V14" i="5"/>
  <c r="G14" i="4"/>
  <c r="I14" i="4" s="1"/>
  <c r="Y14" i="4"/>
  <c r="W13" i="5"/>
  <c r="Z13" i="4"/>
  <c r="AA13" i="4"/>
  <c r="X13" i="5"/>
  <c r="AB13" i="5"/>
  <c r="AH13" i="5" s="1"/>
  <c r="AL14" i="5"/>
  <c r="G15" i="5"/>
  <c r="T15" i="5"/>
  <c r="H15" i="5"/>
  <c r="E15" i="5"/>
  <c r="Q15" i="5"/>
  <c r="AI15" i="5"/>
  <c r="AJ15" i="5"/>
  <c r="R15" i="5"/>
  <c r="AK15" i="5"/>
  <c r="F15" i="5"/>
  <c r="S15" i="5"/>
  <c r="AJ15" i="4"/>
  <c r="AK15" i="4"/>
  <c r="L15" i="4"/>
  <c r="M15" i="4"/>
  <c r="Q15" i="4"/>
  <c r="R15" i="4"/>
  <c r="S15" i="4"/>
  <c r="B15" i="4"/>
  <c r="H15" i="4"/>
  <c r="D16" i="4"/>
  <c r="C17" i="4"/>
  <c r="B15" i="5"/>
  <c r="AC15" i="5"/>
  <c r="AD15" i="5" s="1"/>
  <c r="D16" i="5"/>
  <c r="C17" i="5"/>
  <c r="AE16" i="5"/>
  <c r="X14" i="4"/>
  <c r="AL14" i="4"/>
  <c r="E15" i="4"/>
  <c r="F15" i="4"/>
  <c r="W15" i="4"/>
  <c r="T15" i="4"/>
  <c r="J15" i="4"/>
  <c r="K15" i="4"/>
  <c r="P15" i="4"/>
  <c r="O15" i="4"/>
  <c r="N15" i="4"/>
  <c r="AI15" i="4"/>
  <c r="V15" i="4"/>
  <c r="U15" i="4"/>
  <c r="J15" i="5"/>
  <c r="K15" i="5"/>
  <c r="L15" i="5"/>
  <c r="M15" i="5"/>
  <c r="N15" i="5"/>
  <c r="O15" i="5"/>
  <c r="P15" i="5"/>
  <c r="I15" i="5"/>
  <c r="W14" i="5" l="1"/>
  <c r="X14" i="5"/>
  <c r="AB14" i="5"/>
  <c r="AH14" i="5" s="1"/>
  <c r="Y15" i="4"/>
  <c r="H16" i="5"/>
  <c r="S16" i="5"/>
  <c r="E16" i="5"/>
  <c r="Q16" i="5"/>
  <c r="U15" i="5"/>
  <c r="AF15" i="5"/>
  <c r="AG15" i="5" s="1"/>
  <c r="Y15" i="5" s="1"/>
  <c r="V15" i="5"/>
  <c r="AL15" i="5"/>
  <c r="S16" i="4"/>
  <c r="R16" i="4"/>
  <c r="Q16" i="4"/>
  <c r="P16" i="4"/>
  <c r="O16" i="4"/>
  <c r="N16" i="4"/>
  <c r="M16" i="4"/>
  <c r="L16" i="4"/>
  <c r="AJ16" i="4"/>
  <c r="AI16" i="4"/>
  <c r="E16" i="4"/>
  <c r="K16" i="4"/>
  <c r="V16" i="4"/>
  <c r="J16" i="4"/>
  <c r="U16" i="4"/>
  <c r="T16" i="4"/>
  <c r="F16" i="4"/>
  <c r="W16" i="4"/>
  <c r="AK16" i="4"/>
  <c r="B16" i="4"/>
  <c r="H16" i="4"/>
  <c r="D17" i="4"/>
  <c r="C18" i="4"/>
  <c r="B16" i="5"/>
  <c r="AC16" i="5"/>
  <c r="AD16" i="5" s="1"/>
  <c r="AE17" i="5"/>
  <c r="D17" i="5"/>
  <c r="C18" i="5"/>
  <c r="Z14" i="4"/>
  <c r="AA14" i="4"/>
  <c r="G15" i="4"/>
  <c r="I15" i="4" s="1"/>
  <c r="X15" i="4"/>
  <c r="AL15" i="4"/>
  <c r="R16" i="5"/>
  <c r="AI16" i="5"/>
  <c r="AJ16" i="5"/>
  <c r="F16" i="5"/>
  <c r="G16" i="5"/>
  <c r="AK16" i="5"/>
  <c r="I16" i="5"/>
  <c r="K16" i="5"/>
  <c r="L16" i="5"/>
  <c r="N16" i="5"/>
  <c r="P16" i="5"/>
  <c r="J16" i="5"/>
  <c r="M16" i="5"/>
  <c r="O16" i="5"/>
  <c r="T16" i="5"/>
  <c r="AF16" i="5" l="1"/>
  <c r="AG16" i="5" s="1"/>
  <c r="Y16" i="5" s="1"/>
  <c r="X15" i="5"/>
  <c r="AB15" i="5"/>
  <c r="AH15" i="5" s="1"/>
  <c r="U16" i="5"/>
  <c r="W15" i="5"/>
  <c r="X16" i="4"/>
  <c r="AA16" i="4" s="1"/>
  <c r="AL16" i="4"/>
  <c r="AL16" i="5"/>
  <c r="N17" i="4"/>
  <c r="L17" i="4"/>
  <c r="T17" i="5"/>
  <c r="R17" i="5"/>
  <c r="H17" i="5"/>
  <c r="E17" i="5"/>
  <c r="AI17" i="5"/>
  <c r="S17" i="5"/>
  <c r="G17" i="5"/>
  <c r="F17" i="5"/>
  <c r="Q17" i="5"/>
  <c r="AJ17" i="5"/>
  <c r="B17" i="4"/>
  <c r="H17" i="4"/>
  <c r="C19" i="4"/>
  <c r="D18" i="4"/>
  <c r="B17" i="5"/>
  <c r="AC17" i="5"/>
  <c r="AD17" i="5" s="1"/>
  <c r="D18" i="5"/>
  <c r="C19" i="5"/>
  <c r="AE18" i="5"/>
  <c r="Z15" i="4"/>
  <c r="AA15" i="4"/>
  <c r="V16" i="5"/>
  <c r="G16" i="4"/>
  <c r="I16" i="4" s="1"/>
  <c r="Y16" i="4"/>
  <c r="O17" i="4"/>
  <c r="K17" i="4"/>
  <c r="F17" i="4"/>
  <c r="J17" i="4"/>
  <c r="U17" i="4"/>
  <c r="R17" i="4"/>
  <c r="V17" i="4"/>
  <c r="S17" i="4"/>
  <c r="P17" i="4"/>
  <c r="Q17" i="4"/>
  <c r="T17" i="4"/>
  <c r="M17" i="4"/>
  <c r="AJ17" i="4"/>
  <c r="AI17" i="4"/>
  <c r="AK17" i="4"/>
  <c r="W17" i="4"/>
  <c r="E17" i="4"/>
  <c r="J17" i="5"/>
  <c r="K17" i="5"/>
  <c r="L17" i="5"/>
  <c r="M17" i="5"/>
  <c r="O17" i="5"/>
  <c r="P17" i="5"/>
  <c r="AK17" i="5"/>
  <c r="N17" i="5"/>
  <c r="I17" i="5"/>
  <c r="AF17" i="5" l="1"/>
  <c r="AG17" i="5" s="1"/>
  <c r="Y17" i="5" s="1"/>
  <c r="W16" i="5"/>
  <c r="AB16" i="5"/>
  <c r="AH16" i="5" s="1"/>
  <c r="X16" i="5"/>
  <c r="X17" i="4"/>
  <c r="AA17" i="4" s="1"/>
  <c r="Z16" i="4"/>
  <c r="V17" i="5"/>
  <c r="F18" i="4"/>
  <c r="T18" i="4"/>
  <c r="U17" i="5"/>
  <c r="AL17" i="4"/>
  <c r="AL17" i="5"/>
  <c r="V18" i="4"/>
  <c r="K18" i="4"/>
  <c r="J18" i="4"/>
  <c r="E18" i="4"/>
  <c r="W18" i="4"/>
  <c r="S18" i="4"/>
  <c r="R18" i="4"/>
  <c r="Q18" i="4"/>
  <c r="P18" i="4"/>
  <c r="D19" i="4"/>
  <c r="C20" i="4"/>
  <c r="B18" i="4"/>
  <c r="H18" i="4"/>
  <c r="B18" i="5"/>
  <c r="AC18" i="5"/>
  <c r="AD18" i="5" s="1"/>
  <c r="D19" i="5"/>
  <c r="C20" i="5"/>
  <c r="AE19" i="5"/>
  <c r="G17" i="4"/>
  <c r="I17" i="4" s="1"/>
  <c r="Y17" i="4"/>
  <c r="M18" i="4"/>
  <c r="L18" i="4"/>
  <c r="AK18" i="4"/>
  <c r="AJ18" i="4"/>
  <c r="U18" i="4"/>
  <c r="AI18" i="4"/>
  <c r="O18" i="4"/>
  <c r="N18" i="4"/>
  <c r="F18" i="5"/>
  <c r="Q18" i="5"/>
  <c r="P18" i="5"/>
  <c r="M18" i="5"/>
  <c r="L18" i="5"/>
  <c r="K18" i="5"/>
  <c r="H18" i="5"/>
  <c r="G18" i="5"/>
  <c r="E18" i="5"/>
  <c r="I18" i="5"/>
  <c r="AJ18" i="5"/>
  <c r="AK18" i="5"/>
  <c r="AI18" i="5"/>
  <c r="J18" i="5"/>
  <c r="S18" i="5"/>
  <c r="T18" i="5"/>
  <c r="O18" i="5"/>
  <c r="N18" i="5"/>
  <c r="R18" i="5"/>
  <c r="Z17" i="4" l="1"/>
  <c r="G18" i="4"/>
  <c r="I18" i="4" s="1"/>
  <c r="X18" i="4"/>
  <c r="AA18" i="4" s="1"/>
  <c r="V19" i="4"/>
  <c r="T19" i="4"/>
  <c r="X17" i="5"/>
  <c r="W17" i="5"/>
  <c r="AB17" i="5"/>
  <c r="AH17" i="5" s="1"/>
  <c r="Y18" i="4"/>
  <c r="U19" i="4"/>
  <c r="J19" i="4"/>
  <c r="W19" i="4"/>
  <c r="K19" i="4"/>
  <c r="AJ19" i="4"/>
  <c r="AK19" i="4"/>
  <c r="AI19" i="4"/>
  <c r="M19" i="4"/>
  <c r="N19" i="4"/>
  <c r="Q19" i="4"/>
  <c r="P19" i="4"/>
  <c r="O19" i="4"/>
  <c r="S19" i="4"/>
  <c r="R19" i="4"/>
  <c r="E19" i="4"/>
  <c r="F19" i="4"/>
  <c r="L19" i="4"/>
  <c r="B19" i="4"/>
  <c r="H19" i="4"/>
  <c r="D20" i="4"/>
  <c r="C21" i="4"/>
  <c r="B19" i="5"/>
  <c r="AC19" i="5"/>
  <c r="AD19" i="5" s="1"/>
  <c r="D20" i="5"/>
  <c r="C21" i="5"/>
  <c r="AE20" i="5"/>
  <c r="U18" i="5"/>
  <c r="AF18" i="5"/>
  <c r="AG18" i="5" s="1"/>
  <c r="Y18" i="5" s="1"/>
  <c r="AL18" i="5"/>
  <c r="V18" i="5"/>
  <c r="AL18" i="4"/>
  <c r="R19" i="5"/>
  <c r="E19" i="5"/>
  <c r="F19" i="5"/>
  <c r="T19" i="5"/>
  <c r="G19" i="5"/>
  <c r="S19" i="5"/>
  <c r="AJ19" i="5"/>
  <c r="AI19" i="5"/>
  <c r="I19" i="5"/>
  <c r="J19" i="5"/>
  <c r="O19" i="5"/>
  <c r="AK19" i="5"/>
  <c r="K19" i="5"/>
  <c r="L19" i="5"/>
  <c r="M19" i="5"/>
  <c r="P19" i="5"/>
  <c r="Q19" i="5"/>
  <c r="N19" i="5"/>
  <c r="H19" i="5"/>
  <c r="Z18" i="4" l="1"/>
  <c r="X19" i="4"/>
  <c r="AA19" i="4" s="1"/>
  <c r="AL19" i="5"/>
  <c r="G19" i="4"/>
  <c r="I19" i="4" s="1"/>
  <c r="M20" i="5"/>
  <c r="L20" i="5"/>
  <c r="Y19" i="4"/>
  <c r="W18" i="5"/>
  <c r="U19" i="5"/>
  <c r="AL19" i="4"/>
  <c r="V20" i="4"/>
  <c r="U20" i="4"/>
  <c r="W20" i="4"/>
  <c r="E20" i="4"/>
  <c r="AK20" i="4"/>
  <c r="T20" i="4"/>
  <c r="K20" i="4"/>
  <c r="F20" i="4"/>
  <c r="AJ20" i="4"/>
  <c r="AI20" i="4"/>
  <c r="J20" i="4"/>
  <c r="L20" i="4"/>
  <c r="M20" i="4"/>
  <c r="N20" i="4"/>
  <c r="O20" i="4"/>
  <c r="P20" i="4"/>
  <c r="Q20" i="4"/>
  <c r="R20" i="4"/>
  <c r="S20" i="4"/>
  <c r="B20" i="4"/>
  <c r="H20" i="4"/>
  <c r="C22" i="4"/>
  <c r="D21" i="4"/>
  <c r="B20" i="5"/>
  <c r="AC20" i="5"/>
  <c r="AD20" i="5" s="1"/>
  <c r="AE21" i="5"/>
  <c r="D21" i="5"/>
  <c r="C22" i="5"/>
  <c r="X18" i="5"/>
  <c r="AB18" i="5"/>
  <c r="AH18" i="5" s="1"/>
  <c r="AF19" i="5"/>
  <c r="AG19" i="5" s="1"/>
  <c r="Y19" i="5" s="1"/>
  <c r="V19" i="5"/>
  <c r="N20" i="5"/>
  <c r="O20" i="5"/>
  <c r="P20" i="5"/>
  <c r="AK20" i="5"/>
  <c r="R20" i="5"/>
  <c r="Q20" i="5"/>
  <c r="H20" i="5"/>
  <c r="F20" i="5"/>
  <c r="G20" i="5"/>
  <c r="S20" i="5"/>
  <c r="E20" i="5"/>
  <c r="T20" i="5"/>
  <c r="AI20" i="5"/>
  <c r="I20" i="5"/>
  <c r="J20" i="5"/>
  <c r="AJ20" i="5"/>
  <c r="K20" i="5"/>
  <c r="Z19" i="4" l="1"/>
  <c r="V20" i="5"/>
  <c r="AL20" i="5"/>
  <c r="H21" i="5"/>
  <c r="F21" i="5"/>
  <c r="Q21" i="5"/>
  <c r="G21" i="5"/>
  <c r="R21" i="5"/>
  <c r="T21" i="5"/>
  <c r="E21" i="5"/>
  <c r="X19" i="5"/>
  <c r="AB19" i="5"/>
  <c r="AH19" i="5" s="1"/>
  <c r="X20" i="4"/>
  <c r="AA20" i="4" s="1"/>
  <c r="W19" i="5"/>
  <c r="D22" i="4"/>
  <c r="C23" i="4"/>
  <c r="AI21" i="4"/>
  <c r="L21" i="4"/>
  <c r="N21" i="4"/>
  <c r="M21" i="4"/>
  <c r="B21" i="4"/>
  <c r="H21" i="4"/>
  <c r="B21" i="5"/>
  <c r="AC21" i="5"/>
  <c r="AD21" i="5" s="1"/>
  <c r="D22" i="5"/>
  <c r="C23" i="5"/>
  <c r="AE22" i="5"/>
  <c r="U20" i="5"/>
  <c r="AF20" i="5"/>
  <c r="AG20" i="5" s="1"/>
  <c r="Y20" i="5" s="1"/>
  <c r="G20" i="4"/>
  <c r="I20" i="4" s="1"/>
  <c r="AL20" i="4"/>
  <c r="Y20" i="4"/>
  <c r="AK21" i="4"/>
  <c r="F21" i="4"/>
  <c r="U21" i="4"/>
  <c r="V21" i="4"/>
  <c r="AJ21" i="4"/>
  <c r="T21" i="4"/>
  <c r="J21" i="4"/>
  <c r="E21" i="4"/>
  <c r="K21" i="4"/>
  <c r="W21" i="4"/>
  <c r="S21" i="4"/>
  <c r="Q21" i="4"/>
  <c r="O21" i="4"/>
  <c r="R21" i="4"/>
  <c r="P21" i="4"/>
  <c r="M21" i="5"/>
  <c r="L21" i="5"/>
  <c r="J21" i="5"/>
  <c r="I21" i="5"/>
  <c r="AK21" i="5"/>
  <c r="AJ21" i="5"/>
  <c r="AI21" i="5"/>
  <c r="K21" i="5"/>
  <c r="S21" i="5"/>
  <c r="P21" i="5"/>
  <c r="O21" i="5"/>
  <c r="N21" i="5"/>
  <c r="AF21" i="5" l="1"/>
  <c r="AG21" i="5" s="1"/>
  <c r="Y21" i="5" s="1"/>
  <c r="V21" i="5"/>
  <c r="X21" i="4"/>
  <c r="AA21" i="4" s="1"/>
  <c r="U21" i="5"/>
  <c r="V22" i="4"/>
  <c r="K22" i="4"/>
  <c r="AK22" i="4"/>
  <c r="Z20" i="4"/>
  <c r="G21" i="4"/>
  <c r="I21" i="4" s="1"/>
  <c r="AL21" i="5"/>
  <c r="B22" i="4"/>
  <c r="H22" i="4"/>
  <c r="D23" i="4"/>
  <c r="C24" i="4"/>
  <c r="B22" i="5"/>
  <c r="AC22" i="5"/>
  <c r="AD22" i="5" s="1"/>
  <c r="AE23" i="5"/>
  <c r="D23" i="5"/>
  <c r="Q23" i="5" s="1"/>
  <c r="C24" i="5"/>
  <c r="X20" i="5"/>
  <c r="W20" i="5"/>
  <c r="AB20" i="5"/>
  <c r="AH20" i="5" s="1"/>
  <c r="AL21" i="4"/>
  <c r="Y21" i="4"/>
  <c r="P22" i="4"/>
  <c r="O22" i="4"/>
  <c r="N22" i="4"/>
  <c r="AJ22" i="4"/>
  <c r="AI22" i="4"/>
  <c r="T22" i="4"/>
  <c r="E22" i="4"/>
  <c r="L22" i="4"/>
  <c r="M22" i="4"/>
  <c r="J22" i="4"/>
  <c r="W22" i="4"/>
  <c r="U22" i="4"/>
  <c r="F22" i="4"/>
  <c r="S22" i="4"/>
  <c r="R22" i="4"/>
  <c r="Q22" i="4"/>
  <c r="T22" i="5"/>
  <c r="S22" i="5"/>
  <c r="R22" i="5"/>
  <c r="Q22" i="5"/>
  <c r="H22" i="5"/>
  <c r="G22" i="5"/>
  <c r="E22" i="5"/>
  <c r="AI22" i="5"/>
  <c r="O22" i="5"/>
  <c r="N22" i="5"/>
  <c r="M22" i="5"/>
  <c r="AK22" i="5"/>
  <c r="F22" i="5"/>
  <c r="L22" i="5"/>
  <c r="J22" i="5"/>
  <c r="I22" i="5"/>
  <c r="AJ22" i="5"/>
  <c r="K22" i="5"/>
  <c r="P22" i="5"/>
  <c r="X22" i="4" l="1"/>
  <c r="AA22" i="4" s="1"/>
  <c r="AL22" i="4"/>
  <c r="Z21" i="4"/>
  <c r="W21" i="5"/>
  <c r="X21" i="5"/>
  <c r="AB21" i="5"/>
  <c r="AH21" i="5" s="1"/>
  <c r="Y22" i="4"/>
  <c r="V22" i="5"/>
  <c r="J23" i="4"/>
  <c r="AJ23" i="4"/>
  <c r="AK23" i="4"/>
  <c r="K23" i="4"/>
  <c r="W23" i="4"/>
  <c r="T23" i="4"/>
  <c r="U23" i="4"/>
  <c r="V23" i="4"/>
  <c r="M23" i="4"/>
  <c r="L23" i="4"/>
  <c r="F23" i="4"/>
  <c r="AI23" i="4"/>
  <c r="E23" i="4"/>
  <c r="N23" i="4"/>
  <c r="O23" i="4"/>
  <c r="P23" i="4"/>
  <c r="Q23" i="4"/>
  <c r="R23" i="4"/>
  <c r="S23" i="4"/>
  <c r="B23" i="4"/>
  <c r="H23" i="4"/>
  <c r="D24" i="4"/>
  <c r="C25" i="4"/>
  <c r="B23" i="5"/>
  <c r="AC23" i="5"/>
  <c r="AD23" i="5" s="1"/>
  <c r="D24" i="5"/>
  <c r="C25" i="5"/>
  <c r="AE24" i="5"/>
  <c r="G22" i="4"/>
  <c r="I22" i="4" s="1"/>
  <c r="AF22" i="5"/>
  <c r="AG22" i="5" s="1"/>
  <c r="Y22" i="5" s="1"/>
  <c r="U22" i="5"/>
  <c r="AL22" i="5"/>
  <c r="S23" i="5"/>
  <c r="U23" i="5" s="1"/>
  <c r="AB23" i="5" s="1"/>
  <c r="T23" i="5"/>
  <c r="R23" i="5"/>
  <c r="G23" i="5"/>
  <c r="E23" i="5"/>
  <c r="F23" i="5"/>
  <c r="H23" i="5"/>
  <c r="AI23" i="5"/>
  <c r="AJ23" i="5"/>
  <c r="I23" i="5"/>
  <c r="J23" i="5"/>
  <c r="K23" i="5"/>
  <c r="L23" i="5"/>
  <c r="M23" i="5"/>
  <c r="N23" i="5"/>
  <c r="O23" i="5"/>
  <c r="P23" i="5"/>
  <c r="AK23" i="5"/>
  <c r="Z22" i="4" l="1"/>
  <c r="X23" i="5"/>
  <c r="AL23" i="5"/>
  <c r="Q24" i="5"/>
  <c r="H24" i="5"/>
  <c r="R24" i="5"/>
  <c r="E24" i="5"/>
  <c r="AL23" i="4"/>
  <c r="X23" i="4"/>
  <c r="AA23" i="4" s="1"/>
  <c r="Y23" i="4"/>
  <c r="G23" i="4"/>
  <c r="I23" i="4" s="1"/>
  <c r="V23" i="5"/>
  <c r="W23" i="5" s="1"/>
  <c r="AH23" i="5"/>
  <c r="P24" i="4"/>
  <c r="AK24" i="4"/>
  <c r="AJ24" i="4"/>
  <c r="AI24" i="4"/>
  <c r="L24" i="4"/>
  <c r="M24" i="4"/>
  <c r="N24" i="4"/>
  <c r="Q24" i="4"/>
  <c r="O24" i="4"/>
  <c r="B24" i="4"/>
  <c r="R24" i="4"/>
  <c r="S24" i="4"/>
  <c r="H24" i="4"/>
  <c r="D25" i="4"/>
  <c r="C26" i="4"/>
  <c r="B24" i="5"/>
  <c r="AC24" i="5"/>
  <c r="AD24" i="5" s="1"/>
  <c r="D25" i="5"/>
  <c r="C26" i="5"/>
  <c r="AE25" i="5"/>
  <c r="W22" i="5"/>
  <c r="X22" i="5"/>
  <c r="AB22" i="5"/>
  <c r="AH22" i="5" s="1"/>
  <c r="AF23" i="5"/>
  <c r="AG23" i="5" s="1"/>
  <c r="Y23" i="5" s="1"/>
  <c r="U24" i="4"/>
  <c r="T24" i="4"/>
  <c r="E24" i="4"/>
  <c r="K24" i="4"/>
  <c r="V24" i="4"/>
  <c r="J24" i="4"/>
  <c r="F24" i="4"/>
  <c r="W24" i="4"/>
  <c r="G24" i="5"/>
  <c r="F24" i="5"/>
  <c r="S24" i="5"/>
  <c r="T24" i="5"/>
  <c r="AI24" i="5"/>
  <c r="I24" i="5"/>
  <c r="J24" i="5"/>
  <c r="K24" i="5"/>
  <c r="L24" i="5"/>
  <c r="M24" i="5"/>
  <c r="N24" i="5"/>
  <c r="O24" i="5"/>
  <c r="P24" i="5"/>
  <c r="AJ24" i="5"/>
  <c r="AK24" i="5"/>
  <c r="Z23" i="4" l="1"/>
  <c r="AL24" i="5"/>
  <c r="U24" i="5"/>
  <c r="E25" i="5"/>
  <c r="Q25" i="5"/>
  <c r="AF24" i="5"/>
  <c r="AG24" i="5" s="1"/>
  <c r="Y24" i="5" s="1"/>
  <c r="V24" i="5"/>
  <c r="O25" i="4"/>
  <c r="N25" i="4"/>
  <c r="M25" i="4"/>
  <c r="AJ25" i="4"/>
  <c r="AK25" i="4"/>
  <c r="AI25" i="4"/>
  <c r="W25" i="4"/>
  <c r="T25" i="4"/>
  <c r="U25" i="4"/>
  <c r="F25" i="4"/>
  <c r="E25" i="4"/>
  <c r="J25" i="4"/>
  <c r="V25" i="4"/>
  <c r="L25" i="4"/>
  <c r="S25" i="4"/>
  <c r="R25" i="4"/>
  <c r="K25" i="4"/>
  <c r="Q25" i="4"/>
  <c r="P25" i="4"/>
  <c r="P25" i="5"/>
  <c r="J25" i="5"/>
  <c r="O25" i="5"/>
  <c r="B25" i="4"/>
  <c r="H25" i="4"/>
  <c r="C27" i="4"/>
  <c r="D26" i="4"/>
  <c r="N26" i="4" s="1"/>
  <c r="B25" i="5"/>
  <c r="AC25" i="5"/>
  <c r="AD25" i="5" s="1"/>
  <c r="D26" i="5"/>
  <c r="C27" i="5"/>
  <c r="AE26" i="5"/>
  <c r="Y24" i="4"/>
  <c r="X24" i="4"/>
  <c r="AA24" i="4" s="1"/>
  <c r="G24" i="4"/>
  <c r="I24" i="4" s="1"/>
  <c r="AL24" i="4"/>
  <c r="H25" i="5"/>
  <c r="G25" i="5"/>
  <c r="F25" i="5"/>
  <c r="T25" i="5"/>
  <c r="K25" i="5"/>
  <c r="AI25" i="5"/>
  <c r="AJ25" i="5"/>
  <c r="AK25" i="5"/>
  <c r="R25" i="5"/>
  <c r="N25" i="5"/>
  <c r="I25" i="5"/>
  <c r="S25" i="5"/>
  <c r="L25" i="5"/>
  <c r="M25" i="5"/>
  <c r="AB24" i="5" l="1"/>
  <c r="AH24" i="5" s="1"/>
  <c r="X24" i="5"/>
  <c r="W24" i="5"/>
  <c r="AF25" i="5"/>
  <c r="AG25" i="5" s="1"/>
  <c r="Y25" i="5" s="1"/>
  <c r="U25" i="5"/>
  <c r="V25" i="5"/>
  <c r="G25" i="4"/>
  <c r="I25" i="4" s="1"/>
  <c r="Y25" i="4"/>
  <c r="AL25" i="5"/>
  <c r="AL25" i="4"/>
  <c r="Z24" i="4"/>
  <c r="X25" i="4"/>
  <c r="D27" i="4"/>
  <c r="C28" i="4"/>
  <c r="Q26" i="4"/>
  <c r="R26" i="4"/>
  <c r="O26" i="4"/>
  <c r="S26" i="4"/>
  <c r="P26" i="4"/>
  <c r="B26" i="4"/>
  <c r="H26" i="4"/>
  <c r="B26" i="5"/>
  <c r="AC26" i="5"/>
  <c r="AD26" i="5" s="1"/>
  <c r="D27" i="5"/>
  <c r="H27" i="5" s="1"/>
  <c r="C28" i="5"/>
  <c r="AE27" i="5"/>
  <c r="M26" i="4"/>
  <c r="AI26" i="4"/>
  <c r="AJ26" i="4"/>
  <c r="AK26" i="4"/>
  <c r="W26" i="4"/>
  <c r="J26" i="4"/>
  <c r="L26" i="4"/>
  <c r="T26" i="4"/>
  <c r="K26" i="4"/>
  <c r="V26" i="4"/>
  <c r="U26" i="4"/>
  <c r="E26" i="4"/>
  <c r="F26" i="4"/>
  <c r="E26" i="5"/>
  <c r="P26" i="5"/>
  <c r="O26" i="5"/>
  <c r="N26" i="5"/>
  <c r="M26" i="5"/>
  <c r="K26" i="5"/>
  <c r="J26" i="5"/>
  <c r="I26" i="5"/>
  <c r="AK26" i="5"/>
  <c r="AJ26" i="5"/>
  <c r="AI26" i="5"/>
  <c r="R26" i="5"/>
  <c r="L26" i="5"/>
  <c r="Q26" i="5"/>
  <c r="T26" i="5"/>
  <c r="S26" i="5"/>
  <c r="H26" i="5"/>
  <c r="F26" i="5"/>
  <c r="G26" i="5"/>
  <c r="AB25" i="5" l="1"/>
  <c r="AH25" i="5" s="1"/>
  <c r="X25" i="5"/>
  <c r="W25" i="5"/>
  <c r="V26" i="5"/>
  <c r="U27" i="4"/>
  <c r="V27" i="4"/>
  <c r="AL26" i="4"/>
  <c r="E27" i="4"/>
  <c r="W27" i="4"/>
  <c r="K27" i="4"/>
  <c r="T27" i="4"/>
  <c r="U26" i="5"/>
  <c r="Z25" i="4"/>
  <c r="AA25" i="4"/>
  <c r="Y26" i="4"/>
  <c r="G26" i="4"/>
  <c r="I26" i="4" s="1"/>
  <c r="AF26" i="5"/>
  <c r="AG26" i="5" s="1"/>
  <c r="Y26" i="5" s="1"/>
  <c r="AK27" i="4"/>
  <c r="F27" i="4"/>
  <c r="J27" i="4"/>
  <c r="AI27" i="4"/>
  <c r="AJ27" i="4"/>
  <c r="L27" i="4"/>
  <c r="M27" i="4"/>
  <c r="N27" i="4"/>
  <c r="O27" i="4"/>
  <c r="P27" i="4"/>
  <c r="Q27" i="4"/>
  <c r="R27" i="4"/>
  <c r="S27" i="4"/>
  <c r="G27" i="5"/>
  <c r="S27" i="5"/>
  <c r="J27" i="5"/>
  <c r="O27" i="5"/>
  <c r="R27" i="5"/>
  <c r="F27" i="5"/>
  <c r="Q27" i="5"/>
  <c r="T27" i="5"/>
  <c r="E27" i="5"/>
  <c r="B27" i="4"/>
  <c r="H27" i="4"/>
  <c r="D28" i="4"/>
  <c r="C29" i="4"/>
  <c r="B27" i="5"/>
  <c r="AC27" i="5"/>
  <c r="AD27" i="5" s="1"/>
  <c r="D28" i="5"/>
  <c r="C29" i="5"/>
  <c r="AE28" i="5"/>
  <c r="AL26" i="5"/>
  <c r="X26" i="4"/>
  <c r="AI27" i="5"/>
  <c r="AJ27" i="5"/>
  <c r="K27" i="5"/>
  <c r="AK27" i="5"/>
  <c r="I27" i="5"/>
  <c r="N27" i="5"/>
  <c r="M27" i="5"/>
  <c r="L27" i="5"/>
  <c r="P27" i="5"/>
  <c r="AL27" i="5" l="1"/>
  <c r="W26" i="5"/>
  <c r="AF27" i="5"/>
  <c r="AG27" i="5" s="1"/>
  <c r="Y27" i="5" s="1"/>
  <c r="Y27" i="4"/>
  <c r="X27" i="4"/>
  <c r="AA27" i="4" s="1"/>
  <c r="AB26" i="5"/>
  <c r="AH26" i="5" s="1"/>
  <c r="X26" i="5"/>
  <c r="G27" i="4"/>
  <c r="I27" i="4" s="1"/>
  <c r="U27" i="5"/>
  <c r="V27" i="5"/>
  <c r="AL27" i="4"/>
  <c r="AI28" i="4"/>
  <c r="AK28" i="4"/>
  <c r="AJ28" i="4"/>
  <c r="F28" i="4"/>
  <c r="K28" i="4"/>
  <c r="E28" i="4"/>
  <c r="J28" i="4"/>
  <c r="T28" i="4"/>
  <c r="W28" i="4"/>
  <c r="V28" i="4"/>
  <c r="U28" i="4"/>
  <c r="L28" i="4"/>
  <c r="M28" i="4"/>
  <c r="N28" i="4"/>
  <c r="O28" i="4"/>
  <c r="P28" i="4"/>
  <c r="Q28" i="4"/>
  <c r="R28" i="4"/>
  <c r="S28" i="4"/>
  <c r="B28" i="4"/>
  <c r="H28" i="4"/>
  <c r="D29" i="4"/>
  <c r="C30" i="4"/>
  <c r="B28" i="5"/>
  <c r="AC28" i="5"/>
  <c r="AD28" i="5" s="1"/>
  <c r="D29" i="5"/>
  <c r="H29" i="5" s="1"/>
  <c r="C30" i="5"/>
  <c r="AE29" i="5"/>
  <c r="Z26" i="4"/>
  <c r="AA26" i="4"/>
  <c r="R28" i="5"/>
  <c r="Q28" i="5"/>
  <c r="G28" i="5"/>
  <c r="F28" i="5"/>
  <c r="H28" i="5"/>
  <c r="T28" i="5"/>
  <c r="E28" i="5"/>
  <c r="S28" i="5"/>
  <c r="AI28" i="5"/>
  <c r="AJ28" i="5"/>
  <c r="I28" i="5"/>
  <c r="J28" i="5"/>
  <c r="K28" i="5"/>
  <c r="L28" i="5"/>
  <c r="M28" i="5"/>
  <c r="O28" i="5"/>
  <c r="P28" i="5"/>
  <c r="N28" i="5"/>
  <c r="AK28" i="5"/>
  <c r="AL28" i="4" l="1"/>
  <c r="Z27" i="4"/>
  <c r="AL28" i="5"/>
  <c r="Y28" i="4"/>
  <c r="W27" i="5"/>
  <c r="AB27" i="5"/>
  <c r="AH27" i="5" s="1"/>
  <c r="X27" i="5"/>
  <c r="G28" i="4"/>
  <c r="I28" i="4" s="1"/>
  <c r="U28" i="5"/>
  <c r="E29" i="5"/>
  <c r="T29" i="5"/>
  <c r="R29" i="5"/>
  <c r="F29" i="5"/>
  <c r="X28" i="4"/>
  <c r="S29" i="5"/>
  <c r="Q29" i="5"/>
  <c r="G29" i="5"/>
  <c r="AI29" i="5"/>
  <c r="AJ29" i="5"/>
  <c r="J29" i="5"/>
  <c r="K29" i="5"/>
  <c r="I29" i="5"/>
  <c r="W29" i="4"/>
  <c r="K29" i="4"/>
  <c r="AK29" i="4"/>
  <c r="AJ29" i="4"/>
  <c r="AI29" i="4"/>
  <c r="T29" i="4"/>
  <c r="O29" i="4"/>
  <c r="P29" i="4"/>
  <c r="Q29" i="4"/>
  <c r="R29" i="4"/>
  <c r="S29" i="4"/>
  <c r="B29" i="4"/>
  <c r="H29" i="4"/>
  <c r="C31" i="4"/>
  <c r="D30" i="4"/>
  <c r="B29" i="5"/>
  <c r="AC29" i="5"/>
  <c r="AD29" i="5" s="1"/>
  <c r="D30" i="5"/>
  <c r="C31" i="5"/>
  <c r="AE30" i="5"/>
  <c r="V28" i="5"/>
  <c r="AF28" i="5"/>
  <c r="AG28" i="5" s="1"/>
  <c r="Y28" i="5" s="1"/>
  <c r="L29" i="4"/>
  <c r="U29" i="4"/>
  <c r="E29" i="4"/>
  <c r="F29" i="4"/>
  <c r="J29" i="4"/>
  <c r="V29" i="4"/>
  <c r="N29" i="4"/>
  <c r="M29" i="4"/>
  <c r="M29" i="5"/>
  <c r="N29" i="5"/>
  <c r="O29" i="5"/>
  <c r="P29" i="5"/>
  <c r="AK29" i="5"/>
  <c r="L29" i="5"/>
  <c r="AF29" i="5" l="1"/>
  <c r="AG29" i="5" s="1"/>
  <c r="Y29" i="5" s="1"/>
  <c r="V29" i="5"/>
  <c r="U29" i="5"/>
  <c r="W28" i="5"/>
  <c r="AL29" i="5"/>
  <c r="X28" i="5"/>
  <c r="AB28" i="5"/>
  <c r="AH28" i="5" s="1"/>
  <c r="F30" i="5"/>
  <c r="Q30" i="5"/>
  <c r="T30" i="5"/>
  <c r="Z28" i="4"/>
  <c r="AA28" i="4"/>
  <c r="X29" i="4"/>
  <c r="AA29" i="4" s="1"/>
  <c r="Y29" i="4"/>
  <c r="AJ30" i="5"/>
  <c r="AK30" i="5"/>
  <c r="I30" i="5"/>
  <c r="D31" i="4"/>
  <c r="C32" i="4"/>
  <c r="B30" i="4"/>
  <c r="H30" i="4"/>
  <c r="B30" i="5"/>
  <c r="AC30" i="5"/>
  <c r="AD30" i="5" s="1"/>
  <c r="D31" i="5"/>
  <c r="AE31" i="5"/>
  <c r="G29" i="4"/>
  <c r="I29" i="4" s="1"/>
  <c r="AL29" i="4"/>
  <c r="AJ30" i="4"/>
  <c r="AI30" i="4"/>
  <c r="U30" i="4"/>
  <c r="F30" i="4"/>
  <c r="E30" i="4"/>
  <c r="T30" i="4"/>
  <c r="W30" i="4"/>
  <c r="Q30" i="4"/>
  <c r="S30" i="4"/>
  <c r="R30" i="4"/>
  <c r="J30" i="4"/>
  <c r="P30" i="4"/>
  <c r="O30" i="4"/>
  <c r="N30" i="4"/>
  <c r="M30" i="4"/>
  <c r="L30" i="4"/>
  <c r="V30" i="4"/>
  <c r="K30" i="4"/>
  <c r="AK30" i="4"/>
  <c r="R30" i="5"/>
  <c r="O30" i="5"/>
  <c r="N30" i="5"/>
  <c r="M30" i="5"/>
  <c r="L30" i="5"/>
  <c r="K30" i="5"/>
  <c r="J30" i="5"/>
  <c r="AI30" i="5"/>
  <c r="E30" i="5"/>
  <c r="G30" i="5"/>
  <c r="H30" i="5"/>
  <c r="S30" i="5"/>
  <c r="P30" i="5"/>
  <c r="AL30" i="5" l="1"/>
  <c r="G30" i="4"/>
  <c r="I30" i="4" s="1"/>
  <c r="AL30" i="4"/>
  <c r="X29" i="5"/>
  <c r="AB29" i="5"/>
  <c r="AH29" i="5" s="1"/>
  <c r="W29" i="5"/>
  <c r="V30" i="5"/>
  <c r="U30" i="5"/>
  <c r="S31" i="5"/>
  <c r="G31" i="5"/>
  <c r="Z29" i="4"/>
  <c r="P31" i="5"/>
  <c r="T31" i="5"/>
  <c r="R31" i="5"/>
  <c r="AI31" i="5"/>
  <c r="AJ31" i="5"/>
  <c r="AK31" i="5"/>
  <c r="I31" i="5"/>
  <c r="L31" i="5"/>
  <c r="N31" i="5"/>
  <c r="J31" i="5"/>
  <c r="K31" i="5"/>
  <c r="M31" i="5"/>
  <c r="O31" i="5"/>
  <c r="Y30" i="4"/>
  <c r="M31" i="4"/>
  <c r="T31" i="4"/>
  <c r="K31" i="4"/>
  <c r="U31" i="4"/>
  <c r="F31" i="4"/>
  <c r="V31" i="4"/>
  <c r="J31" i="4"/>
  <c r="E31" i="4"/>
  <c r="AJ31" i="4"/>
  <c r="AK31" i="4"/>
  <c r="AI31" i="4"/>
  <c r="W31" i="4"/>
  <c r="L31" i="4"/>
  <c r="N31" i="4"/>
  <c r="P31" i="4"/>
  <c r="R31" i="4"/>
  <c r="S31" i="4"/>
  <c r="Q31" i="4"/>
  <c r="O31" i="4"/>
  <c r="B31" i="4"/>
  <c r="H31" i="4"/>
  <c r="D32" i="4"/>
  <c r="C33" i="4"/>
  <c r="B31" i="5"/>
  <c r="AC31" i="5"/>
  <c r="AD31" i="5" s="1"/>
  <c r="AF30" i="5"/>
  <c r="AG30" i="5" s="1"/>
  <c r="Y30" i="5" s="1"/>
  <c r="X30" i="4"/>
  <c r="H31" i="5"/>
  <c r="F31" i="5"/>
  <c r="Q31" i="5"/>
  <c r="E31" i="5"/>
  <c r="V31" i="5" l="1"/>
  <c r="AL31" i="5"/>
  <c r="W30" i="5"/>
  <c r="U31" i="5"/>
  <c r="AB31" i="5" s="1"/>
  <c r="AH31" i="5" s="1"/>
  <c r="AB30" i="5"/>
  <c r="AH30" i="5" s="1"/>
  <c r="X30" i="5"/>
  <c r="G31" i="4"/>
  <c r="I31" i="4" s="1"/>
  <c r="X31" i="4"/>
  <c r="AA31" i="4" s="1"/>
  <c r="Y31" i="4"/>
  <c r="AL31" i="4"/>
  <c r="O32" i="4"/>
  <c r="U32" i="4"/>
  <c r="T32" i="4"/>
  <c r="AK32" i="4"/>
  <c r="AJ32" i="4"/>
  <c r="AI32" i="4"/>
  <c r="L32" i="4"/>
  <c r="M32" i="4"/>
  <c r="N32" i="4"/>
  <c r="P32" i="4"/>
  <c r="Q32" i="4"/>
  <c r="R32" i="4"/>
  <c r="S32" i="4"/>
  <c r="B32" i="4"/>
  <c r="H32" i="4"/>
  <c r="D33" i="4"/>
  <c r="C34" i="4"/>
  <c r="Z30" i="4"/>
  <c r="AA30" i="4"/>
  <c r="AF31" i="5"/>
  <c r="AG31" i="5" s="1"/>
  <c r="Y31" i="5" s="1"/>
  <c r="W32" i="4"/>
  <c r="E32" i="4"/>
  <c r="V32" i="4"/>
  <c r="K32" i="4"/>
  <c r="F32" i="4"/>
  <c r="J32" i="4"/>
  <c r="W31" i="5" l="1"/>
  <c r="X31" i="5"/>
  <c r="Z31" i="4"/>
  <c r="Y32" i="4"/>
  <c r="L33" i="4"/>
  <c r="AI33" i="4"/>
  <c r="AJ33" i="4"/>
  <c r="AK33" i="4"/>
  <c r="J33" i="4"/>
  <c r="V33" i="4"/>
  <c r="K33" i="4"/>
  <c r="U33" i="4"/>
  <c r="T33" i="4"/>
  <c r="S33" i="4"/>
  <c r="M33" i="4"/>
  <c r="N33" i="4"/>
  <c r="O33" i="4"/>
  <c r="P33" i="4"/>
  <c r="Q33" i="4"/>
  <c r="R33" i="4"/>
  <c r="B33" i="4"/>
  <c r="H33" i="4"/>
  <c r="C35" i="4"/>
  <c r="D34" i="4"/>
  <c r="G32" i="4"/>
  <c r="I32" i="4" s="1"/>
  <c r="AL32" i="4"/>
  <c r="X32" i="4"/>
  <c r="F33" i="4"/>
  <c r="W33" i="4"/>
  <c r="E33" i="4"/>
  <c r="X33" i="4" l="1"/>
  <c r="AA33" i="4" s="1"/>
  <c r="AL33" i="4"/>
  <c r="Y33" i="4"/>
  <c r="G33" i="4"/>
  <c r="I33" i="4" s="1"/>
  <c r="D35" i="4"/>
  <c r="C36" i="4"/>
  <c r="B34" i="4"/>
  <c r="H34" i="4"/>
  <c r="Z32" i="4"/>
  <c r="AA32" i="4"/>
  <c r="R34" i="4"/>
  <c r="Q34" i="4"/>
  <c r="P34" i="4"/>
  <c r="O34" i="4"/>
  <c r="N34" i="4"/>
  <c r="M34" i="4"/>
  <c r="L34" i="4"/>
  <c r="AI34" i="4"/>
  <c r="AJ34" i="4"/>
  <c r="AK34" i="4"/>
  <c r="T34" i="4"/>
  <c r="W34" i="4"/>
  <c r="K34" i="4"/>
  <c r="F34" i="4"/>
  <c r="V34" i="4"/>
  <c r="E34" i="4"/>
  <c r="U34" i="4"/>
  <c r="J34" i="4"/>
  <c r="S34" i="4"/>
  <c r="Z33" i="4" l="1"/>
  <c r="S35" i="4"/>
  <c r="W35" i="4"/>
  <c r="G34" i="4"/>
  <c r="I34" i="4" s="1"/>
  <c r="Q35" i="4"/>
  <c r="R35" i="4"/>
  <c r="P35" i="4"/>
  <c r="O35" i="4"/>
  <c r="AK35" i="4"/>
  <c r="AL34" i="4"/>
  <c r="Y34" i="4"/>
  <c r="AI35" i="4"/>
  <c r="AJ35" i="4"/>
  <c r="V35" i="4"/>
  <c r="J35" i="4"/>
  <c r="K35" i="4"/>
  <c r="U35" i="4"/>
  <c r="E35" i="4"/>
  <c r="T35" i="4"/>
  <c r="F35" i="4"/>
  <c r="B35" i="4"/>
  <c r="H35" i="4"/>
  <c r="D36" i="4"/>
  <c r="C37" i="4"/>
  <c r="X34" i="4"/>
  <c r="N35" i="4"/>
  <c r="M35" i="4"/>
  <c r="L35" i="4"/>
  <c r="Y35" i="4" l="1"/>
  <c r="S36" i="4"/>
  <c r="J36" i="4"/>
  <c r="K36" i="4"/>
  <c r="W36" i="4"/>
  <c r="F36" i="4"/>
  <c r="T36" i="4"/>
  <c r="E36" i="4"/>
  <c r="AL35" i="4"/>
  <c r="X35" i="4"/>
  <c r="G35" i="4"/>
  <c r="I35" i="4" s="1"/>
  <c r="U36" i="4"/>
  <c r="V36" i="4"/>
  <c r="AK36" i="4"/>
  <c r="AI36" i="4"/>
  <c r="AJ36" i="4"/>
  <c r="L36" i="4"/>
  <c r="M36" i="4"/>
  <c r="N36" i="4"/>
  <c r="O36" i="4"/>
  <c r="P36" i="4"/>
  <c r="Q36" i="4"/>
  <c r="R36" i="4"/>
  <c r="B36" i="4"/>
  <c r="H36" i="4"/>
  <c r="D37" i="4"/>
  <c r="C38" i="4"/>
  <c r="Z34" i="4"/>
  <c r="AA34" i="4"/>
  <c r="G36" i="4" l="1"/>
  <c r="I36" i="4" s="1"/>
  <c r="X36" i="4"/>
  <c r="Y36" i="4"/>
  <c r="Z35" i="4"/>
  <c r="AA35" i="4"/>
  <c r="P37" i="4"/>
  <c r="R37" i="4"/>
  <c r="S37" i="4"/>
  <c r="B37" i="4"/>
  <c r="AK37" i="4"/>
  <c r="AJ37" i="4"/>
  <c r="L37" i="4"/>
  <c r="Q37" i="4"/>
  <c r="H37" i="4"/>
  <c r="D38" i="4"/>
  <c r="C39" i="4"/>
  <c r="AL36" i="4"/>
  <c r="O37" i="4"/>
  <c r="N37" i="4"/>
  <c r="M37" i="4"/>
  <c r="AI37" i="4"/>
  <c r="K37" i="4"/>
  <c r="E37" i="4"/>
  <c r="U37" i="4"/>
  <c r="T37" i="4"/>
  <c r="F37" i="4"/>
  <c r="V37" i="4"/>
  <c r="J37" i="4"/>
  <c r="W37" i="4"/>
  <c r="G37" i="4" l="1"/>
  <c r="I37" i="4" s="1"/>
  <c r="AA36" i="4"/>
  <c r="Z36" i="4"/>
  <c r="L38" i="4"/>
  <c r="AJ38" i="4"/>
  <c r="X37" i="4"/>
  <c r="AA37" i="4" s="1"/>
  <c r="B38" i="4"/>
  <c r="H38" i="4"/>
  <c r="C40" i="4"/>
  <c r="D39" i="4"/>
  <c r="Y37" i="4"/>
  <c r="AL37" i="4"/>
  <c r="W38" i="4"/>
  <c r="U38" i="4"/>
  <c r="S38" i="4"/>
  <c r="R38" i="4"/>
  <c r="Q38" i="4"/>
  <c r="P38" i="4"/>
  <c r="O38" i="4"/>
  <c r="M38" i="4"/>
  <c r="AK38" i="4"/>
  <c r="K38" i="4"/>
  <c r="J38" i="4"/>
  <c r="N38" i="4"/>
  <c r="AI38" i="4"/>
  <c r="T38" i="4"/>
  <c r="E38" i="4"/>
  <c r="F38" i="4"/>
  <c r="V38" i="4"/>
  <c r="Z37" i="4" l="1"/>
  <c r="R39" i="4"/>
  <c r="Q39" i="4"/>
  <c r="AL38" i="4"/>
  <c r="N39" i="4"/>
  <c r="M39" i="4"/>
  <c r="AK39" i="4"/>
  <c r="AI39" i="4"/>
  <c r="T39" i="4"/>
  <c r="S39" i="4"/>
  <c r="X38" i="4"/>
  <c r="AA38" i="4" s="1"/>
  <c r="Y38" i="4"/>
  <c r="O39" i="4"/>
  <c r="P39" i="4"/>
  <c r="U39" i="4"/>
  <c r="L39" i="4"/>
  <c r="AJ39" i="4"/>
  <c r="V39" i="4"/>
  <c r="F39" i="4"/>
  <c r="J39" i="4"/>
  <c r="D40" i="4"/>
  <c r="C41" i="4"/>
  <c r="B39" i="4"/>
  <c r="H39" i="4"/>
  <c r="G38" i="4"/>
  <c r="I38" i="4" s="1"/>
  <c r="W39" i="4"/>
  <c r="K39" i="4"/>
  <c r="E39" i="4"/>
  <c r="X39" i="4" l="1"/>
  <c r="AA39" i="4" s="1"/>
  <c r="Y39" i="4"/>
  <c r="AL39" i="4"/>
  <c r="Z38" i="4"/>
  <c r="G39" i="4"/>
  <c r="I39" i="4" s="1"/>
  <c r="R40" i="4"/>
  <c r="Q40" i="4"/>
  <c r="P40" i="4"/>
  <c r="O40" i="4"/>
  <c r="N40" i="4"/>
  <c r="M40" i="4"/>
  <c r="L40" i="4"/>
  <c r="AI40" i="4"/>
  <c r="AJ40" i="4"/>
  <c r="T40" i="4"/>
  <c r="U40" i="4"/>
  <c r="K40" i="4"/>
  <c r="B40" i="4"/>
  <c r="H40" i="4"/>
  <c r="D41" i="4"/>
  <c r="C42" i="4"/>
  <c r="S40" i="4"/>
  <c r="AK40" i="4"/>
  <c r="W40" i="4"/>
  <c r="V40" i="4"/>
  <c r="E40" i="4"/>
  <c r="F40" i="4"/>
  <c r="J40" i="4"/>
  <c r="Z39" i="4" l="1"/>
  <c r="Y40" i="4"/>
  <c r="AL40" i="4"/>
  <c r="X40" i="4"/>
  <c r="AA40" i="4" s="1"/>
  <c r="G40" i="4"/>
  <c r="I40" i="4" s="1"/>
  <c r="S41" i="4"/>
  <c r="O41" i="4"/>
  <c r="AJ41" i="4"/>
  <c r="R41" i="4"/>
  <c r="Q41" i="4"/>
  <c r="P41" i="4"/>
  <c r="N41" i="4"/>
  <c r="AK41" i="4"/>
  <c r="W41" i="4"/>
  <c r="K41" i="4"/>
  <c r="E41" i="4"/>
  <c r="J41" i="4"/>
  <c r="T41" i="4"/>
  <c r="V41" i="4"/>
  <c r="B41" i="4"/>
  <c r="H41" i="4"/>
  <c r="D42" i="4"/>
  <c r="S42" i="4" s="1"/>
  <c r="C43" i="4"/>
  <c r="M41" i="4"/>
  <c r="L41" i="4"/>
  <c r="U41" i="4"/>
  <c r="AI41" i="4"/>
  <c r="F41" i="4"/>
  <c r="AL41" i="4" l="1"/>
  <c r="Z40" i="4"/>
  <c r="Y41" i="4"/>
  <c r="B42" i="4"/>
  <c r="H42" i="4"/>
  <c r="D43" i="4"/>
  <c r="M43" i="4" s="1"/>
  <c r="C44" i="4"/>
  <c r="X41" i="4"/>
  <c r="G41" i="4"/>
  <c r="I41" i="4" s="1"/>
  <c r="R42" i="4"/>
  <c r="Q42" i="4"/>
  <c r="P42" i="4"/>
  <c r="O42" i="4"/>
  <c r="N42" i="4"/>
  <c r="M42" i="4"/>
  <c r="L42" i="4"/>
  <c r="AJ42" i="4"/>
  <c r="AK42" i="4"/>
  <c r="AI42" i="4"/>
  <c r="W42" i="4"/>
  <c r="F42" i="4"/>
  <c r="T42" i="4"/>
  <c r="K42" i="4"/>
  <c r="E42" i="4"/>
  <c r="J42" i="4"/>
  <c r="V42" i="4"/>
  <c r="U42" i="4"/>
  <c r="G42" i="4" l="1"/>
  <c r="I42" i="4" s="1"/>
  <c r="F43" i="4"/>
  <c r="AI43" i="4"/>
  <c r="T43" i="4"/>
  <c r="V43" i="4"/>
  <c r="E43" i="4"/>
  <c r="S43" i="4"/>
  <c r="R43" i="4"/>
  <c r="Q43" i="4"/>
  <c r="P43" i="4"/>
  <c r="O43" i="4"/>
  <c r="N43" i="4"/>
  <c r="L43" i="4"/>
  <c r="AK43" i="4"/>
  <c r="AJ43" i="4"/>
  <c r="Y42" i="4"/>
  <c r="B43" i="4"/>
  <c r="H43" i="4"/>
  <c r="C45" i="4"/>
  <c r="D44" i="4"/>
  <c r="S44" i="4" s="1"/>
  <c r="Z41" i="4"/>
  <c r="AA41" i="4"/>
  <c r="AL42" i="4"/>
  <c r="X42" i="4"/>
  <c r="U43" i="4"/>
  <c r="J43" i="4"/>
  <c r="K43" i="4"/>
  <c r="W43" i="4"/>
  <c r="X43" i="4" l="1"/>
  <c r="AA43" i="4" s="1"/>
  <c r="G43" i="4"/>
  <c r="I43" i="4" s="1"/>
  <c r="AL43" i="4"/>
  <c r="K44" i="4"/>
  <c r="R44" i="4"/>
  <c r="Q44" i="4"/>
  <c r="P44" i="4"/>
  <c r="O44" i="4"/>
  <c r="N44" i="4"/>
  <c r="M44" i="4"/>
  <c r="L44" i="4"/>
  <c r="F44" i="4"/>
  <c r="AI44" i="4"/>
  <c r="V44" i="4"/>
  <c r="J44" i="4"/>
  <c r="E44" i="4"/>
  <c r="U44" i="4"/>
  <c r="T44" i="4"/>
  <c r="W44" i="4"/>
  <c r="D45" i="4"/>
  <c r="C46" i="4"/>
  <c r="AK44" i="4"/>
  <c r="AJ44" i="4"/>
  <c r="B44" i="4"/>
  <c r="H44" i="4"/>
  <c r="Z42" i="4"/>
  <c r="AA42" i="4"/>
  <c r="Y43" i="4"/>
  <c r="Z43" i="4" l="1"/>
  <c r="AL44" i="4"/>
  <c r="G44" i="4"/>
  <c r="I44" i="4" s="1"/>
  <c r="X44" i="4"/>
  <c r="AA44" i="4" s="1"/>
  <c r="Y44" i="4"/>
  <c r="U45" i="4"/>
  <c r="S45" i="4"/>
  <c r="R45" i="4"/>
  <c r="Q45" i="4"/>
  <c r="P45" i="4"/>
  <c r="O45" i="4"/>
  <c r="N45" i="4"/>
  <c r="M45" i="4"/>
  <c r="L45" i="4"/>
  <c r="AI45" i="4"/>
  <c r="AJ45" i="4"/>
  <c r="AK45" i="4"/>
  <c r="F45" i="4"/>
  <c r="T45" i="4"/>
  <c r="W45" i="4"/>
  <c r="E45" i="4"/>
  <c r="K45" i="4"/>
  <c r="V45" i="4"/>
  <c r="J45" i="4"/>
  <c r="B45" i="4"/>
  <c r="H45" i="4"/>
  <c r="D46" i="4"/>
  <c r="S46" i="4" s="1"/>
  <c r="C47" i="4"/>
  <c r="Z44" i="4" l="1"/>
  <c r="X45" i="4"/>
  <c r="AA45" i="4" s="1"/>
  <c r="Y45" i="4"/>
  <c r="AL45" i="4"/>
  <c r="G45" i="4"/>
  <c r="I45" i="4" s="1"/>
  <c r="R46" i="4"/>
  <c r="Q46" i="4"/>
  <c r="P46" i="4"/>
  <c r="O46" i="4"/>
  <c r="N46" i="4"/>
  <c r="AJ46" i="4"/>
  <c r="F46" i="4"/>
  <c r="U46" i="4"/>
  <c r="M46" i="4"/>
  <c r="L46" i="4"/>
  <c r="AI46" i="4"/>
  <c r="AK46" i="4"/>
  <c r="W46" i="4"/>
  <c r="K46" i="4"/>
  <c r="V46" i="4"/>
  <c r="B46" i="4"/>
  <c r="H46" i="4"/>
  <c r="C48" i="4"/>
  <c r="D47" i="4"/>
  <c r="J46" i="4"/>
  <c r="E46" i="4"/>
  <c r="T46" i="4"/>
  <c r="AL46" i="4" l="1"/>
  <c r="Z45" i="4"/>
  <c r="G46" i="4"/>
  <c r="I46" i="4" s="1"/>
  <c r="X46" i="4"/>
  <c r="AA46" i="4" s="1"/>
  <c r="Y46" i="4"/>
  <c r="W47" i="4"/>
  <c r="T47" i="4"/>
  <c r="F47" i="4"/>
  <c r="K47" i="4"/>
  <c r="V47" i="4"/>
  <c r="E47" i="4"/>
  <c r="U47" i="4"/>
  <c r="J47" i="4"/>
  <c r="C49" i="4"/>
  <c r="D48" i="4"/>
  <c r="AK47" i="4"/>
  <c r="AJ47" i="4"/>
  <c r="AI47" i="4"/>
  <c r="L47" i="4"/>
  <c r="M47" i="4"/>
  <c r="N47" i="4"/>
  <c r="O47" i="4"/>
  <c r="P47" i="4"/>
  <c r="Q47" i="4"/>
  <c r="R47" i="4"/>
  <c r="S47" i="4"/>
  <c r="B47" i="4"/>
  <c r="H47" i="4"/>
  <c r="G47" i="4" l="1"/>
  <c r="I47" i="4" s="1"/>
  <c r="Y47" i="4"/>
  <c r="Z46" i="4"/>
  <c r="X47" i="4"/>
  <c r="O48" i="4"/>
  <c r="N48" i="4"/>
  <c r="M48" i="4"/>
  <c r="L48" i="4"/>
  <c r="AJ48" i="4"/>
  <c r="AI48" i="4"/>
  <c r="AK48" i="4"/>
  <c r="T48" i="4"/>
  <c r="E48" i="4"/>
  <c r="W48" i="4"/>
  <c r="U48" i="4"/>
  <c r="K48" i="4"/>
  <c r="V48" i="4"/>
  <c r="F48" i="4"/>
  <c r="J48" i="4"/>
  <c r="C50" i="4"/>
  <c r="D49" i="4"/>
  <c r="R48" i="4"/>
  <c r="S48" i="4"/>
  <c r="B48" i="4"/>
  <c r="H48" i="4"/>
  <c r="AL47" i="4"/>
  <c r="Q48" i="4"/>
  <c r="P48" i="4"/>
  <c r="AL48" i="4" l="1"/>
  <c r="Z47" i="4"/>
  <c r="AA47" i="4"/>
  <c r="Y48" i="4"/>
  <c r="S49" i="4"/>
  <c r="R49" i="4"/>
  <c r="Q49" i="4"/>
  <c r="K49" i="4"/>
  <c r="U49" i="4"/>
  <c r="P49" i="4"/>
  <c r="O49" i="4"/>
  <c r="N49" i="4"/>
  <c r="M49" i="4"/>
  <c r="L49" i="4"/>
  <c r="V49" i="4"/>
  <c r="X48" i="4"/>
  <c r="G48" i="4"/>
  <c r="I48" i="4" s="1"/>
  <c r="AJ49" i="4"/>
  <c r="AI49" i="4"/>
  <c r="AK49" i="4"/>
  <c r="J49" i="4"/>
  <c r="F49" i="4"/>
  <c r="D50" i="4"/>
  <c r="C51" i="4"/>
  <c r="B49" i="4"/>
  <c r="H49" i="4"/>
  <c r="E49" i="4"/>
  <c r="T49" i="4"/>
  <c r="W49" i="4"/>
  <c r="X49" i="4" l="1"/>
  <c r="AA49" i="4" s="1"/>
  <c r="AL49" i="4"/>
  <c r="Y49" i="4"/>
  <c r="S50" i="4"/>
  <c r="R50" i="4"/>
  <c r="P50" i="4"/>
  <c r="O50" i="4"/>
  <c r="M50" i="4"/>
  <c r="Q50" i="4"/>
  <c r="Z48" i="4"/>
  <c r="AA48" i="4"/>
  <c r="G49" i="4"/>
  <c r="I49" i="4" s="1"/>
  <c r="N50" i="4"/>
  <c r="L50" i="4"/>
  <c r="AI50" i="4"/>
  <c r="AJ50" i="4"/>
  <c r="AK50" i="4"/>
  <c r="F50" i="4"/>
  <c r="U50" i="4"/>
  <c r="T50" i="4"/>
  <c r="K50" i="4"/>
  <c r="W50" i="4"/>
  <c r="B50" i="4"/>
  <c r="H50" i="4"/>
  <c r="D51" i="4"/>
  <c r="C52" i="4"/>
  <c r="E50" i="4"/>
  <c r="J50" i="4"/>
  <c r="V50" i="4"/>
  <c r="Z49" i="4" l="1"/>
  <c r="X50" i="4"/>
  <c r="AA50" i="4" s="1"/>
  <c r="S51" i="4"/>
  <c r="Q51" i="4"/>
  <c r="AL50" i="4"/>
  <c r="G50" i="4"/>
  <c r="I50" i="4" s="1"/>
  <c r="Y50" i="4"/>
  <c r="P51" i="4"/>
  <c r="O51" i="4"/>
  <c r="N51" i="4"/>
  <c r="L51" i="4"/>
  <c r="AJ51" i="4"/>
  <c r="AI51" i="4"/>
  <c r="T51" i="4"/>
  <c r="F51" i="4"/>
  <c r="U51" i="4"/>
  <c r="R51" i="4"/>
  <c r="AK51" i="4"/>
  <c r="K51" i="4"/>
  <c r="J51" i="4"/>
  <c r="M51" i="4"/>
  <c r="W51" i="4"/>
  <c r="V51" i="4"/>
  <c r="E51" i="4"/>
  <c r="B51" i="4"/>
  <c r="H51" i="4"/>
  <c r="D52" i="4"/>
  <c r="C53" i="4"/>
  <c r="AL51" i="4" l="1"/>
  <c r="Z50" i="4"/>
  <c r="Y51" i="4"/>
  <c r="G51" i="4"/>
  <c r="I51" i="4" s="1"/>
  <c r="X51" i="4"/>
  <c r="R52" i="4"/>
  <c r="Q52" i="4"/>
  <c r="P52" i="4"/>
  <c r="O52" i="4"/>
  <c r="N52" i="4"/>
  <c r="AJ52" i="4"/>
  <c r="K52" i="4"/>
  <c r="F52" i="4"/>
  <c r="T52" i="4"/>
  <c r="M52" i="4"/>
  <c r="V52" i="4"/>
  <c r="L52" i="4"/>
  <c r="AI52" i="4"/>
  <c r="AK52" i="4"/>
  <c r="W52" i="4"/>
  <c r="U52" i="4"/>
  <c r="E52" i="4"/>
  <c r="J52" i="4"/>
  <c r="S52" i="4"/>
  <c r="B52" i="4"/>
  <c r="H52" i="4"/>
  <c r="D53" i="4"/>
  <c r="C54" i="4"/>
  <c r="Y52" i="4" l="1"/>
  <c r="G52" i="4"/>
  <c r="I52" i="4" s="1"/>
  <c r="X52" i="4"/>
  <c r="Z51" i="4"/>
  <c r="AA51" i="4"/>
  <c r="AL52" i="4"/>
  <c r="S53" i="4"/>
  <c r="R53" i="4"/>
  <c r="Q53" i="4"/>
  <c r="O53" i="4"/>
  <c r="N53" i="4"/>
  <c r="M53" i="4"/>
  <c r="L53" i="4"/>
  <c r="K53" i="4"/>
  <c r="AI53" i="4"/>
  <c r="AJ53" i="4"/>
  <c r="AK53" i="4"/>
  <c r="B53" i="4"/>
  <c r="H53" i="4"/>
  <c r="C55" i="4"/>
  <c r="D54" i="4"/>
  <c r="P53" i="4"/>
  <c r="E53" i="4"/>
  <c r="U53" i="4"/>
  <c r="W53" i="4"/>
  <c r="J53" i="4"/>
  <c r="F53" i="4"/>
  <c r="T53" i="4"/>
  <c r="V53" i="4"/>
  <c r="G53" i="4" l="1"/>
  <c r="I53" i="4" s="1"/>
  <c r="S54" i="4"/>
  <c r="R54" i="4"/>
  <c r="AL53" i="4"/>
  <c r="Z52" i="4"/>
  <c r="AA52" i="4"/>
  <c r="AK54" i="4"/>
  <c r="J54" i="4"/>
  <c r="AI54" i="4"/>
  <c r="Q54" i="4"/>
  <c r="O54" i="4"/>
  <c r="M54" i="4"/>
  <c r="U54" i="4"/>
  <c r="N54" i="4"/>
  <c r="L54" i="4"/>
  <c r="AJ54" i="4"/>
  <c r="F54" i="4"/>
  <c r="E54" i="4"/>
  <c r="V54" i="4"/>
  <c r="C56" i="4"/>
  <c r="D55" i="4"/>
  <c r="B54" i="4"/>
  <c r="H54" i="4"/>
  <c r="Y53" i="4"/>
  <c r="X53" i="4"/>
  <c r="AA53" i="4" s="1"/>
  <c r="P54" i="4"/>
  <c r="T54" i="4"/>
  <c r="K54" i="4"/>
  <c r="W54" i="4"/>
  <c r="G54" i="4" l="1"/>
  <c r="I54" i="4" s="1"/>
  <c r="X54" i="4"/>
  <c r="AA54" i="4" s="1"/>
  <c r="AL54" i="4"/>
  <c r="Y54" i="4"/>
  <c r="D56" i="4"/>
  <c r="C57" i="4"/>
  <c r="B55" i="4"/>
  <c r="H55" i="4"/>
  <c r="Z53" i="4"/>
  <c r="R55" i="4"/>
  <c r="Q55" i="4"/>
  <c r="P55" i="4"/>
  <c r="O55" i="4"/>
  <c r="N55" i="4"/>
  <c r="M55" i="4"/>
  <c r="AK55" i="4"/>
  <c r="AI55" i="4"/>
  <c r="AJ55" i="4"/>
  <c r="K55" i="4"/>
  <c r="W55" i="4"/>
  <c r="J55" i="4"/>
  <c r="E55" i="4"/>
  <c r="V55" i="4"/>
  <c r="U55" i="4"/>
  <c r="L55" i="4"/>
  <c r="F55" i="4"/>
  <c r="T55" i="4"/>
  <c r="S55" i="4"/>
  <c r="Y55" i="4" l="1"/>
  <c r="Z54" i="4"/>
  <c r="AL55" i="4"/>
  <c r="X55" i="4"/>
  <c r="S56" i="4"/>
  <c r="V56" i="4"/>
  <c r="R56" i="4"/>
  <c r="Q56" i="4"/>
  <c r="P56" i="4"/>
  <c r="L56" i="4"/>
  <c r="O56" i="4"/>
  <c r="N56" i="4"/>
  <c r="M56" i="4"/>
  <c r="AI56" i="4"/>
  <c r="AJ56" i="4"/>
  <c r="AK56" i="4"/>
  <c r="W56" i="4"/>
  <c r="T56" i="4"/>
  <c r="K56" i="4"/>
  <c r="J56" i="4"/>
  <c r="E56" i="4"/>
  <c r="U56" i="4"/>
  <c r="F56" i="4"/>
  <c r="B56" i="4"/>
  <c r="H56" i="4"/>
  <c r="D57" i="4"/>
  <c r="L57" i="4" s="1"/>
  <c r="C58" i="4"/>
  <c r="G55" i="4"/>
  <c r="I55" i="4" s="1"/>
  <c r="AL56" i="4" l="1"/>
  <c r="G56" i="4"/>
  <c r="I56" i="4" s="1"/>
  <c r="Y56" i="4"/>
  <c r="X56" i="4"/>
  <c r="Z55" i="4"/>
  <c r="AA55" i="4"/>
  <c r="AJ57" i="4"/>
  <c r="AI57" i="4"/>
  <c r="AK57" i="4"/>
  <c r="K57" i="4"/>
  <c r="V57" i="4"/>
  <c r="E57" i="4"/>
  <c r="J57" i="4"/>
  <c r="U57" i="4"/>
  <c r="F57" i="4"/>
  <c r="T57" i="4"/>
  <c r="W57" i="4"/>
  <c r="M57" i="4"/>
  <c r="N57" i="4"/>
  <c r="O57" i="4"/>
  <c r="P57" i="4"/>
  <c r="Q57" i="4"/>
  <c r="R57" i="4"/>
  <c r="S57" i="4"/>
  <c r="B57" i="4"/>
  <c r="H57" i="4"/>
  <c r="D58" i="4"/>
  <c r="C59" i="4"/>
  <c r="S58" i="4" l="1"/>
  <c r="R58" i="4"/>
  <c r="Z56" i="4"/>
  <c r="AA56" i="4"/>
  <c r="G57" i="4"/>
  <c r="I57" i="4" s="1"/>
  <c r="P58" i="4"/>
  <c r="Q58" i="4"/>
  <c r="O58" i="4"/>
  <c r="N58" i="4"/>
  <c r="K58" i="4"/>
  <c r="E58" i="4"/>
  <c r="T58" i="4"/>
  <c r="U58" i="4"/>
  <c r="M58" i="4"/>
  <c r="L58" i="4"/>
  <c r="AI58" i="4"/>
  <c r="AK58" i="4"/>
  <c r="W58" i="4"/>
  <c r="V58" i="4"/>
  <c r="AJ58" i="4"/>
  <c r="J58" i="4"/>
  <c r="F58" i="4"/>
  <c r="AL57" i="4"/>
  <c r="Y57" i="4"/>
  <c r="X57" i="4"/>
  <c r="AA57" i="4" s="1"/>
  <c r="B58" i="4"/>
  <c r="H58" i="4"/>
  <c r="D59" i="4"/>
  <c r="C60" i="4"/>
  <c r="G58" i="4" l="1"/>
  <c r="I58" i="4" s="1"/>
  <c r="Y58" i="4"/>
  <c r="AL58" i="4"/>
  <c r="AJ59" i="4"/>
  <c r="AK59" i="4"/>
  <c r="F59" i="4"/>
  <c r="T59" i="4"/>
  <c r="X58" i="4"/>
  <c r="Z57" i="4"/>
  <c r="M59" i="4"/>
  <c r="L59" i="4"/>
  <c r="AI59" i="4"/>
  <c r="N59" i="4"/>
  <c r="O59" i="4"/>
  <c r="Q59" i="4"/>
  <c r="P59" i="4"/>
  <c r="R59" i="4"/>
  <c r="S59" i="4"/>
  <c r="B59" i="4"/>
  <c r="H59" i="4"/>
  <c r="D60" i="4"/>
  <c r="C61" i="4"/>
  <c r="W59" i="4"/>
  <c r="J59" i="4"/>
  <c r="U59" i="4"/>
  <c r="K59" i="4"/>
  <c r="V59" i="4"/>
  <c r="E59" i="4"/>
  <c r="AL59" i="4" l="1"/>
  <c r="G59" i="4"/>
  <c r="I59" i="4" s="1"/>
  <c r="X59" i="4"/>
  <c r="AA59" i="4" s="1"/>
  <c r="Z58" i="4"/>
  <c r="AA58" i="4"/>
  <c r="Y59" i="4"/>
  <c r="B60" i="4"/>
  <c r="H60" i="4"/>
  <c r="C62" i="4"/>
  <c r="D61" i="4"/>
  <c r="S60" i="4"/>
  <c r="R60" i="4"/>
  <c r="V60" i="4"/>
  <c r="P60" i="4"/>
  <c r="N60" i="4"/>
  <c r="L60" i="4"/>
  <c r="AJ60" i="4"/>
  <c r="AK60" i="4"/>
  <c r="Q60" i="4"/>
  <c r="M60" i="4"/>
  <c r="K60" i="4"/>
  <c r="O60" i="4"/>
  <c r="AI60" i="4"/>
  <c r="F60" i="4"/>
  <c r="E60" i="4"/>
  <c r="J60" i="4"/>
  <c r="U60" i="4"/>
  <c r="T60" i="4"/>
  <c r="W60" i="4"/>
  <c r="P61" i="4"/>
  <c r="G60" i="4" l="1"/>
  <c r="I60" i="4" s="1"/>
  <c r="S61" i="4"/>
  <c r="R61" i="4"/>
  <c r="Q61" i="4"/>
  <c r="O61" i="4"/>
  <c r="Z59" i="4"/>
  <c r="N61" i="4"/>
  <c r="M61" i="4"/>
  <c r="L61" i="4"/>
  <c r="AJ61" i="4"/>
  <c r="Y60" i="4"/>
  <c r="X60" i="4"/>
  <c r="AA60" i="4" s="1"/>
  <c r="AK61" i="4"/>
  <c r="AI61" i="4"/>
  <c r="U61" i="4"/>
  <c r="K61" i="4"/>
  <c r="V61" i="4"/>
  <c r="J61" i="4"/>
  <c r="E61" i="4"/>
  <c r="C63" i="4"/>
  <c r="D62" i="4"/>
  <c r="B61" i="4"/>
  <c r="H61" i="4"/>
  <c r="AL60" i="4"/>
  <c r="T61" i="4"/>
  <c r="W61" i="4"/>
  <c r="F61" i="4"/>
  <c r="S62" i="4" l="1"/>
  <c r="R62" i="4"/>
  <c r="Y61" i="4"/>
  <c r="X61" i="4"/>
  <c r="AA61" i="4" s="1"/>
  <c r="Z60" i="4"/>
  <c r="AL61" i="4"/>
  <c r="G61" i="4"/>
  <c r="I61" i="4" s="1"/>
  <c r="P62" i="4"/>
  <c r="AI62" i="4"/>
  <c r="L62" i="4"/>
  <c r="D63" i="4"/>
  <c r="Q63" i="4" s="1"/>
  <c r="C64" i="4"/>
  <c r="B62" i="4"/>
  <c r="H62" i="4"/>
  <c r="O62" i="4"/>
  <c r="N62" i="4"/>
  <c r="M62" i="4"/>
  <c r="AJ62" i="4"/>
  <c r="AK62" i="4"/>
  <c r="J62" i="4"/>
  <c r="K62" i="4"/>
  <c r="F62" i="4"/>
  <c r="U62" i="4"/>
  <c r="T62" i="4"/>
  <c r="W62" i="4"/>
  <c r="V62" i="4"/>
  <c r="E62" i="4"/>
  <c r="Q62" i="4"/>
  <c r="AL62" i="4" l="1"/>
  <c r="Y62" i="4"/>
  <c r="G62" i="4"/>
  <c r="I62" i="4" s="1"/>
  <c r="Z61" i="4"/>
  <c r="N63" i="4"/>
  <c r="M63" i="4"/>
  <c r="L63" i="4"/>
  <c r="W63" i="4"/>
  <c r="AI63" i="4"/>
  <c r="V63" i="4"/>
  <c r="B63" i="4"/>
  <c r="H63" i="4"/>
  <c r="D64" i="4"/>
  <c r="C65" i="4"/>
  <c r="X62" i="4"/>
  <c r="E63" i="4"/>
  <c r="T63" i="4"/>
  <c r="AJ63" i="4"/>
  <c r="AK63" i="4"/>
  <c r="K63" i="4"/>
  <c r="U63" i="4"/>
  <c r="F63" i="4"/>
  <c r="S63" i="4"/>
  <c r="R63" i="4"/>
  <c r="P63" i="4"/>
  <c r="J63" i="4"/>
  <c r="O63" i="4"/>
  <c r="N64" i="4" l="1"/>
  <c r="P64" i="4"/>
  <c r="Q64" i="4"/>
  <c r="R64" i="4"/>
  <c r="O64" i="4"/>
  <c r="M64" i="4"/>
  <c r="L64" i="4"/>
  <c r="AK64" i="4"/>
  <c r="X63" i="4"/>
  <c r="AA63" i="4" s="1"/>
  <c r="AL63" i="4"/>
  <c r="Y63" i="4"/>
  <c r="T64" i="4"/>
  <c r="U64" i="4"/>
  <c r="E64" i="4"/>
  <c r="V64" i="4"/>
  <c r="J64" i="4"/>
  <c r="K64" i="4"/>
  <c r="F64" i="4"/>
  <c r="W64" i="4"/>
  <c r="AJ64" i="4"/>
  <c r="AI64" i="4"/>
  <c r="S64" i="4"/>
  <c r="B64" i="4"/>
  <c r="H64" i="4"/>
  <c r="D65" i="4"/>
  <c r="C66" i="4"/>
  <c r="Z62" i="4"/>
  <c r="AA62" i="4"/>
  <c r="G63" i="4"/>
  <c r="I63" i="4" s="1"/>
  <c r="AL64" i="4" l="1"/>
  <c r="Z63" i="4"/>
  <c r="X64" i="4"/>
  <c r="AA64" i="4" s="1"/>
  <c r="S65" i="4"/>
  <c r="M65" i="4"/>
  <c r="R65" i="4"/>
  <c r="B65" i="4"/>
  <c r="H65" i="4"/>
  <c r="D66" i="4"/>
  <c r="C67" i="4"/>
  <c r="G64" i="4"/>
  <c r="I64" i="4" s="1"/>
  <c r="Y64" i="4"/>
  <c r="P65" i="4"/>
  <c r="Q65" i="4"/>
  <c r="O65" i="4"/>
  <c r="N65" i="4"/>
  <c r="L65" i="4"/>
  <c r="AJ65" i="4"/>
  <c r="AI65" i="4"/>
  <c r="AK65" i="4"/>
  <c r="T65" i="4"/>
  <c r="V65" i="4"/>
  <c r="K65" i="4"/>
  <c r="W65" i="4"/>
  <c r="E65" i="4"/>
  <c r="U65" i="4"/>
  <c r="J65" i="4"/>
  <c r="F65" i="4"/>
  <c r="AL65" i="4" l="1"/>
  <c r="Z64" i="4"/>
  <c r="B66" i="4"/>
  <c r="H66" i="4"/>
  <c r="D67" i="4"/>
  <c r="C68" i="4"/>
  <c r="X65" i="4"/>
  <c r="AA65" i="4" s="1"/>
  <c r="G65" i="4"/>
  <c r="I65" i="4" s="1"/>
  <c r="Y65" i="4"/>
  <c r="S66" i="4"/>
  <c r="R66" i="4"/>
  <c r="P66" i="4"/>
  <c r="Q66" i="4"/>
  <c r="O66" i="4"/>
  <c r="N66" i="4"/>
  <c r="M66" i="4"/>
  <c r="AI66" i="4"/>
  <c r="V66" i="4"/>
  <c r="U66" i="4"/>
  <c r="W66" i="4"/>
  <c r="L66" i="4"/>
  <c r="K66" i="4"/>
  <c r="AK66" i="4"/>
  <c r="AJ66" i="4"/>
  <c r="J66" i="4"/>
  <c r="E66" i="4"/>
  <c r="T66" i="4"/>
  <c r="F66" i="4"/>
  <c r="X66" i="4" l="1"/>
  <c r="AA66" i="4" s="1"/>
  <c r="S67" i="4"/>
  <c r="Q67" i="4"/>
  <c r="R67" i="4"/>
  <c r="P67" i="4"/>
  <c r="AL66" i="4"/>
  <c r="Z65" i="4"/>
  <c r="Y66" i="4"/>
  <c r="O67" i="4"/>
  <c r="N67" i="4"/>
  <c r="U67" i="4"/>
  <c r="V67" i="4"/>
  <c r="AJ67" i="4"/>
  <c r="W67" i="4"/>
  <c r="K67" i="4"/>
  <c r="M67" i="4"/>
  <c r="L67" i="4"/>
  <c r="AK67" i="4"/>
  <c r="T67" i="4"/>
  <c r="AI67" i="4"/>
  <c r="J67" i="4"/>
  <c r="F67" i="4"/>
  <c r="E67" i="4"/>
  <c r="B67" i="4"/>
  <c r="H67" i="4"/>
  <c r="C69" i="4"/>
  <c r="D68" i="4"/>
  <c r="G66" i="4"/>
  <c r="I66" i="4" s="1"/>
  <c r="Z66" i="4" l="1"/>
  <c r="G67" i="4"/>
  <c r="I67" i="4" s="1"/>
  <c r="X67" i="4"/>
  <c r="AA67" i="4" s="1"/>
  <c r="AL67" i="4"/>
  <c r="Y67" i="4"/>
  <c r="D69" i="4"/>
  <c r="C70" i="4"/>
  <c r="B68" i="4"/>
  <c r="M68" i="4"/>
  <c r="N68" i="4"/>
  <c r="O68" i="4"/>
  <c r="Q68" i="4"/>
  <c r="P68" i="4"/>
  <c r="R68" i="4"/>
  <c r="S68" i="4"/>
  <c r="H68" i="4"/>
  <c r="L68" i="4"/>
  <c r="AI68" i="4"/>
  <c r="U68" i="4"/>
  <c r="AJ68" i="4"/>
  <c r="AK68" i="4"/>
  <c r="J68" i="4"/>
  <c r="W68" i="4"/>
  <c r="F68" i="4"/>
  <c r="T68" i="4"/>
  <c r="V68" i="4"/>
  <c r="E68" i="4"/>
  <c r="K68" i="4"/>
  <c r="AL68" i="4" l="1"/>
  <c r="Z67" i="4"/>
  <c r="Y68" i="4"/>
  <c r="AJ69" i="4"/>
  <c r="T69" i="4"/>
  <c r="S69" i="4"/>
  <c r="R69" i="4"/>
  <c r="P69" i="4"/>
  <c r="Q69" i="4"/>
  <c r="O69" i="4"/>
  <c r="N69" i="4"/>
  <c r="M69" i="4"/>
  <c r="L69" i="4"/>
  <c r="AI69" i="4"/>
  <c r="AK69" i="4"/>
  <c r="W69" i="4"/>
  <c r="V69" i="4"/>
  <c r="U69" i="4"/>
  <c r="K69" i="4"/>
  <c r="J69" i="4"/>
  <c r="F69" i="4"/>
  <c r="E69" i="4"/>
  <c r="B69" i="4"/>
  <c r="H69" i="4"/>
  <c r="D70" i="4"/>
  <c r="C71" i="4"/>
  <c r="X68" i="4"/>
  <c r="G68" i="4"/>
  <c r="I68" i="4" s="1"/>
  <c r="Y69" i="4" l="1"/>
  <c r="G69" i="4"/>
  <c r="I69" i="4" s="1"/>
  <c r="AL69" i="4"/>
  <c r="X69" i="4"/>
  <c r="K70" i="4"/>
  <c r="F70" i="4"/>
  <c r="E70" i="4"/>
  <c r="W70" i="4"/>
  <c r="T70" i="4"/>
  <c r="J70" i="4"/>
  <c r="U70" i="4"/>
  <c r="V70" i="4"/>
  <c r="AK70" i="4"/>
  <c r="AJ70" i="4"/>
  <c r="L70" i="4"/>
  <c r="M70" i="4"/>
  <c r="AI70" i="4"/>
  <c r="N70" i="4"/>
  <c r="O70" i="4"/>
  <c r="Q70" i="4"/>
  <c r="P70" i="4"/>
  <c r="R70" i="4"/>
  <c r="S70" i="4"/>
  <c r="B70" i="4"/>
  <c r="H70" i="4"/>
  <c r="D71" i="4"/>
  <c r="C72" i="4"/>
  <c r="Z68" i="4"/>
  <c r="AA68" i="4"/>
  <c r="G70" i="4" l="1"/>
  <c r="I70" i="4" s="1"/>
  <c r="AA69" i="4"/>
  <c r="Z69" i="4"/>
  <c r="X70" i="4"/>
  <c r="AA70" i="4" s="1"/>
  <c r="W71" i="4"/>
  <c r="U71" i="4"/>
  <c r="T71" i="4"/>
  <c r="V71" i="4"/>
  <c r="J71" i="4"/>
  <c r="K71" i="4"/>
  <c r="E71" i="4"/>
  <c r="B71" i="4"/>
  <c r="H71" i="4"/>
  <c r="D72" i="4"/>
  <c r="S72" i="4" s="1"/>
  <c r="C73" i="4"/>
  <c r="AL70" i="4"/>
  <c r="Y70" i="4"/>
  <c r="S71" i="4"/>
  <c r="R71" i="4"/>
  <c r="P71" i="4"/>
  <c r="Q71" i="4"/>
  <c r="O71" i="4"/>
  <c r="N71" i="4"/>
  <c r="AK71" i="4"/>
  <c r="M71" i="4"/>
  <c r="L71" i="4"/>
  <c r="AJ71" i="4"/>
  <c r="AI71" i="4"/>
  <c r="F71" i="4"/>
  <c r="AL71" i="4" l="1"/>
  <c r="Y71" i="4"/>
  <c r="Z70" i="4"/>
  <c r="X71" i="4"/>
  <c r="B72" i="4"/>
  <c r="H72" i="4"/>
  <c r="D73" i="4"/>
  <c r="C74" i="4"/>
  <c r="G71" i="4"/>
  <c r="I71" i="4" s="1"/>
  <c r="R72" i="4"/>
  <c r="P72" i="4"/>
  <c r="Q72" i="4"/>
  <c r="O72" i="4"/>
  <c r="N72" i="4"/>
  <c r="M72" i="4"/>
  <c r="L72" i="4"/>
  <c r="K72" i="4"/>
  <c r="V72" i="4"/>
  <c r="AI72" i="4"/>
  <c r="AJ72" i="4"/>
  <c r="AK72" i="4"/>
  <c r="W72" i="4"/>
  <c r="F72" i="4"/>
  <c r="J72" i="4"/>
  <c r="E72" i="4"/>
  <c r="U72" i="4"/>
  <c r="T72" i="4"/>
  <c r="R73" i="4" l="1"/>
  <c r="S73" i="4"/>
  <c r="G72" i="4"/>
  <c r="I72" i="4" s="1"/>
  <c r="P73" i="4"/>
  <c r="Q73" i="4"/>
  <c r="N73" i="4"/>
  <c r="M73" i="4"/>
  <c r="AL72" i="4"/>
  <c r="Z71" i="4"/>
  <c r="AA71" i="4"/>
  <c r="L73" i="4"/>
  <c r="O73" i="4"/>
  <c r="K73" i="4"/>
  <c r="V73" i="4"/>
  <c r="AJ73" i="4"/>
  <c r="AK73" i="4"/>
  <c r="U73" i="4"/>
  <c r="T73" i="4"/>
  <c r="W73" i="4"/>
  <c r="F73" i="4"/>
  <c r="AI73" i="4"/>
  <c r="E73" i="4"/>
  <c r="J73" i="4"/>
  <c r="B73" i="4"/>
  <c r="H73" i="4"/>
  <c r="D74" i="4"/>
  <c r="C75" i="4"/>
  <c r="Y72" i="4"/>
  <c r="X72" i="4"/>
  <c r="AA72" i="4" s="1"/>
  <c r="X73" i="4" l="1"/>
  <c r="AA73" i="4" s="1"/>
  <c r="L74" i="4"/>
  <c r="AJ74" i="4"/>
  <c r="G73" i="4"/>
  <c r="I73" i="4" s="1"/>
  <c r="AL73" i="4"/>
  <c r="Y73" i="4"/>
  <c r="AI74" i="4"/>
  <c r="U74" i="4"/>
  <c r="T74" i="4"/>
  <c r="K74" i="4"/>
  <c r="W74" i="4"/>
  <c r="AK74" i="4"/>
  <c r="J74" i="4"/>
  <c r="V74" i="4"/>
  <c r="E74" i="4"/>
  <c r="F74" i="4"/>
  <c r="N74" i="4"/>
  <c r="Q74" i="4"/>
  <c r="S74" i="4"/>
  <c r="B74" i="4"/>
  <c r="P74" i="4"/>
  <c r="O74" i="4"/>
  <c r="R74" i="4"/>
  <c r="M74" i="4"/>
  <c r="H74" i="4"/>
  <c r="C76" i="4"/>
  <c r="D75" i="4"/>
  <c r="Z72" i="4"/>
  <c r="AL74" i="4" l="1"/>
  <c r="Z73" i="4"/>
  <c r="G74" i="4"/>
  <c r="I74" i="4" s="1"/>
  <c r="X74" i="4"/>
  <c r="AA74" i="4" s="1"/>
  <c r="Y74" i="4"/>
  <c r="D76" i="4"/>
  <c r="C77" i="4"/>
  <c r="F75" i="4"/>
  <c r="T75" i="4"/>
  <c r="AJ75" i="4"/>
  <c r="L75" i="4"/>
  <c r="M75" i="4"/>
  <c r="N75" i="4"/>
  <c r="O75" i="4"/>
  <c r="Q75" i="4"/>
  <c r="R75" i="4"/>
  <c r="S75" i="4"/>
  <c r="P75" i="4"/>
  <c r="B75" i="4"/>
  <c r="H75" i="4"/>
  <c r="AK75" i="4"/>
  <c r="AI75" i="4"/>
  <c r="W75" i="4"/>
  <c r="K75" i="4"/>
  <c r="V75" i="4"/>
  <c r="J75" i="4"/>
  <c r="U75" i="4"/>
  <c r="E75" i="4"/>
  <c r="P76" i="4" l="1"/>
  <c r="N76" i="4"/>
  <c r="R76" i="4"/>
  <c r="S76" i="4"/>
  <c r="O76" i="4"/>
  <c r="Y75" i="4"/>
  <c r="Z74" i="4"/>
  <c r="G75" i="4"/>
  <c r="I75" i="4" s="1"/>
  <c r="AJ76" i="4"/>
  <c r="J76" i="4"/>
  <c r="M76" i="4"/>
  <c r="K76" i="4"/>
  <c r="W76" i="4"/>
  <c r="V76" i="4"/>
  <c r="Q76" i="4"/>
  <c r="L76" i="4"/>
  <c r="AI76" i="4"/>
  <c r="E76" i="4"/>
  <c r="U76" i="4"/>
  <c r="B76" i="4"/>
  <c r="H76" i="4"/>
  <c r="C78" i="4"/>
  <c r="D77" i="4"/>
  <c r="X75" i="4"/>
  <c r="AL75" i="4"/>
  <c r="T76" i="4"/>
  <c r="AK76" i="4"/>
  <c r="F76" i="4"/>
  <c r="AL76" i="4" l="1"/>
  <c r="R77" i="4"/>
  <c r="Q77" i="4"/>
  <c r="O77" i="4"/>
  <c r="M77" i="4"/>
  <c r="T77" i="4"/>
  <c r="U77" i="4"/>
  <c r="Y76" i="4"/>
  <c r="G76" i="4"/>
  <c r="I76" i="4" s="1"/>
  <c r="X76" i="4"/>
  <c r="AA76" i="4" s="1"/>
  <c r="F77" i="4"/>
  <c r="E77" i="4"/>
  <c r="C79" i="4"/>
  <c r="D78" i="4"/>
  <c r="P78" i="4" s="1"/>
  <c r="J77" i="4"/>
  <c r="W77" i="4"/>
  <c r="V77" i="4"/>
  <c r="P77" i="4"/>
  <c r="K77" i="4"/>
  <c r="B77" i="4"/>
  <c r="S77" i="4"/>
  <c r="H77" i="4"/>
  <c r="Z75" i="4"/>
  <c r="AA75" i="4"/>
  <c r="N77" i="4"/>
  <c r="L77" i="4"/>
  <c r="AI77" i="4"/>
  <c r="AJ77" i="4"/>
  <c r="AK77" i="4"/>
  <c r="Z76" i="4" l="1"/>
  <c r="AL77" i="4"/>
  <c r="Y77" i="4"/>
  <c r="X77" i="4"/>
  <c r="AA77" i="4" s="1"/>
  <c r="G77" i="4"/>
  <c r="I77" i="4" s="1"/>
  <c r="C80" i="4"/>
  <c r="D79" i="4"/>
  <c r="R78" i="4"/>
  <c r="S78" i="4"/>
  <c r="B78" i="4"/>
  <c r="H78" i="4"/>
  <c r="O78" i="4"/>
  <c r="N78" i="4"/>
  <c r="M78" i="4"/>
  <c r="L78" i="4"/>
  <c r="AK78" i="4"/>
  <c r="AI78" i="4"/>
  <c r="F78" i="4"/>
  <c r="W78" i="4"/>
  <c r="J78" i="4"/>
  <c r="AJ78" i="4"/>
  <c r="U78" i="4"/>
  <c r="T78" i="4"/>
  <c r="E78" i="4"/>
  <c r="K78" i="4"/>
  <c r="V78" i="4"/>
  <c r="Q78" i="4"/>
  <c r="Q79" i="4" l="1"/>
  <c r="F79" i="4"/>
  <c r="N79" i="4"/>
  <c r="AK79" i="4"/>
  <c r="L79" i="4"/>
  <c r="AI79" i="4"/>
  <c r="AJ79" i="4"/>
  <c r="V79" i="4"/>
  <c r="J79" i="4"/>
  <c r="K79" i="4"/>
  <c r="E79" i="4"/>
  <c r="T79" i="4"/>
  <c r="Z77" i="4"/>
  <c r="M79" i="4"/>
  <c r="O79" i="4"/>
  <c r="W79" i="4"/>
  <c r="U79" i="4"/>
  <c r="Y78" i="4"/>
  <c r="X78" i="4"/>
  <c r="D80" i="4"/>
  <c r="C81" i="4"/>
  <c r="R79" i="4"/>
  <c r="P79" i="4"/>
  <c r="S79" i="4"/>
  <c r="B79" i="4"/>
  <c r="H79" i="4"/>
  <c r="AL78" i="4"/>
  <c r="G78" i="4"/>
  <c r="I78" i="4" s="1"/>
  <c r="G79" i="4" l="1"/>
  <c r="I79" i="4" s="1"/>
  <c r="AL79" i="4"/>
  <c r="Y79" i="4"/>
  <c r="X79" i="4"/>
  <c r="Z78" i="4"/>
  <c r="AA78" i="4"/>
  <c r="V80" i="4"/>
  <c r="F80" i="4"/>
  <c r="U80" i="4"/>
  <c r="AK80" i="4"/>
  <c r="AJ80" i="4"/>
  <c r="AI80" i="4"/>
  <c r="L80" i="4"/>
  <c r="M80" i="4"/>
  <c r="N80" i="4"/>
  <c r="O80" i="4"/>
  <c r="Q80" i="4"/>
  <c r="R80" i="4"/>
  <c r="S80" i="4"/>
  <c r="P80" i="4"/>
  <c r="B80" i="4"/>
  <c r="H80" i="4"/>
  <c r="D81" i="4"/>
  <c r="C82" i="4"/>
  <c r="K80" i="4"/>
  <c r="J80" i="4"/>
  <c r="T80" i="4"/>
  <c r="W80" i="4"/>
  <c r="E80" i="4"/>
  <c r="AA79" i="4" l="1"/>
  <c r="Z79" i="4"/>
  <c r="X80" i="4"/>
  <c r="AA80" i="4" s="1"/>
  <c r="Y80" i="4"/>
  <c r="G80" i="4"/>
  <c r="I80" i="4" s="1"/>
  <c r="B81" i="4"/>
  <c r="H81" i="4"/>
  <c r="C83" i="4"/>
  <c r="D82" i="4"/>
  <c r="R82" i="4" s="1"/>
  <c r="AL80" i="4"/>
  <c r="P81" i="4"/>
  <c r="S81" i="4"/>
  <c r="R81" i="4"/>
  <c r="Q81" i="4"/>
  <c r="O81" i="4"/>
  <c r="L81" i="4"/>
  <c r="E81" i="4"/>
  <c r="N81" i="4"/>
  <c r="U81" i="4"/>
  <c r="T81" i="4"/>
  <c r="K81" i="4"/>
  <c r="F81" i="4"/>
  <c r="V81" i="4"/>
  <c r="J81" i="4"/>
  <c r="M81" i="4"/>
  <c r="AJ81" i="4"/>
  <c r="AI81" i="4"/>
  <c r="AK81" i="4"/>
  <c r="W81" i="4"/>
  <c r="AL81" i="4" l="1"/>
  <c r="Z80" i="4"/>
  <c r="D83" i="4"/>
  <c r="C84" i="4"/>
  <c r="B82" i="4"/>
  <c r="H82" i="4"/>
  <c r="Y81" i="4"/>
  <c r="G81" i="4"/>
  <c r="I81" i="4" s="1"/>
  <c r="X81" i="4"/>
  <c r="AA81" i="4" s="1"/>
  <c r="L82" i="4"/>
  <c r="Q82" i="4"/>
  <c r="M82" i="4"/>
  <c r="S82" i="4"/>
  <c r="P82" i="4"/>
  <c r="N82" i="4"/>
  <c r="AJ82" i="4"/>
  <c r="AI82" i="4"/>
  <c r="AK82" i="4"/>
  <c r="T82" i="4"/>
  <c r="V82" i="4"/>
  <c r="F82" i="4"/>
  <c r="E82" i="4"/>
  <c r="K82" i="4"/>
  <c r="U82" i="4"/>
  <c r="W82" i="4"/>
  <c r="J82" i="4"/>
  <c r="O82" i="4"/>
  <c r="G82" i="4" l="1"/>
  <c r="I82" i="4" s="1"/>
  <c r="AL82" i="4"/>
  <c r="L83" i="4"/>
  <c r="T83" i="4"/>
  <c r="U83" i="4"/>
  <c r="P83" i="4"/>
  <c r="S83" i="4"/>
  <c r="R83" i="4"/>
  <c r="AI83" i="4"/>
  <c r="V83" i="4"/>
  <c r="W83" i="4"/>
  <c r="AJ83" i="4"/>
  <c r="Q83" i="4"/>
  <c r="O83" i="4"/>
  <c r="M83" i="4"/>
  <c r="N83" i="4"/>
  <c r="AK83" i="4"/>
  <c r="K83" i="4"/>
  <c r="F83" i="4"/>
  <c r="Z81" i="4"/>
  <c r="X82" i="4"/>
  <c r="AA82" i="4" s="1"/>
  <c r="B83" i="4"/>
  <c r="H83" i="4"/>
  <c r="D84" i="4"/>
  <c r="C85" i="4"/>
  <c r="Y82" i="4"/>
  <c r="J83" i="4"/>
  <c r="E83" i="4"/>
  <c r="AL83" i="4" l="1"/>
  <c r="X83" i="4"/>
  <c r="AA83" i="4" s="1"/>
  <c r="Y83" i="4"/>
  <c r="Z82" i="4"/>
  <c r="G83" i="4"/>
  <c r="I83" i="4" s="1"/>
  <c r="R84" i="4"/>
  <c r="P84" i="4"/>
  <c r="S84" i="4"/>
  <c r="B84" i="4"/>
  <c r="H84" i="4"/>
  <c r="C86" i="4"/>
  <c r="D85" i="4"/>
  <c r="Q84" i="4"/>
  <c r="O84" i="4"/>
  <c r="N84" i="4"/>
  <c r="M84" i="4"/>
  <c r="L84" i="4"/>
  <c r="E84" i="4"/>
  <c r="AJ84" i="4"/>
  <c r="U84" i="4"/>
  <c r="T84" i="4"/>
  <c r="J84" i="4"/>
  <c r="F84" i="4"/>
  <c r="K84" i="4"/>
  <c r="V84" i="4"/>
  <c r="W84" i="4"/>
  <c r="AI84" i="4"/>
  <c r="AK84" i="4"/>
  <c r="Z83" i="4" l="1"/>
  <c r="R85" i="4"/>
  <c r="Q85" i="4"/>
  <c r="M85" i="4"/>
  <c r="E85" i="4"/>
  <c r="T85" i="4"/>
  <c r="V85" i="4"/>
  <c r="S85" i="4"/>
  <c r="P85" i="4"/>
  <c r="O85" i="4"/>
  <c r="AK85" i="4"/>
  <c r="K85" i="4"/>
  <c r="L85" i="4"/>
  <c r="F85" i="4"/>
  <c r="AI85" i="4"/>
  <c r="N85" i="4"/>
  <c r="U85" i="4"/>
  <c r="J85" i="4"/>
  <c r="W85" i="4"/>
  <c r="AJ85" i="4"/>
  <c r="C87" i="4"/>
  <c r="D86" i="4"/>
  <c r="B85" i="4"/>
  <c r="H85" i="4"/>
  <c r="Y84" i="4"/>
  <c r="X84" i="4"/>
  <c r="AA84" i="4" s="1"/>
  <c r="AL84" i="4"/>
  <c r="G84" i="4"/>
  <c r="I84" i="4" s="1"/>
  <c r="AL85" i="4" l="1"/>
  <c r="G85" i="4"/>
  <c r="I85" i="4" s="1"/>
  <c r="X85" i="4"/>
  <c r="AA85" i="4" s="1"/>
  <c r="Y85" i="4"/>
  <c r="V86" i="4"/>
  <c r="R86" i="4"/>
  <c r="Q86" i="4"/>
  <c r="P86" i="4"/>
  <c r="T86" i="4"/>
  <c r="E86" i="4"/>
  <c r="U86" i="4"/>
  <c r="F86" i="4"/>
  <c r="K86" i="4"/>
  <c r="W86" i="4"/>
  <c r="J86" i="4"/>
  <c r="D87" i="4"/>
  <c r="C88" i="4"/>
  <c r="AJ86" i="4"/>
  <c r="AI86" i="4"/>
  <c r="AK86" i="4"/>
  <c r="L86" i="4"/>
  <c r="M86" i="4"/>
  <c r="N86" i="4"/>
  <c r="O86" i="4"/>
  <c r="S86" i="4"/>
  <c r="B86" i="4"/>
  <c r="H86" i="4"/>
  <c r="Z84" i="4"/>
  <c r="Z85" i="4" l="1"/>
  <c r="X86" i="4"/>
  <c r="AA86" i="4" s="1"/>
  <c r="Y86" i="4"/>
  <c r="G86" i="4"/>
  <c r="I86" i="4" s="1"/>
  <c r="AK87" i="4"/>
  <c r="R87" i="4"/>
  <c r="Q87" i="4"/>
  <c r="P87" i="4"/>
  <c r="O87" i="4"/>
  <c r="M87" i="4"/>
  <c r="L87" i="4"/>
  <c r="AJ87" i="4"/>
  <c r="S87" i="4"/>
  <c r="N87" i="4"/>
  <c r="W87" i="4"/>
  <c r="J87" i="4"/>
  <c r="AI87" i="4"/>
  <c r="K87" i="4"/>
  <c r="U87" i="4"/>
  <c r="T87" i="4"/>
  <c r="E87" i="4"/>
  <c r="F87" i="4"/>
  <c r="V87" i="4"/>
  <c r="B87" i="4"/>
  <c r="H87" i="4"/>
  <c r="C89" i="4"/>
  <c r="D88" i="4"/>
  <c r="AL86" i="4"/>
  <c r="AL87" i="4" l="1"/>
  <c r="Z86" i="4"/>
  <c r="Y87" i="4"/>
  <c r="X87" i="4"/>
  <c r="AA87" i="4" s="1"/>
  <c r="G87" i="4"/>
  <c r="I87" i="4" s="1"/>
  <c r="U88" i="4"/>
  <c r="S88" i="4"/>
  <c r="R88" i="4"/>
  <c r="Q88" i="4"/>
  <c r="P88" i="4"/>
  <c r="E88" i="4"/>
  <c r="V88" i="4"/>
  <c r="N88" i="4"/>
  <c r="M88" i="4"/>
  <c r="L88" i="4"/>
  <c r="W88" i="4"/>
  <c r="AK88" i="4"/>
  <c r="K88" i="4"/>
  <c r="AI88" i="4"/>
  <c r="AJ88" i="4"/>
  <c r="F88" i="4"/>
  <c r="T88" i="4"/>
  <c r="J88" i="4"/>
  <c r="D89" i="4"/>
  <c r="C90" i="4"/>
  <c r="O88" i="4"/>
  <c r="B88" i="4"/>
  <c r="H88" i="4"/>
  <c r="Y88" i="4" l="1"/>
  <c r="S89" i="4"/>
  <c r="R89" i="4"/>
  <c r="Q89" i="4"/>
  <c r="X88" i="4"/>
  <c r="Z87" i="4"/>
  <c r="G88" i="4"/>
  <c r="I88" i="4" s="1"/>
  <c r="AL88" i="4"/>
  <c r="M89" i="4"/>
  <c r="N89" i="4"/>
  <c r="L89" i="4"/>
  <c r="AJ89" i="4"/>
  <c r="AI89" i="4"/>
  <c r="AK89" i="4"/>
  <c r="U89" i="4"/>
  <c r="W89" i="4"/>
  <c r="K89" i="4"/>
  <c r="T89" i="4"/>
  <c r="F89" i="4"/>
  <c r="E89" i="4"/>
  <c r="J89" i="4"/>
  <c r="V89" i="4"/>
  <c r="B89" i="4"/>
  <c r="H89" i="4"/>
  <c r="C91" i="4"/>
  <c r="D90" i="4"/>
  <c r="P90" i="4" s="1"/>
  <c r="P89" i="4"/>
  <c r="O89" i="4"/>
  <c r="AL89" i="4" l="1"/>
  <c r="AA88" i="4"/>
  <c r="Z88" i="4"/>
  <c r="G89" i="4"/>
  <c r="I89" i="4" s="1"/>
  <c r="X89" i="4"/>
  <c r="AA89" i="4" s="1"/>
  <c r="Y89" i="4"/>
  <c r="D91" i="4"/>
  <c r="C92" i="4"/>
  <c r="AK90" i="4"/>
  <c r="AJ90" i="4"/>
  <c r="Q90" i="4"/>
  <c r="R90" i="4"/>
  <c r="S90" i="4"/>
  <c r="B90" i="4"/>
  <c r="H90" i="4"/>
  <c r="O90" i="4"/>
  <c r="N90" i="4"/>
  <c r="M90" i="4"/>
  <c r="L90" i="4"/>
  <c r="AI90" i="4"/>
  <c r="V90" i="4"/>
  <c r="U90" i="4"/>
  <c r="J90" i="4"/>
  <c r="T90" i="4"/>
  <c r="E90" i="4"/>
  <c r="F90" i="4"/>
  <c r="K90" i="4"/>
  <c r="W90" i="4"/>
  <c r="Z89" i="4" l="1"/>
  <c r="R91" i="4"/>
  <c r="P91" i="4"/>
  <c r="M91" i="4"/>
  <c r="W91" i="4"/>
  <c r="Q91" i="4"/>
  <c r="O91" i="4"/>
  <c r="T91" i="4"/>
  <c r="V91" i="4"/>
  <c r="N91" i="4"/>
  <c r="L91" i="4"/>
  <c r="AK91" i="4"/>
  <c r="AI91" i="4"/>
  <c r="AJ91" i="4"/>
  <c r="F91" i="4"/>
  <c r="E91" i="4"/>
  <c r="J91" i="4"/>
  <c r="K91" i="4"/>
  <c r="U91" i="4"/>
  <c r="S91" i="4"/>
  <c r="Y90" i="4"/>
  <c r="G90" i="4"/>
  <c r="I90" i="4" s="1"/>
  <c r="B91" i="4"/>
  <c r="H91" i="4"/>
  <c r="D92" i="4"/>
  <c r="W92" i="4" s="1"/>
  <c r="C93" i="4"/>
  <c r="X90" i="4"/>
  <c r="AL90" i="4"/>
  <c r="Y91" i="4" l="1"/>
  <c r="X91" i="4"/>
  <c r="AA91" i="4" s="1"/>
  <c r="AL91" i="4"/>
  <c r="G91" i="4"/>
  <c r="I91" i="4" s="1"/>
  <c r="R92" i="4"/>
  <c r="Q92" i="4"/>
  <c r="P92" i="4"/>
  <c r="L92" i="4"/>
  <c r="J92" i="4"/>
  <c r="E92" i="4"/>
  <c r="U92" i="4"/>
  <c r="Y92" i="4" s="1"/>
  <c r="F92" i="4"/>
  <c r="K92" i="4"/>
  <c r="T92" i="4"/>
  <c r="AJ92" i="4"/>
  <c r="AI92" i="4"/>
  <c r="V92" i="4"/>
  <c r="AK92" i="4"/>
  <c r="N92" i="4"/>
  <c r="M92" i="4"/>
  <c r="O92" i="4"/>
  <c r="S92" i="4"/>
  <c r="B92" i="4"/>
  <c r="H92" i="4"/>
  <c r="D93" i="4"/>
  <c r="S93" i="4" s="1"/>
  <c r="C94" i="4"/>
  <c r="Z90" i="4"/>
  <c r="AA90" i="4"/>
  <c r="Z91" i="4" l="1"/>
  <c r="G92" i="4"/>
  <c r="I92" i="4" s="1"/>
  <c r="AL92" i="4"/>
  <c r="B93" i="4"/>
  <c r="H93" i="4"/>
  <c r="C95" i="4"/>
  <c r="D94" i="4"/>
  <c r="X92" i="4"/>
  <c r="R93" i="4"/>
  <c r="Q93" i="4"/>
  <c r="P93" i="4"/>
  <c r="O93" i="4"/>
  <c r="N93" i="4"/>
  <c r="M93" i="4"/>
  <c r="J93" i="4"/>
  <c r="E93" i="4"/>
  <c r="K93" i="4"/>
  <c r="V93" i="4"/>
  <c r="L93" i="4"/>
  <c r="AI93" i="4"/>
  <c r="AJ93" i="4"/>
  <c r="AK93" i="4"/>
  <c r="F93" i="4"/>
  <c r="W93" i="4"/>
  <c r="U93" i="4"/>
  <c r="T93" i="4"/>
  <c r="S94" i="4" l="1"/>
  <c r="M94" i="4"/>
  <c r="R94" i="4"/>
  <c r="P94" i="4"/>
  <c r="AL93" i="4"/>
  <c r="Y93" i="4"/>
  <c r="O94" i="4"/>
  <c r="N94" i="4"/>
  <c r="L94" i="4"/>
  <c r="AI94" i="4"/>
  <c r="T94" i="4"/>
  <c r="V94" i="4"/>
  <c r="J94" i="4"/>
  <c r="U94" i="4"/>
  <c r="E94" i="4"/>
  <c r="D95" i="4"/>
  <c r="C96" i="4"/>
  <c r="B94" i="4"/>
  <c r="H94" i="4"/>
  <c r="Z92" i="4"/>
  <c r="AA92" i="4"/>
  <c r="G93" i="4"/>
  <c r="I93" i="4" s="1"/>
  <c r="X93" i="4"/>
  <c r="Q94" i="4"/>
  <c r="AJ94" i="4"/>
  <c r="AK94" i="4"/>
  <c r="F94" i="4"/>
  <c r="K94" i="4"/>
  <c r="W94" i="4"/>
  <c r="X94" i="4" l="1"/>
  <c r="AA94" i="4" s="1"/>
  <c r="AL94" i="4"/>
  <c r="Y94" i="4"/>
  <c r="G94" i="4"/>
  <c r="I94" i="4" s="1"/>
  <c r="B95" i="4"/>
  <c r="H95" i="4"/>
  <c r="D96" i="4"/>
  <c r="C97" i="4"/>
  <c r="AA93" i="4"/>
  <c r="Z93" i="4"/>
  <c r="M95" i="4"/>
  <c r="S95" i="4"/>
  <c r="R95" i="4"/>
  <c r="Q95" i="4"/>
  <c r="P95" i="4"/>
  <c r="O95" i="4"/>
  <c r="N95" i="4"/>
  <c r="L95" i="4"/>
  <c r="K95" i="4"/>
  <c r="AI95" i="4"/>
  <c r="AK95" i="4"/>
  <c r="E95" i="4"/>
  <c r="AJ95" i="4"/>
  <c r="W95" i="4"/>
  <c r="T95" i="4"/>
  <c r="F95" i="4"/>
  <c r="U95" i="4"/>
  <c r="V95" i="4"/>
  <c r="J95" i="4"/>
  <c r="J96" i="4"/>
  <c r="Z94" i="4" l="1"/>
  <c r="AL95" i="4"/>
  <c r="Y95" i="4"/>
  <c r="U96" i="4"/>
  <c r="E96" i="4"/>
  <c r="T96" i="4"/>
  <c r="S96" i="4"/>
  <c r="R96" i="4"/>
  <c r="B96" i="4"/>
  <c r="Q96" i="4"/>
  <c r="M96" i="4"/>
  <c r="H96" i="4"/>
  <c r="C98" i="4"/>
  <c r="D97" i="4"/>
  <c r="X95" i="4"/>
  <c r="G95" i="4"/>
  <c r="I95" i="4" s="1"/>
  <c r="P96" i="4"/>
  <c r="O96" i="4"/>
  <c r="N96" i="4"/>
  <c r="L96" i="4"/>
  <c r="AI96" i="4"/>
  <c r="AJ96" i="4"/>
  <c r="AK96" i="4"/>
  <c r="F96" i="4"/>
  <c r="W96" i="4"/>
  <c r="K96" i="4"/>
  <c r="V96" i="4"/>
  <c r="G96" i="4" l="1"/>
  <c r="I96" i="4" s="1"/>
  <c r="X96" i="4"/>
  <c r="AA96" i="4" s="1"/>
  <c r="AL96" i="4"/>
  <c r="Y96" i="4"/>
  <c r="K97" i="4"/>
  <c r="V97" i="4"/>
  <c r="W97" i="4"/>
  <c r="E97" i="4"/>
  <c r="J97" i="4"/>
  <c r="D98" i="4"/>
  <c r="O98" i="4" s="1"/>
  <c r="C99" i="4"/>
  <c r="AK97" i="4"/>
  <c r="AI97" i="4"/>
  <c r="AJ97" i="4"/>
  <c r="L97" i="4"/>
  <c r="N97" i="4"/>
  <c r="O97" i="4"/>
  <c r="P97" i="4"/>
  <c r="Q97" i="4"/>
  <c r="R97" i="4"/>
  <c r="S97" i="4"/>
  <c r="M97" i="4"/>
  <c r="B97" i="4"/>
  <c r="H97" i="4"/>
  <c r="Z95" i="4"/>
  <c r="AA95" i="4"/>
  <c r="F97" i="4"/>
  <c r="U97" i="4"/>
  <c r="T97" i="4"/>
  <c r="G97" i="4" l="1"/>
  <c r="I97" i="4" s="1"/>
  <c r="Z96" i="4"/>
  <c r="AL97" i="4"/>
  <c r="Y97" i="4"/>
  <c r="X97" i="4"/>
  <c r="AA97" i="4" s="1"/>
  <c r="B98" i="4"/>
  <c r="H98" i="4"/>
  <c r="C100" i="4"/>
  <c r="D99" i="4"/>
  <c r="S99" i="4" s="1"/>
  <c r="M98" i="4"/>
  <c r="S98" i="4"/>
  <c r="R98" i="4"/>
  <c r="Q98" i="4"/>
  <c r="P98" i="4"/>
  <c r="N98" i="4"/>
  <c r="L98" i="4"/>
  <c r="AK98" i="4"/>
  <c r="AJ98" i="4"/>
  <c r="AI98" i="4"/>
  <c r="V98" i="4"/>
  <c r="U98" i="4"/>
  <c r="F98" i="4"/>
  <c r="K98" i="4"/>
  <c r="T98" i="4"/>
  <c r="E98" i="4"/>
  <c r="W98" i="4"/>
  <c r="J98" i="4"/>
  <c r="R99" i="4" l="1"/>
  <c r="Q99" i="4"/>
  <c r="V99" i="4"/>
  <c r="W99" i="4"/>
  <c r="E99" i="4"/>
  <c r="J99" i="4"/>
  <c r="Z97" i="4"/>
  <c r="AL98" i="4"/>
  <c r="G98" i="4"/>
  <c r="I98" i="4" s="1"/>
  <c r="Y98" i="4"/>
  <c r="C101" i="4"/>
  <c r="D100" i="4"/>
  <c r="B99" i="4"/>
  <c r="H99" i="4"/>
  <c r="X98" i="4"/>
  <c r="P99" i="4"/>
  <c r="O99" i="4"/>
  <c r="M99" i="4"/>
  <c r="N99" i="4"/>
  <c r="L99" i="4"/>
  <c r="AJ99" i="4"/>
  <c r="AK99" i="4"/>
  <c r="AI99" i="4"/>
  <c r="F99" i="4"/>
  <c r="U99" i="4"/>
  <c r="T99" i="4"/>
  <c r="K99" i="4"/>
  <c r="Y99" i="4" l="1"/>
  <c r="Q100" i="4"/>
  <c r="R100" i="4"/>
  <c r="M100" i="4"/>
  <c r="G99" i="4"/>
  <c r="I99" i="4" s="1"/>
  <c r="X99" i="4"/>
  <c r="P100" i="4"/>
  <c r="O100" i="4"/>
  <c r="N100" i="4"/>
  <c r="L100" i="4"/>
  <c r="AK100" i="4"/>
  <c r="AI100" i="4"/>
  <c r="AJ100" i="4"/>
  <c r="E100" i="4"/>
  <c r="J100" i="4"/>
  <c r="C102" i="4"/>
  <c r="D101" i="4"/>
  <c r="B100" i="4"/>
  <c r="S100" i="4"/>
  <c r="H100" i="4"/>
  <c r="Z98" i="4"/>
  <c r="AA98" i="4"/>
  <c r="AL99" i="4"/>
  <c r="T100" i="4"/>
  <c r="K100" i="4"/>
  <c r="W100" i="4"/>
  <c r="V100" i="4"/>
  <c r="U100" i="4"/>
  <c r="F100" i="4"/>
  <c r="Z99" i="4" l="1"/>
  <c r="AA99" i="4"/>
  <c r="G100" i="4"/>
  <c r="I100" i="4" s="1"/>
  <c r="Y100" i="4"/>
  <c r="AL100" i="4"/>
  <c r="S101" i="4"/>
  <c r="R101" i="4"/>
  <c r="Q101" i="4"/>
  <c r="P101" i="4"/>
  <c r="O101" i="4"/>
  <c r="N101" i="4"/>
  <c r="M101" i="4"/>
  <c r="L101" i="4"/>
  <c r="AJ101" i="4"/>
  <c r="AI101" i="4"/>
  <c r="J101" i="4"/>
  <c r="T101" i="4"/>
  <c r="V101" i="4"/>
  <c r="E101" i="4"/>
  <c r="F101" i="4"/>
  <c r="AK101" i="4"/>
  <c r="U101" i="4"/>
  <c r="W101" i="4"/>
  <c r="K101" i="4"/>
  <c r="D102" i="4"/>
  <c r="C103" i="4"/>
  <c r="B101" i="4"/>
  <c r="H101" i="4"/>
  <c r="X100" i="4"/>
  <c r="Y101" i="4" l="1"/>
  <c r="G101" i="4"/>
  <c r="I101" i="4" s="1"/>
  <c r="AL101" i="4"/>
  <c r="X101" i="4"/>
  <c r="T102" i="4"/>
  <c r="F102" i="4"/>
  <c r="J102" i="4"/>
  <c r="W102" i="4"/>
  <c r="V102" i="4"/>
  <c r="K102" i="4"/>
  <c r="E102" i="4"/>
  <c r="U102" i="4"/>
  <c r="AI102" i="4"/>
  <c r="AJ102" i="4"/>
  <c r="AK102" i="4"/>
  <c r="L102" i="4"/>
  <c r="N102" i="4"/>
  <c r="O102" i="4"/>
  <c r="P102" i="4"/>
  <c r="Q102" i="4"/>
  <c r="R102" i="4"/>
  <c r="S102" i="4"/>
  <c r="M102" i="4"/>
  <c r="B102" i="4"/>
  <c r="H102" i="4"/>
  <c r="D103" i="4"/>
  <c r="C104" i="4"/>
  <c r="Z100" i="4"/>
  <c r="AA100" i="4"/>
  <c r="AL102" i="4" l="1"/>
  <c r="G102" i="4"/>
  <c r="I102" i="4" s="1"/>
  <c r="M103" i="4"/>
  <c r="S103" i="4"/>
  <c r="Y102" i="4"/>
  <c r="Z101" i="4"/>
  <c r="AA101" i="4"/>
  <c r="B103" i="4"/>
  <c r="H103" i="4"/>
  <c r="D104" i="4"/>
  <c r="C105" i="4"/>
  <c r="X102" i="4"/>
  <c r="R103" i="4"/>
  <c r="Q103" i="4"/>
  <c r="P103" i="4"/>
  <c r="O103" i="4"/>
  <c r="N103" i="4"/>
  <c r="AK103" i="4"/>
  <c r="AI103" i="4"/>
  <c r="AJ103" i="4"/>
  <c r="L103" i="4"/>
  <c r="K103" i="4"/>
  <c r="J103" i="4"/>
  <c r="T103" i="4"/>
  <c r="F103" i="4"/>
  <c r="U103" i="4"/>
  <c r="W103" i="4"/>
  <c r="V103" i="4"/>
  <c r="E103" i="4"/>
  <c r="G103" i="4" l="1"/>
  <c r="I103" i="4" s="1"/>
  <c r="AL103" i="4"/>
  <c r="N104" i="4"/>
  <c r="Q104" i="4"/>
  <c r="O104" i="4"/>
  <c r="S104" i="4"/>
  <c r="M104" i="4"/>
  <c r="R104" i="4"/>
  <c r="P104" i="4"/>
  <c r="L104" i="4"/>
  <c r="AI104" i="4"/>
  <c r="AJ104" i="4"/>
  <c r="AK104" i="4"/>
  <c r="J104" i="4"/>
  <c r="U104" i="4"/>
  <c r="T104" i="4"/>
  <c r="W104" i="4"/>
  <c r="V104" i="4"/>
  <c r="B104" i="4"/>
  <c r="H104" i="4"/>
  <c r="D105" i="4"/>
  <c r="C106" i="4"/>
  <c r="Z102" i="4"/>
  <c r="AA102" i="4"/>
  <c r="Y103" i="4"/>
  <c r="X103" i="4"/>
  <c r="AA103" i="4" s="1"/>
  <c r="F104" i="4"/>
  <c r="K104" i="4"/>
  <c r="E104" i="4"/>
  <c r="G104" i="4" l="1"/>
  <c r="I104" i="4" s="1"/>
  <c r="X104" i="4"/>
  <c r="AA104" i="4" s="1"/>
  <c r="AK105" i="4"/>
  <c r="F105" i="4"/>
  <c r="AL104" i="4"/>
  <c r="Y104" i="4"/>
  <c r="K105" i="4"/>
  <c r="U105" i="4"/>
  <c r="T105" i="4"/>
  <c r="B105" i="4"/>
  <c r="H105" i="4"/>
  <c r="D106" i="4"/>
  <c r="C107" i="4"/>
  <c r="Z103" i="4"/>
  <c r="M105" i="4"/>
  <c r="S105" i="4"/>
  <c r="R105" i="4"/>
  <c r="Q105" i="4"/>
  <c r="P105" i="4"/>
  <c r="O105" i="4"/>
  <c r="N105" i="4"/>
  <c r="L105" i="4"/>
  <c r="AI105" i="4"/>
  <c r="AJ105" i="4"/>
  <c r="V105" i="4"/>
  <c r="W105" i="4"/>
  <c r="E105" i="4"/>
  <c r="J105" i="4"/>
  <c r="G105" i="4" l="1"/>
  <c r="I105" i="4" s="1"/>
  <c r="Z104" i="4"/>
  <c r="AL105" i="4"/>
  <c r="X105" i="4"/>
  <c r="AA105" i="4" s="1"/>
  <c r="Y105" i="4"/>
  <c r="S106" i="4"/>
  <c r="R106" i="4"/>
  <c r="Q106" i="4"/>
  <c r="P106" i="4"/>
  <c r="O106" i="4"/>
  <c r="M106" i="4"/>
  <c r="N106" i="4"/>
  <c r="L106" i="4"/>
  <c r="AI106" i="4"/>
  <c r="AJ106" i="4"/>
  <c r="AK106" i="4"/>
  <c r="J106" i="4"/>
  <c r="V106" i="4"/>
  <c r="E106" i="4"/>
  <c r="U106" i="4"/>
  <c r="K106" i="4"/>
  <c r="F106" i="4"/>
  <c r="B106" i="4"/>
  <c r="H106" i="4"/>
  <c r="D107" i="4"/>
  <c r="C108" i="4"/>
  <c r="T106" i="4"/>
  <c r="W106" i="4"/>
  <c r="Z105" i="4" l="1"/>
  <c r="AL106" i="4"/>
  <c r="G106" i="4"/>
  <c r="I106" i="4" s="1"/>
  <c r="X106" i="4"/>
  <c r="AA106" i="4" s="1"/>
  <c r="Y106" i="4"/>
  <c r="B107" i="4"/>
  <c r="H107" i="4"/>
  <c r="D108" i="4"/>
  <c r="C109" i="4"/>
  <c r="M107" i="4"/>
  <c r="S107" i="4"/>
  <c r="R107" i="4"/>
  <c r="Q107" i="4"/>
  <c r="P107" i="4"/>
  <c r="O107" i="4"/>
  <c r="N107" i="4"/>
  <c r="L107" i="4"/>
  <c r="AJ107" i="4"/>
  <c r="AK107" i="4"/>
  <c r="U107" i="4"/>
  <c r="E107" i="4"/>
  <c r="W107" i="4"/>
  <c r="K107" i="4"/>
  <c r="AI107" i="4"/>
  <c r="F107" i="4"/>
  <c r="V107" i="4"/>
  <c r="J107" i="4"/>
  <c r="T107" i="4"/>
  <c r="Q108" i="4" l="1"/>
  <c r="R108" i="4"/>
  <c r="M108" i="4"/>
  <c r="J108" i="4"/>
  <c r="Z106" i="4"/>
  <c r="O108" i="4"/>
  <c r="S108" i="4"/>
  <c r="AI108" i="4"/>
  <c r="N108" i="4"/>
  <c r="P108" i="4"/>
  <c r="L108" i="4"/>
  <c r="AJ108" i="4"/>
  <c r="K108" i="4"/>
  <c r="V108" i="4"/>
  <c r="B108" i="4"/>
  <c r="H108" i="4"/>
  <c r="D109" i="4"/>
  <c r="C110" i="4"/>
  <c r="AL107" i="4"/>
  <c r="Y107" i="4"/>
  <c r="G107" i="4"/>
  <c r="I107" i="4" s="1"/>
  <c r="X107" i="4"/>
  <c r="AA107" i="4" s="1"/>
  <c r="U108" i="4"/>
  <c r="W108" i="4"/>
  <c r="AK108" i="4"/>
  <c r="T108" i="4"/>
  <c r="E108" i="4"/>
  <c r="F108" i="4"/>
  <c r="Z107" i="4" l="1"/>
  <c r="AL108" i="4"/>
  <c r="S109" i="4"/>
  <c r="R109" i="4"/>
  <c r="Q109" i="4"/>
  <c r="P109" i="4"/>
  <c r="O109" i="4"/>
  <c r="N109" i="4"/>
  <c r="M109" i="4"/>
  <c r="K109" i="4"/>
  <c r="V109" i="4"/>
  <c r="E109" i="4"/>
  <c r="L109" i="4"/>
  <c r="J109" i="4"/>
  <c r="T109" i="4"/>
  <c r="AI109" i="4"/>
  <c r="AJ109" i="4"/>
  <c r="AK109" i="4"/>
  <c r="W109" i="4"/>
  <c r="X108" i="4"/>
  <c r="AA108" i="4" s="1"/>
  <c r="U109" i="4"/>
  <c r="F109" i="4"/>
  <c r="B109" i="4"/>
  <c r="H109" i="4"/>
  <c r="C111" i="4"/>
  <c r="D110" i="4"/>
  <c r="Y108" i="4"/>
  <c r="G108" i="4"/>
  <c r="I108" i="4" s="1"/>
  <c r="Y109" i="4" l="1"/>
  <c r="AL109" i="4"/>
  <c r="X109" i="4"/>
  <c r="G109" i="4"/>
  <c r="I109" i="4" s="1"/>
  <c r="Z108" i="4"/>
  <c r="D111" i="4"/>
  <c r="E111" i="4" s="1"/>
  <c r="C112" i="4"/>
  <c r="V110" i="4"/>
  <c r="L110" i="4"/>
  <c r="N110" i="4"/>
  <c r="O110" i="4"/>
  <c r="P110" i="4"/>
  <c r="Q110" i="4"/>
  <c r="R110" i="4"/>
  <c r="S110" i="4"/>
  <c r="M110" i="4"/>
  <c r="B110" i="4"/>
  <c r="H110" i="4"/>
  <c r="AJ110" i="4"/>
  <c r="AK110" i="4"/>
  <c r="AI110" i="4"/>
  <c r="E110" i="4"/>
  <c r="K110" i="4"/>
  <c r="T110" i="4"/>
  <c r="W110" i="4"/>
  <c r="J110" i="4"/>
  <c r="U110" i="4"/>
  <c r="F110" i="4"/>
  <c r="Z109" i="4" l="1"/>
  <c r="AA109" i="4"/>
  <c r="X110" i="4"/>
  <c r="AA110" i="4" s="1"/>
  <c r="Y110" i="4"/>
  <c r="U111" i="4"/>
  <c r="W111" i="4"/>
  <c r="V111" i="4"/>
  <c r="M111" i="4"/>
  <c r="S111" i="4"/>
  <c r="AK111" i="4"/>
  <c r="AI111" i="4"/>
  <c r="F111" i="4"/>
  <c r="G111" i="4" s="1"/>
  <c r="J111" i="4"/>
  <c r="P111" i="4"/>
  <c r="L111" i="4"/>
  <c r="T111" i="4"/>
  <c r="R111" i="4"/>
  <c r="Q111" i="4"/>
  <c r="O111" i="4"/>
  <c r="AJ111" i="4"/>
  <c r="K111" i="4"/>
  <c r="N111" i="4"/>
  <c r="B111" i="4"/>
  <c r="H111" i="4"/>
  <c r="D112" i="4"/>
  <c r="E112" i="4" s="1"/>
  <c r="C113" i="4"/>
  <c r="G110" i="4"/>
  <c r="I110" i="4" s="1"/>
  <c r="AL110" i="4"/>
  <c r="X111" i="4" l="1"/>
  <c r="AA111" i="4" s="1"/>
  <c r="Z110" i="4"/>
  <c r="Y111" i="4"/>
  <c r="AL111" i="4"/>
  <c r="I111" i="4"/>
  <c r="V112" i="4"/>
  <c r="W112" i="4"/>
  <c r="K112" i="4"/>
  <c r="N112" i="4"/>
  <c r="O112" i="4"/>
  <c r="P112" i="4"/>
  <c r="Q112" i="4"/>
  <c r="R112" i="4"/>
  <c r="S112" i="4"/>
  <c r="M112" i="4"/>
  <c r="B112" i="4"/>
  <c r="H112" i="4"/>
  <c r="D113" i="4"/>
  <c r="M113" i="4" s="1"/>
  <c r="C114" i="4"/>
  <c r="L112" i="4"/>
  <c r="AK112" i="4"/>
  <c r="AJ112" i="4"/>
  <c r="J112" i="4"/>
  <c r="F112" i="4"/>
  <c r="G112" i="4" s="1"/>
  <c r="T112" i="4"/>
  <c r="AI112" i="4"/>
  <c r="U112" i="4"/>
  <c r="Z111" i="4" l="1"/>
  <c r="X112" i="4"/>
  <c r="AA112" i="4" s="1"/>
  <c r="Y112" i="4"/>
  <c r="R113" i="4"/>
  <c r="Q113" i="4"/>
  <c r="P113" i="4"/>
  <c r="AL112" i="4"/>
  <c r="S113" i="4"/>
  <c r="O113" i="4"/>
  <c r="N113" i="4"/>
  <c r="L113" i="4"/>
  <c r="AK113" i="4"/>
  <c r="V113" i="4"/>
  <c r="J113" i="4"/>
  <c r="E113" i="4"/>
  <c r="T113" i="4"/>
  <c r="K113" i="4"/>
  <c r="F113" i="4"/>
  <c r="AJ113" i="4"/>
  <c r="AI113" i="4"/>
  <c r="B113" i="4"/>
  <c r="H113" i="4"/>
  <c r="C115" i="4"/>
  <c r="D114" i="4"/>
  <c r="I112" i="4"/>
  <c r="U113" i="4"/>
  <c r="W113" i="4"/>
  <c r="Z112" i="4" l="1"/>
  <c r="X113" i="4"/>
  <c r="AA113" i="4" s="1"/>
  <c r="G113" i="4"/>
  <c r="I113" i="4" s="1"/>
  <c r="AL113" i="4"/>
  <c r="E114" i="4"/>
  <c r="S114" i="4"/>
  <c r="R114" i="4"/>
  <c r="Q114" i="4"/>
  <c r="P114" i="4"/>
  <c r="O114" i="4"/>
  <c r="M114" i="4"/>
  <c r="N114" i="4"/>
  <c r="L114" i="4"/>
  <c r="J114" i="4"/>
  <c r="AJ114" i="4"/>
  <c r="AI114" i="4"/>
  <c r="AK114" i="4"/>
  <c r="U114" i="4"/>
  <c r="T114" i="4"/>
  <c r="F114" i="4"/>
  <c r="K114" i="4"/>
  <c r="W114" i="4"/>
  <c r="V114" i="4"/>
  <c r="C116" i="4"/>
  <c r="D115" i="4"/>
  <c r="B114" i="4"/>
  <c r="H114" i="4"/>
  <c r="Y113" i="4"/>
  <c r="X114" i="4" l="1"/>
  <c r="AA114" i="4" s="1"/>
  <c r="AL114" i="4"/>
  <c r="Z113" i="4"/>
  <c r="Y114" i="4"/>
  <c r="G114" i="4"/>
  <c r="I114" i="4" s="1"/>
  <c r="C117" i="4"/>
  <c r="D116" i="4"/>
  <c r="W116" i="4" s="1"/>
  <c r="B115" i="4"/>
  <c r="H115" i="4"/>
  <c r="M115" i="4"/>
  <c r="J115" i="4"/>
  <c r="S115" i="4"/>
  <c r="R115" i="4"/>
  <c r="Q115" i="4"/>
  <c r="P115" i="4"/>
  <c r="O115" i="4"/>
  <c r="L115" i="4"/>
  <c r="AK115" i="4"/>
  <c r="AI115" i="4"/>
  <c r="F115" i="4"/>
  <c r="W115" i="4"/>
  <c r="V115" i="4"/>
  <c r="K115" i="4"/>
  <c r="N115" i="4"/>
  <c r="AJ115" i="4"/>
  <c r="U115" i="4"/>
  <c r="T115" i="4"/>
  <c r="E115" i="4"/>
  <c r="Z114" i="4" l="1"/>
  <c r="O116" i="4"/>
  <c r="N116" i="4"/>
  <c r="AL115" i="4"/>
  <c r="K116" i="4"/>
  <c r="L116" i="4"/>
  <c r="AI116" i="4"/>
  <c r="AK116" i="4"/>
  <c r="E116" i="4"/>
  <c r="F116" i="4"/>
  <c r="V116" i="4"/>
  <c r="D117" i="4"/>
  <c r="C118" i="4"/>
  <c r="B116" i="4"/>
  <c r="U116" i="4"/>
  <c r="Y116" i="4" s="1"/>
  <c r="H116" i="4"/>
  <c r="Y115" i="4"/>
  <c r="X115" i="4"/>
  <c r="AA115" i="4" s="1"/>
  <c r="G115" i="4"/>
  <c r="I115" i="4" s="1"/>
  <c r="S116" i="4"/>
  <c r="R116" i="4"/>
  <c r="M116" i="4"/>
  <c r="Q116" i="4"/>
  <c r="P116" i="4"/>
  <c r="J116" i="4"/>
  <c r="AJ116" i="4"/>
  <c r="T116" i="4"/>
  <c r="Z115" i="4" l="1"/>
  <c r="V117" i="4"/>
  <c r="T117" i="4"/>
  <c r="AL116" i="4"/>
  <c r="G116" i="4"/>
  <c r="I116" i="4" s="1"/>
  <c r="X116" i="4"/>
  <c r="J117" i="4"/>
  <c r="AJ117" i="4"/>
  <c r="AI117" i="4"/>
  <c r="L117" i="4"/>
  <c r="AK117" i="4"/>
  <c r="N117" i="4"/>
  <c r="O117" i="4"/>
  <c r="P117" i="4"/>
  <c r="Q117" i="4"/>
  <c r="R117" i="4"/>
  <c r="S117" i="4"/>
  <c r="M117" i="4"/>
  <c r="B117" i="4"/>
  <c r="H117" i="4"/>
  <c r="D118" i="4"/>
  <c r="C119" i="4"/>
  <c r="W117" i="4"/>
  <c r="E117" i="4"/>
  <c r="K117" i="4"/>
  <c r="F117" i="4"/>
  <c r="U117" i="4"/>
  <c r="X117" i="4" l="1"/>
  <c r="AA117" i="4" s="1"/>
  <c r="G117" i="4"/>
  <c r="I117" i="4" s="1"/>
  <c r="Y117" i="4"/>
  <c r="Z116" i="4"/>
  <c r="AA116" i="4"/>
  <c r="M118" i="4"/>
  <c r="O118" i="4"/>
  <c r="P118" i="4"/>
  <c r="Q118" i="4"/>
  <c r="N118" i="4"/>
  <c r="R118" i="4"/>
  <c r="S118" i="4"/>
  <c r="B118" i="4"/>
  <c r="H118" i="4"/>
  <c r="C120" i="4"/>
  <c r="D119" i="4"/>
  <c r="AL117" i="4"/>
  <c r="L118" i="4"/>
  <c r="AJ118" i="4"/>
  <c r="AI118" i="4"/>
  <c r="AK118" i="4"/>
  <c r="E118" i="4"/>
  <c r="V118" i="4"/>
  <c r="U118" i="4"/>
  <c r="J118" i="4"/>
  <c r="T118" i="4"/>
  <c r="F118" i="4"/>
  <c r="W118" i="4"/>
  <c r="K118" i="4"/>
  <c r="AL118" i="4" l="1"/>
  <c r="Z117" i="4"/>
  <c r="X118" i="4"/>
  <c r="AA118" i="4" s="1"/>
  <c r="C121" i="4"/>
  <c r="D120" i="4"/>
  <c r="E119" i="4"/>
  <c r="W119" i="4"/>
  <c r="T119" i="4"/>
  <c r="U119" i="4"/>
  <c r="F119" i="4"/>
  <c r="J119" i="4"/>
  <c r="V119" i="4"/>
  <c r="K119" i="4"/>
  <c r="AI119" i="4"/>
  <c r="AJ119" i="4"/>
  <c r="O119" i="4"/>
  <c r="Q119" i="4"/>
  <c r="S119" i="4"/>
  <c r="B119" i="4"/>
  <c r="AK119" i="4"/>
  <c r="L119" i="4"/>
  <c r="N119" i="4"/>
  <c r="P119" i="4"/>
  <c r="R119" i="4"/>
  <c r="M119" i="4"/>
  <c r="H119" i="4"/>
  <c r="Y118" i="4"/>
  <c r="G118" i="4"/>
  <c r="I118" i="4" s="1"/>
  <c r="Z118" i="4" l="1"/>
  <c r="M120" i="4"/>
  <c r="E120" i="4"/>
  <c r="S120" i="4"/>
  <c r="R120" i="4"/>
  <c r="Q120" i="4"/>
  <c r="P120" i="4"/>
  <c r="O120" i="4"/>
  <c r="N120" i="4"/>
  <c r="L120" i="4"/>
  <c r="AK120" i="4"/>
  <c r="T120" i="4"/>
  <c r="F120" i="4"/>
  <c r="AI120" i="4"/>
  <c r="AJ120" i="4"/>
  <c r="J120" i="4"/>
  <c r="U120" i="4"/>
  <c r="W120" i="4"/>
  <c r="K120" i="4"/>
  <c r="V120" i="4"/>
  <c r="D121" i="4"/>
  <c r="C122" i="4"/>
  <c r="B120" i="4"/>
  <c r="H120" i="4"/>
  <c r="G119" i="4"/>
  <c r="I119" i="4" s="1"/>
  <c r="X119" i="4"/>
  <c r="AA119" i="4" s="1"/>
  <c r="Y119" i="4"/>
  <c r="AL119" i="4"/>
  <c r="G120" i="4" l="1"/>
  <c r="I120" i="4" s="1"/>
  <c r="Z119" i="4"/>
  <c r="AL120" i="4"/>
  <c r="X120" i="4"/>
  <c r="AA120" i="4" s="1"/>
  <c r="Y120" i="4"/>
  <c r="K121" i="4"/>
  <c r="W121" i="4"/>
  <c r="J121" i="4"/>
  <c r="F121" i="4"/>
  <c r="AJ121" i="4"/>
  <c r="V121" i="4"/>
  <c r="T121" i="4"/>
  <c r="E121" i="4"/>
  <c r="U121" i="4"/>
  <c r="AK121" i="4"/>
  <c r="AI121" i="4"/>
  <c r="B121" i="4"/>
  <c r="H121" i="4"/>
  <c r="D122" i="4"/>
  <c r="C123" i="4"/>
  <c r="S121" i="4"/>
  <c r="R121" i="4"/>
  <c r="P121" i="4"/>
  <c r="N121" i="4"/>
  <c r="L121" i="4"/>
  <c r="M121" i="4"/>
  <c r="Q121" i="4"/>
  <c r="O121" i="4"/>
  <c r="G121" i="4" l="1"/>
  <c r="I121" i="4" s="1"/>
  <c r="Z120" i="4"/>
  <c r="Y121" i="4"/>
  <c r="R122" i="4"/>
  <c r="AI122" i="4"/>
  <c r="V122" i="4"/>
  <c r="B122" i="4"/>
  <c r="H122" i="4"/>
  <c r="D123" i="4"/>
  <c r="C124" i="4"/>
  <c r="AL121" i="4"/>
  <c r="X121" i="4"/>
  <c r="F122" i="4"/>
  <c r="W122" i="4"/>
  <c r="J122" i="4"/>
  <c r="S122" i="4"/>
  <c r="AJ122" i="4"/>
  <c r="T122" i="4"/>
  <c r="Q122" i="4"/>
  <c r="O122" i="4"/>
  <c r="M122" i="4"/>
  <c r="N122" i="4"/>
  <c r="L122" i="4"/>
  <c r="AK122" i="4"/>
  <c r="K122" i="4"/>
  <c r="E122" i="4"/>
  <c r="P122" i="4"/>
  <c r="U122" i="4"/>
  <c r="Y122" i="4" l="1"/>
  <c r="AL122" i="4"/>
  <c r="X122" i="4"/>
  <c r="G122" i="4"/>
  <c r="I122" i="4" s="1"/>
  <c r="V123" i="4"/>
  <c r="K123" i="4"/>
  <c r="T123" i="4"/>
  <c r="L123" i="4"/>
  <c r="AK123" i="4"/>
  <c r="AI123" i="4"/>
  <c r="N123" i="4"/>
  <c r="AJ123" i="4"/>
  <c r="E123" i="4"/>
  <c r="U123" i="4"/>
  <c r="B123" i="4"/>
  <c r="H123" i="4"/>
  <c r="C125" i="4"/>
  <c r="D124" i="4"/>
  <c r="L124" i="4" s="1"/>
  <c r="Z121" i="4"/>
  <c r="AA121" i="4"/>
  <c r="S123" i="4"/>
  <c r="Q123" i="4"/>
  <c r="M123" i="4"/>
  <c r="R123" i="4"/>
  <c r="P123" i="4"/>
  <c r="W123" i="4"/>
  <c r="J123" i="4"/>
  <c r="F123" i="4"/>
  <c r="O123" i="4"/>
  <c r="AL123" i="4" l="1"/>
  <c r="AA122" i="4"/>
  <c r="Z122" i="4"/>
  <c r="X123" i="4"/>
  <c r="AA123" i="4" s="1"/>
  <c r="G123" i="4"/>
  <c r="I123" i="4" s="1"/>
  <c r="Y123" i="4"/>
  <c r="C126" i="4"/>
  <c r="D125" i="4"/>
  <c r="B124" i="4"/>
  <c r="N124" i="4"/>
  <c r="O124" i="4"/>
  <c r="P124" i="4"/>
  <c r="Q124" i="4"/>
  <c r="R124" i="4"/>
  <c r="M124" i="4"/>
  <c r="S124" i="4"/>
  <c r="H124" i="4"/>
  <c r="AK124" i="4"/>
  <c r="AI124" i="4"/>
  <c r="AJ124" i="4"/>
  <c r="J124" i="4"/>
  <c r="W124" i="4"/>
  <c r="V124" i="4"/>
  <c r="E124" i="4"/>
  <c r="F124" i="4"/>
  <c r="U124" i="4"/>
  <c r="K124" i="4"/>
  <c r="T124" i="4"/>
  <c r="Z123" i="4" l="1"/>
  <c r="P125" i="4"/>
  <c r="N125" i="4"/>
  <c r="S125" i="4"/>
  <c r="Q125" i="4"/>
  <c r="O125" i="4"/>
  <c r="L125" i="4"/>
  <c r="J125" i="4"/>
  <c r="AK125" i="4"/>
  <c r="V125" i="4"/>
  <c r="U125" i="4"/>
  <c r="W125" i="4"/>
  <c r="Y124" i="4"/>
  <c r="X124" i="4"/>
  <c r="AA124" i="4" s="1"/>
  <c r="M125" i="4"/>
  <c r="R125" i="4"/>
  <c r="D126" i="4"/>
  <c r="V126" i="4" s="1"/>
  <c r="C127" i="4"/>
  <c r="T125" i="4"/>
  <c r="AI125" i="4"/>
  <c r="B125" i="4"/>
  <c r="K125" i="4"/>
  <c r="AJ125" i="4"/>
  <c r="H125" i="4"/>
  <c r="AL124" i="4"/>
  <c r="G124" i="4"/>
  <c r="I124" i="4" s="1"/>
  <c r="F125" i="4"/>
  <c r="E125" i="4"/>
  <c r="Y125" i="4" l="1"/>
  <c r="X125" i="4"/>
  <c r="AL125" i="4"/>
  <c r="Z124" i="4"/>
  <c r="G125" i="4"/>
  <c r="I125" i="4" s="1"/>
  <c r="J126" i="4"/>
  <c r="W126" i="4"/>
  <c r="K126" i="4"/>
  <c r="AJ126" i="4"/>
  <c r="N126" i="4"/>
  <c r="AI126" i="4"/>
  <c r="AK126" i="4"/>
  <c r="L126" i="4"/>
  <c r="M126" i="4"/>
  <c r="O126" i="4"/>
  <c r="P126" i="4"/>
  <c r="Q126" i="4"/>
  <c r="R126" i="4"/>
  <c r="S126" i="4"/>
  <c r="B126" i="4"/>
  <c r="H126" i="4"/>
  <c r="D127" i="4"/>
  <c r="C128" i="4"/>
  <c r="U126" i="4"/>
  <c r="T126" i="4"/>
  <c r="X126" i="4" s="1"/>
  <c r="F126" i="4"/>
  <c r="E126" i="4"/>
  <c r="G126" i="4" l="1"/>
  <c r="I126" i="4" s="1"/>
  <c r="AA126" i="4"/>
  <c r="AA125" i="4"/>
  <c r="Z125" i="4"/>
  <c r="Y126" i="4"/>
  <c r="Z126" i="4" s="1"/>
  <c r="M127" i="4"/>
  <c r="AK127" i="4"/>
  <c r="L127" i="4"/>
  <c r="AJ127" i="4"/>
  <c r="O127" i="4"/>
  <c r="S127" i="4"/>
  <c r="B127" i="4"/>
  <c r="Q127" i="4"/>
  <c r="N127" i="4"/>
  <c r="P127" i="4"/>
  <c r="R127" i="4"/>
  <c r="H127" i="4"/>
  <c r="C129" i="4"/>
  <c r="D128" i="4"/>
  <c r="AL126" i="4"/>
  <c r="J127" i="4"/>
  <c r="AI127" i="4"/>
  <c r="K127" i="4"/>
  <c r="E127" i="4"/>
  <c r="F127" i="4"/>
  <c r="T127" i="4"/>
  <c r="V127" i="4"/>
  <c r="W127" i="4"/>
  <c r="U127" i="4"/>
  <c r="T128" i="4" l="1"/>
  <c r="P128" i="4"/>
  <c r="Y127" i="4"/>
  <c r="AL127" i="4"/>
  <c r="V128" i="4"/>
  <c r="AJ128" i="4"/>
  <c r="W128" i="4"/>
  <c r="N128" i="4"/>
  <c r="J128" i="4"/>
  <c r="X127" i="4"/>
  <c r="F128" i="4"/>
  <c r="E128" i="4"/>
  <c r="C130" i="4"/>
  <c r="D129" i="4"/>
  <c r="U129" i="4" s="1"/>
  <c r="G127" i="4"/>
  <c r="I127" i="4" s="1"/>
  <c r="B128" i="4"/>
  <c r="S128" i="4"/>
  <c r="Q128" i="4"/>
  <c r="AK128" i="4"/>
  <c r="AI128" i="4"/>
  <c r="U128" i="4"/>
  <c r="O128" i="4"/>
  <c r="M128" i="4"/>
  <c r="L128" i="4"/>
  <c r="K128" i="4"/>
  <c r="R128" i="4"/>
  <c r="H128" i="4"/>
  <c r="X128" i="4" l="1"/>
  <c r="AA128" i="4" s="1"/>
  <c r="Y128" i="4"/>
  <c r="Z127" i="4"/>
  <c r="AA127" i="4"/>
  <c r="G128" i="4"/>
  <c r="I128" i="4" s="1"/>
  <c r="AK129" i="4"/>
  <c r="V129" i="4"/>
  <c r="AJ129" i="4"/>
  <c r="C131" i="4"/>
  <c r="D130" i="4"/>
  <c r="AL128" i="4"/>
  <c r="B129" i="4"/>
  <c r="S129" i="4"/>
  <c r="F129" i="4"/>
  <c r="O129" i="4"/>
  <c r="L129" i="4"/>
  <c r="J129" i="4"/>
  <c r="AI129" i="4"/>
  <c r="E129" i="4"/>
  <c r="W129" i="4"/>
  <c r="Y129" i="4" s="1"/>
  <c r="T129" i="4"/>
  <c r="M129" i="4"/>
  <c r="P129" i="4"/>
  <c r="Q129" i="4"/>
  <c r="K129" i="4"/>
  <c r="H129" i="4"/>
  <c r="N129" i="4"/>
  <c r="R129" i="4"/>
  <c r="Z128" i="4" l="1"/>
  <c r="AL129" i="4"/>
  <c r="X129" i="4"/>
  <c r="G129" i="4"/>
  <c r="I129" i="4" s="1"/>
  <c r="C132" i="4"/>
  <c r="D131" i="4"/>
  <c r="F131" i="4" s="1"/>
  <c r="B130" i="4"/>
  <c r="AK130" i="4"/>
  <c r="T130" i="4"/>
  <c r="Q130" i="4"/>
  <c r="N130" i="4"/>
  <c r="O130" i="4"/>
  <c r="K130" i="4"/>
  <c r="M130" i="4"/>
  <c r="H130" i="4"/>
  <c r="S130" i="4"/>
  <c r="F130" i="4"/>
  <c r="V130" i="4"/>
  <c r="AI130" i="4"/>
  <c r="AJ130" i="4"/>
  <c r="W130" i="4"/>
  <c r="U130" i="4"/>
  <c r="R130" i="4"/>
  <c r="P130" i="4"/>
  <c r="L130" i="4"/>
  <c r="J130" i="4"/>
  <c r="E130" i="4"/>
  <c r="Z129" i="4" l="1"/>
  <c r="AA129" i="4"/>
  <c r="G130" i="4"/>
  <c r="I130" i="4" s="1"/>
  <c r="X130" i="4"/>
  <c r="AA130" i="4" s="1"/>
  <c r="C133" i="4"/>
  <c r="D132" i="4"/>
  <c r="B131" i="4"/>
  <c r="S131" i="4"/>
  <c r="Y130" i="4"/>
  <c r="AL130" i="4"/>
  <c r="W131" i="4"/>
  <c r="N131" i="4"/>
  <c r="AI131" i="4"/>
  <c r="K131" i="4"/>
  <c r="J131" i="4"/>
  <c r="V131" i="4"/>
  <c r="E131" i="4"/>
  <c r="G131" i="4" s="1"/>
  <c r="R131" i="4"/>
  <c r="AJ131" i="4"/>
  <c r="T131" i="4"/>
  <c r="AK131" i="4"/>
  <c r="U131" i="4"/>
  <c r="Q131" i="4"/>
  <c r="M131" i="4"/>
  <c r="L131" i="4"/>
  <c r="H131" i="4"/>
  <c r="O131" i="4"/>
  <c r="P131" i="4"/>
  <c r="AL131" i="4" l="1"/>
  <c r="AI132" i="4"/>
  <c r="L132" i="4"/>
  <c r="V132" i="4"/>
  <c r="O132" i="4"/>
  <c r="AK132" i="4"/>
  <c r="AJ132" i="4"/>
  <c r="Z130" i="4"/>
  <c r="X131" i="4"/>
  <c r="AA131" i="4" s="1"/>
  <c r="D133" i="4"/>
  <c r="T133" i="4" s="1"/>
  <c r="C134" i="4"/>
  <c r="I131" i="4"/>
  <c r="Y131" i="4"/>
  <c r="B132" i="4"/>
  <c r="T132" i="4"/>
  <c r="F132" i="4"/>
  <c r="W132" i="4"/>
  <c r="U132" i="4"/>
  <c r="R132" i="4"/>
  <c r="Q132" i="4"/>
  <c r="P132" i="4"/>
  <c r="N132" i="4"/>
  <c r="E132" i="4"/>
  <c r="J132" i="4"/>
  <c r="H132" i="4"/>
  <c r="K132" i="4"/>
  <c r="M132" i="4"/>
  <c r="S132" i="4"/>
  <c r="Z131" i="4" l="1"/>
  <c r="AL132" i="4"/>
  <c r="G132" i="4"/>
  <c r="I132" i="4" s="1"/>
  <c r="Y132" i="4"/>
  <c r="X132" i="4"/>
  <c r="AA132" i="4" s="1"/>
  <c r="W133" i="4"/>
  <c r="R133" i="4"/>
  <c r="E133" i="4"/>
  <c r="O133" i="4"/>
  <c r="K133" i="4"/>
  <c r="AJ133" i="4"/>
  <c r="F133" i="4"/>
  <c r="L133" i="4"/>
  <c r="J133" i="4"/>
  <c r="B133" i="4"/>
  <c r="AK133" i="4"/>
  <c r="C135" i="4"/>
  <c r="D134" i="4"/>
  <c r="P133" i="4"/>
  <c r="N133" i="4"/>
  <c r="M133" i="4"/>
  <c r="V133" i="4"/>
  <c r="X133" i="4" s="1"/>
  <c r="H133" i="4"/>
  <c r="AI133" i="4"/>
  <c r="U133" i="4"/>
  <c r="Q133" i="4"/>
  <c r="S133" i="4"/>
  <c r="G133" i="4" l="1"/>
  <c r="I133" i="4" s="1"/>
  <c r="AL133" i="4"/>
  <c r="Z132" i="4"/>
  <c r="AA133" i="4"/>
  <c r="Y133" i="4"/>
  <c r="Z133" i="4" s="1"/>
  <c r="C136" i="4"/>
  <c r="D135" i="4"/>
  <c r="W135" i="4" s="1"/>
  <c r="B134" i="4"/>
  <c r="AI134" i="4"/>
  <c r="U134" i="4"/>
  <c r="L134" i="4"/>
  <c r="Q134" i="4"/>
  <c r="T134" i="4"/>
  <c r="R134" i="4"/>
  <c r="P134" i="4"/>
  <c r="N134" i="4"/>
  <c r="O134" i="4"/>
  <c r="AK134" i="4"/>
  <c r="H134" i="4"/>
  <c r="J134" i="4"/>
  <c r="K134" i="4"/>
  <c r="V134" i="4"/>
  <c r="F134" i="4"/>
  <c r="S134" i="4"/>
  <c r="AJ134" i="4"/>
  <c r="W134" i="4"/>
  <c r="M134" i="4"/>
  <c r="E134" i="4"/>
  <c r="L135" i="4" l="1"/>
  <c r="U135" i="4"/>
  <c r="Y135" i="4" s="1"/>
  <c r="T135" i="4"/>
  <c r="P135" i="4"/>
  <c r="F135" i="4"/>
  <c r="N135" i="4"/>
  <c r="M135" i="4"/>
  <c r="G134" i="4"/>
  <c r="I134" i="4" s="1"/>
  <c r="K135" i="4"/>
  <c r="AI135" i="4"/>
  <c r="H135" i="4"/>
  <c r="E135" i="4"/>
  <c r="D136" i="4"/>
  <c r="M136" i="4" s="1"/>
  <c r="C137" i="4"/>
  <c r="Y134" i="4"/>
  <c r="X134" i="4"/>
  <c r="AA134" i="4" s="1"/>
  <c r="AL134" i="4"/>
  <c r="B135" i="4"/>
  <c r="AK135" i="4"/>
  <c r="R135" i="4"/>
  <c r="V135" i="4"/>
  <c r="AJ135" i="4"/>
  <c r="Q135" i="4"/>
  <c r="J135" i="4"/>
  <c r="S135" i="4"/>
  <c r="O135" i="4"/>
  <c r="G135" i="4" l="1"/>
  <c r="I135" i="4" s="1"/>
  <c r="X135" i="4"/>
  <c r="AL135" i="4"/>
  <c r="D137" i="4"/>
  <c r="AJ137" i="4" s="1"/>
  <c r="C138" i="4"/>
  <c r="Z134" i="4"/>
  <c r="B136" i="4"/>
  <c r="AK136" i="4"/>
  <c r="E136" i="4"/>
  <c r="T136" i="4"/>
  <c r="S136" i="4"/>
  <c r="AI136" i="4"/>
  <c r="AJ136" i="4"/>
  <c r="U136" i="4"/>
  <c r="R136" i="4"/>
  <c r="P136" i="4"/>
  <c r="W136" i="4"/>
  <c r="L136" i="4"/>
  <c r="N136" i="4"/>
  <c r="F136" i="4"/>
  <c r="K136" i="4"/>
  <c r="J136" i="4"/>
  <c r="H136" i="4"/>
  <c r="V136" i="4"/>
  <c r="O136" i="4"/>
  <c r="Q136" i="4"/>
  <c r="Z135" i="4" l="1"/>
  <c r="AA135" i="4"/>
  <c r="D138" i="4"/>
  <c r="C139" i="4"/>
  <c r="AL136" i="4"/>
  <c r="X136" i="4"/>
  <c r="AA136" i="4" s="1"/>
  <c r="G136" i="4"/>
  <c r="I136" i="4" s="1"/>
  <c r="Y136" i="4"/>
  <c r="B137" i="4"/>
  <c r="AK137" i="4"/>
  <c r="T137" i="4"/>
  <c r="O137" i="4"/>
  <c r="H137" i="4"/>
  <c r="J137" i="4"/>
  <c r="S137" i="4"/>
  <c r="E137" i="4"/>
  <c r="F137" i="4"/>
  <c r="U137" i="4"/>
  <c r="Q137" i="4"/>
  <c r="N137" i="4"/>
  <c r="K137" i="4"/>
  <c r="W137" i="4"/>
  <c r="P137" i="4"/>
  <c r="L137" i="4"/>
  <c r="V137" i="4"/>
  <c r="R137" i="4"/>
  <c r="AI137" i="4"/>
  <c r="M137" i="4"/>
  <c r="U138" i="4" l="1"/>
  <c r="AK138" i="4"/>
  <c r="W138" i="4"/>
  <c r="P138" i="4"/>
  <c r="E138" i="4"/>
  <c r="AI138" i="4"/>
  <c r="H138" i="4"/>
  <c r="C140" i="4"/>
  <c r="D139" i="4"/>
  <c r="X137" i="4"/>
  <c r="AA137" i="4" s="1"/>
  <c r="Z136" i="4"/>
  <c r="AL137" i="4"/>
  <c r="Y137" i="4"/>
  <c r="G137" i="4"/>
  <c r="I137" i="4" s="1"/>
  <c r="B138" i="4"/>
  <c r="R138" i="4"/>
  <c r="L138" i="4"/>
  <c r="J138" i="4"/>
  <c r="T138" i="4"/>
  <c r="S138" i="4"/>
  <c r="F138" i="4"/>
  <c r="AJ138" i="4"/>
  <c r="Q138" i="4"/>
  <c r="N138" i="4"/>
  <c r="M138" i="4"/>
  <c r="V138" i="4"/>
  <c r="K138" i="4"/>
  <c r="O138" i="4"/>
  <c r="Y138" i="4" l="1"/>
  <c r="AL138" i="4"/>
  <c r="G138" i="4"/>
  <c r="I138" i="4" s="1"/>
  <c r="S139" i="4"/>
  <c r="O139" i="4"/>
  <c r="AK139" i="4"/>
  <c r="AJ139" i="4"/>
  <c r="U139" i="4"/>
  <c r="R139" i="4"/>
  <c r="Z137" i="4"/>
  <c r="L139" i="4"/>
  <c r="K139" i="4"/>
  <c r="J139" i="4"/>
  <c r="V139" i="4"/>
  <c r="W139" i="4"/>
  <c r="T139" i="4"/>
  <c r="C141" i="4"/>
  <c r="D140" i="4"/>
  <c r="X138" i="4"/>
  <c r="B139" i="4"/>
  <c r="M139" i="4"/>
  <c r="Q139" i="4"/>
  <c r="P139" i="4"/>
  <c r="N139" i="4"/>
  <c r="AI139" i="4"/>
  <c r="H139" i="4"/>
  <c r="F139" i="4"/>
  <c r="E139" i="4"/>
  <c r="AL139" i="4" l="1"/>
  <c r="X139" i="4"/>
  <c r="AA139" i="4" s="1"/>
  <c r="Y139" i="4"/>
  <c r="O140" i="4"/>
  <c r="M140" i="4"/>
  <c r="L140" i="4"/>
  <c r="W140" i="4"/>
  <c r="F140" i="4"/>
  <c r="AK140" i="4"/>
  <c r="K140" i="4"/>
  <c r="J140" i="4"/>
  <c r="V140" i="4"/>
  <c r="H140" i="4"/>
  <c r="S140" i="4"/>
  <c r="N140" i="4"/>
  <c r="D141" i="4"/>
  <c r="C142" i="4"/>
  <c r="AA138" i="4"/>
  <c r="Z138" i="4"/>
  <c r="G139" i="4"/>
  <c r="I139" i="4" s="1"/>
  <c r="B140" i="4"/>
  <c r="AJ140" i="4"/>
  <c r="U140" i="4"/>
  <c r="T140" i="4"/>
  <c r="R140" i="4"/>
  <c r="Q140" i="4"/>
  <c r="P140" i="4"/>
  <c r="AI140" i="4"/>
  <c r="E140" i="4"/>
  <c r="Z139" i="4" l="1"/>
  <c r="Y140" i="4"/>
  <c r="X140" i="4"/>
  <c r="AL140" i="4"/>
  <c r="G140" i="4"/>
  <c r="I140" i="4" s="1"/>
  <c r="D142" i="4"/>
  <c r="E142" i="4" s="1"/>
  <c r="C143" i="4"/>
  <c r="B141" i="4"/>
  <c r="AJ141" i="4"/>
  <c r="U141" i="4"/>
  <c r="P141" i="4"/>
  <c r="M141" i="4"/>
  <c r="K141" i="4"/>
  <c r="S141" i="4"/>
  <c r="T141" i="4"/>
  <c r="AI141" i="4"/>
  <c r="O141" i="4"/>
  <c r="J141" i="4"/>
  <c r="R141" i="4"/>
  <c r="E141" i="4"/>
  <c r="AK141" i="4"/>
  <c r="Q141" i="4"/>
  <c r="N141" i="4"/>
  <c r="H141" i="4"/>
  <c r="F141" i="4"/>
  <c r="W141" i="4"/>
  <c r="L141" i="4"/>
  <c r="V141" i="4"/>
  <c r="Z140" i="4" l="1"/>
  <c r="AA140" i="4"/>
  <c r="U142" i="4"/>
  <c r="AJ142" i="4"/>
  <c r="B142" i="4"/>
  <c r="AK142" i="4"/>
  <c r="D143" i="4"/>
  <c r="C144" i="4"/>
  <c r="Y141" i="4"/>
  <c r="X141" i="4"/>
  <c r="AA141" i="4" s="1"/>
  <c r="G141" i="4"/>
  <c r="I141" i="4" s="1"/>
  <c r="AL141" i="4"/>
  <c r="AI142" i="4"/>
  <c r="F142" i="4"/>
  <c r="G142" i="4" s="1"/>
  <c r="W142" i="4"/>
  <c r="Q142" i="4"/>
  <c r="N142" i="4"/>
  <c r="J142" i="4"/>
  <c r="L142" i="4"/>
  <c r="H142" i="4"/>
  <c r="P142" i="4"/>
  <c r="M142" i="4"/>
  <c r="S142" i="4"/>
  <c r="K142" i="4"/>
  <c r="O142" i="4"/>
  <c r="V142" i="4"/>
  <c r="T142" i="4"/>
  <c r="R142" i="4"/>
  <c r="Y142" i="4" l="1"/>
  <c r="P143" i="4"/>
  <c r="M143" i="4"/>
  <c r="O143" i="4"/>
  <c r="K143" i="4"/>
  <c r="H143" i="4"/>
  <c r="S143" i="4"/>
  <c r="E143" i="4"/>
  <c r="L143" i="4"/>
  <c r="N143" i="4"/>
  <c r="J143" i="4"/>
  <c r="T143" i="4"/>
  <c r="Q143" i="4"/>
  <c r="AI143" i="4"/>
  <c r="AJ143" i="4"/>
  <c r="W143" i="4"/>
  <c r="V143" i="4"/>
  <c r="C145" i="4"/>
  <c r="D144" i="4"/>
  <c r="Z141" i="4"/>
  <c r="AL142" i="4"/>
  <c r="I142" i="4"/>
  <c r="X142" i="4"/>
  <c r="B143" i="4"/>
  <c r="F143" i="4"/>
  <c r="R143" i="4"/>
  <c r="AK143" i="4"/>
  <c r="U143" i="4"/>
  <c r="AK144" i="4" l="1"/>
  <c r="S144" i="4"/>
  <c r="R144" i="4"/>
  <c r="N144" i="4"/>
  <c r="M144" i="4"/>
  <c r="AL143" i="4"/>
  <c r="X143" i="4"/>
  <c r="AA143" i="4" s="1"/>
  <c r="G143" i="4"/>
  <c r="I143" i="4" s="1"/>
  <c r="Y143" i="4"/>
  <c r="L144" i="4"/>
  <c r="J144" i="4"/>
  <c r="AJ144" i="4"/>
  <c r="W144" i="4"/>
  <c r="T144" i="4"/>
  <c r="C146" i="4"/>
  <c r="D145" i="4"/>
  <c r="Z142" i="4"/>
  <c r="AA142" i="4"/>
  <c r="B144" i="4"/>
  <c r="Q144" i="4"/>
  <c r="P144" i="4"/>
  <c r="AI144" i="4"/>
  <c r="F144" i="4"/>
  <c r="O144" i="4"/>
  <c r="K144" i="4"/>
  <c r="V144" i="4"/>
  <c r="H144" i="4"/>
  <c r="E144" i="4"/>
  <c r="U144" i="4"/>
  <c r="AL144" i="4" l="1"/>
  <c r="Z143" i="4"/>
  <c r="Y144" i="4"/>
  <c r="G144" i="4"/>
  <c r="I144" i="4" s="1"/>
  <c r="X144" i="4"/>
  <c r="C147" i="4"/>
  <c r="D146" i="4"/>
  <c r="B145" i="4"/>
  <c r="H145" i="4"/>
  <c r="E145" i="4"/>
  <c r="V145" i="4"/>
  <c r="S145" i="4"/>
  <c r="O145" i="4"/>
  <c r="AJ145" i="4"/>
  <c r="N145" i="4"/>
  <c r="T145" i="4"/>
  <c r="R145" i="4"/>
  <c r="Q145" i="4"/>
  <c r="P145" i="4"/>
  <c r="K145" i="4"/>
  <c r="AI145" i="4"/>
  <c r="F145" i="4"/>
  <c r="W145" i="4"/>
  <c r="L145" i="4"/>
  <c r="M145" i="4"/>
  <c r="J145" i="4"/>
  <c r="AK145" i="4"/>
  <c r="U145" i="4"/>
  <c r="AL145" i="4" l="1"/>
  <c r="Z144" i="4"/>
  <c r="AA144" i="4"/>
  <c r="X145" i="4"/>
  <c r="AA145" i="4" s="1"/>
  <c r="Y145" i="4"/>
  <c r="C148" i="4"/>
  <c r="D147" i="4"/>
  <c r="E147" i="4" s="1"/>
  <c r="B146" i="4"/>
  <c r="E146" i="4"/>
  <c r="G145" i="4"/>
  <c r="I145" i="4" s="1"/>
  <c r="Q146" i="4"/>
  <c r="N146" i="4"/>
  <c r="AK146" i="4"/>
  <c r="T146" i="4"/>
  <c r="L146" i="4"/>
  <c r="P146" i="4"/>
  <c r="O146" i="4"/>
  <c r="V146" i="4"/>
  <c r="AI146" i="4"/>
  <c r="F146" i="4"/>
  <c r="AJ146" i="4"/>
  <c r="U146" i="4"/>
  <c r="J146" i="4"/>
  <c r="H146" i="4"/>
  <c r="R146" i="4"/>
  <c r="W146" i="4"/>
  <c r="M146" i="4"/>
  <c r="K146" i="4"/>
  <c r="S146" i="4"/>
  <c r="Z145" i="4" l="1"/>
  <c r="G146" i="4"/>
  <c r="I146" i="4" s="1"/>
  <c r="D148" i="4"/>
  <c r="C149" i="4"/>
  <c r="Y146" i="4"/>
  <c r="AL146" i="4"/>
  <c r="X146" i="4"/>
  <c r="AA146" i="4" s="1"/>
  <c r="B147" i="4"/>
  <c r="H147" i="4"/>
  <c r="R147" i="4"/>
  <c r="J147" i="4"/>
  <c r="AK147" i="4"/>
  <c r="L147" i="4"/>
  <c r="AI147" i="4"/>
  <c r="W147" i="4"/>
  <c r="T147" i="4"/>
  <c r="M147" i="4"/>
  <c r="S147" i="4"/>
  <c r="F147" i="4"/>
  <c r="G147" i="4" s="1"/>
  <c r="AJ147" i="4"/>
  <c r="U147" i="4"/>
  <c r="Q147" i="4"/>
  <c r="N147" i="4"/>
  <c r="O147" i="4"/>
  <c r="V147" i="4"/>
  <c r="P147" i="4"/>
  <c r="K147" i="4"/>
  <c r="H148" i="4" l="1"/>
  <c r="W148" i="4"/>
  <c r="U148" i="4"/>
  <c r="AK148" i="4"/>
  <c r="T148" i="4"/>
  <c r="R148" i="4"/>
  <c r="P148" i="4"/>
  <c r="Q148" i="4"/>
  <c r="N148" i="4"/>
  <c r="M148" i="4"/>
  <c r="AI148" i="4"/>
  <c r="V148" i="4"/>
  <c r="F148" i="4"/>
  <c r="AJ148" i="4"/>
  <c r="I147" i="4"/>
  <c r="C150" i="4"/>
  <c r="D149" i="4"/>
  <c r="Z146" i="4"/>
  <c r="AL147" i="4"/>
  <c r="X147" i="4"/>
  <c r="AA147" i="4" s="1"/>
  <c r="Y147" i="4"/>
  <c r="B148" i="4"/>
  <c r="E148" i="4"/>
  <c r="S148" i="4"/>
  <c r="O148" i="4"/>
  <c r="K148" i="4"/>
  <c r="J148" i="4"/>
  <c r="L148" i="4"/>
  <c r="AL148" i="4" l="1"/>
  <c r="Y148" i="4"/>
  <c r="X148" i="4"/>
  <c r="AA148" i="4" s="1"/>
  <c r="G148" i="4"/>
  <c r="I148" i="4" s="1"/>
  <c r="R149" i="4"/>
  <c r="F149" i="4"/>
  <c r="T149" i="4"/>
  <c r="AJ149" i="4"/>
  <c r="U149" i="4"/>
  <c r="Z147" i="4"/>
  <c r="C151" i="4"/>
  <c r="D150" i="4"/>
  <c r="S150" i="4" s="1"/>
  <c r="B149" i="4"/>
  <c r="N149" i="4"/>
  <c r="AI149" i="4"/>
  <c r="L149" i="4"/>
  <c r="K149" i="4"/>
  <c r="J149" i="4"/>
  <c r="H149" i="4"/>
  <c r="S149" i="4"/>
  <c r="E149" i="4"/>
  <c r="V149" i="4"/>
  <c r="O149" i="4"/>
  <c r="AK149" i="4"/>
  <c r="W149" i="4"/>
  <c r="P149" i="4"/>
  <c r="Q149" i="4"/>
  <c r="M149" i="4"/>
  <c r="Z148" i="4" l="1"/>
  <c r="X149" i="4"/>
  <c r="AA149" i="4" s="1"/>
  <c r="AL149" i="4"/>
  <c r="G149" i="4"/>
  <c r="I149" i="4" s="1"/>
  <c r="Y149" i="4"/>
  <c r="R150" i="4"/>
  <c r="N150" i="4"/>
  <c r="C152" i="4"/>
  <c r="D151" i="4"/>
  <c r="B150" i="4"/>
  <c r="V150" i="4"/>
  <c r="F150" i="4"/>
  <c r="K150" i="4"/>
  <c r="O150" i="4"/>
  <c r="AI150" i="4"/>
  <c r="AK150" i="4"/>
  <c r="AJ150" i="4"/>
  <c r="W150" i="4"/>
  <c r="U150" i="4"/>
  <c r="E150" i="4"/>
  <c r="H150" i="4"/>
  <c r="T150" i="4"/>
  <c r="Q150" i="4"/>
  <c r="P150" i="4"/>
  <c r="M150" i="4"/>
  <c r="L150" i="4"/>
  <c r="J150" i="4"/>
  <c r="X150" i="4" l="1"/>
  <c r="AA150" i="4" s="1"/>
  <c r="AL150" i="4"/>
  <c r="Z149" i="4"/>
  <c r="G150" i="4"/>
  <c r="I150" i="4" s="1"/>
  <c r="Q151" i="4"/>
  <c r="P151" i="4"/>
  <c r="N151" i="4"/>
  <c r="Y150" i="4"/>
  <c r="D152" i="4"/>
  <c r="C153" i="4"/>
  <c r="B151" i="4"/>
  <c r="AJ151" i="4"/>
  <c r="W151" i="4"/>
  <c r="U151" i="4"/>
  <c r="V151" i="4"/>
  <c r="F151" i="4"/>
  <c r="T151" i="4"/>
  <c r="S151" i="4"/>
  <c r="R151" i="4"/>
  <c r="M151" i="4"/>
  <c r="K151" i="4"/>
  <c r="J151" i="4"/>
  <c r="AK151" i="4"/>
  <c r="AI151" i="4"/>
  <c r="L151" i="4"/>
  <c r="H151" i="4"/>
  <c r="O151" i="4"/>
  <c r="E151" i="4"/>
  <c r="Z150" i="4" l="1"/>
  <c r="G151" i="4"/>
  <c r="I151" i="4" s="1"/>
  <c r="Y151" i="4"/>
  <c r="X151" i="4"/>
  <c r="AL151" i="4"/>
  <c r="M152" i="4"/>
  <c r="T152" i="4"/>
  <c r="D153" i="4"/>
  <c r="C154" i="4"/>
  <c r="B152" i="4"/>
  <c r="K152" i="4"/>
  <c r="J152" i="4"/>
  <c r="V152" i="4"/>
  <c r="O152" i="4"/>
  <c r="H152" i="4"/>
  <c r="F152" i="4"/>
  <c r="L152" i="4"/>
  <c r="AI152" i="4"/>
  <c r="E152" i="4"/>
  <c r="S152" i="4"/>
  <c r="R152" i="4"/>
  <c r="AK152" i="4"/>
  <c r="AJ152" i="4"/>
  <c r="U152" i="4"/>
  <c r="N152" i="4"/>
  <c r="Q152" i="4"/>
  <c r="W152" i="4"/>
  <c r="P152" i="4"/>
  <c r="J153" i="4" l="1"/>
  <c r="K153" i="4"/>
  <c r="R153" i="4"/>
  <c r="Q153" i="4"/>
  <c r="G152" i="4"/>
  <c r="I152" i="4" s="1"/>
  <c r="AL152" i="4"/>
  <c r="X152" i="4"/>
  <c r="AA152" i="4" s="1"/>
  <c r="Z151" i="4"/>
  <c r="AA151" i="4"/>
  <c r="H153" i="4"/>
  <c r="V153" i="4"/>
  <c r="F153" i="4"/>
  <c r="L153" i="4"/>
  <c r="Y152" i="4"/>
  <c r="B153" i="4"/>
  <c r="W153" i="4"/>
  <c r="D154" i="4"/>
  <c r="H154" i="4" s="1"/>
  <c r="C155" i="4"/>
  <c r="M153" i="4"/>
  <c r="T153" i="4"/>
  <c r="U153" i="4"/>
  <c r="AI153" i="4"/>
  <c r="E153" i="4"/>
  <c r="S153" i="4"/>
  <c r="P153" i="4"/>
  <c r="N153" i="4"/>
  <c r="O153" i="4"/>
  <c r="AJ153" i="4"/>
  <c r="AK153" i="4"/>
  <c r="AL153" i="4" l="1"/>
  <c r="X153" i="4"/>
  <c r="AA153" i="4" s="1"/>
  <c r="G153" i="4"/>
  <c r="I153" i="4" s="1"/>
  <c r="Z152" i="4"/>
  <c r="Y153" i="4"/>
  <c r="AI154" i="4"/>
  <c r="O154" i="4"/>
  <c r="T154" i="4"/>
  <c r="U154" i="4"/>
  <c r="AK154" i="4"/>
  <c r="C156" i="4"/>
  <c r="D155" i="4"/>
  <c r="P155" i="4" s="1"/>
  <c r="B154" i="4"/>
  <c r="L154" i="4"/>
  <c r="J154" i="4"/>
  <c r="W154" i="4"/>
  <c r="P154" i="4"/>
  <c r="M154" i="4"/>
  <c r="K154" i="4"/>
  <c r="V154" i="4"/>
  <c r="AJ154" i="4"/>
  <c r="F154" i="4"/>
  <c r="S154" i="4"/>
  <c r="R154" i="4"/>
  <c r="Q154" i="4"/>
  <c r="N154" i="4"/>
  <c r="E154" i="4"/>
  <c r="AL154" i="4" l="1"/>
  <c r="Z153" i="4"/>
  <c r="Y154" i="4"/>
  <c r="X154" i="4"/>
  <c r="C157" i="4"/>
  <c r="D156" i="4"/>
  <c r="G154" i="4"/>
  <c r="I154" i="4" s="1"/>
  <c r="B155" i="4"/>
  <c r="AK155" i="4"/>
  <c r="Q155" i="4"/>
  <c r="AJ155" i="4"/>
  <c r="U155" i="4"/>
  <c r="T155" i="4"/>
  <c r="S155" i="4"/>
  <c r="R155" i="4"/>
  <c r="V155" i="4"/>
  <c r="K155" i="4"/>
  <c r="J155" i="4"/>
  <c r="L155" i="4"/>
  <c r="N155" i="4"/>
  <c r="M155" i="4"/>
  <c r="AI155" i="4"/>
  <c r="H155" i="4"/>
  <c r="F155" i="4"/>
  <c r="E155" i="4"/>
  <c r="O155" i="4"/>
  <c r="W155" i="4"/>
  <c r="AI156" i="4" l="1"/>
  <c r="L156" i="4"/>
  <c r="F156" i="4"/>
  <c r="AK156" i="4"/>
  <c r="G155" i="4"/>
  <c r="I155" i="4" s="1"/>
  <c r="Z154" i="4"/>
  <c r="AA154" i="4"/>
  <c r="H156" i="4"/>
  <c r="S156" i="4"/>
  <c r="Q156" i="4"/>
  <c r="R156" i="4"/>
  <c r="P156" i="4"/>
  <c r="C158" i="4"/>
  <c r="D157" i="4"/>
  <c r="AL155" i="4"/>
  <c r="Y155" i="4"/>
  <c r="X155" i="4"/>
  <c r="AA155" i="4" s="1"/>
  <c r="B156" i="4"/>
  <c r="AJ156" i="4"/>
  <c r="W156" i="4"/>
  <c r="U156" i="4"/>
  <c r="T156" i="4"/>
  <c r="V156" i="4"/>
  <c r="J156" i="4"/>
  <c r="N156" i="4"/>
  <c r="M156" i="4"/>
  <c r="K156" i="4"/>
  <c r="O156" i="4"/>
  <c r="E156" i="4"/>
  <c r="AL156" i="4" l="1"/>
  <c r="Y156" i="4"/>
  <c r="R157" i="4"/>
  <c r="O157" i="4"/>
  <c r="G156" i="4"/>
  <c r="I156" i="4" s="1"/>
  <c r="X156" i="4"/>
  <c r="D158" i="4"/>
  <c r="L158" i="4" s="1"/>
  <c r="C159" i="4"/>
  <c r="Z155" i="4"/>
  <c r="B157" i="4"/>
  <c r="S157" i="4"/>
  <c r="L157" i="4"/>
  <c r="V157" i="4"/>
  <c r="Q157" i="4"/>
  <c r="P157" i="4"/>
  <c r="K157" i="4"/>
  <c r="N157" i="4"/>
  <c r="AK157" i="4"/>
  <c r="U157" i="4"/>
  <c r="M157" i="4"/>
  <c r="H157" i="4"/>
  <c r="AJ157" i="4"/>
  <c r="T157" i="4"/>
  <c r="J157" i="4"/>
  <c r="AI157" i="4"/>
  <c r="F157" i="4"/>
  <c r="E157" i="4"/>
  <c r="W157" i="4"/>
  <c r="X157" i="4" l="1"/>
  <c r="AA157" i="4" s="1"/>
  <c r="Y157" i="4"/>
  <c r="G157" i="4"/>
  <c r="I157" i="4" s="1"/>
  <c r="Z156" i="4"/>
  <c r="AA156" i="4"/>
  <c r="D159" i="4"/>
  <c r="K159" i="4" s="1"/>
  <c r="C160" i="4"/>
  <c r="AL157" i="4"/>
  <c r="B158" i="4"/>
  <c r="J158" i="4"/>
  <c r="V158" i="4"/>
  <c r="E158" i="4"/>
  <c r="H158" i="4"/>
  <c r="R158" i="4"/>
  <c r="AJ158" i="4"/>
  <c r="U158" i="4"/>
  <c r="S158" i="4"/>
  <c r="Q158" i="4"/>
  <c r="N158" i="4"/>
  <c r="K158" i="4"/>
  <c r="O158" i="4"/>
  <c r="AI158" i="4"/>
  <c r="F158" i="4"/>
  <c r="AK158" i="4"/>
  <c r="W158" i="4"/>
  <c r="T158" i="4"/>
  <c r="P158" i="4"/>
  <c r="M158" i="4"/>
  <c r="Z157" i="4" l="1"/>
  <c r="AL158" i="4"/>
  <c r="X158" i="4"/>
  <c r="AA158" i="4" s="1"/>
  <c r="D160" i="4"/>
  <c r="U160" i="4" s="1"/>
  <c r="C161" i="4"/>
  <c r="G158" i="4"/>
  <c r="I158" i="4" s="1"/>
  <c r="Y158" i="4"/>
  <c r="B159" i="4"/>
  <c r="E159" i="4"/>
  <c r="AK159" i="4"/>
  <c r="W159" i="4"/>
  <c r="O159" i="4"/>
  <c r="AI159" i="4"/>
  <c r="AJ159" i="4"/>
  <c r="T159" i="4"/>
  <c r="S159" i="4"/>
  <c r="R159" i="4"/>
  <c r="M159" i="4"/>
  <c r="V159" i="4"/>
  <c r="F159" i="4"/>
  <c r="U159" i="4"/>
  <c r="Q159" i="4"/>
  <c r="P159" i="4"/>
  <c r="H159" i="4"/>
  <c r="N159" i="4"/>
  <c r="J159" i="4"/>
  <c r="L159" i="4"/>
  <c r="Z158" i="4" l="1"/>
  <c r="Y159" i="4"/>
  <c r="J160" i="4"/>
  <c r="E160" i="4"/>
  <c r="X159" i="4"/>
  <c r="AA159" i="4" s="1"/>
  <c r="B160" i="4"/>
  <c r="F160" i="4"/>
  <c r="C162" i="4"/>
  <c r="D161" i="4"/>
  <c r="AL159" i="4"/>
  <c r="G159" i="4"/>
  <c r="I159" i="4" s="1"/>
  <c r="T160" i="4"/>
  <c r="S160" i="4"/>
  <c r="V160" i="4"/>
  <c r="AJ160" i="4"/>
  <c r="P160" i="4"/>
  <c r="AK160" i="4"/>
  <c r="W160" i="4"/>
  <c r="Y160" i="4" s="1"/>
  <c r="Q160" i="4"/>
  <c r="N160" i="4"/>
  <c r="L160" i="4"/>
  <c r="O160" i="4"/>
  <c r="R160" i="4"/>
  <c r="M160" i="4"/>
  <c r="H160" i="4"/>
  <c r="K160" i="4"/>
  <c r="AI160" i="4"/>
  <c r="G160" i="4" l="1"/>
  <c r="I160" i="4" s="1"/>
  <c r="Z159" i="4"/>
  <c r="U161" i="4"/>
  <c r="F161" i="4"/>
  <c r="E161" i="4"/>
  <c r="C163" i="4"/>
  <c r="D162" i="4"/>
  <c r="X160" i="4"/>
  <c r="AL160" i="4"/>
  <c r="B161" i="4"/>
  <c r="W161" i="4"/>
  <c r="S161" i="4"/>
  <c r="R161" i="4"/>
  <c r="Q161" i="4"/>
  <c r="P161" i="4"/>
  <c r="V161" i="4"/>
  <c r="N161" i="4"/>
  <c r="M161" i="4"/>
  <c r="AI161" i="4"/>
  <c r="K161" i="4"/>
  <c r="J161" i="4"/>
  <c r="O161" i="4"/>
  <c r="L161" i="4"/>
  <c r="AK161" i="4"/>
  <c r="AJ161" i="4"/>
  <c r="T161" i="4"/>
  <c r="H161" i="4"/>
  <c r="G161" i="4" l="1"/>
  <c r="I161" i="4" s="1"/>
  <c r="AL161" i="4"/>
  <c r="Y161" i="4"/>
  <c r="J162" i="4"/>
  <c r="H162" i="4"/>
  <c r="O162" i="4"/>
  <c r="N162" i="4"/>
  <c r="M162" i="4"/>
  <c r="K162" i="4"/>
  <c r="V162" i="4"/>
  <c r="E162" i="4"/>
  <c r="L162" i="4"/>
  <c r="F162" i="4"/>
  <c r="AK162" i="4"/>
  <c r="AI162" i="4"/>
  <c r="C164" i="4"/>
  <c r="D163" i="4"/>
  <c r="Z160" i="4"/>
  <c r="AA160" i="4"/>
  <c r="X161" i="4"/>
  <c r="B162" i="4"/>
  <c r="AJ162" i="4"/>
  <c r="W162" i="4"/>
  <c r="U162" i="4"/>
  <c r="T162" i="4"/>
  <c r="R162" i="4"/>
  <c r="S162" i="4"/>
  <c r="Q162" i="4"/>
  <c r="P162" i="4"/>
  <c r="Y162" i="4" l="1"/>
  <c r="R163" i="4"/>
  <c r="P163" i="4"/>
  <c r="M163" i="4"/>
  <c r="V163" i="4"/>
  <c r="H163" i="4"/>
  <c r="G162" i="4"/>
  <c r="I162" i="4" s="1"/>
  <c r="AL162" i="4"/>
  <c r="S163" i="4"/>
  <c r="Q163" i="4"/>
  <c r="F163" i="4"/>
  <c r="E163" i="4"/>
  <c r="K163" i="4"/>
  <c r="X162" i="4"/>
  <c r="B163" i="4"/>
  <c r="AJ163" i="4"/>
  <c r="U163" i="4"/>
  <c r="AK163" i="4"/>
  <c r="W163" i="4"/>
  <c r="T163" i="4"/>
  <c r="N163" i="4"/>
  <c r="O163" i="4"/>
  <c r="J163" i="4"/>
  <c r="AI163" i="4"/>
  <c r="L163" i="4"/>
  <c r="D164" i="4"/>
  <c r="C165" i="4"/>
  <c r="Z161" i="4"/>
  <c r="AA161" i="4"/>
  <c r="G163" i="4" l="1"/>
  <c r="I163" i="4" s="1"/>
  <c r="AL163" i="4"/>
  <c r="X163" i="4"/>
  <c r="AA163" i="4" s="1"/>
  <c r="Y163" i="4"/>
  <c r="V164" i="4"/>
  <c r="W164" i="4"/>
  <c r="U164" i="4"/>
  <c r="Z162" i="4"/>
  <c r="AA162" i="4"/>
  <c r="T164" i="4"/>
  <c r="E164" i="4"/>
  <c r="H164" i="4"/>
  <c r="P164" i="4"/>
  <c r="AJ164" i="4"/>
  <c r="M164" i="4"/>
  <c r="AI164" i="4"/>
  <c r="S164" i="4"/>
  <c r="N164" i="4"/>
  <c r="D165" i="4"/>
  <c r="Q165" i="4" s="1"/>
  <c r="C166" i="4"/>
  <c r="B164" i="4"/>
  <c r="K164" i="4"/>
  <c r="Q164" i="4"/>
  <c r="R164" i="4"/>
  <c r="O164" i="4"/>
  <c r="F164" i="4"/>
  <c r="AK164" i="4"/>
  <c r="J164" i="4"/>
  <c r="L164" i="4"/>
  <c r="Z163" i="4" l="1"/>
  <c r="Y164" i="4"/>
  <c r="G164" i="4"/>
  <c r="I164" i="4" s="1"/>
  <c r="X164" i="4"/>
  <c r="AL164" i="4"/>
  <c r="P165" i="4"/>
  <c r="AI165" i="4"/>
  <c r="R165" i="4"/>
  <c r="N165" i="4"/>
  <c r="M165" i="4"/>
  <c r="K165" i="4"/>
  <c r="AJ165" i="4"/>
  <c r="J165" i="4"/>
  <c r="V165" i="4"/>
  <c r="O165" i="4"/>
  <c r="H165" i="4"/>
  <c r="F165" i="4"/>
  <c r="E165" i="4"/>
  <c r="U165" i="4"/>
  <c r="L165" i="4"/>
  <c r="D166" i="4"/>
  <c r="C167" i="4"/>
  <c r="B165" i="4"/>
  <c r="AK165" i="4"/>
  <c r="W165" i="4"/>
  <c r="T165" i="4"/>
  <c r="S165" i="4"/>
  <c r="AL165" i="4" l="1"/>
  <c r="Y165" i="4"/>
  <c r="G165" i="4"/>
  <c r="I165" i="4" s="1"/>
  <c r="AA164" i="4"/>
  <c r="Z164" i="4"/>
  <c r="X165" i="4"/>
  <c r="Q166" i="4"/>
  <c r="F166" i="4"/>
  <c r="D167" i="4"/>
  <c r="R167" i="4" s="1"/>
  <c r="C168" i="4"/>
  <c r="B166" i="4"/>
  <c r="AK166" i="4"/>
  <c r="T166" i="4"/>
  <c r="U166" i="4"/>
  <c r="V166" i="4"/>
  <c r="N166" i="4"/>
  <c r="E166" i="4"/>
  <c r="S166" i="4"/>
  <c r="P166" i="4"/>
  <c r="M166" i="4"/>
  <c r="K166" i="4"/>
  <c r="J166" i="4"/>
  <c r="AI166" i="4"/>
  <c r="H166" i="4"/>
  <c r="R166" i="4"/>
  <c r="AJ166" i="4"/>
  <c r="W166" i="4"/>
  <c r="L166" i="4"/>
  <c r="O166" i="4"/>
  <c r="L167" i="4" l="1"/>
  <c r="AK167" i="4"/>
  <c r="T167" i="4"/>
  <c r="J167" i="4"/>
  <c r="U167" i="4"/>
  <c r="S167" i="4"/>
  <c r="Z165" i="4"/>
  <c r="AA165" i="4"/>
  <c r="G166" i="4"/>
  <c r="I166" i="4" s="1"/>
  <c r="O167" i="4"/>
  <c r="E167" i="4"/>
  <c r="W167" i="4"/>
  <c r="Q167" i="4"/>
  <c r="N167" i="4"/>
  <c r="M167" i="4"/>
  <c r="AI167" i="4"/>
  <c r="C169" i="4"/>
  <c r="D168" i="4"/>
  <c r="X166" i="4"/>
  <c r="AA166" i="4" s="1"/>
  <c r="AL166" i="4"/>
  <c r="Y166" i="4"/>
  <c r="B167" i="4"/>
  <c r="V167" i="4"/>
  <c r="AJ167" i="4"/>
  <c r="K167" i="4"/>
  <c r="F167" i="4"/>
  <c r="H167" i="4"/>
  <c r="P167" i="4"/>
  <c r="X167" i="4" l="1"/>
  <c r="AA167" i="4" s="1"/>
  <c r="Y167" i="4"/>
  <c r="AL167" i="4"/>
  <c r="G167" i="4"/>
  <c r="I167" i="4" s="1"/>
  <c r="Z166" i="4"/>
  <c r="C170" i="4"/>
  <c r="D169" i="4"/>
  <c r="R169" i="4" s="1"/>
  <c r="B168" i="4"/>
  <c r="V168" i="4"/>
  <c r="AJ168" i="4"/>
  <c r="F168" i="4"/>
  <c r="W168" i="4"/>
  <c r="O168" i="4"/>
  <c r="R168" i="4"/>
  <c r="J168" i="4"/>
  <c r="E168" i="4"/>
  <c r="K168" i="4"/>
  <c r="Q168" i="4"/>
  <c r="S168" i="4"/>
  <c r="AK168" i="4"/>
  <c r="U168" i="4"/>
  <c r="L168" i="4"/>
  <c r="H168" i="4"/>
  <c r="N168" i="4"/>
  <c r="AI168" i="4"/>
  <c r="T168" i="4"/>
  <c r="P168" i="4"/>
  <c r="M168" i="4"/>
  <c r="Z167" i="4" l="1"/>
  <c r="Y168" i="4"/>
  <c r="X168" i="4"/>
  <c r="G168" i="4"/>
  <c r="I168" i="4" s="1"/>
  <c r="S169" i="4"/>
  <c r="O169" i="4"/>
  <c r="P169" i="4"/>
  <c r="M169" i="4"/>
  <c r="L169" i="4"/>
  <c r="K169" i="4"/>
  <c r="Q169" i="4"/>
  <c r="N169" i="4"/>
  <c r="C171" i="4"/>
  <c r="D170" i="4"/>
  <c r="B169" i="4"/>
  <c r="W169" i="4"/>
  <c r="AL168" i="4"/>
  <c r="H169" i="4"/>
  <c r="AJ169" i="4"/>
  <c r="T169" i="4"/>
  <c r="V169" i="4"/>
  <c r="J169" i="4"/>
  <c r="F169" i="4"/>
  <c r="AI169" i="4"/>
  <c r="E169" i="4"/>
  <c r="U169" i="4"/>
  <c r="AK169" i="4"/>
  <c r="Y169" i="4" l="1"/>
  <c r="Z168" i="4"/>
  <c r="AA168" i="4"/>
  <c r="G169" i="4"/>
  <c r="I169" i="4" s="1"/>
  <c r="C172" i="4"/>
  <c r="D171" i="4"/>
  <c r="X169" i="4"/>
  <c r="AL169" i="4"/>
  <c r="B170" i="4"/>
  <c r="F170" i="4"/>
  <c r="O170" i="4"/>
  <c r="E170" i="4"/>
  <c r="S170" i="4"/>
  <c r="AI170" i="4"/>
  <c r="T170" i="4"/>
  <c r="K170" i="4"/>
  <c r="R170" i="4"/>
  <c r="Q170" i="4"/>
  <c r="P170" i="4"/>
  <c r="U170" i="4"/>
  <c r="H170" i="4"/>
  <c r="N170" i="4"/>
  <c r="M170" i="4"/>
  <c r="V170" i="4"/>
  <c r="AK170" i="4"/>
  <c r="AJ170" i="4"/>
  <c r="W170" i="4"/>
  <c r="J170" i="4"/>
  <c r="L170" i="4"/>
  <c r="G170" i="4" l="1"/>
  <c r="I170" i="4" s="1"/>
  <c r="AL170" i="4"/>
  <c r="AI171" i="4"/>
  <c r="L171" i="4"/>
  <c r="R171" i="4"/>
  <c r="H171" i="4"/>
  <c r="Q171" i="4"/>
  <c r="P171" i="4"/>
  <c r="Y170" i="4"/>
  <c r="N171" i="4"/>
  <c r="K171" i="4"/>
  <c r="V171" i="4"/>
  <c r="AK171" i="4"/>
  <c r="AJ171" i="4"/>
  <c r="W171" i="4"/>
  <c r="U171" i="4"/>
  <c r="D172" i="4"/>
  <c r="C173" i="4"/>
  <c r="B171" i="4"/>
  <c r="S171" i="4"/>
  <c r="AA169" i="4"/>
  <c r="Z169" i="4"/>
  <c r="X170" i="4"/>
  <c r="O171" i="4"/>
  <c r="E171" i="4"/>
  <c r="M171" i="4"/>
  <c r="J171" i="4"/>
  <c r="F171" i="4"/>
  <c r="T171" i="4"/>
  <c r="X171" i="4" l="1"/>
  <c r="AA171" i="4" s="1"/>
  <c r="AL171" i="4"/>
  <c r="Y171" i="4"/>
  <c r="S172" i="4"/>
  <c r="F172" i="4"/>
  <c r="C174" i="4"/>
  <c r="D173" i="4"/>
  <c r="AA170" i="4"/>
  <c r="Z170" i="4"/>
  <c r="G171" i="4"/>
  <c r="I171" i="4" s="1"/>
  <c r="B172" i="4"/>
  <c r="AK172" i="4"/>
  <c r="Q172" i="4"/>
  <c r="R172" i="4"/>
  <c r="P172" i="4"/>
  <c r="N172" i="4"/>
  <c r="AI172" i="4"/>
  <c r="L172" i="4"/>
  <c r="J172" i="4"/>
  <c r="H172" i="4"/>
  <c r="M172" i="4"/>
  <c r="K172" i="4"/>
  <c r="O172" i="4"/>
  <c r="V172" i="4"/>
  <c r="W172" i="4"/>
  <c r="E172" i="4"/>
  <c r="AJ172" i="4"/>
  <c r="U172" i="4"/>
  <c r="T172" i="4"/>
  <c r="Z171" i="4" l="1"/>
  <c r="Y172" i="4"/>
  <c r="G172" i="4"/>
  <c r="I172" i="4" s="1"/>
  <c r="X172" i="4"/>
  <c r="AA172" i="4" s="1"/>
  <c r="C175" i="4"/>
  <c r="D174" i="4"/>
  <c r="L174" i="4" s="1"/>
  <c r="AL172" i="4"/>
  <c r="B173" i="4"/>
  <c r="E173" i="4"/>
  <c r="AI173" i="4"/>
  <c r="AK173" i="4"/>
  <c r="L173" i="4"/>
  <c r="H173" i="4"/>
  <c r="AJ173" i="4"/>
  <c r="S173" i="4"/>
  <c r="U173" i="4"/>
  <c r="R173" i="4"/>
  <c r="N173" i="4"/>
  <c r="T173" i="4"/>
  <c r="M173" i="4"/>
  <c r="P173" i="4"/>
  <c r="J173" i="4"/>
  <c r="W173" i="4"/>
  <c r="V173" i="4"/>
  <c r="Q173" i="4"/>
  <c r="K173" i="4"/>
  <c r="F173" i="4"/>
  <c r="O173" i="4"/>
  <c r="X173" i="4" l="1"/>
  <c r="AA173" i="4" s="1"/>
  <c r="Z172" i="4"/>
  <c r="D175" i="4"/>
  <c r="C176" i="4"/>
  <c r="AL173" i="4"/>
  <c r="G173" i="4"/>
  <c r="I173" i="4" s="1"/>
  <c r="Y173" i="4"/>
  <c r="B174" i="4"/>
  <c r="S174" i="4"/>
  <c r="T174" i="4"/>
  <c r="E174" i="4"/>
  <c r="J174" i="4"/>
  <c r="AI174" i="4"/>
  <c r="N174" i="4"/>
  <c r="AJ174" i="4"/>
  <c r="V174" i="4"/>
  <c r="F174" i="4"/>
  <c r="AK174" i="4"/>
  <c r="H174" i="4"/>
  <c r="R174" i="4"/>
  <c r="P174" i="4"/>
  <c r="M174" i="4"/>
  <c r="O174" i="4"/>
  <c r="W174" i="4"/>
  <c r="Q174" i="4"/>
  <c r="U174" i="4"/>
  <c r="K174" i="4"/>
  <c r="Z173" i="4" l="1"/>
  <c r="W175" i="4"/>
  <c r="H175" i="4"/>
  <c r="T175" i="4"/>
  <c r="R175" i="4"/>
  <c r="Q175" i="4"/>
  <c r="F175" i="4"/>
  <c r="G174" i="4"/>
  <c r="I174" i="4" s="1"/>
  <c r="AL174" i="4"/>
  <c r="Y174" i="4"/>
  <c r="D176" i="4"/>
  <c r="C177" i="4"/>
  <c r="X174" i="4"/>
  <c r="B175" i="4"/>
  <c r="O175" i="4"/>
  <c r="V175" i="4"/>
  <c r="L175" i="4"/>
  <c r="AK175" i="4"/>
  <c r="AJ175" i="4"/>
  <c r="U175" i="4"/>
  <c r="N175" i="4"/>
  <c r="AI175" i="4"/>
  <c r="M175" i="4"/>
  <c r="E175" i="4"/>
  <c r="K175" i="4"/>
  <c r="J175" i="4"/>
  <c r="S175" i="4"/>
  <c r="P175" i="4"/>
  <c r="Y175" i="4" l="1"/>
  <c r="X175" i="4"/>
  <c r="G175" i="4"/>
  <c r="I175" i="4" s="1"/>
  <c r="D177" i="4"/>
  <c r="C178" i="4"/>
  <c r="Z174" i="4"/>
  <c r="AA174" i="4"/>
  <c r="AL175" i="4"/>
  <c r="B176" i="4"/>
  <c r="F176" i="4"/>
  <c r="AI176" i="4"/>
  <c r="K176" i="4"/>
  <c r="W176" i="4"/>
  <c r="U176" i="4"/>
  <c r="M176" i="4"/>
  <c r="Q176" i="4"/>
  <c r="H176" i="4"/>
  <c r="E176" i="4"/>
  <c r="O176" i="4"/>
  <c r="L176" i="4"/>
  <c r="AK176" i="4"/>
  <c r="AJ176" i="4"/>
  <c r="V176" i="4"/>
  <c r="T176" i="4"/>
  <c r="R176" i="4"/>
  <c r="S176" i="4"/>
  <c r="N176" i="4"/>
  <c r="J176" i="4"/>
  <c r="P176" i="4"/>
  <c r="G176" i="4" l="1"/>
  <c r="I176" i="4" s="1"/>
  <c r="Z175" i="4"/>
  <c r="AA175" i="4"/>
  <c r="AL176" i="4"/>
  <c r="D178" i="4"/>
  <c r="F178" i="4" s="1"/>
  <c r="C179" i="4"/>
  <c r="Y176" i="4"/>
  <c r="X176" i="4"/>
  <c r="AA176" i="4" s="1"/>
  <c r="B177" i="4"/>
  <c r="AK177" i="4"/>
  <c r="Q177" i="4"/>
  <c r="W177" i="4"/>
  <c r="R177" i="4"/>
  <c r="H177" i="4"/>
  <c r="K177" i="4"/>
  <c r="T177" i="4"/>
  <c r="P177" i="4"/>
  <c r="M177" i="4"/>
  <c r="J177" i="4"/>
  <c r="AI177" i="4"/>
  <c r="F177" i="4"/>
  <c r="U177" i="4"/>
  <c r="L177" i="4"/>
  <c r="AJ177" i="4"/>
  <c r="N177" i="4"/>
  <c r="O177" i="4"/>
  <c r="S177" i="4"/>
  <c r="V177" i="4"/>
  <c r="E177" i="4"/>
  <c r="Y177" i="4" l="1"/>
  <c r="G177" i="4"/>
  <c r="I177" i="4" s="1"/>
  <c r="AL177" i="4"/>
  <c r="B178" i="4"/>
  <c r="O178" i="4"/>
  <c r="C180" i="4"/>
  <c r="D179" i="4"/>
  <c r="X177" i="4"/>
  <c r="Z176" i="4"/>
  <c r="N178" i="4"/>
  <c r="J178" i="4"/>
  <c r="E178" i="4"/>
  <c r="G178" i="4" s="1"/>
  <c r="U178" i="4"/>
  <c r="T178" i="4"/>
  <c r="R178" i="4"/>
  <c r="P178" i="4"/>
  <c r="L178" i="4"/>
  <c r="M178" i="4"/>
  <c r="AI178" i="4"/>
  <c r="H178" i="4"/>
  <c r="K178" i="4"/>
  <c r="V178" i="4"/>
  <c r="AK178" i="4"/>
  <c r="AJ178" i="4"/>
  <c r="W178" i="4"/>
  <c r="S178" i="4"/>
  <c r="Q178" i="4"/>
  <c r="U179" i="4" l="1"/>
  <c r="V179" i="4"/>
  <c r="R179" i="4"/>
  <c r="AL178" i="4"/>
  <c r="Q179" i="4"/>
  <c r="P179" i="4"/>
  <c r="N179" i="4"/>
  <c r="K179" i="4"/>
  <c r="S179" i="4"/>
  <c r="D180" i="4"/>
  <c r="C181" i="4"/>
  <c r="Z177" i="4"/>
  <c r="AA177" i="4"/>
  <c r="Y178" i="4"/>
  <c r="X178" i="4"/>
  <c r="AA178" i="4" s="1"/>
  <c r="I178" i="4"/>
  <c r="B179" i="4"/>
  <c r="AI179" i="4"/>
  <c r="AK179" i="4"/>
  <c r="AJ179" i="4"/>
  <c r="L179" i="4"/>
  <c r="E179" i="4"/>
  <c r="F179" i="4"/>
  <c r="H179" i="4"/>
  <c r="M179" i="4"/>
  <c r="O179" i="4"/>
  <c r="J179" i="4"/>
  <c r="W179" i="4"/>
  <c r="T179" i="4"/>
  <c r="Y179" i="4" l="1"/>
  <c r="X179" i="4"/>
  <c r="AL179" i="4"/>
  <c r="Z178" i="4"/>
  <c r="C182" i="4"/>
  <c r="D181" i="4"/>
  <c r="U181" i="4" s="1"/>
  <c r="G179" i="4"/>
  <c r="I179" i="4" s="1"/>
  <c r="B180" i="4"/>
  <c r="N180" i="4"/>
  <c r="F180" i="4"/>
  <c r="R180" i="4"/>
  <c r="M180" i="4"/>
  <c r="Q180" i="4"/>
  <c r="H180" i="4"/>
  <c r="AJ180" i="4"/>
  <c r="V180" i="4"/>
  <c r="AK180" i="4"/>
  <c r="W180" i="4"/>
  <c r="T180" i="4"/>
  <c r="J180" i="4"/>
  <c r="AI180" i="4"/>
  <c r="U180" i="4"/>
  <c r="K180" i="4"/>
  <c r="S180" i="4"/>
  <c r="O180" i="4"/>
  <c r="L180" i="4"/>
  <c r="E180" i="4"/>
  <c r="P180" i="4"/>
  <c r="AA179" i="4" l="1"/>
  <c r="Z179" i="4"/>
  <c r="AL180" i="4"/>
  <c r="G180" i="4"/>
  <c r="I180" i="4" s="1"/>
  <c r="X180" i="4"/>
  <c r="AA180" i="4" s="1"/>
  <c r="D182" i="4"/>
  <c r="L182" i="4" s="1"/>
  <c r="C183" i="4"/>
  <c r="Y180" i="4"/>
  <c r="B181" i="4"/>
  <c r="M181" i="4"/>
  <c r="AI181" i="4"/>
  <c r="S181" i="4"/>
  <c r="K181" i="4"/>
  <c r="W181" i="4"/>
  <c r="Y181" i="4" s="1"/>
  <c r="E181" i="4"/>
  <c r="Q181" i="4"/>
  <c r="P181" i="4"/>
  <c r="N181" i="4"/>
  <c r="L181" i="4"/>
  <c r="F181" i="4"/>
  <c r="AK181" i="4"/>
  <c r="AJ181" i="4"/>
  <c r="T181" i="4"/>
  <c r="J181" i="4"/>
  <c r="H181" i="4"/>
  <c r="V181" i="4"/>
  <c r="O181" i="4"/>
  <c r="R181" i="4"/>
  <c r="AL181" i="4" l="1"/>
  <c r="Z180" i="4"/>
  <c r="B182" i="4"/>
  <c r="V182" i="4"/>
  <c r="C184" i="4"/>
  <c r="D183" i="4"/>
  <c r="G181" i="4"/>
  <c r="I181" i="4" s="1"/>
  <c r="X181" i="4"/>
  <c r="M182" i="4"/>
  <c r="J182" i="4"/>
  <c r="H182" i="4"/>
  <c r="AI182" i="4"/>
  <c r="O182" i="4"/>
  <c r="F182" i="4"/>
  <c r="E182" i="4"/>
  <c r="U182" i="4"/>
  <c r="T182" i="4"/>
  <c r="P182" i="4"/>
  <c r="N182" i="4"/>
  <c r="K182" i="4"/>
  <c r="AJ182" i="4"/>
  <c r="W182" i="4"/>
  <c r="S182" i="4"/>
  <c r="R182" i="4"/>
  <c r="Q182" i="4"/>
  <c r="AK182" i="4"/>
  <c r="AL182" i="4" l="1"/>
  <c r="Y182" i="4"/>
  <c r="F183" i="4"/>
  <c r="AK183" i="4"/>
  <c r="P183" i="4"/>
  <c r="M183" i="4"/>
  <c r="H183" i="4"/>
  <c r="E183" i="4"/>
  <c r="O183" i="4"/>
  <c r="AI183" i="4"/>
  <c r="AJ183" i="4"/>
  <c r="W183" i="4"/>
  <c r="U183" i="4"/>
  <c r="G182" i="4"/>
  <c r="I182" i="4" s="1"/>
  <c r="L183" i="4"/>
  <c r="K183" i="4"/>
  <c r="J183" i="4"/>
  <c r="T183" i="4"/>
  <c r="C185" i="4"/>
  <c r="D184" i="4"/>
  <c r="Z181" i="4"/>
  <c r="AA181" i="4"/>
  <c r="X182" i="4"/>
  <c r="B183" i="4"/>
  <c r="V183" i="4"/>
  <c r="S183" i="4"/>
  <c r="R183" i="4"/>
  <c r="Q183" i="4"/>
  <c r="N183" i="4"/>
  <c r="AL183" i="4" l="1"/>
  <c r="G183" i="4"/>
  <c r="I183" i="4" s="1"/>
  <c r="Y183" i="4"/>
  <c r="X183" i="4"/>
  <c r="C186" i="4"/>
  <c r="D185" i="4"/>
  <c r="Z182" i="4"/>
  <c r="AA182" i="4"/>
  <c r="B184" i="4"/>
  <c r="J184" i="4"/>
  <c r="M184" i="4"/>
  <c r="H184" i="4"/>
  <c r="V184" i="4"/>
  <c r="AK184" i="4"/>
  <c r="AJ184" i="4"/>
  <c r="T184" i="4"/>
  <c r="K184" i="4"/>
  <c r="R184" i="4"/>
  <c r="L184" i="4"/>
  <c r="Q184" i="4"/>
  <c r="AI184" i="4"/>
  <c r="E184" i="4"/>
  <c r="W184" i="4"/>
  <c r="U184" i="4"/>
  <c r="P184" i="4"/>
  <c r="F184" i="4"/>
  <c r="N184" i="4"/>
  <c r="S184" i="4"/>
  <c r="O184" i="4"/>
  <c r="S185" i="4" l="1"/>
  <c r="V185" i="4"/>
  <c r="O185" i="4"/>
  <c r="E185" i="4"/>
  <c r="R185" i="4"/>
  <c r="AI185" i="4"/>
  <c r="AJ185" i="4"/>
  <c r="T185" i="4"/>
  <c r="G184" i="4"/>
  <c r="I184" i="4" s="1"/>
  <c r="X184" i="4"/>
  <c r="AA184" i="4" s="1"/>
  <c r="Z183" i="4"/>
  <c r="AA183" i="4"/>
  <c r="D186" i="4"/>
  <c r="L186" i="4" s="1"/>
  <c r="C187" i="4"/>
  <c r="Y184" i="4"/>
  <c r="AL184" i="4"/>
  <c r="B185" i="4"/>
  <c r="AK185" i="4"/>
  <c r="U185" i="4"/>
  <c r="L185" i="4"/>
  <c r="F185" i="4"/>
  <c r="W185" i="4"/>
  <c r="J185" i="4"/>
  <c r="K185" i="4"/>
  <c r="H185" i="4"/>
  <c r="Q185" i="4"/>
  <c r="P185" i="4"/>
  <c r="N185" i="4"/>
  <c r="M185" i="4"/>
  <c r="X185" i="4" l="1"/>
  <c r="AA185" i="4" s="1"/>
  <c r="AL185" i="4"/>
  <c r="G185" i="4"/>
  <c r="I185" i="4" s="1"/>
  <c r="Z184" i="4"/>
  <c r="C188" i="4"/>
  <c r="D187" i="4"/>
  <c r="V187" i="4" s="1"/>
  <c r="Y185" i="4"/>
  <c r="B186" i="4"/>
  <c r="P186" i="4"/>
  <c r="E186" i="4"/>
  <c r="N186" i="4"/>
  <c r="AK186" i="4"/>
  <c r="S186" i="4"/>
  <c r="J186" i="4"/>
  <c r="F186" i="4"/>
  <c r="H186" i="4"/>
  <c r="M186" i="4"/>
  <c r="T186" i="4"/>
  <c r="R186" i="4"/>
  <c r="V186" i="4"/>
  <c r="W186" i="4"/>
  <c r="AI186" i="4"/>
  <c r="AJ186" i="4"/>
  <c r="O186" i="4"/>
  <c r="K186" i="4"/>
  <c r="U186" i="4"/>
  <c r="Q186" i="4"/>
  <c r="Z185" i="4" l="1"/>
  <c r="Y186" i="4"/>
  <c r="D188" i="4"/>
  <c r="E188" i="4" s="1"/>
  <c r="C189" i="4"/>
  <c r="G186" i="4"/>
  <c r="I186" i="4" s="1"/>
  <c r="AL186" i="4"/>
  <c r="X186" i="4"/>
  <c r="B187" i="4"/>
  <c r="E187" i="4"/>
  <c r="J187" i="4"/>
  <c r="H187" i="4"/>
  <c r="AJ187" i="4"/>
  <c r="W187" i="4"/>
  <c r="L187" i="4"/>
  <c r="O187" i="4"/>
  <c r="P187" i="4"/>
  <c r="U187" i="4"/>
  <c r="T187" i="4"/>
  <c r="X187" i="4" s="1"/>
  <c r="F187" i="4"/>
  <c r="N187" i="4"/>
  <c r="Q187" i="4"/>
  <c r="K187" i="4"/>
  <c r="S187" i="4"/>
  <c r="AK187" i="4"/>
  <c r="R187" i="4"/>
  <c r="AI187" i="4"/>
  <c r="M187" i="4"/>
  <c r="P188" i="4" l="1"/>
  <c r="AK188" i="4"/>
  <c r="T188" i="4"/>
  <c r="H188" i="4"/>
  <c r="F188" i="4"/>
  <c r="G188" i="4" s="1"/>
  <c r="V188" i="4"/>
  <c r="O188" i="4"/>
  <c r="M188" i="4"/>
  <c r="U188" i="4"/>
  <c r="R188" i="4"/>
  <c r="AA187" i="4"/>
  <c r="AI188" i="4"/>
  <c r="W188" i="4"/>
  <c r="AJ188" i="4"/>
  <c r="S188" i="4"/>
  <c r="Q188" i="4"/>
  <c r="N188" i="4"/>
  <c r="D189" i="4"/>
  <c r="C190" i="4"/>
  <c r="Z186" i="4"/>
  <c r="AA186" i="4"/>
  <c r="G187" i="4"/>
  <c r="I187" i="4" s="1"/>
  <c r="Y187" i="4"/>
  <c r="Z187" i="4" s="1"/>
  <c r="AL187" i="4"/>
  <c r="B188" i="4"/>
  <c r="L188" i="4"/>
  <c r="K188" i="4"/>
  <c r="J188" i="4"/>
  <c r="Y188" i="4" l="1"/>
  <c r="X188" i="4"/>
  <c r="I188" i="4"/>
  <c r="AL188" i="4"/>
  <c r="AK189" i="4"/>
  <c r="S189" i="4"/>
  <c r="B189" i="4"/>
  <c r="W189" i="4"/>
  <c r="D190" i="4"/>
  <c r="C191" i="4"/>
  <c r="T189" i="4"/>
  <c r="Q189" i="4"/>
  <c r="P189" i="4"/>
  <c r="N189" i="4"/>
  <c r="M189" i="4"/>
  <c r="J189" i="4"/>
  <c r="L189" i="4"/>
  <c r="E189" i="4"/>
  <c r="K189" i="4"/>
  <c r="R189" i="4"/>
  <c r="AI189" i="4"/>
  <c r="AJ189" i="4"/>
  <c r="U189" i="4"/>
  <c r="V189" i="4"/>
  <c r="H189" i="4"/>
  <c r="O189" i="4"/>
  <c r="F189" i="4"/>
  <c r="AA188" i="4" l="1"/>
  <c r="Z188" i="4"/>
  <c r="AL189" i="4"/>
  <c r="O190" i="4"/>
  <c r="V190" i="4"/>
  <c r="AK190" i="4"/>
  <c r="W190" i="4"/>
  <c r="AJ190" i="4"/>
  <c r="U190" i="4"/>
  <c r="P190" i="4"/>
  <c r="N190" i="4"/>
  <c r="AI190" i="4"/>
  <c r="Q190" i="4"/>
  <c r="M190" i="4"/>
  <c r="K190" i="4"/>
  <c r="J190" i="4"/>
  <c r="H190" i="4"/>
  <c r="L190" i="4"/>
  <c r="Y189" i="4"/>
  <c r="X189" i="4"/>
  <c r="B190" i="4"/>
  <c r="E190" i="4"/>
  <c r="T190" i="4"/>
  <c r="S190" i="4"/>
  <c r="R190" i="4"/>
  <c r="F190" i="4"/>
  <c r="C192" i="4"/>
  <c r="D191" i="4"/>
  <c r="G189" i="4"/>
  <c r="I189" i="4" s="1"/>
  <c r="X190" i="4" l="1"/>
  <c r="AA190" i="4" s="1"/>
  <c r="Y190" i="4"/>
  <c r="AL190" i="4"/>
  <c r="G190" i="4"/>
  <c r="I190" i="4" s="1"/>
  <c r="K191" i="4"/>
  <c r="J191" i="4"/>
  <c r="Q191" i="4"/>
  <c r="T191" i="4"/>
  <c r="W191" i="4"/>
  <c r="S191" i="4"/>
  <c r="AK191" i="4"/>
  <c r="N191" i="4"/>
  <c r="O191" i="4"/>
  <c r="AI191" i="4"/>
  <c r="L191" i="4"/>
  <c r="AJ191" i="4"/>
  <c r="F191" i="4"/>
  <c r="P191" i="4"/>
  <c r="U191" i="4"/>
  <c r="Z189" i="4"/>
  <c r="AA189" i="4"/>
  <c r="E191" i="4"/>
  <c r="R191" i="4"/>
  <c r="H191" i="4"/>
  <c r="C193" i="4"/>
  <c r="D192" i="4"/>
  <c r="B191" i="4"/>
  <c r="M191" i="4"/>
  <c r="V191" i="4"/>
  <c r="Y191" i="4" l="1"/>
  <c r="Z190" i="4"/>
  <c r="AL191" i="4"/>
  <c r="G191" i="4"/>
  <c r="I191" i="4" s="1"/>
  <c r="X191" i="4"/>
  <c r="P192" i="4"/>
  <c r="V192" i="4"/>
  <c r="AJ192" i="4"/>
  <c r="U192" i="4"/>
  <c r="L192" i="4"/>
  <c r="T192" i="4"/>
  <c r="S192" i="4"/>
  <c r="R192" i="4"/>
  <c r="C194" i="4"/>
  <c r="D193" i="4"/>
  <c r="Q193" i="4" s="1"/>
  <c r="B192" i="4"/>
  <c r="E192" i="4"/>
  <c r="Q192" i="4"/>
  <c r="H192" i="4"/>
  <c r="AI192" i="4"/>
  <c r="AK192" i="4"/>
  <c r="W192" i="4"/>
  <c r="N192" i="4"/>
  <c r="J192" i="4"/>
  <c r="F192" i="4"/>
  <c r="K192" i="4"/>
  <c r="O192" i="4"/>
  <c r="M192" i="4"/>
  <c r="X192" i="4" l="1"/>
  <c r="AA192" i="4" s="1"/>
  <c r="Y192" i="4"/>
  <c r="G192" i="4"/>
  <c r="I192" i="4" s="1"/>
  <c r="Z191" i="4"/>
  <c r="AA191" i="4"/>
  <c r="C195" i="4"/>
  <c r="D194" i="4"/>
  <c r="AL192" i="4"/>
  <c r="B193" i="4"/>
  <c r="E193" i="4"/>
  <c r="W193" i="4"/>
  <c r="T193" i="4"/>
  <c r="S193" i="4"/>
  <c r="P193" i="4"/>
  <c r="M193" i="4"/>
  <c r="AK193" i="4"/>
  <c r="F193" i="4"/>
  <c r="O193" i="4"/>
  <c r="N193" i="4"/>
  <c r="V193" i="4"/>
  <c r="U193" i="4"/>
  <c r="H193" i="4"/>
  <c r="K193" i="4"/>
  <c r="AI193" i="4"/>
  <c r="AJ193" i="4"/>
  <c r="J193" i="4"/>
  <c r="R193" i="4"/>
  <c r="L193" i="4"/>
  <c r="Z192" i="4" l="1"/>
  <c r="Y193" i="4"/>
  <c r="AL193" i="4"/>
  <c r="W194" i="4"/>
  <c r="O194" i="4"/>
  <c r="AJ194" i="4"/>
  <c r="T194" i="4"/>
  <c r="S194" i="4"/>
  <c r="P194" i="4"/>
  <c r="J194" i="4"/>
  <c r="H194" i="4"/>
  <c r="E194" i="4"/>
  <c r="K194" i="4"/>
  <c r="U194" i="4"/>
  <c r="C196" i="4"/>
  <c r="D195" i="4"/>
  <c r="G193" i="4"/>
  <c r="I193" i="4" s="1"/>
  <c r="X193" i="4"/>
  <c r="B194" i="4"/>
  <c r="F194" i="4"/>
  <c r="R194" i="4"/>
  <c r="M194" i="4"/>
  <c r="Q194" i="4"/>
  <c r="L194" i="4"/>
  <c r="AK194" i="4"/>
  <c r="AI194" i="4"/>
  <c r="V194" i="4"/>
  <c r="N194" i="4"/>
  <c r="Y194" i="4" l="1"/>
  <c r="G194" i="4"/>
  <c r="I194" i="4" s="1"/>
  <c r="AL194" i="4"/>
  <c r="X194" i="4"/>
  <c r="D196" i="4"/>
  <c r="C197" i="4"/>
  <c r="Z193" i="4"/>
  <c r="AA193" i="4"/>
  <c r="B195" i="4"/>
  <c r="F195" i="4"/>
  <c r="W195" i="4"/>
  <c r="T195" i="4"/>
  <c r="Q195" i="4"/>
  <c r="N195" i="4"/>
  <c r="L195" i="4"/>
  <c r="S195" i="4"/>
  <c r="J195" i="4"/>
  <c r="H195" i="4"/>
  <c r="AJ195" i="4"/>
  <c r="U195" i="4"/>
  <c r="P195" i="4"/>
  <c r="AK195" i="4"/>
  <c r="M195" i="4"/>
  <c r="V195" i="4"/>
  <c r="AI195" i="4"/>
  <c r="R195" i="4"/>
  <c r="E195" i="4"/>
  <c r="K195" i="4"/>
  <c r="O195" i="4"/>
  <c r="AJ196" i="4" l="1"/>
  <c r="W196" i="4"/>
  <c r="X195" i="4"/>
  <c r="AA195" i="4" s="1"/>
  <c r="G195" i="4"/>
  <c r="I195" i="4" s="1"/>
  <c r="Z194" i="4"/>
  <c r="AA194" i="4"/>
  <c r="C198" i="4"/>
  <c r="D197" i="4"/>
  <c r="Y195" i="4"/>
  <c r="AL195" i="4"/>
  <c r="B196" i="4"/>
  <c r="T196" i="4"/>
  <c r="S196" i="4"/>
  <c r="R196" i="4"/>
  <c r="Q196" i="4"/>
  <c r="P196" i="4"/>
  <c r="N196" i="4"/>
  <c r="M196" i="4"/>
  <c r="AI196" i="4"/>
  <c r="K196" i="4"/>
  <c r="J196" i="4"/>
  <c r="H196" i="4"/>
  <c r="E196" i="4"/>
  <c r="F196" i="4"/>
  <c r="O196" i="4"/>
  <c r="L196" i="4"/>
  <c r="V196" i="4"/>
  <c r="U196" i="4"/>
  <c r="AK196" i="4"/>
  <c r="Y196" i="4" l="1"/>
  <c r="G196" i="4"/>
  <c r="I196" i="4" s="1"/>
  <c r="Z195" i="4"/>
  <c r="AL196" i="4"/>
  <c r="D198" i="4"/>
  <c r="P198" i="4" s="1"/>
  <c r="C199" i="4"/>
  <c r="B197" i="4"/>
  <c r="P197" i="4"/>
  <c r="X196" i="4"/>
  <c r="V197" i="4"/>
  <c r="W197" i="4"/>
  <c r="S197" i="4"/>
  <c r="K197" i="4"/>
  <c r="N197" i="4"/>
  <c r="J197" i="4"/>
  <c r="O197" i="4"/>
  <c r="H197" i="4"/>
  <c r="AI197" i="4"/>
  <c r="AK197" i="4"/>
  <c r="AJ197" i="4"/>
  <c r="T197" i="4"/>
  <c r="M197" i="4"/>
  <c r="L197" i="4"/>
  <c r="E197" i="4"/>
  <c r="F197" i="4"/>
  <c r="R197" i="4"/>
  <c r="U197" i="4"/>
  <c r="Q197" i="4"/>
  <c r="AL197" i="4" l="1"/>
  <c r="F198" i="4"/>
  <c r="L198" i="4"/>
  <c r="N198" i="4"/>
  <c r="O198" i="4"/>
  <c r="V198" i="4"/>
  <c r="T198" i="4"/>
  <c r="X197" i="4"/>
  <c r="AA197" i="4" s="1"/>
  <c r="Y197" i="4"/>
  <c r="M198" i="4"/>
  <c r="K198" i="4"/>
  <c r="B198" i="4"/>
  <c r="AJ198" i="4"/>
  <c r="D199" i="4"/>
  <c r="AI199" i="4" s="1"/>
  <c r="C200" i="4"/>
  <c r="Z196" i="4"/>
  <c r="AA196" i="4"/>
  <c r="G197" i="4"/>
  <c r="I197" i="4" s="1"/>
  <c r="W198" i="4"/>
  <c r="U198" i="4"/>
  <c r="Q198" i="4"/>
  <c r="S198" i="4"/>
  <c r="E198" i="4"/>
  <c r="R198" i="4"/>
  <c r="H198" i="4"/>
  <c r="J198" i="4"/>
  <c r="AK198" i="4"/>
  <c r="AI198" i="4"/>
  <c r="G198" i="4" l="1"/>
  <c r="I198" i="4" s="1"/>
  <c r="Z197" i="4"/>
  <c r="X198" i="4"/>
  <c r="AA198" i="4" s="1"/>
  <c r="Y198" i="4"/>
  <c r="Q199" i="4"/>
  <c r="U199" i="4"/>
  <c r="D200" i="4"/>
  <c r="P200" i="4" s="1"/>
  <c r="C201" i="4"/>
  <c r="AL198" i="4"/>
  <c r="B199" i="4"/>
  <c r="S199" i="4"/>
  <c r="N199" i="4"/>
  <c r="K199" i="4"/>
  <c r="L199" i="4"/>
  <c r="O199" i="4"/>
  <c r="F199" i="4"/>
  <c r="V199" i="4"/>
  <c r="P199" i="4"/>
  <c r="J199" i="4"/>
  <c r="AK199" i="4"/>
  <c r="AL199" i="4" s="1"/>
  <c r="T199" i="4"/>
  <c r="H199" i="4"/>
  <c r="R199" i="4"/>
  <c r="M199" i="4"/>
  <c r="E199" i="4"/>
  <c r="AJ199" i="4"/>
  <c r="W199" i="4"/>
  <c r="G199" i="4" l="1"/>
  <c r="I199" i="4" s="1"/>
  <c r="Z198" i="4"/>
  <c r="Y199" i="4"/>
  <c r="U200" i="4"/>
  <c r="S200" i="4"/>
  <c r="T200" i="4"/>
  <c r="R200" i="4"/>
  <c r="AK200" i="4"/>
  <c r="AI200" i="4"/>
  <c r="V200" i="4"/>
  <c r="L200" i="4"/>
  <c r="F200" i="4"/>
  <c r="AJ200" i="4"/>
  <c r="E200" i="4"/>
  <c r="W200" i="4"/>
  <c r="Q200" i="4"/>
  <c r="K200" i="4"/>
  <c r="D201" i="4"/>
  <c r="O201" i="4" s="1"/>
  <c r="C202" i="4"/>
  <c r="X199" i="4"/>
  <c r="B200" i="4"/>
  <c r="N200" i="4"/>
  <c r="J200" i="4"/>
  <c r="O200" i="4"/>
  <c r="H200" i="4"/>
  <c r="M200" i="4"/>
  <c r="Y200" i="4" l="1"/>
  <c r="AL200" i="4"/>
  <c r="X200" i="4"/>
  <c r="AK201" i="4"/>
  <c r="S201" i="4"/>
  <c r="AI201" i="4"/>
  <c r="V201" i="4"/>
  <c r="H201" i="4"/>
  <c r="G200" i="4"/>
  <c r="I200" i="4" s="1"/>
  <c r="F201" i="4"/>
  <c r="AJ201" i="4"/>
  <c r="W201" i="4"/>
  <c r="R201" i="4"/>
  <c r="K201" i="4"/>
  <c r="J201" i="4"/>
  <c r="L201" i="4"/>
  <c r="E201" i="4"/>
  <c r="D202" i="4"/>
  <c r="C203" i="4"/>
  <c r="Z199" i="4"/>
  <c r="AA199" i="4"/>
  <c r="B201" i="4"/>
  <c r="U201" i="4"/>
  <c r="T201" i="4"/>
  <c r="Q201" i="4"/>
  <c r="P201" i="4"/>
  <c r="N201" i="4"/>
  <c r="M201" i="4"/>
  <c r="AL201" i="4" l="1"/>
  <c r="Z200" i="4"/>
  <c r="AA200" i="4"/>
  <c r="X201" i="4"/>
  <c r="AA201" i="4" s="1"/>
  <c r="G201" i="4"/>
  <c r="I201" i="4" s="1"/>
  <c r="Y201" i="4"/>
  <c r="B202" i="4"/>
  <c r="W202" i="4"/>
  <c r="C204" i="4"/>
  <c r="D203" i="4"/>
  <c r="R202" i="4"/>
  <c r="AI202" i="4"/>
  <c r="N202" i="4"/>
  <c r="M202" i="4"/>
  <c r="J202" i="4"/>
  <c r="S202" i="4"/>
  <c r="Q202" i="4"/>
  <c r="P202" i="4"/>
  <c r="AJ202" i="4"/>
  <c r="L202" i="4"/>
  <c r="F202" i="4"/>
  <c r="K202" i="4"/>
  <c r="O202" i="4"/>
  <c r="U202" i="4"/>
  <c r="V202" i="4"/>
  <c r="AK202" i="4"/>
  <c r="E202" i="4"/>
  <c r="T202" i="4"/>
  <c r="H202" i="4"/>
  <c r="Y202" i="4" l="1"/>
  <c r="AL202" i="4"/>
  <c r="Z201" i="4"/>
  <c r="V203" i="4"/>
  <c r="AK203" i="4"/>
  <c r="AJ203" i="4"/>
  <c r="W203" i="4"/>
  <c r="C205" i="4"/>
  <c r="D204" i="4"/>
  <c r="S204" i="4" s="1"/>
  <c r="G202" i="4"/>
  <c r="I202" i="4" s="1"/>
  <c r="X202" i="4"/>
  <c r="B203" i="4"/>
  <c r="U203" i="4"/>
  <c r="T203" i="4"/>
  <c r="S203" i="4"/>
  <c r="R203" i="4"/>
  <c r="Q203" i="4"/>
  <c r="M203" i="4"/>
  <c r="K203" i="4"/>
  <c r="P203" i="4"/>
  <c r="N203" i="4"/>
  <c r="AI203" i="4"/>
  <c r="F203" i="4"/>
  <c r="L203" i="4"/>
  <c r="O203" i="4"/>
  <c r="E203" i="4"/>
  <c r="J203" i="4"/>
  <c r="H203" i="4"/>
  <c r="X203" i="4" l="1"/>
  <c r="AA203" i="4" s="1"/>
  <c r="AL203" i="4"/>
  <c r="Y203" i="4"/>
  <c r="F204" i="4"/>
  <c r="W204" i="4"/>
  <c r="T204" i="4"/>
  <c r="D205" i="4"/>
  <c r="C206" i="4"/>
  <c r="B204" i="4"/>
  <c r="AK204" i="4"/>
  <c r="Z202" i="4"/>
  <c r="AA202" i="4"/>
  <c r="G203" i="4"/>
  <c r="I203" i="4" s="1"/>
  <c r="Q204" i="4"/>
  <c r="P204" i="4"/>
  <c r="M204" i="4"/>
  <c r="AI204" i="4"/>
  <c r="L204" i="4"/>
  <c r="V204" i="4"/>
  <c r="E204" i="4"/>
  <c r="O204" i="4"/>
  <c r="AJ204" i="4"/>
  <c r="U204" i="4"/>
  <c r="R204" i="4"/>
  <c r="N204" i="4"/>
  <c r="K204" i="4"/>
  <c r="H204" i="4"/>
  <c r="J204" i="4"/>
  <c r="S205" i="4" l="1"/>
  <c r="E205" i="4"/>
  <c r="G204" i="4"/>
  <c r="I204" i="4" s="1"/>
  <c r="Z203" i="4"/>
  <c r="Q205" i="4"/>
  <c r="U205" i="4"/>
  <c r="R205" i="4"/>
  <c r="T205" i="4"/>
  <c r="AJ205" i="4"/>
  <c r="AI205" i="4"/>
  <c r="AK205" i="4"/>
  <c r="Y204" i="4"/>
  <c r="B205" i="4"/>
  <c r="P205" i="4"/>
  <c r="N205" i="4"/>
  <c r="M205" i="4"/>
  <c r="K205" i="4"/>
  <c r="J205" i="4"/>
  <c r="O205" i="4"/>
  <c r="H205" i="4"/>
  <c r="V205" i="4"/>
  <c r="L205" i="4"/>
  <c r="W205" i="4"/>
  <c r="F205" i="4"/>
  <c r="AL204" i="4"/>
  <c r="X204" i="4"/>
  <c r="D206" i="4"/>
  <c r="H206" i="4" s="1"/>
  <c r="C207" i="4"/>
  <c r="G205" i="4" l="1"/>
  <c r="I205" i="4" s="1"/>
  <c r="Y205" i="4"/>
  <c r="AL205" i="4"/>
  <c r="X205" i="4"/>
  <c r="Z204" i="4"/>
  <c r="AA204" i="4"/>
  <c r="D207" i="4"/>
  <c r="C208" i="4"/>
  <c r="B206" i="4"/>
  <c r="AJ206" i="4"/>
  <c r="U206" i="4"/>
  <c r="R206" i="4"/>
  <c r="P206" i="4"/>
  <c r="AK206" i="4"/>
  <c r="W206" i="4"/>
  <c r="S206" i="4"/>
  <c r="Q206" i="4"/>
  <c r="O206" i="4"/>
  <c r="N206" i="4"/>
  <c r="V206" i="4"/>
  <c r="M206" i="4"/>
  <c r="T206" i="4"/>
  <c r="J206" i="4"/>
  <c r="L206" i="4"/>
  <c r="E206" i="4"/>
  <c r="AI206" i="4"/>
  <c r="F206" i="4"/>
  <c r="K206" i="4"/>
  <c r="AA205" i="4" l="1"/>
  <c r="Z205" i="4"/>
  <c r="X206" i="4"/>
  <c r="AA206" i="4" s="1"/>
  <c r="Y206" i="4"/>
  <c r="G206" i="4"/>
  <c r="I206" i="4" s="1"/>
  <c r="B207" i="4"/>
  <c r="L207" i="4"/>
  <c r="C209" i="4"/>
  <c r="D208" i="4"/>
  <c r="AL206" i="4"/>
  <c r="AJ207" i="4"/>
  <c r="R207" i="4"/>
  <c r="H207" i="4"/>
  <c r="AK207" i="4"/>
  <c r="P207" i="4"/>
  <c r="V207" i="4"/>
  <c r="T207" i="4"/>
  <c r="O207" i="4"/>
  <c r="U207" i="4"/>
  <c r="Q207" i="4"/>
  <c r="K207" i="4"/>
  <c r="J207" i="4"/>
  <c r="E207" i="4"/>
  <c r="N207" i="4"/>
  <c r="AI207" i="4"/>
  <c r="F207" i="4"/>
  <c r="S207" i="4"/>
  <c r="M207" i="4"/>
  <c r="W207" i="4"/>
  <c r="Z206" i="4" l="1"/>
  <c r="AL207" i="4"/>
  <c r="G207" i="4"/>
  <c r="I207" i="4" s="1"/>
  <c r="X207" i="4"/>
  <c r="AA207" i="4" s="1"/>
  <c r="W208" i="4"/>
  <c r="V208" i="4"/>
  <c r="AI208" i="4"/>
  <c r="J208" i="4"/>
  <c r="T208" i="4"/>
  <c r="C210" i="4"/>
  <c r="D209" i="4"/>
  <c r="B208" i="4"/>
  <c r="H208" i="4"/>
  <c r="Y207" i="4"/>
  <c r="S208" i="4"/>
  <c r="R208" i="4"/>
  <c r="Q208" i="4"/>
  <c r="P208" i="4"/>
  <c r="M208" i="4"/>
  <c r="L208" i="4"/>
  <c r="AK208" i="4"/>
  <c r="F208" i="4"/>
  <c r="O208" i="4"/>
  <c r="U208" i="4"/>
  <c r="K208" i="4"/>
  <c r="N208" i="4"/>
  <c r="E208" i="4"/>
  <c r="AJ208" i="4"/>
  <c r="X208" i="4" l="1"/>
  <c r="AA208" i="4" s="1"/>
  <c r="G208" i="4"/>
  <c r="I208" i="4" s="1"/>
  <c r="S209" i="4"/>
  <c r="AI209" i="4"/>
  <c r="AK209" i="4"/>
  <c r="Y208" i="4"/>
  <c r="Z207" i="4"/>
  <c r="AL208" i="4"/>
  <c r="U209" i="4"/>
  <c r="T209" i="4"/>
  <c r="C211" i="4"/>
  <c r="D210" i="4"/>
  <c r="B209" i="4"/>
  <c r="L209" i="4"/>
  <c r="M209" i="4"/>
  <c r="E209" i="4"/>
  <c r="AJ209" i="4"/>
  <c r="W209" i="4"/>
  <c r="F209" i="4"/>
  <c r="R209" i="4"/>
  <c r="Q209" i="4"/>
  <c r="P209" i="4"/>
  <c r="O209" i="4"/>
  <c r="J209" i="4"/>
  <c r="H209" i="4"/>
  <c r="N209" i="4"/>
  <c r="K209" i="4"/>
  <c r="V209" i="4"/>
  <c r="AL209" i="4" l="1"/>
  <c r="Z208" i="4"/>
  <c r="N210" i="4"/>
  <c r="AK210" i="4"/>
  <c r="AJ210" i="4"/>
  <c r="Q210" i="4"/>
  <c r="X209" i="4"/>
  <c r="AA209" i="4" s="1"/>
  <c r="Y209" i="4"/>
  <c r="M210" i="4"/>
  <c r="K210" i="4"/>
  <c r="J210" i="4"/>
  <c r="AI210" i="4"/>
  <c r="H210" i="4"/>
  <c r="O210" i="4"/>
  <c r="V210" i="4"/>
  <c r="S210" i="4"/>
  <c r="R210" i="4"/>
  <c r="P210" i="4"/>
  <c r="E210" i="4"/>
  <c r="C212" i="4"/>
  <c r="D211" i="4"/>
  <c r="R211" i="4" s="1"/>
  <c r="G209" i="4"/>
  <c r="I209" i="4" s="1"/>
  <c r="B210" i="4"/>
  <c r="W210" i="4"/>
  <c r="U210" i="4"/>
  <c r="T210" i="4"/>
  <c r="L210" i="4"/>
  <c r="F210" i="4"/>
  <c r="Z209" i="4" l="1"/>
  <c r="AL210" i="4"/>
  <c r="Y210" i="4"/>
  <c r="G210" i="4"/>
  <c r="I210" i="4" s="1"/>
  <c r="X210" i="4"/>
  <c r="D212" i="4"/>
  <c r="S212" i="4" s="1"/>
  <c r="C213" i="4"/>
  <c r="B211" i="4"/>
  <c r="V211" i="4"/>
  <c r="O211" i="4"/>
  <c r="L211" i="4"/>
  <c r="E211" i="4"/>
  <c r="AK211" i="4"/>
  <c r="AJ211" i="4"/>
  <c r="W211" i="4"/>
  <c r="U211" i="4"/>
  <c r="S211" i="4"/>
  <c r="T211" i="4"/>
  <c r="Q211" i="4"/>
  <c r="AI211" i="4"/>
  <c r="N211" i="4"/>
  <c r="M211" i="4"/>
  <c r="K211" i="4"/>
  <c r="H211" i="4"/>
  <c r="J211" i="4"/>
  <c r="P211" i="4"/>
  <c r="F211" i="4"/>
  <c r="X211" i="4" l="1"/>
  <c r="AA211" i="4" s="1"/>
  <c r="L212" i="4"/>
  <c r="AJ212" i="4"/>
  <c r="AI212" i="4"/>
  <c r="R212" i="4"/>
  <c r="Q212" i="4"/>
  <c r="P212" i="4"/>
  <c r="AL211" i="4"/>
  <c r="Y211" i="4"/>
  <c r="AA210" i="4"/>
  <c r="Z210" i="4"/>
  <c r="M212" i="4"/>
  <c r="O212" i="4"/>
  <c r="K212" i="4"/>
  <c r="H212" i="4"/>
  <c r="F212" i="4"/>
  <c r="J212" i="4"/>
  <c r="D213" i="4"/>
  <c r="C214" i="4"/>
  <c r="G211" i="4"/>
  <c r="I211" i="4" s="1"/>
  <c r="B212" i="4"/>
  <c r="N212" i="4"/>
  <c r="V212" i="4"/>
  <c r="E212" i="4"/>
  <c r="AK212" i="4"/>
  <c r="W212" i="4"/>
  <c r="U212" i="4"/>
  <c r="T212" i="4"/>
  <c r="Z211" i="4" l="1"/>
  <c r="AL212" i="4"/>
  <c r="G212" i="4"/>
  <c r="I212" i="4" s="1"/>
  <c r="C215" i="4"/>
  <c r="D214" i="4"/>
  <c r="F214" i="4" s="1"/>
  <c r="Y212" i="4"/>
  <c r="X212" i="4"/>
  <c r="AA212" i="4" s="1"/>
  <c r="B213" i="4"/>
  <c r="P213" i="4"/>
  <c r="H213" i="4"/>
  <c r="AK213" i="4"/>
  <c r="T213" i="4"/>
  <c r="E213" i="4"/>
  <c r="J213" i="4"/>
  <c r="O213" i="4"/>
  <c r="L213" i="4"/>
  <c r="AJ213" i="4"/>
  <c r="V213" i="4"/>
  <c r="R213" i="4"/>
  <c r="W213" i="4"/>
  <c r="U213" i="4"/>
  <c r="S213" i="4"/>
  <c r="M213" i="4"/>
  <c r="F213" i="4"/>
  <c r="Q213" i="4"/>
  <c r="N213" i="4"/>
  <c r="K213" i="4"/>
  <c r="AI213" i="4"/>
  <c r="G213" i="4" l="1"/>
  <c r="I213" i="4" s="1"/>
  <c r="C216" i="4"/>
  <c r="D215" i="4"/>
  <c r="Z212" i="4"/>
  <c r="AL213" i="4"/>
  <c r="X213" i="4"/>
  <c r="AA213" i="4" s="1"/>
  <c r="Y213" i="4"/>
  <c r="B214" i="4"/>
  <c r="W214" i="4"/>
  <c r="AI214" i="4"/>
  <c r="S214" i="4"/>
  <c r="R214" i="4"/>
  <c r="Q214" i="4"/>
  <c r="P214" i="4"/>
  <c r="V214" i="4"/>
  <c r="K214" i="4"/>
  <c r="AK214" i="4"/>
  <c r="N214" i="4"/>
  <c r="M214" i="4"/>
  <c r="J214" i="4"/>
  <c r="H214" i="4"/>
  <c r="O214" i="4"/>
  <c r="L214" i="4"/>
  <c r="AJ214" i="4"/>
  <c r="U214" i="4"/>
  <c r="T214" i="4"/>
  <c r="E214" i="4"/>
  <c r="G214" i="4" s="1"/>
  <c r="Y214" i="4" l="1"/>
  <c r="Z213" i="4"/>
  <c r="K215" i="4"/>
  <c r="O215" i="4"/>
  <c r="C217" i="4"/>
  <c r="D216" i="4"/>
  <c r="AL214" i="4"/>
  <c r="I214" i="4"/>
  <c r="X214" i="4"/>
  <c r="B215" i="4"/>
  <c r="J215" i="4"/>
  <c r="H215" i="4"/>
  <c r="E215" i="4"/>
  <c r="AK215" i="4"/>
  <c r="AJ215" i="4"/>
  <c r="W215" i="4"/>
  <c r="U215" i="4"/>
  <c r="T215" i="4"/>
  <c r="S215" i="4"/>
  <c r="R215" i="4"/>
  <c r="Q215" i="4"/>
  <c r="P215" i="4"/>
  <c r="N215" i="4"/>
  <c r="F215" i="4"/>
  <c r="L215" i="4"/>
  <c r="M215" i="4"/>
  <c r="AI215" i="4"/>
  <c r="V215" i="4"/>
  <c r="X215" i="4" l="1"/>
  <c r="AA215" i="4" s="1"/>
  <c r="D217" i="4"/>
  <c r="M217" i="4" s="1"/>
  <c r="C218" i="4"/>
  <c r="Z214" i="4"/>
  <c r="AA214" i="4"/>
  <c r="G215" i="4"/>
  <c r="I215" i="4" s="1"/>
  <c r="Y215" i="4"/>
  <c r="AL215" i="4"/>
  <c r="B216" i="4"/>
  <c r="V216" i="4"/>
  <c r="J216" i="4"/>
  <c r="AJ216" i="4"/>
  <c r="R216" i="4"/>
  <c r="T216" i="4"/>
  <c r="S216" i="4"/>
  <c r="Q216" i="4"/>
  <c r="N216" i="4"/>
  <c r="K216" i="4"/>
  <c r="H216" i="4"/>
  <c r="F216" i="4"/>
  <c r="AI216" i="4"/>
  <c r="E216" i="4"/>
  <c r="O216" i="4"/>
  <c r="L216" i="4"/>
  <c r="P216" i="4"/>
  <c r="M216" i="4"/>
  <c r="AK216" i="4"/>
  <c r="W216" i="4"/>
  <c r="U216" i="4"/>
  <c r="G216" i="4" l="1"/>
  <c r="I216" i="4" s="1"/>
  <c r="Z215" i="4"/>
  <c r="AL216" i="4"/>
  <c r="Y216" i="4"/>
  <c r="W217" i="4"/>
  <c r="N217" i="4"/>
  <c r="O217" i="4"/>
  <c r="K217" i="4"/>
  <c r="F217" i="4"/>
  <c r="L217" i="4"/>
  <c r="D218" i="4"/>
  <c r="V218" i="4" s="1"/>
  <c r="C219" i="4"/>
  <c r="X216" i="4"/>
  <c r="B217" i="4"/>
  <c r="AI217" i="4"/>
  <c r="U217" i="4"/>
  <c r="T217" i="4"/>
  <c r="S217" i="4"/>
  <c r="R217" i="4"/>
  <c r="Q217" i="4"/>
  <c r="J217" i="4"/>
  <c r="V217" i="4"/>
  <c r="AK217" i="4"/>
  <c r="E217" i="4"/>
  <c r="P217" i="4"/>
  <c r="H217" i="4"/>
  <c r="AJ217" i="4"/>
  <c r="G217" i="4" l="1"/>
  <c r="I217" i="4" s="1"/>
  <c r="H218" i="4"/>
  <c r="AI218" i="4"/>
  <c r="AJ218" i="4"/>
  <c r="U218" i="4"/>
  <c r="J218" i="4"/>
  <c r="F218" i="4"/>
  <c r="E218" i="4"/>
  <c r="O218" i="4"/>
  <c r="AK218" i="4"/>
  <c r="Y217" i="4"/>
  <c r="D219" i="4"/>
  <c r="L219" i="4" s="1"/>
  <c r="C220" i="4"/>
  <c r="AA216" i="4"/>
  <c r="Z216" i="4"/>
  <c r="AL217" i="4"/>
  <c r="X217" i="4"/>
  <c r="B218" i="4"/>
  <c r="W218" i="4"/>
  <c r="T218" i="4"/>
  <c r="X218" i="4" s="1"/>
  <c r="S218" i="4"/>
  <c r="R218" i="4"/>
  <c r="Q218" i="4"/>
  <c r="P218" i="4"/>
  <c r="M218" i="4"/>
  <c r="N218" i="4"/>
  <c r="L218" i="4"/>
  <c r="K218" i="4"/>
  <c r="AL218" i="4" l="1"/>
  <c r="Y218" i="4"/>
  <c r="Z218" i="4" s="1"/>
  <c r="AA218" i="4"/>
  <c r="G218" i="4"/>
  <c r="I218" i="4" s="1"/>
  <c r="V219" i="4"/>
  <c r="AK219" i="4"/>
  <c r="AJ219" i="4"/>
  <c r="W219" i="4"/>
  <c r="U219" i="4"/>
  <c r="T219" i="4"/>
  <c r="R219" i="4"/>
  <c r="S219" i="4"/>
  <c r="D220" i="4"/>
  <c r="C221" i="4"/>
  <c r="Z217" i="4"/>
  <c r="AA217" i="4"/>
  <c r="B219" i="4"/>
  <c r="Q219" i="4"/>
  <c r="J219" i="4"/>
  <c r="P219" i="4"/>
  <c r="M219" i="4"/>
  <c r="E219" i="4"/>
  <c r="K219" i="4"/>
  <c r="N219" i="4"/>
  <c r="O219" i="4"/>
  <c r="H219" i="4"/>
  <c r="F219" i="4"/>
  <c r="AI219" i="4"/>
  <c r="Y219" i="4" l="1"/>
  <c r="AL219" i="4"/>
  <c r="X219" i="4"/>
  <c r="AA219" i="4" s="1"/>
  <c r="J220" i="4"/>
  <c r="H220" i="4"/>
  <c r="O220" i="4"/>
  <c r="L220" i="4"/>
  <c r="E220" i="4"/>
  <c r="F220" i="4"/>
  <c r="AI220" i="4"/>
  <c r="AK220" i="4"/>
  <c r="B220" i="4"/>
  <c r="K220" i="4"/>
  <c r="C222" i="4"/>
  <c r="D221" i="4"/>
  <c r="G219" i="4"/>
  <c r="I219" i="4" s="1"/>
  <c r="AJ220" i="4"/>
  <c r="W220" i="4"/>
  <c r="U220" i="4"/>
  <c r="Q220" i="4"/>
  <c r="P220" i="4"/>
  <c r="N220" i="4"/>
  <c r="M220" i="4"/>
  <c r="T220" i="4"/>
  <c r="S220" i="4"/>
  <c r="R220" i="4"/>
  <c r="V220" i="4"/>
  <c r="Z219" i="4" l="1"/>
  <c r="Y220" i="4"/>
  <c r="AL220" i="4"/>
  <c r="X220" i="4"/>
  <c r="G220" i="4"/>
  <c r="I220" i="4" s="1"/>
  <c r="E221" i="4"/>
  <c r="AI221" i="4"/>
  <c r="H221" i="4"/>
  <c r="P221" i="4"/>
  <c r="M221" i="4"/>
  <c r="J221" i="4"/>
  <c r="K221" i="4"/>
  <c r="U221" i="4"/>
  <c r="C223" i="4"/>
  <c r="D222" i="4"/>
  <c r="B221" i="4"/>
  <c r="Q221" i="4"/>
  <c r="V221" i="4"/>
  <c r="F221" i="4"/>
  <c r="N221" i="4"/>
  <c r="AJ221" i="4"/>
  <c r="AK221" i="4"/>
  <c r="W221" i="4"/>
  <c r="T221" i="4"/>
  <c r="S221" i="4"/>
  <c r="R221" i="4"/>
  <c r="O221" i="4"/>
  <c r="L221" i="4"/>
  <c r="AL221" i="4" l="1"/>
  <c r="AA220" i="4"/>
  <c r="Z220" i="4"/>
  <c r="AK222" i="4"/>
  <c r="K222" i="4"/>
  <c r="J222" i="4"/>
  <c r="L222" i="4"/>
  <c r="G221" i="4"/>
  <c r="I221" i="4" s="1"/>
  <c r="U222" i="4"/>
  <c r="M222" i="4"/>
  <c r="R222" i="4"/>
  <c r="Q222" i="4"/>
  <c r="N222" i="4"/>
  <c r="F222" i="4"/>
  <c r="AJ222" i="4"/>
  <c r="T222" i="4"/>
  <c r="H222" i="4"/>
  <c r="V222" i="4"/>
  <c r="E222" i="4"/>
  <c r="Y221" i="4"/>
  <c r="C224" i="4"/>
  <c r="D223" i="4"/>
  <c r="B222" i="4"/>
  <c r="S222" i="4"/>
  <c r="X221" i="4"/>
  <c r="P222" i="4"/>
  <c r="O222" i="4"/>
  <c r="W222" i="4"/>
  <c r="AI222" i="4"/>
  <c r="X222" i="4" l="1"/>
  <c r="AA222" i="4" s="1"/>
  <c r="AL222" i="4"/>
  <c r="G222" i="4"/>
  <c r="I222" i="4" s="1"/>
  <c r="Y222" i="4"/>
  <c r="C225" i="4"/>
  <c r="D224" i="4"/>
  <c r="B223" i="4"/>
  <c r="P223" i="4"/>
  <c r="Z221" i="4"/>
  <c r="AA221" i="4"/>
  <c r="S223" i="4"/>
  <c r="Q223" i="4"/>
  <c r="O223" i="4"/>
  <c r="M223" i="4"/>
  <c r="H223" i="4"/>
  <c r="U223" i="4"/>
  <c r="L223" i="4"/>
  <c r="V223" i="4"/>
  <c r="K223" i="4"/>
  <c r="F223" i="4"/>
  <c r="AI223" i="4"/>
  <c r="E223" i="4"/>
  <c r="AK223" i="4"/>
  <c r="AJ223" i="4"/>
  <c r="W223" i="4"/>
  <c r="T223" i="4"/>
  <c r="R223" i="4"/>
  <c r="N223" i="4"/>
  <c r="J223" i="4"/>
  <c r="Z222" i="4" l="1"/>
  <c r="R224" i="4"/>
  <c r="P224" i="4"/>
  <c r="N224" i="4"/>
  <c r="K224" i="4"/>
  <c r="T224" i="4"/>
  <c r="Q224" i="4"/>
  <c r="Y223" i="4"/>
  <c r="AL223" i="4"/>
  <c r="S224" i="4"/>
  <c r="M224" i="4"/>
  <c r="J224" i="4"/>
  <c r="O224" i="4"/>
  <c r="F224" i="4"/>
  <c r="E224" i="4"/>
  <c r="L224" i="4"/>
  <c r="H224" i="4"/>
  <c r="AI224" i="4"/>
  <c r="AK224" i="4"/>
  <c r="AJ224" i="4"/>
  <c r="D225" i="4"/>
  <c r="M225" i="4" s="1"/>
  <c r="C226" i="4"/>
  <c r="G223" i="4"/>
  <c r="I223" i="4" s="1"/>
  <c r="X223" i="4"/>
  <c r="B224" i="4"/>
  <c r="W224" i="4"/>
  <c r="U224" i="4"/>
  <c r="V224" i="4"/>
  <c r="X224" i="4" l="1"/>
  <c r="AA224" i="4" s="1"/>
  <c r="Y224" i="4"/>
  <c r="G224" i="4"/>
  <c r="I224" i="4" s="1"/>
  <c r="AL224" i="4"/>
  <c r="D226" i="4"/>
  <c r="C227" i="4"/>
  <c r="Z223" i="4"/>
  <c r="AA223" i="4"/>
  <c r="B225" i="4"/>
  <c r="AI225" i="4"/>
  <c r="W225" i="4"/>
  <c r="O225" i="4"/>
  <c r="P225" i="4"/>
  <c r="V225" i="4"/>
  <c r="AJ225" i="4"/>
  <c r="F225" i="4"/>
  <c r="AK225" i="4"/>
  <c r="N225" i="4"/>
  <c r="T225" i="4"/>
  <c r="S225" i="4"/>
  <c r="R225" i="4"/>
  <c r="Q225" i="4"/>
  <c r="K225" i="4"/>
  <c r="J225" i="4"/>
  <c r="H225" i="4"/>
  <c r="L225" i="4"/>
  <c r="U225" i="4"/>
  <c r="E225" i="4"/>
  <c r="Z224" i="4" l="1"/>
  <c r="Y225" i="4"/>
  <c r="F226" i="4"/>
  <c r="AK226" i="4"/>
  <c r="AL225" i="4"/>
  <c r="G225" i="4"/>
  <c r="I225" i="4" s="1"/>
  <c r="W226" i="4"/>
  <c r="AI226" i="4"/>
  <c r="S226" i="4"/>
  <c r="Q226" i="4"/>
  <c r="P226" i="4"/>
  <c r="K226" i="4"/>
  <c r="H226" i="4"/>
  <c r="O226" i="4"/>
  <c r="E226" i="4"/>
  <c r="AJ226" i="4"/>
  <c r="U226" i="4"/>
  <c r="J226" i="4"/>
  <c r="T226" i="4"/>
  <c r="C228" i="4"/>
  <c r="D227" i="4"/>
  <c r="N227" i="4" s="1"/>
  <c r="X225" i="4"/>
  <c r="B226" i="4"/>
  <c r="R226" i="4"/>
  <c r="N226" i="4"/>
  <c r="M226" i="4"/>
  <c r="V226" i="4"/>
  <c r="L226" i="4"/>
  <c r="G226" i="4" l="1"/>
  <c r="I226" i="4" s="1"/>
  <c r="AL226" i="4"/>
  <c r="Y226" i="4"/>
  <c r="X226" i="4"/>
  <c r="AA226" i="4" s="1"/>
  <c r="C229" i="4"/>
  <c r="D228" i="4"/>
  <c r="E228" i="4" s="1"/>
  <c r="Z225" i="4"/>
  <c r="AA225" i="4"/>
  <c r="B227" i="4"/>
  <c r="K227" i="4"/>
  <c r="J227" i="4"/>
  <c r="L227" i="4"/>
  <c r="H227" i="4"/>
  <c r="V227" i="4"/>
  <c r="AJ227" i="4"/>
  <c r="T227" i="4"/>
  <c r="R227" i="4"/>
  <c r="P227" i="4"/>
  <c r="AK227" i="4"/>
  <c r="M227" i="4"/>
  <c r="U227" i="4"/>
  <c r="Q227" i="4"/>
  <c r="O227" i="4"/>
  <c r="AI227" i="4"/>
  <c r="F227" i="4"/>
  <c r="W227" i="4"/>
  <c r="S227" i="4"/>
  <c r="E227" i="4"/>
  <c r="Z226" i="4" l="1"/>
  <c r="AL227" i="4"/>
  <c r="G227" i="4"/>
  <c r="I227" i="4" s="1"/>
  <c r="X227" i="4"/>
  <c r="AA227" i="4" s="1"/>
  <c r="C230" i="4"/>
  <c r="D229" i="4"/>
  <c r="Y227" i="4"/>
  <c r="B228" i="4"/>
  <c r="L228" i="4"/>
  <c r="AJ228" i="4"/>
  <c r="H228" i="4"/>
  <c r="AI228" i="4"/>
  <c r="R228" i="4"/>
  <c r="N228" i="4"/>
  <c r="K228" i="4"/>
  <c r="V228" i="4"/>
  <c r="W228" i="4"/>
  <c r="U228" i="4"/>
  <c r="S228" i="4"/>
  <c r="P228" i="4"/>
  <c r="O228" i="4"/>
  <c r="AK228" i="4"/>
  <c r="J228" i="4"/>
  <c r="F228" i="4"/>
  <c r="G228" i="4" s="1"/>
  <c r="T228" i="4"/>
  <c r="Q228" i="4"/>
  <c r="M228" i="4"/>
  <c r="AL228" i="4" l="1"/>
  <c r="Y228" i="4"/>
  <c r="Z227" i="4"/>
  <c r="X228" i="4"/>
  <c r="D230" i="4"/>
  <c r="C231" i="4"/>
  <c r="I228" i="4"/>
  <c r="B229" i="4"/>
  <c r="W229" i="4"/>
  <c r="AK229" i="4"/>
  <c r="AJ229" i="4"/>
  <c r="U229" i="4"/>
  <c r="E229" i="4"/>
  <c r="L229" i="4"/>
  <c r="S229" i="4"/>
  <c r="R229" i="4"/>
  <c r="Q229" i="4"/>
  <c r="P229" i="4"/>
  <c r="N229" i="4"/>
  <c r="M229" i="4"/>
  <c r="K229" i="4"/>
  <c r="J229" i="4"/>
  <c r="V229" i="4"/>
  <c r="H229" i="4"/>
  <c r="AI229" i="4"/>
  <c r="T229" i="4"/>
  <c r="O229" i="4"/>
  <c r="F229" i="4"/>
  <c r="X229" i="4" l="1"/>
  <c r="AA229" i="4" s="1"/>
  <c r="Y229" i="4"/>
  <c r="Z228" i="4"/>
  <c r="AA228" i="4"/>
  <c r="H230" i="4"/>
  <c r="E230" i="4"/>
  <c r="D231" i="4"/>
  <c r="C232" i="4"/>
  <c r="AL229" i="4"/>
  <c r="G229" i="4"/>
  <c r="I229" i="4" s="1"/>
  <c r="B230" i="4"/>
  <c r="W230" i="4"/>
  <c r="S230" i="4"/>
  <c r="AI230" i="4"/>
  <c r="M230" i="4"/>
  <c r="P230" i="4"/>
  <c r="O230" i="4"/>
  <c r="L230" i="4"/>
  <c r="AJ230" i="4"/>
  <c r="V230" i="4"/>
  <c r="U230" i="4"/>
  <c r="R230" i="4"/>
  <c r="AK230" i="4"/>
  <c r="Q230" i="4"/>
  <c r="N230" i="4"/>
  <c r="J230" i="4"/>
  <c r="F230" i="4"/>
  <c r="T230" i="4"/>
  <c r="K230" i="4"/>
  <c r="Z229" i="4" l="1"/>
  <c r="AL230" i="4"/>
  <c r="W231" i="4"/>
  <c r="P231" i="4"/>
  <c r="N231" i="4"/>
  <c r="O231" i="4"/>
  <c r="F231" i="4"/>
  <c r="J231" i="4"/>
  <c r="AI231" i="4"/>
  <c r="Y230" i="4"/>
  <c r="G230" i="4"/>
  <c r="I230" i="4" s="1"/>
  <c r="L231" i="4"/>
  <c r="H231" i="4"/>
  <c r="AK231" i="4"/>
  <c r="E231" i="4"/>
  <c r="M231" i="4"/>
  <c r="AJ231" i="4"/>
  <c r="Q231" i="4"/>
  <c r="K231" i="4"/>
  <c r="V231" i="4"/>
  <c r="B231" i="4"/>
  <c r="T231" i="4"/>
  <c r="D232" i="4"/>
  <c r="C233" i="4"/>
  <c r="X230" i="4"/>
  <c r="U231" i="4"/>
  <c r="S231" i="4"/>
  <c r="R231" i="4"/>
  <c r="G231" i="4" l="1"/>
  <c r="I231" i="4" s="1"/>
  <c r="X231" i="4"/>
  <c r="AA231" i="4" s="1"/>
  <c r="Y231" i="4"/>
  <c r="U232" i="4"/>
  <c r="Q232" i="4"/>
  <c r="J232" i="4"/>
  <c r="P232" i="4"/>
  <c r="AL231" i="4"/>
  <c r="O232" i="4"/>
  <c r="AI232" i="4"/>
  <c r="T232" i="4"/>
  <c r="R232" i="4"/>
  <c r="F232" i="4"/>
  <c r="C234" i="4"/>
  <c r="D233" i="4"/>
  <c r="AA230" i="4"/>
  <c r="Z230" i="4"/>
  <c r="B232" i="4"/>
  <c r="H232" i="4"/>
  <c r="S232" i="4"/>
  <c r="M232" i="4"/>
  <c r="E232" i="4"/>
  <c r="N232" i="4"/>
  <c r="K232" i="4"/>
  <c r="L232" i="4"/>
  <c r="V232" i="4"/>
  <c r="W232" i="4"/>
  <c r="AK232" i="4"/>
  <c r="AJ232" i="4"/>
  <c r="Z231" i="4" l="1"/>
  <c r="Y232" i="4"/>
  <c r="X232" i="4"/>
  <c r="K233" i="4"/>
  <c r="J233" i="4"/>
  <c r="O233" i="4"/>
  <c r="H233" i="4"/>
  <c r="G232" i="4"/>
  <c r="I232" i="4" s="1"/>
  <c r="AL232" i="4"/>
  <c r="F233" i="4"/>
  <c r="AI233" i="4"/>
  <c r="AK233" i="4"/>
  <c r="W233" i="4"/>
  <c r="E233" i="4"/>
  <c r="AJ233" i="4"/>
  <c r="V233" i="4"/>
  <c r="M233" i="4"/>
  <c r="P233" i="4"/>
  <c r="U233" i="4"/>
  <c r="T233" i="4"/>
  <c r="Q233" i="4"/>
  <c r="R233" i="4"/>
  <c r="S233" i="4"/>
  <c r="D234" i="4"/>
  <c r="C235" i="4"/>
  <c r="B233" i="4"/>
  <c r="N233" i="4"/>
  <c r="L233" i="4"/>
  <c r="G233" i="4" l="1"/>
  <c r="I233" i="4" s="1"/>
  <c r="AL233" i="4"/>
  <c r="AA232" i="4"/>
  <c r="Z232" i="4"/>
  <c r="Y233" i="4"/>
  <c r="X233" i="4"/>
  <c r="J234" i="4"/>
  <c r="O234" i="4"/>
  <c r="C236" i="4"/>
  <c r="D235" i="4"/>
  <c r="F235" i="4" s="1"/>
  <c r="B234" i="4"/>
  <c r="P234" i="4"/>
  <c r="V234" i="4"/>
  <c r="S234" i="4"/>
  <c r="K234" i="4"/>
  <c r="U234" i="4"/>
  <c r="R234" i="4"/>
  <c r="Q234" i="4"/>
  <c r="M234" i="4"/>
  <c r="E234" i="4"/>
  <c r="F234" i="4"/>
  <c r="N234" i="4"/>
  <c r="AI234" i="4"/>
  <c r="H234" i="4"/>
  <c r="L234" i="4"/>
  <c r="AK234" i="4"/>
  <c r="AJ234" i="4"/>
  <c r="T234" i="4"/>
  <c r="W234" i="4"/>
  <c r="Z233" i="4" l="1"/>
  <c r="AA233" i="4"/>
  <c r="G234" i="4"/>
  <c r="I234" i="4" s="1"/>
  <c r="AL234" i="4"/>
  <c r="Y234" i="4"/>
  <c r="D236" i="4"/>
  <c r="C237" i="4"/>
  <c r="X234" i="4"/>
  <c r="B235" i="4"/>
  <c r="S235" i="4"/>
  <c r="R235" i="4"/>
  <c r="N235" i="4"/>
  <c r="E235" i="4"/>
  <c r="G235" i="4" s="1"/>
  <c r="P235" i="4"/>
  <c r="M235" i="4"/>
  <c r="O235" i="4"/>
  <c r="K235" i="4"/>
  <c r="U235" i="4"/>
  <c r="Q235" i="4"/>
  <c r="J235" i="4"/>
  <c r="AI235" i="4"/>
  <c r="L235" i="4"/>
  <c r="AK235" i="4"/>
  <c r="AJ235" i="4"/>
  <c r="W235" i="4"/>
  <c r="V235" i="4"/>
  <c r="T235" i="4"/>
  <c r="H235" i="4"/>
  <c r="AL235" i="4" l="1"/>
  <c r="B236" i="4"/>
  <c r="R236" i="4"/>
  <c r="C238" i="4"/>
  <c r="D237" i="4"/>
  <c r="P237" i="4" s="1"/>
  <c r="Z234" i="4"/>
  <c r="AA234" i="4"/>
  <c r="I235" i="4"/>
  <c r="Y235" i="4"/>
  <c r="X235" i="4"/>
  <c r="AA235" i="4" s="1"/>
  <c r="Q236" i="4"/>
  <c r="M236" i="4"/>
  <c r="W236" i="4"/>
  <c r="H236" i="4"/>
  <c r="AJ236" i="4"/>
  <c r="V236" i="4"/>
  <c r="T236" i="4"/>
  <c r="N236" i="4"/>
  <c r="K236" i="4"/>
  <c r="P236" i="4"/>
  <c r="J236" i="4"/>
  <c r="F236" i="4"/>
  <c r="S236" i="4"/>
  <c r="E236" i="4"/>
  <c r="AK236" i="4"/>
  <c r="U236" i="4"/>
  <c r="O236" i="4"/>
  <c r="L236" i="4"/>
  <c r="AI236" i="4"/>
  <c r="X236" i="4" l="1"/>
  <c r="AA236" i="4" s="1"/>
  <c r="G236" i="4"/>
  <c r="I236" i="4" s="1"/>
  <c r="Y236" i="4"/>
  <c r="C239" i="4"/>
  <c r="D238" i="4"/>
  <c r="B237" i="4"/>
  <c r="L237" i="4"/>
  <c r="Z235" i="4"/>
  <c r="AL236" i="4"/>
  <c r="AI237" i="4"/>
  <c r="H237" i="4"/>
  <c r="M237" i="4"/>
  <c r="U237" i="4"/>
  <c r="T237" i="4"/>
  <c r="S237" i="4"/>
  <c r="R237" i="4"/>
  <c r="N237" i="4"/>
  <c r="Q237" i="4"/>
  <c r="F237" i="4"/>
  <c r="J237" i="4"/>
  <c r="E237" i="4"/>
  <c r="O237" i="4"/>
  <c r="AK237" i="4"/>
  <c r="AJ237" i="4"/>
  <c r="W237" i="4"/>
  <c r="V237" i="4"/>
  <c r="K237" i="4"/>
  <c r="Z236" i="4" l="1"/>
  <c r="G237" i="4"/>
  <c r="I237" i="4" s="1"/>
  <c r="AL237" i="4"/>
  <c r="M238" i="4"/>
  <c r="W238" i="4"/>
  <c r="V238" i="4"/>
  <c r="S238" i="4"/>
  <c r="Q238" i="4"/>
  <c r="N238" i="4"/>
  <c r="K238" i="4"/>
  <c r="J238" i="4"/>
  <c r="H238" i="4"/>
  <c r="F238" i="4"/>
  <c r="E238" i="4"/>
  <c r="O238" i="4"/>
  <c r="AK238" i="4"/>
  <c r="AI238" i="4"/>
  <c r="T238" i="4"/>
  <c r="C240" i="4"/>
  <c r="D239" i="4"/>
  <c r="Y237" i="4"/>
  <c r="X237" i="4"/>
  <c r="AA237" i="4" s="1"/>
  <c r="B238" i="4"/>
  <c r="R238" i="4"/>
  <c r="AJ238" i="4"/>
  <c r="L238" i="4"/>
  <c r="P238" i="4"/>
  <c r="U238" i="4"/>
  <c r="Y238" i="4" l="1"/>
  <c r="G238" i="4"/>
  <c r="I238" i="4" s="1"/>
  <c r="AL238" i="4"/>
  <c r="X238" i="4"/>
  <c r="W239" i="4"/>
  <c r="E239" i="4"/>
  <c r="AK239" i="4"/>
  <c r="D240" i="4"/>
  <c r="C241" i="4"/>
  <c r="Z237" i="4"/>
  <c r="B239" i="4"/>
  <c r="V239" i="4"/>
  <c r="N239" i="4"/>
  <c r="F239" i="4"/>
  <c r="H239" i="4"/>
  <c r="AJ239" i="4"/>
  <c r="T239" i="4"/>
  <c r="AI239" i="4"/>
  <c r="U239" i="4"/>
  <c r="S239" i="4"/>
  <c r="R239" i="4"/>
  <c r="P239" i="4"/>
  <c r="M239" i="4"/>
  <c r="O239" i="4"/>
  <c r="K239" i="4"/>
  <c r="J239" i="4"/>
  <c r="Q239" i="4"/>
  <c r="L239" i="4"/>
  <c r="X239" i="4" l="1"/>
  <c r="AA239" i="4" s="1"/>
  <c r="L240" i="4"/>
  <c r="N240" i="4"/>
  <c r="Z238" i="4"/>
  <c r="AA238" i="4"/>
  <c r="E240" i="4"/>
  <c r="F240" i="4"/>
  <c r="K240" i="4"/>
  <c r="AI240" i="4"/>
  <c r="G239" i="4"/>
  <c r="I239" i="4" s="1"/>
  <c r="AL239" i="4"/>
  <c r="Y239" i="4"/>
  <c r="Q240" i="4"/>
  <c r="M240" i="4"/>
  <c r="J240" i="4"/>
  <c r="S240" i="4"/>
  <c r="H240" i="4"/>
  <c r="O240" i="4"/>
  <c r="C242" i="4"/>
  <c r="D241" i="4"/>
  <c r="B240" i="4"/>
  <c r="AK240" i="4"/>
  <c r="AJ240" i="4"/>
  <c r="W240" i="4"/>
  <c r="V240" i="4"/>
  <c r="U240" i="4"/>
  <c r="R240" i="4"/>
  <c r="P240" i="4"/>
  <c r="T240" i="4"/>
  <c r="Z239" i="4" l="1"/>
  <c r="G240" i="4"/>
  <c r="I240" i="4" s="1"/>
  <c r="AL240" i="4"/>
  <c r="Y240" i="4"/>
  <c r="D242" i="4"/>
  <c r="C243" i="4"/>
  <c r="X240" i="4"/>
  <c r="B241" i="4"/>
  <c r="W241" i="4"/>
  <c r="AJ241" i="4"/>
  <c r="U241" i="4"/>
  <c r="AK241" i="4"/>
  <c r="R241" i="4"/>
  <c r="K241" i="4"/>
  <c r="O241" i="4"/>
  <c r="V241" i="4"/>
  <c r="M241" i="4"/>
  <c r="T241" i="4"/>
  <c r="S241" i="4"/>
  <c r="Q241" i="4"/>
  <c r="P241" i="4"/>
  <c r="L241" i="4"/>
  <c r="AI241" i="4"/>
  <c r="E241" i="4"/>
  <c r="J241" i="4"/>
  <c r="N241" i="4"/>
  <c r="H241" i="4"/>
  <c r="F241" i="4"/>
  <c r="Y241" i="4" l="1"/>
  <c r="X241" i="4"/>
  <c r="T242" i="4"/>
  <c r="S242" i="4"/>
  <c r="R242" i="4"/>
  <c r="Q242" i="4"/>
  <c r="P242" i="4"/>
  <c r="N242" i="4"/>
  <c r="AK242" i="4"/>
  <c r="M242" i="4"/>
  <c r="K242" i="4"/>
  <c r="J242" i="4"/>
  <c r="E242" i="4"/>
  <c r="C244" i="4"/>
  <c r="D243" i="4"/>
  <c r="E243" i="4" s="1"/>
  <c r="Z240" i="4"/>
  <c r="AA240" i="4"/>
  <c r="AL241" i="4"/>
  <c r="G241" i="4"/>
  <c r="I241" i="4" s="1"/>
  <c r="B242" i="4"/>
  <c r="H242" i="4"/>
  <c r="F242" i="4"/>
  <c r="O242" i="4"/>
  <c r="L242" i="4"/>
  <c r="AI242" i="4"/>
  <c r="AJ242" i="4"/>
  <c r="W242" i="4"/>
  <c r="V242" i="4"/>
  <c r="U242" i="4"/>
  <c r="Z241" i="4" l="1"/>
  <c r="AA241" i="4"/>
  <c r="G242" i="4"/>
  <c r="I242" i="4" s="1"/>
  <c r="AL242" i="4"/>
  <c r="X242" i="4"/>
  <c r="AA242" i="4" s="1"/>
  <c r="V243" i="4"/>
  <c r="U243" i="4"/>
  <c r="C245" i="4"/>
  <c r="D244" i="4"/>
  <c r="Y242" i="4"/>
  <c r="B243" i="4"/>
  <c r="S243" i="4"/>
  <c r="P243" i="4"/>
  <c r="M243" i="4"/>
  <c r="R243" i="4"/>
  <c r="H243" i="4"/>
  <c r="W243" i="4"/>
  <c r="Q243" i="4"/>
  <c r="T243" i="4"/>
  <c r="L243" i="4"/>
  <c r="O243" i="4"/>
  <c r="AI243" i="4"/>
  <c r="F243" i="4"/>
  <c r="G243" i="4" s="1"/>
  <c r="J243" i="4"/>
  <c r="AJ243" i="4"/>
  <c r="K243" i="4"/>
  <c r="AK243" i="4"/>
  <c r="N243" i="4"/>
  <c r="X243" i="4" l="1"/>
  <c r="AA243" i="4" s="1"/>
  <c r="Z242" i="4"/>
  <c r="Y243" i="4"/>
  <c r="AL243" i="4"/>
  <c r="C246" i="4"/>
  <c r="D245" i="4"/>
  <c r="H245" i="4" s="1"/>
  <c r="B244" i="4"/>
  <c r="P244" i="4"/>
  <c r="I243" i="4"/>
  <c r="K244" i="4"/>
  <c r="AJ244" i="4"/>
  <c r="V244" i="4"/>
  <c r="H244" i="4"/>
  <c r="S244" i="4"/>
  <c r="L244" i="4"/>
  <c r="AI244" i="4"/>
  <c r="F244" i="4"/>
  <c r="U244" i="4"/>
  <c r="Q244" i="4"/>
  <c r="O244" i="4"/>
  <c r="M244" i="4"/>
  <c r="AK244" i="4"/>
  <c r="W244" i="4"/>
  <c r="N244" i="4"/>
  <c r="T244" i="4"/>
  <c r="R244" i="4"/>
  <c r="E244" i="4"/>
  <c r="J244" i="4"/>
  <c r="Z243" i="4" l="1"/>
  <c r="AL244" i="4"/>
  <c r="X244" i="4"/>
  <c r="AA244" i="4" s="1"/>
  <c r="G244" i="4"/>
  <c r="I244" i="4" s="1"/>
  <c r="D246" i="4"/>
  <c r="C247" i="4"/>
  <c r="Y244" i="4"/>
  <c r="B245" i="4"/>
  <c r="T245" i="4"/>
  <c r="S245" i="4"/>
  <c r="R245" i="4"/>
  <c r="P245" i="4"/>
  <c r="AJ245" i="4"/>
  <c r="V245" i="4"/>
  <c r="M245" i="4"/>
  <c r="AK245" i="4"/>
  <c r="J245" i="4"/>
  <c r="O245" i="4"/>
  <c r="U245" i="4"/>
  <c r="Q245" i="4"/>
  <c r="N245" i="4"/>
  <c r="E245" i="4"/>
  <c r="W245" i="4"/>
  <c r="L245" i="4"/>
  <c r="K245" i="4"/>
  <c r="F245" i="4"/>
  <c r="AI245" i="4"/>
  <c r="Z244" i="4" l="1"/>
  <c r="Y245" i="4"/>
  <c r="AK246" i="4"/>
  <c r="AJ246" i="4"/>
  <c r="W246" i="4"/>
  <c r="B246" i="4"/>
  <c r="V246" i="4"/>
  <c r="C248" i="4"/>
  <c r="D247" i="4"/>
  <c r="AK247" i="4" s="1"/>
  <c r="AL245" i="4"/>
  <c r="X245" i="4"/>
  <c r="G245" i="4"/>
  <c r="I245" i="4" s="1"/>
  <c r="Q246" i="4"/>
  <c r="N246" i="4"/>
  <c r="J246" i="4"/>
  <c r="H246" i="4"/>
  <c r="R246" i="4"/>
  <c r="P246" i="4"/>
  <c r="K246" i="4"/>
  <c r="U246" i="4"/>
  <c r="T246" i="4"/>
  <c r="E246" i="4"/>
  <c r="O246" i="4"/>
  <c r="F246" i="4"/>
  <c r="L246" i="4"/>
  <c r="S246" i="4"/>
  <c r="M246" i="4"/>
  <c r="AI246" i="4"/>
  <c r="AJ247" i="4" l="1"/>
  <c r="W247" i="4"/>
  <c r="V247" i="4"/>
  <c r="U247" i="4"/>
  <c r="P247" i="4"/>
  <c r="Y246" i="4"/>
  <c r="AL246" i="4"/>
  <c r="N247" i="4"/>
  <c r="M247" i="4"/>
  <c r="O247" i="4"/>
  <c r="K247" i="4"/>
  <c r="D248" i="4"/>
  <c r="C249" i="4"/>
  <c r="Z245" i="4"/>
  <c r="AA245" i="4"/>
  <c r="X246" i="4"/>
  <c r="G246" i="4"/>
  <c r="I246" i="4" s="1"/>
  <c r="B247" i="4"/>
  <c r="J247" i="4"/>
  <c r="H247" i="4"/>
  <c r="F247" i="4"/>
  <c r="T247" i="4"/>
  <c r="S247" i="4"/>
  <c r="R247" i="4"/>
  <c r="AI247" i="4"/>
  <c r="AL247" i="4" s="1"/>
  <c r="E247" i="4"/>
  <c r="L247" i="4"/>
  <c r="Q247" i="4"/>
  <c r="Y247" i="4" l="1"/>
  <c r="X247" i="4"/>
  <c r="AA247" i="4" s="1"/>
  <c r="O248" i="4"/>
  <c r="AI248" i="4"/>
  <c r="S248" i="4"/>
  <c r="Q248" i="4"/>
  <c r="M248" i="4"/>
  <c r="G247" i="4"/>
  <c r="I247" i="4" s="1"/>
  <c r="J248" i="4"/>
  <c r="AJ248" i="4"/>
  <c r="T248" i="4"/>
  <c r="D249" i="4"/>
  <c r="C250" i="4"/>
  <c r="AA246" i="4"/>
  <c r="Z246" i="4"/>
  <c r="B248" i="4"/>
  <c r="L248" i="4"/>
  <c r="F248" i="4"/>
  <c r="AK248" i="4"/>
  <c r="R248" i="4"/>
  <c r="N248" i="4"/>
  <c r="W248" i="4"/>
  <c r="V248" i="4"/>
  <c r="U248" i="4"/>
  <c r="E248" i="4"/>
  <c r="K248" i="4"/>
  <c r="H248" i="4"/>
  <c r="P248" i="4"/>
  <c r="Z247" i="4" l="1"/>
  <c r="AL248" i="4"/>
  <c r="Y248" i="4"/>
  <c r="X248" i="4"/>
  <c r="W249" i="4"/>
  <c r="R249" i="4"/>
  <c r="Q249" i="4"/>
  <c r="T249" i="4"/>
  <c r="N249" i="4"/>
  <c r="P249" i="4"/>
  <c r="B249" i="4"/>
  <c r="O249" i="4"/>
  <c r="D250" i="4"/>
  <c r="T250" i="4" s="1"/>
  <c r="C251" i="4"/>
  <c r="G248" i="4"/>
  <c r="I248" i="4" s="1"/>
  <c r="M249" i="4"/>
  <c r="L249" i="4"/>
  <c r="K249" i="4"/>
  <c r="J249" i="4"/>
  <c r="F249" i="4"/>
  <c r="E249" i="4"/>
  <c r="AJ249" i="4"/>
  <c r="V249" i="4"/>
  <c r="S249" i="4"/>
  <c r="H249" i="4"/>
  <c r="AI249" i="4"/>
  <c r="AK249" i="4"/>
  <c r="U249" i="4"/>
  <c r="R250" i="4" l="1"/>
  <c r="Q250" i="4"/>
  <c r="N250" i="4"/>
  <c r="M250" i="4"/>
  <c r="J250" i="4"/>
  <c r="X249" i="4"/>
  <c r="AA249" i="4" s="1"/>
  <c r="AL249" i="4"/>
  <c r="Y249" i="4"/>
  <c r="O250" i="4"/>
  <c r="K250" i="4"/>
  <c r="Z248" i="4"/>
  <c r="AA248" i="4"/>
  <c r="G249" i="4"/>
  <c r="I249" i="4" s="1"/>
  <c r="E250" i="4"/>
  <c r="F250" i="4"/>
  <c r="U250" i="4"/>
  <c r="AK250" i="4"/>
  <c r="S250" i="4"/>
  <c r="P250" i="4"/>
  <c r="AI250" i="4"/>
  <c r="W250" i="4"/>
  <c r="H250" i="4"/>
  <c r="B250" i="4"/>
  <c r="V250" i="4"/>
  <c r="X250" i="4" s="1"/>
  <c r="C252" i="4"/>
  <c r="D251" i="4"/>
  <c r="V251" i="4" s="1"/>
  <c r="L250" i="4"/>
  <c r="AJ250" i="4"/>
  <c r="Z249" i="4" l="1"/>
  <c r="AL250" i="4"/>
  <c r="AA250" i="4"/>
  <c r="Y250" i="4"/>
  <c r="Z250" i="4" s="1"/>
  <c r="G250" i="4"/>
  <c r="I250" i="4" s="1"/>
  <c r="C253" i="4"/>
  <c r="D252" i="4"/>
  <c r="B251" i="4"/>
  <c r="AI251" i="4"/>
  <c r="S251" i="4"/>
  <c r="R251" i="4"/>
  <c r="U251" i="4"/>
  <c r="P251" i="4"/>
  <c r="M251" i="4"/>
  <c r="O251" i="4"/>
  <c r="K251" i="4"/>
  <c r="T251" i="4"/>
  <c r="X251" i="4" s="1"/>
  <c r="Q251" i="4"/>
  <c r="N251" i="4"/>
  <c r="J251" i="4"/>
  <c r="H251" i="4"/>
  <c r="F251" i="4"/>
  <c r="L251" i="4"/>
  <c r="W251" i="4"/>
  <c r="AJ251" i="4"/>
  <c r="AK251" i="4"/>
  <c r="E251" i="4"/>
  <c r="AL251" i="4" l="1"/>
  <c r="G251" i="4"/>
  <c r="I251" i="4" s="1"/>
  <c r="D253" i="4"/>
  <c r="C254" i="4"/>
  <c r="B252" i="4"/>
  <c r="E252" i="4"/>
  <c r="Y251" i="4"/>
  <c r="Z251" i="4" s="1"/>
  <c r="AA251" i="4"/>
  <c r="AJ252" i="4"/>
  <c r="W252" i="4"/>
  <c r="U252" i="4"/>
  <c r="AK252" i="4"/>
  <c r="V252" i="4"/>
  <c r="M252" i="4"/>
  <c r="O252" i="4"/>
  <c r="AI252" i="4"/>
  <c r="Q252" i="4"/>
  <c r="P252" i="4"/>
  <c r="N252" i="4"/>
  <c r="H252" i="4"/>
  <c r="L252" i="4"/>
  <c r="J252" i="4"/>
  <c r="T252" i="4"/>
  <c r="R252" i="4"/>
  <c r="K252" i="4"/>
  <c r="F252" i="4"/>
  <c r="S252" i="4"/>
  <c r="Y252" i="4" l="1"/>
  <c r="G252" i="4"/>
  <c r="I252" i="4" s="1"/>
  <c r="AI253" i="4"/>
  <c r="L253" i="4"/>
  <c r="V253" i="4"/>
  <c r="K253" i="4"/>
  <c r="B253" i="4"/>
  <c r="S253" i="4"/>
  <c r="D254" i="4"/>
  <c r="O254" i="4" s="1"/>
  <c r="C255" i="4"/>
  <c r="AL252" i="4"/>
  <c r="X252" i="4"/>
  <c r="N253" i="4"/>
  <c r="P253" i="4"/>
  <c r="Q253" i="4"/>
  <c r="F253" i="4"/>
  <c r="H253" i="4"/>
  <c r="W253" i="4"/>
  <c r="J253" i="4"/>
  <c r="E253" i="4"/>
  <c r="U253" i="4"/>
  <c r="O253" i="4"/>
  <c r="AK253" i="4"/>
  <c r="T253" i="4"/>
  <c r="AJ253" i="4"/>
  <c r="M253" i="4"/>
  <c r="R253" i="4"/>
  <c r="Y253" i="4" l="1"/>
  <c r="X253" i="4"/>
  <c r="AL253" i="4"/>
  <c r="D255" i="4"/>
  <c r="C256" i="4"/>
  <c r="AA252" i="4"/>
  <c r="Z252" i="4"/>
  <c r="G253" i="4"/>
  <c r="I253" i="4" s="1"/>
  <c r="B254" i="4"/>
  <c r="H254" i="4"/>
  <c r="S254" i="4"/>
  <c r="M254" i="4"/>
  <c r="Q254" i="4"/>
  <c r="J254" i="4"/>
  <c r="F254" i="4"/>
  <c r="AJ254" i="4"/>
  <c r="V254" i="4"/>
  <c r="U254" i="4"/>
  <c r="R254" i="4"/>
  <c r="N254" i="4"/>
  <c r="K254" i="4"/>
  <c r="P254" i="4"/>
  <c r="L254" i="4"/>
  <c r="T254" i="4"/>
  <c r="AI254" i="4"/>
  <c r="E254" i="4"/>
  <c r="AK254" i="4"/>
  <c r="W254" i="4"/>
  <c r="G254" i="4" l="1"/>
  <c r="I254" i="4" s="1"/>
  <c r="Z253" i="4"/>
  <c r="AA253" i="4"/>
  <c r="X254" i="4"/>
  <c r="AA254" i="4" s="1"/>
  <c r="L255" i="4"/>
  <c r="H255" i="4"/>
  <c r="N255" i="4"/>
  <c r="J255" i="4"/>
  <c r="T255" i="4"/>
  <c r="AI255" i="4"/>
  <c r="AL254" i="4"/>
  <c r="F255" i="4"/>
  <c r="E255" i="4"/>
  <c r="W255" i="4"/>
  <c r="V255" i="4"/>
  <c r="O255" i="4"/>
  <c r="D256" i="4"/>
  <c r="E256" i="4" s="1"/>
  <c r="C257" i="4"/>
  <c r="Y254" i="4"/>
  <c r="B255" i="4"/>
  <c r="R255" i="4"/>
  <c r="Q255" i="4"/>
  <c r="AK255" i="4"/>
  <c r="M255" i="4"/>
  <c r="U255" i="4"/>
  <c r="AJ255" i="4"/>
  <c r="S255" i="4"/>
  <c r="K255" i="4"/>
  <c r="P255" i="4"/>
  <c r="Z254" i="4" l="1"/>
  <c r="Y255" i="4"/>
  <c r="G255" i="4"/>
  <c r="I255" i="4" s="1"/>
  <c r="AL255" i="4"/>
  <c r="X255" i="4"/>
  <c r="AA255" i="4" s="1"/>
  <c r="B256" i="4"/>
  <c r="O256" i="4"/>
  <c r="C258" i="4"/>
  <c r="D257" i="4"/>
  <c r="Q256" i="4"/>
  <c r="P256" i="4"/>
  <c r="N256" i="4"/>
  <c r="M256" i="4"/>
  <c r="K256" i="4"/>
  <c r="J256" i="4"/>
  <c r="H256" i="4"/>
  <c r="AK256" i="4"/>
  <c r="W256" i="4"/>
  <c r="L256" i="4"/>
  <c r="T256" i="4"/>
  <c r="R256" i="4"/>
  <c r="V256" i="4"/>
  <c r="F256" i="4"/>
  <c r="G256" i="4" s="1"/>
  <c r="AJ256" i="4"/>
  <c r="S256" i="4"/>
  <c r="U256" i="4"/>
  <c r="AI256" i="4"/>
  <c r="Z255" i="4" l="1"/>
  <c r="X256" i="4"/>
  <c r="AA256" i="4" s="1"/>
  <c r="Y256" i="4"/>
  <c r="D258" i="4"/>
  <c r="E258" i="4" s="1"/>
  <c r="C259" i="4"/>
  <c r="AL256" i="4"/>
  <c r="I256" i="4"/>
  <c r="B257" i="4"/>
  <c r="V257" i="4"/>
  <c r="T257" i="4"/>
  <c r="S257" i="4"/>
  <c r="F257" i="4"/>
  <c r="R257" i="4"/>
  <c r="Q257" i="4"/>
  <c r="P257" i="4"/>
  <c r="N257" i="4"/>
  <c r="K257" i="4"/>
  <c r="AJ257" i="4"/>
  <c r="O257" i="4"/>
  <c r="E257" i="4"/>
  <c r="U257" i="4"/>
  <c r="L257" i="4"/>
  <c r="M257" i="4"/>
  <c r="AI257" i="4"/>
  <c r="AK257" i="4"/>
  <c r="W257" i="4"/>
  <c r="J257" i="4"/>
  <c r="H257" i="4"/>
  <c r="Z256" i="4" l="1"/>
  <c r="G257" i="4"/>
  <c r="I257" i="4" s="1"/>
  <c r="X257" i="4"/>
  <c r="AA257" i="4" s="1"/>
  <c r="AL257" i="4"/>
  <c r="B258" i="4"/>
  <c r="J258" i="4"/>
  <c r="D259" i="4"/>
  <c r="C260" i="4"/>
  <c r="Y257" i="4"/>
  <c r="W258" i="4"/>
  <c r="AK258" i="4"/>
  <c r="AJ258" i="4"/>
  <c r="V258" i="4"/>
  <c r="T258" i="4"/>
  <c r="S258" i="4"/>
  <c r="Q258" i="4"/>
  <c r="N258" i="4"/>
  <c r="O258" i="4"/>
  <c r="L258" i="4"/>
  <c r="K258" i="4"/>
  <c r="AI258" i="4"/>
  <c r="U258" i="4"/>
  <c r="R258" i="4"/>
  <c r="P258" i="4"/>
  <c r="M258" i="4"/>
  <c r="F258" i="4"/>
  <c r="G258" i="4" s="1"/>
  <c r="H258" i="4"/>
  <c r="Y258" i="4" l="1"/>
  <c r="AK259" i="4"/>
  <c r="R259" i="4"/>
  <c r="Z257" i="4"/>
  <c r="AJ259" i="4"/>
  <c r="U259" i="4"/>
  <c r="S259" i="4"/>
  <c r="Q259" i="4"/>
  <c r="P259" i="4"/>
  <c r="N259" i="4"/>
  <c r="V259" i="4"/>
  <c r="T259" i="4"/>
  <c r="M259" i="4"/>
  <c r="K259" i="4"/>
  <c r="J259" i="4"/>
  <c r="O259" i="4"/>
  <c r="E259" i="4"/>
  <c r="AI259" i="4"/>
  <c r="D260" i="4"/>
  <c r="C261" i="4"/>
  <c r="AL258" i="4"/>
  <c r="X258" i="4"/>
  <c r="I258" i="4"/>
  <c r="B259" i="4"/>
  <c r="H259" i="4"/>
  <c r="F259" i="4"/>
  <c r="L259" i="4"/>
  <c r="W259" i="4"/>
  <c r="M260" i="4" l="1"/>
  <c r="F260" i="4"/>
  <c r="U260" i="4"/>
  <c r="AL259" i="4"/>
  <c r="P260" i="4"/>
  <c r="R260" i="4"/>
  <c r="X259" i="4"/>
  <c r="AA259" i="4" s="1"/>
  <c r="Y259" i="4"/>
  <c r="G259" i="4"/>
  <c r="I259" i="4" s="1"/>
  <c r="L260" i="4"/>
  <c r="O260" i="4"/>
  <c r="C262" i="4"/>
  <c r="D261" i="4"/>
  <c r="Z258" i="4"/>
  <c r="AA258" i="4"/>
  <c r="B260" i="4"/>
  <c r="Q260" i="4"/>
  <c r="N260" i="4"/>
  <c r="J260" i="4"/>
  <c r="K260" i="4"/>
  <c r="E260" i="4"/>
  <c r="AI260" i="4"/>
  <c r="AK260" i="4"/>
  <c r="W260" i="4"/>
  <c r="T260" i="4"/>
  <c r="H260" i="4"/>
  <c r="AJ260" i="4"/>
  <c r="V260" i="4"/>
  <c r="S260" i="4"/>
  <c r="Y260" i="4" l="1"/>
  <c r="G260" i="4"/>
  <c r="I260" i="4" s="1"/>
  <c r="Z259" i="4"/>
  <c r="AJ261" i="4"/>
  <c r="AK261" i="4"/>
  <c r="AL260" i="4"/>
  <c r="U261" i="4"/>
  <c r="T261" i="4"/>
  <c r="Q261" i="4"/>
  <c r="AI261" i="4"/>
  <c r="P261" i="4"/>
  <c r="N261" i="4"/>
  <c r="O261" i="4"/>
  <c r="C263" i="4"/>
  <c r="D262" i="4"/>
  <c r="L262" i="4" s="1"/>
  <c r="B261" i="4"/>
  <c r="E261" i="4"/>
  <c r="X260" i="4"/>
  <c r="W261" i="4"/>
  <c r="K261" i="4"/>
  <c r="R261" i="4"/>
  <c r="M261" i="4"/>
  <c r="V261" i="4"/>
  <c r="J261" i="4"/>
  <c r="S261" i="4"/>
  <c r="H261" i="4"/>
  <c r="F261" i="4"/>
  <c r="L261" i="4"/>
  <c r="AL261" i="4" l="1"/>
  <c r="X261" i="4"/>
  <c r="AA261" i="4" s="1"/>
  <c r="Y261" i="4"/>
  <c r="C264" i="4"/>
  <c r="D263" i="4"/>
  <c r="Z260" i="4"/>
  <c r="AA260" i="4"/>
  <c r="G261" i="4"/>
  <c r="I261" i="4" s="1"/>
  <c r="B262" i="4"/>
  <c r="AJ262" i="4"/>
  <c r="V262" i="4"/>
  <c r="Q262" i="4"/>
  <c r="H262" i="4"/>
  <c r="M262" i="4"/>
  <c r="K262" i="4"/>
  <c r="F262" i="4"/>
  <c r="S262" i="4"/>
  <c r="J262" i="4"/>
  <c r="AI262" i="4"/>
  <c r="U262" i="4"/>
  <c r="O262" i="4"/>
  <c r="E262" i="4"/>
  <c r="T262" i="4"/>
  <c r="AK262" i="4"/>
  <c r="W262" i="4"/>
  <c r="N262" i="4"/>
  <c r="P262" i="4"/>
  <c r="R262" i="4"/>
  <c r="X262" i="4" l="1"/>
  <c r="AA262" i="4" s="1"/>
  <c r="Y262" i="4"/>
  <c r="Z261" i="4"/>
  <c r="AL262" i="4"/>
  <c r="D264" i="4"/>
  <c r="C265" i="4"/>
  <c r="G262" i="4"/>
  <c r="I262" i="4" s="1"/>
  <c r="B263" i="4"/>
  <c r="AJ263" i="4"/>
  <c r="S263" i="4"/>
  <c r="Q263" i="4"/>
  <c r="N263" i="4"/>
  <c r="L263" i="4"/>
  <c r="F263" i="4"/>
  <c r="E263" i="4"/>
  <c r="M263" i="4"/>
  <c r="J263" i="4"/>
  <c r="O263" i="4"/>
  <c r="W263" i="4"/>
  <c r="V263" i="4"/>
  <c r="U263" i="4"/>
  <c r="AK263" i="4"/>
  <c r="H263" i="4"/>
  <c r="T263" i="4"/>
  <c r="R263" i="4"/>
  <c r="P263" i="4"/>
  <c r="K263" i="4"/>
  <c r="AI263" i="4"/>
  <c r="Z262" i="4" l="1"/>
  <c r="G263" i="4"/>
  <c r="I263" i="4" s="1"/>
  <c r="K264" i="4"/>
  <c r="AI264" i="4"/>
  <c r="X263" i="4"/>
  <c r="AA263" i="4" s="1"/>
  <c r="M264" i="4"/>
  <c r="L264" i="4"/>
  <c r="AJ264" i="4"/>
  <c r="J264" i="4"/>
  <c r="W264" i="4"/>
  <c r="V264" i="4"/>
  <c r="S264" i="4"/>
  <c r="R264" i="4"/>
  <c r="Q264" i="4"/>
  <c r="P264" i="4"/>
  <c r="T264" i="4"/>
  <c r="Y263" i="4"/>
  <c r="N264" i="4"/>
  <c r="AK264" i="4"/>
  <c r="D265" i="4"/>
  <c r="J265" i="4" s="1"/>
  <c r="C266" i="4"/>
  <c r="AL263" i="4"/>
  <c r="B264" i="4"/>
  <c r="H264" i="4"/>
  <c r="F264" i="4"/>
  <c r="O264" i="4"/>
  <c r="E264" i="4"/>
  <c r="U264" i="4"/>
  <c r="AL264" i="4" l="1"/>
  <c r="Y264" i="4"/>
  <c r="Z263" i="4"/>
  <c r="X264" i="4"/>
  <c r="G264" i="4"/>
  <c r="I264" i="4" s="1"/>
  <c r="D266" i="4"/>
  <c r="M266" i="4" s="1"/>
  <c r="C267" i="4"/>
  <c r="B265" i="4"/>
  <c r="AJ265" i="4"/>
  <c r="W265" i="4"/>
  <c r="V265" i="4"/>
  <c r="U265" i="4"/>
  <c r="R265" i="4"/>
  <c r="P265" i="4"/>
  <c r="M265" i="4"/>
  <c r="K265" i="4"/>
  <c r="H265" i="4"/>
  <c r="T265" i="4"/>
  <c r="AI265" i="4"/>
  <c r="AK265" i="4"/>
  <c r="Q265" i="4"/>
  <c r="L265" i="4"/>
  <c r="S265" i="4"/>
  <c r="F265" i="4"/>
  <c r="O265" i="4"/>
  <c r="N265" i="4"/>
  <c r="E265" i="4"/>
  <c r="AL265" i="4" l="1"/>
  <c r="Z264" i="4"/>
  <c r="AA264" i="4"/>
  <c r="X265" i="4"/>
  <c r="AA265" i="4" s="1"/>
  <c r="E266" i="4"/>
  <c r="AI266" i="4"/>
  <c r="Y265" i="4"/>
  <c r="B266" i="4"/>
  <c r="AJ266" i="4"/>
  <c r="C268" i="4"/>
  <c r="D267" i="4"/>
  <c r="G265" i="4"/>
  <c r="I265" i="4" s="1"/>
  <c r="P266" i="4"/>
  <c r="R266" i="4"/>
  <c r="F266" i="4"/>
  <c r="J266" i="4"/>
  <c r="H266" i="4"/>
  <c r="Q266" i="4"/>
  <c r="N266" i="4"/>
  <c r="K266" i="4"/>
  <c r="L266" i="4"/>
  <c r="O266" i="4"/>
  <c r="AK266" i="4"/>
  <c r="W266" i="4"/>
  <c r="V266" i="4"/>
  <c r="U266" i="4"/>
  <c r="T266" i="4"/>
  <c r="S266" i="4"/>
  <c r="Y266" i="4" l="1"/>
  <c r="E267" i="4"/>
  <c r="T267" i="4"/>
  <c r="Z265" i="4"/>
  <c r="G266" i="4"/>
  <c r="I266" i="4" s="1"/>
  <c r="AL266" i="4"/>
  <c r="D268" i="4"/>
  <c r="C269" i="4"/>
  <c r="B267" i="4"/>
  <c r="F267" i="4"/>
  <c r="X266" i="4"/>
  <c r="K267" i="4"/>
  <c r="AK267" i="4"/>
  <c r="J267" i="4"/>
  <c r="AJ267" i="4"/>
  <c r="Q267" i="4"/>
  <c r="M267" i="4"/>
  <c r="AI267" i="4"/>
  <c r="S267" i="4"/>
  <c r="N267" i="4"/>
  <c r="O267" i="4"/>
  <c r="R267" i="4"/>
  <c r="P267" i="4"/>
  <c r="W267" i="4"/>
  <c r="V267" i="4"/>
  <c r="U267" i="4"/>
  <c r="H267" i="4"/>
  <c r="L267" i="4"/>
  <c r="X267" i="4" l="1"/>
  <c r="AA267" i="4" s="1"/>
  <c r="G267" i="4"/>
  <c r="I267" i="4" s="1"/>
  <c r="AK268" i="4"/>
  <c r="V268" i="4"/>
  <c r="S268" i="4"/>
  <c r="AI268" i="4"/>
  <c r="W268" i="4"/>
  <c r="F268" i="4"/>
  <c r="R268" i="4"/>
  <c r="N268" i="4"/>
  <c r="AJ268" i="4"/>
  <c r="T268" i="4"/>
  <c r="U268" i="4"/>
  <c r="Q268" i="4"/>
  <c r="L268" i="4"/>
  <c r="P268" i="4"/>
  <c r="M268" i="4"/>
  <c r="B268" i="4"/>
  <c r="E268" i="4"/>
  <c r="C270" i="4"/>
  <c r="D269" i="4"/>
  <c r="Z266" i="4"/>
  <c r="AA266" i="4"/>
  <c r="AL267" i="4"/>
  <c r="Y267" i="4"/>
  <c r="K268" i="4"/>
  <c r="J268" i="4"/>
  <c r="O268" i="4"/>
  <c r="H268" i="4"/>
  <c r="Z267" i="4" l="1"/>
  <c r="X268" i="4"/>
  <c r="AA268" i="4" s="1"/>
  <c r="AL268" i="4"/>
  <c r="Y268" i="4"/>
  <c r="G268" i="4"/>
  <c r="I268" i="4" s="1"/>
  <c r="D270" i="4"/>
  <c r="C271" i="4"/>
  <c r="B269" i="4"/>
  <c r="AI269" i="4"/>
  <c r="E269" i="4"/>
  <c r="N269" i="4"/>
  <c r="AK269" i="4"/>
  <c r="AJ269" i="4"/>
  <c r="P269" i="4"/>
  <c r="Q269" i="4"/>
  <c r="U269" i="4"/>
  <c r="R269" i="4"/>
  <c r="W269" i="4"/>
  <c r="T269" i="4"/>
  <c r="S269" i="4"/>
  <c r="K269" i="4"/>
  <c r="H269" i="4"/>
  <c r="L269" i="4"/>
  <c r="V269" i="4"/>
  <c r="M269" i="4"/>
  <c r="F269" i="4"/>
  <c r="J269" i="4"/>
  <c r="O269" i="4"/>
  <c r="AL269" i="4" l="1"/>
  <c r="Z268" i="4"/>
  <c r="G269" i="4"/>
  <c r="I269" i="4" s="1"/>
  <c r="X269" i="4"/>
  <c r="AA269" i="4" s="1"/>
  <c r="O270" i="4"/>
  <c r="S270" i="4"/>
  <c r="B270" i="4"/>
  <c r="F270" i="4"/>
  <c r="D271" i="4"/>
  <c r="E271" i="4" s="1"/>
  <c r="C272" i="4"/>
  <c r="Y269" i="4"/>
  <c r="R270" i="4"/>
  <c r="L270" i="4"/>
  <c r="W270" i="4"/>
  <c r="U270" i="4"/>
  <c r="H270" i="4"/>
  <c r="AJ270" i="4"/>
  <c r="J270" i="4"/>
  <c r="K270" i="4"/>
  <c r="AI270" i="4"/>
  <c r="Q270" i="4"/>
  <c r="T270" i="4"/>
  <c r="N270" i="4"/>
  <c r="P270" i="4"/>
  <c r="AK270" i="4"/>
  <c r="V270" i="4"/>
  <c r="M270" i="4"/>
  <c r="E270" i="4"/>
  <c r="Y270" i="4" l="1"/>
  <c r="Z269" i="4"/>
  <c r="AK271" i="4"/>
  <c r="S271" i="4"/>
  <c r="R271" i="4"/>
  <c r="Q271" i="4"/>
  <c r="P271" i="4"/>
  <c r="K271" i="4"/>
  <c r="F271" i="4"/>
  <c r="G271" i="4" s="1"/>
  <c r="AL270" i="4"/>
  <c r="G270" i="4"/>
  <c r="I270" i="4" s="1"/>
  <c r="C273" i="4"/>
  <c r="D272" i="4"/>
  <c r="X270" i="4"/>
  <c r="B271" i="4"/>
  <c r="AJ271" i="4"/>
  <c r="N271" i="4"/>
  <c r="H271" i="4"/>
  <c r="L271" i="4"/>
  <c r="M271" i="4"/>
  <c r="J271" i="4"/>
  <c r="O271" i="4"/>
  <c r="W271" i="4"/>
  <c r="V271" i="4"/>
  <c r="U271" i="4"/>
  <c r="T271" i="4"/>
  <c r="AI271" i="4"/>
  <c r="Y271" i="4" l="1"/>
  <c r="AL271" i="4"/>
  <c r="D273" i="4"/>
  <c r="C274" i="4"/>
  <c r="Z270" i="4"/>
  <c r="AA270" i="4"/>
  <c r="I271" i="4"/>
  <c r="X271" i="4"/>
  <c r="B272" i="4"/>
  <c r="R272" i="4"/>
  <c r="U272" i="4"/>
  <c r="O272" i="4"/>
  <c r="P272" i="4"/>
  <c r="L272" i="4"/>
  <c r="W272" i="4"/>
  <c r="F272" i="4"/>
  <c r="N272" i="4"/>
  <c r="T272" i="4"/>
  <c r="V272" i="4"/>
  <c r="M272" i="4"/>
  <c r="AI272" i="4"/>
  <c r="Q272" i="4"/>
  <c r="K272" i="4"/>
  <c r="H272" i="4"/>
  <c r="S272" i="4"/>
  <c r="J272" i="4"/>
  <c r="AJ272" i="4"/>
  <c r="AK272" i="4"/>
  <c r="E272" i="4"/>
  <c r="AL272" i="4" l="1"/>
  <c r="X272" i="4"/>
  <c r="AA272" i="4" s="1"/>
  <c r="G272" i="4"/>
  <c r="I272" i="4" s="1"/>
  <c r="C275" i="4"/>
  <c r="D274" i="4"/>
  <c r="E274" i="4" s="1"/>
  <c r="AA271" i="4"/>
  <c r="Z271" i="4"/>
  <c r="Y272" i="4"/>
  <c r="B273" i="4"/>
  <c r="S273" i="4"/>
  <c r="O273" i="4"/>
  <c r="AK273" i="4"/>
  <c r="AJ273" i="4"/>
  <c r="N273" i="4"/>
  <c r="L273" i="4"/>
  <c r="K273" i="4"/>
  <c r="H273" i="4"/>
  <c r="P273" i="4"/>
  <c r="V273" i="4"/>
  <c r="F273" i="4"/>
  <c r="AI273" i="4"/>
  <c r="R273" i="4"/>
  <c r="M273" i="4"/>
  <c r="J273" i="4"/>
  <c r="T273" i="4"/>
  <c r="Q273" i="4"/>
  <c r="W273" i="4"/>
  <c r="E273" i="4"/>
  <c r="U273" i="4"/>
  <c r="Z272" i="4" l="1"/>
  <c r="X273" i="4"/>
  <c r="AA273" i="4" s="1"/>
  <c r="D275" i="4"/>
  <c r="AJ275" i="4" s="1"/>
  <c r="C276" i="4"/>
  <c r="B274" i="4"/>
  <c r="AK274" i="4"/>
  <c r="AL273" i="4"/>
  <c r="G273" i="4"/>
  <c r="I273" i="4" s="1"/>
  <c r="Y273" i="4"/>
  <c r="U274" i="4"/>
  <c r="V274" i="4"/>
  <c r="AJ274" i="4"/>
  <c r="AI274" i="4"/>
  <c r="S274" i="4"/>
  <c r="R274" i="4"/>
  <c r="P274" i="4"/>
  <c r="N274" i="4"/>
  <c r="F274" i="4"/>
  <c r="G274" i="4" s="1"/>
  <c r="Q274" i="4"/>
  <c r="W274" i="4"/>
  <c r="H274" i="4"/>
  <c r="O274" i="4"/>
  <c r="J274" i="4"/>
  <c r="T274" i="4"/>
  <c r="M274" i="4"/>
  <c r="L274" i="4"/>
  <c r="K274" i="4"/>
  <c r="X274" i="4" l="1"/>
  <c r="AA274" i="4" s="1"/>
  <c r="V275" i="4"/>
  <c r="T275" i="4"/>
  <c r="P275" i="4"/>
  <c r="J275" i="4"/>
  <c r="H275" i="4"/>
  <c r="Q275" i="4"/>
  <c r="K275" i="4"/>
  <c r="Z273" i="4"/>
  <c r="AL274" i="4"/>
  <c r="U275" i="4"/>
  <c r="L275" i="4"/>
  <c r="W275" i="4"/>
  <c r="S275" i="4"/>
  <c r="M275" i="4"/>
  <c r="N275" i="4"/>
  <c r="AI275" i="4"/>
  <c r="O275" i="4"/>
  <c r="E275" i="4"/>
  <c r="C277" i="4"/>
  <c r="D276" i="4"/>
  <c r="Y274" i="4"/>
  <c r="I274" i="4"/>
  <c r="B275" i="4"/>
  <c r="AK275" i="4"/>
  <c r="F275" i="4"/>
  <c r="R275" i="4"/>
  <c r="X275" i="4" l="1"/>
  <c r="AA275" i="4" s="1"/>
  <c r="Z274" i="4"/>
  <c r="Y275" i="4"/>
  <c r="AL275" i="4"/>
  <c r="G275" i="4"/>
  <c r="I275" i="4" s="1"/>
  <c r="D277" i="4"/>
  <c r="M277" i="4" s="1"/>
  <c r="C278" i="4"/>
  <c r="B276" i="4"/>
  <c r="H276" i="4"/>
  <c r="U276" i="4"/>
  <c r="R276" i="4"/>
  <c r="Q276" i="4"/>
  <c r="F276" i="4"/>
  <c r="P276" i="4"/>
  <c r="N276" i="4"/>
  <c r="M276" i="4"/>
  <c r="K276" i="4"/>
  <c r="J276" i="4"/>
  <c r="AI276" i="4"/>
  <c r="L276" i="4"/>
  <c r="AK276" i="4"/>
  <c r="AJ276" i="4"/>
  <c r="V276" i="4"/>
  <c r="E276" i="4"/>
  <c r="O276" i="4"/>
  <c r="S276" i="4"/>
  <c r="W276" i="4"/>
  <c r="T276" i="4"/>
  <c r="AL276" i="4" l="1"/>
  <c r="Z275" i="4"/>
  <c r="B277" i="4"/>
  <c r="J277" i="4"/>
  <c r="D278" i="4"/>
  <c r="C279" i="4"/>
  <c r="Y276" i="4"/>
  <c r="X276" i="4"/>
  <c r="AA276" i="4" s="1"/>
  <c r="G276" i="4"/>
  <c r="I276" i="4" s="1"/>
  <c r="H277" i="4"/>
  <c r="F277" i="4"/>
  <c r="AI277" i="4"/>
  <c r="E277" i="4"/>
  <c r="V277" i="4"/>
  <c r="P277" i="4"/>
  <c r="AK277" i="4"/>
  <c r="AJ277" i="4"/>
  <c r="W277" i="4"/>
  <c r="Q277" i="4"/>
  <c r="K277" i="4"/>
  <c r="T277" i="4"/>
  <c r="S277" i="4"/>
  <c r="L277" i="4"/>
  <c r="R277" i="4"/>
  <c r="O277" i="4"/>
  <c r="U277" i="4"/>
  <c r="N277" i="4"/>
  <c r="G277" i="4" l="1"/>
  <c r="I277" i="4" s="1"/>
  <c r="AL277" i="4"/>
  <c r="X277" i="4"/>
  <c r="AA277" i="4" s="1"/>
  <c r="Y277" i="4"/>
  <c r="Q278" i="4"/>
  <c r="H278" i="4"/>
  <c r="B278" i="4"/>
  <c r="M278" i="4"/>
  <c r="C280" i="4"/>
  <c r="D279" i="4"/>
  <c r="V279" i="4" s="1"/>
  <c r="Z276" i="4"/>
  <c r="AJ278" i="4"/>
  <c r="V278" i="4"/>
  <c r="T278" i="4"/>
  <c r="J278" i="4"/>
  <c r="S278" i="4"/>
  <c r="R278" i="4"/>
  <c r="AK278" i="4"/>
  <c r="W278" i="4"/>
  <c r="U278" i="4"/>
  <c r="AI278" i="4"/>
  <c r="P278" i="4"/>
  <c r="L278" i="4"/>
  <c r="E278" i="4"/>
  <c r="N278" i="4"/>
  <c r="O278" i="4"/>
  <c r="K278" i="4"/>
  <c r="F278" i="4"/>
  <c r="Z277" i="4" l="1"/>
  <c r="W279" i="4"/>
  <c r="T279" i="4"/>
  <c r="X279" i="4" s="1"/>
  <c r="S279" i="4"/>
  <c r="R279" i="4"/>
  <c r="M279" i="4"/>
  <c r="AK279" i="4"/>
  <c r="F279" i="4"/>
  <c r="Y278" i="4"/>
  <c r="Q279" i="4"/>
  <c r="P279" i="4"/>
  <c r="N279" i="4"/>
  <c r="K279" i="4"/>
  <c r="J279" i="4"/>
  <c r="AI279" i="4"/>
  <c r="H279" i="4"/>
  <c r="E279" i="4"/>
  <c r="AJ279" i="4"/>
  <c r="U279" i="4"/>
  <c r="C281" i="4"/>
  <c r="D280" i="4"/>
  <c r="X278" i="4"/>
  <c r="G278" i="4"/>
  <c r="I278" i="4" s="1"/>
  <c r="AL278" i="4"/>
  <c r="B279" i="4"/>
  <c r="O279" i="4"/>
  <c r="L279" i="4"/>
  <c r="G279" i="4" l="1"/>
  <c r="I279" i="4" s="1"/>
  <c r="AL279" i="4"/>
  <c r="Y279" i="4"/>
  <c r="Z279" i="4" s="1"/>
  <c r="AA279" i="4"/>
  <c r="AI280" i="4"/>
  <c r="O280" i="4"/>
  <c r="R280" i="4"/>
  <c r="D281" i="4"/>
  <c r="C282" i="4"/>
  <c r="Z278" i="4"/>
  <c r="AA278" i="4"/>
  <c r="B280" i="4"/>
  <c r="W280" i="4"/>
  <c r="U280" i="4"/>
  <c r="V280" i="4"/>
  <c r="S280" i="4"/>
  <c r="N280" i="4"/>
  <c r="J280" i="4"/>
  <c r="F280" i="4"/>
  <c r="P280" i="4"/>
  <c r="M280" i="4"/>
  <c r="H280" i="4"/>
  <c r="K280" i="4"/>
  <c r="E280" i="4"/>
  <c r="T280" i="4"/>
  <c r="Q280" i="4"/>
  <c r="AK280" i="4"/>
  <c r="AJ280" i="4"/>
  <c r="L280" i="4"/>
  <c r="AL280" i="4" l="1"/>
  <c r="X280" i="4"/>
  <c r="AA280" i="4" s="1"/>
  <c r="T281" i="4"/>
  <c r="R281" i="4"/>
  <c r="Y280" i="4"/>
  <c r="G280" i="4"/>
  <c r="I280" i="4" s="1"/>
  <c r="P281" i="4"/>
  <c r="M281" i="4"/>
  <c r="F281" i="4"/>
  <c r="L281" i="4"/>
  <c r="D282" i="4"/>
  <c r="T282" i="4" s="1"/>
  <c r="C283" i="4"/>
  <c r="B281" i="4"/>
  <c r="E281" i="4"/>
  <c r="AI281" i="4"/>
  <c r="AJ281" i="4"/>
  <c r="S281" i="4"/>
  <c r="AK281" i="4"/>
  <c r="V281" i="4"/>
  <c r="U281" i="4"/>
  <c r="Q281" i="4"/>
  <c r="N281" i="4"/>
  <c r="J281" i="4"/>
  <c r="K281" i="4"/>
  <c r="O281" i="4"/>
  <c r="W281" i="4"/>
  <c r="H281" i="4"/>
  <c r="Z280" i="4" l="1"/>
  <c r="X281" i="4"/>
  <c r="AA281" i="4" s="1"/>
  <c r="U282" i="4"/>
  <c r="AI282" i="4"/>
  <c r="H282" i="4"/>
  <c r="AK282" i="4"/>
  <c r="V282" i="4"/>
  <c r="X282" i="4" s="1"/>
  <c r="S282" i="4"/>
  <c r="R282" i="4"/>
  <c r="W282" i="4"/>
  <c r="P282" i="4"/>
  <c r="AL281" i="4"/>
  <c r="G281" i="4"/>
  <c r="I281" i="4" s="1"/>
  <c r="D283" i="4"/>
  <c r="C284" i="4"/>
  <c r="Y281" i="4"/>
  <c r="B282" i="4"/>
  <c r="O282" i="4"/>
  <c r="L282" i="4"/>
  <c r="N282" i="4"/>
  <c r="K282" i="4"/>
  <c r="J282" i="4"/>
  <c r="E282" i="4"/>
  <c r="M282" i="4"/>
  <c r="F282" i="4"/>
  <c r="AJ282" i="4"/>
  <c r="Q282" i="4"/>
  <c r="AL282" i="4" l="1"/>
  <c r="Z281" i="4"/>
  <c r="Y282" i="4"/>
  <c r="Z282" i="4" s="1"/>
  <c r="G282" i="4"/>
  <c r="I282" i="4" s="1"/>
  <c r="AA282" i="4"/>
  <c r="M283" i="4"/>
  <c r="L283" i="4"/>
  <c r="K283" i="4"/>
  <c r="AK283" i="4"/>
  <c r="W283" i="4"/>
  <c r="U283" i="4"/>
  <c r="AJ283" i="4"/>
  <c r="C285" i="4"/>
  <c r="D284" i="4"/>
  <c r="B283" i="4"/>
  <c r="S283" i="4"/>
  <c r="O283" i="4"/>
  <c r="V283" i="4"/>
  <c r="T283" i="4"/>
  <c r="AI283" i="4"/>
  <c r="H283" i="4"/>
  <c r="F283" i="4"/>
  <c r="E283" i="4"/>
  <c r="J283" i="4"/>
  <c r="R283" i="4"/>
  <c r="Q283" i="4"/>
  <c r="P283" i="4"/>
  <c r="N283" i="4"/>
  <c r="Y283" i="4" l="1"/>
  <c r="G283" i="4"/>
  <c r="I283" i="4" s="1"/>
  <c r="H284" i="4"/>
  <c r="J284" i="4"/>
  <c r="X283" i="4"/>
  <c r="AL283" i="4"/>
  <c r="C286" i="4"/>
  <c r="D285" i="4"/>
  <c r="Q285" i="4" s="1"/>
  <c r="B284" i="4"/>
  <c r="W284" i="4"/>
  <c r="T284" i="4"/>
  <c r="O284" i="4"/>
  <c r="P284" i="4"/>
  <c r="V284" i="4"/>
  <c r="U284" i="4"/>
  <c r="N284" i="4"/>
  <c r="AJ284" i="4"/>
  <c r="AI284" i="4"/>
  <c r="F284" i="4"/>
  <c r="S284" i="4"/>
  <c r="Q284" i="4"/>
  <c r="M284" i="4"/>
  <c r="E284" i="4"/>
  <c r="AK284" i="4"/>
  <c r="L284" i="4"/>
  <c r="R284" i="4"/>
  <c r="K284" i="4"/>
  <c r="Y284" i="4" l="1"/>
  <c r="Z283" i="4"/>
  <c r="AA283" i="4"/>
  <c r="G284" i="4"/>
  <c r="I284" i="4" s="1"/>
  <c r="N285" i="4"/>
  <c r="P285" i="4"/>
  <c r="R285" i="4"/>
  <c r="M285" i="4"/>
  <c r="K285" i="4"/>
  <c r="J285" i="4"/>
  <c r="H285" i="4"/>
  <c r="F285" i="4"/>
  <c r="E285" i="4"/>
  <c r="D286" i="4"/>
  <c r="C287" i="4"/>
  <c r="B285" i="4"/>
  <c r="W285" i="4"/>
  <c r="X284" i="4"/>
  <c r="AL284" i="4"/>
  <c r="V285" i="4"/>
  <c r="AI285" i="4"/>
  <c r="L285" i="4"/>
  <c r="U285" i="4"/>
  <c r="AK285" i="4"/>
  <c r="AJ285" i="4"/>
  <c r="T285" i="4"/>
  <c r="S285" i="4"/>
  <c r="O285" i="4"/>
  <c r="X285" i="4" l="1"/>
  <c r="AA285" i="4" s="1"/>
  <c r="G285" i="4"/>
  <c r="I285" i="4" s="1"/>
  <c r="Y285" i="4"/>
  <c r="R286" i="4"/>
  <c r="S286" i="4"/>
  <c r="B286" i="4"/>
  <c r="T286" i="4"/>
  <c r="D287" i="4"/>
  <c r="J287" i="4" s="1"/>
  <c r="C288" i="4"/>
  <c r="Z284" i="4"/>
  <c r="AA284" i="4"/>
  <c r="AL285" i="4"/>
  <c r="V286" i="4"/>
  <c r="H286" i="4"/>
  <c r="M286" i="4"/>
  <c r="W286" i="4"/>
  <c r="Q286" i="4"/>
  <c r="J286" i="4"/>
  <c r="E286" i="4"/>
  <c r="L286" i="4"/>
  <c r="AI286" i="4"/>
  <c r="U286" i="4"/>
  <c r="AK286" i="4"/>
  <c r="N286" i="4"/>
  <c r="O286" i="4"/>
  <c r="K286" i="4"/>
  <c r="F286" i="4"/>
  <c r="AJ286" i="4"/>
  <c r="P286" i="4"/>
  <c r="Z285" i="4" l="1"/>
  <c r="Y286" i="4"/>
  <c r="AL286" i="4"/>
  <c r="B287" i="4"/>
  <c r="H287" i="4"/>
  <c r="C289" i="4"/>
  <c r="D288" i="4"/>
  <c r="X286" i="4"/>
  <c r="G286" i="4"/>
  <c r="I286" i="4" s="1"/>
  <c r="M287" i="4"/>
  <c r="O287" i="4"/>
  <c r="AI287" i="4"/>
  <c r="Q287" i="4"/>
  <c r="N287" i="4"/>
  <c r="L287" i="4"/>
  <c r="AK287" i="4"/>
  <c r="AJ287" i="4"/>
  <c r="W287" i="4"/>
  <c r="V287" i="4"/>
  <c r="R287" i="4"/>
  <c r="P287" i="4"/>
  <c r="K287" i="4"/>
  <c r="U287" i="4"/>
  <c r="T287" i="4"/>
  <c r="F287" i="4"/>
  <c r="S287" i="4"/>
  <c r="E287" i="4"/>
  <c r="G287" i="4" l="1"/>
  <c r="I287" i="4" s="1"/>
  <c r="AL287" i="4"/>
  <c r="Y287" i="4"/>
  <c r="AK288" i="4"/>
  <c r="S288" i="4"/>
  <c r="AI288" i="4"/>
  <c r="N288" i="4"/>
  <c r="R288" i="4"/>
  <c r="Q288" i="4"/>
  <c r="O288" i="4"/>
  <c r="T288" i="4"/>
  <c r="E288" i="4"/>
  <c r="U288" i="4"/>
  <c r="W288" i="4"/>
  <c r="K288" i="4"/>
  <c r="H288" i="4"/>
  <c r="M288" i="4"/>
  <c r="F288" i="4"/>
  <c r="P288" i="4"/>
  <c r="AJ288" i="4"/>
  <c r="L288" i="4"/>
  <c r="J288" i="4"/>
  <c r="D289" i="4"/>
  <c r="C290" i="4"/>
  <c r="B288" i="4"/>
  <c r="V288" i="4"/>
  <c r="Z286" i="4"/>
  <c r="AA286" i="4"/>
  <c r="X287" i="4"/>
  <c r="AK289" i="4" l="1"/>
  <c r="AI289" i="4"/>
  <c r="W289" i="4"/>
  <c r="V289" i="4"/>
  <c r="K289" i="4"/>
  <c r="X288" i="4"/>
  <c r="AA288" i="4" s="1"/>
  <c r="G288" i="4"/>
  <c r="I288" i="4" s="1"/>
  <c r="J289" i="4"/>
  <c r="L289" i="4"/>
  <c r="H289" i="4"/>
  <c r="U289" i="4"/>
  <c r="AL288" i="4"/>
  <c r="Y288" i="4"/>
  <c r="C291" i="4"/>
  <c r="D290" i="4"/>
  <c r="Z287" i="4"/>
  <c r="AA287" i="4"/>
  <c r="B289" i="4"/>
  <c r="O289" i="4"/>
  <c r="AJ289" i="4"/>
  <c r="T289" i="4"/>
  <c r="S289" i="4"/>
  <c r="R289" i="4"/>
  <c r="Q289" i="4"/>
  <c r="P289" i="4"/>
  <c r="N289" i="4"/>
  <c r="M289" i="4"/>
  <c r="F289" i="4"/>
  <c r="E289" i="4"/>
  <c r="AL289" i="4" l="1"/>
  <c r="Y289" i="4"/>
  <c r="Z288" i="4"/>
  <c r="X289" i="4"/>
  <c r="AA289" i="4" s="1"/>
  <c r="G289" i="4"/>
  <c r="I289" i="4" s="1"/>
  <c r="J290" i="4"/>
  <c r="L290" i="4"/>
  <c r="S290" i="4"/>
  <c r="E290" i="4"/>
  <c r="C292" i="4"/>
  <c r="D291" i="4"/>
  <c r="N291" i="4" s="1"/>
  <c r="B290" i="4"/>
  <c r="AJ290" i="4"/>
  <c r="V290" i="4"/>
  <c r="O290" i="4"/>
  <c r="H290" i="4"/>
  <c r="F290" i="4"/>
  <c r="R290" i="4"/>
  <c r="Q290" i="4"/>
  <c r="AK290" i="4"/>
  <c r="W290" i="4"/>
  <c r="U290" i="4"/>
  <c r="P290" i="4"/>
  <c r="T290" i="4"/>
  <c r="N290" i="4"/>
  <c r="M290" i="4"/>
  <c r="K290" i="4"/>
  <c r="AI290" i="4"/>
  <c r="Y290" i="4" l="1"/>
  <c r="Z289" i="4"/>
  <c r="X290" i="4"/>
  <c r="G290" i="4"/>
  <c r="I290" i="4" s="1"/>
  <c r="J291" i="4"/>
  <c r="H291" i="4"/>
  <c r="S291" i="4"/>
  <c r="O291" i="4"/>
  <c r="L291" i="4"/>
  <c r="AK291" i="4"/>
  <c r="U291" i="4"/>
  <c r="R291" i="4"/>
  <c r="T291" i="4"/>
  <c r="M291" i="4"/>
  <c r="K291" i="4"/>
  <c r="F291" i="4"/>
  <c r="C293" i="4"/>
  <c r="D292" i="4"/>
  <c r="AL290" i="4"/>
  <c r="B291" i="4"/>
  <c r="Q291" i="4"/>
  <c r="AI291" i="4"/>
  <c r="AJ291" i="4"/>
  <c r="W291" i="4"/>
  <c r="P291" i="4"/>
  <c r="E291" i="4"/>
  <c r="V291" i="4"/>
  <c r="AA290" i="4" l="1"/>
  <c r="Z290" i="4"/>
  <c r="AL291" i="4"/>
  <c r="Y291" i="4"/>
  <c r="G291" i="4"/>
  <c r="I291" i="4" s="1"/>
  <c r="X291" i="4"/>
  <c r="AA291" i="4" s="1"/>
  <c r="D293" i="4"/>
  <c r="C294" i="4"/>
  <c r="B292" i="4"/>
  <c r="E292" i="4"/>
  <c r="AJ292" i="4"/>
  <c r="AI292" i="4"/>
  <c r="J292" i="4"/>
  <c r="H292" i="4"/>
  <c r="F292" i="4"/>
  <c r="O292" i="4"/>
  <c r="T292" i="4"/>
  <c r="L292" i="4"/>
  <c r="AK292" i="4"/>
  <c r="V292" i="4"/>
  <c r="U292" i="4"/>
  <c r="P292" i="4"/>
  <c r="N292" i="4"/>
  <c r="Q292" i="4"/>
  <c r="S292" i="4"/>
  <c r="W292" i="4"/>
  <c r="R292" i="4"/>
  <c r="K292" i="4"/>
  <c r="M292" i="4"/>
  <c r="G292" i="4" l="1"/>
  <c r="I292" i="4" s="1"/>
  <c r="Z291" i="4"/>
  <c r="AL292" i="4"/>
  <c r="B293" i="4"/>
  <c r="L293" i="4"/>
  <c r="C295" i="4"/>
  <c r="D294" i="4"/>
  <c r="L294" i="4" s="1"/>
  <c r="Y292" i="4"/>
  <c r="X292" i="4"/>
  <c r="AA292" i="4" s="1"/>
  <c r="N293" i="4"/>
  <c r="AI293" i="4"/>
  <c r="W293" i="4"/>
  <c r="U293" i="4"/>
  <c r="R293" i="4"/>
  <c r="K293" i="4"/>
  <c r="F293" i="4"/>
  <c r="H293" i="4"/>
  <c r="M293" i="4"/>
  <c r="AK293" i="4"/>
  <c r="V293" i="4"/>
  <c r="T293" i="4"/>
  <c r="S293" i="4"/>
  <c r="Q293" i="4"/>
  <c r="P293" i="4"/>
  <c r="J293" i="4"/>
  <c r="E293" i="4"/>
  <c r="O293" i="4"/>
  <c r="AJ293" i="4"/>
  <c r="AL293" i="4" l="1"/>
  <c r="G293" i="4"/>
  <c r="I293" i="4" s="1"/>
  <c r="Y293" i="4"/>
  <c r="X293" i="4"/>
  <c r="AA293" i="4" s="1"/>
  <c r="Z292" i="4"/>
  <c r="C296" i="4"/>
  <c r="D295" i="4"/>
  <c r="B294" i="4"/>
  <c r="AJ294" i="4"/>
  <c r="E294" i="4"/>
  <c r="V294" i="4"/>
  <c r="U294" i="4"/>
  <c r="T294" i="4"/>
  <c r="R294" i="4"/>
  <c r="W294" i="4"/>
  <c r="AK294" i="4"/>
  <c r="AI294" i="4"/>
  <c r="Q294" i="4"/>
  <c r="O294" i="4"/>
  <c r="P294" i="4"/>
  <c r="N294" i="4"/>
  <c r="J294" i="4"/>
  <c r="F294" i="4"/>
  <c r="S294" i="4"/>
  <c r="M294" i="4"/>
  <c r="K294" i="4"/>
  <c r="H294" i="4"/>
  <c r="Z293" i="4" l="1"/>
  <c r="AL294" i="4"/>
  <c r="G294" i="4"/>
  <c r="I294" i="4" s="1"/>
  <c r="Y294" i="4"/>
  <c r="C297" i="4"/>
  <c r="D296" i="4"/>
  <c r="AK296" i="4" s="1"/>
  <c r="X294" i="4"/>
  <c r="B295" i="4"/>
  <c r="AI295" i="4"/>
  <c r="Q295" i="4"/>
  <c r="F295" i="4"/>
  <c r="E295" i="4"/>
  <c r="AJ295" i="4"/>
  <c r="V295" i="4"/>
  <c r="R295" i="4"/>
  <c r="J295" i="4"/>
  <c r="H295" i="4"/>
  <c r="M295" i="4"/>
  <c r="T295" i="4"/>
  <c r="U295" i="4"/>
  <c r="N295" i="4"/>
  <c r="O295" i="4"/>
  <c r="L295" i="4"/>
  <c r="W295" i="4"/>
  <c r="S295" i="4"/>
  <c r="K295" i="4"/>
  <c r="AK295" i="4"/>
  <c r="P295" i="4"/>
  <c r="AL295" i="4" l="1"/>
  <c r="Y295" i="4"/>
  <c r="X295" i="4"/>
  <c r="AI296" i="4"/>
  <c r="AL296" i="4" s="1"/>
  <c r="U296" i="4"/>
  <c r="AJ296" i="4"/>
  <c r="E296" i="4"/>
  <c r="D297" i="4"/>
  <c r="AK297" i="4" s="1"/>
  <c r="C298" i="4"/>
  <c r="Z294" i="4"/>
  <c r="AA294" i="4"/>
  <c r="G295" i="4"/>
  <c r="I295" i="4" s="1"/>
  <c r="B296" i="4"/>
  <c r="W296" i="4"/>
  <c r="V296" i="4"/>
  <c r="T296" i="4"/>
  <c r="S296" i="4"/>
  <c r="R296" i="4"/>
  <c r="O296" i="4"/>
  <c r="Q296" i="4"/>
  <c r="P296" i="4"/>
  <c r="N296" i="4"/>
  <c r="M296" i="4"/>
  <c r="K296" i="4"/>
  <c r="J296" i="4"/>
  <c r="F296" i="4"/>
  <c r="L296" i="4"/>
  <c r="H296" i="4"/>
  <c r="Z295" i="4" l="1"/>
  <c r="AA295" i="4"/>
  <c r="J297" i="4"/>
  <c r="N297" i="4"/>
  <c r="U297" i="4"/>
  <c r="K297" i="4"/>
  <c r="F297" i="4"/>
  <c r="T297" i="4"/>
  <c r="L297" i="4"/>
  <c r="AI297" i="4"/>
  <c r="AL297" i="4" s="1"/>
  <c r="V297" i="4"/>
  <c r="O297" i="4"/>
  <c r="P297" i="4"/>
  <c r="Y296" i="4"/>
  <c r="X296" i="4"/>
  <c r="AA296" i="4" s="1"/>
  <c r="G296" i="4"/>
  <c r="I296" i="4" s="1"/>
  <c r="Q297" i="4"/>
  <c r="H297" i="4"/>
  <c r="W297" i="4"/>
  <c r="R297" i="4"/>
  <c r="D298" i="4"/>
  <c r="C299" i="4"/>
  <c r="B297" i="4"/>
  <c r="AJ297" i="4"/>
  <c r="S297" i="4"/>
  <c r="M297" i="4"/>
  <c r="E297" i="4"/>
  <c r="X297" i="4" l="1"/>
  <c r="AA297" i="4" s="1"/>
  <c r="Z296" i="4"/>
  <c r="Y297" i="4"/>
  <c r="V298" i="4"/>
  <c r="U298" i="4"/>
  <c r="G297" i="4"/>
  <c r="I297" i="4" s="1"/>
  <c r="H298" i="4"/>
  <c r="AK298" i="4"/>
  <c r="F298" i="4"/>
  <c r="E298" i="4"/>
  <c r="R298" i="4"/>
  <c r="Q298" i="4"/>
  <c r="T298" i="4"/>
  <c r="P298" i="4"/>
  <c r="N298" i="4"/>
  <c r="L298" i="4"/>
  <c r="K298" i="4"/>
  <c r="J298" i="4"/>
  <c r="AI298" i="4"/>
  <c r="AJ298" i="4"/>
  <c r="D299" i="4"/>
  <c r="C300" i="4"/>
  <c r="B298" i="4"/>
  <c r="O298" i="4"/>
  <c r="M298" i="4"/>
  <c r="W298" i="4"/>
  <c r="S298" i="4"/>
  <c r="Z297" i="4" l="1"/>
  <c r="G298" i="4"/>
  <c r="I298" i="4" s="1"/>
  <c r="X298" i="4"/>
  <c r="AA298" i="4" s="1"/>
  <c r="Y298" i="4"/>
  <c r="E299" i="4"/>
  <c r="L299" i="4"/>
  <c r="AL298" i="4"/>
  <c r="C301" i="4"/>
  <c r="D300" i="4"/>
  <c r="B299" i="4"/>
  <c r="AK299" i="4"/>
  <c r="AJ299" i="4"/>
  <c r="AI299" i="4"/>
  <c r="W299" i="4"/>
  <c r="V299" i="4"/>
  <c r="U299" i="4"/>
  <c r="T299" i="4"/>
  <c r="S299" i="4"/>
  <c r="R299" i="4"/>
  <c r="H299" i="4"/>
  <c r="Q299" i="4"/>
  <c r="P299" i="4"/>
  <c r="N299" i="4"/>
  <c r="M299" i="4"/>
  <c r="O299" i="4"/>
  <c r="K299" i="4"/>
  <c r="J299" i="4"/>
  <c r="F299" i="4"/>
  <c r="G299" i="4" l="1"/>
  <c r="I299" i="4" s="1"/>
  <c r="Z298" i="4"/>
  <c r="Y299" i="4"/>
  <c r="X299" i="4"/>
  <c r="F300" i="4"/>
  <c r="W300" i="4"/>
  <c r="U300" i="4"/>
  <c r="D301" i="4"/>
  <c r="C302" i="4"/>
  <c r="AL299" i="4"/>
  <c r="B300" i="4"/>
  <c r="N300" i="4"/>
  <c r="H300" i="4"/>
  <c r="R300" i="4"/>
  <c r="M300" i="4"/>
  <c r="S300" i="4"/>
  <c r="AJ300" i="4"/>
  <c r="V300" i="4"/>
  <c r="T300" i="4"/>
  <c r="K300" i="4"/>
  <c r="J300" i="4"/>
  <c r="L300" i="4"/>
  <c r="E300" i="4"/>
  <c r="O300" i="4"/>
  <c r="AI300" i="4"/>
  <c r="Q300" i="4"/>
  <c r="P300" i="4"/>
  <c r="AK300" i="4"/>
  <c r="AL300" i="4" l="1"/>
  <c r="G300" i="4"/>
  <c r="I300" i="4" s="1"/>
  <c r="Y300" i="4"/>
  <c r="Z299" i="4"/>
  <c r="AA299" i="4"/>
  <c r="E301" i="4"/>
  <c r="AK301" i="4"/>
  <c r="AJ301" i="4"/>
  <c r="W301" i="4"/>
  <c r="L301" i="4"/>
  <c r="D302" i="4"/>
  <c r="C303" i="4"/>
  <c r="X300" i="4"/>
  <c r="B301" i="4"/>
  <c r="V301" i="4"/>
  <c r="U301" i="4"/>
  <c r="T301" i="4"/>
  <c r="S301" i="4"/>
  <c r="R301" i="4"/>
  <c r="Q301" i="4"/>
  <c r="P301" i="4"/>
  <c r="H301" i="4"/>
  <c r="N301" i="4"/>
  <c r="M301" i="4"/>
  <c r="K301" i="4"/>
  <c r="J301" i="4"/>
  <c r="O301" i="4"/>
  <c r="F301" i="4"/>
  <c r="AI301" i="4"/>
  <c r="G301" i="4" l="1"/>
  <c r="I301" i="4" s="1"/>
  <c r="J302" i="4"/>
  <c r="Q302" i="4"/>
  <c r="L302" i="4"/>
  <c r="Y301" i="4"/>
  <c r="X301" i="4"/>
  <c r="AA301" i="4" s="1"/>
  <c r="AL301" i="4"/>
  <c r="O302" i="4"/>
  <c r="K302" i="4"/>
  <c r="AI302" i="4"/>
  <c r="B302" i="4"/>
  <c r="M302" i="4"/>
  <c r="C304" i="4"/>
  <c r="D303" i="4"/>
  <c r="AA300" i="4"/>
  <c r="Z300" i="4"/>
  <c r="H302" i="4"/>
  <c r="E302" i="4"/>
  <c r="W302" i="4"/>
  <c r="R302" i="4"/>
  <c r="P302" i="4"/>
  <c r="F302" i="4"/>
  <c r="AK302" i="4"/>
  <c r="U302" i="4"/>
  <c r="N302" i="4"/>
  <c r="AJ302" i="4"/>
  <c r="V302" i="4"/>
  <c r="T302" i="4"/>
  <c r="S302" i="4"/>
  <c r="Z301" i="4" l="1"/>
  <c r="G302" i="4"/>
  <c r="I302" i="4" s="1"/>
  <c r="AL302" i="4"/>
  <c r="C305" i="4"/>
  <c r="D304" i="4"/>
  <c r="Y302" i="4"/>
  <c r="X302" i="4"/>
  <c r="AA302" i="4" s="1"/>
  <c r="B303" i="4"/>
  <c r="Q303" i="4"/>
  <c r="M303" i="4"/>
  <c r="W303" i="4"/>
  <c r="V303" i="4"/>
  <c r="T303" i="4"/>
  <c r="R303" i="4"/>
  <c r="N303" i="4"/>
  <c r="K303" i="4"/>
  <c r="E303" i="4"/>
  <c r="L303" i="4"/>
  <c r="F303" i="4"/>
  <c r="H303" i="4"/>
  <c r="J303" i="4"/>
  <c r="O303" i="4"/>
  <c r="AK303" i="4"/>
  <c r="AJ303" i="4"/>
  <c r="AI303" i="4"/>
  <c r="U303" i="4"/>
  <c r="S303" i="4"/>
  <c r="P303" i="4"/>
  <c r="X303" i="4" l="1"/>
  <c r="AA303" i="4" s="1"/>
  <c r="Y303" i="4"/>
  <c r="S304" i="4"/>
  <c r="R304" i="4"/>
  <c r="Q304" i="4"/>
  <c r="P304" i="4"/>
  <c r="C306" i="4"/>
  <c r="D305" i="4"/>
  <c r="G303" i="4"/>
  <c r="I303" i="4" s="1"/>
  <c r="AL303" i="4"/>
  <c r="Z302" i="4"/>
  <c r="B304" i="4"/>
  <c r="AJ304" i="4"/>
  <c r="AI304" i="4"/>
  <c r="AK304" i="4"/>
  <c r="V304" i="4"/>
  <c r="W304" i="4"/>
  <c r="T304" i="4"/>
  <c r="L304" i="4"/>
  <c r="N304" i="4"/>
  <c r="K304" i="4"/>
  <c r="O304" i="4"/>
  <c r="U304" i="4"/>
  <c r="J304" i="4"/>
  <c r="H304" i="4"/>
  <c r="F304" i="4"/>
  <c r="E304" i="4"/>
  <c r="M304" i="4"/>
  <c r="Z303" i="4" l="1"/>
  <c r="AL304" i="4"/>
  <c r="X304" i="4"/>
  <c r="AA304" i="4" s="1"/>
  <c r="Y304" i="4"/>
  <c r="G304" i="4"/>
  <c r="I304" i="4" s="1"/>
  <c r="D306" i="4"/>
  <c r="C307" i="4"/>
  <c r="B305" i="4"/>
  <c r="N305" i="4"/>
  <c r="H305" i="4"/>
  <c r="F305" i="4"/>
  <c r="AK305" i="4"/>
  <c r="V305" i="4"/>
  <c r="R305" i="4"/>
  <c r="P305" i="4"/>
  <c r="U305" i="4"/>
  <c r="Q305" i="4"/>
  <c r="M305" i="4"/>
  <c r="O305" i="4"/>
  <c r="K305" i="4"/>
  <c r="J305" i="4"/>
  <c r="AI305" i="4"/>
  <c r="E305" i="4"/>
  <c r="L305" i="4"/>
  <c r="AJ305" i="4"/>
  <c r="W305" i="4"/>
  <c r="S305" i="4"/>
  <c r="T305" i="4"/>
  <c r="X305" i="4" l="1"/>
  <c r="AA305" i="4" s="1"/>
  <c r="G305" i="4"/>
  <c r="I305" i="4" s="1"/>
  <c r="Z304" i="4"/>
  <c r="Y305" i="4"/>
  <c r="R306" i="4"/>
  <c r="F306" i="4"/>
  <c r="B306" i="4"/>
  <c r="AK306" i="4"/>
  <c r="C308" i="4"/>
  <c r="D307" i="4"/>
  <c r="K307" i="4" s="1"/>
  <c r="AL305" i="4"/>
  <c r="P306" i="4"/>
  <c r="E306" i="4"/>
  <c r="K306" i="4"/>
  <c r="H306" i="4"/>
  <c r="L306" i="4"/>
  <c r="W306" i="4"/>
  <c r="T306" i="4"/>
  <c r="Q306" i="4"/>
  <c r="V306" i="4"/>
  <c r="N306" i="4"/>
  <c r="J306" i="4"/>
  <c r="O306" i="4"/>
  <c r="M306" i="4"/>
  <c r="AJ306" i="4"/>
  <c r="U306" i="4"/>
  <c r="S306" i="4"/>
  <c r="AI306" i="4"/>
  <c r="Z305" i="4" l="1"/>
  <c r="AL306" i="4"/>
  <c r="X306" i="4"/>
  <c r="AA306" i="4" s="1"/>
  <c r="Y306" i="4"/>
  <c r="J307" i="4"/>
  <c r="O307" i="4"/>
  <c r="H307" i="4"/>
  <c r="F307" i="4"/>
  <c r="L307" i="4"/>
  <c r="AK307" i="4"/>
  <c r="E307" i="4"/>
  <c r="AJ307" i="4"/>
  <c r="W307" i="4"/>
  <c r="S307" i="4"/>
  <c r="V307" i="4"/>
  <c r="U307" i="4"/>
  <c r="T307" i="4"/>
  <c r="G306" i="4"/>
  <c r="I306" i="4" s="1"/>
  <c r="C309" i="4"/>
  <c r="D308" i="4"/>
  <c r="K308" i="4" s="1"/>
  <c r="B307" i="4"/>
  <c r="R307" i="4"/>
  <c r="Q307" i="4"/>
  <c r="N307" i="4"/>
  <c r="M307" i="4"/>
  <c r="AI307" i="4"/>
  <c r="P307" i="4"/>
  <c r="Z306" i="4" l="1"/>
  <c r="G307" i="4"/>
  <c r="I307" i="4" s="1"/>
  <c r="Y307" i="4"/>
  <c r="X307" i="4"/>
  <c r="AL307" i="4"/>
  <c r="T308" i="4"/>
  <c r="U308" i="4"/>
  <c r="H308" i="4"/>
  <c r="N308" i="4"/>
  <c r="J308" i="4"/>
  <c r="F308" i="4"/>
  <c r="S308" i="4"/>
  <c r="W308" i="4"/>
  <c r="V308" i="4"/>
  <c r="AJ308" i="4"/>
  <c r="R308" i="4"/>
  <c r="O308" i="4"/>
  <c r="Q308" i="4"/>
  <c r="C310" i="4"/>
  <c r="D309" i="4"/>
  <c r="AK309" i="4" s="1"/>
  <c r="B308" i="4"/>
  <c r="L308" i="4"/>
  <c r="E308" i="4"/>
  <c r="M308" i="4"/>
  <c r="P308" i="4"/>
  <c r="AI308" i="4"/>
  <c r="AK308" i="4"/>
  <c r="AA307" i="4" l="1"/>
  <c r="Z307" i="4"/>
  <c r="X308" i="4"/>
  <c r="AA308" i="4" s="1"/>
  <c r="Y308" i="4"/>
  <c r="G308" i="4"/>
  <c r="I308" i="4" s="1"/>
  <c r="C311" i="4"/>
  <c r="D310" i="4"/>
  <c r="T310" i="4" s="1"/>
  <c r="B309" i="4"/>
  <c r="L309" i="4"/>
  <c r="AL308" i="4"/>
  <c r="V309" i="4"/>
  <c r="E309" i="4"/>
  <c r="S309" i="4"/>
  <c r="T309" i="4"/>
  <c r="R309" i="4"/>
  <c r="K309" i="4"/>
  <c r="J309" i="4"/>
  <c r="H309" i="4"/>
  <c r="F309" i="4"/>
  <c r="AI309" i="4"/>
  <c r="AL309" i="4" s="1"/>
  <c r="Q309" i="4"/>
  <c r="P309" i="4"/>
  <c r="N309" i="4"/>
  <c r="M309" i="4"/>
  <c r="U309" i="4"/>
  <c r="AJ309" i="4"/>
  <c r="O309" i="4"/>
  <c r="W309" i="4"/>
  <c r="Z308" i="4" l="1"/>
  <c r="X309" i="4"/>
  <c r="AA309" i="4" s="1"/>
  <c r="Y309" i="4"/>
  <c r="C312" i="4"/>
  <c r="D311" i="4"/>
  <c r="H311" i="4" s="1"/>
  <c r="G309" i="4"/>
  <c r="I309" i="4" s="1"/>
  <c r="B310" i="4"/>
  <c r="K310" i="4"/>
  <c r="AK310" i="4"/>
  <c r="AJ310" i="4"/>
  <c r="V310" i="4"/>
  <c r="X310" i="4" s="1"/>
  <c r="R310" i="4"/>
  <c r="N310" i="4"/>
  <c r="H310" i="4"/>
  <c r="L310" i="4"/>
  <c r="E310" i="4"/>
  <c r="U310" i="4"/>
  <c r="Q310" i="4"/>
  <c r="AI310" i="4"/>
  <c r="O310" i="4"/>
  <c r="F310" i="4"/>
  <c r="J310" i="4"/>
  <c r="M310" i="4"/>
  <c r="W310" i="4"/>
  <c r="S310" i="4"/>
  <c r="P310" i="4"/>
  <c r="Z309" i="4" l="1"/>
  <c r="G310" i="4"/>
  <c r="I310" i="4" s="1"/>
  <c r="AA310" i="4"/>
  <c r="C313" i="4"/>
  <c r="D312" i="4"/>
  <c r="N312" i="4" s="1"/>
  <c r="B311" i="4"/>
  <c r="T311" i="4"/>
  <c r="Y310" i="4"/>
  <c r="Z310" i="4" s="1"/>
  <c r="AL310" i="4"/>
  <c r="AJ311" i="4"/>
  <c r="V311" i="4"/>
  <c r="U311" i="4"/>
  <c r="Q311" i="4"/>
  <c r="AK311" i="4"/>
  <c r="W311" i="4"/>
  <c r="S311" i="4"/>
  <c r="N311" i="4"/>
  <c r="M311" i="4"/>
  <c r="K311" i="4"/>
  <c r="F311" i="4"/>
  <c r="L311" i="4"/>
  <c r="AI311" i="4"/>
  <c r="O311" i="4"/>
  <c r="P311" i="4"/>
  <c r="E311" i="4"/>
  <c r="R311" i="4"/>
  <c r="J311" i="4"/>
  <c r="X311" i="4" l="1"/>
  <c r="AA311" i="4" s="1"/>
  <c r="Y311" i="4"/>
  <c r="G311" i="4"/>
  <c r="I311" i="4" s="1"/>
  <c r="D313" i="4"/>
  <c r="C314" i="4"/>
  <c r="AL311" i="4"/>
  <c r="B312" i="4"/>
  <c r="J312" i="4"/>
  <c r="E312" i="4"/>
  <c r="O312" i="4"/>
  <c r="U312" i="4"/>
  <c r="M312" i="4"/>
  <c r="V312" i="4"/>
  <c r="S312" i="4"/>
  <c r="Q312" i="4"/>
  <c r="K312" i="4"/>
  <c r="AJ312" i="4"/>
  <c r="AI312" i="4"/>
  <c r="H312" i="4"/>
  <c r="L312" i="4"/>
  <c r="AK312" i="4"/>
  <c r="W312" i="4"/>
  <c r="T312" i="4"/>
  <c r="R312" i="4"/>
  <c r="P312" i="4"/>
  <c r="F312" i="4"/>
  <c r="Z311" i="4" l="1"/>
  <c r="AK313" i="4"/>
  <c r="W313" i="4"/>
  <c r="AL312" i="4"/>
  <c r="X312" i="4"/>
  <c r="AA312" i="4" s="1"/>
  <c r="D314" i="4"/>
  <c r="C315" i="4"/>
  <c r="G312" i="4"/>
  <c r="I312" i="4" s="1"/>
  <c r="Y312" i="4"/>
  <c r="B313" i="4"/>
  <c r="V313" i="4"/>
  <c r="U313" i="4"/>
  <c r="T313" i="4"/>
  <c r="O313" i="4"/>
  <c r="N313" i="4"/>
  <c r="M313" i="4"/>
  <c r="S313" i="4"/>
  <c r="AI313" i="4"/>
  <c r="K313" i="4"/>
  <c r="J313" i="4"/>
  <c r="L313" i="4"/>
  <c r="H313" i="4"/>
  <c r="F313" i="4"/>
  <c r="E313" i="4"/>
  <c r="R313" i="4"/>
  <c r="Q313" i="4"/>
  <c r="P313" i="4"/>
  <c r="AJ313" i="4"/>
  <c r="AL313" i="4" l="1"/>
  <c r="Y313" i="4"/>
  <c r="Z312" i="4"/>
  <c r="G313" i="4"/>
  <c r="I313" i="4" s="1"/>
  <c r="P314" i="4"/>
  <c r="V314" i="4"/>
  <c r="H314" i="4"/>
  <c r="F314" i="4"/>
  <c r="E314" i="4"/>
  <c r="AK314" i="4"/>
  <c r="AJ314" i="4"/>
  <c r="W314" i="4"/>
  <c r="U314" i="4"/>
  <c r="B314" i="4"/>
  <c r="M314" i="4"/>
  <c r="D315" i="4"/>
  <c r="C316" i="4"/>
  <c r="X313" i="4"/>
  <c r="N314" i="4"/>
  <c r="L314" i="4"/>
  <c r="J314" i="4"/>
  <c r="O314" i="4"/>
  <c r="T314" i="4"/>
  <c r="S314" i="4"/>
  <c r="R314" i="4"/>
  <c r="AI314" i="4"/>
  <c r="Q314" i="4"/>
  <c r="K314" i="4"/>
  <c r="Y314" i="4" l="1"/>
  <c r="G314" i="4"/>
  <c r="I314" i="4" s="1"/>
  <c r="AL314" i="4"/>
  <c r="AK315" i="4"/>
  <c r="O315" i="4"/>
  <c r="X314" i="4"/>
  <c r="D316" i="4"/>
  <c r="C317" i="4"/>
  <c r="AA313" i="4"/>
  <c r="Z313" i="4"/>
  <c r="B315" i="4"/>
  <c r="M315" i="4"/>
  <c r="E315" i="4"/>
  <c r="J315" i="4"/>
  <c r="AJ315" i="4"/>
  <c r="AI315" i="4"/>
  <c r="U315" i="4"/>
  <c r="S315" i="4"/>
  <c r="P315" i="4"/>
  <c r="K315" i="4"/>
  <c r="H315" i="4"/>
  <c r="W315" i="4"/>
  <c r="T315" i="4"/>
  <c r="Q315" i="4"/>
  <c r="N315" i="4"/>
  <c r="L315" i="4"/>
  <c r="F315" i="4"/>
  <c r="V315" i="4"/>
  <c r="R315" i="4"/>
  <c r="AL315" i="4" l="1"/>
  <c r="Y315" i="4"/>
  <c r="X315" i="4"/>
  <c r="AA315" i="4" s="1"/>
  <c r="Z314" i="4"/>
  <c r="AA314" i="4"/>
  <c r="D317" i="4"/>
  <c r="C318" i="4"/>
  <c r="G315" i="4"/>
  <c r="I315" i="4" s="1"/>
  <c r="B316" i="4"/>
  <c r="O316" i="4"/>
  <c r="AK316" i="4"/>
  <c r="AJ316" i="4"/>
  <c r="W316" i="4"/>
  <c r="V316" i="4"/>
  <c r="F316" i="4"/>
  <c r="L316" i="4"/>
  <c r="T316" i="4"/>
  <c r="S316" i="4"/>
  <c r="Q316" i="4"/>
  <c r="M316" i="4"/>
  <c r="K316" i="4"/>
  <c r="E316" i="4"/>
  <c r="J316" i="4"/>
  <c r="U316" i="4"/>
  <c r="N316" i="4"/>
  <c r="H316" i="4"/>
  <c r="R316" i="4"/>
  <c r="AI316" i="4"/>
  <c r="P316" i="4"/>
  <c r="G316" i="4" l="1"/>
  <c r="I316" i="4" s="1"/>
  <c r="Z315" i="4"/>
  <c r="Y316" i="4"/>
  <c r="O317" i="4"/>
  <c r="AJ317" i="4"/>
  <c r="D318" i="4"/>
  <c r="C319" i="4"/>
  <c r="X316" i="4"/>
  <c r="AL316" i="4"/>
  <c r="B317" i="4"/>
  <c r="J317" i="4"/>
  <c r="W317" i="4"/>
  <c r="S317" i="4"/>
  <c r="M317" i="4"/>
  <c r="E317" i="4"/>
  <c r="F317" i="4"/>
  <c r="AI317" i="4"/>
  <c r="L317" i="4"/>
  <c r="U317" i="4"/>
  <c r="R317" i="4"/>
  <c r="Q317" i="4"/>
  <c r="P317" i="4"/>
  <c r="K317" i="4"/>
  <c r="H317" i="4"/>
  <c r="T317" i="4"/>
  <c r="V317" i="4"/>
  <c r="N317" i="4"/>
  <c r="AK317" i="4"/>
  <c r="Y317" i="4" l="1"/>
  <c r="AI318" i="4"/>
  <c r="M318" i="4"/>
  <c r="L318" i="4"/>
  <c r="AK318" i="4"/>
  <c r="AJ318" i="4"/>
  <c r="W318" i="4"/>
  <c r="V318" i="4"/>
  <c r="U318" i="4"/>
  <c r="J318" i="4"/>
  <c r="S318" i="4"/>
  <c r="F318" i="4"/>
  <c r="O318" i="4"/>
  <c r="N318" i="4"/>
  <c r="T318" i="4"/>
  <c r="R318" i="4"/>
  <c r="E318" i="4"/>
  <c r="C320" i="4"/>
  <c r="D319" i="4"/>
  <c r="Z316" i="4"/>
  <c r="AA316" i="4"/>
  <c r="X317" i="4"/>
  <c r="G317" i="4"/>
  <c r="I317" i="4" s="1"/>
  <c r="AL317" i="4"/>
  <c r="B318" i="4"/>
  <c r="K318" i="4"/>
  <c r="Q318" i="4"/>
  <c r="H318" i="4"/>
  <c r="P318" i="4"/>
  <c r="K319" i="4" l="1"/>
  <c r="AI319" i="4"/>
  <c r="AL318" i="4"/>
  <c r="X318" i="4"/>
  <c r="AA318" i="4" s="1"/>
  <c r="Y318" i="4"/>
  <c r="Q319" i="4"/>
  <c r="M319" i="4"/>
  <c r="AK319" i="4"/>
  <c r="W319" i="4"/>
  <c r="U319" i="4"/>
  <c r="AJ319" i="4"/>
  <c r="V319" i="4"/>
  <c r="T319" i="4"/>
  <c r="O319" i="4"/>
  <c r="S319" i="4"/>
  <c r="R319" i="4"/>
  <c r="J319" i="4"/>
  <c r="G318" i="4"/>
  <c r="I318" i="4" s="1"/>
  <c r="C321" i="4"/>
  <c r="D320" i="4"/>
  <c r="AK320" i="4" s="1"/>
  <c r="Z317" i="4"/>
  <c r="AA317" i="4"/>
  <c r="B319" i="4"/>
  <c r="P319" i="4"/>
  <c r="N319" i="4"/>
  <c r="H319" i="4"/>
  <c r="L319" i="4"/>
  <c r="F319" i="4"/>
  <c r="E319" i="4"/>
  <c r="Y319" i="4" l="1"/>
  <c r="AL319" i="4"/>
  <c r="Z318" i="4"/>
  <c r="G319" i="4"/>
  <c r="I319" i="4" s="1"/>
  <c r="X319" i="4"/>
  <c r="V320" i="4"/>
  <c r="AJ320" i="4"/>
  <c r="H320" i="4"/>
  <c r="W320" i="4"/>
  <c r="T320" i="4"/>
  <c r="S320" i="4"/>
  <c r="R320" i="4"/>
  <c r="P320" i="4"/>
  <c r="L320" i="4"/>
  <c r="O320" i="4"/>
  <c r="AI320" i="4"/>
  <c r="AL320" i="4" s="1"/>
  <c r="U320" i="4"/>
  <c r="M320" i="4"/>
  <c r="C322" i="4"/>
  <c r="D321" i="4"/>
  <c r="B320" i="4"/>
  <c r="J320" i="4"/>
  <c r="K320" i="4"/>
  <c r="F320" i="4"/>
  <c r="Q320" i="4"/>
  <c r="N320" i="4"/>
  <c r="E320" i="4"/>
  <c r="T321" i="4" l="1"/>
  <c r="L321" i="4"/>
  <c r="X320" i="4"/>
  <c r="AA320" i="4" s="1"/>
  <c r="AK321" i="4"/>
  <c r="AI321" i="4"/>
  <c r="N321" i="4"/>
  <c r="V321" i="4"/>
  <c r="Z319" i="4"/>
  <c r="AA319" i="4"/>
  <c r="Y320" i="4"/>
  <c r="M321" i="4"/>
  <c r="H321" i="4"/>
  <c r="S321" i="4"/>
  <c r="Q321" i="4"/>
  <c r="AJ321" i="4"/>
  <c r="G320" i="4"/>
  <c r="I320" i="4" s="1"/>
  <c r="D322" i="4"/>
  <c r="E322" i="4" s="1"/>
  <c r="C323" i="4"/>
  <c r="B321" i="4"/>
  <c r="F321" i="4"/>
  <c r="O321" i="4"/>
  <c r="E321" i="4"/>
  <c r="R321" i="4"/>
  <c r="P321" i="4"/>
  <c r="K321" i="4"/>
  <c r="J321" i="4"/>
  <c r="W321" i="4"/>
  <c r="U321" i="4"/>
  <c r="X321" i="4" l="1"/>
  <c r="AA321" i="4" s="1"/>
  <c r="AL321" i="4"/>
  <c r="Y321" i="4"/>
  <c r="Z320" i="4"/>
  <c r="K322" i="4"/>
  <c r="N322" i="4"/>
  <c r="L322" i="4"/>
  <c r="V322" i="4"/>
  <c r="Q322" i="4"/>
  <c r="H322" i="4"/>
  <c r="T322" i="4"/>
  <c r="B322" i="4"/>
  <c r="P322" i="4"/>
  <c r="D323" i="4"/>
  <c r="C324" i="4"/>
  <c r="G321" i="4"/>
  <c r="I321" i="4" s="1"/>
  <c r="W322" i="4"/>
  <c r="AJ322" i="4"/>
  <c r="O322" i="4"/>
  <c r="F322" i="4"/>
  <c r="G322" i="4" s="1"/>
  <c r="AK322" i="4"/>
  <c r="AI322" i="4"/>
  <c r="J322" i="4"/>
  <c r="R322" i="4"/>
  <c r="S322" i="4"/>
  <c r="U322" i="4"/>
  <c r="M322" i="4"/>
  <c r="Z321" i="4" l="1"/>
  <c r="X322" i="4"/>
  <c r="AA322" i="4" s="1"/>
  <c r="M323" i="4"/>
  <c r="F323" i="4"/>
  <c r="L323" i="4"/>
  <c r="AI323" i="4"/>
  <c r="AK323" i="4"/>
  <c r="AL322" i="4"/>
  <c r="Y322" i="4"/>
  <c r="I322" i="4"/>
  <c r="S323" i="4"/>
  <c r="U323" i="4"/>
  <c r="K323" i="4"/>
  <c r="Q323" i="4"/>
  <c r="P323" i="4"/>
  <c r="R323" i="4"/>
  <c r="O323" i="4"/>
  <c r="C325" i="4"/>
  <c r="D324" i="4"/>
  <c r="B323" i="4"/>
  <c r="AJ323" i="4"/>
  <c r="W323" i="4"/>
  <c r="V323" i="4"/>
  <c r="N323" i="4"/>
  <c r="E323" i="4"/>
  <c r="T323" i="4"/>
  <c r="J323" i="4"/>
  <c r="H323" i="4"/>
  <c r="AL323" i="4" l="1"/>
  <c r="Y323" i="4"/>
  <c r="Z322" i="4"/>
  <c r="G323" i="4"/>
  <c r="I323" i="4" s="1"/>
  <c r="R324" i="4"/>
  <c r="Q324" i="4"/>
  <c r="P324" i="4"/>
  <c r="N324" i="4"/>
  <c r="M324" i="4"/>
  <c r="L324" i="4"/>
  <c r="AI324" i="4"/>
  <c r="E324" i="4"/>
  <c r="C326" i="4"/>
  <c r="D325" i="4"/>
  <c r="X323" i="4"/>
  <c r="B324" i="4"/>
  <c r="F324" i="4"/>
  <c r="AK324" i="4"/>
  <c r="AJ324" i="4"/>
  <c r="S324" i="4"/>
  <c r="T324" i="4"/>
  <c r="U324" i="4"/>
  <c r="J324" i="4"/>
  <c r="W324" i="4"/>
  <c r="V324" i="4"/>
  <c r="K324" i="4"/>
  <c r="H324" i="4"/>
  <c r="O324" i="4"/>
  <c r="X324" i="4" l="1"/>
  <c r="AA324" i="4" s="1"/>
  <c r="G324" i="4"/>
  <c r="I324" i="4" s="1"/>
  <c r="AL324" i="4"/>
  <c r="E325" i="4"/>
  <c r="O325" i="4"/>
  <c r="N325" i="4"/>
  <c r="P325" i="4"/>
  <c r="C327" i="4"/>
  <c r="D326" i="4"/>
  <c r="Z323" i="4"/>
  <c r="AA323" i="4"/>
  <c r="Y324" i="4"/>
  <c r="B325" i="4"/>
  <c r="M325" i="4"/>
  <c r="K325" i="4"/>
  <c r="J325" i="4"/>
  <c r="L325" i="4"/>
  <c r="H325" i="4"/>
  <c r="AK325" i="4"/>
  <c r="AI325" i="4"/>
  <c r="V325" i="4"/>
  <c r="AJ325" i="4"/>
  <c r="W325" i="4"/>
  <c r="U325" i="4"/>
  <c r="T325" i="4"/>
  <c r="R325" i="4"/>
  <c r="S325" i="4"/>
  <c r="F325" i="4"/>
  <c r="Q325" i="4"/>
  <c r="Y325" i="4" l="1"/>
  <c r="X325" i="4"/>
  <c r="AA325" i="4" s="1"/>
  <c r="P326" i="4"/>
  <c r="S326" i="4"/>
  <c r="R326" i="4"/>
  <c r="M326" i="4"/>
  <c r="T326" i="4"/>
  <c r="Z324" i="4"/>
  <c r="G325" i="4"/>
  <c r="I325" i="4" s="1"/>
  <c r="D327" i="4"/>
  <c r="AJ327" i="4" s="1"/>
  <c r="C328" i="4"/>
  <c r="AL325" i="4"/>
  <c r="B326" i="4"/>
  <c r="Q326" i="4"/>
  <c r="N326" i="4"/>
  <c r="K326" i="4"/>
  <c r="J326" i="4"/>
  <c r="O326" i="4"/>
  <c r="H326" i="4"/>
  <c r="F326" i="4"/>
  <c r="AI326" i="4"/>
  <c r="E326" i="4"/>
  <c r="AK326" i="4"/>
  <c r="AJ326" i="4"/>
  <c r="W326" i="4"/>
  <c r="V326" i="4"/>
  <c r="U326" i="4"/>
  <c r="L326" i="4"/>
  <c r="Z325" i="4" l="1"/>
  <c r="X326" i="4"/>
  <c r="AA326" i="4" s="1"/>
  <c r="G326" i="4"/>
  <c r="I326" i="4" s="1"/>
  <c r="O327" i="4"/>
  <c r="AK327" i="4"/>
  <c r="W327" i="4"/>
  <c r="V327" i="4"/>
  <c r="U327" i="4"/>
  <c r="K327" i="4"/>
  <c r="J327" i="4"/>
  <c r="L327" i="4"/>
  <c r="T327" i="4"/>
  <c r="AI327" i="4"/>
  <c r="D328" i="4"/>
  <c r="C329" i="4"/>
  <c r="AL326" i="4"/>
  <c r="Y326" i="4"/>
  <c r="B327" i="4"/>
  <c r="H327" i="4"/>
  <c r="M327" i="4"/>
  <c r="F327" i="4"/>
  <c r="E327" i="4"/>
  <c r="S327" i="4"/>
  <c r="R327" i="4"/>
  <c r="Q327" i="4"/>
  <c r="P327" i="4"/>
  <c r="N327" i="4"/>
  <c r="AL327" i="4" l="1"/>
  <c r="AK328" i="4"/>
  <c r="AJ328" i="4"/>
  <c r="Y327" i="4"/>
  <c r="Z326" i="4"/>
  <c r="S328" i="4"/>
  <c r="W328" i="4"/>
  <c r="T328" i="4"/>
  <c r="X327" i="4"/>
  <c r="V328" i="4"/>
  <c r="U328" i="4"/>
  <c r="R328" i="4"/>
  <c r="Q328" i="4"/>
  <c r="P328" i="4"/>
  <c r="AI328" i="4"/>
  <c r="N328" i="4"/>
  <c r="M328" i="4"/>
  <c r="F328" i="4"/>
  <c r="K328" i="4"/>
  <c r="L328" i="4"/>
  <c r="H328" i="4"/>
  <c r="E328" i="4"/>
  <c r="D329" i="4"/>
  <c r="C330" i="4"/>
  <c r="G327" i="4"/>
  <c r="I327" i="4" s="1"/>
  <c r="B328" i="4"/>
  <c r="J328" i="4"/>
  <c r="O328" i="4"/>
  <c r="G328" i="4" l="1"/>
  <c r="I328" i="4" s="1"/>
  <c r="AL328" i="4"/>
  <c r="Y328" i="4"/>
  <c r="U329" i="4"/>
  <c r="K329" i="4"/>
  <c r="V329" i="4"/>
  <c r="X328" i="4"/>
  <c r="AA327" i="4"/>
  <c r="Z327" i="4"/>
  <c r="R329" i="4"/>
  <c r="J329" i="4"/>
  <c r="AI329" i="4"/>
  <c r="H329" i="4"/>
  <c r="F329" i="4"/>
  <c r="T329" i="4"/>
  <c r="D330" i="4"/>
  <c r="C331" i="4"/>
  <c r="B329" i="4"/>
  <c r="L329" i="4"/>
  <c r="E329" i="4"/>
  <c r="O329" i="4"/>
  <c r="Q329" i="4"/>
  <c r="P329" i="4"/>
  <c r="N329" i="4"/>
  <c r="M329" i="4"/>
  <c r="W329" i="4"/>
  <c r="AK329" i="4"/>
  <c r="AJ329" i="4"/>
  <c r="S329" i="4"/>
  <c r="Y329" i="4" l="1"/>
  <c r="X329" i="4"/>
  <c r="G329" i="4"/>
  <c r="I329" i="4" s="1"/>
  <c r="Z328" i="4"/>
  <c r="AA328" i="4"/>
  <c r="AL329" i="4"/>
  <c r="B330" i="4"/>
  <c r="AJ330" i="4"/>
  <c r="D331" i="4"/>
  <c r="R331" i="4" s="1"/>
  <c r="C332" i="4"/>
  <c r="W330" i="4"/>
  <c r="V330" i="4"/>
  <c r="S330" i="4"/>
  <c r="R330" i="4"/>
  <c r="P330" i="4"/>
  <c r="N330" i="4"/>
  <c r="Q330" i="4"/>
  <c r="M330" i="4"/>
  <c r="K330" i="4"/>
  <c r="J330" i="4"/>
  <c r="O330" i="4"/>
  <c r="H330" i="4"/>
  <c r="F330" i="4"/>
  <c r="E330" i="4"/>
  <c r="U330" i="4"/>
  <c r="AK330" i="4"/>
  <c r="AI330" i="4"/>
  <c r="T330" i="4"/>
  <c r="L330" i="4"/>
  <c r="X330" i="4" l="1"/>
  <c r="AA330" i="4" s="1"/>
  <c r="Z329" i="4"/>
  <c r="AA329" i="4"/>
  <c r="Y330" i="4"/>
  <c r="G330" i="4"/>
  <c r="I330" i="4" s="1"/>
  <c r="N331" i="4"/>
  <c r="J331" i="4"/>
  <c r="S331" i="4"/>
  <c r="M331" i="4"/>
  <c r="L331" i="4"/>
  <c r="AI331" i="4"/>
  <c r="K331" i="4"/>
  <c r="H331" i="4"/>
  <c r="P331" i="4"/>
  <c r="F331" i="4"/>
  <c r="O331" i="4"/>
  <c r="AK331" i="4"/>
  <c r="AJ331" i="4"/>
  <c r="W331" i="4"/>
  <c r="Q331" i="4"/>
  <c r="T331" i="4"/>
  <c r="U331" i="4"/>
  <c r="D332" i="4"/>
  <c r="S332" i="4" s="1"/>
  <c r="C333" i="4"/>
  <c r="AL330" i="4"/>
  <c r="B331" i="4"/>
  <c r="V331" i="4"/>
  <c r="E331" i="4"/>
  <c r="Z330" i="4" l="1"/>
  <c r="AL331" i="4"/>
  <c r="E332" i="4"/>
  <c r="M332" i="4"/>
  <c r="L332" i="4"/>
  <c r="H332" i="4"/>
  <c r="V332" i="4"/>
  <c r="X331" i="4"/>
  <c r="AA331" i="4" s="1"/>
  <c r="Q332" i="4"/>
  <c r="K332" i="4"/>
  <c r="Y331" i="4"/>
  <c r="G331" i="4"/>
  <c r="I331" i="4" s="1"/>
  <c r="T332" i="4"/>
  <c r="P332" i="4"/>
  <c r="W332" i="4"/>
  <c r="N332" i="4"/>
  <c r="J332" i="4"/>
  <c r="F332" i="4"/>
  <c r="O332" i="4"/>
  <c r="AI332" i="4"/>
  <c r="D333" i="4"/>
  <c r="O333" i="4" s="1"/>
  <c r="C334" i="4"/>
  <c r="B332" i="4"/>
  <c r="R332" i="4"/>
  <c r="U332" i="4"/>
  <c r="AK332" i="4"/>
  <c r="AJ332" i="4"/>
  <c r="Z331" i="4" l="1"/>
  <c r="G332" i="4"/>
  <c r="I332" i="4" s="1"/>
  <c r="X332" i="4"/>
  <c r="AA332" i="4" s="1"/>
  <c r="N333" i="4"/>
  <c r="AK333" i="4"/>
  <c r="K333" i="4"/>
  <c r="L333" i="4"/>
  <c r="T333" i="4"/>
  <c r="S333" i="4"/>
  <c r="AI333" i="4"/>
  <c r="Y332" i="4"/>
  <c r="AL332" i="4"/>
  <c r="D334" i="4"/>
  <c r="E334" i="4" s="1"/>
  <c r="C335" i="4"/>
  <c r="B333" i="4"/>
  <c r="M333" i="4"/>
  <c r="V333" i="4"/>
  <c r="J333" i="4"/>
  <c r="F333" i="4"/>
  <c r="R333" i="4"/>
  <c r="P333" i="4"/>
  <c r="Q333" i="4"/>
  <c r="H333" i="4"/>
  <c r="AJ333" i="4"/>
  <c r="W333" i="4"/>
  <c r="U333" i="4"/>
  <c r="E333" i="4"/>
  <c r="AL333" i="4" l="1"/>
  <c r="Z332" i="4"/>
  <c r="X333" i="4"/>
  <c r="AA333" i="4" s="1"/>
  <c r="N334" i="4"/>
  <c r="M334" i="4"/>
  <c r="P334" i="4"/>
  <c r="W334" i="4"/>
  <c r="Y333" i="4"/>
  <c r="J334" i="4"/>
  <c r="T334" i="4"/>
  <c r="Q334" i="4"/>
  <c r="AI334" i="4"/>
  <c r="L334" i="4"/>
  <c r="U334" i="4"/>
  <c r="AJ334" i="4"/>
  <c r="G333" i="4"/>
  <c r="I333" i="4" s="1"/>
  <c r="O334" i="4"/>
  <c r="F334" i="4"/>
  <c r="G334" i="4" s="1"/>
  <c r="AK334" i="4"/>
  <c r="B334" i="4"/>
  <c r="R334" i="4"/>
  <c r="D335" i="4"/>
  <c r="C336" i="4"/>
  <c r="K334" i="4"/>
  <c r="V334" i="4"/>
  <c r="S334" i="4"/>
  <c r="H334" i="4"/>
  <c r="I334" i="4" l="1"/>
  <c r="X334" i="4"/>
  <c r="AA334" i="4" s="1"/>
  <c r="N335" i="4"/>
  <c r="J335" i="4"/>
  <c r="H335" i="4"/>
  <c r="Z333" i="4"/>
  <c r="R335" i="4"/>
  <c r="V335" i="4"/>
  <c r="Y334" i="4"/>
  <c r="AL334" i="4"/>
  <c r="K335" i="4"/>
  <c r="L335" i="4"/>
  <c r="F335" i="4"/>
  <c r="S335" i="4"/>
  <c r="M335" i="4"/>
  <c r="AI335" i="4"/>
  <c r="O335" i="4"/>
  <c r="U335" i="4"/>
  <c r="Q335" i="4"/>
  <c r="D336" i="4"/>
  <c r="J336" i="4" s="1"/>
  <c r="C337" i="4"/>
  <c r="B335" i="4"/>
  <c r="T335" i="4"/>
  <c r="P335" i="4"/>
  <c r="E335" i="4"/>
  <c r="AK335" i="4"/>
  <c r="AJ335" i="4"/>
  <c r="W335" i="4"/>
  <c r="Z334" i="4" l="1"/>
  <c r="X335" i="4"/>
  <c r="AA335" i="4" s="1"/>
  <c r="G335" i="4"/>
  <c r="I335" i="4" s="1"/>
  <c r="AL335" i="4"/>
  <c r="Y335" i="4"/>
  <c r="C338" i="4"/>
  <c r="D337" i="4"/>
  <c r="B336" i="4"/>
  <c r="R336" i="4"/>
  <c r="Q336" i="4"/>
  <c r="P336" i="4"/>
  <c r="N336" i="4"/>
  <c r="F336" i="4"/>
  <c r="O336" i="4"/>
  <c r="AK336" i="4"/>
  <c r="V336" i="4"/>
  <c r="S336" i="4"/>
  <c r="M336" i="4"/>
  <c r="H336" i="4"/>
  <c r="AJ336" i="4"/>
  <c r="T336" i="4"/>
  <c r="L336" i="4"/>
  <c r="W336" i="4"/>
  <c r="U336" i="4"/>
  <c r="AI336" i="4"/>
  <c r="K336" i="4"/>
  <c r="E336" i="4"/>
  <c r="Z335" i="4" l="1"/>
  <c r="Y336" i="4"/>
  <c r="U337" i="4"/>
  <c r="Q337" i="4"/>
  <c r="D338" i="4"/>
  <c r="C339" i="4"/>
  <c r="X336" i="4"/>
  <c r="AL336" i="4"/>
  <c r="G336" i="4"/>
  <c r="I336" i="4" s="1"/>
  <c r="B337" i="4"/>
  <c r="E337" i="4"/>
  <c r="AK337" i="4"/>
  <c r="AI337" i="4"/>
  <c r="V337" i="4"/>
  <c r="P337" i="4"/>
  <c r="N337" i="4"/>
  <c r="M337" i="4"/>
  <c r="S337" i="4"/>
  <c r="L337" i="4"/>
  <c r="K337" i="4"/>
  <c r="H337" i="4"/>
  <c r="AJ337" i="4"/>
  <c r="T337" i="4"/>
  <c r="O337" i="4"/>
  <c r="J337" i="4"/>
  <c r="F337" i="4"/>
  <c r="W337" i="4"/>
  <c r="R337" i="4"/>
  <c r="Y337" i="4" l="1"/>
  <c r="X337" i="4"/>
  <c r="G337" i="4"/>
  <c r="I337" i="4" s="1"/>
  <c r="D339" i="4"/>
  <c r="C340" i="4"/>
  <c r="Z336" i="4"/>
  <c r="AA336" i="4"/>
  <c r="AL337" i="4"/>
  <c r="B338" i="4"/>
  <c r="J338" i="4"/>
  <c r="V338" i="4"/>
  <c r="H338" i="4"/>
  <c r="P338" i="4"/>
  <c r="U338" i="4"/>
  <c r="K338" i="4"/>
  <c r="AK338" i="4"/>
  <c r="M338" i="4"/>
  <c r="T338" i="4"/>
  <c r="F338" i="4"/>
  <c r="L338" i="4"/>
  <c r="E338" i="4"/>
  <c r="N338" i="4"/>
  <c r="W338" i="4"/>
  <c r="S338" i="4"/>
  <c r="AJ338" i="4"/>
  <c r="O338" i="4"/>
  <c r="R338" i="4"/>
  <c r="AI338" i="4"/>
  <c r="Q338" i="4"/>
  <c r="G338" i="4" l="1"/>
  <c r="I338" i="4" s="1"/>
  <c r="X338" i="4"/>
  <c r="AA338" i="4" s="1"/>
  <c r="Q339" i="4"/>
  <c r="P339" i="4"/>
  <c r="T339" i="4"/>
  <c r="S339" i="4"/>
  <c r="M339" i="4"/>
  <c r="Z337" i="4"/>
  <c r="AA337" i="4"/>
  <c r="K339" i="4"/>
  <c r="F339" i="4"/>
  <c r="E339" i="4"/>
  <c r="R339" i="4"/>
  <c r="H339" i="4"/>
  <c r="N339" i="4"/>
  <c r="J339" i="4"/>
  <c r="L339" i="4"/>
  <c r="AI339" i="4"/>
  <c r="AK339" i="4"/>
  <c r="W339" i="4"/>
  <c r="AJ339" i="4"/>
  <c r="B339" i="4"/>
  <c r="V339" i="4"/>
  <c r="C341" i="4"/>
  <c r="D340" i="4"/>
  <c r="Y338" i="4"/>
  <c r="AL338" i="4"/>
  <c r="U339" i="4"/>
  <c r="O339" i="4"/>
  <c r="AL339" i="4" l="1"/>
  <c r="Z338" i="4"/>
  <c r="X339" i="4"/>
  <c r="AA339" i="4" s="1"/>
  <c r="G339" i="4"/>
  <c r="I339" i="4" s="1"/>
  <c r="J340" i="4"/>
  <c r="M340" i="4"/>
  <c r="Y339" i="4"/>
  <c r="D341" i="4"/>
  <c r="C342" i="4"/>
  <c r="B340" i="4"/>
  <c r="AI340" i="4"/>
  <c r="H340" i="4"/>
  <c r="E340" i="4"/>
  <c r="S340" i="4"/>
  <c r="R340" i="4"/>
  <c r="P340" i="4"/>
  <c r="N340" i="4"/>
  <c r="K340" i="4"/>
  <c r="L340" i="4"/>
  <c r="F340" i="4"/>
  <c r="AK340" i="4"/>
  <c r="T340" i="4"/>
  <c r="Q340" i="4"/>
  <c r="U340" i="4"/>
  <c r="O340" i="4"/>
  <c r="AJ340" i="4"/>
  <c r="V340" i="4"/>
  <c r="W340" i="4"/>
  <c r="Z339" i="4" l="1"/>
  <c r="AL340" i="4"/>
  <c r="V341" i="4"/>
  <c r="T341" i="4"/>
  <c r="S341" i="4"/>
  <c r="Q341" i="4"/>
  <c r="N341" i="4"/>
  <c r="O341" i="4"/>
  <c r="X340" i="4"/>
  <c r="AA340" i="4" s="1"/>
  <c r="K341" i="4"/>
  <c r="J341" i="4"/>
  <c r="F341" i="4"/>
  <c r="AI341" i="4"/>
  <c r="E341" i="4"/>
  <c r="C343" i="4"/>
  <c r="D342" i="4"/>
  <c r="G340" i="4"/>
  <c r="I340" i="4" s="1"/>
  <c r="Y340" i="4"/>
  <c r="B341" i="4"/>
  <c r="AJ341" i="4"/>
  <c r="AK341" i="4"/>
  <c r="W341" i="4"/>
  <c r="U341" i="4"/>
  <c r="R341" i="4"/>
  <c r="P341" i="4"/>
  <c r="M341" i="4"/>
  <c r="L341" i="4"/>
  <c r="H341" i="4"/>
  <c r="E342" i="4" l="1"/>
  <c r="U342" i="4"/>
  <c r="L342" i="4"/>
  <c r="K342" i="4"/>
  <c r="X341" i="4"/>
  <c r="AA341" i="4" s="1"/>
  <c r="G341" i="4"/>
  <c r="I341" i="4" s="1"/>
  <c r="O342" i="4"/>
  <c r="R342" i="4"/>
  <c r="P342" i="4"/>
  <c r="AJ342" i="4"/>
  <c r="W342" i="4"/>
  <c r="M342" i="4"/>
  <c r="Q342" i="4"/>
  <c r="N342" i="4"/>
  <c r="Z340" i="4"/>
  <c r="AL341" i="4"/>
  <c r="Y341" i="4"/>
  <c r="B342" i="4"/>
  <c r="AK342" i="4"/>
  <c r="V342" i="4"/>
  <c r="T342" i="4"/>
  <c r="S342" i="4"/>
  <c r="J342" i="4"/>
  <c r="H342" i="4"/>
  <c r="AI342" i="4"/>
  <c r="F342" i="4"/>
  <c r="C344" i="4"/>
  <c r="D343" i="4"/>
  <c r="AI343" i="4" s="1"/>
  <c r="Y342" i="4" l="1"/>
  <c r="G342" i="4"/>
  <c r="I342" i="4" s="1"/>
  <c r="Z341" i="4"/>
  <c r="X342" i="4"/>
  <c r="AA342" i="4" s="1"/>
  <c r="AL342" i="4"/>
  <c r="V343" i="4"/>
  <c r="R343" i="4"/>
  <c r="W343" i="4"/>
  <c r="T343" i="4"/>
  <c r="S343" i="4"/>
  <c r="U343" i="4"/>
  <c r="K343" i="4"/>
  <c r="AK343" i="4"/>
  <c r="AL343" i="4" s="1"/>
  <c r="J343" i="4"/>
  <c r="O343" i="4"/>
  <c r="E343" i="4"/>
  <c r="C345" i="4"/>
  <c r="D344" i="4"/>
  <c r="B343" i="4"/>
  <c r="AJ343" i="4"/>
  <c r="Q343" i="4"/>
  <c r="P343" i="4"/>
  <c r="N343" i="4"/>
  <c r="M343" i="4"/>
  <c r="H343" i="4"/>
  <c r="F343" i="4"/>
  <c r="L343" i="4"/>
  <c r="X343" i="4" l="1"/>
  <c r="AA343" i="4" s="1"/>
  <c r="Z342" i="4"/>
  <c r="AK344" i="4"/>
  <c r="AJ344" i="4"/>
  <c r="F344" i="4"/>
  <c r="Y343" i="4"/>
  <c r="W344" i="4"/>
  <c r="V344" i="4"/>
  <c r="Q344" i="4"/>
  <c r="AI344" i="4"/>
  <c r="K344" i="4"/>
  <c r="G343" i="4"/>
  <c r="I343" i="4" s="1"/>
  <c r="T344" i="4"/>
  <c r="E344" i="4"/>
  <c r="N344" i="4"/>
  <c r="L344" i="4"/>
  <c r="U344" i="4"/>
  <c r="O344" i="4"/>
  <c r="R344" i="4"/>
  <c r="P344" i="4"/>
  <c r="M344" i="4"/>
  <c r="S344" i="4"/>
  <c r="H344" i="4"/>
  <c r="D345" i="4"/>
  <c r="L345" i="4" s="1"/>
  <c r="C346" i="4"/>
  <c r="B344" i="4"/>
  <c r="J344" i="4"/>
  <c r="AL344" i="4" l="1"/>
  <c r="Z343" i="4"/>
  <c r="X344" i="4"/>
  <c r="AA344" i="4" s="1"/>
  <c r="G344" i="4"/>
  <c r="I344" i="4" s="1"/>
  <c r="Y344" i="4"/>
  <c r="U345" i="4"/>
  <c r="R345" i="4"/>
  <c r="Q345" i="4"/>
  <c r="P345" i="4"/>
  <c r="M345" i="4"/>
  <c r="O345" i="4"/>
  <c r="E345" i="4"/>
  <c r="B345" i="4"/>
  <c r="K345" i="4"/>
  <c r="C347" i="4"/>
  <c r="D346" i="4"/>
  <c r="V345" i="4"/>
  <c r="N345" i="4"/>
  <c r="W345" i="4"/>
  <c r="S345" i="4"/>
  <c r="AK345" i="4"/>
  <c r="J345" i="4"/>
  <c r="H345" i="4"/>
  <c r="F345" i="4"/>
  <c r="T345" i="4"/>
  <c r="AI345" i="4"/>
  <c r="AJ345" i="4"/>
  <c r="Z344" i="4" l="1"/>
  <c r="AI346" i="4"/>
  <c r="K346" i="4"/>
  <c r="AJ346" i="4"/>
  <c r="G345" i="4"/>
  <c r="I345" i="4" s="1"/>
  <c r="Y345" i="4"/>
  <c r="AK346" i="4"/>
  <c r="W346" i="4"/>
  <c r="V346" i="4"/>
  <c r="U346" i="4"/>
  <c r="T346" i="4"/>
  <c r="AL345" i="4"/>
  <c r="D347" i="4"/>
  <c r="AI347" i="4" s="1"/>
  <c r="C348" i="4"/>
  <c r="X345" i="4"/>
  <c r="B346" i="4"/>
  <c r="S346" i="4"/>
  <c r="Q346" i="4"/>
  <c r="P346" i="4"/>
  <c r="M346" i="4"/>
  <c r="J346" i="4"/>
  <c r="H346" i="4"/>
  <c r="E346" i="4"/>
  <c r="L346" i="4"/>
  <c r="O346" i="4"/>
  <c r="F346" i="4"/>
  <c r="N346" i="4"/>
  <c r="R346" i="4"/>
  <c r="AL346" i="4" l="1"/>
  <c r="Y346" i="4"/>
  <c r="K347" i="4"/>
  <c r="F347" i="4"/>
  <c r="AK347" i="4"/>
  <c r="AL347" i="4" s="1"/>
  <c r="H347" i="4"/>
  <c r="X346" i="4"/>
  <c r="N347" i="4"/>
  <c r="M347" i="4"/>
  <c r="T347" i="4"/>
  <c r="AJ347" i="4"/>
  <c r="L347" i="4"/>
  <c r="J347" i="4"/>
  <c r="O347" i="4"/>
  <c r="W347" i="4"/>
  <c r="C349" i="4"/>
  <c r="D348" i="4"/>
  <c r="Z345" i="4"/>
  <c r="AA345" i="4"/>
  <c r="G346" i="4"/>
  <c r="I346" i="4" s="1"/>
  <c r="B347" i="4"/>
  <c r="E347" i="4"/>
  <c r="V347" i="4"/>
  <c r="U347" i="4"/>
  <c r="S347" i="4"/>
  <c r="R347" i="4"/>
  <c r="Q347" i="4"/>
  <c r="P347" i="4"/>
  <c r="G347" i="4" l="1"/>
  <c r="I347" i="4" s="1"/>
  <c r="Z346" i="4"/>
  <c r="AA346" i="4"/>
  <c r="X347" i="4"/>
  <c r="AA347" i="4" s="1"/>
  <c r="Y347" i="4"/>
  <c r="D349" i="4"/>
  <c r="C350" i="4"/>
  <c r="B348" i="4"/>
  <c r="Q348" i="4"/>
  <c r="K348" i="4"/>
  <c r="R348" i="4"/>
  <c r="N348" i="4"/>
  <c r="L348" i="4"/>
  <c r="O348" i="4"/>
  <c r="U348" i="4"/>
  <c r="M348" i="4"/>
  <c r="AJ348" i="4"/>
  <c r="W348" i="4"/>
  <c r="E348" i="4"/>
  <c r="P348" i="4"/>
  <c r="T348" i="4"/>
  <c r="F348" i="4"/>
  <c r="AI348" i="4"/>
  <c r="V348" i="4"/>
  <c r="H348" i="4"/>
  <c r="S348" i="4"/>
  <c r="AK348" i="4"/>
  <c r="J348" i="4"/>
  <c r="Z347" i="4" l="1"/>
  <c r="AL348" i="4"/>
  <c r="L349" i="4"/>
  <c r="H349" i="4"/>
  <c r="G348" i="4"/>
  <c r="I348" i="4" s="1"/>
  <c r="T349" i="4"/>
  <c r="Q349" i="4"/>
  <c r="K349" i="4"/>
  <c r="N349" i="4"/>
  <c r="M349" i="4"/>
  <c r="U349" i="4"/>
  <c r="S349" i="4"/>
  <c r="R349" i="4"/>
  <c r="F349" i="4"/>
  <c r="E349" i="4"/>
  <c r="D350" i="4"/>
  <c r="C351" i="4"/>
  <c r="Y348" i="4"/>
  <c r="X348" i="4"/>
  <c r="AA348" i="4" s="1"/>
  <c r="B349" i="4"/>
  <c r="P349" i="4"/>
  <c r="J349" i="4"/>
  <c r="O349" i="4"/>
  <c r="AK349" i="4"/>
  <c r="AJ349" i="4"/>
  <c r="AI349" i="4"/>
  <c r="W349" i="4"/>
  <c r="V349" i="4"/>
  <c r="G349" i="4" l="1"/>
  <c r="I349" i="4" s="1"/>
  <c r="Y349" i="4"/>
  <c r="X349" i="4"/>
  <c r="AA349" i="4" s="1"/>
  <c r="AI350" i="4"/>
  <c r="N350" i="4"/>
  <c r="K350" i="4"/>
  <c r="J350" i="4"/>
  <c r="O350" i="4"/>
  <c r="H350" i="4"/>
  <c r="F350" i="4"/>
  <c r="C352" i="4"/>
  <c r="D351" i="4"/>
  <c r="AI351" i="4" s="1"/>
  <c r="AL349" i="4"/>
  <c r="Z348" i="4"/>
  <c r="B350" i="4"/>
  <c r="L350" i="4"/>
  <c r="AK350" i="4"/>
  <c r="AJ350" i="4"/>
  <c r="W350" i="4"/>
  <c r="U350" i="4"/>
  <c r="T350" i="4"/>
  <c r="S350" i="4"/>
  <c r="Q350" i="4"/>
  <c r="V350" i="4"/>
  <c r="P350" i="4"/>
  <c r="M350" i="4"/>
  <c r="R350" i="4"/>
  <c r="E350" i="4"/>
  <c r="Z349" i="4" l="1"/>
  <c r="X350" i="4"/>
  <c r="AA350" i="4" s="1"/>
  <c r="AL350" i="4"/>
  <c r="G350" i="4"/>
  <c r="I350" i="4" s="1"/>
  <c r="Y350" i="4"/>
  <c r="C353" i="4"/>
  <c r="D352" i="4"/>
  <c r="B351" i="4"/>
  <c r="P351" i="4"/>
  <c r="F351" i="4"/>
  <c r="S351" i="4"/>
  <c r="R351" i="4"/>
  <c r="Q351" i="4"/>
  <c r="M351" i="4"/>
  <c r="O351" i="4"/>
  <c r="K351" i="4"/>
  <c r="N351" i="4"/>
  <c r="E351" i="4"/>
  <c r="H351" i="4"/>
  <c r="J351" i="4"/>
  <c r="W351" i="4"/>
  <c r="V351" i="4"/>
  <c r="L351" i="4"/>
  <c r="T351" i="4"/>
  <c r="U351" i="4"/>
  <c r="AK351" i="4"/>
  <c r="AL351" i="4" s="1"/>
  <c r="AJ351" i="4"/>
  <c r="G351" i="4" l="1"/>
  <c r="I351" i="4" s="1"/>
  <c r="Z350" i="4"/>
  <c r="X351" i="4"/>
  <c r="AA351" i="4" s="1"/>
  <c r="Y351" i="4"/>
  <c r="C354" i="4"/>
  <c r="D353" i="4"/>
  <c r="B352" i="4"/>
  <c r="T352" i="4"/>
  <c r="R352" i="4"/>
  <c r="Q352" i="4"/>
  <c r="J352" i="4"/>
  <c r="F352" i="4"/>
  <c r="W352" i="4"/>
  <c r="M352" i="4"/>
  <c r="K352" i="4"/>
  <c r="H352" i="4"/>
  <c r="S352" i="4"/>
  <c r="N352" i="4"/>
  <c r="P352" i="4"/>
  <c r="AI352" i="4"/>
  <c r="E352" i="4"/>
  <c r="V352" i="4"/>
  <c r="O352" i="4"/>
  <c r="AK352" i="4"/>
  <c r="U352" i="4"/>
  <c r="AJ352" i="4"/>
  <c r="L352" i="4"/>
  <c r="Z351" i="4" l="1"/>
  <c r="AL352" i="4"/>
  <c r="G352" i="4"/>
  <c r="I352" i="4" s="1"/>
  <c r="Y352" i="4"/>
  <c r="C355" i="4"/>
  <c r="D354" i="4"/>
  <c r="X352" i="4"/>
  <c r="B353" i="4"/>
  <c r="AI353" i="4"/>
  <c r="H353" i="4"/>
  <c r="AK353" i="4"/>
  <c r="N353" i="4"/>
  <c r="T353" i="4"/>
  <c r="R353" i="4"/>
  <c r="K353" i="4"/>
  <c r="AJ353" i="4"/>
  <c r="V353" i="4"/>
  <c r="Q353" i="4"/>
  <c r="E353" i="4"/>
  <c r="J353" i="4"/>
  <c r="O353" i="4"/>
  <c r="S353" i="4"/>
  <c r="M353" i="4"/>
  <c r="P353" i="4"/>
  <c r="L353" i="4"/>
  <c r="F353" i="4"/>
  <c r="U353" i="4"/>
  <c r="W353" i="4"/>
  <c r="G353" i="4" l="1"/>
  <c r="I353" i="4" s="1"/>
  <c r="Y353" i="4"/>
  <c r="T354" i="4"/>
  <c r="S354" i="4"/>
  <c r="D355" i="4"/>
  <c r="C356" i="4"/>
  <c r="Z352" i="4"/>
  <c r="AA352" i="4"/>
  <c r="X353" i="4"/>
  <c r="AL353" i="4"/>
  <c r="B354" i="4"/>
  <c r="AJ354" i="4"/>
  <c r="V354" i="4"/>
  <c r="O354" i="4"/>
  <c r="AK354" i="4"/>
  <c r="U354" i="4"/>
  <c r="Q354" i="4"/>
  <c r="H354" i="4"/>
  <c r="F354" i="4"/>
  <c r="AI354" i="4"/>
  <c r="E354" i="4"/>
  <c r="K354" i="4"/>
  <c r="J354" i="4"/>
  <c r="R354" i="4"/>
  <c r="N354" i="4"/>
  <c r="M354" i="4"/>
  <c r="L354" i="4"/>
  <c r="P354" i="4"/>
  <c r="W354" i="4"/>
  <c r="X354" i="4" l="1"/>
  <c r="AA354" i="4" s="1"/>
  <c r="E355" i="4"/>
  <c r="P355" i="4"/>
  <c r="AL354" i="4"/>
  <c r="Y354" i="4"/>
  <c r="D356" i="4"/>
  <c r="C357" i="4"/>
  <c r="AA353" i="4"/>
  <c r="Z353" i="4"/>
  <c r="G354" i="4"/>
  <c r="I354" i="4" s="1"/>
  <c r="B355" i="4"/>
  <c r="AK355" i="4"/>
  <c r="AJ355" i="4"/>
  <c r="AI355" i="4"/>
  <c r="W355" i="4"/>
  <c r="U355" i="4"/>
  <c r="M355" i="4"/>
  <c r="T355" i="4"/>
  <c r="Q355" i="4"/>
  <c r="J355" i="4"/>
  <c r="H355" i="4"/>
  <c r="F355" i="4"/>
  <c r="L355" i="4"/>
  <c r="O355" i="4"/>
  <c r="K355" i="4"/>
  <c r="N355" i="4"/>
  <c r="R355" i="4"/>
  <c r="V355" i="4"/>
  <c r="S355" i="4"/>
  <c r="Z354" i="4" l="1"/>
  <c r="G355" i="4"/>
  <c r="I355" i="4" s="1"/>
  <c r="D357" i="4"/>
  <c r="C358" i="4"/>
  <c r="X355" i="4"/>
  <c r="AA355" i="4" s="1"/>
  <c r="AL355" i="4"/>
  <c r="Y355" i="4"/>
  <c r="B356" i="4"/>
  <c r="T356" i="4"/>
  <c r="AI356" i="4"/>
  <c r="AJ356" i="4"/>
  <c r="Q356" i="4"/>
  <c r="V356" i="4"/>
  <c r="L356" i="4"/>
  <c r="O356" i="4"/>
  <c r="H356" i="4"/>
  <c r="F356" i="4"/>
  <c r="E356" i="4"/>
  <c r="S356" i="4"/>
  <c r="K356" i="4"/>
  <c r="U356" i="4"/>
  <c r="AK356" i="4"/>
  <c r="W356" i="4"/>
  <c r="M356" i="4"/>
  <c r="P356" i="4"/>
  <c r="J356" i="4"/>
  <c r="R356" i="4"/>
  <c r="N356" i="4"/>
  <c r="G356" i="4" l="1"/>
  <c r="I356" i="4" s="1"/>
  <c r="N357" i="4"/>
  <c r="Q357" i="4"/>
  <c r="P357" i="4"/>
  <c r="M357" i="4"/>
  <c r="AI357" i="4"/>
  <c r="T357" i="4"/>
  <c r="S357" i="4"/>
  <c r="R357" i="4"/>
  <c r="O357" i="4"/>
  <c r="K357" i="4"/>
  <c r="H357" i="4"/>
  <c r="F357" i="4"/>
  <c r="C359" i="4"/>
  <c r="D358" i="4"/>
  <c r="F358" i="4" s="1"/>
  <c r="Z355" i="4"/>
  <c r="X356" i="4"/>
  <c r="AA356" i="4" s="1"/>
  <c r="Y356" i="4"/>
  <c r="AL356" i="4"/>
  <c r="B357" i="4"/>
  <c r="J357" i="4"/>
  <c r="E357" i="4"/>
  <c r="AK357" i="4"/>
  <c r="AJ357" i="4"/>
  <c r="W357" i="4"/>
  <c r="U357" i="4"/>
  <c r="L357" i="4"/>
  <c r="V357" i="4"/>
  <c r="Y357" i="4" l="1"/>
  <c r="Z356" i="4"/>
  <c r="X357" i="4"/>
  <c r="U358" i="4"/>
  <c r="M358" i="4"/>
  <c r="Q358" i="4"/>
  <c r="AI358" i="4"/>
  <c r="S358" i="4"/>
  <c r="L358" i="4"/>
  <c r="H358" i="4"/>
  <c r="E358" i="4"/>
  <c r="G358" i="4" s="1"/>
  <c r="W358" i="4"/>
  <c r="G357" i="4"/>
  <c r="I357" i="4" s="1"/>
  <c r="AL357" i="4"/>
  <c r="D359" i="4"/>
  <c r="C360" i="4"/>
  <c r="B358" i="4"/>
  <c r="T358" i="4"/>
  <c r="R358" i="4"/>
  <c r="N358" i="4"/>
  <c r="K358" i="4"/>
  <c r="V358" i="4"/>
  <c r="O358" i="4"/>
  <c r="AK358" i="4"/>
  <c r="J358" i="4"/>
  <c r="P358" i="4"/>
  <c r="AJ358" i="4"/>
  <c r="Y358" i="4" l="1"/>
  <c r="I358" i="4"/>
  <c r="AL358" i="4"/>
  <c r="AA357" i="4"/>
  <c r="Z357" i="4"/>
  <c r="E359" i="4"/>
  <c r="O359" i="4"/>
  <c r="J359" i="4"/>
  <c r="H359" i="4"/>
  <c r="K359" i="4"/>
  <c r="F359" i="4"/>
  <c r="N359" i="4"/>
  <c r="W359" i="4"/>
  <c r="V359" i="4"/>
  <c r="T359" i="4"/>
  <c r="AI359" i="4"/>
  <c r="AK359" i="4"/>
  <c r="U359" i="4"/>
  <c r="AJ359" i="4"/>
  <c r="S359" i="4"/>
  <c r="Q359" i="4"/>
  <c r="L359" i="4"/>
  <c r="P359" i="4"/>
  <c r="C361" i="4"/>
  <c r="D360" i="4"/>
  <c r="W360" i="4" s="1"/>
  <c r="X358" i="4"/>
  <c r="B359" i="4"/>
  <c r="M359" i="4"/>
  <c r="R359" i="4"/>
  <c r="AL359" i="4" l="1"/>
  <c r="G359" i="4"/>
  <c r="I359" i="4" s="1"/>
  <c r="X359" i="4"/>
  <c r="AA359" i="4" s="1"/>
  <c r="Y359" i="4"/>
  <c r="D361" i="4"/>
  <c r="V361" i="4" s="1"/>
  <c r="C362" i="4"/>
  <c r="B360" i="4"/>
  <c r="O360" i="4"/>
  <c r="Z358" i="4"/>
  <c r="AA358" i="4"/>
  <c r="S360" i="4"/>
  <c r="P360" i="4"/>
  <c r="K360" i="4"/>
  <c r="F360" i="4"/>
  <c r="AI360" i="4"/>
  <c r="R360" i="4"/>
  <c r="N360" i="4"/>
  <c r="H360" i="4"/>
  <c r="Q360" i="4"/>
  <c r="M360" i="4"/>
  <c r="J360" i="4"/>
  <c r="V360" i="4"/>
  <c r="T360" i="4"/>
  <c r="AK360" i="4"/>
  <c r="AJ360" i="4"/>
  <c r="L360" i="4"/>
  <c r="U360" i="4"/>
  <c r="Y360" i="4" s="1"/>
  <c r="E360" i="4"/>
  <c r="AL360" i="4" l="1"/>
  <c r="Z359" i="4"/>
  <c r="G360" i="4"/>
  <c r="I360" i="4" s="1"/>
  <c r="X360" i="4"/>
  <c r="AI361" i="4"/>
  <c r="M361" i="4"/>
  <c r="R361" i="4"/>
  <c r="E361" i="4"/>
  <c r="L361" i="4"/>
  <c r="U361" i="4"/>
  <c r="W361" i="4"/>
  <c r="N361" i="4"/>
  <c r="AK361" i="4"/>
  <c r="C363" i="4"/>
  <c r="D362" i="4"/>
  <c r="B361" i="4"/>
  <c r="T361" i="4"/>
  <c r="X361" i="4" s="1"/>
  <c r="AJ361" i="4"/>
  <c r="S361" i="4"/>
  <c r="Q361" i="4"/>
  <c r="P361" i="4"/>
  <c r="K361" i="4"/>
  <c r="J361" i="4"/>
  <c r="H361" i="4"/>
  <c r="F361" i="4"/>
  <c r="O361" i="4"/>
  <c r="G361" i="4" l="1"/>
  <c r="I361" i="4" s="1"/>
  <c r="Y361" i="4"/>
  <c r="Z361" i="4" s="1"/>
  <c r="AL361" i="4"/>
  <c r="Z360" i="4"/>
  <c r="AA360" i="4"/>
  <c r="D363" i="4"/>
  <c r="C364" i="4"/>
  <c r="AA361" i="4"/>
  <c r="B362" i="4"/>
  <c r="W362" i="4"/>
  <c r="O362" i="4"/>
  <c r="U362" i="4"/>
  <c r="F362" i="4"/>
  <c r="AJ362" i="4"/>
  <c r="T362" i="4"/>
  <c r="S362" i="4"/>
  <c r="R362" i="4"/>
  <c r="V362" i="4"/>
  <c r="E362" i="4"/>
  <c r="K362" i="4"/>
  <c r="N362" i="4"/>
  <c r="M362" i="4"/>
  <c r="P362" i="4"/>
  <c r="J362" i="4"/>
  <c r="L362" i="4"/>
  <c r="AI362" i="4"/>
  <c r="AK362" i="4"/>
  <c r="Q362" i="4"/>
  <c r="H362" i="4"/>
  <c r="G362" i="4" l="1"/>
  <c r="I362" i="4" s="1"/>
  <c r="Y362" i="4"/>
  <c r="AL362" i="4"/>
  <c r="D364" i="4"/>
  <c r="C365" i="4"/>
  <c r="X362" i="4"/>
  <c r="B363" i="4"/>
  <c r="H363" i="4"/>
  <c r="AI363" i="4"/>
  <c r="F363" i="4"/>
  <c r="K363" i="4"/>
  <c r="J363" i="4"/>
  <c r="O363" i="4"/>
  <c r="AK363" i="4"/>
  <c r="E363" i="4"/>
  <c r="V363" i="4"/>
  <c r="T363" i="4"/>
  <c r="S363" i="4"/>
  <c r="P363" i="4"/>
  <c r="M363" i="4"/>
  <c r="L363" i="4"/>
  <c r="AJ363" i="4"/>
  <c r="W363" i="4"/>
  <c r="U363" i="4"/>
  <c r="R363" i="4"/>
  <c r="Q363" i="4"/>
  <c r="N363" i="4"/>
  <c r="G363" i="4" l="1"/>
  <c r="I363" i="4" s="1"/>
  <c r="X363" i="4"/>
  <c r="AA363" i="4" s="1"/>
  <c r="Y363" i="4"/>
  <c r="T364" i="4"/>
  <c r="R364" i="4"/>
  <c r="AK364" i="4"/>
  <c r="AJ364" i="4"/>
  <c r="W364" i="4"/>
  <c r="V364" i="4"/>
  <c r="U364" i="4"/>
  <c r="J364" i="4"/>
  <c r="L364" i="4"/>
  <c r="H364" i="4"/>
  <c r="F364" i="4"/>
  <c r="E364" i="4"/>
  <c r="Q364" i="4"/>
  <c r="S364" i="4"/>
  <c r="O364" i="4"/>
  <c r="AI364" i="4"/>
  <c r="D365" i="4"/>
  <c r="L365" i="4" s="1"/>
  <c r="C366" i="4"/>
  <c r="AA362" i="4"/>
  <c r="Z362" i="4"/>
  <c r="AL363" i="4"/>
  <c r="B364" i="4"/>
  <c r="P364" i="4"/>
  <c r="N364" i="4"/>
  <c r="M364" i="4"/>
  <c r="K364" i="4"/>
  <c r="Z363" i="4" l="1"/>
  <c r="X364" i="4"/>
  <c r="AA364" i="4" s="1"/>
  <c r="G364" i="4"/>
  <c r="I364" i="4" s="1"/>
  <c r="AL364" i="4"/>
  <c r="Y364" i="4"/>
  <c r="C367" i="4"/>
  <c r="D366" i="4"/>
  <c r="B365" i="4"/>
  <c r="AI365" i="4"/>
  <c r="AJ365" i="4"/>
  <c r="V365" i="4"/>
  <c r="S365" i="4"/>
  <c r="Q365" i="4"/>
  <c r="N365" i="4"/>
  <c r="K365" i="4"/>
  <c r="H365" i="4"/>
  <c r="F365" i="4"/>
  <c r="O365" i="4"/>
  <c r="AK365" i="4"/>
  <c r="U365" i="4"/>
  <c r="W365" i="4"/>
  <c r="T365" i="4"/>
  <c r="R365" i="4"/>
  <c r="P365" i="4"/>
  <c r="M365" i="4"/>
  <c r="J365" i="4"/>
  <c r="E365" i="4"/>
  <c r="X365" i="4" l="1"/>
  <c r="AA365" i="4" s="1"/>
  <c r="AL365" i="4"/>
  <c r="Z364" i="4"/>
  <c r="Y365" i="4"/>
  <c r="Q366" i="4"/>
  <c r="M366" i="4"/>
  <c r="F366" i="4"/>
  <c r="O366" i="4"/>
  <c r="AK366" i="4"/>
  <c r="E366" i="4"/>
  <c r="AJ366" i="4"/>
  <c r="W366" i="4"/>
  <c r="G365" i="4"/>
  <c r="I365" i="4" s="1"/>
  <c r="S366" i="4"/>
  <c r="U366" i="4"/>
  <c r="T366" i="4"/>
  <c r="R366" i="4"/>
  <c r="L366" i="4"/>
  <c r="H366" i="4"/>
  <c r="V366" i="4"/>
  <c r="K366" i="4"/>
  <c r="D367" i="4"/>
  <c r="C368" i="4"/>
  <c r="B366" i="4"/>
  <c r="P366" i="4"/>
  <c r="N366" i="4"/>
  <c r="J366" i="4"/>
  <c r="AI366" i="4"/>
  <c r="Z365" i="4" l="1"/>
  <c r="G366" i="4"/>
  <c r="I366" i="4" s="1"/>
  <c r="Y366" i="4"/>
  <c r="AL366" i="4"/>
  <c r="AK367" i="4"/>
  <c r="O367" i="4"/>
  <c r="X366" i="4"/>
  <c r="B367" i="4"/>
  <c r="F367" i="4"/>
  <c r="D368" i="4"/>
  <c r="R368" i="4" s="1"/>
  <c r="C369" i="4"/>
  <c r="K367" i="4"/>
  <c r="AJ367" i="4"/>
  <c r="V367" i="4"/>
  <c r="R367" i="4"/>
  <c r="AI367" i="4"/>
  <c r="T367" i="4"/>
  <c r="P367" i="4"/>
  <c r="M367" i="4"/>
  <c r="H367" i="4"/>
  <c r="S367" i="4"/>
  <c r="Q367" i="4"/>
  <c r="E367" i="4"/>
  <c r="J367" i="4"/>
  <c r="W367" i="4"/>
  <c r="U367" i="4"/>
  <c r="N367" i="4"/>
  <c r="L367" i="4"/>
  <c r="AL367" i="4" l="1"/>
  <c r="Y367" i="4"/>
  <c r="AA366" i="4"/>
  <c r="Z366" i="4"/>
  <c r="X367" i="4"/>
  <c r="AA367" i="4" s="1"/>
  <c r="O368" i="4"/>
  <c r="V368" i="4"/>
  <c r="M368" i="4"/>
  <c r="F368" i="4"/>
  <c r="J368" i="4"/>
  <c r="L368" i="4"/>
  <c r="E368" i="4"/>
  <c r="AI368" i="4"/>
  <c r="AK368" i="4"/>
  <c r="AJ368" i="4"/>
  <c r="W368" i="4"/>
  <c r="U368" i="4"/>
  <c r="T368" i="4"/>
  <c r="H368" i="4"/>
  <c r="G367" i="4"/>
  <c r="I367" i="4" s="1"/>
  <c r="B368" i="4"/>
  <c r="S368" i="4"/>
  <c r="K368" i="4"/>
  <c r="Q368" i="4"/>
  <c r="P368" i="4"/>
  <c r="N368" i="4"/>
  <c r="D369" i="4"/>
  <c r="C370" i="4"/>
  <c r="Z367" i="4" l="1"/>
  <c r="AL368" i="4"/>
  <c r="G368" i="4"/>
  <c r="I368" i="4" s="1"/>
  <c r="Y368" i="4"/>
  <c r="X368" i="4"/>
  <c r="AA368" i="4" s="1"/>
  <c r="R369" i="4"/>
  <c r="H369" i="4"/>
  <c r="E369" i="4"/>
  <c r="J369" i="4"/>
  <c r="K369" i="4"/>
  <c r="D370" i="4"/>
  <c r="C371" i="4"/>
  <c r="B369" i="4"/>
  <c r="M369" i="4"/>
  <c r="L369" i="4"/>
  <c r="AI369" i="4"/>
  <c r="U369" i="4"/>
  <c r="Q369" i="4"/>
  <c r="O369" i="4"/>
  <c r="F369" i="4"/>
  <c r="W369" i="4"/>
  <c r="V369" i="4"/>
  <c r="S369" i="4"/>
  <c r="AJ369" i="4"/>
  <c r="N369" i="4"/>
  <c r="AK369" i="4"/>
  <c r="T369" i="4"/>
  <c r="P369" i="4"/>
  <c r="Z368" i="4" l="1"/>
  <c r="AL369" i="4"/>
  <c r="W370" i="4"/>
  <c r="T370" i="4"/>
  <c r="U370" i="4"/>
  <c r="G369" i="4"/>
  <c r="I369" i="4" s="1"/>
  <c r="Q370" i="4"/>
  <c r="E370" i="4"/>
  <c r="Y369" i="4"/>
  <c r="P370" i="4"/>
  <c r="N370" i="4"/>
  <c r="M370" i="4"/>
  <c r="AJ370" i="4"/>
  <c r="V370" i="4"/>
  <c r="L370" i="4"/>
  <c r="K370" i="4"/>
  <c r="J370" i="4"/>
  <c r="AI370" i="4"/>
  <c r="H370" i="4"/>
  <c r="F370" i="4"/>
  <c r="O370" i="4"/>
  <c r="C372" i="4"/>
  <c r="D371" i="4"/>
  <c r="X369" i="4"/>
  <c r="B370" i="4"/>
  <c r="AK370" i="4"/>
  <c r="S370" i="4"/>
  <c r="R370" i="4"/>
  <c r="Y370" i="4" l="1"/>
  <c r="G370" i="4"/>
  <c r="I370" i="4" s="1"/>
  <c r="X370" i="4"/>
  <c r="AL370" i="4"/>
  <c r="D372" i="4"/>
  <c r="C373" i="4"/>
  <c r="Z369" i="4"/>
  <c r="AA369" i="4"/>
  <c r="B371" i="4"/>
  <c r="O371" i="4"/>
  <c r="U371" i="4"/>
  <c r="AI371" i="4"/>
  <c r="F371" i="4"/>
  <c r="H371" i="4"/>
  <c r="S371" i="4"/>
  <c r="M371" i="4"/>
  <c r="N371" i="4"/>
  <c r="AK371" i="4"/>
  <c r="W371" i="4"/>
  <c r="Q371" i="4"/>
  <c r="P371" i="4"/>
  <c r="L371" i="4"/>
  <c r="K371" i="4"/>
  <c r="V371" i="4"/>
  <c r="T371" i="4"/>
  <c r="E371" i="4"/>
  <c r="AJ371" i="4"/>
  <c r="R371" i="4"/>
  <c r="J371" i="4"/>
  <c r="AA370" i="4" l="1"/>
  <c r="Z370" i="4"/>
  <c r="G371" i="4"/>
  <c r="I371" i="4" s="1"/>
  <c r="Y371" i="4"/>
  <c r="AL371" i="4"/>
  <c r="AJ372" i="4"/>
  <c r="P372" i="4"/>
  <c r="B372" i="4"/>
  <c r="N372" i="4"/>
  <c r="D373" i="4"/>
  <c r="O373" i="4" s="1"/>
  <c r="C374" i="4"/>
  <c r="X371" i="4"/>
  <c r="AK372" i="4"/>
  <c r="O372" i="4"/>
  <c r="W372" i="4"/>
  <c r="AI372" i="4"/>
  <c r="V372" i="4"/>
  <c r="U372" i="4"/>
  <c r="T372" i="4"/>
  <c r="S372" i="4"/>
  <c r="Q372" i="4"/>
  <c r="J372" i="4"/>
  <c r="F372" i="4"/>
  <c r="M372" i="4"/>
  <c r="L372" i="4"/>
  <c r="E372" i="4"/>
  <c r="R372" i="4"/>
  <c r="K372" i="4"/>
  <c r="H372" i="4"/>
  <c r="M373" i="4" l="1"/>
  <c r="AI373" i="4"/>
  <c r="V373" i="4"/>
  <c r="Y372" i="4"/>
  <c r="J373" i="4"/>
  <c r="K373" i="4"/>
  <c r="G372" i="4"/>
  <c r="I372" i="4" s="1"/>
  <c r="B373" i="4"/>
  <c r="AK373" i="4"/>
  <c r="C375" i="4"/>
  <c r="D374" i="4"/>
  <c r="U374" i="4" s="1"/>
  <c r="Z371" i="4"/>
  <c r="AA371" i="4"/>
  <c r="AL372" i="4"/>
  <c r="X372" i="4"/>
  <c r="T373" i="4"/>
  <c r="Q373" i="4"/>
  <c r="N373" i="4"/>
  <c r="L373" i="4"/>
  <c r="F373" i="4"/>
  <c r="R373" i="4"/>
  <c r="E373" i="4"/>
  <c r="AJ373" i="4"/>
  <c r="W373" i="4"/>
  <c r="U373" i="4"/>
  <c r="S373" i="4"/>
  <c r="H373" i="4"/>
  <c r="P373" i="4"/>
  <c r="X373" i="4" l="1"/>
  <c r="AA373" i="4" s="1"/>
  <c r="Y373" i="4"/>
  <c r="AL373" i="4"/>
  <c r="G373" i="4"/>
  <c r="I373" i="4" s="1"/>
  <c r="D375" i="4"/>
  <c r="C376" i="4"/>
  <c r="AA372" i="4"/>
  <c r="Z372" i="4"/>
  <c r="B374" i="4"/>
  <c r="Q374" i="4"/>
  <c r="P374" i="4"/>
  <c r="N374" i="4"/>
  <c r="M374" i="4"/>
  <c r="L374" i="4"/>
  <c r="O374" i="4"/>
  <c r="K374" i="4"/>
  <c r="J374" i="4"/>
  <c r="AK374" i="4"/>
  <c r="F374" i="4"/>
  <c r="AI374" i="4"/>
  <c r="R374" i="4"/>
  <c r="E374" i="4"/>
  <c r="V374" i="4"/>
  <c r="S374" i="4"/>
  <c r="H374" i="4"/>
  <c r="W374" i="4"/>
  <c r="Y374" i="4" s="1"/>
  <c r="AJ374" i="4"/>
  <c r="T374" i="4"/>
  <c r="Z373" i="4" l="1"/>
  <c r="AJ375" i="4"/>
  <c r="V375" i="4"/>
  <c r="T375" i="4"/>
  <c r="S375" i="4"/>
  <c r="Q375" i="4"/>
  <c r="AK375" i="4"/>
  <c r="J375" i="4"/>
  <c r="F375" i="4"/>
  <c r="M375" i="4"/>
  <c r="U375" i="4"/>
  <c r="W375" i="4"/>
  <c r="P375" i="4"/>
  <c r="N375" i="4"/>
  <c r="L375" i="4"/>
  <c r="O375" i="4"/>
  <c r="K375" i="4"/>
  <c r="AI375" i="4"/>
  <c r="R375" i="4"/>
  <c r="H375" i="4"/>
  <c r="D376" i="4"/>
  <c r="W376" i="4" s="1"/>
  <c r="C377" i="4"/>
  <c r="AL374" i="4"/>
  <c r="G374" i="4"/>
  <c r="I374" i="4" s="1"/>
  <c r="X374" i="4"/>
  <c r="B375" i="4"/>
  <c r="E375" i="4"/>
  <c r="X375" i="4" l="1"/>
  <c r="AA375" i="4" s="1"/>
  <c r="Y375" i="4"/>
  <c r="G375" i="4"/>
  <c r="I375" i="4" s="1"/>
  <c r="AL375" i="4"/>
  <c r="H376" i="4"/>
  <c r="K376" i="4"/>
  <c r="D377" i="4"/>
  <c r="AI377" i="4" s="1"/>
  <c r="C378" i="4"/>
  <c r="Z374" i="4"/>
  <c r="AA374" i="4"/>
  <c r="B376" i="4"/>
  <c r="P376" i="4"/>
  <c r="AK376" i="4"/>
  <c r="J376" i="4"/>
  <c r="O376" i="4"/>
  <c r="S376" i="4"/>
  <c r="AJ376" i="4"/>
  <c r="U376" i="4"/>
  <c r="Y376" i="4" s="1"/>
  <c r="L376" i="4"/>
  <c r="F376" i="4"/>
  <c r="T376" i="4"/>
  <c r="R376" i="4"/>
  <c r="Q376" i="4"/>
  <c r="N376" i="4"/>
  <c r="AI376" i="4"/>
  <c r="E376" i="4"/>
  <c r="V376" i="4"/>
  <c r="M376" i="4"/>
  <c r="Z375" i="4" l="1"/>
  <c r="G376" i="4"/>
  <c r="I376" i="4" s="1"/>
  <c r="S377" i="4"/>
  <c r="R377" i="4"/>
  <c r="P377" i="4"/>
  <c r="M377" i="4"/>
  <c r="K377" i="4"/>
  <c r="Q377" i="4"/>
  <c r="D378" i="4"/>
  <c r="C379" i="4"/>
  <c r="AL376" i="4"/>
  <c r="X376" i="4"/>
  <c r="B377" i="4"/>
  <c r="F377" i="4"/>
  <c r="AK377" i="4"/>
  <c r="AL377" i="4" s="1"/>
  <c r="AJ377" i="4"/>
  <c r="N377" i="4"/>
  <c r="L377" i="4"/>
  <c r="J377" i="4"/>
  <c r="H377" i="4"/>
  <c r="W377" i="4"/>
  <c r="V377" i="4"/>
  <c r="U377" i="4"/>
  <c r="O377" i="4"/>
  <c r="T377" i="4"/>
  <c r="E377" i="4"/>
  <c r="Y377" i="4" l="1"/>
  <c r="T378" i="4"/>
  <c r="R378" i="4"/>
  <c r="X377" i="4"/>
  <c r="D379" i="4"/>
  <c r="U379" i="4" s="1"/>
  <c r="C380" i="4"/>
  <c r="AA376" i="4"/>
  <c r="Z376" i="4"/>
  <c r="G377" i="4"/>
  <c r="I377" i="4" s="1"/>
  <c r="B378" i="4"/>
  <c r="O378" i="4"/>
  <c r="AI378" i="4"/>
  <c r="AK378" i="4"/>
  <c r="W378" i="4"/>
  <c r="L378" i="4"/>
  <c r="AJ378" i="4"/>
  <c r="P378" i="4"/>
  <c r="F378" i="4"/>
  <c r="E378" i="4"/>
  <c r="M378" i="4"/>
  <c r="J378" i="4"/>
  <c r="V378" i="4"/>
  <c r="H378" i="4"/>
  <c r="Q378" i="4"/>
  <c r="K378" i="4"/>
  <c r="S378" i="4"/>
  <c r="N378" i="4"/>
  <c r="U378" i="4"/>
  <c r="AL378" i="4" l="1"/>
  <c r="X378" i="4"/>
  <c r="AA378" i="4" s="1"/>
  <c r="G378" i="4"/>
  <c r="I378" i="4" s="1"/>
  <c r="Y378" i="4"/>
  <c r="P379" i="4"/>
  <c r="L379" i="4"/>
  <c r="O379" i="4"/>
  <c r="AJ379" i="4"/>
  <c r="W379" i="4"/>
  <c r="Y379" i="4" s="1"/>
  <c r="V379" i="4"/>
  <c r="H379" i="4"/>
  <c r="Z377" i="4"/>
  <c r="AA377" i="4"/>
  <c r="J379" i="4"/>
  <c r="R379" i="4"/>
  <c r="AI379" i="4"/>
  <c r="T379" i="4"/>
  <c r="N379" i="4"/>
  <c r="E379" i="4"/>
  <c r="D380" i="4"/>
  <c r="C381" i="4"/>
  <c r="B379" i="4"/>
  <c r="S379" i="4"/>
  <c r="Q379" i="4"/>
  <c r="M379" i="4"/>
  <c r="K379" i="4"/>
  <c r="F379" i="4"/>
  <c r="AK379" i="4"/>
  <c r="X379" i="4" l="1"/>
  <c r="Z378" i="4"/>
  <c r="AL379" i="4"/>
  <c r="G379" i="4"/>
  <c r="I379" i="4" s="1"/>
  <c r="R380" i="4"/>
  <c r="Q380" i="4"/>
  <c r="D381" i="4"/>
  <c r="C382" i="4"/>
  <c r="B380" i="4"/>
  <c r="P380" i="4"/>
  <c r="L380" i="4"/>
  <c r="J380" i="4"/>
  <c r="AK380" i="4"/>
  <c r="V380" i="4"/>
  <c r="K380" i="4"/>
  <c r="H380" i="4"/>
  <c r="AJ380" i="4"/>
  <c r="U380" i="4"/>
  <c r="M380" i="4"/>
  <c r="F380" i="4"/>
  <c r="S380" i="4"/>
  <c r="AI380" i="4"/>
  <c r="E380" i="4"/>
  <c r="T380" i="4"/>
  <c r="N380" i="4"/>
  <c r="W380" i="4"/>
  <c r="O380" i="4"/>
  <c r="Z379" i="4" l="1"/>
  <c r="AA379" i="4"/>
  <c r="F381" i="4"/>
  <c r="M381" i="4"/>
  <c r="AL380" i="4"/>
  <c r="L381" i="4"/>
  <c r="V381" i="4"/>
  <c r="AI381" i="4"/>
  <c r="H381" i="4"/>
  <c r="E381" i="4"/>
  <c r="U381" i="4"/>
  <c r="AJ381" i="4"/>
  <c r="T381" i="4"/>
  <c r="W381" i="4"/>
  <c r="S381" i="4"/>
  <c r="Q381" i="4"/>
  <c r="N381" i="4"/>
  <c r="AK381" i="4"/>
  <c r="P381" i="4"/>
  <c r="Y380" i="4"/>
  <c r="B381" i="4"/>
  <c r="R381" i="4"/>
  <c r="D382" i="4"/>
  <c r="C383" i="4"/>
  <c r="G380" i="4"/>
  <c r="I380" i="4" s="1"/>
  <c r="X380" i="4"/>
  <c r="O381" i="4"/>
  <c r="K381" i="4"/>
  <c r="J381" i="4"/>
  <c r="AL381" i="4" l="1"/>
  <c r="G381" i="4"/>
  <c r="I381" i="4" s="1"/>
  <c r="R382" i="4"/>
  <c r="AK382" i="4"/>
  <c r="X381" i="4"/>
  <c r="AA381" i="4" s="1"/>
  <c r="Y381" i="4"/>
  <c r="AI382" i="4"/>
  <c r="AJ382" i="4"/>
  <c r="V382" i="4"/>
  <c r="S382" i="4"/>
  <c r="T382" i="4"/>
  <c r="Q382" i="4"/>
  <c r="P382" i="4"/>
  <c r="N382" i="4"/>
  <c r="K382" i="4"/>
  <c r="F382" i="4"/>
  <c r="W382" i="4"/>
  <c r="M382" i="4"/>
  <c r="J382" i="4"/>
  <c r="U382" i="4"/>
  <c r="L382" i="4"/>
  <c r="D383" i="4"/>
  <c r="C384" i="4"/>
  <c r="Z380" i="4"/>
  <c r="AA380" i="4"/>
  <c r="B382" i="4"/>
  <c r="O382" i="4"/>
  <c r="E382" i="4"/>
  <c r="H382" i="4"/>
  <c r="Z381" i="4" l="1"/>
  <c r="Y382" i="4"/>
  <c r="AL382" i="4"/>
  <c r="G382" i="4"/>
  <c r="I382" i="4" s="1"/>
  <c r="X382" i="4"/>
  <c r="E383" i="4"/>
  <c r="S383" i="4"/>
  <c r="R383" i="4"/>
  <c r="B383" i="4"/>
  <c r="K383" i="4"/>
  <c r="C385" i="4"/>
  <c r="D384" i="4"/>
  <c r="N384" i="4" s="1"/>
  <c r="O383" i="4"/>
  <c r="AK383" i="4"/>
  <c r="U383" i="4"/>
  <c r="AJ383" i="4"/>
  <c r="W383" i="4"/>
  <c r="V383" i="4"/>
  <c r="T383" i="4"/>
  <c r="Q383" i="4"/>
  <c r="P383" i="4"/>
  <c r="N383" i="4"/>
  <c r="M383" i="4"/>
  <c r="L383" i="4"/>
  <c r="AI383" i="4"/>
  <c r="H383" i="4"/>
  <c r="F383" i="4"/>
  <c r="J383" i="4"/>
  <c r="G383" i="4" l="1"/>
  <c r="I383" i="4" s="1"/>
  <c r="AA382" i="4"/>
  <c r="Z382" i="4"/>
  <c r="Y383" i="4"/>
  <c r="X383" i="4"/>
  <c r="AA383" i="4" s="1"/>
  <c r="D385" i="4"/>
  <c r="C386" i="4"/>
  <c r="B384" i="4"/>
  <c r="E384" i="4"/>
  <c r="AL383" i="4"/>
  <c r="V384" i="4"/>
  <c r="M384" i="4"/>
  <c r="AI384" i="4"/>
  <c r="J384" i="4"/>
  <c r="T384" i="4"/>
  <c r="AK384" i="4"/>
  <c r="U384" i="4"/>
  <c r="Q384" i="4"/>
  <c r="L384" i="4"/>
  <c r="H384" i="4"/>
  <c r="F384" i="4"/>
  <c r="AJ384" i="4"/>
  <c r="W384" i="4"/>
  <c r="S384" i="4"/>
  <c r="P384" i="4"/>
  <c r="K384" i="4"/>
  <c r="R384" i="4"/>
  <c r="O384" i="4"/>
  <c r="X384" i="4" l="1"/>
  <c r="AA384" i="4" s="1"/>
  <c r="O385" i="4"/>
  <c r="H385" i="4"/>
  <c r="Z383" i="4"/>
  <c r="G384" i="4"/>
  <c r="I384" i="4" s="1"/>
  <c r="AL384" i="4"/>
  <c r="U385" i="4"/>
  <c r="N385" i="4"/>
  <c r="L385" i="4"/>
  <c r="J385" i="4"/>
  <c r="F385" i="4"/>
  <c r="S385" i="4"/>
  <c r="R385" i="4"/>
  <c r="AJ385" i="4"/>
  <c r="V385" i="4"/>
  <c r="T385" i="4"/>
  <c r="Q385" i="4"/>
  <c r="AI385" i="4"/>
  <c r="C387" i="4"/>
  <c r="D386" i="4"/>
  <c r="O386" i="4" s="1"/>
  <c r="Y384" i="4"/>
  <c r="B385" i="4"/>
  <c r="K385" i="4"/>
  <c r="W385" i="4"/>
  <c r="M385" i="4"/>
  <c r="P385" i="4"/>
  <c r="E385" i="4"/>
  <c r="AK385" i="4"/>
  <c r="Z384" i="4" l="1"/>
  <c r="X385" i="4"/>
  <c r="AA385" i="4" s="1"/>
  <c r="AL385" i="4"/>
  <c r="Y385" i="4"/>
  <c r="G385" i="4"/>
  <c r="I385" i="4" s="1"/>
  <c r="C388" i="4"/>
  <c r="D387" i="4"/>
  <c r="B386" i="4"/>
  <c r="AJ386" i="4"/>
  <c r="R386" i="4"/>
  <c r="P386" i="4"/>
  <c r="AI386" i="4"/>
  <c r="W386" i="4"/>
  <c r="U386" i="4"/>
  <c r="S386" i="4"/>
  <c r="Q386" i="4"/>
  <c r="T386" i="4"/>
  <c r="N386" i="4"/>
  <c r="J386" i="4"/>
  <c r="K386" i="4"/>
  <c r="H386" i="4"/>
  <c r="M386" i="4"/>
  <c r="AK386" i="4"/>
  <c r="V386" i="4"/>
  <c r="E386" i="4"/>
  <c r="L386" i="4"/>
  <c r="F386" i="4"/>
  <c r="Z385" i="4" l="1"/>
  <c r="Y386" i="4"/>
  <c r="AL386" i="4"/>
  <c r="X386" i="4"/>
  <c r="J387" i="4"/>
  <c r="O387" i="4"/>
  <c r="AK387" i="4"/>
  <c r="W387" i="4"/>
  <c r="S387" i="4"/>
  <c r="F387" i="4"/>
  <c r="T387" i="4"/>
  <c r="P387" i="4"/>
  <c r="N387" i="4"/>
  <c r="H387" i="4"/>
  <c r="E387" i="4"/>
  <c r="C389" i="4"/>
  <c r="D388" i="4"/>
  <c r="G386" i="4"/>
  <c r="I386" i="4" s="1"/>
  <c r="B387" i="4"/>
  <c r="AI387" i="4"/>
  <c r="L387" i="4"/>
  <c r="V387" i="4"/>
  <c r="M387" i="4"/>
  <c r="AJ387" i="4"/>
  <c r="R387" i="4"/>
  <c r="U387" i="4"/>
  <c r="Q387" i="4"/>
  <c r="K387" i="4"/>
  <c r="G387" i="4" l="1"/>
  <c r="I387" i="4" s="1"/>
  <c r="X387" i="4"/>
  <c r="AA387" i="4" s="1"/>
  <c r="AL387" i="4"/>
  <c r="Z386" i="4"/>
  <c r="AA386" i="4"/>
  <c r="Y387" i="4"/>
  <c r="C390" i="4"/>
  <c r="D389" i="4"/>
  <c r="N389" i="4" s="1"/>
  <c r="B388" i="4"/>
  <c r="AI388" i="4"/>
  <c r="AK388" i="4"/>
  <c r="Q388" i="4"/>
  <c r="M388" i="4"/>
  <c r="S388" i="4"/>
  <c r="P388" i="4"/>
  <c r="N388" i="4"/>
  <c r="O388" i="4"/>
  <c r="L388" i="4"/>
  <c r="K388" i="4"/>
  <c r="T388" i="4"/>
  <c r="F388" i="4"/>
  <c r="J388" i="4"/>
  <c r="R388" i="4"/>
  <c r="H388" i="4"/>
  <c r="AJ388" i="4"/>
  <c r="W388" i="4"/>
  <c r="U388" i="4"/>
  <c r="E388" i="4"/>
  <c r="V388" i="4"/>
  <c r="Z387" i="4" l="1"/>
  <c r="G388" i="4"/>
  <c r="I388" i="4" s="1"/>
  <c r="AL388" i="4"/>
  <c r="R389" i="4"/>
  <c r="V389" i="4"/>
  <c r="U389" i="4"/>
  <c r="T389" i="4"/>
  <c r="S389" i="4"/>
  <c r="O389" i="4"/>
  <c r="E389" i="4"/>
  <c r="AK389" i="4"/>
  <c r="AJ389" i="4"/>
  <c r="W389" i="4"/>
  <c r="Q389" i="4"/>
  <c r="P389" i="4"/>
  <c r="M389" i="4"/>
  <c r="L389" i="4"/>
  <c r="AI389" i="4"/>
  <c r="D390" i="4"/>
  <c r="U390" i="4" s="1"/>
  <c r="C391" i="4"/>
  <c r="X388" i="4"/>
  <c r="AA388" i="4" s="1"/>
  <c r="Y388" i="4"/>
  <c r="B389" i="4"/>
  <c r="K389" i="4"/>
  <c r="J389" i="4"/>
  <c r="H389" i="4"/>
  <c r="F389" i="4"/>
  <c r="AL389" i="4" l="1"/>
  <c r="Q390" i="4"/>
  <c r="M390" i="4"/>
  <c r="K390" i="4"/>
  <c r="H390" i="4"/>
  <c r="R390" i="4"/>
  <c r="E390" i="4"/>
  <c r="AJ390" i="4"/>
  <c r="AI390" i="4"/>
  <c r="T390" i="4"/>
  <c r="P390" i="4"/>
  <c r="AK390" i="4"/>
  <c r="O390" i="4"/>
  <c r="V390" i="4"/>
  <c r="N390" i="4"/>
  <c r="Y389" i="4"/>
  <c r="X389" i="4"/>
  <c r="G389" i="4"/>
  <c r="I389" i="4" s="1"/>
  <c r="D391" i="4"/>
  <c r="C392" i="4"/>
  <c r="Z388" i="4"/>
  <c r="B390" i="4"/>
  <c r="J390" i="4"/>
  <c r="S390" i="4"/>
  <c r="L390" i="4"/>
  <c r="F390" i="4"/>
  <c r="W390" i="4"/>
  <c r="Y390" i="4" s="1"/>
  <c r="G390" i="4" l="1"/>
  <c r="I390" i="4" s="1"/>
  <c r="AL390" i="4"/>
  <c r="X390" i="4"/>
  <c r="Z389" i="4"/>
  <c r="AA389" i="4"/>
  <c r="D392" i="4"/>
  <c r="C393" i="4"/>
  <c r="B391" i="4"/>
  <c r="S391" i="4"/>
  <c r="Q391" i="4"/>
  <c r="P391" i="4"/>
  <c r="N391" i="4"/>
  <c r="M391" i="4"/>
  <c r="L391" i="4"/>
  <c r="K391" i="4"/>
  <c r="J391" i="4"/>
  <c r="O391" i="4"/>
  <c r="R391" i="4"/>
  <c r="AK391" i="4"/>
  <c r="H391" i="4"/>
  <c r="AJ391" i="4"/>
  <c r="W391" i="4"/>
  <c r="AI391" i="4"/>
  <c r="V391" i="4"/>
  <c r="T391" i="4"/>
  <c r="E391" i="4"/>
  <c r="F391" i="4"/>
  <c r="U391" i="4"/>
  <c r="AA390" i="4" l="1"/>
  <c r="Z390" i="4"/>
  <c r="AI392" i="4"/>
  <c r="F392" i="4"/>
  <c r="X391" i="4"/>
  <c r="AA391" i="4" s="1"/>
  <c r="O392" i="4"/>
  <c r="R392" i="4"/>
  <c r="U392" i="4"/>
  <c r="S392" i="4"/>
  <c r="P392" i="4"/>
  <c r="N392" i="4"/>
  <c r="M392" i="4"/>
  <c r="T392" i="4"/>
  <c r="Q392" i="4"/>
  <c r="E392" i="4"/>
  <c r="B392" i="4"/>
  <c r="AK392" i="4"/>
  <c r="C394" i="4"/>
  <c r="D393" i="4"/>
  <c r="AL391" i="4"/>
  <c r="G391" i="4"/>
  <c r="I391" i="4" s="1"/>
  <c r="Y391" i="4"/>
  <c r="W392" i="4"/>
  <c r="L392" i="4"/>
  <c r="K392" i="4"/>
  <c r="AJ392" i="4"/>
  <c r="V392" i="4"/>
  <c r="J392" i="4"/>
  <c r="H392" i="4"/>
  <c r="AL392" i="4" l="1"/>
  <c r="Z391" i="4"/>
  <c r="G392" i="4"/>
  <c r="I392" i="4" s="1"/>
  <c r="L393" i="4"/>
  <c r="AI393" i="4"/>
  <c r="V393" i="4"/>
  <c r="Q393" i="4"/>
  <c r="O393" i="4"/>
  <c r="AJ393" i="4"/>
  <c r="H393" i="4"/>
  <c r="S393" i="4"/>
  <c r="Y392" i="4"/>
  <c r="X392" i="4"/>
  <c r="AA392" i="4" s="1"/>
  <c r="AK393" i="4"/>
  <c r="T393" i="4"/>
  <c r="F393" i="4"/>
  <c r="R393" i="4"/>
  <c r="U393" i="4"/>
  <c r="M393" i="4"/>
  <c r="K393" i="4"/>
  <c r="D394" i="4"/>
  <c r="H394" i="4" s="1"/>
  <c r="C395" i="4"/>
  <c r="B393" i="4"/>
  <c r="W393" i="4"/>
  <c r="N393" i="4"/>
  <c r="J393" i="4"/>
  <c r="P393" i="4"/>
  <c r="E393" i="4"/>
  <c r="Z392" i="4" l="1"/>
  <c r="T394" i="4"/>
  <c r="W394" i="4"/>
  <c r="U394" i="4"/>
  <c r="X393" i="4"/>
  <c r="AA393" i="4" s="1"/>
  <c r="AL393" i="4"/>
  <c r="R394" i="4"/>
  <c r="S394" i="4"/>
  <c r="G393" i="4"/>
  <c r="I393" i="4" s="1"/>
  <c r="Y393" i="4"/>
  <c r="P394" i="4"/>
  <c r="N394" i="4"/>
  <c r="F394" i="4"/>
  <c r="M394" i="4"/>
  <c r="E394" i="4"/>
  <c r="D395" i="4"/>
  <c r="C396" i="4"/>
  <c r="B394" i="4"/>
  <c r="L394" i="4"/>
  <c r="K394" i="4"/>
  <c r="J394" i="4"/>
  <c r="O394" i="4"/>
  <c r="Q394" i="4"/>
  <c r="AK394" i="4"/>
  <c r="AJ394" i="4"/>
  <c r="AI394" i="4"/>
  <c r="V394" i="4"/>
  <c r="X394" i="4" l="1"/>
  <c r="AA394" i="4" s="1"/>
  <c r="G394" i="4"/>
  <c r="I394" i="4" s="1"/>
  <c r="Y394" i="4"/>
  <c r="Z393" i="4"/>
  <c r="AK395" i="4"/>
  <c r="E395" i="4"/>
  <c r="V395" i="4"/>
  <c r="AJ395" i="4"/>
  <c r="U395" i="4"/>
  <c r="AI395" i="4"/>
  <c r="W395" i="4"/>
  <c r="S395" i="4"/>
  <c r="Q395" i="4"/>
  <c r="P395" i="4"/>
  <c r="N395" i="4"/>
  <c r="M395" i="4"/>
  <c r="L395" i="4"/>
  <c r="K395" i="4"/>
  <c r="J395" i="4"/>
  <c r="D396" i="4"/>
  <c r="V396" i="4" s="1"/>
  <c r="C397" i="4"/>
  <c r="AL394" i="4"/>
  <c r="B395" i="4"/>
  <c r="R395" i="4"/>
  <c r="T395" i="4"/>
  <c r="O395" i="4"/>
  <c r="H395" i="4"/>
  <c r="F395" i="4"/>
  <c r="Z394" i="4" l="1"/>
  <c r="AL395" i="4"/>
  <c r="Y395" i="4"/>
  <c r="S396" i="4"/>
  <c r="AI396" i="4"/>
  <c r="P396" i="4"/>
  <c r="X395" i="4"/>
  <c r="AA395" i="4" s="1"/>
  <c r="G395" i="4"/>
  <c r="I395" i="4" s="1"/>
  <c r="N396" i="4"/>
  <c r="K396" i="4"/>
  <c r="W396" i="4"/>
  <c r="U396" i="4"/>
  <c r="M396" i="4"/>
  <c r="J396" i="4"/>
  <c r="R396" i="4"/>
  <c r="Q396" i="4"/>
  <c r="D397" i="4"/>
  <c r="C398" i="4"/>
  <c r="B396" i="4"/>
  <c r="AK396" i="4"/>
  <c r="AJ396" i="4"/>
  <c r="L396" i="4"/>
  <c r="T396" i="4"/>
  <c r="X396" i="4" s="1"/>
  <c r="O396" i="4"/>
  <c r="E396" i="4"/>
  <c r="H396" i="4"/>
  <c r="F396" i="4"/>
  <c r="Y396" i="4" l="1"/>
  <c r="Z396" i="4" s="1"/>
  <c r="Z395" i="4"/>
  <c r="AK397" i="4"/>
  <c r="N397" i="4"/>
  <c r="AI397" i="4"/>
  <c r="AL396" i="4"/>
  <c r="U397" i="4"/>
  <c r="S397" i="4"/>
  <c r="M397" i="4"/>
  <c r="K397" i="4"/>
  <c r="O397" i="4"/>
  <c r="P397" i="4"/>
  <c r="E397" i="4"/>
  <c r="W397" i="4"/>
  <c r="AJ397" i="4"/>
  <c r="V397" i="4"/>
  <c r="T397" i="4"/>
  <c r="Q397" i="4"/>
  <c r="R397" i="4"/>
  <c r="L397" i="4"/>
  <c r="J397" i="4"/>
  <c r="AA396" i="4"/>
  <c r="D398" i="4"/>
  <c r="C399" i="4"/>
  <c r="G396" i="4"/>
  <c r="I396" i="4" s="1"/>
  <c r="B397" i="4"/>
  <c r="F397" i="4"/>
  <c r="H397" i="4"/>
  <c r="AL397" i="4" l="1"/>
  <c r="Y397" i="4"/>
  <c r="N398" i="4"/>
  <c r="J398" i="4"/>
  <c r="G397" i="4"/>
  <c r="I397" i="4" s="1"/>
  <c r="X397" i="4"/>
  <c r="M398" i="4"/>
  <c r="L398" i="4"/>
  <c r="K398" i="4"/>
  <c r="H398" i="4"/>
  <c r="O398" i="4"/>
  <c r="AK398" i="4"/>
  <c r="AJ398" i="4"/>
  <c r="F398" i="4"/>
  <c r="R398" i="4"/>
  <c r="AI398" i="4"/>
  <c r="S398" i="4"/>
  <c r="Q398" i="4"/>
  <c r="W398" i="4"/>
  <c r="P398" i="4"/>
  <c r="V398" i="4"/>
  <c r="U398" i="4"/>
  <c r="T398" i="4"/>
  <c r="B398" i="4"/>
  <c r="E398" i="4"/>
  <c r="C400" i="4"/>
  <c r="D399" i="4"/>
  <c r="P399" i="4" s="1"/>
  <c r="AL398" i="4" l="1"/>
  <c r="Y398" i="4"/>
  <c r="AA397" i="4"/>
  <c r="Z397" i="4"/>
  <c r="G398" i="4"/>
  <c r="I398" i="4" s="1"/>
  <c r="X398" i="4"/>
  <c r="Q399" i="4"/>
  <c r="AI399" i="4"/>
  <c r="T399" i="4"/>
  <c r="S399" i="4"/>
  <c r="K399" i="4"/>
  <c r="O399" i="4"/>
  <c r="E399" i="4"/>
  <c r="L399" i="4"/>
  <c r="F399" i="4"/>
  <c r="R399" i="4"/>
  <c r="J399" i="4"/>
  <c r="M399" i="4"/>
  <c r="C401" i="4"/>
  <c r="D400" i="4"/>
  <c r="AK400" i="4" s="1"/>
  <c r="B399" i="4"/>
  <c r="V399" i="4"/>
  <c r="H399" i="4"/>
  <c r="U399" i="4"/>
  <c r="N399" i="4"/>
  <c r="AJ399" i="4"/>
  <c r="AK399" i="4"/>
  <c r="W399" i="4"/>
  <c r="G399" i="4" l="1"/>
  <c r="I399" i="4" s="1"/>
  <c r="X399" i="4"/>
  <c r="AL399" i="4"/>
  <c r="Z398" i="4"/>
  <c r="AA398" i="4"/>
  <c r="Y399" i="4"/>
  <c r="C402" i="4"/>
  <c r="D401" i="4"/>
  <c r="B400" i="4"/>
  <c r="J400" i="4"/>
  <c r="H400" i="4"/>
  <c r="O400" i="4"/>
  <c r="AJ400" i="4"/>
  <c r="V400" i="4"/>
  <c r="P400" i="4"/>
  <c r="F400" i="4"/>
  <c r="T400" i="4"/>
  <c r="M400" i="4"/>
  <c r="L400" i="4"/>
  <c r="U400" i="4"/>
  <c r="S400" i="4"/>
  <c r="R400" i="4"/>
  <c r="AI400" i="4"/>
  <c r="AL400" i="4" s="1"/>
  <c r="W400" i="4"/>
  <c r="Q400" i="4"/>
  <c r="N400" i="4"/>
  <c r="K400" i="4"/>
  <c r="E400" i="4"/>
  <c r="X400" i="4" l="1"/>
  <c r="AA400" i="4" s="1"/>
  <c r="AA399" i="4"/>
  <c r="Z399" i="4"/>
  <c r="G400" i="4"/>
  <c r="I400" i="4" s="1"/>
  <c r="U401" i="4"/>
  <c r="T401" i="4"/>
  <c r="S401" i="4"/>
  <c r="AJ401" i="4"/>
  <c r="L401" i="4"/>
  <c r="E401" i="4"/>
  <c r="AK401" i="4"/>
  <c r="O401" i="4"/>
  <c r="K401" i="4"/>
  <c r="C403" i="4"/>
  <c r="D402" i="4"/>
  <c r="Y400" i="4"/>
  <c r="B401" i="4"/>
  <c r="J401" i="4"/>
  <c r="H401" i="4"/>
  <c r="F401" i="4"/>
  <c r="AI401" i="4"/>
  <c r="R401" i="4"/>
  <c r="P401" i="4"/>
  <c r="V401" i="4"/>
  <c r="Q401" i="4"/>
  <c r="M401" i="4"/>
  <c r="W401" i="4"/>
  <c r="N401" i="4"/>
  <c r="Z400" i="4" l="1"/>
  <c r="X401" i="4"/>
  <c r="Y401" i="4"/>
  <c r="AK402" i="4"/>
  <c r="V402" i="4"/>
  <c r="AJ402" i="4"/>
  <c r="U402" i="4"/>
  <c r="AI402" i="4"/>
  <c r="M402" i="4"/>
  <c r="L402" i="4"/>
  <c r="G401" i="4"/>
  <c r="I401" i="4" s="1"/>
  <c r="AL401" i="4"/>
  <c r="W402" i="4"/>
  <c r="T402" i="4"/>
  <c r="S402" i="4"/>
  <c r="Q402" i="4"/>
  <c r="P402" i="4"/>
  <c r="K402" i="4"/>
  <c r="J402" i="4"/>
  <c r="R402" i="4"/>
  <c r="H402" i="4"/>
  <c r="E402" i="4"/>
  <c r="N402" i="4"/>
  <c r="F402" i="4"/>
  <c r="D403" i="4"/>
  <c r="C404" i="4"/>
  <c r="B402" i="4"/>
  <c r="O402" i="4"/>
  <c r="AL402" i="4" l="1"/>
  <c r="X402" i="4"/>
  <c r="AA402" i="4" s="1"/>
  <c r="G402" i="4"/>
  <c r="I402" i="4" s="1"/>
  <c r="AA401" i="4"/>
  <c r="Z401" i="4"/>
  <c r="Y402" i="4"/>
  <c r="B403" i="4"/>
  <c r="E403" i="4"/>
  <c r="D404" i="4"/>
  <c r="C405" i="4"/>
  <c r="W403" i="4"/>
  <c r="Q403" i="4"/>
  <c r="AI403" i="4"/>
  <c r="L403" i="4"/>
  <c r="K403" i="4"/>
  <c r="S403" i="4"/>
  <c r="N403" i="4"/>
  <c r="AK403" i="4"/>
  <c r="AJ403" i="4"/>
  <c r="H403" i="4"/>
  <c r="V403" i="4"/>
  <c r="M403" i="4"/>
  <c r="R403" i="4"/>
  <c r="U403" i="4"/>
  <c r="O403" i="4"/>
  <c r="P403" i="4"/>
  <c r="T403" i="4"/>
  <c r="F403" i="4"/>
  <c r="J403" i="4"/>
  <c r="Z402" i="4" l="1"/>
  <c r="AL403" i="4"/>
  <c r="Y403" i="4"/>
  <c r="G403" i="4"/>
  <c r="I403" i="4" s="1"/>
  <c r="D405" i="4"/>
  <c r="M405" i="4" s="1"/>
  <c r="C406" i="4"/>
  <c r="X403" i="4"/>
  <c r="B404" i="4"/>
  <c r="R404" i="4"/>
  <c r="L404" i="4"/>
  <c r="H404" i="4"/>
  <c r="K404" i="4"/>
  <c r="AK404" i="4"/>
  <c r="AI404" i="4"/>
  <c r="V404" i="4"/>
  <c r="T404" i="4"/>
  <c r="AJ404" i="4"/>
  <c r="W404" i="4"/>
  <c r="U404" i="4"/>
  <c r="S404" i="4"/>
  <c r="Q404" i="4"/>
  <c r="P404" i="4"/>
  <c r="E404" i="4"/>
  <c r="N404" i="4"/>
  <c r="J404" i="4"/>
  <c r="M404" i="4"/>
  <c r="O404" i="4"/>
  <c r="F404" i="4"/>
  <c r="AL404" i="4" l="1"/>
  <c r="Y404" i="4"/>
  <c r="X404" i="4"/>
  <c r="G404" i="4"/>
  <c r="I404" i="4" s="1"/>
  <c r="D406" i="4"/>
  <c r="C407" i="4"/>
  <c r="Z403" i="4"/>
  <c r="AA403" i="4"/>
  <c r="B405" i="4"/>
  <c r="E405" i="4"/>
  <c r="AK405" i="4"/>
  <c r="V405" i="4"/>
  <c r="AJ405" i="4"/>
  <c r="AI405" i="4"/>
  <c r="W405" i="4"/>
  <c r="O405" i="4"/>
  <c r="N405" i="4"/>
  <c r="R405" i="4"/>
  <c r="U405" i="4"/>
  <c r="T405" i="4"/>
  <c r="S405" i="4"/>
  <c r="K405" i="4"/>
  <c r="J405" i="4"/>
  <c r="H405" i="4"/>
  <c r="Q405" i="4"/>
  <c r="P405" i="4"/>
  <c r="L405" i="4"/>
  <c r="F405" i="4"/>
  <c r="X405" i="4" l="1"/>
  <c r="AA405" i="4" s="1"/>
  <c r="Y405" i="4"/>
  <c r="G405" i="4"/>
  <c r="I405" i="4" s="1"/>
  <c r="R406" i="4"/>
  <c r="AK406" i="4"/>
  <c r="Q406" i="4"/>
  <c r="P406" i="4"/>
  <c r="N406" i="4"/>
  <c r="AA404" i="4"/>
  <c r="Z404" i="4"/>
  <c r="M406" i="4"/>
  <c r="V406" i="4"/>
  <c r="U406" i="4"/>
  <c r="T406" i="4"/>
  <c r="C408" i="4"/>
  <c r="D407" i="4"/>
  <c r="AL405" i="4"/>
  <c r="B406" i="4"/>
  <c r="W406" i="4"/>
  <c r="L406" i="4"/>
  <c r="K406" i="4"/>
  <c r="J406" i="4"/>
  <c r="H406" i="4"/>
  <c r="O406" i="4"/>
  <c r="S406" i="4"/>
  <c r="F406" i="4"/>
  <c r="AJ406" i="4"/>
  <c r="AI406" i="4"/>
  <c r="E406" i="4"/>
  <c r="Z405" i="4" l="1"/>
  <c r="AL406" i="4"/>
  <c r="Y406" i="4"/>
  <c r="X406" i="4"/>
  <c r="E407" i="4"/>
  <c r="S407" i="4"/>
  <c r="Q407" i="4"/>
  <c r="J407" i="4"/>
  <c r="C409" i="4"/>
  <c r="D408" i="4"/>
  <c r="G406" i="4"/>
  <c r="I406" i="4" s="1"/>
  <c r="B407" i="4"/>
  <c r="O407" i="4"/>
  <c r="P407" i="4"/>
  <c r="U407" i="4"/>
  <c r="R407" i="4"/>
  <c r="N407" i="4"/>
  <c r="M407" i="4"/>
  <c r="V407" i="4"/>
  <c r="T407" i="4"/>
  <c r="L407" i="4"/>
  <c r="F407" i="4"/>
  <c r="K407" i="4"/>
  <c r="H407" i="4"/>
  <c r="AK407" i="4"/>
  <c r="AJ407" i="4"/>
  <c r="AI407" i="4"/>
  <c r="W407" i="4"/>
  <c r="AK408" i="4" l="1"/>
  <c r="V408" i="4"/>
  <c r="R408" i="4"/>
  <c r="W408" i="4"/>
  <c r="P408" i="4"/>
  <c r="AI408" i="4"/>
  <c r="U408" i="4"/>
  <c r="L408" i="4"/>
  <c r="AJ408" i="4"/>
  <c r="M408" i="4"/>
  <c r="Q408" i="4"/>
  <c r="N408" i="4"/>
  <c r="X407" i="4"/>
  <c r="AA407" i="4" s="1"/>
  <c r="AA406" i="4"/>
  <c r="Z406" i="4"/>
  <c r="G407" i="4"/>
  <c r="I407" i="4" s="1"/>
  <c r="S408" i="4"/>
  <c r="T408" i="4"/>
  <c r="C410" i="4"/>
  <c r="D409" i="4"/>
  <c r="Y407" i="4"/>
  <c r="AL407" i="4"/>
  <c r="B408" i="4"/>
  <c r="K408" i="4"/>
  <c r="J408" i="4"/>
  <c r="O408" i="4"/>
  <c r="H408" i="4"/>
  <c r="F408" i="4"/>
  <c r="E408" i="4"/>
  <c r="AL408" i="4" l="1"/>
  <c r="X408" i="4"/>
  <c r="AA408" i="4" s="1"/>
  <c r="Y408" i="4"/>
  <c r="Z407" i="4"/>
  <c r="AJ409" i="4"/>
  <c r="AI409" i="4"/>
  <c r="E409" i="4"/>
  <c r="V409" i="4"/>
  <c r="T409" i="4"/>
  <c r="S409" i="4"/>
  <c r="N409" i="4"/>
  <c r="M409" i="4"/>
  <c r="AK409" i="4"/>
  <c r="W409" i="4"/>
  <c r="Q409" i="4"/>
  <c r="O409" i="4"/>
  <c r="J409" i="4"/>
  <c r="G408" i="4"/>
  <c r="I408" i="4" s="1"/>
  <c r="H409" i="4"/>
  <c r="P409" i="4"/>
  <c r="D410" i="4"/>
  <c r="AK410" i="4" s="1"/>
  <c r="C411" i="4"/>
  <c r="B409" i="4"/>
  <c r="L409" i="4"/>
  <c r="R409" i="4"/>
  <c r="F409" i="4"/>
  <c r="U409" i="4"/>
  <c r="K409" i="4"/>
  <c r="Z408" i="4" l="1"/>
  <c r="X409" i="4"/>
  <c r="AA409" i="4" s="1"/>
  <c r="AL409" i="4"/>
  <c r="G409" i="4"/>
  <c r="I409" i="4" s="1"/>
  <c r="Y409" i="4"/>
  <c r="V410" i="4"/>
  <c r="W410" i="4"/>
  <c r="T410" i="4"/>
  <c r="R410" i="4"/>
  <c r="AI410" i="4"/>
  <c r="AL410" i="4" s="1"/>
  <c r="U410" i="4"/>
  <c r="AJ410" i="4"/>
  <c r="P410" i="4"/>
  <c r="N410" i="4"/>
  <c r="M410" i="4"/>
  <c r="L410" i="4"/>
  <c r="K410" i="4"/>
  <c r="B410" i="4"/>
  <c r="E410" i="4"/>
  <c r="D411" i="4"/>
  <c r="C412" i="4"/>
  <c r="J410" i="4"/>
  <c r="H410" i="4"/>
  <c r="F410" i="4"/>
  <c r="S410" i="4"/>
  <c r="O410" i="4"/>
  <c r="Q410" i="4"/>
  <c r="AJ411" i="4" l="1"/>
  <c r="E411" i="4"/>
  <c r="K411" i="4"/>
  <c r="Z409" i="4"/>
  <c r="Y410" i="4"/>
  <c r="X410" i="4"/>
  <c r="G410" i="4"/>
  <c r="I410" i="4" s="1"/>
  <c r="N411" i="4"/>
  <c r="V411" i="4"/>
  <c r="D412" i="4"/>
  <c r="R412" i="4" s="1"/>
  <c r="C413" i="4"/>
  <c r="B411" i="4"/>
  <c r="AK411" i="4"/>
  <c r="W411" i="4"/>
  <c r="S411" i="4"/>
  <c r="AI411" i="4"/>
  <c r="M411" i="4"/>
  <c r="P411" i="4"/>
  <c r="U411" i="4"/>
  <c r="T411" i="4"/>
  <c r="Q411" i="4"/>
  <c r="R411" i="4"/>
  <c r="L411" i="4"/>
  <c r="O411" i="4"/>
  <c r="J411" i="4"/>
  <c r="H411" i="4"/>
  <c r="F411" i="4"/>
  <c r="G411" i="4" l="1"/>
  <c r="I411" i="4" s="1"/>
  <c r="X411" i="4"/>
  <c r="AA411" i="4" s="1"/>
  <c r="AA410" i="4"/>
  <c r="Z410" i="4"/>
  <c r="AL411" i="4"/>
  <c r="C414" i="4"/>
  <c r="D413" i="4"/>
  <c r="Y411" i="4"/>
  <c r="B412" i="4"/>
  <c r="AK412" i="4"/>
  <c r="AJ412" i="4"/>
  <c r="AI412" i="4"/>
  <c r="W412" i="4"/>
  <c r="T412" i="4"/>
  <c r="S412" i="4"/>
  <c r="Q412" i="4"/>
  <c r="P412" i="4"/>
  <c r="M412" i="4"/>
  <c r="L412" i="4"/>
  <c r="U412" i="4"/>
  <c r="J412" i="4"/>
  <c r="E412" i="4"/>
  <c r="V412" i="4"/>
  <c r="N412" i="4"/>
  <c r="F412" i="4"/>
  <c r="K412" i="4"/>
  <c r="O412" i="4"/>
  <c r="H412" i="4"/>
  <c r="Z411" i="4" l="1"/>
  <c r="Y412" i="4"/>
  <c r="X412" i="4"/>
  <c r="AA412" i="4" s="1"/>
  <c r="G412" i="4"/>
  <c r="I412" i="4" s="1"/>
  <c r="D414" i="4"/>
  <c r="C415" i="4"/>
  <c r="B413" i="4"/>
  <c r="J413" i="4"/>
  <c r="AL412" i="4"/>
  <c r="H413" i="4"/>
  <c r="F413" i="4"/>
  <c r="E413" i="4"/>
  <c r="O413" i="4"/>
  <c r="R413" i="4"/>
  <c r="AK413" i="4"/>
  <c r="AJ413" i="4"/>
  <c r="W413" i="4"/>
  <c r="S413" i="4"/>
  <c r="Q413" i="4"/>
  <c r="AI413" i="4"/>
  <c r="V413" i="4"/>
  <c r="T413" i="4"/>
  <c r="P413" i="4"/>
  <c r="N413" i="4"/>
  <c r="M413" i="4"/>
  <c r="L413" i="4"/>
  <c r="U413" i="4"/>
  <c r="K413" i="4"/>
  <c r="Z412" i="4" l="1"/>
  <c r="X413" i="4"/>
  <c r="AA413" i="4" s="1"/>
  <c r="F414" i="4"/>
  <c r="O414" i="4"/>
  <c r="Y413" i="4"/>
  <c r="L414" i="4"/>
  <c r="AI414" i="4"/>
  <c r="W414" i="4"/>
  <c r="K414" i="4"/>
  <c r="J414" i="4"/>
  <c r="AJ414" i="4"/>
  <c r="U414" i="4"/>
  <c r="H414" i="4"/>
  <c r="AK414" i="4"/>
  <c r="M414" i="4"/>
  <c r="V414" i="4"/>
  <c r="N414" i="4"/>
  <c r="T414" i="4"/>
  <c r="E414" i="4"/>
  <c r="C416" i="4"/>
  <c r="D415" i="4"/>
  <c r="G413" i="4"/>
  <c r="I413" i="4" s="1"/>
  <c r="AL413" i="4"/>
  <c r="B414" i="4"/>
  <c r="S414" i="4"/>
  <c r="R414" i="4"/>
  <c r="Q414" i="4"/>
  <c r="P414" i="4"/>
  <c r="Z413" i="4" l="1"/>
  <c r="G414" i="4"/>
  <c r="I414" i="4" s="1"/>
  <c r="Y414" i="4"/>
  <c r="AL414" i="4"/>
  <c r="X414" i="4"/>
  <c r="AA414" i="4" s="1"/>
  <c r="W415" i="4"/>
  <c r="Q415" i="4"/>
  <c r="P415" i="4"/>
  <c r="H415" i="4"/>
  <c r="C417" i="4"/>
  <c r="D416" i="4"/>
  <c r="B415" i="4"/>
  <c r="V415" i="4"/>
  <c r="S415" i="4"/>
  <c r="F415" i="4"/>
  <c r="U415" i="4"/>
  <c r="T415" i="4"/>
  <c r="E415" i="4"/>
  <c r="AJ415" i="4"/>
  <c r="AK415" i="4"/>
  <c r="M415" i="4"/>
  <c r="K415" i="4"/>
  <c r="R415" i="4"/>
  <c r="J415" i="4"/>
  <c r="N415" i="4"/>
  <c r="L415" i="4"/>
  <c r="O415" i="4"/>
  <c r="AI415" i="4"/>
  <c r="Z414" i="4" l="1"/>
  <c r="X415" i="4"/>
  <c r="AA415" i="4" s="1"/>
  <c r="G415" i="4"/>
  <c r="I415" i="4" s="1"/>
  <c r="Y415" i="4"/>
  <c r="R416" i="4"/>
  <c r="O416" i="4"/>
  <c r="C418" i="4"/>
  <c r="D417" i="4"/>
  <c r="H417" i="4" s="1"/>
  <c r="B416" i="4"/>
  <c r="V416" i="4"/>
  <c r="AL415" i="4"/>
  <c r="AK416" i="4"/>
  <c r="W416" i="4"/>
  <c r="H416" i="4"/>
  <c r="F416" i="4"/>
  <c r="L416" i="4"/>
  <c r="AI416" i="4"/>
  <c r="J416" i="4"/>
  <c r="E416" i="4"/>
  <c r="S416" i="4"/>
  <c r="Q416" i="4"/>
  <c r="P416" i="4"/>
  <c r="N416" i="4"/>
  <c r="M416" i="4"/>
  <c r="K416" i="4"/>
  <c r="AJ416" i="4"/>
  <c r="U416" i="4"/>
  <c r="T416" i="4"/>
  <c r="Z415" i="4" l="1"/>
  <c r="Y416" i="4"/>
  <c r="X416" i="4"/>
  <c r="AA416" i="4" s="1"/>
  <c r="G416" i="4"/>
  <c r="I416" i="4" s="1"/>
  <c r="D418" i="4"/>
  <c r="C419" i="4"/>
  <c r="B417" i="4"/>
  <c r="U417" i="4"/>
  <c r="AL416" i="4"/>
  <c r="AI417" i="4"/>
  <c r="V417" i="4"/>
  <c r="T417" i="4"/>
  <c r="R417" i="4"/>
  <c r="M417" i="4"/>
  <c r="L417" i="4"/>
  <c r="AJ417" i="4"/>
  <c r="W417" i="4"/>
  <c r="S417" i="4"/>
  <c r="Q417" i="4"/>
  <c r="N417" i="4"/>
  <c r="K417" i="4"/>
  <c r="J417" i="4"/>
  <c r="P417" i="4"/>
  <c r="E417" i="4"/>
  <c r="AK417" i="4"/>
  <c r="O417" i="4"/>
  <c r="F417" i="4"/>
  <c r="Z416" i="4" l="1"/>
  <c r="X417" i="4"/>
  <c r="AA417" i="4" s="1"/>
  <c r="T418" i="4"/>
  <c r="O418" i="4"/>
  <c r="Y417" i="4"/>
  <c r="G417" i="4"/>
  <c r="I417" i="4" s="1"/>
  <c r="D419" i="4"/>
  <c r="N419" i="4" s="1"/>
  <c r="C420" i="4"/>
  <c r="AL417" i="4"/>
  <c r="B418" i="4"/>
  <c r="S418" i="4"/>
  <c r="Q418" i="4"/>
  <c r="P418" i="4"/>
  <c r="N418" i="4"/>
  <c r="M418" i="4"/>
  <c r="L418" i="4"/>
  <c r="R418" i="4"/>
  <c r="K418" i="4"/>
  <c r="J418" i="4"/>
  <c r="H418" i="4"/>
  <c r="W418" i="4"/>
  <c r="V418" i="4"/>
  <c r="U418" i="4"/>
  <c r="F418" i="4"/>
  <c r="E418" i="4"/>
  <c r="AK418" i="4"/>
  <c r="AJ418" i="4"/>
  <c r="AI418" i="4"/>
  <c r="Z417" i="4" l="1"/>
  <c r="X418" i="4"/>
  <c r="AA418" i="4" s="1"/>
  <c r="Y418" i="4"/>
  <c r="D420" i="4"/>
  <c r="J420" i="4" s="1"/>
  <c r="C421" i="4"/>
  <c r="G418" i="4"/>
  <c r="I418" i="4" s="1"/>
  <c r="AL418" i="4"/>
  <c r="B419" i="4"/>
  <c r="V419" i="4"/>
  <c r="AK419" i="4"/>
  <c r="M419" i="4"/>
  <c r="L419" i="4"/>
  <c r="K419" i="4"/>
  <c r="U419" i="4"/>
  <c r="H419" i="4"/>
  <c r="R419" i="4"/>
  <c r="E419" i="4"/>
  <c r="F419" i="4"/>
  <c r="O419" i="4"/>
  <c r="T419" i="4"/>
  <c r="J419" i="4"/>
  <c r="AJ419" i="4"/>
  <c r="S419" i="4"/>
  <c r="W419" i="4"/>
  <c r="AI419" i="4"/>
  <c r="Q419" i="4"/>
  <c r="P419" i="4"/>
  <c r="Z418" i="4" l="1"/>
  <c r="X419" i="4"/>
  <c r="AA419" i="4" s="1"/>
  <c r="B420" i="4"/>
  <c r="H420" i="4"/>
  <c r="D421" i="4"/>
  <c r="Q421" i="4" s="1"/>
  <c r="C422" i="4"/>
  <c r="AL419" i="4"/>
  <c r="G419" i="4"/>
  <c r="I419" i="4" s="1"/>
  <c r="Y419" i="4"/>
  <c r="K420" i="4"/>
  <c r="S420" i="4"/>
  <c r="R420" i="4"/>
  <c r="O420" i="4"/>
  <c r="V420" i="4"/>
  <c r="AI420" i="4"/>
  <c r="AJ420" i="4"/>
  <c r="T420" i="4"/>
  <c r="N420" i="4"/>
  <c r="L420" i="4"/>
  <c r="P420" i="4"/>
  <c r="W420" i="4"/>
  <c r="E420" i="4"/>
  <c r="U420" i="4"/>
  <c r="F420" i="4"/>
  <c r="AK420" i="4"/>
  <c r="M420" i="4"/>
  <c r="Q420" i="4"/>
  <c r="AL420" i="4" l="1"/>
  <c r="Z419" i="4"/>
  <c r="X420" i="4"/>
  <c r="AA420" i="4" s="1"/>
  <c r="G420" i="4"/>
  <c r="I420" i="4" s="1"/>
  <c r="AJ421" i="4"/>
  <c r="W421" i="4"/>
  <c r="V421" i="4"/>
  <c r="N421" i="4"/>
  <c r="H421" i="4"/>
  <c r="Y420" i="4"/>
  <c r="AI421" i="4"/>
  <c r="T421" i="4"/>
  <c r="R421" i="4"/>
  <c r="S421" i="4"/>
  <c r="J421" i="4"/>
  <c r="F421" i="4"/>
  <c r="O421" i="4"/>
  <c r="E421" i="4"/>
  <c r="B421" i="4"/>
  <c r="AK421" i="4"/>
  <c r="C423" i="4"/>
  <c r="D422" i="4"/>
  <c r="E422" i="4" s="1"/>
  <c r="P421" i="4"/>
  <c r="M421" i="4"/>
  <c r="L421" i="4"/>
  <c r="K421" i="4"/>
  <c r="U421" i="4"/>
  <c r="Y421" i="4" l="1"/>
  <c r="Z420" i="4"/>
  <c r="AL421" i="4"/>
  <c r="G421" i="4"/>
  <c r="I421" i="4" s="1"/>
  <c r="X421" i="4"/>
  <c r="C424" i="4"/>
  <c r="D423" i="4"/>
  <c r="F423" i="4" s="1"/>
  <c r="B422" i="4"/>
  <c r="AK422" i="4"/>
  <c r="W422" i="4"/>
  <c r="V422" i="4"/>
  <c r="T422" i="4"/>
  <c r="S422" i="4"/>
  <c r="Q422" i="4"/>
  <c r="P422" i="4"/>
  <c r="L422" i="4"/>
  <c r="K422" i="4"/>
  <c r="J422" i="4"/>
  <c r="H422" i="4"/>
  <c r="F422" i="4"/>
  <c r="G422" i="4" s="1"/>
  <c r="R422" i="4"/>
  <c r="AI422" i="4"/>
  <c r="U422" i="4"/>
  <c r="O422" i="4"/>
  <c r="AJ422" i="4"/>
  <c r="N422" i="4"/>
  <c r="M422" i="4"/>
  <c r="Z421" i="4" l="1"/>
  <c r="AA421" i="4"/>
  <c r="X422" i="4"/>
  <c r="AA422" i="4" s="1"/>
  <c r="Y422" i="4"/>
  <c r="C425" i="4"/>
  <c r="D424" i="4"/>
  <c r="AL422" i="4"/>
  <c r="I422" i="4"/>
  <c r="B423" i="4"/>
  <c r="AI423" i="4"/>
  <c r="U423" i="4"/>
  <c r="S423" i="4"/>
  <c r="Q423" i="4"/>
  <c r="L423" i="4"/>
  <c r="J423" i="4"/>
  <c r="O423" i="4"/>
  <c r="E423" i="4"/>
  <c r="G423" i="4" s="1"/>
  <c r="T423" i="4"/>
  <c r="M423" i="4"/>
  <c r="K423" i="4"/>
  <c r="R423" i="4"/>
  <c r="AK423" i="4"/>
  <c r="W423" i="4"/>
  <c r="P423" i="4"/>
  <c r="V423" i="4"/>
  <c r="AJ423" i="4"/>
  <c r="N423" i="4"/>
  <c r="H423" i="4"/>
  <c r="Y423" i="4" l="1"/>
  <c r="Z422" i="4"/>
  <c r="AI424" i="4"/>
  <c r="W424" i="4"/>
  <c r="V424" i="4"/>
  <c r="T424" i="4"/>
  <c r="N424" i="4"/>
  <c r="AL423" i="4"/>
  <c r="H424" i="4"/>
  <c r="Q424" i="4"/>
  <c r="M424" i="4"/>
  <c r="P424" i="4"/>
  <c r="L424" i="4"/>
  <c r="K424" i="4"/>
  <c r="F424" i="4"/>
  <c r="O424" i="4"/>
  <c r="AK424" i="4"/>
  <c r="U424" i="4"/>
  <c r="E424" i="4"/>
  <c r="J424" i="4"/>
  <c r="AJ424" i="4"/>
  <c r="R424" i="4"/>
  <c r="D425" i="4"/>
  <c r="C426" i="4"/>
  <c r="B424" i="4"/>
  <c r="S424" i="4"/>
  <c r="I423" i="4"/>
  <c r="X423" i="4"/>
  <c r="AL424" i="4" l="1"/>
  <c r="Y424" i="4"/>
  <c r="G424" i="4"/>
  <c r="I424" i="4" s="1"/>
  <c r="X424" i="4"/>
  <c r="AK425" i="4"/>
  <c r="AI425" i="4"/>
  <c r="W425" i="4"/>
  <c r="T425" i="4"/>
  <c r="S425" i="4"/>
  <c r="R425" i="4"/>
  <c r="F425" i="4"/>
  <c r="Q425" i="4"/>
  <c r="N425" i="4"/>
  <c r="M425" i="4"/>
  <c r="L425" i="4"/>
  <c r="K425" i="4"/>
  <c r="J425" i="4"/>
  <c r="P425" i="4"/>
  <c r="C427" i="4"/>
  <c r="D426" i="4"/>
  <c r="Z423" i="4"/>
  <c r="AA423" i="4"/>
  <c r="B425" i="4"/>
  <c r="H425" i="4"/>
  <c r="U425" i="4"/>
  <c r="O425" i="4"/>
  <c r="AJ425" i="4"/>
  <c r="V425" i="4"/>
  <c r="E425" i="4"/>
  <c r="X425" i="4" l="1"/>
  <c r="AA425" i="4" s="1"/>
  <c r="AL425" i="4"/>
  <c r="Z424" i="4"/>
  <c r="AA424" i="4"/>
  <c r="Y425" i="4"/>
  <c r="G425" i="4"/>
  <c r="I425" i="4" s="1"/>
  <c r="AI426" i="4"/>
  <c r="S426" i="4"/>
  <c r="AJ426" i="4"/>
  <c r="E426" i="4"/>
  <c r="W426" i="4"/>
  <c r="T426" i="4"/>
  <c r="AK426" i="4"/>
  <c r="V426" i="4"/>
  <c r="F426" i="4"/>
  <c r="P426" i="4"/>
  <c r="Q426" i="4"/>
  <c r="D427" i="4"/>
  <c r="C428" i="4"/>
  <c r="B426" i="4"/>
  <c r="N426" i="4"/>
  <c r="M426" i="4"/>
  <c r="L426" i="4"/>
  <c r="K426" i="4"/>
  <c r="J426" i="4"/>
  <c r="U426" i="4"/>
  <c r="R426" i="4"/>
  <c r="H426" i="4"/>
  <c r="O426" i="4"/>
  <c r="Z425" i="4" l="1"/>
  <c r="P427" i="4"/>
  <c r="AJ427" i="4"/>
  <c r="AI427" i="4"/>
  <c r="R427" i="4"/>
  <c r="L427" i="4"/>
  <c r="S427" i="4"/>
  <c r="M427" i="4"/>
  <c r="F427" i="4"/>
  <c r="T427" i="4"/>
  <c r="K427" i="4"/>
  <c r="AL426" i="4"/>
  <c r="X426" i="4"/>
  <c r="AA426" i="4" s="1"/>
  <c r="W427" i="4"/>
  <c r="AK427" i="4"/>
  <c r="V427" i="4"/>
  <c r="Q427" i="4"/>
  <c r="N427" i="4"/>
  <c r="U427" i="4"/>
  <c r="J427" i="4"/>
  <c r="H427" i="4"/>
  <c r="E427" i="4"/>
  <c r="Y426" i="4"/>
  <c r="G426" i="4"/>
  <c r="I426" i="4" s="1"/>
  <c r="C429" i="4"/>
  <c r="D428" i="4"/>
  <c r="J428" i="4" s="1"/>
  <c r="B427" i="4"/>
  <c r="O427" i="4"/>
  <c r="G427" i="4" l="1"/>
  <c r="I427" i="4" s="1"/>
  <c r="AL427" i="4"/>
  <c r="X427" i="4"/>
  <c r="AA427" i="4" s="1"/>
  <c r="Y427" i="4"/>
  <c r="Z426" i="4"/>
  <c r="C430" i="4"/>
  <c r="D429" i="4"/>
  <c r="B428" i="4"/>
  <c r="K428" i="4"/>
  <c r="S428" i="4"/>
  <c r="AK428" i="4"/>
  <c r="L428" i="4"/>
  <c r="AJ428" i="4"/>
  <c r="W428" i="4"/>
  <c r="V428" i="4"/>
  <c r="H428" i="4"/>
  <c r="R428" i="4"/>
  <c r="M428" i="4"/>
  <c r="E428" i="4"/>
  <c r="AI428" i="4"/>
  <c r="P428" i="4"/>
  <c r="F428" i="4"/>
  <c r="U428" i="4"/>
  <c r="T428" i="4"/>
  <c r="Q428" i="4"/>
  <c r="O428" i="4"/>
  <c r="N428" i="4"/>
  <c r="Z427" i="4" l="1"/>
  <c r="AL428" i="4"/>
  <c r="O429" i="4"/>
  <c r="AK429" i="4"/>
  <c r="AI429" i="4"/>
  <c r="M429" i="4"/>
  <c r="L429" i="4"/>
  <c r="W429" i="4"/>
  <c r="R429" i="4"/>
  <c r="F429" i="4"/>
  <c r="N429" i="4"/>
  <c r="AJ429" i="4"/>
  <c r="H429" i="4"/>
  <c r="E429" i="4"/>
  <c r="T429" i="4"/>
  <c r="K429" i="4"/>
  <c r="Q429" i="4"/>
  <c r="J429" i="4"/>
  <c r="P429" i="4"/>
  <c r="S429" i="4"/>
  <c r="U429" i="4"/>
  <c r="D430" i="4"/>
  <c r="C431" i="4"/>
  <c r="G428" i="4"/>
  <c r="I428" i="4" s="1"/>
  <c r="Y428" i="4"/>
  <c r="X428" i="4"/>
  <c r="AA428" i="4" s="1"/>
  <c r="B429" i="4"/>
  <c r="V429" i="4"/>
  <c r="G429" i="4" l="1"/>
  <c r="I429" i="4" s="1"/>
  <c r="Y429" i="4"/>
  <c r="AL429" i="4"/>
  <c r="AK430" i="4"/>
  <c r="W430" i="4"/>
  <c r="P430" i="4"/>
  <c r="AI430" i="4"/>
  <c r="V430" i="4"/>
  <c r="X429" i="4"/>
  <c r="F430" i="4"/>
  <c r="T430" i="4"/>
  <c r="E430" i="4"/>
  <c r="S430" i="4"/>
  <c r="N430" i="4"/>
  <c r="AJ430" i="4"/>
  <c r="L430" i="4"/>
  <c r="O430" i="4"/>
  <c r="J430" i="4"/>
  <c r="H430" i="4"/>
  <c r="Q430" i="4"/>
  <c r="M430" i="4"/>
  <c r="K430" i="4"/>
  <c r="R430" i="4"/>
  <c r="B430" i="4"/>
  <c r="U430" i="4"/>
  <c r="D431" i="4"/>
  <c r="C432" i="4"/>
  <c r="Z428" i="4"/>
  <c r="X430" i="4" l="1"/>
  <c r="G430" i="4"/>
  <c r="I430" i="4" s="1"/>
  <c r="Y430" i="4"/>
  <c r="AL430" i="4"/>
  <c r="AA429" i="4"/>
  <c r="Z429" i="4"/>
  <c r="C433" i="4"/>
  <c r="D432" i="4"/>
  <c r="B431" i="4"/>
  <c r="P431" i="4"/>
  <c r="K431" i="4"/>
  <c r="Q431" i="4"/>
  <c r="H431" i="4"/>
  <c r="E431" i="4"/>
  <c r="AJ431" i="4"/>
  <c r="M431" i="4"/>
  <c r="R431" i="4"/>
  <c r="U431" i="4"/>
  <c r="V431" i="4"/>
  <c r="T431" i="4"/>
  <c r="S431" i="4"/>
  <c r="O431" i="4"/>
  <c r="W431" i="4"/>
  <c r="AI431" i="4"/>
  <c r="F431" i="4"/>
  <c r="AK431" i="4"/>
  <c r="N431" i="4"/>
  <c r="L431" i="4"/>
  <c r="J431" i="4"/>
  <c r="Z430" i="4" l="1"/>
  <c r="AA430" i="4"/>
  <c r="H432" i="4"/>
  <c r="Q432" i="4"/>
  <c r="AL431" i="4"/>
  <c r="AK432" i="4"/>
  <c r="AJ432" i="4"/>
  <c r="AI432" i="4"/>
  <c r="X431" i="4"/>
  <c r="AA431" i="4" s="1"/>
  <c r="W432" i="4"/>
  <c r="V432" i="4"/>
  <c r="C434" i="4"/>
  <c r="D433" i="4"/>
  <c r="G431" i="4"/>
  <c r="I431" i="4" s="1"/>
  <c r="Y431" i="4"/>
  <c r="B432" i="4"/>
  <c r="T432" i="4"/>
  <c r="S432" i="4"/>
  <c r="P432" i="4"/>
  <c r="N432" i="4"/>
  <c r="M432" i="4"/>
  <c r="L432" i="4"/>
  <c r="K432" i="4"/>
  <c r="J432" i="4"/>
  <c r="U432" i="4"/>
  <c r="R432" i="4"/>
  <c r="E432" i="4"/>
  <c r="F432" i="4"/>
  <c r="O432" i="4"/>
  <c r="Y432" i="4" l="1"/>
  <c r="AL432" i="4"/>
  <c r="G432" i="4"/>
  <c r="I432" i="4" s="1"/>
  <c r="Z431" i="4"/>
  <c r="X432" i="4"/>
  <c r="AA432" i="4" s="1"/>
  <c r="L433" i="4"/>
  <c r="E433" i="4"/>
  <c r="AK433" i="4"/>
  <c r="AJ433" i="4"/>
  <c r="N433" i="4"/>
  <c r="M433" i="4"/>
  <c r="K433" i="4"/>
  <c r="J433" i="4"/>
  <c r="D434" i="4"/>
  <c r="J434" i="4" s="1"/>
  <c r="C435" i="4"/>
  <c r="B433" i="4"/>
  <c r="W433" i="4"/>
  <c r="V433" i="4"/>
  <c r="AI433" i="4"/>
  <c r="T433" i="4"/>
  <c r="U433" i="4"/>
  <c r="S433" i="4"/>
  <c r="Q433" i="4"/>
  <c r="P433" i="4"/>
  <c r="H433" i="4"/>
  <c r="F433" i="4"/>
  <c r="O433" i="4"/>
  <c r="R433" i="4"/>
  <c r="G433" i="4" l="1"/>
  <c r="I433" i="4" s="1"/>
  <c r="Z432" i="4"/>
  <c r="X433" i="4"/>
  <c r="Y433" i="4"/>
  <c r="AL433" i="4"/>
  <c r="D435" i="4"/>
  <c r="C436" i="4"/>
  <c r="B434" i="4"/>
  <c r="V434" i="4"/>
  <c r="O434" i="4"/>
  <c r="U434" i="4"/>
  <c r="AJ434" i="4"/>
  <c r="R434" i="4"/>
  <c r="H434" i="4"/>
  <c r="E434" i="4"/>
  <c r="AI434" i="4"/>
  <c r="P434" i="4"/>
  <c r="M434" i="4"/>
  <c r="AK434" i="4"/>
  <c r="W434" i="4"/>
  <c r="Q434" i="4"/>
  <c r="N434" i="4"/>
  <c r="K434" i="4"/>
  <c r="F434" i="4"/>
  <c r="L434" i="4"/>
  <c r="S434" i="4"/>
  <c r="T434" i="4"/>
  <c r="AL434" i="4" l="1"/>
  <c r="G434" i="4"/>
  <c r="I434" i="4" s="1"/>
  <c r="AA433" i="4"/>
  <c r="Z433" i="4"/>
  <c r="X434" i="4"/>
  <c r="AA434" i="4" s="1"/>
  <c r="F435" i="4"/>
  <c r="L435" i="4"/>
  <c r="B435" i="4"/>
  <c r="E435" i="4"/>
  <c r="D436" i="4"/>
  <c r="C437" i="4"/>
  <c r="Y434" i="4"/>
  <c r="H435" i="4"/>
  <c r="R435" i="4"/>
  <c r="AK435" i="4"/>
  <c r="AJ435" i="4"/>
  <c r="W435" i="4"/>
  <c r="T435" i="4"/>
  <c r="Q435" i="4"/>
  <c r="AI435" i="4"/>
  <c r="S435" i="4"/>
  <c r="P435" i="4"/>
  <c r="N435" i="4"/>
  <c r="M435" i="4"/>
  <c r="K435" i="4"/>
  <c r="V435" i="4"/>
  <c r="O435" i="4"/>
  <c r="U435" i="4"/>
  <c r="J435" i="4"/>
  <c r="Y435" i="4" l="1"/>
  <c r="G435" i="4"/>
  <c r="I435" i="4" s="1"/>
  <c r="Z434" i="4"/>
  <c r="AL435" i="4"/>
  <c r="P436" i="4"/>
  <c r="H436" i="4"/>
  <c r="E436" i="4"/>
  <c r="R436" i="4"/>
  <c r="O436" i="4"/>
  <c r="D437" i="4"/>
  <c r="L437" i="4" s="1"/>
  <c r="C438" i="4"/>
  <c r="X435" i="4"/>
  <c r="B436" i="4"/>
  <c r="L436" i="4"/>
  <c r="J436" i="4"/>
  <c r="F436" i="4"/>
  <c r="V436" i="4"/>
  <c r="K436" i="4"/>
  <c r="N436" i="4"/>
  <c r="AK436" i="4"/>
  <c r="AI436" i="4"/>
  <c r="W436" i="4"/>
  <c r="U436" i="4"/>
  <c r="S436" i="4"/>
  <c r="AJ436" i="4"/>
  <c r="T436" i="4"/>
  <c r="Q436" i="4"/>
  <c r="M436" i="4"/>
  <c r="G436" i="4" l="1"/>
  <c r="I436" i="4" s="1"/>
  <c r="X436" i="4"/>
  <c r="AA436" i="4" s="1"/>
  <c r="Y436" i="4"/>
  <c r="S437" i="4"/>
  <c r="F437" i="4"/>
  <c r="M437" i="4"/>
  <c r="J437" i="4"/>
  <c r="R437" i="4"/>
  <c r="O437" i="4"/>
  <c r="H437" i="4"/>
  <c r="N437" i="4"/>
  <c r="K437" i="4"/>
  <c r="E437" i="4"/>
  <c r="AK437" i="4"/>
  <c r="AJ437" i="4"/>
  <c r="W437" i="4"/>
  <c r="U437" i="4"/>
  <c r="AI437" i="4"/>
  <c r="D438" i="4"/>
  <c r="C439" i="4"/>
  <c r="Z435" i="4"/>
  <c r="AA435" i="4"/>
  <c r="AL436" i="4"/>
  <c r="B437" i="4"/>
  <c r="V437" i="4"/>
  <c r="T437" i="4"/>
  <c r="Q437" i="4"/>
  <c r="P437" i="4"/>
  <c r="Y437" i="4" l="1"/>
  <c r="G437" i="4"/>
  <c r="I437" i="4" s="1"/>
  <c r="Z436" i="4"/>
  <c r="AL437" i="4"/>
  <c r="B438" i="4"/>
  <c r="H438" i="4"/>
  <c r="C440" i="4"/>
  <c r="D439" i="4"/>
  <c r="X437" i="4"/>
  <c r="W438" i="4"/>
  <c r="N438" i="4"/>
  <c r="AK438" i="4"/>
  <c r="AI438" i="4"/>
  <c r="Q438" i="4"/>
  <c r="U438" i="4"/>
  <c r="AJ438" i="4"/>
  <c r="V438" i="4"/>
  <c r="T438" i="4"/>
  <c r="M438" i="4"/>
  <c r="L438" i="4"/>
  <c r="K438" i="4"/>
  <c r="J438" i="4"/>
  <c r="F438" i="4"/>
  <c r="R438" i="4"/>
  <c r="O438" i="4"/>
  <c r="E438" i="4"/>
  <c r="S438" i="4"/>
  <c r="P438" i="4"/>
  <c r="Y438" i="4" l="1"/>
  <c r="H439" i="4"/>
  <c r="K439" i="4"/>
  <c r="G438" i="4"/>
  <c r="I438" i="4" s="1"/>
  <c r="C441" i="4"/>
  <c r="D440" i="4"/>
  <c r="Z437" i="4"/>
  <c r="AA437" i="4"/>
  <c r="X438" i="4"/>
  <c r="AL438" i="4"/>
  <c r="B439" i="4"/>
  <c r="N439" i="4"/>
  <c r="M439" i="4"/>
  <c r="E439" i="4"/>
  <c r="J439" i="4"/>
  <c r="T439" i="4"/>
  <c r="AJ439" i="4"/>
  <c r="V439" i="4"/>
  <c r="R439" i="4"/>
  <c r="P439" i="4"/>
  <c r="S439" i="4"/>
  <c r="U439" i="4"/>
  <c r="F439" i="4"/>
  <c r="O439" i="4"/>
  <c r="AK439" i="4"/>
  <c r="AI439" i="4"/>
  <c r="W439" i="4"/>
  <c r="L439" i="4"/>
  <c r="Q439" i="4"/>
  <c r="F440" i="4" l="1"/>
  <c r="L440" i="4"/>
  <c r="G439" i="4"/>
  <c r="I439" i="4" s="1"/>
  <c r="U440" i="4"/>
  <c r="K440" i="4"/>
  <c r="C442" i="4"/>
  <c r="D441" i="4"/>
  <c r="P441" i="4" s="1"/>
  <c r="Z438" i="4"/>
  <c r="AA438" i="4"/>
  <c r="X439" i="4"/>
  <c r="AA439" i="4" s="1"/>
  <c r="AL439" i="4"/>
  <c r="Y439" i="4"/>
  <c r="B440" i="4"/>
  <c r="P440" i="4"/>
  <c r="J440" i="4"/>
  <c r="R440" i="4"/>
  <c r="E440" i="4"/>
  <c r="S440" i="4"/>
  <c r="O440" i="4"/>
  <c r="AK440" i="4"/>
  <c r="AI440" i="4"/>
  <c r="W440" i="4"/>
  <c r="V440" i="4"/>
  <c r="T440" i="4"/>
  <c r="N440" i="4"/>
  <c r="M440" i="4"/>
  <c r="Q440" i="4"/>
  <c r="AJ440" i="4"/>
  <c r="H440" i="4"/>
  <c r="X440" i="4" l="1"/>
  <c r="G440" i="4"/>
  <c r="I440" i="4" s="1"/>
  <c r="Z439" i="4"/>
  <c r="AL440" i="4"/>
  <c r="Y440" i="4"/>
  <c r="C443" i="4"/>
  <c r="D442" i="4"/>
  <c r="B441" i="4"/>
  <c r="U441" i="4"/>
  <c r="N441" i="4"/>
  <c r="L441" i="4"/>
  <c r="O441" i="4"/>
  <c r="K441" i="4"/>
  <c r="J441" i="4"/>
  <c r="H441" i="4"/>
  <c r="M441" i="4"/>
  <c r="E441" i="4"/>
  <c r="W441" i="4"/>
  <c r="R441" i="4"/>
  <c r="V441" i="4"/>
  <c r="F441" i="4"/>
  <c r="AK441" i="4"/>
  <c r="AI441" i="4"/>
  <c r="T441" i="4"/>
  <c r="S441" i="4"/>
  <c r="Q441" i="4"/>
  <c r="AJ441" i="4"/>
  <c r="Z440" i="4" l="1"/>
  <c r="AA440" i="4"/>
  <c r="X441" i="4"/>
  <c r="AA441" i="4" s="1"/>
  <c r="P442" i="4"/>
  <c r="AI442" i="4"/>
  <c r="T442" i="4"/>
  <c r="Q442" i="4"/>
  <c r="M442" i="4"/>
  <c r="AL441" i="4"/>
  <c r="K442" i="4"/>
  <c r="R442" i="4"/>
  <c r="H442" i="4"/>
  <c r="F442" i="4"/>
  <c r="E442" i="4"/>
  <c r="D443" i="4"/>
  <c r="C444" i="4"/>
  <c r="Y441" i="4"/>
  <c r="G441" i="4"/>
  <c r="I441" i="4" s="1"/>
  <c r="B442" i="4"/>
  <c r="AK442" i="4"/>
  <c r="AJ442" i="4"/>
  <c r="L442" i="4"/>
  <c r="J442" i="4"/>
  <c r="S442" i="4"/>
  <c r="W442" i="4"/>
  <c r="V442" i="4"/>
  <c r="N442" i="4"/>
  <c r="U442" i="4"/>
  <c r="O442" i="4"/>
  <c r="Z441" i="4" l="1"/>
  <c r="AL442" i="4"/>
  <c r="X442" i="4"/>
  <c r="Y442" i="4"/>
  <c r="G442" i="4"/>
  <c r="I442" i="4" s="1"/>
  <c r="J443" i="4"/>
  <c r="M443" i="4"/>
  <c r="C445" i="4"/>
  <c r="D444" i="4"/>
  <c r="H444" i="4" s="1"/>
  <c r="B443" i="4"/>
  <c r="P443" i="4"/>
  <c r="R443" i="4"/>
  <c r="H443" i="4"/>
  <c r="AK443" i="4"/>
  <c r="AJ443" i="4"/>
  <c r="AI443" i="4"/>
  <c r="W443" i="4"/>
  <c r="V443" i="4"/>
  <c r="T443" i="4"/>
  <c r="S443" i="4"/>
  <c r="Q443" i="4"/>
  <c r="N443" i="4"/>
  <c r="L443" i="4"/>
  <c r="U443" i="4"/>
  <c r="E443" i="4"/>
  <c r="K443" i="4"/>
  <c r="F443" i="4"/>
  <c r="O443" i="4"/>
  <c r="Z442" i="4" l="1"/>
  <c r="AA442" i="4"/>
  <c r="G443" i="4"/>
  <c r="I443" i="4" s="1"/>
  <c r="X443" i="4"/>
  <c r="AA443" i="4" s="1"/>
  <c r="D445" i="4"/>
  <c r="O445" i="4" s="1"/>
  <c r="C446" i="4"/>
  <c r="Y443" i="4"/>
  <c r="AL443" i="4"/>
  <c r="B444" i="4"/>
  <c r="L444" i="4"/>
  <c r="F444" i="4"/>
  <c r="U444" i="4"/>
  <c r="Q444" i="4"/>
  <c r="J444" i="4"/>
  <c r="AJ444" i="4"/>
  <c r="V444" i="4"/>
  <c r="P444" i="4"/>
  <c r="K444" i="4"/>
  <c r="AK444" i="4"/>
  <c r="AI444" i="4"/>
  <c r="T444" i="4"/>
  <c r="N444" i="4"/>
  <c r="R444" i="4"/>
  <c r="W444" i="4"/>
  <c r="S444" i="4"/>
  <c r="M444" i="4"/>
  <c r="O444" i="4"/>
  <c r="E444" i="4"/>
  <c r="Z443" i="4" l="1"/>
  <c r="G444" i="4"/>
  <c r="I444" i="4" s="1"/>
  <c r="C447" i="4"/>
  <c r="D446" i="4"/>
  <c r="AL444" i="4"/>
  <c r="X444" i="4"/>
  <c r="AA444" i="4" s="1"/>
  <c r="Y444" i="4"/>
  <c r="B445" i="4"/>
  <c r="AJ445" i="4"/>
  <c r="H445" i="4"/>
  <c r="R445" i="4"/>
  <c r="AK445" i="4"/>
  <c r="P445" i="4"/>
  <c r="U445" i="4"/>
  <c r="AI445" i="4"/>
  <c r="Q445" i="4"/>
  <c r="N445" i="4"/>
  <c r="L445" i="4"/>
  <c r="W445" i="4"/>
  <c r="S445" i="4"/>
  <c r="V445" i="4"/>
  <c r="T445" i="4"/>
  <c r="J445" i="4"/>
  <c r="F445" i="4"/>
  <c r="M445" i="4"/>
  <c r="K445" i="4"/>
  <c r="E445" i="4"/>
  <c r="G445" i="4" l="1"/>
  <c r="I445" i="4" s="1"/>
  <c r="Z444" i="4"/>
  <c r="X445" i="4"/>
  <c r="AA445" i="4" s="1"/>
  <c r="O446" i="4"/>
  <c r="AK446" i="4"/>
  <c r="AI446" i="4"/>
  <c r="H446" i="4"/>
  <c r="W446" i="4"/>
  <c r="T446" i="4"/>
  <c r="S446" i="4"/>
  <c r="Q446" i="4"/>
  <c r="N446" i="4"/>
  <c r="P446" i="4"/>
  <c r="M446" i="4"/>
  <c r="D447" i="4"/>
  <c r="J447" i="4" s="1"/>
  <c r="C448" i="4"/>
  <c r="B446" i="4"/>
  <c r="E446" i="4"/>
  <c r="AL445" i="4"/>
  <c r="Y445" i="4"/>
  <c r="L446" i="4"/>
  <c r="R446" i="4"/>
  <c r="K446" i="4"/>
  <c r="J446" i="4"/>
  <c r="U446" i="4"/>
  <c r="F446" i="4"/>
  <c r="AJ446" i="4"/>
  <c r="V446" i="4"/>
  <c r="AL446" i="4" l="1"/>
  <c r="Z445" i="4"/>
  <c r="Y446" i="4"/>
  <c r="G446" i="4"/>
  <c r="I446" i="4" s="1"/>
  <c r="H447" i="4"/>
  <c r="R447" i="4"/>
  <c r="X446" i="4"/>
  <c r="P447" i="4"/>
  <c r="M447" i="4"/>
  <c r="B447" i="4"/>
  <c r="Q447" i="4"/>
  <c r="D448" i="4"/>
  <c r="V448" i="4" s="1"/>
  <c r="C449" i="4"/>
  <c r="O447" i="4"/>
  <c r="E447" i="4"/>
  <c r="AK447" i="4"/>
  <c r="V447" i="4"/>
  <c r="T447" i="4"/>
  <c r="W447" i="4"/>
  <c r="AJ447" i="4"/>
  <c r="N447" i="4"/>
  <c r="L447" i="4"/>
  <c r="K447" i="4"/>
  <c r="F447" i="4"/>
  <c r="AI447" i="4"/>
  <c r="S447" i="4"/>
  <c r="U447" i="4"/>
  <c r="W448" i="4" l="1"/>
  <c r="AJ448" i="4"/>
  <c r="P448" i="4"/>
  <c r="Y447" i="4"/>
  <c r="Z446" i="4"/>
  <c r="AA446" i="4"/>
  <c r="AL447" i="4"/>
  <c r="X447" i="4"/>
  <c r="B448" i="4"/>
  <c r="AK448" i="4"/>
  <c r="C450" i="4"/>
  <c r="D449" i="4"/>
  <c r="G447" i="4"/>
  <c r="I447" i="4" s="1"/>
  <c r="O448" i="4"/>
  <c r="T448" i="4"/>
  <c r="X448" i="4" s="1"/>
  <c r="S448" i="4"/>
  <c r="R448" i="4"/>
  <c r="Q448" i="4"/>
  <c r="N448" i="4"/>
  <c r="M448" i="4"/>
  <c r="L448" i="4"/>
  <c r="K448" i="4"/>
  <c r="J448" i="4"/>
  <c r="F448" i="4"/>
  <c r="E448" i="4"/>
  <c r="AI448" i="4"/>
  <c r="H448" i="4"/>
  <c r="U448" i="4"/>
  <c r="AL448" i="4" l="1"/>
  <c r="AA448" i="4"/>
  <c r="Y448" i="4"/>
  <c r="Z448" i="4" s="1"/>
  <c r="K449" i="4"/>
  <c r="AJ449" i="4"/>
  <c r="P449" i="4"/>
  <c r="O449" i="4"/>
  <c r="N449" i="4"/>
  <c r="M449" i="4"/>
  <c r="L449" i="4"/>
  <c r="F449" i="4"/>
  <c r="Q449" i="4"/>
  <c r="U449" i="4"/>
  <c r="R449" i="4"/>
  <c r="H449" i="4"/>
  <c r="AK449" i="4"/>
  <c r="AI449" i="4"/>
  <c r="W449" i="4"/>
  <c r="V449" i="4"/>
  <c r="T449" i="4"/>
  <c r="G448" i="4"/>
  <c r="I448" i="4" s="1"/>
  <c r="E449" i="4"/>
  <c r="S449" i="4"/>
  <c r="Z447" i="4"/>
  <c r="AA447" i="4"/>
  <c r="C451" i="4"/>
  <c r="D450" i="4"/>
  <c r="B449" i="4"/>
  <c r="J449" i="4"/>
  <c r="Y449" i="4" l="1"/>
  <c r="G449" i="4"/>
  <c r="I449" i="4" s="1"/>
  <c r="AL449" i="4"/>
  <c r="X449" i="4"/>
  <c r="D451" i="4"/>
  <c r="C452" i="4"/>
  <c r="B450" i="4"/>
  <c r="K450" i="4"/>
  <c r="S450" i="4"/>
  <c r="L450" i="4"/>
  <c r="V450" i="4"/>
  <c r="AI450" i="4"/>
  <c r="O450" i="4"/>
  <c r="F450" i="4"/>
  <c r="AK450" i="4"/>
  <c r="U450" i="4"/>
  <c r="E450" i="4"/>
  <c r="Q450" i="4"/>
  <c r="P450" i="4"/>
  <c r="N450" i="4"/>
  <c r="J450" i="4"/>
  <c r="H450" i="4"/>
  <c r="R450" i="4"/>
  <c r="W450" i="4"/>
  <c r="T450" i="4"/>
  <c r="M450" i="4"/>
  <c r="AJ450" i="4"/>
  <c r="AA449" i="4" l="1"/>
  <c r="Z449" i="4"/>
  <c r="G450" i="4"/>
  <c r="I450" i="4" s="1"/>
  <c r="AL450" i="4"/>
  <c r="B451" i="4"/>
  <c r="P451" i="4"/>
  <c r="D452" i="4"/>
  <c r="C453" i="4"/>
  <c r="X450" i="4"/>
  <c r="AA450" i="4" s="1"/>
  <c r="Y450" i="4"/>
  <c r="U451" i="4"/>
  <c r="AK451" i="4"/>
  <c r="W451" i="4"/>
  <c r="T451" i="4"/>
  <c r="S451" i="4"/>
  <c r="Q451" i="4"/>
  <c r="R451" i="4"/>
  <c r="E451" i="4"/>
  <c r="AJ451" i="4"/>
  <c r="AI451" i="4"/>
  <c r="F451" i="4"/>
  <c r="M451" i="4"/>
  <c r="O451" i="4"/>
  <c r="V451" i="4"/>
  <c r="J451" i="4"/>
  <c r="N451" i="4"/>
  <c r="L451" i="4"/>
  <c r="K451" i="4"/>
  <c r="H451" i="4"/>
  <c r="E452" i="4" l="1"/>
  <c r="U452" i="4"/>
  <c r="AK452" i="4"/>
  <c r="K452" i="4"/>
  <c r="AI452" i="4"/>
  <c r="V452" i="4"/>
  <c r="H452" i="4"/>
  <c r="L452" i="4"/>
  <c r="Q452" i="4"/>
  <c r="Z450" i="4"/>
  <c r="X451" i="4"/>
  <c r="AA451" i="4" s="1"/>
  <c r="G451" i="4"/>
  <c r="I451" i="4" s="1"/>
  <c r="Y451" i="4"/>
  <c r="W452" i="4"/>
  <c r="T452" i="4"/>
  <c r="S452" i="4"/>
  <c r="C454" i="4"/>
  <c r="D453" i="4"/>
  <c r="R453" i="4" s="1"/>
  <c r="AL451" i="4"/>
  <c r="B452" i="4"/>
  <c r="AJ452" i="4"/>
  <c r="J452" i="4"/>
  <c r="P452" i="4"/>
  <c r="O452" i="4"/>
  <c r="R452" i="4"/>
  <c r="M452" i="4"/>
  <c r="F452" i="4"/>
  <c r="N452" i="4"/>
  <c r="AL452" i="4" l="1"/>
  <c r="Y452" i="4"/>
  <c r="G452" i="4"/>
  <c r="I452" i="4" s="1"/>
  <c r="X452" i="4"/>
  <c r="AA452" i="4" s="1"/>
  <c r="Z451" i="4"/>
  <c r="O453" i="4"/>
  <c r="Q453" i="4"/>
  <c r="L453" i="4"/>
  <c r="M453" i="4"/>
  <c r="K453" i="4"/>
  <c r="F453" i="4"/>
  <c r="N453" i="4"/>
  <c r="U453" i="4"/>
  <c r="J453" i="4"/>
  <c r="H453" i="4"/>
  <c r="AK453" i="4"/>
  <c r="W453" i="4"/>
  <c r="T453" i="4"/>
  <c r="AJ453" i="4"/>
  <c r="AI453" i="4"/>
  <c r="V453" i="4"/>
  <c r="S453" i="4"/>
  <c r="P453" i="4"/>
  <c r="D454" i="4"/>
  <c r="P454" i="4" s="1"/>
  <c r="C455" i="4"/>
  <c r="B453" i="4"/>
  <c r="E453" i="4"/>
  <c r="Z452" i="4" l="1"/>
  <c r="G453" i="4"/>
  <c r="I453" i="4" s="1"/>
  <c r="X453" i="4"/>
  <c r="AA453" i="4" s="1"/>
  <c r="AL453" i="4"/>
  <c r="Y453" i="4"/>
  <c r="N454" i="4"/>
  <c r="L454" i="4"/>
  <c r="J454" i="4"/>
  <c r="AK454" i="4"/>
  <c r="AJ454" i="4"/>
  <c r="AI454" i="4"/>
  <c r="W454" i="4"/>
  <c r="V454" i="4"/>
  <c r="B454" i="4"/>
  <c r="T454" i="4"/>
  <c r="C456" i="4"/>
  <c r="D455" i="4"/>
  <c r="U454" i="4"/>
  <c r="F454" i="4"/>
  <c r="Q454" i="4"/>
  <c r="E454" i="4"/>
  <c r="R454" i="4"/>
  <c r="S454" i="4"/>
  <c r="O454" i="4"/>
  <c r="M454" i="4"/>
  <c r="K454" i="4"/>
  <c r="H454" i="4"/>
  <c r="Z453" i="4" l="1"/>
  <c r="Y454" i="4"/>
  <c r="AL454" i="4"/>
  <c r="X454" i="4"/>
  <c r="AI455" i="4"/>
  <c r="S455" i="4"/>
  <c r="P455" i="4"/>
  <c r="V455" i="4"/>
  <c r="C457" i="4"/>
  <c r="D456" i="4"/>
  <c r="B455" i="4"/>
  <c r="J455" i="4"/>
  <c r="G454" i="4"/>
  <c r="I454" i="4" s="1"/>
  <c r="AJ455" i="4"/>
  <c r="W455" i="4"/>
  <c r="N455" i="4"/>
  <c r="AK455" i="4"/>
  <c r="F455" i="4"/>
  <c r="U455" i="4"/>
  <c r="T455" i="4"/>
  <c r="Q455" i="4"/>
  <c r="O455" i="4"/>
  <c r="M455" i="4"/>
  <c r="L455" i="4"/>
  <c r="K455" i="4"/>
  <c r="H455" i="4"/>
  <c r="R455" i="4"/>
  <c r="E455" i="4"/>
  <c r="AL455" i="4" l="1"/>
  <c r="Y455" i="4"/>
  <c r="AK456" i="4"/>
  <c r="AI456" i="4"/>
  <c r="W456" i="4"/>
  <c r="V456" i="4"/>
  <c r="S456" i="4"/>
  <c r="Q456" i="4"/>
  <c r="Z454" i="4"/>
  <c r="AA454" i="4"/>
  <c r="X455" i="4"/>
  <c r="G455" i="4"/>
  <c r="I455" i="4" s="1"/>
  <c r="T456" i="4"/>
  <c r="P456" i="4"/>
  <c r="C458" i="4"/>
  <c r="D457" i="4"/>
  <c r="B456" i="4"/>
  <c r="U456" i="4"/>
  <c r="O456" i="4"/>
  <c r="N456" i="4"/>
  <c r="M456" i="4"/>
  <c r="L456" i="4"/>
  <c r="K456" i="4"/>
  <c r="J456" i="4"/>
  <c r="F456" i="4"/>
  <c r="H456" i="4"/>
  <c r="E456" i="4"/>
  <c r="R456" i="4"/>
  <c r="AJ456" i="4"/>
  <c r="X456" i="4" l="1"/>
  <c r="AA456" i="4" s="1"/>
  <c r="R457" i="4"/>
  <c r="N457" i="4"/>
  <c r="AJ457" i="4"/>
  <c r="U457" i="4"/>
  <c r="H457" i="4"/>
  <c r="AL456" i="4"/>
  <c r="Y456" i="4"/>
  <c r="G456" i="4"/>
  <c r="I456" i="4" s="1"/>
  <c r="AA455" i="4"/>
  <c r="Z455" i="4"/>
  <c r="D458" i="4"/>
  <c r="J458" i="4" s="1"/>
  <c r="C459" i="4"/>
  <c r="B457" i="4"/>
  <c r="W457" i="4"/>
  <c r="V457" i="4"/>
  <c r="S457" i="4"/>
  <c r="P457" i="4"/>
  <c r="AI457" i="4"/>
  <c r="J457" i="4"/>
  <c r="AK457" i="4"/>
  <c r="Q457" i="4"/>
  <c r="T457" i="4"/>
  <c r="L457" i="4"/>
  <c r="F457" i="4"/>
  <c r="E457" i="4"/>
  <c r="O457" i="4"/>
  <c r="M457" i="4"/>
  <c r="K457" i="4"/>
  <c r="Z456" i="4" l="1"/>
  <c r="Y457" i="4"/>
  <c r="AL457" i="4"/>
  <c r="X457" i="4"/>
  <c r="AA457" i="4" s="1"/>
  <c r="C460" i="4"/>
  <c r="D459" i="4"/>
  <c r="G457" i="4"/>
  <c r="I457" i="4" s="1"/>
  <c r="B458" i="4"/>
  <c r="E458" i="4"/>
  <c r="H458" i="4"/>
  <c r="AK458" i="4"/>
  <c r="R458" i="4"/>
  <c r="K458" i="4"/>
  <c r="AJ458" i="4"/>
  <c r="AI458" i="4"/>
  <c r="L458" i="4"/>
  <c r="U458" i="4"/>
  <c r="M458" i="4"/>
  <c r="V458" i="4"/>
  <c r="T458" i="4"/>
  <c r="S458" i="4"/>
  <c r="Q458" i="4"/>
  <c r="P458" i="4"/>
  <c r="O458" i="4"/>
  <c r="N458" i="4"/>
  <c r="F458" i="4"/>
  <c r="W458" i="4"/>
  <c r="Z457" i="4" l="1"/>
  <c r="X458" i="4"/>
  <c r="AA458" i="4" s="1"/>
  <c r="Y458" i="4"/>
  <c r="P459" i="4"/>
  <c r="S459" i="4"/>
  <c r="O459" i="4"/>
  <c r="N459" i="4"/>
  <c r="M459" i="4"/>
  <c r="C461" i="4"/>
  <c r="D460" i="4"/>
  <c r="B459" i="4"/>
  <c r="R459" i="4"/>
  <c r="AL458" i="4"/>
  <c r="G458" i="4"/>
  <c r="I458" i="4" s="1"/>
  <c r="U459" i="4"/>
  <c r="K459" i="4"/>
  <c r="AK459" i="4"/>
  <c r="AJ459" i="4"/>
  <c r="AI459" i="4"/>
  <c r="W459" i="4"/>
  <c r="V459" i="4"/>
  <c r="T459" i="4"/>
  <c r="J459" i="4"/>
  <c r="H459" i="4"/>
  <c r="Q459" i="4"/>
  <c r="F459" i="4"/>
  <c r="L459" i="4"/>
  <c r="E459" i="4"/>
  <c r="Z458" i="4" l="1"/>
  <c r="X459" i="4"/>
  <c r="AA459" i="4" s="1"/>
  <c r="AL459" i="4"/>
  <c r="C462" i="4"/>
  <c r="D461" i="4"/>
  <c r="H461" i="4" s="1"/>
  <c r="Y459" i="4"/>
  <c r="G459" i="4"/>
  <c r="I459" i="4" s="1"/>
  <c r="B460" i="4"/>
  <c r="E460" i="4"/>
  <c r="L460" i="4"/>
  <c r="J460" i="4"/>
  <c r="F460" i="4"/>
  <c r="AK460" i="4"/>
  <c r="T460" i="4"/>
  <c r="K460" i="4"/>
  <c r="P460" i="4"/>
  <c r="H460" i="4"/>
  <c r="S460" i="4"/>
  <c r="Q460" i="4"/>
  <c r="O460" i="4"/>
  <c r="R460" i="4"/>
  <c r="AI460" i="4"/>
  <c r="M460" i="4"/>
  <c r="AJ460" i="4"/>
  <c r="U460" i="4"/>
  <c r="W460" i="4"/>
  <c r="V460" i="4"/>
  <c r="N460" i="4"/>
  <c r="Z459" i="4" l="1"/>
  <c r="G460" i="4"/>
  <c r="I460" i="4" s="1"/>
  <c r="Y460" i="4"/>
  <c r="N461" i="4"/>
  <c r="J461" i="4"/>
  <c r="C463" i="4"/>
  <c r="D462" i="4"/>
  <c r="AL460" i="4"/>
  <c r="X460" i="4"/>
  <c r="B461" i="4"/>
  <c r="T461" i="4"/>
  <c r="Q461" i="4"/>
  <c r="O461" i="4"/>
  <c r="E461" i="4"/>
  <c r="M461" i="4"/>
  <c r="L461" i="4"/>
  <c r="U461" i="4"/>
  <c r="AK461" i="4"/>
  <c r="AJ461" i="4"/>
  <c r="AI461" i="4"/>
  <c r="W461" i="4"/>
  <c r="V461" i="4"/>
  <c r="S461" i="4"/>
  <c r="K461" i="4"/>
  <c r="F461" i="4"/>
  <c r="R461" i="4"/>
  <c r="P461" i="4"/>
  <c r="X461" i="4" l="1"/>
  <c r="AA461" i="4" s="1"/>
  <c r="Y461" i="4"/>
  <c r="AL461" i="4"/>
  <c r="C464" i="4"/>
  <c r="D463" i="4"/>
  <c r="Z460" i="4"/>
  <c r="AA460" i="4"/>
  <c r="G461" i="4"/>
  <c r="I461" i="4" s="1"/>
  <c r="B462" i="4"/>
  <c r="AK462" i="4"/>
  <c r="J462" i="4"/>
  <c r="S462" i="4"/>
  <c r="K462" i="4"/>
  <c r="P462" i="4"/>
  <c r="W462" i="4"/>
  <c r="U462" i="4"/>
  <c r="H462" i="4"/>
  <c r="Q462" i="4"/>
  <c r="F462" i="4"/>
  <c r="AI462" i="4"/>
  <c r="T462" i="4"/>
  <c r="O462" i="4"/>
  <c r="M462" i="4"/>
  <c r="E462" i="4"/>
  <c r="R462" i="4"/>
  <c r="AJ462" i="4"/>
  <c r="V462" i="4"/>
  <c r="N462" i="4"/>
  <c r="L462" i="4"/>
  <c r="Z461" i="4" l="1"/>
  <c r="Y462" i="4"/>
  <c r="H463" i="4"/>
  <c r="AJ463" i="4"/>
  <c r="AI463" i="4"/>
  <c r="AK463" i="4"/>
  <c r="W463" i="4"/>
  <c r="G462" i="4"/>
  <c r="I462" i="4" s="1"/>
  <c r="U463" i="4"/>
  <c r="E463" i="4"/>
  <c r="R463" i="4"/>
  <c r="V463" i="4"/>
  <c r="S463" i="4"/>
  <c r="P463" i="4"/>
  <c r="M463" i="4"/>
  <c r="L463" i="4"/>
  <c r="Q463" i="4"/>
  <c r="K463" i="4"/>
  <c r="T463" i="4"/>
  <c r="N463" i="4"/>
  <c r="J463" i="4"/>
  <c r="C465" i="4"/>
  <c r="D464" i="4"/>
  <c r="W464" i="4" s="1"/>
  <c r="AL462" i="4"/>
  <c r="X462" i="4"/>
  <c r="B463" i="4"/>
  <c r="F463" i="4"/>
  <c r="O463" i="4"/>
  <c r="AL463" i="4" l="1"/>
  <c r="Y463" i="4"/>
  <c r="G463" i="4"/>
  <c r="I463" i="4" s="1"/>
  <c r="X463" i="4"/>
  <c r="AA463" i="4" s="1"/>
  <c r="C466" i="4"/>
  <c r="D465" i="4"/>
  <c r="Z462" i="4"/>
  <c r="AA462" i="4"/>
  <c r="B464" i="4"/>
  <c r="V464" i="4"/>
  <c r="AK464" i="4"/>
  <c r="AJ464" i="4"/>
  <c r="AI464" i="4"/>
  <c r="H464" i="4"/>
  <c r="L464" i="4"/>
  <c r="F464" i="4"/>
  <c r="S464" i="4"/>
  <c r="Q464" i="4"/>
  <c r="O464" i="4"/>
  <c r="N464" i="4"/>
  <c r="R464" i="4"/>
  <c r="K464" i="4"/>
  <c r="E464" i="4"/>
  <c r="P464" i="4"/>
  <c r="J464" i="4"/>
  <c r="T464" i="4"/>
  <c r="M464" i="4"/>
  <c r="U464" i="4"/>
  <c r="Y464" i="4" s="1"/>
  <c r="X464" i="4" l="1"/>
  <c r="Z463" i="4"/>
  <c r="G464" i="4"/>
  <c r="I464" i="4" s="1"/>
  <c r="AJ465" i="4"/>
  <c r="AK465" i="4"/>
  <c r="AI465" i="4"/>
  <c r="W465" i="4"/>
  <c r="V465" i="4"/>
  <c r="N465" i="4"/>
  <c r="M465" i="4"/>
  <c r="K465" i="4"/>
  <c r="F465" i="4"/>
  <c r="O465" i="4"/>
  <c r="J465" i="4"/>
  <c r="AL464" i="4"/>
  <c r="T465" i="4"/>
  <c r="L465" i="4"/>
  <c r="H465" i="4"/>
  <c r="P465" i="4"/>
  <c r="R465" i="4"/>
  <c r="U465" i="4"/>
  <c r="C467" i="4"/>
  <c r="D466" i="4"/>
  <c r="B465" i="4"/>
  <c r="S465" i="4"/>
  <c r="Q465" i="4"/>
  <c r="E465" i="4"/>
  <c r="Z464" i="4" l="1"/>
  <c r="AA464" i="4"/>
  <c r="Y465" i="4"/>
  <c r="K466" i="4"/>
  <c r="F466" i="4"/>
  <c r="AL465" i="4"/>
  <c r="X465" i="4"/>
  <c r="G465" i="4"/>
  <c r="I465" i="4" s="1"/>
  <c r="D467" i="4"/>
  <c r="AK467" i="4" s="1"/>
  <c r="C468" i="4"/>
  <c r="B466" i="4"/>
  <c r="L466" i="4"/>
  <c r="E466" i="4"/>
  <c r="N466" i="4"/>
  <c r="R466" i="4"/>
  <c r="U466" i="4"/>
  <c r="W466" i="4"/>
  <c r="S466" i="4"/>
  <c r="Q466" i="4"/>
  <c r="AJ466" i="4"/>
  <c r="O466" i="4"/>
  <c r="AK466" i="4"/>
  <c r="AI466" i="4"/>
  <c r="M466" i="4"/>
  <c r="T466" i="4"/>
  <c r="H466" i="4"/>
  <c r="V466" i="4"/>
  <c r="P466" i="4"/>
  <c r="J466" i="4"/>
  <c r="G466" i="4" l="1"/>
  <c r="I466" i="4" s="1"/>
  <c r="AA465" i="4"/>
  <c r="Z465" i="4"/>
  <c r="AJ467" i="4"/>
  <c r="AI467" i="4"/>
  <c r="AL467" i="4" s="1"/>
  <c r="W467" i="4"/>
  <c r="L467" i="4"/>
  <c r="Q467" i="4"/>
  <c r="O467" i="4"/>
  <c r="M467" i="4"/>
  <c r="K467" i="4"/>
  <c r="V467" i="4"/>
  <c r="T467" i="4"/>
  <c r="S467" i="4"/>
  <c r="P467" i="4"/>
  <c r="N467" i="4"/>
  <c r="U467" i="4"/>
  <c r="R467" i="4"/>
  <c r="B467" i="4"/>
  <c r="E467" i="4"/>
  <c r="D468" i="4"/>
  <c r="M468" i="4" s="1"/>
  <c r="C469" i="4"/>
  <c r="Y466" i="4"/>
  <c r="AL466" i="4"/>
  <c r="X466" i="4"/>
  <c r="AA466" i="4" s="1"/>
  <c r="J467" i="4"/>
  <c r="H467" i="4"/>
  <c r="F467" i="4"/>
  <c r="Y467" i="4" l="1"/>
  <c r="X467" i="4"/>
  <c r="D469" i="4"/>
  <c r="C470" i="4"/>
  <c r="Z466" i="4"/>
  <c r="G467" i="4"/>
  <c r="I467" i="4" s="1"/>
  <c r="B468" i="4"/>
  <c r="O468" i="4"/>
  <c r="S468" i="4"/>
  <c r="AJ468" i="4"/>
  <c r="AI468" i="4"/>
  <c r="H468" i="4"/>
  <c r="V468" i="4"/>
  <c r="T468" i="4"/>
  <c r="R468" i="4"/>
  <c r="Q468" i="4"/>
  <c r="N468" i="4"/>
  <c r="K468" i="4"/>
  <c r="J468" i="4"/>
  <c r="U468" i="4"/>
  <c r="P468" i="4"/>
  <c r="L468" i="4"/>
  <c r="F468" i="4"/>
  <c r="E468" i="4"/>
  <c r="AK468" i="4"/>
  <c r="W468" i="4"/>
  <c r="Z467" i="4" l="1"/>
  <c r="AA467" i="4"/>
  <c r="X468" i="4"/>
  <c r="AA468" i="4" s="1"/>
  <c r="U469" i="4"/>
  <c r="E469" i="4"/>
  <c r="AL468" i="4"/>
  <c r="C471" i="4"/>
  <c r="D470" i="4"/>
  <c r="G468" i="4"/>
  <c r="I468" i="4" s="1"/>
  <c r="Y468" i="4"/>
  <c r="B469" i="4"/>
  <c r="AJ469" i="4"/>
  <c r="O469" i="4"/>
  <c r="Q469" i="4"/>
  <c r="K469" i="4"/>
  <c r="J469" i="4"/>
  <c r="AK469" i="4"/>
  <c r="AI469" i="4"/>
  <c r="V469" i="4"/>
  <c r="T469" i="4"/>
  <c r="W469" i="4"/>
  <c r="S469" i="4"/>
  <c r="N469" i="4"/>
  <c r="L469" i="4"/>
  <c r="M469" i="4"/>
  <c r="P469" i="4"/>
  <c r="F469" i="4"/>
  <c r="H469" i="4"/>
  <c r="R469" i="4"/>
  <c r="X469" i="4" l="1"/>
  <c r="AA469" i="4" s="1"/>
  <c r="Y469" i="4"/>
  <c r="Z468" i="4"/>
  <c r="G469" i="4"/>
  <c r="I469" i="4" s="1"/>
  <c r="D471" i="4"/>
  <c r="C472" i="4"/>
  <c r="B470" i="4"/>
  <c r="U470" i="4"/>
  <c r="AL469" i="4"/>
  <c r="W470" i="4"/>
  <c r="AJ470" i="4"/>
  <c r="V470" i="4"/>
  <c r="Q470" i="4"/>
  <c r="R470" i="4"/>
  <c r="AK470" i="4"/>
  <c r="AI470" i="4"/>
  <c r="T470" i="4"/>
  <c r="S470" i="4"/>
  <c r="P470" i="4"/>
  <c r="O470" i="4"/>
  <c r="N470" i="4"/>
  <c r="M470" i="4"/>
  <c r="L470" i="4"/>
  <c r="K470" i="4"/>
  <c r="J470" i="4"/>
  <c r="H470" i="4"/>
  <c r="F470" i="4"/>
  <c r="E470" i="4"/>
  <c r="Z469" i="4" l="1"/>
  <c r="AL470" i="4"/>
  <c r="Y470" i="4"/>
  <c r="H471" i="4"/>
  <c r="N471" i="4"/>
  <c r="AJ471" i="4"/>
  <c r="C473" i="4"/>
  <c r="D472" i="4"/>
  <c r="X470" i="4"/>
  <c r="G470" i="4"/>
  <c r="I470" i="4" s="1"/>
  <c r="B471" i="4"/>
  <c r="AK471" i="4"/>
  <c r="S471" i="4"/>
  <c r="O471" i="4"/>
  <c r="J471" i="4"/>
  <c r="Q471" i="4"/>
  <c r="P471" i="4"/>
  <c r="F471" i="4"/>
  <c r="R471" i="4"/>
  <c r="W471" i="4"/>
  <c r="E471" i="4"/>
  <c r="L471" i="4"/>
  <c r="K471" i="4"/>
  <c r="AI471" i="4"/>
  <c r="M471" i="4"/>
  <c r="V471" i="4"/>
  <c r="U471" i="4"/>
  <c r="T471" i="4"/>
  <c r="Q472" i="4" l="1"/>
  <c r="K472" i="4"/>
  <c r="S472" i="4"/>
  <c r="G471" i="4"/>
  <c r="I471" i="4" s="1"/>
  <c r="P472" i="4"/>
  <c r="O472" i="4"/>
  <c r="N472" i="4"/>
  <c r="M472" i="4"/>
  <c r="E472" i="4"/>
  <c r="L472" i="4"/>
  <c r="H472" i="4"/>
  <c r="AK472" i="4"/>
  <c r="R472" i="4"/>
  <c r="U472" i="4"/>
  <c r="AJ472" i="4"/>
  <c r="V472" i="4"/>
  <c r="J472" i="4"/>
  <c r="F472" i="4"/>
  <c r="D473" i="4"/>
  <c r="C474" i="4"/>
  <c r="Z470" i="4"/>
  <c r="AA470" i="4"/>
  <c r="AL471" i="4"/>
  <c r="Y471" i="4"/>
  <c r="X471" i="4"/>
  <c r="AA471" i="4" s="1"/>
  <c r="B472" i="4"/>
  <c r="T472" i="4"/>
  <c r="AI472" i="4"/>
  <c r="W472" i="4"/>
  <c r="G472" i="4" l="1"/>
  <c r="I472" i="4" s="1"/>
  <c r="X472" i="4"/>
  <c r="AA472" i="4" s="1"/>
  <c r="AL472" i="4"/>
  <c r="Y472" i="4"/>
  <c r="M473" i="4"/>
  <c r="R473" i="4"/>
  <c r="B473" i="4"/>
  <c r="H473" i="4"/>
  <c r="C475" i="4"/>
  <c r="D474" i="4"/>
  <c r="L474" i="4" s="1"/>
  <c r="Z471" i="4"/>
  <c r="AJ473" i="4"/>
  <c r="T473" i="4"/>
  <c r="Q473" i="4"/>
  <c r="F473" i="4"/>
  <c r="E473" i="4"/>
  <c r="U473" i="4"/>
  <c r="AI473" i="4"/>
  <c r="V473" i="4"/>
  <c r="P473" i="4"/>
  <c r="O473" i="4"/>
  <c r="L473" i="4"/>
  <c r="AK473" i="4"/>
  <c r="W473" i="4"/>
  <c r="S473" i="4"/>
  <c r="J473" i="4"/>
  <c r="N473" i="4"/>
  <c r="K473" i="4"/>
  <c r="AI474" i="4" l="1"/>
  <c r="W474" i="4"/>
  <c r="Z472" i="4"/>
  <c r="X473" i="4"/>
  <c r="AA473" i="4" s="1"/>
  <c r="AL473" i="4"/>
  <c r="H474" i="4"/>
  <c r="AJ474" i="4"/>
  <c r="V474" i="4"/>
  <c r="T474" i="4"/>
  <c r="S474" i="4"/>
  <c r="R474" i="4"/>
  <c r="Q474" i="4"/>
  <c r="P474" i="4"/>
  <c r="C476" i="4"/>
  <c r="D475" i="4"/>
  <c r="G473" i="4"/>
  <c r="I473" i="4" s="1"/>
  <c r="Y473" i="4"/>
  <c r="B474" i="4"/>
  <c r="O474" i="4"/>
  <c r="N474" i="4"/>
  <c r="U474" i="4"/>
  <c r="K474" i="4"/>
  <c r="J474" i="4"/>
  <c r="F474" i="4"/>
  <c r="M474" i="4"/>
  <c r="E474" i="4"/>
  <c r="AK474" i="4"/>
  <c r="G474" i="4" l="1"/>
  <c r="I474" i="4" s="1"/>
  <c r="Y474" i="4"/>
  <c r="AL474" i="4"/>
  <c r="Z473" i="4"/>
  <c r="X474" i="4"/>
  <c r="C477" i="4"/>
  <c r="D476" i="4"/>
  <c r="B475" i="4"/>
  <c r="T475" i="4"/>
  <c r="S475" i="4"/>
  <c r="N475" i="4"/>
  <c r="M475" i="4"/>
  <c r="L475" i="4"/>
  <c r="Q475" i="4"/>
  <c r="P475" i="4"/>
  <c r="O475" i="4"/>
  <c r="AK475" i="4"/>
  <c r="AJ475" i="4"/>
  <c r="R475" i="4"/>
  <c r="K475" i="4"/>
  <c r="AI475" i="4"/>
  <c r="W475" i="4"/>
  <c r="V475" i="4"/>
  <c r="J475" i="4"/>
  <c r="U475" i="4"/>
  <c r="F475" i="4"/>
  <c r="H475" i="4"/>
  <c r="E475" i="4"/>
  <c r="G475" i="4" l="1"/>
  <c r="I475" i="4" s="1"/>
  <c r="L476" i="4"/>
  <c r="K476" i="4"/>
  <c r="Z474" i="4"/>
  <c r="AA474" i="4"/>
  <c r="J476" i="4"/>
  <c r="F476" i="4"/>
  <c r="D477" i="4"/>
  <c r="E477" i="4" s="1"/>
  <c r="C478" i="4"/>
  <c r="X475" i="4"/>
  <c r="AA475" i="4" s="1"/>
  <c r="AL475" i="4"/>
  <c r="Y475" i="4"/>
  <c r="B476" i="4"/>
  <c r="U476" i="4"/>
  <c r="E476" i="4"/>
  <c r="AJ476" i="4"/>
  <c r="W476" i="4"/>
  <c r="O476" i="4"/>
  <c r="N476" i="4"/>
  <c r="S476" i="4"/>
  <c r="AK476" i="4"/>
  <c r="AI476" i="4"/>
  <c r="T476" i="4"/>
  <c r="Q476" i="4"/>
  <c r="V476" i="4"/>
  <c r="H476" i="4"/>
  <c r="M476" i="4"/>
  <c r="P476" i="4"/>
  <c r="R476" i="4"/>
  <c r="H477" i="4" l="1"/>
  <c r="U477" i="4"/>
  <c r="Z475" i="4"/>
  <c r="R477" i="4"/>
  <c r="AI477" i="4"/>
  <c r="V477" i="4"/>
  <c r="T477" i="4"/>
  <c r="G476" i="4"/>
  <c r="I476" i="4" s="1"/>
  <c r="X476" i="4"/>
  <c r="AA476" i="4" s="1"/>
  <c r="S477" i="4"/>
  <c r="Q477" i="4"/>
  <c r="N477" i="4"/>
  <c r="K477" i="4"/>
  <c r="O477" i="4"/>
  <c r="B477" i="4"/>
  <c r="F477" i="4"/>
  <c r="G477" i="4" s="1"/>
  <c r="D478" i="4"/>
  <c r="C479" i="4"/>
  <c r="Y476" i="4"/>
  <c r="AL476" i="4"/>
  <c r="AJ477" i="4"/>
  <c r="W477" i="4"/>
  <c r="P477" i="4"/>
  <c r="AK477" i="4"/>
  <c r="M477" i="4"/>
  <c r="L477" i="4"/>
  <c r="J477" i="4"/>
  <c r="I477" i="4" l="1"/>
  <c r="Z476" i="4"/>
  <c r="Y477" i="4"/>
  <c r="X477" i="4"/>
  <c r="AL477" i="4"/>
  <c r="P478" i="4"/>
  <c r="M478" i="4"/>
  <c r="B478" i="4"/>
  <c r="E478" i="4"/>
  <c r="D479" i="4"/>
  <c r="C480" i="4"/>
  <c r="AK478" i="4"/>
  <c r="AJ478" i="4"/>
  <c r="U478" i="4"/>
  <c r="Q478" i="4"/>
  <c r="F478" i="4"/>
  <c r="O478" i="4"/>
  <c r="H478" i="4"/>
  <c r="S478" i="4"/>
  <c r="V478" i="4"/>
  <c r="R478" i="4"/>
  <c r="K478" i="4"/>
  <c r="N478" i="4"/>
  <c r="W478" i="4"/>
  <c r="AI478" i="4"/>
  <c r="T478" i="4"/>
  <c r="L478" i="4"/>
  <c r="J478" i="4"/>
  <c r="X478" i="4" l="1"/>
  <c r="AA478" i="4" s="1"/>
  <c r="T479" i="4"/>
  <c r="AI479" i="4"/>
  <c r="W479" i="4"/>
  <c r="AA477" i="4"/>
  <c r="Z477" i="4"/>
  <c r="AK479" i="4"/>
  <c r="V479" i="4"/>
  <c r="U479" i="4"/>
  <c r="E479" i="4"/>
  <c r="S479" i="4"/>
  <c r="Q479" i="4"/>
  <c r="P479" i="4"/>
  <c r="B479" i="4"/>
  <c r="O479" i="4"/>
  <c r="N479" i="4"/>
  <c r="M479" i="4"/>
  <c r="L479" i="4"/>
  <c r="H479" i="4"/>
  <c r="R479" i="4"/>
  <c r="K479" i="4"/>
  <c r="J479" i="4"/>
  <c r="F479" i="4"/>
  <c r="AJ479" i="4"/>
  <c r="D480" i="4"/>
  <c r="C481" i="4"/>
  <c r="AL478" i="4"/>
  <c r="Y478" i="4"/>
  <c r="G478" i="4"/>
  <c r="I478" i="4" s="1"/>
  <c r="Z478" i="4" l="1"/>
  <c r="AL479" i="4"/>
  <c r="X479" i="4"/>
  <c r="AA479" i="4" s="1"/>
  <c r="Y479" i="4"/>
  <c r="G479" i="4"/>
  <c r="I479" i="4" s="1"/>
  <c r="S480" i="4"/>
  <c r="M480" i="4"/>
  <c r="J480" i="4"/>
  <c r="P480" i="4"/>
  <c r="Q480" i="4"/>
  <c r="O480" i="4"/>
  <c r="N480" i="4"/>
  <c r="L480" i="4"/>
  <c r="U480" i="4"/>
  <c r="R480" i="4"/>
  <c r="H480" i="4"/>
  <c r="AK480" i="4"/>
  <c r="AJ480" i="4"/>
  <c r="AI480" i="4"/>
  <c r="W480" i="4"/>
  <c r="D481" i="4"/>
  <c r="L481" i="4" s="1"/>
  <c r="C482" i="4"/>
  <c r="B480" i="4"/>
  <c r="V480" i="4"/>
  <c r="T480" i="4"/>
  <c r="E480" i="4"/>
  <c r="K480" i="4"/>
  <c r="F480" i="4"/>
  <c r="Z479" i="4" l="1"/>
  <c r="X480" i="4"/>
  <c r="AA480" i="4" s="1"/>
  <c r="AL480" i="4"/>
  <c r="Y480" i="4"/>
  <c r="R481" i="4"/>
  <c r="N481" i="4"/>
  <c r="M481" i="4"/>
  <c r="B481" i="4"/>
  <c r="H481" i="4"/>
  <c r="D482" i="4"/>
  <c r="C483" i="4"/>
  <c r="G480" i="4"/>
  <c r="I480" i="4" s="1"/>
  <c r="T481" i="4"/>
  <c r="Q481" i="4"/>
  <c r="P481" i="4"/>
  <c r="AI481" i="4"/>
  <c r="O481" i="4"/>
  <c r="K481" i="4"/>
  <c r="F481" i="4"/>
  <c r="AJ481" i="4"/>
  <c r="AK481" i="4"/>
  <c r="U481" i="4"/>
  <c r="E481" i="4"/>
  <c r="J481" i="4"/>
  <c r="V481" i="4"/>
  <c r="W481" i="4"/>
  <c r="S481" i="4"/>
  <c r="Z480" i="4" l="1"/>
  <c r="E482" i="4"/>
  <c r="O482" i="4"/>
  <c r="U482" i="4"/>
  <c r="N482" i="4"/>
  <c r="M482" i="4"/>
  <c r="L482" i="4"/>
  <c r="K482" i="4"/>
  <c r="W482" i="4"/>
  <c r="B482" i="4"/>
  <c r="H482" i="4"/>
  <c r="C484" i="4"/>
  <c r="D483" i="4"/>
  <c r="X481" i="4"/>
  <c r="AA481" i="4" s="1"/>
  <c r="AL481" i="4"/>
  <c r="Y481" i="4"/>
  <c r="G481" i="4"/>
  <c r="I481" i="4" s="1"/>
  <c r="V482" i="4"/>
  <c r="P482" i="4"/>
  <c r="AI482" i="4"/>
  <c r="AK482" i="4"/>
  <c r="AJ482" i="4"/>
  <c r="R482" i="4"/>
  <c r="T482" i="4"/>
  <c r="S482" i="4"/>
  <c r="Q482" i="4"/>
  <c r="J482" i="4"/>
  <c r="F482" i="4"/>
  <c r="G482" i="4" l="1"/>
  <c r="I482" i="4" s="1"/>
  <c r="V483" i="4"/>
  <c r="Q483" i="4"/>
  <c r="R483" i="4"/>
  <c r="Y482" i="4"/>
  <c r="U483" i="4"/>
  <c r="S483" i="4"/>
  <c r="X482" i="4"/>
  <c r="Z481" i="4"/>
  <c r="F483" i="4"/>
  <c r="T483" i="4"/>
  <c r="N483" i="4"/>
  <c r="P483" i="4"/>
  <c r="M483" i="4"/>
  <c r="K483" i="4"/>
  <c r="AK483" i="4"/>
  <c r="W483" i="4"/>
  <c r="O483" i="4"/>
  <c r="J483" i="4"/>
  <c r="H483" i="4"/>
  <c r="AJ483" i="4"/>
  <c r="AI483" i="4"/>
  <c r="L483" i="4"/>
  <c r="C485" i="4"/>
  <c r="D484" i="4"/>
  <c r="B483" i="4"/>
  <c r="E483" i="4"/>
  <c r="AL482" i="4"/>
  <c r="G483" i="4" l="1"/>
  <c r="I483" i="4" s="1"/>
  <c r="X483" i="4"/>
  <c r="AA483" i="4" s="1"/>
  <c r="Y483" i="4"/>
  <c r="Z482" i="4"/>
  <c r="AA482" i="4"/>
  <c r="AK484" i="4"/>
  <c r="W484" i="4"/>
  <c r="L484" i="4"/>
  <c r="AJ484" i="4"/>
  <c r="V484" i="4"/>
  <c r="AL483" i="4"/>
  <c r="J484" i="4"/>
  <c r="S484" i="4"/>
  <c r="P484" i="4"/>
  <c r="N484" i="4"/>
  <c r="E484" i="4"/>
  <c r="R484" i="4"/>
  <c r="AI484" i="4"/>
  <c r="T484" i="4"/>
  <c r="C486" i="4"/>
  <c r="D485" i="4"/>
  <c r="AK485" i="4" s="1"/>
  <c r="B484" i="4"/>
  <c r="K484" i="4"/>
  <c r="Q484" i="4"/>
  <c r="O484" i="4"/>
  <c r="M484" i="4"/>
  <c r="H484" i="4"/>
  <c r="U484" i="4"/>
  <c r="F484" i="4"/>
  <c r="Z483" i="4" l="1"/>
  <c r="X484" i="4"/>
  <c r="AA484" i="4" s="1"/>
  <c r="Y484" i="4"/>
  <c r="AL484" i="4"/>
  <c r="G484" i="4"/>
  <c r="I484" i="4" s="1"/>
  <c r="AJ485" i="4"/>
  <c r="AI485" i="4"/>
  <c r="AL485" i="4" s="1"/>
  <c r="W485" i="4"/>
  <c r="V485" i="4"/>
  <c r="U485" i="4"/>
  <c r="T485" i="4"/>
  <c r="S485" i="4"/>
  <c r="P485" i="4"/>
  <c r="J485" i="4"/>
  <c r="K485" i="4"/>
  <c r="Q485" i="4"/>
  <c r="N485" i="4"/>
  <c r="O485" i="4"/>
  <c r="D486" i="4"/>
  <c r="F486" i="4" s="1"/>
  <c r="C487" i="4"/>
  <c r="B485" i="4"/>
  <c r="H485" i="4"/>
  <c r="R485" i="4"/>
  <c r="M485" i="4"/>
  <c r="L485" i="4"/>
  <c r="E485" i="4"/>
  <c r="F485" i="4"/>
  <c r="Z484" i="4" l="1"/>
  <c r="AK486" i="4"/>
  <c r="H486" i="4"/>
  <c r="Y485" i="4"/>
  <c r="X485" i="4"/>
  <c r="AA485" i="4" s="1"/>
  <c r="L486" i="4"/>
  <c r="E486" i="4"/>
  <c r="G486" i="4" s="1"/>
  <c r="U486" i="4"/>
  <c r="AI486" i="4"/>
  <c r="W486" i="4"/>
  <c r="P486" i="4"/>
  <c r="AJ486" i="4"/>
  <c r="O486" i="4"/>
  <c r="N486" i="4"/>
  <c r="M486" i="4"/>
  <c r="C488" i="4"/>
  <c r="D487" i="4"/>
  <c r="G485" i="4"/>
  <c r="I485" i="4" s="1"/>
  <c r="B486" i="4"/>
  <c r="J486" i="4"/>
  <c r="T486" i="4"/>
  <c r="S486" i="4"/>
  <c r="R486" i="4"/>
  <c r="Q486" i="4"/>
  <c r="V486" i="4"/>
  <c r="K486" i="4"/>
  <c r="AL486" i="4" l="1"/>
  <c r="I486" i="4"/>
  <c r="Z485" i="4"/>
  <c r="Y486" i="4"/>
  <c r="C489" i="4"/>
  <c r="D488" i="4"/>
  <c r="X486" i="4"/>
  <c r="B487" i="4"/>
  <c r="V487" i="4"/>
  <c r="Q487" i="4"/>
  <c r="J487" i="4"/>
  <c r="N487" i="4"/>
  <c r="T487" i="4"/>
  <c r="L487" i="4"/>
  <c r="AK487" i="4"/>
  <c r="S487" i="4"/>
  <c r="K487" i="4"/>
  <c r="W487" i="4"/>
  <c r="O487" i="4"/>
  <c r="F487" i="4"/>
  <c r="R487" i="4"/>
  <c r="U487" i="4"/>
  <c r="E487" i="4"/>
  <c r="P487" i="4"/>
  <c r="AI487" i="4"/>
  <c r="H487" i="4"/>
  <c r="AJ487" i="4"/>
  <c r="M487" i="4"/>
  <c r="Y487" i="4" l="1"/>
  <c r="X487" i="4"/>
  <c r="AK488" i="4"/>
  <c r="AJ488" i="4"/>
  <c r="AI488" i="4"/>
  <c r="W488" i="4"/>
  <c r="V488" i="4"/>
  <c r="T488" i="4"/>
  <c r="S488" i="4"/>
  <c r="Q488" i="4"/>
  <c r="P488" i="4"/>
  <c r="O488" i="4"/>
  <c r="N488" i="4"/>
  <c r="M488" i="4"/>
  <c r="U488" i="4"/>
  <c r="L488" i="4"/>
  <c r="G487" i="4"/>
  <c r="I487" i="4" s="1"/>
  <c r="R488" i="4"/>
  <c r="K488" i="4"/>
  <c r="J488" i="4"/>
  <c r="F488" i="4"/>
  <c r="C490" i="4"/>
  <c r="D489" i="4"/>
  <c r="AA486" i="4"/>
  <c r="Z486" i="4"/>
  <c r="AL487" i="4"/>
  <c r="B488" i="4"/>
  <c r="E488" i="4"/>
  <c r="H488" i="4"/>
  <c r="X488" i="4" l="1"/>
  <c r="AA488" i="4" s="1"/>
  <c r="Y488" i="4"/>
  <c r="Z487" i="4"/>
  <c r="AA487" i="4"/>
  <c r="AL488" i="4"/>
  <c r="G488" i="4"/>
  <c r="I488" i="4" s="1"/>
  <c r="D490" i="4"/>
  <c r="C491" i="4"/>
  <c r="B489" i="4"/>
  <c r="K489" i="4"/>
  <c r="E489" i="4"/>
  <c r="Q489" i="4"/>
  <c r="P489" i="4"/>
  <c r="O489" i="4"/>
  <c r="N489" i="4"/>
  <c r="L489" i="4"/>
  <c r="J489" i="4"/>
  <c r="F489" i="4"/>
  <c r="M489" i="4"/>
  <c r="H489" i="4"/>
  <c r="AK489" i="4"/>
  <c r="AJ489" i="4"/>
  <c r="W489" i="4"/>
  <c r="U489" i="4"/>
  <c r="AI489" i="4"/>
  <c r="V489" i="4"/>
  <c r="T489" i="4"/>
  <c r="S489" i="4"/>
  <c r="R489" i="4"/>
  <c r="Z488" i="4" l="1"/>
  <c r="X489" i="4"/>
  <c r="AA489" i="4" s="1"/>
  <c r="V490" i="4"/>
  <c r="O490" i="4"/>
  <c r="AL489" i="4"/>
  <c r="Y489" i="4"/>
  <c r="D491" i="4"/>
  <c r="C492" i="4"/>
  <c r="G489" i="4"/>
  <c r="I489" i="4" s="1"/>
  <c r="B490" i="4"/>
  <c r="S490" i="4"/>
  <c r="P490" i="4"/>
  <c r="M490" i="4"/>
  <c r="L490" i="4"/>
  <c r="J490" i="4"/>
  <c r="F490" i="4"/>
  <c r="W490" i="4"/>
  <c r="H490" i="4"/>
  <c r="R490" i="4"/>
  <c r="AI490" i="4"/>
  <c r="Q490" i="4"/>
  <c r="N490" i="4"/>
  <c r="K490" i="4"/>
  <c r="T490" i="4"/>
  <c r="U490" i="4"/>
  <c r="AK490" i="4"/>
  <c r="E490" i="4"/>
  <c r="AJ490" i="4"/>
  <c r="Z489" i="4" l="1"/>
  <c r="X490" i="4"/>
  <c r="AA490" i="4" s="1"/>
  <c r="AL490" i="4"/>
  <c r="G490" i="4"/>
  <c r="I490" i="4" s="1"/>
  <c r="R491" i="4"/>
  <c r="AJ491" i="4"/>
  <c r="AI491" i="4"/>
  <c r="W491" i="4"/>
  <c r="V491" i="4"/>
  <c r="AK491" i="4"/>
  <c r="C493" i="4"/>
  <c r="D492" i="4"/>
  <c r="Y490" i="4"/>
  <c r="B491" i="4"/>
  <c r="T491" i="4"/>
  <c r="S491" i="4"/>
  <c r="Q491" i="4"/>
  <c r="P491" i="4"/>
  <c r="O491" i="4"/>
  <c r="N491" i="4"/>
  <c r="M491" i="4"/>
  <c r="L491" i="4"/>
  <c r="K491" i="4"/>
  <c r="J491" i="4"/>
  <c r="U491" i="4"/>
  <c r="H491" i="4"/>
  <c r="F491" i="4"/>
  <c r="E491" i="4"/>
  <c r="G491" i="4" l="1"/>
  <c r="I491" i="4" s="1"/>
  <c r="Z490" i="4"/>
  <c r="AL491" i="4"/>
  <c r="Y491" i="4"/>
  <c r="AK492" i="4"/>
  <c r="H492" i="4"/>
  <c r="X491" i="4"/>
  <c r="W492" i="4"/>
  <c r="V492" i="4"/>
  <c r="U492" i="4"/>
  <c r="K492" i="4"/>
  <c r="R492" i="4"/>
  <c r="T492" i="4"/>
  <c r="S492" i="4"/>
  <c r="Q492" i="4"/>
  <c r="P492" i="4"/>
  <c r="J492" i="4"/>
  <c r="M492" i="4"/>
  <c r="D493" i="4"/>
  <c r="C494" i="4"/>
  <c r="B492" i="4"/>
  <c r="F492" i="4"/>
  <c r="O492" i="4"/>
  <c r="N492" i="4"/>
  <c r="L492" i="4"/>
  <c r="AJ492" i="4"/>
  <c r="AI492" i="4"/>
  <c r="E492" i="4"/>
  <c r="AL492" i="4" l="1"/>
  <c r="X492" i="4"/>
  <c r="AA492" i="4" s="1"/>
  <c r="Z491" i="4"/>
  <c r="AA491" i="4"/>
  <c r="F493" i="4"/>
  <c r="E493" i="4"/>
  <c r="G492" i="4"/>
  <c r="I492" i="4" s="1"/>
  <c r="Y492" i="4"/>
  <c r="C495" i="4"/>
  <c r="D494" i="4"/>
  <c r="B493" i="4"/>
  <c r="Q493" i="4"/>
  <c r="R493" i="4"/>
  <c r="T493" i="4"/>
  <c r="M493" i="4"/>
  <c r="AJ493" i="4"/>
  <c r="V493" i="4"/>
  <c r="W493" i="4"/>
  <c r="O493" i="4"/>
  <c r="K493" i="4"/>
  <c r="AK493" i="4"/>
  <c r="AI493" i="4"/>
  <c r="P493" i="4"/>
  <c r="N493" i="4"/>
  <c r="L493" i="4"/>
  <c r="H493" i="4"/>
  <c r="U493" i="4"/>
  <c r="S493" i="4"/>
  <c r="J493" i="4"/>
  <c r="AL493" i="4" l="1"/>
  <c r="G493" i="4"/>
  <c r="I493" i="4" s="1"/>
  <c r="Z492" i="4"/>
  <c r="Y493" i="4"/>
  <c r="X493" i="4"/>
  <c r="D495" i="4"/>
  <c r="C496" i="4"/>
  <c r="B494" i="4"/>
  <c r="K494" i="4"/>
  <c r="S494" i="4"/>
  <c r="AK494" i="4"/>
  <c r="W494" i="4"/>
  <c r="AI494" i="4"/>
  <c r="J494" i="4"/>
  <c r="T494" i="4"/>
  <c r="AJ494" i="4"/>
  <c r="O494" i="4"/>
  <c r="M494" i="4"/>
  <c r="P494" i="4"/>
  <c r="R494" i="4"/>
  <c r="V494" i="4"/>
  <c r="N494" i="4"/>
  <c r="H494" i="4"/>
  <c r="L494" i="4"/>
  <c r="F494" i="4"/>
  <c r="U494" i="4"/>
  <c r="Q494" i="4"/>
  <c r="E494" i="4"/>
  <c r="G494" i="4" l="1"/>
  <c r="I494" i="4" s="1"/>
  <c r="AA493" i="4"/>
  <c r="Z493" i="4"/>
  <c r="AL494" i="4"/>
  <c r="Y494" i="4"/>
  <c r="X494" i="4"/>
  <c r="AA494" i="4" s="1"/>
  <c r="J495" i="4"/>
  <c r="S495" i="4"/>
  <c r="C497" i="4"/>
  <c r="D496" i="4"/>
  <c r="B495" i="4"/>
  <c r="T495" i="4"/>
  <c r="P495" i="4"/>
  <c r="Q495" i="4"/>
  <c r="O495" i="4"/>
  <c r="E495" i="4"/>
  <c r="K495" i="4"/>
  <c r="H495" i="4"/>
  <c r="F495" i="4"/>
  <c r="N495" i="4"/>
  <c r="M495" i="4"/>
  <c r="AJ495" i="4"/>
  <c r="W495" i="4"/>
  <c r="U495" i="4"/>
  <c r="AK495" i="4"/>
  <c r="L495" i="4"/>
  <c r="R495" i="4"/>
  <c r="AI495" i="4"/>
  <c r="V495" i="4"/>
  <c r="Y495" i="4" l="1"/>
  <c r="Z494" i="4"/>
  <c r="F496" i="4"/>
  <c r="M496" i="4"/>
  <c r="D497" i="4"/>
  <c r="C498" i="4"/>
  <c r="B496" i="4"/>
  <c r="H496" i="4"/>
  <c r="X495" i="4"/>
  <c r="AL495" i="4"/>
  <c r="G495" i="4"/>
  <c r="I495" i="4" s="1"/>
  <c r="U496" i="4"/>
  <c r="E496" i="4"/>
  <c r="Q496" i="4"/>
  <c r="P496" i="4"/>
  <c r="O496" i="4"/>
  <c r="S496" i="4"/>
  <c r="N496" i="4"/>
  <c r="R496" i="4"/>
  <c r="AJ496" i="4"/>
  <c r="W496" i="4"/>
  <c r="T496" i="4"/>
  <c r="K496" i="4"/>
  <c r="AK496" i="4"/>
  <c r="AI496" i="4"/>
  <c r="V496" i="4"/>
  <c r="L496" i="4"/>
  <c r="J496" i="4"/>
  <c r="G496" i="4" l="1"/>
  <c r="I496" i="4" s="1"/>
  <c r="X496" i="4"/>
  <c r="AA496" i="4" s="1"/>
  <c r="AL496" i="4"/>
  <c r="B497" i="4"/>
  <c r="H497" i="4"/>
  <c r="C499" i="4"/>
  <c r="D498" i="4"/>
  <c r="J498" i="4" s="1"/>
  <c r="Z495" i="4"/>
  <c r="AA495" i="4"/>
  <c r="Y496" i="4"/>
  <c r="AK497" i="4"/>
  <c r="AI497" i="4"/>
  <c r="W497" i="4"/>
  <c r="V497" i="4"/>
  <c r="T497" i="4"/>
  <c r="S497" i="4"/>
  <c r="Q497" i="4"/>
  <c r="P497" i="4"/>
  <c r="E497" i="4"/>
  <c r="AJ497" i="4"/>
  <c r="M497" i="4"/>
  <c r="F497" i="4"/>
  <c r="O497" i="4"/>
  <c r="R497" i="4"/>
  <c r="N497" i="4"/>
  <c r="L497" i="4"/>
  <c r="K497" i="4"/>
  <c r="U497" i="4"/>
  <c r="J497" i="4"/>
  <c r="Y497" i="4" l="1"/>
  <c r="Z496" i="4"/>
  <c r="AL497" i="4"/>
  <c r="C500" i="4"/>
  <c r="D499" i="4"/>
  <c r="X497" i="4"/>
  <c r="G497" i="4"/>
  <c r="I497" i="4" s="1"/>
  <c r="B498" i="4"/>
  <c r="W498" i="4"/>
  <c r="AJ498" i="4"/>
  <c r="H498" i="4"/>
  <c r="R498" i="4"/>
  <c r="AI498" i="4"/>
  <c r="V498" i="4"/>
  <c r="S498" i="4"/>
  <c r="U498" i="4"/>
  <c r="E498" i="4"/>
  <c r="T498" i="4"/>
  <c r="P498" i="4"/>
  <c r="O498" i="4"/>
  <c r="N498" i="4"/>
  <c r="AK498" i="4"/>
  <c r="M498" i="4"/>
  <c r="L498" i="4"/>
  <c r="K498" i="4"/>
  <c r="Q498" i="4"/>
  <c r="F498" i="4"/>
  <c r="Y498" i="4" l="1"/>
  <c r="G498" i="4"/>
  <c r="I498" i="4" s="1"/>
  <c r="D500" i="4"/>
  <c r="C501" i="4"/>
  <c r="B499" i="4"/>
  <c r="AI499" i="4"/>
  <c r="AA497" i="4"/>
  <c r="Z497" i="4"/>
  <c r="X498" i="4"/>
  <c r="AL498" i="4"/>
  <c r="M499" i="4"/>
  <c r="AK499" i="4"/>
  <c r="W499" i="4"/>
  <c r="H499" i="4"/>
  <c r="T499" i="4"/>
  <c r="S499" i="4"/>
  <c r="Q499" i="4"/>
  <c r="U499" i="4"/>
  <c r="P499" i="4"/>
  <c r="V499" i="4"/>
  <c r="O499" i="4"/>
  <c r="N499" i="4"/>
  <c r="L499" i="4"/>
  <c r="K499" i="4"/>
  <c r="J499" i="4"/>
  <c r="R499" i="4"/>
  <c r="E499" i="4"/>
  <c r="AJ499" i="4"/>
  <c r="F499" i="4"/>
  <c r="Y499" i="4" l="1"/>
  <c r="G499" i="4"/>
  <c r="I499" i="4" s="1"/>
  <c r="C502" i="4"/>
  <c r="D501" i="4"/>
  <c r="Z498" i="4"/>
  <c r="AA498" i="4"/>
  <c r="AL499" i="4"/>
  <c r="X499" i="4"/>
  <c r="B500" i="4"/>
  <c r="AK500" i="4"/>
  <c r="AI500" i="4"/>
  <c r="W500" i="4"/>
  <c r="T500" i="4"/>
  <c r="AJ500" i="4"/>
  <c r="O500" i="4"/>
  <c r="M500" i="4"/>
  <c r="U500" i="4"/>
  <c r="H500" i="4"/>
  <c r="E500" i="4"/>
  <c r="V500" i="4"/>
  <c r="S500" i="4"/>
  <c r="R500" i="4"/>
  <c r="Q500" i="4"/>
  <c r="P500" i="4"/>
  <c r="N500" i="4"/>
  <c r="K500" i="4"/>
  <c r="J500" i="4"/>
  <c r="F500" i="4"/>
  <c r="L500" i="4"/>
  <c r="Y500" i="4" l="1"/>
  <c r="L501" i="4"/>
  <c r="J501" i="4"/>
  <c r="R501" i="4"/>
  <c r="K501" i="4"/>
  <c r="AK501" i="4"/>
  <c r="H501" i="4"/>
  <c r="AL500" i="4"/>
  <c r="D502" i="4"/>
  <c r="W502" i="4" s="1"/>
  <c r="C503" i="4"/>
  <c r="AA499" i="4"/>
  <c r="Z499" i="4"/>
  <c r="X500" i="4"/>
  <c r="G500" i="4"/>
  <c r="I500" i="4" s="1"/>
  <c r="B501" i="4"/>
  <c r="F501" i="4"/>
  <c r="U501" i="4"/>
  <c r="W501" i="4"/>
  <c r="Q501" i="4"/>
  <c r="V501" i="4"/>
  <c r="P501" i="4"/>
  <c r="O501" i="4"/>
  <c r="AI501" i="4"/>
  <c r="S501" i="4"/>
  <c r="M501" i="4"/>
  <c r="N501" i="4"/>
  <c r="T501" i="4"/>
  <c r="AJ501" i="4"/>
  <c r="E501" i="4"/>
  <c r="AL501" i="4" l="1"/>
  <c r="X501" i="4"/>
  <c r="AA501" i="4" s="1"/>
  <c r="H502" i="4"/>
  <c r="U502" i="4"/>
  <c r="Y502" i="4" s="1"/>
  <c r="G501" i="4"/>
  <c r="I501" i="4" s="1"/>
  <c r="D503" i="4"/>
  <c r="E503" i="4" s="1"/>
  <c r="C504" i="4"/>
  <c r="AA500" i="4"/>
  <c r="Z500" i="4"/>
  <c r="Y501" i="4"/>
  <c r="B502" i="4"/>
  <c r="N502" i="4"/>
  <c r="K502" i="4"/>
  <c r="AI502" i="4"/>
  <c r="R502" i="4"/>
  <c r="F502" i="4"/>
  <c r="S502" i="4"/>
  <c r="Q502" i="4"/>
  <c r="T502" i="4"/>
  <c r="L502" i="4"/>
  <c r="AJ502" i="4"/>
  <c r="E502" i="4"/>
  <c r="AK502" i="4"/>
  <c r="V502" i="4"/>
  <c r="P502" i="4"/>
  <c r="M502" i="4"/>
  <c r="J502" i="4"/>
  <c r="O502" i="4"/>
  <c r="Z501" i="4" l="1"/>
  <c r="G502" i="4"/>
  <c r="I502" i="4" s="1"/>
  <c r="X502" i="4"/>
  <c r="S503" i="4"/>
  <c r="R503" i="4"/>
  <c r="B503" i="4"/>
  <c r="AK503" i="4"/>
  <c r="C505" i="4"/>
  <c r="D504" i="4"/>
  <c r="N504" i="4" s="1"/>
  <c r="AL502" i="4"/>
  <c r="O503" i="4"/>
  <c r="V503" i="4"/>
  <c r="F503" i="4"/>
  <c r="G503" i="4" s="1"/>
  <c r="Q503" i="4"/>
  <c r="K503" i="4"/>
  <c r="U503" i="4"/>
  <c r="L503" i="4"/>
  <c r="W503" i="4"/>
  <c r="N503" i="4"/>
  <c r="M503" i="4"/>
  <c r="AJ503" i="4"/>
  <c r="T503" i="4"/>
  <c r="P503" i="4"/>
  <c r="H503" i="4"/>
  <c r="AI503" i="4"/>
  <c r="J503" i="4"/>
  <c r="H504" i="4" l="1"/>
  <c r="AI504" i="4"/>
  <c r="Y503" i="4"/>
  <c r="AA502" i="4"/>
  <c r="Z502" i="4"/>
  <c r="D505" i="4"/>
  <c r="I503" i="4"/>
  <c r="X503" i="4"/>
  <c r="AL503" i="4"/>
  <c r="B504" i="4"/>
  <c r="J504" i="4"/>
  <c r="E504" i="4"/>
  <c r="V504" i="4"/>
  <c r="Q504" i="4"/>
  <c r="AK504" i="4"/>
  <c r="T504" i="4"/>
  <c r="F504" i="4"/>
  <c r="R504" i="4"/>
  <c r="P504" i="4"/>
  <c r="M504" i="4"/>
  <c r="AJ504" i="4"/>
  <c r="W504" i="4"/>
  <c r="S504" i="4"/>
  <c r="O504" i="4"/>
  <c r="L504" i="4"/>
  <c r="U504" i="4"/>
  <c r="K504" i="4"/>
  <c r="AL504" i="4" l="1"/>
  <c r="X504" i="4"/>
  <c r="AA504" i="4" s="1"/>
  <c r="Y504" i="4"/>
  <c r="Z503" i="4"/>
  <c r="AA503" i="4"/>
  <c r="G504" i="4"/>
  <c r="I504" i="4" s="1"/>
  <c r="B505" i="4"/>
  <c r="R505" i="4"/>
  <c r="AK505" i="4"/>
  <c r="AJ505" i="4"/>
  <c r="AI505" i="4"/>
  <c r="W505" i="4"/>
  <c r="V505" i="4"/>
  <c r="K505" i="4"/>
  <c r="J505" i="4"/>
  <c r="E505" i="4"/>
  <c r="U505" i="4"/>
  <c r="F505" i="4"/>
  <c r="T505" i="4"/>
  <c r="S505" i="4"/>
  <c r="Q505" i="4"/>
  <c r="P505" i="4"/>
  <c r="O505" i="4"/>
  <c r="L505" i="4"/>
  <c r="H505" i="4"/>
  <c r="N505" i="4"/>
  <c r="M505" i="4"/>
  <c r="G505" i="4" l="1"/>
  <c r="I505" i="4" s="1"/>
  <c r="Z504" i="4"/>
  <c r="AL505" i="4"/>
  <c r="Y505" i="4"/>
  <c r="X505" i="4"/>
  <c r="AA505" i="4" s="1"/>
  <c r="Z50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Diaz</author>
  </authors>
  <commentList>
    <comment ref="X5" authorId="0" shapeId="0" xr:uid="{6B58F11A-1AEA-40B7-B97C-81D587896AD0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(New Customer Return on Ad Spend)</t>
        </r>
      </text>
    </comment>
    <comment ref="Z5" authorId="0" shapeId="0" xr:uid="{66A2222B-3BEF-4389-AEAA-F83F71A0DAEF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First-Order New Customer ROAS</t>
        </r>
      </text>
    </comment>
    <comment ref="AC6" authorId="0" shapeId="0" xr:uid="{1A232502-093F-4548-BF33-9B548E53395D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costo de ventas registrado / ventas netas con costo registrado * ventas netas totales</t>
        </r>
      </text>
    </comment>
    <comment ref="AD6" authorId="0" shapeId="0" xr:uid="{638918C0-5B66-49C7-AEA5-071AD74B580A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Costos 100% variables contables + COGS calculado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Diaz</author>
  </authors>
  <commentList>
    <comment ref="AA5" authorId="0" shapeId="0" xr:uid="{BC8961A0-8417-482D-B2C1-1AF705B390AE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(New Customer Return on Ad Spend)</t>
        </r>
      </text>
    </comment>
    <comment ref="AB5" authorId="0" shapeId="0" xr:uid="{ECADC6DC-C6ED-4E8C-8563-EB7FD6E8A347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First-Order New Customer ROAS</t>
        </r>
      </text>
    </comment>
    <comment ref="G6" authorId="0" shapeId="0" xr:uid="{7D43F060-4FB4-4DDF-BEDB-9044C7303473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Average order value</t>
        </r>
      </text>
    </comment>
    <comment ref="H6" authorId="0" shapeId="0" xr:uid="{285DA830-D171-4B71-B679-25EA896B7293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Conversion rate (total store)</t>
        </r>
      </text>
    </comment>
    <comment ref="I6" authorId="0" shapeId="0" xr:uid="{46465C40-AF6D-49A1-BB2F-81F17D4CB775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Revenue per visit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Diaz</author>
  </authors>
  <commentList>
    <comment ref="AE5" authorId="0" shapeId="0" xr:uid="{15062E89-E1E9-4DF1-8111-A5BD1766F05F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(New Customer Return on Ad Spend)</t>
        </r>
      </text>
    </comment>
    <comment ref="AF5" authorId="0" shapeId="0" xr:uid="{01F1587A-4FFD-4C58-9E6F-6954E461B133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First-Order New Customer ROAS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Diaz</author>
  </authors>
  <commentList>
    <comment ref="C19" authorId="0" shapeId="0" xr:uid="{0055A75D-B62B-4514-A152-FA7A38298D8A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Script: https://ads.google.com/aw/bulk/scripts/management?ocid=6472400842&amp;euid=117407472&amp;__u=6221903728&amp;uscid=6472400842&amp;__c=4529124858&amp;authuser=0&amp;subid=all-es-419-awhp-g-aw-c-home-signin-bgc!o2-s500g500%7Cib:6653296821%7Cib:9279461727%7Cib:7966379274%7C-ahpm-0000000200-0000000001
Sheet: https://docs.google.com/spreadsheets/d/10z_jL0-x9rZi5loiBx6sJdW8Av5NLLclijOEMxlKYK0/edit?gid=3#gid=3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1BB1D4-AF0F-46D8-884A-C6E8BEF9CEFF}" keepAlive="1" name="Query - AccountingReport" description="Connection to the 'AccountingReport' query in the workbook." type="5" refreshedVersion="8" background="1" saveData="1">
    <dbPr connection="Provider=Microsoft.Mashup.OleDb.1;Data Source=$Workbook$;Location=AccountingReport;Extended Properties=&quot;&quot;" command="SELECT * FROM [AccountingReport]"/>
  </connection>
  <connection id="2" xr16:uid="{1345E80F-941A-4640-B39A-4C6574103336}" keepAlive="1" name="Query - COAApi" description="Connection to the 'COAApi' query in the workbook." type="5" refreshedVersion="8" background="1" saveData="1">
    <dbPr connection="Provider=Microsoft.Mashup.OleDb.1;Data Source=$Workbook$;Location=COAApi;Extended Properties=&quot;&quot;" command="SELECT * FROM [COAApi]"/>
  </connection>
  <connection id="3" xr16:uid="{913219D7-F2A7-4693-ADC0-308D5F7C564D}" keepAlive="1" name="Query - COALocal" description="Connection to the 'COALocal' query in the workbook." type="5" refreshedVersion="8" background="1" saveData="1">
    <dbPr connection="Provider=Microsoft.Mashup.OleDb.1;Data Source=$Workbook$;Location=COALocal;Extended Properties=&quot;&quot;" command="SELECT * FROM [COALocal]"/>
  </connection>
  <connection id="4" xr16:uid="{31CCD5B8-F3C2-4D4B-B5E9-37BEFD3EF6C3}" keepAlive="1" name="Query - ConversionRateByReferralDaily" description="Connection to the 'ConversionRateByReferralDaily' query in the workbook." type="5" refreshedVersion="8" background="1" saveData="1">
    <dbPr connection="Provider=Microsoft.Mashup.OleDb.1;Data Source=$Workbook$;Location=ConversionRateByReferralDaily;Extended Properties=&quot;&quot;" command="SELECT * FROM [ConversionRateByReferralDaily]"/>
  </connection>
  <connection id="5" xr16:uid="{F772126F-8328-4186-9665-C282F8EE0FE1}" keepAlive="1" name="Query - ConversionRateByReferralMonthly" description="Connection to the 'ConversionRateByReferralMonthly' query in the workbook." type="5" refreshedVersion="0" background="1">
    <dbPr connection="Provider=Microsoft.Mashup.OleDb.1;Data Source=$Workbook$;Location=ConversionRateByReferralMonthly;Extended Properties=&quot;&quot;" command="SELECT * FROM [ConversionRateByReferralMonthly]"/>
  </connection>
  <connection id="6" xr16:uid="{0CC860B1-CB2B-4F39-9354-44DE30E529AC}" keepAlive="1" name="Query - ConversionRateByReferralWeekly" description="Connection to the 'ConversionRateByReferralWeekly' query in the workbook." type="5" refreshedVersion="0" background="1">
    <dbPr connection="Provider=Microsoft.Mashup.OleDb.1;Data Source=$Workbook$;Location=ConversionRateByReferralWeekly;Extended Properties=&quot;&quot;" command="SELECT * FROM [ConversionRateByReferralWeekly]"/>
  </connection>
  <connection id="7" xr16:uid="{27B19F5B-2FAC-4C40-A245-182D691FFA64}" keepAlive="1" name="Query - ConversionRateByReferralWeekly(1)" description="Connection to the 'ConversionRateByReferralWeekly' query in the workbook." type="5" refreshedVersion="0" background="1">
    <dbPr connection="Provider=Microsoft.Mashup.OleDb.1;Data Source=$Workbook$;Location=ConversionRateByReferralWeekly;Extended Properties=&quot;&quot;" command="SELECT * FROM [ConversionRateByReferralWeekly]"/>
  </connection>
  <connection id="8" xr16:uid="{E00E85E1-53CB-4D19-BC0B-3BA3A338A8CC}" keepAlive="1" name="Query - ConversionRateToCols1" description="Connection to the 'ConversionRateToCols' query in the workbook." type="5" refreshedVersion="0" background="1">
    <dbPr connection="Provider=Microsoft.Mashup.OleDb.1;Data Source=$Workbook$;Location=ConversionRateToCols;Extended Properties=&quot;&quot;" command="SELECT * FROM [ConversionRateToCols]"/>
  </connection>
  <connection id="9" xr16:uid="{C80A4BC2-104F-4497-911A-486CA386858B}" keepAlive="1" name="Query - ConversionRateToColsDaily" description="Connection to the 'ConversionRateToColsDaily' query in the workbook." type="5" refreshedVersion="0" background="1">
    <dbPr connection="Provider=Microsoft.Mashup.OleDb.1;Data Source=$Workbook$;Location=ConversionRateToColsDaily;Extended Properties=&quot;&quot;" command="SELECT * FROM [ConversionRateToColsDaily]"/>
  </connection>
  <connection id="10" xr16:uid="{D2C87D85-2294-4835-9995-3034441B9C3F}" keepAlive="1" name="Query - ConversionRateToColsMonthly" description="Connection to the 'ConversionRateToColsMonthly' query in the workbook." type="5" refreshedVersion="0" background="1">
    <dbPr connection="Provider=Microsoft.Mashup.OleDb.1;Data Source=$Workbook$;Location=ConversionRateToColsMonthly;Extended Properties=&quot;&quot;" command="SELECT * FROM [ConversionRateToColsMonthly]"/>
  </connection>
  <connection id="11" xr16:uid="{75BE2773-00E2-46F6-8231-C8910202E4BA}" keepAlive="1" name="Query - ConversionRateToColsWeekly" description="Connection to the 'ConversionRateToColsWeekly' query in the workbook." type="5" refreshedVersion="0" background="1">
    <dbPr connection="Provider=Microsoft.Mashup.OleDb.1;Data Source=$Workbook$;Location=ConversionRateToColsWeekly;Extended Properties=&quot;&quot;" command="SELECT * FROM [ConversionRateToColsWeekly]"/>
  </connection>
  <connection id="12" xr16:uid="{FFAE6870-7CD0-4FD7-8F4C-3DC5773A53F3}" keepAlive="1" name="Query - ConversionRateToColsWeekly(1)" description="Connection to the 'ConversionRateToColsWeekly' query in the workbook." type="5" refreshedVersion="0" background="1">
    <dbPr connection="Provider=Microsoft.Mashup.OleDb.1;Data Source=$Workbook$;Location=ConversionRateToColsWeekly;Extended Properties=&quot;&quot;" command="SELECT * FROM [ConversionRateToColsWeekly]"/>
  </connection>
  <connection id="13" xr16:uid="{EEB6F93A-FBB9-4862-8587-1A83DF2CC232}" keepAlive="1" name="Query - DataByClass" description="Connection to the 'DataByClass' query in the workbook." type="5" refreshedVersion="8" background="1" saveData="1">
    <dbPr connection="Provider=Microsoft.Mashup.OleDb.1;Data Source=$Workbook$;Location=DataByClass;Extended Properties=&quot;&quot;" command="SELECT * FROM [DataByClass]"/>
  </connection>
  <connection id="14" xr16:uid="{0595822B-E0F4-4D2A-B714-9BD6DB7243DC}" keepAlive="1" name="Query - FinanceSummary" description="Connection to the 'FinanceSummary' query in the workbook." type="5" refreshedVersion="0" background="1" saveData="1">
    <dbPr connection="Provider=Microsoft.Mashup.OleDb.1;Data Source=$Workbook$;Location=FinanceSummary;Extended Properties=&quot;&quot;" command="SELECT * FROM [FinanceSummary]"/>
  </connection>
  <connection id="15" xr16:uid="{85611DE7-B484-47A0-ABFA-3ADB9D555B96}" keepAlive="1" name="Query - fnConversionRateByReferral" description="Connection to the 'fnConversionRateByReferral' query in the workbook." type="5" refreshedVersion="0" background="1">
    <dbPr connection="Provider=Microsoft.Mashup.OleDb.1;Data Source=$Workbook$;Location=fnConversionRateByReferral;Extended Properties=&quot;&quot;" command="SELECT * FROM [fnConversionRateByReferral]"/>
  </connection>
  <connection id="16" xr16:uid="{35F436E6-6FB4-4036-A806-0E14A79D3CC6}" keepAlive="1" name="Query - fnGetDatesInPeriod" description="Connection to the 'fnGetDatesInPeriod' query in the workbook." type="5" refreshedVersion="0" background="1">
    <dbPr connection="Provider=Microsoft.Mashup.OleDb.1;Data Source=$Workbook$;Location=fnGetDatesInPeriod;Extended Properties=&quot;&quot;" command="SELECT * FROM [fnGetDatesInPeriod]"/>
  </connection>
  <connection id="17" xr16:uid="{82B2E912-8DB5-47F9-A002-DAA91B5C371D}" keepAlive="1" name="Query - fnGetSalesBreakdownByPeriod" description="Connection to the 'fnGetSalesBreakdownByPeriod' query in the workbook." type="5" refreshedVersion="0" background="1">
    <dbPr connection="Provider=Microsoft.Mashup.OleDb.1;Data Source=$Workbook$;Location=fnGetSalesBreakdownByPeriod;Extended Properties=&quot;&quot;" command="SELECT * FROM [fnGetSalesBreakdownByPeriod]"/>
  </connection>
  <connection id="18" xr16:uid="{F4CA6B87-E4CC-4A4F-BE6D-56A7A6E504D0}" keepAlive="1" name="Query - fnGetShopifyQLData" description="Connection to the 'fnGetShopifyQLData' query in the workbook." type="5" refreshedVersion="0" background="1">
    <dbPr connection="Provider=Microsoft.Mashup.OleDb.1;Data Source=$Workbook$;Location=fnGetShopifyQLData;Extended Properties=&quot;&quot;" command="SELECT * FROM [fnGetShopifyQLData]"/>
  </connection>
  <connection id="19" xr16:uid="{80DAE4EC-A76B-4C72-A8A5-43E92E733060}" keepAlive="1" name="Query - fnGoogleAdsOperationByPeriod" description="Connection to the 'fnGoogleAdsOperationByPeriod' query in the workbook." type="5" refreshedVersion="0" background="1">
    <dbPr connection="Provider=Microsoft.Mashup.OleDb.1;Data Source=$Workbook$;Location=fnGoogleAdsOperationByPeriod;Extended Properties=&quot;&quot;" command="SELECT * FROM [fnGoogleAdsOperationByPeriod]"/>
  </connection>
  <connection id="20" xr16:uid="{77B28621-C3D6-4857-8FD8-7AA7837BF094}" keepAlive="1" name="Query - fnMetaAdsOperationByPeriod" description="Connection to the 'fnMetaAdsOperationByPeriod' query in the workbook." type="5" refreshedVersion="0" background="1">
    <dbPr connection="Provider=Microsoft.Mashup.OleDb.1;Data Source=$Workbook$;Location=fnMetaAdsOperationByPeriod;Extended Properties=&quot;&quot;" command="SELECT * FROM [fnMetaAdsOperationByPeriod]"/>
  </connection>
  <connection id="21" xr16:uid="{AFF50B28-014C-4AFF-82B2-F8EE21CC5223}" keepAlive="1" name="Query - fnSalesBySourceByPeriod" description="Connection to the 'fnSalesBySourceByPeriod' query in the workbook." type="5" refreshedVersion="0" background="1">
    <dbPr connection="Provider=Microsoft.Mashup.OleDb.1;Data Source=$Workbook$;Location=fnSalesBySourceByPeriod;Extended Properties=&quot;&quot;" command="SELECT * FROM [fnSalesBySourceByPeriod]"/>
  </connection>
  <connection id="22" xr16:uid="{C548C48F-9DF4-4951-BF00-2717E49DC953}" keepAlive="1" name="Query - fnSalesByUTMByPeriod" description="Connection to the 'fnSalesByUTMByPeriod' query in the workbook." type="5" refreshedVersion="0" background="1">
    <dbPr connection="Provider=Microsoft.Mashup.OleDb.1;Data Source=$Workbook$;Location=fnSalesByUTMByPeriod;Extended Properties=&quot;&quot;" command="SELECT * FROM [fnSalesByUTMByPeriod]"/>
  </connection>
  <connection id="23" xr16:uid="{836E0CC3-23FB-43F1-8E7F-4F2B5757248E}" keepAlive="1" name="Query - fnSalesNewReturningByPeriod" description="Connection to the 'fnSalesNewReturningByPeriod' query in the workbook." type="5" refreshedVersion="0" background="1">
    <dbPr connection="Provider=Microsoft.Mashup.OleDb.1;Data Source=$Workbook$;Location=fnSalesNewReturningByPeriod;Extended Properties=&quot;&quot;" command="SELECT * FROM [fnSalesNewReturningByPeriod]"/>
  </connection>
  <connection id="24" xr16:uid="{86E9ADD9-7C95-4702-8432-95DC3CFF3A8A}" keepAlive="1" name="Query - fnSalesQSortBySourceProduct" description="Connection to the 'fnSalesQSortBySourceProduct' query in the workbook." type="5" refreshedVersion="0" background="1">
    <dbPr connection="Provider=Microsoft.Mashup.OleDb.1;Data Source=$Workbook$;Location=fnSalesQSortBySourceProduct;Extended Properties=&quot;&quot;" command="SELECT * FROM [fnSalesQSortBySourceProduct]"/>
  </connection>
  <connection id="25" xr16:uid="{11C9CE9C-CFF5-4E1B-853F-50B5C310DF6A}" keepAlive="1" name="Query - fnTest" description="Connection to the 'fnTest' query in the workbook." type="5" refreshedVersion="0" background="1">
    <dbPr connection="Provider=Microsoft.Mashup.OleDb.1;Data Source=$Workbook$;Location=fnTest;Extended Properties=&quot;&quot;" command="SELECT * FROM [fnTest]"/>
  </connection>
  <connection id="26" xr16:uid="{65F3D894-1AC1-424B-BB29-0B0EC904569B}" keepAlive="1" name="Query - GoogleAdsOperationDaily" description="Connection to the 'GoogleAdsOperationDaily' query in the workbook." type="5" refreshedVersion="8" background="1" saveData="1">
    <dbPr connection="Provider=Microsoft.Mashup.OleDb.1;Data Source=$Workbook$;Location=GoogleAdsOperationDaily;Extended Properties=&quot;&quot;" command="SELECT * FROM [GoogleAdsOperationDaily]"/>
  </connection>
  <connection id="27" xr16:uid="{0EED8A93-F258-4D10-876D-9989EFD93A12}" keepAlive="1" name="Query - GoogleAdsOperationMonthly" description="Connection to the 'GoogleAdsOperationMonthly' query in the workbook." type="5" refreshedVersion="0" background="1">
    <dbPr connection="Provider=Microsoft.Mashup.OleDb.1;Data Source=$Workbook$;Location=GoogleAdsOperationMonthly;Extended Properties=&quot;&quot;" command="SELECT * FROM [GoogleAdsOperationMonthly]"/>
  </connection>
  <connection id="28" xr16:uid="{9BDAE93F-F8A8-4EE8-8656-26C5FEB82047}" keepAlive="1" name="Query - LibPQ" description="Connection to the 'LibPQ' query in the workbook." type="5" refreshedVersion="0" background="1">
    <dbPr connection="Provider=Microsoft.Mashup.OleDb.1;Data Source=$Workbook$;Location=LibPQ;Extended Properties=&quot;&quot;" command="SELECT * FROM [LibPQ]"/>
  </connection>
  <connection id="29" xr16:uid="{E841CFD2-1F7C-4067-B287-0EA9F1654FC1}" keepAlive="1" name="Query - LibPQPath" description="Connection to the 'LibPQPath' query in the workbook." type="5" refreshedVersion="0" background="1">
    <dbPr connection="Provider=Microsoft.Mashup.OleDb.1;Data Source=$Workbook$;Location=LibPQPath;Extended Properties=&quot;&quot;" command="SELECT * FROM [LibPQPath]"/>
  </connection>
  <connection id="30" xr16:uid="{CFCB1CA2-5E02-462E-AE65-25B6177766F8}" keepAlive="1" name="Query - MetaAdsOperationDaily" description="Connection to the 'MetaAdsOperationDaily' query in the workbook." type="5" refreshedVersion="0" background="1">
    <dbPr connection="Provider=Microsoft.Mashup.OleDb.1;Data Source=$Workbook$;Location=MetaAdsOperationDaily;Extended Properties=&quot;&quot;" command="SELECT * FROM [MetaAdsOperationDaily]"/>
  </connection>
  <connection id="31" xr16:uid="{507250FE-501D-4B43-8611-EA6CE1414CDC}" keepAlive="1" name="Query - MetaAdsOperationMonthly" description="Connection to the 'MetaAdsOperationMonthly' query in the workbook." type="5" refreshedVersion="0" background="1">
    <dbPr connection="Provider=Microsoft.Mashup.OleDb.1;Data Source=$Workbook$;Location=MetaAdsOperationMonthly;Extended Properties=&quot;&quot;" command="SELECT * FROM [MetaAdsOperationMonthly]"/>
  </connection>
  <connection id="32" xr16:uid="{AD07E99B-15DE-4F6E-AE35-394DE2C53836}" keepAlive="1" name="Query - ParamAccessToken" description="Connection to the 'ParamAccessToken' query in the workbook." type="5" refreshedVersion="0" background="1">
    <dbPr connection="Provider=Microsoft.Mashup.OleDb.1;Data Source=$Workbook$;Location=ParamAccessToken;Extended Properties=&quot;&quot;" command="SELECT * FROM [ParamAccessToken]"/>
  </connection>
  <connection id="33" xr16:uid="{BB181342-BE54-4C54-AFBF-8F1663F2255A}" keepAlive="1" name="Query - ParamDiaSemanaReporte" description="Connection to the 'ParamDiaSemanaReporte' query in the workbook." type="5" refreshedVersion="0" background="1">
    <dbPr connection="Provider=Microsoft.Mashup.OleDb.1;Data Source=$Workbook$;Location=ParamDiaSemanaReporte;Extended Properties=&quot;&quot;" command="SELECT * FROM [ParamDiaSemanaReporte]"/>
  </connection>
  <connection id="34" xr16:uid="{7FCDD628-4187-4F12-92EC-473A48130C73}" keepAlive="1" name="Query - ParamFechaFinReporte" description="Connection to the 'ParamFechaFinReporte' query in the workbook." type="5" refreshedVersion="0" background="1">
    <dbPr connection="Provider=Microsoft.Mashup.OleDb.1;Data Source=$Workbook$;Location=ParamFechaFinReporte;Extended Properties=&quot;&quot;" command="SELECT * FROM [ParamFechaFinReporte]"/>
  </connection>
  <connection id="35" xr16:uid="{979CD29F-21A9-4DB4-890B-7C1DC4CD9F93}" keepAlive="1" name="Query - ParamFechaInicioReporte" description="Connection to the 'ParamFechaInicioReporte' query in the workbook." type="5" refreshedVersion="0" background="1">
    <dbPr connection="Provider=Microsoft.Mashup.OleDb.1;Data Source=$Workbook$;Location=ParamFechaInicioReporte;Extended Properties=&quot;&quot;" command="SELECT * FROM [ParamFechaInicioReporte]"/>
  </connection>
  <connection id="36" xr16:uid="{2375C11F-D15B-446E-8E44-00BEE3C9B87A}" keepAlive="1" name="Query - ParamGoogleReportSource" description="Connection to the 'ParamGoogleReportSource' query in the workbook." type="5" refreshedVersion="0" background="1">
    <dbPr connection="Provider=Microsoft.Mashup.OleDb.1;Data Source=$Workbook$;Location=ParamGoogleReportSource;Extended Properties=&quot;&quot;" command="SELECT * FROM [ParamGoogleReportSource]"/>
  </connection>
  <connection id="37" xr16:uid="{BE9351E0-7B5C-4A04-BA21-9E698852F89C}" keepAlive="1" name="Query - ParamMetaAccountID" description="Connection to the 'ParamMetaAccountID' query in the workbook." type="5" refreshedVersion="0" background="1">
    <dbPr connection="Provider=Microsoft.Mashup.OleDb.1;Data Source=$Workbook$;Location=ParamMetaAccountID;Extended Properties=&quot;&quot;" command="SELECT * FROM [ParamMetaAccountID]"/>
  </connection>
  <connection id="38" xr16:uid="{48E723C1-2866-40A5-9D56-270DB8C53590}" keepAlive="1" name="Query - ParamMetaSystemToken" description="Connection to the 'ParamMetaSystemToken' query in the workbook." type="5" refreshedVersion="0" background="1">
    <dbPr connection="Provider=Microsoft.Mashup.OleDb.1;Data Source=$Workbook$;Location=ParamMetaSystemToken;Extended Properties=&quot;&quot;" command="SELECT * FROM [ParamMetaSystemToken]"/>
  </connection>
  <connection id="39" xr16:uid="{A497A5B4-87D0-485A-8AB8-332C55E485A9}" keepAlive="1" name="Query - ParamShopName" description="Connection to the 'ParamShopName' query in the workbook." type="5" refreshedVersion="0" background="1">
    <dbPr connection="Provider=Microsoft.Mashup.OleDb.1;Data Source=$Workbook$;Location=ParamShopName;Extended Properties=&quot;&quot;" command="SELECT * FROM [ParamShopName]"/>
  </connection>
  <connection id="40" xr16:uid="{83AA9983-67D8-4A5F-990A-7E3F5D36692C}" keepAlive="1" name="Query - SalesBreakdownDaily" description="Connection to the 'SalesBreakdownDaily' query in the workbook." type="5" refreshedVersion="8" background="1" saveData="1">
    <dbPr connection="Provider=Microsoft.Mashup.OleDb.1;Data Source=$Workbook$;Location=SalesBreakdownDaily;Extended Properties=&quot;&quot;" command="SELECT * FROM [SalesBreakdownDaily]"/>
  </connection>
  <connection id="41" xr16:uid="{664E8170-AF4A-4317-AF63-3010635944C0}" keepAlive="1" name="Query - SalesBreakdownMonthly" description="Connection to the 'SalesBreakdownMonthly' query in the workbook." type="5" refreshedVersion="8" background="1" saveData="1">
    <dbPr connection="Provider=Microsoft.Mashup.OleDb.1;Data Source=$Workbook$;Location=SalesBreakdownMonthly;Extended Properties=&quot;&quot;" command="SELECT * FROM [SalesBreakdownMonthly]"/>
  </connection>
  <connection id="42" xr16:uid="{0F378C92-DC03-4C7F-A14D-A4675FC035CC}" keepAlive="1" name="Query - SalesBreakdownWeekly" description="Connection to the 'SalesBreakdownWeekly' query in the workbook." type="5" refreshedVersion="0" background="1">
    <dbPr connection="Provider=Microsoft.Mashup.OleDb.1;Data Source=$Workbook$;Location=SalesBreakdownWeekly;Extended Properties=&quot;&quot;" command="SELECT * FROM [SalesBreakdownWeekly]"/>
  </connection>
  <connection id="43" xr16:uid="{B5D73057-35AA-4FB9-96A7-280F4226802F}" keepAlive="1" name="Query - SalesBreakdownWeekly(1)" description="Connection to the 'SalesBreakdownWeekly' query in the workbook." type="5" refreshedVersion="0" background="1">
    <dbPr connection="Provider=Microsoft.Mashup.OleDb.1;Data Source=$Workbook$;Location=SalesBreakdownWeekly;Extended Properties=&quot;&quot;" command="SELECT * FROM [SalesBreakdownWeekly]"/>
  </connection>
  <connection id="44" xr16:uid="{45B96062-4804-4A35-9549-5E76087A43B1}" keepAlive="1" name="Query - SalesBySourceDaily" description="Connection to the 'SalesBySourceDaily' query in the workbook." type="5" refreshedVersion="8" background="1" saveData="1">
    <dbPr connection="Provider=Microsoft.Mashup.OleDb.1;Data Source=$Workbook$;Location=SalesBySourceDaily;Extended Properties=&quot;&quot;" command="SELECT * FROM [SalesBySourceDaily]"/>
  </connection>
  <connection id="45" xr16:uid="{A91E8727-2787-4E94-A0A0-309ED21CF642}" keepAlive="1" name="Query - SalesBySourceMonthly" description="Connection to the 'SalesBySourceMonthly' query in the workbook." type="5" refreshedVersion="0" background="1">
    <dbPr connection="Provider=Microsoft.Mashup.OleDb.1;Data Source=$Workbook$;Location=SalesBySourceMonthly;Extended Properties=&quot;&quot;" command="SELECT * FROM [SalesBySourceMonthly]"/>
  </connection>
  <connection id="46" xr16:uid="{11A787D1-A2F7-4F79-8B98-516428E5EDB2}" keepAlive="1" name="Query - SalesBySourceToCols1" description="Connection to the 'SalesBySourceToCols' query in the workbook." type="5" refreshedVersion="0" background="1">
    <dbPr connection="Provider=Microsoft.Mashup.OleDb.1;Data Source=$Workbook$;Location=SalesBySourceToCols;Extended Properties=&quot;&quot;" command="SELECT * FROM [SalesBySourceToCols]"/>
  </connection>
  <connection id="47" xr16:uid="{AAB04D95-CA70-49F7-9A44-32D521923B67}" keepAlive="1" name="Query - SalesBySourceToColsDaily" description="Connection to the 'SalesBySourceToColsDaily' query in the workbook." type="5" refreshedVersion="0" background="1">
    <dbPr connection="Provider=Microsoft.Mashup.OleDb.1;Data Source=$Workbook$;Location=SalesBySourceToColsDaily;Extended Properties=&quot;&quot;" command="SELECT * FROM [SalesBySourceToColsDaily]"/>
  </connection>
  <connection id="48" xr16:uid="{56ECE9C7-E0E4-4B28-BED5-95CD12766481}" keepAlive="1" name="Query - SalesBySourceToColsMonthly" description="Connection to the 'SalesBySourceToColsMonthly' query in the workbook." type="5" refreshedVersion="0" background="1">
    <dbPr connection="Provider=Microsoft.Mashup.OleDb.1;Data Source=$Workbook$;Location=SalesBySourceToColsMonthly;Extended Properties=&quot;&quot;" command="SELECT * FROM [SalesBySourceToColsMonthly]"/>
  </connection>
  <connection id="49" xr16:uid="{779D3A46-9398-4039-95F5-5061EF99A5B7}" keepAlive="1" name="Query - SalesBySourceToColsWeekly" description="Connection to the 'SalesBySourceToColsWeekly' query in the workbook." type="5" refreshedVersion="0" background="1">
    <dbPr connection="Provider=Microsoft.Mashup.OleDb.1;Data Source=$Workbook$;Location=SalesBySourceToColsWeekly;Extended Properties=&quot;&quot;" command="SELECT * FROM [SalesBySourceToColsWeekly]"/>
  </connection>
  <connection id="50" xr16:uid="{21417FEF-5C05-49AA-9D22-9F0652D8D8D6}" keepAlive="1" name="Query - SalesBySourceToColsWeekly(1)" description="Connection to the 'SalesBySourceToColsWeekly' query in the workbook." type="5" refreshedVersion="0" background="1">
    <dbPr connection="Provider=Microsoft.Mashup.OleDb.1;Data Source=$Workbook$;Location=SalesBySourceToColsWeekly;Extended Properties=&quot;&quot;" command="SELECT * FROM [SalesBySourceToColsWeekly]"/>
  </connection>
  <connection id="51" xr16:uid="{37AA6DE9-2A78-417A-BA62-A5319E42756F}" keepAlive="1" name="Query - SalesBySourceWeekly" description="Connection to the 'SalesBySourceWeekly' query in the workbook." type="5" refreshedVersion="0" background="1">
    <dbPr connection="Provider=Microsoft.Mashup.OleDb.1;Data Source=$Workbook$;Location=SalesBySourceWeekly;Extended Properties=&quot;&quot;" command="SELECT * FROM [SalesBySourceWeekly]"/>
  </connection>
  <connection id="52" xr16:uid="{39BEE15D-DCD5-4EEB-8AA1-F0E0AEC2552A}" keepAlive="1" name="Query - SalesBySourceWeekly(1)" description="Connection to the 'SalesBySourceWeekly' query in the workbook." type="5" refreshedVersion="0" background="1">
    <dbPr connection="Provider=Microsoft.Mashup.OleDb.1;Data Source=$Workbook$;Location=SalesBySourceWeekly;Extended Properties=&quot;&quot;" command="SELECT * FROM [SalesBySourceWeekly]"/>
  </connection>
  <connection id="53" xr16:uid="{9FE1AEB3-D8AC-4A35-AFD8-634CBBBB0C98}" keepAlive="1" name="Query - SalesByUTMDaily" description="Connection to the 'SalesByUTMDaily' query in the workbook." type="5" refreshedVersion="8" background="1" saveData="1">
    <dbPr connection="Provider=Microsoft.Mashup.OleDb.1;Data Source=$Workbook$;Location=SalesByUTMDaily;Extended Properties=&quot;&quot;" command="SELECT * FROM [SalesByUTMDaily]"/>
  </connection>
  <connection id="54" xr16:uid="{4D71FF8A-CDDF-4CBD-910E-AB1272065FC4}" keepAlive="1" name="Query - SalesByUTMMonthly" description="Connection to the 'SalesByUTMMonthly' query in the workbook." type="5" refreshedVersion="0" background="1">
    <dbPr connection="Provider=Microsoft.Mashup.OleDb.1;Data Source=$Workbook$;Location=SalesByUTMMonthly;Extended Properties=&quot;&quot;" command="SELECT * FROM [SalesByUTMMonthly]"/>
  </connection>
  <connection id="55" xr16:uid="{997642FB-B59E-4E5A-813A-D37C36067AB5}" keepAlive="1" name="Query - SalesNewReturningDaily" description="Connection to the 'SalesNewReturningDaily' query in the workbook." type="5" refreshedVersion="0" background="1" saveData="1">
    <dbPr connection="Provider=Microsoft.Mashup.OleDb.1;Data Source=$Workbook$;Location=SalesNewReturningDaily;Extended Properties=&quot;&quot;" command="SELECT * FROM [SalesNewReturningDaily]"/>
  </connection>
  <connection id="56" xr16:uid="{FC1232DA-59C8-4228-8C7D-3B0A5D2D6140}" keepAlive="1" name="Query - SalesNewReturningMonthly" description="Connection to the 'SalesNewReturningMonthly' query in the workbook." type="5" refreshedVersion="0" background="1">
    <dbPr connection="Provider=Microsoft.Mashup.OleDb.1;Data Source=$Workbook$;Location=SalesNewReturningMonthly;Extended Properties=&quot;&quot;" command="SELECT * FROM [SalesNewReturningMonthly]"/>
  </connection>
  <connection id="57" xr16:uid="{F2A33E7F-CE16-4B57-942B-32688E717301}" keepAlive="1" name="Query - SalesNewReturningWeekly" description="Connection to the 'SalesNewReturningWeekly' query in the workbook." type="5" refreshedVersion="0" background="1">
    <dbPr connection="Provider=Microsoft.Mashup.OleDb.1;Data Source=$Workbook$;Location=SalesNewReturningWeekly;Extended Properties=&quot;&quot;" command="SELECT * FROM [SalesNewReturningWeekly]"/>
  </connection>
  <connection id="58" xr16:uid="{157C7604-6EAB-4AE5-B529-217AFF997BD8}" keepAlive="1" name="Query - SalesNewReturningWeekly(1)" description="Connection to the 'SalesNewReturningWeekly' query in the workbook." type="5" refreshedVersion="0" background="1">
    <dbPr connection="Provider=Microsoft.Mashup.OleDb.1;Data Source=$Workbook$;Location=SalesNewReturningWeekly;Extended Properties=&quot;&quot;" command="SELECT * FROM [SalesNewReturningWeekly]"/>
  </connection>
  <connection id="59" xr16:uid="{173C4B5D-975C-476B-BAD3-B3C79AC7745F}" keepAlive="1" name="Query - SalesQSortBySourceProductDaily" description="Connection to the 'SalesQSortBySourceProductDaily' query in the workbook." type="5" refreshedVersion="8" background="1" saveData="1">
    <dbPr connection="Provider=Microsoft.Mashup.OleDb.1;Data Source=$Workbook$;Location=SalesQSortBySourceProductDaily;Extended Properties=&quot;&quot;" command="SELECT * FROM [SalesQSortBySourceProductDaily]"/>
  </connection>
  <connection id="60" xr16:uid="{1F277607-B681-421A-B8BE-741D4BC0B9C1}" keepAlive="1" name="Query - SalesQSortBySourceProductMonthly" description="Connection to the 'SalesQSortBySourceProductMonthly' query in the workbook." type="5" refreshedVersion="0" background="1">
    <dbPr connection="Provider=Microsoft.Mashup.OleDb.1;Data Source=$Workbook$;Location=SalesQSortBySourceProductMonthly;Extended Properties=&quot;&quot;" command="SELECT * FROM [SalesQSortBySourceProductMonthly]"/>
  </connection>
  <connection id="61" xr16:uid="{570F8F12-274C-4692-992D-6C3EA769BC5D}" keepAlive="1" name="Query - SalesQSortBySourceProductWeekly" description="Connection to the 'SalesQSortBySourceProductWeekly' query in the workbook." type="5" refreshedVersion="0" background="1" saveData="1">
    <dbPr connection="Provider=Microsoft.Mashup.OleDb.1;Data Source=$Workbook$;Location=SalesQSortBySourceProductWeekly;Extended Properties=&quot;&quot;" command="SELECT * FROM [SalesQSortBySourceProductWeekly]"/>
  </connection>
  <connection id="62" xr16:uid="{DF32A38E-B6FA-4B31-987C-DE82730199F2}" keepAlive="1" name="Query - SalesQSortBySourceProductWeekly(1)" description="Connection to the 'SalesQSortBySourceProductWeekly' query in the workbook." type="5" refreshedVersion="0" background="1" saveData="1">
    <dbPr connection="Provider=Microsoft.Mashup.OleDb.1;Data Source=$Workbook$;Location=SalesQSortBySourceProductWeekly;Extended Properties=&quot;&quot;" command="SELECT * FROM [SalesQSortBySourceProductWeekly]"/>
  </connection>
  <connection id="63" xr16:uid="{948E24C3-4FCB-47CA-89D1-5B6099FE5A9C}" keepAlive="1" name="Query - SiigoEndpoint" description="Connection to the 'SiigoEndpoint' query in the workbook." type="5" refreshedVersion="0" background="1">
    <dbPr connection="Provider=Microsoft.Mashup.OleDb.1;Data Source=$Workbook$;Location=SiigoEndpoint;Extended Properties=&quot;&quot;" command="SELECT * FROM [SiigoEndpoint]"/>
  </connection>
  <connection id="64" xr16:uid="{E2364119-B718-4623-8AC1-A7A0193A1079}" keepAlive="1" name="Query - SummaryDaily" description="Connection to the 'SummaryDaily' query in the workbook." type="5" refreshedVersion="8" background="1" saveData="1">
    <dbPr connection="Provider=Microsoft.Mashup.OleDb.1;Data Source=$Workbook$;Location=SummaryDaily;Extended Properties=&quot;&quot;" command="SELECT * FROM [SummaryDaily]"/>
  </connection>
  <connection id="65" xr16:uid="{C6A75861-4D86-4F8E-A377-E0FA51DDFE15}" keepAlive="1" name="Query - SummaryMonthly" description="Connection to the 'SummaryMonthly' query in the workbook." type="5" refreshedVersion="8" background="1" saveData="1">
    <dbPr connection="Provider=Microsoft.Mashup.OleDb.1;Data Source=$Workbook$;Location=SummaryMonthly;Extended Properties=&quot;&quot;" command="SELECT * FROM [SummaryMonthly]"/>
  </connection>
  <connection id="66" xr16:uid="{180C366E-2FB5-471E-8853-C57E5A83A177}" keepAlive="1" name="Query - SummaryMonthlyData" description="Connection to the 'SummaryMonthlyData' query in the workbook." type="5" refreshedVersion="8" background="1" saveData="1">
    <dbPr connection="Provider=Microsoft.Mashup.OleDb.1;Data Source=$Workbook$;Location=SummaryMonthlyData;Extended Properties=&quot;&quot;" command="SELECT * FROM [SummaryMonthlyData]"/>
  </connection>
  <connection id="67" xr16:uid="{FF81E32B-C961-4516-945B-D9C240728025}" keepAlive="1" name="Query - TablaSIIGOParam" description="Connection to the 'TablaSIIGOParam' query in the workbook." type="5" refreshedVersion="0" background="1">
    <dbPr connection="Provider=Microsoft.Mashup.OleDb.1;Data Source=$Workbook$;Location=TablaSIIGOParam;Extended Properties=&quot;&quot;" command="SELECT * FROM [TablaSIIGOParam]"/>
  </connection>
  <connection id="68" xr16:uid="{B7B466E9-476E-4489-B67C-DE7AD3DF5101}" keepAlive="1" name="Query - TablePUC" description="Connection to the 'TablePUC' query in the workbook." type="5" refreshedVersion="0" background="1">
    <dbPr connection="Provider=Microsoft.Mashup.OleDb.1;Data Source=$Workbook$;Location=TablePUC;Extended Properties=&quot;&quot;" command="SELECT * FROM [TablePUC]"/>
  </connection>
  <connection id="69" xr16:uid="{DE27ECC7-E49F-4F04-9E3B-A8FFDBAD3084}" keepAlive="1" name="Query - Test" description="Connection to the 'Test' query in the workbook." type="5" refreshedVersion="8" background="1" saveData="1">
    <dbPr connection="Provider=Microsoft.Mashup.OleDb.1;Data Source=$Workbook$;Location=Test;Extended Properties=&quot;&quot;" command="SELECT * FROM [Test]"/>
  </connection>
  <connection id="70" xr16:uid="{33281B61-0A0C-4384-9FF5-1CBEC5E79496}" keepAlive="1" name="Query - TrialBalanceApi" description="Connection to the 'TrialBalanceApi' query in the workbook." type="5" refreshedVersion="0" background="1" saveData="1">
    <dbPr connection="Provider=Microsoft.Mashup.OleDb.1;Data Source=$Workbook$;Location=TrialBalanceApi;Extended Properties=&quot;&quot;" command="SELECT * FROM [TrialBalanceApi]"/>
  </connection>
  <connection id="71" xr16:uid="{8658468A-9D2F-441A-B18C-9D4A9B561B0A}" keepAlive="1" name="Query - TrialBalanceApi1" description="Connection to the 'TrialBalanceApi' query in the workbook." type="5" refreshedVersion="0" background="1">
    <dbPr connection="Provider=Microsoft.Mashup.OleDb.1;Data Source=$Workbook$;Location=TrialBalanceApi;Extended Properties=&quot;&quot;" command="SELECT * FROM [TrialBalanceAp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<sst xmlns="http://schemas.openxmlformats.org/spreadsheetml/2006/main" count="18814" uniqueCount="2081">
  <si>
    <t>Dia</t>
  </si>
  <si>
    <t>Fecha</t>
  </si>
  <si>
    <t>Ventas totales</t>
  </si>
  <si>
    <t>Ventas</t>
  </si>
  <si>
    <t>Órdenes</t>
  </si>
  <si>
    <t>Primer cliente</t>
  </si>
  <si>
    <t>Google ads</t>
  </si>
  <si>
    <t>Meta ads</t>
  </si>
  <si>
    <t>Inversión</t>
  </si>
  <si>
    <t>ROAS</t>
  </si>
  <si>
    <t>Todos</t>
  </si>
  <si>
    <t>Primer</t>
  </si>
  <si>
    <t>Primer RA</t>
  </si>
  <si>
    <t>Nuevas suscripciones a lista</t>
  </si>
  <si>
    <t>Costos de publicidad totales</t>
  </si>
  <si>
    <t>Costos variables totales</t>
  </si>
  <si>
    <t>Costos fijos</t>
  </si>
  <si>
    <t>Contribución</t>
  </si>
  <si>
    <t>CAC</t>
  </si>
  <si>
    <t>Órdenes totales</t>
  </si>
  <si>
    <t>Ventas primer cliente</t>
  </si>
  <si>
    <t>Órdenes primer cliente</t>
  </si>
  <si>
    <t>Inversión google ads</t>
  </si>
  <si>
    <t>Ventas google ads</t>
  </si>
  <si>
    <t>Inversión meta ads</t>
  </si>
  <si>
    <t>Ventas meta ads</t>
  </si>
  <si>
    <t>Inversión publicidad</t>
  </si>
  <si>
    <t>Ventas publicidad</t>
  </si>
  <si>
    <t>ROAS Todos</t>
  </si>
  <si>
    <t>NROAS Primer cliente</t>
  </si>
  <si>
    <t>Primer cliente NROAS RA</t>
  </si>
  <si>
    <t>Fecha inicial reportes</t>
  </si>
  <si>
    <t>Control diario</t>
  </si>
  <si>
    <t>Datos</t>
  </si>
  <si>
    <t>Ventas netas</t>
  </si>
  <si>
    <t>Ventas netas totales</t>
  </si>
  <si>
    <t>shopName</t>
  </si>
  <si>
    <t>escribana</t>
  </si>
  <si>
    <t>accessToken</t>
  </si>
  <si>
    <t>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</t>
  </si>
  <si>
    <t>Api version</t>
  </si>
  <si>
    <t>2026-04</t>
  </si>
  <si>
    <t>day</t>
  </si>
  <si>
    <t>gross_sales</t>
  </si>
  <si>
    <t>discounts</t>
  </si>
  <si>
    <t>net_sales</t>
  </si>
  <si>
    <t>net_sales_with_cost_recorded</t>
  </si>
  <si>
    <t>net_sales_without_cost_recorded</t>
  </si>
  <si>
    <t>taxes</t>
  </si>
  <si>
    <t>Parámetros</t>
  </si>
  <si>
    <t>Fecha final reportes</t>
  </si>
  <si>
    <t>sales_reversals</t>
  </si>
  <si>
    <t>shipping_charges</t>
  </si>
  <si>
    <t>return_fees</t>
  </si>
  <si>
    <t>total_sales</t>
  </si>
  <si>
    <t>cost_of_goods_sold</t>
  </si>
  <si>
    <t>gross_profit</t>
  </si>
  <si>
    <t>gift_card_gross_sales</t>
  </si>
  <si>
    <t>net_items_sold</t>
  </si>
  <si>
    <t>gift_card_discounts</t>
  </si>
  <si>
    <t>gift_card_net_sales</t>
  </si>
  <si>
    <t>orders</t>
  </si>
  <si>
    <t>quantity_ordered_per_order</t>
  </si>
  <si>
    <t>average_order_value</t>
  </si>
  <si>
    <t>quantity_returned</t>
  </si>
  <si>
    <t>returning_customers</t>
  </si>
  <si>
    <t>returning_orders</t>
  </si>
  <si>
    <t>new_customers</t>
  </si>
  <si>
    <t>new_orders</t>
  </si>
  <si>
    <t>unknown_customers</t>
  </si>
  <si>
    <t>unknown_orders</t>
  </si>
  <si>
    <t>GoogleAdsOperation.Cost</t>
  </si>
  <si>
    <t>GoogleAdsOperation.Avg. Cpc</t>
  </si>
  <si>
    <t>GoogleAdsOperation.Ctr</t>
  </si>
  <si>
    <t>GoogleAdsOperation.Search Impr. share</t>
  </si>
  <si>
    <t>GoogleAdsOperation.Impressions</t>
  </si>
  <si>
    <t>GoogleAdsOperation.Clicks</t>
  </si>
  <si>
    <t>order_utm_campaign</t>
  </si>
  <si>
    <t>order_referrer_source</t>
  </si>
  <si>
    <t>google</t>
  </si>
  <si>
    <t>facebook</t>
  </si>
  <si>
    <t>sin identificar</t>
  </si>
  <si>
    <t>Total_Sales_Combined</t>
  </si>
  <si>
    <t>120230491150450497</t>
  </si>
  <si>
    <t>social</t>
  </si>
  <si>
    <t>febreroutm_source=google</t>
  </si>
  <si>
    <t>search</t>
  </si>
  <si>
    <t>sag_organic</t>
  </si>
  <si>
    <t>MetaAdsOperation.spend</t>
  </si>
  <si>
    <t>MetaAdsOperation.clicks</t>
  </si>
  <si>
    <t>MetaAdsOperation.impressions</t>
  </si>
  <si>
    <t>Semana</t>
  </si>
  <si>
    <t>Desde</t>
  </si>
  <si>
    <t>Hasta</t>
  </si>
  <si>
    <t>Mes</t>
  </si>
  <si>
    <t>Ventas netas con costo registrado</t>
  </si>
  <si>
    <t>Ventas netas costo reg</t>
  </si>
  <si>
    <t>Costo de ventas registrado</t>
  </si>
  <si>
    <t>Utilidad bruta</t>
  </si>
  <si>
    <t>Margen bruto</t>
  </si>
  <si>
    <t>Meta system token</t>
  </si>
  <si>
    <t>EAAUbaZBYvKpEBRG7k6pbooARWvW5JCa7l07FLqF6uuUoi1iUkLZBsBoUM5nO4yJmdZCpIGzPrqACJtWdWeKTDMhcnTmc1rKvgltbXYXegW3bB6lc8XHC7c5xQBZAiu8wLKPNlWm4IBZCW6R0qMpwnaGBeoQrxZByqTfxZAyzp04lfsYC3i4hfBZAcdS7QVszfQZDZD</t>
  </si>
  <si>
    <t>Meta account id</t>
  </si>
  <si>
    <t>act_496827628570650</t>
  </si>
  <si>
    <t>Google ads report source</t>
  </si>
  <si>
    <t>https://docs.google.com/spreadsheets/d/e/2PACX-1vSQrggw-k8uKnNPJUY9f8s4H-xsLgbuO9CVzMBBfV5taSvbSAFpZ15q3hgX4iKLvY-0tekM1b0XTZyp/pub?output=csv</t>
  </si>
  <si>
    <t>Esto se alimenta de un script en google ads: https://ads.google.com/aw/bulk/scripts/edit?ocid=6472400842&amp;scriptId=11159474</t>
  </si>
  <si>
    <t>Fecha en que la cia empezó a operar →</t>
  </si>
  <si>
    <t>Corporativo no tienda</t>
  </si>
  <si>
    <t>Tienda 81</t>
  </si>
  <si>
    <t>Rappi</t>
  </si>
  <si>
    <t>Online Store_net_sales</t>
  </si>
  <si>
    <t>Online Store_orders</t>
  </si>
  <si>
    <t>Tienda 81_net_sales</t>
  </si>
  <si>
    <t>Tienda 81_orders</t>
  </si>
  <si>
    <t>Rappi_net_sales</t>
  </si>
  <si>
    <t>Rappi_orders</t>
  </si>
  <si>
    <t>Corporativo no tienda_net_sales</t>
  </si>
  <si>
    <t>Corporativo no tienda_orders</t>
  </si>
  <si>
    <t>Tienda online</t>
  </si>
  <si>
    <t>Control mensual</t>
  </si>
  <si>
    <t>Control semanal</t>
  </si>
  <si>
    <t>Advertising Cost Ratio Last Month</t>
  </si>
  <si>
    <t>Variable Cost Ratio Last Month</t>
  </si>
  <si>
    <t>Fixed Cost Ratio Last Month</t>
  </si>
  <si>
    <t>Profit Ratio Last Month</t>
  </si>
  <si>
    <t>Advertising Cost Ratio Last 3 Months</t>
  </si>
  <si>
    <t>Variable Cost Ratio Last 3 Months</t>
  </si>
  <si>
    <t>Fixed Cost Ratio Last 3 Months</t>
  </si>
  <si>
    <t>Profit Ratio Last 3 Months</t>
  </si>
  <si>
    <t>Advertising Cost Ratio Av. 12 Month</t>
  </si>
  <si>
    <t>Variable Cost Ratio Av. 12 Month</t>
  </si>
  <si>
    <t>Fixed Cost Ratio Av. 12 Month</t>
  </si>
  <si>
    <t>Profit Ratio Av. 12 Month</t>
  </si>
  <si>
    <t>Last Month</t>
  </si>
  <si>
    <t>Last 3 Months</t>
  </si>
  <si>
    <t>Avg. 12 Month</t>
  </si>
  <si>
    <t>source</t>
  </si>
  <si>
    <t>product_title</t>
  </si>
  <si>
    <t>quantity_ordered</t>
  </si>
  <si>
    <t>Online store</t>
  </si>
  <si>
    <t>Caja Grande Flex Marco</t>
  </si>
  <si>
    <t>PC</t>
  </si>
  <si>
    <t>Vela de pausa</t>
  </si>
  <si>
    <t>Tarjetón en caja-BEE (Listas para llevar)</t>
  </si>
  <si>
    <t>Cuaderno Santuario Listo para llevar</t>
  </si>
  <si>
    <t>Caja de Fosforos Mush</t>
  </si>
  <si>
    <t>Cuaderno Mush Listo para llevar</t>
  </si>
  <si>
    <t>Cartuchera de Lona con Diseño Selva Jaguar</t>
  </si>
  <si>
    <t>Tarjetón en caja-Amazonas (Listas para llevar)</t>
  </si>
  <si>
    <t>Pack tarjetón doble + sencillo Aviario (listos para llevar)</t>
  </si>
  <si>
    <t>Cartuchera de Lona con Diseño Mush</t>
  </si>
  <si>
    <t>Cuaderno Aviario Personalizado</t>
  </si>
  <si>
    <t>Cuaderno Gatos Personalizado</t>
  </si>
  <si>
    <t>Servilletas papel / toallas papel x 12</t>
  </si>
  <si>
    <t>Marco 40x50 para laminas</t>
  </si>
  <si>
    <t>Notas dobles con sobre AVIARIO (listos para llevar)</t>
  </si>
  <si>
    <t>Sello Seco A</t>
  </si>
  <si>
    <t>Notas dobles con sobre PROTEA (Listos para llevar)</t>
  </si>
  <si>
    <t>Sobres efectivo Toscana: Lluvia de sobres (Listos para llevar)</t>
  </si>
  <si>
    <t>Tarjeta Personal Fiesta - Leopardo</t>
  </si>
  <si>
    <t>TARJETA PERSONAL MUNDO KOALA</t>
  </si>
  <si>
    <t>Cuaderno Aviario Listo para llevar</t>
  </si>
  <si>
    <t>Tarjeta Personal Fiesta - Mono</t>
  </si>
  <si>
    <t>Sobres efectivo Iris: Lluvia de sobres (Listos para llevar)</t>
  </si>
  <si>
    <t>Cuaderno Protea Personalizado</t>
  </si>
  <si>
    <t>Cartuchera de Lona con Diseño Aviario</t>
  </si>
  <si>
    <t>Cuaderno Amazonas Personalizado</t>
  </si>
  <si>
    <t>Tarjetón en caja-Granada (listos para llevar)</t>
  </si>
  <si>
    <t>CROCHET</t>
  </si>
  <si>
    <t>Notas dobles con sobre- Amazonas (Listo para llevar)</t>
  </si>
  <si>
    <t>Caja de Fosforos PROTEA</t>
  </si>
  <si>
    <t>Pack tarjetón doble + sencillo AMAZONAS (listos para llevar)</t>
  </si>
  <si>
    <t>Tarjeta Personal conejo Bosque</t>
  </si>
  <si>
    <t>Tarjeta Personal Elefante</t>
  </si>
  <si>
    <t>Puestos de mesa- Cacatua Pembe (Listo para llevar)</t>
  </si>
  <si>
    <t>Tarjeta Personal Aviario Loro con sobre</t>
  </si>
  <si>
    <t>Tarjetón en caja-Cacatua Pembe (Listas para llevar)</t>
  </si>
  <si>
    <t>Tarjeton doble Anemonas (listo para llevar)</t>
  </si>
  <si>
    <t>Tarjeta Personal Clásico</t>
  </si>
  <si>
    <t>Vela Candelabro</t>
  </si>
  <si>
    <t>Lamina XL Jaguar</t>
  </si>
  <si>
    <t>Sello para lacre</t>
  </si>
  <si>
    <t>Cuaderno Nido Personalizado</t>
  </si>
  <si>
    <t>Lamina XL Guacamaya</t>
  </si>
  <si>
    <t>Libros $95.000</t>
  </si>
  <si>
    <t>Tarjeta Personal Verde</t>
  </si>
  <si>
    <t>Tote Bag de Lona con Diseño Aviario</t>
  </si>
  <si>
    <t>CAJA PEQUEÑA JAGUAR Colores</t>
  </si>
  <si>
    <t>Caja Mediana Aviario</t>
  </si>
  <si>
    <t>Tote Bag de Lona con Diseño Protea</t>
  </si>
  <si>
    <t>Tarjetones XL Cacatua (Listas para llevar)</t>
  </si>
  <si>
    <t>Cuaderno Mush Personalizado</t>
  </si>
  <si>
    <t>Tarjetón en caja-Aviario (Listas para llevar)</t>
  </si>
  <si>
    <t>Cartuchera de Lona con Diseño Nido</t>
  </si>
  <si>
    <t>Notas dobles con sobre Clasico</t>
  </si>
  <si>
    <t>Tarjetón en caja-Protea (Listas para llevar)</t>
  </si>
  <si>
    <t>Pack tarjetón sencillo + notas dobles Toscana (listos para llevar)</t>
  </si>
  <si>
    <t>Caja Mediana Jaguar</t>
  </si>
  <si>
    <t>Tarjeta detalles MT x 10 (volumen)</t>
  </si>
  <si>
    <t>Notas dobles con sobre Cacatua Pembe (Listos para llevar)</t>
  </si>
  <si>
    <t>Sobres efectivo Aviario: Lluvia de sobres (Listos para llevar)</t>
  </si>
  <si>
    <t>Puestos de mesa- Amazonas (Listo para llevar)</t>
  </si>
  <si>
    <t>Tarjeta Personal Marco</t>
  </si>
  <si>
    <t>Caja de Fosforos PULPO</t>
  </si>
  <si>
    <t>Cuaderno Toscana Personalizado</t>
  </si>
  <si>
    <t>Block de Notas Toscana</t>
  </si>
  <si>
    <t>Tarjeton doble Flor #4 (listo para llevar)</t>
  </si>
  <si>
    <t>Sobres efectivo Ramitas: Lluvia de sobres</t>
  </si>
  <si>
    <t>Caja Mediana Rosa</t>
  </si>
  <si>
    <t>Tarjetón Doble Aviario (listos para llevar)</t>
  </si>
  <si>
    <t>Tarjeta Personal Bee Flores</t>
  </si>
  <si>
    <t>Tarjeta Personal Bouquet con sobre</t>
  </si>
  <si>
    <t>Sobres efectivo Aviario: Lluvia de sobres</t>
  </si>
  <si>
    <t>LIBROS $115.000</t>
  </si>
  <si>
    <t>Notas dobles con sobre Golden Roses</t>
  </si>
  <si>
    <t>Set de 10 Sellos de Lacre (Con Iniciales)</t>
  </si>
  <si>
    <t>Tarjeta Personal Florario Verde</t>
  </si>
  <si>
    <t>Lamina XL Colibri</t>
  </si>
  <si>
    <t>Sobres efectivo Amazonas: Lluvia de sobres</t>
  </si>
  <si>
    <t>Notas dobles con sobre Rosado</t>
  </si>
  <si>
    <t>Tarjeta Personal Clásico Fonts</t>
  </si>
  <si>
    <t>Block de Notas Jaguar Marsala</t>
  </si>
  <si>
    <t>Notas dobles con sobre- Gatos (Listo para llevar)</t>
  </si>
  <si>
    <t>Tarjetón Doble Toscana</t>
  </si>
  <si>
    <t>Cuaderno Granada Personalizado</t>
  </si>
  <si>
    <t>Notas dobles con sobre Selva</t>
  </si>
  <si>
    <t>Caja dura Grande (especial para regalar)</t>
  </si>
  <si>
    <t>Tarjetón Cacatua Pembe</t>
  </si>
  <si>
    <t>Caja Grande Flex Toscana Florero</t>
  </si>
  <si>
    <t>Caja Mediana Doble Cacatua</t>
  </si>
  <si>
    <t>Tarjeta Personal PLAYA x3</t>
  </si>
  <si>
    <t>Caja de Fosforos Jaguar</t>
  </si>
  <si>
    <t>Tarjeta Personal Florario Pink</t>
  </si>
  <si>
    <t>Tarjeta Personal Floresta Gato</t>
  </si>
  <si>
    <t>Notas dobles con sobre Cacatua Pembe</t>
  </si>
  <si>
    <t>Notas dobles con sobre BEE (listos para llevar)</t>
  </si>
  <si>
    <t>Sobres efectivo Iris: Lluvia de sobres</t>
  </si>
  <si>
    <t>Cartuchera de Lona con Diseño Protea</t>
  </si>
  <si>
    <t>Cartuchera de Lona con Diseño Santuario</t>
  </si>
  <si>
    <t>Caja Mediana Clasico</t>
  </si>
  <si>
    <t>Notas dobles con sobre Colibri</t>
  </si>
  <si>
    <t>Block de Notas Bee</t>
  </si>
  <si>
    <t>Lámina con marco</t>
  </si>
  <si>
    <t>Sobres efectivo Protea: Lluvia de sobres (Listos para llevar)</t>
  </si>
  <si>
    <t>TARJETA PERSONAL CARROS</t>
  </si>
  <si>
    <t>Tarjetones XL Toscana (Listas para llevar)</t>
  </si>
  <si>
    <t>Caja Pequeña Protea</t>
  </si>
  <si>
    <t>Cuaderno selva Personalizado</t>
  </si>
  <si>
    <t>Tarjeta Personal Love colores</t>
  </si>
  <si>
    <t>Sello Seco ORQUIDEA</t>
  </si>
  <si>
    <t>MENU BOUQUET SILVESTRE</t>
  </si>
  <si>
    <t>LÁMINA TOSCANA HOJAS</t>
  </si>
  <si>
    <t>TARJETON XL CLASICO</t>
  </si>
  <si>
    <t>Cuadro mini Jaguar</t>
  </si>
  <si>
    <t>Tarjeta Personal Bee Marco</t>
  </si>
  <si>
    <t>Tarjetón Doble Toscana (listos para llevar)</t>
  </si>
  <si>
    <t>Block de Notas Selva</t>
  </si>
  <si>
    <t>Notas dobles con sobre- Toscana (Listo para llevar)</t>
  </si>
  <si>
    <t>Tarjetón Doble Love colores</t>
  </si>
  <si>
    <t>INVITACIONES ACUARELA AZUL</t>
  </si>
  <si>
    <t>Tarjetones XL amazonas (Listas para llevar)</t>
  </si>
  <si>
    <t>Pack tarjetón sencillo + notas dobles Amazonas (listos para llevar)</t>
  </si>
  <si>
    <t>Cuadro mini Fungi trio</t>
  </si>
  <si>
    <t>Pack tarjetón doble + sencillo Pulpo (listos para llevar)</t>
  </si>
  <si>
    <t>Tarjeta Personal Amazonas con sobre</t>
  </si>
  <si>
    <t>Caja Mediana Toscana Limón</t>
  </si>
  <si>
    <t>LÁMINA MUSH VERDE</t>
  </si>
  <si>
    <t>Caja pequeña CACATUA PEMBE</t>
  </si>
  <si>
    <t>Tarjetón ARAMACAO</t>
  </si>
  <si>
    <t>Tarjeta Personal Fiesta - Conejo</t>
  </si>
  <si>
    <t>Tarjeta Personal Selva con sobre</t>
  </si>
  <si>
    <t>Tarjeta Personal Bee Flores con sobre</t>
  </si>
  <si>
    <t>TARJETA PERSONAL MUNDO SOL</t>
  </si>
  <si>
    <t>Tarjeta Personal Toscana Florero</t>
  </si>
  <si>
    <t>Notas dobles con sobre Navidad (listos para llevar)</t>
  </si>
  <si>
    <t>Cuaderno Manzanas Personalizado</t>
  </si>
  <si>
    <t>Tarjeta Personal Macondo Vertical</t>
  </si>
  <si>
    <t>Notas dobles con sobre Nido</t>
  </si>
  <si>
    <t>Tarjeta Personal Colibri</t>
  </si>
  <si>
    <t>Tarjeta Personal Jaguar Colores</t>
  </si>
  <si>
    <t>Notas dobles con sobre Aviario</t>
  </si>
  <si>
    <t>Puestos de mesa- Pulpo (Listo para llevar)</t>
  </si>
  <si>
    <t>Tarjeta Personal Bee</t>
  </si>
  <si>
    <t>Block de Notas Teacher's Day</t>
  </si>
  <si>
    <t>Tarjeta Personal Aviario Loro</t>
  </si>
  <si>
    <t>Caja Mediana Amazul (Vert)</t>
  </si>
  <si>
    <t>REGISTROS / FOLIOS BOUQUET SILVESTRE</t>
  </si>
  <si>
    <t>Tarjeta Personal Floresta FOX</t>
  </si>
  <si>
    <t>Cuadro mini Corocora</t>
  </si>
  <si>
    <t>Notas dobles con sobre Amazonas</t>
  </si>
  <si>
    <t>Caja de Fosforos Bromelia</t>
  </si>
  <si>
    <t>Tarjeta Personal aramacao (V)</t>
  </si>
  <si>
    <t>Notas dobles con sobre Macondo</t>
  </si>
  <si>
    <t>Cuadro mini Datura y colibri</t>
  </si>
  <si>
    <t>Sobres efectivo Macondo: Lluvia de sobres</t>
  </si>
  <si>
    <t>Cuaderno clásico gris: (POR LA NATURALEZA DEL PRODUCTO SE TOMAN 2 DÍAS HÁBILES ADICIONALES A NUESTRA PROMESA DE ENTREGA DE PAPELERÍA PERSONALIZADA)</t>
  </si>
  <si>
    <t>Caja Grande Flex Orinoco</t>
  </si>
  <si>
    <t>Puestos de mesa- Toscana (Listo para llevar)</t>
  </si>
  <si>
    <t>Libro $169.000</t>
  </si>
  <si>
    <t>Cuaderno Plafón Personalizado</t>
  </si>
  <si>
    <t>LÁMINA AMAZONAS JAGUAR</t>
  </si>
  <si>
    <t>Cuaderno toscana limón Personalizado</t>
  </si>
  <si>
    <t>Tarjeta Personal Rosa con sobre (Hor)</t>
  </si>
  <si>
    <t>Tarjeta Personal Floresta Conejo</t>
  </si>
  <si>
    <t>LÁMINA AMAZONAS GUACAMAYA</t>
  </si>
  <si>
    <t>Cuaderno Rosamenta: (POR LA NATURALEZA DEL PRODUCTO SE TOMAN 2 DÍAS HÁBILES ADICIONALES A NUESTRA PROMESA DE ENTREGA DE PAPELERÍA PERSONALIZADA)</t>
  </si>
  <si>
    <t>Sobres efectivo Selva: Lluvia de sobres (Listos para llevar)</t>
  </si>
  <si>
    <t>Tarjeton doble Love Azul #20 (listo para llevar)</t>
  </si>
  <si>
    <t>Notas dobles con sobre Cacatua</t>
  </si>
  <si>
    <t>Tarjeta Personal Clásico con sobre</t>
  </si>
  <si>
    <t>Cuaderno Florario</t>
  </si>
  <si>
    <t>Caja Grande Flex Cacatua</t>
  </si>
  <si>
    <t>Tarjeta Personal PLAYA JAGUAR</t>
  </si>
  <si>
    <t>Tarjetón Doble Florario Menta</t>
  </si>
  <si>
    <t>LÁMINA Campanula</t>
  </si>
  <si>
    <t>Tarjetón Aviario</t>
  </si>
  <si>
    <t>Block de Notas Clasico Ocre</t>
  </si>
  <si>
    <t>Tarjeta Personal Florario Menta</t>
  </si>
  <si>
    <t>Caja Mediana Doble Golden Roses</t>
  </si>
  <si>
    <t>Libros $29,000</t>
  </si>
  <si>
    <t>Tarjetón Colibri</t>
  </si>
  <si>
    <t>Libro Annie Leibovitz</t>
  </si>
  <si>
    <t>Tarjeta Personal Selva H</t>
  </si>
  <si>
    <t>Caja flex XL Bee</t>
  </si>
  <si>
    <t>Libro Juliana prieto</t>
  </si>
  <si>
    <t>Caja de Fosforos LOTO</t>
  </si>
  <si>
    <t>Pack 8+8 + Servilletas</t>
  </si>
  <si>
    <t>Caja de Fosforos PIÑA</t>
  </si>
  <si>
    <t>Tarjetón Amazul</t>
  </si>
  <si>
    <t>Tarjeta Personal Fiesta - Oso</t>
  </si>
  <si>
    <t>Tarjeton doble Love Verde #19 (listo para llevar)</t>
  </si>
  <si>
    <t>Tote Bag de Lona con Diseño Santuario</t>
  </si>
  <si>
    <t>Cuaderno Amazonas Listo para llevar</t>
  </si>
  <si>
    <t>Tarjetón en caja-Toscana (Listas para llevar)</t>
  </si>
  <si>
    <t>Cuadro mini Fig marigold</t>
  </si>
  <si>
    <t>Tote Bag de Lona con Diseño Nido</t>
  </si>
  <si>
    <t>Pack tarjetón doble + sencillo Protea (listos para llevar)</t>
  </si>
  <si>
    <t>Tarjeta Personal Granada Horizontal</t>
  </si>
  <si>
    <t>Tarjetones XL AVIARIO (Listas para llevar)</t>
  </si>
  <si>
    <t>Tarjeta Personal Macondo Mariposa con sobre</t>
  </si>
  <si>
    <t>Tarjeta Personal Bijao con sobre</t>
  </si>
  <si>
    <t>Notas dobles con sobre Florario Menta</t>
  </si>
  <si>
    <t>Pack tarjetón doble + sencillo Toscana (listos para llevar)</t>
  </si>
  <si>
    <t>Tarjetón Doble Protea (listos para llevar)</t>
  </si>
  <si>
    <t>Regalo para Invitados Ramita Azul (x10)</t>
  </si>
  <si>
    <t>Tarjetón en caja-Mush (Listas para llevar)</t>
  </si>
  <si>
    <t>Tarjeton doble Orquidea #6 (listo para llevar)</t>
  </si>
  <si>
    <t>Cuaderno Protea Listo para llevar</t>
  </si>
  <si>
    <t>Pack grande cuaderno Santuario</t>
  </si>
  <si>
    <t>Tarjeta Personal Amazonas kids</t>
  </si>
  <si>
    <t>Tarjetón Bouquet</t>
  </si>
  <si>
    <t>Caja de Fosforos Corporativo</t>
  </si>
  <si>
    <t>Cuaderno Toscana Listo para llevar</t>
  </si>
  <si>
    <t>Caja pequeña Granada</t>
  </si>
  <si>
    <t>Tarjetón Doble Cacatua Pembe (listos para llevar)</t>
  </si>
  <si>
    <t>Cuaderno TULIPAN Personalizado</t>
  </si>
  <si>
    <t>Tarjetón Doble Aviario</t>
  </si>
  <si>
    <t>Tarjeton doble Lotos y cococora #8 (listo para llevar)</t>
  </si>
  <si>
    <t>Pack tarjetón sencillo + notas dobles Cacatua (listos para llevar)</t>
  </si>
  <si>
    <t>Repuje</t>
  </si>
  <si>
    <t>Caja pequeña Florario Menta</t>
  </si>
  <si>
    <t>Tarjeta Personal Florario Azul</t>
  </si>
  <si>
    <t>Block de Notas Protea</t>
  </si>
  <si>
    <t>Notas dobles con sobre Colombia - Aramacao</t>
  </si>
  <si>
    <t>Tarjetón Granada</t>
  </si>
  <si>
    <t>Tarjeta Personal Tucan</t>
  </si>
  <si>
    <t>INVITACION DIGITAL ACUARELA ROSADA</t>
  </si>
  <si>
    <t>Caja pequeña Blanco</t>
  </si>
  <si>
    <t>Tarjeton doble Love Rojo #18 (listo para llevar)</t>
  </si>
  <si>
    <t>Puestos de mesa- Protea (Listo para llevar)</t>
  </si>
  <si>
    <t>Sello Seco Laurel</t>
  </si>
  <si>
    <t>Cuadro mini Rosa indica</t>
  </si>
  <si>
    <t>INVITACION DIGITAL AZULEJO BLUE</t>
  </si>
  <si>
    <t>Notas dobles con sobre Rosa</t>
  </si>
  <si>
    <t>Cuadro Flor Terciopelo</t>
  </si>
  <si>
    <t>Cuadro mini Calatea</t>
  </si>
  <si>
    <t>Sobres efectivo Selva: Lluvia de sobres</t>
  </si>
  <si>
    <t>Caja pequeña Aviario</t>
  </si>
  <si>
    <t>Pack tarjetón sencillo + notas dobles Bee (listos para llevar)</t>
  </si>
  <si>
    <t>Calendario</t>
  </si>
  <si>
    <t>Cuadro mini Gato Jardin</t>
  </si>
  <si>
    <t>TARJETA PERSONAL MUNDO</t>
  </si>
  <si>
    <t>Notas dobles con sobre Protea</t>
  </si>
  <si>
    <t>Tarjeta Personal granada con sobre</t>
  </si>
  <si>
    <t>Tarjetón Doble Rosa</t>
  </si>
  <si>
    <t>Pack tarjetón doble + sencillo Cacatua Pembe (listos para llevar)</t>
  </si>
  <si>
    <t>Block de Notas Jaguar Taupe</t>
  </si>
  <si>
    <t>Notas dobles con sobre Bee flores</t>
  </si>
  <si>
    <t>Notas dobles con sobre Florario AZUL</t>
  </si>
  <si>
    <t>Caja pequeña Amazonas</t>
  </si>
  <si>
    <t>Cuadro mini Carmona</t>
  </si>
  <si>
    <t>Paquete de almendras</t>
  </si>
  <si>
    <t>Tarjeta Personal Palma (Hor)</t>
  </si>
  <si>
    <t>Cuaderno Gardenia Personalizado</t>
  </si>
  <si>
    <t>Tarjetón Marco</t>
  </si>
  <si>
    <t>Tarjetón Doble Amazonas (listos para llevar)</t>
  </si>
  <si>
    <t>Notas dobles con sobre Palma</t>
  </si>
  <si>
    <t>Tarjeta Personal Bosque</t>
  </si>
  <si>
    <t>Tarjeta Personal Protea</t>
  </si>
  <si>
    <t>Tarjeta Personal love con sobre</t>
  </si>
  <si>
    <t>Notas dobles con sobre Mush</t>
  </si>
  <si>
    <t>Tarjetón Selva</t>
  </si>
  <si>
    <t>Caja dura mediana (especial para regalar)</t>
  </si>
  <si>
    <t>Cuadro mini Gato Noche</t>
  </si>
  <si>
    <t>Caja pequeña Toscana Florero</t>
  </si>
  <si>
    <t>LÁMINA FLOR PROTEA</t>
  </si>
  <si>
    <t>Marco 30x40 para laminas</t>
  </si>
  <si>
    <t>Tarjeta Personal Cacatua</t>
  </si>
  <si>
    <t>Caja Grande Luxe FLORARIO AZUL (80 Tarjetas)</t>
  </si>
  <si>
    <t>Puestos de mesa Acuarela Rosada</t>
  </si>
  <si>
    <t>Puestos de mesa- Aviario (Listo para llevar)</t>
  </si>
  <si>
    <t>Tarjetón + Tarjetón doble AMAZONAS</t>
  </si>
  <si>
    <t>TARJETA PERSONAL BAILARINA x3</t>
  </si>
  <si>
    <t>LÁMINA NIDO FLOR CURUBA</t>
  </si>
  <si>
    <t>Tarjeton doble Orquidea #2 (listo para llevar)</t>
  </si>
  <si>
    <t>Tag Premium</t>
  </si>
  <si>
    <t>Cuaderno corp</t>
  </si>
  <si>
    <t>Tote Bag de Lona con Diseño Personalizado corporativo</t>
  </si>
  <si>
    <t>numeros de mesa Acuarela Azul</t>
  </si>
  <si>
    <t>Regalo para Invitados Acuarela Azul (x10)</t>
  </si>
  <si>
    <t>Pack grande cuaderno Amazonas</t>
  </si>
  <si>
    <t>Registros / Folios Origami Azul</t>
  </si>
  <si>
    <t>Tarjetones XL BEE (Listas para llevar)</t>
  </si>
  <si>
    <t>Pack tarjetón sencillo + notas dobles Aviario (listos para llevar)</t>
  </si>
  <si>
    <t>Puestos de mesa- BEE (Listo para llevar)</t>
  </si>
  <si>
    <t>Tarjeta Personal Cacatua Pembe (h)</t>
  </si>
  <si>
    <t>LÁMINA NIDO QUETZAL</t>
  </si>
  <si>
    <t>MENU PRIMAVERA</t>
  </si>
  <si>
    <t>Album pequeño</t>
  </si>
  <si>
    <t>LÁMINA MUSH ROJO</t>
  </si>
  <si>
    <t>Caja Mediana Doble Morado</t>
  </si>
  <si>
    <t>Tote Bag de Lona con Diseño Selva Jaguar</t>
  </si>
  <si>
    <t>Cuaderno Aramacao Personalizado</t>
  </si>
  <si>
    <t>Tarjetón Amazonas</t>
  </si>
  <si>
    <t>Puestos de mesa Acuarela Azul</t>
  </si>
  <si>
    <t>Pack lluvia Aviario (listos para llevar)</t>
  </si>
  <si>
    <t>Tarjeta Personal Palma (ver)</t>
  </si>
  <si>
    <t>REGISTROS / FOLIOS ACUARELA AZUL</t>
  </si>
  <si>
    <t>Tarjetón Love colores</t>
  </si>
  <si>
    <t>LÁMINA FLOR AZUL</t>
  </si>
  <si>
    <t>Notas dobles con sobre Jaguar colores</t>
  </si>
  <si>
    <t>Tarjeta Personal Protea (H)</t>
  </si>
  <si>
    <t>Tarjetón Doble bee (listos para llevar)</t>
  </si>
  <si>
    <t>Tarjeta Personal Astrozebra</t>
  </si>
  <si>
    <t>Tarjeta Personal Selva V</t>
  </si>
  <si>
    <t>Caja Grande Flex Florario Menta</t>
  </si>
  <si>
    <t>Caja flex XL Colombia- Aramacao</t>
  </si>
  <si>
    <t>LÁMINA AMAZONAS LORO</t>
  </si>
  <si>
    <t>Notas dobles con sobre Bee Marco</t>
  </si>
  <si>
    <t>Tarjeton doble Flor de platano #7 (listo para llevar)</t>
  </si>
  <si>
    <t>LÁMINA NIDO CACATUA</t>
  </si>
  <si>
    <t>Cuadro mini Flor de platano</t>
  </si>
  <si>
    <t>Tarjetón Doble Colibri</t>
  </si>
  <si>
    <t>Caja Mediana Doble Granada</t>
  </si>
  <si>
    <t>Cuadro mini Naranja Valencia</t>
  </si>
  <si>
    <t>LÁMINA MUSH FAMILY</t>
  </si>
  <si>
    <t>Caja pequeña Marco</t>
  </si>
  <si>
    <t>Libros $35.000</t>
  </si>
  <si>
    <t>Registros / Folios Iris con Lacre</t>
  </si>
  <si>
    <t>Caja Grande Flex Colombia- Aramacao</t>
  </si>
  <si>
    <t>Caja pequeña Orinoco</t>
  </si>
  <si>
    <t>Caja Grande Flex LOTO</t>
  </si>
  <si>
    <t>Tarjetón Doble Marco</t>
  </si>
  <si>
    <t>Tarjeta Personal Amazonas</t>
  </si>
  <si>
    <t>Tote Bag de Lona con Diseño Mush</t>
  </si>
  <si>
    <t>REGISTROS / FOLIOS PRINCIPITO</t>
  </si>
  <si>
    <t>Tarjeta Personal colibrí con sobre</t>
  </si>
  <si>
    <t>Tarjeta Personal aramacao (H)</t>
  </si>
  <si>
    <t>Caja pequeña Colibri</t>
  </si>
  <si>
    <t>Sobres efectivo Selva Taupe: Lluvia de sobres</t>
  </si>
  <si>
    <t>Tarjetón Clásico Fonts</t>
  </si>
  <si>
    <t>Detective equis Libros $54.000</t>
  </si>
  <si>
    <t>Sobres efectivo Golden Roses: Lluvia de sobres</t>
  </si>
  <si>
    <t>Tarjetón LOTO</t>
  </si>
  <si>
    <t>Notas dobles con sobre- Pulpo (Listo para llevar)</t>
  </si>
  <si>
    <t>Tarjeta Personal Aviario Cafe</t>
  </si>
  <si>
    <t>Cuaderno Pulpo Personalizado</t>
  </si>
  <si>
    <t>Tarjeton doble Fungi #9 (listo para llevar)</t>
  </si>
  <si>
    <t>Caja Grande Flex Jaguar</t>
  </si>
  <si>
    <t>Cuadro mini Thisle</t>
  </si>
  <si>
    <t>Registros / Folios Cadiz</t>
  </si>
  <si>
    <t>Pack tarjetón sencillo + notas dobles Protea (listos para llevar)</t>
  </si>
  <si>
    <t>Tarjeta Personal Blanco</t>
  </si>
  <si>
    <t>Tarjetón en caja-Pulpo (Listas para llevar)</t>
  </si>
  <si>
    <t>Pack grande cuaderno Aviario</t>
  </si>
  <si>
    <t>Caja Pequeña Selva</t>
  </si>
  <si>
    <t>Mini fósforos</t>
  </si>
  <si>
    <t>Tarjeta tipo cuadro</t>
  </si>
  <si>
    <t>Tarjetón Clásico</t>
  </si>
  <si>
    <t>Caja de Fosforos Santuario</t>
  </si>
  <si>
    <t>Bandejas esmaltadas ilustradas – colección botánica y simbólica</t>
  </si>
  <si>
    <t>numeros de mesa Cadiz</t>
  </si>
  <si>
    <t>Libro Oraculo</t>
  </si>
  <si>
    <t>Stickers/ tags Acuarela Rosada</t>
  </si>
  <si>
    <t>REGISTROS / FOLIOS libelula</t>
  </si>
  <si>
    <t>Cartas de juego botánicas – Living Herbarium</t>
  </si>
  <si>
    <t>Esferos en caja ilustrada – colección escritura</t>
  </si>
  <si>
    <t>Tarjeta Personal Flores Pastel X3</t>
  </si>
  <si>
    <t>MENU FLORA</t>
  </si>
  <si>
    <t>Tarjetón Palma</t>
  </si>
  <si>
    <t>Cuaderno Vizcaya Personalizado</t>
  </si>
  <si>
    <t>Caja Mediana Amazonas</t>
  </si>
  <si>
    <t>INVITACION DIGITAL ACUARELA AZUL</t>
  </si>
  <si>
    <t>Portavasos Loros</t>
  </si>
  <si>
    <t>Puestos de mesa Hand Bouquet</t>
  </si>
  <si>
    <t>Tarjeta Personal Selva (V) con sobre</t>
  </si>
  <si>
    <t>LÁMINA Lirio</t>
  </si>
  <si>
    <t>Caja pequeña BEE FLORES</t>
  </si>
  <si>
    <t>Bandejas esmaltadas ilustradas – colección natural</t>
  </si>
  <si>
    <t>Tarjeton doble Pensamientos (listo para llevar)</t>
  </si>
  <si>
    <t>Registros / Folios Branches ocre con Lacre</t>
  </si>
  <si>
    <t>Registros / Folios Bailadoras</t>
  </si>
  <si>
    <t>Tarjetón Doble Protea (listos para llevar) (RP)</t>
  </si>
  <si>
    <t>Tarjetón Doble Clásico</t>
  </si>
  <si>
    <t>Sobres efectivo Jaguar Colores: Lluvia de sobres</t>
  </si>
  <si>
    <t>Sobres efectivo Granada: Lluvia de sobres</t>
  </si>
  <si>
    <t>Tarjetón Santuario</t>
  </si>
  <si>
    <t>TARJETÓN Macondo</t>
  </si>
  <si>
    <t>Sello Seco JAGUAR</t>
  </si>
  <si>
    <t>Libros $55.000</t>
  </si>
  <si>
    <t>LÁMINA GRANADA</t>
  </si>
  <si>
    <t>Tarjetón Doble Mush (listos para llevar)</t>
  </si>
  <si>
    <t>cuaderno en blanco</t>
  </si>
  <si>
    <t>Cuaderno santuario Personalizado</t>
  </si>
  <si>
    <t>Tote Bag de Lona con Diseño Granada</t>
  </si>
  <si>
    <t>Puestos de mesa Cadiz</t>
  </si>
  <si>
    <t>Tarjetón + Tarjetón doble PALMA</t>
  </si>
  <si>
    <t>new_or_returning_customer</t>
  </si>
  <si>
    <t>Returning</t>
  </si>
  <si>
    <t>New</t>
  </si>
  <si>
    <t>Lacre MT (unidad)</t>
  </si>
  <si>
    <t>BLOCK LPL</t>
  </si>
  <si>
    <t>Tarjeta Personal Aramacao con sobre</t>
  </si>
  <si>
    <t>Notas dobles con sobre Clasico Fonts</t>
  </si>
  <si>
    <t>Libros $99.000</t>
  </si>
  <si>
    <t>Tarjeta Personal Macondo (V) con sobre</t>
  </si>
  <si>
    <t>Tarjeta Personal Jaguar colores con sobre</t>
  </si>
  <si>
    <t>Libros 49000</t>
  </si>
  <si>
    <t>AGENDA PERPETUA PRIMER AÑO BEBE Y MAMA</t>
  </si>
  <si>
    <t>Tarjetón Rosa</t>
  </si>
  <si>
    <t>Pack Escritorio-Amazonas (Listas para llevar)</t>
  </si>
  <si>
    <t>Libros $135.000</t>
  </si>
  <si>
    <t>Pack tarjetón sencillo + notas dobles Mush (listos para llevar)</t>
  </si>
  <si>
    <t>Notas dobles con sobre Bee</t>
  </si>
  <si>
    <t>Tarjetón + Tarjetón doble Aviario</t>
  </si>
  <si>
    <t>Puestos de mesa FLORA</t>
  </si>
  <si>
    <t>Block de Notas Clasico Gris</t>
  </si>
  <si>
    <t>Caja Mediana Selva</t>
  </si>
  <si>
    <t>Block de Notas Mush</t>
  </si>
  <si>
    <t>Tarjetón Doble Pulpo (listos para llevar)</t>
  </si>
  <si>
    <t>Tarjetón Doble Selva</t>
  </si>
  <si>
    <t>Tarjeta Personal Loto con sobre</t>
  </si>
  <si>
    <t>REGISTROS / FOLIOS MOSAICO</t>
  </si>
  <si>
    <t>Tarjeta Personal Bee con sobre</t>
  </si>
  <si>
    <t>CAJA PEQUEÑA FIESTA - LEOPARDO</t>
  </si>
  <si>
    <t>Caja flex XL Bee marco</t>
  </si>
  <si>
    <t>Tarjetón Jaguar Colores</t>
  </si>
  <si>
    <t>Puestos de mesa- Mush (Listo para llevar)</t>
  </si>
  <si>
    <t>Sello Seco LIBRO</t>
  </si>
  <si>
    <t>Tarjetón Toscana Florero</t>
  </si>
  <si>
    <t>Puestos de mesa Chevron Petroleo</t>
  </si>
  <si>
    <t>Caja pequeña Toscana Limon</t>
  </si>
  <si>
    <t>Detective equis Libros $78.000</t>
  </si>
  <si>
    <t>Lamina XL Rosa Boticario</t>
  </si>
  <si>
    <t>Libros $102.000</t>
  </si>
  <si>
    <t>BONO DE REGALO</t>
  </si>
  <si>
    <t>Invitaciones Matrimonio Clasica 1</t>
  </si>
  <si>
    <t>LÁMINA AVIARIO COLIBRI</t>
  </si>
  <si>
    <t>TARJETÓN TUCAN</t>
  </si>
  <si>
    <t>Caja servilletas x4 con 12 Puestos de mesa</t>
  </si>
  <si>
    <t>Libros $98.000</t>
  </si>
  <si>
    <t>CAJA PEQUEÑA MUSH COUPLE</t>
  </si>
  <si>
    <t>Block de Notas Jaguar Esmeralda</t>
  </si>
  <si>
    <t>LÁMINA FLOR Camelia</t>
  </si>
  <si>
    <t>Notas dobles con sobre Toscana</t>
  </si>
  <si>
    <t>Tarjeta Personal Bijao</t>
  </si>
  <si>
    <t>Pack tarjetón doble + sencillo Mush (listos para llevar)</t>
  </si>
  <si>
    <t>Caja Mediana Doble BEE FLORES</t>
  </si>
  <si>
    <t>Sello Seco PIÑA</t>
  </si>
  <si>
    <t>Caja Mediana BEE</t>
  </si>
  <si>
    <t>Libro Firmas (10 hojas)</t>
  </si>
  <si>
    <t>TARJETA PERSONAL MARIPOSAS</t>
  </si>
  <si>
    <t>Caja Mediana Bouquet</t>
  </si>
  <si>
    <t>Tarjeta Personal Blanco 2</t>
  </si>
  <si>
    <t>Caja pequeña Rosado</t>
  </si>
  <si>
    <t>Caja Grande Flex Palma</t>
  </si>
  <si>
    <t>Caja pequeña Florario Azul</t>
  </si>
  <si>
    <t>PUESTOS DE MESA PROTEA</t>
  </si>
  <si>
    <t>Tarjeta Personal Protea con sobre</t>
  </si>
  <si>
    <t>Caja Mediana Toscana Florero</t>
  </si>
  <si>
    <t>Caja de té corporativo</t>
  </si>
  <si>
    <t>Tarjetón Corporativo</t>
  </si>
  <si>
    <t>Caja Mediana Pembe</t>
  </si>
  <si>
    <t>Pack tarjetón doble + sencillo BEE (listos para llevar)</t>
  </si>
  <si>
    <t>REGISTROS / FOLIOS RAMITA VERDE</t>
  </si>
  <si>
    <t>TARJETON XL AMAZUL</t>
  </si>
  <si>
    <t>Caja Mediana Doble Marco</t>
  </si>
  <si>
    <t>Notas dobles con sobre Mush (listos para llevar)</t>
  </si>
  <si>
    <t>Tarjeta Personal  - Gato Jardín</t>
  </si>
  <si>
    <t>Cuadro mini Longleaf Protea</t>
  </si>
  <si>
    <t>TARJETA PERSONAL DOODLES</t>
  </si>
  <si>
    <t>Tarjeta Personal Macondo Mariposa</t>
  </si>
  <si>
    <t>Sello Seco B</t>
  </si>
  <si>
    <t>Soporte BAILADORAS</t>
  </si>
  <si>
    <t>Tarjeta Personal Santuario (v)</t>
  </si>
  <si>
    <t>Tarjeta Personal Orinoco</t>
  </si>
  <si>
    <t>PUESTOS DE MESA AVIARIO</t>
  </si>
  <si>
    <t>CAJA GRANDE FLEX MUSH</t>
  </si>
  <si>
    <t>Caja Grande Flex BEE</t>
  </si>
  <si>
    <t>Caja Mediana Doble Aviario</t>
  </si>
  <si>
    <t>Cuadro mini Echinacea</t>
  </si>
  <si>
    <t>Servicio Caligrafia x 1</t>
  </si>
  <si>
    <t>Tarjeta personal (4x4) x100</t>
  </si>
  <si>
    <t>tarjetón sencillo x10 (sin sobre) vol</t>
  </si>
  <si>
    <t>Tag Multiproposito x 12</t>
  </si>
  <si>
    <t>Me. Mt</t>
  </si>
  <si>
    <t>Lamina XL Personalizada</t>
  </si>
  <si>
    <t>Caja servilletas x4</t>
  </si>
  <si>
    <t>Stickers/ tags Flores L</t>
  </si>
  <si>
    <t>TARJETÓN CACATUA</t>
  </si>
  <si>
    <t>Pack Escritorio Grande Aviario</t>
  </si>
  <si>
    <t>Cuadro mini Paphiopedolim Lowii</t>
  </si>
  <si>
    <t>numeros de mesa mt</t>
  </si>
  <si>
    <t>Tarjetón FLORARIO VERDE</t>
  </si>
  <si>
    <t>REGISTROS / FOLIOS CORONA ACUARELA CON LACRE</t>
  </si>
  <si>
    <t>Caja Grande Flex  CACATUA PEMBE</t>
  </si>
  <si>
    <t>Registros / Folios Colibri con Lacre</t>
  </si>
  <si>
    <t>Sobres efectivo Protea: Lluvia de sobres</t>
  </si>
  <si>
    <t>Tarjeta Personal Protea (H) con sobre</t>
  </si>
  <si>
    <t>Tarjetón Doble Bee Marco</t>
  </si>
  <si>
    <t>Tarjetón Leopardo (Casa AZARA)</t>
  </si>
  <si>
    <t>Tarjetón Doble Loto (listos para llevar)</t>
  </si>
  <si>
    <t>Tarjetón Doble Santuario</t>
  </si>
  <si>
    <t>REGISTROS / FOLIOS Pajarito</t>
  </si>
  <si>
    <t>Portavasos Protea</t>
  </si>
  <si>
    <t>Tarjeta Personal Orinoco con sobre</t>
  </si>
  <si>
    <t>numeros de mesa BRANCHES PETROLEO</t>
  </si>
  <si>
    <t>Stickers/ tags AZULEJO BLUE</t>
  </si>
  <si>
    <t>Puestos de mesa- Protea (Listo para llevar) (RP)</t>
  </si>
  <si>
    <t>Portavasos Mush</t>
  </si>
  <si>
    <t>Vela Angel</t>
  </si>
  <si>
    <t>Notas dobles con sobre PROTEA (Listos para llevar) (RP)</t>
  </si>
  <si>
    <t>Tarjetón Culebra</t>
  </si>
  <si>
    <t>Tarjetón BEE Flores</t>
  </si>
  <si>
    <t>Notas dobles con sobre Florario Verde</t>
  </si>
  <si>
    <t>Caja Grande Flex Florario Verde</t>
  </si>
  <si>
    <t>TARJETÓN MUSH ROJO</t>
  </si>
  <si>
    <t>Stickers/ tags Bee</t>
  </si>
  <si>
    <t>Caja pequeña loto</t>
  </si>
  <si>
    <t>Bolsa para botellas</t>
  </si>
  <si>
    <t>Invitaciones Matrimonio Acuarela</t>
  </si>
  <si>
    <t>NC-ROAS</t>
  </si>
  <si>
    <t>Online Store_average_order_value</t>
  </si>
  <si>
    <t>Tienda 81_average_order_value</t>
  </si>
  <si>
    <t>Rappi_average_order_value</t>
  </si>
  <si>
    <t>Corporativo no tienda_average_order_value</t>
  </si>
  <si>
    <t>returning_net_sales</t>
  </si>
  <si>
    <t>returning_average_order_value</t>
  </si>
  <si>
    <t>new_net_sales</t>
  </si>
  <si>
    <t>new_average_order_value</t>
  </si>
  <si>
    <t>unknown_net_sales</t>
  </si>
  <si>
    <t>unknown_average_order_value</t>
  </si>
  <si>
    <t>AOV</t>
  </si>
  <si>
    <t>Órden promedio totales</t>
  </si>
  <si>
    <t>Órden promedio  primer cliente</t>
  </si>
  <si>
    <t>Órden promedio online store</t>
  </si>
  <si>
    <t>Órden promedio tienda 81</t>
  </si>
  <si>
    <t>Órden promedio rappi</t>
  </si>
  <si>
    <t>Órden promedio corporativo no tienda</t>
  </si>
  <si>
    <t>Questions</t>
  </si>
  <si>
    <t>1. What to spend, where, when</t>
  </si>
  <si>
    <t>2. How to increase revenue per visitor</t>
  </si>
  <si>
    <t>3. Profit velocity from margin, LTCV, stock</t>
  </si>
  <si>
    <t>What problem do we have</t>
  </si>
  <si>
    <t>1. An ad problem</t>
  </si>
  <si>
    <t>2. A conversion problem</t>
  </si>
  <si>
    <t>3. A cost problem</t>
  </si>
  <si>
    <t>Online Store_cost_of_goods_sold</t>
  </si>
  <si>
    <t>Tienda 81_cost_of_goods_sold</t>
  </si>
  <si>
    <t>Rappi_cost_of_goods_sold</t>
  </si>
  <si>
    <t>Corporativo no tienda_cost_of_goods_sold</t>
  </si>
  <si>
    <t>returning_cost_of_goods_sold</t>
  </si>
  <si>
    <t>new_cost_of_goods_sold</t>
  </si>
  <si>
    <t>unknown_cost_of_goods_sold</t>
  </si>
  <si>
    <t>returning_gross_profit</t>
  </si>
  <si>
    <t>new_gross_profit</t>
  </si>
  <si>
    <t>unknown_gross_profit</t>
  </si>
  <si>
    <t>CR</t>
  </si>
  <si>
    <t>RPV</t>
  </si>
  <si>
    <t>CR totales</t>
  </si>
  <si>
    <t>RPV totales</t>
  </si>
  <si>
    <t>unknown_sessions</t>
  </si>
  <si>
    <t>unknown_sessions_that_completed_checkout</t>
  </si>
  <si>
    <t>unknown_conversion_rate</t>
  </si>
  <si>
    <t>social_sessions</t>
  </si>
  <si>
    <t>social_sessions_that_completed_checkout</t>
  </si>
  <si>
    <t>social_conversion_rate</t>
  </si>
  <si>
    <t>search_sessions</t>
  </si>
  <si>
    <t>search_sessions_that_completed_checkout</t>
  </si>
  <si>
    <t>search_conversion_rate</t>
  </si>
  <si>
    <t>paid_sessions</t>
  </si>
  <si>
    <t>paid_sessions_that_completed_checkout</t>
  </si>
  <si>
    <t>paid_conversion_rate</t>
  </si>
  <si>
    <t>direct_sessions</t>
  </si>
  <si>
    <t>direct_sessions_that_completed_checkout</t>
  </si>
  <si>
    <t>direct_conversion_rate</t>
  </si>
  <si>
    <t>Total site_sessions</t>
  </si>
  <si>
    <t>Total site_sessions_that_completed_checkout</t>
  </si>
  <si>
    <t>Total site_conversion_rate</t>
  </si>
  <si>
    <t>email_sessions</t>
  </si>
  <si>
    <t>email_sessions_that_completed_checkout</t>
  </si>
  <si>
    <t>email_conversion_rate</t>
  </si>
  <si>
    <t>Publicidad online</t>
  </si>
  <si>
    <t>Name</t>
  </si>
  <si>
    <t>Value</t>
  </si>
  <si>
    <t>username</t>
  </si>
  <si>
    <t>info@escribana.co</t>
  </si>
  <si>
    <t>accessKey</t>
  </si>
  <si>
    <t>ZWM2Mjk3ZjQtZDk1Ni00MWNhLTljYjUtMmQzNDkxZDY2NjgzOnMzZEw1fU90fkg=</t>
  </si>
  <si>
    <t>partnerId</t>
  </si>
  <si>
    <t>AmanecerMagdalenaPowerQuery</t>
  </si>
  <si>
    <t>apiUrl</t>
  </si>
  <si>
    <t>https://api.siigo.com/auth/token</t>
  </si>
  <si>
    <t>Fijo</t>
  </si>
  <si>
    <t>Variable</t>
  </si>
  <si>
    <t>11050501</t>
  </si>
  <si>
    <t>Caja general</t>
  </si>
  <si>
    <t>11100501</t>
  </si>
  <si>
    <t>Moneda nacional</t>
  </si>
  <si>
    <t>11101001</t>
  </si>
  <si>
    <t>PayPal Recaudos Moneda Extranjera</t>
  </si>
  <si>
    <t>11200501</t>
  </si>
  <si>
    <t>Bancolombia 2451</t>
  </si>
  <si>
    <t>11200502</t>
  </si>
  <si>
    <t>Bold 1707</t>
  </si>
  <si>
    <t>11201001</t>
  </si>
  <si>
    <t>12959501</t>
  </si>
  <si>
    <t>CDT - Bancolombia</t>
  </si>
  <si>
    <t>13050501</t>
  </si>
  <si>
    <t>Clientes nacionales</t>
  </si>
  <si>
    <t>13050502</t>
  </si>
  <si>
    <t>Consignaciones Sin Identificar</t>
  </si>
  <si>
    <t>13300501</t>
  </si>
  <si>
    <t>A proveedores</t>
  </si>
  <si>
    <t>13301501</t>
  </si>
  <si>
    <t>A trabajadores</t>
  </si>
  <si>
    <t>13551101</t>
  </si>
  <si>
    <t>Anticipo de impuesto Renta</t>
  </si>
  <si>
    <t>13551501</t>
  </si>
  <si>
    <t>Anticipo Retención en la fuente 2,5%</t>
  </si>
  <si>
    <t>13551503</t>
  </si>
  <si>
    <t>Anticipo Retención en la fuente 4%</t>
  </si>
  <si>
    <t>13551509</t>
  </si>
  <si>
    <t>Anticipo Retención en la fuente 11%</t>
  </si>
  <si>
    <t>13551511</t>
  </si>
  <si>
    <t>Anticipo Retención en la fuente 7%</t>
  </si>
  <si>
    <t>13551520</t>
  </si>
  <si>
    <t>Anticipo Retencion en la fuente 1.5%</t>
  </si>
  <si>
    <t>13551701</t>
  </si>
  <si>
    <t>Impuesto a las ventas retenido 15%</t>
  </si>
  <si>
    <t>13551801</t>
  </si>
  <si>
    <t>Rete Ica 11,04</t>
  </si>
  <si>
    <t>13551805</t>
  </si>
  <si>
    <t>Rete Ica 9,66</t>
  </si>
  <si>
    <t>13551813</t>
  </si>
  <si>
    <t>Rete Ica 4</t>
  </si>
  <si>
    <t>13557515</t>
  </si>
  <si>
    <t>Autorretenciones 1.10</t>
  </si>
  <si>
    <t>13803501</t>
  </si>
  <si>
    <t>Pasarelas de pago</t>
  </si>
  <si>
    <t>13804001</t>
  </si>
  <si>
    <t>Prestamos a terceros</t>
  </si>
  <si>
    <t>14350102</t>
  </si>
  <si>
    <t>Alimentos</t>
  </si>
  <si>
    <t>14350103</t>
  </si>
  <si>
    <t>Servicios y Papelería</t>
  </si>
  <si>
    <t>14350105</t>
  </si>
  <si>
    <t>Mcia no fabricada por empresa</t>
  </si>
  <si>
    <t>15280501</t>
  </si>
  <si>
    <t>Equipos de procesamiento de datos</t>
  </si>
  <si>
    <t>15922001</t>
  </si>
  <si>
    <t>Equipo de computación y comunicación</t>
  </si>
  <si>
    <t>22050501</t>
  </si>
  <si>
    <t>Proveedores nacionales</t>
  </si>
  <si>
    <t>229999</t>
  </si>
  <si>
    <t>Causación automática compras (sistema)</t>
  </si>
  <si>
    <t>23352501</t>
  </si>
  <si>
    <t>Honorarios</t>
  </si>
  <si>
    <t>23359501</t>
  </si>
  <si>
    <t>Otros</t>
  </si>
  <si>
    <t>23359502</t>
  </si>
  <si>
    <t>Reembolso costos y gastos</t>
  </si>
  <si>
    <t>23652503</t>
  </si>
  <si>
    <t>Servicios 4%</t>
  </si>
  <si>
    <t>23652505</t>
  </si>
  <si>
    <t>Servicios  1 %</t>
  </si>
  <si>
    <t>23653001</t>
  </si>
  <si>
    <t>Arrendamientos 4%</t>
  </si>
  <si>
    <t>23653003</t>
  </si>
  <si>
    <t>Arrendamientos 3.5%</t>
  </si>
  <si>
    <t>23654001</t>
  </si>
  <si>
    <t>Retención por compras 2,5%</t>
  </si>
  <si>
    <t>23657001</t>
  </si>
  <si>
    <t>Otras retenciones  2 %</t>
  </si>
  <si>
    <t>23657503</t>
  </si>
  <si>
    <t>23670101</t>
  </si>
  <si>
    <t>23670112</t>
  </si>
  <si>
    <t>Impuesto a las ventas retenido 100% no Residentes</t>
  </si>
  <si>
    <t>23680501</t>
  </si>
  <si>
    <t>Reteica 11,04</t>
  </si>
  <si>
    <t>23680503</t>
  </si>
  <si>
    <t>Reteica 13,8</t>
  </si>
  <si>
    <t>23680505</t>
  </si>
  <si>
    <t>Reteica 9,66</t>
  </si>
  <si>
    <t>23680506</t>
  </si>
  <si>
    <t>Devolución Reteica 9,66</t>
  </si>
  <si>
    <t>23680509</t>
  </si>
  <si>
    <t>Reteica 7</t>
  </si>
  <si>
    <t>23680513</t>
  </si>
  <si>
    <t>Reteica 4,14</t>
  </si>
  <si>
    <t>23700501</t>
  </si>
  <si>
    <t>Aportes a entidades promotoras de salud eps</t>
  </si>
  <si>
    <t>23700601</t>
  </si>
  <si>
    <t>Aporte a administradoras de riesgos profesionales, ARL</t>
  </si>
  <si>
    <t>23701001</t>
  </si>
  <si>
    <t>Aportes a Cajas de compensación familiar</t>
  </si>
  <si>
    <t>23701002</t>
  </si>
  <si>
    <t>Sena</t>
  </si>
  <si>
    <t>23701003</t>
  </si>
  <si>
    <t>Icbf</t>
  </si>
  <si>
    <t>23803001</t>
  </si>
  <si>
    <t>Fondos de pensiones</t>
  </si>
  <si>
    <t>24040501</t>
  </si>
  <si>
    <t>Vigencia fiscal corriente</t>
  </si>
  <si>
    <t>24080601</t>
  </si>
  <si>
    <t>Iva generado</t>
  </si>
  <si>
    <t>24081001</t>
  </si>
  <si>
    <t>Iva descontable por compras 19%</t>
  </si>
  <si>
    <t>24081002</t>
  </si>
  <si>
    <t>Iva Devolución en compras 19%</t>
  </si>
  <si>
    <t>24081501</t>
  </si>
  <si>
    <t>Descontable por servicios</t>
  </si>
  <si>
    <t>24081601</t>
  </si>
  <si>
    <t>Iva descontable retenido por servicios de No domiciliados</t>
  </si>
  <si>
    <t>24082001</t>
  </si>
  <si>
    <t>Descontable por devoluciones 19%</t>
  </si>
  <si>
    <t>24084001</t>
  </si>
  <si>
    <t>Iva Por Pagar</t>
  </si>
  <si>
    <t>240905</t>
  </si>
  <si>
    <t>Rtefte Por Pagar</t>
  </si>
  <si>
    <t>240925</t>
  </si>
  <si>
    <t>Ica Por Pagar</t>
  </si>
  <si>
    <t>241205</t>
  </si>
  <si>
    <t>Impuesto de Industria y Comercio</t>
  </si>
  <si>
    <t>24950101</t>
  </si>
  <si>
    <t>Impuesto al consumo en ventas</t>
  </si>
  <si>
    <t>25050501</t>
  </si>
  <si>
    <t>Salarios por pagar</t>
  </si>
  <si>
    <t>2510100101</t>
  </si>
  <si>
    <t>Cesantías</t>
  </si>
  <si>
    <t>2510100201</t>
  </si>
  <si>
    <t>Intereses sobre cesantías</t>
  </si>
  <si>
    <t>2510100301</t>
  </si>
  <si>
    <t>Vacaciones</t>
  </si>
  <si>
    <t>25101004</t>
  </si>
  <si>
    <t>PRIMA DE SERVICIOS</t>
  </si>
  <si>
    <t>2510100501</t>
  </si>
  <si>
    <t>ARL SURA</t>
  </si>
  <si>
    <t>2510100601</t>
  </si>
  <si>
    <t>SANITAS</t>
  </si>
  <si>
    <t>2510100602</t>
  </si>
  <si>
    <t>ALIANSALUD</t>
  </si>
  <si>
    <t>2510100603</t>
  </si>
  <si>
    <t>FAMISANAR</t>
  </si>
  <si>
    <t>2510100701</t>
  </si>
  <si>
    <t>CAJA COMPENSACIÓN COMPENSAR</t>
  </si>
  <si>
    <t>2510100801</t>
  </si>
  <si>
    <t>PORVENIR</t>
  </si>
  <si>
    <t>2510100802</t>
  </si>
  <si>
    <t>COLPENSIONES</t>
  </si>
  <si>
    <t>28050501</t>
  </si>
  <si>
    <t>De clientes</t>
  </si>
  <si>
    <t>31050501</t>
  </si>
  <si>
    <t>Capital autorizado</t>
  </si>
  <si>
    <t>360505</t>
  </si>
  <si>
    <t>Utilidad del ejercicio</t>
  </si>
  <si>
    <t>37050501</t>
  </si>
  <si>
    <t>Utilidades o excedentes acumulados</t>
  </si>
  <si>
    <t>41350101</t>
  </si>
  <si>
    <t>Papelería</t>
  </si>
  <si>
    <t>41350102</t>
  </si>
  <si>
    <t>41350103</t>
  </si>
  <si>
    <t>41350125</t>
  </si>
  <si>
    <t>Descuentos papelería</t>
  </si>
  <si>
    <t>41350207</t>
  </si>
  <si>
    <t>Libros y Revistas Culturales</t>
  </si>
  <si>
    <t>41450101</t>
  </si>
  <si>
    <t>Escribana - Envíos</t>
  </si>
  <si>
    <t>41750501</t>
  </si>
  <si>
    <t>Devolución en ventas</t>
  </si>
  <si>
    <t>41750504</t>
  </si>
  <si>
    <t>Devolución en envíos</t>
  </si>
  <si>
    <t>41751007</t>
  </si>
  <si>
    <t>Devolución Ventas Libros y Revistas Culturales</t>
  </si>
  <si>
    <t>41800101</t>
  </si>
  <si>
    <t>Servicios</t>
  </si>
  <si>
    <t>42100501</t>
  </si>
  <si>
    <t>Intereses</t>
  </si>
  <si>
    <t>425040</t>
  </si>
  <si>
    <t>Gastos Bancarios</t>
  </si>
  <si>
    <t>42958101</t>
  </si>
  <si>
    <t>Ajuste al peso</t>
  </si>
  <si>
    <t>51050601</t>
  </si>
  <si>
    <t>Sueldos</t>
  </si>
  <si>
    <t>51052701</t>
  </si>
  <si>
    <t>Auxilio de transporte</t>
  </si>
  <si>
    <t>51053001</t>
  </si>
  <si>
    <t>51053301</t>
  </si>
  <si>
    <t>51053601</t>
  </si>
  <si>
    <t>Prima de servicios</t>
  </si>
  <si>
    <t>51053901</t>
  </si>
  <si>
    <t>51054503</t>
  </si>
  <si>
    <t>Auxilio no salarial</t>
  </si>
  <si>
    <t>51054801</t>
  </si>
  <si>
    <t>Bonificaciones</t>
  </si>
  <si>
    <t>51056801</t>
  </si>
  <si>
    <t>Aportes a administradora de riesgos laborales</t>
  </si>
  <si>
    <t>51056901</t>
  </si>
  <si>
    <t>51057001</t>
  </si>
  <si>
    <t>Aporte a fondos de pensión y/o cesantías</t>
  </si>
  <si>
    <t>51057201</t>
  </si>
  <si>
    <t>Aportes cajas de compensación familiar</t>
  </si>
  <si>
    <t>51057501</t>
  </si>
  <si>
    <t>Aportes icbf</t>
  </si>
  <si>
    <t>51057801</t>
  </si>
  <si>
    <t>Aportes Sena</t>
  </si>
  <si>
    <t>51059501</t>
  </si>
  <si>
    <t>Bienestar y atención a empleados</t>
  </si>
  <si>
    <t>51102501</t>
  </si>
  <si>
    <t>Honorarios - Asesoría jurídica</t>
  </si>
  <si>
    <t>51103001</t>
  </si>
  <si>
    <t>Honorarios - Asesoría Contable</t>
  </si>
  <si>
    <t>51103501</t>
  </si>
  <si>
    <t>Asesoría Financiera</t>
  </si>
  <si>
    <t>51150505</t>
  </si>
  <si>
    <t>Industria y Comercio</t>
  </si>
  <si>
    <t>51201001</t>
  </si>
  <si>
    <t>Arrendamiento Local</t>
  </si>
  <si>
    <t>51351505</t>
  </si>
  <si>
    <t>Servicios técnicos</t>
  </si>
  <si>
    <t>51352001</t>
  </si>
  <si>
    <t>Software</t>
  </si>
  <si>
    <t>51352504</t>
  </si>
  <si>
    <t>Local</t>
  </si>
  <si>
    <t>51353502</t>
  </si>
  <si>
    <t>Servicios públicos - Celular</t>
  </si>
  <si>
    <t>51355001</t>
  </si>
  <si>
    <t>Transporte fletes y acarreos</t>
  </si>
  <si>
    <t>51400501</t>
  </si>
  <si>
    <t>Notariales</t>
  </si>
  <si>
    <t>51401001</t>
  </si>
  <si>
    <t>Registro mercantil</t>
  </si>
  <si>
    <t>51401501</t>
  </si>
  <si>
    <t>Tramites y licencias</t>
  </si>
  <si>
    <t>51451001</t>
  </si>
  <si>
    <t>Mantenimientos - Construcciones y edificaciones</t>
  </si>
  <si>
    <t>51451002</t>
  </si>
  <si>
    <t>Adecuacion Oficina</t>
  </si>
  <si>
    <t>51551501</t>
  </si>
  <si>
    <t>Gastos de viaje - Pasajes aéreos</t>
  </si>
  <si>
    <t>51950501</t>
  </si>
  <si>
    <t>Comisiones</t>
  </si>
  <si>
    <t>51952501</t>
  </si>
  <si>
    <t>Elementos de aseo y cafetería</t>
  </si>
  <si>
    <t>51953001</t>
  </si>
  <si>
    <t>Útiles papelería y fotocopias</t>
  </si>
  <si>
    <t>51956001</t>
  </si>
  <si>
    <t>Casino y restaurante</t>
  </si>
  <si>
    <t>51956501</t>
  </si>
  <si>
    <t>Parqueaderos</t>
  </si>
  <si>
    <t>51959501</t>
  </si>
  <si>
    <t>Activos menores</t>
  </si>
  <si>
    <t>52050601</t>
  </si>
  <si>
    <t>52051501</t>
  </si>
  <si>
    <t>Horas extras y recargos</t>
  </si>
  <si>
    <t>52051801</t>
  </si>
  <si>
    <t>52052701</t>
  </si>
  <si>
    <t>52053001</t>
  </si>
  <si>
    <t>52053301</t>
  </si>
  <si>
    <t>52053601</t>
  </si>
  <si>
    <t>52053901</t>
  </si>
  <si>
    <t>52054502</t>
  </si>
  <si>
    <t>Auxilio transporte</t>
  </si>
  <si>
    <t>52054503</t>
  </si>
  <si>
    <t>52054801</t>
  </si>
  <si>
    <t>52056001</t>
  </si>
  <si>
    <t>Indemnizaciones laborales</t>
  </si>
  <si>
    <t>52056801</t>
  </si>
  <si>
    <t>52056901</t>
  </si>
  <si>
    <t>52057001</t>
  </si>
  <si>
    <t>52057201</t>
  </si>
  <si>
    <t>52057501</t>
  </si>
  <si>
    <t>52057801</t>
  </si>
  <si>
    <t>52201001</t>
  </si>
  <si>
    <t>52201501</t>
  </si>
  <si>
    <t>Alquiler Ferias</t>
  </si>
  <si>
    <t>52352001</t>
  </si>
  <si>
    <t>52352504</t>
  </si>
  <si>
    <t>52352505</t>
  </si>
  <si>
    <t>Internet</t>
  </si>
  <si>
    <t>52355001</t>
  </si>
  <si>
    <t>Transporte de Productos</t>
  </si>
  <si>
    <t>52356004</t>
  </si>
  <si>
    <t>Marketing corporativo</t>
  </si>
  <si>
    <t>52356501</t>
  </si>
  <si>
    <t>Construcciones y montajes</t>
  </si>
  <si>
    <t>52357001</t>
  </si>
  <si>
    <t>Ajustes y modificaciones de productos</t>
  </si>
  <si>
    <t>52950501</t>
  </si>
  <si>
    <t>52951001</t>
  </si>
  <si>
    <t>Material de empaque</t>
  </si>
  <si>
    <t>52951501</t>
  </si>
  <si>
    <t>Materiales e insumos</t>
  </si>
  <si>
    <t>53050501</t>
  </si>
  <si>
    <t>Gastos bancarios</t>
  </si>
  <si>
    <t>53051501</t>
  </si>
  <si>
    <t>53052001</t>
  </si>
  <si>
    <t>Intereses corrientes</t>
  </si>
  <si>
    <t>53053501</t>
  </si>
  <si>
    <t>Descuentos comerciales condicionados</t>
  </si>
  <si>
    <t>53055001</t>
  </si>
  <si>
    <t>GMF 4*1000</t>
  </si>
  <si>
    <t>53152002</t>
  </si>
  <si>
    <t>RTE ICA</t>
  </si>
  <si>
    <t>53152501</t>
  </si>
  <si>
    <t>Costos y gastos no deducibles</t>
  </si>
  <si>
    <t>53958101</t>
  </si>
  <si>
    <t>54050501</t>
  </si>
  <si>
    <t>Impuesto de renta y complementarios</t>
  </si>
  <si>
    <t>61350501</t>
  </si>
  <si>
    <t>61350601</t>
  </si>
  <si>
    <t>61350602</t>
  </si>
  <si>
    <t>61350603</t>
  </si>
  <si>
    <t>61550501</t>
  </si>
  <si>
    <t>Publicidad</t>
  </si>
  <si>
    <t>Código</t>
  </si>
  <si>
    <t>Nombre</t>
  </si>
  <si>
    <t>Clasificación</t>
  </si>
  <si>
    <t>period</t>
  </si>
  <si>
    <t>costs_fixed</t>
  </si>
  <si>
    <t>costs_variable</t>
  </si>
  <si>
    <t>Costos de publicidad totales (contables)</t>
  </si>
  <si>
    <t>Info contable</t>
  </si>
  <si>
    <t>account_name</t>
  </si>
  <si>
    <t>Tipo</t>
  </si>
  <si>
    <t>Admin</t>
  </si>
  <si>
    <t>Sales</t>
  </si>
  <si>
    <t>Other</t>
  </si>
  <si>
    <t>COGS</t>
  </si>
  <si>
    <t/>
  </si>
  <si>
    <t>18 Activo &gt; 18.1 Efectivo y equivalentes de efectivo &gt; 18.1.1 Caja</t>
  </si>
  <si>
    <t>18 Activo &gt; 18.1 Efectivo y equivalentes de efectivo &gt; 18.1.2 Bancos &gt; 18.1.2.1 Moneda nacional</t>
  </si>
  <si>
    <t>18 Activo &gt; 18.1 Efectivo y equivalentes de efectivo &gt; 18.1.2 Bancos &gt; 18.1.2.2 Bancos y Entidades Moneda Extranjera</t>
  </si>
  <si>
    <t>18 Activo &gt; 18.1 Efectivo y equivalentes de efectivo &gt; 18.1.3 Cuentas de ahorro &gt; 18.1.3.1 Bancolombia</t>
  </si>
  <si>
    <t>18 Activo &gt; 18.1 Efectivo y equivalentes de efectivo &gt; 18.1.3 Cuentas de ahorro &gt; 18.1.3.2 Bold</t>
  </si>
  <si>
    <t>18 Activo &gt; 18.1 Efectivo y equivalentes de efectivo &gt; 18.1.4 Inversiones temporales</t>
  </si>
  <si>
    <t>18 Activo &gt; 18.2 Deudores comerciales y otras cuentas por cobrar &gt; 18.2.1 Clientes nacionales</t>
  </si>
  <si>
    <t>18 Activo &gt; 18.2 Deudores comerciales y otras cuentas por cobrar &gt; 18.2.2 Consignaciones Sin Identificar</t>
  </si>
  <si>
    <t>18 Activo &gt; 18.2 Deudores comerciales y otras cuentas por cobrar &gt; 18.2.5 Anticipos y avances &gt; 18.2.5.1 A proveedores</t>
  </si>
  <si>
    <t>18 Activo &gt; 18.2 Deudores comerciales y otras cuentas por cobrar &gt; 18.2.6 Cuentas por cobrar a trabajadores</t>
  </si>
  <si>
    <t>18 Activo &gt; 18.2 Deudores comerciales y otras cuentas por cobrar &gt; 18.2.5 Anticipos y avances &gt; 18.2.5.2 Anticipo de impuestos y contribuciones</t>
  </si>
  <si>
    <t>18 Activo &gt; 18.2 Deudores comerciales y otras cuentas por cobrar &gt; 18.2.7 Deudores varios &gt; 18.2.7.1 Pasarelas de pago</t>
  </si>
  <si>
    <t>18 Activo &gt; 18.2 Deudores comerciales y otras cuentas por cobrar &gt; 18.2.7 Deudores varios &gt; 18.2.7.2 Prestamos a terceros</t>
  </si>
  <si>
    <t>18 Activo &gt; 18.3 Inventarios &gt; 18.3.1 Mercancías no fabricadas por la empresa &gt; 18.3.1.2 Alimentos</t>
  </si>
  <si>
    <t>18 Activo &gt; 18.3 Inventarios &gt; 18.3.1 Mercancías no fabricadas por la empresa &gt; 18.3.1.3 Servicios y Papelería</t>
  </si>
  <si>
    <t>18 Activo &gt; 18.3 Inventarios &gt; 18.3.1 Mercancías no fabricadas por la empresa &gt; 18.3.1.1 Papelería</t>
  </si>
  <si>
    <t>18 Activo &gt; 18.4 Propiedad planta y equipo &gt; 18.4.1 Equipo de computación y comunicación</t>
  </si>
  <si>
    <t>18 Activo &gt; 18.4 Propiedad planta y equipo &gt; 18.4.2 Depreciación acumulada</t>
  </si>
  <si>
    <t>19 Pasivo &gt; 19.2 Proveedores &gt; 19.2.1 Proveedores nacionales</t>
  </si>
  <si>
    <t>19 Pasivo &gt; 19.2 Proveedores &gt; 19.2.3 Causación automática de compras</t>
  </si>
  <si>
    <t>19 Pasivo &gt; 19.3 Acreedores comerciales y otras cuentas por pagar &gt; 19.3.2 Costos y gastos por pagar &gt; 19.3.2.1 Honorarios</t>
  </si>
  <si>
    <t>19 Pasivo &gt; 19.3 Acreedores comerciales y otras cuentas por pagar &gt; 19.3.2 Costos y gastos por pagar &gt; 19.3.2.5 Otros</t>
  </si>
  <si>
    <t>19 Pasivo &gt; 19.3 Acreedores comerciales y otras cuentas por pagar &gt; 19.3.3 Retenciones en la fuente</t>
  </si>
  <si>
    <t>19 Pasivo &gt; 19.3 Acreedores comerciales y otras cuentas por pagar &gt; 19.3.4 Impuesto a las ventas retenido</t>
  </si>
  <si>
    <t>19 Pasivo &gt; 19.3 Acreedores comerciales y otras cuentas por pagar &gt; 19.3.5 Impuesto de industria y comercio retenido</t>
  </si>
  <si>
    <t>19 Pasivo &gt; 19.3 Acreedores comerciales y otras cuentas por pagar &gt; 19.3.6 Aportes a empresas promotoras de salud eps</t>
  </si>
  <si>
    <t>19 Pasivo &gt; 19.3 Acreedores comerciales y otras cuentas por pagar &gt; 19.3.7 Acreedores varios</t>
  </si>
  <si>
    <t>19 Pasivo &gt; 19.4 Pasivos por impuestos &gt; 19.4.1 De renta y complementarios corriente</t>
  </si>
  <si>
    <t>19 Pasivo &gt; 19.4 Pasivos por impuestos &gt; 19.4.2 Impuesto sobre las ventas por pagar</t>
  </si>
  <si>
    <t>19 Pasivo &gt; 19.4 Pasivos por impuestos &gt; 19.4.3 Impuestos Por Pagar</t>
  </si>
  <si>
    <t>19 Pasivo &gt; 19.4 Pasivos por impuestos &gt; 19.4.4 Impuesto de Industria y Comercio</t>
  </si>
  <si>
    <t>19 Pasivo &gt; 19.4 Pasivos por impuestos &gt; 19.4.6 Otros</t>
  </si>
  <si>
    <t>19 Pasivo &gt; 19.5 Beneficios a empleados &gt; 19.5.1 Salarios por pagar</t>
  </si>
  <si>
    <t>19 Pasivo &gt; 19.5 Beneficios a empleados &gt; 19.5.2 Pasivo estimado para obligaciones laborales</t>
  </si>
  <si>
    <t>19 Pasivo &gt; 19.6 Pasivos no financieros &gt; 19.6.1 Anticipos y avances recibidos</t>
  </si>
  <si>
    <t>20 Patrimonio &gt; 20.1 Capital social</t>
  </si>
  <si>
    <t>20 Patrimonio &gt; 20.4 Resultados de ejercicios anteriores</t>
  </si>
  <si>
    <t>1 Ingresos &gt; 1.1 Papelería</t>
  </si>
  <si>
    <t>1 Ingresos &gt; 1.2 Alimentos</t>
  </si>
  <si>
    <t>1 Ingresos &gt; 1.3 Servicios y papelería</t>
  </si>
  <si>
    <t>1 Ingresos &gt; 1.5 Descuentos</t>
  </si>
  <si>
    <t>1 Ingresos &gt; 1.6 Libros y revistas culturales</t>
  </si>
  <si>
    <t>1 Ingresos &gt; 1.7 Envíos</t>
  </si>
  <si>
    <t>1 Ingresos &gt; 1.9 Devoluciones y rebajas</t>
  </si>
  <si>
    <t>7 Otros ingresos &gt; 7.1 Financieros</t>
  </si>
  <si>
    <t>7 Otros ingresos &gt; 7.2 Recuperaciones</t>
  </si>
  <si>
    <t>7 Otros ingresos &gt; 7.3 Diversos</t>
  </si>
  <si>
    <t>5 Gastos administrativos &gt; 5.1 Gastos de personal &gt; 5.1.2 Sueldos</t>
  </si>
  <si>
    <t>5 Gastos administrativos &gt; 5.1 Gastos de personal &gt; 5.1.4 Otros gastos de personal</t>
  </si>
  <si>
    <t>5 Gastos administrativos &gt; 5.1 Gastos de personal &gt; 5.1.3 Bonificaciones</t>
  </si>
  <si>
    <t>5 Gastos administrativos &gt; 5.2 Honorarios &gt; 5.2.2 Honorarios - Asesoría jurídica</t>
  </si>
  <si>
    <t>5 Gastos administrativos &gt; 5.2 Honorarios &gt; 5.2.3 Honorarios - Asesoría Contable</t>
  </si>
  <si>
    <t>5 Gastos administrativos &gt; 5.2 Honorarios &gt; 5.2.4 Asesoría Financiera</t>
  </si>
  <si>
    <t>5 Gastos administrativos &gt; 5.3 Impuestos</t>
  </si>
  <si>
    <t>5 Gastos administrativos &gt; 5.4 Arrendamientos &gt; 5.4.1 Arrendamiento Local</t>
  </si>
  <si>
    <t>5 Gastos administrativos &gt; 5.6 Servicios admin</t>
  </si>
  <si>
    <t>5 Gastos administrativos &gt; 5.7 Gastos legales</t>
  </si>
  <si>
    <t>5 Gastos administrativos &gt; 5.8 Mantenimiento y reparaciones</t>
  </si>
  <si>
    <t>5 Gastos administrativos &gt; 5.9 Gastos de viaje</t>
  </si>
  <si>
    <t>5 Gastos administrativos &gt; 5.11 Diversos</t>
  </si>
  <si>
    <t>5 Gastos administrativos &gt; 5.12 Otros gastos</t>
  </si>
  <si>
    <t>4 Gastos ventas &gt; 4.1 Gastos de personal &gt; 4.1.1 Sueldos</t>
  </si>
  <si>
    <t>4 Gastos ventas &gt; 4.1 Gastos de personal &gt; 4.1.3 Otros gastos de personal</t>
  </si>
  <si>
    <t>4 Gastos ventas &gt; 4.1 Gastos de personal &gt; 4.1.2 Bonificaciones</t>
  </si>
  <si>
    <t>4 Gastos ventas &gt; 4.2 Arrendamientos y Alquileres</t>
  </si>
  <si>
    <t>4 Gastos ventas &gt; 4.3 Servicios ventas</t>
  </si>
  <si>
    <t>4 Gastos ventas &gt; 4.4 Diversos</t>
  </si>
  <si>
    <t>8 Otros gastos &gt; 8.1 Financieros</t>
  </si>
  <si>
    <t>1 Ingresos &gt; 1.8 Descuentos comerciales</t>
  </si>
  <si>
    <t>8 Otros gastos &gt; 8.2 Gastos extraordinarios</t>
  </si>
  <si>
    <t>8 Otros gastos &gt; 8.3 Gastos diversos</t>
  </si>
  <si>
    <t>10 Impuestos &gt; 10.1 Impuesto de renta y complementarios</t>
  </si>
  <si>
    <t>2 Costos &gt; 2.1 Papelería</t>
  </si>
  <si>
    <t>2 Costos &gt; 2.2 Alimentos</t>
  </si>
  <si>
    <t>2 Costos &gt; 2.3 Servicios y papelería</t>
  </si>
  <si>
    <t>Cuenta reporte</t>
  </si>
  <si>
    <t>Taxes</t>
  </si>
  <si>
    <t>thirdparty_name</t>
  </si>
  <si>
    <t>NEOSTAR SEGURIDAD DE COLOMBIA LTDA</t>
  </si>
  <si>
    <t>MARÍA ALEJANDRA OLIVARES</t>
  </si>
  <si>
    <t>AMANECER DEL MAGDALENA SAS</t>
  </si>
  <si>
    <t>MARIANNA REZK TIMCKE</t>
  </si>
  <si>
    <t>MARIANA PAREDES ALBARRACIN</t>
  </si>
  <si>
    <t>SURA</t>
  </si>
  <si>
    <t>Protección S.A</t>
  </si>
  <si>
    <t>Compensar</t>
  </si>
  <si>
    <t>LOGER DE COLOMBIA SAS</t>
  </si>
  <si>
    <t>PHYLOS INVERSIONES S.A.S.</t>
  </si>
  <si>
    <t>UBER COLOMBIA SAS</t>
  </si>
  <si>
    <t>GG GO SAS</t>
  </si>
  <si>
    <t>ADOBE SYSTEMS SOFTWARE</t>
  </si>
  <si>
    <t>META FACEBOOK</t>
  </si>
  <si>
    <t>LAMARSA EXPORT COLLECTIVE S.A.S</t>
  </si>
  <si>
    <t>DIGITAL PLATFORMS COLOMBIA SAS</t>
  </si>
  <si>
    <t>SHOPIFY</t>
  </si>
  <si>
    <t>GOOGLE</t>
  </si>
  <si>
    <t>RAPPI SAS</t>
  </si>
  <si>
    <t>AMAZON WEB SERVICES, INC</t>
  </si>
  <si>
    <t>F CINTAS SAS</t>
  </si>
  <si>
    <t>POLIETILENOS Y POLIPROPILENOS JC SAS</t>
  </si>
  <si>
    <t>BOLD.CO S.A.S</t>
  </si>
  <si>
    <t>LAURA MARIA SILVA LONDOÑO</t>
  </si>
  <si>
    <t>ANA MARIA SILVA LONDOÑO</t>
  </si>
  <si>
    <t>WARCELINA NARVAEZ RACERO</t>
  </si>
  <si>
    <t>Colfondos</t>
  </si>
  <si>
    <t>Colpensiones</t>
  </si>
  <si>
    <t>ANDUMA SAS</t>
  </si>
  <si>
    <t>LAO KAO SA</t>
  </si>
  <si>
    <t>COSMETIKA SAS</t>
  </si>
  <si>
    <t>Panamericana librería y papelería SA</t>
  </si>
  <si>
    <t>PRINNTECH SAS</t>
  </si>
  <si>
    <t>MARIA CRISTINA PINTO YARA</t>
  </si>
  <si>
    <t>DROPBOX INTERNATIONAL UNLIMITED COMPANY</t>
  </si>
  <si>
    <t>OPENAI  CHATGPT S</t>
  </si>
  <si>
    <t>EMPRESA DE TELECOMUNICACIONES DE BOGOTA SA</t>
  </si>
  <si>
    <t>COLOMBIA TELECOMUNICACIONES S.A. E.S.P. BIC</t>
  </si>
  <si>
    <t>Bancolombia</t>
  </si>
  <si>
    <t>ICBF - Instituto Colombiano de Bienestar Familiar</t>
  </si>
  <si>
    <t>SENA -Servicio Nacional de Aprendizaje</t>
  </si>
  <si>
    <t>U.A.E. DIRECCION DE IMPUESTOS Y ADUANAS NACIONALES</t>
  </si>
  <si>
    <t>Sanitas</t>
  </si>
  <si>
    <t>Salud Total Eps</t>
  </si>
  <si>
    <t>Secretaría Distrital de Hacienda</t>
  </si>
  <si>
    <t>EPS Sura</t>
  </si>
  <si>
    <t>OLGA YOLANDA PEÑA</t>
  </si>
  <si>
    <t>MARIA CONSUELO ROMAN MOLINA</t>
  </si>
  <si>
    <t>LAURA HERRERA PARDO</t>
  </si>
  <si>
    <t>MAILCHIMP</t>
  </si>
  <si>
    <t>KATHERINE MELINA LEGUIZAMO GOMEZ</t>
  </si>
  <si>
    <t>CARLOS ALBERTO MORALES</t>
  </si>
  <si>
    <t>PURA IMAGEN LTDA</t>
  </si>
  <si>
    <t>CARLOS WILLMAN SOTELO SOLER</t>
  </si>
  <si>
    <t>SYMTEX SAS</t>
  </si>
  <si>
    <t>OPTION S A</t>
  </si>
  <si>
    <t>RED COMERCIAL LA MINA SAS</t>
  </si>
  <si>
    <t>CENCOSUD COLOMBIA S.A.</t>
  </si>
  <si>
    <t>TAKAMI SA</t>
  </si>
  <si>
    <t>SMILE BOGOTA SAS</t>
  </si>
  <si>
    <t>SURAMERICA COMERCIAL S.A.S</t>
  </si>
  <si>
    <t>COMERCIAL PAPELERA S.A.</t>
  </si>
  <si>
    <t>JUAN EL PANADERO SAS</t>
  </si>
  <si>
    <t>DLK SAS</t>
  </si>
  <si>
    <t>MERCADO ZAPATOCA S A</t>
  </si>
  <si>
    <t>RICARDO MAURICIO DIAZ JIMENEZ</t>
  </si>
  <si>
    <t>LEADERSEARCH S.A.S</t>
  </si>
  <si>
    <t>ARGENIL KIKE CASTILLO</t>
  </si>
  <si>
    <t>JAIRO RODRIGUEZ</t>
  </si>
  <si>
    <t>LIBRERIA NACIONAL SA</t>
  </si>
  <si>
    <t>Consumidor Final</t>
  </si>
  <si>
    <t>JABONERIA ALMA DE PALMA S.A.S.</t>
  </si>
  <si>
    <t>JULIANA ESTEBAN GOMEZ</t>
  </si>
  <si>
    <t>Porvenir S.A</t>
  </si>
  <si>
    <t>DHL EXPRESS COLOMBIA LTDA</t>
  </si>
  <si>
    <t>Colvanes SAS</t>
  </si>
  <si>
    <t>JULIANA PRIETO ÑAÑEX</t>
  </si>
  <si>
    <t>ROBERTO TINOCO DEVIA</t>
  </si>
  <si>
    <t>AALTO BISTRO SAS</t>
  </si>
  <si>
    <t>ALMACEN EL HACHAZO S A</t>
  </si>
  <si>
    <t>CAFE DEL ESTE SAS</t>
  </si>
  <si>
    <t>GRUPO ARTAK SAS</t>
  </si>
  <si>
    <t>BETTY GRACIA</t>
  </si>
  <si>
    <t>Indeed Ireland Operations Ltd</t>
  </si>
  <si>
    <t>CAMARA DE COMERCIO DE BOGOTA</t>
  </si>
  <si>
    <t>DECORELECTRICOS Y FERRETERIA S.A.S.</t>
  </si>
  <si>
    <t>FERRICENTROS SAS</t>
  </si>
  <si>
    <t>Nivel</t>
  </si>
  <si>
    <t>Transaccional</t>
  </si>
  <si>
    <t>Activo</t>
  </si>
  <si>
    <t>Parent</t>
  </si>
  <si>
    <t>HasChildren</t>
  </si>
  <si>
    <t>Fecha Actualización</t>
  </si>
  <si>
    <t>1</t>
  </si>
  <si>
    <t>Clase</t>
  </si>
  <si>
    <t>No</t>
  </si>
  <si>
    <t>Sí</t>
  </si>
  <si>
    <t>Padre</t>
  </si>
  <si>
    <t>11</t>
  </si>
  <si>
    <t>Efectivo y equivalentes de efectivo</t>
  </si>
  <si>
    <t>Grupo</t>
  </si>
  <si>
    <t>Padre e Hijo</t>
  </si>
  <si>
    <t>1105</t>
  </si>
  <si>
    <t>Caja</t>
  </si>
  <si>
    <t>Cuenta</t>
  </si>
  <si>
    <t>110505</t>
  </si>
  <si>
    <t>Subcuenta</t>
  </si>
  <si>
    <t>Auxiliar</t>
  </si>
  <si>
    <t>Hijo</t>
  </si>
  <si>
    <t>1110</t>
  </si>
  <si>
    <t>Bancos</t>
  </si>
  <si>
    <t>111010</t>
  </si>
  <si>
    <t>Bancos y Entidades Moneda Extranjera</t>
  </si>
  <si>
    <t>1120</t>
  </si>
  <si>
    <t>Cuentas de ahorro</t>
  </si>
  <si>
    <t>112005</t>
  </si>
  <si>
    <t>112010</t>
  </si>
  <si>
    <t>Bold</t>
  </si>
  <si>
    <t>12</t>
  </si>
  <si>
    <t>Inversiones en asociadas</t>
  </si>
  <si>
    <t>1295</t>
  </si>
  <si>
    <t>Acciones o derechos en clubes deportivos</t>
  </si>
  <si>
    <t>129595</t>
  </si>
  <si>
    <t>Otras inversiones</t>
  </si>
  <si>
    <t>13</t>
  </si>
  <si>
    <t>Deudores comerciales y otras cuentas por cobrar</t>
  </si>
  <si>
    <t>1305</t>
  </si>
  <si>
    <t>130505</t>
  </si>
  <si>
    <t>1330</t>
  </si>
  <si>
    <t>Anticipos y avances</t>
  </si>
  <si>
    <t>133005</t>
  </si>
  <si>
    <t>133015</t>
  </si>
  <si>
    <t>1355</t>
  </si>
  <si>
    <t>Anticipo de impuestos y contribuciones o</t>
  </si>
  <si>
    <t>135511</t>
  </si>
  <si>
    <t>135515</t>
  </si>
  <si>
    <t>Anticipo Retención en la fuente</t>
  </si>
  <si>
    <t>135517</t>
  </si>
  <si>
    <t>Impuesto a las ventas retenido</t>
  </si>
  <si>
    <t>135518</t>
  </si>
  <si>
    <t>Impuesto de industria y comercio retenido</t>
  </si>
  <si>
    <t>135575</t>
  </si>
  <si>
    <t>Autorretenciones</t>
  </si>
  <si>
    <t>1380</t>
  </si>
  <si>
    <t>Deudores varios</t>
  </si>
  <si>
    <t>138035</t>
  </si>
  <si>
    <t>138040</t>
  </si>
  <si>
    <t>14</t>
  </si>
  <si>
    <t>Inventarios</t>
  </si>
  <si>
    <t>1435</t>
  </si>
  <si>
    <t>Mercancías no fabricadas por la empresa</t>
  </si>
  <si>
    <t>143501</t>
  </si>
  <si>
    <t>Mercancías no fabricadas</t>
  </si>
  <si>
    <t>15</t>
  </si>
  <si>
    <t>Propiedad planta y equipo</t>
  </si>
  <si>
    <t>1528</t>
  </si>
  <si>
    <t>152805</t>
  </si>
  <si>
    <t>1592</t>
  </si>
  <si>
    <t>Depreciación acumulada</t>
  </si>
  <si>
    <t>159220</t>
  </si>
  <si>
    <t>2</t>
  </si>
  <si>
    <t>Pasivo</t>
  </si>
  <si>
    <t>23</t>
  </si>
  <si>
    <t>Acreedores comerciales y otras cuentas por pagar</t>
  </si>
  <si>
    <t>2335</t>
  </si>
  <si>
    <t>Costos y gastos por pagar</t>
  </si>
  <si>
    <t>233595</t>
  </si>
  <si>
    <t>2365</t>
  </si>
  <si>
    <t>Retenciones en la fuente</t>
  </si>
  <si>
    <t>236525</t>
  </si>
  <si>
    <t>236530</t>
  </si>
  <si>
    <t>Arrendamientos</t>
  </si>
  <si>
    <t>236540</t>
  </si>
  <si>
    <t>Retención por compras</t>
  </si>
  <si>
    <t>236570</t>
  </si>
  <si>
    <t>Otras retenciones</t>
  </si>
  <si>
    <t>236575</t>
  </si>
  <si>
    <t>2367</t>
  </si>
  <si>
    <t>236701</t>
  </si>
  <si>
    <t>2368</t>
  </si>
  <si>
    <t>236805</t>
  </si>
  <si>
    <t>Retención industria y comercio Ica</t>
  </si>
  <si>
    <t>2370</t>
  </si>
  <si>
    <t>Aportes a empresas promotoras de salud eps</t>
  </si>
  <si>
    <t>237005</t>
  </si>
  <si>
    <t>237006</t>
  </si>
  <si>
    <t>Aporte a administradoras de riesgos profesionales</t>
  </si>
  <si>
    <t>237010</t>
  </si>
  <si>
    <t>Aportes al icbf Sena y cajas de compensación</t>
  </si>
  <si>
    <t>2380</t>
  </si>
  <si>
    <t>Acreedores varios</t>
  </si>
  <si>
    <t>238030</t>
  </si>
  <si>
    <t>Fondos de cesantías y/o pensiones</t>
  </si>
  <si>
    <t>24</t>
  </si>
  <si>
    <t>Pasivos por impuestos</t>
  </si>
  <si>
    <t>2404</t>
  </si>
  <si>
    <t>De renta y complementarios corriente</t>
  </si>
  <si>
    <t>240405</t>
  </si>
  <si>
    <t>2408</t>
  </si>
  <si>
    <t>Impuesto sobre las ventas por pagar</t>
  </si>
  <si>
    <t>240806</t>
  </si>
  <si>
    <t>240810</t>
  </si>
  <si>
    <t>Iva descontable por compras</t>
  </si>
  <si>
    <t>240815</t>
  </si>
  <si>
    <t>240816</t>
  </si>
  <si>
    <t>240820</t>
  </si>
  <si>
    <t>Descontable por devoluciones</t>
  </si>
  <si>
    <t>240840</t>
  </si>
  <si>
    <t>2409</t>
  </si>
  <si>
    <t>Impuestos Por Pagar</t>
  </si>
  <si>
    <t>2412</t>
  </si>
  <si>
    <t>2495</t>
  </si>
  <si>
    <t>249501</t>
  </si>
  <si>
    <t>Impuesto al consumo nacional</t>
  </si>
  <si>
    <t>25</t>
  </si>
  <si>
    <t>Beneficios a empleados</t>
  </si>
  <si>
    <t>2505</t>
  </si>
  <si>
    <t>250505</t>
  </si>
  <si>
    <t>2510</t>
  </si>
  <si>
    <t>Pasivo estimado para obligaciones laborales</t>
  </si>
  <si>
    <t>251010</t>
  </si>
  <si>
    <t>25101001</t>
  </si>
  <si>
    <t>Subauxiliar</t>
  </si>
  <si>
    <t>25101002</t>
  </si>
  <si>
    <t>25101003</t>
  </si>
  <si>
    <t>28</t>
  </si>
  <si>
    <t>Pasivos no financieros</t>
  </si>
  <si>
    <t>2805</t>
  </si>
  <si>
    <t>Anticipos y avances recibidos</t>
  </si>
  <si>
    <t>280505</t>
  </si>
  <si>
    <t>3</t>
  </si>
  <si>
    <t>Patrimonio</t>
  </si>
  <si>
    <t>31</t>
  </si>
  <si>
    <t>Capital social</t>
  </si>
  <si>
    <t>3105</t>
  </si>
  <si>
    <t>Capital suscrito y pagado</t>
  </si>
  <si>
    <t>310505</t>
  </si>
  <si>
    <t>36</t>
  </si>
  <si>
    <t>Resultado del ejercicio</t>
  </si>
  <si>
    <t>3605</t>
  </si>
  <si>
    <t>37</t>
  </si>
  <si>
    <t>Resultados de ejercicios anteriores</t>
  </si>
  <si>
    <t>3705</t>
  </si>
  <si>
    <t>370505</t>
  </si>
  <si>
    <t>4</t>
  </si>
  <si>
    <t>Ingresos</t>
  </si>
  <si>
    <t>41</t>
  </si>
  <si>
    <t>Ingresos de actividades ordinarias</t>
  </si>
  <si>
    <t>4135</t>
  </si>
  <si>
    <t>Comercio al por mayor y al detal</t>
  </si>
  <si>
    <t>413501</t>
  </si>
  <si>
    <t>413502</t>
  </si>
  <si>
    <t>Comercio de Productos No Gravados con IVA</t>
  </si>
  <si>
    <t>4145</t>
  </si>
  <si>
    <t>Transporte, almacenamiento y comunicaciones</t>
  </si>
  <si>
    <t>414501</t>
  </si>
  <si>
    <t>4175</t>
  </si>
  <si>
    <t>417505</t>
  </si>
  <si>
    <t>Devolución</t>
  </si>
  <si>
    <t>42</t>
  </si>
  <si>
    <t>Otros ingresos de actividades ordinarias</t>
  </si>
  <si>
    <t>4210</t>
  </si>
  <si>
    <t>Financieros</t>
  </si>
  <si>
    <t>421005</t>
  </si>
  <si>
    <t>4295</t>
  </si>
  <si>
    <t>Diversos</t>
  </si>
  <si>
    <t>429581</t>
  </si>
  <si>
    <t>5</t>
  </si>
  <si>
    <t>Gasto</t>
  </si>
  <si>
    <t>51</t>
  </si>
  <si>
    <t>Administrativos</t>
  </si>
  <si>
    <t>5105</t>
  </si>
  <si>
    <t>Gastos de personal</t>
  </si>
  <si>
    <t>510506</t>
  </si>
  <si>
    <t>510527</t>
  </si>
  <si>
    <t>510530</t>
  </si>
  <si>
    <t>510533</t>
  </si>
  <si>
    <t>510536</t>
  </si>
  <si>
    <t>510539</t>
  </si>
  <si>
    <t>510568</t>
  </si>
  <si>
    <t>510569</t>
  </si>
  <si>
    <t>510570</t>
  </si>
  <si>
    <t>510572</t>
  </si>
  <si>
    <t>510595</t>
  </si>
  <si>
    <t>5110</t>
  </si>
  <si>
    <t>511030</t>
  </si>
  <si>
    <t>Asesoría Contable</t>
  </si>
  <si>
    <t>511035</t>
  </si>
  <si>
    <t>5120</t>
  </si>
  <si>
    <t>512010</t>
  </si>
  <si>
    <t>5135</t>
  </si>
  <si>
    <t>513515</t>
  </si>
  <si>
    <t>Servicios tecnicos</t>
  </si>
  <si>
    <t>513520</t>
  </si>
  <si>
    <t>513525</t>
  </si>
  <si>
    <t>Servicios Públicos</t>
  </si>
  <si>
    <t>513535</t>
  </si>
  <si>
    <t>Teléfono</t>
  </si>
  <si>
    <t>5140</t>
  </si>
  <si>
    <t>Gastos legales</t>
  </si>
  <si>
    <t>514010</t>
  </si>
  <si>
    <t>5145</t>
  </si>
  <si>
    <t>Mantenimiento y reparaciones</t>
  </si>
  <si>
    <t>514510</t>
  </si>
  <si>
    <t>Construcciones y edificaciones</t>
  </si>
  <si>
    <t>5195</t>
  </si>
  <si>
    <t>519525</t>
  </si>
  <si>
    <t>519530</t>
  </si>
  <si>
    <t>519560</t>
  </si>
  <si>
    <t>52</t>
  </si>
  <si>
    <t>5205</t>
  </si>
  <si>
    <t>520506</t>
  </si>
  <si>
    <t>520515</t>
  </si>
  <si>
    <t>520518</t>
  </si>
  <si>
    <t>520530</t>
  </si>
  <si>
    <t>520533</t>
  </si>
  <si>
    <t>520536</t>
  </si>
  <si>
    <t>520539</t>
  </si>
  <si>
    <t>520545</t>
  </si>
  <si>
    <t>Auxilios</t>
  </si>
  <si>
    <t>520568</t>
  </si>
  <si>
    <t>520570</t>
  </si>
  <si>
    <t>520572</t>
  </si>
  <si>
    <t>5220</t>
  </si>
  <si>
    <t>Arrendamientos y Alquileres</t>
  </si>
  <si>
    <t>522010</t>
  </si>
  <si>
    <t>5235</t>
  </si>
  <si>
    <t>523520</t>
  </si>
  <si>
    <t>523525</t>
  </si>
  <si>
    <t>523550</t>
  </si>
  <si>
    <t>523560</t>
  </si>
  <si>
    <t>Publicidad propaganda y promoción</t>
  </si>
  <si>
    <t>523570</t>
  </si>
  <si>
    <t>5295</t>
  </si>
  <si>
    <t>529505</t>
  </si>
  <si>
    <t>529510</t>
  </si>
  <si>
    <t>529515</t>
  </si>
  <si>
    <t>53</t>
  </si>
  <si>
    <t>Otros gastos de actividades ordinarias</t>
  </si>
  <si>
    <t>5305</t>
  </si>
  <si>
    <t>530505</t>
  </si>
  <si>
    <t>530515</t>
  </si>
  <si>
    <t>530520</t>
  </si>
  <si>
    <t>530535</t>
  </si>
  <si>
    <t>530550</t>
  </si>
  <si>
    <t>Gravamen Movto Fiananciero</t>
  </si>
  <si>
    <t>5315</t>
  </si>
  <si>
    <t>Gastos extraordinarios</t>
  </si>
  <si>
    <t>531525</t>
  </si>
  <si>
    <t>5395</t>
  </si>
  <si>
    <t>Gastos diversos</t>
  </si>
  <si>
    <t>539581</t>
  </si>
  <si>
    <t>6</t>
  </si>
  <si>
    <t>Costos de venta</t>
  </si>
  <si>
    <t>61</t>
  </si>
  <si>
    <t>Costo de ventas y de prestación de servicios</t>
  </si>
  <si>
    <t>6135</t>
  </si>
  <si>
    <t>Comercio al por mayor y al por menor</t>
  </si>
  <si>
    <t>613505</t>
  </si>
  <si>
    <t>613506</t>
  </si>
  <si>
    <t>Chart Of Account (PUC) Api</t>
  </si>
  <si>
    <t>Categoria</t>
  </si>
  <si>
    <t>Fixed</t>
  </si>
  <si>
    <t>category</t>
  </si>
  <si>
    <t>Tarjeta Personal BLOOM</t>
  </si>
  <si>
    <t>Tarjeta Personal Bee Marco con sobre</t>
  </si>
  <si>
    <t>Puestos de mesa Hiedra</t>
  </si>
  <si>
    <t>Tarjeta Personal Amazul con sobre (Hor)</t>
  </si>
  <si>
    <t>Cliente primera vez</t>
  </si>
  <si>
    <t>Caja Mediana BLOOM</t>
  </si>
  <si>
    <t>Mousse de Chocolate Sweet Silvana</t>
  </si>
  <si>
    <t>Bolsita celebraciones</t>
  </si>
  <si>
    <t>Tarjetón Doble Jaguar Colores</t>
  </si>
  <si>
    <t>Target &lt; 3-5</t>
  </si>
  <si>
    <t>Costos fijos totales</t>
  </si>
  <si>
    <t>Etiqueta Costo de ventas contable</t>
  </si>
  <si>
    <t>Costo de ventas calc</t>
  </si>
  <si>
    <t>Costo de ventas calculado</t>
  </si>
  <si>
    <t>Feria</t>
  </si>
  <si>
    <t>Envío pos</t>
  </si>
  <si>
    <t>23670110</t>
  </si>
  <si>
    <t>Devolución Impuesto a la Ventas Retenido 100% no residentes</t>
  </si>
  <si>
    <t>24081602</t>
  </si>
  <si>
    <t>Devolución Iva descontable retenido por servicios</t>
  </si>
  <si>
    <t>FREEPK</t>
  </si>
  <si>
    <t>CLAUDE.AI</t>
  </si>
  <si>
    <t>Contribución $</t>
  </si>
  <si>
    <t>Contribución %</t>
  </si>
  <si>
    <t>Breakeven</t>
  </si>
  <si>
    <t>ROAS Breakeven</t>
  </si>
  <si>
    <t>BE-ROAS</t>
  </si>
  <si>
    <t>Tienda 69</t>
  </si>
  <si>
    <t>Tarjeta Personal Florario menta con sobre</t>
  </si>
  <si>
    <t>Tarjeta Personal Florario Azul con sobre</t>
  </si>
  <si>
    <t>Caja Mediana Clasico Fonts</t>
  </si>
  <si>
    <t>TARJETA PERSONAL BAILARINA x1</t>
  </si>
  <si>
    <t>Caja dura pequeña (especial para regalar)</t>
  </si>
  <si>
    <t>Caja pequeña Clásico</t>
  </si>
  <si>
    <t>Caja pequeña Morado</t>
  </si>
  <si>
    <t>Tarjeta Personal con sobre Toscana Florero</t>
  </si>
  <si>
    <t>Caja de Fosforos HOJA VERDE</t>
  </si>
  <si>
    <t>TARJETÓN MUSH COUPLE</t>
  </si>
  <si>
    <t>Sobres efectivo Bouquet: Lluvia de sobres (Listos para llevar)</t>
  </si>
  <si>
    <t>Caja Grande Flex Clásica</t>
  </si>
  <si>
    <t>Notas de campo grande Nido</t>
  </si>
  <si>
    <t>Oportunidad</t>
  </si>
  <si>
    <t>TARJETON XL PROTEA</t>
  </si>
  <si>
    <t>DETALLES GRANDE MT vol</t>
  </si>
  <si>
    <t>Tarjeta Personal Amazul con sobre (Vert)</t>
  </si>
  <si>
    <t>Tarjeta Personal Amazul (Hor)</t>
  </si>
  <si>
    <t>Tarjetón Piña</t>
  </si>
  <si>
    <t>Tarjetón Toscana</t>
  </si>
  <si>
    <t>Tarjetas Merry X-MAS</t>
  </si>
  <si>
    <t>Caja Mediana Doble Amazonas</t>
  </si>
  <si>
    <t>Notas dobles con sobre GRANADA (listos para llevar)</t>
  </si>
  <si>
    <t>Pack tarjetón doble + sencillo Granada (listos para llevar)</t>
  </si>
  <si>
    <t>Puestos de mesa- Granada (listos para llevar)</t>
  </si>
  <si>
    <t>Caja Mediana Doble Jaguar Colores</t>
  </si>
  <si>
    <t>Sobres efectivo Blue: Lluvia de sobres</t>
  </si>
  <si>
    <t>Caja Mediana Granada</t>
  </si>
  <si>
    <t>Caja Grande Flex Selva</t>
  </si>
  <si>
    <t>Tarjetón + Tarjetón doble Toscana</t>
  </si>
  <si>
    <t>Crema Calmante Corporal - Rosa Mistica</t>
  </si>
  <si>
    <t>Jabón líquido restaurador Rosa Mística</t>
  </si>
  <si>
    <t>Notas dobles con sobre Florario PINK</t>
  </si>
  <si>
    <t>Cartuchera de Lona con Diseño Granada</t>
  </si>
  <si>
    <t>Cartuchera de Lona con Diseño Gatos</t>
  </si>
  <si>
    <t>Capitan Botella</t>
  </si>
  <si>
    <t>Mini Cuadro BOUQUET SILVESTRE</t>
  </si>
  <si>
    <t>Chocolates travels Colombia</t>
  </si>
  <si>
    <t>Chocolates Honeycomb Bites</t>
  </si>
  <si>
    <t>Chocolates White Pistacho</t>
  </si>
  <si>
    <t>TARJETÓN MUSH</t>
  </si>
  <si>
    <t>Caja Fosforos mini</t>
  </si>
  <si>
    <t>Tarjeton doble Navidad Aviario (listo para llevar)</t>
  </si>
  <si>
    <t>Tarjetas SWEATHERS X-MAS</t>
  </si>
  <si>
    <t>Chocolates Love you pack</t>
  </si>
  <si>
    <t>Tarjeton doble Navidad Cardenal (listo para llevar)</t>
  </si>
  <si>
    <t>Tarjeton doble Navidad Arbol (listo para llevar)</t>
  </si>
  <si>
    <t>Tarjeton doble Navidad Kraft (listo para llevar)</t>
  </si>
  <si>
    <t>Tarjetón Corona X-mas</t>
  </si>
  <si>
    <t>Sobres efectivo Granada: Lluvia de sobres (LPL)</t>
  </si>
  <si>
    <t>Sobres efectivo Navidad: Dulce</t>
  </si>
  <si>
    <t>Sobres efectivo Navidad: Corona</t>
  </si>
  <si>
    <t>Sobres efectivo Navidad: Holly</t>
  </si>
  <si>
    <t>Sobres efectivo Navidad: Esquiadores</t>
  </si>
  <si>
    <t>Caja Mediana Doble Rosa</t>
  </si>
  <si>
    <t>Notas dobles con sobre - caligrafía Marianna Rezk</t>
  </si>
  <si>
    <t>Sobres efectivo Navidad: BOTANIC BIRD</t>
  </si>
  <si>
    <t>Lamina XL Toscana Limon</t>
  </si>
  <si>
    <t>Caja Grande Flex Morado</t>
  </si>
  <si>
    <t>Caja Grande Flex Granada</t>
  </si>
  <si>
    <t>Tarjetón en caja-Dulce Navidad (Listas para llevar)</t>
  </si>
  <si>
    <t>Sobres efectivo Navidad: Nube</t>
  </si>
  <si>
    <t>Tarjetón en caja-TRineo (Listas para llevar)</t>
  </si>
  <si>
    <t>De/para Tropi x-mas (Listas para llevar)</t>
  </si>
  <si>
    <t>Tarjeta Personal Piña (H)</t>
  </si>
  <si>
    <t>Tarjeta Personal Culebra</t>
  </si>
  <si>
    <t>De/para dulce x-MAS (Listas para llevar)</t>
  </si>
  <si>
    <t>Caja Pequeña SANTA X-MAS</t>
  </si>
  <si>
    <t>Caja pequeña Blanco 2</t>
  </si>
  <si>
    <t>De/para Sweathers (Listas para llevar)</t>
  </si>
  <si>
    <t>De/para Cardenal (Listas para llevar)</t>
  </si>
  <si>
    <t>Caja Pequeña Trineo (Casa AZARA)</t>
  </si>
  <si>
    <t>Tarjetón Doble Palma</t>
  </si>
  <si>
    <t>De/para Gingerbread (Listas para llevar)</t>
  </si>
  <si>
    <t>Tarjetón Trineo (Casa AZARA)</t>
  </si>
  <si>
    <t>Tarjetón en caja-Gingerbread (Listas para llevar)</t>
  </si>
  <si>
    <t>MENÚ CORONA</t>
  </si>
  <si>
    <t>PUESTOS DE MESA CORONA X-MAS</t>
  </si>
  <si>
    <t>Caja Pequeña Gingerbread (Listo para llevar)</t>
  </si>
  <si>
    <t>De/para  Trineo (Listas para llevar)</t>
  </si>
  <si>
    <t>Tarjetón Carro (Casa AZARA)</t>
  </si>
  <si>
    <t>Tarjetón Doble Trineo (Casa AZARA)</t>
  </si>
  <si>
    <t>TARJETON XL TROPI X-MAS</t>
  </si>
  <si>
    <t>Tarjeta Personal - caligrafía Marianna Rezk</t>
  </si>
  <si>
    <t>Puestos de mesa- Dulce (Listo para llevar)</t>
  </si>
  <si>
    <t>TARJETON XL JARDIN X-MAS</t>
  </si>
  <si>
    <t>Tarjeton doble Navidad Holly (listo para llevar)</t>
  </si>
  <si>
    <t>Blocks Amazonas (listos para llevar)</t>
  </si>
  <si>
    <t>Notas dobles con sobre Dulce (listos para llevar)</t>
  </si>
  <si>
    <t>Notas dobles con sobre Trineo (listos para llevar)</t>
  </si>
  <si>
    <t>Caja Mediana Nido</t>
  </si>
  <si>
    <t>Tarjeta Personal Cacatua Pembe (v)</t>
  </si>
  <si>
    <t>PUESTOS DE MESA TRINEO (CASA AZARA)</t>
  </si>
  <si>
    <t>Sobres efectivo Corona: Lluvia de sobres (LPL)</t>
  </si>
  <si>
    <t>Galletas</t>
  </si>
  <si>
    <t>Tarjetón doble x20 (sin sobre) vol</t>
  </si>
  <si>
    <t>Caja Grande Flex Tucan</t>
  </si>
  <si>
    <t>Tarjetón Sencillo x20 con sobre (volumen)</t>
  </si>
  <si>
    <t>111005</t>
  </si>
  <si>
    <t>233525</t>
  </si>
  <si>
    <t>25101006</t>
  </si>
  <si>
    <t>EPS</t>
  </si>
  <si>
    <t>25101008</t>
  </si>
  <si>
    <t>APORTES DE PENSION</t>
  </si>
  <si>
    <t>417510</t>
  </si>
  <si>
    <t>Devolución Productos No gravados con IVA</t>
  </si>
  <si>
    <t>4180</t>
  </si>
  <si>
    <t>418001</t>
  </si>
  <si>
    <t>4250</t>
  </si>
  <si>
    <t>Recuperaciones</t>
  </si>
  <si>
    <t>510545</t>
  </si>
  <si>
    <t>510548</t>
  </si>
  <si>
    <t>510575</t>
  </si>
  <si>
    <t>510578</t>
  </si>
  <si>
    <t>511025</t>
  </si>
  <si>
    <t>Asesoría jurídica</t>
  </si>
  <si>
    <t>5115</t>
  </si>
  <si>
    <t>Impuestos</t>
  </si>
  <si>
    <t>511505</t>
  </si>
  <si>
    <t>Industria y comercio</t>
  </si>
  <si>
    <t>513550</t>
  </si>
  <si>
    <t>514005</t>
  </si>
  <si>
    <t>514015</t>
  </si>
  <si>
    <t>5155</t>
  </si>
  <si>
    <t>Gastos de viaje</t>
  </si>
  <si>
    <t>515515</t>
  </si>
  <si>
    <t>Pasajes aéreos</t>
  </si>
  <si>
    <t>519505</t>
  </si>
  <si>
    <t>519565</t>
  </si>
  <si>
    <t>519595</t>
  </si>
  <si>
    <t>520527</t>
  </si>
  <si>
    <t>520548</t>
  </si>
  <si>
    <t>520560</t>
  </si>
  <si>
    <t>520569</t>
  </si>
  <si>
    <t>520575</t>
  </si>
  <si>
    <t>520578</t>
  </si>
  <si>
    <t>522015</t>
  </si>
  <si>
    <t>523565</t>
  </si>
  <si>
    <t>531520</t>
  </si>
  <si>
    <t>Impuestos asumidos</t>
  </si>
  <si>
    <t>54</t>
  </si>
  <si>
    <t>5405</t>
  </si>
  <si>
    <t>540505</t>
  </si>
  <si>
    <t>6155</t>
  </si>
  <si>
    <t>Actividades inmobiliarias, empresariales y de alquiler</t>
  </si>
  <si>
    <t>615505</t>
  </si>
  <si>
    <t>Eps Famisanar</t>
  </si>
  <si>
    <t>MARIANA RICAURTE RESTREPO</t>
  </si>
  <si>
    <t>EXYWORK SAS</t>
  </si>
  <si>
    <t>INVESTIGACIONES Y COBRANZAS EL LIBERTADOR S A</t>
  </si>
  <si>
    <t>MARIA ALEJANDRA MEDINA</t>
  </si>
  <si>
    <t>BACO FOODS COLOMBIA S.A.S.</t>
  </si>
  <si>
    <t>INVERSIONES SOMONTANO SAS</t>
  </si>
  <si>
    <t>5 &amp; QUINCE SAS</t>
  </si>
  <si>
    <t>SARNELLI SAS</t>
  </si>
  <si>
    <t>DIANA GARCÍA G. CHEF SAS</t>
  </si>
  <si>
    <t>MARIA ALEJANDRA PARRA</t>
  </si>
  <si>
    <t>WOMPI S.A.S</t>
  </si>
  <si>
    <t>PAYU COLOMBIA S.A.S.</t>
  </si>
  <si>
    <t>MANUELA RESTREPO</t>
  </si>
  <si>
    <t>CLARA MONSALVE</t>
  </si>
  <si>
    <t>PAULA RUIZ</t>
  </si>
  <si>
    <t>DIEZ COLOMBIA S.A.S.</t>
  </si>
  <si>
    <t>ROSARIO LUCENA</t>
  </si>
  <si>
    <t>ANA CANON</t>
  </si>
  <si>
    <t>CHRISTINA STREUBEL</t>
  </si>
  <si>
    <t>XIMENA LOMBANA</t>
  </si>
  <si>
    <t>SARA LOPEZ DE CARREIRA</t>
  </si>
  <si>
    <t>IVONNE PRADOS</t>
  </si>
  <si>
    <t>COLDISEÑO SAS</t>
  </si>
  <si>
    <t>SARITA POSADA</t>
  </si>
  <si>
    <t>LILIANA PARRA</t>
  </si>
  <si>
    <t>ADRIANA GARCIA</t>
  </si>
  <si>
    <t>PAULA GARAVITO</t>
  </si>
  <si>
    <t>JULIANA ARGUMEDO</t>
  </si>
  <si>
    <t>NATALIA CORREDOF</t>
  </si>
  <si>
    <t>GLC GROUP SAS</t>
  </si>
  <si>
    <t>IGNACIO IMAS</t>
  </si>
  <si>
    <t>LUZ MARINA BUSTOS JULIA</t>
  </si>
  <si>
    <t>MARIA IRENE GUTIÉRREZ</t>
  </si>
  <si>
    <t>MARÍA PAULA VARGAS</t>
  </si>
  <si>
    <t>ALEJANDRA PARRA</t>
  </si>
  <si>
    <t>SANDRA HERRERA</t>
  </si>
  <si>
    <t>JULIANA PARRA</t>
  </si>
  <si>
    <t>JUAN ARANA</t>
  </si>
  <si>
    <t>MAIA DE DIVITIIS</t>
  </si>
  <si>
    <t>CLARA ALICIA BAENA PALACIOS</t>
  </si>
  <si>
    <t>ESTRATEGIA LEGAL LTDA</t>
  </si>
  <si>
    <t>CLAUDIA HERRERA</t>
  </si>
  <si>
    <t>ADRIANA PINEDA</t>
  </si>
  <si>
    <t>MARIA HEREDIA</t>
  </si>
  <si>
    <t>VALENTINA OLACIREGUI</t>
  </si>
  <si>
    <t>AMALIA CARVAJAL</t>
  </si>
  <si>
    <t>JUAN ALBERTO YOKENES</t>
  </si>
  <si>
    <t>VIVIANA GUTIERREZ</t>
  </si>
  <si>
    <t>JENNY CALDERON</t>
  </si>
  <si>
    <t>TEG EXPO SAS</t>
  </si>
  <si>
    <t>CARMEN SANTIAGO</t>
  </si>
  <si>
    <t>MARIA PAULA VALLEJO</t>
  </si>
  <si>
    <t>CAMILA VILLEGAS</t>
  </si>
  <si>
    <t>VALENTINA RIASCOS ESCOLAR</t>
  </si>
  <si>
    <t>JOHANNA SANINT</t>
  </si>
  <si>
    <t>LAURA GARCIA CABALLERO</t>
  </si>
  <si>
    <t>MARILENY ZULUAGA</t>
  </si>
  <si>
    <t>ATELIER SIETE SAS</t>
  </si>
  <si>
    <t>AVAL FIDUCIARIA</t>
  </si>
  <si>
    <t>LINA LONDONO</t>
  </si>
  <si>
    <t>MARIAPIA BRUGNARA</t>
  </si>
  <si>
    <t>CRISTINA LLOREDA</t>
  </si>
  <si>
    <t>LAURA LONDOÑO</t>
  </si>
  <si>
    <t>MARÍA ACEVEDO</t>
  </si>
  <si>
    <t>LUISA FERNANDA LÓPEZ</t>
  </si>
  <si>
    <t>NATHALIA ARANGO</t>
  </si>
  <si>
    <t>TANSY EVANS</t>
  </si>
  <si>
    <t>MARIA VICTORIA ORTEGA</t>
  </si>
  <si>
    <t>GERMAN CARRERO</t>
  </si>
  <si>
    <t>CAMILA ARRIAGA</t>
  </si>
  <si>
    <t>JASMINE BORIS</t>
  </si>
  <si>
    <t>NATALIA ESCOBAR</t>
  </si>
  <si>
    <t>ESTRATEGIAS S.A.S.</t>
  </si>
  <si>
    <t>IKSO SAS</t>
  </si>
  <si>
    <t>NELSON JAVER CORREDOR BERNAL</t>
  </si>
  <si>
    <t>DH COLOMBIA SAS</t>
  </si>
  <si>
    <t>LATIN LOGISTIC COLOMBIA SAS</t>
  </si>
  <si>
    <t>INTER RAPIDISIMO S.A</t>
  </si>
  <si>
    <t>EL ADORNO MERCERÍA S.A.S</t>
  </si>
  <si>
    <t>AUROSCOPIAS SAS</t>
  </si>
  <si>
    <t>ENCUADERNACION CHAPINERO SAS</t>
  </si>
  <si>
    <t>TROQUELES Y PUBLICIDAD CHACON SAS</t>
  </si>
  <si>
    <t>FUNDACIÓN ENDEAVOR COLOMBIA</t>
  </si>
  <si>
    <t>EPS Familiar de Colombia S.A.S.</t>
  </si>
  <si>
    <t>GASTROARABE SAS</t>
  </si>
  <si>
    <t>MARTHA AMAYA</t>
  </si>
  <si>
    <t>CAROLINA RIBON</t>
  </si>
  <si>
    <t>SANDRA SERRANO</t>
  </si>
  <si>
    <t>MANUELA RAMIREZ</t>
  </si>
  <si>
    <t>PROPACKING SAS</t>
  </si>
  <si>
    <t>LA VERANERA COLOMBIA SAS</t>
  </si>
  <si>
    <t>YUBARTA COLOMBIA SAS</t>
  </si>
  <si>
    <t>TATIANA CASTELBLANCO</t>
  </si>
  <si>
    <t>JHON PARRA</t>
  </si>
  <si>
    <t>CATALINA BARJUN</t>
  </si>
  <si>
    <t>ROSITA RESTREPO</t>
  </si>
  <si>
    <t>SHIRLEY DAYANA ALVAREZ GOMEZ</t>
  </si>
  <si>
    <t>DISTRIBUIDORA MATEC S.A.S</t>
  </si>
  <si>
    <t>FARO EDITORES SAS</t>
  </si>
  <si>
    <t>ART BOOKS EDICIONES SAS</t>
  </si>
  <si>
    <t>EDICIONES MONSERRATE SAS</t>
  </si>
  <si>
    <t>DIANA CAMILA MAPE GARAVITO</t>
  </si>
  <si>
    <t>CLEMENTE FERNÁNDEZ COTES</t>
  </si>
  <si>
    <t>CASTELLANO ETHNIC ORIGINS SAS</t>
  </si>
  <si>
    <t>ADRIANA UMAÑA</t>
  </si>
  <si>
    <t>MARIA CAROLINA HOYOS</t>
  </si>
  <si>
    <t>LUISA VELEZ</t>
  </si>
  <si>
    <t>PAOLA GALLEGO</t>
  </si>
  <si>
    <t>PELLETIER &amp; COMPANY SAS</t>
  </si>
  <si>
    <t>BATHTIKE LTDA</t>
  </si>
  <si>
    <t>5 CONEJOS 0 5 CONEJOS 0</t>
  </si>
  <si>
    <t>CERERIAS ESPAÑOLAS EL FARO</t>
  </si>
  <si>
    <t>Siigo SAS</t>
  </si>
  <si>
    <t>MAC CENTER COLOMBIA SAS X</t>
  </si>
  <si>
    <t>MARIA CONSUELO RESTREPO CAMACHO</t>
  </si>
  <si>
    <t>MARIA NOHELIA BARRANTES CUERVO</t>
  </si>
  <si>
    <t>BAGATELLE  S.A.S.</t>
  </si>
  <si>
    <t>Crepes Waffles</t>
  </si>
  <si>
    <t>PANARTE SAS</t>
  </si>
  <si>
    <t>LUZ CORAL RINCON C</t>
  </si>
  <si>
    <t>LUCIA TAMARA</t>
  </si>
  <si>
    <t>SKANDIA ADMINISTRADORA DE FONDOS DE PENSIONES Y CESANTIAS S.A</t>
  </si>
  <si>
    <t>MARIA ALEJANDRA NEIRA</t>
  </si>
  <si>
    <t>MARÍA FERNANDA SUÁREZ</t>
  </si>
  <si>
    <t>MARIANA DUQUE VÉLEZ</t>
  </si>
  <si>
    <t>CLAUDIA REY COTE</t>
  </si>
  <si>
    <t>ADRIANA VENEGAS VENEGAS</t>
  </si>
  <si>
    <t>ALBERTO PARDO</t>
  </si>
  <si>
    <t>DIANA OBREGON DE PUERTO</t>
  </si>
  <si>
    <t>ADRIANA LIEVANO</t>
  </si>
  <si>
    <t>ALMACENES EXITO SA</t>
  </si>
  <si>
    <t>KATHERINE ANDREA BAEZ CELY</t>
  </si>
  <si>
    <t>CAMPO APICOLA</t>
  </si>
  <si>
    <t>MULTISUMINISTROS INDUSTRIALES SAS</t>
  </si>
  <si>
    <t>GLOBAL BRANDING IDEAS S A S</t>
  </si>
  <si>
    <t>SOFIA PRIETO PERDOMO</t>
  </si>
  <si>
    <t>JONATHAN OLEGARIO MARTINEZ BARBOSA</t>
  </si>
  <si>
    <t>TORO GRAFIK SAS</t>
  </si>
  <si>
    <t>MULTIBORDADO MB S.A.S</t>
  </si>
  <si>
    <t>MARIA GABRIELA CASTRO</t>
  </si>
  <si>
    <t>RAQUEL CORONELL</t>
  </si>
  <si>
    <t>NEMESIO HERNANDEZ</t>
  </si>
  <si>
    <t>PABLO AMAYA</t>
  </si>
  <si>
    <t>TEMPO COLOMBIA TRAVEL SAS</t>
  </si>
  <si>
    <t>LA LOCAL SAS</t>
  </si>
  <si>
    <t>HARBOURVEST PARTNERS LLC OFICINA DE REPRESENTACION</t>
  </si>
  <si>
    <t>JAVIER MONTAÑO</t>
  </si>
  <si>
    <t>JAVIER CIPAGAUTA</t>
  </si>
  <si>
    <t>LOISOLUCIONES</t>
  </si>
  <si>
    <t>THOR BORRESEN</t>
  </si>
  <si>
    <t>JUAN ANTONIO RESTREPO</t>
  </si>
  <si>
    <t>MICHELLE SOLTERO</t>
  </si>
  <si>
    <t>MONICA RODRIGUEZ</t>
  </si>
  <si>
    <t>ANGELA MARIA ARANGO</t>
  </si>
  <si>
    <t>NATHALIE SUAREZ</t>
  </si>
  <si>
    <t>ASOCIACION DE FUNDACIONES FAMILIARES Y EMPRESARIALES</t>
  </si>
  <si>
    <t>ANDREA JIMENA LIZCANO NEIRA</t>
  </si>
  <si>
    <t>MAGNOLIA CARO</t>
  </si>
  <si>
    <t>CORPORACION YOUNG PRESIDENTS ORGANIZATION CAPITULO COLOMBIA</t>
  </si>
  <si>
    <t>PAOLA CASTRO</t>
  </si>
  <si>
    <t>SUPERPLASTICOS MS LTDA</t>
  </si>
  <si>
    <t>LAST TOUR AMERICA SAS</t>
  </si>
  <si>
    <t>SER DIGITAL IMPRESIONES Y DISEÑO SAS</t>
  </si>
  <si>
    <t>ESTUCHES Y EMPAQUES LTDA</t>
  </si>
  <si>
    <t>SYMPLIFICA SAS</t>
  </si>
  <si>
    <t>SOMOS MASA SAS</t>
  </si>
  <si>
    <t>DUQUE SALDARRIAGA Y CIA S.A.S</t>
  </si>
  <si>
    <t>ADRIANA APARICIO</t>
  </si>
  <si>
    <t>ADRIANA ARANGUREN</t>
  </si>
  <si>
    <t>ANA ISAZA</t>
  </si>
  <si>
    <t>JUANA DUQUE</t>
  </si>
  <si>
    <t>inversiones y negocios alfa centuri sas</t>
  </si>
  <si>
    <t>MARIA PAULA CANO</t>
  </si>
  <si>
    <t>JANETH MANTILLA</t>
  </si>
  <si>
    <t>INVESTCOL SAS</t>
  </si>
  <si>
    <t>KEEPING NATURE TOURS S.A.S. BIC</t>
  </si>
  <si>
    <t>MARIANA GUZMAN</t>
  </si>
  <si>
    <t>MARCELA CHAIN</t>
  </si>
  <si>
    <t>MAJU CAPITAL SAS</t>
  </si>
  <si>
    <t>LISA NEISA</t>
  </si>
  <si>
    <t>CATALINA GAVIRIA</t>
  </si>
  <si>
    <t>CAROLINA PACHECO</t>
  </si>
  <si>
    <t>BLACKJACK IMPORTACIONES SAS</t>
  </si>
  <si>
    <t>TRESCIENTOS SESENTA SAS</t>
  </si>
  <si>
    <t>MARIAN VALENCIA</t>
  </si>
  <si>
    <t>Camilo Gutierrez</t>
  </si>
  <si>
    <t>DIANA GUERRERO V</t>
  </si>
  <si>
    <t>ESPACIOS ARMONICOS SAS</t>
  </si>
  <si>
    <t>OSORIO TORO GUSTAVO</t>
  </si>
  <si>
    <t>PAPELERIA MILGER</t>
  </si>
  <si>
    <t>CARLOS ANDRES MORENO PINEDA</t>
  </si>
  <si>
    <t>ig</t>
  </si>
  <si>
    <t>120214225750610497</t>
  </si>
  <si>
    <t>120227959112760497</t>
  </si>
  <si>
    <t>Nueva campaña de Ventas</t>
  </si>
  <si>
    <t>Campaña Campaña de compra Advantage+ 29/05/2025 Campaña</t>
  </si>
  <si>
    <t>Campaña Campaña de compra Advantage  29/05/2025 Campaña</t>
  </si>
  <si>
    <t>refresh_date</t>
  </si>
  <si>
    <t>Fecha refrescar histórico</t>
  </si>
  <si>
    <t>120243452131300497</t>
  </si>
  <si>
    <t>month</t>
  </si>
  <si>
    <t>cajas TIPO FOSFOROS</t>
  </si>
  <si>
    <t>MINI FOSFOROS</t>
  </si>
  <si>
    <t>Feria_net_sales</t>
  </si>
  <si>
    <t>Feria_orders</t>
  </si>
  <si>
    <t>Feria_average_order_value</t>
  </si>
  <si>
    <t>Feria_cost_of_goods_sold</t>
  </si>
  <si>
    <t>11100503</t>
  </si>
  <si>
    <t>Pagos en línea Mercado Pago</t>
  </si>
  <si>
    <t>13551502</t>
  </si>
  <si>
    <t>Devolución Retención en la fuente 2,5%</t>
  </si>
  <si>
    <t>13551504</t>
  </si>
  <si>
    <t>Devolución Retención en la fuente 4%</t>
  </si>
  <si>
    <t>13551505</t>
  </si>
  <si>
    <t>Anticipo Retención en la fuente 6%</t>
  </si>
  <si>
    <t>13551802</t>
  </si>
  <si>
    <t>Devolución Rete Ica 11,04</t>
  </si>
  <si>
    <t>13551806</t>
  </si>
  <si>
    <t>Devolución Rete Ica 9,66</t>
  </si>
  <si>
    <t>13551807</t>
  </si>
  <si>
    <t>Rete Ica 8</t>
  </si>
  <si>
    <t>13551814</t>
  </si>
  <si>
    <t>Devolución Rete Ica 4</t>
  </si>
  <si>
    <t>135520</t>
  </si>
  <si>
    <t>Saldos a Favor</t>
  </si>
  <si>
    <t>13552005</t>
  </si>
  <si>
    <t>Iva a Favor</t>
  </si>
  <si>
    <t>13557505</t>
  </si>
  <si>
    <t>13557510</t>
  </si>
  <si>
    <t>Autoretenciones 0.8</t>
  </si>
  <si>
    <t>138095</t>
  </si>
  <si>
    <t>13809502</t>
  </si>
  <si>
    <t>Otros deudores</t>
  </si>
  <si>
    <t>22</t>
  </si>
  <si>
    <t>Proveedores</t>
  </si>
  <si>
    <t>2205</t>
  </si>
  <si>
    <t>220505</t>
  </si>
  <si>
    <t>2299</t>
  </si>
  <si>
    <t>233530</t>
  </si>
  <si>
    <t>23353005</t>
  </si>
  <si>
    <t>233545</t>
  </si>
  <si>
    <t>Transportes fletes y acarreos</t>
  </si>
  <si>
    <t>23354505</t>
  </si>
  <si>
    <t>233550</t>
  </si>
  <si>
    <t>Servicios públicos</t>
  </si>
  <si>
    <t>23355001</t>
  </si>
  <si>
    <t>236515</t>
  </si>
  <si>
    <t>23651501</t>
  </si>
  <si>
    <t>236520</t>
  </si>
  <si>
    <t>23652001</t>
  </si>
  <si>
    <t>23652501</t>
  </si>
  <si>
    <t>Servicios 6%</t>
  </si>
  <si>
    <t>23652502</t>
  </si>
  <si>
    <t>Devolución Servicios 6%</t>
  </si>
  <si>
    <t>23652507</t>
  </si>
  <si>
    <t>Retefuente 3.5 % Serv</t>
  </si>
  <si>
    <t>23652508</t>
  </si>
  <si>
    <t>Retefuente 3.5 % Serv DEV</t>
  </si>
  <si>
    <t>23654002</t>
  </si>
  <si>
    <t>Devolución Retención por compras 2,5%</t>
  </si>
  <si>
    <t>23654004</t>
  </si>
  <si>
    <t>Retención por compras 3,5%</t>
  </si>
  <si>
    <t>23657501</t>
  </si>
  <si>
    <t>23657502</t>
  </si>
  <si>
    <t>Autorretenciones 0.8</t>
  </si>
  <si>
    <t>23680502</t>
  </si>
  <si>
    <t>Devolución Reteica 11,04</t>
  </si>
  <si>
    <t>23680507</t>
  </si>
  <si>
    <t>Reteica 8</t>
  </si>
  <si>
    <t>23680515</t>
  </si>
  <si>
    <t>Reteica 14</t>
  </si>
  <si>
    <t>238040</t>
  </si>
  <si>
    <t>Prestamos de terceros</t>
  </si>
  <si>
    <t>23804001</t>
  </si>
  <si>
    <t>238095</t>
  </si>
  <si>
    <t>23809501</t>
  </si>
  <si>
    <t>24081003</t>
  </si>
  <si>
    <t>Iva descontable por compras 5%</t>
  </si>
  <si>
    <t>240835</t>
  </si>
  <si>
    <t>Iva a favor</t>
  </si>
  <si>
    <t>24083501</t>
  </si>
  <si>
    <t>240910</t>
  </si>
  <si>
    <t>Rteica Por Pagar</t>
  </si>
  <si>
    <t>240920</t>
  </si>
  <si>
    <t>Impoconsumo Por Pagar</t>
  </si>
  <si>
    <t>24950102</t>
  </si>
  <si>
    <t>Impuesto al consumo en devolucion en ventas</t>
  </si>
  <si>
    <t>24950103</t>
  </si>
  <si>
    <t>Impuesto al consumo en compras</t>
  </si>
  <si>
    <t>25101005</t>
  </si>
  <si>
    <t>ARL</t>
  </si>
  <si>
    <t>25101007</t>
  </si>
  <si>
    <t>CCF</t>
  </si>
  <si>
    <t>2570</t>
  </si>
  <si>
    <t>Retenciones y aportes de Nomina</t>
  </si>
  <si>
    <t>257010</t>
  </si>
  <si>
    <t>Aportes al ICBF, SENA</t>
  </si>
  <si>
    <t>25701005</t>
  </si>
  <si>
    <t>SENA</t>
  </si>
  <si>
    <t>25701010</t>
  </si>
  <si>
    <t>ICBF</t>
  </si>
  <si>
    <t>421020</t>
  </si>
  <si>
    <t>Diferencia en cambio</t>
  </si>
  <si>
    <t>42102001</t>
  </si>
  <si>
    <t>511570</t>
  </si>
  <si>
    <t>Prorrateo de Iva</t>
  </si>
  <si>
    <t>51157001</t>
  </si>
  <si>
    <t>51157002</t>
  </si>
  <si>
    <t>Iva Descontable</t>
  </si>
  <si>
    <t>511580</t>
  </si>
  <si>
    <t>Impuesto al consumo</t>
  </si>
  <si>
    <t>51158001</t>
  </si>
  <si>
    <t>512020</t>
  </si>
  <si>
    <t>Equipo de oficina</t>
  </si>
  <si>
    <t>51202001</t>
  </si>
  <si>
    <t>Arrendamientos - Equipo de oficina</t>
  </si>
  <si>
    <t>512025</t>
  </si>
  <si>
    <t>Equipo de computación</t>
  </si>
  <si>
    <t>51202501</t>
  </si>
  <si>
    <t>Arrendamiento - Equipo de computación y comunicación</t>
  </si>
  <si>
    <t>5130</t>
  </si>
  <si>
    <t>Seguros</t>
  </si>
  <si>
    <t>513030</t>
  </si>
  <si>
    <t>Terremoto</t>
  </si>
  <si>
    <t>51303001</t>
  </si>
  <si>
    <t>Seguros - Terremoto</t>
  </si>
  <si>
    <t>51352501</t>
  </si>
  <si>
    <t>Acueducto y alcantarillado</t>
  </si>
  <si>
    <t>513530</t>
  </si>
  <si>
    <t>Energía eléctrica</t>
  </si>
  <si>
    <t>51353001</t>
  </si>
  <si>
    <t>Servicios públicos - Energía eléctrica</t>
  </si>
  <si>
    <t>51353501</t>
  </si>
  <si>
    <t>Servicios públicos - Teléfono</t>
  </si>
  <si>
    <t>513555</t>
  </si>
  <si>
    <t>Gas</t>
  </si>
  <si>
    <t>51355501</t>
  </si>
  <si>
    <t>Servicios públicos - Gas</t>
  </si>
  <si>
    <t>513560</t>
  </si>
  <si>
    <t>Casinos y restaurantes</t>
  </si>
  <si>
    <t>51356005</t>
  </si>
  <si>
    <t>Restaurantes</t>
  </si>
  <si>
    <t>513575</t>
  </si>
  <si>
    <t>Administracion</t>
  </si>
  <si>
    <t>51357501</t>
  </si>
  <si>
    <t>514520</t>
  </si>
  <si>
    <t>51452001</t>
  </si>
  <si>
    <t>514525</t>
  </si>
  <si>
    <t>51452501</t>
  </si>
  <si>
    <t>Mantenimiento - Equipo de computación y comunicación</t>
  </si>
  <si>
    <t>5160</t>
  </si>
  <si>
    <t>Depreciaciones</t>
  </si>
  <si>
    <t>516020</t>
  </si>
  <si>
    <t>51602001</t>
  </si>
  <si>
    <t>519545</t>
  </si>
  <si>
    <t>Taxis y buses</t>
  </si>
  <si>
    <t>51954501</t>
  </si>
  <si>
    <t>51956002</t>
  </si>
  <si>
    <t>Propina</t>
  </si>
  <si>
    <t>5199</t>
  </si>
  <si>
    <t>Otros gastos</t>
  </si>
  <si>
    <t>519905</t>
  </si>
  <si>
    <t>Inversiones</t>
  </si>
  <si>
    <t>51990501</t>
  </si>
  <si>
    <t>Provisiones</t>
  </si>
  <si>
    <t>519910</t>
  </si>
  <si>
    <t>Castigo de Cartera</t>
  </si>
  <si>
    <t>51991001</t>
  </si>
  <si>
    <t>530525</t>
  </si>
  <si>
    <t>53052501</t>
  </si>
  <si>
    <t>531515</t>
  </si>
  <si>
    <t>Costos y gastos de ejercicios anteriores</t>
  </si>
  <si>
    <t>53151501</t>
  </si>
  <si>
    <t>53152001</t>
  </si>
  <si>
    <t>RTE FTE</t>
  </si>
  <si>
    <t>53152502</t>
  </si>
  <si>
    <t>539521</t>
  </si>
  <si>
    <t>IMPUESTOS ASUMIDOS</t>
  </si>
  <si>
    <t>53952105</t>
  </si>
  <si>
    <t>5395210501</t>
  </si>
  <si>
    <t>53952110</t>
  </si>
  <si>
    <t>5395211001</t>
  </si>
  <si>
    <t>61350505</t>
  </si>
  <si>
    <t>Comercio al por Mayor y al por Menor</t>
  </si>
  <si>
    <t>startDate</t>
  </si>
  <si>
    <t>endDate</t>
  </si>
  <si>
    <t>Nombre tabla históricos</t>
  </si>
  <si>
    <t>Día</t>
  </si>
  <si>
    <t>SummaryMonthlyData</t>
  </si>
  <si>
    <t>SummaryDailyData</t>
  </si>
  <si>
    <t>meta</t>
  </si>
  <si>
    <t>pperso-manual</t>
  </si>
  <si>
    <t>ppersonakids</t>
  </si>
  <si>
    <t>Facebook2</t>
  </si>
  <si>
    <t>FACEBOOK3</t>
  </si>
  <si>
    <t>Día de reporte semanal</t>
  </si>
  <si>
    <t>viernes = 5</t>
  </si>
  <si>
    <t>SummaryWeeklyData</t>
  </si>
  <si>
    <t>week</t>
  </si>
  <si>
    <t>Tarjetón + Tarjetón doble Granada</t>
  </si>
  <si>
    <t>Vela de pausa + fósforos</t>
  </si>
  <si>
    <t>TARJETON XL camelia</t>
  </si>
  <si>
    <t>ÁNGELA MARIA MEJÍA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</si>
</sst>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1" formatCode="_(* #,##0_);_(* \(#,##0\);_(* &quot;-&quot;_);_(@_)"/>
    <numFmt numFmtId="43" formatCode="_(* #,##0.00_);_(* \(#,##0.00\);_(* &quot;-&quot;??_);_(@_)"/>
    <numFmt numFmtId="164" formatCode="_(###0_);\(###0\);_(&quot;-&quot;_);_)@_)"/>
    <numFmt numFmtId="165" formatCode="_)d\-mmm\-yy\ h:mm_);_)d\-mmm\-yy\ h:mm_);_)&quot;-&quot;_);_)@_)"/>
    <numFmt numFmtId="166" formatCode="_)mmmm\-yyyy_);_)mmmm\-yyyy_);_)&quot;-&quot;_);_)@_)"/>
    <numFmt numFmtId="167" formatCode="_)d\-mmm\-yy_);_)d\-mmm\-yy_);_)&quot;-&quot;_);_)@_)"/>
    <numFmt numFmtId="168" formatCode="_(#,##0.00_);\(#,##0.00\);_(&quot;-&quot;_);_)@_)"/>
    <numFmt numFmtId="169" formatCode="_(&quot;$&quot;#,##0.0_);\(&quot;$&quot;#,##0.0\);_(&quot;-&quot;_);_)@_)"/>
    <numFmt numFmtId="170" formatCode="_(#,##0.0\x_);\(#,##0.0\x\);_(&quot;-&quot;_);_)@_)"/>
    <numFmt numFmtId="171" formatCode="_(#,##0.0_);\(#,##0.0\);_(&quot;-&quot;_);_)@_)"/>
    <numFmt numFmtId="172" formatCode="_(#,##0_);\(#,##0\);_(&quot;-&quot;_);_)@_)"/>
    <numFmt numFmtId="173" formatCode="_(#,##0.00%_);\(#,##0.00%\);_(&quot;-&quot;_);_)@_)"/>
    <numFmt numFmtId="174" formatCode="_ * #,##0_ ;_ * \-#,##0_ ;_ * &quot;-&quot;_ ;_ @_ "/>
    <numFmt numFmtId="175" formatCode="_(#,##0.0%_);\(#,##0.0%\);_(&quot;-&quot;_);_)@_)"/>
    <numFmt numFmtId="176" formatCode="dddd"/>
    <numFmt numFmtId="177" formatCode="yyyy\-mmm\-dd;@"/>
    <numFmt numFmtId="178" formatCode="_(* #,##0.00_);_(* \(#,##0.00\);_(* &quot;-&quot;_);_(@_)"/>
    <numFmt numFmtId="179" formatCode="mmm/d/yyyy"/>
  </numFmts>
  <fonts count="52" x14ac:knownFonts="1">
    <font>
      <sz val="9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 tint="0.2499465926084170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6" tint="-0.24994659260841701"/>
      <name val="Calibri"/>
      <family val="2"/>
      <scheme val="minor"/>
    </font>
    <font>
      <sz val="9"/>
      <color theme="4" tint="-0.49995422223578601"/>
      <name val="Calibri"/>
      <family val="2"/>
      <scheme val="minor"/>
    </font>
    <font>
      <sz val="9"/>
      <color theme="8" tint="-0.24994659260841701"/>
      <name val="Calibri"/>
      <family val="2"/>
      <scheme val="minor"/>
    </font>
    <font>
      <sz val="9"/>
      <color rgb="FF9C5700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A7D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/>
      <name val="Trebuchet MS"/>
      <family val="2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5" tint="-0.499984740745262"/>
      <name val="Calibri Light"/>
      <family val="2"/>
      <scheme val="major"/>
    </font>
    <font>
      <b/>
      <sz val="10"/>
      <color theme="5" tint="-0.499984740745262"/>
      <name val="Calibri Light"/>
      <family val="2"/>
      <scheme val="major"/>
    </font>
    <font>
      <b/>
      <sz val="10"/>
      <color theme="5" tint="-0.24994659260841701"/>
      <name val="Calibri Light"/>
      <family val="2"/>
      <scheme val="major"/>
    </font>
    <font>
      <b/>
      <sz val="9"/>
      <color theme="5" tint="-0.24994659260841701"/>
      <name val="Calibri Light"/>
      <family val="2"/>
      <scheme val="major"/>
    </font>
    <font>
      <b/>
      <sz val="9"/>
      <color theme="1" tint="0.24994659260841701"/>
      <name val="Calibri Light"/>
      <family val="2"/>
      <scheme val="major"/>
    </font>
    <font>
      <b/>
      <sz val="9"/>
      <color theme="2" tint="-0.499984740745262"/>
      <name val="Calibri Light"/>
      <family val="2"/>
      <scheme val="major"/>
    </font>
    <font>
      <sz val="9"/>
      <color theme="2" tint="-0.499984740745262"/>
      <name val="Calibri Light"/>
      <family val="2"/>
      <scheme val="major"/>
    </font>
    <font>
      <i/>
      <sz val="9"/>
      <color theme="2" tint="-0.499984740745262"/>
      <name val="Calibri Light"/>
      <family val="2"/>
      <scheme val="major"/>
    </font>
    <font>
      <sz val="9"/>
      <color theme="0"/>
      <name val="Calibri Light"/>
      <family val="2"/>
      <scheme val="major"/>
    </font>
    <font>
      <b/>
      <sz val="9"/>
      <color theme="4" tint="-0.49995422223578601"/>
      <name val="Calibri Light"/>
      <family val="2"/>
      <scheme val="major"/>
    </font>
    <font>
      <sz val="9"/>
      <color theme="1" tint="0.24994659260841701"/>
      <name val="Calibri Light"/>
      <family val="2"/>
      <scheme val="major"/>
    </font>
    <font>
      <i/>
      <sz val="9"/>
      <color rgb="FF7F7F7F"/>
      <name val="Calibri"/>
      <family val="2"/>
      <scheme val="minor"/>
    </font>
    <font>
      <sz val="9"/>
      <color rgb="FF006100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9"/>
      <color theme="11"/>
      <name val="Wingdings"/>
      <charset val="2"/>
    </font>
    <font>
      <u/>
      <sz val="9"/>
      <color theme="11"/>
      <name val="Calibri"/>
      <family val="2"/>
      <scheme val="minor"/>
    </font>
    <font>
      <sz val="9"/>
      <color rgb="FF3F3F76"/>
      <name val="Calibri"/>
      <family val="2"/>
      <scheme val="minor"/>
    </font>
    <font>
      <sz val="9"/>
      <color rgb="FFFA7D00"/>
      <name val="Calibri"/>
      <family val="2"/>
      <scheme val="minor"/>
    </font>
    <font>
      <sz val="10"/>
      <name val="Arial"/>
      <family val="2"/>
    </font>
    <font>
      <b/>
      <sz val="10"/>
      <color theme="1" tint="0.24994659260841701"/>
      <name val="Calibri Light"/>
      <family val="2"/>
      <scheme val="major"/>
    </font>
    <font>
      <b/>
      <sz val="9"/>
      <color rgb="FF3F3F3F"/>
      <name val="Calibri"/>
      <family val="2"/>
      <scheme val="minor"/>
    </font>
    <font>
      <b/>
      <sz val="14"/>
      <color theme="1" tint="0.24994659260841701"/>
      <name val="Calibri Light"/>
      <family val="2"/>
      <scheme val="major"/>
    </font>
    <font>
      <sz val="18"/>
      <color theme="1" tint="0.24994659260841701"/>
      <name val="Calibri Light"/>
      <family val="2"/>
      <scheme val="major"/>
    </font>
    <font>
      <b/>
      <sz val="12"/>
      <color theme="1" tint="0.24994659260841701"/>
      <name val="Calibri Light"/>
      <family val="2"/>
      <scheme val="major"/>
    </font>
    <font>
      <sz val="24"/>
      <color theme="3"/>
      <name val="Trebuchet MS"/>
      <family val="2"/>
    </font>
    <font>
      <b/>
      <sz val="11"/>
      <color theme="1" tint="0.24994659260841701"/>
      <name val="Calibri Light"/>
      <family val="2"/>
      <scheme val="major"/>
    </font>
    <font>
      <sz val="9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theme="1" tint="0.24994659260841701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4" tint="-0.4999542222357860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81">
    <xf numFmtId="0" fontId="0" fillId="0" borderId="0"/>
    <xf numFmtId="41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3" fillId="0" borderId="3" applyNumberFormat="0" applyFill="0" applyAlignment="0" applyProtection="0"/>
    <xf numFmtId="0" fontId="33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36" fillId="5" borderId="4" applyNumberFormat="0" applyAlignment="0" applyProtection="0"/>
    <xf numFmtId="0" fontId="40" fillId="6" borderId="5" applyNumberFormat="0" applyAlignment="0" applyProtection="0"/>
    <xf numFmtId="0" fontId="15" fillId="6" borderId="4" applyNumberFormat="0" applyAlignment="0" applyProtection="0"/>
    <xf numFmtId="0" fontId="37" fillId="0" borderId="6" applyNumberFormat="0" applyFill="0" applyAlignment="0" applyProtection="0"/>
    <xf numFmtId="0" fontId="16" fillId="7" borderId="7" applyNumberFormat="0" applyAlignment="0" applyProtection="0"/>
    <xf numFmtId="0" fontId="46" fillId="0" borderId="0" applyNumberFormat="0" applyFill="0" applyBorder="0" applyAlignment="0" applyProtection="0"/>
    <xf numFmtId="0" fontId="5" fillId="8" borderId="8" applyNumberFormat="0" applyAlignment="0" applyProtection="0"/>
    <xf numFmtId="0" fontId="31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2" borderId="0" applyNumberFormat="0" applyBorder="0" applyAlignment="0" applyProtection="0"/>
    <xf numFmtId="0" fontId="7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32" borderId="0" applyNumberFormat="0" applyBorder="0" applyAlignment="0" applyProtection="0"/>
    <xf numFmtId="0" fontId="5" fillId="31" borderId="0" applyNumberFormat="0" applyBorder="0" applyAlignment="0" applyProtection="0"/>
    <xf numFmtId="164" fontId="6" fillId="0" borderId="0" applyFill="0" applyBorder="0">
      <alignment vertical="center"/>
    </xf>
    <xf numFmtId="165" fontId="6" fillId="0" borderId="0" applyFill="0" applyBorder="0">
      <alignment vertical="center"/>
    </xf>
    <xf numFmtId="166" fontId="6" fillId="0" borderId="0" applyFill="0" applyBorder="0">
      <alignment vertical="center"/>
    </xf>
    <xf numFmtId="167" fontId="6" fillId="0" borderId="0" applyFill="0" applyBorder="0">
      <alignment vertical="center"/>
    </xf>
    <xf numFmtId="168" fontId="6" fillId="0" borderId="0" applyFill="0" applyBorder="0">
      <alignment vertical="center"/>
    </xf>
    <xf numFmtId="169" fontId="6" fillId="0" borderId="0" applyFill="0" applyBorder="0">
      <alignment vertical="center"/>
    </xf>
    <xf numFmtId="170" fontId="6" fillId="0" borderId="0" applyFill="0" applyBorder="0">
      <alignment vertical="center"/>
    </xf>
    <xf numFmtId="171" fontId="6" fillId="0" borderId="0" applyFill="0" applyBorder="0">
      <alignment vertical="center"/>
    </xf>
    <xf numFmtId="171" fontId="6" fillId="0" borderId="0" applyFill="0" applyBorder="0">
      <alignment vertical="center"/>
    </xf>
    <xf numFmtId="172" fontId="6" fillId="0" borderId="0" applyFill="0" applyBorder="0">
      <alignment vertical="center"/>
    </xf>
    <xf numFmtId="173" fontId="6" fillId="0" borderId="0" applyFill="0" applyBorder="0">
      <alignment vertical="center"/>
    </xf>
    <xf numFmtId="0" fontId="6" fillId="33" borderId="0" applyNumberFormat="0" applyBorder="0">
      <alignment vertical="top"/>
    </xf>
    <xf numFmtId="0" fontId="8" fillId="34" borderId="10" applyNumberFormat="0">
      <alignment vertical="center"/>
    </xf>
    <xf numFmtId="0" fontId="8" fillId="34" borderId="10" applyNumberFormat="0">
      <alignment vertical="center"/>
    </xf>
    <xf numFmtId="0" fontId="8" fillId="34" borderId="10" applyNumberFormat="0" applyAlignment="0">
      <alignment vertical="center"/>
    </xf>
    <xf numFmtId="0" fontId="9" fillId="35" borderId="11" applyNumberFormat="0">
      <alignment vertical="center"/>
      <protection locked="0"/>
    </xf>
    <xf numFmtId="0" fontId="9" fillId="35" borderId="11" applyNumberFormat="0">
      <alignment vertical="center"/>
      <protection locked="0"/>
    </xf>
    <xf numFmtId="0" fontId="9" fillId="35" borderId="11" applyNumberFormat="0" applyAlignment="0">
      <alignment vertical="center"/>
      <protection locked="0"/>
    </xf>
    <xf numFmtId="0" fontId="10" fillId="36" borderId="12" applyNumberFormat="0">
      <alignment vertical="center"/>
    </xf>
    <xf numFmtId="0" fontId="9" fillId="37" borderId="13" applyNumberFormat="0">
      <alignment vertical="center"/>
      <protection locked="0"/>
    </xf>
    <xf numFmtId="0" fontId="11" fillId="38" borderId="14" applyNumberFormat="0" applyFont="0" applyAlignment="0" applyProtection="0"/>
    <xf numFmtId="0" fontId="4" fillId="0" borderId="9" applyNumberFormat="0" applyFill="0" applyAlignment="0" applyProtection="0"/>
    <xf numFmtId="0" fontId="13" fillId="0" borderId="9" applyFill="0" applyAlignment="0" applyProtection="0"/>
    <xf numFmtId="0" fontId="14" fillId="0" borderId="15" applyNumberFormat="0" applyFill="0" applyAlignment="0" applyProtection="0"/>
    <xf numFmtId="0" fontId="16" fillId="7" borderId="7" applyNumberFormat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39" borderId="0" applyBorder="0">
      <alignment vertical="center"/>
    </xf>
    <xf numFmtId="0" fontId="7" fillId="39" borderId="0" applyBorder="0">
      <alignment vertical="center"/>
    </xf>
    <xf numFmtId="0" fontId="18" fillId="40" borderId="16" applyAlignment="0"/>
    <xf numFmtId="0" fontId="19" fillId="40" borderId="16" applyAlignment="0"/>
    <xf numFmtId="0" fontId="20" fillId="0" borderId="0" applyBorder="0">
      <alignment vertical="center"/>
    </xf>
    <xf numFmtId="0" fontId="21" fillId="0" borderId="0" applyBorder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 applyFill="0" applyBorder="0">
      <alignment vertical="center"/>
    </xf>
    <xf numFmtId="0" fontId="25" fillId="0" borderId="0" applyFill="0" applyBorder="0">
      <alignment vertical="center"/>
    </xf>
    <xf numFmtId="0" fontId="26" fillId="0" borderId="0" applyFill="0" applyBorder="0">
      <alignment vertical="center"/>
    </xf>
    <xf numFmtId="0" fontId="27" fillId="0" borderId="0" applyNumberFormat="0" applyFill="0" applyBorder="0">
      <alignment vertical="center"/>
    </xf>
    <xf numFmtId="0" fontId="28" fillId="41" borderId="0" applyBorder="0">
      <alignment vertical="center"/>
    </xf>
    <xf numFmtId="0" fontId="29" fillId="35" borderId="17">
      <alignment vertical="center"/>
    </xf>
    <xf numFmtId="0" fontId="29" fillId="42" borderId="17">
      <alignment vertical="center"/>
    </xf>
    <xf numFmtId="0" fontId="24" fillId="0" borderId="0" applyFill="0" applyBorder="0">
      <alignment vertical="center"/>
    </xf>
    <xf numFmtId="0" fontId="30" fillId="0" borderId="0" applyFill="0" applyBorder="0">
      <alignment vertical="center"/>
    </xf>
    <xf numFmtId="0" fontId="31" fillId="0" borderId="0" applyNumberFormat="0" applyFill="0" applyBorder="0" applyAlignment="0" applyProtection="0"/>
    <xf numFmtId="167" fontId="6" fillId="0" borderId="0" applyFill="0" applyBorder="0">
      <alignment vertical="center"/>
    </xf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3" fillId="0" borderId="3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0" applyFill="0" applyBorder="0">
      <alignment horizontal="center" vertical="center"/>
    </xf>
    <xf numFmtId="0" fontId="35" fillId="0" borderId="0" applyFill="0" applyBorder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4" fontId="38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35" borderId="11" applyNumberFormat="0">
      <alignment vertical="center"/>
      <protection locked="0"/>
    </xf>
    <xf numFmtId="0" fontId="39" fillId="0" borderId="0" applyFill="0" applyBorder="0">
      <alignment vertical="center"/>
    </xf>
    <xf numFmtId="0" fontId="38" fillId="0" borderId="0"/>
    <xf numFmtId="171" fontId="6" fillId="0" borderId="0" applyFill="0" applyBorder="0">
      <alignment vertical="center"/>
    </xf>
    <xf numFmtId="164" fontId="6" fillId="0" borderId="0" applyFill="0" applyBorder="0">
      <alignment vertical="center"/>
    </xf>
    <xf numFmtId="165" fontId="6" fillId="0" borderId="0" applyFill="0" applyBorder="0">
      <alignment vertical="center"/>
    </xf>
    <xf numFmtId="166" fontId="6" fillId="0" borderId="0" applyFill="0" applyBorder="0">
      <alignment vertical="center"/>
    </xf>
    <xf numFmtId="167" fontId="6" fillId="0" borderId="0" applyFill="0" applyBorder="0">
      <alignment vertical="center"/>
    </xf>
    <xf numFmtId="168" fontId="6" fillId="0" borderId="0" applyFill="0" applyBorder="0">
      <alignment vertical="center"/>
    </xf>
    <xf numFmtId="169" fontId="6" fillId="0" borderId="0" applyFill="0" applyBorder="0">
      <alignment vertical="center"/>
    </xf>
    <xf numFmtId="170" fontId="6" fillId="0" borderId="0" applyFill="0" applyBorder="0">
      <alignment vertical="center"/>
    </xf>
    <xf numFmtId="0" fontId="6" fillId="0" borderId="0"/>
    <xf numFmtId="171" fontId="6" fillId="0" borderId="0" applyFill="0" applyBorder="0">
      <alignment vertical="center"/>
    </xf>
    <xf numFmtId="171" fontId="6" fillId="0" borderId="0" applyFill="0" applyBorder="0">
      <alignment vertical="center"/>
    </xf>
    <xf numFmtId="172" fontId="6" fillId="0" borderId="0" applyFill="0" applyBorder="0">
      <alignment vertical="center"/>
    </xf>
    <xf numFmtId="175" fontId="6" fillId="0" borderId="0" applyFill="0" applyBorder="0">
      <alignment vertical="center"/>
    </xf>
    <xf numFmtId="9" fontId="6" fillId="0" borderId="0" applyFont="0" applyFill="0" applyBorder="0" applyAlignment="0" applyProtection="0"/>
    <xf numFmtId="173" fontId="6" fillId="0" borderId="0" applyFill="0" applyBorder="0">
      <alignment vertical="center"/>
    </xf>
    <xf numFmtId="0" fontId="4" fillId="0" borderId="9" applyFill="0" applyAlignment="0" applyProtection="0"/>
    <xf numFmtId="0" fontId="13" fillId="0" borderId="9" applyFill="0" applyAlignment="0" applyProtection="0"/>
    <xf numFmtId="0" fontId="14" fillId="0" borderId="15" applyFill="0" applyAlignment="0" applyProtection="0"/>
    <xf numFmtId="164" fontId="9" fillId="43" borderId="18">
      <alignment vertical="center"/>
      <protection locked="0"/>
    </xf>
    <xf numFmtId="0" fontId="7" fillId="44" borderId="19">
      <alignment vertical="center"/>
    </xf>
    <xf numFmtId="0" fontId="7" fillId="44" borderId="19">
      <alignment vertical="center"/>
    </xf>
    <xf numFmtId="165" fontId="9" fillId="43" borderId="18">
      <alignment vertical="center"/>
      <protection locked="0"/>
    </xf>
    <xf numFmtId="166" fontId="9" fillId="43" borderId="18">
      <alignment vertical="center"/>
      <protection locked="0"/>
    </xf>
    <xf numFmtId="167" fontId="9" fillId="43" borderId="18">
      <alignment vertical="center"/>
      <protection locked="0"/>
    </xf>
    <xf numFmtId="168" fontId="6" fillId="43" borderId="20">
      <alignment vertical="center"/>
    </xf>
    <xf numFmtId="169" fontId="9" fillId="43" borderId="18">
      <alignment vertical="center"/>
      <protection locked="0"/>
    </xf>
    <xf numFmtId="170" fontId="9" fillId="43" borderId="18">
      <alignment vertical="center"/>
      <protection locked="0"/>
    </xf>
    <xf numFmtId="171" fontId="9" fillId="43" borderId="18">
      <alignment vertical="center"/>
      <protection locked="0"/>
    </xf>
    <xf numFmtId="172" fontId="9" fillId="43" borderId="18">
      <alignment vertical="center"/>
      <protection locked="0"/>
    </xf>
    <xf numFmtId="173" fontId="9" fillId="43" borderId="18">
      <alignment vertical="center"/>
      <protection locked="0"/>
    </xf>
    <xf numFmtId="0" fontId="9" fillId="43" borderId="18">
      <alignment vertical="center"/>
      <protection locked="0"/>
    </xf>
    <xf numFmtId="164" fontId="9" fillId="43" borderId="18">
      <alignment vertical="center"/>
      <protection locked="0"/>
    </xf>
    <xf numFmtId="167" fontId="9" fillId="43" borderId="18">
      <alignment vertical="center"/>
      <protection locked="0"/>
    </xf>
    <xf numFmtId="171" fontId="9" fillId="43" borderId="18">
      <alignment vertical="center"/>
      <protection locked="0"/>
    </xf>
    <xf numFmtId="173" fontId="9" fillId="43" borderId="18">
      <alignment vertical="center"/>
      <protection locked="0"/>
    </xf>
    <xf numFmtId="0" fontId="9" fillId="43" borderId="18">
      <alignment vertical="center"/>
      <protection locked="0"/>
    </xf>
    <xf numFmtId="0" fontId="41" fillId="0" borderId="0" applyFill="0" applyBorder="0">
      <alignment vertical="center"/>
    </xf>
    <xf numFmtId="0" fontId="42" fillId="0" borderId="0" applyFill="0" applyBorder="0">
      <alignment vertical="center"/>
    </xf>
    <xf numFmtId="0" fontId="43" fillId="0" borderId="0" applyFill="0" applyBorder="0">
      <alignment vertical="center"/>
    </xf>
    <xf numFmtId="0" fontId="39" fillId="0" borderId="0" applyFill="0" applyBorder="0">
      <alignment vertical="center"/>
    </xf>
    <xf numFmtId="0" fontId="28" fillId="41" borderId="0" applyBorder="0">
      <alignment vertical="center"/>
    </xf>
    <xf numFmtId="0" fontId="29" fillId="42" borderId="17">
      <alignment vertical="center"/>
    </xf>
    <xf numFmtId="0" fontId="44" fillId="0" borderId="0" applyNumberFormat="0" applyFill="0" applyBorder="0" applyAlignment="0" applyProtection="0"/>
    <xf numFmtId="0" fontId="45" fillId="0" borderId="0" applyFill="0" applyBorder="0">
      <alignment vertical="center"/>
    </xf>
    <xf numFmtId="9" fontId="6" fillId="0" borderId="0" applyFont="0" applyFill="0" applyBorder="0" applyAlignment="0" applyProtection="0"/>
    <xf numFmtId="0" fontId="32" fillId="2" borderId="0" applyNumberFormat="0" applyBorder="0" applyAlignment="0" applyProtection="0"/>
    <xf numFmtId="0" fontId="4" fillId="0" borderId="9" applyNumberFormat="0" applyFill="0" applyAlignment="0" applyProtection="0"/>
    <xf numFmtId="171" fontId="9" fillId="43" borderId="18">
      <alignment vertical="center"/>
      <protection locked="0"/>
    </xf>
    <xf numFmtId="0" fontId="51" fillId="0" borderId="0" applyNumberFormat="0" applyFill="0" applyBorder="0" applyAlignment="0" applyProtection="0"/>
  </cellStyleXfs>
  <cellXfs count="45">
    <xf numFmtId="0" fontId="0" fillId="0" borderId="0" xfId="0"/>
    <xf numFmtId="167" fontId="9" fillId="43" borderId="18" xfId="155">
      <alignment vertical="center"/>
      <protection locked="0"/>
    </xf>
    <xf numFmtId="0" fontId="7" fillId="21" borderId="0" xfId="31" applyAlignment="1">
      <alignment horizontal="centerContinuous"/>
    </xf>
    <xf numFmtId="0" fontId="5" fillId="24" borderId="0" xfId="34" applyAlignment="1">
      <alignment horizontal="centerContinuous"/>
    </xf>
    <xf numFmtId="0" fontId="5" fillId="23" borderId="0" xfId="33" applyAlignment="1">
      <alignment horizontal="centerContinuous"/>
    </xf>
    <xf numFmtId="14" fontId="0" fillId="0" borderId="0" xfId="0" applyNumberFormat="1"/>
    <xf numFmtId="177" fontId="0" fillId="0" borderId="0" xfId="0" applyNumberFormat="1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5" fillId="0" borderId="0" xfId="175">
      <alignment vertical="center"/>
    </xf>
    <xf numFmtId="0" fontId="9" fillId="43" borderId="18" xfId="167">
      <alignment vertical="center"/>
      <protection locked="0"/>
    </xf>
    <xf numFmtId="167" fontId="9" fillId="35" borderId="11" xfId="75" applyNumberFormat="1">
      <alignment vertical="center"/>
      <protection locked="0"/>
    </xf>
    <xf numFmtId="41" fontId="0" fillId="0" borderId="0" xfId="1" applyFont="1"/>
    <xf numFmtId="0" fontId="0" fillId="0" borderId="0" xfId="1" applyNumberFormat="1" applyFont="1"/>
    <xf numFmtId="178" fontId="0" fillId="0" borderId="0" xfId="1" applyNumberFormat="1" applyFont="1"/>
    <xf numFmtId="176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1" fontId="0" fillId="0" borderId="0" xfId="0" applyNumberFormat="1"/>
    <xf numFmtId="9" fontId="0" fillId="0" borderId="0" xfId="176" applyFont="1"/>
    <xf numFmtId="0" fontId="5" fillId="20" borderId="0" xfId="30" applyAlignment="1">
      <alignment horizontal="centerContinuous"/>
    </xf>
    <xf numFmtId="0" fontId="5" fillId="16" borderId="0" xfId="26" applyAlignment="1">
      <alignment horizontal="centerContinuous"/>
    </xf>
    <xf numFmtId="0" fontId="5" fillId="12" borderId="0" xfId="22" applyAlignment="1">
      <alignment horizontal="centerContinuous"/>
    </xf>
    <xf numFmtId="0" fontId="5" fillId="31" borderId="0" xfId="42" applyAlignment="1">
      <alignment horizontal="centerContinuous"/>
    </xf>
    <xf numFmtId="0" fontId="50" fillId="0" borderId="0" xfId="0" applyFont="1"/>
    <xf numFmtId="10" fontId="0" fillId="0" borderId="0" xfId="176" applyNumberFormat="1" applyFont="1"/>
    <xf numFmtId="0" fontId="51" fillId="0" borderId="0" xfId="180"/>
    <xf numFmtId="0" fontId="16" fillId="45" borderId="21" xfId="0" applyFont="1" applyFill="1" applyBorder="1" applyAlignment="1">
      <alignment horizontal="center" vertical="center" wrapText="1"/>
    </xf>
    <xf numFmtId="0" fontId="16" fillId="45" borderId="22" xfId="0" applyFont="1" applyFill="1" applyBorder="1" applyAlignment="1">
      <alignment horizontal="center" vertical="center" wrapText="1"/>
    </xf>
    <xf numFmtId="0" fontId="16" fillId="45" borderId="23" xfId="0" applyFont="1" applyFill="1" applyBorder="1" applyAlignment="1">
      <alignment horizontal="center" vertical="center" wrapText="1"/>
    </xf>
    <xf numFmtId="0" fontId="16" fillId="4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14" fontId="0" fillId="0" borderId="0" xfId="1" applyNumberFormat="1" applyFont="1"/>
    <xf numFmtId="0" fontId="9" fillId="43" borderId="18" xfId="162">
      <alignment vertical="center"/>
      <protection locked="0"/>
    </xf>
    <xf numFmtId="0" fontId="0" fillId="0" borderId="0" xfId="0" applyAlignment="1">
      <alignment horizontal="right"/>
    </xf>
    <xf numFmtId="22" fontId="0" fillId="0" borderId="0" xfId="1" applyNumberFormat="1" applyFont="1"/>
    <xf numFmtId="172" fontId="9" fillId="43" borderId="18" xfId="160">
      <alignment vertical="center"/>
      <protection locked="0"/>
    </xf>
    <xf numFmtId="179" fontId="0" fillId="0" borderId="0" xfId="0" applyNumberFormat="1"/>
    <xf numFmtId="179" fontId="5" fillId="47" borderId="25" xfId="0" applyNumberFormat="1" applyFont="1" applyFill="1" applyBorder="1"/>
    <xf numFmtId="179" fontId="5" fillId="0" borderId="25" xfId="0" applyNumberFormat="1" applyFont="1" applyBorder="1"/>
    <xf numFmtId="0" fontId="16" fillId="46" borderId="26" xfId="0" applyFont="1" applyFill="1" applyBorder="1"/>
    <xf numFmtId="179" fontId="5" fillId="0" borderId="27" xfId="0" applyNumberFormat="1" applyFont="1" applyBorder="1"/>
    <xf numFmtId="14" fontId="5" fillId="47" borderId="24" xfId="0" applyNumberFormat="1" applyFont="1" applyFill="1" applyBorder="1"/>
    <xf numFmtId="14" fontId="5" fillId="0" borderId="24" xfId="0" applyNumberFormat="1" applyFont="1" applyBorder="1"/>
    <xf numFmtId="43" fontId="0" fillId="0" borderId="0" xfId="0" applyNumberFormat="1"/>
  </cellXfs>
  <cellStyles count="181">
    <cellStyle name="20% - Accent1" xfId="20" builtinId="30" customBuiltin="1"/>
    <cellStyle name="20% - Accent2" xfId="24" builtinId="34" customBuiltin="1"/>
    <cellStyle name="20% - Accent2 2" xfId="43" xr:uid="{A1AF1FAB-A534-4B3F-9B01-D21C553491FB}"/>
    <cellStyle name="20% - Accent3" xfId="28" builtinId="38" customBuiltin="1"/>
    <cellStyle name="20% - Accent3 2" xfId="44" xr:uid="{A267C7DE-2DCB-4EE7-AE3B-975F8EA235B4}"/>
    <cellStyle name="20% - Accent4" xfId="32" builtinId="42" customBuiltin="1"/>
    <cellStyle name="20% - Accent4 2" xfId="45" xr:uid="{FE56712F-D3DA-437A-AC46-0169BAE7704B}"/>
    <cellStyle name="20% - Accent5" xfId="36" builtinId="46" customBuiltin="1"/>
    <cellStyle name="20% - Accent5 2" xfId="46" xr:uid="{CE022E79-19C4-4AD2-9FA3-A72E7CC18E71}"/>
    <cellStyle name="20% - Accent6" xfId="40" builtinId="50" customBuiltin="1"/>
    <cellStyle name="20% - Accent6 2" xfId="47" xr:uid="{94C44ABF-B08C-4250-84A7-486CA993D2A7}"/>
    <cellStyle name="40% - Accent1" xfId="21" builtinId="31" customBuiltin="1"/>
    <cellStyle name="40% - Accent1 2" xfId="48" xr:uid="{A7B3F55D-64B9-4EB6-84ED-886026026931}"/>
    <cellStyle name="40% - Accent2" xfId="25" builtinId="35" customBuiltin="1"/>
    <cellStyle name="40% - Accent2 2" xfId="49" xr:uid="{11008D03-42F1-4149-BB96-8AE5887D4016}"/>
    <cellStyle name="40% - Accent3" xfId="29" builtinId="39" customBuiltin="1"/>
    <cellStyle name="40% - Accent3 2" xfId="50" xr:uid="{BF923EC5-F4CB-4A15-B9FE-BC038869DA3D}"/>
    <cellStyle name="40% - Accent4" xfId="33" builtinId="43" customBuiltin="1"/>
    <cellStyle name="40% - Accent4 2" xfId="51" xr:uid="{342E6B49-F2C9-4B90-BE0E-B1EE355379AF}"/>
    <cellStyle name="40% - Accent5" xfId="37" builtinId="47" customBuiltin="1"/>
    <cellStyle name="40% - Accent5 2" xfId="52" xr:uid="{EA850B6E-5D09-44A1-B427-F742E6F6D8C9}"/>
    <cellStyle name="40% - Accent6" xfId="41" builtinId="51" customBuiltin="1"/>
    <cellStyle name="40% - Accent6 2" xfId="53" xr:uid="{B87FA1F3-5300-4271-A5F6-FCBEF4C73C59}"/>
    <cellStyle name="60% - Accent1" xfId="22" builtinId="32" customBuiltin="1"/>
    <cellStyle name="60% - Accent1 2" xfId="54" xr:uid="{84CAC3A4-117C-4C81-A147-36D5AADAC187}"/>
    <cellStyle name="60% - Accent2" xfId="26" builtinId="36" customBuiltin="1"/>
    <cellStyle name="60% - Accent2 2" xfId="55" xr:uid="{1082641A-2971-4240-8F26-65D935298B12}"/>
    <cellStyle name="60% - Accent3" xfId="30" builtinId="40" customBuiltin="1"/>
    <cellStyle name="60% - Accent3 2" xfId="56" xr:uid="{5750064B-8AA6-4709-A907-AB01059EE865}"/>
    <cellStyle name="60% - Accent4" xfId="34" builtinId="44" customBuiltin="1"/>
    <cellStyle name="60% - Accent4 2" xfId="57" xr:uid="{9470E206-6EFC-4D49-B205-A484964CDC71}"/>
    <cellStyle name="60% - Accent5" xfId="38" builtinId="48" customBuiltin="1"/>
    <cellStyle name="60% - Accent5 2" xfId="58" xr:uid="{0C7C3777-EE94-4D7B-AC15-53A1E2A3D715}"/>
    <cellStyle name="60% - Accent6" xfId="42" builtinId="52" customBuiltin="1"/>
    <cellStyle name="60% - Accent6 2" xfId="59" xr:uid="{2099BD34-C388-4627-81C6-D0DBEED86B19}"/>
    <cellStyle name="A. año:-" xfId="60" xr:uid="{F8214FDC-9C6D-4222-8EEC-B118D263C539}"/>
    <cellStyle name="A. fecha hora:-" xfId="61" xr:uid="{3D699C6A-1AE5-4096-8E59-44CC79588502}"/>
    <cellStyle name="A. fecha mes año:-" xfId="62" xr:uid="{33BCB6BA-35EE-44D6-8F88-F8C528A95729}"/>
    <cellStyle name="A. fecha:-" xfId="63" xr:uid="{697883F0-E34A-4952-9C04-8F519433B5B8}"/>
    <cellStyle name="A. indicador número:-" xfId="64" xr:uid="{BE2E5CDD-C68E-43D9-89AF-9812766F8E73}"/>
    <cellStyle name="A. moneda:-" xfId="65" xr:uid="{E327F633-9300-4640-A87F-AD3EF2C6634A}"/>
    <cellStyle name="A. múltiplo:-" xfId="66" xr:uid="{94B93886-ED35-4936-BB5E-C8717CA2D10A}"/>
    <cellStyle name="A. número:-" xfId="67" xr:uid="{C8A0DA03-92F1-4E28-8123-700B8E8D13C5}"/>
    <cellStyle name="A. número:- 2" xfId="68" xr:uid="{AB54918E-DCDD-49A0-8AEF-51D0E605F89E}"/>
    <cellStyle name="A. número:- 3" xfId="69" xr:uid="{614591CF-7F51-44F4-846F-D8ED49AE7337}"/>
    <cellStyle name="A. porcentaje:-" xfId="70" xr:uid="{F7ED88DC-2692-44B3-B8E0-C991A6A4E58F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1. anotación:-" xfId="71" xr:uid="{CF89DF56-DC9E-4C0E-9544-B52361C3BD3D}"/>
    <cellStyle name="B2. cálculo interno:-" xfId="72" xr:uid="{5F5BF0AE-8C20-4113-87CA-1BC7A0324623}"/>
    <cellStyle name="B2. cálculo interno:- 2" xfId="73" xr:uid="{4AFAA83A-B73F-4B78-8DB0-1E5181398014}"/>
    <cellStyle name="B2. cálculo interno:- 3" xfId="74" xr:uid="{6F304F2F-629A-43C5-8208-42ACC1604BFA}"/>
    <cellStyle name="B3. parámetro interno:-" xfId="75" xr:uid="{5436C304-5065-4C28-B699-6FDD397213A8}"/>
    <cellStyle name="B3. parámetro interno:- 2" xfId="76" xr:uid="{D127CF3A-893D-4B02-802D-4E4019C7CBE9}"/>
    <cellStyle name="B3. parámetro interno:- 3" xfId="77" xr:uid="{D4028E81-6058-4E94-B85C-A984875385EF}"/>
    <cellStyle name="B4. resultado interno:-" xfId="78" xr:uid="{3E32A873-DEF6-4382-8770-B47419C848B5}"/>
    <cellStyle name="B5. col parám interno:-" xfId="79" xr:uid="{C6214710-4CFB-449F-A8A3-0C3A5F8DEB0B}"/>
    <cellStyle name="B6. trabajo progreso:-" xfId="80" xr:uid="{9E974E01-D6CE-4CFD-A440-70FFA0C2C350}"/>
    <cellStyle name="Bad" xfId="8" builtinId="27" customBuiltin="1"/>
    <cellStyle name="C1. total1:-" xfId="81" xr:uid="{4E361360-A9B6-42F6-9F72-E5DDF2478583}"/>
    <cellStyle name="C2. total2:-" xfId="82" xr:uid="{890F6E41-0CE6-4D92-8582-5D0DD0015F81}"/>
    <cellStyle name="C3. subtotal:-" xfId="83" xr:uid="{1E8C72E9-00AD-409D-BF71-64095ECA40BD}"/>
    <cellStyle name="Calculation" xfId="12" builtinId="22" customBuiltin="1"/>
    <cellStyle name="Check Cell" xfId="14" builtinId="23" customBuiltin="1"/>
    <cellStyle name="Check Cell 2" xfId="84" xr:uid="{19022B70-DC9A-4754-A66E-2BA5584CDF53}"/>
    <cellStyle name="Comma [0]" xfId="1" builtinId="6"/>
    <cellStyle name="Comma [0] 2" xfId="85" xr:uid="{203FAA8C-2224-448F-9341-50AC29410230}"/>
    <cellStyle name="Comma [0] 3" xfId="86" xr:uid="{3B8216AB-B228-4D8D-A51D-0BD5FBCBA0D6}"/>
    <cellStyle name="D. enc glo1:-" xfId="87" xr:uid="{1934CBF3-EBCC-4A08-8B5E-1534AD3B1ABB}"/>
    <cellStyle name="D. enc glo2:-" xfId="88" xr:uid="{AC67512F-3869-489F-96DE-FFE519959D25}"/>
    <cellStyle name="E. enc tabla1:-" xfId="89" xr:uid="{FEAC9E9D-FD80-470C-9252-B9A79F38E7A4}"/>
    <cellStyle name="E. enc tabla2:-" xfId="90" xr:uid="{CDDA3805-305D-4CE4-98F2-861242E8C823}"/>
    <cellStyle name="E. enc1:-" xfId="91" xr:uid="{917031AF-EFBA-4742-B5F4-85A43EA49B65}"/>
    <cellStyle name="E. enc1:- 2" xfId="92" xr:uid="{2F909EEC-D69D-4572-B6FF-C7C1D03BC78A}"/>
    <cellStyle name="E. enc2:-" xfId="93" xr:uid="{A2D16352-DE78-4550-A2BB-C499A8E8D08A}"/>
    <cellStyle name="E. enc2:- 2" xfId="94" xr:uid="{54F26A9B-0EF9-40D4-8868-98E18FCFCE8A}"/>
    <cellStyle name="E. enc3:-" xfId="95" xr:uid="{1B98E221-4F34-4C3D-B8EB-CFA2EF8A90FA}"/>
    <cellStyle name="E. enc4:-" xfId="96" xr:uid="{5139ED2B-4E6D-489D-AFDE-F54DE36EB910}"/>
    <cellStyle name="E. enc5:-" xfId="97" xr:uid="{9CD173EA-E55D-4288-957C-0B1818425F46}"/>
    <cellStyle name="E. enc6:-" xfId="98" xr:uid="{62464161-06D0-4523-ACC0-DF5E2AF8E1E0}"/>
    <cellStyle name="Encabezado 1:-" xfId="99" xr:uid="{51F2E35F-79A3-4F9A-B540-98104DA6DA70}"/>
    <cellStyle name="Encabezado 2.1:-" xfId="100" xr:uid="{C72CF8EE-63C1-44A7-B500-D651283F3959}"/>
    <cellStyle name="Encabezado 2:-" xfId="101" xr:uid="{8310637B-EF4C-451D-9FC2-BB5516C63357}"/>
    <cellStyle name="Encabezado 3:-" xfId="102" xr:uid="{212C56EF-76AB-42E7-AA1F-5222034F76DC}"/>
    <cellStyle name="Encabezado 4:-" xfId="103" xr:uid="{46683925-1502-4345-85C2-D9F0D9A15BBA}"/>
    <cellStyle name="Explanatory Text" xfId="17" builtinId="53" customBuiltin="1"/>
    <cellStyle name="Explanatory Text 2" xfId="104" xr:uid="{BA698A7C-970F-43FB-BF43-62C65EB1EB82}"/>
    <cellStyle name="Fecha:-" xfId="105" xr:uid="{F86AFA95-9C7C-490A-A4E0-19D45CF1CCE7}"/>
    <cellStyle name="Good" xfId="7" builtinId="26" customBuiltin="1"/>
    <cellStyle name="Good 2" xfId="177" xr:uid="{3DE15517-4BF4-4A2C-A9B1-9082679ACD89}"/>
    <cellStyle name="Heading 1" xfId="3" builtinId="16" customBuiltin="1"/>
    <cellStyle name="Heading 1 2" xfId="106" xr:uid="{531705E9-87CA-4946-BAA1-B3578C44E4E2}"/>
    <cellStyle name="Heading 2" xfId="4" builtinId="17" customBuiltin="1"/>
    <cellStyle name="Heading 2 2" xfId="107" xr:uid="{B566EE9A-1D85-4F5A-A4E4-84B861F29C18}"/>
    <cellStyle name="Heading 3" xfId="5" builtinId="18" customBuiltin="1"/>
    <cellStyle name="Heading 3 2" xfId="108" xr:uid="{BF1564D5-3ADA-4515-AA98-C0578C1C31D1}"/>
    <cellStyle name="Heading 4" xfId="6" builtinId="19" customBuiltin="1"/>
    <cellStyle name="Heading 4 2" xfId="109" xr:uid="{D7124187-C216-480F-9B36-6E4996854ED3}"/>
    <cellStyle name="Hipervínculo ícono:-" xfId="110" xr:uid="{2A80B6AC-AF09-473E-8DFB-F1D49BA60725}"/>
    <cellStyle name="Hipervínculo Texto:-" xfId="111" xr:uid="{2C2BA0EB-12D1-47A6-BC94-B1C8A77ECB17}"/>
    <cellStyle name="Hyperlink" xfId="180" builtinId="8"/>
    <cellStyle name="Input" xfId="10" builtinId="20" customBuiltin="1"/>
    <cellStyle name="Linked Cell" xfId="13" builtinId="24" customBuiltin="1"/>
    <cellStyle name="Millares [0] 2" xfId="112" xr:uid="{7728AF40-E194-4BFB-A78D-3C95DFEBA0A0}"/>
    <cellStyle name="Millares [0] 2 2" xfId="113" xr:uid="{BC4C62C9-D1F3-4CF5-B78B-2896DD59E27C}"/>
    <cellStyle name="Millares [0] 2 2 2" xfId="114" xr:uid="{35603A13-EF0E-45B2-8BE9-5BA1FD116320}"/>
    <cellStyle name="Millares [0] 2 2 2 2" xfId="115" xr:uid="{7E2B9B8A-CE6E-496F-AE5F-6BCE7FE81877}"/>
    <cellStyle name="Millares [0] 2 3" xfId="116" xr:uid="{FF16C565-D430-46E1-BC78-FA25F63073AB}"/>
    <cellStyle name="Millares [0] 3" xfId="117" xr:uid="{A4CD740D-A386-4548-86E7-9D43A0A4EE38}"/>
    <cellStyle name="Millares [0] 3 2" xfId="118" xr:uid="{8ADB6165-2924-43ED-9D97-24C245590C8A}"/>
    <cellStyle name="Millares [0] 4" xfId="119" xr:uid="{EF5BB779-D2F9-40D1-9B6C-5ADC4DE41F33}"/>
    <cellStyle name="Millares [0] 4 2" xfId="120" xr:uid="{5C5E7B80-B8AF-4F39-8228-A284DDB49E6E}"/>
    <cellStyle name="Millares [0] 5" xfId="121" xr:uid="{6B3E50DA-B3FD-4660-9F30-FDC153C2E7E9}"/>
    <cellStyle name="Millares [0] 5 2" xfId="122" xr:uid="{C7206531-D61B-4AB1-BF55-EEDF15EEBD16}"/>
    <cellStyle name="Millares [0] 6" xfId="123" xr:uid="{9263DC2F-229A-4437-BEA9-F0E81B3C93C3}"/>
    <cellStyle name="Millares 2" xfId="124" xr:uid="{53AC7ABF-7E71-4D0A-BDCE-EE0EA3126D32}"/>
    <cellStyle name="Millares 2 2" xfId="125" xr:uid="{39361F3A-AF2C-4FA4-B9AF-8A9307F7C908}"/>
    <cellStyle name="Millares 3" xfId="126" xr:uid="{62B25072-16AC-4A36-90EF-F43D4E9A8AD7}"/>
    <cellStyle name="Millares 4" xfId="127" xr:uid="{D3D3C927-5F57-4DB0-AA4F-862C6DF44C80}"/>
    <cellStyle name="Millares 5" xfId="128" xr:uid="{0EBDFA35-BAA3-4898-AC5F-C0EE2AA7E600}"/>
    <cellStyle name="Modelo parámetro interno:-" xfId="129" xr:uid="{69E65138-13CA-48AC-B121-7AD81C277915}"/>
    <cellStyle name="Neutral" xfId="9" builtinId="28" customBuiltin="1"/>
    <cellStyle name="Nombre modelo:-" xfId="130" xr:uid="{F2CF1F01-4995-4B1E-9C0B-13EFA9E5BD75}"/>
    <cellStyle name="Normal" xfId="0" builtinId="0" customBuiltin="1"/>
    <cellStyle name="Normal 10 2" xfId="131" xr:uid="{F1446B1C-36F5-43FF-B932-4E4B50617D91}"/>
    <cellStyle name="Note" xfId="16" builtinId="10" customBuiltin="1"/>
    <cellStyle name="Número:-" xfId="132" xr:uid="{26DA4A3E-52E5-4837-A890-E660EF43EEB6}"/>
    <cellStyle name="Output" xfId="11" builtinId="21" customBuiltin="1"/>
    <cellStyle name="P. año:-" xfId="133" xr:uid="{50208822-757A-4B42-9C3C-CA9DE53433EC}"/>
    <cellStyle name="P. fecha hora:-" xfId="134" xr:uid="{4CF368B8-3827-4E7A-9EB6-F174F1C9E2E8}"/>
    <cellStyle name="P. fecha mes año:-" xfId="135" xr:uid="{4C393654-4F9A-44E7-A72C-26B16DB47151}"/>
    <cellStyle name="P. fecha:-" xfId="136" xr:uid="{AEF0958D-7047-4B0B-ADA8-730FC1D16189}"/>
    <cellStyle name="P. indicador número:-" xfId="137" xr:uid="{53B3F0A1-7486-4C8A-8496-5ADB6330AFEB}"/>
    <cellStyle name="P. moneda:-" xfId="138" xr:uid="{55714F9F-76A4-49C9-8C58-771A121A03A5}"/>
    <cellStyle name="P. múltiplo:-" xfId="139" xr:uid="{5FD88168-EEC3-4DAC-B1E8-2FE72AB3D58C}"/>
    <cellStyle name="P. normal:-" xfId="140" xr:uid="{2D42F198-2E9A-4D08-9DCE-2EF8CDF69EB7}"/>
    <cellStyle name="P. número:-" xfId="141" xr:uid="{03899A7F-2B98-49D5-BEE0-8C5A95882E04}"/>
    <cellStyle name="P. número:- 2" xfId="142" xr:uid="{FEB1766D-A291-4787-923D-5822D2A24720}"/>
    <cellStyle name="P. número:- 3" xfId="143" xr:uid="{F2DEA8CA-DAAE-4C22-8870-972B224B3946}"/>
    <cellStyle name="P. porcentaje:-" xfId="144" xr:uid="{253A7401-6430-4A5C-A827-5827FA4EC989}"/>
    <cellStyle name="Percent" xfId="176" builtinId="5"/>
    <cellStyle name="Percent 2" xfId="145" xr:uid="{30BECA8E-FF70-4731-AA98-F7083E2A6B59}"/>
    <cellStyle name="Porcentaje:-" xfId="146" xr:uid="{A80B7291-824D-4C92-BA09-708EF07CF2C7}"/>
    <cellStyle name="Q1. pres total1:-" xfId="147" xr:uid="{E8A454D7-9FCC-4328-81FD-13F5E69D50FC}"/>
    <cellStyle name="Q1. pres total1:- 2" xfId="178" xr:uid="{4B4F8BA5-1CBA-4254-8A59-7B6D5B911381}"/>
    <cellStyle name="Q2. pres total2:-" xfId="148" xr:uid="{FF473D40-FF76-4210-8497-54327E8801FC}"/>
    <cellStyle name="Q3. pres subtotal:-" xfId="149" xr:uid="{4A184FFA-8623-462E-94C3-0D8E2BA19A28}"/>
    <cellStyle name="S. año:-" xfId="150" xr:uid="{72F4DE77-6E95-42E8-96A6-82AC1180D871}"/>
    <cellStyle name="S. columna :-" xfId="151" xr:uid="{5EEC68C6-2A2A-4A95-8297-4EF12EF81C0A}"/>
    <cellStyle name="S. columna:-" xfId="152" xr:uid="{56B63EDE-97B0-4C35-AD3E-49D47A7A8DE0}"/>
    <cellStyle name="S. fecha hora:-" xfId="153" xr:uid="{F2DFAF4D-D45F-40EC-BF66-49430A17FBA2}"/>
    <cellStyle name="S. fecha mes año:-" xfId="154" xr:uid="{3BDBB45A-66D0-42D3-B167-721F95A16E8B}"/>
    <cellStyle name="S. fecha:-" xfId="155" xr:uid="{32863881-3B06-4A6D-840F-1BBC5E11118E}"/>
    <cellStyle name="S. indicador número:-" xfId="156" xr:uid="{B03C44A3-4085-455D-B599-0DE8F3A34512}"/>
    <cellStyle name="S. moneda:-" xfId="157" xr:uid="{D7B6E0CA-C79A-43D7-B912-1DBF7A536EB3}"/>
    <cellStyle name="S. múltiplo:-" xfId="158" xr:uid="{22FBB00B-C0F7-4CDF-B47A-38002AFC0F35}"/>
    <cellStyle name="S. número:-" xfId="159" xr:uid="{149E3D80-66FD-48E1-BC86-06056E85E80D}"/>
    <cellStyle name="S. número:- 2" xfId="179" xr:uid="{4AC9BE92-B52F-4992-A6C2-500809675656}"/>
    <cellStyle name="S. número:- 3" xfId="160" xr:uid="{C8558A42-DF62-43FA-8C71-867344B62212}"/>
    <cellStyle name="S. porcentaje:-" xfId="161" xr:uid="{536A3F73-3D42-4750-BF14-01DDB82C4CB6}"/>
    <cellStyle name="S. texto:-" xfId="162" xr:uid="{FB9E0EF0-1B99-431F-9DAF-1F12BE334903}"/>
    <cellStyle name="Supuesto Año:-" xfId="163" xr:uid="{F4DC4A52-B24D-44ED-9F8D-48F359129AAC}"/>
    <cellStyle name="Supuesto Fecha:-" xfId="164" xr:uid="{73BD99D8-D1A1-4E4D-B175-E60A06A41FDF}"/>
    <cellStyle name="Supuesto Número:-" xfId="165" xr:uid="{64109937-C6B8-476F-BE65-EFA89B8E2D45}"/>
    <cellStyle name="Supuesto Porcentaje:-" xfId="166" xr:uid="{917E34D8-1D32-4964-B366-0EB76D388C2F}"/>
    <cellStyle name="Supuesto Texto:-" xfId="167" xr:uid="{6BDFAE5B-B259-482C-A2D5-567B34D617D1}"/>
    <cellStyle name="T. título1:-" xfId="168" xr:uid="{EF3DD150-F307-4DC7-8C98-E0EC853A9B12}"/>
    <cellStyle name="T. título1:- 2" xfId="169" xr:uid="{A8E50ACF-9902-493F-8BE0-C853A2565D78}"/>
    <cellStyle name="T. título2:-" xfId="170" xr:uid="{E6C0E0CD-3894-4B03-A041-8B58F7B8285C}"/>
    <cellStyle name="T. título3:-" xfId="171" xr:uid="{2EFC8DB6-6938-45CC-9AA6-992137CF9F8D}"/>
    <cellStyle name="T. título4:-" xfId="172" xr:uid="{71154F1F-7BC7-4B07-A2A5-6F81146B51E3}"/>
    <cellStyle name="T. título5:-" xfId="173" xr:uid="{7711AE29-D76A-4DEC-A6F7-C8A6EB1B4583}"/>
    <cellStyle name="Title" xfId="2" builtinId="15" customBuiltin="1"/>
    <cellStyle name="Title 2" xfId="174" xr:uid="{4CCA673F-D7AF-439E-AD2E-B310EB2E8A4B}"/>
    <cellStyle name="Título Hoja:-" xfId="175" xr:uid="{BC26CBA3-5550-4186-A4CF-B9E805670445}"/>
    <cellStyle name="Total" xfId="18" builtinId="25" customBuiltin="1"/>
    <cellStyle name="Warning Text" xfId="15" builtinId="11" customBuiltin="1"/>
  </cellStyles>
  <dxfs count="2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sz val="9"/>
        <color theme="1" tint="0.24994659260841701"/>
      </font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9" formatCode="m/d/yyyy"/>
    </dxf>
    <dxf>
      <font>
        <sz val="9"/>
        <color theme="1" tint="0.24994659260841701"/>
      </font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sz val="9"/>
        <color theme="1" tint="0.24994659260841701"/>
      </font>
      <numFmt numFmtId="0" formatCode="General"/>
    </dxf>
    <dxf>
      <numFmt numFmtId="0" formatCode="General"/>
    </dxf>
    <dxf>
      <numFmt numFmtId="0" formatCode="General"/>
    </dxf>
    <dxf>
      <font>
        <sz val="9"/>
        <color theme="1" tint="0.24994659260841701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sz val="9"/>
        <color theme="1" tint="0.24994659260841701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sz val="9"/>
        <color theme="1" tint="0.24994659260841701"/>
      </font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numFmt numFmtId="19" formatCode="m/d/yyyy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numFmt numFmtId="19" formatCode="m/d/yyyy"/>
    </dxf>
    <dxf>
      <numFmt numFmtId="27" formatCode="m/d/yyyy\ h:mm"/>
    </dxf>
    <dxf>
      <numFmt numFmtId="19" formatCode="m/d/yyyy"/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19" formatCode="m/d/yyyy"/>
    </dxf>
    <dxf>
      <numFmt numFmtId="19" formatCode="m/d/yyyy"/>
    </dxf>
    <dxf>
      <numFmt numFmtId="27" formatCode="m/d/yyyy\ h:mm"/>
    </dxf>
    <dxf>
      <numFmt numFmtId="179" formatCode="mmm/d/yyyy"/>
    </dxf>
    <dxf>
      <numFmt numFmtId="0" formatCode="General"/>
    </dxf>
    <dxf>
      <numFmt numFmtId="0" formatCode="General"/>
    </dxf>
    <dxf>
      <numFmt numFmtId="178" formatCode="_(* #,##0.00_);_(* \(#,##0.00\);_(* &quot;-&quot;_);_(@_)"/>
    </dxf>
    <dxf>
      <numFmt numFmtId="178" formatCode="_(* #,##0.00_);_(* \(#,##0.00\);_(* &quot;-&quot;_);_(@_)"/>
    </dxf>
    <dxf>
      <numFmt numFmtId="178" formatCode="_(* #,##0.00_);_(* \(#,##0.0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numFmt numFmtId="177" formatCode="yyyy\-mmm\-dd;@"/>
    </dxf>
    <dxf>
      <numFmt numFmtId="176" formatCode="dddd"/>
      <alignment horizontal="left" vertical="bottom" textRotation="0" wrapText="0" indent="0" justifyLastLine="0" shrinkToFit="0" readingOrder="0"/>
    </dxf>
    <dxf>
      <numFmt numFmtId="178" formatCode="_(* #,##0.00_);_(* \(#,##0.00\);_(* &quot;-&quot;_);_(@_)"/>
    </dxf>
    <dxf>
      <numFmt numFmtId="178" formatCode="_(* #,##0.00_);_(* \(#,##0.00\);_(* &quot;-&quot;_);_(@_)"/>
    </dxf>
    <dxf>
      <numFmt numFmtId="178" formatCode="_(* #,##0.00_);_(* \(#,##0.0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77" formatCode="yyyy\-mmm\-dd;@"/>
    </dxf>
    <dxf>
      <numFmt numFmtId="177" formatCode="yyyy\-mmm\-dd;@"/>
    </dxf>
    <dxf>
      <numFmt numFmtId="1" formatCode="0"/>
      <alignment horizontal="left" vertical="bottom" textRotation="0" wrapText="0" indent="0" justifyLastLine="0" shrinkToFit="0" readingOrder="0"/>
    </dxf>
    <dxf>
      <numFmt numFmtId="13" formatCode="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178" formatCode="_(* #,##0.00_);_(* \(#,##0.0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178" formatCode="_(* #,##0.00_);_(* \(#,##0.00\);_(* &quot;-&quot;_);_(@_)"/>
    </dxf>
    <dxf>
      <numFmt numFmtId="178" formatCode="_(* #,##0.00_);_(* \(#,##0.00\);_(* &quot;-&quot;_);_(@_)"/>
    </dxf>
    <dxf>
      <numFmt numFmtId="178" formatCode="_(* #,##0.00_);_(* \(#,##0.0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77" formatCode="yyyy\-mmm\-dd;@"/>
    </dxf>
    <dxf>
      <numFmt numFmtId="177" formatCode="yyyy\-mmm\-dd;@"/>
    </dxf>
    <dxf>
      <numFmt numFmtId="1" formatCode="0"/>
      <alignment horizontal="left" vertical="bottom" textRotation="0" wrapText="0" indent="0" justifyLastLine="0" shrinkToFit="0" readingOrder="0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sz val="9"/>
        <color theme="1" tint="0.24994659260841701"/>
      </font>
      <numFmt numFmtId="0" formatCode="General"/>
    </dxf>
    <dxf>
      <font>
        <sz val="9"/>
        <color theme="1" tint="0.24994659260841701"/>
      </font>
      <numFmt numFmtId="0" formatCode="General"/>
    </dxf>
    <dxf>
      <font>
        <sz val="9"/>
        <color theme="1" tint="0.24994659260841701"/>
      </font>
      <numFmt numFmtId="0" formatCode="General"/>
    </dxf>
    <dxf>
      <numFmt numFmtId="19" formatCode="m/d/yyyy"/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2" tint="-0.499984740745262"/>
      </font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i val="0"/>
      </font>
      <border>
        <top style="thin">
          <color theme="4"/>
        </top>
      </border>
    </dxf>
    <dxf>
      <font>
        <b/>
        <color theme="1"/>
      </font>
      <border>
        <top style="thin">
          <color theme="4"/>
        </top>
      </border>
    </dxf>
    <dxf>
      <font>
        <b/>
        <color theme="1"/>
      </font>
      <border>
        <top style="double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</dxfs>
  <tableStyles count="1" defaultTableStyle="TableStyleMedium2" defaultPivotStyle="PivotStyleLight16">
    <tableStyle name="PivotStyle Modelo Reporte" table="0" count="13" xr9:uid="{2991C115-510C-401F-A652-16F7CB7F36F7}">
      <tableStyleElement type="headerRow" dxfId="255"/>
      <tableStyleElement type="totalRow" dxfId="254"/>
      <tableStyleElement type="firstRowStripe" dxfId="253"/>
      <tableStyleElement type="firstColumnStripe" dxfId="252"/>
      <tableStyleElement type="firstSubtotalColumn" dxfId="251"/>
      <tableStyleElement type="firstSubtotalRow" dxfId="250"/>
      <tableStyleElement type="secondSubtotalRow" dxfId="249"/>
      <tableStyleElement type="thirdSubtotalRow" dxfId="248"/>
      <tableStyleElement type="firstRowSubheading" dxfId="247"/>
      <tableStyleElement type="secondRowSubheading" dxfId="246"/>
      <tableStyleElement type="thirdRowSubheading" dxfId="245"/>
      <tableStyleElement type="pageFieldLabels" dxfId="244"/>
      <tableStyleElement type="pageFieldValues" dxfId="2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AAAC338-B1F0-4655-A289-E5B9ACD466F2}" autoFormatId="16" applyNumberFormats="0" applyBorderFormats="0" applyFontFormats="0" applyPatternFormats="0" applyAlignmentFormats="0" applyWidthHeightFormats="0">
  <queryTableRefresh nextId="9">
    <queryTableFields count="6">
      <queryTableField id="1" name="Código" tableColumnId="1"/>
      <queryTableField id="2" name="Nombre" tableColumnId="2"/>
      <queryTableField id="3" name="Activo" tableColumnId="3"/>
      <queryTableField id="4" name="Tipo" tableColumnId="4"/>
      <queryTableField id="7" name="Categoria" tableColumnId="7"/>
      <queryTableField id="6" name="Clasificació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56B4AD52-BAC2-4343-988A-8D02910FBB6F}" autoFormatId="16" applyNumberFormats="0" applyBorderFormats="0" applyFontFormats="0" applyPatternFormats="0" applyAlignmentFormats="0" applyWidthHeightFormats="0">
  <queryTableRefresh nextId="17">
    <queryTableFields count="6">
      <queryTableField id="1" name="period" tableColumnId="1"/>
      <queryTableField id="14" name="category" tableColumnId="9"/>
      <queryTableField id="12" name="thirdparty_name" tableColumnId="8"/>
      <queryTableField id="5" name="account_name" tableColumnId="5"/>
      <queryTableField id="2" name="costs_fixed" tableColumnId="2"/>
      <queryTableField id="3" name="costs_variabl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30B651F3-B5AD-47AC-BD31-969773E9196B}" autoFormatId="16" applyNumberFormats="0" applyBorderFormats="0" applyFontFormats="0" applyPatternFormats="0" applyAlignmentFormats="0" applyWidthHeightFormats="0">
  <queryTableRefresh nextId="10">
    <queryTableFields count="9">
      <queryTableField id="1" name="Código" tableColumnId="1"/>
      <queryTableField id="2" name="Nombre" tableColumnId="2"/>
      <queryTableField id="3" name="Nivel" tableColumnId="3"/>
      <queryTableField id="4" name="Transaccional" tableColumnId="4"/>
      <queryTableField id="5" name="Activo" tableColumnId="5"/>
      <queryTableField id="6" name="Parent" tableColumnId="6"/>
      <queryTableField id="7" name="HasChildren" tableColumnId="7"/>
      <queryTableField id="8" name="Tipo" tableColumnId="8"/>
      <queryTableField id="9" name="Fecha Actualizació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6" xr16:uid="{A658D68E-C0C3-46B3-A725-5F865503669A}" autoFormatId="16" applyNumberFormats="0" applyBorderFormats="0" applyFontFormats="0" applyPatternFormats="0" applyAlignmentFormats="0" applyWidthHeightFormats="0">
  <queryTableRefresh nextId="88">
    <queryTableFields count="87">
      <queryTableField id="1" name="month" tableColumnId="1"/>
      <queryTableField id="2" name="orders" tableColumnId="2"/>
      <queryTableField id="3" name="quantity_ordered_per_order" tableColumnId="3"/>
      <queryTableField id="4" name="average_order_value" tableColumnId="4"/>
      <queryTableField id="5" name="quantity_returned" tableColumnId="5"/>
      <queryTableField id="6" name="gross_sales" tableColumnId="6"/>
      <queryTableField id="7" name="discounts" tableColumnId="7"/>
      <queryTableField id="8" name="sales_reversals" tableColumnId="8"/>
      <queryTableField id="9" name="net_sales" tableColumnId="9"/>
      <queryTableField id="10" name="shipping_charges" tableColumnId="10"/>
      <queryTableField id="11" name="return_fees" tableColumnId="11"/>
      <queryTableField id="12" name="taxes" tableColumnId="12"/>
      <queryTableField id="13" name="total_sales" tableColumnId="13"/>
      <queryTableField id="14" name="net_sales_without_cost_recorded" tableColumnId="14"/>
      <queryTableField id="15" name="net_sales_with_cost_recorded" tableColumnId="15"/>
      <queryTableField id="16" name="cost_of_goods_sold" tableColumnId="16"/>
      <queryTableField id="17" name="gross_profit" tableColumnId="17"/>
      <queryTableField id="18" name="gift_card_gross_sales" tableColumnId="18"/>
      <queryTableField id="19" name="net_items_sold" tableColumnId="19"/>
      <queryTableField id="20" name="gift_card_discounts" tableColumnId="20"/>
      <queryTableField id="21" name="gift_card_net_sales" tableColumnId="21"/>
      <queryTableField id="22" name="refresh_date" tableColumnId="22"/>
      <queryTableField id="23" name="returning_customers" tableColumnId="23"/>
      <queryTableField id="24" name="returning_orders" tableColumnId="24"/>
      <queryTableField id="25" name="returning_net_sales" tableColumnId="25"/>
      <queryTableField id="26" name="returning_average_order_value" tableColumnId="26"/>
      <queryTableField id="27" name="returning_cost_of_goods_sold" tableColumnId="27"/>
      <queryTableField id="28" name="returning_gross_profit" tableColumnId="28"/>
      <queryTableField id="29" name="new_customers" tableColumnId="29"/>
      <queryTableField id="30" name="new_orders" tableColumnId="30"/>
      <queryTableField id="31" name="new_net_sales" tableColumnId="31"/>
      <queryTableField id="32" name="new_average_order_value" tableColumnId="32"/>
      <queryTableField id="33" name="new_cost_of_goods_sold" tableColumnId="33"/>
      <queryTableField id="34" name="new_gross_profit" tableColumnId="34"/>
      <queryTableField id="35" name="unknown_customers" tableColumnId="35"/>
      <queryTableField id="36" name="unknown_orders" tableColumnId="36"/>
      <queryTableField id="37" name="unknown_net_sales" tableColumnId="37"/>
      <queryTableField id="38" name="unknown_average_order_value" tableColumnId="38"/>
      <queryTableField id="39" name="unknown_cost_of_goods_sold" tableColumnId="39"/>
      <queryTableField id="40" name="unknown_gross_profit" tableColumnId="40"/>
      <queryTableField id="41" name="Rappi_net_sales" tableColumnId="41"/>
      <queryTableField id="42" name="Rappi_orders" tableColumnId="42"/>
      <queryTableField id="43" name="Rappi_average_order_value" tableColumnId="43"/>
      <queryTableField id="44" name="Rappi_cost_of_goods_sold" tableColumnId="44"/>
      <queryTableField id="45" name="Online Store_net_sales" tableColumnId="45"/>
      <queryTableField id="46" name="Online Store_orders" tableColumnId="46"/>
      <queryTableField id="47" name="Online Store_average_order_value" tableColumnId="47"/>
      <queryTableField id="48" name="Online Store_cost_of_goods_sold" tableColumnId="48"/>
      <queryTableField id="49" name="Tienda 81_net_sales" tableColumnId="49"/>
      <queryTableField id="50" name="Tienda 81_orders" tableColumnId="50"/>
      <queryTableField id="51" name="Tienda 81_average_order_value" tableColumnId="51"/>
      <queryTableField id="52" name="Tienda 81_cost_of_goods_sold" tableColumnId="52"/>
      <queryTableField id="53" name="Corporativo no tienda_net_sales" tableColumnId="53"/>
      <queryTableField id="54" name="Corporativo no tienda_orders" tableColumnId="54"/>
      <queryTableField id="55" name="Corporativo no tienda_average_order_value" tableColumnId="55"/>
      <queryTableField id="56" name="Corporativo no tienda_cost_of_goods_sold" tableColumnId="56"/>
      <queryTableField id="57" name="Feria_net_sales" tableColumnId="57"/>
      <queryTableField id="58" name="Feria_orders" tableColumnId="58"/>
      <queryTableField id="59" name="Feria_average_order_value" tableColumnId="59"/>
      <queryTableField id="60" name="Feria_cost_of_goods_sold" tableColumnId="60"/>
      <queryTableField id="61" name="unknown_sessions" tableColumnId="61"/>
      <queryTableField id="62" name="unknown_sessions_that_completed_checkout" tableColumnId="62"/>
      <queryTableField id="63" name="unknown_conversion_rate" tableColumnId="63"/>
      <queryTableField id="64" name="social_sessions" tableColumnId="64"/>
      <queryTableField id="65" name="social_sessions_that_completed_checkout" tableColumnId="65"/>
      <queryTableField id="66" name="social_conversion_rate" tableColumnId="66"/>
      <queryTableField id="67" name="search_sessions" tableColumnId="67"/>
      <queryTableField id="68" name="search_sessions_that_completed_checkout" tableColumnId="68"/>
      <queryTableField id="69" name="search_conversion_rate" tableColumnId="69"/>
      <queryTableField id="70" name="paid_sessions" tableColumnId="70"/>
      <queryTableField id="71" name="paid_sessions_that_completed_checkout" tableColumnId="71"/>
      <queryTableField id="72" name="paid_conversion_rate" tableColumnId="72"/>
      <queryTableField id="73" name="direct_sessions" tableColumnId="73"/>
      <queryTableField id="74" name="direct_sessions_that_completed_checkout" tableColumnId="74"/>
      <queryTableField id="75" name="direct_conversion_rate" tableColumnId="75"/>
      <queryTableField id="76" name="Total site_sessions" tableColumnId="76"/>
      <queryTableField id="77" name="Total site_sessions_that_completed_checkout" tableColumnId="77"/>
      <queryTableField id="78" name="Total site_conversion_rate" tableColumnId="78"/>
      <queryTableField id="79" name="email_sessions" tableColumnId="79"/>
      <queryTableField id="80" name="email_sessions_that_completed_checkout" tableColumnId="80"/>
      <queryTableField id="81" name="email_conversion_rate" tableColumnId="81"/>
      <queryTableField id="82" name="GoogleAdsOperation.Cost" tableColumnId="82"/>
      <queryTableField id="83" name="GoogleAdsOperation.Impressions" tableColumnId="83"/>
      <queryTableField id="84" name="GoogleAdsOperation.Clicks" tableColumnId="84"/>
      <queryTableField id="85" name="MetaAdsOperation.spend" tableColumnId="85"/>
      <queryTableField id="86" name="MetaAdsOperation.clicks" tableColumnId="86"/>
      <queryTableField id="87" name="MetaAdsOperation.impressions" tableColumnId="8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9" xr16:uid="{0C2F0B97-9FF0-4657-A903-C3477BE92985}" autoFormatId="16" applyNumberFormats="0" applyBorderFormats="0" applyFontFormats="0" applyPatternFormats="0" applyAlignmentFormats="0" applyWidthHeightFormats="0">
  <queryTableRefresh nextId="3">
    <queryTableFields count="2">
      <queryTableField id="1" name="startDate" tableColumnId="1"/>
      <queryTableField id="2" name="endDat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5" xr16:uid="{080A9827-A011-4880-831B-6394D4DB9BFF}" autoFormatId="16" applyNumberFormats="0" applyBorderFormats="0" applyFontFormats="0" applyPatternFormats="0" applyAlignmentFormats="0" applyWidthHeightFormats="0">
  <queryTableRefresh nextId="99">
    <queryTableFields count="87">
      <queryTableField id="1" name="month" tableColumnId="1"/>
      <queryTableField id="2" name="orders" tableColumnId="2"/>
      <queryTableField id="3" name="quantity_ordered_per_order" tableColumnId="3"/>
      <queryTableField id="4" name="average_order_value" tableColumnId="4"/>
      <queryTableField id="5" name="quantity_returned" tableColumnId="5"/>
      <queryTableField id="6" name="gross_sales" tableColumnId="6"/>
      <queryTableField id="7" name="discounts" tableColumnId="7"/>
      <queryTableField id="8" name="sales_reversals" tableColumnId="8"/>
      <queryTableField id="9" name="net_sales" tableColumnId="9"/>
      <queryTableField id="10" name="shipping_charges" tableColumnId="10"/>
      <queryTableField id="11" name="return_fees" tableColumnId="11"/>
      <queryTableField id="12" name="taxes" tableColumnId="12"/>
      <queryTableField id="13" name="total_sales" tableColumnId="13"/>
      <queryTableField id="14" name="net_sales_without_cost_recorded" tableColumnId="14"/>
      <queryTableField id="15" name="net_sales_with_cost_recorded" tableColumnId="15"/>
      <queryTableField id="16" name="cost_of_goods_sold" tableColumnId="16"/>
      <queryTableField id="17" name="gross_profit" tableColumnId="17"/>
      <queryTableField id="18" name="gift_card_gross_sales" tableColumnId="18"/>
      <queryTableField id="19" name="net_items_sold" tableColumnId="19"/>
      <queryTableField id="20" name="gift_card_discounts" tableColumnId="20"/>
      <queryTableField id="21" name="gift_card_net_sales" tableColumnId="21"/>
      <queryTableField id="22" name="refresh_date" tableColumnId="22"/>
      <queryTableField id="23" name="returning_customers" tableColumnId="23"/>
      <queryTableField id="24" name="returning_orders" tableColumnId="24"/>
      <queryTableField id="25" name="returning_net_sales" tableColumnId="25"/>
      <queryTableField id="26" name="returning_average_order_value" tableColumnId="26"/>
      <queryTableField id="27" name="returning_cost_of_goods_sold" tableColumnId="27"/>
      <queryTableField id="28" name="returning_gross_profit" tableColumnId="28"/>
      <queryTableField id="29" name="new_customers" tableColumnId="29"/>
      <queryTableField id="30" name="new_orders" tableColumnId="30"/>
      <queryTableField id="31" name="new_net_sales" tableColumnId="31"/>
      <queryTableField id="32" name="new_average_order_value" tableColumnId="32"/>
      <queryTableField id="33" name="new_cost_of_goods_sold" tableColumnId="33"/>
      <queryTableField id="34" name="new_gross_profit" tableColumnId="34"/>
      <queryTableField id="35" name="unknown_customers" tableColumnId="35"/>
      <queryTableField id="36" name="unknown_orders" tableColumnId="36"/>
      <queryTableField id="37" name="unknown_net_sales" tableColumnId="37"/>
      <queryTableField id="38" name="unknown_average_order_value" tableColumnId="38"/>
      <queryTableField id="39" name="unknown_cost_of_goods_sold" tableColumnId="39"/>
      <queryTableField id="40" name="unknown_gross_profit" tableColumnId="40"/>
      <queryTableField id="49" name="Rappi_net_sales" tableColumnId="49"/>
      <queryTableField id="50" name="Rappi_orders" tableColumnId="50"/>
      <queryTableField id="51" name="Rappi_average_order_value" tableColumnId="51"/>
      <queryTableField id="52" name="Rappi_cost_of_goods_sold" tableColumnId="52"/>
      <queryTableField id="41" name="Online Store_net_sales" tableColumnId="41"/>
      <queryTableField id="42" name="Online Store_orders" tableColumnId="42"/>
      <queryTableField id="43" name="Online Store_average_order_value" tableColumnId="43"/>
      <queryTableField id="44" name="Online Store_cost_of_goods_sold" tableColumnId="44"/>
      <queryTableField id="45" name="Tienda 81_net_sales" tableColumnId="45"/>
      <queryTableField id="46" name="Tienda 81_orders" tableColumnId="46"/>
      <queryTableField id="47" name="Tienda 81_average_order_value" tableColumnId="47"/>
      <queryTableField id="48" name="Tienda 81_cost_of_goods_sold" tableColumnId="48"/>
      <queryTableField id="53" name="Corporativo no tienda_net_sales" tableColumnId="53"/>
      <queryTableField id="54" name="Corporativo no tienda_orders" tableColumnId="54"/>
      <queryTableField id="55" name="Corporativo no tienda_average_order_value" tableColumnId="55"/>
      <queryTableField id="56" name="Corporativo no tienda_cost_of_goods_sold" tableColumnId="56"/>
      <queryTableField id="87" name="Feria_net_sales" tableColumnId="87"/>
      <queryTableField id="88" name="Feria_orders" tableColumnId="88"/>
      <queryTableField id="89" name="Feria_average_order_value" tableColumnId="89"/>
      <queryTableField id="90" name="Feria_cost_of_goods_sold" tableColumnId="90"/>
      <queryTableField id="57" name="unknown_sessions" tableColumnId="57"/>
      <queryTableField id="58" name="unknown_sessions_that_completed_checkout" tableColumnId="58"/>
      <queryTableField id="59" name="unknown_conversion_rate" tableColumnId="59"/>
      <queryTableField id="60" name="social_sessions" tableColumnId="60"/>
      <queryTableField id="61" name="social_sessions_that_completed_checkout" tableColumnId="61"/>
      <queryTableField id="62" name="social_conversion_rate" tableColumnId="62"/>
      <queryTableField id="63" name="search_sessions" tableColumnId="63"/>
      <queryTableField id="64" name="search_sessions_that_completed_checkout" tableColumnId="64"/>
      <queryTableField id="65" name="search_conversion_rate" tableColumnId="65"/>
      <queryTableField id="66" name="paid_sessions" tableColumnId="66"/>
      <queryTableField id="67" name="paid_sessions_that_completed_checkout" tableColumnId="67"/>
      <queryTableField id="68" name="paid_conversion_rate" tableColumnId="68"/>
      <queryTableField id="69" name="direct_sessions" tableColumnId="69"/>
      <queryTableField id="70" name="direct_sessions_that_completed_checkout" tableColumnId="70"/>
      <queryTableField id="71" name="direct_conversion_rate" tableColumnId="71"/>
      <queryTableField id="72" name="Total site_sessions" tableColumnId="72"/>
      <queryTableField id="73" name="Total site_sessions_that_completed_checkout" tableColumnId="73"/>
      <queryTableField id="74" name="Total site_conversion_rate" tableColumnId="74"/>
      <queryTableField id="75" name="email_sessions" tableColumnId="75"/>
      <queryTableField id="76" name="email_sessions_that_completed_checkout" tableColumnId="76"/>
      <queryTableField id="77" name="email_conversion_rate" tableColumnId="77"/>
      <queryTableField id="78" name="GoogleAdsOperation.Cost" tableColumnId="78"/>
      <queryTableField id="82" name="GoogleAdsOperation.Impressions" tableColumnId="82"/>
      <queryTableField id="83" name="GoogleAdsOperation.Clicks" tableColumnId="83"/>
      <queryTableField id="84" name="MetaAdsOperation.spend" tableColumnId="84"/>
      <queryTableField id="85" name="MetaAdsOperation.clicks" tableColumnId="85"/>
      <queryTableField id="86" name="MetaAdsOperation.impressions" tableColumnId="8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1" xr16:uid="{F5096477-6C3D-40EE-80CD-736935633027}" autoFormatId="16" applyNumberFormats="0" applyBorderFormats="0" applyFontFormats="0" applyPatternFormats="0" applyAlignmentFormats="0" applyWidthHeightFormats="0">
  <queryTableRefresh nextId="23">
    <queryTableFields count="22">
      <queryTableField id="1" name="month" tableColumnId="1"/>
      <queryTableField id="2" name="orders" tableColumnId="2"/>
      <queryTableField id="3" name="quantity_ordered_per_order" tableColumnId="3"/>
      <queryTableField id="4" name="average_order_value" tableColumnId="4"/>
      <queryTableField id="5" name="quantity_returned" tableColumnId="5"/>
      <queryTableField id="6" name="gross_sales" tableColumnId="6"/>
      <queryTableField id="7" name="discounts" tableColumnId="7"/>
      <queryTableField id="8" name="sales_reversals" tableColumnId="8"/>
      <queryTableField id="9" name="net_sales" tableColumnId="9"/>
      <queryTableField id="10" name="shipping_charges" tableColumnId="10"/>
      <queryTableField id="11" name="return_fees" tableColumnId="11"/>
      <queryTableField id="12" name="taxes" tableColumnId="12"/>
      <queryTableField id="13" name="total_sales" tableColumnId="13"/>
      <queryTableField id="14" name="net_sales_without_cost_recorded" tableColumnId="14"/>
      <queryTableField id="15" name="net_sales_with_cost_recorded" tableColumnId="15"/>
      <queryTableField id="16" name="cost_of_goods_sold" tableColumnId="16"/>
      <queryTableField id="17" name="gross_profit" tableColumnId="17"/>
      <queryTableField id="18" name="gift_card_gross_sales" tableColumnId="18"/>
      <queryTableField id="19" name="net_items_sold" tableColumnId="19"/>
      <queryTableField id="20" name="gift_card_discounts" tableColumnId="20"/>
      <queryTableField id="21" name="gift_card_net_sales" tableColumnId="21"/>
      <queryTableField id="22" name="refresh_date" tableColumnId="2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5CB91CC9-DDD5-46D2-8F98-FBEFE8408D24}" autoFormatId="16" applyNumberFormats="0" applyBorderFormats="0" applyFontFormats="0" applyPatternFormats="0" applyAlignmentFormats="0" applyWidthHeightFormats="0">
  <queryTableRefresh nextId="163">
    <queryTableFields count="86">
      <queryTableField id="4" name="day" tableColumnId="4"/>
      <queryTableField id="28" name="orders" tableColumnId="23"/>
      <queryTableField id="29" name="quantity_ordered_per_order" tableColumnId="24"/>
      <queryTableField id="30" name="average_order_value" tableColumnId="25"/>
      <queryTableField id="31" name="quantity_returned" tableColumnId="26"/>
      <queryTableField id="5" name="gross_sales" tableColumnId="5"/>
      <queryTableField id="6" name="discounts" tableColumnId="6"/>
      <queryTableField id="13" name="sales_reversals" tableColumnId="11"/>
      <queryTableField id="7" name="net_sales" tableColumnId="7"/>
      <queryTableField id="14" name="shipping_charges" tableColumnId="12"/>
      <queryTableField id="15" name="return_fees" tableColumnId="13"/>
      <queryTableField id="8" name="taxes" tableColumnId="8"/>
      <queryTableField id="16" name="total_sales" tableColumnId="14"/>
      <queryTableField id="17" name="net_sales_without_cost_recorded" tableColumnId="15"/>
      <queryTableField id="18" name="net_sales_with_cost_recorded" tableColumnId="16"/>
      <queryTableField id="19" name="cost_of_goods_sold" tableColumnId="17"/>
      <queryTableField id="20" name="gross_profit" tableColumnId="18"/>
      <queryTableField id="21" name="gift_card_gross_sales" tableColumnId="19"/>
      <queryTableField id="22" name="net_items_sold" tableColumnId="20"/>
      <queryTableField id="23" name="gift_card_discounts" tableColumnId="21"/>
      <queryTableField id="24" name="gift_card_net_sales" tableColumnId="22"/>
      <queryTableField id="124" name="refresh_date" tableColumnId="29"/>
      <queryTableField id="36" name="returning_customers" tableColumnId="27"/>
      <queryTableField id="37" name="returning_orders" tableColumnId="28"/>
      <queryTableField id="72" name="returning_net_sales" tableColumnId="52"/>
      <queryTableField id="73" name="returning_average_order_value" tableColumnId="53"/>
      <queryTableField id="91" name="returning_cost_of_goods_sold" tableColumnId="62"/>
      <queryTableField id="97" name="returning_gross_profit" tableColumnId="65"/>
      <queryTableField id="39" name="new_customers" tableColumnId="30"/>
      <queryTableField id="40" name="new_orders" tableColumnId="31"/>
      <queryTableField id="74" name="new_net_sales" tableColumnId="54"/>
      <queryTableField id="75" name="new_average_order_value" tableColumnId="55"/>
      <queryTableField id="92" name="new_cost_of_goods_sold" tableColumnId="63"/>
      <queryTableField id="98" name="new_gross_profit" tableColumnId="66"/>
      <queryTableField id="42" name="unknown_customers" tableColumnId="33"/>
      <queryTableField id="43" name="unknown_orders" tableColumnId="34"/>
      <queryTableField id="76" name="unknown_net_sales" tableColumnId="56"/>
      <queryTableField id="77" name="unknown_average_order_value" tableColumnId="57"/>
      <queryTableField id="93" name="unknown_cost_of_goods_sold" tableColumnId="64"/>
      <queryTableField id="99" name="unknown_gross_profit" tableColumnId="67"/>
      <queryTableField id="57" name="Online Store_net_sales" tableColumnId="1"/>
      <queryTableField id="58" name="Online Store_orders" tableColumnId="2"/>
      <queryTableField id="65" name="Online Store_average_order_value" tableColumnId="48"/>
      <queryTableField id="84" name="Online Store_cost_of_goods_sold" tableColumnId="58"/>
      <queryTableField id="59" name="Tienda 81_net_sales" tableColumnId="3"/>
      <queryTableField id="60" name="Tienda 81_orders" tableColumnId="43"/>
      <queryTableField id="66" name="Tienda 81_average_order_value" tableColumnId="49"/>
      <queryTableField id="85" name="Tienda 81_cost_of_goods_sold" tableColumnId="59"/>
      <queryTableField id="61" name="Rappi_net_sales" tableColumnId="44"/>
      <queryTableField id="62" name="Rappi_orders" tableColumnId="45"/>
      <queryTableField id="67" name="Rappi_average_order_value" tableColumnId="50"/>
      <queryTableField id="86" name="Rappi_cost_of_goods_sold" tableColumnId="60"/>
      <queryTableField id="63" name="Corporativo no tienda_net_sales" tableColumnId="46"/>
      <queryTableField id="64" name="Corporativo no tienda_orders" tableColumnId="47"/>
      <queryTableField id="68" name="Corporativo no tienda_average_order_value" tableColumnId="51"/>
      <queryTableField id="87" name="Corporativo no tienda_cost_of_goods_sold" tableColumnId="61"/>
      <queryTableField id="103" name="unknown_sessions" tableColumnId="68"/>
      <queryTableField id="104" name="unknown_sessions_that_completed_checkout" tableColumnId="69"/>
      <queryTableField id="105" name="unknown_conversion_rate" tableColumnId="70"/>
      <queryTableField id="106" name="social_sessions" tableColumnId="71"/>
      <queryTableField id="107" name="social_sessions_that_completed_checkout" tableColumnId="72"/>
      <queryTableField id="108" name="social_conversion_rate" tableColumnId="73"/>
      <queryTableField id="109" name="search_sessions" tableColumnId="74"/>
      <queryTableField id="110" name="search_sessions_that_completed_checkout" tableColumnId="75"/>
      <queryTableField id="111" name="search_conversion_rate" tableColumnId="76"/>
      <queryTableField id="112" name="paid_sessions" tableColumnId="77"/>
      <queryTableField id="113" name="paid_sessions_that_completed_checkout" tableColumnId="78"/>
      <queryTableField id="114" name="paid_conversion_rate" tableColumnId="79"/>
      <queryTableField id="115" name="direct_sessions" tableColumnId="80"/>
      <queryTableField id="116" name="direct_sessions_that_completed_checkout" tableColumnId="81"/>
      <queryTableField id="117" name="direct_conversion_rate" tableColumnId="82"/>
      <queryTableField id="118" name="Total site_sessions" tableColumnId="83"/>
      <queryTableField id="119" name="Total site_sessions_that_completed_checkout" tableColumnId="84"/>
      <queryTableField id="120" name="Total site_conversion_rate" tableColumnId="85"/>
      <queryTableField id="121" name="email_sessions" tableColumnId="86"/>
      <queryTableField id="122" name="email_sessions_that_completed_checkout" tableColumnId="87"/>
      <queryTableField id="123" name="email_conversion_rate" tableColumnId="88"/>
      <queryTableField id="45" name="GoogleAdsOperation.Cost" tableColumnId="36"/>
      <queryTableField id="46" name="GoogleAdsOperation.Avg. Cpc" tableColumnId="37"/>
      <queryTableField id="47" name="GoogleAdsOperation.Ctr" tableColumnId="38"/>
      <queryTableField id="48" name="GoogleAdsOperation.Search Impr. share" tableColumnId="39"/>
      <queryTableField id="49" name="GoogleAdsOperation.Impressions" tableColumnId="40"/>
      <queryTableField id="50" name="GoogleAdsOperation.Clicks" tableColumnId="41"/>
      <queryTableField id="54" name="MetaAdsOperation.spend" tableColumnId="9"/>
      <queryTableField id="55" name="MetaAdsOperation.clicks" tableColumnId="10"/>
      <queryTableField id="56" name="MetaAdsOperation.impressions" tableColumnId="4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9" xr16:uid="{B181D404-9708-435A-BE35-4A650267B326}" autoFormatId="16" applyNumberFormats="0" applyBorderFormats="0" applyFontFormats="0" applyPatternFormats="0" applyAlignmentFormats="0" applyWidthHeightFormats="0">
  <queryTableRefresh nextId="12">
    <queryTableFields count="7">
      <queryTableField id="8" name="day" tableColumnId="7"/>
      <queryTableField id="2" name="source" tableColumnId="2"/>
      <queryTableField id="3" name="product_title" tableColumnId="3"/>
      <queryTableField id="6" name="new_or_returning_customer" tableColumnId="6"/>
      <queryTableField id="4" name="quantity_ordered" tableColumnId="4"/>
      <queryTableField id="5" name="net_sales" tableColumnId="5"/>
      <queryTableField id="10" name="refresh_date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3" xr16:uid="{CE7A7EA9-0DD3-418F-BE14-12F290769E65}" autoFormatId="16" applyNumberFormats="0" applyBorderFormats="0" applyFontFormats="0" applyPatternFormats="0" applyAlignmentFormats="0" applyWidthHeightFormats="0">
  <queryTableRefresh nextId="34">
    <queryTableFields count="11">
      <queryTableField id="1" name="day" tableColumnId="1"/>
      <queryTableField id="2" name="order_utm_campaign" tableColumnId="2"/>
      <queryTableField id="3" name="order_referrer_source" tableColumnId="3"/>
      <queryTableField id="7" name="Total_Sales_Combined" tableColumnId="7"/>
      <queryTableField id="16" name="refresh_date" tableColumnId="11"/>
      <queryTableField id="4" name="google" tableColumnId="4"/>
      <queryTableField id="5" name="facebook" tableColumnId="5"/>
      <queryTableField id="26" name="meta" tableColumnId="6"/>
      <queryTableField id="19" name="FACEBOOK" tableColumnId="9"/>
      <queryTableField id="20" name="Facebook" tableColumnId="10"/>
      <queryTableField id="18" name="ig" tableColumnId="8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8889BC-22E2-4727-9784-D92652E54D7D}" name="TableMonthlySummary" displayName="TableMonthlySummary" ref="B7:AL31" totalsRowShown="0">
  <autoFilter ref="B7:AL31" xr:uid="{15DFDC4C-6E81-4A13-8C39-5B9B1A7C1495}"/>
  <tableColumns count="37">
    <tableColumn id="1" xr3:uid="{583983C6-5702-4643-AACA-8AD32F38A558}" name="Mes" dataDxfId="228">
      <calculatedColumnFormula>MONTH(TableMonthlySummary[[#This Row],[Hasta]])</calculatedColumnFormula>
    </tableColumn>
    <tableColumn id="2" xr3:uid="{B0D3C832-6FF0-4A71-AF20-D23AAFBA4826}" name="Desde" dataDxfId="227">
      <calculatedColumnFormula>_xlfn.LET(
    _xlpm.fechaini, ParamFechaInicioReporte,
    IF(ROW()=8, _xlpm.fechaini, EDATE(C7, 1))
)</calculatedColumnFormula>
    </tableColumn>
    <tableColumn id="21" xr3:uid="{87A16A1B-1346-455D-9300-516D5B36A533}" name="Hasta" dataDxfId="226">
      <calculatedColumnFormula>EOMONTH(TableMonthlySummary[[#This Row],[Desde]], 0)</calculatedColumnFormula>
    </tableColumn>
    <tableColumn id="3" xr3:uid="{E7288ACE-F660-40CF-ADF0-1BFA3E230628}" name="Ventas netas totales" dataDxfId="225" dataCellStyle="Comma [0]">
      <calculatedColumnFormula>SUMIFS(TableDailySummary[Ventas netas totales],TableDailySummary[Fecha],"&gt;="&amp;TableMonthlySummary[[#This Row],[Desde]],TableDailySummary[Fecha],"&lt;="&amp;TableMonthlySummary[[#This Row],[Hasta]])</calculatedColumnFormula>
    </tableColumn>
    <tableColumn id="4" xr3:uid="{1391DA16-964C-4250-AAA6-28651351D7F3}" name="Órdenes totales" dataDxfId="224" dataCellStyle="Comma [0]">
      <calculatedColumnFormula>SUMIFS(TableDailySummary[Órdenes totales],TableDailySummary[Fecha],"&gt;="&amp;TableMonthlySummary[[#This Row],[Desde]],TableDailySummary[Fecha],"&lt;="&amp;TableMonthlySummary[[#This Row],[Hasta]])</calculatedColumnFormula>
    </tableColumn>
    <tableColumn id="5" xr3:uid="{FB2CFFC5-3429-4ED2-ACA3-37F527139C29}" name="Ventas primer cliente" dataDxfId="223" dataCellStyle="Comma [0]">
      <calculatedColumnFormula>SUMIFS(TableDailySummary[Ventas primer cliente],TableDailySummary[Fecha],"&gt;="&amp;TableMonthlySummary[[#This Row],[Desde]],TableDailySummary[Fecha],"&lt;="&amp;TableMonthlySummary[[#This Row],[Hasta]])</calculatedColumnFormula>
    </tableColumn>
    <tableColumn id="6" xr3:uid="{C5438240-1F42-4E1F-807D-5375D7985984}" name="Órdenes primer cliente" dataDxfId="222" dataCellStyle="Comma [0]">
      <calculatedColumnFormula>SUMIFS(TableDailySummary[Órdenes primer cliente],TableDailySummary[Fecha],"&gt;="&amp;TableMonthlySummary[[#This Row],[Desde]],TableDailySummary[Fecha],"&lt;="&amp;TableMonthlySummary[[#This Row],[Hasta]])</calculatedColumnFormula>
    </tableColumn>
    <tableColumn id="27" xr3:uid="{0979C368-A369-4386-91EC-9174FD1DDBBB}" name="Online Store_net_sales" dataDxfId="221" dataCellStyle="Comma [0]">
      <calculatedColumnFormula>SUMIFS(TableDailySummary[Online Store_net_sales],TableDailySummary[Fecha],"&gt;="&amp;TableMonthlySummary[[#This Row],[Desde]],TableDailySummary[Fecha],"&lt;="&amp;TableMonthlySummary[[#This Row],[Hasta]])</calculatedColumnFormula>
    </tableColumn>
    <tableColumn id="28" xr3:uid="{750614D6-A88C-4DED-81D9-6DB9E9BB8B15}" name="Online Store_orders" dataDxfId="220" dataCellStyle="Comma [0]">
      <calculatedColumnFormula>SUMIFS(TableDailySummary[Online Store_orders],TableDailySummary[Fecha],"&gt;="&amp;TableMonthlySummary[[#This Row],[Desde]],TableDailySummary[Fecha],"&lt;="&amp;TableMonthlySummary[[#This Row],[Hasta]])</calculatedColumnFormula>
    </tableColumn>
    <tableColumn id="29" xr3:uid="{6DAE84EB-4D6C-46BC-914E-14D569635866}" name="Tienda 81_net_sales" dataDxfId="219" dataCellStyle="Comma [0]">
      <calculatedColumnFormula>SUMIFS(TableDailySummary[Tienda 81_net_sales],TableDailySummary[Fecha],"&gt;="&amp;TableMonthlySummary[[#This Row],[Desde]],TableDailySummary[Fecha],"&lt;="&amp;TableMonthlySummary[[#This Row],[Hasta]])</calculatedColumnFormula>
    </tableColumn>
    <tableColumn id="30" xr3:uid="{B76EA4FB-F07A-439D-9774-33D483B6D7C1}" name="Tienda 81_orders" dataDxfId="218" dataCellStyle="Comma [0]">
      <calculatedColumnFormula>SUMIFS(TableDailySummary[Tienda 81_orders],TableDailySummary[Fecha],"&gt;="&amp;TableMonthlySummary[[#This Row],[Desde]],TableDailySummary[Fecha],"&lt;="&amp;TableMonthlySummary[[#This Row],[Hasta]])</calculatedColumnFormula>
    </tableColumn>
    <tableColumn id="31" xr3:uid="{7D0DA09F-75B6-474C-8F0C-A450A0B810C4}" name="Rappi_net_sales" dataDxfId="217" dataCellStyle="Comma [0]">
      <calculatedColumnFormula>SUMIFS(TableDailySummary[Rappi_net_sales],TableDailySummary[Fecha],"&gt;="&amp;TableMonthlySummary[[#This Row],[Desde]],TableDailySummary[Fecha],"&lt;="&amp;TableMonthlySummary[[#This Row],[Hasta]])</calculatedColumnFormula>
    </tableColumn>
    <tableColumn id="32" xr3:uid="{A26AEDD3-50F4-47C7-9927-C5E2C86C4EE4}" name="Rappi_orders" dataDxfId="216" dataCellStyle="Comma [0]">
      <calculatedColumnFormula>SUMIFS(TableDailySummary[Rappi_orders],TableDailySummary[Fecha],"&gt;="&amp;TableMonthlySummary[[#This Row],[Desde]],TableDailySummary[Fecha],"&lt;="&amp;TableMonthlySummary[[#This Row],[Hasta]])</calculatedColumnFormula>
    </tableColumn>
    <tableColumn id="33" xr3:uid="{4014395B-6A53-46DA-937B-5155E68DFDE2}" name="Corporativo no tienda_net_sales" dataDxfId="215" dataCellStyle="Comma [0]">
      <calculatedColumnFormula>SUMIFS(TableDailySummary[Corporativo no tienda_net_sales],TableDailySummary[Fecha],"&gt;="&amp;TableMonthlySummary[[#This Row],[Desde]],TableDailySummary[Fecha],"&lt;="&amp;TableMonthlySummary[[#This Row],[Hasta]])</calculatedColumnFormula>
    </tableColumn>
    <tableColumn id="34" xr3:uid="{A8D308C8-5D94-4451-BBCE-0862B61A4D0B}" name="Corporativo no tienda_orders" dataDxfId="214" dataCellStyle="Comma [0]">
      <calculatedColumnFormula>SUMIFS(TableDailySummary[Corporativo no tienda_orders],TableDailySummary[Fecha],"&gt;="&amp;TableMonthlySummary[[#This Row],[Desde]],TableDailySummary[Fecha],"&lt;="&amp;TableMonthlySummary[[#This Row],[Hasta]])</calculatedColumnFormula>
    </tableColumn>
    <tableColumn id="7" xr3:uid="{2AEF5621-2916-4075-8222-0887BC705DF5}" name="Inversión google ads" dataDxfId="213" dataCellStyle="Comma [0]">
      <calculatedColumnFormula>SUMIFS(TableDailySummary[Inversión google ads],TableDailySummary[Fecha],"&gt;="&amp;TableMonthlySummary[[#This Row],[Desde]],TableDailySummary[Fecha],"&lt;="&amp;TableMonthlySummary[[#This Row],[Hasta]])</calculatedColumnFormula>
    </tableColumn>
    <tableColumn id="8" xr3:uid="{55699C1C-B2C8-49EA-A27E-F6B344506E8E}" name="Ventas google ads" dataDxfId="212" dataCellStyle="Comma [0]">
      <calculatedColumnFormula>SUMIFS(TableDailySummary[Ventas google ads],TableDailySummary[Fecha],"&gt;="&amp;TableMonthlySummary[[#This Row],[Desde]],TableDailySummary[Fecha],"&lt;="&amp;TableMonthlySummary[[#This Row],[Hasta]])</calculatedColumnFormula>
    </tableColumn>
    <tableColumn id="9" xr3:uid="{5230BBBA-C79D-4B2B-AF39-65EAF0AD462A}" name="Inversión meta ads" dataDxfId="211" dataCellStyle="Comma [0]">
      <calculatedColumnFormula>SUMIFS(TableDailySummary[Inversión meta ads],TableDailySummary[Fecha],"&gt;="&amp;TableMonthlySummary[[#This Row],[Desde]],TableDailySummary[Fecha],"&lt;="&amp;TableMonthlySummary[[#This Row],[Hasta]])</calculatedColumnFormula>
    </tableColumn>
    <tableColumn id="10" xr3:uid="{EFC2F5F0-0B31-415C-9176-071FFCE7766B}" name="Ventas meta ads" dataDxfId="210" dataCellStyle="Comma [0]">
      <calculatedColumnFormula>SUMIFS(TableDailySummary[Ventas meta ads],TableDailySummary[Fecha],"&gt;="&amp;TableMonthlySummary[[#This Row],[Desde]],TableDailySummary[Fecha],"&lt;="&amp;TableMonthlySummary[[#This Row],[Hasta]])</calculatedColumnFormula>
    </tableColumn>
    <tableColumn id="11" xr3:uid="{1308EFBD-028E-46D7-9577-84A7FE3F70CE}" name="Inversión publicidad" dataDxfId="209" dataCellStyle="Comma [0]">
      <calculatedColumnFormula>TableMonthlySummary[[#This Row],[Inversión google ads]]+TableMonthlySummary[[#This Row],[Inversión meta ads]]</calculatedColumnFormula>
    </tableColumn>
    <tableColumn id="12" xr3:uid="{EDBEED64-64B5-4E68-9B04-17E429185FD3}" name="Ventas publicidad" dataDxfId="208" dataCellStyle="Comma [0]">
      <calculatedColumnFormula>TableMonthlySummary[[#This Row],[Ventas google ads]]+TableMonthlySummary[[#This Row],[Ventas meta ads]]</calculatedColumnFormula>
    </tableColumn>
    <tableColumn id="13" xr3:uid="{001F7BD1-D9A4-4A92-BE17-B759156854DD}" name="ROAS Todos" dataDxfId="207" dataCellStyle="Comma [0]">
      <calculatedColumnFormula>IFERROR(TableMonthlySummary[[#This Row],[Ventas publicidad]]/TableMonthlySummary[[#This Row],[Inversión publicidad]],0)</calculatedColumnFormula>
    </tableColumn>
    <tableColumn id="14" xr3:uid="{0A17A905-D9FE-42A3-9DC5-B9783FEC95DC}" name="NROAS Primer cliente" dataDxfId="206" dataCellStyle="Comma [0]">
      <calculatedColumnFormula>IFERROR(TableMonthlySummary[[#This Row],[Ventas primer cliente]]/TableMonthlySummary[[#This Row],[Inversión publicidad]],0)</calculatedColumnFormula>
    </tableColumn>
    <tableColumn id="37" xr3:uid="{94167B31-571F-4129-B0C3-696DB0EC2C91}" name="ROAS Breakeven" dataDxfId="205" dataCellStyle="Comma [0]">
      <calculatedColumnFormula>IFERROR(1/TableMonthlySummary[[#This Row],[Contribución %]],0)</calculatedColumnFormula>
    </tableColumn>
    <tableColumn id="15" xr3:uid="{2BFF147A-8507-4F95-9806-71E4663CBCA1}" name="Primer RA" dataDxfId="204" dataCellStyle="Comma [0]"/>
    <tableColumn id="16" xr3:uid="{A22E207D-1139-48B6-943A-7A2EB9E77AE2}" name="Nuevas suscripciones a lista" dataCellStyle="Comma [0]"/>
    <tableColumn id="17" xr3:uid="{CCAF371C-DA1B-4655-B556-75A56BB27BB1}" name="Costos de publicidad totales" dataDxfId="203" dataCellStyle="Comma [0]">
      <calculatedColumnFormula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calculatedColumnFormula>
    </tableColumn>
    <tableColumn id="35" xr3:uid="{9DE57634-AA1F-4000-92A2-25D4342DF4B7}" name="Costo de ventas calc" dataDxfId="202" dataCellStyle="Comma [0]">
      <calculatedColumnFormula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calculatedColumnFormula>
    </tableColumn>
    <tableColumn id="18" xr3:uid="{8496AD78-C37D-43FD-AADB-AECB3F8B016F}" name="Costos variables totales" dataDxfId="201" dataCellStyle="Comma [0]">
      <calculatedColumnFormula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calculatedColumnFormula>
    </tableColumn>
    <tableColumn id="19" xr3:uid="{37D9C961-99CC-4EE4-A05A-43A3D959936C}" name="Costos fijos" dataDxfId="200" dataCellStyle="Comma [0]">
      <calculatedColumnFormula>SUMIFS(AccountingReport[costs_fixed],AccountingReport[period],TableMonthlySummary[[#This Row],[Desde]])</calculatedColumnFormula>
    </tableColumn>
    <tableColumn id="20" xr3:uid="{A3C1F506-82D7-423A-8F99-3D9924429359}" name="Contribución $" dataDxfId="199">
      <calculatedColumnFormula>TableMonthlySummary[[#This Row],[Ventas netas totales]]-TableMonthlySummary[[#This Row],[Costos variables totales]]-TableMonthlySummary[[#This Row],[Costos fijos]]</calculatedColumnFormula>
    </tableColumn>
    <tableColumn id="36" xr3:uid="{8AD0E897-C54C-40B6-B3B5-BDE08A0BE93C}" name="Contribución %" dataCellStyle="Percent">
      <calculatedColumnFormula>IFERROR(TableMonthlySummary[[#This Row],[Contribución $]] / TableMonthlySummary[[#This Row],[Ventas netas totales]],0)</calculatedColumnFormula>
    </tableColumn>
    <tableColumn id="22" xr3:uid="{A9943A90-16C3-4D2C-B0DA-EAEC793996A4}" name="CAC" dataDxfId="198" dataCellStyle="Comma [0]">
      <calculatedColumnFormula>IFERROR(TableMonthlySummary[[#This Row],[Costos de publicidad totales]]/TableMonthlySummary[[#This Row],[Órdenes primer cliente]],0)</calculatedColumnFormula>
    </tableColumn>
    <tableColumn id="23" xr3:uid="{1D0485D6-AA00-4B86-BDC9-F6F17ECBE3F8}" name="Ventas netas con costo registrado" dataCellStyle="Comma [0]">
      <calculatedColumnFormula>SUMIFS(TableDailySummary[Ventas netas con costo registrado],TableDailySummary[Fecha],"&gt;="&amp;TableMonthlySummary[[#This Row],[Desde]],TableDailySummary[Fecha],"&lt;="&amp;TableMonthlySummary[[#This Row],[Hasta]])</calculatedColumnFormula>
    </tableColumn>
    <tableColumn id="24" xr3:uid="{13BBB6AF-2C47-42F0-89E3-F76EB2B95334}" name="Costo de ventas registrado" dataCellStyle="Comma [0]">
      <calculatedColumnFormula>SUMIFS(TableDailySummary[Costo de ventas registrado],TableDailySummary[Fecha],"&gt;="&amp;TableMonthlySummary[[#This Row],[Desde]],TableDailySummary[Fecha],"&lt;="&amp;TableMonthlySummary[[#This Row],[Hasta]])</calculatedColumnFormula>
    </tableColumn>
    <tableColumn id="25" xr3:uid="{938C0F8D-50AA-44F1-831D-FAFA895C9399}" name="Utilidad bruta" dataCellStyle="Comma [0]">
      <calculatedColumnFormula>SUMIFS(TableDailySummary[Utilidad bruta],TableDailySummary[Fecha],"&gt;="&amp;TableMonthlySummary[[#This Row],[Desde]],TableDailySummary[Fecha],"&lt;="&amp;TableMonthlySummary[[#This Row],[Hasta]])</calculatedColumnFormula>
    </tableColumn>
    <tableColumn id="26" xr3:uid="{B4CA5463-FD84-4AC7-8E38-577D0F471AB4}" name="Margen bruto" dataDxfId="197" dataCellStyle="Percent">
      <calculatedColumnFormula>IFERROR(TableMonthlySummary[[#This Row],[Utilidad bruta]]/TableMonthlySummary[[#This Row],[Ventas netas con costo registrado]],0)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DC87FD-B298-4CDE-9D8C-C31A5C15C828}" name="TableWeeklySummary" displayName="TableWeeklySummary" ref="B7:AL505" totalsRowShown="0">
  <autoFilter ref="B7:AL505" xr:uid="{15DFDC4C-6E81-4A13-8C39-5B9B1A7C1495}"/>
  <tableColumns count="37">
    <tableColumn id="1" xr3:uid="{1BEE5004-784D-4B5B-B1A8-1F7642FF0A86}" name="Semana" dataDxfId="196">
      <calculatedColumnFormula>_xlfn.ISOWEEKNUM(TableWeeklySummary[[#This Row],[Hasta]])</calculatedColumnFormula>
    </tableColumn>
    <tableColumn id="2" xr3:uid="{6C12BE59-8EFF-476D-8BA6-FFB2B65731CC}" name="Desde" dataDxfId="195">
      <calculatedColumnFormula>_xlfn.LET(
    _xlpm.fechaini, ParamFechaInicioReporte,
    _xlpm.start_friday, IF(WEEKDAY(_xlpm.fechaini, 1) = 6, _xlpm.fechaini, _xlpm.fechaini - MOD(WEEKDAY(_xlpm.fechaini, 1) + 1, 7)),
    IF(ROW()=8, _xlpm.start_friday, C7 + 7)
)</calculatedColumnFormula>
    </tableColumn>
    <tableColumn id="21" xr3:uid="{FD2E7D59-2EB7-4B4D-8C93-66783F96251C}" name="Hasta" dataDxfId="194">
      <calculatedColumnFormula>TableWeeklySummary[[#This Row],[Desde]]+7-1</calculatedColumnFormula>
    </tableColumn>
    <tableColumn id="3" xr3:uid="{3D116652-C0FD-4CD5-B750-5D28A09F02D3}" name="Ventas netas totales" dataDxfId="193" dataCellStyle="Comma [0]">
      <calculatedColumnFormula>SUMIFS(TableDailySummary[Ventas netas totales],TableDailySummary[Fecha],"&gt;="&amp;TableWeeklySummary[[#This Row],[Desde]],TableDailySummary[Fecha],"&lt;="&amp;TableWeeklySummary[[#This Row],[Hasta]])</calculatedColumnFormula>
    </tableColumn>
    <tableColumn id="4" xr3:uid="{8E258602-4D8E-475F-ABCE-DB4C2C8AFA64}" name="Órdenes totales" dataDxfId="192" dataCellStyle="Comma [0]">
      <calculatedColumnFormula>SUMIFS(TableDailySummary[Órdenes totales],TableDailySummary[Fecha],"&gt;="&amp;TableWeeklySummary[[#This Row],[Desde]],TableDailySummary[Fecha],"&lt;="&amp;TableWeeklySummary[[#This Row],[Hasta]])</calculatedColumnFormula>
    </tableColumn>
    <tableColumn id="37" xr3:uid="{C35D19A2-743B-4F16-8755-644A5D51C0CD}" name="Órden promedio totales" dataDxfId="191" dataCellStyle="Comma [0]">
      <calculatedColumnFormula>IFERROR(TableWeeklySummary[[#This Row],[Ventas netas totales]]/TableWeeklySummary[[#This Row],[Órdenes totales]],0)</calculatedColumnFormula>
    </tableColumn>
    <tableColumn id="35" xr3:uid="{0E4CF620-6AD5-4BB9-B7FB-73A9AB28907D}" name="CR totales" dataDxfId="190" dataCellStyle="Percent">
      <calculatedColumnFormula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calculatedColumnFormula>
    </tableColumn>
    <tableColumn id="36" xr3:uid="{7E4A4FC7-E07E-41C0-B7F4-25D6C6F0EF07}" name="RPV totales" dataDxfId="189" dataCellStyle="Comma [0]">
      <calculatedColumnFormula>TableWeeklySummary[[#This Row],[Órden promedio totales]]*TableWeeklySummary[[#This Row],[CR totales]]</calculatedColumnFormula>
    </tableColumn>
    <tableColumn id="5" xr3:uid="{25A24955-A98F-4265-B9B2-3C3C719B6635}" name="Ventas primer cliente" dataDxfId="188" dataCellStyle="Comma [0]">
      <calculatedColumnFormula>SUMIFS(TableDailySummary[Ventas primer cliente],TableDailySummary[Fecha],"&gt;="&amp;TableWeeklySummary[[#This Row],[Desde]],TableDailySummary[Fecha],"&lt;="&amp;TableWeeklySummary[[#This Row],[Hasta]])</calculatedColumnFormula>
    </tableColumn>
    <tableColumn id="6" xr3:uid="{8DC3E357-FCC7-41B8-A001-2C00C6675C49}" name="Órdenes primer cliente" dataDxfId="187" dataCellStyle="Comma [0]">
      <calculatedColumnFormula>SUMIFS(TableDailySummary[Órdenes primer cliente],TableDailySummary[Fecha],"&gt;="&amp;TableWeeklySummary[[#This Row],[Desde]],TableDailySummary[Fecha],"&lt;="&amp;TableWeeklySummary[[#This Row],[Hasta]])</calculatedColumnFormula>
    </tableColumn>
    <tableColumn id="27" xr3:uid="{E2181069-8DCD-4D2B-B05A-DC9719A4BA12}" name="Online Store_net_sales" dataDxfId="186" dataCellStyle="Comma [0]">
      <calculatedColumnFormula>SUMIFS(TableDailySummary[Online Store_net_sales],TableDailySummary[Fecha],"&gt;="&amp;TableWeeklySummary[[#This Row],[Desde]],TableDailySummary[Fecha],"&lt;="&amp;TableWeeklySummary[[#This Row],[Hasta]])</calculatedColumnFormula>
    </tableColumn>
    <tableColumn id="28" xr3:uid="{DBEB1AE4-DF4E-4DC9-97C6-63DF6ED6EAB8}" name="Online Store_orders" dataDxfId="185" dataCellStyle="Comma [0]">
      <calculatedColumnFormula>SUMIFS(TableDailySummary[Online Store_orders],TableDailySummary[Fecha],"&gt;="&amp;TableWeeklySummary[[#This Row],[Desde]],TableDailySummary[Fecha],"&lt;="&amp;TableWeeklySummary[[#This Row],[Hasta]])</calculatedColumnFormula>
    </tableColumn>
    <tableColumn id="29" xr3:uid="{06A782AB-1C76-4B2E-87F2-940903CB550C}" name="Tienda 81_net_sales" dataDxfId="184" dataCellStyle="Comma [0]">
      <calculatedColumnFormula>SUMIFS(TableDailySummary[Tienda 81_net_sales],TableDailySummary[Fecha],"&gt;="&amp;TableWeeklySummary[[#This Row],[Desde]],TableDailySummary[Fecha],"&lt;="&amp;TableWeeklySummary[[#This Row],[Hasta]])</calculatedColumnFormula>
    </tableColumn>
    <tableColumn id="30" xr3:uid="{E528DC13-3F11-4A53-B958-C60E269FA027}" name="Tienda 81_orders" dataDxfId="183" dataCellStyle="Comma [0]">
      <calculatedColumnFormula>SUMIFS(TableDailySummary[Tienda 81_orders],TableDailySummary[Fecha],"&gt;="&amp;TableWeeklySummary[[#This Row],[Desde]],TableDailySummary[Fecha],"&lt;="&amp;TableWeeklySummary[[#This Row],[Hasta]])</calculatedColumnFormula>
    </tableColumn>
    <tableColumn id="31" xr3:uid="{D1D4D3F6-AC6A-4AE0-940F-0DECDA5DAB3B}" name="Rappi_net_sales" dataDxfId="182" dataCellStyle="Comma [0]">
      <calculatedColumnFormula>SUMIFS(TableDailySummary[Rappi_net_sales],TableDailySummary[Fecha],"&gt;="&amp;TableWeeklySummary[[#This Row],[Desde]],TableDailySummary[Fecha],"&lt;="&amp;TableWeeklySummary[[#This Row],[Hasta]])</calculatedColumnFormula>
    </tableColumn>
    <tableColumn id="32" xr3:uid="{18A8CF8C-56A6-41C9-8BA7-375FCFBB28A1}" name="Rappi_orders" dataDxfId="181" dataCellStyle="Comma [0]">
      <calculatedColumnFormula>SUMIFS(TableDailySummary[Rappi_orders],TableDailySummary[Fecha],"&gt;="&amp;TableWeeklySummary[[#This Row],[Desde]],TableDailySummary[Fecha],"&lt;="&amp;TableWeeklySummary[[#This Row],[Hasta]])</calculatedColumnFormula>
    </tableColumn>
    <tableColumn id="33" xr3:uid="{28455135-5D3D-445A-A962-3095C61066F6}" name="Corporativo no tienda_net_sales" dataDxfId="180" dataCellStyle="Comma [0]">
      <calculatedColumnFormula>SUMIFS(TableDailySummary[Corporativo no tienda_net_sales],TableDailySummary[Fecha],"&gt;="&amp;TableWeeklySummary[[#This Row],[Desde]],TableDailySummary[Fecha],"&lt;="&amp;TableWeeklySummary[[#This Row],[Hasta]])</calculatedColumnFormula>
    </tableColumn>
    <tableColumn id="34" xr3:uid="{90CC2A35-CB50-4598-85B5-C1842131B0F2}" name="Corporativo no tienda_orders" dataDxfId="179" dataCellStyle="Comma [0]">
      <calculatedColumnFormula>SUMIFS(TableDailySummary[Corporativo no tienda_orders],TableDailySummary[Fecha],"&gt;="&amp;TableWeeklySummary[[#This Row],[Desde]],TableDailySummary[Fecha],"&lt;="&amp;TableWeeklySummary[[#This Row],[Hasta]])</calculatedColumnFormula>
    </tableColumn>
    <tableColumn id="7" xr3:uid="{7D86E9A5-BDE9-4E1B-ACCD-7F9096CB21EE}" name="Inversión google ads" dataDxfId="178" dataCellStyle="Comma [0]">
      <calculatedColumnFormula>SUMIFS(TableDailySummary[Inversión google ads],TableDailySummary[Fecha],"&gt;="&amp;TableWeeklySummary[[#This Row],[Desde]],TableDailySummary[Fecha],"&lt;="&amp;TableWeeklySummary[[#This Row],[Hasta]])</calculatedColumnFormula>
    </tableColumn>
    <tableColumn id="8" xr3:uid="{9B994C3C-199E-4B9D-822A-123E0D5A9A38}" name="Ventas google ads" dataDxfId="177" dataCellStyle="Comma [0]">
      <calculatedColumnFormula>SUMIFS(TableDailySummary[Ventas google ads],TableDailySummary[Fecha],"&gt;="&amp;TableWeeklySummary[[#This Row],[Desde]],TableDailySummary[Fecha],"&lt;="&amp;TableWeeklySummary[[#This Row],[Hasta]])</calculatedColumnFormula>
    </tableColumn>
    <tableColumn id="9" xr3:uid="{44DFD925-7147-4301-A3FF-12BEC1F5E87F}" name="Inversión meta ads" dataDxfId="176" dataCellStyle="Comma [0]">
      <calculatedColumnFormula>SUMIFS(TableDailySummary[Inversión meta ads],TableDailySummary[Fecha],"&gt;="&amp;TableWeeklySummary[[#This Row],[Desde]],TableDailySummary[Fecha],"&lt;="&amp;TableWeeklySummary[[#This Row],[Hasta]])</calculatedColumnFormula>
    </tableColumn>
    <tableColumn id="10" xr3:uid="{88D704A4-368E-48F4-AAC3-17D7C4B731A0}" name="Ventas meta ads" dataDxfId="175" dataCellStyle="Comma [0]">
      <calculatedColumnFormula>SUMIFS(TableDailySummary[Ventas meta ads],TableDailySummary[Fecha],"&gt;="&amp;TableWeeklySummary[[#This Row],[Desde]],TableDailySummary[Fecha],"&lt;="&amp;TableWeeklySummary[[#This Row],[Hasta]])</calculatedColumnFormula>
    </tableColumn>
    <tableColumn id="11" xr3:uid="{66957654-4A0F-4454-9AB2-4531EABD643C}" name="Inversión publicidad" dataDxfId="174" dataCellStyle="Comma [0]">
      <calculatedColumnFormula>TableWeeklySummary[[#This Row],[Inversión google ads]]+TableWeeklySummary[[#This Row],[Inversión meta ads]]</calculatedColumnFormula>
    </tableColumn>
    <tableColumn id="12" xr3:uid="{E8674A19-0156-4C45-B585-85F9C7CD5F6A}" name="Ventas publicidad" dataDxfId="173" dataCellStyle="Comma [0]">
      <calculatedColumnFormula>TableWeeklySummary[[#This Row],[Ventas google ads]]+TableWeeklySummary[[#This Row],[Ventas meta ads]]</calculatedColumnFormula>
    </tableColumn>
    <tableColumn id="13" xr3:uid="{3B61208E-01C6-4B25-9F8F-9554C93E61D5}" name="ROAS Todos" dataDxfId="172" dataCellStyle="Comma [0]">
      <calculatedColumnFormula>IFERROR(TableWeeklySummary[[#This Row],[Ventas publicidad]]/TableWeeklySummary[[#This Row],[Inversión publicidad]],0)</calculatedColumnFormula>
    </tableColumn>
    <tableColumn id="14" xr3:uid="{DB14D01C-4986-4642-8F2C-CFFC413B0F97}" name="NROAS Primer cliente" dataDxfId="171" dataCellStyle="Comma [0]">
      <calculatedColumnFormula>IFERROR(TableWeeklySummary[[#This Row],[Ventas primer cliente]]/TableWeeklySummary[[#This Row],[Inversión publicidad]],0)</calculatedColumnFormula>
    </tableColumn>
    <tableColumn id="15" xr3:uid="{388A7A5F-E79C-48FD-83B1-176D59E37939}" name="Primer RA" dataDxfId="170" dataCellStyle="Comma [0]"/>
    <tableColumn id="16" xr3:uid="{6320A241-01D6-431A-B853-182472B50032}" name="Nuevas suscripciones a lista" dataCellStyle="Comma [0]"/>
    <tableColumn id="17" xr3:uid="{A3AEAA6A-B13A-4F5E-A106-53FFD81FEBE2}" name="Costos de publicidad totales"/>
    <tableColumn id="18" xr3:uid="{3E2DE410-18B3-4833-8C18-02EE9B09FB4B}" name="Costos variables totales"/>
    <tableColumn id="19" xr3:uid="{77EF2E94-7495-4B25-B654-375726C9EFA8}" name="Costos fijos"/>
    <tableColumn id="20" xr3:uid="{84E1C308-379C-4866-87B3-14D9FC946565}" name="Contribución"/>
    <tableColumn id="22" xr3:uid="{B3A48E83-ADC1-465A-809B-087E9ECB3CB2}" name="CAC"/>
    <tableColumn id="23" xr3:uid="{F3A0A841-4429-43BF-93B0-66EC3260AB97}" name="Ventas netas con costo registrado" dataCellStyle="Comma [0]">
      <calculatedColumnFormula>SUMIFS(TableDailySummary[Ventas netas con costo registrado],TableDailySummary[Fecha],"&gt;="&amp;TableWeeklySummary[[#This Row],[Desde]],TableDailySummary[Fecha],"&lt;="&amp;TableWeeklySummary[[#This Row],[Hasta]])</calculatedColumnFormula>
    </tableColumn>
    <tableColumn id="24" xr3:uid="{04F9CAB4-1834-403E-9B35-03DBA6FDBC5B}" name="Costo de ventas registrado" dataCellStyle="Comma [0]">
      <calculatedColumnFormula>SUMIFS(TableDailySummary[Costo de ventas registrado],TableDailySummary[Fecha],"&gt;="&amp;TableWeeklySummary[[#This Row],[Desde]],TableDailySummary[Fecha],"&lt;="&amp;TableWeeklySummary[[#This Row],[Hasta]])</calculatedColumnFormula>
    </tableColumn>
    <tableColumn id="25" xr3:uid="{CFD871DC-F003-4264-A6C7-FF6D1B947287}" name="Utilidad bruta" dataCellStyle="Comma [0]">
      <calculatedColumnFormula>SUMIFS(TableDailySummary[Utilidad bruta],TableDailySummary[Fecha],"&gt;="&amp;TableWeeklySummary[[#This Row],[Desde]],TableDailySummary[Fecha],"&lt;="&amp;TableWeeklySummary[[#This Row],[Hasta]])</calculatedColumnFormula>
    </tableColumn>
    <tableColumn id="26" xr3:uid="{419F6B12-0BC5-4679-95D8-24D5A6DD5099}" name="Margen bruto" dataCellStyle="Percent">
      <calculatedColumnFormula>IFERROR(TableWeeklySummary[[#This Row],[Utilidad bruta]]/TableWeeklySummary[[#This Row],[Ventas netas con costo registrado]],0)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FDC4C-6E81-4A13-8C39-5B9B1A7C1495}" name="TableDailySummary" displayName="TableDailySummary" ref="B7:AP372" totalsRowShown="0">
  <autoFilter ref="B7:AP372" xr:uid="{15DFDC4C-6E81-4A13-8C39-5B9B1A7C1495}"/>
  <tableColumns count="41">
    <tableColumn id="1" xr3:uid="{937D5D1C-7D2B-4095-B4CB-44E59BED562C}" name="Dia" dataDxfId="169">
      <calculatedColumnFormula array="1">MIN(SummaryDaily[day]) + (ROW(TableDailySummary[#This Row]) - ROW(TableDailySummary[[#Headers],[Dia]]) - 1)</calculatedColumnFormula>
    </tableColumn>
    <tableColumn id="2" xr3:uid="{E8AC1B98-A7D6-4610-AC0A-B71B39FB1F14}" name="Fecha" dataDxfId="168">
      <calculatedColumnFormula>TableDailySummary[[#This Row],[Dia]]</calculatedColumnFormula>
    </tableColumn>
    <tableColumn id="3" xr3:uid="{E02D8841-7440-4B52-8D00-FE3EE03AA617}" name="Ventas netas totales" dataCellStyle="Comma [0]">
      <calculatedColumnFormula>_xlfn.XLOOKUP(TableDailySummary[[#This Row],[Fecha]],SummaryDaily[day],SummaryDaily[net_sales],0)</calculatedColumnFormula>
    </tableColumn>
    <tableColumn id="4" xr3:uid="{294F5938-32A6-46AF-BB46-94DD8FDFCE73}" name="Órdenes totales" dataCellStyle="Comma [0]">
      <calculatedColumnFormula>_xlfn.XLOOKUP(TableDailySummary[[#This Row],[Fecha]],SummaryDaily[day],SummaryDaily[orders],0)</calculatedColumnFormula>
    </tableColumn>
    <tableColumn id="34" xr3:uid="{C2AF0EE5-517C-4248-BB09-1FBC519BEDEC}" name="Órden promedio totales" dataDxfId="167" dataCellStyle="Comma [0]">
      <calculatedColumnFormula>_xlfn.XLOOKUP(TableDailySummary[[#This Row],[Fecha]],SummaryDaily[day],SummaryDaily[average_order_value],0)</calculatedColumnFormula>
    </tableColumn>
    <tableColumn id="41" xr3:uid="{46DFF3DB-11A3-4CBD-95ED-B5393A534BEF}" name="CR totales" dataDxfId="166" dataCellStyle="Percent">
      <calculatedColumnFormula>_xlfn.XLOOKUP(TableDailySummary[[#This Row],[Fecha]],SummaryDaily[day],SummaryDaily[Total site_conversion_rate],0)</calculatedColumnFormula>
    </tableColumn>
    <tableColumn id="40" xr3:uid="{8EDB93B0-CEC2-4F8D-9CDB-28235048F55A}" name="RPV totales" dataDxfId="165" dataCellStyle="Comma [0]">
      <calculatedColumnFormula>TableDailySummary[[#This Row],[Órden promedio totales]]*TableDailySummary[[#This Row],[CR totales]]</calculatedColumnFormula>
    </tableColumn>
    <tableColumn id="5" xr3:uid="{639ABC37-F5A2-427C-81A0-E0D5624F8A8A}" name="Ventas primer cliente" dataDxfId="164" dataCellStyle="Comma [0]">
      <calculatedColumnFormula>_xlfn.XLOOKUP(TableDailySummary[[#This Row],[Fecha]],SummaryDaily[day],SummaryDaily[new_net_sales],0)</calculatedColumnFormula>
    </tableColumn>
    <tableColumn id="6" xr3:uid="{D5C73CE6-CD07-42AE-91DC-08322C505741}" name="Órdenes primer cliente" dataCellStyle="Comma [0]">
      <calculatedColumnFormula>_xlfn.XLOOKUP(TableDailySummary[[#This Row],[Fecha]],SummaryDaily[day],SummaryDaily[new_orders],0)</calculatedColumnFormula>
    </tableColumn>
    <tableColumn id="35" xr3:uid="{9AAEACDB-3957-42EF-8FAA-906B43763B95}" name="Órden promedio  primer cliente" dataDxfId="163" dataCellStyle="Comma [0]">
      <calculatedColumnFormula>_xlfn.XLOOKUP(TableDailySummary[[#This Row],[Fecha]],SummaryDaily[day],SummaryDaily[new_average_order_value],0)</calculatedColumnFormula>
    </tableColumn>
    <tableColumn id="25" xr3:uid="{5668DCBB-E739-4C43-8A20-4BA1B4CE0566}" name="Online Store_net_sales" dataDxfId="162" dataCellStyle="Comma [0]">
      <calculatedColumnFormula>_xlfn.XLOOKUP(TableDailySummary[[#This Row],[Fecha]],SummaryDaily[day],SummaryDaily[Online Store_net_sales],0)</calculatedColumnFormula>
    </tableColumn>
    <tableColumn id="26" xr3:uid="{C22626CE-4582-463E-8F28-5A1AB9C4F1DA}" name="Online Store_orders" dataDxfId="161" dataCellStyle="Comma [0]">
      <calculatedColumnFormula>_xlfn.XLOOKUP(TableDailySummary[[#This Row],[Fecha]],SummaryDaily[day],SummaryDaily[Online Store_orders],0)</calculatedColumnFormula>
    </tableColumn>
    <tableColumn id="36" xr3:uid="{1A84CC7F-8929-4589-9E76-3375C9EA47BE}" name="Órden promedio online store" dataDxfId="160" dataCellStyle="Comma [0]">
      <calculatedColumnFormula>_xlfn.XLOOKUP(TableDailySummary[[#This Row],[Fecha]],SummaryDaily[day],SummaryDaily[Online Store_average_order_value],0)</calculatedColumnFormula>
    </tableColumn>
    <tableColumn id="27" xr3:uid="{5DA08ECC-1330-40D6-85F7-895DE46C4145}" name="Tienda 81_net_sales" dataDxfId="159" dataCellStyle="Comma [0]">
      <calculatedColumnFormula>_xlfn.XLOOKUP(TableDailySummary[[#This Row],[Fecha]],SummaryDaily[day],SummaryDaily[Tienda 81_net_sales],0)</calculatedColumnFormula>
    </tableColumn>
    <tableColumn id="28" xr3:uid="{120F27B6-91B2-4721-8F8A-07022525D1B5}" name="Tienda 81_orders" dataDxfId="158" dataCellStyle="Comma [0]">
      <calculatedColumnFormula>_xlfn.XLOOKUP(TableDailySummary[[#This Row],[Fecha]],SummaryDaily[day],SummaryDaily[Tienda 81_orders],0)</calculatedColumnFormula>
    </tableColumn>
    <tableColumn id="37" xr3:uid="{FFEA0CEA-94AE-4426-959D-9A0AE0911738}" name="Órden promedio tienda 81" dataDxfId="157" dataCellStyle="Comma [0]">
      <calculatedColumnFormula>_xlfn.XLOOKUP(TableDailySummary[[#This Row],[Fecha]],SummaryDaily[day],SummaryDaily[Tienda 81_average_order_value],0)</calculatedColumnFormula>
    </tableColumn>
    <tableColumn id="29" xr3:uid="{D41F1142-BC36-4C04-8B37-2FA90FBC49A4}" name="Rappi_net_sales" dataDxfId="156" dataCellStyle="Comma [0]">
      <calculatedColumnFormula>_xlfn.XLOOKUP(TableDailySummary[[#This Row],[Fecha]],SummaryDaily[day],SummaryDaily[Rappi_net_sales],0)</calculatedColumnFormula>
    </tableColumn>
    <tableColumn id="30" xr3:uid="{DBBFB416-E431-4F67-AD7C-825F405EA69A}" name="Rappi_orders" dataDxfId="155" dataCellStyle="Comma [0]">
      <calculatedColumnFormula>_xlfn.XLOOKUP(TableDailySummary[[#This Row],[Fecha]],SummaryDaily[day],SummaryDaily[Rappi_orders],0)</calculatedColumnFormula>
    </tableColumn>
    <tableColumn id="38" xr3:uid="{C447665A-13D3-44F4-ADEA-A99E6490BD62}" name="Órden promedio rappi" dataDxfId="154" dataCellStyle="Comma [0]">
      <calculatedColumnFormula>_xlfn.XLOOKUP(TableDailySummary[[#This Row],[Fecha]],SummaryDaily[day],SummaryDaily[Rappi_average_order_value],0)</calculatedColumnFormula>
    </tableColumn>
    <tableColumn id="31" xr3:uid="{C6E3E72E-80D9-4AEB-A6C6-71AABF1906C7}" name="Corporativo no tienda_net_sales" dataDxfId="153" dataCellStyle="Comma [0]">
      <calculatedColumnFormula>_xlfn.XLOOKUP(TableDailySummary[[#This Row],[Fecha]],SummaryDaily[day],SummaryDaily[Corporativo no tienda_net_sales],0)</calculatedColumnFormula>
    </tableColumn>
    <tableColumn id="32" xr3:uid="{43D9CC3A-2C4D-42FF-B65F-70558B1A77AB}" name="Corporativo no tienda_orders" dataDxfId="152" dataCellStyle="Comma [0]">
      <calculatedColumnFormula>_xlfn.XLOOKUP(TableDailySummary[[#This Row],[Fecha]],SummaryDaily[day],SummaryDaily[Corporativo no tienda_orders],0)</calculatedColumnFormula>
    </tableColumn>
    <tableColumn id="39" xr3:uid="{A8F51BB3-1F72-472B-A6A5-2320064339B8}" name="Órden promedio corporativo no tienda" dataDxfId="151" dataCellStyle="Comma [0]">
      <calculatedColumnFormula>_xlfn.XLOOKUP(TableDailySummary[[#This Row],[Fecha]],SummaryDaily[day],SummaryDaily[Corporativo no tienda_average_order_value],0)</calculatedColumnFormula>
    </tableColumn>
    <tableColumn id="7" xr3:uid="{D2C387BA-91D2-40D9-AAE0-3CA9C9CDD44D}" name="Inversión google ads" dataDxfId="150" dataCellStyle="Comma [0]">
      <calculatedColumnFormula>_xlfn.XLOOKUP(TableDailySummary[[#This Row],[Fecha]],SummaryDaily[day],SummaryDaily[GoogleAdsOperation.Cost],0)</calculatedColumnFormula>
    </tableColumn>
    <tableColumn id="8" xr3:uid="{A0EA5448-5E95-4F1A-AEC5-B76FD9952F21}" name="Ventas google ads" dataDxfId="149" dataCellStyle="Comma [0]">
      <calculatedColumnFormula>SUMIFS(SalesByUTMDaily[google],SalesByUTMDaily[day],TableDailySummary[[#This Row],[Fecha]])</calculatedColumnFormula>
    </tableColumn>
    <tableColumn id="9" xr3:uid="{E28075AA-5624-4F22-BF2F-8D704826853B}" name="Inversión meta ads" dataDxfId="148" dataCellStyle="Comma [0]">
      <calculatedColumnFormula>_xlfn.XLOOKUP(TableDailySummary[[#This Row],[Fecha]],SummaryDaily[day],SummaryDaily[MetaAdsOperation.spend],0)</calculatedColumnFormula>
    </tableColumn>
    <tableColumn id="10" xr3:uid="{B7940B4E-C78A-4EEB-8806-9FDAE44E3A83}" name="Ventas meta ads" dataDxfId="147" dataCellStyle="Comma [0]">
      <calculatedColumnFormula>SUMIFS(SalesByUTMDaily[facebook],SalesByUTMDaily[day],TableDailySummary[[#This Row],[Fecha]])</calculatedColumnFormula>
    </tableColumn>
    <tableColumn id="11" xr3:uid="{C975CCC8-491D-4231-80F6-A2819BFD3A22}" name="Inversión publicidad" dataDxfId="146" dataCellStyle="Comma [0]">
      <calculatedColumnFormula>TableDailySummary[[#This Row],[Inversión google ads]]+TableDailySummary[[#This Row],[Inversión meta ads]]</calculatedColumnFormula>
    </tableColumn>
    <tableColumn id="12" xr3:uid="{88CFA093-747E-48D0-8763-74A186D3477B}" name="Ventas publicidad" dataDxfId="145" dataCellStyle="Comma [0]">
      <calculatedColumnFormula>TableDailySummary[[#This Row],[Ventas google ads]]+TableDailySummary[[#This Row],[Ventas meta ads]]</calculatedColumnFormula>
    </tableColumn>
    <tableColumn id="13" xr3:uid="{5893F9F8-9DD2-497E-819A-A5B7CDA2C9B7}" name="ROAS Todos" dataDxfId="144" dataCellStyle="Comma [0]">
      <calculatedColumnFormula>IFERROR(TableDailySummary[[#This Row],[Ventas publicidad]]/TableDailySummary[[#This Row],[Inversión publicidad]],0)</calculatedColumnFormula>
    </tableColumn>
    <tableColumn id="14" xr3:uid="{A5BE9697-169D-46F9-B38D-DC25E6971A42}" name="NROAS Primer cliente" dataDxfId="143" dataCellStyle="Comma [0]">
      <calculatedColumnFormula>IFERROR(TableDailySummary[[#This Row],[Ventas primer cliente]]/TableDailySummary[[#This Row],[Inversión publicidad]],0)</calculatedColumnFormula>
    </tableColumn>
    <tableColumn id="15" xr3:uid="{4172FAAA-1079-453F-8426-A4EBC5BCBF4B}" name="Primer RA" dataDxfId="142" dataCellStyle="Comma [0]"/>
    <tableColumn id="16" xr3:uid="{B0FA82B1-6EF1-4681-8A4C-6CA712C527D9}" name="Nuevas suscripciones a lista" dataCellStyle="Comma [0]"/>
    <tableColumn id="17" xr3:uid="{6289B810-1619-407E-BC47-29ACA613C8A6}" name="Costos de publicidad totales"/>
    <tableColumn id="18" xr3:uid="{857B638A-E486-4CB8-8E58-55BCDF8D7277}" name="Costos variables totales"/>
    <tableColumn id="19" xr3:uid="{3FB18EDC-CFD8-4DF8-84AE-04A902C5A7A2}" name="Costos fijos"/>
    <tableColumn id="20" xr3:uid="{9CACDADF-4102-4515-8DD2-0D4CF717B16C}" name="Contribución"/>
    <tableColumn id="21" xr3:uid="{97DEE219-7F65-4F3F-9F03-43375768BF1C}" name="CAC"/>
    <tableColumn id="22" xr3:uid="{5D05167C-EAA4-4680-A00A-7CBD392FF6A3}" name="Ventas netas con costo registrado" dataCellStyle="Comma [0]">
      <calculatedColumnFormula>_xlfn.XLOOKUP(TableDailySummary[[#This Row],[Fecha]],SummaryDaily[day],SummaryDaily[net_sales_with_cost_recorded],0)</calculatedColumnFormula>
    </tableColumn>
    <tableColumn id="23" xr3:uid="{909565D4-1D3A-4963-A7FA-81227B92313D}" name="Costo de ventas registrado" dataCellStyle="Comma [0]">
      <calculatedColumnFormula>_xlfn.XLOOKUP(TableDailySummary[[#This Row],[Fecha]],SummaryDaily[day],SummaryDaily[cost_of_goods_sold],0)</calculatedColumnFormula>
    </tableColumn>
    <tableColumn id="24" xr3:uid="{E3B02BEE-69A8-4B03-AD03-1D88A012FF92}" name="Utilidad bruta" dataCellStyle="Comma [0]">
      <calculatedColumnFormula>_xlfn.XLOOKUP(TableDailySummary[[#This Row],[Fecha]],SummaryDaily[day],SummaryDaily[gross_profit],0)</calculatedColumnFormula>
    </tableColumn>
    <tableColumn id="33" xr3:uid="{7072C111-38BE-4762-BC43-B9A4842A930D}" name="Margen bruto" dataCellStyle="Percent">
      <calculatedColumnFormula>IFERROR(TableDailySummary[[#This Row],[Utilidad bruta]]/TableDailySummary[[#This Row],[Ventas netas con costo registrado]],0)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F99F11-3D22-4323-A54F-11DAFF034689}" name="TablaSIIGOParam" displayName="TablaSIIGOParam" ref="B28:C32" totalsRowShown="0">
  <autoFilter ref="B28:C32" xr:uid="{3CF99F11-3D22-4323-A54F-11DAFF034689}"/>
  <tableColumns count="2">
    <tableColumn id="1" xr3:uid="{810CABF1-FC4C-438A-910F-9B38C27DF77D}" name="Name"/>
    <tableColumn id="2" xr3:uid="{EC898F48-C10C-46ED-8531-AC4FE6FF41DF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285A80C-EAD8-45E3-9EFF-BBD502F8FC9E}" name="TablePUCClass" displayName="TablePUCClass" ref="B36:F213" totalsRowShown="0">
  <autoFilter ref="B36:F213" xr:uid="{4285A80C-EAD8-45E3-9EFF-BBD502F8FC9E}"/>
  <tableColumns count="5">
    <tableColumn id="1" xr3:uid="{21F6D095-6B08-4F6C-B246-8D73A4AB9B3B}" name="Código"/>
    <tableColumn id="2" xr3:uid="{D5772110-744D-43E6-80C8-59FD91C1AAE5}" name="Nombre"/>
    <tableColumn id="5" xr3:uid="{80EF768B-0BF1-4BB7-B3FB-49521F7CCF48}" name="Cuenta reporte"/>
    <tableColumn id="3" xr3:uid="{EDDB4C81-63EE-4F23-9B6B-C0E4CA0AB93D}" name="Clasificación"/>
    <tableColumn id="4" xr3:uid="{FD64854A-9771-4F12-A146-CDF7A8AD5AE5}" name="Tip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FCBC456-BBF0-4742-B69B-9FD375FB9FEB}" name="COALocal" displayName="COALocal" ref="I36:N535" tableType="queryTable" totalsRowShown="0">
  <autoFilter ref="I36:N535" xr:uid="{6FCBC456-BBF0-4742-B69B-9FD375FB9FEB}"/>
  <tableColumns count="6">
    <tableColumn id="1" xr3:uid="{3F04A6DC-0B23-4611-92E7-2F0F34AB440B}" uniqueName="1" name="Código" queryTableFieldId="1"/>
    <tableColumn id="2" xr3:uid="{09F5DD83-4099-4F4A-A70D-1224C3C757B4}" uniqueName="2" name="Nombre" queryTableFieldId="2"/>
    <tableColumn id="3" xr3:uid="{D7543023-8D7A-4C5E-94DE-E6D4776C6197}" uniqueName="3" name="Activo" queryTableFieldId="3"/>
    <tableColumn id="4" xr3:uid="{06364F22-C4F8-44FA-BAC7-BF5DF376B659}" uniqueName="4" name="Tipo" queryTableFieldId="4"/>
    <tableColumn id="7" xr3:uid="{35D0AE53-5F99-4E85-B03E-99AF0A674573}" uniqueName="7" name="Categoria" queryTableFieldId="7" dataDxfId="141"/>
    <tableColumn id="6" xr3:uid="{E8DC618E-46D6-4DB5-B2BC-77FD97907181}" uniqueName="6" name="Clasificación" queryTableFieldId="6" dataDxfId="14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30A235-1DB0-4814-8B23-32184239E87C}" name="AccountingReport" displayName="AccountingReport" ref="N5:S1257" tableType="queryTable" totalsRowShown="0">
  <autoFilter ref="N5:S1257" xr:uid="{1530A235-1DB0-4814-8B23-32184239E87C}"/>
  <tableColumns count="6">
    <tableColumn id="1" xr3:uid="{89590CFB-19FE-4A7C-B554-0298BACD2804}" uniqueName="1" name="period" queryTableFieldId="1" dataDxfId="242"/>
    <tableColumn id="9" xr3:uid="{AB972D88-8C0D-41B9-BF68-69666897AA7E}" uniqueName="9" name="category" queryTableFieldId="14" dataDxfId="241" dataCellStyle="Comma [0]"/>
    <tableColumn id="8" xr3:uid="{6959F67D-A48C-4174-9923-5424F82F497A}" uniqueName="8" name="thirdparty_name" queryTableFieldId="12" dataDxfId="240" dataCellStyle="Comma [0]"/>
    <tableColumn id="5" xr3:uid="{D3D3B5BA-D3D9-4BE3-ABB0-C52A8240C6BD}" uniqueName="5" name="account_name" queryTableFieldId="5" dataDxfId="239" dataCellStyle="Comma [0]"/>
    <tableColumn id="2" xr3:uid="{7204F07D-48D9-4CDB-A842-2B202561F095}" uniqueName="2" name="costs_fixed" queryTableFieldId="2" dataDxfId="238" dataCellStyle="Comma [0]"/>
    <tableColumn id="3" xr3:uid="{F896749F-B1B7-4255-A24B-30AF54170842}" uniqueName="3" name="costs_variable" queryTableFieldId="3" dataDxfId="237" dataCellStyle="Comma [0]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11FD75-8617-44EB-9739-87DA5F48BBDF}" name="COAApi" displayName="COAApi" ref="D5:L383" tableType="queryTable" totalsRowShown="0">
  <autoFilter ref="D5:L383" xr:uid="{C711FD75-8617-44EB-9739-87DA5F48BBDF}"/>
  <tableColumns count="9">
    <tableColumn id="1" xr3:uid="{662CCD39-4C4E-4942-863A-47EAAFBA902D}" uniqueName="1" name="Código" queryTableFieldId="1" dataDxfId="236"/>
    <tableColumn id="2" xr3:uid="{1370A145-5FB0-4A36-A2EF-6247C6B7C907}" uniqueName="2" name="Nombre" queryTableFieldId="2" dataDxfId="235"/>
    <tableColumn id="3" xr3:uid="{A541A212-69E6-4C58-98F6-EB1576996BB7}" uniqueName="3" name="Nivel" queryTableFieldId="3" dataDxfId="234"/>
    <tableColumn id="4" xr3:uid="{8BAF2F34-74B1-4364-869E-72B9ABA58EA4}" uniqueName="4" name="Transaccional" queryTableFieldId="4" dataDxfId="233"/>
    <tableColumn id="5" xr3:uid="{AE4FA0CE-7C8D-40C4-9593-8ACD0A4B8139}" uniqueName="5" name="Activo" queryTableFieldId="5" dataDxfId="232"/>
    <tableColumn id="6" xr3:uid="{AED50668-DCDC-4910-84C8-71B8679132FA}" uniqueName="6" name="Parent" queryTableFieldId="6" dataDxfId="231"/>
    <tableColumn id="7" xr3:uid="{0AFCA3C5-0B9B-4D66-AC8C-2FF630CC0779}" uniqueName="7" name="HasChildren" queryTableFieldId="7"/>
    <tableColumn id="8" xr3:uid="{6588CAC2-29E4-4184-973F-C3A700E135A9}" uniqueName="8" name="Tipo" queryTableFieldId="8" dataDxfId="230"/>
    <tableColumn id="9" xr3:uid="{B353E3FB-C2A7-498C-8BD0-A97AA54BCF2D}" uniqueName="9" name="Fecha Actualización" queryTableFieldId="9" dataDxfId="22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DF590E-2BBE-4376-8D7B-A0D3B803AD75}" name="SummaryMonthlyData" displayName="SummaryMonthlyData" ref="B5:CJ9" tableType="queryTable" totalsRowShown="0">
  <autoFilter ref="B5:CJ9" xr:uid="{ECDF590E-2BBE-4376-8D7B-A0D3B803AD75}"/>
  <tableColumns count="87">
    <tableColumn id="1" xr3:uid="{559D8458-3DC7-44F8-A7EA-BA9052159C62}" uniqueName="1" name="month" queryTableFieldId="1" dataDxfId="139"/>
    <tableColumn id="2" xr3:uid="{FA9A8D60-9E38-4E97-9209-294C61FA7034}" uniqueName="2" name="orders" queryTableFieldId="2"/>
    <tableColumn id="3" xr3:uid="{4AE10B25-2706-4EF8-9CF1-995BE90165CB}" uniqueName="3" name="quantity_ordered_per_order" queryTableFieldId="3"/>
    <tableColumn id="4" xr3:uid="{27D4CC67-811A-4903-A7E2-E8C2E15C7582}" uniqueName="4" name="average_order_value" queryTableFieldId="4"/>
    <tableColumn id="5" xr3:uid="{09144676-04B6-4EC1-9C27-18E3B7DF9335}" uniqueName="5" name="quantity_returned" queryTableFieldId="5"/>
    <tableColumn id="6" xr3:uid="{6CAD9330-0573-4203-8D1C-800F79EEDA3D}" uniqueName="6" name="gross_sales" queryTableFieldId="6"/>
    <tableColumn id="7" xr3:uid="{F9AAFCAE-44CC-40CE-8B49-BCD8474D581B}" uniqueName="7" name="discounts" queryTableFieldId="7"/>
    <tableColumn id="8" xr3:uid="{7830EA01-BA33-4BD4-8ACE-CA888AB5B1F0}" uniqueName="8" name="sales_reversals" queryTableFieldId="8"/>
    <tableColumn id="9" xr3:uid="{CF2BEA8E-2A9B-43C9-9D93-7AE766FD4810}" uniqueName="9" name="net_sales" queryTableFieldId="9"/>
    <tableColumn id="10" xr3:uid="{8722B99F-6773-4BB7-B375-8A7BC657786B}" uniqueName="10" name="shipping_charges" queryTableFieldId="10"/>
    <tableColumn id="11" xr3:uid="{50594EBD-B4F8-4F4C-81E6-829DBF25A048}" uniqueName="11" name="return_fees" queryTableFieldId="11"/>
    <tableColumn id="12" xr3:uid="{E149D53D-75A9-4E85-B4F7-35864C54B877}" uniqueName="12" name="taxes" queryTableFieldId="12"/>
    <tableColumn id="13" xr3:uid="{DA6AF7B5-51F4-41C8-8AAF-46374CFCD160}" uniqueName="13" name="total_sales" queryTableFieldId="13"/>
    <tableColumn id="14" xr3:uid="{1168E47D-616C-4FCF-A096-A4C42373EF5E}" uniqueName="14" name="net_sales_without_cost_recorded" queryTableFieldId="14"/>
    <tableColumn id="15" xr3:uid="{E2E403BA-0F9A-4A24-B3EC-1D3DD43F68F7}" uniqueName="15" name="net_sales_with_cost_recorded" queryTableFieldId="15"/>
    <tableColumn id="16" xr3:uid="{96311E9C-36C3-4C41-A01B-E66943F630F6}" uniqueName="16" name="cost_of_goods_sold" queryTableFieldId="16"/>
    <tableColumn id="17" xr3:uid="{174CF77B-9631-48E0-BEBC-57BAAE6533E5}" uniqueName="17" name="gross_profit" queryTableFieldId="17"/>
    <tableColumn id="18" xr3:uid="{5E68E2A5-4E96-4A43-A025-C9CAE16C0F9C}" uniqueName="18" name="gift_card_gross_sales" queryTableFieldId="18"/>
    <tableColumn id="19" xr3:uid="{665E310B-F9C1-4906-AE7C-F6E7765B6F9E}" uniqueName="19" name="net_items_sold" queryTableFieldId="19"/>
    <tableColumn id="20" xr3:uid="{705D1061-2D96-4AB1-89DE-F051752A6500}" uniqueName="20" name="gift_card_discounts" queryTableFieldId="20"/>
    <tableColumn id="21" xr3:uid="{1D53B6C2-8666-4724-AC11-846E08F45E4D}" uniqueName="21" name="gift_card_net_sales" queryTableFieldId="21"/>
    <tableColumn id="22" xr3:uid="{F9D8853F-3048-435E-B348-E8FBFA72A5D8}" uniqueName="22" name="refresh_date" queryTableFieldId="22" dataDxfId="138"/>
    <tableColumn id="23" xr3:uid="{5C2DBF42-6B7E-497E-B210-7BA2CAA2FAF7}" uniqueName="23" name="returning_customers" queryTableFieldId="23"/>
    <tableColumn id="24" xr3:uid="{7548876D-15C0-43D0-A245-468FE687A82C}" uniqueName="24" name="returning_orders" queryTableFieldId="24"/>
    <tableColumn id="25" xr3:uid="{8AF2EA03-9088-4676-BB23-D09DB39DD6FA}" uniqueName="25" name="returning_net_sales" queryTableFieldId="25"/>
    <tableColumn id="26" xr3:uid="{F2E8F94F-D17F-46CC-8703-2612C4FBDBC5}" uniqueName="26" name="returning_average_order_value" queryTableFieldId="26"/>
    <tableColumn id="27" xr3:uid="{3BF689E2-6A8C-46A2-AE97-3F8B392B3A37}" uniqueName="27" name="returning_cost_of_goods_sold" queryTableFieldId="27"/>
    <tableColumn id="28" xr3:uid="{809FA580-CA3D-48D4-9D9B-7DD85639AB44}" uniqueName="28" name="returning_gross_profit" queryTableFieldId="28"/>
    <tableColumn id="29" xr3:uid="{680B81BB-77B6-42C8-B0AA-D5A050941C8F}" uniqueName="29" name="new_customers" queryTableFieldId="29"/>
    <tableColumn id="30" xr3:uid="{CC5B9D80-CB54-4E66-8216-36F99139C046}" uniqueName="30" name="new_orders" queryTableFieldId="30"/>
    <tableColumn id="31" xr3:uid="{210C3E40-CEEA-4EB7-BAEA-975B84945020}" uniqueName="31" name="new_net_sales" queryTableFieldId="31"/>
    <tableColumn id="32" xr3:uid="{658EB24A-4AAA-4E11-9F68-214B2E94A078}" uniqueName="32" name="new_average_order_value" queryTableFieldId="32"/>
    <tableColumn id="33" xr3:uid="{90C49EEB-6307-4ACD-A174-04693615841A}" uniqueName="33" name="new_cost_of_goods_sold" queryTableFieldId="33"/>
    <tableColumn id="34" xr3:uid="{114749D2-1F17-4539-B3A2-A3DB732295F8}" uniqueName="34" name="new_gross_profit" queryTableFieldId="34"/>
    <tableColumn id="35" xr3:uid="{D209EE0E-89BF-4D69-873D-CE34623E0772}" uniqueName="35" name="unknown_customers" queryTableFieldId="35"/>
    <tableColumn id="36" xr3:uid="{373D34D5-8F61-4425-B793-DC0C76FAEBD3}" uniqueName="36" name="unknown_orders" queryTableFieldId="36"/>
    <tableColumn id="37" xr3:uid="{E1C71AE3-FE84-4A9A-A388-D92A69728960}" uniqueName="37" name="unknown_net_sales" queryTableFieldId="37"/>
    <tableColumn id="38" xr3:uid="{5C851182-971D-42FB-ACAB-868B92439EBF}" uniqueName="38" name="unknown_average_order_value" queryTableFieldId="38"/>
    <tableColumn id="39" xr3:uid="{0E2AE4ED-4EC6-47A0-A60B-EC0A326D3CD8}" uniqueName="39" name="unknown_cost_of_goods_sold" queryTableFieldId="39"/>
    <tableColumn id="40" xr3:uid="{B02EFBE4-B9B7-48BE-AEB3-9AA50B1C574B}" uniqueName="40" name="unknown_gross_profit" queryTableFieldId="40"/>
    <tableColumn id="41" xr3:uid="{65DD6ECD-4226-4ADB-ACCD-9BC12A4310B7}" uniqueName="41" name="Rappi_net_sales" queryTableFieldId="41"/>
    <tableColumn id="42" xr3:uid="{48EFBB2D-E2A6-4F8D-9A9B-BB0A3F6FD2C0}" uniqueName="42" name="Rappi_orders" queryTableFieldId="42"/>
    <tableColumn id="43" xr3:uid="{35C0B842-4D16-4B0A-B55F-53B493DA9233}" uniqueName="43" name="Rappi_average_order_value" queryTableFieldId="43"/>
    <tableColumn id="44" xr3:uid="{134643D2-ED51-4430-872A-CFF56B1EF6D4}" uniqueName="44" name="Rappi_cost_of_goods_sold" queryTableFieldId="44"/>
    <tableColumn id="45" xr3:uid="{20B6C8B0-9C48-431F-B9FC-B3D1F41659B7}" uniqueName="45" name="Online Store_net_sales" queryTableFieldId="45"/>
    <tableColumn id="46" xr3:uid="{C0086BDB-23FE-4A4E-83CB-5C5041404CC3}" uniqueName="46" name="Online Store_orders" queryTableFieldId="46"/>
    <tableColumn id="47" xr3:uid="{68BE2075-99F0-484E-80A2-5E9191077802}" uniqueName="47" name="Online Store_average_order_value" queryTableFieldId="47"/>
    <tableColumn id="48" xr3:uid="{A978822E-3F54-4AB9-ABDA-BCD89C98A8AB}" uniqueName="48" name="Online Store_cost_of_goods_sold" queryTableFieldId="48"/>
    <tableColumn id="49" xr3:uid="{F3A286B7-10D2-49F0-8889-D661B5B4F627}" uniqueName="49" name="Tienda 81_net_sales" queryTableFieldId="49"/>
    <tableColumn id="50" xr3:uid="{1087169C-D9D2-46CB-8B0F-EFBFF573F9AF}" uniqueName="50" name="Tienda 81_orders" queryTableFieldId="50"/>
    <tableColumn id="51" xr3:uid="{A69C109A-260C-4BBF-AB4A-CA04919F0C93}" uniqueName="51" name="Tienda 81_average_order_value" queryTableFieldId="51"/>
    <tableColumn id="52" xr3:uid="{D0076FBB-4236-44AD-B61A-B7379C00FA91}" uniqueName="52" name="Tienda 81_cost_of_goods_sold" queryTableFieldId="52"/>
    <tableColumn id="53" xr3:uid="{9F0153F1-931A-423E-9C8C-898FF4AD3BB8}" uniqueName="53" name="Corporativo no tienda_net_sales" queryTableFieldId="53"/>
    <tableColumn id="54" xr3:uid="{25E8607E-49C1-424B-8807-DB8B020EDC12}" uniqueName="54" name="Corporativo no tienda_orders" queryTableFieldId="54"/>
    <tableColumn id="55" xr3:uid="{A9ADB46C-7046-446B-A814-596D323B7E7D}" uniqueName="55" name="Corporativo no tienda_average_order_value" queryTableFieldId="55"/>
    <tableColumn id="56" xr3:uid="{AAB0B32B-9981-4CFC-BB86-7F483A6B594B}" uniqueName="56" name="Corporativo no tienda_cost_of_goods_sold" queryTableFieldId="56"/>
    <tableColumn id="57" xr3:uid="{CEF0E5ED-1480-4397-B1A2-4009F42A67F6}" uniqueName="57" name="Feria_net_sales" queryTableFieldId="57"/>
    <tableColumn id="58" xr3:uid="{82B9CDFC-1561-4649-912F-29E6F2268A4C}" uniqueName="58" name="Feria_orders" queryTableFieldId="58"/>
    <tableColumn id="59" xr3:uid="{15CCFE8C-09A2-4178-8C47-F98E14453026}" uniqueName="59" name="Feria_average_order_value" queryTableFieldId="59"/>
    <tableColumn id="60" xr3:uid="{10CED105-E12C-47C0-86A9-26EB7917AA6A}" uniqueName="60" name="Feria_cost_of_goods_sold" queryTableFieldId="60"/>
    <tableColumn id="61" xr3:uid="{520BF9B2-573F-4549-8F31-AF6720B21D9F}" uniqueName="61" name="unknown_sessions" queryTableFieldId="61"/>
    <tableColumn id="62" xr3:uid="{6DF85357-96B4-4107-AC62-C509987FB17C}" uniqueName="62" name="unknown_sessions_that_completed_checkout" queryTableFieldId="62"/>
    <tableColumn id="63" xr3:uid="{E7243F96-0573-4003-A2DD-165F8B4DBF2D}" uniqueName="63" name="unknown_conversion_rate" queryTableFieldId="63"/>
    <tableColumn id="64" xr3:uid="{8364B4CB-ADDC-4B9D-92BB-C35004609BF3}" uniqueName="64" name="social_sessions" queryTableFieldId="64"/>
    <tableColumn id="65" xr3:uid="{14E29114-EBE3-4902-AC7B-316E660FFC03}" uniqueName="65" name="social_sessions_that_completed_checkout" queryTableFieldId="65"/>
    <tableColumn id="66" xr3:uid="{DD021B67-BA16-4735-BB00-AEAFABC5B3B2}" uniqueName="66" name="social_conversion_rate" queryTableFieldId="66"/>
    <tableColumn id="67" xr3:uid="{571907CA-F324-4507-9783-72C3AD8E39F7}" uniqueName="67" name="search_sessions" queryTableFieldId="67"/>
    <tableColumn id="68" xr3:uid="{63FE56D9-6019-49A5-A097-A70A4947D5A2}" uniqueName="68" name="search_sessions_that_completed_checkout" queryTableFieldId="68"/>
    <tableColumn id="69" xr3:uid="{CAA814F4-9585-4FD1-A7C6-786A5848EE09}" uniqueName="69" name="search_conversion_rate" queryTableFieldId="69"/>
    <tableColumn id="70" xr3:uid="{1ABBDFB3-C8DA-44BF-92AE-F002F54127BC}" uniqueName="70" name="paid_sessions" queryTableFieldId="70"/>
    <tableColumn id="71" xr3:uid="{D31470DA-A3CF-4123-8530-DA8ED73764C6}" uniqueName="71" name="paid_sessions_that_completed_checkout" queryTableFieldId="71"/>
    <tableColumn id="72" xr3:uid="{57CC6987-10B8-4289-BDF6-CD4EA5FDE83E}" uniqueName="72" name="paid_conversion_rate" queryTableFieldId="72"/>
    <tableColumn id="73" xr3:uid="{A36A0BBE-1481-4468-9D09-4DC788DDD355}" uniqueName="73" name="direct_sessions" queryTableFieldId="73"/>
    <tableColumn id="74" xr3:uid="{54A0C82B-4FA3-4AF0-907B-4156BA8E2123}" uniqueName="74" name="direct_sessions_that_completed_checkout" queryTableFieldId="74"/>
    <tableColumn id="75" xr3:uid="{668E4ADC-2E43-4590-B870-735BEFB2F549}" uniqueName="75" name="direct_conversion_rate" queryTableFieldId="75"/>
    <tableColumn id="76" xr3:uid="{824440E6-EBC3-407F-8DED-C993CB7B4B42}" uniqueName="76" name="Total site_sessions" queryTableFieldId="76"/>
    <tableColumn id="77" xr3:uid="{7CCA7203-86F5-4650-9DEC-7DE5E45BEFBB}" uniqueName="77" name="Total site_sessions_that_completed_checkout" queryTableFieldId="77"/>
    <tableColumn id="78" xr3:uid="{69AE4DC9-806E-41F7-A88F-291618404E53}" uniqueName="78" name="Total site_conversion_rate" queryTableFieldId="78"/>
    <tableColumn id="79" xr3:uid="{B742430C-0187-4351-A350-05623B5E93C3}" uniqueName="79" name="email_sessions" queryTableFieldId="79"/>
    <tableColumn id="80" xr3:uid="{95E98AE8-7DB1-46D3-99C8-0AAD51C8946E}" uniqueName="80" name="email_sessions_that_completed_checkout" queryTableFieldId="80"/>
    <tableColumn id="81" xr3:uid="{1F3A02F0-91AE-456E-B5A3-8A68C0459640}" uniqueName="81" name="email_conversion_rate" queryTableFieldId="81"/>
    <tableColumn id="82" xr3:uid="{1C9AFE96-BDA7-41E4-9E29-87FA46C35291}" uniqueName="82" name="GoogleAdsOperation.Cost" queryTableFieldId="82"/>
    <tableColumn id="83" xr3:uid="{8A6F2019-4F28-41EE-A694-058DE0BDA1F7}" uniqueName="83" name="GoogleAdsOperation.Impressions" queryTableFieldId="83"/>
    <tableColumn id="84" xr3:uid="{732FC9D3-347A-44C9-BE9A-6E20D5F4AC34}" uniqueName="84" name="GoogleAdsOperation.Clicks" queryTableFieldId="84"/>
    <tableColumn id="85" xr3:uid="{C0C196F0-15E6-4F7A-B868-7F5878DB6B2C}" uniqueName="85" name="MetaAdsOperation.spend" queryTableFieldId="85"/>
    <tableColumn id="86" xr3:uid="{3C9BAC26-1843-43A9-A63C-8A74F8C661BC}" uniqueName="86" name="MetaAdsOperation.clicks" queryTableFieldId="86"/>
    <tableColumn id="87" xr3:uid="{9188FC35-04A4-43B2-BCED-DFA3C39A816F}" uniqueName="87" name="MetaAdsOperation.impressions" queryTableFieldId="8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AEE966-2C04-4511-87EB-08BF56E8B3E2}" name="Test" displayName="Test" ref="B11:C24" tableType="queryTable" totalsRowShown="0">
  <autoFilter ref="B11:C24" xr:uid="{03AEE966-2C04-4511-87EB-08BF56E8B3E2}"/>
  <tableColumns count="2">
    <tableColumn id="1" xr3:uid="{422D81B4-142F-4F76-AFAC-87FBF5757D97}" uniqueName="1" name="startDate" queryTableFieldId="1" dataDxfId="137"/>
    <tableColumn id="2" xr3:uid="{EFC1F86F-6A73-4E22-A1FC-0D3C2F9D4E3B}" uniqueName="2" name="endDate" queryTableFieldId="2" dataDxfId="13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429EECB-0EFB-4722-B485-4A46F6376FEA}" name="SummaryDailyData" displayName="SummaryDailyData" ref="E11:E15" totalsRowShown="0" headerRowDxfId="135" headerRowBorderDxfId="134" tableBorderDxfId="133" totalsRowBorderDxfId="132">
  <autoFilter ref="E11:E15" xr:uid="{D429EECB-0EFB-4722-B485-4A46F6376FEA}"/>
  <tableColumns count="1">
    <tableColumn id="1" xr3:uid="{BD7C5A75-8CA4-44D9-B68C-431A4A6650FA}" name="da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D749A41-012C-4B60-8A78-B4C9F1127C1D}" name="SummaryWeeklyData" displayName="SummaryWeeklyData" ref="G11:G15" totalsRowShown="0" headerRowDxfId="131" headerRowBorderDxfId="130" tableBorderDxfId="129" totalsRowBorderDxfId="128">
  <autoFilter ref="G11:G15" xr:uid="{0D749A41-012C-4B60-8A78-B4C9F1127C1D}"/>
  <tableColumns count="1">
    <tableColumn id="1" xr3:uid="{ED140510-8D3A-43AD-ADF8-ACE130B4C38F}" name="wee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CC126B-82C1-40D1-B464-BA1443BA60CC}" name="SummaryMonthly" displayName="SummaryMonthly" ref="A1:CI6" tableType="queryTable" totalsRowShown="0">
  <autoFilter ref="A1:CI6" xr:uid="{3CCC126B-82C1-40D1-B464-BA1443BA60CC}"/>
  <tableColumns count="87">
    <tableColumn id="1" xr3:uid="{18A89E99-C1FC-4B1F-93CC-DBCC29F9CAC2}" uniqueName="1" name="month" queryTableFieldId="1" dataDxfId="127"/>
    <tableColumn id="2" xr3:uid="{43A662FD-8EBE-4430-8948-385313D43CDE}" uniqueName="2" name="orders" queryTableFieldId="2"/>
    <tableColumn id="3" xr3:uid="{30A50E03-6596-45DA-A90A-F0FE3431B8E9}" uniqueName="3" name="quantity_ordered_per_order" queryTableFieldId="3"/>
    <tableColumn id="4" xr3:uid="{2B434E5B-C8E2-46B4-902A-3FE19C5F580B}" uniqueName="4" name="average_order_value" queryTableFieldId="4"/>
    <tableColumn id="5" xr3:uid="{C2F97E2E-2CFD-4693-899A-9A9F3B25A4CA}" uniqueName="5" name="quantity_returned" queryTableFieldId="5"/>
    <tableColumn id="6" xr3:uid="{FA20751E-4C64-47B1-BF10-50C4590DB09E}" uniqueName="6" name="gross_sales" queryTableFieldId="6"/>
    <tableColumn id="7" xr3:uid="{C913495F-8BD1-4C10-B1FD-63605A87E07D}" uniqueName="7" name="discounts" queryTableFieldId="7"/>
    <tableColumn id="8" xr3:uid="{4805E911-1775-42E5-8AA7-F17987227371}" uniqueName="8" name="sales_reversals" queryTableFieldId="8"/>
    <tableColumn id="9" xr3:uid="{36977EB5-83F8-49C7-8FDE-D09440FF83ED}" uniqueName="9" name="net_sales" queryTableFieldId="9"/>
    <tableColumn id="10" xr3:uid="{C4538079-4018-4D7C-BEF6-2D00AADF8989}" uniqueName="10" name="shipping_charges" queryTableFieldId="10"/>
    <tableColumn id="11" xr3:uid="{FF9C24D7-6BDB-4801-BEDD-833F665B2D83}" uniqueName="11" name="return_fees" queryTableFieldId="11"/>
    <tableColumn id="12" xr3:uid="{C92112B2-EC5E-4A73-96CC-FA46923D6943}" uniqueName="12" name="taxes" queryTableFieldId="12"/>
    <tableColumn id="13" xr3:uid="{A7901720-0125-40A6-BD10-DD6C48C2D9B1}" uniqueName="13" name="total_sales" queryTableFieldId="13"/>
    <tableColumn id="14" xr3:uid="{DD445D56-1A8D-4686-B4F3-DFF9CB319DF9}" uniqueName="14" name="net_sales_without_cost_recorded" queryTableFieldId="14"/>
    <tableColumn id="15" xr3:uid="{584BEB54-2D3A-42E6-B036-C3FBF78E25F6}" uniqueName="15" name="net_sales_with_cost_recorded" queryTableFieldId="15"/>
    <tableColumn id="16" xr3:uid="{49A41478-903A-4631-B00A-E1ABCDE8916F}" uniqueName="16" name="cost_of_goods_sold" queryTableFieldId="16"/>
    <tableColumn id="17" xr3:uid="{CEB4B253-9B83-44EB-903E-4644889CD387}" uniqueName="17" name="gross_profit" queryTableFieldId="17"/>
    <tableColumn id="18" xr3:uid="{8F264174-ABD5-4096-9D17-EE6DC4B1903B}" uniqueName="18" name="gift_card_gross_sales" queryTableFieldId="18"/>
    <tableColumn id="19" xr3:uid="{08F472D9-1A4B-427A-A464-502BB6598AF6}" uniqueName="19" name="net_items_sold" queryTableFieldId="19"/>
    <tableColumn id="20" xr3:uid="{27BB1E44-AF33-4E42-9160-1E62045BC43B}" uniqueName="20" name="gift_card_discounts" queryTableFieldId="20"/>
    <tableColumn id="21" xr3:uid="{B163879F-208B-4483-BAB0-494A38C20F81}" uniqueName="21" name="gift_card_net_sales" queryTableFieldId="21"/>
    <tableColumn id="22" xr3:uid="{60294E80-6341-4163-9896-6EA45F94B392}" uniqueName="22" name="refresh_date" queryTableFieldId="22" dataDxfId="126"/>
    <tableColumn id="23" xr3:uid="{835B7979-A79A-489E-A446-4193FFE3AE32}" uniqueName="23" name="returning_customers" queryTableFieldId="23"/>
    <tableColumn id="24" xr3:uid="{EC5651C7-3679-41A5-B12F-F68EA1069CF4}" uniqueName="24" name="returning_orders" queryTableFieldId="24"/>
    <tableColumn id="25" xr3:uid="{A82766D6-4763-4471-955D-2314FFEE3DBB}" uniqueName="25" name="returning_net_sales" queryTableFieldId="25"/>
    <tableColumn id="26" xr3:uid="{B491DB55-F7EF-4973-874B-CEEBF3BDBA62}" uniqueName="26" name="returning_average_order_value" queryTableFieldId="26"/>
    <tableColumn id="27" xr3:uid="{52D9C1F7-0B78-4D7B-81E4-E5FFFE141E96}" uniqueName="27" name="returning_cost_of_goods_sold" queryTableFieldId="27"/>
    <tableColumn id="28" xr3:uid="{0F80006C-9240-4BB1-9434-234C092E3F0B}" uniqueName="28" name="returning_gross_profit" queryTableFieldId="28"/>
    <tableColumn id="29" xr3:uid="{2897BB37-DB9C-447F-81EB-EF7E718D8EB4}" uniqueName="29" name="new_customers" queryTableFieldId="29"/>
    <tableColumn id="30" xr3:uid="{C7BE2970-B810-482D-927A-56E150BC1093}" uniqueName="30" name="new_orders" queryTableFieldId="30"/>
    <tableColumn id="31" xr3:uid="{DCD05F45-5F9E-410F-A7F5-4BD7E55CA0CF}" uniqueName="31" name="new_net_sales" queryTableFieldId="31"/>
    <tableColumn id="32" xr3:uid="{E890092A-7906-4D94-ACD0-858092ABA266}" uniqueName="32" name="new_average_order_value" queryTableFieldId="32"/>
    <tableColumn id="33" xr3:uid="{89EA188B-3A1B-49C7-8969-0AD1739B8B43}" uniqueName="33" name="new_cost_of_goods_sold" queryTableFieldId="33"/>
    <tableColumn id="34" xr3:uid="{9E5331AF-E942-478D-909A-ED168DC5B5F3}" uniqueName="34" name="new_gross_profit" queryTableFieldId="34"/>
    <tableColumn id="35" xr3:uid="{E99000CD-56DD-4645-AE4B-C0819673C85E}" uniqueName="35" name="unknown_customers" queryTableFieldId="35"/>
    <tableColumn id="36" xr3:uid="{C0A22B4B-0169-41C2-8B7C-ABA82B3BA286}" uniqueName="36" name="unknown_orders" queryTableFieldId="36"/>
    <tableColumn id="37" xr3:uid="{7DC71F7F-EE3D-4257-872E-1741D312058C}" uniqueName="37" name="unknown_net_sales" queryTableFieldId="37"/>
    <tableColumn id="38" xr3:uid="{353F8404-8EBC-4766-91DC-6797757C8111}" uniqueName="38" name="unknown_average_order_value" queryTableFieldId="38"/>
    <tableColumn id="39" xr3:uid="{C2BEC052-7EF5-45A7-93CB-9B3D5F3214D6}" uniqueName="39" name="unknown_cost_of_goods_sold" queryTableFieldId="39"/>
    <tableColumn id="40" xr3:uid="{D14B008A-AF07-44BC-9C1F-FC5075D11095}" uniqueName="40" name="unknown_gross_profit" queryTableFieldId="40"/>
    <tableColumn id="49" xr3:uid="{8C143C56-1164-4571-BA9A-5703BB145F6C}" uniqueName="49" name="Rappi_net_sales" queryTableFieldId="49"/>
    <tableColumn id="50" xr3:uid="{95365605-38A4-4F6B-A937-9FF499698C5E}" uniqueName="50" name="Rappi_orders" queryTableFieldId="50"/>
    <tableColumn id="51" xr3:uid="{4C597AD8-1C3E-466A-8312-EF36C685E87B}" uniqueName="51" name="Rappi_average_order_value" queryTableFieldId="51"/>
    <tableColumn id="52" xr3:uid="{226ED3D9-38EE-4740-8857-387C68DFD4DE}" uniqueName="52" name="Rappi_cost_of_goods_sold" queryTableFieldId="52"/>
    <tableColumn id="41" xr3:uid="{AAB751BE-B4BC-41F2-96BA-C91697100480}" uniqueName="41" name="Online Store_net_sales" queryTableFieldId="41"/>
    <tableColumn id="42" xr3:uid="{0ACB9A22-FE8F-42FE-AEC2-3F7FE068489F}" uniqueName="42" name="Online Store_orders" queryTableFieldId="42"/>
    <tableColumn id="43" xr3:uid="{A8AFA474-D4B5-47D1-A88F-E9974AC46BDA}" uniqueName="43" name="Online Store_average_order_value" queryTableFieldId="43"/>
    <tableColumn id="44" xr3:uid="{04F28D96-B67B-4E23-A7A5-AE60B305ED1C}" uniqueName="44" name="Online Store_cost_of_goods_sold" queryTableFieldId="44"/>
    <tableColumn id="45" xr3:uid="{55829EE2-F6D6-49FE-A404-B0C6CF1C54AC}" uniqueName="45" name="Tienda 81_net_sales" queryTableFieldId="45"/>
    <tableColumn id="46" xr3:uid="{53B19B10-753E-4CBA-82BF-32D241DC473C}" uniqueName="46" name="Tienda 81_orders" queryTableFieldId="46"/>
    <tableColumn id="47" xr3:uid="{339D68CF-F94B-4916-985C-BD4D50D8BBFB}" uniqueName="47" name="Tienda 81_average_order_value" queryTableFieldId="47"/>
    <tableColumn id="48" xr3:uid="{BC627C22-C237-4AF9-A0E1-FCD2F734DBDB}" uniqueName="48" name="Tienda 81_cost_of_goods_sold" queryTableFieldId="48"/>
    <tableColumn id="53" xr3:uid="{75BEAB9E-715A-43D5-BF47-328C6E2D8403}" uniqueName="53" name="Corporativo no tienda_net_sales" queryTableFieldId="53"/>
    <tableColumn id="54" xr3:uid="{734AB452-B159-4B66-84E1-E8AF688CD556}" uniqueName="54" name="Corporativo no tienda_orders" queryTableFieldId="54"/>
    <tableColumn id="55" xr3:uid="{824596DE-57A8-41F9-B556-8D8C4D3E7B0B}" uniqueName="55" name="Corporativo no tienda_average_order_value" queryTableFieldId="55"/>
    <tableColumn id="56" xr3:uid="{A32BCD4A-5F28-4339-8BBA-43FECE451230}" uniqueName="56" name="Corporativo no tienda_cost_of_goods_sold" queryTableFieldId="56"/>
    <tableColumn id="87" xr3:uid="{3975607C-A731-4C73-9168-908544299730}" uniqueName="87" name="Feria_net_sales" queryTableFieldId="87"/>
    <tableColumn id="88" xr3:uid="{D3A0F77A-012E-42A2-80DF-BC07E5CF23AB}" uniqueName="88" name="Feria_orders" queryTableFieldId="88"/>
    <tableColumn id="89" xr3:uid="{4F24408B-D287-44E1-BBEF-33BBDE4CD14C}" uniqueName="89" name="Feria_average_order_value" queryTableFieldId="89"/>
    <tableColumn id="90" xr3:uid="{DF259FBD-DBEC-45D6-81C8-A28B2D36DE0E}" uniqueName="90" name="Feria_cost_of_goods_sold" queryTableFieldId="90"/>
    <tableColumn id="57" xr3:uid="{781DE488-62C5-417C-9180-6C83187C8EEE}" uniqueName="57" name="unknown_sessions" queryTableFieldId="57"/>
    <tableColumn id="58" xr3:uid="{780E5D8F-3475-4105-9904-4F49120EA320}" uniqueName="58" name="unknown_sessions_that_completed_checkout" queryTableFieldId="58"/>
    <tableColumn id="59" xr3:uid="{E97F8016-FAB3-4EBA-A4FD-0BFA9432A710}" uniqueName="59" name="unknown_conversion_rate" queryTableFieldId="59"/>
    <tableColumn id="60" xr3:uid="{41BBF556-3480-4F0E-A487-B7D1743F269E}" uniqueName="60" name="social_sessions" queryTableFieldId="60"/>
    <tableColumn id="61" xr3:uid="{CB5273E9-06B8-47B4-A09D-AAD3DB2A7E7C}" uniqueName="61" name="social_sessions_that_completed_checkout" queryTableFieldId="61"/>
    <tableColumn id="62" xr3:uid="{EF22F8A5-5309-4DBB-A99A-0EE004611802}" uniqueName="62" name="social_conversion_rate" queryTableFieldId="62"/>
    <tableColumn id="63" xr3:uid="{42B00577-6DC0-48CE-86F2-CCD3C0532C9F}" uniqueName="63" name="search_sessions" queryTableFieldId="63"/>
    <tableColumn id="64" xr3:uid="{95DD9F3D-FF90-451F-9AF3-638195232FF0}" uniqueName="64" name="search_sessions_that_completed_checkout" queryTableFieldId="64"/>
    <tableColumn id="65" xr3:uid="{B1A0E150-E65B-4CAC-A690-D78CA3BB8A55}" uniqueName="65" name="search_conversion_rate" queryTableFieldId="65"/>
    <tableColumn id="66" xr3:uid="{F7C5209C-CEC1-47DB-8D63-3025D87E90EB}" uniqueName="66" name="paid_sessions" queryTableFieldId="66"/>
    <tableColumn id="67" xr3:uid="{B7F52793-3577-4454-BD5F-B02F81E02E13}" uniqueName="67" name="paid_sessions_that_completed_checkout" queryTableFieldId="67"/>
    <tableColumn id="68" xr3:uid="{00A95913-0D7B-4D7C-A0BF-F9A846311282}" uniqueName="68" name="paid_conversion_rate" queryTableFieldId="68"/>
    <tableColumn id="69" xr3:uid="{19083F5E-0C76-40B7-BBC2-C4BF298BDF3D}" uniqueName="69" name="direct_sessions" queryTableFieldId="69"/>
    <tableColumn id="70" xr3:uid="{AEEAFFF7-4E13-44A0-8593-4F11EC975B8C}" uniqueName="70" name="direct_sessions_that_completed_checkout" queryTableFieldId="70"/>
    <tableColumn id="71" xr3:uid="{E1B22EE9-FAB3-45E5-A615-3085A284219E}" uniqueName="71" name="direct_conversion_rate" queryTableFieldId="71"/>
    <tableColumn id="72" xr3:uid="{BF4A8FCF-2156-43F1-88BA-191F85D41CF4}" uniqueName="72" name="Total site_sessions" queryTableFieldId="72"/>
    <tableColumn id="73" xr3:uid="{9506E78A-0994-4B4A-BB71-B1D62988DB52}" uniqueName="73" name="Total site_sessions_that_completed_checkout" queryTableFieldId="73"/>
    <tableColumn id="74" xr3:uid="{885BD3A1-67C3-45C3-91CE-ED1E241C6198}" uniqueName="74" name="Total site_conversion_rate" queryTableFieldId="74"/>
    <tableColumn id="75" xr3:uid="{B8DC9693-6243-4AB3-BC9F-34056101713B}" uniqueName="75" name="email_sessions" queryTableFieldId="75"/>
    <tableColumn id="76" xr3:uid="{BEC02751-567E-40C2-8B5A-2A4741010886}" uniqueName="76" name="email_sessions_that_completed_checkout" queryTableFieldId="76"/>
    <tableColumn id="77" xr3:uid="{CBF39E60-E164-4142-94EA-DDFFD50507E9}" uniqueName="77" name="email_conversion_rate" queryTableFieldId="77"/>
    <tableColumn id="78" xr3:uid="{2A9A9C9D-BB25-48F6-9557-8930489537AB}" uniqueName="78" name="GoogleAdsOperation.Cost" queryTableFieldId="78"/>
    <tableColumn id="82" xr3:uid="{29FC8C53-02E2-453F-A21E-1507A6B0CBA6}" uniqueName="82" name="GoogleAdsOperation.Impressions" queryTableFieldId="82"/>
    <tableColumn id="83" xr3:uid="{B6752F48-B563-454B-BBF9-B0DB53264634}" uniqueName="83" name="GoogleAdsOperation.Clicks" queryTableFieldId="83"/>
    <tableColumn id="84" xr3:uid="{792AF5D8-FA27-4936-B733-C2812CABC3FE}" uniqueName="84" name="MetaAdsOperation.spend" queryTableFieldId="84"/>
    <tableColumn id="85" xr3:uid="{388135D1-A586-4512-BEA3-09F498A1F67D}" uniqueName="85" name="MetaAdsOperation.clicks" queryTableFieldId="85"/>
    <tableColumn id="86" xr3:uid="{3F9B565A-5D68-4485-9C81-CA34283057F0}" uniqueName="86" name="MetaAdsOperation.impressions" queryTableFieldId="8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8EAC906-DB86-4867-8321-A7F41DB8BE5B}" name="SalesBreakdownMonthly" displayName="SalesBreakdownMonthly" ref="A1:V6" tableType="queryTable" totalsRowShown="0">
  <autoFilter ref="A1:V6" xr:uid="{58EAC906-DB86-4867-8321-A7F41DB8BE5B}"/>
  <tableColumns count="22">
    <tableColumn id="1" xr3:uid="{CA7BB590-2F5D-44BE-AAE7-B969202F119B}" uniqueName="1" name="month" queryTableFieldId="1" dataDxfId="125"/>
    <tableColumn id="2" xr3:uid="{7C18A93E-892B-450B-909A-6BC8EDDF2F04}" uniqueName="2" name="orders" queryTableFieldId="2" dataDxfId="124" dataCellStyle="Comma [0]"/>
    <tableColumn id="3" xr3:uid="{808DCE92-B182-4A66-B198-A78E37421203}" uniqueName="3" name="quantity_ordered_per_order" queryTableFieldId="3" dataDxfId="123" dataCellStyle="Comma [0]"/>
    <tableColumn id="4" xr3:uid="{3E73201C-9746-453A-85EA-164E9D73B07A}" uniqueName="4" name="average_order_value" queryTableFieldId="4" dataDxfId="122" dataCellStyle="Comma [0]"/>
    <tableColumn id="5" xr3:uid="{C1879F75-A0FF-407F-8D97-4EDFBA9827D6}" uniqueName="5" name="quantity_returned" queryTableFieldId="5" dataDxfId="121" dataCellStyle="Comma [0]"/>
    <tableColumn id="6" xr3:uid="{51504595-EF0A-42F2-9AFE-8FD57B08846E}" uniqueName="6" name="gross_sales" queryTableFieldId="6" dataDxfId="120" dataCellStyle="Comma [0]"/>
    <tableColumn id="7" xr3:uid="{0A286978-3CBB-4882-B73D-B15BA76B980B}" uniqueName="7" name="discounts" queryTableFieldId="7" dataDxfId="119" dataCellStyle="Comma [0]"/>
    <tableColumn id="8" xr3:uid="{2E445CC8-4EAB-43A3-9815-C85FE868BFA8}" uniqueName="8" name="sales_reversals" queryTableFieldId="8" dataDxfId="118" dataCellStyle="Comma [0]"/>
    <tableColumn id="9" xr3:uid="{2C9CDA94-6A47-4FB1-82D1-F1FA8E18A9E0}" uniqueName="9" name="net_sales" queryTableFieldId="9" dataDxfId="117" dataCellStyle="Comma [0]"/>
    <tableColumn id="10" xr3:uid="{AADE5E1C-8A25-45C6-8987-11B1EF38DA5F}" uniqueName="10" name="shipping_charges" queryTableFieldId="10" dataDxfId="116" dataCellStyle="Comma [0]"/>
    <tableColumn id="11" xr3:uid="{0C3B2DF0-A841-4813-8305-9320B0F83C67}" uniqueName="11" name="return_fees" queryTableFieldId="11" dataDxfId="115" dataCellStyle="Comma [0]"/>
    <tableColumn id="12" xr3:uid="{99755FBC-C3E7-4309-874E-BD9BBFC20346}" uniqueName="12" name="taxes" queryTableFieldId="12" dataDxfId="114" dataCellStyle="Comma [0]"/>
    <tableColumn id="13" xr3:uid="{64D2294E-70F0-4D61-8B1A-2C0D15469D16}" uniqueName="13" name="total_sales" queryTableFieldId="13" dataDxfId="113" dataCellStyle="Comma [0]"/>
    <tableColumn id="14" xr3:uid="{6796718C-2A6E-47DF-B5A2-689655F77E03}" uniqueName="14" name="net_sales_without_cost_recorded" queryTableFieldId="14" dataDxfId="112" dataCellStyle="Comma [0]"/>
    <tableColumn id="15" xr3:uid="{BB30D8B5-780B-433D-9309-6D0015C7E3A9}" uniqueName="15" name="net_sales_with_cost_recorded" queryTableFieldId="15" dataDxfId="111" dataCellStyle="Comma [0]"/>
    <tableColumn id="16" xr3:uid="{D05FE90E-6F64-4CFC-B942-7879A6E2A158}" uniqueName="16" name="cost_of_goods_sold" queryTableFieldId="16" dataDxfId="110" dataCellStyle="Comma [0]"/>
    <tableColumn id="17" xr3:uid="{7D6C01D0-356C-45AD-8A6B-68B299AA4E13}" uniqueName="17" name="gross_profit" queryTableFieldId="17" dataDxfId="109" dataCellStyle="Comma [0]"/>
    <tableColumn id="18" xr3:uid="{787FF888-258D-4F66-B4AA-E20EA004650C}" uniqueName="18" name="gift_card_gross_sales" queryTableFieldId="18" dataDxfId="108" dataCellStyle="Comma [0]"/>
    <tableColumn id="19" xr3:uid="{1F11C052-23D5-4D64-B73F-212E4BDA46EE}" uniqueName="19" name="net_items_sold" queryTableFieldId="19" dataDxfId="107" dataCellStyle="Comma [0]"/>
    <tableColumn id="20" xr3:uid="{26F614EA-1152-45D8-BDA2-63247526E519}" uniqueName="20" name="gift_card_discounts" queryTableFieldId="20" dataDxfId="106" dataCellStyle="Comma [0]"/>
    <tableColumn id="21" xr3:uid="{F8C4A179-E843-442A-B63D-087A5FA0C688}" uniqueName="21" name="gift_card_net_sales" queryTableFieldId="21" dataDxfId="105" dataCellStyle="Comma [0]"/>
    <tableColumn id="22" xr3:uid="{E8F9C8C3-14B6-46CE-AF7D-1C0C25A7D7E9}" uniqueName="22" name="refresh_date" queryTableFieldId="22" dataDxfId="10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DE1BE8-F3EF-4BF2-AEBA-6658C7E1BC20}" name="SummaryDaily" displayName="SummaryDaily" ref="B5:CI369" tableType="queryTable" totalsRowShown="0">
  <autoFilter ref="B5:CI369" xr:uid="{D4DE1BE8-F3EF-4BF2-AEBA-6658C7E1BC20}"/>
  <tableColumns count="86">
    <tableColumn id="4" xr3:uid="{EA15B719-1C63-466F-A5C4-AFD2C9E9A5D0}" uniqueName="4" name="day" queryTableFieldId="4" dataDxfId="103"/>
    <tableColumn id="23" xr3:uid="{F2E3FBAC-42EF-41AC-8C85-E631363A2C56}" uniqueName="23" name="orders" queryTableFieldId="28" dataDxfId="102" dataCellStyle="Comma [0]"/>
    <tableColumn id="24" xr3:uid="{20903691-F979-4A14-8793-12A0E87BCDA6}" uniqueName="24" name="quantity_ordered_per_order" queryTableFieldId="29" dataDxfId="101" dataCellStyle="Comma [0]"/>
    <tableColumn id="25" xr3:uid="{D2DE1328-4FBB-43D2-8A80-DFF4C51465AB}" uniqueName="25" name="average_order_value" queryTableFieldId="30" dataDxfId="100" dataCellStyle="Comma [0]"/>
    <tableColumn id="26" xr3:uid="{E73FD606-D532-4B2D-B756-B54CB81480A7}" uniqueName="26" name="quantity_returned" queryTableFieldId="31" dataDxfId="99" dataCellStyle="Comma [0]"/>
    <tableColumn id="5" xr3:uid="{9E48D7F1-B380-4D00-ADF8-44762D37070B}" uniqueName="5" name="gross_sales" queryTableFieldId="5" dataDxfId="98" dataCellStyle="Comma [0]"/>
    <tableColumn id="6" xr3:uid="{7AF6D468-691F-4D57-8BB6-F51F333E3641}" uniqueName="6" name="discounts" queryTableFieldId="6" dataDxfId="97" dataCellStyle="Comma [0]"/>
    <tableColumn id="11" xr3:uid="{62ED857F-721A-4B5E-8BA8-E15F2D9C1399}" uniqueName="11" name="sales_reversals" queryTableFieldId="13" dataDxfId="96" dataCellStyle="Comma [0]"/>
    <tableColumn id="7" xr3:uid="{97297F82-E7F7-46DF-AF0D-BE30C581832C}" uniqueName="7" name="net_sales" queryTableFieldId="7" dataDxfId="95" dataCellStyle="Comma [0]"/>
    <tableColumn id="12" xr3:uid="{DFD80D0B-29E3-4B89-AD46-654316ACD168}" uniqueName="12" name="shipping_charges" queryTableFieldId="14" dataDxfId="94" dataCellStyle="Comma [0]"/>
    <tableColumn id="13" xr3:uid="{FACD100B-33AD-4025-866A-22A6E593CF3A}" uniqueName="13" name="return_fees" queryTableFieldId="15" dataDxfId="93" dataCellStyle="Comma [0]"/>
    <tableColumn id="8" xr3:uid="{39C043E0-0B3E-4EF7-8D9A-D85618936647}" uniqueName="8" name="taxes" queryTableFieldId="8" dataDxfId="92" dataCellStyle="Comma [0]"/>
    <tableColumn id="14" xr3:uid="{079B34E8-EFDE-4102-9293-623E0A3CE4AC}" uniqueName="14" name="total_sales" queryTableFieldId="16" dataDxfId="91" dataCellStyle="Comma [0]"/>
    <tableColumn id="15" xr3:uid="{0AECDB40-6AAB-478A-B799-7ED6D95576C7}" uniqueName="15" name="net_sales_without_cost_recorded" queryTableFieldId="17" dataDxfId="90" dataCellStyle="Comma [0]"/>
    <tableColumn id="16" xr3:uid="{568CA55B-A458-4CBE-8ED8-5AEEB094901F}" uniqueName="16" name="net_sales_with_cost_recorded" queryTableFieldId="18" dataDxfId="89" dataCellStyle="Comma [0]"/>
    <tableColumn id="17" xr3:uid="{2EA33237-1F45-49B3-8D31-F69874A31312}" uniqueName="17" name="cost_of_goods_sold" queryTableFieldId="19" dataDxfId="88" dataCellStyle="Comma [0]"/>
    <tableColumn id="18" xr3:uid="{AC9DCCC0-67FE-4EF9-BBD8-3C286923868B}" uniqueName="18" name="gross_profit" queryTableFieldId="20" dataDxfId="87" dataCellStyle="Comma [0]"/>
    <tableColumn id="19" xr3:uid="{CE083C97-8E7E-44C2-AC47-26BE0F28925A}" uniqueName="19" name="gift_card_gross_sales" queryTableFieldId="21" dataDxfId="86" dataCellStyle="Comma [0]"/>
    <tableColumn id="20" xr3:uid="{008CAE93-A79D-4176-8D07-53F7FB63B99F}" uniqueName="20" name="net_items_sold" queryTableFieldId="22" dataDxfId="85" dataCellStyle="Comma [0]"/>
    <tableColumn id="21" xr3:uid="{D5262F30-B465-416E-8FA3-EA02D09AE039}" uniqueName="21" name="gift_card_discounts" queryTableFieldId="23" dataDxfId="84" dataCellStyle="Comma [0]"/>
    <tableColumn id="22" xr3:uid="{25E18F9D-C774-4448-B846-288E399E7C88}" uniqueName="22" name="gift_card_net_sales" queryTableFieldId="24" dataDxfId="83" dataCellStyle="Comma [0]"/>
    <tableColumn id="29" xr3:uid="{2D0B3E3D-E4F8-4796-B7BC-82E4E643BBED}" uniqueName="29" name="refresh_date" queryTableFieldId="124" dataDxfId="82" dataCellStyle="Comma [0]"/>
    <tableColumn id="27" xr3:uid="{D7364025-1E20-441F-A860-1D369B4ABEAC}" uniqueName="27" name="returning_customers" queryTableFieldId="36" dataDxfId="81" dataCellStyle="Comma [0]"/>
    <tableColumn id="28" xr3:uid="{2CBC4673-3201-4308-9D32-3999FE368D22}" uniqueName="28" name="returning_orders" queryTableFieldId="37" dataDxfId="80" dataCellStyle="Comma [0]"/>
    <tableColumn id="52" xr3:uid="{EAD81A98-BAC8-4DD1-8521-B9C5B432C68A}" uniqueName="52" name="returning_net_sales" queryTableFieldId="72" dataDxfId="79" dataCellStyle="Comma [0]"/>
    <tableColumn id="53" xr3:uid="{6D3049BF-3D8B-4D35-A13E-60D09897EE5E}" uniqueName="53" name="returning_average_order_value" queryTableFieldId="73" dataDxfId="78" dataCellStyle="Comma [0]"/>
    <tableColumn id="62" xr3:uid="{B5851089-13FB-473D-8BCD-0D6DF32162A8}" uniqueName="62" name="returning_cost_of_goods_sold" queryTableFieldId="91" dataDxfId="77" dataCellStyle="Comma [0]"/>
    <tableColumn id="65" xr3:uid="{7DF20735-881C-4AFC-86AD-E1C24A4E3BDA}" uniqueName="65" name="returning_gross_profit" queryTableFieldId="97" dataDxfId="76" dataCellStyle="Comma [0]"/>
    <tableColumn id="30" xr3:uid="{7A95FAFC-A3B8-480B-9FDE-59A5227F67F8}" uniqueName="30" name="new_customers" queryTableFieldId="39" dataDxfId="75" dataCellStyle="Comma [0]"/>
    <tableColumn id="31" xr3:uid="{AA4E2A84-8F9C-4C19-A03D-64CD646A78C3}" uniqueName="31" name="new_orders" queryTableFieldId="40" dataDxfId="74" dataCellStyle="Comma [0]"/>
    <tableColumn id="54" xr3:uid="{FC171190-0D5D-4498-92E5-AC4B4A90F995}" uniqueName="54" name="new_net_sales" queryTableFieldId="74" dataDxfId="73" dataCellStyle="Comma [0]"/>
    <tableColumn id="55" xr3:uid="{108330C9-9704-4162-9882-F9FB3CD73122}" uniqueName="55" name="new_average_order_value" queryTableFieldId="75" dataDxfId="72" dataCellStyle="Comma [0]"/>
    <tableColumn id="63" xr3:uid="{2AB6D90B-3510-487F-9F3F-0138D4455178}" uniqueName="63" name="new_cost_of_goods_sold" queryTableFieldId="92" dataDxfId="71" dataCellStyle="Comma [0]"/>
    <tableColumn id="66" xr3:uid="{D3617634-AE35-491D-A27B-6015BBAC6131}" uniqueName="66" name="new_gross_profit" queryTableFieldId="98" dataDxfId="70" dataCellStyle="Comma [0]"/>
    <tableColumn id="33" xr3:uid="{0F804EFF-28B8-4A5F-A40F-8756375290DF}" uniqueName="33" name="unknown_customers" queryTableFieldId="42" dataDxfId="69" dataCellStyle="Comma [0]"/>
    <tableColumn id="34" xr3:uid="{2C8C115F-6914-4331-AF1C-1A04026B0835}" uniqueName="34" name="unknown_orders" queryTableFieldId="43" dataDxfId="68" dataCellStyle="Comma [0]"/>
    <tableColumn id="56" xr3:uid="{4657E44C-93BB-4CF5-9555-CE6F5510ED16}" uniqueName="56" name="unknown_net_sales" queryTableFieldId="76" dataDxfId="67" dataCellStyle="Comma [0]"/>
    <tableColumn id="57" xr3:uid="{09FFF131-796D-4B01-9D61-A82AEC7806C6}" uniqueName="57" name="unknown_average_order_value" queryTableFieldId="77" dataDxfId="66" dataCellStyle="Comma [0]"/>
    <tableColumn id="64" xr3:uid="{31CB3AF8-22ED-44F4-AD2B-0FC161B850B7}" uniqueName="64" name="unknown_cost_of_goods_sold" queryTableFieldId="93" dataDxfId="65" dataCellStyle="Comma [0]"/>
    <tableColumn id="67" xr3:uid="{0B442C6A-4B8E-482C-A2C4-41EAFEE6AEFB}" uniqueName="67" name="unknown_gross_profit" queryTableFieldId="99" dataDxfId="64" dataCellStyle="Comma [0]"/>
    <tableColumn id="1" xr3:uid="{ACC79D3E-5BC7-4A2D-ACFF-3E1936F3FBE4}" uniqueName="1" name="Online Store_net_sales" queryTableFieldId="57" dataDxfId="63" dataCellStyle="Comma [0]"/>
    <tableColumn id="2" xr3:uid="{B598993B-D338-4163-8D6A-797FCD8107FE}" uniqueName="2" name="Online Store_orders" queryTableFieldId="58" dataDxfId="62" dataCellStyle="Comma [0]"/>
    <tableColumn id="48" xr3:uid="{AA39AE43-FB1F-45EA-874E-EC36BD7E9F15}" uniqueName="48" name="Online Store_average_order_value" queryTableFieldId="65" dataDxfId="61" dataCellStyle="Comma [0]"/>
    <tableColumn id="58" xr3:uid="{6CC997A8-022D-4FAF-8332-0A606CBDC8BC}" uniqueName="58" name="Online Store_cost_of_goods_sold" queryTableFieldId="84" dataDxfId="60" dataCellStyle="Comma [0]"/>
    <tableColumn id="3" xr3:uid="{23A38C0E-BFA0-42CF-A572-C9F430FA0976}" uniqueName="3" name="Tienda 81_net_sales" queryTableFieldId="59" dataDxfId="59" dataCellStyle="Comma [0]"/>
    <tableColumn id="43" xr3:uid="{4C93ADFF-D7F3-4224-81FB-7268087F3212}" uniqueName="43" name="Tienda 81_orders" queryTableFieldId="60" dataDxfId="58" dataCellStyle="Comma [0]"/>
    <tableColumn id="49" xr3:uid="{29C5E96D-D03C-4589-946D-8C5096011BD3}" uniqueName="49" name="Tienda 81_average_order_value" queryTableFieldId="66" dataDxfId="57" dataCellStyle="Comma [0]"/>
    <tableColumn id="59" xr3:uid="{44F2A8DA-2A5C-4AB7-A641-45D917F02D5B}" uniqueName="59" name="Tienda 81_cost_of_goods_sold" queryTableFieldId="85" dataDxfId="56" dataCellStyle="Comma [0]"/>
    <tableColumn id="44" xr3:uid="{3CD3A42F-2A33-47F5-99F9-F60AC1CDCA9D}" uniqueName="44" name="Rappi_net_sales" queryTableFieldId="61" dataDxfId="55" dataCellStyle="Comma [0]"/>
    <tableColumn id="45" xr3:uid="{55BCB471-2CEE-4FBC-B4EA-5A2C8CF77560}" uniqueName="45" name="Rappi_orders" queryTableFieldId="62" dataDxfId="54" dataCellStyle="Comma [0]"/>
    <tableColumn id="50" xr3:uid="{6A366356-5E71-4F18-9792-82E36D7E3EA0}" uniqueName="50" name="Rappi_average_order_value" queryTableFieldId="67" dataDxfId="53" dataCellStyle="Comma [0]"/>
    <tableColumn id="60" xr3:uid="{40475BDF-C3DD-4D35-8409-243A5228A09A}" uniqueName="60" name="Rappi_cost_of_goods_sold" queryTableFieldId="86" dataDxfId="52" dataCellStyle="Comma [0]"/>
    <tableColumn id="46" xr3:uid="{36A8E270-8889-42EB-B5C4-CB314ED246C6}" uniqueName="46" name="Corporativo no tienda_net_sales" queryTableFieldId="63" dataDxfId="51" dataCellStyle="Comma [0]"/>
    <tableColumn id="47" xr3:uid="{F0BD69E9-A5EB-4666-81B1-C10FD0A443BF}" uniqueName="47" name="Corporativo no tienda_orders" queryTableFieldId="64" dataDxfId="50" dataCellStyle="Comma [0]"/>
    <tableColumn id="51" xr3:uid="{B55F0AEC-355D-4CA0-8F07-B29CE7C8A2CE}" uniqueName="51" name="Corporativo no tienda_average_order_value" queryTableFieldId="68" dataDxfId="49" dataCellStyle="Comma [0]"/>
    <tableColumn id="61" xr3:uid="{A17B6FCF-889F-4CEC-99D5-FF3191F8B20F}" uniqueName="61" name="Corporativo no tienda_cost_of_goods_sold" queryTableFieldId="87" dataDxfId="48" dataCellStyle="Comma [0]"/>
    <tableColumn id="68" xr3:uid="{66C32CE9-D6BE-48B4-AC2A-BB7FDE4F8B4F}" uniqueName="68" name="unknown_sessions" queryTableFieldId="103" dataDxfId="47" dataCellStyle="Comma [0]"/>
    <tableColumn id="69" xr3:uid="{61BAFECD-16C0-4545-BD45-BEB3D3612285}" uniqueName="69" name="unknown_sessions_that_completed_checkout" queryTableFieldId="104" dataDxfId="46" dataCellStyle="Comma [0]"/>
    <tableColumn id="70" xr3:uid="{AAC0B4A5-5D4E-4431-89E7-C0EC72D861EF}" uniqueName="70" name="unknown_conversion_rate" queryTableFieldId="105" dataDxfId="45" dataCellStyle="Comma [0]"/>
    <tableColumn id="71" xr3:uid="{1A6E1E39-3F45-43EB-BF4B-8997F71F8D6F}" uniqueName="71" name="social_sessions" queryTableFieldId="106" dataDxfId="44" dataCellStyle="Comma [0]"/>
    <tableColumn id="72" xr3:uid="{2086DC4A-AF92-4D14-ADF5-BB678EED67B6}" uniqueName="72" name="social_sessions_that_completed_checkout" queryTableFieldId="107" dataDxfId="43" dataCellStyle="Comma [0]"/>
    <tableColumn id="73" xr3:uid="{E3AFDBB3-B6EE-4F13-8BD7-0C021285D603}" uniqueName="73" name="social_conversion_rate" queryTableFieldId="108" dataDxfId="42" dataCellStyle="Comma [0]"/>
    <tableColumn id="74" xr3:uid="{F5EFBFAB-06B2-4070-89A0-88E72E9B8633}" uniqueName="74" name="search_sessions" queryTableFieldId="109" dataDxfId="41" dataCellStyle="Comma [0]"/>
    <tableColumn id="75" xr3:uid="{094AC2C8-D90F-4804-B54E-8FD3B7F2EE13}" uniqueName="75" name="search_sessions_that_completed_checkout" queryTableFieldId="110" dataDxfId="40" dataCellStyle="Comma [0]"/>
    <tableColumn id="76" xr3:uid="{C8D2BFD8-F2D7-4A7B-8D46-E4B0DE55AE02}" uniqueName="76" name="search_conversion_rate" queryTableFieldId="111" dataDxfId="39" dataCellStyle="Comma [0]"/>
    <tableColumn id="77" xr3:uid="{30412505-B09C-405D-B4A0-5FFC0A7F78AA}" uniqueName="77" name="paid_sessions" queryTableFieldId="112" dataDxfId="38" dataCellStyle="Comma [0]"/>
    <tableColumn id="78" xr3:uid="{C3909EA4-7D2B-44ED-9C4B-724A4166AE03}" uniqueName="78" name="paid_sessions_that_completed_checkout" queryTableFieldId="113" dataDxfId="37" dataCellStyle="Comma [0]"/>
    <tableColumn id="79" xr3:uid="{FC74D491-8922-4DA3-8314-D7DBB78CDEA3}" uniqueName="79" name="paid_conversion_rate" queryTableFieldId="114" dataDxfId="36" dataCellStyle="Comma [0]"/>
    <tableColumn id="80" xr3:uid="{65C453F1-6FFA-4B71-ADBB-6DF37F58D0C1}" uniqueName="80" name="direct_sessions" queryTableFieldId="115" dataDxfId="35" dataCellStyle="Comma [0]"/>
    <tableColumn id="81" xr3:uid="{25CE9029-10B5-4E69-98A2-0A1D6BAE4422}" uniqueName="81" name="direct_sessions_that_completed_checkout" queryTableFieldId="116" dataDxfId="34" dataCellStyle="Comma [0]"/>
    <tableColumn id="82" xr3:uid="{3DB0A0A6-47B4-4667-BBC5-97D86574064E}" uniqueName="82" name="direct_conversion_rate" queryTableFieldId="117" dataDxfId="33" dataCellStyle="Comma [0]"/>
    <tableColumn id="83" xr3:uid="{123D30B7-395E-4999-A158-F3C2C3EB2304}" uniqueName="83" name="Total site_sessions" queryTableFieldId="118" dataDxfId="32" dataCellStyle="Comma [0]"/>
    <tableColumn id="84" xr3:uid="{FFF23D41-FF6E-4C0A-AFB3-C8F890AEC8FD}" uniqueName="84" name="Total site_sessions_that_completed_checkout" queryTableFieldId="119" dataDxfId="31" dataCellStyle="Comma [0]"/>
    <tableColumn id="85" xr3:uid="{265F5B07-6DF3-4595-AB56-2384461A9BA9}" uniqueName="85" name="Total site_conversion_rate" queryTableFieldId="120" dataDxfId="30" dataCellStyle="Comma [0]"/>
    <tableColumn id="86" xr3:uid="{DE36B51C-4CBD-47FD-9E95-40F53F90C895}" uniqueName="86" name="email_sessions" queryTableFieldId="121" dataDxfId="29" dataCellStyle="Comma [0]"/>
    <tableColumn id="87" xr3:uid="{8740E32B-DEC9-46CD-9ABA-05E2BE244BFD}" uniqueName="87" name="email_sessions_that_completed_checkout" queryTableFieldId="122" dataDxfId="28" dataCellStyle="Comma [0]"/>
    <tableColumn id="88" xr3:uid="{04D29792-E56F-48C0-99A6-2943D924D005}" uniqueName="88" name="email_conversion_rate" queryTableFieldId="123" dataDxfId="27" dataCellStyle="Comma [0]"/>
    <tableColumn id="36" xr3:uid="{6F702EA7-1213-4E72-820F-862023031D90}" uniqueName="36" name="GoogleAdsOperation.Cost" queryTableFieldId="45" dataDxfId="26" dataCellStyle="Comma [0]"/>
    <tableColumn id="37" xr3:uid="{4D2869A6-15CB-4F60-9EC1-3CF7EFF74842}" uniqueName="37" name="GoogleAdsOperation.Avg. Cpc" queryTableFieldId="46" dataDxfId="25" dataCellStyle="Comma [0]"/>
    <tableColumn id="38" xr3:uid="{96C87506-37D7-496C-8705-31C000068018}" uniqueName="38" name="GoogleAdsOperation.Ctr" queryTableFieldId="47" dataDxfId="24" dataCellStyle="Comma [0]"/>
    <tableColumn id="39" xr3:uid="{26BC4856-4900-45BF-BB82-8CC3B47FD133}" uniqueName="39" name="GoogleAdsOperation.Search Impr. share" queryTableFieldId="48" dataDxfId="23" dataCellStyle="Comma [0]"/>
    <tableColumn id="40" xr3:uid="{E55C4BDA-F180-471A-ABDF-9A5420B6F76F}" uniqueName="40" name="GoogleAdsOperation.Impressions" queryTableFieldId="49" dataDxfId="22" dataCellStyle="Comma [0]"/>
    <tableColumn id="41" xr3:uid="{98C5E91A-5FD9-4C3A-96BB-25C296838C45}" uniqueName="41" name="GoogleAdsOperation.Clicks" queryTableFieldId="50" dataDxfId="21" dataCellStyle="Comma [0]"/>
    <tableColumn id="9" xr3:uid="{368E6ED8-6780-4A43-8D15-C5004DA33214}" uniqueName="9" name="MetaAdsOperation.spend" queryTableFieldId="54" dataDxfId="20" dataCellStyle="Comma [0]"/>
    <tableColumn id="10" xr3:uid="{3CFB373C-6CAF-453C-A4B8-5CB96AF515B9}" uniqueName="10" name="MetaAdsOperation.clicks" queryTableFieldId="55" dataDxfId="19" dataCellStyle="Comma [0]"/>
    <tableColumn id="42" xr3:uid="{722927A4-6B6A-4BDD-BED3-65A7B33C6975}" uniqueName="42" name="MetaAdsOperation.impressions" queryTableFieldId="56" dataDxfId="18" dataCellStyle="Comma [0]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D608DE-7F26-4129-8BF9-EAB1D53CD66B}" name="SalesQSortBySourceProductDaily" displayName="SalesQSortBySourceProductDaily" ref="B5:H2842" tableType="queryTable" totalsRowShown="0">
  <autoFilter ref="B5:H2842" xr:uid="{EED608DE-7F26-4129-8BF9-EAB1D53CD66B}"/>
  <tableColumns count="7">
    <tableColumn id="7" xr3:uid="{3E96A959-F86C-4CE1-A6E6-FED51D44E6A1}" uniqueName="7" name="day" queryTableFieldId="8" dataDxfId="17" dataCellStyle="Comma [0]"/>
    <tableColumn id="2" xr3:uid="{F22ACC72-9ACB-4403-A2BE-CC97C678A584}" uniqueName="2" name="source" queryTableFieldId="2" dataDxfId="16"/>
    <tableColumn id="3" xr3:uid="{02F204E1-5C18-440D-B2C4-3740E9B6CE5A}" uniqueName="3" name="product_title" queryTableFieldId="3" dataDxfId="15"/>
    <tableColumn id="6" xr3:uid="{64B9547B-905F-4411-B470-E6F4AEFC1E1B}" uniqueName="6" name="new_or_returning_customer" queryTableFieldId="6" dataDxfId="14" dataCellStyle="Comma [0]"/>
    <tableColumn id="4" xr3:uid="{5F6689C1-DC87-4261-A8B1-C4AD53CCCE87}" uniqueName="4" name="quantity_ordered" queryTableFieldId="4" dataDxfId="13" dataCellStyle="Comma [0]"/>
    <tableColumn id="5" xr3:uid="{E471F6FF-FDAF-496F-B58C-892F856333BD}" uniqueName="5" name="net_sales" queryTableFieldId="5" dataDxfId="12" dataCellStyle="Comma [0]"/>
    <tableColumn id="1" xr3:uid="{5565A765-4F03-4C8C-B2BA-D36DD1A3EA44}" uniqueName="1" name="refresh_date" queryTableFieldId="10" dataDxfId="11" dataCellStyle="Comma [0]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70A396-3A81-46F0-96C4-6EA3493B0E1A}" name="SalesByUTMDaily" displayName="SalesByUTMDaily" ref="B5:L277" tableType="queryTable" totalsRowShown="0">
  <autoFilter ref="B5:L277" xr:uid="{C270A396-3A81-46F0-96C4-6EA3493B0E1A}"/>
  <tableColumns count="11">
    <tableColumn id="1" xr3:uid="{8E5F5F8D-AC7E-44C8-903F-67D975F79F24}" uniqueName="1" name="day" queryTableFieldId="1" dataDxfId="10"/>
    <tableColumn id="2" xr3:uid="{A0799E13-65FD-41D3-9C96-2BEF484160EA}" uniqueName="2" name="order_utm_campaign" queryTableFieldId="2" dataDxfId="9"/>
    <tableColumn id="3" xr3:uid="{78054F81-F7F2-4502-8B0C-6E02AB00F76D}" uniqueName="3" name="order_referrer_source" queryTableFieldId="3" dataDxfId="8"/>
    <tableColumn id="7" xr3:uid="{1E9BB8E3-BA23-4518-84D7-5025DEC42932}" uniqueName="7" name="Total_Sales_Combined" queryTableFieldId="7" dataDxfId="7" dataCellStyle="Comma [0]"/>
    <tableColumn id="11" xr3:uid="{8EF6BD2D-4E8D-4DD3-93D9-7E8730B68648}" uniqueName="11" name="refresh_date" queryTableFieldId="16" dataDxfId="6" dataCellStyle="Comma [0]"/>
    <tableColumn id="4" xr3:uid="{2A762B5B-3AD6-488D-A03F-33F92C3D8EA6}" uniqueName="4" name="google" queryTableFieldId="4" dataDxfId="5" dataCellStyle="Comma [0]"/>
    <tableColumn id="5" xr3:uid="{C93F05DD-40CF-4136-89EC-79071A37E5EA}" uniqueName="5" name="facebook" queryTableFieldId="5" dataDxfId="4" dataCellStyle="Comma [0]"/>
    <tableColumn id="6" xr3:uid="{AABB98F0-7E6A-430B-B77A-15B564DC53D1}" uniqueName="6" name="meta" queryTableFieldId="26" dataDxfId="3" dataCellStyle="Comma [0]"/>
    <tableColumn id="9" xr3:uid="{E44D0EF1-AE43-4E3D-9682-BB1E29DD7669}" uniqueName="9" name="Facebook2" queryTableFieldId="19" dataDxfId="2" dataCellStyle="Comma [0]"/>
    <tableColumn id="10" xr3:uid="{A9713E5E-29A1-4F7C-A1AF-C65EEFEC097E}" uniqueName="10" name="FACEBOOK3" queryTableFieldId="20" dataDxfId="1" dataCellStyle="Comma [0]"/>
    <tableColumn id="8" xr3:uid="{BF824CFA-4CA5-4B4E-BD7A-BB5AFC1FB558}" uniqueName="8" name="ig" queryTableFieldId="18" dataDxfId="0" dataCellStyle="Comma [0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emeGreen">
  <a:themeElements>
    <a:clrScheme name="Verde formal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265E35"/>
      </a:accent1>
      <a:accent2>
        <a:srgbClr val="333A56"/>
      </a:accent2>
      <a:accent3>
        <a:srgbClr val="773344"/>
      </a:accent3>
      <a:accent4>
        <a:srgbClr val="C0C5C1"/>
      </a:accent4>
      <a:accent5>
        <a:srgbClr val="7D8491"/>
      </a:accent5>
      <a:accent6>
        <a:srgbClr val="E35856"/>
      </a:accent6>
      <a:hlink>
        <a:srgbClr val="308DBB"/>
      </a:hlink>
      <a:folHlink>
        <a:srgbClr val="915B9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801F57-1FFF-4EB3-AC39-1FCE61D9B96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70b036a-1fdc-4f68-8960-45edeb46ae3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https://api.siigo.com/auth/token" TargetMode="External"/><Relationship Id="rId7" Type="http://schemas.openxmlformats.org/officeDocument/2006/relationships/table" Target="../tables/table6.xml"/><Relationship Id="rId2" Type="http://schemas.openxmlformats.org/officeDocument/2006/relationships/hyperlink" Target="mailto:info@escribana.co" TargetMode="External"/><Relationship Id="rId1" Type="http://schemas.openxmlformats.org/officeDocument/2006/relationships/hyperlink" Target="https://docs.google.com/spreadsheets/d/e/2PACX-1vSQrggw-k8uKnNPJUY9f8s4H-xsLgbuO9CVzMBBfV5taSvbSAFpZ15q3hgX4iKLvY-0tekM1b0XTZyp/pub?output=csv" TargetMode="Externa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21B3-1116-4FD2-93D1-E4062B135D82}">
  <sheetPr codeName="Sheet1"/>
  <dimension ref="B2:B28"/>
  <sheetViews>
    <sheetView showGridLines="0" workbookViewId="0">
      <selection activeCell="B8" sqref="B8"/>
    </sheetView>
  </sheetViews>
  <sheetFormatPr defaultRowHeight="12" x14ac:dyDescent="0.2"/>
  <cols>
    <col min="1" max="1" width="3.83203125" customWidth="1"/>
  </cols>
  <sheetData>
    <row r="2" spans="2:2" x14ac:dyDescent="0.2">
      <c r="B2" s="23" t="s">
        <v>670</v>
      </c>
    </row>
    <row r="3" spans="2:2" x14ac:dyDescent="0.2">
      <c r="B3" t="s">
        <v>671</v>
      </c>
    </row>
    <row r="4" spans="2:2" x14ac:dyDescent="0.2">
      <c r="B4" t="s">
        <v>672</v>
      </c>
    </row>
    <row r="5" spans="2:2" x14ac:dyDescent="0.2">
      <c r="B5" t="s">
        <v>673</v>
      </c>
    </row>
    <row r="7" spans="2:2" x14ac:dyDescent="0.2">
      <c r="B7" s="23" t="s">
        <v>674</v>
      </c>
    </row>
    <row r="8" spans="2:2" x14ac:dyDescent="0.2">
      <c r="B8" t="s">
        <v>675</v>
      </c>
    </row>
    <row r="9" spans="2:2" x14ac:dyDescent="0.2">
      <c r="B9" t="s">
        <v>676</v>
      </c>
    </row>
    <row r="10" spans="2:2" x14ac:dyDescent="0.2">
      <c r="B10" t="s">
        <v>677</v>
      </c>
    </row>
    <row r="12" spans="2:2" x14ac:dyDescent="0.2">
      <c r="B12" s="23" t="s">
        <v>134</v>
      </c>
    </row>
    <row r="13" spans="2:2" x14ac:dyDescent="0.2">
      <c r="B13" t="s">
        <v>122</v>
      </c>
    </row>
    <row r="14" spans="2:2" x14ac:dyDescent="0.2">
      <c r="B14" t="s">
        <v>123</v>
      </c>
    </row>
    <row r="15" spans="2:2" x14ac:dyDescent="0.2">
      <c r="B15" t="s">
        <v>124</v>
      </c>
    </row>
    <row r="16" spans="2:2" x14ac:dyDescent="0.2">
      <c r="B16" t="s">
        <v>125</v>
      </c>
    </row>
    <row r="18" spans="2:2" x14ac:dyDescent="0.2">
      <c r="B18" s="23" t="s">
        <v>135</v>
      </c>
    </row>
    <row r="19" spans="2:2" x14ac:dyDescent="0.2">
      <c r="B19" t="s">
        <v>126</v>
      </c>
    </row>
    <row r="20" spans="2:2" x14ac:dyDescent="0.2">
      <c r="B20" t="s">
        <v>127</v>
      </c>
    </row>
    <row r="21" spans="2:2" x14ac:dyDescent="0.2">
      <c r="B21" t="s">
        <v>128</v>
      </c>
    </row>
    <row r="22" spans="2:2" x14ac:dyDescent="0.2">
      <c r="B22" t="s">
        <v>129</v>
      </c>
    </row>
    <row r="24" spans="2:2" x14ac:dyDescent="0.2">
      <c r="B24" s="23" t="s">
        <v>136</v>
      </c>
    </row>
    <row r="25" spans="2:2" x14ac:dyDescent="0.2">
      <c r="B25" t="s">
        <v>130</v>
      </c>
    </row>
    <row r="26" spans="2:2" x14ac:dyDescent="0.2">
      <c r="B26" t="s">
        <v>131</v>
      </c>
    </row>
    <row r="27" spans="2:2" x14ac:dyDescent="0.2">
      <c r="B27" t="s">
        <v>132</v>
      </c>
    </row>
    <row r="28" spans="2:2" x14ac:dyDescent="0.2">
      <c r="B2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A178-57C4-45BE-98C8-F04F629A07BA}">
  <sheetPr codeName="Sheet2"/>
  <dimension ref="B1:AL33"/>
  <sheetViews>
    <sheetView showGridLines="0" topLeftCell="A4" workbookViewId="0">
      <selection activeCell="F2" sqref="F2"/>
    </sheetView>
  </sheetViews>
  <sheetFormatPr defaultRowHeight="12" outlineLevelRow="1" outlineLevelCol="1" x14ac:dyDescent="0.2"/>
  <cols>
    <col min="1" max="1" width="3.83203125" customWidth="1"/>
    <col min="2" max="2" width="12.1640625" customWidth="1"/>
    <col min="3" max="3" width="11.83203125" bestFit="1" customWidth="1"/>
    <col min="4" max="4" width="11.83203125" customWidth="1"/>
    <col min="5" max="5" width="14.1640625" customWidth="1"/>
    <col min="6" max="6" width="10" customWidth="1"/>
    <col min="7" max="7" width="14.1640625" customWidth="1"/>
    <col min="8" max="8" width="10" customWidth="1"/>
    <col min="9" max="9" width="14.1640625" customWidth="1" outlineLevel="1"/>
    <col min="10" max="10" width="10" customWidth="1" outlineLevel="1"/>
    <col min="11" max="11" width="14.1640625" customWidth="1" outlineLevel="1"/>
    <col min="12" max="12" width="10" customWidth="1" outlineLevel="1"/>
    <col min="13" max="13" width="14.1640625" customWidth="1" outlineLevel="1"/>
    <col min="14" max="14" width="10" customWidth="1" outlineLevel="1"/>
    <col min="15" max="15" width="14.1640625" customWidth="1" outlineLevel="1"/>
    <col min="16" max="16" width="10" customWidth="1" outlineLevel="1"/>
    <col min="17" max="22" width="12" customWidth="1"/>
    <col min="23" max="25" width="12.5" customWidth="1"/>
    <col min="26" max="26" width="12" customWidth="1"/>
    <col min="27" max="27" width="26.6640625" customWidth="1"/>
    <col min="28" max="37" width="15" customWidth="1"/>
    <col min="38" max="38" width="7.33203125" customWidth="1"/>
    <col min="39" max="39" width="23.1640625" customWidth="1"/>
    <col min="40" max="40" width="13" customWidth="1"/>
    <col min="41" max="41" width="13.83203125" customWidth="1"/>
    <col min="43" max="43" width="12.5" bestFit="1" customWidth="1"/>
    <col min="44" max="45" width="11.5" bestFit="1" customWidth="1"/>
  </cols>
  <sheetData>
    <row r="1" spans="2:38" x14ac:dyDescent="0.2">
      <c r="E1" s="17"/>
      <c r="F1">
        <f ca="1">E9/F9</f>
        <v>178192.40588328071</v>
      </c>
      <c r="G1" s="17"/>
      <c r="H1">
        <f ca="1">I9/E9</f>
        <v>0.2938261222531664</v>
      </c>
      <c r="I1" s="44">
        <f t="shared" ref="I1:P1" ca="1" si="0">I11/$E11</f>
        <v>0.16217436228803547</v>
      </c>
      <c r="J1" s="44">
        <f t="shared" ca="1" si="0"/>
        <v>1.1789686964198113E-6</v>
      </c>
      <c r="K1" s="44">
        <f t="shared" ca="1" si="0"/>
        <v>0.60291311717660712</v>
      </c>
      <c r="L1" s="44">
        <f t="shared" ca="1" si="0"/>
        <v>4.1684964623414763E-6</v>
      </c>
      <c r="M1" s="44">
        <f t="shared" ca="1" si="0"/>
        <v>2.1642732999077499E-2</v>
      </c>
      <c r="N1" s="44">
        <f t="shared" ca="1" si="0"/>
        <v>1.6842409948854448E-7</v>
      </c>
      <c r="O1" s="44">
        <f t="shared" ca="1" si="0"/>
        <v>0.21326978753627993</v>
      </c>
      <c r="P1" s="44">
        <f t="shared" ca="1" si="0"/>
        <v>7.017670812022687E-8</v>
      </c>
    </row>
    <row r="2" spans="2:38" x14ac:dyDescent="0.2">
      <c r="E2" s="17"/>
      <c r="F2" s="12">
        <f>F3/3500</f>
        <v>34285.714285714283</v>
      </c>
      <c r="G2" s="17"/>
      <c r="I2" s="44">
        <f t="shared" ref="I2:P2" ca="1" si="1">I12/$E12</f>
        <v>0.18227871085717581</v>
      </c>
      <c r="J2" s="44">
        <f t="shared" ca="1" si="1"/>
        <v>1.0693993183411492E-6</v>
      </c>
      <c r="K2" s="44">
        <f t="shared" ca="1" si="1"/>
        <v>0.53278144817722306</v>
      </c>
      <c r="L2" s="44">
        <f t="shared" ca="1" si="1"/>
        <v>3.7263605113330767E-6</v>
      </c>
      <c r="M2" s="44">
        <f t="shared" ca="1" si="1"/>
        <v>8.5233246830849901E-3</v>
      </c>
      <c r="N2" s="44">
        <f t="shared" ca="1" si="1"/>
        <v>1.2127208764693446E-7</v>
      </c>
      <c r="O2" s="44">
        <f t="shared" ca="1" si="1"/>
        <v>0.27641651628251618</v>
      </c>
      <c r="P2" s="44">
        <f t="shared" ca="1" si="1"/>
        <v>3.3074205721891212E-8</v>
      </c>
    </row>
    <row r="3" spans="2:38" ht="15" x14ac:dyDescent="0.2">
      <c r="B3" s="9" t="s">
        <v>120</v>
      </c>
      <c r="E3" s="17"/>
      <c r="F3">
        <v>120000000</v>
      </c>
      <c r="G3" s="17">
        <f ca="1">E9/3500</f>
        <v>64556.563045714269</v>
      </c>
      <c r="I3" s="44">
        <f ca="1">I13/$E13</f>
        <v>0.21851583856434018</v>
      </c>
      <c r="J3" s="44">
        <f t="shared" ref="J3:P3" ca="1" si="2">J13/$E13</f>
        <v>1.4526038772099073E-6</v>
      </c>
      <c r="K3" s="44">
        <f t="shared" ca="1" si="2"/>
        <v>0.71838388660164532</v>
      </c>
      <c r="L3" s="44">
        <f t="shared" ca="1" si="2"/>
        <v>4.8953894444554352E-6</v>
      </c>
      <c r="M3" s="44">
        <f t="shared" ca="1" si="2"/>
        <v>1.9751875811181124E-2</v>
      </c>
      <c r="N3" s="44">
        <f t="shared" ca="1" si="2"/>
        <v>3.0882129672966533E-7</v>
      </c>
      <c r="O3" s="44">
        <f t="shared" ca="1" si="2"/>
        <v>0</v>
      </c>
      <c r="P3" s="44">
        <f t="shared" ca="1" si="2"/>
        <v>0</v>
      </c>
      <c r="W3" t="s">
        <v>1512</v>
      </c>
    </row>
    <row r="5" spans="2:38" x14ac:dyDescent="0.2">
      <c r="E5" s="2" t="s">
        <v>2</v>
      </c>
      <c r="F5" s="2"/>
      <c r="G5" s="3" t="s">
        <v>1507</v>
      </c>
      <c r="H5" s="3"/>
      <c r="I5" s="22" t="s">
        <v>119</v>
      </c>
      <c r="J5" s="22"/>
      <c r="K5" s="21" t="s">
        <v>109</v>
      </c>
      <c r="L5" s="21"/>
      <c r="M5" s="20" t="s">
        <v>110</v>
      </c>
      <c r="N5" s="20"/>
      <c r="O5" s="19" t="s">
        <v>108</v>
      </c>
      <c r="P5" s="19"/>
      <c r="Q5" s="4" t="s">
        <v>6</v>
      </c>
      <c r="R5" s="4"/>
      <c r="S5" s="4" t="s">
        <v>7</v>
      </c>
      <c r="T5" s="4"/>
      <c r="U5" s="3" t="s">
        <v>713</v>
      </c>
      <c r="V5" s="3"/>
      <c r="W5" s="8" t="s">
        <v>9</v>
      </c>
      <c r="X5" s="8" t="s">
        <v>652</v>
      </c>
      <c r="Y5" s="8" t="s">
        <v>1529</v>
      </c>
      <c r="Z5" t="s">
        <v>30</v>
      </c>
    </row>
    <row r="6" spans="2:38" s="30" customFormat="1" ht="24" customHeight="1" x14ac:dyDescent="0.2">
      <c r="B6" s="26" t="s">
        <v>94</v>
      </c>
      <c r="C6" s="27" t="s">
        <v>92</v>
      </c>
      <c r="D6" s="27" t="s">
        <v>93</v>
      </c>
      <c r="E6" s="27" t="s">
        <v>34</v>
      </c>
      <c r="F6" s="27" t="s">
        <v>4</v>
      </c>
      <c r="G6" s="27" t="s">
        <v>3</v>
      </c>
      <c r="H6" s="27" t="s">
        <v>4</v>
      </c>
      <c r="I6" s="27" t="s">
        <v>3</v>
      </c>
      <c r="J6" s="27" t="s">
        <v>4</v>
      </c>
      <c r="K6" s="27" t="s">
        <v>3</v>
      </c>
      <c r="L6" s="27" t="s">
        <v>4</v>
      </c>
      <c r="M6" s="27" t="s">
        <v>3</v>
      </c>
      <c r="N6" s="27" t="s">
        <v>4</v>
      </c>
      <c r="O6" s="27" t="s">
        <v>3</v>
      </c>
      <c r="P6" s="27" t="s">
        <v>4</v>
      </c>
      <c r="Q6" s="27" t="s">
        <v>8</v>
      </c>
      <c r="R6" s="27" t="s">
        <v>3</v>
      </c>
      <c r="S6" s="27" t="s">
        <v>8</v>
      </c>
      <c r="T6" s="27" t="s">
        <v>3</v>
      </c>
      <c r="U6" s="27" t="s">
        <v>8</v>
      </c>
      <c r="V6" s="27" t="s">
        <v>3</v>
      </c>
      <c r="W6" s="27" t="s">
        <v>10</v>
      </c>
      <c r="X6" s="27" t="s">
        <v>11</v>
      </c>
      <c r="Y6" s="27" t="s">
        <v>1527</v>
      </c>
      <c r="Z6" s="27" t="s">
        <v>12</v>
      </c>
      <c r="AA6" s="27" t="s">
        <v>13</v>
      </c>
      <c r="AB6" s="27" t="s">
        <v>1052</v>
      </c>
      <c r="AC6" s="27" t="s">
        <v>1516</v>
      </c>
      <c r="AD6" s="27" t="s">
        <v>15</v>
      </c>
      <c r="AE6" s="27" t="s">
        <v>1513</v>
      </c>
      <c r="AF6" s="28" t="s">
        <v>1525</v>
      </c>
      <c r="AG6" s="28" t="s">
        <v>1526</v>
      </c>
      <c r="AH6" s="28" t="s">
        <v>18</v>
      </c>
      <c r="AI6" s="29" t="s">
        <v>96</v>
      </c>
      <c r="AJ6" s="29" t="s">
        <v>97</v>
      </c>
      <c r="AK6" s="29" t="s">
        <v>98</v>
      </c>
      <c r="AL6" s="29" t="s">
        <v>99</v>
      </c>
    </row>
    <row r="7" spans="2:38" outlineLevel="1" x14ac:dyDescent="0.2">
      <c r="B7" t="s">
        <v>94</v>
      </c>
      <c r="C7" t="s">
        <v>92</v>
      </c>
      <c r="D7" t="s">
        <v>93</v>
      </c>
      <c r="E7" t="s">
        <v>35</v>
      </c>
      <c r="F7" t="s">
        <v>19</v>
      </c>
      <c r="G7" t="s">
        <v>20</v>
      </c>
      <c r="H7" t="s">
        <v>21</v>
      </c>
      <c r="I7" t="s">
        <v>111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22</v>
      </c>
      <c r="R7" t="s">
        <v>23</v>
      </c>
      <c r="S7" t="s">
        <v>24</v>
      </c>
      <c r="T7" t="s">
        <v>25</v>
      </c>
      <c r="U7" t="s">
        <v>26</v>
      </c>
      <c r="V7" t="s">
        <v>27</v>
      </c>
      <c r="W7" t="s">
        <v>28</v>
      </c>
      <c r="X7" t="s">
        <v>29</v>
      </c>
      <c r="Y7" t="s">
        <v>1528</v>
      </c>
      <c r="Z7" t="s">
        <v>12</v>
      </c>
      <c r="AA7" t="s">
        <v>13</v>
      </c>
      <c r="AB7" t="s">
        <v>14</v>
      </c>
      <c r="AC7" t="s">
        <v>1515</v>
      </c>
      <c r="AD7" t="s">
        <v>15</v>
      </c>
      <c r="AE7" t="s">
        <v>16</v>
      </c>
      <c r="AF7" t="s">
        <v>1525</v>
      </c>
      <c r="AG7" t="s">
        <v>1526</v>
      </c>
      <c r="AH7" t="s">
        <v>18</v>
      </c>
      <c r="AI7" t="s">
        <v>95</v>
      </c>
      <c r="AJ7" t="s">
        <v>97</v>
      </c>
      <c r="AK7" t="s">
        <v>98</v>
      </c>
      <c r="AL7" t="s">
        <v>99</v>
      </c>
    </row>
    <row r="8" spans="2:38" x14ac:dyDescent="0.2">
      <c r="B8" s="16">
        <f ca="1">MONTH(TableMonthlySummary[[#This Row],[Hasta]])</f>
        <v>11</v>
      </c>
      <c r="C8" s="6">
        <f t="shared" ref="C8:C31" ca="1" si="3">_xlfn.LET(
    _xlpm.fechaini, ParamFechaInicioReporte,
    IF(ROW()=8, _xlpm.fechaini, EDATE(C7, 1))
)</f>
        <v>45969</v>
      </c>
      <c r="D8" s="6">
        <f ca="1">EOMONTH(TableMonthlySummary[[#This Row],[Desde]], 0)</f>
        <v>45991</v>
      </c>
      <c r="E8" s="12">
        <f ca="1">SUMIFS(TableDailySummary[Ventas netas totales],TableDailySummary[Fecha],"&gt;="&amp;TableMonthlySummary[[#This Row],[Desde]],TableDailySummary[Fecha],"&lt;="&amp;TableMonthlySummary[[#This Row],[Hasta]])</f>
        <v>140268715.5</v>
      </c>
      <c r="F8" s="12">
        <f ca="1">SUMIFS(TableDailySummary[Órdenes totales],TableDailySummary[Fecha],"&gt;="&amp;TableMonthlySummary[[#This Row],[Desde]],TableDailySummary[Fecha],"&lt;="&amp;TableMonthlySummary[[#This Row],[Hasta]])</f>
        <v>654</v>
      </c>
      <c r="G8" s="12">
        <f ca="1">SUMIFS(TableDailySummary[Ventas primer cliente],TableDailySummary[Fecha],"&gt;="&amp;TableMonthlySummary[[#This Row],[Desde]],TableDailySummary[Fecha],"&lt;="&amp;TableMonthlySummary[[#This Row],[Hasta]])</f>
        <v>73220489.719999999</v>
      </c>
      <c r="H8" s="12">
        <f ca="1">SUMIFS(TableDailySummary[Órdenes primer cliente],TableDailySummary[Fecha],"&gt;="&amp;TableMonthlySummary[[#This Row],[Desde]],TableDailySummary[Fecha],"&lt;="&amp;TableMonthlySummary[[#This Row],[Hasta]])</f>
        <v>322</v>
      </c>
      <c r="I8" s="12">
        <f ca="1">SUMIFS(TableDailySummary[Online Store_net_sales],TableDailySummary[Fecha],"&gt;="&amp;TableMonthlySummary[[#This Row],[Desde]],TableDailySummary[Fecha],"&lt;="&amp;TableMonthlySummary[[#This Row],[Hasta]])</f>
        <v>40496043.039999992</v>
      </c>
      <c r="J8" s="12">
        <f ca="1">SUMIFS(TableDailySummary[Online Store_orders],TableDailySummary[Fecha],"&gt;="&amp;TableMonthlySummary[[#This Row],[Desde]],TableDailySummary[Fecha],"&lt;="&amp;TableMonthlySummary[[#This Row],[Hasta]])</f>
        <v>183</v>
      </c>
      <c r="K8" s="12">
        <f ca="1">SUMIFS(TableDailySummary[Tienda 81_net_sales],TableDailySummary[Fecha],"&gt;="&amp;TableMonthlySummary[[#This Row],[Desde]],TableDailySummary[Fecha],"&lt;="&amp;TableMonthlySummary[[#This Row],[Hasta]])</f>
        <v>94617000.170000002</v>
      </c>
      <c r="L8" s="12">
        <f ca="1">SUMIFS(TableDailySummary[Tienda 81_orders],TableDailySummary[Fecha],"&gt;="&amp;TableMonthlySummary[[#This Row],[Desde]],TableDailySummary[Fecha],"&lt;="&amp;TableMonthlySummary[[#This Row],[Hasta]])</f>
        <v>452</v>
      </c>
      <c r="M8" s="12">
        <f ca="1">SUMIFS(TableDailySummary[Rappi_net_sales],TableDailySummary[Fecha],"&gt;="&amp;TableMonthlySummary[[#This Row],[Desde]],TableDailySummary[Fecha],"&lt;="&amp;TableMonthlySummary[[#This Row],[Hasta]])</f>
        <v>1327731.1099999999</v>
      </c>
      <c r="N8" s="12">
        <f ca="1">SUMIFS(TableDailySummary[Rappi_orders],TableDailySummary[Fecha],"&gt;="&amp;TableMonthlySummary[[#This Row],[Desde]],TableDailySummary[Fecha],"&lt;="&amp;TableMonthlySummary[[#This Row],[Hasta]])</f>
        <v>14</v>
      </c>
      <c r="O8" s="12">
        <f ca="1">SUMIFS(TableDailySummary[Corporativo no tienda_net_sales],TableDailySummary[Fecha],"&gt;="&amp;TableMonthlySummary[[#This Row],[Desde]],TableDailySummary[Fecha],"&lt;="&amp;TableMonthlySummary[[#This Row],[Hasta]])</f>
        <v>2984243.6999999997</v>
      </c>
      <c r="P8" s="12">
        <f ca="1">SUMIFS(TableDailySummary[Corporativo no tienda_orders],TableDailySummary[Fecha],"&gt;="&amp;TableMonthlySummary[[#This Row],[Desde]],TableDailySummary[Fecha],"&lt;="&amp;TableMonthlySummary[[#This Row],[Hasta]])</f>
        <v>2</v>
      </c>
      <c r="Q8" s="12">
        <f ca="1">SUMIFS(TableDailySummary[Inversión google ads],TableDailySummary[Fecha],"&gt;="&amp;TableMonthlySummary[[#This Row],[Desde]],TableDailySummary[Fecha],"&lt;="&amp;TableMonthlySummary[[#This Row],[Hasta]])</f>
        <v>1619623.3000000003</v>
      </c>
      <c r="R8" s="12">
        <f ca="1">SUMIFS(TableDailySummary[Ventas google ads],TableDailySummary[Fecha],"&gt;="&amp;TableMonthlySummary[[#This Row],[Desde]],TableDailySummary[Fecha],"&lt;="&amp;TableMonthlySummary[[#This Row],[Hasta]])</f>
        <v>2599001</v>
      </c>
      <c r="S8" s="12">
        <f ca="1">SUMIFS(TableDailySummary[Inversión meta ads],TableDailySummary[Fecha],"&gt;="&amp;TableMonthlySummary[[#This Row],[Desde]],TableDailySummary[Fecha],"&lt;="&amp;TableMonthlySummary[[#This Row],[Hasta]])</f>
        <v>1198522</v>
      </c>
      <c r="T8" s="12">
        <f ca="1">SUMIFS(TableDailySummary[Ventas meta ads],TableDailySummary[Fecha],"&gt;="&amp;TableMonthlySummary[[#This Row],[Desde]],TableDailySummary[Fecha],"&lt;="&amp;TableMonthlySummary[[#This Row],[Hasta]])</f>
        <v>1054500</v>
      </c>
      <c r="U8" s="12">
        <f ca="1">TableMonthlySummary[[#This Row],[Inversión google ads]]+TableMonthlySummary[[#This Row],[Inversión meta ads]]</f>
        <v>2818145.3000000003</v>
      </c>
      <c r="V8" s="12">
        <f ca="1">TableMonthlySummary[[#This Row],[Ventas google ads]]+TableMonthlySummary[[#This Row],[Ventas meta ads]]</f>
        <v>3653501</v>
      </c>
      <c r="W8" s="14">
        <f ca="1">IFERROR(TableMonthlySummary[[#This Row],[Ventas publicidad]]/TableMonthlySummary[[#This Row],[Inversión publicidad]],0)</f>
        <v>1.2964203797440819</v>
      </c>
      <c r="X8" s="14">
        <f ca="1">IFERROR(TableMonthlySummary[[#This Row],[Ventas primer cliente]]/TableMonthlySummary[[#This Row],[Inversión publicidad]],0)</f>
        <v>25.981800768044142</v>
      </c>
      <c r="Y8" s="14">
        <f ca="1">IFERROR(1/TableMonthlySummary[[#This Row],[Contribución %]],0)</f>
        <v>1.4512707995221534</v>
      </c>
      <c r="Z8" s="14"/>
      <c r="AA8" s="12"/>
      <c r="AB8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2818145.3000000003</v>
      </c>
      <c r="AC8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43616377.737685092</v>
      </c>
      <c r="AD8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43616377.737685092</v>
      </c>
      <c r="AE8" s="12">
        <f ca="1">SUMIFS(AccountingReport[costs_fixed],AccountingReport[period],TableMonthlySummary[[#This Row],[Desde]])</f>
        <v>0</v>
      </c>
      <c r="AF8" s="17">
        <f ca="1">TableMonthlySummary[[#This Row],[Ventas netas totales]]-TableMonthlySummary[[#This Row],[Costos variables totales]]-TableMonthlySummary[[#This Row],[Costos fijos]]</f>
        <v>96652337.762314916</v>
      </c>
      <c r="AG8" s="18">
        <f ca="1">IFERROR(TableMonthlySummary[[#This Row],[Contribución $]] / TableMonthlySummary[[#This Row],[Ventas netas totales]],0)</f>
        <v>0.68905127859615223</v>
      </c>
      <c r="AH8" s="12">
        <f ca="1">IFERROR(TableMonthlySummary[[#This Row],[Costos de publicidad totales]]/TableMonthlySummary[[#This Row],[Órdenes primer cliente]],0)</f>
        <v>8752.004037267081</v>
      </c>
      <c r="AI8" s="12">
        <f ca="1">SUMIFS(TableDailySummary[Ventas netas con costo registrado],TableDailySummary[Fecha],"&gt;="&amp;TableMonthlySummary[[#This Row],[Desde]],TableDailySummary[Fecha],"&lt;="&amp;TableMonthlySummary[[#This Row],[Hasta]])</f>
        <v>136337595.5</v>
      </c>
      <c r="AJ8" s="12">
        <f ca="1">SUMIFS(TableDailySummary[Costo de ventas registrado],TableDailySummary[Fecha],"&gt;="&amp;TableMonthlySummary[[#This Row],[Desde]],TableDailySummary[Fecha],"&lt;="&amp;TableMonthlySummary[[#This Row],[Hasta]])</f>
        <v>42394001</v>
      </c>
      <c r="AK8" s="12">
        <f ca="1">SUMIFS(TableDailySummary[Utilidad bruta],TableDailySummary[Fecha],"&gt;="&amp;TableMonthlySummary[[#This Row],[Desde]],TableDailySummary[Fecha],"&lt;="&amp;TableMonthlySummary[[#This Row],[Hasta]])</f>
        <v>93943594.499999985</v>
      </c>
      <c r="AL8" s="18">
        <f ca="1">IFERROR(TableMonthlySummary[[#This Row],[Utilidad bruta]]/TableMonthlySummary[[#This Row],[Ventas netas con costo registrado]],0)</f>
        <v>0.68905127859615201</v>
      </c>
    </row>
    <row r="9" spans="2:38" x14ac:dyDescent="0.2">
      <c r="B9" s="16">
        <f ca="1">MONTH(TableMonthlySummary[[#This Row],[Hasta]])</f>
        <v>12</v>
      </c>
      <c r="C9" s="6">
        <f t="shared" ca="1" si="3"/>
        <v>45999</v>
      </c>
      <c r="D9" s="6">
        <f ca="1">EOMONTH(TableMonthlySummary[[#This Row],[Desde]], 0)</f>
        <v>46022</v>
      </c>
      <c r="E9" s="12">
        <f ca="1">SUMIFS(TableDailySummary[Ventas netas totales],TableDailySummary[Fecha],"&gt;="&amp;TableMonthlySummary[[#This Row],[Desde]],TableDailySummary[Fecha],"&lt;="&amp;TableMonthlySummary[[#This Row],[Hasta]])</f>
        <v>225947970.65999994</v>
      </c>
      <c r="F9" s="12">
        <f ca="1">SUMIFS(TableDailySummary[Órdenes totales],TableDailySummary[Fecha],"&gt;="&amp;TableMonthlySummary[[#This Row],[Desde]],TableDailySummary[Fecha],"&lt;="&amp;TableMonthlySummary[[#This Row],[Hasta]])</f>
        <v>1268</v>
      </c>
      <c r="G9" s="12">
        <f ca="1">SUMIFS(TableDailySummary[Ventas primer cliente],TableDailySummary[Fecha],"&gt;="&amp;TableMonthlySummary[[#This Row],[Desde]],TableDailySummary[Fecha],"&lt;="&amp;TableMonthlySummary[[#This Row],[Hasta]])</f>
        <v>121748986.37</v>
      </c>
      <c r="H9" s="12">
        <f ca="1">SUMIFS(TableDailySummary[Órdenes primer cliente],TableDailySummary[Fecha],"&gt;="&amp;TableMonthlySummary[[#This Row],[Desde]],TableDailySummary[Fecha],"&lt;="&amp;TableMonthlySummary[[#This Row],[Hasta]])</f>
        <v>642</v>
      </c>
      <c r="I9" s="12">
        <f ca="1">SUMIFS(TableDailySummary[Online Store_net_sales],TableDailySummary[Fecha],"&gt;="&amp;TableMonthlySummary[[#This Row],[Desde]],TableDailySummary[Fecha],"&lt;="&amp;TableMonthlySummary[[#This Row],[Hasta]])</f>
        <v>66389416.049999997</v>
      </c>
      <c r="J9" s="12">
        <f ca="1">SUMIFS(TableDailySummary[Online Store_orders],TableDailySummary[Fecha],"&gt;="&amp;TableMonthlySummary[[#This Row],[Desde]],TableDailySummary[Fecha],"&lt;="&amp;TableMonthlySummary[[#This Row],[Hasta]])</f>
        <v>465</v>
      </c>
      <c r="K9" s="12">
        <f ca="1">SUMIFS(TableDailySummary[Tienda 81_net_sales],TableDailySummary[Fecha],"&gt;="&amp;TableMonthlySummary[[#This Row],[Desde]],TableDailySummary[Fecha],"&lt;="&amp;TableMonthlySummary[[#This Row],[Hasta]])</f>
        <v>104230100.77000003</v>
      </c>
      <c r="L9" s="12">
        <f ca="1">SUMIFS(TableDailySummary[Tienda 81_orders],TableDailySummary[Fecha],"&gt;="&amp;TableMonthlySummary[[#This Row],[Desde]],TableDailySummary[Fecha],"&lt;="&amp;TableMonthlySummary[[#This Row],[Hasta]])</f>
        <v>703</v>
      </c>
      <c r="M9" s="12">
        <f ca="1">SUMIFS(TableDailySummary[Rappi_net_sales],TableDailySummary[Fecha],"&gt;="&amp;TableMonthlySummary[[#This Row],[Desde]],TableDailySummary[Fecha],"&lt;="&amp;TableMonthlySummary[[#This Row],[Hasta]])</f>
        <v>2243697.48</v>
      </c>
      <c r="N9" s="12">
        <f ca="1">SUMIFS(TableDailySummary[Rappi_orders],TableDailySummary[Fecha],"&gt;="&amp;TableMonthlySummary[[#This Row],[Desde]],TableDailySummary[Fecha],"&lt;="&amp;TableMonthlySummary[[#This Row],[Hasta]])</f>
        <v>2</v>
      </c>
      <c r="O9" s="12">
        <f ca="1">SUMIFS(TableDailySummary[Corporativo no tienda_net_sales],TableDailySummary[Fecha],"&gt;="&amp;TableMonthlySummary[[#This Row],[Desde]],TableDailySummary[Fecha],"&lt;="&amp;TableMonthlySummary[[#This Row],[Hasta]])</f>
        <v>43989000</v>
      </c>
      <c r="P9" s="12">
        <f ca="1">SUMIFS(TableDailySummary[Corporativo no tienda_orders],TableDailySummary[Fecha],"&gt;="&amp;TableMonthlySummary[[#This Row],[Desde]],TableDailySummary[Fecha],"&lt;="&amp;TableMonthlySummary[[#This Row],[Hasta]])</f>
        <v>12</v>
      </c>
      <c r="Q9" s="12">
        <f ca="1">SUMIFS(TableDailySummary[Inversión google ads],TableDailySummary[Fecha],"&gt;="&amp;TableMonthlySummary[[#This Row],[Desde]],TableDailySummary[Fecha],"&lt;="&amp;TableMonthlySummary[[#This Row],[Hasta]])</f>
        <v>1258103.2400000002</v>
      </c>
      <c r="R9" s="12">
        <f ca="1">SUMIFS(TableDailySummary[Ventas google ads],TableDailySummary[Fecha],"&gt;="&amp;TableMonthlySummary[[#This Row],[Desde]],TableDailySummary[Fecha],"&lt;="&amp;TableMonthlySummary[[#This Row],[Hasta]])</f>
        <v>6836501</v>
      </c>
      <c r="S9" s="12">
        <f ca="1">SUMIFS(TableDailySummary[Inversión meta ads],TableDailySummary[Fecha],"&gt;="&amp;TableMonthlySummary[[#This Row],[Desde]],TableDailySummary[Fecha],"&lt;="&amp;TableMonthlySummary[[#This Row],[Hasta]])</f>
        <v>1248156</v>
      </c>
      <c r="T9" s="12">
        <f ca="1">SUMIFS(TableDailySummary[Ventas meta ads],TableDailySummary[Fecha],"&gt;="&amp;TableMonthlySummary[[#This Row],[Desde]],TableDailySummary[Fecha],"&lt;="&amp;TableMonthlySummary[[#This Row],[Hasta]])</f>
        <v>2037000</v>
      </c>
      <c r="U9" s="12">
        <f ca="1">TableMonthlySummary[[#This Row],[Inversión google ads]]+TableMonthlySummary[[#This Row],[Inversión meta ads]]</f>
        <v>2506259.2400000002</v>
      </c>
      <c r="V9" s="12">
        <f ca="1">TableMonthlySummary[[#This Row],[Ventas google ads]]+TableMonthlySummary[[#This Row],[Ventas meta ads]]</f>
        <v>8873501</v>
      </c>
      <c r="W9" s="14">
        <f ca="1">IFERROR(TableMonthlySummary[[#This Row],[Ventas publicidad]]/TableMonthlySummary[[#This Row],[Inversión publicidad]],0)</f>
        <v>3.5405359742434301</v>
      </c>
      <c r="X9" s="14">
        <f ca="1">IFERROR(TableMonthlySummary[[#This Row],[Ventas primer cliente]]/TableMonthlySummary[[#This Row],[Inversión publicidad]],0)</f>
        <v>48.577970078626024</v>
      </c>
      <c r="Y9" s="14">
        <f ca="1">IFERROR(1/TableMonthlySummary[[#This Row],[Contribución %]],0)</f>
        <v>1.4433022232373192</v>
      </c>
      <c r="Z9" s="14"/>
      <c r="AA9" s="12"/>
      <c r="AB9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2506259.2400000002</v>
      </c>
      <c r="AC9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69398658.241427049</v>
      </c>
      <c r="AD9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69398658.241427049</v>
      </c>
      <c r="AE9" s="12">
        <f ca="1">SUMIFS(AccountingReport[costs_fixed],AccountingReport[period],TableMonthlySummary[[#This Row],[Desde]])</f>
        <v>0</v>
      </c>
      <c r="AF9" s="17">
        <f ca="1">TableMonthlySummary[[#This Row],[Ventas netas totales]]-TableMonthlySummary[[#This Row],[Costos variables totales]]-TableMonthlySummary[[#This Row],[Costos fijos]]</f>
        <v>156549312.4185729</v>
      </c>
      <c r="AG9" s="18">
        <f ca="1">IFERROR(TableMonthlySummary[[#This Row],[Contribución $]] / TableMonthlySummary[[#This Row],[Ventas netas totales]],0)</f>
        <v>0.69285558069536213</v>
      </c>
      <c r="AH9" s="12">
        <f ca="1">IFERROR(TableMonthlySummary[[#This Row],[Costos de publicidad totales]]/TableMonthlySummary[[#This Row],[Órdenes primer cliente]],0)</f>
        <v>3903.8305919003119</v>
      </c>
      <c r="AI9" s="12">
        <f ca="1">SUMIFS(TableDailySummary[Ventas netas con costo registrado],TableDailySummary[Fecha],"&gt;="&amp;TableMonthlySummary[[#This Row],[Desde]],TableDailySummary[Fecha],"&lt;="&amp;TableMonthlySummary[[#This Row],[Hasta]])</f>
        <v>217263211.71999997</v>
      </c>
      <c r="AJ9" s="12">
        <f ca="1">SUMIFS(TableDailySummary[Costo de ventas registrado],TableDailySummary[Fecha],"&gt;="&amp;TableMonthlySummary[[#This Row],[Desde]],TableDailySummary[Fecha],"&lt;="&amp;TableMonthlySummary[[#This Row],[Hasta]])</f>
        <v>66731183</v>
      </c>
      <c r="AK9" s="12">
        <f ca="1">SUMIFS(TableDailySummary[Utilidad bruta],TableDailySummary[Fecha],"&gt;="&amp;TableMonthlySummary[[#This Row],[Desde]],TableDailySummary[Fecha],"&lt;="&amp;TableMonthlySummary[[#This Row],[Hasta]])</f>
        <v>150532028.72</v>
      </c>
      <c r="AL9" s="18">
        <f ca="1">IFERROR(TableMonthlySummary[[#This Row],[Utilidad bruta]]/TableMonthlySummary[[#This Row],[Ventas netas con costo registrado]],0)</f>
        <v>0.69285558069536224</v>
      </c>
    </row>
    <row r="10" spans="2:38" x14ac:dyDescent="0.2">
      <c r="B10" s="16">
        <f ca="1">MONTH(TableMonthlySummary[[#This Row],[Hasta]])</f>
        <v>1</v>
      </c>
      <c r="C10" s="6">
        <f t="shared" ca="1" si="3"/>
        <v>46030</v>
      </c>
      <c r="D10" s="6">
        <f ca="1">EOMONTH(TableMonthlySummary[[#This Row],[Desde]], 0)</f>
        <v>46053</v>
      </c>
      <c r="E10" s="12">
        <f ca="1">SUMIFS(TableDailySummary[Ventas netas totales],TableDailySummary[Fecha],"&gt;="&amp;TableMonthlySummary[[#This Row],[Desde]],TableDailySummary[Fecha],"&lt;="&amp;TableMonthlySummary[[#This Row],[Hasta]])</f>
        <v>53845019.469999999</v>
      </c>
      <c r="F10" s="12">
        <f ca="1">SUMIFS(TableDailySummary[Órdenes totales],TableDailySummary[Fecha],"&gt;="&amp;TableMonthlySummary[[#This Row],[Desde]],TableDailySummary[Fecha],"&lt;="&amp;TableMonthlySummary[[#This Row],[Hasta]])</f>
        <v>376</v>
      </c>
      <c r="G10" s="12">
        <f ca="1">SUMIFS(TableDailySummary[Ventas primer cliente],TableDailySummary[Fecha],"&gt;="&amp;TableMonthlySummary[[#This Row],[Desde]],TableDailySummary[Fecha],"&lt;="&amp;TableMonthlySummary[[#This Row],[Hasta]])</f>
        <v>22352000.050000001</v>
      </c>
      <c r="H10" s="12">
        <f ca="1">SUMIFS(TableDailySummary[Órdenes primer cliente],TableDailySummary[Fecha],"&gt;="&amp;TableMonthlySummary[[#This Row],[Desde]],TableDailySummary[Fecha],"&lt;="&amp;TableMonthlySummary[[#This Row],[Hasta]])</f>
        <v>150</v>
      </c>
      <c r="I10" s="12">
        <f ca="1">SUMIFS(TableDailySummary[Online Store_net_sales],TableDailySummary[Fecha],"&gt;="&amp;TableMonthlySummary[[#This Row],[Desde]],TableDailySummary[Fecha],"&lt;="&amp;TableMonthlySummary[[#This Row],[Hasta]])</f>
        <v>17103025.259999998</v>
      </c>
      <c r="J10" s="12">
        <f ca="1">SUMIFS(TableDailySummary[Online Store_orders],TableDailySummary[Fecha],"&gt;="&amp;TableMonthlySummary[[#This Row],[Desde]],TableDailySummary[Fecha],"&lt;="&amp;TableMonthlySummary[[#This Row],[Hasta]])</f>
        <v>111</v>
      </c>
      <c r="K10" s="12">
        <f ca="1">SUMIFS(TableDailySummary[Tienda 81_net_sales],TableDailySummary[Fecha],"&gt;="&amp;TableMonthlySummary[[#This Row],[Desde]],TableDailySummary[Fecha],"&lt;="&amp;TableMonthlySummary[[#This Row],[Hasta]])</f>
        <v>34447876.559999995</v>
      </c>
      <c r="L10" s="12">
        <f ca="1">SUMIFS(TableDailySummary[Tienda 81_orders],TableDailySummary[Fecha],"&gt;="&amp;TableMonthlySummary[[#This Row],[Desde]],TableDailySummary[Fecha],"&lt;="&amp;TableMonthlySummary[[#This Row],[Hasta]])</f>
        <v>259</v>
      </c>
      <c r="M10" s="12">
        <f ca="1">SUMIFS(TableDailySummary[Rappi_net_sales],TableDailySummary[Fecha],"&gt;="&amp;TableMonthlySummary[[#This Row],[Desde]],TableDailySummary[Fecha],"&lt;="&amp;TableMonthlySummary[[#This Row],[Hasta]])</f>
        <v>268907.56</v>
      </c>
      <c r="N10" s="12">
        <f ca="1">SUMIFS(TableDailySummary[Rappi_orders],TableDailySummary[Fecha],"&gt;="&amp;TableMonthlySummary[[#This Row],[Desde]],TableDailySummary[Fecha],"&lt;="&amp;TableMonthlySummary[[#This Row],[Hasta]])</f>
        <v>4</v>
      </c>
      <c r="O10" s="12">
        <f ca="1">SUMIFS(TableDailySummary[Corporativo no tienda_net_sales],TableDailySummary[Fecha],"&gt;="&amp;TableMonthlySummary[[#This Row],[Desde]],TableDailySummary[Fecha],"&lt;="&amp;TableMonthlySummary[[#This Row],[Hasta]])</f>
        <v>2025210.09</v>
      </c>
      <c r="P10" s="12">
        <f ca="1">SUMIFS(TableDailySummary[Corporativo no tienda_orders],TableDailySummary[Fecha],"&gt;="&amp;TableMonthlySummary[[#This Row],[Desde]],TableDailySummary[Fecha],"&lt;="&amp;TableMonthlySummary[[#This Row],[Hasta]])</f>
        <v>2</v>
      </c>
      <c r="Q10" s="12">
        <f ca="1">SUMIFS(TableDailySummary[Inversión google ads],TableDailySummary[Fecha],"&gt;="&amp;TableMonthlySummary[[#This Row],[Desde]],TableDailySummary[Fecha],"&lt;="&amp;TableMonthlySummary[[#This Row],[Hasta]])</f>
        <v>1182955.94</v>
      </c>
      <c r="R10" s="12">
        <f ca="1">SUMIFS(TableDailySummary[Ventas google ads],TableDailySummary[Fecha],"&gt;="&amp;TableMonthlySummary[[#This Row],[Desde]],TableDailySummary[Fecha],"&lt;="&amp;TableMonthlySummary[[#This Row],[Hasta]])</f>
        <v>1006000</v>
      </c>
      <c r="S10" s="12">
        <f ca="1">SUMIFS(TableDailySummary[Inversión meta ads],TableDailySummary[Fecha],"&gt;="&amp;TableMonthlySummary[[#This Row],[Desde]],TableDailySummary[Fecha],"&lt;="&amp;TableMonthlySummary[[#This Row],[Hasta]])</f>
        <v>1236717</v>
      </c>
      <c r="T10" s="12">
        <f ca="1">SUMIFS(TableDailySummary[Ventas meta ads],TableDailySummary[Fecha],"&gt;="&amp;TableMonthlySummary[[#This Row],[Desde]],TableDailySummary[Fecha],"&lt;="&amp;TableMonthlySummary[[#This Row],[Hasta]])</f>
        <v>1528000</v>
      </c>
      <c r="U10" s="12">
        <f ca="1">TableMonthlySummary[[#This Row],[Inversión google ads]]+TableMonthlySummary[[#This Row],[Inversión meta ads]]</f>
        <v>2419672.94</v>
      </c>
      <c r="V10" s="12">
        <f ca="1">TableMonthlySummary[[#This Row],[Ventas google ads]]+TableMonthlySummary[[#This Row],[Ventas meta ads]]</f>
        <v>2534000</v>
      </c>
      <c r="W10" s="14">
        <f ca="1">IFERROR(TableMonthlySummary[[#This Row],[Ventas publicidad]]/TableMonthlySummary[[#This Row],[Inversión publicidad]],0)</f>
        <v>1.0472489724169085</v>
      </c>
      <c r="X10" s="14">
        <f ca="1">IFERROR(TableMonthlySummary[[#This Row],[Ventas primer cliente]]/TableMonthlySummary[[#This Row],[Inversión publicidad]],0)</f>
        <v>9.237612108849719</v>
      </c>
      <c r="Y10" s="14">
        <f ca="1">IFERROR(1/TableMonthlySummary[[#This Row],[Contribución %]],0)</f>
        <v>1.4302078684871544</v>
      </c>
      <c r="Z10" s="14"/>
      <c r="AA10" s="12"/>
      <c r="AB10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2419672.94</v>
      </c>
      <c r="AC10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16196632.367392186</v>
      </c>
      <c r="AD10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16196632.367392186</v>
      </c>
      <c r="AE10" s="12">
        <f ca="1">SUMIFS(AccountingReport[costs_fixed],AccountingReport[period],TableMonthlySummary[[#This Row],[Desde]])</f>
        <v>0</v>
      </c>
      <c r="AF10" s="17">
        <f ca="1">TableMonthlySummary[[#This Row],[Ventas netas totales]]-TableMonthlySummary[[#This Row],[Costos variables totales]]-TableMonthlySummary[[#This Row],[Costos fijos]]</f>
        <v>37648387.102607816</v>
      </c>
      <c r="AG10" s="18">
        <f ca="1">IFERROR(TableMonthlySummary[[#This Row],[Contribución $]] / TableMonthlySummary[[#This Row],[Ventas netas totales]],0)</f>
        <v>0.6991990619222227</v>
      </c>
      <c r="AH10" s="12">
        <f ca="1">IFERROR(TableMonthlySummary[[#This Row],[Costos de publicidad totales]]/TableMonthlySummary[[#This Row],[Órdenes primer cliente]],0)</f>
        <v>16131.152933333333</v>
      </c>
      <c r="AI10" s="12">
        <f ca="1">SUMIFS(TableDailySummary[Ventas netas con costo registrado],TableDailySummary[Fecha],"&gt;="&amp;TableMonthlySummary[[#This Row],[Desde]],TableDailySummary[Fecha],"&lt;="&amp;TableMonthlySummary[[#This Row],[Hasta]])</f>
        <v>50506345.149999999</v>
      </c>
      <c r="AJ10" s="12">
        <f ca="1">SUMIFS(TableDailySummary[Costo de ventas registrado],TableDailySummary[Fecha],"&gt;="&amp;TableMonthlySummary[[#This Row],[Desde]],TableDailySummary[Fecha],"&lt;="&amp;TableMonthlySummary[[#This Row],[Hasta]])</f>
        <v>15192356</v>
      </c>
      <c r="AK10" s="12">
        <f ca="1">SUMIFS(TableDailySummary[Utilidad bruta],TableDailySummary[Fecha],"&gt;="&amp;TableMonthlySummary[[#This Row],[Desde]],TableDailySummary[Fecha],"&lt;="&amp;TableMonthlySummary[[#This Row],[Hasta]])</f>
        <v>35313989.149999999</v>
      </c>
      <c r="AL10" s="18">
        <f ca="1">IFERROR(TableMonthlySummary[[#This Row],[Utilidad bruta]]/TableMonthlySummary[[#This Row],[Ventas netas con costo registrado]],0)</f>
        <v>0.6991990619222227</v>
      </c>
    </row>
    <row r="11" spans="2:38" x14ac:dyDescent="0.2">
      <c r="B11" s="16">
        <f ca="1">MONTH(TableMonthlySummary[[#This Row],[Hasta]])</f>
        <v>2</v>
      </c>
      <c r="C11" s="6">
        <f t="shared" ca="1" si="3"/>
        <v>46061</v>
      </c>
      <c r="D11" s="6">
        <f ca="1">EOMONTH(TableMonthlySummary[[#This Row],[Desde]], 0)</f>
        <v>46081</v>
      </c>
      <c r="E11" s="12">
        <f ca="1">SUMIFS(TableDailySummary[Ventas netas totales],TableDailySummary[Fecha],"&gt;="&amp;TableMonthlySummary[[#This Row],[Desde]],TableDailySummary[Fecha],"&lt;="&amp;TableMonthlySummary[[#This Row],[Hasta]])</f>
        <v>71248711.060000002</v>
      </c>
      <c r="F11" s="12">
        <f ca="1">SUMIFS(TableDailySummary[Órdenes totales],TableDailySummary[Fecha],"&gt;="&amp;TableMonthlySummary[[#This Row],[Desde]],TableDailySummary[Fecha],"&lt;="&amp;TableMonthlySummary[[#This Row],[Hasta]])</f>
        <v>398</v>
      </c>
      <c r="G11" s="12">
        <f ca="1">SUMIFS(TableDailySummary[Ventas primer cliente],TableDailySummary[Fecha],"&gt;="&amp;TableMonthlySummary[[#This Row],[Desde]],TableDailySummary[Fecha],"&lt;="&amp;TableMonthlySummary[[#This Row],[Hasta]])</f>
        <v>28053706.77</v>
      </c>
      <c r="H11" s="12">
        <f ca="1">SUMIFS(TableDailySummary[Órdenes primer cliente],TableDailySummary[Fecha],"&gt;="&amp;TableMonthlySummary[[#This Row],[Desde]],TableDailySummary[Fecha],"&lt;="&amp;TableMonthlySummary[[#This Row],[Hasta]])</f>
        <v>166</v>
      </c>
      <c r="I11" s="12">
        <f ca="1">SUMIFS(TableDailySummary[Online Store_net_sales],TableDailySummary[Fecha],"&gt;="&amp;TableMonthlySummary[[#This Row],[Desde]],TableDailySummary[Fecha],"&lt;="&amp;TableMonthlySummary[[#This Row],[Hasta]])</f>
        <v>11554714.279999999</v>
      </c>
      <c r="J11" s="12">
        <f ca="1">SUMIFS(TableDailySummary[Online Store_orders],TableDailySummary[Fecha],"&gt;="&amp;TableMonthlySummary[[#This Row],[Desde]],TableDailySummary[Fecha],"&lt;="&amp;TableMonthlySummary[[#This Row],[Hasta]])</f>
        <v>84</v>
      </c>
      <c r="K11" s="12">
        <f ca="1">SUMIFS(TableDailySummary[Tienda 81_net_sales],TableDailySummary[Fecha],"&gt;="&amp;TableMonthlySummary[[#This Row],[Desde]],TableDailySummary[Fecha],"&lt;="&amp;TableMonthlySummary[[#This Row],[Hasta]])</f>
        <v>42956782.480000004</v>
      </c>
      <c r="L11" s="12">
        <f ca="1">SUMIFS(TableDailySummary[Tienda 81_orders],TableDailySummary[Fecha],"&gt;="&amp;TableMonthlySummary[[#This Row],[Desde]],TableDailySummary[Fecha],"&lt;="&amp;TableMonthlySummary[[#This Row],[Hasta]])</f>
        <v>297</v>
      </c>
      <c r="M11" s="12">
        <f ca="1">SUMIFS(TableDailySummary[Rappi_net_sales],TableDailySummary[Fecha],"&gt;="&amp;TableMonthlySummary[[#This Row],[Desde]],TableDailySummary[Fecha],"&lt;="&amp;TableMonthlySummary[[#This Row],[Hasta]])</f>
        <v>1542016.83</v>
      </c>
      <c r="N11" s="12">
        <f ca="1">SUMIFS(TableDailySummary[Rappi_orders],TableDailySummary[Fecha],"&gt;="&amp;TableMonthlySummary[[#This Row],[Desde]],TableDailySummary[Fecha],"&lt;="&amp;TableMonthlySummary[[#This Row],[Hasta]])</f>
        <v>12</v>
      </c>
      <c r="O11" s="12">
        <f ca="1">SUMIFS(TableDailySummary[Corporativo no tienda_net_sales],TableDailySummary[Fecha],"&gt;="&amp;TableMonthlySummary[[#This Row],[Desde]],TableDailySummary[Fecha],"&lt;="&amp;TableMonthlySummary[[#This Row],[Hasta]])</f>
        <v>15195197.469999999</v>
      </c>
      <c r="P11" s="12">
        <f ca="1">SUMIFS(TableDailySummary[Corporativo no tienda_orders],TableDailySummary[Fecha],"&gt;="&amp;TableMonthlySummary[[#This Row],[Desde]],TableDailySummary[Fecha],"&lt;="&amp;TableMonthlySummary[[#This Row],[Hasta]])</f>
        <v>5</v>
      </c>
      <c r="Q11" s="12">
        <f ca="1">SUMIFS(TableDailySummary[Inversión google ads],TableDailySummary[Fecha],"&gt;="&amp;TableMonthlySummary[[#This Row],[Desde]],TableDailySummary[Fecha],"&lt;="&amp;TableMonthlySummary[[#This Row],[Hasta]])</f>
        <v>672865.79999999993</v>
      </c>
      <c r="R11" s="12">
        <f ca="1">SUMIFS(TableDailySummary[Ventas google ads],TableDailySummary[Fecha],"&gt;="&amp;TableMonthlySummary[[#This Row],[Desde]],TableDailySummary[Fecha],"&lt;="&amp;TableMonthlySummary[[#This Row],[Hasta]])</f>
        <v>3545300</v>
      </c>
      <c r="S11" s="12">
        <f ca="1">SUMIFS(TableDailySummary[Inversión meta ads],TableDailySummary[Fecha],"&gt;="&amp;TableMonthlySummary[[#This Row],[Desde]],TableDailySummary[Fecha],"&lt;="&amp;TableMonthlySummary[[#This Row],[Hasta]])</f>
        <v>1085883</v>
      </c>
      <c r="T11" s="12">
        <f ca="1">SUMIFS(TableDailySummary[Ventas meta ads],TableDailySummary[Fecha],"&gt;="&amp;TableMonthlySummary[[#This Row],[Desde]],TableDailySummary[Fecha],"&lt;="&amp;TableMonthlySummary[[#This Row],[Hasta]])</f>
        <v>615000</v>
      </c>
      <c r="U11" s="12">
        <f ca="1">TableMonthlySummary[[#This Row],[Inversión google ads]]+TableMonthlySummary[[#This Row],[Inversión meta ads]]</f>
        <v>1758748.7999999998</v>
      </c>
      <c r="V11" s="12">
        <f ca="1">TableMonthlySummary[[#This Row],[Ventas google ads]]+TableMonthlySummary[[#This Row],[Ventas meta ads]]</f>
        <v>4160300</v>
      </c>
      <c r="W11" s="14">
        <f ca="1">IFERROR(TableMonthlySummary[[#This Row],[Ventas publicidad]]/TableMonthlySummary[[#This Row],[Inversión publicidad]],0)</f>
        <v>2.3654884654363375</v>
      </c>
      <c r="X11" s="14">
        <f ca="1">IFERROR(TableMonthlySummary[[#This Row],[Ventas primer cliente]]/TableMonthlySummary[[#This Row],[Inversión publicidad]],0)</f>
        <v>15.950945791690094</v>
      </c>
      <c r="Y11" s="14">
        <f ca="1">IFERROR(1/TableMonthlySummary[[#This Row],[Contribución %]],0)</f>
        <v>1.4450367188203892</v>
      </c>
      <c r="Z11" s="14"/>
      <c r="AA11" s="12"/>
      <c r="AB11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1758748.7999999998</v>
      </c>
      <c r="AC11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21942897.489974126</v>
      </c>
      <c r="AD11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21942897.489974126</v>
      </c>
      <c r="AE11" s="12">
        <f ca="1">SUMIFS(AccountingReport[costs_fixed],AccountingReport[period],TableMonthlySummary[[#This Row],[Desde]])</f>
        <v>0</v>
      </c>
      <c r="AF11" s="17">
        <f ca="1">TableMonthlySummary[[#This Row],[Ventas netas totales]]-TableMonthlySummary[[#This Row],[Costos variables totales]]-TableMonthlySummary[[#This Row],[Costos fijos]]</f>
        <v>49305813.570025876</v>
      </c>
      <c r="AG11" s="18">
        <f ca="1">IFERROR(TableMonthlySummary[[#This Row],[Contribución $]] / TableMonthlySummary[[#This Row],[Ventas netas totales]],0)</f>
        <v>0.69202393750680535</v>
      </c>
      <c r="AH11" s="12">
        <f ca="1">IFERROR(TableMonthlySummary[[#This Row],[Costos de publicidad totales]]/TableMonthlySummary[[#This Row],[Órdenes primer cliente]],0)</f>
        <v>10594.872289156625</v>
      </c>
      <c r="AI11" s="12">
        <f ca="1">SUMIFS(TableDailySummary[Ventas netas con costo registrado],TableDailySummary[Fecha],"&gt;="&amp;TableMonthlySummary[[#This Row],[Desde]],TableDailySummary[Fecha],"&lt;="&amp;TableMonthlySummary[[#This Row],[Hasta]])</f>
        <v>70612189.219999999</v>
      </c>
      <c r="AJ11" s="12">
        <f ca="1">SUMIFS(TableDailySummary[Costo de ventas registrado],TableDailySummary[Fecha],"&gt;="&amp;TableMonthlySummary[[#This Row],[Desde]],TableDailySummary[Fecha],"&lt;="&amp;TableMonthlySummary[[#This Row],[Hasta]])</f>
        <v>21746864</v>
      </c>
      <c r="AK11" s="12">
        <f ca="1">SUMIFS(TableDailySummary[Utilidad bruta],TableDailySummary[Fecha],"&gt;="&amp;TableMonthlySummary[[#This Row],[Desde]],TableDailySummary[Fecha],"&lt;="&amp;TableMonthlySummary[[#This Row],[Hasta]])</f>
        <v>48865325.219999999</v>
      </c>
      <c r="AL11" s="18">
        <f ca="1">IFERROR(TableMonthlySummary[[#This Row],[Utilidad bruta]]/TableMonthlySummary[[#This Row],[Ventas netas con costo registrado]],0)</f>
        <v>0.69202393750680546</v>
      </c>
    </row>
    <row r="12" spans="2:38" x14ac:dyDescent="0.2">
      <c r="B12" s="16">
        <f ca="1">MONTH(TableMonthlySummary[[#This Row],[Hasta]])</f>
        <v>3</v>
      </c>
      <c r="C12" s="6">
        <f t="shared" ca="1" si="3"/>
        <v>46089</v>
      </c>
      <c r="D12" s="6">
        <f ca="1">EOMONTH(TableMonthlySummary[[#This Row],[Desde]], 0)</f>
        <v>46112</v>
      </c>
      <c r="E12" s="12">
        <f ca="1">SUMIFS(TableDailySummary[Ventas netas totales],TableDailySummary[Fecha],"&gt;="&amp;TableMonthlySummary[[#This Row],[Desde]],TableDailySummary[Fecha],"&lt;="&amp;TableMonthlySummary[[#This Row],[Hasta]])</f>
        <v>90705126.079999998</v>
      </c>
      <c r="F12" s="12">
        <f ca="1">SUMIFS(TableDailySummary[Órdenes totales],TableDailySummary[Fecha],"&gt;="&amp;TableMonthlySummary[[#This Row],[Desde]],TableDailySummary[Fecha],"&lt;="&amp;TableMonthlySummary[[#This Row],[Hasta]])</f>
        <v>449</v>
      </c>
      <c r="G12" s="12">
        <f ca="1">SUMIFS(TableDailySummary[Ventas primer cliente],TableDailySummary[Fecha],"&gt;="&amp;TableMonthlySummary[[#This Row],[Desde]],TableDailySummary[Fecha],"&lt;="&amp;TableMonthlySummary[[#This Row],[Hasta]])</f>
        <v>48420991.580000006</v>
      </c>
      <c r="H12" s="12">
        <f ca="1">SUMIFS(TableDailySummary[Órdenes primer cliente],TableDailySummary[Fecha],"&gt;="&amp;TableMonthlySummary[[#This Row],[Desde]],TableDailySummary[Fecha],"&lt;="&amp;TableMonthlySummary[[#This Row],[Hasta]])</f>
        <v>157</v>
      </c>
      <c r="I12" s="12">
        <f ca="1">SUMIFS(TableDailySummary[Online Store_net_sales],TableDailySummary[Fecha],"&gt;="&amp;TableMonthlySummary[[#This Row],[Desde]],TableDailySummary[Fecha],"&lt;="&amp;TableMonthlySummary[[#This Row],[Hasta]])</f>
        <v>16533613.449999997</v>
      </c>
      <c r="J12" s="12">
        <f ca="1">SUMIFS(TableDailySummary[Online Store_orders],TableDailySummary[Fecha],"&gt;="&amp;TableMonthlySummary[[#This Row],[Desde]],TableDailySummary[Fecha],"&lt;="&amp;TableMonthlySummary[[#This Row],[Hasta]])</f>
        <v>97</v>
      </c>
      <c r="K12" s="12">
        <f ca="1">SUMIFS(TableDailySummary[Tienda 81_net_sales],TableDailySummary[Fecha],"&gt;="&amp;TableMonthlySummary[[#This Row],[Desde]],TableDailySummary[Fecha],"&lt;="&amp;TableMonthlySummary[[#This Row],[Hasta]])</f>
        <v>48326008.43</v>
      </c>
      <c r="L12" s="12">
        <f ca="1">SUMIFS(TableDailySummary[Tienda 81_orders],TableDailySummary[Fecha],"&gt;="&amp;TableMonthlySummary[[#This Row],[Desde]],TableDailySummary[Fecha],"&lt;="&amp;TableMonthlySummary[[#This Row],[Hasta]])</f>
        <v>338</v>
      </c>
      <c r="M12" s="12">
        <f ca="1">SUMIFS(TableDailySummary[Rappi_net_sales],TableDailySummary[Fecha],"&gt;="&amp;TableMonthlySummary[[#This Row],[Desde]],TableDailySummary[Fecha],"&lt;="&amp;TableMonthlySummary[[#This Row],[Hasta]])</f>
        <v>773109.24</v>
      </c>
      <c r="N12" s="12">
        <f ca="1">SUMIFS(TableDailySummary[Rappi_orders],TableDailySummary[Fecha],"&gt;="&amp;TableMonthlySummary[[#This Row],[Desde]],TableDailySummary[Fecha],"&lt;="&amp;TableMonthlySummary[[#This Row],[Hasta]])</f>
        <v>11</v>
      </c>
      <c r="O12" s="12">
        <f ca="1">SUMIFS(TableDailySummary[Corporativo no tienda_net_sales],TableDailySummary[Fecha],"&gt;="&amp;TableMonthlySummary[[#This Row],[Desde]],TableDailySummary[Fecha],"&lt;="&amp;TableMonthlySummary[[#This Row],[Hasta]])</f>
        <v>25072394.960000001</v>
      </c>
      <c r="P12" s="12">
        <f ca="1">SUMIFS(TableDailySummary[Corporativo no tienda_orders],TableDailySummary[Fecha],"&gt;="&amp;TableMonthlySummary[[#This Row],[Desde]],TableDailySummary[Fecha],"&lt;="&amp;TableMonthlySummary[[#This Row],[Hasta]])</f>
        <v>3</v>
      </c>
      <c r="Q12" s="12">
        <f ca="1">SUMIFS(TableDailySummary[Inversión google ads],TableDailySummary[Fecha],"&gt;="&amp;TableMonthlySummary[[#This Row],[Desde]],TableDailySummary[Fecha],"&lt;="&amp;TableMonthlySummary[[#This Row],[Hasta]])</f>
        <v>1165500.8999999999</v>
      </c>
      <c r="R12" s="12">
        <f ca="1">SUMIFS(TableDailySummary[Ventas google ads],TableDailySummary[Fecha],"&gt;="&amp;TableMonthlySummary[[#This Row],[Desde]],TableDailySummary[Fecha],"&lt;="&amp;TableMonthlySummary[[#This Row],[Hasta]])</f>
        <v>2361000</v>
      </c>
      <c r="S12" s="12">
        <f ca="1">SUMIFS(TableDailySummary[Inversión meta ads],TableDailySummary[Fecha],"&gt;="&amp;TableMonthlySummary[[#This Row],[Desde]],TableDailySummary[Fecha],"&lt;="&amp;TableMonthlySummary[[#This Row],[Hasta]])</f>
        <v>1249012</v>
      </c>
      <c r="T12" s="12">
        <f ca="1">SUMIFS(TableDailySummary[Ventas meta ads],TableDailySummary[Fecha],"&gt;="&amp;TableMonthlySummary[[#This Row],[Desde]],TableDailySummary[Fecha],"&lt;="&amp;TableMonthlySummary[[#This Row],[Hasta]])</f>
        <v>573000</v>
      </c>
      <c r="U12" s="12">
        <f ca="1">TableMonthlySummary[[#This Row],[Inversión google ads]]+TableMonthlySummary[[#This Row],[Inversión meta ads]]</f>
        <v>2414512.9</v>
      </c>
      <c r="V12" s="12">
        <f ca="1">TableMonthlySummary[[#This Row],[Ventas google ads]]+TableMonthlySummary[[#This Row],[Ventas meta ads]]</f>
        <v>2934000</v>
      </c>
      <c r="W12" s="14">
        <f ca="1">IFERROR(TableMonthlySummary[[#This Row],[Ventas publicidad]]/TableMonthlySummary[[#This Row],[Inversión publicidad]],0)</f>
        <v>1.2151519256741183</v>
      </c>
      <c r="X12" s="14">
        <f ca="1">IFERROR(TableMonthlySummary[[#This Row],[Ventas primer cliente]]/TableMonthlySummary[[#This Row],[Inversión publicidad]],0)</f>
        <v>20.054144908482371</v>
      </c>
      <c r="Y12" s="14">
        <f ca="1">IFERROR(1/TableMonthlySummary[[#This Row],[Contribución %]],0)</f>
        <v>1.6407386347895307</v>
      </c>
      <c r="Z12" s="14"/>
      <c r="AA12" s="12"/>
      <c r="AB12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2414512.9</v>
      </c>
      <c r="AC12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35422021.16814705</v>
      </c>
      <c r="AD12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35422021.16814705</v>
      </c>
      <c r="AE12" s="12">
        <f ca="1">SUMIFS(AccountingReport[costs_fixed],AccountingReport[period],TableMonthlySummary[[#This Row],[Desde]])</f>
        <v>0</v>
      </c>
      <c r="AF12" s="17">
        <f ca="1">TableMonthlySummary[[#This Row],[Ventas netas totales]]-TableMonthlySummary[[#This Row],[Costos variables totales]]-TableMonthlySummary[[#This Row],[Costos fijos]]</f>
        <v>55283104.911852948</v>
      </c>
      <c r="AG12" s="18">
        <f ca="1">IFERROR(TableMonthlySummary[[#This Row],[Contribución $]] / TableMonthlySummary[[#This Row],[Ventas netas totales]],0)</f>
        <v>0.609481594933173</v>
      </c>
      <c r="AH12" s="12">
        <f ca="1">IFERROR(TableMonthlySummary[[#This Row],[Costos de publicidad totales]]/TableMonthlySummary[[#This Row],[Órdenes primer cliente]],0)</f>
        <v>15379.06305732484</v>
      </c>
      <c r="AI12" s="12">
        <f ca="1">SUMIFS(TableDailySummary[Ventas netas con costo registrado],TableDailySummary[Fecha],"&gt;="&amp;TableMonthlySummary[[#This Row],[Desde]],TableDailySummary[Fecha],"&lt;="&amp;TableMonthlySummary[[#This Row],[Hasta]])</f>
        <v>89388739.550000012</v>
      </c>
      <c r="AJ12" s="12">
        <f ca="1">SUMIFS(TableDailySummary[Costo de ventas registrado],TableDailySummary[Fecha],"&gt;="&amp;TableMonthlySummary[[#This Row],[Desde]],TableDailySummary[Fecha],"&lt;="&amp;TableMonthlySummary[[#This Row],[Hasta]])</f>
        <v>34907948</v>
      </c>
      <c r="AK12" s="12">
        <f ca="1">SUMIFS(TableDailySummary[Utilidad bruta],TableDailySummary[Fecha],"&gt;="&amp;TableMonthlySummary[[#This Row],[Desde]],TableDailySummary[Fecha],"&lt;="&amp;TableMonthlySummary[[#This Row],[Hasta]])</f>
        <v>54480791.550000012</v>
      </c>
      <c r="AL12" s="18">
        <f ca="1">IFERROR(TableMonthlySummary[[#This Row],[Utilidad bruta]]/TableMonthlySummary[[#This Row],[Ventas netas con costo registrado]],0)</f>
        <v>0.609481594933173</v>
      </c>
    </row>
    <row r="13" spans="2:38" x14ac:dyDescent="0.2">
      <c r="B13" s="16">
        <f ca="1">MONTH(TableMonthlySummary[[#This Row],[Hasta]])</f>
        <v>4</v>
      </c>
      <c r="C13" s="6">
        <f t="shared" ca="1" si="3"/>
        <v>46120</v>
      </c>
      <c r="D13" s="6">
        <f ca="1">EOMONTH(TableMonthlySummary[[#This Row],[Desde]], 0)</f>
        <v>46142</v>
      </c>
      <c r="E13" s="12">
        <f ca="1">SUMIFS(TableDailySummary[Ventas netas totales],TableDailySummary[Fecha],"&gt;="&amp;TableMonthlySummary[[#This Row],[Desde]],TableDailySummary[Fecha],"&lt;="&amp;TableMonthlySummary[[#This Row],[Hasta]])</f>
        <v>87429203.509999976</v>
      </c>
      <c r="F13" s="12">
        <f ca="1">SUMIFS(TableDailySummary[Órdenes totales],TableDailySummary[Fecha],"&gt;="&amp;TableMonthlySummary[[#This Row],[Desde]],TableDailySummary[Fecha],"&lt;="&amp;TableMonthlySummary[[#This Row],[Hasta]])</f>
        <v>604</v>
      </c>
      <c r="G13" s="12">
        <f ca="1">SUMIFS(TableDailySummary[Ventas primer cliente],TableDailySummary[Fecha],"&gt;="&amp;TableMonthlySummary[[#This Row],[Desde]],TableDailySummary[Fecha],"&lt;="&amp;TableMonthlySummary[[#This Row],[Hasta]])</f>
        <v>33665496.870000005</v>
      </c>
      <c r="H13" s="12">
        <f ca="1">SUMIFS(TableDailySummary[Órdenes primer cliente],TableDailySummary[Fecha],"&gt;="&amp;TableMonthlySummary[[#This Row],[Desde]],TableDailySummary[Fecha],"&lt;="&amp;TableMonthlySummary[[#This Row],[Hasta]])</f>
        <v>226</v>
      </c>
      <c r="I13" s="12">
        <f ca="1">SUMIFS(TableDailySummary[Online Store_net_sales],TableDailySummary[Fecha],"&gt;="&amp;TableMonthlySummary[[#This Row],[Desde]],TableDailySummary[Fecha],"&lt;="&amp;TableMonthlySummary[[#This Row],[Hasta]])</f>
        <v>19104665.719999999</v>
      </c>
      <c r="J13" s="12">
        <f ca="1">SUMIFS(TableDailySummary[Online Store_orders],TableDailySummary[Fecha],"&gt;="&amp;TableMonthlySummary[[#This Row],[Desde]],TableDailySummary[Fecha],"&lt;="&amp;TableMonthlySummary[[#This Row],[Hasta]])</f>
        <v>127</v>
      </c>
      <c r="K13" s="12">
        <f ca="1">SUMIFS(TableDailySummary[Tienda 81_net_sales],TableDailySummary[Fecha],"&gt;="&amp;TableMonthlySummary[[#This Row],[Desde]],TableDailySummary[Fecha],"&lt;="&amp;TableMonthlySummary[[#This Row],[Hasta]])</f>
        <v>62807731.019999988</v>
      </c>
      <c r="L13" s="12">
        <f ca="1">SUMIFS(TableDailySummary[Tienda 81_orders],TableDailySummary[Fecha],"&gt;="&amp;TableMonthlySummary[[#This Row],[Desde]],TableDailySummary[Fecha],"&lt;="&amp;TableMonthlySummary[[#This Row],[Hasta]])</f>
        <v>428</v>
      </c>
      <c r="M13" s="12">
        <f ca="1">SUMIFS(TableDailySummary[Rappi_net_sales],TableDailySummary[Fecha],"&gt;="&amp;TableMonthlySummary[[#This Row],[Desde]],TableDailySummary[Fecha],"&lt;="&amp;TableMonthlySummary[[#This Row],[Hasta]])</f>
        <v>1726890.7700000005</v>
      </c>
      <c r="N13" s="12">
        <f ca="1">SUMIFS(TableDailySummary[Rappi_orders],TableDailySummary[Fecha],"&gt;="&amp;TableMonthlySummary[[#This Row],[Desde]],TableDailySummary[Fecha],"&lt;="&amp;TableMonthlySummary[[#This Row],[Hasta]])</f>
        <v>27</v>
      </c>
      <c r="O13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13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13" s="12">
        <f ca="1">SUMIFS(TableDailySummary[Inversión google ads],TableDailySummary[Fecha],"&gt;="&amp;TableMonthlySummary[[#This Row],[Desde]],TableDailySummary[Fecha],"&lt;="&amp;TableMonthlySummary[[#This Row],[Hasta]])</f>
        <v>1039726.56</v>
      </c>
      <c r="R13" s="12">
        <f ca="1">SUMIFS(TableDailySummary[Ventas google ads],TableDailySummary[Fecha],"&gt;="&amp;TableMonthlySummary[[#This Row],[Desde]],TableDailySummary[Fecha],"&lt;="&amp;TableMonthlySummary[[#This Row],[Hasta]])</f>
        <v>2243000</v>
      </c>
      <c r="S13" s="12">
        <f ca="1">SUMIFS(TableDailySummary[Inversión meta ads],TableDailySummary[Fecha],"&gt;="&amp;TableMonthlySummary[[#This Row],[Desde]],TableDailySummary[Fecha],"&lt;="&amp;TableMonthlySummary[[#This Row],[Hasta]])</f>
        <v>2123733</v>
      </c>
      <c r="T13" s="12">
        <f ca="1">SUMIFS(TableDailySummary[Ventas meta ads],TableDailySummary[Fecha],"&gt;="&amp;TableMonthlySummary[[#This Row],[Desde]],TableDailySummary[Fecha],"&lt;="&amp;TableMonthlySummary[[#This Row],[Hasta]])</f>
        <v>872000</v>
      </c>
      <c r="U13" s="12">
        <f ca="1">TableMonthlySummary[[#This Row],[Inversión google ads]]+TableMonthlySummary[[#This Row],[Inversión meta ads]]</f>
        <v>3163459.56</v>
      </c>
      <c r="V13" s="12">
        <f ca="1">TableMonthlySummary[[#This Row],[Ventas google ads]]+TableMonthlySummary[[#This Row],[Ventas meta ads]]</f>
        <v>3115000</v>
      </c>
      <c r="W13" s="14">
        <f ca="1">IFERROR(TableMonthlySummary[[#This Row],[Ventas publicidad]]/TableMonthlySummary[[#This Row],[Inversión publicidad]],0)</f>
        <v>0.98468146689379521</v>
      </c>
      <c r="X13" s="14">
        <f ca="1">IFERROR(TableMonthlySummary[[#This Row],[Ventas primer cliente]]/TableMonthlySummary[[#This Row],[Inversión publicidad]],0)</f>
        <v>10.641987429104358</v>
      </c>
      <c r="Y13" s="14">
        <f ca="1">IFERROR(1/TableMonthlySummary[[#This Row],[Contribución %]],0)</f>
        <v>1.4393836476727622</v>
      </c>
      <c r="Z13" s="14"/>
      <c r="AA13" s="12"/>
      <c r="AB13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3163459.56</v>
      </c>
      <c r="AC13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26688480.457214095</v>
      </c>
      <c r="AD13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26688480.457214095</v>
      </c>
      <c r="AE13" s="12">
        <f ca="1">SUMIFS(AccountingReport[costs_fixed],AccountingReport[period],TableMonthlySummary[[#This Row],[Desde]])</f>
        <v>0</v>
      </c>
      <c r="AF13" s="17">
        <f ca="1">TableMonthlySummary[[#This Row],[Ventas netas totales]]-TableMonthlySummary[[#This Row],[Costos variables totales]]-TableMonthlySummary[[#This Row],[Costos fijos]]</f>
        <v>60740723.052785881</v>
      </c>
      <c r="AG13" s="18">
        <f ca="1">IFERROR(TableMonthlySummary[[#This Row],[Contribución $]] / TableMonthlySummary[[#This Row],[Ventas netas totales]],0)</f>
        <v>0.69474180953551157</v>
      </c>
      <c r="AH13" s="12">
        <f ca="1">IFERROR(TableMonthlySummary[[#This Row],[Costos de publicidad totales]]/TableMonthlySummary[[#This Row],[Órdenes primer cliente]],0)</f>
        <v>13997.608672566372</v>
      </c>
      <c r="AI13" s="12">
        <f ca="1">SUMIFS(TableDailySummary[Ventas netas con costo registrado],TableDailySummary[Fecha],"&gt;="&amp;TableMonthlySummary[[#This Row],[Desde]],TableDailySummary[Fecha],"&lt;="&amp;TableMonthlySummary[[#This Row],[Hasta]])</f>
        <v>86189815.11999999</v>
      </c>
      <c r="AJ13" s="12">
        <f ca="1">SUMIFS(TableDailySummary[Costo de ventas registrado],TableDailySummary[Fecha],"&gt;="&amp;TableMonthlySummary[[#This Row],[Desde]],TableDailySummary[Fecha],"&lt;="&amp;TableMonthlySummary[[#This Row],[Hasta]])</f>
        <v>26310147</v>
      </c>
      <c r="AK13" s="12">
        <f ca="1">SUMIFS(TableDailySummary[Utilidad bruta],TableDailySummary[Fecha],"&gt;="&amp;TableMonthlySummary[[#This Row],[Desde]],TableDailySummary[Fecha],"&lt;="&amp;TableMonthlySummary[[#This Row],[Hasta]])</f>
        <v>59879668.119999997</v>
      </c>
      <c r="AL13" s="18">
        <f ca="1">IFERROR(TableMonthlySummary[[#This Row],[Utilidad bruta]]/TableMonthlySummary[[#This Row],[Ventas netas con costo registrado]],0)</f>
        <v>0.69474180953551168</v>
      </c>
    </row>
    <row r="14" spans="2:38" x14ac:dyDescent="0.2">
      <c r="B14" s="16">
        <f ca="1">MONTH(TableMonthlySummary[[#This Row],[Hasta]])</f>
        <v>5</v>
      </c>
      <c r="C14" s="6">
        <f t="shared" ca="1" si="3"/>
        <v>46150</v>
      </c>
      <c r="D14" s="6">
        <f ca="1">EOMONTH(TableMonthlySummary[[#This Row],[Desde]], 0)</f>
        <v>46173</v>
      </c>
      <c r="E14" s="12">
        <f ca="1">SUMIFS(TableDailySummary[Ventas netas totales],TableDailySummary[Fecha],"&gt;="&amp;TableMonthlySummary[[#This Row],[Desde]],TableDailySummary[Fecha],"&lt;="&amp;TableMonthlySummary[[#This Row],[Hasta]])</f>
        <v>0</v>
      </c>
      <c r="F14" s="12">
        <f ca="1">SUMIFS(TableDailySummary[Órdenes totales],TableDailySummary[Fecha],"&gt;="&amp;TableMonthlySummary[[#This Row],[Desde]],TableDailySummary[Fecha],"&lt;="&amp;TableMonthlySummary[[#This Row],[Hasta]])</f>
        <v>0</v>
      </c>
      <c r="G14" s="12">
        <f ca="1">SUMIFS(TableDailySummary[Ventas primer cliente],TableDailySummary[Fecha],"&gt;="&amp;TableMonthlySummary[[#This Row],[Desde]],TableDailySummary[Fecha],"&lt;="&amp;TableMonthlySummary[[#This Row],[Hasta]])</f>
        <v>0</v>
      </c>
      <c r="H14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14" s="12">
        <f ca="1">SUMIFS(TableDailySummary[Online Store_net_sales],TableDailySummary[Fecha],"&gt;="&amp;TableMonthlySummary[[#This Row],[Desde]],TableDailySummary[Fecha],"&lt;="&amp;TableMonthlySummary[[#This Row],[Hasta]])</f>
        <v>0</v>
      </c>
      <c r="J14" s="12">
        <f ca="1">SUMIFS(TableDailySummary[Online Store_orders],TableDailySummary[Fecha],"&gt;="&amp;TableMonthlySummary[[#This Row],[Desde]],TableDailySummary[Fecha],"&lt;="&amp;TableMonthlySummary[[#This Row],[Hasta]])</f>
        <v>0</v>
      </c>
      <c r="K14" s="12">
        <f ca="1">SUMIFS(TableDailySummary[Tienda 81_net_sales],TableDailySummary[Fecha],"&gt;="&amp;TableMonthlySummary[[#This Row],[Desde]],TableDailySummary[Fecha],"&lt;="&amp;TableMonthlySummary[[#This Row],[Hasta]])</f>
        <v>0</v>
      </c>
      <c r="L14" s="12">
        <f ca="1">SUMIFS(TableDailySummary[Tienda 81_orders],TableDailySummary[Fecha],"&gt;="&amp;TableMonthlySummary[[#This Row],[Desde]],TableDailySummary[Fecha],"&lt;="&amp;TableMonthlySummary[[#This Row],[Hasta]])</f>
        <v>0</v>
      </c>
      <c r="M14" s="12">
        <f ca="1">SUMIFS(TableDailySummary[Rappi_net_sales],TableDailySummary[Fecha],"&gt;="&amp;TableMonthlySummary[[#This Row],[Desde]],TableDailySummary[Fecha],"&lt;="&amp;TableMonthlySummary[[#This Row],[Hasta]])</f>
        <v>0</v>
      </c>
      <c r="N14" s="12">
        <f ca="1">SUMIFS(TableDailySummary[Rappi_orders],TableDailySummary[Fecha],"&gt;="&amp;TableMonthlySummary[[#This Row],[Desde]],TableDailySummary[Fecha],"&lt;="&amp;TableMonthlySummary[[#This Row],[Hasta]])</f>
        <v>0</v>
      </c>
      <c r="O14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14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14" s="12">
        <f ca="1">SUMIFS(TableDailySummary[Inversión google ads],TableDailySummary[Fecha],"&gt;="&amp;TableMonthlySummary[[#This Row],[Desde]],TableDailySummary[Fecha],"&lt;="&amp;TableMonthlySummary[[#This Row],[Hasta]])</f>
        <v>0</v>
      </c>
      <c r="R14" s="12">
        <f ca="1">SUMIFS(TableDailySummary[Ventas google ads],TableDailySummary[Fecha],"&gt;="&amp;TableMonthlySummary[[#This Row],[Desde]],TableDailySummary[Fecha],"&lt;="&amp;TableMonthlySummary[[#This Row],[Hasta]])</f>
        <v>0</v>
      </c>
      <c r="S14" s="12">
        <f ca="1">SUMIFS(TableDailySummary[Inversión meta ads],TableDailySummary[Fecha],"&gt;="&amp;TableMonthlySummary[[#This Row],[Desde]],TableDailySummary[Fecha],"&lt;="&amp;TableMonthlySummary[[#This Row],[Hasta]])</f>
        <v>0</v>
      </c>
      <c r="T14" s="12">
        <f ca="1">SUMIFS(TableDailySummary[Ventas meta ads],TableDailySummary[Fecha],"&gt;="&amp;TableMonthlySummary[[#This Row],[Desde]],TableDailySummary[Fecha],"&lt;="&amp;TableMonthlySummary[[#This Row],[Hasta]])</f>
        <v>0</v>
      </c>
      <c r="U14" s="12">
        <f ca="1">TableMonthlySummary[[#This Row],[Inversión google ads]]+TableMonthlySummary[[#This Row],[Inversión meta ads]]</f>
        <v>0</v>
      </c>
      <c r="V14" s="12">
        <f ca="1">TableMonthlySummary[[#This Row],[Ventas google ads]]+TableMonthlySummary[[#This Row],[Ventas meta ads]]</f>
        <v>0</v>
      </c>
      <c r="W14" s="14">
        <f ca="1">IFERROR(TableMonthlySummary[[#This Row],[Ventas publicidad]]/TableMonthlySummary[[#This Row],[Inversión publicidad]],0)</f>
        <v>0</v>
      </c>
      <c r="X14" s="14">
        <f ca="1">IFERROR(TableMonthlySummary[[#This Row],[Ventas primer cliente]]/TableMonthlySummary[[#This Row],[Inversión publicidad]],0)</f>
        <v>0</v>
      </c>
      <c r="Y14" s="14">
        <f ca="1">IFERROR(1/TableMonthlySummary[[#This Row],[Contribución %]],0)</f>
        <v>0</v>
      </c>
      <c r="Z14" s="14"/>
      <c r="AA14" s="12"/>
      <c r="AB14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4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4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4" s="12">
        <f ca="1">SUMIFS(AccountingReport[costs_fixed],AccountingReport[period],TableMonthlySummary[[#This Row],[Desde]])</f>
        <v>0</v>
      </c>
      <c r="AF14" s="17">
        <f ca="1">TableMonthlySummary[[#This Row],[Ventas netas totales]]-TableMonthlySummary[[#This Row],[Costos variables totales]]-TableMonthlySummary[[#This Row],[Costos fijos]]</f>
        <v>0</v>
      </c>
      <c r="AG14" s="18">
        <f ca="1">IFERROR(TableMonthlySummary[[#This Row],[Contribución $]] / TableMonthlySummary[[#This Row],[Ventas netas totales]],0)</f>
        <v>0</v>
      </c>
      <c r="AH14" s="12">
        <f ca="1">IFERROR(TableMonthlySummary[[#This Row],[Costos de publicidad totales]]/TableMonthlySummary[[#This Row],[Órdenes primer cliente]],0)</f>
        <v>0</v>
      </c>
      <c r="AI14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14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14" s="12">
        <f ca="1">SUMIFS(TableDailySummary[Utilidad bruta],TableDailySummary[Fecha],"&gt;="&amp;TableMonthlySummary[[#This Row],[Desde]],TableDailySummary[Fecha],"&lt;="&amp;TableMonthlySummary[[#This Row],[Hasta]])</f>
        <v>0</v>
      </c>
      <c r="AL14" s="18">
        <f ca="1">IFERROR(TableMonthlySummary[[#This Row],[Utilidad bruta]]/TableMonthlySummary[[#This Row],[Ventas netas con costo registrado]],0)</f>
        <v>0</v>
      </c>
    </row>
    <row r="15" spans="2:38" x14ac:dyDescent="0.2">
      <c r="B15" s="16">
        <f ca="1">MONTH(TableMonthlySummary[[#This Row],[Hasta]])</f>
        <v>6</v>
      </c>
      <c r="C15" s="6">
        <f t="shared" ca="1" si="3"/>
        <v>46181</v>
      </c>
      <c r="D15" s="6">
        <f ca="1">EOMONTH(TableMonthlySummary[[#This Row],[Desde]], 0)</f>
        <v>46203</v>
      </c>
      <c r="E15" s="12">
        <f ca="1">SUMIFS(TableDailySummary[Ventas netas totales],TableDailySummary[Fecha],"&gt;="&amp;TableMonthlySummary[[#This Row],[Desde]],TableDailySummary[Fecha],"&lt;="&amp;TableMonthlySummary[[#This Row],[Hasta]])</f>
        <v>0</v>
      </c>
      <c r="F15" s="12">
        <f ca="1">SUMIFS(TableDailySummary[Órdenes totales],TableDailySummary[Fecha],"&gt;="&amp;TableMonthlySummary[[#This Row],[Desde]],TableDailySummary[Fecha],"&lt;="&amp;TableMonthlySummary[[#This Row],[Hasta]])</f>
        <v>0</v>
      </c>
      <c r="G15" s="12">
        <f ca="1">SUMIFS(TableDailySummary[Ventas primer cliente],TableDailySummary[Fecha],"&gt;="&amp;TableMonthlySummary[[#This Row],[Desde]],TableDailySummary[Fecha],"&lt;="&amp;TableMonthlySummary[[#This Row],[Hasta]])</f>
        <v>0</v>
      </c>
      <c r="H15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15" s="12">
        <f ca="1">SUMIFS(TableDailySummary[Online Store_net_sales],TableDailySummary[Fecha],"&gt;="&amp;TableMonthlySummary[[#This Row],[Desde]],TableDailySummary[Fecha],"&lt;="&amp;TableMonthlySummary[[#This Row],[Hasta]])</f>
        <v>0</v>
      </c>
      <c r="J15" s="12">
        <f ca="1">SUMIFS(TableDailySummary[Online Store_orders],TableDailySummary[Fecha],"&gt;="&amp;TableMonthlySummary[[#This Row],[Desde]],TableDailySummary[Fecha],"&lt;="&amp;TableMonthlySummary[[#This Row],[Hasta]])</f>
        <v>0</v>
      </c>
      <c r="K15" s="12">
        <f ca="1">SUMIFS(TableDailySummary[Tienda 81_net_sales],TableDailySummary[Fecha],"&gt;="&amp;TableMonthlySummary[[#This Row],[Desde]],TableDailySummary[Fecha],"&lt;="&amp;TableMonthlySummary[[#This Row],[Hasta]])</f>
        <v>0</v>
      </c>
      <c r="L15" s="12">
        <f ca="1">SUMIFS(TableDailySummary[Tienda 81_orders],TableDailySummary[Fecha],"&gt;="&amp;TableMonthlySummary[[#This Row],[Desde]],TableDailySummary[Fecha],"&lt;="&amp;TableMonthlySummary[[#This Row],[Hasta]])</f>
        <v>0</v>
      </c>
      <c r="M15" s="12">
        <f ca="1">SUMIFS(TableDailySummary[Rappi_net_sales],TableDailySummary[Fecha],"&gt;="&amp;TableMonthlySummary[[#This Row],[Desde]],TableDailySummary[Fecha],"&lt;="&amp;TableMonthlySummary[[#This Row],[Hasta]])</f>
        <v>0</v>
      </c>
      <c r="N15" s="12">
        <f ca="1">SUMIFS(TableDailySummary[Rappi_orders],TableDailySummary[Fecha],"&gt;="&amp;TableMonthlySummary[[#This Row],[Desde]],TableDailySummary[Fecha],"&lt;="&amp;TableMonthlySummary[[#This Row],[Hasta]])</f>
        <v>0</v>
      </c>
      <c r="O15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15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15" s="12">
        <f ca="1">SUMIFS(TableDailySummary[Inversión google ads],TableDailySummary[Fecha],"&gt;="&amp;TableMonthlySummary[[#This Row],[Desde]],TableDailySummary[Fecha],"&lt;="&amp;TableMonthlySummary[[#This Row],[Hasta]])</f>
        <v>0</v>
      </c>
      <c r="R15" s="12">
        <f ca="1">SUMIFS(TableDailySummary[Ventas google ads],TableDailySummary[Fecha],"&gt;="&amp;TableMonthlySummary[[#This Row],[Desde]],TableDailySummary[Fecha],"&lt;="&amp;TableMonthlySummary[[#This Row],[Hasta]])</f>
        <v>0</v>
      </c>
      <c r="S15" s="12">
        <f ca="1">SUMIFS(TableDailySummary[Inversión meta ads],TableDailySummary[Fecha],"&gt;="&amp;TableMonthlySummary[[#This Row],[Desde]],TableDailySummary[Fecha],"&lt;="&amp;TableMonthlySummary[[#This Row],[Hasta]])</f>
        <v>0</v>
      </c>
      <c r="T15" s="12">
        <f ca="1">SUMIFS(TableDailySummary[Ventas meta ads],TableDailySummary[Fecha],"&gt;="&amp;TableMonthlySummary[[#This Row],[Desde]],TableDailySummary[Fecha],"&lt;="&amp;TableMonthlySummary[[#This Row],[Hasta]])</f>
        <v>0</v>
      </c>
      <c r="U15" s="12">
        <f ca="1">TableMonthlySummary[[#This Row],[Inversión google ads]]+TableMonthlySummary[[#This Row],[Inversión meta ads]]</f>
        <v>0</v>
      </c>
      <c r="V15" s="12">
        <f ca="1">TableMonthlySummary[[#This Row],[Ventas google ads]]+TableMonthlySummary[[#This Row],[Ventas meta ads]]</f>
        <v>0</v>
      </c>
      <c r="W15" s="14">
        <f ca="1">IFERROR(TableMonthlySummary[[#This Row],[Ventas publicidad]]/TableMonthlySummary[[#This Row],[Inversión publicidad]],0)</f>
        <v>0</v>
      </c>
      <c r="X15" s="14">
        <f ca="1">IFERROR(TableMonthlySummary[[#This Row],[Ventas primer cliente]]/TableMonthlySummary[[#This Row],[Inversión publicidad]],0)</f>
        <v>0</v>
      </c>
      <c r="Y15" s="14">
        <f ca="1">IFERROR(1/TableMonthlySummary[[#This Row],[Contribución %]],0)</f>
        <v>0</v>
      </c>
      <c r="Z15" s="14"/>
      <c r="AA15" s="12"/>
      <c r="AB15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5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5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5" s="12">
        <f ca="1">SUMIFS(AccountingReport[costs_fixed],AccountingReport[period],TableMonthlySummary[[#This Row],[Desde]])</f>
        <v>0</v>
      </c>
      <c r="AF15" s="17">
        <f ca="1">TableMonthlySummary[[#This Row],[Ventas netas totales]]-TableMonthlySummary[[#This Row],[Costos variables totales]]-TableMonthlySummary[[#This Row],[Costos fijos]]</f>
        <v>0</v>
      </c>
      <c r="AG15" s="18">
        <f ca="1">IFERROR(TableMonthlySummary[[#This Row],[Contribución $]] / TableMonthlySummary[[#This Row],[Ventas netas totales]],0)</f>
        <v>0</v>
      </c>
      <c r="AH15" s="12">
        <f ca="1">IFERROR(TableMonthlySummary[[#This Row],[Costos de publicidad totales]]/TableMonthlySummary[[#This Row],[Órdenes primer cliente]],0)</f>
        <v>0</v>
      </c>
      <c r="AI15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15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15" s="12">
        <f ca="1">SUMIFS(TableDailySummary[Utilidad bruta],TableDailySummary[Fecha],"&gt;="&amp;TableMonthlySummary[[#This Row],[Desde]],TableDailySummary[Fecha],"&lt;="&amp;TableMonthlySummary[[#This Row],[Hasta]])</f>
        <v>0</v>
      </c>
      <c r="AL15" s="18">
        <f ca="1">IFERROR(TableMonthlySummary[[#This Row],[Utilidad bruta]]/TableMonthlySummary[[#This Row],[Ventas netas con costo registrado]],0)</f>
        <v>0</v>
      </c>
    </row>
    <row r="16" spans="2:38" x14ac:dyDescent="0.2">
      <c r="B16" s="16">
        <f ca="1">MONTH(TableMonthlySummary[[#This Row],[Hasta]])</f>
        <v>7</v>
      </c>
      <c r="C16" s="6">
        <f t="shared" ca="1" si="3"/>
        <v>46211</v>
      </c>
      <c r="D16" s="6">
        <f ca="1">EOMONTH(TableMonthlySummary[[#This Row],[Desde]], 0)</f>
        <v>46234</v>
      </c>
      <c r="E16" s="12">
        <f ca="1">SUMIFS(TableDailySummary[Ventas netas totales],TableDailySummary[Fecha],"&gt;="&amp;TableMonthlySummary[[#This Row],[Desde]],TableDailySummary[Fecha],"&lt;="&amp;TableMonthlySummary[[#This Row],[Hasta]])</f>
        <v>0</v>
      </c>
      <c r="F16" s="12">
        <f ca="1">SUMIFS(TableDailySummary[Órdenes totales],TableDailySummary[Fecha],"&gt;="&amp;TableMonthlySummary[[#This Row],[Desde]],TableDailySummary[Fecha],"&lt;="&amp;TableMonthlySummary[[#This Row],[Hasta]])</f>
        <v>0</v>
      </c>
      <c r="G16" s="12">
        <f ca="1">SUMIFS(TableDailySummary[Ventas primer cliente],TableDailySummary[Fecha],"&gt;="&amp;TableMonthlySummary[[#This Row],[Desde]],TableDailySummary[Fecha],"&lt;="&amp;TableMonthlySummary[[#This Row],[Hasta]])</f>
        <v>0</v>
      </c>
      <c r="H16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16" s="12">
        <f ca="1">SUMIFS(TableDailySummary[Online Store_net_sales],TableDailySummary[Fecha],"&gt;="&amp;TableMonthlySummary[[#This Row],[Desde]],TableDailySummary[Fecha],"&lt;="&amp;TableMonthlySummary[[#This Row],[Hasta]])</f>
        <v>0</v>
      </c>
      <c r="J16" s="12">
        <f ca="1">SUMIFS(TableDailySummary[Online Store_orders],TableDailySummary[Fecha],"&gt;="&amp;TableMonthlySummary[[#This Row],[Desde]],TableDailySummary[Fecha],"&lt;="&amp;TableMonthlySummary[[#This Row],[Hasta]])</f>
        <v>0</v>
      </c>
      <c r="K16" s="12">
        <f ca="1">SUMIFS(TableDailySummary[Tienda 81_net_sales],TableDailySummary[Fecha],"&gt;="&amp;TableMonthlySummary[[#This Row],[Desde]],TableDailySummary[Fecha],"&lt;="&amp;TableMonthlySummary[[#This Row],[Hasta]])</f>
        <v>0</v>
      </c>
      <c r="L16" s="12">
        <f ca="1">SUMIFS(TableDailySummary[Tienda 81_orders],TableDailySummary[Fecha],"&gt;="&amp;TableMonthlySummary[[#This Row],[Desde]],TableDailySummary[Fecha],"&lt;="&amp;TableMonthlySummary[[#This Row],[Hasta]])</f>
        <v>0</v>
      </c>
      <c r="M16" s="12">
        <f ca="1">SUMIFS(TableDailySummary[Rappi_net_sales],TableDailySummary[Fecha],"&gt;="&amp;TableMonthlySummary[[#This Row],[Desde]],TableDailySummary[Fecha],"&lt;="&amp;TableMonthlySummary[[#This Row],[Hasta]])</f>
        <v>0</v>
      </c>
      <c r="N16" s="12">
        <f ca="1">SUMIFS(TableDailySummary[Rappi_orders],TableDailySummary[Fecha],"&gt;="&amp;TableMonthlySummary[[#This Row],[Desde]],TableDailySummary[Fecha],"&lt;="&amp;TableMonthlySummary[[#This Row],[Hasta]])</f>
        <v>0</v>
      </c>
      <c r="O16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16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16" s="12">
        <f ca="1">SUMIFS(TableDailySummary[Inversión google ads],TableDailySummary[Fecha],"&gt;="&amp;TableMonthlySummary[[#This Row],[Desde]],TableDailySummary[Fecha],"&lt;="&amp;TableMonthlySummary[[#This Row],[Hasta]])</f>
        <v>0</v>
      </c>
      <c r="R16" s="12">
        <f ca="1">SUMIFS(TableDailySummary[Ventas google ads],TableDailySummary[Fecha],"&gt;="&amp;TableMonthlySummary[[#This Row],[Desde]],TableDailySummary[Fecha],"&lt;="&amp;TableMonthlySummary[[#This Row],[Hasta]])</f>
        <v>0</v>
      </c>
      <c r="S16" s="12">
        <f ca="1">SUMIFS(TableDailySummary[Inversión meta ads],TableDailySummary[Fecha],"&gt;="&amp;TableMonthlySummary[[#This Row],[Desde]],TableDailySummary[Fecha],"&lt;="&amp;TableMonthlySummary[[#This Row],[Hasta]])</f>
        <v>0</v>
      </c>
      <c r="T16" s="12">
        <f ca="1">SUMIFS(TableDailySummary[Ventas meta ads],TableDailySummary[Fecha],"&gt;="&amp;TableMonthlySummary[[#This Row],[Desde]],TableDailySummary[Fecha],"&lt;="&amp;TableMonthlySummary[[#This Row],[Hasta]])</f>
        <v>0</v>
      </c>
      <c r="U16" s="12">
        <f ca="1">TableMonthlySummary[[#This Row],[Inversión google ads]]+TableMonthlySummary[[#This Row],[Inversión meta ads]]</f>
        <v>0</v>
      </c>
      <c r="V16" s="12">
        <f ca="1">TableMonthlySummary[[#This Row],[Ventas google ads]]+TableMonthlySummary[[#This Row],[Ventas meta ads]]</f>
        <v>0</v>
      </c>
      <c r="W16" s="14">
        <f ca="1">IFERROR(TableMonthlySummary[[#This Row],[Ventas publicidad]]/TableMonthlySummary[[#This Row],[Inversión publicidad]],0)</f>
        <v>0</v>
      </c>
      <c r="X16" s="14">
        <f ca="1">IFERROR(TableMonthlySummary[[#This Row],[Ventas primer cliente]]/TableMonthlySummary[[#This Row],[Inversión publicidad]],0)</f>
        <v>0</v>
      </c>
      <c r="Y16" s="14">
        <f ca="1">IFERROR(1/TableMonthlySummary[[#This Row],[Contribución %]],0)</f>
        <v>0</v>
      </c>
      <c r="Z16" s="14"/>
      <c r="AA16" s="12"/>
      <c r="AB16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6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6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6" s="12">
        <f ca="1">SUMIFS(AccountingReport[costs_fixed],AccountingReport[period],TableMonthlySummary[[#This Row],[Desde]])</f>
        <v>0</v>
      </c>
      <c r="AF16" s="17">
        <f ca="1">TableMonthlySummary[[#This Row],[Ventas netas totales]]-TableMonthlySummary[[#This Row],[Costos variables totales]]-TableMonthlySummary[[#This Row],[Costos fijos]]</f>
        <v>0</v>
      </c>
      <c r="AG16" s="18">
        <f ca="1">IFERROR(TableMonthlySummary[[#This Row],[Contribución $]] / TableMonthlySummary[[#This Row],[Ventas netas totales]],0)</f>
        <v>0</v>
      </c>
      <c r="AH16" s="12">
        <f ca="1">IFERROR(TableMonthlySummary[[#This Row],[Costos de publicidad totales]]/TableMonthlySummary[[#This Row],[Órdenes primer cliente]],0)</f>
        <v>0</v>
      </c>
      <c r="AI16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16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16" s="12">
        <f ca="1">SUMIFS(TableDailySummary[Utilidad bruta],TableDailySummary[Fecha],"&gt;="&amp;TableMonthlySummary[[#This Row],[Desde]],TableDailySummary[Fecha],"&lt;="&amp;TableMonthlySummary[[#This Row],[Hasta]])</f>
        <v>0</v>
      </c>
      <c r="AL16" s="18">
        <f ca="1">IFERROR(TableMonthlySummary[[#This Row],[Utilidad bruta]]/TableMonthlySummary[[#This Row],[Ventas netas con costo registrado]],0)</f>
        <v>0</v>
      </c>
    </row>
    <row r="17" spans="2:38" x14ac:dyDescent="0.2">
      <c r="B17" s="16">
        <f ca="1">MONTH(TableMonthlySummary[[#This Row],[Hasta]])</f>
        <v>8</v>
      </c>
      <c r="C17" s="6">
        <f t="shared" ca="1" si="3"/>
        <v>46242</v>
      </c>
      <c r="D17" s="6">
        <f ca="1">EOMONTH(TableMonthlySummary[[#This Row],[Desde]], 0)</f>
        <v>46265</v>
      </c>
      <c r="E17" s="12">
        <f ca="1">SUMIFS(TableDailySummary[Ventas netas totales],TableDailySummary[Fecha],"&gt;="&amp;TableMonthlySummary[[#This Row],[Desde]],TableDailySummary[Fecha],"&lt;="&amp;TableMonthlySummary[[#This Row],[Hasta]])</f>
        <v>0</v>
      </c>
      <c r="F17" s="12">
        <f ca="1">SUMIFS(TableDailySummary[Órdenes totales],TableDailySummary[Fecha],"&gt;="&amp;TableMonthlySummary[[#This Row],[Desde]],TableDailySummary[Fecha],"&lt;="&amp;TableMonthlySummary[[#This Row],[Hasta]])</f>
        <v>0</v>
      </c>
      <c r="G17" s="12">
        <f ca="1">SUMIFS(TableDailySummary[Ventas primer cliente],TableDailySummary[Fecha],"&gt;="&amp;TableMonthlySummary[[#This Row],[Desde]],TableDailySummary[Fecha],"&lt;="&amp;TableMonthlySummary[[#This Row],[Hasta]])</f>
        <v>0</v>
      </c>
      <c r="H17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17" s="12">
        <f ca="1">SUMIFS(TableDailySummary[Online Store_net_sales],TableDailySummary[Fecha],"&gt;="&amp;TableMonthlySummary[[#This Row],[Desde]],TableDailySummary[Fecha],"&lt;="&amp;TableMonthlySummary[[#This Row],[Hasta]])</f>
        <v>0</v>
      </c>
      <c r="J17" s="12">
        <f ca="1">SUMIFS(TableDailySummary[Online Store_orders],TableDailySummary[Fecha],"&gt;="&amp;TableMonthlySummary[[#This Row],[Desde]],TableDailySummary[Fecha],"&lt;="&amp;TableMonthlySummary[[#This Row],[Hasta]])</f>
        <v>0</v>
      </c>
      <c r="K17" s="12">
        <f ca="1">SUMIFS(TableDailySummary[Tienda 81_net_sales],TableDailySummary[Fecha],"&gt;="&amp;TableMonthlySummary[[#This Row],[Desde]],TableDailySummary[Fecha],"&lt;="&amp;TableMonthlySummary[[#This Row],[Hasta]])</f>
        <v>0</v>
      </c>
      <c r="L17" s="12">
        <f ca="1">SUMIFS(TableDailySummary[Tienda 81_orders],TableDailySummary[Fecha],"&gt;="&amp;TableMonthlySummary[[#This Row],[Desde]],TableDailySummary[Fecha],"&lt;="&amp;TableMonthlySummary[[#This Row],[Hasta]])</f>
        <v>0</v>
      </c>
      <c r="M17" s="12">
        <f ca="1">SUMIFS(TableDailySummary[Rappi_net_sales],TableDailySummary[Fecha],"&gt;="&amp;TableMonthlySummary[[#This Row],[Desde]],TableDailySummary[Fecha],"&lt;="&amp;TableMonthlySummary[[#This Row],[Hasta]])</f>
        <v>0</v>
      </c>
      <c r="N17" s="12">
        <f ca="1">SUMIFS(TableDailySummary[Rappi_orders],TableDailySummary[Fecha],"&gt;="&amp;TableMonthlySummary[[#This Row],[Desde]],TableDailySummary[Fecha],"&lt;="&amp;TableMonthlySummary[[#This Row],[Hasta]])</f>
        <v>0</v>
      </c>
      <c r="O17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17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17" s="12">
        <f ca="1">SUMIFS(TableDailySummary[Inversión google ads],TableDailySummary[Fecha],"&gt;="&amp;TableMonthlySummary[[#This Row],[Desde]],TableDailySummary[Fecha],"&lt;="&amp;TableMonthlySummary[[#This Row],[Hasta]])</f>
        <v>0</v>
      </c>
      <c r="R17" s="12">
        <f ca="1">SUMIFS(TableDailySummary[Ventas google ads],TableDailySummary[Fecha],"&gt;="&amp;TableMonthlySummary[[#This Row],[Desde]],TableDailySummary[Fecha],"&lt;="&amp;TableMonthlySummary[[#This Row],[Hasta]])</f>
        <v>0</v>
      </c>
      <c r="S17" s="12">
        <f ca="1">SUMIFS(TableDailySummary[Inversión meta ads],TableDailySummary[Fecha],"&gt;="&amp;TableMonthlySummary[[#This Row],[Desde]],TableDailySummary[Fecha],"&lt;="&amp;TableMonthlySummary[[#This Row],[Hasta]])</f>
        <v>0</v>
      </c>
      <c r="T17" s="12">
        <f ca="1">SUMIFS(TableDailySummary[Ventas meta ads],TableDailySummary[Fecha],"&gt;="&amp;TableMonthlySummary[[#This Row],[Desde]],TableDailySummary[Fecha],"&lt;="&amp;TableMonthlySummary[[#This Row],[Hasta]])</f>
        <v>0</v>
      </c>
      <c r="U17" s="12">
        <f ca="1">TableMonthlySummary[[#This Row],[Inversión google ads]]+TableMonthlySummary[[#This Row],[Inversión meta ads]]</f>
        <v>0</v>
      </c>
      <c r="V17" s="12">
        <f ca="1">TableMonthlySummary[[#This Row],[Ventas google ads]]+TableMonthlySummary[[#This Row],[Ventas meta ads]]</f>
        <v>0</v>
      </c>
      <c r="W17" s="14">
        <f ca="1">IFERROR(TableMonthlySummary[[#This Row],[Ventas publicidad]]/TableMonthlySummary[[#This Row],[Inversión publicidad]],0)</f>
        <v>0</v>
      </c>
      <c r="X17" s="14">
        <f ca="1">IFERROR(TableMonthlySummary[[#This Row],[Ventas primer cliente]]/TableMonthlySummary[[#This Row],[Inversión publicidad]],0)</f>
        <v>0</v>
      </c>
      <c r="Y17" s="14">
        <f ca="1">IFERROR(1/TableMonthlySummary[[#This Row],[Contribución %]],0)</f>
        <v>0</v>
      </c>
      <c r="Z17" s="14"/>
      <c r="AA17" s="12"/>
      <c r="AB17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7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7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7" s="12">
        <f ca="1">SUMIFS(AccountingReport[costs_fixed],AccountingReport[period],TableMonthlySummary[[#This Row],[Desde]])</f>
        <v>0</v>
      </c>
      <c r="AF17" s="17">
        <f ca="1">TableMonthlySummary[[#This Row],[Ventas netas totales]]-TableMonthlySummary[[#This Row],[Costos variables totales]]-TableMonthlySummary[[#This Row],[Costos fijos]]</f>
        <v>0</v>
      </c>
      <c r="AG17" s="18">
        <f ca="1">IFERROR(TableMonthlySummary[[#This Row],[Contribución $]] / TableMonthlySummary[[#This Row],[Ventas netas totales]],0)</f>
        <v>0</v>
      </c>
      <c r="AH17" s="12">
        <f ca="1">IFERROR(TableMonthlySummary[[#This Row],[Costos de publicidad totales]]/TableMonthlySummary[[#This Row],[Órdenes primer cliente]],0)</f>
        <v>0</v>
      </c>
      <c r="AI17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17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17" s="12">
        <f ca="1">SUMIFS(TableDailySummary[Utilidad bruta],TableDailySummary[Fecha],"&gt;="&amp;TableMonthlySummary[[#This Row],[Desde]],TableDailySummary[Fecha],"&lt;="&amp;TableMonthlySummary[[#This Row],[Hasta]])</f>
        <v>0</v>
      </c>
      <c r="AL17" s="18">
        <f ca="1">IFERROR(TableMonthlySummary[[#This Row],[Utilidad bruta]]/TableMonthlySummary[[#This Row],[Ventas netas con costo registrado]],0)</f>
        <v>0</v>
      </c>
    </row>
    <row r="18" spans="2:38" x14ac:dyDescent="0.2">
      <c r="B18" s="16">
        <f ca="1">MONTH(TableMonthlySummary[[#This Row],[Hasta]])</f>
        <v>9</v>
      </c>
      <c r="C18" s="6">
        <f t="shared" ca="1" si="3"/>
        <v>46273</v>
      </c>
      <c r="D18" s="6">
        <f ca="1">EOMONTH(TableMonthlySummary[[#This Row],[Desde]], 0)</f>
        <v>46295</v>
      </c>
      <c r="E18" s="12">
        <f ca="1">SUMIFS(TableDailySummary[Ventas netas totales],TableDailySummary[Fecha],"&gt;="&amp;TableMonthlySummary[[#This Row],[Desde]],TableDailySummary[Fecha],"&lt;="&amp;TableMonthlySummary[[#This Row],[Hasta]])</f>
        <v>0</v>
      </c>
      <c r="F18" s="12">
        <f ca="1">SUMIFS(TableDailySummary[Órdenes totales],TableDailySummary[Fecha],"&gt;="&amp;TableMonthlySummary[[#This Row],[Desde]],TableDailySummary[Fecha],"&lt;="&amp;TableMonthlySummary[[#This Row],[Hasta]])</f>
        <v>0</v>
      </c>
      <c r="G18" s="12">
        <f ca="1">SUMIFS(TableDailySummary[Ventas primer cliente],TableDailySummary[Fecha],"&gt;="&amp;TableMonthlySummary[[#This Row],[Desde]],TableDailySummary[Fecha],"&lt;="&amp;TableMonthlySummary[[#This Row],[Hasta]])</f>
        <v>0</v>
      </c>
      <c r="H18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18" s="12">
        <f ca="1">SUMIFS(TableDailySummary[Online Store_net_sales],TableDailySummary[Fecha],"&gt;="&amp;TableMonthlySummary[[#This Row],[Desde]],TableDailySummary[Fecha],"&lt;="&amp;TableMonthlySummary[[#This Row],[Hasta]])</f>
        <v>0</v>
      </c>
      <c r="J18" s="12">
        <f ca="1">SUMIFS(TableDailySummary[Online Store_orders],TableDailySummary[Fecha],"&gt;="&amp;TableMonthlySummary[[#This Row],[Desde]],TableDailySummary[Fecha],"&lt;="&amp;TableMonthlySummary[[#This Row],[Hasta]])</f>
        <v>0</v>
      </c>
      <c r="K18" s="12">
        <f ca="1">SUMIFS(TableDailySummary[Tienda 81_net_sales],TableDailySummary[Fecha],"&gt;="&amp;TableMonthlySummary[[#This Row],[Desde]],TableDailySummary[Fecha],"&lt;="&amp;TableMonthlySummary[[#This Row],[Hasta]])</f>
        <v>0</v>
      </c>
      <c r="L18" s="12">
        <f ca="1">SUMIFS(TableDailySummary[Tienda 81_orders],TableDailySummary[Fecha],"&gt;="&amp;TableMonthlySummary[[#This Row],[Desde]],TableDailySummary[Fecha],"&lt;="&amp;TableMonthlySummary[[#This Row],[Hasta]])</f>
        <v>0</v>
      </c>
      <c r="M18" s="12">
        <f ca="1">SUMIFS(TableDailySummary[Rappi_net_sales],TableDailySummary[Fecha],"&gt;="&amp;TableMonthlySummary[[#This Row],[Desde]],TableDailySummary[Fecha],"&lt;="&amp;TableMonthlySummary[[#This Row],[Hasta]])</f>
        <v>0</v>
      </c>
      <c r="N18" s="12">
        <f ca="1">SUMIFS(TableDailySummary[Rappi_orders],TableDailySummary[Fecha],"&gt;="&amp;TableMonthlySummary[[#This Row],[Desde]],TableDailySummary[Fecha],"&lt;="&amp;TableMonthlySummary[[#This Row],[Hasta]])</f>
        <v>0</v>
      </c>
      <c r="O18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18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18" s="12">
        <f ca="1">SUMIFS(TableDailySummary[Inversión google ads],TableDailySummary[Fecha],"&gt;="&amp;TableMonthlySummary[[#This Row],[Desde]],TableDailySummary[Fecha],"&lt;="&amp;TableMonthlySummary[[#This Row],[Hasta]])</f>
        <v>0</v>
      </c>
      <c r="R18" s="12">
        <f ca="1">SUMIFS(TableDailySummary[Ventas google ads],TableDailySummary[Fecha],"&gt;="&amp;TableMonthlySummary[[#This Row],[Desde]],TableDailySummary[Fecha],"&lt;="&amp;TableMonthlySummary[[#This Row],[Hasta]])</f>
        <v>0</v>
      </c>
      <c r="S18" s="12">
        <f ca="1">SUMIFS(TableDailySummary[Inversión meta ads],TableDailySummary[Fecha],"&gt;="&amp;TableMonthlySummary[[#This Row],[Desde]],TableDailySummary[Fecha],"&lt;="&amp;TableMonthlySummary[[#This Row],[Hasta]])</f>
        <v>0</v>
      </c>
      <c r="T18" s="12">
        <f ca="1">SUMIFS(TableDailySummary[Ventas meta ads],TableDailySummary[Fecha],"&gt;="&amp;TableMonthlySummary[[#This Row],[Desde]],TableDailySummary[Fecha],"&lt;="&amp;TableMonthlySummary[[#This Row],[Hasta]])</f>
        <v>0</v>
      </c>
      <c r="U18" s="12">
        <f ca="1">TableMonthlySummary[[#This Row],[Inversión google ads]]+TableMonthlySummary[[#This Row],[Inversión meta ads]]</f>
        <v>0</v>
      </c>
      <c r="V18" s="12">
        <f ca="1">TableMonthlySummary[[#This Row],[Ventas google ads]]+TableMonthlySummary[[#This Row],[Ventas meta ads]]</f>
        <v>0</v>
      </c>
      <c r="W18" s="14">
        <f ca="1">IFERROR(TableMonthlySummary[[#This Row],[Ventas publicidad]]/TableMonthlySummary[[#This Row],[Inversión publicidad]],0)</f>
        <v>0</v>
      </c>
      <c r="X18" s="14">
        <f ca="1">IFERROR(TableMonthlySummary[[#This Row],[Ventas primer cliente]]/TableMonthlySummary[[#This Row],[Inversión publicidad]],0)</f>
        <v>0</v>
      </c>
      <c r="Y18" s="14">
        <f ca="1">IFERROR(1/TableMonthlySummary[[#This Row],[Contribución %]],0)</f>
        <v>0</v>
      </c>
      <c r="Z18" s="14"/>
      <c r="AA18" s="12"/>
      <c r="AB18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8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8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8" s="12">
        <f ca="1">SUMIFS(AccountingReport[costs_fixed],AccountingReport[period],TableMonthlySummary[[#This Row],[Desde]])</f>
        <v>0</v>
      </c>
      <c r="AF18" s="17">
        <f ca="1">TableMonthlySummary[[#This Row],[Ventas netas totales]]-TableMonthlySummary[[#This Row],[Costos variables totales]]-TableMonthlySummary[[#This Row],[Costos fijos]]</f>
        <v>0</v>
      </c>
      <c r="AG18" s="18">
        <f ca="1">IFERROR(TableMonthlySummary[[#This Row],[Contribución $]] / TableMonthlySummary[[#This Row],[Ventas netas totales]],0)</f>
        <v>0</v>
      </c>
      <c r="AH18" s="12">
        <f ca="1">IFERROR(TableMonthlySummary[[#This Row],[Costos de publicidad totales]]/TableMonthlySummary[[#This Row],[Órdenes primer cliente]],0)</f>
        <v>0</v>
      </c>
      <c r="AI18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18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18" s="12">
        <f ca="1">SUMIFS(TableDailySummary[Utilidad bruta],TableDailySummary[Fecha],"&gt;="&amp;TableMonthlySummary[[#This Row],[Desde]],TableDailySummary[Fecha],"&lt;="&amp;TableMonthlySummary[[#This Row],[Hasta]])</f>
        <v>0</v>
      </c>
      <c r="AL18" s="18">
        <f ca="1">IFERROR(TableMonthlySummary[[#This Row],[Utilidad bruta]]/TableMonthlySummary[[#This Row],[Ventas netas con costo registrado]],0)</f>
        <v>0</v>
      </c>
    </row>
    <row r="19" spans="2:38" x14ac:dyDescent="0.2">
      <c r="B19" s="16">
        <f ca="1">MONTH(TableMonthlySummary[[#This Row],[Hasta]])</f>
        <v>10</v>
      </c>
      <c r="C19" s="6">
        <f t="shared" ca="1" si="3"/>
        <v>46303</v>
      </c>
      <c r="D19" s="6">
        <f ca="1">EOMONTH(TableMonthlySummary[[#This Row],[Desde]], 0)</f>
        <v>46326</v>
      </c>
      <c r="E19" s="12">
        <f ca="1">SUMIFS(TableDailySummary[Ventas netas totales],TableDailySummary[Fecha],"&gt;="&amp;TableMonthlySummary[[#This Row],[Desde]],TableDailySummary[Fecha],"&lt;="&amp;TableMonthlySummary[[#This Row],[Hasta]])</f>
        <v>0</v>
      </c>
      <c r="F19" s="12">
        <f ca="1">SUMIFS(TableDailySummary[Órdenes totales],TableDailySummary[Fecha],"&gt;="&amp;TableMonthlySummary[[#This Row],[Desde]],TableDailySummary[Fecha],"&lt;="&amp;TableMonthlySummary[[#This Row],[Hasta]])</f>
        <v>0</v>
      </c>
      <c r="G19" s="12">
        <f ca="1">SUMIFS(TableDailySummary[Ventas primer cliente],TableDailySummary[Fecha],"&gt;="&amp;TableMonthlySummary[[#This Row],[Desde]],TableDailySummary[Fecha],"&lt;="&amp;TableMonthlySummary[[#This Row],[Hasta]])</f>
        <v>0</v>
      </c>
      <c r="H19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19" s="12">
        <f ca="1">SUMIFS(TableDailySummary[Online Store_net_sales],TableDailySummary[Fecha],"&gt;="&amp;TableMonthlySummary[[#This Row],[Desde]],TableDailySummary[Fecha],"&lt;="&amp;TableMonthlySummary[[#This Row],[Hasta]])</f>
        <v>0</v>
      </c>
      <c r="J19" s="12">
        <f ca="1">SUMIFS(TableDailySummary[Online Store_orders],TableDailySummary[Fecha],"&gt;="&amp;TableMonthlySummary[[#This Row],[Desde]],TableDailySummary[Fecha],"&lt;="&amp;TableMonthlySummary[[#This Row],[Hasta]])</f>
        <v>0</v>
      </c>
      <c r="K19" s="12">
        <f ca="1">SUMIFS(TableDailySummary[Tienda 81_net_sales],TableDailySummary[Fecha],"&gt;="&amp;TableMonthlySummary[[#This Row],[Desde]],TableDailySummary[Fecha],"&lt;="&amp;TableMonthlySummary[[#This Row],[Hasta]])</f>
        <v>0</v>
      </c>
      <c r="L19" s="12">
        <f ca="1">SUMIFS(TableDailySummary[Tienda 81_orders],TableDailySummary[Fecha],"&gt;="&amp;TableMonthlySummary[[#This Row],[Desde]],TableDailySummary[Fecha],"&lt;="&amp;TableMonthlySummary[[#This Row],[Hasta]])</f>
        <v>0</v>
      </c>
      <c r="M19" s="12">
        <f ca="1">SUMIFS(TableDailySummary[Rappi_net_sales],TableDailySummary[Fecha],"&gt;="&amp;TableMonthlySummary[[#This Row],[Desde]],TableDailySummary[Fecha],"&lt;="&amp;TableMonthlySummary[[#This Row],[Hasta]])</f>
        <v>0</v>
      </c>
      <c r="N19" s="12">
        <f ca="1">SUMIFS(TableDailySummary[Rappi_orders],TableDailySummary[Fecha],"&gt;="&amp;TableMonthlySummary[[#This Row],[Desde]],TableDailySummary[Fecha],"&lt;="&amp;TableMonthlySummary[[#This Row],[Hasta]])</f>
        <v>0</v>
      </c>
      <c r="O19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19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19" s="12">
        <f ca="1">SUMIFS(TableDailySummary[Inversión google ads],TableDailySummary[Fecha],"&gt;="&amp;TableMonthlySummary[[#This Row],[Desde]],TableDailySummary[Fecha],"&lt;="&amp;TableMonthlySummary[[#This Row],[Hasta]])</f>
        <v>0</v>
      </c>
      <c r="R19" s="12">
        <f ca="1">SUMIFS(TableDailySummary[Ventas google ads],TableDailySummary[Fecha],"&gt;="&amp;TableMonthlySummary[[#This Row],[Desde]],TableDailySummary[Fecha],"&lt;="&amp;TableMonthlySummary[[#This Row],[Hasta]])</f>
        <v>0</v>
      </c>
      <c r="S19" s="12">
        <f ca="1">SUMIFS(TableDailySummary[Inversión meta ads],TableDailySummary[Fecha],"&gt;="&amp;TableMonthlySummary[[#This Row],[Desde]],TableDailySummary[Fecha],"&lt;="&amp;TableMonthlySummary[[#This Row],[Hasta]])</f>
        <v>0</v>
      </c>
      <c r="T19" s="12">
        <f ca="1">SUMIFS(TableDailySummary[Ventas meta ads],TableDailySummary[Fecha],"&gt;="&amp;TableMonthlySummary[[#This Row],[Desde]],TableDailySummary[Fecha],"&lt;="&amp;TableMonthlySummary[[#This Row],[Hasta]])</f>
        <v>0</v>
      </c>
      <c r="U19" s="12">
        <f ca="1">TableMonthlySummary[[#This Row],[Inversión google ads]]+TableMonthlySummary[[#This Row],[Inversión meta ads]]</f>
        <v>0</v>
      </c>
      <c r="V19" s="12">
        <f ca="1">TableMonthlySummary[[#This Row],[Ventas google ads]]+TableMonthlySummary[[#This Row],[Ventas meta ads]]</f>
        <v>0</v>
      </c>
      <c r="W19" s="14">
        <f ca="1">IFERROR(TableMonthlySummary[[#This Row],[Ventas publicidad]]/TableMonthlySummary[[#This Row],[Inversión publicidad]],0)</f>
        <v>0</v>
      </c>
      <c r="X19" s="14">
        <f ca="1">IFERROR(TableMonthlySummary[[#This Row],[Ventas primer cliente]]/TableMonthlySummary[[#This Row],[Inversión publicidad]],0)</f>
        <v>0</v>
      </c>
      <c r="Y19" s="14">
        <f ca="1">IFERROR(1/TableMonthlySummary[[#This Row],[Contribución %]],0)</f>
        <v>0</v>
      </c>
      <c r="Z19" s="14"/>
      <c r="AA19" s="12"/>
      <c r="AB19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9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9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9" s="12">
        <f ca="1">SUMIFS(AccountingReport[costs_fixed],AccountingReport[period],TableMonthlySummary[[#This Row],[Desde]])</f>
        <v>0</v>
      </c>
      <c r="AF19" s="17">
        <f ca="1">TableMonthlySummary[[#This Row],[Ventas netas totales]]-TableMonthlySummary[[#This Row],[Costos variables totales]]-TableMonthlySummary[[#This Row],[Costos fijos]]</f>
        <v>0</v>
      </c>
      <c r="AG19" s="18">
        <f ca="1">IFERROR(TableMonthlySummary[[#This Row],[Contribución $]] / TableMonthlySummary[[#This Row],[Ventas netas totales]],0)</f>
        <v>0</v>
      </c>
      <c r="AH19" s="12">
        <f ca="1">IFERROR(TableMonthlySummary[[#This Row],[Costos de publicidad totales]]/TableMonthlySummary[[#This Row],[Órdenes primer cliente]],0)</f>
        <v>0</v>
      </c>
      <c r="AI19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19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19" s="12">
        <f ca="1">SUMIFS(TableDailySummary[Utilidad bruta],TableDailySummary[Fecha],"&gt;="&amp;TableMonthlySummary[[#This Row],[Desde]],TableDailySummary[Fecha],"&lt;="&amp;TableMonthlySummary[[#This Row],[Hasta]])</f>
        <v>0</v>
      </c>
      <c r="AL19" s="18">
        <f ca="1">IFERROR(TableMonthlySummary[[#This Row],[Utilidad bruta]]/TableMonthlySummary[[#This Row],[Ventas netas con costo registrado]],0)</f>
        <v>0</v>
      </c>
    </row>
    <row r="20" spans="2:38" x14ac:dyDescent="0.2">
      <c r="B20" s="16">
        <f ca="1">MONTH(TableMonthlySummary[[#This Row],[Hasta]])</f>
        <v>11</v>
      </c>
      <c r="C20" s="6">
        <f t="shared" ca="1" si="3"/>
        <v>46334</v>
      </c>
      <c r="D20" s="6">
        <f ca="1">EOMONTH(TableMonthlySummary[[#This Row],[Desde]], 0)</f>
        <v>46356</v>
      </c>
      <c r="E20" s="12">
        <f ca="1">SUMIFS(TableDailySummary[Ventas netas totales],TableDailySummary[Fecha],"&gt;="&amp;TableMonthlySummary[[#This Row],[Desde]],TableDailySummary[Fecha],"&lt;="&amp;TableMonthlySummary[[#This Row],[Hasta]])</f>
        <v>0</v>
      </c>
      <c r="F20" s="12">
        <f ca="1">SUMIFS(TableDailySummary[Órdenes totales],TableDailySummary[Fecha],"&gt;="&amp;TableMonthlySummary[[#This Row],[Desde]],TableDailySummary[Fecha],"&lt;="&amp;TableMonthlySummary[[#This Row],[Hasta]])</f>
        <v>0</v>
      </c>
      <c r="G20" s="12">
        <f ca="1">SUMIFS(TableDailySummary[Ventas primer cliente],TableDailySummary[Fecha],"&gt;="&amp;TableMonthlySummary[[#This Row],[Desde]],TableDailySummary[Fecha],"&lt;="&amp;TableMonthlySummary[[#This Row],[Hasta]])</f>
        <v>0</v>
      </c>
      <c r="H20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20" s="12">
        <f ca="1">SUMIFS(TableDailySummary[Online Store_net_sales],TableDailySummary[Fecha],"&gt;="&amp;TableMonthlySummary[[#This Row],[Desde]],TableDailySummary[Fecha],"&lt;="&amp;TableMonthlySummary[[#This Row],[Hasta]])</f>
        <v>0</v>
      </c>
      <c r="J20" s="12">
        <f ca="1">SUMIFS(TableDailySummary[Online Store_orders],TableDailySummary[Fecha],"&gt;="&amp;TableMonthlySummary[[#This Row],[Desde]],TableDailySummary[Fecha],"&lt;="&amp;TableMonthlySummary[[#This Row],[Hasta]])</f>
        <v>0</v>
      </c>
      <c r="K20" s="12">
        <f ca="1">SUMIFS(TableDailySummary[Tienda 81_net_sales],TableDailySummary[Fecha],"&gt;="&amp;TableMonthlySummary[[#This Row],[Desde]],TableDailySummary[Fecha],"&lt;="&amp;TableMonthlySummary[[#This Row],[Hasta]])</f>
        <v>0</v>
      </c>
      <c r="L20" s="12">
        <f ca="1">SUMIFS(TableDailySummary[Tienda 81_orders],TableDailySummary[Fecha],"&gt;="&amp;TableMonthlySummary[[#This Row],[Desde]],TableDailySummary[Fecha],"&lt;="&amp;TableMonthlySummary[[#This Row],[Hasta]])</f>
        <v>0</v>
      </c>
      <c r="M20" s="12">
        <f ca="1">SUMIFS(TableDailySummary[Rappi_net_sales],TableDailySummary[Fecha],"&gt;="&amp;TableMonthlySummary[[#This Row],[Desde]],TableDailySummary[Fecha],"&lt;="&amp;TableMonthlySummary[[#This Row],[Hasta]])</f>
        <v>0</v>
      </c>
      <c r="N20" s="12">
        <f ca="1">SUMIFS(TableDailySummary[Rappi_orders],TableDailySummary[Fecha],"&gt;="&amp;TableMonthlySummary[[#This Row],[Desde]],TableDailySummary[Fecha],"&lt;="&amp;TableMonthlySummary[[#This Row],[Hasta]])</f>
        <v>0</v>
      </c>
      <c r="O20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20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20" s="12">
        <f ca="1">SUMIFS(TableDailySummary[Inversión google ads],TableDailySummary[Fecha],"&gt;="&amp;TableMonthlySummary[[#This Row],[Desde]],TableDailySummary[Fecha],"&lt;="&amp;TableMonthlySummary[[#This Row],[Hasta]])</f>
        <v>0</v>
      </c>
      <c r="R20" s="12">
        <f ca="1">SUMIFS(TableDailySummary[Ventas google ads],TableDailySummary[Fecha],"&gt;="&amp;TableMonthlySummary[[#This Row],[Desde]],TableDailySummary[Fecha],"&lt;="&amp;TableMonthlySummary[[#This Row],[Hasta]])</f>
        <v>0</v>
      </c>
      <c r="S20" s="12">
        <f ca="1">SUMIFS(TableDailySummary[Inversión meta ads],TableDailySummary[Fecha],"&gt;="&amp;TableMonthlySummary[[#This Row],[Desde]],TableDailySummary[Fecha],"&lt;="&amp;TableMonthlySummary[[#This Row],[Hasta]])</f>
        <v>0</v>
      </c>
      <c r="T20" s="12">
        <f ca="1">SUMIFS(TableDailySummary[Ventas meta ads],TableDailySummary[Fecha],"&gt;="&amp;TableMonthlySummary[[#This Row],[Desde]],TableDailySummary[Fecha],"&lt;="&amp;TableMonthlySummary[[#This Row],[Hasta]])</f>
        <v>0</v>
      </c>
      <c r="U20" s="12">
        <f ca="1">TableMonthlySummary[[#This Row],[Inversión google ads]]+TableMonthlySummary[[#This Row],[Inversión meta ads]]</f>
        <v>0</v>
      </c>
      <c r="V20" s="12">
        <f ca="1">TableMonthlySummary[[#This Row],[Ventas google ads]]+TableMonthlySummary[[#This Row],[Ventas meta ads]]</f>
        <v>0</v>
      </c>
      <c r="W20" s="14">
        <f ca="1">IFERROR(TableMonthlySummary[[#This Row],[Ventas publicidad]]/TableMonthlySummary[[#This Row],[Inversión publicidad]],0)</f>
        <v>0</v>
      </c>
      <c r="X20" s="14">
        <f ca="1">IFERROR(TableMonthlySummary[[#This Row],[Ventas primer cliente]]/TableMonthlySummary[[#This Row],[Inversión publicidad]],0)</f>
        <v>0</v>
      </c>
      <c r="Y20" s="14">
        <f ca="1">IFERROR(1/TableMonthlySummary[[#This Row],[Contribución %]],0)</f>
        <v>0</v>
      </c>
      <c r="Z20" s="14"/>
      <c r="AA20" s="12"/>
      <c r="AB20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0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0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0" s="12">
        <f ca="1">SUMIFS(AccountingReport[costs_fixed],AccountingReport[period],TableMonthlySummary[[#This Row],[Desde]])</f>
        <v>0</v>
      </c>
      <c r="AF20" s="17">
        <f ca="1">TableMonthlySummary[[#This Row],[Ventas netas totales]]-TableMonthlySummary[[#This Row],[Costos variables totales]]-TableMonthlySummary[[#This Row],[Costos fijos]]</f>
        <v>0</v>
      </c>
      <c r="AG20" s="18">
        <f ca="1">IFERROR(TableMonthlySummary[[#This Row],[Contribución $]] / TableMonthlySummary[[#This Row],[Ventas netas totales]],0)</f>
        <v>0</v>
      </c>
      <c r="AH20" s="12">
        <f ca="1">IFERROR(TableMonthlySummary[[#This Row],[Costos de publicidad totales]]/TableMonthlySummary[[#This Row],[Órdenes primer cliente]],0)</f>
        <v>0</v>
      </c>
      <c r="AI20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20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20" s="12">
        <f ca="1">SUMIFS(TableDailySummary[Utilidad bruta],TableDailySummary[Fecha],"&gt;="&amp;TableMonthlySummary[[#This Row],[Desde]],TableDailySummary[Fecha],"&lt;="&amp;TableMonthlySummary[[#This Row],[Hasta]])</f>
        <v>0</v>
      </c>
      <c r="AL20" s="18">
        <f ca="1">IFERROR(TableMonthlySummary[[#This Row],[Utilidad bruta]]/TableMonthlySummary[[#This Row],[Ventas netas con costo registrado]],0)</f>
        <v>0</v>
      </c>
    </row>
    <row r="21" spans="2:38" x14ac:dyDescent="0.2">
      <c r="B21" s="16">
        <f ca="1">MONTH(TableMonthlySummary[[#This Row],[Hasta]])</f>
        <v>12</v>
      </c>
      <c r="C21" s="6">
        <f t="shared" ca="1" si="3"/>
        <v>46364</v>
      </c>
      <c r="D21" s="6">
        <f ca="1">EOMONTH(TableMonthlySummary[[#This Row],[Desde]], 0)</f>
        <v>46387</v>
      </c>
      <c r="E21" s="12">
        <f ca="1">SUMIFS(TableDailySummary[Ventas netas totales],TableDailySummary[Fecha],"&gt;="&amp;TableMonthlySummary[[#This Row],[Desde]],TableDailySummary[Fecha],"&lt;="&amp;TableMonthlySummary[[#This Row],[Hasta]])</f>
        <v>0</v>
      </c>
      <c r="F21" s="12">
        <f ca="1">SUMIFS(TableDailySummary[Órdenes totales],TableDailySummary[Fecha],"&gt;="&amp;TableMonthlySummary[[#This Row],[Desde]],TableDailySummary[Fecha],"&lt;="&amp;TableMonthlySummary[[#This Row],[Hasta]])</f>
        <v>0</v>
      </c>
      <c r="G21" s="12">
        <f ca="1">SUMIFS(TableDailySummary[Ventas primer cliente],TableDailySummary[Fecha],"&gt;="&amp;TableMonthlySummary[[#This Row],[Desde]],TableDailySummary[Fecha],"&lt;="&amp;TableMonthlySummary[[#This Row],[Hasta]])</f>
        <v>0</v>
      </c>
      <c r="H21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21" s="12">
        <f ca="1">SUMIFS(TableDailySummary[Online Store_net_sales],TableDailySummary[Fecha],"&gt;="&amp;TableMonthlySummary[[#This Row],[Desde]],TableDailySummary[Fecha],"&lt;="&amp;TableMonthlySummary[[#This Row],[Hasta]])</f>
        <v>0</v>
      </c>
      <c r="J21" s="12">
        <f ca="1">SUMIFS(TableDailySummary[Online Store_orders],TableDailySummary[Fecha],"&gt;="&amp;TableMonthlySummary[[#This Row],[Desde]],TableDailySummary[Fecha],"&lt;="&amp;TableMonthlySummary[[#This Row],[Hasta]])</f>
        <v>0</v>
      </c>
      <c r="K21" s="12">
        <f ca="1">SUMIFS(TableDailySummary[Tienda 81_net_sales],TableDailySummary[Fecha],"&gt;="&amp;TableMonthlySummary[[#This Row],[Desde]],TableDailySummary[Fecha],"&lt;="&amp;TableMonthlySummary[[#This Row],[Hasta]])</f>
        <v>0</v>
      </c>
      <c r="L21" s="12">
        <f ca="1">SUMIFS(TableDailySummary[Tienda 81_orders],TableDailySummary[Fecha],"&gt;="&amp;TableMonthlySummary[[#This Row],[Desde]],TableDailySummary[Fecha],"&lt;="&amp;TableMonthlySummary[[#This Row],[Hasta]])</f>
        <v>0</v>
      </c>
      <c r="M21" s="12">
        <f ca="1">SUMIFS(TableDailySummary[Rappi_net_sales],TableDailySummary[Fecha],"&gt;="&amp;TableMonthlySummary[[#This Row],[Desde]],TableDailySummary[Fecha],"&lt;="&amp;TableMonthlySummary[[#This Row],[Hasta]])</f>
        <v>0</v>
      </c>
      <c r="N21" s="12">
        <f ca="1">SUMIFS(TableDailySummary[Rappi_orders],TableDailySummary[Fecha],"&gt;="&amp;TableMonthlySummary[[#This Row],[Desde]],TableDailySummary[Fecha],"&lt;="&amp;TableMonthlySummary[[#This Row],[Hasta]])</f>
        <v>0</v>
      </c>
      <c r="O21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21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21" s="12">
        <f ca="1">SUMIFS(TableDailySummary[Inversión google ads],TableDailySummary[Fecha],"&gt;="&amp;TableMonthlySummary[[#This Row],[Desde]],TableDailySummary[Fecha],"&lt;="&amp;TableMonthlySummary[[#This Row],[Hasta]])</f>
        <v>0</v>
      </c>
      <c r="R21" s="12">
        <f ca="1">SUMIFS(TableDailySummary[Ventas google ads],TableDailySummary[Fecha],"&gt;="&amp;TableMonthlySummary[[#This Row],[Desde]],TableDailySummary[Fecha],"&lt;="&amp;TableMonthlySummary[[#This Row],[Hasta]])</f>
        <v>0</v>
      </c>
      <c r="S21" s="12">
        <f ca="1">SUMIFS(TableDailySummary[Inversión meta ads],TableDailySummary[Fecha],"&gt;="&amp;TableMonthlySummary[[#This Row],[Desde]],TableDailySummary[Fecha],"&lt;="&amp;TableMonthlySummary[[#This Row],[Hasta]])</f>
        <v>0</v>
      </c>
      <c r="T21" s="12">
        <f ca="1">SUMIFS(TableDailySummary[Ventas meta ads],TableDailySummary[Fecha],"&gt;="&amp;TableMonthlySummary[[#This Row],[Desde]],TableDailySummary[Fecha],"&lt;="&amp;TableMonthlySummary[[#This Row],[Hasta]])</f>
        <v>0</v>
      </c>
      <c r="U21" s="12">
        <f ca="1">TableMonthlySummary[[#This Row],[Inversión google ads]]+TableMonthlySummary[[#This Row],[Inversión meta ads]]</f>
        <v>0</v>
      </c>
      <c r="V21" s="12">
        <f ca="1">TableMonthlySummary[[#This Row],[Ventas google ads]]+TableMonthlySummary[[#This Row],[Ventas meta ads]]</f>
        <v>0</v>
      </c>
      <c r="W21" s="14">
        <f ca="1">IFERROR(TableMonthlySummary[[#This Row],[Ventas publicidad]]/TableMonthlySummary[[#This Row],[Inversión publicidad]],0)</f>
        <v>0</v>
      </c>
      <c r="X21" s="14">
        <f ca="1">IFERROR(TableMonthlySummary[[#This Row],[Ventas primer cliente]]/TableMonthlySummary[[#This Row],[Inversión publicidad]],0)</f>
        <v>0</v>
      </c>
      <c r="Y21" s="14">
        <f ca="1">IFERROR(1/TableMonthlySummary[[#This Row],[Contribución %]],0)</f>
        <v>0</v>
      </c>
      <c r="Z21" s="14"/>
      <c r="AA21" s="12"/>
      <c r="AB21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1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1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1" s="12">
        <f ca="1">SUMIFS(AccountingReport[costs_fixed],AccountingReport[period],TableMonthlySummary[[#This Row],[Desde]])</f>
        <v>0</v>
      </c>
      <c r="AF21" s="17">
        <f ca="1">TableMonthlySummary[[#This Row],[Ventas netas totales]]-TableMonthlySummary[[#This Row],[Costos variables totales]]-TableMonthlySummary[[#This Row],[Costos fijos]]</f>
        <v>0</v>
      </c>
      <c r="AG21" s="18">
        <f ca="1">IFERROR(TableMonthlySummary[[#This Row],[Contribución $]] / TableMonthlySummary[[#This Row],[Ventas netas totales]],0)</f>
        <v>0</v>
      </c>
      <c r="AH21" s="12">
        <f ca="1">IFERROR(TableMonthlySummary[[#This Row],[Costos de publicidad totales]]/TableMonthlySummary[[#This Row],[Órdenes primer cliente]],0)</f>
        <v>0</v>
      </c>
      <c r="AI21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21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21" s="12">
        <f ca="1">SUMIFS(TableDailySummary[Utilidad bruta],TableDailySummary[Fecha],"&gt;="&amp;TableMonthlySummary[[#This Row],[Desde]],TableDailySummary[Fecha],"&lt;="&amp;TableMonthlySummary[[#This Row],[Hasta]])</f>
        <v>0</v>
      </c>
      <c r="AL21" s="18">
        <f ca="1">IFERROR(TableMonthlySummary[[#This Row],[Utilidad bruta]]/TableMonthlySummary[[#This Row],[Ventas netas con costo registrado]],0)</f>
        <v>0</v>
      </c>
    </row>
    <row r="22" spans="2:38" x14ac:dyDescent="0.2">
      <c r="B22" s="16">
        <f ca="1">MONTH(TableMonthlySummary[[#This Row],[Hasta]])</f>
        <v>1</v>
      </c>
      <c r="C22" s="6">
        <f t="shared" ca="1" si="3"/>
        <v>46395</v>
      </c>
      <c r="D22" s="6">
        <f ca="1">EOMONTH(TableMonthlySummary[[#This Row],[Desde]], 0)</f>
        <v>46418</v>
      </c>
      <c r="E22" s="12">
        <f ca="1">SUMIFS(TableDailySummary[Ventas netas totales],TableDailySummary[Fecha],"&gt;="&amp;TableMonthlySummary[[#This Row],[Desde]],TableDailySummary[Fecha],"&lt;="&amp;TableMonthlySummary[[#This Row],[Hasta]])</f>
        <v>0</v>
      </c>
      <c r="F22" s="12">
        <f ca="1">SUMIFS(TableDailySummary[Órdenes totales],TableDailySummary[Fecha],"&gt;="&amp;TableMonthlySummary[[#This Row],[Desde]],TableDailySummary[Fecha],"&lt;="&amp;TableMonthlySummary[[#This Row],[Hasta]])</f>
        <v>0</v>
      </c>
      <c r="G22" s="12">
        <f ca="1">SUMIFS(TableDailySummary[Ventas primer cliente],TableDailySummary[Fecha],"&gt;="&amp;TableMonthlySummary[[#This Row],[Desde]],TableDailySummary[Fecha],"&lt;="&amp;TableMonthlySummary[[#This Row],[Hasta]])</f>
        <v>0</v>
      </c>
      <c r="H22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22" s="12">
        <f ca="1">SUMIFS(TableDailySummary[Online Store_net_sales],TableDailySummary[Fecha],"&gt;="&amp;TableMonthlySummary[[#This Row],[Desde]],TableDailySummary[Fecha],"&lt;="&amp;TableMonthlySummary[[#This Row],[Hasta]])</f>
        <v>0</v>
      </c>
      <c r="J22" s="12">
        <f ca="1">SUMIFS(TableDailySummary[Online Store_orders],TableDailySummary[Fecha],"&gt;="&amp;TableMonthlySummary[[#This Row],[Desde]],TableDailySummary[Fecha],"&lt;="&amp;TableMonthlySummary[[#This Row],[Hasta]])</f>
        <v>0</v>
      </c>
      <c r="K22" s="12">
        <f ca="1">SUMIFS(TableDailySummary[Tienda 81_net_sales],TableDailySummary[Fecha],"&gt;="&amp;TableMonthlySummary[[#This Row],[Desde]],TableDailySummary[Fecha],"&lt;="&amp;TableMonthlySummary[[#This Row],[Hasta]])</f>
        <v>0</v>
      </c>
      <c r="L22" s="12">
        <f ca="1">SUMIFS(TableDailySummary[Tienda 81_orders],TableDailySummary[Fecha],"&gt;="&amp;TableMonthlySummary[[#This Row],[Desde]],TableDailySummary[Fecha],"&lt;="&amp;TableMonthlySummary[[#This Row],[Hasta]])</f>
        <v>0</v>
      </c>
      <c r="M22" s="12">
        <f ca="1">SUMIFS(TableDailySummary[Rappi_net_sales],TableDailySummary[Fecha],"&gt;="&amp;TableMonthlySummary[[#This Row],[Desde]],TableDailySummary[Fecha],"&lt;="&amp;TableMonthlySummary[[#This Row],[Hasta]])</f>
        <v>0</v>
      </c>
      <c r="N22" s="12">
        <f ca="1">SUMIFS(TableDailySummary[Rappi_orders],TableDailySummary[Fecha],"&gt;="&amp;TableMonthlySummary[[#This Row],[Desde]],TableDailySummary[Fecha],"&lt;="&amp;TableMonthlySummary[[#This Row],[Hasta]])</f>
        <v>0</v>
      </c>
      <c r="O22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22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22" s="12">
        <f ca="1">SUMIFS(TableDailySummary[Inversión google ads],TableDailySummary[Fecha],"&gt;="&amp;TableMonthlySummary[[#This Row],[Desde]],TableDailySummary[Fecha],"&lt;="&amp;TableMonthlySummary[[#This Row],[Hasta]])</f>
        <v>0</v>
      </c>
      <c r="R22" s="12">
        <f ca="1">SUMIFS(TableDailySummary[Ventas google ads],TableDailySummary[Fecha],"&gt;="&amp;TableMonthlySummary[[#This Row],[Desde]],TableDailySummary[Fecha],"&lt;="&amp;TableMonthlySummary[[#This Row],[Hasta]])</f>
        <v>0</v>
      </c>
      <c r="S22" s="12">
        <f ca="1">SUMIFS(TableDailySummary[Inversión meta ads],TableDailySummary[Fecha],"&gt;="&amp;TableMonthlySummary[[#This Row],[Desde]],TableDailySummary[Fecha],"&lt;="&amp;TableMonthlySummary[[#This Row],[Hasta]])</f>
        <v>0</v>
      </c>
      <c r="T22" s="12">
        <f ca="1">SUMIFS(TableDailySummary[Ventas meta ads],TableDailySummary[Fecha],"&gt;="&amp;TableMonthlySummary[[#This Row],[Desde]],TableDailySummary[Fecha],"&lt;="&amp;TableMonthlySummary[[#This Row],[Hasta]])</f>
        <v>0</v>
      </c>
      <c r="U22" s="12">
        <f ca="1">TableMonthlySummary[[#This Row],[Inversión google ads]]+TableMonthlySummary[[#This Row],[Inversión meta ads]]</f>
        <v>0</v>
      </c>
      <c r="V22" s="12">
        <f ca="1">TableMonthlySummary[[#This Row],[Ventas google ads]]+TableMonthlySummary[[#This Row],[Ventas meta ads]]</f>
        <v>0</v>
      </c>
      <c r="W22" s="14">
        <f ca="1">IFERROR(TableMonthlySummary[[#This Row],[Ventas publicidad]]/TableMonthlySummary[[#This Row],[Inversión publicidad]],0)</f>
        <v>0</v>
      </c>
      <c r="X22" s="14">
        <f ca="1">IFERROR(TableMonthlySummary[[#This Row],[Ventas primer cliente]]/TableMonthlySummary[[#This Row],[Inversión publicidad]],0)</f>
        <v>0</v>
      </c>
      <c r="Y22" s="14">
        <f ca="1">IFERROR(1/TableMonthlySummary[[#This Row],[Contribución %]],0)</f>
        <v>0</v>
      </c>
      <c r="Z22" s="14"/>
      <c r="AA22" s="12"/>
      <c r="AB22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2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2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2" s="12">
        <f ca="1">SUMIFS(AccountingReport[costs_fixed],AccountingReport[period],TableMonthlySummary[[#This Row],[Desde]])</f>
        <v>0</v>
      </c>
      <c r="AF22" s="17">
        <f ca="1">TableMonthlySummary[[#This Row],[Ventas netas totales]]-TableMonthlySummary[[#This Row],[Costos variables totales]]-TableMonthlySummary[[#This Row],[Costos fijos]]</f>
        <v>0</v>
      </c>
      <c r="AG22" s="18">
        <f ca="1">IFERROR(TableMonthlySummary[[#This Row],[Contribución $]] / TableMonthlySummary[[#This Row],[Ventas netas totales]],0)</f>
        <v>0</v>
      </c>
      <c r="AH22" s="12">
        <f ca="1">IFERROR(TableMonthlySummary[[#This Row],[Costos de publicidad totales]]/TableMonthlySummary[[#This Row],[Órdenes primer cliente]],0)</f>
        <v>0</v>
      </c>
      <c r="AI22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22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22" s="12">
        <f ca="1">SUMIFS(TableDailySummary[Utilidad bruta],TableDailySummary[Fecha],"&gt;="&amp;TableMonthlySummary[[#This Row],[Desde]],TableDailySummary[Fecha],"&lt;="&amp;TableMonthlySummary[[#This Row],[Hasta]])</f>
        <v>0</v>
      </c>
      <c r="AL22" s="18">
        <f ca="1">IFERROR(TableMonthlySummary[[#This Row],[Utilidad bruta]]/TableMonthlySummary[[#This Row],[Ventas netas con costo registrado]],0)</f>
        <v>0</v>
      </c>
    </row>
    <row r="23" spans="2:38" x14ac:dyDescent="0.2">
      <c r="B23" s="16">
        <f ca="1">MONTH(TableMonthlySummary[[#This Row],[Hasta]])</f>
        <v>2</v>
      </c>
      <c r="C23" s="6">
        <f t="shared" ca="1" si="3"/>
        <v>46426</v>
      </c>
      <c r="D23" s="6">
        <f ca="1">EOMONTH(TableMonthlySummary[[#This Row],[Desde]], 0)</f>
        <v>46446</v>
      </c>
      <c r="E23" s="12">
        <f ca="1">SUMIFS(TableDailySummary[Ventas netas totales],TableDailySummary[Fecha],"&gt;="&amp;TableMonthlySummary[[#This Row],[Desde]],TableDailySummary[Fecha],"&lt;="&amp;TableMonthlySummary[[#This Row],[Hasta]])</f>
        <v>0</v>
      </c>
      <c r="F23" s="12">
        <f ca="1">SUMIFS(TableDailySummary[Órdenes totales],TableDailySummary[Fecha],"&gt;="&amp;TableMonthlySummary[[#This Row],[Desde]],TableDailySummary[Fecha],"&lt;="&amp;TableMonthlySummary[[#This Row],[Hasta]])</f>
        <v>0</v>
      </c>
      <c r="G23" s="12">
        <f ca="1">SUMIFS(TableDailySummary[Ventas primer cliente],TableDailySummary[Fecha],"&gt;="&amp;TableMonthlySummary[[#This Row],[Desde]],TableDailySummary[Fecha],"&lt;="&amp;TableMonthlySummary[[#This Row],[Hasta]])</f>
        <v>0</v>
      </c>
      <c r="H23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23" s="12">
        <f ca="1">SUMIFS(TableDailySummary[Online Store_net_sales],TableDailySummary[Fecha],"&gt;="&amp;TableMonthlySummary[[#This Row],[Desde]],TableDailySummary[Fecha],"&lt;="&amp;TableMonthlySummary[[#This Row],[Hasta]])</f>
        <v>0</v>
      </c>
      <c r="J23" s="12">
        <f ca="1">SUMIFS(TableDailySummary[Online Store_orders],TableDailySummary[Fecha],"&gt;="&amp;TableMonthlySummary[[#This Row],[Desde]],TableDailySummary[Fecha],"&lt;="&amp;TableMonthlySummary[[#This Row],[Hasta]])</f>
        <v>0</v>
      </c>
      <c r="K23" s="12">
        <f ca="1">SUMIFS(TableDailySummary[Tienda 81_net_sales],TableDailySummary[Fecha],"&gt;="&amp;TableMonthlySummary[[#This Row],[Desde]],TableDailySummary[Fecha],"&lt;="&amp;TableMonthlySummary[[#This Row],[Hasta]])</f>
        <v>0</v>
      </c>
      <c r="L23" s="12">
        <f ca="1">SUMIFS(TableDailySummary[Tienda 81_orders],TableDailySummary[Fecha],"&gt;="&amp;TableMonthlySummary[[#This Row],[Desde]],TableDailySummary[Fecha],"&lt;="&amp;TableMonthlySummary[[#This Row],[Hasta]])</f>
        <v>0</v>
      </c>
      <c r="M23" s="12">
        <f ca="1">SUMIFS(TableDailySummary[Rappi_net_sales],TableDailySummary[Fecha],"&gt;="&amp;TableMonthlySummary[[#This Row],[Desde]],TableDailySummary[Fecha],"&lt;="&amp;TableMonthlySummary[[#This Row],[Hasta]])</f>
        <v>0</v>
      </c>
      <c r="N23" s="12">
        <f ca="1">SUMIFS(TableDailySummary[Rappi_orders],TableDailySummary[Fecha],"&gt;="&amp;TableMonthlySummary[[#This Row],[Desde]],TableDailySummary[Fecha],"&lt;="&amp;TableMonthlySummary[[#This Row],[Hasta]])</f>
        <v>0</v>
      </c>
      <c r="O23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23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23" s="12">
        <f ca="1">SUMIFS(TableDailySummary[Inversión google ads],TableDailySummary[Fecha],"&gt;="&amp;TableMonthlySummary[[#This Row],[Desde]],TableDailySummary[Fecha],"&lt;="&amp;TableMonthlySummary[[#This Row],[Hasta]])</f>
        <v>0</v>
      </c>
      <c r="R23" s="12">
        <f ca="1">SUMIFS(TableDailySummary[Ventas google ads],TableDailySummary[Fecha],"&gt;="&amp;TableMonthlySummary[[#This Row],[Desde]],TableDailySummary[Fecha],"&lt;="&amp;TableMonthlySummary[[#This Row],[Hasta]])</f>
        <v>0</v>
      </c>
      <c r="S23" s="12">
        <f ca="1">SUMIFS(TableDailySummary[Inversión meta ads],TableDailySummary[Fecha],"&gt;="&amp;TableMonthlySummary[[#This Row],[Desde]],TableDailySummary[Fecha],"&lt;="&amp;TableMonthlySummary[[#This Row],[Hasta]])</f>
        <v>0</v>
      </c>
      <c r="T23" s="12">
        <f ca="1">SUMIFS(TableDailySummary[Ventas meta ads],TableDailySummary[Fecha],"&gt;="&amp;TableMonthlySummary[[#This Row],[Desde]],TableDailySummary[Fecha],"&lt;="&amp;TableMonthlySummary[[#This Row],[Hasta]])</f>
        <v>0</v>
      </c>
      <c r="U23" s="12">
        <f ca="1">TableMonthlySummary[[#This Row],[Inversión google ads]]+TableMonthlySummary[[#This Row],[Inversión meta ads]]</f>
        <v>0</v>
      </c>
      <c r="V23" s="12">
        <f ca="1">TableMonthlySummary[[#This Row],[Ventas google ads]]+TableMonthlySummary[[#This Row],[Ventas meta ads]]</f>
        <v>0</v>
      </c>
      <c r="W23" s="14">
        <f ca="1">IFERROR(TableMonthlySummary[[#This Row],[Ventas publicidad]]/TableMonthlySummary[[#This Row],[Inversión publicidad]],0)</f>
        <v>0</v>
      </c>
      <c r="X23" s="14">
        <f ca="1">IFERROR(TableMonthlySummary[[#This Row],[Ventas primer cliente]]/TableMonthlySummary[[#This Row],[Inversión publicidad]],0)</f>
        <v>0</v>
      </c>
      <c r="Y23" s="14">
        <f ca="1">IFERROR(1/TableMonthlySummary[[#This Row],[Contribución %]],0)</f>
        <v>0</v>
      </c>
      <c r="Z23" s="14"/>
      <c r="AA23" s="12"/>
      <c r="AB23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3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3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3" s="12">
        <f ca="1">SUMIFS(AccountingReport[costs_fixed],AccountingReport[period],TableMonthlySummary[[#This Row],[Desde]])</f>
        <v>0</v>
      </c>
      <c r="AF23" s="17">
        <f ca="1">TableMonthlySummary[[#This Row],[Ventas netas totales]]-TableMonthlySummary[[#This Row],[Costos variables totales]]-TableMonthlySummary[[#This Row],[Costos fijos]]</f>
        <v>0</v>
      </c>
      <c r="AG23" s="18">
        <f ca="1">IFERROR(TableMonthlySummary[[#This Row],[Contribución $]] / TableMonthlySummary[[#This Row],[Ventas netas totales]],0)</f>
        <v>0</v>
      </c>
      <c r="AH23" s="12">
        <f ca="1">IFERROR(TableMonthlySummary[[#This Row],[Costos de publicidad totales]]/TableMonthlySummary[[#This Row],[Órdenes primer cliente]],0)</f>
        <v>0</v>
      </c>
      <c r="AI23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23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23" s="12">
        <f ca="1">SUMIFS(TableDailySummary[Utilidad bruta],TableDailySummary[Fecha],"&gt;="&amp;TableMonthlySummary[[#This Row],[Desde]],TableDailySummary[Fecha],"&lt;="&amp;TableMonthlySummary[[#This Row],[Hasta]])</f>
        <v>0</v>
      </c>
      <c r="AL23" s="18">
        <f ca="1">IFERROR(TableMonthlySummary[[#This Row],[Utilidad bruta]]/TableMonthlySummary[[#This Row],[Ventas netas con costo registrado]],0)</f>
        <v>0</v>
      </c>
    </row>
    <row r="24" spans="2:38" x14ac:dyDescent="0.2">
      <c r="B24" s="16">
        <f ca="1">MONTH(TableMonthlySummary[[#This Row],[Hasta]])</f>
        <v>3</v>
      </c>
      <c r="C24" s="6">
        <f t="shared" ca="1" si="3"/>
        <v>46454</v>
      </c>
      <c r="D24" s="6">
        <f ca="1">EOMONTH(TableMonthlySummary[[#This Row],[Desde]], 0)</f>
        <v>46477</v>
      </c>
      <c r="E24" s="12">
        <f ca="1">SUMIFS(TableDailySummary[Ventas netas totales],TableDailySummary[Fecha],"&gt;="&amp;TableMonthlySummary[[#This Row],[Desde]],TableDailySummary[Fecha],"&lt;="&amp;TableMonthlySummary[[#This Row],[Hasta]])</f>
        <v>0</v>
      </c>
      <c r="F24" s="12">
        <f ca="1">SUMIFS(TableDailySummary[Órdenes totales],TableDailySummary[Fecha],"&gt;="&amp;TableMonthlySummary[[#This Row],[Desde]],TableDailySummary[Fecha],"&lt;="&amp;TableMonthlySummary[[#This Row],[Hasta]])</f>
        <v>0</v>
      </c>
      <c r="G24" s="12">
        <f ca="1">SUMIFS(TableDailySummary[Ventas primer cliente],TableDailySummary[Fecha],"&gt;="&amp;TableMonthlySummary[[#This Row],[Desde]],TableDailySummary[Fecha],"&lt;="&amp;TableMonthlySummary[[#This Row],[Hasta]])</f>
        <v>0</v>
      </c>
      <c r="H24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24" s="12">
        <f ca="1">SUMIFS(TableDailySummary[Online Store_net_sales],TableDailySummary[Fecha],"&gt;="&amp;TableMonthlySummary[[#This Row],[Desde]],TableDailySummary[Fecha],"&lt;="&amp;TableMonthlySummary[[#This Row],[Hasta]])</f>
        <v>0</v>
      </c>
      <c r="J24" s="12">
        <f ca="1">SUMIFS(TableDailySummary[Online Store_orders],TableDailySummary[Fecha],"&gt;="&amp;TableMonthlySummary[[#This Row],[Desde]],TableDailySummary[Fecha],"&lt;="&amp;TableMonthlySummary[[#This Row],[Hasta]])</f>
        <v>0</v>
      </c>
      <c r="K24" s="12">
        <f ca="1">SUMIFS(TableDailySummary[Tienda 81_net_sales],TableDailySummary[Fecha],"&gt;="&amp;TableMonthlySummary[[#This Row],[Desde]],TableDailySummary[Fecha],"&lt;="&amp;TableMonthlySummary[[#This Row],[Hasta]])</f>
        <v>0</v>
      </c>
      <c r="L24" s="12">
        <f ca="1">SUMIFS(TableDailySummary[Tienda 81_orders],TableDailySummary[Fecha],"&gt;="&amp;TableMonthlySummary[[#This Row],[Desde]],TableDailySummary[Fecha],"&lt;="&amp;TableMonthlySummary[[#This Row],[Hasta]])</f>
        <v>0</v>
      </c>
      <c r="M24" s="12">
        <f ca="1">SUMIFS(TableDailySummary[Rappi_net_sales],TableDailySummary[Fecha],"&gt;="&amp;TableMonthlySummary[[#This Row],[Desde]],TableDailySummary[Fecha],"&lt;="&amp;TableMonthlySummary[[#This Row],[Hasta]])</f>
        <v>0</v>
      </c>
      <c r="N24" s="12">
        <f ca="1">SUMIFS(TableDailySummary[Rappi_orders],TableDailySummary[Fecha],"&gt;="&amp;TableMonthlySummary[[#This Row],[Desde]],TableDailySummary[Fecha],"&lt;="&amp;TableMonthlySummary[[#This Row],[Hasta]])</f>
        <v>0</v>
      </c>
      <c r="O24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24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24" s="12">
        <f ca="1">SUMIFS(TableDailySummary[Inversión google ads],TableDailySummary[Fecha],"&gt;="&amp;TableMonthlySummary[[#This Row],[Desde]],TableDailySummary[Fecha],"&lt;="&amp;TableMonthlySummary[[#This Row],[Hasta]])</f>
        <v>0</v>
      </c>
      <c r="R24" s="12">
        <f ca="1">SUMIFS(TableDailySummary[Ventas google ads],TableDailySummary[Fecha],"&gt;="&amp;TableMonthlySummary[[#This Row],[Desde]],TableDailySummary[Fecha],"&lt;="&amp;TableMonthlySummary[[#This Row],[Hasta]])</f>
        <v>0</v>
      </c>
      <c r="S24" s="12">
        <f ca="1">SUMIFS(TableDailySummary[Inversión meta ads],TableDailySummary[Fecha],"&gt;="&amp;TableMonthlySummary[[#This Row],[Desde]],TableDailySummary[Fecha],"&lt;="&amp;TableMonthlySummary[[#This Row],[Hasta]])</f>
        <v>0</v>
      </c>
      <c r="T24" s="12">
        <f ca="1">SUMIFS(TableDailySummary[Ventas meta ads],TableDailySummary[Fecha],"&gt;="&amp;TableMonthlySummary[[#This Row],[Desde]],TableDailySummary[Fecha],"&lt;="&amp;TableMonthlySummary[[#This Row],[Hasta]])</f>
        <v>0</v>
      </c>
      <c r="U24" s="12">
        <f ca="1">TableMonthlySummary[[#This Row],[Inversión google ads]]+TableMonthlySummary[[#This Row],[Inversión meta ads]]</f>
        <v>0</v>
      </c>
      <c r="V24" s="12">
        <f ca="1">TableMonthlySummary[[#This Row],[Ventas google ads]]+TableMonthlySummary[[#This Row],[Ventas meta ads]]</f>
        <v>0</v>
      </c>
      <c r="W24" s="14">
        <f ca="1">IFERROR(TableMonthlySummary[[#This Row],[Ventas publicidad]]/TableMonthlySummary[[#This Row],[Inversión publicidad]],0)</f>
        <v>0</v>
      </c>
      <c r="X24" s="14">
        <f ca="1">IFERROR(TableMonthlySummary[[#This Row],[Ventas primer cliente]]/TableMonthlySummary[[#This Row],[Inversión publicidad]],0)</f>
        <v>0</v>
      </c>
      <c r="Y24" s="14">
        <f ca="1">IFERROR(1/TableMonthlySummary[[#This Row],[Contribución %]],0)</f>
        <v>0</v>
      </c>
      <c r="Z24" s="14"/>
      <c r="AA24" s="12"/>
      <c r="AB24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4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4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4" s="12">
        <f ca="1">SUMIFS(AccountingReport[costs_fixed],AccountingReport[period],TableMonthlySummary[[#This Row],[Desde]])</f>
        <v>0</v>
      </c>
      <c r="AF24" s="17">
        <f ca="1">TableMonthlySummary[[#This Row],[Ventas netas totales]]-TableMonthlySummary[[#This Row],[Costos variables totales]]-TableMonthlySummary[[#This Row],[Costos fijos]]</f>
        <v>0</v>
      </c>
      <c r="AG24" s="18">
        <f ca="1">IFERROR(TableMonthlySummary[[#This Row],[Contribución $]] / TableMonthlySummary[[#This Row],[Ventas netas totales]],0)</f>
        <v>0</v>
      </c>
      <c r="AH24" s="12">
        <f ca="1">IFERROR(TableMonthlySummary[[#This Row],[Costos de publicidad totales]]/TableMonthlySummary[[#This Row],[Órdenes primer cliente]],0)</f>
        <v>0</v>
      </c>
      <c r="AI24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24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24" s="12">
        <f ca="1">SUMIFS(TableDailySummary[Utilidad bruta],TableDailySummary[Fecha],"&gt;="&amp;TableMonthlySummary[[#This Row],[Desde]],TableDailySummary[Fecha],"&lt;="&amp;TableMonthlySummary[[#This Row],[Hasta]])</f>
        <v>0</v>
      </c>
      <c r="AL24" s="18">
        <f ca="1">IFERROR(TableMonthlySummary[[#This Row],[Utilidad bruta]]/TableMonthlySummary[[#This Row],[Ventas netas con costo registrado]],0)</f>
        <v>0</v>
      </c>
    </row>
    <row r="25" spans="2:38" x14ac:dyDescent="0.2">
      <c r="B25" s="16">
        <f ca="1">MONTH(TableMonthlySummary[[#This Row],[Hasta]])</f>
        <v>4</v>
      </c>
      <c r="C25" s="6">
        <f t="shared" ca="1" si="3"/>
        <v>46485</v>
      </c>
      <c r="D25" s="6">
        <f ca="1">EOMONTH(TableMonthlySummary[[#This Row],[Desde]], 0)</f>
        <v>46507</v>
      </c>
      <c r="E25" s="12">
        <f ca="1">SUMIFS(TableDailySummary[Ventas netas totales],TableDailySummary[Fecha],"&gt;="&amp;TableMonthlySummary[[#This Row],[Desde]],TableDailySummary[Fecha],"&lt;="&amp;TableMonthlySummary[[#This Row],[Hasta]])</f>
        <v>0</v>
      </c>
      <c r="F25" s="12">
        <f ca="1">SUMIFS(TableDailySummary[Órdenes totales],TableDailySummary[Fecha],"&gt;="&amp;TableMonthlySummary[[#This Row],[Desde]],TableDailySummary[Fecha],"&lt;="&amp;TableMonthlySummary[[#This Row],[Hasta]])</f>
        <v>0</v>
      </c>
      <c r="G25" s="12">
        <f ca="1">SUMIFS(TableDailySummary[Ventas primer cliente],TableDailySummary[Fecha],"&gt;="&amp;TableMonthlySummary[[#This Row],[Desde]],TableDailySummary[Fecha],"&lt;="&amp;TableMonthlySummary[[#This Row],[Hasta]])</f>
        <v>0</v>
      </c>
      <c r="H25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25" s="12">
        <f ca="1">SUMIFS(TableDailySummary[Online Store_net_sales],TableDailySummary[Fecha],"&gt;="&amp;TableMonthlySummary[[#This Row],[Desde]],TableDailySummary[Fecha],"&lt;="&amp;TableMonthlySummary[[#This Row],[Hasta]])</f>
        <v>0</v>
      </c>
      <c r="J25" s="12">
        <f ca="1">SUMIFS(TableDailySummary[Online Store_orders],TableDailySummary[Fecha],"&gt;="&amp;TableMonthlySummary[[#This Row],[Desde]],TableDailySummary[Fecha],"&lt;="&amp;TableMonthlySummary[[#This Row],[Hasta]])</f>
        <v>0</v>
      </c>
      <c r="K25" s="12">
        <f ca="1">SUMIFS(TableDailySummary[Tienda 81_net_sales],TableDailySummary[Fecha],"&gt;="&amp;TableMonthlySummary[[#This Row],[Desde]],TableDailySummary[Fecha],"&lt;="&amp;TableMonthlySummary[[#This Row],[Hasta]])</f>
        <v>0</v>
      </c>
      <c r="L25" s="12">
        <f ca="1">SUMIFS(TableDailySummary[Tienda 81_orders],TableDailySummary[Fecha],"&gt;="&amp;TableMonthlySummary[[#This Row],[Desde]],TableDailySummary[Fecha],"&lt;="&amp;TableMonthlySummary[[#This Row],[Hasta]])</f>
        <v>0</v>
      </c>
      <c r="M25" s="12">
        <f ca="1">SUMIFS(TableDailySummary[Rappi_net_sales],TableDailySummary[Fecha],"&gt;="&amp;TableMonthlySummary[[#This Row],[Desde]],TableDailySummary[Fecha],"&lt;="&amp;TableMonthlySummary[[#This Row],[Hasta]])</f>
        <v>0</v>
      </c>
      <c r="N25" s="12">
        <f ca="1">SUMIFS(TableDailySummary[Rappi_orders],TableDailySummary[Fecha],"&gt;="&amp;TableMonthlySummary[[#This Row],[Desde]],TableDailySummary[Fecha],"&lt;="&amp;TableMonthlySummary[[#This Row],[Hasta]])</f>
        <v>0</v>
      </c>
      <c r="O25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25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25" s="12">
        <f ca="1">SUMIFS(TableDailySummary[Inversión google ads],TableDailySummary[Fecha],"&gt;="&amp;TableMonthlySummary[[#This Row],[Desde]],TableDailySummary[Fecha],"&lt;="&amp;TableMonthlySummary[[#This Row],[Hasta]])</f>
        <v>0</v>
      </c>
      <c r="R25" s="12">
        <f ca="1">SUMIFS(TableDailySummary[Ventas google ads],TableDailySummary[Fecha],"&gt;="&amp;TableMonthlySummary[[#This Row],[Desde]],TableDailySummary[Fecha],"&lt;="&amp;TableMonthlySummary[[#This Row],[Hasta]])</f>
        <v>0</v>
      </c>
      <c r="S25" s="12">
        <f ca="1">SUMIFS(TableDailySummary[Inversión meta ads],TableDailySummary[Fecha],"&gt;="&amp;TableMonthlySummary[[#This Row],[Desde]],TableDailySummary[Fecha],"&lt;="&amp;TableMonthlySummary[[#This Row],[Hasta]])</f>
        <v>0</v>
      </c>
      <c r="T25" s="12">
        <f ca="1">SUMIFS(TableDailySummary[Ventas meta ads],TableDailySummary[Fecha],"&gt;="&amp;TableMonthlySummary[[#This Row],[Desde]],TableDailySummary[Fecha],"&lt;="&amp;TableMonthlySummary[[#This Row],[Hasta]])</f>
        <v>0</v>
      </c>
      <c r="U25" s="12">
        <f ca="1">TableMonthlySummary[[#This Row],[Inversión google ads]]+TableMonthlySummary[[#This Row],[Inversión meta ads]]</f>
        <v>0</v>
      </c>
      <c r="V25" s="12">
        <f ca="1">TableMonthlySummary[[#This Row],[Ventas google ads]]+TableMonthlySummary[[#This Row],[Ventas meta ads]]</f>
        <v>0</v>
      </c>
      <c r="W25" s="14">
        <f ca="1">IFERROR(TableMonthlySummary[[#This Row],[Ventas publicidad]]/TableMonthlySummary[[#This Row],[Inversión publicidad]],0)</f>
        <v>0</v>
      </c>
      <c r="X25" s="14">
        <f ca="1">IFERROR(TableMonthlySummary[[#This Row],[Ventas primer cliente]]/TableMonthlySummary[[#This Row],[Inversión publicidad]],0)</f>
        <v>0</v>
      </c>
      <c r="Y25" s="14">
        <f ca="1">IFERROR(1/TableMonthlySummary[[#This Row],[Contribución %]],0)</f>
        <v>0</v>
      </c>
      <c r="Z25" s="14"/>
      <c r="AA25" s="12"/>
      <c r="AB25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5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5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5" s="12">
        <f ca="1">SUMIFS(AccountingReport[costs_fixed],AccountingReport[period],TableMonthlySummary[[#This Row],[Desde]])</f>
        <v>0</v>
      </c>
      <c r="AF25" s="17">
        <f ca="1">TableMonthlySummary[[#This Row],[Ventas netas totales]]-TableMonthlySummary[[#This Row],[Costos variables totales]]-TableMonthlySummary[[#This Row],[Costos fijos]]</f>
        <v>0</v>
      </c>
      <c r="AG25" s="18">
        <f ca="1">IFERROR(TableMonthlySummary[[#This Row],[Contribución $]] / TableMonthlySummary[[#This Row],[Ventas netas totales]],0)</f>
        <v>0</v>
      </c>
      <c r="AH25" s="12">
        <f ca="1">IFERROR(TableMonthlySummary[[#This Row],[Costos de publicidad totales]]/TableMonthlySummary[[#This Row],[Órdenes primer cliente]],0)</f>
        <v>0</v>
      </c>
      <c r="AI25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25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25" s="12">
        <f ca="1">SUMIFS(TableDailySummary[Utilidad bruta],TableDailySummary[Fecha],"&gt;="&amp;TableMonthlySummary[[#This Row],[Desde]],TableDailySummary[Fecha],"&lt;="&amp;TableMonthlySummary[[#This Row],[Hasta]])</f>
        <v>0</v>
      </c>
      <c r="AL25" s="18">
        <f ca="1">IFERROR(TableMonthlySummary[[#This Row],[Utilidad bruta]]/TableMonthlySummary[[#This Row],[Ventas netas con costo registrado]],0)</f>
        <v>0</v>
      </c>
    </row>
    <row r="26" spans="2:38" x14ac:dyDescent="0.2">
      <c r="B26" s="16">
        <f ca="1">MONTH(TableMonthlySummary[[#This Row],[Hasta]])</f>
        <v>5</v>
      </c>
      <c r="C26" s="6">
        <f t="shared" ca="1" si="3"/>
        <v>46515</v>
      </c>
      <c r="D26" s="6">
        <f ca="1">EOMONTH(TableMonthlySummary[[#This Row],[Desde]], 0)</f>
        <v>46538</v>
      </c>
      <c r="E26" s="12">
        <f ca="1">SUMIFS(TableDailySummary[Ventas netas totales],TableDailySummary[Fecha],"&gt;="&amp;TableMonthlySummary[[#This Row],[Desde]],TableDailySummary[Fecha],"&lt;="&amp;TableMonthlySummary[[#This Row],[Hasta]])</f>
        <v>0</v>
      </c>
      <c r="F26" s="12">
        <f ca="1">SUMIFS(TableDailySummary[Órdenes totales],TableDailySummary[Fecha],"&gt;="&amp;TableMonthlySummary[[#This Row],[Desde]],TableDailySummary[Fecha],"&lt;="&amp;TableMonthlySummary[[#This Row],[Hasta]])</f>
        <v>0</v>
      </c>
      <c r="G26" s="12">
        <f ca="1">SUMIFS(TableDailySummary[Ventas primer cliente],TableDailySummary[Fecha],"&gt;="&amp;TableMonthlySummary[[#This Row],[Desde]],TableDailySummary[Fecha],"&lt;="&amp;TableMonthlySummary[[#This Row],[Hasta]])</f>
        <v>0</v>
      </c>
      <c r="H26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26" s="12">
        <f ca="1">SUMIFS(TableDailySummary[Online Store_net_sales],TableDailySummary[Fecha],"&gt;="&amp;TableMonthlySummary[[#This Row],[Desde]],TableDailySummary[Fecha],"&lt;="&amp;TableMonthlySummary[[#This Row],[Hasta]])</f>
        <v>0</v>
      </c>
      <c r="J26" s="12">
        <f ca="1">SUMIFS(TableDailySummary[Online Store_orders],TableDailySummary[Fecha],"&gt;="&amp;TableMonthlySummary[[#This Row],[Desde]],TableDailySummary[Fecha],"&lt;="&amp;TableMonthlySummary[[#This Row],[Hasta]])</f>
        <v>0</v>
      </c>
      <c r="K26" s="12">
        <f ca="1">SUMIFS(TableDailySummary[Tienda 81_net_sales],TableDailySummary[Fecha],"&gt;="&amp;TableMonthlySummary[[#This Row],[Desde]],TableDailySummary[Fecha],"&lt;="&amp;TableMonthlySummary[[#This Row],[Hasta]])</f>
        <v>0</v>
      </c>
      <c r="L26" s="12">
        <f ca="1">SUMIFS(TableDailySummary[Tienda 81_orders],TableDailySummary[Fecha],"&gt;="&amp;TableMonthlySummary[[#This Row],[Desde]],TableDailySummary[Fecha],"&lt;="&amp;TableMonthlySummary[[#This Row],[Hasta]])</f>
        <v>0</v>
      </c>
      <c r="M26" s="12">
        <f ca="1">SUMIFS(TableDailySummary[Rappi_net_sales],TableDailySummary[Fecha],"&gt;="&amp;TableMonthlySummary[[#This Row],[Desde]],TableDailySummary[Fecha],"&lt;="&amp;TableMonthlySummary[[#This Row],[Hasta]])</f>
        <v>0</v>
      </c>
      <c r="N26" s="12">
        <f ca="1">SUMIFS(TableDailySummary[Rappi_orders],TableDailySummary[Fecha],"&gt;="&amp;TableMonthlySummary[[#This Row],[Desde]],TableDailySummary[Fecha],"&lt;="&amp;TableMonthlySummary[[#This Row],[Hasta]])</f>
        <v>0</v>
      </c>
      <c r="O26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26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26" s="12">
        <f ca="1">SUMIFS(TableDailySummary[Inversión google ads],TableDailySummary[Fecha],"&gt;="&amp;TableMonthlySummary[[#This Row],[Desde]],TableDailySummary[Fecha],"&lt;="&amp;TableMonthlySummary[[#This Row],[Hasta]])</f>
        <v>0</v>
      </c>
      <c r="R26" s="12">
        <f ca="1">SUMIFS(TableDailySummary[Ventas google ads],TableDailySummary[Fecha],"&gt;="&amp;TableMonthlySummary[[#This Row],[Desde]],TableDailySummary[Fecha],"&lt;="&amp;TableMonthlySummary[[#This Row],[Hasta]])</f>
        <v>0</v>
      </c>
      <c r="S26" s="12">
        <f ca="1">SUMIFS(TableDailySummary[Inversión meta ads],TableDailySummary[Fecha],"&gt;="&amp;TableMonthlySummary[[#This Row],[Desde]],TableDailySummary[Fecha],"&lt;="&amp;TableMonthlySummary[[#This Row],[Hasta]])</f>
        <v>0</v>
      </c>
      <c r="T26" s="12">
        <f ca="1">SUMIFS(TableDailySummary[Ventas meta ads],TableDailySummary[Fecha],"&gt;="&amp;TableMonthlySummary[[#This Row],[Desde]],TableDailySummary[Fecha],"&lt;="&amp;TableMonthlySummary[[#This Row],[Hasta]])</f>
        <v>0</v>
      </c>
      <c r="U26" s="12">
        <f ca="1">TableMonthlySummary[[#This Row],[Inversión google ads]]+TableMonthlySummary[[#This Row],[Inversión meta ads]]</f>
        <v>0</v>
      </c>
      <c r="V26" s="12">
        <f ca="1">TableMonthlySummary[[#This Row],[Ventas google ads]]+TableMonthlySummary[[#This Row],[Ventas meta ads]]</f>
        <v>0</v>
      </c>
      <c r="W26" s="14">
        <f ca="1">IFERROR(TableMonthlySummary[[#This Row],[Ventas publicidad]]/TableMonthlySummary[[#This Row],[Inversión publicidad]],0)</f>
        <v>0</v>
      </c>
      <c r="X26" s="14">
        <f ca="1">IFERROR(TableMonthlySummary[[#This Row],[Ventas primer cliente]]/TableMonthlySummary[[#This Row],[Inversión publicidad]],0)</f>
        <v>0</v>
      </c>
      <c r="Y26" s="14">
        <f ca="1">IFERROR(1/TableMonthlySummary[[#This Row],[Contribución %]],0)</f>
        <v>0</v>
      </c>
      <c r="Z26" s="14"/>
      <c r="AA26" s="12"/>
      <c r="AB26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6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6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6" s="12">
        <f ca="1">SUMIFS(AccountingReport[costs_fixed],AccountingReport[period],TableMonthlySummary[[#This Row],[Desde]])</f>
        <v>0</v>
      </c>
      <c r="AF26" s="17">
        <f ca="1">TableMonthlySummary[[#This Row],[Ventas netas totales]]-TableMonthlySummary[[#This Row],[Costos variables totales]]-TableMonthlySummary[[#This Row],[Costos fijos]]</f>
        <v>0</v>
      </c>
      <c r="AG26" s="18">
        <f ca="1">IFERROR(TableMonthlySummary[[#This Row],[Contribución $]] / TableMonthlySummary[[#This Row],[Ventas netas totales]],0)</f>
        <v>0</v>
      </c>
      <c r="AH26" s="12">
        <f ca="1">IFERROR(TableMonthlySummary[[#This Row],[Costos de publicidad totales]]/TableMonthlySummary[[#This Row],[Órdenes primer cliente]],0)</f>
        <v>0</v>
      </c>
      <c r="AI26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26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26" s="12">
        <f ca="1">SUMIFS(TableDailySummary[Utilidad bruta],TableDailySummary[Fecha],"&gt;="&amp;TableMonthlySummary[[#This Row],[Desde]],TableDailySummary[Fecha],"&lt;="&amp;TableMonthlySummary[[#This Row],[Hasta]])</f>
        <v>0</v>
      </c>
      <c r="AL26" s="18">
        <f ca="1">IFERROR(TableMonthlySummary[[#This Row],[Utilidad bruta]]/TableMonthlySummary[[#This Row],[Ventas netas con costo registrado]],0)</f>
        <v>0</v>
      </c>
    </row>
    <row r="27" spans="2:38" x14ac:dyDescent="0.2">
      <c r="B27" s="16">
        <f ca="1">MONTH(TableMonthlySummary[[#This Row],[Hasta]])</f>
        <v>6</v>
      </c>
      <c r="C27" s="6">
        <f t="shared" ca="1" si="3"/>
        <v>46546</v>
      </c>
      <c r="D27" s="6">
        <f ca="1">EOMONTH(TableMonthlySummary[[#This Row],[Desde]], 0)</f>
        <v>46568</v>
      </c>
      <c r="E27" s="12">
        <f ca="1">SUMIFS(TableDailySummary[Ventas netas totales],TableDailySummary[Fecha],"&gt;="&amp;TableMonthlySummary[[#This Row],[Desde]],TableDailySummary[Fecha],"&lt;="&amp;TableMonthlySummary[[#This Row],[Hasta]])</f>
        <v>0</v>
      </c>
      <c r="F27" s="12">
        <f ca="1">SUMIFS(TableDailySummary[Órdenes totales],TableDailySummary[Fecha],"&gt;="&amp;TableMonthlySummary[[#This Row],[Desde]],TableDailySummary[Fecha],"&lt;="&amp;TableMonthlySummary[[#This Row],[Hasta]])</f>
        <v>0</v>
      </c>
      <c r="G27" s="12">
        <f ca="1">SUMIFS(TableDailySummary[Ventas primer cliente],TableDailySummary[Fecha],"&gt;="&amp;TableMonthlySummary[[#This Row],[Desde]],TableDailySummary[Fecha],"&lt;="&amp;TableMonthlySummary[[#This Row],[Hasta]])</f>
        <v>0</v>
      </c>
      <c r="H27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27" s="12">
        <f ca="1">SUMIFS(TableDailySummary[Online Store_net_sales],TableDailySummary[Fecha],"&gt;="&amp;TableMonthlySummary[[#This Row],[Desde]],TableDailySummary[Fecha],"&lt;="&amp;TableMonthlySummary[[#This Row],[Hasta]])</f>
        <v>0</v>
      </c>
      <c r="J27" s="12">
        <f ca="1">SUMIFS(TableDailySummary[Online Store_orders],TableDailySummary[Fecha],"&gt;="&amp;TableMonthlySummary[[#This Row],[Desde]],TableDailySummary[Fecha],"&lt;="&amp;TableMonthlySummary[[#This Row],[Hasta]])</f>
        <v>0</v>
      </c>
      <c r="K27" s="12">
        <f ca="1">SUMIFS(TableDailySummary[Tienda 81_net_sales],TableDailySummary[Fecha],"&gt;="&amp;TableMonthlySummary[[#This Row],[Desde]],TableDailySummary[Fecha],"&lt;="&amp;TableMonthlySummary[[#This Row],[Hasta]])</f>
        <v>0</v>
      </c>
      <c r="L27" s="12">
        <f ca="1">SUMIFS(TableDailySummary[Tienda 81_orders],TableDailySummary[Fecha],"&gt;="&amp;TableMonthlySummary[[#This Row],[Desde]],TableDailySummary[Fecha],"&lt;="&amp;TableMonthlySummary[[#This Row],[Hasta]])</f>
        <v>0</v>
      </c>
      <c r="M27" s="12">
        <f ca="1">SUMIFS(TableDailySummary[Rappi_net_sales],TableDailySummary[Fecha],"&gt;="&amp;TableMonthlySummary[[#This Row],[Desde]],TableDailySummary[Fecha],"&lt;="&amp;TableMonthlySummary[[#This Row],[Hasta]])</f>
        <v>0</v>
      </c>
      <c r="N27" s="12">
        <f ca="1">SUMIFS(TableDailySummary[Rappi_orders],TableDailySummary[Fecha],"&gt;="&amp;TableMonthlySummary[[#This Row],[Desde]],TableDailySummary[Fecha],"&lt;="&amp;TableMonthlySummary[[#This Row],[Hasta]])</f>
        <v>0</v>
      </c>
      <c r="O27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27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27" s="12">
        <f ca="1">SUMIFS(TableDailySummary[Inversión google ads],TableDailySummary[Fecha],"&gt;="&amp;TableMonthlySummary[[#This Row],[Desde]],TableDailySummary[Fecha],"&lt;="&amp;TableMonthlySummary[[#This Row],[Hasta]])</f>
        <v>0</v>
      </c>
      <c r="R27" s="12">
        <f ca="1">SUMIFS(TableDailySummary[Ventas google ads],TableDailySummary[Fecha],"&gt;="&amp;TableMonthlySummary[[#This Row],[Desde]],TableDailySummary[Fecha],"&lt;="&amp;TableMonthlySummary[[#This Row],[Hasta]])</f>
        <v>0</v>
      </c>
      <c r="S27" s="12">
        <f ca="1">SUMIFS(TableDailySummary[Inversión meta ads],TableDailySummary[Fecha],"&gt;="&amp;TableMonthlySummary[[#This Row],[Desde]],TableDailySummary[Fecha],"&lt;="&amp;TableMonthlySummary[[#This Row],[Hasta]])</f>
        <v>0</v>
      </c>
      <c r="T27" s="12">
        <f ca="1">SUMIFS(TableDailySummary[Ventas meta ads],TableDailySummary[Fecha],"&gt;="&amp;TableMonthlySummary[[#This Row],[Desde]],TableDailySummary[Fecha],"&lt;="&amp;TableMonthlySummary[[#This Row],[Hasta]])</f>
        <v>0</v>
      </c>
      <c r="U27" s="12">
        <f ca="1">TableMonthlySummary[[#This Row],[Inversión google ads]]+TableMonthlySummary[[#This Row],[Inversión meta ads]]</f>
        <v>0</v>
      </c>
      <c r="V27" s="12">
        <f ca="1">TableMonthlySummary[[#This Row],[Ventas google ads]]+TableMonthlySummary[[#This Row],[Ventas meta ads]]</f>
        <v>0</v>
      </c>
      <c r="W27" s="14">
        <f ca="1">IFERROR(TableMonthlySummary[[#This Row],[Ventas publicidad]]/TableMonthlySummary[[#This Row],[Inversión publicidad]],0)</f>
        <v>0</v>
      </c>
      <c r="X27" s="14">
        <f ca="1">IFERROR(TableMonthlySummary[[#This Row],[Ventas primer cliente]]/TableMonthlySummary[[#This Row],[Inversión publicidad]],0)</f>
        <v>0</v>
      </c>
      <c r="Y27" s="14">
        <f ca="1">IFERROR(1/TableMonthlySummary[[#This Row],[Contribución %]],0)</f>
        <v>0</v>
      </c>
      <c r="Z27" s="14"/>
      <c r="AA27" s="12"/>
      <c r="AB27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7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7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7" s="12">
        <f ca="1">SUMIFS(AccountingReport[costs_fixed],AccountingReport[period],TableMonthlySummary[[#This Row],[Desde]])</f>
        <v>0</v>
      </c>
      <c r="AF27" s="17">
        <f ca="1">TableMonthlySummary[[#This Row],[Ventas netas totales]]-TableMonthlySummary[[#This Row],[Costos variables totales]]-TableMonthlySummary[[#This Row],[Costos fijos]]</f>
        <v>0</v>
      </c>
      <c r="AG27" s="18">
        <f ca="1">IFERROR(TableMonthlySummary[[#This Row],[Contribución $]] / TableMonthlySummary[[#This Row],[Ventas netas totales]],0)</f>
        <v>0</v>
      </c>
      <c r="AH27" s="12">
        <f ca="1">IFERROR(TableMonthlySummary[[#This Row],[Costos de publicidad totales]]/TableMonthlySummary[[#This Row],[Órdenes primer cliente]],0)</f>
        <v>0</v>
      </c>
      <c r="AI27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27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27" s="12">
        <f ca="1">SUMIFS(TableDailySummary[Utilidad bruta],TableDailySummary[Fecha],"&gt;="&amp;TableMonthlySummary[[#This Row],[Desde]],TableDailySummary[Fecha],"&lt;="&amp;TableMonthlySummary[[#This Row],[Hasta]])</f>
        <v>0</v>
      </c>
      <c r="AL27" s="18">
        <f ca="1">IFERROR(TableMonthlySummary[[#This Row],[Utilidad bruta]]/TableMonthlySummary[[#This Row],[Ventas netas con costo registrado]],0)</f>
        <v>0</v>
      </c>
    </row>
    <row r="28" spans="2:38" x14ac:dyDescent="0.2">
      <c r="B28" s="16">
        <f ca="1">MONTH(TableMonthlySummary[[#This Row],[Hasta]])</f>
        <v>7</v>
      </c>
      <c r="C28" s="6">
        <f t="shared" ca="1" si="3"/>
        <v>46576</v>
      </c>
      <c r="D28" s="6">
        <f ca="1">EOMONTH(TableMonthlySummary[[#This Row],[Desde]], 0)</f>
        <v>46599</v>
      </c>
      <c r="E28" s="12">
        <f ca="1">SUMIFS(TableDailySummary[Ventas netas totales],TableDailySummary[Fecha],"&gt;="&amp;TableMonthlySummary[[#This Row],[Desde]],TableDailySummary[Fecha],"&lt;="&amp;TableMonthlySummary[[#This Row],[Hasta]])</f>
        <v>0</v>
      </c>
      <c r="F28" s="12">
        <f ca="1">SUMIFS(TableDailySummary[Órdenes totales],TableDailySummary[Fecha],"&gt;="&amp;TableMonthlySummary[[#This Row],[Desde]],TableDailySummary[Fecha],"&lt;="&amp;TableMonthlySummary[[#This Row],[Hasta]])</f>
        <v>0</v>
      </c>
      <c r="G28" s="12">
        <f ca="1">SUMIFS(TableDailySummary[Ventas primer cliente],TableDailySummary[Fecha],"&gt;="&amp;TableMonthlySummary[[#This Row],[Desde]],TableDailySummary[Fecha],"&lt;="&amp;TableMonthlySummary[[#This Row],[Hasta]])</f>
        <v>0</v>
      </c>
      <c r="H28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28" s="12">
        <f ca="1">SUMIFS(TableDailySummary[Online Store_net_sales],TableDailySummary[Fecha],"&gt;="&amp;TableMonthlySummary[[#This Row],[Desde]],TableDailySummary[Fecha],"&lt;="&amp;TableMonthlySummary[[#This Row],[Hasta]])</f>
        <v>0</v>
      </c>
      <c r="J28" s="12">
        <f ca="1">SUMIFS(TableDailySummary[Online Store_orders],TableDailySummary[Fecha],"&gt;="&amp;TableMonthlySummary[[#This Row],[Desde]],TableDailySummary[Fecha],"&lt;="&amp;TableMonthlySummary[[#This Row],[Hasta]])</f>
        <v>0</v>
      </c>
      <c r="K28" s="12">
        <f ca="1">SUMIFS(TableDailySummary[Tienda 81_net_sales],TableDailySummary[Fecha],"&gt;="&amp;TableMonthlySummary[[#This Row],[Desde]],TableDailySummary[Fecha],"&lt;="&amp;TableMonthlySummary[[#This Row],[Hasta]])</f>
        <v>0</v>
      </c>
      <c r="L28" s="12">
        <f ca="1">SUMIFS(TableDailySummary[Tienda 81_orders],TableDailySummary[Fecha],"&gt;="&amp;TableMonthlySummary[[#This Row],[Desde]],TableDailySummary[Fecha],"&lt;="&amp;TableMonthlySummary[[#This Row],[Hasta]])</f>
        <v>0</v>
      </c>
      <c r="M28" s="12">
        <f ca="1">SUMIFS(TableDailySummary[Rappi_net_sales],TableDailySummary[Fecha],"&gt;="&amp;TableMonthlySummary[[#This Row],[Desde]],TableDailySummary[Fecha],"&lt;="&amp;TableMonthlySummary[[#This Row],[Hasta]])</f>
        <v>0</v>
      </c>
      <c r="N28" s="12">
        <f ca="1">SUMIFS(TableDailySummary[Rappi_orders],TableDailySummary[Fecha],"&gt;="&amp;TableMonthlySummary[[#This Row],[Desde]],TableDailySummary[Fecha],"&lt;="&amp;TableMonthlySummary[[#This Row],[Hasta]])</f>
        <v>0</v>
      </c>
      <c r="O28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28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28" s="12">
        <f ca="1">SUMIFS(TableDailySummary[Inversión google ads],TableDailySummary[Fecha],"&gt;="&amp;TableMonthlySummary[[#This Row],[Desde]],TableDailySummary[Fecha],"&lt;="&amp;TableMonthlySummary[[#This Row],[Hasta]])</f>
        <v>0</v>
      </c>
      <c r="R28" s="12">
        <f ca="1">SUMIFS(TableDailySummary[Ventas google ads],TableDailySummary[Fecha],"&gt;="&amp;TableMonthlySummary[[#This Row],[Desde]],TableDailySummary[Fecha],"&lt;="&amp;TableMonthlySummary[[#This Row],[Hasta]])</f>
        <v>0</v>
      </c>
      <c r="S28" s="12">
        <f ca="1">SUMIFS(TableDailySummary[Inversión meta ads],TableDailySummary[Fecha],"&gt;="&amp;TableMonthlySummary[[#This Row],[Desde]],TableDailySummary[Fecha],"&lt;="&amp;TableMonthlySummary[[#This Row],[Hasta]])</f>
        <v>0</v>
      </c>
      <c r="T28" s="12">
        <f ca="1">SUMIFS(TableDailySummary[Ventas meta ads],TableDailySummary[Fecha],"&gt;="&amp;TableMonthlySummary[[#This Row],[Desde]],TableDailySummary[Fecha],"&lt;="&amp;TableMonthlySummary[[#This Row],[Hasta]])</f>
        <v>0</v>
      </c>
      <c r="U28" s="12">
        <f ca="1">TableMonthlySummary[[#This Row],[Inversión google ads]]+TableMonthlySummary[[#This Row],[Inversión meta ads]]</f>
        <v>0</v>
      </c>
      <c r="V28" s="12">
        <f ca="1">TableMonthlySummary[[#This Row],[Ventas google ads]]+TableMonthlySummary[[#This Row],[Ventas meta ads]]</f>
        <v>0</v>
      </c>
      <c r="W28" s="14">
        <f ca="1">IFERROR(TableMonthlySummary[[#This Row],[Ventas publicidad]]/TableMonthlySummary[[#This Row],[Inversión publicidad]],0)</f>
        <v>0</v>
      </c>
      <c r="X28" s="14">
        <f ca="1">IFERROR(TableMonthlySummary[[#This Row],[Ventas primer cliente]]/TableMonthlySummary[[#This Row],[Inversión publicidad]],0)</f>
        <v>0</v>
      </c>
      <c r="Y28" s="14">
        <f ca="1">IFERROR(1/TableMonthlySummary[[#This Row],[Contribución %]],0)</f>
        <v>0</v>
      </c>
      <c r="Z28" s="14"/>
      <c r="AA28" s="12"/>
      <c r="AB28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8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8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8" s="12">
        <f ca="1">SUMIFS(AccountingReport[costs_fixed],AccountingReport[period],TableMonthlySummary[[#This Row],[Desde]])</f>
        <v>0</v>
      </c>
      <c r="AF28" s="17">
        <f ca="1">TableMonthlySummary[[#This Row],[Ventas netas totales]]-TableMonthlySummary[[#This Row],[Costos variables totales]]-TableMonthlySummary[[#This Row],[Costos fijos]]</f>
        <v>0</v>
      </c>
      <c r="AG28" s="18">
        <f ca="1">IFERROR(TableMonthlySummary[[#This Row],[Contribución $]] / TableMonthlySummary[[#This Row],[Ventas netas totales]],0)</f>
        <v>0</v>
      </c>
      <c r="AH28" s="12">
        <f ca="1">IFERROR(TableMonthlySummary[[#This Row],[Costos de publicidad totales]]/TableMonthlySummary[[#This Row],[Órdenes primer cliente]],0)</f>
        <v>0</v>
      </c>
      <c r="AI28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28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28" s="12">
        <f ca="1">SUMIFS(TableDailySummary[Utilidad bruta],TableDailySummary[Fecha],"&gt;="&amp;TableMonthlySummary[[#This Row],[Desde]],TableDailySummary[Fecha],"&lt;="&amp;TableMonthlySummary[[#This Row],[Hasta]])</f>
        <v>0</v>
      </c>
      <c r="AL28" s="18">
        <f ca="1">IFERROR(TableMonthlySummary[[#This Row],[Utilidad bruta]]/TableMonthlySummary[[#This Row],[Ventas netas con costo registrado]],0)</f>
        <v>0</v>
      </c>
    </row>
    <row r="29" spans="2:38" x14ac:dyDescent="0.2">
      <c r="B29" s="16">
        <f ca="1">MONTH(TableMonthlySummary[[#This Row],[Hasta]])</f>
        <v>8</v>
      </c>
      <c r="C29" s="6">
        <f t="shared" ca="1" si="3"/>
        <v>46607</v>
      </c>
      <c r="D29" s="6">
        <f ca="1">EOMONTH(TableMonthlySummary[[#This Row],[Desde]], 0)</f>
        <v>46630</v>
      </c>
      <c r="E29" s="12">
        <f ca="1">SUMIFS(TableDailySummary[Ventas netas totales],TableDailySummary[Fecha],"&gt;="&amp;TableMonthlySummary[[#This Row],[Desde]],TableDailySummary[Fecha],"&lt;="&amp;TableMonthlySummary[[#This Row],[Hasta]])</f>
        <v>0</v>
      </c>
      <c r="F29" s="12">
        <f ca="1">SUMIFS(TableDailySummary[Órdenes totales],TableDailySummary[Fecha],"&gt;="&amp;TableMonthlySummary[[#This Row],[Desde]],TableDailySummary[Fecha],"&lt;="&amp;TableMonthlySummary[[#This Row],[Hasta]])</f>
        <v>0</v>
      </c>
      <c r="G29" s="12">
        <f ca="1">SUMIFS(TableDailySummary[Ventas primer cliente],TableDailySummary[Fecha],"&gt;="&amp;TableMonthlySummary[[#This Row],[Desde]],TableDailySummary[Fecha],"&lt;="&amp;TableMonthlySummary[[#This Row],[Hasta]])</f>
        <v>0</v>
      </c>
      <c r="H29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29" s="12">
        <f ca="1">SUMIFS(TableDailySummary[Online Store_net_sales],TableDailySummary[Fecha],"&gt;="&amp;TableMonthlySummary[[#This Row],[Desde]],TableDailySummary[Fecha],"&lt;="&amp;TableMonthlySummary[[#This Row],[Hasta]])</f>
        <v>0</v>
      </c>
      <c r="J29" s="12">
        <f ca="1">SUMIFS(TableDailySummary[Online Store_orders],TableDailySummary[Fecha],"&gt;="&amp;TableMonthlySummary[[#This Row],[Desde]],TableDailySummary[Fecha],"&lt;="&amp;TableMonthlySummary[[#This Row],[Hasta]])</f>
        <v>0</v>
      </c>
      <c r="K29" s="12">
        <f ca="1">SUMIFS(TableDailySummary[Tienda 81_net_sales],TableDailySummary[Fecha],"&gt;="&amp;TableMonthlySummary[[#This Row],[Desde]],TableDailySummary[Fecha],"&lt;="&amp;TableMonthlySummary[[#This Row],[Hasta]])</f>
        <v>0</v>
      </c>
      <c r="L29" s="12">
        <f ca="1">SUMIFS(TableDailySummary[Tienda 81_orders],TableDailySummary[Fecha],"&gt;="&amp;TableMonthlySummary[[#This Row],[Desde]],TableDailySummary[Fecha],"&lt;="&amp;TableMonthlySummary[[#This Row],[Hasta]])</f>
        <v>0</v>
      </c>
      <c r="M29" s="12">
        <f ca="1">SUMIFS(TableDailySummary[Rappi_net_sales],TableDailySummary[Fecha],"&gt;="&amp;TableMonthlySummary[[#This Row],[Desde]],TableDailySummary[Fecha],"&lt;="&amp;TableMonthlySummary[[#This Row],[Hasta]])</f>
        <v>0</v>
      </c>
      <c r="N29" s="12">
        <f ca="1">SUMIFS(TableDailySummary[Rappi_orders],TableDailySummary[Fecha],"&gt;="&amp;TableMonthlySummary[[#This Row],[Desde]],TableDailySummary[Fecha],"&lt;="&amp;TableMonthlySummary[[#This Row],[Hasta]])</f>
        <v>0</v>
      </c>
      <c r="O29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29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29" s="12">
        <f ca="1">SUMIFS(TableDailySummary[Inversión google ads],TableDailySummary[Fecha],"&gt;="&amp;TableMonthlySummary[[#This Row],[Desde]],TableDailySummary[Fecha],"&lt;="&amp;TableMonthlySummary[[#This Row],[Hasta]])</f>
        <v>0</v>
      </c>
      <c r="R29" s="12">
        <f ca="1">SUMIFS(TableDailySummary[Ventas google ads],TableDailySummary[Fecha],"&gt;="&amp;TableMonthlySummary[[#This Row],[Desde]],TableDailySummary[Fecha],"&lt;="&amp;TableMonthlySummary[[#This Row],[Hasta]])</f>
        <v>0</v>
      </c>
      <c r="S29" s="12">
        <f ca="1">SUMIFS(TableDailySummary[Inversión meta ads],TableDailySummary[Fecha],"&gt;="&amp;TableMonthlySummary[[#This Row],[Desde]],TableDailySummary[Fecha],"&lt;="&amp;TableMonthlySummary[[#This Row],[Hasta]])</f>
        <v>0</v>
      </c>
      <c r="T29" s="12">
        <f ca="1">SUMIFS(TableDailySummary[Ventas meta ads],TableDailySummary[Fecha],"&gt;="&amp;TableMonthlySummary[[#This Row],[Desde]],TableDailySummary[Fecha],"&lt;="&amp;TableMonthlySummary[[#This Row],[Hasta]])</f>
        <v>0</v>
      </c>
      <c r="U29" s="12">
        <f ca="1">TableMonthlySummary[[#This Row],[Inversión google ads]]+TableMonthlySummary[[#This Row],[Inversión meta ads]]</f>
        <v>0</v>
      </c>
      <c r="V29" s="12">
        <f ca="1">TableMonthlySummary[[#This Row],[Ventas google ads]]+TableMonthlySummary[[#This Row],[Ventas meta ads]]</f>
        <v>0</v>
      </c>
      <c r="W29" s="14">
        <f ca="1">IFERROR(TableMonthlySummary[[#This Row],[Ventas publicidad]]/TableMonthlySummary[[#This Row],[Inversión publicidad]],0)</f>
        <v>0</v>
      </c>
      <c r="X29" s="14">
        <f ca="1">IFERROR(TableMonthlySummary[[#This Row],[Ventas primer cliente]]/TableMonthlySummary[[#This Row],[Inversión publicidad]],0)</f>
        <v>0</v>
      </c>
      <c r="Y29" s="14">
        <f ca="1">IFERROR(1/TableMonthlySummary[[#This Row],[Contribución %]],0)</f>
        <v>0</v>
      </c>
      <c r="Z29" s="14"/>
      <c r="AA29" s="12"/>
      <c r="AB29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9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9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9" s="12">
        <f ca="1">SUMIFS(AccountingReport[costs_fixed],AccountingReport[period],TableMonthlySummary[[#This Row],[Desde]])</f>
        <v>0</v>
      </c>
      <c r="AF29" s="17">
        <f ca="1">TableMonthlySummary[[#This Row],[Ventas netas totales]]-TableMonthlySummary[[#This Row],[Costos variables totales]]-TableMonthlySummary[[#This Row],[Costos fijos]]</f>
        <v>0</v>
      </c>
      <c r="AG29" s="18">
        <f ca="1">IFERROR(TableMonthlySummary[[#This Row],[Contribución $]] / TableMonthlySummary[[#This Row],[Ventas netas totales]],0)</f>
        <v>0</v>
      </c>
      <c r="AH29" s="12">
        <f ca="1">IFERROR(TableMonthlySummary[[#This Row],[Costos de publicidad totales]]/TableMonthlySummary[[#This Row],[Órdenes primer cliente]],0)</f>
        <v>0</v>
      </c>
      <c r="AI29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29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29" s="12">
        <f ca="1">SUMIFS(TableDailySummary[Utilidad bruta],TableDailySummary[Fecha],"&gt;="&amp;TableMonthlySummary[[#This Row],[Desde]],TableDailySummary[Fecha],"&lt;="&amp;TableMonthlySummary[[#This Row],[Hasta]])</f>
        <v>0</v>
      </c>
      <c r="AL29" s="18">
        <f ca="1">IFERROR(TableMonthlySummary[[#This Row],[Utilidad bruta]]/TableMonthlySummary[[#This Row],[Ventas netas con costo registrado]],0)</f>
        <v>0</v>
      </c>
    </row>
    <row r="30" spans="2:38" x14ac:dyDescent="0.2">
      <c r="B30" s="16">
        <f ca="1">MONTH(TableMonthlySummary[[#This Row],[Hasta]])</f>
        <v>9</v>
      </c>
      <c r="C30" s="6">
        <f t="shared" ca="1" si="3"/>
        <v>46638</v>
      </c>
      <c r="D30" s="6">
        <f ca="1">EOMONTH(TableMonthlySummary[[#This Row],[Desde]], 0)</f>
        <v>46660</v>
      </c>
      <c r="E30" s="12">
        <f ca="1">SUMIFS(TableDailySummary[Ventas netas totales],TableDailySummary[Fecha],"&gt;="&amp;TableMonthlySummary[[#This Row],[Desde]],TableDailySummary[Fecha],"&lt;="&amp;TableMonthlySummary[[#This Row],[Hasta]])</f>
        <v>0</v>
      </c>
      <c r="F30" s="12">
        <f ca="1">SUMIFS(TableDailySummary[Órdenes totales],TableDailySummary[Fecha],"&gt;="&amp;TableMonthlySummary[[#This Row],[Desde]],TableDailySummary[Fecha],"&lt;="&amp;TableMonthlySummary[[#This Row],[Hasta]])</f>
        <v>0</v>
      </c>
      <c r="G30" s="12">
        <f ca="1">SUMIFS(TableDailySummary[Ventas primer cliente],TableDailySummary[Fecha],"&gt;="&amp;TableMonthlySummary[[#This Row],[Desde]],TableDailySummary[Fecha],"&lt;="&amp;TableMonthlySummary[[#This Row],[Hasta]])</f>
        <v>0</v>
      </c>
      <c r="H30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30" s="12">
        <f ca="1">SUMIFS(TableDailySummary[Online Store_net_sales],TableDailySummary[Fecha],"&gt;="&amp;TableMonthlySummary[[#This Row],[Desde]],TableDailySummary[Fecha],"&lt;="&amp;TableMonthlySummary[[#This Row],[Hasta]])</f>
        <v>0</v>
      </c>
      <c r="J30" s="12">
        <f ca="1">SUMIFS(TableDailySummary[Online Store_orders],TableDailySummary[Fecha],"&gt;="&amp;TableMonthlySummary[[#This Row],[Desde]],TableDailySummary[Fecha],"&lt;="&amp;TableMonthlySummary[[#This Row],[Hasta]])</f>
        <v>0</v>
      </c>
      <c r="K30" s="12">
        <f ca="1">SUMIFS(TableDailySummary[Tienda 81_net_sales],TableDailySummary[Fecha],"&gt;="&amp;TableMonthlySummary[[#This Row],[Desde]],TableDailySummary[Fecha],"&lt;="&amp;TableMonthlySummary[[#This Row],[Hasta]])</f>
        <v>0</v>
      </c>
      <c r="L30" s="12">
        <f ca="1">SUMIFS(TableDailySummary[Tienda 81_orders],TableDailySummary[Fecha],"&gt;="&amp;TableMonthlySummary[[#This Row],[Desde]],TableDailySummary[Fecha],"&lt;="&amp;TableMonthlySummary[[#This Row],[Hasta]])</f>
        <v>0</v>
      </c>
      <c r="M30" s="12">
        <f ca="1">SUMIFS(TableDailySummary[Rappi_net_sales],TableDailySummary[Fecha],"&gt;="&amp;TableMonthlySummary[[#This Row],[Desde]],TableDailySummary[Fecha],"&lt;="&amp;TableMonthlySummary[[#This Row],[Hasta]])</f>
        <v>0</v>
      </c>
      <c r="N30" s="12">
        <f ca="1">SUMIFS(TableDailySummary[Rappi_orders],TableDailySummary[Fecha],"&gt;="&amp;TableMonthlySummary[[#This Row],[Desde]],TableDailySummary[Fecha],"&lt;="&amp;TableMonthlySummary[[#This Row],[Hasta]])</f>
        <v>0</v>
      </c>
      <c r="O30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30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30" s="12">
        <f ca="1">SUMIFS(TableDailySummary[Inversión google ads],TableDailySummary[Fecha],"&gt;="&amp;TableMonthlySummary[[#This Row],[Desde]],TableDailySummary[Fecha],"&lt;="&amp;TableMonthlySummary[[#This Row],[Hasta]])</f>
        <v>0</v>
      </c>
      <c r="R30" s="12">
        <f ca="1">SUMIFS(TableDailySummary[Ventas google ads],TableDailySummary[Fecha],"&gt;="&amp;TableMonthlySummary[[#This Row],[Desde]],TableDailySummary[Fecha],"&lt;="&amp;TableMonthlySummary[[#This Row],[Hasta]])</f>
        <v>0</v>
      </c>
      <c r="S30" s="12">
        <f ca="1">SUMIFS(TableDailySummary[Inversión meta ads],TableDailySummary[Fecha],"&gt;="&amp;TableMonthlySummary[[#This Row],[Desde]],TableDailySummary[Fecha],"&lt;="&amp;TableMonthlySummary[[#This Row],[Hasta]])</f>
        <v>0</v>
      </c>
      <c r="T30" s="12">
        <f ca="1">SUMIFS(TableDailySummary[Ventas meta ads],TableDailySummary[Fecha],"&gt;="&amp;TableMonthlySummary[[#This Row],[Desde]],TableDailySummary[Fecha],"&lt;="&amp;TableMonthlySummary[[#This Row],[Hasta]])</f>
        <v>0</v>
      </c>
      <c r="U30" s="12">
        <f ca="1">TableMonthlySummary[[#This Row],[Inversión google ads]]+TableMonthlySummary[[#This Row],[Inversión meta ads]]</f>
        <v>0</v>
      </c>
      <c r="V30" s="12">
        <f ca="1">TableMonthlySummary[[#This Row],[Ventas google ads]]+TableMonthlySummary[[#This Row],[Ventas meta ads]]</f>
        <v>0</v>
      </c>
      <c r="W30" s="14">
        <f ca="1">IFERROR(TableMonthlySummary[[#This Row],[Ventas publicidad]]/TableMonthlySummary[[#This Row],[Inversión publicidad]],0)</f>
        <v>0</v>
      </c>
      <c r="X30" s="14">
        <f ca="1">IFERROR(TableMonthlySummary[[#This Row],[Ventas primer cliente]]/TableMonthlySummary[[#This Row],[Inversión publicidad]],0)</f>
        <v>0</v>
      </c>
      <c r="Y30" s="14">
        <f ca="1">IFERROR(1/TableMonthlySummary[[#This Row],[Contribución %]],0)</f>
        <v>0</v>
      </c>
      <c r="Z30" s="14"/>
      <c r="AA30" s="12"/>
      <c r="AB30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30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30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30" s="12">
        <f ca="1">SUMIFS(AccountingReport[costs_fixed],AccountingReport[period],TableMonthlySummary[[#This Row],[Desde]])</f>
        <v>0</v>
      </c>
      <c r="AF30" s="17">
        <f ca="1">TableMonthlySummary[[#This Row],[Ventas netas totales]]-TableMonthlySummary[[#This Row],[Costos variables totales]]-TableMonthlySummary[[#This Row],[Costos fijos]]</f>
        <v>0</v>
      </c>
      <c r="AG30" s="18">
        <f ca="1">IFERROR(TableMonthlySummary[[#This Row],[Contribución $]] / TableMonthlySummary[[#This Row],[Ventas netas totales]],0)</f>
        <v>0</v>
      </c>
      <c r="AH30" s="12">
        <f ca="1">IFERROR(TableMonthlySummary[[#This Row],[Costos de publicidad totales]]/TableMonthlySummary[[#This Row],[Órdenes primer cliente]],0)</f>
        <v>0</v>
      </c>
      <c r="AI30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30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30" s="12">
        <f ca="1">SUMIFS(TableDailySummary[Utilidad bruta],TableDailySummary[Fecha],"&gt;="&amp;TableMonthlySummary[[#This Row],[Desde]],TableDailySummary[Fecha],"&lt;="&amp;TableMonthlySummary[[#This Row],[Hasta]])</f>
        <v>0</v>
      </c>
      <c r="AL30" s="18">
        <f ca="1">IFERROR(TableMonthlySummary[[#This Row],[Utilidad bruta]]/TableMonthlySummary[[#This Row],[Ventas netas con costo registrado]],0)</f>
        <v>0</v>
      </c>
    </row>
    <row r="31" spans="2:38" x14ac:dyDescent="0.2">
      <c r="B31" s="16">
        <f ca="1">MONTH(TableMonthlySummary[[#This Row],[Hasta]])</f>
        <v>10</v>
      </c>
      <c r="C31" s="6">
        <f t="shared" ca="1" si="3"/>
        <v>46668</v>
      </c>
      <c r="D31" s="6">
        <f ca="1">EOMONTH(TableMonthlySummary[[#This Row],[Desde]], 0)</f>
        <v>46691</v>
      </c>
      <c r="E31" s="12">
        <f ca="1">SUMIFS(TableDailySummary[Ventas netas totales],TableDailySummary[Fecha],"&gt;="&amp;TableMonthlySummary[[#This Row],[Desde]],TableDailySummary[Fecha],"&lt;="&amp;TableMonthlySummary[[#This Row],[Hasta]])</f>
        <v>0</v>
      </c>
      <c r="F31" s="12">
        <f ca="1">SUMIFS(TableDailySummary[Órdenes totales],TableDailySummary[Fecha],"&gt;="&amp;TableMonthlySummary[[#This Row],[Desde]],TableDailySummary[Fecha],"&lt;="&amp;TableMonthlySummary[[#This Row],[Hasta]])</f>
        <v>0</v>
      </c>
      <c r="G31" s="12">
        <f ca="1">SUMIFS(TableDailySummary[Ventas primer cliente],TableDailySummary[Fecha],"&gt;="&amp;TableMonthlySummary[[#This Row],[Desde]],TableDailySummary[Fecha],"&lt;="&amp;TableMonthlySummary[[#This Row],[Hasta]])</f>
        <v>0</v>
      </c>
      <c r="H31" s="12">
        <f ca="1">SUMIFS(TableDailySummary[Órdenes primer cliente],TableDailySummary[Fecha],"&gt;="&amp;TableMonthlySummary[[#This Row],[Desde]],TableDailySummary[Fecha],"&lt;="&amp;TableMonthlySummary[[#This Row],[Hasta]])</f>
        <v>0</v>
      </c>
      <c r="I31" s="12">
        <f ca="1">SUMIFS(TableDailySummary[Online Store_net_sales],TableDailySummary[Fecha],"&gt;="&amp;TableMonthlySummary[[#This Row],[Desde]],TableDailySummary[Fecha],"&lt;="&amp;TableMonthlySummary[[#This Row],[Hasta]])</f>
        <v>0</v>
      </c>
      <c r="J31" s="12">
        <f ca="1">SUMIFS(TableDailySummary[Online Store_orders],TableDailySummary[Fecha],"&gt;="&amp;TableMonthlySummary[[#This Row],[Desde]],TableDailySummary[Fecha],"&lt;="&amp;TableMonthlySummary[[#This Row],[Hasta]])</f>
        <v>0</v>
      </c>
      <c r="K31" s="12">
        <f ca="1">SUMIFS(TableDailySummary[Tienda 81_net_sales],TableDailySummary[Fecha],"&gt;="&amp;TableMonthlySummary[[#This Row],[Desde]],TableDailySummary[Fecha],"&lt;="&amp;TableMonthlySummary[[#This Row],[Hasta]])</f>
        <v>0</v>
      </c>
      <c r="L31" s="12">
        <f ca="1">SUMIFS(TableDailySummary[Tienda 81_orders],TableDailySummary[Fecha],"&gt;="&amp;TableMonthlySummary[[#This Row],[Desde]],TableDailySummary[Fecha],"&lt;="&amp;TableMonthlySummary[[#This Row],[Hasta]])</f>
        <v>0</v>
      </c>
      <c r="M31" s="12">
        <f ca="1">SUMIFS(TableDailySummary[Rappi_net_sales],TableDailySummary[Fecha],"&gt;="&amp;TableMonthlySummary[[#This Row],[Desde]],TableDailySummary[Fecha],"&lt;="&amp;TableMonthlySummary[[#This Row],[Hasta]])</f>
        <v>0</v>
      </c>
      <c r="N31" s="12">
        <f ca="1">SUMIFS(TableDailySummary[Rappi_orders],TableDailySummary[Fecha],"&gt;="&amp;TableMonthlySummary[[#This Row],[Desde]],TableDailySummary[Fecha],"&lt;="&amp;TableMonthlySummary[[#This Row],[Hasta]])</f>
        <v>0</v>
      </c>
      <c r="O31" s="12">
        <f ca="1">SUMIFS(TableDailySummary[Corporativo no tienda_net_sales],TableDailySummary[Fecha],"&gt;="&amp;TableMonthlySummary[[#This Row],[Desde]],TableDailySummary[Fecha],"&lt;="&amp;TableMonthlySummary[[#This Row],[Hasta]])</f>
        <v>0</v>
      </c>
      <c r="P31" s="12">
        <f ca="1">SUMIFS(TableDailySummary[Corporativo no tienda_orders],TableDailySummary[Fecha],"&gt;="&amp;TableMonthlySummary[[#This Row],[Desde]],TableDailySummary[Fecha],"&lt;="&amp;TableMonthlySummary[[#This Row],[Hasta]])</f>
        <v>0</v>
      </c>
      <c r="Q31" s="12">
        <f ca="1">SUMIFS(TableDailySummary[Inversión google ads],TableDailySummary[Fecha],"&gt;="&amp;TableMonthlySummary[[#This Row],[Desde]],TableDailySummary[Fecha],"&lt;="&amp;TableMonthlySummary[[#This Row],[Hasta]])</f>
        <v>0</v>
      </c>
      <c r="R31" s="12">
        <f ca="1">SUMIFS(TableDailySummary[Ventas google ads],TableDailySummary[Fecha],"&gt;="&amp;TableMonthlySummary[[#This Row],[Desde]],TableDailySummary[Fecha],"&lt;="&amp;TableMonthlySummary[[#This Row],[Hasta]])</f>
        <v>0</v>
      </c>
      <c r="S31" s="12">
        <f ca="1">SUMIFS(TableDailySummary[Inversión meta ads],TableDailySummary[Fecha],"&gt;="&amp;TableMonthlySummary[[#This Row],[Desde]],TableDailySummary[Fecha],"&lt;="&amp;TableMonthlySummary[[#This Row],[Hasta]])</f>
        <v>0</v>
      </c>
      <c r="T31" s="12">
        <f ca="1">SUMIFS(TableDailySummary[Ventas meta ads],TableDailySummary[Fecha],"&gt;="&amp;TableMonthlySummary[[#This Row],[Desde]],TableDailySummary[Fecha],"&lt;="&amp;TableMonthlySummary[[#This Row],[Hasta]])</f>
        <v>0</v>
      </c>
      <c r="U31" s="12">
        <f ca="1">TableMonthlySummary[[#This Row],[Inversión google ads]]+TableMonthlySummary[[#This Row],[Inversión meta ads]]</f>
        <v>0</v>
      </c>
      <c r="V31" s="12">
        <f ca="1">TableMonthlySummary[[#This Row],[Ventas google ads]]+TableMonthlySummary[[#This Row],[Ventas meta ads]]</f>
        <v>0</v>
      </c>
      <c r="W31" s="14">
        <f ca="1">IFERROR(TableMonthlySummary[[#This Row],[Ventas publicidad]]/TableMonthlySummary[[#This Row],[Inversión publicidad]],0)</f>
        <v>0</v>
      </c>
      <c r="X31" s="14">
        <f ca="1">IFERROR(TableMonthlySummary[[#This Row],[Ventas primer cliente]]/TableMonthlySummary[[#This Row],[Inversión publicidad]],0)</f>
        <v>0</v>
      </c>
      <c r="Y31" s="14">
        <f ca="1">IFERROR(1/TableMonthlySummary[[#This Row],[Contribución %]],0)</f>
        <v>0</v>
      </c>
      <c r="Z31" s="14"/>
      <c r="AA31" s="12"/>
      <c r="AB31" s="12">
        <f ca="1"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31" s="12">
        <f ca="1"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31" s="12">
        <f ca="1"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31" s="12">
        <f ca="1">SUMIFS(AccountingReport[costs_fixed],AccountingReport[period],TableMonthlySummary[[#This Row],[Desde]])</f>
        <v>0</v>
      </c>
      <c r="AF31" s="17">
        <f ca="1">TableMonthlySummary[[#This Row],[Ventas netas totales]]-TableMonthlySummary[[#This Row],[Costos variables totales]]-TableMonthlySummary[[#This Row],[Costos fijos]]</f>
        <v>0</v>
      </c>
      <c r="AG31" s="18">
        <f ca="1">IFERROR(TableMonthlySummary[[#This Row],[Contribución $]] / TableMonthlySummary[[#This Row],[Ventas netas totales]],0)</f>
        <v>0</v>
      </c>
      <c r="AH31" s="12">
        <f ca="1">IFERROR(TableMonthlySummary[[#This Row],[Costos de publicidad totales]]/TableMonthlySummary[[#This Row],[Órdenes primer cliente]],0)</f>
        <v>0</v>
      </c>
      <c r="AI31" s="12">
        <f ca="1">SUMIFS(TableDailySummary[Ventas netas con costo registrado],TableDailySummary[Fecha],"&gt;="&amp;TableMonthlySummary[[#This Row],[Desde]],TableDailySummary[Fecha],"&lt;="&amp;TableMonthlySummary[[#This Row],[Hasta]])</f>
        <v>0</v>
      </c>
      <c r="AJ31" s="12">
        <f ca="1">SUMIFS(TableDailySummary[Costo de ventas registrado],TableDailySummary[Fecha],"&gt;="&amp;TableMonthlySummary[[#This Row],[Desde]],TableDailySummary[Fecha],"&lt;="&amp;TableMonthlySummary[[#This Row],[Hasta]])</f>
        <v>0</v>
      </c>
      <c r="AK31" s="12">
        <f ca="1">SUMIFS(TableDailySummary[Utilidad bruta],TableDailySummary[Fecha],"&gt;="&amp;TableMonthlySummary[[#This Row],[Desde]],TableDailySummary[Fecha],"&lt;="&amp;TableMonthlySummary[[#This Row],[Hasta]])</f>
        <v>0</v>
      </c>
      <c r="AL31" s="18">
        <f ca="1">IFERROR(TableMonthlySummary[[#This Row],[Utilidad bruta]]/TableMonthlySummary[[#This Row],[Ventas netas con costo registrado]],0)</f>
        <v>0</v>
      </c>
    </row>
    <row r="32" spans="2:38" x14ac:dyDescent="0.2">
      <c r="B32" s="7"/>
      <c r="C32" s="6"/>
      <c r="D32" s="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2:27" x14ac:dyDescent="0.2">
      <c r="B33" s="7"/>
      <c r="C33" s="6"/>
      <c r="D33" s="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</sheetData>
  <phoneticPr fontId="49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776B-31F7-426B-BCA0-7A9CA0B944D7}">
  <sheetPr codeName="Sheet3"/>
  <dimension ref="B3:AL505"/>
  <sheetViews>
    <sheetView showGridLines="0" zoomScaleNormal="100" workbookViewId="0">
      <selection activeCell="C8" sqref="C8"/>
    </sheetView>
  </sheetViews>
  <sheetFormatPr defaultRowHeight="12" outlineLevelRow="1" outlineLevelCol="1" x14ac:dyDescent="0.2"/>
  <cols>
    <col min="1" max="1" width="3.83203125" customWidth="1"/>
    <col min="2" max="2" width="12.1640625" customWidth="1"/>
    <col min="3" max="3" width="11.83203125" bestFit="1" customWidth="1"/>
    <col min="4" max="4" width="11.83203125" customWidth="1"/>
    <col min="5" max="11" width="12" customWidth="1"/>
    <col min="12" max="19" width="11.83203125" customWidth="1" outlineLevel="1"/>
    <col min="20" max="25" width="12" customWidth="1"/>
    <col min="26" max="27" width="12.5" customWidth="1"/>
    <col min="28" max="28" width="12" customWidth="1"/>
    <col min="29" max="29" width="26.6640625" customWidth="1"/>
    <col min="30" max="30" width="26.5" customWidth="1"/>
    <col min="35" max="37" width="12.33203125" customWidth="1"/>
    <col min="39" max="39" width="23.1640625" customWidth="1"/>
    <col min="40" max="40" width="13" customWidth="1"/>
    <col min="41" max="41" width="13.83203125" customWidth="1"/>
    <col min="43" max="45" width="11.5" bestFit="1" customWidth="1"/>
  </cols>
  <sheetData>
    <row r="3" spans="2:38" ht="15" x14ac:dyDescent="0.2">
      <c r="B3" s="9" t="s">
        <v>121</v>
      </c>
    </row>
    <row r="5" spans="2:38" x14ac:dyDescent="0.2">
      <c r="E5" s="2" t="s">
        <v>2</v>
      </c>
      <c r="F5" s="2"/>
      <c r="G5" s="2"/>
      <c r="H5" s="2"/>
      <c r="I5" s="2"/>
      <c r="J5" s="3" t="s">
        <v>5</v>
      </c>
      <c r="K5" s="3"/>
      <c r="L5" s="22" t="s">
        <v>119</v>
      </c>
      <c r="M5" s="22"/>
      <c r="N5" s="21" t="s">
        <v>109</v>
      </c>
      <c r="O5" s="21"/>
      <c r="P5" s="20" t="s">
        <v>110</v>
      </c>
      <c r="Q5" s="20"/>
      <c r="R5" s="19" t="s">
        <v>108</v>
      </c>
      <c r="S5" s="19"/>
      <c r="T5" s="4" t="s">
        <v>6</v>
      </c>
      <c r="U5" s="4"/>
      <c r="V5" s="4" t="s">
        <v>7</v>
      </c>
      <c r="W5" s="4"/>
      <c r="X5" s="3" t="s">
        <v>713</v>
      </c>
      <c r="Y5" s="3"/>
      <c r="Z5" s="8" t="s">
        <v>9</v>
      </c>
      <c r="AA5" s="8" t="s">
        <v>652</v>
      </c>
      <c r="AB5" t="s">
        <v>30</v>
      </c>
    </row>
    <row r="6" spans="2:38" ht="24" customHeight="1" x14ac:dyDescent="0.2">
      <c r="B6" s="26" t="s">
        <v>91</v>
      </c>
      <c r="C6" s="27" t="s">
        <v>92</v>
      </c>
      <c r="D6" s="27" t="s">
        <v>93</v>
      </c>
      <c r="E6" s="27" t="s">
        <v>34</v>
      </c>
      <c r="F6" s="27" t="s">
        <v>4</v>
      </c>
      <c r="G6" s="27" t="s">
        <v>663</v>
      </c>
      <c r="H6" s="27" t="s">
        <v>688</v>
      </c>
      <c r="I6" s="27" t="s">
        <v>689</v>
      </c>
      <c r="J6" s="27" t="s">
        <v>3</v>
      </c>
      <c r="K6" s="27" t="s">
        <v>4</v>
      </c>
      <c r="L6" s="27" t="s">
        <v>3</v>
      </c>
      <c r="M6" s="27" t="s">
        <v>4</v>
      </c>
      <c r="N6" s="27" t="s">
        <v>3</v>
      </c>
      <c r="O6" s="27" t="s">
        <v>4</v>
      </c>
      <c r="P6" s="27" t="s">
        <v>3</v>
      </c>
      <c r="Q6" s="27" t="s">
        <v>4</v>
      </c>
      <c r="R6" s="27" t="s">
        <v>3</v>
      </c>
      <c r="S6" s="27" t="s">
        <v>4</v>
      </c>
      <c r="T6" s="27" t="s">
        <v>8</v>
      </c>
      <c r="U6" s="27" t="s">
        <v>3</v>
      </c>
      <c r="V6" s="27" t="s">
        <v>8</v>
      </c>
      <c r="W6" s="27" t="s">
        <v>3</v>
      </c>
      <c r="X6" s="27" t="s">
        <v>8</v>
      </c>
      <c r="Y6" s="27" t="s">
        <v>3</v>
      </c>
      <c r="Z6" s="27" t="s">
        <v>10</v>
      </c>
      <c r="AA6" s="27" t="s">
        <v>11</v>
      </c>
      <c r="AB6" s="27" t="s">
        <v>12</v>
      </c>
      <c r="AC6" s="27" t="s">
        <v>13</v>
      </c>
      <c r="AD6" s="27" t="s">
        <v>14</v>
      </c>
      <c r="AE6" s="27" t="s">
        <v>15</v>
      </c>
      <c r="AF6" s="27" t="s">
        <v>16</v>
      </c>
      <c r="AG6" s="28" t="s">
        <v>17</v>
      </c>
      <c r="AH6" s="28" t="s">
        <v>18</v>
      </c>
      <c r="AI6" s="29" t="s">
        <v>96</v>
      </c>
      <c r="AJ6" s="29" t="s">
        <v>97</v>
      </c>
      <c r="AK6" s="29" t="s">
        <v>98</v>
      </c>
      <c r="AL6" s="29" t="s">
        <v>99</v>
      </c>
    </row>
    <row r="7" spans="2:38" outlineLevel="1" x14ac:dyDescent="0.2">
      <c r="B7" t="s">
        <v>91</v>
      </c>
      <c r="C7" t="s">
        <v>92</v>
      </c>
      <c r="D7" t="s">
        <v>93</v>
      </c>
      <c r="E7" t="s">
        <v>35</v>
      </c>
      <c r="F7" t="s">
        <v>19</v>
      </c>
      <c r="G7" t="s">
        <v>664</v>
      </c>
      <c r="H7" t="s">
        <v>690</v>
      </c>
      <c r="I7" t="s">
        <v>691</v>
      </c>
      <c r="J7" t="s">
        <v>20</v>
      </c>
      <c r="K7" t="s">
        <v>21</v>
      </c>
      <c r="L7" t="s">
        <v>111</v>
      </c>
      <c r="M7" t="s">
        <v>112</v>
      </c>
      <c r="N7" t="s">
        <v>113</v>
      </c>
      <c r="O7" t="s">
        <v>114</v>
      </c>
      <c r="P7" t="s">
        <v>115</v>
      </c>
      <c r="Q7" t="s">
        <v>116</v>
      </c>
      <c r="R7" t="s">
        <v>117</v>
      </c>
      <c r="S7" t="s">
        <v>118</v>
      </c>
      <c r="T7" t="s">
        <v>22</v>
      </c>
      <c r="U7" t="s">
        <v>23</v>
      </c>
      <c r="V7" t="s">
        <v>24</v>
      </c>
      <c r="W7" t="s">
        <v>25</v>
      </c>
      <c r="X7" t="s">
        <v>26</v>
      </c>
      <c r="Y7" t="s">
        <v>27</v>
      </c>
      <c r="Z7" t="s">
        <v>28</v>
      </c>
      <c r="AA7" t="s">
        <v>29</v>
      </c>
      <c r="AB7" t="s">
        <v>12</v>
      </c>
      <c r="AC7" t="s">
        <v>13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I7" t="s">
        <v>95</v>
      </c>
      <c r="AJ7" t="s">
        <v>97</v>
      </c>
      <c r="AK7" t="s">
        <v>98</v>
      </c>
      <c r="AL7" t="s">
        <v>99</v>
      </c>
    </row>
    <row r="8" spans="2:38" x14ac:dyDescent="0.2">
      <c r="B8" s="16">
        <f ca="1">_xlfn.ISOWEEKNUM(TableWeeklySummary[[#This Row],[Hasta]])</f>
        <v>46</v>
      </c>
      <c r="C8" s="6">
        <f t="shared" ref="C8:C39" ca="1" si="0">_xlfn.LET(
    _xlpm.fechaini, ParamFechaInicioReporte,
    _xlpm.start_friday, IF(WEEKDAY(_xlpm.fechaini, 1) = 6, _xlpm.fechaini, _xlpm.fechaini - MOD(WEEKDAY(_xlpm.fechaini, 1) + 1, 7)),
    IF(ROW()=8, _xlpm.start_friday, C7 + 7)
)</f>
        <v>45968</v>
      </c>
      <c r="D8" s="6">
        <f ca="1">TableWeeklySummary[[#This Row],[Desde]]+7-1</f>
        <v>45974</v>
      </c>
      <c r="E8" s="12">
        <f ca="1">SUMIFS(TableDailySummary[Ventas netas totales],TableDailySummary[Fecha],"&gt;="&amp;TableWeeklySummary[[#This Row],[Desde]],TableDailySummary[Fecha],"&lt;="&amp;TableWeeklySummary[[#This Row],[Hasta]])</f>
        <v>35799697.460000001</v>
      </c>
      <c r="F8" s="12">
        <f ca="1">SUMIFS(TableDailySummary[Órdenes totales],TableDailySummary[Fecha],"&gt;="&amp;TableWeeklySummary[[#This Row],[Desde]],TableDailySummary[Fecha],"&lt;="&amp;TableWeeklySummary[[#This Row],[Hasta]])</f>
        <v>154</v>
      </c>
      <c r="G8" s="12">
        <f ca="1">IFERROR(TableWeeklySummary[[#This Row],[Ventas netas totales]]/TableWeeklySummary[[#This Row],[Órdenes totales]],0)</f>
        <v>232465.56792207793</v>
      </c>
      <c r="H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8" s="12">
        <f ca="1">TableWeeklySummary[[#This Row],[Órden promedio totales]]*TableWeeklySummary[[#This Row],[CR totales]]</f>
        <v>0</v>
      </c>
      <c r="J8" s="12">
        <f ca="1">SUMIFS(TableDailySummary[Ventas primer cliente],TableDailySummary[Fecha],"&gt;="&amp;TableWeeklySummary[[#This Row],[Desde]],TableDailySummary[Fecha],"&lt;="&amp;TableWeeklySummary[[#This Row],[Hasta]])</f>
        <v>21781789.899999995</v>
      </c>
      <c r="K8" s="12">
        <f ca="1">SUMIFS(TableDailySummary[Órdenes primer cliente],TableDailySummary[Fecha],"&gt;="&amp;TableWeeklySummary[[#This Row],[Desde]],TableDailySummary[Fecha],"&lt;="&amp;TableWeeklySummary[[#This Row],[Hasta]])</f>
        <v>86</v>
      </c>
      <c r="L8" s="12">
        <f ca="1">SUMIFS(TableDailySummary[Online Store_net_sales],TableDailySummary[Fecha],"&gt;="&amp;TableWeeklySummary[[#This Row],[Desde]],TableDailySummary[Fecha],"&lt;="&amp;TableWeeklySummary[[#This Row],[Hasta]])</f>
        <v>8432352.9199999999</v>
      </c>
      <c r="M8" s="12">
        <f ca="1">SUMIFS(TableDailySummary[Online Store_orders],TableDailySummary[Fecha],"&gt;="&amp;TableWeeklySummary[[#This Row],[Desde]],TableDailySummary[Fecha],"&lt;="&amp;TableWeeklySummary[[#This Row],[Hasta]])</f>
        <v>41</v>
      </c>
      <c r="N8" s="12">
        <f ca="1">SUMIFS(TableDailySummary[Tienda 81_net_sales],TableDailySummary[Fecha],"&gt;="&amp;TableWeeklySummary[[#This Row],[Desde]],TableDailySummary[Fecha],"&lt;="&amp;TableWeeklySummary[[#This Row],[Hasta]])</f>
        <v>26100957.970000003</v>
      </c>
      <c r="O8" s="12">
        <f ca="1">SUMIFS(TableDailySummary[Tienda 81_orders],TableDailySummary[Fecha],"&gt;="&amp;TableWeeklySummary[[#This Row],[Desde]],TableDailySummary[Fecha],"&lt;="&amp;TableWeeklySummary[[#This Row],[Hasta]])</f>
        <v>103</v>
      </c>
      <c r="P8" s="12">
        <f ca="1">SUMIFS(TableDailySummary[Rappi_net_sales],TableDailySummary[Fecha],"&gt;="&amp;TableWeeklySummary[[#This Row],[Desde]],TableDailySummary[Fecha],"&lt;="&amp;TableWeeklySummary[[#This Row],[Hasta]])</f>
        <v>365546.23</v>
      </c>
      <c r="Q8" s="12">
        <f ca="1">SUMIFS(TableDailySummary[Rappi_orders],TableDailySummary[Fecha],"&gt;="&amp;TableWeeklySummary[[#This Row],[Desde]],TableDailySummary[Fecha],"&lt;="&amp;TableWeeklySummary[[#This Row],[Hasta]])</f>
        <v>7</v>
      </c>
      <c r="R8" s="12">
        <f ca="1">SUMIFS(TableDailySummary[Corporativo no tienda_net_sales],TableDailySummary[Fecha],"&gt;="&amp;TableWeeklySummary[[#This Row],[Desde]],TableDailySummary[Fecha],"&lt;="&amp;TableWeeklySummary[[#This Row],[Hasta]])</f>
        <v>552100.84</v>
      </c>
      <c r="S8" s="12">
        <f ca="1">SUMIFS(TableDailySummary[Corporativo no tienda_orders],TableDailySummary[Fecha],"&gt;="&amp;TableWeeklySummary[[#This Row],[Desde]],TableDailySummary[Fecha],"&lt;="&amp;TableWeeklySummary[[#This Row],[Hasta]])</f>
        <v>1</v>
      </c>
      <c r="T8" s="12">
        <f ca="1">SUMIFS(TableDailySummary[Inversión google ads],TableDailySummary[Fecha],"&gt;="&amp;TableWeeklySummary[[#This Row],[Desde]],TableDailySummary[Fecha],"&lt;="&amp;TableWeeklySummary[[#This Row],[Hasta]])</f>
        <v>513003.31999999995</v>
      </c>
      <c r="U8" s="12">
        <f ca="1">SUMIFS(TableDailySummary[Ventas google ads],TableDailySummary[Fecha],"&gt;="&amp;TableWeeklySummary[[#This Row],[Desde]],TableDailySummary[Fecha],"&lt;="&amp;TableWeeklySummary[[#This Row],[Hasta]])</f>
        <v>139500</v>
      </c>
      <c r="V8" s="12">
        <f ca="1">SUMIFS(TableDailySummary[Inversión meta ads],TableDailySummary[Fecha],"&gt;="&amp;TableWeeklySummary[[#This Row],[Desde]],TableDailySummary[Fecha],"&lt;="&amp;TableWeeklySummary[[#This Row],[Hasta]])</f>
        <v>360300</v>
      </c>
      <c r="W8" s="12">
        <f ca="1">SUMIFS(TableDailySummary[Ventas meta ads],TableDailySummary[Fecha],"&gt;="&amp;TableWeeklySummary[[#This Row],[Desde]],TableDailySummary[Fecha],"&lt;="&amp;TableWeeklySummary[[#This Row],[Hasta]])</f>
        <v>110000</v>
      </c>
      <c r="X8" s="12">
        <f ca="1">TableWeeklySummary[[#This Row],[Inversión google ads]]+TableWeeklySummary[[#This Row],[Inversión meta ads]]</f>
        <v>873303.32</v>
      </c>
      <c r="Y8" s="12">
        <f ca="1">TableWeeklySummary[[#This Row],[Ventas google ads]]+TableWeeklySummary[[#This Row],[Ventas meta ads]]</f>
        <v>249500</v>
      </c>
      <c r="Z8" s="14">
        <f ca="1">IFERROR(TableWeeklySummary[[#This Row],[Ventas publicidad]]/TableWeeklySummary[[#This Row],[Inversión publicidad]],0)</f>
        <v>0.28569684127617884</v>
      </c>
      <c r="AA8" s="14">
        <f ca="1">IFERROR(TableWeeklySummary[[#This Row],[Ventas primer cliente]]/TableWeeklySummary[[#This Row],[Inversión publicidad]],0)</f>
        <v>24.941837963011519</v>
      </c>
      <c r="AB8" s="14"/>
      <c r="AC8" s="12"/>
      <c r="AI8" s="12">
        <f ca="1">SUMIFS(TableDailySummary[Ventas netas con costo registrado],TableDailySummary[Fecha],"&gt;="&amp;TableWeeklySummary[[#This Row],[Desde]],TableDailySummary[Fecha],"&lt;="&amp;TableWeeklySummary[[#This Row],[Hasta]])</f>
        <v>34649369.710000001</v>
      </c>
      <c r="AJ8" s="12">
        <f ca="1">SUMIFS(TableDailySummary[Costo de ventas registrado],TableDailySummary[Fecha],"&gt;="&amp;TableWeeklySummary[[#This Row],[Desde]],TableDailySummary[Fecha],"&lt;="&amp;TableWeeklySummary[[#This Row],[Hasta]])</f>
        <v>10506990</v>
      </c>
      <c r="AK8" s="12">
        <f ca="1">SUMIFS(TableDailySummary[Utilidad bruta],TableDailySummary[Fecha],"&gt;="&amp;TableWeeklySummary[[#This Row],[Desde]],TableDailySummary[Fecha],"&lt;="&amp;TableWeeklySummary[[#This Row],[Hasta]])</f>
        <v>24142379.710000001</v>
      </c>
      <c r="AL8" s="18">
        <f ca="1">IFERROR(TableWeeklySummary[[#This Row],[Utilidad bruta]]/TableWeeklySummary[[#This Row],[Ventas netas con costo registrado]],0)</f>
        <v>0.69676244942003596</v>
      </c>
    </row>
    <row r="9" spans="2:38" x14ac:dyDescent="0.2">
      <c r="B9" s="16">
        <f ca="1">_xlfn.ISOWEEKNUM(TableWeeklySummary[[#This Row],[Hasta]])</f>
        <v>47</v>
      </c>
      <c r="C9" s="6">
        <f t="shared" ca="1" si="0"/>
        <v>45975</v>
      </c>
      <c r="D9" s="6">
        <f ca="1">TableWeeklySummary[[#This Row],[Desde]]+7-1</f>
        <v>45981</v>
      </c>
      <c r="E9" s="12">
        <f ca="1">SUMIFS(TableDailySummary[Ventas netas totales],TableDailySummary[Fecha],"&gt;="&amp;TableWeeklySummary[[#This Row],[Desde]],TableDailySummary[Fecha],"&lt;="&amp;TableWeeklySummary[[#This Row],[Hasta]])</f>
        <v>36374302.700000003</v>
      </c>
      <c r="F9" s="12">
        <f ca="1">SUMIFS(TableDailySummary[Órdenes totales],TableDailySummary[Fecha],"&gt;="&amp;TableWeeklySummary[[#This Row],[Desde]],TableDailySummary[Fecha],"&lt;="&amp;TableWeeklySummary[[#This Row],[Hasta]])</f>
        <v>178</v>
      </c>
      <c r="G9" s="12">
        <f ca="1">IFERROR(TableWeeklySummary[[#This Row],[Ventas netas totales]]/TableWeeklySummary[[#This Row],[Órdenes totales]],0)</f>
        <v>204350.01516853934</v>
      </c>
      <c r="H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9" s="12">
        <f ca="1">TableWeeklySummary[[#This Row],[Órden promedio totales]]*TableWeeklySummary[[#This Row],[CR totales]]</f>
        <v>0</v>
      </c>
      <c r="J9" s="12">
        <f ca="1">SUMIFS(TableDailySummary[Ventas primer cliente],TableDailySummary[Fecha],"&gt;="&amp;TableWeeklySummary[[#This Row],[Desde]],TableDailySummary[Fecha],"&lt;="&amp;TableWeeklySummary[[#This Row],[Hasta]])</f>
        <v>16678548.540000001</v>
      </c>
      <c r="K9" s="12">
        <f ca="1">SUMIFS(TableDailySummary[Órdenes primer cliente],TableDailySummary[Fecha],"&gt;="&amp;TableWeeklySummary[[#This Row],[Desde]],TableDailySummary[Fecha],"&lt;="&amp;TableWeeklySummary[[#This Row],[Hasta]])</f>
        <v>81</v>
      </c>
      <c r="L9" s="12">
        <f ca="1">SUMIFS(TableDailySummary[Online Store_net_sales],TableDailySummary[Fecha],"&gt;="&amp;TableWeeklySummary[[#This Row],[Desde]],TableDailySummary[Fecha],"&lt;="&amp;TableWeeklySummary[[#This Row],[Hasta]])</f>
        <v>13180361.370000001</v>
      </c>
      <c r="M9" s="12">
        <f ca="1">SUMIFS(TableDailySummary[Online Store_orders],TableDailySummary[Fecha],"&gt;="&amp;TableWeeklySummary[[#This Row],[Desde]],TableDailySummary[Fecha],"&lt;="&amp;TableWeeklySummary[[#This Row],[Hasta]])</f>
        <v>51</v>
      </c>
      <c r="N9" s="12">
        <f ca="1">SUMIFS(TableDailySummary[Tienda 81_net_sales],TableDailySummary[Fecha],"&gt;="&amp;TableWeeklySummary[[#This Row],[Desde]],TableDailySummary[Fecha],"&lt;="&amp;TableWeeklySummary[[#This Row],[Hasta]])</f>
        <v>22555285.859999999</v>
      </c>
      <c r="O9" s="12">
        <f ca="1">SUMIFS(TableDailySummary[Tienda 81_orders],TableDailySummary[Fecha],"&gt;="&amp;TableWeeklySummary[[#This Row],[Desde]],TableDailySummary[Fecha],"&lt;="&amp;TableWeeklySummary[[#This Row],[Hasta]])</f>
        <v>123</v>
      </c>
      <c r="P9" s="12">
        <f ca="1">SUMIFS(TableDailySummary[Rappi_net_sales],TableDailySummary[Fecha],"&gt;="&amp;TableWeeklySummary[[#This Row],[Desde]],TableDailySummary[Fecha],"&lt;="&amp;TableWeeklySummary[[#This Row],[Hasta]])</f>
        <v>638655.47</v>
      </c>
      <c r="Q9" s="12">
        <f ca="1">SUMIFS(TableDailySummary[Rappi_orders],TableDailySummary[Fecha],"&gt;="&amp;TableWeeklySummary[[#This Row],[Desde]],TableDailySummary[Fecha],"&lt;="&amp;TableWeeklySummary[[#This Row],[Hasta]])</f>
        <v>4</v>
      </c>
      <c r="R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9" s="12">
        <f ca="1">SUMIFS(TableDailySummary[Inversión google ads],TableDailySummary[Fecha],"&gt;="&amp;TableWeeklySummary[[#This Row],[Desde]],TableDailySummary[Fecha],"&lt;="&amp;TableWeeklySummary[[#This Row],[Hasta]])</f>
        <v>504211.86</v>
      </c>
      <c r="U9" s="12">
        <f ca="1">SUMIFS(TableDailySummary[Ventas google ads],TableDailySummary[Fecha],"&gt;="&amp;TableWeeklySummary[[#This Row],[Desde]],TableDailySummary[Fecha],"&lt;="&amp;TableWeeklySummary[[#This Row],[Hasta]])</f>
        <v>556000</v>
      </c>
      <c r="V9" s="12">
        <f ca="1">SUMIFS(TableDailySummary[Inversión meta ads],TableDailySummary[Fecha],"&gt;="&amp;TableWeeklySummary[[#This Row],[Desde]],TableDailySummary[Fecha],"&lt;="&amp;TableWeeklySummary[[#This Row],[Hasta]])</f>
        <v>366757</v>
      </c>
      <c r="W9" s="12">
        <f ca="1">SUMIFS(TableDailySummary[Ventas meta ads],TableDailySummary[Fecha],"&gt;="&amp;TableWeeklySummary[[#This Row],[Desde]],TableDailySummary[Fecha],"&lt;="&amp;TableWeeklySummary[[#This Row],[Hasta]])</f>
        <v>129000</v>
      </c>
      <c r="X9" s="12">
        <f ca="1">TableWeeklySummary[[#This Row],[Inversión google ads]]+TableWeeklySummary[[#This Row],[Inversión meta ads]]</f>
        <v>870968.86</v>
      </c>
      <c r="Y9" s="12">
        <f ca="1">TableWeeklySummary[[#This Row],[Ventas google ads]]+TableWeeklySummary[[#This Row],[Ventas meta ads]]</f>
        <v>685000</v>
      </c>
      <c r="Z9" s="14">
        <f ca="1">IFERROR(TableWeeklySummary[[#This Row],[Ventas publicidad]]/TableWeeklySummary[[#This Row],[Inversión publicidad]],0)</f>
        <v>0.78648047187358683</v>
      </c>
      <c r="AA9" s="14">
        <f ca="1">IFERROR(TableWeeklySummary[[#This Row],[Ventas primer cliente]]/TableWeeklySummary[[#This Row],[Inversión publicidad]],0)</f>
        <v>19.149420037818576</v>
      </c>
      <c r="AB9" s="14"/>
      <c r="AC9" s="12"/>
      <c r="AI9" s="12">
        <f ca="1">SUMIFS(TableDailySummary[Ventas netas con costo registrado],TableDailySummary[Fecha],"&gt;="&amp;TableWeeklySummary[[#This Row],[Desde]],TableDailySummary[Fecha],"&lt;="&amp;TableWeeklySummary[[#This Row],[Hasta]])</f>
        <v>34979452.600000001</v>
      </c>
      <c r="AJ9" s="12">
        <f ca="1">SUMIFS(TableDailySummary[Costo de ventas registrado],TableDailySummary[Fecha],"&gt;="&amp;TableWeeklySummary[[#This Row],[Desde]],TableDailySummary[Fecha],"&lt;="&amp;TableWeeklySummary[[#This Row],[Hasta]])</f>
        <v>10664012</v>
      </c>
      <c r="AK9" s="12">
        <f ca="1">SUMIFS(TableDailySummary[Utilidad bruta],TableDailySummary[Fecha],"&gt;="&amp;TableWeeklySummary[[#This Row],[Desde]],TableDailySummary[Fecha],"&lt;="&amp;TableWeeklySummary[[#This Row],[Hasta]])</f>
        <v>24315440.600000001</v>
      </c>
      <c r="AL9" s="18">
        <f ca="1">IFERROR(TableWeeklySummary[[#This Row],[Utilidad bruta]]/TableWeeklySummary[[#This Row],[Ventas netas con costo registrado]],0)</f>
        <v>0.69513496617725801</v>
      </c>
    </row>
    <row r="10" spans="2:38" x14ac:dyDescent="0.2">
      <c r="B10" s="16">
        <f ca="1">_xlfn.ISOWEEKNUM(TableWeeklySummary[[#This Row],[Hasta]])</f>
        <v>48</v>
      </c>
      <c r="C10" s="6">
        <f t="shared" ca="1" si="0"/>
        <v>45982</v>
      </c>
      <c r="D10" s="6">
        <f ca="1">TableWeeklySummary[[#This Row],[Desde]]+7-1</f>
        <v>45988</v>
      </c>
      <c r="E10" s="12">
        <f ca="1">SUMIFS(TableDailySummary[Ventas netas totales],TableDailySummary[Fecha],"&gt;="&amp;TableWeeklySummary[[#This Row],[Desde]],TableDailySummary[Fecha],"&lt;="&amp;TableWeeklySummary[[#This Row],[Hasta]])</f>
        <v>48805959.039999999</v>
      </c>
      <c r="F10" s="12">
        <f ca="1">SUMIFS(TableDailySummary[Órdenes totales],TableDailySummary[Fecha],"&gt;="&amp;TableWeeklySummary[[#This Row],[Desde]],TableDailySummary[Fecha],"&lt;="&amp;TableWeeklySummary[[#This Row],[Hasta]])</f>
        <v>223</v>
      </c>
      <c r="G10" s="12">
        <f ca="1">IFERROR(TableWeeklySummary[[#This Row],[Ventas netas totales]]/TableWeeklySummary[[#This Row],[Órdenes totales]],0)</f>
        <v>218860.80286995517</v>
      </c>
      <c r="H1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0" s="12">
        <f ca="1">TableWeeklySummary[[#This Row],[Órden promedio totales]]*TableWeeklySummary[[#This Row],[CR totales]]</f>
        <v>0</v>
      </c>
      <c r="J10" s="12">
        <f ca="1">SUMIFS(TableDailySummary[Ventas primer cliente],TableDailySummary[Fecha],"&gt;="&amp;TableWeeklySummary[[#This Row],[Desde]],TableDailySummary[Fecha],"&lt;="&amp;TableWeeklySummary[[#This Row],[Hasta]])</f>
        <v>25882739.52</v>
      </c>
      <c r="K10" s="12">
        <f ca="1">SUMIFS(TableDailySummary[Órdenes primer cliente],TableDailySummary[Fecha],"&gt;="&amp;TableWeeklySummary[[#This Row],[Desde]],TableDailySummary[Fecha],"&lt;="&amp;TableWeeklySummary[[#This Row],[Hasta]])</f>
        <v>111</v>
      </c>
      <c r="L10" s="12">
        <f ca="1">SUMIFS(TableDailySummary[Online Store_net_sales],TableDailySummary[Fecha],"&gt;="&amp;TableWeeklySummary[[#This Row],[Desde]],TableDailySummary[Fecha],"&lt;="&amp;TableWeeklySummary[[#This Row],[Hasta]])</f>
        <v>11847614.459999999</v>
      </c>
      <c r="M10" s="12">
        <f ca="1">SUMIFS(TableDailySummary[Online Store_orders],TableDailySummary[Fecha],"&gt;="&amp;TableWeeklySummary[[#This Row],[Desde]],TableDailySummary[Fecha],"&lt;="&amp;TableWeeklySummary[[#This Row],[Hasta]])</f>
        <v>63</v>
      </c>
      <c r="N10" s="12">
        <f ca="1">SUMIFS(TableDailySummary[Tienda 81_net_sales],TableDailySummary[Fecha],"&gt;="&amp;TableWeeklySummary[[#This Row],[Desde]],TableDailySummary[Fecha],"&lt;="&amp;TableWeeklySummary[[#This Row],[Hasta]])</f>
        <v>33816958.030000001</v>
      </c>
      <c r="O10" s="12">
        <f ca="1">SUMIFS(TableDailySummary[Tienda 81_orders],TableDailySummary[Fecha],"&gt;="&amp;TableWeeklySummary[[#This Row],[Desde]],TableDailySummary[Fecha],"&lt;="&amp;TableWeeklySummary[[#This Row],[Hasta]])</f>
        <v>155</v>
      </c>
      <c r="P10" s="12">
        <f ca="1">SUMIFS(TableDailySummary[Rappi_net_sales],TableDailySummary[Fecha],"&gt;="&amp;TableWeeklySummary[[#This Row],[Desde]],TableDailySummary[Fecha],"&lt;="&amp;TableWeeklySummary[[#This Row],[Hasta]])</f>
        <v>214285.71</v>
      </c>
      <c r="Q10" s="12">
        <f ca="1">SUMIFS(TableDailySummary[Rappi_orders],TableDailySummary[Fecha],"&gt;="&amp;TableWeeklySummary[[#This Row],[Desde]],TableDailySummary[Fecha],"&lt;="&amp;TableWeeklySummary[[#This Row],[Hasta]])</f>
        <v>3</v>
      </c>
      <c r="R10" s="12">
        <f ca="1">SUMIFS(TableDailySummary[Corporativo no tienda_net_sales],TableDailySummary[Fecha],"&gt;="&amp;TableWeeklySummary[[#This Row],[Desde]],TableDailySummary[Fecha],"&lt;="&amp;TableWeeklySummary[[#This Row],[Hasta]])</f>
        <v>2432142.86</v>
      </c>
      <c r="S10" s="12">
        <f ca="1">SUMIFS(TableDailySummary[Corporativo no tienda_orders],TableDailySummary[Fecha],"&gt;="&amp;TableWeeklySummary[[#This Row],[Desde]],TableDailySummary[Fecha],"&lt;="&amp;TableWeeklySummary[[#This Row],[Hasta]])</f>
        <v>1</v>
      </c>
      <c r="T10" s="12">
        <f ca="1">SUMIFS(TableDailySummary[Inversión google ads],TableDailySummary[Fecha],"&gt;="&amp;TableWeeklySummary[[#This Row],[Desde]],TableDailySummary[Fecha],"&lt;="&amp;TableWeeklySummary[[#This Row],[Hasta]])</f>
        <v>492116.76</v>
      </c>
      <c r="U10" s="12">
        <f ca="1">SUMIFS(TableDailySummary[Ventas google ads],TableDailySummary[Fecha],"&gt;="&amp;TableWeeklySummary[[#This Row],[Desde]],TableDailySummary[Fecha],"&lt;="&amp;TableWeeklySummary[[#This Row],[Hasta]])</f>
        <v>826001</v>
      </c>
      <c r="V10" s="12">
        <f ca="1">SUMIFS(TableDailySummary[Inversión meta ads],TableDailySummary[Fecha],"&gt;="&amp;TableWeeklySummary[[#This Row],[Desde]],TableDailySummary[Fecha],"&lt;="&amp;TableWeeklySummary[[#This Row],[Hasta]])</f>
        <v>359619</v>
      </c>
      <c r="W10" s="12">
        <f ca="1">SUMIFS(TableDailySummary[Ventas meta ads],TableDailySummary[Fecha],"&gt;="&amp;TableWeeklySummary[[#This Row],[Desde]],TableDailySummary[Fecha],"&lt;="&amp;TableWeeklySummary[[#This Row],[Hasta]])</f>
        <v>686500</v>
      </c>
      <c r="X10" s="12">
        <f ca="1">TableWeeklySummary[[#This Row],[Inversión google ads]]+TableWeeklySummary[[#This Row],[Inversión meta ads]]</f>
        <v>851735.76</v>
      </c>
      <c r="Y10" s="12">
        <f ca="1">TableWeeklySummary[[#This Row],[Ventas google ads]]+TableWeeklySummary[[#This Row],[Ventas meta ads]]</f>
        <v>1512501</v>
      </c>
      <c r="Z10" s="14">
        <f ca="1">IFERROR(TableWeeklySummary[[#This Row],[Ventas publicidad]]/TableWeeklySummary[[#This Row],[Inversión publicidad]],0)</f>
        <v>1.7757866594681899</v>
      </c>
      <c r="AA10" s="14">
        <f ca="1">IFERROR(TableWeeklySummary[[#This Row],[Ventas primer cliente]]/TableWeeklySummary[[#This Row],[Inversión publicidad]],0)</f>
        <v>30.388226883887086</v>
      </c>
      <c r="AB10" s="14"/>
      <c r="AC10" s="12"/>
      <c r="AI10" s="12">
        <f ca="1">SUMIFS(TableDailySummary[Ventas netas con costo registrado],TableDailySummary[Fecha],"&gt;="&amp;TableWeeklySummary[[#This Row],[Desde]],TableDailySummary[Fecha],"&lt;="&amp;TableWeeklySummary[[#This Row],[Hasta]])</f>
        <v>47392705.960000001</v>
      </c>
      <c r="AJ10" s="12">
        <f ca="1">SUMIFS(TableDailySummary[Costo de ventas registrado],TableDailySummary[Fecha],"&gt;="&amp;TableWeeklySummary[[#This Row],[Desde]],TableDailySummary[Fecha],"&lt;="&amp;TableWeeklySummary[[#This Row],[Hasta]])</f>
        <v>15368269</v>
      </c>
      <c r="AK10" s="12">
        <f ca="1">SUMIFS(TableDailySummary[Utilidad bruta],TableDailySummary[Fecha],"&gt;="&amp;TableWeeklySummary[[#This Row],[Desde]],TableDailySummary[Fecha],"&lt;="&amp;TableWeeklySummary[[#This Row],[Hasta]])</f>
        <v>32024436.960000001</v>
      </c>
      <c r="AL10" s="18">
        <f ca="1">IFERROR(TableWeeklySummary[[#This Row],[Utilidad bruta]]/TableWeeklySummary[[#This Row],[Ventas netas con costo registrado]],0)</f>
        <v>0.67572501530148965</v>
      </c>
    </row>
    <row r="11" spans="2:38" x14ac:dyDescent="0.2">
      <c r="B11" s="16">
        <f ca="1">_xlfn.ISOWEEKNUM(TableWeeklySummary[[#This Row],[Hasta]])</f>
        <v>49</v>
      </c>
      <c r="C11" s="6">
        <f t="shared" ca="1" si="0"/>
        <v>45989</v>
      </c>
      <c r="D11" s="6">
        <f ca="1">TableWeeklySummary[[#This Row],[Desde]]+7-1</f>
        <v>45995</v>
      </c>
      <c r="E11" s="12">
        <f ca="1">SUMIFS(TableDailySummary[Ventas netas totales],TableDailySummary[Fecha],"&gt;="&amp;TableWeeklySummary[[#This Row],[Desde]],TableDailySummary[Fecha],"&lt;="&amp;TableWeeklySummary[[#This Row],[Hasta]])</f>
        <v>67976344.539999992</v>
      </c>
      <c r="F11" s="12">
        <f ca="1">SUMIFS(TableDailySummary[Órdenes totales],TableDailySummary[Fecha],"&gt;="&amp;TableWeeklySummary[[#This Row],[Desde]],TableDailySummary[Fecha],"&lt;="&amp;TableWeeklySummary[[#This Row],[Hasta]])</f>
        <v>325</v>
      </c>
      <c r="G11" s="12">
        <f ca="1">IFERROR(TableWeeklySummary[[#This Row],[Ventas netas totales]]/TableWeeklySummary[[#This Row],[Órdenes totales]],0)</f>
        <v>209157.98319999999</v>
      </c>
      <c r="H1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1" s="12">
        <f ca="1">TableWeeklySummary[[#This Row],[Órden promedio totales]]*TableWeeklySummary[[#This Row],[CR totales]]</f>
        <v>0</v>
      </c>
      <c r="J11" s="12">
        <f ca="1">SUMIFS(TableDailySummary[Ventas primer cliente],TableDailySummary[Fecha],"&gt;="&amp;TableWeeklySummary[[#This Row],[Desde]],TableDailySummary[Fecha],"&lt;="&amp;TableWeeklySummary[[#This Row],[Hasta]])</f>
        <v>37403689.060000002</v>
      </c>
      <c r="K11" s="12">
        <f ca="1">SUMIFS(TableDailySummary[Órdenes primer cliente],TableDailySummary[Fecha],"&gt;="&amp;TableWeeklySummary[[#This Row],[Desde]],TableDailySummary[Fecha],"&lt;="&amp;TableWeeklySummary[[#This Row],[Hasta]])</f>
        <v>158</v>
      </c>
      <c r="L11" s="12">
        <f ca="1">SUMIFS(TableDailySummary[Online Store_net_sales],TableDailySummary[Fecha],"&gt;="&amp;TableWeeklySummary[[#This Row],[Desde]],TableDailySummary[Fecha],"&lt;="&amp;TableWeeklySummary[[#This Row],[Hasta]])</f>
        <v>22924529.389999997</v>
      </c>
      <c r="M11" s="12">
        <f ca="1">SUMIFS(TableDailySummary[Online Store_orders],TableDailySummary[Fecha],"&gt;="&amp;TableWeeklySummary[[#This Row],[Desde]],TableDailySummary[Fecha],"&lt;="&amp;TableWeeklySummary[[#This Row],[Hasta]])</f>
        <v>95</v>
      </c>
      <c r="N11" s="12">
        <f ca="1">SUMIFS(TableDailySummary[Tienda 81_net_sales],TableDailySummary[Fecha],"&gt;="&amp;TableWeeklySummary[[#This Row],[Desde]],TableDailySummary[Fecha],"&lt;="&amp;TableWeeklySummary[[#This Row],[Hasta]])</f>
        <v>44845932.789999999</v>
      </c>
      <c r="O11" s="12">
        <f ca="1">SUMIFS(TableDailySummary[Tienda 81_orders],TableDailySummary[Fecha],"&gt;="&amp;TableWeeklySummary[[#This Row],[Desde]],TableDailySummary[Fecha],"&lt;="&amp;TableWeeklySummary[[#This Row],[Hasta]])</f>
        <v>228</v>
      </c>
      <c r="P11" s="12">
        <f ca="1">SUMIFS(TableDailySummary[Rappi_net_sales],TableDailySummary[Fecha],"&gt;="&amp;TableWeeklySummary[[#This Row],[Desde]],TableDailySummary[Fecha],"&lt;="&amp;TableWeeklySummary[[#This Row],[Hasta]])</f>
        <v>205882.36</v>
      </c>
      <c r="Q11" s="12">
        <f ca="1">SUMIFS(TableDailySummary[Rappi_orders],TableDailySummary[Fecha],"&gt;="&amp;TableWeeklySummary[[#This Row],[Desde]],TableDailySummary[Fecha],"&lt;="&amp;TableWeeklySummary[[#This Row],[Hasta]])</f>
        <v>2</v>
      </c>
      <c r="R1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1" s="12">
        <f ca="1">SUMIFS(TableDailySummary[Inversión google ads],TableDailySummary[Fecha],"&gt;="&amp;TableWeeklySummary[[#This Row],[Desde]],TableDailySummary[Fecha],"&lt;="&amp;TableWeeklySummary[[#This Row],[Hasta]])</f>
        <v>450025.87</v>
      </c>
      <c r="U11" s="12">
        <f ca="1">SUMIFS(TableDailySummary[Ventas google ads],TableDailySummary[Fecha],"&gt;="&amp;TableWeeklySummary[[#This Row],[Desde]],TableDailySummary[Fecha],"&lt;="&amp;TableWeeklySummary[[#This Row],[Hasta]])</f>
        <v>878500</v>
      </c>
      <c r="V11" s="12">
        <f ca="1">SUMIFS(TableDailySummary[Inversión meta ads],TableDailySummary[Fecha],"&gt;="&amp;TableWeeklySummary[[#This Row],[Desde]],TableDailySummary[Fecha],"&lt;="&amp;TableWeeklySummary[[#This Row],[Hasta]])</f>
        <v>363594</v>
      </c>
      <c r="W11" s="12">
        <f ca="1">SUMIFS(TableDailySummary[Ventas meta ads],TableDailySummary[Fecha],"&gt;="&amp;TableWeeklySummary[[#This Row],[Desde]],TableDailySummary[Fecha],"&lt;="&amp;TableWeeklySummary[[#This Row],[Hasta]])</f>
        <v>308000</v>
      </c>
      <c r="X11" s="12">
        <f ca="1">TableWeeklySummary[[#This Row],[Inversión google ads]]+TableWeeklySummary[[#This Row],[Inversión meta ads]]</f>
        <v>813619.87</v>
      </c>
      <c r="Y11" s="12">
        <f ca="1">TableWeeklySummary[[#This Row],[Ventas google ads]]+TableWeeklySummary[[#This Row],[Ventas meta ads]]</f>
        <v>1186500</v>
      </c>
      <c r="Z11" s="14">
        <f ca="1">IFERROR(TableWeeklySummary[[#This Row],[Ventas publicidad]]/TableWeeklySummary[[#This Row],[Inversión publicidad]],0)</f>
        <v>1.4582977183189982</v>
      </c>
      <c r="AA11" s="14">
        <f ca="1">IFERROR(TableWeeklySummary[[#This Row],[Ventas primer cliente]]/TableWeeklySummary[[#This Row],[Inversión publicidad]],0)</f>
        <v>45.971946407847689</v>
      </c>
      <c r="AB11" s="14"/>
      <c r="AC11" s="12"/>
      <c r="AI11" s="12">
        <f ca="1">SUMIFS(TableDailySummary[Ventas netas con costo registrado],TableDailySummary[Fecha],"&gt;="&amp;TableWeeklySummary[[#This Row],[Desde]],TableDailySummary[Fecha],"&lt;="&amp;TableWeeklySummary[[#This Row],[Hasta]])</f>
        <v>65724890.829999998</v>
      </c>
      <c r="AJ11" s="12">
        <f ca="1">SUMIFS(TableDailySummary[Costo de ventas registrado],TableDailySummary[Fecha],"&gt;="&amp;TableWeeklySummary[[#This Row],[Desde]],TableDailySummary[Fecha],"&lt;="&amp;TableWeeklySummary[[#This Row],[Hasta]])</f>
        <v>20821886</v>
      </c>
      <c r="AK11" s="12">
        <f ca="1">SUMIFS(TableDailySummary[Utilidad bruta],TableDailySummary[Fecha],"&gt;="&amp;TableWeeklySummary[[#This Row],[Desde]],TableDailySummary[Fecha],"&lt;="&amp;TableWeeklySummary[[#This Row],[Hasta]])</f>
        <v>44903004.829999998</v>
      </c>
      <c r="AL11" s="18">
        <f ca="1">IFERROR(TableWeeklySummary[[#This Row],[Utilidad bruta]]/TableWeeklySummary[[#This Row],[Ventas netas con costo registrado]],0)</f>
        <v>0.68319633951379821</v>
      </c>
    </row>
    <row r="12" spans="2:38" x14ac:dyDescent="0.2">
      <c r="B12" s="16">
        <f ca="1">_xlfn.ISOWEEKNUM(TableWeeklySummary[[#This Row],[Hasta]])</f>
        <v>50</v>
      </c>
      <c r="C12" s="6">
        <f t="shared" ca="1" si="0"/>
        <v>45996</v>
      </c>
      <c r="D12" s="6">
        <f ca="1">TableWeeklySummary[[#This Row],[Desde]]+7-1</f>
        <v>46002</v>
      </c>
      <c r="E12" s="12">
        <f ca="1">SUMIFS(TableDailySummary[Ventas netas totales],TableDailySummary[Fecha],"&gt;="&amp;TableWeeklySummary[[#This Row],[Desde]],TableDailySummary[Fecha],"&lt;="&amp;TableWeeklySummary[[#This Row],[Hasta]])</f>
        <v>70878902.260000005</v>
      </c>
      <c r="F12" s="12">
        <f ca="1">SUMIFS(TableDailySummary[Órdenes totales],TableDailySummary[Fecha],"&gt;="&amp;TableWeeklySummary[[#This Row],[Desde]],TableDailySummary[Fecha],"&lt;="&amp;TableWeeklySummary[[#This Row],[Hasta]])</f>
        <v>406</v>
      </c>
      <c r="G12" s="12">
        <f ca="1">IFERROR(TableWeeklySummary[[#This Row],[Ventas netas totales]]/TableWeeklySummary[[#This Row],[Órdenes totales]],0)</f>
        <v>174578.5769950739</v>
      </c>
      <c r="H1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2" s="12">
        <f ca="1">TableWeeklySummary[[#This Row],[Órden promedio totales]]*TableWeeklySummary[[#This Row],[CR totales]]</f>
        <v>0</v>
      </c>
      <c r="J12" s="12">
        <f ca="1">SUMIFS(TableDailySummary[Ventas primer cliente],TableDailySummary[Fecha],"&gt;="&amp;TableWeeklySummary[[#This Row],[Desde]],TableDailySummary[Fecha],"&lt;="&amp;TableWeeklySummary[[#This Row],[Hasta]])</f>
        <v>41337388.610000007</v>
      </c>
      <c r="K12" s="12">
        <f ca="1">SUMIFS(TableDailySummary[Órdenes primer cliente],TableDailySummary[Fecha],"&gt;="&amp;TableWeeklySummary[[#This Row],[Desde]],TableDailySummary[Fecha],"&lt;="&amp;TableWeeklySummary[[#This Row],[Hasta]])</f>
        <v>230</v>
      </c>
      <c r="L12" s="12">
        <f ca="1">SUMIFS(TableDailySummary[Online Store_net_sales],TableDailySummary[Fecha],"&gt;="&amp;TableWeeklySummary[[#This Row],[Desde]],TableDailySummary[Fecha],"&lt;="&amp;TableWeeklySummary[[#This Row],[Hasta]])</f>
        <v>25774792.970000003</v>
      </c>
      <c r="M12" s="12">
        <f ca="1">SUMIFS(TableDailySummary[Online Store_orders],TableDailySummary[Fecha],"&gt;="&amp;TableWeeklySummary[[#This Row],[Desde]],TableDailySummary[Fecha],"&lt;="&amp;TableWeeklySummary[[#This Row],[Hasta]])</f>
        <v>174</v>
      </c>
      <c r="N12" s="12">
        <f ca="1">SUMIFS(TableDailySummary[Tienda 81_net_sales],TableDailySummary[Fecha],"&gt;="&amp;TableWeeklySummary[[#This Row],[Desde]],TableDailySummary[Fecha],"&lt;="&amp;TableWeeklySummary[[#This Row],[Hasta]])</f>
        <v>42667176.510000005</v>
      </c>
      <c r="O12" s="12">
        <f ca="1">SUMIFS(TableDailySummary[Tienda 81_orders],TableDailySummary[Fecha],"&gt;="&amp;TableWeeklySummary[[#This Row],[Desde]],TableDailySummary[Fecha],"&lt;="&amp;TableWeeklySummary[[#This Row],[Hasta]])</f>
        <v>216</v>
      </c>
      <c r="P12" s="12">
        <f ca="1">SUMIFS(TableDailySummary[Rappi_net_sales],TableDailySummary[Fecha],"&gt;="&amp;TableWeeklySummary[[#This Row],[Desde]],TableDailySummary[Fecha],"&lt;="&amp;TableWeeklySummary[[#This Row],[Hasta]])</f>
        <v>0</v>
      </c>
      <c r="Q12" s="12">
        <f ca="1">SUMIFS(TableDailySummary[Rappi_orders],TableDailySummary[Fecha],"&gt;="&amp;TableWeeklySummary[[#This Row],[Desde]],TableDailySummary[Fecha],"&lt;="&amp;TableWeeklySummary[[#This Row],[Hasta]])</f>
        <v>0</v>
      </c>
      <c r="R12" s="12">
        <f ca="1">SUMIFS(TableDailySummary[Corporativo no tienda_net_sales],TableDailySummary[Fecha],"&gt;="&amp;TableWeeklySummary[[#This Row],[Desde]],TableDailySummary[Fecha],"&lt;="&amp;TableWeeklySummary[[#This Row],[Hasta]])</f>
        <v>808823.53</v>
      </c>
      <c r="S12" s="12">
        <f ca="1">SUMIFS(TableDailySummary[Corporativo no tienda_orders],TableDailySummary[Fecha],"&gt;="&amp;TableWeeklySummary[[#This Row],[Desde]],TableDailySummary[Fecha],"&lt;="&amp;TableWeeklySummary[[#This Row],[Hasta]])</f>
        <v>1</v>
      </c>
      <c r="T12" s="12">
        <f ca="1">SUMIFS(TableDailySummary[Inversión google ads],TableDailySummary[Fecha],"&gt;="&amp;TableWeeklySummary[[#This Row],[Desde]],TableDailySummary[Fecha],"&lt;="&amp;TableWeeklySummary[[#This Row],[Hasta]])</f>
        <v>396054.26</v>
      </c>
      <c r="U12" s="12">
        <f ca="1">SUMIFS(TableDailySummary[Ventas google ads],TableDailySummary[Fecha],"&gt;="&amp;TableWeeklySummary[[#This Row],[Desde]],TableDailySummary[Fecha],"&lt;="&amp;TableWeeklySummary[[#This Row],[Hasta]])</f>
        <v>3110000</v>
      </c>
      <c r="V12" s="12">
        <f ca="1">SUMIFS(TableDailySummary[Inversión meta ads],TableDailySummary[Fecha],"&gt;="&amp;TableWeeklySummary[[#This Row],[Desde]],TableDailySummary[Fecha],"&lt;="&amp;TableWeeklySummary[[#This Row],[Hasta]])</f>
        <v>360734</v>
      </c>
      <c r="W12" s="12">
        <f ca="1">SUMIFS(TableDailySummary[Ventas meta ads],TableDailySummary[Fecha],"&gt;="&amp;TableWeeklySummary[[#This Row],[Desde]],TableDailySummary[Fecha],"&lt;="&amp;TableWeeklySummary[[#This Row],[Hasta]])</f>
        <v>319000</v>
      </c>
      <c r="X12" s="12">
        <f ca="1">TableWeeklySummary[[#This Row],[Inversión google ads]]+TableWeeklySummary[[#This Row],[Inversión meta ads]]</f>
        <v>756788.26</v>
      </c>
      <c r="Y12" s="12">
        <f ca="1">TableWeeklySummary[[#This Row],[Ventas google ads]]+TableWeeklySummary[[#This Row],[Ventas meta ads]]</f>
        <v>3429000</v>
      </c>
      <c r="Z12" s="14">
        <f ca="1">IFERROR(TableWeeklySummary[[#This Row],[Ventas publicidad]]/TableWeeklySummary[[#This Row],[Inversión publicidad]],0)</f>
        <v>4.5309899495533932</v>
      </c>
      <c r="AA12" s="14">
        <f ca="1">IFERROR(TableWeeklySummary[[#This Row],[Ventas primer cliente]]/TableWeeklySummary[[#This Row],[Inversión publicidad]],0)</f>
        <v>54.622132497139958</v>
      </c>
      <c r="AB12" s="14"/>
      <c r="AC12" s="12"/>
      <c r="AI12" s="12">
        <f ca="1">SUMIFS(TableDailySummary[Ventas netas con costo registrado],TableDailySummary[Fecha],"&gt;="&amp;TableWeeklySummary[[#This Row],[Desde]],TableDailySummary[Fecha],"&lt;="&amp;TableWeeklySummary[[#This Row],[Hasta]])</f>
        <v>67929260.699999988</v>
      </c>
      <c r="AJ12" s="12">
        <f ca="1">SUMIFS(TableDailySummary[Costo de ventas registrado],TableDailySummary[Fecha],"&gt;="&amp;TableWeeklySummary[[#This Row],[Desde]],TableDailySummary[Fecha],"&lt;="&amp;TableWeeklySummary[[#This Row],[Hasta]])</f>
        <v>21581164</v>
      </c>
      <c r="AK12" s="12">
        <f ca="1">SUMIFS(TableDailySummary[Utilidad bruta],TableDailySummary[Fecha],"&gt;="&amp;TableWeeklySummary[[#This Row],[Desde]],TableDailySummary[Fecha],"&lt;="&amp;TableWeeklySummary[[#This Row],[Hasta]])</f>
        <v>46348096.699999996</v>
      </c>
      <c r="AL12" s="18">
        <f ca="1">IFERROR(TableWeeklySummary[[#This Row],[Utilidad bruta]]/TableWeeklySummary[[#This Row],[Ventas netas con costo registrado]],0)</f>
        <v>0.68229944242569984</v>
      </c>
    </row>
    <row r="13" spans="2:38" x14ac:dyDescent="0.2">
      <c r="B13" s="16">
        <f ca="1">_xlfn.ISOWEEKNUM(TableWeeklySummary[[#This Row],[Hasta]])</f>
        <v>51</v>
      </c>
      <c r="C13" s="6">
        <f t="shared" ca="1" si="0"/>
        <v>46003</v>
      </c>
      <c r="D13" s="6">
        <f ca="1">TableWeeklySummary[[#This Row],[Desde]]+7-1</f>
        <v>46009</v>
      </c>
      <c r="E13" s="12">
        <f ca="1">SUMIFS(TableDailySummary[Ventas netas totales],TableDailySummary[Fecha],"&gt;="&amp;TableWeeklySummary[[#This Row],[Desde]],TableDailySummary[Fecha],"&lt;="&amp;TableWeeklySummary[[#This Row],[Hasta]])</f>
        <v>87222423.469999999</v>
      </c>
      <c r="F13" s="12">
        <f ca="1">SUMIFS(TableDailySummary[Órdenes totales],TableDailySummary[Fecha],"&gt;="&amp;TableWeeklySummary[[#This Row],[Desde]],TableDailySummary[Fecha],"&lt;="&amp;TableWeeklySummary[[#This Row],[Hasta]])</f>
        <v>595</v>
      </c>
      <c r="G13" s="12">
        <f ca="1">IFERROR(TableWeeklySummary[[#This Row],[Ventas netas totales]]/TableWeeklySummary[[#This Row],[Órdenes totales]],0)</f>
        <v>146592.30835294118</v>
      </c>
      <c r="H1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3" s="12">
        <f ca="1">TableWeeklySummary[[#This Row],[Órden promedio totales]]*TableWeeklySummary[[#This Row],[CR totales]]</f>
        <v>0</v>
      </c>
      <c r="J13" s="12">
        <f ca="1">SUMIFS(TableDailySummary[Ventas primer cliente],TableDailySummary[Fecha],"&gt;="&amp;TableWeeklySummary[[#This Row],[Desde]],TableDailySummary[Fecha],"&lt;="&amp;TableWeeklySummary[[#This Row],[Hasta]])</f>
        <v>45900850.910000004</v>
      </c>
      <c r="K13" s="12">
        <f ca="1">SUMIFS(TableDailySummary[Órdenes primer cliente],TableDailySummary[Fecha],"&gt;="&amp;TableWeeklySummary[[#This Row],[Desde]],TableDailySummary[Fecha],"&lt;="&amp;TableWeeklySummary[[#This Row],[Hasta]])</f>
        <v>291</v>
      </c>
      <c r="L13" s="12">
        <f ca="1">SUMIFS(TableDailySummary[Online Store_net_sales],TableDailySummary[Fecha],"&gt;="&amp;TableWeeklySummary[[#This Row],[Desde]],TableDailySummary[Fecha],"&lt;="&amp;TableWeeklySummary[[#This Row],[Hasta]])</f>
        <v>38039919.159999996</v>
      </c>
      <c r="M13" s="12">
        <f ca="1">SUMIFS(TableDailySummary[Online Store_orders],TableDailySummary[Fecha],"&gt;="&amp;TableWeeklySummary[[#This Row],[Desde]],TableDailySummary[Fecha],"&lt;="&amp;TableWeeklySummary[[#This Row],[Hasta]])</f>
        <v>272</v>
      </c>
      <c r="N13" s="12">
        <f ca="1">SUMIFS(TableDailySummary[Tienda 81_net_sales],TableDailySummary[Fecha],"&gt;="&amp;TableWeeklySummary[[#This Row],[Desde]],TableDailySummary[Fecha],"&lt;="&amp;TableWeeklySummary[[#This Row],[Hasta]])</f>
        <v>39032504.259999998</v>
      </c>
      <c r="O13" s="12">
        <f ca="1">SUMIFS(TableDailySummary[Tienda 81_orders],TableDailySummary[Fecha],"&gt;="&amp;TableWeeklySummary[[#This Row],[Desde]],TableDailySummary[Fecha],"&lt;="&amp;TableWeeklySummary[[#This Row],[Hasta]])</f>
        <v>251</v>
      </c>
      <c r="P13" s="12">
        <f ca="1">SUMIFS(TableDailySummary[Rappi_net_sales],TableDailySummary[Fecha],"&gt;="&amp;TableWeeklySummary[[#This Row],[Desde]],TableDailySummary[Fecha],"&lt;="&amp;TableWeeklySummary[[#This Row],[Hasta]])</f>
        <v>0</v>
      </c>
      <c r="Q13" s="12">
        <f ca="1">SUMIFS(TableDailySummary[Rappi_orders],TableDailySummary[Fecha],"&gt;="&amp;TableWeeklySummary[[#This Row],[Desde]],TableDailySummary[Fecha],"&lt;="&amp;TableWeeklySummary[[#This Row],[Hasta]])</f>
        <v>0</v>
      </c>
      <c r="R13" s="12">
        <f ca="1">SUMIFS(TableDailySummary[Corporativo no tienda_net_sales],TableDailySummary[Fecha],"&gt;="&amp;TableWeeklySummary[[#This Row],[Desde]],TableDailySummary[Fecha],"&lt;="&amp;TableWeeklySummary[[#This Row],[Hasta]])</f>
        <v>2682352.94</v>
      </c>
      <c r="S13" s="12">
        <f ca="1">SUMIFS(TableDailySummary[Corporativo no tienda_orders],TableDailySummary[Fecha],"&gt;="&amp;TableWeeklySummary[[#This Row],[Desde]],TableDailySummary[Fecha],"&lt;="&amp;TableWeeklySummary[[#This Row],[Hasta]])</f>
        <v>1</v>
      </c>
      <c r="T13" s="12">
        <f ca="1">SUMIFS(TableDailySummary[Inversión google ads],TableDailySummary[Fecha],"&gt;="&amp;TableWeeklySummary[[#This Row],[Desde]],TableDailySummary[Fecha],"&lt;="&amp;TableWeeklySummary[[#This Row],[Hasta]])</f>
        <v>352741.83999999997</v>
      </c>
      <c r="U13" s="12">
        <f ca="1">SUMIFS(TableDailySummary[Ventas google ads],TableDailySummary[Fecha],"&gt;="&amp;TableWeeklySummary[[#This Row],[Desde]],TableDailySummary[Fecha],"&lt;="&amp;TableWeeklySummary[[#This Row],[Hasta]])</f>
        <v>3544501</v>
      </c>
      <c r="V13" s="12">
        <f ca="1">SUMIFS(TableDailySummary[Inversión meta ads],TableDailySummary[Fecha],"&gt;="&amp;TableWeeklySummary[[#This Row],[Desde]],TableDailySummary[Fecha],"&lt;="&amp;TableWeeklySummary[[#This Row],[Hasta]])</f>
        <v>366478</v>
      </c>
      <c r="W13" s="12">
        <f ca="1">SUMIFS(TableDailySummary[Ventas meta ads],TableDailySummary[Fecha],"&gt;="&amp;TableWeeklySummary[[#This Row],[Desde]],TableDailySummary[Fecha],"&lt;="&amp;TableWeeklySummary[[#This Row],[Hasta]])</f>
        <v>727000</v>
      </c>
      <c r="X13" s="12">
        <f ca="1">TableWeeklySummary[[#This Row],[Inversión google ads]]+TableWeeklySummary[[#This Row],[Inversión meta ads]]</f>
        <v>719219.84</v>
      </c>
      <c r="Y13" s="12">
        <f ca="1">TableWeeklySummary[[#This Row],[Ventas google ads]]+TableWeeklySummary[[#This Row],[Ventas meta ads]]</f>
        <v>4271501</v>
      </c>
      <c r="Z13" s="14">
        <f ca="1">IFERROR(TableWeeklySummary[[#This Row],[Ventas publicidad]]/TableWeeklySummary[[#This Row],[Inversión publicidad]],0)</f>
        <v>5.9390755961348347</v>
      </c>
      <c r="AA13" s="14">
        <f ca="1">IFERROR(TableWeeklySummary[[#This Row],[Ventas primer cliente]]/TableWeeklySummary[[#This Row],[Inversión publicidad]],0)</f>
        <v>63.820334697663519</v>
      </c>
      <c r="AB13" s="14"/>
      <c r="AC13" s="12"/>
      <c r="AI13" s="12">
        <f ca="1">SUMIFS(TableDailySummary[Ventas netas con costo registrado],TableDailySummary[Fecha],"&gt;="&amp;TableWeeklySummary[[#This Row],[Desde]],TableDailySummary[Fecha],"&lt;="&amp;TableWeeklySummary[[#This Row],[Hasta]])</f>
        <v>85232924.699999988</v>
      </c>
      <c r="AJ13" s="12">
        <f ca="1">SUMIFS(TableDailySummary[Costo de ventas registrado],TableDailySummary[Fecha],"&gt;="&amp;TableWeeklySummary[[#This Row],[Desde]],TableDailySummary[Fecha],"&lt;="&amp;TableWeeklySummary[[#This Row],[Hasta]])</f>
        <v>25939326</v>
      </c>
      <c r="AK13" s="12">
        <f ca="1">SUMIFS(TableDailySummary[Utilidad bruta],TableDailySummary[Fecha],"&gt;="&amp;TableWeeklySummary[[#This Row],[Desde]],TableDailySummary[Fecha],"&lt;="&amp;TableWeeklySummary[[#This Row],[Hasta]])</f>
        <v>59293598.700000003</v>
      </c>
      <c r="AL13" s="18">
        <f ca="1">IFERROR(TableWeeklySummary[[#This Row],[Utilidad bruta]]/TableWeeklySummary[[#This Row],[Ventas netas con costo registrado]],0)</f>
        <v>0.69566542399782294</v>
      </c>
    </row>
    <row r="14" spans="2:38" x14ac:dyDescent="0.2">
      <c r="B14" s="16">
        <f ca="1">_xlfn.ISOWEEKNUM(TableWeeklySummary[[#This Row],[Hasta]])</f>
        <v>52</v>
      </c>
      <c r="C14" s="6">
        <f t="shared" ca="1" si="0"/>
        <v>46010</v>
      </c>
      <c r="D14" s="6">
        <f ca="1">TableWeeklySummary[[#This Row],[Desde]]+7-1</f>
        <v>46016</v>
      </c>
      <c r="E14" s="12">
        <f ca="1">SUMIFS(TableDailySummary[Ventas netas totales],TableDailySummary[Fecha],"&gt;="&amp;TableWeeklySummary[[#This Row],[Desde]],TableDailySummary[Fecha],"&lt;="&amp;TableWeeklySummary[[#This Row],[Hasta]])</f>
        <v>46087823.419999994</v>
      </c>
      <c r="F14" s="12">
        <f ca="1">SUMIFS(TableDailySummary[Órdenes totales],TableDailySummary[Fecha],"&gt;="&amp;TableWeeklySummary[[#This Row],[Desde]],TableDailySummary[Fecha],"&lt;="&amp;TableWeeklySummary[[#This Row],[Hasta]])</f>
        <v>293</v>
      </c>
      <c r="G14" s="12">
        <f ca="1">IFERROR(TableWeeklySummary[[#This Row],[Ventas netas totales]]/TableWeeklySummary[[#This Row],[Órdenes totales]],0)</f>
        <v>157296.325665529</v>
      </c>
      <c r="H1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4" s="12">
        <f ca="1">TableWeeklySummary[[#This Row],[Órden promedio totales]]*TableWeeklySummary[[#This Row],[CR totales]]</f>
        <v>0</v>
      </c>
      <c r="J14" s="12">
        <f ca="1">SUMIFS(TableDailySummary[Ventas primer cliente],TableDailySummary[Fecha],"&gt;="&amp;TableWeeklySummary[[#This Row],[Desde]],TableDailySummary[Fecha],"&lt;="&amp;TableWeeklySummary[[#This Row],[Hasta]])</f>
        <v>18509487.330000002</v>
      </c>
      <c r="K14" s="12">
        <f ca="1">SUMIFS(TableDailySummary[Órdenes primer cliente],TableDailySummary[Fecha],"&gt;="&amp;TableWeeklySummary[[#This Row],[Desde]],TableDailySummary[Fecha],"&lt;="&amp;TableWeeklySummary[[#This Row],[Hasta]])</f>
        <v>131</v>
      </c>
      <c r="L14" s="12">
        <f ca="1">SUMIFS(TableDailySummary[Online Store_net_sales],TableDailySummary[Fecha],"&gt;="&amp;TableWeeklySummary[[#This Row],[Desde]],TableDailySummary[Fecha],"&lt;="&amp;TableWeeklySummary[[#This Row],[Hasta]])</f>
        <v>3445378.17</v>
      </c>
      <c r="M14" s="12">
        <f ca="1">SUMIFS(TableDailySummary[Online Store_orders],TableDailySummary[Fecha],"&gt;="&amp;TableWeeklySummary[[#This Row],[Desde]],TableDailySummary[Fecha],"&lt;="&amp;TableWeeklySummary[[#This Row],[Hasta]])</f>
        <v>22</v>
      </c>
      <c r="N14" s="12">
        <f ca="1">SUMIFS(TableDailySummary[Tienda 81_net_sales],TableDailySummary[Fecha],"&gt;="&amp;TableWeeklySummary[[#This Row],[Desde]],TableDailySummary[Fecha],"&lt;="&amp;TableWeeklySummary[[#This Row],[Hasta]])</f>
        <v>36371428.450000003</v>
      </c>
      <c r="O14" s="12">
        <f ca="1">SUMIFS(TableDailySummary[Tienda 81_orders],TableDailySummary[Fecha],"&gt;="&amp;TableWeeklySummary[[#This Row],[Desde]],TableDailySummary[Fecha],"&lt;="&amp;TableWeeklySummary[[#This Row],[Hasta]])</f>
        <v>270</v>
      </c>
      <c r="P14" s="12">
        <f ca="1">SUMIFS(TableDailySummary[Rappi_net_sales],TableDailySummary[Fecha],"&gt;="&amp;TableWeeklySummary[[#This Row],[Desde]],TableDailySummary[Fecha],"&lt;="&amp;TableWeeklySummary[[#This Row],[Hasta]])</f>
        <v>0</v>
      </c>
      <c r="Q14" s="12">
        <f ca="1">SUMIFS(TableDailySummary[Rappi_orders],TableDailySummary[Fecha],"&gt;="&amp;TableWeeklySummary[[#This Row],[Desde]],TableDailySummary[Fecha],"&lt;="&amp;TableWeeklySummary[[#This Row],[Hasta]])</f>
        <v>0</v>
      </c>
      <c r="R14" s="12">
        <f ca="1">SUMIFS(TableDailySummary[Corporativo no tienda_net_sales],TableDailySummary[Fecha],"&gt;="&amp;TableWeeklySummary[[#This Row],[Desde]],TableDailySummary[Fecha],"&lt;="&amp;TableWeeklySummary[[#This Row],[Hasta]])</f>
        <v>6271016.7999999998</v>
      </c>
      <c r="S14" s="12">
        <f ca="1">SUMIFS(TableDailySummary[Corporativo no tienda_orders],TableDailySummary[Fecha],"&gt;="&amp;TableWeeklySummary[[#This Row],[Desde]],TableDailySummary[Fecha],"&lt;="&amp;TableWeeklySummary[[#This Row],[Hasta]])</f>
        <v>1</v>
      </c>
      <c r="T14" s="12">
        <f ca="1">SUMIFS(TableDailySummary[Inversión google ads],TableDailySummary[Fecha],"&gt;="&amp;TableWeeklySummary[[#This Row],[Desde]],TableDailySummary[Fecha],"&lt;="&amp;TableWeeklySummary[[#This Row],[Hasta]])</f>
        <v>361128</v>
      </c>
      <c r="U14" s="12">
        <f ca="1">SUMIFS(TableDailySummary[Ventas google ads],TableDailySummary[Fecha],"&gt;="&amp;TableWeeklySummary[[#This Row],[Desde]],TableDailySummary[Fecha],"&lt;="&amp;TableWeeklySummary[[#This Row],[Hasta]])</f>
        <v>323000</v>
      </c>
      <c r="V14" s="12">
        <f ca="1">SUMIFS(TableDailySummary[Inversión meta ads],TableDailySummary[Fecha],"&gt;="&amp;TableWeeklySummary[[#This Row],[Desde]],TableDailySummary[Fecha],"&lt;="&amp;TableWeeklySummary[[#This Row],[Hasta]])</f>
        <v>360543</v>
      </c>
      <c r="W14" s="12">
        <f ca="1">SUMIFS(TableDailySummary[Ventas meta ads],TableDailySummary[Fecha],"&gt;="&amp;TableWeeklySummary[[#This Row],[Desde]],TableDailySummary[Fecha],"&lt;="&amp;TableWeeklySummary[[#This Row],[Hasta]])</f>
        <v>532000</v>
      </c>
      <c r="X14" s="12">
        <f ca="1">TableWeeklySummary[[#This Row],[Inversión google ads]]+TableWeeklySummary[[#This Row],[Inversión meta ads]]</f>
        <v>721671</v>
      </c>
      <c r="Y14" s="12">
        <f ca="1">TableWeeklySummary[[#This Row],[Ventas google ads]]+TableWeeklySummary[[#This Row],[Ventas meta ads]]</f>
        <v>855000</v>
      </c>
      <c r="Z14" s="14">
        <f ca="1">IFERROR(TableWeeklySummary[[#This Row],[Ventas publicidad]]/TableWeeklySummary[[#This Row],[Inversión publicidad]],0)</f>
        <v>1.1847503917990332</v>
      </c>
      <c r="AA14" s="14">
        <f ca="1">IFERROR(TableWeeklySummary[[#This Row],[Ventas primer cliente]]/TableWeeklySummary[[#This Row],[Inversión publicidad]],0)</f>
        <v>25.648096334756421</v>
      </c>
      <c r="AB14" s="14"/>
      <c r="AC14" s="12"/>
      <c r="AI14" s="12">
        <f ca="1">SUMIFS(TableDailySummary[Ventas netas con costo registrado],TableDailySummary[Fecha],"&gt;="&amp;TableWeeklySummary[[#This Row],[Desde]],TableDailySummary[Fecha],"&lt;="&amp;TableWeeklySummary[[#This Row],[Hasta]])</f>
        <v>43932226.850000001</v>
      </c>
      <c r="AJ14" s="12">
        <f ca="1">SUMIFS(TableDailySummary[Costo de ventas registrado],TableDailySummary[Fecha],"&gt;="&amp;TableWeeklySummary[[#This Row],[Desde]],TableDailySummary[Fecha],"&lt;="&amp;TableWeeklySummary[[#This Row],[Hasta]])</f>
        <v>13752281</v>
      </c>
      <c r="AK14" s="12">
        <f ca="1">SUMIFS(TableDailySummary[Utilidad bruta],TableDailySummary[Fecha],"&gt;="&amp;TableWeeklySummary[[#This Row],[Desde]],TableDailySummary[Fecha],"&lt;="&amp;TableWeeklySummary[[#This Row],[Hasta]])</f>
        <v>30179945.849999998</v>
      </c>
      <c r="AL14" s="18">
        <f ca="1">IFERROR(TableWeeklySummary[[#This Row],[Utilidad bruta]]/TableWeeklySummary[[#This Row],[Ventas netas con costo registrado]],0)</f>
        <v>0.6869659931659029</v>
      </c>
    </row>
    <row r="15" spans="2:38" x14ac:dyDescent="0.2">
      <c r="B15" s="16">
        <f ca="1">_xlfn.ISOWEEKNUM(TableWeeklySummary[[#This Row],[Hasta]])</f>
        <v>1</v>
      </c>
      <c r="C15" s="6">
        <f t="shared" ca="1" si="0"/>
        <v>46017</v>
      </c>
      <c r="D15" s="6">
        <f ca="1">TableWeeklySummary[[#This Row],[Desde]]+7-1</f>
        <v>46023</v>
      </c>
      <c r="E15" s="12">
        <f ca="1">SUMIFS(TableDailySummary[Ventas netas totales],TableDailySummary[Fecha],"&gt;="&amp;TableWeeklySummary[[#This Row],[Desde]],TableDailySummary[Fecha],"&lt;="&amp;TableWeeklySummary[[#This Row],[Hasta]])</f>
        <v>45687613.450000003</v>
      </c>
      <c r="F15" s="12">
        <f ca="1">SUMIFS(TableDailySummary[Órdenes totales],TableDailySummary[Fecha],"&gt;="&amp;TableWeeklySummary[[#This Row],[Desde]],TableDailySummary[Fecha],"&lt;="&amp;TableWeeklySummary[[#This Row],[Hasta]])</f>
        <v>80</v>
      </c>
      <c r="G15" s="12">
        <f ca="1">IFERROR(TableWeeklySummary[[#This Row],[Ventas netas totales]]/TableWeeklySummary[[#This Row],[Órdenes totales]],0)</f>
        <v>571095.16812500008</v>
      </c>
      <c r="H1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5" s="12">
        <f ca="1">TableWeeklySummary[[#This Row],[Órden promedio totales]]*TableWeeklySummary[[#This Row],[CR totales]]</f>
        <v>0</v>
      </c>
      <c r="J15" s="12">
        <f ca="1">SUMIFS(TableDailySummary[Ventas primer cliente],TableDailySummary[Fecha],"&gt;="&amp;TableWeeklySummary[[#This Row],[Desde]],TableDailySummary[Fecha],"&lt;="&amp;TableWeeklySummary[[#This Row],[Hasta]])</f>
        <v>30102100.850000001</v>
      </c>
      <c r="K15" s="12">
        <f ca="1">SUMIFS(TableDailySummary[Órdenes primer cliente],TableDailySummary[Fecha],"&gt;="&amp;TableWeeklySummary[[#This Row],[Desde]],TableDailySummary[Fecha],"&lt;="&amp;TableWeeklySummary[[#This Row],[Hasta]])</f>
        <v>42</v>
      </c>
      <c r="L15" s="12">
        <f ca="1">SUMIFS(TableDailySummary[Online Store_net_sales],TableDailySummary[Fecha],"&gt;="&amp;TableWeeklySummary[[#This Row],[Desde]],TableDailySummary[Fecha],"&lt;="&amp;TableWeeklySummary[[#This Row],[Hasta]])</f>
        <v>5747815.1399999997</v>
      </c>
      <c r="M15" s="12">
        <f ca="1">SUMIFS(TableDailySummary[Online Store_orders],TableDailySummary[Fecha],"&gt;="&amp;TableWeeklySummary[[#This Row],[Desde]],TableDailySummary[Fecha],"&lt;="&amp;TableWeeklySummary[[#This Row],[Hasta]])</f>
        <v>36</v>
      </c>
      <c r="N15" s="12">
        <f ca="1">SUMIFS(TableDailySummary[Tienda 81_net_sales],TableDailySummary[Fecha],"&gt;="&amp;TableWeeklySummary[[#This Row],[Desde]],TableDailySummary[Fecha],"&lt;="&amp;TableWeeklySummary[[#This Row],[Hasta]])</f>
        <v>3469294.0999999996</v>
      </c>
      <c r="O15" s="12">
        <f ca="1">SUMIFS(TableDailySummary[Tienda 81_orders],TableDailySummary[Fecha],"&gt;="&amp;TableWeeklySummary[[#This Row],[Desde]],TableDailySummary[Fecha],"&lt;="&amp;TableWeeklySummary[[#This Row],[Hasta]])</f>
        <v>33</v>
      </c>
      <c r="P15" s="12">
        <f ca="1">SUMIFS(TableDailySummary[Rappi_net_sales],TableDailySummary[Fecha],"&gt;="&amp;TableWeeklySummary[[#This Row],[Desde]],TableDailySummary[Fecha],"&lt;="&amp;TableWeeklySummary[[#This Row],[Hasta]])</f>
        <v>2243697.48</v>
      </c>
      <c r="Q15" s="12">
        <f ca="1">SUMIFS(TableDailySummary[Rappi_orders],TableDailySummary[Fecha],"&gt;="&amp;TableWeeklySummary[[#This Row],[Desde]],TableDailySummary[Fecha],"&lt;="&amp;TableWeeklySummary[[#This Row],[Hasta]])</f>
        <v>2</v>
      </c>
      <c r="R15" s="12">
        <f ca="1">SUMIFS(TableDailySummary[Corporativo no tienda_net_sales],TableDailySummary[Fecha],"&gt;="&amp;TableWeeklySummary[[#This Row],[Desde]],TableDailySummary[Fecha],"&lt;="&amp;TableWeeklySummary[[#This Row],[Hasta]])</f>
        <v>34226806.730000004</v>
      </c>
      <c r="S15" s="12">
        <f ca="1">SUMIFS(TableDailySummary[Corporativo no tienda_orders],TableDailySummary[Fecha],"&gt;="&amp;TableWeeklySummary[[#This Row],[Desde]],TableDailySummary[Fecha],"&lt;="&amp;TableWeeklySummary[[#This Row],[Hasta]])</f>
        <v>9</v>
      </c>
      <c r="T15" s="12">
        <f ca="1">SUMIFS(TableDailySummary[Inversión google ads],TableDailySummary[Fecha],"&gt;="&amp;TableWeeklySummary[[#This Row],[Desde]],TableDailySummary[Fecha],"&lt;="&amp;TableWeeklySummary[[#This Row],[Hasta]])</f>
        <v>349274.25</v>
      </c>
      <c r="U15" s="12">
        <f ca="1">SUMIFS(TableDailySummary[Ventas google ads],TableDailySummary[Fecha],"&gt;="&amp;TableWeeklySummary[[#This Row],[Desde]],TableDailySummary[Fecha],"&lt;="&amp;TableWeeklySummary[[#This Row],[Hasta]])</f>
        <v>132000</v>
      </c>
      <c r="V15" s="12">
        <f ca="1">SUMIFS(TableDailySummary[Inversión meta ads],TableDailySummary[Fecha],"&gt;="&amp;TableWeeklySummary[[#This Row],[Desde]],TableDailySummary[Fecha],"&lt;="&amp;TableWeeklySummary[[#This Row],[Hasta]])</f>
        <v>367048</v>
      </c>
      <c r="W15" s="12">
        <f ca="1">SUMIFS(TableDailySummary[Ventas meta ads],TableDailySummary[Fecha],"&gt;="&amp;TableWeeklySummary[[#This Row],[Desde]],TableDailySummary[Fecha],"&lt;="&amp;TableWeeklySummary[[#This Row],[Hasta]])</f>
        <v>591000</v>
      </c>
      <c r="X15" s="12">
        <f ca="1">TableWeeklySummary[[#This Row],[Inversión google ads]]+TableWeeklySummary[[#This Row],[Inversión meta ads]]</f>
        <v>716322.25</v>
      </c>
      <c r="Y15" s="12">
        <f ca="1">TableWeeklySummary[[#This Row],[Ventas google ads]]+TableWeeklySummary[[#This Row],[Ventas meta ads]]</f>
        <v>723000</v>
      </c>
      <c r="Z15" s="14">
        <f ca="1">IFERROR(TableWeeklySummary[[#This Row],[Ventas publicidad]]/TableWeeklySummary[[#This Row],[Inversión publicidad]],0)</f>
        <v>1.0093222708075869</v>
      </c>
      <c r="AA15" s="14">
        <f ca="1">IFERROR(TableWeeklySummary[[#This Row],[Ventas primer cliente]]/TableWeeklySummary[[#This Row],[Inversión publicidad]],0)</f>
        <v>42.023126951591969</v>
      </c>
      <c r="AB15" s="14"/>
      <c r="AC15" s="12"/>
      <c r="AI15" s="12">
        <f ca="1">SUMIFS(TableDailySummary[Ventas netas con costo registrado],TableDailySummary[Fecha],"&gt;="&amp;TableWeeklySummary[[#This Row],[Desde]],TableDailySummary[Fecha],"&lt;="&amp;TableWeeklySummary[[#This Row],[Hasta]])</f>
        <v>41873841.540000007</v>
      </c>
      <c r="AJ15" s="12">
        <f ca="1">SUMIFS(TableDailySummary[Costo de ventas registrado],TableDailySummary[Fecha],"&gt;="&amp;TableWeeklySummary[[#This Row],[Desde]],TableDailySummary[Fecha],"&lt;="&amp;TableWeeklySummary[[#This Row],[Hasta]])</f>
        <v>12684726</v>
      </c>
      <c r="AK15" s="12">
        <f ca="1">SUMIFS(TableDailySummary[Utilidad bruta],TableDailySummary[Fecha],"&gt;="&amp;TableWeeklySummary[[#This Row],[Desde]],TableDailySummary[Fecha],"&lt;="&amp;TableWeeklySummary[[#This Row],[Hasta]])</f>
        <v>29189115.540000003</v>
      </c>
      <c r="AL15" s="18">
        <f ca="1">IFERROR(TableWeeklySummary[[#This Row],[Utilidad bruta]]/TableWeeklySummary[[#This Row],[Ventas netas con costo registrado]],0)</f>
        <v>0.69707278975388698</v>
      </c>
    </row>
    <row r="16" spans="2:38" x14ac:dyDescent="0.2">
      <c r="B16" s="16">
        <f ca="1">_xlfn.ISOWEEKNUM(TableWeeklySummary[[#This Row],[Hasta]])</f>
        <v>2</v>
      </c>
      <c r="C16" s="6">
        <f t="shared" ca="1" si="0"/>
        <v>46024</v>
      </c>
      <c r="D16" s="6">
        <f ca="1">TableWeeklySummary[[#This Row],[Desde]]+7-1</f>
        <v>46030</v>
      </c>
      <c r="E16" s="12">
        <f ca="1">SUMIFS(TableDailySummary[Ventas netas totales],TableDailySummary[Fecha],"&gt;="&amp;TableWeeklySummary[[#This Row],[Desde]],TableDailySummary[Fecha],"&lt;="&amp;TableWeeklySummary[[#This Row],[Hasta]])</f>
        <v>11196218.58</v>
      </c>
      <c r="F16" s="12">
        <f ca="1">SUMIFS(TableDailySummary[Órdenes totales],TableDailySummary[Fecha],"&gt;="&amp;TableWeeklySummary[[#This Row],[Desde]],TableDailySummary[Fecha],"&lt;="&amp;TableWeeklySummary[[#This Row],[Hasta]])</f>
        <v>81</v>
      </c>
      <c r="G16" s="12">
        <f ca="1">IFERROR(TableWeeklySummary[[#This Row],[Ventas netas totales]]/TableWeeklySummary[[#This Row],[Órdenes totales]],0)</f>
        <v>138224.92074074075</v>
      </c>
      <c r="H1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6" s="12">
        <f ca="1">TableWeeklySummary[[#This Row],[Órden promedio totales]]*TableWeeklySummary[[#This Row],[CR totales]]</f>
        <v>0</v>
      </c>
      <c r="J16" s="12">
        <f ca="1">SUMIFS(TableDailySummary[Ventas primer cliente],TableDailySummary[Fecha],"&gt;="&amp;TableWeeklySummary[[#This Row],[Desde]],TableDailySummary[Fecha],"&lt;="&amp;TableWeeklySummary[[#This Row],[Hasta]])</f>
        <v>6160084.0899999999</v>
      </c>
      <c r="K16" s="12">
        <f ca="1">SUMIFS(TableDailySummary[Órdenes primer cliente],TableDailySummary[Fecha],"&gt;="&amp;TableWeeklySummary[[#This Row],[Desde]],TableDailySummary[Fecha],"&lt;="&amp;TableWeeklySummary[[#This Row],[Hasta]])</f>
        <v>41</v>
      </c>
      <c r="L16" s="12">
        <f ca="1">SUMIFS(TableDailySummary[Online Store_net_sales],TableDailySummary[Fecha],"&gt;="&amp;TableWeeklySummary[[#This Row],[Desde]],TableDailySummary[Fecha],"&lt;="&amp;TableWeeklySummary[[#This Row],[Hasta]])</f>
        <v>5471428.6299999999</v>
      </c>
      <c r="M16" s="12">
        <f ca="1">SUMIFS(TableDailySummary[Online Store_orders],TableDailySummary[Fecha],"&gt;="&amp;TableWeeklySummary[[#This Row],[Desde]],TableDailySummary[Fecha],"&lt;="&amp;TableWeeklySummary[[#This Row],[Hasta]])</f>
        <v>36</v>
      </c>
      <c r="N16" s="12">
        <f ca="1">SUMIFS(TableDailySummary[Tienda 81_net_sales],TableDailySummary[Fecha],"&gt;="&amp;TableWeeklySummary[[#This Row],[Desde]],TableDailySummary[Fecha],"&lt;="&amp;TableWeeklySummary[[#This Row],[Hasta]])</f>
        <v>5678571.4600000009</v>
      </c>
      <c r="O16" s="12">
        <f ca="1">SUMIFS(TableDailySummary[Tienda 81_orders],TableDailySummary[Fecha],"&gt;="&amp;TableWeeklySummary[[#This Row],[Desde]],TableDailySummary[Fecha],"&lt;="&amp;TableWeeklySummary[[#This Row],[Hasta]])</f>
        <v>44</v>
      </c>
      <c r="P16" s="12">
        <f ca="1">SUMIFS(TableDailySummary[Rappi_net_sales],TableDailySummary[Fecha],"&gt;="&amp;TableWeeklySummary[[#This Row],[Desde]],TableDailySummary[Fecha],"&lt;="&amp;TableWeeklySummary[[#This Row],[Hasta]])</f>
        <v>46218.49</v>
      </c>
      <c r="Q16" s="12">
        <f ca="1">SUMIFS(TableDailySummary[Rappi_orders],TableDailySummary[Fecha],"&gt;="&amp;TableWeeklySummary[[#This Row],[Desde]],TableDailySummary[Fecha],"&lt;="&amp;TableWeeklySummary[[#This Row],[Hasta]])</f>
        <v>1</v>
      </c>
      <c r="R1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6" s="12">
        <f ca="1">SUMIFS(TableDailySummary[Inversión google ads],TableDailySummary[Fecha],"&gt;="&amp;TableWeeklySummary[[#This Row],[Desde]],TableDailySummary[Fecha],"&lt;="&amp;TableWeeklySummary[[#This Row],[Hasta]])</f>
        <v>350317.80000000005</v>
      </c>
      <c r="U16" s="12">
        <f ca="1">SUMIFS(TableDailySummary[Ventas google ads],TableDailySummary[Fecha],"&gt;="&amp;TableWeeklySummary[[#This Row],[Desde]],TableDailySummary[Fecha],"&lt;="&amp;TableWeeklySummary[[#This Row],[Hasta]])</f>
        <v>252000</v>
      </c>
      <c r="V16" s="12">
        <f ca="1">SUMIFS(TableDailySummary[Inversión meta ads],TableDailySummary[Fecha],"&gt;="&amp;TableWeeklySummary[[#This Row],[Desde]],TableDailySummary[Fecha],"&lt;="&amp;TableWeeklySummary[[#This Row],[Hasta]])</f>
        <v>359893</v>
      </c>
      <c r="W16" s="12">
        <f ca="1">SUMIFS(TableDailySummary[Ventas meta ads],TableDailySummary[Fecha],"&gt;="&amp;TableWeeklySummary[[#This Row],[Desde]],TableDailySummary[Fecha],"&lt;="&amp;TableWeeklySummary[[#This Row],[Hasta]])</f>
        <v>724000</v>
      </c>
      <c r="X16" s="12">
        <f ca="1">TableWeeklySummary[[#This Row],[Inversión google ads]]+TableWeeklySummary[[#This Row],[Inversión meta ads]]</f>
        <v>710210.8</v>
      </c>
      <c r="Y16" s="12">
        <f ca="1">TableWeeklySummary[[#This Row],[Ventas google ads]]+TableWeeklySummary[[#This Row],[Ventas meta ads]]</f>
        <v>976000</v>
      </c>
      <c r="Z16" s="14">
        <f ca="1">IFERROR(TableWeeklySummary[[#This Row],[Ventas publicidad]]/TableWeeklySummary[[#This Row],[Inversión publicidad]],0)</f>
        <v>1.3742398735699315</v>
      </c>
      <c r="AA16" s="14">
        <f ca="1">IFERROR(TableWeeklySummary[[#This Row],[Ventas primer cliente]]/TableWeeklySummary[[#This Row],[Inversión publicidad]],0)</f>
        <v>8.6735995707190021</v>
      </c>
      <c r="AB16" s="14"/>
      <c r="AC16" s="12"/>
      <c r="AI16" s="12">
        <f ca="1">SUMIFS(TableDailySummary[Ventas netas con costo registrado],TableDailySummary[Fecha],"&gt;="&amp;TableWeeklySummary[[#This Row],[Desde]],TableDailySummary[Fecha],"&lt;="&amp;TableWeeklySummary[[#This Row],[Hasta]])</f>
        <v>10690336.24</v>
      </c>
      <c r="AJ16" s="12">
        <f ca="1">SUMIFS(TableDailySummary[Costo de ventas registrado],TableDailySummary[Fecha],"&gt;="&amp;TableWeeklySummary[[#This Row],[Desde]],TableDailySummary[Fecha],"&lt;="&amp;TableWeeklySummary[[#This Row],[Hasta]])</f>
        <v>3309790</v>
      </c>
      <c r="AK16" s="12">
        <f ca="1">SUMIFS(TableDailySummary[Utilidad bruta],TableDailySummary[Fecha],"&gt;="&amp;TableWeeklySummary[[#This Row],[Desde]],TableDailySummary[Fecha],"&lt;="&amp;TableWeeklySummary[[#This Row],[Hasta]])</f>
        <v>7380546.2400000002</v>
      </c>
      <c r="AL16" s="18">
        <f ca="1">IFERROR(TableWeeklySummary[[#This Row],[Utilidad bruta]]/TableWeeklySummary[[#This Row],[Ventas netas con costo registrado]],0)</f>
        <v>0.69039420971477317</v>
      </c>
    </row>
    <row r="17" spans="2:38" x14ac:dyDescent="0.2">
      <c r="B17" s="16">
        <f ca="1">_xlfn.ISOWEEKNUM(TableWeeklySummary[[#This Row],[Hasta]])</f>
        <v>3</v>
      </c>
      <c r="C17" s="6">
        <f t="shared" ca="1" si="0"/>
        <v>46031</v>
      </c>
      <c r="D17" s="6">
        <f ca="1">TableWeeklySummary[[#This Row],[Desde]]+7-1</f>
        <v>46037</v>
      </c>
      <c r="E17" s="12">
        <f ca="1">SUMIFS(TableDailySummary[Ventas netas totales],TableDailySummary[Fecha],"&gt;="&amp;TableWeeklySummary[[#This Row],[Desde]],TableDailySummary[Fecha],"&lt;="&amp;TableWeeklySummary[[#This Row],[Hasta]])</f>
        <v>13890193.24</v>
      </c>
      <c r="F17" s="12">
        <f ca="1">SUMIFS(TableDailySummary[Órdenes totales],TableDailySummary[Fecha],"&gt;="&amp;TableWeeklySummary[[#This Row],[Desde]],TableDailySummary[Fecha],"&lt;="&amp;TableWeeklySummary[[#This Row],[Hasta]])</f>
        <v>97</v>
      </c>
      <c r="G17" s="12">
        <f ca="1">IFERROR(TableWeeklySummary[[#This Row],[Ventas netas totales]]/TableWeeklySummary[[#This Row],[Órdenes totales]],0)</f>
        <v>143197.86845360824</v>
      </c>
      <c r="H1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7" s="12">
        <f ca="1">TableWeeklySummary[[#This Row],[Órden promedio totales]]*TableWeeklySummary[[#This Row],[CR totales]]</f>
        <v>0</v>
      </c>
      <c r="J17" s="12">
        <f ca="1">SUMIFS(TableDailySummary[Ventas primer cliente],TableDailySummary[Fecha],"&gt;="&amp;TableWeeklySummary[[#This Row],[Desde]],TableDailySummary[Fecha],"&lt;="&amp;TableWeeklySummary[[#This Row],[Hasta]])</f>
        <v>6524882.3300000001</v>
      </c>
      <c r="K17" s="12">
        <f ca="1">SUMIFS(TableDailySummary[Órdenes primer cliente],TableDailySummary[Fecha],"&gt;="&amp;TableWeeklySummary[[#This Row],[Desde]],TableDailySummary[Fecha],"&lt;="&amp;TableWeeklySummary[[#This Row],[Hasta]])</f>
        <v>46</v>
      </c>
      <c r="L17" s="12">
        <f ca="1">SUMIFS(TableDailySummary[Online Store_net_sales],TableDailySummary[Fecha],"&gt;="&amp;TableWeeklySummary[[#This Row],[Desde]],TableDailySummary[Fecha],"&lt;="&amp;TableWeeklySummary[[#This Row],[Hasta]])</f>
        <v>4390420.17</v>
      </c>
      <c r="M17" s="12">
        <f ca="1">SUMIFS(TableDailySummary[Online Store_orders],TableDailySummary[Fecha],"&gt;="&amp;TableWeeklySummary[[#This Row],[Desde]],TableDailySummary[Fecha],"&lt;="&amp;TableWeeklySummary[[#This Row],[Hasta]])</f>
        <v>25</v>
      </c>
      <c r="N17" s="12">
        <f ca="1">SUMIFS(TableDailySummary[Tienda 81_net_sales],TableDailySummary[Fecha],"&gt;="&amp;TableWeeklySummary[[#This Row],[Desde]],TableDailySummary[Fecha],"&lt;="&amp;TableWeeklySummary[[#This Row],[Hasta]])</f>
        <v>8247672.2300000004</v>
      </c>
      <c r="O17" s="12">
        <f ca="1">SUMIFS(TableDailySummary[Tienda 81_orders],TableDailySummary[Fecha],"&gt;="&amp;TableWeeklySummary[[#This Row],[Desde]],TableDailySummary[Fecha],"&lt;="&amp;TableWeeklySummary[[#This Row],[Hasta]])</f>
        <v>67</v>
      </c>
      <c r="P17" s="12">
        <f ca="1">SUMIFS(TableDailySummary[Rappi_net_sales],TableDailySummary[Fecha],"&gt;="&amp;TableWeeklySummary[[#This Row],[Desde]],TableDailySummary[Fecha],"&lt;="&amp;TableWeeklySummary[[#This Row],[Hasta]])</f>
        <v>268907.56</v>
      </c>
      <c r="Q17" s="12">
        <f ca="1">SUMIFS(TableDailySummary[Rappi_orders],TableDailySummary[Fecha],"&gt;="&amp;TableWeeklySummary[[#This Row],[Desde]],TableDailySummary[Fecha],"&lt;="&amp;TableWeeklySummary[[#This Row],[Hasta]])</f>
        <v>4</v>
      </c>
      <c r="R17" s="12">
        <f ca="1">SUMIFS(TableDailySummary[Corporativo no tienda_net_sales],TableDailySummary[Fecha],"&gt;="&amp;TableWeeklySummary[[#This Row],[Desde]],TableDailySummary[Fecha],"&lt;="&amp;TableWeeklySummary[[#This Row],[Hasta]])</f>
        <v>983193.28</v>
      </c>
      <c r="S17" s="12">
        <f ca="1">SUMIFS(TableDailySummary[Corporativo no tienda_orders],TableDailySummary[Fecha],"&gt;="&amp;TableWeeklySummary[[#This Row],[Desde]],TableDailySummary[Fecha],"&lt;="&amp;TableWeeklySummary[[#This Row],[Hasta]])</f>
        <v>1</v>
      </c>
      <c r="T17" s="12">
        <f ca="1">SUMIFS(TableDailySummary[Inversión google ads],TableDailySummary[Fecha],"&gt;="&amp;TableWeeklySummary[[#This Row],[Desde]],TableDailySummary[Fecha],"&lt;="&amp;TableWeeklySummary[[#This Row],[Hasta]])</f>
        <v>353252.75</v>
      </c>
      <c r="U17" s="12">
        <f ca="1">SUMIFS(TableDailySummary[Ventas google ads],TableDailySummary[Fecha],"&gt;="&amp;TableWeeklySummary[[#This Row],[Desde]],TableDailySummary[Fecha],"&lt;="&amp;TableWeeklySummary[[#This Row],[Hasta]])</f>
        <v>257000</v>
      </c>
      <c r="V17" s="12">
        <f ca="1">SUMIFS(TableDailySummary[Inversión meta ads],TableDailySummary[Fecha],"&gt;="&amp;TableWeeklySummary[[#This Row],[Desde]],TableDailySummary[Fecha],"&lt;="&amp;TableWeeklySummary[[#This Row],[Hasta]])</f>
        <v>362080</v>
      </c>
      <c r="W17" s="12">
        <f ca="1">SUMIFS(TableDailySummary[Ventas meta ads],TableDailySummary[Fecha],"&gt;="&amp;TableWeeklySummary[[#This Row],[Desde]],TableDailySummary[Fecha],"&lt;="&amp;TableWeeklySummary[[#This Row],[Hasta]])</f>
        <v>576000</v>
      </c>
      <c r="X17" s="12">
        <f ca="1">TableWeeklySummary[[#This Row],[Inversión google ads]]+TableWeeklySummary[[#This Row],[Inversión meta ads]]</f>
        <v>715332.75</v>
      </c>
      <c r="Y17" s="12">
        <f ca="1">TableWeeklySummary[[#This Row],[Ventas google ads]]+TableWeeklySummary[[#This Row],[Ventas meta ads]]</f>
        <v>833000</v>
      </c>
      <c r="Z17" s="14">
        <f ca="1">IFERROR(TableWeeklySummary[[#This Row],[Ventas publicidad]]/TableWeeklySummary[[#This Row],[Inversión publicidad]],0)</f>
        <v>1.16449302789506</v>
      </c>
      <c r="AA17" s="14">
        <f ca="1">IFERROR(TableWeeklySummary[[#This Row],[Ventas primer cliente]]/TableWeeklySummary[[#This Row],[Inversión publicidad]],0)</f>
        <v>9.1214645631700773</v>
      </c>
      <c r="AB17" s="14"/>
      <c r="AC17" s="12"/>
      <c r="AI17" s="12">
        <f ca="1">SUMIFS(TableDailySummary[Ventas netas con costo registrado],TableDailySummary[Fecha],"&gt;="&amp;TableWeeklySummary[[#This Row],[Desde]],TableDailySummary[Fecha],"&lt;="&amp;TableWeeklySummary[[#This Row],[Hasta]])</f>
        <v>12479588.23</v>
      </c>
      <c r="AJ17" s="12">
        <f ca="1">SUMIFS(TableDailySummary[Costo de ventas registrado],TableDailySummary[Fecha],"&gt;="&amp;TableWeeklySummary[[#This Row],[Desde]],TableDailySummary[Fecha],"&lt;="&amp;TableWeeklySummary[[#This Row],[Hasta]])</f>
        <v>3523646</v>
      </c>
      <c r="AK17" s="12">
        <f ca="1">SUMIFS(TableDailySummary[Utilidad bruta],TableDailySummary[Fecha],"&gt;="&amp;TableWeeklySummary[[#This Row],[Desde]],TableDailySummary[Fecha],"&lt;="&amp;TableWeeklySummary[[#This Row],[Hasta]])</f>
        <v>8955942.2300000004</v>
      </c>
      <c r="AL17" s="18">
        <f ca="1">IFERROR(TableWeeklySummary[[#This Row],[Utilidad bruta]]/TableWeeklySummary[[#This Row],[Ventas netas con costo registrado]],0)</f>
        <v>0.71764725445592692</v>
      </c>
    </row>
    <row r="18" spans="2:38" x14ac:dyDescent="0.2">
      <c r="B18" s="16">
        <f ca="1">_xlfn.ISOWEEKNUM(TableWeeklySummary[[#This Row],[Hasta]])</f>
        <v>4</v>
      </c>
      <c r="C18" s="6">
        <f t="shared" ca="1" si="0"/>
        <v>46038</v>
      </c>
      <c r="D18" s="6">
        <f ca="1">TableWeeklySummary[[#This Row],[Desde]]+7-1</f>
        <v>46044</v>
      </c>
      <c r="E18" s="12">
        <f ca="1">SUMIFS(TableDailySummary[Ventas netas totales],TableDailySummary[Fecha],"&gt;="&amp;TableWeeklySummary[[#This Row],[Desde]],TableDailySummary[Fecha],"&lt;="&amp;TableWeeklySummary[[#This Row],[Hasta]])</f>
        <v>19186823.57</v>
      </c>
      <c r="F18" s="12">
        <f ca="1">SUMIFS(TableDailySummary[Órdenes totales],TableDailySummary[Fecha],"&gt;="&amp;TableWeeklySummary[[#This Row],[Desde]],TableDailySummary[Fecha],"&lt;="&amp;TableWeeklySummary[[#This Row],[Hasta]])</f>
        <v>125</v>
      </c>
      <c r="G18" s="12">
        <f ca="1">IFERROR(TableWeeklySummary[[#This Row],[Ventas netas totales]]/TableWeeklySummary[[#This Row],[Órdenes totales]],0)</f>
        <v>153494.58856</v>
      </c>
      <c r="H1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8" s="12">
        <f ca="1">TableWeeklySummary[[#This Row],[Órden promedio totales]]*TableWeeklySummary[[#This Row],[CR totales]]</f>
        <v>0</v>
      </c>
      <c r="J18" s="12">
        <f ca="1">SUMIFS(TableDailySummary[Ventas primer cliente],TableDailySummary[Fecha],"&gt;="&amp;TableWeeklySummary[[#This Row],[Desde]],TableDailySummary[Fecha],"&lt;="&amp;TableWeeklySummary[[#This Row],[Hasta]])</f>
        <v>8123882.3700000001</v>
      </c>
      <c r="K18" s="12">
        <f ca="1">SUMIFS(TableDailySummary[Órdenes primer cliente],TableDailySummary[Fecha],"&gt;="&amp;TableWeeklySummary[[#This Row],[Desde]],TableDailySummary[Fecha],"&lt;="&amp;TableWeeklySummary[[#This Row],[Hasta]])</f>
        <v>47</v>
      </c>
      <c r="L18" s="12">
        <f ca="1">SUMIFS(TableDailySummary[Online Store_net_sales],TableDailySummary[Fecha],"&gt;="&amp;TableWeeklySummary[[#This Row],[Desde]],TableDailySummary[Fecha],"&lt;="&amp;TableWeeklySummary[[#This Row],[Hasta]])</f>
        <v>5541638.6800000006</v>
      </c>
      <c r="M18" s="12">
        <f ca="1">SUMIFS(TableDailySummary[Online Store_orders],TableDailySummary[Fecha],"&gt;="&amp;TableWeeklySummary[[#This Row],[Desde]],TableDailySummary[Fecha],"&lt;="&amp;TableWeeklySummary[[#This Row],[Hasta]])</f>
        <v>36</v>
      </c>
      <c r="N18" s="12">
        <f ca="1">SUMIFS(TableDailySummary[Tienda 81_net_sales],TableDailySummary[Fecha],"&gt;="&amp;TableWeeklySummary[[#This Row],[Desde]],TableDailySummary[Fecha],"&lt;="&amp;TableWeeklySummary[[#This Row],[Hasta]])</f>
        <v>12603168.08</v>
      </c>
      <c r="O18" s="12">
        <f ca="1">SUMIFS(TableDailySummary[Tienda 81_orders],TableDailySummary[Fecha],"&gt;="&amp;TableWeeklySummary[[#This Row],[Desde]],TableDailySummary[Fecha],"&lt;="&amp;TableWeeklySummary[[#This Row],[Hasta]])</f>
        <v>88</v>
      </c>
      <c r="P18" s="12">
        <f ca="1">SUMIFS(TableDailySummary[Rappi_net_sales],TableDailySummary[Fecha],"&gt;="&amp;TableWeeklySummary[[#This Row],[Desde]],TableDailySummary[Fecha],"&lt;="&amp;TableWeeklySummary[[#This Row],[Hasta]])</f>
        <v>0</v>
      </c>
      <c r="Q18" s="12">
        <f ca="1">SUMIFS(TableDailySummary[Rappi_orders],TableDailySummary[Fecha],"&gt;="&amp;TableWeeklySummary[[#This Row],[Desde]],TableDailySummary[Fecha],"&lt;="&amp;TableWeeklySummary[[#This Row],[Hasta]])</f>
        <v>0</v>
      </c>
      <c r="R18" s="12">
        <f ca="1">SUMIFS(TableDailySummary[Corporativo no tienda_net_sales],TableDailySummary[Fecha],"&gt;="&amp;TableWeeklySummary[[#This Row],[Desde]],TableDailySummary[Fecha],"&lt;="&amp;TableWeeklySummary[[#This Row],[Hasta]])</f>
        <v>1042016.81</v>
      </c>
      <c r="S18" s="12">
        <f ca="1">SUMIFS(TableDailySummary[Corporativo no tienda_orders],TableDailySummary[Fecha],"&gt;="&amp;TableWeeklySummary[[#This Row],[Desde]],TableDailySummary[Fecha],"&lt;="&amp;TableWeeklySummary[[#This Row],[Hasta]])</f>
        <v>1</v>
      </c>
      <c r="T18" s="12">
        <f ca="1">SUMIFS(TableDailySummary[Inversión google ads],TableDailySummary[Fecha],"&gt;="&amp;TableWeeklySummary[[#This Row],[Desde]],TableDailySummary[Fecha],"&lt;="&amp;TableWeeklySummary[[#This Row],[Hasta]])</f>
        <v>351953.89999999997</v>
      </c>
      <c r="U18" s="12">
        <f ca="1">SUMIFS(TableDailySummary[Ventas google ads],TableDailySummary[Fecha],"&gt;="&amp;TableWeeklySummary[[#This Row],[Desde]],TableDailySummary[Fecha],"&lt;="&amp;TableWeeklySummary[[#This Row],[Hasta]])</f>
        <v>122000</v>
      </c>
      <c r="V18" s="12">
        <f ca="1">SUMIFS(TableDailySummary[Inversión meta ads],TableDailySummary[Fecha],"&gt;="&amp;TableWeeklySummary[[#This Row],[Desde]],TableDailySummary[Fecha],"&lt;="&amp;TableWeeklySummary[[#This Row],[Hasta]])</f>
        <v>357380</v>
      </c>
      <c r="W18" s="12">
        <f ca="1">SUMIFS(TableDailySummary[Ventas meta ads],TableDailySummary[Fecha],"&gt;="&amp;TableWeeklySummary[[#This Row],[Desde]],TableDailySummary[Fecha],"&lt;="&amp;TableWeeklySummary[[#This Row],[Hasta]])</f>
        <v>456000</v>
      </c>
      <c r="X18" s="12">
        <f ca="1">TableWeeklySummary[[#This Row],[Inversión google ads]]+TableWeeklySummary[[#This Row],[Inversión meta ads]]</f>
        <v>709333.89999999991</v>
      </c>
      <c r="Y18" s="12">
        <f ca="1">TableWeeklySummary[[#This Row],[Ventas google ads]]+TableWeeklySummary[[#This Row],[Ventas meta ads]]</f>
        <v>578000</v>
      </c>
      <c r="Z18" s="14">
        <f ca="1">IFERROR(TableWeeklySummary[[#This Row],[Ventas publicidad]]/TableWeeklySummary[[#This Row],[Inversión publicidad]],0)</f>
        <v>0.81484897309997462</v>
      </c>
      <c r="AA18" s="14">
        <f ca="1">IFERROR(TableWeeklySummary[[#This Row],[Ventas primer cliente]]/TableWeeklySummary[[#This Row],[Inversión publicidad]],0)</f>
        <v>11.452832537680775</v>
      </c>
      <c r="AB18" s="14"/>
      <c r="AC18" s="12"/>
      <c r="AI18" s="12">
        <f ca="1">SUMIFS(TableDailySummary[Ventas netas con costo registrado],TableDailySummary[Fecha],"&gt;="&amp;TableWeeklySummary[[#This Row],[Desde]],TableDailySummary[Fecha],"&lt;="&amp;TableWeeklySummary[[#This Row],[Hasta]])</f>
        <v>17898930.710000001</v>
      </c>
      <c r="AJ18" s="12">
        <f ca="1">SUMIFS(TableDailySummary[Costo de ventas registrado],TableDailySummary[Fecha],"&gt;="&amp;TableWeeklySummary[[#This Row],[Desde]],TableDailySummary[Fecha],"&lt;="&amp;TableWeeklySummary[[#This Row],[Hasta]])</f>
        <v>5708929</v>
      </c>
      <c r="AK18" s="12">
        <f ca="1">SUMIFS(TableDailySummary[Utilidad bruta],TableDailySummary[Fecha],"&gt;="&amp;TableWeeklySummary[[#This Row],[Desde]],TableDailySummary[Fecha],"&lt;="&amp;TableWeeklySummary[[#This Row],[Hasta]])</f>
        <v>12190001.710000001</v>
      </c>
      <c r="AL18" s="18">
        <f ca="1">IFERROR(TableWeeklySummary[[#This Row],[Utilidad bruta]]/TableWeeklySummary[[#This Row],[Ventas netas con costo registrado]],0)</f>
        <v>0.68104636570214427</v>
      </c>
    </row>
    <row r="19" spans="2:38" x14ac:dyDescent="0.2">
      <c r="B19" s="16">
        <f ca="1">_xlfn.ISOWEEKNUM(TableWeeklySummary[[#This Row],[Hasta]])</f>
        <v>5</v>
      </c>
      <c r="C19" s="6">
        <f t="shared" ca="1" si="0"/>
        <v>46045</v>
      </c>
      <c r="D19" s="6">
        <f ca="1">TableWeeklySummary[[#This Row],[Desde]]+7-1</f>
        <v>46051</v>
      </c>
      <c r="E19" s="12">
        <f ca="1">SUMIFS(TableDailySummary[Ventas netas totales],TableDailySummary[Fecha],"&gt;="&amp;TableWeeklySummary[[#This Row],[Desde]],TableDailySummary[Fecha],"&lt;="&amp;TableWeeklySummary[[#This Row],[Hasta]])</f>
        <v>13025212.720000001</v>
      </c>
      <c r="F19" s="12">
        <f ca="1">SUMIFS(TableDailySummary[Órdenes totales],TableDailySummary[Fecha],"&gt;="&amp;TableWeeklySummary[[#This Row],[Desde]],TableDailySummary[Fecha],"&lt;="&amp;TableWeeklySummary[[#This Row],[Hasta]])</f>
        <v>97</v>
      </c>
      <c r="G19" s="12">
        <f ca="1">IFERROR(TableWeeklySummary[[#This Row],[Ventas netas totales]]/TableWeeklySummary[[#This Row],[Órdenes totales]],0)</f>
        <v>134280.54350515464</v>
      </c>
      <c r="H1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9" s="12">
        <f ca="1">TableWeeklySummary[[#This Row],[Órden promedio totales]]*TableWeeklySummary[[#This Row],[CR totales]]</f>
        <v>0</v>
      </c>
      <c r="J19" s="12">
        <f ca="1">SUMIFS(TableDailySummary[Ventas primer cliente],TableDailySummary[Fecha],"&gt;="&amp;TableWeeklySummary[[#This Row],[Desde]],TableDailySummary[Fecha],"&lt;="&amp;TableWeeklySummary[[#This Row],[Hasta]])</f>
        <v>4048613.48</v>
      </c>
      <c r="K19" s="12">
        <f ca="1">SUMIFS(TableDailySummary[Órdenes primer cliente],TableDailySummary[Fecha],"&gt;="&amp;TableWeeklySummary[[#This Row],[Desde]],TableDailySummary[Fecha],"&lt;="&amp;TableWeeklySummary[[#This Row],[Hasta]])</f>
        <v>32</v>
      </c>
      <c r="L19" s="12">
        <f ca="1">SUMIFS(TableDailySummary[Online Store_net_sales],TableDailySummary[Fecha],"&gt;="&amp;TableWeeklySummary[[#This Row],[Desde]],TableDailySummary[Fecha],"&lt;="&amp;TableWeeklySummary[[#This Row],[Hasta]])</f>
        <v>4938655.4800000004</v>
      </c>
      <c r="M19" s="12">
        <f ca="1">SUMIFS(TableDailySummary[Online Store_orders],TableDailySummary[Fecha],"&gt;="&amp;TableWeeklySummary[[#This Row],[Desde]],TableDailySummary[Fecha],"&lt;="&amp;TableWeeklySummary[[#This Row],[Hasta]])</f>
        <v>32</v>
      </c>
      <c r="N19" s="12">
        <f ca="1">SUMIFS(TableDailySummary[Tienda 81_net_sales],TableDailySummary[Fecha],"&gt;="&amp;TableWeeklySummary[[#This Row],[Desde]],TableDailySummary[Fecha],"&lt;="&amp;TableWeeklySummary[[#This Row],[Hasta]])</f>
        <v>8086557.2400000002</v>
      </c>
      <c r="O19" s="12">
        <f ca="1">SUMIFS(TableDailySummary[Tienda 81_orders],TableDailySummary[Fecha],"&gt;="&amp;TableWeeklySummary[[#This Row],[Desde]],TableDailySummary[Fecha],"&lt;="&amp;TableWeeklySummary[[#This Row],[Hasta]])</f>
        <v>65</v>
      </c>
      <c r="P19" s="12">
        <f ca="1">SUMIFS(TableDailySummary[Rappi_net_sales],TableDailySummary[Fecha],"&gt;="&amp;TableWeeklySummary[[#This Row],[Desde]],TableDailySummary[Fecha],"&lt;="&amp;TableWeeklySummary[[#This Row],[Hasta]])</f>
        <v>0</v>
      </c>
      <c r="Q19" s="12">
        <f ca="1">SUMIFS(TableDailySummary[Rappi_orders],TableDailySummary[Fecha],"&gt;="&amp;TableWeeklySummary[[#This Row],[Desde]],TableDailySummary[Fecha],"&lt;="&amp;TableWeeklySummary[[#This Row],[Hasta]])</f>
        <v>0</v>
      </c>
      <c r="R1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9" s="12">
        <f ca="1">SUMIFS(TableDailySummary[Inversión google ads],TableDailySummary[Fecha],"&gt;="&amp;TableWeeklySummary[[#This Row],[Desde]],TableDailySummary[Fecha],"&lt;="&amp;TableWeeklySummary[[#This Row],[Hasta]])</f>
        <v>324059.81999999995</v>
      </c>
      <c r="U19" s="12">
        <f ca="1">SUMIFS(TableDailySummary[Ventas google ads],TableDailySummary[Fecha],"&gt;="&amp;TableWeeklySummary[[#This Row],[Desde]],TableDailySummary[Fecha],"&lt;="&amp;TableWeeklySummary[[#This Row],[Hasta]])</f>
        <v>627000</v>
      </c>
      <c r="V19" s="12">
        <f ca="1">SUMIFS(TableDailySummary[Inversión meta ads],TableDailySummary[Fecha],"&gt;="&amp;TableWeeklySummary[[#This Row],[Desde]],TableDailySummary[Fecha],"&lt;="&amp;TableWeeklySummary[[#This Row],[Hasta]])</f>
        <v>365242</v>
      </c>
      <c r="W19" s="12">
        <f ca="1">SUMIFS(TableDailySummary[Ventas meta ads],TableDailySummary[Fecha],"&gt;="&amp;TableWeeklySummary[[#This Row],[Desde]],TableDailySummary[Fecha],"&lt;="&amp;TableWeeklySummary[[#This Row],[Hasta]])</f>
        <v>274000</v>
      </c>
      <c r="X19" s="12">
        <f ca="1">TableWeeklySummary[[#This Row],[Inversión google ads]]+TableWeeklySummary[[#This Row],[Inversión meta ads]]</f>
        <v>689301.82</v>
      </c>
      <c r="Y19" s="12">
        <f ca="1">TableWeeklySummary[[#This Row],[Ventas google ads]]+TableWeeklySummary[[#This Row],[Ventas meta ads]]</f>
        <v>901000</v>
      </c>
      <c r="Z19" s="14">
        <f ca="1">IFERROR(TableWeeklySummary[[#This Row],[Ventas publicidad]]/TableWeeklySummary[[#This Row],[Inversión publicidad]],0)</f>
        <v>1.3071197171654068</v>
      </c>
      <c r="AA19" s="14">
        <f ca="1">IFERROR(TableWeeklySummary[[#This Row],[Ventas primer cliente]]/TableWeeklySummary[[#This Row],[Inversión publicidad]],0)</f>
        <v>5.8734988977687603</v>
      </c>
      <c r="AB19" s="14"/>
      <c r="AC19" s="12"/>
      <c r="AI19" s="12">
        <f ca="1">SUMIFS(TableDailySummary[Ventas netas con costo registrado],TableDailySummary[Fecha],"&gt;="&amp;TableWeeklySummary[[#This Row],[Desde]],TableDailySummary[Fecha],"&lt;="&amp;TableWeeklySummary[[#This Row],[Hasta]])</f>
        <v>12586716.93</v>
      </c>
      <c r="AJ19" s="12">
        <f ca="1">SUMIFS(TableDailySummary[Costo de ventas registrado],TableDailySummary[Fecha],"&gt;="&amp;TableWeeklySummary[[#This Row],[Desde]],TableDailySummary[Fecha],"&lt;="&amp;TableWeeklySummary[[#This Row],[Hasta]])</f>
        <v>3513817</v>
      </c>
      <c r="AK19" s="12">
        <f ca="1">SUMIFS(TableDailySummary[Utilidad bruta],TableDailySummary[Fecha],"&gt;="&amp;TableWeeklySummary[[#This Row],[Desde]],TableDailySummary[Fecha],"&lt;="&amp;TableWeeklySummary[[#This Row],[Hasta]])</f>
        <v>9072899.9299999997</v>
      </c>
      <c r="AL19" s="18">
        <f ca="1">IFERROR(TableWeeklySummary[[#This Row],[Utilidad bruta]]/TableWeeklySummary[[#This Row],[Ventas netas con costo registrado]],0)</f>
        <v>0.72083133198737948</v>
      </c>
    </row>
    <row r="20" spans="2:38" x14ac:dyDescent="0.2">
      <c r="B20" s="16">
        <f ca="1">_xlfn.ISOWEEKNUM(TableWeeklySummary[[#This Row],[Hasta]])</f>
        <v>6</v>
      </c>
      <c r="C20" s="6">
        <f t="shared" ca="1" si="0"/>
        <v>46052</v>
      </c>
      <c r="D20" s="6">
        <f ca="1">TableWeeklySummary[[#This Row],[Desde]]+7-1</f>
        <v>46058</v>
      </c>
      <c r="E20" s="12">
        <f ca="1">SUMIFS(TableDailySummary[Ventas netas totales],TableDailySummary[Fecha],"&gt;="&amp;TableWeeklySummary[[#This Row],[Desde]],TableDailySummary[Fecha],"&lt;="&amp;TableWeeklySummary[[#This Row],[Hasta]])</f>
        <v>13561966.43</v>
      </c>
      <c r="F20" s="12">
        <f ca="1">SUMIFS(TableDailySummary[Órdenes totales],TableDailySummary[Fecha],"&gt;="&amp;TableWeeklySummary[[#This Row],[Desde]],TableDailySummary[Fecha],"&lt;="&amp;TableWeeklySummary[[#This Row],[Hasta]])</f>
        <v>112</v>
      </c>
      <c r="G20" s="12">
        <f ca="1">IFERROR(TableWeeklySummary[[#This Row],[Ventas netas totales]]/TableWeeklySummary[[#This Row],[Órdenes totales]],0)</f>
        <v>121088.98598214285</v>
      </c>
      <c r="H2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0" s="12">
        <f ca="1">TableWeeklySummary[[#This Row],[Órden promedio totales]]*TableWeeklySummary[[#This Row],[CR totales]]</f>
        <v>0</v>
      </c>
      <c r="J20" s="12">
        <f ca="1">SUMIFS(TableDailySummary[Ventas primer cliente],TableDailySummary[Fecha],"&gt;="&amp;TableWeeklySummary[[#This Row],[Desde]],TableDailySummary[Fecha],"&lt;="&amp;TableWeeklySummary[[#This Row],[Hasta]])</f>
        <v>6670168.0999999996</v>
      </c>
      <c r="K20" s="12">
        <f ca="1">SUMIFS(TableDailySummary[Órdenes primer cliente],TableDailySummary[Fecha],"&gt;="&amp;TableWeeklySummary[[#This Row],[Desde]],TableDailySummary[Fecha],"&lt;="&amp;TableWeeklySummary[[#This Row],[Hasta]])</f>
        <v>53</v>
      </c>
      <c r="L20" s="12">
        <f ca="1">SUMIFS(TableDailySummary[Online Store_net_sales],TableDailySummary[Fecha],"&gt;="&amp;TableWeeklySummary[[#This Row],[Desde]],TableDailySummary[Fecha],"&lt;="&amp;TableWeeklySummary[[#This Row],[Hasta]])</f>
        <v>4941554.6400000006</v>
      </c>
      <c r="M20" s="12">
        <f ca="1">SUMIFS(TableDailySummary[Online Store_orders],TableDailySummary[Fecha],"&gt;="&amp;TableWeeklySummary[[#This Row],[Desde]],TableDailySummary[Fecha],"&lt;="&amp;TableWeeklySummary[[#This Row],[Hasta]])</f>
        <v>34</v>
      </c>
      <c r="N20" s="12">
        <f ca="1">SUMIFS(TableDailySummary[Tienda 81_net_sales],TableDailySummary[Fecha],"&gt;="&amp;TableWeeklySummary[[#This Row],[Desde]],TableDailySummary[Fecha],"&lt;="&amp;TableWeeklySummary[[#This Row],[Hasta]])</f>
        <v>8620411.790000001</v>
      </c>
      <c r="O20" s="12">
        <f ca="1">SUMIFS(TableDailySummary[Tienda 81_orders],TableDailySummary[Fecha],"&gt;="&amp;TableWeeklySummary[[#This Row],[Desde]],TableDailySummary[Fecha],"&lt;="&amp;TableWeeklySummary[[#This Row],[Hasta]])</f>
        <v>78</v>
      </c>
      <c r="P20" s="12">
        <f ca="1">SUMIFS(TableDailySummary[Rappi_net_sales],TableDailySummary[Fecha],"&gt;="&amp;TableWeeklySummary[[#This Row],[Desde]],TableDailySummary[Fecha],"&lt;="&amp;TableWeeklySummary[[#This Row],[Hasta]])</f>
        <v>0</v>
      </c>
      <c r="Q20" s="12">
        <f ca="1">SUMIFS(TableDailySummary[Rappi_orders],TableDailySummary[Fecha],"&gt;="&amp;TableWeeklySummary[[#This Row],[Desde]],TableDailySummary[Fecha],"&lt;="&amp;TableWeeklySummary[[#This Row],[Hasta]])</f>
        <v>0</v>
      </c>
      <c r="R2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0" s="12">
        <f ca="1">SUMIFS(TableDailySummary[Inversión google ads],TableDailySummary[Fecha],"&gt;="&amp;TableWeeklySummary[[#This Row],[Desde]],TableDailySummary[Fecha],"&lt;="&amp;TableWeeklySummary[[#This Row],[Hasta]])</f>
        <v>292305.26999999996</v>
      </c>
      <c r="U20" s="12">
        <f ca="1">SUMIFS(TableDailySummary[Ventas google ads],TableDailySummary[Fecha],"&gt;="&amp;TableWeeklySummary[[#This Row],[Desde]],TableDailySummary[Fecha],"&lt;="&amp;TableWeeklySummary[[#This Row],[Hasta]])</f>
        <v>577000</v>
      </c>
      <c r="V20" s="12">
        <f ca="1">SUMIFS(TableDailySummary[Inversión meta ads],TableDailySummary[Fecha],"&gt;="&amp;TableWeeklySummary[[#This Row],[Desde]],TableDailySummary[Fecha],"&lt;="&amp;TableWeeklySummary[[#This Row],[Hasta]])</f>
        <v>360540</v>
      </c>
      <c r="W20" s="12">
        <f ca="1">SUMIFS(TableDailySummary[Ventas meta ads],TableDailySummary[Fecha],"&gt;="&amp;TableWeeklySummary[[#This Row],[Desde]],TableDailySummary[Fecha],"&lt;="&amp;TableWeeklySummary[[#This Row],[Hasta]])</f>
        <v>86000</v>
      </c>
      <c r="X20" s="12">
        <f ca="1">TableWeeklySummary[[#This Row],[Inversión google ads]]+TableWeeklySummary[[#This Row],[Inversión meta ads]]</f>
        <v>652845.27</v>
      </c>
      <c r="Y20" s="12">
        <f ca="1">TableWeeklySummary[[#This Row],[Ventas google ads]]+TableWeeklySummary[[#This Row],[Ventas meta ads]]</f>
        <v>663000</v>
      </c>
      <c r="Z20" s="14">
        <f ca="1">IFERROR(TableWeeklySummary[[#This Row],[Ventas publicidad]]/TableWeeklySummary[[#This Row],[Inversión publicidad]],0)</f>
        <v>1.0155545739038594</v>
      </c>
      <c r="AA20" s="14">
        <f ca="1">IFERROR(TableWeeklySummary[[#This Row],[Ventas primer cliente]]/TableWeeklySummary[[#This Row],[Inversión publicidad]],0)</f>
        <v>10.217073488178906</v>
      </c>
      <c r="AB20" s="14"/>
      <c r="AC20" s="12"/>
      <c r="AI20" s="12">
        <f ca="1">SUMIFS(TableDailySummary[Ventas netas con costo registrado],TableDailySummary[Fecha],"&gt;="&amp;TableWeeklySummary[[#This Row],[Desde]],TableDailySummary[Fecha],"&lt;="&amp;TableWeeklySummary[[#This Row],[Hasta]])</f>
        <v>13333731.139999999</v>
      </c>
      <c r="AJ20" s="12">
        <f ca="1">SUMIFS(TableDailySummary[Costo de ventas registrado],TableDailySummary[Fecha],"&gt;="&amp;TableWeeklySummary[[#This Row],[Desde]],TableDailySummary[Fecha],"&lt;="&amp;TableWeeklySummary[[#This Row],[Hasta]])</f>
        <v>4226117</v>
      </c>
      <c r="AK20" s="12">
        <f ca="1">SUMIFS(TableDailySummary[Utilidad bruta],TableDailySummary[Fecha],"&gt;="&amp;TableWeeklySummary[[#This Row],[Desde]],TableDailySummary[Fecha],"&lt;="&amp;TableWeeklySummary[[#This Row],[Hasta]])</f>
        <v>9107614.1400000006</v>
      </c>
      <c r="AL20" s="18">
        <f ca="1">IFERROR(TableWeeklySummary[[#This Row],[Utilidad bruta]]/TableWeeklySummary[[#This Row],[Ventas netas con costo registrado]],0)</f>
        <v>0.6830506813413969</v>
      </c>
    </row>
    <row r="21" spans="2:38" x14ac:dyDescent="0.2">
      <c r="B21" s="16">
        <f ca="1">_xlfn.ISOWEEKNUM(TableWeeklySummary[[#This Row],[Hasta]])</f>
        <v>7</v>
      </c>
      <c r="C21" s="6">
        <f t="shared" ca="1" si="0"/>
        <v>46059</v>
      </c>
      <c r="D21" s="6">
        <f ca="1">TableWeeklySummary[[#This Row],[Desde]]+7-1</f>
        <v>46065</v>
      </c>
      <c r="E21" s="12">
        <f ca="1">SUMIFS(TableDailySummary[Ventas netas totales],TableDailySummary[Fecha],"&gt;="&amp;TableWeeklySummary[[#This Row],[Desde]],TableDailySummary[Fecha],"&lt;="&amp;TableWeeklySummary[[#This Row],[Hasta]])</f>
        <v>14794277.329999998</v>
      </c>
      <c r="F21" s="12">
        <f ca="1">SUMIFS(TableDailySummary[Órdenes totales],TableDailySummary[Fecha],"&gt;="&amp;TableWeeklySummary[[#This Row],[Desde]],TableDailySummary[Fecha],"&lt;="&amp;TableWeeklySummary[[#This Row],[Hasta]])</f>
        <v>112</v>
      </c>
      <c r="G21" s="12">
        <f ca="1">IFERROR(TableWeeklySummary[[#This Row],[Ventas netas totales]]/TableWeeklySummary[[#This Row],[Órdenes totales]],0)</f>
        <v>132091.761875</v>
      </c>
      <c r="H2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1" s="12">
        <f ca="1">TableWeeklySummary[[#This Row],[Órden promedio totales]]*TableWeeklySummary[[#This Row],[CR totales]]</f>
        <v>0</v>
      </c>
      <c r="J21" s="12">
        <f ca="1">SUMIFS(TableDailySummary[Ventas primer cliente],TableDailySummary[Fecha],"&gt;="&amp;TableWeeklySummary[[#This Row],[Desde]],TableDailySummary[Fecha],"&lt;="&amp;TableWeeklySummary[[#This Row],[Hasta]])</f>
        <v>6073949.5899999999</v>
      </c>
      <c r="K21" s="12">
        <f ca="1">SUMIFS(TableDailySummary[Órdenes primer cliente],TableDailySummary[Fecha],"&gt;="&amp;TableWeeklySummary[[#This Row],[Desde]],TableDailySummary[Fecha],"&lt;="&amp;TableWeeklySummary[[#This Row],[Hasta]])</f>
        <v>40</v>
      </c>
      <c r="L21" s="12">
        <f ca="1">SUMIFS(TableDailySummary[Online Store_net_sales],TableDailySummary[Fecha],"&gt;="&amp;TableWeeklySummary[[#This Row],[Desde]],TableDailySummary[Fecha],"&lt;="&amp;TableWeeklySummary[[#This Row],[Hasta]])</f>
        <v>3932773.0999999996</v>
      </c>
      <c r="M21" s="12">
        <f ca="1">SUMIFS(TableDailySummary[Online Store_orders],TableDailySummary[Fecha],"&gt;="&amp;TableWeeklySummary[[#This Row],[Desde]],TableDailySummary[Fecha],"&lt;="&amp;TableWeeklySummary[[#This Row],[Hasta]])</f>
        <v>28</v>
      </c>
      <c r="N21" s="12">
        <f ca="1">SUMIFS(TableDailySummary[Tienda 81_net_sales],TableDailySummary[Fecha],"&gt;="&amp;TableWeeklySummary[[#This Row],[Desde]],TableDailySummary[Fecha],"&lt;="&amp;TableWeeklySummary[[#This Row],[Hasta]])</f>
        <v>10861504.23</v>
      </c>
      <c r="O21" s="12">
        <f ca="1">SUMIFS(TableDailySummary[Tienda 81_orders],TableDailySummary[Fecha],"&gt;="&amp;TableWeeklySummary[[#This Row],[Desde]],TableDailySummary[Fecha],"&lt;="&amp;TableWeeklySummary[[#This Row],[Hasta]])</f>
        <v>84</v>
      </c>
      <c r="P21" s="12">
        <f ca="1">SUMIFS(TableDailySummary[Rappi_net_sales],TableDailySummary[Fecha],"&gt;="&amp;TableWeeklySummary[[#This Row],[Desde]],TableDailySummary[Fecha],"&lt;="&amp;TableWeeklySummary[[#This Row],[Hasta]])</f>
        <v>0</v>
      </c>
      <c r="Q21" s="12">
        <f ca="1">SUMIFS(TableDailySummary[Rappi_orders],TableDailySummary[Fecha],"&gt;="&amp;TableWeeklySummary[[#This Row],[Desde]],TableDailySummary[Fecha],"&lt;="&amp;TableWeeklySummary[[#This Row],[Hasta]])</f>
        <v>0</v>
      </c>
      <c r="R2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1" s="12">
        <f ca="1">SUMIFS(TableDailySummary[Inversión google ads],TableDailySummary[Fecha],"&gt;="&amp;TableWeeklySummary[[#This Row],[Desde]],TableDailySummary[Fecha],"&lt;="&amp;TableWeeklySummary[[#This Row],[Hasta]])</f>
        <v>177332.75</v>
      </c>
      <c r="U21" s="12">
        <f ca="1">SUMIFS(TableDailySummary[Ventas google ads],TableDailySummary[Fecha],"&gt;="&amp;TableWeeklySummary[[#This Row],[Desde]],TableDailySummary[Fecha],"&lt;="&amp;TableWeeklySummary[[#This Row],[Hasta]])</f>
        <v>1099000</v>
      </c>
      <c r="V21" s="12">
        <f ca="1">SUMIFS(TableDailySummary[Inversión meta ads],TableDailySummary[Fecha],"&gt;="&amp;TableWeeklySummary[[#This Row],[Desde]],TableDailySummary[Fecha],"&lt;="&amp;TableWeeklySummary[[#This Row],[Hasta]])</f>
        <v>360761</v>
      </c>
      <c r="W21" s="12">
        <f ca="1">SUMIFS(TableDailySummary[Ventas meta ads],TableDailySummary[Fecha],"&gt;="&amp;TableWeeklySummary[[#This Row],[Desde]],TableDailySummary[Fecha],"&lt;="&amp;TableWeeklySummary[[#This Row],[Hasta]])</f>
        <v>77000</v>
      </c>
      <c r="X21" s="12">
        <f ca="1">TableWeeklySummary[[#This Row],[Inversión google ads]]+TableWeeklySummary[[#This Row],[Inversión meta ads]]</f>
        <v>538093.75</v>
      </c>
      <c r="Y21" s="12">
        <f ca="1">TableWeeklySummary[[#This Row],[Ventas google ads]]+TableWeeklySummary[[#This Row],[Ventas meta ads]]</f>
        <v>1176000</v>
      </c>
      <c r="Z21" s="14">
        <f ca="1">IFERROR(TableWeeklySummary[[#This Row],[Ventas publicidad]]/TableWeeklySummary[[#This Row],[Inversión publicidad]],0)</f>
        <v>2.1854927696149602</v>
      </c>
      <c r="AA21" s="14">
        <f ca="1">IFERROR(TableWeeklySummary[[#This Row],[Ventas primer cliente]]/TableWeeklySummary[[#This Row],[Inversión publicidad]],0)</f>
        <v>11.287902136012544</v>
      </c>
      <c r="AB21" s="14"/>
      <c r="AC21" s="12"/>
      <c r="AI21" s="12">
        <f ca="1">SUMIFS(TableDailySummary[Ventas netas con costo registrado],TableDailySummary[Fecha],"&gt;="&amp;TableWeeklySummary[[#This Row],[Desde]],TableDailySummary[Fecha],"&lt;="&amp;TableWeeklySummary[[#This Row],[Hasta]])</f>
        <v>14582512.620000001</v>
      </c>
      <c r="AJ21" s="12">
        <f ca="1">SUMIFS(TableDailySummary[Costo de ventas registrado],TableDailySummary[Fecha],"&gt;="&amp;TableWeeklySummary[[#This Row],[Desde]],TableDailySummary[Fecha],"&lt;="&amp;TableWeeklySummary[[#This Row],[Hasta]])</f>
        <v>3741946</v>
      </c>
      <c r="AK21" s="12">
        <f ca="1">SUMIFS(TableDailySummary[Utilidad bruta],TableDailySummary[Fecha],"&gt;="&amp;TableWeeklySummary[[#This Row],[Desde]],TableDailySummary[Fecha],"&lt;="&amp;TableWeeklySummary[[#This Row],[Hasta]])</f>
        <v>10840566.620000001</v>
      </c>
      <c r="AL21" s="18">
        <f ca="1">IFERROR(TableWeeklySummary[[#This Row],[Utilidad bruta]]/TableWeeklySummary[[#This Row],[Ventas netas con costo registrado]],0)</f>
        <v>0.74339497605728799</v>
      </c>
    </row>
    <row r="22" spans="2:38" x14ac:dyDescent="0.2">
      <c r="B22" s="16">
        <f ca="1">_xlfn.ISOWEEKNUM(TableWeeklySummary[[#This Row],[Hasta]])</f>
        <v>8</v>
      </c>
      <c r="C22" s="6">
        <f t="shared" ca="1" si="0"/>
        <v>46066</v>
      </c>
      <c r="D22" s="6">
        <f ca="1">TableWeeklySummary[[#This Row],[Desde]]+7-1</f>
        <v>46072</v>
      </c>
      <c r="E22" s="12">
        <f ca="1">SUMIFS(TableDailySummary[Ventas netas totales],TableDailySummary[Fecha],"&gt;="&amp;TableWeeklySummary[[#This Row],[Desde]],TableDailySummary[Fecha],"&lt;="&amp;TableWeeklySummary[[#This Row],[Hasta]])</f>
        <v>21588050.440000001</v>
      </c>
      <c r="F22" s="12">
        <f ca="1">SUMIFS(TableDailySummary[Órdenes totales],TableDailySummary[Fecha],"&gt;="&amp;TableWeeklySummary[[#This Row],[Desde]],TableDailySummary[Fecha],"&lt;="&amp;TableWeeklySummary[[#This Row],[Hasta]])</f>
        <v>144</v>
      </c>
      <c r="G22" s="12">
        <f ca="1">IFERROR(TableWeeklySummary[[#This Row],[Ventas netas totales]]/TableWeeklySummary[[#This Row],[Órdenes totales]],0)</f>
        <v>149917.01694444445</v>
      </c>
      <c r="H2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2" s="12">
        <f ca="1">TableWeeklySummary[[#This Row],[Órden promedio totales]]*TableWeeklySummary[[#This Row],[CR totales]]</f>
        <v>0</v>
      </c>
      <c r="J22" s="12">
        <f ca="1">SUMIFS(TableDailySummary[Ventas primer cliente],TableDailySummary[Fecha],"&gt;="&amp;TableWeeklySummary[[#This Row],[Desde]],TableDailySummary[Fecha],"&lt;="&amp;TableWeeklySummary[[#This Row],[Hasta]])</f>
        <v>10726899.180000002</v>
      </c>
      <c r="K22" s="12">
        <f ca="1">SUMIFS(TableDailySummary[Órdenes primer cliente],TableDailySummary[Fecha],"&gt;="&amp;TableWeeklySummary[[#This Row],[Desde]],TableDailySummary[Fecha],"&lt;="&amp;TableWeeklySummary[[#This Row],[Hasta]])</f>
        <v>62</v>
      </c>
      <c r="L22" s="12">
        <f ca="1">SUMIFS(TableDailySummary[Online Store_net_sales],TableDailySummary[Fecha],"&gt;="&amp;TableWeeklySummary[[#This Row],[Desde]],TableDailySummary[Fecha],"&lt;="&amp;TableWeeklySummary[[#This Row],[Hasta]])</f>
        <v>4798411.76</v>
      </c>
      <c r="M22" s="12">
        <f ca="1">SUMIFS(TableDailySummary[Online Store_orders],TableDailySummary[Fecha],"&gt;="&amp;TableWeeklySummary[[#This Row],[Desde]],TableDailySummary[Fecha],"&lt;="&amp;TableWeeklySummary[[#This Row],[Hasta]])</f>
        <v>33</v>
      </c>
      <c r="N22" s="12">
        <f ca="1">SUMIFS(TableDailySummary[Tienda 81_net_sales],TableDailySummary[Fecha],"&gt;="&amp;TableWeeklySummary[[#This Row],[Desde]],TableDailySummary[Fecha],"&lt;="&amp;TableWeeklySummary[[#This Row],[Hasta]])</f>
        <v>14891319.350000001</v>
      </c>
      <c r="O22" s="12">
        <f ca="1">SUMIFS(TableDailySummary[Tienda 81_orders],TableDailySummary[Fecha],"&gt;="&amp;TableWeeklySummary[[#This Row],[Desde]],TableDailySummary[Fecha],"&lt;="&amp;TableWeeklySummary[[#This Row],[Hasta]])</f>
        <v>105</v>
      </c>
      <c r="P22" s="12">
        <f ca="1">SUMIFS(TableDailySummary[Rappi_net_sales],TableDailySummary[Fecha],"&gt;="&amp;TableWeeklySummary[[#This Row],[Desde]],TableDailySummary[Fecha],"&lt;="&amp;TableWeeklySummary[[#This Row],[Hasta]])</f>
        <v>920168.07000000007</v>
      </c>
      <c r="Q22" s="12">
        <f ca="1">SUMIFS(TableDailySummary[Rappi_orders],TableDailySummary[Fecha],"&gt;="&amp;TableWeeklySummary[[#This Row],[Desde]],TableDailySummary[Fecha],"&lt;="&amp;TableWeeklySummary[[#This Row],[Hasta]])</f>
        <v>5</v>
      </c>
      <c r="R22" s="12">
        <f ca="1">SUMIFS(TableDailySummary[Corporativo no tienda_net_sales],TableDailySummary[Fecha],"&gt;="&amp;TableWeeklySummary[[#This Row],[Desde]],TableDailySummary[Fecha],"&lt;="&amp;TableWeeklySummary[[#This Row],[Hasta]])</f>
        <v>978151.26</v>
      </c>
      <c r="S22" s="12">
        <f ca="1">SUMIFS(TableDailySummary[Corporativo no tienda_orders],TableDailySummary[Fecha],"&gt;="&amp;TableWeeklySummary[[#This Row],[Desde]],TableDailySummary[Fecha],"&lt;="&amp;TableWeeklySummary[[#This Row],[Hasta]])</f>
        <v>1</v>
      </c>
      <c r="T22" s="12">
        <f ca="1">SUMIFS(TableDailySummary[Inversión google ads],TableDailySummary[Fecha],"&gt;="&amp;TableWeeklySummary[[#This Row],[Desde]],TableDailySummary[Fecha],"&lt;="&amp;TableWeeklySummary[[#This Row],[Hasta]])</f>
        <v>229810.38999999998</v>
      </c>
      <c r="U22" s="12">
        <f ca="1">SUMIFS(TableDailySummary[Ventas google ads],TableDailySummary[Fecha],"&gt;="&amp;TableWeeklySummary[[#This Row],[Desde]],TableDailySummary[Fecha],"&lt;="&amp;TableWeeklySummary[[#This Row],[Hasta]])</f>
        <v>1394300</v>
      </c>
      <c r="V22" s="12">
        <f ca="1">SUMIFS(TableDailySummary[Inversión meta ads],TableDailySummary[Fecha],"&gt;="&amp;TableWeeklySummary[[#This Row],[Desde]],TableDailySummary[Fecha],"&lt;="&amp;TableWeeklySummary[[#This Row],[Hasta]])</f>
        <v>361271</v>
      </c>
      <c r="W22" s="12">
        <f ca="1">SUMIFS(TableDailySummary[Ventas meta ads],TableDailySummary[Fecha],"&gt;="&amp;TableWeeklySummary[[#This Row],[Desde]],TableDailySummary[Fecha],"&lt;="&amp;TableWeeklySummary[[#This Row],[Hasta]])</f>
        <v>451000</v>
      </c>
      <c r="X22" s="12">
        <f ca="1">TableWeeklySummary[[#This Row],[Inversión google ads]]+TableWeeklySummary[[#This Row],[Inversión meta ads]]</f>
        <v>591081.39</v>
      </c>
      <c r="Y22" s="12">
        <f ca="1">TableWeeklySummary[[#This Row],[Ventas google ads]]+TableWeeklySummary[[#This Row],[Ventas meta ads]]</f>
        <v>1845300</v>
      </c>
      <c r="Z22" s="14">
        <f ca="1">IFERROR(TableWeeklySummary[[#This Row],[Ventas publicidad]]/TableWeeklySummary[[#This Row],[Inversión publicidad]],0)</f>
        <v>3.1219050899234029</v>
      </c>
      <c r="AA22" s="14">
        <f ca="1">IFERROR(TableWeeklySummary[[#This Row],[Ventas primer cliente]]/TableWeeklySummary[[#This Row],[Inversión publicidad]],0)</f>
        <v>18.14792236987871</v>
      </c>
      <c r="AB22" s="14"/>
      <c r="AC22" s="12"/>
      <c r="AI22" s="12">
        <f ca="1">SUMIFS(TableDailySummary[Ventas netas con costo registrado],TableDailySummary[Fecha],"&gt;="&amp;TableWeeklySummary[[#This Row],[Desde]],TableDailySummary[Fecha],"&lt;="&amp;TableWeeklySummary[[#This Row],[Hasta]])</f>
        <v>22554050.440000001</v>
      </c>
      <c r="AJ22" s="12">
        <f ca="1">SUMIFS(TableDailySummary[Costo de ventas registrado],TableDailySummary[Fecha],"&gt;="&amp;TableWeeklySummary[[#This Row],[Desde]],TableDailySummary[Fecha],"&lt;="&amp;TableWeeklySummary[[#This Row],[Hasta]])</f>
        <v>6947098</v>
      </c>
      <c r="AK22" s="12">
        <f ca="1">SUMIFS(TableDailySummary[Utilidad bruta],TableDailySummary[Fecha],"&gt;="&amp;TableWeeklySummary[[#This Row],[Desde]],TableDailySummary[Fecha],"&lt;="&amp;TableWeeklySummary[[#This Row],[Hasta]])</f>
        <v>15606952.440000001</v>
      </c>
      <c r="AL22" s="18">
        <f ca="1">IFERROR(TableWeeklySummary[[#This Row],[Utilidad bruta]]/TableWeeklySummary[[#This Row],[Ventas netas con costo registrado]],0)</f>
        <v>0.69198002733561326</v>
      </c>
    </row>
    <row r="23" spans="2:38" x14ac:dyDescent="0.2">
      <c r="B23" s="16">
        <f ca="1">_xlfn.ISOWEEKNUM(TableWeeklySummary[[#This Row],[Hasta]])</f>
        <v>9</v>
      </c>
      <c r="C23" s="6">
        <f t="shared" ca="1" si="0"/>
        <v>46073</v>
      </c>
      <c r="D23" s="6">
        <f ca="1">TableWeeklySummary[[#This Row],[Desde]]+7-1</f>
        <v>46079</v>
      </c>
      <c r="E23" s="12">
        <f ca="1">SUMIFS(TableDailySummary[Ventas netas totales],TableDailySummary[Fecha],"&gt;="&amp;TableWeeklySummary[[#This Row],[Desde]],TableDailySummary[Fecha],"&lt;="&amp;TableWeeklySummary[[#This Row],[Hasta]])</f>
        <v>18749210.960000001</v>
      </c>
      <c r="F23" s="12">
        <f ca="1">SUMIFS(TableDailySummary[Órdenes totales],TableDailySummary[Fecha],"&gt;="&amp;TableWeeklySummary[[#This Row],[Desde]],TableDailySummary[Fecha],"&lt;="&amp;TableWeeklySummary[[#This Row],[Hasta]])</f>
        <v>116</v>
      </c>
      <c r="G23" s="12">
        <f ca="1">IFERROR(TableWeeklySummary[[#This Row],[Ventas netas totales]]/TableWeeklySummary[[#This Row],[Órdenes totales]],0)</f>
        <v>161631.12896551724</v>
      </c>
      <c r="H2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3" s="12">
        <f ca="1">TableWeeklySummary[[#This Row],[Órden promedio totales]]*TableWeeklySummary[[#This Row],[CR totales]]</f>
        <v>0</v>
      </c>
      <c r="J23" s="12">
        <f ca="1">SUMIFS(TableDailySummary[Ventas primer cliente],TableDailySummary[Fecha],"&gt;="&amp;TableWeeklySummary[[#This Row],[Desde]],TableDailySummary[Fecha],"&lt;="&amp;TableWeeklySummary[[#This Row],[Hasta]])</f>
        <v>8768614.2800000012</v>
      </c>
      <c r="K23" s="12">
        <f ca="1">SUMIFS(TableDailySummary[Órdenes primer cliente],TableDailySummary[Fecha],"&gt;="&amp;TableWeeklySummary[[#This Row],[Desde]],TableDailySummary[Fecha],"&lt;="&amp;TableWeeklySummary[[#This Row],[Hasta]])</f>
        <v>55</v>
      </c>
      <c r="L23" s="12">
        <f ca="1">SUMIFS(TableDailySummary[Online Store_net_sales],TableDailySummary[Fecha],"&gt;="&amp;TableWeeklySummary[[#This Row],[Desde]],TableDailySummary[Fecha],"&lt;="&amp;TableWeeklySummary[[#This Row],[Hasta]])</f>
        <v>2844537.81</v>
      </c>
      <c r="M23" s="12">
        <f ca="1">SUMIFS(TableDailySummary[Online Store_orders],TableDailySummary[Fecha],"&gt;="&amp;TableWeeklySummary[[#This Row],[Desde]],TableDailySummary[Fecha],"&lt;="&amp;TableWeeklySummary[[#This Row],[Hasta]])</f>
        <v>23</v>
      </c>
      <c r="N23" s="12">
        <f ca="1">SUMIFS(TableDailySummary[Tienda 81_net_sales],TableDailySummary[Fecha],"&gt;="&amp;TableWeeklySummary[[#This Row],[Desde]],TableDailySummary[Fecha],"&lt;="&amp;TableWeeklySummary[[#This Row],[Hasta]])</f>
        <v>15051731.970000001</v>
      </c>
      <c r="O23" s="12">
        <f ca="1">SUMIFS(TableDailySummary[Tienda 81_orders],TableDailySummary[Fecha],"&gt;="&amp;TableWeeklySummary[[#This Row],[Desde]],TableDailySummary[Fecha],"&lt;="&amp;TableWeeklySummary[[#This Row],[Hasta]])</f>
        <v>91</v>
      </c>
      <c r="P23" s="12">
        <f ca="1">SUMIFS(TableDailySummary[Rappi_net_sales],TableDailySummary[Fecha],"&gt;="&amp;TableWeeklySummary[[#This Row],[Desde]],TableDailySummary[Fecha],"&lt;="&amp;TableWeeklySummary[[#This Row],[Hasta]])</f>
        <v>96638.66</v>
      </c>
      <c r="Q23" s="12">
        <f ca="1">SUMIFS(TableDailySummary[Rappi_orders],TableDailySummary[Fecha],"&gt;="&amp;TableWeeklySummary[[#This Row],[Desde]],TableDailySummary[Fecha],"&lt;="&amp;TableWeeklySummary[[#This Row],[Hasta]])</f>
        <v>1</v>
      </c>
      <c r="R23" s="12">
        <f ca="1">SUMIFS(TableDailySummary[Corporativo no tienda_net_sales],TableDailySummary[Fecha],"&gt;="&amp;TableWeeklySummary[[#This Row],[Desde]],TableDailySummary[Fecha],"&lt;="&amp;TableWeeklySummary[[#This Row],[Hasta]])</f>
        <v>756302.52</v>
      </c>
      <c r="S23" s="12">
        <f ca="1">SUMIFS(TableDailySummary[Corporativo no tienda_orders],TableDailySummary[Fecha],"&gt;="&amp;TableWeeklySummary[[#This Row],[Desde]],TableDailySummary[Fecha],"&lt;="&amp;TableWeeklySummary[[#This Row],[Hasta]])</f>
        <v>1</v>
      </c>
      <c r="T23" s="12">
        <f ca="1">SUMIFS(TableDailySummary[Inversión google ads],TableDailySummary[Fecha],"&gt;="&amp;TableWeeklySummary[[#This Row],[Desde]],TableDailySummary[Fecha],"&lt;="&amp;TableWeeklySummary[[#This Row],[Hasta]])</f>
        <v>179782.29</v>
      </c>
      <c r="U23" s="12">
        <f ca="1">SUMIFS(TableDailySummary[Ventas google ads],TableDailySummary[Fecha],"&gt;="&amp;TableWeeklySummary[[#This Row],[Desde]],TableDailySummary[Fecha],"&lt;="&amp;TableWeeklySummary[[#This Row],[Hasta]])</f>
        <v>690000</v>
      </c>
      <c r="V23" s="12">
        <f ca="1">SUMIFS(TableDailySummary[Inversión meta ads],TableDailySummary[Fecha],"&gt;="&amp;TableWeeklySummary[[#This Row],[Desde]],TableDailySummary[Fecha],"&lt;="&amp;TableWeeklySummary[[#This Row],[Hasta]])</f>
        <v>355289</v>
      </c>
      <c r="W23" s="12">
        <f ca="1">SUMIFS(TableDailySummary[Ventas meta ads],TableDailySummary[Fecha],"&gt;="&amp;TableWeeklySummary[[#This Row],[Desde]],TableDailySummary[Fecha],"&lt;="&amp;TableWeeklySummary[[#This Row],[Hasta]])</f>
        <v>87000</v>
      </c>
      <c r="X23" s="12">
        <f ca="1">TableWeeklySummary[[#This Row],[Inversión google ads]]+TableWeeklySummary[[#This Row],[Inversión meta ads]]</f>
        <v>535071.29</v>
      </c>
      <c r="Y23" s="12">
        <f ca="1">TableWeeklySummary[[#This Row],[Ventas google ads]]+TableWeeklySummary[[#This Row],[Ventas meta ads]]</f>
        <v>777000</v>
      </c>
      <c r="Z23" s="14">
        <f ca="1">IFERROR(TableWeeklySummary[[#This Row],[Ventas publicidad]]/TableWeeklySummary[[#This Row],[Inversión publicidad]],0)</f>
        <v>1.4521429471575646</v>
      </c>
      <c r="AA23" s="14">
        <f ca="1">IFERROR(TableWeeklySummary[[#This Row],[Ventas primer cliente]]/TableWeeklySummary[[#This Row],[Inversión publicidad]],0)</f>
        <v>16.387749527731156</v>
      </c>
      <c r="AB23" s="14"/>
      <c r="AC23" s="12"/>
      <c r="AI23" s="12">
        <f ca="1">SUMIFS(TableDailySummary[Ventas netas con costo registrado],TableDailySummary[Fecha],"&gt;="&amp;TableWeeklySummary[[#This Row],[Desde]],TableDailySummary[Fecha],"&lt;="&amp;TableWeeklySummary[[#This Row],[Hasta]])</f>
        <v>17597949.619999997</v>
      </c>
      <c r="AJ23" s="12">
        <f ca="1">SUMIFS(TableDailySummary[Costo de ventas registrado],TableDailySummary[Fecha],"&gt;="&amp;TableWeeklySummary[[#This Row],[Desde]],TableDailySummary[Fecha],"&lt;="&amp;TableWeeklySummary[[#This Row],[Hasta]])</f>
        <v>4616352</v>
      </c>
      <c r="AK23" s="12">
        <f ca="1">SUMIFS(TableDailySummary[Utilidad bruta],TableDailySummary[Fecha],"&gt;="&amp;TableWeeklySummary[[#This Row],[Desde]],TableDailySummary[Fecha],"&lt;="&amp;TableWeeklySummary[[#This Row],[Hasta]])</f>
        <v>12981597.619999999</v>
      </c>
      <c r="AL23" s="18">
        <f ca="1">IFERROR(TableWeeklySummary[[#This Row],[Utilidad bruta]]/TableWeeklySummary[[#This Row],[Ventas netas con costo registrado]],0)</f>
        <v>0.73767671236235766</v>
      </c>
    </row>
    <row r="24" spans="2:38" x14ac:dyDescent="0.2">
      <c r="B24" s="16">
        <f ca="1">_xlfn.ISOWEEKNUM(TableWeeklySummary[[#This Row],[Hasta]])</f>
        <v>10</v>
      </c>
      <c r="C24" s="6">
        <f t="shared" ca="1" si="0"/>
        <v>46080</v>
      </c>
      <c r="D24" s="6">
        <f ca="1">TableWeeklySummary[[#This Row],[Desde]]+7-1</f>
        <v>46086</v>
      </c>
      <c r="E24" s="12">
        <f ca="1">SUMIFS(TableDailySummary[Ventas netas totales],TableDailySummary[Fecha],"&gt;="&amp;TableWeeklySummary[[#This Row],[Desde]],TableDailySummary[Fecha],"&lt;="&amp;TableWeeklySummary[[#This Row],[Hasta]])</f>
        <v>41572941.210000001</v>
      </c>
      <c r="F24" s="12">
        <f ca="1">SUMIFS(TableDailySummary[Órdenes totales],TableDailySummary[Fecha],"&gt;="&amp;TableWeeklySummary[[#This Row],[Desde]],TableDailySummary[Fecha],"&lt;="&amp;TableWeeklySummary[[#This Row],[Hasta]])</f>
        <v>169</v>
      </c>
      <c r="G24" s="12">
        <f ca="1">IFERROR(TableWeeklySummary[[#This Row],[Ventas netas totales]]/TableWeeklySummary[[#This Row],[Órdenes totales]],0)</f>
        <v>245993.7349704142</v>
      </c>
      <c r="H2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4" s="12">
        <f ca="1">TableWeeklySummary[[#This Row],[Órden promedio totales]]*TableWeeklySummary[[#This Row],[CR totales]]</f>
        <v>0</v>
      </c>
      <c r="J24" s="12">
        <f ca="1">SUMIFS(TableDailySummary[Ventas primer cliente],TableDailySummary[Fecha],"&gt;="&amp;TableWeeklySummary[[#This Row],[Desde]],TableDailySummary[Fecha],"&lt;="&amp;TableWeeklySummary[[#This Row],[Hasta]])</f>
        <v>12419172.279999999</v>
      </c>
      <c r="K24" s="12">
        <f ca="1">SUMIFS(TableDailySummary[Órdenes primer cliente],TableDailySummary[Fecha],"&gt;="&amp;TableWeeklySummary[[#This Row],[Desde]],TableDailySummary[Fecha],"&lt;="&amp;TableWeeklySummary[[#This Row],[Hasta]])</f>
        <v>56</v>
      </c>
      <c r="L24" s="12">
        <f ca="1">SUMIFS(TableDailySummary[Online Store_net_sales],TableDailySummary[Fecha],"&gt;="&amp;TableWeeklySummary[[#This Row],[Desde]],TableDailySummary[Fecha],"&lt;="&amp;TableWeeklySummary[[#This Row],[Hasta]])</f>
        <v>5562184.8899999997</v>
      </c>
      <c r="M24" s="12">
        <f ca="1">SUMIFS(TableDailySummary[Online Store_orders],TableDailySummary[Fecha],"&gt;="&amp;TableWeeklySummary[[#This Row],[Desde]],TableDailySummary[Fecha],"&lt;="&amp;TableWeeklySummary[[#This Row],[Hasta]])</f>
        <v>31</v>
      </c>
      <c r="N24" s="12">
        <f ca="1">SUMIFS(TableDailySummary[Tienda 81_net_sales],TableDailySummary[Fecha],"&gt;="&amp;TableWeeklySummary[[#This Row],[Desde]],TableDailySummary[Fecha],"&lt;="&amp;TableWeeklySummary[[#This Row],[Hasta]])</f>
        <v>15669126.050000001</v>
      </c>
      <c r="O24" s="12">
        <f ca="1">SUMIFS(TableDailySummary[Tienda 81_orders],TableDailySummary[Fecha],"&gt;="&amp;TableWeeklySummary[[#This Row],[Desde]],TableDailySummary[Fecha],"&lt;="&amp;TableWeeklySummary[[#This Row],[Hasta]])</f>
        <v>123</v>
      </c>
      <c r="P24" s="12">
        <f ca="1">SUMIFS(TableDailySummary[Rappi_net_sales],TableDailySummary[Fecha],"&gt;="&amp;TableWeeklySummary[[#This Row],[Desde]],TableDailySummary[Fecha],"&lt;="&amp;TableWeeklySummary[[#This Row],[Hasta]])</f>
        <v>672268.92999999993</v>
      </c>
      <c r="Q24" s="12">
        <f ca="1">SUMIFS(TableDailySummary[Rappi_orders],TableDailySummary[Fecha],"&gt;="&amp;TableWeeklySummary[[#This Row],[Desde]],TableDailySummary[Fecha],"&lt;="&amp;TableWeeklySummary[[#This Row],[Hasta]])</f>
        <v>8</v>
      </c>
      <c r="R24" s="12">
        <f ca="1">SUMIFS(TableDailySummary[Corporativo no tienda_net_sales],TableDailySummary[Fecha],"&gt;="&amp;TableWeeklySummary[[#This Row],[Desde]],TableDailySummary[Fecha],"&lt;="&amp;TableWeeklySummary[[#This Row],[Hasta]])</f>
        <v>19669361.34</v>
      </c>
      <c r="S24" s="12">
        <f ca="1">SUMIFS(TableDailySummary[Corporativo no tienda_orders],TableDailySummary[Fecha],"&gt;="&amp;TableWeeklySummary[[#This Row],[Desde]],TableDailySummary[Fecha],"&lt;="&amp;TableWeeklySummary[[#This Row],[Hasta]])</f>
        <v>7</v>
      </c>
      <c r="T24" s="12">
        <f ca="1">SUMIFS(TableDailySummary[Inversión google ads],TableDailySummary[Fecha],"&gt;="&amp;TableWeeklySummary[[#This Row],[Desde]],TableDailySummary[Fecha],"&lt;="&amp;TableWeeklySummary[[#This Row],[Hasta]])</f>
        <v>381338.8</v>
      </c>
      <c r="U24" s="12">
        <f ca="1">SUMIFS(TableDailySummary[Ventas google ads],TableDailySummary[Fecha],"&gt;="&amp;TableWeeklySummary[[#This Row],[Desde]],TableDailySummary[Fecha],"&lt;="&amp;TableWeeklySummary[[#This Row],[Hasta]])</f>
        <v>978000</v>
      </c>
      <c r="V24" s="12">
        <f ca="1">SUMIFS(TableDailySummary[Inversión meta ads],TableDailySummary[Fecha],"&gt;="&amp;TableWeeklySummary[[#This Row],[Desde]],TableDailySummary[Fecha],"&lt;="&amp;TableWeeklySummary[[#This Row],[Hasta]])</f>
        <v>376637</v>
      </c>
      <c r="W24" s="12">
        <f ca="1">SUMIFS(TableDailySummary[Ventas meta ads],TableDailySummary[Fecha],"&gt;="&amp;TableWeeklySummary[[#This Row],[Desde]],TableDailySummary[Fecha],"&lt;="&amp;TableWeeklySummary[[#This Row],[Hasta]])</f>
        <v>75000</v>
      </c>
      <c r="X24" s="12">
        <f ca="1">TableWeeklySummary[[#This Row],[Inversión google ads]]+TableWeeklySummary[[#This Row],[Inversión meta ads]]</f>
        <v>757975.8</v>
      </c>
      <c r="Y24" s="12">
        <f ca="1">TableWeeklySummary[[#This Row],[Ventas google ads]]+TableWeeklySummary[[#This Row],[Ventas meta ads]]</f>
        <v>1053000</v>
      </c>
      <c r="Z24" s="14">
        <f ca="1">IFERROR(TableWeeklySummary[[#This Row],[Ventas publicidad]]/TableWeeklySummary[[#This Row],[Inversión publicidad]],0)</f>
        <v>1.3892264106584933</v>
      </c>
      <c r="AA24" s="14">
        <f ca="1">IFERROR(TableWeeklySummary[[#This Row],[Ventas primer cliente]]/TableWeeklySummary[[#This Row],[Inversión publicidad]],0)</f>
        <v>16.384655394011258</v>
      </c>
      <c r="AB24" s="14"/>
      <c r="AC24" s="12"/>
      <c r="AI24" s="12">
        <f ca="1">SUMIFS(TableDailySummary[Ventas netas con costo registrado],TableDailySummary[Fecha],"&gt;="&amp;TableWeeklySummary[[#This Row],[Desde]],TableDailySummary[Fecha],"&lt;="&amp;TableWeeklySummary[[#This Row],[Hasta]])</f>
        <v>41098151.299999997</v>
      </c>
      <c r="AJ24" s="12">
        <f ca="1">SUMIFS(TableDailySummary[Costo de ventas registrado],TableDailySummary[Fecha],"&gt;="&amp;TableWeeklySummary[[#This Row],[Desde]],TableDailySummary[Fecha],"&lt;="&amp;TableWeeklySummary[[#This Row],[Hasta]])</f>
        <v>14991681</v>
      </c>
      <c r="AK24" s="12">
        <f ca="1">SUMIFS(TableDailySummary[Utilidad bruta],TableDailySummary[Fecha],"&gt;="&amp;TableWeeklySummary[[#This Row],[Desde]],TableDailySummary[Fecha],"&lt;="&amp;TableWeeklySummary[[#This Row],[Hasta]])</f>
        <v>26106470.300000001</v>
      </c>
      <c r="AL24" s="18">
        <f ca="1">IFERROR(TableWeeklySummary[[#This Row],[Utilidad bruta]]/TableWeeklySummary[[#This Row],[Ventas netas con costo registrado]],0)</f>
        <v>0.63522249722215618</v>
      </c>
    </row>
    <row r="25" spans="2:38" x14ac:dyDescent="0.2">
      <c r="B25" s="16">
        <f ca="1">_xlfn.ISOWEEKNUM(TableWeeklySummary[[#This Row],[Hasta]])</f>
        <v>11</v>
      </c>
      <c r="C25" s="6">
        <f t="shared" ca="1" si="0"/>
        <v>46087</v>
      </c>
      <c r="D25" s="6">
        <f ca="1">TableWeeklySummary[[#This Row],[Desde]]+7-1</f>
        <v>46093</v>
      </c>
      <c r="E25" s="12">
        <f ca="1">SUMIFS(TableDailySummary[Ventas netas totales],TableDailySummary[Fecha],"&gt;="&amp;TableWeeklySummary[[#This Row],[Desde]],TableDailySummary[Fecha],"&lt;="&amp;TableWeeklySummary[[#This Row],[Hasta]])</f>
        <v>45499352.960000001</v>
      </c>
      <c r="F25" s="12">
        <f ca="1">SUMIFS(TableDailySummary[Órdenes totales],TableDailySummary[Fecha],"&gt;="&amp;TableWeeklySummary[[#This Row],[Desde]],TableDailySummary[Fecha],"&lt;="&amp;TableWeeklySummary[[#This Row],[Hasta]])</f>
        <v>163</v>
      </c>
      <c r="G25" s="12">
        <f ca="1">IFERROR(TableWeeklySummary[[#This Row],[Ventas netas totales]]/TableWeeklySummary[[#This Row],[Órdenes totales]],0)</f>
        <v>279137.13472392637</v>
      </c>
      <c r="H2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5" s="12">
        <f ca="1">TableWeeklySummary[[#This Row],[Órden promedio totales]]*TableWeeklySummary[[#This Row],[CR totales]]</f>
        <v>0</v>
      </c>
      <c r="J25" s="12">
        <f ca="1">SUMIFS(TableDailySummary[Ventas primer cliente],TableDailySummary[Fecha],"&gt;="&amp;TableWeeklySummary[[#This Row],[Desde]],TableDailySummary[Fecha],"&lt;="&amp;TableWeeklySummary[[#This Row],[Hasta]])</f>
        <v>32086403.379999999</v>
      </c>
      <c r="K25" s="12">
        <f ca="1">SUMIFS(TableDailySummary[Órdenes primer cliente],TableDailySummary[Fecha],"&gt;="&amp;TableWeeklySummary[[#This Row],[Desde]],TableDailySummary[Fecha],"&lt;="&amp;TableWeeklySummary[[#This Row],[Hasta]])</f>
        <v>68</v>
      </c>
      <c r="L25" s="12">
        <f ca="1">SUMIFS(TableDailySummary[Online Store_net_sales],TableDailySummary[Fecha],"&gt;="&amp;TableWeeklySummary[[#This Row],[Desde]],TableDailySummary[Fecha],"&lt;="&amp;TableWeeklySummary[[#This Row],[Hasta]])</f>
        <v>6062184.8799999999</v>
      </c>
      <c r="M25" s="12">
        <f ca="1">SUMIFS(TableDailySummary[Online Store_orders],TableDailySummary[Fecha],"&gt;="&amp;TableWeeklySummary[[#This Row],[Desde]],TableDailySummary[Fecha],"&lt;="&amp;TableWeeklySummary[[#This Row],[Hasta]])</f>
        <v>37</v>
      </c>
      <c r="N25" s="12">
        <f ca="1">SUMIFS(TableDailySummary[Tienda 81_net_sales],TableDailySummary[Fecha],"&gt;="&amp;TableWeeklySummary[[#This Row],[Desde]],TableDailySummary[Fecha],"&lt;="&amp;TableWeeklySummary[[#This Row],[Hasta]])</f>
        <v>14622042.029999999</v>
      </c>
      <c r="O25" s="12">
        <f ca="1">SUMIFS(TableDailySummary[Tienda 81_orders],TableDailySummary[Fecha],"&gt;="&amp;TableWeeklySummary[[#This Row],[Desde]],TableDailySummary[Fecha],"&lt;="&amp;TableWeeklySummary[[#This Row],[Hasta]])</f>
        <v>116</v>
      </c>
      <c r="P25" s="12">
        <f ca="1">SUMIFS(TableDailySummary[Rappi_net_sales],TableDailySummary[Fecha],"&gt;="&amp;TableWeeklySummary[[#This Row],[Desde]],TableDailySummary[Fecha],"&lt;="&amp;TableWeeklySummary[[#This Row],[Hasta]])</f>
        <v>487394.96</v>
      </c>
      <c r="Q25" s="12">
        <f ca="1">SUMIFS(TableDailySummary[Rappi_orders],TableDailySummary[Fecha],"&gt;="&amp;TableWeeklySummary[[#This Row],[Desde]],TableDailySummary[Fecha],"&lt;="&amp;TableWeeklySummary[[#This Row],[Hasta]])</f>
        <v>8</v>
      </c>
      <c r="R25" s="12">
        <f ca="1">SUMIFS(TableDailySummary[Corporativo no tienda_net_sales],TableDailySummary[Fecha],"&gt;="&amp;TableWeeklySummary[[#This Row],[Desde]],TableDailySummary[Fecha],"&lt;="&amp;TableWeeklySummary[[#This Row],[Hasta]])</f>
        <v>24327731.09</v>
      </c>
      <c r="S25" s="12">
        <f ca="1">SUMIFS(TableDailySummary[Corporativo no tienda_orders],TableDailySummary[Fecha],"&gt;="&amp;TableWeeklySummary[[#This Row],[Desde]],TableDailySummary[Fecha],"&lt;="&amp;TableWeeklySummary[[#This Row],[Hasta]])</f>
        <v>2</v>
      </c>
      <c r="T25" s="12">
        <f ca="1">SUMIFS(TableDailySummary[Inversión google ads],TableDailySummary[Fecha],"&gt;="&amp;TableWeeklySummary[[#This Row],[Desde]],TableDailySummary[Fecha],"&lt;="&amp;TableWeeklySummary[[#This Row],[Hasta]])</f>
        <v>367556.52</v>
      </c>
      <c r="U25" s="12">
        <f ca="1">SUMIFS(TableDailySummary[Ventas google ads],TableDailySummary[Fecha],"&gt;="&amp;TableWeeklySummary[[#This Row],[Desde]],TableDailySummary[Fecha],"&lt;="&amp;TableWeeklySummary[[#This Row],[Hasta]])</f>
        <v>398000</v>
      </c>
      <c r="V25" s="12">
        <f ca="1">SUMIFS(TableDailySummary[Inversión meta ads],TableDailySummary[Fecha],"&gt;="&amp;TableWeeklySummary[[#This Row],[Desde]],TableDailySummary[Fecha],"&lt;="&amp;TableWeeklySummary[[#This Row],[Hasta]])</f>
        <v>350885</v>
      </c>
      <c r="W25" s="12">
        <f ca="1">SUMIFS(TableDailySummary[Ventas meta ads],TableDailySummary[Fecha],"&gt;="&amp;TableWeeklySummary[[#This Row],[Desde]],TableDailySummary[Fecha],"&lt;="&amp;TableWeeklySummary[[#This Row],[Hasta]])</f>
        <v>91000</v>
      </c>
      <c r="X25" s="12">
        <f ca="1">TableWeeklySummary[[#This Row],[Inversión google ads]]+TableWeeklySummary[[#This Row],[Inversión meta ads]]</f>
        <v>718441.52</v>
      </c>
      <c r="Y25" s="12">
        <f ca="1">TableWeeklySummary[[#This Row],[Ventas google ads]]+TableWeeklySummary[[#This Row],[Ventas meta ads]]</f>
        <v>489000</v>
      </c>
      <c r="Z25" s="14">
        <f ca="1">IFERROR(TableWeeklySummary[[#This Row],[Ventas publicidad]]/TableWeeklySummary[[#This Row],[Inversión publicidad]],0)</f>
        <v>0.68063994965101682</v>
      </c>
      <c r="AA25" s="14">
        <f ca="1">IFERROR(TableWeeklySummary[[#This Row],[Ventas primer cliente]]/TableWeeklySummary[[#This Row],[Inversión publicidad]],0)</f>
        <v>44.661120615634793</v>
      </c>
      <c r="AB25" s="14"/>
      <c r="AC25" s="12"/>
      <c r="AI25" s="12">
        <f ca="1">SUMIFS(TableDailySummary[Ventas netas con costo registrado],TableDailySummary[Fecha],"&gt;="&amp;TableWeeklySummary[[#This Row],[Desde]],TableDailySummary[Fecha],"&lt;="&amp;TableWeeklySummary[[#This Row],[Hasta]])</f>
        <v>45301873.969999999</v>
      </c>
      <c r="AJ25" s="12">
        <f ca="1">SUMIFS(TableDailySummary[Costo de ventas registrado],TableDailySummary[Fecha],"&gt;="&amp;TableWeeklySummary[[#This Row],[Desde]],TableDailySummary[Fecha],"&lt;="&amp;TableWeeklySummary[[#This Row],[Hasta]])</f>
        <v>22334771</v>
      </c>
      <c r="AK25" s="12">
        <f ca="1">SUMIFS(TableDailySummary[Utilidad bruta],TableDailySummary[Fecha],"&gt;="&amp;TableWeeklySummary[[#This Row],[Desde]],TableDailySummary[Fecha],"&lt;="&amp;TableWeeklySummary[[#This Row],[Hasta]])</f>
        <v>22967102.969999999</v>
      </c>
      <c r="AL25" s="18">
        <f ca="1">IFERROR(TableWeeklySummary[[#This Row],[Utilidad bruta]]/TableWeeklySummary[[#This Row],[Ventas netas con costo registrado]],0)</f>
        <v>0.50697909285627729</v>
      </c>
    </row>
    <row r="26" spans="2:38" x14ac:dyDescent="0.2">
      <c r="B26" s="16">
        <f ca="1">_xlfn.ISOWEEKNUM(TableWeeklySummary[[#This Row],[Hasta]])</f>
        <v>12</v>
      </c>
      <c r="C26" s="6">
        <f t="shared" ca="1" si="0"/>
        <v>46094</v>
      </c>
      <c r="D26" s="6">
        <f ca="1">TableWeeklySummary[[#This Row],[Desde]]+7-1</f>
        <v>46100</v>
      </c>
      <c r="E26" s="12">
        <f ca="1">SUMIFS(TableDailySummary[Ventas netas totales],TableDailySummary[Fecha],"&gt;="&amp;TableWeeklySummary[[#This Row],[Desde]],TableDailySummary[Fecha],"&lt;="&amp;TableWeeklySummary[[#This Row],[Hasta]])</f>
        <v>21918218.489999998</v>
      </c>
      <c r="F26" s="12">
        <f ca="1">SUMIFS(TableDailySummary[Órdenes totales],TableDailySummary[Fecha],"&gt;="&amp;TableWeeklySummary[[#This Row],[Desde]],TableDailySummary[Fecha],"&lt;="&amp;TableWeeklySummary[[#This Row],[Hasta]])</f>
        <v>147</v>
      </c>
      <c r="G26" s="12">
        <f ca="1">IFERROR(TableWeeklySummary[[#This Row],[Ventas netas totales]]/TableWeeklySummary[[#This Row],[Órdenes totales]],0)</f>
        <v>149103.52714285714</v>
      </c>
      <c r="H2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6" s="12">
        <f ca="1">TableWeeklySummary[[#This Row],[Órden promedio totales]]*TableWeeklySummary[[#This Row],[CR totales]]</f>
        <v>0</v>
      </c>
      <c r="J26" s="12">
        <f ca="1">SUMIFS(TableDailySummary[Ventas primer cliente],TableDailySummary[Fecha],"&gt;="&amp;TableWeeklySummary[[#This Row],[Desde]],TableDailySummary[Fecha],"&lt;="&amp;TableWeeklySummary[[#This Row],[Hasta]])</f>
        <v>9552873.9299999997</v>
      </c>
      <c r="K26" s="12">
        <f ca="1">SUMIFS(TableDailySummary[Órdenes primer cliente],TableDailySummary[Fecha],"&gt;="&amp;TableWeeklySummary[[#This Row],[Desde]],TableDailySummary[Fecha],"&lt;="&amp;TableWeeklySummary[[#This Row],[Hasta]])</f>
        <v>50</v>
      </c>
      <c r="L26" s="12">
        <f ca="1">SUMIFS(TableDailySummary[Online Store_net_sales],TableDailySummary[Fecha],"&gt;="&amp;TableWeeklySummary[[#This Row],[Desde]],TableDailySummary[Fecha],"&lt;="&amp;TableWeeklySummary[[#This Row],[Hasta]])</f>
        <v>4718487.4000000004</v>
      </c>
      <c r="M26" s="12">
        <f ca="1">SUMIFS(TableDailySummary[Online Store_orders],TableDailySummary[Fecha],"&gt;="&amp;TableWeeklySummary[[#This Row],[Desde]],TableDailySummary[Fecha],"&lt;="&amp;TableWeeklySummary[[#This Row],[Hasta]])</f>
        <v>31</v>
      </c>
      <c r="N26" s="12">
        <f ca="1">SUMIFS(TableDailySummary[Tienda 81_net_sales],TableDailySummary[Fecha],"&gt;="&amp;TableWeeklySummary[[#This Row],[Desde]],TableDailySummary[Fecha],"&lt;="&amp;TableWeeklySummary[[#This Row],[Hasta]])</f>
        <v>16918218.48</v>
      </c>
      <c r="O26" s="12">
        <f ca="1">SUMIFS(TableDailySummary[Tienda 81_orders],TableDailySummary[Fecha],"&gt;="&amp;TableWeeklySummary[[#This Row],[Desde]],TableDailySummary[Fecha],"&lt;="&amp;TableWeeklySummary[[#This Row],[Hasta]])</f>
        <v>111</v>
      </c>
      <c r="P26" s="12">
        <f ca="1">SUMIFS(TableDailySummary[Rappi_net_sales],TableDailySummary[Fecha],"&gt;="&amp;TableWeeklySummary[[#This Row],[Desde]],TableDailySummary[Fecha],"&lt;="&amp;TableWeeklySummary[[#This Row],[Hasta]])</f>
        <v>281512.61</v>
      </c>
      <c r="Q26" s="12">
        <f ca="1">SUMIFS(TableDailySummary[Rappi_orders],TableDailySummary[Fecha],"&gt;="&amp;TableWeeklySummary[[#This Row],[Desde]],TableDailySummary[Fecha],"&lt;="&amp;TableWeeklySummary[[#This Row],[Hasta]])</f>
        <v>5</v>
      </c>
      <c r="R2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6" s="12">
        <f ca="1">SUMIFS(TableDailySummary[Inversión google ads],TableDailySummary[Fecha],"&gt;="&amp;TableWeeklySummary[[#This Row],[Desde]],TableDailySummary[Fecha],"&lt;="&amp;TableWeeklySummary[[#This Row],[Hasta]])</f>
        <v>354657.97000000003</v>
      </c>
      <c r="U26" s="12">
        <f ca="1">SUMIFS(TableDailySummary[Ventas google ads],TableDailySummary[Fecha],"&gt;="&amp;TableWeeklySummary[[#This Row],[Desde]],TableDailySummary[Fecha],"&lt;="&amp;TableWeeklySummary[[#This Row],[Hasta]])</f>
        <v>1615000</v>
      </c>
      <c r="V26" s="12">
        <f ca="1">SUMIFS(TableDailySummary[Inversión meta ads],TableDailySummary[Fecha],"&gt;="&amp;TableWeeklySummary[[#This Row],[Desde]],TableDailySummary[Fecha],"&lt;="&amp;TableWeeklySummary[[#This Row],[Hasta]])</f>
        <v>372571</v>
      </c>
      <c r="W26" s="12">
        <f ca="1">SUMIFS(TableDailySummary[Ventas meta ads],TableDailySummary[Fecha],"&gt;="&amp;TableWeeklySummary[[#This Row],[Desde]],TableDailySummary[Fecha],"&lt;="&amp;TableWeeklySummary[[#This Row],[Hasta]])</f>
        <v>241000</v>
      </c>
      <c r="X26" s="12">
        <f ca="1">TableWeeklySummary[[#This Row],[Inversión google ads]]+TableWeeklySummary[[#This Row],[Inversión meta ads]]</f>
        <v>727228.97</v>
      </c>
      <c r="Y26" s="12">
        <f ca="1">TableWeeklySummary[[#This Row],[Ventas google ads]]+TableWeeklySummary[[#This Row],[Ventas meta ads]]</f>
        <v>1856000</v>
      </c>
      <c r="Z26" s="14">
        <f ca="1">IFERROR(TableWeeklySummary[[#This Row],[Ventas publicidad]]/TableWeeklySummary[[#This Row],[Inversión publicidad]],0)</f>
        <v>2.552153553508739</v>
      </c>
      <c r="AA26" s="14">
        <f ca="1">IFERROR(TableWeeklySummary[[#This Row],[Ventas primer cliente]]/TableWeeklySummary[[#This Row],[Inversión publicidad]],0)</f>
        <v>13.135991997128498</v>
      </c>
      <c r="AB26" s="14"/>
      <c r="AC26" s="12"/>
      <c r="AI26" s="12">
        <f ca="1">SUMIFS(TableDailySummary[Ventas netas con costo registrado],TableDailySummary[Fecha],"&gt;="&amp;TableWeeklySummary[[#This Row],[Desde]],TableDailySummary[Fecha],"&lt;="&amp;TableWeeklySummary[[#This Row],[Hasta]])</f>
        <v>21017798.34</v>
      </c>
      <c r="AJ26" s="12">
        <f ca="1">SUMIFS(TableDailySummary[Costo de ventas registrado],TableDailySummary[Fecha],"&gt;="&amp;TableWeeklySummary[[#This Row],[Desde]],TableDailySummary[Fecha],"&lt;="&amp;TableWeeklySummary[[#This Row],[Hasta]])</f>
        <v>6258571</v>
      </c>
      <c r="AK26" s="12">
        <f ca="1">SUMIFS(TableDailySummary[Utilidad bruta],TableDailySummary[Fecha],"&gt;="&amp;TableWeeklySummary[[#This Row],[Desde]],TableDailySummary[Fecha],"&lt;="&amp;TableWeeklySummary[[#This Row],[Hasta]])</f>
        <v>14759227.34</v>
      </c>
      <c r="AL26" s="18">
        <f ca="1">IFERROR(TableWeeklySummary[[#This Row],[Utilidad bruta]]/TableWeeklySummary[[#This Row],[Ventas netas con costo registrado]],0)</f>
        <v>0.70222518559001457</v>
      </c>
    </row>
    <row r="27" spans="2:38" x14ac:dyDescent="0.2">
      <c r="B27" s="16">
        <f ca="1">_xlfn.ISOWEEKNUM(TableWeeklySummary[[#This Row],[Hasta]])</f>
        <v>13</v>
      </c>
      <c r="C27" s="6">
        <f t="shared" ca="1" si="0"/>
        <v>46101</v>
      </c>
      <c r="D27" s="6">
        <f ca="1">TableWeeklySummary[[#This Row],[Desde]]+7-1</f>
        <v>46107</v>
      </c>
      <c r="E27" s="12">
        <f ca="1">SUMIFS(TableDailySummary[Ventas netas totales],TableDailySummary[Fecha],"&gt;="&amp;TableWeeklySummary[[#This Row],[Desde]],TableDailySummary[Fecha],"&lt;="&amp;TableWeeklySummary[[#This Row],[Hasta]])</f>
        <v>14244705.919999998</v>
      </c>
      <c r="F27" s="12">
        <f ca="1">SUMIFS(TableDailySummary[Órdenes totales],TableDailySummary[Fecha],"&gt;="&amp;TableWeeklySummary[[#This Row],[Desde]],TableDailySummary[Fecha],"&lt;="&amp;TableWeeklySummary[[#This Row],[Hasta]])</f>
        <v>109</v>
      </c>
      <c r="G27" s="12">
        <f ca="1">IFERROR(TableWeeklySummary[[#This Row],[Ventas netas totales]]/TableWeeklySummary[[#This Row],[Órdenes totales]],0)</f>
        <v>130685.37541284402</v>
      </c>
      <c r="H2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7" s="12">
        <f ca="1">TableWeeklySummary[[#This Row],[Órden promedio totales]]*TableWeeklySummary[[#This Row],[CR totales]]</f>
        <v>0</v>
      </c>
      <c r="J27" s="12">
        <f ca="1">SUMIFS(TableDailySummary[Ventas primer cliente],TableDailySummary[Fecha],"&gt;="&amp;TableWeeklySummary[[#This Row],[Desde]],TableDailySummary[Fecha],"&lt;="&amp;TableWeeklySummary[[#This Row],[Hasta]])</f>
        <v>5845630.2499999991</v>
      </c>
      <c r="K27" s="12">
        <f ca="1">SUMIFS(TableDailySummary[Órdenes primer cliente],TableDailySummary[Fecha],"&gt;="&amp;TableWeeklySummary[[#This Row],[Desde]],TableDailySummary[Fecha],"&lt;="&amp;TableWeeklySummary[[#This Row],[Hasta]])</f>
        <v>41</v>
      </c>
      <c r="L27" s="12">
        <f ca="1">SUMIFS(TableDailySummary[Online Store_net_sales],TableDailySummary[Fecha],"&gt;="&amp;TableWeeklySummary[[#This Row],[Desde]],TableDailySummary[Fecha],"&lt;="&amp;TableWeeklySummary[[#This Row],[Hasta]])</f>
        <v>3275630.25</v>
      </c>
      <c r="M27" s="12">
        <f ca="1">SUMIFS(TableDailySummary[Online Store_orders],TableDailySummary[Fecha],"&gt;="&amp;TableWeeklySummary[[#This Row],[Desde]],TableDailySummary[Fecha],"&lt;="&amp;TableWeeklySummary[[#This Row],[Hasta]])</f>
        <v>18</v>
      </c>
      <c r="N27" s="12">
        <f ca="1">SUMIFS(TableDailySummary[Tienda 81_net_sales],TableDailySummary[Fecha],"&gt;="&amp;TableWeeklySummary[[#This Row],[Desde]],TableDailySummary[Fecha],"&lt;="&amp;TableWeeklySummary[[#This Row],[Hasta]])</f>
        <v>10838823.57</v>
      </c>
      <c r="O27" s="12">
        <f ca="1">SUMIFS(TableDailySummary[Tienda 81_orders],TableDailySummary[Fecha],"&gt;="&amp;TableWeeklySummary[[#This Row],[Desde]],TableDailySummary[Fecha],"&lt;="&amp;TableWeeklySummary[[#This Row],[Hasta]])</f>
        <v>90</v>
      </c>
      <c r="P27" s="12">
        <f ca="1">SUMIFS(TableDailySummary[Rappi_net_sales],TableDailySummary[Fecha],"&gt;="&amp;TableWeeklySummary[[#This Row],[Desde]],TableDailySummary[Fecha],"&lt;="&amp;TableWeeklySummary[[#This Row],[Hasta]])</f>
        <v>130252.1</v>
      </c>
      <c r="Q27" s="12">
        <f ca="1">SUMIFS(TableDailySummary[Rappi_orders],TableDailySummary[Fecha],"&gt;="&amp;TableWeeklySummary[[#This Row],[Desde]],TableDailySummary[Fecha],"&lt;="&amp;TableWeeklySummary[[#This Row],[Hasta]])</f>
        <v>1</v>
      </c>
      <c r="R2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7" s="12">
        <f ca="1">SUMIFS(TableDailySummary[Inversión google ads],TableDailySummary[Fecha],"&gt;="&amp;TableWeeklySummary[[#This Row],[Desde]],TableDailySummary[Fecha],"&lt;="&amp;TableWeeklySummary[[#This Row],[Hasta]])</f>
        <v>315202.26</v>
      </c>
      <c r="U27" s="12">
        <f ca="1">SUMIFS(TableDailySummary[Ventas google ads],TableDailySummary[Fecha],"&gt;="&amp;TableWeeklySummary[[#This Row],[Desde]],TableDailySummary[Fecha],"&lt;="&amp;TableWeeklySummary[[#This Row],[Hasta]])</f>
        <v>236000</v>
      </c>
      <c r="V27" s="12">
        <f ca="1">SUMIFS(TableDailySummary[Inversión meta ads],TableDailySummary[Fecha],"&gt;="&amp;TableWeeklySummary[[#This Row],[Desde]],TableDailySummary[Fecha],"&lt;="&amp;TableWeeklySummary[[#This Row],[Hasta]])</f>
        <v>362487</v>
      </c>
      <c r="W27" s="12">
        <f ca="1">SUMIFS(TableDailySummary[Ventas meta ads],TableDailySummary[Fecha],"&gt;="&amp;TableWeeklySummary[[#This Row],[Desde]],TableDailySummary[Fecha],"&lt;="&amp;TableWeeklySummary[[#This Row],[Hasta]])</f>
        <v>332000</v>
      </c>
      <c r="X27" s="12">
        <f ca="1">TableWeeklySummary[[#This Row],[Inversión google ads]]+TableWeeklySummary[[#This Row],[Inversión meta ads]]</f>
        <v>677689.26</v>
      </c>
      <c r="Y27" s="12">
        <f ca="1">TableWeeklySummary[[#This Row],[Ventas google ads]]+TableWeeklySummary[[#This Row],[Ventas meta ads]]</f>
        <v>568000</v>
      </c>
      <c r="Z27" s="14">
        <f ca="1">IFERROR(TableWeeklySummary[[#This Row],[Ventas publicidad]]/TableWeeklySummary[[#This Row],[Inversión publicidad]],0)</f>
        <v>0.83814224826286898</v>
      </c>
      <c r="AA27" s="14">
        <f ca="1">IFERROR(TableWeeklySummary[[#This Row],[Ventas primer cliente]]/TableWeeklySummary[[#This Row],[Inversión publicidad]],0)</f>
        <v>8.6258269018458389</v>
      </c>
      <c r="AB27" s="14"/>
      <c r="AC27" s="12"/>
      <c r="AI27" s="12">
        <f ca="1">SUMIFS(TableDailySummary[Ventas netas con costo registrado],TableDailySummary[Fecha],"&gt;="&amp;TableWeeklySummary[[#This Row],[Desde]],TableDailySummary[Fecha],"&lt;="&amp;TableWeeklySummary[[#This Row],[Hasta]])</f>
        <v>13929579.870000001</v>
      </c>
      <c r="AJ27" s="12">
        <f ca="1">SUMIFS(TableDailySummary[Costo de ventas registrado],TableDailySummary[Fecha],"&gt;="&amp;TableWeeklySummary[[#This Row],[Desde]],TableDailySummary[Fecha],"&lt;="&amp;TableWeeklySummary[[#This Row],[Hasta]])</f>
        <v>3996963</v>
      </c>
      <c r="AK27" s="12">
        <f ca="1">SUMIFS(TableDailySummary[Utilidad bruta],TableDailySummary[Fecha],"&gt;="&amp;TableWeeklySummary[[#This Row],[Desde]],TableDailySummary[Fecha],"&lt;="&amp;TableWeeklySummary[[#This Row],[Hasta]])</f>
        <v>9932616.8699999992</v>
      </c>
      <c r="AL27" s="18">
        <f ca="1">IFERROR(TableWeeklySummary[[#This Row],[Utilidad bruta]]/TableWeeklySummary[[#This Row],[Ventas netas con costo registrado]],0)</f>
        <v>0.71305932861563026</v>
      </c>
    </row>
    <row r="28" spans="2:38" x14ac:dyDescent="0.2">
      <c r="B28" s="16">
        <f ca="1">_xlfn.ISOWEEKNUM(TableWeeklySummary[[#This Row],[Hasta]])</f>
        <v>14</v>
      </c>
      <c r="C28" s="6">
        <f t="shared" ca="1" si="0"/>
        <v>46108</v>
      </c>
      <c r="D28" s="6">
        <f ca="1">TableWeeklySummary[[#This Row],[Desde]]+7-1</f>
        <v>46114</v>
      </c>
      <c r="E28" s="12">
        <f ca="1">SUMIFS(TableDailySummary[Ventas netas totales],TableDailySummary[Fecha],"&gt;="&amp;TableWeeklySummary[[#This Row],[Desde]],TableDailySummary[Fecha],"&lt;="&amp;TableWeeklySummary[[#This Row],[Hasta]])</f>
        <v>18356000.009999998</v>
      </c>
      <c r="F28" s="12">
        <f ca="1">SUMIFS(TableDailySummary[Órdenes totales],TableDailySummary[Fecha],"&gt;="&amp;TableWeeklySummary[[#This Row],[Desde]],TableDailySummary[Fecha],"&lt;="&amp;TableWeeklySummary[[#This Row],[Hasta]])</f>
        <v>115</v>
      </c>
      <c r="G28" s="12">
        <f ca="1">IFERROR(TableWeeklySummary[[#This Row],[Ventas netas totales]]/TableWeeklySummary[[#This Row],[Órdenes totales]],0)</f>
        <v>159617.39139130432</v>
      </c>
      <c r="H2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8" s="12">
        <f ca="1">TableWeeklySummary[[#This Row],[Órden promedio totales]]*TableWeeklySummary[[#This Row],[CR totales]]</f>
        <v>0</v>
      </c>
      <c r="J28" s="12">
        <f ca="1">SUMIFS(TableDailySummary[Ventas primer cliente],TableDailySummary[Fecha],"&gt;="&amp;TableWeeklySummary[[#This Row],[Desde]],TableDailySummary[Fecha],"&lt;="&amp;TableWeeklySummary[[#This Row],[Hasta]])</f>
        <v>4858529.41</v>
      </c>
      <c r="K28" s="12">
        <f ca="1">SUMIFS(TableDailySummary[Órdenes primer cliente],TableDailySummary[Fecha],"&gt;="&amp;TableWeeklySummary[[#This Row],[Desde]],TableDailySummary[Fecha],"&lt;="&amp;TableWeeklySummary[[#This Row],[Hasta]])</f>
        <v>28</v>
      </c>
      <c r="L28" s="12">
        <f ca="1">SUMIFS(TableDailySummary[Online Store_net_sales],TableDailySummary[Fecha],"&gt;="&amp;TableWeeklySummary[[#This Row],[Desde]],TableDailySummary[Fecha],"&lt;="&amp;TableWeeklySummary[[#This Row],[Hasta]])</f>
        <v>3792436.9699999997</v>
      </c>
      <c r="M28" s="12">
        <f ca="1">SUMIFS(TableDailySummary[Online Store_orders],TableDailySummary[Fecha],"&gt;="&amp;TableWeeklySummary[[#This Row],[Desde]],TableDailySummary[Fecha],"&lt;="&amp;TableWeeklySummary[[#This Row],[Hasta]])</f>
        <v>21</v>
      </c>
      <c r="N28" s="12">
        <f ca="1">SUMIFS(TableDailySummary[Tienda 81_net_sales],TableDailySummary[Fecha],"&gt;="&amp;TableWeeklySummary[[#This Row],[Desde]],TableDailySummary[Fecha],"&lt;="&amp;TableWeeklySummary[[#This Row],[Hasta]])</f>
        <v>13818899.169999998</v>
      </c>
      <c r="O28" s="12">
        <f ca="1">SUMIFS(TableDailySummary[Tienda 81_orders],TableDailySummary[Fecha],"&gt;="&amp;TableWeeklySummary[[#This Row],[Desde]],TableDailySummary[Fecha],"&lt;="&amp;TableWeeklySummary[[#This Row],[Hasta]])</f>
        <v>93</v>
      </c>
      <c r="P28" s="12">
        <f ca="1">SUMIFS(TableDailySummary[Rappi_net_sales],TableDailySummary[Fecha],"&gt;="&amp;TableWeeklySummary[[#This Row],[Desde]],TableDailySummary[Fecha],"&lt;="&amp;TableWeeklySummary[[#This Row],[Hasta]])</f>
        <v>0</v>
      </c>
      <c r="Q28" s="12">
        <f ca="1">SUMIFS(TableDailySummary[Rappi_orders],TableDailySummary[Fecha],"&gt;="&amp;TableWeeklySummary[[#This Row],[Desde]],TableDailySummary[Fecha],"&lt;="&amp;TableWeeklySummary[[#This Row],[Hasta]])</f>
        <v>0</v>
      </c>
      <c r="R28" s="12">
        <f ca="1">SUMIFS(TableDailySummary[Corporativo no tienda_net_sales],TableDailySummary[Fecha],"&gt;="&amp;TableWeeklySummary[[#This Row],[Desde]],TableDailySummary[Fecha],"&lt;="&amp;TableWeeklySummary[[#This Row],[Hasta]])</f>
        <v>744663.87</v>
      </c>
      <c r="S28" s="12">
        <f ca="1">SUMIFS(TableDailySummary[Corporativo no tienda_orders],TableDailySummary[Fecha],"&gt;="&amp;TableWeeklySummary[[#This Row],[Desde]],TableDailySummary[Fecha],"&lt;="&amp;TableWeeklySummary[[#This Row],[Hasta]])</f>
        <v>1</v>
      </c>
      <c r="T28" s="12">
        <f ca="1">SUMIFS(TableDailySummary[Inversión google ads],TableDailySummary[Fecha],"&gt;="&amp;TableWeeklySummary[[#This Row],[Desde]],TableDailySummary[Fecha],"&lt;="&amp;TableWeeklySummary[[#This Row],[Hasta]])</f>
        <v>330189.16000000003</v>
      </c>
      <c r="U28" s="12">
        <f ca="1">SUMIFS(TableDailySummary[Ventas google ads],TableDailySummary[Fecha],"&gt;="&amp;TableWeeklySummary[[#This Row],[Desde]],TableDailySummary[Fecha],"&lt;="&amp;TableWeeklySummary[[#This Row],[Hasta]])</f>
        <v>254000</v>
      </c>
      <c r="V28" s="12">
        <f ca="1">SUMIFS(TableDailySummary[Inversión meta ads],TableDailySummary[Fecha],"&gt;="&amp;TableWeeklySummary[[#This Row],[Desde]],TableDailySummary[Fecha],"&lt;="&amp;TableWeeklySummary[[#This Row],[Hasta]])</f>
        <v>363677</v>
      </c>
      <c r="W28" s="12">
        <f ca="1">SUMIFS(TableDailySummary[Ventas meta ads],TableDailySummary[Fecha],"&gt;="&amp;TableWeeklySummary[[#This Row],[Desde]],TableDailySummary[Fecha],"&lt;="&amp;TableWeeklySummary[[#This Row],[Hasta]])</f>
        <v>0</v>
      </c>
      <c r="X28" s="12">
        <f ca="1">TableWeeklySummary[[#This Row],[Inversión google ads]]+TableWeeklySummary[[#This Row],[Inversión meta ads]]</f>
        <v>693866.16</v>
      </c>
      <c r="Y28" s="12">
        <f ca="1">TableWeeklySummary[[#This Row],[Ventas google ads]]+TableWeeklySummary[[#This Row],[Ventas meta ads]]</f>
        <v>254000</v>
      </c>
      <c r="Z28" s="14">
        <f ca="1">IFERROR(TableWeeklySummary[[#This Row],[Ventas publicidad]]/TableWeeklySummary[[#This Row],[Inversión publicidad]],0)</f>
        <v>0.36606483302197645</v>
      </c>
      <c r="AA28" s="14">
        <f ca="1">IFERROR(TableWeeklySummary[[#This Row],[Ventas primer cliente]]/TableWeeklySummary[[#This Row],[Inversión publicidad]],0)</f>
        <v>7.0021132173386293</v>
      </c>
      <c r="AB28" s="14"/>
      <c r="AC28" s="12"/>
      <c r="AI28" s="12">
        <f ca="1">SUMIFS(TableDailySummary[Ventas netas con costo registrado],TableDailySummary[Fecha],"&gt;="&amp;TableWeeklySummary[[#This Row],[Desde]],TableDailySummary[Fecha],"&lt;="&amp;TableWeeklySummary[[#This Row],[Hasta]])</f>
        <v>18284571.439999998</v>
      </c>
      <c r="AJ28" s="12">
        <f ca="1">SUMIFS(TableDailySummary[Costo de ventas registrado],TableDailySummary[Fecha],"&gt;="&amp;TableWeeklySummary[[#This Row],[Desde]],TableDailySummary[Fecha],"&lt;="&amp;TableWeeklySummary[[#This Row],[Hasta]])</f>
        <v>4989232</v>
      </c>
      <c r="AK28" s="12">
        <f ca="1">SUMIFS(TableDailySummary[Utilidad bruta],TableDailySummary[Fecha],"&gt;="&amp;TableWeeklySummary[[#This Row],[Desde]],TableDailySummary[Fecha],"&lt;="&amp;TableWeeklySummary[[#This Row],[Hasta]])</f>
        <v>13295339.440000001</v>
      </c>
      <c r="AL28" s="18">
        <f ca="1">IFERROR(TableWeeklySummary[[#This Row],[Utilidad bruta]]/TableWeeklySummary[[#This Row],[Ventas netas con costo registrado]],0)</f>
        <v>0.72713432106560782</v>
      </c>
    </row>
    <row r="29" spans="2:38" x14ac:dyDescent="0.2">
      <c r="B29" s="16">
        <f ca="1">_xlfn.ISOWEEKNUM(TableWeeklySummary[[#This Row],[Hasta]])</f>
        <v>15</v>
      </c>
      <c r="C29" s="6">
        <f t="shared" ca="1" si="0"/>
        <v>46115</v>
      </c>
      <c r="D29" s="6">
        <f ca="1">TableWeeklySummary[[#This Row],[Desde]]+7-1</f>
        <v>46121</v>
      </c>
      <c r="E29" s="12">
        <f ca="1">SUMIFS(TableDailySummary[Ventas netas totales],TableDailySummary[Fecha],"&gt;="&amp;TableWeeklySummary[[#This Row],[Desde]],TableDailySummary[Fecha],"&lt;="&amp;TableWeeklySummary[[#This Row],[Hasta]])</f>
        <v>13260655.52</v>
      </c>
      <c r="F29" s="12">
        <f ca="1">SUMIFS(TableDailySummary[Órdenes totales],TableDailySummary[Fecha],"&gt;="&amp;TableWeeklySummary[[#This Row],[Desde]],TableDailySummary[Fecha],"&lt;="&amp;TableWeeklySummary[[#This Row],[Hasta]])</f>
        <v>104</v>
      </c>
      <c r="G29" s="12">
        <f ca="1">IFERROR(TableWeeklySummary[[#This Row],[Ventas netas totales]]/TableWeeklySummary[[#This Row],[Órdenes totales]],0)</f>
        <v>127506.30307692307</v>
      </c>
      <c r="H2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9" s="12">
        <f ca="1">TableWeeklySummary[[#This Row],[Órden promedio totales]]*TableWeeklySummary[[#This Row],[CR totales]]</f>
        <v>0</v>
      </c>
      <c r="J29" s="12">
        <f ca="1">SUMIFS(TableDailySummary[Ventas primer cliente],TableDailySummary[Fecha],"&gt;="&amp;TableWeeklySummary[[#This Row],[Desde]],TableDailySummary[Fecha],"&lt;="&amp;TableWeeklySummary[[#This Row],[Hasta]])</f>
        <v>4392184.9000000004</v>
      </c>
      <c r="K29" s="12">
        <f ca="1">SUMIFS(TableDailySummary[Órdenes primer cliente],TableDailySummary[Fecha],"&gt;="&amp;TableWeeklySummary[[#This Row],[Desde]],TableDailySummary[Fecha],"&lt;="&amp;TableWeeklySummary[[#This Row],[Hasta]])</f>
        <v>34</v>
      </c>
      <c r="L29" s="12">
        <f ca="1">SUMIFS(TableDailySummary[Online Store_net_sales],TableDailySummary[Fecha],"&gt;="&amp;TableWeeklySummary[[#This Row],[Desde]],TableDailySummary[Fecha],"&lt;="&amp;TableWeeklySummary[[#This Row],[Hasta]])</f>
        <v>3256302.5299999993</v>
      </c>
      <c r="M29" s="12">
        <f ca="1">SUMIFS(TableDailySummary[Online Store_orders],TableDailySummary[Fecha],"&gt;="&amp;TableWeeklySummary[[#This Row],[Desde]],TableDailySummary[Fecha],"&lt;="&amp;TableWeeklySummary[[#This Row],[Hasta]])</f>
        <v>26</v>
      </c>
      <c r="N29" s="12">
        <f ca="1">SUMIFS(TableDailySummary[Tienda 81_net_sales],TableDailySummary[Fecha],"&gt;="&amp;TableWeeklySummary[[#This Row],[Desde]],TableDailySummary[Fecha],"&lt;="&amp;TableWeeklySummary[[#This Row],[Hasta]])</f>
        <v>9529563.0600000005</v>
      </c>
      <c r="O29" s="12">
        <f ca="1">SUMIFS(TableDailySummary[Tienda 81_orders],TableDailySummary[Fecha],"&gt;="&amp;TableWeeklySummary[[#This Row],[Desde]],TableDailySummary[Fecha],"&lt;="&amp;TableWeeklySummary[[#This Row],[Hasta]])</f>
        <v>73</v>
      </c>
      <c r="P29" s="12">
        <f ca="1">SUMIFS(TableDailySummary[Rappi_net_sales],TableDailySummary[Fecha],"&gt;="&amp;TableWeeklySummary[[#This Row],[Desde]],TableDailySummary[Fecha],"&lt;="&amp;TableWeeklySummary[[#This Row],[Hasta]])</f>
        <v>180672.28</v>
      </c>
      <c r="Q29" s="12">
        <f ca="1">SUMIFS(TableDailySummary[Rappi_orders],TableDailySummary[Fecha],"&gt;="&amp;TableWeeklySummary[[#This Row],[Desde]],TableDailySummary[Fecha],"&lt;="&amp;TableWeeklySummary[[#This Row],[Hasta]])</f>
        <v>4</v>
      </c>
      <c r="R29" s="12">
        <f ca="1">SUMIFS(TableDailySummary[Corporativo no tienda_net_sales],TableDailySummary[Fecha],"&gt;="&amp;TableWeeklySummary[[#This Row],[Desde]],TableDailySummary[Fecha],"&lt;="&amp;TableWeeklySummary[[#This Row],[Hasta]])</f>
        <v>294117.65000000002</v>
      </c>
      <c r="S29" s="12">
        <f ca="1">SUMIFS(TableDailySummary[Corporativo no tienda_orders],TableDailySummary[Fecha],"&gt;="&amp;TableWeeklySummary[[#This Row],[Desde]],TableDailySummary[Fecha],"&lt;="&amp;TableWeeklySummary[[#This Row],[Hasta]])</f>
        <v>1</v>
      </c>
      <c r="T29" s="12">
        <f ca="1">SUMIFS(TableDailySummary[Inversión google ads],TableDailySummary[Fecha],"&gt;="&amp;TableWeeklySummary[[#This Row],[Desde]],TableDailySummary[Fecha],"&lt;="&amp;TableWeeklySummary[[#This Row],[Hasta]])</f>
        <v>316500.93</v>
      </c>
      <c r="U29" s="12">
        <f ca="1">SUMIFS(TableDailySummary[Ventas google ads],TableDailySummary[Fecha],"&gt;="&amp;TableWeeklySummary[[#This Row],[Desde]],TableDailySummary[Fecha],"&lt;="&amp;TableWeeklySummary[[#This Row],[Hasta]])</f>
        <v>1101000</v>
      </c>
      <c r="V29" s="12">
        <f ca="1">SUMIFS(TableDailySummary[Inversión meta ads],TableDailySummary[Fecha],"&gt;="&amp;TableWeeklySummary[[#This Row],[Desde]],TableDailySummary[Fecha],"&lt;="&amp;TableWeeklySummary[[#This Row],[Hasta]])</f>
        <v>329524</v>
      </c>
      <c r="W29" s="12">
        <f ca="1">SUMIFS(TableDailySummary[Ventas meta ads],TableDailySummary[Fecha],"&gt;="&amp;TableWeeklySummary[[#This Row],[Desde]],TableDailySummary[Fecha],"&lt;="&amp;TableWeeklySummary[[#This Row],[Hasta]])</f>
        <v>75000</v>
      </c>
      <c r="X29" s="12">
        <f ca="1">TableWeeklySummary[[#This Row],[Inversión google ads]]+TableWeeklySummary[[#This Row],[Inversión meta ads]]</f>
        <v>646024.92999999993</v>
      </c>
      <c r="Y29" s="12">
        <f ca="1">TableWeeklySummary[[#This Row],[Ventas google ads]]+TableWeeklySummary[[#This Row],[Ventas meta ads]]</f>
        <v>1176000</v>
      </c>
      <c r="Z29" s="14">
        <f ca="1">IFERROR(TableWeeklySummary[[#This Row],[Ventas publicidad]]/TableWeeklySummary[[#This Row],[Inversión publicidad]],0)</f>
        <v>1.820363186293755</v>
      </c>
      <c r="AA29" s="14">
        <f ca="1">IFERROR(TableWeeklySummary[[#This Row],[Ventas primer cliente]]/TableWeeklySummary[[#This Row],[Inversión publicidad]],0)</f>
        <v>6.798785458635475</v>
      </c>
      <c r="AB29" s="14"/>
      <c r="AC29" s="12"/>
      <c r="AI29" s="12">
        <f ca="1">SUMIFS(TableDailySummary[Ventas netas con costo registrado],TableDailySummary[Fecha],"&gt;="&amp;TableWeeklySummary[[#This Row],[Desde]],TableDailySummary[Fecha],"&lt;="&amp;TableWeeklySummary[[#This Row],[Hasta]])</f>
        <v>13231243.76</v>
      </c>
      <c r="AJ29" s="12">
        <f ca="1">SUMIFS(TableDailySummary[Costo de ventas registrado],TableDailySummary[Fecha],"&gt;="&amp;TableWeeklySummary[[#This Row],[Desde]],TableDailySummary[Fecha],"&lt;="&amp;TableWeeklySummary[[#This Row],[Hasta]])</f>
        <v>4240486</v>
      </c>
      <c r="AK29" s="12">
        <f ca="1">SUMIFS(TableDailySummary[Utilidad bruta],TableDailySummary[Fecha],"&gt;="&amp;TableWeeklySummary[[#This Row],[Desde]],TableDailySummary[Fecha],"&lt;="&amp;TableWeeklySummary[[#This Row],[Hasta]])</f>
        <v>8990757.7599999998</v>
      </c>
      <c r="AL29" s="18">
        <f ca="1">IFERROR(TableWeeklySummary[[#This Row],[Utilidad bruta]]/TableWeeklySummary[[#This Row],[Ventas netas con costo registrado]],0)</f>
        <v>0.67950964573567796</v>
      </c>
    </row>
    <row r="30" spans="2:38" x14ac:dyDescent="0.2">
      <c r="B30" s="16">
        <f ca="1">_xlfn.ISOWEEKNUM(TableWeeklySummary[[#This Row],[Hasta]])</f>
        <v>16</v>
      </c>
      <c r="C30" s="6">
        <f t="shared" ca="1" si="0"/>
        <v>46122</v>
      </c>
      <c r="D30" s="6">
        <f ca="1">TableWeeklySummary[[#This Row],[Desde]]+7-1</f>
        <v>46128</v>
      </c>
      <c r="E30" s="12">
        <f ca="1">SUMIFS(TableDailySummary[Ventas netas totales],TableDailySummary[Fecha],"&gt;="&amp;TableWeeklySummary[[#This Row],[Desde]],TableDailySummary[Fecha],"&lt;="&amp;TableWeeklySummary[[#This Row],[Hasta]])</f>
        <v>28418966.32</v>
      </c>
      <c r="F30" s="12">
        <f ca="1">SUMIFS(TableDailySummary[Órdenes totales],TableDailySummary[Fecha],"&gt;="&amp;TableWeeklySummary[[#This Row],[Desde]],TableDailySummary[Fecha],"&lt;="&amp;TableWeeklySummary[[#This Row],[Hasta]])</f>
        <v>193</v>
      </c>
      <c r="G30" s="12">
        <f ca="1">IFERROR(TableWeeklySummary[[#This Row],[Ventas netas totales]]/TableWeeklySummary[[#This Row],[Órdenes totales]],0)</f>
        <v>147248.53015544041</v>
      </c>
      <c r="H3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0" s="12">
        <f ca="1">TableWeeklySummary[[#This Row],[Órden promedio totales]]*TableWeeklySummary[[#This Row],[CR totales]]</f>
        <v>0</v>
      </c>
      <c r="J30" s="12">
        <f ca="1">SUMIFS(TableDailySummary[Ventas primer cliente],TableDailySummary[Fecha],"&gt;="&amp;TableWeeklySummary[[#This Row],[Desde]],TableDailySummary[Fecha],"&lt;="&amp;TableWeeklySummary[[#This Row],[Hasta]])</f>
        <v>12108403.380000001</v>
      </c>
      <c r="K30" s="12">
        <f ca="1">SUMIFS(TableDailySummary[Órdenes primer cliente],TableDailySummary[Fecha],"&gt;="&amp;TableWeeklySummary[[#This Row],[Desde]],TableDailySummary[Fecha],"&lt;="&amp;TableWeeklySummary[[#This Row],[Hasta]])</f>
        <v>72</v>
      </c>
      <c r="L30" s="12">
        <f ca="1">SUMIFS(TableDailySummary[Online Store_net_sales],TableDailySummary[Fecha],"&gt;="&amp;TableWeeklySummary[[#This Row],[Desde]],TableDailySummary[Fecha],"&lt;="&amp;TableWeeklySummary[[#This Row],[Hasta]])</f>
        <v>4871134.45</v>
      </c>
      <c r="M30" s="12">
        <f ca="1">SUMIFS(TableDailySummary[Online Store_orders],TableDailySummary[Fecha],"&gt;="&amp;TableWeeklySummary[[#This Row],[Desde]],TableDailySummary[Fecha],"&lt;="&amp;TableWeeklySummary[[#This Row],[Hasta]])</f>
        <v>35</v>
      </c>
      <c r="N30" s="12">
        <f ca="1">SUMIFS(TableDailySummary[Tienda 81_net_sales],TableDailySummary[Fecha],"&gt;="&amp;TableWeeklySummary[[#This Row],[Desde]],TableDailySummary[Fecha],"&lt;="&amp;TableWeeklySummary[[#This Row],[Hasta]])</f>
        <v>22913378.090000004</v>
      </c>
      <c r="O30" s="12">
        <f ca="1">SUMIFS(TableDailySummary[Tienda 81_orders],TableDailySummary[Fecha],"&gt;="&amp;TableWeeklySummary[[#This Row],[Desde]],TableDailySummary[Fecha],"&lt;="&amp;TableWeeklySummary[[#This Row],[Hasta]])</f>
        <v>147</v>
      </c>
      <c r="P30" s="12">
        <f ca="1">SUMIFS(TableDailySummary[Rappi_net_sales],TableDailySummary[Fecha],"&gt;="&amp;TableWeeklySummary[[#This Row],[Desde]],TableDailySummary[Fecha],"&lt;="&amp;TableWeeklySummary[[#This Row],[Hasta]])</f>
        <v>634453.78</v>
      </c>
      <c r="Q30" s="12">
        <f ca="1">SUMIFS(TableDailySummary[Rappi_orders],TableDailySummary[Fecha],"&gt;="&amp;TableWeeklySummary[[#This Row],[Desde]],TableDailySummary[Fecha],"&lt;="&amp;TableWeeklySummary[[#This Row],[Hasta]])</f>
        <v>11</v>
      </c>
      <c r="R3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0" s="12">
        <f ca="1">SUMIFS(TableDailySummary[Inversión google ads],TableDailySummary[Fecha],"&gt;="&amp;TableWeeklySummary[[#This Row],[Desde]],TableDailySummary[Fecha],"&lt;="&amp;TableWeeklySummary[[#This Row],[Hasta]])</f>
        <v>362881.38</v>
      </c>
      <c r="U30" s="12">
        <f ca="1">SUMIFS(TableDailySummary[Ventas google ads],TableDailySummary[Fecha],"&gt;="&amp;TableWeeklySummary[[#This Row],[Desde]],TableDailySummary[Fecha],"&lt;="&amp;TableWeeklySummary[[#This Row],[Hasta]])</f>
        <v>75000</v>
      </c>
      <c r="V30" s="12">
        <f ca="1">SUMIFS(TableDailySummary[Inversión meta ads],TableDailySummary[Fecha],"&gt;="&amp;TableWeeklySummary[[#This Row],[Desde]],TableDailySummary[Fecha],"&lt;="&amp;TableWeeklySummary[[#This Row],[Hasta]])</f>
        <v>556435</v>
      </c>
      <c r="W30" s="12">
        <f ca="1">SUMIFS(TableDailySummary[Ventas meta ads],TableDailySummary[Fecha],"&gt;="&amp;TableWeeklySummary[[#This Row],[Desde]],TableDailySummary[Fecha],"&lt;="&amp;TableWeeklySummary[[#This Row],[Hasta]])</f>
        <v>72000</v>
      </c>
      <c r="X30" s="12">
        <f ca="1">TableWeeklySummary[[#This Row],[Inversión google ads]]+TableWeeklySummary[[#This Row],[Inversión meta ads]]</f>
        <v>919316.38</v>
      </c>
      <c r="Y30" s="12">
        <f ca="1">TableWeeklySummary[[#This Row],[Ventas google ads]]+TableWeeklySummary[[#This Row],[Ventas meta ads]]</f>
        <v>147000</v>
      </c>
      <c r="Z30" s="14">
        <f ca="1">IFERROR(TableWeeklySummary[[#This Row],[Ventas publicidad]]/TableWeeklySummary[[#This Row],[Inversión publicidad]],0)</f>
        <v>0.15990142588343742</v>
      </c>
      <c r="AA30" s="14">
        <f ca="1">IFERROR(TableWeeklySummary[[#This Row],[Ventas primer cliente]]/TableWeeklySummary[[#This Row],[Inversión publicidad]],0)</f>
        <v>13.171095004311791</v>
      </c>
      <c r="AB30" s="14"/>
      <c r="AC30" s="12"/>
      <c r="AI30" s="12">
        <f ca="1">SUMIFS(TableDailySummary[Ventas netas con costo registrado],TableDailySummary[Fecha],"&gt;="&amp;TableWeeklySummary[[#This Row],[Desde]],TableDailySummary[Fecha],"&lt;="&amp;TableWeeklySummary[[#This Row],[Hasta]])</f>
        <v>28175268.84</v>
      </c>
      <c r="AJ30" s="12">
        <f ca="1">SUMIFS(TableDailySummary[Costo de ventas registrado],TableDailySummary[Fecha],"&gt;="&amp;TableWeeklySummary[[#This Row],[Desde]],TableDailySummary[Fecha],"&lt;="&amp;TableWeeklySummary[[#This Row],[Hasta]])</f>
        <v>8535589</v>
      </c>
      <c r="AK30" s="12">
        <f ca="1">SUMIFS(TableDailySummary[Utilidad bruta],TableDailySummary[Fecha],"&gt;="&amp;TableWeeklySummary[[#This Row],[Desde]],TableDailySummary[Fecha],"&lt;="&amp;TableWeeklySummary[[#This Row],[Hasta]])</f>
        <v>19639679.84</v>
      </c>
      <c r="AL30" s="18">
        <f ca="1">IFERROR(TableWeeklySummary[[#This Row],[Utilidad bruta]]/TableWeeklySummary[[#This Row],[Ventas netas con costo registrado]],0)</f>
        <v>0.69705385781866425</v>
      </c>
    </row>
    <row r="31" spans="2:38" x14ac:dyDescent="0.2">
      <c r="B31" s="16">
        <f ca="1">_xlfn.ISOWEEKNUM(TableWeeklySummary[[#This Row],[Hasta]])</f>
        <v>17</v>
      </c>
      <c r="C31" s="6">
        <f t="shared" ca="1" si="0"/>
        <v>46129</v>
      </c>
      <c r="D31" s="6">
        <f ca="1">TableWeeklySummary[[#This Row],[Desde]]+7-1</f>
        <v>46135</v>
      </c>
      <c r="E31" s="12">
        <f ca="1">SUMIFS(TableDailySummary[Ventas netas totales],TableDailySummary[Fecha],"&gt;="&amp;TableWeeklySummary[[#This Row],[Desde]],TableDailySummary[Fecha],"&lt;="&amp;TableWeeklySummary[[#This Row],[Hasta]])</f>
        <v>24312226.879999995</v>
      </c>
      <c r="F31" s="12">
        <f ca="1">SUMIFS(TableDailySummary[Órdenes totales],TableDailySummary[Fecha],"&gt;="&amp;TableWeeklySummary[[#This Row],[Desde]],TableDailySummary[Fecha],"&lt;="&amp;TableWeeklySummary[[#This Row],[Hasta]])</f>
        <v>163</v>
      </c>
      <c r="G31" s="12">
        <f ca="1">IFERROR(TableWeeklySummary[[#This Row],[Ventas netas totales]]/TableWeeklySummary[[#This Row],[Órdenes totales]],0)</f>
        <v>149154.76613496931</v>
      </c>
      <c r="H3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1" s="12">
        <f ca="1">TableWeeklySummary[[#This Row],[Órden promedio totales]]*TableWeeklySummary[[#This Row],[CR totales]]</f>
        <v>0</v>
      </c>
      <c r="J31" s="12">
        <f ca="1">SUMIFS(TableDailySummary[Ventas primer cliente],TableDailySummary[Fecha],"&gt;="&amp;TableWeeklySummary[[#This Row],[Desde]],TableDailySummary[Fecha],"&lt;="&amp;TableWeeklySummary[[#This Row],[Hasta]])</f>
        <v>10267109.26</v>
      </c>
      <c r="K31" s="12">
        <f ca="1">SUMIFS(TableDailySummary[Órdenes primer cliente],TableDailySummary[Fecha],"&gt;="&amp;TableWeeklySummary[[#This Row],[Desde]],TableDailySummary[Fecha],"&lt;="&amp;TableWeeklySummary[[#This Row],[Hasta]])</f>
        <v>64</v>
      </c>
      <c r="L31" s="12">
        <f ca="1">SUMIFS(TableDailySummary[Online Store_net_sales],TableDailySummary[Fecha],"&gt;="&amp;TableWeeklySummary[[#This Row],[Desde]],TableDailySummary[Fecha],"&lt;="&amp;TableWeeklySummary[[#This Row],[Hasta]])</f>
        <v>6123865.5499999998</v>
      </c>
      <c r="M31" s="12">
        <f ca="1">SUMIFS(TableDailySummary[Online Store_orders],TableDailySummary[Fecha],"&gt;="&amp;TableWeeklySummary[[#This Row],[Desde]],TableDailySummary[Fecha],"&lt;="&amp;TableWeeklySummary[[#This Row],[Hasta]])</f>
        <v>38</v>
      </c>
      <c r="N31" s="12">
        <f ca="1">SUMIFS(TableDailySummary[Tienda 81_net_sales],TableDailySummary[Fecha],"&gt;="&amp;TableWeeklySummary[[#This Row],[Desde]],TableDailySummary[Fecha],"&lt;="&amp;TableWeeklySummary[[#This Row],[Hasta]])</f>
        <v>17385840.32</v>
      </c>
      <c r="O31" s="12">
        <f ca="1">SUMIFS(TableDailySummary[Tienda 81_orders],TableDailySummary[Fecha],"&gt;="&amp;TableWeeklySummary[[#This Row],[Desde]],TableDailySummary[Fecha],"&lt;="&amp;TableWeeklySummary[[#This Row],[Hasta]])</f>
        <v>114</v>
      </c>
      <c r="P31" s="12">
        <f ca="1">SUMIFS(TableDailySummary[Rappi_net_sales],TableDailySummary[Fecha],"&gt;="&amp;TableWeeklySummary[[#This Row],[Desde]],TableDailySummary[Fecha],"&lt;="&amp;TableWeeklySummary[[#This Row],[Hasta]])</f>
        <v>802521.00999999989</v>
      </c>
      <c r="Q31" s="12">
        <f ca="1">SUMIFS(TableDailySummary[Rappi_orders],TableDailySummary[Fecha],"&gt;="&amp;TableWeeklySummary[[#This Row],[Desde]],TableDailySummary[Fecha],"&lt;="&amp;TableWeeklySummary[[#This Row],[Hasta]])</f>
        <v>11</v>
      </c>
      <c r="R3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1" s="12">
        <f ca="1">SUMIFS(TableDailySummary[Inversión google ads],TableDailySummary[Fecha],"&gt;="&amp;TableWeeklySummary[[#This Row],[Desde]],TableDailySummary[Fecha],"&lt;="&amp;TableWeeklySummary[[#This Row],[Hasta]])</f>
        <v>333291.39</v>
      </c>
      <c r="U31" s="12">
        <f ca="1">SUMIFS(TableDailySummary[Ventas google ads],TableDailySummary[Fecha],"&gt;="&amp;TableWeeklySummary[[#This Row],[Desde]],TableDailySummary[Fecha],"&lt;="&amp;TableWeeklySummary[[#This Row],[Hasta]])</f>
        <v>357000</v>
      </c>
      <c r="V31" s="12">
        <f ca="1">SUMIFS(TableDailySummary[Inversión meta ads],TableDailySummary[Fecha],"&gt;="&amp;TableWeeklySummary[[#This Row],[Desde]],TableDailySummary[Fecha],"&lt;="&amp;TableWeeklySummary[[#This Row],[Hasta]])</f>
        <v>580356</v>
      </c>
      <c r="W31" s="12">
        <f ca="1">SUMIFS(TableDailySummary[Ventas meta ads],TableDailySummary[Fecha],"&gt;="&amp;TableWeeklySummary[[#This Row],[Desde]],TableDailySummary[Fecha],"&lt;="&amp;TableWeeklySummary[[#This Row],[Hasta]])</f>
        <v>87000</v>
      </c>
      <c r="X31" s="12">
        <f ca="1">TableWeeklySummary[[#This Row],[Inversión google ads]]+TableWeeklySummary[[#This Row],[Inversión meta ads]]</f>
        <v>913647.39</v>
      </c>
      <c r="Y31" s="12">
        <f ca="1">TableWeeklySummary[[#This Row],[Ventas google ads]]+TableWeeklySummary[[#This Row],[Ventas meta ads]]</f>
        <v>444000</v>
      </c>
      <c r="Z31" s="14">
        <f ca="1">IFERROR(TableWeeklySummary[[#This Row],[Ventas publicidad]]/TableWeeklySummary[[#This Row],[Inversión publicidad]],0)</f>
        <v>0.48596428431760746</v>
      </c>
      <c r="AA31" s="14">
        <f ca="1">IFERROR(TableWeeklySummary[[#This Row],[Ventas primer cliente]]/TableWeeklySummary[[#This Row],[Inversión publicidad]],0)</f>
        <v>11.23749640438419</v>
      </c>
      <c r="AB31" s="14"/>
      <c r="AC31" s="12"/>
      <c r="AI31" s="12">
        <f ca="1">SUMIFS(TableDailySummary[Ventas netas con costo registrado],TableDailySummary[Fecha],"&gt;="&amp;TableWeeklySummary[[#This Row],[Desde]],TableDailySummary[Fecha],"&lt;="&amp;TableWeeklySummary[[#This Row],[Hasta]])</f>
        <v>24312226.879999995</v>
      </c>
      <c r="AJ31" s="12">
        <f ca="1">SUMIFS(TableDailySummary[Costo de ventas registrado],TableDailySummary[Fecha],"&gt;="&amp;TableWeeklySummary[[#This Row],[Desde]],TableDailySummary[Fecha],"&lt;="&amp;TableWeeklySummary[[#This Row],[Hasta]])</f>
        <v>7621122</v>
      </c>
      <c r="AK31" s="12">
        <f ca="1">SUMIFS(TableDailySummary[Utilidad bruta],TableDailySummary[Fecha],"&gt;="&amp;TableWeeklySummary[[#This Row],[Desde]],TableDailySummary[Fecha],"&lt;="&amp;TableWeeklySummary[[#This Row],[Hasta]])</f>
        <v>16691104.880000003</v>
      </c>
      <c r="AL31" s="18">
        <f ca="1">IFERROR(TableWeeklySummary[[#This Row],[Utilidad bruta]]/TableWeeklySummary[[#This Row],[Ventas netas con costo registrado]],0)</f>
        <v>0.68653130634161008</v>
      </c>
    </row>
    <row r="32" spans="2:38" x14ac:dyDescent="0.2">
      <c r="B32" s="16">
        <f ca="1">_xlfn.ISOWEEKNUM(TableWeeklySummary[[#This Row],[Hasta]])</f>
        <v>18</v>
      </c>
      <c r="C32" s="6">
        <f t="shared" ca="1" si="0"/>
        <v>46136</v>
      </c>
      <c r="D32" s="6">
        <f ca="1">TableWeeklySummary[[#This Row],[Desde]]+7-1</f>
        <v>46142</v>
      </c>
      <c r="E32" s="12">
        <f ca="1">SUMIFS(TableDailySummary[Ventas netas totales],TableDailySummary[Fecha],"&gt;="&amp;TableWeeklySummary[[#This Row],[Desde]],TableDailySummary[Fecha],"&lt;="&amp;TableWeeklySummary[[#This Row],[Hasta]])</f>
        <v>27873422.059999999</v>
      </c>
      <c r="F32" s="12">
        <f ca="1">SUMIFS(TableDailySummary[Órdenes totales],TableDailySummary[Fecha],"&gt;="&amp;TableWeeklySummary[[#This Row],[Desde]],TableDailySummary[Fecha],"&lt;="&amp;TableWeeklySummary[[#This Row],[Hasta]])</f>
        <v>195</v>
      </c>
      <c r="G32" s="12">
        <f ca="1">IFERROR(TableWeeklySummary[[#This Row],[Ventas netas totales]]/TableWeeklySummary[[#This Row],[Órdenes totales]],0)</f>
        <v>142940.62594871793</v>
      </c>
      <c r="H3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2" s="12">
        <f ca="1">TableWeeklySummary[[#This Row],[Órden promedio totales]]*TableWeeklySummary[[#This Row],[CR totales]]</f>
        <v>0</v>
      </c>
      <c r="J32" s="12">
        <f ca="1">SUMIFS(TableDailySummary[Ventas primer cliente],TableDailySummary[Fecha],"&gt;="&amp;TableWeeklySummary[[#This Row],[Desde]],TableDailySummary[Fecha],"&lt;="&amp;TableWeeklySummary[[#This Row],[Hasta]])</f>
        <v>9366706.8999999985</v>
      </c>
      <c r="K32" s="12">
        <f ca="1">SUMIFS(TableDailySummary[Órdenes primer cliente],TableDailySummary[Fecha],"&gt;="&amp;TableWeeklySummary[[#This Row],[Desde]],TableDailySummary[Fecha],"&lt;="&amp;TableWeeklySummary[[#This Row],[Hasta]])</f>
        <v>71</v>
      </c>
      <c r="L32" s="12">
        <f ca="1">SUMIFS(TableDailySummary[Online Store_net_sales],TableDailySummary[Fecha],"&gt;="&amp;TableWeeklySummary[[#This Row],[Desde]],TableDailySummary[Fecha],"&lt;="&amp;TableWeeklySummary[[#This Row],[Hasta]])</f>
        <v>7143279.1600000001</v>
      </c>
      <c r="M32" s="12">
        <f ca="1">SUMIFS(TableDailySummary[Online Store_orders],TableDailySummary[Fecha],"&gt;="&amp;TableWeeklySummary[[#This Row],[Desde]],TableDailySummary[Fecha],"&lt;="&amp;TableWeeklySummary[[#This Row],[Hasta]])</f>
        <v>45</v>
      </c>
      <c r="N32" s="12">
        <f ca="1">SUMIFS(TableDailySummary[Tienda 81_net_sales],TableDailySummary[Fecha],"&gt;="&amp;TableWeeklySummary[[#This Row],[Desde]],TableDailySummary[Fecha],"&lt;="&amp;TableWeeklySummary[[#This Row],[Hasta]])</f>
        <v>16784764.710000001</v>
      </c>
      <c r="O32" s="12">
        <f ca="1">SUMIFS(TableDailySummary[Tienda 81_orders],TableDailySummary[Fecha],"&gt;="&amp;TableWeeklySummary[[#This Row],[Desde]],TableDailySummary[Fecha],"&lt;="&amp;TableWeeklySummary[[#This Row],[Hasta]])</f>
        <v>126</v>
      </c>
      <c r="P32" s="12">
        <f ca="1">SUMIFS(TableDailySummary[Rappi_net_sales],TableDailySummary[Fecha],"&gt;="&amp;TableWeeklySummary[[#This Row],[Desde]],TableDailySummary[Fecha],"&lt;="&amp;TableWeeklySummary[[#This Row],[Hasta]])</f>
        <v>155462.19</v>
      </c>
      <c r="Q32" s="12">
        <f ca="1">SUMIFS(TableDailySummary[Rappi_orders],TableDailySummary[Fecha],"&gt;="&amp;TableWeeklySummary[[#This Row],[Desde]],TableDailySummary[Fecha],"&lt;="&amp;TableWeeklySummary[[#This Row],[Hasta]])</f>
        <v>2</v>
      </c>
      <c r="R3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2" s="12">
        <f ca="1">SUMIFS(TableDailySummary[Inversión google ads],TableDailySummary[Fecha],"&gt;="&amp;TableWeeklySummary[[#This Row],[Desde]],TableDailySummary[Fecha],"&lt;="&amp;TableWeeklySummary[[#This Row],[Hasta]])</f>
        <v>235842.95</v>
      </c>
      <c r="U32" s="12">
        <f ca="1">SUMIFS(TableDailySummary[Ventas google ads],TableDailySummary[Fecha],"&gt;="&amp;TableWeeklySummary[[#This Row],[Desde]],TableDailySummary[Fecha],"&lt;="&amp;TableWeeklySummary[[#This Row],[Hasta]])</f>
        <v>875000</v>
      </c>
      <c r="V32" s="12">
        <f ca="1">SUMIFS(TableDailySummary[Inversión meta ads],TableDailySummary[Fecha],"&gt;="&amp;TableWeeklySummary[[#This Row],[Desde]],TableDailySummary[Fecha],"&lt;="&amp;TableWeeklySummary[[#This Row],[Hasta]])</f>
        <v>876641</v>
      </c>
      <c r="W32" s="12">
        <f ca="1">SUMIFS(TableDailySummary[Ventas meta ads],TableDailySummary[Fecha],"&gt;="&amp;TableWeeklySummary[[#This Row],[Desde]],TableDailySummary[Fecha],"&lt;="&amp;TableWeeklySummary[[#This Row],[Hasta]])</f>
        <v>713000</v>
      </c>
      <c r="X32" s="12">
        <f ca="1">TableWeeklySummary[[#This Row],[Inversión google ads]]+TableWeeklySummary[[#This Row],[Inversión meta ads]]</f>
        <v>1112483.95</v>
      </c>
      <c r="Y32" s="12">
        <f ca="1">TableWeeklySummary[[#This Row],[Ventas google ads]]+TableWeeklySummary[[#This Row],[Ventas meta ads]]</f>
        <v>1588000</v>
      </c>
      <c r="Z32" s="14">
        <f ca="1">IFERROR(TableWeeklySummary[[#This Row],[Ventas publicidad]]/TableWeeklySummary[[#This Row],[Inversión publicidad]],0)</f>
        <v>1.4274363239128081</v>
      </c>
      <c r="AA32" s="14">
        <f ca="1">IFERROR(TableWeeklySummary[[#This Row],[Ventas primer cliente]]/TableWeeklySummary[[#This Row],[Inversión publicidad]],0)</f>
        <v>8.4196332899903847</v>
      </c>
      <c r="AB32" s="14"/>
      <c r="AC32" s="12"/>
      <c r="AI32" s="12">
        <f ca="1">SUMIFS(TableDailySummary[Ventas netas con costo registrado],TableDailySummary[Fecha],"&gt;="&amp;TableWeeklySummary[[#This Row],[Desde]],TableDailySummary[Fecha],"&lt;="&amp;TableWeeklySummary[[#This Row],[Hasta]])</f>
        <v>26907142.91</v>
      </c>
      <c r="AJ32" s="12">
        <f ca="1">SUMIFS(TableDailySummary[Costo de ventas registrado],TableDailySummary[Fecha],"&gt;="&amp;TableWeeklySummary[[#This Row],[Desde]],TableDailySummary[Fecha],"&lt;="&amp;TableWeeklySummary[[#This Row],[Hasta]])</f>
        <v>8016681</v>
      </c>
      <c r="AK32" s="12">
        <f ca="1">SUMIFS(TableDailySummary[Utilidad bruta],TableDailySummary[Fecha],"&gt;="&amp;TableWeeklySummary[[#This Row],[Desde]],TableDailySummary[Fecha],"&lt;="&amp;TableWeeklySummary[[#This Row],[Hasta]])</f>
        <v>18890461.91</v>
      </c>
      <c r="AL32" s="18">
        <f ca="1">IFERROR(TableWeeklySummary[[#This Row],[Utilidad bruta]]/TableWeeklySummary[[#This Row],[Ventas netas con costo registrado]],0)</f>
        <v>0.70206123233468198</v>
      </c>
    </row>
    <row r="33" spans="2:38" x14ac:dyDescent="0.2">
      <c r="B33" s="16">
        <f ca="1">_xlfn.ISOWEEKNUM(TableWeeklySummary[[#This Row],[Hasta]])</f>
        <v>19</v>
      </c>
      <c r="C33" s="6">
        <f t="shared" ca="1" si="0"/>
        <v>46143</v>
      </c>
      <c r="D33" s="6">
        <f ca="1">TableWeeklySummary[[#This Row],[Desde]]+7-1</f>
        <v>46149</v>
      </c>
      <c r="E33" s="12">
        <f ca="1">SUMIFS(TableDailySummary[Ventas netas totales],TableDailySummary[Fecha],"&gt;="&amp;TableWeeklySummary[[#This Row],[Desde]],TableDailySummary[Fecha],"&lt;="&amp;TableWeeklySummary[[#This Row],[Hasta]])</f>
        <v>10341277.4</v>
      </c>
      <c r="F33" s="12">
        <f ca="1">SUMIFS(TableDailySummary[Órdenes totales],TableDailySummary[Fecha],"&gt;="&amp;TableWeeklySummary[[#This Row],[Desde]],TableDailySummary[Fecha],"&lt;="&amp;TableWeeklySummary[[#This Row],[Hasta]])</f>
        <v>80</v>
      </c>
      <c r="G33" s="12">
        <f ca="1">IFERROR(TableWeeklySummary[[#This Row],[Ventas netas totales]]/TableWeeklySummary[[#This Row],[Órdenes totales]],0)</f>
        <v>129265.9675</v>
      </c>
      <c r="H3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3" s="12">
        <f ca="1">TableWeeklySummary[[#This Row],[Órden promedio totales]]*TableWeeklySummary[[#This Row],[CR totales]]</f>
        <v>0</v>
      </c>
      <c r="J33" s="12">
        <f ca="1">SUMIFS(TableDailySummary[Ventas primer cliente],TableDailySummary[Fecha],"&gt;="&amp;TableWeeklySummary[[#This Row],[Desde]],TableDailySummary[Fecha],"&lt;="&amp;TableWeeklySummary[[#This Row],[Hasta]])</f>
        <v>8639596.7200000007</v>
      </c>
      <c r="K33" s="12">
        <f ca="1">SUMIFS(TableDailySummary[Órdenes primer cliente],TableDailySummary[Fecha],"&gt;="&amp;TableWeeklySummary[[#This Row],[Desde]],TableDailySummary[Fecha],"&lt;="&amp;TableWeeklySummary[[#This Row],[Hasta]])</f>
        <v>59</v>
      </c>
      <c r="L33" s="12">
        <f ca="1">SUMIFS(TableDailySummary[Online Store_net_sales],TableDailySummary[Fecha],"&gt;="&amp;TableWeeklySummary[[#This Row],[Desde]],TableDailySummary[Fecha],"&lt;="&amp;TableWeeklySummary[[#This Row],[Hasta]])</f>
        <v>1067226.8899999999</v>
      </c>
      <c r="M33" s="12">
        <f ca="1">SUMIFS(TableDailySummary[Online Store_orders],TableDailySummary[Fecha],"&gt;="&amp;TableWeeklySummary[[#This Row],[Desde]],TableDailySummary[Fecha],"&lt;="&amp;TableWeeklySummary[[#This Row],[Hasta]])</f>
        <v>6</v>
      </c>
      <c r="N33" s="12">
        <f ca="1">SUMIFS(TableDailySummary[Tienda 81_net_sales],TableDailySummary[Fecha],"&gt;="&amp;TableWeeklySummary[[#This Row],[Desde]],TableDailySummary[Fecha],"&lt;="&amp;TableWeeklySummary[[#This Row],[Hasta]])</f>
        <v>4068168.08</v>
      </c>
      <c r="O33" s="12">
        <f ca="1">SUMIFS(TableDailySummary[Tienda 81_orders],TableDailySummary[Fecha],"&gt;="&amp;TableWeeklySummary[[#This Row],[Desde]],TableDailySummary[Fecha],"&lt;="&amp;TableWeeklySummary[[#This Row],[Hasta]])</f>
        <v>15</v>
      </c>
      <c r="P33" s="12">
        <f ca="1">SUMIFS(TableDailySummary[Rappi_net_sales],TableDailySummary[Fecha],"&gt;="&amp;TableWeeklySummary[[#This Row],[Desde]],TableDailySummary[Fecha],"&lt;="&amp;TableWeeklySummary[[#This Row],[Hasta]])</f>
        <v>0</v>
      </c>
      <c r="Q33" s="12">
        <f ca="1">SUMIFS(TableDailySummary[Rappi_orders],TableDailySummary[Fecha],"&gt;="&amp;TableWeeklySummary[[#This Row],[Desde]],TableDailySummary[Fecha],"&lt;="&amp;TableWeeklySummary[[#This Row],[Hasta]])</f>
        <v>0</v>
      </c>
      <c r="R3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3" s="12">
        <f ca="1">SUMIFS(TableDailySummary[Inversión google ads],TableDailySummary[Fecha],"&gt;="&amp;TableWeeklySummary[[#This Row],[Desde]],TableDailySummary[Fecha],"&lt;="&amp;TableWeeklySummary[[#This Row],[Hasta]])</f>
        <v>21305.96</v>
      </c>
      <c r="U33" s="12">
        <f ca="1">SUMIFS(TableDailySummary[Ventas google ads],TableDailySummary[Fecha],"&gt;="&amp;TableWeeklySummary[[#This Row],[Desde]],TableDailySummary[Fecha],"&lt;="&amp;TableWeeklySummary[[#This Row],[Hasta]])</f>
        <v>414000</v>
      </c>
      <c r="V33" s="12">
        <f ca="1">SUMIFS(TableDailySummary[Inversión meta ads],TableDailySummary[Fecha],"&gt;="&amp;TableWeeklySummary[[#This Row],[Desde]],TableDailySummary[Fecha],"&lt;="&amp;TableWeeklySummary[[#This Row],[Hasta]])</f>
        <v>119912</v>
      </c>
      <c r="W33" s="12">
        <f ca="1">SUMIFS(TableDailySummary[Ventas meta ads],TableDailySummary[Fecha],"&gt;="&amp;TableWeeklySummary[[#This Row],[Desde]],TableDailySummary[Fecha],"&lt;="&amp;TableWeeklySummary[[#This Row],[Hasta]])</f>
        <v>232000</v>
      </c>
      <c r="X33" s="12">
        <f ca="1">TableWeeklySummary[[#This Row],[Inversión google ads]]+TableWeeklySummary[[#This Row],[Inversión meta ads]]</f>
        <v>141217.96</v>
      </c>
      <c r="Y33" s="12">
        <f ca="1">TableWeeklySummary[[#This Row],[Ventas google ads]]+TableWeeklySummary[[#This Row],[Ventas meta ads]]</f>
        <v>646000</v>
      </c>
      <c r="Z33" s="14">
        <f ca="1">IFERROR(TableWeeklySummary[[#This Row],[Ventas publicidad]]/TableWeeklySummary[[#This Row],[Inversión publicidad]],0)</f>
        <v>4.5744889672673361</v>
      </c>
      <c r="AA33" s="14">
        <f ca="1">IFERROR(TableWeeklySummary[[#This Row],[Ventas primer cliente]]/TableWeeklySummary[[#This Row],[Inversión publicidad]],0)</f>
        <v>61.17916389671683</v>
      </c>
      <c r="AB33" s="14"/>
      <c r="AC33" s="12"/>
      <c r="AI33" s="12">
        <f ca="1">SUMIFS(TableDailySummary[Ventas netas con costo registrado],TableDailySummary[Fecha],"&gt;="&amp;TableWeeklySummary[[#This Row],[Desde]],TableDailySummary[Fecha],"&lt;="&amp;TableWeeklySummary[[#This Row],[Hasta]])</f>
        <v>10341277.4</v>
      </c>
      <c r="AJ33" s="12">
        <f ca="1">SUMIFS(TableDailySummary[Costo de ventas registrado],TableDailySummary[Fecha],"&gt;="&amp;TableWeeklySummary[[#This Row],[Desde]],TableDailySummary[Fecha],"&lt;="&amp;TableWeeklySummary[[#This Row],[Hasta]])</f>
        <v>3818840</v>
      </c>
      <c r="AK33" s="12">
        <f ca="1">SUMIFS(TableDailySummary[Utilidad bruta],TableDailySummary[Fecha],"&gt;="&amp;TableWeeklySummary[[#This Row],[Desde]],TableDailySummary[Fecha],"&lt;="&amp;TableWeeklySummary[[#This Row],[Hasta]])</f>
        <v>6522437.4000000004</v>
      </c>
      <c r="AL33" s="18">
        <f ca="1">IFERROR(TableWeeklySummary[[#This Row],[Utilidad bruta]]/TableWeeklySummary[[#This Row],[Ventas netas con costo registrado]],0)</f>
        <v>0.63071873499883102</v>
      </c>
    </row>
    <row r="34" spans="2:38" x14ac:dyDescent="0.2">
      <c r="B34" s="16">
        <f ca="1">_xlfn.ISOWEEKNUM(TableWeeklySummary[[#This Row],[Hasta]])</f>
        <v>20</v>
      </c>
      <c r="C34" s="6">
        <f t="shared" ca="1" si="0"/>
        <v>46150</v>
      </c>
      <c r="D34" s="6">
        <f ca="1">TableWeeklySummary[[#This Row],[Desde]]+7-1</f>
        <v>46156</v>
      </c>
      <c r="E34" s="12">
        <f ca="1">SUMIFS(TableDailySummary[Ventas netas totales],TableDailySummary[Fecha],"&gt;="&amp;TableWeeklySummary[[#This Row],[Desde]],TableDailySummary[Fecha],"&lt;="&amp;TableWeeklySummary[[#This Row],[Hasta]])</f>
        <v>0</v>
      </c>
      <c r="F34" s="12">
        <f ca="1">SUMIFS(TableDailySummary[Órdenes totales],TableDailySummary[Fecha],"&gt;="&amp;TableWeeklySummary[[#This Row],[Desde]],TableDailySummary[Fecha],"&lt;="&amp;TableWeeklySummary[[#This Row],[Hasta]])</f>
        <v>0</v>
      </c>
      <c r="G34" s="12">
        <f ca="1">IFERROR(TableWeeklySummary[[#This Row],[Ventas netas totales]]/TableWeeklySummary[[#This Row],[Órdenes totales]],0)</f>
        <v>0</v>
      </c>
      <c r="H3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4" s="12">
        <f ca="1">TableWeeklySummary[[#This Row],[Órden promedio totales]]*TableWeeklySummary[[#This Row],[CR totales]]</f>
        <v>0</v>
      </c>
      <c r="J34" s="12">
        <f ca="1">SUMIFS(TableDailySummary[Ventas primer cliente],TableDailySummary[Fecha],"&gt;="&amp;TableWeeklySummary[[#This Row],[Desde]],TableDailySummary[Fecha],"&lt;="&amp;TableWeeklySummary[[#This Row],[Hasta]])</f>
        <v>0</v>
      </c>
      <c r="K34" s="12">
        <f ca="1">SUMIFS(TableDailySummary[Órdenes primer cliente],TableDailySummary[Fecha],"&gt;="&amp;TableWeeklySummary[[#This Row],[Desde]],TableDailySummary[Fecha],"&lt;="&amp;TableWeeklySummary[[#This Row],[Hasta]])</f>
        <v>0</v>
      </c>
      <c r="L34" s="12">
        <f ca="1">SUMIFS(TableDailySummary[Online Store_net_sales],TableDailySummary[Fecha],"&gt;="&amp;TableWeeklySummary[[#This Row],[Desde]],TableDailySummary[Fecha],"&lt;="&amp;TableWeeklySummary[[#This Row],[Hasta]])</f>
        <v>0</v>
      </c>
      <c r="M34" s="12">
        <f ca="1">SUMIFS(TableDailySummary[Online Store_orders],TableDailySummary[Fecha],"&gt;="&amp;TableWeeklySummary[[#This Row],[Desde]],TableDailySummary[Fecha],"&lt;="&amp;TableWeeklySummary[[#This Row],[Hasta]])</f>
        <v>0</v>
      </c>
      <c r="N34" s="12">
        <f ca="1">SUMIFS(TableDailySummary[Tienda 81_net_sales],TableDailySummary[Fecha],"&gt;="&amp;TableWeeklySummary[[#This Row],[Desde]],TableDailySummary[Fecha],"&lt;="&amp;TableWeeklySummary[[#This Row],[Hasta]])</f>
        <v>0</v>
      </c>
      <c r="O34" s="12">
        <f ca="1">SUMIFS(TableDailySummary[Tienda 81_orders],TableDailySummary[Fecha],"&gt;="&amp;TableWeeklySummary[[#This Row],[Desde]],TableDailySummary[Fecha],"&lt;="&amp;TableWeeklySummary[[#This Row],[Hasta]])</f>
        <v>0</v>
      </c>
      <c r="P34" s="12">
        <f ca="1">SUMIFS(TableDailySummary[Rappi_net_sales],TableDailySummary[Fecha],"&gt;="&amp;TableWeeklySummary[[#This Row],[Desde]],TableDailySummary[Fecha],"&lt;="&amp;TableWeeklySummary[[#This Row],[Hasta]])</f>
        <v>0</v>
      </c>
      <c r="Q34" s="12">
        <f ca="1">SUMIFS(TableDailySummary[Rappi_orders],TableDailySummary[Fecha],"&gt;="&amp;TableWeeklySummary[[#This Row],[Desde]],TableDailySummary[Fecha],"&lt;="&amp;TableWeeklySummary[[#This Row],[Hasta]])</f>
        <v>0</v>
      </c>
      <c r="R3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4" s="12">
        <f ca="1">SUMIFS(TableDailySummary[Inversión google ads],TableDailySummary[Fecha],"&gt;="&amp;TableWeeklySummary[[#This Row],[Desde]],TableDailySummary[Fecha],"&lt;="&amp;TableWeeklySummary[[#This Row],[Hasta]])</f>
        <v>0</v>
      </c>
      <c r="U34" s="12">
        <f ca="1">SUMIFS(TableDailySummary[Ventas google ads],TableDailySummary[Fecha],"&gt;="&amp;TableWeeklySummary[[#This Row],[Desde]],TableDailySummary[Fecha],"&lt;="&amp;TableWeeklySummary[[#This Row],[Hasta]])</f>
        <v>0</v>
      </c>
      <c r="V34" s="12">
        <f ca="1">SUMIFS(TableDailySummary[Inversión meta ads],TableDailySummary[Fecha],"&gt;="&amp;TableWeeklySummary[[#This Row],[Desde]],TableDailySummary[Fecha],"&lt;="&amp;TableWeeklySummary[[#This Row],[Hasta]])</f>
        <v>0</v>
      </c>
      <c r="W34" s="12">
        <f ca="1">SUMIFS(TableDailySummary[Ventas meta ads],TableDailySummary[Fecha],"&gt;="&amp;TableWeeklySummary[[#This Row],[Desde]],TableDailySummary[Fecha],"&lt;="&amp;TableWeeklySummary[[#This Row],[Hasta]])</f>
        <v>0</v>
      </c>
      <c r="X34" s="12">
        <f ca="1">TableWeeklySummary[[#This Row],[Inversión google ads]]+TableWeeklySummary[[#This Row],[Inversión meta ads]]</f>
        <v>0</v>
      </c>
      <c r="Y34" s="12">
        <f ca="1">TableWeeklySummary[[#This Row],[Ventas google ads]]+TableWeeklySummary[[#This Row],[Ventas meta ads]]</f>
        <v>0</v>
      </c>
      <c r="Z34" s="14">
        <f ca="1">IFERROR(TableWeeklySummary[[#This Row],[Ventas publicidad]]/TableWeeklySummary[[#This Row],[Inversión publicidad]],0)</f>
        <v>0</v>
      </c>
      <c r="AA34" s="14">
        <f ca="1">IFERROR(TableWeeklySummary[[#This Row],[Ventas primer cliente]]/TableWeeklySummary[[#This Row],[Inversión publicidad]],0)</f>
        <v>0</v>
      </c>
      <c r="AB34" s="14"/>
      <c r="AC34" s="12"/>
      <c r="AI3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4" s="12">
        <f ca="1">SUMIFS(TableDailySummary[Utilidad bruta],TableDailySummary[Fecha],"&gt;="&amp;TableWeeklySummary[[#This Row],[Desde]],TableDailySummary[Fecha],"&lt;="&amp;TableWeeklySummary[[#This Row],[Hasta]])</f>
        <v>0</v>
      </c>
      <c r="AL34" s="18">
        <f ca="1">IFERROR(TableWeeklySummary[[#This Row],[Utilidad bruta]]/TableWeeklySummary[[#This Row],[Ventas netas con costo registrado]],0)</f>
        <v>0</v>
      </c>
    </row>
    <row r="35" spans="2:38" x14ac:dyDescent="0.2">
      <c r="B35" s="16">
        <f ca="1">_xlfn.ISOWEEKNUM(TableWeeklySummary[[#This Row],[Hasta]])</f>
        <v>21</v>
      </c>
      <c r="C35" s="6">
        <f t="shared" ca="1" si="0"/>
        <v>46157</v>
      </c>
      <c r="D35" s="6">
        <f ca="1">TableWeeklySummary[[#This Row],[Desde]]+7-1</f>
        <v>46163</v>
      </c>
      <c r="E35" s="12">
        <f ca="1">SUMIFS(TableDailySummary[Ventas netas totales],TableDailySummary[Fecha],"&gt;="&amp;TableWeeklySummary[[#This Row],[Desde]],TableDailySummary[Fecha],"&lt;="&amp;TableWeeklySummary[[#This Row],[Hasta]])</f>
        <v>0</v>
      </c>
      <c r="F35" s="12">
        <f ca="1">SUMIFS(TableDailySummary[Órdenes totales],TableDailySummary[Fecha],"&gt;="&amp;TableWeeklySummary[[#This Row],[Desde]],TableDailySummary[Fecha],"&lt;="&amp;TableWeeklySummary[[#This Row],[Hasta]])</f>
        <v>0</v>
      </c>
      <c r="G35" s="12">
        <f ca="1">IFERROR(TableWeeklySummary[[#This Row],[Ventas netas totales]]/TableWeeklySummary[[#This Row],[Órdenes totales]],0)</f>
        <v>0</v>
      </c>
      <c r="H3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5" s="12">
        <f ca="1">TableWeeklySummary[[#This Row],[Órden promedio totales]]*TableWeeklySummary[[#This Row],[CR totales]]</f>
        <v>0</v>
      </c>
      <c r="J35" s="12">
        <f ca="1">SUMIFS(TableDailySummary[Ventas primer cliente],TableDailySummary[Fecha],"&gt;="&amp;TableWeeklySummary[[#This Row],[Desde]],TableDailySummary[Fecha],"&lt;="&amp;TableWeeklySummary[[#This Row],[Hasta]])</f>
        <v>0</v>
      </c>
      <c r="K35" s="12">
        <f ca="1">SUMIFS(TableDailySummary[Órdenes primer cliente],TableDailySummary[Fecha],"&gt;="&amp;TableWeeklySummary[[#This Row],[Desde]],TableDailySummary[Fecha],"&lt;="&amp;TableWeeklySummary[[#This Row],[Hasta]])</f>
        <v>0</v>
      </c>
      <c r="L35" s="12">
        <f ca="1">SUMIFS(TableDailySummary[Online Store_net_sales],TableDailySummary[Fecha],"&gt;="&amp;TableWeeklySummary[[#This Row],[Desde]],TableDailySummary[Fecha],"&lt;="&amp;TableWeeklySummary[[#This Row],[Hasta]])</f>
        <v>0</v>
      </c>
      <c r="M35" s="12">
        <f ca="1">SUMIFS(TableDailySummary[Online Store_orders],TableDailySummary[Fecha],"&gt;="&amp;TableWeeklySummary[[#This Row],[Desde]],TableDailySummary[Fecha],"&lt;="&amp;TableWeeklySummary[[#This Row],[Hasta]])</f>
        <v>0</v>
      </c>
      <c r="N35" s="12">
        <f ca="1">SUMIFS(TableDailySummary[Tienda 81_net_sales],TableDailySummary[Fecha],"&gt;="&amp;TableWeeklySummary[[#This Row],[Desde]],TableDailySummary[Fecha],"&lt;="&amp;TableWeeklySummary[[#This Row],[Hasta]])</f>
        <v>0</v>
      </c>
      <c r="O35" s="12">
        <f ca="1">SUMIFS(TableDailySummary[Tienda 81_orders],TableDailySummary[Fecha],"&gt;="&amp;TableWeeklySummary[[#This Row],[Desde]],TableDailySummary[Fecha],"&lt;="&amp;TableWeeklySummary[[#This Row],[Hasta]])</f>
        <v>0</v>
      </c>
      <c r="P35" s="12">
        <f ca="1">SUMIFS(TableDailySummary[Rappi_net_sales],TableDailySummary[Fecha],"&gt;="&amp;TableWeeklySummary[[#This Row],[Desde]],TableDailySummary[Fecha],"&lt;="&amp;TableWeeklySummary[[#This Row],[Hasta]])</f>
        <v>0</v>
      </c>
      <c r="Q35" s="12">
        <f ca="1">SUMIFS(TableDailySummary[Rappi_orders],TableDailySummary[Fecha],"&gt;="&amp;TableWeeklySummary[[#This Row],[Desde]],TableDailySummary[Fecha],"&lt;="&amp;TableWeeklySummary[[#This Row],[Hasta]])</f>
        <v>0</v>
      </c>
      <c r="R3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5" s="12">
        <f ca="1">SUMIFS(TableDailySummary[Inversión google ads],TableDailySummary[Fecha],"&gt;="&amp;TableWeeklySummary[[#This Row],[Desde]],TableDailySummary[Fecha],"&lt;="&amp;TableWeeklySummary[[#This Row],[Hasta]])</f>
        <v>0</v>
      </c>
      <c r="U35" s="12">
        <f ca="1">SUMIFS(TableDailySummary[Ventas google ads],TableDailySummary[Fecha],"&gt;="&amp;TableWeeklySummary[[#This Row],[Desde]],TableDailySummary[Fecha],"&lt;="&amp;TableWeeklySummary[[#This Row],[Hasta]])</f>
        <v>0</v>
      </c>
      <c r="V35" s="12">
        <f ca="1">SUMIFS(TableDailySummary[Inversión meta ads],TableDailySummary[Fecha],"&gt;="&amp;TableWeeklySummary[[#This Row],[Desde]],TableDailySummary[Fecha],"&lt;="&amp;TableWeeklySummary[[#This Row],[Hasta]])</f>
        <v>0</v>
      </c>
      <c r="W35" s="12">
        <f ca="1">SUMIFS(TableDailySummary[Ventas meta ads],TableDailySummary[Fecha],"&gt;="&amp;TableWeeklySummary[[#This Row],[Desde]],TableDailySummary[Fecha],"&lt;="&amp;TableWeeklySummary[[#This Row],[Hasta]])</f>
        <v>0</v>
      </c>
      <c r="X35" s="12">
        <f ca="1">TableWeeklySummary[[#This Row],[Inversión google ads]]+TableWeeklySummary[[#This Row],[Inversión meta ads]]</f>
        <v>0</v>
      </c>
      <c r="Y35" s="12">
        <f ca="1">TableWeeklySummary[[#This Row],[Ventas google ads]]+TableWeeklySummary[[#This Row],[Ventas meta ads]]</f>
        <v>0</v>
      </c>
      <c r="Z35" s="14">
        <f ca="1">IFERROR(TableWeeklySummary[[#This Row],[Ventas publicidad]]/TableWeeklySummary[[#This Row],[Inversión publicidad]],0)</f>
        <v>0</v>
      </c>
      <c r="AA35" s="14">
        <f ca="1">IFERROR(TableWeeklySummary[[#This Row],[Ventas primer cliente]]/TableWeeklySummary[[#This Row],[Inversión publicidad]],0)</f>
        <v>0</v>
      </c>
      <c r="AB35" s="14"/>
      <c r="AC35" s="12"/>
      <c r="AI3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5" s="12">
        <f ca="1">SUMIFS(TableDailySummary[Utilidad bruta],TableDailySummary[Fecha],"&gt;="&amp;TableWeeklySummary[[#This Row],[Desde]],TableDailySummary[Fecha],"&lt;="&amp;TableWeeklySummary[[#This Row],[Hasta]])</f>
        <v>0</v>
      </c>
      <c r="AL35" s="18">
        <f ca="1">IFERROR(TableWeeklySummary[[#This Row],[Utilidad bruta]]/TableWeeklySummary[[#This Row],[Ventas netas con costo registrado]],0)</f>
        <v>0</v>
      </c>
    </row>
    <row r="36" spans="2:38" x14ac:dyDescent="0.2">
      <c r="B36" s="16">
        <f ca="1">_xlfn.ISOWEEKNUM(TableWeeklySummary[[#This Row],[Hasta]])</f>
        <v>22</v>
      </c>
      <c r="C36" s="6">
        <f t="shared" ca="1" si="0"/>
        <v>46164</v>
      </c>
      <c r="D36" s="6">
        <f ca="1">TableWeeklySummary[[#This Row],[Desde]]+7-1</f>
        <v>46170</v>
      </c>
      <c r="E36" s="12">
        <f ca="1">SUMIFS(TableDailySummary[Ventas netas totales],TableDailySummary[Fecha],"&gt;="&amp;TableWeeklySummary[[#This Row],[Desde]],TableDailySummary[Fecha],"&lt;="&amp;TableWeeklySummary[[#This Row],[Hasta]])</f>
        <v>0</v>
      </c>
      <c r="F36" s="12">
        <f ca="1">SUMIFS(TableDailySummary[Órdenes totales],TableDailySummary[Fecha],"&gt;="&amp;TableWeeklySummary[[#This Row],[Desde]],TableDailySummary[Fecha],"&lt;="&amp;TableWeeklySummary[[#This Row],[Hasta]])</f>
        <v>0</v>
      </c>
      <c r="G36" s="12">
        <f ca="1">IFERROR(TableWeeklySummary[[#This Row],[Ventas netas totales]]/TableWeeklySummary[[#This Row],[Órdenes totales]],0)</f>
        <v>0</v>
      </c>
      <c r="H3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6" s="12">
        <f ca="1">TableWeeklySummary[[#This Row],[Órden promedio totales]]*TableWeeklySummary[[#This Row],[CR totales]]</f>
        <v>0</v>
      </c>
      <c r="J36" s="12">
        <f ca="1">SUMIFS(TableDailySummary[Ventas primer cliente],TableDailySummary[Fecha],"&gt;="&amp;TableWeeklySummary[[#This Row],[Desde]],TableDailySummary[Fecha],"&lt;="&amp;TableWeeklySummary[[#This Row],[Hasta]])</f>
        <v>0</v>
      </c>
      <c r="K36" s="12">
        <f ca="1">SUMIFS(TableDailySummary[Órdenes primer cliente],TableDailySummary[Fecha],"&gt;="&amp;TableWeeklySummary[[#This Row],[Desde]],TableDailySummary[Fecha],"&lt;="&amp;TableWeeklySummary[[#This Row],[Hasta]])</f>
        <v>0</v>
      </c>
      <c r="L36" s="12">
        <f ca="1">SUMIFS(TableDailySummary[Online Store_net_sales],TableDailySummary[Fecha],"&gt;="&amp;TableWeeklySummary[[#This Row],[Desde]],TableDailySummary[Fecha],"&lt;="&amp;TableWeeklySummary[[#This Row],[Hasta]])</f>
        <v>0</v>
      </c>
      <c r="M36" s="12">
        <f ca="1">SUMIFS(TableDailySummary[Online Store_orders],TableDailySummary[Fecha],"&gt;="&amp;TableWeeklySummary[[#This Row],[Desde]],TableDailySummary[Fecha],"&lt;="&amp;TableWeeklySummary[[#This Row],[Hasta]])</f>
        <v>0</v>
      </c>
      <c r="N36" s="12">
        <f ca="1">SUMIFS(TableDailySummary[Tienda 81_net_sales],TableDailySummary[Fecha],"&gt;="&amp;TableWeeklySummary[[#This Row],[Desde]],TableDailySummary[Fecha],"&lt;="&amp;TableWeeklySummary[[#This Row],[Hasta]])</f>
        <v>0</v>
      </c>
      <c r="O36" s="12">
        <f ca="1">SUMIFS(TableDailySummary[Tienda 81_orders],TableDailySummary[Fecha],"&gt;="&amp;TableWeeklySummary[[#This Row],[Desde]],TableDailySummary[Fecha],"&lt;="&amp;TableWeeklySummary[[#This Row],[Hasta]])</f>
        <v>0</v>
      </c>
      <c r="P36" s="12">
        <f ca="1">SUMIFS(TableDailySummary[Rappi_net_sales],TableDailySummary[Fecha],"&gt;="&amp;TableWeeklySummary[[#This Row],[Desde]],TableDailySummary[Fecha],"&lt;="&amp;TableWeeklySummary[[#This Row],[Hasta]])</f>
        <v>0</v>
      </c>
      <c r="Q36" s="12">
        <f ca="1">SUMIFS(TableDailySummary[Rappi_orders],TableDailySummary[Fecha],"&gt;="&amp;TableWeeklySummary[[#This Row],[Desde]],TableDailySummary[Fecha],"&lt;="&amp;TableWeeklySummary[[#This Row],[Hasta]])</f>
        <v>0</v>
      </c>
      <c r="R3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6" s="12">
        <f ca="1">SUMIFS(TableDailySummary[Inversión google ads],TableDailySummary[Fecha],"&gt;="&amp;TableWeeklySummary[[#This Row],[Desde]],TableDailySummary[Fecha],"&lt;="&amp;TableWeeklySummary[[#This Row],[Hasta]])</f>
        <v>0</v>
      </c>
      <c r="U36" s="12">
        <f ca="1">SUMIFS(TableDailySummary[Ventas google ads],TableDailySummary[Fecha],"&gt;="&amp;TableWeeklySummary[[#This Row],[Desde]],TableDailySummary[Fecha],"&lt;="&amp;TableWeeklySummary[[#This Row],[Hasta]])</f>
        <v>0</v>
      </c>
      <c r="V36" s="12">
        <f ca="1">SUMIFS(TableDailySummary[Inversión meta ads],TableDailySummary[Fecha],"&gt;="&amp;TableWeeklySummary[[#This Row],[Desde]],TableDailySummary[Fecha],"&lt;="&amp;TableWeeklySummary[[#This Row],[Hasta]])</f>
        <v>0</v>
      </c>
      <c r="W36" s="12">
        <f ca="1">SUMIFS(TableDailySummary[Ventas meta ads],TableDailySummary[Fecha],"&gt;="&amp;TableWeeklySummary[[#This Row],[Desde]],TableDailySummary[Fecha],"&lt;="&amp;TableWeeklySummary[[#This Row],[Hasta]])</f>
        <v>0</v>
      </c>
      <c r="X36" s="12">
        <f ca="1">TableWeeklySummary[[#This Row],[Inversión google ads]]+TableWeeklySummary[[#This Row],[Inversión meta ads]]</f>
        <v>0</v>
      </c>
      <c r="Y36" s="12">
        <f ca="1">TableWeeklySummary[[#This Row],[Ventas google ads]]+TableWeeklySummary[[#This Row],[Ventas meta ads]]</f>
        <v>0</v>
      </c>
      <c r="Z36" s="14">
        <f ca="1">IFERROR(TableWeeklySummary[[#This Row],[Ventas publicidad]]/TableWeeklySummary[[#This Row],[Inversión publicidad]],0)</f>
        <v>0</v>
      </c>
      <c r="AA36" s="14">
        <f ca="1">IFERROR(TableWeeklySummary[[#This Row],[Ventas primer cliente]]/TableWeeklySummary[[#This Row],[Inversión publicidad]],0)</f>
        <v>0</v>
      </c>
      <c r="AB36" s="14"/>
      <c r="AC36" s="12"/>
      <c r="AI3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6" s="12">
        <f ca="1">SUMIFS(TableDailySummary[Utilidad bruta],TableDailySummary[Fecha],"&gt;="&amp;TableWeeklySummary[[#This Row],[Desde]],TableDailySummary[Fecha],"&lt;="&amp;TableWeeklySummary[[#This Row],[Hasta]])</f>
        <v>0</v>
      </c>
      <c r="AL36" s="18">
        <f ca="1">IFERROR(TableWeeklySummary[[#This Row],[Utilidad bruta]]/TableWeeklySummary[[#This Row],[Ventas netas con costo registrado]],0)</f>
        <v>0</v>
      </c>
    </row>
    <row r="37" spans="2:38" x14ac:dyDescent="0.2">
      <c r="B37" s="16">
        <f ca="1">_xlfn.ISOWEEKNUM(TableWeeklySummary[[#This Row],[Hasta]])</f>
        <v>23</v>
      </c>
      <c r="C37" s="6">
        <f t="shared" ca="1" si="0"/>
        <v>46171</v>
      </c>
      <c r="D37" s="6">
        <f ca="1">TableWeeklySummary[[#This Row],[Desde]]+7-1</f>
        <v>46177</v>
      </c>
      <c r="E37" s="12">
        <f ca="1">SUMIFS(TableDailySummary[Ventas netas totales],TableDailySummary[Fecha],"&gt;="&amp;TableWeeklySummary[[#This Row],[Desde]],TableDailySummary[Fecha],"&lt;="&amp;TableWeeklySummary[[#This Row],[Hasta]])</f>
        <v>0</v>
      </c>
      <c r="F37" s="12">
        <f ca="1">SUMIFS(TableDailySummary[Órdenes totales],TableDailySummary[Fecha],"&gt;="&amp;TableWeeklySummary[[#This Row],[Desde]],TableDailySummary[Fecha],"&lt;="&amp;TableWeeklySummary[[#This Row],[Hasta]])</f>
        <v>0</v>
      </c>
      <c r="G37" s="12">
        <f ca="1">IFERROR(TableWeeklySummary[[#This Row],[Ventas netas totales]]/TableWeeklySummary[[#This Row],[Órdenes totales]],0)</f>
        <v>0</v>
      </c>
      <c r="H3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7" s="12">
        <f ca="1">TableWeeklySummary[[#This Row],[Órden promedio totales]]*TableWeeklySummary[[#This Row],[CR totales]]</f>
        <v>0</v>
      </c>
      <c r="J37" s="12">
        <f ca="1">SUMIFS(TableDailySummary[Ventas primer cliente],TableDailySummary[Fecha],"&gt;="&amp;TableWeeklySummary[[#This Row],[Desde]],TableDailySummary[Fecha],"&lt;="&amp;TableWeeklySummary[[#This Row],[Hasta]])</f>
        <v>0</v>
      </c>
      <c r="K37" s="12">
        <f ca="1">SUMIFS(TableDailySummary[Órdenes primer cliente],TableDailySummary[Fecha],"&gt;="&amp;TableWeeklySummary[[#This Row],[Desde]],TableDailySummary[Fecha],"&lt;="&amp;TableWeeklySummary[[#This Row],[Hasta]])</f>
        <v>0</v>
      </c>
      <c r="L37" s="12">
        <f ca="1">SUMIFS(TableDailySummary[Online Store_net_sales],TableDailySummary[Fecha],"&gt;="&amp;TableWeeklySummary[[#This Row],[Desde]],TableDailySummary[Fecha],"&lt;="&amp;TableWeeklySummary[[#This Row],[Hasta]])</f>
        <v>0</v>
      </c>
      <c r="M37" s="12">
        <f ca="1">SUMIFS(TableDailySummary[Online Store_orders],TableDailySummary[Fecha],"&gt;="&amp;TableWeeklySummary[[#This Row],[Desde]],TableDailySummary[Fecha],"&lt;="&amp;TableWeeklySummary[[#This Row],[Hasta]])</f>
        <v>0</v>
      </c>
      <c r="N37" s="12">
        <f ca="1">SUMIFS(TableDailySummary[Tienda 81_net_sales],TableDailySummary[Fecha],"&gt;="&amp;TableWeeklySummary[[#This Row],[Desde]],TableDailySummary[Fecha],"&lt;="&amp;TableWeeklySummary[[#This Row],[Hasta]])</f>
        <v>0</v>
      </c>
      <c r="O37" s="12">
        <f ca="1">SUMIFS(TableDailySummary[Tienda 81_orders],TableDailySummary[Fecha],"&gt;="&amp;TableWeeklySummary[[#This Row],[Desde]],TableDailySummary[Fecha],"&lt;="&amp;TableWeeklySummary[[#This Row],[Hasta]])</f>
        <v>0</v>
      </c>
      <c r="P37" s="12">
        <f ca="1">SUMIFS(TableDailySummary[Rappi_net_sales],TableDailySummary[Fecha],"&gt;="&amp;TableWeeklySummary[[#This Row],[Desde]],TableDailySummary[Fecha],"&lt;="&amp;TableWeeklySummary[[#This Row],[Hasta]])</f>
        <v>0</v>
      </c>
      <c r="Q37" s="12">
        <f ca="1">SUMIFS(TableDailySummary[Rappi_orders],TableDailySummary[Fecha],"&gt;="&amp;TableWeeklySummary[[#This Row],[Desde]],TableDailySummary[Fecha],"&lt;="&amp;TableWeeklySummary[[#This Row],[Hasta]])</f>
        <v>0</v>
      </c>
      <c r="R3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7" s="12">
        <f ca="1">SUMIFS(TableDailySummary[Inversión google ads],TableDailySummary[Fecha],"&gt;="&amp;TableWeeklySummary[[#This Row],[Desde]],TableDailySummary[Fecha],"&lt;="&amp;TableWeeklySummary[[#This Row],[Hasta]])</f>
        <v>0</v>
      </c>
      <c r="U37" s="12">
        <f ca="1">SUMIFS(TableDailySummary[Ventas google ads],TableDailySummary[Fecha],"&gt;="&amp;TableWeeklySummary[[#This Row],[Desde]],TableDailySummary[Fecha],"&lt;="&amp;TableWeeklySummary[[#This Row],[Hasta]])</f>
        <v>0</v>
      </c>
      <c r="V37" s="12">
        <f ca="1">SUMIFS(TableDailySummary[Inversión meta ads],TableDailySummary[Fecha],"&gt;="&amp;TableWeeklySummary[[#This Row],[Desde]],TableDailySummary[Fecha],"&lt;="&amp;TableWeeklySummary[[#This Row],[Hasta]])</f>
        <v>0</v>
      </c>
      <c r="W37" s="12">
        <f ca="1">SUMIFS(TableDailySummary[Ventas meta ads],TableDailySummary[Fecha],"&gt;="&amp;TableWeeklySummary[[#This Row],[Desde]],TableDailySummary[Fecha],"&lt;="&amp;TableWeeklySummary[[#This Row],[Hasta]])</f>
        <v>0</v>
      </c>
      <c r="X37" s="12">
        <f ca="1">TableWeeklySummary[[#This Row],[Inversión google ads]]+TableWeeklySummary[[#This Row],[Inversión meta ads]]</f>
        <v>0</v>
      </c>
      <c r="Y37" s="12">
        <f ca="1">TableWeeklySummary[[#This Row],[Ventas google ads]]+TableWeeklySummary[[#This Row],[Ventas meta ads]]</f>
        <v>0</v>
      </c>
      <c r="Z37" s="14">
        <f ca="1">IFERROR(TableWeeklySummary[[#This Row],[Ventas publicidad]]/TableWeeklySummary[[#This Row],[Inversión publicidad]],0)</f>
        <v>0</v>
      </c>
      <c r="AA37" s="14">
        <f ca="1">IFERROR(TableWeeklySummary[[#This Row],[Ventas primer cliente]]/TableWeeklySummary[[#This Row],[Inversión publicidad]],0)</f>
        <v>0</v>
      </c>
      <c r="AB37" s="14"/>
      <c r="AC37" s="12"/>
      <c r="AI3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7" s="12">
        <f ca="1">SUMIFS(TableDailySummary[Utilidad bruta],TableDailySummary[Fecha],"&gt;="&amp;TableWeeklySummary[[#This Row],[Desde]],TableDailySummary[Fecha],"&lt;="&amp;TableWeeklySummary[[#This Row],[Hasta]])</f>
        <v>0</v>
      </c>
      <c r="AL37" s="18">
        <f ca="1">IFERROR(TableWeeklySummary[[#This Row],[Utilidad bruta]]/TableWeeklySummary[[#This Row],[Ventas netas con costo registrado]],0)</f>
        <v>0</v>
      </c>
    </row>
    <row r="38" spans="2:38" x14ac:dyDescent="0.2">
      <c r="B38" s="16">
        <f ca="1">_xlfn.ISOWEEKNUM(TableWeeklySummary[[#This Row],[Hasta]])</f>
        <v>24</v>
      </c>
      <c r="C38" s="6">
        <f t="shared" ca="1" si="0"/>
        <v>46178</v>
      </c>
      <c r="D38" s="6">
        <f ca="1">TableWeeklySummary[[#This Row],[Desde]]+7-1</f>
        <v>46184</v>
      </c>
      <c r="E38" s="12">
        <f ca="1">SUMIFS(TableDailySummary[Ventas netas totales],TableDailySummary[Fecha],"&gt;="&amp;TableWeeklySummary[[#This Row],[Desde]],TableDailySummary[Fecha],"&lt;="&amp;TableWeeklySummary[[#This Row],[Hasta]])</f>
        <v>0</v>
      </c>
      <c r="F38" s="12">
        <f ca="1">SUMIFS(TableDailySummary[Órdenes totales],TableDailySummary[Fecha],"&gt;="&amp;TableWeeklySummary[[#This Row],[Desde]],TableDailySummary[Fecha],"&lt;="&amp;TableWeeklySummary[[#This Row],[Hasta]])</f>
        <v>0</v>
      </c>
      <c r="G38" s="12">
        <f ca="1">IFERROR(TableWeeklySummary[[#This Row],[Ventas netas totales]]/TableWeeklySummary[[#This Row],[Órdenes totales]],0)</f>
        <v>0</v>
      </c>
      <c r="H3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8" s="12">
        <f ca="1">TableWeeklySummary[[#This Row],[Órden promedio totales]]*TableWeeklySummary[[#This Row],[CR totales]]</f>
        <v>0</v>
      </c>
      <c r="J38" s="12">
        <f ca="1">SUMIFS(TableDailySummary[Ventas primer cliente],TableDailySummary[Fecha],"&gt;="&amp;TableWeeklySummary[[#This Row],[Desde]],TableDailySummary[Fecha],"&lt;="&amp;TableWeeklySummary[[#This Row],[Hasta]])</f>
        <v>0</v>
      </c>
      <c r="K38" s="12">
        <f ca="1">SUMIFS(TableDailySummary[Órdenes primer cliente],TableDailySummary[Fecha],"&gt;="&amp;TableWeeklySummary[[#This Row],[Desde]],TableDailySummary[Fecha],"&lt;="&amp;TableWeeklySummary[[#This Row],[Hasta]])</f>
        <v>0</v>
      </c>
      <c r="L38" s="12">
        <f ca="1">SUMIFS(TableDailySummary[Online Store_net_sales],TableDailySummary[Fecha],"&gt;="&amp;TableWeeklySummary[[#This Row],[Desde]],TableDailySummary[Fecha],"&lt;="&amp;TableWeeklySummary[[#This Row],[Hasta]])</f>
        <v>0</v>
      </c>
      <c r="M38" s="12">
        <f ca="1">SUMIFS(TableDailySummary[Online Store_orders],TableDailySummary[Fecha],"&gt;="&amp;TableWeeklySummary[[#This Row],[Desde]],TableDailySummary[Fecha],"&lt;="&amp;TableWeeklySummary[[#This Row],[Hasta]])</f>
        <v>0</v>
      </c>
      <c r="N38" s="12">
        <f ca="1">SUMIFS(TableDailySummary[Tienda 81_net_sales],TableDailySummary[Fecha],"&gt;="&amp;TableWeeklySummary[[#This Row],[Desde]],TableDailySummary[Fecha],"&lt;="&amp;TableWeeklySummary[[#This Row],[Hasta]])</f>
        <v>0</v>
      </c>
      <c r="O38" s="12">
        <f ca="1">SUMIFS(TableDailySummary[Tienda 81_orders],TableDailySummary[Fecha],"&gt;="&amp;TableWeeklySummary[[#This Row],[Desde]],TableDailySummary[Fecha],"&lt;="&amp;TableWeeklySummary[[#This Row],[Hasta]])</f>
        <v>0</v>
      </c>
      <c r="P38" s="12">
        <f ca="1">SUMIFS(TableDailySummary[Rappi_net_sales],TableDailySummary[Fecha],"&gt;="&amp;TableWeeklySummary[[#This Row],[Desde]],TableDailySummary[Fecha],"&lt;="&amp;TableWeeklySummary[[#This Row],[Hasta]])</f>
        <v>0</v>
      </c>
      <c r="Q38" s="12">
        <f ca="1">SUMIFS(TableDailySummary[Rappi_orders],TableDailySummary[Fecha],"&gt;="&amp;TableWeeklySummary[[#This Row],[Desde]],TableDailySummary[Fecha],"&lt;="&amp;TableWeeklySummary[[#This Row],[Hasta]])</f>
        <v>0</v>
      </c>
      <c r="R3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8" s="12">
        <f ca="1">SUMIFS(TableDailySummary[Inversión google ads],TableDailySummary[Fecha],"&gt;="&amp;TableWeeklySummary[[#This Row],[Desde]],TableDailySummary[Fecha],"&lt;="&amp;TableWeeklySummary[[#This Row],[Hasta]])</f>
        <v>0</v>
      </c>
      <c r="U38" s="12">
        <f ca="1">SUMIFS(TableDailySummary[Ventas google ads],TableDailySummary[Fecha],"&gt;="&amp;TableWeeklySummary[[#This Row],[Desde]],TableDailySummary[Fecha],"&lt;="&amp;TableWeeklySummary[[#This Row],[Hasta]])</f>
        <v>0</v>
      </c>
      <c r="V38" s="12">
        <f ca="1">SUMIFS(TableDailySummary[Inversión meta ads],TableDailySummary[Fecha],"&gt;="&amp;TableWeeklySummary[[#This Row],[Desde]],TableDailySummary[Fecha],"&lt;="&amp;TableWeeklySummary[[#This Row],[Hasta]])</f>
        <v>0</v>
      </c>
      <c r="W38" s="12">
        <f ca="1">SUMIFS(TableDailySummary[Ventas meta ads],TableDailySummary[Fecha],"&gt;="&amp;TableWeeklySummary[[#This Row],[Desde]],TableDailySummary[Fecha],"&lt;="&amp;TableWeeklySummary[[#This Row],[Hasta]])</f>
        <v>0</v>
      </c>
      <c r="X38" s="12">
        <f ca="1">TableWeeklySummary[[#This Row],[Inversión google ads]]+TableWeeklySummary[[#This Row],[Inversión meta ads]]</f>
        <v>0</v>
      </c>
      <c r="Y38" s="12">
        <f ca="1">TableWeeklySummary[[#This Row],[Ventas google ads]]+TableWeeklySummary[[#This Row],[Ventas meta ads]]</f>
        <v>0</v>
      </c>
      <c r="Z38" s="14">
        <f ca="1">IFERROR(TableWeeklySummary[[#This Row],[Ventas publicidad]]/TableWeeklySummary[[#This Row],[Inversión publicidad]],0)</f>
        <v>0</v>
      </c>
      <c r="AA38" s="14">
        <f ca="1">IFERROR(TableWeeklySummary[[#This Row],[Ventas primer cliente]]/TableWeeklySummary[[#This Row],[Inversión publicidad]],0)</f>
        <v>0</v>
      </c>
      <c r="AB38" s="14"/>
      <c r="AC38" s="12"/>
      <c r="AI3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8" s="12">
        <f ca="1">SUMIFS(TableDailySummary[Utilidad bruta],TableDailySummary[Fecha],"&gt;="&amp;TableWeeklySummary[[#This Row],[Desde]],TableDailySummary[Fecha],"&lt;="&amp;TableWeeklySummary[[#This Row],[Hasta]])</f>
        <v>0</v>
      </c>
      <c r="AL38" s="18">
        <f ca="1">IFERROR(TableWeeklySummary[[#This Row],[Utilidad bruta]]/TableWeeklySummary[[#This Row],[Ventas netas con costo registrado]],0)</f>
        <v>0</v>
      </c>
    </row>
    <row r="39" spans="2:38" x14ac:dyDescent="0.2">
      <c r="B39" s="16">
        <f ca="1">_xlfn.ISOWEEKNUM(TableWeeklySummary[[#This Row],[Hasta]])</f>
        <v>25</v>
      </c>
      <c r="C39" s="6">
        <f t="shared" ca="1" si="0"/>
        <v>46185</v>
      </c>
      <c r="D39" s="6">
        <f ca="1">TableWeeklySummary[[#This Row],[Desde]]+7-1</f>
        <v>46191</v>
      </c>
      <c r="E39" s="12">
        <f ca="1">SUMIFS(TableDailySummary[Ventas netas totales],TableDailySummary[Fecha],"&gt;="&amp;TableWeeklySummary[[#This Row],[Desde]],TableDailySummary[Fecha],"&lt;="&amp;TableWeeklySummary[[#This Row],[Hasta]])</f>
        <v>0</v>
      </c>
      <c r="F39" s="12">
        <f ca="1">SUMIFS(TableDailySummary[Órdenes totales],TableDailySummary[Fecha],"&gt;="&amp;TableWeeklySummary[[#This Row],[Desde]],TableDailySummary[Fecha],"&lt;="&amp;TableWeeklySummary[[#This Row],[Hasta]])</f>
        <v>0</v>
      </c>
      <c r="G39" s="12">
        <f ca="1">IFERROR(TableWeeklySummary[[#This Row],[Ventas netas totales]]/TableWeeklySummary[[#This Row],[Órdenes totales]],0)</f>
        <v>0</v>
      </c>
      <c r="H3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9" s="12">
        <f ca="1">TableWeeklySummary[[#This Row],[Órden promedio totales]]*TableWeeklySummary[[#This Row],[CR totales]]</f>
        <v>0</v>
      </c>
      <c r="J39" s="12">
        <f ca="1">SUMIFS(TableDailySummary[Ventas primer cliente],TableDailySummary[Fecha],"&gt;="&amp;TableWeeklySummary[[#This Row],[Desde]],TableDailySummary[Fecha],"&lt;="&amp;TableWeeklySummary[[#This Row],[Hasta]])</f>
        <v>0</v>
      </c>
      <c r="K39" s="12">
        <f ca="1">SUMIFS(TableDailySummary[Órdenes primer cliente],TableDailySummary[Fecha],"&gt;="&amp;TableWeeklySummary[[#This Row],[Desde]],TableDailySummary[Fecha],"&lt;="&amp;TableWeeklySummary[[#This Row],[Hasta]])</f>
        <v>0</v>
      </c>
      <c r="L39" s="12">
        <f ca="1">SUMIFS(TableDailySummary[Online Store_net_sales],TableDailySummary[Fecha],"&gt;="&amp;TableWeeklySummary[[#This Row],[Desde]],TableDailySummary[Fecha],"&lt;="&amp;TableWeeklySummary[[#This Row],[Hasta]])</f>
        <v>0</v>
      </c>
      <c r="M39" s="12">
        <f ca="1">SUMIFS(TableDailySummary[Online Store_orders],TableDailySummary[Fecha],"&gt;="&amp;TableWeeklySummary[[#This Row],[Desde]],TableDailySummary[Fecha],"&lt;="&amp;TableWeeklySummary[[#This Row],[Hasta]])</f>
        <v>0</v>
      </c>
      <c r="N39" s="12">
        <f ca="1">SUMIFS(TableDailySummary[Tienda 81_net_sales],TableDailySummary[Fecha],"&gt;="&amp;TableWeeklySummary[[#This Row],[Desde]],TableDailySummary[Fecha],"&lt;="&amp;TableWeeklySummary[[#This Row],[Hasta]])</f>
        <v>0</v>
      </c>
      <c r="O39" s="12">
        <f ca="1">SUMIFS(TableDailySummary[Tienda 81_orders],TableDailySummary[Fecha],"&gt;="&amp;TableWeeklySummary[[#This Row],[Desde]],TableDailySummary[Fecha],"&lt;="&amp;TableWeeklySummary[[#This Row],[Hasta]])</f>
        <v>0</v>
      </c>
      <c r="P39" s="12">
        <f ca="1">SUMIFS(TableDailySummary[Rappi_net_sales],TableDailySummary[Fecha],"&gt;="&amp;TableWeeklySummary[[#This Row],[Desde]],TableDailySummary[Fecha],"&lt;="&amp;TableWeeklySummary[[#This Row],[Hasta]])</f>
        <v>0</v>
      </c>
      <c r="Q39" s="12">
        <f ca="1">SUMIFS(TableDailySummary[Rappi_orders],TableDailySummary[Fecha],"&gt;="&amp;TableWeeklySummary[[#This Row],[Desde]],TableDailySummary[Fecha],"&lt;="&amp;TableWeeklySummary[[#This Row],[Hasta]])</f>
        <v>0</v>
      </c>
      <c r="R3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9" s="12">
        <f ca="1">SUMIFS(TableDailySummary[Inversión google ads],TableDailySummary[Fecha],"&gt;="&amp;TableWeeklySummary[[#This Row],[Desde]],TableDailySummary[Fecha],"&lt;="&amp;TableWeeklySummary[[#This Row],[Hasta]])</f>
        <v>0</v>
      </c>
      <c r="U39" s="12">
        <f ca="1">SUMIFS(TableDailySummary[Ventas google ads],TableDailySummary[Fecha],"&gt;="&amp;TableWeeklySummary[[#This Row],[Desde]],TableDailySummary[Fecha],"&lt;="&amp;TableWeeklySummary[[#This Row],[Hasta]])</f>
        <v>0</v>
      </c>
      <c r="V39" s="12">
        <f ca="1">SUMIFS(TableDailySummary[Inversión meta ads],TableDailySummary[Fecha],"&gt;="&amp;TableWeeklySummary[[#This Row],[Desde]],TableDailySummary[Fecha],"&lt;="&amp;TableWeeklySummary[[#This Row],[Hasta]])</f>
        <v>0</v>
      </c>
      <c r="W39" s="12">
        <f ca="1">SUMIFS(TableDailySummary[Ventas meta ads],TableDailySummary[Fecha],"&gt;="&amp;TableWeeklySummary[[#This Row],[Desde]],TableDailySummary[Fecha],"&lt;="&amp;TableWeeklySummary[[#This Row],[Hasta]])</f>
        <v>0</v>
      </c>
      <c r="X39" s="12">
        <f ca="1">TableWeeklySummary[[#This Row],[Inversión google ads]]+TableWeeklySummary[[#This Row],[Inversión meta ads]]</f>
        <v>0</v>
      </c>
      <c r="Y39" s="12">
        <f ca="1">TableWeeklySummary[[#This Row],[Ventas google ads]]+TableWeeklySummary[[#This Row],[Ventas meta ads]]</f>
        <v>0</v>
      </c>
      <c r="Z39" s="14">
        <f ca="1">IFERROR(TableWeeklySummary[[#This Row],[Ventas publicidad]]/TableWeeklySummary[[#This Row],[Inversión publicidad]],0)</f>
        <v>0</v>
      </c>
      <c r="AA39" s="14">
        <f ca="1">IFERROR(TableWeeklySummary[[#This Row],[Ventas primer cliente]]/TableWeeklySummary[[#This Row],[Inversión publicidad]],0)</f>
        <v>0</v>
      </c>
      <c r="AB39" s="14"/>
      <c r="AC39" s="12"/>
      <c r="AI3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9" s="12">
        <f ca="1">SUMIFS(TableDailySummary[Utilidad bruta],TableDailySummary[Fecha],"&gt;="&amp;TableWeeklySummary[[#This Row],[Desde]],TableDailySummary[Fecha],"&lt;="&amp;TableWeeklySummary[[#This Row],[Hasta]])</f>
        <v>0</v>
      </c>
      <c r="AL39" s="18">
        <f ca="1">IFERROR(TableWeeklySummary[[#This Row],[Utilidad bruta]]/TableWeeklySummary[[#This Row],[Ventas netas con costo registrado]],0)</f>
        <v>0</v>
      </c>
    </row>
    <row r="40" spans="2:38" x14ac:dyDescent="0.2">
      <c r="B40" s="16">
        <f ca="1">_xlfn.ISOWEEKNUM(TableWeeklySummary[[#This Row],[Hasta]])</f>
        <v>26</v>
      </c>
      <c r="C40" s="6">
        <f t="shared" ref="C40:C71" ca="1" si="1">_xlfn.LET(
    _xlpm.fechaini, ParamFechaInicioReporte,
    _xlpm.start_friday, IF(WEEKDAY(_xlpm.fechaini, 1) = 6, _xlpm.fechaini, _xlpm.fechaini - MOD(WEEKDAY(_xlpm.fechaini, 1) + 1, 7)),
    IF(ROW()=8, _xlpm.start_friday, C39 + 7)
)</f>
        <v>46192</v>
      </c>
      <c r="D40" s="6">
        <f ca="1">TableWeeklySummary[[#This Row],[Desde]]+7-1</f>
        <v>46198</v>
      </c>
      <c r="E40" s="12">
        <f ca="1">SUMIFS(TableDailySummary[Ventas netas totales],TableDailySummary[Fecha],"&gt;="&amp;TableWeeklySummary[[#This Row],[Desde]],TableDailySummary[Fecha],"&lt;="&amp;TableWeeklySummary[[#This Row],[Hasta]])</f>
        <v>0</v>
      </c>
      <c r="F40" s="12">
        <f ca="1">SUMIFS(TableDailySummary[Órdenes totales],TableDailySummary[Fecha],"&gt;="&amp;TableWeeklySummary[[#This Row],[Desde]],TableDailySummary[Fecha],"&lt;="&amp;TableWeeklySummary[[#This Row],[Hasta]])</f>
        <v>0</v>
      </c>
      <c r="G40" s="12">
        <f ca="1">IFERROR(TableWeeklySummary[[#This Row],[Ventas netas totales]]/TableWeeklySummary[[#This Row],[Órdenes totales]],0)</f>
        <v>0</v>
      </c>
      <c r="H4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0" s="12">
        <f ca="1">TableWeeklySummary[[#This Row],[Órden promedio totales]]*TableWeeklySummary[[#This Row],[CR totales]]</f>
        <v>0</v>
      </c>
      <c r="J40" s="12">
        <f ca="1">SUMIFS(TableDailySummary[Ventas primer cliente],TableDailySummary[Fecha],"&gt;="&amp;TableWeeklySummary[[#This Row],[Desde]],TableDailySummary[Fecha],"&lt;="&amp;TableWeeklySummary[[#This Row],[Hasta]])</f>
        <v>0</v>
      </c>
      <c r="K40" s="12">
        <f ca="1">SUMIFS(TableDailySummary[Órdenes primer cliente],TableDailySummary[Fecha],"&gt;="&amp;TableWeeklySummary[[#This Row],[Desde]],TableDailySummary[Fecha],"&lt;="&amp;TableWeeklySummary[[#This Row],[Hasta]])</f>
        <v>0</v>
      </c>
      <c r="L40" s="12">
        <f ca="1">SUMIFS(TableDailySummary[Online Store_net_sales],TableDailySummary[Fecha],"&gt;="&amp;TableWeeklySummary[[#This Row],[Desde]],TableDailySummary[Fecha],"&lt;="&amp;TableWeeklySummary[[#This Row],[Hasta]])</f>
        <v>0</v>
      </c>
      <c r="M40" s="12">
        <f ca="1">SUMIFS(TableDailySummary[Online Store_orders],TableDailySummary[Fecha],"&gt;="&amp;TableWeeklySummary[[#This Row],[Desde]],TableDailySummary[Fecha],"&lt;="&amp;TableWeeklySummary[[#This Row],[Hasta]])</f>
        <v>0</v>
      </c>
      <c r="N40" s="12">
        <f ca="1">SUMIFS(TableDailySummary[Tienda 81_net_sales],TableDailySummary[Fecha],"&gt;="&amp;TableWeeklySummary[[#This Row],[Desde]],TableDailySummary[Fecha],"&lt;="&amp;TableWeeklySummary[[#This Row],[Hasta]])</f>
        <v>0</v>
      </c>
      <c r="O40" s="12">
        <f ca="1">SUMIFS(TableDailySummary[Tienda 81_orders],TableDailySummary[Fecha],"&gt;="&amp;TableWeeklySummary[[#This Row],[Desde]],TableDailySummary[Fecha],"&lt;="&amp;TableWeeklySummary[[#This Row],[Hasta]])</f>
        <v>0</v>
      </c>
      <c r="P40" s="12">
        <f ca="1">SUMIFS(TableDailySummary[Rappi_net_sales],TableDailySummary[Fecha],"&gt;="&amp;TableWeeklySummary[[#This Row],[Desde]],TableDailySummary[Fecha],"&lt;="&amp;TableWeeklySummary[[#This Row],[Hasta]])</f>
        <v>0</v>
      </c>
      <c r="Q40" s="12">
        <f ca="1">SUMIFS(TableDailySummary[Rappi_orders],TableDailySummary[Fecha],"&gt;="&amp;TableWeeklySummary[[#This Row],[Desde]],TableDailySummary[Fecha],"&lt;="&amp;TableWeeklySummary[[#This Row],[Hasta]])</f>
        <v>0</v>
      </c>
      <c r="R4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0" s="12">
        <f ca="1">SUMIFS(TableDailySummary[Inversión google ads],TableDailySummary[Fecha],"&gt;="&amp;TableWeeklySummary[[#This Row],[Desde]],TableDailySummary[Fecha],"&lt;="&amp;TableWeeklySummary[[#This Row],[Hasta]])</f>
        <v>0</v>
      </c>
      <c r="U40" s="12">
        <f ca="1">SUMIFS(TableDailySummary[Ventas google ads],TableDailySummary[Fecha],"&gt;="&amp;TableWeeklySummary[[#This Row],[Desde]],TableDailySummary[Fecha],"&lt;="&amp;TableWeeklySummary[[#This Row],[Hasta]])</f>
        <v>0</v>
      </c>
      <c r="V40" s="12">
        <f ca="1">SUMIFS(TableDailySummary[Inversión meta ads],TableDailySummary[Fecha],"&gt;="&amp;TableWeeklySummary[[#This Row],[Desde]],TableDailySummary[Fecha],"&lt;="&amp;TableWeeklySummary[[#This Row],[Hasta]])</f>
        <v>0</v>
      </c>
      <c r="W40" s="12">
        <f ca="1">SUMIFS(TableDailySummary[Ventas meta ads],TableDailySummary[Fecha],"&gt;="&amp;TableWeeklySummary[[#This Row],[Desde]],TableDailySummary[Fecha],"&lt;="&amp;TableWeeklySummary[[#This Row],[Hasta]])</f>
        <v>0</v>
      </c>
      <c r="X40" s="12">
        <f ca="1">TableWeeklySummary[[#This Row],[Inversión google ads]]+TableWeeklySummary[[#This Row],[Inversión meta ads]]</f>
        <v>0</v>
      </c>
      <c r="Y40" s="12">
        <f ca="1">TableWeeklySummary[[#This Row],[Ventas google ads]]+TableWeeklySummary[[#This Row],[Ventas meta ads]]</f>
        <v>0</v>
      </c>
      <c r="Z40" s="14">
        <f ca="1">IFERROR(TableWeeklySummary[[#This Row],[Ventas publicidad]]/TableWeeklySummary[[#This Row],[Inversión publicidad]],0)</f>
        <v>0</v>
      </c>
      <c r="AA40" s="14">
        <f ca="1">IFERROR(TableWeeklySummary[[#This Row],[Ventas primer cliente]]/TableWeeklySummary[[#This Row],[Inversión publicidad]],0)</f>
        <v>0</v>
      </c>
      <c r="AB40" s="14"/>
      <c r="AC40" s="12"/>
      <c r="AI4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0" s="12">
        <f ca="1">SUMIFS(TableDailySummary[Utilidad bruta],TableDailySummary[Fecha],"&gt;="&amp;TableWeeklySummary[[#This Row],[Desde]],TableDailySummary[Fecha],"&lt;="&amp;TableWeeklySummary[[#This Row],[Hasta]])</f>
        <v>0</v>
      </c>
      <c r="AL40" s="18">
        <f ca="1">IFERROR(TableWeeklySummary[[#This Row],[Utilidad bruta]]/TableWeeklySummary[[#This Row],[Ventas netas con costo registrado]],0)</f>
        <v>0</v>
      </c>
    </row>
    <row r="41" spans="2:38" x14ac:dyDescent="0.2">
      <c r="B41" s="16">
        <f ca="1">_xlfn.ISOWEEKNUM(TableWeeklySummary[[#This Row],[Hasta]])</f>
        <v>27</v>
      </c>
      <c r="C41" s="6">
        <f t="shared" ca="1" si="1"/>
        <v>46199</v>
      </c>
      <c r="D41" s="6">
        <f ca="1">TableWeeklySummary[[#This Row],[Desde]]+7-1</f>
        <v>46205</v>
      </c>
      <c r="E41" s="12">
        <f ca="1">SUMIFS(TableDailySummary[Ventas netas totales],TableDailySummary[Fecha],"&gt;="&amp;TableWeeklySummary[[#This Row],[Desde]],TableDailySummary[Fecha],"&lt;="&amp;TableWeeklySummary[[#This Row],[Hasta]])</f>
        <v>0</v>
      </c>
      <c r="F41" s="12">
        <f ca="1">SUMIFS(TableDailySummary[Órdenes totales],TableDailySummary[Fecha],"&gt;="&amp;TableWeeklySummary[[#This Row],[Desde]],TableDailySummary[Fecha],"&lt;="&amp;TableWeeklySummary[[#This Row],[Hasta]])</f>
        <v>0</v>
      </c>
      <c r="G41" s="12">
        <f ca="1">IFERROR(TableWeeklySummary[[#This Row],[Ventas netas totales]]/TableWeeklySummary[[#This Row],[Órdenes totales]],0)</f>
        <v>0</v>
      </c>
      <c r="H4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1" s="12">
        <f ca="1">TableWeeklySummary[[#This Row],[Órden promedio totales]]*TableWeeklySummary[[#This Row],[CR totales]]</f>
        <v>0</v>
      </c>
      <c r="J41" s="12">
        <f ca="1">SUMIFS(TableDailySummary[Ventas primer cliente],TableDailySummary[Fecha],"&gt;="&amp;TableWeeklySummary[[#This Row],[Desde]],TableDailySummary[Fecha],"&lt;="&amp;TableWeeklySummary[[#This Row],[Hasta]])</f>
        <v>0</v>
      </c>
      <c r="K41" s="12">
        <f ca="1">SUMIFS(TableDailySummary[Órdenes primer cliente],TableDailySummary[Fecha],"&gt;="&amp;TableWeeklySummary[[#This Row],[Desde]],TableDailySummary[Fecha],"&lt;="&amp;TableWeeklySummary[[#This Row],[Hasta]])</f>
        <v>0</v>
      </c>
      <c r="L41" s="12">
        <f ca="1">SUMIFS(TableDailySummary[Online Store_net_sales],TableDailySummary[Fecha],"&gt;="&amp;TableWeeklySummary[[#This Row],[Desde]],TableDailySummary[Fecha],"&lt;="&amp;TableWeeklySummary[[#This Row],[Hasta]])</f>
        <v>0</v>
      </c>
      <c r="M41" s="12">
        <f ca="1">SUMIFS(TableDailySummary[Online Store_orders],TableDailySummary[Fecha],"&gt;="&amp;TableWeeklySummary[[#This Row],[Desde]],TableDailySummary[Fecha],"&lt;="&amp;TableWeeklySummary[[#This Row],[Hasta]])</f>
        <v>0</v>
      </c>
      <c r="N41" s="12">
        <f ca="1">SUMIFS(TableDailySummary[Tienda 81_net_sales],TableDailySummary[Fecha],"&gt;="&amp;TableWeeklySummary[[#This Row],[Desde]],TableDailySummary[Fecha],"&lt;="&amp;TableWeeklySummary[[#This Row],[Hasta]])</f>
        <v>0</v>
      </c>
      <c r="O41" s="12">
        <f ca="1">SUMIFS(TableDailySummary[Tienda 81_orders],TableDailySummary[Fecha],"&gt;="&amp;TableWeeklySummary[[#This Row],[Desde]],TableDailySummary[Fecha],"&lt;="&amp;TableWeeklySummary[[#This Row],[Hasta]])</f>
        <v>0</v>
      </c>
      <c r="P41" s="12">
        <f ca="1">SUMIFS(TableDailySummary[Rappi_net_sales],TableDailySummary[Fecha],"&gt;="&amp;TableWeeklySummary[[#This Row],[Desde]],TableDailySummary[Fecha],"&lt;="&amp;TableWeeklySummary[[#This Row],[Hasta]])</f>
        <v>0</v>
      </c>
      <c r="Q41" s="12">
        <f ca="1">SUMIFS(TableDailySummary[Rappi_orders],TableDailySummary[Fecha],"&gt;="&amp;TableWeeklySummary[[#This Row],[Desde]],TableDailySummary[Fecha],"&lt;="&amp;TableWeeklySummary[[#This Row],[Hasta]])</f>
        <v>0</v>
      </c>
      <c r="R4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1" s="12">
        <f ca="1">SUMIFS(TableDailySummary[Inversión google ads],TableDailySummary[Fecha],"&gt;="&amp;TableWeeklySummary[[#This Row],[Desde]],TableDailySummary[Fecha],"&lt;="&amp;TableWeeklySummary[[#This Row],[Hasta]])</f>
        <v>0</v>
      </c>
      <c r="U41" s="12">
        <f ca="1">SUMIFS(TableDailySummary[Ventas google ads],TableDailySummary[Fecha],"&gt;="&amp;TableWeeklySummary[[#This Row],[Desde]],TableDailySummary[Fecha],"&lt;="&amp;TableWeeklySummary[[#This Row],[Hasta]])</f>
        <v>0</v>
      </c>
      <c r="V41" s="12">
        <f ca="1">SUMIFS(TableDailySummary[Inversión meta ads],TableDailySummary[Fecha],"&gt;="&amp;TableWeeklySummary[[#This Row],[Desde]],TableDailySummary[Fecha],"&lt;="&amp;TableWeeklySummary[[#This Row],[Hasta]])</f>
        <v>0</v>
      </c>
      <c r="W41" s="12">
        <f ca="1">SUMIFS(TableDailySummary[Ventas meta ads],TableDailySummary[Fecha],"&gt;="&amp;TableWeeklySummary[[#This Row],[Desde]],TableDailySummary[Fecha],"&lt;="&amp;TableWeeklySummary[[#This Row],[Hasta]])</f>
        <v>0</v>
      </c>
      <c r="X41" s="12">
        <f ca="1">TableWeeklySummary[[#This Row],[Inversión google ads]]+TableWeeklySummary[[#This Row],[Inversión meta ads]]</f>
        <v>0</v>
      </c>
      <c r="Y41" s="12">
        <f ca="1">TableWeeklySummary[[#This Row],[Ventas google ads]]+TableWeeklySummary[[#This Row],[Ventas meta ads]]</f>
        <v>0</v>
      </c>
      <c r="Z41" s="14">
        <f ca="1">IFERROR(TableWeeklySummary[[#This Row],[Ventas publicidad]]/TableWeeklySummary[[#This Row],[Inversión publicidad]],0)</f>
        <v>0</v>
      </c>
      <c r="AA41" s="14">
        <f ca="1">IFERROR(TableWeeklySummary[[#This Row],[Ventas primer cliente]]/TableWeeklySummary[[#This Row],[Inversión publicidad]],0)</f>
        <v>0</v>
      </c>
      <c r="AB41" s="14"/>
      <c r="AC41" s="12"/>
      <c r="AI4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1" s="12">
        <f ca="1">SUMIFS(TableDailySummary[Utilidad bruta],TableDailySummary[Fecha],"&gt;="&amp;TableWeeklySummary[[#This Row],[Desde]],TableDailySummary[Fecha],"&lt;="&amp;TableWeeklySummary[[#This Row],[Hasta]])</f>
        <v>0</v>
      </c>
      <c r="AL41" s="18">
        <f ca="1">IFERROR(TableWeeklySummary[[#This Row],[Utilidad bruta]]/TableWeeklySummary[[#This Row],[Ventas netas con costo registrado]],0)</f>
        <v>0</v>
      </c>
    </row>
    <row r="42" spans="2:38" x14ac:dyDescent="0.2">
      <c r="B42" s="16">
        <f ca="1">_xlfn.ISOWEEKNUM(TableWeeklySummary[[#This Row],[Hasta]])</f>
        <v>28</v>
      </c>
      <c r="C42" s="6">
        <f t="shared" ca="1" si="1"/>
        <v>46206</v>
      </c>
      <c r="D42" s="6">
        <f ca="1">TableWeeklySummary[[#This Row],[Desde]]+7-1</f>
        <v>46212</v>
      </c>
      <c r="E42" s="12">
        <f ca="1">SUMIFS(TableDailySummary[Ventas netas totales],TableDailySummary[Fecha],"&gt;="&amp;TableWeeklySummary[[#This Row],[Desde]],TableDailySummary[Fecha],"&lt;="&amp;TableWeeklySummary[[#This Row],[Hasta]])</f>
        <v>0</v>
      </c>
      <c r="F42" s="12">
        <f ca="1">SUMIFS(TableDailySummary[Órdenes totales],TableDailySummary[Fecha],"&gt;="&amp;TableWeeklySummary[[#This Row],[Desde]],TableDailySummary[Fecha],"&lt;="&amp;TableWeeklySummary[[#This Row],[Hasta]])</f>
        <v>0</v>
      </c>
      <c r="G42" s="12">
        <f ca="1">IFERROR(TableWeeklySummary[[#This Row],[Ventas netas totales]]/TableWeeklySummary[[#This Row],[Órdenes totales]],0)</f>
        <v>0</v>
      </c>
      <c r="H4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2" s="12">
        <f ca="1">TableWeeklySummary[[#This Row],[Órden promedio totales]]*TableWeeklySummary[[#This Row],[CR totales]]</f>
        <v>0</v>
      </c>
      <c r="J42" s="12">
        <f ca="1">SUMIFS(TableDailySummary[Ventas primer cliente],TableDailySummary[Fecha],"&gt;="&amp;TableWeeklySummary[[#This Row],[Desde]],TableDailySummary[Fecha],"&lt;="&amp;TableWeeklySummary[[#This Row],[Hasta]])</f>
        <v>0</v>
      </c>
      <c r="K42" s="12">
        <f ca="1">SUMIFS(TableDailySummary[Órdenes primer cliente],TableDailySummary[Fecha],"&gt;="&amp;TableWeeklySummary[[#This Row],[Desde]],TableDailySummary[Fecha],"&lt;="&amp;TableWeeklySummary[[#This Row],[Hasta]])</f>
        <v>0</v>
      </c>
      <c r="L42" s="12">
        <f ca="1">SUMIFS(TableDailySummary[Online Store_net_sales],TableDailySummary[Fecha],"&gt;="&amp;TableWeeklySummary[[#This Row],[Desde]],TableDailySummary[Fecha],"&lt;="&amp;TableWeeklySummary[[#This Row],[Hasta]])</f>
        <v>0</v>
      </c>
      <c r="M42" s="12">
        <f ca="1">SUMIFS(TableDailySummary[Online Store_orders],TableDailySummary[Fecha],"&gt;="&amp;TableWeeklySummary[[#This Row],[Desde]],TableDailySummary[Fecha],"&lt;="&amp;TableWeeklySummary[[#This Row],[Hasta]])</f>
        <v>0</v>
      </c>
      <c r="N42" s="12">
        <f ca="1">SUMIFS(TableDailySummary[Tienda 81_net_sales],TableDailySummary[Fecha],"&gt;="&amp;TableWeeklySummary[[#This Row],[Desde]],TableDailySummary[Fecha],"&lt;="&amp;TableWeeklySummary[[#This Row],[Hasta]])</f>
        <v>0</v>
      </c>
      <c r="O42" s="12">
        <f ca="1">SUMIFS(TableDailySummary[Tienda 81_orders],TableDailySummary[Fecha],"&gt;="&amp;TableWeeklySummary[[#This Row],[Desde]],TableDailySummary[Fecha],"&lt;="&amp;TableWeeklySummary[[#This Row],[Hasta]])</f>
        <v>0</v>
      </c>
      <c r="P42" s="12">
        <f ca="1">SUMIFS(TableDailySummary[Rappi_net_sales],TableDailySummary[Fecha],"&gt;="&amp;TableWeeklySummary[[#This Row],[Desde]],TableDailySummary[Fecha],"&lt;="&amp;TableWeeklySummary[[#This Row],[Hasta]])</f>
        <v>0</v>
      </c>
      <c r="Q42" s="12">
        <f ca="1">SUMIFS(TableDailySummary[Rappi_orders],TableDailySummary[Fecha],"&gt;="&amp;TableWeeklySummary[[#This Row],[Desde]],TableDailySummary[Fecha],"&lt;="&amp;TableWeeklySummary[[#This Row],[Hasta]])</f>
        <v>0</v>
      </c>
      <c r="R4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2" s="12">
        <f ca="1">SUMIFS(TableDailySummary[Inversión google ads],TableDailySummary[Fecha],"&gt;="&amp;TableWeeklySummary[[#This Row],[Desde]],TableDailySummary[Fecha],"&lt;="&amp;TableWeeklySummary[[#This Row],[Hasta]])</f>
        <v>0</v>
      </c>
      <c r="U42" s="12">
        <f ca="1">SUMIFS(TableDailySummary[Ventas google ads],TableDailySummary[Fecha],"&gt;="&amp;TableWeeklySummary[[#This Row],[Desde]],TableDailySummary[Fecha],"&lt;="&amp;TableWeeklySummary[[#This Row],[Hasta]])</f>
        <v>0</v>
      </c>
      <c r="V42" s="12">
        <f ca="1">SUMIFS(TableDailySummary[Inversión meta ads],TableDailySummary[Fecha],"&gt;="&amp;TableWeeklySummary[[#This Row],[Desde]],TableDailySummary[Fecha],"&lt;="&amp;TableWeeklySummary[[#This Row],[Hasta]])</f>
        <v>0</v>
      </c>
      <c r="W42" s="12">
        <f ca="1">SUMIFS(TableDailySummary[Ventas meta ads],TableDailySummary[Fecha],"&gt;="&amp;TableWeeklySummary[[#This Row],[Desde]],TableDailySummary[Fecha],"&lt;="&amp;TableWeeklySummary[[#This Row],[Hasta]])</f>
        <v>0</v>
      </c>
      <c r="X42" s="12">
        <f ca="1">TableWeeklySummary[[#This Row],[Inversión google ads]]+TableWeeklySummary[[#This Row],[Inversión meta ads]]</f>
        <v>0</v>
      </c>
      <c r="Y42" s="12">
        <f ca="1">TableWeeklySummary[[#This Row],[Ventas google ads]]+TableWeeklySummary[[#This Row],[Ventas meta ads]]</f>
        <v>0</v>
      </c>
      <c r="Z42" s="14">
        <f ca="1">IFERROR(TableWeeklySummary[[#This Row],[Ventas publicidad]]/TableWeeklySummary[[#This Row],[Inversión publicidad]],0)</f>
        <v>0</v>
      </c>
      <c r="AA42" s="14">
        <f ca="1">IFERROR(TableWeeklySummary[[#This Row],[Ventas primer cliente]]/TableWeeklySummary[[#This Row],[Inversión publicidad]],0)</f>
        <v>0</v>
      </c>
      <c r="AB42" s="14"/>
      <c r="AC42" s="12"/>
      <c r="AI4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2" s="12">
        <f ca="1">SUMIFS(TableDailySummary[Utilidad bruta],TableDailySummary[Fecha],"&gt;="&amp;TableWeeklySummary[[#This Row],[Desde]],TableDailySummary[Fecha],"&lt;="&amp;TableWeeklySummary[[#This Row],[Hasta]])</f>
        <v>0</v>
      </c>
      <c r="AL42" s="18">
        <f ca="1">IFERROR(TableWeeklySummary[[#This Row],[Utilidad bruta]]/TableWeeklySummary[[#This Row],[Ventas netas con costo registrado]],0)</f>
        <v>0</v>
      </c>
    </row>
    <row r="43" spans="2:38" x14ac:dyDescent="0.2">
      <c r="B43" s="16">
        <f ca="1">_xlfn.ISOWEEKNUM(TableWeeklySummary[[#This Row],[Hasta]])</f>
        <v>29</v>
      </c>
      <c r="C43" s="6">
        <f t="shared" ca="1" si="1"/>
        <v>46213</v>
      </c>
      <c r="D43" s="6">
        <f ca="1">TableWeeklySummary[[#This Row],[Desde]]+7-1</f>
        <v>46219</v>
      </c>
      <c r="E43" s="12">
        <f ca="1">SUMIFS(TableDailySummary[Ventas netas totales],TableDailySummary[Fecha],"&gt;="&amp;TableWeeklySummary[[#This Row],[Desde]],TableDailySummary[Fecha],"&lt;="&amp;TableWeeklySummary[[#This Row],[Hasta]])</f>
        <v>0</v>
      </c>
      <c r="F43" s="12">
        <f ca="1">SUMIFS(TableDailySummary[Órdenes totales],TableDailySummary[Fecha],"&gt;="&amp;TableWeeklySummary[[#This Row],[Desde]],TableDailySummary[Fecha],"&lt;="&amp;TableWeeklySummary[[#This Row],[Hasta]])</f>
        <v>0</v>
      </c>
      <c r="G43" s="12">
        <f ca="1">IFERROR(TableWeeklySummary[[#This Row],[Ventas netas totales]]/TableWeeklySummary[[#This Row],[Órdenes totales]],0)</f>
        <v>0</v>
      </c>
      <c r="H4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3" s="12">
        <f ca="1">TableWeeklySummary[[#This Row],[Órden promedio totales]]*TableWeeklySummary[[#This Row],[CR totales]]</f>
        <v>0</v>
      </c>
      <c r="J43" s="12">
        <f ca="1">SUMIFS(TableDailySummary[Ventas primer cliente],TableDailySummary[Fecha],"&gt;="&amp;TableWeeklySummary[[#This Row],[Desde]],TableDailySummary[Fecha],"&lt;="&amp;TableWeeklySummary[[#This Row],[Hasta]])</f>
        <v>0</v>
      </c>
      <c r="K43" s="12">
        <f ca="1">SUMIFS(TableDailySummary[Órdenes primer cliente],TableDailySummary[Fecha],"&gt;="&amp;TableWeeklySummary[[#This Row],[Desde]],TableDailySummary[Fecha],"&lt;="&amp;TableWeeklySummary[[#This Row],[Hasta]])</f>
        <v>0</v>
      </c>
      <c r="L43" s="12">
        <f ca="1">SUMIFS(TableDailySummary[Online Store_net_sales],TableDailySummary[Fecha],"&gt;="&amp;TableWeeklySummary[[#This Row],[Desde]],TableDailySummary[Fecha],"&lt;="&amp;TableWeeklySummary[[#This Row],[Hasta]])</f>
        <v>0</v>
      </c>
      <c r="M43" s="12">
        <f ca="1">SUMIFS(TableDailySummary[Online Store_orders],TableDailySummary[Fecha],"&gt;="&amp;TableWeeklySummary[[#This Row],[Desde]],TableDailySummary[Fecha],"&lt;="&amp;TableWeeklySummary[[#This Row],[Hasta]])</f>
        <v>0</v>
      </c>
      <c r="N43" s="12">
        <f ca="1">SUMIFS(TableDailySummary[Tienda 81_net_sales],TableDailySummary[Fecha],"&gt;="&amp;TableWeeklySummary[[#This Row],[Desde]],TableDailySummary[Fecha],"&lt;="&amp;TableWeeklySummary[[#This Row],[Hasta]])</f>
        <v>0</v>
      </c>
      <c r="O43" s="12">
        <f ca="1">SUMIFS(TableDailySummary[Tienda 81_orders],TableDailySummary[Fecha],"&gt;="&amp;TableWeeklySummary[[#This Row],[Desde]],TableDailySummary[Fecha],"&lt;="&amp;TableWeeklySummary[[#This Row],[Hasta]])</f>
        <v>0</v>
      </c>
      <c r="P43" s="12">
        <f ca="1">SUMIFS(TableDailySummary[Rappi_net_sales],TableDailySummary[Fecha],"&gt;="&amp;TableWeeklySummary[[#This Row],[Desde]],TableDailySummary[Fecha],"&lt;="&amp;TableWeeklySummary[[#This Row],[Hasta]])</f>
        <v>0</v>
      </c>
      <c r="Q43" s="12">
        <f ca="1">SUMIFS(TableDailySummary[Rappi_orders],TableDailySummary[Fecha],"&gt;="&amp;TableWeeklySummary[[#This Row],[Desde]],TableDailySummary[Fecha],"&lt;="&amp;TableWeeklySummary[[#This Row],[Hasta]])</f>
        <v>0</v>
      </c>
      <c r="R4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3" s="12">
        <f ca="1">SUMIFS(TableDailySummary[Inversión google ads],TableDailySummary[Fecha],"&gt;="&amp;TableWeeklySummary[[#This Row],[Desde]],TableDailySummary[Fecha],"&lt;="&amp;TableWeeklySummary[[#This Row],[Hasta]])</f>
        <v>0</v>
      </c>
      <c r="U43" s="12">
        <f ca="1">SUMIFS(TableDailySummary[Ventas google ads],TableDailySummary[Fecha],"&gt;="&amp;TableWeeklySummary[[#This Row],[Desde]],TableDailySummary[Fecha],"&lt;="&amp;TableWeeklySummary[[#This Row],[Hasta]])</f>
        <v>0</v>
      </c>
      <c r="V43" s="12">
        <f ca="1">SUMIFS(TableDailySummary[Inversión meta ads],TableDailySummary[Fecha],"&gt;="&amp;TableWeeklySummary[[#This Row],[Desde]],TableDailySummary[Fecha],"&lt;="&amp;TableWeeklySummary[[#This Row],[Hasta]])</f>
        <v>0</v>
      </c>
      <c r="W43" s="12">
        <f ca="1">SUMIFS(TableDailySummary[Ventas meta ads],TableDailySummary[Fecha],"&gt;="&amp;TableWeeklySummary[[#This Row],[Desde]],TableDailySummary[Fecha],"&lt;="&amp;TableWeeklySummary[[#This Row],[Hasta]])</f>
        <v>0</v>
      </c>
      <c r="X43" s="12">
        <f ca="1">TableWeeklySummary[[#This Row],[Inversión google ads]]+TableWeeklySummary[[#This Row],[Inversión meta ads]]</f>
        <v>0</v>
      </c>
      <c r="Y43" s="12">
        <f ca="1">TableWeeklySummary[[#This Row],[Ventas google ads]]+TableWeeklySummary[[#This Row],[Ventas meta ads]]</f>
        <v>0</v>
      </c>
      <c r="Z43" s="14">
        <f ca="1">IFERROR(TableWeeklySummary[[#This Row],[Ventas publicidad]]/TableWeeklySummary[[#This Row],[Inversión publicidad]],0)</f>
        <v>0</v>
      </c>
      <c r="AA43" s="14">
        <f ca="1">IFERROR(TableWeeklySummary[[#This Row],[Ventas primer cliente]]/TableWeeklySummary[[#This Row],[Inversión publicidad]],0)</f>
        <v>0</v>
      </c>
      <c r="AB43" s="14"/>
      <c r="AC43" s="12"/>
      <c r="AI4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3" s="12">
        <f ca="1">SUMIFS(TableDailySummary[Utilidad bruta],TableDailySummary[Fecha],"&gt;="&amp;TableWeeklySummary[[#This Row],[Desde]],TableDailySummary[Fecha],"&lt;="&amp;TableWeeklySummary[[#This Row],[Hasta]])</f>
        <v>0</v>
      </c>
      <c r="AL43" s="18">
        <f ca="1">IFERROR(TableWeeklySummary[[#This Row],[Utilidad bruta]]/TableWeeklySummary[[#This Row],[Ventas netas con costo registrado]],0)</f>
        <v>0</v>
      </c>
    </row>
    <row r="44" spans="2:38" x14ac:dyDescent="0.2">
      <c r="B44" s="16">
        <f ca="1">_xlfn.ISOWEEKNUM(TableWeeklySummary[[#This Row],[Hasta]])</f>
        <v>30</v>
      </c>
      <c r="C44" s="6">
        <f t="shared" ca="1" si="1"/>
        <v>46220</v>
      </c>
      <c r="D44" s="6">
        <f ca="1">TableWeeklySummary[[#This Row],[Desde]]+7-1</f>
        <v>46226</v>
      </c>
      <c r="E44" s="12">
        <f ca="1">SUMIFS(TableDailySummary[Ventas netas totales],TableDailySummary[Fecha],"&gt;="&amp;TableWeeklySummary[[#This Row],[Desde]],TableDailySummary[Fecha],"&lt;="&amp;TableWeeklySummary[[#This Row],[Hasta]])</f>
        <v>0</v>
      </c>
      <c r="F44" s="12">
        <f ca="1">SUMIFS(TableDailySummary[Órdenes totales],TableDailySummary[Fecha],"&gt;="&amp;TableWeeklySummary[[#This Row],[Desde]],TableDailySummary[Fecha],"&lt;="&amp;TableWeeklySummary[[#This Row],[Hasta]])</f>
        <v>0</v>
      </c>
      <c r="G44" s="12">
        <f ca="1">IFERROR(TableWeeklySummary[[#This Row],[Ventas netas totales]]/TableWeeklySummary[[#This Row],[Órdenes totales]],0)</f>
        <v>0</v>
      </c>
      <c r="H4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4" s="12">
        <f ca="1">TableWeeklySummary[[#This Row],[Órden promedio totales]]*TableWeeklySummary[[#This Row],[CR totales]]</f>
        <v>0</v>
      </c>
      <c r="J44" s="12">
        <f ca="1">SUMIFS(TableDailySummary[Ventas primer cliente],TableDailySummary[Fecha],"&gt;="&amp;TableWeeklySummary[[#This Row],[Desde]],TableDailySummary[Fecha],"&lt;="&amp;TableWeeklySummary[[#This Row],[Hasta]])</f>
        <v>0</v>
      </c>
      <c r="K44" s="12">
        <f ca="1">SUMIFS(TableDailySummary[Órdenes primer cliente],TableDailySummary[Fecha],"&gt;="&amp;TableWeeklySummary[[#This Row],[Desde]],TableDailySummary[Fecha],"&lt;="&amp;TableWeeklySummary[[#This Row],[Hasta]])</f>
        <v>0</v>
      </c>
      <c r="L44" s="12">
        <f ca="1">SUMIFS(TableDailySummary[Online Store_net_sales],TableDailySummary[Fecha],"&gt;="&amp;TableWeeklySummary[[#This Row],[Desde]],TableDailySummary[Fecha],"&lt;="&amp;TableWeeklySummary[[#This Row],[Hasta]])</f>
        <v>0</v>
      </c>
      <c r="M44" s="12">
        <f ca="1">SUMIFS(TableDailySummary[Online Store_orders],TableDailySummary[Fecha],"&gt;="&amp;TableWeeklySummary[[#This Row],[Desde]],TableDailySummary[Fecha],"&lt;="&amp;TableWeeklySummary[[#This Row],[Hasta]])</f>
        <v>0</v>
      </c>
      <c r="N44" s="12">
        <f ca="1">SUMIFS(TableDailySummary[Tienda 81_net_sales],TableDailySummary[Fecha],"&gt;="&amp;TableWeeklySummary[[#This Row],[Desde]],TableDailySummary[Fecha],"&lt;="&amp;TableWeeklySummary[[#This Row],[Hasta]])</f>
        <v>0</v>
      </c>
      <c r="O44" s="12">
        <f ca="1">SUMIFS(TableDailySummary[Tienda 81_orders],TableDailySummary[Fecha],"&gt;="&amp;TableWeeklySummary[[#This Row],[Desde]],TableDailySummary[Fecha],"&lt;="&amp;TableWeeklySummary[[#This Row],[Hasta]])</f>
        <v>0</v>
      </c>
      <c r="P44" s="12">
        <f ca="1">SUMIFS(TableDailySummary[Rappi_net_sales],TableDailySummary[Fecha],"&gt;="&amp;TableWeeklySummary[[#This Row],[Desde]],TableDailySummary[Fecha],"&lt;="&amp;TableWeeklySummary[[#This Row],[Hasta]])</f>
        <v>0</v>
      </c>
      <c r="Q44" s="12">
        <f ca="1">SUMIFS(TableDailySummary[Rappi_orders],TableDailySummary[Fecha],"&gt;="&amp;TableWeeklySummary[[#This Row],[Desde]],TableDailySummary[Fecha],"&lt;="&amp;TableWeeklySummary[[#This Row],[Hasta]])</f>
        <v>0</v>
      </c>
      <c r="R4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4" s="12">
        <f ca="1">SUMIFS(TableDailySummary[Inversión google ads],TableDailySummary[Fecha],"&gt;="&amp;TableWeeklySummary[[#This Row],[Desde]],TableDailySummary[Fecha],"&lt;="&amp;TableWeeklySummary[[#This Row],[Hasta]])</f>
        <v>0</v>
      </c>
      <c r="U44" s="12">
        <f ca="1">SUMIFS(TableDailySummary[Ventas google ads],TableDailySummary[Fecha],"&gt;="&amp;TableWeeklySummary[[#This Row],[Desde]],TableDailySummary[Fecha],"&lt;="&amp;TableWeeklySummary[[#This Row],[Hasta]])</f>
        <v>0</v>
      </c>
      <c r="V44" s="12">
        <f ca="1">SUMIFS(TableDailySummary[Inversión meta ads],TableDailySummary[Fecha],"&gt;="&amp;TableWeeklySummary[[#This Row],[Desde]],TableDailySummary[Fecha],"&lt;="&amp;TableWeeklySummary[[#This Row],[Hasta]])</f>
        <v>0</v>
      </c>
      <c r="W44" s="12">
        <f ca="1">SUMIFS(TableDailySummary[Ventas meta ads],TableDailySummary[Fecha],"&gt;="&amp;TableWeeklySummary[[#This Row],[Desde]],TableDailySummary[Fecha],"&lt;="&amp;TableWeeklySummary[[#This Row],[Hasta]])</f>
        <v>0</v>
      </c>
      <c r="X44" s="12">
        <f ca="1">TableWeeklySummary[[#This Row],[Inversión google ads]]+TableWeeklySummary[[#This Row],[Inversión meta ads]]</f>
        <v>0</v>
      </c>
      <c r="Y44" s="12">
        <f ca="1">TableWeeklySummary[[#This Row],[Ventas google ads]]+TableWeeklySummary[[#This Row],[Ventas meta ads]]</f>
        <v>0</v>
      </c>
      <c r="Z44" s="14">
        <f ca="1">IFERROR(TableWeeklySummary[[#This Row],[Ventas publicidad]]/TableWeeklySummary[[#This Row],[Inversión publicidad]],0)</f>
        <v>0</v>
      </c>
      <c r="AA44" s="14">
        <f ca="1">IFERROR(TableWeeklySummary[[#This Row],[Ventas primer cliente]]/TableWeeklySummary[[#This Row],[Inversión publicidad]],0)</f>
        <v>0</v>
      </c>
      <c r="AB44" s="14"/>
      <c r="AC44" s="12"/>
      <c r="AI4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4" s="12">
        <f ca="1">SUMIFS(TableDailySummary[Utilidad bruta],TableDailySummary[Fecha],"&gt;="&amp;TableWeeklySummary[[#This Row],[Desde]],TableDailySummary[Fecha],"&lt;="&amp;TableWeeklySummary[[#This Row],[Hasta]])</f>
        <v>0</v>
      </c>
      <c r="AL44" s="18">
        <f ca="1">IFERROR(TableWeeklySummary[[#This Row],[Utilidad bruta]]/TableWeeklySummary[[#This Row],[Ventas netas con costo registrado]],0)</f>
        <v>0</v>
      </c>
    </row>
    <row r="45" spans="2:38" x14ac:dyDescent="0.2">
      <c r="B45" s="16">
        <f ca="1">_xlfn.ISOWEEKNUM(TableWeeklySummary[[#This Row],[Hasta]])</f>
        <v>31</v>
      </c>
      <c r="C45" s="6">
        <f t="shared" ca="1" si="1"/>
        <v>46227</v>
      </c>
      <c r="D45" s="6">
        <f ca="1">TableWeeklySummary[[#This Row],[Desde]]+7-1</f>
        <v>46233</v>
      </c>
      <c r="E45" s="12">
        <f ca="1">SUMIFS(TableDailySummary[Ventas netas totales],TableDailySummary[Fecha],"&gt;="&amp;TableWeeklySummary[[#This Row],[Desde]],TableDailySummary[Fecha],"&lt;="&amp;TableWeeklySummary[[#This Row],[Hasta]])</f>
        <v>0</v>
      </c>
      <c r="F45" s="12">
        <f ca="1">SUMIFS(TableDailySummary[Órdenes totales],TableDailySummary[Fecha],"&gt;="&amp;TableWeeklySummary[[#This Row],[Desde]],TableDailySummary[Fecha],"&lt;="&amp;TableWeeklySummary[[#This Row],[Hasta]])</f>
        <v>0</v>
      </c>
      <c r="G45" s="12">
        <f ca="1">IFERROR(TableWeeklySummary[[#This Row],[Ventas netas totales]]/TableWeeklySummary[[#This Row],[Órdenes totales]],0)</f>
        <v>0</v>
      </c>
      <c r="H4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5" s="12">
        <f ca="1">TableWeeklySummary[[#This Row],[Órden promedio totales]]*TableWeeklySummary[[#This Row],[CR totales]]</f>
        <v>0</v>
      </c>
      <c r="J45" s="12">
        <f ca="1">SUMIFS(TableDailySummary[Ventas primer cliente],TableDailySummary[Fecha],"&gt;="&amp;TableWeeklySummary[[#This Row],[Desde]],TableDailySummary[Fecha],"&lt;="&amp;TableWeeklySummary[[#This Row],[Hasta]])</f>
        <v>0</v>
      </c>
      <c r="K45" s="12">
        <f ca="1">SUMIFS(TableDailySummary[Órdenes primer cliente],TableDailySummary[Fecha],"&gt;="&amp;TableWeeklySummary[[#This Row],[Desde]],TableDailySummary[Fecha],"&lt;="&amp;TableWeeklySummary[[#This Row],[Hasta]])</f>
        <v>0</v>
      </c>
      <c r="L45" s="12">
        <f ca="1">SUMIFS(TableDailySummary[Online Store_net_sales],TableDailySummary[Fecha],"&gt;="&amp;TableWeeklySummary[[#This Row],[Desde]],TableDailySummary[Fecha],"&lt;="&amp;TableWeeklySummary[[#This Row],[Hasta]])</f>
        <v>0</v>
      </c>
      <c r="M45" s="12">
        <f ca="1">SUMIFS(TableDailySummary[Online Store_orders],TableDailySummary[Fecha],"&gt;="&amp;TableWeeklySummary[[#This Row],[Desde]],TableDailySummary[Fecha],"&lt;="&amp;TableWeeklySummary[[#This Row],[Hasta]])</f>
        <v>0</v>
      </c>
      <c r="N45" s="12">
        <f ca="1">SUMIFS(TableDailySummary[Tienda 81_net_sales],TableDailySummary[Fecha],"&gt;="&amp;TableWeeklySummary[[#This Row],[Desde]],TableDailySummary[Fecha],"&lt;="&amp;TableWeeklySummary[[#This Row],[Hasta]])</f>
        <v>0</v>
      </c>
      <c r="O45" s="12">
        <f ca="1">SUMIFS(TableDailySummary[Tienda 81_orders],TableDailySummary[Fecha],"&gt;="&amp;TableWeeklySummary[[#This Row],[Desde]],TableDailySummary[Fecha],"&lt;="&amp;TableWeeklySummary[[#This Row],[Hasta]])</f>
        <v>0</v>
      </c>
      <c r="P45" s="12">
        <f ca="1">SUMIFS(TableDailySummary[Rappi_net_sales],TableDailySummary[Fecha],"&gt;="&amp;TableWeeklySummary[[#This Row],[Desde]],TableDailySummary[Fecha],"&lt;="&amp;TableWeeklySummary[[#This Row],[Hasta]])</f>
        <v>0</v>
      </c>
      <c r="Q45" s="12">
        <f ca="1">SUMIFS(TableDailySummary[Rappi_orders],TableDailySummary[Fecha],"&gt;="&amp;TableWeeklySummary[[#This Row],[Desde]],TableDailySummary[Fecha],"&lt;="&amp;TableWeeklySummary[[#This Row],[Hasta]])</f>
        <v>0</v>
      </c>
      <c r="R4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5" s="12">
        <f ca="1">SUMIFS(TableDailySummary[Inversión google ads],TableDailySummary[Fecha],"&gt;="&amp;TableWeeklySummary[[#This Row],[Desde]],TableDailySummary[Fecha],"&lt;="&amp;TableWeeklySummary[[#This Row],[Hasta]])</f>
        <v>0</v>
      </c>
      <c r="U45" s="12">
        <f ca="1">SUMIFS(TableDailySummary[Ventas google ads],TableDailySummary[Fecha],"&gt;="&amp;TableWeeklySummary[[#This Row],[Desde]],TableDailySummary[Fecha],"&lt;="&amp;TableWeeklySummary[[#This Row],[Hasta]])</f>
        <v>0</v>
      </c>
      <c r="V45" s="12">
        <f ca="1">SUMIFS(TableDailySummary[Inversión meta ads],TableDailySummary[Fecha],"&gt;="&amp;TableWeeklySummary[[#This Row],[Desde]],TableDailySummary[Fecha],"&lt;="&amp;TableWeeklySummary[[#This Row],[Hasta]])</f>
        <v>0</v>
      </c>
      <c r="W45" s="12">
        <f ca="1">SUMIFS(TableDailySummary[Ventas meta ads],TableDailySummary[Fecha],"&gt;="&amp;TableWeeklySummary[[#This Row],[Desde]],TableDailySummary[Fecha],"&lt;="&amp;TableWeeklySummary[[#This Row],[Hasta]])</f>
        <v>0</v>
      </c>
      <c r="X45" s="12">
        <f ca="1">TableWeeklySummary[[#This Row],[Inversión google ads]]+TableWeeklySummary[[#This Row],[Inversión meta ads]]</f>
        <v>0</v>
      </c>
      <c r="Y45" s="12">
        <f ca="1">TableWeeklySummary[[#This Row],[Ventas google ads]]+TableWeeklySummary[[#This Row],[Ventas meta ads]]</f>
        <v>0</v>
      </c>
      <c r="Z45" s="14">
        <f ca="1">IFERROR(TableWeeklySummary[[#This Row],[Ventas publicidad]]/TableWeeklySummary[[#This Row],[Inversión publicidad]],0)</f>
        <v>0</v>
      </c>
      <c r="AA45" s="14">
        <f ca="1">IFERROR(TableWeeklySummary[[#This Row],[Ventas primer cliente]]/TableWeeklySummary[[#This Row],[Inversión publicidad]],0)</f>
        <v>0</v>
      </c>
      <c r="AB45" s="14"/>
      <c r="AC45" s="12"/>
      <c r="AI4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5" s="12">
        <f ca="1">SUMIFS(TableDailySummary[Utilidad bruta],TableDailySummary[Fecha],"&gt;="&amp;TableWeeklySummary[[#This Row],[Desde]],TableDailySummary[Fecha],"&lt;="&amp;TableWeeklySummary[[#This Row],[Hasta]])</f>
        <v>0</v>
      </c>
      <c r="AL45" s="18">
        <f ca="1">IFERROR(TableWeeklySummary[[#This Row],[Utilidad bruta]]/TableWeeklySummary[[#This Row],[Ventas netas con costo registrado]],0)</f>
        <v>0</v>
      </c>
    </row>
    <row r="46" spans="2:38" x14ac:dyDescent="0.2">
      <c r="B46" s="16">
        <f ca="1">_xlfn.ISOWEEKNUM(TableWeeklySummary[[#This Row],[Hasta]])</f>
        <v>32</v>
      </c>
      <c r="C46" s="6">
        <f t="shared" ca="1" si="1"/>
        <v>46234</v>
      </c>
      <c r="D46" s="6">
        <f ca="1">TableWeeklySummary[[#This Row],[Desde]]+7-1</f>
        <v>46240</v>
      </c>
      <c r="E46" s="12">
        <f ca="1">SUMIFS(TableDailySummary[Ventas netas totales],TableDailySummary[Fecha],"&gt;="&amp;TableWeeklySummary[[#This Row],[Desde]],TableDailySummary[Fecha],"&lt;="&amp;TableWeeklySummary[[#This Row],[Hasta]])</f>
        <v>0</v>
      </c>
      <c r="F46" s="12">
        <f ca="1">SUMIFS(TableDailySummary[Órdenes totales],TableDailySummary[Fecha],"&gt;="&amp;TableWeeklySummary[[#This Row],[Desde]],TableDailySummary[Fecha],"&lt;="&amp;TableWeeklySummary[[#This Row],[Hasta]])</f>
        <v>0</v>
      </c>
      <c r="G46" s="12">
        <f ca="1">IFERROR(TableWeeklySummary[[#This Row],[Ventas netas totales]]/TableWeeklySummary[[#This Row],[Órdenes totales]],0)</f>
        <v>0</v>
      </c>
      <c r="H4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6" s="12">
        <f ca="1">TableWeeklySummary[[#This Row],[Órden promedio totales]]*TableWeeklySummary[[#This Row],[CR totales]]</f>
        <v>0</v>
      </c>
      <c r="J46" s="12">
        <f ca="1">SUMIFS(TableDailySummary[Ventas primer cliente],TableDailySummary[Fecha],"&gt;="&amp;TableWeeklySummary[[#This Row],[Desde]],TableDailySummary[Fecha],"&lt;="&amp;TableWeeklySummary[[#This Row],[Hasta]])</f>
        <v>0</v>
      </c>
      <c r="K46" s="12">
        <f ca="1">SUMIFS(TableDailySummary[Órdenes primer cliente],TableDailySummary[Fecha],"&gt;="&amp;TableWeeklySummary[[#This Row],[Desde]],TableDailySummary[Fecha],"&lt;="&amp;TableWeeklySummary[[#This Row],[Hasta]])</f>
        <v>0</v>
      </c>
      <c r="L46" s="12">
        <f ca="1">SUMIFS(TableDailySummary[Online Store_net_sales],TableDailySummary[Fecha],"&gt;="&amp;TableWeeklySummary[[#This Row],[Desde]],TableDailySummary[Fecha],"&lt;="&amp;TableWeeklySummary[[#This Row],[Hasta]])</f>
        <v>0</v>
      </c>
      <c r="M46" s="12">
        <f ca="1">SUMIFS(TableDailySummary[Online Store_orders],TableDailySummary[Fecha],"&gt;="&amp;TableWeeklySummary[[#This Row],[Desde]],TableDailySummary[Fecha],"&lt;="&amp;TableWeeklySummary[[#This Row],[Hasta]])</f>
        <v>0</v>
      </c>
      <c r="N46" s="12">
        <f ca="1">SUMIFS(TableDailySummary[Tienda 81_net_sales],TableDailySummary[Fecha],"&gt;="&amp;TableWeeklySummary[[#This Row],[Desde]],TableDailySummary[Fecha],"&lt;="&amp;TableWeeklySummary[[#This Row],[Hasta]])</f>
        <v>0</v>
      </c>
      <c r="O46" s="12">
        <f ca="1">SUMIFS(TableDailySummary[Tienda 81_orders],TableDailySummary[Fecha],"&gt;="&amp;TableWeeklySummary[[#This Row],[Desde]],TableDailySummary[Fecha],"&lt;="&amp;TableWeeklySummary[[#This Row],[Hasta]])</f>
        <v>0</v>
      </c>
      <c r="P46" s="12">
        <f ca="1">SUMIFS(TableDailySummary[Rappi_net_sales],TableDailySummary[Fecha],"&gt;="&amp;TableWeeklySummary[[#This Row],[Desde]],TableDailySummary[Fecha],"&lt;="&amp;TableWeeklySummary[[#This Row],[Hasta]])</f>
        <v>0</v>
      </c>
      <c r="Q46" s="12">
        <f ca="1">SUMIFS(TableDailySummary[Rappi_orders],TableDailySummary[Fecha],"&gt;="&amp;TableWeeklySummary[[#This Row],[Desde]],TableDailySummary[Fecha],"&lt;="&amp;TableWeeklySummary[[#This Row],[Hasta]])</f>
        <v>0</v>
      </c>
      <c r="R4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6" s="12">
        <f ca="1">SUMIFS(TableDailySummary[Inversión google ads],TableDailySummary[Fecha],"&gt;="&amp;TableWeeklySummary[[#This Row],[Desde]],TableDailySummary[Fecha],"&lt;="&amp;TableWeeklySummary[[#This Row],[Hasta]])</f>
        <v>0</v>
      </c>
      <c r="U46" s="12">
        <f ca="1">SUMIFS(TableDailySummary[Ventas google ads],TableDailySummary[Fecha],"&gt;="&amp;TableWeeklySummary[[#This Row],[Desde]],TableDailySummary[Fecha],"&lt;="&amp;TableWeeklySummary[[#This Row],[Hasta]])</f>
        <v>0</v>
      </c>
      <c r="V46" s="12">
        <f ca="1">SUMIFS(TableDailySummary[Inversión meta ads],TableDailySummary[Fecha],"&gt;="&amp;TableWeeklySummary[[#This Row],[Desde]],TableDailySummary[Fecha],"&lt;="&amp;TableWeeklySummary[[#This Row],[Hasta]])</f>
        <v>0</v>
      </c>
      <c r="W46" s="12">
        <f ca="1">SUMIFS(TableDailySummary[Ventas meta ads],TableDailySummary[Fecha],"&gt;="&amp;TableWeeklySummary[[#This Row],[Desde]],TableDailySummary[Fecha],"&lt;="&amp;TableWeeklySummary[[#This Row],[Hasta]])</f>
        <v>0</v>
      </c>
      <c r="X46" s="12">
        <f ca="1">TableWeeklySummary[[#This Row],[Inversión google ads]]+TableWeeklySummary[[#This Row],[Inversión meta ads]]</f>
        <v>0</v>
      </c>
      <c r="Y46" s="12">
        <f ca="1">TableWeeklySummary[[#This Row],[Ventas google ads]]+TableWeeklySummary[[#This Row],[Ventas meta ads]]</f>
        <v>0</v>
      </c>
      <c r="Z46" s="14">
        <f ca="1">IFERROR(TableWeeklySummary[[#This Row],[Ventas publicidad]]/TableWeeklySummary[[#This Row],[Inversión publicidad]],0)</f>
        <v>0</v>
      </c>
      <c r="AA46" s="14">
        <f ca="1">IFERROR(TableWeeklySummary[[#This Row],[Ventas primer cliente]]/TableWeeklySummary[[#This Row],[Inversión publicidad]],0)</f>
        <v>0</v>
      </c>
      <c r="AB46" s="14"/>
      <c r="AC46" s="12"/>
      <c r="AI4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6" s="12">
        <f ca="1">SUMIFS(TableDailySummary[Utilidad bruta],TableDailySummary[Fecha],"&gt;="&amp;TableWeeklySummary[[#This Row],[Desde]],TableDailySummary[Fecha],"&lt;="&amp;TableWeeklySummary[[#This Row],[Hasta]])</f>
        <v>0</v>
      </c>
      <c r="AL46" s="18">
        <f ca="1">IFERROR(TableWeeklySummary[[#This Row],[Utilidad bruta]]/TableWeeklySummary[[#This Row],[Ventas netas con costo registrado]],0)</f>
        <v>0</v>
      </c>
    </row>
    <row r="47" spans="2:38" x14ac:dyDescent="0.2">
      <c r="B47" s="16">
        <f ca="1">_xlfn.ISOWEEKNUM(TableWeeklySummary[[#This Row],[Hasta]])</f>
        <v>33</v>
      </c>
      <c r="C47" s="6">
        <f t="shared" ca="1" si="1"/>
        <v>46241</v>
      </c>
      <c r="D47" s="6">
        <f ca="1">TableWeeklySummary[[#This Row],[Desde]]+7-1</f>
        <v>46247</v>
      </c>
      <c r="E47" s="12">
        <f ca="1">SUMIFS(TableDailySummary[Ventas netas totales],TableDailySummary[Fecha],"&gt;="&amp;TableWeeklySummary[[#This Row],[Desde]],TableDailySummary[Fecha],"&lt;="&amp;TableWeeklySummary[[#This Row],[Hasta]])</f>
        <v>0</v>
      </c>
      <c r="F47" s="12">
        <f ca="1">SUMIFS(TableDailySummary[Órdenes totales],TableDailySummary[Fecha],"&gt;="&amp;TableWeeklySummary[[#This Row],[Desde]],TableDailySummary[Fecha],"&lt;="&amp;TableWeeklySummary[[#This Row],[Hasta]])</f>
        <v>0</v>
      </c>
      <c r="G47" s="12">
        <f ca="1">IFERROR(TableWeeklySummary[[#This Row],[Ventas netas totales]]/TableWeeklySummary[[#This Row],[Órdenes totales]],0)</f>
        <v>0</v>
      </c>
      <c r="H4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7" s="12">
        <f ca="1">TableWeeklySummary[[#This Row],[Órden promedio totales]]*TableWeeklySummary[[#This Row],[CR totales]]</f>
        <v>0</v>
      </c>
      <c r="J47" s="12">
        <f ca="1">SUMIFS(TableDailySummary[Ventas primer cliente],TableDailySummary[Fecha],"&gt;="&amp;TableWeeklySummary[[#This Row],[Desde]],TableDailySummary[Fecha],"&lt;="&amp;TableWeeklySummary[[#This Row],[Hasta]])</f>
        <v>0</v>
      </c>
      <c r="K47" s="12">
        <f ca="1">SUMIFS(TableDailySummary[Órdenes primer cliente],TableDailySummary[Fecha],"&gt;="&amp;TableWeeklySummary[[#This Row],[Desde]],TableDailySummary[Fecha],"&lt;="&amp;TableWeeklySummary[[#This Row],[Hasta]])</f>
        <v>0</v>
      </c>
      <c r="L47" s="12">
        <f ca="1">SUMIFS(TableDailySummary[Online Store_net_sales],TableDailySummary[Fecha],"&gt;="&amp;TableWeeklySummary[[#This Row],[Desde]],TableDailySummary[Fecha],"&lt;="&amp;TableWeeklySummary[[#This Row],[Hasta]])</f>
        <v>0</v>
      </c>
      <c r="M47" s="12">
        <f ca="1">SUMIFS(TableDailySummary[Online Store_orders],TableDailySummary[Fecha],"&gt;="&amp;TableWeeklySummary[[#This Row],[Desde]],TableDailySummary[Fecha],"&lt;="&amp;TableWeeklySummary[[#This Row],[Hasta]])</f>
        <v>0</v>
      </c>
      <c r="N47" s="12">
        <f ca="1">SUMIFS(TableDailySummary[Tienda 81_net_sales],TableDailySummary[Fecha],"&gt;="&amp;TableWeeklySummary[[#This Row],[Desde]],TableDailySummary[Fecha],"&lt;="&amp;TableWeeklySummary[[#This Row],[Hasta]])</f>
        <v>0</v>
      </c>
      <c r="O47" s="12">
        <f ca="1">SUMIFS(TableDailySummary[Tienda 81_orders],TableDailySummary[Fecha],"&gt;="&amp;TableWeeklySummary[[#This Row],[Desde]],TableDailySummary[Fecha],"&lt;="&amp;TableWeeklySummary[[#This Row],[Hasta]])</f>
        <v>0</v>
      </c>
      <c r="P47" s="12">
        <f ca="1">SUMIFS(TableDailySummary[Rappi_net_sales],TableDailySummary[Fecha],"&gt;="&amp;TableWeeklySummary[[#This Row],[Desde]],TableDailySummary[Fecha],"&lt;="&amp;TableWeeklySummary[[#This Row],[Hasta]])</f>
        <v>0</v>
      </c>
      <c r="Q47" s="12">
        <f ca="1">SUMIFS(TableDailySummary[Rappi_orders],TableDailySummary[Fecha],"&gt;="&amp;TableWeeklySummary[[#This Row],[Desde]],TableDailySummary[Fecha],"&lt;="&amp;TableWeeklySummary[[#This Row],[Hasta]])</f>
        <v>0</v>
      </c>
      <c r="R4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7" s="12">
        <f ca="1">SUMIFS(TableDailySummary[Inversión google ads],TableDailySummary[Fecha],"&gt;="&amp;TableWeeklySummary[[#This Row],[Desde]],TableDailySummary[Fecha],"&lt;="&amp;TableWeeklySummary[[#This Row],[Hasta]])</f>
        <v>0</v>
      </c>
      <c r="U47" s="12">
        <f ca="1">SUMIFS(TableDailySummary[Ventas google ads],TableDailySummary[Fecha],"&gt;="&amp;TableWeeklySummary[[#This Row],[Desde]],TableDailySummary[Fecha],"&lt;="&amp;TableWeeklySummary[[#This Row],[Hasta]])</f>
        <v>0</v>
      </c>
      <c r="V47" s="12">
        <f ca="1">SUMIFS(TableDailySummary[Inversión meta ads],TableDailySummary[Fecha],"&gt;="&amp;TableWeeklySummary[[#This Row],[Desde]],TableDailySummary[Fecha],"&lt;="&amp;TableWeeklySummary[[#This Row],[Hasta]])</f>
        <v>0</v>
      </c>
      <c r="W47" s="12">
        <f ca="1">SUMIFS(TableDailySummary[Ventas meta ads],TableDailySummary[Fecha],"&gt;="&amp;TableWeeklySummary[[#This Row],[Desde]],TableDailySummary[Fecha],"&lt;="&amp;TableWeeklySummary[[#This Row],[Hasta]])</f>
        <v>0</v>
      </c>
      <c r="X47" s="12">
        <f ca="1">TableWeeklySummary[[#This Row],[Inversión google ads]]+TableWeeklySummary[[#This Row],[Inversión meta ads]]</f>
        <v>0</v>
      </c>
      <c r="Y47" s="12">
        <f ca="1">TableWeeklySummary[[#This Row],[Ventas google ads]]+TableWeeklySummary[[#This Row],[Ventas meta ads]]</f>
        <v>0</v>
      </c>
      <c r="Z47" s="14">
        <f ca="1">IFERROR(TableWeeklySummary[[#This Row],[Ventas publicidad]]/TableWeeklySummary[[#This Row],[Inversión publicidad]],0)</f>
        <v>0</v>
      </c>
      <c r="AA47" s="14">
        <f ca="1">IFERROR(TableWeeklySummary[[#This Row],[Ventas primer cliente]]/TableWeeklySummary[[#This Row],[Inversión publicidad]],0)</f>
        <v>0</v>
      </c>
      <c r="AB47" s="14"/>
      <c r="AC47" s="12"/>
      <c r="AI4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7" s="12">
        <f ca="1">SUMIFS(TableDailySummary[Utilidad bruta],TableDailySummary[Fecha],"&gt;="&amp;TableWeeklySummary[[#This Row],[Desde]],TableDailySummary[Fecha],"&lt;="&amp;TableWeeklySummary[[#This Row],[Hasta]])</f>
        <v>0</v>
      </c>
      <c r="AL47" s="18">
        <f ca="1">IFERROR(TableWeeklySummary[[#This Row],[Utilidad bruta]]/TableWeeklySummary[[#This Row],[Ventas netas con costo registrado]],0)</f>
        <v>0</v>
      </c>
    </row>
    <row r="48" spans="2:38" x14ac:dyDescent="0.2">
      <c r="B48" s="16">
        <f ca="1">_xlfn.ISOWEEKNUM(TableWeeklySummary[[#This Row],[Hasta]])</f>
        <v>34</v>
      </c>
      <c r="C48" s="6">
        <f t="shared" ca="1" si="1"/>
        <v>46248</v>
      </c>
      <c r="D48" s="6">
        <f ca="1">TableWeeklySummary[[#This Row],[Desde]]+7-1</f>
        <v>46254</v>
      </c>
      <c r="E48" s="12">
        <f ca="1">SUMIFS(TableDailySummary[Ventas netas totales],TableDailySummary[Fecha],"&gt;="&amp;TableWeeklySummary[[#This Row],[Desde]],TableDailySummary[Fecha],"&lt;="&amp;TableWeeklySummary[[#This Row],[Hasta]])</f>
        <v>0</v>
      </c>
      <c r="F48" s="12">
        <f ca="1">SUMIFS(TableDailySummary[Órdenes totales],TableDailySummary[Fecha],"&gt;="&amp;TableWeeklySummary[[#This Row],[Desde]],TableDailySummary[Fecha],"&lt;="&amp;TableWeeklySummary[[#This Row],[Hasta]])</f>
        <v>0</v>
      </c>
      <c r="G48" s="12">
        <f ca="1">IFERROR(TableWeeklySummary[[#This Row],[Ventas netas totales]]/TableWeeklySummary[[#This Row],[Órdenes totales]],0)</f>
        <v>0</v>
      </c>
      <c r="H4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8" s="12">
        <f ca="1">TableWeeklySummary[[#This Row],[Órden promedio totales]]*TableWeeklySummary[[#This Row],[CR totales]]</f>
        <v>0</v>
      </c>
      <c r="J48" s="12">
        <f ca="1">SUMIFS(TableDailySummary[Ventas primer cliente],TableDailySummary[Fecha],"&gt;="&amp;TableWeeklySummary[[#This Row],[Desde]],TableDailySummary[Fecha],"&lt;="&amp;TableWeeklySummary[[#This Row],[Hasta]])</f>
        <v>0</v>
      </c>
      <c r="K48" s="12">
        <f ca="1">SUMIFS(TableDailySummary[Órdenes primer cliente],TableDailySummary[Fecha],"&gt;="&amp;TableWeeklySummary[[#This Row],[Desde]],TableDailySummary[Fecha],"&lt;="&amp;TableWeeklySummary[[#This Row],[Hasta]])</f>
        <v>0</v>
      </c>
      <c r="L48" s="12">
        <f ca="1">SUMIFS(TableDailySummary[Online Store_net_sales],TableDailySummary[Fecha],"&gt;="&amp;TableWeeklySummary[[#This Row],[Desde]],TableDailySummary[Fecha],"&lt;="&amp;TableWeeklySummary[[#This Row],[Hasta]])</f>
        <v>0</v>
      </c>
      <c r="M48" s="12">
        <f ca="1">SUMIFS(TableDailySummary[Online Store_orders],TableDailySummary[Fecha],"&gt;="&amp;TableWeeklySummary[[#This Row],[Desde]],TableDailySummary[Fecha],"&lt;="&amp;TableWeeklySummary[[#This Row],[Hasta]])</f>
        <v>0</v>
      </c>
      <c r="N48" s="12">
        <f ca="1">SUMIFS(TableDailySummary[Tienda 81_net_sales],TableDailySummary[Fecha],"&gt;="&amp;TableWeeklySummary[[#This Row],[Desde]],TableDailySummary[Fecha],"&lt;="&amp;TableWeeklySummary[[#This Row],[Hasta]])</f>
        <v>0</v>
      </c>
      <c r="O48" s="12">
        <f ca="1">SUMIFS(TableDailySummary[Tienda 81_orders],TableDailySummary[Fecha],"&gt;="&amp;TableWeeklySummary[[#This Row],[Desde]],TableDailySummary[Fecha],"&lt;="&amp;TableWeeklySummary[[#This Row],[Hasta]])</f>
        <v>0</v>
      </c>
      <c r="P48" s="12">
        <f ca="1">SUMIFS(TableDailySummary[Rappi_net_sales],TableDailySummary[Fecha],"&gt;="&amp;TableWeeklySummary[[#This Row],[Desde]],TableDailySummary[Fecha],"&lt;="&amp;TableWeeklySummary[[#This Row],[Hasta]])</f>
        <v>0</v>
      </c>
      <c r="Q48" s="12">
        <f ca="1">SUMIFS(TableDailySummary[Rappi_orders],TableDailySummary[Fecha],"&gt;="&amp;TableWeeklySummary[[#This Row],[Desde]],TableDailySummary[Fecha],"&lt;="&amp;TableWeeklySummary[[#This Row],[Hasta]])</f>
        <v>0</v>
      </c>
      <c r="R4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8" s="12">
        <f ca="1">SUMIFS(TableDailySummary[Inversión google ads],TableDailySummary[Fecha],"&gt;="&amp;TableWeeklySummary[[#This Row],[Desde]],TableDailySummary[Fecha],"&lt;="&amp;TableWeeklySummary[[#This Row],[Hasta]])</f>
        <v>0</v>
      </c>
      <c r="U48" s="12">
        <f ca="1">SUMIFS(TableDailySummary[Ventas google ads],TableDailySummary[Fecha],"&gt;="&amp;TableWeeklySummary[[#This Row],[Desde]],TableDailySummary[Fecha],"&lt;="&amp;TableWeeklySummary[[#This Row],[Hasta]])</f>
        <v>0</v>
      </c>
      <c r="V48" s="12">
        <f ca="1">SUMIFS(TableDailySummary[Inversión meta ads],TableDailySummary[Fecha],"&gt;="&amp;TableWeeklySummary[[#This Row],[Desde]],TableDailySummary[Fecha],"&lt;="&amp;TableWeeklySummary[[#This Row],[Hasta]])</f>
        <v>0</v>
      </c>
      <c r="W48" s="12">
        <f ca="1">SUMIFS(TableDailySummary[Ventas meta ads],TableDailySummary[Fecha],"&gt;="&amp;TableWeeklySummary[[#This Row],[Desde]],TableDailySummary[Fecha],"&lt;="&amp;TableWeeklySummary[[#This Row],[Hasta]])</f>
        <v>0</v>
      </c>
      <c r="X48" s="12">
        <f ca="1">TableWeeklySummary[[#This Row],[Inversión google ads]]+TableWeeklySummary[[#This Row],[Inversión meta ads]]</f>
        <v>0</v>
      </c>
      <c r="Y48" s="12">
        <f ca="1">TableWeeklySummary[[#This Row],[Ventas google ads]]+TableWeeklySummary[[#This Row],[Ventas meta ads]]</f>
        <v>0</v>
      </c>
      <c r="Z48" s="14">
        <f ca="1">IFERROR(TableWeeklySummary[[#This Row],[Ventas publicidad]]/TableWeeklySummary[[#This Row],[Inversión publicidad]],0)</f>
        <v>0</v>
      </c>
      <c r="AA48" s="14">
        <f ca="1">IFERROR(TableWeeklySummary[[#This Row],[Ventas primer cliente]]/TableWeeklySummary[[#This Row],[Inversión publicidad]],0)</f>
        <v>0</v>
      </c>
      <c r="AB48" s="14"/>
      <c r="AC48" s="12"/>
      <c r="AI4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8" s="12">
        <f ca="1">SUMIFS(TableDailySummary[Utilidad bruta],TableDailySummary[Fecha],"&gt;="&amp;TableWeeklySummary[[#This Row],[Desde]],TableDailySummary[Fecha],"&lt;="&amp;TableWeeklySummary[[#This Row],[Hasta]])</f>
        <v>0</v>
      </c>
      <c r="AL48" s="18">
        <f ca="1">IFERROR(TableWeeklySummary[[#This Row],[Utilidad bruta]]/TableWeeklySummary[[#This Row],[Ventas netas con costo registrado]],0)</f>
        <v>0</v>
      </c>
    </row>
    <row r="49" spans="2:38" x14ac:dyDescent="0.2">
      <c r="B49" s="16">
        <f ca="1">_xlfn.ISOWEEKNUM(TableWeeklySummary[[#This Row],[Hasta]])</f>
        <v>35</v>
      </c>
      <c r="C49" s="6">
        <f t="shared" ca="1" si="1"/>
        <v>46255</v>
      </c>
      <c r="D49" s="6">
        <f ca="1">TableWeeklySummary[[#This Row],[Desde]]+7-1</f>
        <v>46261</v>
      </c>
      <c r="E49" s="12">
        <f ca="1">SUMIFS(TableDailySummary[Ventas netas totales],TableDailySummary[Fecha],"&gt;="&amp;TableWeeklySummary[[#This Row],[Desde]],TableDailySummary[Fecha],"&lt;="&amp;TableWeeklySummary[[#This Row],[Hasta]])</f>
        <v>0</v>
      </c>
      <c r="F49" s="12">
        <f ca="1">SUMIFS(TableDailySummary[Órdenes totales],TableDailySummary[Fecha],"&gt;="&amp;TableWeeklySummary[[#This Row],[Desde]],TableDailySummary[Fecha],"&lt;="&amp;TableWeeklySummary[[#This Row],[Hasta]])</f>
        <v>0</v>
      </c>
      <c r="G49" s="12">
        <f ca="1">IFERROR(TableWeeklySummary[[#This Row],[Ventas netas totales]]/TableWeeklySummary[[#This Row],[Órdenes totales]],0)</f>
        <v>0</v>
      </c>
      <c r="H4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9" s="12">
        <f ca="1">TableWeeklySummary[[#This Row],[Órden promedio totales]]*TableWeeklySummary[[#This Row],[CR totales]]</f>
        <v>0</v>
      </c>
      <c r="J49" s="12">
        <f ca="1">SUMIFS(TableDailySummary[Ventas primer cliente],TableDailySummary[Fecha],"&gt;="&amp;TableWeeklySummary[[#This Row],[Desde]],TableDailySummary[Fecha],"&lt;="&amp;TableWeeklySummary[[#This Row],[Hasta]])</f>
        <v>0</v>
      </c>
      <c r="K49" s="12">
        <f ca="1">SUMIFS(TableDailySummary[Órdenes primer cliente],TableDailySummary[Fecha],"&gt;="&amp;TableWeeklySummary[[#This Row],[Desde]],TableDailySummary[Fecha],"&lt;="&amp;TableWeeklySummary[[#This Row],[Hasta]])</f>
        <v>0</v>
      </c>
      <c r="L49" s="12">
        <f ca="1">SUMIFS(TableDailySummary[Online Store_net_sales],TableDailySummary[Fecha],"&gt;="&amp;TableWeeklySummary[[#This Row],[Desde]],TableDailySummary[Fecha],"&lt;="&amp;TableWeeklySummary[[#This Row],[Hasta]])</f>
        <v>0</v>
      </c>
      <c r="M49" s="12">
        <f ca="1">SUMIFS(TableDailySummary[Online Store_orders],TableDailySummary[Fecha],"&gt;="&amp;TableWeeklySummary[[#This Row],[Desde]],TableDailySummary[Fecha],"&lt;="&amp;TableWeeklySummary[[#This Row],[Hasta]])</f>
        <v>0</v>
      </c>
      <c r="N49" s="12">
        <f ca="1">SUMIFS(TableDailySummary[Tienda 81_net_sales],TableDailySummary[Fecha],"&gt;="&amp;TableWeeklySummary[[#This Row],[Desde]],TableDailySummary[Fecha],"&lt;="&amp;TableWeeklySummary[[#This Row],[Hasta]])</f>
        <v>0</v>
      </c>
      <c r="O49" s="12">
        <f ca="1">SUMIFS(TableDailySummary[Tienda 81_orders],TableDailySummary[Fecha],"&gt;="&amp;TableWeeklySummary[[#This Row],[Desde]],TableDailySummary[Fecha],"&lt;="&amp;TableWeeklySummary[[#This Row],[Hasta]])</f>
        <v>0</v>
      </c>
      <c r="P49" s="12">
        <f ca="1">SUMIFS(TableDailySummary[Rappi_net_sales],TableDailySummary[Fecha],"&gt;="&amp;TableWeeklySummary[[#This Row],[Desde]],TableDailySummary[Fecha],"&lt;="&amp;TableWeeklySummary[[#This Row],[Hasta]])</f>
        <v>0</v>
      </c>
      <c r="Q49" s="12">
        <f ca="1">SUMIFS(TableDailySummary[Rappi_orders],TableDailySummary[Fecha],"&gt;="&amp;TableWeeklySummary[[#This Row],[Desde]],TableDailySummary[Fecha],"&lt;="&amp;TableWeeklySummary[[#This Row],[Hasta]])</f>
        <v>0</v>
      </c>
      <c r="R4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9" s="12">
        <f ca="1">SUMIFS(TableDailySummary[Inversión google ads],TableDailySummary[Fecha],"&gt;="&amp;TableWeeklySummary[[#This Row],[Desde]],TableDailySummary[Fecha],"&lt;="&amp;TableWeeklySummary[[#This Row],[Hasta]])</f>
        <v>0</v>
      </c>
      <c r="U49" s="12">
        <f ca="1">SUMIFS(TableDailySummary[Ventas google ads],TableDailySummary[Fecha],"&gt;="&amp;TableWeeklySummary[[#This Row],[Desde]],TableDailySummary[Fecha],"&lt;="&amp;TableWeeklySummary[[#This Row],[Hasta]])</f>
        <v>0</v>
      </c>
      <c r="V49" s="12">
        <f ca="1">SUMIFS(TableDailySummary[Inversión meta ads],TableDailySummary[Fecha],"&gt;="&amp;TableWeeklySummary[[#This Row],[Desde]],TableDailySummary[Fecha],"&lt;="&amp;TableWeeklySummary[[#This Row],[Hasta]])</f>
        <v>0</v>
      </c>
      <c r="W49" s="12">
        <f ca="1">SUMIFS(TableDailySummary[Ventas meta ads],TableDailySummary[Fecha],"&gt;="&amp;TableWeeklySummary[[#This Row],[Desde]],TableDailySummary[Fecha],"&lt;="&amp;TableWeeklySummary[[#This Row],[Hasta]])</f>
        <v>0</v>
      </c>
      <c r="X49" s="12">
        <f ca="1">TableWeeklySummary[[#This Row],[Inversión google ads]]+TableWeeklySummary[[#This Row],[Inversión meta ads]]</f>
        <v>0</v>
      </c>
      <c r="Y49" s="12">
        <f ca="1">TableWeeklySummary[[#This Row],[Ventas google ads]]+TableWeeklySummary[[#This Row],[Ventas meta ads]]</f>
        <v>0</v>
      </c>
      <c r="Z49" s="14">
        <f ca="1">IFERROR(TableWeeklySummary[[#This Row],[Ventas publicidad]]/TableWeeklySummary[[#This Row],[Inversión publicidad]],0)</f>
        <v>0</v>
      </c>
      <c r="AA49" s="14">
        <f ca="1">IFERROR(TableWeeklySummary[[#This Row],[Ventas primer cliente]]/TableWeeklySummary[[#This Row],[Inversión publicidad]],0)</f>
        <v>0</v>
      </c>
      <c r="AB49" s="14"/>
      <c r="AC49" s="12"/>
      <c r="AI4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9" s="12">
        <f ca="1">SUMIFS(TableDailySummary[Utilidad bruta],TableDailySummary[Fecha],"&gt;="&amp;TableWeeklySummary[[#This Row],[Desde]],TableDailySummary[Fecha],"&lt;="&amp;TableWeeklySummary[[#This Row],[Hasta]])</f>
        <v>0</v>
      </c>
      <c r="AL49" s="18">
        <f ca="1">IFERROR(TableWeeklySummary[[#This Row],[Utilidad bruta]]/TableWeeklySummary[[#This Row],[Ventas netas con costo registrado]],0)</f>
        <v>0</v>
      </c>
    </row>
    <row r="50" spans="2:38" x14ac:dyDescent="0.2">
      <c r="B50" s="16">
        <f ca="1">_xlfn.ISOWEEKNUM(TableWeeklySummary[[#This Row],[Hasta]])</f>
        <v>36</v>
      </c>
      <c r="C50" s="6">
        <f t="shared" ca="1" si="1"/>
        <v>46262</v>
      </c>
      <c r="D50" s="6">
        <f ca="1">TableWeeklySummary[[#This Row],[Desde]]+7-1</f>
        <v>46268</v>
      </c>
      <c r="E50" s="12">
        <f ca="1">SUMIFS(TableDailySummary[Ventas netas totales],TableDailySummary[Fecha],"&gt;="&amp;TableWeeklySummary[[#This Row],[Desde]],TableDailySummary[Fecha],"&lt;="&amp;TableWeeklySummary[[#This Row],[Hasta]])</f>
        <v>0</v>
      </c>
      <c r="F50" s="12">
        <f ca="1">SUMIFS(TableDailySummary[Órdenes totales],TableDailySummary[Fecha],"&gt;="&amp;TableWeeklySummary[[#This Row],[Desde]],TableDailySummary[Fecha],"&lt;="&amp;TableWeeklySummary[[#This Row],[Hasta]])</f>
        <v>0</v>
      </c>
      <c r="G50" s="12">
        <f ca="1">IFERROR(TableWeeklySummary[[#This Row],[Ventas netas totales]]/TableWeeklySummary[[#This Row],[Órdenes totales]],0)</f>
        <v>0</v>
      </c>
      <c r="H5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0" s="12">
        <f ca="1">TableWeeklySummary[[#This Row],[Órden promedio totales]]*TableWeeklySummary[[#This Row],[CR totales]]</f>
        <v>0</v>
      </c>
      <c r="J50" s="12">
        <f ca="1">SUMIFS(TableDailySummary[Ventas primer cliente],TableDailySummary[Fecha],"&gt;="&amp;TableWeeklySummary[[#This Row],[Desde]],TableDailySummary[Fecha],"&lt;="&amp;TableWeeklySummary[[#This Row],[Hasta]])</f>
        <v>0</v>
      </c>
      <c r="K50" s="12">
        <f ca="1">SUMIFS(TableDailySummary[Órdenes primer cliente],TableDailySummary[Fecha],"&gt;="&amp;TableWeeklySummary[[#This Row],[Desde]],TableDailySummary[Fecha],"&lt;="&amp;TableWeeklySummary[[#This Row],[Hasta]])</f>
        <v>0</v>
      </c>
      <c r="L50" s="12">
        <f ca="1">SUMIFS(TableDailySummary[Online Store_net_sales],TableDailySummary[Fecha],"&gt;="&amp;TableWeeklySummary[[#This Row],[Desde]],TableDailySummary[Fecha],"&lt;="&amp;TableWeeklySummary[[#This Row],[Hasta]])</f>
        <v>0</v>
      </c>
      <c r="M50" s="12">
        <f ca="1">SUMIFS(TableDailySummary[Online Store_orders],TableDailySummary[Fecha],"&gt;="&amp;TableWeeklySummary[[#This Row],[Desde]],TableDailySummary[Fecha],"&lt;="&amp;TableWeeklySummary[[#This Row],[Hasta]])</f>
        <v>0</v>
      </c>
      <c r="N50" s="12">
        <f ca="1">SUMIFS(TableDailySummary[Tienda 81_net_sales],TableDailySummary[Fecha],"&gt;="&amp;TableWeeklySummary[[#This Row],[Desde]],TableDailySummary[Fecha],"&lt;="&amp;TableWeeklySummary[[#This Row],[Hasta]])</f>
        <v>0</v>
      </c>
      <c r="O50" s="12">
        <f ca="1">SUMIFS(TableDailySummary[Tienda 81_orders],TableDailySummary[Fecha],"&gt;="&amp;TableWeeklySummary[[#This Row],[Desde]],TableDailySummary[Fecha],"&lt;="&amp;TableWeeklySummary[[#This Row],[Hasta]])</f>
        <v>0</v>
      </c>
      <c r="P50" s="12">
        <f ca="1">SUMIFS(TableDailySummary[Rappi_net_sales],TableDailySummary[Fecha],"&gt;="&amp;TableWeeklySummary[[#This Row],[Desde]],TableDailySummary[Fecha],"&lt;="&amp;TableWeeklySummary[[#This Row],[Hasta]])</f>
        <v>0</v>
      </c>
      <c r="Q50" s="12">
        <f ca="1">SUMIFS(TableDailySummary[Rappi_orders],TableDailySummary[Fecha],"&gt;="&amp;TableWeeklySummary[[#This Row],[Desde]],TableDailySummary[Fecha],"&lt;="&amp;TableWeeklySummary[[#This Row],[Hasta]])</f>
        <v>0</v>
      </c>
      <c r="R5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0" s="12">
        <f ca="1">SUMIFS(TableDailySummary[Inversión google ads],TableDailySummary[Fecha],"&gt;="&amp;TableWeeklySummary[[#This Row],[Desde]],TableDailySummary[Fecha],"&lt;="&amp;TableWeeklySummary[[#This Row],[Hasta]])</f>
        <v>0</v>
      </c>
      <c r="U50" s="12">
        <f ca="1">SUMIFS(TableDailySummary[Ventas google ads],TableDailySummary[Fecha],"&gt;="&amp;TableWeeklySummary[[#This Row],[Desde]],TableDailySummary[Fecha],"&lt;="&amp;TableWeeklySummary[[#This Row],[Hasta]])</f>
        <v>0</v>
      </c>
      <c r="V50" s="12">
        <f ca="1">SUMIFS(TableDailySummary[Inversión meta ads],TableDailySummary[Fecha],"&gt;="&amp;TableWeeklySummary[[#This Row],[Desde]],TableDailySummary[Fecha],"&lt;="&amp;TableWeeklySummary[[#This Row],[Hasta]])</f>
        <v>0</v>
      </c>
      <c r="W50" s="12">
        <f ca="1">SUMIFS(TableDailySummary[Ventas meta ads],TableDailySummary[Fecha],"&gt;="&amp;TableWeeklySummary[[#This Row],[Desde]],TableDailySummary[Fecha],"&lt;="&amp;TableWeeklySummary[[#This Row],[Hasta]])</f>
        <v>0</v>
      </c>
      <c r="X50" s="12">
        <f ca="1">TableWeeklySummary[[#This Row],[Inversión google ads]]+TableWeeklySummary[[#This Row],[Inversión meta ads]]</f>
        <v>0</v>
      </c>
      <c r="Y50" s="12">
        <f ca="1">TableWeeklySummary[[#This Row],[Ventas google ads]]+TableWeeklySummary[[#This Row],[Ventas meta ads]]</f>
        <v>0</v>
      </c>
      <c r="Z50" s="14">
        <f ca="1">IFERROR(TableWeeklySummary[[#This Row],[Ventas publicidad]]/TableWeeklySummary[[#This Row],[Inversión publicidad]],0)</f>
        <v>0</v>
      </c>
      <c r="AA50" s="14">
        <f ca="1">IFERROR(TableWeeklySummary[[#This Row],[Ventas primer cliente]]/TableWeeklySummary[[#This Row],[Inversión publicidad]],0)</f>
        <v>0</v>
      </c>
      <c r="AB50" s="14"/>
      <c r="AC50" s="12"/>
      <c r="AI5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0" s="12">
        <f ca="1">SUMIFS(TableDailySummary[Utilidad bruta],TableDailySummary[Fecha],"&gt;="&amp;TableWeeklySummary[[#This Row],[Desde]],TableDailySummary[Fecha],"&lt;="&amp;TableWeeklySummary[[#This Row],[Hasta]])</f>
        <v>0</v>
      </c>
      <c r="AL50" s="18">
        <f ca="1">IFERROR(TableWeeklySummary[[#This Row],[Utilidad bruta]]/TableWeeklySummary[[#This Row],[Ventas netas con costo registrado]],0)</f>
        <v>0</v>
      </c>
    </row>
    <row r="51" spans="2:38" x14ac:dyDescent="0.2">
      <c r="B51" s="16">
        <f ca="1">_xlfn.ISOWEEKNUM(TableWeeklySummary[[#This Row],[Hasta]])</f>
        <v>37</v>
      </c>
      <c r="C51" s="6">
        <f t="shared" ca="1" si="1"/>
        <v>46269</v>
      </c>
      <c r="D51" s="6">
        <f ca="1">TableWeeklySummary[[#This Row],[Desde]]+7-1</f>
        <v>46275</v>
      </c>
      <c r="E51" s="12">
        <f ca="1">SUMIFS(TableDailySummary[Ventas netas totales],TableDailySummary[Fecha],"&gt;="&amp;TableWeeklySummary[[#This Row],[Desde]],TableDailySummary[Fecha],"&lt;="&amp;TableWeeklySummary[[#This Row],[Hasta]])</f>
        <v>0</v>
      </c>
      <c r="F51" s="12">
        <f ca="1">SUMIFS(TableDailySummary[Órdenes totales],TableDailySummary[Fecha],"&gt;="&amp;TableWeeklySummary[[#This Row],[Desde]],TableDailySummary[Fecha],"&lt;="&amp;TableWeeklySummary[[#This Row],[Hasta]])</f>
        <v>0</v>
      </c>
      <c r="G51" s="12">
        <f ca="1">IFERROR(TableWeeklySummary[[#This Row],[Ventas netas totales]]/TableWeeklySummary[[#This Row],[Órdenes totales]],0)</f>
        <v>0</v>
      </c>
      <c r="H5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1" s="12">
        <f ca="1">TableWeeklySummary[[#This Row],[Órden promedio totales]]*TableWeeklySummary[[#This Row],[CR totales]]</f>
        <v>0</v>
      </c>
      <c r="J51" s="12">
        <f ca="1">SUMIFS(TableDailySummary[Ventas primer cliente],TableDailySummary[Fecha],"&gt;="&amp;TableWeeklySummary[[#This Row],[Desde]],TableDailySummary[Fecha],"&lt;="&amp;TableWeeklySummary[[#This Row],[Hasta]])</f>
        <v>0</v>
      </c>
      <c r="K51" s="12">
        <f ca="1">SUMIFS(TableDailySummary[Órdenes primer cliente],TableDailySummary[Fecha],"&gt;="&amp;TableWeeklySummary[[#This Row],[Desde]],TableDailySummary[Fecha],"&lt;="&amp;TableWeeklySummary[[#This Row],[Hasta]])</f>
        <v>0</v>
      </c>
      <c r="L51" s="12">
        <f ca="1">SUMIFS(TableDailySummary[Online Store_net_sales],TableDailySummary[Fecha],"&gt;="&amp;TableWeeklySummary[[#This Row],[Desde]],TableDailySummary[Fecha],"&lt;="&amp;TableWeeklySummary[[#This Row],[Hasta]])</f>
        <v>0</v>
      </c>
      <c r="M51" s="12">
        <f ca="1">SUMIFS(TableDailySummary[Online Store_orders],TableDailySummary[Fecha],"&gt;="&amp;TableWeeklySummary[[#This Row],[Desde]],TableDailySummary[Fecha],"&lt;="&amp;TableWeeklySummary[[#This Row],[Hasta]])</f>
        <v>0</v>
      </c>
      <c r="N51" s="12">
        <f ca="1">SUMIFS(TableDailySummary[Tienda 81_net_sales],TableDailySummary[Fecha],"&gt;="&amp;TableWeeklySummary[[#This Row],[Desde]],TableDailySummary[Fecha],"&lt;="&amp;TableWeeklySummary[[#This Row],[Hasta]])</f>
        <v>0</v>
      </c>
      <c r="O51" s="12">
        <f ca="1">SUMIFS(TableDailySummary[Tienda 81_orders],TableDailySummary[Fecha],"&gt;="&amp;TableWeeklySummary[[#This Row],[Desde]],TableDailySummary[Fecha],"&lt;="&amp;TableWeeklySummary[[#This Row],[Hasta]])</f>
        <v>0</v>
      </c>
      <c r="P51" s="12">
        <f ca="1">SUMIFS(TableDailySummary[Rappi_net_sales],TableDailySummary[Fecha],"&gt;="&amp;TableWeeklySummary[[#This Row],[Desde]],TableDailySummary[Fecha],"&lt;="&amp;TableWeeklySummary[[#This Row],[Hasta]])</f>
        <v>0</v>
      </c>
      <c r="Q51" s="12">
        <f ca="1">SUMIFS(TableDailySummary[Rappi_orders],TableDailySummary[Fecha],"&gt;="&amp;TableWeeklySummary[[#This Row],[Desde]],TableDailySummary[Fecha],"&lt;="&amp;TableWeeklySummary[[#This Row],[Hasta]])</f>
        <v>0</v>
      </c>
      <c r="R5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1" s="12">
        <f ca="1">SUMIFS(TableDailySummary[Inversión google ads],TableDailySummary[Fecha],"&gt;="&amp;TableWeeklySummary[[#This Row],[Desde]],TableDailySummary[Fecha],"&lt;="&amp;TableWeeklySummary[[#This Row],[Hasta]])</f>
        <v>0</v>
      </c>
      <c r="U51" s="12">
        <f ca="1">SUMIFS(TableDailySummary[Ventas google ads],TableDailySummary[Fecha],"&gt;="&amp;TableWeeklySummary[[#This Row],[Desde]],TableDailySummary[Fecha],"&lt;="&amp;TableWeeklySummary[[#This Row],[Hasta]])</f>
        <v>0</v>
      </c>
      <c r="V51" s="12">
        <f ca="1">SUMIFS(TableDailySummary[Inversión meta ads],TableDailySummary[Fecha],"&gt;="&amp;TableWeeklySummary[[#This Row],[Desde]],TableDailySummary[Fecha],"&lt;="&amp;TableWeeklySummary[[#This Row],[Hasta]])</f>
        <v>0</v>
      </c>
      <c r="W51" s="12">
        <f ca="1">SUMIFS(TableDailySummary[Ventas meta ads],TableDailySummary[Fecha],"&gt;="&amp;TableWeeklySummary[[#This Row],[Desde]],TableDailySummary[Fecha],"&lt;="&amp;TableWeeklySummary[[#This Row],[Hasta]])</f>
        <v>0</v>
      </c>
      <c r="X51" s="12">
        <f ca="1">TableWeeklySummary[[#This Row],[Inversión google ads]]+TableWeeklySummary[[#This Row],[Inversión meta ads]]</f>
        <v>0</v>
      </c>
      <c r="Y51" s="12">
        <f ca="1">TableWeeklySummary[[#This Row],[Ventas google ads]]+TableWeeklySummary[[#This Row],[Ventas meta ads]]</f>
        <v>0</v>
      </c>
      <c r="Z51" s="14">
        <f ca="1">IFERROR(TableWeeklySummary[[#This Row],[Ventas publicidad]]/TableWeeklySummary[[#This Row],[Inversión publicidad]],0)</f>
        <v>0</v>
      </c>
      <c r="AA51" s="14">
        <f ca="1">IFERROR(TableWeeklySummary[[#This Row],[Ventas primer cliente]]/TableWeeklySummary[[#This Row],[Inversión publicidad]],0)</f>
        <v>0</v>
      </c>
      <c r="AB51" s="14"/>
      <c r="AC51" s="12"/>
      <c r="AI5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1" s="12">
        <f ca="1">SUMIFS(TableDailySummary[Utilidad bruta],TableDailySummary[Fecha],"&gt;="&amp;TableWeeklySummary[[#This Row],[Desde]],TableDailySummary[Fecha],"&lt;="&amp;TableWeeklySummary[[#This Row],[Hasta]])</f>
        <v>0</v>
      </c>
      <c r="AL51" s="18">
        <f ca="1">IFERROR(TableWeeklySummary[[#This Row],[Utilidad bruta]]/TableWeeklySummary[[#This Row],[Ventas netas con costo registrado]],0)</f>
        <v>0</v>
      </c>
    </row>
    <row r="52" spans="2:38" x14ac:dyDescent="0.2">
      <c r="B52" s="16">
        <f ca="1">_xlfn.ISOWEEKNUM(TableWeeklySummary[[#This Row],[Hasta]])</f>
        <v>38</v>
      </c>
      <c r="C52" s="6">
        <f t="shared" ca="1" si="1"/>
        <v>46276</v>
      </c>
      <c r="D52" s="6">
        <f ca="1">TableWeeklySummary[[#This Row],[Desde]]+7-1</f>
        <v>46282</v>
      </c>
      <c r="E52" s="12">
        <f ca="1">SUMIFS(TableDailySummary[Ventas netas totales],TableDailySummary[Fecha],"&gt;="&amp;TableWeeklySummary[[#This Row],[Desde]],TableDailySummary[Fecha],"&lt;="&amp;TableWeeklySummary[[#This Row],[Hasta]])</f>
        <v>0</v>
      </c>
      <c r="F52" s="12">
        <f ca="1">SUMIFS(TableDailySummary[Órdenes totales],TableDailySummary[Fecha],"&gt;="&amp;TableWeeklySummary[[#This Row],[Desde]],TableDailySummary[Fecha],"&lt;="&amp;TableWeeklySummary[[#This Row],[Hasta]])</f>
        <v>0</v>
      </c>
      <c r="G52" s="12">
        <f ca="1">IFERROR(TableWeeklySummary[[#This Row],[Ventas netas totales]]/TableWeeklySummary[[#This Row],[Órdenes totales]],0)</f>
        <v>0</v>
      </c>
      <c r="H5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2" s="12">
        <f ca="1">TableWeeklySummary[[#This Row],[Órden promedio totales]]*TableWeeklySummary[[#This Row],[CR totales]]</f>
        <v>0</v>
      </c>
      <c r="J52" s="12">
        <f ca="1">SUMIFS(TableDailySummary[Ventas primer cliente],TableDailySummary[Fecha],"&gt;="&amp;TableWeeklySummary[[#This Row],[Desde]],TableDailySummary[Fecha],"&lt;="&amp;TableWeeklySummary[[#This Row],[Hasta]])</f>
        <v>0</v>
      </c>
      <c r="K52" s="12">
        <f ca="1">SUMIFS(TableDailySummary[Órdenes primer cliente],TableDailySummary[Fecha],"&gt;="&amp;TableWeeklySummary[[#This Row],[Desde]],TableDailySummary[Fecha],"&lt;="&amp;TableWeeklySummary[[#This Row],[Hasta]])</f>
        <v>0</v>
      </c>
      <c r="L52" s="12">
        <f ca="1">SUMIFS(TableDailySummary[Online Store_net_sales],TableDailySummary[Fecha],"&gt;="&amp;TableWeeklySummary[[#This Row],[Desde]],TableDailySummary[Fecha],"&lt;="&amp;TableWeeklySummary[[#This Row],[Hasta]])</f>
        <v>0</v>
      </c>
      <c r="M52" s="12">
        <f ca="1">SUMIFS(TableDailySummary[Online Store_orders],TableDailySummary[Fecha],"&gt;="&amp;TableWeeklySummary[[#This Row],[Desde]],TableDailySummary[Fecha],"&lt;="&amp;TableWeeklySummary[[#This Row],[Hasta]])</f>
        <v>0</v>
      </c>
      <c r="N52" s="12">
        <f ca="1">SUMIFS(TableDailySummary[Tienda 81_net_sales],TableDailySummary[Fecha],"&gt;="&amp;TableWeeklySummary[[#This Row],[Desde]],TableDailySummary[Fecha],"&lt;="&amp;TableWeeklySummary[[#This Row],[Hasta]])</f>
        <v>0</v>
      </c>
      <c r="O52" s="12">
        <f ca="1">SUMIFS(TableDailySummary[Tienda 81_orders],TableDailySummary[Fecha],"&gt;="&amp;TableWeeklySummary[[#This Row],[Desde]],TableDailySummary[Fecha],"&lt;="&amp;TableWeeklySummary[[#This Row],[Hasta]])</f>
        <v>0</v>
      </c>
      <c r="P52" s="12">
        <f ca="1">SUMIFS(TableDailySummary[Rappi_net_sales],TableDailySummary[Fecha],"&gt;="&amp;TableWeeklySummary[[#This Row],[Desde]],TableDailySummary[Fecha],"&lt;="&amp;TableWeeklySummary[[#This Row],[Hasta]])</f>
        <v>0</v>
      </c>
      <c r="Q52" s="12">
        <f ca="1">SUMIFS(TableDailySummary[Rappi_orders],TableDailySummary[Fecha],"&gt;="&amp;TableWeeklySummary[[#This Row],[Desde]],TableDailySummary[Fecha],"&lt;="&amp;TableWeeklySummary[[#This Row],[Hasta]])</f>
        <v>0</v>
      </c>
      <c r="R5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2" s="12">
        <f ca="1">SUMIFS(TableDailySummary[Inversión google ads],TableDailySummary[Fecha],"&gt;="&amp;TableWeeklySummary[[#This Row],[Desde]],TableDailySummary[Fecha],"&lt;="&amp;TableWeeklySummary[[#This Row],[Hasta]])</f>
        <v>0</v>
      </c>
      <c r="U52" s="12">
        <f ca="1">SUMIFS(TableDailySummary[Ventas google ads],TableDailySummary[Fecha],"&gt;="&amp;TableWeeklySummary[[#This Row],[Desde]],TableDailySummary[Fecha],"&lt;="&amp;TableWeeklySummary[[#This Row],[Hasta]])</f>
        <v>0</v>
      </c>
      <c r="V52" s="12">
        <f ca="1">SUMIFS(TableDailySummary[Inversión meta ads],TableDailySummary[Fecha],"&gt;="&amp;TableWeeklySummary[[#This Row],[Desde]],TableDailySummary[Fecha],"&lt;="&amp;TableWeeklySummary[[#This Row],[Hasta]])</f>
        <v>0</v>
      </c>
      <c r="W52" s="12">
        <f ca="1">SUMIFS(TableDailySummary[Ventas meta ads],TableDailySummary[Fecha],"&gt;="&amp;TableWeeklySummary[[#This Row],[Desde]],TableDailySummary[Fecha],"&lt;="&amp;TableWeeklySummary[[#This Row],[Hasta]])</f>
        <v>0</v>
      </c>
      <c r="X52" s="12">
        <f ca="1">TableWeeklySummary[[#This Row],[Inversión google ads]]+TableWeeklySummary[[#This Row],[Inversión meta ads]]</f>
        <v>0</v>
      </c>
      <c r="Y52" s="12">
        <f ca="1">TableWeeklySummary[[#This Row],[Ventas google ads]]+TableWeeklySummary[[#This Row],[Ventas meta ads]]</f>
        <v>0</v>
      </c>
      <c r="Z52" s="14">
        <f ca="1">IFERROR(TableWeeklySummary[[#This Row],[Ventas publicidad]]/TableWeeklySummary[[#This Row],[Inversión publicidad]],0)</f>
        <v>0</v>
      </c>
      <c r="AA52" s="14">
        <f ca="1">IFERROR(TableWeeklySummary[[#This Row],[Ventas primer cliente]]/TableWeeklySummary[[#This Row],[Inversión publicidad]],0)</f>
        <v>0</v>
      </c>
      <c r="AB52" s="14"/>
      <c r="AC52" s="12"/>
      <c r="AI5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2" s="12">
        <f ca="1">SUMIFS(TableDailySummary[Utilidad bruta],TableDailySummary[Fecha],"&gt;="&amp;TableWeeklySummary[[#This Row],[Desde]],TableDailySummary[Fecha],"&lt;="&amp;TableWeeklySummary[[#This Row],[Hasta]])</f>
        <v>0</v>
      </c>
      <c r="AL52" s="18">
        <f ca="1">IFERROR(TableWeeklySummary[[#This Row],[Utilidad bruta]]/TableWeeklySummary[[#This Row],[Ventas netas con costo registrado]],0)</f>
        <v>0</v>
      </c>
    </row>
    <row r="53" spans="2:38" x14ac:dyDescent="0.2">
      <c r="B53" s="16">
        <f ca="1">_xlfn.ISOWEEKNUM(TableWeeklySummary[[#This Row],[Hasta]])</f>
        <v>39</v>
      </c>
      <c r="C53" s="6">
        <f t="shared" ca="1" si="1"/>
        <v>46283</v>
      </c>
      <c r="D53" s="6">
        <f ca="1">TableWeeklySummary[[#This Row],[Desde]]+7-1</f>
        <v>46289</v>
      </c>
      <c r="E53" s="12">
        <f ca="1">SUMIFS(TableDailySummary[Ventas netas totales],TableDailySummary[Fecha],"&gt;="&amp;TableWeeklySummary[[#This Row],[Desde]],TableDailySummary[Fecha],"&lt;="&amp;TableWeeklySummary[[#This Row],[Hasta]])</f>
        <v>0</v>
      </c>
      <c r="F53" s="12">
        <f ca="1">SUMIFS(TableDailySummary[Órdenes totales],TableDailySummary[Fecha],"&gt;="&amp;TableWeeklySummary[[#This Row],[Desde]],TableDailySummary[Fecha],"&lt;="&amp;TableWeeklySummary[[#This Row],[Hasta]])</f>
        <v>0</v>
      </c>
      <c r="G53" s="12">
        <f ca="1">IFERROR(TableWeeklySummary[[#This Row],[Ventas netas totales]]/TableWeeklySummary[[#This Row],[Órdenes totales]],0)</f>
        <v>0</v>
      </c>
      <c r="H5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3" s="12">
        <f ca="1">TableWeeklySummary[[#This Row],[Órden promedio totales]]*TableWeeklySummary[[#This Row],[CR totales]]</f>
        <v>0</v>
      </c>
      <c r="J53" s="12">
        <f ca="1">SUMIFS(TableDailySummary[Ventas primer cliente],TableDailySummary[Fecha],"&gt;="&amp;TableWeeklySummary[[#This Row],[Desde]],TableDailySummary[Fecha],"&lt;="&amp;TableWeeklySummary[[#This Row],[Hasta]])</f>
        <v>0</v>
      </c>
      <c r="K53" s="12">
        <f ca="1">SUMIFS(TableDailySummary[Órdenes primer cliente],TableDailySummary[Fecha],"&gt;="&amp;TableWeeklySummary[[#This Row],[Desde]],TableDailySummary[Fecha],"&lt;="&amp;TableWeeklySummary[[#This Row],[Hasta]])</f>
        <v>0</v>
      </c>
      <c r="L53" s="12">
        <f ca="1">SUMIFS(TableDailySummary[Online Store_net_sales],TableDailySummary[Fecha],"&gt;="&amp;TableWeeklySummary[[#This Row],[Desde]],TableDailySummary[Fecha],"&lt;="&amp;TableWeeklySummary[[#This Row],[Hasta]])</f>
        <v>0</v>
      </c>
      <c r="M53" s="12">
        <f ca="1">SUMIFS(TableDailySummary[Online Store_orders],TableDailySummary[Fecha],"&gt;="&amp;TableWeeklySummary[[#This Row],[Desde]],TableDailySummary[Fecha],"&lt;="&amp;TableWeeklySummary[[#This Row],[Hasta]])</f>
        <v>0</v>
      </c>
      <c r="N53" s="12">
        <f ca="1">SUMIFS(TableDailySummary[Tienda 81_net_sales],TableDailySummary[Fecha],"&gt;="&amp;TableWeeklySummary[[#This Row],[Desde]],TableDailySummary[Fecha],"&lt;="&amp;TableWeeklySummary[[#This Row],[Hasta]])</f>
        <v>0</v>
      </c>
      <c r="O53" s="12">
        <f ca="1">SUMIFS(TableDailySummary[Tienda 81_orders],TableDailySummary[Fecha],"&gt;="&amp;TableWeeklySummary[[#This Row],[Desde]],TableDailySummary[Fecha],"&lt;="&amp;TableWeeklySummary[[#This Row],[Hasta]])</f>
        <v>0</v>
      </c>
      <c r="P53" s="12">
        <f ca="1">SUMIFS(TableDailySummary[Rappi_net_sales],TableDailySummary[Fecha],"&gt;="&amp;TableWeeklySummary[[#This Row],[Desde]],TableDailySummary[Fecha],"&lt;="&amp;TableWeeklySummary[[#This Row],[Hasta]])</f>
        <v>0</v>
      </c>
      <c r="Q53" s="12">
        <f ca="1">SUMIFS(TableDailySummary[Rappi_orders],TableDailySummary[Fecha],"&gt;="&amp;TableWeeklySummary[[#This Row],[Desde]],TableDailySummary[Fecha],"&lt;="&amp;TableWeeklySummary[[#This Row],[Hasta]])</f>
        <v>0</v>
      </c>
      <c r="R5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3" s="12">
        <f ca="1">SUMIFS(TableDailySummary[Inversión google ads],TableDailySummary[Fecha],"&gt;="&amp;TableWeeklySummary[[#This Row],[Desde]],TableDailySummary[Fecha],"&lt;="&amp;TableWeeklySummary[[#This Row],[Hasta]])</f>
        <v>0</v>
      </c>
      <c r="U53" s="12">
        <f ca="1">SUMIFS(TableDailySummary[Ventas google ads],TableDailySummary[Fecha],"&gt;="&amp;TableWeeklySummary[[#This Row],[Desde]],TableDailySummary[Fecha],"&lt;="&amp;TableWeeklySummary[[#This Row],[Hasta]])</f>
        <v>0</v>
      </c>
      <c r="V53" s="12">
        <f ca="1">SUMIFS(TableDailySummary[Inversión meta ads],TableDailySummary[Fecha],"&gt;="&amp;TableWeeklySummary[[#This Row],[Desde]],TableDailySummary[Fecha],"&lt;="&amp;TableWeeklySummary[[#This Row],[Hasta]])</f>
        <v>0</v>
      </c>
      <c r="W53" s="12">
        <f ca="1">SUMIFS(TableDailySummary[Ventas meta ads],TableDailySummary[Fecha],"&gt;="&amp;TableWeeklySummary[[#This Row],[Desde]],TableDailySummary[Fecha],"&lt;="&amp;TableWeeklySummary[[#This Row],[Hasta]])</f>
        <v>0</v>
      </c>
      <c r="X53" s="12">
        <f ca="1">TableWeeklySummary[[#This Row],[Inversión google ads]]+TableWeeklySummary[[#This Row],[Inversión meta ads]]</f>
        <v>0</v>
      </c>
      <c r="Y53" s="12">
        <f ca="1">TableWeeklySummary[[#This Row],[Ventas google ads]]+TableWeeklySummary[[#This Row],[Ventas meta ads]]</f>
        <v>0</v>
      </c>
      <c r="Z53" s="14">
        <f ca="1">IFERROR(TableWeeklySummary[[#This Row],[Ventas publicidad]]/TableWeeklySummary[[#This Row],[Inversión publicidad]],0)</f>
        <v>0</v>
      </c>
      <c r="AA53" s="14">
        <f ca="1">IFERROR(TableWeeklySummary[[#This Row],[Ventas primer cliente]]/TableWeeklySummary[[#This Row],[Inversión publicidad]],0)</f>
        <v>0</v>
      </c>
      <c r="AB53" s="14"/>
      <c r="AC53" s="12"/>
      <c r="AI5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3" s="12">
        <f ca="1">SUMIFS(TableDailySummary[Utilidad bruta],TableDailySummary[Fecha],"&gt;="&amp;TableWeeklySummary[[#This Row],[Desde]],TableDailySummary[Fecha],"&lt;="&amp;TableWeeklySummary[[#This Row],[Hasta]])</f>
        <v>0</v>
      </c>
      <c r="AL53" s="18">
        <f ca="1">IFERROR(TableWeeklySummary[[#This Row],[Utilidad bruta]]/TableWeeklySummary[[#This Row],[Ventas netas con costo registrado]],0)</f>
        <v>0</v>
      </c>
    </row>
    <row r="54" spans="2:38" x14ac:dyDescent="0.2">
      <c r="B54" s="16">
        <f ca="1">_xlfn.ISOWEEKNUM(TableWeeklySummary[[#This Row],[Hasta]])</f>
        <v>40</v>
      </c>
      <c r="C54" s="6">
        <f t="shared" ca="1" si="1"/>
        <v>46290</v>
      </c>
      <c r="D54" s="6">
        <f ca="1">TableWeeklySummary[[#This Row],[Desde]]+7-1</f>
        <v>46296</v>
      </c>
      <c r="E54" s="12">
        <f ca="1">SUMIFS(TableDailySummary[Ventas netas totales],TableDailySummary[Fecha],"&gt;="&amp;TableWeeklySummary[[#This Row],[Desde]],TableDailySummary[Fecha],"&lt;="&amp;TableWeeklySummary[[#This Row],[Hasta]])</f>
        <v>0</v>
      </c>
      <c r="F54" s="12">
        <f ca="1">SUMIFS(TableDailySummary[Órdenes totales],TableDailySummary[Fecha],"&gt;="&amp;TableWeeklySummary[[#This Row],[Desde]],TableDailySummary[Fecha],"&lt;="&amp;TableWeeklySummary[[#This Row],[Hasta]])</f>
        <v>0</v>
      </c>
      <c r="G54" s="12">
        <f ca="1">IFERROR(TableWeeklySummary[[#This Row],[Ventas netas totales]]/TableWeeklySummary[[#This Row],[Órdenes totales]],0)</f>
        <v>0</v>
      </c>
      <c r="H5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4" s="12">
        <f ca="1">TableWeeklySummary[[#This Row],[Órden promedio totales]]*TableWeeklySummary[[#This Row],[CR totales]]</f>
        <v>0</v>
      </c>
      <c r="J54" s="12">
        <f ca="1">SUMIFS(TableDailySummary[Ventas primer cliente],TableDailySummary[Fecha],"&gt;="&amp;TableWeeklySummary[[#This Row],[Desde]],TableDailySummary[Fecha],"&lt;="&amp;TableWeeklySummary[[#This Row],[Hasta]])</f>
        <v>0</v>
      </c>
      <c r="K54" s="12">
        <f ca="1">SUMIFS(TableDailySummary[Órdenes primer cliente],TableDailySummary[Fecha],"&gt;="&amp;TableWeeklySummary[[#This Row],[Desde]],TableDailySummary[Fecha],"&lt;="&amp;TableWeeklySummary[[#This Row],[Hasta]])</f>
        <v>0</v>
      </c>
      <c r="L54" s="12">
        <f ca="1">SUMIFS(TableDailySummary[Online Store_net_sales],TableDailySummary[Fecha],"&gt;="&amp;TableWeeklySummary[[#This Row],[Desde]],TableDailySummary[Fecha],"&lt;="&amp;TableWeeklySummary[[#This Row],[Hasta]])</f>
        <v>0</v>
      </c>
      <c r="M54" s="12">
        <f ca="1">SUMIFS(TableDailySummary[Online Store_orders],TableDailySummary[Fecha],"&gt;="&amp;TableWeeklySummary[[#This Row],[Desde]],TableDailySummary[Fecha],"&lt;="&amp;TableWeeklySummary[[#This Row],[Hasta]])</f>
        <v>0</v>
      </c>
      <c r="N54" s="12">
        <f ca="1">SUMIFS(TableDailySummary[Tienda 81_net_sales],TableDailySummary[Fecha],"&gt;="&amp;TableWeeklySummary[[#This Row],[Desde]],TableDailySummary[Fecha],"&lt;="&amp;TableWeeklySummary[[#This Row],[Hasta]])</f>
        <v>0</v>
      </c>
      <c r="O54" s="12">
        <f ca="1">SUMIFS(TableDailySummary[Tienda 81_orders],TableDailySummary[Fecha],"&gt;="&amp;TableWeeklySummary[[#This Row],[Desde]],TableDailySummary[Fecha],"&lt;="&amp;TableWeeklySummary[[#This Row],[Hasta]])</f>
        <v>0</v>
      </c>
      <c r="P54" s="12">
        <f ca="1">SUMIFS(TableDailySummary[Rappi_net_sales],TableDailySummary[Fecha],"&gt;="&amp;TableWeeklySummary[[#This Row],[Desde]],TableDailySummary[Fecha],"&lt;="&amp;TableWeeklySummary[[#This Row],[Hasta]])</f>
        <v>0</v>
      </c>
      <c r="Q54" s="12">
        <f ca="1">SUMIFS(TableDailySummary[Rappi_orders],TableDailySummary[Fecha],"&gt;="&amp;TableWeeklySummary[[#This Row],[Desde]],TableDailySummary[Fecha],"&lt;="&amp;TableWeeklySummary[[#This Row],[Hasta]])</f>
        <v>0</v>
      </c>
      <c r="R5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4" s="12">
        <f ca="1">SUMIFS(TableDailySummary[Inversión google ads],TableDailySummary[Fecha],"&gt;="&amp;TableWeeklySummary[[#This Row],[Desde]],TableDailySummary[Fecha],"&lt;="&amp;TableWeeklySummary[[#This Row],[Hasta]])</f>
        <v>0</v>
      </c>
      <c r="U54" s="12">
        <f ca="1">SUMIFS(TableDailySummary[Ventas google ads],TableDailySummary[Fecha],"&gt;="&amp;TableWeeklySummary[[#This Row],[Desde]],TableDailySummary[Fecha],"&lt;="&amp;TableWeeklySummary[[#This Row],[Hasta]])</f>
        <v>0</v>
      </c>
      <c r="V54" s="12">
        <f ca="1">SUMIFS(TableDailySummary[Inversión meta ads],TableDailySummary[Fecha],"&gt;="&amp;TableWeeklySummary[[#This Row],[Desde]],TableDailySummary[Fecha],"&lt;="&amp;TableWeeklySummary[[#This Row],[Hasta]])</f>
        <v>0</v>
      </c>
      <c r="W54" s="12">
        <f ca="1">SUMIFS(TableDailySummary[Ventas meta ads],TableDailySummary[Fecha],"&gt;="&amp;TableWeeklySummary[[#This Row],[Desde]],TableDailySummary[Fecha],"&lt;="&amp;TableWeeklySummary[[#This Row],[Hasta]])</f>
        <v>0</v>
      </c>
      <c r="X54" s="12">
        <f ca="1">TableWeeklySummary[[#This Row],[Inversión google ads]]+TableWeeklySummary[[#This Row],[Inversión meta ads]]</f>
        <v>0</v>
      </c>
      <c r="Y54" s="12">
        <f ca="1">TableWeeklySummary[[#This Row],[Ventas google ads]]+TableWeeklySummary[[#This Row],[Ventas meta ads]]</f>
        <v>0</v>
      </c>
      <c r="Z54" s="14">
        <f ca="1">IFERROR(TableWeeklySummary[[#This Row],[Ventas publicidad]]/TableWeeklySummary[[#This Row],[Inversión publicidad]],0)</f>
        <v>0</v>
      </c>
      <c r="AA54" s="14">
        <f ca="1">IFERROR(TableWeeklySummary[[#This Row],[Ventas primer cliente]]/TableWeeklySummary[[#This Row],[Inversión publicidad]],0)</f>
        <v>0</v>
      </c>
      <c r="AB54" s="14"/>
      <c r="AC54" s="12"/>
      <c r="AI5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4" s="12">
        <f ca="1">SUMIFS(TableDailySummary[Utilidad bruta],TableDailySummary[Fecha],"&gt;="&amp;TableWeeklySummary[[#This Row],[Desde]],TableDailySummary[Fecha],"&lt;="&amp;TableWeeklySummary[[#This Row],[Hasta]])</f>
        <v>0</v>
      </c>
      <c r="AL54" s="18">
        <f ca="1">IFERROR(TableWeeklySummary[[#This Row],[Utilidad bruta]]/TableWeeklySummary[[#This Row],[Ventas netas con costo registrado]],0)</f>
        <v>0</v>
      </c>
    </row>
    <row r="55" spans="2:38" x14ac:dyDescent="0.2">
      <c r="B55" s="16">
        <f ca="1">_xlfn.ISOWEEKNUM(TableWeeklySummary[[#This Row],[Hasta]])</f>
        <v>41</v>
      </c>
      <c r="C55" s="6">
        <f t="shared" ca="1" si="1"/>
        <v>46297</v>
      </c>
      <c r="D55" s="6">
        <f ca="1">TableWeeklySummary[[#This Row],[Desde]]+7-1</f>
        <v>46303</v>
      </c>
      <c r="E55" s="12">
        <f ca="1">SUMIFS(TableDailySummary[Ventas netas totales],TableDailySummary[Fecha],"&gt;="&amp;TableWeeklySummary[[#This Row],[Desde]],TableDailySummary[Fecha],"&lt;="&amp;TableWeeklySummary[[#This Row],[Hasta]])</f>
        <v>0</v>
      </c>
      <c r="F55" s="12">
        <f ca="1">SUMIFS(TableDailySummary[Órdenes totales],TableDailySummary[Fecha],"&gt;="&amp;TableWeeklySummary[[#This Row],[Desde]],TableDailySummary[Fecha],"&lt;="&amp;TableWeeklySummary[[#This Row],[Hasta]])</f>
        <v>0</v>
      </c>
      <c r="G55" s="12">
        <f ca="1">IFERROR(TableWeeklySummary[[#This Row],[Ventas netas totales]]/TableWeeklySummary[[#This Row],[Órdenes totales]],0)</f>
        <v>0</v>
      </c>
      <c r="H5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5" s="12">
        <f ca="1">TableWeeklySummary[[#This Row],[Órden promedio totales]]*TableWeeklySummary[[#This Row],[CR totales]]</f>
        <v>0</v>
      </c>
      <c r="J55" s="12">
        <f ca="1">SUMIFS(TableDailySummary[Ventas primer cliente],TableDailySummary[Fecha],"&gt;="&amp;TableWeeklySummary[[#This Row],[Desde]],TableDailySummary[Fecha],"&lt;="&amp;TableWeeklySummary[[#This Row],[Hasta]])</f>
        <v>0</v>
      </c>
      <c r="K55" s="12">
        <f ca="1">SUMIFS(TableDailySummary[Órdenes primer cliente],TableDailySummary[Fecha],"&gt;="&amp;TableWeeklySummary[[#This Row],[Desde]],TableDailySummary[Fecha],"&lt;="&amp;TableWeeklySummary[[#This Row],[Hasta]])</f>
        <v>0</v>
      </c>
      <c r="L55" s="12">
        <f ca="1">SUMIFS(TableDailySummary[Online Store_net_sales],TableDailySummary[Fecha],"&gt;="&amp;TableWeeklySummary[[#This Row],[Desde]],TableDailySummary[Fecha],"&lt;="&amp;TableWeeklySummary[[#This Row],[Hasta]])</f>
        <v>0</v>
      </c>
      <c r="M55" s="12">
        <f ca="1">SUMIFS(TableDailySummary[Online Store_orders],TableDailySummary[Fecha],"&gt;="&amp;TableWeeklySummary[[#This Row],[Desde]],TableDailySummary[Fecha],"&lt;="&amp;TableWeeklySummary[[#This Row],[Hasta]])</f>
        <v>0</v>
      </c>
      <c r="N55" s="12">
        <f ca="1">SUMIFS(TableDailySummary[Tienda 81_net_sales],TableDailySummary[Fecha],"&gt;="&amp;TableWeeklySummary[[#This Row],[Desde]],TableDailySummary[Fecha],"&lt;="&amp;TableWeeklySummary[[#This Row],[Hasta]])</f>
        <v>0</v>
      </c>
      <c r="O55" s="12">
        <f ca="1">SUMIFS(TableDailySummary[Tienda 81_orders],TableDailySummary[Fecha],"&gt;="&amp;TableWeeklySummary[[#This Row],[Desde]],TableDailySummary[Fecha],"&lt;="&amp;TableWeeklySummary[[#This Row],[Hasta]])</f>
        <v>0</v>
      </c>
      <c r="P55" s="12">
        <f ca="1">SUMIFS(TableDailySummary[Rappi_net_sales],TableDailySummary[Fecha],"&gt;="&amp;TableWeeklySummary[[#This Row],[Desde]],TableDailySummary[Fecha],"&lt;="&amp;TableWeeklySummary[[#This Row],[Hasta]])</f>
        <v>0</v>
      </c>
      <c r="Q55" s="12">
        <f ca="1">SUMIFS(TableDailySummary[Rappi_orders],TableDailySummary[Fecha],"&gt;="&amp;TableWeeklySummary[[#This Row],[Desde]],TableDailySummary[Fecha],"&lt;="&amp;TableWeeklySummary[[#This Row],[Hasta]])</f>
        <v>0</v>
      </c>
      <c r="R5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5" s="12">
        <f ca="1">SUMIFS(TableDailySummary[Inversión google ads],TableDailySummary[Fecha],"&gt;="&amp;TableWeeklySummary[[#This Row],[Desde]],TableDailySummary[Fecha],"&lt;="&amp;TableWeeklySummary[[#This Row],[Hasta]])</f>
        <v>0</v>
      </c>
      <c r="U55" s="12">
        <f ca="1">SUMIFS(TableDailySummary[Ventas google ads],TableDailySummary[Fecha],"&gt;="&amp;TableWeeklySummary[[#This Row],[Desde]],TableDailySummary[Fecha],"&lt;="&amp;TableWeeklySummary[[#This Row],[Hasta]])</f>
        <v>0</v>
      </c>
      <c r="V55" s="12">
        <f ca="1">SUMIFS(TableDailySummary[Inversión meta ads],TableDailySummary[Fecha],"&gt;="&amp;TableWeeklySummary[[#This Row],[Desde]],TableDailySummary[Fecha],"&lt;="&amp;TableWeeklySummary[[#This Row],[Hasta]])</f>
        <v>0</v>
      </c>
      <c r="W55" s="12">
        <f ca="1">SUMIFS(TableDailySummary[Ventas meta ads],TableDailySummary[Fecha],"&gt;="&amp;TableWeeklySummary[[#This Row],[Desde]],TableDailySummary[Fecha],"&lt;="&amp;TableWeeklySummary[[#This Row],[Hasta]])</f>
        <v>0</v>
      </c>
      <c r="X55" s="12">
        <f ca="1">TableWeeklySummary[[#This Row],[Inversión google ads]]+TableWeeklySummary[[#This Row],[Inversión meta ads]]</f>
        <v>0</v>
      </c>
      <c r="Y55" s="12">
        <f ca="1">TableWeeklySummary[[#This Row],[Ventas google ads]]+TableWeeklySummary[[#This Row],[Ventas meta ads]]</f>
        <v>0</v>
      </c>
      <c r="Z55" s="14">
        <f ca="1">IFERROR(TableWeeklySummary[[#This Row],[Ventas publicidad]]/TableWeeklySummary[[#This Row],[Inversión publicidad]],0)</f>
        <v>0</v>
      </c>
      <c r="AA55" s="14">
        <f ca="1">IFERROR(TableWeeklySummary[[#This Row],[Ventas primer cliente]]/TableWeeklySummary[[#This Row],[Inversión publicidad]],0)</f>
        <v>0</v>
      </c>
      <c r="AB55" s="14"/>
      <c r="AC55" s="12"/>
      <c r="AI5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5" s="12">
        <f ca="1">SUMIFS(TableDailySummary[Utilidad bruta],TableDailySummary[Fecha],"&gt;="&amp;TableWeeklySummary[[#This Row],[Desde]],TableDailySummary[Fecha],"&lt;="&amp;TableWeeklySummary[[#This Row],[Hasta]])</f>
        <v>0</v>
      </c>
      <c r="AL55" s="18">
        <f ca="1">IFERROR(TableWeeklySummary[[#This Row],[Utilidad bruta]]/TableWeeklySummary[[#This Row],[Ventas netas con costo registrado]],0)</f>
        <v>0</v>
      </c>
    </row>
    <row r="56" spans="2:38" x14ac:dyDescent="0.2">
      <c r="B56" s="16">
        <f ca="1">_xlfn.ISOWEEKNUM(TableWeeklySummary[[#This Row],[Hasta]])</f>
        <v>42</v>
      </c>
      <c r="C56" s="6">
        <f t="shared" ca="1" si="1"/>
        <v>46304</v>
      </c>
      <c r="D56" s="6">
        <f ca="1">TableWeeklySummary[[#This Row],[Desde]]+7-1</f>
        <v>46310</v>
      </c>
      <c r="E56" s="12">
        <f ca="1">SUMIFS(TableDailySummary[Ventas netas totales],TableDailySummary[Fecha],"&gt;="&amp;TableWeeklySummary[[#This Row],[Desde]],TableDailySummary[Fecha],"&lt;="&amp;TableWeeklySummary[[#This Row],[Hasta]])</f>
        <v>0</v>
      </c>
      <c r="F56" s="12">
        <f ca="1">SUMIFS(TableDailySummary[Órdenes totales],TableDailySummary[Fecha],"&gt;="&amp;TableWeeklySummary[[#This Row],[Desde]],TableDailySummary[Fecha],"&lt;="&amp;TableWeeklySummary[[#This Row],[Hasta]])</f>
        <v>0</v>
      </c>
      <c r="G56" s="12">
        <f ca="1">IFERROR(TableWeeklySummary[[#This Row],[Ventas netas totales]]/TableWeeklySummary[[#This Row],[Órdenes totales]],0)</f>
        <v>0</v>
      </c>
      <c r="H5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6" s="12">
        <f ca="1">TableWeeklySummary[[#This Row],[Órden promedio totales]]*TableWeeklySummary[[#This Row],[CR totales]]</f>
        <v>0</v>
      </c>
      <c r="J56" s="12">
        <f ca="1">SUMIFS(TableDailySummary[Ventas primer cliente],TableDailySummary[Fecha],"&gt;="&amp;TableWeeklySummary[[#This Row],[Desde]],TableDailySummary[Fecha],"&lt;="&amp;TableWeeklySummary[[#This Row],[Hasta]])</f>
        <v>0</v>
      </c>
      <c r="K56" s="12">
        <f ca="1">SUMIFS(TableDailySummary[Órdenes primer cliente],TableDailySummary[Fecha],"&gt;="&amp;TableWeeklySummary[[#This Row],[Desde]],TableDailySummary[Fecha],"&lt;="&amp;TableWeeklySummary[[#This Row],[Hasta]])</f>
        <v>0</v>
      </c>
      <c r="L56" s="12">
        <f ca="1">SUMIFS(TableDailySummary[Online Store_net_sales],TableDailySummary[Fecha],"&gt;="&amp;TableWeeklySummary[[#This Row],[Desde]],TableDailySummary[Fecha],"&lt;="&amp;TableWeeklySummary[[#This Row],[Hasta]])</f>
        <v>0</v>
      </c>
      <c r="M56" s="12">
        <f ca="1">SUMIFS(TableDailySummary[Online Store_orders],TableDailySummary[Fecha],"&gt;="&amp;TableWeeklySummary[[#This Row],[Desde]],TableDailySummary[Fecha],"&lt;="&amp;TableWeeklySummary[[#This Row],[Hasta]])</f>
        <v>0</v>
      </c>
      <c r="N56" s="12">
        <f ca="1">SUMIFS(TableDailySummary[Tienda 81_net_sales],TableDailySummary[Fecha],"&gt;="&amp;TableWeeklySummary[[#This Row],[Desde]],TableDailySummary[Fecha],"&lt;="&amp;TableWeeklySummary[[#This Row],[Hasta]])</f>
        <v>0</v>
      </c>
      <c r="O56" s="12">
        <f ca="1">SUMIFS(TableDailySummary[Tienda 81_orders],TableDailySummary[Fecha],"&gt;="&amp;TableWeeklySummary[[#This Row],[Desde]],TableDailySummary[Fecha],"&lt;="&amp;TableWeeklySummary[[#This Row],[Hasta]])</f>
        <v>0</v>
      </c>
      <c r="P56" s="12">
        <f ca="1">SUMIFS(TableDailySummary[Rappi_net_sales],TableDailySummary[Fecha],"&gt;="&amp;TableWeeklySummary[[#This Row],[Desde]],TableDailySummary[Fecha],"&lt;="&amp;TableWeeklySummary[[#This Row],[Hasta]])</f>
        <v>0</v>
      </c>
      <c r="Q56" s="12">
        <f ca="1">SUMIFS(TableDailySummary[Rappi_orders],TableDailySummary[Fecha],"&gt;="&amp;TableWeeklySummary[[#This Row],[Desde]],TableDailySummary[Fecha],"&lt;="&amp;TableWeeklySummary[[#This Row],[Hasta]])</f>
        <v>0</v>
      </c>
      <c r="R5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6" s="12">
        <f ca="1">SUMIFS(TableDailySummary[Inversión google ads],TableDailySummary[Fecha],"&gt;="&amp;TableWeeklySummary[[#This Row],[Desde]],TableDailySummary[Fecha],"&lt;="&amp;TableWeeklySummary[[#This Row],[Hasta]])</f>
        <v>0</v>
      </c>
      <c r="U56" s="12">
        <f ca="1">SUMIFS(TableDailySummary[Ventas google ads],TableDailySummary[Fecha],"&gt;="&amp;TableWeeklySummary[[#This Row],[Desde]],TableDailySummary[Fecha],"&lt;="&amp;TableWeeklySummary[[#This Row],[Hasta]])</f>
        <v>0</v>
      </c>
      <c r="V56" s="12">
        <f ca="1">SUMIFS(TableDailySummary[Inversión meta ads],TableDailySummary[Fecha],"&gt;="&amp;TableWeeklySummary[[#This Row],[Desde]],TableDailySummary[Fecha],"&lt;="&amp;TableWeeklySummary[[#This Row],[Hasta]])</f>
        <v>0</v>
      </c>
      <c r="W56" s="12">
        <f ca="1">SUMIFS(TableDailySummary[Ventas meta ads],TableDailySummary[Fecha],"&gt;="&amp;TableWeeklySummary[[#This Row],[Desde]],TableDailySummary[Fecha],"&lt;="&amp;TableWeeklySummary[[#This Row],[Hasta]])</f>
        <v>0</v>
      </c>
      <c r="X56" s="12">
        <f ca="1">TableWeeklySummary[[#This Row],[Inversión google ads]]+TableWeeklySummary[[#This Row],[Inversión meta ads]]</f>
        <v>0</v>
      </c>
      <c r="Y56" s="12">
        <f ca="1">TableWeeklySummary[[#This Row],[Ventas google ads]]+TableWeeklySummary[[#This Row],[Ventas meta ads]]</f>
        <v>0</v>
      </c>
      <c r="Z56" s="14">
        <f ca="1">IFERROR(TableWeeklySummary[[#This Row],[Ventas publicidad]]/TableWeeklySummary[[#This Row],[Inversión publicidad]],0)</f>
        <v>0</v>
      </c>
      <c r="AA56" s="14">
        <f ca="1">IFERROR(TableWeeklySummary[[#This Row],[Ventas primer cliente]]/TableWeeklySummary[[#This Row],[Inversión publicidad]],0)</f>
        <v>0</v>
      </c>
      <c r="AB56" s="14"/>
      <c r="AC56" s="12"/>
      <c r="AI5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6" s="12">
        <f ca="1">SUMIFS(TableDailySummary[Utilidad bruta],TableDailySummary[Fecha],"&gt;="&amp;TableWeeklySummary[[#This Row],[Desde]],TableDailySummary[Fecha],"&lt;="&amp;TableWeeklySummary[[#This Row],[Hasta]])</f>
        <v>0</v>
      </c>
      <c r="AL56" s="18">
        <f ca="1">IFERROR(TableWeeklySummary[[#This Row],[Utilidad bruta]]/TableWeeklySummary[[#This Row],[Ventas netas con costo registrado]],0)</f>
        <v>0</v>
      </c>
    </row>
    <row r="57" spans="2:38" x14ac:dyDescent="0.2">
      <c r="B57" s="16">
        <f ca="1">_xlfn.ISOWEEKNUM(TableWeeklySummary[[#This Row],[Hasta]])</f>
        <v>43</v>
      </c>
      <c r="C57" s="6">
        <f t="shared" ca="1" si="1"/>
        <v>46311</v>
      </c>
      <c r="D57" s="6">
        <f ca="1">TableWeeklySummary[[#This Row],[Desde]]+7-1</f>
        <v>46317</v>
      </c>
      <c r="E57" s="12">
        <f ca="1">SUMIFS(TableDailySummary[Ventas netas totales],TableDailySummary[Fecha],"&gt;="&amp;TableWeeklySummary[[#This Row],[Desde]],TableDailySummary[Fecha],"&lt;="&amp;TableWeeklySummary[[#This Row],[Hasta]])</f>
        <v>0</v>
      </c>
      <c r="F57" s="12">
        <f ca="1">SUMIFS(TableDailySummary[Órdenes totales],TableDailySummary[Fecha],"&gt;="&amp;TableWeeklySummary[[#This Row],[Desde]],TableDailySummary[Fecha],"&lt;="&amp;TableWeeklySummary[[#This Row],[Hasta]])</f>
        <v>0</v>
      </c>
      <c r="G57" s="12">
        <f ca="1">IFERROR(TableWeeklySummary[[#This Row],[Ventas netas totales]]/TableWeeklySummary[[#This Row],[Órdenes totales]],0)</f>
        <v>0</v>
      </c>
      <c r="H5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7" s="12">
        <f ca="1">TableWeeklySummary[[#This Row],[Órden promedio totales]]*TableWeeklySummary[[#This Row],[CR totales]]</f>
        <v>0</v>
      </c>
      <c r="J57" s="12">
        <f ca="1">SUMIFS(TableDailySummary[Ventas primer cliente],TableDailySummary[Fecha],"&gt;="&amp;TableWeeklySummary[[#This Row],[Desde]],TableDailySummary[Fecha],"&lt;="&amp;TableWeeklySummary[[#This Row],[Hasta]])</f>
        <v>0</v>
      </c>
      <c r="K57" s="12">
        <f ca="1">SUMIFS(TableDailySummary[Órdenes primer cliente],TableDailySummary[Fecha],"&gt;="&amp;TableWeeklySummary[[#This Row],[Desde]],TableDailySummary[Fecha],"&lt;="&amp;TableWeeklySummary[[#This Row],[Hasta]])</f>
        <v>0</v>
      </c>
      <c r="L57" s="12">
        <f ca="1">SUMIFS(TableDailySummary[Online Store_net_sales],TableDailySummary[Fecha],"&gt;="&amp;TableWeeklySummary[[#This Row],[Desde]],TableDailySummary[Fecha],"&lt;="&amp;TableWeeklySummary[[#This Row],[Hasta]])</f>
        <v>0</v>
      </c>
      <c r="M57" s="12">
        <f ca="1">SUMIFS(TableDailySummary[Online Store_orders],TableDailySummary[Fecha],"&gt;="&amp;TableWeeklySummary[[#This Row],[Desde]],TableDailySummary[Fecha],"&lt;="&amp;TableWeeklySummary[[#This Row],[Hasta]])</f>
        <v>0</v>
      </c>
      <c r="N57" s="12">
        <f ca="1">SUMIFS(TableDailySummary[Tienda 81_net_sales],TableDailySummary[Fecha],"&gt;="&amp;TableWeeklySummary[[#This Row],[Desde]],TableDailySummary[Fecha],"&lt;="&amp;TableWeeklySummary[[#This Row],[Hasta]])</f>
        <v>0</v>
      </c>
      <c r="O57" s="12">
        <f ca="1">SUMIFS(TableDailySummary[Tienda 81_orders],TableDailySummary[Fecha],"&gt;="&amp;TableWeeklySummary[[#This Row],[Desde]],TableDailySummary[Fecha],"&lt;="&amp;TableWeeklySummary[[#This Row],[Hasta]])</f>
        <v>0</v>
      </c>
      <c r="P57" s="12">
        <f ca="1">SUMIFS(TableDailySummary[Rappi_net_sales],TableDailySummary[Fecha],"&gt;="&amp;TableWeeklySummary[[#This Row],[Desde]],TableDailySummary[Fecha],"&lt;="&amp;TableWeeklySummary[[#This Row],[Hasta]])</f>
        <v>0</v>
      </c>
      <c r="Q57" s="12">
        <f ca="1">SUMIFS(TableDailySummary[Rappi_orders],TableDailySummary[Fecha],"&gt;="&amp;TableWeeklySummary[[#This Row],[Desde]],TableDailySummary[Fecha],"&lt;="&amp;TableWeeklySummary[[#This Row],[Hasta]])</f>
        <v>0</v>
      </c>
      <c r="R5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7" s="12">
        <f ca="1">SUMIFS(TableDailySummary[Inversión google ads],TableDailySummary[Fecha],"&gt;="&amp;TableWeeklySummary[[#This Row],[Desde]],TableDailySummary[Fecha],"&lt;="&amp;TableWeeklySummary[[#This Row],[Hasta]])</f>
        <v>0</v>
      </c>
      <c r="U57" s="12">
        <f ca="1">SUMIFS(TableDailySummary[Ventas google ads],TableDailySummary[Fecha],"&gt;="&amp;TableWeeklySummary[[#This Row],[Desde]],TableDailySummary[Fecha],"&lt;="&amp;TableWeeklySummary[[#This Row],[Hasta]])</f>
        <v>0</v>
      </c>
      <c r="V57" s="12">
        <f ca="1">SUMIFS(TableDailySummary[Inversión meta ads],TableDailySummary[Fecha],"&gt;="&amp;TableWeeklySummary[[#This Row],[Desde]],TableDailySummary[Fecha],"&lt;="&amp;TableWeeklySummary[[#This Row],[Hasta]])</f>
        <v>0</v>
      </c>
      <c r="W57" s="12">
        <f ca="1">SUMIFS(TableDailySummary[Ventas meta ads],TableDailySummary[Fecha],"&gt;="&amp;TableWeeklySummary[[#This Row],[Desde]],TableDailySummary[Fecha],"&lt;="&amp;TableWeeklySummary[[#This Row],[Hasta]])</f>
        <v>0</v>
      </c>
      <c r="X57" s="12">
        <f ca="1">TableWeeklySummary[[#This Row],[Inversión google ads]]+TableWeeklySummary[[#This Row],[Inversión meta ads]]</f>
        <v>0</v>
      </c>
      <c r="Y57" s="12">
        <f ca="1">TableWeeklySummary[[#This Row],[Ventas google ads]]+TableWeeklySummary[[#This Row],[Ventas meta ads]]</f>
        <v>0</v>
      </c>
      <c r="Z57" s="14">
        <f ca="1">IFERROR(TableWeeklySummary[[#This Row],[Ventas publicidad]]/TableWeeklySummary[[#This Row],[Inversión publicidad]],0)</f>
        <v>0</v>
      </c>
      <c r="AA57" s="14">
        <f ca="1">IFERROR(TableWeeklySummary[[#This Row],[Ventas primer cliente]]/TableWeeklySummary[[#This Row],[Inversión publicidad]],0)</f>
        <v>0</v>
      </c>
      <c r="AB57" s="14"/>
      <c r="AC57" s="12"/>
      <c r="AI5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7" s="12">
        <f ca="1">SUMIFS(TableDailySummary[Utilidad bruta],TableDailySummary[Fecha],"&gt;="&amp;TableWeeklySummary[[#This Row],[Desde]],TableDailySummary[Fecha],"&lt;="&amp;TableWeeklySummary[[#This Row],[Hasta]])</f>
        <v>0</v>
      </c>
      <c r="AL57" s="18">
        <f ca="1">IFERROR(TableWeeklySummary[[#This Row],[Utilidad bruta]]/TableWeeklySummary[[#This Row],[Ventas netas con costo registrado]],0)</f>
        <v>0</v>
      </c>
    </row>
    <row r="58" spans="2:38" x14ac:dyDescent="0.2">
      <c r="B58" s="16">
        <f ca="1">_xlfn.ISOWEEKNUM(TableWeeklySummary[[#This Row],[Hasta]])</f>
        <v>44</v>
      </c>
      <c r="C58" s="6">
        <f t="shared" ca="1" si="1"/>
        <v>46318</v>
      </c>
      <c r="D58" s="6">
        <f ca="1">TableWeeklySummary[[#This Row],[Desde]]+7-1</f>
        <v>46324</v>
      </c>
      <c r="E58" s="12">
        <f ca="1">SUMIFS(TableDailySummary[Ventas netas totales],TableDailySummary[Fecha],"&gt;="&amp;TableWeeklySummary[[#This Row],[Desde]],TableDailySummary[Fecha],"&lt;="&amp;TableWeeklySummary[[#This Row],[Hasta]])</f>
        <v>0</v>
      </c>
      <c r="F58" s="12">
        <f ca="1">SUMIFS(TableDailySummary[Órdenes totales],TableDailySummary[Fecha],"&gt;="&amp;TableWeeklySummary[[#This Row],[Desde]],TableDailySummary[Fecha],"&lt;="&amp;TableWeeklySummary[[#This Row],[Hasta]])</f>
        <v>0</v>
      </c>
      <c r="G58" s="12">
        <f ca="1">IFERROR(TableWeeklySummary[[#This Row],[Ventas netas totales]]/TableWeeklySummary[[#This Row],[Órdenes totales]],0)</f>
        <v>0</v>
      </c>
      <c r="H5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8" s="12">
        <f ca="1">TableWeeklySummary[[#This Row],[Órden promedio totales]]*TableWeeklySummary[[#This Row],[CR totales]]</f>
        <v>0</v>
      </c>
      <c r="J58" s="12">
        <f ca="1">SUMIFS(TableDailySummary[Ventas primer cliente],TableDailySummary[Fecha],"&gt;="&amp;TableWeeklySummary[[#This Row],[Desde]],TableDailySummary[Fecha],"&lt;="&amp;TableWeeklySummary[[#This Row],[Hasta]])</f>
        <v>0</v>
      </c>
      <c r="K58" s="12">
        <f ca="1">SUMIFS(TableDailySummary[Órdenes primer cliente],TableDailySummary[Fecha],"&gt;="&amp;TableWeeklySummary[[#This Row],[Desde]],TableDailySummary[Fecha],"&lt;="&amp;TableWeeklySummary[[#This Row],[Hasta]])</f>
        <v>0</v>
      </c>
      <c r="L58" s="12">
        <f ca="1">SUMIFS(TableDailySummary[Online Store_net_sales],TableDailySummary[Fecha],"&gt;="&amp;TableWeeklySummary[[#This Row],[Desde]],TableDailySummary[Fecha],"&lt;="&amp;TableWeeklySummary[[#This Row],[Hasta]])</f>
        <v>0</v>
      </c>
      <c r="M58" s="12">
        <f ca="1">SUMIFS(TableDailySummary[Online Store_orders],TableDailySummary[Fecha],"&gt;="&amp;TableWeeklySummary[[#This Row],[Desde]],TableDailySummary[Fecha],"&lt;="&amp;TableWeeklySummary[[#This Row],[Hasta]])</f>
        <v>0</v>
      </c>
      <c r="N58" s="12">
        <f ca="1">SUMIFS(TableDailySummary[Tienda 81_net_sales],TableDailySummary[Fecha],"&gt;="&amp;TableWeeklySummary[[#This Row],[Desde]],TableDailySummary[Fecha],"&lt;="&amp;TableWeeklySummary[[#This Row],[Hasta]])</f>
        <v>0</v>
      </c>
      <c r="O58" s="12">
        <f ca="1">SUMIFS(TableDailySummary[Tienda 81_orders],TableDailySummary[Fecha],"&gt;="&amp;TableWeeklySummary[[#This Row],[Desde]],TableDailySummary[Fecha],"&lt;="&amp;TableWeeklySummary[[#This Row],[Hasta]])</f>
        <v>0</v>
      </c>
      <c r="P58" s="12">
        <f ca="1">SUMIFS(TableDailySummary[Rappi_net_sales],TableDailySummary[Fecha],"&gt;="&amp;TableWeeklySummary[[#This Row],[Desde]],TableDailySummary[Fecha],"&lt;="&amp;TableWeeklySummary[[#This Row],[Hasta]])</f>
        <v>0</v>
      </c>
      <c r="Q58" s="12">
        <f ca="1">SUMIFS(TableDailySummary[Rappi_orders],TableDailySummary[Fecha],"&gt;="&amp;TableWeeklySummary[[#This Row],[Desde]],TableDailySummary[Fecha],"&lt;="&amp;TableWeeklySummary[[#This Row],[Hasta]])</f>
        <v>0</v>
      </c>
      <c r="R5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8" s="12">
        <f ca="1">SUMIFS(TableDailySummary[Inversión google ads],TableDailySummary[Fecha],"&gt;="&amp;TableWeeklySummary[[#This Row],[Desde]],TableDailySummary[Fecha],"&lt;="&amp;TableWeeklySummary[[#This Row],[Hasta]])</f>
        <v>0</v>
      </c>
      <c r="U58" s="12">
        <f ca="1">SUMIFS(TableDailySummary[Ventas google ads],TableDailySummary[Fecha],"&gt;="&amp;TableWeeklySummary[[#This Row],[Desde]],TableDailySummary[Fecha],"&lt;="&amp;TableWeeklySummary[[#This Row],[Hasta]])</f>
        <v>0</v>
      </c>
      <c r="V58" s="12">
        <f ca="1">SUMIFS(TableDailySummary[Inversión meta ads],TableDailySummary[Fecha],"&gt;="&amp;TableWeeklySummary[[#This Row],[Desde]],TableDailySummary[Fecha],"&lt;="&amp;TableWeeklySummary[[#This Row],[Hasta]])</f>
        <v>0</v>
      </c>
      <c r="W58" s="12">
        <f ca="1">SUMIFS(TableDailySummary[Ventas meta ads],TableDailySummary[Fecha],"&gt;="&amp;TableWeeklySummary[[#This Row],[Desde]],TableDailySummary[Fecha],"&lt;="&amp;TableWeeklySummary[[#This Row],[Hasta]])</f>
        <v>0</v>
      </c>
      <c r="X58" s="12">
        <f ca="1">TableWeeklySummary[[#This Row],[Inversión google ads]]+TableWeeklySummary[[#This Row],[Inversión meta ads]]</f>
        <v>0</v>
      </c>
      <c r="Y58" s="12">
        <f ca="1">TableWeeklySummary[[#This Row],[Ventas google ads]]+TableWeeklySummary[[#This Row],[Ventas meta ads]]</f>
        <v>0</v>
      </c>
      <c r="Z58" s="14">
        <f ca="1">IFERROR(TableWeeklySummary[[#This Row],[Ventas publicidad]]/TableWeeklySummary[[#This Row],[Inversión publicidad]],0)</f>
        <v>0</v>
      </c>
      <c r="AA58" s="14">
        <f ca="1">IFERROR(TableWeeklySummary[[#This Row],[Ventas primer cliente]]/TableWeeklySummary[[#This Row],[Inversión publicidad]],0)</f>
        <v>0</v>
      </c>
      <c r="AB58" s="14"/>
      <c r="AC58" s="12"/>
      <c r="AI5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8" s="12">
        <f ca="1">SUMIFS(TableDailySummary[Utilidad bruta],TableDailySummary[Fecha],"&gt;="&amp;TableWeeklySummary[[#This Row],[Desde]],TableDailySummary[Fecha],"&lt;="&amp;TableWeeklySummary[[#This Row],[Hasta]])</f>
        <v>0</v>
      </c>
      <c r="AL58" s="18">
        <f ca="1">IFERROR(TableWeeklySummary[[#This Row],[Utilidad bruta]]/TableWeeklySummary[[#This Row],[Ventas netas con costo registrado]],0)</f>
        <v>0</v>
      </c>
    </row>
    <row r="59" spans="2:38" x14ac:dyDescent="0.2">
      <c r="B59" s="16">
        <f ca="1">_xlfn.ISOWEEKNUM(TableWeeklySummary[[#This Row],[Hasta]])</f>
        <v>45</v>
      </c>
      <c r="C59" s="6">
        <f t="shared" ca="1" si="1"/>
        <v>46325</v>
      </c>
      <c r="D59" s="6">
        <f ca="1">TableWeeklySummary[[#This Row],[Desde]]+7-1</f>
        <v>46331</v>
      </c>
      <c r="E59" s="12">
        <f ca="1">SUMIFS(TableDailySummary[Ventas netas totales],TableDailySummary[Fecha],"&gt;="&amp;TableWeeklySummary[[#This Row],[Desde]],TableDailySummary[Fecha],"&lt;="&amp;TableWeeklySummary[[#This Row],[Hasta]])</f>
        <v>0</v>
      </c>
      <c r="F59" s="12">
        <f ca="1">SUMIFS(TableDailySummary[Órdenes totales],TableDailySummary[Fecha],"&gt;="&amp;TableWeeklySummary[[#This Row],[Desde]],TableDailySummary[Fecha],"&lt;="&amp;TableWeeklySummary[[#This Row],[Hasta]])</f>
        <v>0</v>
      </c>
      <c r="G59" s="12">
        <f ca="1">IFERROR(TableWeeklySummary[[#This Row],[Ventas netas totales]]/TableWeeklySummary[[#This Row],[Órdenes totales]],0)</f>
        <v>0</v>
      </c>
      <c r="H5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9" s="12">
        <f ca="1">TableWeeklySummary[[#This Row],[Órden promedio totales]]*TableWeeklySummary[[#This Row],[CR totales]]</f>
        <v>0</v>
      </c>
      <c r="J59" s="12">
        <f ca="1">SUMIFS(TableDailySummary[Ventas primer cliente],TableDailySummary[Fecha],"&gt;="&amp;TableWeeklySummary[[#This Row],[Desde]],TableDailySummary[Fecha],"&lt;="&amp;TableWeeklySummary[[#This Row],[Hasta]])</f>
        <v>0</v>
      </c>
      <c r="K59" s="12">
        <f ca="1">SUMIFS(TableDailySummary[Órdenes primer cliente],TableDailySummary[Fecha],"&gt;="&amp;TableWeeklySummary[[#This Row],[Desde]],TableDailySummary[Fecha],"&lt;="&amp;TableWeeklySummary[[#This Row],[Hasta]])</f>
        <v>0</v>
      </c>
      <c r="L59" s="12">
        <f ca="1">SUMIFS(TableDailySummary[Online Store_net_sales],TableDailySummary[Fecha],"&gt;="&amp;TableWeeklySummary[[#This Row],[Desde]],TableDailySummary[Fecha],"&lt;="&amp;TableWeeklySummary[[#This Row],[Hasta]])</f>
        <v>0</v>
      </c>
      <c r="M59" s="12">
        <f ca="1">SUMIFS(TableDailySummary[Online Store_orders],TableDailySummary[Fecha],"&gt;="&amp;TableWeeklySummary[[#This Row],[Desde]],TableDailySummary[Fecha],"&lt;="&amp;TableWeeklySummary[[#This Row],[Hasta]])</f>
        <v>0</v>
      </c>
      <c r="N59" s="12">
        <f ca="1">SUMIFS(TableDailySummary[Tienda 81_net_sales],TableDailySummary[Fecha],"&gt;="&amp;TableWeeklySummary[[#This Row],[Desde]],TableDailySummary[Fecha],"&lt;="&amp;TableWeeklySummary[[#This Row],[Hasta]])</f>
        <v>0</v>
      </c>
      <c r="O59" s="12">
        <f ca="1">SUMIFS(TableDailySummary[Tienda 81_orders],TableDailySummary[Fecha],"&gt;="&amp;TableWeeklySummary[[#This Row],[Desde]],TableDailySummary[Fecha],"&lt;="&amp;TableWeeklySummary[[#This Row],[Hasta]])</f>
        <v>0</v>
      </c>
      <c r="P59" s="12">
        <f ca="1">SUMIFS(TableDailySummary[Rappi_net_sales],TableDailySummary[Fecha],"&gt;="&amp;TableWeeklySummary[[#This Row],[Desde]],TableDailySummary[Fecha],"&lt;="&amp;TableWeeklySummary[[#This Row],[Hasta]])</f>
        <v>0</v>
      </c>
      <c r="Q59" s="12">
        <f ca="1">SUMIFS(TableDailySummary[Rappi_orders],TableDailySummary[Fecha],"&gt;="&amp;TableWeeklySummary[[#This Row],[Desde]],TableDailySummary[Fecha],"&lt;="&amp;TableWeeklySummary[[#This Row],[Hasta]])</f>
        <v>0</v>
      </c>
      <c r="R5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9" s="12">
        <f ca="1">SUMIFS(TableDailySummary[Inversión google ads],TableDailySummary[Fecha],"&gt;="&amp;TableWeeklySummary[[#This Row],[Desde]],TableDailySummary[Fecha],"&lt;="&amp;TableWeeklySummary[[#This Row],[Hasta]])</f>
        <v>0</v>
      </c>
      <c r="U59" s="12">
        <f ca="1">SUMIFS(TableDailySummary[Ventas google ads],TableDailySummary[Fecha],"&gt;="&amp;TableWeeklySummary[[#This Row],[Desde]],TableDailySummary[Fecha],"&lt;="&amp;TableWeeklySummary[[#This Row],[Hasta]])</f>
        <v>0</v>
      </c>
      <c r="V59" s="12">
        <f ca="1">SUMIFS(TableDailySummary[Inversión meta ads],TableDailySummary[Fecha],"&gt;="&amp;TableWeeklySummary[[#This Row],[Desde]],TableDailySummary[Fecha],"&lt;="&amp;TableWeeklySummary[[#This Row],[Hasta]])</f>
        <v>0</v>
      </c>
      <c r="W59" s="12">
        <f ca="1">SUMIFS(TableDailySummary[Ventas meta ads],TableDailySummary[Fecha],"&gt;="&amp;TableWeeklySummary[[#This Row],[Desde]],TableDailySummary[Fecha],"&lt;="&amp;TableWeeklySummary[[#This Row],[Hasta]])</f>
        <v>0</v>
      </c>
      <c r="X59" s="12">
        <f ca="1">TableWeeklySummary[[#This Row],[Inversión google ads]]+TableWeeklySummary[[#This Row],[Inversión meta ads]]</f>
        <v>0</v>
      </c>
      <c r="Y59" s="12">
        <f ca="1">TableWeeklySummary[[#This Row],[Ventas google ads]]+TableWeeklySummary[[#This Row],[Ventas meta ads]]</f>
        <v>0</v>
      </c>
      <c r="Z59" s="14">
        <f ca="1">IFERROR(TableWeeklySummary[[#This Row],[Ventas publicidad]]/TableWeeklySummary[[#This Row],[Inversión publicidad]],0)</f>
        <v>0</v>
      </c>
      <c r="AA59" s="14">
        <f ca="1">IFERROR(TableWeeklySummary[[#This Row],[Ventas primer cliente]]/TableWeeklySummary[[#This Row],[Inversión publicidad]],0)</f>
        <v>0</v>
      </c>
      <c r="AB59" s="14"/>
      <c r="AC59" s="12"/>
      <c r="AI5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9" s="12">
        <f ca="1">SUMIFS(TableDailySummary[Utilidad bruta],TableDailySummary[Fecha],"&gt;="&amp;TableWeeklySummary[[#This Row],[Desde]],TableDailySummary[Fecha],"&lt;="&amp;TableWeeklySummary[[#This Row],[Hasta]])</f>
        <v>0</v>
      </c>
      <c r="AL59" s="18">
        <f ca="1">IFERROR(TableWeeklySummary[[#This Row],[Utilidad bruta]]/TableWeeklySummary[[#This Row],[Ventas netas con costo registrado]],0)</f>
        <v>0</v>
      </c>
    </row>
    <row r="60" spans="2:38" x14ac:dyDescent="0.2">
      <c r="B60" s="16">
        <f ca="1">_xlfn.ISOWEEKNUM(TableWeeklySummary[[#This Row],[Hasta]])</f>
        <v>46</v>
      </c>
      <c r="C60" s="6">
        <f t="shared" ca="1" si="1"/>
        <v>46332</v>
      </c>
      <c r="D60" s="6">
        <f ca="1">TableWeeklySummary[[#This Row],[Desde]]+7-1</f>
        <v>46338</v>
      </c>
      <c r="E60" s="12">
        <f ca="1">SUMIFS(TableDailySummary[Ventas netas totales],TableDailySummary[Fecha],"&gt;="&amp;TableWeeklySummary[[#This Row],[Desde]],TableDailySummary[Fecha],"&lt;="&amp;TableWeeklySummary[[#This Row],[Hasta]])</f>
        <v>0</v>
      </c>
      <c r="F60" s="12">
        <f ca="1">SUMIFS(TableDailySummary[Órdenes totales],TableDailySummary[Fecha],"&gt;="&amp;TableWeeklySummary[[#This Row],[Desde]],TableDailySummary[Fecha],"&lt;="&amp;TableWeeklySummary[[#This Row],[Hasta]])</f>
        <v>0</v>
      </c>
      <c r="G60" s="12">
        <f ca="1">IFERROR(TableWeeklySummary[[#This Row],[Ventas netas totales]]/TableWeeklySummary[[#This Row],[Órdenes totales]],0)</f>
        <v>0</v>
      </c>
      <c r="H6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60" s="12">
        <f ca="1">TableWeeklySummary[[#This Row],[Órden promedio totales]]*TableWeeklySummary[[#This Row],[CR totales]]</f>
        <v>0</v>
      </c>
      <c r="J60" s="12">
        <f ca="1">SUMIFS(TableDailySummary[Ventas primer cliente],TableDailySummary[Fecha],"&gt;="&amp;TableWeeklySummary[[#This Row],[Desde]],TableDailySummary[Fecha],"&lt;="&amp;TableWeeklySummary[[#This Row],[Hasta]])</f>
        <v>0</v>
      </c>
      <c r="K60" s="12">
        <f ca="1">SUMIFS(TableDailySummary[Órdenes primer cliente],TableDailySummary[Fecha],"&gt;="&amp;TableWeeklySummary[[#This Row],[Desde]],TableDailySummary[Fecha],"&lt;="&amp;TableWeeklySummary[[#This Row],[Hasta]])</f>
        <v>0</v>
      </c>
      <c r="L60" s="12">
        <f ca="1">SUMIFS(TableDailySummary[Online Store_net_sales],TableDailySummary[Fecha],"&gt;="&amp;TableWeeklySummary[[#This Row],[Desde]],TableDailySummary[Fecha],"&lt;="&amp;TableWeeklySummary[[#This Row],[Hasta]])</f>
        <v>0</v>
      </c>
      <c r="M60" s="12">
        <f ca="1">SUMIFS(TableDailySummary[Online Store_orders],TableDailySummary[Fecha],"&gt;="&amp;TableWeeklySummary[[#This Row],[Desde]],TableDailySummary[Fecha],"&lt;="&amp;TableWeeklySummary[[#This Row],[Hasta]])</f>
        <v>0</v>
      </c>
      <c r="N60" s="12">
        <f ca="1">SUMIFS(TableDailySummary[Tienda 81_net_sales],TableDailySummary[Fecha],"&gt;="&amp;TableWeeklySummary[[#This Row],[Desde]],TableDailySummary[Fecha],"&lt;="&amp;TableWeeklySummary[[#This Row],[Hasta]])</f>
        <v>0</v>
      </c>
      <c r="O60" s="12">
        <f ca="1">SUMIFS(TableDailySummary[Tienda 81_orders],TableDailySummary[Fecha],"&gt;="&amp;TableWeeklySummary[[#This Row],[Desde]],TableDailySummary[Fecha],"&lt;="&amp;TableWeeklySummary[[#This Row],[Hasta]])</f>
        <v>0</v>
      </c>
      <c r="P60" s="12">
        <f ca="1">SUMIFS(TableDailySummary[Rappi_net_sales],TableDailySummary[Fecha],"&gt;="&amp;TableWeeklySummary[[#This Row],[Desde]],TableDailySummary[Fecha],"&lt;="&amp;TableWeeklySummary[[#This Row],[Hasta]])</f>
        <v>0</v>
      </c>
      <c r="Q60" s="12">
        <f ca="1">SUMIFS(TableDailySummary[Rappi_orders],TableDailySummary[Fecha],"&gt;="&amp;TableWeeklySummary[[#This Row],[Desde]],TableDailySummary[Fecha],"&lt;="&amp;TableWeeklySummary[[#This Row],[Hasta]])</f>
        <v>0</v>
      </c>
      <c r="R6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6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60" s="12">
        <f ca="1">SUMIFS(TableDailySummary[Inversión google ads],TableDailySummary[Fecha],"&gt;="&amp;TableWeeklySummary[[#This Row],[Desde]],TableDailySummary[Fecha],"&lt;="&amp;TableWeeklySummary[[#This Row],[Hasta]])</f>
        <v>0</v>
      </c>
      <c r="U60" s="12">
        <f ca="1">SUMIFS(TableDailySummary[Ventas google ads],TableDailySummary[Fecha],"&gt;="&amp;TableWeeklySummary[[#This Row],[Desde]],TableDailySummary[Fecha],"&lt;="&amp;TableWeeklySummary[[#This Row],[Hasta]])</f>
        <v>0</v>
      </c>
      <c r="V60" s="12">
        <f ca="1">SUMIFS(TableDailySummary[Inversión meta ads],TableDailySummary[Fecha],"&gt;="&amp;TableWeeklySummary[[#This Row],[Desde]],TableDailySummary[Fecha],"&lt;="&amp;TableWeeklySummary[[#This Row],[Hasta]])</f>
        <v>0</v>
      </c>
      <c r="W60" s="12">
        <f ca="1">SUMIFS(TableDailySummary[Ventas meta ads],TableDailySummary[Fecha],"&gt;="&amp;TableWeeklySummary[[#This Row],[Desde]],TableDailySummary[Fecha],"&lt;="&amp;TableWeeklySummary[[#This Row],[Hasta]])</f>
        <v>0</v>
      </c>
      <c r="X60" s="12">
        <f ca="1">TableWeeklySummary[[#This Row],[Inversión google ads]]+TableWeeklySummary[[#This Row],[Inversión meta ads]]</f>
        <v>0</v>
      </c>
      <c r="Y60" s="12">
        <f ca="1">TableWeeklySummary[[#This Row],[Ventas google ads]]+TableWeeklySummary[[#This Row],[Ventas meta ads]]</f>
        <v>0</v>
      </c>
      <c r="Z60" s="14">
        <f ca="1">IFERROR(TableWeeklySummary[[#This Row],[Ventas publicidad]]/TableWeeklySummary[[#This Row],[Inversión publicidad]],0)</f>
        <v>0</v>
      </c>
      <c r="AA60" s="14">
        <f ca="1">IFERROR(TableWeeklySummary[[#This Row],[Ventas primer cliente]]/TableWeeklySummary[[#This Row],[Inversión publicidad]],0)</f>
        <v>0</v>
      </c>
      <c r="AB60" s="14"/>
      <c r="AC60" s="12"/>
      <c r="AI6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6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60" s="12">
        <f ca="1">SUMIFS(TableDailySummary[Utilidad bruta],TableDailySummary[Fecha],"&gt;="&amp;TableWeeklySummary[[#This Row],[Desde]],TableDailySummary[Fecha],"&lt;="&amp;TableWeeklySummary[[#This Row],[Hasta]])</f>
        <v>0</v>
      </c>
      <c r="AL60" s="18">
        <f ca="1">IFERROR(TableWeeklySummary[[#This Row],[Utilidad bruta]]/TableWeeklySummary[[#This Row],[Ventas netas con costo registrado]],0)</f>
        <v>0</v>
      </c>
    </row>
    <row r="61" spans="2:38" x14ac:dyDescent="0.2">
      <c r="B61" s="16">
        <f ca="1">_xlfn.ISOWEEKNUM(TableWeeklySummary[[#This Row],[Hasta]])</f>
        <v>47</v>
      </c>
      <c r="C61" s="6">
        <f t="shared" ca="1" si="1"/>
        <v>46339</v>
      </c>
      <c r="D61" s="6">
        <f ca="1">TableWeeklySummary[[#This Row],[Desde]]+7-1</f>
        <v>46345</v>
      </c>
      <c r="E61" s="12">
        <f ca="1">SUMIFS(TableDailySummary[Ventas netas totales],TableDailySummary[Fecha],"&gt;="&amp;TableWeeklySummary[[#This Row],[Desde]],TableDailySummary[Fecha],"&lt;="&amp;TableWeeklySummary[[#This Row],[Hasta]])</f>
        <v>0</v>
      </c>
      <c r="F61" s="12">
        <f ca="1">SUMIFS(TableDailySummary[Órdenes totales],TableDailySummary[Fecha],"&gt;="&amp;TableWeeklySummary[[#This Row],[Desde]],TableDailySummary[Fecha],"&lt;="&amp;TableWeeklySummary[[#This Row],[Hasta]])</f>
        <v>0</v>
      </c>
      <c r="G61" s="12">
        <f ca="1">IFERROR(TableWeeklySummary[[#This Row],[Ventas netas totales]]/TableWeeklySummary[[#This Row],[Órdenes totales]],0)</f>
        <v>0</v>
      </c>
      <c r="H6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61" s="12">
        <f ca="1">TableWeeklySummary[[#This Row],[Órden promedio totales]]*TableWeeklySummary[[#This Row],[CR totales]]</f>
        <v>0</v>
      </c>
      <c r="J61" s="12">
        <f ca="1">SUMIFS(TableDailySummary[Ventas primer cliente],TableDailySummary[Fecha],"&gt;="&amp;TableWeeklySummary[[#This Row],[Desde]],TableDailySummary[Fecha],"&lt;="&amp;TableWeeklySummary[[#This Row],[Hasta]])</f>
        <v>0</v>
      </c>
      <c r="K61" s="12">
        <f ca="1">SUMIFS(TableDailySummary[Órdenes primer cliente],TableDailySummary[Fecha],"&gt;="&amp;TableWeeklySummary[[#This Row],[Desde]],TableDailySummary[Fecha],"&lt;="&amp;TableWeeklySummary[[#This Row],[Hasta]])</f>
        <v>0</v>
      </c>
      <c r="L61" s="12">
        <f ca="1">SUMIFS(TableDailySummary[Online Store_net_sales],TableDailySummary[Fecha],"&gt;="&amp;TableWeeklySummary[[#This Row],[Desde]],TableDailySummary[Fecha],"&lt;="&amp;TableWeeklySummary[[#This Row],[Hasta]])</f>
        <v>0</v>
      </c>
      <c r="M61" s="12">
        <f ca="1">SUMIFS(TableDailySummary[Online Store_orders],TableDailySummary[Fecha],"&gt;="&amp;TableWeeklySummary[[#This Row],[Desde]],TableDailySummary[Fecha],"&lt;="&amp;TableWeeklySummary[[#This Row],[Hasta]])</f>
        <v>0</v>
      </c>
      <c r="N61" s="12">
        <f ca="1">SUMIFS(TableDailySummary[Tienda 81_net_sales],TableDailySummary[Fecha],"&gt;="&amp;TableWeeklySummary[[#This Row],[Desde]],TableDailySummary[Fecha],"&lt;="&amp;TableWeeklySummary[[#This Row],[Hasta]])</f>
        <v>0</v>
      </c>
      <c r="O61" s="12">
        <f ca="1">SUMIFS(TableDailySummary[Tienda 81_orders],TableDailySummary[Fecha],"&gt;="&amp;TableWeeklySummary[[#This Row],[Desde]],TableDailySummary[Fecha],"&lt;="&amp;TableWeeklySummary[[#This Row],[Hasta]])</f>
        <v>0</v>
      </c>
      <c r="P61" s="12">
        <f ca="1">SUMIFS(TableDailySummary[Rappi_net_sales],TableDailySummary[Fecha],"&gt;="&amp;TableWeeklySummary[[#This Row],[Desde]],TableDailySummary[Fecha],"&lt;="&amp;TableWeeklySummary[[#This Row],[Hasta]])</f>
        <v>0</v>
      </c>
      <c r="Q61" s="12">
        <f ca="1">SUMIFS(TableDailySummary[Rappi_orders],TableDailySummary[Fecha],"&gt;="&amp;TableWeeklySummary[[#This Row],[Desde]],TableDailySummary[Fecha],"&lt;="&amp;TableWeeklySummary[[#This Row],[Hasta]])</f>
        <v>0</v>
      </c>
      <c r="R6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6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61" s="12">
        <f ca="1">SUMIFS(TableDailySummary[Inversión google ads],TableDailySummary[Fecha],"&gt;="&amp;TableWeeklySummary[[#This Row],[Desde]],TableDailySummary[Fecha],"&lt;="&amp;TableWeeklySummary[[#This Row],[Hasta]])</f>
        <v>0</v>
      </c>
      <c r="U61" s="12">
        <f ca="1">SUMIFS(TableDailySummary[Ventas google ads],TableDailySummary[Fecha],"&gt;="&amp;TableWeeklySummary[[#This Row],[Desde]],TableDailySummary[Fecha],"&lt;="&amp;TableWeeklySummary[[#This Row],[Hasta]])</f>
        <v>0</v>
      </c>
      <c r="V61" s="12">
        <f ca="1">SUMIFS(TableDailySummary[Inversión meta ads],TableDailySummary[Fecha],"&gt;="&amp;TableWeeklySummary[[#This Row],[Desde]],TableDailySummary[Fecha],"&lt;="&amp;TableWeeklySummary[[#This Row],[Hasta]])</f>
        <v>0</v>
      </c>
      <c r="W61" s="12">
        <f ca="1">SUMIFS(TableDailySummary[Ventas meta ads],TableDailySummary[Fecha],"&gt;="&amp;TableWeeklySummary[[#This Row],[Desde]],TableDailySummary[Fecha],"&lt;="&amp;TableWeeklySummary[[#This Row],[Hasta]])</f>
        <v>0</v>
      </c>
      <c r="X61" s="12">
        <f ca="1">TableWeeklySummary[[#This Row],[Inversión google ads]]+TableWeeklySummary[[#This Row],[Inversión meta ads]]</f>
        <v>0</v>
      </c>
      <c r="Y61" s="12">
        <f ca="1">TableWeeklySummary[[#This Row],[Ventas google ads]]+TableWeeklySummary[[#This Row],[Ventas meta ads]]</f>
        <v>0</v>
      </c>
      <c r="Z61" s="14">
        <f ca="1">IFERROR(TableWeeklySummary[[#This Row],[Ventas publicidad]]/TableWeeklySummary[[#This Row],[Inversión publicidad]],0)</f>
        <v>0</v>
      </c>
      <c r="AA61" s="14">
        <f ca="1">IFERROR(TableWeeklySummary[[#This Row],[Ventas primer cliente]]/TableWeeklySummary[[#This Row],[Inversión publicidad]],0)</f>
        <v>0</v>
      </c>
      <c r="AB61" s="14"/>
      <c r="AC61" s="12"/>
      <c r="AI6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6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61" s="12">
        <f ca="1">SUMIFS(TableDailySummary[Utilidad bruta],TableDailySummary[Fecha],"&gt;="&amp;TableWeeklySummary[[#This Row],[Desde]],TableDailySummary[Fecha],"&lt;="&amp;TableWeeklySummary[[#This Row],[Hasta]])</f>
        <v>0</v>
      </c>
      <c r="AL61" s="18">
        <f ca="1">IFERROR(TableWeeklySummary[[#This Row],[Utilidad bruta]]/TableWeeklySummary[[#This Row],[Ventas netas con costo registrado]],0)</f>
        <v>0</v>
      </c>
    </row>
    <row r="62" spans="2:38" x14ac:dyDescent="0.2">
      <c r="B62" s="16">
        <f ca="1">_xlfn.ISOWEEKNUM(TableWeeklySummary[[#This Row],[Hasta]])</f>
        <v>48</v>
      </c>
      <c r="C62" s="6">
        <f t="shared" ca="1" si="1"/>
        <v>46346</v>
      </c>
      <c r="D62" s="6">
        <f ca="1">TableWeeklySummary[[#This Row],[Desde]]+7-1</f>
        <v>46352</v>
      </c>
      <c r="E62" s="12">
        <f ca="1">SUMIFS(TableDailySummary[Ventas netas totales],TableDailySummary[Fecha],"&gt;="&amp;TableWeeklySummary[[#This Row],[Desde]],TableDailySummary[Fecha],"&lt;="&amp;TableWeeklySummary[[#This Row],[Hasta]])</f>
        <v>0</v>
      </c>
      <c r="F62" s="12">
        <f ca="1">SUMIFS(TableDailySummary[Órdenes totales],TableDailySummary[Fecha],"&gt;="&amp;TableWeeklySummary[[#This Row],[Desde]],TableDailySummary[Fecha],"&lt;="&amp;TableWeeklySummary[[#This Row],[Hasta]])</f>
        <v>0</v>
      </c>
      <c r="G62" s="12">
        <f ca="1">IFERROR(TableWeeklySummary[[#This Row],[Ventas netas totales]]/TableWeeklySummary[[#This Row],[Órdenes totales]],0)</f>
        <v>0</v>
      </c>
      <c r="H6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62" s="12">
        <f ca="1">TableWeeklySummary[[#This Row],[Órden promedio totales]]*TableWeeklySummary[[#This Row],[CR totales]]</f>
        <v>0</v>
      </c>
      <c r="J62" s="12">
        <f ca="1">SUMIFS(TableDailySummary[Ventas primer cliente],TableDailySummary[Fecha],"&gt;="&amp;TableWeeklySummary[[#This Row],[Desde]],TableDailySummary[Fecha],"&lt;="&amp;TableWeeklySummary[[#This Row],[Hasta]])</f>
        <v>0</v>
      </c>
      <c r="K62" s="12">
        <f ca="1">SUMIFS(TableDailySummary[Órdenes primer cliente],TableDailySummary[Fecha],"&gt;="&amp;TableWeeklySummary[[#This Row],[Desde]],TableDailySummary[Fecha],"&lt;="&amp;TableWeeklySummary[[#This Row],[Hasta]])</f>
        <v>0</v>
      </c>
      <c r="L62" s="12">
        <f ca="1">SUMIFS(TableDailySummary[Online Store_net_sales],TableDailySummary[Fecha],"&gt;="&amp;TableWeeklySummary[[#This Row],[Desde]],TableDailySummary[Fecha],"&lt;="&amp;TableWeeklySummary[[#This Row],[Hasta]])</f>
        <v>0</v>
      </c>
      <c r="M62" s="12">
        <f ca="1">SUMIFS(TableDailySummary[Online Store_orders],TableDailySummary[Fecha],"&gt;="&amp;TableWeeklySummary[[#This Row],[Desde]],TableDailySummary[Fecha],"&lt;="&amp;TableWeeklySummary[[#This Row],[Hasta]])</f>
        <v>0</v>
      </c>
      <c r="N62" s="12">
        <f ca="1">SUMIFS(TableDailySummary[Tienda 81_net_sales],TableDailySummary[Fecha],"&gt;="&amp;TableWeeklySummary[[#This Row],[Desde]],TableDailySummary[Fecha],"&lt;="&amp;TableWeeklySummary[[#This Row],[Hasta]])</f>
        <v>0</v>
      </c>
      <c r="O62" s="12">
        <f ca="1">SUMIFS(TableDailySummary[Tienda 81_orders],TableDailySummary[Fecha],"&gt;="&amp;TableWeeklySummary[[#This Row],[Desde]],TableDailySummary[Fecha],"&lt;="&amp;TableWeeklySummary[[#This Row],[Hasta]])</f>
        <v>0</v>
      </c>
      <c r="P62" s="12">
        <f ca="1">SUMIFS(TableDailySummary[Rappi_net_sales],TableDailySummary[Fecha],"&gt;="&amp;TableWeeklySummary[[#This Row],[Desde]],TableDailySummary[Fecha],"&lt;="&amp;TableWeeklySummary[[#This Row],[Hasta]])</f>
        <v>0</v>
      </c>
      <c r="Q62" s="12">
        <f ca="1">SUMIFS(TableDailySummary[Rappi_orders],TableDailySummary[Fecha],"&gt;="&amp;TableWeeklySummary[[#This Row],[Desde]],TableDailySummary[Fecha],"&lt;="&amp;TableWeeklySummary[[#This Row],[Hasta]])</f>
        <v>0</v>
      </c>
      <c r="R6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6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62" s="12">
        <f ca="1">SUMIFS(TableDailySummary[Inversión google ads],TableDailySummary[Fecha],"&gt;="&amp;TableWeeklySummary[[#This Row],[Desde]],TableDailySummary[Fecha],"&lt;="&amp;TableWeeklySummary[[#This Row],[Hasta]])</f>
        <v>0</v>
      </c>
      <c r="U62" s="12">
        <f ca="1">SUMIFS(TableDailySummary[Ventas google ads],TableDailySummary[Fecha],"&gt;="&amp;TableWeeklySummary[[#This Row],[Desde]],TableDailySummary[Fecha],"&lt;="&amp;TableWeeklySummary[[#This Row],[Hasta]])</f>
        <v>0</v>
      </c>
      <c r="V62" s="12">
        <f ca="1">SUMIFS(TableDailySummary[Inversión meta ads],TableDailySummary[Fecha],"&gt;="&amp;TableWeeklySummary[[#This Row],[Desde]],TableDailySummary[Fecha],"&lt;="&amp;TableWeeklySummary[[#This Row],[Hasta]])</f>
        <v>0</v>
      </c>
      <c r="W62" s="12">
        <f ca="1">SUMIFS(TableDailySummary[Ventas meta ads],TableDailySummary[Fecha],"&gt;="&amp;TableWeeklySummary[[#This Row],[Desde]],TableDailySummary[Fecha],"&lt;="&amp;TableWeeklySummary[[#This Row],[Hasta]])</f>
        <v>0</v>
      </c>
      <c r="X62" s="12">
        <f ca="1">TableWeeklySummary[[#This Row],[Inversión google ads]]+TableWeeklySummary[[#This Row],[Inversión meta ads]]</f>
        <v>0</v>
      </c>
      <c r="Y62" s="12">
        <f ca="1">TableWeeklySummary[[#This Row],[Ventas google ads]]+TableWeeklySummary[[#This Row],[Ventas meta ads]]</f>
        <v>0</v>
      </c>
      <c r="Z62" s="14">
        <f ca="1">IFERROR(TableWeeklySummary[[#This Row],[Ventas publicidad]]/TableWeeklySummary[[#This Row],[Inversión publicidad]],0)</f>
        <v>0</v>
      </c>
      <c r="AA62" s="14">
        <f ca="1">IFERROR(TableWeeklySummary[[#This Row],[Ventas primer cliente]]/TableWeeklySummary[[#This Row],[Inversión publicidad]],0)</f>
        <v>0</v>
      </c>
      <c r="AB62" s="14"/>
      <c r="AC62" s="12"/>
      <c r="AI6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6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62" s="12">
        <f ca="1">SUMIFS(TableDailySummary[Utilidad bruta],TableDailySummary[Fecha],"&gt;="&amp;TableWeeklySummary[[#This Row],[Desde]],TableDailySummary[Fecha],"&lt;="&amp;TableWeeklySummary[[#This Row],[Hasta]])</f>
        <v>0</v>
      </c>
      <c r="AL62" s="18">
        <f ca="1">IFERROR(TableWeeklySummary[[#This Row],[Utilidad bruta]]/TableWeeklySummary[[#This Row],[Ventas netas con costo registrado]],0)</f>
        <v>0</v>
      </c>
    </row>
    <row r="63" spans="2:38" x14ac:dyDescent="0.2">
      <c r="B63" s="16">
        <f ca="1">_xlfn.ISOWEEKNUM(TableWeeklySummary[[#This Row],[Hasta]])</f>
        <v>49</v>
      </c>
      <c r="C63" s="6">
        <f t="shared" ca="1" si="1"/>
        <v>46353</v>
      </c>
      <c r="D63" s="6">
        <f ca="1">TableWeeklySummary[[#This Row],[Desde]]+7-1</f>
        <v>46359</v>
      </c>
      <c r="E63" s="12">
        <f ca="1">SUMIFS(TableDailySummary[Ventas netas totales],TableDailySummary[Fecha],"&gt;="&amp;TableWeeklySummary[[#This Row],[Desde]],TableDailySummary[Fecha],"&lt;="&amp;TableWeeklySummary[[#This Row],[Hasta]])</f>
        <v>0</v>
      </c>
      <c r="F63" s="12">
        <f ca="1">SUMIFS(TableDailySummary[Órdenes totales],TableDailySummary[Fecha],"&gt;="&amp;TableWeeklySummary[[#This Row],[Desde]],TableDailySummary[Fecha],"&lt;="&amp;TableWeeklySummary[[#This Row],[Hasta]])</f>
        <v>0</v>
      </c>
      <c r="G63" s="12">
        <f ca="1">IFERROR(TableWeeklySummary[[#This Row],[Ventas netas totales]]/TableWeeklySummary[[#This Row],[Órdenes totales]],0)</f>
        <v>0</v>
      </c>
      <c r="H6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63" s="12">
        <f ca="1">TableWeeklySummary[[#This Row],[Órden promedio totales]]*TableWeeklySummary[[#This Row],[CR totales]]</f>
        <v>0</v>
      </c>
      <c r="J63" s="12">
        <f ca="1">SUMIFS(TableDailySummary[Ventas primer cliente],TableDailySummary[Fecha],"&gt;="&amp;TableWeeklySummary[[#This Row],[Desde]],TableDailySummary[Fecha],"&lt;="&amp;TableWeeklySummary[[#This Row],[Hasta]])</f>
        <v>0</v>
      </c>
      <c r="K63" s="12">
        <f ca="1">SUMIFS(TableDailySummary[Órdenes primer cliente],TableDailySummary[Fecha],"&gt;="&amp;TableWeeklySummary[[#This Row],[Desde]],TableDailySummary[Fecha],"&lt;="&amp;TableWeeklySummary[[#This Row],[Hasta]])</f>
        <v>0</v>
      </c>
      <c r="L63" s="12">
        <f ca="1">SUMIFS(TableDailySummary[Online Store_net_sales],TableDailySummary[Fecha],"&gt;="&amp;TableWeeklySummary[[#This Row],[Desde]],TableDailySummary[Fecha],"&lt;="&amp;TableWeeklySummary[[#This Row],[Hasta]])</f>
        <v>0</v>
      </c>
      <c r="M63" s="12">
        <f ca="1">SUMIFS(TableDailySummary[Online Store_orders],TableDailySummary[Fecha],"&gt;="&amp;TableWeeklySummary[[#This Row],[Desde]],TableDailySummary[Fecha],"&lt;="&amp;TableWeeklySummary[[#This Row],[Hasta]])</f>
        <v>0</v>
      </c>
      <c r="N63" s="12">
        <f ca="1">SUMIFS(TableDailySummary[Tienda 81_net_sales],TableDailySummary[Fecha],"&gt;="&amp;TableWeeklySummary[[#This Row],[Desde]],TableDailySummary[Fecha],"&lt;="&amp;TableWeeklySummary[[#This Row],[Hasta]])</f>
        <v>0</v>
      </c>
      <c r="O63" s="12">
        <f ca="1">SUMIFS(TableDailySummary[Tienda 81_orders],TableDailySummary[Fecha],"&gt;="&amp;TableWeeklySummary[[#This Row],[Desde]],TableDailySummary[Fecha],"&lt;="&amp;TableWeeklySummary[[#This Row],[Hasta]])</f>
        <v>0</v>
      </c>
      <c r="P63" s="12">
        <f ca="1">SUMIFS(TableDailySummary[Rappi_net_sales],TableDailySummary[Fecha],"&gt;="&amp;TableWeeklySummary[[#This Row],[Desde]],TableDailySummary[Fecha],"&lt;="&amp;TableWeeklySummary[[#This Row],[Hasta]])</f>
        <v>0</v>
      </c>
      <c r="Q63" s="12">
        <f ca="1">SUMIFS(TableDailySummary[Rappi_orders],TableDailySummary[Fecha],"&gt;="&amp;TableWeeklySummary[[#This Row],[Desde]],TableDailySummary[Fecha],"&lt;="&amp;TableWeeklySummary[[#This Row],[Hasta]])</f>
        <v>0</v>
      </c>
      <c r="R6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6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63" s="12">
        <f ca="1">SUMIFS(TableDailySummary[Inversión google ads],TableDailySummary[Fecha],"&gt;="&amp;TableWeeklySummary[[#This Row],[Desde]],TableDailySummary[Fecha],"&lt;="&amp;TableWeeklySummary[[#This Row],[Hasta]])</f>
        <v>0</v>
      </c>
      <c r="U63" s="12">
        <f ca="1">SUMIFS(TableDailySummary[Ventas google ads],TableDailySummary[Fecha],"&gt;="&amp;TableWeeklySummary[[#This Row],[Desde]],TableDailySummary[Fecha],"&lt;="&amp;TableWeeklySummary[[#This Row],[Hasta]])</f>
        <v>0</v>
      </c>
      <c r="V63" s="12">
        <f ca="1">SUMIFS(TableDailySummary[Inversión meta ads],TableDailySummary[Fecha],"&gt;="&amp;TableWeeklySummary[[#This Row],[Desde]],TableDailySummary[Fecha],"&lt;="&amp;TableWeeklySummary[[#This Row],[Hasta]])</f>
        <v>0</v>
      </c>
      <c r="W63" s="12">
        <f ca="1">SUMIFS(TableDailySummary[Ventas meta ads],TableDailySummary[Fecha],"&gt;="&amp;TableWeeklySummary[[#This Row],[Desde]],TableDailySummary[Fecha],"&lt;="&amp;TableWeeklySummary[[#This Row],[Hasta]])</f>
        <v>0</v>
      </c>
      <c r="X63" s="12">
        <f ca="1">TableWeeklySummary[[#This Row],[Inversión google ads]]+TableWeeklySummary[[#This Row],[Inversión meta ads]]</f>
        <v>0</v>
      </c>
      <c r="Y63" s="12">
        <f ca="1">TableWeeklySummary[[#This Row],[Ventas google ads]]+TableWeeklySummary[[#This Row],[Ventas meta ads]]</f>
        <v>0</v>
      </c>
      <c r="Z63" s="14">
        <f ca="1">IFERROR(TableWeeklySummary[[#This Row],[Ventas publicidad]]/TableWeeklySummary[[#This Row],[Inversión publicidad]],0)</f>
        <v>0</v>
      </c>
      <c r="AA63" s="14">
        <f ca="1">IFERROR(TableWeeklySummary[[#This Row],[Ventas primer cliente]]/TableWeeklySummary[[#This Row],[Inversión publicidad]],0)</f>
        <v>0</v>
      </c>
      <c r="AB63" s="14"/>
      <c r="AC63" s="12"/>
      <c r="AI6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6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63" s="12">
        <f ca="1">SUMIFS(TableDailySummary[Utilidad bruta],TableDailySummary[Fecha],"&gt;="&amp;TableWeeklySummary[[#This Row],[Desde]],TableDailySummary[Fecha],"&lt;="&amp;TableWeeklySummary[[#This Row],[Hasta]])</f>
        <v>0</v>
      </c>
      <c r="AL63" s="18">
        <f ca="1">IFERROR(TableWeeklySummary[[#This Row],[Utilidad bruta]]/TableWeeklySummary[[#This Row],[Ventas netas con costo registrado]],0)</f>
        <v>0</v>
      </c>
    </row>
    <row r="64" spans="2:38" x14ac:dyDescent="0.2">
      <c r="B64" s="16">
        <f ca="1">_xlfn.ISOWEEKNUM(TableWeeklySummary[[#This Row],[Hasta]])</f>
        <v>50</v>
      </c>
      <c r="C64" s="6">
        <f t="shared" ca="1" si="1"/>
        <v>46360</v>
      </c>
      <c r="D64" s="6">
        <f ca="1">TableWeeklySummary[[#This Row],[Desde]]+7-1</f>
        <v>46366</v>
      </c>
      <c r="E64" s="12">
        <f ca="1">SUMIFS(TableDailySummary[Ventas netas totales],TableDailySummary[Fecha],"&gt;="&amp;TableWeeklySummary[[#This Row],[Desde]],TableDailySummary[Fecha],"&lt;="&amp;TableWeeklySummary[[#This Row],[Hasta]])</f>
        <v>0</v>
      </c>
      <c r="F64" s="12">
        <f ca="1">SUMIFS(TableDailySummary[Órdenes totales],TableDailySummary[Fecha],"&gt;="&amp;TableWeeklySummary[[#This Row],[Desde]],TableDailySummary[Fecha],"&lt;="&amp;TableWeeklySummary[[#This Row],[Hasta]])</f>
        <v>0</v>
      </c>
      <c r="G64" s="12">
        <f ca="1">IFERROR(TableWeeklySummary[[#This Row],[Ventas netas totales]]/TableWeeklySummary[[#This Row],[Órdenes totales]],0)</f>
        <v>0</v>
      </c>
      <c r="H6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64" s="12">
        <f ca="1">TableWeeklySummary[[#This Row],[Órden promedio totales]]*TableWeeklySummary[[#This Row],[CR totales]]</f>
        <v>0</v>
      </c>
      <c r="J64" s="12">
        <f ca="1">SUMIFS(TableDailySummary[Ventas primer cliente],TableDailySummary[Fecha],"&gt;="&amp;TableWeeklySummary[[#This Row],[Desde]],TableDailySummary[Fecha],"&lt;="&amp;TableWeeklySummary[[#This Row],[Hasta]])</f>
        <v>0</v>
      </c>
      <c r="K64" s="12">
        <f ca="1">SUMIFS(TableDailySummary[Órdenes primer cliente],TableDailySummary[Fecha],"&gt;="&amp;TableWeeklySummary[[#This Row],[Desde]],TableDailySummary[Fecha],"&lt;="&amp;TableWeeklySummary[[#This Row],[Hasta]])</f>
        <v>0</v>
      </c>
      <c r="L64" s="12">
        <f ca="1">SUMIFS(TableDailySummary[Online Store_net_sales],TableDailySummary[Fecha],"&gt;="&amp;TableWeeklySummary[[#This Row],[Desde]],TableDailySummary[Fecha],"&lt;="&amp;TableWeeklySummary[[#This Row],[Hasta]])</f>
        <v>0</v>
      </c>
      <c r="M64" s="12">
        <f ca="1">SUMIFS(TableDailySummary[Online Store_orders],TableDailySummary[Fecha],"&gt;="&amp;TableWeeklySummary[[#This Row],[Desde]],TableDailySummary[Fecha],"&lt;="&amp;TableWeeklySummary[[#This Row],[Hasta]])</f>
        <v>0</v>
      </c>
      <c r="N64" s="12">
        <f ca="1">SUMIFS(TableDailySummary[Tienda 81_net_sales],TableDailySummary[Fecha],"&gt;="&amp;TableWeeklySummary[[#This Row],[Desde]],TableDailySummary[Fecha],"&lt;="&amp;TableWeeklySummary[[#This Row],[Hasta]])</f>
        <v>0</v>
      </c>
      <c r="O64" s="12">
        <f ca="1">SUMIFS(TableDailySummary[Tienda 81_orders],TableDailySummary[Fecha],"&gt;="&amp;TableWeeklySummary[[#This Row],[Desde]],TableDailySummary[Fecha],"&lt;="&amp;TableWeeklySummary[[#This Row],[Hasta]])</f>
        <v>0</v>
      </c>
      <c r="P64" s="12">
        <f ca="1">SUMIFS(TableDailySummary[Rappi_net_sales],TableDailySummary[Fecha],"&gt;="&amp;TableWeeklySummary[[#This Row],[Desde]],TableDailySummary[Fecha],"&lt;="&amp;TableWeeklySummary[[#This Row],[Hasta]])</f>
        <v>0</v>
      </c>
      <c r="Q64" s="12">
        <f ca="1">SUMIFS(TableDailySummary[Rappi_orders],TableDailySummary[Fecha],"&gt;="&amp;TableWeeklySummary[[#This Row],[Desde]],TableDailySummary[Fecha],"&lt;="&amp;TableWeeklySummary[[#This Row],[Hasta]])</f>
        <v>0</v>
      </c>
      <c r="R6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6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64" s="12">
        <f ca="1">SUMIFS(TableDailySummary[Inversión google ads],TableDailySummary[Fecha],"&gt;="&amp;TableWeeklySummary[[#This Row],[Desde]],TableDailySummary[Fecha],"&lt;="&amp;TableWeeklySummary[[#This Row],[Hasta]])</f>
        <v>0</v>
      </c>
      <c r="U64" s="12">
        <f ca="1">SUMIFS(TableDailySummary[Ventas google ads],TableDailySummary[Fecha],"&gt;="&amp;TableWeeklySummary[[#This Row],[Desde]],TableDailySummary[Fecha],"&lt;="&amp;TableWeeklySummary[[#This Row],[Hasta]])</f>
        <v>0</v>
      </c>
      <c r="V64" s="12">
        <f ca="1">SUMIFS(TableDailySummary[Inversión meta ads],TableDailySummary[Fecha],"&gt;="&amp;TableWeeklySummary[[#This Row],[Desde]],TableDailySummary[Fecha],"&lt;="&amp;TableWeeklySummary[[#This Row],[Hasta]])</f>
        <v>0</v>
      </c>
      <c r="W64" s="12">
        <f ca="1">SUMIFS(TableDailySummary[Ventas meta ads],TableDailySummary[Fecha],"&gt;="&amp;TableWeeklySummary[[#This Row],[Desde]],TableDailySummary[Fecha],"&lt;="&amp;TableWeeklySummary[[#This Row],[Hasta]])</f>
        <v>0</v>
      </c>
      <c r="X64" s="12">
        <f ca="1">TableWeeklySummary[[#This Row],[Inversión google ads]]+TableWeeklySummary[[#This Row],[Inversión meta ads]]</f>
        <v>0</v>
      </c>
      <c r="Y64" s="12">
        <f ca="1">TableWeeklySummary[[#This Row],[Ventas google ads]]+TableWeeklySummary[[#This Row],[Ventas meta ads]]</f>
        <v>0</v>
      </c>
      <c r="Z64" s="14">
        <f ca="1">IFERROR(TableWeeklySummary[[#This Row],[Ventas publicidad]]/TableWeeklySummary[[#This Row],[Inversión publicidad]],0)</f>
        <v>0</v>
      </c>
      <c r="AA64" s="14">
        <f ca="1">IFERROR(TableWeeklySummary[[#This Row],[Ventas primer cliente]]/TableWeeklySummary[[#This Row],[Inversión publicidad]],0)</f>
        <v>0</v>
      </c>
      <c r="AB64" s="14"/>
      <c r="AC64" s="12"/>
      <c r="AI6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6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64" s="12">
        <f ca="1">SUMIFS(TableDailySummary[Utilidad bruta],TableDailySummary[Fecha],"&gt;="&amp;TableWeeklySummary[[#This Row],[Desde]],TableDailySummary[Fecha],"&lt;="&amp;TableWeeklySummary[[#This Row],[Hasta]])</f>
        <v>0</v>
      </c>
      <c r="AL64" s="18">
        <f ca="1">IFERROR(TableWeeklySummary[[#This Row],[Utilidad bruta]]/TableWeeklySummary[[#This Row],[Ventas netas con costo registrado]],0)</f>
        <v>0</v>
      </c>
    </row>
    <row r="65" spans="2:38" x14ac:dyDescent="0.2">
      <c r="B65" s="16">
        <f ca="1">_xlfn.ISOWEEKNUM(TableWeeklySummary[[#This Row],[Hasta]])</f>
        <v>51</v>
      </c>
      <c r="C65" s="6">
        <f t="shared" ca="1" si="1"/>
        <v>46367</v>
      </c>
      <c r="D65" s="6">
        <f ca="1">TableWeeklySummary[[#This Row],[Desde]]+7-1</f>
        <v>46373</v>
      </c>
      <c r="E65" s="12">
        <f ca="1">SUMIFS(TableDailySummary[Ventas netas totales],TableDailySummary[Fecha],"&gt;="&amp;TableWeeklySummary[[#This Row],[Desde]],TableDailySummary[Fecha],"&lt;="&amp;TableWeeklySummary[[#This Row],[Hasta]])</f>
        <v>0</v>
      </c>
      <c r="F65" s="12">
        <f ca="1">SUMIFS(TableDailySummary[Órdenes totales],TableDailySummary[Fecha],"&gt;="&amp;TableWeeklySummary[[#This Row],[Desde]],TableDailySummary[Fecha],"&lt;="&amp;TableWeeklySummary[[#This Row],[Hasta]])</f>
        <v>0</v>
      </c>
      <c r="G65" s="12">
        <f ca="1">IFERROR(TableWeeklySummary[[#This Row],[Ventas netas totales]]/TableWeeklySummary[[#This Row],[Órdenes totales]],0)</f>
        <v>0</v>
      </c>
      <c r="H6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65" s="12">
        <f ca="1">TableWeeklySummary[[#This Row],[Órden promedio totales]]*TableWeeklySummary[[#This Row],[CR totales]]</f>
        <v>0</v>
      </c>
      <c r="J65" s="12">
        <f ca="1">SUMIFS(TableDailySummary[Ventas primer cliente],TableDailySummary[Fecha],"&gt;="&amp;TableWeeklySummary[[#This Row],[Desde]],TableDailySummary[Fecha],"&lt;="&amp;TableWeeklySummary[[#This Row],[Hasta]])</f>
        <v>0</v>
      </c>
      <c r="K65" s="12">
        <f ca="1">SUMIFS(TableDailySummary[Órdenes primer cliente],TableDailySummary[Fecha],"&gt;="&amp;TableWeeklySummary[[#This Row],[Desde]],TableDailySummary[Fecha],"&lt;="&amp;TableWeeklySummary[[#This Row],[Hasta]])</f>
        <v>0</v>
      </c>
      <c r="L65" s="12">
        <f ca="1">SUMIFS(TableDailySummary[Online Store_net_sales],TableDailySummary[Fecha],"&gt;="&amp;TableWeeklySummary[[#This Row],[Desde]],TableDailySummary[Fecha],"&lt;="&amp;TableWeeklySummary[[#This Row],[Hasta]])</f>
        <v>0</v>
      </c>
      <c r="M65" s="12">
        <f ca="1">SUMIFS(TableDailySummary[Online Store_orders],TableDailySummary[Fecha],"&gt;="&amp;TableWeeklySummary[[#This Row],[Desde]],TableDailySummary[Fecha],"&lt;="&amp;TableWeeklySummary[[#This Row],[Hasta]])</f>
        <v>0</v>
      </c>
      <c r="N65" s="12">
        <f ca="1">SUMIFS(TableDailySummary[Tienda 81_net_sales],TableDailySummary[Fecha],"&gt;="&amp;TableWeeklySummary[[#This Row],[Desde]],TableDailySummary[Fecha],"&lt;="&amp;TableWeeklySummary[[#This Row],[Hasta]])</f>
        <v>0</v>
      </c>
      <c r="O65" s="12">
        <f ca="1">SUMIFS(TableDailySummary[Tienda 81_orders],TableDailySummary[Fecha],"&gt;="&amp;TableWeeklySummary[[#This Row],[Desde]],TableDailySummary[Fecha],"&lt;="&amp;TableWeeklySummary[[#This Row],[Hasta]])</f>
        <v>0</v>
      </c>
      <c r="P65" s="12">
        <f ca="1">SUMIFS(TableDailySummary[Rappi_net_sales],TableDailySummary[Fecha],"&gt;="&amp;TableWeeklySummary[[#This Row],[Desde]],TableDailySummary[Fecha],"&lt;="&amp;TableWeeklySummary[[#This Row],[Hasta]])</f>
        <v>0</v>
      </c>
      <c r="Q65" s="12">
        <f ca="1">SUMIFS(TableDailySummary[Rappi_orders],TableDailySummary[Fecha],"&gt;="&amp;TableWeeklySummary[[#This Row],[Desde]],TableDailySummary[Fecha],"&lt;="&amp;TableWeeklySummary[[#This Row],[Hasta]])</f>
        <v>0</v>
      </c>
      <c r="R6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6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65" s="12">
        <f ca="1">SUMIFS(TableDailySummary[Inversión google ads],TableDailySummary[Fecha],"&gt;="&amp;TableWeeklySummary[[#This Row],[Desde]],TableDailySummary[Fecha],"&lt;="&amp;TableWeeklySummary[[#This Row],[Hasta]])</f>
        <v>0</v>
      </c>
      <c r="U65" s="12">
        <f ca="1">SUMIFS(TableDailySummary[Ventas google ads],TableDailySummary[Fecha],"&gt;="&amp;TableWeeklySummary[[#This Row],[Desde]],TableDailySummary[Fecha],"&lt;="&amp;TableWeeklySummary[[#This Row],[Hasta]])</f>
        <v>0</v>
      </c>
      <c r="V65" s="12">
        <f ca="1">SUMIFS(TableDailySummary[Inversión meta ads],TableDailySummary[Fecha],"&gt;="&amp;TableWeeklySummary[[#This Row],[Desde]],TableDailySummary[Fecha],"&lt;="&amp;TableWeeklySummary[[#This Row],[Hasta]])</f>
        <v>0</v>
      </c>
      <c r="W65" s="12">
        <f ca="1">SUMIFS(TableDailySummary[Ventas meta ads],TableDailySummary[Fecha],"&gt;="&amp;TableWeeklySummary[[#This Row],[Desde]],TableDailySummary[Fecha],"&lt;="&amp;TableWeeklySummary[[#This Row],[Hasta]])</f>
        <v>0</v>
      </c>
      <c r="X65" s="12">
        <f ca="1">TableWeeklySummary[[#This Row],[Inversión google ads]]+TableWeeklySummary[[#This Row],[Inversión meta ads]]</f>
        <v>0</v>
      </c>
      <c r="Y65" s="12">
        <f ca="1">TableWeeklySummary[[#This Row],[Ventas google ads]]+TableWeeklySummary[[#This Row],[Ventas meta ads]]</f>
        <v>0</v>
      </c>
      <c r="Z65" s="14">
        <f ca="1">IFERROR(TableWeeklySummary[[#This Row],[Ventas publicidad]]/TableWeeklySummary[[#This Row],[Inversión publicidad]],0)</f>
        <v>0</v>
      </c>
      <c r="AA65" s="14">
        <f ca="1">IFERROR(TableWeeklySummary[[#This Row],[Ventas primer cliente]]/TableWeeklySummary[[#This Row],[Inversión publicidad]],0)</f>
        <v>0</v>
      </c>
      <c r="AB65" s="14"/>
      <c r="AC65" s="12"/>
      <c r="AI6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6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65" s="12">
        <f ca="1">SUMIFS(TableDailySummary[Utilidad bruta],TableDailySummary[Fecha],"&gt;="&amp;TableWeeklySummary[[#This Row],[Desde]],TableDailySummary[Fecha],"&lt;="&amp;TableWeeklySummary[[#This Row],[Hasta]])</f>
        <v>0</v>
      </c>
      <c r="AL65" s="18">
        <f ca="1">IFERROR(TableWeeklySummary[[#This Row],[Utilidad bruta]]/TableWeeklySummary[[#This Row],[Ventas netas con costo registrado]],0)</f>
        <v>0</v>
      </c>
    </row>
    <row r="66" spans="2:38" x14ac:dyDescent="0.2">
      <c r="B66" s="16">
        <f ca="1">_xlfn.ISOWEEKNUM(TableWeeklySummary[[#This Row],[Hasta]])</f>
        <v>52</v>
      </c>
      <c r="C66" s="6">
        <f t="shared" ca="1" si="1"/>
        <v>46374</v>
      </c>
      <c r="D66" s="6">
        <f ca="1">TableWeeklySummary[[#This Row],[Desde]]+7-1</f>
        <v>46380</v>
      </c>
      <c r="E66" s="12">
        <f ca="1">SUMIFS(TableDailySummary[Ventas netas totales],TableDailySummary[Fecha],"&gt;="&amp;TableWeeklySummary[[#This Row],[Desde]],TableDailySummary[Fecha],"&lt;="&amp;TableWeeklySummary[[#This Row],[Hasta]])</f>
        <v>0</v>
      </c>
      <c r="F66" s="12">
        <f ca="1">SUMIFS(TableDailySummary[Órdenes totales],TableDailySummary[Fecha],"&gt;="&amp;TableWeeklySummary[[#This Row],[Desde]],TableDailySummary[Fecha],"&lt;="&amp;TableWeeklySummary[[#This Row],[Hasta]])</f>
        <v>0</v>
      </c>
      <c r="G66" s="12">
        <f ca="1">IFERROR(TableWeeklySummary[[#This Row],[Ventas netas totales]]/TableWeeklySummary[[#This Row],[Órdenes totales]],0)</f>
        <v>0</v>
      </c>
      <c r="H6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66" s="12">
        <f ca="1">TableWeeklySummary[[#This Row],[Órden promedio totales]]*TableWeeklySummary[[#This Row],[CR totales]]</f>
        <v>0</v>
      </c>
      <c r="J66" s="12">
        <f ca="1">SUMIFS(TableDailySummary[Ventas primer cliente],TableDailySummary[Fecha],"&gt;="&amp;TableWeeklySummary[[#This Row],[Desde]],TableDailySummary[Fecha],"&lt;="&amp;TableWeeklySummary[[#This Row],[Hasta]])</f>
        <v>0</v>
      </c>
      <c r="K66" s="12">
        <f ca="1">SUMIFS(TableDailySummary[Órdenes primer cliente],TableDailySummary[Fecha],"&gt;="&amp;TableWeeklySummary[[#This Row],[Desde]],TableDailySummary[Fecha],"&lt;="&amp;TableWeeklySummary[[#This Row],[Hasta]])</f>
        <v>0</v>
      </c>
      <c r="L66" s="12">
        <f ca="1">SUMIFS(TableDailySummary[Online Store_net_sales],TableDailySummary[Fecha],"&gt;="&amp;TableWeeklySummary[[#This Row],[Desde]],TableDailySummary[Fecha],"&lt;="&amp;TableWeeklySummary[[#This Row],[Hasta]])</f>
        <v>0</v>
      </c>
      <c r="M66" s="12">
        <f ca="1">SUMIFS(TableDailySummary[Online Store_orders],TableDailySummary[Fecha],"&gt;="&amp;TableWeeklySummary[[#This Row],[Desde]],TableDailySummary[Fecha],"&lt;="&amp;TableWeeklySummary[[#This Row],[Hasta]])</f>
        <v>0</v>
      </c>
      <c r="N66" s="12">
        <f ca="1">SUMIFS(TableDailySummary[Tienda 81_net_sales],TableDailySummary[Fecha],"&gt;="&amp;TableWeeklySummary[[#This Row],[Desde]],TableDailySummary[Fecha],"&lt;="&amp;TableWeeklySummary[[#This Row],[Hasta]])</f>
        <v>0</v>
      </c>
      <c r="O66" s="12">
        <f ca="1">SUMIFS(TableDailySummary[Tienda 81_orders],TableDailySummary[Fecha],"&gt;="&amp;TableWeeklySummary[[#This Row],[Desde]],TableDailySummary[Fecha],"&lt;="&amp;TableWeeklySummary[[#This Row],[Hasta]])</f>
        <v>0</v>
      </c>
      <c r="P66" s="12">
        <f ca="1">SUMIFS(TableDailySummary[Rappi_net_sales],TableDailySummary[Fecha],"&gt;="&amp;TableWeeklySummary[[#This Row],[Desde]],TableDailySummary[Fecha],"&lt;="&amp;TableWeeklySummary[[#This Row],[Hasta]])</f>
        <v>0</v>
      </c>
      <c r="Q66" s="12">
        <f ca="1">SUMIFS(TableDailySummary[Rappi_orders],TableDailySummary[Fecha],"&gt;="&amp;TableWeeklySummary[[#This Row],[Desde]],TableDailySummary[Fecha],"&lt;="&amp;TableWeeklySummary[[#This Row],[Hasta]])</f>
        <v>0</v>
      </c>
      <c r="R6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6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66" s="12">
        <f ca="1">SUMIFS(TableDailySummary[Inversión google ads],TableDailySummary[Fecha],"&gt;="&amp;TableWeeklySummary[[#This Row],[Desde]],TableDailySummary[Fecha],"&lt;="&amp;TableWeeklySummary[[#This Row],[Hasta]])</f>
        <v>0</v>
      </c>
      <c r="U66" s="12">
        <f ca="1">SUMIFS(TableDailySummary[Ventas google ads],TableDailySummary[Fecha],"&gt;="&amp;TableWeeklySummary[[#This Row],[Desde]],TableDailySummary[Fecha],"&lt;="&amp;TableWeeklySummary[[#This Row],[Hasta]])</f>
        <v>0</v>
      </c>
      <c r="V66" s="12">
        <f ca="1">SUMIFS(TableDailySummary[Inversión meta ads],TableDailySummary[Fecha],"&gt;="&amp;TableWeeklySummary[[#This Row],[Desde]],TableDailySummary[Fecha],"&lt;="&amp;TableWeeklySummary[[#This Row],[Hasta]])</f>
        <v>0</v>
      </c>
      <c r="W66" s="12">
        <f ca="1">SUMIFS(TableDailySummary[Ventas meta ads],TableDailySummary[Fecha],"&gt;="&amp;TableWeeklySummary[[#This Row],[Desde]],TableDailySummary[Fecha],"&lt;="&amp;TableWeeklySummary[[#This Row],[Hasta]])</f>
        <v>0</v>
      </c>
      <c r="X66" s="12">
        <f ca="1">TableWeeklySummary[[#This Row],[Inversión google ads]]+TableWeeklySummary[[#This Row],[Inversión meta ads]]</f>
        <v>0</v>
      </c>
      <c r="Y66" s="12">
        <f ca="1">TableWeeklySummary[[#This Row],[Ventas google ads]]+TableWeeklySummary[[#This Row],[Ventas meta ads]]</f>
        <v>0</v>
      </c>
      <c r="Z66" s="14">
        <f ca="1">IFERROR(TableWeeklySummary[[#This Row],[Ventas publicidad]]/TableWeeklySummary[[#This Row],[Inversión publicidad]],0)</f>
        <v>0</v>
      </c>
      <c r="AA66" s="14">
        <f ca="1">IFERROR(TableWeeklySummary[[#This Row],[Ventas primer cliente]]/TableWeeklySummary[[#This Row],[Inversión publicidad]],0)</f>
        <v>0</v>
      </c>
      <c r="AB66" s="14"/>
      <c r="AC66" s="12"/>
      <c r="AI6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6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66" s="12">
        <f ca="1">SUMIFS(TableDailySummary[Utilidad bruta],TableDailySummary[Fecha],"&gt;="&amp;TableWeeklySummary[[#This Row],[Desde]],TableDailySummary[Fecha],"&lt;="&amp;TableWeeklySummary[[#This Row],[Hasta]])</f>
        <v>0</v>
      </c>
      <c r="AL66" s="18">
        <f ca="1">IFERROR(TableWeeklySummary[[#This Row],[Utilidad bruta]]/TableWeeklySummary[[#This Row],[Ventas netas con costo registrado]],0)</f>
        <v>0</v>
      </c>
    </row>
    <row r="67" spans="2:38" x14ac:dyDescent="0.2">
      <c r="B67" s="16">
        <f ca="1">_xlfn.ISOWEEKNUM(TableWeeklySummary[[#This Row],[Hasta]])</f>
        <v>53</v>
      </c>
      <c r="C67" s="6">
        <f t="shared" ca="1" si="1"/>
        <v>46381</v>
      </c>
      <c r="D67" s="6">
        <f ca="1">TableWeeklySummary[[#This Row],[Desde]]+7-1</f>
        <v>46387</v>
      </c>
      <c r="E67" s="12">
        <f ca="1">SUMIFS(TableDailySummary[Ventas netas totales],TableDailySummary[Fecha],"&gt;="&amp;TableWeeklySummary[[#This Row],[Desde]],TableDailySummary[Fecha],"&lt;="&amp;TableWeeklySummary[[#This Row],[Hasta]])</f>
        <v>0</v>
      </c>
      <c r="F67" s="12">
        <f ca="1">SUMIFS(TableDailySummary[Órdenes totales],TableDailySummary[Fecha],"&gt;="&amp;TableWeeklySummary[[#This Row],[Desde]],TableDailySummary[Fecha],"&lt;="&amp;TableWeeklySummary[[#This Row],[Hasta]])</f>
        <v>0</v>
      </c>
      <c r="G67" s="12">
        <f ca="1">IFERROR(TableWeeklySummary[[#This Row],[Ventas netas totales]]/TableWeeklySummary[[#This Row],[Órdenes totales]],0)</f>
        <v>0</v>
      </c>
      <c r="H6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67" s="12">
        <f ca="1">TableWeeklySummary[[#This Row],[Órden promedio totales]]*TableWeeklySummary[[#This Row],[CR totales]]</f>
        <v>0</v>
      </c>
      <c r="J67" s="12">
        <f ca="1">SUMIFS(TableDailySummary[Ventas primer cliente],TableDailySummary[Fecha],"&gt;="&amp;TableWeeklySummary[[#This Row],[Desde]],TableDailySummary[Fecha],"&lt;="&amp;TableWeeklySummary[[#This Row],[Hasta]])</f>
        <v>0</v>
      </c>
      <c r="K67" s="12">
        <f ca="1">SUMIFS(TableDailySummary[Órdenes primer cliente],TableDailySummary[Fecha],"&gt;="&amp;TableWeeklySummary[[#This Row],[Desde]],TableDailySummary[Fecha],"&lt;="&amp;TableWeeklySummary[[#This Row],[Hasta]])</f>
        <v>0</v>
      </c>
      <c r="L67" s="12">
        <f ca="1">SUMIFS(TableDailySummary[Online Store_net_sales],TableDailySummary[Fecha],"&gt;="&amp;TableWeeklySummary[[#This Row],[Desde]],TableDailySummary[Fecha],"&lt;="&amp;TableWeeklySummary[[#This Row],[Hasta]])</f>
        <v>0</v>
      </c>
      <c r="M67" s="12">
        <f ca="1">SUMIFS(TableDailySummary[Online Store_orders],TableDailySummary[Fecha],"&gt;="&amp;TableWeeklySummary[[#This Row],[Desde]],TableDailySummary[Fecha],"&lt;="&amp;TableWeeklySummary[[#This Row],[Hasta]])</f>
        <v>0</v>
      </c>
      <c r="N67" s="12">
        <f ca="1">SUMIFS(TableDailySummary[Tienda 81_net_sales],TableDailySummary[Fecha],"&gt;="&amp;TableWeeklySummary[[#This Row],[Desde]],TableDailySummary[Fecha],"&lt;="&amp;TableWeeklySummary[[#This Row],[Hasta]])</f>
        <v>0</v>
      </c>
      <c r="O67" s="12">
        <f ca="1">SUMIFS(TableDailySummary[Tienda 81_orders],TableDailySummary[Fecha],"&gt;="&amp;TableWeeklySummary[[#This Row],[Desde]],TableDailySummary[Fecha],"&lt;="&amp;TableWeeklySummary[[#This Row],[Hasta]])</f>
        <v>0</v>
      </c>
      <c r="P67" s="12">
        <f ca="1">SUMIFS(TableDailySummary[Rappi_net_sales],TableDailySummary[Fecha],"&gt;="&amp;TableWeeklySummary[[#This Row],[Desde]],TableDailySummary[Fecha],"&lt;="&amp;TableWeeklySummary[[#This Row],[Hasta]])</f>
        <v>0</v>
      </c>
      <c r="Q67" s="12">
        <f ca="1">SUMIFS(TableDailySummary[Rappi_orders],TableDailySummary[Fecha],"&gt;="&amp;TableWeeklySummary[[#This Row],[Desde]],TableDailySummary[Fecha],"&lt;="&amp;TableWeeklySummary[[#This Row],[Hasta]])</f>
        <v>0</v>
      </c>
      <c r="R6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6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67" s="12">
        <f ca="1">SUMIFS(TableDailySummary[Inversión google ads],TableDailySummary[Fecha],"&gt;="&amp;TableWeeklySummary[[#This Row],[Desde]],TableDailySummary[Fecha],"&lt;="&amp;TableWeeklySummary[[#This Row],[Hasta]])</f>
        <v>0</v>
      </c>
      <c r="U67" s="12">
        <f ca="1">SUMIFS(TableDailySummary[Ventas google ads],TableDailySummary[Fecha],"&gt;="&amp;TableWeeklySummary[[#This Row],[Desde]],TableDailySummary[Fecha],"&lt;="&amp;TableWeeklySummary[[#This Row],[Hasta]])</f>
        <v>0</v>
      </c>
      <c r="V67" s="12">
        <f ca="1">SUMIFS(TableDailySummary[Inversión meta ads],TableDailySummary[Fecha],"&gt;="&amp;TableWeeklySummary[[#This Row],[Desde]],TableDailySummary[Fecha],"&lt;="&amp;TableWeeklySummary[[#This Row],[Hasta]])</f>
        <v>0</v>
      </c>
      <c r="W67" s="12">
        <f ca="1">SUMIFS(TableDailySummary[Ventas meta ads],TableDailySummary[Fecha],"&gt;="&amp;TableWeeklySummary[[#This Row],[Desde]],TableDailySummary[Fecha],"&lt;="&amp;TableWeeklySummary[[#This Row],[Hasta]])</f>
        <v>0</v>
      </c>
      <c r="X67" s="12">
        <f ca="1">TableWeeklySummary[[#This Row],[Inversión google ads]]+TableWeeklySummary[[#This Row],[Inversión meta ads]]</f>
        <v>0</v>
      </c>
      <c r="Y67" s="12">
        <f ca="1">TableWeeklySummary[[#This Row],[Ventas google ads]]+TableWeeklySummary[[#This Row],[Ventas meta ads]]</f>
        <v>0</v>
      </c>
      <c r="Z67" s="14">
        <f ca="1">IFERROR(TableWeeklySummary[[#This Row],[Ventas publicidad]]/TableWeeklySummary[[#This Row],[Inversión publicidad]],0)</f>
        <v>0</v>
      </c>
      <c r="AA67" s="14">
        <f ca="1">IFERROR(TableWeeklySummary[[#This Row],[Ventas primer cliente]]/TableWeeklySummary[[#This Row],[Inversión publicidad]],0)</f>
        <v>0</v>
      </c>
      <c r="AB67" s="14"/>
      <c r="AC67" s="12"/>
      <c r="AI6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6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67" s="12">
        <f ca="1">SUMIFS(TableDailySummary[Utilidad bruta],TableDailySummary[Fecha],"&gt;="&amp;TableWeeklySummary[[#This Row],[Desde]],TableDailySummary[Fecha],"&lt;="&amp;TableWeeklySummary[[#This Row],[Hasta]])</f>
        <v>0</v>
      </c>
      <c r="AL67" s="18">
        <f ca="1">IFERROR(TableWeeklySummary[[#This Row],[Utilidad bruta]]/TableWeeklySummary[[#This Row],[Ventas netas con costo registrado]],0)</f>
        <v>0</v>
      </c>
    </row>
    <row r="68" spans="2:38" x14ac:dyDescent="0.2">
      <c r="B68" s="16">
        <f ca="1">_xlfn.ISOWEEKNUM(TableWeeklySummary[[#This Row],[Hasta]])</f>
        <v>1</v>
      </c>
      <c r="C68" s="6">
        <f t="shared" ca="1" si="1"/>
        <v>46388</v>
      </c>
      <c r="D68" s="6">
        <f ca="1">TableWeeklySummary[[#This Row],[Desde]]+7-1</f>
        <v>46394</v>
      </c>
      <c r="E68" s="12">
        <f ca="1">SUMIFS(TableDailySummary[Ventas netas totales],TableDailySummary[Fecha],"&gt;="&amp;TableWeeklySummary[[#This Row],[Desde]],TableDailySummary[Fecha],"&lt;="&amp;TableWeeklySummary[[#This Row],[Hasta]])</f>
        <v>0</v>
      </c>
      <c r="F68" s="12">
        <f ca="1">SUMIFS(TableDailySummary[Órdenes totales],TableDailySummary[Fecha],"&gt;="&amp;TableWeeklySummary[[#This Row],[Desde]],TableDailySummary[Fecha],"&lt;="&amp;TableWeeklySummary[[#This Row],[Hasta]])</f>
        <v>0</v>
      </c>
      <c r="G68" s="12">
        <f ca="1">IFERROR(TableWeeklySummary[[#This Row],[Ventas netas totales]]/TableWeeklySummary[[#This Row],[Órdenes totales]],0)</f>
        <v>0</v>
      </c>
      <c r="H6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68" s="12">
        <f ca="1">TableWeeklySummary[[#This Row],[Órden promedio totales]]*TableWeeklySummary[[#This Row],[CR totales]]</f>
        <v>0</v>
      </c>
      <c r="J68" s="12">
        <f ca="1">SUMIFS(TableDailySummary[Ventas primer cliente],TableDailySummary[Fecha],"&gt;="&amp;TableWeeklySummary[[#This Row],[Desde]],TableDailySummary[Fecha],"&lt;="&amp;TableWeeklySummary[[#This Row],[Hasta]])</f>
        <v>0</v>
      </c>
      <c r="K68" s="12">
        <f ca="1">SUMIFS(TableDailySummary[Órdenes primer cliente],TableDailySummary[Fecha],"&gt;="&amp;TableWeeklySummary[[#This Row],[Desde]],TableDailySummary[Fecha],"&lt;="&amp;TableWeeklySummary[[#This Row],[Hasta]])</f>
        <v>0</v>
      </c>
      <c r="L68" s="12">
        <f ca="1">SUMIFS(TableDailySummary[Online Store_net_sales],TableDailySummary[Fecha],"&gt;="&amp;TableWeeklySummary[[#This Row],[Desde]],TableDailySummary[Fecha],"&lt;="&amp;TableWeeklySummary[[#This Row],[Hasta]])</f>
        <v>0</v>
      </c>
      <c r="M68" s="12">
        <f ca="1">SUMIFS(TableDailySummary[Online Store_orders],TableDailySummary[Fecha],"&gt;="&amp;TableWeeklySummary[[#This Row],[Desde]],TableDailySummary[Fecha],"&lt;="&amp;TableWeeklySummary[[#This Row],[Hasta]])</f>
        <v>0</v>
      </c>
      <c r="N68" s="12">
        <f ca="1">SUMIFS(TableDailySummary[Tienda 81_net_sales],TableDailySummary[Fecha],"&gt;="&amp;TableWeeklySummary[[#This Row],[Desde]],TableDailySummary[Fecha],"&lt;="&amp;TableWeeklySummary[[#This Row],[Hasta]])</f>
        <v>0</v>
      </c>
      <c r="O68" s="12">
        <f ca="1">SUMIFS(TableDailySummary[Tienda 81_orders],TableDailySummary[Fecha],"&gt;="&amp;TableWeeklySummary[[#This Row],[Desde]],TableDailySummary[Fecha],"&lt;="&amp;TableWeeklySummary[[#This Row],[Hasta]])</f>
        <v>0</v>
      </c>
      <c r="P68" s="12">
        <f ca="1">SUMIFS(TableDailySummary[Rappi_net_sales],TableDailySummary[Fecha],"&gt;="&amp;TableWeeklySummary[[#This Row],[Desde]],TableDailySummary[Fecha],"&lt;="&amp;TableWeeklySummary[[#This Row],[Hasta]])</f>
        <v>0</v>
      </c>
      <c r="Q68" s="12">
        <f ca="1">SUMIFS(TableDailySummary[Rappi_orders],TableDailySummary[Fecha],"&gt;="&amp;TableWeeklySummary[[#This Row],[Desde]],TableDailySummary[Fecha],"&lt;="&amp;TableWeeklySummary[[#This Row],[Hasta]])</f>
        <v>0</v>
      </c>
      <c r="R6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6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68" s="12">
        <f ca="1">SUMIFS(TableDailySummary[Inversión google ads],TableDailySummary[Fecha],"&gt;="&amp;TableWeeklySummary[[#This Row],[Desde]],TableDailySummary[Fecha],"&lt;="&amp;TableWeeklySummary[[#This Row],[Hasta]])</f>
        <v>0</v>
      </c>
      <c r="U68" s="12">
        <f ca="1">SUMIFS(TableDailySummary[Ventas google ads],TableDailySummary[Fecha],"&gt;="&amp;TableWeeklySummary[[#This Row],[Desde]],TableDailySummary[Fecha],"&lt;="&amp;TableWeeklySummary[[#This Row],[Hasta]])</f>
        <v>0</v>
      </c>
      <c r="V68" s="12">
        <f ca="1">SUMIFS(TableDailySummary[Inversión meta ads],TableDailySummary[Fecha],"&gt;="&amp;TableWeeklySummary[[#This Row],[Desde]],TableDailySummary[Fecha],"&lt;="&amp;TableWeeklySummary[[#This Row],[Hasta]])</f>
        <v>0</v>
      </c>
      <c r="W68" s="12">
        <f ca="1">SUMIFS(TableDailySummary[Ventas meta ads],TableDailySummary[Fecha],"&gt;="&amp;TableWeeklySummary[[#This Row],[Desde]],TableDailySummary[Fecha],"&lt;="&amp;TableWeeklySummary[[#This Row],[Hasta]])</f>
        <v>0</v>
      </c>
      <c r="X68" s="12">
        <f ca="1">TableWeeklySummary[[#This Row],[Inversión google ads]]+TableWeeklySummary[[#This Row],[Inversión meta ads]]</f>
        <v>0</v>
      </c>
      <c r="Y68" s="12">
        <f ca="1">TableWeeklySummary[[#This Row],[Ventas google ads]]+TableWeeklySummary[[#This Row],[Ventas meta ads]]</f>
        <v>0</v>
      </c>
      <c r="Z68" s="14">
        <f ca="1">IFERROR(TableWeeklySummary[[#This Row],[Ventas publicidad]]/TableWeeklySummary[[#This Row],[Inversión publicidad]],0)</f>
        <v>0</v>
      </c>
      <c r="AA68" s="14">
        <f ca="1">IFERROR(TableWeeklySummary[[#This Row],[Ventas primer cliente]]/TableWeeklySummary[[#This Row],[Inversión publicidad]],0)</f>
        <v>0</v>
      </c>
      <c r="AB68" s="14"/>
      <c r="AC68" s="12"/>
      <c r="AI6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6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68" s="12">
        <f ca="1">SUMIFS(TableDailySummary[Utilidad bruta],TableDailySummary[Fecha],"&gt;="&amp;TableWeeklySummary[[#This Row],[Desde]],TableDailySummary[Fecha],"&lt;="&amp;TableWeeklySummary[[#This Row],[Hasta]])</f>
        <v>0</v>
      </c>
      <c r="AL68" s="18">
        <f ca="1">IFERROR(TableWeeklySummary[[#This Row],[Utilidad bruta]]/TableWeeklySummary[[#This Row],[Ventas netas con costo registrado]],0)</f>
        <v>0</v>
      </c>
    </row>
    <row r="69" spans="2:38" x14ac:dyDescent="0.2">
      <c r="B69" s="16">
        <f ca="1">_xlfn.ISOWEEKNUM(TableWeeklySummary[[#This Row],[Hasta]])</f>
        <v>2</v>
      </c>
      <c r="C69" s="6">
        <f t="shared" ca="1" si="1"/>
        <v>46395</v>
      </c>
      <c r="D69" s="6">
        <f ca="1">TableWeeklySummary[[#This Row],[Desde]]+7-1</f>
        <v>46401</v>
      </c>
      <c r="E69" s="12">
        <f ca="1">SUMIFS(TableDailySummary[Ventas netas totales],TableDailySummary[Fecha],"&gt;="&amp;TableWeeklySummary[[#This Row],[Desde]],TableDailySummary[Fecha],"&lt;="&amp;TableWeeklySummary[[#This Row],[Hasta]])</f>
        <v>0</v>
      </c>
      <c r="F69" s="12">
        <f ca="1">SUMIFS(TableDailySummary[Órdenes totales],TableDailySummary[Fecha],"&gt;="&amp;TableWeeklySummary[[#This Row],[Desde]],TableDailySummary[Fecha],"&lt;="&amp;TableWeeklySummary[[#This Row],[Hasta]])</f>
        <v>0</v>
      </c>
      <c r="G69" s="12">
        <f ca="1">IFERROR(TableWeeklySummary[[#This Row],[Ventas netas totales]]/TableWeeklySummary[[#This Row],[Órdenes totales]],0)</f>
        <v>0</v>
      </c>
      <c r="H6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69" s="12">
        <f ca="1">TableWeeklySummary[[#This Row],[Órden promedio totales]]*TableWeeklySummary[[#This Row],[CR totales]]</f>
        <v>0</v>
      </c>
      <c r="J69" s="12">
        <f ca="1">SUMIFS(TableDailySummary[Ventas primer cliente],TableDailySummary[Fecha],"&gt;="&amp;TableWeeklySummary[[#This Row],[Desde]],TableDailySummary[Fecha],"&lt;="&amp;TableWeeklySummary[[#This Row],[Hasta]])</f>
        <v>0</v>
      </c>
      <c r="K69" s="12">
        <f ca="1">SUMIFS(TableDailySummary[Órdenes primer cliente],TableDailySummary[Fecha],"&gt;="&amp;TableWeeklySummary[[#This Row],[Desde]],TableDailySummary[Fecha],"&lt;="&amp;TableWeeklySummary[[#This Row],[Hasta]])</f>
        <v>0</v>
      </c>
      <c r="L69" s="12">
        <f ca="1">SUMIFS(TableDailySummary[Online Store_net_sales],TableDailySummary[Fecha],"&gt;="&amp;TableWeeklySummary[[#This Row],[Desde]],TableDailySummary[Fecha],"&lt;="&amp;TableWeeklySummary[[#This Row],[Hasta]])</f>
        <v>0</v>
      </c>
      <c r="M69" s="12">
        <f ca="1">SUMIFS(TableDailySummary[Online Store_orders],TableDailySummary[Fecha],"&gt;="&amp;TableWeeklySummary[[#This Row],[Desde]],TableDailySummary[Fecha],"&lt;="&amp;TableWeeklySummary[[#This Row],[Hasta]])</f>
        <v>0</v>
      </c>
      <c r="N69" s="12">
        <f ca="1">SUMIFS(TableDailySummary[Tienda 81_net_sales],TableDailySummary[Fecha],"&gt;="&amp;TableWeeklySummary[[#This Row],[Desde]],TableDailySummary[Fecha],"&lt;="&amp;TableWeeklySummary[[#This Row],[Hasta]])</f>
        <v>0</v>
      </c>
      <c r="O69" s="12">
        <f ca="1">SUMIFS(TableDailySummary[Tienda 81_orders],TableDailySummary[Fecha],"&gt;="&amp;TableWeeklySummary[[#This Row],[Desde]],TableDailySummary[Fecha],"&lt;="&amp;TableWeeklySummary[[#This Row],[Hasta]])</f>
        <v>0</v>
      </c>
      <c r="P69" s="12">
        <f ca="1">SUMIFS(TableDailySummary[Rappi_net_sales],TableDailySummary[Fecha],"&gt;="&amp;TableWeeklySummary[[#This Row],[Desde]],TableDailySummary[Fecha],"&lt;="&amp;TableWeeklySummary[[#This Row],[Hasta]])</f>
        <v>0</v>
      </c>
      <c r="Q69" s="12">
        <f ca="1">SUMIFS(TableDailySummary[Rappi_orders],TableDailySummary[Fecha],"&gt;="&amp;TableWeeklySummary[[#This Row],[Desde]],TableDailySummary[Fecha],"&lt;="&amp;TableWeeklySummary[[#This Row],[Hasta]])</f>
        <v>0</v>
      </c>
      <c r="R6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6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69" s="12">
        <f ca="1">SUMIFS(TableDailySummary[Inversión google ads],TableDailySummary[Fecha],"&gt;="&amp;TableWeeklySummary[[#This Row],[Desde]],TableDailySummary[Fecha],"&lt;="&amp;TableWeeklySummary[[#This Row],[Hasta]])</f>
        <v>0</v>
      </c>
      <c r="U69" s="12">
        <f ca="1">SUMIFS(TableDailySummary[Ventas google ads],TableDailySummary[Fecha],"&gt;="&amp;TableWeeklySummary[[#This Row],[Desde]],TableDailySummary[Fecha],"&lt;="&amp;TableWeeklySummary[[#This Row],[Hasta]])</f>
        <v>0</v>
      </c>
      <c r="V69" s="12">
        <f ca="1">SUMIFS(TableDailySummary[Inversión meta ads],TableDailySummary[Fecha],"&gt;="&amp;TableWeeklySummary[[#This Row],[Desde]],TableDailySummary[Fecha],"&lt;="&amp;TableWeeklySummary[[#This Row],[Hasta]])</f>
        <v>0</v>
      </c>
      <c r="W69" s="12">
        <f ca="1">SUMIFS(TableDailySummary[Ventas meta ads],TableDailySummary[Fecha],"&gt;="&amp;TableWeeklySummary[[#This Row],[Desde]],TableDailySummary[Fecha],"&lt;="&amp;TableWeeklySummary[[#This Row],[Hasta]])</f>
        <v>0</v>
      </c>
      <c r="X69" s="12">
        <f ca="1">TableWeeklySummary[[#This Row],[Inversión google ads]]+TableWeeklySummary[[#This Row],[Inversión meta ads]]</f>
        <v>0</v>
      </c>
      <c r="Y69" s="12">
        <f ca="1">TableWeeklySummary[[#This Row],[Ventas google ads]]+TableWeeklySummary[[#This Row],[Ventas meta ads]]</f>
        <v>0</v>
      </c>
      <c r="Z69" s="14">
        <f ca="1">IFERROR(TableWeeklySummary[[#This Row],[Ventas publicidad]]/TableWeeklySummary[[#This Row],[Inversión publicidad]],0)</f>
        <v>0</v>
      </c>
      <c r="AA69" s="14">
        <f ca="1">IFERROR(TableWeeklySummary[[#This Row],[Ventas primer cliente]]/TableWeeklySummary[[#This Row],[Inversión publicidad]],0)</f>
        <v>0</v>
      </c>
      <c r="AB69" s="14"/>
      <c r="AC69" s="12"/>
      <c r="AI6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6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69" s="12">
        <f ca="1">SUMIFS(TableDailySummary[Utilidad bruta],TableDailySummary[Fecha],"&gt;="&amp;TableWeeklySummary[[#This Row],[Desde]],TableDailySummary[Fecha],"&lt;="&amp;TableWeeklySummary[[#This Row],[Hasta]])</f>
        <v>0</v>
      </c>
      <c r="AL69" s="18">
        <f ca="1">IFERROR(TableWeeklySummary[[#This Row],[Utilidad bruta]]/TableWeeklySummary[[#This Row],[Ventas netas con costo registrado]],0)</f>
        <v>0</v>
      </c>
    </row>
    <row r="70" spans="2:38" x14ac:dyDescent="0.2">
      <c r="B70" s="16">
        <f ca="1">_xlfn.ISOWEEKNUM(TableWeeklySummary[[#This Row],[Hasta]])</f>
        <v>3</v>
      </c>
      <c r="C70" s="6">
        <f t="shared" ca="1" si="1"/>
        <v>46402</v>
      </c>
      <c r="D70" s="6">
        <f ca="1">TableWeeklySummary[[#This Row],[Desde]]+7-1</f>
        <v>46408</v>
      </c>
      <c r="E70" s="12">
        <f ca="1">SUMIFS(TableDailySummary[Ventas netas totales],TableDailySummary[Fecha],"&gt;="&amp;TableWeeklySummary[[#This Row],[Desde]],TableDailySummary[Fecha],"&lt;="&amp;TableWeeklySummary[[#This Row],[Hasta]])</f>
        <v>0</v>
      </c>
      <c r="F70" s="12">
        <f ca="1">SUMIFS(TableDailySummary[Órdenes totales],TableDailySummary[Fecha],"&gt;="&amp;TableWeeklySummary[[#This Row],[Desde]],TableDailySummary[Fecha],"&lt;="&amp;TableWeeklySummary[[#This Row],[Hasta]])</f>
        <v>0</v>
      </c>
      <c r="G70" s="12">
        <f ca="1">IFERROR(TableWeeklySummary[[#This Row],[Ventas netas totales]]/TableWeeklySummary[[#This Row],[Órdenes totales]],0)</f>
        <v>0</v>
      </c>
      <c r="H7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70" s="12">
        <f ca="1">TableWeeklySummary[[#This Row],[Órden promedio totales]]*TableWeeklySummary[[#This Row],[CR totales]]</f>
        <v>0</v>
      </c>
      <c r="J70" s="12">
        <f ca="1">SUMIFS(TableDailySummary[Ventas primer cliente],TableDailySummary[Fecha],"&gt;="&amp;TableWeeklySummary[[#This Row],[Desde]],TableDailySummary[Fecha],"&lt;="&amp;TableWeeklySummary[[#This Row],[Hasta]])</f>
        <v>0</v>
      </c>
      <c r="K70" s="12">
        <f ca="1">SUMIFS(TableDailySummary[Órdenes primer cliente],TableDailySummary[Fecha],"&gt;="&amp;TableWeeklySummary[[#This Row],[Desde]],TableDailySummary[Fecha],"&lt;="&amp;TableWeeklySummary[[#This Row],[Hasta]])</f>
        <v>0</v>
      </c>
      <c r="L70" s="12">
        <f ca="1">SUMIFS(TableDailySummary[Online Store_net_sales],TableDailySummary[Fecha],"&gt;="&amp;TableWeeklySummary[[#This Row],[Desde]],TableDailySummary[Fecha],"&lt;="&amp;TableWeeklySummary[[#This Row],[Hasta]])</f>
        <v>0</v>
      </c>
      <c r="M70" s="12">
        <f ca="1">SUMIFS(TableDailySummary[Online Store_orders],TableDailySummary[Fecha],"&gt;="&amp;TableWeeklySummary[[#This Row],[Desde]],TableDailySummary[Fecha],"&lt;="&amp;TableWeeklySummary[[#This Row],[Hasta]])</f>
        <v>0</v>
      </c>
      <c r="N70" s="12">
        <f ca="1">SUMIFS(TableDailySummary[Tienda 81_net_sales],TableDailySummary[Fecha],"&gt;="&amp;TableWeeklySummary[[#This Row],[Desde]],TableDailySummary[Fecha],"&lt;="&amp;TableWeeklySummary[[#This Row],[Hasta]])</f>
        <v>0</v>
      </c>
      <c r="O70" s="12">
        <f ca="1">SUMIFS(TableDailySummary[Tienda 81_orders],TableDailySummary[Fecha],"&gt;="&amp;TableWeeklySummary[[#This Row],[Desde]],TableDailySummary[Fecha],"&lt;="&amp;TableWeeklySummary[[#This Row],[Hasta]])</f>
        <v>0</v>
      </c>
      <c r="P70" s="12">
        <f ca="1">SUMIFS(TableDailySummary[Rappi_net_sales],TableDailySummary[Fecha],"&gt;="&amp;TableWeeklySummary[[#This Row],[Desde]],TableDailySummary[Fecha],"&lt;="&amp;TableWeeklySummary[[#This Row],[Hasta]])</f>
        <v>0</v>
      </c>
      <c r="Q70" s="12">
        <f ca="1">SUMIFS(TableDailySummary[Rappi_orders],TableDailySummary[Fecha],"&gt;="&amp;TableWeeklySummary[[#This Row],[Desde]],TableDailySummary[Fecha],"&lt;="&amp;TableWeeklySummary[[#This Row],[Hasta]])</f>
        <v>0</v>
      </c>
      <c r="R7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7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70" s="12">
        <f ca="1">SUMIFS(TableDailySummary[Inversión google ads],TableDailySummary[Fecha],"&gt;="&amp;TableWeeklySummary[[#This Row],[Desde]],TableDailySummary[Fecha],"&lt;="&amp;TableWeeklySummary[[#This Row],[Hasta]])</f>
        <v>0</v>
      </c>
      <c r="U70" s="12">
        <f ca="1">SUMIFS(TableDailySummary[Ventas google ads],TableDailySummary[Fecha],"&gt;="&amp;TableWeeklySummary[[#This Row],[Desde]],TableDailySummary[Fecha],"&lt;="&amp;TableWeeklySummary[[#This Row],[Hasta]])</f>
        <v>0</v>
      </c>
      <c r="V70" s="12">
        <f ca="1">SUMIFS(TableDailySummary[Inversión meta ads],TableDailySummary[Fecha],"&gt;="&amp;TableWeeklySummary[[#This Row],[Desde]],TableDailySummary[Fecha],"&lt;="&amp;TableWeeklySummary[[#This Row],[Hasta]])</f>
        <v>0</v>
      </c>
      <c r="W70" s="12">
        <f ca="1">SUMIFS(TableDailySummary[Ventas meta ads],TableDailySummary[Fecha],"&gt;="&amp;TableWeeklySummary[[#This Row],[Desde]],TableDailySummary[Fecha],"&lt;="&amp;TableWeeklySummary[[#This Row],[Hasta]])</f>
        <v>0</v>
      </c>
      <c r="X70" s="12">
        <f ca="1">TableWeeklySummary[[#This Row],[Inversión google ads]]+TableWeeklySummary[[#This Row],[Inversión meta ads]]</f>
        <v>0</v>
      </c>
      <c r="Y70" s="12">
        <f ca="1">TableWeeklySummary[[#This Row],[Ventas google ads]]+TableWeeklySummary[[#This Row],[Ventas meta ads]]</f>
        <v>0</v>
      </c>
      <c r="Z70" s="14">
        <f ca="1">IFERROR(TableWeeklySummary[[#This Row],[Ventas publicidad]]/TableWeeklySummary[[#This Row],[Inversión publicidad]],0)</f>
        <v>0</v>
      </c>
      <c r="AA70" s="14">
        <f ca="1">IFERROR(TableWeeklySummary[[#This Row],[Ventas primer cliente]]/TableWeeklySummary[[#This Row],[Inversión publicidad]],0)</f>
        <v>0</v>
      </c>
      <c r="AB70" s="14"/>
      <c r="AC70" s="12"/>
      <c r="AI7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7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70" s="12">
        <f ca="1">SUMIFS(TableDailySummary[Utilidad bruta],TableDailySummary[Fecha],"&gt;="&amp;TableWeeklySummary[[#This Row],[Desde]],TableDailySummary[Fecha],"&lt;="&amp;TableWeeklySummary[[#This Row],[Hasta]])</f>
        <v>0</v>
      </c>
      <c r="AL70" s="18">
        <f ca="1">IFERROR(TableWeeklySummary[[#This Row],[Utilidad bruta]]/TableWeeklySummary[[#This Row],[Ventas netas con costo registrado]],0)</f>
        <v>0</v>
      </c>
    </row>
    <row r="71" spans="2:38" x14ac:dyDescent="0.2">
      <c r="B71" s="16">
        <f ca="1">_xlfn.ISOWEEKNUM(TableWeeklySummary[[#This Row],[Hasta]])</f>
        <v>4</v>
      </c>
      <c r="C71" s="6">
        <f t="shared" ca="1" si="1"/>
        <v>46409</v>
      </c>
      <c r="D71" s="6">
        <f ca="1">TableWeeklySummary[[#This Row],[Desde]]+7-1</f>
        <v>46415</v>
      </c>
      <c r="E71" s="12">
        <f ca="1">SUMIFS(TableDailySummary[Ventas netas totales],TableDailySummary[Fecha],"&gt;="&amp;TableWeeklySummary[[#This Row],[Desde]],TableDailySummary[Fecha],"&lt;="&amp;TableWeeklySummary[[#This Row],[Hasta]])</f>
        <v>0</v>
      </c>
      <c r="F71" s="12">
        <f ca="1">SUMIFS(TableDailySummary[Órdenes totales],TableDailySummary[Fecha],"&gt;="&amp;TableWeeklySummary[[#This Row],[Desde]],TableDailySummary[Fecha],"&lt;="&amp;TableWeeklySummary[[#This Row],[Hasta]])</f>
        <v>0</v>
      </c>
      <c r="G71" s="12">
        <f ca="1">IFERROR(TableWeeklySummary[[#This Row],[Ventas netas totales]]/TableWeeklySummary[[#This Row],[Órdenes totales]],0)</f>
        <v>0</v>
      </c>
      <c r="H7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71" s="12">
        <f ca="1">TableWeeklySummary[[#This Row],[Órden promedio totales]]*TableWeeklySummary[[#This Row],[CR totales]]</f>
        <v>0</v>
      </c>
      <c r="J71" s="12">
        <f ca="1">SUMIFS(TableDailySummary[Ventas primer cliente],TableDailySummary[Fecha],"&gt;="&amp;TableWeeklySummary[[#This Row],[Desde]],TableDailySummary[Fecha],"&lt;="&amp;TableWeeklySummary[[#This Row],[Hasta]])</f>
        <v>0</v>
      </c>
      <c r="K71" s="12">
        <f ca="1">SUMIFS(TableDailySummary[Órdenes primer cliente],TableDailySummary[Fecha],"&gt;="&amp;TableWeeklySummary[[#This Row],[Desde]],TableDailySummary[Fecha],"&lt;="&amp;TableWeeklySummary[[#This Row],[Hasta]])</f>
        <v>0</v>
      </c>
      <c r="L71" s="12">
        <f ca="1">SUMIFS(TableDailySummary[Online Store_net_sales],TableDailySummary[Fecha],"&gt;="&amp;TableWeeklySummary[[#This Row],[Desde]],TableDailySummary[Fecha],"&lt;="&amp;TableWeeklySummary[[#This Row],[Hasta]])</f>
        <v>0</v>
      </c>
      <c r="M71" s="12">
        <f ca="1">SUMIFS(TableDailySummary[Online Store_orders],TableDailySummary[Fecha],"&gt;="&amp;TableWeeklySummary[[#This Row],[Desde]],TableDailySummary[Fecha],"&lt;="&amp;TableWeeklySummary[[#This Row],[Hasta]])</f>
        <v>0</v>
      </c>
      <c r="N71" s="12">
        <f ca="1">SUMIFS(TableDailySummary[Tienda 81_net_sales],TableDailySummary[Fecha],"&gt;="&amp;TableWeeklySummary[[#This Row],[Desde]],TableDailySummary[Fecha],"&lt;="&amp;TableWeeklySummary[[#This Row],[Hasta]])</f>
        <v>0</v>
      </c>
      <c r="O71" s="12">
        <f ca="1">SUMIFS(TableDailySummary[Tienda 81_orders],TableDailySummary[Fecha],"&gt;="&amp;TableWeeklySummary[[#This Row],[Desde]],TableDailySummary[Fecha],"&lt;="&amp;TableWeeklySummary[[#This Row],[Hasta]])</f>
        <v>0</v>
      </c>
      <c r="P71" s="12">
        <f ca="1">SUMIFS(TableDailySummary[Rappi_net_sales],TableDailySummary[Fecha],"&gt;="&amp;TableWeeklySummary[[#This Row],[Desde]],TableDailySummary[Fecha],"&lt;="&amp;TableWeeklySummary[[#This Row],[Hasta]])</f>
        <v>0</v>
      </c>
      <c r="Q71" s="12">
        <f ca="1">SUMIFS(TableDailySummary[Rappi_orders],TableDailySummary[Fecha],"&gt;="&amp;TableWeeklySummary[[#This Row],[Desde]],TableDailySummary[Fecha],"&lt;="&amp;TableWeeklySummary[[#This Row],[Hasta]])</f>
        <v>0</v>
      </c>
      <c r="R7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7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71" s="12">
        <f ca="1">SUMIFS(TableDailySummary[Inversión google ads],TableDailySummary[Fecha],"&gt;="&amp;TableWeeklySummary[[#This Row],[Desde]],TableDailySummary[Fecha],"&lt;="&amp;TableWeeklySummary[[#This Row],[Hasta]])</f>
        <v>0</v>
      </c>
      <c r="U71" s="12">
        <f ca="1">SUMIFS(TableDailySummary[Ventas google ads],TableDailySummary[Fecha],"&gt;="&amp;TableWeeklySummary[[#This Row],[Desde]],TableDailySummary[Fecha],"&lt;="&amp;TableWeeklySummary[[#This Row],[Hasta]])</f>
        <v>0</v>
      </c>
      <c r="V71" s="12">
        <f ca="1">SUMIFS(TableDailySummary[Inversión meta ads],TableDailySummary[Fecha],"&gt;="&amp;TableWeeklySummary[[#This Row],[Desde]],TableDailySummary[Fecha],"&lt;="&amp;TableWeeklySummary[[#This Row],[Hasta]])</f>
        <v>0</v>
      </c>
      <c r="W71" s="12">
        <f ca="1">SUMIFS(TableDailySummary[Ventas meta ads],TableDailySummary[Fecha],"&gt;="&amp;TableWeeklySummary[[#This Row],[Desde]],TableDailySummary[Fecha],"&lt;="&amp;TableWeeklySummary[[#This Row],[Hasta]])</f>
        <v>0</v>
      </c>
      <c r="X71" s="12">
        <f ca="1">TableWeeklySummary[[#This Row],[Inversión google ads]]+TableWeeklySummary[[#This Row],[Inversión meta ads]]</f>
        <v>0</v>
      </c>
      <c r="Y71" s="12">
        <f ca="1">TableWeeklySummary[[#This Row],[Ventas google ads]]+TableWeeklySummary[[#This Row],[Ventas meta ads]]</f>
        <v>0</v>
      </c>
      <c r="Z71" s="14">
        <f ca="1">IFERROR(TableWeeklySummary[[#This Row],[Ventas publicidad]]/TableWeeklySummary[[#This Row],[Inversión publicidad]],0)</f>
        <v>0</v>
      </c>
      <c r="AA71" s="14">
        <f ca="1">IFERROR(TableWeeklySummary[[#This Row],[Ventas primer cliente]]/TableWeeklySummary[[#This Row],[Inversión publicidad]],0)</f>
        <v>0</v>
      </c>
      <c r="AB71" s="14"/>
      <c r="AC71" s="12"/>
      <c r="AI7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7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71" s="12">
        <f ca="1">SUMIFS(TableDailySummary[Utilidad bruta],TableDailySummary[Fecha],"&gt;="&amp;TableWeeklySummary[[#This Row],[Desde]],TableDailySummary[Fecha],"&lt;="&amp;TableWeeklySummary[[#This Row],[Hasta]])</f>
        <v>0</v>
      </c>
      <c r="AL71" s="18">
        <f ca="1">IFERROR(TableWeeklySummary[[#This Row],[Utilidad bruta]]/TableWeeklySummary[[#This Row],[Ventas netas con costo registrado]],0)</f>
        <v>0</v>
      </c>
    </row>
    <row r="72" spans="2:38" x14ac:dyDescent="0.2">
      <c r="B72" s="16">
        <f ca="1">_xlfn.ISOWEEKNUM(TableWeeklySummary[[#This Row],[Hasta]])</f>
        <v>5</v>
      </c>
      <c r="C72" s="6">
        <f t="shared" ref="C72:C103" ca="1" si="2">_xlfn.LET(
    _xlpm.fechaini, ParamFechaInicioReporte,
    _xlpm.start_friday, IF(WEEKDAY(_xlpm.fechaini, 1) = 6, _xlpm.fechaini, _xlpm.fechaini - MOD(WEEKDAY(_xlpm.fechaini, 1) + 1, 7)),
    IF(ROW()=8, _xlpm.start_friday, C71 + 7)
)</f>
        <v>46416</v>
      </c>
      <c r="D72" s="6">
        <f ca="1">TableWeeklySummary[[#This Row],[Desde]]+7-1</f>
        <v>46422</v>
      </c>
      <c r="E72" s="12">
        <f ca="1">SUMIFS(TableDailySummary[Ventas netas totales],TableDailySummary[Fecha],"&gt;="&amp;TableWeeklySummary[[#This Row],[Desde]],TableDailySummary[Fecha],"&lt;="&amp;TableWeeklySummary[[#This Row],[Hasta]])</f>
        <v>0</v>
      </c>
      <c r="F72" s="12">
        <f ca="1">SUMIFS(TableDailySummary[Órdenes totales],TableDailySummary[Fecha],"&gt;="&amp;TableWeeklySummary[[#This Row],[Desde]],TableDailySummary[Fecha],"&lt;="&amp;TableWeeklySummary[[#This Row],[Hasta]])</f>
        <v>0</v>
      </c>
      <c r="G72" s="12">
        <f ca="1">IFERROR(TableWeeklySummary[[#This Row],[Ventas netas totales]]/TableWeeklySummary[[#This Row],[Órdenes totales]],0)</f>
        <v>0</v>
      </c>
      <c r="H7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72" s="12">
        <f ca="1">TableWeeklySummary[[#This Row],[Órden promedio totales]]*TableWeeklySummary[[#This Row],[CR totales]]</f>
        <v>0</v>
      </c>
      <c r="J72" s="12">
        <f ca="1">SUMIFS(TableDailySummary[Ventas primer cliente],TableDailySummary[Fecha],"&gt;="&amp;TableWeeklySummary[[#This Row],[Desde]],TableDailySummary[Fecha],"&lt;="&amp;TableWeeklySummary[[#This Row],[Hasta]])</f>
        <v>0</v>
      </c>
      <c r="K72" s="12">
        <f ca="1">SUMIFS(TableDailySummary[Órdenes primer cliente],TableDailySummary[Fecha],"&gt;="&amp;TableWeeklySummary[[#This Row],[Desde]],TableDailySummary[Fecha],"&lt;="&amp;TableWeeklySummary[[#This Row],[Hasta]])</f>
        <v>0</v>
      </c>
      <c r="L72" s="12">
        <f ca="1">SUMIFS(TableDailySummary[Online Store_net_sales],TableDailySummary[Fecha],"&gt;="&amp;TableWeeklySummary[[#This Row],[Desde]],TableDailySummary[Fecha],"&lt;="&amp;TableWeeklySummary[[#This Row],[Hasta]])</f>
        <v>0</v>
      </c>
      <c r="M72" s="12">
        <f ca="1">SUMIFS(TableDailySummary[Online Store_orders],TableDailySummary[Fecha],"&gt;="&amp;TableWeeklySummary[[#This Row],[Desde]],TableDailySummary[Fecha],"&lt;="&amp;TableWeeklySummary[[#This Row],[Hasta]])</f>
        <v>0</v>
      </c>
      <c r="N72" s="12">
        <f ca="1">SUMIFS(TableDailySummary[Tienda 81_net_sales],TableDailySummary[Fecha],"&gt;="&amp;TableWeeklySummary[[#This Row],[Desde]],TableDailySummary[Fecha],"&lt;="&amp;TableWeeklySummary[[#This Row],[Hasta]])</f>
        <v>0</v>
      </c>
      <c r="O72" s="12">
        <f ca="1">SUMIFS(TableDailySummary[Tienda 81_orders],TableDailySummary[Fecha],"&gt;="&amp;TableWeeklySummary[[#This Row],[Desde]],TableDailySummary[Fecha],"&lt;="&amp;TableWeeklySummary[[#This Row],[Hasta]])</f>
        <v>0</v>
      </c>
      <c r="P72" s="12">
        <f ca="1">SUMIFS(TableDailySummary[Rappi_net_sales],TableDailySummary[Fecha],"&gt;="&amp;TableWeeklySummary[[#This Row],[Desde]],TableDailySummary[Fecha],"&lt;="&amp;TableWeeklySummary[[#This Row],[Hasta]])</f>
        <v>0</v>
      </c>
      <c r="Q72" s="12">
        <f ca="1">SUMIFS(TableDailySummary[Rappi_orders],TableDailySummary[Fecha],"&gt;="&amp;TableWeeklySummary[[#This Row],[Desde]],TableDailySummary[Fecha],"&lt;="&amp;TableWeeklySummary[[#This Row],[Hasta]])</f>
        <v>0</v>
      </c>
      <c r="R7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7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72" s="12">
        <f ca="1">SUMIFS(TableDailySummary[Inversión google ads],TableDailySummary[Fecha],"&gt;="&amp;TableWeeklySummary[[#This Row],[Desde]],TableDailySummary[Fecha],"&lt;="&amp;TableWeeklySummary[[#This Row],[Hasta]])</f>
        <v>0</v>
      </c>
      <c r="U72" s="12">
        <f ca="1">SUMIFS(TableDailySummary[Ventas google ads],TableDailySummary[Fecha],"&gt;="&amp;TableWeeklySummary[[#This Row],[Desde]],TableDailySummary[Fecha],"&lt;="&amp;TableWeeklySummary[[#This Row],[Hasta]])</f>
        <v>0</v>
      </c>
      <c r="V72" s="12">
        <f ca="1">SUMIFS(TableDailySummary[Inversión meta ads],TableDailySummary[Fecha],"&gt;="&amp;TableWeeklySummary[[#This Row],[Desde]],TableDailySummary[Fecha],"&lt;="&amp;TableWeeklySummary[[#This Row],[Hasta]])</f>
        <v>0</v>
      </c>
      <c r="W72" s="12">
        <f ca="1">SUMIFS(TableDailySummary[Ventas meta ads],TableDailySummary[Fecha],"&gt;="&amp;TableWeeklySummary[[#This Row],[Desde]],TableDailySummary[Fecha],"&lt;="&amp;TableWeeklySummary[[#This Row],[Hasta]])</f>
        <v>0</v>
      </c>
      <c r="X72" s="12">
        <f ca="1">TableWeeklySummary[[#This Row],[Inversión google ads]]+TableWeeklySummary[[#This Row],[Inversión meta ads]]</f>
        <v>0</v>
      </c>
      <c r="Y72" s="12">
        <f ca="1">TableWeeklySummary[[#This Row],[Ventas google ads]]+TableWeeklySummary[[#This Row],[Ventas meta ads]]</f>
        <v>0</v>
      </c>
      <c r="Z72" s="14">
        <f ca="1">IFERROR(TableWeeklySummary[[#This Row],[Ventas publicidad]]/TableWeeklySummary[[#This Row],[Inversión publicidad]],0)</f>
        <v>0</v>
      </c>
      <c r="AA72" s="14">
        <f ca="1">IFERROR(TableWeeklySummary[[#This Row],[Ventas primer cliente]]/TableWeeklySummary[[#This Row],[Inversión publicidad]],0)</f>
        <v>0</v>
      </c>
      <c r="AB72" s="14"/>
      <c r="AC72" s="12"/>
      <c r="AI7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7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72" s="12">
        <f ca="1">SUMIFS(TableDailySummary[Utilidad bruta],TableDailySummary[Fecha],"&gt;="&amp;TableWeeklySummary[[#This Row],[Desde]],TableDailySummary[Fecha],"&lt;="&amp;TableWeeklySummary[[#This Row],[Hasta]])</f>
        <v>0</v>
      </c>
      <c r="AL72" s="18">
        <f ca="1">IFERROR(TableWeeklySummary[[#This Row],[Utilidad bruta]]/TableWeeklySummary[[#This Row],[Ventas netas con costo registrado]],0)</f>
        <v>0</v>
      </c>
    </row>
    <row r="73" spans="2:38" x14ac:dyDescent="0.2">
      <c r="B73" s="16">
        <f ca="1">_xlfn.ISOWEEKNUM(TableWeeklySummary[[#This Row],[Hasta]])</f>
        <v>6</v>
      </c>
      <c r="C73" s="6">
        <f t="shared" ca="1" si="2"/>
        <v>46423</v>
      </c>
      <c r="D73" s="6">
        <f ca="1">TableWeeklySummary[[#This Row],[Desde]]+7-1</f>
        <v>46429</v>
      </c>
      <c r="E73" s="12">
        <f ca="1">SUMIFS(TableDailySummary[Ventas netas totales],TableDailySummary[Fecha],"&gt;="&amp;TableWeeklySummary[[#This Row],[Desde]],TableDailySummary[Fecha],"&lt;="&amp;TableWeeklySummary[[#This Row],[Hasta]])</f>
        <v>0</v>
      </c>
      <c r="F73" s="12">
        <f ca="1">SUMIFS(TableDailySummary[Órdenes totales],TableDailySummary[Fecha],"&gt;="&amp;TableWeeklySummary[[#This Row],[Desde]],TableDailySummary[Fecha],"&lt;="&amp;TableWeeklySummary[[#This Row],[Hasta]])</f>
        <v>0</v>
      </c>
      <c r="G73" s="12">
        <f ca="1">IFERROR(TableWeeklySummary[[#This Row],[Ventas netas totales]]/TableWeeklySummary[[#This Row],[Órdenes totales]],0)</f>
        <v>0</v>
      </c>
      <c r="H7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73" s="12">
        <f ca="1">TableWeeklySummary[[#This Row],[Órden promedio totales]]*TableWeeklySummary[[#This Row],[CR totales]]</f>
        <v>0</v>
      </c>
      <c r="J73" s="12">
        <f ca="1">SUMIFS(TableDailySummary[Ventas primer cliente],TableDailySummary[Fecha],"&gt;="&amp;TableWeeklySummary[[#This Row],[Desde]],TableDailySummary[Fecha],"&lt;="&amp;TableWeeklySummary[[#This Row],[Hasta]])</f>
        <v>0</v>
      </c>
      <c r="K73" s="12">
        <f ca="1">SUMIFS(TableDailySummary[Órdenes primer cliente],TableDailySummary[Fecha],"&gt;="&amp;TableWeeklySummary[[#This Row],[Desde]],TableDailySummary[Fecha],"&lt;="&amp;TableWeeklySummary[[#This Row],[Hasta]])</f>
        <v>0</v>
      </c>
      <c r="L73" s="12">
        <f ca="1">SUMIFS(TableDailySummary[Online Store_net_sales],TableDailySummary[Fecha],"&gt;="&amp;TableWeeklySummary[[#This Row],[Desde]],TableDailySummary[Fecha],"&lt;="&amp;TableWeeklySummary[[#This Row],[Hasta]])</f>
        <v>0</v>
      </c>
      <c r="M73" s="12">
        <f ca="1">SUMIFS(TableDailySummary[Online Store_orders],TableDailySummary[Fecha],"&gt;="&amp;TableWeeklySummary[[#This Row],[Desde]],TableDailySummary[Fecha],"&lt;="&amp;TableWeeklySummary[[#This Row],[Hasta]])</f>
        <v>0</v>
      </c>
      <c r="N73" s="12">
        <f ca="1">SUMIFS(TableDailySummary[Tienda 81_net_sales],TableDailySummary[Fecha],"&gt;="&amp;TableWeeklySummary[[#This Row],[Desde]],TableDailySummary[Fecha],"&lt;="&amp;TableWeeklySummary[[#This Row],[Hasta]])</f>
        <v>0</v>
      </c>
      <c r="O73" s="12">
        <f ca="1">SUMIFS(TableDailySummary[Tienda 81_orders],TableDailySummary[Fecha],"&gt;="&amp;TableWeeklySummary[[#This Row],[Desde]],TableDailySummary[Fecha],"&lt;="&amp;TableWeeklySummary[[#This Row],[Hasta]])</f>
        <v>0</v>
      </c>
      <c r="P73" s="12">
        <f ca="1">SUMIFS(TableDailySummary[Rappi_net_sales],TableDailySummary[Fecha],"&gt;="&amp;TableWeeklySummary[[#This Row],[Desde]],TableDailySummary[Fecha],"&lt;="&amp;TableWeeklySummary[[#This Row],[Hasta]])</f>
        <v>0</v>
      </c>
      <c r="Q73" s="12">
        <f ca="1">SUMIFS(TableDailySummary[Rappi_orders],TableDailySummary[Fecha],"&gt;="&amp;TableWeeklySummary[[#This Row],[Desde]],TableDailySummary[Fecha],"&lt;="&amp;TableWeeklySummary[[#This Row],[Hasta]])</f>
        <v>0</v>
      </c>
      <c r="R7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7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73" s="12">
        <f ca="1">SUMIFS(TableDailySummary[Inversión google ads],TableDailySummary[Fecha],"&gt;="&amp;TableWeeklySummary[[#This Row],[Desde]],TableDailySummary[Fecha],"&lt;="&amp;TableWeeklySummary[[#This Row],[Hasta]])</f>
        <v>0</v>
      </c>
      <c r="U73" s="12">
        <f ca="1">SUMIFS(TableDailySummary[Ventas google ads],TableDailySummary[Fecha],"&gt;="&amp;TableWeeklySummary[[#This Row],[Desde]],TableDailySummary[Fecha],"&lt;="&amp;TableWeeklySummary[[#This Row],[Hasta]])</f>
        <v>0</v>
      </c>
      <c r="V73" s="12">
        <f ca="1">SUMIFS(TableDailySummary[Inversión meta ads],TableDailySummary[Fecha],"&gt;="&amp;TableWeeklySummary[[#This Row],[Desde]],TableDailySummary[Fecha],"&lt;="&amp;TableWeeklySummary[[#This Row],[Hasta]])</f>
        <v>0</v>
      </c>
      <c r="W73" s="12">
        <f ca="1">SUMIFS(TableDailySummary[Ventas meta ads],TableDailySummary[Fecha],"&gt;="&amp;TableWeeklySummary[[#This Row],[Desde]],TableDailySummary[Fecha],"&lt;="&amp;TableWeeklySummary[[#This Row],[Hasta]])</f>
        <v>0</v>
      </c>
      <c r="X73" s="12">
        <f ca="1">TableWeeklySummary[[#This Row],[Inversión google ads]]+TableWeeklySummary[[#This Row],[Inversión meta ads]]</f>
        <v>0</v>
      </c>
      <c r="Y73" s="12">
        <f ca="1">TableWeeklySummary[[#This Row],[Ventas google ads]]+TableWeeklySummary[[#This Row],[Ventas meta ads]]</f>
        <v>0</v>
      </c>
      <c r="Z73" s="14">
        <f ca="1">IFERROR(TableWeeklySummary[[#This Row],[Ventas publicidad]]/TableWeeklySummary[[#This Row],[Inversión publicidad]],0)</f>
        <v>0</v>
      </c>
      <c r="AA73" s="14">
        <f ca="1">IFERROR(TableWeeklySummary[[#This Row],[Ventas primer cliente]]/TableWeeklySummary[[#This Row],[Inversión publicidad]],0)</f>
        <v>0</v>
      </c>
      <c r="AB73" s="14"/>
      <c r="AC73" s="12"/>
      <c r="AI7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7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73" s="12">
        <f ca="1">SUMIFS(TableDailySummary[Utilidad bruta],TableDailySummary[Fecha],"&gt;="&amp;TableWeeklySummary[[#This Row],[Desde]],TableDailySummary[Fecha],"&lt;="&amp;TableWeeklySummary[[#This Row],[Hasta]])</f>
        <v>0</v>
      </c>
      <c r="AL73" s="18">
        <f ca="1">IFERROR(TableWeeklySummary[[#This Row],[Utilidad bruta]]/TableWeeklySummary[[#This Row],[Ventas netas con costo registrado]],0)</f>
        <v>0</v>
      </c>
    </row>
    <row r="74" spans="2:38" x14ac:dyDescent="0.2">
      <c r="B74" s="16">
        <f ca="1">_xlfn.ISOWEEKNUM(TableWeeklySummary[[#This Row],[Hasta]])</f>
        <v>7</v>
      </c>
      <c r="C74" s="6">
        <f t="shared" ca="1" si="2"/>
        <v>46430</v>
      </c>
      <c r="D74" s="6">
        <f ca="1">TableWeeklySummary[[#This Row],[Desde]]+7-1</f>
        <v>46436</v>
      </c>
      <c r="E74" s="12">
        <f ca="1">SUMIFS(TableDailySummary[Ventas netas totales],TableDailySummary[Fecha],"&gt;="&amp;TableWeeklySummary[[#This Row],[Desde]],TableDailySummary[Fecha],"&lt;="&amp;TableWeeklySummary[[#This Row],[Hasta]])</f>
        <v>0</v>
      </c>
      <c r="F74" s="12">
        <f ca="1">SUMIFS(TableDailySummary[Órdenes totales],TableDailySummary[Fecha],"&gt;="&amp;TableWeeklySummary[[#This Row],[Desde]],TableDailySummary[Fecha],"&lt;="&amp;TableWeeklySummary[[#This Row],[Hasta]])</f>
        <v>0</v>
      </c>
      <c r="G74" s="12">
        <f ca="1">IFERROR(TableWeeklySummary[[#This Row],[Ventas netas totales]]/TableWeeklySummary[[#This Row],[Órdenes totales]],0)</f>
        <v>0</v>
      </c>
      <c r="H7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74" s="12">
        <f ca="1">TableWeeklySummary[[#This Row],[Órden promedio totales]]*TableWeeklySummary[[#This Row],[CR totales]]</f>
        <v>0</v>
      </c>
      <c r="J74" s="12">
        <f ca="1">SUMIFS(TableDailySummary[Ventas primer cliente],TableDailySummary[Fecha],"&gt;="&amp;TableWeeklySummary[[#This Row],[Desde]],TableDailySummary[Fecha],"&lt;="&amp;TableWeeklySummary[[#This Row],[Hasta]])</f>
        <v>0</v>
      </c>
      <c r="K74" s="12">
        <f ca="1">SUMIFS(TableDailySummary[Órdenes primer cliente],TableDailySummary[Fecha],"&gt;="&amp;TableWeeklySummary[[#This Row],[Desde]],TableDailySummary[Fecha],"&lt;="&amp;TableWeeklySummary[[#This Row],[Hasta]])</f>
        <v>0</v>
      </c>
      <c r="L74" s="12">
        <f ca="1">SUMIFS(TableDailySummary[Online Store_net_sales],TableDailySummary[Fecha],"&gt;="&amp;TableWeeklySummary[[#This Row],[Desde]],TableDailySummary[Fecha],"&lt;="&amp;TableWeeklySummary[[#This Row],[Hasta]])</f>
        <v>0</v>
      </c>
      <c r="M74" s="12">
        <f ca="1">SUMIFS(TableDailySummary[Online Store_orders],TableDailySummary[Fecha],"&gt;="&amp;TableWeeklySummary[[#This Row],[Desde]],TableDailySummary[Fecha],"&lt;="&amp;TableWeeklySummary[[#This Row],[Hasta]])</f>
        <v>0</v>
      </c>
      <c r="N74" s="12">
        <f ca="1">SUMIFS(TableDailySummary[Tienda 81_net_sales],TableDailySummary[Fecha],"&gt;="&amp;TableWeeklySummary[[#This Row],[Desde]],TableDailySummary[Fecha],"&lt;="&amp;TableWeeklySummary[[#This Row],[Hasta]])</f>
        <v>0</v>
      </c>
      <c r="O74" s="12">
        <f ca="1">SUMIFS(TableDailySummary[Tienda 81_orders],TableDailySummary[Fecha],"&gt;="&amp;TableWeeklySummary[[#This Row],[Desde]],TableDailySummary[Fecha],"&lt;="&amp;TableWeeklySummary[[#This Row],[Hasta]])</f>
        <v>0</v>
      </c>
      <c r="P74" s="12">
        <f ca="1">SUMIFS(TableDailySummary[Rappi_net_sales],TableDailySummary[Fecha],"&gt;="&amp;TableWeeklySummary[[#This Row],[Desde]],TableDailySummary[Fecha],"&lt;="&amp;TableWeeklySummary[[#This Row],[Hasta]])</f>
        <v>0</v>
      </c>
      <c r="Q74" s="12">
        <f ca="1">SUMIFS(TableDailySummary[Rappi_orders],TableDailySummary[Fecha],"&gt;="&amp;TableWeeklySummary[[#This Row],[Desde]],TableDailySummary[Fecha],"&lt;="&amp;TableWeeklySummary[[#This Row],[Hasta]])</f>
        <v>0</v>
      </c>
      <c r="R7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7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74" s="12">
        <f ca="1">SUMIFS(TableDailySummary[Inversión google ads],TableDailySummary[Fecha],"&gt;="&amp;TableWeeklySummary[[#This Row],[Desde]],TableDailySummary[Fecha],"&lt;="&amp;TableWeeklySummary[[#This Row],[Hasta]])</f>
        <v>0</v>
      </c>
      <c r="U74" s="12">
        <f ca="1">SUMIFS(TableDailySummary[Ventas google ads],TableDailySummary[Fecha],"&gt;="&amp;TableWeeklySummary[[#This Row],[Desde]],TableDailySummary[Fecha],"&lt;="&amp;TableWeeklySummary[[#This Row],[Hasta]])</f>
        <v>0</v>
      </c>
      <c r="V74" s="12">
        <f ca="1">SUMIFS(TableDailySummary[Inversión meta ads],TableDailySummary[Fecha],"&gt;="&amp;TableWeeklySummary[[#This Row],[Desde]],TableDailySummary[Fecha],"&lt;="&amp;TableWeeklySummary[[#This Row],[Hasta]])</f>
        <v>0</v>
      </c>
      <c r="W74" s="12">
        <f ca="1">SUMIFS(TableDailySummary[Ventas meta ads],TableDailySummary[Fecha],"&gt;="&amp;TableWeeklySummary[[#This Row],[Desde]],TableDailySummary[Fecha],"&lt;="&amp;TableWeeklySummary[[#This Row],[Hasta]])</f>
        <v>0</v>
      </c>
      <c r="X74" s="12">
        <f ca="1">TableWeeklySummary[[#This Row],[Inversión google ads]]+TableWeeklySummary[[#This Row],[Inversión meta ads]]</f>
        <v>0</v>
      </c>
      <c r="Y74" s="12">
        <f ca="1">TableWeeklySummary[[#This Row],[Ventas google ads]]+TableWeeklySummary[[#This Row],[Ventas meta ads]]</f>
        <v>0</v>
      </c>
      <c r="Z74" s="14">
        <f ca="1">IFERROR(TableWeeklySummary[[#This Row],[Ventas publicidad]]/TableWeeklySummary[[#This Row],[Inversión publicidad]],0)</f>
        <v>0</v>
      </c>
      <c r="AA74" s="14">
        <f ca="1">IFERROR(TableWeeklySummary[[#This Row],[Ventas primer cliente]]/TableWeeklySummary[[#This Row],[Inversión publicidad]],0)</f>
        <v>0</v>
      </c>
      <c r="AB74" s="14"/>
      <c r="AC74" s="12"/>
      <c r="AI7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7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74" s="12">
        <f ca="1">SUMIFS(TableDailySummary[Utilidad bruta],TableDailySummary[Fecha],"&gt;="&amp;TableWeeklySummary[[#This Row],[Desde]],TableDailySummary[Fecha],"&lt;="&amp;TableWeeklySummary[[#This Row],[Hasta]])</f>
        <v>0</v>
      </c>
      <c r="AL74" s="18">
        <f ca="1">IFERROR(TableWeeklySummary[[#This Row],[Utilidad bruta]]/TableWeeklySummary[[#This Row],[Ventas netas con costo registrado]],0)</f>
        <v>0</v>
      </c>
    </row>
    <row r="75" spans="2:38" x14ac:dyDescent="0.2">
      <c r="B75" s="16">
        <f ca="1">_xlfn.ISOWEEKNUM(TableWeeklySummary[[#This Row],[Hasta]])</f>
        <v>8</v>
      </c>
      <c r="C75" s="6">
        <f t="shared" ca="1" si="2"/>
        <v>46437</v>
      </c>
      <c r="D75" s="6">
        <f ca="1">TableWeeklySummary[[#This Row],[Desde]]+7-1</f>
        <v>46443</v>
      </c>
      <c r="E75" s="12">
        <f ca="1">SUMIFS(TableDailySummary[Ventas netas totales],TableDailySummary[Fecha],"&gt;="&amp;TableWeeklySummary[[#This Row],[Desde]],TableDailySummary[Fecha],"&lt;="&amp;TableWeeklySummary[[#This Row],[Hasta]])</f>
        <v>0</v>
      </c>
      <c r="F75" s="12">
        <f ca="1">SUMIFS(TableDailySummary[Órdenes totales],TableDailySummary[Fecha],"&gt;="&amp;TableWeeklySummary[[#This Row],[Desde]],TableDailySummary[Fecha],"&lt;="&amp;TableWeeklySummary[[#This Row],[Hasta]])</f>
        <v>0</v>
      </c>
      <c r="G75" s="12">
        <f ca="1">IFERROR(TableWeeklySummary[[#This Row],[Ventas netas totales]]/TableWeeklySummary[[#This Row],[Órdenes totales]],0)</f>
        <v>0</v>
      </c>
      <c r="H7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75" s="12">
        <f ca="1">TableWeeklySummary[[#This Row],[Órden promedio totales]]*TableWeeklySummary[[#This Row],[CR totales]]</f>
        <v>0</v>
      </c>
      <c r="J75" s="12">
        <f ca="1">SUMIFS(TableDailySummary[Ventas primer cliente],TableDailySummary[Fecha],"&gt;="&amp;TableWeeklySummary[[#This Row],[Desde]],TableDailySummary[Fecha],"&lt;="&amp;TableWeeklySummary[[#This Row],[Hasta]])</f>
        <v>0</v>
      </c>
      <c r="K75" s="12">
        <f ca="1">SUMIFS(TableDailySummary[Órdenes primer cliente],TableDailySummary[Fecha],"&gt;="&amp;TableWeeklySummary[[#This Row],[Desde]],TableDailySummary[Fecha],"&lt;="&amp;TableWeeklySummary[[#This Row],[Hasta]])</f>
        <v>0</v>
      </c>
      <c r="L75" s="12">
        <f ca="1">SUMIFS(TableDailySummary[Online Store_net_sales],TableDailySummary[Fecha],"&gt;="&amp;TableWeeklySummary[[#This Row],[Desde]],TableDailySummary[Fecha],"&lt;="&amp;TableWeeklySummary[[#This Row],[Hasta]])</f>
        <v>0</v>
      </c>
      <c r="M75" s="12">
        <f ca="1">SUMIFS(TableDailySummary[Online Store_orders],TableDailySummary[Fecha],"&gt;="&amp;TableWeeklySummary[[#This Row],[Desde]],TableDailySummary[Fecha],"&lt;="&amp;TableWeeklySummary[[#This Row],[Hasta]])</f>
        <v>0</v>
      </c>
      <c r="N75" s="12">
        <f ca="1">SUMIFS(TableDailySummary[Tienda 81_net_sales],TableDailySummary[Fecha],"&gt;="&amp;TableWeeklySummary[[#This Row],[Desde]],TableDailySummary[Fecha],"&lt;="&amp;TableWeeklySummary[[#This Row],[Hasta]])</f>
        <v>0</v>
      </c>
      <c r="O75" s="12">
        <f ca="1">SUMIFS(TableDailySummary[Tienda 81_orders],TableDailySummary[Fecha],"&gt;="&amp;TableWeeklySummary[[#This Row],[Desde]],TableDailySummary[Fecha],"&lt;="&amp;TableWeeklySummary[[#This Row],[Hasta]])</f>
        <v>0</v>
      </c>
      <c r="P75" s="12">
        <f ca="1">SUMIFS(TableDailySummary[Rappi_net_sales],TableDailySummary[Fecha],"&gt;="&amp;TableWeeklySummary[[#This Row],[Desde]],TableDailySummary[Fecha],"&lt;="&amp;TableWeeklySummary[[#This Row],[Hasta]])</f>
        <v>0</v>
      </c>
      <c r="Q75" s="12">
        <f ca="1">SUMIFS(TableDailySummary[Rappi_orders],TableDailySummary[Fecha],"&gt;="&amp;TableWeeklySummary[[#This Row],[Desde]],TableDailySummary[Fecha],"&lt;="&amp;TableWeeklySummary[[#This Row],[Hasta]])</f>
        <v>0</v>
      </c>
      <c r="R7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7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75" s="12">
        <f ca="1">SUMIFS(TableDailySummary[Inversión google ads],TableDailySummary[Fecha],"&gt;="&amp;TableWeeklySummary[[#This Row],[Desde]],TableDailySummary[Fecha],"&lt;="&amp;TableWeeklySummary[[#This Row],[Hasta]])</f>
        <v>0</v>
      </c>
      <c r="U75" s="12">
        <f ca="1">SUMIFS(TableDailySummary[Ventas google ads],TableDailySummary[Fecha],"&gt;="&amp;TableWeeklySummary[[#This Row],[Desde]],TableDailySummary[Fecha],"&lt;="&amp;TableWeeklySummary[[#This Row],[Hasta]])</f>
        <v>0</v>
      </c>
      <c r="V75" s="12">
        <f ca="1">SUMIFS(TableDailySummary[Inversión meta ads],TableDailySummary[Fecha],"&gt;="&amp;TableWeeklySummary[[#This Row],[Desde]],TableDailySummary[Fecha],"&lt;="&amp;TableWeeklySummary[[#This Row],[Hasta]])</f>
        <v>0</v>
      </c>
      <c r="W75" s="12">
        <f ca="1">SUMIFS(TableDailySummary[Ventas meta ads],TableDailySummary[Fecha],"&gt;="&amp;TableWeeklySummary[[#This Row],[Desde]],TableDailySummary[Fecha],"&lt;="&amp;TableWeeklySummary[[#This Row],[Hasta]])</f>
        <v>0</v>
      </c>
      <c r="X75" s="12">
        <f ca="1">TableWeeklySummary[[#This Row],[Inversión google ads]]+TableWeeklySummary[[#This Row],[Inversión meta ads]]</f>
        <v>0</v>
      </c>
      <c r="Y75" s="12">
        <f ca="1">TableWeeklySummary[[#This Row],[Ventas google ads]]+TableWeeklySummary[[#This Row],[Ventas meta ads]]</f>
        <v>0</v>
      </c>
      <c r="Z75" s="14">
        <f ca="1">IFERROR(TableWeeklySummary[[#This Row],[Ventas publicidad]]/TableWeeklySummary[[#This Row],[Inversión publicidad]],0)</f>
        <v>0</v>
      </c>
      <c r="AA75" s="14">
        <f ca="1">IFERROR(TableWeeklySummary[[#This Row],[Ventas primer cliente]]/TableWeeklySummary[[#This Row],[Inversión publicidad]],0)</f>
        <v>0</v>
      </c>
      <c r="AB75" s="14"/>
      <c r="AC75" s="12"/>
      <c r="AI7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7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75" s="12">
        <f ca="1">SUMIFS(TableDailySummary[Utilidad bruta],TableDailySummary[Fecha],"&gt;="&amp;TableWeeklySummary[[#This Row],[Desde]],TableDailySummary[Fecha],"&lt;="&amp;TableWeeklySummary[[#This Row],[Hasta]])</f>
        <v>0</v>
      </c>
      <c r="AL75" s="18">
        <f ca="1">IFERROR(TableWeeklySummary[[#This Row],[Utilidad bruta]]/TableWeeklySummary[[#This Row],[Ventas netas con costo registrado]],0)</f>
        <v>0</v>
      </c>
    </row>
    <row r="76" spans="2:38" x14ac:dyDescent="0.2">
      <c r="B76" s="16">
        <f ca="1">_xlfn.ISOWEEKNUM(TableWeeklySummary[[#This Row],[Hasta]])</f>
        <v>9</v>
      </c>
      <c r="C76" s="6">
        <f t="shared" ca="1" si="2"/>
        <v>46444</v>
      </c>
      <c r="D76" s="6">
        <f ca="1">TableWeeklySummary[[#This Row],[Desde]]+7-1</f>
        <v>46450</v>
      </c>
      <c r="E76" s="12">
        <f ca="1">SUMIFS(TableDailySummary[Ventas netas totales],TableDailySummary[Fecha],"&gt;="&amp;TableWeeklySummary[[#This Row],[Desde]],TableDailySummary[Fecha],"&lt;="&amp;TableWeeklySummary[[#This Row],[Hasta]])</f>
        <v>0</v>
      </c>
      <c r="F76" s="12">
        <f ca="1">SUMIFS(TableDailySummary[Órdenes totales],TableDailySummary[Fecha],"&gt;="&amp;TableWeeklySummary[[#This Row],[Desde]],TableDailySummary[Fecha],"&lt;="&amp;TableWeeklySummary[[#This Row],[Hasta]])</f>
        <v>0</v>
      </c>
      <c r="G76" s="12">
        <f ca="1">IFERROR(TableWeeklySummary[[#This Row],[Ventas netas totales]]/TableWeeklySummary[[#This Row],[Órdenes totales]],0)</f>
        <v>0</v>
      </c>
      <c r="H7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76" s="12">
        <f ca="1">TableWeeklySummary[[#This Row],[Órden promedio totales]]*TableWeeklySummary[[#This Row],[CR totales]]</f>
        <v>0</v>
      </c>
      <c r="J76" s="12">
        <f ca="1">SUMIFS(TableDailySummary[Ventas primer cliente],TableDailySummary[Fecha],"&gt;="&amp;TableWeeklySummary[[#This Row],[Desde]],TableDailySummary[Fecha],"&lt;="&amp;TableWeeklySummary[[#This Row],[Hasta]])</f>
        <v>0</v>
      </c>
      <c r="K76" s="12">
        <f ca="1">SUMIFS(TableDailySummary[Órdenes primer cliente],TableDailySummary[Fecha],"&gt;="&amp;TableWeeklySummary[[#This Row],[Desde]],TableDailySummary[Fecha],"&lt;="&amp;TableWeeklySummary[[#This Row],[Hasta]])</f>
        <v>0</v>
      </c>
      <c r="L76" s="12">
        <f ca="1">SUMIFS(TableDailySummary[Online Store_net_sales],TableDailySummary[Fecha],"&gt;="&amp;TableWeeklySummary[[#This Row],[Desde]],TableDailySummary[Fecha],"&lt;="&amp;TableWeeklySummary[[#This Row],[Hasta]])</f>
        <v>0</v>
      </c>
      <c r="M76" s="12">
        <f ca="1">SUMIFS(TableDailySummary[Online Store_orders],TableDailySummary[Fecha],"&gt;="&amp;TableWeeklySummary[[#This Row],[Desde]],TableDailySummary[Fecha],"&lt;="&amp;TableWeeklySummary[[#This Row],[Hasta]])</f>
        <v>0</v>
      </c>
      <c r="N76" s="12">
        <f ca="1">SUMIFS(TableDailySummary[Tienda 81_net_sales],TableDailySummary[Fecha],"&gt;="&amp;TableWeeklySummary[[#This Row],[Desde]],TableDailySummary[Fecha],"&lt;="&amp;TableWeeklySummary[[#This Row],[Hasta]])</f>
        <v>0</v>
      </c>
      <c r="O76" s="12">
        <f ca="1">SUMIFS(TableDailySummary[Tienda 81_orders],TableDailySummary[Fecha],"&gt;="&amp;TableWeeklySummary[[#This Row],[Desde]],TableDailySummary[Fecha],"&lt;="&amp;TableWeeklySummary[[#This Row],[Hasta]])</f>
        <v>0</v>
      </c>
      <c r="P76" s="12">
        <f ca="1">SUMIFS(TableDailySummary[Rappi_net_sales],TableDailySummary[Fecha],"&gt;="&amp;TableWeeklySummary[[#This Row],[Desde]],TableDailySummary[Fecha],"&lt;="&amp;TableWeeklySummary[[#This Row],[Hasta]])</f>
        <v>0</v>
      </c>
      <c r="Q76" s="12">
        <f ca="1">SUMIFS(TableDailySummary[Rappi_orders],TableDailySummary[Fecha],"&gt;="&amp;TableWeeklySummary[[#This Row],[Desde]],TableDailySummary[Fecha],"&lt;="&amp;TableWeeklySummary[[#This Row],[Hasta]])</f>
        <v>0</v>
      </c>
      <c r="R7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7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76" s="12">
        <f ca="1">SUMIFS(TableDailySummary[Inversión google ads],TableDailySummary[Fecha],"&gt;="&amp;TableWeeklySummary[[#This Row],[Desde]],TableDailySummary[Fecha],"&lt;="&amp;TableWeeklySummary[[#This Row],[Hasta]])</f>
        <v>0</v>
      </c>
      <c r="U76" s="12">
        <f ca="1">SUMIFS(TableDailySummary[Ventas google ads],TableDailySummary[Fecha],"&gt;="&amp;TableWeeklySummary[[#This Row],[Desde]],TableDailySummary[Fecha],"&lt;="&amp;TableWeeklySummary[[#This Row],[Hasta]])</f>
        <v>0</v>
      </c>
      <c r="V76" s="12">
        <f ca="1">SUMIFS(TableDailySummary[Inversión meta ads],TableDailySummary[Fecha],"&gt;="&amp;TableWeeklySummary[[#This Row],[Desde]],TableDailySummary[Fecha],"&lt;="&amp;TableWeeklySummary[[#This Row],[Hasta]])</f>
        <v>0</v>
      </c>
      <c r="W76" s="12">
        <f ca="1">SUMIFS(TableDailySummary[Ventas meta ads],TableDailySummary[Fecha],"&gt;="&amp;TableWeeklySummary[[#This Row],[Desde]],TableDailySummary[Fecha],"&lt;="&amp;TableWeeklySummary[[#This Row],[Hasta]])</f>
        <v>0</v>
      </c>
      <c r="X76" s="12">
        <f ca="1">TableWeeklySummary[[#This Row],[Inversión google ads]]+TableWeeklySummary[[#This Row],[Inversión meta ads]]</f>
        <v>0</v>
      </c>
      <c r="Y76" s="12">
        <f ca="1">TableWeeklySummary[[#This Row],[Ventas google ads]]+TableWeeklySummary[[#This Row],[Ventas meta ads]]</f>
        <v>0</v>
      </c>
      <c r="Z76" s="14">
        <f ca="1">IFERROR(TableWeeklySummary[[#This Row],[Ventas publicidad]]/TableWeeklySummary[[#This Row],[Inversión publicidad]],0)</f>
        <v>0</v>
      </c>
      <c r="AA76" s="14">
        <f ca="1">IFERROR(TableWeeklySummary[[#This Row],[Ventas primer cliente]]/TableWeeklySummary[[#This Row],[Inversión publicidad]],0)</f>
        <v>0</v>
      </c>
      <c r="AB76" s="14"/>
      <c r="AC76" s="12"/>
      <c r="AI7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7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76" s="12">
        <f ca="1">SUMIFS(TableDailySummary[Utilidad bruta],TableDailySummary[Fecha],"&gt;="&amp;TableWeeklySummary[[#This Row],[Desde]],TableDailySummary[Fecha],"&lt;="&amp;TableWeeklySummary[[#This Row],[Hasta]])</f>
        <v>0</v>
      </c>
      <c r="AL76" s="18">
        <f ca="1">IFERROR(TableWeeklySummary[[#This Row],[Utilidad bruta]]/TableWeeklySummary[[#This Row],[Ventas netas con costo registrado]],0)</f>
        <v>0</v>
      </c>
    </row>
    <row r="77" spans="2:38" x14ac:dyDescent="0.2">
      <c r="B77" s="16">
        <f ca="1">_xlfn.ISOWEEKNUM(TableWeeklySummary[[#This Row],[Hasta]])</f>
        <v>10</v>
      </c>
      <c r="C77" s="6">
        <f t="shared" ca="1" si="2"/>
        <v>46451</v>
      </c>
      <c r="D77" s="6">
        <f ca="1">TableWeeklySummary[[#This Row],[Desde]]+7-1</f>
        <v>46457</v>
      </c>
      <c r="E77" s="12">
        <f ca="1">SUMIFS(TableDailySummary[Ventas netas totales],TableDailySummary[Fecha],"&gt;="&amp;TableWeeklySummary[[#This Row],[Desde]],TableDailySummary[Fecha],"&lt;="&amp;TableWeeklySummary[[#This Row],[Hasta]])</f>
        <v>0</v>
      </c>
      <c r="F77" s="12">
        <f ca="1">SUMIFS(TableDailySummary[Órdenes totales],TableDailySummary[Fecha],"&gt;="&amp;TableWeeklySummary[[#This Row],[Desde]],TableDailySummary[Fecha],"&lt;="&amp;TableWeeklySummary[[#This Row],[Hasta]])</f>
        <v>0</v>
      </c>
      <c r="G77" s="12">
        <f ca="1">IFERROR(TableWeeklySummary[[#This Row],[Ventas netas totales]]/TableWeeklySummary[[#This Row],[Órdenes totales]],0)</f>
        <v>0</v>
      </c>
      <c r="H7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77" s="12">
        <f ca="1">TableWeeklySummary[[#This Row],[Órden promedio totales]]*TableWeeklySummary[[#This Row],[CR totales]]</f>
        <v>0</v>
      </c>
      <c r="J77" s="12">
        <f ca="1">SUMIFS(TableDailySummary[Ventas primer cliente],TableDailySummary[Fecha],"&gt;="&amp;TableWeeklySummary[[#This Row],[Desde]],TableDailySummary[Fecha],"&lt;="&amp;TableWeeklySummary[[#This Row],[Hasta]])</f>
        <v>0</v>
      </c>
      <c r="K77" s="12">
        <f ca="1">SUMIFS(TableDailySummary[Órdenes primer cliente],TableDailySummary[Fecha],"&gt;="&amp;TableWeeklySummary[[#This Row],[Desde]],TableDailySummary[Fecha],"&lt;="&amp;TableWeeklySummary[[#This Row],[Hasta]])</f>
        <v>0</v>
      </c>
      <c r="L77" s="12">
        <f ca="1">SUMIFS(TableDailySummary[Online Store_net_sales],TableDailySummary[Fecha],"&gt;="&amp;TableWeeklySummary[[#This Row],[Desde]],TableDailySummary[Fecha],"&lt;="&amp;TableWeeklySummary[[#This Row],[Hasta]])</f>
        <v>0</v>
      </c>
      <c r="M77" s="12">
        <f ca="1">SUMIFS(TableDailySummary[Online Store_orders],TableDailySummary[Fecha],"&gt;="&amp;TableWeeklySummary[[#This Row],[Desde]],TableDailySummary[Fecha],"&lt;="&amp;TableWeeklySummary[[#This Row],[Hasta]])</f>
        <v>0</v>
      </c>
      <c r="N77" s="12">
        <f ca="1">SUMIFS(TableDailySummary[Tienda 81_net_sales],TableDailySummary[Fecha],"&gt;="&amp;TableWeeklySummary[[#This Row],[Desde]],TableDailySummary[Fecha],"&lt;="&amp;TableWeeklySummary[[#This Row],[Hasta]])</f>
        <v>0</v>
      </c>
      <c r="O77" s="12">
        <f ca="1">SUMIFS(TableDailySummary[Tienda 81_orders],TableDailySummary[Fecha],"&gt;="&amp;TableWeeklySummary[[#This Row],[Desde]],TableDailySummary[Fecha],"&lt;="&amp;TableWeeklySummary[[#This Row],[Hasta]])</f>
        <v>0</v>
      </c>
      <c r="P77" s="12">
        <f ca="1">SUMIFS(TableDailySummary[Rappi_net_sales],TableDailySummary[Fecha],"&gt;="&amp;TableWeeklySummary[[#This Row],[Desde]],TableDailySummary[Fecha],"&lt;="&amp;TableWeeklySummary[[#This Row],[Hasta]])</f>
        <v>0</v>
      </c>
      <c r="Q77" s="12">
        <f ca="1">SUMIFS(TableDailySummary[Rappi_orders],TableDailySummary[Fecha],"&gt;="&amp;TableWeeklySummary[[#This Row],[Desde]],TableDailySummary[Fecha],"&lt;="&amp;TableWeeklySummary[[#This Row],[Hasta]])</f>
        <v>0</v>
      </c>
      <c r="R7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7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77" s="12">
        <f ca="1">SUMIFS(TableDailySummary[Inversión google ads],TableDailySummary[Fecha],"&gt;="&amp;TableWeeklySummary[[#This Row],[Desde]],TableDailySummary[Fecha],"&lt;="&amp;TableWeeklySummary[[#This Row],[Hasta]])</f>
        <v>0</v>
      </c>
      <c r="U77" s="12">
        <f ca="1">SUMIFS(TableDailySummary[Ventas google ads],TableDailySummary[Fecha],"&gt;="&amp;TableWeeklySummary[[#This Row],[Desde]],TableDailySummary[Fecha],"&lt;="&amp;TableWeeklySummary[[#This Row],[Hasta]])</f>
        <v>0</v>
      </c>
      <c r="V77" s="12">
        <f ca="1">SUMIFS(TableDailySummary[Inversión meta ads],TableDailySummary[Fecha],"&gt;="&amp;TableWeeklySummary[[#This Row],[Desde]],TableDailySummary[Fecha],"&lt;="&amp;TableWeeklySummary[[#This Row],[Hasta]])</f>
        <v>0</v>
      </c>
      <c r="W77" s="12">
        <f ca="1">SUMIFS(TableDailySummary[Ventas meta ads],TableDailySummary[Fecha],"&gt;="&amp;TableWeeklySummary[[#This Row],[Desde]],TableDailySummary[Fecha],"&lt;="&amp;TableWeeklySummary[[#This Row],[Hasta]])</f>
        <v>0</v>
      </c>
      <c r="X77" s="12">
        <f ca="1">TableWeeklySummary[[#This Row],[Inversión google ads]]+TableWeeklySummary[[#This Row],[Inversión meta ads]]</f>
        <v>0</v>
      </c>
      <c r="Y77" s="12">
        <f ca="1">TableWeeklySummary[[#This Row],[Ventas google ads]]+TableWeeklySummary[[#This Row],[Ventas meta ads]]</f>
        <v>0</v>
      </c>
      <c r="Z77" s="14">
        <f ca="1">IFERROR(TableWeeklySummary[[#This Row],[Ventas publicidad]]/TableWeeklySummary[[#This Row],[Inversión publicidad]],0)</f>
        <v>0</v>
      </c>
      <c r="AA77" s="14">
        <f ca="1">IFERROR(TableWeeklySummary[[#This Row],[Ventas primer cliente]]/TableWeeklySummary[[#This Row],[Inversión publicidad]],0)</f>
        <v>0</v>
      </c>
      <c r="AB77" s="14"/>
      <c r="AC77" s="12"/>
      <c r="AI7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7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77" s="12">
        <f ca="1">SUMIFS(TableDailySummary[Utilidad bruta],TableDailySummary[Fecha],"&gt;="&amp;TableWeeklySummary[[#This Row],[Desde]],TableDailySummary[Fecha],"&lt;="&amp;TableWeeklySummary[[#This Row],[Hasta]])</f>
        <v>0</v>
      </c>
      <c r="AL77" s="18">
        <f ca="1">IFERROR(TableWeeklySummary[[#This Row],[Utilidad bruta]]/TableWeeklySummary[[#This Row],[Ventas netas con costo registrado]],0)</f>
        <v>0</v>
      </c>
    </row>
    <row r="78" spans="2:38" x14ac:dyDescent="0.2">
      <c r="B78" s="16">
        <f ca="1">_xlfn.ISOWEEKNUM(TableWeeklySummary[[#This Row],[Hasta]])</f>
        <v>11</v>
      </c>
      <c r="C78" s="6">
        <f t="shared" ca="1" si="2"/>
        <v>46458</v>
      </c>
      <c r="D78" s="6">
        <f ca="1">TableWeeklySummary[[#This Row],[Desde]]+7-1</f>
        <v>46464</v>
      </c>
      <c r="E78" s="12">
        <f ca="1">SUMIFS(TableDailySummary[Ventas netas totales],TableDailySummary[Fecha],"&gt;="&amp;TableWeeklySummary[[#This Row],[Desde]],TableDailySummary[Fecha],"&lt;="&amp;TableWeeklySummary[[#This Row],[Hasta]])</f>
        <v>0</v>
      </c>
      <c r="F78" s="12">
        <f ca="1">SUMIFS(TableDailySummary[Órdenes totales],TableDailySummary[Fecha],"&gt;="&amp;TableWeeklySummary[[#This Row],[Desde]],TableDailySummary[Fecha],"&lt;="&amp;TableWeeklySummary[[#This Row],[Hasta]])</f>
        <v>0</v>
      </c>
      <c r="G78" s="12">
        <f ca="1">IFERROR(TableWeeklySummary[[#This Row],[Ventas netas totales]]/TableWeeklySummary[[#This Row],[Órdenes totales]],0)</f>
        <v>0</v>
      </c>
      <c r="H7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78" s="12">
        <f ca="1">TableWeeklySummary[[#This Row],[Órden promedio totales]]*TableWeeklySummary[[#This Row],[CR totales]]</f>
        <v>0</v>
      </c>
      <c r="J78" s="12">
        <f ca="1">SUMIFS(TableDailySummary[Ventas primer cliente],TableDailySummary[Fecha],"&gt;="&amp;TableWeeklySummary[[#This Row],[Desde]],TableDailySummary[Fecha],"&lt;="&amp;TableWeeklySummary[[#This Row],[Hasta]])</f>
        <v>0</v>
      </c>
      <c r="K78" s="12">
        <f ca="1">SUMIFS(TableDailySummary[Órdenes primer cliente],TableDailySummary[Fecha],"&gt;="&amp;TableWeeklySummary[[#This Row],[Desde]],TableDailySummary[Fecha],"&lt;="&amp;TableWeeklySummary[[#This Row],[Hasta]])</f>
        <v>0</v>
      </c>
      <c r="L78" s="12">
        <f ca="1">SUMIFS(TableDailySummary[Online Store_net_sales],TableDailySummary[Fecha],"&gt;="&amp;TableWeeklySummary[[#This Row],[Desde]],TableDailySummary[Fecha],"&lt;="&amp;TableWeeklySummary[[#This Row],[Hasta]])</f>
        <v>0</v>
      </c>
      <c r="M78" s="12">
        <f ca="1">SUMIFS(TableDailySummary[Online Store_orders],TableDailySummary[Fecha],"&gt;="&amp;TableWeeklySummary[[#This Row],[Desde]],TableDailySummary[Fecha],"&lt;="&amp;TableWeeklySummary[[#This Row],[Hasta]])</f>
        <v>0</v>
      </c>
      <c r="N78" s="12">
        <f ca="1">SUMIFS(TableDailySummary[Tienda 81_net_sales],TableDailySummary[Fecha],"&gt;="&amp;TableWeeklySummary[[#This Row],[Desde]],TableDailySummary[Fecha],"&lt;="&amp;TableWeeklySummary[[#This Row],[Hasta]])</f>
        <v>0</v>
      </c>
      <c r="O78" s="12">
        <f ca="1">SUMIFS(TableDailySummary[Tienda 81_orders],TableDailySummary[Fecha],"&gt;="&amp;TableWeeklySummary[[#This Row],[Desde]],TableDailySummary[Fecha],"&lt;="&amp;TableWeeklySummary[[#This Row],[Hasta]])</f>
        <v>0</v>
      </c>
      <c r="P78" s="12">
        <f ca="1">SUMIFS(TableDailySummary[Rappi_net_sales],TableDailySummary[Fecha],"&gt;="&amp;TableWeeklySummary[[#This Row],[Desde]],TableDailySummary[Fecha],"&lt;="&amp;TableWeeklySummary[[#This Row],[Hasta]])</f>
        <v>0</v>
      </c>
      <c r="Q78" s="12">
        <f ca="1">SUMIFS(TableDailySummary[Rappi_orders],TableDailySummary[Fecha],"&gt;="&amp;TableWeeklySummary[[#This Row],[Desde]],TableDailySummary[Fecha],"&lt;="&amp;TableWeeklySummary[[#This Row],[Hasta]])</f>
        <v>0</v>
      </c>
      <c r="R7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7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78" s="12">
        <f ca="1">SUMIFS(TableDailySummary[Inversión google ads],TableDailySummary[Fecha],"&gt;="&amp;TableWeeklySummary[[#This Row],[Desde]],TableDailySummary[Fecha],"&lt;="&amp;TableWeeklySummary[[#This Row],[Hasta]])</f>
        <v>0</v>
      </c>
      <c r="U78" s="12">
        <f ca="1">SUMIFS(TableDailySummary[Ventas google ads],TableDailySummary[Fecha],"&gt;="&amp;TableWeeklySummary[[#This Row],[Desde]],TableDailySummary[Fecha],"&lt;="&amp;TableWeeklySummary[[#This Row],[Hasta]])</f>
        <v>0</v>
      </c>
      <c r="V78" s="12">
        <f ca="1">SUMIFS(TableDailySummary[Inversión meta ads],TableDailySummary[Fecha],"&gt;="&amp;TableWeeklySummary[[#This Row],[Desde]],TableDailySummary[Fecha],"&lt;="&amp;TableWeeklySummary[[#This Row],[Hasta]])</f>
        <v>0</v>
      </c>
      <c r="W78" s="12">
        <f ca="1">SUMIFS(TableDailySummary[Ventas meta ads],TableDailySummary[Fecha],"&gt;="&amp;TableWeeklySummary[[#This Row],[Desde]],TableDailySummary[Fecha],"&lt;="&amp;TableWeeklySummary[[#This Row],[Hasta]])</f>
        <v>0</v>
      </c>
      <c r="X78" s="12">
        <f ca="1">TableWeeklySummary[[#This Row],[Inversión google ads]]+TableWeeklySummary[[#This Row],[Inversión meta ads]]</f>
        <v>0</v>
      </c>
      <c r="Y78" s="12">
        <f ca="1">TableWeeklySummary[[#This Row],[Ventas google ads]]+TableWeeklySummary[[#This Row],[Ventas meta ads]]</f>
        <v>0</v>
      </c>
      <c r="Z78" s="14">
        <f ca="1">IFERROR(TableWeeklySummary[[#This Row],[Ventas publicidad]]/TableWeeklySummary[[#This Row],[Inversión publicidad]],0)</f>
        <v>0</v>
      </c>
      <c r="AA78" s="14">
        <f ca="1">IFERROR(TableWeeklySummary[[#This Row],[Ventas primer cliente]]/TableWeeklySummary[[#This Row],[Inversión publicidad]],0)</f>
        <v>0</v>
      </c>
      <c r="AB78" s="14"/>
      <c r="AC78" s="12"/>
      <c r="AI7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7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78" s="12">
        <f ca="1">SUMIFS(TableDailySummary[Utilidad bruta],TableDailySummary[Fecha],"&gt;="&amp;TableWeeklySummary[[#This Row],[Desde]],TableDailySummary[Fecha],"&lt;="&amp;TableWeeklySummary[[#This Row],[Hasta]])</f>
        <v>0</v>
      </c>
      <c r="AL78" s="18">
        <f ca="1">IFERROR(TableWeeklySummary[[#This Row],[Utilidad bruta]]/TableWeeklySummary[[#This Row],[Ventas netas con costo registrado]],0)</f>
        <v>0</v>
      </c>
    </row>
    <row r="79" spans="2:38" x14ac:dyDescent="0.2">
      <c r="B79" s="16">
        <f ca="1">_xlfn.ISOWEEKNUM(TableWeeklySummary[[#This Row],[Hasta]])</f>
        <v>12</v>
      </c>
      <c r="C79" s="6">
        <f t="shared" ca="1" si="2"/>
        <v>46465</v>
      </c>
      <c r="D79" s="6">
        <f ca="1">TableWeeklySummary[[#This Row],[Desde]]+7-1</f>
        <v>46471</v>
      </c>
      <c r="E79" s="12">
        <f ca="1">SUMIFS(TableDailySummary[Ventas netas totales],TableDailySummary[Fecha],"&gt;="&amp;TableWeeklySummary[[#This Row],[Desde]],TableDailySummary[Fecha],"&lt;="&amp;TableWeeklySummary[[#This Row],[Hasta]])</f>
        <v>0</v>
      </c>
      <c r="F79" s="12">
        <f ca="1">SUMIFS(TableDailySummary[Órdenes totales],TableDailySummary[Fecha],"&gt;="&amp;TableWeeklySummary[[#This Row],[Desde]],TableDailySummary[Fecha],"&lt;="&amp;TableWeeklySummary[[#This Row],[Hasta]])</f>
        <v>0</v>
      </c>
      <c r="G79" s="12">
        <f ca="1">IFERROR(TableWeeklySummary[[#This Row],[Ventas netas totales]]/TableWeeklySummary[[#This Row],[Órdenes totales]],0)</f>
        <v>0</v>
      </c>
      <c r="H7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79" s="12">
        <f ca="1">TableWeeklySummary[[#This Row],[Órden promedio totales]]*TableWeeklySummary[[#This Row],[CR totales]]</f>
        <v>0</v>
      </c>
      <c r="J79" s="12">
        <f ca="1">SUMIFS(TableDailySummary[Ventas primer cliente],TableDailySummary[Fecha],"&gt;="&amp;TableWeeklySummary[[#This Row],[Desde]],TableDailySummary[Fecha],"&lt;="&amp;TableWeeklySummary[[#This Row],[Hasta]])</f>
        <v>0</v>
      </c>
      <c r="K79" s="12">
        <f ca="1">SUMIFS(TableDailySummary[Órdenes primer cliente],TableDailySummary[Fecha],"&gt;="&amp;TableWeeklySummary[[#This Row],[Desde]],TableDailySummary[Fecha],"&lt;="&amp;TableWeeklySummary[[#This Row],[Hasta]])</f>
        <v>0</v>
      </c>
      <c r="L79" s="12">
        <f ca="1">SUMIFS(TableDailySummary[Online Store_net_sales],TableDailySummary[Fecha],"&gt;="&amp;TableWeeklySummary[[#This Row],[Desde]],TableDailySummary[Fecha],"&lt;="&amp;TableWeeklySummary[[#This Row],[Hasta]])</f>
        <v>0</v>
      </c>
      <c r="M79" s="12">
        <f ca="1">SUMIFS(TableDailySummary[Online Store_orders],TableDailySummary[Fecha],"&gt;="&amp;TableWeeklySummary[[#This Row],[Desde]],TableDailySummary[Fecha],"&lt;="&amp;TableWeeklySummary[[#This Row],[Hasta]])</f>
        <v>0</v>
      </c>
      <c r="N79" s="12">
        <f ca="1">SUMIFS(TableDailySummary[Tienda 81_net_sales],TableDailySummary[Fecha],"&gt;="&amp;TableWeeklySummary[[#This Row],[Desde]],TableDailySummary[Fecha],"&lt;="&amp;TableWeeklySummary[[#This Row],[Hasta]])</f>
        <v>0</v>
      </c>
      <c r="O79" s="12">
        <f ca="1">SUMIFS(TableDailySummary[Tienda 81_orders],TableDailySummary[Fecha],"&gt;="&amp;TableWeeklySummary[[#This Row],[Desde]],TableDailySummary[Fecha],"&lt;="&amp;TableWeeklySummary[[#This Row],[Hasta]])</f>
        <v>0</v>
      </c>
      <c r="P79" s="12">
        <f ca="1">SUMIFS(TableDailySummary[Rappi_net_sales],TableDailySummary[Fecha],"&gt;="&amp;TableWeeklySummary[[#This Row],[Desde]],TableDailySummary[Fecha],"&lt;="&amp;TableWeeklySummary[[#This Row],[Hasta]])</f>
        <v>0</v>
      </c>
      <c r="Q79" s="12">
        <f ca="1">SUMIFS(TableDailySummary[Rappi_orders],TableDailySummary[Fecha],"&gt;="&amp;TableWeeklySummary[[#This Row],[Desde]],TableDailySummary[Fecha],"&lt;="&amp;TableWeeklySummary[[#This Row],[Hasta]])</f>
        <v>0</v>
      </c>
      <c r="R7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7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79" s="12">
        <f ca="1">SUMIFS(TableDailySummary[Inversión google ads],TableDailySummary[Fecha],"&gt;="&amp;TableWeeklySummary[[#This Row],[Desde]],TableDailySummary[Fecha],"&lt;="&amp;TableWeeklySummary[[#This Row],[Hasta]])</f>
        <v>0</v>
      </c>
      <c r="U79" s="12">
        <f ca="1">SUMIFS(TableDailySummary[Ventas google ads],TableDailySummary[Fecha],"&gt;="&amp;TableWeeklySummary[[#This Row],[Desde]],TableDailySummary[Fecha],"&lt;="&amp;TableWeeklySummary[[#This Row],[Hasta]])</f>
        <v>0</v>
      </c>
      <c r="V79" s="12">
        <f ca="1">SUMIFS(TableDailySummary[Inversión meta ads],TableDailySummary[Fecha],"&gt;="&amp;TableWeeklySummary[[#This Row],[Desde]],TableDailySummary[Fecha],"&lt;="&amp;TableWeeklySummary[[#This Row],[Hasta]])</f>
        <v>0</v>
      </c>
      <c r="W79" s="12">
        <f ca="1">SUMIFS(TableDailySummary[Ventas meta ads],TableDailySummary[Fecha],"&gt;="&amp;TableWeeklySummary[[#This Row],[Desde]],TableDailySummary[Fecha],"&lt;="&amp;TableWeeklySummary[[#This Row],[Hasta]])</f>
        <v>0</v>
      </c>
      <c r="X79" s="12">
        <f ca="1">TableWeeklySummary[[#This Row],[Inversión google ads]]+TableWeeklySummary[[#This Row],[Inversión meta ads]]</f>
        <v>0</v>
      </c>
      <c r="Y79" s="12">
        <f ca="1">TableWeeklySummary[[#This Row],[Ventas google ads]]+TableWeeklySummary[[#This Row],[Ventas meta ads]]</f>
        <v>0</v>
      </c>
      <c r="Z79" s="14">
        <f ca="1">IFERROR(TableWeeklySummary[[#This Row],[Ventas publicidad]]/TableWeeklySummary[[#This Row],[Inversión publicidad]],0)</f>
        <v>0</v>
      </c>
      <c r="AA79" s="14">
        <f ca="1">IFERROR(TableWeeklySummary[[#This Row],[Ventas primer cliente]]/TableWeeklySummary[[#This Row],[Inversión publicidad]],0)</f>
        <v>0</v>
      </c>
      <c r="AB79" s="14"/>
      <c r="AC79" s="12"/>
      <c r="AI7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7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79" s="12">
        <f ca="1">SUMIFS(TableDailySummary[Utilidad bruta],TableDailySummary[Fecha],"&gt;="&amp;TableWeeklySummary[[#This Row],[Desde]],TableDailySummary[Fecha],"&lt;="&amp;TableWeeklySummary[[#This Row],[Hasta]])</f>
        <v>0</v>
      </c>
      <c r="AL79" s="18">
        <f ca="1">IFERROR(TableWeeklySummary[[#This Row],[Utilidad bruta]]/TableWeeklySummary[[#This Row],[Ventas netas con costo registrado]],0)</f>
        <v>0</v>
      </c>
    </row>
    <row r="80" spans="2:38" x14ac:dyDescent="0.2">
      <c r="B80" s="16">
        <f ca="1">_xlfn.ISOWEEKNUM(TableWeeklySummary[[#This Row],[Hasta]])</f>
        <v>13</v>
      </c>
      <c r="C80" s="6">
        <f t="shared" ca="1" si="2"/>
        <v>46472</v>
      </c>
      <c r="D80" s="6">
        <f ca="1">TableWeeklySummary[[#This Row],[Desde]]+7-1</f>
        <v>46478</v>
      </c>
      <c r="E80" s="12">
        <f ca="1">SUMIFS(TableDailySummary[Ventas netas totales],TableDailySummary[Fecha],"&gt;="&amp;TableWeeklySummary[[#This Row],[Desde]],TableDailySummary[Fecha],"&lt;="&amp;TableWeeklySummary[[#This Row],[Hasta]])</f>
        <v>0</v>
      </c>
      <c r="F80" s="12">
        <f ca="1">SUMIFS(TableDailySummary[Órdenes totales],TableDailySummary[Fecha],"&gt;="&amp;TableWeeklySummary[[#This Row],[Desde]],TableDailySummary[Fecha],"&lt;="&amp;TableWeeklySummary[[#This Row],[Hasta]])</f>
        <v>0</v>
      </c>
      <c r="G80" s="12">
        <f ca="1">IFERROR(TableWeeklySummary[[#This Row],[Ventas netas totales]]/TableWeeklySummary[[#This Row],[Órdenes totales]],0)</f>
        <v>0</v>
      </c>
      <c r="H8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80" s="12">
        <f ca="1">TableWeeklySummary[[#This Row],[Órden promedio totales]]*TableWeeklySummary[[#This Row],[CR totales]]</f>
        <v>0</v>
      </c>
      <c r="J80" s="12">
        <f ca="1">SUMIFS(TableDailySummary[Ventas primer cliente],TableDailySummary[Fecha],"&gt;="&amp;TableWeeklySummary[[#This Row],[Desde]],TableDailySummary[Fecha],"&lt;="&amp;TableWeeklySummary[[#This Row],[Hasta]])</f>
        <v>0</v>
      </c>
      <c r="K80" s="12">
        <f ca="1">SUMIFS(TableDailySummary[Órdenes primer cliente],TableDailySummary[Fecha],"&gt;="&amp;TableWeeklySummary[[#This Row],[Desde]],TableDailySummary[Fecha],"&lt;="&amp;TableWeeklySummary[[#This Row],[Hasta]])</f>
        <v>0</v>
      </c>
      <c r="L80" s="12">
        <f ca="1">SUMIFS(TableDailySummary[Online Store_net_sales],TableDailySummary[Fecha],"&gt;="&amp;TableWeeklySummary[[#This Row],[Desde]],TableDailySummary[Fecha],"&lt;="&amp;TableWeeklySummary[[#This Row],[Hasta]])</f>
        <v>0</v>
      </c>
      <c r="M80" s="12">
        <f ca="1">SUMIFS(TableDailySummary[Online Store_orders],TableDailySummary[Fecha],"&gt;="&amp;TableWeeklySummary[[#This Row],[Desde]],TableDailySummary[Fecha],"&lt;="&amp;TableWeeklySummary[[#This Row],[Hasta]])</f>
        <v>0</v>
      </c>
      <c r="N80" s="12">
        <f ca="1">SUMIFS(TableDailySummary[Tienda 81_net_sales],TableDailySummary[Fecha],"&gt;="&amp;TableWeeklySummary[[#This Row],[Desde]],TableDailySummary[Fecha],"&lt;="&amp;TableWeeklySummary[[#This Row],[Hasta]])</f>
        <v>0</v>
      </c>
      <c r="O80" s="12">
        <f ca="1">SUMIFS(TableDailySummary[Tienda 81_orders],TableDailySummary[Fecha],"&gt;="&amp;TableWeeklySummary[[#This Row],[Desde]],TableDailySummary[Fecha],"&lt;="&amp;TableWeeklySummary[[#This Row],[Hasta]])</f>
        <v>0</v>
      </c>
      <c r="P80" s="12">
        <f ca="1">SUMIFS(TableDailySummary[Rappi_net_sales],TableDailySummary[Fecha],"&gt;="&amp;TableWeeklySummary[[#This Row],[Desde]],TableDailySummary[Fecha],"&lt;="&amp;TableWeeklySummary[[#This Row],[Hasta]])</f>
        <v>0</v>
      </c>
      <c r="Q80" s="12">
        <f ca="1">SUMIFS(TableDailySummary[Rappi_orders],TableDailySummary[Fecha],"&gt;="&amp;TableWeeklySummary[[#This Row],[Desde]],TableDailySummary[Fecha],"&lt;="&amp;TableWeeklySummary[[#This Row],[Hasta]])</f>
        <v>0</v>
      </c>
      <c r="R8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8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80" s="12">
        <f ca="1">SUMIFS(TableDailySummary[Inversión google ads],TableDailySummary[Fecha],"&gt;="&amp;TableWeeklySummary[[#This Row],[Desde]],TableDailySummary[Fecha],"&lt;="&amp;TableWeeklySummary[[#This Row],[Hasta]])</f>
        <v>0</v>
      </c>
      <c r="U80" s="12">
        <f ca="1">SUMIFS(TableDailySummary[Ventas google ads],TableDailySummary[Fecha],"&gt;="&amp;TableWeeklySummary[[#This Row],[Desde]],TableDailySummary[Fecha],"&lt;="&amp;TableWeeklySummary[[#This Row],[Hasta]])</f>
        <v>0</v>
      </c>
      <c r="V80" s="12">
        <f ca="1">SUMIFS(TableDailySummary[Inversión meta ads],TableDailySummary[Fecha],"&gt;="&amp;TableWeeklySummary[[#This Row],[Desde]],TableDailySummary[Fecha],"&lt;="&amp;TableWeeklySummary[[#This Row],[Hasta]])</f>
        <v>0</v>
      </c>
      <c r="W80" s="12">
        <f ca="1">SUMIFS(TableDailySummary[Ventas meta ads],TableDailySummary[Fecha],"&gt;="&amp;TableWeeklySummary[[#This Row],[Desde]],TableDailySummary[Fecha],"&lt;="&amp;TableWeeklySummary[[#This Row],[Hasta]])</f>
        <v>0</v>
      </c>
      <c r="X80" s="12">
        <f ca="1">TableWeeklySummary[[#This Row],[Inversión google ads]]+TableWeeklySummary[[#This Row],[Inversión meta ads]]</f>
        <v>0</v>
      </c>
      <c r="Y80" s="12">
        <f ca="1">TableWeeklySummary[[#This Row],[Ventas google ads]]+TableWeeklySummary[[#This Row],[Ventas meta ads]]</f>
        <v>0</v>
      </c>
      <c r="Z80" s="14">
        <f ca="1">IFERROR(TableWeeklySummary[[#This Row],[Ventas publicidad]]/TableWeeklySummary[[#This Row],[Inversión publicidad]],0)</f>
        <v>0</v>
      </c>
      <c r="AA80" s="14">
        <f ca="1">IFERROR(TableWeeklySummary[[#This Row],[Ventas primer cliente]]/TableWeeklySummary[[#This Row],[Inversión publicidad]],0)</f>
        <v>0</v>
      </c>
      <c r="AB80" s="14"/>
      <c r="AC80" s="12"/>
      <c r="AI8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8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80" s="12">
        <f ca="1">SUMIFS(TableDailySummary[Utilidad bruta],TableDailySummary[Fecha],"&gt;="&amp;TableWeeklySummary[[#This Row],[Desde]],TableDailySummary[Fecha],"&lt;="&amp;TableWeeklySummary[[#This Row],[Hasta]])</f>
        <v>0</v>
      </c>
      <c r="AL80" s="18">
        <f ca="1">IFERROR(TableWeeklySummary[[#This Row],[Utilidad bruta]]/TableWeeklySummary[[#This Row],[Ventas netas con costo registrado]],0)</f>
        <v>0</v>
      </c>
    </row>
    <row r="81" spans="2:38" x14ac:dyDescent="0.2">
      <c r="B81" s="16">
        <f ca="1">_xlfn.ISOWEEKNUM(TableWeeklySummary[[#This Row],[Hasta]])</f>
        <v>14</v>
      </c>
      <c r="C81" s="6">
        <f t="shared" ca="1" si="2"/>
        <v>46479</v>
      </c>
      <c r="D81" s="6">
        <f ca="1">TableWeeklySummary[[#This Row],[Desde]]+7-1</f>
        <v>46485</v>
      </c>
      <c r="E81" s="12">
        <f ca="1">SUMIFS(TableDailySummary[Ventas netas totales],TableDailySummary[Fecha],"&gt;="&amp;TableWeeklySummary[[#This Row],[Desde]],TableDailySummary[Fecha],"&lt;="&amp;TableWeeklySummary[[#This Row],[Hasta]])</f>
        <v>0</v>
      </c>
      <c r="F81" s="12">
        <f ca="1">SUMIFS(TableDailySummary[Órdenes totales],TableDailySummary[Fecha],"&gt;="&amp;TableWeeklySummary[[#This Row],[Desde]],TableDailySummary[Fecha],"&lt;="&amp;TableWeeklySummary[[#This Row],[Hasta]])</f>
        <v>0</v>
      </c>
      <c r="G81" s="12">
        <f ca="1">IFERROR(TableWeeklySummary[[#This Row],[Ventas netas totales]]/TableWeeklySummary[[#This Row],[Órdenes totales]],0)</f>
        <v>0</v>
      </c>
      <c r="H8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81" s="12">
        <f ca="1">TableWeeklySummary[[#This Row],[Órden promedio totales]]*TableWeeklySummary[[#This Row],[CR totales]]</f>
        <v>0</v>
      </c>
      <c r="J81" s="12">
        <f ca="1">SUMIFS(TableDailySummary[Ventas primer cliente],TableDailySummary[Fecha],"&gt;="&amp;TableWeeklySummary[[#This Row],[Desde]],TableDailySummary[Fecha],"&lt;="&amp;TableWeeklySummary[[#This Row],[Hasta]])</f>
        <v>0</v>
      </c>
      <c r="K81" s="12">
        <f ca="1">SUMIFS(TableDailySummary[Órdenes primer cliente],TableDailySummary[Fecha],"&gt;="&amp;TableWeeklySummary[[#This Row],[Desde]],TableDailySummary[Fecha],"&lt;="&amp;TableWeeklySummary[[#This Row],[Hasta]])</f>
        <v>0</v>
      </c>
      <c r="L81" s="12">
        <f ca="1">SUMIFS(TableDailySummary[Online Store_net_sales],TableDailySummary[Fecha],"&gt;="&amp;TableWeeklySummary[[#This Row],[Desde]],TableDailySummary[Fecha],"&lt;="&amp;TableWeeklySummary[[#This Row],[Hasta]])</f>
        <v>0</v>
      </c>
      <c r="M81" s="12">
        <f ca="1">SUMIFS(TableDailySummary[Online Store_orders],TableDailySummary[Fecha],"&gt;="&amp;TableWeeklySummary[[#This Row],[Desde]],TableDailySummary[Fecha],"&lt;="&amp;TableWeeklySummary[[#This Row],[Hasta]])</f>
        <v>0</v>
      </c>
      <c r="N81" s="12">
        <f ca="1">SUMIFS(TableDailySummary[Tienda 81_net_sales],TableDailySummary[Fecha],"&gt;="&amp;TableWeeklySummary[[#This Row],[Desde]],TableDailySummary[Fecha],"&lt;="&amp;TableWeeklySummary[[#This Row],[Hasta]])</f>
        <v>0</v>
      </c>
      <c r="O81" s="12">
        <f ca="1">SUMIFS(TableDailySummary[Tienda 81_orders],TableDailySummary[Fecha],"&gt;="&amp;TableWeeklySummary[[#This Row],[Desde]],TableDailySummary[Fecha],"&lt;="&amp;TableWeeklySummary[[#This Row],[Hasta]])</f>
        <v>0</v>
      </c>
      <c r="P81" s="12">
        <f ca="1">SUMIFS(TableDailySummary[Rappi_net_sales],TableDailySummary[Fecha],"&gt;="&amp;TableWeeklySummary[[#This Row],[Desde]],TableDailySummary[Fecha],"&lt;="&amp;TableWeeklySummary[[#This Row],[Hasta]])</f>
        <v>0</v>
      </c>
      <c r="Q81" s="12">
        <f ca="1">SUMIFS(TableDailySummary[Rappi_orders],TableDailySummary[Fecha],"&gt;="&amp;TableWeeklySummary[[#This Row],[Desde]],TableDailySummary[Fecha],"&lt;="&amp;TableWeeklySummary[[#This Row],[Hasta]])</f>
        <v>0</v>
      </c>
      <c r="R8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8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81" s="12">
        <f ca="1">SUMIFS(TableDailySummary[Inversión google ads],TableDailySummary[Fecha],"&gt;="&amp;TableWeeklySummary[[#This Row],[Desde]],TableDailySummary[Fecha],"&lt;="&amp;TableWeeklySummary[[#This Row],[Hasta]])</f>
        <v>0</v>
      </c>
      <c r="U81" s="12">
        <f ca="1">SUMIFS(TableDailySummary[Ventas google ads],TableDailySummary[Fecha],"&gt;="&amp;TableWeeklySummary[[#This Row],[Desde]],TableDailySummary[Fecha],"&lt;="&amp;TableWeeklySummary[[#This Row],[Hasta]])</f>
        <v>0</v>
      </c>
      <c r="V81" s="12">
        <f ca="1">SUMIFS(TableDailySummary[Inversión meta ads],TableDailySummary[Fecha],"&gt;="&amp;TableWeeklySummary[[#This Row],[Desde]],TableDailySummary[Fecha],"&lt;="&amp;TableWeeklySummary[[#This Row],[Hasta]])</f>
        <v>0</v>
      </c>
      <c r="W81" s="12">
        <f ca="1">SUMIFS(TableDailySummary[Ventas meta ads],TableDailySummary[Fecha],"&gt;="&amp;TableWeeklySummary[[#This Row],[Desde]],TableDailySummary[Fecha],"&lt;="&amp;TableWeeklySummary[[#This Row],[Hasta]])</f>
        <v>0</v>
      </c>
      <c r="X81" s="12">
        <f ca="1">TableWeeklySummary[[#This Row],[Inversión google ads]]+TableWeeklySummary[[#This Row],[Inversión meta ads]]</f>
        <v>0</v>
      </c>
      <c r="Y81" s="12">
        <f ca="1">TableWeeklySummary[[#This Row],[Ventas google ads]]+TableWeeklySummary[[#This Row],[Ventas meta ads]]</f>
        <v>0</v>
      </c>
      <c r="Z81" s="14">
        <f ca="1">IFERROR(TableWeeklySummary[[#This Row],[Ventas publicidad]]/TableWeeklySummary[[#This Row],[Inversión publicidad]],0)</f>
        <v>0</v>
      </c>
      <c r="AA81" s="14">
        <f ca="1">IFERROR(TableWeeklySummary[[#This Row],[Ventas primer cliente]]/TableWeeklySummary[[#This Row],[Inversión publicidad]],0)</f>
        <v>0</v>
      </c>
      <c r="AB81" s="14"/>
      <c r="AC81" s="12"/>
      <c r="AI8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8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81" s="12">
        <f ca="1">SUMIFS(TableDailySummary[Utilidad bruta],TableDailySummary[Fecha],"&gt;="&amp;TableWeeklySummary[[#This Row],[Desde]],TableDailySummary[Fecha],"&lt;="&amp;TableWeeklySummary[[#This Row],[Hasta]])</f>
        <v>0</v>
      </c>
      <c r="AL81" s="18">
        <f ca="1">IFERROR(TableWeeklySummary[[#This Row],[Utilidad bruta]]/TableWeeklySummary[[#This Row],[Ventas netas con costo registrado]],0)</f>
        <v>0</v>
      </c>
    </row>
    <row r="82" spans="2:38" x14ac:dyDescent="0.2">
      <c r="B82" s="16">
        <f ca="1">_xlfn.ISOWEEKNUM(TableWeeklySummary[[#This Row],[Hasta]])</f>
        <v>15</v>
      </c>
      <c r="C82" s="6">
        <f t="shared" ca="1" si="2"/>
        <v>46486</v>
      </c>
      <c r="D82" s="6">
        <f ca="1">TableWeeklySummary[[#This Row],[Desde]]+7-1</f>
        <v>46492</v>
      </c>
      <c r="E82" s="12">
        <f ca="1">SUMIFS(TableDailySummary[Ventas netas totales],TableDailySummary[Fecha],"&gt;="&amp;TableWeeklySummary[[#This Row],[Desde]],TableDailySummary[Fecha],"&lt;="&amp;TableWeeklySummary[[#This Row],[Hasta]])</f>
        <v>0</v>
      </c>
      <c r="F82" s="12">
        <f ca="1">SUMIFS(TableDailySummary[Órdenes totales],TableDailySummary[Fecha],"&gt;="&amp;TableWeeklySummary[[#This Row],[Desde]],TableDailySummary[Fecha],"&lt;="&amp;TableWeeklySummary[[#This Row],[Hasta]])</f>
        <v>0</v>
      </c>
      <c r="G82" s="12">
        <f ca="1">IFERROR(TableWeeklySummary[[#This Row],[Ventas netas totales]]/TableWeeklySummary[[#This Row],[Órdenes totales]],0)</f>
        <v>0</v>
      </c>
      <c r="H8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82" s="12">
        <f ca="1">TableWeeklySummary[[#This Row],[Órden promedio totales]]*TableWeeklySummary[[#This Row],[CR totales]]</f>
        <v>0</v>
      </c>
      <c r="J82" s="12">
        <f ca="1">SUMIFS(TableDailySummary[Ventas primer cliente],TableDailySummary[Fecha],"&gt;="&amp;TableWeeklySummary[[#This Row],[Desde]],TableDailySummary[Fecha],"&lt;="&amp;TableWeeklySummary[[#This Row],[Hasta]])</f>
        <v>0</v>
      </c>
      <c r="K82" s="12">
        <f ca="1">SUMIFS(TableDailySummary[Órdenes primer cliente],TableDailySummary[Fecha],"&gt;="&amp;TableWeeklySummary[[#This Row],[Desde]],TableDailySummary[Fecha],"&lt;="&amp;TableWeeklySummary[[#This Row],[Hasta]])</f>
        <v>0</v>
      </c>
      <c r="L82" s="12">
        <f ca="1">SUMIFS(TableDailySummary[Online Store_net_sales],TableDailySummary[Fecha],"&gt;="&amp;TableWeeklySummary[[#This Row],[Desde]],TableDailySummary[Fecha],"&lt;="&amp;TableWeeklySummary[[#This Row],[Hasta]])</f>
        <v>0</v>
      </c>
      <c r="M82" s="12">
        <f ca="1">SUMIFS(TableDailySummary[Online Store_orders],TableDailySummary[Fecha],"&gt;="&amp;TableWeeklySummary[[#This Row],[Desde]],TableDailySummary[Fecha],"&lt;="&amp;TableWeeklySummary[[#This Row],[Hasta]])</f>
        <v>0</v>
      </c>
      <c r="N82" s="12">
        <f ca="1">SUMIFS(TableDailySummary[Tienda 81_net_sales],TableDailySummary[Fecha],"&gt;="&amp;TableWeeklySummary[[#This Row],[Desde]],TableDailySummary[Fecha],"&lt;="&amp;TableWeeklySummary[[#This Row],[Hasta]])</f>
        <v>0</v>
      </c>
      <c r="O82" s="12">
        <f ca="1">SUMIFS(TableDailySummary[Tienda 81_orders],TableDailySummary[Fecha],"&gt;="&amp;TableWeeklySummary[[#This Row],[Desde]],TableDailySummary[Fecha],"&lt;="&amp;TableWeeklySummary[[#This Row],[Hasta]])</f>
        <v>0</v>
      </c>
      <c r="P82" s="12">
        <f ca="1">SUMIFS(TableDailySummary[Rappi_net_sales],TableDailySummary[Fecha],"&gt;="&amp;TableWeeklySummary[[#This Row],[Desde]],TableDailySummary[Fecha],"&lt;="&amp;TableWeeklySummary[[#This Row],[Hasta]])</f>
        <v>0</v>
      </c>
      <c r="Q82" s="12">
        <f ca="1">SUMIFS(TableDailySummary[Rappi_orders],TableDailySummary[Fecha],"&gt;="&amp;TableWeeklySummary[[#This Row],[Desde]],TableDailySummary[Fecha],"&lt;="&amp;TableWeeklySummary[[#This Row],[Hasta]])</f>
        <v>0</v>
      </c>
      <c r="R8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8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82" s="12">
        <f ca="1">SUMIFS(TableDailySummary[Inversión google ads],TableDailySummary[Fecha],"&gt;="&amp;TableWeeklySummary[[#This Row],[Desde]],TableDailySummary[Fecha],"&lt;="&amp;TableWeeklySummary[[#This Row],[Hasta]])</f>
        <v>0</v>
      </c>
      <c r="U82" s="12">
        <f ca="1">SUMIFS(TableDailySummary[Ventas google ads],TableDailySummary[Fecha],"&gt;="&amp;TableWeeklySummary[[#This Row],[Desde]],TableDailySummary[Fecha],"&lt;="&amp;TableWeeklySummary[[#This Row],[Hasta]])</f>
        <v>0</v>
      </c>
      <c r="V82" s="12">
        <f ca="1">SUMIFS(TableDailySummary[Inversión meta ads],TableDailySummary[Fecha],"&gt;="&amp;TableWeeklySummary[[#This Row],[Desde]],TableDailySummary[Fecha],"&lt;="&amp;TableWeeklySummary[[#This Row],[Hasta]])</f>
        <v>0</v>
      </c>
      <c r="W82" s="12">
        <f ca="1">SUMIFS(TableDailySummary[Ventas meta ads],TableDailySummary[Fecha],"&gt;="&amp;TableWeeklySummary[[#This Row],[Desde]],TableDailySummary[Fecha],"&lt;="&amp;TableWeeklySummary[[#This Row],[Hasta]])</f>
        <v>0</v>
      </c>
      <c r="X82" s="12">
        <f ca="1">TableWeeklySummary[[#This Row],[Inversión google ads]]+TableWeeklySummary[[#This Row],[Inversión meta ads]]</f>
        <v>0</v>
      </c>
      <c r="Y82" s="12">
        <f ca="1">TableWeeklySummary[[#This Row],[Ventas google ads]]+TableWeeklySummary[[#This Row],[Ventas meta ads]]</f>
        <v>0</v>
      </c>
      <c r="Z82" s="14">
        <f ca="1">IFERROR(TableWeeklySummary[[#This Row],[Ventas publicidad]]/TableWeeklySummary[[#This Row],[Inversión publicidad]],0)</f>
        <v>0</v>
      </c>
      <c r="AA82" s="14">
        <f ca="1">IFERROR(TableWeeklySummary[[#This Row],[Ventas primer cliente]]/TableWeeklySummary[[#This Row],[Inversión publicidad]],0)</f>
        <v>0</v>
      </c>
      <c r="AB82" s="14"/>
      <c r="AC82" s="12"/>
      <c r="AI8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8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82" s="12">
        <f ca="1">SUMIFS(TableDailySummary[Utilidad bruta],TableDailySummary[Fecha],"&gt;="&amp;TableWeeklySummary[[#This Row],[Desde]],TableDailySummary[Fecha],"&lt;="&amp;TableWeeklySummary[[#This Row],[Hasta]])</f>
        <v>0</v>
      </c>
      <c r="AL82" s="18">
        <f ca="1">IFERROR(TableWeeklySummary[[#This Row],[Utilidad bruta]]/TableWeeklySummary[[#This Row],[Ventas netas con costo registrado]],0)</f>
        <v>0</v>
      </c>
    </row>
    <row r="83" spans="2:38" x14ac:dyDescent="0.2">
      <c r="B83" s="16">
        <f ca="1">_xlfn.ISOWEEKNUM(TableWeeklySummary[[#This Row],[Hasta]])</f>
        <v>16</v>
      </c>
      <c r="C83" s="6">
        <f t="shared" ca="1" si="2"/>
        <v>46493</v>
      </c>
      <c r="D83" s="6">
        <f ca="1">TableWeeklySummary[[#This Row],[Desde]]+7-1</f>
        <v>46499</v>
      </c>
      <c r="E83" s="12">
        <f ca="1">SUMIFS(TableDailySummary[Ventas netas totales],TableDailySummary[Fecha],"&gt;="&amp;TableWeeklySummary[[#This Row],[Desde]],TableDailySummary[Fecha],"&lt;="&amp;TableWeeklySummary[[#This Row],[Hasta]])</f>
        <v>0</v>
      </c>
      <c r="F83" s="12">
        <f ca="1">SUMIFS(TableDailySummary[Órdenes totales],TableDailySummary[Fecha],"&gt;="&amp;TableWeeklySummary[[#This Row],[Desde]],TableDailySummary[Fecha],"&lt;="&amp;TableWeeklySummary[[#This Row],[Hasta]])</f>
        <v>0</v>
      </c>
      <c r="G83" s="12">
        <f ca="1">IFERROR(TableWeeklySummary[[#This Row],[Ventas netas totales]]/TableWeeklySummary[[#This Row],[Órdenes totales]],0)</f>
        <v>0</v>
      </c>
      <c r="H8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83" s="12">
        <f ca="1">TableWeeklySummary[[#This Row],[Órden promedio totales]]*TableWeeklySummary[[#This Row],[CR totales]]</f>
        <v>0</v>
      </c>
      <c r="J83" s="12">
        <f ca="1">SUMIFS(TableDailySummary[Ventas primer cliente],TableDailySummary[Fecha],"&gt;="&amp;TableWeeklySummary[[#This Row],[Desde]],TableDailySummary[Fecha],"&lt;="&amp;TableWeeklySummary[[#This Row],[Hasta]])</f>
        <v>0</v>
      </c>
      <c r="K83" s="12">
        <f ca="1">SUMIFS(TableDailySummary[Órdenes primer cliente],TableDailySummary[Fecha],"&gt;="&amp;TableWeeklySummary[[#This Row],[Desde]],TableDailySummary[Fecha],"&lt;="&amp;TableWeeklySummary[[#This Row],[Hasta]])</f>
        <v>0</v>
      </c>
      <c r="L83" s="12">
        <f ca="1">SUMIFS(TableDailySummary[Online Store_net_sales],TableDailySummary[Fecha],"&gt;="&amp;TableWeeklySummary[[#This Row],[Desde]],TableDailySummary[Fecha],"&lt;="&amp;TableWeeklySummary[[#This Row],[Hasta]])</f>
        <v>0</v>
      </c>
      <c r="M83" s="12">
        <f ca="1">SUMIFS(TableDailySummary[Online Store_orders],TableDailySummary[Fecha],"&gt;="&amp;TableWeeklySummary[[#This Row],[Desde]],TableDailySummary[Fecha],"&lt;="&amp;TableWeeklySummary[[#This Row],[Hasta]])</f>
        <v>0</v>
      </c>
      <c r="N83" s="12">
        <f ca="1">SUMIFS(TableDailySummary[Tienda 81_net_sales],TableDailySummary[Fecha],"&gt;="&amp;TableWeeklySummary[[#This Row],[Desde]],TableDailySummary[Fecha],"&lt;="&amp;TableWeeklySummary[[#This Row],[Hasta]])</f>
        <v>0</v>
      </c>
      <c r="O83" s="12">
        <f ca="1">SUMIFS(TableDailySummary[Tienda 81_orders],TableDailySummary[Fecha],"&gt;="&amp;TableWeeklySummary[[#This Row],[Desde]],TableDailySummary[Fecha],"&lt;="&amp;TableWeeklySummary[[#This Row],[Hasta]])</f>
        <v>0</v>
      </c>
      <c r="P83" s="12">
        <f ca="1">SUMIFS(TableDailySummary[Rappi_net_sales],TableDailySummary[Fecha],"&gt;="&amp;TableWeeklySummary[[#This Row],[Desde]],TableDailySummary[Fecha],"&lt;="&amp;TableWeeklySummary[[#This Row],[Hasta]])</f>
        <v>0</v>
      </c>
      <c r="Q83" s="12">
        <f ca="1">SUMIFS(TableDailySummary[Rappi_orders],TableDailySummary[Fecha],"&gt;="&amp;TableWeeklySummary[[#This Row],[Desde]],TableDailySummary[Fecha],"&lt;="&amp;TableWeeklySummary[[#This Row],[Hasta]])</f>
        <v>0</v>
      </c>
      <c r="R8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8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83" s="12">
        <f ca="1">SUMIFS(TableDailySummary[Inversión google ads],TableDailySummary[Fecha],"&gt;="&amp;TableWeeklySummary[[#This Row],[Desde]],TableDailySummary[Fecha],"&lt;="&amp;TableWeeklySummary[[#This Row],[Hasta]])</f>
        <v>0</v>
      </c>
      <c r="U83" s="12">
        <f ca="1">SUMIFS(TableDailySummary[Ventas google ads],TableDailySummary[Fecha],"&gt;="&amp;TableWeeklySummary[[#This Row],[Desde]],TableDailySummary[Fecha],"&lt;="&amp;TableWeeklySummary[[#This Row],[Hasta]])</f>
        <v>0</v>
      </c>
      <c r="V83" s="12">
        <f ca="1">SUMIFS(TableDailySummary[Inversión meta ads],TableDailySummary[Fecha],"&gt;="&amp;TableWeeklySummary[[#This Row],[Desde]],TableDailySummary[Fecha],"&lt;="&amp;TableWeeklySummary[[#This Row],[Hasta]])</f>
        <v>0</v>
      </c>
      <c r="W83" s="12">
        <f ca="1">SUMIFS(TableDailySummary[Ventas meta ads],TableDailySummary[Fecha],"&gt;="&amp;TableWeeklySummary[[#This Row],[Desde]],TableDailySummary[Fecha],"&lt;="&amp;TableWeeklySummary[[#This Row],[Hasta]])</f>
        <v>0</v>
      </c>
      <c r="X83" s="12">
        <f ca="1">TableWeeklySummary[[#This Row],[Inversión google ads]]+TableWeeklySummary[[#This Row],[Inversión meta ads]]</f>
        <v>0</v>
      </c>
      <c r="Y83" s="12">
        <f ca="1">TableWeeklySummary[[#This Row],[Ventas google ads]]+TableWeeklySummary[[#This Row],[Ventas meta ads]]</f>
        <v>0</v>
      </c>
      <c r="Z83" s="14">
        <f ca="1">IFERROR(TableWeeklySummary[[#This Row],[Ventas publicidad]]/TableWeeklySummary[[#This Row],[Inversión publicidad]],0)</f>
        <v>0</v>
      </c>
      <c r="AA83" s="14">
        <f ca="1">IFERROR(TableWeeklySummary[[#This Row],[Ventas primer cliente]]/TableWeeklySummary[[#This Row],[Inversión publicidad]],0)</f>
        <v>0</v>
      </c>
      <c r="AB83" s="14"/>
      <c r="AC83" s="12"/>
      <c r="AI8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8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83" s="12">
        <f ca="1">SUMIFS(TableDailySummary[Utilidad bruta],TableDailySummary[Fecha],"&gt;="&amp;TableWeeklySummary[[#This Row],[Desde]],TableDailySummary[Fecha],"&lt;="&amp;TableWeeklySummary[[#This Row],[Hasta]])</f>
        <v>0</v>
      </c>
      <c r="AL83" s="18">
        <f ca="1">IFERROR(TableWeeklySummary[[#This Row],[Utilidad bruta]]/TableWeeklySummary[[#This Row],[Ventas netas con costo registrado]],0)</f>
        <v>0</v>
      </c>
    </row>
    <row r="84" spans="2:38" x14ac:dyDescent="0.2">
      <c r="B84" s="16">
        <f ca="1">_xlfn.ISOWEEKNUM(TableWeeklySummary[[#This Row],[Hasta]])</f>
        <v>17</v>
      </c>
      <c r="C84" s="6">
        <f t="shared" ca="1" si="2"/>
        <v>46500</v>
      </c>
      <c r="D84" s="6">
        <f ca="1">TableWeeklySummary[[#This Row],[Desde]]+7-1</f>
        <v>46506</v>
      </c>
      <c r="E84" s="12">
        <f ca="1">SUMIFS(TableDailySummary[Ventas netas totales],TableDailySummary[Fecha],"&gt;="&amp;TableWeeklySummary[[#This Row],[Desde]],TableDailySummary[Fecha],"&lt;="&amp;TableWeeklySummary[[#This Row],[Hasta]])</f>
        <v>0</v>
      </c>
      <c r="F84" s="12">
        <f ca="1">SUMIFS(TableDailySummary[Órdenes totales],TableDailySummary[Fecha],"&gt;="&amp;TableWeeklySummary[[#This Row],[Desde]],TableDailySummary[Fecha],"&lt;="&amp;TableWeeklySummary[[#This Row],[Hasta]])</f>
        <v>0</v>
      </c>
      <c r="G84" s="12">
        <f ca="1">IFERROR(TableWeeklySummary[[#This Row],[Ventas netas totales]]/TableWeeklySummary[[#This Row],[Órdenes totales]],0)</f>
        <v>0</v>
      </c>
      <c r="H8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84" s="12">
        <f ca="1">TableWeeklySummary[[#This Row],[Órden promedio totales]]*TableWeeklySummary[[#This Row],[CR totales]]</f>
        <v>0</v>
      </c>
      <c r="J84" s="12">
        <f ca="1">SUMIFS(TableDailySummary[Ventas primer cliente],TableDailySummary[Fecha],"&gt;="&amp;TableWeeklySummary[[#This Row],[Desde]],TableDailySummary[Fecha],"&lt;="&amp;TableWeeklySummary[[#This Row],[Hasta]])</f>
        <v>0</v>
      </c>
      <c r="K84" s="12">
        <f ca="1">SUMIFS(TableDailySummary[Órdenes primer cliente],TableDailySummary[Fecha],"&gt;="&amp;TableWeeklySummary[[#This Row],[Desde]],TableDailySummary[Fecha],"&lt;="&amp;TableWeeklySummary[[#This Row],[Hasta]])</f>
        <v>0</v>
      </c>
      <c r="L84" s="12">
        <f ca="1">SUMIFS(TableDailySummary[Online Store_net_sales],TableDailySummary[Fecha],"&gt;="&amp;TableWeeklySummary[[#This Row],[Desde]],TableDailySummary[Fecha],"&lt;="&amp;TableWeeklySummary[[#This Row],[Hasta]])</f>
        <v>0</v>
      </c>
      <c r="M84" s="12">
        <f ca="1">SUMIFS(TableDailySummary[Online Store_orders],TableDailySummary[Fecha],"&gt;="&amp;TableWeeklySummary[[#This Row],[Desde]],TableDailySummary[Fecha],"&lt;="&amp;TableWeeklySummary[[#This Row],[Hasta]])</f>
        <v>0</v>
      </c>
      <c r="N84" s="12">
        <f ca="1">SUMIFS(TableDailySummary[Tienda 81_net_sales],TableDailySummary[Fecha],"&gt;="&amp;TableWeeklySummary[[#This Row],[Desde]],TableDailySummary[Fecha],"&lt;="&amp;TableWeeklySummary[[#This Row],[Hasta]])</f>
        <v>0</v>
      </c>
      <c r="O84" s="12">
        <f ca="1">SUMIFS(TableDailySummary[Tienda 81_orders],TableDailySummary[Fecha],"&gt;="&amp;TableWeeklySummary[[#This Row],[Desde]],TableDailySummary[Fecha],"&lt;="&amp;TableWeeklySummary[[#This Row],[Hasta]])</f>
        <v>0</v>
      </c>
      <c r="P84" s="12">
        <f ca="1">SUMIFS(TableDailySummary[Rappi_net_sales],TableDailySummary[Fecha],"&gt;="&amp;TableWeeklySummary[[#This Row],[Desde]],TableDailySummary[Fecha],"&lt;="&amp;TableWeeklySummary[[#This Row],[Hasta]])</f>
        <v>0</v>
      </c>
      <c r="Q84" s="12">
        <f ca="1">SUMIFS(TableDailySummary[Rappi_orders],TableDailySummary[Fecha],"&gt;="&amp;TableWeeklySummary[[#This Row],[Desde]],TableDailySummary[Fecha],"&lt;="&amp;TableWeeklySummary[[#This Row],[Hasta]])</f>
        <v>0</v>
      </c>
      <c r="R8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8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84" s="12">
        <f ca="1">SUMIFS(TableDailySummary[Inversión google ads],TableDailySummary[Fecha],"&gt;="&amp;TableWeeklySummary[[#This Row],[Desde]],TableDailySummary[Fecha],"&lt;="&amp;TableWeeklySummary[[#This Row],[Hasta]])</f>
        <v>0</v>
      </c>
      <c r="U84" s="12">
        <f ca="1">SUMIFS(TableDailySummary[Ventas google ads],TableDailySummary[Fecha],"&gt;="&amp;TableWeeklySummary[[#This Row],[Desde]],TableDailySummary[Fecha],"&lt;="&amp;TableWeeklySummary[[#This Row],[Hasta]])</f>
        <v>0</v>
      </c>
      <c r="V84" s="12">
        <f ca="1">SUMIFS(TableDailySummary[Inversión meta ads],TableDailySummary[Fecha],"&gt;="&amp;TableWeeklySummary[[#This Row],[Desde]],TableDailySummary[Fecha],"&lt;="&amp;TableWeeklySummary[[#This Row],[Hasta]])</f>
        <v>0</v>
      </c>
      <c r="W84" s="12">
        <f ca="1">SUMIFS(TableDailySummary[Ventas meta ads],TableDailySummary[Fecha],"&gt;="&amp;TableWeeklySummary[[#This Row],[Desde]],TableDailySummary[Fecha],"&lt;="&amp;TableWeeklySummary[[#This Row],[Hasta]])</f>
        <v>0</v>
      </c>
      <c r="X84" s="12">
        <f ca="1">TableWeeklySummary[[#This Row],[Inversión google ads]]+TableWeeklySummary[[#This Row],[Inversión meta ads]]</f>
        <v>0</v>
      </c>
      <c r="Y84" s="12">
        <f ca="1">TableWeeklySummary[[#This Row],[Ventas google ads]]+TableWeeklySummary[[#This Row],[Ventas meta ads]]</f>
        <v>0</v>
      </c>
      <c r="Z84" s="14">
        <f ca="1">IFERROR(TableWeeklySummary[[#This Row],[Ventas publicidad]]/TableWeeklySummary[[#This Row],[Inversión publicidad]],0)</f>
        <v>0</v>
      </c>
      <c r="AA84" s="14">
        <f ca="1">IFERROR(TableWeeklySummary[[#This Row],[Ventas primer cliente]]/TableWeeklySummary[[#This Row],[Inversión publicidad]],0)</f>
        <v>0</v>
      </c>
      <c r="AB84" s="14"/>
      <c r="AC84" s="12"/>
      <c r="AI8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8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84" s="12">
        <f ca="1">SUMIFS(TableDailySummary[Utilidad bruta],TableDailySummary[Fecha],"&gt;="&amp;TableWeeklySummary[[#This Row],[Desde]],TableDailySummary[Fecha],"&lt;="&amp;TableWeeklySummary[[#This Row],[Hasta]])</f>
        <v>0</v>
      </c>
      <c r="AL84" s="18">
        <f ca="1">IFERROR(TableWeeklySummary[[#This Row],[Utilidad bruta]]/TableWeeklySummary[[#This Row],[Ventas netas con costo registrado]],0)</f>
        <v>0</v>
      </c>
    </row>
    <row r="85" spans="2:38" x14ac:dyDescent="0.2">
      <c r="B85" s="16">
        <f ca="1">_xlfn.ISOWEEKNUM(TableWeeklySummary[[#This Row],[Hasta]])</f>
        <v>18</v>
      </c>
      <c r="C85" s="6">
        <f t="shared" ca="1" si="2"/>
        <v>46507</v>
      </c>
      <c r="D85" s="6">
        <f ca="1">TableWeeklySummary[[#This Row],[Desde]]+7-1</f>
        <v>46513</v>
      </c>
      <c r="E85" s="12">
        <f ca="1">SUMIFS(TableDailySummary[Ventas netas totales],TableDailySummary[Fecha],"&gt;="&amp;TableWeeklySummary[[#This Row],[Desde]],TableDailySummary[Fecha],"&lt;="&amp;TableWeeklySummary[[#This Row],[Hasta]])</f>
        <v>0</v>
      </c>
      <c r="F85" s="12">
        <f ca="1">SUMIFS(TableDailySummary[Órdenes totales],TableDailySummary[Fecha],"&gt;="&amp;TableWeeklySummary[[#This Row],[Desde]],TableDailySummary[Fecha],"&lt;="&amp;TableWeeklySummary[[#This Row],[Hasta]])</f>
        <v>0</v>
      </c>
      <c r="G85" s="12">
        <f ca="1">IFERROR(TableWeeklySummary[[#This Row],[Ventas netas totales]]/TableWeeklySummary[[#This Row],[Órdenes totales]],0)</f>
        <v>0</v>
      </c>
      <c r="H8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85" s="12">
        <f ca="1">TableWeeklySummary[[#This Row],[Órden promedio totales]]*TableWeeklySummary[[#This Row],[CR totales]]</f>
        <v>0</v>
      </c>
      <c r="J85" s="12">
        <f ca="1">SUMIFS(TableDailySummary[Ventas primer cliente],TableDailySummary[Fecha],"&gt;="&amp;TableWeeklySummary[[#This Row],[Desde]],TableDailySummary[Fecha],"&lt;="&amp;TableWeeklySummary[[#This Row],[Hasta]])</f>
        <v>0</v>
      </c>
      <c r="K85" s="12">
        <f ca="1">SUMIFS(TableDailySummary[Órdenes primer cliente],TableDailySummary[Fecha],"&gt;="&amp;TableWeeklySummary[[#This Row],[Desde]],TableDailySummary[Fecha],"&lt;="&amp;TableWeeklySummary[[#This Row],[Hasta]])</f>
        <v>0</v>
      </c>
      <c r="L85" s="12">
        <f ca="1">SUMIFS(TableDailySummary[Online Store_net_sales],TableDailySummary[Fecha],"&gt;="&amp;TableWeeklySummary[[#This Row],[Desde]],TableDailySummary[Fecha],"&lt;="&amp;TableWeeklySummary[[#This Row],[Hasta]])</f>
        <v>0</v>
      </c>
      <c r="M85" s="12">
        <f ca="1">SUMIFS(TableDailySummary[Online Store_orders],TableDailySummary[Fecha],"&gt;="&amp;TableWeeklySummary[[#This Row],[Desde]],TableDailySummary[Fecha],"&lt;="&amp;TableWeeklySummary[[#This Row],[Hasta]])</f>
        <v>0</v>
      </c>
      <c r="N85" s="12">
        <f ca="1">SUMIFS(TableDailySummary[Tienda 81_net_sales],TableDailySummary[Fecha],"&gt;="&amp;TableWeeklySummary[[#This Row],[Desde]],TableDailySummary[Fecha],"&lt;="&amp;TableWeeklySummary[[#This Row],[Hasta]])</f>
        <v>0</v>
      </c>
      <c r="O85" s="12">
        <f ca="1">SUMIFS(TableDailySummary[Tienda 81_orders],TableDailySummary[Fecha],"&gt;="&amp;TableWeeklySummary[[#This Row],[Desde]],TableDailySummary[Fecha],"&lt;="&amp;TableWeeklySummary[[#This Row],[Hasta]])</f>
        <v>0</v>
      </c>
      <c r="P85" s="12">
        <f ca="1">SUMIFS(TableDailySummary[Rappi_net_sales],TableDailySummary[Fecha],"&gt;="&amp;TableWeeklySummary[[#This Row],[Desde]],TableDailySummary[Fecha],"&lt;="&amp;TableWeeklySummary[[#This Row],[Hasta]])</f>
        <v>0</v>
      </c>
      <c r="Q85" s="12">
        <f ca="1">SUMIFS(TableDailySummary[Rappi_orders],TableDailySummary[Fecha],"&gt;="&amp;TableWeeklySummary[[#This Row],[Desde]],TableDailySummary[Fecha],"&lt;="&amp;TableWeeklySummary[[#This Row],[Hasta]])</f>
        <v>0</v>
      </c>
      <c r="R8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8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85" s="12">
        <f ca="1">SUMIFS(TableDailySummary[Inversión google ads],TableDailySummary[Fecha],"&gt;="&amp;TableWeeklySummary[[#This Row],[Desde]],TableDailySummary[Fecha],"&lt;="&amp;TableWeeklySummary[[#This Row],[Hasta]])</f>
        <v>0</v>
      </c>
      <c r="U85" s="12">
        <f ca="1">SUMIFS(TableDailySummary[Ventas google ads],TableDailySummary[Fecha],"&gt;="&amp;TableWeeklySummary[[#This Row],[Desde]],TableDailySummary[Fecha],"&lt;="&amp;TableWeeklySummary[[#This Row],[Hasta]])</f>
        <v>0</v>
      </c>
      <c r="V85" s="12">
        <f ca="1">SUMIFS(TableDailySummary[Inversión meta ads],TableDailySummary[Fecha],"&gt;="&amp;TableWeeklySummary[[#This Row],[Desde]],TableDailySummary[Fecha],"&lt;="&amp;TableWeeklySummary[[#This Row],[Hasta]])</f>
        <v>0</v>
      </c>
      <c r="W85" s="12">
        <f ca="1">SUMIFS(TableDailySummary[Ventas meta ads],TableDailySummary[Fecha],"&gt;="&amp;TableWeeklySummary[[#This Row],[Desde]],TableDailySummary[Fecha],"&lt;="&amp;TableWeeklySummary[[#This Row],[Hasta]])</f>
        <v>0</v>
      </c>
      <c r="X85" s="12">
        <f ca="1">TableWeeklySummary[[#This Row],[Inversión google ads]]+TableWeeklySummary[[#This Row],[Inversión meta ads]]</f>
        <v>0</v>
      </c>
      <c r="Y85" s="12">
        <f ca="1">TableWeeklySummary[[#This Row],[Ventas google ads]]+TableWeeklySummary[[#This Row],[Ventas meta ads]]</f>
        <v>0</v>
      </c>
      <c r="Z85" s="14">
        <f ca="1">IFERROR(TableWeeklySummary[[#This Row],[Ventas publicidad]]/TableWeeklySummary[[#This Row],[Inversión publicidad]],0)</f>
        <v>0</v>
      </c>
      <c r="AA85" s="14">
        <f ca="1">IFERROR(TableWeeklySummary[[#This Row],[Ventas primer cliente]]/TableWeeklySummary[[#This Row],[Inversión publicidad]],0)</f>
        <v>0</v>
      </c>
      <c r="AB85" s="14"/>
      <c r="AC85" s="12"/>
      <c r="AI8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8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85" s="12">
        <f ca="1">SUMIFS(TableDailySummary[Utilidad bruta],TableDailySummary[Fecha],"&gt;="&amp;TableWeeklySummary[[#This Row],[Desde]],TableDailySummary[Fecha],"&lt;="&amp;TableWeeklySummary[[#This Row],[Hasta]])</f>
        <v>0</v>
      </c>
      <c r="AL85" s="18">
        <f ca="1">IFERROR(TableWeeklySummary[[#This Row],[Utilidad bruta]]/TableWeeklySummary[[#This Row],[Ventas netas con costo registrado]],0)</f>
        <v>0</v>
      </c>
    </row>
    <row r="86" spans="2:38" x14ac:dyDescent="0.2">
      <c r="B86" s="16">
        <f ca="1">_xlfn.ISOWEEKNUM(TableWeeklySummary[[#This Row],[Hasta]])</f>
        <v>19</v>
      </c>
      <c r="C86" s="6">
        <f t="shared" ca="1" si="2"/>
        <v>46514</v>
      </c>
      <c r="D86" s="6">
        <f ca="1">TableWeeklySummary[[#This Row],[Desde]]+7-1</f>
        <v>46520</v>
      </c>
      <c r="E86" s="12">
        <f ca="1">SUMIFS(TableDailySummary[Ventas netas totales],TableDailySummary[Fecha],"&gt;="&amp;TableWeeklySummary[[#This Row],[Desde]],TableDailySummary[Fecha],"&lt;="&amp;TableWeeklySummary[[#This Row],[Hasta]])</f>
        <v>0</v>
      </c>
      <c r="F86" s="12">
        <f ca="1">SUMIFS(TableDailySummary[Órdenes totales],TableDailySummary[Fecha],"&gt;="&amp;TableWeeklySummary[[#This Row],[Desde]],TableDailySummary[Fecha],"&lt;="&amp;TableWeeklySummary[[#This Row],[Hasta]])</f>
        <v>0</v>
      </c>
      <c r="G86" s="12">
        <f ca="1">IFERROR(TableWeeklySummary[[#This Row],[Ventas netas totales]]/TableWeeklySummary[[#This Row],[Órdenes totales]],0)</f>
        <v>0</v>
      </c>
      <c r="H8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86" s="12">
        <f ca="1">TableWeeklySummary[[#This Row],[Órden promedio totales]]*TableWeeklySummary[[#This Row],[CR totales]]</f>
        <v>0</v>
      </c>
      <c r="J86" s="12">
        <f ca="1">SUMIFS(TableDailySummary[Ventas primer cliente],TableDailySummary[Fecha],"&gt;="&amp;TableWeeklySummary[[#This Row],[Desde]],TableDailySummary[Fecha],"&lt;="&amp;TableWeeklySummary[[#This Row],[Hasta]])</f>
        <v>0</v>
      </c>
      <c r="K86" s="12">
        <f ca="1">SUMIFS(TableDailySummary[Órdenes primer cliente],TableDailySummary[Fecha],"&gt;="&amp;TableWeeklySummary[[#This Row],[Desde]],TableDailySummary[Fecha],"&lt;="&amp;TableWeeklySummary[[#This Row],[Hasta]])</f>
        <v>0</v>
      </c>
      <c r="L86" s="12">
        <f ca="1">SUMIFS(TableDailySummary[Online Store_net_sales],TableDailySummary[Fecha],"&gt;="&amp;TableWeeklySummary[[#This Row],[Desde]],TableDailySummary[Fecha],"&lt;="&amp;TableWeeklySummary[[#This Row],[Hasta]])</f>
        <v>0</v>
      </c>
      <c r="M86" s="12">
        <f ca="1">SUMIFS(TableDailySummary[Online Store_orders],TableDailySummary[Fecha],"&gt;="&amp;TableWeeklySummary[[#This Row],[Desde]],TableDailySummary[Fecha],"&lt;="&amp;TableWeeklySummary[[#This Row],[Hasta]])</f>
        <v>0</v>
      </c>
      <c r="N86" s="12">
        <f ca="1">SUMIFS(TableDailySummary[Tienda 81_net_sales],TableDailySummary[Fecha],"&gt;="&amp;TableWeeklySummary[[#This Row],[Desde]],TableDailySummary[Fecha],"&lt;="&amp;TableWeeklySummary[[#This Row],[Hasta]])</f>
        <v>0</v>
      </c>
      <c r="O86" s="12">
        <f ca="1">SUMIFS(TableDailySummary[Tienda 81_orders],TableDailySummary[Fecha],"&gt;="&amp;TableWeeklySummary[[#This Row],[Desde]],TableDailySummary[Fecha],"&lt;="&amp;TableWeeklySummary[[#This Row],[Hasta]])</f>
        <v>0</v>
      </c>
      <c r="P86" s="12">
        <f ca="1">SUMIFS(TableDailySummary[Rappi_net_sales],TableDailySummary[Fecha],"&gt;="&amp;TableWeeklySummary[[#This Row],[Desde]],TableDailySummary[Fecha],"&lt;="&amp;TableWeeklySummary[[#This Row],[Hasta]])</f>
        <v>0</v>
      </c>
      <c r="Q86" s="12">
        <f ca="1">SUMIFS(TableDailySummary[Rappi_orders],TableDailySummary[Fecha],"&gt;="&amp;TableWeeklySummary[[#This Row],[Desde]],TableDailySummary[Fecha],"&lt;="&amp;TableWeeklySummary[[#This Row],[Hasta]])</f>
        <v>0</v>
      </c>
      <c r="R8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8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86" s="12">
        <f ca="1">SUMIFS(TableDailySummary[Inversión google ads],TableDailySummary[Fecha],"&gt;="&amp;TableWeeklySummary[[#This Row],[Desde]],TableDailySummary[Fecha],"&lt;="&amp;TableWeeklySummary[[#This Row],[Hasta]])</f>
        <v>0</v>
      </c>
      <c r="U86" s="12">
        <f ca="1">SUMIFS(TableDailySummary[Ventas google ads],TableDailySummary[Fecha],"&gt;="&amp;TableWeeklySummary[[#This Row],[Desde]],TableDailySummary[Fecha],"&lt;="&amp;TableWeeklySummary[[#This Row],[Hasta]])</f>
        <v>0</v>
      </c>
      <c r="V86" s="12">
        <f ca="1">SUMIFS(TableDailySummary[Inversión meta ads],TableDailySummary[Fecha],"&gt;="&amp;TableWeeklySummary[[#This Row],[Desde]],TableDailySummary[Fecha],"&lt;="&amp;TableWeeklySummary[[#This Row],[Hasta]])</f>
        <v>0</v>
      </c>
      <c r="W86" s="12">
        <f ca="1">SUMIFS(TableDailySummary[Ventas meta ads],TableDailySummary[Fecha],"&gt;="&amp;TableWeeklySummary[[#This Row],[Desde]],TableDailySummary[Fecha],"&lt;="&amp;TableWeeklySummary[[#This Row],[Hasta]])</f>
        <v>0</v>
      </c>
      <c r="X86" s="12">
        <f ca="1">TableWeeklySummary[[#This Row],[Inversión google ads]]+TableWeeklySummary[[#This Row],[Inversión meta ads]]</f>
        <v>0</v>
      </c>
      <c r="Y86" s="12">
        <f ca="1">TableWeeklySummary[[#This Row],[Ventas google ads]]+TableWeeklySummary[[#This Row],[Ventas meta ads]]</f>
        <v>0</v>
      </c>
      <c r="Z86" s="14">
        <f ca="1">IFERROR(TableWeeklySummary[[#This Row],[Ventas publicidad]]/TableWeeklySummary[[#This Row],[Inversión publicidad]],0)</f>
        <v>0</v>
      </c>
      <c r="AA86" s="14">
        <f ca="1">IFERROR(TableWeeklySummary[[#This Row],[Ventas primer cliente]]/TableWeeklySummary[[#This Row],[Inversión publicidad]],0)</f>
        <v>0</v>
      </c>
      <c r="AB86" s="14"/>
      <c r="AC86" s="12"/>
      <c r="AI8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8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86" s="12">
        <f ca="1">SUMIFS(TableDailySummary[Utilidad bruta],TableDailySummary[Fecha],"&gt;="&amp;TableWeeklySummary[[#This Row],[Desde]],TableDailySummary[Fecha],"&lt;="&amp;TableWeeklySummary[[#This Row],[Hasta]])</f>
        <v>0</v>
      </c>
      <c r="AL86" s="18">
        <f ca="1">IFERROR(TableWeeklySummary[[#This Row],[Utilidad bruta]]/TableWeeklySummary[[#This Row],[Ventas netas con costo registrado]],0)</f>
        <v>0</v>
      </c>
    </row>
    <row r="87" spans="2:38" x14ac:dyDescent="0.2">
      <c r="B87" s="16">
        <f ca="1">_xlfn.ISOWEEKNUM(TableWeeklySummary[[#This Row],[Hasta]])</f>
        <v>20</v>
      </c>
      <c r="C87" s="6">
        <f t="shared" ca="1" si="2"/>
        <v>46521</v>
      </c>
      <c r="D87" s="6">
        <f ca="1">TableWeeklySummary[[#This Row],[Desde]]+7-1</f>
        <v>46527</v>
      </c>
      <c r="E87" s="12">
        <f ca="1">SUMIFS(TableDailySummary[Ventas netas totales],TableDailySummary[Fecha],"&gt;="&amp;TableWeeklySummary[[#This Row],[Desde]],TableDailySummary[Fecha],"&lt;="&amp;TableWeeklySummary[[#This Row],[Hasta]])</f>
        <v>0</v>
      </c>
      <c r="F87" s="12">
        <f ca="1">SUMIFS(TableDailySummary[Órdenes totales],TableDailySummary[Fecha],"&gt;="&amp;TableWeeklySummary[[#This Row],[Desde]],TableDailySummary[Fecha],"&lt;="&amp;TableWeeklySummary[[#This Row],[Hasta]])</f>
        <v>0</v>
      </c>
      <c r="G87" s="12">
        <f ca="1">IFERROR(TableWeeklySummary[[#This Row],[Ventas netas totales]]/TableWeeklySummary[[#This Row],[Órdenes totales]],0)</f>
        <v>0</v>
      </c>
      <c r="H8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87" s="12">
        <f ca="1">TableWeeklySummary[[#This Row],[Órden promedio totales]]*TableWeeklySummary[[#This Row],[CR totales]]</f>
        <v>0</v>
      </c>
      <c r="J87" s="12">
        <f ca="1">SUMIFS(TableDailySummary[Ventas primer cliente],TableDailySummary[Fecha],"&gt;="&amp;TableWeeklySummary[[#This Row],[Desde]],TableDailySummary[Fecha],"&lt;="&amp;TableWeeklySummary[[#This Row],[Hasta]])</f>
        <v>0</v>
      </c>
      <c r="K87" s="12">
        <f ca="1">SUMIFS(TableDailySummary[Órdenes primer cliente],TableDailySummary[Fecha],"&gt;="&amp;TableWeeklySummary[[#This Row],[Desde]],TableDailySummary[Fecha],"&lt;="&amp;TableWeeklySummary[[#This Row],[Hasta]])</f>
        <v>0</v>
      </c>
      <c r="L87" s="12">
        <f ca="1">SUMIFS(TableDailySummary[Online Store_net_sales],TableDailySummary[Fecha],"&gt;="&amp;TableWeeklySummary[[#This Row],[Desde]],TableDailySummary[Fecha],"&lt;="&amp;TableWeeklySummary[[#This Row],[Hasta]])</f>
        <v>0</v>
      </c>
      <c r="M87" s="12">
        <f ca="1">SUMIFS(TableDailySummary[Online Store_orders],TableDailySummary[Fecha],"&gt;="&amp;TableWeeklySummary[[#This Row],[Desde]],TableDailySummary[Fecha],"&lt;="&amp;TableWeeklySummary[[#This Row],[Hasta]])</f>
        <v>0</v>
      </c>
      <c r="N87" s="12">
        <f ca="1">SUMIFS(TableDailySummary[Tienda 81_net_sales],TableDailySummary[Fecha],"&gt;="&amp;TableWeeklySummary[[#This Row],[Desde]],TableDailySummary[Fecha],"&lt;="&amp;TableWeeklySummary[[#This Row],[Hasta]])</f>
        <v>0</v>
      </c>
      <c r="O87" s="12">
        <f ca="1">SUMIFS(TableDailySummary[Tienda 81_orders],TableDailySummary[Fecha],"&gt;="&amp;TableWeeklySummary[[#This Row],[Desde]],TableDailySummary[Fecha],"&lt;="&amp;TableWeeklySummary[[#This Row],[Hasta]])</f>
        <v>0</v>
      </c>
      <c r="P87" s="12">
        <f ca="1">SUMIFS(TableDailySummary[Rappi_net_sales],TableDailySummary[Fecha],"&gt;="&amp;TableWeeklySummary[[#This Row],[Desde]],TableDailySummary[Fecha],"&lt;="&amp;TableWeeklySummary[[#This Row],[Hasta]])</f>
        <v>0</v>
      </c>
      <c r="Q87" s="12">
        <f ca="1">SUMIFS(TableDailySummary[Rappi_orders],TableDailySummary[Fecha],"&gt;="&amp;TableWeeklySummary[[#This Row],[Desde]],TableDailySummary[Fecha],"&lt;="&amp;TableWeeklySummary[[#This Row],[Hasta]])</f>
        <v>0</v>
      </c>
      <c r="R8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8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87" s="12">
        <f ca="1">SUMIFS(TableDailySummary[Inversión google ads],TableDailySummary[Fecha],"&gt;="&amp;TableWeeklySummary[[#This Row],[Desde]],TableDailySummary[Fecha],"&lt;="&amp;TableWeeklySummary[[#This Row],[Hasta]])</f>
        <v>0</v>
      </c>
      <c r="U87" s="12">
        <f ca="1">SUMIFS(TableDailySummary[Ventas google ads],TableDailySummary[Fecha],"&gt;="&amp;TableWeeklySummary[[#This Row],[Desde]],TableDailySummary[Fecha],"&lt;="&amp;TableWeeklySummary[[#This Row],[Hasta]])</f>
        <v>0</v>
      </c>
      <c r="V87" s="12">
        <f ca="1">SUMIFS(TableDailySummary[Inversión meta ads],TableDailySummary[Fecha],"&gt;="&amp;TableWeeklySummary[[#This Row],[Desde]],TableDailySummary[Fecha],"&lt;="&amp;TableWeeklySummary[[#This Row],[Hasta]])</f>
        <v>0</v>
      </c>
      <c r="W87" s="12">
        <f ca="1">SUMIFS(TableDailySummary[Ventas meta ads],TableDailySummary[Fecha],"&gt;="&amp;TableWeeklySummary[[#This Row],[Desde]],TableDailySummary[Fecha],"&lt;="&amp;TableWeeklySummary[[#This Row],[Hasta]])</f>
        <v>0</v>
      </c>
      <c r="X87" s="12">
        <f ca="1">TableWeeklySummary[[#This Row],[Inversión google ads]]+TableWeeklySummary[[#This Row],[Inversión meta ads]]</f>
        <v>0</v>
      </c>
      <c r="Y87" s="12">
        <f ca="1">TableWeeklySummary[[#This Row],[Ventas google ads]]+TableWeeklySummary[[#This Row],[Ventas meta ads]]</f>
        <v>0</v>
      </c>
      <c r="Z87" s="14">
        <f ca="1">IFERROR(TableWeeklySummary[[#This Row],[Ventas publicidad]]/TableWeeklySummary[[#This Row],[Inversión publicidad]],0)</f>
        <v>0</v>
      </c>
      <c r="AA87" s="14">
        <f ca="1">IFERROR(TableWeeklySummary[[#This Row],[Ventas primer cliente]]/TableWeeklySummary[[#This Row],[Inversión publicidad]],0)</f>
        <v>0</v>
      </c>
      <c r="AB87" s="14"/>
      <c r="AC87" s="12"/>
      <c r="AI8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8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87" s="12">
        <f ca="1">SUMIFS(TableDailySummary[Utilidad bruta],TableDailySummary[Fecha],"&gt;="&amp;TableWeeklySummary[[#This Row],[Desde]],TableDailySummary[Fecha],"&lt;="&amp;TableWeeklySummary[[#This Row],[Hasta]])</f>
        <v>0</v>
      </c>
      <c r="AL87" s="18">
        <f ca="1">IFERROR(TableWeeklySummary[[#This Row],[Utilidad bruta]]/TableWeeklySummary[[#This Row],[Ventas netas con costo registrado]],0)</f>
        <v>0</v>
      </c>
    </row>
    <row r="88" spans="2:38" x14ac:dyDescent="0.2">
      <c r="B88" s="16">
        <f ca="1">_xlfn.ISOWEEKNUM(TableWeeklySummary[[#This Row],[Hasta]])</f>
        <v>21</v>
      </c>
      <c r="C88" s="6">
        <f t="shared" ca="1" si="2"/>
        <v>46528</v>
      </c>
      <c r="D88" s="6">
        <f ca="1">TableWeeklySummary[[#This Row],[Desde]]+7-1</f>
        <v>46534</v>
      </c>
      <c r="E88" s="12">
        <f ca="1">SUMIFS(TableDailySummary[Ventas netas totales],TableDailySummary[Fecha],"&gt;="&amp;TableWeeklySummary[[#This Row],[Desde]],TableDailySummary[Fecha],"&lt;="&amp;TableWeeklySummary[[#This Row],[Hasta]])</f>
        <v>0</v>
      </c>
      <c r="F88" s="12">
        <f ca="1">SUMIFS(TableDailySummary[Órdenes totales],TableDailySummary[Fecha],"&gt;="&amp;TableWeeklySummary[[#This Row],[Desde]],TableDailySummary[Fecha],"&lt;="&amp;TableWeeklySummary[[#This Row],[Hasta]])</f>
        <v>0</v>
      </c>
      <c r="G88" s="12">
        <f ca="1">IFERROR(TableWeeklySummary[[#This Row],[Ventas netas totales]]/TableWeeklySummary[[#This Row],[Órdenes totales]],0)</f>
        <v>0</v>
      </c>
      <c r="H8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88" s="12">
        <f ca="1">TableWeeklySummary[[#This Row],[Órden promedio totales]]*TableWeeklySummary[[#This Row],[CR totales]]</f>
        <v>0</v>
      </c>
      <c r="J88" s="12">
        <f ca="1">SUMIFS(TableDailySummary[Ventas primer cliente],TableDailySummary[Fecha],"&gt;="&amp;TableWeeklySummary[[#This Row],[Desde]],TableDailySummary[Fecha],"&lt;="&amp;TableWeeklySummary[[#This Row],[Hasta]])</f>
        <v>0</v>
      </c>
      <c r="K88" s="12">
        <f ca="1">SUMIFS(TableDailySummary[Órdenes primer cliente],TableDailySummary[Fecha],"&gt;="&amp;TableWeeklySummary[[#This Row],[Desde]],TableDailySummary[Fecha],"&lt;="&amp;TableWeeklySummary[[#This Row],[Hasta]])</f>
        <v>0</v>
      </c>
      <c r="L88" s="12">
        <f ca="1">SUMIFS(TableDailySummary[Online Store_net_sales],TableDailySummary[Fecha],"&gt;="&amp;TableWeeklySummary[[#This Row],[Desde]],TableDailySummary[Fecha],"&lt;="&amp;TableWeeklySummary[[#This Row],[Hasta]])</f>
        <v>0</v>
      </c>
      <c r="M88" s="12">
        <f ca="1">SUMIFS(TableDailySummary[Online Store_orders],TableDailySummary[Fecha],"&gt;="&amp;TableWeeklySummary[[#This Row],[Desde]],TableDailySummary[Fecha],"&lt;="&amp;TableWeeklySummary[[#This Row],[Hasta]])</f>
        <v>0</v>
      </c>
      <c r="N88" s="12">
        <f ca="1">SUMIFS(TableDailySummary[Tienda 81_net_sales],TableDailySummary[Fecha],"&gt;="&amp;TableWeeklySummary[[#This Row],[Desde]],TableDailySummary[Fecha],"&lt;="&amp;TableWeeklySummary[[#This Row],[Hasta]])</f>
        <v>0</v>
      </c>
      <c r="O88" s="12">
        <f ca="1">SUMIFS(TableDailySummary[Tienda 81_orders],TableDailySummary[Fecha],"&gt;="&amp;TableWeeklySummary[[#This Row],[Desde]],TableDailySummary[Fecha],"&lt;="&amp;TableWeeklySummary[[#This Row],[Hasta]])</f>
        <v>0</v>
      </c>
      <c r="P88" s="12">
        <f ca="1">SUMIFS(TableDailySummary[Rappi_net_sales],TableDailySummary[Fecha],"&gt;="&amp;TableWeeklySummary[[#This Row],[Desde]],TableDailySummary[Fecha],"&lt;="&amp;TableWeeklySummary[[#This Row],[Hasta]])</f>
        <v>0</v>
      </c>
      <c r="Q88" s="12">
        <f ca="1">SUMIFS(TableDailySummary[Rappi_orders],TableDailySummary[Fecha],"&gt;="&amp;TableWeeklySummary[[#This Row],[Desde]],TableDailySummary[Fecha],"&lt;="&amp;TableWeeklySummary[[#This Row],[Hasta]])</f>
        <v>0</v>
      </c>
      <c r="R8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8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88" s="12">
        <f ca="1">SUMIFS(TableDailySummary[Inversión google ads],TableDailySummary[Fecha],"&gt;="&amp;TableWeeklySummary[[#This Row],[Desde]],TableDailySummary[Fecha],"&lt;="&amp;TableWeeklySummary[[#This Row],[Hasta]])</f>
        <v>0</v>
      </c>
      <c r="U88" s="12">
        <f ca="1">SUMIFS(TableDailySummary[Ventas google ads],TableDailySummary[Fecha],"&gt;="&amp;TableWeeklySummary[[#This Row],[Desde]],TableDailySummary[Fecha],"&lt;="&amp;TableWeeklySummary[[#This Row],[Hasta]])</f>
        <v>0</v>
      </c>
      <c r="V88" s="12">
        <f ca="1">SUMIFS(TableDailySummary[Inversión meta ads],TableDailySummary[Fecha],"&gt;="&amp;TableWeeklySummary[[#This Row],[Desde]],TableDailySummary[Fecha],"&lt;="&amp;TableWeeklySummary[[#This Row],[Hasta]])</f>
        <v>0</v>
      </c>
      <c r="W88" s="12">
        <f ca="1">SUMIFS(TableDailySummary[Ventas meta ads],TableDailySummary[Fecha],"&gt;="&amp;TableWeeklySummary[[#This Row],[Desde]],TableDailySummary[Fecha],"&lt;="&amp;TableWeeklySummary[[#This Row],[Hasta]])</f>
        <v>0</v>
      </c>
      <c r="X88" s="12">
        <f ca="1">TableWeeklySummary[[#This Row],[Inversión google ads]]+TableWeeklySummary[[#This Row],[Inversión meta ads]]</f>
        <v>0</v>
      </c>
      <c r="Y88" s="12">
        <f ca="1">TableWeeklySummary[[#This Row],[Ventas google ads]]+TableWeeklySummary[[#This Row],[Ventas meta ads]]</f>
        <v>0</v>
      </c>
      <c r="Z88" s="14">
        <f ca="1">IFERROR(TableWeeklySummary[[#This Row],[Ventas publicidad]]/TableWeeklySummary[[#This Row],[Inversión publicidad]],0)</f>
        <v>0</v>
      </c>
      <c r="AA88" s="14">
        <f ca="1">IFERROR(TableWeeklySummary[[#This Row],[Ventas primer cliente]]/TableWeeklySummary[[#This Row],[Inversión publicidad]],0)</f>
        <v>0</v>
      </c>
      <c r="AB88" s="14"/>
      <c r="AC88" s="12"/>
      <c r="AI8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8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88" s="12">
        <f ca="1">SUMIFS(TableDailySummary[Utilidad bruta],TableDailySummary[Fecha],"&gt;="&amp;TableWeeklySummary[[#This Row],[Desde]],TableDailySummary[Fecha],"&lt;="&amp;TableWeeklySummary[[#This Row],[Hasta]])</f>
        <v>0</v>
      </c>
      <c r="AL88" s="18">
        <f ca="1">IFERROR(TableWeeklySummary[[#This Row],[Utilidad bruta]]/TableWeeklySummary[[#This Row],[Ventas netas con costo registrado]],0)</f>
        <v>0</v>
      </c>
    </row>
    <row r="89" spans="2:38" x14ac:dyDescent="0.2">
      <c r="B89" s="16">
        <f ca="1">_xlfn.ISOWEEKNUM(TableWeeklySummary[[#This Row],[Hasta]])</f>
        <v>22</v>
      </c>
      <c r="C89" s="6">
        <f t="shared" ca="1" si="2"/>
        <v>46535</v>
      </c>
      <c r="D89" s="6">
        <f ca="1">TableWeeklySummary[[#This Row],[Desde]]+7-1</f>
        <v>46541</v>
      </c>
      <c r="E89" s="12">
        <f ca="1">SUMIFS(TableDailySummary[Ventas netas totales],TableDailySummary[Fecha],"&gt;="&amp;TableWeeklySummary[[#This Row],[Desde]],TableDailySummary[Fecha],"&lt;="&amp;TableWeeklySummary[[#This Row],[Hasta]])</f>
        <v>0</v>
      </c>
      <c r="F89" s="12">
        <f ca="1">SUMIFS(TableDailySummary[Órdenes totales],TableDailySummary[Fecha],"&gt;="&amp;TableWeeklySummary[[#This Row],[Desde]],TableDailySummary[Fecha],"&lt;="&amp;TableWeeklySummary[[#This Row],[Hasta]])</f>
        <v>0</v>
      </c>
      <c r="G89" s="12">
        <f ca="1">IFERROR(TableWeeklySummary[[#This Row],[Ventas netas totales]]/TableWeeklySummary[[#This Row],[Órdenes totales]],0)</f>
        <v>0</v>
      </c>
      <c r="H8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89" s="12">
        <f ca="1">TableWeeklySummary[[#This Row],[Órden promedio totales]]*TableWeeklySummary[[#This Row],[CR totales]]</f>
        <v>0</v>
      </c>
      <c r="J89" s="12">
        <f ca="1">SUMIFS(TableDailySummary[Ventas primer cliente],TableDailySummary[Fecha],"&gt;="&amp;TableWeeklySummary[[#This Row],[Desde]],TableDailySummary[Fecha],"&lt;="&amp;TableWeeklySummary[[#This Row],[Hasta]])</f>
        <v>0</v>
      </c>
      <c r="K89" s="12">
        <f ca="1">SUMIFS(TableDailySummary[Órdenes primer cliente],TableDailySummary[Fecha],"&gt;="&amp;TableWeeklySummary[[#This Row],[Desde]],TableDailySummary[Fecha],"&lt;="&amp;TableWeeklySummary[[#This Row],[Hasta]])</f>
        <v>0</v>
      </c>
      <c r="L89" s="12">
        <f ca="1">SUMIFS(TableDailySummary[Online Store_net_sales],TableDailySummary[Fecha],"&gt;="&amp;TableWeeklySummary[[#This Row],[Desde]],TableDailySummary[Fecha],"&lt;="&amp;TableWeeklySummary[[#This Row],[Hasta]])</f>
        <v>0</v>
      </c>
      <c r="M89" s="12">
        <f ca="1">SUMIFS(TableDailySummary[Online Store_orders],TableDailySummary[Fecha],"&gt;="&amp;TableWeeklySummary[[#This Row],[Desde]],TableDailySummary[Fecha],"&lt;="&amp;TableWeeklySummary[[#This Row],[Hasta]])</f>
        <v>0</v>
      </c>
      <c r="N89" s="12">
        <f ca="1">SUMIFS(TableDailySummary[Tienda 81_net_sales],TableDailySummary[Fecha],"&gt;="&amp;TableWeeklySummary[[#This Row],[Desde]],TableDailySummary[Fecha],"&lt;="&amp;TableWeeklySummary[[#This Row],[Hasta]])</f>
        <v>0</v>
      </c>
      <c r="O89" s="12">
        <f ca="1">SUMIFS(TableDailySummary[Tienda 81_orders],TableDailySummary[Fecha],"&gt;="&amp;TableWeeklySummary[[#This Row],[Desde]],TableDailySummary[Fecha],"&lt;="&amp;TableWeeklySummary[[#This Row],[Hasta]])</f>
        <v>0</v>
      </c>
      <c r="P89" s="12">
        <f ca="1">SUMIFS(TableDailySummary[Rappi_net_sales],TableDailySummary[Fecha],"&gt;="&amp;TableWeeklySummary[[#This Row],[Desde]],TableDailySummary[Fecha],"&lt;="&amp;TableWeeklySummary[[#This Row],[Hasta]])</f>
        <v>0</v>
      </c>
      <c r="Q89" s="12">
        <f ca="1">SUMIFS(TableDailySummary[Rappi_orders],TableDailySummary[Fecha],"&gt;="&amp;TableWeeklySummary[[#This Row],[Desde]],TableDailySummary[Fecha],"&lt;="&amp;TableWeeklySummary[[#This Row],[Hasta]])</f>
        <v>0</v>
      </c>
      <c r="R8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8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89" s="12">
        <f ca="1">SUMIFS(TableDailySummary[Inversión google ads],TableDailySummary[Fecha],"&gt;="&amp;TableWeeklySummary[[#This Row],[Desde]],TableDailySummary[Fecha],"&lt;="&amp;TableWeeklySummary[[#This Row],[Hasta]])</f>
        <v>0</v>
      </c>
      <c r="U89" s="12">
        <f ca="1">SUMIFS(TableDailySummary[Ventas google ads],TableDailySummary[Fecha],"&gt;="&amp;TableWeeklySummary[[#This Row],[Desde]],TableDailySummary[Fecha],"&lt;="&amp;TableWeeklySummary[[#This Row],[Hasta]])</f>
        <v>0</v>
      </c>
      <c r="V89" s="12">
        <f ca="1">SUMIFS(TableDailySummary[Inversión meta ads],TableDailySummary[Fecha],"&gt;="&amp;TableWeeklySummary[[#This Row],[Desde]],TableDailySummary[Fecha],"&lt;="&amp;TableWeeklySummary[[#This Row],[Hasta]])</f>
        <v>0</v>
      </c>
      <c r="W89" s="12">
        <f ca="1">SUMIFS(TableDailySummary[Ventas meta ads],TableDailySummary[Fecha],"&gt;="&amp;TableWeeklySummary[[#This Row],[Desde]],TableDailySummary[Fecha],"&lt;="&amp;TableWeeklySummary[[#This Row],[Hasta]])</f>
        <v>0</v>
      </c>
      <c r="X89" s="12">
        <f ca="1">TableWeeklySummary[[#This Row],[Inversión google ads]]+TableWeeklySummary[[#This Row],[Inversión meta ads]]</f>
        <v>0</v>
      </c>
      <c r="Y89" s="12">
        <f ca="1">TableWeeklySummary[[#This Row],[Ventas google ads]]+TableWeeklySummary[[#This Row],[Ventas meta ads]]</f>
        <v>0</v>
      </c>
      <c r="Z89" s="14">
        <f ca="1">IFERROR(TableWeeklySummary[[#This Row],[Ventas publicidad]]/TableWeeklySummary[[#This Row],[Inversión publicidad]],0)</f>
        <v>0</v>
      </c>
      <c r="AA89" s="14">
        <f ca="1">IFERROR(TableWeeklySummary[[#This Row],[Ventas primer cliente]]/TableWeeklySummary[[#This Row],[Inversión publicidad]],0)</f>
        <v>0</v>
      </c>
      <c r="AB89" s="14"/>
      <c r="AC89" s="12"/>
      <c r="AI8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8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89" s="12">
        <f ca="1">SUMIFS(TableDailySummary[Utilidad bruta],TableDailySummary[Fecha],"&gt;="&amp;TableWeeklySummary[[#This Row],[Desde]],TableDailySummary[Fecha],"&lt;="&amp;TableWeeklySummary[[#This Row],[Hasta]])</f>
        <v>0</v>
      </c>
      <c r="AL89" s="18">
        <f ca="1">IFERROR(TableWeeklySummary[[#This Row],[Utilidad bruta]]/TableWeeklySummary[[#This Row],[Ventas netas con costo registrado]],0)</f>
        <v>0</v>
      </c>
    </row>
    <row r="90" spans="2:38" x14ac:dyDescent="0.2">
      <c r="B90" s="16">
        <f ca="1">_xlfn.ISOWEEKNUM(TableWeeklySummary[[#This Row],[Hasta]])</f>
        <v>23</v>
      </c>
      <c r="C90" s="6">
        <f t="shared" ca="1" si="2"/>
        <v>46542</v>
      </c>
      <c r="D90" s="6">
        <f ca="1">TableWeeklySummary[[#This Row],[Desde]]+7-1</f>
        <v>46548</v>
      </c>
      <c r="E90" s="12">
        <f ca="1">SUMIFS(TableDailySummary[Ventas netas totales],TableDailySummary[Fecha],"&gt;="&amp;TableWeeklySummary[[#This Row],[Desde]],TableDailySummary[Fecha],"&lt;="&amp;TableWeeklySummary[[#This Row],[Hasta]])</f>
        <v>0</v>
      </c>
      <c r="F90" s="12">
        <f ca="1">SUMIFS(TableDailySummary[Órdenes totales],TableDailySummary[Fecha],"&gt;="&amp;TableWeeklySummary[[#This Row],[Desde]],TableDailySummary[Fecha],"&lt;="&amp;TableWeeklySummary[[#This Row],[Hasta]])</f>
        <v>0</v>
      </c>
      <c r="G90" s="12">
        <f ca="1">IFERROR(TableWeeklySummary[[#This Row],[Ventas netas totales]]/TableWeeklySummary[[#This Row],[Órdenes totales]],0)</f>
        <v>0</v>
      </c>
      <c r="H9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90" s="12">
        <f ca="1">TableWeeklySummary[[#This Row],[Órden promedio totales]]*TableWeeklySummary[[#This Row],[CR totales]]</f>
        <v>0</v>
      </c>
      <c r="J90" s="12">
        <f ca="1">SUMIFS(TableDailySummary[Ventas primer cliente],TableDailySummary[Fecha],"&gt;="&amp;TableWeeklySummary[[#This Row],[Desde]],TableDailySummary[Fecha],"&lt;="&amp;TableWeeklySummary[[#This Row],[Hasta]])</f>
        <v>0</v>
      </c>
      <c r="K90" s="12">
        <f ca="1">SUMIFS(TableDailySummary[Órdenes primer cliente],TableDailySummary[Fecha],"&gt;="&amp;TableWeeklySummary[[#This Row],[Desde]],TableDailySummary[Fecha],"&lt;="&amp;TableWeeklySummary[[#This Row],[Hasta]])</f>
        <v>0</v>
      </c>
      <c r="L90" s="12">
        <f ca="1">SUMIFS(TableDailySummary[Online Store_net_sales],TableDailySummary[Fecha],"&gt;="&amp;TableWeeklySummary[[#This Row],[Desde]],TableDailySummary[Fecha],"&lt;="&amp;TableWeeklySummary[[#This Row],[Hasta]])</f>
        <v>0</v>
      </c>
      <c r="M90" s="12">
        <f ca="1">SUMIFS(TableDailySummary[Online Store_orders],TableDailySummary[Fecha],"&gt;="&amp;TableWeeklySummary[[#This Row],[Desde]],TableDailySummary[Fecha],"&lt;="&amp;TableWeeklySummary[[#This Row],[Hasta]])</f>
        <v>0</v>
      </c>
      <c r="N90" s="12">
        <f ca="1">SUMIFS(TableDailySummary[Tienda 81_net_sales],TableDailySummary[Fecha],"&gt;="&amp;TableWeeklySummary[[#This Row],[Desde]],TableDailySummary[Fecha],"&lt;="&amp;TableWeeklySummary[[#This Row],[Hasta]])</f>
        <v>0</v>
      </c>
      <c r="O90" s="12">
        <f ca="1">SUMIFS(TableDailySummary[Tienda 81_orders],TableDailySummary[Fecha],"&gt;="&amp;TableWeeklySummary[[#This Row],[Desde]],TableDailySummary[Fecha],"&lt;="&amp;TableWeeklySummary[[#This Row],[Hasta]])</f>
        <v>0</v>
      </c>
      <c r="P90" s="12">
        <f ca="1">SUMIFS(TableDailySummary[Rappi_net_sales],TableDailySummary[Fecha],"&gt;="&amp;TableWeeklySummary[[#This Row],[Desde]],TableDailySummary[Fecha],"&lt;="&amp;TableWeeklySummary[[#This Row],[Hasta]])</f>
        <v>0</v>
      </c>
      <c r="Q90" s="12">
        <f ca="1">SUMIFS(TableDailySummary[Rappi_orders],TableDailySummary[Fecha],"&gt;="&amp;TableWeeklySummary[[#This Row],[Desde]],TableDailySummary[Fecha],"&lt;="&amp;TableWeeklySummary[[#This Row],[Hasta]])</f>
        <v>0</v>
      </c>
      <c r="R9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9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90" s="12">
        <f ca="1">SUMIFS(TableDailySummary[Inversión google ads],TableDailySummary[Fecha],"&gt;="&amp;TableWeeklySummary[[#This Row],[Desde]],TableDailySummary[Fecha],"&lt;="&amp;TableWeeklySummary[[#This Row],[Hasta]])</f>
        <v>0</v>
      </c>
      <c r="U90" s="12">
        <f ca="1">SUMIFS(TableDailySummary[Ventas google ads],TableDailySummary[Fecha],"&gt;="&amp;TableWeeklySummary[[#This Row],[Desde]],TableDailySummary[Fecha],"&lt;="&amp;TableWeeklySummary[[#This Row],[Hasta]])</f>
        <v>0</v>
      </c>
      <c r="V90" s="12">
        <f ca="1">SUMIFS(TableDailySummary[Inversión meta ads],TableDailySummary[Fecha],"&gt;="&amp;TableWeeklySummary[[#This Row],[Desde]],TableDailySummary[Fecha],"&lt;="&amp;TableWeeklySummary[[#This Row],[Hasta]])</f>
        <v>0</v>
      </c>
      <c r="W90" s="12">
        <f ca="1">SUMIFS(TableDailySummary[Ventas meta ads],TableDailySummary[Fecha],"&gt;="&amp;TableWeeklySummary[[#This Row],[Desde]],TableDailySummary[Fecha],"&lt;="&amp;TableWeeklySummary[[#This Row],[Hasta]])</f>
        <v>0</v>
      </c>
      <c r="X90" s="12">
        <f ca="1">TableWeeklySummary[[#This Row],[Inversión google ads]]+TableWeeklySummary[[#This Row],[Inversión meta ads]]</f>
        <v>0</v>
      </c>
      <c r="Y90" s="12">
        <f ca="1">TableWeeklySummary[[#This Row],[Ventas google ads]]+TableWeeklySummary[[#This Row],[Ventas meta ads]]</f>
        <v>0</v>
      </c>
      <c r="Z90" s="14">
        <f ca="1">IFERROR(TableWeeklySummary[[#This Row],[Ventas publicidad]]/TableWeeklySummary[[#This Row],[Inversión publicidad]],0)</f>
        <v>0</v>
      </c>
      <c r="AA90" s="14">
        <f ca="1">IFERROR(TableWeeklySummary[[#This Row],[Ventas primer cliente]]/TableWeeklySummary[[#This Row],[Inversión publicidad]],0)</f>
        <v>0</v>
      </c>
      <c r="AB90" s="14"/>
      <c r="AC90" s="12"/>
      <c r="AI9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9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90" s="12">
        <f ca="1">SUMIFS(TableDailySummary[Utilidad bruta],TableDailySummary[Fecha],"&gt;="&amp;TableWeeklySummary[[#This Row],[Desde]],TableDailySummary[Fecha],"&lt;="&amp;TableWeeklySummary[[#This Row],[Hasta]])</f>
        <v>0</v>
      </c>
      <c r="AL90" s="18">
        <f ca="1">IFERROR(TableWeeklySummary[[#This Row],[Utilidad bruta]]/TableWeeklySummary[[#This Row],[Ventas netas con costo registrado]],0)</f>
        <v>0</v>
      </c>
    </row>
    <row r="91" spans="2:38" x14ac:dyDescent="0.2">
      <c r="B91" s="16">
        <f ca="1">_xlfn.ISOWEEKNUM(TableWeeklySummary[[#This Row],[Hasta]])</f>
        <v>24</v>
      </c>
      <c r="C91" s="6">
        <f t="shared" ca="1" si="2"/>
        <v>46549</v>
      </c>
      <c r="D91" s="6">
        <f ca="1">TableWeeklySummary[[#This Row],[Desde]]+7-1</f>
        <v>46555</v>
      </c>
      <c r="E91" s="12">
        <f ca="1">SUMIFS(TableDailySummary[Ventas netas totales],TableDailySummary[Fecha],"&gt;="&amp;TableWeeklySummary[[#This Row],[Desde]],TableDailySummary[Fecha],"&lt;="&amp;TableWeeklySummary[[#This Row],[Hasta]])</f>
        <v>0</v>
      </c>
      <c r="F91" s="12">
        <f ca="1">SUMIFS(TableDailySummary[Órdenes totales],TableDailySummary[Fecha],"&gt;="&amp;TableWeeklySummary[[#This Row],[Desde]],TableDailySummary[Fecha],"&lt;="&amp;TableWeeklySummary[[#This Row],[Hasta]])</f>
        <v>0</v>
      </c>
      <c r="G91" s="12">
        <f ca="1">IFERROR(TableWeeklySummary[[#This Row],[Ventas netas totales]]/TableWeeklySummary[[#This Row],[Órdenes totales]],0)</f>
        <v>0</v>
      </c>
      <c r="H9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91" s="12">
        <f ca="1">TableWeeklySummary[[#This Row],[Órden promedio totales]]*TableWeeklySummary[[#This Row],[CR totales]]</f>
        <v>0</v>
      </c>
      <c r="J91" s="12">
        <f ca="1">SUMIFS(TableDailySummary[Ventas primer cliente],TableDailySummary[Fecha],"&gt;="&amp;TableWeeklySummary[[#This Row],[Desde]],TableDailySummary[Fecha],"&lt;="&amp;TableWeeklySummary[[#This Row],[Hasta]])</f>
        <v>0</v>
      </c>
      <c r="K91" s="12">
        <f ca="1">SUMIFS(TableDailySummary[Órdenes primer cliente],TableDailySummary[Fecha],"&gt;="&amp;TableWeeklySummary[[#This Row],[Desde]],TableDailySummary[Fecha],"&lt;="&amp;TableWeeklySummary[[#This Row],[Hasta]])</f>
        <v>0</v>
      </c>
      <c r="L91" s="12">
        <f ca="1">SUMIFS(TableDailySummary[Online Store_net_sales],TableDailySummary[Fecha],"&gt;="&amp;TableWeeklySummary[[#This Row],[Desde]],TableDailySummary[Fecha],"&lt;="&amp;TableWeeklySummary[[#This Row],[Hasta]])</f>
        <v>0</v>
      </c>
      <c r="M91" s="12">
        <f ca="1">SUMIFS(TableDailySummary[Online Store_orders],TableDailySummary[Fecha],"&gt;="&amp;TableWeeklySummary[[#This Row],[Desde]],TableDailySummary[Fecha],"&lt;="&amp;TableWeeklySummary[[#This Row],[Hasta]])</f>
        <v>0</v>
      </c>
      <c r="N91" s="12">
        <f ca="1">SUMIFS(TableDailySummary[Tienda 81_net_sales],TableDailySummary[Fecha],"&gt;="&amp;TableWeeklySummary[[#This Row],[Desde]],TableDailySummary[Fecha],"&lt;="&amp;TableWeeklySummary[[#This Row],[Hasta]])</f>
        <v>0</v>
      </c>
      <c r="O91" s="12">
        <f ca="1">SUMIFS(TableDailySummary[Tienda 81_orders],TableDailySummary[Fecha],"&gt;="&amp;TableWeeklySummary[[#This Row],[Desde]],TableDailySummary[Fecha],"&lt;="&amp;TableWeeklySummary[[#This Row],[Hasta]])</f>
        <v>0</v>
      </c>
      <c r="P91" s="12">
        <f ca="1">SUMIFS(TableDailySummary[Rappi_net_sales],TableDailySummary[Fecha],"&gt;="&amp;TableWeeklySummary[[#This Row],[Desde]],TableDailySummary[Fecha],"&lt;="&amp;TableWeeklySummary[[#This Row],[Hasta]])</f>
        <v>0</v>
      </c>
      <c r="Q91" s="12">
        <f ca="1">SUMIFS(TableDailySummary[Rappi_orders],TableDailySummary[Fecha],"&gt;="&amp;TableWeeklySummary[[#This Row],[Desde]],TableDailySummary[Fecha],"&lt;="&amp;TableWeeklySummary[[#This Row],[Hasta]])</f>
        <v>0</v>
      </c>
      <c r="R9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9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91" s="12">
        <f ca="1">SUMIFS(TableDailySummary[Inversión google ads],TableDailySummary[Fecha],"&gt;="&amp;TableWeeklySummary[[#This Row],[Desde]],TableDailySummary[Fecha],"&lt;="&amp;TableWeeklySummary[[#This Row],[Hasta]])</f>
        <v>0</v>
      </c>
      <c r="U91" s="12">
        <f ca="1">SUMIFS(TableDailySummary[Ventas google ads],TableDailySummary[Fecha],"&gt;="&amp;TableWeeklySummary[[#This Row],[Desde]],TableDailySummary[Fecha],"&lt;="&amp;TableWeeklySummary[[#This Row],[Hasta]])</f>
        <v>0</v>
      </c>
      <c r="V91" s="12">
        <f ca="1">SUMIFS(TableDailySummary[Inversión meta ads],TableDailySummary[Fecha],"&gt;="&amp;TableWeeklySummary[[#This Row],[Desde]],TableDailySummary[Fecha],"&lt;="&amp;TableWeeklySummary[[#This Row],[Hasta]])</f>
        <v>0</v>
      </c>
      <c r="W91" s="12">
        <f ca="1">SUMIFS(TableDailySummary[Ventas meta ads],TableDailySummary[Fecha],"&gt;="&amp;TableWeeklySummary[[#This Row],[Desde]],TableDailySummary[Fecha],"&lt;="&amp;TableWeeklySummary[[#This Row],[Hasta]])</f>
        <v>0</v>
      </c>
      <c r="X91" s="12">
        <f ca="1">TableWeeklySummary[[#This Row],[Inversión google ads]]+TableWeeklySummary[[#This Row],[Inversión meta ads]]</f>
        <v>0</v>
      </c>
      <c r="Y91" s="12">
        <f ca="1">TableWeeklySummary[[#This Row],[Ventas google ads]]+TableWeeklySummary[[#This Row],[Ventas meta ads]]</f>
        <v>0</v>
      </c>
      <c r="Z91" s="14">
        <f ca="1">IFERROR(TableWeeklySummary[[#This Row],[Ventas publicidad]]/TableWeeklySummary[[#This Row],[Inversión publicidad]],0)</f>
        <v>0</v>
      </c>
      <c r="AA91" s="14">
        <f ca="1">IFERROR(TableWeeklySummary[[#This Row],[Ventas primer cliente]]/TableWeeklySummary[[#This Row],[Inversión publicidad]],0)</f>
        <v>0</v>
      </c>
      <c r="AB91" s="14"/>
      <c r="AC91" s="12"/>
      <c r="AI9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9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91" s="12">
        <f ca="1">SUMIFS(TableDailySummary[Utilidad bruta],TableDailySummary[Fecha],"&gt;="&amp;TableWeeklySummary[[#This Row],[Desde]],TableDailySummary[Fecha],"&lt;="&amp;TableWeeklySummary[[#This Row],[Hasta]])</f>
        <v>0</v>
      </c>
      <c r="AL91" s="18">
        <f ca="1">IFERROR(TableWeeklySummary[[#This Row],[Utilidad bruta]]/TableWeeklySummary[[#This Row],[Ventas netas con costo registrado]],0)</f>
        <v>0</v>
      </c>
    </row>
    <row r="92" spans="2:38" x14ac:dyDescent="0.2">
      <c r="B92" s="16">
        <f ca="1">_xlfn.ISOWEEKNUM(TableWeeklySummary[[#This Row],[Hasta]])</f>
        <v>25</v>
      </c>
      <c r="C92" s="6">
        <f t="shared" ca="1" si="2"/>
        <v>46556</v>
      </c>
      <c r="D92" s="6">
        <f ca="1">TableWeeklySummary[[#This Row],[Desde]]+7-1</f>
        <v>46562</v>
      </c>
      <c r="E92" s="12">
        <f ca="1">SUMIFS(TableDailySummary[Ventas netas totales],TableDailySummary[Fecha],"&gt;="&amp;TableWeeklySummary[[#This Row],[Desde]],TableDailySummary[Fecha],"&lt;="&amp;TableWeeklySummary[[#This Row],[Hasta]])</f>
        <v>0</v>
      </c>
      <c r="F92" s="12">
        <f ca="1">SUMIFS(TableDailySummary[Órdenes totales],TableDailySummary[Fecha],"&gt;="&amp;TableWeeklySummary[[#This Row],[Desde]],TableDailySummary[Fecha],"&lt;="&amp;TableWeeklySummary[[#This Row],[Hasta]])</f>
        <v>0</v>
      </c>
      <c r="G92" s="12">
        <f ca="1">IFERROR(TableWeeklySummary[[#This Row],[Ventas netas totales]]/TableWeeklySummary[[#This Row],[Órdenes totales]],0)</f>
        <v>0</v>
      </c>
      <c r="H9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92" s="12">
        <f ca="1">TableWeeklySummary[[#This Row],[Órden promedio totales]]*TableWeeklySummary[[#This Row],[CR totales]]</f>
        <v>0</v>
      </c>
      <c r="J92" s="12">
        <f ca="1">SUMIFS(TableDailySummary[Ventas primer cliente],TableDailySummary[Fecha],"&gt;="&amp;TableWeeklySummary[[#This Row],[Desde]],TableDailySummary[Fecha],"&lt;="&amp;TableWeeklySummary[[#This Row],[Hasta]])</f>
        <v>0</v>
      </c>
      <c r="K92" s="12">
        <f ca="1">SUMIFS(TableDailySummary[Órdenes primer cliente],TableDailySummary[Fecha],"&gt;="&amp;TableWeeklySummary[[#This Row],[Desde]],TableDailySummary[Fecha],"&lt;="&amp;TableWeeklySummary[[#This Row],[Hasta]])</f>
        <v>0</v>
      </c>
      <c r="L92" s="12">
        <f ca="1">SUMIFS(TableDailySummary[Online Store_net_sales],TableDailySummary[Fecha],"&gt;="&amp;TableWeeklySummary[[#This Row],[Desde]],TableDailySummary[Fecha],"&lt;="&amp;TableWeeklySummary[[#This Row],[Hasta]])</f>
        <v>0</v>
      </c>
      <c r="M92" s="12">
        <f ca="1">SUMIFS(TableDailySummary[Online Store_orders],TableDailySummary[Fecha],"&gt;="&amp;TableWeeklySummary[[#This Row],[Desde]],TableDailySummary[Fecha],"&lt;="&amp;TableWeeklySummary[[#This Row],[Hasta]])</f>
        <v>0</v>
      </c>
      <c r="N92" s="12">
        <f ca="1">SUMIFS(TableDailySummary[Tienda 81_net_sales],TableDailySummary[Fecha],"&gt;="&amp;TableWeeklySummary[[#This Row],[Desde]],TableDailySummary[Fecha],"&lt;="&amp;TableWeeklySummary[[#This Row],[Hasta]])</f>
        <v>0</v>
      </c>
      <c r="O92" s="12">
        <f ca="1">SUMIFS(TableDailySummary[Tienda 81_orders],TableDailySummary[Fecha],"&gt;="&amp;TableWeeklySummary[[#This Row],[Desde]],TableDailySummary[Fecha],"&lt;="&amp;TableWeeklySummary[[#This Row],[Hasta]])</f>
        <v>0</v>
      </c>
      <c r="P92" s="12">
        <f ca="1">SUMIFS(TableDailySummary[Rappi_net_sales],TableDailySummary[Fecha],"&gt;="&amp;TableWeeklySummary[[#This Row],[Desde]],TableDailySummary[Fecha],"&lt;="&amp;TableWeeklySummary[[#This Row],[Hasta]])</f>
        <v>0</v>
      </c>
      <c r="Q92" s="12">
        <f ca="1">SUMIFS(TableDailySummary[Rappi_orders],TableDailySummary[Fecha],"&gt;="&amp;TableWeeklySummary[[#This Row],[Desde]],TableDailySummary[Fecha],"&lt;="&amp;TableWeeklySummary[[#This Row],[Hasta]])</f>
        <v>0</v>
      </c>
      <c r="R9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9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92" s="12">
        <f ca="1">SUMIFS(TableDailySummary[Inversión google ads],TableDailySummary[Fecha],"&gt;="&amp;TableWeeklySummary[[#This Row],[Desde]],TableDailySummary[Fecha],"&lt;="&amp;TableWeeklySummary[[#This Row],[Hasta]])</f>
        <v>0</v>
      </c>
      <c r="U92" s="12">
        <f ca="1">SUMIFS(TableDailySummary[Ventas google ads],TableDailySummary[Fecha],"&gt;="&amp;TableWeeklySummary[[#This Row],[Desde]],TableDailySummary[Fecha],"&lt;="&amp;TableWeeklySummary[[#This Row],[Hasta]])</f>
        <v>0</v>
      </c>
      <c r="V92" s="12">
        <f ca="1">SUMIFS(TableDailySummary[Inversión meta ads],TableDailySummary[Fecha],"&gt;="&amp;TableWeeklySummary[[#This Row],[Desde]],TableDailySummary[Fecha],"&lt;="&amp;TableWeeklySummary[[#This Row],[Hasta]])</f>
        <v>0</v>
      </c>
      <c r="W92" s="12">
        <f ca="1">SUMIFS(TableDailySummary[Ventas meta ads],TableDailySummary[Fecha],"&gt;="&amp;TableWeeklySummary[[#This Row],[Desde]],TableDailySummary[Fecha],"&lt;="&amp;TableWeeklySummary[[#This Row],[Hasta]])</f>
        <v>0</v>
      </c>
      <c r="X92" s="12">
        <f ca="1">TableWeeklySummary[[#This Row],[Inversión google ads]]+TableWeeklySummary[[#This Row],[Inversión meta ads]]</f>
        <v>0</v>
      </c>
      <c r="Y92" s="12">
        <f ca="1">TableWeeklySummary[[#This Row],[Ventas google ads]]+TableWeeklySummary[[#This Row],[Ventas meta ads]]</f>
        <v>0</v>
      </c>
      <c r="Z92" s="14">
        <f ca="1">IFERROR(TableWeeklySummary[[#This Row],[Ventas publicidad]]/TableWeeklySummary[[#This Row],[Inversión publicidad]],0)</f>
        <v>0</v>
      </c>
      <c r="AA92" s="14">
        <f ca="1">IFERROR(TableWeeklySummary[[#This Row],[Ventas primer cliente]]/TableWeeklySummary[[#This Row],[Inversión publicidad]],0)</f>
        <v>0</v>
      </c>
      <c r="AB92" s="14"/>
      <c r="AC92" s="12"/>
      <c r="AI9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9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92" s="12">
        <f ca="1">SUMIFS(TableDailySummary[Utilidad bruta],TableDailySummary[Fecha],"&gt;="&amp;TableWeeklySummary[[#This Row],[Desde]],TableDailySummary[Fecha],"&lt;="&amp;TableWeeklySummary[[#This Row],[Hasta]])</f>
        <v>0</v>
      </c>
      <c r="AL92" s="18">
        <f ca="1">IFERROR(TableWeeklySummary[[#This Row],[Utilidad bruta]]/TableWeeklySummary[[#This Row],[Ventas netas con costo registrado]],0)</f>
        <v>0</v>
      </c>
    </row>
    <row r="93" spans="2:38" x14ac:dyDescent="0.2">
      <c r="B93" s="16">
        <f ca="1">_xlfn.ISOWEEKNUM(TableWeeklySummary[[#This Row],[Hasta]])</f>
        <v>26</v>
      </c>
      <c r="C93" s="6">
        <f t="shared" ca="1" si="2"/>
        <v>46563</v>
      </c>
      <c r="D93" s="6">
        <f ca="1">TableWeeklySummary[[#This Row],[Desde]]+7-1</f>
        <v>46569</v>
      </c>
      <c r="E93" s="12">
        <f ca="1">SUMIFS(TableDailySummary[Ventas netas totales],TableDailySummary[Fecha],"&gt;="&amp;TableWeeklySummary[[#This Row],[Desde]],TableDailySummary[Fecha],"&lt;="&amp;TableWeeklySummary[[#This Row],[Hasta]])</f>
        <v>0</v>
      </c>
      <c r="F93" s="12">
        <f ca="1">SUMIFS(TableDailySummary[Órdenes totales],TableDailySummary[Fecha],"&gt;="&amp;TableWeeklySummary[[#This Row],[Desde]],TableDailySummary[Fecha],"&lt;="&amp;TableWeeklySummary[[#This Row],[Hasta]])</f>
        <v>0</v>
      </c>
      <c r="G93" s="12">
        <f ca="1">IFERROR(TableWeeklySummary[[#This Row],[Ventas netas totales]]/TableWeeklySummary[[#This Row],[Órdenes totales]],0)</f>
        <v>0</v>
      </c>
      <c r="H9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93" s="12">
        <f ca="1">TableWeeklySummary[[#This Row],[Órden promedio totales]]*TableWeeklySummary[[#This Row],[CR totales]]</f>
        <v>0</v>
      </c>
      <c r="J93" s="12">
        <f ca="1">SUMIFS(TableDailySummary[Ventas primer cliente],TableDailySummary[Fecha],"&gt;="&amp;TableWeeklySummary[[#This Row],[Desde]],TableDailySummary[Fecha],"&lt;="&amp;TableWeeklySummary[[#This Row],[Hasta]])</f>
        <v>0</v>
      </c>
      <c r="K93" s="12">
        <f ca="1">SUMIFS(TableDailySummary[Órdenes primer cliente],TableDailySummary[Fecha],"&gt;="&amp;TableWeeklySummary[[#This Row],[Desde]],TableDailySummary[Fecha],"&lt;="&amp;TableWeeklySummary[[#This Row],[Hasta]])</f>
        <v>0</v>
      </c>
      <c r="L93" s="12">
        <f ca="1">SUMIFS(TableDailySummary[Online Store_net_sales],TableDailySummary[Fecha],"&gt;="&amp;TableWeeklySummary[[#This Row],[Desde]],TableDailySummary[Fecha],"&lt;="&amp;TableWeeklySummary[[#This Row],[Hasta]])</f>
        <v>0</v>
      </c>
      <c r="M93" s="12">
        <f ca="1">SUMIFS(TableDailySummary[Online Store_orders],TableDailySummary[Fecha],"&gt;="&amp;TableWeeklySummary[[#This Row],[Desde]],TableDailySummary[Fecha],"&lt;="&amp;TableWeeklySummary[[#This Row],[Hasta]])</f>
        <v>0</v>
      </c>
      <c r="N93" s="12">
        <f ca="1">SUMIFS(TableDailySummary[Tienda 81_net_sales],TableDailySummary[Fecha],"&gt;="&amp;TableWeeklySummary[[#This Row],[Desde]],TableDailySummary[Fecha],"&lt;="&amp;TableWeeklySummary[[#This Row],[Hasta]])</f>
        <v>0</v>
      </c>
      <c r="O93" s="12">
        <f ca="1">SUMIFS(TableDailySummary[Tienda 81_orders],TableDailySummary[Fecha],"&gt;="&amp;TableWeeklySummary[[#This Row],[Desde]],TableDailySummary[Fecha],"&lt;="&amp;TableWeeklySummary[[#This Row],[Hasta]])</f>
        <v>0</v>
      </c>
      <c r="P93" s="12">
        <f ca="1">SUMIFS(TableDailySummary[Rappi_net_sales],TableDailySummary[Fecha],"&gt;="&amp;TableWeeklySummary[[#This Row],[Desde]],TableDailySummary[Fecha],"&lt;="&amp;TableWeeklySummary[[#This Row],[Hasta]])</f>
        <v>0</v>
      </c>
      <c r="Q93" s="12">
        <f ca="1">SUMIFS(TableDailySummary[Rappi_orders],TableDailySummary[Fecha],"&gt;="&amp;TableWeeklySummary[[#This Row],[Desde]],TableDailySummary[Fecha],"&lt;="&amp;TableWeeklySummary[[#This Row],[Hasta]])</f>
        <v>0</v>
      </c>
      <c r="R9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9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93" s="12">
        <f ca="1">SUMIFS(TableDailySummary[Inversión google ads],TableDailySummary[Fecha],"&gt;="&amp;TableWeeklySummary[[#This Row],[Desde]],TableDailySummary[Fecha],"&lt;="&amp;TableWeeklySummary[[#This Row],[Hasta]])</f>
        <v>0</v>
      </c>
      <c r="U93" s="12">
        <f ca="1">SUMIFS(TableDailySummary[Ventas google ads],TableDailySummary[Fecha],"&gt;="&amp;TableWeeklySummary[[#This Row],[Desde]],TableDailySummary[Fecha],"&lt;="&amp;TableWeeklySummary[[#This Row],[Hasta]])</f>
        <v>0</v>
      </c>
      <c r="V93" s="12">
        <f ca="1">SUMIFS(TableDailySummary[Inversión meta ads],TableDailySummary[Fecha],"&gt;="&amp;TableWeeklySummary[[#This Row],[Desde]],TableDailySummary[Fecha],"&lt;="&amp;TableWeeklySummary[[#This Row],[Hasta]])</f>
        <v>0</v>
      </c>
      <c r="W93" s="12">
        <f ca="1">SUMIFS(TableDailySummary[Ventas meta ads],TableDailySummary[Fecha],"&gt;="&amp;TableWeeklySummary[[#This Row],[Desde]],TableDailySummary[Fecha],"&lt;="&amp;TableWeeklySummary[[#This Row],[Hasta]])</f>
        <v>0</v>
      </c>
      <c r="X93" s="12">
        <f ca="1">TableWeeklySummary[[#This Row],[Inversión google ads]]+TableWeeklySummary[[#This Row],[Inversión meta ads]]</f>
        <v>0</v>
      </c>
      <c r="Y93" s="12">
        <f ca="1">TableWeeklySummary[[#This Row],[Ventas google ads]]+TableWeeklySummary[[#This Row],[Ventas meta ads]]</f>
        <v>0</v>
      </c>
      <c r="Z93" s="14">
        <f ca="1">IFERROR(TableWeeklySummary[[#This Row],[Ventas publicidad]]/TableWeeklySummary[[#This Row],[Inversión publicidad]],0)</f>
        <v>0</v>
      </c>
      <c r="AA93" s="14">
        <f ca="1">IFERROR(TableWeeklySummary[[#This Row],[Ventas primer cliente]]/TableWeeklySummary[[#This Row],[Inversión publicidad]],0)</f>
        <v>0</v>
      </c>
      <c r="AB93" s="14"/>
      <c r="AC93" s="12"/>
      <c r="AI9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9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93" s="12">
        <f ca="1">SUMIFS(TableDailySummary[Utilidad bruta],TableDailySummary[Fecha],"&gt;="&amp;TableWeeklySummary[[#This Row],[Desde]],TableDailySummary[Fecha],"&lt;="&amp;TableWeeklySummary[[#This Row],[Hasta]])</f>
        <v>0</v>
      </c>
      <c r="AL93" s="18">
        <f ca="1">IFERROR(TableWeeklySummary[[#This Row],[Utilidad bruta]]/TableWeeklySummary[[#This Row],[Ventas netas con costo registrado]],0)</f>
        <v>0</v>
      </c>
    </row>
    <row r="94" spans="2:38" x14ac:dyDescent="0.2">
      <c r="B94" s="16">
        <f ca="1">_xlfn.ISOWEEKNUM(TableWeeklySummary[[#This Row],[Hasta]])</f>
        <v>27</v>
      </c>
      <c r="C94" s="6">
        <f t="shared" ca="1" si="2"/>
        <v>46570</v>
      </c>
      <c r="D94" s="6">
        <f ca="1">TableWeeklySummary[[#This Row],[Desde]]+7-1</f>
        <v>46576</v>
      </c>
      <c r="E94" s="12">
        <f ca="1">SUMIFS(TableDailySummary[Ventas netas totales],TableDailySummary[Fecha],"&gt;="&amp;TableWeeklySummary[[#This Row],[Desde]],TableDailySummary[Fecha],"&lt;="&amp;TableWeeklySummary[[#This Row],[Hasta]])</f>
        <v>0</v>
      </c>
      <c r="F94" s="12">
        <f ca="1">SUMIFS(TableDailySummary[Órdenes totales],TableDailySummary[Fecha],"&gt;="&amp;TableWeeklySummary[[#This Row],[Desde]],TableDailySummary[Fecha],"&lt;="&amp;TableWeeklySummary[[#This Row],[Hasta]])</f>
        <v>0</v>
      </c>
      <c r="G94" s="12">
        <f ca="1">IFERROR(TableWeeklySummary[[#This Row],[Ventas netas totales]]/TableWeeklySummary[[#This Row],[Órdenes totales]],0)</f>
        <v>0</v>
      </c>
      <c r="H9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94" s="12">
        <f ca="1">TableWeeklySummary[[#This Row],[Órden promedio totales]]*TableWeeklySummary[[#This Row],[CR totales]]</f>
        <v>0</v>
      </c>
      <c r="J94" s="12">
        <f ca="1">SUMIFS(TableDailySummary[Ventas primer cliente],TableDailySummary[Fecha],"&gt;="&amp;TableWeeklySummary[[#This Row],[Desde]],TableDailySummary[Fecha],"&lt;="&amp;TableWeeklySummary[[#This Row],[Hasta]])</f>
        <v>0</v>
      </c>
      <c r="K94" s="12">
        <f ca="1">SUMIFS(TableDailySummary[Órdenes primer cliente],TableDailySummary[Fecha],"&gt;="&amp;TableWeeklySummary[[#This Row],[Desde]],TableDailySummary[Fecha],"&lt;="&amp;TableWeeklySummary[[#This Row],[Hasta]])</f>
        <v>0</v>
      </c>
      <c r="L94" s="12">
        <f ca="1">SUMIFS(TableDailySummary[Online Store_net_sales],TableDailySummary[Fecha],"&gt;="&amp;TableWeeklySummary[[#This Row],[Desde]],TableDailySummary[Fecha],"&lt;="&amp;TableWeeklySummary[[#This Row],[Hasta]])</f>
        <v>0</v>
      </c>
      <c r="M94" s="12">
        <f ca="1">SUMIFS(TableDailySummary[Online Store_orders],TableDailySummary[Fecha],"&gt;="&amp;TableWeeklySummary[[#This Row],[Desde]],TableDailySummary[Fecha],"&lt;="&amp;TableWeeklySummary[[#This Row],[Hasta]])</f>
        <v>0</v>
      </c>
      <c r="N94" s="12">
        <f ca="1">SUMIFS(TableDailySummary[Tienda 81_net_sales],TableDailySummary[Fecha],"&gt;="&amp;TableWeeklySummary[[#This Row],[Desde]],TableDailySummary[Fecha],"&lt;="&amp;TableWeeklySummary[[#This Row],[Hasta]])</f>
        <v>0</v>
      </c>
      <c r="O94" s="12">
        <f ca="1">SUMIFS(TableDailySummary[Tienda 81_orders],TableDailySummary[Fecha],"&gt;="&amp;TableWeeklySummary[[#This Row],[Desde]],TableDailySummary[Fecha],"&lt;="&amp;TableWeeklySummary[[#This Row],[Hasta]])</f>
        <v>0</v>
      </c>
      <c r="P94" s="12">
        <f ca="1">SUMIFS(TableDailySummary[Rappi_net_sales],TableDailySummary[Fecha],"&gt;="&amp;TableWeeklySummary[[#This Row],[Desde]],TableDailySummary[Fecha],"&lt;="&amp;TableWeeklySummary[[#This Row],[Hasta]])</f>
        <v>0</v>
      </c>
      <c r="Q94" s="12">
        <f ca="1">SUMIFS(TableDailySummary[Rappi_orders],TableDailySummary[Fecha],"&gt;="&amp;TableWeeklySummary[[#This Row],[Desde]],TableDailySummary[Fecha],"&lt;="&amp;TableWeeklySummary[[#This Row],[Hasta]])</f>
        <v>0</v>
      </c>
      <c r="R9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9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94" s="12">
        <f ca="1">SUMIFS(TableDailySummary[Inversión google ads],TableDailySummary[Fecha],"&gt;="&amp;TableWeeklySummary[[#This Row],[Desde]],TableDailySummary[Fecha],"&lt;="&amp;TableWeeklySummary[[#This Row],[Hasta]])</f>
        <v>0</v>
      </c>
      <c r="U94" s="12">
        <f ca="1">SUMIFS(TableDailySummary[Ventas google ads],TableDailySummary[Fecha],"&gt;="&amp;TableWeeklySummary[[#This Row],[Desde]],TableDailySummary[Fecha],"&lt;="&amp;TableWeeklySummary[[#This Row],[Hasta]])</f>
        <v>0</v>
      </c>
      <c r="V94" s="12">
        <f ca="1">SUMIFS(TableDailySummary[Inversión meta ads],TableDailySummary[Fecha],"&gt;="&amp;TableWeeklySummary[[#This Row],[Desde]],TableDailySummary[Fecha],"&lt;="&amp;TableWeeklySummary[[#This Row],[Hasta]])</f>
        <v>0</v>
      </c>
      <c r="W94" s="12">
        <f ca="1">SUMIFS(TableDailySummary[Ventas meta ads],TableDailySummary[Fecha],"&gt;="&amp;TableWeeklySummary[[#This Row],[Desde]],TableDailySummary[Fecha],"&lt;="&amp;TableWeeklySummary[[#This Row],[Hasta]])</f>
        <v>0</v>
      </c>
      <c r="X94" s="12">
        <f ca="1">TableWeeklySummary[[#This Row],[Inversión google ads]]+TableWeeklySummary[[#This Row],[Inversión meta ads]]</f>
        <v>0</v>
      </c>
      <c r="Y94" s="12">
        <f ca="1">TableWeeklySummary[[#This Row],[Ventas google ads]]+TableWeeklySummary[[#This Row],[Ventas meta ads]]</f>
        <v>0</v>
      </c>
      <c r="Z94" s="14">
        <f ca="1">IFERROR(TableWeeklySummary[[#This Row],[Ventas publicidad]]/TableWeeklySummary[[#This Row],[Inversión publicidad]],0)</f>
        <v>0</v>
      </c>
      <c r="AA94" s="14">
        <f ca="1">IFERROR(TableWeeklySummary[[#This Row],[Ventas primer cliente]]/TableWeeklySummary[[#This Row],[Inversión publicidad]],0)</f>
        <v>0</v>
      </c>
      <c r="AB94" s="14"/>
      <c r="AC94" s="12"/>
      <c r="AI9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9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94" s="12">
        <f ca="1">SUMIFS(TableDailySummary[Utilidad bruta],TableDailySummary[Fecha],"&gt;="&amp;TableWeeklySummary[[#This Row],[Desde]],TableDailySummary[Fecha],"&lt;="&amp;TableWeeklySummary[[#This Row],[Hasta]])</f>
        <v>0</v>
      </c>
      <c r="AL94" s="18">
        <f ca="1">IFERROR(TableWeeklySummary[[#This Row],[Utilidad bruta]]/TableWeeklySummary[[#This Row],[Ventas netas con costo registrado]],0)</f>
        <v>0</v>
      </c>
    </row>
    <row r="95" spans="2:38" x14ac:dyDescent="0.2">
      <c r="B95" s="16">
        <f ca="1">_xlfn.ISOWEEKNUM(TableWeeklySummary[[#This Row],[Hasta]])</f>
        <v>28</v>
      </c>
      <c r="C95" s="6">
        <f t="shared" ca="1" si="2"/>
        <v>46577</v>
      </c>
      <c r="D95" s="6">
        <f ca="1">TableWeeklySummary[[#This Row],[Desde]]+7-1</f>
        <v>46583</v>
      </c>
      <c r="E95" s="12">
        <f ca="1">SUMIFS(TableDailySummary[Ventas netas totales],TableDailySummary[Fecha],"&gt;="&amp;TableWeeklySummary[[#This Row],[Desde]],TableDailySummary[Fecha],"&lt;="&amp;TableWeeklySummary[[#This Row],[Hasta]])</f>
        <v>0</v>
      </c>
      <c r="F95" s="12">
        <f ca="1">SUMIFS(TableDailySummary[Órdenes totales],TableDailySummary[Fecha],"&gt;="&amp;TableWeeklySummary[[#This Row],[Desde]],TableDailySummary[Fecha],"&lt;="&amp;TableWeeklySummary[[#This Row],[Hasta]])</f>
        <v>0</v>
      </c>
      <c r="G95" s="12">
        <f ca="1">IFERROR(TableWeeklySummary[[#This Row],[Ventas netas totales]]/TableWeeklySummary[[#This Row],[Órdenes totales]],0)</f>
        <v>0</v>
      </c>
      <c r="H9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95" s="12">
        <f ca="1">TableWeeklySummary[[#This Row],[Órden promedio totales]]*TableWeeklySummary[[#This Row],[CR totales]]</f>
        <v>0</v>
      </c>
      <c r="J95" s="12">
        <f ca="1">SUMIFS(TableDailySummary[Ventas primer cliente],TableDailySummary[Fecha],"&gt;="&amp;TableWeeklySummary[[#This Row],[Desde]],TableDailySummary[Fecha],"&lt;="&amp;TableWeeklySummary[[#This Row],[Hasta]])</f>
        <v>0</v>
      </c>
      <c r="K95" s="12">
        <f ca="1">SUMIFS(TableDailySummary[Órdenes primer cliente],TableDailySummary[Fecha],"&gt;="&amp;TableWeeklySummary[[#This Row],[Desde]],TableDailySummary[Fecha],"&lt;="&amp;TableWeeklySummary[[#This Row],[Hasta]])</f>
        <v>0</v>
      </c>
      <c r="L95" s="12">
        <f ca="1">SUMIFS(TableDailySummary[Online Store_net_sales],TableDailySummary[Fecha],"&gt;="&amp;TableWeeklySummary[[#This Row],[Desde]],TableDailySummary[Fecha],"&lt;="&amp;TableWeeklySummary[[#This Row],[Hasta]])</f>
        <v>0</v>
      </c>
      <c r="M95" s="12">
        <f ca="1">SUMIFS(TableDailySummary[Online Store_orders],TableDailySummary[Fecha],"&gt;="&amp;TableWeeklySummary[[#This Row],[Desde]],TableDailySummary[Fecha],"&lt;="&amp;TableWeeklySummary[[#This Row],[Hasta]])</f>
        <v>0</v>
      </c>
      <c r="N95" s="12">
        <f ca="1">SUMIFS(TableDailySummary[Tienda 81_net_sales],TableDailySummary[Fecha],"&gt;="&amp;TableWeeklySummary[[#This Row],[Desde]],TableDailySummary[Fecha],"&lt;="&amp;TableWeeklySummary[[#This Row],[Hasta]])</f>
        <v>0</v>
      </c>
      <c r="O95" s="12">
        <f ca="1">SUMIFS(TableDailySummary[Tienda 81_orders],TableDailySummary[Fecha],"&gt;="&amp;TableWeeklySummary[[#This Row],[Desde]],TableDailySummary[Fecha],"&lt;="&amp;TableWeeklySummary[[#This Row],[Hasta]])</f>
        <v>0</v>
      </c>
      <c r="P95" s="12">
        <f ca="1">SUMIFS(TableDailySummary[Rappi_net_sales],TableDailySummary[Fecha],"&gt;="&amp;TableWeeklySummary[[#This Row],[Desde]],TableDailySummary[Fecha],"&lt;="&amp;TableWeeklySummary[[#This Row],[Hasta]])</f>
        <v>0</v>
      </c>
      <c r="Q95" s="12">
        <f ca="1">SUMIFS(TableDailySummary[Rappi_orders],TableDailySummary[Fecha],"&gt;="&amp;TableWeeklySummary[[#This Row],[Desde]],TableDailySummary[Fecha],"&lt;="&amp;TableWeeklySummary[[#This Row],[Hasta]])</f>
        <v>0</v>
      </c>
      <c r="R9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9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95" s="12">
        <f ca="1">SUMIFS(TableDailySummary[Inversión google ads],TableDailySummary[Fecha],"&gt;="&amp;TableWeeklySummary[[#This Row],[Desde]],TableDailySummary[Fecha],"&lt;="&amp;TableWeeklySummary[[#This Row],[Hasta]])</f>
        <v>0</v>
      </c>
      <c r="U95" s="12">
        <f ca="1">SUMIFS(TableDailySummary[Ventas google ads],TableDailySummary[Fecha],"&gt;="&amp;TableWeeklySummary[[#This Row],[Desde]],TableDailySummary[Fecha],"&lt;="&amp;TableWeeklySummary[[#This Row],[Hasta]])</f>
        <v>0</v>
      </c>
      <c r="V95" s="12">
        <f ca="1">SUMIFS(TableDailySummary[Inversión meta ads],TableDailySummary[Fecha],"&gt;="&amp;TableWeeklySummary[[#This Row],[Desde]],TableDailySummary[Fecha],"&lt;="&amp;TableWeeklySummary[[#This Row],[Hasta]])</f>
        <v>0</v>
      </c>
      <c r="W95" s="12">
        <f ca="1">SUMIFS(TableDailySummary[Ventas meta ads],TableDailySummary[Fecha],"&gt;="&amp;TableWeeklySummary[[#This Row],[Desde]],TableDailySummary[Fecha],"&lt;="&amp;TableWeeklySummary[[#This Row],[Hasta]])</f>
        <v>0</v>
      </c>
      <c r="X95" s="12">
        <f ca="1">TableWeeklySummary[[#This Row],[Inversión google ads]]+TableWeeklySummary[[#This Row],[Inversión meta ads]]</f>
        <v>0</v>
      </c>
      <c r="Y95" s="12">
        <f ca="1">TableWeeklySummary[[#This Row],[Ventas google ads]]+TableWeeklySummary[[#This Row],[Ventas meta ads]]</f>
        <v>0</v>
      </c>
      <c r="Z95" s="14">
        <f ca="1">IFERROR(TableWeeklySummary[[#This Row],[Ventas publicidad]]/TableWeeklySummary[[#This Row],[Inversión publicidad]],0)</f>
        <v>0</v>
      </c>
      <c r="AA95" s="14">
        <f ca="1">IFERROR(TableWeeklySummary[[#This Row],[Ventas primer cliente]]/TableWeeklySummary[[#This Row],[Inversión publicidad]],0)</f>
        <v>0</v>
      </c>
      <c r="AB95" s="14"/>
      <c r="AC95" s="12"/>
      <c r="AI9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9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95" s="12">
        <f ca="1">SUMIFS(TableDailySummary[Utilidad bruta],TableDailySummary[Fecha],"&gt;="&amp;TableWeeklySummary[[#This Row],[Desde]],TableDailySummary[Fecha],"&lt;="&amp;TableWeeklySummary[[#This Row],[Hasta]])</f>
        <v>0</v>
      </c>
      <c r="AL95" s="18">
        <f ca="1">IFERROR(TableWeeklySummary[[#This Row],[Utilidad bruta]]/TableWeeklySummary[[#This Row],[Ventas netas con costo registrado]],0)</f>
        <v>0</v>
      </c>
    </row>
    <row r="96" spans="2:38" x14ac:dyDescent="0.2">
      <c r="B96" s="16">
        <f ca="1">_xlfn.ISOWEEKNUM(TableWeeklySummary[[#This Row],[Hasta]])</f>
        <v>29</v>
      </c>
      <c r="C96" s="6">
        <f t="shared" ca="1" si="2"/>
        <v>46584</v>
      </c>
      <c r="D96" s="6">
        <f ca="1">TableWeeklySummary[[#This Row],[Desde]]+7-1</f>
        <v>46590</v>
      </c>
      <c r="E96" s="12">
        <f ca="1">SUMIFS(TableDailySummary[Ventas netas totales],TableDailySummary[Fecha],"&gt;="&amp;TableWeeklySummary[[#This Row],[Desde]],TableDailySummary[Fecha],"&lt;="&amp;TableWeeklySummary[[#This Row],[Hasta]])</f>
        <v>0</v>
      </c>
      <c r="F96" s="12">
        <f ca="1">SUMIFS(TableDailySummary[Órdenes totales],TableDailySummary[Fecha],"&gt;="&amp;TableWeeklySummary[[#This Row],[Desde]],TableDailySummary[Fecha],"&lt;="&amp;TableWeeklySummary[[#This Row],[Hasta]])</f>
        <v>0</v>
      </c>
      <c r="G96" s="12">
        <f ca="1">IFERROR(TableWeeklySummary[[#This Row],[Ventas netas totales]]/TableWeeklySummary[[#This Row],[Órdenes totales]],0)</f>
        <v>0</v>
      </c>
      <c r="H9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96" s="12">
        <f ca="1">TableWeeklySummary[[#This Row],[Órden promedio totales]]*TableWeeklySummary[[#This Row],[CR totales]]</f>
        <v>0</v>
      </c>
      <c r="J96" s="12">
        <f ca="1">SUMIFS(TableDailySummary[Ventas primer cliente],TableDailySummary[Fecha],"&gt;="&amp;TableWeeklySummary[[#This Row],[Desde]],TableDailySummary[Fecha],"&lt;="&amp;TableWeeklySummary[[#This Row],[Hasta]])</f>
        <v>0</v>
      </c>
      <c r="K96" s="12">
        <f ca="1">SUMIFS(TableDailySummary[Órdenes primer cliente],TableDailySummary[Fecha],"&gt;="&amp;TableWeeklySummary[[#This Row],[Desde]],TableDailySummary[Fecha],"&lt;="&amp;TableWeeklySummary[[#This Row],[Hasta]])</f>
        <v>0</v>
      </c>
      <c r="L96" s="12">
        <f ca="1">SUMIFS(TableDailySummary[Online Store_net_sales],TableDailySummary[Fecha],"&gt;="&amp;TableWeeklySummary[[#This Row],[Desde]],TableDailySummary[Fecha],"&lt;="&amp;TableWeeklySummary[[#This Row],[Hasta]])</f>
        <v>0</v>
      </c>
      <c r="M96" s="12">
        <f ca="1">SUMIFS(TableDailySummary[Online Store_orders],TableDailySummary[Fecha],"&gt;="&amp;TableWeeklySummary[[#This Row],[Desde]],TableDailySummary[Fecha],"&lt;="&amp;TableWeeklySummary[[#This Row],[Hasta]])</f>
        <v>0</v>
      </c>
      <c r="N96" s="12">
        <f ca="1">SUMIFS(TableDailySummary[Tienda 81_net_sales],TableDailySummary[Fecha],"&gt;="&amp;TableWeeklySummary[[#This Row],[Desde]],TableDailySummary[Fecha],"&lt;="&amp;TableWeeklySummary[[#This Row],[Hasta]])</f>
        <v>0</v>
      </c>
      <c r="O96" s="12">
        <f ca="1">SUMIFS(TableDailySummary[Tienda 81_orders],TableDailySummary[Fecha],"&gt;="&amp;TableWeeklySummary[[#This Row],[Desde]],TableDailySummary[Fecha],"&lt;="&amp;TableWeeklySummary[[#This Row],[Hasta]])</f>
        <v>0</v>
      </c>
      <c r="P96" s="12">
        <f ca="1">SUMIFS(TableDailySummary[Rappi_net_sales],TableDailySummary[Fecha],"&gt;="&amp;TableWeeklySummary[[#This Row],[Desde]],TableDailySummary[Fecha],"&lt;="&amp;TableWeeklySummary[[#This Row],[Hasta]])</f>
        <v>0</v>
      </c>
      <c r="Q96" s="12">
        <f ca="1">SUMIFS(TableDailySummary[Rappi_orders],TableDailySummary[Fecha],"&gt;="&amp;TableWeeklySummary[[#This Row],[Desde]],TableDailySummary[Fecha],"&lt;="&amp;TableWeeklySummary[[#This Row],[Hasta]])</f>
        <v>0</v>
      </c>
      <c r="R9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9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96" s="12">
        <f ca="1">SUMIFS(TableDailySummary[Inversión google ads],TableDailySummary[Fecha],"&gt;="&amp;TableWeeklySummary[[#This Row],[Desde]],TableDailySummary[Fecha],"&lt;="&amp;TableWeeklySummary[[#This Row],[Hasta]])</f>
        <v>0</v>
      </c>
      <c r="U96" s="12">
        <f ca="1">SUMIFS(TableDailySummary[Ventas google ads],TableDailySummary[Fecha],"&gt;="&amp;TableWeeklySummary[[#This Row],[Desde]],TableDailySummary[Fecha],"&lt;="&amp;TableWeeklySummary[[#This Row],[Hasta]])</f>
        <v>0</v>
      </c>
      <c r="V96" s="12">
        <f ca="1">SUMIFS(TableDailySummary[Inversión meta ads],TableDailySummary[Fecha],"&gt;="&amp;TableWeeklySummary[[#This Row],[Desde]],TableDailySummary[Fecha],"&lt;="&amp;TableWeeklySummary[[#This Row],[Hasta]])</f>
        <v>0</v>
      </c>
      <c r="W96" s="12">
        <f ca="1">SUMIFS(TableDailySummary[Ventas meta ads],TableDailySummary[Fecha],"&gt;="&amp;TableWeeklySummary[[#This Row],[Desde]],TableDailySummary[Fecha],"&lt;="&amp;TableWeeklySummary[[#This Row],[Hasta]])</f>
        <v>0</v>
      </c>
      <c r="X96" s="12">
        <f ca="1">TableWeeklySummary[[#This Row],[Inversión google ads]]+TableWeeklySummary[[#This Row],[Inversión meta ads]]</f>
        <v>0</v>
      </c>
      <c r="Y96" s="12">
        <f ca="1">TableWeeklySummary[[#This Row],[Ventas google ads]]+TableWeeklySummary[[#This Row],[Ventas meta ads]]</f>
        <v>0</v>
      </c>
      <c r="Z96" s="14">
        <f ca="1">IFERROR(TableWeeklySummary[[#This Row],[Ventas publicidad]]/TableWeeklySummary[[#This Row],[Inversión publicidad]],0)</f>
        <v>0</v>
      </c>
      <c r="AA96" s="14">
        <f ca="1">IFERROR(TableWeeklySummary[[#This Row],[Ventas primer cliente]]/TableWeeklySummary[[#This Row],[Inversión publicidad]],0)</f>
        <v>0</v>
      </c>
      <c r="AB96" s="14"/>
      <c r="AC96" s="12"/>
      <c r="AI9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9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96" s="12">
        <f ca="1">SUMIFS(TableDailySummary[Utilidad bruta],TableDailySummary[Fecha],"&gt;="&amp;TableWeeklySummary[[#This Row],[Desde]],TableDailySummary[Fecha],"&lt;="&amp;TableWeeklySummary[[#This Row],[Hasta]])</f>
        <v>0</v>
      </c>
      <c r="AL96" s="18">
        <f ca="1">IFERROR(TableWeeklySummary[[#This Row],[Utilidad bruta]]/TableWeeklySummary[[#This Row],[Ventas netas con costo registrado]],0)</f>
        <v>0</v>
      </c>
    </row>
    <row r="97" spans="2:38" x14ac:dyDescent="0.2">
      <c r="B97" s="16">
        <f ca="1">_xlfn.ISOWEEKNUM(TableWeeklySummary[[#This Row],[Hasta]])</f>
        <v>30</v>
      </c>
      <c r="C97" s="6">
        <f t="shared" ca="1" si="2"/>
        <v>46591</v>
      </c>
      <c r="D97" s="6">
        <f ca="1">TableWeeklySummary[[#This Row],[Desde]]+7-1</f>
        <v>46597</v>
      </c>
      <c r="E97" s="12">
        <f ca="1">SUMIFS(TableDailySummary[Ventas netas totales],TableDailySummary[Fecha],"&gt;="&amp;TableWeeklySummary[[#This Row],[Desde]],TableDailySummary[Fecha],"&lt;="&amp;TableWeeklySummary[[#This Row],[Hasta]])</f>
        <v>0</v>
      </c>
      <c r="F97" s="12">
        <f ca="1">SUMIFS(TableDailySummary[Órdenes totales],TableDailySummary[Fecha],"&gt;="&amp;TableWeeklySummary[[#This Row],[Desde]],TableDailySummary[Fecha],"&lt;="&amp;TableWeeklySummary[[#This Row],[Hasta]])</f>
        <v>0</v>
      </c>
      <c r="G97" s="12">
        <f ca="1">IFERROR(TableWeeklySummary[[#This Row],[Ventas netas totales]]/TableWeeklySummary[[#This Row],[Órdenes totales]],0)</f>
        <v>0</v>
      </c>
      <c r="H9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97" s="12">
        <f ca="1">TableWeeklySummary[[#This Row],[Órden promedio totales]]*TableWeeklySummary[[#This Row],[CR totales]]</f>
        <v>0</v>
      </c>
      <c r="J97" s="12">
        <f ca="1">SUMIFS(TableDailySummary[Ventas primer cliente],TableDailySummary[Fecha],"&gt;="&amp;TableWeeklySummary[[#This Row],[Desde]],TableDailySummary[Fecha],"&lt;="&amp;TableWeeklySummary[[#This Row],[Hasta]])</f>
        <v>0</v>
      </c>
      <c r="K97" s="12">
        <f ca="1">SUMIFS(TableDailySummary[Órdenes primer cliente],TableDailySummary[Fecha],"&gt;="&amp;TableWeeklySummary[[#This Row],[Desde]],TableDailySummary[Fecha],"&lt;="&amp;TableWeeklySummary[[#This Row],[Hasta]])</f>
        <v>0</v>
      </c>
      <c r="L97" s="12">
        <f ca="1">SUMIFS(TableDailySummary[Online Store_net_sales],TableDailySummary[Fecha],"&gt;="&amp;TableWeeklySummary[[#This Row],[Desde]],TableDailySummary[Fecha],"&lt;="&amp;TableWeeklySummary[[#This Row],[Hasta]])</f>
        <v>0</v>
      </c>
      <c r="M97" s="12">
        <f ca="1">SUMIFS(TableDailySummary[Online Store_orders],TableDailySummary[Fecha],"&gt;="&amp;TableWeeklySummary[[#This Row],[Desde]],TableDailySummary[Fecha],"&lt;="&amp;TableWeeklySummary[[#This Row],[Hasta]])</f>
        <v>0</v>
      </c>
      <c r="N97" s="12">
        <f ca="1">SUMIFS(TableDailySummary[Tienda 81_net_sales],TableDailySummary[Fecha],"&gt;="&amp;TableWeeklySummary[[#This Row],[Desde]],TableDailySummary[Fecha],"&lt;="&amp;TableWeeklySummary[[#This Row],[Hasta]])</f>
        <v>0</v>
      </c>
      <c r="O97" s="12">
        <f ca="1">SUMIFS(TableDailySummary[Tienda 81_orders],TableDailySummary[Fecha],"&gt;="&amp;TableWeeklySummary[[#This Row],[Desde]],TableDailySummary[Fecha],"&lt;="&amp;TableWeeklySummary[[#This Row],[Hasta]])</f>
        <v>0</v>
      </c>
      <c r="P97" s="12">
        <f ca="1">SUMIFS(TableDailySummary[Rappi_net_sales],TableDailySummary[Fecha],"&gt;="&amp;TableWeeklySummary[[#This Row],[Desde]],TableDailySummary[Fecha],"&lt;="&amp;TableWeeklySummary[[#This Row],[Hasta]])</f>
        <v>0</v>
      </c>
      <c r="Q97" s="12">
        <f ca="1">SUMIFS(TableDailySummary[Rappi_orders],TableDailySummary[Fecha],"&gt;="&amp;TableWeeklySummary[[#This Row],[Desde]],TableDailySummary[Fecha],"&lt;="&amp;TableWeeklySummary[[#This Row],[Hasta]])</f>
        <v>0</v>
      </c>
      <c r="R9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9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97" s="12">
        <f ca="1">SUMIFS(TableDailySummary[Inversión google ads],TableDailySummary[Fecha],"&gt;="&amp;TableWeeklySummary[[#This Row],[Desde]],TableDailySummary[Fecha],"&lt;="&amp;TableWeeklySummary[[#This Row],[Hasta]])</f>
        <v>0</v>
      </c>
      <c r="U97" s="12">
        <f ca="1">SUMIFS(TableDailySummary[Ventas google ads],TableDailySummary[Fecha],"&gt;="&amp;TableWeeklySummary[[#This Row],[Desde]],TableDailySummary[Fecha],"&lt;="&amp;TableWeeklySummary[[#This Row],[Hasta]])</f>
        <v>0</v>
      </c>
      <c r="V97" s="12">
        <f ca="1">SUMIFS(TableDailySummary[Inversión meta ads],TableDailySummary[Fecha],"&gt;="&amp;TableWeeklySummary[[#This Row],[Desde]],TableDailySummary[Fecha],"&lt;="&amp;TableWeeklySummary[[#This Row],[Hasta]])</f>
        <v>0</v>
      </c>
      <c r="W97" s="12">
        <f ca="1">SUMIFS(TableDailySummary[Ventas meta ads],TableDailySummary[Fecha],"&gt;="&amp;TableWeeklySummary[[#This Row],[Desde]],TableDailySummary[Fecha],"&lt;="&amp;TableWeeklySummary[[#This Row],[Hasta]])</f>
        <v>0</v>
      </c>
      <c r="X97" s="12">
        <f ca="1">TableWeeklySummary[[#This Row],[Inversión google ads]]+TableWeeklySummary[[#This Row],[Inversión meta ads]]</f>
        <v>0</v>
      </c>
      <c r="Y97" s="12">
        <f ca="1">TableWeeklySummary[[#This Row],[Ventas google ads]]+TableWeeklySummary[[#This Row],[Ventas meta ads]]</f>
        <v>0</v>
      </c>
      <c r="Z97" s="14">
        <f ca="1">IFERROR(TableWeeklySummary[[#This Row],[Ventas publicidad]]/TableWeeklySummary[[#This Row],[Inversión publicidad]],0)</f>
        <v>0</v>
      </c>
      <c r="AA97" s="14">
        <f ca="1">IFERROR(TableWeeklySummary[[#This Row],[Ventas primer cliente]]/TableWeeklySummary[[#This Row],[Inversión publicidad]],0)</f>
        <v>0</v>
      </c>
      <c r="AB97" s="14"/>
      <c r="AC97" s="12"/>
      <c r="AI9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9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97" s="12">
        <f ca="1">SUMIFS(TableDailySummary[Utilidad bruta],TableDailySummary[Fecha],"&gt;="&amp;TableWeeklySummary[[#This Row],[Desde]],TableDailySummary[Fecha],"&lt;="&amp;TableWeeklySummary[[#This Row],[Hasta]])</f>
        <v>0</v>
      </c>
      <c r="AL97" s="18">
        <f ca="1">IFERROR(TableWeeklySummary[[#This Row],[Utilidad bruta]]/TableWeeklySummary[[#This Row],[Ventas netas con costo registrado]],0)</f>
        <v>0</v>
      </c>
    </row>
    <row r="98" spans="2:38" x14ac:dyDescent="0.2">
      <c r="B98" s="16">
        <f ca="1">_xlfn.ISOWEEKNUM(TableWeeklySummary[[#This Row],[Hasta]])</f>
        <v>31</v>
      </c>
      <c r="C98" s="6">
        <f t="shared" ca="1" si="2"/>
        <v>46598</v>
      </c>
      <c r="D98" s="6">
        <f ca="1">TableWeeklySummary[[#This Row],[Desde]]+7-1</f>
        <v>46604</v>
      </c>
      <c r="E98" s="12">
        <f ca="1">SUMIFS(TableDailySummary[Ventas netas totales],TableDailySummary[Fecha],"&gt;="&amp;TableWeeklySummary[[#This Row],[Desde]],TableDailySummary[Fecha],"&lt;="&amp;TableWeeklySummary[[#This Row],[Hasta]])</f>
        <v>0</v>
      </c>
      <c r="F98" s="12">
        <f ca="1">SUMIFS(TableDailySummary[Órdenes totales],TableDailySummary[Fecha],"&gt;="&amp;TableWeeklySummary[[#This Row],[Desde]],TableDailySummary[Fecha],"&lt;="&amp;TableWeeklySummary[[#This Row],[Hasta]])</f>
        <v>0</v>
      </c>
      <c r="G98" s="12">
        <f ca="1">IFERROR(TableWeeklySummary[[#This Row],[Ventas netas totales]]/TableWeeklySummary[[#This Row],[Órdenes totales]],0)</f>
        <v>0</v>
      </c>
      <c r="H9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98" s="12">
        <f ca="1">TableWeeklySummary[[#This Row],[Órden promedio totales]]*TableWeeklySummary[[#This Row],[CR totales]]</f>
        <v>0</v>
      </c>
      <c r="J98" s="12">
        <f ca="1">SUMIFS(TableDailySummary[Ventas primer cliente],TableDailySummary[Fecha],"&gt;="&amp;TableWeeklySummary[[#This Row],[Desde]],TableDailySummary[Fecha],"&lt;="&amp;TableWeeklySummary[[#This Row],[Hasta]])</f>
        <v>0</v>
      </c>
      <c r="K98" s="12">
        <f ca="1">SUMIFS(TableDailySummary[Órdenes primer cliente],TableDailySummary[Fecha],"&gt;="&amp;TableWeeklySummary[[#This Row],[Desde]],TableDailySummary[Fecha],"&lt;="&amp;TableWeeklySummary[[#This Row],[Hasta]])</f>
        <v>0</v>
      </c>
      <c r="L98" s="12">
        <f ca="1">SUMIFS(TableDailySummary[Online Store_net_sales],TableDailySummary[Fecha],"&gt;="&amp;TableWeeklySummary[[#This Row],[Desde]],TableDailySummary[Fecha],"&lt;="&amp;TableWeeklySummary[[#This Row],[Hasta]])</f>
        <v>0</v>
      </c>
      <c r="M98" s="12">
        <f ca="1">SUMIFS(TableDailySummary[Online Store_orders],TableDailySummary[Fecha],"&gt;="&amp;TableWeeklySummary[[#This Row],[Desde]],TableDailySummary[Fecha],"&lt;="&amp;TableWeeklySummary[[#This Row],[Hasta]])</f>
        <v>0</v>
      </c>
      <c r="N98" s="12">
        <f ca="1">SUMIFS(TableDailySummary[Tienda 81_net_sales],TableDailySummary[Fecha],"&gt;="&amp;TableWeeklySummary[[#This Row],[Desde]],TableDailySummary[Fecha],"&lt;="&amp;TableWeeklySummary[[#This Row],[Hasta]])</f>
        <v>0</v>
      </c>
      <c r="O98" s="12">
        <f ca="1">SUMIFS(TableDailySummary[Tienda 81_orders],TableDailySummary[Fecha],"&gt;="&amp;TableWeeklySummary[[#This Row],[Desde]],TableDailySummary[Fecha],"&lt;="&amp;TableWeeklySummary[[#This Row],[Hasta]])</f>
        <v>0</v>
      </c>
      <c r="P98" s="12">
        <f ca="1">SUMIFS(TableDailySummary[Rappi_net_sales],TableDailySummary[Fecha],"&gt;="&amp;TableWeeklySummary[[#This Row],[Desde]],TableDailySummary[Fecha],"&lt;="&amp;TableWeeklySummary[[#This Row],[Hasta]])</f>
        <v>0</v>
      </c>
      <c r="Q98" s="12">
        <f ca="1">SUMIFS(TableDailySummary[Rappi_orders],TableDailySummary[Fecha],"&gt;="&amp;TableWeeklySummary[[#This Row],[Desde]],TableDailySummary[Fecha],"&lt;="&amp;TableWeeklySummary[[#This Row],[Hasta]])</f>
        <v>0</v>
      </c>
      <c r="R9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9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98" s="12">
        <f ca="1">SUMIFS(TableDailySummary[Inversión google ads],TableDailySummary[Fecha],"&gt;="&amp;TableWeeklySummary[[#This Row],[Desde]],TableDailySummary[Fecha],"&lt;="&amp;TableWeeklySummary[[#This Row],[Hasta]])</f>
        <v>0</v>
      </c>
      <c r="U98" s="12">
        <f ca="1">SUMIFS(TableDailySummary[Ventas google ads],TableDailySummary[Fecha],"&gt;="&amp;TableWeeklySummary[[#This Row],[Desde]],TableDailySummary[Fecha],"&lt;="&amp;TableWeeklySummary[[#This Row],[Hasta]])</f>
        <v>0</v>
      </c>
      <c r="V98" s="12">
        <f ca="1">SUMIFS(TableDailySummary[Inversión meta ads],TableDailySummary[Fecha],"&gt;="&amp;TableWeeklySummary[[#This Row],[Desde]],TableDailySummary[Fecha],"&lt;="&amp;TableWeeklySummary[[#This Row],[Hasta]])</f>
        <v>0</v>
      </c>
      <c r="W98" s="12">
        <f ca="1">SUMIFS(TableDailySummary[Ventas meta ads],TableDailySummary[Fecha],"&gt;="&amp;TableWeeklySummary[[#This Row],[Desde]],TableDailySummary[Fecha],"&lt;="&amp;TableWeeklySummary[[#This Row],[Hasta]])</f>
        <v>0</v>
      </c>
      <c r="X98" s="12">
        <f ca="1">TableWeeklySummary[[#This Row],[Inversión google ads]]+TableWeeklySummary[[#This Row],[Inversión meta ads]]</f>
        <v>0</v>
      </c>
      <c r="Y98" s="12">
        <f ca="1">TableWeeklySummary[[#This Row],[Ventas google ads]]+TableWeeklySummary[[#This Row],[Ventas meta ads]]</f>
        <v>0</v>
      </c>
      <c r="Z98" s="14">
        <f ca="1">IFERROR(TableWeeklySummary[[#This Row],[Ventas publicidad]]/TableWeeklySummary[[#This Row],[Inversión publicidad]],0)</f>
        <v>0</v>
      </c>
      <c r="AA98" s="14">
        <f ca="1">IFERROR(TableWeeklySummary[[#This Row],[Ventas primer cliente]]/TableWeeklySummary[[#This Row],[Inversión publicidad]],0)</f>
        <v>0</v>
      </c>
      <c r="AB98" s="14"/>
      <c r="AC98" s="12"/>
      <c r="AI9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9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98" s="12">
        <f ca="1">SUMIFS(TableDailySummary[Utilidad bruta],TableDailySummary[Fecha],"&gt;="&amp;TableWeeklySummary[[#This Row],[Desde]],TableDailySummary[Fecha],"&lt;="&amp;TableWeeklySummary[[#This Row],[Hasta]])</f>
        <v>0</v>
      </c>
      <c r="AL98" s="18">
        <f ca="1">IFERROR(TableWeeklySummary[[#This Row],[Utilidad bruta]]/TableWeeklySummary[[#This Row],[Ventas netas con costo registrado]],0)</f>
        <v>0</v>
      </c>
    </row>
    <row r="99" spans="2:38" x14ac:dyDescent="0.2">
      <c r="B99" s="16">
        <f ca="1">_xlfn.ISOWEEKNUM(TableWeeklySummary[[#This Row],[Hasta]])</f>
        <v>32</v>
      </c>
      <c r="C99" s="6">
        <f t="shared" ca="1" si="2"/>
        <v>46605</v>
      </c>
      <c r="D99" s="6">
        <f ca="1">TableWeeklySummary[[#This Row],[Desde]]+7-1</f>
        <v>46611</v>
      </c>
      <c r="E99" s="12">
        <f ca="1">SUMIFS(TableDailySummary[Ventas netas totales],TableDailySummary[Fecha],"&gt;="&amp;TableWeeklySummary[[#This Row],[Desde]],TableDailySummary[Fecha],"&lt;="&amp;TableWeeklySummary[[#This Row],[Hasta]])</f>
        <v>0</v>
      </c>
      <c r="F99" s="12">
        <f ca="1">SUMIFS(TableDailySummary[Órdenes totales],TableDailySummary[Fecha],"&gt;="&amp;TableWeeklySummary[[#This Row],[Desde]],TableDailySummary[Fecha],"&lt;="&amp;TableWeeklySummary[[#This Row],[Hasta]])</f>
        <v>0</v>
      </c>
      <c r="G99" s="12">
        <f ca="1">IFERROR(TableWeeklySummary[[#This Row],[Ventas netas totales]]/TableWeeklySummary[[#This Row],[Órdenes totales]],0)</f>
        <v>0</v>
      </c>
      <c r="H9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99" s="12">
        <f ca="1">TableWeeklySummary[[#This Row],[Órden promedio totales]]*TableWeeklySummary[[#This Row],[CR totales]]</f>
        <v>0</v>
      </c>
      <c r="J99" s="12">
        <f ca="1">SUMIFS(TableDailySummary[Ventas primer cliente],TableDailySummary[Fecha],"&gt;="&amp;TableWeeklySummary[[#This Row],[Desde]],TableDailySummary[Fecha],"&lt;="&amp;TableWeeklySummary[[#This Row],[Hasta]])</f>
        <v>0</v>
      </c>
      <c r="K99" s="12">
        <f ca="1">SUMIFS(TableDailySummary[Órdenes primer cliente],TableDailySummary[Fecha],"&gt;="&amp;TableWeeklySummary[[#This Row],[Desde]],TableDailySummary[Fecha],"&lt;="&amp;TableWeeklySummary[[#This Row],[Hasta]])</f>
        <v>0</v>
      </c>
      <c r="L99" s="12">
        <f ca="1">SUMIFS(TableDailySummary[Online Store_net_sales],TableDailySummary[Fecha],"&gt;="&amp;TableWeeklySummary[[#This Row],[Desde]],TableDailySummary[Fecha],"&lt;="&amp;TableWeeklySummary[[#This Row],[Hasta]])</f>
        <v>0</v>
      </c>
      <c r="M99" s="12">
        <f ca="1">SUMIFS(TableDailySummary[Online Store_orders],TableDailySummary[Fecha],"&gt;="&amp;TableWeeklySummary[[#This Row],[Desde]],TableDailySummary[Fecha],"&lt;="&amp;TableWeeklySummary[[#This Row],[Hasta]])</f>
        <v>0</v>
      </c>
      <c r="N99" s="12">
        <f ca="1">SUMIFS(TableDailySummary[Tienda 81_net_sales],TableDailySummary[Fecha],"&gt;="&amp;TableWeeklySummary[[#This Row],[Desde]],TableDailySummary[Fecha],"&lt;="&amp;TableWeeklySummary[[#This Row],[Hasta]])</f>
        <v>0</v>
      </c>
      <c r="O99" s="12">
        <f ca="1">SUMIFS(TableDailySummary[Tienda 81_orders],TableDailySummary[Fecha],"&gt;="&amp;TableWeeklySummary[[#This Row],[Desde]],TableDailySummary[Fecha],"&lt;="&amp;TableWeeklySummary[[#This Row],[Hasta]])</f>
        <v>0</v>
      </c>
      <c r="P99" s="12">
        <f ca="1">SUMIFS(TableDailySummary[Rappi_net_sales],TableDailySummary[Fecha],"&gt;="&amp;TableWeeklySummary[[#This Row],[Desde]],TableDailySummary[Fecha],"&lt;="&amp;TableWeeklySummary[[#This Row],[Hasta]])</f>
        <v>0</v>
      </c>
      <c r="Q99" s="12">
        <f ca="1">SUMIFS(TableDailySummary[Rappi_orders],TableDailySummary[Fecha],"&gt;="&amp;TableWeeklySummary[[#This Row],[Desde]],TableDailySummary[Fecha],"&lt;="&amp;TableWeeklySummary[[#This Row],[Hasta]])</f>
        <v>0</v>
      </c>
      <c r="R9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9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99" s="12">
        <f ca="1">SUMIFS(TableDailySummary[Inversión google ads],TableDailySummary[Fecha],"&gt;="&amp;TableWeeklySummary[[#This Row],[Desde]],TableDailySummary[Fecha],"&lt;="&amp;TableWeeklySummary[[#This Row],[Hasta]])</f>
        <v>0</v>
      </c>
      <c r="U99" s="12">
        <f ca="1">SUMIFS(TableDailySummary[Ventas google ads],TableDailySummary[Fecha],"&gt;="&amp;TableWeeklySummary[[#This Row],[Desde]],TableDailySummary[Fecha],"&lt;="&amp;TableWeeklySummary[[#This Row],[Hasta]])</f>
        <v>0</v>
      </c>
      <c r="V99" s="12">
        <f ca="1">SUMIFS(TableDailySummary[Inversión meta ads],TableDailySummary[Fecha],"&gt;="&amp;TableWeeklySummary[[#This Row],[Desde]],TableDailySummary[Fecha],"&lt;="&amp;TableWeeklySummary[[#This Row],[Hasta]])</f>
        <v>0</v>
      </c>
      <c r="W99" s="12">
        <f ca="1">SUMIFS(TableDailySummary[Ventas meta ads],TableDailySummary[Fecha],"&gt;="&amp;TableWeeklySummary[[#This Row],[Desde]],TableDailySummary[Fecha],"&lt;="&amp;TableWeeklySummary[[#This Row],[Hasta]])</f>
        <v>0</v>
      </c>
      <c r="X99" s="12">
        <f ca="1">TableWeeklySummary[[#This Row],[Inversión google ads]]+TableWeeklySummary[[#This Row],[Inversión meta ads]]</f>
        <v>0</v>
      </c>
      <c r="Y99" s="12">
        <f ca="1">TableWeeklySummary[[#This Row],[Ventas google ads]]+TableWeeklySummary[[#This Row],[Ventas meta ads]]</f>
        <v>0</v>
      </c>
      <c r="Z99" s="14">
        <f ca="1">IFERROR(TableWeeklySummary[[#This Row],[Ventas publicidad]]/TableWeeklySummary[[#This Row],[Inversión publicidad]],0)</f>
        <v>0</v>
      </c>
      <c r="AA99" s="14">
        <f ca="1">IFERROR(TableWeeklySummary[[#This Row],[Ventas primer cliente]]/TableWeeklySummary[[#This Row],[Inversión publicidad]],0)</f>
        <v>0</v>
      </c>
      <c r="AB99" s="14"/>
      <c r="AC99" s="12"/>
      <c r="AI9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9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99" s="12">
        <f ca="1">SUMIFS(TableDailySummary[Utilidad bruta],TableDailySummary[Fecha],"&gt;="&amp;TableWeeklySummary[[#This Row],[Desde]],TableDailySummary[Fecha],"&lt;="&amp;TableWeeklySummary[[#This Row],[Hasta]])</f>
        <v>0</v>
      </c>
      <c r="AL99" s="18">
        <f ca="1">IFERROR(TableWeeklySummary[[#This Row],[Utilidad bruta]]/TableWeeklySummary[[#This Row],[Ventas netas con costo registrado]],0)</f>
        <v>0</v>
      </c>
    </row>
    <row r="100" spans="2:38" x14ac:dyDescent="0.2">
      <c r="B100" s="16">
        <f ca="1">_xlfn.ISOWEEKNUM(TableWeeklySummary[[#This Row],[Hasta]])</f>
        <v>33</v>
      </c>
      <c r="C100" s="6">
        <f t="shared" ca="1" si="2"/>
        <v>46612</v>
      </c>
      <c r="D100" s="6">
        <f ca="1">TableWeeklySummary[[#This Row],[Desde]]+7-1</f>
        <v>46618</v>
      </c>
      <c r="E100" s="12">
        <f ca="1">SUMIFS(TableDailySummary[Ventas netas totales],TableDailySummary[Fecha],"&gt;="&amp;TableWeeklySummary[[#This Row],[Desde]],TableDailySummary[Fecha],"&lt;="&amp;TableWeeklySummary[[#This Row],[Hasta]])</f>
        <v>0</v>
      </c>
      <c r="F100" s="12">
        <f ca="1">SUMIFS(TableDailySummary[Órdenes totales],TableDailySummary[Fecha],"&gt;="&amp;TableWeeklySummary[[#This Row],[Desde]],TableDailySummary[Fecha],"&lt;="&amp;TableWeeklySummary[[#This Row],[Hasta]])</f>
        <v>0</v>
      </c>
      <c r="G100" s="12">
        <f ca="1">IFERROR(TableWeeklySummary[[#This Row],[Ventas netas totales]]/TableWeeklySummary[[#This Row],[Órdenes totales]],0)</f>
        <v>0</v>
      </c>
      <c r="H10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00" s="12">
        <f ca="1">TableWeeklySummary[[#This Row],[Órden promedio totales]]*TableWeeklySummary[[#This Row],[CR totales]]</f>
        <v>0</v>
      </c>
      <c r="J100" s="12">
        <f ca="1">SUMIFS(TableDailySummary[Ventas primer cliente],TableDailySummary[Fecha],"&gt;="&amp;TableWeeklySummary[[#This Row],[Desde]],TableDailySummary[Fecha],"&lt;="&amp;TableWeeklySummary[[#This Row],[Hasta]])</f>
        <v>0</v>
      </c>
      <c r="K100" s="12">
        <f ca="1">SUMIFS(TableDailySummary[Órdenes primer cliente],TableDailySummary[Fecha],"&gt;="&amp;TableWeeklySummary[[#This Row],[Desde]],TableDailySummary[Fecha],"&lt;="&amp;TableWeeklySummary[[#This Row],[Hasta]])</f>
        <v>0</v>
      </c>
      <c r="L100" s="12">
        <f ca="1">SUMIFS(TableDailySummary[Online Store_net_sales],TableDailySummary[Fecha],"&gt;="&amp;TableWeeklySummary[[#This Row],[Desde]],TableDailySummary[Fecha],"&lt;="&amp;TableWeeklySummary[[#This Row],[Hasta]])</f>
        <v>0</v>
      </c>
      <c r="M100" s="12">
        <f ca="1">SUMIFS(TableDailySummary[Online Store_orders],TableDailySummary[Fecha],"&gt;="&amp;TableWeeklySummary[[#This Row],[Desde]],TableDailySummary[Fecha],"&lt;="&amp;TableWeeklySummary[[#This Row],[Hasta]])</f>
        <v>0</v>
      </c>
      <c r="N100" s="12">
        <f ca="1">SUMIFS(TableDailySummary[Tienda 81_net_sales],TableDailySummary[Fecha],"&gt;="&amp;TableWeeklySummary[[#This Row],[Desde]],TableDailySummary[Fecha],"&lt;="&amp;TableWeeklySummary[[#This Row],[Hasta]])</f>
        <v>0</v>
      </c>
      <c r="O100" s="12">
        <f ca="1">SUMIFS(TableDailySummary[Tienda 81_orders],TableDailySummary[Fecha],"&gt;="&amp;TableWeeklySummary[[#This Row],[Desde]],TableDailySummary[Fecha],"&lt;="&amp;TableWeeklySummary[[#This Row],[Hasta]])</f>
        <v>0</v>
      </c>
      <c r="P100" s="12">
        <f ca="1">SUMIFS(TableDailySummary[Rappi_net_sales],TableDailySummary[Fecha],"&gt;="&amp;TableWeeklySummary[[#This Row],[Desde]],TableDailySummary[Fecha],"&lt;="&amp;TableWeeklySummary[[#This Row],[Hasta]])</f>
        <v>0</v>
      </c>
      <c r="Q100" s="12">
        <f ca="1">SUMIFS(TableDailySummary[Rappi_orders],TableDailySummary[Fecha],"&gt;="&amp;TableWeeklySummary[[#This Row],[Desde]],TableDailySummary[Fecha],"&lt;="&amp;TableWeeklySummary[[#This Row],[Hasta]])</f>
        <v>0</v>
      </c>
      <c r="R10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0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00" s="12">
        <f ca="1">SUMIFS(TableDailySummary[Inversión google ads],TableDailySummary[Fecha],"&gt;="&amp;TableWeeklySummary[[#This Row],[Desde]],TableDailySummary[Fecha],"&lt;="&amp;TableWeeklySummary[[#This Row],[Hasta]])</f>
        <v>0</v>
      </c>
      <c r="U100" s="12">
        <f ca="1">SUMIFS(TableDailySummary[Ventas google ads],TableDailySummary[Fecha],"&gt;="&amp;TableWeeklySummary[[#This Row],[Desde]],TableDailySummary[Fecha],"&lt;="&amp;TableWeeklySummary[[#This Row],[Hasta]])</f>
        <v>0</v>
      </c>
      <c r="V100" s="12">
        <f ca="1">SUMIFS(TableDailySummary[Inversión meta ads],TableDailySummary[Fecha],"&gt;="&amp;TableWeeklySummary[[#This Row],[Desde]],TableDailySummary[Fecha],"&lt;="&amp;TableWeeklySummary[[#This Row],[Hasta]])</f>
        <v>0</v>
      </c>
      <c r="W100" s="12">
        <f ca="1">SUMIFS(TableDailySummary[Ventas meta ads],TableDailySummary[Fecha],"&gt;="&amp;TableWeeklySummary[[#This Row],[Desde]],TableDailySummary[Fecha],"&lt;="&amp;TableWeeklySummary[[#This Row],[Hasta]])</f>
        <v>0</v>
      </c>
      <c r="X100" s="12">
        <f ca="1">TableWeeklySummary[[#This Row],[Inversión google ads]]+TableWeeklySummary[[#This Row],[Inversión meta ads]]</f>
        <v>0</v>
      </c>
      <c r="Y100" s="12">
        <f ca="1">TableWeeklySummary[[#This Row],[Ventas google ads]]+TableWeeklySummary[[#This Row],[Ventas meta ads]]</f>
        <v>0</v>
      </c>
      <c r="Z100" s="14">
        <f ca="1">IFERROR(TableWeeklySummary[[#This Row],[Ventas publicidad]]/TableWeeklySummary[[#This Row],[Inversión publicidad]],0)</f>
        <v>0</v>
      </c>
      <c r="AA100" s="14">
        <f ca="1">IFERROR(TableWeeklySummary[[#This Row],[Ventas primer cliente]]/TableWeeklySummary[[#This Row],[Inversión publicidad]],0)</f>
        <v>0</v>
      </c>
      <c r="AB100" s="14"/>
      <c r="AC100" s="12"/>
      <c r="AI10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0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00" s="12">
        <f ca="1">SUMIFS(TableDailySummary[Utilidad bruta],TableDailySummary[Fecha],"&gt;="&amp;TableWeeklySummary[[#This Row],[Desde]],TableDailySummary[Fecha],"&lt;="&amp;TableWeeklySummary[[#This Row],[Hasta]])</f>
        <v>0</v>
      </c>
      <c r="AL100" s="18">
        <f ca="1">IFERROR(TableWeeklySummary[[#This Row],[Utilidad bruta]]/TableWeeklySummary[[#This Row],[Ventas netas con costo registrado]],0)</f>
        <v>0</v>
      </c>
    </row>
    <row r="101" spans="2:38" x14ac:dyDescent="0.2">
      <c r="B101" s="16">
        <f ca="1">_xlfn.ISOWEEKNUM(TableWeeklySummary[[#This Row],[Hasta]])</f>
        <v>34</v>
      </c>
      <c r="C101" s="6">
        <f t="shared" ca="1" si="2"/>
        <v>46619</v>
      </c>
      <c r="D101" s="6">
        <f ca="1">TableWeeklySummary[[#This Row],[Desde]]+7-1</f>
        <v>46625</v>
      </c>
      <c r="E101" s="12">
        <f ca="1">SUMIFS(TableDailySummary[Ventas netas totales],TableDailySummary[Fecha],"&gt;="&amp;TableWeeklySummary[[#This Row],[Desde]],TableDailySummary[Fecha],"&lt;="&amp;TableWeeklySummary[[#This Row],[Hasta]])</f>
        <v>0</v>
      </c>
      <c r="F101" s="12">
        <f ca="1">SUMIFS(TableDailySummary[Órdenes totales],TableDailySummary[Fecha],"&gt;="&amp;TableWeeklySummary[[#This Row],[Desde]],TableDailySummary[Fecha],"&lt;="&amp;TableWeeklySummary[[#This Row],[Hasta]])</f>
        <v>0</v>
      </c>
      <c r="G101" s="12">
        <f ca="1">IFERROR(TableWeeklySummary[[#This Row],[Ventas netas totales]]/TableWeeklySummary[[#This Row],[Órdenes totales]],0)</f>
        <v>0</v>
      </c>
      <c r="H10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01" s="12">
        <f ca="1">TableWeeklySummary[[#This Row],[Órden promedio totales]]*TableWeeklySummary[[#This Row],[CR totales]]</f>
        <v>0</v>
      </c>
      <c r="J101" s="12">
        <f ca="1">SUMIFS(TableDailySummary[Ventas primer cliente],TableDailySummary[Fecha],"&gt;="&amp;TableWeeklySummary[[#This Row],[Desde]],TableDailySummary[Fecha],"&lt;="&amp;TableWeeklySummary[[#This Row],[Hasta]])</f>
        <v>0</v>
      </c>
      <c r="K101" s="12">
        <f ca="1">SUMIFS(TableDailySummary[Órdenes primer cliente],TableDailySummary[Fecha],"&gt;="&amp;TableWeeklySummary[[#This Row],[Desde]],TableDailySummary[Fecha],"&lt;="&amp;TableWeeklySummary[[#This Row],[Hasta]])</f>
        <v>0</v>
      </c>
      <c r="L101" s="12">
        <f ca="1">SUMIFS(TableDailySummary[Online Store_net_sales],TableDailySummary[Fecha],"&gt;="&amp;TableWeeklySummary[[#This Row],[Desde]],TableDailySummary[Fecha],"&lt;="&amp;TableWeeklySummary[[#This Row],[Hasta]])</f>
        <v>0</v>
      </c>
      <c r="M101" s="12">
        <f ca="1">SUMIFS(TableDailySummary[Online Store_orders],TableDailySummary[Fecha],"&gt;="&amp;TableWeeklySummary[[#This Row],[Desde]],TableDailySummary[Fecha],"&lt;="&amp;TableWeeklySummary[[#This Row],[Hasta]])</f>
        <v>0</v>
      </c>
      <c r="N101" s="12">
        <f ca="1">SUMIFS(TableDailySummary[Tienda 81_net_sales],TableDailySummary[Fecha],"&gt;="&amp;TableWeeklySummary[[#This Row],[Desde]],TableDailySummary[Fecha],"&lt;="&amp;TableWeeklySummary[[#This Row],[Hasta]])</f>
        <v>0</v>
      </c>
      <c r="O101" s="12">
        <f ca="1">SUMIFS(TableDailySummary[Tienda 81_orders],TableDailySummary[Fecha],"&gt;="&amp;TableWeeklySummary[[#This Row],[Desde]],TableDailySummary[Fecha],"&lt;="&amp;TableWeeklySummary[[#This Row],[Hasta]])</f>
        <v>0</v>
      </c>
      <c r="P101" s="12">
        <f ca="1">SUMIFS(TableDailySummary[Rappi_net_sales],TableDailySummary[Fecha],"&gt;="&amp;TableWeeklySummary[[#This Row],[Desde]],TableDailySummary[Fecha],"&lt;="&amp;TableWeeklySummary[[#This Row],[Hasta]])</f>
        <v>0</v>
      </c>
      <c r="Q101" s="12">
        <f ca="1">SUMIFS(TableDailySummary[Rappi_orders],TableDailySummary[Fecha],"&gt;="&amp;TableWeeklySummary[[#This Row],[Desde]],TableDailySummary[Fecha],"&lt;="&amp;TableWeeklySummary[[#This Row],[Hasta]])</f>
        <v>0</v>
      </c>
      <c r="R10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0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01" s="12">
        <f ca="1">SUMIFS(TableDailySummary[Inversión google ads],TableDailySummary[Fecha],"&gt;="&amp;TableWeeklySummary[[#This Row],[Desde]],TableDailySummary[Fecha],"&lt;="&amp;TableWeeklySummary[[#This Row],[Hasta]])</f>
        <v>0</v>
      </c>
      <c r="U101" s="12">
        <f ca="1">SUMIFS(TableDailySummary[Ventas google ads],TableDailySummary[Fecha],"&gt;="&amp;TableWeeklySummary[[#This Row],[Desde]],TableDailySummary[Fecha],"&lt;="&amp;TableWeeklySummary[[#This Row],[Hasta]])</f>
        <v>0</v>
      </c>
      <c r="V101" s="12">
        <f ca="1">SUMIFS(TableDailySummary[Inversión meta ads],TableDailySummary[Fecha],"&gt;="&amp;TableWeeklySummary[[#This Row],[Desde]],TableDailySummary[Fecha],"&lt;="&amp;TableWeeklySummary[[#This Row],[Hasta]])</f>
        <v>0</v>
      </c>
      <c r="W101" s="12">
        <f ca="1">SUMIFS(TableDailySummary[Ventas meta ads],TableDailySummary[Fecha],"&gt;="&amp;TableWeeklySummary[[#This Row],[Desde]],TableDailySummary[Fecha],"&lt;="&amp;TableWeeklySummary[[#This Row],[Hasta]])</f>
        <v>0</v>
      </c>
      <c r="X101" s="12">
        <f ca="1">TableWeeklySummary[[#This Row],[Inversión google ads]]+TableWeeklySummary[[#This Row],[Inversión meta ads]]</f>
        <v>0</v>
      </c>
      <c r="Y101" s="12">
        <f ca="1">TableWeeklySummary[[#This Row],[Ventas google ads]]+TableWeeklySummary[[#This Row],[Ventas meta ads]]</f>
        <v>0</v>
      </c>
      <c r="Z101" s="14">
        <f ca="1">IFERROR(TableWeeklySummary[[#This Row],[Ventas publicidad]]/TableWeeklySummary[[#This Row],[Inversión publicidad]],0)</f>
        <v>0</v>
      </c>
      <c r="AA101" s="14">
        <f ca="1">IFERROR(TableWeeklySummary[[#This Row],[Ventas primer cliente]]/TableWeeklySummary[[#This Row],[Inversión publicidad]],0)</f>
        <v>0</v>
      </c>
      <c r="AB101" s="14"/>
      <c r="AC101" s="12"/>
      <c r="AI10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0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01" s="12">
        <f ca="1">SUMIFS(TableDailySummary[Utilidad bruta],TableDailySummary[Fecha],"&gt;="&amp;TableWeeklySummary[[#This Row],[Desde]],TableDailySummary[Fecha],"&lt;="&amp;TableWeeklySummary[[#This Row],[Hasta]])</f>
        <v>0</v>
      </c>
      <c r="AL101" s="18">
        <f ca="1">IFERROR(TableWeeklySummary[[#This Row],[Utilidad bruta]]/TableWeeklySummary[[#This Row],[Ventas netas con costo registrado]],0)</f>
        <v>0</v>
      </c>
    </row>
    <row r="102" spans="2:38" x14ac:dyDescent="0.2">
      <c r="B102" s="16">
        <f ca="1">_xlfn.ISOWEEKNUM(TableWeeklySummary[[#This Row],[Hasta]])</f>
        <v>35</v>
      </c>
      <c r="C102" s="6">
        <f t="shared" ca="1" si="2"/>
        <v>46626</v>
      </c>
      <c r="D102" s="6">
        <f ca="1">TableWeeklySummary[[#This Row],[Desde]]+7-1</f>
        <v>46632</v>
      </c>
      <c r="E102" s="12">
        <f ca="1">SUMIFS(TableDailySummary[Ventas netas totales],TableDailySummary[Fecha],"&gt;="&amp;TableWeeklySummary[[#This Row],[Desde]],TableDailySummary[Fecha],"&lt;="&amp;TableWeeklySummary[[#This Row],[Hasta]])</f>
        <v>0</v>
      </c>
      <c r="F102" s="12">
        <f ca="1">SUMIFS(TableDailySummary[Órdenes totales],TableDailySummary[Fecha],"&gt;="&amp;TableWeeklySummary[[#This Row],[Desde]],TableDailySummary[Fecha],"&lt;="&amp;TableWeeklySummary[[#This Row],[Hasta]])</f>
        <v>0</v>
      </c>
      <c r="G102" s="12">
        <f ca="1">IFERROR(TableWeeklySummary[[#This Row],[Ventas netas totales]]/TableWeeklySummary[[#This Row],[Órdenes totales]],0)</f>
        <v>0</v>
      </c>
      <c r="H10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02" s="12">
        <f ca="1">TableWeeklySummary[[#This Row],[Órden promedio totales]]*TableWeeklySummary[[#This Row],[CR totales]]</f>
        <v>0</v>
      </c>
      <c r="J102" s="12">
        <f ca="1">SUMIFS(TableDailySummary[Ventas primer cliente],TableDailySummary[Fecha],"&gt;="&amp;TableWeeklySummary[[#This Row],[Desde]],TableDailySummary[Fecha],"&lt;="&amp;TableWeeklySummary[[#This Row],[Hasta]])</f>
        <v>0</v>
      </c>
      <c r="K102" s="12">
        <f ca="1">SUMIFS(TableDailySummary[Órdenes primer cliente],TableDailySummary[Fecha],"&gt;="&amp;TableWeeklySummary[[#This Row],[Desde]],TableDailySummary[Fecha],"&lt;="&amp;TableWeeklySummary[[#This Row],[Hasta]])</f>
        <v>0</v>
      </c>
      <c r="L102" s="12">
        <f ca="1">SUMIFS(TableDailySummary[Online Store_net_sales],TableDailySummary[Fecha],"&gt;="&amp;TableWeeklySummary[[#This Row],[Desde]],TableDailySummary[Fecha],"&lt;="&amp;TableWeeklySummary[[#This Row],[Hasta]])</f>
        <v>0</v>
      </c>
      <c r="M102" s="12">
        <f ca="1">SUMIFS(TableDailySummary[Online Store_orders],TableDailySummary[Fecha],"&gt;="&amp;TableWeeklySummary[[#This Row],[Desde]],TableDailySummary[Fecha],"&lt;="&amp;TableWeeklySummary[[#This Row],[Hasta]])</f>
        <v>0</v>
      </c>
      <c r="N102" s="12">
        <f ca="1">SUMIFS(TableDailySummary[Tienda 81_net_sales],TableDailySummary[Fecha],"&gt;="&amp;TableWeeklySummary[[#This Row],[Desde]],TableDailySummary[Fecha],"&lt;="&amp;TableWeeklySummary[[#This Row],[Hasta]])</f>
        <v>0</v>
      </c>
      <c r="O102" s="12">
        <f ca="1">SUMIFS(TableDailySummary[Tienda 81_orders],TableDailySummary[Fecha],"&gt;="&amp;TableWeeklySummary[[#This Row],[Desde]],TableDailySummary[Fecha],"&lt;="&amp;TableWeeklySummary[[#This Row],[Hasta]])</f>
        <v>0</v>
      </c>
      <c r="P102" s="12">
        <f ca="1">SUMIFS(TableDailySummary[Rappi_net_sales],TableDailySummary[Fecha],"&gt;="&amp;TableWeeklySummary[[#This Row],[Desde]],TableDailySummary[Fecha],"&lt;="&amp;TableWeeklySummary[[#This Row],[Hasta]])</f>
        <v>0</v>
      </c>
      <c r="Q102" s="12">
        <f ca="1">SUMIFS(TableDailySummary[Rappi_orders],TableDailySummary[Fecha],"&gt;="&amp;TableWeeklySummary[[#This Row],[Desde]],TableDailySummary[Fecha],"&lt;="&amp;TableWeeklySummary[[#This Row],[Hasta]])</f>
        <v>0</v>
      </c>
      <c r="R10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0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02" s="12">
        <f ca="1">SUMIFS(TableDailySummary[Inversión google ads],TableDailySummary[Fecha],"&gt;="&amp;TableWeeklySummary[[#This Row],[Desde]],TableDailySummary[Fecha],"&lt;="&amp;TableWeeklySummary[[#This Row],[Hasta]])</f>
        <v>0</v>
      </c>
      <c r="U102" s="12">
        <f ca="1">SUMIFS(TableDailySummary[Ventas google ads],TableDailySummary[Fecha],"&gt;="&amp;TableWeeklySummary[[#This Row],[Desde]],TableDailySummary[Fecha],"&lt;="&amp;TableWeeklySummary[[#This Row],[Hasta]])</f>
        <v>0</v>
      </c>
      <c r="V102" s="12">
        <f ca="1">SUMIFS(TableDailySummary[Inversión meta ads],TableDailySummary[Fecha],"&gt;="&amp;TableWeeklySummary[[#This Row],[Desde]],TableDailySummary[Fecha],"&lt;="&amp;TableWeeklySummary[[#This Row],[Hasta]])</f>
        <v>0</v>
      </c>
      <c r="W102" s="12">
        <f ca="1">SUMIFS(TableDailySummary[Ventas meta ads],TableDailySummary[Fecha],"&gt;="&amp;TableWeeklySummary[[#This Row],[Desde]],TableDailySummary[Fecha],"&lt;="&amp;TableWeeklySummary[[#This Row],[Hasta]])</f>
        <v>0</v>
      </c>
      <c r="X102" s="12">
        <f ca="1">TableWeeklySummary[[#This Row],[Inversión google ads]]+TableWeeklySummary[[#This Row],[Inversión meta ads]]</f>
        <v>0</v>
      </c>
      <c r="Y102" s="12">
        <f ca="1">TableWeeklySummary[[#This Row],[Ventas google ads]]+TableWeeklySummary[[#This Row],[Ventas meta ads]]</f>
        <v>0</v>
      </c>
      <c r="Z102" s="14">
        <f ca="1">IFERROR(TableWeeklySummary[[#This Row],[Ventas publicidad]]/TableWeeklySummary[[#This Row],[Inversión publicidad]],0)</f>
        <v>0</v>
      </c>
      <c r="AA102" s="14">
        <f ca="1">IFERROR(TableWeeklySummary[[#This Row],[Ventas primer cliente]]/TableWeeklySummary[[#This Row],[Inversión publicidad]],0)</f>
        <v>0</v>
      </c>
      <c r="AB102" s="14"/>
      <c r="AC102" s="12"/>
      <c r="AI10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0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02" s="12">
        <f ca="1">SUMIFS(TableDailySummary[Utilidad bruta],TableDailySummary[Fecha],"&gt;="&amp;TableWeeklySummary[[#This Row],[Desde]],TableDailySummary[Fecha],"&lt;="&amp;TableWeeklySummary[[#This Row],[Hasta]])</f>
        <v>0</v>
      </c>
      <c r="AL102" s="18">
        <f ca="1">IFERROR(TableWeeklySummary[[#This Row],[Utilidad bruta]]/TableWeeklySummary[[#This Row],[Ventas netas con costo registrado]],0)</f>
        <v>0</v>
      </c>
    </row>
    <row r="103" spans="2:38" x14ac:dyDescent="0.2">
      <c r="B103" s="16">
        <f ca="1">_xlfn.ISOWEEKNUM(TableWeeklySummary[[#This Row],[Hasta]])</f>
        <v>36</v>
      </c>
      <c r="C103" s="6">
        <f t="shared" ca="1" si="2"/>
        <v>46633</v>
      </c>
      <c r="D103" s="6">
        <f ca="1">TableWeeklySummary[[#This Row],[Desde]]+7-1</f>
        <v>46639</v>
      </c>
      <c r="E103" s="12">
        <f ca="1">SUMIFS(TableDailySummary[Ventas netas totales],TableDailySummary[Fecha],"&gt;="&amp;TableWeeklySummary[[#This Row],[Desde]],TableDailySummary[Fecha],"&lt;="&amp;TableWeeklySummary[[#This Row],[Hasta]])</f>
        <v>0</v>
      </c>
      <c r="F103" s="12">
        <f ca="1">SUMIFS(TableDailySummary[Órdenes totales],TableDailySummary[Fecha],"&gt;="&amp;TableWeeklySummary[[#This Row],[Desde]],TableDailySummary[Fecha],"&lt;="&amp;TableWeeklySummary[[#This Row],[Hasta]])</f>
        <v>0</v>
      </c>
      <c r="G103" s="12">
        <f ca="1">IFERROR(TableWeeklySummary[[#This Row],[Ventas netas totales]]/TableWeeklySummary[[#This Row],[Órdenes totales]],0)</f>
        <v>0</v>
      </c>
      <c r="H10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03" s="12">
        <f ca="1">TableWeeklySummary[[#This Row],[Órden promedio totales]]*TableWeeklySummary[[#This Row],[CR totales]]</f>
        <v>0</v>
      </c>
      <c r="J103" s="12">
        <f ca="1">SUMIFS(TableDailySummary[Ventas primer cliente],TableDailySummary[Fecha],"&gt;="&amp;TableWeeklySummary[[#This Row],[Desde]],TableDailySummary[Fecha],"&lt;="&amp;TableWeeklySummary[[#This Row],[Hasta]])</f>
        <v>0</v>
      </c>
      <c r="K103" s="12">
        <f ca="1">SUMIFS(TableDailySummary[Órdenes primer cliente],TableDailySummary[Fecha],"&gt;="&amp;TableWeeklySummary[[#This Row],[Desde]],TableDailySummary[Fecha],"&lt;="&amp;TableWeeklySummary[[#This Row],[Hasta]])</f>
        <v>0</v>
      </c>
      <c r="L103" s="12">
        <f ca="1">SUMIFS(TableDailySummary[Online Store_net_sales],TableDailySummary[Fecha],"&gt;="&amp;TableWeeklySummary[[#This Row],[Desde]],TableDailySummary[Fecha],"&lt;="&amp;TableWeeklySummary[[#This Row],[Hasta]])</f>
        <v>0</v>
      </c>
      <c r="M103" s="12">
        <f ca="1">SUMIFS(TableDailySummary[Online Store_orders],TableDailySummary[Fecha],"&gt;="&amp;TableWeeklySummary[[#This Row],[Desde]],TableDailySummary[Fecha],"&lt;="&amp;TableWeeklySummary[[#This Row],[Hasta]])</f>
        <v>0</v>
      </c>
      <c r="N103" s="12">
        <f ca="1">SUMIFS(TableDailySummary[Tienda 81_net_sales],TableDailySummary[Fecha],"&gt;="&amp;TableWeeklySummary[[#This Row],[Desde]],TableDailySummary[Fecha],"&lt;="&amp;TableWeeklySummary[[#This Row],[Hasta]])</f>
        <v>0</v>
      </c>
      <c r="O103" s="12">
        <f ca="1">SUMIFS(TableDailySummary[Tienda 81_orders],TableDailySummary[Fecha],"&gt;="&amp;TableWeeklySummary[[#This Row],[Desde]],TableDailySummary[Fecha],"&lt;="&amp;TableWeeklySummary[[#This Row],[Hasta]])</f>
        <v>0</v>
      </c>
      <c r="P103" s="12">
        <f ca="1">SUMIFS(TableDailySummary[Rappi_net_sales],TableDailySummary[Fecha],"&gt;="&amp;TableWeeklySummary[[#This Row],[Desde]],TableDailySummary[Fecha],"&lt;="&amp;TableWeeklySummary[[#This Row],[Hasta]])</f>
        <v>0</v>
      </c>
      <c r="Q103" s="12">
        <f ca="1">SUMIFS(TableDailySummary[Rappi_orders],TableDailySummary[Fecha],"&gt;="&amp;TableWeeklySummary[[#This Row],[Desde]],TableDailySummary[Fecha],"&lt;="&amp;TableWeeklySummary[[#This Row],[Hasta]])</f>
        <v>0</v>
      </c>
      <c r="R10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0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03" s="12">
        <f ca="1">SUMIFS(TableDailySummary[Inversión google ads],TableDailySummary[Fecha],"&gt;="&amp;TableWeeklySummary[[#This Row],[Desde]],TableDailySummary[Fecha],"&lt;="&amp;TableWeeklySummary[[#This Row],[Hasta]])</f>
        <v>0</v>
      </c>
      <c r="U103" s="12">
        <f ca="1">SUMIFS(TableDailySummary[Ventas google ads],TableDailySummary[Fecha],"&gt;="&amp;TableWeeklySummary[[#This Row],[Desde]],TableDailySummary[Fecha],"&lt;="&amp;TableWeeklySummary[[#This Row],[Hasta]])</f>
        <v>0</v>
      </c>
      <c r="V103" s="12">
        <f ca="1">SUMIFS(TableDailySummary[Inversión meta ads],TableDailySummary[Fecha],"&gt;="&amp;TableWeeklySummary[[#This Row],[Desde]],TableDailySummary[Fecha],"&lt;="&amp;TableWeeklySummary[[#This Row],[Hasta]])</f>
        <v>0</v>
      </c>
      <c r="W103" s="12">
        <f ca="1">SUMIFS(TableDailySummary[Ventas meta ads],TableDailySummary[Fecha],"&gt;="&amp;TableWeeklySummary[[#This Row],[Desde]],TableDailySummary[Fecha],"&lt;="&amp;TableWeeklySummary[[#This Row],[Hasta]])</f>
        <v>0</v>
      </c>
      <c r="X103" s="12">
        <f ca="1">TableWeeklySummary[[#This Row],[Inversión google ads]]+TableWeeklySummary[[#This Row],[Inversión meta ads]]</f>
        <v>0</v>
      </c>
      <c r="Y103" s="12">
        <f ca="1">TableWeeklySummary[[#This Row],[Ventas google ads]]+TableWeeklySummary[[#This Row],[Ventas meta ads]]</f>
        <v>0</v>
      </c>
      <c r="Z103" s="14">
        <f ca="1">IFERROR(TableWeeklySummary[[#This Row],[Ventas publicidad]]/TableWeeklySummary[[#This Row],[Inversión publicidad]],0)</f>
        <v>0</v>
      </c>
      <c r="AA103" s="14">
        <f ca="1">IFERROR(TableWeeklySummary[[#This Row],[Ventas primer cliente]]/TableWeeklySummary[[#This Row],[Inversión publicidad]],0)</f>
        <v>0</v>
      </c>
      <c r="AB103" s="14"/>
      <c r="AC103" s="12"/>
      <c r="AI10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0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03" s="12">
        <f ca="1">SUMIFS(TableDailySummary[Utilidad bruta],TableDailySummary[Fecha],"&gt;="&amp;TableWeeklySummary[[#This Row],[Desde]],TableDailySummary[Fecha],"&lt;="&amp;TableWeeklySummary[[#This Row],[Hasta]])</f>
        <v>0</v>
      </c>
      <c r="AL103" s="18">
        <f ca="1">IFERROR(TableWeeklySummary[[#This Row],[Utilidad bruta]]/TableWeeklySummary[[#This Row],[Ventas netas con costo registrado]],0)</f>
        <v>0</v>
      </c>
    </row>
    <row r="104" spans="2:38" x14ac:dyDescent="0.2">
      <c r="B104" s="16">
        <f ca="1">_xlfn.ISOWEEKNUM(TableWeeklySummary[[#This Row],[Hasta]])</f>
        <v>37</v>
      </c>
      <c r="C104" s="6">
        <f t="shared" ref="C104:C127" ca="1" si="3">_xlfn.LET(
    _xlpm.fechaini, ParamFechaInicioReporte,
    _xlpm.start_friday, IF(WEEKDAY(_xlpm.fechaini, 1) = 6, _xlpm.fechaini, _xlpm.fechaini - MOD(WEEKDAY(_xlpm.fechaini, 1) + 1, 7)),
    IF(ROW()=8, _xlpm.start_friday, C103 + 7)
)</f>
        <v>46640</v>
      </c>
      <c r="D104" s="6">
        <f ca="1">TableWeeklySummary[[#This Row],[Desde]]+7-1</f>
        <v>46646</v>
      </c>
      <c r="E104" s="12">
        <f ca="1">SUMIFS(TableDailySummary[Ventas netas totales],TableDailySummary[Fecha],"&gt;="&amp;TableWeeklySummary[[#This Row],[Desde]],TableDailySummary[Fecha],"&lt;="&amp;TableWeeklySummary[[#This Row],[Hasta]])</f>
        <v>0</v>
      </c>
      <c r="F104" s="12">
        <f ca="1">SUMIFS(TableDailySummary[Órdenes totales],TableDailySummary[Fecha],"&gt;="&amp;TableWeeklySummary[[#This Row],[Desde]],TableDailySummary[Fecha],"&lt;="&amp;TableWeeklySummary[[#This Row],[Hasta]])</f>
        <v>0</v>
      </c>
      <c r="G104" s="12">
        <f ca="1">IFERROR(TableWeeklySummary[[#This Row],[Ventas netas totales]]/TableWeeklySummary[[#This Row],[Órdenes totales]],0)</f>
        <v>0</v>
      </c>
      <c r="H10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04" s="12">
        <f ca="1">TableWeeklySummary[[#This Row],[Órden promedio totales]]*TableWeeklySummary[[#This Row],[CR totales]]</f>
        <v>0</v>
      </c>
      <c r="J104" s="12">
        <f ca="1">SUMIFS(TableDailySummary[Ventas primer cliente],TableDailySummary[Fecha],"&gt;="&amp;TableWeeklySummary[[#This Row],[Desde]],TableDailySummary[Fecha],"&lt;="&amp;TableWeeklySummary[[#This Row],[Hasta]])</f>
        <v>0</v>
      </c>
      <c r="K104" s="12">
        <f ca="1">SUMIFS(TableDailySummary[Órdenes primer cliente],TableDailySummary[Fecha],"&gt;="&amp;TableWeeklySummary[[#This Row],[Desde]],TableDailySummary[Fecha],"&lt;="&amp;TableWeeklySummary[[#This Row],[Hasta]])</f>
        <v>0</v>
      </c>
      <c r="L104" s="12">
        <f ca="1">SUMIFS(TableDailySummary[Online Store_net_sales],TableDailySummary[Fecha],"&gt;="&amp;TableWeeklySummary[[#This Row],[Desde]],TableDailySummary[Fecha],"&lt;="&amp;TableWeeklySummary[[#This Row],[Hasta]])</f>
        <v>0</v>
      </c>
      <c r="M104" s="12">
        <f ca="1">SUMIFS(TableDailySummary[Online Store_orders],TableDailySummary[Fecha],"&gt;="&amp;TableWeeklySummary[[#This Row],[Desde]],TableDailySummary[Fecha],"&lt;="&amp;TableWeeklySummary[[#This Row],[Hasta]])</f>
        <v>0</v>
      </c>
      <c r="N104" s="12">
        <f ca="1">SUMIFS(TableDailySummary[Tienda 81_net_sales],TableDailySummary[Fecha],"&gt;="&amp;TableWeeklySummary[[#This Row],[Desde]],TableDailySummary[Fecha],"&lt;="&amp;TableWeeklySummary[[#This Row],[Hasta]])</f>
        <v>0</v>
      </c>
      <c r="O104" s="12">
        <f ca="1">SUMIFS(TableDailySummary[Tienda 81_orders],TableDailySummary[Fecha],"&gt;="&amp;TableWeeklySummary[[#This Row],[Desde]],TableDailySummary[Fecha],"&lt;="&amp;TableWeeklySummary[[#This Row],[Hasta]])</f>
        <v>0</v>
      </c>
      <c r="P104" s="12">
        <f ca="1">SUMIFS(TableDailySummary[Rappi_net_sales],TableDailySummary[Fecha],"&gt;="&amp;TableWeeklySummary[[#This Row],[Desde]],TableDailySummary[Fecha],"&lt;="&amp;TableWeeklySummary[[#This Row],[Hasta]])</f>
        <v>0</v>
      </c>
      <c r="Q104" s="12">
        <f ca="1">SUMIFS(TableDailySummary[Rappi_orders],TableDailySummary[Fecha],"&gt;="&amp;TableWeeklySummary[[#This Row],[Desde]],TableDailySummary[Fecha],"&lt;="&amp;TableWeeklySummary[[#This Row],[Hasta]])</f>
        <v>0</v>
      </c>
      <c r="R10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0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04" s="12">
        <f ca="1">SUMIFS(TableDailySummary[Inversión google ads],TableDailySummary[Fecha],"&gt;="&amp;TableWeeklySummary[[#This Row],[Desde]],TableDailySummary[Fecha],"&lt;="&amp;TableWeeklySummary[[#This Row],[Hasta]])</f>
        <v>0</v>
      </c>
      <c r="U104" s="12">
        <f ca="1">SUMIFS(TableDailySummary[Ventas google ads],TableDailySummary[Fecha],"&gt;="&amp;TableWeeklySummary[[#This Row],[Desde]],TableDailySummary[Fecha],"&lt;="&amp;TableWeeklySummary[[#This Row],[Hasta]])</f>
        <v>0</v>
      </c>
      <c r="V104" s="12">
        <f ca="1">SUMIFS(TableDailySummary[Inversión meta ads],TableDailySummary[Fecha],"&gt;="&amp;TableWeeklySummary[[#This Row],[Desde]],TableDailySummary[Fecha],"&lt;="&amp;TableWeeklySummary[[#This Row],[Hasta]])</f>
        <v>0</v>
      </c>
      <c r="W104" s="12">
        <f ca="1">SUMIFS(TableDailySummary[Ventas meta ads],TableDailySummary[Fecha],"&gt;="&amp;TableWeeklySummary[[#This Row],[Desde]],TableDailySummary[Fecha],"&lt;="&amp;TableWeeklySummary[[#This Row],[Hasta]])</f>
        <v>0</v>
      </c>
      <c r="X104" s="12">
        <f ca="1">TableWeeklySummary[[#This Row],[Inversión google ads]]+TableWeeklySummary[[#This Row],[Inversión meta ads]]</f>
        <v>0</v>
      </c>
      <c r="Y104" s="12">
        <f ca="1">TableWeeklySummary[[#This Row],[Ventas google ads]]+TableWeeklySummary[[#This Row],[Ventas meta ads]]</f>
        <v>0</v>
      </c>
      <c r="Z104" s="14">
        <f ca="1">IFERROR(TableWeeklySummary[[#This Row],[Ventas publicidad]]/TableWeeklySummary[[#This Row],[Inversión publicidad]],0)</f>
        <v>0</v>
      </c>
      <c r="AA104" s="14">
        <f ca="1">IFERROR(TableWeeklySummary[[#This Row],[Ventas primer cliente]]/TableWeeklySummary[[#This Row],[Inversión publicidad]],0)</f>
        <v>0</v>
      </c>
      <c r="AB104" s="14"/>
      <c r="AC104" s="12"/>
      <c r="AI10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0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04" s="12">
        <f ca="1">SUMIFS(TableDailySummary[Utilidad bruta],TableDailySummary[Fecha],"&gt;="&amp;TableWeeklySummary[[#This Row],[Desde]],TableDailySummary[Fecha],"&lt;="&amp;TableWeeklySummary[[#This Row],[Hasta]])</f>
        <v>0</v>
      </c>
      <c r="AL104" s="18">
        <f ca="1">IFERROR(TableWeeklySummary[[#This Row],[Utilidad bruta]]/TableWeeklySummary[[#This Row],[Ventas netas con costo registrado]],0)</f>
        <v>0</v>
      </c>
    </row>
    <row r="105" spans="2:38" x14ac:dyDescent="0.2">
      <c r="B105" s="16">
        <f ca="1">_xlfn.ISOWEEKNUM(TableWeeklySummary[[#This Row],[Hasta]])</f>
        <v>38</v>
      </c>
      <c r="C105" s="6">
        <f t="shared" ca="1" si="3"/>
        <v>46647</v>
      </c>
      <c r="D105" s="6">
        <f ca="1">TableWeeklySummary[[#This Row],[Desde]]+7-1</f>
        <v>46653</v>
      </c>
      <c r="E105" s="12">
        <f ca="1">SUMIFS(TableDailySummary[Ventas netas totales],TableDailySummary[Fecha],"&gt;="&amp;TableWeeklySummary[[#This Row],[Desde]],TableDailySummary[Fecha],"&lt;="&amp;TableWeeklySummary[[#This Row],[Hasta]])</f>
        <v>0</v>
      </c>
      <c r="F105" s="12">
        <f ca="1">SUMIFS(TableDailySummary[Órdenes totales],TableDailySummary[Fecha],"&gt;="&amp;TableWeeklySummary[[#This Row],[Desde]],TableDailySummary[Fecha],"&lt;="&amp;TableWeeklySummary[[#This Row],[Hasta]])</f>
        <v>0</v>
      </c>
      <c r="G105" s="12">
        <f ca="1">IFERROR(TableWeeklySummary[[#This Row],[Ventas netas totales]]/TableWeeklySummary[[#This Row],[Órdenes totales]],0)</f>
        <v>0</v>
      </c>
      <c r="H10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05" s="12">
        <f ca="1">TableWeeklySummary[[#This Row],[Órden promedio totales]]*TableWeeklySummary[[#This Row],[CR totales]]</f>
        <v>0</v>
      </c>
      <c r="J105" s="12">
        <f ca="1">SUMIFS(TableDailySummary[Ventas primer cliente],TableDailySummary[Fecha],"&gt;="&amp;TableWeeklySummary[[#This Row],[Desde]],TableDailySummary[Fecha],"&lt;="&amp;TableWeeklySummary[[#This Row],[Hasta]])</f>
        <v>0</v>
      </c>
      <c r="K105" s="12">
        <f ca="1">SUMIFS(TableDailySummary[Órdenes primer cliente],TableDailySummary[Fecha],"&gt;="&amp;TableWeeklySummary[[#This Row],[Desde]],TableDailySummary[Fecha],"&lt;="&amp;TableWeeklySummary[[#This Row],[Hasta]])</f>
        <v>0</v>
      </c>
      <c r="L105" s="12">
        <f ca="1">SUMIFS(TableDailySummary[Online Store_net_sales],TableDailySummary[Fecha],"&gt;="&amp;TableWeeklySummary[[#This Row],[Desde]],TableDailySummary[Fecha],"&lt;="&amp;TableWeeklySummary[[#This Row],[Hasta]])</f>
        <v>0</v>
      </c>
      <c r="M105" s="12">
        <f ca="1">SUMIFS(TableDailySummary[Online Store_orders],TableDailySummary[Fecha],"&gt;="&amp;TableWeeklySummary[[#This Row],[Desde]],TableDailySummary[Fecha],"&lt;="&amp;TableWeeklySummary[[#This Row],[Hasta]])</f>
        <v>0</v>
      </c>
      <c r="N105" s="12">
        <f ca="1">SUMIFS(TableDailySummary[Tienda 81_net_sales],TableDailySummary[Fecha],"&gt;="&amp;TableWeeklySummary[[#This Row],[Desde]],TableDailySummary[Fecha],"&lt;="&amp;TableWeeklySummary[[#This Row],[Hasta]])</f>
        <v>0</v>
      </c>
      <c r="O105" s="12">
        <f ca="1">SUMIFS(TableDailySummary[Tienda 81_orders],TableDailySummary[Fecha],"&gt;="&amp;TableWeeklySummary[[#This Row],[Desde]],TableDailySummary[Fecha],"&lt;="&amp;TableWeeklySummary[[#This Row],[Hasta]])</f>
        <v>0</v>
      </c>
      <c r="P105" s="12">
        <f ca="1">SUMIFS(TableDailySummary[Rappi_net_sales],TableDailySummary[Fecha],"&gt;="&amp;TableWeeklySummary[[#This Row],[Desde]],TableDailySummary[Fecha],"&lt;="&amp;TableWeeklySummary[[#This Row],[Hasta]])</f>
        <v>0</v>
      </c>
      <c r="Q105" s="12">
        <f ca="1">SUMIFS(TableDailySummary[Rappi_orders],TableDailySummary[Fecha],"&gt;="&amp;TableWeeklySummary[[#This Row],[Desde]],TableDailySummary[Fecha],"&lt;="&amp;TableWeeklySummary[[#This Row],[Hasta]])</f>
        <v>0</v>
      </c>
      <c r="R10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0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05" s="12">
        <f ca="1">SUMIFS(TableDailySummary[Inversión google ads],TableDailySummary[Fecha],"&gt;="&amp;TableWeeklySummary[[#This Row],[Desde]],TableDailySummary[Fecha],"&lt;="&amp;TableWeeklySummary[[#This Row],[Hasta]])</f>
        <v>0</v>
      </c>
      <c r="U105" s="12">
        <f ca="1">SUMIFS(TableDailySummary[Ventas google ads],TableDailySummary[Fecha],"&gt;="&amp;TableWeeklySummary[[#This Row],[Desde]],TableDailySummary[Fecha],"&lt;="&amp;TableWeeklySummary[[#This Row],[Hasta]])</f>
        <v>0</v>
      </c>
      <c r="V105" s="12">
        <f ca="1">SUMIFS(TableDailySummary[Inversión meta ads],TableDailySummary[Fecha],"&gt;="&amp;TableWeeklySummary[[#This Row],[Desde]],TableDailySummary[Fecha],"&lt;="&amp;TableWeeklySummary[[#This Row],[Hasta]])</f>
        <v>0</v>
      </c>
      <c r="W105" s="12">
        <f ca="1">SUMIFS(TableDailySummary[Ventas meta ads],TableDailySummary[Fecha],"&gt;="&amp;TableWeeklySummary[[#This Row],[Desde]],TableDailySummary[Fecha],"&lt;="&amp;TableWeeklySummary[[#This Row],[Hasta]])</f>
        <v>0</v>
      </c>
      <c r="X105" s="12">
        <f ca="1">TableWeeklySummary[[#This Row],[Inversión google ads]]+TableWeeklySummary[[#This Row],[Inversión meta ads]]</f>
        <v>0</v>
      </c>
      <c r="Y105" s="12">
        <f ca="1">TableWeeklySummary[[#This Row],[Ventas google ads]]+TableWeeklySummary[[#This Row],[Ventas meta ads]]</f>
        <v>0</v>
      </c>
      <c r="Z105" s="14">
        <f ca="1">IFERROR(TableWeeklySummary[[#This Row],[Ventas publicidad]]/TableWeeklySummary[[#This Row],[Inversión publicidad]],0)</f>
        <v>0</v>
      </c>
      <c r="AA105" s="14">
        <f ca="1">IFERROR(TableWeeklySummary[[#This Row],[Ventas primer cliente]]/TableWeeklySummary[[#This Row],[Inversión publicidad]],0)</f>
        <v>0</v>
      </c>
      <c r="AB105" s="14"/>
      <c r="AC105" s="12"/>
      <c r="AI10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0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05" s="12">
        <f ca="1">SUMIFS(TableDailySummary[Utilidad bruta],TableDailySummary[Fecha],"&gt;="&amp;TableWeeklySummary[[#This Row],[Desde]],TableDailySummary[Fecha],"&lt;="&amp;TableWeeklySummary[[#This Row],[Hasta]])</f>
        <v>0</v>
      </c>
      <c r="AL105" s="18">
        <f ca="1">IFERROR(TableWeeklySummary[[#This Row],[Utilidad bruta]]/TableWeeklySummary[[#This Row],[Ventas netas con costo registrado]],0)</f>
        <v>0</v>
      </c>
    </row>
    <row r="106" spans="2:38" x14ac:dyDescent="0.2">
      <c r="B106" s="16">
        <f ca="1">_xlfn.ISOWEEKNUM(TableWeeklySummary[[#This Row],[Hasta]])</f>
        <v>39</v>
      </c>
      <c r="C106" s="6">
        <f t="shared" ca="1" si="3"/>
        <v>46654</v>
      </c>
      <c r="D106" s="6">
        <f ca="1">TableWeeklySummary[[#This Row],[Desde]]+7-1</f>
        <v>46660</v>
      </c>
      <c r="E106" s="12">
        <f ca="1">SUMIFS(TableDailySummary[Ventas netas totales],TableDailySummary[Fecha],"&gt;="&amp;TableWeeklySummary[[#This Row],[Desde]],TableDailySummary[Fecha],"&lt;="&amp;TableWeeklySummary[[#This Row],[Hasta]])</f>
        <v>0</v>
      </c>
      <c r="F106" s="12">
        <f ca="1">SUMIFS(TableDailySummary[Órdenes totales],TableDailySummary[Fecha],"&gt;="&amp;TableWeeklySummary[[#This Row],[Desde]],TableDailySummary[Fecha],"&lt;="&amp;TableWeeklySummary[[#This Row],[Hasta]])</f>
        <v>0</v>
      </c>
      <c r="G106" s="12">
        <f ca="1">IFERROR(TableWeeklySummary[[#This Row],[Ventas netas totales]]/TableWeeklySummary[[#This Row],[Órdenes totales]],0)</f>
        <v>0</v>
      </c>
      <c r="H10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06" s="12">
        <f ca="1">TableWeeklySummary[[#This Row],[Órden promedio totales]]*TableWeeklySummary[[#This Row],[CR totales]]</f>
        <v>0</v>
      </c>
      <c r="J106" s="12">
        <f ca="1">SUMIFS(TableDailySummary[Ventas primer cliente],TableDailySummary[Fecha],"&gt;="&amp;TableWeeklySummary[[#This Row],[Desde]],TableDailySummary[Fecha],"&lt;="&amp;TableWeeklySummary[[#This Row],[Hasta]])</f>
        <v>0</v>
      </c>
      <c r="K106" s="12">
        <f ca="1">SUMIFS(TableDailySummary[Órdenes primer cliente],TableDailySummary[Fecha],"&gt;="&amp;TableWeeklySummary[[#This Row],[Desde]],TableDailySummary[Fecha],"&lt;="&amp;TableWeeklySummary[[#This Row],[Hasta]])</f>
        <v>0</v>
      </c>
      <c r="L106" s="12">
        <f ca="1">SUMIFS(TableDailySummary[Online Store_net_sales],TableDailySummary[Fecha],"&gt;="&amp;TableWeeklySummary[[#This Row],[Desde]],TableDailySummary[Fecha],"&lt;="&amp;TableWeeklySummary[[#This Row],[Hasta]])</f>
        <v>0</v>
      </c>
      <c r="M106" s="12">
        <f ca="1">SUMIFS(TableDailySummary[Online Store_orders],TableDailySummary[Fecha],"&gt;="&amp;TableWeeklySummary[[#This Row],[Desde]],TableDailySummary[Fecha],"&lt;="&amp;TableWeeklySummary[[#This Row],[Hasta]])</f>
        <v>0</v>
      </c>
      <c r="N106" s="12">
        <f ca="1">SUMIFS(TableDailySummary[Tienda 81_net_sales],TableDailySummary[Fecha],"&gt;="&amp;TableWeeklySummary[[#This Row],[Desde]],TableDailySummary[Fecha],"&lt;="&amp;TableWeeklySummary[[#This Row],[Hasta]])</f>
        <v>0</v>
      </c>
      <c r="O106" s="12">
        <f ca="1">SUMIFS(TableDailySummary[Tienda 81_orders],TableDailySummary[Fecha],"&gt;="&amp;TableWeeklySummary[[#This Row],[Desde]],TableDailySummary[Fecha],"&lt;="&amp;TableWeeklySummary[[#This Row],[Hasta]])</f>
        <v>0</v>
      </c>
      <c r="P106" s="12">
        <f ca="1">SUMIFS(TableDailySummary[Rappi_net_sales],TableDailySummary[Fecha],"&gt;="&amp;TableWeeklySummary[[#This Row],[Desde]],TableDailySummary[Fecha],"&lt;="&amp;TableWeeklySummary[[#This Row],[Hasta]])</f>
        <v>0</v>
      </c>
      <c r="Q106" s="12">
        <f ca="1">SUMIFS(TableDailySummary[Rappi_orders],TableDailySummary[Fecha],"&gt;="&amp;TableWeeklySummary[[#This Row],[Desde]],TableDailySummary[Fecha],"&lt;="&amp;TableWeeklySummary[[#This Row],[Hasta]])</f>
        <v>0</v>
      </c>
      <c r="R10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0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06" s="12">
        <f ca="1">SUMIFS(TableDailySummary[Inversión google ads],TableDailySummary[Fecha],"&gt;="&amp;TableWeeklySummary[[#This Row],[Desde]],TableDailySummary[Fecha],"&lt;="&amp;TableWeeklySummary[[#This Row],[Hasta]])</f>
        <v>0</v>
      </c>
      <c r="U106" s="12">
        <f ca="1">SUMIFS(TableDailySummary[Ventas google ads],TableDailySummary[Fecha],"&gt;="&amp;TableWeeklySummary[[#This Row],[Desde]],TableDailySummary[Fecha],"&lt;="&amp;TableWeeklySummary[[#This Row],[Hasta]])</f>
        <v>0</v>
      </c>
      <c r="V106" s="12">
        <f ca="1">SUMIFS(TableDailySummary[Inversión meta ads],TableDailySummary[Fecha],"&gt;="&amp;TableWeeklySummary[[#This Row],[Desde]],TableDailySummary[Fecha],"&lt;="&amp;TableWeeklySummary[[#This Row],[Hasta]])</f>
        <v>0</v>
      </c>
      <c r="W106" s="12">
        <f ca="1">SUMIFS(TableDailySummary[Ventas meta ads],TableDailySummary[Fecha],"&gt;="&amp;TableWeeklySummary[[#This Row],[Desde]],TableDailySummary[Fecha],"&lt;="&amp;TableWeeklySummary[[#This Row],[Hasta]])</f>
        <v>0</v>
      </c>
      <c r="X106" s="12">
        <f ca="1">TableWeeklySummary[[#This Row],[Inversión google ads]]+TableWeeklySummary[[#This Row],[Inversión meta ads]]</f>
        <v>0</v>
      </c>
      <c r="Y106" s="12">
        <f ca="1">TableWeeklySummary[[#This Row],[Ventas google ads]]+TableWeeklySummary[[#This Row],[Ventas meta ads]]</f>
        <v>0</v>
      </c>
      <c r="Z106" s="14">
        <f ca="1">IFERROR(TableWeeklySummary[[#This Row],[Ventas publicidad]]/TableWeeklySummary[[#This Row],[Inversión publicidad]],0)</f>
        <v>0</v>
      </c>
      <c r="AA106" s="14">
        <f ca="1">IFERROR(TableWeeklySummary[[#This Row],[Ventas primer cliente]]/TableWeeklySummary[[#This Row],[Inversión publicidad]],0)</f>
        <v>0</v>
      </c>
      <c r="AB106" s="14"/>
      <c r="AC106" s="12"/>
      <c r="AI10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0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06" s="12">
        <f ca="1">SUMIFS(TableDailySummary[Utilidad bruta],TableDailySummary[Fecha],"&gt;="&amp;TableWeeklySummary[[#This Row],[Desde]],TableDailySummary[Fecha],"&lt;="&amp;TableWeeklySummary[[#This Row],[Hasta]])</f>
        <v>0</v>
      </c>
      <c r="AL106" s="18">
        <f ca="1">IFERROR(TableWeeklySummary[[#This Row],[Utilidad bruta]]/TableWeeklySummary[[#This Row],[Ventas netas con costo registrado]],0)</f>
        <v>0</v>
      </c>
    </row>
    <row r="107" spans="2:38" x14ac:dyDescent="0.2">
      <c r="B107" s="16">
        <f ca="1">_xlfn.ISOWEEKNUM(TableWeeklySummary[[#This Row],[Hasta]])</f>
        <v>40</v>
      </c>
      <c r="C107" s="6">
        <f t="shared" ca="1" si="3"/>
        <v>46661</v>
      </c>
      <c r="D107" s="6">
        <f ca="1">TableWeeklySummary[[#This Row],[Desde]]+7-1</f>
        <v>46667</v>
      </c>
      <c r="E107" s="12">
        <f ca="1">SUMIFS(TableDailySummary[Ventas netas totales],TableDailySummary[Fecha],"&gt;="&amp;TableWeeklySummary[[#This Row],[Desde]],TableDailySummary[Fecha],"&lt;="&amp;TableWeeklySummary[[#This Row],[Hasta]])</f>
        <v>0</v>
      </c>
      <c r="F107" s="12">
        <f ca="1">SUMIFS(TableDailySummary[Órdenes totales],TableDailySummary[Fecha],"&gt;="&amp;TableWeeklySummary[[#This Row],[Desde]],TableDailySummary[Fecha],"&lt;="&amp;TableWeeklySummary[[#This Row],[Hasta]])</f>
        <v>0</v>
      </c>
      <c r="G107" s="12">
        <f ca="1">IFERROR(TableWeeklySummary[[#This Row],[Ventas netas totales]]/TableWeeklySummary[[#This Row],[Órdenes totales]],0)</f>
        <v>0</v>
      </c>
      <c r="H10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07" s="12">
        <f ca="1">TableWeeklySummary[[#This Row],[Órden promedio totales]]*TableWeeklySummary[[#This Row],[CR totales]]</f>
        <v>0</v>
      </c>
      <c r="J107" s="12">
        <f ca="1">SUMIFS(TableDailySummary[Ventas primer cliente],TableDailySummary[Fecha],"&gt;="&amp;TableWeeklySummary[[#This Row],[Desde]],TableDailySummary[Fecha],"&lt;="&amp;TableWeeklySummary[[#This Row],[Hasta]])</f>
        <v>0</v>
      </c>
      <c r="K107" s="12">
        <f ca="1">SUMIFS(TableDailySummary[Órdenes primer cliente],TableDailySummary[Fecha],"&gt;="&amp;TableWeeklySummary[[#This Row],[Desde]],TableDailySummary[Fecha],"&lt;="&amp;TableWeeklySummary[[#This Row],[Hasta]])</f>
        <v>0</v>
      </c>
      <c r="L107" s="12">
        <f ca="1">SUMIFS(TableDailySummary[Online Store_net_sales],TableDailySummary[Fecha],"&gt;="&amp;TableWeeklySummary[[#This Row],[Desde]],TableDailySummary[Fecha],"&lt;="&amp;TableWeeklySummary[[#This Row],[Hasta]])</f>
        <v>0</v>
      </c>
      <c r="M107" s="12">
        <f ca="1">SUMIFS(TableDailySummary[Online Store_orders],TableDailySummary[Fecha],"&gt;="&amp;TableWeeklySummary[[#This Row],[Desde]],TableDailySummary[Fecha],"&lt;="&amp;TableWeeklySummary[[#This Row],[Hasta]])</f>
        <v>0</v>
      </c>
      <c r="N107" s="12">
        <f ca="1">SUMIFS(TableDailySummary[Tienda 81_net_sales],TableDailySummary[Fecha],"&gt;="&amp;TableWeeklySummary[[#This Row],[Desde]],TableDailySummary[Fecha],"&lt;="&amp;TableWeeklySummary[[#This Row],[Hasta]])</f>
        <v>0</v>
      </c>
      <c r="O107" s="12">
        <f ca="1">SUMIFS(TableDailySummary[Tienda 81_orders],TableDailySummary[Fecha],"&gt;="&amp;TableWeeklySummary[[#This Row],[Desde]],TableDailySummary[Fecha],"&lt;="&amp;TableWeeklySummary[[#This Row],[Hasta]])</f>
        <v>0</v>
      </c>
      <c r="P107" s="12">
        <f ca="1">SUMIFS(TableDailySummary[Rappi_net_sales],TableDailySummary[Fecha],"&gt;="&amp;TableWeeklySummary[[#This Row],[Desde]],TableDailySummary[Fecha],"&lt;="&amp;TableWeeklySummary[[#This Row],[Hasta]])</f>
        <v>0</v>
      </c>
      <c r="Q107" s="12">
        <f ca="1">SUMIFS(TableDailySummary[Rappi_orders],TableDailySummary[Fecha],"&gt;="&amp;TableWeeklySummary[[#This Row],[Desde]],TableDailySummary[Fecha],"&lt;="&amp;TableWeeklySummary[[#This Row],[Hasta]])</f>
        <v>0</v>
      </c>
      <c r="R10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0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07" s="12">
        <f ca="1">SUMIFS(TableDailySummary[Inversión google ads],TableDailySummary[Fecha],"&gt;="&amp;TableWeeklySummary[[#This Row],[Desde]],TableDailySummary[Fecha],"&lt;="&amp;TableWeeklySummary[[#This Row],[Hasta]])</f>
        <v>0</v>
      </c>
      <c r="U107" s="12">
        <f ca="1">SUMIFS(TableDailySummary[Ventas google ads],TableDailySummary[Fecha],"&gt;="&amp;TableWeeklySummary[[#This Row],[Desde]],TableDailySummary[Fecha],"&lt;="&amp;TableWeeklySummary[[#This Row],[Hasta]])</f>
        <v>0</v>
      </c>
      <c r="V107" s="12">
        <f ca="1">SUMIFS(TableDailySummary[Inversión meta ads],TableDailySummary[Fecha],"&gt;="&amp;TableWeeklySummary[[#This Row],[Desde]],TableDailySummary[Fecha],"&lt;="&amp;TableWeeklySummary[[#This Row],[Hasta]])</f>
        <v>0</v>
      </c>
      <c r="W107" s="12">
        <f ca="1">SUMIFS(TableDailySummary[Ventas meta ads],TableDailySummary[Fecha],"&gt;="&amp;TableWeeklySummary[[#This Row],[Desde]],TableDailySummary[Fecha],"&lt;="&amp;TableWeeklySummary[[#This Row],[Hasta]])</f>
        <v>0</v>
      </c>
      <c r="X107" s="12">
        <f ca="1">TableWeeklySummary[[#This Row],[Inversión google ads]]+TableWeeklySummary[[#This Row],[Inversión meta ads]]</f>
        <v>0</v>
      </c>
      <c r="Y107" s="12">
        <f ca="1">TableWeeklySummary[[#This Row],[Ventas google ads]]+TableWeeklySummary[[#This Row],[Ventas meta ads]]</f>
        <v>0</v>
      </c>
      <c r="Z107" s="14">
        <f ca="1">IFERROR(TableWeeklySummary[[#This Row],[Ventas publicidad]]/TableWeeklySummary[[#This Row],[Inversión publicidad]],0)</f>
        <v>0</v>
      </c>
      <c r="AA107" s="14">
        <f ca="1">IFERROR(TableWeeklySummary[[#This Row],[Ventas primer cliente]]/TableWeeklySummary[[#This Row],[Inversión publicidad]],0)</f>
        <v>0</v>
      </c>
      <c r="AB107" s="14"/>
      <c r="AC107" s="12"/>
      <c r="AI10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0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07" s="12">
        <f ca="1">SUMIFS(TableDailySummary[Utilidad bruta],TableDailySummary[Fecha],"&gt;="&amp;TableWeeklySummary[[#This Row],[Desde]],TableDailySummary[Fecha],"&lt;="&amp;TableWeeklySummary[[#This Row],[Hasta]])</f>
        <v>0</v>
      </c>
      <c r="AL107" s="18">
        <f ca="1">IFERROR(TableWeeklySummary[[#This Row],[Utilidad bruta]]/TableWeeklySummary[[#This Row],[Ventas netas con costo registrado]],0)</f>
        <v>0</v>
      </c>
    </row>
    <row r="108" spans="2:38" x14ac:dyDescent="0.2">
      <c r="B108" s="16">
        <f ca="1">_xlfn.ISOWEEKNUM(TableWeeklySummary[[#This Row],[Hasta]])</f>
        <v>41</v>
      </c>
      <c r="C108" s="6">
        <f t="shared" ca="1" si="3"/>
        <v>46668</v>
      </c>
      <c r="D108" s="6">
        <f ca="1">TableWeeklySummary[[#This Row],[Desde]]+7-1</f>
        <v>46674</v>
      </c>
      <c r="E108" s="12">
        <f ca="1">SUMIFS(TableDailySummary[Ventas netas totales],TableDailySummary[Fecha],"&gt;="&amp;TableWeeklySummary[[#This Row],[Desde]],TableDailySummary[Fecha],"&lt;="&amp;TableWeeklySummary[[#This Row],[Hasta]])</f>
        <v>0</v>
      </c>
      <c r="F108" s="12">
        <f ca="1">SUMIFS(TableDailySummary[Órdenes totales],TableDailySummary[Fecha],"&gt;="&amp;TableWeeklySummary[[#This Row],[Desde]],TableDailySummary[Fecha],"&lt;="&amp;TableWeeklySummary[[#This Row],[Hasta]])</f>
        <v>0</v>
      </c>
      <c r="G108" s="12">
        <f ca="1">IFERROR(TableWeeklySummary[[#This Row],[Ventas netas totales]]/TableWeeklySummary[[#This Row],[Órdenes totales]],0)</f>
        <v>0</v>
      </c>
      <c r="H10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08" s="12">
        <f ca="1">TableWeeklySummary[[#This Row],[Órden promedio totales]]*TableWeeklySummary[[#This Row],[CR totales]]</f>
        <v>0</v>
      </c>
      <c r="J108" s="12">
        <f ca="1">SUMIFS(TableDailySummary[Ventas primer cliente],TableDailySummary[Fecha],"&gt;="&amp;TableWeeklySummary[[#This Row],[Desde]],TableDailySummary[Fecha],"&lt;="&amp;TableWeeklySummary[[#This Row],[Hasta]])</f>
        <v>0</v>
      </c>
      <c r="K108" s="12">
        <f ca="1">SUMIFS(TableDailySummary[Órdenes primer cliente],TableDailySummary[Fecha],"&gt;="&amp;TableWeeklySummary[[#This Row],[Desde]],TableDailySummary[Fecha],"&lt;="&amp;TableWeeklySummary[[#This Row],[Hasta]])</f>
        <v>0</v>
      </c>
      <c r="L108" s="12">
        <f ca="1">SUMIFS(TableDailySummary[Online Store_net_sales],TableDailySummary[Fecha],"&gt;="&amp;TableWeeklySummary[[#This Row],[Desde]],TableDailySummary[Fecha],"&lt;="&amp;TableWeeklySummary[[#This Row],[Hasta]])</f>
        <v>0</v>
      </c>
      <c r="M108" s="12">
        <f ca="1">SUMIFS(TableDailySummary[Online Store_orders],TableDailySummary[Fecha],"&gt;="&amp;TableWeeklySummary[[#This Row],[Desde]],TableDailySummary[Fecha],"&lt;="&amp;TableWeeklySummary[[#This Row],[Hasta]])</f>
        <v>0</v>
      </c>
      <c r="N108" s="12">
        <f ca="1">SUMIFS(TableDailySummary[Tienda 81_net_sales],TableDailySummary[Fecha],"&gt;="&amp;TableWeeklySummary[[#This Row],[Desde]],TableDailySummary[Fecha],"&lt;="&amp;TableWeeklySummary[[#This Row],[Hasta]])</f>
        <v>0</v>
      </c>
      <c r="O108" s="12">
        <f ca="1">SUMIFS(TableDailySummary[Tienda 81_orders],TableDailySummary[Fecha],"&gt;="&amp;TableWeeklySummary[[#This Row],[Desde]],TableDailySummary[Fecha],"&lt;="&amp;TableWeeklySummary[[#This Row],[Hasta]])</f>
        <v>0</v>
      </c>
      <c r="P108" s="12">
        <f ca="1">SUMIFS(TableDailySummary[Rappi_net_sales],TableDailySummary[Fecha],"&gt;="&amp;TableWeeklySummary[[#This Row],[Desde]],TableDailySummary[Fecha],"&lt;="&amp;TableWeeklySummary[[#This Row],[Hasta]])</f>
        <v>0</v>
      </c>
      <c r="Q108" s="12">
        <f ca="1">SUMIFS(TableDailySummary[Rappi_orders],TableDailySummary[Fecha],"&gt;="&amp;TableWeeklySummary[[#This Row],[Desde]],TableDailySummary[Fecha],"&lt;="&amp;TableWeeklySummary[[#This Row],[Hasta]])</f>
        <v>0</v>
      </c>
      <c r="R10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0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08" s="12">
        <f ca="1">SUMIFS(TableDailySummary[Inversión google ads],TableDailySummary[Fecha],"&gt;="&amp;TableWeeklySummary[[#This Row],[Desde]],TableDailySummary[Fecha],"&lt;="&amp;TableWeeklySummary[[#This Row],[Hasta]])</f>
        <v>0</v>
      </c>
      <c r="U108" s="12">
        <f ca="1">SUMIFS(TableDailySummary[Ventas google ads],TableDailySummary[Fecha],"&gt;="&amp;TableWeeklySummary[[#This Row],[Desde]],TableDailySummary[Fecha],"&lt;="&amp;TableWeeklySummary[[#This Row],[Hasta]])</f>
        <v>0</v>
      </c>
      <c r="V108" s="12">
        <f ca="1">SUMIFS(TableDailySummary[Inversión meta ads],TableDailySummary[Fecha],"&gt;="&amp;TableWeeklySummary[[#This Row],[Desde]],TableDailySummary[Fecha],"&lt;="&amp;TableWeeklySummary[[#This Row],[Hasta]])</f>
        <v>0</v>
      </c>
      <c r="W108" s="12">
        <f ca="1">SUMIFS(TableDailySummary[Ventas meta ads],TableDailySummary[Fecha],"&gt;="&amp;TableWeeklySummary[[#This Row],[Desde]],TableDailySummary[Fecha],"&lt;="&amp;TableWeeklySummary[[#This Row],[Hasta]])</f>
        <v>0</v>
      </c>
      <c r="X108" s="12">
        <f ca="1">TableWeeklySummary[[#This Row],[Inversión google ads]]+TableWeeklySummary[[#This Row],[Inversión meta ads]]</f>
        <v>0</v>
      </c>
      <c r="Y108" s="12">
        <f ca="1">TableWeeklySummary[[#This Row],[Ventas google ads]]+TableWeeklySummary[[#This Row],[Ventas meta ads]]</f>
        <v>0</v>
      </c>
      <c r="Z108" s="14">
        <f ca="1">IFERROR(TableWeeklySummary[[#This Row],[Ventas publicidad]]/TableWeeklySummary[[#This Row],[Inversión publicidad]],0)</f>
        <v>0</v>
      </c>
      <c r="AA108" s="14">
        <f ca="1">IFERROR(TableWeeklySummary[[#This Row],[Ventas primer cliente]]/TableWeeklySummary[[#This Row],[Inversión publicidad]],0)</f>
        <v>0</v>
      </c>
      <c r="AB108" s="14"/>
      <c r="AC108" s="12"/>
      <c r="AI10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0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08" s="12">
        <f ca="1">SUMIFS(TableDailySummary[Utilidad bruta],TableDailySummary[Fecha],"&gt;="&amp;TableWeeklySummary[[#This Row],[Desde]],TableDailySummary[Fecha],"&lt;="&amp;TableWeeklySummary[[#This Row],[Hasta]])</f>
        <v>0</v>
      </c>
      <c r="AL108" s="18">
        <f ca="1">IFERROR(TableWeeklySummary[[#This Row],[Utilidad bruta]]/TableWeeklySummary[[#This Row],[Ventas netas con costo registrado]],0)</f>
        <v>0</v>
      </c>
    </row>
    <row r="109" spans="2:38" x14ac:dyDescent="0.2">
      <c r="B109" s="16">
        <f ca="1">_xlfn.ISOWEEKNUM(TableWeeklySummary[[#This Row],[Hasta]])</f>
        <v>42</v>
      </c>
      <c r="C109" s="6">
        <f t="shared" ca="1" si="3"/>
        <v>46675</v>
      </c>
      <c r="D109" s="6">
        <f ca="1">TableWeeklySummary[[#This Row],[Desde]]+7-1</f>
        <v>46681</v>
      </c>
      <c r="E109" s="12">
        <f ca="1">SUMIFS(TableDailySummary[Ventas netas totales],TableDailySummary[Fecha],"&gt;="&amp;TableWeeklySummary[[#This Row],[Desde]],TableDailySummary[Fecha],"&lt;="&amp;TableWeeklySummary[[#This Row],[Hasta]])</f>
        <v>0</v>
      </c>
      <c r="F109" s="12">
        <f ca="1">SUMIFS(TableDailySummary[Órdenes totales],TableDailySummary[Fecha],"&gt;="&amp;TableWeeklySummary[[#This Row],[Desde]],TableDailySummary[Fecha],"&lt;="&amp;TableWeeklySummary[[#This Row],[Hasta]])</f>
        <v>0</v>
      </c>
      <c r="G109" s="12">
        <f ca="1">IFERROR(TableWeeklySummary[[#This Row],[Ventas netas totales]]/TableWeeklySummary[[#This Row],[Órdenes totales]],0)</f>
        <v>0</v>
      </c>
      <c r="H10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09" s="12">
        <f ca="1">TableWeeklySummary[[#This Row],[Órden promedio totales]]*TableWeeklySummary[[#This Row],[CR totales]]</f>
        <v>0</v>
      </c>
      <c r="J109" s="12">
        <f ca="1">SUMIFS(TableDailySummary[Ventas primer cliente],TableDailySummary[Fecha],"&gt;="&amp;TableWeeklySummary[[#This Row],[Desde]],TableDailySummary[Fecha],"&lt;="&amp;TableWeeklySummary[[#This Row],[Hasta]])</f>
        <v>0</v>
      </c>
      <c r="K109" s="12">
        <f ca="1">SUMIFS(TableDailySummary[Órdenes primer cliente],TableDailySummary[Fecha],"&gt;="&amp;TableWeeklySummary[[#This Row],[Desde]],TableDailySummary[Fecha],"&lt;="&amp;TableWeeklySummary[[#This Row],[Hasta]])</f>
        <v>0</v>
      </c>
      <c r="L109" s="12">
        <f ca="1">SUMIFS(TableDailySummary[Online Store_net_sales],TableDailySummary[Fecha],"&gt;="&amp;TableWeeklySummary[[#This Row],[Desde]],TableDailySummary[Fecha],"&lt;="&amp;TableWeeklySummary[[#This Row],[Hasta]])</f>
        <v>0</v>
      </c>
      <c r="M109" s="12">
        <f ca="1">SUMIFS(TableDailySummary[Online Store_orders],TableDailySummary[Fecha],"&gt;="&amp;TableWeeklySummary[[#This Row],[Desde]],TableDailySummary[Fecha],"&lt;="&amp;TableWeeklySummary[[#This Row],[Hasta]])</f>
        <v>0</v>
      </c>
      <c r="N109" s="12">
        <f ca="1">SUMIFS(TableDailySummary[Tienda 81_net_sales],TableDailySummary[Fecha],"&gt;="&amp;TableWeeklySummary[[#This Row],[Desde]],TableDailySummary[Fecha],"&lt;="&amp;TableWeeklySummary[[#This Row],[Hasta]])</f>
        <v>0</v>
      </c>
      <c r="O109" s="12">
        <f ca="1">SUMIFS(TableDailySummary[Tienda 81_orders],TableDailySummary[Fecha],"&gt;="&amp;TableWeeklySummary[[#This Row],[Desde]],TableDailySummary[Fecha],"&lt;="&amp;TableWeeklySummary[[#This Row],[Hasta]])</f>
        <v>0</v>
      </c>
      <c r="P109" s="12">
        <f ca="1">SUMIFS(TableDailySummary[Rappi_net_sales],TableDailySummary[Fecha],"&gt;="&amp;TableWeeklySummary[[#This Row],[Desde]],TableDailySummary[Fecha],"&lt;="&amp;TableWeeklySummary[[#This Row],[Hasta]])</f>
        <v>0</v>
      </c>
      <c r="Q109" s="12">
        <f ca="1">SUMIFS(TableDailySummary[Rappi_orders],TableDailySummary[Fecha],"&gt;="&amp;TableWeeklySummary[[#This Row],[Desde]],TableDailySummary[Fecha],"&lt;="&amp;TableWeeklySummary[[#This Row],[Hasta]])</f>
        <v>0</v>
      </c>
      <c r="R10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0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09" s="12">
        <f ca="1">SUMIFS(TableDailySummary[Inversión google ads],TableDailySummary[Fecha],"&gt;="&amp;TableWeeklySummary[[#This Row],[Desde]],TableDailySummary[Fecha],"&lt;="&amp;TableWeeklySummary[[#This Row],[Hasta]])</f>
        <v>0</v>
      </c>
      <c r="U109" s="12">
        <f ca="1">SUMIFS(TableDailySummary[Ventas google ads],TableDailySummary[Fecha],"&gt;="&amp;TableWeeklySummary[[#This Row],[Desde]],TableDailySummary[Fecha],"&lt;="&amp;TableWeeklySummary[[#This Row],[Hasta]])</f>
        <v>0</v>
      </c>
      <c r="V109" s="12">
        <f ca="1">SUMIFS(TableDailySummary[Inversión meta ads],TableDailySummary[Fecha],"&gt;="&amp;TableWeeklySummary[[#This Row],[Desde]],TableDailySummary[Fecha],"&lt;="&amp;TableWeeklySummary[[#This Row],[Hasta]])</f>
        <v>0</v>
      </c>
      <c r="W109" s="12">
        <f ca="1">SUMIFS(TableDailySummary[Ventas meta ads],TableDailySummary[Fecha],"&gt;="&amp;TableWeeklySummary[[#This Row],[Desde]],TableDailySummary[Fecha],"&lt;="&amp;TableWeeklySummary[[#This Row],[Hasta]])</f>
        <v>0</v>
      </c>
      <c r="X109" s="12">
        <f ca="1">TableWeeklySummary[[#This Row],[Inversión google ads]]+TableWeeklySummary[[#This Row],[Inversión meta ads]]</f>
        <v>0</v>
      </c>
      <c r="Y109" s="12">
        <f ca="1">TableWeeklySummary[[#This Row],[Ventas google ads]]+TableWeeklySummary[[#This Row],[Ventas meta ads]]</f>
        <v>0</v>
      </c>
      <c r="Z109" s="14">
        <f ca="1">IFERROR(TableWeeklySummary[[#This Row],[Ventas publicidad]]/TableWeeklySummary[[#This Row],[Inversión publicidad]],0)</f>
        <v>0</v>
      </c>
      <c r="AA109" s="14">
        <f ca="1">IFERROR(TableWeeklySummary[[#This Row],[Ventas primer cliente]]/TableWeeklySummary[[#This Row],[Inversión publicidad]],0)</f>
        <v>0</v>
      </c>
      <c r="AB109" s="14"/>
      <c r="AC109" s="12"/>
      <c r="AI10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0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09" s="12">
        <f ca="1">SUMIFS(TableDailySummary[Utilidad bruta],TableDailySummary[Fecha],"&gt;="&amp;TableWeeklySummary[[#This Row],[Desde]],TableDailySummary[Fecha],"&lt;="&amp;TableWeeklySummary[[#This Row],[Hasta]])</f>
        <v>0</v>
      </c>
      <c r="AL109" s="18">
        <f ca="1">IFERROR(TableWeeklySummary[[#This Row],[Utilidad bruta]]/TableWeeklySummary[[#This Row],[Ventas netas con costo registrado]],0)</f>
        <v>0</v>
      </c>
    </row>
    <row r="110" spans="2:38" x14ac:dyDescent="0.2">
      <c r="B110" s="16">
        <f ca="1">_xlfn.ISOWEEKNUM(TableWeeklySummary[[#This Row],[Hasta]])</f>
        <v>43</v>
      </c>
      <c r="C110" s="6">
        <f t="shared" ca="1" si="3"/>
        <v>46682</v>
      </c>
      <c r="D110" s="6">
        <f ca="1">TableWeeklySummary[[#This Row],[Desde]]+7-1</f>
        <v>46688</v>
      </c>
      <c r="E110" s="12">
        <f ca="1">SUMIFS(TableDailySummary[Ventas netas totales],TableDailySummary[Fecha],"&gt;="&amp;TableWeeklySummary[[#This Row],[Desde]],TableDailySummary[Fecha],"&lt;="&amp;TableWeeklySummary[[#This Row],[Hasta]])</f>
        <v>0</v>
      </c>
      <c r="F110" s="12">
        <f ca="1">SUMIFS(TableDailySummary[Órdenes totales],TableDailySummary[Fecha],"&gt;="&amp;TableWeeklySummary[[#This Row],[Desde]],TableDailySummary[Fecha],"&lt;="&amp;TableWeeklySummary[[#This Row],[Hasta]])</f>
        <v>0</v>
      </c>
      <c r="G110" s="12">
        <f ca="1">IFERROR(TableWeeklySummary[[#This Row],[Ventas netas totales]]/TableWeeklySummary[[#This Row],[Órdenes totales]],0)</f>
        <v>0</v>
      </c>
      <c r="H11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10" s="12">
        <f ca="1">TableWeeklySummary[[#This Row],[Órden promedio totales]]*TableWeeklySummary[[#This Row],[CR totales]]</f>
        <v>0</v>
      </c>
      <c r="J110" s="12">
        <f ca="1">SUMIFS(TableDailySummary[Ventas primer cliente],TableDailySummary[Fecha],"&gt;="&amp;TableWeeklySummary[[#This Row],[Desde]],TableDailySummary[Fecha],"&lt;="&amp;TableWeeklySummary[[#This Row],[Hasta]])</f>
        <v>0</v>
      </c>
      <c r="K110" s="12">
        <f ca="1">SUMIFS(TableDailySummary[Órdenes primer cliente],TableDailySummary[Fecha],"&gt;="&amp;TableWeeklySummary[[#This Row],[Desde]],TableDailySummary[Fecha],"&lt;="&amp;TableWeeklySummary[[#This Row],[Hasta]])</f>
        <v>0</v>
      </c>
      <c r="L110" s="12">
        <f ca="1">SUMIFS(TableDailySummary[Online Store_net_sales],TableDailySummary[Fecha],"&gt;="&amp;TableWeeklySummary[[#This Row],[Desde]],TableDailySummary[Fecha],"&lt;="&amp;TableWeeklySummary[[#This Row],[Hasta]])</f>
        <v>0</v>
      </c>
      <c r="M110" s="12">
        <f ca="1">SUMIFS(TableDailySummary[Online Store_orders],TableDailySummary[Fecha],"&gt;="&amp;TableWeeklySummary[[#This Row],[Desde]],TableDailySummary[Fecha],"&lt;="&amp;TableWeeklySummary[[#This Row],[Hasta]])</f>
        <v>0</v>
      </c>
      <c r="N110" s="12">
        <f ca="1">SUMIFS(TableDailySummary[Tienda 81_net_sales],TableDailySummary[Fecha],"&gt;="&amp;TableWeeklySummary[[#This Row],[Desde]],TableDailySummary[Fecha],"&lt;="&amp;TableWeeklySummary[[#This Row],[Hasta]])</f>
        <v>0</v>
      </c>
      <c r="O110" s="12">
        <f ca="1">SUMIFS(TableDailySummary[Tienda 81_orders],TableDailySummary[Fecha],"&gt;="&amp;TableWeeklySummary[[#This Row],[Desde]],TableDailySummary[Fecha],"&lt;="&amp;TableWeeklySummary[[#This Row],[Hasta]])</f>
        <v>0</v>
      </c>
      <c r="P110" s="12">
        <f ca="1">SUMIFS(TableDailySummary[Rappi_net_sales],TableDailySummary[Fecha],"&gt;="&amp;TableWeeklySummary[[#This Row],[Desde]],TableDailySummary[Fecha],"&lt;="&amp;TableWeeklySummary[[#This Row],[Hasta]])</f>
        <v>0</v>
      </c>
      <c r="Q110" s="12">
        <f ca="1">SUMIFS(TableDailySummary[Rappi_orders],TableDailySummary[Fecha],"&gt;="&amp;TableWeeklySummary[[#This Row],[Desde]],TableDailySummary[Fecha],"&lt;="&amp;TableWeeklySummary[[#This Row],[Hasta]])</f>
        <v>0</v>
      </c>
      <c r="R11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1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10" s="12">
        <f ca="1">SUMIFS(TableDailySummary[Inversión google ads],TableDailySummary[Fecha],"&gt;="&amp;TableWeeklySummary[[#This Row],[Desde]],TableDailySummary[Fecha],"&lt;="&amp;TableWeeklySummary[[#This Row],[Hasta]])</f>
        <v>0</v>
      </c>
      <c r="U110" s="12">
        <f ca="1">SUMIFS(TableDailySummary[Ventas google ads],TableDailySummary[Fecha],"&gt;="&amp;TableWeeklySummary[[#This Row],[Desde]],TableDailySummary[Fecha],"&lt;="&amp;TableWeeklySummary[[#This Row],[Hasta]])</f>
        <v>0</v>
      </c>
      <c r="V110" s="12">
        <f ca="1">SUMIFS(TableDailySummary[Inversión meta ads],TableDailySummary[Fecha],"&gt;="&amp;TableWeeklySummary[[#This Row],[Desde]],TableDailySummary[Fecha],"&lt;="&amp;TableWeeklySummary[[#This Row],[Hasta]])</f>
        <v>0</v>
      </c>
      <c r="W110" s="12">
        <f ca="1">SUMIFS(TableDailySummary[Ventas meta ads],TableDailySummary[Fecha],"&gt;="&amp;TableWeeklySummary[[#This Row],[Desde]],TableDailySummary[Fecha],"&lt;="&amp;TableWeeklySummary[[#This Row],[Hasta]])</f>
        <v>0</v>
      </c>
      <c r="X110" s="12">
        <f ca="1">TableWeeklySummary[[#This Row],[Inversión google ads]]+TableWeeklySummary[[#This Row],[Inversión meta ads]]</f>
        <v>0</v>
      </c>
      <c r="Y110" s="12">
        <f ca="1">TableWeeklySummary[[#This Row],[Ventas google ads]]+TableWeeklySummary[[#This Row],[Ventas meta ads]]</f>
        <v>0</v>
      </c>
      <c r="Z110" s="14">
        <f ca="1">IFERROR(TableWeeklySummary[[#This Row],[Ventas publicidad]]/TableWeeklySummary[[#This Row],[Inversión publicidad]],0)</f>
        <v>0</v>
      </c>
      <c r="AA110" s="14">
        <f ca="1">IFERROR(TableWeeklySummary[[#This Row],[Ventas primer cliente]]/TableWeeklySummary[[#This Row],[Inversión publicidad]],0)</f>
        <v>0</v>
      </c>
      <c r="AB110" s="14"/>
      <c r="AC110" s="12"/>
      <c r="AI11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1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10" s="12">
        <f ca="1">SUMIFS(TableDailySummary[Utilidad bruta],TableDailySummary[Fecha],"&gt;="&amp;TableWeeklySummary[[#This Row],[Desde]],TableDailySummary[Fecha],"&lt;="&amp;TableWeeklySummary[[#This Row],[Hasta]])</f>
        <v>0</v>
      </c>
      <c r="AL110" s="18">
        <f ca="1">IFERROR(TableWeeklySummary[[#This Row],[Utilidad bruta]]/TableWeeklySummary[[#This Row],[Ventas netas con costo registrado]],0)</f>
        <v>0</v>
      </c>
    </row>
    <row r="111" spans="2:38" x14ac:dyDescent="0.2">
      <c r="B111" s="16">
        <f ca="1">_xlfn.ISOWEEKNUM(TableWeeklySummary[[#This Row],[Hasta]])</f>
        <v>44</v>
      </c>
      <c r="C111" s="6">
        <f t="shared" ca="1" si="3"/>
        <v>46689</v>
      </c>
      <c r="D111" s="6">
        <f ca="1">TableWeeklySummary[[#This Row],[Desde]]+7-1</f>
        <v>46695</v>
      </c>
      <c r="E111" s="12">
        <f ca="1">SUMIFS(TableDailySummary[Ventas netas totales],TableDailySummary[Fecha],"&gt;="&amp;TableWeeklySummary[[#This Row],[Desde]],TableDailySummary[Fecha],"&lt;="&amp;TableWeeklySummary[[#This Row],[Hasta]])</f>
        <v>0</v>
      </c>
      <c r="F111" s="12">
        <f ca="1">SUMIFS(TableDailySummary[Órdenes totales],TableDailySummary[Fecha],"&gt;="&amp;TableWeeklySummary[[#This Row],[Desde]],TableDailySummary[Fecha],"&lt;="&amp;TableWeeklySummary[[#This Row],[Hasta]])</f>
        <v>0</v>
      </c>
      <c r="G111" s="12">
        <f ca="1">IFERROR(TableWeeklySummary[[#This Row],[Ventas netas totales]]/TableWeeklySummary[[#This Row],[Órdenes totales]],0)</f>
        <v>0</v>
      </c>
      <c r="H11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11" s="12">
        <f ca="1">TableWeeklySummary[[#This Row],[Órden promedio totales]]*TableWeeklySummary[[#This Row],[CR totales]]</f>
        <v>0</v>
      </c>
      <c r="J111" s="12">
        <f ca="1">SUMIFS(TableDailySummary[Ventas primer cliente],TableDailySummary[Fecha],"&gt;="&amp;TableWeeklySummary[[#This Row],[Desde]],TableDailySummary[Fecha],"&lt;="&amp;TableWeeklySummary[[#This Row],[Hasta]])</f>
        <v>0</v>
      </c>
      <c r="K111" s="12">
        <f ca="1">SUMIFS(TableDailySummary[Órdenes primer cliente],TableDailySummary[Fecha],"&gt;="&amp;TableWeeklySummary[[#This Row],[Desde]],TableDailySummary[Fecha],"&lt;="&amp;TableWeeklySummary[[#This Row],[Hasta]])</f>
        <v>0</v>
      </c>
      <c r="L111" s="12">
        <f ca="1">SUMIFS(TableDailySummary[Online Store_net_sales],TableDailySummary[Fecha],"&gt;="&amp;TableWeeklySummary[[#This Row],[Desde]],TableDailySummary[Fecha],"&lt;="&amp;TableWeeklySummary[[#This Row],[Hasta]])</f>
        <v>0</v>
      </c>
      <c r="M111" s="12">
        <f ca="1">SUMIFS(TableDailySummary[Online Store_orders],TableDailySummary[Fecha],"&gt;="&amp;TableWeeklySummary[[#This Row],[Desde]],TableDailySummary[Fecha],"&lt;="&amp;TableWeeklySummary[[#This Row],[Hasta]])</f>
        <v>0</v>
      </c>
      <c r="N111" s="12">
        <f ca="1">SUMIFS(TableDailySummary[Tienda 81_net_sales],TableDailySummary[Fecha],"&gt;="&amp;TableWeeklySummary[[#This Row],[Desde]],TableDailySummary[Fecha],"&lt;="&amp;TableWeeklySummary[[#This Row],[Hasta]])</f>
        <v>0</v>
      </c>
      <c r="O111" s="12">
        <f ca="1">SUMIFS(TableDailySummary[Tienda 81_orders],TableDailySummary[Fecha],"&gt;="&amp;TableWeeklySummary[[#This Row],[Desde]],TableDailySummary[Fecha],"&lt;="&amp;TableWeeklySummary[[#This Row],[Hasta]])</f>
        <v>0</v>
      </c>
      <c r="P111" s="12">
        <f ca="1">SUMIFS(TableDailySummary[Rappi_net_sales],TableDailySummary[Fecha],"&gt;="&amp;TableWeeklySummary[[#This Row],[Desde]],TableDailySummary[Fecha],"&lt;="&amp;TableWeeklySummary[[#This Row],[Hasta]])</f>
        <v>0</v>
      </c>
      <c r="Q111" s="12">
        <f ca="1">SUMIFS(TableDailySummary[Rappi_orders],TableDailySummary[Fecha],"&gt;="&amp;TableWeeklySummary[[#This Row],[Desde]],TableDailySummary[Fecha],"&lt;="&amp;TableWeeklySummary[[#This Row],[Hasta]])</f>
        <v>0</v>
      </c>
      <c r="R11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1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11" s="12">
        <f ca="1">SUMIFS(TableDailySummary[Inversión google ads],TableDailySummary[Fecha],"&gt;="&amp;TableWeeklySummary[[#This Row],[Desde]],TableDailySummary[Fecha],"&lt;="&amp;TableWeeklySummary[[#This Row],[Hasta]])</f>
        <v>0</v>
      </c>
      <c r="U111" s="12">
        <f ca="1">SUMIFS(TableDailySummary[Ventas google ads],TableDailySummary[Fecha],"&gt;="&amp;TableWeeklySummary[[#This Row],[Desde]],TableDailySummary[Fecha],"&lt;="&amp;TableWeeklySummary[[#This Row],[Hasta]])</f>
        <v>0</v>
      </c>
      <c r="V111" s="12">
        <f ca="1">SUMIFS(TableDailySummary[Inversión meta ads],TableDailySummary[Fecha],"&gt;="&amp;TableWeeklySummary[[#This Row],[Desde]],TableDailySummary[Fecha],"&lt;="&amp;TableWeeklySummary[[#This Row],[Hasta]])</f>
        <v>0</v>
      </c>
      <c r="W111" s="12">
        <f ca="1">SUMIFS(TableDailySummary[Ventas meta ads],TableDailySummary[Fecha],"&gt;="&amp;TableWeeklySummary[[#This Row],[Desde]],TableDailySummary[Fecha],"&lt;="&amp;TableWeeklySummary[[#This Row],[Hasta]])</f>
        <v>0</v>
      </c>
      <c r="X111" s="12">
        <f ca="1">TableWeeklySummary[[#This Row],[Inversión google ads]]+TableWeeklySummary[[#This Row],[Inversión meta ads]]</f>
        <v>0</v>
      </c>
      <c r="Y111" s="12">
        <f ca="1">TableWeeklySummary[[#This Row],[Ventas google ads]]+TableWeeklySummary[[#This Row],[Ventas meta ads]]</f>
        <v>0</v>
      </c>
      <c r="Z111" s="14">
        <f ca="1">IFERROR(TableWeeklySummary[[#This Row],[Ventas publicidad]]/TableWeeklySummary[[#This Row],[Inversión publicidad]],0)</f>
        <v>0</v>
      </c>
      <c r="AA111" s="14">
        <f ca="1">IFERROR(TableWeeklySummary[[#This Row],[Ventas primer cliente]]/TableWeeklySummary[[#This Row],[Inversión publicidad]],0)</f>
        <v>0</v>
      </c>
      <c r="AB111" s="14"/>
      <c r="AC111" s="12"/>
      <c r="AI11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1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11" s="12">
        <f ca="1">SUMIFS(TableDailySummary[Utilidad bruta],TableDailySummary[Fecha],"&gt;="&amp;TableWeeklySummary[[#This Row],[Desde]],TableDailySummary[Fecha],"&lt;="&amp;TableWeeklySummary[[#This Row],[Hasta]])</f>
        <v>0</v>
      </c>
      <c r="AL111" s="18">
        <f ca="1">IFERROR(TableWeeklySummary[[#This Row],[Utilidad bruta]]/TableWeeklySummary[[#This Row],[Ventas netas con costo registrado]],0)</f>
        <v>0</v>
      </c>
    </row>
    <row r="112" spans="2:38" x14ac:dyDescent="0.2">
      <c r="B112" s="16">
        <f ca="1">_xlfn.ISOWEEKNUM(TableWeeklySummary[[#This Row],[Hasta]])</f>
        <v>45</v>
      </c>
      <c r="C112" s="6">
        <f t="shared" ca="1" si="3"/>
        <v>46696</v>
      </c>
      <c r="D112" s="6">
        <f ca="1">TableWeeklySummary[[#This Row],[Desde]]+7-1</f>
        <v>46702</v>
      </c>
      <c r="E112" s="12">
        <f ca="1">SUMIFS(TableDailySummary[Ventas netas totales],TableDailySummary[Fecha],"&gt;="&amp;TableWeeklySummary[[#This Row],[Desde]],TableDailySummary[Fecha],"&lt;="&amp;TableWeeklySummary[[#This Row],[Hasta]])</f>
        <v>0</v>
      </c>
      <c r="F112" s="12">
        <f ca="1">SUMIFS(TableDailySummary[Órdenes totales],TableDailySummary[Fecha],"&gt;="&amp;TableWeeklySummary[[#This Row],[Desde]],TableDailySummary[Fecha],"&lt;="&amp;TableWeeklySummary[[#This Row],[Hasta]])</f>
        <v>0</v>
      </c>
      <c r="G112" s="12">
        <f ca="1">IFERROR(TableWeeklySummary[[#This Row],[Ventas netas totales]]/TableWeeklySummary[[#This Row],[Órdenes totales]],0)</f>
        <v>0</v>
      </c>
      <c r="H11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12" s="12">
        <f ca="1">TableWeeklySummary[[#This Row],[Órden promedio totales]]*TableWeeklySummary[[#This Row],[CR totales]]</f>
        <v>0</v>
      </c>
      <c r="J112" s="12">
        <f ca="1">SUMIFS(TableDailySummary[Ventas primer cliente],TableDailySummary[Fecha],"&gt;="&amp;TableWeeklySummary[[#This Row],[Desde]],TableDailySummary[Fecha],"&lt;="&amp;TableWeeklySummary[[#This Row],[Hasta]])</f>
        <v>0</v>
      </c>
      <c r="K112" s="12">
        <f ca="1">SUMIFS(TableDailySummary[Órdenes primer cliente],TableDailySummary[Fecha],"&gt;="&amp;TableWeeklySummary[[#This Row],[Desde]],TableDailySummary[Fecha],"&lt;="&amp;TableWeeklySummary[[#This Row],[Hasta]])</f>
        <v>0</v>
      </c>
      <c r="L112" s="12">
        <f ca="1">SUMIFS(TableDailySummary[Online Store_net_sales],TableDailySummary[Fecha],"&gt;="&amp;TableWeeklySummary[[#This Row],[Desde]],TableDailySummary[Fecha],"&lt;="&amp;TableWeeklySummary[[#This Row],[Hasta]])</f>
        <v>0</v>
      </c>
      <c r="M112" s="12">
        <f ca="1">SUMIFS(TableDailySummary[Online Store_orders],TableDailySummary[Fecha],"&gt;="&amp;TableWeeklySummary[[#This Row],[Desde]],TableDailySummary[Fecha],"&lt;="&amp;TableWeeklySummary[[#This Row],[Hasta]])</f>
        <v>0</v>
      </c>
      <c r="N112" s="12">
        <f ca="1">SUMIFS(TableDailySummary[Tienda 81_net_sales],TableDailySummary[Fecha],"&gt;="&amp;TableWeeklySummary[[#This Row],[Desde]],TableDailySummary[Fecha],"&lt;="&amp;TableWeeklySummary[[#This Row],[Hasta]])</f>
        <v>0</v>
      </c>
      <c r="O112" s="12">
        <f ca="1">SUMIFS(TableDailySummary[Tienda 81_orders],TableDailySummary[Fecha],"&gt;="&amp;TableWeeklySummary[[#This Row],[Desde]],TableDailySummary[Fecha],"&lt;="&amp;TableWeeklySummary[[#This Row],[Hasta]])</f>
        <v>0</v>
      </c>
      <c r="P112" s="12">
        <f ca="1">SUMIFS(TableDailySummary[Rappi_net_sales],TableDailySummary[Fecha],"&gt;="&amp;TableWeeklySummary[[#This Row],[Desde]],TableDailySummary[Fecha],"&lt;="&amp;TableWeeklySummary[[#This Row],[Hasta]])</f>
        <v>0</v>
      </c>
      <c r="Q112" s="12">
        <f ca="1">SUMIFS(TableDailySummary[Rappi_orders],TableDailySummary[Fecha],"&gt;="&amp;TableWeeklySummary[[#This Row],[Desde]],TableDailySummary[Fecha],"&lt;="&amp;TableWeeklySummary[[#This Row],[Hasta]])</f>
        <v>0</v>
      </c>
      <c r="R11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1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12" s="12">
        <f ca="1">SUMIFS(TableDailySummary[Inversión google ads],TableDailySummary[Fecha],"&gt;="&amp;TableWeeklySummary[[#This Row],[Desde]],TableDailySummary[Fecha],"&lt;="&amp;TableWeeklySummary[[#This Row],[Hasta]])</f>
        <v>0</v>
      </c>
      <c r="U112" s="12">
        <f ca="1">SUMIFS(TableDailySummary[Ventas google ads],TableDailySummary[Fecha],"&gt;="&amp;TableWeeklySummary[[#This Row],[Desde]],TableDailySummary[Fecha],"&lt;="&amp;TableWeeklySummary[[#This Row],[Hasta]])</f>
        <v>0</v>
      </c>
      <c r="V112" s="12">
        <f ca="1">SUMIFS(TableDailySummary[Inversión meta ads],TableDailySummary[Fecha],"&gt;="&amp;TableWeeklySummary[[#This Row],[Desde]],TableDailySummary[Fecha],"&lt;="&amp;TableWeeklySummary[[#This Row],[Hasta]])</f>
        <v>0</v>
      </c>
      <c r="W112" s="12">
        <f ca="1">SUMIFS(TableDailySummary[Ventas meta ads],TableDailySummary[Fecha],"&gt;="&amp;TableWeeklySummary[[#This Row],[Desde]],TableDailySummary[Fecha],"&lt;="&amp;TableWeeklySummary[[#This Row],[Hasta]])</f>
        <v>0</v>
      </c>
      <c r="X112" s="12">
        <f ca="1">TableWeeklySummary[[#This Row],[Inversión google ads]]+TableWeeklySummary[[#This Row],[Inversión meta ads]]</f>
        <v>0</v>
      </c>
      <c r="Y112" s="12">
        <f ca="1">TableWeeklySummary[[#This Row],[Ventas google ads]]+TableWeeklySummary[[#This Row],[Ventas meta ads]]</f>
        <v>0</v>
      </c>
      <c r="Z112" s="14">
        <f ca="1">IFERROR(TableWeeklySummary[[#This Row],[Ventas publicidad]]/TableWeeklySummary[[#This Row],[Inversión publicidad]],0)</f>
        <v>0</v>
      </c>
      <c r="AA112" s="14">
        <f ca="1">IFERROR(TableWeeklySummary[[#This Row],[Ventas primer cliente]]/TableWeeklySummary[[#This Row],[Inversión publicidad]],0)</f>
        <v>0</v>
      </c>
      <c r="AB112" s="14"/>
      <c r="AC112" s="12"/>
      <c r="AI11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1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12" s="12">
        <f ca="1">SUMIFS(TableDailySummary[Utilidad bruta],TableDailySummary[Fecha],"&gt;="&amp;TableWeeklySummary[[#This Row],[Desde]],TableDailySummary[Fecha],"&lt;="&amp;TableWeeklySummary[[#This Row],[Hasta]])</f>
        <v>0</v>
      </c>
      <c r="AL112" s="18">
        <f ca="1">IFERROR(TableWeeklySummary[[#This Row],[Utilidad bruta]]/TableWeeklySummary[[#This Row],[Ventas netas con costo registrado]],0)</f>
        <v>0</v>
      </c>
    </row>
    <row r="113" spans="2:38" x14ac:dyDescent="0.2">
      <c r="B113" s="16">
        <f ca="1">_xlfn.ISOWEEKNUM(TableWeeklySummary[[#This Row],[Hasta]])</f>
        <v>46</v>
      </c>
      <c r="C113" s="6">
        <f t="shared" ca="1" si="3"/>
        <v>46703</v>
      </c>
      <c r="D113" s="6">
        <f ca="1">TableWeeklySummary[[#This Row],[Desde]]+7-1</f>
        <v>46709</v>
      </c>
      <c r="E113" s="12">
        <f ca="1">SUMIFS(TableDailySummary[Ventas netas totales],TableDailySummary[Fecha],"&gt;="&amp;TableWeeklySummary[[#This Row],[Desde]],TableDailySummary[Fecha],"&lt;="&amp;TableWeeklySummary[[#This Row],[Hasta]])</f>
        <v>0</v>
      </c>
      <c r="F113" s="12">
        <f ca="1">SUMIFS(TableDailySummary[Órdenes totales],TableDailySummary[Fecha],"&gt;="&amp;TableWeeklySummary[[#This Row],[Desde]],TableDailySummary[Fecha],"&lt;="&amp;TableWeeklySummary[[#This Row],[Hasta]])</f>
        <v>0</v>
      </c>
      <c r="G113" s="12">
        <f ca="1">IFERROR(TableWeeklySummary[[#This Row],[Ventas netas totales]]/TableWeeklySummary[[#This Row],[Órdenes totales]],0)</f>
        <v>0</v>
      </c>
      <c r="H11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13" s="12">
        <f ca="1">TableWeeklySummary[[#This Row],[Órden promedio totales]]*TableWeeklySummary[[#This Row],[CR totales]]</f>
        <v>0</v>
      </c>
      <c r="J113" s="12">
        <f ca="1">SUMIFS(TableDailySummary[Ventas primer cliente],TableDailySummary[Fecha],"&gt;="&amp;TableWeeklySummary[[#This Row],[Desde]],TableDailySummary[Fecha],"&lt;="&amp;TableWeeklySummary[[#This Row],[Hasta]])</f>
        <v>0</v>
      </c>
      <c r="K113" s="12">
        <f ca="1">SUMIFS(TableDailySummary[Órdenes primer cliente],TableDailySummary[Fecha],"&gt;="&amp;TableWeeklySummary[[#This Row],[Desde]],TableDailySummary[Fecha],"&lt;="&amp;TableWeeklySummary[[#This Row],[Hasta]])</f>
        <v>0</v>
      </c>
      <c r="L113" s="12">
        <f ca="1">SUMIFS(TableDailySummary[Online Store_net_sales],TableDailySummary[Fecha],"&gt;="&amp;TableWeeklySummary[[#This Row],[Desde]],TableDailySummary[Fecha],"&lt;="&amp;TableWeeklySummary[[#This Row],[Hasta]])</f>
        <v>0</v>
      </c>
      <c r="M113" s="12">
        <f ca="1">SUMIFS(TableDailySummary[Online Store_orders],TableDailySummary[Fecha],"&gt;="&amp;TableWeeklySummary[[#This Row],[Desde]],TableDailySummary[Fecha],"&lt;="&amp;TableWeeklySummary[[#This Row],[Hasta]])</f>
        <v>0</v>
      </c>
      <c r="N113" s="12">
        <f ca="1">SUMIFS(TableDailySummary[Tienda 81_net_sales],TableDailySummary[Fecha],"&gt;="&amp;TableWeeklySummary[[#This Row],[Desde]],TableDailySummary[Fecha],"&lt;="&amp;TableWeeklySummary[[#This Row],[Hasta]])</f>
        <v>0</v>
      </c>
      <c r="O113" s="12">
        <f ca="1">SUMIFS(TableDailySummary[Tienda 81_orders],TableDailySummary[Fecha],"&gt;="&amp;TableWeeklySummary[[#This Row],[Desde]],TableDailySummary[Fecha],"&lt;="&amp;TableWeeklySummary[[#This Row],[Hasta]])</f>
        <v>0</v>
      </c>
      <c r="P113" s="12">
        <f ca="1">SUMIFS(TableDailySummary[Rappi_net_sales],TableDailySummary[Fecha],"&gt;="&amp;TableWeeklySummary[[#This Row],[Desde]],TableDailySummary[Fecha],"&lt;="&amp;TableWeeklySummary[[#This Row],[Hasta]])</f>
        <v>0</v>
      </c>
      <c r="Q113" s="12">
        <f ca="1">SUMIFS(TableDailySummary[Rappi_orders],TableDailySummary[Fecha],"&gt;="&amp;TableWeeklySummary[[#This Row],[Desde]],TableDailySummary[Fecha],"&lt;="&amp;TableWeeklySummary[[#This Row],[Hasta]])</f>
        <v>0</v>
      </c>
      <c r="R11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1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13" s="12">
        <f ca="1">SUMIFS(TableDailySummary[Inversión google ads],TableDailySummary[Fecha],"&gt;="&amp;TableWeeklySummary[[#This Row],[Desde]],TableDailySummary[Fecha],"&lt;="&amp;TableWeeklySummary[[#This Row],[Hasta]])</f>
        <v>0</v>
      </c>
      <c r="U113" s="12">
        <f ca="1">SUMIFS(TableDailySummary[Ventas google ads],TableDailySummary[Fecha],"&gt;="&amp;TableWeeklySummary[[#This Row],[Desde]],TableDailySummary[Fecha],"&lt;="&amp;TableWeeklySummary[[#This Row],[Hasta]])</f>
        <v>0</v>
      </c>
      <c r="V113" s="12">
        <f ca="1">SUMIFS(TableDailySummary[Inversión meta ads],TableDailySummary[Fecha],"&gt;="&amp;TableWeeklySummary[[#This Row],[Desde]],TableDailySummary[Fecha],"&lt;="&amp;TableWeeklySummary[[#This Row],[Hasta]])</f>
        <v>0</v>
      </c>
      <c r="W113" s="12">
        <f ca="1">SUMIFS(TableDailySummary[Ventas meta ads],TableDailySummary[Fecha],"&gt;="&amp;TableWeeklySummary[[#This Row],[Desde]],TableDailySummary[Fecha],"&lt;="&amp;TableWeeklySummary[[#This Row],[Hasta]])</f>
        <v>0</v>
      </c>
      <c r="X113" s="12">
        <f ca="1">TableWeeklySummary[[#This Row],[Inversión google ads]]+TableWeeklySummary[[#This Row],[Inversión meta ads]]</f>
        <v>0</v>
      </c>
      <c r="Y113" s="12">
        <f ca="1">TableWeeklySummary[[#This Row],[Ventas google ads]]+TableWeeklySummary[[#This Row],[Ventas meta ads]]</f>
        <v>0</v>
      </c>
      <c r="Z113" s="14">
        <f ca="1">IFERROR(TableWeeklySummary[[#This Row],[Ventas publicidad]]/TableWeeklySummary[[#This Row],[Inversión publicidad]],0)</f>
        <v>0</v>
      </c>
      <c r="AA113" s="14">
        <f ca="1">IFERROR(TableWeeklySummary[[#This Row],[Ventas primer cliente]]/TableWeeklySummary[[#This Row],[Inversión publicidad]],0)</f>
        <v>0</v>
      </c>
      <c r="AB113" s="14"/>
      <c r="AC113" s="12"/>
      <c r="AI11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1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13" s="12">
        <f ca="1">SUMIFS(TableDailySummary[Utilidad bruta],TableDailySummary[Fecha],"&gt;="&amp;TableWeeklySummary[[#This Row],[Desde]],TableDailySummary[Fecha],"&lt;="&amp;TableWeeklySummary[[#This Row],[Hasta]])</f>
        <v>0</v>
      </c>
      <c r="AL113" s="18">
        <f ca="1">IFERROR(TableWeeklySummary[[#This Row],[Utilidad bruta]]/TableWeeklySummary[[#This Row],[Ventas netas con costo registrado]],0)</f>
        <v>0</v>
      </c>
    </row>
    <row r="114" spans="2:38" x14ac:dyDescent="0.2">
      <c r="B114" s="16">
        <f ca="1">_xlfn.ISOWEEKNUM(TableWeeklySummary[[#This Row],[Hasta]])</f>
        <v>47</v>
      </c>
      <c r="C114" s="6">
        <f t="shared" ca="1" si="3"/>
        <v>46710</v>
      </c>
      <c r="D114" s="6">
        <f ca="1">TableWeeklySummary[[#This Row],[Desde]]+7-1</f>
        <v>46716</v>
      </c>
      <c r="E114" s="12">
        <f ca="1">SUMIFS(TableDailySummary[Ventas netas totales],TableDailySummary[Fecha],"&gt;="&amp;TableWeeklySummary[[#This Row],[Desde]],TableDailySummary[Fecha],"&lt;="&amp;TableWeeklySummary[[#This Row],[Hasta]])</f>
        <v>0</v>
      </c>
      <c r="F114" s="12">
        <f ca="1">SUMIFS(TableDailySummary[Órdenes totales],TableDailySummary[Fecha],"&gt;="&amp;TableWeeklySummary[[#This Row],[Desde]],TableDailySummary[Fecha],"&lt;="&amp;TableWeeklySummary[[#This Row],[Hasta]])</f>
        <v>0</v>
      </c>
      <c r="G114" s="12">
        <f ca="1">IFERROR(TableWeeklySummary[[#This Row],[Ventas netas totales]]/TableWeeklySummary[[#This Row],[Órdenes totales]],0)</f>
        <v>0</v>
      </c>
      <c r="H11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14" s="12">
        <f ca="1">TableWeeklySummary[[#This Row],[Órden promedio totales]]*TableWeeklySummary[[#This Row],[CR totales]]</f>
        <v>0</v>
      </c>
      <c r="J114" s="12">
        <f ca="1">SUMIFS(TableDailySummary[Ventas primer cliente],TableDailySummary[Fecha],"&gt;="&amp;TableWeeklySummary[[#This Row],[Desde]],TableDailySummary[Fecha],"&lt;="&amp;TableWeeklySummary[[#This Row],[Hasta]])</f>
        <v>0</v>
      </c>
      <c r="K114" s="12">
        <f ca="1">SUMIFS(TableDailySummary[Órdenes primer cliente],TableDailySummary[Fecha],"&gt;="&amp;TableWeeklySummary[[#This Row],[Desde]],TableDailySummary[Fecha],"&lt;="&amp;TableWeeklySummary[[#This Row],[Hasta]])</f>
        <v>0</v>
      </c>
      <c r="L114" s="12">
        <f ca="1">SUMIFS(TableDailySummary[Online Store_net_sales],TableDailySummary[Fecha],"&gt;="&amp;TableWeeklySummary[[#This Row],[Desde]],TableDailySummary[Fecha],"&lt;="&amp;TableWeeklySummary[[#This Row],[Hasta]])</f>
        <v>0</v>
      </c>
      <c r="M114" s="12">
        <f ca="1">SUMIFS(TableDailySummary[Online Store_orders],TableDailySummary[Fecha],"&gt;="&amp;TableWeeklySummary[[#This Row],[Desde]],TableDailySummary[Fecha],"&lt;="&amp;TableWeeklySummary[[#This Row],[Hasta]])</f>
        <v>0</v>
      </c>
      <c r="N114" s="12">
        <f ca="1">SUMIFS(TableDailySummary[Tienda 81_net_sales],TableDailySummary[Fecha],"&gt;="&amp;TableWeeklySummary[[#This Row],[Desde]],TableDailySummary[Fecha],"&lt;="&amp;TableWeeklySummary[[#This Row],[Hasta]])</f>
        <v>0</v>
      </c>
      <c r="O114" s="12">
        <f ca="1">SUMIFS(TableDailySummary[Tienda 81_orders],TableDailySummary[Fecha],"&gt;="&amp;TableWeeklySummary[[#This Row],[Desde]],TableDailySummary[Fecha],"&lt;="&amp;TableWeeklySummary[[#This Row],[Hasta]])</f>
        <v>0</v>
      </c>
      <c r="P114" s="12">
        <f ca="1">SUMIFS(TableDailySummary[Rappi_net_sales],TableDailySummary[Fecha],"&gt;="&amp;TableWeeklySummary[[#This Row],[Desde]],TableDailySummary[Fecha],"&lt;="&amp;TableWeeklySummary[[#This Row],[Hasta]])</f>
        <v>0</v>
      </c>
      <c r="Q114" s="12">
        <f ca="1">SUMIFS(TableDailySummary[Rappi_orders],TableDailySummary[Fecha],"&gt;="&amp;TableWeeklySummary[[#This Row],[Desde]],TableDailySummary[Fecha],"&lt;="&amp;TableWeeklySummary[[#This Row],[Hasta]])</f>
        <v>0</v>
      </c>
      <c r="R11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1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14" s="12">
        <f ca="1">SUMIFS(TableDailySummary[Inversión google ads],TableDailySummary[Fecha],"&gt;="&amp;TableWeeklySummary[[#This Row],[Desde]],TableDailySummary[Fecha],"&lt;="&amp;TableWeeklySummary[[#This Row],[Hasta]])</f>
        <v>0</v>
      </c>
      <c r="U114" s="12">
        <f ca="1">SUMIFS(TableDailySummary[Ventas google ads],TableDailySummary[Fecha],"&gt;="&amp;TableWeeklySummary[[#This Row],[Desde]],TableDailySummary[Fecha],"&lt;="&amp;TableWeeklySummary[[#This Row],[Hasta]])</f>
        <v>0</v>
      </c>
      <c r="V114" s="12">
        <f ca="1">SUMIFS(TableDailySummary[Inversión meta ads],TableDailySummary[Fecha],"&gt;="&amp;TableWeeklySummary[[#This Row],[Desde]],TableDailySummary[Fecha],"&lt;="&amp;TableWeeklySummary[[#This Row],[Hasta]])</f>
        <v>0</v>
      </c>
      <c r="W114" s="12">
        <f ca="1">SUMIFS(TableDailySummary[Ventas meta ads],TableDailySummary[Fecha],"&gt;="&amp;TableWeeklySummary[[#This Row],[Desde]],TableDailySummary[Fecha],"&lt;="&amp;TableWeeklySummary[[#This Row],[Hasta]])</f>
        <v>0</v>
      </c>
      <c r="X114" s="12">
        <f ca="1">TableWeeklySummary[[#This Row],[Inversión google ads]]+TableWeeklySummary[[#This Row],[Inversión meta ads]]</f>
        <v>0</v>
      </c>
      <c r="Y114" s="12">
        <f ca="1">TableWeeklySummary[[#This Row],[Ventas google ads]]+TableWeeklySummary[[#This Row],[Ventas meta ads]]</f>
        <v>0</v>
      </c>
      <c r="Z114" s="14">
        <f ca="1">IFERROR(TableWeeklySummary[[#This Row],[Ventas publicidad]]/TableWeeklySummary[[#This Row],[Inversión publicidad]],0)</f>
        <v>0</v>
      </c>
      <c r="AA114" s="14">
        <f ca="1">IFERROR(TableWeeklySummary[[#This Row],[Ventas primer cliente]]/TableWeeklySummary[[#This Row],[Inversión publicidad]],0)</f>
        <v>0</v>
      </c>
      <c r="AB114" s="14"/>
      <c r="AC114" s="12"/>
      <c r="AI11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1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14" s="12">
        <f ca="1">SUMIFS(TableDailySummary[Utilidad bruta],TableDailySummary[Fecha],"&gt;="&amp;TableWeeklySummary[[#This Row],[Desde]],TableDailySummary[Fecha],"&lt;="&amp;TableWeeklySummary[[#This Row],[Hasta]])</f>
        <v>0</v>
      </c>
      <c r="AL114" s="18">
        <f ca="1">IFERROR(TableWeeklySummary[[#This Row],[Utilidad bruta]]/TableWeeklySummary[[#This Row],[Ventas netas con costo registrado]],0)</f>
        <v>0</v>
      </c>
    </row>
    <row r="115" spans="2:38" x14ac:dyDescent="0.2">
      <c r="B115" s="16">
        <f ca="1">_xlfn.ISOWEEKNUM(TableWeeklySummary[[#This Row],[Hasta]])</f>
        <v>48</v>
      </c>
      <c r="C115" s="6">
        <f t="shared" ca="1" si="3"/>
        <v>46717</v>
      </c>
      <c r="D115" s="6">
        <f ca="1">TableWeeklySummary[[#This Row],[Desde]]+7-1</f>
        <v>46723</v>
      </c>
      <c r="E115" s="12">
        <f ca="1">SUMIFS(TableDailySummary[Ventas netas totales],TableDailySummary[Fecha],"&gt;="&amp;TableWeeklySummary[[#This Row],[Desde]],TableDailySummary[Fecha],"&lt;="&amp;TableWeeklySummary[[#This Row],[Hasta]])</f>
        <v>0</v>
      </c>
      <c r="F115" s="12">
        <f ca="1">SUMIFS(TableDailySummary[Órdenes totales],TableDailySummary[Fecha],"&gt;="&amp;TableWeeklySummary[[#This Row],[Desde]],TableDailySummary[Fecha],"&lt;="&amp;TableWeeklySummary[[#This Row],[Hasta]])</f>
        <v>0</v>
      </c>
      <c r="G115" s="12">
        <f ca="1">IFERROR(TableWeeklySummary[[#This Row],[Ventas netas totales]]/TableWeeklySummary[[#This Row],[Órdenes totales]],0)</f>
        <v>0</v>
      </c>
      <c r="H11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15" s="12">
        <f ca="1">TableWeeklySummary[[#This Row],[Órden promedio totales]]*TableWeeklySummary[[#This Row],[CR totales]]</f>
        <v>0</v>
      </c>
      <c r="J115" s="12">
        <f ca="1">SUMIFS(TableDailySummary[Ventas primer cliente],TableDailySummary[Fecha],"&gt;="&amp;TableWeeklySummary[[#This Row],[Desde]],TableDailySummary[Fecha],"&lt;="&amp;TableWeeklySummary[[#This Row],[Hasta]])</f>
        <v>0</v>
      </c>
      <c r="K115" s="12">
        <f ca="1">SUMIFS(TableDailySummary[Órdenes primer cliente],TableDailySummary[Fecha],"&gt;="&amp;TableWeeklySummary[[#This Row],[Desde]],TableDailySummary[Fecha],"&lt;="&amp;TableWeeklySummary[[#This Row],[Hasta]])</f>
        <v>0</v>
      </c>
      <c r="L115" s="12">
        <f ca="1">SUMIFS(TableDailySummary[Online Store_net_sales],TableDailySummary[Fecha],"&gt;="&amp;TableWeeklySummary[[#This Row],[Desde]],TableDailySummary[Fecha],"&lt;="&amp;TableWeeklySummary[[#This Row],[Hasta]])</f>
        <v>0</v>
      </c>
      <c r="M115" s="12">
        <f ca="1">SUMIFS(TableDailySummary[Online Store_orders],TableDailySummary[Fecha],"&gt;="&amp;TableWeeklySummary[[#This Row],[Desde]],TableDailySummary[Fecha],"&lt;="&amp;TableWeeklySummary[[#This Row],[Hasta]])</f>
        <v>0</v>
      </c>
      <c r="N115" s="12">
        <f ca="1">SUMIFS(TableDailySummary[Tienda 81_net_sales],TableDailySummary[Fecha],"&gt;="&amp;TableWeeklySummary[[#This Row],[Desde]],TableDailySummary[Fecha],"&lt;="&amp;TableWeeklySummary[[#This Row],[Hasta]])</f>
        <v>0</v>
      </c>
      <c r="O115" s="12">
        <f ca="1">SUMIFS(TableDailySummary[Tienda 81_orders],TableDailySummary[Fecha],"&gt;="&amp;TableWeeklySummary[[#This Row],[Desde]],TableDailySummary[Fecha],"&lt;="&amp;TableWeeklySummary[[#This Row],[Hasta]])</f>
        <v>0</v>
      </c>
      <c r="P115" s="12">
        <f ca="1">SUMIFS(TableDailySummary[Rappi_net_sales],TableDailySummary[Fecha],"&gt;="&amp;TableWeeklySummary[[#This Row],[Desde]],TableDailySummary[Fecha],"&lt;="&amp;TableWeeklySummary[[#This Row],[Hasta]])</f>
        <v>0</v>
      </c>
      <c r="Q115" s="12">
        <f ca="1">SUMIFS(TableDailySummary[Rappi_orders],TableDailySummary[Fecha],"&gt;="&amp;TableWeeklySummary[[#This Row],[Desde]],TableDailySummary[Fecha],"&lt;="&amp;TableWeeklySummary[[#This Row],[Hasta]])</f>
        <v>0</v>
      </c>
      <c r="R11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1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15" s="12">
        <f ca="1">SUMIFS(TableDailySummary[Inversión google ads],TableDailySummary[Fecha],"&gt;="&amp;TableWeeklySummary[[#This Row],[Desde]],TableDailySummary[Fecha],"&lt;="&amp;TableWeeklySummary[[#This Row],[Hasta]])</f>
        <v>0</v>
      </c>
      <c r="U115" s="12">
        <f ca="1">SUMIFS(TableDailySummary[Ventas google ads],TableDailySummary[Fecha],"&gt;="&amp;TableWeeklySummary[[#This Row],[Desde]],TableDailySummary[Fecha],"&lt;="&amp;TableWeeklySummary[[#This Row],[Hasta]])</f>
        <v>0</v>
      </c>
      <c r="V115" s="12">
        <f ca="1">SUMIFS(TableDailySummary[Inversión meta ads],TableDailySummary[Fecha],"&gt;="&amp;TableWeeklySummary[[#This Row],[Desde]],TableDailySummary[Fecha],"&lt;="&amp;TableWeeklySummary[[#This Row],[Hasta]])</f>
        <v>0</v>
      </c>
      <c r="W115" s="12">
        <f ca="1">SUMIFS(TableDailySummary[Ventas meta ads],TableDailySummary[Fecha],"&gt;="&amp;TableWeeklySummary[[#This Row],[Desde]],TableDailySummary[Fecha],"&lt;="&amp;TableWeeklySummary[[#This Row],[Hasta]])</f>
        <v>0</v>
      </c>
      <c r="X115" s="12">
        <f ca="1">TableWeeklySummary[[#This Row],[Inversión google ads]]+TableWeeklySummary[[#This Row],[Inversión meta ads]]</f>
        <v>0</v>
      </c>
      <c r="Y115" s="12">
        <f ca="1">TableWeeklySummary[[#This Row],[Ventas google ads]]+TableWeeklySummary[[#This Row],[Ventas meta ads]]</f>
        <v>0</v>
      </c>
      <c r="Z115" s="14">
        <f ca="1">IFERROR(TableWeeklySummary[[#This Row],[Ventas publicidad]]/TableWeeklySummary[[#This Row],[Inversión publicidad]],0)</f>
        <v>0</v>
      </c>
      <c r="AA115" s="14">
        <f ca="1">IFERROR(TableWeeklySummary[[#This Row],[Ventas primer cliente]]/TableWeeklySummary[[#This Row],[Inversión publicidad]],0)</f>
        <v>0</v>
      </c>
      <c r="AB115" s="14"/>
      <c r="AC115" s="12"/>
      <c r="AI11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1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15" s="12">
        <f ca="1">SUMIFS(TableDailySummary[Utilidad bruta],TableDailySummary[Fecha],"&gt;="&amp;TableWeeklySummary[[#This Row],[Desde]],TableDailySummary[Fecha],"&lt;="&amp;TableWeeklySummary[[#This Row],[Hasta]])</f>
        <v>0</v>
      </c>
      <c r="AL115" s="18">
        <f ca="1">IFERROR(TableWeeklySummary[[#This Row],[Utilidad bruta]]/TableWeeklySummary[[#This Row],[Ventas netas con costo registrado]],0)</f>
        <v>0</v>
      </c>
    </row>
    <row r="116" spans="2:38" x14ac:dyDescent="0.2">
      <c r="B116" s="16">
        <f ca="1">_xlfn.ISOWEEKNUM(TableWeeklySummary[[#This Row],[Hasta]])</f>
        <v>49</v>
      </c>
      <c r="C116" s="6">
        <f t="shared" ca="1" si="3"/>
        <v>46724</v>
      </c>
      <c r="D116" s="6">
        <f ca="1">TableWeeklySummary[[#This Row],[Desde]]+7-1</f>
        <v>46730</v>
      </c>
      <c r="E116" s="12">
        <f ca="1">SUMIFS(TableDailySummary[Ventas netas totales],TableDailySummary[Fecha],"&gt;="&amp;TableWeeklySummary[[#This Row],[Desde]],TableDailySummary[Fecha],"&lt;="&amp;TableWeeklySummary[[#This Row],[Hasta]])</f>
        <v>0</v>
      </c>
      <c r="F116" s="12">
        <f ca="1">SUMIFS(TableDailySummary[Órdenes totales],TableDailySummary[Fecha],"&gt;="&amp;TableWeeklySummary[[#This Row],[Desde]],TableDailySummary[Fecha],"&lt;="&amp;TableWeeklySummary[[#This Row],[Hasta]])</f>
        <v>0</v>
      </c>
      <c r="G116" s="12">
        <f ca="1">IFERROR(TableWeeklySummary[[#This Row],[Ventas netas totales]]/TableWeeklySummary[[#This Row],[Órdenes totales]],0)</f>
        <v>0</v>
      </c>
      <c r="H11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16" s="12">
        <f ca="1">TableWeeklySummary[[#This Row],[Órden promedio totales]]*TableWeeklySummary[[#This Row],[CR totales]]</f>
        <v>0</v>
      </c>
      <c r="J116" s="12">
        <f ca="1">SUMIFS(TableDailySummary[Ventas primer cliente],TableDailySummary[Fecha],"&gt;="&amp;TableWeeklySummary[[#This Row],[Desde]],TableDailySummary[Fecha],"&lt;="&amp;TableWeeklySummary[[#This Row],[Hasta]])</f>
        <v>0</v>
      </c>
      <c r="K116" s="12">
        <f ca="1">SUMIFS(TableDailySummary[Órdenes primer cliente],TableDailySummary[Fecha],"&gt;="&amp;TableWeeklySummary[[#This Row],[Desde]],TableDailySummary[Fecha],"&lt;="&amp;TableWeeklySummary[[#This Row],[Hasta]])</f>
        <v>0</v>
      </c>
      <c r="L116" s="12">
        <f ca="1">SUMIFS(TableDailySummary[Online Store_net_sales],TableDailySummary[Fecha],"&gt;="&amp;TableWeeklySummary[[#This Row],[Desde]],TableDailySummary[Fecha],"&lt;="&amp;TableWeeklySummary[[#This Row],[Hasta]])</f>
        <v>0</v>
      </c>
      <c r="M116" s="12">
        <f ca="1">SUMIFS(TableDailySummary[Online Store_orders],TableDailySummary[Fecha],"&gt;="&amp;TableWeeklySummary[[#This Row],[Desde]],TableDailySummary[Fecha],"&lt;="&amp;TableWeeklySummary[[#This Row],[Hasta]])</f>
        <v>0</v>
      </c>
      <c r="N116" s="12">
        <f ca="1">SUMIFS(TableDailySummary[Tienda 81_net_sales],TableDailySummary[Fecha],"&gt;="&amp;TableWeeklySummary[[#This Row],[Desde]],TableDailySummary[Fecha],"&lt;="&amp;TableWeeklySummary[[#This Row],[Hasta]])</f>
        <v>0</v>
      </c>
      <c r="O116" s="12">
        <f ca="1">SUMIFS(TableDailySummary[Tienda 81_orders],TableDailySummary[Fecha],"&gt;="&amp;TableWeeklySummary[[#This Row],[Desde]],TableDailySummary[Fecha],"&lt;="&amp;TableWeeklySummary[[#This Row],[Hasta]])</f>
        <v>0</v>
      </c>
      <c r="P116" s="12">
        <f ca="1">SUMIFS(TableDailySummary[Rappi_net_sales],TableDailySummary[Fecha],"&gt;="&amp;TableWeeklySummary[[#This Row],[Desde]],TableDailySummary[Fecha],"&lt;="&amp;TableWeeklySummary[[#This Row],[Hasta]])</f>
        <v>0</v>
      </c>
      <c r="Q116" s="12">
        <f ca="1">SUMIFS(TableDailySummary[Rappi_orders],TableDailySummary[Fecha],"&gt;="&amp;TableWeeklySummary[[#This Row],[Desde]],TableDailySummary[Fecha],"&lt;="&amp;TableWeeklySummary[[#This Row],[Hasta]])</f>
        <v>0</v>
      </c>
      <c r="R11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1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16" s="12">
        <f ca="1">SUMIFS(TableDailySummary[Inversión google ads],TableDailySummary[Fecha],"&gt;="&amp;TableWeeklySummary[[#This Row],[Desde]],TableDailySummary[Fecha],"&lt;="&amp;TableWeeklySummary[[#This Row],[Hasta]])</f>
        <v>0</v>
      </c>
      <c r="U116" s="12">
        <f ca="1">SUMIFS(TableDailySummary[Ventas google ads],TableDailySummary[Fecha],"&gt;="&amp;TableWeeklySummary[[#This Row],[Desde]],TableDailySummary[Fecha],"&lt;="&amp;TableWeeklySummary[[#This Row],[Hasta]])</f>
        <v>0</v>
      </c>
      <c r="V116" s="12">
        <f ca="1">SUMIFS(TableDailySummary[Inversión meta ads],TableDailySummary[Fecha],"&gt;="&amp;TableWeeklySummary[[#This Row],[Desde]],TableDailySummary[Fecha],"&lt;="&amp;TableWeeklySummary[[#This Row],[Hasta]])</f>
        <v>0</v>
      </c>
      <c r="W116" s="12">
        <f ca="1">SUMIFS(TableDailySummary[Ventas meta ads],TableDailySummary[Fecha],"&gt;="&amp;TableWeeklySummary[[#This Row],[Desde]],TableDailySummary[Fecha],"&lt;="&amp;TableWeeklySummary[[#This Row],[Hasta]])</f>
        <v>0</v>
      </c>
      <c r="X116" s="12">
        <f ca="1">TableWeeklySummary[[#This Row],[Inversión google ads]]+TableWeeklySummary[[#This Row],[Inversión meta ads]]</f>
        <v>0</v>
      </c>
      <c r="Y116" s="12">
        <f ca="1">TableWeeklySummary[[#This Row],[Ventas google ads]]+TableWeeklySummary[[#This Row],[Ventas meta ads]]</f>
        <v>0</v>
      </c>
      <c r="Z116" s="14">
        <f ca="1">IFERROR(TableWeeklySummary[[#This Row],[Ventas publicidad]]/TableWeeklySummary[[#This Row],[Inversión publicidad]],0)</f>
        <v>0</v>
      </c>
      <c r="AA116" s="14">
        <f ca="1">IFERROR(TableWeeklySummary[[#This Row],[Ventas primer cliente]]/TableWeeklySummary[[#This Row],[Inversión publicidad]],0)</f>
        <v>0</v>
      </c>
      <c r="AB116" s="14"/>
      <c r="AC116" s="12"/>
      <c r="AI11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1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16" s="12">
        <f ca="1">SUMIFS(TableDailySummary[Utilidad bruta],TableDailySummary[Fecha],"&gt;="&amp;TableWeeklySummary[[#This Row],[Desde]],TableDailySummary[Fecha],"&lt;="&amp;TableWeeklySummary[[#This Row],[Hasta]])</f>
        <v>0</v>
      </c>
      <c r="AL116" s="18">
        <f ca="1">IFERROR(TableWeeklySummary[[#This Row],[Utilidad bruta]]/TableWeeklySummary[[#This Row],[Ventas netas con costo registrado]],0)</f>
        <v>0</v>
      </c>
    </row>
    <row r="117" spans="2:38" x14ac:dyDescent="0.2">
      <c r="B117" s="16">
        <f ca="1">_xlfn.ISOWEEKNUM(TableWeeklySummary[[#This Row],[Hasta]])</f>
        <v>50</v>
      </c>
      <c r="C117" s="6">
        <f t="shared" ca="1" si="3"/>
        <v>46731</v>
      </c>
      <c r="D117" s="6">
        <f ca="1">TableWeeklySummary[[#This Row],[Desde]]+7-1</f>
        <v>46737</v>
      </c>
      <c r="E117" s="12">
        <f ca="1">SUMIFS(TableDailySummary[Ventas netas totales],TableDailySummary[Fecha],"&gt;="&amp;TableWeeklySummary[[#This Row],[Desde]],TableDailySummary[Fecha],"&lt;="&amp;TableWeeklySummary[[#This Row],[Hasta]])</f>
        <v>0</v>
      </c>
      <c r="F117" s="12">
        <f ca="1">SUMIFS(TableDailySummary[Órdenes totales],TableDailySummary[Fecha],"&gt;="&amp;TableWeeklySummary[[#This Row],[Desde]],TableDailySummary[Fecha],"&lt;="&amp;TableWeeklySummary[[#This Row],[Hasta]])</f>
        <v>0</v>
      </c>
      <c r="G117" s="12">
        <f ca="1">IFERROR(TableWeeklySummary[[#This Row],[Ventas netas totales]]/TableWeeklySummary[[#This Row],[Órdenes totales]],0)</f>
        <v>0</v>
      </c>
      <c r="H11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17" s="12">
        <f ca="1">TableWeeklySummary[[#This Row],[Órden promedio totales]]*TableWeeklySummary[[#This Row],[CR totales]]</f>
        <v>0</v>
      </c>
      <c r="J117" s="12">
        <f ca="1">SUMIFS(TableDailySummary[Ventas primer cliente],TableDailySummary[Fecha],"&gt;="&amp;TableWeeklySummary[[#This Row],[Desde]],TableDailySummary[Fecha],"&lt;="&amp;TableWeeklySummary[[#This Row],[Hasta]])</f>
        <v>0</v>
      </c>
      <c r="K117" s="12">
        <f ca="1">SUMIFS(TableDailySummary[Órdenes primer cliente],TableDailySummary[Fecha],"&gt;="&amp;TableWeeklySummary[[#This Row],[Desde]],TableDailySummary[Fecha],"&lt;="&amp;TableWeeklySummary[[#This Row],[Hasta]])</f>
        <v>0</v>
      </c>
      <c r="L117" s="12">
        <f ca="1">SUMIFS(TableDailySummary[Online Store_net_sales],TableDailySummary[Fecha],"&gt;="&amp;TableWeeklySummary[[#This Row],[Desde]],TableDailySummary[Fecha],"&lt;="&amp;TableWeeklySummary[[#This Row],[Hasta]])</f>
        <v>0</v>
      </c>
      <c r="M117" s="12">
        <f ca="1">SUMIFS(TableDailySummary[Online Store_orders],TableDailySummary[Fecha],"&gt;="&amp;TableWeeklySummary[[#This Row],[Desde]],TableDailySummary[Fecha],"&lt;="&amp;TableWeeklySummary[[#This Row],[Hasta]])</f>
        <v>0</v>
      </c>
      <c r="N117" s="12">
        <f ca="1">SUMIFS(TableDailySummary[Tienda 81_net_sales],TableDailySummary[Fecha],"&gt;="&amp;TableWeeklySummary[[#This Row],[Desde]],TableDailySummary[Fecha],"&lt;="&amp;TableWeeklySummary[[#This Row],[Hasta]])</f>
        <v>0</v>
      </c>
      <c r="O117" s="12">
        <f ca="1">SUMIFS(TableDailySummary[Tienda 81_orders],TableDailySummary[Fecha],"&gt;="&amp;TableWeeklySummary[[#This Row],[Desde]],TableDailySummary[Fecha],"&lt;="&amp;TableWeeklySummary[[#This Row],[Hasta]])</f>
        <v>0</v>
      </c>
      <c r="P117" s="12">
        <f ca="1">SUMIFS(TableDailySummary[Rappi_net_sales],TableDailySummary[Fecha],"&gt;="&amp;TableWeeklySummary[[#This Row],[Desde]],TableDailySummary[Fecha],"&lt;="&amp;TableWeeklySummary[[#This Row],[Hasta]])</f>
        <v>0</v>
      </c>
      <c r="Q117" s="12">
        <f ca="1">SUMIFS(TableDailySummary[Rappi_orders],TableDailySummary[Fecha],"&gt;="&amp;TableWeeklySummary[[#This Row],[Desde]],TableDailySummary[Fecha],"&lt;="&amp;TableWeeklySummary[[#This Row],[Hasta]])</f>
        <v>0</v>
      </c>
      <c r="R11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1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17" s="12">
        <f ca="1">SUMIFS(TableDailySummary[Inversión google ads],TableDailySummary[Fecha],"&gt;="&amp;TableWeeklySummary[[#This Row],[Desde]],TableDailySummary[Fecha],"&lt;="&amp;TableWeeklySummary[[#This Row],[Hasta]])</f>
        <v>0</v>
      </c>
      <c r="U117" s="12">
        <f ca="1">SUMIFS(TableDailySummary[Ventas google ads],TableDailySummary[Fecha],"&gt;="&amp;TableWeeklySummary[[#This Row],[Desde]],TableDailySummary[Fecha],"&lt;="&amp;TableWeeklySummary[[#This Row],[Hasta]])</f>
        <v>0</v>
      </c>
      <c r="V117" s="12">
        <f ca="1">SUMIFS(TableDailySummary[Inversión meta ads],TableDailySummary[Fecha],"&gt;="&amp;TableWeeklySummary[[#This Row],[Desde]],TableDailySummary[Fecha],"&lt;="&amp;TableWeeklySummary[[#This Row],[Hasta]])</f>
        <v>0</v>
      </c>
      <c r="W117" s="12">
        <f ca="1">SUMIFS(TableDailySummary[Ventas meta ads],TableDailySummary[Fecha],"&gt;="&amp;TableWeeklySummary[[#This Row],[Desde]],TableDailySummary[Fecha],"&lt;="&amp;TableWeeklySummary[[#This Row],[Hasta]])</f>
        <v>0</v>
      </c>
      <c r="X117" s="12">
        <f ca="1">TableWeeklySummary[[#This Row],[Inversión google ads]]+TableWeeklySummary[[#This Row],[Inversión meta ads]]</f>
        <v>0</v>
      </c>
      <c r="Y117" s="12">
        <f ca="1">TableWeeklySummary[[#This Row],[Ventas google ads]]+TableWeeklySummary[[#This Row],[Ventas meta ads]]</f>
        <v>0</v>
      </c>
      <c r="Z117" s="14">
        <f ca="1">IFERROR(TableWeeklySummary[[#This Row],[Ventas publicidad]]/TableWeeklySummary[[#This Row],[Inversión publicidad]],0)</f>
        <v>0</v>
      </c>
      <c r="AA117" s="14">
        <f ca="1">IFERROR(TableWeeklySummary[[#This Row],[Ventas primer cliente]]/TableWeeklySummary[[#This Row],[Inversión publicidad]],0)</f>
        <v>0</v>
      </c>
      <c r="AB117" s="14"/>
      <c r="AC117" s="12"/>
      <c r="AI11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1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17" s="12">
        <f ca="1">SUMIFS(TableDailySummary[Utilidad bruta],TableDailySummary[Fecha],"&gt;="&amp;TableWeeklySummary[[#This Row],[Desde]],TableDailySummary[Fecha],"&lt;="&amp;TableWeeklySummary[[#This Row],[Hasta]])</f>
        <v>0</v>
      </c>
      <c r="AL117" s="18">
        <f ca="1">IFERROR(TableWeeklySummary[[#This Row],[Utilidad bruta]]/TableWeeklySummary[[#This Row],[Ventas netas con costo registrado]],0)</f>
        <v>0</v>
      </c>
    </row>
    <row r="118" spans="2:38" x14ac:dyDescent="0.2">
      <c r="B118" s="16">
        <f ca="1">_xlfn.ISOWEEKNUM(TableWeeklySummary[[#This Row],[Hasta]])</f>
        <v>51</v>
      </c>
      <c r="C118" s="6">
        <f t="shared" ca="1" si="3"/>
        <v>46738</v>
      </c>
      <c r="D118" s="6">
        <f ca="1">TableWeeklySummary[[#This Row],[Desde]]+7-1</f>
        <v>46744</v>
      </c>
      <c r="E118" s="12">
        <f ca="1">SUMIFS(TableDailySummary[Ventas netas totales],TableDailySummary[Fecha],"&gt;="&amp;TableWeeklySummary[[#This Row],[Desde]],TableDailySummary[Fecha],"&lt;="&amp;TableWeeklySummary[[#This Row],[Hasta]])</f>
        <v>0</v>
      </c>
      <c r="F118" s="12">
        <f ca="1">SUMIFS(TableDailySummary[Órdenes totales],TableDailySummary[Fecha],"&gt;="&amp;TableWeeklySummary[[#This Row],[Desde]],TableDailySummary[Fecha],"&lt;="&amp;TableWeeklySummary[[#This Row],[Hasta]])</f>
        <v>0</v>
      </c>
      <c r="G118" s="12">
        <f ca="1">IFERROR(TableWeeklySummary[[#This Row],[Ventas netas totales]]/TableWeeklySummary[[#This Row],[Órdenes totales]],0)</f>
        <v>0</v>
      </c>
      <c r="H11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18" s="12">
        <f ca="1">TableWeeklySummary[[#This Row],[Órden promedio totales]]*TableWeeklySummary[[#This Row],[CR totales]]</f>
        <v>0</v>
      </c>
      <c r="J118" s="12">
        <f ca="1">SUMIFS(TableDailySummary[Ventas primer cliente],TableDailySummary[Fecha],"&gt;="&amp;TableWeeklySummary[[#This Row],[Desde]],TableDailySummary[Fecha],"&lt;="&amp;TableWeeklySummary[[#This Row],[Hasta]])</f>
        <v>0</v>
      </c>
      <c r="K118" s="12">
        <f ca="1">SUMIFS(TableDailySummary[Órdenes primer cliente],TableDailySummary[Fecha],"&gt;="&amp;TableWeeklySummary[[#This Row],[Desde]],TableDailySummary[Fecha],"&lt;="&amp;TableWeeklySummary[[#This Row],[Hasta]])</f>
        <v>0</v>
      </c>
      <c r="L118" s="12">
        <f ca="1">SUMIFS(TableDailySummary[Online Store_net_sales],TableDailySummary[Fecha],"&gt;="&amp;TableWeeklySummary[[#This Row],[Desde]],TableDailySummary[Fecha],"&lt;="&amp;TableWeeklySummary[[#This Row],[Hasta]])</f>
        <v>0</v>
      </c>
      <c r="M118" s="12">
        <f ca="1">SUMIFS(TableDailySummary[Online Store_orders],TableDailySummary[Fecha],"&gt;="&amp;TableWeeklySummary[[#This Row],[Desde]],TableDailySummary[Fecha],"&lt;="&amp;TableWeeklySummary[[#This Row],[Hasta]])</f>
        <v>0</v>
      </c>
      <c r="N118" s="12">
        <f ca="1">SUMIFS(TableDailySummary[Tienda 81_net_sales],TableDailySummary[Fecha],"&gt;="&amp;TableWeeklySummary[[#This Row],[Desde]],TableDailySummary[Fecha],"&lt;="&amp;TableWeeklySummary[[#This Row],[Hasta]])</f>
        <v>0</v>
      </c>
      <c r="O118" s="12">
        <f ca="1">SUMIFS(TableDailySummary[Tienda 81_orders],TableDailySummary[Fecha],"&gt;="&amp;TableWeeklySummary[[#This Row],[Desde]],TableDailySummary[Fecha],"&lt;="&amp;TableWeeklySummary[[#This Row],[Hasta]])</f>
        <v>0</v>
      </c>
      <c r="P118" s="12">
        <f ca="1">SUMIFS(TableDailySummary[Rappi_net_sales],TableDailySummary[Fecha],"&gt;="&amp;TableWeeklySummary[[#This Row],[Desde]],TableDailySummary[Fecha],"&lt;="&amp;TableWeeklySummary[[#This Row],[Hasta]])</f>
        <v>0</v>
      </c>
      <c r="Q118" s="12">
        <f ca="1">SUMIFS(TableDailySummary[Rappi_orders],TableDailySummary[Fecha],"&gt;="&amp;TableWeeklySummary[[#This Row],[Desde]],TableDailySummary[Fecha],"&lt;="&amp;TableWeeklySummary[[#This Row],[Hasta]])</f>
        <v>0</v>
      </c>
      <c r="R11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1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18" s="12">
        <f ca="1">SUMIFS(TableDailySummary[Inversión google ads],TableDailySummary[Fecha],"&gt;="&amp;TableWeeklySummary[[#This Row],[Desde]],TableDailySummary[Fecha],"&lt;="&amp;TableWeeklySummary[[#This Row],[Hasta]])</f>
        <v>0</v>
      </c>
      <c r="U118" s="12">
        <f ca="1">SUMIFS(TableDailySummary[Ventas google ads],TableDailySummary[Fecha],"&gt;="&amp;TableWeeklySummary[[#This Row],[Desde]],TableDailySummary[Fecha],"&lt;="&amp;TableWeeklySummary[[#This Row],[Hasta]])</f>
        <v>0</v>
      </c>
      <c r="V118" s="12">
        <f ca="1">SUMIFS(TableDailySummary[Inversión meta ads],TableDailySummary[Fecha],"&gt;="&amp;TableWeeklySummary[[#This Row],[Desde]],TableDailySummary[Fecha],"&lt;="&amp;TableWeeklySummary[[#This Row],[Hasta]])</f>
        <v>0</v>
      </c>
      <c r="W118" s="12">
        <f ca="1">SUMIFS(TableDailySummary[Ventas meta ads],TableDailySummary[Fecha],"&gt;="&amp;TableWeeklySummary[[#This Row],[Desde]],TableDailySummary[Fecha],"&lt;="&amp;TableWeeklySummary[[#This Row],[Hasta]])</f>
        <v>0</v>
      </c>
      <c r="X118" s="12">
        <f ca="1">TableWeeklySummary[[#This Row],[Inversión google ads]]+TableWeeklySummary[[#This Row],[Inversión meta ads]]</f>
        <v>0</v>
      </c>
      <c r="Y118" s="12">
        <f ca="1">TableWeeklySummary[[#This Row],[Ventas google ads]]+TableWeeklySummary[[#This Row],[Ventas meta ads]]</f>
        <v>0</v>
      </c>
      <c r="Z118" s="14">
        <f ca="1">IFERROR(TableWeeklySummary[[#This Row],[Ventas publicidad]]/TableWeeklySummary[[#This Row],[Inversión publicidad]],0)</f>
        <v>0</v>
      </c>
      <c r="AA118" s="14">
        <f ca="1">IFERROR(TableWeeklySummary[[#This Row],[Ventas primer cliente]]/TableWeeklySummary[[#This Row],[Inversión publicidad]],0)</f>
        <v>0</v>
      </c>
      <c r="AB118" s="14"/>
      <c r="AC118" s="12"/>
      <c r="AI11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1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18" s="12">
        <f ca="1">SUMIFS(TableDailySummary[Utilidad bruta],TableDailySummary[Fecha],"&gt;="&amp;TableWeeklySummary[[#This Row],[Desde]],TableDailySummary[Fecha],"&lt;="&amp;TableWeeklySummary[[#This Row],[Hasta]])</f>
        <v>0</v>
      </c>
      <c r="AL118" s="18">
        <f ca="1">IFERROR(TableWeeklySummary[[#This Row],[Utilidad bruta]]/TableWeeklySummary[[#This Row],[Ventas netas con costo registrado]],0)</f>
        <v>0</v>
      </c>
    </row>
    <row r="119" spans="2:38" x14ac:dyDescent="0.2">
      <c r="B119" s="16">
        <f ca="1">_xlfn.ISOWEEKNUM(TableWeeklySummary[[#This Row],[Hasta]])</f>
        <v>52</v>
      </c>
      <c r="C119" s="6">
        <f t="shared" ca="1" si="3"/>
        <v>46745</v>
      </c>
      <c r="D119" s="6">
        <f ca="1">TableWeeklySummary[[#This Row],[Desde]]+7-1</f>
        <v>46751</v>
      </c>
      <c r="E119" s="12">
        <f ca="1">SUMIFS(TableDailySummary[Ventas netas totales],TableDailySummary[Fecha],"&gt;="&amp;TableWeeklySummary[[#This Row],[Desde]],TableDailySummary[Fecha],"&lt;="&amp;TableWeeklySummary[[#This Row],[Hasta]])</f>
        <v>0</v>
      </c>
      <c r="F119" s="12">
        <f ca="1">SUMIFS(TableDailySummary[Órdenes totales],TableDailySummary[Fecha],"&gt;="&amp;TableWeeklySummary[[#This Row],[Desde]],TableDailySummary[Fecha],"&lt;="&amp;TableWeeklySummary[[#This Row],[Hasta]])</f>
        <v>0</v>
      </c>
      <c r="G119" s="12">
        <f ca="1">IFERROR(TableWeeklySummary[[#This Row],[Ventas netas totales]]/TableWeeklySummary[[#This Row],[Órdenes totales]],0)</f>
        <v>0</v>
      </c>
      <c r="H11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19" s="12">
        <f ca="1">TableWeeklySummary[[#This Row],[Órden promedio totales]]*TableWeeklySummary[[#This Row],[CR totales]]</f>
        <v>0</v>
      </c>
      <c r="J119" s="12">
        <f ca="1">SUMIFS(TableDailySummary[Ventas primer cliente],TableDailySummary[Fecha],"&gt;="&amp;TableWeeklySummary[[#This Row],[Desde]],TableDailySummary[Fecha],"&lt;="&amp;TableWeeklySummary[[#This Row],[Hasta]])</f>
        <v>0</v>
      </c>
      <c r="K119" s="12">
        <f ca="1">SUMIFS(TableDailySummary[Órdenes primer cliente],TableDailySummary[Fecha],"&gt;="&amp;TableWeeklySummary[[#This Row],[Desde]],TableDailySummary[Fecha],"&lt;="&amp;TableWeeklySummary[[#This Row],[Hasta]])</f>
        <v>0</v>
      </c>
      <c r="L119" s="12">
        <f ca="1">SUMIFS(TableDailySummary[Online Store_net_sales],TableDailySummary[Fecha],"&gt;="&amp;TableWeeklySummary[[#This Row],[Desde]],TableDailySummary[Fecha],"&lt;="&amp;TableWeeklySummary[[#This Row],[Hasta]])</f>
        <v>0</v>
      </c>
      <c r="M119" s="12">
        <f ca="1">SUMIFS(TableDailySummary[Online Store_orders],TableDailySummary[Fecha],"&gt;="&amp;TableWeeklySummary[[#This Row],[Desde]],TableDailySummary[Fecha],"&lt;="&amp;TableWeeklySummary[[#This Row],[Hasta]])</f>
        <v>0</v>
      </c>
      <c r="N119" s="12">
        <f ca="1">SUMIFS(TableDailySummary[Tienda 81_net_sales],TableDailySummary[Fecha],"&gt;="&amp;TableWeeklySummary[[#This Row],[Desde]],TableDailySummary[Fecha],"&lt;="&amp;TableWeeklySummary[[#This Row],[Hasta]])</f>
        <v>0</v>
      </c>
      <c r="O119" s="12">
        <f ca="1">SUMIFS(TableDailySummary[Tienda 81_orders],TableDailySummary[Fecha],"&gt;="&amp;TableWeeklySummary[[#This Row],[Desde]],TableDailySummary[Fecha],"&lt;="&amp;TableWeeklySummary[[#This Row],[Hasta]])</f>
        <v>0</v>
      </c>
      <c r="P119" s="12">
        <f ca="1">SUMIFS(TableDailySummary[Rappi_net_sales],TableDailySummary[Fecha],"&gt;="&amp;TableWeeklySummary[[#This Row],[Desde]],TableDailySummary[Fecha],"&lt;="&amp;TableWeeklySummary[[#This Row],[Hasta]])</f>
        <v>0</v>
      </c>
      <c r="Q119" s="12">
        <f ca="1">SUMIFS(TableDailySummary[Rappi_orders],TableDailySummary[Fecha],"&gt;="&amp;TableWeeklySummary[[#This Row],[Desde]],TableDailySummary[Fecha],"&lt;="&amp;TableWeeklySummary[[#This Row],[Hasta]])</f>
        <v>0</v>
      </c>
      <c r="R11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1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19" s="12">
        <f ca="1">SUMIFS(TableDailySummary[Inversión google ads],TableDailySummary[Fecha],"&gt;="&amp;TableWeeklySummary[[#This Row],[Desde]],TableDailySummary[Fecha],"&lt;="&amp;TableWeeklySummary[[#This Row],[Hasta]])</f>
        <v>0</v>
      </c>
      <c r="U119" s="12">
        <f ca="1">SUMIFS(TableDailySummary[Ventas google ads],TableDailySummary[Fecha],"&gt;="&amp;TableWeeklySummary[[#This Row],[Desde]],TableDailySummary[Fecha],"&lt;="&amp;TableWeeklySummary[[#This Row],[Hasta]])</f>
        <v>0</v>
      </c>
      <c r="V119" s="12">
        <f ca="1">SUMIFS(TableDailySummary[Inversión meta ads],TableDailySummary[Fecha],"&gt;="&amp;TableWeeklySummary[[#This Row],[Desde]],TableDailySummary[Fecha],"&lt;="&amp;TableWeeklySummary[[#This Row],[Hasta]])</f>
        <v>0</v>
      </c>
      <c r="W119" s="12">
        <f ca="1">SUMIFS(TableDailySummary[Ventas meta ads],TableDailySummary[Fecha],"&gt;="&amp;TableWeeklySummary[[#This Row],[Desde]],TableDailySummary[Fecha],"&lt;="&amp;TableWeeklySummary[[#This Row],[Hasta]])</f>
        <v>0</v>
      </c>
      <c r="X119" s="12">
        <f ca="1">TableWeeklySummary[[#This Row],[Inversión google ads]]+TableWeeklySummary[[#This Row],[Inversión meta ads]]</f>
        <v>0</v>
      </c>
      <c r="Y119" s="12">
        <f ca="1">TableWeeklySummary[[#This Row],[Ventas google ads]]+TableWeeklySummary[[#This Row],[Ventas meta ads]]</f>
        <v>0</v>
      </c>
      <c r="Z119" s="14">
        <f ca="1">IFERROR(TableWeeklySummary[[#This Row],[Ventas publicidad]]/TableWeeklySummary[[#This Row],[Inversión publicidad]],0)</f>
        <v>0</v>
      </c>
      <c r="AA119" s="14">
        <f ca="1">IFERROR(TableWeeklySummary[[#This Row],[Ventas primer cliente]]/TableWeeklySummary[[#This Row],[Inversión publicidad]],0)</f>
        <v>0</v>
      </c>
      <c r="AB119" s="14"/>
      <c r="AC119" s="12"/>
      <c r="AI11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1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19" s="12">
        <f ca="1">SUMIFS(TableDailySummary[Utilidad bruta],TableDailySummary[Fecha],"&gt;="&amp;TableWeeklySummary[[#This Row],[Desde]],TableDailySummary[Fecha],"&lt;="&amp;TableWeeklySummary[[#This Row],[Hasta]])</f>
        <v>0</v>
      </c>
      <c r="AL119" s="18">
        <f ca="1">IFERROR(TableWeeklySummary[[#This Row],[Utilidad bruta]]/TableWeeklySummary[[#This Row],[Ventas netas con costo registrado]],0)</f>
        <v>0</v>
      </c>
    </row>
    <row r="120" spans="2:38" x14ac:dyDescent="0.2">
      <c r="B120" s="16">
        <f ca="1">_xlfn.ISOWEEKNUM(TableWeeklySummary[[#This Row],[Hasta]])</f>
        <v>1</v>
      </c>
      <c r="C120" s="6">
        <f t="shared" ca="1" si="3"/>
        <v>46752</v>
      </c>
      <c r="D120" s="6">
        <f ca="1">TableWeeklySummary[[#This Row],[Desde]]+7-1</f>
        <v>46758</v>
      </c>
      <c r="E120" s="12">
        <f ca="1">SUMIFS(TableDailySummary[Ventas netas totales],TableDailySummary[Fecha],"&gt;="&amp;TableWeeklySummary[[#This Row],[Desde]],TableDailySummary[Fecha],"&lt;="&amp;TableWeeklySummary[[#This Row],[Hasta]])</f>
        <v>0</v>
      </c>
      <c r="F120" s="12">
        <f ca="1">SUMIFS(TableDailySummary[Órdenes totales],TableDailySummary[Fecha],"&gt;="&amp;TableWeeklySummary[[#This Row],[Desde]],TableDailySummary[Fecha],"&lt;="&amp;TableWeeklySummary[[#This Row],[Hasta]])</f>
        <v>0</v>
      </c>
      <c r="G120" s="12">
        <f ca="1">IFERROR(TableWeeklySummary[[#This Row],[Ventas netas totales]]/TableWeeklySummary[[#This Row],[Órdenes totales]],0)</f>
        <v>0</v>
      </c>
      <c r="H12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20" s="12">
        <f ca="1">TableWeeklySummary[[#This Row],[Órden promedio totales]]*TableWeeklySummary[[#This Row],[CR totales]]</f>
        <v>0</v>
      </c>
      <c r="J120" s="12">
        <f ca="1">SUMIFS(TableDailySummary[Ventas primer cliente],TableDailySummary[Fecha],"&gt;="&amp;TableWeeklySummary[[#This Row],[Desde]],TableDailySummary[Fecha],"&lt;="&amp;TableWeeklySummary[[#This Row],[Hasta]])</f>
        <v>0</v>
      </c>
      <c r="K120" s="12">
        <f ca="1">SUMIFS(TableDailySummary[Órdenes primer cliente],TableDailySummary[Fecha],"&gt;="&amp;TableWeeklySummary[[#This Row],[Desde]],TableDailySummary[Fecha],"&lt;="&amp;TableWeeklySummary[[#This Row],[Hasta]])</f>
        <v>0</v>
      </c>
      <c r="L120" s="12">
        <f ca="1">SUMIFS(TableDailySummary[Online Store_net_sales],TableDailySummary[Fecha],"&gt;="&amp;TableWeeklySummary[[#This Row],[Desde]],TableDailySummary[Fecha],"&lt;="&amp;TableWeeklySummary[[#This Row],[Hasta]])</f>
        <v>0</v>
      </c>
      <c r="M120" s="12">
        <f ca="1">SUMIFS(TableDailySummary[Online Store_orders],TableDailySummary[Fecha],"&gt;="&amp;TableWeeklySummary[[#This Row],[Desde]],TableDailySummary[Fecha],"&lt;="&amp;TableWeeklySummary[[#This Row],[Hasta]])</f>
        <v>0</v>
      </c>
      <c r="N120" s="12">
        <f ca="1">SUMIFS(TableDailySummary[Tienda 81_net_sales],TableDailySummary[Fecha],"&gt;="&amp;TableWeeklySummary[[#This Row],[Desde]],TableDailySummary[Fecha],"&lt;="&amp;TableWeeklySummary[[#This Row],[Hasta]])</f>
        <v>0</v>
      </c>
      <c r="O120" s="12">
        <f ca="1">SUMIFS(TableDailySummary[Tienda 81_orders],TableDailySummary[Fecha],"&gt;="&amp;TableWeeklySummary[[#This Row],[Desde]],TableDailySummary[Fecha],"&lt;="&amp;TableWeeklySummary[[#This Row],[Hasta]])</f>
        <v>0</v>
      </c>
      <c r="P120" s="12">
        <f ca="1">SUMIFS(TableDailySummary[Rappi_net_sales],TableDailySummary[Fecha],"&gt;="&amp;TableWeeklySummary[[#This Row],[Desde]],TableDailySummary[Fecha],"&lt;="&amp;TableWeeklySummary[[#This Row],[Hasta]])</f>
        <v>0</v>
      </c>
      <c r="Q120" s="12">
        <f ca="1">SUMIFS(TableDailySummary[Rappi_orders],TableDailySummary[Fecha],"&gt;="&amp;TableWeeklySummary[[#This Row],[Desde]],TableDailySummary[Fecha],"&lt;="&amp;TableWeeklySummary[[#This Row],[Hasta]])</f>
        <v>0</v>
      </c>
      <c r="R12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2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20" s="12">
        <f ca="1">SUMIFS(TableDailySummary[Inversión google ads],TableDailySummary[Fecha],"&gt;="&amp;TableWeeklySummary[[#This Row],[Desde]],TableDailySummary[Fecha],"&lt;="&amp;TableWeeklySummary[[#This Row],[Hasta]])</f>
        <v>0</v>
      </c>
      <c r="U120" s="12">
        <f ca="1">SUMIFS(TableDailySummary[Ventas google ads],TableDailySummary[Fecha],"&gt;="&amp;TableWeeklySummary[[#This Row],[Desde]],TableDailySummary[Fecha],"&lt;="&amp;TableWeeklySummary[[#This Row],[Hasta]])</f>
        <v>0</v>
      </c>
      <c r="V120" s="12">
        <f ca="1">SUMIFS(TableDailySummary[Inversión meta ads],TableDailySummary[Fecha],"&gt;="&amp;TableWeeklySummary[[#This Row],[Desde]],TableDailySummary[Fecha],"&lt;="&amp;TableWeeklySummary[[#This Row],[Hasta]])</f>
        <v>0</v>
      </c>
      <c r="W120" s="12">
        <f ca="1">SUMIFS(TableDailySummary[Ventas meta ads],TableDailySummary[Fecha],"&gt;="&amp;TableWeeklySummary[[#This Row],[Desde]],TableDailySummary[Fecha],"&lt;="&amp;TableWeeklySummary[[#This Row],[Hasta]])</f>
        <v>0</v>
      </c>
      <c r="X120" s="12">
        <f ca="1">TableWeeklySummary[[#This Row],[Inversión google ads]]+TableWeeklySummary[[#This Row],[Inversión meta ads]]</f>
        <v>0</v>
      </c>
      <c r="Y120" s="12">
        <f ca="1">TableWeeklySummary[[#This Row],[Ventas google ads]]+TableWeeklySummary[[#This Row],[Ventas meta ads]]</f>
        <v>0</v>
      </c>
      <c r="Z120" s="14">
        <f ca="1">IFERROR(TableWeeklySummary[[#This Row],[Ventas publicidad]]/TableWeeklySummary[[#This Row],[Inversión publicidad]],0)</f>
        <v>0</v>
      </c>
      <c r="AA120" s="14">
        <f ca="1">IFERROR(TableWeeklySummary[[#This Row],[Ventas primer cliente]]/TableWeeklySummary[[#This Row],[Inversión publicidad]],0)</f>
        <v>0</v>
      </c>
      <c r="AB120" s="14"/>
      <c r="AC120" s="12"/>
      <c r="AI12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2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20" s="12">
        <f ca="1">SUMIFS(TableDailySummary[Utilidad bruta],TableDailySummary[Fecha],"&gt;="&amp;TableWeeklySummary[[#This Row],[Desde]],TableDailySummary[Fecha],"&lt;="&amp;TableWeeklySummary[[#This Row],[Hasta]])</f>
        <v>0</v>
      </c>
      <c r="AL120" s="18">
        <f ca="1">IFERROR(TableWeeklySummary[[#This Row],[Utilidad bruta]]/TableWeeklySummary[[#This Row],[Ventas netas con costo registrado]],0)</f>
        <v>0</v>
      </c>
    </row>
    <row r="121" spans="2:38" x14ac:dyDescent="0.2">
      <c r="B121" s="16">
        <f ca="1">_xlfn.ISOWEEKNUM(TableWeeklySummary[[#This Row],[Hasta]])</f>
        <v>2</v>
      </c>
      <c r="C121" s="6">
        <f t="shared" ca="1" si="3"/>
        <v>46759</v>
      </c>
      <c r="D121" s="6">
        <f ca="1">TableWeeklySummary[[#This Row],[Desde]]+7-1</f>
        <v>46765</v>
      </c>
      <c r="E121" s="12">
        <f ca="1">SUMIFS(TableDailySummary[Ventas netas totales],TableDailySummary[Fecha],"&gt;="&amp;TableWeeklySummary[[#This Row],[Desde]],TableDailySummary[Fecha],"&lt;="&amp;TableWeeklySummary[[#This Row],[Hasta]])</f>
        <v>0</v>
      </c>
      <c r="F121" s="12">
        <f ca="1">SUMIFS(TableDailySummary[Órdenes totales],TableDailySummary[Fecha],"&gt;="&amp;TableWeeklySummary[[#This Row],[Desde]],TableDailySummary[Fecha],"&lt;="&amp;TableWeeklySummary[[#This Row],[Hasta]])</f>
        <v>0</v>
      </c>
      <c r="G121" s="12">
        <f ca="1">IFERROR(TableWeeklySummary[[#This Row],[Ventas netas totales]]/TableWeeklySummary[[#This Row],[Órdenes totales]],0)</f>
        <v>0</v>
      </c>
      <c r="H12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21" s="12">
        <f ca="1">TableWeeklySummary[[#This Row],[Órden promedio totales]]*TableWeeklySummary[[#This Row],[CR totales]]</f>
        <v>0</v>
      </c>
      <c r="J121" s="12">
        <f ca="1">SUMIFS(TableDailySummary[Ventas primer cliente],TableDailySummary[Fecha],"&gt;="&amp;TableWeeklySummary[[#This Row],[Desde]],TableDailySummary[Fecha],"&lt;="&amp;TableWeeklySummary[[#This Row],[Hasta]])</f>
        <v>0</v>
      </c>
      <c r="K121" s="12">
        <f ca="1">SUMIFS(TableDailySummary[Órdenes primer cliente],TableDailySummary[Fecha],"&gt;="&amp;TableWeeklySummary[[#This Row],[Desde]],TableDailySummary[Fecha],"&lt;="&amp;TableWeeklySummary[[#This Row],[Hasta]])</f>
        <v>0</v>
      </c>
      <c r="L121" s="12">
        <f ca="1">SUMIFS(TableDailySummary[Online Store_net_sales],TableDailySummary[Fecha],"&gt;="&amp;TableWeeklySummary[[#This Row],[Desde]],TableDailySummary[Fecha],"&lt;="&amp;TableWeeklySummary[[#This Row],[Hasta]])</f>
        <v>0</v>
      </c>
      <c r="M121" s="12">
        <f ca="1">SUMIFS(TableDailySummary[Online Store_orders],TableDailySummary[Fecha],"&gt;="&amp;TableWeeklySummary[[#This Row],[Desde]],TableDailySummary[Fecha],"&lt;="&amp;TableWeeklySummary[[#This Row],[Hasta]])</f>
        <v>0</v>
      </c>
      <c r="N121" s="12">
        <f ca="1">SUMIFS(TableDailySummary[Tienda 81_net_sales],TableDailySummary[Fecha],"&gt;="&amp;TableWeeklySummary[[#This Row],[Desde]],TableDailySummary[Fecha],"&lt;="&amp;TableWeeklySummary[[#This Row],[Hasta]])</f>
        <v>0</v>
      </c>
      <c r="O121" s="12">
        <f ca="1">SUMIFS(TableDailySummary[Tienda 81_orders],TableDailySummary[Fecha],"&gt;="&amp;TableWeeklySummary[[#This Row],[Desde]],TableDailySummary[Fecha],"&lt;="&amp;TableWeeklySummary[[#This Row],[Hasta]])</f>
        <v>0</v>
      </c>
      <c r="P121" s="12">
        <f ca="1">SUMIFS(TableDailySummary[Rappi_net_sales],TableDailySummary[Fecha],"&gt;="&amp;TableWeeklySummary[[#This Row],[Desde]],TableDailySummary[Fecha],"&lt;="&amp;TableWeeklySummary[[#This Row],[Hasta]])</f>
        <v>0</v>
      </c>
      <c r="Q121" s="12">
        <f ca="1">SUMIFS(TableDailySummary[Rappi_orders],TableDailySummary[Fecha],"&gt;="&amp;TableWeeklySummary[[#This Row],[Desde]],TableDailySummary[Fecha],"&lt;="&amp;TableWeeklySummary[[#This Row],[Hasta]])</f>
        <v>0</v>
      </c>
      <c r="R12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2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21" s="12">
        <f ca="1">SUMIFS(TableDailySummary[Inversión google ads],TableDailySummary[Fecha],"&gt;="&amp;TableWeeklySummary[[#This Row],[Desde]],TableDailySummary[Fecha],"&lt;="&amp;TableWeeklySummary[[#This Row],[Hasta]])</f>
        <v>0</v>
      </c>
      <c r="U121" s="12">
        <f ca="1">SUMIFS(TableDailySummary[Ventas google ads],TableDailySummary[Fecha],"&gt;="&amp;TableWeeklySummary[[#This Row],[Desde]],TableDailySummary[Fecha],"&lt;="&amp;TableWeeklySummary[[#This Row],[Hasta]])</f>
        <v>0</v>
      </c>
      <c r="V121" s="12">
        <f ca="1">SUMIFS(TableDailySummary[Inversión meta ads],TableDailySummary[Fecha],"&gt;="&amp;TableWeeklySummary[[#This Row],[Desde]],TableDailySummary[Fecha],"&lt;="&amp;TableWeeklySummary[[#This Row],[Hasta]])</f>
        <v>0</v>
      </c>
      <c r="W121" s="12">
        <f ca="1">SUMIFS(TableDailySummary[Ventas meta ads],TableDailySummary[Fecha],"&gt;="&amp;TableWeeklySummary[[#This Row],[Desde]],TableDailySummary[Fecha],"&lt;="&amp;TableWeeklySummary[[#This Row],[Hasta]])</f>
        <v>0</v>
      </c>
      <c r="X121" s="12">
        <f ca="1">TableWeeklySummary[[#This Row],[Inversión google ads]]+TableWeeklySummary[[#This Row],[Inversión meta ads]]</f>
        <v>0</v>
      </c>
      <c r="Y121" s="12">
        <f ca="1">TableWeeklySummary[[#This Row],[Ventas google ads]]+TableWeeklySummary[[#This Row],[Ventas meta ads]]</f>
        <v>0</v>
      </c>
      <c r="Z121" s="14">
        <f ca="1">IFERROR(TableWeeklySummary[[#This Row],[Ventas publicidad]]/TableWeeklySummary[[#This Row],[Inversión publicidad]],0)</f>
        <v>0</v>
      </c>
      <c r="AA121" s="14">
        <f ca="1">IFERROR(TableWeeklySummary[[#This Row],[Ventas primer cliente]]/TableWeeklySummary[[#This Row],[Inversión publicidad]],0)</f>
        <v>0</v>
      </c>
      <c r="AB121" s="14"/>
      <c r="AC121" s="12"/>
      <c r="AI12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2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21" s="12">
        <f ca="1">SUMIFS(TableDailySummary[Utilidad bruta],TableDailySummary[Fecha],"&gt;="&amp;TableWeeklySummary[[#This Row],[Desde]],TableDailySummary[Fecha],"&lt;="&amp;TableWeeklySummary[[#This Row],[Hasta]])</f>
        <v>0</v>
      </c>
      <c r="AL121" s="18">
        <f ca="1">IFERROR(TableWeeklySummary[[#This Row],[Utilidad bruta]]/TableWeeklySummary[[#This Row],[Ventas netas con costo registrado]],0)</f>
        <v>0</v>
      </c>
    </row>
    <row r="122" spans="2:38" x14ac:dyDescent="0.2">
      <c r="B122" s="16">
        <f ca="1">_xlfn.ISOWEEKNUM(TableWeeklySummary[[#This Row],[Hasta]])</f>
        <v>3</v>
      </c>
      <c r="C122" s="6">
        <f t="shared" ca="1" si="3"/>
        <v>46766</v>
      </c>
      <c r="D122" s="6">
        <f ca="1">TableWeeklySummary[[#This Row],[Desde]]+7-1</f>
        <v>46772</v>
      </c>
      <c r="E122" s="12">
        <f ca="1">SUMIFS(TableDailySummary[Ventas netas totales],TableDailySummary[Fecha],"&gt;="&amp;TableWeeklySummary[[#This Row],[Desde]],TableDailySummary[Fecha],"&lt;="&amp;TableWeeklySummary[[#This Row],[Hasta]])</f>
        <v>0</v>
      </c>
      <c r="F122" s="12">
        <f ca="1">SUMIFS(TableDailySummary[Órdenes totales],TableDailySummary[Fecha],"&gt;="&amp;TableWeeklySummary[[#This Row],[Desde]],TableDailySummary[Fecha],"&lt;="&amp;TableWeeklySummary[[#This Row],[Hasta]])</f>
        <v>0</v>
      </c>
      <c r="G122" s="12">
        <f ca="1">IFERROR(TableWeeklySummary[[#This Row],[Ventas netas totales]]/TableWeeklySummary[[#This Row],[Órdenes totales]],0)</f>
        <v>0</v>
      </c>
      <c r="H12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22" s="12">
        <f ca="1">TableWeeklySummary[[#This Row],[Órden promedio totales]]*TableWeeklySummary[[#This Row],[CR totales]]</f>
        <v>0</v>
      </c>
      <c r="J122" s="12">
        <f ca="1">SUMIFS(TableDailySummary[Ventas primer cliente],TableDailySummary[Fecha],"&gt;="&amp;TableWeeklySummary[[#This Row],[Desde]],TableDailySummary[Fecha],"&lt;="&amp;TableWeeklySummary[[#This Row],[Hasta]])</f>
        <v>0</v>
      </c>
      <c r="K122" s="12">
        <f ca="1">SUMIFS(TableDailySummary[Órdenes primer cliente],TableDailySummary[Fecha],"&gt;="&amp;TableWeeklySummary[[#This Row],[Desde]],TableDailySummary[Fecha],"&lt;="&amp;TableWeeklySummary[[#This Row],[Hasta]])</f>
        <v>0</v>
      </c>
      <c r="L122" s="12">
        <f ca="1">SUMIFS(TableDailySummary[Online Store_net_sales],TableDailySummary[Fecha],"&gt;="&amp;TableWeeklySummary[[#This Row],[Desde]],TableDailySummary[Fecha],"&lt;="&amp;TableWeeklySummary[[#This Row],[Hasta]])</f>
        <v>0</v>
      </c>
      <c r="M122" s="12">
        <f ca="1">SUMIFS(TableDailySummary[Online Store_orders],TableDailySummary[Fecha],"&gt;="&amp;TableWeeklySummary[[#This Row],[Desde]],TableDailySummary[Fecha],"&lt;="&amp;TableWeeklySummary[[#This Row],[Hasta]])</f>
        <v>0</v>
      </c>
      <c r="N122" s="12">
        <f ca="1">SUMIFS(TableDailySummary[Tienda 81_net_sales],TableDailySummary[Fecha],"&gt;="&amp;TableWeeklySummary[[#This Row],[Desde]],TableDailySummary[Fecha],"&lt;="&amp;TableWeeklySummary[[#This Row],[Hasta]])</f>
        <v>0</v>
      </c>
      <c r="O122" s="12">
        <f ca="1">SUMIFS(TableDailySummary[Tienda 81_orders],TableDailySummary[Fecha],"&gt;="&amp;TableWeeklySummary[[#This Row],[Desde]],TableDailySummary[Fecha],"&lt;="&amp;TableWeeklySummary[[#This Row],[Hasta]])</f>
        <v>0</v>
      </c>
      <c r="P122" s="12">
        <f ca="1">SUMIFS(TableDailySummary[Rappi_net_sales],TableDailySummary[Fecha],"&gt;="&amp;TableWeeklySummary[[#This Row],[Desde]],TableDailySummary[Fecha],"&lt;="&amp;TableWeeklySummary[[#This Row],[Hasta]])</f>
        <v>0</v>
      </c>
      <c r="Q122" s="12">
        <f ca="1">SUMIFS(TableDailySummary[Rappi_orders],TableDailySummary[Fecha],"&gt;="&amp;TableWeeklySummary[[#This Row],[Desde]],TableDailySummary[Fecha],"&lt;="&amp;TableWeeklySummary[[#This Row],[Hasta]])</f>
        <v>0</v>
      </c>
      <c r="R12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2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22" s="12">
        <f ca="1">SUMIFS(TableDailySummary[Inversión google ads],TableDailySummary[Fecha],"&gt;="&amp;TableWeeklySummary[[#This Row],[Desde]],TableDailySummary[Fecha],"&lt;="&amp;TableWeeklySummary[[#This Row],[Hasta]])</f>
        <v>0</v>
      </c>
      <c r="U122" s="12">
        <f ca="1">SUMIFS(TableDailySummary[Ventas google ads],TableDailySummary[Fecha],"&gt;="&amp;TableWeeklySummary[[#This Row],[Desde]],TableDailySummary[Fecha],"&lt;="&amp;TableWeeklySummary[[#This Row],[Hasta]])</f>
        <v>0</v>
      </c>
      <c r="V122" s="12">
        <f ca="1">SUMIFS(TableDailySummary[Inversión meta ads],TableDailySummary[Fecha],"&gt;="&amp;TableWeeklySummary[[#This Row],[Desde]],TableDailySummary[Fecha],"&lt;="&amp;TableWeeklySummary[[#This Row],[Hasta]])</f>
        <v>0</v>
      </c>
      <c r="W122" s="12">
        <f ca="1">SUMIFS(TableDailySummary[Ventas meta ads],TableDailySummary[Fecha],"&gt;="&amp;TableWeeklySummary[[#This Row],[Desde]],TableDailySummary[Fecha],"&lt;="&amp;TableWeeklySummary[[#This Row],[Hasta]])</f>
        <v>0</v>
      </c>
      <c r="X122" s="12">
        <f ca="1">TableWeeklySummary[[#This Row],[Inversión google ads]]+TableWeeklySummary[[#This Row],[Inversión meta ads]]</f>
        <v>0</v>
      </c>
      <c r="Y122" s="12">
        <f ca="1">TableWeeklySummary[[#This Row],[Ventas google ads]]+TableWeeklySummary[[#This Row],[Ventas meta ads]]</f>
        <v>0</v>
      </c>
      <c r="Z122" s="14">
        <f ca="1">IFERROR(TableWeeklySummary[[#This Row],[Ventas publicidad]]/TableWeeklySummary[[#This Row],[Inversión publicidad]],0)</f>
        <v>0</v>
      </c>
      <c r="AA122" s="14">
        <f ca="1">IFERROR(TableWeeklySummary[[#This Row],[Ventas primer cliente]]/TableWeeklySummary[[#This Row],[Inversión publicidad]],0)</f>
        <v>0</v>
      </c>
      <c r="AB122" s="14"/>
      <c r="AC122" s="12"/>
      <c r="AI12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2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22" s="12">
        <f ca="1">SUMIFS(TableDailySummary[Utilidad bruta],TableDailySummary[Fecha],"&gt;="&amp;TableWeeklySummary[[#This Row],[Desde]],TableDailySummary[Fecha],"&lt;="&amp;TableWeeklySummary[[#This Row],[Hasta]])</f>
        <v>0</v>
      </c>
      <c r="AL122" s="18">
        <f ca="1">IFERROR(TableWeeklySummary[[#This Row],[Utilidad bruta]]/TableWeeklySummary[[#This Row],[Ventas netas con costo registrado]],0)</f>
        <v>0</v>
      </c>
    </row>
    <row r="123" spans="2:38" x14ac:dyDescent="0.2">
      <c r="B123" s="16">
        <f ca="1">_xlfn.ISOWEEKNUM(TableWeeklySummary[[#This Row],[Hasta]])</f>
        <v>4</v>
      </c>
      <c r="C123" s="6">
        <f t="shared" ca="1" si="3"/>
        <v>46773</v>
      </c>
      <c r="D123" s="6">
        <f ca="1">TableWeeklySummary[[#This Row],[Desde]]+7-1</f>
        <v>46779</v>
      </c>
      <c r="E123" s="12">
        <f ca="1">SUMIFS(TableDailySummary[Ventas netas totales],TableDailySummary[Fecha],"&gt;="&amp;TableWeeklySummary[[#This Row],[Desde]],TableDailySummary[Fecha],"&lt;="&amp;TableWeeklySummary[[#This Row],[Hasta]])</f>
        <v>0</v>
      </c>
      <c r="F123" s="12">
        <f ca="1">SUMIFS(TableDailySummary[Órdenes totales],TableDailySummary[Fecha],"&gt;="&amp;TableWeeklySummary[[#This Row],[Desde]],TableDailySummary[Fecha],"&lt;="&amp;TableWeeklySummary[[#This Row],[Hasta]])</f>
        <v>0</v>
      </c>
      <c r="G123" s="12">
        <f ca="1">IFERROR(TableWeeklySummary[[#This Row],[Ventas netas totales]]/TableWeeklySummary[[#This Row],[Órdenes totales]],0)</f>
        <v>0</v>
      </c>
      <c r="H12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23" s="12">
        <f ca="1">TableWeeklySummary[[#This Row],[Órden promedio totales]]*TableWeeklySummary[[#This Row],[CR totales]]</f>
        <v>0</v>
      </c>
      <c r="J123" s="12">
        <f ca="1">SUMIFS(TableDailySummary[Ventas primer cliente],TableDailySummary[Fecha],"&gt;="&amp;TableWeeklySummary[[#This Row],[Desde]],TableDailySummary[Fecha],"&lt;="&amp;TableWeeklySummary[[#This Row],[Hasta]])</f>
        <v>0</v>
      </c>
      <c r="K123" s="12">
        <f ca="1">SUMIFS(TableDailySummary[Órdenes primer cliente],TableDailySummary[Fecha],"&gt;="&amp;TableWeeklySummary[[#This Row],[Desde]],TableDailySummary[Fecha],"&lt;="&amp;TableWeeklySummary[[#This Row],[Hasta]])</f>
        <v>0</v>
      </c>
      <c r="L123" s="12">
        <f ca="1">SUMIFS(TableDailySummary[Online Store_net_sales],TableDailySummary[Fecha],"&gt;="&amp;TableWeeklySummary[[#This Row],[Desde]],TableDailySummary[Fecha],"&lt;="&amp;TableWeeklySummary[[#This Row],[Hasta]])</f>
        <v>0</v>
      </c>
      <c r="M123" s="12">
        <f ca="1">SUMIFS(TableDailySummary[Online Store_orders],TableDailySummary[Fecha],"&gt;="&amp;TableWeeklySummary[[#This Row],[Desde]],TableDailySummary[Fecha],"&lt;="&amp;TableWeeklySummary[[#This Row],[Hasta]])</f>
        <v>0</v>
      </c>
      <c r="N123" s="12">
        <f ca="1">SUMIFS(TableDailySummary[Tienda 81_net_sales],TableDailySummary[Fecha],"&gt;="&amp;TableWeeklySummary[[#This Row],[Desde]],TableDailySummary[Fecha],"&lt;="&amp;TableWeeklySummary[[#This Row],[Hasta]])</f>
        <v>0</v>
      </c>
      <c r="O123" s="12">
        <f ca="1">SUMIFS(TableDailySummary[Tienda 81_orders],TableDailySummary[Fecha],"&gt;="&amp;TableWeeklySummary[[#This Row],[Desde]],TableDailySummary[Fecha],"&lt;="&amp;TableWeeklySummary[[#This Row],[Hasta]])</f>
        <v>0</v>
      </c>
      <c r="P123" s="12">
        <f ca="1">SUMIFS(TableDailySummary[Rappi_net_sales],TableDailySummary[Fecha],"&gt;="&amp;TableWeeklySummary[[#This Row],[Desde]],TableDailySummary[Fecha],"&lt;="&amp;TableWeeklySummary[[#This Row],[Hasta]])</f>
        <v>0</v>
      </c>
      <c r="Q123" s="12">
        <f ca="1">SUMIFS(TableDailySummary[Rappi_orders],TableDailySummary[Fecha],"&gt;="&amp;TableWeeklySummary[[#This Row],[Desde]],TableDailySummary[Fecha],"&lt;="&amp;TableWeeklySummary[[#This Row],[Hasta]])</f>
        <v>0</v>
      </c>
      <c r="R12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2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23" s="12">
        <f ca="1">SUMIFS(TableDailySummary[Inversión google ads],TableDailySummary[Fecha],"&gt;="&amp;TableWeeklySummary[[#This Row],[Desde]],TableDailySummary[Fecha],"&lt;="&amp;TableWeeklySummary[[#This Row],[Hasta]])</f>
        <v>0</v>
      </c>
      <c r="U123" s="12">
        <f ca="1">SUMIFS(TableDailySummary[Ventas google ads],TableDailySummary[Fecha],"&gt;="&amp;TableWeeklySummary[[#This Row],[Desde]],TableDailySummary[Fecha],"&lt;="&amp;TableWeeklySummary[[#This Row],[Hasta]])</f>
        <v>0</v>
      </c>
      <c r="V123" s="12">
        <f ca="1">SUMIFS(TableDailySummary[Inversión meta ads],TableDailySummary[Fecha],"&gt;="&amp;TableWeeklySummary[[#This Row],[Desde]],TableDailySummary[Fecha],"&lt;="&amp;TableWeeklySummary[[#This Row],[Hasta]])</f>
        <v>0</v>
      </c>
      <c r="W123" s="12">
        <f ca="1">SUMIFS(TableDailySummary[Ventas meta ads],TableDailySummary[Fecha],"&gt;="&amp;TableWeeklySummary[[#This Row],[Desde]],TableDailySummary[Fecha],"&lt;="&amp;TableWeeklySummary[[#This Row],[Hasta]])</f>
        <v>0</v>
      </c>
      <c r="X123" s="12">
        <f ca="1">TableWeeklySummary[[#This Row],[Inversión google ads]]+TableWeeklySummary[[#This Row],[Inversión meta ads]]</f>
        <v>0</v>
      </c>
      <c r="Y123" s="12">
        <f ca="1">TableWeeklySummary[[#This Row],[Ventas google ads]]+TableWeeklySummary[[#This Row],[Ventas meta ads]]</f>
        <v>0</v>
      </c>
      <c r="Z123" s="14">
        <f ca="1">IFERROR(TableWeeklySummary[[#This Row],[Ventas publicidad]]/TableWeeklySummary[[#This Row],[Inversión publicidad]],0)</f>
        <v>0</v>
      </c>
      <c r="AA123" s="14">
        <f ca="1">IFERROR(TableWeeklySummary[[#This Row],[Ventas primer cliente]]/TableWeeklySummary[[#This Row],[Inversión publicidad]],0)</f>
        <v>0</v>
      </c>
      <c r="AB123" s="14"/>
      <c r="AC123" s="12"/>
      <c r="AI12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2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23" s="12">
        <f ca="1">SUMIFS(TableDailySummary[Utilidad bruta],TableDailySummary[Fecha],"&gt;="&amp;TableWeeklySummary[[#This Row],[Desde]],TableDailySummary[Fecha],"&lt;="&amp;TableWeeklySummary[[#This Row],[Hasta]])</f>
        <v>0</v>
      </c>
      <c r="AL123" s="18">
        <f ca="1">IFERROR(TableWeeklySummary[[#This Row],[Utilidad bruta]]/TableWeeklySummary[[#This Row],[Ventas netas con costo registrado]],0)</f>
        <v>0</v>
      </c>
    </row>
    <row r="124" spans="2:38" x14ac:dyDescent="0.2">
      <c r="B124" s="16">
        <f ca="1">_xlfn.ISOWEEKNUM(TableWeeklySummary[[#This Row],[Hasta]])</f>
        <v>5</v>
      </c>
      <c r="C124" s="6">
        <f t="shared" ca="1" si="3"/>
        <v>46780</v>
      </c>
      <c r="D124" s="6">
        <f ca="1">TableWeeklySummary[[#This Row],[Desde]]+7-1</f>
        <v>46786</v>
      </c>
      <c r="E124" s="12">
        <f ca="1">SUMIFS(TableDailySummary[Ventas netas totales],TableDailySummary[Fecha],"&gt;="&amp;TableWeeklySummary[[#This Row],[Desde]],TableDailySummary[Fecha],"&lt;="&amp;TableWeeklySummary[[#This Row],[Hasta]])</f>
        <v>0</v>
      </c>
      <c r="F124" s="12">
        <f ca="1">SUMIFS(TableDailySummary[Órdenes totales],TableDailySummary[Fecha],"&gt;="&amp;TableWeeklySummary[[#This Row],[Desde]],TableDailySummary[Fecha],"&lt;="&amp;TableWeeklySummary[[#This Row],[Hasta]])</f>
        <v>0</v>
      </c>
      <c r="G124" s="12">
        <f ca="1">IFERROR(TableWeeklySummary[[#This Row],[Ventas netas totales]]/TableWeeklySummary[[#This Row],[Órdenes totales]],0)</f>
        <v>0</v>
      </c>
      <c r="H12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24" s="12">
        <f ca="1">TableWeeklySummary[[#This Row],[Órden promedio totales]]*TableWeeklySummary[[#This Row],[CR totales]]</f>
        <v>0</v>
      </c>
      <c r="J124" s="12">
        <f ca="1">SUMIFS(TableDailySummary[Ventas primer cliente],TableDailySummary[Fecha],"&gt;="&amp;TableWeeklySummary[[#This Row],[Desde]],TableDailySummary[Fecha],"&lt;="&amp;TableWeeklySummary[[#This Row],[Hasta]])</f>
        <v>0</v>
      </c>
      <c r="K124" s="12">
        <f ca="1">SUMIFS(TableDailySummary[Órdenes primer cliente],TableDailySummary[Fecha],"&gt;="&amp;TableWeeklySummary[[#This Row],[Desde]],TableDailySummary[Fecha],"&lt;="&amp;TableWeeklySummary[[#This Row],[Hasta]])</f>
        <v>0</v>
      </c>
      <c r="L124" s="12">
        <f ca="1">SUMIFS(TableDailySummary[Online Store_net_sales],TableDailySummary[Fecha],"&gt;="&amp;TableWeeklySummary[[#This Row],[Desde]],TableDailySummary[Fecha],"&lt;="&amp;TableWeeklySummary[[#This Row],[Hasta]])</f>
        <v>0</v>
      </c>
      <c r="M124" s="12">
        <f ca="1">SUMIFS(TableDailySummary[Online Store_orders],TableDailySummary[Fecha],"&gt;="&amp;TableWeeklySummary[[#This Row],[Desde]],TableDailySummary[Fecha],"&lt;="&amp;TableWeeklySummary[[#This Row],[Hasta]])</f>
        <v>0</v>
      </c>
      <c r="N124" s="12">
        <f ca="1">SUMIFS(TableDailySummary[Tienda 81_net_sales],TableDailySummary[Fecha],"&gt;="&amp;TableWeeklySummary[[#This Row],[Desde]],TableDailySummary[Fecha],"&lt;="&amp;TableWeeklySummary[[#This Row],[Hasta]])</f>
        <v>0</v>
      </c>
      <c r="O124" s="12">
        <f ca="1">SUMIFS(TableDailySummary[Tienda 81_orders],TableDailySummary[Fecha],"&gt;="&amp;TableWeeklySummary[[#This Row],[Desde]],TableDailySummary[Fecha],"&lt;="&amp;TableWeeklySummary[[#This Row],[Hasta]])</f>
        <v>0</v>
      </c>
      <c r="P124" s="12">
        <f ca="1">SUMIFS(TableDailySummary[Rappi_net_sales],TableDailySummary[Fecha],"&gt;="&amp;TableWeeklySummary[[#This Row],[Desde]],TableDailySummary[Fecha],"&lt;="&amp;TableWeeklySummary[[#This Row],[Hasta]])</f>
        <v>0</v>
      </c>
      <c r="Q124" s="12">
        <f ca="1">SUMIFS(TableDailySummary[Rappi_orders],TableDailySummary[Fecha],"&gt;="&amp;TableWeeklySummary[[#This Row],[Desde]],TableDailySummary[Fecha],"&lt;="&amp;TableWeeklySummary[[#This Row],[Hasta]])</f>
        <v>0</v>
      </c>
      <c r="R12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2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24" s="12">
        <f ca="1">SUMIFS(TableDailySummary[Inversión google ads],TableDailySummary[Fecha],"&gt;="&amp;TableWeeklySummary[[#This Row],[Desde]],TableDailySummary[Fecha],"&lt;="&amp;TableWeeklySummary[[#This Row],[Hasta]])</f>
        <v>0</v>
      </c>
      <c r="U124" s="12">
        <f ca="1">SUMIFS(TableDailySummary[Ventas google ads],TableDailySummary[Fecha],"&gt;="&amp;TableWeeklySummary[[#This Row],[Desde]],TableDailySummary[Fecha],"&lt;="&amp;TableWeeklySummary[[#This Row],[Hasta]])</f>
        <v>0</v>
      </c>
      <c r="V124" s="12">
        <f ca="1">SUMIFS(TableDailySummary[Inversión meta ads],TableDailySummary[Fecha],"&gt;="&amp;TableWeeklySummary[[#This Row],[Desde]],TableDailySummary[Fecha],"&lt;="&amp;TableWeeklySummary[[#This Row],[Hasta]])</f>
        <v>0</v>
      </c>
      <c r="W124" s="12">
        <f ca="1">SUMIFS(TableDailySummary[Ventas meta ads],TableDailySummary[Fecha],"&gt;="&amp;TableWeeklySummary[[#This Row],[Desde]],TableDailySummary[Fecha],"&lt;="&amp;TableWeeklySummary[[#This Row],[Hasta]])</f>
        <v>0</v>
      </c>
      <c r="X124" s="12">
        <f ca="1">TableWeeklySummary[[#This Row],[Inversión google ads]]+TableWeeklySummary[[#This Row],[Inversión meta ads]]</f>
        <v>0</v>
      </c>
      <c r="Y124" s="12">
        <f ca="1">TableWeeklySummary[[#This Row],[Ventas google ads]]+TableWeeklySummary[[#This Row],[Ventas meta ads]]</f>
        <v>0</v>
      </c>
      <c r="Z124" s="14">
        <f ca="1">IFERROR(TableWeeklySummary[[#This Row],[Ventas publicidad]]/TableWeeklySummary[[#This Row],[Inversión publicidad]],0)</f>
        <v>0</v>
      </c>
      <c r="AA124" s="14">
        <f ca="1">IFERROR(TableWeeklySummary[[#This Row],[Ventas primer cliente]]/TableWeeklySummary[[#This Row],[Inversión publicidad]],0)</f>
        <v>0</v>
      </c>
      <c r="AB124" s="14"/>
      <c r="AC124" s="12"/>
      <c r="AI12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2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24" s="12">
        <f ca="1">SUMIFS(TableDailySummary[Utilidad bruta],TableDailySummary[Fecha],"&gt;="&amp;TableWeeklySummary[[#This Row],[Desde]],TableDailySummary[Fecha],"&lt;="&amp;TableWeeklySummary[[#This Row],[Hasta]])</f>
        <v>0</v>
      </c>
      <c r="AL124" s="18">
        <f ca="1">IFERROR(TableWeeklySummary[[#This Row],[Utilidad bruta]]/TableWeeklySummary[[#This Row],[Ventas netas con costo registrado]],0)</f>
        <v>0</v>
      </c>
    </row>
    <row r="125" spans="2:38" x14ac:dyDescent="0.2">
      <c r="B125" s="16">
        <f ca="1">_xlfn.ISOWEEKNUM(TableWeeklySummary[[#This Row],[Hasta]])</f>
        <v>6</v>
      </c>
      <c r="C125" s="6">
        <f t="shared" ca="1" si="3"/>
        <v>46787</v>
      </c>
      <c r="D125" s="6">
        <f ca="1">TableWeeklySummary[[#This Row],[Desde]]+7-1</f>
        <v>46793</v>
      </c>
      <c r="E125" s="12">
        <f ca="1">SUMIFS(TableDailySummary[Ventas netas totales],TableDailySummary[Fecha],"&gt;="&amp;TableWeeklySummary[[#This Row],[Desde]],TableDailySummary[Fecha],"&lt;="&amp;TableWeeklySummary[[#This Row],[Hasta]])</f>
        <v>0</v>
      </c>
      <c r="F125" s="12">
        <f ca="1">SUMIFS(TableDailySummary[Órdenes totales],TableDailySummary[Fecha],"&gt;="&amp;TableWeeklySummary[[#This Row],[Desde]],TableDailySummary[Fecha],"&lt;="&amp;TableWeeklySummary[[#This Row],[Hasta]])</f>
        <v>0</v>
      </c>
      <c r="G125" s="12">
        <f ca="1">IFERROR(TableWeeklySummary[[#This Row],[Ventas netas totales]]/TableWeeklySummary[[#This Row],[Órdenes totales]],0)</f>
        <v>0</v>
      </c>
      <c r="H12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25" s="12">
        <f ca="1">TableWeeklySummary[[#This Row],[Órden promedio totales]]*TableWeeklySummary[[#This Row],[CR totales]]</f>
        <v>0</v>
      </c>
      <c r="J125" s="12">
        <f ca="1">SUMIFS(TableDailySummary[Ventas primer cliente],TableDailySummary[Fecha],"&gt;="&amp;TableWeeklySummary[[#This Row],[Desde]],TableDailySummary[Fecha],"&lt;="&amp;TableWeeklySummary[[#This Row],[Hasta]])</f>
        <v>0</v>
      </c>
      <c r="K125" s="12">
        <f ca="1">SUMIFS(TableDailySummary[Órdenes primer cliente],TableDailySummary[Fecha],"&gt;="&amp;TableWeeklySummary[[#This Row],[Desde]],TableDailySummary[Fecha],"&lt;="&amp;TableWeeklySummary[[#This Row],[Hasta]])</f>
        <v>0</v>
      </c>
      <c r="L125" s="12">
        <f ca="1">SUMIFS(TableDailySummary[Online Store_net_sales],TableDailySummary[Fecha],"&gt;="&amp;TableWeeklySummary[[#This Row],[Desde]],TableDailySummary[Fecha],"&lt;="&amp;TableWeeklySummary[[#This Row],[Hasta]])</f>
        <v>0</v>
      </c>
      <c r="M125" s="12">
        <f ca="1">SUMIFS(TableDailySummary[Online Store_orders],TableDailySummary[Fecha],"&gt;="&amp;TableWeeklySummary[[#This Row],[Desde]],TableDailySummary[Fecha],"&lt;="&amp;TableWeeklySummary[[#This Row],[Hasta]])</f>
        <v>0</v>
      </c>
      <c r="N125" s="12">
        <f ca="1">SUMIFS(TableDailySummary[Tienda 81_net_sales],TableDailySummary[Fecha],"&gt;="&amp;TableWeeklySummary[[#This Row],[Desde]],TableDailySummary[Fecha],"&lt;="&amp;TableWeeklySummary[[#This Row],[Hasta]])</f>
        <v>0</v>
      </c>
      <c r="O125" s="12">
        <f ca="1">SUMIFS(TableDailySummary[Tienda 81_orders],TableDailySummary[Fecha],"&gt;="&amp;TableWeeklySummary[[#This Row],[Desde]],TableDailySummary[Fecha],"&lt;="&amp;TableWeeklySummary[[#This Row],[Hasta]])</f>
        <v>0</v>
      </c>
      <c r="P125" s="12">
        <f ca="1">SUMIFS(TableDailySummary[Rappi_net_sales],TableDailySummary[Fecha],"&gt;="&amp;TableWeeklySummary[[#This Row],[Desde]],TableDailySummary[Fecha],"&lt;="&amp;TableWeeklySummary[[#This Row],[Hasta]])</f>
        <v>0</v>
      </c>
      <c r="Q125" s="12">
        <f ca="1">SUMIFS(TableDailySummary[Rappi_orders],TableDailySummary[Fecha],"&gt;="&amp;TableWeeklySummary[[#This Row],[Desde]],TableDailySummary[Fecha],"&lt;="&amp;TableWeeklySummary[[#This Row],[Hasta]])</f>
        <v>0</v>
      </c>
      <c r="R12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2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25" s="12">
        <f ca="1">SUMIFS(TableDailySummary[Inversión google ads],TableDailySummary[Fecha],"&gt;="&amp;TableWeeklySummary[[#This Row],[Desde]],TableDailySummary[Fecha],"&lt;="&amp;TableWeeklySummary[[#This Row],[Hasta]])</f>
        <v>0</v>
      </c>
      <c r="U125" s="12">
        <f ca="1">SUMIFS(TableDailySummary[Ventas google ads],TableDailySummary[Fecha],"&gt;="&amp;TableWeeklySummary[[#This Row],[Desde]],TableDailySummary[Fecha],"&lt;="&amp;TableWeeklySummary[[#This Row],[Hasta]])</f>
        <v>0</v>
      </c>
      <c r="V125" s="12">
        <f ca="1">SUMIFS(TableDailySummary[Inversión meta ads],TableDailySummary[Fecha],"&gt;="&amp;TableWeeklySummary[[#This Row],[Desde]],TableDailySummary[Fecha],"&lt;="&amp;TableWeeklySummary[[#This Row],[Hasta]])</f>
        <v>0</v>
      </c>
      <c r="W125" s="12">
        <f ca="1">SUMIFS(TableDailySummary[Ventas meta ads],TableDailySummary[Fecha],"&gt;="&amp;TableWeeklySummary[[#This Row],[Desde]],TableDailySummary[Fecha],"&lt;="&amp;TableWeeklySummary[[#This Row],[Hasta]])</f>
        <v>0</v>
      </c>
      <c r="X125" s="12">
        <f ca="1">TableWeeklySummary[[#This Row],[Inversión google ads]]+TableWeeklySummary[[#This Row],[Inversión meta ads]]</f>
        <v>0</v>
      </c>
      <c r="Y125" s="12">
        <f ca="1">TableWeeklySummary[[#This Row],[Ventas google ads]]+TableWeeklySummary[[#This Row],[Ventas meta ads]]</f>
        <v>0</v>
      </c>
      <c r="Z125" s="14">
        <f ca="1">IFERROR(TableWeeklySummary[[#This Row],[Ventas publicidad]]/TableWeeklySummary[[#This Row],[Inversión publicidad]],0)</f>
        <v>0</v>
      </c>
      <c r="AA125" s="14">
        <f ca="1">IFERROR(TableWeeklySummary[[#This Row],[Ventas primer cliente]]/TableWeeklySummary[[#This Row],[Inversión publicidad]],0)</f>
        <v>0</v>
      </c>
      <c r="AB125" s="14"/>
      <c r="AC125" s="12"/>
      <c r="AI12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2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25" s="12">
        <f ca="1">SUMIFS(TableDailySummary[Utilidad bruta],TableDailySummary[Fecha],"&gt;="&amp;TableWeeklySummary[[#This Row],[Desde]],TableDailySummary[Fecha],"&lt;="&amp;TableWeeklySummary[[#This Row],[Hasta]])</f>
        <v>0</v>
      </c>
      <c r="AL125" s="18">
        <f ca="1">IFERROR(TableWeeklySummary[[#This Row],[Utilidad bruta]]/TableWeeklySummary[[#This Row],[Ventas netas con costo registrado]],0)</f>
        <v>0</v>
      </c>
    </row>
    <row r="126" spans="2:38" x14ac:dyDescent="0.2">
      <c r="B126" s="16">
        <f ca="1">_xlfn.ISOWEEKNUM(TableWeeklySummary[[#This Row],[Hasta]])</f>
        <v>7</v>
      </c>
      <c r="C126" s="6">
        <f t="shared" ca="1" si="3"/>
        <v>46794</v>
      </c>
      <c r="D126" s="6">
        <f ca="1">TableWeeklySummary[[#This Row],[Desde]]+7-1</f>
        <v>46800</v>
      </c>
      <c r="E126" s="12">
        <f ca="1">SUMIFS(TableDailySummary[Ventas netas totales],TableDailySummary[Fecha],"&gt;="&amp;TableWeeklySummary[[#This Row],[Desde]],TableDailySummary[Fecha],"&lt;="&amp;TableWeeklySummary[[#This Row],[Hasta]])</f>
        <v>0</v>
      </c>
      <c r="F126" s="12">
        <f ca="1">SUMIFS(TableDailySummary[Órdenes totales],TableDailySummary[Fecha],"&gt;="&amp;TableWeeklySummary[[#This Row],[Desde]],TableDailySummary[Fecha],"&lt;="&amp;TableWeeklySummary[[#This Row],[Hasta]])</f>
        <v>0</v>
      </c>
      <c r="G126" s="12">
        <f ca="1">IFERROR(TableWeeklySummary[[#This Row],[Ventas netas totales]]/TableWeeklySummary[[#This Row],[Órdenes totales]],0)</f>
        <v>0</v>
      </c>
      <c r="H12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26" s="12">
        <f ca="1">TableWeeklySummary[[#This Row],[Órden promedio totales]]*TableWeeklySummary[[#This Row],[CR totales]]</f>
        <v>0</v>
      </c>
      <c r="J126" s="12">
        <f ca="1">SUMIFS(TableDailySummary[Ventas primer cliente],TableDailySummary[Fecha],"&gt;="&amp;TableWeeklySummary[[#This Row],[Desde]],TableDailySummary[Fecha],"&lt;="&amp;TableWeeklySummary[[#This Row],[Hasta]])</f>
        <v>0</v>
      </c>
      <c r="K126" s="12">
        <f ca="1">SUMIFS(TableDailySummary[Órdenes primer cliente],TableDailySummary[Fecha],"&gt;="&amp;TableWeeklySummary[[#This Row],[Desde]],TableDailySummary[Fecha],"&lt;="&amp;TableWeeklySummary[[#This Row],[Hasta]])</f>
        <v>0</v>
      </c>
      <c r="L126" s="12">
        <f ca="1">SUMIFS(TableDailySummary[Online Store_net_sales],TableDailySummary[Fecha],"&gt;="&amp;TableWeeklySummary[[#This Row],[Desde]],TableDailySummary[Fecha],"&lt;="&amp;TableWeeklySummary[[#This Row],[Hasta]])</f>
        <v>0</v>
      </c>
      <c r="M126" s="12">
        <f ca="1">SUMIFS(TableDailySummary[Online Store_orders],TableDailySummary[Fecha],"&gt;="&amp;TableWeeklySummary[[#This Row],[Desde]],TableDailySummary[Fecha],"&lt;="&amp;TableWeeklySummary[[#This Row],[Hasta]])</f>
        <v>0</v>
      </c>
      <c r="N126" s="12">
        <f ca="1">SUMIFS(TableDailySummary[Tienda 81_net_sales],TableDailySummary[Fecha],"&gt;="&amp;TableWeeklySummary[[#This Row],[Desde]],TableDailySummary[Fecha],"&lt;="&amp;TableWeeklySummary[[#This Row],[Hasta]])</f>
        <v>0</v>
      </c>
      <c r="O126" s="12">
        <f ca="1">SUMIFS(TableDailySummary[Tienda 81_orders],TableDailySummary[Fecha],"&gt;="&amp;TableWeeklySummary[[#This Row],[Desde]],TableDailySummary[Fecha],"&lt;="&amp;TableWeeklySummary[[#This Row],[Hasta]])</f>
        <v>0</v>
      </c>
      <c r="P126" s="12">
        <f ca="1">SUMIFS(TableDailySummary[Rappi_net_sales],TableDailySummary[Fecha],"&gt;="&amp;TableWeeklySummary[[#This Row],[Desde]],TableDailySummary[Fecha],"&lt;="&amp;TableWeeklySummary[[#This Row],[Hasta]])</f>
        <v>0</v>
      </c>
      <c r="Q126" s="12">
        <f ca="1">SUMIFS(TableDailySummary[Rappi_orders],TableDailySummary[Fecha],"&gt;="&amp;TableWeeklySummary[[#This Row],[Desde]],TableDailySummary[Fecha],"&lt;="&amp;TableWeeklySummary[[#This Row],[Hasta]])</f>
        <v>0</v>
      </c>
      <c r="R12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2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26" s="12">
        <f ca="1">SUMIFS(TableDailySummary[Inversión google ads],TableDailySummary[Fecha],"&gt;="&amp;TableWeeklySummary[[#This Row],[Desde]],TableDailySummary[Fecha],"&lt;="&amp;TableWeeklySummary[[#This Row],[Hasta]])</f>
        <v>0</v>
      </c>
      <c r="U126" s="12">
        <f ca="1">SUMIFS(TableDailySummary[Ventas google ads],TableDailySummary[Fecha],"&gt;="&amp;TableWeeklySummary[[#This Row],[Desde]],TableDailySummary[Fecha],"&lt;="&amp;TableWeeklySummary[[#This Row],[Hasta]])</f>
        <v>0</v>
      </c>
      <c r="V126" s="12">
        <f ca="1">SUMIFS(TableDailySummary[Inversión meta ads],TableDailySummary[Fecha],"&gt;="&amp;TableWeeklySummary[[#This Row],[Desde]],TableDailySummary[Fecha],"&lt;="&amp;TableWeeklySummary[[#This Row],[Hasta]])</f>
        <v>0</v>
      </c>
      <c r="W126" s="12">
        <f ca="1">SUMIFS(TableDailySummary[Ventas meta ads],TableDailySummary[Fecha],"&gt;="&amp;TableWeeklySummary[[#This Row],[Desde]],TableDailySummary[Fecha],"&lt;="&amp;TableWeeklySummary[[#This Row],[Hasta]])</f>
        <v>0</v>
      </c>
      <c r="X126" s="12">
        <f ca="1">TableWeeklySummary[[#This Row],[Inversión google ads]]+TableWeeklySummary[[#This Row],[Inversión meta ads]]</f>
        <v>0</v>
      </c>
      <c r="Y126" s="12">
        <f ca="1">TableWeeklySummary[[#This Row],[Ventas google ads]]+TableWeeklySummary[[#This Row],[Ventas meta ads]]</f>
        <v>0</v>
      </c>
      <c r="Z126" s="14">
        <f ca="1">IFERROR(TableWeeklySummary[[#This Row],[Ventas publicidad]]/TableWeeklySummary[[#This Row],[Inversión publicidad]],0)</f>
        <v>0</v>
      </c>
      <c r="AA126" s="14">
        <f ca="1">IFERROR(TableWeeklySummary[[#This Row],[Ventas primer cliente]]/TableWeeklySummary[[#This Row],[Inversión publicidad]],0)</f>
        <v>0</v>
      </c>
      <c r="AB126" s="14"/>
      <c r="AC126" s="12"/>
      <c r="AI12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2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26" s="12">
        <f ca="1">SUMIFS(TableDailySummary[Utilidad bruta],TableDailySummary[Fecha],"&gt;="&amp;TableWeeklySummary[[#This Row],[Desde]],TableDailySummary[Fecha],"&lt;="&amp;TableWeeklySummary[[#This Row],[Hasta]])</f>
        <v>0</v>
      </c>
      <c r="AL126" s="18">
        <f ca="1">IFERROR(TableWeeklySummary[[#This Row],[Utilidad bruta]]/TableWeeklySummary[[#This Row],[Ventas netas con costo registrado]],0)</f>
        <v>0</v>
      </c>
    </row>
    <row r="127" spans="2:38" x14ac:dyDescent="0.2">
      <c r="B127" s="16">
        <f ca="1">_xlfn.ISOWEEKNUM(TableWeeklySummary[[#This Row],[Hasta]])</f>
        <v>8</v>
      </c>
      <c r="C127" s="6">
        <f t="shared" ca="1" si="3"/>
        <v>46801</v>
      </c>
      <c r="D127" s="6">
        <f ca="1">TableWeeklySummary[[#This Row],[Desde]]+7-1</f>
        <v>46807</v>
      </c>
      <c r="E127" s="12">
        <f ca="1">SUMIFS(TableDailySummary[Ventas netas totales],TableDailySummary[Fecha],"&gt;="&amp;TableWeeklySummary[[#This Row],[Desde]],TableDailySummary[Fecha],"&lt;="&amp;TableWeeklySummary[[#This Row],[Hasta]])</f>
        <v>0</v>
      </c>
      <c r="F127" s="12">
        <f ca="1">SUMIFS(TableDailySummary[Órdenes totales],TableDailySummary[Fecha],"&gt;="&amp;TableWeeklySummary[[#This Row],[Desde]],TableDailySummary[Fecha],"&lt;="&amp;TableWeeklySummary[[#This Row],[Hasta]])</f>
        <v>0</v>
      </c>
      <c r="G127" s="12">
        <f ca="1">IFERROR(TableWeeklySummary[[#This Row],[Ventas netas totales]]/TableWeeklySummary[[#This Row],[Órdenes totales]],0)</f>
        <v>0</v>
      </c>
      <c r="H12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27" s="12">
        <f ca="1">TableWeeklySummary[[#This Row],[Órden promedio totales]]*TableWeeklySummary[[#This Row],[CR totales]]</f>
        <v>0</v>
      </c>
      <c r="J127" s="12">
        <f ca="1">SUMIFS(TableDailySummary[Ventas primer cliente],TableDailySummary[Fecha],"&gt;="&amp;TableWeeklySummary[[#This Row],[Desde]],TableDailySummary[Fecha],"&lt;="&amp;TableWeeklySummary[[#This Row],[Hasta]])</f>
        <v>0</v>
      </c>
      <c r="K127" s="12">
        <f ca="1">SUMIFS(TableDailySummary[Órdenes primer cliente],TableDailySummary[Fecha],"&gt;="&amp;TableWeeklySummary[[#This Row],[Desde]],TableDailySummary[Fecha],"&lt;="&amp;TableWeeklySummary[[#This Row],[Hasta]])</f>
        <v>0</v>
      </c>
      <c r="L127" s="12">
        <f ca="1">SUMIFS(TableDailySummary[Online Store_net_sales],TableDailySummary[Fecha],"&gt;="&amp;TableWeeklySummary[[#This Row],[Desde]],TableDailySummary[Fecha],"&lt;="&amp;TableWeeklySummary[[#This Row],[Hasta]])</f>
        <v>0</v>
      </c>
      <c r="M127" s="12">
        <f ca="1">SUMIFS(TableDailySummary[Online Store_orders],TableDailySummary[Fecha],"&gt;="&amp;TableWeeklySummary[[#This Row],[Desde]],TableDailySummary[Fecha],"&lt;="&amp;TableWeeklySummary[[#This Row],[Hasta]])</f>
        <v>0</v>
      </c>
      <c r="N127" s="12">
        <f ca="1">SUMIFS(TableDailySummary[Tienda 81_net_sales],TableDailySummary[Fecha],"&gt;="&amp;TableWeeklySummary[[#This Row],[Desde]],TableDailySummary[Fecha],"&lt;="&amp;TableWeeklySummary[[#This Row],[Hasta]])</f>
        <v>0</v>
      </c>
      <c r="O127" s="12">
        <f ca="1">SUMIFS(TableDailySummary[Tienda 81_orders],TableDailySummary[Fecha],"&gt;="&amp;TableWeeklySummary[[#This Row],[Desde]],TableDailySummary[Fecha],"&lt;="&amp;TableWeeklySummary[[#This Row],[Hasta]])</f>
        <v>0</v>
      </c>
      <c r="P127" s="12">
        <f ca="1">SUMIFS(TableDailySummary[Rappi_net_sales],TableDailySummary[Fecha],"&gt;="&amp;TableWeeklySummary[[#This Row],[Desde]],TableDailySummary[Fecha],"&lt;="&amp;TableWeeklySummary[[#This Row],[Hasta]])</f>
        <v>0</v>
      </c>
      <c r="Q127" s="12">
        <f ca="1">SUMIFS(TableDailySummary[Rappi_orders],TableDailySummary[Fecha],"&gt;="&amp;TableWeeklySummary[[#This Row],[Desde]],TableDailySummary[Fecha],"&lt;="&amp;TableWeeklySummary[[#This Row],[Hasta]])</f>
        <v>0</v>
      </c>
      <c r="R12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2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27" s="12">
        <f ca="1">SUMIFS(TableDailySummary[Inversión google ads],TableDailySummary[Fecha],"&gt;="&amp;TableWeeklySummary[[#This Row],[Desde]],TableDailySummary[Fecha],"&lt;="&amp;TableWeeklySummary[[#This Row],[Hasta]])</f>
        <v>0</v>
      </c>
      <c r="U127" s="12">
        <f ca="1">SUMIFS(TableDailySummary[Ventas google ads],TableDailySummary[Fecha],"&gt;="&amp;TableWeeklySummary[[#This Row],[Desde]],TableDailySummary[Fecha],"&lt;="&amp;TableWeeklySummary[[#This Row],[Hasta]])</f>
        <v>0</v>
      </c>
      <c r="V127" s="12">
        <f ca="1">SUMIFS(TableDailySummary[Inversión meta ads],TableDailySummary[Fecha],"&gt;="&amp;TableWeeklySummary[[#This Row],[Desde]],TableDailySummary[Fecha],"&lt;="&amp;TableWeeklySummary[[#This Row],[Hasta]])</f>
        <v>0</v>
      </c>
      <c r="W127" s="12">
        <f ca="1">SUMIFS(TableDailySummary[Ventas meta ads],TableDailySummary[Fecha],"&gt;="&amp;TableWeeklySummary[[#This Row],[Desde]],TableDailySummary[Fecha],"&lt;="&amp;TableWeeklySummary[[#This Row],[Hasta]])</f>
        <v>0</v>
      </c>
      <c r="X127" s="12">
        <f ca="1">TableWeeklySummary[[#This Row],[Inversión google ads]]+TableWeeklySummary[[#This Row],[Inversión meta ads]]</f>
        <v>0</v>
      </c>
      <c r="Y127" s="12">
        <f ca="1">TableWeeklySummary[[#This Row],[Ventas google ads]]+TableWeeklySummary[[#This Row],[Ventas meta ads]]</f>
        <v>0</v>
      </c>
      <c r="Z127" s="14">
        <f ca="1">IFERROR(TableWeeklySummary[[#This Row],[Ventas publicidad]]/TableWeeklySummary[[#This Row],[Inversión publicidad]],0)</f>
        <v>0</v>
      </c>
      <c r="AA127" s="14">
        <f ca="1">IFERROR(TableWeeklySummary[[#This Row],[Ventas primer cliente]]/TableWeeklySummary[[#This Row],[Inversión publicidad]],0)</f>
        <v>0</v>
      </c>
      <c r="AB127" s="14"/>
      <c r="AC127" s="12"/>
      <c r="AI12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2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27" s="12">
        <f ca="1">SUMIFS(TableDailySummary[Utilidad bruta],TableDailySummary[Fecha],"&gt;="&amp;TableWeeklySummary[[#This Row],[Desde]],TableDailySummary[Fecha],"&lt;="&amp;TableWeeklySummary[[#This Row],[Hasta]])</f>
        <v>0</v>
      </c>
      <c r="AL127" s="18">
        <f ca="1">IFERROR(TableWeeklySummary[[#This Row],[Utilidad bruta]]/TableWeeklySummary[[#This Row],[Ventas netas con costo registrado]],0)</f>
        <v>0</v>
      </c>
    </row>
    <row r="128" spans="2:38" x14ac:dyDescent="0.2">
      <c r="B128" s="16">
        <f ca="1">_xlfn.ISOWEEKNUM(TableWeeklySummary[[#This Row],[Hasta]])</f>
        <v>9</v>
      </c>
      <c r="C128" s="6">
        <f t="shared" ref="C128:C191" ca="1" si="4">_xlfn.LET(
    _xlpm.fechaini, ParamFechaInicioReporte,
    _xlpm.start_friday, IF(WEEKDAY(_xlpm.fechaini, 1) = 6, _xlpm.fechaini, _xlpm.fechaini - MOD(WEEKDAY(_xlpm.fechaini, 1) + 1, 7)),
    IF(ROW()=8, _xlpm.start_friday, C127 + 7)
)</f>
        <v>46808</v>
      </c>
      <c r="D128" s="6">
        <f ca="1">TableWeeklySummary[[#This Row],[Desde]]+7-1</f>
        <v>46814</v>
      </c>
      <c r="E128" s="12">
        <f ca="1">SUMIFS(TableDailySummary[Ventas netas totales],TableDailySummary[Fecha],"&gt;="&amp;TableWeeklySummary[[#This Row],[Desde]],TableDailySummary[Fecha],"&lt;="&amp;TableWeeklySummary[[#This Row],[Hasta]])</f>
        <v>0</v>
      </c>
      <c r="F128" s="12">
        <f ca="1">SUMIFS(TableDailySummary[Órdenes totales],TableDailySummary[Fecha],"&gt;="&amp;TableWeeklySummary[[#This Row],[Desde]],TableDailySummary[Fecha],"&lt;="&amp;TableWeeklySummary[[#This Row],[Hasta]])</f>
        <v>0</v>
      </c>
      <c r="G128" s="12">
        <f ca="1">IFERROR(TableWeeklySummary[[#This Row],[Ventas netas totales]]/TableWeeklySummary[[#This Row],[Órdenes totales]],0)</f>
        <v>0</v>
      </c>
      <c r="H12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28" s="12">
        <f ca="1">TableWeeklySummary[[#This Row],[Órden promedio totales]]*TableWeeklySummary[[#This Row],[CR totales]]</f>
        <v>0</v>
      </c>
      <c r="J128" s="12">
        <f ca="1">SUMIFS(TableDailySummary[Ventas primer cliente],TableDailySummary[Fecha],"&gt;="&amp;TableWeeklySummary[[#This Row],[Desde]],TableDailySummary[Fecha],"&lt;="&amp;TableWeeklySummary[[#This Row],[Hasta]])</f>
        <v>0</v>
      </c>
      <c r="K128" s="12">
        <f ca="1">SUMIFS(TableDailySummary[Órdenes primer cliente],TableDailySummary[Fecha],"&gt;="&amp;TableWeeklySummary[[#This Row],[Desde]],TableDailySummary[Fecha],"&lt;="&amp;TableWeeklySummary[[#This Row],[Hasta]])</f>
        <v>0</v>
      </c>
      <c r="L128" s="12">
        <f ca="1">SUMIFS(TableDailySummary[Online Store_net_sales],TableDailySummary[Fecha],"&gt;="&amp;TableWeeklySummary[[#This Row],[Desde]],TableDailySummary[Fecha],"&lt;="&amp;TableWeeklySummary[[#This Row],[Hasta]])</f>
        <v>0</v>
      </c>
      <c r="M128" s="12">
        <f ca="1">SUMIFS(TableDailySummary[Online Store_orders],TableDailySummary[Fecha],"&gt;="&amp;TableWeeklySummary[[#This Row],[Desde]],TableDailySummary[Fecha],"&lt;="&amp;TableWeeklySummary[[#This Row],[Hasta]])</f>
        <v>0</v>
      </c>
      <c r="N128" s="12">
        <f ca="1">SUMIFS(TableDailySummary[Tienda 81_net_sales],TableDailySummary[Fecha],"&gt;="&amp;TableWeeklySummary[[#This Row],[Desde]],TableDailySummary[Fecha],"&lt;="&amp;TableWeeklySummary[[#This Row],[Hasta]])</f>
        <v>0</v>
      </c>
      <c r="O128" s="12">
        <f ca="1">SUMIFS(TableDailySummary[Tienda 81_orders],TableDailySummary[Fecha],"&gt;="&amp;TableWeeklySummary[[#This Row],[Desde]],TableDailySummary[Fecha],"&lt;="&amp;TableWeeklySummary[[#This Row],[Hasta]])</f>
        <v>0</v>
      </c>
      <c r="P128" s="12">
        <f ca="1">SUMIFS(TableDailySummary[Rappi_net_sales],TableDailySummary[Fecha],"&gt;="&amp;TableWeeklySummary[[#This Row],[Desde]],TableDailySummary[Fecha],"&lt;="&amp;TableWeeklySummary[[#This Row],[Hasta]])</f>
        <v>0</v>
      </c>
      <c r="Q128" s="12">
        <f ca="1">SUMIFS(TableDailySummary[Rappi_orders],TableDailySummary[Fecha],"&gt;="&amp;TableWeeklySummary[[#This Row],[Desde]],TableDailySummary[Fecha],"&lt;="&amp;TableWeeklySummary[[#This Row],[Hasta]])</f>
        <v>0</v>
      </c>
      <c r="R12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2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28" s="12">
        <f ca="1">SUMIFS(TableDailySummary[Inversión google ads],TableDailySummary[Fecha],"&gt;="&amp;TableWeeklySummary[[#This Row],[Desde]],TableDailySummary[Fecha],"&lt;="&amp;TableWeeklySummary[[#This Row],[Hasta]])</f>
        <v>0</v>
      </c>
      <c r="U128" s="12">
        <f ca="1">SUMIFS(TableDailySummary[Ventas google ads],TableDailySummary[Fecha],"&gt;="&amp;TableWeeklySummary[[#This Row],[Desde]],TableDailySummary[Fecha],"&lt;="&amp;TableWeeklySummary[[#This Row],[Hasta]])</f>
        <v>0</v>
      </c>
      <c r="V128" s="12">
        <f ca="1">SUMIFS(TableDailySummary[Inversión meta ads],TableDailySummary[Fecha],"&gt;="&amp;TableWeeklySummary[[#This Row],[Desde]],TableDailySummary[Fecha],"&lt;="&amp;TableWeeklySummary[[#This Row],[Hasta]])</f>
        <v>0</v>
      </c>
      <c r="W128" s="12">
        <f ca="1">SUMIFS(TableDailySummary[Ventas meta ads],TableDailySummary[Fecha],"&gt;="&amp;TableWeeklySummary[[#This Row],[Desde]],TableDailySummary[Fecha],"&lt;="&amp;TableWeeklySummary[[#This Row],[Hasta]])</f>
        <v>0</v>
      </c>
      <c r="X128" s="12">
        <f ca="1">TableWeeklySummary[[#This Row],[Inversión google ads]]+TableWeeklySummary[[#This Row],[Inversión meta ads]]</f>
        <v>0</v>
      </c>
      <c r="Y128" s="12">
        <f ca="1">TableWeeklySummary[[#This Row],[Ventas google ads]]+TableWeeklySummary[[#This Row],[Ventas meta ads]]</f>
        <v>0</v>
      </c>
      <c r="Z128" s="14">
        <f ca="1">IFERROR(TableWeeklySummary[[#This Row],[Ventas publicidad]]/TableWeeklySummary[[#This Row],[Inversión publicidad]],0)</f>
        <v>0</v>
      </c>
      <c r="AA128" s="14">
        <f ca="1">IFERROR(TableWeeklySummary[[#This Row],[Ventas primer cliente]]/TableWeeklySummary[[#This Row],[Inversión publicidad]],0)</f>
        <v>0</v>
      </c>
      <c r="AB128" s="14"/>
      <c r="AC128" s="12"/>
      <c r="AI12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2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28" s="12">
        <f ca="1">SUMIFS(TableDailySummary[Utilidad bruta],TableDailySummary[Fecha],"&gt;="&amp;TableWeeklySummary[[#This Row],[Desde]],TableDailySummary[Fecha],"&lt;="&amp;TableWeeklySummary[[#This Row],[Hasta]])</f>
        <v>0</v>
      </c>
      <c r="AL128" s="18">
        <f ca="1">IFERROR(TableWeeklySummary[[#This Row],[Utilidad bruta]]/TableWeeklySummary[[#This Row],[Ventas netas con costo registrado]],0)</f>
        <v>0</v>
      </c>
    </row>
    <row r="129" spans="2:38" x14ac:dyDescent="0.2">
      <c r="B129" s="16">
        <f ca="1">_xlfn.ISOWEEKNUM(TableWeeklySummary[[#This Row],[Hasta]])</f>
        <v>10</v>
      </c>
      <c r="C129" s="6">
        <f t="shared" ca="1" si="4"/>
        <v>46815</v>
      </c>
      <c r="D129" s="6">
        <f ca="1">TableWeeklySummary[[#This Row],[Desde]]+7-1</f>
        <v>46821</v>
      </c>
      <c r="E129" s="12">
        <f ca="1">SUMIFS(TableDailySummary[Ventas netas totales],TableDailySummary[Fecha],"&gt;="&amp;TableWeeklySummary[[#This Row],[Desde]],TableDailySummary[Fecha],"&lt;="&amp;TableWeeklySummary[[#This Row],[Hasta]])</f>
        <v>0</v>
      </c>
      <c r="F129" s="12">
        <f ca="1">SUMIFS(TableDailySummary[Órdenes totales],TableDailySummary[Fecha],"&gt;="&amp;TableWeeklySummary[[#This Row],[Desde]],TableDailySummary[Fecha],"&lt;="&amp;TableWeeklySummary[[#This Row],[Hasta]])</f>
        <v>0</v>
      </c>
      <c r="G129" s="12">
        <f ca="1">IFERROR(TableWeeklySummary[[#This Row],[Ventas netas totales]]/TableWeeklySummary[[#This Row],[Órdenes totales]],0)</f>
        <v>0</v>
      </c>
      <c r="H12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29" s="12">
        <f ca="1">TableWeeklySummary[[#This Row],[Órden promedio totales]]*TableWeeklySummary[[#This Row],[CR totales]]</f>
        <v>0</v>
      </c>
      <c r="J129" s="12">
        <f ca="1">SUMIFS(TableDailySummary[Ventas primer cliente],TableDailySummary[Fecha],"&gt;="&amp;TableWeeklySummary[[#This Row],[Desde]],TableDailySummary[Fecha],"&lt;="&amp;TableWeeklySummary[[#This Row],[Hasta]])</f>
        <v>0</v>
      </c>
      <c r="K129" s="12">
        <f ca="1">SUMIFS(TableDailySummary[Órdenes primer cliente],TableDailySummary[Fecha],"&gt;="&amp;TableWeeklySummary[[#This Row],[Desde]],TableDailySummary[Fecha],"&lt;="&amp;TableWeeklySummary[[#This Row],[Hasta]])</f>
        <v>0</v>
      </c>
      <c r="L129" s="12">
        <f ca="1">SUMIFS(TableDailySummary[Online Store_net_sales],TableDailySummary[Fecha],"&gt;="&amp;TableWeeklySummary[[#This Row],[Desde]],TableDailySummary[Fecha],"&lt;="&amp;TableWeeklySummary[[#This Row],[Hasta]])</f>
        <v>0</v>
      </c>
      <c r="M129" s="12">
        <f ca="1">SUMIFS(TableDailySummary[Online Store_orders],TableDailySummary[Fecha],"&gt;="&amp;TableWeeklySummary[[#This Row],[Desde]],TableDailySummary[Fecha],"&lt;="&amp;TableWeeklySummary[[#This Row],[Hasta]])</f>
        <v>0</v>
      </c>
      <c r="N129" s="12">
        <f ca="1">SUMIFS(TableDailySummary[Tienda 81_net_sales],TableDailySummary[Fecha],"&gt;="&amp;TableWeeklySummary[[#This Row],[Desde]],TableDailySummary[Fecha],"&lt;="&amp;TableWeeklySummary[[#This Row],[Hasta]])</f>
        <v>0</v>
      </c>
      <c r="O129" s="12">
        <f ca="1">SUMIFS(TableDailySummary[Tienda 81_orders],TableDailySummary[Fecha],"&gt;="&amp;TableWeeklySummary[[#This Row],[Desde]],TableDailySummary[Fecha],"&lt;="&amp;TableWeeklySummary[[#This Row],[Hasta]])</f>
        <v>0</v>
      </c>
      <c r="P129" s="12">
        <f ca="1">SUMIFS(TableDailySummary[Rappi_net_sales],TableDailySummary[Fecha],"&gt;="&amp;TableWeeklySummary[[#This Row],[Desde]],TableDailySummary[Fecha],"&lt;="&amp;TableWeeklySummary[[#This Row],[Hasta]])</f>
        <v>0</v>
      </c>
      <c r="Q129" s="12">
        <f ca="1">SUMIFS(TableDailySummary[Rappi_orders],TableDailySummary[Fecha],"&gt;="&amp;TableWeeklySummary[[#This Row],[Desde]],TableDailySummary[Fecha],"&lt;="&amp;TableWeeklySummary[[#This Row],[Hasta]])</f>
        <v>0</v>
      </c>
      <c r="R12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2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29" s="12">
        <f ca="1">SUMIFS(TableDailySummary[Inversión google ads],TableDailySummary[Fecha],"&gt;="&amp;TableWeeklySummary[[#This Row],[Desde]],TableDailySummary[Fecha],"&lt;="&amp;TableWeeklySummary[[#This Row],[Hasta]])</f>
        <v>0</v>
      </c>
      <c r="U129" s="12">
        <f ca="1">SUMIFS(TableDailySummary[Ventas google ads],TableDailySummary[Fecha],"&gt;="&amp;TableWeeklySummary[[#This Row],[Desde]],TableDailySummary[Fecha],"&lt;="&amp;TableWeeklySummary[[#This Row],[Hasta]])</f>
        <v>0</v>
      </c>
      <c r="V129" s="12">
        <f ca="1">SUMIFS(TableDailySummary[Inversión meta ads],TableDailySummary[Fecha],"&gt;="&amp;TableWeeklySummary[[#This Row],[Desde]],TableDailySummary[Fecha],"&lt;="&amp;TableWeeklySummary[[#This Row],[Hasta]])</f>
        <v>0</v>
      </c>
      <c r="W129" s="12">
        <f ca="1">SUMIFS(TableDailySummary[Ventas meta ads],TableDailySummary[Fecha],"&gt;="&amp;TableWeeklySummary[[#This Row],[Desde]],TableDailySummary[Fecha],"&lt;="&amp;TableWeeklySummary[[#This Row],[Hasta]])</f>
        <v>0</v>
      </c>
      <c r="X129" s="12">
        <f ca="1">TableWeeklySummary[[#This Row],[Inversión google ads]]+TableWeeklySummary[[#This Row],[Inversión meta ads]]</f>
        <v>0</v>
      </c>
      <c r="Y129" s="12">
        <f ca="1">TableWeeklySummary[[#This Row],[Ventas google ads]]+TableWeeklySummary[[#This Row],[Ventas meta ads]]</f>
        <v>0</v>
      </c>
      <c r="Z129" s="14">
        <f ca="1">IFERROR(TableWeeklySummary[[#This Row],[Ventas publicidad]]/TableWeeklySummary[[#This Row],[Inversión publicidad]],0)</f>
        <v>0</v>
      </c>
      <c r="AA129" s="14">
        <f ca="1">IFERROR(TableWeeklySummary[[#This Row],[Ventas primer cliente]]/TableWeeklySummary[[#This Row],[Inversión publicidad]],0)</f>
        <v>0</v>
      </c>
      <c r="AB129" s="14"/>
      <c r="AC129" s="12"/>
      <c r="AI12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2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29" s="12">
        <f ca="1">SUMIFS(TableDailySummary[Utilidad bruta],TableDailySummary[Fecha],"&gt;="&amp;TableWeeklySummary[[#This Row],[Desde]],TableDailySummary[Fecha],"&lt;="&amp;TableWeeklySummary[[#This Row],[Hasta]])</f>
        <v>0</v>
      </c>
      <c r="AL129" s="18">
        <f ca="1">IFERROR(TableWeeklySummary[[#This Row],[Utilidad bruta]]/TableWeeklySummary[[#This Row],[Ventas netas con costo registrado]],0)</f>
        <v>0</v>
      </c>
    </row>
    <row r="130" spans="2:38" x14ac:dyDescent="0.2">
      <c r="B130" s="16">
        <f ca="1">_xlfn.ISOWEEKNUM(TableWeeklySummary[[#This Row],[Hasta]])</f>
        <v>11</v>
      </c>
      <c r="C130" s="6">
        <f t="shared" ca="1" si="4"/>
        <v>46822</v>
      </c>
      <c r="D130" s="6">
        <f ca="1">TableWeeklySummary[[#This Row],[Desde]]+7-1</f>
        <v>46828</v>
      </c>
      <c r="E130" s="12">
        <f ca="1">SUMIFS(TableDailySummary[Ventas netas totales],TableDailySummary[Fecha],"&gt;="&amp;TableWeeklySummary[[#This Row],[Desde]],TableDailySummary[Fecha],"&lt;="&amp;TableWeeklySummary[[#This Row],[Hasta]])</f>
        <v>0</v>
      </c>
      <c r="F130" s="12">
        <f ca="1">SUMIFS(TableDailySummary[Órdenes totales],TableDailySummary[Fecha],"&gt;="&amp;TableWeeklySummary[[#This Row],[Desde]],TableDailySummary[Fecha],"&lt;="&amp;TableWeeklySummary[[#This Row],[Hasta]])</f>
        <v>0</v>
      </c>
      <c r="G130" s="12">
        <f ca="1">IFERROR(TableWeeklySummary[[#This Row],[Ventas netas totales]]/TableWeeklySummary[[#This Row],[Órdenes totales]],0)</f>
        <v>0</v>
      </c>
      <c r="H13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30" s="12">
        <f ca="1">TableWeeklySummary[[#This Row],[Órden promedio totales]]*TableWeeklySummary[[#This Row],[CR totales]]</f>
        <v>0</v>
      </c>
      <c r="J130" s="12">
        <f ca="1">SUMIFS(TableDailySummary[Ventas primer cliente],TableDailySummary[Fecha],"&gt;="&amp;TableWeeklySummary[[#This Row],[Desde]],TableDailySummary[Fecha],"&lt;="&amp;TableWeeklySummary[[#This Row],[Hasta]])</f>
        <v>0</v>
      </c>
      <c r="K130" s="12">
        <f ca="1">SUMIFS(TableDailySummary[Órdenes primer cliente],TableDailySummary[Fecha],"&gt;="&amp;TableWeeklySummary[[#This Row],[Desde]],TableDailySummary[Fecha],"&lt;="&amp;TableWeeklySummary[[#This Row],[Hasta]])</f>
        <v>0</v>
      </c>
      <c r="L130" s="12">
        <f ca="1">SUMIFS(TableDailySummary[Online Store_net_sales],TableDailySummary[Fecha],"&gt;="&amp;TableWeeklySummary[[#This Row],[Desde]],TableDailySummary[Fecha],"&lt;="&amp;TableWeeklySummary[[#This Row],[Hasta]])</f>
        <v>0</v>
      </c>
      <c r="M130" s="12">
        <f ca="1">SUMIFS(TableDailySummary[Online Store_orders],TableDailySummary[Fecha],"&gt;="&amp;TableWeeklySummary[[#This Row],[Desde]],TableDailySummary[Fecha],"&lt;="&amp;TableWeeklySummary[[#This Row],[Hasta]])</f>
        <v>0</v>
      </c>
      <c r="N130" s="12">
        <f ca="1">SUMIFS(TableDailySummary[Tienda 81_net_sales],TableDailySummary[Fecha],"&gt;="&amp;TableWeeklySummary[[#This Row],[Desde]],TableDailySummary[Fecha],"&lt;="&amp;TableWeeklySummary[[#This Row],[Hasta]])</f>
        <v>0</v>
      </c>
      <c r="O130" s="12">
        <f ca="1">SUMIFS(TableDailySummary[Tienda 81_orders],TableDailySummary[Fecha],"&gt;="&amp;TableWeeklySummary[[#This Row],[Desde]],TableDailySummary[Fecha],"&lt;="&amp;TableWeeklySummary[[#This Row],[Hasta]])</f>
        <v>0</v>
      </c>
      <c r="P130" s="12">
        <f ca="1">SUMIFS(TableDailySummary[Rappi_net_sales],TableDailySummary[Fecha],"&gt;="&amp;TableWeeklySummary[[#This Row],[Desde]],TableDailySummary[Fecha],"&lt;="&amp;TableWeeklySummary[[#This Row],[Hasta]])</f>
        <v>0</v>
      </c>
      <c r="Q130" s="12">
        <f ca="1">SUMIFS(TableDailySummary[Rappi_orders],TableDailySummary[Fecha],"&gt;="&amp;TableWeeklySummary[[#This Row],[Desde]],TableDailySummary[Fecha],"&lt;="&amp;TableWeeklySummary[[#This Row],[Hasta]])</f>
        <v>0</v>
      </c>
      <c r="R13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3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30" s="12">
        <f ca="1">SUMIFS(TableDailySummary[Inversión google ads],TableDailySummary[Fecha],"&gt;="&amp;TableWeeklySummary[[#This Row],[Desde]],TableDailySummary[Fecha],"&lt;="&amp;TableWeeklySummary[[#This Row],[Hasta]])</f>
        <v>0</v>
      </c>
      <c r="U130" s="12">
        <f ca="1">SUMIFS(TableDailySummary[Ventas google ads],TableDailySummary[Fecha],"&gt;="&amp;TableWeeklySummary[[#This Row],[Desde]],TableDailySummary[Fecha],"&lt;="&amp;TableWeeklySummary[[#This Row],[Hasta]])</f>
        <v>0</v>
      </c>
      <c r="V130" s="12">
        <f ca="1">SUMIFS(TableDailySummary[Inversión meta ads],TableDailySummary[Fecha],"&gt;="&amp;TableWeeklySummary[[#This Row],[Desde]],TableDailySummary[Fecha],"&lt;="&amp;TableWeeklySummary[[#This Row],[Hasta]])</f>
        <v>0</v>
      </c>
      <c r="W130" s="12">
        <f ca="1">SUMIFS(TableDailySummary[Ventas meta ads],TableDailySummary[Fecha],"&gt;="&amp;TableWeeklySummary[[#This Row],[Desde]],TableDailySummary[Fecha],"&lt;="&amp;TableWeeklySummary[[#This Row],[Hasta]])</f>
        <v>0</v>
      </c>
      <c r="X130" s="12">
        <f ca="1">TableWeeklySummary[[#This Row],[Inversión google ads]]+TableWeeklySummary[[#This Row],[Inversión meta ads]]</f>
        <v>0</v>
      </c>
      <c r="Y130" s="12">
        <f ca="1">TableWeeklySummary[[#This Row],[Ventas google ads]]+TableWeeklySummary[[#This Row],[Ventas meta ads]]</f>
        <v>0</v>
      </c>
      <c r="Z130" s="14">
        <f ca="1">IFERROR(TableWeeklySummary[[#This Row],[Ventas publicidad]]/TableWeeklySummary[[#This Row],[Inversión publicidad]],0)</f>
        <v>0</v>
      </c>
      <c r="AA130" s="14">
        <f ca="1">IFERROR(TableWeeklySummary[[#This Row],[Ventas primer cliente]]/TableWeeklySummary[[#This Row],[Inversión publicidad]],0)</f>
        <v>0</v>
      </c>
      <c r="AB130" s="14"/>
      <c r="AC130" s="12"/>
      <c r="AI13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3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30" s="12">
        <f ca="1">SUMIFS(TableDailySummary[Utilidad bruta],TableDailySummary[Fecha],"&gt;="&amp;TableWeeklySummary[[#This Row],[Desde]],TableDailySummary[Fecha],"&lt;="&amp;TableWeeklySummary[[#This Row],[Hasta]])</f>
        <v>0</v>
      </c>
      <c r="AL130" s="18">
        <f ca="1">IFERROR(TableWeeklySummary[[#This Row],[Utilidad bruta]]/TableWeeklySummary[[#This Row],[Ventas netas con costo registrado]],0)</f>
        <v>0</v>
      </c>
    </row>
    <row r="131" spans="2:38" x14ac:dyDescent="0.2">
      <c r="B131" s="16">
        <f ca="1">_xlfn.ISOWEEKNUM(TableWeeklySummary[[#This Row],[Hasta]])</f>
        <v>12</v>
      </c>
      <c r="C131" s="6">
        <f t="shared" ca="1" si="4"/>
        <v>46829</v>
      </c>
      <c r="D131" s="6">
        <f ca="1">TableWeeklySummary[[#This Row],[Desde]]+7-1</f>
        <v>46835</v>
      </c>
      <c r="E131" s="12">
        <f ca="1">SUMIFS(TableDailySummary[Ventas netas totales],TableDailySummary[Fecha],"&gt;="&amp;TableWeeklySummary[[#This Row],[Desde]],TableDailySummary[Fecha],"&lt;="&amp;TableWeeklySummary[[#This Row],[Hasta]])</f>
        <v>0</v>
      </c>
      <c r="F131" s="12">
        <f ca="1">SUMIFS(TableDailySummary[Órdenes totales],TableDailySummary[Fecha],"&gt;="&amp;TableWeeklySummary[[#This Row],[Desde]],TableDailySummary[Fecha],"&lt;="&amp;TableWeeklySummary[[#This Row],[Hasta]])</f>
        <v>0</v>
      </c>
      <c r="G131" s="12">
        <f ca="1">IFERROR(TableWeeklySummary[[#This Row],[Ventas netas totales]]/TableWeeklySummary[[#This Row],[Órdenes totales]],0)</f>
        <v>0</v>
      </c>
      <c r="H13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31" s="12">
        <f ca="1">TableWeeklySummary[[#This Row],[Órden promedio totales]]*TableWeeklySummary[[#This Row],[CR totales]]</f>
        <v>0</v>
      </c>
      <c r="J131" s="12">
        <f ca="1">SUMIFS(TableDailySummary[Ventas primer cliente],TableDailySummary[Fecha],"&gt;="&amp;TableWeeklySummary[[#This Row],[Desde]],TableDailySummary[Fecha],"&lt;="&amp;TableWeeklySummary[[#This Row],[Hasta]])</f>
        <v>0</v>
      </c>
      <c r="K131" s="12">
        <f ca="1">SUMIFS(TableDailySummary[Órdenes primer cliente],TableDailySummary[Fecha],"&gt;="&amp;TableWeeklySummary[[#This Row],[Desde]],TableDailySummary[Fecha],"&lt;="&amp;TableWeeklySummary[[#This Row],[Hasta]])</f>
        <v>0</v>
      </c>
      <c r="L131" s="12">
        <f ca="1">SUMIFS(TableDailySummary[Online Store_net_sales],TableDailySummary[Fecha],"&gt;="&amp;TableWeeklySummary[[#This Row],[Desde]],TableDailySummary[Fecha],"&lt;="&amp;TableWeeklySummary[[#This Row],[Hasta]])</f>
        <v>0</v>
      </c>
      <c r="M131" s="12">
        <f ca="1">SUMIFS(TableDailySummary[Online Store_orders],TableDailySummary[Fecha],"&gt;="&amp;TableWeeklySummary[[#This Row],[Desde]],TableDailySummary[Fecha],"&lt;="&amp;TableWeeklySummary[[#This Row],[Hasta]])</f>
        <v>0</v>
      </c>
      <c r="N131" s="12">
        <f ca="1">SUMIFS(TableDailySummary[Tienda 81_net_sales],TableDailySummary[Fecha],"&gt;="&amp;TableWeeklySummary[[#This Row],[Desde]],TableDailySummary[Fecha],"&lt;="&amp;TableWeeklySummary[[#This Row],[Hasta]])</f>
        <v>0</v>
      </c>
      <c r="O131" s="12">
        <f ca="1">SUMIFS(TableDailySummary[Tienda 81_orders],TableDailySummary[Fecha],"&gt;="&amp;TableWeeklySummary[[#This Row],[Desde]],TableDailySummary[Fecha],"&lt;="&amp;TableWeeklySummary[[#This Row],[Hasta]])</f>
        <v>0</v>
      </c>
      <c r="P131" s="12">
        <f ca="1">SUMIFS(TableDailySummary[Rappi_net_sales],TableDailySummary[Fecha],"&gt;="&amp;TableWeeklySummary[[#This Row],[Desde]],TableDailySummary[Fecha],"&lt;="&amp;TableWeeklySummary[[#This Row],[Hasta]])</f>
        <v>0</v>
      </c>
      <c r="Q131" s="12">
        <f ca="1">SUMIFS(TableDailySummary[Rappi_orders],TableDailySummary[Fecha],"&gt;="&amp;TableWeeklySummary[[#This Row],[Desde]],TableDailySummary[Fecha],"&lt;="&amp;TableWeeklySummary[[#This Row],[Hasta]])</f>
        <v>0</v>
      </c>
      <c r="R13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3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31" s="12">
        <f ca="1">SUMIFS(TableDailySummary[Inversión google ads],TableDailySummary[Fecha],"&gt;="&amp;TableWeeklySummary[[#This Row],[Desde]],TableDailySummary[Fecha],"&lt;="&amp;TableWeeklySummary[[#This Row],[Hasta]])</f>
        <v>0</v>
      </c>
      <c r="U131" s="12">
        <f ca="1">SUMIFS(TableDailySummary[Ventas google ads],TableDailySummary[Fecha],"&gt;="&amp;TableWeeklySummary[[#This Row],[Desde]],TableDailySummary[Fecha],"&lt;="&amp;TableWeeklySummary[[#This Row],[Hasta]])</f>
        <v>0</v>
      </c>
      <c r="V131" s="12">
        <f ca="1">SUMIFS(TableDailySummary[Inversión meta ads],TableDailySummary[Fecha],"&gt;="&amp;TableWeeklySummary[[#This Row],[Desde]],TableDailySummary[Fecha],"&lt;="&amp;TableWeeklySummary[[#This Row],[Hasta]])</f>
        <v>0</v>
      </c>
      <c r="W131" s="12">
        <f ca="1">SUMIFS(TableDailySummary[Ventas meta ads],TableDailySummary[Fecha],"&gt;="&amp;TableWeeklySummary[[#This Row],[Desde]],TableDailySummary[Fecha],"&lt;="&amp;TableWeeklySummary[[#This Row],[Hasta]])</f>
        <v>0</v>
      </c>
      <c r="X131" s="12">
        <f ca="1">TableWeeklySummary[[#This Row],[Inversión google ads]]+TableWeeklySummary[[#This Row],[Inversión meta ads]]</f>
        <v>0</v>
      </c>
      <c r="Y131" s="12">
        <f ca="1">TableWeeklySummary[[#This Row],[Ventas google ads]]+TableWeeklySummary[[#This Row],[Ventas meta ads]]</f>
        <v>0</v>
      </c>
      <c r="Z131" s="14">
        <f ca="1">IFERROR(TableWeeklySummary[[#This Row],[Ventas publicidad]]/TableWeeklySummary[[#This Row],[Inversión publicidad]],0)</f>
        <v>0</v>
      </c>
      <c r="AA131" s="14">
        <f ca="1">IFERROR(TableWeeklySummary[[#This Row],[Ventas primer cliente]]/TableWeeklySummary[[#This Row],[Inversión publicidad]],0)</f>
        <v>0</v>
      </c>
      <c r="AB131" s="14"/>
      <c r="AC131" s="12"/>
      <c r="AI13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3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31" s="12">
        <f ca="1">SUMIFS(TableDailySummary[Utilidad bruta],TableDailySummary[Fecha],"&gt;="&amp;TableWeeklySummary[[#This Row],[Desde]],TableDailySummary[Fecha],"&lt;="&amp;TableWeeklySummary[[#This Row],[Hasta]])</f>
        <v>0</v>
      </c>
      <c r="AL131" s="18">
        <f ca="1">IFERROR(TableWeeklySummary[[#This Row],[Utilidad bruta]]/TableWeeklySummary[[#This Row],[Ventas netas con costo registrado]],0)</f>
        <v>0</v>
      </c>
    </row>
    <row r="132" spans="2:38" x14ac:dyDescent="0.2">
      <c r="B132" s="16">
        <f ca="1">_xlfn.ISOWEEKNUM(TableWeeklySummary[[#This Row],[Hasta]])</f>
        <v>13</v>
      </c>
      <c r="C132" s="6">
        <f t="shared" ca="1" si="4"/>
        <v>46836</v>
      </c>
      <c r="D132" s="6">
        <f ca="1">TableWeeklySummary[[#This Row],[Desde]]+7-1</f>
        <v>46842</v>
      </c>
      <c r="E132" s="12">
        <f ca="1">SUMIFS(TableDailySummary[Ventas netas totales],TableDailySummary[Fecha],"&gt;="&amp;TableWeeklySummary[[#This Row],[Desde]],TableDailySummary[Fecha],"&lt;="&amp;TableWeeklySummary[[#This Row],[Hasta]])</f>
        <v>0</v>
      </c>
      <c r="F132" s="12">
        <f ca="1">SUMIFS(TableDailySummary[Órdenes totales],TableDailySummary[Fecha],"&gt;="&amp;TableWeeklySummary[[#This Row],[Desde]],TableDailySummary[Fecha],"&lt;="&amp;TableWeeklySummary[[#This Row],[Hasta]])</f>
        <v>0</v>
      </c>
      <c r="G132" s="12">
        <f ca="1">IFERROR(TableWeeklySummary[[#This Row],[Ventas netas totales]]/TableWeeklySummary[[#This Row],[Órdenes totales]],0)</f>
        <v>0</v>
      </c>
      <c r="H13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32" s="12">
        <f ca="1">TableWeeklySummary[[#This Row],[Órden promedio totales]]*TableWeeklySummary[[#This Row],[CR totales]]</f>
        <v>0</v>
      </c>
      <c r="J132" s="12">
        <f ca="1">SUMIFS(TableDailySummary[Ventas primer cliente],TableDailySummary[Fecha],"&gt;="&amp;TableWeeklySummary[[#This Row],[Desde]],TableDailySummary[Fecha],"&lt;="&amp;TableWeeklySummary[[#This Row],[Hasta]])</f>
        <v>0</v>
      </c>
      <c r="K132" s="12">
        <f ca="1">SUMIFS(TableDailySummary[Órdenes primer cliente],TableDailySummary[Fecha],"&gt;="&amp;TableWeeklySummary[[#This Row],[Desde]],TableDailySummary[Fecha],"&lt;="&amp;TableWeeklySummary[[#This Row],[Hasta]])</f>
        <v>0</v>
      </c>
      <c r="L132" s="12">
        <f ca="1">SUMIFS(TableDailySummary[Online Store_net_sales],TableDailySummary[Fecha],"&gt;="&amp;TableWeeklySummary[[#This Row],[Desde]],TableDailySummary[Fecha],"&lt;="&amp;TableWeeklySummary[[#This Row],[Hasta]])</f>
        <v>0</v>
      </c>
      <c r="M132" s="12">
        <f ca="1">SUMIFS(TableDailySummary[Online Store_orders],TableDailySummary[Fecha],"&gt;="&amp;TableWeeklySummary[[#This Row],[Desde]],TableDailySummary[Fecha],"&lt;="&amp;TableWeeklySummary[[#This Row],[Hasta]])</f>
        <v>0</v>
      </c>
      <c r="N132" s="12">
        <f ca="1">SUMIFS(TableDailySummary[Tienda 81_net_sales],TableDailySummary[Fecha],"&gt;="&amp;TableWeeklySummary[[#This Row],[Desde]],TableDailySummary[Fecha],"&lt;="&amp;TableWeeklySummary[[#This Row],[Hasta]])</f>
        <v>0</v>
      </c>
      <c r="O132" s="12">
        <f ca="1">SUMIFS(TableDailySummary[Tienda 81_orders],TableDailySummary[Fecha],"&gt;="&amp;TableWeeklySummary[[#This Row],[Desde]],TableDailySummary[Fecha],"&lt;="&amp;TableWeeklySummary[[#This Row],[Hasta]])</f>
        <v>0</v>
      </c>
      <c r="P132" s="12">
        <f ca="1">SUMIFS(TableDailySummary[Rappi_net_sales],TableDailySummary[Fecha],"&gt;="&amp;TableWeeklySummary[[#This Row],[Desde]],TableDailySummary[Fecha],"&lt;="&amp;TableWeeklySummary[[#This Row],[Hasta]])</f>
        <v>0</v>
      </c>
      <c r="Q132" s="12">
        <f ca="1">SUMIFS(TableDailySummary[Rappi_orders],TableDailySummary[Fecha],"&gt;="&amp;TableWeeklySummary[[#This Row],[Desde]],TableDailySummary[Fecha],"&lt;="&amp;TableWeeklySummary[[#This Row],[Hasta]])</f>
        <v>0</v>
      </c>
      <c r="R13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3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32" s="12">
        <f ca="1">SUMIFS(TableDailySummary[Inversión google ads],TableDailySummary[Fecha],"&gt;="&amp;TableWeeklySummary[[#This Row],[Desde]],TableDailySummary[Fecha],"&lt;="&amp;TableWeeklySummary[[#This Row],[Hasta]])</f>
        <v>0</v>
      </c>
      <c r="U132" s="12">
        <f ca="1">SUMIFS(TableDailySummary[Ventas google ads],TableDailySummary[Fecha],"&gt;="&amp;TableWeeklySummary[[#This Row],[Desde]],TableDailySummary[Fecha],"&lt;="&amp;TableWeeklySummary[[#This Row],[Hasta]])</f>
        <v>0</v>
      </c>
      <c r="V132" s="12">
        <f ca="1">SUMIFS(TableDailySummary[Inversión meta ads],TableDailySummary[Fecha],"&gt;="&amp;TableWeeklySummary[[#This Row],[Desde]],TableDailySummary[Fecha],"&lt;="&amp;TableWeeklySummary[[#This Row],[Hasta]])</f>
        <v>0</v>
      </c>
      <c r="W132" s="12">
        <f ca="1">SUMIFS(TableDailySummary[Ventas meta ads],TableDailySummary[Fecha],"&gt;="&amp;TableWeeklySummary[[#This Row],[Desde]],TableDailySummary[Fecha],"&lt;="&amp;TableWeeklySummary[[#This Row],[Hasta]])</f>
        <v>0</v>
      </c>
      <c r="X132" s="12">
        <f ca="1">TableWeeklySummary[[#This Row],[Inversión google ads]]+TableWeeklySummary[[#This Row],[Inversión meta ads]]</f>
        <v>0</v>
      </c>
      <c r="Y132" s="12">
        <f ca="1">TableWeeklySummary[[#This Row],[Ventas google ads]]+TableWeeklySummary[[#This Row],[Ventas meta ads]]</f>
        <v>0</v>
      </c>
      <c r="Z132" s="14">
        <f ca="1">IFERROR(TableWeeklySummary[[#This Row],[Ventas publicidad]]/TableWeeklySummary[[#This Row],[Inversión publicidad]],0)</f>
        <v>0</v>
      </c>
      <c r="AA132" s="14">
        <f ca="1">IFERROR(TableWeeklySummary[[#This Row],[Ventas primer cliente]]/TableWeeklySummary[[#This Row],[Inversión publicidad]],0)</f>
        <v>0</v>
      </c>
      <c r="AB132" s="14"/>
      <c r="AC132" s="12"/>
      <c r="AI13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3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32" s="12">
        <f ca="1">SUMIFS(TableDailySummary[Utilidad bruta],TableDailySummary[Fecha],"&gt;="&amp;TableWeeklySummary[[#This Row],[Desde]],TableDailySummary[Fecha],"&lt;="&amp;TableWeeklySummary[[#This Row],[Hasta]])</f>
        <v>0</v>
      </c>
      <c r="AL132" s="18">
        <f ca="1">IFERROR(TableWeeklySummary[[#This Row],[Utilidad bruta]]/TableWeeklySummary[[#This Row],[Ventas netas con costo registrado]],0)</f>
        <v>0</v>
      </c>
    </row>
    <row r="133" spans="2:38" x14ac:dyDescent="0.2">
      <c r="B133" s="16">
        <f ca="1">_xlfn.ISOWEEKNUM(TableWeeklySummary[[#This Row],[Hasta]])</f>
        <v>14</v>
      </c>
      <c r="C133" s="6">
        <f t="shared" ca="1" si="4"/>
        <v>46843</v>
      </c>
      <c r="D133" s="6">
        <f ca="1">TableWeeklySummary[[#This Row],[Desde]]+7-1</f>
        <v>46849</v>
      </c>
      <c r="E133" s="12">
        <f ca="1">SUMIFS(TableDailySummary[Ventas netas totales],TableDailySummary[Fecha],"&gt;="&amp;TableWeeklySummary[[#This Row],[Desde]],TableDailySummary[Fecha],"&lt;="&amp;TableWeeklySummary[[#This Row],[Hasta]])</f>
        <v>0</v>
      </c>
      <c r="F133" s="12">
        <f ca="1">SUMIFS(TableDailySummary[Órdenes totales],TableDailySummary[Fecha],"&gt;="&amp;TableWeeklySummary[[#This Row],[Desde]],TableDailySummary[Fecha],"&lt;="&amp;TableWeeklySummary[[#This Row],[Hasta]])</f>
        <v>0</v>
      </c>
      <c r="G133" s="12">
        <f ca="1">IFERROR(TableWeeklySummary[[#This Row],[Ventas netas totales]]/TableWeeklySummary[[#This Row],[Órdenes totales]],0)</f>
        <v>0</v>
      </c>
      <c r="H13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33" s="12">
        <f ca="1">TableWeeklySummary[[#This Row],[Órden promedio totales]]*TableWeeklySummary[[#This Row],[CR totales]]</f>
        <v>0</v>
      </c>
      <c r="J133" s="12">
        <f ca="1">SUMIFS(TableDailySummary[Ventas primer cliente],TableDailySummary[Fecha],"&gt;="&amp;TableWeeklySummary[[#This Row],[Desde]],TableDailySummary[Fecha],"&lt;="&amp;TableWeeklySummary[[#This Row],[Hasta]])</f>
        <v>0</v>
      </c>
      <c r="K133" s="12">
        <f ca="1">SUMIFS(TableDailySummary[Órdenes primer cliente],TableDailySummary[Fecha],"&gt;="&amp;TableWeeklySummary[[#This Row],[Desde]],TableDailySummary[Fecha],"&lt;="&amp;TableWeeklySummary[[#This Row],[Hasta]])</f>
        <v>0</v>
      </c>
      <c r="L133" s="12">
        <f ca="1">SUMIFS(TableDailySummary[Online Store_net_sales],TableDailySummary[Fecha],"&gt;="&amp;TableWeeklySummary[[#This Row],[Desde]],TableDailySummary[Fecha],"&lt;="&amp;TableWeeklySummary[[#This Row],[Hasta]])</f>
        <v>0</v>
      </c>
      <c r="M133" s="12">
        <f ca="1">SUMIFS(TableDailySummary[Online Store_orders],TableDailySummary[Fecha],"&gt;="&amp;TableWeeklySummary[[#This Row],[Desde]],TableDailySummary[Fecha],"&lt;="&amp;TableWeeklySummary[[#This Row],[Hasta]])</f>
        <v>0</v>
      </c>
      <c r="N133" s="12">
        <f ca="1">SUMIFS(TableDailySummary[Tienda 81_net_sales],TableDailySummary[Fecha],"&gt;="&amp;TableWeeklySummary[[#This Row],[Desde]],TableDailySummary[Fecha],"&lt;="&amp;TableWeeklySummary[[#This Row],[Hasta]])</f>
        <v>0</v>
      </c>
      <c r="O133" s="12">
        <f ca="1">SUMIFS(TableDailySummary[Tienda 81_orders],TableDailySummary[Fecha],"&gt;="&amp;TableWeeklySummary[[#This Row],[Desde]],TableDailySummary[Fecha],"&lt;="&amp;TableWeeklySummary[[#This Row],[Hasta]])</f>
        <v>0</v>
      </c>
      <c r="P133" s="12">
        <f ca="1">SUMIFS(TableDailySummary[Rappi_net_sales],TableDailySummary[Fecha],"&gt;="&amp;TableWeeklySummary[[#This Row],[Desde]],TableDailySummary[Fecha],"&lt;="&amp;TableWeeklySummary[[#This Row],[Hasta]])</f>
        <v>0</v>
      </c>
      <c r="Q133" s="12">
        <f ca="1">SUMIFS(TableDailySummary[Rappi_orders],TableDailySummary[Fecha],"&gt;="&amp;TableWeeklySummary[[#This Row],[Desde]],TableDailySummary[Fecha],"&lt;="&amp;TableWeeklySummary[[#This Row],[Hasta]])</f>
        <v>0</v>
      </c>
      <c r="R13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3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33" s="12">
        <f ca="1">SUMIFS(TableDailySummary[Inversión google ads],TableDailySummary[Fecha],"&gt;="&amp;TableWeeklySummary[[#This Row],[Desde]],TableDailySummary[Fecha],"&lt;="&amp;TableWeeklySummary[[#This Row],[Hasta]])</f>
        <v>0</v>
      </c>
      <c r="U133" s="12">
        <f ca="1">SUMIFS(TableDailySummary[Ventas google ads],TableDailySummary[Fecha],"&gt;="&amp;TableWeeklySummary[[#This Row],[Desde]],TableDailySummary[Fecha],"&lt;="&amp;TableWeeklySummary[[#This Row],[Hasta]])</f>
        <v>0</v>
      </c>
      <c r="V133" s="12">
        <f ca="1">SUMIFS(TableDailySummary[Inversión meta ads],TableDailySummary[Fecha],"&gt;="&amp;TableWeeklySummary[[#This Row],[Desde]],TableDailySummary[Fecha],"&lt;="&amp;TableWeeklySummary[[#This Row],[Hasta]])</f>
        <v>0</v>
      </c>
      <c r="W133" s="12">
        <f ca="1">SUMIFS(TableDailySummary[Ventas meta ads],TableDailySummary[Fecha],"&gt;="&amp;TableWeeklySummary[[#This Row],[Desde]],TableDailySummary[Fecha],"&lt;="&amp;TableWeeklySummary[[#This Row],[Hasta]])</f>
        <v>0</v>
      </c>
      <c r="X133" s="12">
        <f ca="1">TableWeeklySummary[[#This Row],[Inversión google ads]]+TableWeeklySummary[[#This Row],[Inversión meta ads]]</f>
        <v>0</v>
      </c>
      <c r="Y133" s="12">
        <f ca="1">TableWeeklySummary[[#This Row],[Ventas google ads]]+TableWeeklySummary[[#This Row],[Ventas meta ads]]</f>
        <v>0</v>
      </c>
      <c r="Z133" s="14">
        <f ca="1">IFERROR(TableWeeklySummary[[#This Row],[Ventas publicidad]]/TableWeeklySummary[[#This Row],[Inversión publicidad]],0)</f>
        <v>0</v>
      </c>
      <c r="AA133" s="14">
        <f ca="1">IFERROR(TableWeeklySummary[[#This Row],[Ventas primer cliente]]/TableWeeklySummary[[#This Row],[Inversión publicidad]],0)</f>
        <v>0</v>
      </c>
      <c r="AB133" s="14"/>
      <c r="AC133" s="12"/>
      <c r="AI13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3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33" s="12">
        <f ca="1">SUMIFS(TableDailySummary[Utilidad bruta],TableDailySummary[Fecha],"&gt;="&amp;TableWeeklySummary[[#This Row],[Desde]],TableDailySummary[Fecha],"&lt;="&amp;TableWeeklySummary[[#This Row],[Hasta]])</f>
        <v>0</v>
      </c>
      <c r="AL133" s="18">
        <f ca="1">IFERROR(TableWeeklySummary[[#This Row],[Utilidad bruta]]/TableWeeklySummary[[#This Row],[Ventas netas con costo registrado]],0)</f>
        <v>0</v>
      </c>
    </row>
    <row r="134" spans="2:38" x14ac:dyDescent="0.2">
      <c r="B134" s="16">
        <f ca="1">_xlfn.ISOWEEKNUM(TableWeeklySummary[[#This Row],[Hasta]])</f>
        <v>15</v>
      </c>
      <c r="C134" s="6">
        <f t="shared" ca="1" si="4"/>
        <v>46850</v>
      </c>
      <c r="D134" s="6">
        <f ca="1">TableWeeklySummary[[#This Row],[Desde]]+7-1</f>
        <v>46856</v>
      </c>
      <c r="E134" s="12">
        <f ca="1">SUMIFS(TableDailySummary[Ventas netas totales],TableDailySummary[Fecha],"&gt;="&amp;TableWeeklySummary[[#This Row],[Desde]],TableDailySummary[Fecha],"&lt;="&amp;TableWeeklySummary[[#This Row],[Hasta]])</f>
        <v>0</v>
      </c>
      <c r="F134" s="12">
        <f ca="1">SUMIFS(TableDailySummary[Órdenes totales],TableDailySummary[Fecha],"&gt;="&amp;TableWeeklySummary[[#This Row],[Desde]],TableDailySummary[Fecha],"&lt;="&amp;TableWeeklySummary[[#This Row],[Hasta]])</f>
        <v>0</v>
      </c>
      <c r="G134" s="12">
        <f ca="1">IFERROR(TableWeeklySummary[[#This Row],[Ventas netas totales]]/TableWeeklySummary[[#This Row],[Órdenes totales]],0)</f>
        <v>0</v>
      </c>
      <c r="H13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34" s="12">
        <f ca="1">TableWeeklySummary[[#This Row],[Órden promedio totales]]*TableWeeklySummary[[#This Row],[CR totales]]</f>
        <v>0</v>
      </c>
      <c r="J134" s="12">
        <f ca="1">SUMIFS(TableDailySummary[Ventas primer cliente],TableDailySummary[Fecha],"&gt;="&amp;TableWeeklySummary[[#This Row],[Desde]],TableDailySummary[Fecha],"&lt;="&amp;TableWeeklySummary[[#This Row],[Hasta]])</f>
        <v>0</v>
      </c>
      <c r="K134" s="12">
        <f ca="1">SUMIFS(TableDailySummary[Órdenes primer cliente],TableDailySummary[Fecha],"&gt;="&amp;TableWeeklySummary[[#This Row],[Desde]],TableDailySummary[Fecha],"&lt;="&amp;TableWeeklySummary[[#This Row],[Hasta]])</f>
        <v>0</v>
      </c>
      <c r="L134" s="12">
        <f ca="1">SUMIFS(TableDailySummary[Online Store_net_sales],TableDailySummary[Fecha],"&gt;="&amp;TableWeeklySummary[[#This Row],[Desde]],TableDailySummary[Fecha],"&lt;="&amp;TableWeeklySummary[[#This Row],[Hasta]])</f>
        <v>0</v>
      </c>
      <c r="M134" s="12">
        <f ca="1">SUMIFS(TableDailySummary[Online Store_orders],TableDailySummary[Fecha],"&gt;="&amp;TableWeeklySummary[[#This Row],[Desde]],TableDailySummary[Fecha],"&lt;="&amp;TableWeeklySummary[[#This Row],[Hasta]])</f>
        <v>0</v>
      </c>
      <c r="N134" s="12">
        <f ca="1">SUMIFS(TableDailySummary[Tienda 81_net_sales],TableDailySummary[Fecha],"&gt;="&amp;TableWeeklySummary[[#This Row],[Desde]],TableDailySummary[Fecha],"&lt;="&amp;TableWeeklySummary[[#This Row],[Hasta]])</f>
        <v>0</v>
      </c>
      <c r="O134" s="12">
        <f ca="1">SUMIFS(TableDailySummary[Tienda 81_orders],TableDailySummary[Fecha],"&gt;="&amp;TableWeeklySummary[[#This Row],[Desde]],TableDailySummary[Fecha],"&lt;="&amp;TableWeeklySummary[[#This Row],[Hasta]])</f>
        <v>0</v>
      </c>
      <c r="P134" s="12">
        <f ca="1">SUMIFS(TableDailySummary[Rappi_net_sales],TableDailySummary[Fecha],"&gt;="&amp;TableWeeklySummary[[#This Row],[Desde]],TableDailySummary[Fecha],"&lt;="&amp;TableWeeklySummary[[#This Row],[Hasta]])</f>
        <v>0</v>
      </c>
      <c r="Q134" s="12">
        <f ca="1">SUMIFS(TableDailySummary[Rappi_orders],TableDailySummary[Fecha],"&gt;="&amp;TableWeeklySummary[[#This Row],[Desde]],TableDailySummary[Fecha],"&lt;="&amp;TableWeeklySummary[[#This Row],[Hasta]])</f>
        <v>0</v>
      </c>
      <c r="R13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3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34" s="12">
        <f ca="1">SUMIFS(TableDailySummary[Inversión google ads],TableDailySummary[Fecha],"&gt;="&amp;TableWeeklySummary[[#This Row],[Desde]],TableDailySummary[Fecha],"&lt;="&amp;TableWeeklySummary[[#This Row],[Hasta]])</f>
        <v>0</v>
      </c>
      <c r="U134" s="12">
        <f ca="1">SUMIFS(TableDailySummary[Ventas google ads],TableDailySummary[Fecha],"&gt;="&amp;TableWeeklySummary[[#This Row],[Desde]],TableDailySummary[Fecha],"&lt;="&amp;TableWeeklySummary[[#This Row],[Hasta]])</f>
        <v>0</v>
      </c>
      <c r="V134" s="12">
        <f ca="1">SUMIFS(TableDailySummary[Inversión meta ads],TableDailySummary[Fecha],"&gt;="&amp;TableWeeklySummary[[#This Row],[Desde]],TableDailySummary[Fecha],"&lt;="&amp;TableWeeklySummary[[#This Row],[Hasta]])</f>
        <v>0</v>
      </c>
      <c r="W134" s="12">
        <f ca="1">SUMIFS(TableDailySummary[Ventas meta ads],TableDailySummary[Fecha],"&gt;="&amp;TableWeeklySummary[[#This Row],[Desde]],TableDailySummary[Fecha],"&lt;="&amp;TableWeeklySummary[[#This Row],[Hasta]])</f>
        <v>0</v>
      </c>
      <c r="X134" s="12">
        <f ca="1">TableWeeklySummary[[#This Row],[Inversión google ads]]+TableWeeklySummary[[#This Row],[Inversión meta ads]]</f>
        <v>0</v>
      </c>
      <c r="Y134" s="12">
        <f ca="1">TableWeeklySummary[[#This Row],[Ventas google ads]]+TableWeeklySummary[[#This Row],[Ventas meta ads]]</f>
        <v>0</v>
      </c>
      <c r="Z134" s="14">
        <f ca="1">IFERROR(TableWeeklySummary[[#This Row],[Ventas publicidad]]/TableWeeklySummary[[#This Row],[Inversión publicidad]],0)</f>
        <v>0</v>
      </c>
      <c r="AA134" s="14">
        <f ca="1">IFERROR(TableWeeklySummary[[#This Row],[Ventas primer cliente]]/TableWeeklySummary[[#This Row],[Inversión publicidad]],0)</f>
        <v>0</v>
      </c>
      <c r="AB134" s="14"/>
      <c r="AC134" s="12"/>
      <c r="AI13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3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34" s="12">
        <f ca="1">SUMIFS(TableDailySummary[Utilidad bruta],TableDailySummary[Fecha],"&gt;="&amp;TableWeeklySummary[[#This Row],[Desde]],TableDailySummary[Fecha],"&lt;="&amp;TableWeeklySummary[[#This Row],[Hasta]])</f>
        <v>0</v>
      </c>
      <c r="AL134" s="18">
        <f ca="1">IFERROR(TableWeeklySummary[[#This Row],[Utilidad bruta]]/TableWeeklySummary[[#This Row],[Ventas netas con costo registrado]],0)</f>
        <v>0</v>
      </c>
    </row>
    <row r="135" spans="2:38" x14ac:dyDescent="0.2">
      <c r="B135" s="16">
        <f ca="1">_xlfn.ISOWEEKNUM(TableWeeklySummary[[#This Row],[Hasta]])</f>
        <v>16</v>
      </c>
      <c r="C135" s="6">
        <f t="shared" ca="1" si="4"/>
        <v>46857</v>
      </c>
      <c r="D135" s="6">
        <f ca="1">TableWeeklySummary[[#This Row],[Desde]]+7-1</f>
        <v>46863</v>
      </c>
      <c r="E135" s="12">
        <f ca="1">SUMIFS(TableDailySummary[Ventas netas totales],TableDailySummary[Fecha],"&gt;="&amp;TableWeeklySummary[[#This Row],[Desde]],TableDailySummary[Fecha],"&lt;="&amp;TableWeeklySummary[[#This Row],[Hasta]])</f>
        <v>0</v>
      </c>
      <c r="F135" s="12">
        <f ca="1">SUMIFS(TableDailySummary[Órdenes totales],TableDailySummary[Fecha],"&gt;="&amp;TableWeeklySummary[[#This Row],[Desde]],TableDailySummary[Fecha],"&lt;="&amp;TableWeeklySummary[[#This Row],[Hasta]])</f>
        <v>0</v>
      </c>
      <c r="G135" s="12">
        <f ca="1">IFERROR(TableWeeklySummary[[#This Row],[Ventas netas totales]]/TableWeeklySummary[[#This Row],[Órdenes totales]],0)</f>
        <v>0</v>
      </c>
      <c r="H13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35" s="12">
        <f ca="1">TableWeeklySummary[[#This Row],[Órden promedio totales]]*TableWeeklySummary[[#This Row],[CR totales]]</f>
        <v>0</v>
      </c>
      <c r="J135" s="12">
        <f ca="1">SUMIFS(TableDailySummary[Ventas primer cliente],TableDailySummary[Fecha],"&gt;="&amp;TableWeeklySummary[[#This Row],[Desde]],TableDailySummary[Fecha],"&lt;="&amp;TableWeeklySummary[[#This Row],[Hasta]])</f>
        <v>0</v>
      </c>
      <c r="K135" s="12">
        <f ca="1">SUMIFS(TableDailySummary[Órdenes primer cliente],TableDailySummary[Fecha],"&gt;="&amp;TableWeeklySummary[[#This Row],[Desde]],TableDailySummary[Fecha],"&lt;="&amp;TableWeeklySummary[[#This Row],[Hasta]])</f>
        <v>0</v>
      </c>
      <c r="L135" s="12">
        <f ca="1">SUMIFS(TableDailySummary[Online Store_net_sales],TableDailySummary[Fecha],"&gt;="&amp;TableWeeklySummary[[#This Row],[Desde]],TableDailySummary[Fecha],"&lt;="&amp;TableWeeklySummary[[#This Row],[Hasta]])</f>
        <v>0</v>
      </c>
      <c r="M135" s="12">
        <f ca="1">SUMIFS(TableDailySummary[Online Store_orders],TableDailySummary[Fecha],"&gt;="&amp;TableWeeklySummary[[#This Row],[Desde]],TableDailySummary[Fecha],"&lt;="&amp;TableWeeklySummary[[#This Row],[Hasta]])</f>
        <v>0</v>
      </c>
      <c r="N135" s="12">
        <f ca="1">SUMIFS(TableDailySummary[Tienda 81_net_sales],TableDailySummary[Fecha],"&gt;="&amp;TableWeeklySummary[[#This Row],[Desde]],TableDailySummary[Fecha],"&lt;="&amp;TableWeeklySummary[[#This Row],[Hasta]])</f>
        <v>0</v>
      </c>
      <c r="O135" s="12">
        <f ca="1">SUMIFS(TableDailySummary[Tienda 81_orders],TableDailySummary[Fecha],"&gt;="&amp;TableWeeklySummary[[#This Row],[Desde]],TableDailySummary[Fecha],"&lt;="&amp;TableWeeklySummary[[#This Row],[Hasta]])</f>
        <v>0</v>
      </c>
      <c r="P135" s="12">
        <f ca="1">SUMIFS(TableDailySummary[Rappi_net_sales],TableDailySummary[Fecha],"&gt;="&amp;TableWeeklySummary[[#This Row],[Desde]],TableDailySummary[Fecha],"&lt;="&amp;TableWeeklySummary[[#This Row],[Hasta]])</f>
        <v>0</v>
      </c>
      <c r="Q135" s="12">
        <f ca="1">SUMIFS(TableDailySummary[Rappi_orders],TableDailySummary[Fecha],"&gt;="&amp;TableWeeklySummary[[#This Row],[Desde]],TableDailySummary[Fecha],"&lt;="&amp;TableWeeklySummary[[#This Row],[Hasta]])</f>
        <v>0</v>
      </c>
      <c r="R13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3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35" s="12">
        <f ca="1">SUMIFS(TableDailySummary[Inversión google ads],TableDailySummary[Fecha],"&gt;="&amp;TableWeeklySummary[[#This Row],[Desde]],TableDailySummary[Fecha],"&lt;="&amp;TableWeeklySummary[[#This Row],[Hasta]])</f>
        <v>0</v>
      </c>
      <c r="U135" s="12">
        <f ca="1">SUMIFS(TableDailySummary[Ventas google ads],TableDailySummary[Fecha],"&gt;="&amp;TableWeeklySummary[[#This Row],[Desde]],TableDailySummary[Fecha],"&lt;="&amp;TableWeeklySummary[[#This Row],[Hasta]])</f>
        <v>0</v>
      </c>
      <c r="V135" s="12">
        <f ca="1">SUMIFS(TableDailySummary[Inversión meta ads],TableDailySummary[Fecha],"&gt;="&amp;TableWeeklySummary[[#This Row],[Desde]],TableDailySummary[Fecha],"&lt;="&amp;TableWeeklySummary[[#This Row],[Hasta]])</f>
        <v>0</v>
      </c>
      <c r="W135" s="12">
        <f ca="1">SUMIFS(TableDailySummary[Ventas meta ads],TableDailySummary[Fecha],"&gt;="&amp;TableWeeklySummary[[#This Row],[Desde]],TableDailySummary[Fecha],"&lt;="&amp;TableWeeklySummary[[#This Row],[Hasta]])</f>
        <v>0</v>
      </c>
      <c r="X135" s="12">
        <f ca="1">TableWeeklySummary[[#This Row],[Inversión google ads]]+TableWeeklySummary[[#This Row],[Inversión meta ads]]</f>
        <v>0</v>
      </c>
      <c r="Y135" s="12">
        <f ca="1">TableWeeklySummary[[#This Row],[Ventas google ads]]+TableWeeklySummary[[#This Row],[Ventas meta ads]]</f>
        <v>0</v>
      </c>
      <c r="Z135" s="14">
        <f ca="1">IFERROR(TableWeeklySummary[[#This Row],[Ventas publicidad]]/TableWeeklySummary[[#This Row],[Inversión publicidad]],0)</f>
        <v>0</v>
      </c>
      <c r="AA135" s="14">
        <f ca="1">IFERROR(TableWeeklySummary[[#This Row],[Ventas primer cliente]]/TableWeeklySummary[[#This Row],[Inversión publicidad]],0)</f>
        <v>0</v>
      </c>
      <c r="AB135" s="14"/>
      <c r="AC135" s="12"/>
      <c r="AI13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3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35" s="12">
        <f ca="1">SUMIFS(TableDailySummary[Utilidad bruta],TableDailySummary[Fecha],"&gt;="&amp;TableWeeklySummary[[#This Row],[Desde]],TableDailySummary[Fecha],"&lt;="&amp;TableWeeklySummary[[#This Row],[Hasta]])</f>
        <v>0</v>
      </c>
      <c r="AL135" s="18">
        <f ca="1">IFERROR(TableWeeklySummary[[#This Row],[Utilidad bruta]]/TableWeeklySummary[[#This Row],[Ventas netas con costo registrado]],0)</f>
        <v>0</v>
      </c>
    </row>
    <row r="136" spans="2:38" x14ac:dyDescent="0.2">
      <c r="B136" s="16">
        <f ca="1">_xlfn.ISOWEEKNUM(TableWeeklySummary[[#This Row],[Hasta]])</f>
        <v>17</v>
      </c>
      <c r="C136" s="6">
        <f t="shared" ca="1" si="4"/>
        <v>46864</v>
      </c>
      <c r="D136" s="6">
        <f ca="1">TableWeeklySummary[[#This Row],[Desde]]+7-1</f>
        <v>46870</v>
      </c>
      <c r="E136" s="12">
        <f ca="1">SUMIFS(TableDailySummary[Ventas netas totales],TableDailySummary[Fecha],"&gt;="&amp;TableWeeklySummary[[#This Row],[Desde]],TableDailySummary[Fecha],"&lt;="&amp;TableWeeklySummary[[#This Row],[Hasta]])</f>
        <v>0</v>
      </c>
      <c r="F136" s="12">
        <f ca="1">SUMIFS(TableDailySummary[Órdenes totales],TableDailySummary[Fecha],"&gt;="&amp;TableWeeklySummary[[#This Row],[Desde]],TableDailySummary[Fecha],"&lt;="&amp;TableWeeklySummary[[#This Row],[Hasta]])</f>
        <v>0</v>
      </c>
      <c r="G136" s="12">
        <f ca="1">IFERROR(TableWeeklySummary[[#This Row],[Ventas netas totales]]/TableWeeklySummary[[#This Row],[Órdenes totales]],0)</f>
        <v>0</v>
      </c>
      <c r="H13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36" s="12">
        <f ca="1">TableWeeklySummary[[#This Row],[Órden promedio totales]]*TableWeeklySummary[[#This Row],[CR totales]]</f>
        <v>0</v>
      </c>
      <c r="J136" s="12">
        <f ca="1">SUMIFS(TableDailySummary[Ventas primer cliente],TableDailySummary[Fecha],"&gt;="&amp;TableWeeklySummary[[#This Row],[Desde]],TableDailySummary[Fecha],"&lt;="&amp;TableWeeklySummary[[#This Row],[Hasta]])</f>
        <v>0</v>
      </c>
      <c r="K136" s="12">
        <f ca="1">SUMIFS(TableDailySummary[Órdenes primer cliente],TableDailySummary[Fecha],"&gt;="&amp;TableWeeklySummary[[#This Row],[Desde]],TableDailySummary[Fecha],"&lt;="&amp;TableWeeklySummary[[#This Row],[Hasta]])</f>
        <v>0</v>
      </c>
      <c r="L136" s="12">
        <f ca="1">SUMIFS(TableDailySummary[Online Store_net_sales],TableDailySummary[Fecha],"&gt;="&amp;TableWeeklySummary[[#This Row],[Desde]],TableDailySummary[Fecha],"&lt;="&amp;TableWeeklySummary[[#This Row],[Hasta]])</f>
        <v>0</v>
      </c>
      <c r="M136" s="12">
        <f ca="1">SUMIFS(TableDailySummary[Online Store_orders],TableDailySummary[Fecha],"&gt;="&amp;TableWeeklySummary[[#This Row],[Desde]],TableDailySummary[Fecha],"&lt;="&amp;TableWeeklySummary[[#This Row],[Hasta]])</f>
        <v>0</v>
      </c>
      <c r="N136" s="12">
        <f ca="1">SUMIFS(TableDailySummary[Tienda 81_net_sales],TableDailySummary[Fecha],"&gt;="&amp;TableWeeklySummary[[#This Row],[Desde]],TableDailySummary[Fecha],"&lt;="&amp;TableWeeklySummary[[#This Row],[Hasta]])</f>
        <v>0</v>
      </c>
      <c r="O136" s="12">
        <f ca="1">SUMIFS(TableDailySummary[Tienda 81_orders],TableDailySummary[Fecha],"&gt;="&amp;TableWeeklySummary[[#This Row],[Desde]],TableDailySummary[Fecha],"&lt;="&amp;TableWeeklySummary[[#This Row],[Hasta]])</f>
        <v>0</v>
      </c>
      <c r="P136" s="12">
        <f ca="1">SUMIFS(TableDailySummary[Rappi_net_sales],TableDailySummary[Fecha],"&gt;="&amp;TableWeeklySummary[[#This Row],[Desde]],TableDailySummary[Fecha],"&lt;="&amp;TableWeeklySummary[[#This Row],[Hasta]])</f>
        <v>0</v>
      </c>
      <c r="Q136" s="12">
        <f ca="1">SUMIFS(TableDailySummary[Rappi_orders],TableDailySummary[Fecha],"&gt;="&amp;TableWeeklySummary[[#This Row],[Desde]],TableDailySummary[Fecha],"&lt;="&amp;TableWeeklySummary[[#This Row],[Hasta]])</f>
        <v>0</v>
      </c>
      <c r="R13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3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36" s="12">
        <f ca="1">SUMIFS(TableDailySummary[Inversión google ads],TableDailySummary[Fecha],"&gt;="&amp;TableWeeklySummary[[#This Row],[Desde]],TableDailySummary[Fecha],"&lt;="&amp;TableWeeklySummary[[#This Row],[Hasta]])</f>
        <v>0</v>
      </c>
      <c r="U136" s="12">
        <f ca="1">SUMIFS(TableDailySummary[Ventas google ads],TableDailySummary[Fecha],"&gt;="&amp;TableWeeklySummary[[#This Row],[Desde]],TableDailySummary[Fecha],"&lt;="&amp;TableWeeklySummary[[#This Row],[Hasta]])</f>
        <v>0</v>
      </c>
      <c r="V136" s="12">
        <f ca="1">SUMIFS(TableDailySummary[Inversión meta ads],TableDailySummary[Fecha],"&gt;="&amp;TableWeeklySummary[[#This Row],[Desde]],TableDailySummary[Fecha],"&lt;="&amp;TableWeeklySummary[[#This Row],[Hasta]])</f>
        <v>0</v>
      </c>
      <c r="W136" s="12">
        <f ca="1">SUMIFS(TableDailySummary[Ventas meta ads],TableDailySummary[Fecha],"&gt;="&amp;TableWeeklySummary[[#This Row],[Desde]],TableDailySummary[Fecha],"&lt;="&amp;TableWeeklySummary[[#This Row],[Hasta]])</f>
        <v>0</v>
      </c>
      <c r="X136" s="12">
        <f ca="1">TableWeeklySummary[[#This Row],[Inversión google ads]]+TableWeeklySummary[[#This Row],[Inversión meta ads]]</f>
        <v>0</v>
      </c>
      <c r="Y136" s="12">
        <f ca="1">TableWeeklySummary[[#This Row],[Ventas google ads]]+TableWeeklySummary[[#This Row],[Ventas meta ads]]</f>
        <v>0</v>
      </c>
      <c r="Z136" s="14">
        <f ca="1">IFERROR(TableWeeklySummary[[#This Row],[Ventas publicidad]]/TableWeeklySummary[[#This Row],[Inversión publicidad]],0)</f>
        <v>0</v>
      </c>
      <c r="AA136" s="14">
        <f ca="1">IFERROR(TableWeeklySummary[[#This Row],[Ventas primer cliente]]/TableWeeklySummary[[#This Row],[Inversión publicidad]],0)</f>
        <v>0</v>
      </c>
      <c r="AB136" s="14"/>
      <c r="AC136" s="12"/>
      <c r="AI13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3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36" s="12">
        <f ca="1">SUMIFS(TableDailySummary[Utilidad bruta],TableDailySummary[Fecha],"&gt;="&amp;TableWeeklySummary[[#This Row],[Desde]],TableDailySummary[Fecha],"&lt;="&amp;TableWeeklySummary[[#This Row],[Hasta]])</f>
        <v>0</v>
      </c>
      <c r="AL136" s="18">
        <f ca="1">IFERROR(TableWeeklySummary[[#This Row],[Utilidad bruta]]/TableWeeklySummary[[#This Row],[Ventas netas con costo registrado]],0)</f>
        <v>0</v>
      </c>
    </row>
    <row r="137" spans="2:38" x14ac:dyDescent="0.2">
      <c r="B137" s="16">
        <f ca="1">_xlfn.ISOWEEKNUM(TableWeeklySummary[[#This Row],[Hasta]])</f>
        <v>18</v>
      </c>
      <c r="C137" s="6">
        <f t="shared" ca="1" si="4"/>
        <v>46871</v>
      </c>
      <c r="D137" s="6">
        <f ca="1">TableWeeklySummary[[#This Row],[Desde]]+7-1</f>
        <v>46877</v>
      </c>
      <c r="E137" s="12">
        <f ca="1">SUMIFS(TableDailySummary[Ventas netas totales],TableDailySummary[Fecha],"&gt;="&amp;TableWeeklySummary[[#This Row],[Desde]],TableDailySummary[Fecha],"&lt;="&amp;TableWeeklySummary[[#This Row],[Hasta]])</f>
        <v>0</v>
      </c>
      <c r="F137" s="12">
        <f ca="1">SUMIFS(TableDailySummary[Órdenes totales],TableDailySummary[Fecha],"&gt;="&amp;TableWeeklySummary[[#This Row],[Desde]],TableDailySummary[Fecha],"&lt;="&amp;TableWeeklySummary[[#This Row],[Hasta]])</f>
        <v>0</v>
      </c>
      <c r="G137" s="12">
        <f ca="1">IFERROR(TableWeeklySummary[[#This Row],[Ventas netas totales]]/TableWeeklySummary[[#This Row],[Órdenes totales]],0)</f>
        <v>0</v>
      </c>
      <c r="H13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37" s="12">
        <f ca="1">TableWeeklySummary[[#This Row],[Órden promedio totales]]*TableWeeklySummary[[#This Row],[CR totales]]</f>
        <v>0</v>
      </c>
      <c r="J137" s="12">
        <f ca="1">SUMIFS(TableDailySummary[Ventas primer cliente],TableDailySummary[Fecha],"&gt;="&amp;TableWeeklySummary[[#This Row],[Desde]],TableDailySummary[Fecha],"&lt;="&amp;TableWeeklySummary[[#This Row],[Hasta]])</f>
        <v>0</v>
      </c>
      <c r="K137" s="12">
        <f ca="1">SUMIFS(TableDailySummary[Órdenes primer cliente],TableDailySummary[Fecha],"&gt;="&amp;TableWeeklySummary[[#This Row],[Desde]],TableDailySummary[Fecha],"&lt;="&amp;TableWeeklySummary[[#This Row],[Hasta]])</f>
        <v>0</v>
      </c>
      <c r="L137" s="12">
        <f ca="1">SUMIFS(TableDailySummary[Online Store_net_sales],TableDailySummary[Fecha],"&gt;="&amp;TableWeeklySummary[[#This Row],[Desde]],TableDailySummary[Fecha],"&lt;="&amp;TableWeeklySummary[[#This Row],[Hasta]])</f>
        <v>0</v>
      </c>
      <c r="M137" s="12">
        <f ca="1">SUMIFS(TableDailySummary[Online Store_orders],TableDailySummary[Fecha],"&gt;="&amp;TableWeeklySummary[[#This Row],[Desde]],TableDailySummary[Fecha],"&lt;="&amp;TableWeeklySummary[[#This Row],[Hasta]])</f>
        <v>0</v>
      </c>
      <c r="N137" s="12">
        <f ca="1">SUMIFS(TableDailySummary[Tienda 81_net_sales],TableDailySummary[Fecha],"&gt;="&amp;TableWeeklySummary[[#This Row],[Desde]],TableDailySummary[Fecha],"&lt;="&amp;TableWeeklySummary[[#This Row],[Hasta]])</f>
        <v>0</v>
      </c>
      <c r="O137" s="12">
        <f ca="1">SUMIFS(TableDailySummary[Tienda 81_orders],TableDailySummary[Fecha],"&gt;="&amp;TableWeeklySummary[[#This Row],[Desde]],TableDailySummary[Fecha],"&lt;="&amp;TableWeeklySummary[[#This Row],[Hasta]])</f>
        <v>0</v>
      </c>
      <c r="P137" s="12">
        <f ca="1">SUMIFS(TableDailySummary[Rappi_net_sales],TableDailySummary[Fecha],"&gt;="&amp;TableWeeklySummary[[#This Row],[Desde]],TableDailySummary[Fecha],"&lt;="&amp;TableWeeklySummary[[#This Row],[Hasta]])</f>
        <v>0</v>
      </c>
      <c r="Q137" s="12">
        <f ca="1">SUMIFS(TableDailySummary[Rappi_orders],TableDailySummary[Fecha],"&gt;="&amp;TableWeeklySummary[[#This Row],[Desde]],TableDailySummary[Fecha],"&lt;="&amp;TableWeeklySummary[[#This Row],[Hasta]])</f>
        <v>0</v>
      </c>
      <c r="R13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3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37" s="12">
        <f ca="1">SUMIFS(TableDailySummary[Inversión google ads],TableDailySummary[Fecha],"&gt;="&amp;TableWeeklySummary[[#This Row],[Desde]],TableDailySummary[Fecha],"&lt;="&amp;TableWeeklySummary[[#This Row],[Hasta]])</f>
        <v>0</v>
      </c>
      <c r="U137" s="12">
        <f ca="1">SUMIFS(TableDailySummary[Ventas google ads],TableDailySummary[Fecha],"&gt;="&amp;TableWeeklySummary[[#This Row],[Desde]],TableDailySummary[Fecha],"&lt;="&amp;TableWeeklySummary[[#This Row],[Hasta]])</f>
        <v>0</v>
      </c>
      <c r="V137" s="12">
        <f ca="1">SUMIFS(TableDailySummary[Inversión meta ads],TableDailySummary[Fecha],"&gt;="&amp;TableWeeklySummary[[#This Row],[Desde]],TableDailySummary[Fecha],"&lt;="&amp;TableWeeklySummary[[#This Row],[Hasta]])</f>
        <v>0</v>
      </c>
      <c r="W137" s="12">
        <f ca="1">SUMIFS(TableDailySummary[Ventas meta ads],TableDailySummary[Fecha],"&gt;="&amp;TableWeeklySummary[[#This Row],[Desde]],TableDailySummary[Fecha],"&lt;="&amp;TableWeeklySummary[[#This Row],[Hasta]])</f>
        <v>0</v>
      </c>
      <c r="X137" s="12">
        <f ca="1">TableWeeklySummary[[#This Row],[Inversión google ads]]+TableWeeklySummary[[#This Row],[Inversión meta ads]]</f>
        <v>0</v>
      </c>
      <c r="Y137" s="12">
        <f ca="1">TableWeeklySummary[[#This Row],[Ventas google ads]]+TableWeeklySummary[[#This Row],[Ventas meta ads]]</f>
        <v>0</v>
      </c>
      <c r="Z137" s="14">
        <f ca="1">IFERROR(TableWeeklySummary[[#This Row],[Ventas publicidad]]/TableWeeklySummary[[#This Row],[Inversión publicidad]],0)</f>
        <v>0</v>
      </c>
      <c r="AA137" s="14">
        <f ca="1">IFERROR(TableWeeklySummary[[#This Row],[Ventas primer cliente]]/TableWeeklySummary[[#This Row],[Inversión publicidad]],0)</f>
        <v>0</v>
      </c>
      <c r="AB137" s="14"/>
      <c r="AC137" s="12"/>
      <c r="AI13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3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37" s="12">
        <f ca="1">SUMIFS(TableDailySummary[Utilidad bruta],TableDailySummary[Fecha],"&gt;="&amp;TableWeeklySummary[[#This Row],[Desde]],TableDailySummary[Fecha],"&lt;="&amp;TableWeeklySummary[[#This Row],[Hasta]])</f>
        <v>0</v>
      </c>
      <c r="AL137" s="18">
        <f ca="1">IFERROR(TableWeeklySummary[[#This Row],[Utilidad bruta]]/TableWeeklySummary[[#This Row],[Ventas netas con costo registrado]],0)</f>
        <v>0</v>
      </c>
    </row>
    <row r="138" spans="2:38" x14ac:dyDescent="0.2">
      <c r="B138" s="16">
        <f ca="1">_xlfn.ISOWEEKNUM(TableWeeklySummary[[#This Row],[Hasta]])</f>
        <v>19</v>
      </c>
      <c r="C138" s="6">
        <f t="shared" ca="1" si="4"/>
        <v>46878</v>
      </c>
      <c r="D138" s="6">
        <f ca="1">TableWeeklySummary[[#This Row],[Desde]]+7-1</f>
        <v>46884</v>
      </c>
      <c r="E138" s="12">
        <f ca="1">SUMIFS(TableDailySummary[Ventas netas totales],TableDailySummary[Fecha],"&gt;="&amp;TableWeeklySummary[[#This Row],[Desde]],TableDailySummary[Fecha],"&lt;="&amp;TableWeeklySummary[[#This Row],[Hasta]])</f>
        <v>0</v>
      </c>
      <c r="F138" s="12">
        <f ca="1">SUMIFS(TableDailySummary[Órdenes totales],TableDailySummary[Fecha],"&gt;="&amp;TableWeeklySummary[[#This Row],[Desde]],TableDailySummary[Fecha],"&lt;="&amp;TableWeeklySummary[[#This Row],[Hasta]])</f>
        <v>0</v>
      </c>
      <c r="G138" s="12">
        <f ca="1">IFERROR(TableWeeklySummary[[#This Row],[Ventas netas totales]]/TableWeeklySummary[[#This Row],[Órdenes totales]],0)</f>
        <v>0</v>
      </c>
      <c r="H13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38" s="12">
        <f ca="1">TableWeeklySummary[[#This Row],[Órden promedio totales]]*TableWeeklySummary[[#This Row],[CR totales]]</f>
        <v>0</v>
      </c>
      <c r="J138" s="12">
        <f ca="1">SUMIFS(TableDailySummary[Ventas primer cliente],TableDailySummary[Fecha],"&gt;="&amp;TableWeeklySummary[[#This Row],[Desde]],TableDailySummary[Fecha],"&lt;="&amp;TableWeeklySummary[[#This Row],[Hasta]])</f>
        <v>0</v>
      </c>
      <c r="K138" s="12">
        <f ca="1">SUMIFS(TableDailySummary[Órdenes primer cliente],TableDailySummary[Fecha],"&gt;="&amp;TableWeeklySummary[[#This Row],[Desde]],TableDailySummary[Fecha],"&lt;="&amp;TableWeeklySummary[[#This Row],[Hasta]])</f>
        <v>0</v>
      </c>
      <c r="L138" s="12">
        <f ca="1">SUMIFS(TableDailySummary[Online Store_net_sales],TableDailySummary[Fecha],"&gt;="&amp;TableWeeklySummary[[#This Row],[Desde]],TableDailySummary[Fecha],"&lt;="&amp;TableWeeklySummary[[#This Row],[Hasta]])</f>
        <v>0</v>
      </c>
      <c r="M138" s="12">
        <f ca="1">SUMIFS(TableDailySummary[Online Store_orders],TableDailySummary[Fecha],"&gt;="&amp;TableWeeklySummary[[#This Row],[Desde]],TableDailySummary[Fecha],"&lt;="&amp;TableWeeklySummary[[#This Row],[Hasta]])</f>
        <v>0</v>
      </c>
      <c r="N138" s="12">
        <f ca="1">SUMIFS(TableDailySummary[Tienda 81_net_sales],TableDailySummary[Fecha],"&gt;="&amp;TableWeeklySummary[[#This Row],[Desde]],TableDailySummary[Fecha],"&lt;="&amp;TableWeeklySummary[[#This Row],[Hasta]])</f>
        <v>0</v>
      </c>
      <c r="O138" s="12">
        <f ca="1">SUMIFS(TableDailySummary[Tienda 81_orders],TableDailySummary[Fecha],"&gt;="&amp;TableWeeklySummary[[#This Row],[Desde]],TableDailySummary[Fecha],"&lt;="&amp;TableWeeklySummary[[#This Row],[Hasta]])</f>
        <v>0</v>
      </c>
      <c r="P138" s="12">
        <f ca="1">SUMIFS(TableDailySummary[Rappi_net_sales],TableDailySummary[Fecha],"&gt;="&amp;TableWeeklySummary[[#This Row],[Desde]],TableDailySummary[Fecha],"&lt;="&amp;TableWeeklySummary[[#This Row],[Hasta]])</f>
        <v>0</v>
      </c>
      <c r="Q138" s="12">
        <f ca="1">SUMIFS(TableDailySummary[Rappi_orders],TableDailySummary[Fecha],"&gt;="&amp;TableWeeklySummary[[#This Row],[Desde]],TableDailySummary[Fecha],"&lt;="&amp;TableWeeklySummary[[#This Row],[Hasta]])</f>
        <v>0</v>
      </c>
      <c r="R13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3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38" s="12">
        <f ca="1">SUMIFS(TableDailySummary[Inversión google ads],TableDailySummary[Fecha],"&gt;="&amp;TableWeeklySummary[[#This Row],[Desde]],TableDailySummary[Fecha],"&lt;="&amp;TableWeeklySummary[[#This Row],[Hasta]])</f>
        <v>0</v>
      </c>
      <c r="U138" s="12">
        <f ca="1">SUMIFS(TableDailySummary[Ventas google ads],TableDailySummary[Fecha],"&gt;="&amp;TableWeeklySummary[[#This Row],[Desde]],TableDailySummary[Fecha],"&lt;="&amp;TableWeeklySummary[[#This Row],[Hasta]])</f>
        <v>0</v>
      </c>
      <c r="V138" s="12">
        <f ca="1">SUMIFS(TableDailySummary[Inversión meta ads],TableDailySummary[Fecha],"&gt;="&amp;TableWeeklySummary[[#This Row],[Desde]],TableDailySummary[Fecha],"&lt;="&amp;TableWeeklySummary[[#This Row],[Hasta]])</f>
        <v>0</v>
      </c>
      <c r="W138" s="12">
        <f ca="1">SUMIFS(TableDailySummary[Ventas meta ads],TableDailySummary[Fecha],"&gt;="&amp;TableWeeklySummary[[#This Row],[Desde]],TableDailySummary[Fecha],"&lt;="&amp;TableWeeklySummary[[#This Row],[Hasta]])</f>
        <v>0</v>
      </c>
      <c r="X138" s="12">
        <f ca="1">TableWeeklySummary[[#This Row],[Inversión google ads]]+TableWeeklySummary[[#This Row],[Inversión meta ads]]</f>
        <v>0</v>
      </c>
      <c r="Y138" s="12">
        <f ca="1">TableWeeklySummary[[#This Row],[Ventas google ads]]+TableWeeklySummary[[#This Row],[Ventas meta ads]]</f>
        <v>0</v>
      </c>
      <c r="Z138" s="14">
        <f ca="1">IFERROR(TableWeeklySummary[[#This Row],[Ventas publicidad]]/TableWeeklySummary[[#This Row],[Inversión publicidad]],0)</f>
        <v>0</v>
      </c>
      <c r="AA138" s="14">
        <f ca="1">IFERROR(TableWeeklySummary[[#This Row],[Ventas primer cliente]]/TableWeeklySummary[[#This Row],[Inversión publicidad]],0)</f>
        <v>0</v>
      </c>
      <c r="AB138" s="14"/>
      <c r="AC138" s="12"/>
      <c r="AI13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3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38" s="12">
        <f ca="1">SUMIFS(TableDailySummary[Utilidad bruta],TableDailySummary[Fecha],"&gt;="&amp;TableWeeklySummary[[#This Row],[Desde]],TableDailySummary[Fecha],"&lt;="&amp;TableWeeklySummary[[#This Row],[Hasta]])</f>
        <v>0</v>
      </c>
      <c r="AL138" s="18">
        <f ca="1">IFERROR(TableWeeklySummary[[#This Row],[Utilidad bruta]]/TableWeeklySummary[[#This Row],[Ventas netas con costo registrado]],0)</f>
        <v>0</v>
      </c>
    </row>
    <row r="139" spans="2:38" x14ac:dyDescent="0.2">
      <c r="B139" s="16">
        <f ca="1">_xlfn.ISOWEEKNUM(TableWeeklySummary[[#This Row],[Hasta]])</f>
        <v>20</v>
      </c>
      <c r="C139" s="6">
        <f t="shared" ca="1" si="4"/>
        <v>46885</v>
      </c>
      <c r="D139" s="6">
        <f ca="1">TableWeeklySummary[[#This Row],[Desde]]+7-1</f>
        <v>46891</v>
      </c>
      <c r="E139" s="12">
        <f ca="1">SUMIFS(TableDailySummary[Ventas netas totales],TableDailySummary[Fecha],"&gt;="&amp;TableWeeklySummary[[#This Row],[Desde]],TableDailySummary[Fecha],"&lt;="&amp;TableWeeklySummary[[#This Row],[Hasta]])</f>
        <v>0</v>
      </c>
      <c r="F139" s="12">
        <f ca="1">SUMIFS(TableDailySummary[Órdenes totales],TableDailySummary[Fecha],"&gt;="&amp;TableWeeklySummary[[#This Row],[Desde]],TableDailySummary[Fecha],"&lt;="&amp;TableWeeklySummary[[#This Row],[Hasta]])</f>
        <v>0</v>
      </c>
      <c r="G139" s="12">
        <f ca="1">IFERROR(TableWeeklySummary[[#This Row],[Ventas netas totales]]/TableWeeklySummary[[#This Row],[Órdenes totales]],0)</f>
        <v>0</v>
      </c>
      <c r="H13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39" s="12">
        <f ca="1">TableWeeklySummary[[#This Row],[Órden promedio totales]]*TableWeeklySummary[[#This Row],[CR totales]]</f>
        <v>0</v>
      </c>
      <c r="J139" s="12">
        <f ca="1">SUMIFS(TableDailySummary[Ventas primer cliente],TableDailySummary[Fecha],"&gt;="&amp;TableWeeklySummary[[#This Row],[Desde]],TableDailySummary[Fecha],"&lt;="&amp;TableWeeklySummary[[#This Row],[Hasta]])</f>
        <v>0</v>
      </c>
      <c r="K139" s="12">
        <f ca="1">SUMIFS(TableDailySummary[Órdenes primer cliente],TableDailySummary[Fecha],"&gt;="&amp;TableWeeklySummary[[#This Row],[Desde]],TableDailySummary[Fecha],"&lt;="&amp;TableWeeklySummary[[#This Row],[Hasta]])</f>
        <v>0</v>
      </c>
      <c r="L139" s="12">
        <f ca="1">SUMIFS(TableDailySummary[Online Store_net_sales],TableDailySummary[Fecha],"&gt;="&amp;TableWeeklySummary[[#This Row],[Desde]],TableDailySummary[Fecha],"&lt;="&amp;TableWeeklySummary[[#This Row],[Hasta]])</f>
        <v>0</v>
      </c>
      <c r="M139" s="12">
        <f ca="1">SUMIFS(TableDailySummary[Online Store_orders],TableDailySummary[Fecha],"&gt;="&amp;TableWeeklySummary[[#This Row],[Desde]],TableDailySummary[Fecha],"&lt;="&amp;TableWeeklySummary[[#This Row],[Hasta]])</f>
        <v>0</v>
      </c>
      <c r="N139" s="12">
        <f ca="1">SUMIFS(TableDailySummary[Tienda 81_net_sales],TableDailySummary[Fecha],"&gt;="&amp;TableWeeklySummary[[#This Row],[Desde]],TableDailySummary[Fecha],"&lt;="&amp;TableWeeklySummary[[#This Row],[Hasta]])</f>
        <v>0</v>
      </c>
      <c r="O139" s="12">
        <f ca="1">SUMIFS(TableDailySummary[Tienda 81_orders],TableDailySummary[Fecha],"&gt;="&amp;TableWeeklySummary[[#This Row],[Desde]],TableDailySummary[Fecha],"&lt;="&amp;TableWeeklySummary[[#This Row],[Hasta]])</f>
        <v>0</v>
      </c>
      <c r="P139" s="12">
        <f ca="1">SUMIFS(TableDailySummary[Rappi_net_sales],TableDailySummary[Fecha],"&gt;="&amp;TableWeeklySummary[[#This Row],[Desde]],TableDailySummary[Fecha],"&lt;="&amp;TableWeeklySummary[[#This Row],[Hasta]])</f>
        <v>0</v>
      </c>
      <c r="Q139" s="12">
        <f ca="1">SUMIFS(TableDailySummary[Rappi_orders],TableDailySummary[Fecha],"&gt;="&amp;TableWeeklySummary[[#This Row],[Desde]],TableDailySummary[Fecha],"&lt;="&amp;TableWeeklySummary[[#This Row],[Hasta]])</f>
        <v>0</v>
      </c>
      <c r="R13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3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39" s="12">
        <f ca="1">SUMIFS(TableDailySummary[Inversión google ads],TableDailySummary[Fecha],"&gt;="&amp;TableWeeklySummary[[#This Row],[Desde]],TableDailySummary[Fecha],"&lt;="&amp;TableWeeklySummary[[#This Row],[Hasta]])</f>
        <v>0</v>
      </c>
      <c r="U139" s="12">
        <f ca="1">SUMIFS(TableDailySummary[Ventas google ads],TableDailySummary[Fecha],"&gt;="&amp;TableWeeklySummary[[#This Row],[Desde]],TableDailySummary[Fecha],"&lt;="&amp;TableWeeklySummary[[#This Row],[Hasta]])</f>
        <v>0</v>
      </c>
      <c r="V139" s="12">
        <f ca="1">SUMIFS(TableDailySummary[Inversión meta ads],TableDailySummary[Fecha],"&gt;="&amp;TableWeeklySummary[[#This Row],[Desde]],TableDailySummary[Fecha],"&lt;="&amp;TableWeeklySummary[[#This Row],[Hasta]])</f>
        <v>0</v>
      </c>
      <c r="W139" s="12">
        <f ca="1">SUMIFS(TableDailySummary[Ventas meta ads],TableDailySummary[Fecha],"&gt;="&amp;TableWeeklySummary[[#This Row],[Desde]],TableDailySummary[Fecha],"&lt;="&amp;TableWeeklySummary[[#This Row],[Hasta]])</f>
        <v>0</v>
      </c>
      <c r="X139" s="12">
        <f ca="1">TableWeeklySummary[[#This Row],[Inversión google ads]]+TableWeeklySummary[[#This Row],[Inversión meta ads]]</f>
        <v>0</v>
      </c>
      <c r="Y139" s="12">
        <f ca="1">TableWeeklySummary[[#This Row],[Ventas google ads]]+TableWeeklySummary[[#This Row],[Ventas meta ads]]</f>
        <v>0</v>
      </c>
      <c r="Z139" s="14">
        <f ca="1">IFERROR(TableWeeklySummary[[#This Row],[Ventas publicidad]]/TableWeeklySummary[[#This Row],[Inversión publicidad]],0)</f>
        <v>0</v>
      </c>
      <c r="AA139" s="14">
        <f ca="1">IFERROR(TableWeeklySummary[[#This Row],[Ventas primer cliente]]/TableWeeklySummary[[#This Row],[Inversión publicidad]],0)</f>
        <v>0</v>
      </c>
      <c r="AB139" s="14"/>
      <c r="AC139" s="12"/>
      <c r="AI13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3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39" s="12">
        <f ca="1">SUMIFS(TableDailySummary[Utilidad bruta],TableDailySummary[Fecha],"&gt;="&amp;TableWeeklySummary[[#This Row],[Desde]],TableDailySummary[Fecha],"&lt;="&amp;TableWeeklySummary[[#This Row],[Hasta]])</f>
        <v>0</v>
      </c>
      <c r="AL139" s="18">
        <f ca="1">IFERROR(TableWeeklySummary[[#This Row],[Utilidad bruta]]/TableWeeklySummary[[#This Row],[Ventas netas con costo registrado]],0)</f>
        <v>0</v>
      </c>
    </row>
    <row r="140" spans="2:38" x14ac:dyDescent="0.2">
      <c r="B140" s="16">
        <f ca="1">_xlfn.ISOWEEKNUM(TableWeeklySummary[[#This Row],[Hasta]])</f>
        <v>21</v>
      </c>
      <c r="C140" s="6">
        <f t="shared" ca="1" si="4"/>
        <v>46892</v>
      </c>
      <c r="D140" s="6">
        <f ca="1">TableWeeklySummary[[#This Row],[Desde]]+7-1</f>
        <v>46898</v>
      </c>
      <c r="E140" s="12">
        <f ca="1">SUMIFS(TableDailySummary[Ventas netas totales],TableDailySummary[Fecha],"&gt;="&amp;TableWeeklySummary[[#This Row],[Desde]],TableDailySummary[Fecha],"&lt;="&amp;TableWeeklySummary[[#This Row],[Hasta]])</f>
        <v>0</v>
      </c>
      <c r="F140" s="12">
        <f ca="1">SUMIFS(TableDailySummary[Órdenes totales],TableDailySummary[Fecha],"&gt;="&amp;TableWeeklySummary[[#This Row],[Desde]],TableDailySummary[Fecha],"&lt;="&amp;TableWeeklySummary[[#This Row],[Hasta]])</f>
        <v>0</v>
      </c>
      <c r="G140" s="12">
        <f ca="1">IFERROR(TableWeeklySummary[[#This Row],[Ventas netas totales]]/TableWeeklySummary[[#This Row],[Órdenes totales]],0)</f>
        <v>0</v>
      </c>
      <c r="H14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40" s="12">
        <f ca="1">TableWeeklySummary[[#This Row],[Órden promedio totales]]*TableWeeklySummary[[#This Row],[CR totales]]</f>
        <v>0</v>
      </c>
      <c r="J140" s="12">
        <f ca="1">SUMIFS(TableDailySummary[Ventas primer cliente],TableDailySummary[Fecha],"&gt;="&amp;TableWeeklySummary[[#This Row],[Desde]],TableDailySummary[Fecha],"&lt;="&amp;TableWeeklySummary[[#This Row],[Hasta]])</f>
        <v>0</v>
      </c>
      <c r="K140" s="12">
        <f ca="1">SUMIFS(TableDailySummary[Órdenes primer cliente],TableDailySummary[Fecha],"&gt;="&amp;TableWeeklySummary[[#This Row],[Desde]],TableDailySummary[Fecha],"&lt;="&amp;TableWeeklySummary[[#This Row],[Hasta]])</f>
        <v>0</v>
      </c>
      <c r="L140" s="12">
        <f ca="1">SUMIFS(TableDailySummary[Online Store_net_sales],TableDailySummary[Fecha],"&gt;="&amp;TableWeeklySummary[[#This Row],[Desde]],TableDailySummary[Fecha],"&lt;="&amp;TableWeeklySummary[[#This Row],[Hasta]])</f>
        <v>0</v>
      </c>
      <c r="M140" s="12">
        <f ca="1">SUMIFS(TableDailySummary[Online Store_orders],TableDailySummary[Fecha],"&gt;="&amp;TableWeeklySummary[[#This Row],[Desde]],TableDailySummary[Fecha],"&lt;="&amp;TableWeeklySummary[[#This Row],[Hasta]])</f>
        <v>0</v>
      </c>
      <c r="N140" s="12">
        <f ca="1">SUMIFS(TableDailySummary[Tienda 81_net_sales],TableDailySummary[Fecha],"&gt;="&amp;TableWeeklySummary[[#This Row],[Desde]],TableDailySummary[Fecha],"&lt;="&amp;TableWeeklySummary[[#This Row],[Hasta]])</f>
        <v>0</v>
      </c>
      <c r="O140" s="12">
        <f ca="1">SUMIFS(TableDailySummary[Tienda 81_orders],TableDailySummary[Fecha],"&gt;="&amp;TableWeeklySummary[[#This Row],[Desde]],TableDailySummary[Fecha],"&lt;="&amp;TableWeeklySummary[[#This Row],[Hasta]])</f>
        <v>0</v>
      </c>
      <c r="P140" s="12">
        <f ca="1">SUMIFS(TableDailySummary[Rappi_net_sales],TableDailySummary[Fecha],"&gt;="&amp;TableWeeklySummary[[#This Row],[Desde]],TableDailySummary[Fecha],"&lt;="&amp;TableWeeklySummary[[#This Row],[Hasta]])</f>
        <v>0</v>
      </c>
      <c r="Q140" s="12">
        <f ca="1">SUMIFS(TableDailySummary[Rappi_orders],TableDailySummary[Fecha],"&gt;="&amp;TableWeeklySummary[[#This Row],[Desde]],TableDailySummary[Fecha],"&lt;="&amp;TableWeeklySummary[[#This Row],[Hasta]])</f>
        <v>0</v>
      </c>
      <c r="R14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4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40" s="12">
        <f ca="1">SUMIFS(TableDailySummary[Inversión google ads],TableDailySummary[Fecha],"&gt;="&amp;TableWeeklySummary[[#This Row],[Desde]],TableDailySummary[Fecha],"&lt;="&amp;TableWeeklySummary[[#This Row],[Hasta]])</f>
        <v>0</v>
      </c>
      <c r="U140" s="12">
        <f ca="1">SUMIFS(TableDailySummary[Ventas google ads],TableDailySummary[Fecha],"&gt;="&amp;TableWeeklySummary[[#This Row],[Desde]],TableDailySummary[Fecha],"&lt;="&amp;TableWeeklySummary[[#This Row],[Hasta]])</f>
        <v>0</v>
      </c>
      <c r="V140" s="12">
        <f ca="1">SUMIFS(TableDailySummary[Inversión meta ads],TableDailySummary[Fecha],"&gt;="&amp;TableWeeklySummary[[#This Row],[Desde]],TableDailySummary[Fecha],"&lt;="&amp;TableWeeklySummary[[#This Row],[Hasta]])</f>
        <v>0</v>
      </c>
      <c r="W140" s="12">
        <f ca="1">SUMIFS(TableDailySummary[Ventas meta ads],TableDailySummary[Fecha],"&gt;="&amp;TableWeeklySummary[[#This Row],[Desde]],TableDailySummary[Fecha],"&lt;="&amp;TableWeeklySummary[[#This Row],[Hasta]])</f>
        <v>0</v>
      </c>
      <c r="X140" s="12">
        <f ca="1">TableWeeklySummary[[#This Row],[Inversión google ads]]+TableWeeklySummary[[#This Row],[Inversión meta ads]]</f>
        <v>0</v>
      </c>
      <c r="Y140" s="12">
        <f ca="1">TableWeeklySummary[[#This Row],[Ventas google ads]]+TableWeeklySummary[[#This Row],[Ventas meta ads]]</f>
        <v>0</v>
      </c>
      <c r="Z140" s="14">
        <f ca="1">IFERROR(TableWeeklySummary[[#This Row],[Ventas publicidad]]/TableWeeklySummary[[#This Row],[Inversión publicidad]],0)</f>
        <v>0</v>
      </c>
      <c r="AA140" s="14">
        <f ca="1">IFERROR(TableWeeklySummary[[#This Row],[Ventas primer cliente]]/TableWeeklySummary[[#This Row],[Inversión publicidad]],0)</f>
        <v>0</v>
      </c>
      <c r="AB140" s="14"/>
      <c r="AC140" s="12"/>
      <c r="AI14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4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40" s="12">
        <f ca="1">SUMIFS(TableDailySummary[Utilidad bruta],TableDailySummary[Fecha],"&gt;="&amp;TableWeeklySummary[[#This Row],[Desde]],TableDailySummary[Fecha],"&lt;="&amp;TableWeeklySummary[[#This Row],[Hasta]])</f>
        <v>0</v>
      </c>
      <c r="AL140" s="18">
        <f ca="1">IFERROR(TableWeeklySummary[[#This Row],[Utilidad bruta]]/TableWeeklySummary[[#This Row],[Ventas netas con costo registrado]],0)</f>
        <v>0</v>
      </c>
    </row>
    <row r="141" spans="2:38" x14ac:dyDescent="0.2">
      <c r="B141" s="16">
        <f ca="1">_xlfn.ISOWEEKNUM(TableWeeklySummary[[#This Row],[Hasta]])</f>
        <v>22</v>
      </c>
      <c r="C141" s="6">
        <f t="shared" ca="1" si="4"/>
        <v>46899</v>
      </c>
      <c r="D141" s="6">
        <f ca="1">TableWeeklySummary[[#This Row],[Desde]]+7-1</f>
        <v>46905</v>
      </c>
      <c r="E141" s="12">
        <f ca="1">SUMIFS(TableDailySummary[Ventas netas totales],TableDailySummary[Fecha],"&gt;="&amp;TableWeeklySummary[[#This Row],[Desde]],TableDailySummary[Fecha],"&lt;="&amp;TableWeeklySummary[[#This Row],[Hasta]])</f>
        <v>0</v>
      </c>
      <c r="F141" s="12">
        <f ca="1">SUMIFS(TableDailySummary[Órdenes totales],TableDailySummary[Fecha],"&gt;="&amp;TableWeeklySummary[[#This Row],[Desde]],TableDailySummary[Fecha],"&lt;="&amp;TableWeeklySummary[[#This Row],[Hasta]])</f>
        <v>0</v>
      </c>
      <c r="G141" s="12">
        <f ca="1">IFERROR(TableWeeklySummary[[#This Row],[Ventas netas totales]]/TableWeeklySummary[[#This Row],[Órdenes totales]],0)</f>
        <v>0</v>
      </c>
      <c r="H14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41" s="12">
        <f ca="1">TableWeeklySummary[[#This Row],[Órden promedio totales]]*TableWeeklySummary[[#This Row],[CR totales]]</f>
        <v>0</v>
      </c>
      <c r="J141" s="12">
        <f ca="1">SUMIFS(TableDailySummary[Ventas primer cliente],TableDailySummary[Fecha],"&gt;="&amp;TableWeeklySummary[[#This Row],[Desde]],TableDailySummary[Fecha],"&lt;="&amp;TableWeeklySummary[[#This Row],[Hasta]])</f>
        <v>0</v>
      </c>
      <c r="K141" s="12">
        <f ca="1">SUMIFS(TableDailySummary[Órdenes primer cliente],TableDailySummary[Fecha],"&gt;="&amp;TableWeeklySummary[[#This Row],[Desde]],TableDailySummary[Fecha],"&lt;="&amp;TableWeeklySummary[[#This Row],[Hasta]])</f>
        <v>0</v>
      </c>
      <c r="L141" s="12">
        <f ca="1">SUMIFS(TableDailySummary[Online Store_net_sales],TableDailySummary[Fecha],"&gt;="&amp;TableWeeklySummary[[#This Row],[Desde]],TableDailySummary[Fecha],"&lt;="&amp;TableWeeklySummary[[#This Row],[Hasta]])</f>
        <v>0</v>
      </c>
      <c r="M141" s="12">
        <f ca="1">SUMIFS(TableDailySummary[Online Store_orders],TableDailySummary[Fecha],"&gt;="&amp;TableWeeklySummary[[#This Row],[Desde]],TableDailySummary[Fecha],"&lt;="&amp;TableWeeklySummary[[#This Row],[Hasta]])</f>
        <v>0</v>
      </c>
      <c r="N141" s="12">
        <f ca="1">SUMIFS(TableDailySummary[Tienda 81_net_sales],TableDailySummary[Fecha],"&gt;="&amp;TableWeeklySummary[[#This Row],[Desde]],TableDailySummary[Fecha],"&lt;="&amp;TableWeeklySummary[[#This Row],[Hasta]])</f>
        <v>0</v>
      </c>
      <c r="O141" s="12">
        <f ca="1">SUMIFS(TableDailySummary[Tienda 81_orders],TableDailySummary[Fecha],"&gt;="&amp;TableWeeklySummary[[#This Row],[Desde]],TableDailySummary[Fecha],"&lt;="&amp;TableWeeklySummary[[#This Row],[Hasta]])</f>
        <v>0</v>
      </c>
      <c r="P141" s="12">
        <f ca="1">SUMIFS(TableDailySummary[Rappi_net_sales],TableDailySummary[Fecha],"&gt;="&amp;TableWeeklySummary[[#This Row],[Desde]],TableDailySummary[Fecha],"&lt;="&amp;TableWeeklySummary[[#This Row],[Hasta]])</f>
        <v>0</v>
      </c>
      <c r="Q141" s="12">
        <f ca="1">SUMIFS(TableDailySummary[Rappi_orders],TableDailySummary[Fecha],"&gt;="&amp;TableWeeklySummary[[#This Row],[Desde]],TableDailySummary[Fecha],"&lt;="&amp;TableWeeklySummary[[#This Row],[Hasta]])</f>
        <v>0</v>
      </c>
      <c r="R14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4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41" s="12">
        <f ca="1">SUMIFS(TableDailySummary[Inversión google ads],TableDailySummary[Fecha],"&gt;="&amp;TableWeeklySummary[[#This Row],[Desde]],TableDailySummary[Fecha],"&lt;="&amp;TableWeeklySummary[[#This Row],[Hasta]])</f>
        <v>0</v>
      </c>
      <c r="U141" s="12">
        <f ca="1">SUMIFS(TableDailySummary[Ventas google ads],TableDailySummary[Fecha],"&gt;="&amp;TableWeeklySummary[[#This Row],[Desde]],TableDailySummary[Fecha],"&lt;="&amp;TableWeeklySummary[[#This Row],[Hasta]])</f>
        <v>0</v>
      </c>
      <c r="V141" s="12">
        <f ca="1">SUMIFS(TableDailySummary[Inversión meta ads],TableDailySummary[Fecha],"&gt;="&amp;TableWeeklySummary[[#This Row],[Desde]],TableDailySummary[Fecha],"&lt;="&amp;TableWeeklySummary[[#This Row],[Hasta]])</f>
        <v>0</v>
      </c>
      <c r="W141" s="12">
        <f ca="1">SUMIFS(TableDailySummary[Ventas meta ads],TableDailySummary[Fecha],"&gt;="&amp;TableWeeklySummary[[#This Row],[Desde]],TableDailySummary[Fecha],"&lt;="&amp;TableWeeklySummary[[#This Row],[Hasta]])</f>
        <v>0</v>
      </c>
      <c r="X141" s="12">
        <f ca="1">TableWeeklySummary[[#This Row],[Inversión google ads]]+TableWeeklySummary[[#This Row],[Inversión meta ads]]</f>
        <v>0</v>
      </c>
      <c r="Y141" s="12">
        <f ca="1">TableWeeklySummary[[#This Row],[Ventas google ads]]+TableWeeklySummary[[#This Row],[Ventas meta ads]]</f>
        <v>0</v>
      </c>
      <c r="Z141" s="14">
        <f ca="1">IFERROR(TableWeeklySummary[[#This Row],[Ventas publicidad]]/TableWeeklySummary[[#This Row],[Inversión publicidad]],0)</f>
        <v>0</v>
      </c>
      <c r="AA141" s="14">
        <f ca="1">IFERROR(TableWeeklySummary[[#This Row],[Ventas primer cliente]]/TableWeeklySummary[[#This Row],[Inversión publicidad]],0)</f>
        <v>0</v>
      </c>
      <c r="AB141" s="14"/>
      <c r="AC141" s="12"/>
      <c r="AI14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4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41" s="12">
        <f ca="1">SUMIFS(TableDailySummary[Utilidad bruta],TableDailySummary[Fecha],"&gt;="&amp;TableWeeklySummary[[#This Row],[Desde]],TableDailySummary[Fecha],"&lt;="&amp;TableWeeklySummary[[#This Row],[Hasta]])</f>
        <v>0</v>
      </c>
      <c r="AL141" s="18">
        <f ca="1">IFERROR(TableWeeklySummary[[#This Row],[Utilidad bruta]]/TableWeeklySummary[[#This Row],[Ventas netas con costo registrado]],0)</f>
        <v>0</v>
      </c>
    </row>
    <row r="142" spans="2:38" x14ac:dyDescent="0.2">
      <c r="B142" s="16">
        <f ca="1">_xlfn.ISOWEEKNUM(TableWeeklySummary[[#This Row],[Hasta]])</f>
        <v>23</v>
      </c>
      <c r="C142" s="6">
        <f t="shared" ca="1" si="4"/>
        <v>46906</v>
      </c>
      <c r="D142" s="6">
        <f ca="1">TableWeeklySummary[[#This Row],[Desde]]+7-1</f>
        <v>46912</v>
      </c>
      <c r="E142" s="12">
        <f ca="1">SUMIFS(TableDailySummary[Ventas netas totales],TableDailySummary[Fecha],"&gt;="&amp;TableWeeklySummary[[#This Row],[Desde]],TableDailySummary[Fecha],"&lt;="&amp;TableWeeklySummary[[#This Row],[Hasta]])</f>
        <v>0</v>
      </c>
      <c r="F142" s="12">
        <f ca="1">SUMIFS(TableDailySummary[Órdenes totales],TableDailySummary[Fecha],"&gt;="&amp;TableWeeklySummary[[#This Row],[Desde]],TableDailySummary[Fecha],"&lt;="&amp;TableWeeklySummary[[#This Row],[Hasta]])</f>
        <v>0</v>
      </c>
      <c r="G142" s="12">
        <f ca="1">IFERROR(TableWeeklySummary[[#This Row],[Ventas netas totales]]/TableWeeklySummary[[#This Row],[Órdenes totales]],0)</f>
        <v>0</v>
      </c>
      <c r="H14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42" s="12">
        <f ca="1">TableWeeklySummary[[#This Row],[Órden promedio totales]]*TableWeeklySummary[[#This Row],[CR totales]]</f>
        <v>0</v>
      </c>
      <c r="J142" s="12">
        <f ca="1">SUMIFS(TableDailySummary[Ventas primer cliente],TableDailySummary[Fecha],"&gt;="&amp;TableWeeklySummary[[#This Row],[Desde]],TableDailySummary[Fecha],"&lt;="&amp;TableWeeklySummary[[#This Row],[Hasta]])</f>
        <v>0</v>
      </c>
      <c r="K142" s="12">
        <f ca="1">SUMIFS(TableDailySummary[Órdenes primer cliente],TableDailySummary[Fecha],"&gt;="&amp;TableWeeklySummary[[#This Row],[Desde]],TableDailySummary[Fecha],"&lt;="&amp;TableWeeklySummary[[#This Row],[Hasta]])</f>
        <v>0</v>
      </c>
      <c r="L142" s="12">
        <f ca="1">SUMIFS(TableDailySummary[Online Store_net_sales],TableDailySummary[Fecha],"&gt;="&amp;TableWeeklySummary[[#This Row],[Desde]],TableDailySummary[Fecha],"&lt;="&amp;TableWeeklySummary[[#This Row],[Hasta]])</f>
        <v>0</v>
      </c>
      <c r="M142" s="12">
        <f ca="1">SUMIFS(TableDailySummary[Online Store_orders],TableDailySummary[Fecha],"&gt;="&amp;TableWeeklySummary[[#This Row],[Desde]],TableDailySummary[Fecha],"&lt;="&amp;TableWeeklySummary[[#This Row],[Hasta]])</f>
        <v>0</v>
      </c>
      <c r="N142" s="12">
        <f ca="1">SUMIFS(TableDailySummary[Tienda 81_net_sales],TableDailySummary[Fecha],"&gt;="&amp;TableWeeklySummary[[#This Row],[Desde]],TableDailySummary[Fecha],"&lt;="&amp;TableWeeklySummary[[#This Row],[Hasta]])</f>
        <v>0</v>
      </c>
      <c r="O142" s="12">
        <f ca="1">SUMIFS(TableDailySummary[Tienda 81_orders],TableDailySummary[Fecha],"&gt;="&amp;TableWeeklySummary[[#This Row],[Desde]],TableDailySummary[Fecha],"&lt;="&amp;TableWeeklySummary[[#This Row],[Hasta]])</f>
        <v>0</v>
      </c>
      <c r="P142" s="12">
        <f ca="1">SUMIFS(TableDailySummary[Rappi_net_sales],TableDailySummary[Fecha],"&gt;="&amp;TableWeeklySummary[[#This Row],[Desde]],TableDailySummary[Fecha],"&lt;="&amp;TableWeeklySummary[[#This Row],[Hasta]])</f>
        <v>0</v>
      </c>
      <c r="Q142" s="12">
        <f ca="1">SUMIFS(TableDailySummary[Rappi_orders],TableDailySummary[Fecha],"&gt;="&amp;TableWeeklySummary[[#This Row],[Desde]],TableDailySummary[Fecha],"&lt;="&amp;TableWeeklySummary[[#This Row],[Hasta]])</f>
        <v>0</v>
      </c>
      <c r="R14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4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42" s="12">
        <f ca="1">SUMIFS(TableDailySummary[Inversión google ads],TableDailySummary[Fecha],"&gt;="&amp;TableWeeklySummary[[#This Row],[Desde]],TableDailySummary[Fecha],"&lt;="&amp;TableWeeklySummary[[#This Row],[Hasta]])</f>
        <v>0</v>
      </c>
      <c r="U142" s="12">
        <f ca="1">SUMIFS(TableDailySummary[Ventas google ads],TableDailySummary[Fecha],"&gt;="&amp;TableWeeklySummary[[#This Row],[Desde]],TableDailySummary[Fecha],"&lt;="&amp;TableWeeklySummary[[#This Row],[Hasta]])</f>
        <v>0</v>
      </c>
      <c r="V142" s="12">
        <f ca="1">SUMIFS(TableDailySummary[Inversión meta ads],TableDailySummary[Fecha],"&gt;="&amp;TableWeeklySummary[[#This Row],[Desde]],TableDailySummary[Fecha],"&lt;="&amp;TableWeeklySummary[[#This Row],[Hasta]])</f>
        <v>0</v>
      </c>
      <c r="W142" s="12">
        <f ca="1">SUMIFS(TableDailySummary[Ventas meta ads],TableDailySummary[Fecha],"&gt;="&amp;TableWeeklySummary[[#This Row],[Desde]],TableDailySummary[Fecha],"&lt;="&amp;TableWeeklySummary[[#This Row],[Hasta]])</f>
        <v>0</v>
      </c>
      <c r="X142" s="12">
        <f ca="1">TableWeeklySummary[[#This Row],[Inversión google ads]]+TableWeeklySummary[[#This Row],[Inversión meta ads]]</f>
        <v>0</v>
      </c>
      <c r="Y142" s="12">
        <f ca="1">TableWeeklySummary[[#This Row],[Ventas google ads]]+TableWeeklySummary[[#This Row],[Ventas meta ads]]</f>
        <v>0</v>
      </c>
      <c r="Z142" s="14">
        <f ca="1">IFERROR(TableWeeklySummary[[#This Row],[Ventas publicidad]]/TableWeeklySummary[[#This Row],[Inversión publicidad]],0)</f>
        <v>0</v>
      </c>
      <c r="AA142" s="14">
        <f ca="1">IFERROR(TableWeeklySummary[[#This Row],[Ventas primer cliente]]/TableWeeklySummary[[#This Row],[Inversión publicidad]],0)</f>
        <v>0</v>
      </c>
      <c r="AB142" s="14"/>
      <c r="AC142" s="12"/>
      <c r="AI14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4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42" s="12">
        <f ca="1">SUMIFS(TableDailySummary[Utilidad bruta],TableDailySummary[Fecha],"&gt;="&amp;TableWeeklySummary[[#This Row],[Desde]],TableDailySummary[Fecha],"&lt;="&amp;TableWeeklySummary[[#This Row],[Hasta]])</f>
        <v>0</v>
      </c>
      <c r="AL142" s="18">
        <f ca="1">IFERROR(TableWeeklySummary[[#This Row],[Utilidad bruta]]/TableWeeklySummary[[#This Row],[Ventas netas con costo registrado]],0)</f>
        <v>0</v>
      </c>
    </row>
    <row r="143" spans="2:38" x14ac:dyDescent="0.2">
      <c r="B143" s="16">
        <f ca="1">_xlfn.ISOWEEKNUM(TableWeeklySummary[[#This Row],[Hasta]])</f>
        <v>24</v>
      </c>
      <c r="C143" s="6">
        <f t="shared" ca="1" si="4"/>
        <v>46913</v>
      </c>
      <c r="D143" s="6">
        <f ca="1">TableWeeklySummary[[#This Row],[Desde]]+7-1</f>
        <v>46919</v>
      </c>
      <c r="E143" s="12">
        <f ca="1">SUMIFS(TableDailySummary[Ventas netas totales],TableDailySummary[Fecha],"&gt;="&amp;TableWeeklySummary[[#This Row],[Desde]],TableDailySummary[Fecha],"&lt;="&amp;TableWeeklySummary[[#This Row],[Hasta]])</f>
        <v>0</v>
      </c>
      <c r="F143" s="12">
        <f ca="1">SUMIFS(TableDailySummary[Órdenes totales],TableDailySummary[Fecha],"&gt;="&amp;TableWeeklySummary[[#This Row],[Desde]],TableDailySummary[Fecha],"&lt;="&amp;TableWeeklySummary[[#This Row],[Hasta]])</f>
        <v>0</v>
      </c>
      <c r="G143" s="12">
        <f ca="1">IFERROR(TableWeeklySummary[[#This Row],[Ventas netas totales]]/TableWeeklySummary[[#This Row],[Órdenes totales]],0)</f>
        <v>0</v>
      </c>
      <c r="H14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43" s="12">
        <f ca="1">TableWeeklySummary[[#This Row],[Órden promedio totales]]*TableWeeklySummary[[#This Row],[CR totales]]</f>
        <v>0</v>
      </c>
      <c r="J143" s="12">
        <f ca="1">SUMIFS(TableDailySummary[Ventas primer cliente],TableDailySummary[Fecha],"&gt;="&amp;TableWeeklySummary[[#This Row],[Desde]],TableDailySummary[Fecha],"&lt;="&amp;TableWeeklySummary[[#This Row],[Hasta]])</f>
        <v>0</v>
      </c>
      <c r="K143" s="12">
        <f ca="1">SUMIFS(TableDailySummary[Órdenes primer cliente],TableDailySummary[Fecha],"&gt;="&amp;TableWeeklySummary[[#This Row],[Desde]],TableDailySummary[Fecha],"&lt;="&amp;TableWeeklySummary[[#This Row],[Hasta]])</f>
        <v>0</v>
      </c>
      <c r="L143" s="12">
        <f ca="1">SUMIFS(TableDailySummary[Online Store_net_sales],TableDailySummary[Fecha],"&gt;="&amp;TableWeeklySummary[[#This Row],[Desde]],TableDailySummary[Fecha],"&lt;="&amp;TableWeeklySummary[[#This Row],[Hasta]])</f>
        <v>0</v>
      </c>
      <c r="M143" s="12">
        <f ca="1">SUMIFS(TableDailySummary[Online Store_orders],TableDailySummary[Fecha],"&gt;="&amp;TableWeeklySummary[[#This Row],[Desde]],TableDailySummary[Fecha],"&lt;="&amp;TableWeeklySummary[[#This Row],[Hasta]])</f>
        <v>0</v>
      </c>
      <c r="N143" s="12">
        <f ca="1">SUMIFS(TableDailySummary[Tienda 81_net_sales],TableDailySummary[Fecha],"&gt;="&amp;TableWeeklySummary[[#This Row],[Desde]],TableDailySummary[Fecha],"&lt;="&amp;TableWeeklySummary[[#This Row],[Hasta]])</f>
        <v>0</v>
      </c>
      <c r="O143" s="12">
        <f ca="1">SUMIFS(TableDailySummary[Tienda 81_orders],TableDailySummary[Fecha],"&gt;="&amp;TableWeeklySummary[[#This Row],[Desde]],TableDailySummary[Fecha],"&lt;="&amp;TableWeeklySummary[[#This Row],[Hasta]])</f>
        <v>0</v>
      </c>
      <c r="P143" s="12">
        <f ca="1">SUMIFS(TableDailySummary[Rappi_net_sales],TableDailySummary[Fecha],"&gt;="&amp;TableWeeklySummary[[#This Row],[Desde]],TableDailySummary[Fecha],"&lt;="&amp;TableWeeklySummary[[#This Row],[Hasta]])</f>
        <v>0</v>
      </c>
      <c r="Q143" s="12">
        <f ca="1">SUMIFS(TableDailySummary[Rappi_orders],TableDailySummary[Fecha],"&gt;="&amp;TableWeeklySummary[[#This Row],[Desde]],TableDailySummary[Fecha],"&lt;="&amp;TableWeeklySummary[[#This Row],[Hasta]])</f>
        <v>0</v>
      </c>
      <c r="R14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4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43" s="12">
        <f ca="1">SUMIFS(TableDailySummary[Inversión google ads],TableDailySummary[Fecha],"&gt;="&amp;TableWeeklySummary[[#This Row],[Desde]],TableDailySummary[Fecha],"&lt;="&amp;TableWeeklySummary[[#This Row],[Hasta]])</f>
        <v>0</v>
      </c>
      <c r="U143" s="12">
        <f ca="1">SUMIFS(TableDailySummary[Ventas google ads],TableDailySummary[Fecha],"&gt;="&amp;TableWeeklySummary[[#This Row],[Desde]],TableDailySummary[Fecha],"&lt;="&amp;TableWeeklySummary[[#This Row],[Hasta]])</f>
        <v>0</v>
      </c>
      <c r="V143" s="12">
        <f ca="1">SUMIFS(TableDailySummary[Inversión meta ads],TableDailySummary[Fecha],"&gt;="&amp;TableWeeklySummary[[#This Row],[Desde]],TableDailySummary[Fecha],"&lt;="&amp;TableWeeklySummary[[#This Row],[Hasta]])</f>
        <v>0</v>
      </c>
      <c r="W143" s="12">
        <f ca="1">SUMIFS(TableDailySummary[Ventas meta ads],TableDailySummary[Fecha],"&gt;="&amp;TableWeeklySummary[[#This Row],[Desde]],TableDailySummary[Fecha],"&lt;="&amp;TableWeeklySummary[[#This Row],[Hasta]])</f>
        <v>0</v>
      </c>
      <c r="X143" s="12">
        <f ca="1">TableWeeklySummary[[#This Row],[Inversión google ads]]+TableWeeklySummary[[#This Row],[Inversión meta ads]]</f>
        <v>0</v>
      </c>
      <c r="Y143" s="12">
        <f ca="1">TableWeeklySummary[[#This Row],[Ventas google ads]]+TableWeeklySummary[[#This Row],[Ventas meta ads]]</f>
        <v>0</v>
      </c>
      <c r="Z143" s="14">
        <f ca="1">IFERROR(TableWeeklySummary[[#This Row],[Ventas publicidad]]/TableWeeklySummary[[#This Row],[Inversión publicidad]],0)</f>
        <v>0</v>
      </c>
      <c r="AA143" s="14">
        <f ca="1">IFERROR(TableWeeklySummary[[#This Row],[Ventas primer cliente]]/TableWeeklySummary[[#This Row],[Inversión publicidad]],0)</f>
        <v>0</v>
      </c>
      <c r="AB143" s="14"/>
      <c r="AC143" s="12"/>
      <c r="AI14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4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43" s="12">
        <f ca="1">SUMIFS(TableDailySummary[Utilidad bruta],TableDailySummary[Fecha],"&gt;="&amp;TableWeeklySummary[[#This Row],[Desde]],TableDailySummary[Fecha],"&lt;="&amp;TableWeeklySummary[[#This Row],[Hasta]])</f>
        <v>0</v>
      </c>
      <c r="AL143" s="18">
        <f ca="1">IFERROR(TableWeeklySummary[[#This Row],[Utilidad bruta]]/TableWeeklySummary[[#This Row],[Ventas netas con costo registrado]],0)</f>
        <v>0</v>
      </c>
    </row>
    <row r="144" spans="2:38" x14ac:dyDescent="0.2">
      <c r="B144" s="16">
        <f ca="1">_xlfn.ISOWEEKNUM(TableWeeklySummary[[#This Row],[Hasta]])</f>
        <v>25</v>
      </c>
      <c r="C144" s="6">
        <f t="shared" ca="1" si="4"/>
        <v>46920</v>
      </c>
      <c r="D144" s="6">
        <f ca="1">TableWeeklySummary[[#This Row],[Desde]]+7-1</f>
        <v>46926</v>
      </c>
      <c r="E144" s="12">
        <f ca="1">SUMIFS(TableDailySummary[Ventas netas totales],TableDailySummary[Fecha],"&gt;="&amp;TableWeeklySummary[[#This Row],[Desde]],TableDailySummary[Fecha],"&lt;="&amp;TableWeeklySummary[[#This Row],[Hasta]])</f>
        <v>0</v>
      </c>
      <c r="F144" s="12">
        <f ca="1">SUMIFS(TableDailySummary[Órdenes totales],TableDailySummary[Fecha],"&gt;="&amp;TableWeeklySummary[[#This Row],[Desde]],TableDailySummary[Fecha],"&lt;="&amp;TableWeeklySummary[[#This Row],[Hasta]])</f>
        <v>0</v>
      </c>
      <c r="G144" s="12">
        <f ca="1">IFERROR(TableWeeklySummary[[#This Row],[Ventas netas totales]]/TableWeeklySummary[[#This Row],[Órdenes totales]],0)</f>
        <v>0</v>
      </c>
      <c r="H14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44" s="12">
        <f ca="1">TableWeeklySummary[[#This Row],[Órden promedio totales]]*TableWeeklySummary[[#This Row],[CR totales]]</f>
        <v>0</v>
      </c>
      <c r="J144" s="12">
        <f ca="1">SUMIFS(TableDailySummary[Ventas primer cliente],TableDailySummary[Fecha],"&gt;="&amp;TableWeeklySummary[[#This Row],[Desde]],TableDailySummary[Fecha],"&lt;="&amp;TableWeeklySummary[[#This Row],[Hasta]])</f>
        <v>0</v>
      </c>
      <c r="K144" s="12">
        <f ca="1">SUMIFS(TableDailySummary[Órdenes primer cliente],TableDailySummary[Fecha],"&gt;="&amp;TableWeeklySummary[[#This Row],[Desde]],TableDailySummary[Fecha],"&lt;="&amp;TableWeeklySummary[[#This Row],[Hasta]])</f>
        <v>0</v>
      </c>
      <c r="L144" s="12">
        <f ca="1">SUMIFS(TableDailySummary[Online Store_net_sales],TableDailySummary[Fecha],"&gt;="&amp;TableWeeklySummary[[#This Row],[Desde]],TableDailySummary[Fecha],"&lt;="&amp;TableWeeklySummary[[#This Row],[Hasta]])</f>
        <v>0</v>
      </c>
      <c r="M144" s="12">
        <f ca="1">SUMIFS(TableDailySummary[Online Store_orders],TableDailySummary[Fecha],"&gt;="&amp;TableWeeklySummary[[#This Row],[Desde]],TableDailySummary[Fecha],"&lt;="&amp;TableWeeklySummary[[#This Row],[Hasta]])</f>
        <v>0</v>
      </c>
      <c r="N144" s="12">
        <f ca="1">SUMIFS(TableDailySummary[Tienda 81_net_sales],TableDailySummary[Fecha],"&gt;="&amp;TableWeeklySummary[[#This Row],[Desde]],TableDailySummary[Fecha],"&lt;="&amp;TableWeeklySummary[[#This Row],[Hasta]])</f>
        <v>0</v>
      </c>
      <c r="O144" s="12">
        <f ca="1">SUMIFS(TableDailySummary[Tienda 81_orders],TableDailySummary[Fecha],"&gt;="&amp;TableWeeklySummary[[#This Row],[Desde]],TableDailySummary[Fecha],"&lt;="&amp;TableWeeklySummary[[#This Row],[Hasta]])</f>
        <v>0</v>
      </c>
      <c r="P144" s="12">
        <f ca="1">SUMIFS(TableDailySummary[Rappi_net_sales],TableDailySummary[Fecha],"&gt;="&amp;TableWeeklySummary[[#This Row],[Desde]],TableDailySummary[Fecha],"&lt;="&amp;TableWeeklySummary[[#This Row],[Hasta]])</f>
        <v>0</v>
      </c>
      <c r="Q144" s="12">
        <f ca="1">SUMIFS(TableDailySummary[Rappi_orders],TableDailySummary[Fecha],"&gt;="&amp;TableWeeklySummary[[#This Row],[Desde]],TableDailySummary[Fecha],"&lt;="&amp;TableWeeklySummary[[#This Row],[Hasta]])</f>
        <v>0</v>
      </c>
      <c r="R14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4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44" s="12">
        <f ca="1">SUMIFS(TableDailySummary[Inversión google ads],TableDailySummary[Fecha],"&gt;="&amp;TableWeeklySummary[[#This Row],[Desde]],TableDailySummary[Fecha],"&lt;="&amp;TableWeeklySummary[[#This Row],[Hasta]])</f>
        <v>0</v>
      </c>
      <c r="U144" s="12">
        <f ca="1">SUMIFS(TableDailySummary[Ventas google ads],TableDailySummary[Fecha],"&gt;="&amp;TableWeeklySummary[[#This Row],[Desde]],TableDailySummary[Fecha],"&lt;="&amp;TableWeeklySummary[[#This Row],[Hasta]])</f>
        <v>0</v>
      </c>
      <c r="V144" s="12">
        <f ca="1">SUMIFS(TableDailySummary[Inversión meta ads],TableDailySummary[Fecha],"&gt;="&amp;TableWeeklySummary[[#This Row],[Desde]],TableDailySummary[Fecha],"&lt;="&amp;TableWeeklySummary[[#This Row],[Hasta]])</f>
        <v>0</v>
      </c>
      <c r="W144" s="12">
        <f ca="1">SUMIFS(TableDailySummary[Ventas meta ads],TableDailySummary[Fecha],"&gt;="&amp;TableWeeklySummary[[#This Row],[Desde]],TableDailySummary[Fecha],"&lt;="&amp;TableWeeklySummary[[#This Row],[Hasta]])</f>
        <v>0</v>
      </c>
      <c r="X144" s="12">
        <f ca="1">TableWeeklySummary[[#This Row],[Inversión google ads]]+TableWeeklySummary[[#This Row],[Inversión meta ads]]</f>
        <v>0</v>
      </c>
      <c r="Y144" s="12">
        <f ca="1">TableWeeklySummary[[#This Row],[Ventas google ads]]+TableWeeklySummary[[#This Row],[Ventas meta ads]]</f>
        <v>0</v>
      </c>
      <c r="Z144" s="14">
        <f ca="1">IFERROR(TableWeeklySummary[[#This Row],[Ventas publicidad]]/TableWeeklySummary[[#This Row],[Inversión publicidad]],0)</f>
        <v>0</v>
      </c>
      <c r="AA144" s="14">
        <f ca="1">IFERROR(TableWeeklySummary[[#This Row],[Ventas primer cliente]]/TableWeeklySummary[[#This Row],[Inversión publicidad]],0)</f>
        <v>0</v>
      </c>
      <c r="AB144" s="14"/>
      <c r="AC144" s="12"/>
      <c r="AI14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4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44" s="12">
        <f ca="1">SUMIFS(TableDailySummary[Utilidad bruta],TableDailySummary[Fecha],"&gt;="&amp;TableWeeklySummary[[#This Row],[Desde]],TableDailySummary[Fecha],"&lt;="&amp;TableWeeklySummary[[#This Row],[Hasta]])</f>
        <v>0</v>
      </c>
      <c r="AL144" s="18">
        <f ca="1">IFERROR(TableWeeklySummary[[#This Row],[Utilidad bruta]]/TableWeeklySummary[[#This Row],[Ventas netas con costo registrado]],0)</f>
        <v>0</v>
      </c>
    </row>
    <row r="145" spans="2:38" x14ac:dyDescent="0.2">
      <c r="B145" s="16">
        <f ca="1">_xlfn.ISOWEEKNUM(TableWeeklySummary[[#This Row],[Hasta]])</f>
        <v>26</v>
      </c>
      <c r="C145" s="6">
        <f t="shared" ca="1" si="4"/>
        <v>46927</v>
      </c>
      <c r="D145" s="6">
        <f ca="1">TableWeeklySummary[[#This Row],[Desde]]+7-1</f>
        <v>46933</v>
      </c>
      <c r="E145" s="12">
        <f ca="1">SUMIFS(TableDailySummary[Ventas netas totales],TableDailySummary[Fecha],"&gt;="&amp;TableWeeklySummary[[#This Row],[Desde]],TableDailySummary[Fecha],"&lt;="&amp;TableWeeklySummary[[#This Row],[Hasta]])</f>
        <v>0</v>
      </c>
      <c r="F145" s="12">
        <f ca="1">SUMIFS(TableDailySummary[Órdenes totales],TableDailySummary[Fecha],"&gt;="&amp;TableWeeklySummary[[#This Row],[Desde]],TableDailySummary[Fecha],"&lt;="&amp;TableWeeklySummary[[#This Row],[Hasta]])</f>
        <v>0</v>
      </c>
      <c r="G145" s="12">
        <f ca="1">IFERROR(TableWeeklySummary[[#This Row],[Ventas netas totales]]/TableWeeklySummary[[#This Row],[Órdenes totales]],0)</f>
        <v>0</v>
      </c>
      <c r="H14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45" s="12">
        <f ca="1">TableWeeklySummary[[#This Row],[Órden promedio totales]]*TableWeeklySummary[[#This Row],[CR totales]]</f>
        <v>0</v>
      </c>
      <c r="J145" s="12">
        <f ca="1">SUMIFS(TableDailySummary[Ventas primer cliente],TableDailySummary[Fecha],"&gt;="&amp;TableWeeklySummary[[#This Row],[Desde]],TableDailySummary[Fecha],"&lt;="&amp;TableWeeklySummary[[#This Row],[Hasta]])</f>
        <v>0</v>
      </c>
      <c r="K145" s="12">
        <f ca="1">SUMIFS(TableDailySummary[Órdenes primer cliente],TableDailySummary[Fecha],"&gt;="&amp;TableWeeklySummary[[#This Row],[Desde]],TableDailySummary[Fecha],"&lt;="&amp;TableWeeklySummary[[#This Row],[Hasta]])</f>
        <v>0</v>
      </c>
      <c r="L145" s="12">
        <f ca="1">SUMIFS(TableDailySummary[Online Store_net_sales],TableDailySummary[Fecha],"&gt;="&amp;TableWeeklySummary[[#This Row],[Desde]],TableDailySummary[Fecha],"&lt;="&amp;TableWeeklySummary[[#This Row],[Hasta]])</f>
        <v>0</v>
      </c>
      <c r="M145" s="12">
        <f ca="1">SUMIFS(TableDailySummary[Online Store_orders],TableDailySummary[Fecha],"&gt;="&amp;TableWeeklySummary[[#This Row],[Desde]],TableDailySummary[Fecha],"&lt;="&amp;TableWeeklySummary[[#This Row],[Hasta]])</f>
        <v>0</v>
      </c>
      <c r="N145" s="12">
        <f ca="1">SUMIFS(TableDailySummary[Tienda 81_net_sales],TableDailySummary[Fecha],"&gt;="&amp;TableWeeklySummary[[#This Row],[Desde]],TableDailySummary[Fecha],"&lt;="&amp;TableWeeklySummary[[#This Row],[Hasta]])</f>
        <v>0</v>
      </c>
      <c r="O145" s="12">
        <f ca="1">SUMIFS(TableDailySummary[Tienda 81_orders],TableDailySummary[Fecha],"&gt;="&amp;TableWeeklySummary[[#This Row],[Desde]],TableDailySummary[Fecha],"&lt;="&amp;TableWeeklySummary[[#This Row],[Hasta]])</f>
        <v>0</v>
      </c>
      <c r="P145" s="12">
        <f ca="1">SUMIFS(TableDailySummary[Rappi_net_sales],TableDailySummary[Fecha],"&gt;="&amp;TableWeeklySummary[[#This Row],[Desde]],TableDailySummary[Fecha],"&lt;="&amp;TableWeeklySummary[[#This Row],[Hasta]])</f>
        <v>0</v>
      </c>
      <c r="Q145" s="12">
        <f ca="1">SUMIFS(TableDailySummary[Rappi_orders],TableDailySummary[Fecha],"&gt;="&amp;TableWeeklySummary[[#This Row],[Desde]],TableDailySummary[Fecha],"&lt;="&amp;TableWeeklySummary[[#This Row],[Hasta]])</f>
        <v>0</v>
      </c>
      <c r="R14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4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45" s="12">
        <f ca="1">SUMIFS(TableDailySummary[Inversión google ads],TableDailySummary[Fecha],"&gt;="&amp;TableWeeklySummary[[#This Row],[Desde]],TableDailySummary[Fecha],"&lt;="&amp;TableWeeklySummary[[#This Row],[Hasta]])</f>
        <v>0</v>
      </c>
      <c r="U145" s="12">
        <f ca="1">SUMIFS(TableDailySummary[Ventas google ads],TableDailySummary[Fecha],"&gt;="&amp;TableWeeklySummary[[#This Row],[Desde]],TableDailySummary[Fecha],"&lt;="&amp;TableWeeklySummary[[#This Row],[Hasta]])</f>
        <v>0</v>
      </c>
      <c r="V145" s="12">
        <f ca="1">SUMIFS(TableDailySummary[Inversión meta ads],TableDailySummary[Fecha],"&gt;="&amp;TableWeeklySummary[[#This Row],[Desde]],TableDailySummary[Fecha],"&lt;="&amp;TableWeeklySummary[[#This Row],[Hasta]])</f>
        <v>0</v>
      </c>
      <c r="W145" s="12">
        <f ca="1">SUMIFS(TableDailySummary[Ventas meta ads],TableDailySummary[Fecha],"&gt;="&amp;TableWeeklySummary[[#This Row],[Desde]],TableDailySummary[Fecha],"&lt;="&amp;TableWeeklySummary[[#This Row],[Hasta]])</f>
        <v>0</v>
      </c>
      <c r="X145" s="12">
        <f ca="1">TableWeeklySummary[[#This Row],[Inversión google ads]]+TableWeeklySummary[[#This Row],[Inversión meta ads]]</f>
        <v>0</v>
      </c>
      <c r="Y145" s="12">
        <f ca="1">TableWeeklySummary[[#This Row],[Ventas google ads]]+TableWeeklySummary[[#This Row],[Ventas meta ads]]</f>
        <v>0</v>
      </c>
      <c r="Z145" s="14">
        <f ca="1">IFERROR(TableWeeklySummary[[#This Row],[Ventas publicidad]]/TableWeeklySummary[[#This Row],[Inversión publicidad]],0)</f>
        <v>0</v>
      </c>
      <c r="AA145" s="14">
        <f ca="1">IFERROR(TableWeeklySummary[[#This Row],[Ventas primer cliente]]/TableWeeklySummary[[#This Row],[Inversión publicidad]],0)</f>
        <v>0</v>
      </c>
      <c r="AB145" s="14"/>
      <c r="AC145" s="12"/>
      <c r="AI14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4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45" s="12">
        <f ca="1">SUMIFS(TableDailySummary[Utilidad bruta],TableDailySummary[Fecha],"&gt;="&amp;TableWeeklySummary[[#This Row],[Desde]],TableDailySummary[Fecha],"&lt;="&amp;TableWeeklySummary[[#This Row],[Hasta]])</f>
        <v>0</v>
      </c>
      <c r="AL145" s="18">
        <f ca="1">IFERROR(TableWeeklySummary[[#This Row],[Utilidad bruta]]/TableWeeklySummary[[#This Row],[Ventas netas con costo registrado]],0)</f>
        <v>0</v>
      </c>
    </row>
    <row r="146" spans="2:38" x14ac:dyDescent="0.2">
      <c r="B146" s="16">
        <f ca="1">_xlfn.ISOWEEKNUM(TableWeeklySummary[[#This Row],[Hasta]])</f>
        <v>27</v>
      </c>
      <c r="C146" s="6">
        <f t="shared" ca="1" si="4"/>
        <v>46934</v>
      </c>
      <c r="D146" s="6">
        <f ca="1">TableWeeklySummary[[#This Row],[Desde]]+7-1</f>
        <v>46940</v>
      </c>
      <c r="E146" s="12">
        <f ca="1">SUMIFS(TableDailySummary[Ventas netas totales],TableDailySummary[Fecha],"&gt;="&amp;TableWeeklySummary[[#This Row],[Desde]],TableDailySummary[Fecha],"&lt;="&amp;TableWeeklySummary[[#This Row],[Hasta]])</f>
        <v>0</v>
      </c>
      <c r="F146" s="12">
        <f ca="1">SUMIFS(TableDailySummary[Órdenes totales],TableDailySummary[Fecha],"&gt;="&amp;TableWeeklySummary[[#This Row],[Desde]],TableDailySummary[Fecha],"&lt;="&amp;TableWeeklySummary[[#This Row],[Hasta]])</f>
        <v>0</v>
      </c>
      <c r="G146" s="12">
        <f ca="1">IFERROR(TableWeeklySummary[[#This Row],[Ventas netas totales]]/TableWeeklySummary[[#This Row],[Órdenes totales]],0)</f>
        <v>0</v>
      </c>
      <c r="H14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46" s="12">
        <f ca="1">TableWeeklySummary[[#This Row],[Órden promedio totales]]*TableWeeklySummary[[#This Row],[CR totales]]</f>
        <v>0</v>
      </c>
      <c r="J146" s="12">
        <f ca="1">SUMIFS(TableDailySummary[Ventas primer cliente],TableDailySummary[Fecha],"&gt;="&amp;TableWeeklySummary[[#This Row],[Desde]],TableDailySummary[Fecha],"&lt;="&amp;TableWeeklySummary[[#This Row],[Hasta]])</f>
        <v>0</v>
      </c>
      <c r="K146" s="12">
        <f ca="1">SUMIFS(TableDailySummary[Órdenes primer cliente],TableDailySummary[Fecha],"&gt;="&amp;TableWeeklySummary[[#This Row],[Desde]],TableDailySummary[Fecha],"&lt;="&amp;TableWeeklySummary[[#This Row],[Hasta]])</f>
        <v>0</v>
      </c>
      <c r="L146" s="12">
        <f ca="1">SUMIFS(TableDailySummary[Online Store_net_sales],TableDailySummary[Fecha],"&gt;="&amp;TableWeeklySummary[[#This Row],[Desde]],TableDailySummary[Fecha],"&lt;="&amp;TableWeeklySummary[[#This Row],[Hasta]])</f>
        <v>0</v>
      </c>
      <c r="M146" s="12">
        <f ca="1">SUMIFS(TableDailySummary[Online Store_orders],TableDailySummary[Fecha],"&gt;="&amp;TableWeeklySummary[[#This Row],[Desde]],TableDailySummary[Fecha],"&lt;="&amp;TableWeeklySummary[[#This Row],[Hasta]])</f>
        <v>0</v>
      </c>
      <c r="N146" s="12">
        <f ca="1">SUMIFS(TableDailySummary[Tienda 81_net_sales],TableDailySummary[Fecha],"&gt;="&amp;TableWeeklySummary[[#This Row],[Desde]],TableDailySummary[Fecha],"&lt;="&amp;TableWeeklySummary[[#This Row],[Hasta]])</f>
        <v>0</v>
      </c>
      <c r="O146" s="12">
        <f ca="1">SUMIFS(TableDailySummary[Tienda 81_orders],TableDailySummary[Fecha],"&gt;="&amp;TableWeeklySummary[[#This Row],[Desde]],TableDailySummary[Fecha],"&lt;="&amp;TableWeeklySummary[[#This Row],[Hasta]])</f>
        <v>0</v>
      </c>
      <c r="P146" s="12">
        <f ca="1">SUMIFS(TableDailySummary[Rappi_net_sales],TableDailySummary[Fecha],"&gt;="&amp;TableWeeklySummary[[#This Row],[Desde]],TableDailySummary[Fecha],"&lt;="&amp;TableWeeklySummary[[#This Row],[Hasta]])</f>
        <v>0</v>
      </c>
      <c r="Q146" s="12">
        <f ca="1">SUMIFS(TableDailySummary[Rappi_orders],TableDailySummary[Fecha],"&gt;="&amp;TableWeeklySummary[[#This Row],[Desde]],TableDailySummary[Fecha],"&lt;="&amp;TableWeeklySummary[[#This Row],[Hasta]])</f>
        <v>0</v>
      </c>
      <c r="R14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4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46" s="12">
        <f ca="1">SUMIFS(TableDailySummary[Inversión google ads],TableDailySummary[Fecha],"&gt;="&amp;TableWeeklySummary[[#This Row],[Desde]],TableDailySummary[Fecha],"&lt;="&amp;TableWeeklySummary[[#This Row],[Hasta]])</f>
        <v>0</v>
      </c>
      <c r="U146" s="12">
        <f ca="1">SUMIFS(TableDailySummary[Ventas google ads],TableDailySummary[Fecha],"&gt;="&amp;TableWeeklySummary[[#This Row],[Desde]],TableDailySummary[Fecha],"&lt;="&amp;TableWeeklySummary[[#This Row],[Hasta]])</f>
        <v>0</v>
      </c>
      <c r="V146" s="12">
        <f ca="1">SUMIFS(TableDailySummary[Inversión meta ads],TableDailySummary[Fecha],"&gt;="&amp;TableWeeklySummary[[#This Row],[Desde]],TableDailySummary[Fecha],"&lt;="&amp;TableWeeklySummary[[#This Row],[Hasta]])</f>
        <v>0</v>
      </c>
      <c r="W146" s="12">
        <f ca="1">SUMIFS(TableDailySummary[Ventas meta ads],TableDailySummary[Fecha],"&gt;="&amp;TableWeeklySummary[[#This Row],[Desde]],TableDailySummary[Fecha],"&lt;="&amp;TableWeeklySummary[[#This Row],[Hasta]])</f>
        <v>0</v>
      </c>
      <c r="X146" s="12">
        <f ca="1">TableWeeklySummary[[#This Row],[Inversión google ads]]+TableWeeklySummary[[#This Row],[Inversión meta ads]]</f>
        <v>0</v>
      </c>
      <c r="Y146" s="12">
        <f ca="1">TableWeeklySummary[[#This Row],[Ventas google ads]]+TableWeeklySummary[[#This Row],[Ventas meta ads]]</f>
        <v>0</v>
      </c>
      <c r="Z146" s="14">
        <f ca="1">IFERROR(TableWeeklySummary[[#This Row],[Ventas publicidad]]/TableWeeklySummary[[#This Row],[Inversión publicidad]],0)</f>
        <v>0</v>
      </c>
      <c r="AA146" s="14">
        <f ca="1">IFERROR(TableWeeklySummary[[#This Row],[Ventas primer cliente]]/TableWeeklySummary[[#This Row],[Inversión publicidad]],0)</f>
        <v>0</v>
      </c>
      <c r="AB146" s="14"/>
      <c r="AC146" s="12"/>
      <c r="AI14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4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46" s="12">
        <f ca="1">SUMIFS(TableDailySummary[Utilidad bruta],TableDailySummary[Fecha],"&gt;="&amp;TableWeeklySummary[[#This Row],[Desde]],TableDailySummary[Fecha],"&lt;="&amp;TableWeeklySummary[[#This Row],[Hasta]])</f>
        <v>0</v>
      </c>
      <c r="AL146" s="18">
        <f ca="1">IFERROR(TableWeeklySummary[[#This Row],[Utilidad bruta]]/TableWeeklySummary[[#This Row],[Ventas netas con costo registrado]],0)</f>
        <v>0</v>
      </c>
    </row>
    <row r="147" spans="2:38" x14ac:dyDescent="0.2">
      <c r="B147" s="16">
        <f ca="1">_xlfn.ISOWEEKNUM(TableWeeklySummary[[#This Row],[Hasta]])</f>
        <v>28</v>
      </c>
      <c r="C147" s="6">
        <f t="shared" ca="1" si="4"/>
        <v>46941</v>
      </c>
      <c r="D147" s="6">
        <f ca="1">TableWeeklySummary[[#This Row],[Desde]]+7-1</f>
        <v>46947</v>
      </c>
      <c r="E147" s="12">
        <f ca="1">SUMIFS(TableDailySummary[Ventas netas totales],TableDailySummary[Fecha],"&gt;="&amp;TableWeeklySummary[[#This Row],[Desde]],TableDailySummary[Fecha],"&lt;="&amp;TableWeeklySummary[[#This Row],[Hasta]])</f>
        <v>0</v>
      </c>
      <c r="F147" s="12">
        <f ca="1">SUMIFS(TableDailySummary[Órdenes totales],TableDailySummary[Fecha],"&gt;="&amp;TableWeeklySummary[[#This Row],[Desde]],TableDailySummary[Fecha],"&lt;="&amp;TableWeeklySummary[[#This Row],[Hasta]])</f>
        <v>0</v>
      </c>
      <c r="G147" s="12">
        <f ca="1">IFERROR(TableWeeklySummary[[#This Row],[Ventas netas totales]]/TableWeeklySummary[[#This Row],[Órdenes totales]],0)</f>
        <v>0</v>
      </c>
      <c r="H14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47" s="12">
        <f ca="1">TableWeeklySummary[[#This Row],[Órden promedio totales]]*TableWeeklySummary[[#This Row],[CR totales]]</f>
        <v>0</v>
      </c>
      <c r="J147" s="12">
        <f ca="1">SUMIFS(TableDailySummary[Ventas primer cliente],TableDailySummary[Fecha],"&gt;="&amp;TableWeeklySummary[[#This Row],[Desde]],TableDailySummary[Fecha],"&lt;="&amp;TableWeeklySummary[[#This Row],[Hasta]])</f>
        <v>0</v>
      </c>
      <c r="K147" s="12">
        <f ca="1">SUMIFS(TableDailySummary[Órdenes primer cliente],TableDailySummary[Fecha],"&gt;="&amp;TableWeeklySummary[[#This Row],[Desde]],TableDailySummary[Fecha],"&lt;="&amp;TableWeeklySummary[[#This Row],[Hasta]])</f>
        <v>0</v>
      </c>
      <c r="L147" s="12">
        <f ca="1">SUMIFS(TableDailySummary[Online Store_net_sales],TableDailySummary[Fecha],"&gt;="&amp;TableWeeklySummary[[#This Row],[Desde]],TableDailySummary[Fecha],"&lt;="&amp;TableWeeklySummary[[#This Row],[Hasta]])</f>
        <v>0</v>
      </c>
      <c r="M147" s="12">
        <f ca="1">SUMIFS(TableDailySummary[Online Store_orders],TableDailySummary[Fecha],"&gt;="&amp;TableWeeklySummary[[#This Row],[Desde]],TableDailySummary[Fecha],"&lt;="&amp;TableWeeklySummary[[#This Row],[Hasta]])</f>
        <v>0</v>
      </c>
      <c r="N147" s="12">
        <f ca="1">SUMIFS(TableDailySummary[Tienda 81_net_sales],TableDailySummary[Fecha],"&gt;="&amp;TableWeeklySummary[[#This Row],[Desde]],TableDailySummary[Fecha],"&lt;="&amp;TableWeeklySummary[[#This Row],[Hasta]])</f>
        <v>0</v>
      </c>
      <c r="O147" s="12">
        <f ca="1">SUMIFS(TableDailySummary[Tienda 81_orders],TableDailySummary[Fecha],"&gt;="&amp;TableWeeklySummary[[#This Row],[Desde]],TableDailySummary[Fecha],"&lt;="&amp;TableWeeklySummary[[#This Row],[Hasta]])</f>
        <v>0</v>
      </c>
      <c r="P147" s="12">
        <f ca="1">SUMIFS(TableDailySummary[Rappi_net_sales],TableDailySummary[Fecha],"&gt;="&amp;TableWeeklySummary[[#This Row],[Desde]],TableDailySummary[Fecha],"&lt;="&amp;TableWeeklySummary[[#This Row],[Hasta]])</f>
        <v>0</v>
      </c>
      <c r="Q147" s="12">
        <f ca="1">SUMIFS(TableDailySummary[Rappi_orders],TableDailySummary[Fecha],"&gt;="&amp;TableWeeklySummary[[#This Row],[Desde]],TableDailySummary[Fecha],"&lt;="&amp;TableWeeklySummary[[#This Row],[Hasta]])</f>
        <v>0</v>
      </c>
      <c r="R14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4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47" s="12">
        <f ca="1">SUMIFS(TableDailySummary[Inversión google ads],TableDailySummary[Fecha],"&gt;="&amp;TableWeeklySummary[[#This Row],[Desde]],TableDailySummary[Fecha],"&lt;="&amp;TableWeeklySummary[[#This Row],[Hasta]])</f>
        <v>0</v>
      </c>
      <c r="U147" s="12">
        <f ca="1">SUMIFS(TableDailySummary[Ventas google ads],TableDailySummary[Fecha],"&gt;="&amp;TableWeeklySummary[[#This Row],[Desde]],TableDailySummary[Fecha],"&lt;="&amp;TableWeeklySummary[[#This Row],[Hasta]])</f>
        <v>0</v>
      </c>
      <c r="V147" s="12">
        <f ca="1">SUMIFS(TableDailySummary[Inversión meta ads],TableDailySummary[Fecha],"&gt;="&amp;TableWeeklySummary[[#This Row],[Desde]],TableDailySummary[Fecha],"&lt;="&amp;TableWeeklySummary[[#This Row],[Hasta]])</f>
        <v>0</v>
      </c>
      <c r="W147" s="12">
        <f ca="1">SUMIFS(TableDailySummary[Ventas meta ads],TableDailySummary[Fecha],"&gt;="&amp;TableWeeklySummary[[#This Row],[Desde]],TableDailySummary[Fecha],"&lt;="&amp;TableWeeklySummary[[#This Row],[Hasta]])</f>
        <v>0</v>
      </c>
      <c r="X147" s="12">
        <f ca="1">TableWeeklySummary[[#This Row],[Inversión google ads]]+TableWeeklySummary[[#This Row],[Inversión meta ads]]</f>
        <v>0</v>
      </c>
      <c r="Y147" s="12">
        <f ca="1">TableWeeklySummary[[#This Row],[Ventas google ads]]+TableWeeklySummary[[#This Row],[Ventas meta ads]]</f>
        <v>0</v>
      </c>
      <c r="Z147" s="14">
        <f ca="1">IFERROR(TableWeeklySummary[[#This Row],[Ventas publicidad]]/TableWeeklySummary[[#This Row],[Inversión publicidad]],0)</f>
        <v>0</v>
      </c>
      <c r="AA147" s="14">
        <f ca="1">IFERROR(TableWeeklySummary[[#This Row],[Ventas primer cliente]]/TableWeeklySummary[[#This Row],[Inversión publicidad]],0)</f>
        <v>0</v>
      </c>
      <c r="AB147" s="14"/>
      <c r="AC147" s="12"/>
      <c r="AI14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4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47" s="12">
        <f ca="1">SUMIFS(TableDailySummary[Utilidad bruta],TableDailySummary[Fecha],"&gt;="&amp;TableWeeklySummary[[#This Row],[Desde]],TableDailySummary[Fecha],"&lt;="&amp;TableWeeklySummary[[#This Row],[Hasta]])</f>
        <v>0</v>
      </c>
      <c r="AL147" s="18">
        <f ca="1">IFERROR(TableWeeklySummary[[#This Row],[Utilidad bruta]]/TableWeeklySummary[[#This Row],[Ventas netas con costo registrado]],0)</f>
        <v>0</v>
      </c>
    </row>
    <row r="148" spans="2:38" x14ac:dyDescent="0.2">
      <c r="B148" s="16">
        <f ca="1">_xlfn.ISOWEEKNUM(TableWeeklySummary[[#This Row],[Hasta]])</f>
        <v>29</v>
      </c>
      <c r="C148" s="6">
        <f t="shared" ca="1" si="4"/>
        <v>46948</v>
      </c>
      <c r="D148" s="6">
        <f ca="1">TableWeeklySummary[[#This Row],[Desde]]+7-1</f>
        <v>46954</v>
      </c>
      <c r="E148" s="12">
        <f ca="1">SUMIFS(TableDailySummary[Ventas netas totales],TableDailySummary[Fecha],"&gt;="&amp;TableWeeklySummary[[#This Row],[Desde]],TableDailySummary[Fecha],"&lt;="&amp;TableWeeklySummary[[#This Row],[Hasta]])</f>
        <v>0</v>
      </c>
      <c r="F148" s="12">
        <f ca="1">SUMIFS(TableDailySummary[Órdenes totales],TableDailySummary[Fecha],"&gt;="&amp;TableWeeklySummary[[#This Row],[Desde]],TableDailySummary[Fecha],"&lt;="&amp;TableWeeklySummary[[#This Row],[Hasta]])</f>
        <v>0</v>
      </c>
      <c r="G148" s="12">
        <f ca="1">IFERROR(TableWeeklySummary[[#This Row],[Ventas netas totales]]/TableWeeklySummary[[#This Row],[Órdenes totales]],0)</f>
        <v>0</v>
      </c>
      <c r="H14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48" s="12">
        <f ca="1">TableWeeklySummary[[#This Row],[Órden promedio totales]]*TableWeeklySummary[[#This Row],[CR totales]]</f>
        <v>0</v>
      </c>
      <c r="J148" s="12">
        <f ca="1">SUMIFS(TableDailySummary[Ventas primer cliente],TableDailySummary[Fecha],"&gt;="&amp;TableWeeklySummary[[#This Row],[Desde]],TableDailySummary[Fecha],"&lt;="&amp;TableWeeklySummary[[#This Row],[Hasta]])</f>
        <v>0</v>
      </c>
      <c r="K148" s="12">
        <f ca="1">SUMIFS(TableDailySummary[Órdenes primer cliente],TableDailySummary[Fecha],"&gt;="&amp;TableWeeklySummary[[#This Row],[Desde]],TableDailySummary[Fecha],"&lt;="&amp;TableWeeklySummary[[#This Row],[Hasta]])</f>
        <v>0</v>
      </c>
      <c r="L148" s="12">
        <f ca="1">SUMIFS(TableDailySummary[Online Store_net_sales],TableDailySummary[Fecha],"&gt;="&amp;TableWeeklySummary[[#This Row],[Desde]],TableDailySummary[Fecha],"&lt;="&amp;TableWeeklySummary[[#This Row],[Hasta]])</f>
        <v>0</v>
      </c>
      <c r="M148" s="12">
        <f ca="1">SUMIFS(TableDailySummary[Online Store_orders],TableDailySummary[Fecha],"&gt;="&amp;TableWeeklySummary[[#This Row],[Desde]],TableDailySummary[Fecha],"&lt;="&amp;TableWeeklySummary[[#This Row],[Hasta]])</f>
        <v>0</v>
      </c>
      <c r="N148" s="12">
        <f ca="1">SUMIFS(TableDailySummary[Tienda 81_net_sales],TableDailySummary[Fecha],"&gt;="&amp;TableWeeklySummary[[#This Row],[Desde]],TableDailySummary[Fecha],"&lt;="&amp;TableWeeklySummary[[#This Row],[Hasta]])</f>
        <v>0</v>
      </c>
      <c r="O148" s="12">
        <f ca="1">SUMIFS(TableDailySummary[Tienda 81_orders],TableDailySummary[Fecha],"&gt;="&amp;TableWeeklySummary[[#This Row],[Desde]],TableDailySummary[Fecha],"&lt;="&amp;TableWeeklySummary[[#This Row],[Hasta]])</f>
        <v>0</v>
      </c>
      <c r="P148" s="12">
        <f ca="1">SUMIFS(TableDailySummary[Rappi_net_sales],TableDailySummary[Fecha],"&gt;="&amp;TableWeeklySummary[[#This Row],[Desde]],TableDailySummary[Fecha],"&lt;="&amp;TableWeeklySummary[[#This Row],[Hasta]])</f>
        <v>0</v>
      </c>
      <c r="Q148" s="12">
        <f ca="1">SUMIFS(TableDailySummary[Rappi_orders],TableDailySummary[Fecha],"&gt;="&amp;TableWeeklySummary[[#This Row],[Desde]],TableDailySummary[Fecha],"&lt;="&amp;TableWeeklySummary[[#This Row],[Hasta]])</f>
        <v>0</v>
      </c>
      <c r="R14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4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48" s="12">
        <f ca="1">SUMIFS(TableDailySummary[Inversión google ads],TableDailySummary[Fecha],"&gt;="&amp;TableWeeklySummary[[#This Row],[Desde]],TableDailySummary[Fecha],"&lt;="&amp;TableWeeklySummary[[#This Row],[Hasta]])</f>
        <v>0</v>
      </c>
      <c r="U148" s="12">
        <f ca="1">SUMIFS(TableDailySummary[Ventas google ads],TableDailySummary[Fecha],"&gt;="&amp;TableWeeklySummary[[#This Row],[Desde]],TableDailySummary[Fecha],"&lt;="&amp;TableWeeklySummary[[#This Row],[Hasta]])</f>
        <v>0</v>
      </c>
      <c r="V148" s="12">
        <f ca="1">SUMIFS(TableDailySummary[Inversión meta ads],TableDailySummary[Fecha],"&gt;="&amp;TableWeeklySummary[[#This Row],[Desde]],TableDailySummary[Fecha],"&lt;="&amp;TableWeeklySummary[[#This Row],[Hasta]])</f>
        <v>0</v>
      </c>
      <c r="W148" s="12">
        <f ca="1">SUMIFS(TableDailySummary[Ventas meta ads],TableDailySummary[Fecha],"&gt;="&amp;TableWeeklySummary[[#This Row],[Desde]],TableDailySummary[Fecha],"&lt;="&amp;TableWeeklySummary[[#This Row],[Hasta]])</f>
        <v>0</v>
      </c>
      <c r="X148" s="12">
        <f ca="1">TableWeeklySummary[[#This Row],[Inversión google ads]]+TableWeeklySummary[[#This Row],[Inversión meta ads]]</f>
        <v>0</v>
      </c>
      <c r="Y148" s="12">
        <f ca="1">TableWeeklySummary[[#This Row],[Ventas google ads]]+TableWeeklySummary[[#This Row],[Ventas meta ads]]</f>
        <v>0</v>
      </c>
      <c r="Z148" s="14">
        <f ca="1">IFERROR(TableWeeklySummary[[#This Row],[Ventas publicidad]]/TableWeeklySummary[[#This Row],[Inversión publicidad]],0)</f>
        <v>0</v>
      </c>
      <c r="AA148" s="14">
        <f ca="1">IFERROR(TableWeeklySummary[[#This Row],[Ventas primer cliente]]/TableWeeklySummary[[#This Row],[Inversión publicidad]],0)</f>
        <v>0</v>
      </c>
      <c r="AB148" s="14"/>
      <c r="AC148" s="12"/>
      <c r="AI14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4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48" s="12">
        <f ca="1">SUMIFS(TableDailySummary[Utilidad bruta],TableDailySummary[Fecha],"&gt;="&amp;TableWeeklySummary[[#This Row],[Desde]],TableDailySummary[Fecha],"&lt;="&amp;TableWeeklySummary[[#This Row],[Hasta]])</f>
        <v>0</v>
      </c>
      <c r="AL148" s="18">
        <f ca="1">IFERROR(TableWeeklySummary[[#This Row],[Utilidad bruta]]/TableWeeklySummary[[#This Row],[Ventas netas con costo registrado]],0)</f>
        <v>0</v>
      </c>
    </row>
    <row r="149" spans="2:38" x14ac:dyDescent="0.2">
      <c r="B149" s="16">
        <f ca="1">_xlfn.ISOWEEKNUM(TableWeeklySummary[[#This Row],[Hasta]])</f>
        <v>30</v>
      </c>
      <c r="C149" s="6">
        <f t="shared" ca="1" si="4"/>
        <v>46955</v>
      </c>
      <c r="D149" s="6">
        <f ca="1">TableWeeklySummary[[#This Row],[Desde]]+7-1</f>
        <v>46961</v>
      </c>
      <c r="E149" s="12">
        <f ca="1">SUMIFS(TableDailySummary[Ventas netas totales],TableDailySummary[Fecha],"&gt;="&amp;TableWeeklySummary[[#This Row],[Desde]],TableDailySummary[Fecha],"&lt;="&amp;TableWeeklySummary[[#This Row],[Hasta]])</f>
        <v>0</v>
      </c>
      <c r="F149" s="12">
        <f ca="1">SUMIFS(TableDailySummary[Órdenes totales],TableDailySummary[Fecha],"&gt;="&amp;TableWeeklySummary[[#This Row],[Desde]],TableDailySummary[Fecha],"&lt;="&amp;TableWeeklySummary[[#This Row],[Hasta]])</f>
        <v>0</v>
      </c>
      <c r="G149" s="12">
        <f ca="1">IFERROR(TableWeeklySummary[[#This Row],[Ventas netas totales]]/TableWeeklySummary[[#This Row],[Órdenes totales]],0)</f>
        <v>0</v>
      </c>
      <c r="H14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49" s="12">
        <f ca="1">TableWeeklySummary[[#This Row],[Órden promedio totales]]*TableWeeklySummary[[#This Row],[CR totales]]</f>
        <v>0</v>
      </c>
      <c r="J149" s="12">
        <f ca="1">SUMIFS(TableDailySummary[Ventas primer cliente],TableDailySummary[Fecha],"&gt;="&amp;TableWeeklySummary[[#This Row],[Desde]],TableDailySummary[Fecha],"&lt;="&amp;TableWeeklySummary[[#This Row],[Hasta]])</f>
        <v>0</v>
      </c>
      <c r="K149" s="12">
        <f ca="1">SUMIFS(TableDailySummary[Órdenes primer cliente],TableDailySummary[Fecha],"&gt;="&amp;TableWeeklySummary[[#This Row],[Desde]],TableDailySummary[Fecha],"&lt;="&amp;TableWeeklySummary[[#This Row],[Hasta]])</f>
        <v>0</v>
      </c>
      <c r="L149" s="12">
        <f ca="1">SUMIFS(TableDailySummary[Online Store_net_sales],TableDailySummary[Fecha],"&gt;="&amp;TableWeeklySummary[[#This Row],[Desde]],TableDailySummary[Fecha],"&lt;="&amp;TableWeeklySummary[[#This Row],[Hasta]])</f>
        <v>0</v>
      </c>
      <c r="M149" s="12">
        <f ca="1">SUMIFS(TableDailySummary[Online Store_orders],TableDailySummary[Fecha],"&gt;="&amp;TableWeeklySummary[[#This Row],[Desde]],TableDailySummary[Fecha],"&lt;="&amp;TableWeeklySummary[[#This Row],[Hasta]])</f>
        <v>0</v>
      </c>
      <c r="N149" s="12">
        <f ca="1">SUMIFS(TableDailySummary[Tienda 81_net_sales],TableDailySummary[Fecha],"&gt;="&amp;TableWeeklySummary[[#This Row],[Desde]],TableDailySummary[Fecha],"&lt;="&amp;TableWeeklySummary[[#This Row],[Hasta]])</f>
        <v>0</v>
      </c>
      <c r="O149" s="12">
        <f ca="1">SUMIFS(TableDailySummary[Tienda 81_orders],TableDailySummary[Fecha],"&gt;="&amp;TableWeeklySummary[[#This Row],[Desde]],TableDailySummary[Fecha],"&lt;="&amp;TableWeeklySummary[[#This Row],[Hasta]])</f>
        <v>0</v>
      </c>
      <c r="P149" s="12">
        <f ca="1">SUMIFS(TableDailySummary[Rappi_net_sales],TableDailySummary[Fecha],"&gt;="&amp;TableWeeklySummary[[#This Row],[Desde]],TableDailySummary[Fecha],"&lt;="&amp;TableWeeklySummary[[#This Row],[Hasta]])</f>
        <v>0</v>
      </c>
      <c r="Q149" s="12">
        <f ca="1">SUMIFS(TableDailySummary[Rappi_orders],TableDailySummary[Fecha],"&gt;="&amp;TableWeeklySummary[[#This Row],[Desde]],TableDailySummary[Fecha],"&lt;="&amp;TableWeeklySummary[[#This Row],[Hasta]])</f>
        <v>0</v>
      </c>
      <c r="R14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4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49" s="12">
        <f ca="1">SUMIFS(TableDailySummary[Inversión google ads],TableDailySummary[Fecha],"&gt;="&amp;TableWeeklySummary[[#This Row],[Desde]],TableDailySummary[Fecha],"&lt;="&amp;TableWeeklySummary[[#This Row],[Hasta]])</f>
        <v>0</v>
      </c>
      <c r="U149" s="12">
        <f ca="1">SUMIFS(TableDailySummary[Ventas google ads],TableDailySummary[Fecha],"&gt;="&amp;TableWeeklySummary[[#This Row],[Desde]],TableDailySummary[Fecha],"&lt;="&amp;TableWeeklySummary[[#This Row],[Hasta]])</f>
        <v>0</v>
      </c>
      <c r="V149" s="12">
        <f ca="1">SUMIFS(TableDailySummary[Inversión meta ads],TableDailySummary[Fecha],"&gt;="&amp;TableWeeklySummary[[#This Row],[Desde]],TableDailySummary[Fecha],"&lt;="&amp;TableWeeklySummary[[#This Row],[Hasta]])</f>
        <v>0</v>
      </c>
      <c r="W149" s="12">
        <f ca="1">SUMIFS(TableDailySummary[Ventas meta ads],TableDailySummary[Fecha],"&gt;="&amp;TableWeeklySummary[[#This Row],[Desde]],TableDailySummary[Fecha],"&lt;="&amp;TableWeeklySummary[[#This Row],[Hasta]])</f>
        <v>0</v>
      </c>
      <c r="X149" s="12">
        <f ca="1">TableWeeklySummary[[#This Row],[Inversión google ads]]+TableWeeklySummary[[#This Row],[Inversión meta ads]]</f>
        <v>0</v>
      </c>
      <c r="Y149" s="12">
        <f ca="1">TableWeeklySummary[[#This Row],[Ventas google ads]]+TableWeeklySummary[[#This Row],[Ventas meta ads]]</f>
        <v>0</v>
      </c>
      <c r="Z149" s="14">
        <f ca="1">IFERROR(TableWeeklySummary[[#This Row],[Ventas publicidad]]/TableWeeklySummary[[#This Row],[Inversión publicidad]],0)</f>
        <v>0</v>
      </c>
      <c r="AA149" s="14">
        <f ca="1">IFERROR(TableWeeklySummary[[#This Row],[Ventas primer cliente]]/TableWeeklySummary[[#This Row],[Inversión publicidad]],0)</f>
        <v>0</v>
      </c>
      <c r="AB149" s="14"/>
      <c r="AC149" s="12"/>
      <c r="AI14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4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49" s="12">
        <f ca="1">SUMIFS(TableDailySummary[Utilidad bruta],TableDailySummary[Fecha],"&gt;="&amp;TableWeeklySummary[[#This Row],[Desde]],TableDailySummary[Fecha],"&lt;="&amp;TableWeeklySummary[[#This Row],[Hasta]])</f>
        <v>0</v>
      </c>
      <c r="AL149" s="18">
        <f ca="1">IFERROR(TableWeeklySummary[[#This Row],[Utilidad bruta]]/TableWeeklySummary[[#This Row],[Ventas netas con costo registrado]],0)</f>
        <v>0</v>
      </c>
    </row>
    <row r="150" spans="2:38" x14ac:dyDescent="0.2">
      <c r="B150" s="16">
        <f ca="1">_xlfn.ISOWEEKNUM(TableWeeklySummary[[#This Row],[Hasta]])</f>
        <v>31</v>
      </c>
      <c r="C150" s="6">
        <f t="shared" ca="1" si="4"/>
        <v>46962</v>
      </c>
      <c r="D150" s="6">
        <f ca="1">TableWeeklySummary[[#This Row],[Desde]]+7-1</f>
        <v>46968</v>
      </c>
      <c r="E150" s="12">
        <f ca="1">SUMIFS(TableDailySummary[Ventas netas totales],TableDailySummary[Fecha],"&gt;="&amp;TableWeeklySummary[[#This Row],[Desde]],TableDailySummary[Fecha],"&lt;="&amp;TableWeeklySummary[[#This Row],[Hasta]])</f>
        <v>0</v>
      </c>
      <c r="F150" s="12">
        <f ca="1">SUMIFS(TableDailySummary[Órdenes totales],TableDailySummary[Fecha],"&gt;="&amp;TableWeeklySummary[[#This Row],[Desde]],TableDailySummary[Fecha],"&lt;="&amp;TableWeeklySummary[[#This Row],[Hasta]])</f>
        <v>0</v>
      </c>
      <c r="G150" s="12">
        <f ca="1">IFERROR(TableWeeklySummary[[#This Row],[Ventas netas totales]]/TableWeeklySummary[[#This Row],[Órdenes totales]],0)</f>
        <v>0</v>
      </c>
      <c r="H15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50" s="12">
        <f ca="1">TableWeeklySummary[[#This Row],[Órden promedio totales]]*TableWeeklySummary[[#This Row],[CR totales]]</f>
        <v>0</v>
      </c>
      <c r="J150" s="12">
        <f ca="1">SUMIFS(TableDailySummary[Ventas primer cliente],TableDailySummary[Fecha],"&gt;="&amp;TableWeeklySummary[[#This Row],[Desde]],TableDailySummary[Fecha],"&lt;="&amp;TableWeeklySummary[[#This Row],[Hasta]])</f>
        <v>0</v>
      </c>
      <c r="K150" s="12">
        <f ca="1">SUMIFS(TableDailySummary[Órdenes primer cliente],TableDailySummary[Fecha],"&gt;="&amp;TableWeeklySummary[[#This Row],[Desde]],TableDailySummary[Fecha],"&lt;="&amp;TableWeeklySummary[[#This Row],[Hasta]])</f>
        <v>0</v>
      </c>
      <c r="L150" s="12">
        <f ca="1">SUMIFS(TableDailySummary[Online Store_net_sales],TableDailySummary[Fecha],"&gt;="&amp;TableWeeklySummary[[#This Row],[Desde]],TableDailySummary[Fecha],"&lt;="&amp;TableWeeklySummary[[#This Row],[Hasta]])</f>
        <v>0</v>
      </c>
      <c r="M150" s="12">
        <f ca="1">SUMIFS(TableDailySummary[Online Store_orders],TableDailySummary[Fecha],"&gt;="&amp;TableWeeklySummary[[#This Row],[Desde]],TableDailySummary[Fecha],"&lt;="&amp;TableWeeklySummary[[#This Row],[Hasta]])</f>
        <v>0</v>
      </c>
      <c r="N150" s="12">
        <f ca="1">SUMIFS(TableDailySummary[Tienda 81_net_sales],TableDailySummary[Fecha],"&gt;="&amp;TableWeeklySummary[[#This Row],[Desde]],TableDailySummary[Fecha],"&lt;="&amp;TableWeeklySummary[[#This Row],[Hasta]])</f>
        <v>0</v>
      </c>
      <c r="O150" s="12">
        <f ca="1">SUMIFS(TableDailySummary[Tienda 81_orders],TableDailySummary[Fecha],"&gt;="&amp;TableWeeklySummary[[#This Row],[Desde]],TableDailySummary[Fecha],"&lt;="&amp;TableWeeklySummary[[#This Row],[Hasta]])</f>
        <v>0</v>
      </c>
      <c r="P150" s="12">
        <f ca="1">SUMIFS(TableDailySummary[Rappi_net_sales],TableDailySummary[Fecha],"&gt;="&amp;TableWeeklySummary[[#This Row],[Desde]],TableDailySummary[Fecha],"&lt;="&amp;TableWeeklySummary[[#This Row],[Hasta]])</f>
        <v>0</v>
      </c>
      <c r="Q150" s="12">
        <f ca="1">SUMIFS(TableDailySummary[Rappi_orders],TableDailySummary[Fecha],"&gt;="&amp;TableWeeklySummary[[#This Row],[Desde]],TableDailySummary[Fecha],"&lt;="&amp;TableWeeklySummary[[#This Row],[Hasta]])</f>
        <v>0</v>
      </c>
      <c r="R15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5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50" s="12">
        <f ca="1">SUMIFS(TableDailySummary[Inversión google ads],TableDailySummary[Fecha],"&gt;="&amp;TableWeeklySummary[[#This Row],[Desde]],TableDailySummary[Fecha],"&lt;="&amp;TableWeeklySummary[[#This Row],[Hasta]])</f>
        <v>0</v>
      </c>
      <c r="U150" s="12">
        <f ca="1">SUMIFS(TableDailySummary[Ventas google ads],TableDailySummary[Fecha],"&gt;="&amp;TableWeeklySummary[[#This Row],[Desde]],TableDailySummary[Fecha],"&lt;="&amp;TableWeeklySummary[[#This Row],[Hasta]])</f>
        <v>0</v>
      </c>
      <c r="V150" s="12">
        <f ca="1">SUMIFS(TableDailySummary[Inversión meta ads],TableDailySummary[Fecha],"&gt;="&amp;TableWeeklySummary[[#This Row],[Desde]],TableDailySummary[Fecha],"&lt;="&amp;TableWeeklySummary[[#This Row],[Hasta]])</f>
        <v>0</v>
      </c>
      <c r="W150" s="12">
        <f ca="1">SUMIFS(TableDailySummary[Ventas meta ads],TableDailySummary[Fecha],"&gt;="&amp;TableWeeklySummary[[#This Row],[Desde]],TableDailySummary[Fecha],"&lt;="&amp;TableWeeklySummary[[#This Row],[Hasta]])</f>
        <v>0</v>
      </c>
      <c r="X150" s="12">
        <f ca="1">TableWeeklySummary[[#This Row],[Inversión google ads]]+TableWeeklySummary[[#This Row],[Inversión meta ads]]</f>
        <v>0</v>
      </c>
      <c r="Y150" s="12">
        <f ca="1">TableWeeklySummary[[#This Row],[Ventas google ads]]+TableWeeklySummary[[#This Row],[Ventas meta ads]]</f>
        <v>0</v>
      </c>
      <c r="Z150" s="14">
        <f ca="1">IFERROR(TableWeeklySummary[[#This Row],[Ventas publicidad]]/TableWeeklySummary[[#This Row],[Inversión publicidad]],0)</f>
        <v>0</v>
      </c>
      <c r="AA150" s="14">
        <f ca="1">IFERROR(TableWeeklySummary[[#This Row],[Ventas primer cliente]]/TableWeeklySummary[[#This Row],[Inversión publicidad]],0)</f>
        <v>0</v>
      </c>
      <c r="AB150" s="14"/>
      <c r="AC150" s="12"/>
      <c r="AI15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5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50" s="12">
        <f ca="1">SUMIFS(TableDailySummary[Utilidad bruta],TableDailySummary[Fecha],"&gt;="&amp;TableWeeklySummary[[#This Row],[Desde]],TableDailySummary[Fecha],"&lt;="&amp;TableWeeklySummary[[#This Row],[Hasta]])</f>
        <v>0</v>
      </c>
      <c r="AL150" s="18">
        <f ca="1">IFERROR(TableWeeklySummary[[#This Row],[Utilidad bruta]]/TableWeeklySummary[[#This Row],[Ventas netas con costo registrado]],0)</f>
        <v>0</v>
      </c>
    </row>
    <row r="151" spans="2:38" x14ac:dyDescent="0.2">
      <c r="B151" s="16">
        <f ca="1">_xlfn.ISOWEEKNUM(TableWeeklySummary[[#This Row],[Hasta]])</f>
        <v>32</v>
      </c>
      <c r="C151" s="6">
        <f t="shared" ca="1" si="4"/>
        <v>46969</v>
      </c>
      <c r="D151" s="6">
        <f ca="1">TableWeeklySummary[[#This Row],[Desde]]+7-1</f>
        <v>46975</v>
      </c>
      <c r="E151" s="12">
        <f ca="1">SUMIFS(TableDailySummary[Ventas netas totales],TableDailySummary[Fecha],"&gt;="&amp;TableWeeklySummary[[#This Row],[Desde]],TableDailySummary[Fecha],"&lt;="&amp;TableWeeklySummary[[#This Row],[Hasta]])</f>
        <v>0</v>
      </c>
      <c r="F151" s="12">
        <f ca="1">SUMIFS(TableDailySummary[Órdenes totales],TableDailySummary[Fecha],"&gt;="&amp;TableWeeklySummary[[#This Row],[Desde]],TableDailySummary[Fecha],"&lt;="&amp;TableWeeklySummary[[#This Row],[Hasta]])</f>
        <v>0</v>
      </c>
      <c r="G151" s="12">
        <f ca="1">IFERROR(TableWeeklySummary[[#This Row],[Ventas netas totales]]/TableWeeklySummary[[#This Row],[Órdenes totales]],0)</f>
        <v>0</v>
      </c>
      <c r="H15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51" s="12">
        <f ca="1">TableWeeklySummary[[#This Row],[Órden promedio totales]]*TableWeeklySummary[[#This Row],[CR totales]]</f>
        <v>0</v>
      </c>
      <c r="J151" s="12">
        <f ca="1">SUMIFS(TableDailySummary[Ventas primer cliente],TableDailySummary[Fecha],"&gt;="&amp;TableWeeklySummary[[#This Row],[Desde]],TableDailySummary[Fecha],"&lt;="&amp;TableWeeklySummary[[#This Row],[Hasta]])</f>
        <v>0</v>
      </c>
      <c r="K151" s="12">
        <f ca="1">SUMIFS(TableDailySummary[Órdenes primer cliente],TableDailySummary[Fecha],"&gt;="&amp;TableWeeklySummary[[#This Row],[Desde]],TableDailySummary[Fecha],"&lt;="&amp;TableWeeklySummary[[#This Row],[Hasta]])</f>
        <v>0</v>
      </c>
      <c r="L151" s="12">
        <f ca="1">SUMIFS(TableDailySummary[Online Store_net_sales],TableDailySummary[Fecha],"&gt;="&amp;TableWeeklySummary[[#This Row],[Desde]],TableDailySummary[Fecha],"&lt;="&amp;TableWeeklySummary[[#This Row],[Hasta]])</f>
        <v>0</v>
      </c>
      <c r="M151" s="12">
        <f ca="1">SUMIFS(TableDailySummary[Online Store_orders],TableDailySummary[Fecha],"&gt;="&amp;TableWeeklySummary[[#This Row],[Desde]],TableDailySummary[Fecha],"&lt;="&amp;TableWeeklySummary[[#This Row],[Hasta]])</f>
        <v>0</v>
      </c>
      <c r="N151" s="12">
        <f ca="1">SUMIFS(TableDailySummary[Tienda 81_net_sales],TableDailySummary[Fecha],"&gt;="&amp;TableWeeklySummary[[#This Row],[Desde]],TableDailySummary[Fecha],"&lt;="&amp;TableWeeklySummary[[#This Row],[Hasta]])</f>
        <v>0</v>
      </c>
      <c r="O151" s="12">
        <f ca="1">SUMIFS(TableDailySummary[Tienda 81_orders],TableDailySummary[Fecha],"&gt;="&amp;TableWeeklySummary[[#This Row],[Desde]],TableDailySummary[Fecha],"&lt;="&amp;TableWeeklySummary[[#This Row],[Hasta]])</f>
        <v>0</v>
      </c>
      <c r="P151" s="12">
        <f ca="1">SUMIFS(TableDailySummary[Rappi_net_sales],TableDailySummary[Fecha],"&gt;="&amp;TableWeeklySummary[[#This Row],[Desde]],TableDailySummary[Fecha],"&lt;="&amp;TableWeeklySummary[[#This Row],[Hasta]])</f>
        <v>0</v>
      </c>
      <c r="Q151" s="12">
        <f ca="1">SUMIFS(TableDailySummary[Rappi_orders],TableDailySummary[Fecha],"&gt;="&amp;TableWeeklySummary[[#This Row],[Desde]],TableDailySummary[Fecha],"&lt;="&amp;TableWeeklySummary[[#This Row],[Hasta]])</f>
        <v>0</v>
      </c>
      <c r="R15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5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51" s="12">
        <f ca="1">SUMIFS(TableDailySummary[Inversión google ads],TableDailySummary[Fecha],"&gt;="&amp;TableWeeklySummary[[#This Row],[Desde]],TableDailySummary[Fecha],"&lt;="&amp;TableWeeklySummary[[#This Row],[Hasta]])</f>
        <v>0</v>
      </c>
      <c r="U151" s="12">
        <f ca="1">SUMIFS(TableDailySummary[Ventas google ads],TableDailySummary[Fecha],"&gt;="&amp;TableWeeklySummary[[#This Row],[Desde]],TableDailySummary[Fecha],"&lt;="&amp;TableWeeklySummary[[#This Row],[Hasta]])</f>
        <v>0</v>
      </c>
      <c r="V151" s="12">
        <f ca="1">SUMIFS(TableDailySummary[Inversión meta ads],TableDailySummary[Fecha],"&gt;="&amp;TableWeeklySummary[[#This Row],[Desde]],TableDailySummary[Fecha],"&lt;="&amp;TableWeeklySummary[[#This Row],[Hasta]])</f>
        <v>0</v>
      </c>
      <c r="W151" s="12">
        <f ca="1">SUMIFS(TableDailySummary[Ventas meta ads],TableDailySummary[Fecha],"&gt;="&amp;TableWeeklySummary[[#This Row],[Desde]],TableDailySummary[Fecha],"&lt;="&amp;TableWeeklySummary[[#This Row],[Hasta]])</f>
        <v>0</v>
      </c>
      <c r="X151" s="12">
        <f ca="1">TableWeeklySummary[[#This Row],[Inversión google ads]]+TableWeeklySummary[[#This Row],[Inversión meta ads]]</f>
        <v>0</v>
      </c>
      <c r="Y151" s="12">
        <f ca="1">TableWeeklySummary[[#This Row],[Ventas google ads]]+TableWeeklySummary[[#This Row],[Ventas meta ads]]</f>
        <v>0</v>
      </c>
      <c r="Z151" s="14">
        <f ca="1">IFERROR(TableWeeklySummary[[#This Row],[Ventas publicidad]]/TableWeeklySummary[[#This Row],[Inversión publicidad]],0)</f>
        <v>0</v>
      </c>
      <c r="AA151" s="14">
        <f ca="1">IFERROR(TableWeeklySummary[[#This Row],[Ventas primer cliente]]/TableWeeklySummary[[#This Row],[Inversión publicidad]],0)</f>
        <v>0</v>
      </c>
      <c r="AB151" s="14"/>
      <c r="AC151" s="12"/>
      <c r="AI15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5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51" s="12">
        <f ca="1">SUMIFS(TableDailySummary[Utilidad bruta],TableDailySummary[Fecha],"&gt;="&amp;TableWeeklySummary[[#This Row],[Desde]],TableDailySummary[Fecha],"&lt;="&amp;TableWeeklySummary[[#This Row],[Hasta]])</f>
        <v>0</v>
      </c>
      <c r="AL151" s="18">
        <f ca="1">IFERROR(TableWeeklySummary[[#This Row],[Utilidad bruta]]/TableWeeklySummary[[#This Row],[Ventas netas con costo registrado]],0)</f>
        <v>0</v>
      </c>
    </row>
    <row r="152" spans="2:38" x14ac:dyDescent="0.2">
      <c r="B152" s="16">
        <f ca="1">_xlfn.ISOWEEKNUM(TableWeeklySummary[[#This Row],[Hasta]])</f>
        <v>33</v>
      </c>
      <c r="C152" s="6">
        <f t="shared" ca="1" si="4"/>
        <v>46976</v>
      </c>
      <c r="D152" s="6">
        <f ca="1">TableWeeklySummary[[#This Row],[Desde]]+7-1</f>
        <v>46982</v>
      </c>
      <c r="E152" s="12">
        <f ca="1">SUMIFS(TableDailySummary[Ventas netas totales],TableDailySummary[Fecha],"&gt;="&amp;TableWeeklySummary[[#This Row],[Desde]],TableDailySummary[Fecha],"&lt;="&amp;TableWeeklySummary[[#This Row],[Hasta]])</f>
        <v>0</v>
      </c>
      <c r="F152" s="12">
        <f ca="1">SUMIFS(TableDailySummary[Órdenes totales],TableDailySummary[Fecha],"&gt;="&amp;TableWeeklySummary[[#This Row],[Desde]],TableDailySummary[Fecha],"&lt;="&amp;TableWeeklySummary[[#This Row],[Hasta]])</f>
        <v>0</v>
      </c>
      <c r="G152" s="12">
        <f ca="1">IFERROR(TableWeeklySummary[[#This Row],[Ventas netas totales]]/TableWeeklySummary[[#This Row],[Órdenes totales]],0)</f>
        <v>0</v>
      </c>
      <c r="H15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52" s="12">
        <f ca="1">TableWeeklySummary[[#This Row],[Órden promedio totales]]*TableWeeklySummary[[#This Row],[CR totales]]</f>
        <v>0</v>
      </c>
      <c r="J152" s="12">
        <f ca="1">SUMIFS(TableDailySummary[Ventas primer cliente],TableDailySummary[Fecha],"&gt;="&amp;TableWeeklySummary[[#This Row],[Desde]],TableDailySummary[Fecha],"&lt;="&amp;TableWeeklySummary[[#This Row],[Hasta]])</f>
        <v>0</v>
      </c>
      <c r="K152" s="12">
        <f ca="1">SUMIFS(TableDailySummary[Órdenes primer cliente],TableDailySummary[Fecha],"&gt;="&amp;TableWeeklySummary[[#This Row],[Desde]],TableDailySummary[Fecha],"&lt;="&amp;TableWeeklySummary[[#This Row],[Hasta]])</f>
        <v>0</v>
      </c>
      <c r="L152" s="12">
        <f ca="1">SUMIFS(TableDailySummary[Online Store_net_sales],TableDailySummary[Fecha],"&gt;="&amp;TableWeeklySummary[[#This Row],[Desde]],TableDailySummary[Fecha],"&lt;="&amp;TableWeeklySummary[[#This Row],[Hasta]])</f>
        <v>0</v>
      </c>
      <c r="M152" s="12">
        <f ca="1">SUMIFS(TableDailySummary[Online Store_orders],TableDailySummary[Fecha],"&gt;="&amp;TableWeeklySummary[[#This Row],[Desde]],TableDailySummary[Fecha],"&lt;="&amp;TableWeeklySummary[[#This Row],[Hasta]])</f>
        <v>0</v>
      </c>
      <c r="N152" s="12">
        <f ca="1">SUMIFS(TableDailySummary[Tienda 81_net_sales],TableDailySummary[Fecha],"&gt;="&amp;TableWeeklySummary[[#This Row],[Desde]],TableDailySummary[Fecha],"&lt;="&amp;TableWeeklySummary[[#This Row],[Hasta]])</f>
        <v>0</v>
      </c>
      <c r="O152" s="12">
        <f ca="1">SUMIFS(TableDailySummary[Tienda 81_orders],TableDailySummary[Fecha],"&gt;="&amp;TableWeeklySummary[[#This Row],[Desde]],TableDailySummary[Fecha],"&lt;="&amp;TableWeeklySummary[[#This Row],[Hasta]])</f>
        <v>0</v>
      </c>
      <c r="P152" s="12">
        <f ca="1">SUMIFS(TableDailySummary[Rappi_net_sales],TableDailySummary[Fecha],"&gt;="&amp;TableWeeklySummary[[#This Row],[Desde]],TableDailySummary[Fecha],"&lt;="&amp;TableWeeklySummary[[#This Row],[Hasta]])</f>
        <v>0</v>
      </c>
      <c r="Q152" s="12">
        <f ca="1">SUMIFS(TableDailySummary[Rappi_orders],TableDailySummary[Fecha],"&gt;="&amp;TableWeeklySummary[[#This Row],[Desde]],TableDailySummary[Fecha],"&lt;="&amp;TableWeeklySummary[[#This Row],[Hasta]])</f>
        <v>0</v>
      </c>
      <c r="R15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5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52" s="12">
        <f ca="1">SUMIFS(TableDailySummary[Inversión google ads],TableDailySummary[Fecha],"&gt;="&amp;TableWeeklySummary[[#This Row],[Desde]],TableDailySummary[Fecha],"&lt;="&amp;TableWeeklySummary[[#This Row],[Hasta]])</f>
        <v>0</v>
      </c>
      <c r="U152" s="12">
        <f ca="1">SUMIFS(TableDailySummary[Ventas google ads],TableDailySummary[Fecha],"&gt;="&amp;TableWeeklySummary[[#This Row],[Desde]],TableDailySummary[Fecha],"&lt;="&amp;TableWeeklySummary[[#This Row],[Hasta]])</f>
        <v>0</v>
      </c>
      <c r="V152" s="12">
        <f ca="1">SUMIFS(TableDailySummary[Inversión meta ads],TableDailySummary[Fecha],"&gt;="&amp;TableWeeklySummary[[#This Row],[Desde]],TableDailySummary[Fecha],"&lt;="&amp;TableWeeklySummary[[#This Row],[Hasta]])</f>
        <v>0</v>
      </c>
      <c r="W152" s="12">
        <f ca="1">SUMIFS(TableDailySummary[Ventas meta ads],TableDailySummary[Fecha],"&gt;="&amp;TableWeeklySummary[[#This Row],[Desde]],TableDailySummary[Fecha],"&lt;="&amp;TableWeeklySummary[[#This Row],[Hasta]])</f>
        <v>0</v>
      </c>
      <c r="X152" s="12">
        <f ca="1">TableWeeklySummary[[#This Row],[Inversión google ads]]+TableWeeklySummary[[#This Row],[Inversión meta ads]]</f>
        <v>0</v>
      </c>
      <c r="Y152" s="12">
        <f ca="1">TableWeeklySummary[[#This Row],[Ventas google ads]]+TableWeeklySummary[[#This Row],[Ventas meta ads]]</f>
        <v>0</v>
      </c>
      <c r="Z152" s="14">
        <f ca="1">IFERROR(TableWeeklySummary[[#This Row],[Ventas publicidad]]/TableWeeklySummary[[#This Row],[Inversión publicidad]],0)</f>
        <v>0</v>
      </c>
      <c r="AA152" s="14">
        <f ca="1">IFERROR(TableWeeklySummary[[#This Row],[Ventas primer cliente]]/TableWeeklySummary[[#This Row],[Inversión publicidad]],0)</f>
        <v>0</v>
      </c>
      <c r="AB152" s="14"/>
      <c r="AC152" s="12"/>
      <c r="AI15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5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52" s="12">
        <f ca="1">SUMIFS(TableDailySummary[Utilidad bruta],TableDailySummary[Fecha],"&gt;="&amp;TableWeeklySummary[[#This Row],[Desde]],TableDailySummary[Fecha],"&lt;="&amp;TableWeeklySummary[[#This Row],[Hasta]])</f>
        <v>0</v>
      </c>
      <c r="AL152" s="18">
        <f ca="1">IFERROR(TableWeeklySummary[[#This Row],[Utilidad bruta]]/TableWeeklySummary[[#This Row],[Ventas netas con costo registrado]],0)</f>
        <v>0</v>
      </c>
    </row>
    <row r="153" spans="2:38" x14ac:dyDescent="0.2">
      <c r="B153" s="16">
        <f ca="1">_xlfn.ISOWEEKNUM(TableWeeklySummary[[#This Row],[Hasta]])</f>
        <v>34</v>
      </c>
      <c r="C153" s="6">
        <f t="shared" ca="1" si="4"/>
        <v>46983</v>
      </c>
      <c r="D153" s="6">
        <f ca="1">TableWeeklySummary[[#This Row],[Desde]]+7-1</f>
        <v>46989</v>
      </c>
      <c r="E153" s="12">
        <f ca="1">SUMIFS(TableDailySummary[Ventas netas totales],TableDailySummary[Fecha],"&gt;="&amp;TableWeeklySummary[[#This Row],[Desde]],TableDailySummary[Fecha],"&lt;="&amp;TableWeeklySummary[[#This Row],[Hasta]])</f>
        <v>0</v>
      </c>
      <c r="F153" s="12">
        <f ca="1">SUMIFS(TableDailySummary[Órdenes totales],TableDailySummary[Fecha],"&gt;="&amp;TableWeeklySummary[[#This Row],[Desde]],TableDailySummary[Fecha],"&lt;="&amp;TableWeeklySummary[[#This Row],[Hasta]])</f>
        <v>0</v>
      </c>
      <c r="G153" s="12">
        <f ca="1">IFERROR(TableWeeklySummary[[#This Row],[Ventas netas totales]]/TableWeeklySummary[[#This Row],[Órdenes totales]],0)</f>
        <v>0</v>
      </c>
      <c r="H15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53" s="12">
        <f ca="1">TableWeeklySummary[[#This Row],[Órden promedio totales]]*TableWeeklySummary[[#This Row],[CR totales]]</f>
        <v>0</v>
      </c>
      <c r="J153" s="12">
        <f ca="1">SUMIFS(TableDailySummary[Ventas primer cliente],TableDailySummary[Fecha],"&gt;="&amp;TableWeeklySummary[[#This Row],[Desde]],TableDailySummary[Fecha],"&lt;="&amp;TableWeeklySummary[[#This Row],[Hasta]])</f>
        <v>0</v>
      </c>
      <c r="K153" s="12">
        <f ca="1">SUMIFS(TableDailySummary[Órdenes primer cliente],TableDailySummary[Fecha],"&gt;="&amp;TableWeeklySummary[[#This Row],[Desde]],TableDailySummary[Fecha],"&lt;="&amp;TableWeeklySummary[[#This Row],[Hasta]])</f>
        <v>0</v>
      </c>
      <c r="L153" s="12">
        <f ca="1">SUMIFS(TableDailySummary[Online Store_net_sales],TableDailySummary[Fecha],"&gt;="&amp;TableWeeklySummary[[#This Row],[Desde]],TableDailySummary[Fecha],"&lt;="&amp;TableWeeklySummary[[#This Row],[Hasta]])</f>
        <v>0</v>
      </c>
      <c r="M153" s="12">
        <f ca="1">SUMIFS(TableDailySummary[Online Store_orders],TableDailySummary[Fecha],"&gt;="&amp;TableWeeklySummary[[#This Row],[Desde]],TableDailySummary[Fecha],"&lt;="&amp;TableWeeklySummary[[#This Row],[Hasta]])</f>
        <v>0</v>
      </c>
      <c r="N153" s="12">
        <f ca="1">SUMIFS(TableDailySummary[Tienda 81_net_sales],TableDailySummary[Fecha],"&gt;="&amp;TableWeeklySummary[[#This Row],[Desde]],TableDailySummary[Fecha],"&lt;="&amp;TableWeeklySummary[[#This Row],[Hasta]])</f>
        <v>0</v>
      </c>
      <c r="O153" s="12">
        <f ca="1">SUMIFS(TableDailySummary[Tienda 81_orders],TableDailySummary[Fecha],"&gt;="&amp;TableWeeklySummary[[#This Row],[Desde]],TableDailySummary[Fecha],"&lt;="&amp;TableWeeklySummary[[#This Row],[Hasta]])</f>
        <v>0</v>
      </c>
      <c r="P153" s="12">
        <f ca="1">SUMIFS(TableDailySummary[Rappi_net_sales],TableDailySummary[Fecha],"&gt;="&amp;TableWeeklySummary[[#This Row],[Desde]],TableDailySummary[Fecha],"&lt;="&amp;TableWeeklySummary[[#This Row],[Hasta]])</f>
        <v>0</v>
      </c>
      <c r="Q153" s="12">
        <f ca="1">SUMIFS(TableDailySummary[Rappi_orders],TableDailySummary[Fecha],"&gt;="&amp;TableWeeklySummary[[#This Row],[Desde]],TableDailySummary[Fecha],"&lt;="&amp;TableWeeklySummary[[#This Row],[Hasta]])</f>
        <v>0</v>
      </c>
      <c r="R15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5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53" s="12">
        <f ca="1">SUMIFS(TableDailySummary[Inversión google ads],TableDailySummary[Fecha],"&gt;="&amp;TableWeeklySummary[[#This Row],[Desde]],TableDailySummary[Fecha],"&lt;="&amp;TableWeeklySummary[[#This Row],[Hasta]])</f>
        <v>0</v>
      </c>
      <c r="U153" s="12">
        <f ca="1">SUMIFS(TableDailySummary[Ventas google ads],TableDailySummary[Fecha],"&gt;="&amp;TableWeeklySummary[[#This Row],[Desde]],TableDailySummary[Fecha],"&lt;="&amp;TableWeeklySummary[[#This Row],[Hasta]])</f>
        <v>0</v>
      </c>
      <c r="V153" s="12">
        <f ca="1">SUMIFS(TableDailySummary[Inversión meta ads],TableDailySummary[Fecha],"&gt;="&amp;TableWeeklySummary[[#This Row],[Desde]],TableDailySummary[Fecha],"&lt;="&amp;TableWeeklySummary[[#This Row],[Hasta]])</f>
        <v>0</v>
      </c>
      <c r="W153" s="12">
        <f ca="1">SUMIFS(TableDailySummary[Ventas meta ads],TableDailySummary[Fecha],"&gt;="&amp;TableWeeklySummary[[#This Row],[Desde]],TableDailySummary[Fecha],"&lt;="&amp;TableWeeklySummary[[#This Row],[Hasta]])</f>
        <v>0</v>
      </c>
      <c r="X153" s="12">
        <f ca="1">TableWeeklySummary[[#This Row],[Inversión google ads]]+TableWeeklySummary[[#This Row],[Inversión meta ads]]</f>
        <v>0</v>
      </c>
      <c r="Y153" s="12">
        <f ca="1">TableWeeklySummary[[#This Row],[Ventas google ads]]+TableWeeklySummary[[#This Row],[Ventas meta ads]]</f>
        <v>0</v>
      </c>
      <c r="Z153" s="14">
        <f ca="1">IFERROR(TableWeeklySummary[[#This Row],[Ventas publicidad]]/TableWeeklySummary[[#This Row],[Inversión publicidad]],0)</f>
        <v>0</v>
      </c>
      <c r="AA153" s="14">
        <f ca="1">IFERROR(TableWeeklySummary[[#This Row],[Ventas primer cliente]]/TableWeeklySummary[[#This Row],[Inversión publicidad]],0)</f>
        <v>0</v>
      </c>
      <c r="AB153" s="14"/>
      <c r="AC153" s="12"/>
      <c r="AI15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5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53" s="12">
        <f ca="1">SUMIFS(TableDailySummary[Utilidad bruta],TableDailySummary[Fecha],"&gt;="&amp;TableWeeklySummary[[#This Row],[Desde]],TableDailySummary[Fecha],"&lt;="&amp;TableWeeklySummary[[#This Row],[Hasta]])</f>
        <v>0</v>
      </c>
      <c r="AL153" s="18">
        <f ca="1">IFERROR(TableWeeklySummary[[#This Row],[Utilidad bruta]]/TableWeeklySummary[[#This Row],[Ventas netas con costo registrado]],0)</f>
        <v>0</v>
      </c>
    </row>
    <row r="154" spans="2:38" x14ac:dyDescent="0.2">
      <c r="B154" s="16">
        <f ca="1">_xlfn.ISOWEEKNUM(TableWeeklySummary[[#This Row],[Hasta]])</f>
        <v>35</v>
      </c>
      <c r="C154" s="6">
        <f t="shared" ca="1" si="4"/>
        <v>46990</v>
      </c>
      <c r="D154" s="6">
        <f ca="1">TableWeeklySummary[[#This Row],[Desde]]+7-1</f>
        <v>46996</v>
      </c>
      <c r="E154" s="12">
        <f ca="1">SUMIFS(TableDailySummary[Ventas netas totales],TableDailySummary[Fecha],"&gt;="&amp;TableWeeklySummary[[#This Row],[Desde]],TableDailySummary[Fecha],"&lt;="&amp;TableWeeklySummary[[#This Row],[Hasta]])</f>
        <v>0</v>
      </c>
      <c r="F154" s="12">
        <f ca="1">SUMIFS(TableDailySummary[Órdenes totales],TableDailySummary[Fecha],"&gt;="&amp;TableWeeklySummary[[#This Row],[Desde]],TableDailySummary[Fecha],"&lt;="&amp;TableWeeklySummary[[#This Row],[Hasta]])</f>
        <v>0</v>
      </c>
      <c r="G154" s="12">
        <f ca="1">IFERROR(TableWeeklySummary[[#This Row],[Ventas netas totales]]/TableWeeklySummary[[#This Row],[Órdenes totales]],0)</f>
        <v>0</v>
      </c>
      <c r="H15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54" s="12">
        <f ca="1">TableWeeklySummary[[#This Row],[Órden promedio totales]]*TableWeeklySummary[[#This Row],[CR totales]]</f>
        <v>0</v>
      </c>
      <c r="J154" s="12">
        <f ca="1">SUMIFS(TableDailySummary[Ventas primer cliente],TableDailySummary[Fecha],"&gt;="&amp;TableWeeklySummary[[#This Row],[Desde]],TableDailySummary[Fecha],"&lt;="&amp;TableWeeklySummary[[#This Row],[Hasta]])</f>
        <v>0</v>
      </c>
      <c r="K154" s="12">
        <f ca="1">SUMIFS(TableDailySummary[Órdenes primer cliente],TableDailySummary[Fecha],"&gt;="&amp;TableWeeklySummary[[#This Row],[Desde]],TableDailySummary[Fecha],"&lt;="&amp;TableWeeklySummary[[#This Row],[Hasta]])</f>
        <v>0</v>
      </c>
      <c r="L154" s="12">
        <f ca="1">SUMIFS(TableDailySummary[Online Store_net_sales],TableDailySummary[Fecha],"&gt;="&amp;TableWeeklySummary[[#This Row],[Desde]],TableDailySummary[Fecha],"&lt;="&amp;TableWeeklySummary[[#This Row],[Hasta]])</f>
        <v>0</v>
      </c>
      <c r="M154" s="12">
        <f ca="1">SUMIFS(TableDailySummary[Online Store_orders],TableDailySummary[Fecha],"&gt;="&amp;TableWeeklySummary[[#This Row],[Desde]],TableDailySummary[Fecha],"&lt;="&amp;TableWeeklySummary[[#This Row],[Hasta]])</f>
        <v>0</v>
      </c>
      <c r="N154" s="12">
        <f ca="1">SUMIFS(TableDailySummary[Tienda 81_net_sales],TableDailySummary[Fecha],"&gt;="&amp;TableWeeklySummary[[#This Row],[Desde]],TableDailySummary[Fecha],"&lt;="&amp;TableWeeklySummary[[#This Row],[Hasta]])</f>
        <v>0</v>
      </c>
      <c r="O154" s="12">
        <f ca="1">SUMIFS(TableDailySummary[Tienda 81_orders],TableDailySummary[Fecha],"&gt;="&amp;TableWeeklySummary[[#This Row],[Desde]],TableDailySummary[Fecha],"&lt;="&amp;TableWeeklySummary[[#This Row],[Hasta]])</f>
        <v>0</v>
      </c>
      <c r="P154" s="12">
        <f ca="1">SUMIFS(TableDailySummary[Rappi_net_sales],TableDailySummary[Fecha],"&gt;="&amp;TableWeeklySummary[[#This Row],[Desde]],TableDailySummary[Fecha],"&lt;="&amp;TableWeeklySummary[[#This Row],[Hasta]])</f>
        <v>0</v>
      </c>
      <c r="Q154" s="12">
        <f ca="1">SUMIFS(TableDailySummary[Rappi_orders],TableDailySummary[Fecha],"&gt;="&amp;TableWeeklySummary[[#This Row],[Desde]],TableDailySummary[Fecha],"&lt;="&amp;TableWeeklySummary[[#This Row],[Hasta]])</f>
        <v>0</v>
      </c>
      <c r="R15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5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54" s="12">
        <f ca="1">SUMIFS(TableDailySummary[Inversión google ads],TableDailySummary[Fecha],"&gt;="&amp;TableWeeklySummary[[#This Row],[Desde]],TableDailySummary[Fecha],"&lt;="&amp;TableWeeklySummary[[#This Row],[Hasta]])</f>
        <v>0</v>
      </c>
      <c r="U154" s="12">
        <f ca="1">SUMIFS(TableDailySummary[Ventas google ads],TableDailySummary[Fecha],"&gt;="&amp;TableWeeklySummary[[#This Row],[Desde]],TableDailySummary[Fecha],"&lt;="&amp;TableWeeklySummary[[#This Row],[Hasta]])</f>
        <v>0</v>
      </c>
      <c r="V154" s="12">
        <f ca="1">SUMIFS(TableDailySummary[Inversión meta ads],TableDailySummary[Fecha],"&gt;="&amp;TableWeeklySummary[[#This Row],[Desde]],TableDailySummary[Fecha],"&lt;="&amp;TableWeeklySummary[[#This Row],[Hasta]])</f>
        <v>0</v>
      </c>
      <c r="W154" s="12">
        <f ca="1">SUMIFS(TableDailySummary[Ventas meta ads],TableDailySummary[Fecha],"&gt;="&amp;TableWeeklySummary[[#This Row],[Desde]],TableDailySummary[Fecha],"&lt;="&amp;TableWeeklySummary[[#This Row],[Hasta]])</f>
        <v>0</v>
      </c>
      <c r="X154" s="12">
        <f ca="1">TableWeeklySummary[[#This Row],[Inversión google ads]]+TableWeeklySummary[[#This Row],[Inversión meta ads]]</f>
        <v>0</v>
      </c>
      <c r="Y154" s="12">
        <f ca="1">TableWeeklySummary[[#This Row],[Ventas google ads]]+TableWeeklySummary[[#This Row],[Ventas meta ads]]</f>
        <v>0</v>
      </c>
      <c r="Z154" s="14">
        <f ca="1">IFERROR(TableWeeklySummary[[#This Row],[Ventas publicidad]]/TableWeeklySummary[[#This Row],[Inversión publicidad]],0)</f>
        <v>0</v>
      </c>
      <c r="AA154" s="14">
        <f ca="1">IFERROR(TableWeeklySummary[[#This Row],[Ventas primer cliente]]/TableWeeklySummary[[#This Row],[Inversión publicidad]],0)</f>
        <v>0</v>
      </c>
      <c r="AB154" s="14"/>
      <c r="AC154" s="12"/>
      <c r="AI15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5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54" s="12">
        <f ca="1">SUMIFS(TableDailySummary[Utilidad bruta],TableDailySummary[Fecha],"&gt;="&amp;TableWeeklySummary[[#This Row],[Desde]],TableDailySummary[Fecha],"&lt;="&amp;TableWeeklySummary[[#This Row],[Hasta]])</f>
        <v>0</v>
      </c>
      <c r="AL154" s="18">
        <f ca="1">IFERROR(TableWeeklySummary[[#This Row],[Utilidad bruta]]/TableWeeklySummary[[#This Row],[Ventas netas con costo registrado]],0)</f>
        <v>0</v>
      </c>
    </row>
    <row r="155" spans="2:38" x14ac:dyDescent="0.2">
      <c r="B155" s="16">
        <f ca="1">_xlfn.ISOWEEKNUM(TableWeeklySummary[[#This Row],[Hasta]])</f>
        <v>36</v>
      </c>
      <c r="C155" s="6">
        <f t="shared" ca="1" si="4"/>
        <v>46997</v>
      </c>
      <c r="D155" s="6">
        <f ca="1">TableWeeklySummary[[#This Row],[Desde]]+7-1</f>
        <v>47003</v>
      </c>
      <c r="E155" s="12">
        <f ca="1">SUMIFS(TableDailySummary[Ventas netas totales],TableDailySummary[Fecha],"&gt;="&amp;TableWeeklySummary[[#This Row],[Desde]],TableDailySummary[Fecha],"&lt;="&amp;TableWeeklySummary[[#This Row],[Hasta]])</f>
        <v>0</v>
      </c>
      <c r="F155" s="12">
        <f ca="1">SUMIFS(TableDailySummary[Órdenes totales],TableDailySummary[Fecha],"&gt;="&amp;TableWeeklySummary[[#This Row],[Desde]],TableDailySummary[Fecha],"&lt;="&amp;TableWeeklySummary[[#This Row],[Hasta]])</f>
        <v>0</v>
      </c>
      <c r="G155" s="12">
        <f ca="1">IFERROR(TableWeeklySummary[[#This Row],[Ventas netas totales]]/TableWeeklySummary[[#This Row],[Órdenes totales]],0)</f>
        <v>0</v>
      </c>
      <c r="H15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55" s="12">
        <f ca="1">TableWeeklySummary[[#This Row],[Órden promedio totales]]*TableWeeklySummary[[#This Row],[CR totales]]</f>
        <v>0</v>
      </c>
      <c r="J155" s="12">
        <f ca="1">SUMIFS(TableDailySummary[Ventas primer cliente],TableDailySummary[Fecha],"&gt;="&amp;TableWeeklySummary[[#This Row],[Desde]],TableDailySummary[Fecha],"&lt;="&amp;TableWeeklySummary[[#This Row],[Hasta]])</f>
        <v>0</v>
      </c>
      <c r="K155" s="12">
        <f ca="1">SUMIFS(TableDailySummary[Órdenes primer cliente],TableDailySummary[Fecha],"&gt;="&amp;TableWeeklySummary[[#This Row],[Desde]],TableDailySummary[Fecha],"&lt;="&amp;TableWeeklySummary[[#This Row],[Hasta]])</f>
        <v>0</v>
      </c>
      <c r="L155" s="12">
        <f ca="1">SUMIFS(TableDailySummary[Online Store_net_sales],TableDailySummary[Fecha],"&gt;="&amp;TableWeeklySummary[[#This Row],[Desde]],TableDailySummary[Fecha],"&lt;="&amp;TableWeeklySummary[[#This Row],[Hasta]])</f>
        <v>0</v>
      </c>
      <c r="M155" s="12">
        <f ca="1">SUMIFS(TableDailySummary[Online Store_orders],TableDailySummary[Fecha],"&gt;="&amp;TableWeeklySummary[[#This Row],[Desde]],TableDailySummary[Fecha],"&lt;="&amp;TableWeeklySummary[[#This Row],[Hasta]])</f>
        <v>0</v>
      </c>
      <c r="N155" s="12">
        <f ca="1">SUMIFS(TableDailySummary[Tienda 81_net_sales],TableDailySummary[Fecha],"&gt;="&amp;TableWeeklySummary[[#This Row],[Desde]],TableDailySummary[Fecha],"&lt;="&amp;TableWeeklySummary[[#This Row],[Hasta]])</f>
        <v>0</v>
      </c>
      <c r="O155" s="12">
        <f ca="1">SUMIFS(TableDailySummary[Tienda 81_orders],TableDailySummary[Fecha],"&gt;="&amp;TableWeeklySummary[[#This Row],[Desde]],TableDailySummary[Fecha],"&lt;="&amp;TableWeeklySummary[[#This Row],[Hasta]])</f>
        <v>0</v>
      </c>
      <c r="P155" s="12">
        <f ca="1">SUMIFS(TableDailySummary[Rappi_net_sales],TableDailySummary[Fecha],"&gt;="&amp;TableWeeklySummary[[#This Row],[Desde]],TableDailySummary[Fecha],"&lt;="&amp;TableWeeklySummary[[#This Row],[Hasta]])</f>
        <v>0</v>
      </c>
      <c r="Q155" s="12">
        <f ca="1">SUMIFS(TableDailySummary[Rappi_orders],TableDailySummary[Fecha],"&gt;="&amp;TableWeeklySummary[[#This Row],[Desde]],TableDailySummary[Fecha],"&lt;="&amp;TableWeeklySummary[[#This Row],[Hasta]])</f>
        <v>0</v>
      </c>
      <c r="R15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5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55" s="12">
        <f ca="1">SUMIFS(TableDailySummary[Inversión google ads],TableDailySummary[Fecha],"&gt;="&amp;TableWeeklySummary[[#This Row],[Desde]],TableDailySummary[Fecha],"&lt;="&amp;TableWeeklySummary[[#This Row],[Hasta]])</f>
        <v>0</v>
      </c>
      <c r="U155" s="12">
        <f ca="1">SUMIFS(TableDailySummary[Ventas google ads],TableDailySummary[Fecha],"&gt;="&amp;TableWeeklySummary[[#This Row],[Desde]],TableDailySummary[Fecha],"&lt;="&amp;TableWeeklySummary[[#This Row],[Hasta]])</f>
        <v>0</v>
      </c>
      <c r="V155" s="12">
        <f ca="1">SUMIFS(TableDailySummary[Inversión meta ads],TableDailySummary[Fecha],"&gt;="&amp;TableWeeklySummary[[#This Row],[Desde]],TableDailySummary[Fecha],"&lt;="&amp;TableWeeklySummary[[#This Row],[Hasta]])</f>
        <v>0</v>
      </c>
      <c r="W155" s="12">
        <f ca="1">SUMIFS(TableDailySummary[Ventas meta ads],TableDailySummary[Fecha],"&gt;="&amp;TableWeeklySummary[[#This Row],[Desde]],TableDailySummary[Fecha],"&lt;="&amp;TableWeeklySummary[[#This Row],[Hasta]])</f>
        <v>0</v>
      </c>
      <c r="X155" s="12">
        <f ca="1">TableWeeklySummary[[#This Row],[Inversión google ads]]+TableWeeklySummary[[#This Row],[Inversión meta ads]]</f>
        <v>0</v>
      </c>
      <c r="Y155" s="12">
        <f ca="1">TableWeeklySummary[[#This Row],[Ventas google ads]]+TableWeeklySummary[[#This Row],[Ventas meta ads]]</f>
        <v>0</v>
      </c>
      <c r="Z155" s="14">
        <f ca="1">IFERROR(TableWeeklySummary[[#This Row],[Ventas publicidad]]/TableWeeklySummary[[#This Row],[Inversión publicidad]],0)</f>
        <v>0</v>
      </c>
      <c r="AA155" s="14">
        <f ca="1">IFERROR(TableWeeklySummary[[#This Row],[Ventas primer cliente]]/TableWeeklySummary[[#This Row],[Inversión publicidad]],0)</f>
        <v>0</v>
      </c>
      <c r="AB155" s="14"/>
      <c r="AC155" s="12"/>
      <c r="AI15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5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55" s="12">
        <f ca="1">SUMIFS(TableDailySummary[Utilidad bruta],TableDailySummary[Fecha],"&gt;="&amp;TableWeeklySummary[[#This Row],[Desde]],TableDailySummary[Fecha],"&lt;="&amp;TableWeeklySummary[[#This Row],[Hasta]])</f>
        <v>0</v>
      </c>
      <c r="AL155" s="18">
        <f ca="1">IFERROR(TableWeeklySummary[[#This Row],[Utilidad bruta]]/TableWeeklySummary[[#This Row],[Ventas netas con costo registrado]],0)</f>
        <v>0</v>
      </c>
    </row>
    <row r="156" spans="2:38" x14ac:dyDescent="0.2">
      <c r="B156" s="16">
        <f ca="1">_xlfn.ISOWEEKNUM(TableWeeklySummary[[#This Row],[Hasta]])</f>
        <v>37</v>
      </c>
      <c r="C156" s="6">
        <f t="shared" ca="1" si="4"/>
        <v>47004</v>
      </c>
      <c r="D156" s="6">
        <f ca="1">TableWeeklySummary[[#This Row],[Desde]]+7-1</f>
        <v>47010</v>
      </c>
      <c r="E156" s="12">
        <f ca="1">SUMIFS(TableDailySummary[Ventas netas totales],TableDailySummary[Fecha],"&gt;="&amp;TableWeeklySummary[[#This Row],[Desde]],TableDailySummary[Fecha],"&lt;="&amp;TableWeeklySummary[[#This Row],[Hasta]])</f>
        <v>0</v>
      </c>
      <c r="F156" s="12">
        <f ca="1">SUMIFS(TableDailySummary[Órdenes totales],TableDailySummary[Fecha],"&gt;="&amp;TableWeeklySummary[[#This Row],[Desde]],TableDailySummary[Fecha],"&lt;="&amp;TableWeeklySummary[[#This Row],[Hasta]])</f>
        <v>0</v>
      </c>
      <c r="G156" s="12">
        <f ca="1">IFERROR(TableWeeklySummary[[#This Row],[Ventas netas totales]]/TableWeeklySummary[[#This Row],[Órdenes totales]],0)</f>
        <v>0</v>
      </c>
      <c r="H15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56" s="12">
        <f ca="1">TableWeeklySummary[[#This Row],[Órden promedio totales]]*TableWeeklySummary[[#This Row],[CR totales]]</f>
        <v>0</v>
      </c>
      <c r="J156" s="12">
        <f ca="1">SUMIFS(TableDailySummary[Ventas primer cliente],TableDailySummary[Fecha],"&gt;="&amp;TableWeeklySummary[[#This Row],[Desde]],TableDailySummary[Fecha],"&lt;="&amp;TableWeeklySummary[[#This Row],[Hasta]])</f>
        <v>0</v>
      </c>
      <c r="K156" s="12">
        <f ca="1">SUMIFS(TableDailySummary[Órdenes primer cliente],TableDailySummary[Fecha],"&gt;="&amp;TableWeeklySummary[[#This Row],[Desde]],TableDailySummary[Fecha],"&lt;="&amp;TableWeeklySummary[[#This Row],[Hasta]])</f>
        <v>0</v>
      </c>
      <c r="L156" s="12">
        <f ca="1">SUMIFS(TableDailySummary[Online Store_net_sales],TableDailySummary[Fecha],"&gt;="&amp;TableWeeklySummary[[#This Row],[Desde]],TableDailySummary[Fecha],"&lt;="&amp;TableWeeklySummary[[#This Row],[Hasta]])</f>
        <v>0</v>
      </c>
      <c r="M156" s="12">
        <f ca="1">SUMIFS(TableDailySummary[Online Store_orders],TableDailySummary[Fecha],"&gt;="&amp;TableWeeklySummary[[#This Row],[Desde]],TableDailySummary[Fecha],"&lt;="&amp;TableWeeklySummary[[#This Row],[Hasta]])</f>
        <v>0</v>
      </c>
      <c r="N156" s="12">
        <f ca="1">SUMIFS(TableDailySummary[Tienda 81_net_sales],TableDailySummary[Fecha],"&gt;="&amp;TableWeeklySummary[[#This Row],[Desde]],TableDailySummary[Fecha],"&lt;="&amp;TableWeeklySummary[[#This Row],[Hasta]])</f>
        <v>0</v>
      </c>
      <c r="O156" s="12">
        <f ca="1">SUMIFS(TableDailySummary[Tienda 81_orders],TableDailySummary[Fecha],"&gt;="&amp;TableWeeklySummary[[#This Row],[Desde]],TableDailySummary[Fecha],"&lt;="&amp;TableWeeklySummary[[#This Row],[Hasta]])</f>
        <v>0</v>
      </c>
      <c r="P156" s="12">
        <f ca="1">SUMIFS(TableDailySummary[Rappi_net_sales],TableDailySummary[Fecha],"&gt;="&amp;TableWeeklySummary[[#This Row],[Desde]],TableDailySummary[Fecha],"&lt;="&amp;TableWeeklySummary[[#This Row],[Hasta]])</f>
        <v>0</v>
      </c>
      <c r="Q156" s="12">
        <f ca="1">SUMIFS(TableDailySummary[Rappi_orders],TableDailySummary[Fecha],"&gt;="&amp;TableWeeklySummary[[#This Row],[Desde]],TableDailySummary[Fecha],"&lt;="&amp;TableWeeklySummary[[#This Row],[Hasta]])</f>
        <v>0</v>
      </c>
      <c r="R15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5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56" s="12">
        <f ca="1">SUMIFS(TableDailySummary[Inversión google ads],TableDailySummary[Fecha],"&gt;="&amp;TableWeeklySummary[[#This Row],[Desde]],TableDailySummary[Fecha],"&lt;="&amp;TableWeeklySummary[[#This Row],[Hasta]])</f>
        <v>0</v>
      </c>
      <c r="U156" s="12">
        <f ca="1">SUMIFS(TableDailySummary[Ventas google ads],TableDailySummary[Fecha],"&gt;="&amp;TableWeeklySummary[[#This Row],[Desde]],TableDailySummary[Fecha],"&lt;="&amp;TableWeeklySummary[[#This Row],[Hasta]])</f>
        <v>0</v>
      </c>
      <c r="V156" s="12">
        <f ca="1">SUMIFS(TableDailySummary[Inversión meta ads],TableDailySummary[Fecha],"&gt;="&amp;TableWeeklySummary[[#This Row],[Desde]],TableDailySummary[Fecha],"&lt;="&amp;TableWeeklySummary[[#This Row],[Hasta]])</f>
        <v>0</v>
      </c>
      <c r="W156" s="12">
        <f ca="1">SUMIFS(TableDailySummary[Ventas meta ads],TableDailySummary[Fecha],"&gt;="&amp;TableWeeklySummary[[#This Row],[Desde]],TableDailySummary[Fecha],"&lt;="&amp;TableWeeklySummary[[#This Row],[Hasta]])</f>
        <v>0</v>
      </c>
      <c r="X156" s="12">
        <f ca="1">TableWeeklySummary[[#This Row],[Inversión google ads]]+TableWeeklySummary[[#This Row],[Inversión meta ads]]</f>
        <v>0</v>
      </c>
      <c r="Y156" s="12">
        <f ca="1">TableWeeklySummary[[#This Row],[Ventas google ads]]+TableWeeklySummary[[#This Row],[Ventas meta ads]]</f>
        <v>0</v>
      </c>
      <c r="Z156" s="14">
        <f ca="1">IFERROR(TableWeeklySummary[[#This Row],[Ventas publicidad]]/TableWeeklySummary[[#This Row],[Inversión publicidad]],0)</f>
        <v>0</v>
      </c>
      <c r="AA156" s="14">
        <f ca="1">IFERROR(TableWeeklySummary[[#This Row],[Ventas primer cliente]]/TableWeeklySummary[[#This Row],[Inversión publicidad]],0)</f>
        <v>0</v>
      </c>
      <c r="AB156" s="14"/>
      <c r="AC156" s="12"/>
      <c r="AI15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5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56" s="12">
        <f ca="1">SUMIFS(TableDailySummary[Utilidad bruta],TableDailySummary[Fecha],"&gt;="&amp;TableWeeklySummary[[#This Row],[Desde]],TableDailySummary[Fecha],"&lt;="&amp;TableWeeklySummary[[#This Row],[Hasta]])</f>
        <v>0</v>
      </c>
      <c r="AL156" s="18">
        <f ca="1">IFERROR(TableWeeklySummary[[#This Row],[Utilidad bruta]]/TableWeeklySummary[[#This Row],[Ventas netas con costo registrado]],0)</f>
        <v>0</v>
      </c>
    </row>
    <row r="157" spans="2:38" x14ac:dyDescent="0.2">
      <c r="B157" s="16">
        <f ca="1">_xlfn.ISOWEEKNUM(TableWeeklySummary[[#This Row],[Hasta]])</f>
        <v>38</v>
      </c>
      <c r="C157" s="6">
        <f t="shared" ca="1" si="4"/>
        <v>47011</v>
      </c>
      <c r="D157" s="6">
        <f ca="1">TableWeeklySummary[[#This Row],[Desde]]+7-1</f>
        <v>47017</v>
      </c>
      <c r="E157" s="12">
        <f ca="1">SUMIFS(TableDailySummary[Ventas netas totales],TableDailySummary[Fecha],"&gt;="&amp;TableWeeklySummary[[#This Row],[Desde]],TableDailySummary[Fecha],"&lt;="&amp;TableWeeklySummary[[#This Row],[Hasta]])</f>
        <v>0</v>
      </c>
      <c r="F157" s="12">
        <f ca="1">SUMIFS(TableDailySummary[Órdenes totales],TableDailySummary[Fecha],"&gt;="&amp;TableWeeklySummary[[#This Row],[Desde]],TableDailySummary[Fecha],"&lt;="&amp;TableWeeklySummary[[#This Row],[Hasta]])</f>
        <v>0</v>
      </c>
      <c r="G157" s="12">
        <f ca="1">IFERROR(TableWeeklySummary[[#This Row],[Ventas netas totales]]/TableWeeklySummary[[#This Row],[Órdenes totales]],0)</f>
        <v>0</v>
      </c>
      <c r="H15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57" s="12">
        <f ca="1">TableWeeklySummary[[#This Row],[Órden promedio totales]]*TableWeeklySummary[[#This Row],[CR totales]]</f>
        <v>0</v>
      </c>
      <c r="J157" s="12">
        <f ca="1">SUMIFS(TableDailySummary[Ventas primer cliente],TableDailySummary[Fecha],"&gt;="&amp;TableWeeklySummary[[#This Row],[Desde]],TableDailySummary[Fecha],"&lt;="&amp;TableWeeklySummary[[#This Row],[Hasta]])</f>
        <v>0</v>
      </c>
      <c r="K157" s="12">
        <f ca="1">SUMIFS(TableDailySummary[Órdenes primer cliente],TableDailySummary[Fecha],"&gt;="&amp;TableWeeklySummary[[#This Row],[Desde]],TableDailySummary[Fecha],"&lt;="&amp;TableWeeklySummary[[#This Row],[Hasta]])</f>
        <v>0</v>
      </c>
      <c r="L157" s="12">
        <f ca="1">SUMIFS(TableDailySummary[Online Store_net_sales],TableDailySummary[Fecha],"&gt;="&amp;TableWeeklySummary[[#This Row],[Desde]],TableDailySummary[Fecha],"&lt;="&amp;TableWeeklySummary[[#This Row],[Hasta]])</f>
        <v>0</v>
      </c>
      <c r="M157" s="12">
        <f ca="1">SUMIFS(TableDailySummary[Online Store_orders],TableDailySummary[Fecha],"&gt;="&amp;TableWeeklySummary[[#This Row],[Desde]],TableDailySummary[Fecha],"&lt;="&amp;TableWeeklySummary[[#This Row],[Hasta]])</f>
        <v>0</v>
      </c>
      <c r="N157" s="12">
        <f ca="1">SUMIFS(TableDailySummary[Tienda 81_net_sales],TableDailySummary[Fecha],"&gt;="&amp;TableWeeklySummary[[#This Row],[Desde]],TableDailySummary[Fecha],"&lt;="&amp;TableWeeklySummary[[#This Row],[Hasta]])</f>
        <v>0</v>
      </c>
      <c r="O157" s="12">
        <f ca="1">SUMIFS(TableDailySummary[Tienda 81_orders],TableDailySummary[Fecha],"&gt;="&amp;TableWeeklySummary[[#This Row],[Desde]],TableDailySummary[Fecha],"&lt;="&amp;TableWeeklySummary[[#This Row],[Hasta]])</f>
        <v>0</v>
      </c>
      <c r="P157" s="12">
        <f ca="1">SUMIFS(TableDailySummary[Rappi_net_sales],TableDailySummary[Fecha],"&gt;="&amp;TableWeeklySummary[[#This Row],[Desde]],TableDailySummary[Fecha],"&lt;="&amp;TableWeeklySummary[[#This Row],[Hasta]])</f>
        <v>0</v>
      </c>
      <c r="Q157" s="12">
        <f ca="1">SUMIFS(TableDailySummary[Rappi_orders],TableDailySummary[Fecha],"&gt;="&amp;TableWeeklySummary[[#This Row],[Desde]],TableDailySummary[Fecha],"&lt;="&amp;TableWeeklySummary[[#This Row],[Hasta]])</f>
        <v>0</v>
      </c>
      <c r="R15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5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57" s="12">
        <f ca="1">SUMIFS(TableDailySummary[Inversión google ads],TableDailySummary[Fecha],"&gt;="&amp;TableWeeklySummary[[#This Row],[Desde]],TableDailySummary[Fecha],"&lt;="&amp;TableWeeklySummary[[#This Row],[Hasta]])</f>
        <v>0</v>
      </c>
      <c r="U157" s="12">
        <f ca="1">SUMIFS(TableDailySummary[Ventas google ads],TableDailySummary[Fecha],"&gt;="&amp;TableWeeklySummary[[#This Row],[Desde]],TableDailySummary[Fecha],"&lt;="&amp;TableWeeklySummary[[#This Row],[Hasta]])</f>
        <v>0</v>
      </c>
      <c r="V157" s="12">
        <f ca="1">SUMIFS(TableDailySummary[Inversión meta ads],TableDailySummary[Fecha],"&gt;="&amp;TableWeeklySummary[[#This Row],[Desde]],TableDailySummary[Fecha],"&lt;="&amp;TableWeeklySummary[[#This Row],[Hasta]])</f>
        <v>0</v>
      </c>
      <c r="W157" s="12">
        <f ca="1">SUMIFS(TableDailySummary[Ventas meta ads],TableDailySummary[Fecha],"&gt;="&amp;TableWeeklySummary[[#This Row],[Desde]],TableDailySummary[Fecha],"&lt;="&amp;TableWeeklySummary[[#This Row],[Hasta]])</f>
        <v>0</v>
      </c>
      <c r="X157" s="12">
        <f ca="1">TableWeeklySummary[[#This Row],[Inversión google ads]]+TableWeeklySummary[[#This Row],[Inversión meta ads]]</f>
        <v>0</v>
      </c>
      <c r="Y157" s="12">
        <f ca="1">TableWeeklySummary[[#This Row],[Ventas google ads]]+TableWeeklySummary[[#This Row],[Ventas meta ads]]</f>
        <v>0</v>
      </c>
      <c r="Z157" s="14">
        <f ca="1">IFERROR(TableWeeklySummary[[#This Row],[Ventas publicidad]]/TableWeeklySummary[[#This Row],[Inversión publicidad]],0)</f>
        <v>0</v>
      </c>
      <c r="AA157" s="14">
        <f ca="1">IFERROR(TableWeeklySummary[[#This Row],[Ventas primer cliente]]/TableWeeklySummary[[#This Row],[Inversión publicidad]],0)</f>
        <v>0</v>
      </c>
      <c r="AB157" s="14"/>
      <c r="AC157" s="12"/>
      <c r="AI15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5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57" s="12">
        <f ca="1">SUMIFS(TableDailySummary[Utilidad bruta],TableDailySummary[Fecha],"&gt;="&amp;TableWeeklySummary[[#This Row],[Desde]],TableDailySummary[Fecha],"&lt;="&amp;TableWeeklySummary[[#This Row],[Hasta]])</f>
        <v>0</v>
      </c>
      <c r="AL157" s="18">
        <f ca="1">IFERROR(TableWeeklySummary[[#This Row],[Utilidad bruta]]/TableWeeklySummary[[#This Row],[Ventas netas con costo registrado]],0)</f>
        <v>0</v>
      </c>
    </row>
    <row r="158" spans="2:38" x14ac:dyDescent="0.2">
      <c r="B158" s="16">
        <f ca="1">_xlfn.ISOWEEKNUM(TableWeeklySummary[[#This Row],[Hasta]])</f>
        <v>39</v>
      </c>
      <c r="C158" s="6">
        <f t="shared" ca="1" si="4"/>
        <v>47018</v>
      </c>
      <c r="D158" s="6">
        <f ca="1">TableWeeklySummary[[#This Row],[Desde]]+7-1</f>
        <v>47024</v>
      </c>
      <c r="E158" s="12">
        <f ca="1">SUMIFS(TableDailySummary[Ventas netas totales],TableDailySummary[Fecha],"&gt;="&amp;TableWeeklySummary[[#This Row],[Desde]],TableDailySummary[Fecha],"&lt;="&amp;TableWeeklySummary[[#This Row],[Hasta]])</f>
        <v>0</v>
      </c>
      <c r="F158" s="12">
        <f ca="1">SUMIFS(TableDailySummary[Órdenes totales],TableDailySummary[Fecha],"&gt;="&amp;TableWeeklySummary[[#This Row],[Desde]],TableDailySummary[Fecha],"&lt;="&amp;TableWeeklySummary[[#This Row],[Hasta]])</f>
        <v>0</v>
      </c>
      <c r="G158" s="12">
        <f ca="1">IFERROR(TableWeeklySummary[[#This Row],[Ventas netas totales]]/TableWeeklySummary[[#This Row],[Órdenes totales]],0)</f>
        <v>0</v>
      </c>
      <c r="H15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58" s="12">
        <f ca="1">TableWeeklySummary[[#This Row],[Órden promedio totales]]*TableWeeklySummary[[#This Row],[CR totales]]</f>
        <v>0</v>
      </c>
      <c r="J158" s="12">
        <f ca="1">SUMIFS(TableDailySummary[Ventas primer cliente],TableDailySummary[Fecha],"&gt;="&amp;TableWeeklySummary[[#This Row],[Desde]],TableDailySummary[Fecha],"&lt;="&amp;TableWeeklySummary[[#This Row],[Hasta]])</f>
        <v>0</v>
      </c>
      <c r="K158" s="12">
        <f ca="1">SUMIFS(TableDailySummary[Órdenes primer cliente],TableDailySummary[Fecha],"&gt;="&amp;TableWeeklySummary[[#This Row],[Desde]],TableDailySummary[Fecha],"&lt;="&amp;TableWeeklySummary[[#This Row],[Hasta]])</f>
        <v>0</v>
      </c>
      <c r="L158" s="12">
        <f ca="1">SUMIFS(TableDailySummary[Online Store_net_sales],TableDailySummary[Fecha],"&gt;="&amp;TableWeeklySummary[[#This Row],[Desde]],TableDailySummary[Fecha],"&lt;="&amp;TableWeeklySummary[[#This Row],[Hasta]])</f>
        <v>0</v>
      </c>
      <c r="M158" s="12">
        <f ca="1">SUMIFS(TableDailySummary[Online Store_orders],TableDailySummary[Fecha],"&gt;="&amp;TableWeeklySummary[[#This Row],[Desde]],TableDailySummary[Fecha],"&lt;="&amp;TableWeeklySummary[[#This Row],[Hasta]])</f>
        <v>0</v>
      </c>
      <c r="N158" s="12">
        <f ca="1">SUMIFS(TableDailySummary[Tienda 81_net_sales],TableDailySummary[Fecha],"&gt;="&amp;TableWeeklySummary[[#This Row],[Desde]],TableDailySummary[Fecha],"&lt;="&amp;TableWeeklySummary[[#This Row],[Hasta]])</f>
        <v>0</v>
      </c>
      <c r="O158" s="12">
        <f ca="1">SUMIFS(TableDailySummary[Tienda 81_orders],TableDailySummary[Fecha],"&gt;="&amp;TableWeeklySummary[[#This Row],[Desde]],TableDailySummary[Fecha],"&lt;="&amp;TableWeeklySummary[[#This Row],[Hasta]])</f>
        <v>0</v>
      </c>
      <c r="P158" s="12">
        <f ca="1">SUMIFS(TableDailySummary[Rappi_net_sales],TableDailySummary[Fecha],"&gt;="&amp;TableWeeklySummary[[#This Row],[Desde]],TableDailySummary[Fecha],"&lt;="&amp;TableWeeklySummary[[#This Row],[Hasta]])</f>
        <v>0</v>
      </c>
      <c r="Q158" s="12">
        <f ca="1">SUMIFS(TableDailySummary[Rappi_orders],TableDailySummary[Fecha],"&gt;="&amp;TableWeeklySummary[[#This Row],[Desde]],TableDailySummary[Fecha],"&lt;="&amp;TableWeeklySummary[[#This Row],[Hasta]])</f>
        <v>0</v>
      </c>
      <c r="R15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5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58" s="12">
        <f ca="1">SUMIFS(TableDailySummary[Inversión google ads],TableDailySummary[Fecha],"&gt;="&amp;TableWeeklySummary[[#This Row],[Desde]],TableDailySummary[Fecha],"&lt;="&amp;TableWeeklySummary[[#This Row],[Hasta]])</f>
        <v>0</v>
      </c>
      <c r="U158" s="12">
        <f ca="1">SUMIFS(TableDailySummary[Ventas google ads],TableDailySummary[Fecha],"&gt;="&amp;TableWeeklySummary[[#This Row],[Desde]],TableDailySummary[Fecha],"&lt;="&amp;TableWeeklySummary[[#This Row],[Hasta]])</f>
        <v>0</v>
      </c>
      <c r="V158" s="12">
        <f ca="1">SUMIFS(TableDailySummary[Inversión meta ads],TableDailySummary[Fecha],"&gt;="&amp;TableWeeklySummary[[#This Row],[Desde]],TableDailySummary[Fecha],"&lt;="&amp;TableWeeklySummary[[#This Row],[Hasta]])</f>
        <v>0</v>
      </c>
      <c r="W158" s="12">
        <f ca="1">SUMIFS(TableDailySummary[Ventas meta ads],TableDailySummary[Fecha],"&gt;="&amp;TableWeeklySummary[[#This Row],[Desde]],TableDailySummary[Fecha],"&lt;="&amp;TableWeeklySummary[[#This Row],[Hasta]])</f>
        <v>0</v>
      </c>
      <c r="X158" s="12">
        <f ca="1">TableWeeklySummary[[#This Row],[Inversión google ads]]+TableWeeklySummary[[#This Row],[Inversión meta ads]]</f>
        <v>0</v>
      </c>
      <c r="Y158" s="12">
        <f ca="1">TableWeeklySummary[[#This Row],[Ventas google ads]]+TableWeeklySummary[[#This Row],[Ventas meta ads]]</f>
        <v>0</v>
      </c>
      <c r="Z158" s="14">
        <f ca="1">IFERROR(TableWeeklySummary[[#This Row],[Ventas publicidad]]/TableWeeklySummary[[#This Row],[Inversión publicidad]],0)</f>
        <v>0</v>
      </c>
      <c r="AA158" s="14">
        <f ca="1">IFERROR(TableWeeklySummary[[#This Row],[Ventas primer cliente]]/TableWeeklySummary[[#This Row],[Inversión publicidad]],0)</f>
        <v>0</v>
      </c>
      <c r="AB158" s="14"/>
      <c r="AC158" s="12"/>
      <c r="AI15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5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58" s="12">
        <f ca="1">SUMIFS(TableDailySummary[Utilidad bruta],TableDailySummary[Fecha],"&gt;="&amp;TableWeeklySummary[[#This Row],[Desde]],TableDailySummary[Fecha],"&lt;="&amp;TableWeeklySummary[[#This Row],[Hasta]])</f>
        <v>0</v>
      </c>
      <c r="AL158" s="18">
        <f ca="1">IFERROR(TableWeeklySummary[[#This Row],[Utilidad bruta]]/TableWeeklySummary[[#This Row],[Ventas netas con costo registrado]],0)</f>
        <v>0</v>
      </c>
    </row>
    <row r="159" spans="2:38" x14ac:dyDescent="0.2">
      <c r="B159" s="16">
        <f ca="1">_xlfn.ISOWEEKNUM(TableWeeklySummary[[#This Row],[Hasta]])</f>
        <v>40</v>
      </c>
      <c r="C159" s="6">
        <f t="shared" ca="1" si="4"/>
        <v>47025</v>
      </c>
      <c r="D159" s="6">
        <f ca="1">TableWeeklySummary[[#This Row],[Desde]]+7-1</f>
        <v>47031</v>
      </c>
      <c r="E159" s="12">
        <f ca="1">SUMIFS(TableDailySummary[Ventas netas totales],TableDailySummary[Fecha],"&gt;="&amp;TableWeeklySummary[[#This Row],[Desde]],TableDailySummary[Fecha],"&lt;="&amp;TableWeeklySummary[[#This Row],[Hasta]])</f>
        <v>0</v>
      </c>
      <c r="F159" s="12">
        <f ca="1">SUMIFS(TableDailySummary[Órdenes totales],TableDailySummary[Fecha],"&gt;="&amp;TableWeeklySummary[[#This Row],[Desde]],TableDailySummary[Fecha],"&lt;="&amp;TableWeeklySummary[[#This Row],[Hasta]])</f>
        <v>0</v>
      </c>
      <c r="G159" s="12">
        <f ca="1">IFERROR(TableWeeklySummary[[#This Row],[Ventas netas totales]]/TableWeeklySummary[[#This Row],[Órdenes totales]],0)</f>
        <v>0</v>
      </c>
      <c r="H15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59" s="12">
        <f ca="1">TableWeeklySummary[[#This Row],[Órden promedio totales]]*TableWeeklySummary[[#This Row],[CR totales]]</f>
        <v>0</v>
      </c>
      <c r="J159" s="12">
        <f ca="1">SUMIFS(TableDailySummary[Ventas primer cliente],TableDailySummary[Fecha],"&gt;="&amp;TableWeeklySummary[[#This Row],[Desde]],TableDailySummary[Fecha],"&lt;="&amp;TableWeeklySummary[[#This Row],[Hasta]])</f>
        <v>0</v>
      </c>
      <c r="K159" s="12">
        <f ca="1">SUMIFS(TableDailySummary[Órdenes primer cliente],TableDailySummary[Fecha],"&gt;="&amp;TableWeeklySummary[[#This Row],[Desde]],TableDailySummary[Fecha],"&lt;="&amp;TableWeeklySummary[[#This Row],[Hasta]])</f>
        <v>0</v>
      </c>
      <c r="L159" s="12">
        <f ca="1">SUMIFS(TableDailySummary[Online Store_net_sales],TableDailySummary[Fecha],"&gt;="&amp;TableWeeklySummary[[#This Row],[Desde]],TableDailySummary[Fecha],"&lt;="&amp;TableWeeklySummary[[#This Row],[Hasta]])</f>
        <v>0</v>
      </c>
      <c r="M159" s="12">
        <f ca="1">SUMIFS(TableDailySummary[Online Store_orders],TableDailySummary[Fecha],"&gt;="&amp;TableWeeklySummary[[#This Row],[Desde]],TableDailySummary[Fecha],"&lt;="&amp;TableWeeklySummary[[#This Row],[Hasta]])</f>
        <v>0</v>
      </c>
      <c r="N159" s="12">
        <f ca="1">SUMIFS(TableDailySummary[Tienda 81_net_sales],TableDailySummary[Fecha],"&gt;="&amp;TableWeeklySummary[[#This Row],[Desde]],TableDailySummary[Fecha],"&lt;="&amp;TableWeeklySummary[[#This Row],[Hasta]])</f>
        <v>0</v>
      </c>
      <c r="O159" s="12">
        <f ca="1">SUMIFS(TableDailySummary[Tienda 81_orders],TableDailySummary[Fecha],"&gt;="&amp;TableWeeklySummary[[#This Row],[Desde]],TableDailySummary[Fecha],"&lt;="&amp;TableWeeklySummary[[#This Row],[Hasta]])</f>
        <v>0</v>
      </c>
      <c r="P159" s="12">
        <f ca="1">SUMIFS(TableDailySummary[Rappi_net_sales],TableDailySummary[Fecha],"&gt;="&amp;TableWeeklySummary[[#This Row],[Desde]],TableDailySummary[Fecha],"&lt;="&amp;TableWeeklySummary[[#This Row],[Hasta]])</f>
        <v>0</v>
      </c>
      <c r="Q159" s="12">
        <f ca="1">SUMIFS(TableDailySummary[Rappi_orders],TableDailySummary[Fecha],"&gt;="&amp;TableWeeklySummary[[#This Row],[Desde]],TableDailySummary[Fecha],"&lt;="&amp;TableWeeklySummary[[#This Row],[Hasta]])</f>
        <v>0</v>
      </c>
      <c r="R15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5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59" s="12">
        <f ca="1">SUMIFS(TableDailySummary[Inversión google ads],TableDailySummary[Fecha],"&gt;="&amp;TableWeeklySummary[[#This Row],[Desde]],TableDailySummary[Fecha],"&lt;="&amp;TableWeeklySummary[[#This Row],[Hasta]])</f>
        <v>0</v>
      </c>
      <c r="U159" s="12">
        <f ca="1">SUMIFS(TableDailySummary[Ventas google ads],TableDailySummary[Fecha],"&gt;="&amp;TableWeeklySummary[[#This Row],[Desde]],TableDailySummary[Fecha],"&lt;="&amp;TableWeeklySummary[[#This Row],[Hasta]])</f>
        <v>0</v>
      </c>
      <c r="V159" s="12">
        <f ca="1">SUMIFS(TableDailySummary[Inversión meta ads],TableDailySummary[Fecha],"&gt;="&amp;TableWeeklySummary[[#This Row],[Desde]],TableDailySummary[Fecha],"&lt;="&amp;TableWeeklySummary[[#This Row],[Hasta]])</f>
        <v>0</v>
      </c>
      <c r="W159" s="12">
        <f ca="1">SUMIFS(TableDailySummary[Ventas meta ads],TableDailySummary[Fecha],"&gt;="&amp;TableWeeklySummary[[#This Row],[Desde]],TableDailySummary[Fecha],"&lt;="&amp;TableWeeklySummary[[#This Row],[Hasta]])</f>
        <v>0</v>
      </c>
      <c r="X159" s="12">
        <f ca="1">TableWeeklySummary[[#This Row],[Inversión google ads]]+TableWeeklySummary[[#This Row],[Inversión meta ads]]</f>
        <v>0</v>
      </c>
      <c r="Y159" s="12">
        <f ca="1">TableWeeklySummary[[#This Row],[Ventas google ads]]+TableWeeklySummary[[#This Row],[Ventas meta ads]]</f>
        <v>0</v>
      </c>
      <c r="Z159" s="14">
        <f ca="1">IFERROR(TableWeeklySummary[[#This Row],[Ventas publicidad]]/TableWeeklySummary[[#This Row],[Inversión publicidad]],0)</f>
        <v>0</v>
      </c>
      <c r="AA159" s="14">
        <f ca="1">IFERROR(TableWeeklySummary[[#This Row],[Ventas primer cliente]]/TableWeeklySummary[[#This Row],[Inversión publicidad]],0)</f>
        <v>0</v>
      </c>
      <c r="AB159" s="14"/>
      <c r="AC159" s="12"/>
      <c r="AI15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5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59" s="12">
        <f ca="1">SUMIFS(TableDailySummary[Utilidad bruta],TableDailySummary[Fecha],"&gt;="&amp;TableWeeklySummary[[#This Row],[Desde]],TableDailySummary[Fecha],"&lt;="&amp;TableWeeklySummary[[#This Row],[Hasta]])</f>
        <v>0</v>
      </c>
      <c r="AL159" s="18">
        <f ca="1">IFERROR(TableWeeklySummary[[#This Row],[Utilidad bruta]]/TableWeeklySummary[[#This Row],[Ventas netas con costo registrado]],0)</f>
        <v>0</v>
      </c>
    </row>
    <row r="160" spans="2:38" x14ac:dyDescent="0.2">
      <c r="B160" s="16">
        <f ca="1">_xlfn.ISOWEEKNUM(TableWeeklySummary[[#This Row],[Hasta]])</f>
        <v>41</v>
      </c>
      <c r="C160" s="6">
        <f t="shared" ca="1" si="4"/>
        <v>47032</v>
      </c>
      <c r="D160" s="6">
        <f ca="1">TableWeeklySummary[[#This Row],[Desde]]+7-1</f>
        <v>47038</v>
      </c>
      <c r="E160" s="12">
        <f ca="1">SUMIFS(TableDailySummary[Ventas netas totales],TableDailySummary[Fecha],"&gt;="&amp;TableWeeklySummary[[#This Row],[Desde]],TableDailySummary[Fecha],"&lt;="&amp;TableWeeklySummary[[#This Row],[Hasta]])</f>
        <v>0</v>
      </c>
      <c r="F160" s="12">
        <f ca="1">SUMIFS(TableDailySummary[Órdenes totales],TableDailySummary[Fecha],"&gt;="&amp;TableWeeklySummary[[#This Row],[Desde]],TableDailySummary[Fecha],"&lt;="&amp;TableWeeklySummary[[#This Row],[Hasta]])</f>
        <v>0</v>
      </c>
      <c r="G160" s="12">
        <f ca="1">IFERROR(TableWeeklySummary[[#This Row],[Ventas netas totales]]/TableWeeklySummary[[#This Row],[Órdenes totales]],0)</f>
        <v>0</v>
      </c>
      <c r="H16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60" s="12">
        <f ca="1">TableWeeklySummary[[#This Row],[Órden promedio totales]]*TableWeeklySummary[[#This Row],[CR totales]]</f>
        <v>0</v>
      </c>
      <c r="J160" s="12">
        <f ca="1">SUMIFS(TableDailySummary[Ventas primer cliente],TableDailySummary[Fecha],"&gt;="&amp;TableWeeklySummary[[#This Row],[Desde]],TableDailySummary[Fecha],"&lt;="&amp;TableWeeklySummary[[#This Row],[Hasta]])</f>
        <v>0</v>
      </c>
      <c r="K160" s="12">
        <f ca="1">SUMIFS(TableDailySummary[Órdenes primer cliente],TableDailySummary[Fecha],"&gt;="&amp;TableWeeklySummary[[#This Row],[Desde]],TableDailySummary[Fecha],"&lt;="&amp;TableWeeklySummary[[#This Row],[Hasta]])</f>
        <v>0</v>
      </c>
      <c r="L160" s="12">
        <f ca="1">SUMIFS(TableDailySummary[Online Store_net_sales],TableDailySummary[Fecha],"&gt;="&amp;TableWeeklySummary[[#This Row],[Desde]],TableDailySummary[Fecha],"&lt;="&amp;TableWeeklySummary[[#This Row],[Hasta]])</f>
        <v>0</v>
      </c>
      <c r="M160" s="12">
        <f ca="1">SUMIFS(TableDailySummary[Online Store_orders],TableDailySummary[Fecha],"&gt;="&amp;TableWeeklySummary[[#This Row],[Desde]],TableDailySummary[Fecha],"&lt;="&amp;TableWeeklySummary[[#This Row],[Hasta]])</f>
        <v>0</v>
      </c>
      <c r="N160" s="12">
        <f ca="1">SUMIFS(TableDailySummary[Tienda 81_net_sales],TableDailySummary[Fecha],"&gt;="&amp;TableWeeklySummary[[#This Row],[Desde]],TableDailySummary[Fecha],"&lt;="&amp;TableWeeklySummary[[#This Row],[Hasta]])</f>
        <v>0</v>
      </c>
      <c r="O160" s="12">
        <f ca="1">SUMIFS(TableDailySummary[Tienda 81_orders],TableDailySummary[Fecha],"&gt;="&amp;TableWeeklySummary[[#This Row],[Desde]],TableDailySummary[Fecha],"&lt;="&amp;TableWeeklySummary[[#This Row],[Hasta]])</f>
        <v>0</v>
      </c>
      <c r="P160" s="12">
        <f ca="1">SUMIFS(TableDailySummary[Rappi_net_sales],TableDailySummary[Fecha],"&gt;="&amp;TableWeeklySummary[[#This Row],[Desde]],TableDailySummary[Fecha],"&lt;="&amp;TableWeeklySummary[[#This Row],[Hasta]])</f>
        <v>0</v>
      </c>
      <c r="Q160" s="12">
        <f ca="1">SUMIFS(TableDailySummary[Rappi_orders],TableDailySummary[Fecha],"&gt;="&amp;TableWeeklySummary[[#This Row],[Desde]],TableDailySummary[Fecha],"&lt;="&amp;TableWeeklySummary[[#This Row],[Hasta]])</f>
        <v>0</v>
      </c>
      <c r="R16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6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60" s="12">
        <f ca="1">SUMIFS(TableDailySummary[Inversión google ads],TableDailySummary[Fecha],"&gt;="&amp;TableWeeklySummary[[#This Row],[Desde]],TableDailySummary[Fecha],"&lt;="&amp;TableWeeklySummary[[#This Row],[Hasta]])</f>
        <v>0</v>
      </c>
      <c r="U160" s="12">
        <f ca="1">SUMIFS(TableDailySummary[Ventas google ads],TableDailySummary[Fecha],"&gt;="&amp;TableWeeklySummary[[#This Row],[Desde]],TableDailySummary[Fecha],"&lt;="&amp;TableWeeklySummary[[#This Row],[Hasta]])</f>
        <v>0</v>
      </c>
      <c r="V160" s="12">
        <f ca="1">SUMIFS(TableDailySummary[Inversión meta ads],TableDailySummary[Fecha],"&gt;="&amp;TableWeeklySummary[[#This Row],[Desde]],TableDailySummary[Fecha],"&lt;="&amp;TableWeeklySummary[[#This Row],[Hasta]])</f>
        <v>0</v>
      </c>
      <c r="W160" s="12">
        <f ca="1">SUMIFS(TableDailySummary[Ventas meta ads],TableDailySummary[Fecha],"&gt;="&amp;TableWeeklySummary[[#This Row],[Desde]],TableDailySummary[Fecha],"&lt;="&amp;TableWeeklySummary[[#This Row],[Hasta]])</f>
        <v>0</v>
      </c>
      <c r="X160" s="12">
        <f ca="1">TableWeeklySummary[[#This Row],[Inversión google ads]]+TableWeeklySummary[[#This Row],[Inversión meta ads]]</f>
        <v>0</v>
      </c>
      <c r="Y160" s="12">
        <f ca="1">TableWeeklySummary[[#This Row],[Ventas google ads]]+TableWeeklySummary[[#This Row],[Ventas meta ads]]</f>
        <v>0</v>
      </c>
      <c r="Z160" s="14">
        <f ca="1">IFERROR(TableWeeklySummary[[#This Row],[Ventas publicidad]]/TableWeeklySummary[[#This Row],[Inversión publicidad]],0)</f>
        <v>0</v>
      </c>
      <c r="AA160" s="14">
        <f ca="1">IFERROR(TableWeeklySummary[[#This Row],[Ventas primer cliente]]/TableWeeklySummary[[#This Row],[Inversión publicidad]],0)</f>
        <v>0</v>
      </c>
      <c r="AB160" s="14"/>
      <c r="AC160" s="12"/>
      <c r="AI16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6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60" s="12">
        <f ca="1">SUMIFS(TableDailySummary[Utilidad bruta],TableDailySummary[Fecha],"&gt;="&amp;TableWeeklySummary[[#This Row],[Desde]],TableDailySummary[Fecha],"&lt;="&amp;TableWeeklySummary[[#This Row],[Hasta]])</f>
        <v>0</v>
      </c>
      <c r="AL160" s="18">
        <f ca="1">IFERROR(TableWeeklySummary[[#This Row],[Utilidad bruta]]/TableWeeklySummary[[#This Row],[Ventas netas con costo registrado]],0)</f>
        <v>0</v>
      </c>
    </row>
    <row r="161" spans="2:38" x14ac:dyDescent="0.2">
      <c r="B161" s="16">
        <f ca="1">_xlfn.ISOWEEKNUM(TableWeeklySummary[[#This Row],[Hasta]])</f>
        <v>42</v>
      </c>
      <c r="C161" s="6">
        <f t="shared" ca="1" si="4"/>
        <v>47039</v>
      </c>
      <c r="D161" s="6">
        <f ca="1">TableWeeklySummary[[#This Row],[Desde]]+7-1</f>
        <v>47045</v>
      </c>
      <c r="E161" s="12">
        <f ca="1">SUMIFS(TableDailySummary[Ventas netas totales],TableDailySummary[Fecha],"&gt;="&amp;TableWeeklySummary[[#This Row],[Desde]],TableDailySummary[Fecha],"&lt;="&amp;TableWeeklySummary[[#This Row],[Hasta]])</f>
        <v>0</v>
      </c>
      <c r="F161" s="12">
        <f ca="1">SUMIFS(TableDailySummary[Órdenes totales],TableDailySummary[Fecha],"&gt;="&amp;TableWeeklySummary[[#This Row],[Desde]],TableDailySummary[Fecha],"&lt;="&amp;TableWeeklySummary[[#This Row],[Hasta]])</f>
        <v>0</v>
      </c>
      <c r="G161" s="12">
        <f ca="1">IFERROR(TableWeeklySummary[[#This Row],[Ventas netas totales]]/TableWeeklySummary[[#This Row],[Órdenes totales]],0)</f>
        <v>0</v>
      </c>
      <c r="H16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61" s="12">
        <f ca="1">TableWeeklySummary[[#This Row],[Órden promedio totales]]*TableWeeklySummary[[#This Row],[CR totales]]</f>
        <v>0</v>
      </c>
      <c r="J161" s="12">
        <f ca="1">SUMIFS(TableDailySummary[Ventas primer cliente],TableDailySummary[Fecha],"&gt;="&amp;TableWeeklySummary[[#This Row],[Desde]],TableDailySummary[Fecha],"&lt;="&amp;TableWeeklySummary[[#This Row],[Hasta]])</f>
        <v>0</v>
      </c>
      <c r="K161" s="12">
        <f ca="1">SUMIFS(TableDailySummary[Órdenes primer cliente],TableDailySummary[Fecha],"&gt;="&amp;TableWeeklySummary[[#This Row],[Desde]],TableDailySummary[Fecha],"&lt;="&amp;TableWeeklySummary[[#This Row],[Hasta]])</f>
        <v>0</v>
      </c>
      <c r="L161" s="12">
        <f ca="1">SUMIFS(TableDailySummary[Online Store_net_sales],TableDailySummary[Fecha],"&gt;="&amp;TableWeeklySummary[[#This Row],[Desde]],TableDailySummary[Fecha],"&lt;="&amp;TableWeeklySummary[[#This Row],[Hasta]])</f>
        <v>0</v>
      </c>
      <c r="M161" s="12">
        <f ca="1">SUMIFS(TableDailySummary[Online Store_orders],TableDailySummary[Fecha],"&gt;="&amp;TableWeeklySummary[[#This Row],[Desde]],TableDailySummary[Fecha],"&lt;="&amp;TableWeeklySummary[[#This Row],[Hasta]])</f>
        <v>0</v>
      </c>
      <c r="N161" s="12">
        <f ca="1">SUMIFS(TableDailySummary[Tienda 81_net_sales],TableDailySummary[Fecha],"&gt;="&amp;TableWeeklySummary[[#This Row],[Desde]],TableDailySummary[Fecha],"&lt;="&amp;TableWeeklySummary[[#This Row],[Hasta]])</f>
        <v>0</v>
      </c>
      <c r="O161" s="12">
        <f ca="1">SUMIFS(TableDailySummary[Tienda 81_orders],TableDailySummary[Fecha],"&gt;="&amp;TableWeeklySummary[[#This Row],[Desde]],TableDailySummary[Fecha],"&lt;="&amp;TableWeeklySummary[[#This Row],[Hasta]])</f>
        <v>0</v>
      </c>
      <c r="P161" s="12">
        <f ca="1">SUMIFS(TableDailySummary[Rappi_net_sales],TableDailySummary[Fecha],"&gt;="&amp;TableWeeklySummary[[#This Row],[Desde]],TableDailySummary[Fecha],"&lt;="&amp;TableWeeklySummary[[#This Row],[Hasta]])</f>
        <v>0</v>
      </c>
      <c r="Q161" s="12">
        <f ca="1">SUMIFS(TableDailySummary[Rappi_orders],TableDailySummary[Fecha],"&gt;="&amp;TableWeeklySummary[[#This Row],[Desde]],TableDailySummary[Fecha],"&lt;="&amp;TableWeeklySummary[[#This Row],[Hasta]])</f>
        <v>0</v>
      </c>
      <c r="R16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6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61" s="12">
        <f ca="1">SUMIFS(TableDailySummary[Inversión google ads],TableDailySummary[Fecha],"&gt;="&amp;TableWeeklySummary[[#This Row],[Desde]],TableDailySummary[Fecha],"&lt;="&amp;TableWeeklySummary[[#This Row],[Hasta]])</f>
        <v>0</v>
      </c>
      <c r="U161" s="12">
        <f ca="1">SUMIFS(TableDailySummary[Ventas google ads],TableDailySummary[Fecha],"&gt;="&amp;TableWeeklySummary[[#This Row],[Desde]],TableDailySummary[Fecha],"&lt;="&amp;TableWeeklySummary[[#This Row],[Hasta]])</f>
        <v>0</v>
      </c>
      <c r="V161" s="12">
        <f ca="1">SUMIFS(TableDailySummary[Inversión meta ads],TableDailySummary[Fecha],"&gt;="&amp;TableWeeklySummary[[#This Row],[Desde]],TableDailySummary[Fecha],"&lt;="&amp;TableWeeklySummary[[#This Row],[Hasta]])</f>
        <v>0</v>
      </c>
      <c r="W161" s="12">
        <f ca="1">SUMIFS(TableDailySummary[Ventas meta ads],TableDailySummary[Fecha],"&gt;="&amp;TableWeeklySummary[[#This Row],[Desde]],TableDailySummary[Fecha],"&lt;="&amp;TableWeeklySummary[[#This Row],[Hasta]])</f>
        <v>0</v>
      </c>
      <c r="X161" s="12">
        <f ca="1">TableWeeklySummary[[#This Row],[Inversión google ads]]+TableWeeklySummary[[#This Row],[Inversión meta ads]]</f>
        <v>0</v>
      </c>
      <c r="Y161" s="12">
        <f ca="1">TableWeeklySummary[[#This Row],[Ventas google ads]]+TableWeeklySummary[[#This Row],[Ventas meta ads]]</f>
        <v>0</v>
      </c>
      <c r="Z161" s="14">
        <f ca="1">IFERROR(TableWeeklySummary[[#This Row],[Ventas publicidad]]/TableWeeklySummary[[#This Row],[Inversión publicidad]],0)</f>
        <v>0</v>
      </c>
      <c r="AA161" s="14">
        <f ca="1">IFERROR(TableWeeklySummary[[#This Row],[Ventas primer cliente]]/TableWeeklySummary[[#This Row],[Inversión publicidad]],0)</f>
        <v>0</v>
      </c>
      <c r="AB161" s="14"/>
      <c r="AC161" s="12"/>
      <c r="AI16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6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61" s="12">
        <f ca="1">SUMIFS(TableDailySummary[Utilidad bruta],TableDailySummary[Fecha],"&gt;="&amp;TableWeeklySummary[[#This Row],[Desde]],TableDailySummary[Fecha],"&lt;="&amp;TableWeeklySummary[[#This Row],[Hasta]])</f>
        <v>0</v>
      </c>
      <c r="AL161" s="18">
        <f ca="1">IFERROR(TableWeeklySummary[[#This Row],[Utilidad bruta]]/TableWeeklySummary[[#This Row],[Ventas netas con costo registrado]],0)</f>
        <v>0</v>
      </c>
    </row>
    <row r="162" spans="2:38" x14ac:dyDescent="0.2">
      <c r="B162" s="16">
        <f ca="1">_xlfn.ISOWEEKNUM(TableWeeklySummary[[#This Row],[Hasta]])</f>
        <v>43</v>
      </c>
      <c r="C162" s="6">
        <f t="shared" ca="1" si="4"/>
        <v>47046</v>
      </c>
      <c r="D162" s="6">
        <f ca="1">TableWeeklySummary[[#This Row],[Desde]]+7-1</f>
        <v>47052</v>
      </c>
      <c r="E162" s="12">
        <f ca="1">SUMIFS(TableDailySummary[Ventas netas totales],TableDailySummary[Fecha],"&gt;="&amp;TableWeeklySummary[[#This Row],[Desde]],TableDailySummary[Fecha],"&lt;="&amp;TableWeeklySummary[[#This Row],[Hasta]])</f>
        <v>0</v>
      </c>
      <c r="F162" s="12">
        <f ca="1">SUMIFS(TableDailySummary[Órdenes totales],TableDailySummary[Fecha],"&gt;="&amp;TableWeeklySummary[[#This Row],[Desde]],TableDailySummary[Fecha],"&lt;="&amp;TableWeeklySummary[[#This Row],[Hasta]])</f>
        <v>0</v>
      </c>
      <c r="G162" s="12">
        <f ca="1">IFERROR(TableWeeklySummary[[#This Row],[Ventas netas totales]]/TableWeeklySummary[[#This Row],[Órdenes totales]],0)</f>
        <v>0</v>
      </c>
      <c r="H16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62" s="12">
        <f ca="1">TableWeeklySummary[[#This Row],[Órden promedio totales]]*TableWeeklySummary[[#This Row],[CR totales]]</f>
        <v>0</v>
      </c>
      <c r="J162" s="12">
        <f ca="1">SUMIFS(TableDailySummary[Ventas primer cliente],TableDailySummary[Fecha],"&gt;="&amp;TableWeeklySummary[[#This Row],[Desde]],TableDailySummary[Fecha],"&lt;="&amp;TableWeeklySummary[[#This Row],[Hasta]])</f>
        <v>0</v>
      </c>
      <c r="K162" s="12">
        <f ca="1">SUMIFS(TableDailySummary[Órdenes primer cliente],TableDailySummary[Fecha],"&gt;="&amp;TableWeeklySummary[[#This Row],[Desde]],TableDailySummary[Fecha],"&lt;="&amp;TableWeeklySummary[[#This Row],[Hasta]])</f>
        <v>0</v>
      </c>
      <c r="L162" s="12">
        <f ca="1">SUMIFS(TableDailySummary[Online Store_net_sales],TableDailySummary[Fecha],"&gt;="&amp;TableWeeklySummary[[#This Row],[Desde]],TableDailySummary[Fecha],"&lt;="&amp;TableWeeklySummary[[#This Row],[Hasta]])</f>
        <v>0</v>
      </c>
      <c r="M162" s="12">
        <f ca="1">SUMIFS(TableDailySummary[Online Store_orders],TableDailySummary[Fecha],"&gt;="&amp;TableWeeklySummary[[#This Row],[Desde]],TableDailySummary[Fecha],"&lt;="&amp;TableWeeklySummary[[#This Row],[Hasta]])</f>
        <v>0</v>
      </c>
      <c r="N162" s="12">
        <f ca="1">SUMIFS(TableDailySummary[Tienda 81_net_sales],TableDailySummary[Fecha],"&gt;="&amp;TableWeeklySummary[[#This Row],[Desde]],TableDailySummary[Fecha],"&lt;="&amp;TableWeeklySummary[[#This Row],[Hasta]])</f>
        <v>0</v>
      </c>
      <c r="O162" s="12">
        <f ca="1">SUMIFS(TableDailySummary[Tienda 81_orders],TableDailySummary[Fecha],"&gt;="&amp;TableWeeklySummary[[#This Row],[Desde]],TableDailySummary[Fecha],"&lt;="&amp;TableWeeklySummary[[#This Row],[Hasta]])</f>
        <v>0</v>
      </c>
      <c r="P162" s="12">
        <f ca="1">SUMIFS(TableDailySummary[Rappi_net_sales],TableDailySummary[Fecha],"&gt;="&amp;TableWeeklySummary[[#This Row],[Desde]],TableDailySummary[Fecha],"&lt;="&amp;TableWeeklySummary[[#This Row],[Hasta]])</f>
        <v>0</v>
      </c>
      <c r="Q162" s="12">
        <f ca="1">SUMIFS(TableDailySummary[Rappi_orders],TableDailySummary[Fecha],"&gt;="&amp;TableWeeklySummary[[#This Row],[Desde]],TableDailySummary[Fecha],"&lt;="&amp;TableWeeklySummary[[#This Row],[Hasta]])</f>
        <v>0</v>
      </c>
      <c r="R16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6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62" s="12">
        <f ca="1">SUMIFS(TableDailySummary[Inversión google ads],TableDailySummary[Fecha],"&gt;="&amp;TableWeeklySummary[[#This Row],[Desde]],TableDailySummary[Fecha],"&lt;="&amp;TableWeeklySummary[[#This Row],[Hasta]])</f>
        <v>0</v>
      </c>
      <c r="U162" s="12">
        <f ca="1">SUMIFS(TableDailySummary[Ventas google ads],TableDailySummary[Fecha],"&gt;="&amp;TableWeeklySummary[[#This Row],[Desde]],TableDailySummary[Fecha],"&lt;="&amp;TableWeeklySummary[[#This Row],[Hasta]])</f>
        <v>0</v>
      </c>
      <c r="V162" s="12">
        <f ca="1">SUMIFS(TableDailySummary[Inversión meta ads],TableDailySummary[Fecha],"&gt;="&amp;TableWeeklySummary[[#This Row],[Desde]],TableDailySummary[Fecha],"&lt;="&amp;TableWeeklySummary[[#This Row],[Hasta]])</f>
        <v>0</v>
      </c>
      <c r="W162" s="12">
        <f ca="1">SUMIFS(TableDailySummary[Ventas meta ads],TableDailySummary[Fecha],"&gt;="&amp;TableWeeklySummary[[#This Row],[Desde]],TableDailySummary[Fecha],"&lt;="&amp;TableWeeklySummary[[#This Row],[Hasta]])</f>
        <v>0</v>
      </c>
      <c r="X162" s="12">
        <f ca="1">TableWeeklySummary[[#This Row],[Inversión google ads]]+TableWeeklySummary[[#This Row],[Inversión meta ads]]</f>
        <v>0</v>
      </c>
      <c r="Y162" s="12">
        <f ca="1">TableWeeklySummary[[#This Row],[Ventas google ads]]+TableWeeklySummary[[#This Row],[Ventas meta ads]]</f>
        <v>0</v>
      </c>
      <c r="Z162" s="14">
        <f ca="1">IFERROR(TableWeeklySummary[[#This Row],[Ventas publicidad]]/TableWeeklySummary[[#This Row],[Inversión publicidad]],0)</f>
        <v>0</v>
      </c>
      <c r="AA162" s="14">
        <f ca="1">IFERROR(TableWeeklySummary[[#This Row],[Ventas primer cliente]]/TableWeeklySummary[[#This Row],[Inversión publicidad]],0)</f>
        <v>0</v>
      </c>
      <c r="AB162" s="14"/>
      <c r="AC162" s="12"/>
      <c r="AI16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6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62" s="12">
        <f ca="1">SUMIFS(TableDailySummary[Utilidad bruta],TableDailySummary[Fecha],"&gt;="&amp;TableWeeklySummary[[#This Row],[Desde]],TableDailySummary[Fecha],"&lt;="&amp;TableWeeklySummary[[#This Row],[Hasta]])</f>
        <v>0</v>
      </c>
      <c r="AL162" s="18">
        <f ca="1">IFERROR(TableWeeklySummary[[#This Row],[Utilidad bruta]]/TableWeeklySummary[[#This Row],[Ventas netas con costo registrado]],0)</f>
        <v>0</v>
      </c>
    </row>
    <row r="163" spans="2:38" x14ac:dyDescent="0.2">
      <c r="B163" s="16">
        <f ca="1">_xlfn.ISOWEEKNUM(TableWeeklySummary[[#This Row],[Hasta]])</f>
        <v>44</v>
      </c>
      <c r="C163" s="6">
        <f t="shared" ca="1" si="4"/>
        <v>47053</v>
      </c>
      <c r="D163" s="6">
        <f ca="1">TableWeeklySummary[[#This Row],[Desde]]+7-1</f>
        <v>47059</v>
      </c>
      <c r="E163" s="12">
        <f ca="1">SUMIFS(TableDailySummary[Ventas netas totales],TableDailySummary[Fecha],"&gt;="&amp;TableWeeklySummary[[#This Row],[Desde]],TableDailySummary[Fecha],"&lt;="&amp;TableWeeklySummary[[#This Row],[Hasta]])</f>
        <v>0</v>
      </c>
      <c r="F163" s="12">
        <f ca="1">SUMIFS(TableDailySummary[Órdenes totales],TableDailySummary[Fecha],"&gt;="&amp;TableWeeklySummary[[#This Row],[Desde]],TableDailySummary[Fecha],"&lt;="&amp;TableWeeklySummary[[#This Row],[Hasta]])</f>
        <v>0</v>
      </c>
      <c r="G163" s="12">
        <f ca="1">IFERROR(TableWeeklySummary[[#This Row],[Ventas netas totales]]/TableWeeklySummary[[#This Row],[Órdenes totales]],0)</f>
        <v>0</v>
      </c>
      <c r="H16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63" s="12">
        <f ca="1">TableWeeklySummary[[#This Row],[Órden promedio totales]]*TableWeeklySummary[[#This Row],[CR totales]]</f>
        <v>0</v>
      </c>
      <c r="J163" s="12">
        <f ca="1">SUMIFS(TableDailySummary[Ventas primer cliente],TableDailySummary[Fecha],"&gt;="&amp;TableWeeklySummary[[#This Row],[Desde]],TableDailySummary[Fecha],"&lt;="&amp;TableWeeklySummary[[#This Row],[Hasta]])</f>
        <v>0</v>
      </c>
      <c r="K163" s="12">
        <f ca="1">SUMIFS(TableDailySummary[Órdenes primer cliente],TableDailySummary[Fecha],"&gt;="&amp;TableWeeklySummary[[#This Row],[Desde]],TableDailySummary[Fecha],"&lt;="&amp;TableWeeklySummary[[#This Row],[Hasta]])</f>
        <v>0</v>
      </c>
      <c r="L163" s="12">
        <f ca="1">SUMIFS(TableDailySummary[Online Store_net_sales],TableDailySummary[Fecha],"&gt;="&amp;TableWeeklySummary[[#This Row],[Desde]],TableDailySummary[Fecha],"&lt;="&amp;TableWeeklySummary[[#This Row],[Hasta]])</f>
        <v>0</v>
      </c>
      <c r="M163" s="12">
        <f ca="1">SUMIFS(TableDailySummary[Online Store_orders],TableDailySummary[Fecha],"&gt;="&amp;TableWeeklySummary[[#This Row],[Desde]],TableDailySummary[Fecha],"&lt;="&amp;TableWeeklySummary[[#This Row],[Hasta]])</f>
        <v>0</v>
      </c>
      <c r="N163" s="12">
        <f ca="1">SUMIFS(TableDailySummary[Tienda 81_net_sales],TableDailySummary[Fecha],"&gt;="&amp;TableWeeklySummary[[#This Row],[Desde]],TableDailySummary[Fecha],"&lt;="&amp;TableWeeklySummary[[#This Row],[Hasta]])</f>
        <v>0</v>
      </c>
      <c r="O163" s="12">
        <f ca="1">SUMIFS(TableDailySummary[Tienda 81_orders],TableDailySummary[Fecha],"&gt;="&amp;TableWeeklySummary[[#This Row],[Desde]],TableDailySummary[Fecha],"&lt;="&amp;TableWeeklySummary[[#This Row],[Hasta]])</f>
        <v>0</v>
      </c>
      <c r="P163" s="12">
        <f ca="1">SUMIFS(TableDailySummary[Rappi_net_sales],TableDailySummary[Fecha],"&gt;="&amp;TableWeeklySummary[[#This Row],[Desde]],TableDailySummary[Fecha],"&lt;="&amp;TableWeeklySummary[[#This Row],[Hasta]])</f>
        <v>0</v>
      </c>
      <c r="Q163" s="12">
        <f ca="1">SUMIFS(TableDailySummary[Rappi_orders],TableDailySummary[Fecha],"&gt;="&amp;TableWeeklySummary[[#This Row],[Desde]],TableDailySummary[Fecha],"&lt;="&amp;TableWeeklySummary[[#This Row],[Hasta]])</f>
        <v>0</v>
      </c>
      <c r="R16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6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63" s="12">
        <f ca="1">SUMIFS(TableDailySummary[Inversión google ads],TableDailySummary[Fecha],"&gt;="&amp;TableWeeklySummary[[#This Row],[Desde]],TableDailySummary[Fecha],"&lt;="&amp;TableWeeklySummary[[#This Row],[Hasta]])</f>
        <v>0</v>
      </c>
      <c r="U163" s="12">
        <f ca="1">SUMIFS(TableDailySummary[Ventas google ads],TableDailySummary[Fecha],"&gt;="&amp;TableWeeklySummary[[#This Row],[Desde]],TableDailySummary[Fecha],"&lt;="&amp;TableWeeklySummary[[#This Row],[Hasta]])</f>
        <v>0</v>
      </c>
      <c r="V163" s="12">
        <f ca="1">SUMIFS(TableDailySummary[Inversión meta ads],TableDailySummary[Fecha],"&gt;="&amp;TableWeeklySummary[[#This Row],[Desde]],TableDailySummary[Fecha],"&lt;="&amp;TableWeeklySummary[[#This Row],[Hasta]])</f>
        <v>0</v>
      </c>
      <c r="W163" s="12">
        <f ca="1">SUMIFS(TableDailySummary[Ventas meta ads],TableDailySummary[Fecha],"&gt;="&amp;TableWeeklySummary[[#This Row],[Desde]],TableDailySummary[Fecha],"&lt;="&amp;TableWeeklySummary[[#This Row],[Hasta]])</f>
        <v>0</v>
      </c>
      <c r="X163" s="12">
        <f ca="1">TableWeeklySummary[[#This Row],[Inversión google ads]]+TableWeeklySummary[[#This Row],[Inversión meta ads]]</f>
        <v>0</v>
      </c>
      <c r="Y163" s="12">
        <f ca="1">TableWeeklySummary[[#This Row],[Ventas google ads]]+TableWeeklySummary[[#This Row],[Ventas meta ads]]</f>
        <v>0</v>
      </c>
      <c r="Z163" s="14">
        <f ca="1">IFERROR(TableWeeklySummary[[#This Row],[Ventas publicidad]]/TableWeeklySummary[[#This Row],[Inversión publicidad]],0)</f>
        <v>0</v>
      </c>
      <c r="AA163" s="14">
        <f ca="1">IFERROR(TableWeeklySummary[[#This Row],[Ventas primer cliente]]/TableWeeklySummary[[#This Row],[Inversión publicidad]],0)</f>
        <v>0</v>
      </c>
      <c r="AB163" s="14"/>
      <c r="AC163" s="12"/>
      <c r="AI16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6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63" s="12">
        <f ca="1">SUMIFS(TableDailySummary[Utilidad bruta],TableDailySummary[Fecha],"&gt;="&amp;TableWeeklySummary[[#This Row],[Desde]],TableDailySummary[Fecha],"&lt;="&amp;TableWeeklySummary[[#This Row],[Hasta]])</f>
        <v>0</v>
      </c>
      <c r="AL163" s="18">
        <f ca="1">IFERROR(TableWeeklySummary[[#This Row],[Utilidad bruta]]/TableWeeklySummary[[#This Row],[Ventas netas con costo registrado]],0)</f>
        <v>0</v>
      </c>
    </row>
    <row r="164" spans="2:38" x14ac:dyDescent="0.2">
      <c r="B164" s="16">
        <f ca="1">_xlfn.ISOWEEKNUM(TableWeeklySummary[[#This Row],[Hasta]])</f>
        <v>45</v>
      </c>
      <c r="C164" s="6">
        <f t="shared" ca="1" si="4"/>
        <v>47060</v>
      </c>
      <c r="D164" s="6">
        <f ca="1">TableWeeklySummary[[#This Row],[Desde]]+7-1</f>
        <v>47066</v>
      </c>
      <c r="E164" s="12">
        <f ca="1">SUMIFS(TableDailySummary[Ventas netas totales],TableDailySummary[Fecha],"&gt;="&amp;TableWeeklySummary[[#This Row],[Desde]],TableDailySummary[Fecha],"&lt;="&amp;TableWeeklySummary[[#This Row],[Hasta]])</f>
        <v>0</v>
      </c>
      <c r="F164" s="12">
        <f ca="1">SUMIFS(TableDailySummary[Órdenes totales],TableDailySummary[Fecha],"&gt;="&amp;TableWeeklySummary[[#This Row],[Desde]],TableDailySummary[Fecha],"&lt;="&amp;TableWeeklySummary[[#This Row],[Hasta]])</f>
        <v>0</v>
      </c>
      <c r="G164" s="12">
        <f ca="1">IFERROR(TableWeeklySummary[[#This Row],[Ventas netas totales]]/TableWeeklySummary[[#This Row],[Órdenes totales]],0)</f>
        <v>0</v>
      </c>
      <c r="H16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64" s="12">
        <f ca="1">TableWeeklySummary[[#This Row],[Órden promedio totales]]*TableWeeklySummary[[#This Row],[CR totales]]</f>
        <v>0</v>
      </c>
      <c r="J164" s="12">
        <f ca="1">SUMIFS(TableDailySummary[Ventas primer cliente],TableDailySummary[Fecha],"&gt;="&amp;TableWeeklySummary[[#This Row],[Desde]],TableDailySummary[Fecha],"&lt;="&amp;TableWeeklySummary[[#This Row],[Hasta]])</f>
        <v>0</v>
      </c>
      <c r="K164" s="12">
        <f ca="1">SUMIFS(TableDailySummary[Órdenes primer cliente],TableDailySummary[Fecha],"&gt;="&amp;TableWeeklySummary[[#This Row],[Desde]],TableDailySummary[Fecha],"&lt;="&amp;TableWeeklySummary[[#This Row],[Hasta]])</f>
        <v>0</v>
      </c>
      <c r="L164" s="12">
        <f ca="1">SUMIFS(TableDailySummary[Online Store_net_sales],TableDailySummary[Fecha],"&gt;="&amp;TableWeeklySummary[[#This Row],[Desde]],TableDailySummary[Fecha],"&lt;="&amp;TableWeeklySummary[[#This Row],[Hasta]])</f>
        <v>0</v>
      </c>
      <c r="M164" s="12">
        <f ca="1">SUMIFS(TableDailySummary[Online Store_orders],TableDailySummary[Fecha],"&gt;="&amp;TableWeeklySummary[[#This Row],[Desde]],TableDailySummary[Fecha],"&lt;="&amp;TableWeeklySummary[[#This Row],[Hasta]])</f>
        <v>0</v>
      </c>
      <c r="N164" s="12">
        <f ca="1">SUMIFS(TableDailySummary[Tienda 81_net_sales],TableDailySummary[Fecha],"&gt;="&amp;TableWeeklySummary[[#This Row],[Desde]],TableDailySummary[Fecha],"&lt;="&amp;TableWeeklySummary[[#This Row],[Hasta]])</f>
        <v>0</v>
      </c>
      <c r="O164" s="12">
        <f ca="1">SUMIFS(TableDailySummary[Tienda 81_orders],TableDailySummary[Fecha],"&gt;="&amp;TableWeeklySummary[[#This Row],[Desde]],TableDailySummary[Fecha],"&lt;="&amp;TableWeeklySummary[[#This Row],[Hasta]])</f>
        <v>0</v>
      </c>
      <c r="P164" s="12">
        <f ca="1">SUMIFS(TableDailySummary[Rappi_net_sales],TableDailySummary[Fecha],"&gt;="&amp;TableWeeklySummary[[#This Row],[Desde]],TableDailySummary[Fecha],"&lt;="&amp;TableWeeklySummary[[#This Row],[Hasta]])</f>
        <v>0</v>
      </c>
      <c r="Q164" s="12">
        <f ca="1">SUMIFS(TableDailySummary[Rappi_orders],TableDailySummary[Fecha],"&gt;="&amp;TableWeeklySummary[[#This Row],[Desde]],TableDailySummary[Fecha],"&lt;="&amp;TableWeeklySummary[[#This Row],[Hasta]])</f>
        <v>0</v>
      </c>
      <c r="R16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6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64" s="12">
        <f ca="1">SUMIFS(TableDailySummary[Inversión google ads],TableDailySummary[Fecha],"&gt;="&amp;TableWeeklySummary[[#This Row],[Desde]],TableDailySummary[Fecha],"&lt;="&amp;TableWeeklySummary[[#This Row],[Hasta]])</f>
        <v>0</v>
      </c>
      <c r="U164" s="12">
        <f ca="1">SUMIFS(TableDailySummary[Ventas google ads],TableDailySummary[Fecha],"&gt;="&amp;TableWeeklySummary[[#This Row],[Desde]],TableDailySummary[Fecha],"&lt;="&amp;TableWeeklySummary[[#This Row],[Hasta]])</f>
        <v>0</v>
      </c>
      <c r="V164" s="12">
        <f ca="1">SUMIFS(TableDailySummary[Inversión meta ads],TableDailySummary[Fecha],"&gt;="&amp;TableWeeklySummary[[#This Row],[Desde]],TableDailySummary[Fecha],"&lt;="&amp;TableWeeklySummary[[#This Row],[Hasta]])</f>
        <v>0</v>
      </c>
      <c r="W164" s="12">
        <f ca="1">SUMIFS(TableDailySummary[Ventas meta ads],TableDailySummary[Fecha],"&gt;="&amp;TableWeeklySummary[[#This Row],[Desde]],TableDailySummary[Fecha],"&lt;="&amp;TableWeeklySummary[[#This Row],[Hasta]])</f>
        <v>0</v>
      </c>
      <c r="X164" s="12">
        <f ca="1">TableWeeklySummary[[#This Row],[Inversión google ads]]+TableWeeklySummary[[#This Row],[Inversión meta ads]]</f>
        <v>0</v>
      </c>
      <c r="Y164" s="12">
        <f ca="1">TableWeeklySummary[[#This Row],[Ventas google ads]]+TableWeeklySummary[[#This Row],[Ventas meta ads]]</f>
        <v>0</v>
      </c>
      <c r="Z164" s="14">
        <f ca="1">IFERROR(TableWeeklySummary[[#This Row],[Ventas publicidad]]/TableWeeklySummary[[#This Row],[Inversión publicidad]],0)</f>
        <v>0</v>
      </c>
      <c r="AA164" s="14">
        <f ca="1">IFERROR(TableWeeklySummary[[#This Row],[Ventas primer cliente]]/TableWeeklySummary[[#This Row],[Inversión publicidad]],0)</f>
        <v>0</v>
      </c>
      <c r="AB164" s="14"/>
      <c r="AC164" s="12"/>
      <c r="AI16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6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64" s="12">
        <f ca="1">SUMIFS(TableDailySummary[Utilidad bruta],TableDailySummary[Fecha],"&gt;="&amp;TableWeeklySummary[[#This Row],[Desde]],TableDailySummary[Fecha],"&lt;="&amp;TableWeeklySummary[[#This Row],[Hasta]])</f>
        <v>0</v>
      </c>
      <c r="AL164" s="18">
        <f ca="1">IFERROR(TableWeeklySummary[[#This Row],[Utilidad bruta]]/TableWeeklySummary[[#This Row],[Ventas netas con costo registrado]],0)</f>
        <v>0</v>
      </c>
    </row>
    <row r="165" spans="2:38" x14ac:dyDescent="0.2">
      <c r="B165" s="16">
        <f ca="1">_xlfn.ISOWEEKNUM(TableWeeklySummary[[#This Row],[Hasta]])</f>
        <v>46</v>
      </c>
      <c r="C165" s="6">
        <f t="shared" ca="1" si="4"/>
        <v>47067</v>
      </c>
      <c r="D165" s="6">
        <f ca="1">TableWeeklySummary[[#This Row],[Desde]]+7-1</f>
        <v>47073</v>
      </c>
      <c r="E165" s="12">
        <f ca="1">SUMIFS(TableDailySummary[Ventas netas totales],TableDailySummary[Fecha],"&gt;="&amp;TableWeeklySummary[[#This Row],[Desde]],TableDailySummary[Fecha],"&lt;="&amp;TableWeeklySummary[[#This Row],[Hasta]])</f>
        <v>0</v>
      </c>
      <c r="F165" s="12">
        <f ca="1">SUMIFS(TableDailySummary[Órdenes totales],TableDailySummary[Fecha],"&gt;="&amp;TableWeeklySummary[[#This Row],[Desde]],TableDailySummary[Fecha],"&lt;="&amp;TableWeeklySummary[[#This Row],[Hasta]])</f>
        <v>0</v>
      </c>
      <c r="G165" s="12">
        <f ca="1">IFERROR(TableWeeklySummary[[#This Row],[Ventas netas totales]]/TableWeeklySummary[[#This Row],[Órdenes totales]],0)</f>
        <v>0</v>
      </c>
      <c r="H16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65" s="12">
        <f ca="1">TableWeeklySummary[[#This Row],[Órden promedio totales]]*TableWeeklySummary[[#This Row],[CR totales]]</f>
        <v>0</v>
      </c>
      <c r="J165" s="12">
        <f ca="1">SUMIFS(TableDailySummary[Ventas primer cliente],TableDailySummary[Fecha],"&gt;="&amp;TableWeeklySummary[[#This Row],[Desde]],TableDailySummary[Fecha],"&lt;="&amp;TableWeeklySummary[[#This Row],[Hasta]])</f>
        <v>0</v>
      </c>
      <c r="K165" s="12">
        <f ca="1">SUMIFS(TableDailySummary[Órdenes primer cliente],TableDailySummary[Fecha],"&gt;="&amp;TableWeeklySummary[[#This Row],[Desde]],TableDailySummary[Fecha],"&lt;="&amp;TableWeeklySummary[[#This Row],[Hasta]])</f>
        <v>0</v>
      </c>
      <c r="L165" s="12">
        <f ca="1">SUMIFS(TableDailySummary[Online Store_net_sales],TableDailySummary[Fecha],"&gt;="&amp;TableWeeklySummary[[#This Row],[Desde]],TableDailySummary[Fecha],"&lt;="&amp;TableWeeklySummary[[#This Row],[Hasta]])</f>
        <v>0</v>
      </c>
      <c r="M165" s="12">
        <f ca="1">SUMIFS(TableDailySummary[Online Store_orders],TableDailySummary[Fecha],"&gt;="&amp;TableWeeklySummary[[#This Row],[Desde]],TableDailySummary[Fecha],"&lt;="&amp;TableWeeklySummary[[#This Row],[Hasta]])</f>
        <v>0</v>
      </c>
      <c r="N165" s="12">
        <f ca="1">SUMIFS(TableDailySummary[Tienda 81_net_sales],TableDailySummary[Fecha],"&gt;="&amp;TableWeeklySummary[[#This Row],[Desde]],TableDailySummary[Fecha],"&lt;="&amp;TableWeeklySummary[[#This Row],[Hasta]])</f>
        <v>0</v>
      </c>
      <c r="O165" s="12">
        <f ca="1">SUMIFS(TableDailySummary[Tienda 81_orders],TableDailySummary[Fecha],"&gt;="&amp;TableWeeklySummary[[#This Row],[Desde]],TableDailySummary[Fecha],"&lt;="&amp;TableWeeklySummary[[#This Row],[Hasta]])</f>
        <v>0</v>
      </c>
      <c r="P165" s="12">
        <f ca="1">SUMIFS(TableDailySummary[Rappi_net_sales],TableDailySummary[Fecha],"&gt;="&amp;TableWeeklySummary[[#This Row],[Desde]],TableDailySummary[Fecha],"&lt;="&amp;TableWeeklySummary[[#This Row],[Hasta]])</f>
        <v>0</v>
      </c>
      <c r="Q165" s="12">
        <f ca="1">SUMIFS(TableDailySummary[Rappi_orders],TableDailySummary[Fecha],"&gt;="&amp;TableWeeklySummary[[#This Row],[Desde]],TableDailySummary[Fecha],"&lt;="&amp;TableWeeklySummary[[#This Row],[Hasta]])</f>
        <v>0</v>
      </c>
      <c r="R16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6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65" s="12">
        <f ca="1">SUMIFS(TableDailySummary[Inversión google ads],TableDailySummary[Fecha],"&gt;="&amp;TableWeeklySummary[[#This Row],[Desde]],TableDailySummary[Fecha],"&lt;="&amp;TableWeeklySummary[[#This Row],[Hasta]])</f>
        <v>0</v>
      </c>
      <c r="U165" s="12">
        <f ca="1">SUMIFS(TableDailySummary[Ventas google ads],TableDailySummary[Fecha],"&gt;="&amp;TableWeeklySummary[[#This Row],[Desde]],TableDailySummary[Fecha],"&lt;="&amp;TableWeeklySummary[[#This Row],[Hasta]])</f>
        <v>0</v>
      </c>
      <c r="V165" s="12">
        <f ca="1">SUMIFS(TableDailySummary[Inversión meta ads],TableDailySummary[Fecha],"&gt;="&amp;TableWeeklySummary[[#This Row],[Desde]],TableDailySummary[Fecha],"&lt;="&amp;TableWeeklySummary[[#This Row],[Hasta]])</f>
        <v>0</v>
      </c>
      <c r="W165" s="12">
        <f ca="1">SUMIFS(TableDailySummary[Ventas meta ads],TableDailySummary[Fecha],"&gt;="&amp;TableWeeklySummary[[#This Row],[Desde]],TableDailySummary[Fecha],"&lt;="&amp;TableWeeklySummary[[#This Row],[Hasta]])</f>
        <v>0</v>
      </c>
      <c r="X165" s="12">
        <f ca="1">TableWeeklySummary[[#This Row],[Inversión google ads]]+TableWeeklySummary[[#This Row],[Inversión meta ads]]</f>
        <v>0</v>
      </c>
      <c r="Y165" s="12">
        <f ca="1">TableWeeklySummary[[#This Row],[Ventas google ads]]+TableWeeklySummary[[#This Row],[Ventas meta ads]]</f>
        <v>0</v>
      </c>
      <c r="Z165" s="14">
        <f ca="1">IFERROR(TableWeeklySummary[[#This Row],[Ventas publicidad]]/TableWeeklySummary[[#This Row],[Inversión publicidad]],0)</f>
        <v>0</v>
      </c>
      <c r="AA165" s="14">
        <f ca="1">IFERROR(TableWeeklySummary[[#This Row],[Ventas primer cliente]]/TableWeeklySummary[[#This Row],[Inversión publicidad]],0)</f>
        <v>0</v>
      </c>
      <c r="AB165" s="14"/>
      <c r="AC165" s="12"/>
      <c r="AI16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6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65" s="12">
        <f ca="1">SUMIFS(TableDailySummary[Utilidad bruta],TableDailySummary[Fecha],"&gt;="&amp;TableWeeklySummary[[#This Row],[Desde]],TableDailySummary[Fecha],"&lt;="&amp;TableWeeklySummary[[#This Row],[Hasta]])</f>
        <v>0</v>
      </c>
      <c r="AL165" s="18">
        <f ca="1">IFERROR(TableWeeklySummary[[#This Row],[Utilidad bruta]]/TableWeeklySummary[[#This Row],[Ventas netas con costo registrado]],0)</f>
        <v>0</v>
      </c>
    </row>
    <row r="166" spans="2:38" x14ac:dyDescent="0.2">
      <c r="B166" s="16">
        <f ca="1">_xlfn.ISOWEEKNUM(TableWeeklySummary[[#This Row],[Hasta]])</f>
        <v>47</v>
      </c>
      <c r="C166" s="6">
        <f t="shared" ca="1" si="4"/>
        <v>47074</v>
      </c>
      <c r="D166" s="6">
        <f ca="1">TableWeeklySummary[[#This Row],[Desde]]+7-1</f>
        <v>47080</v>
      </c>
      <c r="E166" s="12">
        <f ca="1">SUMIFS(TableDailySummary[Ventas netas totales],TableDailySummary[Fecha],"&gt;="&amp;TableWeeklySummary[[#This Row],[Desde]],TableDailySummary[Fecha],"&lt;="&amp;TableWeeklySummary[[#This Row],[Hasta]])</f>
        <v>0</v>
      </c>
      <c r="F166" s="12">
        <f ca="1">SUMIFS(TableDailySummary[Órdenes totales],TableDailySummary[Fecha],"&gt;="&amp;TableWeeklySummary[[#This Row],[Desde]],TableDailySummary[Fecha],"&lt;="&amp;TableWeeklySummary[[#This Row],[Hasta]])</f>
        <v>0</v>
      </c>
      <c r="G166" s="12">
        <f ca="1">IFERROR(TableWeeklySummary[[#This Row],[Ventas netas totales]]/TableWeeklySummary[[#This Row],[Órdenes totales]],0)</f>
        <v>0</v>
      </c>
      <c r="H16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66" s="12">
        <f ca="1">TableWeeklySummary[[#This Row],[Órden promedio totales]]*TableWeeklySummary[[#This Row],[CR totales]]</f>
        <v>0</v>
      </c>
      <c r="J166" s="12">
        <f ca="1">SUMIFS(TableDailySummary[Ventas primer cliente],TableDailySummary[Fecha],"&gt;="&amp;TableWeeklySummary[[#This Row],[Desde]],TableDailySummary[Fecha],"&lt;="&amp;TableWeeklySummary[[#This Row],[Hasta]])</f>
        <v>0</v>
      </c>
      <c r="K166" s="12">
        <f ca="1">SUMIFS(TableDailySummary[Órdenes primer cliente],TableDailySummary[Fecha],"&gt;="&amp;TableWeeklySummary[[#This Row],[Desde]],TableDailySummary[Fecha],"&lt;="&amp;TableWeeklySummary[[#This Row],[Hasta]])</f>
        <v>0</v>
      </c>
      <c r="L166" s="12">
        <f ca="1">SUMIFS(TableDailySummary[Online Store_net_sales],TableDailySummary[Fecha],"&gt;="&amp;TableWeeklySummary[[#This Row],[Desde]],TableDailySummary[Fecha],"&lt;="&amp;TableWeeklySummary[[#This Row],[Hasta]])</f>
        <v>0</v>
      </c>
      <c r="M166" s="12">
        <f ca="1">SUMIFS(TableDailySummary[Online Store_orders],TableDailySummary[Fecha],"&gt;="&amp;TableWeeklySummary[[#This Row],[Desde]],TableDailySummary[Fecha],"&lt;="&amp;TableWeeklySummary[[#This Row],[Hasta]])</f>
        <v>0</v>
      </c>
      <c r="N166" s="12">
        <f ca="1">SUMIFS(TableDailySummary[Tienda 81_net_sales],TableDailySummary[Fecha],"&gt;="&amp;TableWeeklySummary[[#This Row],[Desde]],TableDailySummary[Fecha],"&lt;="&amp;TableWeeklySummary[[#This Row],[Hasta]])</f>
        <v>0</v>
      </c>
      <c r="O166" s="12">
        <f ca="1">SUMIFS(TableDailySummary[Tienda 81_orders],TableDailySummary[Fecha],"&gt;="&amp;TableWeeklySummary[[#This Row],[Desde]],TableDailySummary[Fecha],"&lt;="&amp;TableWeeklySummary[[#This Row],[Hasta]])</f>
        <v>0</v>
      </c>
      <c r="P166" s="12">
        <f ca="1">SUMIFS(TableDailySummary[Rappi_net_sales],TableDailySummary[Fecha],"&gt;="&amp;TableWeeklySummary[[#This Row],[Desde]],TableDailySummary[Fecha],"&lt;="&amp;TableWeeklySummary[[#This Row],[Hasta]])</f>
        <v>0</v>
      </c>
      <c r="Q166" s="12">
        <f ca="1">SUMIFS(TableDailySummary[Rappi_orders],TableDailySummary[Fecha],"&gt;="&amp;TableWeeklySummary[[#This Row],[Desde]],TableDailySummary[Fecha],"&lt;="&amp;TableWeeklySummary[[#This Row],[Hasta]])</f>
        <v>0</v>
      </c>
      <c r="R16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6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66" s="12">
        <f ca="1">SUMIFS(TableDailySummary[Inversión google ads],TableDailySummary[Fecha],"&gt;="&amp;TableWeeklySummary[[#This Row],[Desde]],TableDailySummary[Fecha],"&lt;="&amp;TableWeeklySummary[[#This Row],[Hasta]])</f>
        <v>0</v>
      </c>
      <c r="U166" s="12">
        <f ca="1">SUMIFS(TableDailySummary[Ventas google ads],TableDailySummary[Fecha],"&gt;="&amp;TableWeeklySummary[[#This Row],[Desde]],TableDailySummary[Fecha],"&lt;="&amp;TableWeeklySummary[[#This Row],[Hasta]])</f>
        <v>0</v>
      </c>
      <c r="V166" s="12">
        <f ca="1">SUMIFS(TableDailySummary[Inversión meta ads],TableDailySummary[Fecha],"&gt;="&amp;TableWeeklySummary[[#This Row],[Desde]],TableDailySummary[Fecha],"&lt;="&amp;TableWeeklySummary[[#This Row],[Hasta]])</f>
        <v>0</v>
      </c>
      <c r="W166" s="12">
        <f ca="1">SUMIFS(TableDailySummary[Ventas meta ads],TableDailySummary[Fecha],"&gt;="&amp;TableWeeklySummary[[#This Row],[Desde]],TableDailySummary[Fecha],"&lt;="&amp;TableWeeklySummary[[#This Row],[Hasta]])</f>
        <v>0</v>
      </c>
      <c r="X166" s="12">
        <f ca="1">TableWeeklySummary[[#This Row],[Inversión google ads]]+TableWeeklySummary[[#This Row],[Inversión meta ads]]</f>
        <v>0</v>
      </c>
      <c r="Y166" s="12">
        <f ca="1">TableWeeklySummary[[#This Row],[Ventas google ads]]+TableWeeklySummary[[#This Row],[Ventas meta ads]]</f>
        <v>0</v>
      </c>
      <c r="Z166" s="14">
        <f ca="1">IFERROR(TableWeeklySummary[[#This Row],[Ventas publicidad]]/TableWeeklySummary[[#This Row],[Inversión publicidad]],0)</f>
        <v>0</v>
      </c>
      <c r="AA166" s="14">
        <f ca="1">IFERROR(TableWeeklySummary[[#This Row],[Ventas primer cliente]]/TableWeeklySummary[[#This Row],[Inversión publicidad]],0)</f>
        <v>0</v>
      </c>
      <c r="AB166" s="14"/>
      <c r="AC166" s="12"/>
      <c r="AI16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6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66" s="12">
        <f ca="1">SUMIFS(TableDailySummary[Utilidad bruta],TableDailySummary[Fecha],"&gt;="&amp;TableWeeklySummary[[#This Row],[Desde]],TableDailySummary[Fecha],"&lt;="&amp;TableWeeklySummary[[#This Row],[Hasta]])</f>
        <v>0</v>
      </c>
      <c r="AL166" s="18">
        <f ca="1">IFERROR(TableWeeklySummary[[#This Row],[Utilidad bruta]]/TableWeeklySummary[[#This Row],[Ventas netas con costo registrado]],0)</f>
        <v>0</v>
      </c>
    </row>
    <row r="167" spans="2:38" x14ac:dyDescent="0.2">
      <c r="B167" s="16">
        <f ca="1">_xlfn.ISOWEEKNUM(TableWeeklySummary[[#This Row],[Hasta]])</f>
        <v>48</v>
      </c>
      <c r="C167" s="6">
        <f t="shared" ca="1" si="4"/>
        <v>47081</v>
      </c>
      <c r="D167" s="6">
        <f ca="1">TableWeeklySummary[[#This Row],[Desde]]+7-1</f>
        <v>47087</v>
      </c>
      <c r="E167" s="12">
        <f ca="1">SUMIFS(TableDailySummary[Ventas netas totales],TableDailySummary[Fecha],"&gt;="&amp;TableWeeklySummary[[#This Row],[Desde]],TableDailySummary[Fecha],"&lt;="&amp;TableWeeklySummary[[#This Row],[Hasta]])</f>
        <v>0</v>
      </c>
      <c r="F167" s="12">
        <f ca="1">SUMIFS(TableDailySummary[Órdenes totales],TableDailySummary[Fecha],"&gt;="&amp;TableWeeklySummary[[#This Row],[Desde]],TableDailySummary[Fecha],"&lt;="&amp;TableWeeklySummary[[#This Row],[Hasta]])</f>
        <v>0</v>
      </c>
      <c r="G167" s="12">
        <f ca="1">IFERROR(TableWeeklySummary[[#This Row],[Ventas netas totales]]/TableWeeklySummary[[#This Row],[Órdenes totales]],0)</f>
        <v>0</v>
      </c>
      <c r="H16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67" s="12">
        <f ca="1">TableWeeklySummary[[#This Row],[Órden promedio totales]]*TableWeeklySummary[[#This Row],[CR totales]]</f>
        <v>0</v>
      </c>
      <c r="J167" s="12">
        <f ca="1">SUMIFS(TableDailySummary[Ventas primer cliente],TableDailySummary[Fecha],"&gt;="&amp;TableWeeklySummary[[#This Row],[Desde]],TableDailySummary[Fecha],"&lt;="&amp;TableWeeklySummary[[#This Row],[Hasta]])</f>
        <v>0</v>
      </c>
      <c r="K167" s="12">
        <f ca="1">SUMIFS(TableDailySummary[Órdenes primer cliente],TableDailySummary[Fecha],"&gt;="&amp;TableWeeklySummary[[#This Row],[Desde]],TableDailySummary[Fecha],"&lt;="&amp;TableWeeklySummary[[#This Row],[Hasta]])</f>
        <v>0</v>
      </c>
      <c r="L167" s="12">
        <f ca="1">SUMIFS(TableDailySummary[Online Store_net_sales],TableDailySummary[Fecha],"&gt;="&amp;TableWeeklySummary[[#This Row],[Desde]],TableDailySummary[Fecha],"&lt;="&amp;TableWeeklySummary[[#This Row],[Hasta]])</f>
        <v>0</v>
      </c>
      <c r="M167" s="12">
        <f ca="1">SUMIFS(TableDailySummary[Online Store_orders],TableDailySummary[Fecha],"&gt;="&amp;TableWeeklySummary[[#This Row],[Desde]],TableDailySummary[Fecha],"&lt;="&amp;TableWeeklySummary[[#This Row],[Hasta]])</f>
        <v>0</v>
      </c>
      <c r="N167" s="12">
        <f ca="1">SUMIFS(TableDailySummary[Tienda 81_net_sales],TableDailySummary[Fecha],"&gt;="&amp;TableWeeklySummary[[#This Row],[Desde]],TableDailySummary[Fecha],"&lt;="&amp;TableWeeklySummary[[#This Row],[Hasta]])</f>
        <v>0</v>
      </c>
      <c r="O167" s="12">
        <f ca="1">SUMIFS(TableDailySummary[Tienda 81_orders],TableDailySummary[Fecha],"&gt;="&amp;TableWeeklySummary[[#This Row],[Desde]],TableDailySummary[Fecha],"&lt;="&amp;TableWeeklySummary[[#This Row],[Hasta]])</f>
        <v>0</v>
      </c>
      <c r="P167" s="12">
        <f ca="1">SUMIFS(TableDailySummary[Rappi_net_sales],TableDailySummary[Fecha],"&gt;="&amp;TableWeeklySummary[[#This Row],[Desde]],TableDailySummary[Fecha],"&lt;="&amp;TableWeeklySummary[[#This Row],[Hasta]])</f>
        <v>0</v>
      </c>
      <c r="Q167" s="12">
        <f ca="1">SUMIFS(TableDailySummary[Rappi_orders],TableDailySummary[Fecha],"&gt;="&amp;TableWeeklySummary[[#This Row],[Desde]],TableDailySummary[Fecha],"&lt;="&amp;TableWeeklySummary[[#This Row],[Hasta]])</f>
        <v>0</v>
      </c>
      <c r="R16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6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67" s="12">
        <f ca="1">SUMIFS(TableDailySummary[Inversión google ads],TableDailySummary[Fecha],"&gt;="&amp;TableWeeklySummary[[#This Row],[Desde]],TableDailySummary[Fecha],"&lt;="&amp;TableWeeklySummary[[#This Row],[Hasta]])</f>
        <v>0</v>
      </c>
      <c r="U167" s="12">
        <f ca="1">SUMIFS(TableDailySummary[Ventas google ads],TableDailySummary[Fecha],"&gt;="&amp;TableWeeklySummary[[#This Row],[Desde]],TableDailySummary[Fecha],"&lt;="&amp;TableWeeklySummary[[#This Row],[Hasta]])</f>
        <v>0</v>
      </c>
      <c r="V167" s="12">
        <f ca="1">SUMIFS(TableDailySummary[Inversión meta ads],TableDailySummary[Fecha],"&gt;="&amp;TableWeeklySummary[[#This Row],[Desde]],TableDailySummary[Fecha],"&lt;="&amp;TableWeeklySummary[[#This Row],[Hasta]])</f>
        <v>0</v>
      </c>
      <c r="W167" s="12">
        <f ca="1">SUMIFS(TableDailySummary[Ventas meta ads],TableDailySummary[Fecha],"&gt;="&amp;TableWeeklySummary[[#This Row],[Desde]],TableDailySummary[Fecha],"&lt;="&amp;TableWeeklySummary[[#This Row],[Hasta]])</f>
        <v>0</v>
      </c>
      <c r="X167" s="12">
        <f ca="1">TableWeeklySummary[[#This Row],[Inversión google ads]]+TableWeeklySummary[[#This Row],[Inversión meta ads]]</f>
        <v>0</v>
      </c>
      <c r="Y167" s="12">
        <f ca="1">TableWeeklySummary[[#This Row],[Ventas google ads]]+TableWeeklySummary[[#This Row],[Ventas meta ads]]</f>
        <v>0</v>
      </c>
      <c r="Z167" s="14">
        <f ca="1">IFERROR(TableWeeklySummary[[#This Row],[Ventas publicidad]]/TableWeeklySummary[[#This Row],[Inversión publicidad]],0)</f>
        <v>0</v>
      </c>
      <c r="AA167" s="14">
        <f ca="1">IFERROR(TableWeeklySummary[[#This Row],[Ventas primer cliente]]/TableWeeklySummary[[#This Row],[Inversión publicidad]],0)</f>
        <v>0</v>
      </c>
      <c r="AB167" s="14"/>
      <c r="AC167" s="12"/>
      <c r="AI16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6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67" s="12">
        <f ca="1">SUMIFS(TableDailySummary[Utilidad bruta],TableDailySummary[Fecha],"&gt;="&amp;TableWeeklySummary[[#This Row],[Desde]],TableDailySummary[Fecha],"&lt;="&amp;TableWeeklySummary[[#This Row],[Hasta]])</f>
        <v>0</v>
      </c>
      <c r="AL167" s="18">
        <f ca="1">IFERROR(TableWeeklySummary[[#This Row],[Utilidad bruta]]/TableWeeklySummary[[#This Row],[Ventas netas con costo registrado]],0)</f>
        <v>0</v>
      </c>
    </row>
    <row r="168" spans="2:38" x14ac:dyDescent="0.2">
      <c r="B168" s="16">
        <f ca="1">_xlfn.ISOWEEKNUM(TableWeeklySummary[[#This Row],[Hasta]])</f>
        <v>49</v>
      </c>
      <c r="C168" s="6">
        <f t="shared" ca="1" si="4"/>
        <v>47088</v>
      </c>
      <c r="D168" s="6">
        <f ca="1">TableWeeklySummary[[#This Row],[Desde]]+7-1</f>
        <v>47094</v>
      </c>
      <c r="E168" s="12">
        <f ca="1">SUMIFS(TableDailySummary[Ventas netas totales],TableDailySummary[Fecha],"&gt;="&amp;TableWeeklySummary[[#This Row],[Desde]],TableDailySummary[Fecha],"&lt;="&amp;TableWeeklySummary[[#This Row],[Hasta]])</f>
        <v>0</v>
      </c>
      <c r="F168" s="12">
        <f ca="1">SUMIFS(TableDailySummary[Órdenes totales],TableDailySummary[Fecha],"&gt;="&amp;TableWeeklySummary[[#This Row],[Desde]],TableDailySummary[Fecha],"&lt;="&amp;TableWeeklySummary[[#This Row],[Hasta]])</f>
        <v>0</v>
      </c>
      <c r="G168" s="12">
        <f ca="1">IFERROR(TableWeeklySummary[[#This Row],[Ventas netas totales]]/TableWeeklySummary[[#This Row],[Órdenes totales]],0)</f>
        <v>0</v>
      </c>
      <c r="H16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68" s="12">
        <f ca="1">TableWeeklySummary[[#This Row],[Órden promedio totales]]*TableWeeklySummary[[#This Row],[CR totales]]</f>
        <v>0</v>
      </c>
      <c r="J168" s="12">
        <f ca="1">SUMIFS(TableDailySummary[Ventas primer cliente],TableDailySummary[Fecha],"&gt;="&amp;TableWeeklySummary[[#This Row],[Desde]],TableDailySummary[Fecha],"&lt;="&amp;TableWeeklySummary[[#This Row],[Hasta]])</f>
        <v>0</v>
      </c>
      <c r="K168" s="12">
        <f ca="1">SUMIFS(TableDailySummary[Órdenes primer cliente],TableDailySummary[Fecha],"&gt;="&amp;TableWeeklySummary[[#This Row],[Desde]],TableDailySummary[Fecha],"&lt;="&amp;TableWeeklySummary[[#This Row],[Hasta]])</f>
        <v>0</v>
      </c>
      <c r="L168" s="12">
        <f ca="1">SUMIFS(TableDailySummary[Online Store_net_sales],TableDailySummary[Fecha],"&gt;="&amp;TableWeeklySummary[[#This Row],[Desde]],TableDailySummary[Fecha],"&lt;="&amp;TableWeeklySummary[[#This Row],[Hasta]])</f>
        <v>0</v>
      </c>
      <c r="M168" s="12">
        <f ca="1">SUMIFS(TableDailySummary[Online Store_orders],TableDailySummary[Fecha],"&gt;="&amp;TableWeeklySummary[[#This Row],[Desde]],TableDailySummary[Fecha],"&lt;="&amp;TableWeeklySummary[[#This Row],[Hasta]])</f>
        <v>0</v>
      </c>
      <c r="N168" s="12">
        <f ca="1">SUMIFS(TableDailySummary[Tienda 81_net_sales],TableDailySummary[Fecha],"&gt;="&amp;TableWeeklySummary[[#This Row],[Desde]],TableDailySummary[Fecha],"&lt;="&amp;TableWeeklySummary[[#This Row],[Hasta]])</f>
        <v>0</v>
      </c>
      <c r="O168" s="12">
        <f ca="1">SUMIFS(TableDailySummary[Tienda 81_orders],TableDailySummary[Fecha],"&gt;="&amp;TableWeeklySummary[[#This Row],[Desde]],TableDailySummary[Fecha],"&lt;="&amp;TableWeeklySummary[[#This Row],[Hasta]])</f>
        <v>0</v>
      </c>
      <c r="P168" s="12">
        <f ca="1">SUMIFS(TableDailySummary[Rappi_net_sales],TableDailySummary[Fecha],"&gt;="&amp;TableWeeklySummary[[#This Row],[Desde]],TableDailySummary[Fecha],"&lt;="&amp;TableWeeklySummary[[#This Row],[Hasta]])</f>
        <v>0</v>
      </c>
      <c r="Q168" s="12">
        <f ca="1">SUMIFS(TableDailySummary[Rappi_orders],TableDailySummary[Fecha],"&gt;="&amp;TableWeeklySummary[[#This Row],[Desde]],TableDailySummary[Fecha],"&lt;="&amp;TableWeeklySummary[[#This Row],[Hasta]])</f>
        <v>0</v>
      </c>
      <c r="R16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6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68" s="12">
        <f ca="1">SUMIFS(TableDailySummary[Inversión google ads],TableDailySummary[Fecha],"&gt;="&amp;TableWeeklySummary[[#This Row],[Desde]],TableDailySummary[Fecha],"&lt;="&amp;TableWeeklySummary[[#This Row],[Hasta]])</f>
        <v>0</v>
      </c>
      <c r="U168" s="12">
        <f ca="1">SUMIFS(TableDailySummary[Ventas google ads],TableDailySummary[Fecha],"&gt;="&amp;TableWeeklySummary[[#This Row],[Desde]],TableDailySummary[Fecha],"&lt;="&amp;TableWeeklySummary[[#This Row],[Hasta]])</f>
        <v>0</v>
      </c>
      <c r="V168" s="12">
        <f ca="1">SUMIFS(TableDailySummary[Inversión meta ads],TableDailySummary[Fecha],"&gt;="&amp;TableWeeklySummary[[#This Row],[Desde]],TableDailySummary[Fecha],"&lt;="&amp;TableWeeklySummary[[#This Row],[Hasta]])</f>
        <v>0</v>
      </c>
      <c r="W168" s="12">
        <f ca="1">SUMIFS(TableDailySummary[Ventas meta ads],TableDailySummary[Fecha],"&gt;="&amp;TableWeeklySummary[[#This Row],[Desde]],TableDailySummary[Fecha],"&lt;="&amp;TableWeeklySummary[[#This Row],[Hasta]])</f>
        <v>0</v>
      </c>
      <c r="X168" s="12">
        <f ca="1">TableWeeklySummary[[#This Row],[Inversión google ads]]+TableWeeklySummary[[#This Row],[Inversión meta ads]]</f>
        <v>0</v>
      </c>
      <c r="Y168" s="12">
        <f ca="1">TableWeeklySummary[[#This Row],[Ventas google ads]]+TableWeeklySummary[[#This Row],[Ventas meta ads]]</f>
        <v>0</v>
      </c>
      <c r="Z168" s="14">
        <f ca="1">IFERROR(TableWeeklySummary[[#This Row],[Ventas publicidad]]/TableWeeklySummary[[#This Row],[Inversión publicidad]],0)</f>
        <v>0</v>
      </c>
      <c r="AA168" s="14">
        <f ca="1">IFERROR(TableWeeklySummary[[#This Row],[Ventas primer cliente]]/TableWeeklySummary[[#This Row],[Inversión publicidad]],0)</f>
        <v>0</v>
      </c>
      <c r="AB168" s="14"/>
      <c r="AC168" s="12"/>
      <c r="AI16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6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68" s="12">
        <f ca="1">SUMIFS(TableDailySummary[Utilidad bruta],TableDailySummary[Fecha],"&gt;="&amp;TableWeeklySummary[[#This Row],[Desde]],TableDailySummary[Fecha],"&lt;="&amp;TableWeeklySummary[[#This Row],[Hasta]])</f>
        <v>0</v>
      </c>
      <c r="AL168" s="18">
        <f ca="1">IFERROR(TableWeeklySummary[[#This Row],[Utilidad bruta]]/TableWeeklySummary[[#This Row],[Ventas netas con costo registrado]],0)</f>
        <v>0</v>
      </c>
    </row>
    <row r="169" spans="2:38" x14ac:dyDescent="0.2">
      <c r="B169" s="16">
        <f ca="1">_xlfn.ISOWEEKNUM(TableWeeklySummary[[#This Row],[Hasta]])</f>
        <v>50</v>
      </c>
      <c r="C169" s="6">
        <f t="shared" ca="1" si="4"/>
        <v>47095</v>
      </c>
      <c r="D169" s="6">
        <f ca="1">TableWeeklySummary[[#This Row],[Desde]]+7-1</f>
        <v>47101</v>
      </c>
      <c r="E169" s="12">
        <f ca="1">SUMIFS(TableDailySummary[Ventas netas totales],TableDailySummary[Fecha],"&gt;="&amp;TableWeeklySummary[[#This Row],[Desde]],TableDailySummary[Fecha],"&lt;="&amp;TableWeeklySummary[[#This Row],[Hasta]])</f>
        <v>0</v>
      </c>
      <c r="F169" s="12">
        <f ca="1">SUMIFS(TableDailySummary[Órdenes totales],TableDailySummary[Fecha],"&gt;="&amp;TableWeeklySummary[[#This Row],[Desde]],TableDailySummary[Fecha],"&lt;="&amp;TableWeeklySummary[[#This Row],[Hasta]])</f>
        <v>0</v>
      </c>
      <c r="G169" s="12">
        <f ca="1">IFERROR(TableWeeklySummary[[#This Row],[Ventas netas totales]]/TableWeeklySummary[[#This Row],[Órdenes totales]],0)</f>
        <v>0</v>
      </c>
      <c r="H16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69" s="12">
        <f ca="1">TableWeeklySummary[[#This Row],[Órden promedio totales]]*TableWeeklySummary[[#This Row],[CR totales]]</f>
        <v>0</v>
      </c>
      <c r="J169" s="12">
        <f ca="1">SUMIFS(TableDailySummary[Ventas primer cliente],TableDailySummary[Fecha],"&gt;="&amp;TableWeeklySummary[[#This Row],[Desde]],TableDailySummary[Fecha],"&lt;="&amp;TableWeeklySummary[[#This Row],[Hasta]])</f>
        <v>0</v>
      </c>
      <c r="K169" s="12">
        <f ca="1">SUMIFS(TableDailySummary[Órdenes primer cliente],TableDailySummary[Fecha],"&gt;="&amp;TableWeeklySummary[[#This Row],[Desde]],TableDailySummary[Fecha],"&lt;="&amp;TableWeeklySummary[[#This Row],[Hasta]])</f>
        <v>0</v>
      </c>
      <c r="L169" s="12">
        <f ca="1">SUMIFS(TableDailySummary[Online Store_net_sales],TableDailySummary[Fecha],"&gt;="&amp;TableWeeklySummary[[#This Row],[Desde]],TableDailySummary[Fecha],"&lt;="&amp;TableWeeklySummary[[#This Row],[Hasta]])</f>
        <v>0</v>
      </c>
      <c r="M169" s="12">
        <f ca="1">SUMIFS(TableDailySummary[Online Store_orders],TableDailySummary[Fecha],"&gt;="&amp;TableWeeklySummary[[#This Row],[Desde]],TableDailySummary[Fecha],"&lt;="&amp;TableWeeklySummary[[#This Row],[Hasta]])</f>
        <v>0</v>
      </c>
      <c r="N169" s="12">
        <f ca="1">SUMIFS(TableDailySummary[Tienda 81_net_sales],TableDailySummary[Fecha],"&gt;="&amp;TableWeeklySummary[[#This Row],[Desde]],TableDailySummary[Fecha],"&lt;="&amp;TableWeeklySummary[[#This Row],[Hasta]])</f>
        <v>0</v>
      </c>
      <c r="O169" s="12">
        <f ca="1">SUMIFS(TableDailySummary[Tienda 81_orders],TableDailySummary[Fecha],"&gt;="&amp;TableWeeklySummary[[#This Row],[Desde]],TableDailySummary[Fecha],"&lt;="&amp;TableWeeklySummary[[#This Row],[Hasta]])</f>
        <v>0</v>
      </c>
      <c r="P169" s="12">
        <f ca="1">SUMIFS(TableDailySummary[Rappi_net_sales],TableDailySummary[Fecha],"&gt;="&amp;TableWeeklySummary[[#This Row],[Desde]],TableDailySummary[Fecha],"&lt;="&amp;TableWeeklySummary[[#This Row],[Hasta]])</f>
        <v>0</v>
      </c>
      <c r="Q169" s="12">
        <f ca="1">SUMIFS(TableDailySummary[Rappi_orders],TableDailySummary[Fecha],"&gt;="&amp;TableWeeklySummary[[#This Row],[Desde]],TableDailySummary[Fecha],"&lt;="&amp;TableWeeklySummary[[#This Row],[Hasta]])</f>
        <v>0</v>
      </c>
      <c r="R16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6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69" s="12">
        <f ca="1">SUMIFS(TableDailySummary[Inversión google ads],TableDailySummary[Fecha],"&gt;="&amp;TableWeeklySummary[[#This Row],[Desde]],TableDailySummary[Fecha],"&lt;="&amp;TableWeeklySummary[[#This Row],[Hasta]])</f>
        <v>0</v>
      </c>
      <c r="U169" s="12">
        <f ca="1">SUMIFS(TableDailySummary[Ventas google ads],TableDailySummary[Fecha],"&gt;="&amp;TableWeeklySummary[[#This Row],[Desde]],TableDailySummary[Fecha],"&lt;="&amp;TableWeeklySummary[[#This Row],[Hasta]])</f>
        <v>0</v>
      </c>
      <c r="V169" s="12">
        <f ca="1">SUMIFS(TableDailySummary[Inversión meta ads],TableDailySummary[Fecha],"&gt;="&amp;TableWeeklySummary[[#This Row],[Desde]],TableDailySummary[Fecha],"&lt;="&amp;TableWeeklySummary[[#This Row],[Hasta]])</f>
        <v>0</v>
      </c>
      <c r="W169" s="12">
        <f ca="1">SUMIFS(TableDailySummary[Ventas meta ads],TableDailySummary[Fecha],"&gt;="&amp;TableWeeklySummary[[#This Row],[Desde]],TableDailySummary[Fecha],"&lt;="&amp;TableWeeklySummary[[#This Row],[Hasta]])</f>
        <v>0</v>
      </c>
      <c r="X169" s="12">
        <f ca="1">TableWeeklySummary[[#This Row],[Inversión google ads]]+TableWeeklySummary[[#This Row],[Inversión meta ads]]</f>
        <v>0</v>
      </c>
      <c r="Y169" s="12">
        <f ca="1">TableWeeklySummary[[#This Row],[Ventas google ads]]+TableWeeklySummary[[#This Row],[Ventas meta ads]]</f>
        <v>0</v>
      </c>
      <c r="Z169" s="14">
        <f ca="1">IFERROR(TableWeeklySummary[[#This Row],[Ventas publicidad]]/TableWeeklySummary[[#This Row],[Inversión publicidad]],0)</f>
        <v>0</v>
      </c>
      <c r="AA169" s="14">
        <f ca="1">IFERROR(TableWeeklySummary[[#This Row],[Ventas primer cliente]]/TableWeeklySummary[[#This Row],[Inversión publicidad]],0)</f>
        <v>0</v>
      </c>
      <c r="AB169" s="14"/>
      <c r="AC169" s="12"/>
      <c r="AI16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6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69" s="12">
        <f ca="1">SUMIFS(TableDailySummary[Utilidad bruta],TableDailySummary[Fecha],"&gt;="&amp;TableWeeklySummary[[#This Row],[Desde]],TableDailySummary[Fecha],"&lt;="&amp;TableWeeklySummary[[#This Row],[Hasta]])</f>
        <v>0</v>
      </c>
      <c r="AL169" s="18">
        <f ca="1">IFERROR(TableWeeklySummary[[#This Row],[Utilidad bruta]]/TableWeeklySummary[[#This Row],[Ventas netas con costo registrado]],0)</f>
        <v>0</v>
      </c>
    </row>
    <row r="170" spans="2:38" x14ac:dyDescent="0.2">
      <c r="B170" s="16">
        <f ca="1">_xlfn.ISOWEEKNUM(TableWeeklySummary[[#This Row],[Hasta]])</f>
        <v>51</v>
      </c>
      <c r="C170" s="6">
        <f t="shared" ca="1" si="4"/>
        <v>47102</v>
      </c>
      <c r="D170" s="6">
        <f ca="1">TableWeeklySummary[[#This Row],[Desde]]+7-1</f>
        <v>47108</v>
      </c>
      <c r="E170" s="12">
        <f ca="1">SUMIFS(TableDailySummary[Ventas netas totales],TableDailySummary[Fecha],"&gt;="&amp;TableWeeklySummary[[#This Row],[Desde]],TableDailySummary[Fecha],"&lt;="&amp;TableWeeklySummary[[#This Row],[Hasta]])</f>
        <v>0</v>
      </c>
      <c r="F170" s="12">
        <f ca="1">SUMIFS(TableDailySummary[Órdenes totales],TableDailySummary[Fecha],"&gt;="&amp;TableWeeklySummary[[#This Row],[Desde]],TableDailySummary[Fecha],"&lt;="&amp;TableWeeklySummary[[#This Row],[Hasta]])</f>
        <v>0</v>
      </c>
      <c r="G170" s="12">
        <f ca="1">IFERROR(TableWeeklySummary[[#This Row],[Ventas netas totales]]/TableWeeklySummary[[#This Row],[Órdenes totales]],0)</f>
        <v>0</v>
      </c>
      <c r="H17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70" s="12">
        <f ca="1">TableWeeklySummary[[#This Row],[Órden promedio totales]]*TableWeeklySummary[[#This Row],[CR totales]]</f>
        <v>0</v>
      </c>
      <c r="J170" s="12">
        <f ca="1">SUMIFS(TableDailySummary[Ventas primer cliente],TableDailySummary[Fecha],"&gt;="&amp;TableWeeklySummary[[#This Row],[Desde]],TableDailySummary[Fecha],"&lt;="&amp;TableWeeklySummary[[#This Row],[Hasta]])</f>
        <v>0</v>
      </c>
      <c r="K170" s="12">
        <f ca="1">SUMIFS(TableDailySummary[Órdenes primer cliente],TableDailySummary[Fecha],"&gt;="&amp;TableWeeklySummary[[#This Row],[Desde]],TableDailySummary[Fecha],"&lt;="&amp;TableWeeklySummary[[#This Row],[Hasta]])</f>
        <v>0</v>
      </c>
      <c r="L170" s="12">
        <f ca="1">SUMIFS(TableDailySummary[Online Store_net_sales],TableDailySummary[Fecha],"&gt;="&amp;TableWeeklySummary[[#This Row],[Desde]],TableDailySummary[Fecha],"&lt;="&amp;TableWeeklySummary[[#This Row],[Hasta]])</f>
        <v>0</v>
      </c>
      <c r="M170" s="12">
        <f ca="1">SUMIFS(TableDailySummary[Online Store_orders],TableDailySummary[Fecha],"&gt;="&amp;TableWeeklySummary[[#This Row],[Desde]],TableDailySummary[Fecha],"&lt;="&amp;TableWeeklySummary[[#This Row],[Hasta]])</f>
        <v>0</v>
      </c>
      <c r="N170" s="12">
        <f ca="1">SUMIFS(TableDailySummary[Tienda 81_net_sales],TableDailySummary[Fecha],"&gt;="&amp;TableWeeklySummary[[#This Row],[Desde]],TableDailySummary[Fecha],"&lt;="&amp;TableWeeklySummary[[#This Row],[Hasta]])</f>
        <v>0</v>
      </c>
      <c r="O170" s="12">
        <f ca="1">SUMIFS(TableDailySummary[Tienda 81_orders],TableDailySummary[Fecha],"&gt;="&amp;TableWeeklySummary[[#This Row],[Desde]],TableDailySummary[Fecha],"&lt;="&amp;TableWeeklySummary[[#This Row],[Hasta]])</f>
        <v>0</v>
      </c>
      <c r="P170" s="12">
        <f ca="1">SUMIFS(TableDailySummary[Rappi_net_sales],TableDailySummary[Fecha],"&gt;="&amp;TableWeeklySummary[[#This Row],[Desde]],TableDailySummary[Fecha],"&lt;="&amp;TableWeeklySummary[[#This Row],[Hasta]])</f>
        <v>0</v>
      </c>
      <c r="Q170" s="12">
        <f ca="1">SUMIFS(TableDailySummary[Rappi_orders],TableDailySummary[Fecha],"&gt;="&amp;TableWeeklySummary[[#This Row],[Desde]],TableDailySummary[Fecha],"&lt;="&amp;TableWeeklySummary[[#This Row],[Hasta]])</f>
        <v>0</v>
      </c>
      <c r="R17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7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70" s="12">
        <f ca="1">SUMIFS(TableDailySummary[Inversión google ads],TableDailySummary[Fecha],"&gt;="&amp;TableWeeklySummary[[#This Row],[Desde]],TableDailySummary[Fecha],"&lt;="&amp;TableWeeklySummary[[#This Row],[Hasta]])</f>
        <v>0</v>
      </c>
      <c r="U170" s="12">
        <f ca="1">SUMIFS(TableDailySummary[Ventas google ads],TableDailySummary[Fecha],"&gt;="&amp;TableWeeklySummary[[#This Row],[Desde]],TableDailySummary[Fecha],"&lt;="&amp;TableWeeklySummary[[#This Row],[Hasta]])</f>
        <v>0</v>
      </c>
      <c r="V170" s="12">
        <f ca="1">SUMIFS(TableDailySummary[Inversión meta ads],TableDailySummary[Fecha],"&gt;="&amp;TableWeeklySummary[[#This Row],[Desde]],TableDailySummary[Fecha],"&lt;="&amp;TableWeeklySummary[[#This Row],[Hasta]])</f>
        <v>0</v>
      </c>
      <c r="W170" s="12">
        <f ca="1">SUMIFS(TableDailySummary[Ventas meta ads],TableDailySummary[Fecha],"&gt;="&amp;TableWeeklySummary[[#This Row],[Desde]],TableDailySummary[Fecha],"&lt;="&amp;TableWeeklySummary[[#This Row],[Hasta]])</f>
        <v>0</v>
      </c>
      <c r="X170" s="12">
        <f ca="1">TableWeeklySummary[[#This Row],[Inversión google ads]]+TableWeeklySummary[[#This Row],[Inversión meta ads]]</f>
        <v>0</v>
      </c>
      <c r="Y170" s="12">
        <f ca="1">TableWeeklySummary[[#This Row],[Ventas google ads]]+TableWeeklySummary[[#This Row],[Ventas meta ads]]</f>
        <v>0</v>
      </c>
      <c r="Z170" s="14">
        <f ca="1">IFERROR(TableWeeklySummary[[#This Row],[Ventas publicidad]]/TableWeeklySummary[[#This Row],[Inversión publicidad]],0)</f>
        <v>0</v>
      </c>
      <c r="AA170" s="14">
        <f ca="1">IFERROR(TableWeeklySummary[[#This Row],[Ventas primer cliente]]/TableWeeklySummary[[#This Row],[Inversión publicidad]],0)</f>
        <v>0</v>
      </c>
      <c r="AB170" s="14"/>
      <c r="AC170" s="12"/>
      <c r="AI17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7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70" s="12">
        <f ca="1">SUMIFS(TableDailySummary[Utilidad bruta],TableDailySummary[Fecha],"&gt;="&amp;TableWeeklySummary[[#This Row],[Desde]],TableDailySummary[Fecha],"&lt;="&amp;TableWeeklySummary[[#This Row],[Hasta]])</f>
        <v>0</v>
      </c>
      <c r="AL170" s="18">
        <f ca="1">IFERROR(TableWeeklySummary[[#This Row],[Utilidad bruta]]/TableWeeklySummary[[#This Row],[Ventas netas con costo registrado]],0)</f>
        <v>0</v>
      </c>
    </row>
    <row r="171" spans="2:38" x14ac:dyDescent="0.2">
      <c r="B171" s="16">
        <f ca="1">_xlfn.ISOWEEKNUM(TableWeeklySummary[[#This Row],[Hasta]])</f>
        <v>52</v>
      </c>
      <c r="C171" s="6">
        <f t="shared" ca="1" si="4"/>
        <v>47109</v>
      </c>
      <c r="D171" s="6">
        <f ca="1">TableWeeklySummary[[#This Row],[Desde]]+7-1</f>
        <v>47115</v>
      </c>
      <c r="E171" s="12">
        <f ca="1">SUMIFS(TableDailySummary[Ventas netas totales],TableDailySummary[Fecha],"&gt;="&amp;TableWeeklySummary[[#This Row],[Desde]],TableDailySummary[Fecha],"&lt;="&amp;TableWeeklySummary[[#This Row],[Hasta]])</f>
        <v>0</v>
      </c>
      <c r="F171" s="12">
        <f ca="1">SUMIFS(TableDailySummary[Órdenes totales],TableDailySummary[Fecha],"&gt;="&amp;TableWeeklySummary[[#This Row],[Desde]],TableDailySummary[Fecha],"&lt;="&amp;TableWeeklySummary[[#This Row],[Hasta]])</f>
        <v>0</v>
      </c>
      <c r="G171" s="12">
        <f ca="1">IFERROR(TableWeeklySummary[[#This Row],[Ventas netas totales]]/TableWeeklySummary[[#This Row],[Órdenes totales]],0)</f>
        <v>0</v>
      </c>
      <c r="H17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71" s="12">
        <f ca="1">TableWeeklySummary[[#This Row],[Órden promedio totales]]*TableWeeklySummary[[#This Row],[CR totales]]</f>
        <v>0</v>
      </c>
      <c r="J171" s="12">
        <f ca="1">SUMIFS(TableDailySummary[Ventas primer cliente],TableDailySummary[Fecha],"&gt;="&amp;TableWeeklySummary[[#This Row],[Desde]],TableDailySummary[Fecha],"&lt;="&amp;TableWeeklySummary[[#This Row],[Hasta]])</f>
        <v>0</v>
      </c>
      <c r="K171" s="12">
        <f ca="1">SUMIFS(TableDailySummary[Órdenes primer cliente],TableDailySummary[Fecha],"&gt;="&amp;TableWeeklySummary[[#This Row],[Desde]],TableDailySummary[Fecha],"&lt;="&amp;TableWeeklySummary[[#This Row],[Hasta]])</f>
        <v>0</v>
      </c>
      <c r="L171" s="12">
        <f ca="1">SUMIFS(TableDailySummary[Online Store_net_sales],TableDailySummary[Fecha],"&gt;="&amp;TableWeeklySummary[[#This Row],[Desde]],TableDailySummary[Fecha],"&lt;="&amp;TableWeeklySummary[[#This Row],[Hasta]])</f>
        <v>0</v>
      </c>
      <c r="M171" s="12">
        <f ca="1">SUMIFS(TableDailySummary[Online Store_orders],TableDailySummary[Fecha],"&gt;="&amp;TableWeeklySummary[[#This Row],[Desde]],TableDailySummary[Fecha],"&lt;="&amp;TableWeeklySummary[[#This Row],[Hasta]])</f>
        <v>0</v>
      </c>
      <c r="N171" s="12">
        <f ca="1">SUMIFS(TableDailySummary[Tienda 81_net_sales],TableDailySummary[Fecha],"&gt;="&amp;TableWeeklySummary[[#This Row],[Desde]],TableDailySummary[Fecha],"&lt;="&amp;TableWeeklySummary[[#This Row],[Hasta]])</f>
        <v>0</v>
      </c>
      <c r="O171" s="12">
        <f ca="1">SUMIFS(TableDailySummary[Tienda 81_orders],TableDailySummary[Fecha],"&gt;="&amp;TableWeeklySummary[[#This Row],[Desde]],TableDailySummary[Fecha],"&lt;="&amp;TableWeeklySummary[[#This Row],[Hasta]])</f>
        <v>0</v>
      </c>
      <c r="P171" s="12">
        <f ca="1">SUMIFS(TableDailySummary[Rappi_net_sales],TableDailySummary[Fecha],"&gt;="&amp;TableWeeklySummary[[#This Row],[Desde]],TableDailySummary[Fecha],"&lt;="&amp;TableWeeklySummary[[#This Row],[Hasta]])</f>
        <v>0</v>
      </c>
      <c r="Q171" s="12">
        <f ca="1">SUMIFS(TableDailySummary[Rappi_orders],TableDailySummary[Fecha],"&gt;="&amp;TableWeeklySummary[[#This Row],[Desde]],TableDailySummary[Fecha],"&lt;="&amp;TableWeeklySummary[[#This Row],[Hasta]])</f>
        <v>0</v>
      </c>
      <c r="R17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7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71" s="12">
        <f ca="1">SUMIFS(TableDailySummary[Inversión google ads],TableDailySummary[Fecha],"&gt;="&amp;TableWeeklySummary[[#This Row],[Desde]],TableDailySummary[Fecha],"&lt;="&amp;TableWeeklySummary[[#This Row],[Hasta]])</f>
        <v>0</v>
      </c>
      <c r="U171" s="12">
        <f ca="1">SUMIFS(TableDailySummary[Ventas google ads],TableDailySummary[Fecha],"&gt;="&amp;TableWeeklySummary[[#This Row],[Desde]],TableDailySummary[Fecha],"&lt;="&amp;TableWeeklySummary[[#This Row],[Hasta]])</f>
        <v>0</v>
      </c>
      <c r="V171" s="12">
        <f ca="1">SUMIFS(TableDailySummary[Inversión meta ads],TableDailySummary[Fecha],"&gt;="&amp;TableWeeklySummary[[#This Row],[Desde]],TableDailySummary[Fecha],"&lt;="&amp;TableWeeklySummary[[#This Row],[Hasta]])</f>
        <v>0</v>
      </c>
      <c r="W171" s="12">
        <f ca="1">SUMIFS(TableDailySummary[Ventas meta ads],TableDailySummary[Fecha],"&gt;="&amp;TableWeeklySummary[[#This Row],[Desde]],TableDailySummary[Fecha],"&lt;="&amp;TableWeeklySummary[[#This Row],[Hasta]])</f>
        <v>0</v>
      </c>
      <c r="X171" s="12">
        <f ca="1">TableWeeklySummary[[#This Row],[Inversión google ads]]+TableWeeklySummary[[#This Row],[Inversión meta ads]]</f>
        <v>0</v>
      </c>
      <c r="Y171" s="12">
        <f ca="1">TableWeeklySummary[[#This Row],[Ventas google ads]]+TableWeeklySummary[[#This Row],[Ventas meta ads]]</f>
        <v>0</v>
      </c>
      <c r="Z171" s="14">
        <f ca="1">IFERROR(TableWeeklySummary[[#This Row],[Ventas publicidad]]/TableWeeklySummary[[#This Row],[Inversión publicidad]],0)</f>
        <v>0</v>
      </c>
      <c r="AA171" s="14">
        <f ca="1">IFERROR(TableWeeklySummary[[#This Row],[Ventas primer cliente]]/TableWeeklySummary[[#This Row],[Inversión publicidad]],0)</f>
        <v>0</v>
      </c>
      <c r="AB171" s="14"/>
      <c r="AC171" s="12"/>
      <c r="AI17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7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71" s="12">
        <f ca="1">SUMIFS(TableDailySummary[Utilidad bruta],TableDailySummary[Fecha],"&gt;="&amp;TableWeeklySummary[[#This Row],[Desde]],TableDailySummary[Fecha],"&lt;="&amp;TableWeeklySummary[[#This Row],[Hasta]])</f>
        <v>0</v>
      </c>
      <c r="AL171" s="18">
        <f ca="1">IFERROR(TableWeeklySummary[[#This Row],[Utilidad bruta]]/TableWeeklySummary[[#This Row],[Ventas netas con costo registrado]],0)</f>
        <v>0</v>
      </c>
    </row>
    <row r="172" spans="2:38" x14ac:dyDescent="0.2">
      <c r="B172" s="16">
        <f ca="1">_xlfn.ISOWEEKNUM(TableWeeklySummary[[#This Row],[Hasta]])</f>
        <v>1</v>
      </c>
      <c r="C172" s="6">
        <f t="shared" ca="1" si="4"/>
        <v>47116</v>
      </c>
      <c r="D172" s="6">
        <f ca="1">TableWeeklySummary[[#This Row],[Desde]]+7-1</f>
        <v>47122</v>
      </c>
      <c r="E172" s="12">
        <f ca="1">SUMIFS(TableDailySummary[Ventas netas totales],TableDailySummary[Fecha],"&gt;="&amp;TableWeeklySummary[[#This Row],[Desde]],TableDailySummary[Fecha],"&lt;="&amp;TableWeeklySummary[[#This Row],[Hasta]])</f>
        <v>0</v>
      </c>
      <c r="F172" s="12">
        <f ca="1">SUMIFS(TableDailySummary[Órdenes totales],TableDailySummary[Fecha],"&gt;="&amp;TableWeeklySummary[[#This Row],[Desde]],TableDailySummary[Fecha],"&lt;="&amp;TableWeeklySummary[[#This Row],[Hasta]])</f>
        <v>0</v>
      </c>
      <c r="G172" s="12">
        <f ca="1">IFERROR(TableWeeklySummary[[#This Row],[Ventas netas totales]]/TableWeeklySummary[[#This Row],[Órdenes totales]],0)</f>
        <v>0</v>
      </c>
      <c r="H17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72" s="12">
        <f ca="1">TableWeeklySummary[[#This Row],[Órden promedio totales]]*TableWeeklySummary[[#This Row],[CR totales]]</f>
        <v>0</v>
      </c>
      <c r="J172" s="12">
        <f ca="1">SUMIFS(TableDailySummary[Ventas primer cliente],TableDailySummary[Fecha],"&gt;="&amp;TableWeeklySummary[[#This Row],[Desde]],TableDailySummary[Fecha],"&lt;="&amp;TableWeeklySummary[[#This Row],[Hasta]])</f>
        <v>0</v>
      </c>
      <c r="K172" s="12">
        <f ca="1">SUMIFS(TableDailySummary[Órdenes primer cliente],TableDailySummary[Fecha],"&gt;="&amp;TableWeeklySummary[[#This Row],[Desde]],TableDailySummary[Fecha],"&lt;="&amp;TableWeeklySummary[[#This Row],[Hasta]])</f>
        <v>0</v>
      </c>
      <c r="L172" s="12">
        <f ca="1">SUMIFS(TableDailySummary[Online Store_net_sales],TableDailySummary[Fecha],"&gt;="&amp;TableWeeklySummary[[#This Row],[Desde]],TableDailySummary[Fecha],"&lt;="&amp;TableWeeklySummary[[#This Row],[Hasta]])</f>
        <v>0</v>
      </c>
      <c r="M172" s="12">
        <f ca="1">SUMIFS(TableDailySummary[Online Store_orders],TableDailySummary[Fecha],"&gt;="&amp;TableWeeklySummary[[#This Row],[Desde]],TableDailySummary[Fecha],"&lt;="&amp;TableWeeklySummary[[#This Row],[Hasta]])</f>
        <v>0</v>
      </c>
      <c r="N172" s="12">
        <f ca="1">SUMIFS(TableDailySummary[Tienda 81_net_sales],TableDailySummary[Fecha],"&gt;="&amp;TableWeeklySummary[[#This Row],[Desde]],TableDailySummary[Fecha],"&lt;="&amp;TableWeeklySummary[[#This Row],[Hasta]])</f>
        <v>0</v>
      </c>
      <c r="O172" s="12">
        <f ca="1">SUMIFS(TableDailySummary[Tienda 81_orders],TableDailySummary[Fecha],"&gt;="&amp;TableWeeklySummary[[#This Row],[Desde]],TableDailySummary[Fecha],"&lt;="&amp;TableWeeklySummary[[#This Row],[Hasta]])</f>
        <v>0</v>
      </c>
      <c r="P172" s="12">
        <f ca="1">SUMIFS(TableDailySummary[Rappi_net_sales],TableDailySummary[Fecha],"&gt;="&amp;TableWeeklySummary[[#This Row],[Desde]],TableDailySummary[Fecha],"&lt;="&amp;TableWeeklySummary[[#This Row],[Hasta]])</f>
        <v>0</v>
      </c>
      <c r="Q172" s="12">
        <f ca="1">SUMIFS(TableDailySummary[Rappi_orders],TableDailySummary[Fecha],"&gt;="&amp;TableWeeklySummary[[#This Row],[Desde]],TableDailySummary[Fecha],"&lt;="&amp;TableWeeklySummary[[#This Row],[Hasta]])</f>
        <v>0</v>
      </c>
      <c r="R17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7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72" s="12">
        <f ca="1">SUMIFS(TableDailySummary[Inversión google ads],TableDailySummary[Fecha],"&gt;="&amp;TableWeeklySummary[[#This Row],[Desde]],TableDailySummary[Fecha],"&lt;="&amp;TableWeeklySummary[[#This Row],[Hasta]])</f>
        <v>0</v>
      </c>
      <c r="U172" s="12">
        <f ca="1">SUMIFS(TableDailySummary[Ventas google ads],TableDailySummary[Fecha],"&gt;="&amp;TableWeeklySummary[[#This Row],[Desde]],TableDailySummary[Fecha],"&lt;="&amp;TableWeeklySummary[[#This Row],[Hasta]])</f>
        <v>0</v>
      </c>
      <c r="V172" s="12">
        <f ca="1">SUMIFS(TableDailySummary[Inversión meta ads],TableDailySummary[Fecha],"&gt;="&amp;TableWeeklySummary[[#This Row],[Desde]],TableDailySummary[Fecha],"&lt;="&amp;TableWeeklySummary[[#This Row],[Hasta]])</f>
        <v>0</v>
      </c>
      <c r="W172" s="12">
        <f ca="1">SUMIFS(TableDailySummary[Ventas meta ads],TableDailySummary[Fecha],"&gt;="&amp;TableWeeklySummary[[#This Row],[Desde]],TableDailySummary[Fecha],"&lt;="&amp;TableWeeklySummary[[#This Row],[Hasta]])</f>
        <v>0</v>
      </c>
      <c r="X172" s="12">
        <f ca="1">TableWeeklySummary[[#This Row],[Inversión google ads]]+TableWeeklySummary[[#This Row],[Inversión meta ads]]</f>
        <v>0</v>
      </c>
      <c r="Y172" s="12">
        <f ca="1">TableWeeklySummary[[#This Row],[Ventas google ads]]+TableWeeklySummary[[#This Row],[Ventas meta ads]]</f>
        <v>0</v>
      </c>
      <c r="Z172" s="14">
        <f ca="1">IFERROR(TableWeeklySummary[[#This Row],[Ventas publicidad]]/TableWeeklySummary[[#This Row],[Inversión publicidad]],0)</f>
        <v>0</v>
      </c>
      <c r="AA172" s="14">
        <f ca="1">IFERROR(TableWeeklySummary[[#This Row],[Ventas primer cliente]]/TableWeeklySummary[[#This Row],[Inversión publicidad]],0)</f>
        <v>0</v>
      </c>
      <c r="AB172" s="14"/>
      <c r="AC172" s="12"/>
      <c r="AI17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7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72" s="12">
        <f ca="1">SUMIFS(TableDailySummary[Utilidad bruta],TableDailySummary[Fecha],"&gt;="&amp;TableWeeklySummary[[#This Row],[Desde]],TableDailySummary[Fecha],"&lt;="&amp;TableWeeklySummary[[#This Row],[Hasta]])</f>
        <v>0</v>
      </c>
      <c r="AL172" s="18">
        <f ca="1">IFERROR(TableWeeklySummary[[#This Row],[Utilidad bruta]]/TableWeeklySummary[[#This Row],[Ventas netas con costo registrado]],0)</f>
        <v>0</v>
      </c>
    </row>
    <row r="173" spans="2:38" x14ac:dyDescent="0.2">
      <c r="B173" s="16">
        <f ca="1">_xlfn.ISOWEEKNUM(TableWeeklySummary[[#This Row],[Hasta]])</f>
        <v>2</v>
      </c>
      <c r="C173" s="6">
        <f t="shared" ca="1" si="4"/>
        <v>47123</v>
      </c>
      <c r="D173" s="6">
        <f ca="1">TableWeeklySummary[[#This Row],[Desde]]+7-1</f>
        <v>47129</v>
      </c>
      <c r="E173" s="12">
        <f ca="1">SUMIFS(TableDailySummary[Ventas netas totales],TableDailySummary[Fecha],"&gt;="&amp;TableWeeklySummary[[#This Row],[Desde]],TableDailySummary[Fecha],"&lt;="&amp;TableWeeklySummary[[#This Row],[Hasta]])</f>
        <v>0</v>
      </c>
      <c r="F173" s="12">
        <f ca="1">SUMIFS(TableDailySummary[Órdenes totales],TableDailySummary[Fecha],"&gt;="&amp;TableWeeklySummary[[#This Row],[Desde]],TableDailySummary[Fecha],"&lt;="&amp;TableWeeklySummary[[#This Row],[Hasta]])</f>
        <v>0</v>
      </c>
      <c r="G173" s="12">
        <f ca="1">IFERROR(TableWeeklySummary[[#This Row],[Ventas netas totales]]/TableWeeklySummary[[#This Row],[Órdenes totales]],0)</f>
        <v>0</v>
      </c>
      <c r="H17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73" s="12">
        <f ca="1">TableWeeklySummary[[#This Row],[Órden promedio totales]]*TableWeeklySummary[[#This Row],[CR totales]]</f>
        <v>0</v>
      </c>
      <c r="J173" s="12">
        <f ca="1">SUMIFS(TableDailySummary[Ventas primer cliente],TableDailySummary[Fecha],"&gt;="&amp;TableWeeklySummary[[#This Row],[Desde]],TableDailySummary[Fecha],"&lt;="&amp;TableWeeklySummary[[#This Row],[Hasta]])</f>
        <v>0</v>
      </c>
      <c r="K173" s="12">
        <f ca="1">SUMIFS(TableDailySummary[Órdenes primer cliente],TableDailySummary[Fecha],"&gt;="&amp;TableWeeklySummary[[#This Row],[Desde]],TableDailySummary[Fecha],"&lt;="&amp;TableWeeklySummary[[#This Row],[Hasta]])</f>
        <v>0</v>
      </c>
      <c r="L173" s="12">
        <f ca="1">SUMIFS(TableDailySummary[Online Store_net_sales],TableDailySummary[Fecha],"&gt;="&amp;TableWeeklySummary[[#This Row],[Desde]],TableDailySummary[Fecha],"&lt;="&amp;TableWeeklySummary[[#This Row],[Hasta]])</f>
        <v>0</v>
      </c>
      <c r="M173" s="12">
        <f ca="1">SUMIFS(TableDailySummary[Online Store_orders],TableDailySummary[Fecha],"&gt;="&amp;TableWeeklySummary[[#This Row],[Desde]],TableDailySummary[Fecha],"&lt;="&amp;TableWeeklySummary[[#This Row],[Hasta]])</f>
        <v>0</v>
      </c>
      <c r="N173" s="12">
        <f ca="1">SUMIFS(TableDailySummary[Tienda 81_net_sales],TableDailySummary[Fecha],"&gt;="&amp;TableWeeklySummary[[#This Row],[Desde]],TableDailySummary[Fecha],"&lt;="&amp;TableWeeklySummary[[#This Row],[Hasta]])</f>
        <v>0</v>
      </c>
      <c r="O173" s="12">
        <f ca="1">SUMIFS(TableDailySummary[Tienda 81_orders],TableDailySummary[Fecha],"&gt;="&amp;TableWeeklySummary[[#This Row],[Desde]],TableDailySummary[Fecha],"&lt;="&amp;TableWeeklySummary[[#This Row],[Hasta]])</f>
        <v>0</v>
      </c>
      <c r="P173" s="12">
        <f ca="1">SUMIFS(TableDailySummary[Rappi_net_sales],TableDailySummary[Fecha],"&gt;="&amp;TableWeeklySummary[[#This Row],[Desde]],TableDailySummary[Fecha],"&lt;="&amp;TableWeeklySummary[[#This Row],[Hasta]])</f>
        <v>0</v>
      </c>
      <c r="Q173" s="12">
        <f ca="1">SUMIFS(TableDailySummary[Rappi_orders],TableDailySummary[Fecha],"&gt;="&amp;TableWeeklySummary[[#This Row],[Desde]],TableDailySummary[Fecha],"&lt;="&amp;TableWeeklySummary[[#This Row],[Hasta]])</f>
        <v>0</v>
      </c>
      <c r="R17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7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73" s="12">
        <f ca="1">SUMIFS(TableDailySummary[Inversión google ads],TableDailySummary[Fecha],"&gt;="&amp;TableWeeklySummary[[#This Row],[Desde]],TableDailySummary[Fecha],"&lt;="&amp;TableWeeklySummary[[#This Row],[Hasta]])</f>
        <v>0</v>
      </c>
      <c r="U173" s="12">
        <f ca="1">SUMIFS(TableDailySummary[Ventas google ads],TableDailySummary[Fecha],"&gt;="&amp;TableWeeklySummary[[#This Row],[Desde]],TableDailySummary[Fecha],"&lt;="&amp;TableWeeklySummary[[#This Row],[Hasta]])</f>
        <v>0</v>
      </c>
      <c r="V173" s="12">
        <f ca="1">SUMIFS(TableDailySummary[Inversión meta ads],TableDailySummary[Fecha],"&gt;="&amp;TableWeeklySummary[[#This Row],[Desde]],TableDailySummary[Fecha],"&lt;="&amp;TableWeeklySummary[[#This Row],[Hasta]])</f>
        <v>0</v>
      </c>
      <c r="W173" s="12">
        <f ca="1">SUMIFS(TableDailySummary[Ventas meta ads],TableDailySummary[Fecha],"&gt;="&amp;TableWeeklySummary[[#This Row],[Desde]],TableDailySummary[Fecha],"&lt;="&amp;TableWeeklySummary[[#This Row],[Hasta]])</f>
        <v>0</v>
      </c>
      <c r="X173" s="12">
        <f ca="1">TableWeeklySummary[[#This Row],[Inversión google ads]]+TableWeeklySummary[[#This Row],[Inversión meta ads]]</f>
        <v>0</v>
      </c>
      <c r="Y173" s="12">
        <f ca="1">TableWeeklySummary[[#This Row],[Ventas google ads]]+TableWeeklySummary[[#This Row],[Ventas meta ads]]</f>
        <v>0</v>
      </c>
      <c r="Z173" s="14">
        <f ca="1">IFERROR(TableWeeklySummary[[#This Row],[Ventas publicidad]]/TableWeeklySummary[[#This Row],[Inversión publicidad]],0)</f>
        <v>0</v>
      </c>
      <c r="AA173" s="14">
        <f ca="1">IFERROR(TableWeeklySummary[[#This Row],[Ventas primer cliente]]/TableWeeklySummary[[#This Row],[Inversión publicidad]],0)</f>
        <v>0</v>
      </c>
      <c r="AB173" s="14"/>
      <c r="AC173" s="12"/>
      <c r="AI17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7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73" s="12">
        <f ca="1">SUMIFS(TableDailySummary[Utilidad bruta],TableDailySummary[Fecha],"&gt;="&amp;TableWeeklySummary[[#This Row],[Desde]],TableDailySummary[Fecha],"&lt;="&amp;TableWeeklySummary[[#This Row],[Hasta]])</f>
        <v>0</v>
      </c>
      <c r="AL173" s="18">
        <f ca="1">IFERROR(TableWeeklySummary[[#This Row],[Utilidad bruta]]/TableWeeklySummary[[#This Row],[Ventas netas con costo registrado]],0)</f>
        <v>0</v>
      </c>
    </row>
    <row r="174" spans="2:38" x14ac:dyDescent="0.2">
      <c r="B174" s="16">
        <f ca="1">_xlfn.ISOWEEKNUM(TableWeeklySummary[[#This Row],[Hasta]])</f>
        <v>3</v>
      </c>
      <c r="C174" s="6">
        <f t="shared" ca="1" si="4"/>
        <v>47130</v>
      </c>
      <c r="D174" s="6">
        <f ca="1">TableWeeklySummary[[#This Row],[Desde]]+7-1</f>
        <v>47136</v>
      </c>
      <c r="E174" s="12">
        <f ca="1">SUMIFS(TableDailySummary[Ventas netas totales],TableDailySummary[Fecha],"&gt;="&amp;TableWeeklySummary[[#This Row],[Desde]],TableDailySummary[Fecha],"&lt;="&amp;TableWeeklySummary[[#This Row],[Hasta]])</f>
        <v>0</v>
      </c>
      <c r="F174" s="12">
        <f ca="1">SUMIFS(TableDailySummary[Órdenes totales],TableDailySummary[Fecha],"&gt;="&amp;TableWeeklySummary[[#This Row],[Desde]],TableDailySummary[Fecha],"&lt;="&amp;TableWeeklySummary[[#This Row],[Hasta]])</f>
        <v>0</v>
      </c>
      <c r="G174" s="12">
        <f ca="1">IFERROR(TableWeeklySummary[[#This Row],[Ventas netas totales]]/TableWeeklySummary[[#This Row],[Órdenes totales]],0)</f>
        <v>0</v>
      </c>
      <c r="H17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74" s="12">
        <f ca="1">TableWeeklySummary[[#This Row],[Órden promedio totales]]*TableWeeklySummary[[#This Row],[CR totales]]</f>
        <v>0</v>
      </c>
      <c r="J174" s="12">
        <f ca="1">SUMIFS(TableDailySummary[Ventas primer cliente],TableDailySummary[Fecha],"&gt;="&amp;TableWeeklySummary[[#This Row],[Desde]],TableDailySummary[Fecha],"&lt;="&amp;TableWeeklySummary[[#This Row],[Hasta]])</f>
        <v>0</v>
      </c>
      <c r="K174" s="12">
        <f ca="1">SUMIFS(TableDailySummary[Órdenes primer cliente],TableDailySummary[Fecha],"&gt;="&amp;TableWeeklySummary[[#This Row],[Desde]],TableDailySummary[Fecha],"&lt;="&amp;TableWeeklySummary[[#This Row],[Hasta]])</f>
        <v>0</v>
      </c>
      <c r="L174" s="12">
        <f ca="1">SUMIFS(TableDailySummary[Online Store_net_sales],TableDailySummary[Fecha],"&gt;="&amp;TableWeeklySummary[[#This Row],[Desde]],TableDailySummary[Fecha],"&lt;="&amp;TableWeeklySummary[[#This Row],[Hasta]])</f>
        <v>0</v>
      </c>
      <c r="M174" s="12">
        <f ca="1">SUMIFS(TableDailySummary[Online Store_orders],TableDailySummary[Fecha],"&gt;="&amp;TableWeeklySummary[[#This Row],[Desde]],TableDailySummary[Fecha],"&lt;="&amp;TableWeeklySummary[[#This Row],[Hasta]])</f>
        <v>0</v>
      </c>
      <c r="N174" s="12">
        <f ca="1">SUMIFS(TableDailySummary[Tienda 81_net_sales],TableDailySummary[Fecha],"&gt;="&amp;TableWeeklySummary[[#This Row],[Desde]],TableDailySummary[Fecha],"&lt;="&amp;TableWeeklySummary[[#This Row],[Hasta]])</f>
        <v>0</v>
      </c>
      <c r="O174" s="12">
        <f ca="1">SUMIFS(TableDailySummary[Tienda 81_orders],TableDailySummary[Fecha],"&gt;="&amp;TableWeeklySummary[[#This Row],[Desde]],TableDailySummary[Fecha],"&lt;="&amp;TableWeeklySummary[[#This Row],[Hasta]])</f>
        <v>0</v>
      </c>
      <c r="P174" s="12">
        <f ca="1">SUMIFS(TableDailySummary[Rappi_net_sales],TableDailySummary[Fecha],"&gt;="&amp;TableWeeklySummary[[#This Row],[Desde]],TableDailySummary[Fecha],"&lt;="&amp;TableWeeklySummary[[#This Row],[Hasta]])</f>
        <v>0</v>
      </c>
      <c r="Q174" s="12">
        <f ca="1">SUMIFS(TableDailySummary[Rappi_orders],TableDailySummary[Fecha],"&gt;="&amp;TableWeeklySummary[[#This Row],[Desde]],TableDailySummary[Fecha],"&lt;="&amp;TableWeeklySummary[[#This Row],[Hasta]])</f>
        <v>0</v>
      </c>
      <c r="R17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7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74" s="12">
        <f ca="1">SUMIFS(TableDailySummary[Inversión google ads],TableDailySummary[Fecha],"&gt;="&amp;TableWeeklySummary[[#This Row],[Desde]],TableDailySummary[Fecha],"&lt;="&amp;TableWeeklySummary[[#This Row],[Hasta]])</f>
        <v>0</v>
      </c>
      <c r="U174" s="12">
        <f ca="1">SUMIFS(TableDailySummary[Ventas google ads],TableDailySummary[Fecha],"&gt;="&amp;TableWeeklySummary[[#This Row],[Desde]],TableDailySummary[Fecha],"&lt;="&amp;TableWeeklySummary[[#This Row],[Hasta]])</f>
        <v>0</v>
      </c>
      <c r="V174" s="12">
        <f ca="1">SUMIFS(TableDailySummary[Inversión meta ads],TableDailySummary[Fecha],"&gt;="&amp;TableWeeklySummary[[#This Row],[Desde]],TableDailySummary[Fecha],"&lt;="&amp;TableWeeklySummary[[#This Row],[Hasta]])</f>
        <v>0</v>
      </c>
      <c r="W174" s="12">
        <f ca="1">SUMIFS(TableDailySummary[Ventas meta ads],TableDailySummary[Fecha],"&gt;="&amp;TableWeeklySummary[[#This Row],[Desde]],TableDailySummary[Fecha],"&lt;="&amp;TableWeeklySummary[[#This Row],[Hasta]])</f>
        <v>0</v>
      </c>
      <c r="X174" s="12">
        <f ca="1">TableWeeklySummary[[#This Row],[Inversión google ads]]+TableWeeklySummary[[#This Row],[Inversión meta ads]]</f>
        <v>0</v>
      </c>
      <c r="Y174" s="12">
        <f ca="1">TableWeeklySummary[[#This Row],[Ventas google ads]]+TableWeeklySummary[[#This Row],[Ventas meta ads]]</f>
        <v>0</v>
      </c>
      <c r="Z174" s="14">
        <f ca="1">IFERROR(TableWeeklySummary[[#This Row],[Ventas publicidad]]/TableWeeklySummary[[#This Row],[Inversión publicidad]],0)</f>
        <v>0</v>
      </c>
      <c r="AA174" s="14">
        <f ca="1">IFERROR(TableWeeklySummary[[#This Row],[Ventas primer cliente]]/TableWeeklySummary[[#This Row],[Inversión publicidad]],0)</f>
        <v>0</v>
      </c>
      <c r="AB174" s="14"/>
      <c r="AC174" s="12"/>
      <c r="AI17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7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74" s="12">
        <f ca="1">SUMIFS(TableDailySummary[Utilidad bruta],TableDailySummary[Fecha],"&gt;="&amp;TableWeeklySummary[[#This Row],[Desde]],TableDailySummary[Fecha],"&lt;="&amp;TableWeeklySummary[[#This Row],[Hasta]])</f>
        <v>0</v>
      </c>
      <c r="AL174" s="18">
        <f ca="1">IFERROR(TableWeeklySummary[[#This Row],[Utilidad bruta]]/TableWeeklySummary[[#This Row],[Ventas netas con costo registrado]],0)</f>
        <v>0</v>
      </c>
    </row>
    <row r="175" spans="2:38" x14ac:dyDescent="0.2">
      <c r="B175" s="16">
        <f ca="1">_xlfn.ISOWEEKNUM(TableWeeklySummary[[#This Row],[Hasta]])</f>
        <v>4</v>
      </c>
      <c r="C175" s="6">
        <f t="shared" ca="1" si="4"/>
        <v>47137</v>
      </c>
      <c r="D175" s="6">
        <f ca="1">TableWeeklySummary[[#This Row],[Desde]]+7-1</f>
        <v>47143</v>
      </c>
      <c r="E175" s="12">
        <f ca="1">SUMIFS(TableDailySummary[Ventas netas totales],TableDailySummary[Fecha],"&gt;="&amp;TableWeeklySummary[[#This Row],[Desde]],TableDailySummary[Fecha],"&lt;="&amp;TableWeeklySummary[[#This Row],[Hasta]])</f>
        <v>0</v>
      </c>
      <c r="F175" s="12">
        <f ca="1">SUMIFS(TableDailySummary[Órdenes totales],TableDailySummary[Fecha],"&gt;="&amp;TableWeeklySummary[[#This Row],[Desde]],TableDailySummary[Fecha],"&lt;="&amp;TableWeeklySummary[[#This Row],[Hasta]])</f>
        <v>0</v>
      </c>
      <c r="G175" s="12">
        <f ca="1">IFERROR(TableWeeklySummary[[#This Row],[Ventas netas totales]]/TableWeeklySummary[[#This Row],[Órdenes totales]],0)</f>
        <v>0</v>
      </c>
      <c r="H17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75" s="12">
        <f ca="1">TableWeeklySummary[[#This Row],[Órden promedio totales]]*TableWeeklySummary[[#This Row],[CR totales]]</f>
        <v>0</v>
      </c>
      <c r="J175" s="12">
        <f ca="1">SUMIFS(TableDailySummary[Ventas primer cliente],TableDailySummary[Fecha],"&gt;="&amp;TableWeeklySummary[[#This Row],[Desde]],TableDailySummary[Fecha],"&lt;="&amp;TableWeeklySummary[[#This Row],[Hasta]])</f>
        <v>0</v>
      </c>
      <c r="K175" s="12">
        <f ca="1">SUMIFS(TableDailySummary[Órdenes primer cliente],TableDailySummary[Fecha],"&gt;="&amp;TableWeeklySummary[[#This Row],[Desde]],TableDailySummary[Fecha],"&lt;="&amp;TableWeeklySummary[[#This Row],[Hasta]])</f>
        <v>0</v>
      </c>
      <c r="L175" s="12">
        <f ca="1">SUMIFS(TableDailySummary[Online Store_net_sales],TableDailySummary[Fecha],"&gt;="&amp;TableWeeklySummary[[#This Row],[Desde]],TableDailySummary[Fecha],"&lt;="&amp;TableWeeklySummary[[#This Row],[Hasta]])</f>
        <v>0</v>
      </c>
      <c r="M175" s="12">
        <f ca="1">SUMIFS(TableDailySummary[Online Store_orders],TableDailySummary[Fecha],"&gt;="&amp;TableWeeklySummary[[#This Row],[Desde]],TableDailySummary[Fecha],"&lt;="&amp;TableWeeklySummary[[#This Row],[Hasta]])</f>
        <v>0</v>
      </c>
      <c r="N175" s="12">
        <f ca="1">SUMIFS(TableDailySummary[Tienda 81_net_sales],TableDailySummary[Fecha],"&gt;="&amp;TableWeeklySummary[[#This Row],[Desde]],TableDailySummary[Fecha],"&lt;="&amp;TableWeeklySummary[[#This Row],[Hasta]])</f>
        <v>0</v>
      </c>
      <c r="O175" s="12">
        <f ca="1">SUMIFS(TableDailySummary[Tienda 81_orders],TableDailySummary[Fecha],"&gt;="&amp;TableWeeklySummary[[#This Row],[Desde]],TableDailySummary[Fecha],"&lt;="&amp;TableWeeklySummary[[#This Row],[Hasta]])</f>
        <v>0</v>
      </c>
      <c r="P175" s="12">
        <f ca="1">SUMIFS(TableDailySummary[Rappi_net_sales],TableDailySummary[Fecha],"&gt;="&amp;TableWeeklySummary[[#This Row],[Desde]],TableDailySummary[Fecha],"&lt;="&amp;TableWeeklySummary[[#This Row],[Hasta]])</f>
        <v>0</v>
      </c>
      <c r="Q175" s="12">
        <f ca="1">SUMIFS(TableDailySummary[Rappi_orders],TableDailySummary[Fecha],"&gt;="&amp;TableWeeklySummary[[#This Row],[Desde]],TableDailySummary[Fecha],"&lt;="&amp;TableWeeklySummary[[#This Row],[Hasta]])</f>
        <v>0</v>
      </c>
      <c r="R17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7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75" s="12">
        <f ca="1">SUMIFS(TableDailySummary[Inversión google ads],TableDailySummary[Fecha],"&gt;="&amp;TableWeeklySummary[[#This Row],[Desde]],TableDailySummary[Fecha],"&lt;="&amp;TableWeeklySummary[[#This Row],[Hasta]])</f>
        <v>0</v>
      </c>
      <c r="U175" s="12">
        <f ca="1">SUMIFS(TableDailySummary[Ventas google ads],TableDailySummary[Fecha],"&gt;="&amp;TableWeeklySummary[[#This Row],[Desde]],TableDailySummary[Fecha],"&lt;="&amp;TableWeeklySummary[[#This Row],[Hasta]])</f>
        <v>0</v>
      </c>
      <c r="V175" s="12">
        <f ca="1">SUMIFS(TableDailySummary[Inversión meta ads],TableDailySummary[Fecha],"&gt;="&amp;TableWeeklySummary[[#This Row],[Desde]],TableDailySummary[Fecha],"&lt;="&amp;TableWeeklySummary[[#This Row],[Hasta]])</f>
        <v>0</v>
      </c>
      <c r="W175" s="12">
        <f ca="1">SUMIFS(TableDailySummary[Ventas meta ads],TableDailySummary[Fecha],"&gt;="&amp;TableWeeklySummary[[#This Row],[Desde]],TableDailySummary[Fecha],"&lt;="&amp;TableWeeklySummary[[#This Row],[Hasta]])</f>
        <v>0</v>
      </c>
      <c r="X175" s="12">
        <f ca="1">TableWeeklySummary[[#This Row],[Inversión google ads]]+TableWeeklySummary[[#This Row],[Inversión meta ads]]</f>
        <v>0</v>
      </c>
      <c r="Y175" s="12">
        <f ca="1">TableWeeklySummary[[#This Row],[Ventas google ads]]+TableWeeklySummary[[#This Row],[Ventas meta ads]]</f>
        <v>0</v>
      </c>
      <c r="Z175" s="14">
        <f ca="1">IFERROR(TableWeeklySummary[[#This Row],[Ventas publicidad]]/TableWeeklySummary[[#This Row],[Inversión publicidad]],0)</f>
        <v>0</v>
      </c>
      <c r="AA175" s="14">
        <f ca="1">IFERROR(TableWeeklySummary[[#This Row],[Ventas primer cliente]]/TableWeeklySummary[[#This Row],[Inversión publicidad]],0)</f>
        <v>0</v>
      </c>
      <c r="AB175" s="14"/>
      <c r="AC175" s="12"/>
      <c r="AI17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7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75" s="12">
        <f ca="1">SUMIFS(TableDailySummary[Utilidad bruta],TableDailySummary[Fecha],"&gt;="&amp;TableWeeklySummary[[#This Row],[Desde]],TableDailySummary[Fecha],"&lt;="&amp;TableWeeklySummary[[#This Row],[Hasta]])</f>
        <v>0</v>
      </c>
      <c r="AL175" s="18">
        <f ca="1">IFERROR(TableWeeklySummary[[#This Row],[Utilidad bruta]]/TableWeeklySummary[[#This Row],[Ventas netas con costo registrado]],0)</f>
        <v>0</v>
      </c>
    </row>
    <row r="176" spans="2:38" x14ac:dyDescent="0.2">
      <c r="B176" s="16">
        <f ca="1">_xlfn.ISOWEEKNUM(TableWeeklySummary[[#This Row],[Hasta]])</f>
        <v>5</v>
      </c>
      <c r="C176" s="6">
        <f t="shared" ca="1" si="4"/>
        <v>47144</v>
      </c>
      <c r="D176" s="6">
        <f ca="1">TableWeeklySummary[[#This Row],[Desde]]+7-1</f>
        <v>47150</v>
      </c>
      <c r="E176" s="12">
        <f ca="1">SUMIFS(TableDailySummary[Ventas netas totales],TableDailySummary[Fecha],"&gt;="&amp;TableWeeklySummary[[#This Row],[Desde]],TableDailySummary[Fecha],"&lt;="&amp;TableWeeklySummary[[#This Row],[Hasta]])</f>
        <v>0</v>
      </c>
      <c r="F176" s="12">
        <f ca="1">SUMIFS(TableDailySummary[Órdenes totales],TableDailySummary[Fecha],"&gt;="&amp;TableWeeklySummary[[#This Row],[Desde]],TableDailySummary[Fecha],"&lt;="&amp;TableWeeklySummary[[#This Row],[Hasta]])</f>
        <v>0</v>
      </c>
      <c r="G176" s="12">
        <f ca="1">IFERROR(TableWeeklySummary[[#This Row],[Ventas netas totales]]/TableWeeklySummary[[#This Row],[Órdenes totales]],0)</f>
        <v>0</v>
      </c>
      <c r="H17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76" s="12">
        <f ca="1">TableWeeklySummary[[#This Row],[Órden promedio totales]]*TableWeeklySummary[[#This Row],[CR totales]]</f>
        <v>0</v>
      </c>
      <c r="J176" s="12">
        <f ca="1">SUMIFS(TableDailySummary[Ventas primer cliente],TableDailySummary[Fecha],"&gt;="&amp;TableWeeklySummary[[#This Row],[Desde]],TableDailySummary[Fecha],"&lt;="&amp;TableWeeklySummary[[#This Row],[Hasta]])</f>
        <v>0</v>
      </c>
      <c r="K176" s="12">
        <f ca="1">SUMIFS(TableDailySummary[Órdenes primer cliente],TableDailySummary[Fecha],"&gt;="&amp;TableWeeklySummary[[#This Row],[Desde]],TableDailySummary[Fecha],"&lt;="&amp;TableWeeklySummary[[#This Row],[Hasta]])</f>
        <v>0</v>
      </c>
      <c r="L176" s="12">
        <f ca="1">SUMIFS(TableDailySummary[Online Store_net_sales],TableDailySummary[Fecha],"&gt;="&amp;TableWeeklySummary[[#This Row],[Desde]],TableDailySummary[Fecha],"&lt;="&amp;TableWeeklySummary[[#This Row],[Hasta]])</f>
        <v>0</v>
      </c>
      <c r="M176" s="12">
        <f ca="1">SUMIFS(TableDailySummary[Online Store_orders],TableDailySummary[Fecha],"&gt;="&amp;TableWeeklySummary[[#This Row],[Desde]],TableDailySummary[Fecha],"&lt;="&amp;TableWeeklySummary[[#This Row],[Hasta]])</f>
        <v>0</v>
      </c>
      <c r="N176" s="12">
        <f ca="1">SUMIFS(TableDailySummary[Tienda 81_net_sales],TableDailySummary[Fecha],"&gt;="&amp;TableWeeklySummary[[#This Row],[Desde]],TableDailySummary[Fecha],"&lt;="&amp;TableWeeklySummary[[#This Row],[Hasta]])</f>
        <v>0</v>
      </c>
      <c r="O176" s="12">
        <f ca="1">SUMIFS(TableDailySummary[Tienda 81_orders],TableDailySummary[Fecha],"&gt;="&amp;TableWeeklySummary[[#This Row],[Desde]],TableDailySummary[Fecha],"&lt;="&amp;TableWeeklySummary[[#This Row],[Hasta]])</f>
        <v>0</v>
      </c>
      <c r="P176" s="12">
        <f ca="1">SUMIFS(TableDailySummary[Rappi_net_sales],TableDailySummary[Fecha],"&gt;="&amp;TableWeeklySummary[[#This Row],[Desde]],TableDailySummary[Fecha],"&lt;="&amp;TableWeeklySummary[[#This Row],[Hasta]])</f>
        <v>0</v>
      </c>
      <c r="Q176" s="12">
        <f ca="1">SUMIFS(TableDailySummary[Rappi_orders],TableDailySummary[Fecha],"&gt;="&amp;TableWeeklySummary[[#This Row],[Desde]],TableDailySummary[Fecha],"&lt;="&amp;TableWeeklySummary[[#This Row],[Hasta]])</f>
        <v>0</v>
      </c>
      <c r="R17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7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76" s="12">
        <f ca="1">SUMIFS(TableDailySummary[Inversión google ads],TableDailySummary[Fecha],"&gt;="&amp;TableWeeklySummary[[#This Row],[Desde]],TableDailySummary[Fecha],"&lt;="&amp;TableWeeklySummary[[#This Row],[Hasta]])</f>
        <v>0</v>
      </c>
      <c r="U176" s="12">
        <f ca="1">SUMIFS(TableDailySummary[Ventas google ads],TableDailySummary[Fecha],"&gt;="&amp;TableWeeklySummary[[#This Row],[Desde]],TableDailySummary[Fecha],"&lt;="&amp;TableWeeklySummary[[#This Row],[Hasta]])</f>
        <v>0</v>
      </c>
      <c r="V176" s="12">
        <f ca="1">SUMIFS(TableDailySummary[Inversión meta ads],TableDailySummary[Fecha],"&gt;="&amp;TableWeeklySummary[[#This Row],[Desde]],TableDailySummary[Fecha],"&lt;="&amp;TableWeeklySummary[[#This Row],[Hasta]])</f>
        <v>0</v>
      </c>
      <c r="W176" s="12">
        <f ca="1">SUMIFS(TableDailySummary[Ventas meta ads],TableDailySummary[Fecha],"&gt;="&amp;TableWeeklySummary[[#This Row],[Desde]],TableDailySummary[Fecha],"&lt;="&amp;TableWeeklySummary[[#This Row],[Hasta]])</f>
        <v>0</v>
      </c>
      <c r="X176" s="12">
        <f ca="1">TableWeeklySummary[[#This Row],[Inversión google ads]]+TableWeeklySummary[[#This Row],[Inversión meta ads]]</f>
        <v>0</v>
      </c>
      <c r="Y176" s="12">
        <f ca="1">TableWeeklySummary[[#This Row],[Ventas google ads]]+TableWeeklySummary[[#This Row],[Ventas meta ads]]</f>
        <v>0</v>
      </c>
      <c r="Z176" s="14">
        <f ca="1">IFERROR(TableWeeklySummary[[#This Row],[Ventas publicidad]]/TableWeeklySummary[[#This Row],[Inversión publicidad]],0)</f>
        <v>0</v>
      </c>
      <c r="AA176" s="14">
        <f ca="1">IFERROR(TableWeeklySummary[[#This Row],[Ventas primer cliente]]/TableWeeklySummary[[#This Row],[Inversión publicidad]],0)</f>
        <v>0</v>
      </c>
      <c r="AB176" s="14"/>
      <c r="AC176" s="12"/>
      <c r="AI17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7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76" s="12">
        <f ca="1">SUMIFS(TableDailySummary[Utilidad bruta],TableDailySummary[Fecha],"&gt;="&amp;TableWeeklySummary[[#This Row],[Desde]],TableDailySummary[Fecha],"&lt;="&amp;TableWeeklySummary[[#This Row],[Hasta]])</f>
        <v>0</v>
      </c>
      <c r="AL176" s="18">
        <f ca="1">IFERROR(TableWeeklySummary[[#This Row],[Utilidad bruta]]/TableWeeklySummary[[#This Row],[Ventas netas con costo registrado]],0)</f>
        <v>0</v>
      </c>
    </row>
    <row r="177" spans="2:38" x14ac:dyDescent="0.2">
      <c r="B177" s="16">
        <f ca="1">_xlfn.ISOWEEKNUM(TableWeeklySummary[[#This Row],[Hasta]])</f>
        <v>6</v>
      </c>
      <c r="C177" s="6">
        <f t="shared" ca="1" si="4"/>
        <v>47151</v>
      </c>
      <c r="D177" s="6">
        <f ca="1">TableWeeklySummary[[#This Row],[Desde]]+7-1</f>
        <v>47157</v>
      </c>
      <c r="E177" s="12">
        <f ca="1">SUMIFS(TableDailySummary[Ventas netas totales],TableDailySummary[Fecha],"&gt;="&amp;TableWeeklySummary[[#This Row],[Desde]],TableDailySummary[Fecha],"&lt;="&amp;TableWeeklySummary[[#This Row],[Hasta]])</f>
        <v>0</v>
      </c>
      <c r="F177" s="12">
        <f ca="1">SUMIFS(TableDailySummary[Órdenes totales],TableDailySummary[Fecha],"&gt;="&amp;TableWeeklySummary[[#This Row],[Desde]],TableDailySummary[Fecha],"&lt;="&amp;TableWeeklySummary[[#This Row],[Hasta]])</f>
        <v>0</v>
      </c>
      <c r="G177" s="12">
        <f ca="1">IFERROR(TableWeeklySummary[[#This Row],[Ventas netas totales]]/TableWeeklySummary[[#This Row],[Órdenes totales]],0)</f>
        <v>0</v>
      </c>
      <c r="H17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77" s="12">
        <f ca="1">TableWeeklySummary[[#This Row],[Órden promedio totales]]*TableWeeklySummary[[#This Row],[CR totales]]</f>
        <v>0</v>
      </c>
      <c r="J177" s="12">
        <f ca="1">SUMIFS(TableDailySummary[Ventas primer cliente],TableDailySummary[Fecha],"&gt;="&amp;TableWeeklySummary[[#This Row],[Desde]],TableDailySummary[Fecha],"&lt;="&amp;TableWeeklySummary[[#This Row],[Hasta]])</f>
        <v>0</v>
      </c>
      <c r="K177" s="12">
        <f ca="1">SUMIFS(TableDailySummary[Órdenes primer cliente],TableDailySummary[Fecha],"&gt;="&amp;TableWeeklySummary[[#This Row],[Desde]],TableDailySummary[Fecha],"&lt;="&amp;TableWeeklySummary[[#This Row],[Hasta]])</f>
        <v>0</v>
      </c>
      <c r="L177" s="12">
        <f ca="1">SUMIFS(TableDailySummary[Online Store_net_sales],TableDailySummary[Fecha],"&gt;="&amp;TableWeeklySummary[[#This Row],[Desde]],TableDailySummary[Fecha],"&lt;="&amp;TableWeeklySummary[[#This Row],[Hasta]])</f>
        <v>0</v>
      </c>
      <c r="M177" s="12">
        <f ca="1">SUMIFS(TableDailySummary[Online Store_orders],TableDailySummary[Fecha],"&gt;="&amp;TableWeeklySummary[[#This Row],[Desde]],TableDailySummary[Fecha],"&lt;="&amp;TableWeeklySummary[[#This Row],[Hasta]])</f>
        <v>0</v>
      </c>
      <c r="N177" s="12">
        <f ca="1">SUMIFS(TableDailySummary[Tienda 81_net_sales],TableDailySummary[Fecha],"&gt;="&amp;TableWeeklySummary[[#This Row],[Desde]],TableDailySummary[Fecha],"&lt;="&amp;TableWeeklySummary[[#This Row],[Hasta]])</f>
        <v>0</v>
      </c>
      <c r="O177" s="12">
        <f ca="1">SUMIFS(TableDailySummary[Tienda 81_orders],TableDailySummary[Fecha],"&gt;="&amp;TableWeeklySummary[[#This Row],[Desde]],TableDailySummary[Fecha],"&lt;="&amp;TableWeeklySummary[[#This Row],[Hasta]])</f>
        <v>0</v>
      </c>
      <c r="P177" s="12">
        <f ca="1">SUMIFS(TableDailySummary[Rappi_net_sales],TableDailySummary[Fecha],"&gt;="&amp;TableWeeklySummary[[#This Row],[Desde]],TableDailySummary[Fecha],"&lt;="&amp;TableWeeklySummary[[#This Row],[Hasta]])</f>
        <v>0</v>
      </c>
      <c r="Q177" s="12">
        <f ca="1">SUMIFS(TableDailySummary[Rappi_orders],TableDailySummary[Fecha],"&gt;="&amp;TableWeeklySummary[[#This Row],[Desde]],TableDailySummary[Fecha],"&lt;="&amp;TableWeeklySummary[[#This Row],[Hasta]])</f>
        <v>0</v>
      </c>
      <c r="R17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7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77" s="12">
        <f ca="1">SUMIFS(TableDailySummary[Inversión google ads],TableDailySummary[Fecha],"&gt;="&amp;TableWeeklySummary[[#This Row],[Desde]],TableDailySummary[Fecha],"&lt;="&amp;TableWeeklySummary[[#This Row],[Hasta]])</f>
        <v>0</v>
      </c>
      <c r="U177" s="12">
        <f ca="1">SUMIFS(TableDailySummary[Ventas google ads],TableDailySummary[Fecha],"&gt;="&amp;TableWeeklySummary[[#This Row],[Desde]],TableDailySummary[Fecha],"&lt;="&amp;TableWeeklySummary[[#This Row],[Hasta]])</f>
        <v>0</v>
      </c>
      <c r="V177" s="12">
        <f ca="1">SUMIFS(TableDailySummary[Inversión meta ads],TableDailySummary[Fecha],"&gt;="&amp;TableWeeklySummary[[#This Row],[Desde]],TableDailySummary[Fecha],"&lt;="&amp;TableWeeklySummary[[#This Row],[Hasta]])</f>
        <v>0</v>
      </c>
      <c r="W177" s="12">
        <f ca="1">SUMIFS(TableDailySummary[Ventas meta ads],TableDailySummary[Fecha],"&gt;="&amp;TableWeeklySummary[[#This Row],[Desde]],TableDailySummary[Fecha],"&lt;="&amp;TableWeeklySummary[[#This Row],[Hasta]])</f>
        <v>0</v>
      </c>
      <c r="X177" s="12">
        <f ca="1">TableWeeklySummary[[#This Row],[Inversión google ads]]+TableWeeklySummary[[#This Row],[Inversión meta ads]]</f>
        <v>0</v>
      </c>
      <c r="Y177" s="12">
        <f ca="1">TableWeeklySummary[[#This Row],[Ventas google ads]]+TableWeeklySummary[[#This Row],[Ventas meta ads]]</f>
        <v>0</v>
      </c>
      <c r="Z177" s="14">
        <f ca="1">IFERROR(TableWeeklySummary[[#This Row],[Ventas publicidad]]/TableWeeklySummary[[#This Row],[Inversión publicidad]],0)</f>
        <v>0</v>
      </c>
      <c r="AA177" s="14">
        <f ca="1">IFERROR(TableWeeklySummary[[#This Row],[Ventas primer cliente]]/TableWeeklySummary[[#This Row],[Inversión publicidad]],0)</f>
        <v>0</v>
      </c>
      <c r="AB177" s="14"/>
      <c r="AC177" s="12"/>
      <c r="AI17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7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77" s="12">
        <f ca="1">SUMIFS(TableDailySummary[Utilidad bruta],TableDailySummary[Fecha],"&gt;="&amp;TableWeeklySummary[[#This Row],[Desde]],TableDailySummary[Fecha],"&lt;="&amp;TableWeeklySummary[[#This Row],[Hasta]])</f>
        <v>0</v>
      </c>
      <c r="AL177" s="18">
        <f ca="1">IFERROR(TableWeeklySummary[[#This Row],[Utilidad bruta]]/TableWeeklySummary[[#This Row],[Ventas netas con costo registrado]],0)</f>
        <v>0</v>
      </c>
    </row>
    <row r="178" spans="2:38" x14ac:dyDescent="0.2">
      <c r="B178" s="16">
        <f ca="1">_xlfn.ISOWEEKNUM(TableWeeklySummary[[#This Row],[Hasta]])</f>
        <v>7</v>
      </c>
      <c r="C178" s="6">
        <f t="shared" ca="1" si="4"/>
        <v>47158</v>
      </c>
      <c r="D178" s="6">
        <f ca="1">TableWeeklySummary[[#This Row],[Desde]]+7-1</f>
        <v>47164</v>
      </c>
      <c r="E178" s="12">
        <f ca="1">SUMIFS(TableDailySummary[Ventas netas totales],TableDailySummary[Fecha],"&gt;="&amp;TableWeeklySummary[[#This Row],[Desde]],TableDailySummary[Fecha],"&lt;="&amp;TableWeeklySummary[[#This Row],[Hasta]])</f>
        <v>0</v>
      </c>
      <c r="F178" s="12">
        <f ca="1">SUMIFS(TableDailySummary[Órdenes totales],TableDailySummary[Fecha],"&gt;="&amp;TableWeeklySummary[[#This Row],[Desde]],TableDailySummary[Fecha],"&lt;="&amp;TableWeeklySummary[[#This Row],[Hasta]])</f>
        <v>0</v>
      </c>
      <c r="G178" s="12">
        <f ca="1">IFERROR(TableWeeklySummary[[#This Row],[Ventas netas totales]]/TableWeeklySummary[[#This Row],[Órdenes totales]],0)</f>
        <v>0</v>
      </c>
      <c r="H17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78" s="12">
        <f ca="1">TableWeeklySummary[[#This Row],[Órden promedio totales]]*TableWeeklySummary[[#This Row],[CR totales]]</f>
        <v>0</v>
      </c>
      <c r="J178" s="12">
        <f ca="1">SUMIFS(TableDailySummary[Ventas primer cliente],TableDailySummary[Fecha],"&gt;="&amp;TableWeeklySummary[[#This Row],[Desde]],TableDailySummary[Fecha],"&lt;="&amp;TableWeeklySummary[[#This Row],[Hasta]])</f>
        <v>0</v>
      </c>
      <c r="K178" s="12">
        <f ca="1">SUMIFS(TableDailySummary[Órdenes primer cliente],TableDailySummary[Fecha],"&gt;="&amp;TableWeeklySummary[[#This Row],[Desde]],TableDailySummary[Fecha],"&lt;="&amp;TableWeeklySummary[[#This Row],[Hasta]])</f>
        <v>0</v>
      </c>
      <c r="L178" s="12">
        <f ca="1">SUMIFS(TableDailySummary[Online Store_net_sales],TableDailySummary[Fecha],"&gt;="&amp;TableWeeklySummary[[#This Row],[Desde]],TableDailySummary[Fecha],"&lt;="&amp;TableWeeklySummary[[#This Row],[Hasta]])</f>
        <v>0</v>
      </c>
      <c r="M178" s="12">
        <f ca="1">SUMIFS(TableDailySummary[Online Store_orders],TableDailySummary[Fecha],"&gt;="&amp;TableWeeklySummary[[#This Row],[Desde]],TableDailySummary[Fecha],"&lt;="&amp;TableWeeklySummary[[#This Row],[Hasta]])</f>
        <v>0</v>
      </c>
      <c r="N178" s="12">
        <f ca="1">SUMIFS(TableDailySummary[Tienda 81_net_sales],TableDailySummary[Fecha],"&gt;="&amp;TableWeeklySummary[[#This Row],[Desde]],TableDailySummary[Fecha],"&lt;="&amp;TableWeeklySummary[[#This Row],[Hasta]])</f>
        <v>0</v>
      </c>
      <c r="O178" s="12">
        <f ca="1">SUMIFS(TableDailySummary[Tienda 81_orders],TableDailySummary[Fecha],"&gt;="&amp;TableWeeklySummary[[#This Row],[Desde]],TableDailySummary[Fecha],"&lt;="&amp;TableWeeklySummary[[#This Row],[Hasta]])</f>
        <v>0</v>
      </c>
      <c r="P178" s="12">
        <f ca="1">SUMIFS(TableDailySummary[Rappi_net_sales],TableDailySummary[Fecha],"&gt;="&amp;TableWeeklySummary[[#This Row],[Desde]],TableDailySummary[Fecha],"&lt;="&amp;TableWeeklySummary[[#This Row],[Hasta]])</f>
        <v>0</v>
      </c>
      <c r="Q178" s="12">
        <f ca="1">SUMIFS(TableDailySummary[Rappi_orders],TableDailySummary[Fecha],"&gt;="&amp;TableWeeklySummary[[#This Row],[Desde]],TableDailySummary[Fecha],"&lt;="&amp;TableWeeklySummary[[#This Row],[Hasta]])</f>
        <v>0</v>
      </c>
      <c r="R17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7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78" s="12">
        <f ca="1">SUMIFS(TableDailySummary[Inversión google ads],TableDailySummary[Fecha],"&gt;="&amp;TableWeeklySummary[[#This Row],[Desde]],TableDailySummary[Fecha],"&lt;="&amp;TableWeeklySummary[[#This Row],[Hasta]])</f>
        <v>0</v>
      </c>
      <c r="U178" s="12">
        <f ca="1">SUMIFS(TableDailySummary[Ventas google ads],TableDailySummary[Fecha],"&gt;="&amp;TableWeeklySummary[[#This Row],[Desde]],TableDailySummary[Fecha],"&lt;="&amp;TableWeeklySummary[[#This Row],[Hasta]])</f>
        <v>0</v>
      </c>
      <c r="V178" s="12">
        <f ca="1">SUMIFS(TableDailySummary[Inversión meta ads],TableDailySummary[Fecha],"&gt;="&amp;TableWeeklySummary[[#This Row],[Desde]],TableDailySummary[Fecha],"&lt;="&amp;TableWeeklySummary[[#This Row],[Hasta]])</f>
        <v>0</v>
      </c>
      <c r="W178" s="12">
        <f ca="1">SUMIFS(TableDailySummary[Ventas meta ads],TableDailySummary[Fecha],"&gt;="&amp;TableWeeklySummary[[#This Row],[Desde]],TableDailySummary[Fecha],"&lt;="&amp;TableWeeklySummary[[#This Row],[Hasta]])</f>
        <v>0</v>
      </c>
      <c r="X178" s="12">
        <f ca="1">TableWeeklySummary[[#This Row],[Inversión google ads]]+TableWeeklySummary[[#This Row],[Inversión meta ads]]</f>
        <v>0</v>
      </c>
      <c r="Y178" s="12">
        <f ca="1">TableWeeklySummary[[#This Row],[Ventas google ads]]+TableWeeklySummary[[#This Row],[Ventas meta ads]]</f>
        <v>0</v>
      </c>
      <c r="Z178" s="14">
        <f ca="1">IFERROR(TableWeeklySummary[[#This Row],[Ventas publicidad]]/TableWeeklySummary[[#This Row],[Inversión publicidad]],0)</f>
        <v>0</v>
      </c>
      <c r="AA178" s="14">
        <f ca="1">IFERROR(TableWeeklySummary[[#This Row],[Ventas primer cliente]]/TableWeeklySummary[[#This Row],[Inversión publicidad]],0)</f>
        <v>0</v>
      </c>
      <c r="AB178" s="14"/>
      <c r="AC178" s="12"/>
      <c r="AI17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7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78" s="12">
        <f ca="1">SUMIFS(TableDailySummary[Utilidad bruta],TableDailySummary[Fecha],"&gt;="&amp;TableWeeklySummary[[#This Row],[Desde]],TableDailySummary[Fecha],"&lt;="&amp;TableWeeklySummary[[#This Row],[Hasta]])</f>
        <v>0</v>
      </c>
      <c r="AL178" s="18">
        <f ca="1">IFERROR(TableWeeklySummary[[#This Row],[Utilidad bruta]]/TableWeeklySummary[[#This Row],[Ventas netas con costo registrado]],0)</f>
        <v>0</v>
      </c>
    </row>
    <row r="179" spans="2:38" x14ac:dyDescent="0.2">
      <c r="B179" s="16">
        <f ca="1">_xlfn.ISOWEEKNUM(TableWeeklySummary[[#This Row],[Hasta]])</f>
        <v>8</v>
      </c>
      <c r="C179" s="6">
        <f t="shared" ca="1" si="4"/>
        <v>47165</v>
      </c>
      <c r="D179" s="6">
        <f ca="1">TableWeeklySummary[[#This Row],[Desde]]+7-1</f>
        <v>47171</v>
      </c>
      <c r="E179" s="12">
        <f ca="1">SUMIFS(TableDailySummary[Ventas netas totales],TableDailySummary[Fecha],"&gt;="&amp;TableWeeklySummary[[#This Row],[Desde]],TableDailySummary[Fecha],"&lt;="&amp;TableWeeklySummary[[#This Row],[Hasta]])</f>
        <v>0</v>
      </c>
      <c r="F179" s="12">
        <f ca="1">SUMIFS(TableDailySummary[Órdenes totales],TableDailySummary[Fecha],"&gt;="&amp;TableWeeklySummary[[#This Row],[Desde]],TableDailySummary[Fecha],"&lt;="&amp;TableWeeklySummary[[#This Row],[Hasta]])</f>
        <v>0</v>
      </c>
      <c r="G179" s="12">
        <f ca="1">IFERROR(TableWeeklySummary[[#This Row],[Ventas netas totales]]/TableWeeklySummary[[#This Row],[Órdenes totales]],0)</f>
        <v>0</v>
      </c>
      <c r="H17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79" s="12">
        <f ca="1">TableWeeklySummary[[#This Row],[Órden promedio totales]]*TableWeeklySummary[[#This Row],[CR totales]]</f>
        <v>0</v>
      </c>
      <c r="J179" s="12">
        <f ca="1">SUMIFS(TableDailySummary[Ventas primer cliente],TableDailySummary[Fecha],"&gt;="&amp;TableWeeklySummary[[#This Row],[Desde]],TableDailySummary[Fecha],"&lt;="&amp;TableWeeklySummary[[#This Row],[Hasta]])</f>
        <v>0</v>
      </c>
      <c r="K179" s="12">
        <f ca="1">SUMIFS(TableDailySummary[Órdenes primer cliente],TableDailySummary[Fecha],"&gt;="&amp;TableWeeklySummary[[#This Row],[Desde]],TableDailySummary[Fecha],"&lt;="&amp;TableWeeklySummary[[#This Row],[Hasta]])</f>
        <v>0</v>
      </c>
      <c r="L179" s="12">
        <f ca="1">SUMIFS(TableDailySummary[Online Store_net_sales],TableDailySummary[Fecha],"&gt;="&amp;TableWeeklySummary[[#This Row],[Desde]],TableDailySummary[Fecha],"&lt;="&amp;TableWeeklySummary[[#This Row],[Hasta]])</f>
        <v>0</v>
      </c>
      <c r="M179" s="12">
        <f ca="1">SUMIFS(TableDailySummary[Online Store_orders],TableDailySummary[Fecha],"&gt;="&amp;TableWeeklySummary[[#This Row],[Desde]],TableDailySummary[Fecha],"&lt;="&amp;TableWeeklySummary[[#This Row],[Hasta]])</f>
        <v>0</v>
      </c>
      <c r="N179" s="12">
        <f ca="1">SUMIFS(TableDailySummary[Tienda 81_net_sales],TableDailySummary[Fecha],"&gt;="&amp;TableWeeklySummary[[#This Row],[Desde]],TableDailySummary[Fecha],"&lt;="&amp;TableWeeklySummary[[#This Row],[Hasta]])</f>
        <v>0</v>
      </c>
      <c r="O179" s="12">
        <f ca="1">SUMIFS(TableDailySummary[Tienda 81_orders],TableDailySummary[Fecha],"&gt;="&amp;TableWeeklySummary[[#This Row],[Desde]],TableDailySummary[Fecha],"&lt;="&amp;TableWeeklySummary[[#This Row],[Hasta]])</f>
        <v>0</v>
      </c>
      <c r="P179" s="12">
        <f ca="1">SUMIFS(TableDailySummary[Rappi_net_sales],TableDailySummary[Fecha],"&gt;="&amp;TableWeeklySummary[[#This Row],[Desde]],TableDailySummary[Fecha],"&lt;="&amp;TableWeeklySummary[[#This Row],[Hasta]])</f>
        <v>0</v>
      </c>
      <c r="Q179" s="12">
        <f ca="1">SUMIFS(TableDailySummary[Rappi_orders],TableDailySummary[Fecha],"&gt;="&amp;TableWeeklySummary[[#This Row],[Desde]],TableDailySummary[Fecha],"&lt;="&amp;TableWeeklySummary[[#This Row],[Hasta]])</f>
        <v>0</v>
      </c>
      <c r="R17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7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79" s="12">
        <f ca="1">SUMIFS(TableDailySummary[Inversión google ads],TableDailySummary[Fecha],"&gt;="&amp;TableWeeklySummary[[#This Row],[Desde]],TableDailySummary[Fecha],"&lt;="&amp;TableWeeklySummary[[#This Row],[Hasta]])</f>
        <v>0</v>
      </c>
      <c r="U179" s="12">
        <f ca="1">SUMIFS(TableDailySummary[Ventas google ads],TableDailySummary[Fecha],"&gt;="&amp;TableWeeklySummary[[#This Row],[Desde]],TableDailySummary[Fecha],"&lt;="&amp;TableWeeklySummary[[#This Row],[Hasta]])</f>
        <v>0</v>
      </c>
      <c r="V179" s="12">
        <f ca="1">SUMIFS(TableDailySummary[Inversión meta ads],TableDailySummary[Fecha],"&gt;="&amp;TableWeeklySummary[[#This Row],[Desde]],TableDailySummary[Fecha],"&lt;="&amp;TableWeeklySummary[[#This Row],[Hasta]])</f>
        <v>0</v>
      </c>
      <c r="W179" s="12">
        <f ca="1">SUMIFS(TableDailySummary[Ventas meta ads],TableDailySummary[Fecha],"&gt;="&amp;TableWeeklySummary[[#This Row],[Desde]],TableDailySummary[Fecha],"&lt;="&amp;TableWeeklySummary[[#This Row],[Hasta]])</f>
        <v>0</v>
      </c>
      <c r="X179" s="12">
        <f ca="1">TableWeeklySummary[[#This Row],[Inversión google ads]]+TableWeeklySummary[[#This Row],[Inversión meta ads]]</f>
        <v>0</v>
      </c>
      <c r="Y179" s="12">
        <f ca="1">TableWeeklySummary[[#This Row],[Ventas google ads]]+TableWeeklySummary[[#This Row],[Ventas meta ads]]</f>
        <v>0</v>
      </c>
      <c r="Z179" s="14">
        <f ca="1">IFERROR(TableWeeklySummary[[#This Row],[Ventas publicidad]]/TableWeeklySummary[[#This Row],[Inversión publicidad]],0)</f>
        <v>0</v>
      </c>
      <c r="AA179" s="14">
        <f ca="1">IFERROR(TableWeeklySummary[[#This Row],[Ventas primer cliente]]/TableWeeklySummary[[#This Row],[Inversión publicidad]],0)</f>
        <v>0</v>
      </c>
      <c r="AB179" s="14"/>
      <c r="AC179" s="12"/>
      <c r="AI17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7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79" s="12">
        <f ca="1">SUMIFS(TableDailySummary[Utilidad bruta],TableDailySummary[Fecha],"&gt;="&amp;TableWeeklySummary[[#This Row],[Desde]],TableDailySummary[Fecha],"&lt;="&amp;TableWeeklySummary[[#This Row],[Hasta]])</f>
        <v>0</v>
      </c>
      <c r="AL179" s="18">
        <f ca="1">IFERROR(TableWeeklySummary[[#This Row],[Utilidad bruta]]/TableWeeklySummary[[#This Row],[Ventas netas con costo registrado]],0)</f>
        <v>0</v>
      </c>
    </row>
    <row r="180" spans="2:38" x14ac:dyDescent="0.2">
      <c r="B180" s="16">
        <f ca="1">_xlfn.ISOWEEKNUM(TableWeeklySummary[[#This Row],[Hasta]])</f>
        <v>9</v>
      </c>
      <c r="C180" s="6">
        <f t="shared" ca="1" si="4"/>
        <v>47172</v>
      </c>
      <c r="D180" s="6">
        <f ca="1">TableWeeklySummary[[#This Row],[Desde]]+7-1</f>
        <v>47178</v>
      </c>
      <c r="E180" s="12">
        <f ca="1">SUMIFS(TableDailySummary[Ventas netas totales],TableDailySummary[Fecha],"&gt;="&amp;TableWeeklySummary[[#This Row],[Desde]],TableDailySummary[Fecha],"&lt;="&amp;TableWeeklySummary[[#This Row],[Hasta]])</f>
        <v>0</v>
      </c>
      <c r="F180" s="12">
        <f ca="1">SUMIFS(TableDailySummary[Órdenes totales],TableDailySummary[Fecha],"&gt;="&amp;TableWeeklySummary[[#This Row],[Desde]],TableDailySummary[Fecha],"&lt;="&amp;TableWeeklySummary[[#This Row],[Hasta]])</f>
        <v>0</v>
      </c>
      <c r="G180" s="12">
        <f ca="1">IFERROR(TableWeeklySummary[[#This Row],[Ventas netas totales]]/TableWeeklySummary[[#This Row],[Órdenes totales]],0)</f>
        <v>0</v>
      </c>
      <c r="H18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80" s="12">
        <f ca="1">TableWeeklySummary[[#This Row],[Órden promedio totales]]*TableWeeklySummary[[#This Row],[CR totales]]</f>
        <v>0</v>
      </c>
      <c r="J180" s="12">
        <f ca="1">SUMIFS(TableDailySummary[Ventas primer cliente],TableDailySummary[Fecha],"&gt;="&amp;TableWeeklySummary[[#This Row],[Desde]],TableDailySummary[Fecha],"&lt;="&amp;TableWeeklySummary[[#This Row],[Hasta]])</f>
        <v>0</v>
      </c>
      <c r="K180" s="12">
        <f ca="1">SUMIFS(TableDailySummary[Órdenes primer cliente],TableDailySummary[Fecha],"&gt;="&amp;TableWeeklySummary[[#This Row],[Desde]],TableDailySummary[Fecha],"&lt;="&amp;TableWeeklySummary[[#This Row],[Hasta]])</f>
        <v>0</v>
      </c>
      <c r="L180" s="12">
        <f ca="1">SUMIFS(TableDailySummary[Online Store_net_sales],TableDailySummary[Fecha],"&gt;="&amp;TableWeeklySummary[[#This Row],[Desde]],TableDailySummary[Fecha],"&lt;="&amp;TableWeeklySummary[[#This Row],[Hasta]])</f>
        <v>0</v>
      </c>
      <c r="M180" s="12">
        <f ca="1">SUMIFS(TableDailySummary[Online Store_orders],TableDailySummary[Fecha],"&gt;="&amp;TableWeeklySummary[[#This Row],[Desde]],TableDailySummary[Fecha],"&lt;="&amp;TableWeeklySummary[[#This Row],[Hasta]])</f>
        <v>0</v>
      </c>
      <c r="N180" s="12">
        <f ca="1">SUMIFS(TableDailySummary[Tienda 81_net_sales],TableDailySummary[Fecha],"&gt;="&amp;TableWeeklySummary[[#This Row],[Desde]],TableDailySummary[Fecha],"&lt;="&amp;TableWeeklySummary[[#This Row],[Hasta]])</f>
        <v>0</v>
      </c>
      <c r="O180" s="12">
        <f ca="1">SUMIFS(TableDailySummary[Tienda 81_orders],TableDailySummary[Fecha],"&gt;="&amp;TableWeeklySummary[[#This Row],[Desde]],TableDailySummary[Fecha],"&lt;="&amp;TableWeeklySummary[[#This Row],[Hasta]])</f>
        <v>0</v>
      </c>
      <c r="P180" s="12">
        <f ca="1">SUMIFS(TableDailySummary[Rappi_net_sales],TableDailySummary[Fecha],"&gt;="&amp;TableWeeklySummary[[#This Row],[Desde]],TableDailySummary[Fecha],"&lt;="&amp;TableWeeklySummary[[#This Row],[Hasta]])</f>
        <v>0</v>
      </c>
      <c r="Q180" s="12">
        <f ca="1">SUMIFS(TableDailySummary[Rappi_orders],TableDailySummary[Fecha],"&gt;="&amp;TableWeeklySummary[[#This Row],[Desde]],TableDailySummary[Fecha],"&lt;="&amp;TableWeeklySummary[[#This Row],[Hasta]])</f>
        <v>0</v>
      </c>
      <c r="R18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8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80" s="12">
        <f ca="1">SUMIFS(TableDailySummary[Inversión google ads],TableDailySummary[Fecha],"&gt;="&amp;TableWeeklySummary[[#This Row],[Desde]],TableDailySummary[Fecha],"&lt;="&amp;TableWeeklySummary[[#This Row],[Hasta]])</f>
        <v>0</v>
      </c>
      <c r="U180" s="12">
        <f ca="1">SUMIFS(TableDailySummary[Ventas google ads],TableDailySummary[Fecha],"&gt;="&amp;TableWeeklySummary[[#This Row],[Desde]],TableDailySummary[Fecha],"&lt;="&amp;TableWeeklySummary[[#This Row],[Hasta]])</f>
        <v>0</v>
      </c>
      <c r="V180" s="12">
        <f ca="1">SUMIFS(TableDailySummary[Inversión meta ads],TableDailySummary[Fecha],"&gt;="&amp;TableWeeklySummary[[#This Row],[Desde]],TableDailySummary[Fecha],"&lt;="&amp;TableWeeklySummary[[#This Row],[Hasta]])</f>
        <v>0</v>
      </c>
      <c r="W180" s="12">
        <f ca="1">SUMIFS(TableDailySummary[Ventas meta ads],TableDailySummary[Fecha],"&gt;="&amp;TableWeeklySummary[[#This Row],[Desde]],TableDailySummary[Fecha],"&lt;="&amp;TableWeeklySummary[[#This Row],[Hasta]])</f>
        <v>0</v>
      </c>
      <c r="X180" s="12">
        <f ca="1">TableWeeklySummary[[#This Row],[Inversión google ads]]+TableWeeklySummary[[#This Row],[Inversión meta ads]]</f>
        <v>0</v>
      </c>
      <c r="Y180" s="12">
        <f ca="1">TableWeeklySummary[[#This Row],[Ventas google ads]]+TableWeeklySummary[[#This Row],[Ventas meta ads]]</f>
        <v>0</v>
      </c>
      <c r="Z180" s="14">
        <f ca="1">IFERROR(TableWeeklySummary[[#This Row],[Ventas publicidad]]/TableWeeklySummary[[#This Row],[Inversión publicidad]],0)</f>
        <v>0</v>
      </c>
      <c r="AA180" s="14">
        <f ca="1">IFERROR(TableWeeklySummary[[#This Row],[Ventas primer cliente]]/TableWeeklySummary[[#This Row],[Inversión publicidad]],0)</f>
        <v>0</v>
      </c>
      <c r="AB180" s="14"/>
      <c r="AC180" s="12"/>
      <c r="AI18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8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80" s="12">
        <f ca="1">SUMIFS(TableDailySummary[Utilidad bruta],TableDailySummary[Fecha],"&gt;="&amp;TableWeeklySummary[[#This Row],[Desde]],TableDailySummary[Fecha],"&lt;="&amp;TableWeeklySummary[[#This Row],[Hasta]])</f>
        <v>0</v>
      </c>
      <c r="AL180" s="18">
        <f ca="1">IFERROR(TableWeeklySummary[[#This Row],[Utilidad bruta]]/TableWeeklySummary[[#This Row],[Ventas netas con costo registrado]],0)</f>
        <v>0</v>
      </c>
    </row>
    <row r="181" spans="2:38" x14ac:dyDescent="0.2">
      <c r="B181" s="16">
        <f ca="1">_xlfn.ISOWEEKNUM(TableWeeklySummary[[#This Row],[Hasta]])</f>
        <v>10</v>
      </c>
      <c r="C181" s="6">
        <f t="shared" ca="1" si="4"/>
        <v>47179</v>
      </c>
      <c r="D181" s="6">
        <f ca="1">TableWeeklySummary[[#This Row],[Desde]]+7-1</f>
        <v>47185</v>
      </c>
      <c r="E181" s="12">
        <f ca="1">SUMIFS(TableDailySummary[Ventas netas totales],TableDailySummary[Fecha],"&gt;="&amp;TableWeeklySummary[[#This Row],[Desde]],TableDailySummary[Fecha],"&lt;="&amp;TableWeeklySummary[[#This Row],[Hasta]])</f>
        <v>0</v>
      </c>
      <c r="F181" s="12">
        <f ca="1">SUMIFS(TableDailySummary[Órdenes totales],TableDailySummary[Fecha],"&gt;="&amp;TableWeeklySummary[[#This Row],[Desde]],TableDailySummary[Fecha],"&lt;="&amp;TableWeeklySummary[[#This Row],[Hasta]])</f>
        <v>0</v>
      </c>
      <c r="G181" s="12">
        <f ca="1">IFERROR(TableWeeklySummary[[#This Row],[Ventas netas totales]]/TableWeeklySummary[[#This Row],[Órdenes totales]],0)</f>
        <v>0</v>
      </c>
      <c r="H18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81" s="12">
        <f ca="1">TableWeeklySummary[[#This Row],[Órden promedio totales]]*TableWeeklySummary[[#This Row],[CR totales]]</f>
        <v>0</v>
      </c>
      <c r="J181" s="12">
        <f ca="1">SUMIFS(TableDailySummary[Ventas primer cliente],TableDailySummary[Fecha],"&gt;="&amp;TableWeeklySummary[[#This Row],[Desde]],TableDailySummary[Fecha],"&lt;="&amp;TableWeeklySummary[[#This Row],[Hasta]])</f>
        <v>0</v>
      </c>
      <c r="K181" s="12">
        <f ca="1">SUMIFS(TableDailySummary[Órdenes primer cliente],TableDailySummary[Fecha],"&gt;="&amp;TableWeeklySummary[[#This Row],[Desde]],TableDailySummary[Fecha],"&lt;="&amp;TableWeeklySummary[[#This Row],[Hasta]])</f>
        <v>0</v>
      </c>
      <c r="L181" s="12">
        <f ca="1">SUMIFS(TableDailySummary[Online Store_net_sales],TableDailySummary[Fecha],"&gt;="&amp;TableWeeklySummary[[#This Row],[Desde]],TableDailySummary[Fecha],"&lt;="&amp;TableWeeklySummary[[#This Row],[Hasta]])</f>
        <v>0</v>
      </c>
      <c r="M181" s="12">
        <f ca="1">SUMIFS(TableDailySummary[Online Store_orders],TableDailySummary[Fecha],"&gt;="&amp;TableWeeklySummary[[#This Row],[Desde]],TableDailySummary[Fecha],"&lt;="&amp;TableWeeklySummary[[#This Row],[Hasta]])</f>
        <v>0</v>
      </c>
      <c r="N181" s="12">
        <f ca="1">SUMIFS(TableDailySummary[Tienda 81_net_sales],TableDailySummary[Fecha],"&gt;="&amp;TableWeeklySummary[[#This Row],[Desde]],TableDailySummary[Fecha],"&lt;="&amp;TableWeeklySummary[[#This Row],[Hasta]])</f>
        <v>0</v>
      </c>
      <c r="O181" s="12">
        <f ca="1">SUMIFS(TableDailySummary[Tienda 81_orders],TableDailySummary[Fecha],"&gt;="&amp;TableWeeklySummary[[#This Row],[Desde]],TableDailySummary[Fecha],"&lt;="&amp;TableWeeklySummary[[#This Row],[Hasta]])</f>
        <v>0</v>
      </c>
      <c r="P181" s="12">
        <f ca="1">SUMIFS(TableDailySummary[Rappi_net_sales],TableDailySummary[Fecha],"&gt;="&amp;TableWeeklySummary[[#This Row],[Desde]],TableDailySummary[Fecha],"&lt;="&amp;TableWeeklySummary[[#This Row],[Hasta]])</f>
        <v>0</v>
      </c>
      <c r="Q181" s="12">
        <f ca="1">SUMIFS(TableDailySummary[Rappi_orders],TableDailySummary[Fecha],"&gt;="&amp;TableWeeklySummary[[#This Row],[Desde]],TableDailySummary[Fecha],"&lt;="&amp;TableWeeklySummary[[#This Row],[Hasta]])</f>
        <v>0</v>
      </c>
      <c r="R18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8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81" s="12">
        <f ca="1">SUMIFS(TableDailySummary[Inversión google ads],TableDailySummary[Fecha],"&gt;="&amp;TableWeeklySummary[[#This Row],[Desde]],TableDailySummary[Fecha],"&lt;="&amp;TableWeeklySummary[[#This Row],[Hasta]])</f>
        <v>0</v>
      </c>
      <c r="U181" s="12">
        <f ca="1">SUMIFS(TableDailySummary[Ventas google ads],TableDailySummary[Fecha],"&gt;="&amp;TableWeeklySummary[[#This Row],[Desde]],TableDailySummary[Fecha],"&lt;="&amp;TableWeeklySummary[[#This Row],[Hasta]])</f>
        <v>0</v>
      </c>
      <c r="V181" s="12">
        <f ca="1">SUMIFS(TableDailySummary[Inversión meta ads],TableDailySummary[Fecha],"&gt;="&amp;TableWeeklySummary[[#This Row],[Desde]],TableDailySummary[Fecha],"&lt;="&amp;TableWeeklySummary[[#This Row],[Hasta]])</f>
        <v>0</v>
      </c>
      <c r="W181" s="12">
        <f ca="1">SUMIFS(TableDailySummary[Ventas meta ads],TableDailySummary[Fecha],"&gt;="&amp;TableWeeklySummary[[#This Row],[Desde]],TableDailySummary[Fecha],"&lt;="&amp;TableWeeklySummary[[#This Row],[Hasta]])</f>
        <v>0</v>
      </c>
      <c r="X181" s="12">
        <f ca="1">TableWeeklySummary[[#This Row],[Inversión google ads]]+TableWeeklySummary[[#This Row],[Inversión meta ads]]</f>
        <v>0</v>
      </c>
      <c r="Y181" s="12">
        <f ca="1">TableWeeklySummary[[#This Row],[Ventas google ads]]+TableWeeklySummary[[#This Row],[Ventas meta ads]]</f>
        <v>0</v>
      </c>
      <c r="Z181" s="14">
        <f ca="1">IFERROR(TableWeeklySummary[[#This Row],[Ventas publicidad]]/TableWeeklySummary[[#This Row],[Inversión publicidad]],0)</f>
        <v>0</v>
      </c>
      <c r="AA181" s="14">
        <f ca="1">IFERROR(TableWeeklySummary[[#This Row],[Ventas primer cliente]]/TableWeeklySummary[[#This Row],[Inversión publicidad]],0)</f>
        <v>0</v>
      </c>
      <c r="AB181" s="14"/>
      <c r="AC181" s="12"/>
      <c r="AI18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8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81" s="12">
        <f ca="1">SUMIFS(TableDailySummary[Utilidad bruta],TableDailySummary[Fecha],"&gt;="&amp;TableWeeklySummary[[#This Row],[Desde]],TableDailySummary[Fecha],"&lt;="&amp;TableWeeklySummary[[#This Row],[Hasta]])</f>
        <v>0</v>
      </c>
      <c r="AL181" s="18">
        <f ca="1">IFERROR(TableWeeklySummary[[#This Row],[Utilidad bruta]]/TableWeeklySummary[[#This Row],[Ventas netas con costo registrado]],0)</f>
        <v>0</v>
      </c>
    </row>
    <row r="182" spans="2:38" x14ac:dyDescent="0.2">
      <c r="B182" s="16">
        <f ca="1">_xlfn.ISOWEEKNUM(TableWeeklySummary[[#This Row],[Hasta]])</f>
        <v>11</v>
      </c>
      <c r="C182" s="6">
        <f t="shared" ca="1" si="4"/>
        <v>47186</v>
      </c>
      <c r="D182" s="6">
        <f ca="1">TableWeeklySummary[[#This Row],[Desde]]+7-1</f>
        <v>47192</v>
      </c>
      <c r="E182" s="12">
        <f ca="1">SUMIFS(TableDailySummary[Ventas netas totales],TableDailySummary[Fecha],"&gt;="&amp;TableWeeklySummary[[#This Row],[Desde]],TableDailySummary[Fecha],"&lt;="&amp;TableWeeklySummary[[#This Row],[Hasta]])</f>
        <v>0</v>
      </c>
      <c r="F182" s="12">
        <f ca="1">SUMIFS(TableDailySummary[Órdenes totales],TableDailySummary[Fecha],"&gt;="&amp;TableWeeklySummary[[#This Row],[Desde]],TableDailySummary[Fecha],"&lt;="&amp;TableWeeklySummary[[#This Row],[Hasta]])</f>
        <v>0</v>
      </c>
      <c r="G182" s="12">
        <f ca="1">IFERROR(TableWeeklySummary[[#This Row],[Ventas netas totales]]/TableWeeklySummary[[#This Row],[Órdenes totales]],0)</f>
        <v>0</v>
      </c>
      <c r="H18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82" s="12">
        <f ca="1">TableWeeklySummary[[#This Row],[Órden promedio totales]]*TableWeeklySummary[[#This Row],[CR totales]]</f>
        <v>0</v>
      </c>
      <c r="J182" s="12">
        <f ca="1">SUMIFS(TableDailySummary[Ventas primer cliente],TableDailySummary[Fecha],"&gt;="&amp;TableWeeklySummary[[#This Row],[Desde]],TableDailySummary[Fecha],"&lt;="&amp;TableWeeklySummary[[#This Row],[Hasta]])</f>
        <v>0</v>
      </c>
      <c r="K182" s="12">
        <f ca="1">SUMIFS(TableDailySummary[Órdenes primer cliente],TableDailySummary[Fecha],"&gt;="&amp;TableWeeklySummary[[#This Row],[Desde]],TableDailySummary[Fecha],"&lt;="&amp;TableWeeklySummary[[#This Row],[Hasta]])</f>
        <v>0</v>
      </c>
      <c r="L182" s="12">
        <f ca="1">SUMIFS(TableDailySummary[Online Store_net_sales],TableDailySummary[Fecha],"&gt;="&amp;TableWeeklySummary[[#This Row],[Desde]],TableDailySummary[Fecha],"&lt;="&amp;TableWeeklySummary[[#This Row],[Hasta]])</f>
        <v>0</v>
      </c>
      <c r="M182" s="12">
        <f ca="1">SUMIFS(TableDailySummary[Online Store_orders],TableDailySummary[Fecha],"&gt;="&amp;TableWeeklySummary[[#This Row],[Desde]],TableDailySummary[Fecha],"&lt;="&amp;TableWeeklySummary[[#This Row],[Hasta]])</f>
        <v>0</v>
      </c>
      <c r="N182" s="12">
        <f ca="1">SUMIFS(TableDailySummary[Tienda 81_net_sales],TableDailySummary[Fecha],"&gt;="&amp;TableWeeklySummary[[#This Row],[Desde]],TableDailySummary[Fecha],"&lt;="&amp;TableWeeklySummary[[#This Row],[Hasta]])</f>
        <v>0</v>
      </c>
      <c r="O182" s="12">
        <f ca="1">SUMIFS(TableDailySummary[Tienda 81_orders],TableDailySummary[Fecha],"&gt;="&amp;TableWeeklySummary[[#This Row],[Desde]],TableDailySummary[Fecha],"&lt;="&amp;TableWeeklySummary[[#This Row],[Hasta]])</f>
        <v>0</v>
      </c>
      <c r="P182" s="12">
        <f ca="1">SUMIFS(TableDailySummary[Rappi_net_sales],TableDailySummary[Fecha],"&gt;="&amp;TableWeeklySummary[[#This Row],[Desde]],TableDailySummary[Fecha],"&lt;="&amp;TableWeeklySummary[[#This Row],[Hasta]])</f>
        <v>0</v>
      </c>
      <c r="Q182" s="12">
        <f ca="1">SUMIFS(TableDailySummary[Rappi_orders],TableDailySummary[Fecha],"&gt;="&amp;TableWeeklySummary[[#This Row],[Desde]],TableDailySummary[Fecha],"&lt;="&amp;TableWeeklySummary[[#This Row],[Hasta]])</f>
        <v>0</v>
      </c>
      <c r="R18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8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82" s="12">
        <f ca="1">SUMIFS(TableDailySummary[Inversión google ads],TableDailySummary[Fecha],"&gt;="&amp;TableWeeklySummary[[#This Row],[Desde]],TableDailySummary[Fecha],"&lt;="&amp;TableWeeklySummary[[#This Row],[Hasta]])</f>
        <v>0</v>
      </c>
      <c r="U182" s="12">
        <f ca="1">SUMIFS(TableDailySummary[Ventas google ads],TableDailySummary[Fecha],"&gt;="&amp;TableWeeklySummary[[#This Row],[Desde]],TableDailySummary[Fecha],"&lt;="&amp;TableWeeklySummary[[#This Row],[Hasta]])</f>
        <v>0</v>
      </c>
      <c r="V182" s="12">
        <f ca="1">SUMIFS(TableDailySummary[Inversión meta ads],TableDailySummary[Fecha],"&gt;="&amp;TableWeeklySummary[[#This Row],[Desde]],TableDailySummary[Fecha],"&lt;="&amp;TableWeeklySummary[[#This Row],[Hasta]])</f>
        <v>0</v>
      </c>
      <c r="W182" s="12">
        <f ca="1">SUMIFS(TableDailySummary[Ventas meta ads],TableDailySummary[Fecha],"&gt;="&amp;TableWeeklySummary[[#This Row],[Desde]],TableDailySummary[Fecha],"&lt;="&amp;TableWeeklySummary[[#This Row],[Hasta]])</f>
        <v>0</v>
      </c>
      <c r="X182" s="12">
        <f ca="1">TableWeeklySummary[[#This Row],[Inversión google ads]]+TableWeeklySummary[[#This Row],[Inversión meta ads]]</f>
        <v>0</v>
      </c>
      <c r="Y182" s="12">
        <f ca="1">TableWeeklySummary[[#This Row],[Ventas google ads]]+TableWeeklySummary[[#This Row],[Ventas meta ads]]</f>
        <v>0</v>
      </c>
      <c r="Z182" s="14">
        <f ca="1">IFERROR(TableWeeklySummary[[#This Row],[Ventas publicidad]]/TableWeeklySummary[[#This Row],[Inversión publicidad]],0)</f>
        <v>0</v>
      </c>
      <c r="AA182" s="14">
        <f ca="1">IFERROR(TableWeeklySummary[[#This Row],[Ventas primer cliente]]/TableWeeklySummary[[#This Row],[Inversión publicidad]],0)</f>
        <v>0</v>
      </c>
      <c r="AB182" s="14"/>
      <c r="AC182" s="12"/>
      <c r="AI18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8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82" s="12">
        <f ca="1">SUMIFS(TableDailySummary[Utilidad bruta],TableDailySummary[Fecha],"&gt;="&amp;TableWeeklySummary[[#This Row],[Desde]],TableDailySummary[Fecha],"&lt;="&amp;TableWeeklySummary[[#This Row],[Hasta]])</f>
        <v>0</v>
      </c>
      <c r="AL182" s="18">
        <f ca="1">IFERROR(TableWeeklySummary[[#This Row],[Utilidad bruta]]/TableWeeklySummary[[#This Row],[Ventas netas con costo registrado]],0)</f>
        <v>0</v>
      </c>
    </row>
    <row r="183" spans="2:38" x14ac:dyDescent="0.2">
      <c r="B183" s="16">
        <f ca="1">_xlfn.ISOWEEKNUM(TableWeeklySummary[[#This Row],[Hasta]])</f>
        <v>12</v>
      </c>
      <c r="C183" s="6">
        <f t="shared" ca="1" si="4"/>
        <v>47193</v>
      </c>
      <c r="D183" s="6">
        <f ca="1">TableWeeklySummary[[#This Row],[Desde]]+7-1</f>
        <v>47199</v>
      </c>
      <c r="E183" s="12">
        <f ca="1">SUMIFS(TableDailySummary[Ventas netas totales],TableDailySummary[Fecha],"&gt;="&amp;TableWeeklySummary[[#This Row],[Desde]],TableDailySummary[Fecha],"&lt;="&amp;TableWeeklySummary[[#This Row],[Hasta]])</f>
        <v>0</v>
      </c>
      <c r="F183" s="12">
        <f ca="1">SUMIFS(TableDailySummary[Órdenes totales],TableDailySummary[Fecha],"&gt;="&amp;TableWeeklySummary[[#This Row],[Desde]],TableDailySummary[Fecha],"&lt;="&amp;TableWeeklySummary[[#This Row],[Hasta]])</f>
        <v>0</v>
      </c>
      <c r="G183" s="12">
        <f ca="1">IFERROR(TableWeeklySummary[[#This Row],[Ventas netas totales]]/TableWeeklySummary[[#This Row],[Órdenes totales]],0)</f>
        <v>0</v>
      </c>
      <c r="H18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83" s="12">
        <f ca="1">TableWeeklySummary[[#This Row],[Órden promedio totales]]*TableWeeklySummary[[#This Row],[CR totales]]</f>
        <v>0</v>
      </c>
      <c r="J183" s="12">
        <f ca="1">SUMIFS(TableDailySummary[Ventas primer cliente],TableDailySummary[Fecha],"&gt;="&amp;TableWeeklySummary[[#This Row],[Desde]],TableDailySummary[Fecha],"&lt;="&amp;TableWeeklySummary[[#This Row],[Hasta]])</f>
        <v>0</v>
      </c>
      <c r="K183" s="12">
        <f ca="1">SUMIFS(TableDailySummary[Órdenes primer cliente],TableDailySummary[Fecha],"&gt;="&amp;TableWeeklySummary[[#This Row],[Desde]],TableDailySummary[Fecha],"&lt;="&amp;TableWeeklySummary[[#This Row],[Hasta]])</f>
        <v>0</v>
      </c>
      <c r="L183" s="12">
        <f ca="1">SUMIFS(TableDailySummary[Online Store_net_sales],TableDailySummary[Fecha],"&gt;="&amp;TableWeeklySummary[[#This Row],[Desde]],TableDailySummary[Fecha],"&lt;="&amp;TableWeeklySummary[[#This Row],[Hasta]])</f>
        <v>0</v>
      </c>
      <c r="M183" s="12">
        <f ca="1">SUMIFS(TableDailySummary[Online Store_orders],TableDailySummary[Fecha],"&gt;="&amp;TableWeeklySummary[[#This Row],[Desde]],TableDailySummary[Fecha],"&lt;="&amp;TableWeeklySummary[[#This Row],[Hasta]])</f>
        <v>0</v>
      </c>
      <c r="N183" s="12">
        <f ca="1">SUMIFS(TableDailySummary[Tienda 81_net_sales],TableDailySummary[Fecha],"&gt;="&amp;TableWeeklySummary[[#This Row],[Desde]],TableDailySummary[Fecha],"&lt;="&amp;TableWeeklySummary[[#This Row],[Hasta]])</f>
        <v>0</v>
      </c>
      <c r="O183" s="12">
        <f ca="1">SUMIFS(TableDailySummary[Tienda 81_orders],TableDailySummary[Fecha],"&gt;="&amp;TableWeeklySummary[[#This Row],[Desde]],TableDailySummary[Fecha],"&lt;="&amp;TableWeeklySummary[[#This Row],[Hasta]])</f>
        <v>0</v>
      </c>
      <c r="P183" s="12">
        <f ca="1">SUMIFS(TableDailySummary[Rappi_net_sales],TableDailySummary[Fecha],"&gt;="&amp;TableWeeklySummary[[#This Row],[Desde]],TableDailySummary[Fecha],"&lt;="&amp;TableWeeklySummary[[#This Row],[Hasta]])</f>
        <v>0</v>
      </c>
      <c r="Q183" s="12">
        <f ca="1">SUMIFS(TableDailySummary[Rappi_orders],TableDailySummary[Fecha],"&gt;="&amp;TableWeeklySummary[[#This Row],[Desde]],TableDailySummary[Fecha],"&lt;="&amp;TableWeeklySummary[[#This Row],[Hasta]])</f>
        <v>0</v>
      </c>
      <c r="R18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8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83" s="12">
        <f ca="1">SUMIFS(TableDailySummary[Inversión google ads],TableDailySummary[Fecha],"&gt;="&amp;TableWeeklySummary[[#This Row],[Desde]],TableDailySummary[Fecha],"&lt;="&amp;TableWeeklySummary[[#This Row],[Hasta]])</f>
        <v>0</v>
      </c>
      <c r="U183" s="12">
        <f ca="1">SUMIFS(TableDailySummary[Ventas google ads],TableDailySummary[Fecha],"&gt;="&amp;TableWeeklySummary[[#This Row],[Desde]],TableDailySummary[Fecha],"&lt;="&amp;TableWeeklySummary[[#This Row],[Hasta]])</f>
        <v>0</v>
      </c>
      <c r="V183" s="12">
        <f ca="1">SUMIFS(TableDailySummary[Inversión meta ads],TableDailySummary[Fecha],"&gt;="&amp;TableWeeklySummary[[#This Row],[Desde]],TableDailySummary[Fecha],"&lt;="&amp;TableWeeklySummary[[#This Row],[Hasta]])</f>
        <v>0</v>
      </c>
      <c r="W183" s="12">
        <f ca="1">SUMIFS(TableDailySummary[Ventas meta ads],TableDailySummary[Fecha],"&gt;="&amp;TableWeeklySummary[[#This Row],[Desde]],TableDailySummary[Fecha],"&lt;="&amp;TableWeeklySummary[[#This Row],[Hasta]])</f>
        <v>0</v>
      </c>
      <c r="X183" s="12">
        <f ca="1">TableWeeklySummary[[#This Row],[Inversión google ads]]+TableWeeklySummary[[#This Row],[Inversión meta ads]]</f>
        <v>0</v>
      </c>
      <c r="Y183" s="12">
        <f ca="1">TableWeeklySummary[[#This Row],[Ventas google ads]]+TableWeeklySummary[[#This Row],[Ventas meta ads]]</f>
        <v>0</v>
      </c>
      <c r="Z183" s="14">
        <f ca="1">IFERROR(TableWeeklySummary[[#This Row],[Ventas publicidad]]/TableWeeklySummary[[#This Row],[Inversión publicidad]],0)</f>
        <v>0</v>
      </c>
      <c r="AA183" s="14">
        <f ca="1">IFERROR(TableWeeklySummary[[#This Row],[Ventas primer cliente]]/TableWeeklySummary[[#This Row],[Inversión publicidad]],0)</f>
        <v>0</v>
      </c>
      <c r="AB183" s="14"/>
      <c r="AC183" s="12"/>
      <c r="AI18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8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83" s="12">
        <f ca="1">SUMIFS(TableDailySummary[Utilidad bruta],TableDailySummary[Fecha],"&gt;="&amp;TableWeeklySummary[[#This Row],[Desde]],TableDailySummary[Fecha],"&lt;="&amp;TableWeeklySummary[[#This Row],[Hasta]])</f>
        <v>0</v>
      </c>
      <c r="AL183" s="18">
        <f ca="1">IFERROR(TableWeeklySummary[[#This Row],[Utilidad bruta]]/TableWeeklySummary[[#This Row],[Ventas netas con costo registrado]],0)</f>
        <v>0</v>
      </c>
    </row>
    <row r="184" spans="2:38" x14ac:dyDescent="0.2">
      <c r="B184" s="16">
        <f ca="1">_xlfn.ISOWEEKNUM(TableWeeklySummary[[#This Row],[Hasta]])</f>
        <v>13</v>
      </c>
      <c r="C184" s="6">
        <f t="shared" ca="1" si="4"/>
        <v>47200</v>
      </c>
      <c r="D184" s="6">
        <f ca="1">TableWeeklySummary[[#This Row],[Desde]]+7-1</f>
        <v>47206</v>
      </c>
      <c r="E184" s="12">
        <f ca="1">SUMIFS(TableDailySummary[Ventas netas totales],TableDailySummary[Fecha],"&gt;="&amp;TableWeeklySummary[[#This Row],[Desde]],TableDailySummary[Fecha],"&lt;="&amp;TableWeeklySummary[[#This Row],[Hasta]])</f>
        <v>0</v>
      </c>
      <c r="F184" s="12">
        <f ca="1">SUMIFS(TableDailySummary[Órdenes totales],TableDailySummary[Fecha],"&gt;="&amp;TableWeeklySummary[[#This Row],[Desde]],TableDailySummary[Fecha],"&lt;="&amp;TableWeeklySummary[[#This Row],[Hasta]])</f>
        <v>0</v>
      </c>
      <c r="G184" s="12">
        <f ca="1">IFERROR(TableWeeklySummary[[#This Row],[Ventas netas totales]]/TableWeeklySummary[[#This Row],[Órdenes totales]],0)</f>
        <v>0</v>
      </c>
      <c r="H18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84" s="12">
        <f ca="1">TableWeeklySummary[[#This Row],[Órden promedio totales]]*TableWeeklySummary[[#This Row],[CR totales]]</f>
        <v>0</v>
      </c>
      <c r="J184" s="12">
        <f ca="1">SUMIFS(TableDailySummary[Ventas primer cliente],TableDailySummary[Fecha],"&gt;="&amp;TableWeeklySummary[[#This Row],[Desde]],TableDailySummary[Fecha],"&lt;="&amp;TableWeeklySummary[[#This Row],[Hasta]])</f>
        <v>0</v>
      </c>
      <c r="K184" s="12">
        <f ca="1">SUMIFS(TableDailySummary[Órdenes primer cliente],TableDailySummary[Fecha],"&gt;="&amp;TableWeeklySummary[[#This Row],[Desde]],TableDailySummary[Fecha],"&lt;="&amp;TableWeeklySummary[[#This Row],[Hasta]])</f>
        <v>0</v>
      </c>
      <c r="L184" s="12">
        <f ca="1">SUMIFS(TableDailySummary[Online Store_net_sales],TableDailySummary[Fecha],"&gt;="&amp;TableWeeklySummary[[#This Row],[Desde]],TableDailySummary[Fecha],"&lt;="&amp;TableWeeklySummary[[#This Row],[Hasta]])</f>
        <v>0</v>
      </c>
      <c r="M184" s="12">
        <f ca="1">SUMIFS(TableDailySummary[Online Store_orders],TableDailySummary[Fecha],"&gt;="&amp;TableWeeklySummary[[#This Row],[Desde]],TableDailySummary[Fecha],"&lt;="&amp;TableWeeklySummary[[#This Row],[Hasta]])</f>
        <v>0</v>
      </c>
      <c r="N184" s="12">
        <f ca="1">SUMIFS(TableDailySummary[Tienda 81_net_sales],TableDailySummary[Fecha],"&gt;="&amp;TableWeeklySummary[[#This Row],[Desde]],TableDailySummary[Fecha],"&lt;="&amp;TableWeeklySummary[[#This Row],[Hasta]])</f>
        <v>0</v>
      </c>
      <c r="O184" s="12">
        <f ca="1">SUMIFS(TableDailySummary[Tienda 81_orders],TableDailySummary[Fecha],"&gt;="&amp;TableWeeklySummary[[#This Row],[Desde]],TableDailySummary[Fecha],"&lt;="&amp;TableWeeklySummary[[#This Row],[Hasta]])</f>
        <v>0</v>
      </c>
      <c r="P184" s="12">
        <f ca="1">SUMIFS(TableDailySummary[Rappi_net_sales],TableDailySummary[Fecha],"&gt;="&amp;TableWeeklySummary[[#This Row],[Desde]],TableDailySummary[Fecha],"&lt;="&amp;TableWeeklySummary[[#This Row],[Hasta]])</f>
        <v>0</v>
      </c>
      <c r="Q184" s="12">
        <f ca="1">SUMIFS(TableDailySummary[Rappi_orders],TableDailySummary[Fecha],"&gt;="&amp;TableWeeklySummary[[#This Row],[Desde]],TableDailySummary[Fecha],"&lt;="&amp;TableWeeklySummary[[#This Row],[Hasta]])</f>
        <v>0</v>
      </c>
      <c r="R18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8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84" s="12">
        <f ca="1">SUMIFS(TableDailySummary[Inversión google ads],TableDailySummary[Fecha],"&gt;="&amp;TableWeeklySummary[[#This Row],[Desde]],TableDailySummary[Fecha],"&lt;="&amp;TableWeeklySummary[[#This Row],[Hasta]])</f>
        <v>0</v>
      </c>
      <c r="U184" s="12">
        <f ca="1">SUMIFS(TableDailySummary[Ventas google ads],TableDailySummary[Fecha],"&gt;="&amp;TableWeeklySummary[[#This Row],[Desde]],TableDailySummary[Fecha],"&lt;="&amp;TableWeeklySummary[[#This Row],[Hasta]])</f>
        <v>0</v>
      </c>
      <c r="V184" s="12">
        <f ca="1">SUMIFS(TableDailySummary[Inversión meta ads],TableDailySummary[Fecha],"&gt;="&amp;TableWeeklySummary[[#This Row],[Desde]],TableDailySummary[Fecha],"&lt;="&amp;TableWeeklySummary[[#This Row],[Hasta]])</f>
        <v>0</v>
      </c>
      <c r="W184" s="12">
        <f ca="1">SUMIFS(TableDailySummary[Ventas meta ads],TableDailySummary[Fecha],"&gt;="&amp;TableWeeklySummary[[#This Row],[Desde]],TableDailySummary[Fecha],"&lt;="&amp;TableWeeklySummary[[#This Row],[Hasta]])</f>
        <v>0</v>
      </c>
      <c r="X184" s="12">
        <f ca="1">TableWeeklySummary[[#This Row],[Inversión google ads]]+TableWeeklySummary[[#This Row],[Inversión meta ads]]</f>
        <v>0</v>
      </c>
      <c r="Y184" s="12">
        <f ca="1">TableWeeklySummary[[#This Row],[Ventas google ads]]+TableWeeklySummary[[#This Row],[Ventas meta ads]]</f>
        <v>0</v>
      </c>
      <c r="Z184" s="14">
        <f ca="1">IFERROR(TableWeeklySummary[[#This Row],[Ventas publicidad]]/TableWeeklySummary[[#This Row],[Inversión publicidad]],0)</f>
        <v>0</v>
      </c>
      <c r="AA184" s="14">
        <f ca="1">IFERROR(TableWeeklySummary[[#This Row],[Ventas primer cliente]]/TableWeeklySummary[[#This Row],[Inversión publicidad]],0)</f>
        <v>0</v>
      </c>
      <c r="AB184" s="14"/>
      <c r="AC184" s="12"/>
      <c r="AI18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8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84" s="12">
        <f ca="1">SUMIFS(TableDailySummary[Utilidad bruta],TableDailySummary[Fecha],"&gt;="&amp;TableWeeklySummary[[#This Row],[Desde]],TableDailySummary[Fecha],"&lt;="&amp;TableWeeklySummary[[#This Row],[Hasta]])</f>
        <v>0</v>
      </c>
      <c r="AL184" s="18">
        <f ca="1">IFERROR(TableWeeklySummary[[#This Row],[Utilidad bruta]]/TableWeeklySummary[[#This Row],[Ventas netas con costo registrado]],0)</f>
        <v>0</v>
      </c>
    </row>
    <row r="185" spans="2:38" x14ac:dyDescent="0.2">
      <c r="B185" s="16">
        <f ca="1">_xlfn.ISOWEEKNUM(TableWeeklySummary[[#This Row],[Hasta]])</f>
        <v>14</v>
      </c>
      <c r="C185" s="6">
        <f t="shared" ca="1" si="4"/>
        <v>47207</v>
      </c>
      <c r="D185" s="6">
        <f ca="1">TableWeeklySummary[[#This Row],[Desde]]+7-1</f>
        <v>47213</v>
      </c>
      <c r="E185" s="12">
        <f ca="1">SUMIFS(TableDailySummary[Ventas netas totales],TableDailySummary[Fecha],"&gt;="&amp;TableWeeklySummary[[#This Row],[Desde]],TableDailySummary[Fecha],"&lt;="&amp;TableWeeklySummary[[#This Row],[Hasta]])</f>
        <v>0</v>
      </c>
      <c r="F185" s="12">
        <f ca="1">SUMIFS(TableDailySummary[Órdenes totales],TableDailySummary[Fecha],"&gt;="&amp;TableWeeklySummary[[#This Row],[Desde]],TableDailySummary[Fecha],"&lt;="&amp;TableWeeklySummary[[#This Row],[Hasta]])</f>
        <v>0</v>
      </c>
      <c r="G185" s="12">
        <f ca="1">IFERROR(TableWeeklySummary[[#This Row],[Ventas netas totales]]/TableWeeklySummary[[#This Row],[Órdenes totales]],0)</f>
        <v>0</v>
      </c>
      <c r="H18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85" s="12">
        <f ca="1">TableWeeklySummary[[#This Row],[Órden promedio totales]]*TableWeeklySummary[[#This Row],[CR totales]]</f>
        <v>0</v>
      </c>
      <c r="J185" s="12">
        <f ca="1">SUMIFS(TableDailySummary[Ventas primer cliente],TableDailySummary[Fecha],"&gt;="&amp;TableWeeklySummary[[#This Row],[Desde]],TableDailySummary[Fecha],"&lt;="&amp;TableWeeklySummary[[#This Row],[Hasta]])</f>
        <v>0</v>
      </c>
      <c r="K185" s="12">
        <f ca="1">SUMIFS(TableDailySummary[Órdenes primer cliente],TableDailySummary[Fecha],"&gt;="&amp;TableWeeklySummary[[#This Row],[Desde]],TableDailySummary[Fecha],"&lt;="&amp;TableWeeklySummary[[#This Row],[Hasta]])</f>
        <v>0</v>
      </c>
      <c r="L185" s="12">
        <f ca="1">SUMIFS(TableDailySummary[Online Store_net_sales],TableDailySummary[Fecha],"&gt;="&amp;TableWeeklySummary[[#This Row],[Desde]],TableDailySummary[Fecha],"&lt;="&amp;TableWeeklySummary[[#This Row],[Hasta]])</f>
        <v>0</v>
      </c>
      <c r="M185" s="12">
        <f ca="1">SUMIFS(TableDailySummary[Online Store_orders],TableDailySummary[Fecha],"&gt;="&amp;TableWeeklySummary[[#This Row],[Desde]],TableDailySummary[Fecha],"&lt;="&amp;TableWeeklySummary[[#This Row],[Hasta]])</f>
        <v>0</v>
      </c>
      <c r="N185" s="12">
        <f ca="1">SUMIFS(TableDailySummary[Tienda 81_net_sales],TableDailySummary[Fecha],"&gt;="&amp;TableWeeklySummary[[#This Row],[Desde]],TableDailySummary[Fecha],"&lt;="&amp;TableWeeklySummary[[#This Row],[Hasta]])</f>
        <v>0</v>
      </c>
      <c r="O185" s="12">
        <f ca="1">SUMIFS(TableDailySummary[Tienda 81_orders],TableDailySummary[Fecha],"&gt;="&amp;TableWeeklySummary[[#This Row],[Desde]],TableDailySummary[Fecha],"&lt;="&amp;TableWeeklySummary[[#This Row],[Hasta]])</f>
        <v>0</v>
      </c>
      <c r="P185" s="12">
        <f ca="1">SUMIFS(TableDailySummary[Rappi_net_sales],TableDailySummary[Fecha],"&gt;="&amp;TableWeeklySummary[[#This Row],[Desde]],TableDailySummary[Fecha],"&lt;="&amp;TableWeeklySummary[[#This Row],[Hasta]])</f>
        <v>0</v>
      </c>
      <c r="Q185" s="12">
        <f ca="1">SUMIFS(TableDailySummary[Rappi_orders],TableDailySummary[Fecha],"&gt;="&amp;TableWeeklySummary[[#This Row],[Desde]],TableDailySummary[Fecha],"&lt;="&amp;TableWeeklySummary[[#This Row],[Hasta]])</f>
        <v>0</v>
      </c>
      <c r="R18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8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85" s="12">
        <f ca="1">SUMIFS(TableDailySummary[Inversión google ads],TableDailySummary[Fecha],"&gt;="&amp;TableWeeklySummary[[#This Row],[Desde]],TableDailySummary[Fecha],"&lt;="&amp;TableWeeklySummary[[#This Row],[Hasta]])</f>
        <v>0</v>
      </c>
      <c r="U185" s="12">
        <f ca="1">SUMIFS(TableDailySummary[Ventas google ads],TableDailySummary[Fecha],"&gt;="&amp;TableWeeklySummary[[#This Row],[Desde]],TableDailySummary[Fecha],"&lt;="&amp;TableWeeklySummary[[#This Row],[Hasta]])</f>
        <v>0</v>
      </c>
      <c r="V185" s="12">
        <f ca="1">SUMIFS(TableDailySummary[Inversión meta ads],TableDailySummary[Fecha],"&gt;="&amp;TableWeeklySummary[[#This Row],[Desde]],TableDailySummary[Fecha],"&lt;="&amp;TableWeeklySummary[[#This Row],[Hasta]])</f>
        <v>0</v>
      </c>
      <c r="W185" s="12">
        <f ca="1">SUMIFS(TableDailySummary[Ventas meta ads],TableDailySummary[Fecha],"&gt;="&amp;TableWeeklySummary[[#This Row],[Desde]],TableDailySummary[Fecha],"&lt;="&amp;TableWeeklySummary[[#This Row],[Hasta]])</f>
        <v>0</v>
      </c>
      <c r="X185" s="12">
        <f ca="1">TableWeeklySummary[[#This Row],[Inversión google ads]]+TableWeeklySummary[[#This Row],[Inversión meta ads]]</f>
        <v>0</v>
      </c>
      <c r="Y185" s="12">
        <f ca="1">TableWeeklySummary[[#This Row],[Ventas google ads]]+TableWeeklySummary[[#This Row],[Ventas meta ads]]</f>
        <v>0</v>
      </c>
      <c r="Z185" s="14">
        <f ca="1">IFERROR(TableWeeklySummary[[#This Row],[Ventas publicidad]]/TableWeeklySummary[[#This Row],[Inversión publicidad]],0)</f>
        <v>0</v>
      </c>
      <c r="AA185" s="14">
        <f ca="1">IFERROR(TableWeeklySummary[[#This Row],[Ventas primer cliente]]/TableWeeklySummary[[#This Row],[Inversión publicidad]],0)</f>
        <v>0</v>
      </c>
      <c r="AB185" s="14"/>
      <c r="AC185" s="12"/>
      <c r="AI18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8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85" s="12">
        <f ca="1">SUMIFS(TableDailySummary[Utilidad bruta],TableDailySummary[Fecha],"&gt;="&amp;TableWeeklySummary[[#This Row],[Desde]],TableDailySummary[Fecha],"&lt;="&amp;TableWeeklySummary[[#This Row],[Hasta]])</f>
        <v>0</v>
      </c>
      <c r="AL185" s="18">
        <f ca="1">IFERROR(TableWeeklySummary[[#This Row],[Utilidad bruta]]/TableWeeklySummary[[#This Row],[Ventas netas con costo registrado]],0)</f>
        <v>0</v>
      </c>
    </row>
    <row r="186" spans="2:38" x14ac:dyDescent="0.2">
      <c r="B186" s="16">
        <f ca="1">_xlfn.ISOWEEKNUM(TableWeeklySummary[[#This Row],[Hasta]])</f>
        <v>15</v>
      </c>
      <c r="C186" s="6">
        <f t="shared" ca="1" si="4"/>
        <v>47214</v>
      </c>
      <c r="D186" s="6">
        <f ca="1">TableWeeklySummary[[#This Row],[Desde]]+7-1</f>
        <v>47220</v>
      </c>
      <c r="E186" s="12">
        <f ca="1">SUMIFS(TableDailySummary[Ventas netas totales],TableDailySummary[Fecha],"&gt;="&amp;TableWeeklySummary[[#This Row],[Desde]],TableDailySummary[Fecha],"&lt;="&amp;TableWeeklySummary[[#This Row],[Hasta]])</f>
        <v>0</v>
      </c>
      <c r="F186" s="12">
        <f ca="1">SUMIFS(TableDailySummary[Órdenes totales],TableDailySummary[Fecha],"&gt;="&amp;TableWeeklySummary[[#This Row],[Desde]],TableDailySummary[Fecha],"&lt;="&amp;TableWeeklySummary[[#This Row],[Hasta]])</f>
        <v>0</v>
      </c>
      <c r="G186" s="12">
        <f ca="1">IFERROR(TableWeeklySummary[[#This Row],[Ventas netas totales]]/TableWeeklySummary[[#This Row],[Órdenes totales]],0)</f>
        <v>0</v>
      </c>
      <c r="H18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86" s="12">
        <f ca="1">TableWeeklySummary[[#This Row],[Órden promedio totales]]*TableWeeklySummary[[#This Row],[CR totales]]</f>
        <v>0</v>
      </c>
      <c r="J186" s="12">
        <f ca="1">SUMIFS(TableDailySummary[Ventas primer cliente],TableDailySummary[Fecha],"&gt;="&amp;TableWeeklySummary[[#This Row],[Desde]],TableDailySummary[Fecha],"&lt;="&amp;TableWeeklySummary[[#This Row],[Hasta]])</f>
        <v>0</v>
      </c>
      <c r="K186" s="12">
        <f ca="1">SUMIFS(TableDailySummary[Órdenes primer cliente],TableDailySummary[Fecha],"&gt;="&amp;TableWeeklySummary[[#This Row],[Desde]],TableDailySummary[Fecha],"&lt;="&amp;TableWeeklySummary[[#This Row],[Hasta]])</f>
        <v>0</v>
      </c>
      <c r="L186" s="12">
        <f ca="1">SUMIFS(TableDailySummary[Online Store_net_sales],TableDailySummary[Fecha],"&gt;="&amp;TableWeeklySummary[[#This Row],[Desde]],TableDailySummary[Fecha],"&lt;="&amp;TableWeeklySummary[[#This Row],[Hasta]])</f>
        <v>0</v>
      </c>
      <c r="M186" s="12">
        <f ca="1">SUMIFS(TableDailySummary[Online Store_orders],TableDailySummary[Fecha],"&gt;="&amp;TableWeeklySummary[[#This Row],[Desde]],TableDailySummary[Fecha],"&lt;="&amp;TableWeeklySummary[[#This Row],[Hasta]])</f>
        <v>0</v>
      </c>
      <c r="N186" s="12">
        <f ca="1">SUMIFS(TableDailySummary[Tienda 81_net_sales],TableDailySummary[Fecha],"&gt;="&amp;TableWeeklySummary[[#This Row],[Desde]],TableDailySummary[Fecha],"&lt;="&amp;TableWeeklySummary[[#This Row],[Hasta]])</f>
        <v>0</v>
      </c>
      <c r="O186" s="12">
        <f ca="1">SUMIFS(TableDailySummary[Tienda 81_orders],TableDailySummary[Fecha],"&gt;="&amp;TableWeeklySummary[[#This Row],[Desde]],TableDailySummary[Fecha],"&lt;="&amp;TableWeeklySummary[[#This Row],[Hasta]])</f>
        <v>0</v>
      </c>
      <c r="P186" s="12">
        <f ca="1">SUMIFS(TableDailySummary[Rappi_net_sales],TableDailySummary[Fecha],"&gt;="&amp;TableWeeklySummary[[#This Row],[Desde]],TableDailySummary[Fecha],"&lt;="&amp;TableWeeklySummary[[#This Row],[Hasta]])</f>
        <v>0</v>
      </c>
      <c r="Q186" s="12">
        <f ca="1">SUMIFS(TableDailySummary[Rappi_orders],TableDailySummary[Fecha],"&gt;="&amp;TableWeeklySummary[[#This Row],[Desde]],TableDailySummary[Fecha],"&lt;="&amp;TableWeeklySummary[[#This Row],[Hasta]])</f>
        <v>0</v>
      </c>
      <c r="R18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8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86" s="12">
        <f ca="1">SUMIFS(TableDailySummary[Inversión google ads],TableDailySummary[Fecha],"&gt;="&amp;TableWeeklySummary[[#This Row],[Desde]],TableDailySummary[Fecha],"&lt;="&amp;TableWeeklySummary[[#This Row],[Hasta]])</f>
        <v>0</v>
      </c>
      <c r="U186" s="12">
        <f ca="1">SUMIFS(TableDailySummary[Ventas google ads],TableDailySummary[Fecha],"&gt;="&amp;TableWeeklySummary[[#This Row],[Desde]],TableDailySummary[Fecha],"&lt;="&amp;TableWeeklySummary[[#This Row],[Hasta]])</f>
        <v>0</v>
      </c>
      <c r="V186" s="12">
        <f ca="1">SUMIFS(TableDailySummary[Inversión meta ads],TableDailySummary[Fecha],"&gt;="&amp;TableWeeklySummary[[#This Row],[Desde]],TableDailySummary[Fecha],"&lt;="&amp;TableWeeklySummary[[#This Row],[Hasta]])</f>
        <v>0</v>
      </c>
      <c r="W186" s="12">
        <f ca="1">SUMIFS(TableDailySummary[Ventas meta ads],TableDailySummary[Fecha],"&gt;="&amp;TableWeeklySummary[[#This Row],[Desde]],TableDailySummary[Fecha],"&lt;="&amp;TableWeeklySummary[[#This Row],[Hasta]])</f>
        <v>0</v>
      </c>
      <c r="X186" s="12">
        <f ca="1">TableWeeklySummary[[#This Row],[Inversión google ads]]+TableWeeklySummary[[#This Row],[Inversión meta ads]]</f>
        <v>0</v>
      </c>
      <c r="Y186" s="12">
        <f ca="1">TableWeeklySummary[[#This Row],[Ventas google ads]]+TableWeeklySummary[[#This Row],[Ventas meta ads]]</f>
        <v>0</v>
      </c>
      <c r="Z186" s="14">
        <f ca="1">IFERROR(TableWeeklySummary[[#This Row],[Ventas publicidad]]/TableWeeklySummary[[#This Row],[Inversión publicidad]],0)</f>
        <v>0</v>
      </c>
      <c r="AA186" s="14">
        <f ca="1">IFERROR(TableWeeklySummary[[#This Row],[Ventas primer cliente]]/TableWeeklySummary[[#This Row],[Inversión publicidad]],0)</f>
        <v>0</v>
      </c>
      <c r="AB186" s="14"/>
      <c r="AC186" s="12"/>
      <c r="AI18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8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86" s="12">
        <f ca="1">SUMIFS(TableDailySummary[Utilidad bruta],TableDailySummary[Fecha],"&gt;="&amp;TableWeeklySummary[[#This Row],[Desde]],TableDailySummary[Fecha],"&lt;="&amp;TableWeeklySummary[[#This Row],[Hasta]])</f>
        <v>0</v>
      </c>
      <c r="AL186" s="18">
        <f ca="1">IFERROR(TableWeeklySummary[[#This Row],[Utilidad bruta]]/TableWeeklySummary[[#This Row],[Ventas netas con costo registrado]],0)</f>
        <v>0</v>
      </c>
    </row>
    <row r="187" spans="2:38" x14ac:dyDescent="0.2">
      <c r="B187" s="16">
        <f ca="1">_xlfn.ISOWEEKNUM(TableWeeklySummary[[#This Row],[Hasta]])</f>
        <v>16</v>
      </c>
      <c r="C187" s="6">
        <f t="shared" ca="1" si="4"/>
        <v>47221</v>
      </c>
      <c r="D187" s="6">
        <f ca="1">TableWeeklySummary[[#This Row],[Desde]]+7-1</f>
        <v>47227</v>
      </c>
      <c r="E187" s="12">
        <f ca="1">SUMIFS(TableDailySummary[Ventas netas totales],TableDailySummary[Fecha],"&gt;="&amp;TableWeeklySummary[[#This Row],[Desde]],TableDailySummary[Fecha],"&lt;="&amp;TableWeeklySummary[[#This Row],[Hasta]])</f>
        <v>0</v>
      </c>
      <c r="F187" s="12">
        <f ca="1">SUMIFS(TableDailySummary[Órdenes totales],TableDailySummary[Fecha],"&gt;="&amp;TableWeeklySummary[[#This Row],[Desde]],TableDailySummary[Fecha],"&lt;="&amp;TableWeeklySummary[[#This Row],[Hasta]])</f>
        <v>0</v>
      </c>
      <c r="G187" s="12">
        <f ca="1">IFERROR(TableWeeklySummary[[#This Row],[Ventas netas totales]]/TableWeeklySummary[[#This Row],[Órdenes totales]],0)</f>
        <v>0</v>
      </c>
      <c r="H18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87" s="12">
        <f ca="1">TableWeeklySummary[[#This Row],[Órden promedio totales]]*TableWeeklySummary[[#This Row],[CR totales]]</f>
        <v>0</v>
      </c>
      <c r="J187" s="12">
        <f ca="1">SUMIFS(TableDailySummary[Ventas primer cliente],TableDailySummary[Fecha],"&gt;="&amp;TableWeeklySummary[[#This Row],[Desde]],TableDailySummary[Fecha],"&lt;="&amp;TableWeeklySummary[[#This Row],[Hasta]])</f>
        <v>0</v>
      </c>
      <c r="K187" s="12">
        <f ca="1">SUMIFS(TableDailySummary[Órdenes primer cliente],TableDailySummary[Fecha],"&gt;="&amp;TableWeeklySummary[[#This Row],[Desde]],TableDailySummary[Fecha],"&lt;="&amp;TableWeeklySummary[[#This Row],[Hasta]])</f>
        <v>0</v>
      </c>
      <c r="L187" s="12">
        <f ca="1">SUMIFS(TableDailySummary[Online Store_net_sales],TableDailySummary[Fecha],"&gt;="&amp;TableWeeklySummary[[#This Row],[Desde]],TableDailySummary[Fecha],"&lt;="&amp;TableWeeklySummary[[#This Row],[Hasta]])</f>
        <v>0</v>
      </c>
      <c r="M187" s="12">
        <f ca="1">SUMIFS(TableDailySummary[Online Store_orders],TableDailySummary[Fecha],"&gt;="&amp;TableWeeklySummary[[#This Row],[Desde]],TableDailySummary[Fecha],"&lt;="&amp;TableWeeklySummary[[#This Row],[Hasta]])</f>
        <v>0</v>
      </c>
      <c r="N187" s="12">
        <f ca="1">SUMIFS(TableDailySummary[Tienda 81_net_sales],TableDailySummary[Fecha],"&gt;="&amp;TableWeeklySummary[[#This Row],[Desde]],TableDailySummary[Fecha],"&lt;="&amp;TableWeeklySummary[[#This Row],[Hasta]])</f>
        <v>0</v>
      </c>
      <c r="O187" s="12">
        <f ca="1">SUMIFS(TableDailySummary[Tienda 81_orders],TableDailySummary[Fecha],"&gt;="&amp;TableWeeklySummary[[#This Row],[Desde]],TableDailySummary[Fecha],"&lt;="&amp;TableWeeklySummary[[#This Row],[Hasta]])</f>
        <v>0</v>
      </c>
      <c r="P187" s="12">
        <f ca="1">SUMIFS(TableDailySummary[Rappi_net_sales],TableDailySummary[Fecha],"&gt;="&amp;TableWeeklySummary[[#This Row],[Desde]],TableDailySummary[Fecha],"&lt;="&amp;TableWeeklySummary[[#This Row],[Hasta]])</f>
        <v>0</v>
      </c>
      <c r="Q187" s="12">
        <f ca="1">SUMIFS(TableDailySummary[Rappi_orders],TableDailySummary[Fecha],"&gt;="&amp;TableWeeklySummary[[#This Row],[Desde]],TableDailySummary[Fecha],"&lt;="&amp;TableWeeklySummary[[#This Row],[Hasta]])</f>
        <v>0</v>
      </c>
      <c r="R18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8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87" s="12">
        <f ca="1">SUMIFS(TableDailySummary[Inversión google ads],TableDailySummary[Fecha],"&gt;="&amp;TableWeeklySummary[[#This Row],[Desde]],TableDailySummary[Fecha],"&lt;="&amp;TableWeeklySummary[[#This Row],[Hasta]])</f>
        <v>0</v>
      </c>
      <c r="U187" s="12">
        <f ca="1">SUMIFS(TableDailySummary[Ventas google ads],TableDailySummary[Fecha],"&gt;="&amp;TableWeeklySummary[[#This Row],[Desde]],TableDailySummary[Fecha],"&lt;="&amp;TableWeeklySummary[[#This Row],[Hasta]])</f>
        <v>0</v>
      </c>
      <c r="V187" s="12">
        <f ca="1">SUMIFS(TableDailySummary[Inversión meta ads],TableDailySummary[Fecha],"&gt;="&amp;TableWeeklySummary[[#This Row],[Desde]],TableDailySummary[Fecha],"&lt;="&amp;TableWeeklySummary[[#This Row],[Hasta]])</f>
        <v>0</v>
      </c>
      <c r="W187" s="12">
        <f ca="1">SUMIFS(TableDailySummary[Ventas meta ads],TableDailySummary[Fecha],"&gt;="&amp;TableWeeklySummary[[#This Row],[Desde]],TableDailySummary[Fecha],"&lt;="&amp;TableWeeklySummary[[#This Row],[Hasta]])</f>
        <v>0</v>
      </c>
      <c r="X187" s="12">
        <f ca="1">TableWeeklySummary[[#This Row],[Inversión google ads]]+TableWeeklySummary[[#This Row],[Inversión meta ads]]</f>
        <v>0</v>
      </c>
      <c r="Y187" s="12">
        <f ca="1">TableWeeklySummary[[#This Row],[Ventas google ads]]+TableWeeklySummary[[#This Row],[Ventas meta ads]]</f>
        <v>0</v>
      </c>
      <c r="Z187" s="14">
        <f ca="1">IFERROR(TableWeeklySummary[[#This Row],[Ventas publicidad]]/TableWeeklySummary[[#This Row],[Inversión publicidad]],0)</f>
        <v>0</v>
      </c>
      <c r="AA187" s="14">
        <f ca="1">IFERROR(TableWeeklySummary[[#This Row],[Ventas primer cliente]]/TableWeeklySummary[[#This Row],[Inversión publicidad]],0)</f>
        <v>0</v>
      </c>
      <c r="AB187" s="14"/>
      <c r="AC187" s="12"/>
      <c r="AI18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8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87" s="12">
        <f ca="1">SUMIFS(TableDailySummary[Utilidad bruta],TableDailySummary[Fecha],"&gt;="&amp;TableWeeklySummary[[#This Row],[Desde]],TableDailySummary[Fecha],"&lt;="&amp;TableWeeklySummary[[#This Row],[Hasta]])</f>
        <v>0</v>
      </c>
      <c r="AL187" s="18">
        <f ca="1">IFERROR(TableWeeklySummary[[#This Row],[Utilidad bruta]]/TableWeeklySummary[[#This Row],[Ventas netas con costo registrado]],0)</f>
        <v>0</v>
      </c>
    </row>
    <row r="188" spans="2:38" x14ac:dyDescent="0.2">
      <c r="B188" s="16">
        <f ca="1">_xlfn.ISOWEEKNUM(TableWeeklySummary[[#This Row],[Hasta]])</f>
        <v>17</v>
      </c>
      <c r="C188" s="6">
        <f t="shared" ca="1" si="4"/>
        <v>47228</v>
      </c>
      <c r="D188" s="6">
        <f ca="1">TableWeeklySummary[[#This Row],[Desde]]+7-1</f>
        <v>47234</v>
      </c>
      <c r="E188" s="12">
        <f ca="1">SUMIFS(TableDailySummary[Ventas netas totales],TableDailySummary[Fecha],"&gt;="&amp;TableWeeklySummary[[#This Row],[Desde]],TableDailySummary[Fecha],"&lt;="&amp;TableWeeklySummary[[#This Row],[Hasta]])</f>
        <v>0</v>
      </c>
      <c r="F188" s="12">
        <f ca="1">SUMIFS(TableDailySummary[Órdenes totales],TableDailySummary[Fecha],"&gt;="&amp;TableWeeklySummary[[#This Row],[Desde]],TableDailySummary[Fecha],"&lt;="&amp;TableWeeklySummary[[#This Row],[Hasta]])</f>
        <v>0</v>
      </c>
      <c r="G188" s="12">
        <f ca="1">IFERROR(TableWeeklySummary[[#This Row],[Ventas netas totales]]/TableWeeklySummary[[#This Row],[Órdenes totales]],0)</f>
        <v>0</v>
      </c>
      <c r="H18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88" s="12">
        <f ca="1">TableWeeklySummary[[#This Row],[Órden promedio totales]]*TableWeeklySummary[[#This Row],[CR totales]]</f>
        <v>0</v>
      </c>
      <c r="J188" s="12">
        <f ca="1">SUMIFS(TableDailySummary[Ventas primer cliente],TableDailySummary[Fecha],"&gt;="&amp;TableWeeklySummary[[#This Row],[Desde]],TableDailySummary[Fecha],"&lt;="&amp;TableWeeklySummary[[#This Row],[Hasta]])</f>
        <v>0</v>
      </c>
      <c r="K188" s="12">
        <f ca="1">SUMIFS(TableDailySummary[Órdenes primer cliente],TableDailySummary[Fecha],"&gt;="&amp;TableWeeklySummary[[#This Row],[Desde]],TableDailySummary[Fecha],"&lt;="&amp;TableWeeklySummary[[#This Row],[Hasta]])</f>
        <v>0</v>
      </c>
      <c r="L188" s="12">
        <f ca="1">SUMIFS(TableDailySummary[Online Store_net_sales],TableDailySummary[Fecha],"&gt;="&amp;TableWeeklySummary[[#This Row],[Desde]],TableDailySummary[Fecha],"&lt;="&amp;TableWeeklySummary[[#This Row],[Hasta]])</f>
        <v>0</v>
      </c>
      <c r="M188" s="12">
        <f ca="1">SUMIFS(TableDailySummary[Online Store_orders],TableDailySummary[Fecha],"&gt;="&amp;TableWeeklySummary[[#This Row],[Desde]],TableDailySummary[Fecha],"&lt;="&amp;TableWeeklySummary[[#This Row],[Hasta]])</f>
        <v>0</v>
      </c>
      <c r="N188" s="12">
        <f ca="1">SUMIFS(TableDailySummary[Tienda 81_net_sales],TableDailySummary[Fecha],"&gt;="&amp;TableWeeklySummary[[#This Row],[Desde]],TableDailySummary[Fecha],"&lt;="&amp;TableWeeklySummary[[#This Row],[Hasta]])</f>
        <v>0</v>
      </c>
      <c r="O188" s="12">
        <f ca="1">SUMIFS(TableDailySummary[Tienda 81_orders],TableDailySummary[Fecha],"&gt;="&amp;TableWeeklySummary[[#This Row],[Desde]],TableDailySummary[Fecha],"&lt;="&amp;TableWeeklySummary[[#This Row],[Hasta]])</f>
        <v>0</v>
      </c>
      <c r="P188" s="12">
        <f ca="1">SUMIFS(TableDailySummary[Rappi_net_sales],TableDailySummary[Fecha],"&gt;="&amp;TableWeeklySummary[[#This Row],[Desde]],TableDailySummary[Fecha],"&lt;="&amp;TableWeeklySummary[[#This Row],[Hasta]])</f>
        <v>0</v>
      </c>
      <c r="Q188" s="12">
        <f ca="1">SUMIFS(TableDailySummary[Rappi_orders],TableDailySummary[Fecha],"&gt;="&amp;TableWeeklySummary[[#This Row],[Desde]],TableDailySummary[Fecha],"&lt;="&amp;TableWeeklySummary[[#This Row],[Hasta]])</f>
        <v>0</v>
      </c>
      <c r="R18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8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88" s="12">
        <f ca="1">SUMIFS(TableDailySummary[Inversión google ads],TableDailySummary[Fecha],"&gt;="&amp;TableWeeklySummary[[#This Row],[Desde]],TableDailySummary[Fecha],"&lt;="&amp;TableWeeklySummary[[#This Row],[Hasta]])</f>
        <v>0</v>
      </c>
      <c r="U188" s="12">
        <f ca="1">SUMIFS(TableDailySummary[Ventas google ads],TableDailySummary[Fecha],"&gt;="&amp;TableWeeklySummary[[#This Row],[Desde]],TableDailySummary[Fecha],"&lt;="&amp;TableWeeklySummary[[#This Row],[Hasta]])</f>
        <v>0</v>
      </c>
      <c r="V188" s="12">
        <f ca="1">SUMIFS(TableDailySummary[Inversión meta ads],TableDailySummary[Fecha],"&gt;="&amp;TableWeeklySummary[[#This Row],[Desde]],TableDailySummary[Fecha],"&lt;="&amp;TableWeeklySummary[[#This Row],[Hasta]])</f>
        <v>0</v>
      </c>
      <c r="W188" s="12">
        <f ca="1">SUMIFS(TableDailySummary[Ventas meta ads],TableDailySummary[Fecha],"&gt;="&amp;TableWeeklySummary[[#This Row],[Desde]],TableDailySummary[Fecha],"&lt;="&amp;TableWeeklySummary[[#This Row],[Hasta]])</f>
        <v>0</v>
      </c>
      <c r="X188" s="12">
        <f ca="1">TableWeeklySummary[[#This Row],[Inversión google ads]]+TableWeeklySummary[[#This Row],[Inversión meta ads]]</f>
        <v>0</v>
      </c>
      <c r="Y188" s="12">
        <f ca="1">TableWeeklySummary[[#This Row],[Ventas google ads]]+TableWeeklySummary[[#This Row],[Ventas meta ads]]</f>
        <v>0</v>
      </c>
      <c r="Z188" s="14">
        <f ca="1">IFERROR(TableWeeklySummary[[#This Row],[Ventas publicidad]]/TableWeeklySummary[[#This Row],[Inversión publicidad]],0)</f>
        <v>0</v>
      </c>
      <c r="AA188" s="14">
        <f ca="1">IFERROR(TableWeeklySummary[[#This Row],[Ventas primer cliente]]/TableWeeklySummary[[#This Row],[Inversión publicidad]],0)</f>
        <v>0</v>
      </c>
      <c r="AB188" s="14"/>
      <c r="AC188" s="12"/>
      <c r="AI18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8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88" s="12">
        <f ca="1">SUMIFS(TableDailySummary[Utilidad bruta],TableDailySummary[Fecha],"&gt;="&amp;TableWeeklySummary[[#This Row],[Desde]],TableDailySummary[Fecha],"&lt;="&amp;TableWeeklySummary[[#This Row],[Hasta]])</f>
        <v>0</v>
      </c>
      <c r="AL188" s="18">
        <f ca="1">IFERROR(TableWeeklySummary[[#This Row],[Utilidad bruta]]/TableWeeklySummary[[#This Row],[Ventas netas con costo registrado]],0)</f>
        <v>0</v>
      </c>
    </row>
    <row r="189" spans="2:38" x14ac:dyDescent="0.2">
      <c r="B189" s="16">
        <f ca="1">_xlfn.ISOWEEKNUM(TableWeeklySummary[[#This Row],[Hasta]])</f>
        <v>18</v>
      </c>
      <c r="C189" s="6">
        <f t="shared" ca="1" si="4"/>
        <v>47235</v>
      </c>
      <c r="D189" s="6">
        <f ca="1">TableWeeklySummary[[#This Row],[Desde]]+7-1</f>
        <v>47241</v>
      </c>
      <c r="E189" s="12">
        <f ca="1">SUMIFS(TableDailySummary[Ventas netas totales],TableDailySummary[Fecha],"&gt;="&amp;TableWeeklySummary[[#This Row],[Desde]],TableDailySummary[Fecha],"&lt;="&amp;TableWeeklySummary[[#This Row],[Hasta]])</f>
        <v>0</v>
      </c>
      <c r="F189" s="12">
        <f ca="1">SUMIFS(TableDailySummary[Órdenes totales],TableDailySummary[Fecha],"&gt;="&amp;TableWeeklySummary[[#This Row],[Desde]],TableDailySummary[Fecha],"&lt;="&amp;TableWeeklySummary[[#This Row],[Hasta]])</f>
        <v>0</v>
      </c>
      <c r="G189" s="12">
        <f ca="1">IFERROR(TableWeeklySummary[[#This Row],[Ventas netas totales]]/TableWeeklySummary[[#This Row],[Órdenes totales]],0)</f>
        <v>0</v>
      </c>
      <c r="H18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89" s="12">
        <f ca="1">TableWeeklySummary[[#This Row],[Órden promedio totales]]*TableWeeklySummary[[#This Row],[CR totales]]</f>
        <v>0</v>
      </c>
      <c r="J189" s="12">
        <f ca="1">SUMIFS(TableDailySummary[Ventas primer cliente],TableDailySummary[Fecha],"&gt;="&amp;TableWeeklySummary[[#This Row],[Desde]],TableDailySummary[Fecha],"&lt;="&amp;TableWeeklySummary[[#This Row],[Hasta]])</f>
        <v>0</v>
      </c>
      <c r="K189" s="12">
        <f ca="1">SUMIFS(TableDailySummary[Órdenes primer cliente],TableDailySummary[Fecha],"&gt;="&amp;TableWeeklySummary[[#This Row],[Desde]],TableDailySummary[Fecha],"&lt;="&amp;TableWeeklySummary[[#This Row],[Hasta]])</f>
        <v>0</v>
      </c>
      <c r="L189" s="12">
        <f ca="1">SUMIFS(TableDailySummary[Online Store_net_sales],TableDailySummary[Fecha],"&gt;="&amp;TableWeeklySummary[[#This Row],[Desde]],TableDailySummary[Fecha],"&lt;="&amp;TableWeeklySummary[[#This Row],[Hasta]])</f>
        <v>0</v>
      </c>
      <c r="M189" s="12">
        <f ca="1">SUMIFS(TableDailySummary[Online Store_orders],TableDailySummary[Fecha],"&gt;="&amp;TableWeeklySummary[[#This Row],[Desde]],TableDailySummary[Fecha],"&lt;="&amp;TableWeeklySummary[[#This Row],[Hasta]])</f>
        <v>0</v>
      </c>
      <c r="N189" s="12">
        <f ca="1">SUMIFS(TableDailySummary[Tienda 81_net_sales],TableDailySummary[Fecha],"&gt;="&amp;TableWeeklySummary[[#This Row],[Desde]],TableDailySummary[Fecha],"&lt;="&amp;TableWeeklySummary[[#This Row],[Hasta]])</f>
        <v>0</v>
      </c>
      <c r="O189" s="12">
        <f ca="1">SUMIFS(TableDailySummary[Tienda 81_orders],TableDailySummary[Fecha],"&gt;="&amp;TableWeeklySummary[[#This Row],[Desde]],TableDailySummary[Fecha],"&lt;="&amp;TableWeeklySummary[[#This Row],[Hasta]])</f>
        <v>0</v>
      </c>
      <c r="P189" s="12">
        <f ca="1">SUMIFS(TableDailySummary[Rappi_net_sales],TableDailySummary[Fecha],"&gt;="&amp;TableWeeklySummary[[#This Row],[Desde]],TableDailySummary[Fecha],"&lt;="&amp;TableWeeklySummary[[#This Row],[Hasta]])</f>
        <v>0</v>
      </c>
      <c r="Q189" s="12">
        <f ca="1">SUMIFS(TableDailySummary[Rappi_orders],TableDailySummary[Fecha],"&gt;="&amp;TableWeeklySummary[[#This Row],[Desde]],TableDailySummary[Fecha],"&lt;="&amp;TableWeeklySummary[[#This Row],[Hasta]])</f>
        <v>0</v>
      </c>
      <c r="R18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8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89" s="12">
        <f ca="1">SUMIFS(TableDailySummary[Inversión google ads],TableDailySummary[Fecha],"&gt;="&amp;TableWeeklySummary[[#This Row],[Desde]],TableDailySummary[Fecha],"&lt;="&amp;TableWeeklySummary[[#This Row],[Hasta]])</f>
        <v>0</v>
      </c>
      <c r="U189" s="12">
        <f ca="1">SUMIFS(TableDailySummary[Ventas google ads],TableDailySummary[Fecha],"&gt;="&amp;TableWeeklySummary[[#This Row],[Desde]],TableDailySummary[Fecha],"&lt;="&amp;TableWeeklySummary[[#This Row],[Hasta]])</f>
        <v>0</v>
      </c>
      <c r="V189" s="12">
        <f ca="1">SUMIFS(TableDailySummary[Inversión meta ads],TableDailySummary[Fecha],"&gt;="&amp;TableWeeklySummary[[#This Row],[Desde]],TableDailySummary[Fecha],"&lt;="&amp;TableWeeklySummary[[#This Row],[Hasta]])</f>
        <v>0</v>
      </c>
      <c r="W189" s="12">
        <f ca="1">SUMIFS(TableDailySummary[Ventas meta ads],TableDailySummary[Fecha],"&gt;="&amp;TableWeeklySummary[[#This Row],[Desde]],TableDailySummary[Fecha],"&lt;="&amp;TableWeeklySummary[[#This Row],[Hasta]])</f>
        <v>0</v>
      </c>
      <c r="X189" s="12">
        <f ca="1">TableWeeklySummary[[#This Row],[Inversión google ads]]+TableWeeklySummary[[#This Row],[Inversión meta ads]]</f>
        <v>0</v>
      </c>
      <c r="Y189" s="12">
        <f ca="1">TableWeeklySummary[[#This Row],[Ventas google ads]]+TableWeeklySummary[[#This Row],[Ventas meta ads]]</f>
        <v>0</v>
      </c>
      <c r="Z189" s="14">
        <f ca="1">IFERROR(TableWeeklySummary[[#This Row],[Ventas publicidad]]/TableWeeklySummary[[#This Row],[Inversión publicidad]],0)</f>
        <v>0</v>
      </c>
      <c r="AA189" s="14">
        <f ca="1">IFERROR(TableWeeklySummary[[#This Row],[Ventas primer cliente]]/TableWeeklySummary[[#This Row],[Inversión publicidad]],0)</f>
        <v>0</v>
      </c>
      <c r="AB189" s="14"/>
      <c r="AC189" s="12"/>
      <c r="AI18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8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89" s="12">
        <f ca="1">SUMIFS(TableDailySummary[Utilidad bruta],TableDailySummary[Fecha],"&gt;="&amp;TableWeeklySummary[[#This Row],[Desde]],TableDailySummary[Fecha],"&lt;="&amp;TableWeeklySummary[[#This Row],[Hasta]])</f>
        <v>0</v>
      </c>
      <c r="AL189" s="18">
        <f ca="1">IFERROR(TableWeeklySummary[[#This Row],[Utilidad bruta]]/TableWeeklySummary[[#This Row],[Ventas netas con costo registrado]],0)</f>
        <v>0</v>
      </c>
    </row>
    <row r="190" spans="2:38" x14ac:dyDescent="0.2">
      <c r="B190" s="16">
        <f ca="1">_xlfn.ISOWEEKNUM(TableWeeklySummary[[#This Row],[Hasta]])</f>
        <v>19</v>
      </c>
      <c r="C190" s="6">
        <f t="shared" ca="1" si="4"/>
        <v>47242</v>
      </c>
      <c r="D190" s="6">
        <f ca="1">TableWeeklySummary[[#This Row],[Desde]]+7-1</f>
        <v>47248</v>
      </c>
      <c r="E190" s="12">
        <f ca="1">SUMIFS(TableDailySummary[Ventas netas totales],TableDailySummary[Fecha],"&gt;="&amp;TableWeeklySummary[[#This Row],[Desde]],TableDailySummary[Fecha],"&lt;="&amp;TableWeeklySummary[[#This Row],[Hasta]])</f>
        <v>0</v>
      </c>
      <c r="F190" s="12">
        <f ca="1">SUMIFS(TableDailySummary[Órdenes totales],TableDailySummary[Fecha],"&gt;="&amp;TableWeeklySummary[[#This Row],[Desde]],TableDailySummary[Fecha],"&lt;="&amp;TableWeeklySummary[[#This Row],[Hasta]])</f>
        <v>0</v>
      </c>
      <c r="G190" s="12">
        <f ca="1">IFERROR(TableWeeklySummary[[#This Row],[Ventas netas totales]]/TableWeeklySummary[[#This Row],[Órdenes totales]],0)</f>
        <v>0</v>
      </c>
      <c r="H19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90" s="12">
        <f ca="1">TableWeeklySummary[[#This Row],[Órden promedio totales]]*TableWeeklySummary[[#This Row],[CR totales]]</f>
        <v>0</v>
      </c>
      <c r="J190" s="12">
        <f ca="1">SUMIFS(TableDailySummary[Ventas primer cliente],TableDailySummary[Fecha],"&gt;="&amp;TableWeeklySummary[[#This Row],[Desde]],TableDailySummary[Fecha],"&lt;="&amp;TableWeeklySummary[[#This Row],[Hasta]])</f>
        <v>0</v>
      </c>
      <c r="K190" s="12">
        <f ca="1">SUMIFS(TableDailySummary[Órdenes primer cliente],TableDailySummary[Fecha],"&gt;="&amp;TableWeeklySummary[[#This Row],[Desde]],TableDailySummary[Fecha],"&lt;="&amp;TableWeeklySummary[[#This Row],[Hasta]])</f>
        <v>0</v>
      </c>
      <c r="L190" s="12">
        <f ca="1">SUMIFS(TableDailySummary[Online Store_net_sales],TableDailySummary[Fecha],"&gt;="&amp;TableWeeklySummary[[#This Row],[Desde]],TableDailySummary[Fecha],"&lt;="&amp;TableWeeklySummary[[#This Row],[Hasta]])</f>
        <v>0</v>
      </c>
      <c r="M190" s="12">
        <f ca="1">SUMIFS(TableDailySummary[Online Store_orders],TableDailySummary[Fecha],"&gt;="&amp;TableWeeklySummary[[#This Row],[Desde]],TableDailySummary[Fecha],"&lt;="&amp;TableWeeklySummary[[#This Row],[Hasta]])</f>
        <v>0</v>
      </c>
      <c r="N190" s="12">
        <f ca="1">SUMIFS(TableDailySummary[Tienda 81_net_sales],TableDailySummary[Fecha],"&gt;="&amp;TableWeeklySummary[[#This Row],[Desde]],TableDailySummary[Fecha],"&lt;="&amp;TableWeeklySummary[[#This Row],[Hasta]])</f>
        <v>0</v>
      </c>
      <c r="O190" s="12">
        <f ca="1">SUMIFS(TableDailySummary[Tienda 81_orders],TableDailySummary[Fecha],"&gt;="&amp;TableWeeklySummary[[#This Row],[Desde]],TableDailySummary[Fecha],"&lt;="&amp;TableWeeklySummary[[#This Row],[Hasta]])</f>
        <v>0</v>
      </c>
      <c r="P190" s="12">
        <f ca="1">SUMIFS(TableDailySummary[Rappi_net_sales],TableDailySummary[Fecha],"&gt;="&amp;TableWeeklySummary[[#This Row],[Desde]],TableDailySummary[Fecha],"&lt;="&amp;TableWeeklySummary[[#This Row],[Hasta]])</f>
        <v>0</v>
      </c>
      <c r="Q190" s="12">
        <f ca="1">SUMIFS(TableDailySummary[Rappi_orders],TableDailySummary[Fecha],"&gt;="&amp;TableWeeklySummary[[#This Row],[Desde]],TableDailySummary[Fecha],"&lt;="&amp;TableWeeklySummary[[#This Row],[Hasta]])</f>
        <v>0</v>
      </c>
      <c r="R19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9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90" s="12">
        <f ca="1">SUMIFS(TableDailySummary[Inversión google ads],TableDailySummary[Fecha],"&gt;="&amp;TableWeeklySummary[[#This Row],[Desde]],TableDailySummary[Fecha],"&lt;="&amp;TableWeeklySummary[[#This Row],[Hasta]])</f>
        <v>0</v>
      </c>
      <c r="U190" s="12">
        <f ca="1">SUMIFS(TableDailySummary[Ventas google ads],TableDailySummary[Fecha],"&gt;="&amp;TableWeeklySummary[[#This Row],[Desde]],TableDailySummary[Fecha],"&lt;="&amp;TableWeeklySummary[[#This Row],[Hasta]])</f>
        <v>0</v>
      </c>
      <c r="V190" s="12">
        <f ca="1">SUMIFS(TableDailySummary[Inversión meta ads],TableDailySummary[Fecha],"&gt;="&amp;TableWeeklySummary[[#This Row],[Desde]],TableDailySummary[Fecha],"&lt;="&amp;TableWeeklySummary[[#This Row],[Hasta]])</f>
        <v>0</v>
      </c>
      <c r="W190" s="12">
        <f ca="1">SUMIFS(TableDailySummary[Ventas meta ads],TableDailySummary[Fecha],"&gt;="&amp;TableWeeklySummary[[#This Row],[Desde]],TableDailySummary[Fecha],"&lt;="&amp;TableWeeklySummary[[#This Row],[Hasta]])</f>
        <v>0</v>
      </c>
      <c r="X190" s="12">
        <f ca="1">TableWeeklySummary[[#This Row],[Inversión google ads]]+TableWeeklySummary[[#This Row],[Inversión meta ads]]</f>
        <v>0</v>
      </c>
      <c r="Y190" s="12">
        <f ca="1">TableWeeklySummary[[#This Row],[Ventas google ads]]+TableWeeklySummary[[#This Row],[Ventas meta ads]]</f>
        <v>0</v>
      </c>
      <c r="Z190" s="14">
        <f ca="1">IFERROR(TableWeeklySummary[[#This Row],[Ventas publicidad]]/TableWeeklySummary[[#This Row],[Inversión publicidad]],0)</f>
        <v>0</v>
      </c>
      <c r="AA190" s="14">
        <f ca="1">IFERROR(TableWeeklySummary[[#This Row],[Ventas primer cliente]]/TableWeeklySummary[[#This Row],[Inversión publicidad]],0)</f>
        <v>0</v>
      </c>
      <c r="AB190" s="14"/>
      <c r="AC190" s="12"/>
      <c r="AI19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9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90" s="12">
        <f ca="1">SUMIFS(TableDailySummary[Utilidad bruta],TableDailySummary[Fecha],"&gt;="&amp;TableWeeklySummary[[#This Row],[Desde]],TableDailySummary[Fecha],"&lt;="&amp;TableWeeklySummary[[#This Row],[Hasta]])</f>
        <v>0</v>
      </c>
      <c r="AL190" s="18">
        <f ca="1">IFERROR(TableWeeklySummary[[#This Row],[Utilidad bruta]]/TableWeeklySummary[[#This Row],[Ventas netas con costo registrado]],0)</f>
        <v>0</v>
      </c>
    </row>
    <row r="191" spans="2:38" x14ac:dyDescent="0.2">
      <c r="B191" s="16">
        <f ca="1">_xlfn.ISOWEEKNUM(TableWeeklySummary[[#This Row],[Hasta]])</f>
        <v>20</v>
      </c>
      <c r="C191" s="6">
        <f t="shared" ca="1" si="4"/>
        <v>47249</v>
      </c>
      <c r="D191" s="6">
        <f ca="1">TableWeeklySummary[[#This Row],[Desde]]+7-1</f>
        <v>47255</v>
      </c>
      <c r="E191" s="12">
        <f ca="1">SUMIFS(TableDailySummary[Ventas netas totales],TableDailySummary[Fecha],"&gt;="&amp;TableWeeklySummary[[#This Row],[Desde]],TableDailySummary[Fecha],"&lt;="&amp;TableWeeklySummary[[#This Row],[Hasta]])</f>
        <v>0</v>
      </c>
      <c r="F191" s="12">
        <f ca="1">SUMIFS(TableDailySummary[Órdenes totales],TableDailySummary[Fecha],"&gt;="&amp;TableWeeklySummary[[#This Row],[Desde]],TableDailySummary[Fecha],"&lt;="&amp;TableWeeklySummary[[#This Row],[Hasta]])</f>
        <v>0</v>
      </c>
      <c r="G191" s="12">
        <f ca="1">IFERROR(TableWeeklySummary[[#This Row],[Ventas netas totales]]/TableWeeklySummary[[#This Row],[Órdenes totales]],0)</f>
        <v>0</v>
      </c>
      <c r="H19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91" s="12">
        <f ca="1">TableWeeklySummary[[#This Row],[Órden promedio totales]]*TableWeeklySummary[[#This Row],[CR totales]]</f>
        <v>0</v>
      </c>
      <c r="J191" s="12">
        <f ca="1">SUMIFS(TableDailySummary[Ventas primer cliente],TableDailySummary[Fecha],"&gt;="&amp;TableWeeklySummary[[#This Row],[Desde]],TableDailySummary[Fecha],"&lt;="&amp;TableWeeklySummary[[#This Row],[Hasta]])</f>
        <v>0</v>
      </c>
      <c r="K191" s="12">
        <f ca="1">SUMIFS(TableDailySummary[Órdenes primer cliente],TableDailySummary[Fecha],"&gt;="&amp;TableWeeklySummary[[#This Row],[Desde]],TableDailySummary[Fecha],"&lt;="&amp;TableWeeklySummary[[#This Row],[Hasta]])</f>
        <v>0</v>
      </c>
      <c r="L191" s="12">
        <f ca="1">SUMIFS(TableDailySummary[Online Store_net_sales],TableDailySummary[Fecha],"&gt;="&amp;TableWeeklySummary[[#This Row],[Desde]],TableDailySummary[Fecha],"&lt;="&amp;TableWeeklySummary[[#This Row],[Hasta]])</f>
        <v>0</v>
      </c>
      <c r="M191" s="12">
        <f ca="1">SUMIFS(TableDailySummary[Online Store_orders],TableDailySummary[Fecha],"&gt;="&amp;TableWeeklySummary[[#This Row],[Desde]],TableDailySummary[Fecha],"&lt;="&amp;TableWeeklySummary[[#This Row],[Hasta]])</f>
        <v>0</v>
      </c>
      <c r="N191" s="12">
        <f ca="1">SUMIFS(TableDailySummary[Tienda 81_net_sales],TableDailySummary[Fecha],"&gt;="&amp;TableWeeklySummary[[#This Row],[Desde]],TableDailySummary[Fecha],"&lt;="&amp;TableWeeklySummary[[#This Row],[Hasta]])</f>
        <v>0</v>
      </c>
      <c r="O191" s="12">
        <f ca="1">SUMIFS(TableDailySummary[Tienda 81_orders],TableDailySummary[Fecha],"&gt;="&amp;TableWeeklySummary[[#This Row],[Desde]],TableDailySummary[Fecha],"&lt;="&amp;TableWeeklySummary[[#This Row],[Hasta]])</f>
        <v>0</v>
      </c>
      <c r="P191" s="12">
        <f ca="1">SUMIFS(TableDailySummary[Rappi_net_sales],TableDailySummary[Fecha],"&gt;="&amp;TableWeeklySummary[[#This Row],[Desde]],TableDailySummary[Fecha],"&lt;="&amp;TableWeeklySummary[[#This Row],[Hasta]])</f>
        <v>0</v>
      </c>
      <c r="Q191" s="12">
        <f ca="1">SUMIFS(TableDailySummary[Rappi_orders],TableDailySummary[Fecha],"&gt;="&amp;TableWeeklySummary[[#This Row],[Desde]],TableDailySummary[Fecha],"&lt;="&amp;TableWeeklySummary[[#This Row],[Hasta]])</f>
        <v>0</v>
      </c>
      <c r="R19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9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91" s="12">
        <f ca="1">SUMIFS(TableDailySummary[Inversión google ads],TableDailySummary[Fecha],"&gt;="&amp;TableWeeklySummary[[#This Row],[Desde]],TableDailySummary[Fecha],"&lt;="&amp;TableWeeklySummary[[#This Row],[Hasta]])</f>
        <v>0</v>
      </c>
      <c r="U191" s="12">
        <f ca="1">SUMIFS(TableDailySummary[Ventas google ads],TableDailySummary[Fecha],"&gt;="&amp;TableWeeklySummary[[#This Row],[Desde]],TableDailySummary[Fecha],"&lt;="&amp;TableWeeklySummary[[#This Row],[Hasta]])</f>
        <v>0</v>
      </c>
      <c r="V191" s="12">
        <f ca="1">SUMIFS(TableDailySummary[Inversión meta ads],TableDailySummary[Fecha],"&gt;="&amp;TableWeeklySummary[[#This Row],[Desde]],TableDailySummary[Fecha],"&lt;="&amp;TableWeeklySummary[[#This Row],[Hasta]])</f>
        <v>0</v>
      </c>
      <c r="W191" s="12">
        <f ca="1">SUMIFS(TableDailySummary[Ventas meta ads],TableDailySummary[Fecha],"&gt;="&amp;TableWeeklySummary[[#This Row],[Desde]],TableDailySummary[Fecha],"&lt;="&amp;TableWeeklySummary[[#This Row],[Hasta]])</f>
        <v>0</v>
      </c>
      <c r="X191" s="12">
        <f ca="1">TableWeeklySummary[[#This Row],[Inversión google ads]]+TableWeeklySummary[[#This Row],[Inversión meta ads]]</f>
        <v>0</v>
      </c>
      <c r="Y191" s="12">
        <f ca="1">TableWeeklySummary[[#This Row],[Ventas google ads]]+TableWeeklySummary[[#This Row],[Ventas meta ads]]</f>
        <v>0</v>
      </c>
      <c r="Z191" s="14">
        <f ca="1">IFERROR(TableWeeklySummary[[#This Row],[Ventas publicidad]]/TableWeeklySummary[[#This Row],[Inversión publicidad]],0)</f>
        <v>0</v>
      </c>
      <c r="AA191" s="14">
        <f ca="1">IFERROR(TableWeeklySummary[[#This Row],[Ventas primer cliente]]/TableWeeklySummary[[#This Row],[Inversión publicidad]],0)</f>
        <v>0</v>
      </c>
      <c r="AB191" s="14"/>
      <c r="AC191" s="12"/>
      <c r="AI19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9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91" s="12">
        <f ca="1">SUMIFS(TableDailySummary[Utilidad bruta],TableDailySummary[Fecha],"&gt;="&amp;TableWeeklySummary[[#This Row],[Desde]],TableDailySummary[Fecha],"&lt;="&amp;TableWeeklySummary[[#This Row],[Hasta]])</f>
        <v>0</v>
      </c>
      <c r="AL191" s="18">
        <f ca="1">IFERROR(TableWeeklySummary[[#This Row],[Utilidad bruta]]/TableWeeklySummary[[#This Row],[Ventas netas con costo registrado]],0)</f>
        <v>0</v>
      </c>
    </row>
    <row r="192" spans="2:38" x14ac:dyDescent="0.2">
      <c r="B192" s="16">
        <f ca="1">_xlfn.ISOWEEKNUM(TableWeeklySummary[[#This Row],[Hasta]])</f>
        <v>21</v>
      </c>
      <c r="C192" s="6">
        <f t="shared" ref="C192:C255" ca="1" si="5">_xlfn.LET(
    _xlpm.fechaini, ParamFechaInicioReporte,
    _xlpm.start_friday, IF(WEEKDAY(_xlpm.fechaini, 1) = 6, _xlpm.fechaini, _xlpm.fechaini - MOD(WEEKDAY(_xlpm.fechaini, 1) + 1, 7)),
    IF(ROW()=8, _xlpm.start_friday, C191 + 7)
)</f>
        <v>47256</v>
      </c>
      <c r="D192" s="6">
        <f ca="1">TableWeeklySummary[[#This Row],[Desde]]+7-1</f>
        <v>47262</v>
      </c>
      <c r="E192" s="12">
        <f ca="1">SUMIFS(TableDailySummary[Ventas netas totales],TableDailySummary[Fecha],"&gt;="&amp;TableWeeklySummary[[#This Row],[Desde]],TableDailySummary[Fecha],"&lt;="&amp;TableWeeklySummary[[#This Row],[Hasta]])</f>
        <v>0</v>
      </c>
      <c r="F192" s="12">
        <f ca="1">SUMIFS(TableDailySummary[Órdenes totales],TableDailySummary[Fecha],"&gt;="&amp;TableWeeklySummary[[#This Row],[Desde]],TableDailySummary[Fecha],"&lt;="&amp;TableWeeklySummary[[#This Row],[Hasta]])</f>
        <v>0</v>
      </c>
      <c r="G192" s="12">
        <f ca="1">IFERROR(TableWeeklySummary[[#This Row],[Ventas netas totales]]/TableWeeklySummary[[#This Row],[Órdenes totales]],0)</f>
        <v>0</v>
      </c>
      <c r="H19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92" s="12">
        <f ca="1">TableWeeklySummary[[#This Row],[Órden promedio totales]]*TableWeeklySummary[[#This Row],[CR totales]]</f>
        <v>0</v>
      </c>
      <c r="J192" s="12">
        <f ca="1">SUMIFS(TableDailySummary[Ventas primer cliente],TableDailySummary[Fecha],"&gt;="&amp;TableWeeklySummary[[#This Row],[Desde]],TableDailySummary[Fecha],"&lt;="&amp;TableWeeklySummary[[#This Row],[Hasta]])</f>
        <v>0</v>
      </c>
      <c r="K192" s="12">
        <f ca="1">SUMIFS(TableDailySummary[Órdenes primer cliente],TableDailySummary[Fecha],"&gt;="&amp;TableWeeklySummary[[#This Row],[Desde]],TableDailySummary[Fecha],"&lt;="&amp;TableWeeklySummary[[#This Row],[Hasta]])</f>
        <v>0</v>
      </c>
      <c r="L192" s="12">
        <f ca="1">SUMIFS(TableDailySummary[Online Store_net_sales],TableDailySummary[Fecha],"&gt;="&amp;TableWeeklySummary[[#This Row],[Desde]],TableDailySummary[Fecha],"&lt;="&amp;TableWeeklySummary[[#This Row],[Hasta]])</f>
        <v>0</v>
      </c>
      <c r="M192" s="12">
        <f ca="1">SUMIFS(TableDailySummary[Online Store_orders],TableDailySummary[Fecha],"&gt;="&amp;TableWeeklySummary[[#This Row],[Desde]],TableDailySummary[Fecha],"&lt;="&amp;TableWeeklySummary[[#This Row],[Hasta]])</f>
        <v>0</v>
      </c>
      <c r="N192" s="12">
        <f ca="1">SUMIFS(TableDailySummary[Tienda 81_net_sales],TableDailySummary[Fecha],"&gt;="&amp;TableWeeklySummary[[#This Row],[Desde]],TableDailySummary[Fecha],"&lt;="&amp;TableWeeklySummary[[#This Row],[Hasta]])</f>
        <v>0</v>
      </c>
      <c r="O192" s="12">
        <f ca="1">SUMIFS(TableDailySummary[Tienda 81_orders],TableDailySummary[Fecha],"&gt;="&amp;TableWeeklySummary[[#This Row],[Desde]],TableDailySummary[Fecha],"&lt;="&amp;TableWeeklySummary[[#This Row],[Hasta]])</f>
        <v>0</v>
      </c>
      <c r="P192" s="12">
        <f ca="1">SUMIFS(TableDailySummary[Rappi_net_sales],TableDailySummary[Fecha],"&gt;="&amp;TableWeeklySummary[[#This Row],[Desde]],TableDailySummary[Fecha],"&lt;="&amp;TableWeeklySummary[[#This Row],[Hasta]])</f>
        <v>0</v>
      </c>
      <c r="Q192" s="12">
        <f ca="1">SUMIFS(TableDailySummary[Rappi_orders],TableDailySummary[Fecha],"&gt;="&amp;TableWeeklySummary[[#This Row],[Desde]],TableDailySummary[Fecha],"&lt;="&amp;TableWeeklySummary[[#This Row],[Hasta]])</f>
        <v>0</v>
      </c>
      <c r="R19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9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92" s="12">
        <f ca="1">SUMIFS(TableDailySummary[Inversión google ads],TableDailySummary[Fecha],"&gt;="&amp;TableWeeklySummary[[#This Row],[Desde]],TableDailySummary[Fecha],"&lt;="&amp;TableWeeklySummary[[#This Row],[Hasta]])</f>
        <v>0</v>
      </c>
      <c r="U192" s="12">
        <f ca="1">SUMIFS(TableDailySummary[Ventas google ads],TableDailySummary[Fecha],"&gt;="&amp;TableWeeklySummary[[#This Row],[Desde]],TableDailySummary[Fecha],"&lt;="&amp;TableWeeklySummary[[#This Row],[Hasta]])</f>
        <v>0</v>
      </c>
      <c r="V192" s="12">
        <f ca="1">SUMIFS(TableDailySummary[Inversión meta ads],TableDailySummary[Fecha],"&gt;="&amp;TableWeeklySummary[[#This Row],[Desde]],TableDailySummary[Fecha],"&lt;="&amp;TableWeeklySummary[[#This Row],[Hasta]])</f>
        <v>0</v>
      </c>
      <c r="W192" s="12">
        <f ca="1">SUMIFS(TableDailySummary[Ventas meta ads],TableDailySummary[Fecha],"&gt;="&amp;TableWeeklySummary[[#This Row],[Desde]],TableDailySummary[Fecha],"&lt;="&amp;TableWeeklySummary[[#This Row],[Hasta]])</f>
        <v>0</v>
      </c>
      <c r="X192" s="12">
        <f ca="1">TableWeeklySummary[[#This Row],[Inversión google ads]]+TableWeeklySummary[[#This Row],[Inversión meta ads]]</f>
        <v>0</v>
      </c>
      <c r="Y192" s="12">
        <f ca="1">TableWeeklySummary[[#This Row],[Ventas google ads]]+TableWeeklySummary[[#This Row],[Ventas meta ads]]</f>
        <v>0</v>
      </c>
      <c r="Z192" s="14">
        <f ca="1">IFERROR(TableWeeklySummary[[#This Row],[Ventas publicidad]]/TableWeeklySummary[[#This Row],[Inversión publicidad]],0)</f>
        <v>0</v>
      </c>
      <c r="AA192" s="14">
        <f ca="1">IFERROR(TableWeeklySummary[[#This Row],[Ventas primer cliente]]/TableWeeklySummary[[#This Row],[Inversión publicidad]],0)</f>
        <v>0</v>
      </c>
      <c r="AB192" s="14"/>
      <c r="AC192" s="12"/>
      <c r="AI19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9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92" s="12">
        <f ca="1">SUMIFS(TableDailySummary[Utilidad bruta],TableDailySummary[Fecha],"&gt;="&amp;TableWeeklySummary[[#This Row],[Desde]],TableDailySummary[Fecha],"&lt;="&amp;TableWeeklySummary[[#This Row],[Hasta]])</f>
        <v>0</v>
      </c>
      <c r="AL192" s="18">
        <f ca="1">IFERROR(TableWeeklySummary[[#This Row],[Utilidad bruta]]/TableWeeklySummary[[#This Row],[Ventas netas con costo registrado]],0)</f>
        <v>0</v>
      </c>
    </row>
    <row r="193" spans="2:38" x14ac:dyDescent="0.2">
      <c r="B193" s="16">
        <f ca="1">_xlfn.ISOWEEKNUM(TableWeeklySummary[[#This Row],[Hasta]])</f>
        <v>22</v>
      </c>
      <c r="C193" s="6">
        <f t="shared" ca="1" si="5"/>
        <v>47263</v>
      </c>
      <c r="D193" s="6">
        <f ca="1">TableWeeklySummary[[#This Row],[Desde]]+7-1</f>
        <v>47269</v>
      </c>
      <c r="E193" s="12">
        <f ca="1">SUMIFS(TableDailySummary[Ventas netas totales],TableDailySummary[Fecha],"&gt;="&amp;TableWeeklySummary[[#This Row],[Desde]],TableDailySummary[Fecha],"&lt;="&amp;TableWeeklySummary[[#This Row],[Hasta]])</f>
        <v>0</v>
      </c>
      <c r="F193" s="12">
        <f ca="1">SUMIFS(TableDailySummary[Órdenes totales],TableDailySummary[Fecha],"&gt;="&amp;TableWeeklySummary[[#This Row],[Desde]],TableDailySummary[Fecha],"&lt;="&amp;TableWeeklySummary[[#This Row],[Hasta]])</f>
        <v>0</v>
      </c>
      <c r="G193" s="12">
        <f ca="1">IFERROR(TableWeeklySummary[[#This Row],[Ventas netas totales]]/TableWeeklySummary[[#This Row],[Órdenes totales]],0)</f>
        <v>0</v>
      </c>
      <c r="H19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93" s="12">
        <f ca="1">TableWeeklySummary[[#This Row],[Órden promedio totales]]*TableWeeklySummary[[#This Row],[CR totales]]</f>
        <v>0</v>
      </c>
      <c r="J193" s="12">
        <f ca="1">SUMIFS(TableDailySummary[Ventas primer cliente],TableDailySummary[Fecha],"&gt;="&amp;TableWeeklySummary[[#This Row],[Desde]],TableDailySummary[Fecha],"&lt;="&amp;TableWeeklySummary[[#This Row],[Hasta]])</f>
        <v>0</v>
      </c>
      <c r="K193" s="12">
        <f ca="1">SUMIFS(TableDailySummary[Órdenes primer cliente],TableDailySummary[Fecha],"&gt;="&amp;TableWeeklySummary[[#This Row],[Desde]],TableDailySummary[Fecha],"&lt;="&amp;TableWeeklySummary[[#This Row],[Hasta]])</f>
        <v>0</v>
      </c>
      <c r="L193" s="12">
        <f ca="1">SUMIFS(TableDailySummary[Online Store_net_sales],TableDailySummary[Fecha],"&gt;="&amp;TableWeeklySummary[[#This Row],[Desde]],TableDailySummary[Fecha],"&lt;="&amp;TableWeeklySummary[[#This Row],[Hasta]])</f>
        <v>0</v>
      </c>
      <c r="M193" s="12">
        <f ca="1">SUMIFS(TableDailySummary[Online Store_orders],TableDailySummary[Fecha],"&gt;="&amp;TableWeeklySummary[[#This Row],[Desde]],TableDailySummary[Fecha],"&lt;="&amp;TableWeeklySummary[[#This Row],[Hasta]])</f>
        <v>0</v>
      </c>
      <c r="N193" s="12">
        <f ca="1">SUMIFS(TableDailySummary[Tienda 81_net_sales],TableDailySummary[Fecha],"&gt;="&amp;TableWeeklySummary[[#This Row],[Desde]],TableDailySummary[Fecha],"&lt;="&amp;TableWeeklySummary[[#This Row],[Hasta]])</f>
        <v>0</v>
      </c>
      <c r="O193" s="12">
        <f ca="1">SUMIFS(TableDailySummary[Tienda 81_orders],TableDailySummary[Fecha],"&gt;="&amp;TableWeeklySummary[[#This Row],[Desde]],TableDailySummary[Fecha],"&lt;="&amp;TableWeeklySummary[[#This Row],[Hasta]])</f>
        <v>0</v>
      </c>
      <c r="P193" s="12">
        <f ca="1">SUMIFS(TableDailySummary[Rappi_net_sales],TableDailySummary[Fecha],"&gt;="&amp;TableWeeklySummary[[#This Row],[Desde]],TableDailySummary[Fecha],"&lt;="&amp;TableWeeklySummary[[#This Row],[Hasta]])</f>
        <v>0</v>
      </c>
      <c r="Q193" s="12">
        <f ca="1">SUMIFS(TableDailySummary[Rappi_orders],TableDailySummary[Fecha],"&gt;="&amp;TableWeeklySummary[[#This Row],[Desde]],TableDailySummary[Fecha],"&lt;="&amp;TableWeeklySummary[[#This Row],[Hasta]])</f>
        <v>0</v>
      </c>
      <c r="R19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9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93" s="12">
        <f ca="1">SUMIFS(TableDailySummary[Inversión google ads],TableDailySummary[Fecha],"&gt;="&amp;TableWeeklySummary[[#This Row],[Desde]],TableDailySummary[Fecha],"&lt;="&amp;TableWeeklySummary[[#This Row],[Hasta]])</f>
        <v>0</v>
      </c>
      <c r="U193" s="12">
        <f ca="1">SUMIFS(TableDailySummary[Ventas google ads],TableDailySummary[Fecha],"&gt;="&amp;TableWeeklySummary[[#This Row],[Desde]],TableDailySummary[Fecha],"&lt;="&amp;TableWeeklySummary[[#This Row],[Hasta]])</f>
        <v>0</v>
      </c>
      <c r="V193" s="12">
        <f ca="1">SUMIFS(TableDailySummary[Inversión meta ads],TableDailySummary[Fecha],"&gt;="&amp;TableWeeklySummary[[#This Row],[Desde]],TableDailySummary[Fecha],"&lt;="&amp;TableWeeklySummary[[#This Row],[Hasta]])</f>
        <v>0</v>
      </c>
      <c r="W193" s="12">
        <f ca="1">SUMIFS(TableDailySummary[Ventas meta ads],TableDailySummary[Fecha],"&gt;="&amp;TableWeeklySummary[[#This Row],[Desde]],TableDailySummary[Fecha],"&lt;="&amp;TableWeeklySummary[[#This Row],[Hasta]])</f>
        <v>0</v>
      </c>
      <c r="X193" s="12">
        <f ca="1">TableWeeklySummary[[#This Row],[Inversión google ads]]+TableWeeklySummary[[#This Row],[Inversión meta ads]]</f>
        <v>0</v>
      </c>
      <c r="Y193" s="12">
        <f ca="1">TableWeeklySummary[[#This Row],[Ventas google ads]]+TableWeeklySummary[[#This Row],[Ventas meta ads]]</f>
        <v>0</v>
      </c>
      <c r="Z193" s="14">
        <f ca="1">IFERROR(TableWeeklySummary[[#This Row],[Ventas publicidad]]/TableWeeklySummary[[#This Row],[Inversión publicidad]],0)</f>
        <v>0</v>
      </c>
      <c r="AA193" s="14">
        <f ca="1">IFERROR(TableWeeklySummary[[#This Row],[Ventas primer cliente]]/TableWeeklySummary[[#This Row],[Inversión publicidad]],0)</f>
        <v>0</v>
      </c>
      <c r="AB193" s="14"/>
      <c r="AC193" s="12"/>
      <c r="AI19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9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93" s="12">
        <f ca="1">SUMIFS(TableDailySummary[Utilidad bruta],TableDailySummary[Fecha],"&gt;="&amp;TableWeeklySummary[[#This Row],[Desde]],TableDailySummary[Fecha],"&lt;="&amp;TableWeeklySummary[[#This Row],[Hasta]])</f>
        <v>0</v>
      </c>
      <c r="AL193" s="18">
        <f ca="1">IFERROR(TableWeeklySummary[[#This Row],[Utilidad bruta]]/TableWeeklySummary[[#This Row],[Ventas netas con costo registrado]],0)</f>
        <v>0</v>
      </c>
    </row>
    <row r="194" spans="2:38" x14ac:dyDescent="0.2">
      <c r="B194" s="16">
        <f ca="1">_xlfn.ISOWEEKNUM(TableWeeklySummary[[#This Row],[Hasta]])</f>
        <v>23</v>
      </c>
      <c r="C194" s="6">
        <f t="shared" ca="1" si="5"/>
        <v>47270</v>
      </c>
      <c r="D194" s="6">
        <f ca="1">TableWeeklySummary[[#This Row],[Desde]]+7-1</f>
        <v>47276</v>
      </c>
      <c r="E194" s="12">
        <f ca="1">SUMIFS(TableDailySummary[Ventas netas totales],TableDailySummary[Fecha],"&gt;="&amp;TableWeeklySummary[[#This Row],[Desde]],TableDailySummary[Fecha],"&lt;="&amp;TableWeeklySummary[[#This Row],[Hasta]])</f>
        <v>0</v>
      </c>
      <c r="F194" s="12">
        <f ca="1">SUMIFS(TableDailySummary[Órdenes totales],TableDailySummary[Fecha],"&gt;="&amp;TableWeeklySummary[[#This Row],[Desde]],TableDailySummary[Fecha],"&lt;="&amp;TableWeeklySummary[[#This Row],[Hasta]])</f>
        <v>0</v>
      </c>
      <c r="G194" s="12">
        <f ca="1">IFERROR(TableWeeklySummary[[#This Row],[Ventas netas totales]]/TableWeeklySummary[[#This Row],[Órdenes totales]],0)</f>
        <v>0</v>
      </c>
      <c r="H19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94" s="12">
        <f ca="1">TableWeeklySummary[[#This Row],[Órden promedio totales]]*TableWeeklySummary[[#This Row],[CR totales]]</f>
        <v>0</v>
      </c>
      <c r="J194" s="12">
        <f ca="1">SUMIFS(TableDailySummary[Ventas primer cliente],TableDailySummary[Fecha],"&gt;="&amp;TableWeeklySummary[[#This Row],[Desde]],TableDailySummary[Fecha],"&lt;="&amp;TableWeeklySummary[[#This Row],[Hasta]])</f>
        <v>0</v>
      </c>
      <c r="K194" s="12">
        <f ca="1">SUMIFS(TableDailySummary[Órdenes primer cliente],TableDailySummary[Fecha],"&gt;="&amp;TableWeeklySummary[[#This Row],[Desde]],TableDailySummary[Fecha],"&lt;="&amp;TableWeeklySummary[[#This Row],[Hasta]])</f>
        <v>0</v>
      </c>
      <c r="L194" s="12">
        <f ca="1">SUMIFS(TableDailySummary[Online Store_net_sales],TableDailySummary[Fecha],"&gt;="&amp;TableWeeklySummary[[#This Row],[Desde]],TableDailySummary[Fecha],"&lt;="&amp;TableWeeklySummary[[#This Row],[Hasta]])</f>
        <v>0</v>
      </c>
      <c r="M194" s="12">
        <f ca="1">SUMIFS(TableDailySummary[Online Store_orders],TableDailySummary[Fecha],"&gt;="&amp;TableWeeklySummary[[#This Row],[Desde]],TableDailySummary[Fecha],"&lt;="&amp;TableWeeklySummary[[#This Row],[Hasta]])</f>
        <v>0</v>
      </c>
      <c r="N194" s="12">
        <f ca="1">SUMIFS(TableDailySummary[Tienda 81_net_sales],TableDailySummary[Fecha],"&gt;="&amp;TableWeeklySummary[[#This Row],[Desde]],TableDailySummary[Fecha],"&lt;="&amp;TableWeeklySummary[[#This Row],[Hasta]])</f>
        <v>0</v>
      </c>
      <c r="O194" s="12">
        <f ca="1">SUMIFS(TableDailySummary[Tienda 81_orders],TableDailySummary[Fecha],"&gt;="&amp;TableWeeklySummary[[#This Row],[Desde]],TableDailySummary[Fecha],"&lt;="&amp;TableWeeklySummary[[#This Row],[Hasta]])</f>
        <v>0</v>
      </c>
      <c r="P194" s="12">
        <f ca="1">SUMIFS(TableDailySummary[Rappi_net_sales],TableDailySummary[Fecha],"&gt;="&amp;TableWeeklySummary[[#This Row],[Desde]],TableDailySummary[Fecha],"&lt;="&amp;TableWeeklySummary[[#This Row],[Hasta]])</f>
        <v>0</v>
      </c>
      <c r="Q194" s="12">
        <f ca="1">SUMIFS(TableDailySummary[Rappi_orders],TableDailySummary[Fecha],"&gt;="&amp;TableWeeklySummary[[#This Row],[Desde]],TableDailySummary[Fecha],"&lt;="&amp;TableWeeklySummary[[#This Row],[Hasta]])</f>
        <v>0</v>
      </c>
      <c r="R19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9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94" s="12">
        <f ca="1">SUMIFS(TableDailySummary[Inversión google ads],TableDailySummary[Fecha],"&gt;="&amp;TableWeeklySummary[[#This Row],[Desde]],TableDailySummary[Fecha],"&lt;="&amp;TableWeeklySummary[[#This Row],[Hasta]])</f>
        <v>0</v>
      </c>
      <c r="U194" s="12">
        <f ca="1">SUMIFS(TableDailySummary[Ventas google ads],TableDailySummary[Fecha],"&gt;="&amp;TableWeeklySummary[[#This Row],[Desde]],TableDailySummary[Fecha],"&lt;="&amp;TableWeeklySummary[[#This Row],[Hasta]])</f>
        <v>0</v>
      </c>
      <c r="V194" s="12">
        <f ca="1">SUMIFS(TableDailySummary[Inversión meta ads],TableDailySummary[Fecha],"&gt;="&amp;TableWeeklySummary[[#This Row],[Desde]],TableDailySummary[Fecha],"&lt;="&amp;TableWeeklySummary[[#This Row],[Hasta]])</f>
        <v>0</v>
      </c>
      <c r="W194" s="12">
        <f ca="1">SUMIFS(TableDailySummary[Ventas meta ads],TableDailySummary[Fecha],"&gt;="&amp;TableWeeklySummary[[#This Row],[Desde]],TableDailySummary[Fecha],"&lt;="&amp;TableWeeklySummary[[#This Row],[Hasta]])</f>
        <v>0</v>
      </c>
      <c r="X194" s="12">
        <f ca="1">TableWeeklySummary[[#This Row],[Inversión google ads]]+TableWeeklySummary[[#This Row],[Inversión meta ads]]</f>
        <v>0</v>
      </c>
      <c r="Y194" s="12">
        <f ca="1">TableWeeklySummary[[#This Row],[Ventas google ads]]+TableWeeklySummary[[#This Row],[Ventas meta ads]]</f>
        <v>0</v>
      </c>
      <c r="Z194" s="14">
        <f ca="1">IFERROR(TableWeeklySummary[[#This Row],[Ventas publicidad]]/TableWeeklySummary[[#This Row],[Inversión publicidad]],0)</f>
        <v>0</v>
      </c>
      <c r="AA194" s="14">
        <f ca="1">IFERROR(TableWeeklySummary[[#This Row],[Ventas primer cliente]]/TableWeeklySummary[[#This Row],[Inversión publicidad]],0)</f>
        <v>0</v>
      </c>
      <c r="AB194" s="14"/>
      <c r="AC194" s="12"/>
      <c r="AI19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9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94" s="12">
        <f ca="1">SUMIFS(TableDailySummary[Utilidad bruta],TableDailySummary[Fecha],"&gt;="&amp;TableWeeklySummary[[#This Row],[Desde]],TableDailySummary[Fecha],"&lt;="&amp;TableWeeklySummary[[#This Row],[Hasta]])</f>
        <v>0</v>
      </c>
      <c r="AL194" s="18">
        <f ca="1">IFERROR(TableWeeklySummary[[#This Row],[Utilidad bruta]]/TableWeeklySummary[[#This Row],[Ventas netas con costo registrado]],0)</f>
        <v>0</v>
      </c>
    </row>
    <row r="195" spans="2:38" x14ac:dyDescent="0.2">
      <c r="B195" s="16">
        <f ca="1">_xlfn.ISOWEEKNUM(TableWeeklySummary[[#This Row],[Hasta]])</f>
        <v>24</v>
      </c>
      <c r="C195" s="6">
        <f t="shared" ca="1" si="5"/>
        <v>47277</v>
      </c>
      <c r="D195" s="6">
        <f ca="1">TableWeeklySummary[[#This Row],[Desde]]+7-1</f>
        <v>47283</v>
      </c>
      <c r="E195" s="12">
        <f ca="1">SUMIFS(TableDailySummary[Ventas netas totales],TableDailySummary[Fecha],"&gt;="&amp;TableWeeklySummary[[#This Row],[Desde]],TableDailySummary[Fecha],"&lt;="&amp;TableWeeklySummary[[#This Row],[Hasta]])</f>
        <v>0</v>
      </c>
      <c r="F195" s="12">
        <f ca="1">SUMIFS(TableDailySummary[Órdenes totales],TableDailySummary[Fecha],"&gt;="&amp;TableWeeklySummary[[#This Row],[Desde]],TableDailySummary[Fecha],"&lt;="&amp;TableWeeklySummary[[#This Row],[Hasta]])</f>
        <v>0</v>
      </c>
      <c r="G195" s="12">
        <f ca="1">IFERROR(TableWeeklySummary[[#This Row],[Ventas netas totales]]/TableWeeklySummary[[#This Row],[Órdenes totales]],0)</f>
        <v>0</v>
      </c>
      <c r="H19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95" s="12">
        <f ca="1">TableWeeklySummary[[#This Row],[Órden promedio totales]]*TableWeeklySummary[[#This Row],[CR totales]]</f>
        <v>0</v>
      </c>
      <c r="J195" s="12">
        <f ca="1">SUMIFS(TableDailySummary[Ventas primer cliente],TableDailySummary[Fecha],"&gt;="&amp;TableWeeklySummary[[#This Row],[Desde]],TableDailySummary[Fecha],"&lt;="&amp;TableWeeklySummary[[#This Row],[Hasta]])</f>
        <v>0</v>
      </c>
      <c r="K195" s="12">
        <f ca="1">SUMIFS(TableDailySummary[Órdenes primer cliente],TableDailySummary[Fecha],"&gt;="&amp;TableWeeklySummary[[#This Row],[Desde]],TableDailySummary[Fecha],"&lt;="&amp;TableWeeklySummary[[#This Row],[Hasta]])</f>
        <v>0</v>
      </c>
      <c r="L195" s="12">
        <f ca="1">SUMIFS(TableDailySummary[Online Store_net_sales],TableDailySummary[Fecha],"&gt;="&amp;TableWeeklySummary[[#This Row],[Desde]],TableDailySummary[Fecha],"&lt;="&amp;TableWeeklySummary[[#This Row],[Hasta]])</f>
        <v>0</v>
      </c>
      <c r="M195" s="12">
        <f ca="1">SUMIFS(TableDailySummary[Online Store_orders],TableDailySummary[Fecha],"&gt;="&amp;TableWeeklySummary[[#This Row],[Desde]],TableDailySummary[Fecha],"&lt;="&amp;TableWeeklySummary[[#This Row],[Hasta]])</f>
        <v>0</v>
      </c>
      <c r="N195" s="12">
        <f ca="1">SUMIFS(TableDailySummary[Tienda 81_net_sales],TableDailySummary[Fecha],"&gt;="&amp;TableWeeklySummary[[#This Row],[Desde]],TableDailySummary[Fecha],"&lt;="&amp;TableWeeklySummary[[#This Row],[Hasta]])</f>
        <v>0</v>
      </c>
      <c r="O195" s="12">
        <f ca="1">SUMIFS(TableDailySummary[Tienda 81_orders],TableDailySummary[Fecha],"&gt;="&amp;TableWeeklySummary[[#This Row],[Desde]],TableDailySummary[Fecha],"&lt;="&amp;TableWeeklySummary[[#This Row],[Hasta]])</f>
        <v>0</v>
      </c>
      <c r="P195" s="12">
        <f ca="1">SUMIFS(TableDailySummary[Rappi_net_sales],TableDailySummary[Fecha],"&gt;="&amp;TableWeeklySummary[[#This Row],[Desde]],TableDailySummary[Fecha],"&lt;="&amp;TableWeeklySummary[[#This Row],[Hasta]])</f>
        <v>0</v>
      </c>
      <c r="Q195" s="12">
        <f ca="1">SUMIFS(TableDailySummary[Rappi_orders],TableDailySummary[Fecha],"&gt;="&amp;TableWeeklySummary[[#This Row],[Desde]],TableDailySummary[Fecha],"&lt;="&amp;TableWeeklySummary[[#This Row],[Hasta]])</f>
        <v>0</v>
      </c>
      <c r="R19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9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95" s="12">
        <f ca="1">SUMIFS(TableDailySummary[Inversión google ads],TableDailySummary[Fecha],"&gt;="&amp;TableWeeklySummary[[#This Row],[Desde]],TableDailySummary[Fecha],"&lt;="&amp;TableWeeklySummary[[#This Row],[Hasta]])</f>
        <v>0</v>
      </c>
      <c r="U195" s="12">
        <f ca="1">SUMIFS(TableDailySummary[Ventas google ads],TableDailySummary[Fecha],"&gt;="&amp;TableWeeklySummary[[#This Row],[Desde]],TableDailySummary[Fecha],"&lt;="&amp;TableWeeklySummary[[#This Row],[Hasta]])</f>
        <v>0</v>
      </c>
      <c r="V195" s="12">
        <f ca="1">SUMIFS(TableDailySummary[Inversión meta ads],TableDailySummary[Fecha],"&gt;="&amp;TableWeeklySummary[[#This Row],[Desde]],TableDailySummary[Fecha],"&lt;="&amp;TableWeeklySummary[[#This Row],[Hasta]])</f>
        <v>0</v>
      </c>
      <c r="W195" s="12">
        <f ca="1">SUMIFS(TableDailySummary[Ventas meta ads],TableDailySummary[Fecha],"&gt;="&amp;TableWeeklySummary[[#This Row],[Desde]],TableDailySummary[Fecha],"&lt;="&amp;TableWeeklySummary[[#This Row],[Hasta]])</f>
        <v>0</v>
      </c>
      <c r="X195" s="12">
        <f ca="1">TableWeeklySummary[[#This Row],[Inversión google ads]]+TableWeeklySummary[[#This Row],[Inversión meta ads]]</f>
        <v>0</v>
      </c>
      <c r="Y195" s="12">
        <f ca="1">TableWeeklySummary[[#This Row],[Ventas google ads]]+TableWeeklySummary[[#This Row],[Ventas meta ads]]</f>
        <v>0</v>
      </c>
      <c r="Z195" s="14">
        <f ca="1">IFERROR(TableWeeklySummary[[#This Row],[Ventas publicidad]]/TableWeeklySummary[[#This Row],[Inversión publicidad]],0)</f>
        <v>0</v>
      </c>
      <c r="AA195" s="14">
        <f ca="1">IFERROR(TableWeeklySummary[[#This Row],[Ventas primer cliente]]/TableWeeklySummary[[#This Row],[Inversión publicidad]],0)</f>
        <v>0</v>
      </c>
      <c r="AB195" s="14"/>
      <c r="AC195" s="12"/>
      <c r="AI19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9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95" s="12">
        <f ca="1">SUMIFS(TableDailySummary[Utilidad bruta],TableDailySummary[Fecha],"&gt;="&amp;TableWeeklySummary[[#This Row],[Desde]],TableDailySummary[Fecha],"&lt;="&amp;TableWeeklySummary[[#This Row],[Hasta]])</f>
        <v>0</v>
      </c>
      <c r="AL195" s="18">
        <f ca="1">IFERROR(TableWeeklySummary[[#This Row],[Utilidad bruta]]/TableWeeklySummary[[#This Row],[Ventas netas con costo registrado]],0)</f>
        <v>0</v>
      </c>
    </row>
    <row r="196" spans="2:38" x14ac:dyDescent="0.2">
      <c r="B196" s="16">
        <f ca="1">_xlfn.ISOWEEKNUM(TableWeeklySummary[[#This Row],[Hasta]])</f>
        <v>25</v>
      </c>
      <c r="C196" s="6">
        <f t="shared" ca="1" si="5"/>
        <v>47284</v>
      </c>
      <c r="D196" s="6">
        <f ca="1">TableWeeklySummary[[#This Row],[Desde]]+7-1</f>
        <v>47290</v>
      </c>
      <c r="E196" s="12">
        <f ca="1">SUMIFS(TableDailySummary[Ventas netas totales],TableDailySummary[Fecha],"&gt;="&amp;TableWeeklySummary[[#This Row],[Desde]],TableDailySummary[Fecha],"&lt;="&amp;TableWeeklySummary[[#This Row],[Hasta]])</f>
        <v>0</v>
      </c>
      <c r="F196" s="12">
        <f ca="1">SUMIFS(TableDailySummary[Órdenes totales],TableDailySummary[Fecha],"&gt;="&amp;TableWeeklySummary[[#This Row],[Desde]],TableDailySummary[Fecha],"&lt;="&amp;TableWeeklySummary[[#This Row],[Hasta]])</f>
        <v>0</v>
      </c>
      <c r="G196" s="12">
        <f ca="1">IFERROR(TableWeeklySummary[[#This Row],[Ventas netas totales]]/TableWeeklySummary[[#This Row],[Órdenes totales]],0)</f>
        <v>0</v>
      </c>
      <c r="H19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96" s="12">
        <f ca="1">TableWeeklySummary[[#This Row],[Órden promedio totales]]*TableWeeklySummary[[#This Row],[CR totales]]</f>
        <v>0</v>
      </c>
      <c r="J196" s="12">
        <f ca="1">SUMIFS(TableDailySummary[Ventas primer cliente],TableDailySummary[Fecha],"&gt;="&amp;TableWeeklySummary[[#This Row],[Desde]],TableDailySummary[Fecha],"&lt;="&amp;TableWeeklySummary[[#This Row],[Hasta]])</f>
        <v>0</v>
      </c>
      <c r="K196" s="12">
        <f ca="1">SUMIFS(TableDailySummary[Órdenes primer cliente],TableDailySummary[Fecha],"&gt;="&amp;TableWeeklySummary[[#This Row],[Desde]],TableDailySummary[Fecha],"&lt;="&amp;TableWeeklySummary[[#This Row],[Hasta]])</f>
        <v>0</v>
      </c>
      <c r="L196" s="12">
        <f ca="1">SUMIFS(TableDailySummary[Online Store_net_sales],TableDailySummary[Fecha],"&gt;="&amp;TableWeeklySummary[[#This Row],[Desde]],TableDailySummary[Fecha],"&lt;="&amp;TableWeeklySummary[[#This Row],[Hasta]])</f>
        <v>0</v>
      </c>
      <c r="M196" s="12">
        <f ca="1">SUMIFS(TableDailySummary[Online Store_orders],TableDailySummary[Fecha],"&gt;="&amp;TableWeeklySummary[[#This Row],[Desde]],TableDailySummary[Fecha],"&lt;="&amp;TableWeeklySummary[[#This Row],[Hasta]])</f>
        <v>0</v>
      </c>
      <c r="N196" s="12">
        <f ca="1">SUMIFS(TableDailySummary[Tienda 81_net_sales],TableDailySummary[Fecha],"&gt;="&amp;TableWeeklySummary[[#This Row],[Desde]],TableDailySummary[Fecha],"&lt;="&amp;TableWeeklySummary[[#This Row],[Hasta]])</f>
        <v>0</v>
      </c>
      <c r="O196" s="12">
        <f ca="1">SUMIFS(TableDailySummary[Tienda 81_orders],TableDailySummary[Fecha],"&gt;="&amp;TableWeeklySummary[[#This Row],[Desde]],TableDailySummary[Fecha],"&lt;="&amp;TableWeeklySummary[[#This Row],[Hasta]])</f>
        <v>0</v>
      </c>
      <c r="P196" s="12">
        <f ca="1">SUMIFS(TableDailySummary[Rappi_net_sales],TableDailySummary[Fecha],"&gt;="&amp;TableWeeklySummary[[#This Row],[Desde]],TableDailySummary[Fecha],"&lt;="&amp;TableWeeklySummary[[#This Row],[Hasta]])</f>
        <v>0</v>
      </c>
      <c r="Q196" s="12">
        <f ca="1">SUMIFS(TableDailySummary[Rappi_orders],TableDailySummary[Fecha],"&gt;="&amp;TableWeeklySummary[[#This Row],[Desde]],TableDailySummary[Fecha],"&lt;="&amp;TableWeeklySummary[[#This Row],[Hasta]])</f>
        <v>0</v>
      </c>
      <c r="R19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9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96" s="12">
        <f ca="1">SUMIFS(TableDailySummary[Inversión google ads],TableDailySummary[Fecha],"&gt;="&amp;TableWeeklySummary[[#This Row],[Desde]],TableDailySummary[Fecha],"&lt;="&amp;TableWeeklySummary[[#This Row],[Hasta]])</f>
        <v>0</v>
      </c>
      <c r="U196" s="12">
        <f ca="1">SUMIFS(TableDailySummary[Ventas google ads],TableDailySummary[Fecha],"&gt;="&amp;TableWeeklySummary[[#This Row],[Desde]],TableDailySummary[Fecha],"&lt;="&amp;TableWeeklySummary[[#This Row],[Hasta]])</f>
        <v>0</v>
      </c>
      <c r="V196" s="12">
        <f ca="1">SUMIFS(TableDailySummary[Inversión meta ads],TableDailySummary[Fecha],"&gt;="&amp;TableWeeklySummary[[#This Row],[Desde]],TableDailySummary[Fecha],"&lt;="&amp;TableWeeklySummary[[#This Row],[Hasta]])</f>
        <v>0</v>
      </c>
      <c r="W196" s="12">
        <f ca="1">SUMIFS(TableDailySummary[Ventas meta ads],TableDailySummary[Fecha],"&gt;="&amp;TableWeeklySummary[[#This Row],[Desde]],TableDailySummary[Fecha],"&lt;="&amp;TableWeeklySummary[[#This Row],[Hasta]])</f>
        <v>0</v>
      </c>
      <c r="X196" s="12">
        <f ca="1">TableWeeklySummary[[#This Row],[Inversión google ads]]+TableWeeklySummary[[#This Row],[Inversión meta ads]]</f>
        <v>0</v>
      </c>
      <c r="Y196" s="12">
        <f ca="1">TableWeeklySummary[[#This Row],[Ventas google ads]]+TableWeeklySummary[[#This Row],[Ventas meta ads]]</f>
        <v>0</v>
      </c>
      <c r="Z196" s="14">
        <f ca="1">IFERROR(TableWeeklySummary[[#This Row],[Ventas publicidad]]/TableWeeklySummary[[#This Row],[Inversión publicidad]],0)</f>
        <v>0</v>
      </c>
      <c r="AA196" s="14">
        <f ca="1">IFERROR(TableWeeklySummary[[#This Row],[Ventas primer cliente]]/TableWeeklySummary[[#This Row],[Inversión publicidad]],0)</f>
        <v>0</v>
      </c>
      <c r="AB196" s="14"/>
      <c r="AC196" s="12"/>
      <c r="AI19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9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96" s="12">
        <f ca="1">SUMIFS(TableDailySummary[Utilidad bruta],TableDailySummary[Fecha],"&gt;="&amp;TableWeeklySummary[[#This Row],[Desde]],TableDailySummary[Fecha],"&lt;="&amp;TableWeeklySummary[[#This Row],[Hasta]])</f>
        <v>0</v>
      </c>
      <c r="AL196" s="18">
        <f ca="1">IFERROR(TableWeeklySummary[[#This Row],[Utilidad bruta]]/TableWeeklySummary[[#This Row],[Ventas netas con costo registrado]],0)</f>
        <v>0</v>
      </c>
    </row>
    <row r="197" spans="2:38" x14ac:dyDescent="0.2">
      <c r="B197" s="16">
        <f ca="1">_xlfn.ISOWEEKNUM(TableWeeklySummary[[#This Row],[Hasta]])</f>
        <v>26</v>
      </c>
      <c r="C197" s="6">
        <f t="shared" ca="1" si="5"/>
        <v>47291</v>
      </c>
      <c r="D197" s="6">
        <f ca="1">TableWeeklySummary[[#This Row],[Desde]]+7-1</f>
        <v>47297</v>
      </c>
      <c r="E197" s="12">
        <f ca="1">SUMIFS(TableDailySummary[Ventas netas totales],TableDailySummary[Fecha],"&gt;="&amp;TableWeeklySummary[[#This Row],[Desde]],TableDailySummary[Fecha],"&lt;="&amp;TableWeeklySummary[[#This Row],[Hasta]])</f>
        <v>0</v>
      </c>
      <c r="F197" s="12">
        <f ca="1">SUMIFS(TableDailySummary[Órdenes totales],TableDailySummary[Fecha],"&gt;="&amp;TableWeeklySummary[[#This Row],[Desde]],TableDailySummary[Fecha],"&lt;="&amp;TableWeeklySummary[[#This Row],[Hasta]])</f>
        <v>0</v>
      </c>
      <c r="G197" s="12">
        <f ca="1">IFERROR(TableWeeklySummary[[#This Row],[Ventas netas totales]]/TableWeeklySummary[[#This Row],[Órdenes totales]],0)</f>
        <v>0</v>
      </c>
      <c r="H19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97" s="12">
        <f ca="1">TableWeeklySummary[[#This Row],[Órden promedio totales]]*TableWeeklySummary[[#This Row],[CR totales]]</f>
        <v>0</v>
      </c>
      <c r="J197" s="12">
        <f ca="1">SUMIFS(TableDailySummary[Ventas primer cliente],TableDailySummary[Fecha],"&gt;="&amp;TableWeeklySummary[[#This Row],[Desde]],TableDailySummary[Fecha],"&lt;="&amp;TableWeeklySummary[[#This Row],[Hasta]])</f>
        <v>0</v>
      </c>
      <c r="K197" s="12">
        <f ca="1">SUMIFS(TableDailySummary[Órdenes primer cliente],TableDailySummary[Fecha],"&gt;="&amp;TableWeeklySummary[[#This Row],[Desde]],TableDailySummary[Fecha],"&lt;="&amp;TableWeeklySummary[[#This Row],[Hasta]])</f>
        <v>0</v>
      </c>
      <c r="L197" s="12">
        <f ca="1">SUMIFS(TableDailySummary[Online Store_net_sales],TableDailySummary[Fecha],"&gt;="&amp;TableWeeklySummary[[#This Row],[Desde]],TableDailySummary[Fecha],"&lt;="&amp;TableWeeklySummary[[#This Row],[Hasta]])</f>
        <v>0</v>
      </c>
      <c r="M197" s="12">
        <f ca="1">SUMIFS(TableDailySummary[Online Store_orders],TableDailySummary[Fecha],"&gt;="&amp;TableWeeklySummary[[#This Row],[Desde]],TableDailySummary[Fecha],"&lt;="&amp;TableWeeklySummary[[#This Row],[Hasta]])</f>
        <v>0</v>
      </c>
      <c r="N197" s="12">
        <f ca="1">SUMIFS(TableDailySummary[Tienda 81_net_sales],TableDailySummary[Fecha],"&gt;="&amp;TableWeeklySummary[[#This Row],[Desde]],TableDailySummary[Fecha],"&lt;="&amp;TableWeeklySummary[[#This Row],[Hasta]])</f>
        <v>0</v>
      </c>
      <c r="O197" s="12">
        <f ca="1">SUMIFS(TableDailySummary[Tienda 81_orders],TableDailySummary[Fecha],"&gt;="&amp;TableWeeklySummary[[#This Row],[Desde]],TableDailySummary[Fecha],"&lt;="&amp;TableWeeklySummary[[#This Row],[Hasta]])</f>
        <v>0</v>
      </c>
      <c r="P197" s="12">
        <f ca="1">SUMIFS(TableDailySummary[Rappi_net_sales],TableDailySummary[Fecha],"&gt;="&amp;TableWeeklySummary[[#This Row],[Desde]],TableDailySummary[Fecha],"&lt;="&amp;TableWeeklySummary[[#This Row],[Hasta]])</f>
        <v>0</v>
      </c>
      <c r="Q197" s="12">
        <f ca="1">SUMIFS(TableDailySummary[Rappi_orders],TableDailySummary[Fecha],"&gt;="&amp;TableWeeklySummary[[#This Row],[Desde]],TableDailySummary[Fecha],"&lt;="&amp;TableWeeklySummary[[#This Row],[Hasta]])</f>
        <v>0</v>
      </c>
      <c r="R19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9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97" s="12">
        <f ca="1">SUMIFS(TableDailySummary[Inversión google ads],TableDailySummary[Fecha],"&gt;="&amp;TableWeeklySummary[[#This Row],[Desde]],TableDailySummary[Fecha],"&lt;="&amp;TableWeeklySummary[[#This Row],[Hasta]])</f>
        <v>0</v>
      </c>
      <c r="U197" s="12">
        <f ca="1">SUMIFS(TableDailySummary[Ventas google ads],TableDailySummary[Fecha],"&gt;="&amp;TableWeeklySummary[[#This Row],[Desde]],TableDailySummary[Fecha],"&lt;="&amp;TableWeeklySummary[[#This Row],[Hasta]])</f>
        <v>0</v>
      </c>
      <c r="V197" s="12">
        <f ca="1">SUMIFS(TableDailySummary[Inversión meta ads],TableDailySummary[Fecha],"&gt;="&amp;TableWeeklySummary[[#This Row],[Desde]],TableDailySummary[Fecha],"&lt;="&amp;TableWeeklySummary[[#This Row],[Hasta]])</f>
        <v>0</v>
      </c>
      <c r="W197" s="12">
        <f ca="1">SUMIFS(TableDailySummary[Ventas meta ads],TableDailySummary[Fecha],"&gt;="&amp;TableWeeklySummary[[#This Row],[Desde]],TableDailySummary[Fecha],"&lt;="&amp;TableWeeklySummary[[#This Row],[Hasta]])</f>
        <v>0</v>
      </c>
      <c r="X197" s="12">
        <f ca="1">TableWeeklySummary[[#This Row],[Inversión google ads]]+TableWeeklySummary[[#This Row],[Inversión meta ads]]</f>
        <v>0</v>
      </c>
      <c r="Y197" s="12">
        <f ca="1">TableWeeklySummary[[#This Row],[Ventas google ads]]+TableWeeklySummary[[#This Row],[Ventas meta ads]]</f>
        <v>0</v>
      </c>
      <c r="Z197" s="14">
        <f ca="1">IFERROR(TableWeeklySummary[[#This Row],[Ventas publicidad]]/TableWeeklySummary[[#This Row],[Inversión publicidad]],0)</f>
        <v>0</v>
      </c>
      <c r="AA197" s="14">
        <f ca="1">IFERROR(TableWeeklySummary[[#This Row],[Ventas primer cliente]]/TableWeeklySummary[[#This Row],[Inversión publicidad]],0)</f>
        <v>0</v>
      </c>
      <c r="AB197" s="14"/>
      <c r="AC197" s="12"/>
      <c r="AI19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9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97" s="12">
        <f ca="1">SUMIFS(TableDailySummary[Utilidad bruta],TableDailySummary[Fecha],"&gt;="&amp;TableWeeklySummary[[#This Row],[Desde]],TableDailySummary[Fecha],"&lt;="&amp;TableWeeklySummary[[#This Row],[Hasta]])</f>
        <v>0</v>
      </c>
      <c r="AL197" s="18">
        <f ca="1">IFERROR(TableWeeklySummary[[#This Row],[Utilidad bruta]]/TableWeeklySummary[[#This Row],[Ventas netas con costo registrado]],0)</f>
        <v>0</v>
      </c>
    </row>
    <row r="198" spans="2:38" x14ac:dyDescent="0.2">
      <c r="B198" s="16">
        <f ca="1">_xlfn.ISOWEEKNUM(TableWeeklySummary[[#This Row],[Hasta]])</f>
        <v>27</v>
      </c>
      <c r="C198" s="6">
        <f t="shared" ca="1" si="5"/>
        <v>47298</v>
      </c>
      <c r="D198" s="6">
        <f ca="1">TableWeeklySummary[[#This Row],[Desde]]+7-1</f>
        <v>47304</v>
      </c>
      <c r="E198" s="12">
        <f ca="1">SUMIFS(TableDailySummary[Ventas netas totales],TableDailySummary[Fecha],"&gt;="&amp;TableWeeklySummary[[#This Row],[Desde]],TableDailySummary[Fecha],"&lt;="&amp;TableWeeklySummary[[#This Row],[Hasta]])</f>
        <v>0</v>
      </c>
      <c r="F198" s="12">
        <f ca="1">SUMIFS(TableDailySummary[Órdenes totales],TableDailySummary[Fecha],"&gt;="&amp;TableWeeklySummary[[#This Row],[Desde]],TableDailySummary[Fecha],"&lt;="&amp;TableWeeklySummary[[#This Row],[Hasta]])</f>
        <v>0</v>
      </c>
      <c r="G198" s="12">
        <f ca="1">IFERROR(TableWeeklySummary[[#This Row],[Ventas netas totales]]/TableWeeklySummary[[#This Row],[Órdenes totales]],0)</f>
        <v>0</v>
      </c>
      <c r="H19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98" s="12">
        <f ca="1">TableWeeklySummary[[#This Row],[Órden promedio totales]]*TableWeeklySummary[[#This Row],[CR totales]]</f>
        <v>0</v>
      </c>
      <c r="J198" s="12">
        <f ca="1">SUMIFS(TableDailySummary[Ventas primer cliente],TableDailySummary[Fecha],"&gt;="&amp;TableWeeklySummary[[#This Row],[Desde]],TableDailySummary[Fecha],"&lt;="&amp;TableWeeklySummary[[#This Row],[Hasta]])</f>
        <v>0</v>
      </c>
      <c r="K198" s="12">
        <f ca="1">SUMIFS(TableDailySummary[Órdenes primer cliente],TableDailySummary[Fecha],"&gt;="&amp;TableWeeklySummary[[#This Row],[Desde]],TableDailySummary[Fecha],"&lt;="&amp;TableWeeklySummary[[#This Row],[Hasta]])</f>
        <v>0</v>
      </c>
      <c r="L198" s="12">
        <f ca="1">SUMIFS(TableDailySummary[Online Store_net_sales],TableDailySummary[Fecha],"&gt;="&amp;TableWeeklySummary[[#This Row],[Desde]],TableDailySummary[Fecha],"&lt;="&amp;TableWeeklySummary[[#This Row],[Hasta]])</f>
        <v>0</v>
      </c>
      <c r="M198" s="12">
        <f ca="1">SUMIFS(TableDailySummary[Online Store_orders],TableDailySummary[Fecha],"&gt;="&amp;TableWeeklySummary[[#This Row],[Desde]],TableDailySummary[Fecha],"&lt;="&amp;TableWeeklySummary[[#This Row],[Hasta]])</f>
        <v>0</v>
      </c>
      <c r="N198" s="12">
        <f ca="1">SUMIFS(TableDailySummary[Tienda 81_net_sales],TableDailySummary[Fecha],"&gt;="&amp;TableWeeklySummary[[#This Row],[Desde]],TableDailySummary[Fecha],"&lt;="&amp;TableWeeklySummary[[#This Row],[Hasta]])</f>
        <v>0</v>
      </c>
      <c r="O198" s="12">
        <f ca="1">SUMIFS(TableDailySummary[Tienda 81_orders],TableDailySummary[Fecha],"&gt;="&amp;TableWeeklySummary[[#This Row],[Desde]],TableDailySummary[Fecha],"&lt;="&amp;TableWeeklySummary[[#This Row],[Hasta]])</f>
        <v>0</v>
      </c>
      <c r="P198" s="12">
        <f ca="1">SUMIFS(TableDailySummary[Rappi_net_sales],TableDailySummary[Fecha],"&gt;="&amp;TableWeeklySummary[[#This Row],[Desde]],TableDailySummary[Fecha],"&lt;="&amp;TableWeeklySummary[[#This Row],[Hasta]])</f>
        <v>0</v>
      </c>
      <c r="Q198" s="12">
        <f ca="1">SUMIFS(TableDailySummary[Rappi_orders],TableDailySummary[Fecha],"&gt;="&amp;TableWeeklySummary[[#This Row],[Desde]],TableDailySummary[Fecha],"&lt;="&amp;TableWeeklySummary[[#This Row],[Hasta]])</f>
        <v>0</v>
      </c>
      <c r="R19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9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98" s="12">
        <f ca="1">SUMIFS(TableDailySummary[Inversión google ads],TableDailySummary[Fecha],"&gt;="&amp;TableWeeklySummary[[#This Row],[Desde]],TableDailySummary[Fecha],"&lt;="&amp;TableWeeklySummary[[#This Row],[Hasta]])</f>
        <v>0</v>
      </c>
      <c r="U198" s="12">
        <f ca="1">SUMIFS(TableDailySummary[Ventas google ads],TableDailySummary[Fecha],"&gt;="&amp;TableWeeklySummary[[#This Row],[Desde]],TableDailySummary[Fecha],"&lt;="&amp;TableWeeklySummary[[#This Row],[Hasta]])</f>
        <v>0</v>
      </c>
      <c r="V198" s="12">
        <f ca="1">SUMIFS(TableDailySummary[Inversión meta ads],TableDailySummary[Fecha],"&gt;="&amp;TableWeeklySummary[[#This Row],[Desde]],TableDailySummary[Fecha],"&lt;="&amp;TableWeeklySummary[[#This Row],[Hasta]])</f>
        <v>0</v>
      </c>
      <c r="W198" s="12">
        <f ca="1">SUMIFS(TableDailySummary[Ventas meta ads],TableDailySummary[Fecha],"&gt;="&amp;TableWeeklySummary[[#This Row],[Desde]],TableDailySummary[Fecha],"&lt;="&amp;TableWeeklySummary[[#This Row],[Hasta]])</f>
        <v>0</v>
      </c>
      <c r="X198" s="12">
        <f ca="1">TableWeeklySummary[[#This Row],[Inversión google ads]]+TableWeeklySummary[[#This Row],[Inversión meta ads]]</f>
        <v>0</v>
      </c>
      <c r="Y198" s="12">
        <f ca="1">TableWeeklySummary[[#This Row],[Ventas google ads]]+TableWeeklySummary[[#This Row],[Ventas meta ads]]</f>
        <v>0</v>
      </c>
      <c r="Z198" s="14">
        <f ca="1">IFERROR(TableWeeklySummary[[#This Row],[Ventas publicidad]]/TableWeeklySummary[[#This Row],[Inversión publicidad]],0)</f>
        <v>0</v>
      </c>
      <c r="AA198" s="14">
        <f ca="1">IFERROR(TableWeeklySummary[[#This Row],[Ventas primer cliente]]/TableWeeklySummary[[#This Row],[Inversión publicidad]],0)</f>
        <v>0</v>
      </c>
      <c r="AB198" s="14"/>
      <c r="AC198" s="12"/>
      <c r="AI19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9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98" s="12">
        <f ca="1">SUMIFS(TableDailySummary[Utilidad bruta],TableDailySummary[Fecha],"&gt;="&amp;TableWeeklySummary[[#This Row],[Desde]],TableDailySummary[Fecha],"&lt;="&amp;TableWeeklySummary[[#This Row],[Hasta]])</f>
        <v>0</v>
      </c>
      <c r="AL198" s="18">
        <f ca="1">IFERROR(TableWeeklySummary[[#This Row],[Utilidad bruta]]/TableWeeklySummary[[#This Row],[Ventas netas con costo registrado]],0)</f>
        <v>0</v>
      </c>
    </row>
    <row r="199" spans="2:38" x14ac:dyDescent="0.2">
      <c r="B199" s="16">
        <f ca="1">_xlfn.ISOWEEKNUM(TableWeeklySummary[[#This Row],[Hasta]])</f>
        <v>28</v>
      </c>
      <c r="C199" s="6">
        <f t="shared" ca="1" si="5"/>
        <v>47305</v>
      </c>
      <c r="D199" s="6">
        <f ca="1">TableWeeklySummary[[#This Row],[Desde]]+7-1</f>
        <v>47311</v>
      </c>
      <c r="E199" s="12">
        <f ca="1">SUMIFS(TableDailySummary[Ventas netas totales],TableDailySummary[Fecha],"&gt;="&amp;TableWeeklySummary[[#This Row],[Desde]],TableDailySummary[Fecha],"&lt;="&amp;TableWeeklySummary[[#This Row],[Hasta]])</f>
        <v>0</v>
      </c>
      <c r="F199" s="12">
        <f ca="1">SUMIFS(TableDailySummary[Órdenes totales],TableDailySummary[Fecha],"&gt;="&amp;TableWeeklySummary[[#This Row],[Desde]],TableDailySummary[Fecha],"&lt;="&amp;TableWeeklySummary[[#This Row],[Hasta]])</f>
        <v>0</v>
      </c>
      <c r="G199" s="12">
        <f ca="1">IFERROR(TableWeeklySummary[[#This Row],[Ventas netas totales]]/TableWeeklySummary[[#This Row],[Órdenes totales]],0)</f>
        <v>0</v>
      </c>
      <c r="H19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199" s="12">
        <f ca="1">TableWeeklySummary[[#This Row],[Órden promedio totales]]*TableWeeklySummary[[#This Row],[CR totales]]</f>
        <v>0</v>
      </c>
      <c r="J199" s="12">
        <f ca="1">SUMIFS(TableDailySummary[Ventas primer cliente],TableDailySummary[Fecha],"&gt;="&amp;TableWeeklySummary[[#This Row],[Desde]],TableDailySummary[Fecha],"&lt;="&amp;TableWeeklySummary[[#This Row],[Hasta]])</f>
        <v>0</v>
      </c>
      <c r="K199" s="12">
        <f ca="1">SUMIFS(TableDailySummary[Órdenes primer cliente],TableDailySummary[Fecha],"&gt;="&amp;TableWeeklySummary[[#This Row],[Desde]],TableDailySummary[Fecha],"&lt;="&amp;TableWeeklySummary[[#This Row],[Hasta]])</f>
        <v>0</v>
      </c>
      <c r="L199" s="12">
        <f ca="1">SUMIFS(TableDailySummary[Online Store_net_sales],TableDailySummary[Fecha],"&gt;="&amp;TableWeeklySummary[[#This Row],[Desde]],TableDailySummary[Fecha],"&lt;="&amp;TableWeeklySummary[[#This Row],[Hasta]])</f>
        <v>0</v>
      </c>
      <c r="M199" s="12">
        <f ca="1">SUMIFS(TableDailySummary[Online Store_orders],TableDailySummary[Fecha],"&gt;="&amp;TableWeeklySummary[[#This Row],[Desde]],TableDailySummary[Fecha],"&lt;="&amp;TableWeeklySummary[[#This Row],[Hasta]])</f>
        <v>0</v>
      </c>
      <c r="N199" s="12">
        <f ca="1">SUMIFS(TableDailySummary[Tienda 81_net_sales],TableDailySummary[Fecha],"&gt;="&amp;TableWeeklySummary[[#This Row],[Desde]],TableDailySummary[Fecha],"&lt;="&amp;TableWeeklySummary[[#This Row],[Hasta]])</f>
        <v>0</v>
      </c>
      <c r="O199" s="12">
        <f ca="1">SUMIFS(TableDailySummary[Tienda 81_orders],TableDailySummary[Fecha],"&gt;="&amp;TableWeeklySummary[[#This Row],[Desde]],TableDailySummary[Fecha],"&lt;="&amp;TableWeeklySummary[[#This Row],[Hasta]])</f>
        <v>0</v>
      </c>
      <c r="P199" s="12">
        <f ca="1">SUMIFS(TableDailySummary[Rappi_net_sales],TableDailySummary[Fecha],"&gt;="&amp;TableWeeklySummary[[#This Row],[Desde]],TableDailySummary[Fecha],"&lt;="&amp;TableWeeklySummary[[#This Row],[Hasta]])</f>
        <v>0</v>
      </c>
      <c r="Q199" s="12">
        <f ca="1">SUMIFS(TableDailySummary[Rappi_orders],TableDailySummary[Fecha],"&gt;="&amp;TableWeeklySummary[[#This Row],[Desde]],TableDailySummary[Fecha],"&lt;="&amp;TableWeeklySummary[[#This Row],[Hasta]])</f>
        <v>0</v>
      </c>
      <c r="R19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19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199" s="12">
        <f ca="1">SUMIFS(TableDailySummary[Inversión google ads],TableDailySummary[Fecha],"&gt;="&amp;TableWeeklySummary[[#This Row],[Desde]],TableDailySummary[Fecha],"&lt;="&amp;TableWeeklySummary[[#This Row],[Hasta]])</f>
        <v>0</v>
      </c>
      <c r="U199" s="12">
        <f ca="1">SUMIFS(TableDailySummary[Ventas google ads],TableDailySummary[Fecha],"&gt;="&amp;TableWeeklySummary[[#This Row],[Desde]],TableDailySummary[Fecha],"&lt;="&amp;TableWeeklySummary[[#This Row],[Hasta]])</f>
        <v>0</v>
      </c>
      <c r="V199" s="12">
        <f ca="1">SUMIFS(TableDailySummary[Inversión meta ads],TableDailySummary[Fecha],"&gt;="&amp;TableWeeklySummary[[#This Row],[Desde]],TableDailySummary[Fecha],"&lt;="&amp;TableWeeklySummary[[#This Row],[Hasta]])</f>
        <v>0</v>
      </c>
      <c r="W199" s="12">
        <f ca="1">SUMIFS(TableDailySummary[Ventas meta ads],TableDailySummary[Fecha],"&gt;="&amp;TableWeeklySummary[[#This Row],[Desde]],TableDailySummary[Fecha],"&lt;="&amp;TableWeeklySummary[[#This Row],[Hasta]])</f>
        <v>0</v>
      </c>
      <c r="X199" s="12">
        <f ca="1">TableWeeklySummary[[#This Row],[Inversión google ads]]+TableWeeklySummary[[#This Row],[Inversión meta ads]]</f>
        <v>0</v>
      </c>
      <c r="Y199" s="12">
        <f ca="1">TableWeeklySummary[[#This Row],[Ventas google ads]]+TableWeeklySummary[[#This Row],[Ventas meta ads]]</f>
        <v>0</v>
      </c>
      <c r="Z199" s="14">
        <f ca="1">IFERROR(TableWeeklySummary[[#This Row],[Ventas publicidad]]/TableWeeklySummary[[#This Row],[Inversión publicidad]],0)</f>
        <v>0</v>
      </c>
      <c r="AA199" s="14">
        <f ca="1">IFERROR(TableWeeklySummary[[#This Row],[Ventas primer cliente]]/TableWeeklySummary[[#This Row],[Inversión publicidad]],0)</f>
        <v>0</v>
      </c>
      <c r="AB199" s="14"/>
      <c r="AC199" s="12"/>
      <c r="AI19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19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199" s="12">
        <f ca="1">SUMIFS(TableDailySummary[Utilidad bruta],TableDailySummary[Fecha],"&gt;="&amp;TableWeeklySummary[[#This Row],[Desde]],TableDailySummary[Fecha],"&lt;="&amp;TableWeeklySummary[[#This Row],[Hasta]])</f>
        <v>0</v>
      </c>
      <c r="AL199" s="18">
        <f ca="1">IFERROR(TableWeeklySummary[[#This Row],[Utilidad bruta]]/TableWeeklySummary[[#This Row],[Ventas netas con costo registrado]],0)</f>
        <v>0</v>
      </c>
    </row>
    <row r="200" spans="2:38" x14ac:dyDescent="0.2">
      <c r="B200" s="16">
        <f ca="1">_xlfn.ISOWEEKNUM(TableWeeklySummary[[#This Row],[Hasta]])</f>
        <v>29</v>
      </c>
      <c r="C200" s="6">
        <f t="shared" ca="1" si="5"/>
        <v>47312</v>
      </c>
      <c r="D200" s="6">
        <f ca="1">TableWeeklySummary[[#This Row],[Desde]]+7-1</f>
        <v>47318</v>
      </c>
      <c r="E200" s="12">
        <f ca="1">SUMIFS(TableDailySummary[Ventas netas totales],TableDailySummary[Fecha],"&gt;="&amp;TableWeeklySummary[[#This Row],[Desde]],TableDailySummary[Fecha],"&lt;="&amp;TableWeeklySummary[[#This Row],[Hasta]])</f>
        <v>0</v>
      </c>
      <c r="F200" s="12">
        <f ca="1">SUMIFS(TableDailySummary[Órdenes totales],TableDailySummary[Fecha],"&gt;="&amp;TableWeeklySummary[[#This Row],[Desde]],TableDailySummary[Fecha],"&lt;="&amp;TableWeeklySummary[[#This Row],[Hasta]])</f>
        <v>0</v>
      </c>
      <c r="G200" s="12">
        <f ca="1">IFERROR(TableWeeklySummary[[#This Row],[Ventas netas totales]]/TableWeeklySummary[[#This Row],[Órdenes totales]],0)</f>
        <v>0</v>
      </c>
      <c r="H20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00" s="12">
        <f ca="1">TableWeeklySummary[[#This Row],[Órden promedio totales]]*TableWeeklySummary[[#This Row],[CR totales]]</f>
        <v>0</v>
      </c>
      <c r="J200" s="12">
        <f ca="1">SUMIFS(TableDailySummary[Ventas primer cliente],TableDailySummary[Fecha],"&gt;="&amp;TableWeeklySummary[[#This Row],[Desde]],TableDailySummary[Fecha],"&lt;="&amp;TableWeeklySummary[[#This Row],[Hasta]])</f>
        <v>0</v>
      </c>
      <c r="K200" s="12">
        <f ca="1">SUMIFS(TableDailySummary[Órdenes primer cliente],TableDailySummary[Fecha],"&gt;="&amp;TableWeeklySummary[[#This Row],[Desde]],TableDailySummary[Fecha],"&lt;="&amp;TableWeeklySummary[[#This Row],[Hasta]])</f>
        <v>0</v>
      </c>
      <c r="L200" s="12">
        <f ca="1">SUMIFS(TableDailySummary[Online Store_net_sales],TableDailySummary[Fecha],"&gt;="&amp;TableWeeklySummary[[#This Row],[Desde]],TableDailySummary[Fecha],"&lt;="&amp;TableWeeklySummary[[#This Row],[Hasta]])</f>
        <v>0</v>
      </c>
      <c r="M200" s="12">
        <f ca="1">SUMIFS(TableDailySummary[Online Store_orders],TableDailySummary[Fecha],"&gt;="&amp;TableWeeklySummary[[#This Row],[Desde]],TableDailySummary[Fecha],"&lt;="&amp;TableWeeklySummary[[#This Row],[Hasta]])</f>
        <v>0</v>
      </c>
      <c r="N200" s="12">
        <f ca="1">SUMIFS(TableDailySummary[Tienda 81_net_sales],TableDailySummary[Fecha],"&gt;="&amp;TableWeeklySummary[[#This Row],[Desde]],TableDailySummary[Fecha],"&lt;="&amp;TableWeeklySummary[[#This Row],[Hasta]])</f>
        <v>0</v>
      </c>
      <c r="O200" s="12">
        <f ca="1">SUMIFS(TableDailySummary[Tienda 81_orders],TableDailySummary[Fecha],"&gt;="&amp;TableWeeklySummary[[#This Row],[Desde]],TableDailySummary[Fecha],"&lt;="&amp;TableWeeklySummary[[#This Row],[Hasta]])</f>
        <v>0</v>
      </c>
      <c r="P200" s="12">
        <f ca="1">SUMIFS(TableDailySummary[Rappi_net_sales],TableDailySummary[Fecha],"&gt;="&amp;TableWeeklySummary[[#This Row],[Desde]],TableDailySummary[Fecha],"&lt;="&amp;TableWeeklySummary[[#This Row],[Hasta]])</f>
        <v>0</v>
      </c>
      <c r="Q200" s="12">
        <f ca="1">SUMIFS(TableDailySummary[Rappi_orders],TableDailySummary[Fecha],"&gt;="&amp;TableWeeklySummary[[#This Row],[Desde]],TableDailySummary[Fecha],"&lt;="&amp;TableWeeklySummary[[#This Row],[Hasta]])</f>
        <v>0</v>
      </c>
      <c r="R20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0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00" s="12">
        <f ca="1">SUMIFS(TableDailySummary[Inversión google ads],TableDailySummary[Fecha],"&gt;="&amp;TableWeeklySummary[[#This Row],[Desde]],TableDailySummary[Fecha],"&lt;="&amp;TableWeeklySummary[[#This Row],[Hasta]])</f>
        <v>0</v>
      </c>
      <c r="U200" s="12">
        <f ca="1">SUMIFS(TableDailySummary[Ventas google ads],TableDailySummary[Fecha],"&gt;="&amp;TableWeeklySummary[[#This Row],[Desde]],TableDailySummary[Fecha],"&lt;="&amp;TableWeeklySummary[[#This Row],[Hasta]])</f>
        <v>0</v>
      </c>
      <c r="V200" s="12">
        <f ca="1">SUMIFS(TableDailySummary[Inversión meta ads],TableDailySummary[Fecha],"&gt;="&amp;TableWeeklySummary[[#This Row],[Desde]],TableDailySummary[Fecha],"&lt;="&amp;TableWeeklySummary[[#This Row],[Hasta]])</f>
        <v>0</v>
      </c>
      <c r="W200" s="12">
        <f ca="1">SUMIFS(TableDailySummary[Ventas meta ads],TableDailySummary[Fecha],"&gt;="&amp;TableWeeklySummary[[#This Row],[Desde]],TableDailySummary[Fecha],"&lt;="&amp;TableWeeklySummary[[#This Row],[Hasta]])</f>
        <v>0</v>
      </c>
      <c r="X200" s="12">
        <f ca="1">TableWeeklySummary[[#This Row],[Inversión google ads]]+TableWeeklySummary[[#This Row],[Inversión meta ads]]</f>
        <v>0</v>
      </c>
      <c r="Y200" s="12">
        <f ca="1">TableWeeklySummary[[#This Row],[Ventas google ads]]+TableWeeklySummary[[#This Row],[Ventas meta ads]]</f>
        <v>0</v>
      </c>
      <c r="Z200" s="14">
        <f ca="1">IFERROR(TableWeeklySummary[[#This Row],[Ventas publicidad]]/TableWeeklySummary[[#This Row],[Inversión publicidad]],0)</f>
        <v>0</v>
      </c>
      <c r="AA200" s="14">
        <f ca="1">IFERROR(TableWeeklySummary[[#This Row],[Ventas primer cliente]]/TableWeeklySummary[[#This Row],[Inversión publicidad]],0)</f>
        <v>0</v>
      </c>
      <c r="AB200" s="14"/>
      <c r="AC200" s="12"/>
      <c r="AI20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0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00" s="12">
        <f ca="1">SUMIFS(TableDailySummary[Utilidad bruta],TableDailySummary[Fecha],"&gt;="&amp;TableWeeklySummary[[#This Row],[Desde]],TableDailySummary[Fecha],"&lt;="&amp;TableWeeklySummary[[#This Row],[Hasta]])</f>
        <v>0</v>
      </c>
      <c r="AL200" s="18">
        <f ca="1">IFERROR(TableWeeklySummary[[#This Row],[Utilidad bruta]]/TableWeeklySummary[[#This Row],[Ventas netas con costo registrado]],0)</f>
        <v>0</v>
      </c>
    </row>
    <row r="201" spans="2:38" x14ac:dyDescent="0.2">
      <c r="B201" s="16">
        <f ca="1">_xlfn.ISOWEEKNUM(TableWeeklySummary[[#This Row],[Hasta]])</f>
        <v>30</v>
      </c>
      <c r="C201" s="6">
        <f t="shared" ca="1" si="5"/>
        <v>47319</v>
      </c>
      <c r="D201" s="6">
        <f ca="1">TableWeeklySummary[[#This Row],[Desde]]+7-1</f>
        <v>47325</v>
      </c>
      <c r="E201" s="12">
        <f ca="1">SUMIFS(TableDailySummary[Ventas netas totales],TableDailySummary[Fecha],"&gt;="&amp;TableWeeklySummary[[#This Row],[Desde]],TableDailySummary[Fecha],"&lt;="&amp;TableWeeklySummary[[#This Row],[Hasta]])</f>
        <v>0</v>
      </c>
      <c r="F201" s="12">
        <f ca="1">SUMIFS(TableDailySummary[Órdenes totales],TableDailySummary[Fecha],"&gt;="&amp;TableWeeklySummary[[#This Row],[Desde]],TableDailySummary[Fecha],"&lt;="&amp;TableWeeklySummary[[#This Row],[Hasta]])</f>
        <v>0</v>
      </c>
      <c r="G201" s="12">
        <f ca="1">IFERROR(TableWeeklySummary[[#This Row],[Ventas netas totales]]/TableWeeklySummary[[#This Row],[Órdenes totales]],0)</f>
        <v>0</v>
      </c>
      <c r="H20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01" s="12">
        <f ca="1">TableWeeklySummary[[#This Row],[Órden promedio totales]]*TableWeeklySummary[[#This Row],[CR totales]]</f>
        <v>0</v>
      </c>
      <c r="J201" s="12">
        <f ca="1">SUMIFS(TableDailySummary[Ventas primer cliente],TableDailySummary[Fecha],"&gt;="&amp;TableWeeklySummary[[#This Row],[Desde]],TableDailySummary[Fecha],"&lt;="&amp;TableWeeklySummary[[#This Row],[Hasta]])</f>
        <v>0</v>
      </c>
      <c r="K201" s="12">
        <f ca="1">SUMIFS(TableDailySummary[Órdenes primer cliente],TableDailySummary[Fecha],"&gt;="&amp;TableWeeklySummary[[#This Row],[Desde]],TableDailySummary[Fecha],"&lt;="&amp;TableWeeklySummary[[#This Row],[Hasta]])</f>
        <v>0</v>
      </c>
      <c r="L201" s="12">
        <f ca="1">SUMIFS(TableDailySummary[Online Store_net_sales],TableDailySummary[Fecha],"&gt;="&amp;TableWeeklySummary[[#This Row],[Desde]],TableDailySummary[Fecha],"&lt;="&amp;TableWeeklySummary[[#This Row],[Hasta]])</f>
        <v>0</v>
      </c>
      <c r="M201" s="12">
        <f ca="1">SUMIFS(TableDailySummary[Online Store_orders],TableDailySummary[Fecha],"&gt;="&amp;TableWeeklySummary[[#This Row],[Desde]],TableDailySummary[Fecha],"&lt;="&amp;TableWeeklySummary[[#This Row],[Hasta]])</f>
        <v>0</v>
      </c>
      <c r="N201" s="12">
        <f ca="1">SUMIFS(TableDailySummary[Tienda 81_net_sales],TableDailySummary[Fecha],"&gt;="&amp;TableWeeklySummary[[#This Row],[Desde]],TableDailySummary[Fecha],"&lt;="&amp;TableWeeklySummary[[#This Row],[Hasta]])</f>
        <v>0</v>
      </c>
      <c r="O201" s="12">
        <f ca="1">SUMIFS(TableDailySummary[Tienda 81_orders],TableDailySummary[Fecha],"&gt;="&amp;TableWeeklySummary[[#This Row],[Desde]],TableDailySummary[Fecha],"&lt;="&amp;TableWeeklySummary[[#This Row],[Hasta]])</f>
        <v>0</v>
      </c>
      <c r="P201" s="12">
        <f ca="1">SUMIFS(TableDailySummary[Rappi_net_sales],TableDailySummary[Fecha],"&gt;="&amp;TableWeeklySummary[[#This Row],[Desde]],TableDailySummary[Fecha],"&lt;="&amp;TableWeeklySummary[[#This Row],[Hasta]])</f>
        <v>0</v>
      </c>
      <c r="Q201" s="12">
        <f ca="1">SUMIFS(TableDailySummary[Rappi_orders],TableDailySummary[Fecha],"&gt;="&amp;TableWeeklySummary[[#This Row],[Desde]],TableDailySummary[Fecha],"&lt;="&amp;TableWeeklySummary[[#This Row],[Hasta]])</f>
        <v>0</v>
      </c>
      <c r="R20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0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01" s="12">
        <f ca="1">SUMIFS(TableDailySummary[Inversión google ads],TableDailySummary[Fecha],"&gt;="&amp;TableWeeklySummary[[#This Row],[Desde]],TableDailySummary[Fecha],"&lt;="&amp;TableWeeklySummary[[#This Row],[Hasta]])</f>
        <v>0</v>
      </c>
      <c r="U201" s="12">
        <f ca="1">SUMIFS(TableDailySummary[Ventas google ads],TableDailySummary[Fecha],"&gt;="&amp;TableWeeklySummary[[#This Row],[Desde]],TableDailySummary[Fecha],"&lt;="&amp;TableWeeklySummary[[#This Row],[Hasta]])</f>
        <v>0</v>
      </c>
      <c r="V201" s="12">
        <f ca="1">SUMIFS(TableDailySummary[Inversión meta ads],TableDailySummary[Fecha],"&gt;="&amp;TableWeeklySummary[[#This Row],[Desde]],TableDailySummary[Fecha],"&lt;="&amp;TableWeeklySummary[[#This Row],[Hasta]])</f>
        <v>0</v>
      </c>
      <c r="W201" s="12">
        <f ca="1">SUMIFS(TableDailySummary[Ventas meta ads],TableDailySummary[Fecha],"&gt;="&amp;TableWeeklySummary[[#This Row],[Desde]],TableDailySummary[Fecha],"&lt;="&amp;TableWeeklySummary[[#This Row],[Hasta]])</f>
        <v>0</v>
      </c>
      <c r="X201" s="12">
        <f ca="1">TableWeeklySummary[[#This Row],[Inversión google ads]]+TableWeeklySummary[[#This Row],[Inversión meta ads]]</f>
        <v>0</v>
      </c>
      <c r="Y201" s="12">
        <f ca="1">TableWeeklySummary[[#This Row],[Ventas google ads]]+TableWeeklySummary[[#This Row],[Ventas meta ads]]</f>
        <v>0</v>
      </c>
      <c r="Z201" s="14">
        <f ca="1">IFERROR(TableWeeklySummary[[#This Row],[Ventas publicidad]]/TableWeeklySummary[[#This Row],[Inversión publicidad]],0)</f>
        <v>0</v>
      </c>
      <c r="AA201" s="14">
        <f ca="1">IFERROR(TableWeeklySummary[[#This Row],[Ventas primer cliente]]/TableWeeklySummary[[#This Row],[Inversión publicidad]],0)</f>
        <v>0</v>
      </c>
      <c r="AB201" s="14"/>
      <c r="AC201" s="12"/>
      <c r="AI20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0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01" s="12">
        <f ca="1">SUMIFS(TableDailySummary[Utilidad bruta],TableDailySummary[Fecha],"&gt;="&amp;TableWeeklySummary[[#This Row],[Desde]],TableDailySummary[Fecha],"&lt;="&amp;TableWeeklySummary[[#This Row],[Hasta]])</f>
        <v>0</v>
      </c>
      <c r="AL201" s="18">
        <f ca="1">IFERROR(TableWeeklySummary[[#This Row],[Utilidad bruta]]/TableWeeklySummary[[#This Row],[Ventas netas con costo registrado]],0)</f>
        <v>0</v>
      </c>
    </row>
    <row r="202" spans="2:38" x14ac:dyDescent="0.2">
      <c r="B202" s="16">
        <f ca="1">_xlfn.ISOWEEKNUM(TableWeeklySummary[[#This Row],[Hasta]])</f>
        <v>31</v>
      </c>
      <c r="C202" s="6">
        <f t="shared" ca="1" si="5"/>
        <v>47326</v>
      </c>
      <c r="D202" s="6">
        <f ca="1">TableWeeklySummary[[#This Row],[Desde]]+7-1</f>
        <v>47332</v>
      </c>
      <c r="E202" s="12">
        <f ca="1">SUMIFS(TableDailySummary[Ventas netas totales],TableDailySummary[Fecha],"&gt;="&amp;TableWeeklySummary[[#This Row],[Desde]],TableDailySummary[Fecha],"&lt;="&amp;TableWeeklySummary[[#This Row],[Hasta]])</f>
        <v>0</v>
      </c>
      <c r="F202" s="12">
        <f ca="1">SUMIFS(TableDailySummary[Órdenes totales],TableDailySummary[Fecha],"&gt;="&amp;TableWeeklySummary[[#This Row],[Desde]],TableDailySummary[Fecha],"&lt;="&amp;TableWeeklySummary[[#This Row],[Hasta]])</f>
        <v>0</v>
      </c>
      <c r="G202" s="12">
        <f ca="1">IFERROR(TableWeeklySummary[[#This Row],[Ventas netas totales]]/TableWeeklySummary[[#This Row],[Órdenes totales]],0)</f>
        <v>0</v>
      </c>
      <c r="H20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02" s="12">
        <f ca="1">TableWeeklySummary[[#This Row],[Órden promedio totales]]*TableWeeklySummary[[#This Row],[CR totales]]</f>
        <v>0</v>
      </c>
      <c r="J202" s="12">
        <f ca="1">SUMIFS(TableDailySummary[Ventas primer cliente],TableDailySummary[Fecha],"&gt;="&amp;TableWeeklySummary[[#This Row],[Desde]],TableDailySummary[Fecha],"&lt;="&amp;TableWeeklySummary[[#This Row],[Hasta]])</f>
        <v>0</v>
      </c>
      <c r="K202" s="12">
        <f ca="1">SUMIFS(TableDailySummary[Órdenes primer cliente],TableDailySummary[Fecha],"&gt;="&amp;TableWeeklySummary[[#This Row],[Desde]],TableDailySummary[Fecha],"&lt;="&amp;TableWeeklySummary[[#This Row],[Hasta]])</f>
        <v>0</v>
      </c>
      <c r="L202" s="12">
        <f ca="1">SUMIFS(TableDailySummary[Online Store_net_sales],TableDailySummary[Fecha],"&gt;="&amp;TableWeeklySummary[[#This Row],[Desde]],TableDailySummary[Fecha],"&lt;="&amp;TableWeeklySummary[[#This Row],[Hasta]])</f>
        <v>0</v>
      </c>
      <c r="M202" s="12">
        <f ca="1">SUMIFS(TableDailySummary[Online Store_orders],TableDailySummary[Fecha],"&gt;="&amp;TableWeeklySummary[[#This Row],[Desde]],TableDailySummary[Fecha],"&lt;="&amp;TableWeeklySummary[[#This Row],[Hasta]])</f>
        <v>0</v>
      </c>
      <c r="N202" s="12">
        <f ca="1">SUMIFS(TableDailySummary[Tienda 81_net_sales],TableDailySummary[Fecha],"&gt;="&amp;TableWeeklySummary[[#This Row],[Desde]],TableDailySummary[Fecha],"&lt;="&amp;TableWeeklySummary[[#This Row],[Hasta]])</f>
        <v>0</v>
      </c>
      <c r="O202" s="12">
        <f ca="1">SUMIFS(TableDailySummary[Tienda 81_orders],TableDailySummary[Fecha],"&gt;="&amp;TableWeeklySummary[[#This Row],[Desde]],TableDailySummary[Fecha],"&lt;="&amp;TableWeeklySummary[[#This Row],[Hasta]])</f>
        <v>0</v>
      </c>
      <c r="P202" s="12">
        <f ca="1">SUMIFS(TableDailySummary[Rappi_net_sales],TableDailySummary[Fecha],"&gt;="&amp;TableWeeklySummary[[#This Row],[Desde]],TableDailySummary[Fecha],"&lt;="&amp;TableWeeklySummary[[#This Row],[Hasta]])</f>
        <v>0</v>
      </c>
      <c r="Q202" s="12">
        <f ca="1">SUMIFS(TableDailySummary[Rappi_orders],TableDailySummary[Fecha],"&gt;="&amp;TableWeeklySummary[[#This Row],[Desde]],TableDailySummary[Fecha],"&lt;="&amp;TableWeeklySummary[[#This Row],[Hasta]])</f>
        <v>0</v>
      </c>
      <c r="R20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0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02" s="12">
        <f ca="1">SUMIFS(TableDailySummary[Inversión google ads],TableDailySummary[Fecha],"&gt;="&amp;TableWeeklySummary[[#This Row],[Desde]],TableDailySummary[Fecha],"&lt;="&amp;TableWeeklySummary[[#This Row],[Hasta]])</f>
        <v>0</v>
      </c>
      <c r="U202" s="12">
        <f ca="1">SUMIFS(TableDailySummary[Ventas google ads],TableDailySummary[Fecha],"&gt;="&amp;TableWeeklySummary[[#This Row],[Desde]],TableDailySummary[Fecha],"&lt;="&amp;TableWeeklySummary[[#This Row],[Hasta]])</f>
        <v>0</v>
      </c>
      <c r="V202" s="12">
        <f ca="1">SUMIFS(TableDailySummary[Inversión meta ads],TableDailySummary[Fecha],"&gt;="&amp;TableWeeklySummary[[#This Row],[Desde]],TableDailySummary[Fecha],"&lt;="&amp;TableWeeklySummary[[#This Row],[Hasta]])</f>
        <v>0</v>
      </c>
      <c r="W202" s="12">
        <f ca="1">SUMIFS(TableDailySummary[Ventas meta ads],TableDailySummary[Fecha],"&gt;="&amp;TableWeeklySummary[[#This Row],[Desde]],TableDailySummary[Fecha],"&lt;="&amp;TableWeeklySummary[[#This Row],[Hasta]])</f>
        <v>0</v>
      </c>
      <c r="X202" s="12">
        <f ca="1">TableWeeklySummary[[#This Row],[Inversión google ads]]+TableWeeklySummary[[#This Row],[Inversión meta ads]]</f>
        <v>0</v>
      </c>
      <c r="Y202" s="12">
        <f ca="1">TableWeeklySummary[[#This Row],[Ventas google ads]]+TableWeeklySummary[[#This Row],[Ventas meta ads]]</f>
        <v>0</v>
      </c>
      <c r="Z202" s="14">
        <f ca="1">IFERROR(TableWeeklySummary[[#This Row],[Ventas publicidad]]/TableWeeklySummary[[#This Row],[Inversión publicidad]],0)</f>
        <v>0</v>
      </c>
      <c r="AA202" s="14">
        <f ca="1">IFERROR(TableWeeklySummary[[#This Row],[Ventas primer cliente]]/TableWeeklySummary[[#This Row],[Inversión publicidad]],0)</f>
        <v>0</v>
      </c>
      <c r="AB202" s="14"/>
      <c r="AC202" s="12"/>
      <c r="AI20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0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02" s="12">
        <f ca="1">SUMIFS(TableDailySummary[Utilidad bruta],TableDailySummary[Fecha],"&gt;="&amp;TableWeeklySummary[[#This Row],[Desde]],TableDailySummary[Fecha],"&lt;="&amp;TableWeeklySummary[[#This Row],[Hasta]])</f>
        <v>0</v>
      </c>
      <c r="AL202" s="18">
        <f ca="1">IFERROR(TableWeeklySummary[[#This Row],[Utilidad bruta]]/TableWeeklySummary[[#This Row],[Ventas netas con costo registrado]],0)</f>
        <v>0</v>
      </c>
    </row>
    <row r="203" spans="2:38" x14ac:dyDescent="0.2">
      <c r="B203" s="16">
        <f ca="1">_xlfn.ISOWEEKNUM(TableWeeklySummary[[#This Row],[Hasta]])</f>
        <v>32</v>
      </c>
      <c r="C203" s="6">
        <f t="shared" ca="1" si="5"/>
        <v>47333</v>
      </c>
      <c r="D203" s="6">
        <f ca="1">TableWeeklySummary[[#This Row],[Desde]]+7-1</f>
        <v>47339</v>
      </c>
      <c r="E203" s="12">
        <f ca="1">SUMIFS(TableDailySummary[Ventas netas totales],TableDailySummary[Fecha],"&gt;="&amp;TableWeeklySummary[[#This Row],[Desde]],TableDailySummary[Fecha],"&lt;="&amp;TableWeeklySummary[[#This Row],[Hasta]])</f>
        <v>0</v>
      </c>
      <c r="F203" s="12">
        <f ca="1">SUMIFS(TableDailySummary[Órdenes totales],TableDailySummary[Fecha],"&gt;="&amp;TableWeeklySummary[[#This Row],[Desde]],TableDailySummary[Fecha],"&lt;="&amp;TableWeeklySummary[[#This Row],[Hasta]])</f>
        <v>0</v>
      </c>
      <c r="G203" s="12">
        <f ca="1">IFERROR(TableWeeklySummary[[#This Row],[Ventas netas totales]]/TableWeeklySummary[[#This Row],[Órdenes totales]],0)</f>
        <v>0</v>
      </c>
      <c r="H20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03" s="12">
        <f ca="1">TableWeeklySummary[[#This Row],[Órden promedio totales]]*TableWeeklySummary[[#This Row],[CR totales]]</f>
        <v>0</v>
      </c>
      <c r="J203" s="12">
        <f ca="1">SUMIFS(TableDailySummary[Ventas primer cliente],TableDailySummary[Fecha],"&gt;="&amp;TableWeeklySummary[[#This Row],[Desde]],TableDailySummary[Fecha],"&lt;="&amp;TableWeeklySummary[[#This Row],[Hasta]])</f>
        <v>0</v>
      </c>
      <c r="K203" s="12">
        <f ca="1">SUMIFS(TableDailySummary[Órdenes primer cliente],TableDailySummary[Fecha],"&gt;="&amp;TableWeeklySummary[[#This Row],[Desde]],TableDailySummary[Fecha],"&lt;="&amp;TableWeeklySummary[[#This Row],[Hasta]])</f>
        <v>0</v>
      </c>
      <c r="L203" s="12">
        <f ca="1">SUMIFS(TableDailySummary[Online Store_net_sales],TableDailySummary[Fecha],"&gt;="&amp;TableWeeklySummary[[#This Row],[Desde]],TableDailySummary[Fecha],"&lt;="&amp;TableWeeklySummary[[#This Row],[Hasta]])</f>
        <v>0</v>
      </c>
      <c r="M203" s="12">
        <f ca="1">SUMIFS(TableDailySummary[Online Store_orders],TableDailySummary[Fecha],"&gt;="&amp;TableWeeklySummary[[#This Row],[Desde]],TableDailySummary[Fecha],"&lt;="&amp;TableWeeklySummary[[#This Row],[Hasta]])</f>
        <v>0</v>
      </c>
      <c r="N203" s="12">
        <f ca="1">SUMIFS(TableDailySummary[Tienda 81_net_sales],TableDailySummary[Fecha],"&gt;="&amp;TableWeeklySummary[[#This Row],[Desde]],TableDailySummary[Fecha],"&lt;="&amp;TableWeeklySummary[[#This Row],[Hasta]])</f>
        <v>0</v>
      </c>
      <c r="O203" s="12">
        <f ca="1">SUMIFS(TableDailySummary[Tienda 81_orders],TableDailySummary[Fecha],"&gt;="&amp;TableWeeklySummary[[#This Row],[Desde]],TableDailySummary[Fecha],"&lt;="&amp;TableWeeklySummary[[#This Row],[Hasta]])</f>
        <v>0</v>
      </c>
      <c r="P203" s="12">
        <f ca="1">SUMIFS(TableDailySummary[Rappi_net_sales],TableDailySummary[Fecha],"&gt;="&amp;TableWeeklySummary[[#This Row],[Desde]],TableDailySummary[Fecha],"&lt;="&amp;TableWeeklySummary[[#This Row],[Hasta]])</f>
        <v>0</v>
      </c>
      <c r="Q203" s="12">
        <f ca="1">SUMIFS(TableDailySummary[Rappi_orders],TableDailySummary[Fecha],"&gt;="&amp;TableWeeklySummary[[#This Row],[Desde]],TableDailySummary[Fecha],"&lt;="&amp;TableWeeklySummary[[#This Row],[Hasta]])</f>
        <v>0</v>
      </c>
      <c r="R20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0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03" s="12">
        <f ca="1">SUMIFS(TableDailySummary[Inversión google ads],TableDailySummary[Fecha],"&gt;="&amp;TableWeeklySummary[[#This Row],[Desde]],TableDailySummary[Fecha],"&lt;="&amp;TableWeeklySummary[[#This Row],[Hasta]])</f>
        <v>0</v>
      </c>
      <c r="U203" s="12">
        <f ca="1">SUMIFS(TableDailySummary[Ventas google ads],TableDailySummary[Fecha],"&gt;="&amp;TableWeeklySummary[[#This Row],[Desde]],TableDailySummary[Fecha],"&lt;="&amp;TableWeeklySummary[[#This Row],[Hasta]])</f>
        <v>0</v>
      </c>
      <c r="V203" s="12">
        <f ca="1">SUMIFS(TableDailySummary[Inversión meta ads],TableDailySummary[Fecha],"&gt;="&amp;TableWeeklySummary[[#This Row],[Desde]],TableDailySummary[Fecha],"&lt;="&amp;TableWeeklySummary[[#This Row],[Hasta]])</f>
        <v>0</v>
      </c>
      <c r="W203" s="12">
        <f ca="1">SUMIFS(TableDailySummary[Ventas meta ads],TableDailySummary[Fecha],"&gt;="&amp;TableWeeklySummary[[#This Row],[Desde]],TableDailySummary[Fecha],"&lt;="&amp;TableWeeklySummary[[#This Row],[Hasta]])</f>
        <v>0</v>
      </c>
      <c r="X203" s="12">
        <f ca="1">TableWeeklySummary[[#This Row],[Inversión google ads]]+TableWeeklySummary[[#This Row],[Inversión meta ads]]</f>
        <v>0</v>
      </c>
      <c r="Y203" s="12">
        <f ca="1">TableWeeklySummary[[#This Row],[Ventas google ads]]+TableWeeklySummary[[#This Row],[Ventas meta ads]]</f>
        <v>0</v>
      </c>
      <c r="Z203" s="14">
        <f ca="1">IFERROR(TableWeeklySummary[[#This Row],[Ventas publicidad]]/TableWeeklySummary[[#This Row],[Inversión publicidad]],0)</f>
        <v>0</v>
      </c>
      <c r="AA203" s="14">
        <f ca="1">IFERROR(TableWeeklySummary[[#This Row],[Ventas primer cliente]]/TableWeeklySummary[[#This Row],[Inversión publicidad]],0)</f>
        <v>0</v>
      </c>
      <c r="AB203" s="14"/>
      <c r="AC203" s="12"/>
      <c r="AI20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0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03" s="12">
        <f ca="1">SUMIFS(TableDailySummary[Utilidad bruta],TableDailySummary[Fecha],"&gt;="&amp;TableWeeklySummary[[#This Row],[Desde]],TableDailySummary[Fecha],"&lt;="&amp;TableWeeklySummary[[#This Row],[Hasta]])</f>
        <v>0</v>
      </c>
      <c r="AL203" s="18">
        <f ca="1">IFERROR(TableWeeklySummary[[#This Row],[Utilidad bruta]]/TableWeeklySummary[[#This Row],[Ventas netas con costo registrado]],0)</f>
        <v>0</v>
      </c>
    </row>
    <row r="204" spans="2:38" x14ac:dyDescent="0.2">
      <c r="B204" s="16">
        <f ca="1">_xlfn.ISOWEEKNUM(TableWeeklySummary[[#This Row],[Hasta]])</f>
        <v>33</v>
      </c>
      <c r="C204" s="6">
        <f t="shared" ca="1" si="5"/>
        <v>47340</v>
      </c>
      <c r="D204" s="6">
        <f ca="1">TableWeeklySummary[[#This Row],[Desde]]+7-1</f>
        <v>47346</v>
      </c>
      <c r="E204" s="12">
        <f ca="1">SUMIFS(TableDailySummary[Ventas netas totales],TableDailySummary[Fecha],"&gt;="&amp;TableWeeklySummary[[#This Row],[Desde]],TableDailySummary[Fecha],"&lt;="&amp;TableWeeklySummary[[#This Row],[Hasta]])</f>
        <v>0</v>
      </c>
      <c r="F204" s="12">
        <f ca="1">SUMIFS(TableDailySummary[Órdenes totales],TableDailySummary[Fecha],"&gt;="&amp;TableWeeklySummary[[#This Row],[Desde]],TableDailySummary[Fecha],"&lt;="&amp;TableWeeklySummary[[#This Row],[Hasta]])</f>
        <v>0</v>
      </c>
      <c r="G204" s="12">
        <f ca="1">IFERROR(TableWeeklySummary[[#This Row],[Ventas netas totales]]/TableWeeklySummary[[#This Row],[Órdenes totales]],0)</f>
        <v>0</v>
      </c>
      <c r="H20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04" s="12">
        <f ca="1">TableWeeklySummary[[#This Row],[Órden promedio totales]]*TableWeeklySummary[[#This Row],[CR totales]]</f>
        <v>0</v>
      </c>
      <c r="J204" s="12">
        <f ca="1">SUMIFS(TableDailySummary[Ventas primer cliente],TableDailySummary[Fecha],"&gt;="&amp;TableWeeklySummary[[#This Row],[Desde]],TableDailySummary[Fecha],"&lt;="&amp;TableWeeklySummary[[#This Row],[Hasta]])</f>
        <v>0</v>
      </c>
      <c r="K204" s="12">
        <f ca="1">SUMIFS(TableDailySummary[Órdenes primer cliente],TableDailySummary[Fecha],"&gt;="&amp;TableWeeklySummary[[#This Row],[Desde]],TableDailySummary[Fecha],"&lt;="&amp;TableWeeklySummary[[#This Row],[Hasta]])</f>
        <v>0</v>
      </c>
      <c r="L204" s="12">
        <f ca="1">SUMIFS(TableDailySummary[Online Store_net_sales],TableDailySummary[Fecha],"&gt;="&amp;TableWeeklySummary[[#This Row],[Desde]],TableDailySummary[Fecha],"&lt;="&amp;TableWeeklySummary[[#This Row],[Hasta]])</f>
        <v>0</v>
      </c>
      <c r="M204" s="12">
        <f ca="1">SUMIFS(TableDailySummary[Online Store_orders],TableDailySummary[Fecha],"&gt;="&amp;TableWeeklySummary[[#This Row],[Desde]],TableDailySummary[Fecha],"&lt;="&amp;TableWeeklySummary[[#This Row],[Hasta]])</f>
        <v>0</v>
      </c>
      <c r="N204" s="12">
        <f ca="1">SUMIFS(TableDailySummary[Tienda 81_net_sales],TableDailySummary[Fecha],"&gt;="&amp;TableWeeklySummary[[#This Row],[Desde]],TableDailySummary[Fecha],"&lt;="&amp;TableWeeklySummary[[#This Row],[Hasta]])</f>
        <v>0</v>
      </c>
      <c r="O204" s="12">
        <f ca="1">SUMIFS(TableDailySummary[Tienda 81_orders],TableDailySummary[Fecha],"&gt;="&amp;TableWeeklySummary[[#This Row],[Desde]],TableDailySummary[Fecha],"&lt;="&amp;TableWeeklySummary[[#This Row],[Hasta]])</f>
        <v>0</v>
      </c>
      <c r="P204" s="12">
        <f ca="1">SUMIFS(TableDailySummary[Rappi_net_sales],TableDailySummary[Fecha],"&gt;="&amp;TableWeeklySummary[[#This Row],[Desde]],TableDailySummary[Fecha],"&lt;="&amp;TableWeeklySummary[[#This Row],[Hasta]])</f>
        <v>0</v>
      </c>
      <c r="Q204" s="12">
        <f ca="1">SUMIFS(TableDailySummary[Rappi_orders],TableDailySummary[Fecha],"&gt;="&amp;TableWeeklySummary[[#This Row],[Desde]],TableDailySummary[Fecha],"&lt;="&amp;TableWeeklySummary[[#This Row],[Hasta]])</f>
        <v>0</v>
      </c>
      <c r="R20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0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04" s="12">
        <f ca="1">SUMIFS(TableDailySummary[Inversión google ads],TableDailySummary[Fecha],"&gt;="&amp;TableWeeklySummary[[#This Row],[Desde]],TableDailySummary[Fecha],"&lt;="&amp;TableWeeklySummary[[#This Row],[Hasta]])</f>
        <v>0</v>
      </c>
      <c r="U204" s="12">
        <f ca="1">SUMIFS(TableDailySummary[Ventas google ads],TableDailySummary[Fecha],"&gt;="&amp;TableWeeklySummary[[#This Row],[Desde]],TableDailySummary[Fecha],"&lt;="&amp;TableWeeklySummary[[#This Row],[Hasta]])</f>
        <v>0</v>
      </c>
      <c r="V204" s="12">
        <f ca="1">SUMIFS(TableDailySummary[Inversión meta ads],TableDailySummary[Fecha],"&gt;="&amp;TableWeeklySummary[[#This Row],[Desde]],TableDailySummary[Fecha],"&lt;="&amp;TableWeeklySummary[[#This Row],[Hasta]])</f>
        <v>0</v>
      </c>
      <c r="W204" s="12">
        <f ca="1">SUMIFS(TableDailySummary[Ventas meta ads],TableDailySummary[Fecha],"&gt;="&amp;TableWeeklySummary[[#This Row],[Desde]],TableDailySummary[Fecha],"&lt;="&amp;TableWeeklySummary[[#This Row],[Hasta]])</f>
        <v>0</v>
      </c>
      <c r="X204" s="12">
        <f ca="1">TableWeeklySummary[[#This Row],[Inversión google ads]]+TableWeeklySummary[[#This Row],[Inversión meta ads]]</f>
        <v>0</v>
      </c>
      <c r="Y204" s="12">
        <f ca="1">TableWeeklySummary[[#This Row],[Ventas google ads]]+TableWeeklySummary[[#This Row],[Ventas meta ads]]</f>
        <v>0</v>
      </c>
      <c r="Z204" s="14">
        <f ca="1">IFERROR(TableWeeklySummary[[#This Row],[Ventas publicidad]]/TableWeeklySummary[[#This Row],[Inversión publicidad]],0)</f>
        <v>0</v>
      </c>
      <c r="AA204" s="14">
        <f ca="1">IFERROR(TableWeeklySummary[[#This Row],[Ventas primer cliente]]/TableWeeklySummary[[#This Row],[Inversión publicidad]],0)</f>
        <v>0</v>
      </c>
      <c r="AB204" s="14"/>
      <c r="AC204" s="12"/>
      <c r="AI20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0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04" s="12">
        <f ca="1">SUMIFS(TableDailySummary[Utilidad bruta],TableDailySummary[Fecha],"&gt;="&amp;TableWeeklySummary[[#This Row],[Desde]],TableDailySummary[Fecha],"&lt;="&amp;TableWeeklySummary[[#This Row],[Hasta]])</f>
        <v>0</v>
      </c>
      <c r="AL204" s="18">
        <f ca="1">IFERROR(TableWeeklySummary[[#This Row],[Utilidad bruta]]/TableWeeklySummary[[#This Row],[Ventas netas con costo registrado]],0)</f>
        <v>0</v>
      </c>
    </row>
    <row r="205" spans="2:38" x14ac:dyDescent="0.2">
      <c r="B205" s="16">
        <f ca="1">_xlfn.ISOWEEKNUM(TableWeeklySummary[[#This Row],[Hasta]])</f>
        <v>34</v>
      </c>
      <c r="C205" s="6">
        <f t="shared" ca="1" si="5"/>
        <v>47347</v>
      </c>
      <c r="D205" s="6">
        <f ca="1">TableWeeklySummary[[#This Row],[Desde]]+7-1</f>
        <v>47353</v>
      </c>
      <c r="E205" s="12">
        <f ca="1">SUMIFS(TableDailySummary[Ventas netas totales],TableDailySummary[Fecha],"&gt;="&amp;TableWeeklySummary[[#This Row],[Desde]],TableDailySummary[Fecha],"&lt;="&amp;TableWeeklySummary[[#This Row],[Hasta]])</f>
        <v>0</v>
      </c>
      <c r="F205" s="12">
        <f ca="1">SUMIFS(TableDailySummary[Órdenes totales],TableDailySummary[Fecha],"&gt;="&amp;TableWeeklySummary[[#This Row],[Desde]],TableDailySummary[Fecha],"&lt;="&amp;TableWeeklySummary[[#This Row],[Hasta]])</f>
        <v>0</v>
      </c>
      <c r="G205" s="12">
        <f ca="1">IFERROR(TableWeeklySummary[[#This Row],[Ventas netas totales]]/TableWeeklySummary[[#This Row],[Órdenes totales]],0)</f>
        <v>0</v>
      </c>
      <c r="H20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05" s="12">
        <f ca="1">TableWeeklySummary[[#This Row],[Órden promedio totales]]*TableWeeklySummary[[#This Row],[CR totales]]</f>
        <v>0</v>
      </c>
      <c r="J205" s="12">
        <f ca="1">SUMIFS(TableDailySummary[Ventas primer cliente],TableDailySummary[Fecha],"&gt;="&amp;TableWeeklySummary[[#This Row],[Desde]],TableDailySummary[Fecha],"&lt;="&amp;TableWeeklySummary[[#This Row],[Hasta]])</f>
        <v>0</v>
      </c>
      <c r="K205" s="12">
        <f ca="1">SUMIFS(TableDailySummary[Órdenes primer cliente],TableDailySummary[Fecha],"&gt;="&amp;TableWeeklySummary[[#This Row],[Desde]],TableDailySummary[Fecha],"&lt;="&amp;TableWeeklySummary[[#This Row],[Hasta]])</f>
        <v>0</v>
      </c>
      <c r="L205" s="12">
        <f ca="1">SUMIFS(TableDailySummary[Online Store_net_sales],TableDailySummary[Fecha],"&gt;="&amp;TableWeeklySummary[[#This Row],[Desde]],TableDailySummary[Fecha],"&lt;="&amp;TableWeeklySummary[[#This Row],[Hasta]])</f>
        <v>0</v>
      </c>
      <c r="M205" s="12">
        <f ca="1">SUMIFS(TableDailySummary[Online Store_orders],TableDailySummary[Fecha],"&gt;="&amp;TableWeeklySummary[[#This Row],[Desde]],TableDailySummary[Fecha],"&lt;="&amp;TableWeeklySummary[[#This Row],[Hasta]])</f>
        <v>0</v>
      </c>
      <c r="N205" s="12">
        <f ca="1">SUMIFS(TableDailySummary[Tienda 81_net_sales],TableDailySummary[Fecha],"&gt;="&amp;TableWeeklySummary[[#This Row],[Desde]],TableDailySummary[Fecha],"&lt;="&amp;TableWeeklySummary[[#This Row],[Hasta]])</f>
        <v>0</v>
      </c>
      <c r="O205" s="12">
        <f ca="1">SUMIFS(TableDailySummary[Tienda 81_orders],TableDailySummary[Fecha],"&gt;="&amp;TableWeeklySummary[[#This Row],[Desde]],TableDailySummary[Fecha],"&lt;="&amp;TableWeeklySummary[[#This Row],[Hasta]])</f>
        <v>0</v>
      </c>
      <c r="P205" s="12">
        <f ca="1">SUMIFS(TableDailySummary[Rappi_net_sales],TableDailySummary[Fecha],"&gt;="&amp;TableWeeklySummary[[#This Row],[Desde]],TableDailySummary[Fecha],"&lt;="&amp;TableWeeklySummary[[#This Row],[Hasta]])</f>
        <v>0</v>
      </c>
      <c r="Q205" s="12">
        <f ca="1">SUMIFS(TableDailySummary[Rappi_orders],TableDailySummary[Fecha],"&gt;="&amp;TableWeeklySummary[[#This Row],[Desde]],TableDailySummary[Fecha],"&lt;="&amp;TableWeeklySummary[[#This Row],[Hasta]])</f>
        <v>0</v>
      </c>
      <c r="R20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0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05" s="12">
        <f ca="1">SUMIFS(TableDailySummary[Inversión google ads],TableDailySummary[Fecha],"&gt;="&amp;TableWeeklySummary[[#This Row],[Desde]],TableDailySummary[Fecha],"&lt;="&amp;TableWeeklySummary[[#This Row],[Hasta]])</f>
        <v>0</v>
      </c>
      <c r="U205" s="12">
        <f ca="1">SUMIFS(TableDailySummary[Ventas google ads],TableDailySummary[Fecha],"&gt;="&amp;TableWeeklySummary[[#This Row],[Desde]],TableDailySummary[Fecha],"&lt;="&amp;TableWeeklySummary[[#This Row],[Hasta]])</f>
        <v>0</v>
      </c>
      <c r="V205" s="12">
        <f ca="1">SUMIFS(TableDailySummary[Inversión meta ads],TableDailySummary[Fecha],"&gt;="&amp;TableWeeklySummary[[#This Row],[Desde]],TableDailySummary[Fecha],"&lt;="&amp;TableWeeklySummary[[#This Row],[Hasta]])</f>
        <v>0</v>
      </c>
      <c r="W205" s="12">
        <f ca="1">SUMIFS(TableDailySummary[Ventas meta ads],TableDailySummary[Fecha],"&gt;="&amp;TableWeeklySummary[[#This Row],[Desde]],TableDailySummary[Fecha],"&lt;="&amp;TableWeeklySummary[[#This Row],[Hasta]])</f>
        <v>0</v>
      </c>
      <c r="X205" s="12">
        <f ca="1">TableWeeklySummary[[#This Row],[Inversión google ads]]+TableWeeklySummary[[#This Row],[Inversión meta ads]]</f>
        <v>0</v>
      </c>
      <c r="Y205" s="12">
        <f ca="1">TableWeeklySummary[[#This Row],[Ventas google ads]]+TableWeeklySummary[[#This Row],[Ventas meta ads]]</f>
        <v>0</v>
      </c>
      <c r="Z205" s="14">
        <f ca="1">IFERROR(TableWeeklySummary[[#This Row],[Ventas publicidad]]/TableWeeklySummary[[#This Row],[Inversión publicidad]],0)</f>
        <v>0</v>
      </c>
      <c r="AA205" s="14">
        <f ca="1">IFERROR(TableWeeklySummary[[#This Row],[Ventas primer cliente]]/TableWeeklySummary[[#This Row],[Inversión publicidad]],0)</f>
        <v>0</v>
      </c>
      <c r="AB205" s="14"/>
      <c r="AC205" s="12"/>
      <c r="AI20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0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05" s="12">
        <f ca="1">SUMIFS(TableDailySummary[Utilidad bruta],TableDailySummary[Fecha],"&gt;="&amp;TableWeeklySummary[[#This Row],[Desde]],TableDailySummary[Fecha],"&lt;="&amp;TableWeeklySummary[[#This Row],[Hasta]])</f>
        <v>0</v>
      </c>
      <c r="AL205" s="18">
        <f ca="1">IFERROR(TableWeeklySummary[[#This Row],[Utilidad bruta]]/TableWeeklySummary[[#This Row],[Ventas netas con costo registrado]],0)</f>
        <v>0</v>
      </c>
    </row>
    <row r="206" spans="2:38" x14ac:dyDescent="0.2">
      <c r="B206" s="16">
        <f ca="1">_xlfn.ISOWEEKNUM(TableWeeklySummary[[#This Row],[Hasta]])</f>
        <v>35</v>
      </c>
      <c r="C206" s="6">
        <f t="shared" ca="1" si="5"/>
        <v>47354</v>
      </c>
      <c r="D206" s="6">
        <f ca="1">TableWeeklySummary[[#This Row],[Desde]]+7-1</f>
        <v>47360</v>
      </c>
      <c r="E206" s="12">
        <f ca="1">SUMIFS(TableDailySummary[Ventas netas totales],TableDailySummary[Fecha],"&gt;="&amp;TableWeeklySummary[[#This Row],[Desde]],TableDailySummary[Fecha],"&lt;="&amp;TableWeeklySummary[[#This Row],[Hasta]])</f>
        <v>0</v>
      </c>
      <c r="F206" s="12">
        <f ca="1">SUMIFS(TableDailySummary[Órdenes totales],TableDailySummary[Fecha],"&gt;="&amp;TableWeeklySummary[[#This Row],[Desde]],TableDailySummary[Fecha],"&lt;="&amp;TableWeeklySummary[[#This Row],[Hasta]])</f>
        <v>0</v>
      </c>
      <c r="G206" s="12">
        <f ca="1">IFERROR(TableWeeklySummary[[#This Row],[Ventas netas totales]]/TableWeeklySummary[[#This Row],[Órdenes totales]],0)</f>
        <v>0</v>
      </c>
      <c r="H20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06" s="12">
        <f ca="1">TableWeeklySummary[[#This Row],[Órden promedio totales]]*TableWeeklySummary[[#This Row],[CR totales]]</f>
        <v>0</v>
      </c>
      <c r="J206" s="12">
        <f ca="1">SUMIFS(TableDailySummary[Ventas primer cliente],TableDailySummary[Fecha],"&gt;="&amp;TableWeeklySummary[[#This Row],[Desde]],TableDailySummary[Fecha],"&lt;="&amp;TableWeeklySummary[[#This Row],[Hasta]])</f>
        <v>0</v>
      </c>
      <c r="K206" s="12">
        <f ca="1">SUMIFS(TableDailySummary[Órdenes primer cliente],TableDailySummary[Fecha],"&gt;="&amp;TableWeeklySummary[[#This Row],[Desde]],TableDailySummary[Fecha],"&lt;="&amp;TableWeeklySummary[[#This Row],[Hasta]])</f>
        <v>0</v>
      </c>
      <c r="L206" s="12">
        <f ca="1">SUMIFS(TableDailySummary[Online Store_net_sales],TableDailySummary[Fecha],"&gt;="&amp;TableWeeklySummary[[#This Row],[Desde]],TableDailySummary[Fecha],"&lt;="&amp;TableWeeklySummary[[#This Row],[Hasta]])</f>
        <v>0</v>
      </c>
      <c r="M206" s="12">
        <f ca="1">SUMIFS(TableDailySummary[Online Store_orders],TableDailySummary[Fecha],"&gt;="&amp;TableWeeklySummary[[#This Row],[Desde]],TableDailySummary[Fecha],"&lt;="&amp;TableWeeklySummary[[#This Row],[Hasta]])</f>
        <v>0</v>
      </c>
      <c r="N206" s="12">
        <f ca="1">SUMIFS(TableDailySummary[Tienda 81_net_sales],TableDailySummary[Fecha],"&gt;="&amp;TableWeeklySummary[[#This Row],[Desde]],TableDailySummary[Fecha],"&lt;="&amp;TableWeeklySummary[[#This Row],[Hasta]])</f>
        <v>0</v>
      </c>
      <c r="O206" s="12">
        <f ca="1">SUMIFS(TableDailySummary[Tienda 81_orders],TableDailySummary[Fecha],"&gt;="&amp;TableWeeklySummary[[#This Row],[Desde]],TableDailySummary[Fecha],"&lt;="&amp;TableWeeklySummary[[#This Row],[Hasta]])</f>
        <v>0</v>
      </c>
      <c r="P206" s="12">
        <f ca="1">SUMIFS(TableDailySummary[Rappi_net_sales],TableDailySummary[Fecha],"&gt;="&amp;TableWeeklySummary[[#This Row],[Desde]],TableDailySummary[Fecha],"&lt;="&amp;TableWeeklySummary[[#This Row],[Hasta]])</f>
        <v>0</v>
      </c>
      <c r="Q206" s="12">
        <f ca="1">SUMIFS(TableDailySummary[Rappi_orders],TableDailySummary[Fecha],"&gt;="&amp;TableWeeklySummary[[#This Row],[Desde]],TableDailySummary[Fecha],"&lt;="&amp;TableWeeklySummary[[#This Row],[Hasta]])</f>
        <v>0</v>
      </c>
      <c r="R20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0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06" s="12">
        <f ca="1">SUMIFS(TableDailySummary[Inversión google ads],TableDailySummary[Fecha],"&gt;="&amp;TableWeeklySummary[[#This Row],[Desde]],TableDailySummary[Fecha],"&lt;="&amp;TableWeeklySummary[[#This Row],[Hasta]])</f>
        <v>0</v>
      </c>
      <c r="U206" s="12">
        <f ca="1">SUMIFS(TableDailySummary[Ventas google ads],TableDailySummary[Fecha],"&gt;="&amp;TableWeeklySummary[[#This Row],[Desde]],TableDailySummary[Fecha],"&lt;="&amp;TableWeeklySummary[[#This Row],[Hasta]])</f>
        <v>0</v>
      </c>
      <c r="V206" s="12">
        <f ca="1">SUMIFS(TableDailySummary[Inversión meta ads],TableDailySummary[Fecha],"&gt;="&amp;TableWeeklySummary[[#This Row],[Desde]],TableDailySummary[Fecha],"&lt;="&amp;TableWeeklySummary[[#This Row],[Hasta]])</f>
        <v>0</v>
      </c>
      <c r="W206" s="12">
        <f ca="1">SUMIFS(TableDailySummary[Ventas meta ads],TableDailySummary[Fecha],"&gt;="&amp;TableWeeklySummary[[#This Row],[Desde]],TableDailySummary[Fecha],"&lt;="&amp;TableWeeklySummary[[#This Row],[Hasta]])</f>
        <v>0</v>
      </c>
      <c r="X206" s="12">
        <f ca="1">TableWeeklySummary[[#This Row],[Inversión google ads]]+TableWeeklySummary[[#This Row],[Inversión meta ads]]</f>
        <v>0</v>
      </c>
      <c r="Y206" s="12">
        <f ca="1">TableWeeklySummary[[#This Row],[Ventas google ads]]+TableWeeklySummary[[#This Row],[Ventas meta ads]]</f>
        <v>0</v>
      </c>
      <c r="Z206" s="14">
        <f ca="1">IFERROR(TableWeeklySummary[[#This Row],[Ventas publicidad]]/TableWeeklySummary[[#This Row],[Inversión publicidad]],0)</f>
        <v>0</v>
      </c>
      <c r="AA206" s="14">
        <f ca="1">IFERROR(TableWeeklySummary[[#This Row],[Ventas primer cliente]]/TableWeeklySummary[[#This Row],[Inversión publicidad]],0)</f>
        <v>0</v>
      </c>
      <c r="AB206" s="14"/>
      <c r="AC206" s="12"/>
      <c r="AI20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0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06" s="12">
        <f ca="1">SUMIFS(TableDailySummary[Utilidad bruta],TableDailySummary[Fecha],"&gt;="&amp;TableWeeklySummary[[#This Row],[Desde]],TableDailySummary[Fecha],"&lt;="&amp;TableWeeklySummary[[#This Row],[Hasta]])</f>
        <v>0</v>
      </c>
      <c r="AL206" s="18">
        <f ca="1">IFERROR(TableWeeklySummary[[#This Row],[Utilidad bruta]]/TableWeeklySummary[[#This Row],[Ventas netas con costo registrado]],0)</f>
        <v>0</v>
      </c>
    </row>
    <row r="207" spans="2:38" x14ac:dyDescent="0.2">
      <c r="B207" s="16">
        <f ca="1">_xlfn.ISOWEEKNUM(TableWeeklySummary[[#This Row],[Hasta]])</f>
        <v>36</v>
      </c>
      <c r="C207" s="6">
        <f t="shared" ca="1" si="5"/>
        <v>47361</v>
      </c>
      <c r="D207" s="6">
        <f ca="1">TableWeeklySummary[[#This Row],[Desde]]+7-1</f>
        <v>47367</v>
      </c>
      <c r="E207" s="12">
        <f ca="1">SUMIFS(TableDailySummary[Ventas netas totales],TableDailySummary[Fecha],"&gt;="&amp;TableWeeklySummary[[#This Row],[Desde]],TableDailySummary[Fecha],"&lt;="&amp;TableWeeklySummary[[#This Row],[Hasta]])</f>
        <v>0</v>
      </c>
      <c r="F207" s="12">
        <f ca="1">SUMIFS(TableDailySummary[Órdenes totales],TableDailySummary[Fecha],"&gt;="&amp;TableWeeklySummary[[#This Row],[Desde]],TableDailySummary[Fecha],"&lt;="&amp;TableWeeklySummary[[#This Row],[Hasta]])</f>
        <v>0</v>
      </c>
      <c r="G207" s="12">
        <f ca="1">IFERROR(TableWeeklySummary[[#This Row],[Ventas netas totales]]/TableWeeklySummary[[#This Row],[Órdenes totales]],0)</f>
        <v>0</v>
      </c>
      <c r="H20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07" s="12">
        <f ca="1">TableWeeklySummary[[#This Row],[Órden promedio totales]]*TableWeeklySummary[[#This Row],[CR totales]]</f>
        <v>0</v>
      </c>
      <c r="J207" s="12">
        <f ca="1">SUMIFS(TableDailySummary[Ventas primer cliente],TableDailySummary[Fecha],"&gt;="&amp;TableWeeklySummary[[#This Row],[Desde]],TableDailySummary[Fecha],"&lt;="&amp;TableWeeklySummary[[#This Row],[Hasta]])</f>
        <v>0</v>
      </c>
      <c r="K207" s="12">
        <f ca="1">SUMIFS(TableDailySummary[Órdenes primer cliente],TableDailySummary[Fecha],"&gt;="&amp;TableWeeklySummary[[#This Row],[Desde]],TableDailySummary[Fecha],"&lt;="&amp;TableWeeklySummary[[#This Row],[Hasta]])</f>
        <v>0</v>
      </c>
      <c r="L207" s="12">
        <f ca="1">SUMIFS(TableDailySummary[Online Store_net_sales],TableDailySummary[Fecha],"&gt;="&amp;TableWeeklySummary[[#This Row],[Desde]],TableDailySummary[Fecha],"&lt;="&amp;TableWeeklySummary[[#This Row],[Hasta]])</f>
        <v>0</v>
      </c>
      <c r="M207" s="12">
        <f ca="1">SUMIFS(TableDailySummary[Online Store_orders],TableDailySummary[Fecha],"&gt;="&amp;TableWeeklySummary[[#This Row],[Desde]],TableDailySummary[Fecha],"&lt;="&amp;TableWeeklySummary[[#This Row],[Hasta]])</f>
        <v>0</v>
      </c>
      <c r="N207" s="12">
        <f ca="1">SUMIFS(TableDailySummary[Tienda 81_net_sales],TableDailySummary[Fecha],"&gt;="&amp;TableWeeklySummary[[#This Row],[Desde]],TableDailySummary[Fecha],"&lt;="&amp;TableWeeklySummary[[#This Row],[Hasta]])</f>
        <v>0</v>
      </c>
      <c r="O207" s="12">
        <f ca="1">SUMIFS(TableDailySummary[Tienda 81_orders],TableDailySummary[Fecha],"&gt;="&amp;TableWeeklySummary[[#This Row],[Desde]],TableDailySummary[Fecha],"&lt;="&amp;TableWeeklySummary[[#This Row],[Hasta]])</f>
        <v>0</v>
      </c>
      <c r="P207" s="12">
        <f ca="1">SUMIFS(TableDailySummary[Rappi_net_sales],TableDailySummary[Fecha],"&gt;="&amp;TableWeeklySummary[[#This Row],[Desde]],TableDailySummary[Fecha],"&lt;="&amp;TableWeeklySummary[[#This Row],[Hasta]])</f>
        <v>0</v>
      </c>
      <c r="Q207" s="12">
        <f ca="1">SUMIFS(TableDailySummary[Rappi_orders],TableDailySummary[Fecha],"&gt;="&amp;TableWeeklySummary[[#This Row],[Desde]],TableDailySummary[Fecha],"&lt;="&amp;TableWeeklySummary[[#This Row],[Hasta]])</f>
        <v>0</v>
      </c>
      <c r="R20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0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07" s="12">
        <f ca="1">SUMIFS(TableDailySummary[Inversión google ads],TableDailySummary[Fecha],"&gt;="&amp;TableWeeklySummary[[#This Row],[Desde]],TableDailySummary[Fecha],"&lt;="&amp;TableWeeklySummary[[#This Row],[Hasta]])</f>
        <v>0</v>
      </c>
      <c r="U207" s="12">
        <f ca="1">SUMIFS(TableDailySummary[Ventas google ads],TableDailySummary[Fecha],"&gt;="&amp;TableWeeklySummary[[#This Row],[Desde]],TableDailySummary[Fecha],"&lt;="&amp;TableWeeklySummary[[#This Row],[Hasta]])</f>
        <v>0</v>
      </c>
      <c r="V207" s="12">
        <f ca="1">SUMIFS(TableDailySummary[Inversión meta ads],TableDailySummary[Fecha],"&gt;="&amp;TableWeeklySummary[[#This Row],[Desde]],TableDailySummary[Fecha],"&lt;="&amp;TableWeeklySummary[[#This Row],[Hasta]])</f>
        <v>0</v>
      </c>
      <c r="W207" s="12">
        <f ca="1">SUMIFS(TableDailySummary[Ventas meta ads],TableDailySummary[Fecha],"&gt;="&amp;TableWeeklySummary[[#This Row],[Desde]],TableDailySummary[Fecha],"&lt;="&amp;TableWeeklySummary[[#This Row],[Hasta]])</f>
        <v>0</v>
      </c>
      <c r="X207" s="12">
        <f ca="1">TableWeeklySummary[[#This Row],[Inversión google ads]]+TableWeeklySummary[[#This Row],[Inversión meta ads]]</f>
        <v>0</v>
      </c>
      <c r="Y207" s="12">
        <f ca="1">TableWeeklySummary[[#This Row],[Ventas google ads]]+TableWeeklySummary[[#This Row],[Ventas meta ads]]</f>
        <v>0</v>
      </c>
      <c r="Z207" s="14">
        <f ca="1">IFERROR(TableWeeklySummary[[#This Row],[Ventas publicidad]]/TableWeeklySummary[[#This Row],[Inversión publicidad]],0)</f>
        <v>0</v>
      </c>
      <c r="AA207" s="14">
        <f ca="1">IFERROR(TableWeeklySummary[[#This Row],[Ventas primer cliente]]/TableWeeklySummary[[#This Row],[Inversión publicidad]],0)</f>
        <v>0</v>
      </c>
      <c r="AB207" s="14"/>
      <c r="AC207" s="12"/>
      <c r="AI20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0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07" s="12">
        <f ca="1">SUMIFS(TableDailySummary[Utilidad bruta],TableDailySummary[Fecha],"&gt;="&amp;TableWeeklySummary[[#This Row],[Desde]],TableDailySummary[Fecha],"&lt;="&amp;TableWeeklySummary[[#This Row],[Hasta]])</f>
        <v>0</v>
      </c>
      <c r="AL207" s="18">
        <f ca="1">IFERROR(TableWeeklySummary[[#This Row],[Utilidad bruta]]/TableWeeklySummary[[#This Row],[Ventas netas con costo registrado]],0)</f>
        <v>0</v>
      </c>
    </row>
    <row r="208" spans="2:38" x14ac:dyDescent="0.2">
      <c r="B208" s="16">
        <f ca="1">_xlfn.ISOWEEKNUM(TableWeeklySummary[[#This Row],[Hasta]])</f>
        <v>37</v>
      </c>
      <c r="C208" s="6">
        <f t="shared" ca="1" si="5"/>
        <v>47368</v>
      </c>
      <c r="D208" s="6">
        <f ca="1">TableWeeklySummary[[#This Row],[Desde]]+7-1</f>
        <v>47374</v>
      </c>
      <c r="E208" s="12">
        <f ca="1">SUMIFS(TableDailySummary[Ventas netas totales],TableDailySummary[Fecha],"&gt;="&amp;TableWeeklySummary[[#This Row],[Desde]],TableDailySummary[Fecha],"&lt;="&amp;TableWeeklySummary[[#This Row],[Hasta]])</f>
        <v>0</v>
      </c>
      <c r="F208" s="12">
        <f ca="1">SUMIFS(TableDailySummary[Órdenes totales],TableDailySummary[Fecha],"&gt;="&amp;TableWeeklySummary[[#This Row],[Desde]],TableDailySummary[Fecha],"&lt;="&amp;TableWeeklySummary[[#This Row],[Hasta]])</f>
        <v>0</v>
      </c>
      <c r="G208" s="12">
        <f ca="1">IFERROR(TableWeeklySummary[[#This Row],[Ventas netas totales]]/TableWeeklySummary[[#This Row],[Órdenes totales]],0)</f>
        <v>0</v>
      </c>
      <c r="H20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08" s="12">
        <f ca="1">TableWeeklySummary[[#This Row],[Órden promedio totales]]*TableWeeklySummary[[#This Row],[CR totales]]</f>
        <v>0</v>
      </c>
      <c r="J208" s="12">
        <f ca="1">SUMIFS(TableDailySummary[Ventas primer cliente],TableDailySummary[Fecha],"&gt;="&amp;TableWeeklySummary[[#This Row],[Desde]],TableDailySummary[Fecha],"&lt;="&amp;TableWeeklySummary[[#This Row],[Hasta]])</f>
        <v>0</v>
      </c>
      <c r="K208" s="12">
        <f ca="1">SUMIFS(TableDailySummary[Órdenes primer cliente],TableDailySummary[Fecha],"&gt;="&amp;TableWeeklySummary[[#This Row],[Desde]],TableDailySummary[Fecha],"&lt;="&amp;TableWeeklySummary[[#This Row],[Hasta]])</f>
        <v>0</v>
      </c>
      <c r="L208" s="12">
        <f ca="1">SUMIFS(TableDailySummary[Online Store_net_sales],TableDailySummary[Fecha],"&gt;="&amp;TableWeeklySummary[[#This Row],[Desde]],TableDailySummary[Fecha],"&lt;="&amp;TableWeeklySummary[[#This Row],[Hasta]])</f>
        <v>0</v>
      </c>
      <c r="M208" s="12">
        <f ca="1">SUMIFS(TableDailySummary[Online Store_orders],TableDailySummary[Fecha],"&gt;="&amp;TableWeeklySummary[[#This Row],[Desde]],TableDailySummary[Fecha],"&lt;="&amp;TableWeeklySummary[[#This Row],[Hasta]])</f>
        <v>0</v>
      </c>
      <c r="N208" s="12">
        <f ca="1">SUMIFS(TableDailySummary[Tienda 81_net_sales],TableDailySummary[Fecha],"&gt;="&amp;TableWeeklySummary[[#This Row],[Desde]],TableDailySummary[Fecha],"&lt;="&amp;TableWeeklySummary[[#This Row],[Hasta]])</f>
        <v>0</v>
      </c>
      <c r="O208" s="12">
        <f ca="1">SUMIFS(TableDailySummary[Tienda 81_orders],TableDailySummary[Fecha],"&gt;="&amp;TableWeeklySummary[[#This Row],[Desde]],TableDailySummary[Fecha],"&lt;="&amp;TableWeeklySummary[[#This Row],[Hasta]])</f>
        <v>0</v>
      </c>
      <c r="P208" s="12">
        <f ca="1">SUMIFS(TableDailySummary[Rappi_net_sales],TableDailySummary[Fecha],"&gt;="&amp;TableWeeklySummary[[#This Row],[Desde]],TableDailySummary[Fecha],"&lt;="&amp;TableWeeklySummary[[#This Row],[Hasta]])</f>
        <v>0</v>
      </c>
      <c r="Q208" s="12">
        <f ca="1">SUMIFS(TableDailySummary[Rappi_orders],TableDailySummary[Fecha],"&gt;="&amp;TableWeeklySummary[[#This Row],[Desde]],TableDailySummary[Fecha],"&lt;="&amp;TableWeeklySummary[[#This Row],[Hasta]])</f>
        <v>0</v>
      </c>
      <c r="R20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0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08" s="12">
        <f ca="1">SUMIFS(TableDailySummary[Inversión google ads],TableDailySummary[Fecha],"&gt;="&amp;TableWeeklySummary[[#This Row],[Desde]],TableDailySummary[Fecha],"&lt;="&amp;TableWeeklySummary[[#This Row],[Hasta]])</f>
        <v>0</v>
      </c>
      <c r="U208" s="12">
        <f ca="1">SUMIFS(TableDailySummary[Ventas google ads],TableDailySummary[Fecha],"&gt;="&amp;TableWeeklySummary[[#This Row],[Desde]],TableDailySummary[Fecha],"&lt;="&amp;TableWeeklySummary[[#This Row],[Hasta]])</f>
        <v>0</v>
      </c>
      <c r="V208" s="12">
        <f ca="1">SUMIFS(TableDailySummary[Inversión meta ads],TableDailySummary[Fecha],"&gt;="&amp;TableWeeklySummary[[#This Row],[Desde]],TableDailySummary[Fecha],"&lt;="&amp;TableWeeklySummary[[#This Row],[Hasta]])</f>
        <v>0</v>
      </c>
      <c r="W208" s="12">
        <f ca="1">SUMIFS(TableDailySummary[Ventas meta ads],TableDailySummary[Fecha],"&gt;="&amp;TableWeeklySummary[[#This Row],[Desde]],TableDailySummary[Fecha],"&lt;="&amp;TableWeeklySummary[[#This Row],[Hasta]])</f>
        <v>0</v>
      </c>
      <c r="X208" s="12">
        <f ca="1">TableWeeklySummary[[#This Row],[Inversión google ads]]+TableWeeklySummary[[#This Row],[Inversión meta ads]]</f>
        <v>0</v>
      </c>
      <c r="Y208" s="12">
        <f ca="1">TableWeeklySummary[[#This Row],[Ventas google ads]]+TableWeeklySummary[[#This Row],[Ventas meta ads]]</f>
        <v>0</v>
      </c>
      <c r="Z208" s="14">
        <f ca="1">IFERROR(TableWeeklySummary[[#This Row],[Ventas publicidad]]/TableWeeklySummary[[#This Row],[Inversión publicidad]],0)</f>
        <v>0</v>
      </c>
      <c r="AA208" s="14">
        <f ca="1">IFERROR(TableWeeklySummary[[#This Row],[Ventas primer cliente]]/TableWeeklySummary[[#This Row],[Inversión publicidad]],0)</f>
        <v>0</v>
      </c>
      <c r="AB208" s="14"/>
      <c r="AC208" s="12"/>
      <c r="AI20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0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08" s="12">
        <f ca="1">SUMIFS(TableDailySummary[Utilidad bruta],TableDailySummary[Fecha],"&gt;="&amp;TableWeeklySummary[[#This Row],[Desde]],TableDailySummary[Fecha],"&lt;="&amp;TableWeeklySummary[[#This Row],[Hasta]])</f>
        <v>0</v>
      </c>
      <c r="AL208" s="18">
        <f ca="1">IFERROR(TableWeeklySummary[[#This Row],[Utilidad bruta]]/TableWeeklySummary[[#This Row],[Ventas netas con costo registrado]],0)</f>
        <v>0</v>
      </c>
    </row>
    <row r="209" spans="2:38" x14ac:dyDescent="0.2">
      <c r="B209" s="16">
        <f ca="1">_xlfn.ISOWEEKNUM(TableWeeklySummary[[#This Row],[Hasta]])</f>
        <v>38</v>
      </c>
      <c r="C209" s="6">
        <f t="shared" ca="1" si="5"/>
        <v>47375</v>
      </c>
      <c r="D209" s="6">
        <f ca="1">TableWeeklySummary[[#This Row],[Desde]]+7-1</f>
        <v>47381</v>
      </c>
      <c r="E209" s="12">
        <f ca="1">SUMIFS(TableDailySummary[Ventas netas totales],TableDailySummary[Fecha],"&gt;="&amp;TableWeeklySummary[[#This Row],[Desde]],TableDailySummary[Fecha],"&lt;="&amp;TableWeeklySummary[[#This Row],[Hasta]])</f>
        <v>0</v>
      </c>
      <c r="F209" s="12">
        <f ca="1">SUMIFS(TableDailySummary[Órdenes totales],TableDailySummary[Fecha],"&gt;="&amp;TableWeeklySummary[[#This Row],[Desde]],TableDailySummary[Fecha],"&lt;="&amp;TableWeeklySummary[[#This Row],[Hasta]])</f>
        <v>0</v>
      </c>
      <c r="G209" s="12">
        <f ca="1">IFERROR(TableWeeklySummary[[#This Row],[Ventas netas totales]]/TableWeeklySummary[[#This Row],[Órdenes totales]],0)</f>
        <v>0</v>
      </c>
      <c r="H20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09" s="12">
        <f ca="1">TableWeeklySummary[[#This Row],[Órden promedio totales]]*TableWeeklySummary[[#This Row],[CR totales]]</f>
        <v>0</v>
      </c>
      <c r="J209" s="12">
        <f ca="1">SUMIFS(TableDailySummary[Ventas primer cliente],TableDailySummary[Fecha],"&gt;="&amp;TableWeeklySummary[[#This Row],[Desde]],TableDailySummary[Fecha],"&lt;="&amp;TableWeeklySummary[[#This Row],[Hasta]])</f>
        <v>0</v>
      </c>
      <c r="K209" s="12">
        <f ca="1">SUMIFS(TableDailySummary[Órdenes primer cliente],TableDailySummary[Fecha],"&gt;="&amp;TableWeeklySummary[[#This Row],[Desde]],TableDailySummary[Fecha],"&lt;="&amp;TableWeeklySummary[[#This Row],[Hasta]])</f>
        <v>0</v>
      </c>
      <c r="L209" s="12">
        <f ca="1">SUMIFS(TableDailySummary[Online Store_net_sales],TableDailySummary[Fecha],"&gt;="&amp;TableWeeklySummary[[#This Row],[Desde]],TableDailySummary[Fecha],"&lt;="&amp;TableWeeklySummary[[#This Row],[Hasta]])</f>
        <v>0</v>
      </c>
      <c r="M209" s="12">
        <f ca="1">SUMIFS(TableDailySummary[Online Store_orders],TableDailySummary[Fecha],"&gt;="&amp;TableWeeklySummary[[#This Row],[Desde]],TableDailySummary[Fecha],"&lt;="&amp;TableWeeklySummary[[#This Row],[Hasta]])</f>
        <v>0</v>
      </c>
      <c r="N209" s="12">
        <f ca="1">SUMIFS(TableDailySummary[Tienda 81_net_sales],TableDailySummary[Fecha],"&gt;="&amp;TableWeeklySummary[[#This Row],[Desde]],TableDailySummary[Fecha],"&lt;="&amp;TableWeeklySummary[[#This Row],[Hasta]])</f>
        <v>0</v>
      </c>
      <c r="O209" s="12">
        <f ca="1">SUMIFS(TableDailySummary[Tienda 81_orders],TableDailySummary[Fecha],"&gt;="&amp;TableWeeklySummary[[#This Row],[Desde]],TableDailySummary[Fecha],"&lt;="&amp;TableWeeklySummary[[#This Row],[Hasta]])</f>
        <v>0</v>
      </c>
      <c r="P209" s="12">
        <f ca="1">SUMIFS(TableDailySummary[Rappi_net_sales],TableDailySummary[Fecha],"&gt;="&amp;TableWeeklySummary[[#This Row],[Desde]],TableDailySummary[Fecha],"&lt;="&amp;TableWeeklySummary[[#This Row],[Hasta]])</f>
        <v>0</v>
      </c>
      <c r="Q209" s="12">
        <f ca="1">SUMIFS(TableDailySummary[Rappi_orders],TableDailySummary[Fecha],"&gt;="&amp;TableWeeklySummary[[#This Row],[Desde]],TableDailySummary[Fecha],"&lt;="&amp;TableWeeklySummary[[#This Row],[Hasta]])</f>
        <v>0</v>
      </c>
      <c r="R20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0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09" s="12">
        <f ca="1">SUMIFS(TableDailySummary[Inversión google ads],TableDailySummary[Fecha],"&gt;="&amp;TableWeeklySummary[[#This Row],[Desde]],TableDailySummary[Fecha],"&lt;="&amp;TableWeeklySummary[[#This Row],[Hasta]])</f>
        <v>0</v>
      </c>
      <c r="U209" s="12">
        <f ca="1">SUMIFS(TableDailySummary[Ventas google ads],TableDailySummary[Fecha],"&gt;="&amp;TableWeeklySummary[[#This Row],[Desde]],TableDailySummary[Fecha],"&lt;="&amp;TableWeeklySummary[[#This Row],[Hasta]])</f>
        <v>0</v>
      </c>
      <c r="V209" s="12">
        <f ca="1">SUMIFS(TableDailySummary[Inversión meta ads],TableDailySummary[Fecha],"&gt;="&amp;TableWeeklySummary[[#This Row],[Desde]],TableDailySummary[Fecha],"&lt;="&amp;TableWeeklySummary[[#This Row],[Hasta]])</f>
        <v>0</v>
      </c>
      <c r="W209" s="12">
        <f ca="1">SUMIFS(TableDailySummary[Ventas meta ads],TableDailySummary[Fecha],"&gt;="&amp;TableWeeklySummary[[#This Row],[Desde]],TableDailySummary[Fecha],"&lt;="&amp;TableWeeklySummary[[#This Row],[Hasta]])</f>
        <v>0</v>
      </c>
      <c r="X209" s="12">
        <f ca="1">TableWeeklySummary[[#This Row],[Inversión google ads]]+TableWeeklySummary[[#This Row],[Inversión meta ads]]</f>
        <v>0</v>
      </c>
      <c r="Y209" s="12">
        <f ca="1">TableWeeklySummary[[#This Row],[Ventas google ads]]+TableWeeklySummary[[#This Row],[Ventas meta ads]]</f>
        <v>0</v>
      </c>
      <c r="Z209" s="14">
        <f ca="1">IFERROR(TableWeeklySummary[[#This Row],[Ventas publicidad]]/TableWeeklySummary[[#This Row],[Inversión publicidad]],0)</f>
        <v>0</v>
      </c>
      <c r="AA209" s="14">
        <f ca="1">IFERROR(TableWeeklySummary[[#This Row],[Ventas primer cliente]]/TableWeeklySummary[[#This Row],[Inversión publicidad]],0)</f>
        <v>0</v>
      </c>
      <c r="AB209" s="14"/>
      <c r="AC209" s="12"/>
      <c r="AI20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0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09" s="12">
        <f ca="1">SUMIFS(TableDailySummary[Utilidad bruta],TableDailySummary[Fecha],"&gt;="&amp;TableWeeklySummary[[#This Row],[Desde]],TableDailySummary[Fecha],"&lt;="&amp;TableWeeklySummary[[#This Row],[Hasta]])</f>
        <v>0</v>
      </c>
      <c r="AL209" s="18">
        <f ca="1">IFERROR(TableWeeklySummary[[#This Row],[Utilidad bruta]]/TableWeeklySummary[[#This Row],[Ventas netas con costo registrado]],0)</f>
        <v>0</v>
      </c>
    </row>
    <row r="210" spans="2:38" x14ac:dyDescent="0.2">
      <c r="B210" s="16">
        <f ca="1">_xlfn.ISOWEEKNUM(TableWeeklySummary[[#This Row],[Hasta]])</f>
        <v>39</v>
      </c>
      <c r="C210" s="6">
        <f t="shared" ca="1" si="5"/>
        <v>47382</v>
      </c>
      <c r="D210" s="6">
        <f ca="1">TableWeeklySummary[[#This Row],[Desde]]+7-1</f>
        <v>47388</v>
      </c>
      <c r="E210" s="12">
        <f ca="1">SUMIFS(TableDailySummary[Ventas netas totales],TableDailySummary[Fecha],"&gt;="&amp;TableWeeklySummary[[#This Row],[Desde]],TableDailySummary[Fecha],"&lt;="&amp;TableWeeklySummary[[#This Row],[Hasta]])</f>
        <v>0</v>
      </c>
      <c r="F210" s="12">
        <f ca="1">SUMIFS(TableDailySummary[Órdenes totales],TableDailySummary[Fecha],"&gt;="&amp;TableWeeklySummary[[#This Row],[Desde]],TableDailySummary[Fecha],"&lt;="&amp;TableWeeklySummary[[#This Row],[Hasta]])</f>
        <v>0</v>
      </c>
      <c r="G210" s="12">
        <f ca="1">IFERROR(TableWeeklySummary[[#This Row],[Ventas netas totales]]/TableWeeklySummary[[#This Row],[Órdenes totales]],0)</f>
        <v>0</v>
      </c>
      <c r="H21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10" s="12">
        <f ca="1">TableWeeklySummary[[#This Row],[Órden promedio totales]]*TableWeeklySummary[[#This Row],[CR totales]]</f>
        <v>0</v>
      </c>
      <c r="J210" s="12">
        <f ca="1">SUMIFS(TableDailySummary[Ventas primer cliente],TableDailySummary[Fecha],"&gt;="&amp;TableWeeklySummary[[#This Row],[Desde]],TableDailySummary[Fecha],"&lt;="&amp;TableWeeklySummary[[#This Row],[Hasta]])</f>
        <v>0</v>
      </c>
      <c r="K210" s="12">
        <f ca="1">SUMIFS(TableDailySummary[Órdenes primer cliente],TableDailySummary[Fecha],"&gt;="&amp;TableWeeklySummary[[#This Row],[Desde]],TableDailySummary[Fecha],"&lt;="&amp;TableWeeklySummary[[#This Row],[Hasta]])</f>
        <v>0</v>
      </c>
      <c r="L210" s="12">
        <f ca="1">SUMIFS(TableDailySummary[Online Store_net_sales],TableDailySummary[Fecha],"&gt;="&amp;TableWeeklySummary[[#This Row],[Desde]],TableDailySummary[Fecha],"&lt;="&amp;TableWeeklySummary[[#This Row],[Hasta]])</f>
        <v>0</v>
      </c>
      <c r="M210" s="12">
        <f ca="1">SUMIFS(TableDailySummary[Online Store_orders],TableDailySummary[Fecha],"&gt;="&amp;TableWeeklySummary[[#This Row],[Desde]],TableDailySummary[Fecha],"&lt;="&amp;TableWeeklySummary[[#This Row],[Hasta]])</f>
        <v>0</v>
      </c>
      <c r="N210" s="12">
        <f ca="1">SUMIFS(TableDailySummary[Tienda 81_net_sales],TableDailySummary[Fecha],"&gt;="&amp;TableWeeklySummary[[#This Row],[Desde]],TableDailySummary[Fecha],"&lt;="&amp;TableWeeklySummary[[#This Row],[Hasta]])</f>
        <v>0</v>
      </c>
      <c r="O210" s="12">
        <f ca="1">SUMIFS(TableDailySummary[Tienda 81_orders],TableDailySummary[Fecha],"&gt;="&amp;TableWeeklySummary[[#This Row],[Desde]],TableDailySummary[Fecha],"&lt;="&amp;TableWeeklySummary[[#This Row],[Hasta]])</f>
        <v>0</v>
      </c>
      <c r="P210" s="12">
        <f ca="1">SUMIFS(TableDailySummary[Rappi_net_sales],TableDailySummary[Fecha],"&gt;="&amp;TableWeeklySummary[[#This Row],[Desde]],TableDailySummary[Fecha],"&lt;="&amp;TableWeeklySummary[[#This Row],[Hasta]])</f>
        <v>0</v>
      </c>
      <c r="Q210" s="12">
        <f ca="1">SUMIFS(TableDailySummary[Rappi_orders],TableDailySummary[Fecha],"&gt;="&amp;TableWeeklySummary[[#This Row],[Desde]],TableDailySummary[Fecha],"&lt;="&amp;TableWeeklySummary[[#This Row],[Hasta]])</f>
        <v>0</v>
      </c>
      <c r="R21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1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10" s="12">
        <f ca="1">SUMIFS(TableDailySummary[Inversión google ads],TableDailySummary[Fecha],"&gt;="&amp;TableWeeklySummary[[#This Row],[Desde]],TableDailySummary[Fecha],"&lt;="&amp;TableWeeklySummary[[#This Row],[Hasta]])</f>
        <v>0</v>
      </c>
      <c r="U210" s="12">
        <f ca="1">SUMIFS(TableDailySummary[Ventas google ads],TableDailySummary[Fecha],"&gt;="&amp;TableWeeklySummary[[#This Row],[Desde]],TableDailySummary[Fecha],"&lt;="&amp;TableWeeklySummary[[#This Row],[Hasta]])</f>
        <v>0</v>
      </c>
      <c r="V210" s="12">
        <f ca="1">SUMIFS(TableDailySummary[Inversión meta ads],TableDailySummary[Fecha],"&gt;="&amp;TableWeeklySummary[[#This Row],[Desde]],TableDailySummary[Fecha],"&lt;="&amp;TableWeeklySummary[[#This Row],[Hasta]])</f>
        <v>0</v>
      </c>
      <c r="W210" s="12">
        <f ca="1">SUMIFS(TableDailySummary[Ventas meta ads],TableDailySummary[Fecha],"&gt;="&amp;TableWeeklySummary[[#This Row],[Desde]],TableDailySummary[Fecha],"&lt;="&amp;TableWeeklySummary[[#This Row],[Hasta]])</f>
        <v>0</v>
      </c>
      <c r="X210" s="12">
        <f ca="1">TableWeeklySummary[[#This Row],[Inversión google ads]]+TableWeeklySummary[[#This Row],[Inversión meta ads]]</f>
        <v>0</v>
      </c>
      <c r="Y210" s="12">
        <f ca="1">TableWeeklySummary[[#This Row],[Ventas google ads]]+TableWeeklySummary[[#This Row],[Ventas meta ads]]</f>
        <v>0</v>
      </c>
      <c r="Z210" s="14">
        <f ca="1">IFERROR(TableWeeklySummary[[#This Row],[Ventas publicidad]]/TableWeeklySummary[[#This Row],[Inversión publicidad]],0)</f>
        <v>0</v>
      </c>
      <c r="AA210" s="14">
        <f ca="1">IFERROR(TableWeeklySummary[[#This Row],[Ventas primer cliente]]/TableWeeklySummary[[#This Row],[Inversión publicidad]],0)</f>
        <v>0</v>
      </c>
      <c r="AB210" s="14"/>
      <c r="AC210" s="12"/>
      <c r="AI21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1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10" s="12">
        <f ca="1">SUMIFS(TableDailySummary[Utilidad bruta],TableDailySummary[Fecha],"&gt;="&amp;TableWeeklySummary[[#This Row],[Desde]],TableDailySummary[Fecha],"&lt;="&amp;TableWeeklySummary[[#This Row],[Hasta]])</f>
        <v>0</v>
      </c>
      <c r="AL210" s="18">
        <f ca="1">IFERROR(TableWeeklySummary[[#This Row],[Utilidad bruta]]/TableWeeklySummary[[#This Row],[Ventas netas con costo registrado]],0)</f>
        <v>0</v>
      </c>
    </row>
    <row r="211" spans="2:38" x14ac:dyDescent="0.2">
      <c r="B211" s="16">
        <f ca="1">_xlfn.ISOWEEKNUM(TableWeeklySummary[[#This Row],[Hasta]])</f>
        <v>40</v>
      </c>
      <c r="C211" s="6">
        <f t="shared" ca="1" si="5"/>
        <v>47389</v>
      </c>
      <c r="D211" s="6">
        <f ca="1">TableWeeklySummary[[#This Row],[Desde]]+7-1</f>
        <v>47395</v>
      </c>
      <c r="E211" s="12">
        <f ca="1">SUMIFS(TableDailySummary[Ventas netas totales],TableDailySummary[Fecha],"&gt;="&amp;TableWeeklySummary[[#This Row],[Desde]],TableDailySummary[Fecha],"&lt;="&amp;TableWeeklySummary[[#This Row],[Hasta]])</f>
        <v>0</v>
      </c>
      <c r="F211" s="12">
        <f ca="1">SUMIFS(TableDailySummary[Órdenes totales],TableDailySummary[Fecha],"&gt;="&amp;TableWeeklySummary[[#This Row],[Desde]],TableDailySummary[Fecha],"&lt;="&amp;TableWeeklySummary[[#This Row],[Hasta]])</f>
        <v>0</v>
      </c>
      <c r="G211" s="12">
        <f ca="1">IFERROR(TableWeeklySummary[[#This Row],[Ventas netas totales]]/TableWeeklySummary[[#This Row],[Órdenes totales]],0)</f>
        <v>0</v>
      </c>
      <c r="H21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11" s="12">
        <f ca="1">TableWeeklySummary[[#This Row],[Órden promedio totales]]*TableWeeklySummary[[#This Row],[CR totales]]</f>
        <v>0</v>
      </c>
      <c r="J211" s="12">
        <f ca="1">SUMIFS(TableDailySummary[Ventas primer cliente],TableDailySummary[Fecha],"&gt;="&amp;TableWeeklySummary[[#This Row],[Desde]],TableDailySummary[Fecha],"&lt;="&amp;TableWeeklySummary[[#This Row],[Hasta]])</f>
        <v>0</v>
      </c>
      <c r="K211" s="12">
        <f ca="1">SUMIFS(TableDailySummary[Órdenes primer cliente],TableDailySummary[Fecha],"&gt;="&amp;TableWeeklySummary[[#This Row],[Desde]],TableDailySummary[Fecha],"&lt;="&amp;TableWeeklySummary[[#This Row],[Hasta]])</f>
        <v>0</v>
      </c>
      <c r="L211" s="12">
        <f ca="1">SUMIFS(TableDailySummary[Online Store_net_sales],TableDailySummary[Fecha],"&gt;="&amp;TableWeeklySummary[[#This Row],[Desde]],TableDailySummary[Fecha],"&lt;="&amp;TableWeeklySummary[[#This Row],[Hasta]])</f>
        <v>0</v>
      </c>
      <c r="M211" s="12">
        <f ca="1">SUMIFS(TableDailySummary[Online Store_orders],TableDailySummary[Fecha],"&gt;="&amp;TableWeeklySummary[[#This Row],[Desde]],TableDailySummary[Fecha],"&lt;="&amp;TableWeeklySummary[[#This Row],[Hasta]])</f>
        <v>0</v>
      </c>
      <c r="N211" s="12">
        <f ca="1">SUMIFS(TableDailySummary[Tienda 81_net_sales],TableDailySummary[Fecha],"&gt;="&amp;TableWeeklySummary[[#This Row],[Desde]],TableDailySummary[Fecha],"&lt;="&amp;TableWeeklySummary[[#This Row],[Hasta]])</f>
        <v>0</v>
      </c>
      <c r="O211" s="12">
        <f ca="1">SUMIFS(TableDailySummary[Tienda 81_orders],TableDailySummary[Fecha],"&gt;="&amp;TableWeeklySummary[[#This Row],[Desde]],TableDailySummary[Fecha],"&lt;="&amp;TableWeeklySummary[[#This Row],[Hasta]])</f>
        <v>0</v>
      </c>
      <c r="P211" s="12">
        <f ca="1">SUMIFS(TableDailySummary[Rappi_net_sales],TableDailySummary[Fecha],"&gt;="&amp;TableWeeklySummary[[#This Row],[Desde]],TableDailySummary[Fecha],"&lt;="&amp;TableWeeklySummary[[#This Row],[Hasta]])</f>
        <v>0</v>
      </c>
      <c r="Q211" s="12">
        <f ca="1">SUMIFS(TableDailySummary[Rappi_orders],TableDailySummary[Fecha],"&gt;="&amp;TableWeeklySummary[[#This Row],[Desde]],TableDailySummary[Fecha],"&lt;="&amp;TableWeeklySummary[[#This Row],[Hasta]])</f>
        <v>0</v>
      </c>
      <c r="R21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1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11" s="12">
        <f ca="1">SUMIFS(TableDailySummary[Inversión google ads],TableDailySummary[Fecha],"&gt;="&amp;TableWeeklySummary[[#This Row],[Desde]],TableDailySummary[Fecha],"&lt;="&amp;TableWeeklySummary[[#This Row],[Hasta]])</f>
        <v>0</v>
      </c>
      <c r="U211" s="12">
        <f ca="1">SUMIFS(TableDailySummary[Ventas google ads],TableDailySummary[Fecha],"&gt;="&amp;TableWeeklySummary[[#This Row],[Desde]],TableDailySummary[Fecha],"&lt;="&amp;TableWeeklySummary[[#This Row],[Hasta]])</f>
        <v>0</v>
      </c>
      <c r="V211" s="12">
        <f ca="1">SUMIFS(TableDailySummary[Inversión meta ads],TableDailySummary[Fecha],"&gt;="&amp;TableWeeklySummary[[#This Row],[Desde]],TableDailySummary[Fecha],"&lt;="&amp;TableWeeklySummary[[#This Row],[Hasta]])</f>
        <v>0</v>
      </c>
      <c r="W211" s="12">
        <f ca="1">SUMIFS(TableDailySummary[Ventas meta ads],TableDailySummary[Fecha],"&gt;="&amp;TableWeeklySummary[[#This Row],[Desde]],TableDailySummary[Fecha],"&lt;="&amp;TableWeeklySummary[[#This Row],[Hasta]])</f>
        <v>0</v>
      </c>
      <c r="X211" s="12">
        <f ca="1">TableWeeklySummary[[#This Row],[Inversión google ads]]+TableWeeklySummary[[#This Row],[Inversión meta ads]]</f>
        <v>0</v>
      </c>
      <c r="Y211" s="12">
        <f ca="1">TableWeeklySummary[[#This Row],[Ventas google ads]]+TableWeeklySummary[[#This Row],[Ventas meta ads]]</f>
        <v>0</v>
      </c>
      <c r="Z211" s="14">
        <f ca="1">IFERROR(TableWeeklySummary[[#This Row],[Ventas publicidad]]/TableWeeklySummary[[#This Row],[Inversión publicidad]],0)</f>
        <v>0</v>
      </c>
      <c r="AA211" s="14">
        <f ca="1">IFERROR(TableWeeklySummary[[#This Row],[Ventas primer cliente]]/TableWeeklySummary[[#This Row],[Inversión publicidad]],0)</f>
        <v>0</v>
      </c>
      <c r="AB211" s="14"/>
      <c r="AC211" s="12"/>
      <c r="AI21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1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11" s="12">
        <f ca="1">SUMIFS(TableDailySummary[Utilidad bruta],TableDailySummary[Fecha],"&gt;="&amp;TableWeeklySummary[[#This Row],[Desde]],TableDailySummary[Fecha],"&lt;="&amp;TableWeeklySummary[[#This Row],[Hasta]])</f>
        <v>0</v>
      </c>
      <c r="AL211" s="18">
        <f ca="1">IFERROR(TableWeeklySummary[[#This Row],[Utilidad bruta]]/TableWeeklySummary[[#This Row],[Ventas netas con costo registrado]],0)</f>
        <v>0</v>
      </c>
    </row>
    <row r="212" spans="2:38" x14ac:dyDescent="0.2">
      <c r="B212" s="16">
        <f ca="1">_xlfn.ISOWEEKNUM(TableWeeklySummary[[#This Row],[Hasta]])</f>
        <v>41</v>
      </c>
      <c r="C212" s="6">
        <f t="shared" ca="1" si="5"/>
        <v>47396</v>
      </c>
      <c r="D212" s="6">
        <f ca="1">TableWeeklySummary[[#This Row],[Desde]]+7-1</f>
        <v>47402</v>
      </c>
      <c r="E212" s="12">
        <f ca="1">SUMIFS(TableDailySummary[Ventas netas totales],TableDailySummary[Fecha],"&gt;="&amp;TableWeeklySummary[[#This Row],[Desde]],TableDailySummary[Fecha],"&lt;="&amp;TableWeeklySummary[[#This Row],[Hasta]])</f>
        <v>0</v>
      </c>
      <c r="F212" s="12">
        <f ca="1">SUMIFS(TableDailySummary[Órdenes totales],TableDailySummary[Fecha],"&gt;="&amp;TableWeeklySummary[[#This Row],[Desde]],TableDailySummary[Fecha],"&lt;="&amp;TableWeeklySummary[[#This Row],[Hasta]])</f>
        <v>0</v>
      </c>
      <c r="G212" s="12">
        <f ca="1">IFERROR(TableWeeklySummary[[#This Row],[Ventas netas totales]]/TableWeeklySummary[[#This Row],[Órdenes totales]],0)</f>
        <v>0</v>
      </c>
      <c r="H21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12" s="12">
        <f ca="1">TableWeeklySummary[[#This Row],[Órden promedio totales]]*TableWeeklySummary[[#This Row],[CR totales]]</f>
        <v>0</v>
      </c>
      <c r="J212" s="12">
        <f ca="1">SUMIFS(TableDailySummary[Ventas primer cliente],TableDailySummary[Fecha],"&gt;="&amp;TableWeeklySummary[[#This Row],[Desde]],TableDailySummary[Fecha],"&lt;="&amp;TableWeeklySummary[[#This Row],[Hasta]])</f>
        <v>0</v>
      </c>
      <c r="K212" s="12">
        <f ca="1">SUMIFS(TableDailySummary[Órdenes primer cliente],TableDailySummary[Fecha],"&gt;="&amp;TableWeeklySummary[[#This Row],[Desde]],TableDailySummary[Fecha],"&lt;="&amp;TableWeeklySummary[[#This Row],[Hasta]])</f>
        <v>0</v>
      </c>
      <c r="L212" s="12">
        <f ca="1">SUMIFS(TableDailySummary[Online Store_net_sales],TableDailySummary[Fecha],"&gt;="&amp;TableWeeklySummary[[#This Row],[Desde]],TableDailySummary[Fecha],"&lt;="&amp;TableWeeklySummary[[#This Row],[Hasta]])</f>
        <v>0</v>
      </c>
      <c r="M212" s="12">
        <f ca="1">SUMIFS(TableDailySummary[Online Store_orders],TableDailySummary[Fecha],"&gt;="&amp;TableWeeklySummary[[#This Row],[Desde]],TableDailySummary[Fecha],"&lt;="&amp;TableWeeklySummary[[#This Row],[Hasta]])</f>
        <v>0</v>
      </c>
      <c r="N212" s="12">
        <f ca="1">SUMIFS(TableDailySummary[Tienda 81_net_sales],TableDailySummary[Fecha],"&gt;="&amp;TableWeeklySummary[[#This Row],[Desde]],TableDailySummary[Fecha],"&lt;="&amp;TableWeeklySummary[[#This Row],[Hasta]])</f>
        <v>0</v>
      </c>
      <c r="O212" s="12">
        <f ca="1">SUMIFS(TableDailySummary[Tienda 81_orders],TableDailySummary[Fecha],"&gt;="&amp;TableWeeklySummary[[#This Row],[Desde]],TableDailySummary[Fecha],"&lt;="&amp;TableWeeklySummary[[#This Row],[Hasta]])</f>
        <v>0</v>
      </c>
      <c r="P212" s="12">
        <f ca="1">SUMIFS(TableDailySummary[Rappi_net_sales],TableDailySummary[Fecha],"&gt;="&amp;TableWeeklySummary[[#This Row],[Desde]],TableDailySummary[Fecha],"&lt;="&amp;TableWeeklySummary[[#This Row],[Hasta]])</f>
        <v>0</v>
      </c>
      <c r="Q212" s="12">
        <f ca="1">SUMIFS(TableDailySummary[Rappi_orders],TableDailySummary[Fecha],"&gt;="&amp;TableWeeklySummary[[#This Row],[Desde]],TableDailySummary[Fecha],"&lt;="&amp;TableWeeklySummary[[#This Row],[Hasta]])</f>
        <v>0</v>
      </c>
      <c r="R21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1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12" s="12">
        <f ca="1">SUMIFS(TableDailySummary[Inversión google ads],TableDailySummary[Fecha],"&gt;="&amp;TableWeeklySummary[[#This Row],[Desde]],TableDailySummary[Fecha],"&lt;="&amp;TableWeeklySummary[[#This Row],[Hasta]])</f>
        <v>0</v>
      </c>
      <c r="U212" s="12">
        <f ca="1">SUMIFS(TableDailySummary[Ventas google ads],TableDailySummary[Fecha],"&gt;="&amp;TableWeeklySummary[[#This Row],[Desde]],TableDailySummary[Fecha],"&lt;="&amp;TableWeeklySummary[[#This Row],[Hasta]])</f>
        <v>0</v>
      </c>
      <c r="V212" s="12">
        <f ca="1">SUMIFS(TableDailySummary[Inversión meta ads],TableDailySummary[Fecha],"&gt;="&amp;TableWeeklySummary[[#This Row],[Desde]],TableDailySummary[Fecha],"&lt;="&amp;TableWeeklySummary[[#This Row],[Hasta]])</f>
        <v>0</v>
      </c>
      <c r="W212" s="12">
        <f ca="1">SUMIFS(TableDailySummary[Ventas meta ads],TableDailySummary[Fecha],"&gt;="&amp;TableWeeklySummary[[#This Row],[Desde]],TableDailySummary[Fecha],"&lt;="&amp;TableWeeklySummary[[#This Row],[Hasta]])</f>
        <v>0</v>
      </c>
      <c r="X212" s="12">
        <f ca="1">TableWeeklySummary[[#This Row],[Inversión google ads]]+TableWeeklySummary[[#This Row],[Inversión meta ads]]</f>
        <v>0</v>
      </c>
      <c r="Y212" s="12">
        <f ca="1">TableWeeklySummary[[#This Row],[Ventas google ads]]+TableWeeklySummary[[#This Row],[Ventas meta ads]]</f>
        <v>0</v>
      </c>
      <c r="Z212" s="14">
        <f ca="1">IFERROR(TableWeeklySummary[[#This Row],[Ventas publicidad]]/TableWeeklySummary[[#This Row],[Inversión publicidad]],0)</f>
        <v>0</v>
      </c>
      <c r="AA212" s="14">
        <f ca="1">IFERROR(TableWeeklySummary[[#This Row],[Ventas primer cliente]]/TableWeeklySummary[[#This Row],[Inversión publicidad]],0)</f>
        <v>0</v>
      </c>
      <c r="AB212" s="14"/>
      <c r="AC212" s="12"/>
      <c r="AI21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1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12" s="12">
        <f ca="1">SUMIFS(TableDailySummary[Utilidad bruta],TableDailySummary[Fecha],"&gt;="&amp;TableWeeklySummary[[#This Row],[Desde]],TableDailySummary[Fecha],"&lt;="&amp;TableWeeklySummary[[#This Row],[Hasta]])</f>
        <v>0</v>
      </c>
      <c r="AL212" s="18">
        <f ca="1">IFERROR(TableWeeklySummary[[#This Row],[Utilidad bruta]]/TableWeeklySummary[[#This Row],[Ventas netas con costo registrado]],0)</f>
        <v>0</v>
      </c>
    </row>
    <row r="213" spans="2:38" x14ac:dyDescent="0.2">
      <c r="B213" s="16">
        <f ca="1">_xlfn.ISOWEEKNUM(TableWeeklySummary[[#This Row],[Hasta]])</f>
        <v>42</v>
      </c>
      <c r="C213" s="6">
        <f t="shared" ca="1" si="5"/>
        <v>47403</v>
      </c>
      <c r="D213" s="6">
        <f ca="1">TableWeeklySummary[[#This Row],[Desde]]+7-1</f>
        <v>47409</v>
      </c>
      <c r="E213" s="12">
        <f ca="1">SUMIFS(TableDailySummary[Ventas netas totales],TableDailySummary[Fecha],"&gt;="&amp;TableWeeklySummary[[#This Row],[Desde]],TableDailySummary[Fecha],"&lt;="&amp;TableWeeklySummary[[#This Row],[Hasta]])</f>
        <v>0</v>
      </c>
      <c r="F213" s="12">
        <f ca="1">SUMIFS(TableDailySummary[Órdenes totales],TableDailySummary[Fecha],"&gt;="&amp;TableWeeklySummary[[#This Row],[Desde]],TableDailySummary[Fecha],"&lt;="&amp;TableWeeklySummary[[#This Row],[Hasta]])</f>
        <v>0</v>
      </c>
      <c r="G213" s="12">
        <f ca="1">IFERROR(TableWeeklySummary[[#This Row],[Ventas netas totales]]/TableWeeklySummary[[#This Row],[Órdenes totales]],0)</f>
        <v>0</v>
      </c>
      <c r="H21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13" s="12">
        <f ca="1">TableWeeklySummary[[#This Row],[Órden promedio totales]]*TableWeeklySummary[[#This Row],[CR totales]]</f>
        <v>0</v>
      </c>
      <c r="J213" s="12">
        <f ca="1">SUMIFS(TableDailySummary[Ventas primer cliente],TableDailySummary[Fecha],"&gt;="&amp;TableWeeklySummary[[#This Row],[Desde]],TableDailySummary[Fecha],"&lt;="&amp;TableWeeklySummary[[#This Row],[Hasta]])</f>
        <v>0</v>
      </c>
      <c r="K213" s="12">
        <f ca="1">SUMIFS(TableDailySummary[Órdenes primer cliente],TableDailySummary[Fecha],"&gt;="&amp;TableWeeklySummary[[#This Row],[Desde]],TableDailySummary[Fecha],"&lt;="&amp;TableWeeklySummary[[#This Row],[Hasta]])</f>
        <v>0</v>
      </c>
      <c r="L213" s="12">
        <f ca="1">SUMIFS(TableDailySummary[Online Store_net_sales],TableDailySummary[Fecha],"&gt;="&amp;TableWeeklySummary[[#This Row],[Desde]],TableDailySummary[Fecha],"&lt;="&amp;TableWeeklySummary[[#This Row],[Hasta]])</f>
        <v>0</v>
      </c>
      <c r="M213" s="12">
        <f ca="1">SUMIFS(TableDailySummary[Online Store_orders],TableDailySummary[Fecha],"&gt;="&amp;TableWeeklySummary[[#This Row],[Desde]],TableDailySummary[Fecha],"&lt;="&amp;TableWeeklySummary[[#This Row],[Hasta]])</f>
        <v>0</v>
      </c>
      <c r="N213" s="12">
        <f ca="1">SUMIFS(TableDailySummary[Tienda 81_net_sales],TableDailySummary[Fecha],"&gt;="&amp;TableWeeklySummary[[#This Row],[Desde]],TableDailySummary[Fecha],"&lt;="&amp;TableWeeklySummary[[#This Row],[Hasta]])</f>
        <v>0</v>
      </c>
      <c r="O213" s="12">
        <f ca="1">SUMIFS(TableDailySummary[Tienda 81_orders],TableDailySummary[Fecha],"&gt;="&amp;TableWeeklySummary[[#This Row],[Desde]],TableDailySummary[Fecha],"&lt;="&amp;TableWeeklySummary[[#This Row],[Hasta]])</f>
        <v>0</v>
      </c>
      <c r="P213" s="12">
        <f ca="1">SUMIFS(TableDailySummary[Rappi_net_sales],TableDailySummary[Fecha],"&gt;="&amp;TableWeeklySummary[[#This Row],[Desde]],TableDailySummary[Fecha],"&lt;="&amp;TableWeeklySummary[[#This Row],[Hasta]])</f>
        <v>0</v>
      </c>
      <c r="Q213" s="12">
        <f ca="1">SUMIFS(TableDailySummary[Rappi_orders],TableDailySummary[Fecha],"&gt;="&amp;TableWeeklySummary[[#This Row],[Desde]],TableDailySummary[Fecha],"&lt;="&amp;TableWeeklySummary[[#This Row],[Hasta]])</f>
        <v>0</v>
      </c>
      <c r="R21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1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13" s="12">
        <f ca="1">SUMIFS(TableDailySummary[Inversión google ads],TableDailySummary[Fecha],"&gt;="&amp;TableWeeklySummary[[#This Row],[Desde]],TableDailySummary[Fecha],"&lt;="&amp;TableWeeklySummary[[#This Row],[Hasta]])</f>
        <v>0</v>
      </c>
      <c r="U213" s="12">
        <f ca="1">SUMIFS(TableDailySummary[Ventas google ads],TableDailySummary[Fecha],"&gt;="&amp;TableWeeklySummary[[#This Row],[Desde]],TableDailySummary[Fecha],"&lt;="&amp;TableWeeklySummary[[#This Row],[Hasta]])</f>
        <v>0</v>
      </c>
      <c r="V213" s="12">
        <f ca="1">SUMIFS(TableDailySummary[Inversión meta ads],TableDailySummary[Fecha],"&gt;="&amp;TableWeeklySummary[[#This Row],[Desde]],TableDailySummary[Fecha],"&lt;="&amp;TableWeeklySummary[[#This Row],[Hasta]])</f>
        <v>0</v>
      </c>
      <c r="W213" s="12">
        <f ca="1">SUMIFS(TableDailySummary[Ventas meta ads],TableDailySummary[Fecha],"&gt;="&amp;TableWeeklySummary[[#This Row],[Desde]],TableDailySummary[Fecha],"&lt;="&amp;TableWeeklySummary[[#This Row],[Hasta]])</f>
        <v>0</v>
      </c>
      <c r="X213" s="12">
        <f ca="1">TableWeeklySummary[[#This Row],[Inversión google ads]]+TableWeeklySummary[[#This Row],[Inversión meta ads]]</f>
        <v>0</v>
      </c>
      <c r="Y213" s="12">
        <f ca="1">TableWeeklySummary[[#This Row],[Ventas google ads]]+TableWeeklySummary[[#This Row],[Ventas meta ads]]</f>
        <v>0</v>
      </c>
      <c r="Z213" s="14">
        <f ca="1">IFERROR(TableWeeklySummary[[#This Row],[Ventas publicidad]]/TableWeeklySummary[[#This Row],[Inversión publicidad]],0)</f>
        <v>0</v>
      </c>
      <c r="AA213" s="14">
        <f ca="1">IFERROR(TableWeeklySummary[[#This Row],[Ventas primer cliente]]/TableWeeklySummary[[#This Row],[Inversión publicidad]],0)</f>
        <v>0</v>
      </c>
      <c r="AB213" s="14"/>
      <c r="AC213" s="12"/>
      <c r="AI21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1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13" s="12">
        <f ca="1">SUMIFS(TableDailySummary[Utilidad bruta],TableDailySummary[Fecha],"&gt;="&amp;TableWeeklySummary[[#This Row],[Desde]],TableDailySummary[Fecha],"&lt;="&amp;TableWeeklySummary[[#This Row],[Hasta]])</f>
        <v>0</v>
      </c>
      <c r="AL213" s="18">
        <f ca="1">IFERROR(TableWeeklySummary[[#This Row],[Utilidad bruta]]/TableWeeklySummary[[#This Row],[Ventas netas con costo registrado]],0)</f>
        <v>0</v>
      </c>
    </row>
    <row r="214" spans="2:38" x14ac:dyDescent="0.2">
      <c r="B214" s="16">
        <f ca="1">_xlfn.ISOWEEKNUM(TableWeeklySummary[[#This Row],[Hasta]])</f>
        <v>43</v>
      </c>
      <c r="C214" s="6">
        <f t="shared" ca="1" si="5"/>
        <v>47410</v>
      </c>
      <c r="D214" s="6">
        <f ca="1">TableWeeklySummary[[#This Row],[Desde]]+7-1</f>
        <v>47416</v>
      </c>
      <c r="E214" s="12">
        <f ca="1">SUMIFS(TableDailySummary[Ventas netas totales],TableDailySummary[Fecha],"&gt;="&amp;TableWeeklySummary[[#This Row],[Desde]],TableDailySummary[Fecha],"&lt;="&amp;TableWeeklySummary[[#This Row],[Hasta]])</f>
        <v>0</v>
      </c>
      <c r="F214" s="12">
        <f ca="1">SUMIFS(TableDailySummary[Órdenes totales],TableDailySummary[Fecha],"&gt;="&amp;TableWeeklySummary[[#This Row],[Desde]],TableDailySummary[Fecha],"&lt;="&amp;TableWeeklySummary[[#This Row],[Hasta]])</f>
        <v>0</v>
      </c>
      <c r="G214" s="12">
        <f ca="1">IFERROR(TableWeeklySummary[[#This Row],[Ventas netas totales]]/TableWeeklySummary[[#This Row],[Órdenes totales]],0)</f>
        <v>0</v>
      </c>
      <c r="H21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14" s="12">
        <f ca="1">TableWeeklySummary[[#This Row],[Órden promedio totales]]*TableWeeklySummary[[#This Row],[CR totales]]</f>
        <v>0</v>
      </c>
      <c r="J214" s="12">
        <f ca="1">SUMIFS(TableDailySummary[Ventas primer cliente],TableDailySummary[Fecha],"&gt;="&amp;TableWeeklySummary[[#This Row],[Desde]],TableDailySummary[Fecha],"&lt;="&amp;TableWeeklySummary[[#This Row],[Hasta]])</f>
        <v>0</v>
      </c>
      <c r="K214" s="12">
        <f ca="1">SUMIFS(TableDailySummary[Órdenes primer cliente],TableDailySummary[Fecha],"&gt;="&amp;TableWeeklySummary[[#This Row],[Desde]],TableDailySummary[Fecha],"&lt;="&amp;TableWeeklySummary[[#This Row],[Hasta]])</f>
        <v>0</v>
      </c>
      <c r="L214" s="12">
        <f ca="1">SUMIFS(TableDailySummary[Online Store_net_sales],TableDailySummary[Fecha],"&gt;="&amp;TableWeeklySummary[[#This Row],[Desde]],TableDailySummary[Fecha],"&lt;="&amp;TableWeeklySummary[[#This Row],[Hasta]])</f>
        <v>0</v>
      </c>
      <c r="M214" s="12">
        <f ca="1">SUMIFS(TableDailySummary[Online Store_orders],TableDailySummary[Fecha],"&gt;="&amp;TableWeeklySummary[[#This Row],[Desde]],TableDailySummary[Fecha],"&lt;="&amp;TableWeeklySummary[[#This Row],[Hasta]])</f>
        <v>0</v>
      </c>
      <c r="N214" s="12">
        <f ca="1">SUMIFS(TableDailySummary[Tienda 81_net_sales],TableDailySummary[Fecha],"&gt;="&amp;TableWeeklySummary[[#This Row],[Desde]],TableDailySummary[Fecha],"&lt;="&amp;TableWeeklySummary[[#This Row],[Hasta]])</f>
        <v>0</v>
      </c>
      <c r="O214" s="12">
        <f ca="1">SUMIFS(TableDailySummary[Tienda 81_orders],TableDailySummary[Fecha],"&gt;="&amp;TableWeeklySummary[[#This Row],[Desde]],TableDailySummary[Fecha],"&lt;="&amp;TableWeeklySummary[[#This Row],[Hasta]])</f>
        <v>0</v>
      </c>
      <c r="P214" s="12">
        <f ca="1">SUMIFS(TableDailySummary[Rappi_net_sales],TableDailySummary[Fecha],"&gt;="&amp;TableWeeklySummary[[#This Row],[Desde]],TableDailySummary[Fecha],"&lt;="&amp;TableWeeklySummary[[#This Row],[Hasta]])</f>
        <v>0</v>
      </c>
      <c r="Q214" s="12">
        <f ca="1">SUMIFS(TableDailySummary[Rappi_orders],TableDailySummary[Fecha],"&gt;="&amp;TableWeeklySummary[[#This Row],[Desde]],TableDailySummary[Fecha],"&lt;="&amp;TableWeeklySummary[[#This Row],[Hasta]])</f>
        <v>0</v>
      </c>
      <c r="R21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1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14" s="12">
        <f ca="1">SUMIFS(TableDailySummary[Inversión google ads],TableDailySummary[Fecha],"&gt;="&amp;TableWeeklySummary[[#This Row],[Desde]],TableDailySummary[Fecha],"&lt;="&amp;TableWeeklySummary[[#This Row],[Hasta]])</f>
        <v>0</v>
      </c>
      <c r="U214" s="12">
        <f ca="1">SUMIFS(TableDailySummary[Ventas google ads],TableDailySummary[Fecha],"&gt;="&amp;TableWeeklySummary[[#This Row],[Desde]],TableDailySummary[Fecha],"&lt;="&amp;TableWeeklySummary[[#This Row],[Hasta]])</f>
        <v>0</v>
      </c>
      <c r="V214" s="12">
        <f ca="1">SUMIFS(TableDailySummary[Inversión meta ads],TableDailySummary[Fecha],"&gt;="&amp;TableWeeklySummary[[#This Row],[Desde]],TableDailySummary[Fecha],"&lt;="&amp;TableWeeklySummary[[#This Row],[Hasta]])</f>
        <v>0</v>
      </c>
      <c r="W214" s="12">
        <f ca="1">SUMIFS(TableDailySummary[Ventas meta ads],TableDailySummary[Fecha],"&gt;="&amp;TableWeeklySummary[[#This Row],[Desde]],TableDailySummary[Fecha],"&lt;="&amp;TableWeeklySummary[[#This Row],[Hasta]])</f>
        <v>0</v>
      </c>
      <c r="X214" s="12">
        <f ca="1">TableWeeklySummary[[#This Row],[Inversión google ads]]+TableWeeklySummary[[#This Row],[Inversión meta ads]]</f>
        <v>0</v>
      </c>
      <c r="Y214" s="12">
        <f ca="1">TableWeeklySummary[[#This Row],[Ventas google ads]]+TableWeeklySummary[[#This Row],[Ventas meta ads]]</f>
        <v>0</v>
      </c>
      <c r="Z214" s="14">
        <f ca="1">IFERROR(TableWeeklySummary[[#This Row],[Ventas publicidad]]/TableWeeklySummary[[#This Row],[Inversión publicidad]],0)</f>
        <v>0</v>
      </c>
      <c r="AA214" s="14">
        <f ca="1">IFERROR(TableWeeklySummary[[#This Row],[Ventas primer cliente]]/TableWeeklySummary[[#This Row],[Inversión publicidad]],0)</f>
        <v>0</v>
      </c>
      <c r="AB214" s="14"/>
      <c r="AC214" s="12"/>
      <c r="AI21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1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14" s="12">
        <f ca="1">SUMIFS(TableDailySummary[Utilidad bruta],TableDailySummary[Fecha],"&gt;="&amp;TableWeeklySummary[[#This Row],[Desde]],TableDailySummary[Fecha],"&lt;="&amp;TableWeeklySummary[[#This Row],[Hasta]])</f>
        <v>0</v>
      </c>
      <c r="AL214" s="18">
        <f ca="1">IFERROR(TableWeeklySummary[[#This Row],[Utilidad bruta]]/TableWeeklySummary[[#This Row],[Ventas netas con costo registrado]],0)</f>
        <v>0</v>
      </c>
    </row>
    <row r="215" spans="2:38" x14ac:dyDescent="0.2">
      <c r="B215" s="16">
        <f ca="1">_xlfn.ISOWEEKNUM(TableWeeklySummary[[#This Row],[Hasta]])</f>
        <v>44</v>
      </c>
      <c r="C215" s="6">
        <f t="shared" ca="1" si="5"/>
        <v>47417</v>
      </c>
      <c r="D215" s="6">
        <f ca="1">TableWeeklySummary[[#This Row],[Desde]]+7-1</f>
        <v>47423</v>
      </c>
      <c r="E215" s="12">
        <f ca="1">SUMIFS(TableDailySummary[Ventas netas totales],TableDailySummary[Fecha],"&gt;="&amp;TableWeeklySummary[[#This Row],[Desde]],TableDailySummary[Fecha],"&lt;="&amp;TableWeeklySummary[[#This Row],[Hasta]])</f>
        <v>0</v>
      </c>
      <c r="F215" s="12">
        <f ca="1">SUMIFS(TableDailySummary[Órdenes totales],TableDailySummary[Fecha],"&gt;="&amp;TableWeeklySummary[[#This Row],[Desde]],TableDailySummary[Fecha],"&lt;="&amp;TableWeeklySummary[[#This Row],[Hasta]])</f>
        <v>0</v>
      </c>
      <c r="G215" s="12">
        <f ca="1">IFERROR(TableWeeklySummary[[#This Row],[Ventas netas totales]]/TableWeeklySummary[[#This Row],[Órdenes totales]],0)</f>
        <v>0</v>
      </c>
      <c r="H21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15" s="12">
        <f ca="1">TableWeeklySummary[[#This Row],[Órden promedio totales]]*TableWeeklySummary[[#This Row],[CR totales]]</f>
        <v>0</v>
      </c>
      <c r="J215" s="12">
        <f ca="1">SUMIFS(TableDailySummary[Ventas primer cliente],TableDailySummary[Fecha],"&gt;="&amp;TableWeeklySummary[[#This Row],[Desde]],TableDailySummary[Fecha],"&lt;="&amp;TableWeeklySummary[[#This Row],[Hasta]])</f>
        <v>0</v>
      </c>
      <c r="K215" s="12">
        <f ca="1">SUMIFS(TableDailySummary[Órdenes primer cliente],TableDailySummary[Fecha],"&gt;="&amp;TableWeeklySummary[[#This Row],[Desde]],TableDailySummary[Fecha],"&lt;="&amp;TableWeeklySummary[[#This Row],[Hasta]])</f>
        <v>0</v>
      </c>
      <c r="L215" s="12">
        <f ca="1">SUMIFS(TableDailySummary[Online Store_net_sales],TableDailySummary[Fecha],"&gt;="&amp;TableWeeklySummary[[#This Row],[Desde]],TableDailySummary[Fecha],"&lt;="&amp;TableWeeklySummary[[#This Row],[Hasta]])</f>
        <v>0</v>
      </c>
      <c r="M215" s="12">
        <f ca="1">SUMIFS(TableDailySummary[Online Store_orders],TableDailySummary[Fecha],"&gt;="&amp;TableWeeklySummary[[#This Row],[Desde]],TableDailySummary[Fecha],"&lt;="&amp;TableWeeklySummary[[#This Row],[Hasta]])</f>
        <v>0</v>
      </c>
      <c r="N215" s="12">
        <f ca="1">SUMIFS(TableDailySummary[Tienda 81_net_sales],TableDailySummary[Fecha],"&gt;="&amp;TableWeeklySummary[[#This Row],[Desde]],TableDailySummary[Fecha],"&lt;="&amp;TableWeeklySummary[[#This Row],[Hasta]])</f>
        <v>0</v>
      </c>
      <c r="O215" s="12">
        <f ca="1">SUMIFS(TableDailySummary[Tienda 81_orders],TableDailySummary[Fecha],"&gt;="&amp;TableWeeklySummary[[#This Row],[Desde]],TableDailySummary[Fecha],"&lt;="&amp;TableWeeklySummary[[#This Row],[Hasta]])</f>
        <v>0</v>
      </c>
      <c r="P215" s="12">
        <f ca="1">SUMIFS(TableDailySummary[Rappi_net_sales],TableDailySummary[Fecha],"&gt;="&amp;TableWeeklySummary[[#This Row],[Desde]],TableDailySummary[Fecha],"&lt;="&amp;TableWeeklySummary[[#This Row],[Hasta]])</f>
        <v>0</v>
      </c>
      <c r="Q215" s="12">
        <f ca="1">SUMIFS(TableDailySummary[Rappi_orders],TableDailySummary[Fecha],"&gt;="&amp;TableWeeklySummary[[#This Row],[Desde]],TableDailySummary[Fecha],"&lt;="&amp;TableWeeklySummary[[#This Row],[Hasta]])</f>
        <v>0</v>
      </c>
      <c r="R21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1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15" s="12">
        <f ca="1">SUMIFS(TableDailySummary[Inversión google ads],TableDailySummary[Fecha],"&gt;="&amp;TableWeeklySummary[[#This Row],[Desde]],TableDailySummary[Fecha],"&lt;="&amp;TableWeeklySummary[[#This Row],[Hasta]])</f>
        <v>0</v>
      </c>
      <c r="U215" s="12">
        <f ca="1">SUMIFS(TableDailySummary[Ventas google ads],TableDailySummary[Fecha],"&gt;="&amp;TableWeeklySummary[[#This Row],[Desde]],TableDailySummary[Fecha],"&lt;="&amp;TableWeeklySummary[[#This Row],[Hasta]])</f>
        <v>0</v>
      </c>
      <c r="V215" s="12">
        <f ca="1">SUMIFS(TableDailySummary[Inversión meta ads],TableDailySummary[Fecha],"&gt;="&amp;TableWeeklySummary[[#This Row],[Desde]],TableDailySummary[Fecha],"&lt;="&amp;TableWeeklySummary[[#This Row],[Hasta]])</f>
        <v>0</v>
      </c>
      <c r="W215" s="12">
        <f ca="1">SUMIFS(TableDailySummary[Ventas meta ads],TableDailySummary[Fecha],"&gt;="&amp;TableWeeklySummary[[#This Row],[Desde]],TableDailySummary[Fecha],"&lt;="&amp;TableWeeklySummary[[#This Row],[Hasta]])</f>
        <v>0</v>
      </c>
      <c r="X215" s="12">
        <f ca="1">TableWeeklySummary[[#This Row],[Inversión google ads]]+TableWeeklySummary[[#This Row],[Inversión meta ads]]</f>
        <v>0</v>
      </c>
      <c r="Y215" s="12">
        <f ca="1">TableWeeklySummary[[#This Row],[Ventas google ads]]+TableWeeklySummary[[#This Row],[Ventas meta ads]]</f>
        <v>0</v>
      </c>
      <c r="Z215" s="14">
        <f ca="1">IFERROR(TableWeeklySummary[[#This Row],[Ventas publicidad]]/TableWeeklySummary[[#This Row],[Inversión publicidad]],0)</f>
        <v>0</v>
      </c>
      <c r="AA215" s="14">
        <f ca="1">IFERROR(TableWeeklySummary[[#This Row],[Ventas primer cliente]]/TableWeeklySummary[[#This Row],[Inversión publicidad]],0)</f>
        <v>0</v>
      </c>
      <c r="AB215" s="14"/>
      <c r="AC215" s="12"/>
      <c r="AI21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1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15" s="12">
        <f ca="1">SUMIFS(TableDailySummary[Utilidad bruta],TableDailySummary[Fecha],"&gt;="&amp;TableWeeklySummary[[#This Row],[Desde]],TableDailySummary[Fecha],"&lt;="&amp;TableWeeklySummary[[#This Row],[Hasta]])</f>
        <v>0</v>
      </c>
      <c r="AL215" s="18">
        <f ca="1">IFERROR(TableWeeklySummary[[#This Row],[Utilidad bruta]]/TableWeeklySummary[[#This Row],[Ventas netas con costo registrado]],0)</f>
        <v>0</v>
      </c>
    </row>
    <row r="216" spans="2:38" x14ac:dyDescent="0.2">
      <c r="B216" s="16">
        <f ca="1">_xlfn.ISOWEEKNUM(TableWeeklySummary[[#This Row],[Hasta]])</f>
        <v>45</v>
      </c>
      <c r="C216" s="6">
        <f t="shared" ca="1" si="5"/>
        <v>47424</v>
      </c>
      <c r="D216" s="6">
        <f ca="1">TableWeeklySummary[[#This Row],[Desde]]+7-1</f>
        <v>47430</v>
      </c>
      <c r="E216" s="12">
        <f ca="1">SUMIFS(TableDailySummary[Ventas netas totales],TableDailySummary[Fecha],"&gt;="&amp;TableWeeklySummary[[#This Row],[Desde]],TableDailySummary[Fecha],"&lt;="&amp;TableWeeklySummary[[#This Row],[Hasta]])</f>
        <v>0</v>
      </c>
      <c r="F216" s="12">
        <f ca="1">SUMIFS(TableDailySummary[Órdenes totales],TableDailySummary[Fecha],"&gt;="&amp;TableWeeklySummary[[#This Row],[Desde]],TableDailySummary[Fecha],"&lt;="&amp;TableWeeklySummary[[#This Row],[Hasta]])</f>
        <v>0</v>
      </c>
      <c r="G216" s="12">
        <f ca="1">IFERROR(TableWeeklySummary[[#This Row],[Ventas netas totales]]/TableWeeklySummary[[#This Row],[Órdenes totales]],0)</f>
        <v>0</v>
      </c>
      <c r="H21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16" s="12">
        <f ca="1">TableWeeklySummary[[#This Row],[Órden promedio totales]]*TableWeeklySummary[[#This Row],[CR totales]]</f>
        <v>0</v>
      </c>
      <c r="J216" s="12">
        <f ca="1">SUMIFS(TableDailySummary[Ventas primer cliente],TableDailySummary[Fecha],"&gt;="&amp;TableWeeklySummary[[#This Row],[Desde]],TableDailySummary[Fecha],"&lt;="&amp;TableWeeklySummary[[#This Row],[Hasta]])</f>
        <v>0</v>
      </c>
      <c r="K216" s="12">
        <f ca="1">SUMIFS(TableDailySummary[Órdenes primer cliente],TableDailySummary[Fecha],"&gt;="&amp;TableWeeklySummary[[#This Row],[Desde]],TableDailySummary[Fecha],"&lt;="&amp;TableWeeklySummary[[#This Row],[Hasta]])</f>
        <v>0</v>
      </c>
      <c r="L216" s="12">
        <f ca="1">SUMIFS(TableDailySummary[Online Store_net_sales],TableDailySummary[Fecha],"&gt;="&amp;TableWeeklySummary[[#This Row],[Desde]],TableDailySummary[Fecha],"&lt;="&amp;TableWeeklySummary[[#This Row],[Hasta]])</f>
        <v>0</v>
      </c>
      <c r="M216" s="12">
        <f ca="1">SUMIFS(TableDailySummary[Online Store_orders],TableDailySummary[Fecha],"&gt;="&amp;TableWeeklySummary[[#This Row],[Desde]],TableDailySummary[Fecha],"&lt;="&amp;TableWeeklySummary[[#This Row],[Hasta]])</f>
        <v>0</v>
      </c>
      <c r="N216" s="12">
        <f ca="1">SUMIFS(TableDailySummary[Tienda 81_net_sales],TableDailySummary[Fecha],"&gt;="&amp;TableWeeklySummary[[#This Row],[Desde]],TableDailySummary[Fecha],"&lt;="&amp;TableWeeklySummary[[#This Row],[Hasta]])</f>
        <v>0</v>
      </c>
      <c r="O216" s="12">
        <f ca="1">SUMIFS(TableDailySummary[Tienda 81_orders],TableDailySummary[Fecha],"&gt;="&amp;TableWeeklySummary[[#This Row],[Desde]],TableDailySummary[Fecha],"&lt;="&amp;TableWeeklySummary[[#This Row],[Hasta]])</f>
        <v>0</v>
      </c>
      <c r="P216" s="12">
        <f ca="1">SUMIFS(TableDailySummary[Rappi_net_sales],TableDailySummary[Fecha],"&gt;="&amp;TableWeeklySummary[[#This Row],[Desde]],TableDailySummary[Fecha],"&lt;="&amp;TableWeeklySummary[[#This Row],[Hasta]])</f>
        <v>0</v>
      </c>
      <c r="Q216" s="12">
        <f ca="1">SUMIFS(TableDailySummary[Rappi_orders],TableDailySummary[Fecha],"&gt;="&amp;TableWeeklySummary[[#This Row],[Desde]],TableDailySummary[Fecha],"&lt;="&amp;TableWeeklySummary[[#This Row],[Hasta]])</f>
        <v>0</v>
      </c>
      <c r="R21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1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16" s="12">
        <f ca="1">SUMIFS(TableDailySummary[Inversión google ads],TableDailySummary[Fecha],"&gt;="&amp;TableWeeklySummary[[#This Row],[Desde]],TableDailySummary[Fecha],"&lt;="&amp;TableWeeklySummary[[#This Row],[Hasta]])</f>
        <v>0</v>
      </c>
      <c r="U216" s="12">
        <f ca="1">SUMIFS(TableDailySummary[Ventas google ads],TableDailySummary[Fecha],"&gt;="&amp;TableWeeklySummary[[#This Row],[Desde]],TableDailySummary[Fecha],"&lt;="&amp;TableWeeklySummary[[#This Row],[Hasta]])</f>
        <v>0</v>
      </c>
      <c r="V216" s="12">
        <f ca="1">SUMIFS(TableDailySummary[Inversión meta ads],TableDailySummary[Fecha],"&gt;="&amp;TableWeeklySummary[[#This Row],[Desde]],TableDailySummary[Fecha],"&lt;="&amp;TableWeeklySummary[[#This Row],[Hasta]])</f>
        <v>0</v>
      </c>
      <c r="W216" s="12">
        <f ca="1">SUMIFS(TableDailySummary[Ventas meta ads],TableDailySummary[Fecha],"&gt;="&amp;TableWeeklySummary[[#This Row],[Desde]],TableDailySummary[Fecha],"&lt;="&amp;TableWeeklySummary[[#This Row],[Hasta]])</f>
        <v>0</v>
      </c>
      <c r="X216" s="12">
        <f ca="1">TableWeeklySummary[[#This Row],[Inversión google ads]]+TableWeeklySummary[[#This Row],[Inversión meta ads]]</f>
        <v>0</v>
      </c>
      <c r="Y216" s="12">
        <f ca="1">TableWeeklySummary[[#This Row],[Ventas google ads]]+TableWeeklySummary[[#This Row],[Ventas meta ads]]</f>
        <v>0</v>
      </c>
      <c r="Z216" s="14">
        <f ca="1">IFERROR(TableWeeklySummary[[#This Row],[Ventas publicidad]]/TableWeeklySummary[[#This Row],[Inversión publicidad]],0)</f>
        <v>0</v>
      </c>
      <c r="AA216" s="14">
        <f ca="1">IFERROR(TableWeeklySummary[[#This Row],[Ventas primer cliente]]/TableWeeklySummary[[#This Row],[Inversión publicidad]],0)</f>
        <v>0</v>
      </c>
      <c r="AB216" s="14"/>
      <c r="AC216" s="12"/>
      <c r="AI21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1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16" s="12">
        <f ca="1">SUMIFS(TableDailySummary[Utilidad bruta],TableDailySummary[Fecha],"&gt;="&amp;TableWeeklySummary[[#This Row],[Desde]],TableDailySummary[Fecha],"&lt;="&amp;TableWeeklySummary[[#This Row],[Hasta]])</f>
        <v>0</v>
      </c>
      <c r="AL216" s="18">
        <f ca="1">IFERROR(TableWeeklySummary[[#This Row],[Utilidad bruta]]/TableWeeklySummary[[#This Row],[Ventas netas con costo registrado]],0)</f>
        <v>0</v>
      </c>
    </row>
    <row r="217" spans="2:38" x14ac:dyDescent="0.2">
      <c r="B217" s="16">
        <f ca="1">_xlfn.ISOWEEKNUM(TableWeeklySummary[[#This Row],[Hasta]])</f>
        <v>46</v>
      </c>
      <c r="C217" s="6">
        <f t="shared" ca="1" si="5"/>
        <v>47431</v>
      </c>
      <c r="D217" s="6">
        <f ca="1">TableWeeklySummary[[#This Row],[Desde]]+7-1</f>
        <v>47437</v>
      </c>
      <c r="E217" s="12">
        <f ca="1">SUMIFS(TableDailySummary[Ventas netas totales],TableDailySummary[Fecha],"&gt;="&amp;TableWeeklySummary[[#This Row],[Desde]],TableDailySummary[Fecha],"&lt;="&amp;TableWeeklySummary[[#This Row],[Hasta]])</f>
        <v>0</v>
      </c>
      <c r="F217" s="12">
        <f ca="1">SUMIFS(TableDailySummary[Órdenes totales],TableDailySummary[Fecha],"&gt;="&amp;TableWeeklySummary[[#This Row],[Desde]],TableDailySummary[Fecha],"&lt;="&amp;TableWeeklySummary[[#This Row],[Hasta]])</f>
        <v>0</v>
      </c>
      <c r="G217" s="12">
        <f ca="1">IFERROR(TableWeeklySummary[[#This Row],[Ventas netas totales]]/TableWeeklySummary[[#This Row],[Órdenes totales]],0)</f>
        <v>0</v>
      </c>
      <c r="H21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17" s="12">
        <f ca="1">TableWeeklySummary[[#This Row],[Órden promedio totales]]*TableWeeklySummary[[#This Row],[CR totales]]</f>
        <v>0</v>
      </c>
      <c r="J217" s="12">
        <f ca="1">SUMIFS(TableDailySummary[Ventas primer cliente],TableDailySummary[Fecha],"&gt;="&amp;TableWeeklySummary[[#This Row],[Desde]],TableDailySummary[Fecha],"&lt;="&amp;TableWeeklySummary[[#This Row],[Hasta]])</f>
        <v>0</v>
      </c>
      <c r="K217" s="12">
        <f ca="1">SUMIFS(TableDailySummary[Órdenes primer cliente],TableDailySummary[Fecha],"&gt;="&amp;TableWeeklySummary[[#This Row],[Desde]],TableDailySummary[Fecha],"&lt;="&amp;TableWeeklySummary[[#This Row],[Hasta]])</f>
        <v>0</v>
      </c>
      <c r="L217" s="12">
        <f ca="1">SUMIFS(TableDailySummary[Online Store_net_sales],TableDailySummary[Fecha],"&gt;="&amp;TableWeeklySummary[[#This Row],[Desde]],TableDailySummary[Fecha],"&lt;="&amp;TableWeeklySummary[[#This Row],[Hasta]])</f>
        <v>0</v>
      </c>
      <c r="M217" s="12">
        <f ca="1">SUMIFS(TableDailySummary[Online Store_orders],TableDailySummary[Fecha],"&gt;="&amp;TableWeeklySummary[[#This Row],[Desde]],TableDailySummary[Fecha],"&lt;="&amp;TableWeeklySummary[[#This Row],[Hasta]])</f>
        <v>0</v>
      </c>
      <c r="N217" s="12">
        <f ca="1">SUMIFS(TableDailySummary[Tienda 81_net_sales],TableDailySummary[Fecha],"&gt;="&amp;TableWeeklySummary[[#This Row],[Desde]],TableDailySummary[Fecha],"&lt;="&amp;TableWeeklySummary[[#This Row],[Hasta]])</f>
        <v>0</v>
      </c>
      <c r="O217" s="12">
        <f ca="1">SUMIFS(TableDailySummary[Tienda 81_orders],TableDailySummary[Fecha],"&gt;="&amp;TableWeeklySummary[[#This Row],[Desde]],TableDailySummary[Fecha],"&lt;="&amp;TableWeeklySummary[[#This Row],[Hasta]])</f>
        <v>0</v>
      </c>
      <c r="P217" s="12">
        <f ca="1">SUMIFS(TableDailySummary[Rappi_net_sales],TableDailySummary[Fecha],"&gt;="&amp;TableWeeklySummary[[#This Row],[Desde]],TableDailySummary[Fecha],"&lt;="&amp;TableWeeklySummary[[#This Row],[Hasta]])</f>
        <v>0</v>
      </c>
      <c r="Q217" s="12">
        <f ca="1">SUMIFS(TableDailySummary[Rappi_orders],TableDailySummary[Fecha],"&gt;="&amp;TableWeeklySummary[[#This Row],[Desde]],TableDailySummary[Fecha],"&lt;="&amp;TableWeeklySummary[[#This Row],[Hasta]])</f>
        <v>0</v>
      </c>
      <c r="R21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1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17" s="12">
        <f ca="1">SUMIFS(TableDailySummary[Inversión google ads],TableDailySummary[Fecha],"&gt;="&amp;TableWeeklySummary[[#This Row],[Desde]],TableDailySummary[Fecha],"&lt;="&amp;TableWeeklySummary[[#This Row],[Hasta]])</f>
        <v>0</v>
      </c>
      <c r="U217" s="12">
        <f ca="1">SUMIFS(TableDailySummary[Ventas google ads],TableDailySummary[Fecha],"&gt;="&amp;TableWeeklySummary[[#This Row],[Desde]],TableDailySummary[Fecha],"&lt;="&amp;TableWeeklySummary[[#This Row],[Hasta]])</f>
        <v>0</v>
      </c>
      <c r="V217" s="12">
        <f ca="1">SUMIFS(TableDailySummary[Inversión meta ads],TableDailySummary[Fecha],"&gt;="&amp;TableWeeklySummary[[#This Row],[Desde]],TableDailySummary[Fecha],"&lt;="&amp;TableWeeklySummary[[#This Row],[Hasta]])</f>
        <v>0</v>
      </c>
      <c r="W217" s="12">
        <f ca="1">SUMIFS(TableDailySummary[Ventas meta ads],TableDailySummary[Fecha],"&gt;="&amp;TableWeeklySummary[[#This Row],[Desde]],TableDailySummary[Fecha],"&lt;="&amp;TableWeeklySummary[[#This Row],[Hasta]])</f>
        <v>0</v>
      </c>
      <c r="X217" s="12">
        <f ca="1">TableWeeklySummary[[#This Row],[Inversión google ads]]+TableWeeklySummary[[#This Row],[Inversión meta ads]]</f>
        <v>0</v>
      </c>
      <c r="Y217" s="12">
        <f ca="1">TableWeeklySummary[[#This Row],[Ventas google ads]]+TableWeeklySummary[[#This Row],[Ventas meta ads]]</f>
        <v>0</v>
      </c>
      <c r="Z217" s="14">
        <f ca="1">IFERROR(TableWeeklySummary[[#This Row],[Ventas publicidad]]/TableWeeklySummary[[#This Row],[Inversión publicidad]],0)</f>
        <v>0</v>
      </c>
      <c r="AA217" s="14">
        <f ca="1">IFERROR(TableWeeklySummary[[#This Row],[Ventas primer cliente]]/TableWeeklySummary[[#This Row],[Inversión publicidad]],0)</f>
        <v>0</v>
      </c>
      <c r="AB217" s="14"/>
      <c r="AC217" s="12"/>
      <c r="AI21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1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17" s="12">
        <f ca="1">SUMIFS(TableDailySummary[Utilidad bruta],TableDailySummary[Fecha],"&gt;="&amp;TableWeeklySummary[[#This Row],[Desde]],TableDailySummary[Fecha],"&lt;="&amp;TableWeeklySummary[[#This Row],[Hasta]])</f>
        <v>0</v>
      </c>
      <c r="AL217" s="18">
        <f ca="1">IFERROR(TableWeeklySummary[[#This Row],[Utilidad bruta]]/TableWeeklySummary[[#This Row],[Ventas netas con costo registrado]],0)</f>
        <v>0</v>
      </c>
    </row>
    <row r="218" spans="2:38" x14ac:dyDescent="0.2">
      <c r="B218" s="16">
        <f ca="1">_xlfn.ISOWEEKNUM(TableWeeklySummary[[#This Row],[Hasta]])</f>
        <v>47</v>
      </c>
      <c r="C218" s="6">
        <f t="shared" ca="1" si="5"/>
        <v>47438</v>
      </c>
      <c r="D218" s="6">
        <f ca="1">TableWeeklySummary[[#This Row],[Desde]]+7-1</f>
        <v>47444</v>
      </c>
      <c r="E218" s="12">
        <f ca="1">SUMIFS(TableDailySummary[Ventas netas totales],TableDailySummary[Fecha],"&gt;="&amp;TableWeeklySummary[[#This Row],[Desde]],TableDailySummary[Fecha],"&lt;="&amp;TableWeeklySummary[[#This Row],[Hasta]])</f>
        <v>0</v>
      </c>
      <c r="F218" s="12">
        <f ca="1">SUMIFS(TableDailySummary[Órdenes totales],TableDailySummary[Fecha],"&gt;="&amp;TableWeeklySummary[[#This Row],[Desde]],TableDailySummary[Fecha],"&lt;="&amp;TableWeeklySummary[[#This Row],[Hasta]])</f>
        <v>0</v>
      </c>
      <c r="G218" s="12">
        <f ca="1">IFERROR(TableWeeklySummary[[#This Row],[Ventas netas totales]]/TableWeeklySummary[[#This Row],[Órdenes totales]],0)</f>
        <v>0</v>
      </c>
      <c r="H21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18" s="12">
        <f ca="1">TableWeeklySummary[[#This Row],[Órden promedio totales]]*TableWeeklySummary[[#This Row],[CR totales]]</f>
        <v>0</v>
      </c>
      <c r="J218" s="12">
        <f ca="1">SUMIFS(TableDailySummary[Ventas primer cliente],TableDailySummary[Fecha],"&gt;="&amp;TableWeeklySummary[[#This Row],[Desde]],TableDailySummary[Fecha],"&lt;="&amp;TableWeeklySummary[[#This Row],[Hasta]])</f>
        <v>0</v>
      </c>
      <c r="K218" s="12">
        <f ca="1">SUMIFS(TableDailySummary[Órdenes primer cliente],TableDailySummary[Fecha],"&gt;="&amp;TableWeeklySummary[[#This Row],[Desde]],TableDailySummary[Fecha],"&lt;="&amp;TableWeeklySummary[[#This Row],[Hasta]])</f>
        <v>0</v>
      </c>
      <c r="L218" s="12">
        <f ca="1">SUMIFS(TableDailySummary[Online Store_net_sales],TableDailySummary[Fecha],"&gt;="&amp;TableWeeklySummary[[#This Row],[Desde]],TableDailySummary[Fecha],"&lt;="&amp;TableWeeklySummary[[#This Row],[Hasta]])</f>
        <v>0</v>
      </c>
      <c r="M218" s="12">
        <f ca="1">SUMIFS(TableDailySummary[Online Store_orders],TableDailySummary[Fecha],"&gt;="&amp;TableWeeklySummary[[#This Row],[Desde]],TableDailySummary[Fecha],"&lt;="&amp;TableWeeklySummary[[#This Row],[Hasta]])</f>
        <v>0</v>
      </c>
      <c r="N218" s="12">
        <f ca="1">SUMIFS(TableDailySummary[Tienda 81_net_sales],TableDailySummary[Fecha],"&gt;="&amp;TableWeeklySummary[[#This Row],[Desde]],TableDailySummary[Fecha],"&lt;="&amp;TableWeeklySummary[[#This Row],[Hasta]])</f>
        <v>0</v>
      </c>
      <c r="O218" s="12">
        <f ca="1">SUMIFS(TableDailySummary[Tienda 81_orders],TableDailySummary[Fecha],"&gt;="&amp;TableWeeklySummary[[#This Row],[Desde]],TableDailySummary[Fecha],"&lt;="&amp;TableWeeklySummary[[#This Row],[Hasta]])</f>
        <v>0</v>
      </c>
      <c r="P218" s="12">
        <f ca="1">SUMIFS(TableDailySummary[Rappi_net_sales],TableDailySummary[Fecha],"&gt;="&amp;TableWeeklySummary[[#This Row],[Desde]],TableDailySummary[Fecha],"&lt;="&amp;TableWeeklySummary[[#This Row],[Hasta]])</f>
        <v>0</v>
      </c>
      <c r="Q218" s="12">
        <f ca="1">SUMIFS(TableDailySummary[Rappi_orders],TableDailySummary[Fecha],"&gt;="&amp;TableWeeklySummary[[#This Row],[Desde]],TableDailySummary[Fecha],"&lt;="&amp;TableWeeklySummary[[#This Row],[Hasta]])</f>
        <v>0</v>
      </c>
      <c r="R21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1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18" s="12">
        <f ca="1">SUMIFS(TableDailySummary[Inversión google ads],TableDailySummary[Fecha],"&gt;="&amp;TableWeeklySummary[[#This Row],[Desde]],TableDailySummary[Fecha],"&lt;="&amp;TableWeeklySummary[[#This Row],[Hasta]])</f>
        <v>0</v>
      </c>
      <c r="U218" s="12">
        <f ca="1">SUMIFS(TableDailySummary[Ventas google ads],TableDailySummary[Fecha],"&gt;="&amp;TableWeeklySummary[[#This Row],[Desde]],TableDailySummary[Fecha],"&lt;="&amp;TableWeeklySummary[[#This Row],[Hasta]])</f>
        <v>0</v>
      </c>
      <c r="V218" s="12">
        <f ca="1">SUMIFS(TableDailySummary[Inversión meta ads],TableDailySummary[Fecha],"&gt;="&amp;TableWeeklySummary[[#This Row],[Desde]],TableDailySummary[Fecha],"&lt;="&amp;TableWeeklySummary[[#This Row],[Hasta]])</f>
        <v>0</v>
      </c>
      <c r="W218" s="12">
        <f ca="1">SUMIFS(TableDailySummary[Ventas meta ads],TableDailySummary[Fecha],"&gt;="&amp;TableWeeklySummary[[#This Row],[Desde]],TableDailySummary[Fecha],"&lt;="&amp;TableWeeklySummary[[#This Row],[Hasta]])</f>
        <v>0</v>
      </c>
      <c r="X218" s="12">
        <f ca="1">TableWeeklySummary[[#This Row],[Inversión google ads]]+TableWeeklySummary[[#This Row],[Inversión meta ads]]</f>
        <v>0</v>
      </c>
      <c r="Y218" s="12">
        <f ca="1">TableWeeklySummary[[#This Row],[Ventas google ads]]+TableWeeklySummary[[#This Row],[Ventas meta ads]]</f>
        <v>0</v>
      </c>
      <c r="Z218" s="14">
        <f ca="1">IFERROR(TableWeeklySummary[[#This Row],[Ventas publicidad]]/TableWeeklySummary[[#This Row],[Inversión publicidad]],0)</f>
        <v>0</v>
      </c>
      <c r="AA218" s="14">
        <f ca="1">IFERROR(TableWeeklySummary[[#This Row],[Ventas primer cliente]]/TableWeeklySummary[[#This Row],[Inversión publicidad]],0)</f>
        <v>0</v>
      </c>
      <c r="AB218" s="14"/>
      <c r="AC218" s="12"/>
      <c r="AI21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1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18" s="12">
        <f ca="1">SUMIFS(TableDailySummary[Utilidad bruta],TableDailySummary[Fecha],"&gt;="&amp;TableWeeklySummary[[#This Row],[Desde]],TableDailySummary[Fecha],"&lt;="&amp;TableWeeklySummary[[#This Row],[Hasta]])</f>
        <v>0</v>
      </c>
      <c r="AL218" s="18">
        <f ca="1">IFERROR(TableWeeklySummary[[#This Row],[Utilidad bruta]]/TableWeeklySummary[[#This Row],[Ventas netas con costo registrado]],0)</f>
        <v>0</v>
      </c>
    </row>
    <row r="219" spans="2:38" x14ac:dyDescent="0.2">
      <c r="B219" s="16">
        <f ca="1">_xlfn.ISOWEEKNUM(TableWeeklySummary[[#This Row],[Hasta]])</f>
        <v>48</v>
      </c>
      <c r="C219" s="6">
        <f t="shared" ca="1" si="5"/>
        <v>47445</v>
      </c>
      <c r="D219" s="6">
        <f ca="1">TableWeeklySummary[[#This Row],[Desde]]+7-1</f>
        <v>47451</v>
      </c>
      <c r="E219" s="12">
        <f ca="1">SUMIFS(TableDailySummary[Ventas netas totales],TableDailySummary[Fecha],"&gt;="&amp;TableWeeklySummary[[#This Row],[Desde]],TableDailySummary[Fecha],"&lt;="&amp;TableWeeklySummary[[#This Row],[Hasta]])</f>
        <v>0</v>
      </c>
      <c r="F219" s="12">
        <f ca="1">SUMIFS(TableDailySummary[Órdenes totales],TableDailySummary[Fecha],"&gt;="&amp;TableWeeklySummary[[#This Row],[Desde]],TableDailySummary[Fecha],"&lt;="&amp;TableWeeklySummary[[#This Row],[Hasta]])</f>
        <v>0</v>
      </c>
      <c r="G219" s="12">
        <f ca="1">IFERROR(TableWeeklySummary[[#This Row],[Ventas netas totales]]/TableWeeklySummary[[#This Row],[Órdenes totales]],0)</f>
        <v>0</v>
      </c>
      <c r="H21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19" s="12">
        <f ca="1">TableWeeklySummary[[#This Row],[Órden promedio totales]]*TableWeeklySummary[[#This Row],[CR totales]]</f>
        <v>0</v>
      </c>
      <c r="J219" s="12">
        <f ca="1">SUMIFS(TableDailySummary[Ventas primer cliente],TableDailySummary[Fecha],"&gt;="&amp;TableWeeklySummary[[#This Row],[Desde]],TableDailySummary[Fecha],"&lt;="&amp;TableWeeklySummary[[#This Row],[Hasta]])</f>
        <v>0</v>
      </c>
      <c r="K219" s="12">
        <f ca="1">SUMIFS(TableDailySummary[Órdenes primer cliente],TableDailySummary[Fecha],"&gt;="&amp;TableWeeklySummary[[#This Row],[Desde]],TableDailySummary[Fecha],"&lt;="&amp;TableWeeklySummary[[#This Row],[Hasta]])</f>
        <v>0</v>
      </c>
      <c r="L219" s="12">
        <f ca="1">SUMIFS(TableDailySummary[Online Store_net_sales],TableDailySummary[Fecha],"&gt;="&amp;TableWeeklySummary[[#This Row],[Desde]],TableDailySummary[Fecha],"&lt;="&amp;TableWeeklySummary[[#This Row],[Hasta]])</f>
        <v>0</v>
      </c>
      <c r="M219" s="12">
        <f ca="1">SUMIFS(TableDailySummary[Online Store_orders],TableDailySummary[Fecha],"&gt;="&amp;TableWeeklySummary[[#This Row],[Desde]],TableDailySummary[Fecha],"&lt;="&amp;TableWeeklySummary[[#This Row],[Hasta]])</f>
        <v>0</v>
      </c>
      <c r="N219" s="12">
        <f ca="1">SUMIFS(TableDailySummary[Tienda 81_net_sales],TableDailySummary[Fecha],"&gt;="&amp;TableWeeklySummary[[#This Row],[Desde]],TableDailySummary[Fecha],"&lt;="&amp;TableWeeklySummary[[#This Row],[Hasta]])</f>
        <v>0</v>
      </c>
      <c r="O219" s="12">
        <f ca="1">SUMIFS(TableDailySummary[Tienda 81_orders],TableDailySummary[Fecha],"&gt;="&amp;TableWeeklySummary[[#This Row],[Desde]],TableDailySummary[Fecha],"&lt;="&amp;TableWeeklySummary[[#This Row],[Hasta]])</f>
        <v>0</v>
      </c>
      <c r="P219" s="12">
        <f ca="1">SUMIFS(TableDailySummary[Rappi_net_sales],TableDailySummary[Fecha],"&gt;="&amp;TableWeeklySummary[[#This Row],[Desde]],TableDailySummary[Fecha],"&lt;="&amp;TableWeeklySummary[[#This Row],[Hasta]])</f>
        <v>0</v>
      </c>
      <c r="Q219" s="12">
        <f ca="1">SUMIFS(TableDailySummary[Rappi_orders],TableDailySummary[Fecha],"&gt;="&amp;TableWeeklySummary[[#This Row],[Desde]],TableDailySummary[Fecha],"&lt;="&amp;TableWeeklySummary[[#This Row],[Hasta]])</f>
        <v>0</v>
      </c>
      <c r="R21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1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19" s="12">
        <f ca="1">SUMIFS(TableDailySummary[Inversión google ads],TableDailySummary[Fecha],"&gt;="&amp;TableWeeklySummary[[#This Row],[Desde]],TableDailySummary[Fecha],"&lt;="&amp;TableWeeklySummary[[#This Row],[Hasta]])</f>
        <v>0</v>
      </c>
      <c r="U219" s="12">
        <f ca="1">SUMIFS(TableDailySummary[Ventas google ads],TableDailySummary[Fecha],"&gt;="&amp;TableWeeklySummary[[#This Row],[Desde]],TableDailySummary[Fecha],"&lt;="&amp;TableWeeklySummary[[#This Row],[Hasta]])</f>
        <v>0</v>
      </c>
      <c r="V219" s="12">
        <f ca="1">SUMIFS(TableDailySummary[Inversión meta ads],TableDailySummary[Fecha],"&gt;="&amp;TableWeeklySummary[[#This Row],[Desde]],TableDailySummary[Fecha],"&lt;="&amp;TableWeeklySummary[[#This Row],[Hasta]])</f>
        <v>0</v>
      </c>
      <c r="W219" s="12">
        <f ca="1">SUMIFS(TableDailySummary[Ventas meta ads],TableDailySummary[Fecha],"&gt;="&amp;TableWeeklySummary[[#This Row],[Desde]],TableDailySummary[Fecha],"&lt;="&amp;TableWeeklySummary[[#This Row],[Hasta]])</f>
        <v>0</v>
      </c>
      <c r="X219" s="12">
        <f ca="1">TableWeeklySummary[[#This Row],[Inversión google ads]]+TableWeeklySummary[[#This Row],[Inversión meta ads]]</f>
        <v>0</v>
      </c>
      <c r="Y219" s="12">
        <f ca="1">TableWeeklySummary[[#This Row],[Ventas google ads]]+TableWeeklySummary[[#This Row],[Ventas meta ads]]</f>
        <v>0</v>
      </c>
      <c r="Z219" s="14">
        <f ca="1">IFERROR(TableWeeklySummary[[#This Row],[Ventas publicidad]]/TableWeeklySummary[[#This Row],[Inversión publicidad]],0)</f>
        <v>0</v>
      </c>
      <c r="AA219" s="14">
        <f ca="1">IFERROR(TableWeeklySummary[[#This Row],[Ventas primer cliente]]/TableWeeklySummary[[#This Row],[Inversión publicidad]],0)</f>
        <v>0</v>
      </c>
      <c r="AB219" s="14"/>
      <c r="AC219" s="12"/>
      <c r="AI21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1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19" s="12">
        <f ca="1">SUMIFS(TableDailySummary[Utilidad bruta],TableDailySummary[Fecha],"&gt;="&amp;TableWeeklySummary[[#This Row],[Desde]],TableDailySummary[Fecha],"&lt;="&amp;TableWeeklySummary[[#This Row],[Hasta]])</f>
        <v>0</v>
      </c>
      <c r="AL219" s="18">
        <f ca="1">IFERROR(TableWeeklySummary[[#This Row],[Utilidad bruta]]/TableWeeklySummary[[#This Row],[Ventas netas con costo registrado]],0)</f>
        <v>0</v>
      </c>
    </row>
    <row r="220" spans="2:38" x14ac:dyDescent="0.2">
      <c r="B220" s="16">
        <f ca="1">_xlfn.ISOWEEKNUM(TableWeeklySummary[[#This Row],[Hasta]])</f>
        <v>49</v>
      </c>
      <c r="C220" s="6">
        <f t="shared" ca="1" si="5"/>
        <v>47452</v>
      </c>
      <c r="D220" s="6">
        <f ca="1">TableWeeklySummary[[#This Row],[Desde]]+7-1</f>
        <v>47458</v>
      </c>
      <c r="E220" s="12">
        <f ca="1">SUMIFS(TableDailySummary[Ventas netas totales],TableDailySummary[Fecha],"&gt;="&amp;TableWeeklySummary[[#This Row],[Desde]],TableDailySummary[Fecha],"&lt;="&amp;TableWeeklySummary[[#This Row],[Hasta]])</f>
        <v>0</v>
      </c>
      <c r="F220" s="12">
        <f ca="1">SUMIFS(TableDailySummary[Órdenes totales],TableDailySummary[Fecha],"&gt;="&amp;TableWeeklySummary[[#This Row],[Desde]],TableDailySummary[Fecha],"&lt;="&amp;TableWeeklySummary[[#This Row],[Hasta]])</f>
        <v>0</v>
      </c>
      <c r="G220" s="12">
        <f ca="1">IFERROR(TableWeeklySummary[[#This Row],[Ventas netas totales]]/TableWeeklySummary[[#This Row],[Órdenes totales]],0)</f>
        <v>0</v>
      </c>
      <c r="H22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20" s="12">
        <f ca="1">TableWeeklySummary[[#This Row],[Órden promedio totales]]*TableWeeklySummary[[#This Row],[CR totales]]</f>
        <v>0</v>
      </c>
      <c r="J220" s="12">
        <f ca="1">SUMIFS(TableDailySummary[Ventas primer cliente],TableDailySummary[Fecha],"&gt;="&amp;TableWeeklySummary[[#This Row],[Desde]],TableDailySummary[Fecha],"&lt;="&amp;TableWeeklySummary[[#This Row],[Hasta]])</f>
        <v>0</v>
      </c>
      <c r="K220" s="12">
        <f ca="1">SUMIFS(TableDailySummary[Órdenes primer cliente],TableDailySummary[Fecha],"&gt;="&amp;TableWeeklySummary[[#This Row],[Desde]],TableDailySummary[Fecha],"&lt;="&amp;TableWeeklySummary[[#This Row],[Hasta]])</f>
        <v>0</v>
      </c>
      <c r="L220" s="12">
        <f ca="1">SUMIFS(TableDailySummary[Online Store_net_sales],TableDailySummary[Fecha],"&gt;="&amp;TableWeeklySummary[[#This Row],[Desde]],TableDailySummary[Fecha],"&lt;="&amp;TableWeeklySummary[[#This Row],[Hasta]])</f>
        <v>0</v>
      </c>
      <c r="M220" s="12">
        <f ca="1">SUMIFS(TableDailySummary[Online Store_orders],TableDailySummary[Fecha],"&gt;="&amp;TableWeeklySummary[[#This Row],[Desde]],TableDailySummary[Fecha],"&lt;="&amp;TableWeeklySummary[[#This Row],[Hasta]])</f>
        <v>0</v>
      </c>
      <c r="N220" s="12">
        <f ca="1">SUMIFS(TableDailySummary[Tienda 81_net_sales],TableDailySummary[Fecha],"&gt;="&amp;TableWeeklySummary[[#This Row],[Desde]],TableDailySummary[Fecha],"&lt;="&amp;TableWeeklySummary[[#This Row],[Hasta]])</f>
        <v>0</v>
      </c>
      <c r="O220" s="12">
        <f ca="1">SUMIFS(TableDailySummary[Tienda 81_orders],TableDailySummary[Fecha],"&gt;="&amp;TableWeeklySummary[[#This Row],[Desde]],TableDailySummary[Fecha],"&lt;="&amp;TableWeeklySummary[[#This Row],[Hasta]])</f>
        <v>0</v>
      </c>
      <c r="P220" s="12">
        <f ca="1">SUMIFS(TableDailySummary[Rappi_net_sales],TableDailySummary[Fecha],"&gt;="&amp;TableWeeklySummary[[#This Row],[Desde]],TableDailySummary[Fecha],"&lt;="&amp;TableWeeklySummary[[#This Row],[Hasta]])</f>
        <v>0</v>
      </c>
      <c r="Q220" s="12">
        <f ca="1">SUMIFS(TableDailySummary[Rappi_orders],TableDailySummary[Fecha],"&gt;="&amp;TableWeeklySummary[[#This Row],[Desde]],TableDailySummary[Fecha],"&lt;="&amp;TableWeeklySummary[[#This Row],[Hasta]])</f>
        <v>0</v>
      </c>
      <c r="R22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2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20" s="12">
        <f ca="1">SUMIFS(TableDailySummary[Inversión google ads],TableDailySummary[Fecha],"&gt;="&amp;TableWeeklySummary[[#This Row],[Desde]],TableDailySummary[Fecha],"&lt;="&amp;TableWeeklySummary[[#This Row],[Hasta]])</f>
        <v>0</v>
      </c>
      <c r="U220" s="12">
        <f ca="1">SUMIFS(TableDailySummary[Ventas google ads],TableDailySummary[Fecha],"&gt;="&amp;TableWeeklySummary[[#This Row],[Desde]],TableDailySummary[Fecha],"&lt;="&amp;TableWeeklySummary[[#This Row],[Hasta]])</f>
        <v>0</v>
      </c>
      <c r="V220" s="12">
        <f ca="1">SUMIFS(TableDailySummary[Inversión meta ads],TableDailySummary[Fecha],"&gt;="&amp;TableWeeklySummary[[#This Row],[Desde]],TableDailySummary[Fecha],"&lt;="&amp;TableWeeklySummary[[#This Row],[Hasta]])</f>
        <v>0</v>
      </c>
      <c r="W220" s="12">
        <f ca="1">SUMIFS(TableDailySummary[Ventas meta ads],TableDailySummary[Fecha],"&gt;="&amp;TableWeeklySummary[[#This Row],[Desde]],TableDailySummary[Fecha],"&lt;="&amp;TableWeeklySummary[[#This Row],[Hasta]])</f>
        <v>0</v>
      </c>
      <c r="X220" s="12">
        <f ca="1">TableWeeklySummary[[#This Row],[Inversión google ads]]+TableWeeklySummary[[#This Row],[Inversión meta ads]]</f>
        <v>0</v>
      </c>
      <c r="Y220" s="12">
        <f ca="1">TableWeeklySummary[[#This Row],[Ventas google ads]]+TableWeeklySummary[[#This Row],[Ventas meta ads]]</f>
        <v>0</v>
      </c>
      <c r="Z220" s="14">
        <f ca="1">IFERROR(TableWeeklySummary[[#This Row],[Ventas publicidad]]/TableWeeklySummary[[#This Row],[Inversión publicidad]],0)</f>
        <v>0</v>
      </c>
      <c r="AA220" s="14">
        <f ca="1">IFERROR(TableWeeklySummary[[#This Row],[Ventas primer cliente]]/TableWeeklySummary[[#This Row],[Inversión publicidad]],0)</f>
        <v>0</v>
      </c>
      <c r="AB220" s="14"/>
      <c r="AC220" s="12"/>
      <c r="AI22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2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20" s="12">
        <f ca="1">SUMIFS(TableDailySummary[Utilidad bruta],TableDailySummary[Fecha],"&gt;="&amp;TableWeeklySummary[[#This Row],[Desde]],TableDailySummary[Fecha],"&lt;="&amp;TableWeeklySummary[[#This Row],[Hasta]])</f>
        <v>0</v>
      </c>
      <c r="AL220" s="18">
        <f ca="1">IFERROR(TableWeeklySummary[[#This Row],[Utilidad bruta]]/TableWeeklySummary[[#This Row],[Ventas netas con costo registrado]],0)</f>
        <v>0</v>
      </c>
    </row>
    <row r="221" spans="2:38" x14ac:dyDescent="0.2">
      <c r="B221" s="16">
        <f ca="1">_xlfn.ISOWEEKNUM(TableWeeklySummary[[#This Row],[Hasta]])</f>
        <v>50</v>
      </c>
      <c r="C221" s="6">
        <f t="shared" ca="1" si="5"/>
        <v>47459</v>
      </c>
      <c r="D221" s="6">
        <f ca="1">TableWeeklySummary[[#This Row],[Desde]]+7-1</f>
        <v>47465</v>
      </c>
      <c r="E221" s="12">
        <f ca="1">SUMIFS(TableDailySummary[Ventas netas totales],TableDailySummary[Fecha],"&gt;="&amp;TableWeeklySummary[[#This Row],[Desde]],TableDailySummary[Fecha],"&lt;="&amp;TableWeeklySummary[[#This Row],[Hasta]])</f>
        <v>0</v>
      </c>
      <c r="F221" s="12">
        <f ca="1">SUMIFS(TableDailySummary[Órdenes totales],TableDailySummary[Fecha],"&gt;="&amp;TableWeeklySummary[[#This Row],[Desde]],TableDailySummary[Fecha],"&lt;="&amp;TableWeeklySummary[[#This Row],[Hasta]])</f>
        <v>0</v>
      </c>
      <c r="G221" s="12">
        <f ca="1">IFERROR(TableWeeklySummary[[#This Row],[Ventas netas totales]]/TableWeeklySummary[[#This Row],[Órdenes totales]],0)</f>
        <v>0</v>
      </c>
      <c r="H22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21" s="12">
        <f ca="1">TableWeeklySummary[[#This Row],[Órden promedio totales]]*TableWeeklySummary[[#This Row],[CR totales]]</f>
        <v>0</v>
      </c>
      <c r="J221" s="12">
        <f ca="1">SUMIFS(TableDailySummary[Ventas primer cliente],TableDailySummary[Fecha],"&gt;="&amp;TableWeeklySummary[[#This Row],[Desde]],TableDailySummary[Fecha],"&lt;="&amp;TableWeeklySummary[[#This Row],[Hasta]])</f>
        <v>0</v>
      </c>
      <c r="K221" s="12">
        <f ca="1">SUMIFS(TableDailySummary[Órdenes primer cliente],TableDailySummary[Fecha],"&gt;="&amp;TableWeeklySummary[[#This Row],[Desde]],TableDailySummary[Fecha],"&lt;="&amp;TableWeeklySummary[[#This Row],[Hasta]])</f>
        <v>0</v>
      </c>
      <c r="L221" s="12">
        <f ca="1">SUMIFS(TableDailySummary[Online Store_net_sales],TableDailySummary[Fecha],"&gt;="&amp;TableWeeklySummary[[#This Row],[Desde]],TableDailySummary[Fecha],"&lt;="&amp;TableWeeklySummary[[#This Row],[Hasta]])</f>
        <v>0</v>
      </c>
      <c r="M221" s="12">
        <f ca="1">SUMIFS(TableDailySummary[Online Store_orders],TableDailySummary[Fecha],"&gt;="&amp;TableWeeklySummary[[#This Row],[Desde]],TableDailySummary[Fecha],"&lt;="&amp;TableWeeklySummary[[#This Row],[Hasta]])</f>
        <v>0</v>
      </c>
      <c r="N221" s="12">
        <f ca="1">SUMIFS(TableDailySummary[Tienda 81_net_sales],TableDailySummary[Fecha],"&gt;="&amp;TableWeeklySummary[[#This Row],[Desde]],TableDailySummary[Fecha],"&lt;="&amp;TableWeeklySummary[[#This Row],[Hasta]])</f>
        <v>0</v>
      </c>
      <c r="O221" s="12">
        <f ca="1">SUMIFS(TableDailySummary[Tienda 81_orders],TableDailySummary[Fecha],"&gt;="&amp;TableWeeklySummary[[#This Row],[Desde]],TableDailySummary[Fecha],"&lt;="&amp;TableWeeklySummary[[#This Row],[Hasta]])</f>
        <v>0</v>
      </c>
      <c r="P221" s="12">
        <f ca="1">SUMIFS(TableDailySummary[Rappi_net_sales],TableDailySummary[Fecha],"&gt;="&amp;TableWeeklySummary[[#This Row],[Desde]],TableDailySummary[Fecha],"&lt;="&amp;TableWeeklySummary[[#This Row],[Hasta]])</f>
        <v>0</v>
      </c>
      <c r="Q221" s="12">
        <f ca="1">SUMIFS(TableDailySummary[Rappi_orders],TableDailySummary[Fecha],"&gt;="&amp;TableWeeklySummary[[#This Row],[Desde]],TableDailySummary[Fecha],"&lt;="&amp;TableWeeklySummary[[#This Row],[Hasta]])</f>
        <v>0</v>
      </c>
      <c r="R22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2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21" s="12">
        <f ca="1">SUMIFS(TableDailySummary[Inversión google ads],TableDailySummary[Fecha],"&gt;="&amp;TableWeeklySummary[[#This Row],[Desde]],TableDailySummary[Fecha],"&lt;="&amp;TableWeeklySummary[[#This Row],[Hasta]])</f>
        <v>0</v>
      </c>
      <c r="U221" s="12">
        <f ca="1">SUMIFS(TableDailySummary[Ventas google ads],TableDailySummary[Fecha],"&gt;="&amp;TableWeeklySummary[[#This Row],[Desde]],TableDailySummary[Fecha],"&lt;="&amp;TableWeeklySummary[[#This Row],[Hasta]])</f>
        <v>0</v>
      </c>
      <c r="V221" s="12">
        <f ca="1">SUMIFS(TableDailySummary[Inversión meta ads],TableDailySummary[Fecha],"&gt;="&amp;TableWeeklySummary[[#This Row],[Desde]],TableDailySummary[Fecha],"&lt;="&amp;TableWeeklySummary[[#This Row],[Hasta]])</f>
        <v>0</v>
      </c>
      <c r="W221" s="12">
        <f ca="1">SUMIFS(TableDailySummary[Ventas meta ads],TableDailySummary[Fecha],"&gt;="&amp;TableWeeklySummary[[#This Row],[Desde]],TableDailySummary[Fecha],"&lt;="&amp;TableWeeklySummary[[#This Row],[Hasta]])</f>
        <v>0</v>
      </c>
      <c r="X221" s="12">
        <f ca="1">TableWeeklySummary[[#This Row],[Inversión google ads]]+TableWeeklySummary[[#This Row],[Inversión meta ads]]</f>
        <v>0</v>
      </c>
      <c r="Y221" s="12">
        <f ca="1">TableWeeklySummary[[#This Row],[Ventas google ads]]+TableWeeklySummary[[#This Row],[Ventas meta ads]]</f>
        <v>0</v>
      </c>
      <c r="Z221" s="14">
        <f ca="1">IFERROR(TableWeeklySummary[[#This Row],[Ventas publicidad]]/TableWeeklySummary[[#This Row],[Inversión publicidad]],0)</f>
        <v>0</v>
      </c>
      <c r="AA221" s="14">
        <f ca="1">IFERROR(TableWeeklySummary[[#This Row],[Ventas primer cliente]]/TableWeeklySummary[[#This Row],[Inversión publicidad]],0)</f>
        <v>0</v>
      </c>
      <c r="AB221" s="14"/>
      <c r="AC221" s="12"/>
      <c r="AI22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2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21" s="12">
        <f ca="1">SUMIFS(TableDailySummary[Utilidad bruta],TableDailySummary[Fecha],"&gt;="&amp;TableWeeklySummary[[#This Row],[Desde]],TableDailySummary[Fecha],"&lt;="&amp;TableWeeklySummary[[#This Row],[Hasta]])</f>
        <v>0</v>
      </c>
      <c r="AL221" s="18">
        <f ca="1">IFERROR(TableWeeklySummary[[#This Row],[Utilidad bruta]]/TableWeeklySummary[[#This Row],[Ventas netas con costo registrado]],0)</f>
        <v>0</v>
      </c>
    </row>
    <row r="222" spans="2:38" x14ac:dyDescent="0.2">
      <c r="B222" s="16">
        <f ca="1">_xlfn.ISOWEEKNUM(TableWeeklySummary[[#This Row],[Hasta]])</f>
        <v>51</v>
      </c>
      <c r="C222" s="6">
        <f t="shared" ca="1" si="5"/>
        <v>47466</v>
      </c>
      <c r="D222" s="6">
        <f ca="1">TableWeeklySummary[[#This Row],[Desde]]+7-1</f>
        <v>47472</v>
      </c>
      <c r="E222" s="12">
        <f ca="1">SUMIFS(TableDailySummary[Ventas netas totales],TableDailySummary[Fecha],"&gt;="&amp;TableWeeklySummary[[#This Row],[Desde]],TableDailySummary[Fecha],"&lt;="&amp;TableWeeklySummary[[#This Row],[Hasta]])</f>
        <v>0</v>
      </c>
      <c r="F222" s="12">
        <f ca="1">SUMIFS(TableDailySummary[Órdenes totales],TableDailySummary[Fecha],"&gt;="&amp;TableWeeklySummary[[#This Row],[Desde]],TableDailySummary[Fecha],"&lt;="&amp;TableWeeklySummary[[#This Row],[Hasta]])</f>
        <v>0</v>
      </c>
      <c r="G222" s="12">
        <f ca="1">IFERROR(TableWeeklySummary[[#This Row],[Ventas netas totales]]/TableWeeklySummary[[#This Row],[Órdenes totales]],0)</f>
        <v>0</v>
      </c>
      <c r="H22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22" s="12">
        <f ca="1">TableWeeklySummary[[#This Row],[Órden promedio totales]]*TableWeeklySummary[[#This Row],[CR totales]]</f>
        <v>0</v>
      </c>
      <c r="J222" s="12">
        <f ca="1">SUMIFS(TableDailySummary[Ventas primer cliente],TableDailySummary[Fecha],"&gt;="&amp;TableWeeklySummary[[#This Row],[Desde]],TableDailySummary[Fecha],"&lt;="&amp;TableWeeklySummary[[#This Row],[Hasta]])</f>
        <v>0</v>
      </c>
      <c r="K222" s="12">
        <f ca="1">SUMIFS(TableDailySummary[Órdenes primer cliente],TableDailySummary[Fecha],"&gt;="&amp;TableWeeklySummary[[#This Row],[Desde]],TableDailySummary[Fecha],"&lt;="&amp;TableWeeklySummary[[#This Row],[Hasta]])</f>
        <v>0</v>
      </c>
      <c r="L222" s="12">
        <f ca="1">SUMIFS(TableDailySummary[Online Store_net_sales],TableDailySummary[Fecha],"&gt;="&amp;TableWeeklySummary[[#This Row],[Desde]],TableDailySummary[Fecha],"&lt;="&amp;TableWeeklySummary[[#This Row],[Hasta]])</f>
        <v>0</v>
      </c>
      <c r="M222" s="12">
        <f ca="1">SUMIFS(TableDailySummary[Online Store_orders],TableDailySummary[Fecha],"&gt;="&amp;TableWeeklySummary[[#This Row],[Desde]],TableDailySummary[Fecha],"&lt;="&amp;TableWeeklySummary[[#This Row],[Hasta]])</f>
        <v>0</v>
      </c>
      <c r="N222" s="12">
        <f ca="1">SUMIFS(TableDailySummary[Tienda 81_net_sales],TableDailySummary[Fecha],"&gt;="&amp;TableWeeklySummary[[#This Row],[Desde]],TableDailySummary[Fecha],"&lt;="&amp;TableWeeklySummary[[#This Row],[Hasta]])</f>
        <v>0</v>
      </c>
      <c r="O222" s="12">
        <f ca="1">SUMIFS(TableDailySummary[Tienda 81_orders],TableDailySummary[Fecha],"&gt;="&amp;TableWeeklySummary[[#This Row],[Desde]],TableDailySummary[Fecha],"&lt;="&amp;TableWeeklySummary[[#This Row],[Hasta]])</f>
        <v>0</v>
      </c>
      <c r="P222" s="12">
        <f ca="1">SUMIFS(TableDailySummary[Rappi_net_sales],TableDailySummary[Fecha],"&gt;="&amp;TableWeeklySummary[[#This Row],[Desde]],TableDailySummary[Fecha],"&lt;="&amp;TableWeeklySummary[[#This Row],[Hasta]])</f>
        <v>0</v>
      </c>
      <c r="Q222" s="12">
        <f ca="1">SUMIFS(TableDailySummary[Rappi_orders],TableDailySummary[Fecha],"&gt;="&amp;TableWeeklySummary[[#This Row],[Desde]],TableDailySummary[Fecha],"&lt;="&amp;TableWeeklySummary[[#This Row],[Hasta]])</f>
        <v>0</v>
      </c>
      <c r="R22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2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22" s="12">
        <f ca="1">SUMIFS(TableDailySummary[Inversión google ads],TableDailySummary[Fecha],"&gt;="&amp;TableWeeklySummary[[#This Row],[Desde]],TableDailySummary[Fecha],"&lt;="&amp;TableWeeklySummary[[#This Row],[Hasta]])</f>
        <v>0</v>
      </c>
      <c r="U222" s="12">
        <f ca="1">SUMIFS(TableDailySummary[Ventas google ads],TableDailySummary[Fecha],"&gt;="&amp;TableWeeklySummary[[#This Row],[Desde]],TableDailySummary[Fecha],"&lt;="&amp;TableWeeklySummary[[#This Row],[Hasta]])</f>
        <v>0</v>
      </c>
      <c r="V222" s="12">
        <f ca="1">SUMIFS(TableDailySummary[Inversión meta ads],TableDailySummary[Fecha],"&gt;="&amp;TableWeeklySummary[[#This Row],[Desde]],TableDailySummary[Fecha],"&lt;="&amp;TableWeeklySummary[[#This Row],[Hasta]])</f>
        <v>0</v>
      </c>
      <c r="W222" s="12">
        <f ca="1">SUMIFS(TableDailySummary[Ventas meta ads],TableDailySummary[Fecha],"&gt;="&amp;TableWeeklySummary[[#This Row],[Desde]],TableDailySummary[Fecha],"&lt;="&amp;TableWeeklySummary[[#This Row],[Hasta]])</f>
        <v>0</v>
      </c>
      <c r="X222" s="12">
        <f ca="1">TableWeeklySummary[[#This Row],[Inversión google ads]]+TableWeeklySummary[[#This Row],[Inversión meta ads]]</f>
        <v>0</v>
      </c>
      <c r="Y222" s="12">
        <f ca="1">TableWeeklySummary[[#This Row],[Ventas google ads]]+TableWeeklySummary[[#This Row],[Ventas meta ads]]</f>
        <v>0</v>
      </c>
      <c r="Z222" s="14">
        <f ca="1">IFERROR(TableWeeklySummary[[#This Row],[Ventas publicidad]]/TableWeeklySummary[[#This Row],[Inversión publicidad]],0)</f>
        <v>0</v>
      </c>
      <c r="AA222" s="14">
        <f ca="1">IFERROR(TableWeeklySummary[[#This Row],[Ventas primer cliente]]/TableWeeklySummary[[#This Row],[Inversión publicidad]],0)</f>
        <v>0</v>
      </c>
      <c r="AB222" s="14"/>
      <c r="AC222" s="12"/>
      <c r="AI22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2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22" s="12">
        <f ca="1">SUMIFS(TableDailySummary[Utilidad bruta],TableDailySummary[Fecha],"&gt;="&amp;TableWeeklySummary[[#This Row],[Desde]],TableDailySummary[Fecha],"&lt;="&amp;TableWeeklySummary[[#This Row],[Hasta]])</f>
        <v>0</v>
      </c>
      <c r="AL222" s="18">
        <f ca="1">IFERROR(TableWeeklySummary[[#This Row],[Utilidad bruta]]/TableWeeklySummary[[#This Row],[Ventas netas con costo registrado]],0)</f>
        <v>0</v>
      </c>
    </row>
    <row r="223" spans="2:38" x14ac:dyDescent="0.2">
      <c r="B223" s="16">
        <f ca="1">_xlfn.ISOWEEKNUM(TableWeeklySummary[[#This Row],[Hasta]])</f>
        <v>52</v>
      </c>
      <c r="C223" s="6">
        <f t="shared" ca="1" si="5"/>
        <v>47473</v>
      </c>
      <c r="D223" s="6">
        <f ca="1">TableWeeklySummary[[#This Row],[Desde]]+7-1</f>
        <v>47479</v>
      </c>
      <c r="E223" s="12">
        <f ca="1">SUMIFS(TableDailySummary[Ventas netas totales],TableDailySummary[Fecha],"&gt;="&amp;TableWeeklySummary[[#This Row],[Desde]],TableDailySummary[Fecha],"&lt;="&amp;TableWeeklySummary[[#This Row],[Hasta]])</f>
        <v>0</v>
      </c>
      <c r="F223" s="12">
        <f ca="1">SUMIFS(TableDailySummary[Órdenes totales],TableDailySummary[Fecha],"&gt;="&amp;TableWeeklySummary[[#This Row],[Desde]],TableDailySummary[Fecha],"&lt;="&amp;TableWeeklySummary[[#This Row],[Hasta]])</f>
        <v>0</v>
      </c>
      <c r="G223" s="12">
        <f ca="1">IFERROR(TableWeeklySummary[[#This Row],[Ventas netas totales]]/TableWeeklySummary[[#This Row],[Órdenes totales]],0)</f>
        <v>0</v>
      </c>
      <c r="H22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23" s="12">
        <f ca="1">TableWeeklySummary[[#This Row],[Órden promedio totales]]*TableWeeklySummary[[#This Row],[CR totales]]</f>
        <v>0</v>
      </c>
      <c r="J223" s="12">
        <f ca="1">SUMIFS(TableDailySummary[Ventas primer cliente],TableDailySummary[Fecha],"&gt;="&amp;TableWeeklySummary[[#This Row],[Desde]],TableDailySummary[Fecha],"&lt;="&amp;TableWeeklySummary[[#This Row],[Hasta]])</f>
        <v>0</v>
      </c>
      <c r="K223" s="12">
        <f ca="1">SUMIFS(TableDailySummary[Órdenes primer cliente],TableDailySummary[Fecha],"&gt;="&amp;TableWeeklySummary[[#This Row],[Desde]],TableDailySummary[Fecha],"&lt;="&amp;TableWeeklySummary[[#This Row],[Hasta]])</f>
        <v>0</v>
      </c>
      <c r="L223" s="12">
        <f ca="1">SUMIFS(TableDailySummary[Online Store_net_sales],TableDailySummary[Fecha],"&gt;="&amp;TableWeeklySummary[[#This Row],[Desde]],TableDailySummary[Fecha],"&lt;="&amp;TableWeeklySummary[[#This Row],[Hasta]])</f>
        <v>0</v>
      </c>
      <c r="M223" s="12">
        <f ca="1">SUMIFS(TableDailySummary[Online Store_orders],TableDailySummary[Fecha],"&gt;="&amp;TableWeeklySummary[[#This Row],[Desde]],TableDailySummary[Fecha],"&lt;="&amp;TableWeeklySummary[[#This Row],[Hasta]])</f>
        <v>0</v>
      </c>
      <c r="N223" s="12">
        <f ca="1">SUMIFS(TableDailySummary[Tienda 81_net_sales],TableDailySummary[Fecha],"&gt;="&amp;TableWeeklySummary[[#This Row],[Desde]],TableDailySummary[Fecha],"&lt;="&amp;TableWeeklySummary[[#This Row],[Hasta]])</f>
        <v>0</v>
      </c>
      <c r="O223" s="12">
        <f ca="1">SUMIFS(TableDailySummary[Tienda 81_orders],TableDailySummary[Fecha],"&gt;="&amp;TableWeeklySummary[[#This Row],[Desde]],TableDailySummary[Fecha],"&lt;="&amp;TableWeeklySummary[[#This Row],[Hasta]])</f>
        <v>0</v>
      </c>
      <c r="P223" s="12">
        <f ca="1">SUMIFS(TableDailySummary[Rappi_net_sales],TableDailySummary[Fecha],"&gt;="&amp;TableWeeklySummary[[#This Row],[Desde]],TableDailySummary[Fecha],"&lt;="&amp;TableWeeklySummary[[#This Row],[Hasta]])</f>
        <v>0</v>
      </c>
      <c r="Q223" s="12">
        <f ca="1">SUMIFS(TableDailySummary[Rappi_orders],TableDailySummary[Fecha],"&gt;="&amp;TableWeeklySummary[[#This Row],[Desde]],TableDailySummary[Fecha],"&lt;="&amp;TableWeeklySummary[[#This Row],[Hasta]])</f>
        <v>0</v>
      </c>
      <c r="R22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2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23" s="12">
        <f ca="1">SUMIFS(TableDailySummary[Inversión google ads],TableDailySummary[Fecha],"&gt;="&amp;TableWeeklySummary[[#This Row],[Desde]],TableDailySummary[Fecha],"&lt;="&amp;TableWeeklySummary[[#This Row],[Hasta]])</f>
        <v>0</v>
      </c>
      <c r="U223" s="12">
        <f ca="1">SUMIFS(TableDailySummary[Ventas google ads],TableDailySummary[Fecha],"&gt;="&amp;TableWeeklySummary[[#This Row],[Desde]],TableDailySummary[Fecha],"&lt;="&amp;TableWeeklySummary[[#This Row],[Hasta]])</f>
        <v>0</v>
      </c>
      <c r="V223" s="12">
        <f ca="1">SUMIFS(TableDailySummary[Inversión meta ads],TableDailySummary[Fecha],"&gt;="&amp;TableWeeklySummary[[#This Row],[Desde]],TableDailySummary[Fecha],"&lt;="&amp;TableWeeklySummary[[#This Row],[Hasta]])</f>
        <v>0</v>
      </c>
      <c r="W223" s="12">
        <f ca="1">SUMIFS(TableDailySummary[Ventas meta ads],TableDailySummary[Fecha],"&gt;="&amp;TableWeeklySummary[[#This Row],[Desde]],TableDailySummary[Fecha],"&lt;="&amp;TableWeeklySummary[[#This Row],[Hasta]])</f>
        <v>0</v>
      </c>
      <c r="X223" s="12">
        <f ca="1">TableWeeklySummary[[#This Row],[Inversión google ads]]+TableWeeklySummary[[#This Row],[Inversión meta ads]]</f>
        <v>0</v>
      </c>
      <c r="Y223" s="12">
        <f ca="1">TableWeeklySummary[[#This Row],[Ventas google ads]]+TableWeeklySummary[[#This Row],[Ventas meta ads]]</f>
        <v>0</v>
      </c>
      <c r="Z223" s="14">
        <f ca="1">IFERROR(TableWeeklySummary[[#This Row],[Ventas publicidad]]/TableWeeklySummary[[#This Row],[Inversión publicidad]],0)</f>
        <v>0</v>
      </c>
      <c r="AA223" s="14">
        <f ca="1">IFERROR(TableWeeklySummary[[#This Row],[Ventas primer cliente]]/TableWeeklySummary[[#This Row],[Inversión publicidad]],0)</f>
        <v>0</v>
      </c>
      <c r="AB223" s="14"/>
      <c r="AC223" s="12"/>
      <c r="AI22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2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23" s="12">
        <f ca="1">SUMIFS(TableDailySummary[Utilidad bruta],TableDailySummary[Fecha],"&gt;="&amp;TableWeeklySummary[[#This Row],[Desde]],TableDailySummary[Fecha],"&lt;="&amp;TableWeeklySummary[[#This Row],[Hasta]])</f>
        <v>0</v>
      </c>
      <c r="AL223" s="18">
        <f ca="1">IFERROR(TableWeeklySummary[[#This Row],[Utilidad bruta]]/TableWeeklySummary[[#This Row],[Ventas netas con costo registrado]],0)</f>
        <v>0</v>
      </c>
    </row>
    <row r="224" spans="2:38" x14ac:dyDescent="0.2">
      <c r="B224" s="16">
        <f ca="1">_xlfn.ISOWEEKNUM(TableWeeklySummary[[#This Row],[Hasta]])</f>
        <v>1</v>
      </c>
      <c r="C224" s="6">
        <f t="shared" ca="1" si="5"/>
        <v>47480</v>
      </c>
      <c r="D224" s="6">
        <f ca="1">TableWeeklySummary[[#This Row],[Desde]]+7-1</f>
        <v>47486</v>
      </c>
      <c r="E224" s="12">
        <f ca="1">SUMIFS(TableDailySummary[Ventas netas totales],TableDailySummary[Fecha],"&gt;="&amp;TableWeeklySummary[[#This Row],[Desde]],TableDailySummary[Fecha],"&lt;="&amp;TableWeeklySummary[[#This Row],[Hasta]])</f>
        <v>0</v>
      </c>
      <c r="F224" s="12">
        <f ca="1">SUMIFS(TableDailySummary[Órdenes totales],TableDailySummary[Fecha],"&gt;="&amp;TableWeeklySummary[[#This Row],[Desde]],TableDailySummary[Fecha],"&lt;="&amp;TableWeeklySummary[[#This Row],[Hasta]])</f>
        <v>0</v>
      </c>
      <c r="G224" s="12">
        <f ca="1">IFERROR(TableWeeklySummary[[#This Row],[Ventas netas totales]]/TableWeeklySummary[[#This Row],[Órdenes totales]],0)</f>
        <v>0</v>
      </c>
      <c r="H22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24" s="12">
        <f ca="1">TableWeeklySummary[[#This Row],[Órden promedio totales]]*TableWeeklySummary[[#This Row],[CR totales]]</f>
        <v>0</v>
      </c>
      <c r="J224" s="12">
        <f ca="1">SUMIFS(TableDailySummary[Ventas primer cliente],TableDailySummary[Fecha],"&gt;="&amp;TableWeeklySummary[[#This Row],[Desde]],TableDailySummary[Fecha],"&lt;="&amp;TableWeeklySummary[[#This Row],[Hasta]])</f>
        <v>0</v>
      </c>
      <c r="K224" s="12">
        <f ca="1">SUMIFS(TableDailySummary[Órdenes primer cliente],TableDailySummary[Fecha],"&gt;="&amp;TableWeeklySummary[[#This Row],[Desde]],TableDailySummary[Fecha],"&lt;="&amp;TableWeeklySummary[[#This Row],[Hasta]])</f>
        <v>0</v>
      </c>
      <c r="L224" s="12">
        <f ca="1">SUMIFS(TableDailySummary[Online Store_net_sales],TableDailySummary[Fecha],"&gt;="&amp;TableWeeklySummary[[#This Row],[Desde]],TableDailySummary[Fecha],"&lt;="&amp;TableWeeklySummary[[#This Row],[Hasta]])</f>
        <v>0</v>
      </c>
      <c r="M224" s="12">
        <f ca="1">SUMIFS(TableDailySummary[Online Store_orders],TableDailySummary[Fecha],"&gt;="&amp;TableWeeklySummary[[#This Row],[Desde]],TableDailySummary[Fecha],"&lt;="&amp;TableWeeklySummary[[#This Row],[Hasta]])</f>
        <v>0</v>
      </c>
      <c r="N224" s="12">
        <f ca="1">SUMIFS(TableDailySummary[Tienda 81_net_sales],TableDailySummary[Fecha],"&gt;="&amp;TableWeeklySummary[[#This Row],[Desde]],TableDailySummary[Fecha],"&lt;="&amp;TableWeeklySummary[[#This Row],[Hasta]])</f>
        <v>0</v>
      </c>
      <c r="O224" s="12">
        <f ca="1">SUMIFS(TableDailySummary[Tienda 81_orders],TableDailySummary[Fecha],"&gt;="&amp;TableWeeklySummary[[#This Row],[Desde]],TableDailySummary[Fecha],"&lt;="&amp;TableWeeklySummary[[#This Row],[Hasta]])</f>
        <v>0</v>
      </c>
      <c r="P224" s="12">
        <f ca="1">SUMIFS(TableDailySummary[Rappi_net_sales],TableDailySummary[Fecha],"&gt;="&amp;TableWeeklySummary[[#This Row],[Desde]],TableDailySummary[Fecha],"&lt;="&amp;TableWeeklySummary[[#This Row],[Hasta]])</f>
        <v>0</v>
      </c>
      <c r="Q224" s="12">
        <f ca="1">SUMIFS(TableDailySummary[Rappi_orders],TableDailySummary[Fecha],"&gt;="&amp;TableWeeklySummary[[#This Row],[Desde]],TableDailySummary[Fecha],"&lt;="&amp;TableWeeklySummary[[#This Row],[Hasta]])</f>
        <v>0</v>
      </c>
      <c r="R22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2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24" s="12">
        <f ca="1">SUMIFS(TableDailySummary[Inversión google ads],TableDailySummary[Fecha],"&gt;="&amp;TableWeeklySummary[[#This Row],[Desde]],TableDailySummary[Fecha],"&lt;="&amp;TableWeeklySummary[[#This Row],[Hasta]])</f>
        <v>0</v>
      </c>
      <c r="U224" s="12">
        <f ca="1">SUMIFS(TableDailySummary[Ventas google ads],TableDailySummary[Fecha],"&gt;="&amp;TableWeeklySummary[[#This Row],[Desde]],TableDailySummary[Fecha],"&lt;="&amp;TableWeeklySummary[[#This Row],[Hasta]])</f>
        <v>0</v>
      </c>
      <c r="V224" s="12">
        <f ca="1">SUMIFS(TableDailySummary[Inversión meta ads],TableDailySummary[Fecha],"&gt;="&amp;TableWeeklySummary[[#This Row],[Desde]],TableDailySummary[Fecha],"&lt;="&amp;TableWeeklySummary[[#This Row],[Hasta]])</f>
        <v>0</v>
      </c>
      <c r="W224" s="12">
        <f ca="1">SUMIFS(TableDailySummary[Ventas meta ads],TableDailySummary[Fecha],"&gt;="&amp;TableWeeklySummary[[#This Row],[Desde]],TableDailySummary[Fecha],"&lt;="&amp;TableWeeklySummary[[#This Row],[Hasta]])</f>
        <v>0</v>
      </c>
      <c r="X224" s="12">
        <f ca="1">TableWeeklySummary[[#This Row],[Inversión google ads]]+TableWeeklySummary[[#This Row],[Inversión meta ads]]</f>
        <v>0</v>
      </c>
      <c r="Y224" s="12">
        <f ca="1">TableWeeklySummary[[#This Row],[Ventas google ads]]+TableWeeklySummary[[#This Row],[Ventas meta ads]]</f>
        <v>0</v>
      </c>
      <c r="Z224" s="14">
        <f ca="1">IFERROR(TableWeeklySummary[[#This Row],[Ventas publicidad]]/TableWeeklySummary[[#This Row],[Inversión publicidad]],0)</f>
        <v>0</v>
      </c>
      <c r="AA224" s="14">
        <f ca="1">IFERROR(TableWeeklySummary[[#This Row],[Ventas primer cliente]]/TableWeeklySummary[[#This Row],[Inversión publicidad]],0)</f>
        <v>0</v>
      </c>
      <c r="AB224" s="14"/>
      <c r="AC224" s="12"/>
      <c r="AI22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2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24" s="12">
        <f ca="1">SUMIFS(TableDailySummary[Utilidad bruta],TableDailySummary[Fecha],"&gt;="&amp;TableWeeklySummary[[#This Row],[Desde]],TableDailySummary[Fecha],"&lt;="&amp;TableWeeklySummary[[#This Row],[Hasta]])</f>
        <v>0</v>
      </c>
      <c r="AL224" s="18">
        <f ca="1">IFERROR(TableWeeklySummary[[#This Row],[Utilidad bruta]]/TableWeeklySummary[[#This Row],[Ventas netas con costo registrado]],0)</f>
        <v>0</v>
      </c>
    </row>
    <row r="225" spans="2:38" x14ac:dyDescent="0.2">
      <c r="B225" s="16">
        <f ca="1">_xlfn.ISOWEEKNUM(TableWeeklySummary[[#This Row],[Hasta]])</f>
        <v>2</v>
      </c>
      <c r="C225" s="6">
        <f t="shared" ca="1" si="5"/>
        <v>47487</v>
      </c>
      <c r="D225" s="6">
        <f ca="1">TableWeeklySummary[[#This Row],[Desde]]+7-1</f>
        <v>47493</v>
      </c>
      <c r="E225" s="12">
        <f ca="1">SUMIFS(TableDailySummary[Ventas netas totales],TableDailySummary[Fecha],"&gt;="&amp;TableWeeklySummary[[#This Row],[Desde]],TableDailySummary[Fecha],"&lt;="&amp;TableWeeklySummary[[#This Row],[Hasta]])</f>
        <v>0</v>
      </c>
      <c r="F225" s="12">
        <f ca="1">SUMIFS(TableDailySummary[Órdenes totales],TableDailySummary[Fecha],"&gt;="&amp;TableWeeklySummary[[#This Row],[Desde]],TableDailySummary[Fecha],"&lt;="&amp;TableWeeklySummary[[#This Row],[Hasta]])</f>
        <v>0</v>
      </c>
      <c r="G225" s="12">
        <f ca="1">IFERROR(TableWeeklySummary[[#This Row],[Ventas netas totales]]/TableWeeklySummary[[#This Row],[Órdenes totales]],0)</f>
        <v>0</v>
      </c>
      <c r="H22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25" s="12">
        <f ca="1">TableWeeklySummary[[#This Row],[Órden promedio totales]]*TableWeeklySummary[[#This Row],[CR totales]]</f>
        <v>0</v>
      </c>
      <c r="J225" s="12">
        <f ca="1">SUMIFS(TableDailySummary[Ventas primer cliente],TableDailySummary[Fecha],"&gt;="&amp;TableWeeklySummary[[#This Row],[Desde]],TableDailySummary[Fecha],"&lt;="&amp;TableWeeklySummary[[#This Row],[Hasta]])</f>
        <v>0</v>
      </c>
      <c r="K225" s="12">
        <f ca="1">SUMIFS(TableDailySummary[Órdenes primer cliente],TableDailySummary[Fecha],"&gt;="&amp;TableWeeklySummary[[#This Row],[Desde]],TableDailySummary[Fecha],"&lt;="&amp;TableWeeklySummary[[#This Row],[Hasta]])</f>
        <v>0</v>
      </c>
      <c r="L225" s="12">
        <f ca="1">SUMIFS(TableDailySummary[Online Store_net_sales],TableDailySummary[Fecha],"&gt;="&amp;TableWeeklySummary[[#This Row],[Desde]],TableDailySummary[Fecha],"&lt;="&amp;TableWeeklySummary[[#This Row],[Hasta]])</f>
        <v>0</v>
      </c>
      <c r="M225" s="12">
        <f ca="1">SUMIFS(TableDailySummary[Online Store_orders],TableDailySummary[Fecha],"&gt;="&amp;TableWeeklySummary[[#This Row],[Desde]],TableDailySummary[Fecha],"&lt;="&amp;TableWeeklySummary[[#This Row],[Hasta]])</f>
        <v>0</v>
      </c>
      <c r="N225" s="12">
        <f ca="1">SUMIFS(TableDailySummary[Tienda 81_net_sales],TableDailySummary[Fecha],"&gt;="&amp;TableWeeklySummary[[#This Row],[Desde]],TableDailySummary[Fecha],"&lt;="&amp;TableWeeklySummary[[#This Row],[Hasta]])</f>
        <v>0</v>
      </c>
      <c r="O225" s="12">
        <f ca="1">SUMIFS(TableDailySummary[Tienda 81_orders],TableDailySummary[Fecha],"&gt;="&amp;TableWeeklySummary[[#This Row],[Desde]],TableDailySummary[Fecha],"&lt;="&amp;TableWeeklySummary[[#This Row],[Hasta]])</f>
        <v>0</v>
      </c>
      <c r="P225" s="12">
        <f ca="1">SUMIFS(TableDailySummary[Rappi_net_sales],TableDailySummary[Fecha],"&gt;="&amp;TableWeeklySummary[[#This Row],[Desde]],TableDailySummary[Fecha],"&lt;="&amp;TableWeeklySummary[[#This Row],[Hasta]])</f>
        <v>0</v>
      </c>
      <c r="Q225" s="12">
        <f ca="1">SUMIFS(TableDailySummary[Rappi_orders],TableDailySummary[Fecha],"&gt;="&amp;TableWeeklySummary[[#This Row],[Desde]],TableDailySummary[Fecha],"&lt;="&amp;TableWeeklySummary[[#This Row],[Hasta]])</f>
        <v>0</v>
      </c>
      <c r="R22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2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25" s="12">
        <f ca="1">SUMIFS(TableDailySummary[Inversión google ads],TableDailySummary[Fecha],"&gt;="&amp;TableWeeklySummary[[#This Row],[Desde]],TableDailySummary[Fecha],"&lt;="&amp;TableWeeklySummary[[#This Row],[Hasta]])</f>
        <v>0</v>
      </c>
      <c r="U225" s="12">
        <f ca="1">SUMIFS(TableDailySummary[Ventas google ads],TableDailySummary[Fecha],"&gt;="&amp;TableWeeklySummary[[#This Row],[Desde]],TableDailySummary[Fecha],"&lt;="&amp;TableWeeklySummary[[#This Row],[Hasta]])</f>
        <v>0</v>
      </c>
      <c r="V225" s="12">
        <f ca="1">SUMIFS(TableDailySummary[Inversión meta ads],TableDailySummary[Fecha],"&gt;="&amp;TableWeeklySummary[[#This Row],[Desde]],TableDailySummary[Fecha],"&lt;="&amp;TableWeeklySummary[[#This Row],[Hasta]])</f>
        <v>0</v>
      </c>
      <c r="W225" s="12">
        <f ca="1">SUMIFS(TableDailySummary[Ventas meta ads],TableDailySummary[Fecha],"&gt;="&amp;TableWeeklySummary[[#This Row],[Desde]],TableDailySummary[Fecha],"&lt;="&amp;TableWeeklySummary[[#This Row],[Hasta]])</f>
        <v>0</v>
      </c>
      <c r="X225" s="12">
        <f ca="1">TableWeeklySummary[[#This Row],[Inversión google ads]]+TableWeeklySummary[[#This Row],[Inversión meta ads]]</f>
        <v>0</v>
      </c>
      <c r="Y225" s="12">
        <f ca="1">TableWeeklySummary[[#This Row],[Ventas google ads]]+TableWeeklySummary[[#This Row],[Ventas meta ads]]</f>
        <v>0</v>
      </c>
      <c r="Z225" s="14">
        <f ca="1">IFERROR(TableWeeklySummary[[#This Row],[Ventas publicidad]]/TableWeeklySummary[[#This Row],[Inversión publicidad]],0)</f>
        <v>0</v>
      </c>
      <c r="AA225" s="14">
        <f ca="1">IFERROR(TableWeeklySummary[[#This Row],[Ventas primer cliente]]/TableWeeklySummary[[#This Row],[Inversión publicidad]],0)</f>
        <v>0</v>
      </c>
      <c r="AB225" s="14"/>
      <c r="AC225" s="12"/>
      <c r="AI22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2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25" s="12">
        <f ca="1">SUMIFS(TableDailySummary[Utilidad bruta],TableDailySummary[Fecha],"&gt;="&amp;TableWeeklySummary[[#This Row],[Desde]],TableDailySummary[Fecha],"&lt;="&amp;TableWeeklySummary[[#This Row],[Hasta]])</f>
        <v>0</v>
      </c>
      <c r="AL225" s="18">
        <f ca="1">IFERROR(TableWeeklySummary[[#This Row],[Utilidad bruta]]/TableWeeklySummary[[#This Row],[Ventas netas con costo registrado]],0)</f>
        <v>0</v>
      </c>
    </row>
    <row r="226" spans="2:38" x14ac:dyDescent="0.2">
      <c r="B226" s="16">
        <f ca="1">_xlfn.ISOWEEKNUM(TableWeeklySummary[[#This Row],[Hasta]])</f>
        <v>3</v>
      </c>
      <c r="C226" s="6">
        <f t="shared" ca="1" si="5"/>
        <v>47494</v>
      </c>
      <c r="D226" s="6">
        <f ca="1">TableWeeklySummary[[#This Row],[Desde]]+7-1</f>
        <v>47500</v>
      </c>
      <c r="E226" s="12">
        <f ca="1">SUMIFS(TableDailySummary[Ventas netas totales],TableDailySummary[Fecha],"&gt;="&amp;TableWeeklySummary[[#This Row],[Desde]],TableDailySummary[Fecha],"&lt;="&amp;TableWeeklySummary[[#This Row],[Hasta]])</f>
        <v>0</v>
      </c>
      <c r="F226" s="12">
        <f ca="1">SUMIFS(TableDailySummary[Órdenes totales],TableDailySummary[Fecha],"&gt;="&amp;TableWeeklySummary[[#This Row],[Desde]],TableDailySummary[Fecha],"&lt;="&amp;TableWeeklySummary[[#This Row],[Hasta]])</f>
        <v>0</v>
      </c>
      <c r="G226" s="12">
        <f ca="1">IFERROR(TableWeeklySummary[[#This Row],[Ventas netas totales]]/TableWeeklySummary[[#This Row],[Órdenes totales]],0)</f>
        <v>0</v>
      </c>
      <c r="H22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26" s="12">
        <f ca="1">TableWeeklySummary[[#This Row],[Órden promedio totales]]*TableWeeklySummary[[#This Row],[CR totales]]</f>
        <v>0</v>
      </c>
      <c r="J226" s="12">
        <f ca="1">SUMIFS(TableDailySummary[Ventas primer cliente],TableDailySummary[Fecha],"&gt;="&amp;TableWeeklySummary[[#This Row],[Desde]],TableDailySummary[Fecha],"&lt;="&amp;TableWeeklySummary[[#This Row],[Hasta]])</f>
        <v>0</v>
      </c>
      <c r="K226" s="12">
        <f ca="1">SUMIFS(TableDailySummary[Órdenes primer cliente],TableDailySummary[Fecha],"&gt;="&amp;TableWeeklySummary[[#This Row],[Desde]],TableDailySummary[Fecha],"&lt;="&amp;TableWeeklySummary[[#This Row],[Hasta]])</f>
        <v>0</v>
      </c>
      <c r="L226" s="12">
        <f ca="1">SUMIFS(TableDailySummary[Online Store_net_sales],TableDailySummary[Fecha],"&gt;="&amp;TableWeeklySummary[[#This Row],[Desde]],TableDailySummary[Fecha],"&lt;="&amp;TableWeeklySummary[[#This Row],[Hasta]])</f>
        <v>0</v>
      </c>
      <c r="M226" s="12">
        <f ca="1">SUMIFS(TableDailySummary[Online Store_orders],TableDailySummary[Fecha],"&gt;="&amp;TableWeeklySummary[[#This Row],[Desde]],TableDailySummary[Fecha],"&lt;="&amp;TableWeeklySummary[[#This Row],[Hasta]])</f>
        <v>0</v>
      </c>
      <c r="N226" s="12">
        <f ca="1">SUMIFS(TableDailySummary[Tienda 81_net_sales],TableDailySummary[Fecha],"&gt;="&amp;TableWeeklySummary[[#This Row],[Desde]],TableDailySummary[Fecha],"&lt;="&amp;TableWeeklySummary[[#This Row],[Hasta]])</f>
        <v>0</v>
      </c>
      <c r="O226" s="12">
        <f ca="1">SUMIFS(TableDailySummary[Tienda 81_orders],TableDailySummary[Fecha],"&gt;="&amp;TableWeeklySummary[[#This Row],[Desde]],TableDailySummary[Fecha],"&lt;="&amp;TableWeeklySummary[[#This Row],[Hasta]])</f>
        <v>0</v>
      </c>
      <c r="P226" s="12">
        <f ca="1">SUMIFS(TableDailySummary[Rappi_net_sales],TableDailySummary[Fecha],"&gt;="&amp;TableWeeklySummary[[#This Row],[Desde]],TableDailySummary[Fecha],"&lt;="&amp;TableWeeklySummary[[#This Row],[Hasta]])</f>
        <v>0</v>
      </c>
      <c r="Q226" s="12">
        <f ca="1">SUMIFS(TableDailySummary[Rappi_orders],TableDailySummary[Fecha],"&gt;="&amp;TableWeeklySummary[[#This Row],[Desde]],TableDailySummary[Fecha],"&lt;="&amp;TableWeeklySummary[[#This Row],[Hasta]])</f>
        <v>0</v>
      </c>
      <c r="R22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2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26" s="12">
        <f ca="1">SUMIFS(TableDailySummary[Inversión google ads],TableDailySummary[Fecha],"&gt;="&amp;TableWeeklySummary[[#This Row],[Desde]],TableDailySummary[Fecha],"&lt;="&amp;TableWeeklySummary[[#This Row],[Hasta]])</f>
        <v>0</v>
      </c>
      <c r="U226" s="12">
        <f ca="1">SUMIFS(TableDailySummary[Ventas google ads],TableDailySummary[Fecha],"&gt;="&amp;TableWeeklySummary[[#This Row],[Desde]],TableDailySummary[Fecha],"&lt;="&amp;TableWeeklySummary[[#This Row],[Hasta]])</f>
        <v>0</v>
      </c>
      <c r="V226" s="12">
        <f ca="1">SUMIFS(TableDailySummary[Inversión meta ads],TableDailySummary[Fecha],"&gt;="&amp;TableWeeklySummary[[#This Row],[Desde]],TableDailySummary[Fecha],"&lt;="&amp;TableWeeklySummary[[#This Row],[Hasta]])</f>
        <v>0</v>
      </c>
      <c r="W226" s="12">
        <f ca="1">SUMIFS(TableDailySummary[Ventas meta ads],TableDailySummary[Fecha],"&gt;="&amp;TableWeeklySummary[[#This Row],[Desde]],TableDailySummary[Fecha],"&lt;="&amp;TableWeeklySummary[[#This Row],[Hasta]])</f>
        <v>0</v>
      </c>
      <c r="X226" s="12">
        <f ca="1">TableWeeklySummary[[#This Row],[Inversión google ads]]+TableWeeklySummary[[#This Row],[Inversión meta ads]]</f>
        <v>0</v>
      </c>
      <c r="Y226" s="12">
        <f ca="1">TableWeeklySummary[[#This Row],[Ventas google ads]]+TableWeeklySummary[[#This Row],[Ventas meta ads]]</f>
        <v>0</v>
      </c>
      <c r="Z226" s="14">
        <f ca="1">IFERROR(TableWeeklySummary[[#This Row],[Ventas publicidad]]/TableWeeklySummary[[#This Row],[Inversión publicidad]],0)</f>
        <v>0</v>
      </c>
      <c r="AA226" s="14">
        <f ca="1">IFERROR(TableWeeklySummary[[#This Row],[Ventas primer cliente]]/TableWeeklySummary[[#This Row],[Inversión publicidad]],0)</f>
        <v>0</v>
      </c>
      <c r="AB226" s="14"/>
      <c r="AC226" s="12"/>
      <c r="AI22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2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26" s="12">
        <f ca="1">SUMIFS(TableDailySummary[Utilidad bruta],TableDailySummary[Fecha],"&gt;="&amp;TableWeeklySummary[[#This Row],[Desde]],TableDailySummary[Fecha],"&lt;="&amp;TableWeeklySummary[[#This Row],[Hasta]])</f>
        <v>0</v>
      </c>
      <c r="AL226" s="18">
        <f ca="1">IFERROR(TableWeeklySummary[[#This Row],[Utilidad bruta]]/TableWeeklySummary[[#This Row],[Ventas netas con costo registrado]],0)</f>
        <v>0</v>
      </c>
    </row>
    <row r="227" spans="2:38" x14ac:dyDescent="0.2">
      <c r="B227" s="16">
        <f ca="1">_xlfn.ISOWEEKNUM(TableWeeklySummary[[#This Row],[Hasta]])</f>
        <v>4</v>
      </c>
      <c r="C227" s="6">
        <f t="shared" ca="1" si="5"/>
        <v>47501</v>
      </c>
      <c r="D227" s="6">
        <f ca="1">TableWeeklySummary[[#This Row],[Desde]]+7-1</f>
        <v>47507</v>
      </c>
      <c r="E227" s="12">
        <f ca="1">SUMIFS(TableDailySummary[Ventas netas totales],TableDailySummary[Fecha],"&gt;="&amp;TableWeeklySummary[[#This Row],[Desde]],TableDailySummary[Fecha],"&lt;="&amp;TableWeeklySummary[[#This Row],[Hasta]])</f>
        <v>0</v>
      </c>
      <c r="F227" s="12">
        <f ca="1">SUMIFS(TableDailySummary[Órdenes totales],TableDailySummary[Fecha],"&gt;="&amp;TableWeeklySummary[[#This Row],[Desde]],TableDailySummary[Fecha],"&lt;="&amp;TableWeeklySummary[[#This Row],[Hasta]])</f>
        <v>0</v>
      </c>
      <c r="G227" s="12">
        <f ca="1">IFERROR(TableWeeklySummary[[#This Row],[Ventas netas totales]]/TableWeeklySummary[[#This Row],[Órdenes totales]],0)</f>
        <v>0</v>
      </c>
      <c r="H22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27" s="12">
        <f ca="1">TableWeeklySummary[[#This Row],[Órden promedio totales]]*TableWeeklySummary[[#This Row],[CR totales]]</f>
        <v>0</v>
      </c>
      <c r="J227" s="12">
        <f ca="1">SUMIFS(TableDailySummary[Ventas primer cliente],TableDailySummary[Fecha],"&gt;="&amp;TableWeeklySummary[[#This Row],[Desde]],TableDailySummary[Fecha],"&lt;="&amp;TableWeeklySummary[[#This Row],[Hasta]])</f>
        <v>0</v>
      </c>
      <c r="K227" s="12">
        <f ca="1">SUMIFS(TableDailySummary[Órdenes primer cliente],TableDailySummary[Fecha],"&gt;="&amp;TableWeeklySummary[[#This Row],[Desde]],TableDailySummary[Fecha],"&lt;="&amp;TableWeeklySummary[[#This Row],[Hasta]])</f>
        <v>0</v>
      </c>
      <c r="L227" s="12">
        <f ca="1">SUMIFS(TableDailySummary[Online Store_net_sales],TableDailySummary[Fecha],"&gt;="&amp;TableWeeklySummary[[#This Row],[Desde]],TableDailySummary[Fecha],"&lt;="&amp;TableWeeklySummary[[#This Row],[Hasta]])</f>
        <v>0</v>
      </c>
      <c r="M227" s="12">
        <f ca="1">SUMIFS(TableDailySummary[Online Store_orders],TableDailySummary[Fecha],"&gt;="&amp;TableWeeklySummary[[#This Row],[Desde]],TableDailySummary[Fecha],"&lt;="&amp;TableWeeklySummary[[#This Row],[Hasta]])</f>
        <v>0</v>
      </c>
      <c r="N227" s="12">
        <f ca="1">SUMIFS(TableDailySummary[Tienda 81_net_sales],TableDailySummary[Fecha],"&gt;="&amp;TableWeeklySummary[[#This Row],[Desde]],TableDailySummary[Fecha],"&lt;="&amp;TableWeeklySummary[[#This Row],[Hasta]])</f>
        <v>0</v>
      </c>
      <c r="O227" s="12">
        <f ca="1">SUMIFS(TableDailySummary[Tienda 81_orders],TableDailySummary[Fecha],"&gt;="&amp;TableWeeklySummary[[#This Row],[Desde]],TableDailySummary[Fecha],"&lt;="&amp;TableWeeklySummary[[#This Row],[Hasta]])</f>
        <v>0</v>
      </c>
      <c r="P227" s="12">
        <f ca="1">SUMIFS(TableDailySummary[Rappi_net_sales],TableDailySummary[Fecha],"&gt;="&amp;TableWeeklySummary[[#This Row],[Desde]],TableDailySummary[Fecha],"&lt;="&amp;TableWeeklySummary[[#This Row],[Hasta]])</f>
        <v>0</v>
      </c>
      <c r="Q227" s="12">
        <f ca="1">SUMIFS(TableDailySummary[Rappi_orders],TableDailySummary[Fecha],"&gt;="&amp;TableWeeklySummary[[#This Row],[Desde]],TableDailySummary[Fecha],"&lt;="&amp;TableWeeklySummary[[#This Row],[Hasta]])</f>
        <v>0</v>
      </c>
      <c r="R22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2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27" s="12">
        <f ca="1">SUMIFS(TableDailySummary[Inversión google ads],TableDailySummary[Fecha],"&gt;="&amp;TableWeeklySummary[[#This Row],[Desde]],TableDailySummary[Fecha],"&lt;="&amp;TableWeeklySummary[[#This Row],[Hasta]])</f>
        <v>0</v>
      </c>
      <c r="U227" s="12">
        <f ca="1">SUMIFS(TableDailySummary[Ventas google ads],TableDailySummary[Fecha],"&gt;="&amp;TableWeeklySummary[[#This Row],[Desde]],TableDailySummary[Fecha],"&lt;="&amp;TableWeeklySummary[[#This Row],[Hasta]])</f>
        <v>0</v>
      </c>
      <c r="V227" s="12">
        <f ca="1">SUMIFS(TableDailySummary[Inversión meta ads],TableDailySummary[Fecha],"&gt;="&amp;TableWeeklySummary[[#This Row],[Desde]],TableDailySummary[Fecha],"&lt;="&amp;TableWeeklySummary[[#This Row],[Hasta]])</f>
        <v>0</v>
      </c>
      <c r="W227" s="12">
        <f ca="1">SUMIFS(TableDailySummary[Ventas meta ads],TableDailySummary[Fecha],"&gt;="&amp;TableWeeklySummary[[#This Row],[Desde]],TableDailySummary[Fecha],"&lt;="&amp;TableWeeklySummary[[#This Row],[Hasta]])</f>
        <v>0</v>
      </c>
      <c r="X227" s="12">
        <f ca="1">TableWeeklySummary[[#This Row],[Inversión google ads]]+TableWeeklySummary[[#This Row],[Inversión meta ads]]</f>
        <v>0</v>
      </c>
      <c r="Y227" s="12">
        <f ca="1">TableWeeklySummary[[#This Row],[Ventas google ads]]+TableWeeklySummary[[#This Row],[Ventas meta ads]]</f>
        <v>0</v>
      </c>
      <c r="Z227" s="14">
        <f ca="1">IFERROR(TableWeeklySummary[[#This Row],[Ventas publicidad]]/TableWeeklySummary[[#This Row],[Inversión publicidad]],0)</f>
        <v>0</v>
      </c>
      <c r="AA227" s="14">
        <f ca="1">IFERROR(TableWeeklySummary[[#This Row],[Ventas primer cliente]]/TableWeeklySummary[[#This Row],[Inversión publicidad]],0)</f>
        <v>0</v>
      </c>
      <c r="AB227" s="14"/>
      <c r="AC227" s="12"/>
      <c r="AI22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2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27" s="12">
        <f ca="1">SUMIFS(TableDailySummary[Utilidad bruta],TableDailySummary[Fecha],"&gt;="&amp;TableWeeklySummary[[#This Row],[Desde]],TableDailySummary[Fecha],"&lt;="&amp;TableWeeklySummary[[#This Row],[Hasta]])</f>
        <v>0</v>
      </c>
      <c r="AL227" s="18">
        <f ca="1">IFERROR(TableWeeklySummary[[#This Row],[Utilidad bruta]]/TableWeeklySummary[[#This Row],[Ventas netas con costo registrado]],0)</f>
        <v>0</v>
      </c>
    </row>
    <row r="228" spans="2:38" x14ac:dyDescent="0.2">
      <c r="B228" s="16">
        <f ca="1">_xlfn.ISOWEEKNUM(TableWeeklySummary[[#This Row],[Hasta]])</f>
        <v>5</v>
      </c>
      <c r="C228" s="6">
        <f t="shared" ca="1" si="5"/>
        <v>47508</v>
      </c>
      <c r="D228" s="6">
        <f ca="1">TableWeeklySummary[[#This Row],[Desde]]+7-1</f>
        <v>47514</v>
      </c>
      <c r="E228" s="12">
        <f ca="1">SUMIFS(TableDailySummary[Ventas netas totales],TableDailySummary[Fecha],"&gt;="&amp;TableWeeklySummary[[#This Row],[Desde]],TableDailySummary[Fecha],"&lt;="&amp;TableWeeklySummary[[#This Row],[Hasta]])</f>
        <v>0</v>
      </c>
      <c r="F228" s="12">
        <f ca="1">SUMIFS(TableDailySummary[Órdenes totales],TableDailySummary[Fecha],"&gt;="&amp;TableWeeklySummary[[#This Row],[Desde]],TableDailySummary[Fecha],"&lt;="&amp;TableWeeklySummary[[#This Row],[Hasta]])</f>
        <v>0</v>
      </c>
      <c r="G228" s="12">
        <f ca="1">IFERROR(TableWeeklySummary[[#This Row],[Ventas netas totales]]/TableWeeklySummary[[#This Row],[Órdenes totales]],0)</f>
        <v>0</v>
      </c>
      <c r="H22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28" s="12">
        <f ca="1">TableWeeklySummary[[#This Row],[Órden promedio totales]]*TableWeeklySummary[[#This Row],[CR totales]]</f>
        <v>0</v>
      </c>
      <c r="J228" s="12">
        <f ca="1">SUMIFS(TableDailySummary[Ventas primer cliente],TableDailySummary[Fecha],"&gt;="&amp;TableWeeklySummary[[#This Row],[Desde]],TableDailySummary[Fecha],"&lt;="&amp;TableWeeklySummary[[#This Row],[Hasta]])</f>
        <v>0</v>
      </c>
      <c r="K228" s="12">
        <f ca="1">SUMIFS(TableDailySummary[Órdenes primer cliente],TableDailySummary[Fecha],"&gt;="&amp;TableWeeklySummary[[#This Row],[Desde]],TableDailySummary[Fecha],"&lt;="&amp;TableWeeklySummary[[#This Row],[Hasta]])</f>
        <v>0</v>
      </c>
      <c r="L228" s="12">
        <f ca="1">SUMIFS(TableDailySummary[Online Store_net_sales],TableDailySummary[Fecha],"&gt;="&amp;TableWeeklySummary[[#This Row],[Desde]],TableDailySummary[Fecha],"&lt;="&amp;TableWeeklySummary[[#This Row],[Hasta]])</f>
        <v>0</v>
      </c>
      <c r="M228" s="12">
        <f ca="1">SUMIFS(TableDailySummary[Online Store_orders],TableDailySummary[Fecha],"&gt;="&amp;TableWeeklySummary[[#This Row],[Desde]],TableDailySummary[Fecha],"&lt;="&amp;TableWeeklySummary[[#This Row],[Hasta]])</f>
        <v>0</v>
      </c>
      <c r="N228" s="12">
        <f ca="1">SUMIFS(TableDailySummary[Tienda 81_net_sales],TableDailySummary[Fecha],"&gt;="&amp;TableWeeklySummary[[#This Row],[Desde]],TableDailySummary[Fecha],"&lt;="&amp;TableWeeklySummary[[#This Row],[Hasta]])</f>
        <v>0</v>
      </c>
      <c r="O228" s="12">
        <f ca="1">SUMIFS(TableDailySummary[Tienda 81_orders],TableDailySummary[Fecha],"&gt;="&amp;TableWeeklySummary[[#This Row],[Desde]],TableDailySummary[Fecha],"&lt;="&amp;TableWeeklySummary[[#This Row],[Hasta]])</f>
        <v>0</v>
      </c>
      <c r="P228" s="12">
        <f ca="1">SUMIFS(TableDailySummary[Rappi_net_sales],TableDailySummary[Fecha],"&gt;="&amp;TableWeeklySummary[[#This Row],[Desde]],TableDailySummary[Fecha],"&lt;="&amp;TableWeeklySummary[[#This Row],[Hasta]])</f>
        <v>0</v>
      </c>
      <c r="Q228" s="12">
        <f ca="1">SUMIFS(TableDailySummary[Rappi_orders],TableDailySummary[Fecha],"&gt;="&amp;TableWeeklySummary[[#This Row],[Desde]],TableDailySummary[Fecha],"&lt;="&amp;TableWeeklySummary[[#This Row],[Hasta]])</f>
        <v>0</v>
      </c>
      <c r="R22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2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28" s="12">
        <f ca="1">SUMIFS(TableDailySummary[Inversión google ads],TableDailySummary[Fecha],"&gt;="&amp;TableWeeklySummary[[#This Row],[Desde]],TableDailySummary[Fecha],"&lt;="&amp;TableWeeklySummary[[#This Row],[Hasta]])</f>
        <v>0</v>
      </c>
      <c r="U228" s="12">
        <f ca="1">SUMIFS(TableDailySummary[Ventas google ads],TableDailySummary[Fecha],"&gt;="&amp;TableWeeklySummary[[#This Row],[Desde]],TableDailySummary[Fecha],"&lt;="&amp;TableWeeklySummary[[#This Row],[Hasta]])</f>
        <v>0</v>
      </c>
      <c r="V228" s="12">
        <f ca="1">SUMIFS(TableDailySummary[Inversión meta ads],TableDailySummary[Fecha],"&gt;="&amp;TableWeeklySummary[[#This Row],[Desde]],TableDailySummary[Fecha],"&lt;="&amp;TableWeeklySummary[[#This Row],[Hasta]])</f>
        <v>0</v>
      </c>
      <c r="W228" s="12">
        <f ca="1">SUMIFS(TableDailySummary[Ventas meta ads],TableDailySummary[Fecha],"&gt;="&amp;TableWeeklySummary[[#This Row],[Desde]],TableDailySummary[Fecha],"&lt;="&amp;TableWeeklySummary[[#This Row],[Hasta]])</f>
        <v>0</v>
      </c>
      <c r="X228" s="12">
        <f ca="1">TableWeeklySummary[[#This Row],[Inversión google ads]]+TableWeeklySummary[[#This Row],[Inversión meta ads]]</f>
        <v>0</v>
      </c>
      <c r="Y228" s="12">
        <f ca="1">TableWeeklySummary[[#This Row],[Ventas google ads]]+TableWeeklySummary[[#This Row],[Ventas meta ads]]</f>
        <v>0</v>
      </c>
      <c r="Z228" s="14">
        <f ca="1">IFERROR(TableWeeklySummary[[#This Row],[Ventas publicidad]]/TableWeeklySummary[[#This Row],[Inversión publicidad]],0)</f>
        <v>0</v>
      </c>
      <c r="AA228" s="14">
        <f ca="1">IFERROR(TableWeeklySummary[[#This Row],[Ventas primer cliente]]/TableWeeklySummary[[#This Row],[Inversión publicidad]],0)</f>
        <v>0</v>
      </c>
      <c r="AB228" s="14"/>
      <c r="AC228" s="12"/>
      <c r="AI22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2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28" s="12">
        <f ca="1">SUMIFS(TableDailySummary[Utilidad bruta],TableDailySummary[Fecha],"&gt;="&amp;TableWeeklySummary[[#This Row],[Desde]],TableDailySummary[Fecha],"&lt;="&amp;TableWeeklySummary[[#This Row],[Hasta]])</f>
        <v>0</v>
      </c>
      <c r="AL228" s="18">
        <f ca="1">IFERROR(TableWeeklySummary[[#This Row],[Utilidad bruta]]/TableWeeklySummary[[#This Row],[Ventas netas con costo registrado]],0)</f>
        <v>0</v>
      </c>
    </row>
    <row r="229" spans="2:38" x14ac:dyDescent="0.2">
      <c r="B229" s="16">
        <f ca="1">_xlfn.ISOWEEKNUM(TableWeeklySummary[[#This Row],[Hasta]])</f>
        <v>6</v>
      </c>
      <c r="C229" s="6">
        <f t="shared" ca="1" si="5"/>
        <v>47515</v>
      </c>
      <c r="D229" s="6">
        <f ca="1">TableWeeklySummary[[#This Row],[Desde]]+7-1</f>
        <v>47521</v>
      </c>
      <c r="E229" s="12">
        <f ca="1">SUMIFS(TableDailySummary[Ventas netas totales],TableDailySummary[Fecha],"&gt;="&amp;TableWeeklySummary[[#This Row],[Desde]],TableDailySummary[Fecha],"&lt;="&amp;TableWeeklySummary[[#This Row],[Hasta]])</f>
        <v>0</v>
      </c>
      <c r="F229" s="12">
        <f ca="1">SUMIFS(TableDailySummary[Órdenes totales],TableDailySummary[Fecha],"&gt;="&amp;TableWeeklySummary[[#This Row],[Desde]],TableDailySummary[Fecha],"&lt;="&amp;TableWeeklySummary[[#This Row],[Hasta]])</f>
        <v>0</v>
      </c>
      <c r="G229" s="12">
        <f ca="1">IFERROR(TableWeeklySummary[[#This Row],[Ventas netas totales]]/TableWeeklySummary[[#This Row],[Órdenes totales]],0)</f>
        <v>0</v>
      </c>
      <c r="H22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29" s="12">
        <f ca="1">TableWeeklySummary[[#This Row],[Órden promedio totales]]*TableWeeklySummary[[#This Row],[CR totales]]</f>
        <v>0</v>
      </c>
      <c r="J229" s="12">
        <f ca="1">SUMIFS(TableDailySummary[Ventas primer cliente],TableDailySummary[Fecha],"&gt;="&amp;TableWeeklySummary[[#This Row],[Desde]],TableDailySummary[Fecha],"&lt;="&amp;TableWeeklySummary[[#This Row],[Hasta]])</f>
        <v>0</v>
      </c>
      <c r="K229" s="12">
        <f ca="1">SUMIFS(TableDailySummary[Órdenes primer cliente],TableDailySummary[Fecha],"&gt;="&amp;TableWeeklySummary[[#This Row],[Desde]],TableDailySummary[Fecha],"&lt;="&amp;TableWeeklySummary[[#This Row],[Hasta]])</f>
        <v>0</v>
      </c>
      <c r="L229" s="12">
        <f ca="1">SUMIFS(TableDailySummary[Online Store_net_sales],TableDailySummary[Fecha],"&gt;="&amp;TableWeeklySummary[[#This Row],[Desde]],TableDailySummary[Fecha],"&lt;="&amp;TableWeeklySummary[[#This Row],[Hasta]])</f>
        <v>0</v>
      </c>
      <c r="M229" s="12">
        <f ca="1">SUMIFS(TableDailySummary[Online Store_orders],TableDailySummary[Fecha],"&gt;="&amp;TableWeeklySummary[[#This Row],[Desde]],TableDailySummary[Fecha],"&lt;="&amp;TableWeeklySummary[[#This Row],[Hasta]])</f>
        <v>0</v>
      </c>
      <c r="N229" s="12">
        <f ca="1">SUMIFS(TableDailySummary[Tienda 81_net_sales],TableDailySummary[Fecha],"&gt;="&amp;TableWeeklySummary[[#This Row],[Desde]],TableDailySummary[Fecha],"&lt;="&amp;TableWeeklySummary[[#This Row],[Hasta]])</f>
        <v>0</v>
      </c>
      <c r="O229" s="12">
        <f ca="1">SUMIFS(TableDailySummary[Tienda 81_orders],TableDailySummary[Fecha],"&gt;="&amp;TableWeeklySummary[[#This Row],[Desde]],TableDailySummary[Fecha],"&lt;="&amp;TableWeeklySummary[[#This Row],[Hasta]])</f>
        <v>0</v>
      </c>
      <c r="P229" s="12">
        <f ca="1">SUMIFS(TableDailySummary[Rappi_net_sales],TableDailySummary[Fecha],"&gt;="&amp;TableWeeklySummary[[#This Row],[Desde]],TableDailySummary[Fecha],"&lt;="&amp;TableWeeklySummary[[#This Row],[Hasta]])</f>
        <v>0</v>
      </c>
      <c r="Q229" s="12">
        <f ca="1">SUMIFS(TableDailySummary[Rappi_orders],TableDailySummary[Fecha],"&gt;="&amp;TableWeeklySummary[[#This Row],[Desde]],TableDailySummary[Fecha],"&lt;="&amp;TableWeeklySummary[[#This Row],[Hasta]])</f>
        <v>0</v>
      </c>
      <c r="R22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2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29" s="12">
        <f ca="1">SUMIFS(TableDailySummary[Inversión google ads],TableDailySummary[Fecha],"&gt;="&amp;TableWeeklySummary[[#This Row],[Desde]],TableDailySummary[Fecha],"&lt;="&amp;TableWeeklySummary[[#This Row],[Hasta]])</f>
        <v>0</v>
      </c>
      <c r="U229" s="12">
        <f ca="1">SUMIFS(TableDailySummary[Ventas google ads],TableDailySummary[Fecha],"&gt;="&amp;TableWeeklySummary[[#This Row],[Desde]],TableDailySummary[Fecha],"&lt;="&amp;TableWeeklySummary[[#This Row],[Hasta]])</f>
        <v>0</v>
      </c>
      <c r="V229" s="12">
        <f ca="1">SUMIFS(TableDailySummary[Inversión meta ads],TableDailySummary[Fecha],"&gt;="&amp;TableWeeklySummary[[#This Row],[Desde]],TableDailySummary[Fecha],"&lt;="&amp;TableWeeklySummary[[#This Row],[Hasta]])</f>
        <v>0</v>
      </c>
      <c r="W229" s="12">
        <f ca="1">SUMIFS(TableDailySummary[Ventas meta ads],TableDailySummary[Fecha],"&gt;="&amp;TableWeeklySummary[[#This Row],[Desde]],TableDailySummary[Fecha],"&lt;="&amp;TableWeeklySummary[[#This Row],[Hasta]])</f>
        <v>0</v>
      </c>
      <c r="X229" s="12">
        <f ca="1">TableWeeklySummary[[#This Row],[Inversión google ads]]+TableWeeklySummary[[#This Row],[Inversión meta ads]]</f>
        <v>0</v>
      </c>
      <c r="Y229" s="12">
        <f ca="1">TableWeeklySummary[[#This Row],[Ventas google ads]]+TableWeeklySummary[[#This Row],[Ventas meta ads]]</f>
        <v>0</v>
      </c>
      <c r="Z229" s="14">
        <f ca="1">IFERROR(TableWeeklySummary[[#This Row],[Ventas publicidad]]/TableWeeklySummary[[#This Row],[Inversión publicidad]],0)</f>
        <v>0</v>
      </c>
      <c r="AA229" s="14">
        <f ca="1">IFERROR(TableWeeklySummary[[#This Row],[Ventas primer cliente]]/TableWeeklySummary[[#This Row],[Inversión publicidad]],0)</f>
        <v>0</v>
      </c>
      <c r="AB229" s="14"/>
      <c r="AC229" s="12"/>
      <c r="AI22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2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29" s="12">
        <f ca="1">SUMIFS(TableDailySummary[Utilidad bruta],TableDailySummary[Fecha],"&gt;="&amp;TableWeeklySummary[[#This Row],[Desde]],TableDailySummary[Fecha],"&lt;="&amp;TableWeeklySummary[[#This Row],[Hasta]])</f>
        <v>0</v>
      </c>
      <c r="AL229" s="18">
        <f ca="1">IFERROR(TableWeeklySummary[[#This Row],[Utilidad bruta]]/TableWeeklySummary[[#This Row],[Ventas netas con costo registrado]],0)</f>
        <v>0</v>
      </c>
    </row>
    <row r="230" spans="2:38" x14ac:dyDescent="0.2">
      <c r="B230" s="16">
        <f ca="1">_xlfn.ISOWEEKNUM(TableWeeklySummary[[#This Row],[Hasta]])</f>
        <v>7</v>
      </c>
      <c r="C230" s="6">
        <f t="shared" ca="1" si="5"/>
        <v>47522</v>
      </c>
      <c r="D230" s="6">
        <f ca="1">TableWeeklySummary[[#This Row],[Desde]]+7-1</f>
        <v>47528</v>
      </c>
      <c r="E230" s="12">
        <f ca="1">SUMIFS(TableDailySummary[Ventas netas totales],TableDailySummary[Fecha],"&gt;="&amp;TableWeeklySummary[[#This Row],[Desde]],TableDailySummary[Fecha],"&lt;="&amp;TableWeeklySummary[[#This Row],[Hasta]])</f>
        <v>0</v>
      </c>
      <c r="F230" s="12">
        <f ca="1">SUMIFS(TableDailySummary[Órdenes totales],TableDailySummary[Fecha],"&gt;="&amp;TableWeeklySummary[[#This Row],[Desde]],TableDailySummary[Fecha],"&lt;="&amp;TableWeeklySummary[[#This Row],[Hasta]])</f>
        <v>0</v>
      </c>
      <c r="G230" s="12">
        <f ca="1">IFERROR(TableWeeklySummary[[#This Row],[Ventas netas totales]]/TableWeeklySummary[[#This Row],[Órdenes totales]],0)</f>
        <v>0</v>
      </c>
      <c r="H23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30" s="12">
        <f ca="1">TableWeeklySummary[[#This Row],[Órden promedio totales]]*TableWeeklySummary[[#This Row],[CR totales]]</f>
        <v>0</v>
      </c>
      <c r="J230" s="12">
        <f ca="1">SUMIFS(TableDailySummary[Ventas primer cliente],TableDailySummary[Fecha],"&gt;="&amp;TableWeeklySummary[[#This Row],[Desde]],TableDailySummary[Fecha],"&lt;="&amp;TableWeeklySummary[[#This Row],[Hasta]])</f>
        <v>0</v>
      </c>
      <c r="K230" s="12">
        <f ca="1">SUMIFS(TableDailySummary[Órdenes primer cliente],TableDailySummary[Fecha],"&gt;="&amp;TableWeeklySummary[[#This Row],[Desde]],TableDailySummary[Fecha],"&lt;="&amp;TableWeeklySummary[[#This Row],[Hasta]])</f>
        <v>0</v>
      </c>
      <c r="L230" s="12">
        <f ca="1">SUMIFS(TableDailySummary[Online Store_net_sales],TableDailySummary[Fecha],"&gt;="&amp;TableWeeklySummary[[#This Row],[Desde]],TableDailySummary[Fecha],"&lt;="&amp;TableWeeklySummary[[#This Row],[Hasta]])</f>
        <v>0</v>
      </c>
      <c r="M230" s="12">
        <f ca="1">SUMIFS(TableDailySummary[Online Store_orders],TableDailySummary[Fecha],"&gt;="&amp;TableWeeklySummary[[#This Row],[Desde]],TableDailySummary[Fecha],"&lt;="&amp;TableWeeklySummary[[#This Row],[Hasta]])</f>
        <v>0</v>
      </c>
      <c r="N230" s="12">
        <f ca="1">SUMIFS(TableDailySummary[Tienda 81_net_sales],TableDailySummary[Fecha],"&gt;="&amp;TableWeeklySummary[[#This Row],[Desde]],TableDailySummary[Fecha],"&lt;="&amp;TableWeeklySummary[[#This Row],[Hasta]])</f>
        <v>0</v>
      </c>
      <c r="O230" s="12">
        <f ca="1">SUMIFS(TableDailySummary[Tienda 81_orders],TableDailySummary[Fecha],"&gt;="&amp;TableWeeklySummary[[#This Row],[Desde]],TableDailySummary[Fecha],"&lt;="&amp;TableWeeklySummary[[#This Row],[Hasta]])</f>
        <v>0</v>
      </c>
      <c r="P230" s="12">
        <f ca="1">SUMIFS(TableDailySummary[Rappi_net_sales],TableDailySummary[Fecha],"&gt;="&amp;TableWeeklySummary[[#This Row],[Desde]],TableDailySummary[Fecha],"&lt;="&amp;TableWeeklySummary[[#This Row],[Hasta]])</f>
        <v>0</v>
      </c>
      <c r="Q230" s="12">
        <f ca="1">SUMIFS(TableDailySummary[Rappi_orders],TableDailySummary[Fecha],"&gt;="&amp;TableWeeklySummary[[#This Row],[Desde]],TableDailySummary[Fecha],"&lt;="&amp;TableWeeklySummary[[#This Row],[Hasta]])</f>
        <v>0</v>
      </c>
      <c r="R23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3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30" s="12">
        <f ca="1">SUMIFS(TableDailySummary[Inversión google ads],TableDailySummary[Fecha],"&gt;="&amp;TableWeeklySummary[[#This Row],[Desde]],TableDailySummary[Fecha],"&lt;="&amp;TableWeeklySummary[[#This Row],[Hasta]])</f>
        <v>0</v>
      </c>
      <c r="U230" s="12">
        <f ca="1">SUMIFS(TableDailySummary[Ventas google ads],TableDailySummary[Fecha],"&gt;="&amp;TableWeeklySummary[[#This Row],[Desde]],TableDailySummary[Fecha],"&lt;="&amp;TableWeeklySummary[[#This Row],[Hasta]])</f>
        <v>0</v>
      </c>
      <c r="V230" s="12">
        <f ca="1">SUMIFS(TableDailySummary[Inversión meta ads],TableDailySummary[Fecha],"&gt;="&amp;TableWeeklySummary[[#This Row],[Desde]],TableDailySummary[Fecha],"&lt;="&amp;TableWeeklySummary[[#This Row],[Hasta]])</f>
        <v>0</v>
      </c>
      <c r="W230" s="12">
        <f ca="1">SUMIFS(TableDailySummary[Ventas meta ads],TableDailySummary[Fecha],"&gt;="&amp;TableWeeklySummary[[#This Row],[Desde]],TableDailySummary[Fecha],"&lt;="&amp;TableWeeklySummary[[#This Row],[Hasta]])</f>
        <v>0</v>
      </c>
      <c r="X230" s="12">
        <f ca="1">TableWeeklySummary[[#This Row],[Inversión google ads]]+TableWeeklySummary[[#This Row],[Inversión meta ads]]</f>
        <v>0</v>
      </c>
      <c r="Y230" s="12">
        <f ca="1">TableWeeklySummary[[#This Row],[Ventas google ads]]+TableWeeklySummary[[#This Row],[Ventas meta ads]]</f>
        <v>0</v>
      </c>
      <c r="Z230" s="14">
        <f ca="1">IFERROR(TableWeeklySummary[[#This Row],[Ventas publicidad]]/TableWeeklySummary[[#This Row],[Inversión publicidad]],0)</f>
        <v>0</v>
      </c>
      <c r="AA230" s="14">
        <f ca="1">IFERROR(TableWeeklySummary[[#This Row],[Ventas primer cliente]]/TableWeeklySummary[[#This Row],[Inversión publicidad]],0)</f>
        <v>0</v>
      </c>
      <c r="AB230" s="14"/>
      <c r="AC230" s="12"/>
      <c r="AI23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3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30" s="12">
        <f ca="1">SUMIFS(TableDailySummary[Utilidad bruta],TableDailySummary[Fecha],"&gt;="&amp;TableWeeklySummary[[#This Row],[Desde]],TableDailySummary[Fecha],"&lt;="&amp;TableWeeklySummary[[#This Row],[Hasta]])</f>
        <v>0</v>
      </c>
      <c r="AL230" s="18">
        <f ca="1">IFERROR(TableWeeklySummary[[#This Row],[Utilidad bruta]]/TableWeeklySummary[[#This Row],[Ventas netas con costo registrado]],0)</f>
        <v>0</v>
      </c>
    </row>
    <row r="231" spans="2:38" x14ac:dyDescent="0.2">
      <c r="B231" s="16">
        <f ca="1">_xlfn.ISOWEEKNUM(TableWeeklySummary[[#This Row],[Hasta]])</f>
        <v>8</v>
      </c>
      <c r="C231" s="6">
        <f t="shared" ca="1" si="5"/>
        <v>47529</v>
      </c>
      <c r="D231" s="6">
        <f ca="1">TableWeeklySummary[[#This Row],[Desde]]+7-1</f>
        <v>47535</v>
      </c>
      <c r="E231" s="12">
        <f ca="1">SUMIFS(TableDailySummary[Ventas netas totales],TableDailySummary[Fecha],"&gt;="&amp;TableWeeklySummary[[#This Row],[Desde]],TableDailySummary[Fecha],"&lt;="&amp;TableWeeklySummary[[#This Row],[Hasta]])</f>
        <v>0</v>
      </c>
      <c r="F231" s="12">
        <f ca="1">SUMIFS(TableDailySummary[Órdenes totales],TableDailySummary[Fecha],"&gt;="&amp;TableWeeklySummary[[#This Row],[Desde]],TableDailySummary[Fecha],"&lt;="&amp;TableWeeklySummary[[#This Row],[Hasta]])</f>
        <v>0</v>
      </c>
      <c r="G231" s="12">
        <f ca="1">IFERROR(TableWeeklySummary[[#This Row],[Ventas netas totales]]/TableWeeklySummary[[#This Row],[Órdenes totales]],0)</f>
        <v>0</v>
      </c>
      <c r="H23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31" s="12">
        <f ca="1">TableWeeklySummary[[#This Row],[Órden promedio totales]]*TableWeeklySummary[[#This Row],[CR totales]]</f>
        <v>0</v>
      </c>
      <c r="J231" s="12">
        <f ca="1">SUMIFS(TableDailySummary[Ventas primer cliente],TableDailySummary[Fecha],"&gt;="&amp;TableWeeklySummary[[#This Row],[Desde]],TableDailySummary[Fecha],"&lt;="&amp;TableWeeklySummary[[#This Row],[Hasta]])</f>
        <v>0</v>
      </c>
      <c r="K231" s="12">
        <f ca="1">SUMIFS(TableDailySummary[Órdenes primer cliente],TableDailySummary[Fecha],"&gt;="&amp;TableWeeklySummary[[#This Row],[Desde]],TableDailySummary[Fecha],"&lt;="&amp;TableWeeklySummary[[#This Row],[Hasta]])</f>
        <v>0</v>
      </c>
      <c r="L231" s="12">
        <f ca="1">SUMIFS(TableDailySummary[Online Store_net_sales],TableDailySummary[Fecha],"&gt;="&amp;TableWeeklySummary[[#This Row],[Desde]],TableDailySummary[Fecha],"&lt;="&amp;TableWeeklySummary[[#This Row],[Hasta]])</f>
        <v>0</v>
      </c>
      <c r="M231" s="12">
        <f ca="1">SUMIFS(TableDailySummary[Online Store_orders],TableDailySummary[Fecha],"&gt;="&amp;TableWeeklySummary[[#This Row],[Desde]],TableDailySummary[Fecha],"&lt;="&amp;TableWeeklySummary[[#This Row],[Hasta]])</f>
        <v>0</v>
      </c>
      <c r="N231" s="12">
        <f ca="1">SUMIFS(TableDailySummary[Tienda 81_net_sales],TableDailySummary[Fecha],"&gt;="&amp;TableWeeklySummary[[#This Row],[Desde]],TableDailySummary[Fecha],"&lt;="&amp;TableWeeklySummary[[#This Row],[Hasta]])</f>
        <v>0</v>
      </c>
      <c r="O231" s="12">
        <f ca="1">SUMIFS(TableDailySummary[Tienda 81_orders],TableDailySummary[Fecha],"&gt;="&amp;TableWeeklySummary[[#This Row],[Desde]],TableDailySummary[Fecha],"&lt;="&amp;TableWeeklySummary[[#This Row],[Hasta]])</f>
        <v>0</v>
      </c>
      <c r="P231" s="12">
        <f ca="1">SUMIFS(TableDailySummary[Rappi_net_sales],TableDailySummary[Fecha],"&gt;="&amp;TableWeeklySummary[[#This Row],[Desde]],TableDailySummary[Fecha],"&lt;="&amp;TableWeeklySummary[[#This Row],[Hasta]])</f>
        <v>0</v>
      </c>
      <c r="Q231" s="12">
        <f ca="1">SUMIFS(TableDailySummary[Rappi_orders],TableDailySummary[Fecha],"&gt;="&amp;TableWeeklySummary[[#This Row],[Desde]],TableDailySummary[Fecha],"&lt;="&amp;TableWeeklySummary[[#This Row],[Hasta]])</f>
        <v>0</v>
      </c>
      <c r="R23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3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31" s="12">
        <f ca="1">SUMIFS(TableDailySummary[Inversión google ads],TableDailySummary[Fecha],"&gt;="&amp;TableWeeklySummary[[#This Row],[Desde]],TableDailySummary[Fecha],"&lt;="&amp;TableWeeklySummary[[#This Row],[Hasta]])</f>
        <v>0</v>
      </c>
      <c r="U231" s="12">
        <f ca="1">SUMIFS(TableDailySummary[Ventas google ads],TableDailySummary[Fecha],"&gt;="&amp;TableWeeklySummary[[#This Row],[Desde]],TableDailySummary[Fecha],"&lt;="&amp;TableWeeklySummary[[#This Row],[Hasta]])</f>
        <v>0</v>
      </c>
      <c r="V231" s="12">
        <f ca="1">SUMIFS(TableDailySummary[Inversión meta ads],TableDailySummary[Fecha],"&gt;="&amp;TableWeeklySummary[[#This Row],[Desde]],TableDailySummary[Fecha],"&lt;="&amp;TableWeeklySummary[[#This Row],[Hasta]])</f>
        <v>0</v>
      </c>
      <c r="W231" s="12">
        <f ca="1">SUMIFS(TableDailySummary[Ventas meta ads],TableDailySummary[Fecha],"&gt;="&amp;TableWeeklySummary[[#This Row],[Desde]],TableDailySummary[Fecha],"&lt;="&amp;TableWeeklySummary[[#This Row],[Hasta]])</f>
        <v>0</v>
      </c>
      <c r="X231" s="12">
        <f ca="1">TableWeeklySummary[[#This Row],[Inversión google ads]]+TableWeeklySummary[[#This Row],[Inversión meta ads]]</f>
        <v>0</v>
      </c>
      <c r="Y231" s="12">
        <f ca="1">TableWeeklySummary[[#This Row],[Ventas google ads]]+TableWeeklySummary[[#This Row],[Ventas meta ads]]</f>
        <v>0</v>
      </c>
      <c r="Z231" s="14">
        <f ca="1">IFERROR(TableWeeklySummary[[#This Row],[Ventas publicidad]]/TableWeeklySummary[[#This Row],[Inversión publicidad]],0)</f>
        <v>0</v>
      </c>
      <c r="AA231" s="14">
        <f ca="1">IFERROR(TableWeeklySummary[[#This Row],[Ventas primer cliente]]/TableWeeklySummary[[#This Row],[Inversión publicidad]],0)</f>
        <v>0</v>
      </c>
      <c r="AB231" s="14"/>
      <c r="AC231" s="12"/>
      <c r="AI23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3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31" s="12">
        <f ca="1">SUMIFS(TableDailySummary[Utilidad bruta],TableDailySummary[Fecha],"&gt;="&amp;TableWeeklySummary[[#This Row],[Desde]],TableDailySummary[Fecha],"&lt;="&amp;TableWeeklySummary[[#This Row],[Hasta]])</f>
        <v>0</v>
      </c>
      <c r="AL231" s="18">
        <f ca="1">IFERROR(TableWeeklySummary[[#This Row],[Utilidad bruta]]/TableWeeklySummary[[#This Row],[Ventas netas con costo registrado]],0)</f>
        <v>0</v>
      </c>
    </row>
    <row r="232" spans="2:38" x14ac:dyDescent="0.2">
      <c r="B232" s="16">
        <f ca="1">_xlfn.ISOWEEKNUM(TableWeeklySummary[[#This Row],[Hasta]])</f>
        <v>9</v>
      </c>
      <c r="C232" s="6">
        <f t="shared" ca="1" si="5"/>
        <v>47536</v>
      </c>
      <c r="D232" s="6">
        <f ca="1">TableWeeklySummary[[#This Row],[Desde]]+7-1</f>
        <v>47542</v>
      </c>
      <c r="E232" s="12">
        <f ca="1">SUMIFS(TableDailySummary[Ventas netas totales],TableDailySummary[Fecha],"&gt;="&amp;TableWeeklySummary[[#This Row],[Desde]],TableDailySummary[Fecha],"&lt;="&amp;TableWeeklySummary[[#This Row],[Hasta]])</f>
        <v>0</v>
      </c>
      <c r="F232" s="12">
        <f ca="1">SUMIFS(TableDailySummary[Órdenes totales],TableDailySummary[Fecha],"&gt;="&amp;TableWeeklySummary[[#This Row],[Desde]],TableDailySummary[Fecha],"&lt;="&amp;TableWeeklySummary[[#This Row],[Hasta]])</f>
        <v>0</v>
      </c>
      <c r="G232" s="12">
        <f ca="1">IFERROR(TableWeeklySummary[[#This Row],[Ventas netas totales]]/TableWeeklySummary[[#This Row],[Órdenes totales]],0)</f>
        <v>0</v>
      </c>
      <c r="H23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32" s="12">
        <f ca="1">TableWeeklySummary[[#This Row],[Órden promedio totales]]*TableWeeklySummary[[#This Row],[CR totales]]</f>
        <v>0</v>
      </c>
      <c r="J232" s="12">
        <f ca="1">SUMIFS(TableDailySummary[Ventas primer cliente],TableDailySummary[Fecha],"&gt;="&amp;TableWeeklySummary[[#This Row],[Desde]],TableDailySummary[Fecha],"&lt;="&amp;TableWeeklySummary[[#This Row],[Hasta]])</f>
        <v>0</v>
      </c>
      <c r="K232" s="12">
        <f ca="1">SUMIFS(TableDailySummary[Órdenes primer cliente],TableDailySummary[Fecha],"&gt;="&amp;TableWeeklySummary[[#This Row],[Desde]],TableDailySummary[Fecha],"&lt;="&amp;TableWeeklySummary[[#This Row],[Hasta]])</f>
        <v>0</v>
      </c>
      <c r="L232" s="12">
        <f ca="1">SUMIFS(TableDailySummary[Online Store_net_sales],TableDailySummary[Fecha],"&gt;="&amp;TableWeeklySummary[[#This Row],[Desde]],TableDailySummary[Fecha],"&lt;="&amp;TableWeeklySummary[[#This Row],[Hasta]])</f>
        <v>0</v>
      </c>
      <c r="M232" s="12">
        <f ca="1">SUMIFS(TableDailySummary[Online Store_orders],TableDailySummary[Fecha],"&gt;="&amp;TableWeeklySummary[[#This Row],[Desde]],TableDailySummary[Fecha],"&lt;="&amp;TableWeeklySummary[[#This Row],[Hasta]])</f>
        <v>0</v>
      </c>
      <c r="N232" s="12">
        <f ca="1">SUMIFS(TableDailySummary[Tienda 81_net_sales],TableDailySummary[Fecha],"&gt;="&amp;TableWeeklySummary[[#This Row],[Desde]],TableDailySummary[Fecha],"&lt;="&amp;TableWeeklySummary[[#This Row],[Hasta]])</f>
        <v>0</v>
      </c>
      <c r="O232" s="12">
        <f ca="1">SUMIFS(TableDailySummary[Tienda 81_orders],TableDailySummary[Fecha],"&gt;="&amp;TableWeeklySummary[[#This Row],[Desde]],TableDailySummary[Fecha],"&lt;="&amp;TableWeeklySummary[[#This Row],[Hasta]])</f>
        <v>0</v>
      </c>
      <c r="P232" s="12">
        <f ca="1">SUMIFS(TableDailySummary[Rappi_net_sales],TableDailySummary[Fecha],"&gt;="&amp;TableWeeklySummary[[#This Row],[Desde]],TableDailySummary[Fecha],"&lt;="&amp;TableWeeklySummary[[#This Row],[Hasta]])</f>
        <v>0</v>
      </c>
      <c r="Q232" s="12">
        <f ca="1">SUMIFS(TableDailySummary[Rappi_orders],TableDailySummary[Fecha],"&gt;="&amp;TableWeeklySummary[[#This Row],[Desde]],TableDailySummary[Fecha],"&lt;="&amp;TableWeeklySummary[[#This Row],[Hasta]])</f>
        <v>0</v>
      </c>
      <c r="R23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3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32" s="12">
        <f ca="1">SUMIFS(TableDailySummary[Inversión google ads],TableDailySummary[Fecha],"&gt;="&amp;TableWeeklySummary[[#This Row],[Desde]],TableDailySummary[Fecha],"&lt;="&amp;TableWeeklySummary[[#This Row],[Hasta]])</f>
        <v>0</v>
      </c>
      <c r="U232" s="12">
        <f ca="1">SUMIFS(TableDailySummary[Ventas google ads],TableDailySummary[Fecha],"&gt;="&amp;TableWeeklySummary[[#This Row],[Desde]],TableDailySummary[Fecha],"&lt;="&amp;TableWeeklySummary[[#This Row],[Hasta]])</f>
        <v>0</v>
      </c>
      <c r="V232" s="12">
        <f ca="1">SUMIFS(TableDailySummary[Inversión meta ads],TableDailySummary[Fecha],"&gt;="&amp;TableWeeklySummary[[#This Row],[Desde]],TableDailySummary[Fecha],"&lt;="&amp;TableWeeklySummary[[#This Row],[Hasta]])</f>
        <v>0</v>
      </c>
      <c r="W232" s="12">
        <f ca="1">SUMIFS(TableDailySummary[Ventas meta ads],TableDailySummary[Fecha],"&gt;="&amp;TableWeeklySummary[[#This Row],[Desde]],TableDailySummary[Fecha],"&lt;="&amp;TableWeeklySummary[[#This Row],[Hasta]])</f>
        <v>0</v>
      </c>
      <c r="X232" s="12">
        <f ca="1">TableWeeklySummary[[#This Row],[Inversión google ads]]+TableWeeklySummary[[#This Row],[Inversión meta ads]]</f>
        <v>0</v>
      </c>
      <c r="Y232" s="12">
        <f ca="1">TableWeeklySummary[[#This Row],[Ventas google ads]]+TableWeeklySummary[[#This Row],[Ventas meta ads]]</f>
        <v>0</v>
      </c>
      <c r="Z232" s="14">
        <f ca="1">IFERROR(TableWeeklySummary[[#This Row],[Ventas publicidad]]/TableWeeklySummary[[#This Row],[Inversión publicidad]],0)</f>
        <v>0</v>
      </c>
      <c r="AA232" s="14">
        <f ca="1">IFERROR(TableWeeklySummary[[#This Row],[Ventas primer cliente]]/TableWeeklySummary[[#This Row],[Inversión publicidad]],0)</f>
        <v>0</v>
      </c>
      <c r="AB232" s="14"/>
      <c r="AC232" s="12"/>
      <c r="AI23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3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32" s="12">
        <f ca="1">SUMIFS(TableDailySummary[Utilidad bruta],TableDailySummary[Fecha],"&gt;="&amp;TableWeeklySummary[[#This Row],[Desde]],TableDailySummary[Fecha],"&lt;="&amp;TableWeeklySummary[[#This Row],[Hasta]])</f>
        <v>0</v>
      </c>
      <c r="AL232" s="18">
        <f ca="1">IFERROR(TableWeeklySummary[[#This Row],[Utilidad bruta]]/TableWeeklySummary[[#This Row],[Ventas netas con costo registrado]],0)</f>
        <v>0</v>
      </c>
    </row>
    <row r="233" spans="2:38" x14ac:dyDescent="0.2">
      <c r="B233" s="16">
        <f ca="1">_xlfn.ISOWEEKNUM(TableWeeklySummary[[#This Row],[Hasta]])</f>
        <v>10</v>
      </c>
      <c r="C233" s="6">
        <f t="shared" ca="1" si="5"/>
        <v>47543</v>
      </c>
      <c r="D233" s="6">
        <f ca="1">TableWeeklySummary[[#This Row],[Desde]]+7-1</f>
        <v>47549</v>
      </c>
      <c r="E233" s="12">
        <f ca="1">SUMIFS(TableDailySummary[Ventas netas totales],TableDailySummary[Fecha],"&gt;="&amp;TableWeeklySummary[[#This Row],[Desde]],TableDailySummary[Fecha],"&lt;="&amp;TableWeeklySummary[[#This Row],[Hasta]])</f>
        <v>0</v>
      </c>
      <c r="F233" s="12">
        <f ca="1">SUMIFS(TableDailySummary[Órdenes totales],TableDailySummary[Fecha],"&gt;="&amp;TableWeeklySummary[[#This Row],[Desde]],TableDailySummary[Fecha],"&lt;="&amp;TableWeeklySummary[[#This Row],[Hasta]])</f>
        <v>0</v>
      </c>
      <c r="G233" s="12">
        <f ca="1">IFERROR(TableWeeklySummary[[#This Row],[Ventas netas totales]]/TableWeeklySummary[[#This Row],[Órdenes totales]],0)</f>
        <v>0</v>
      </c>
      <c r="H23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33" s="12">
        <f ca="1">TableWeeklySummary[[#This Row],[Órden promedio totales]]*TableWeeklySummary[[#This Row],[CR totales]]</f>
        <v>0</v>
      </c>
      <c r="J233" s="12">
        <f ca="1">SUMIFS(TableDailySummary[Ventas primer cliente],TableDailySummary[Fecha],"&gt;="&amp;TableWeeklySummary[[#This Row],[Desde]],TableDailySummary[Fecha],"&lt;="&amp;TableWeeklySummary[[#This Row],[Hasta]])</f>
        <v>0</v>
      </c>
      <c r="K233" s="12">
        <f ca="1">SUMIFS(TableDailySummary[Órdenes primer cliente],TableDailySummary[Fecha],"&gt;="&amp;TableWeeklySummary[[#This Row],[Desde]],TableDailySummary[Fecha],"&lt;="&amp;TableWeeklySummary[[#This Row],[Hasta]])</f>
        <v>0</v>
      </c>
      <c r="L233" s="12">
        <f ca="1">SUMIFS(TableDailySummary[Online Store_net_sales],TableDailySummary[Fecha],"&gt;="&amp;TableWeeklySummary[[#This Row],[Desde]],TableDailySummary[Fecha],"&lt;="&amp;TableWeeklySummary[[#This Row],[Hasta]])</f>
        <v>0</v>
      </c>
      <c r="M233" s="12">
        <f ca="1">SUMIFS(TableDailySummary[Online Store_orders],TableDailySummary[Fecha],"&gt;="&amp;TableWeeklySummary[[#This Row],[Desde]],TableDailySummary[Fecha],"&lt;="&amp;TableWeeklySummary[[#This Row],[Hasta]])</f>
        <v>0</v>
      </c>
      <c r="N233" s="12">
        <f ca="1">SUMIFS(TableDailySummary[Tienda 81_net_sales],TableDailySummary[Fecha],"&gt;="&amp;TableWeeklySummary[[#This Row],[Desde]],TableDailySummary[Fecha],"&lt;="&amp;TableWeeklySummary[[#This Row],[Hasta]])</f>
        <v>0</v>
      </c>
      <c r="O233" s="12">
        <f ca="1">SUMIFS(TableDailySummary[Tienda 81_orders],TableDailySummary[Fecha],"&gt;="&amp;TableWeeklySummary[[#This Row],[Desde]],TableDailySummary[Fecha],"&lt;="&amp;TableWeeklySummary[[#This Row],[Hasta]])</f>
        <v>0</v>
      </c>
      <c r="P233" s="12">
        <f ca="1">SUMIFS(TableDailySummary[Rappi_net_sales],TableDailySummary[Fecha],"&gt;="&amp;TableWeeklySummary[[#This Row],[Desde]],TableDailySummary[Fecha],"&lt;="&amp;TableWeeklySummary[[#This Row],[Hasta]])</f>
        <v>0</v>
      </c>
      <c r="Q233" s="12">
        <f ca="1">SUMIFS(TableDailySummary[Rappi_orders],TableDailySummary[Fecha],"&gt;="&amp;TableWeeklySummary[[#This Row],[Desde]],TableDailySummary[Fecha],"&lt;="&amp;TableWeeklySummary[[#This Row],[Hasta]])</f>
        <v>0</v>
      </c>
      <c r="R23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3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33" s="12">
        <f ca="1">SUMIFS(TableDailySummary[Inversión google ads],TableDailySummary[Fecha],"&gt;="&amp;TableWeeklySummary[[#This Row],[Desde]],TableDailySummary[Fecha],"&lt;="&amp;TableWeeklySummary[[#This Row],[Hasta]])</f>
        <v>0</v>
      </c>
      <c r="U233" s="12">
        <f ca="1">SUMIFS(TableDailySummary[Ventas google ads],TableDailySummary[Fecha],"&gt;="&amp;TableWeeklySummary[[#This Row],[Desde]],TableDailySummary[Fecha],"&lt;="&amp;TableWeeklySummary[[#This Row],[Hasta]])</f>
        <v>0</v>
      </c>
      <c r="V233" s="12">
        <f ca="1">SUMIFS(TableDailySummary[Inversión meta ads],TableDailySummary[Fecha],"&gt;="&amp;TableWeeklySummary[[#This Row],[Desde]],TableDailySummary[Fecha],"&lt;="&amp;TableWeeklySummary[[#This Row],[Hasta]])</f>
        <v>0</v>
      </c>
      <c r="W233" s="12">
        <f ca="1">SUMIFS(TableDailySummary[Ventas meta ads],TableDailySummary[Fecha],"&gt;="&amp;TableWeeklySummary[[#This Row],[Desde]],TableDailySummary[Fecha],"&lt;="&amp;TableWeeklySummary[[#This Row],[Hasta]])</f>
        <v>0</v>
      </c>
      <c r="X233" s="12">
        <f ca="1">TableWeeklySummary[[#This Row],[Inversión google ads]]+TableWeeklySummary[[#This Row],[Inversión meta ads]]</f>
        <v>0</v>
      </c>
      <c r="Y233" s="12">
        <f ca="1">TableWeeklySummary[[#This Row],[Ventas google ads]]+TableWeeklySummary[[#This Row],[Ventas meta ads]]</f>
        <v>0</v>
      </c>
      <c r="Z233" s="14">
        <f ca="1">IFERROR(TableWeeklySummary[[#This Row],[Ventas publicidad]]/TableWeeklySummary[[#This Row],[Inversión publicidad]],0)</f>
        <v>0</v>
      </c>
      <c r="AA233" s="14">
        <f ca="1">IFERROR(TableWeeklySummary[[#This Row],[Ventas primer cliente]]/TableWeeklySummary[[#This Row],[Inversión publicidad]],0)</f>
        <v>0</v>
      </c>
      <c r="AB233" s="14"/>
      <c r="AC233" s="12"/>
      <c r="AI23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3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33" s="12">
        <f ca="1">SUMIFS(TableDailySummary[Utilidad bruta],TableDailySummary[Fecha],"&gt;="&amp;TableWeeklySummary[[#This Row],[Desde]],TableDailySummary[Fecha],"&lt;="&amp;TableWeeklySummary[[#This Row],[Hasta]])</f>
        <v>0</v>
      </c>
      <c r="AL233" s="18">
        <f ca="1">IFERROR(TableWeeklySummary[[#This Row],[Utilidad bruta]]/TableWeeklySummary[[#This Row],[Ventas netas con costo registrado]],0)</f>
        <v>0</v>
      </c>
    </row>
    <row r="234" spans="2:38" x14ac:dyDescent="0.2">
      <c r="B234" s="16">
        <f ca="1">_xlfn.ISOWEEKNUM(TableWeeklySummary[[#This Row],[Hasta]])</f>
        <v>11</v>
      </c>
      <c r="C234" s="6">
        <f t="shared" ca="1" si="5"/>
        <v>47550</v>
      </c>
      <c r="D234" s="6">
        <f ca="1">TableWeeklySummary[[#This Row],[Desde]]+7-1</f>
        <v>47556</v>
      </c>
      <c r="E234" s="12">
        <f ca="1">SUMIFS(TableDailySummary[Ventas netas totales],TableDailySummary[Fecha],"&gt;="&amp;TableWeeklySummary[[#This Row],[Desde]],TableDailySummary[Fecha],"&lt;="&amp;TableWeeklySummary[[#This Row],[Hasta]])</f>
        <v>0</v>
      </c>
      <c r="F234" s="12">
        <f ca="1">SUMIFS(TableDailySummary[Órdenes totales],TableDailySummary[Fecha],"&gt;="&amp;TableWeeklySummary[[#This Row],[Desde]],TableDailySummary[Fecha],"&lt;="&amp;TableWeeklySummary[[#This Row],[Hasta]])</f>
        <v>0</v>
      </c>
      <c r="G234" s="12">
        <f ca="1">IFERROR(TableWeeklySummary[[#This Row],[Ventas netas totales]]/TableWeeklySummary[[#This Row],[Órdenes totales]],0)</f>
        <v>0</v>
      </c>
      <c r="H23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34" s="12">
        <f ca="1">TableWeeklySummary[[#This Row],[Órden promedio totales]]*TableWeeklySummary[[#This Row],[CR totales]]</f>
        <v>0</v>
      </c>
      <c r="J234" s="12">
        <f ca="1">SUMIFS(TableDailySummary[Ventas primer cliente],TableDailySummary[Fecha],"&gt;="&amp;TableWeeklySummary[[#This Row],[Desde]],TableDailySummary[Fecha],"&lt;="&amp;TableWeeklySummary[[#This Row],[Hasta]])</f>
        <v>0</v>
      </c>
      <c r="K234" s="12">
        <f ca="1">SUMIFS(TableDailySummary[Órdenes primer cliente],TableDailySummary[Fecha],"&gt;="&amp;TableWeeklySummary[[#This Row],[Desde]],TableDailySummary[Fecha],"&lt;="&amp;TableWeeklySummary[[#This Row],[Hasta]])</f>
        <v>0</v>
      </c>
      <c r="L234" s="12">
        <f ca="1">SUMIFS(TableDailySummary[Online Store_net_sales],TableDailySummary[Fecha],"&gt;="&amp;TableWeeklySummary[[#This Row],[Desde]],TableDailySummary[Fecha],"&lt;="&amp;TableWeeklySummary[[#This Row],[Hasta]])</f>
        <v>0</v>
      </c>
      <c r="M234" s="12">
        <f ca="1">SUMIFS(TableDailySummary[Online Store_orders],TableDailySummary[Fecha],"&gt;="&amp;TableWeeklySummary[[#This Row],[Desde]],TableDailySummary[Fecha],"&lt;="&amp;TableWeeklySummary[[#This Row],[Hasta]])</f>
        <v>0</v>
      </c>
      <c r="N234" s="12">
        <f ca="1">SUMIFS(TableDailySummary[Tienda 81_net_sales],TableDailySummary[Fecha],"&gt;="&amp;TableWeeklySummary[[#This Row],[Desde]],TableDailySummary[Fecha],"&lt;="&amp;TableWeeklySummary[[#This Row],[Hasta]])</f>
        <v>0</v>
      </c>
      <c r="O234" s="12">
        <f ca="1">SUMIFS(TableDailySummary[Tienda 81_orders],TableDailySummary[Fecha],"&gt;="&amp;TableWeeklySummary[[#This Row],[Desde]],TableDailySummary[Fecha],"&lt;="&amp;TableWeeklySummary[[#This Row],[Hasta]])</f>
        <v>0</v>
      </c>
      <c r="P234" s="12">
        <f ca="1">SUMIFS(TableDailySummary[Rappi_net_sales],TableDailySummary[Fecha],"&gt;="&amp;TableWeeklySummary[[#This Row],[Desde]],TableDailySummary[Fecha],"&lt;="&amp;TableWeeklySummary[[#This Row],[Hasta]])</f>
        <v>0</v>
      </c>
      <c r="Q234" s="12">
        <f ca="1">SUMIFS(TableDailySummary[Rappi_orders],TableDailySummary[Fecha],"&gt;="&amp;TableWeeklySummary[[#This Row],[Desde]],TableDailySummary[Fecha],"&lt;="&amp;TableWeeklySummary[[#This Row],[Hasta]])</f>
        <v>0</v>
      </c>
      <c r="R23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3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34" s="12">
        <f ca="1">SUMIFS(TableDailySummary[Inversión google ads],TableDailySummary[Fecha],"&gt;="&amp;TableWeeklySummary[[#This Row],[Desde]],TableDailySummary[Fecha],"&lt;="&amp;TableWeeklySummary[[#This Row],[Hasta]])</f>
        <v>0</v>
      </c>
      <c r="U234" s="12">
        <f ca="1">SUMIFS(TableDailySummary[Ventas google ads],TableDailySummary[Fecha],"&gt;="&amp;TableWeeklySummary[[#This Row],[Desde]],TableDailySummary[Fecha],"&lt;="&amp;TableWeeklySummary[[#This Row],[Hasta]])</f>
        <v>0</v>
      </c>
      <c r="V234" s="12">
        <f ca="1">SUMIFS(TableDailySummary[Inversión meta ads],TableDailySummary[Fecha],"&gt;="&amp;TableWeeklySummary[[#This Row],[Desde]],TableDailySummary[Fecha],"&lt;="&amp;TableWeeklySummary[[#This Row],[Hasta]])</f>
        <v>0</v>
      </c>
      <c r="W234" s="12">
        <f ca="1">SUMIFS(TableDailySummary[Ventas meta ads],TableDailySummary[Fecha],"&gt;="&amp;TableWeeklySummary[[#This Row],[Desde]],TableDailySummary[Fecha],"&lt;="&amp;TableWeeklySummary[[#This Row],[Hasta]])</f>
        <v>0</v>
      </c>
      <c r="X234" s="12">
        <f ca="1">TableWeeklySummary[[#This Row],[Inversión google ads]]+TableWeeklySummary[[#This Row],[Inversión meta ads]]</f>
        <v>0</v>
      </c>
      <c r="Y234" s="12">
        <f ca="1">TableWeeklySummary[[#This Row],[Ventas google ads]]+TableWeeklySummary[[#This Row],[Ventas meta ads]]</f>
        <v>0</v>
      </c>
      <c r="Z234" s="14">
        <f ca="1">IFERROR(TableWeeklySummary[[#This Row],[Ventas publicidad]]/TableWeeklySummary[[#This Row],[Inversión publicidad]],0)</f>
        <v>0</v>
      </c>
      <c r="AA234" s="14">
        <f ca="1">IFERROR(TableWeeklySummary[[#This Row],[Ventas primer cliente]]/TableWeeklySummary[[#This Row],[Inversión publicidad]],0)</f>
        <v>0</v>
      </c>
      <c r="AB234" s="14"/>
      <c r="AC234" s="12"/>
      <c r="AI23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3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34" s="12">
        <f ca="1">SUMIFS(TableDailySummary[Utilidad bruta],TableDailySummary[Fecha],"&gt;="&amp;TableWeeklySummary[[#This Row],[Desde]],TableDailySummary[Fecha],"&lt;="&amp;TableWeeklySummary[[#This Row],[Hasta]])</f>
        <v>0</v>
      </c>
      <c r="AL234" s="18">
        <f ca="1">IFERROR(TableWeeklySummary[[#This Row],[Utilidad bruta]]/TableWeeklySummary[[#This Row],[Ventas netas con costo registrado]],0)</f>
        <v>0</v>
      </c>
    </row>
    <row r="235" spans="2:38" x14ac:dyDescent="0.2">
      <c r="B235" s="16">
        <f ca="1">_xlfn.ISOWEEKNUM(TableWeeklySummary[[#This Row],[Hasta]])</f>
        <v>12</v>
      </c>
      <c r="C235" s="6">
        <f t="shared" ca="1" si="5"/>
        <v>47557</v>
      </c>
      <c r="D235" s="6">
        <f ca="1">TableWeeklySummary[[#This Row],[Desde]]+7-1</f>
        <v>47563</v>
      </c>
      <c r="E235" s="12">
        <f ca="1">SUMIFS(TableDailySummary[Ventas netas totales],TableDailySummary[Fecha],"&gt;="&amp;TableWeeklySummary[[#This Row],[Desde]],TableDailySummary[Fecha],"&lt;="&amp;TableWeeklySummary[[#This Row],[Hasta]])</f>
        <v>0</v>
      </c>
      <c r="F235" s="12">
        <f ca="1">SUMIFS(TableDailySummary[Órdenes totales],TableDailySummary[Fecha],"&gt;="&amp;TableWeeklySummary[[#This Row],[Desde]],TableDailySummary[Fecha],"&lt;="&amp;TableWeeklySummary[[#This Row],[Hasta]])</f>
        <v>0</v>
      </c>
      <c r="G235" s="12">
        <f ca="1">IFERROR(TableWeeklySummary[[#This Row],[Ventas netas totales]]/TableWeeklySummary[[#This Row],[Órdenes totales]],0)</f>
        <v>0</v>
      </c>
      <c r="H23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35" s="12">
        <f ca="1">TableWeeklySummary[[#This Row],[Órden promedio totales]]*TableWeeklySummary[[#This Row],[CR totales]]</f>
        <v>0</v>
      </c>
      <c r="J235" s="12">
        <f ca="1">SUMIFS(TableDailySummary[Ventas primer cliente],TableDailySummary[Fecha],"&gt;="&amp;TableWeeklySummary[[#This Row],[Desde]],TableDailySummary[Fecha],"&lt;="&amp;TableWeeklySummary[[#This Row],[Hasta]])</f>
        <v>0</v>
      </c>
      <c r="K235" s="12">
        <f ca="1">SUMIFS(TableDailySummary[Órdenes primer cliente],TableDailySummary[Fecha],"&gt;="&amp;TableWeeklySummary[[#This Row],[Desde]],TableDailySummary[Fecha],"&lt;="&amp;TableWeeklySummary[[#This Row],[Hasta]])</f>
        <v>0</v>
      </c>
      <c r="L235" s="12">
        <f ca="1">SUMIFS(TableDailySummary[Online Store_net_sales],TableDailySummary[Fecha],"&gt;="&amp;TableWeeklySummary[[#This Row],[Desde]],TableDailySummary[Fecha],"&lt;="&amp;TableWeeklySummary[[#This Row],[Hasta]])</f>
        <v>0</v>
      </c>
      <c r="M235" s="12">
        <f ca="1">SUMIFS(TableDailySummary[Online Store_orders],TableDailySummary[Fecha],"&gt;="&amp;TableWeeklySummary[[#This Row],[Desde]],TableDailySummary[Fecha],"&lt;="&amp;TableWeeklySummary[[#This Row],[Hasta]])</f>
        <v>0</v>
      </c>
      <c r="N235" s="12">
        <f ca="1">SUMIFS(TableDailySummary[Tienda 81_net_sales],TableDailySummary[Fecha],"&gt;="&amp;TableWeeklySummary[[#This Row],[Desde]],TableDailySummary[Fecha],"&lt;="&amp;TableWeeklySummary[[#This Row],[Hasta]])</f>
        <v>0</v>
      </c>
      <c r="O235" s="12">
        <f ca="1">SUMIFS(TableDailySummary[Tienda 81_orders],TableDailySummary[Fecha],"&gt;="&amp;TableWeeklySummary[[#This Row],[Desde]],TableDailySummary[Fecha],"&lt;="&amp;TableWeeklySummary[[#This Row],[Hasta]])</f>
        <v>0</v>
      </c>
      <c r="P235" s="12">
        <f ca="1">SUMIFS(TableDailySummary[Rappi_net_sales],TableDailySummary[Fecha],"&gt;="&amp;TableWeeklySummary[[#This Row],[Desde]],TableDailySummary[Fecha],"&lt;="&amp;TableWeeklySummary[[#This Row],[Hasta]])</f>
        <v>0</v>
      </c>
      <c r="Q235" s="12">
        <f ca="1">SUMIFS(TableDailySummary[Rappi_orders],TableDailySummary[Fecha],"&gt;="&amp;TableWeeklySummary[[#This Row],[Desde]],TableDailySummary[Fecha],"&lt;="&amp;TableWeeklySummary[[#This Row],[Hasta]])</f>
        <v>0</v>
      </c>
      <c r="R23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3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35" s="12">
        <f ca="1">SUMIFS(TableDailySummary[Inversión google ads],TableDailySummary[Fecha],"&gt;="&amp;TableWeeklySummary[[#This Row],[Desde]],TableDailySummary[Fecha],"&lt;="&amp;TableWeeklySummary[[#This Row],[Hasta]])</f>
        <v>0</v>
      </c>
      <c r="U235" s="12">
        <f ca="1">SUMIFS(TableDailySummary[Ventas google ads],TableDailySummary[Fecha],"&gt;="&amp;TableWeeklySummary[[#This Row],[Desde]],TableDailySummary[Fecha],"&lt;="&amp;TableWeeklySummary[[#This Row],[Hasta]])</f>
        <v>0</v>
      </c>
      <c r="V235" s="12">
        <f ca="1">SUMIFS(TableDailySummary[Inversión meta ads],TableDailySummary[Fecha],"&gt;="&amp;TableWeeklySummary[[#This Row],[Desde]],TableDailySummary[Fecha],"&lt;="&amp;TableWeeklySummary[[#This Row],[Hasta]])</f>
        <v>0</v>
      </c>
      <c r="W235" s="12">
        <f ca="1">SUMIFS(TableDailySummary[Ventas meta ads],TableDailySummary[Fecha],"&gt;="&amp;TableWeeklySummary[[#This Row],[Desde]],TableDailySummary[Fecha],"&lt;="&amp;TableWeeklySummary[[#This Row],[Hasta]])</f>
        <v>0</v>
      </c>
      <c r="X235" s="12">
        <f ca="1">TableWeeklySummary[[#This Row],[Inversión google ads]]+TableWeeklySummary[[#This Row],[Inversión meta ads]]</f>
        <v>0</v>
      </c>
      <c r="Y235" s="12">
        <f ca="1">TableWeeklySummary[[#This Row],[Ventas google ads]]+TableWeeklySummary[[#This Row],[Ventas meta ads]]</f>
        <v>0</v>
      </c>
      <c r="Z235" s="14">
        <f ca="1">IFERROR(TableWeeklySummary[[#This Row],[Ventas publicidad]]/TableWeeklySummary[[#This Row],[Inversión publicidad]],0)</f>
        <v>0</v>
      </c>
      <c r="AA235" s="14">
        <f ca="1">IFERROR(TableWeeklySummary[[#This Row],[Ventas primer cliente]]/TableWeeklySummary[[#This Row],[Inversión publicidad]],0)</f>
        <v>0</v>
      </c>
      <c r="AB235" s="14"/>
      <c r="AC235" s="12"/>
      <c r="AI23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3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35" s="12">
        <f ca="1">SUMIFS(TableDailySummary[Utilidad bruta],TableDailySummary[Fecha],"&gt;="&amp;TableWeeklySummary[[#This Row],[Desde]],TableDailySummary[Fecha],"&lt;="&amp;TableWeeklySummary[[#This Row],[Hasta]])</f>
        <v>0</v>
      </c>
      <c r="AL235" s="18">
        <f ca="1">IFERROR(TableWeeklySummary[[#This Row],[Utilidad bruta]]/TableWeeklySummary[[#This Row],[Ventas netas con costo registrado]],0)</f>
        <v>0</v>
      </c>
    </row>
    <row r="236" spans="2:38" x14ac:dyDescent="0.2">
      <c r="B236" s="16">
        <f ca="1">_xlfn.ISOWEEKNUM(TableWeeklySummary[[#This Row],[Hasta]])</f>
        <v>13</v>
      </c>
      <c r="C236" s="6">
        <f t="shared" ca="1" si="5"/>
        <v>47564</v>
      </c>
      <c r="D236" s="6">
        <f ca="1">TableWeeklySummary[[#This Row],[Desde]]+7-1</f>
        <v>47570</v>
      </c>
      <c r="E236" s="12">
        <f ca="1">SUMIFS(TableDailySummary[Ventas netas totales],TableDailySummary[Fecha],"&gt;="&amp;TableWeeklySummary[[#This Row],[Desde]],TableDailySummary[Fecha],"&lt;="&amp;TableWeeklySummary[[#This Row],[Hasta]])</f>
        <v>0</v>
      </c>
      <c r="F236" s="12">
        <f ca="1">SUMIFS(TableDailySummary[Órdenes totales],TableDailySummary[Fecha],"&gt;="&amp;TableWeeklySummary[[#This Row],[Desde]],TableDailySummary[Fecha],"&lt;="&amp;TableWeeklySummary[[#This Row],[Hasta]])</f>
        <v>0</v>
      </c>
      <c r="G236" s="12">
        <f ca="1">IFERROR(TableWeeklySummary[[#This Row],[Ventas netas totales]]/TableWeeklySummary[[#This Row],[Órdenes totales]],0)</f>
        <v>0</v>
      </c>
      <c r="H23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36" s="12">
        <f ca="1">TableWeeklySummary[[#This Row],[Órden promedio totales]]*TableWeeklySummary[[#This Row],[CR totales]]</f>
        <v>0</v>
      </c>
      <c r="J236" s="12">
        <f ca="1">SUMIFS(TableDailySummary[Ventas primer cliente],TableDailySummary[Fecha],"&gt;="&amp;TableWeeklySummary[[#This Row],[Desde]],TableDailySummary[Fecha],"&lt;="&amp;TableWeeklySummary[[#This Row],[Hasta]])</f>
        <v>0</v>
      </c>
      <c r="K236" s="12">
        <f ca="1">SUMIFS(TableDailySummary[Órdenes primer cliente],TableDailySummary[Fecha],"&gt;="&amp;TableWeeklySummary[[#This Row],[Desde]],TableDailySummary[Fecha],"&lt;="&amp;TableWeeklySummary[[#This Row],[Hasta]])</f>
        <v>0</v>
      </c>
      <c r="L236" s="12">
        <f ca="1">SUMIFS(TableDailySummary[Online Store_net_sales],TableDailySummary[Fecha],"&gt;="&amp;TableWeeklySummary[[#This Row],[Desde]],TableDailySummary[Fecha],"&lt;="&amp;TableWeeklySummary[[#This Row],[Hasta]])</f>
        <v>0</v>
      </c>
      <c r="M236" s="12">
        <f ca="1">SUMIFS(TableDailySummary[Online Store_orders],TableDailySummary[Fecha],"&gt;="&amp;TableWeeklySummary[[#This Row],[Desde]],TableDailySummary[Fecha],"&lt;="&amp;TableWeeklySummary[[#This Row],[Hasta]])</f>
        <v>0</v>
      </c>
      <c r="N236" s="12">
        <f ca="1">SUMIFS(TableDailySummary[Tienda 81_net_sales],TableDailySummary[Fecha],"&gt;="&amp;TableWeeklySummary[[#This Row],[Desde]],TableDailySummary[Fecha],"&lt;="&amp;TableWeeklySummary[[#This Row],[Hasta]])</f>
        <v>0</v>
      </c>
      <c r="O236" s="12">
        <f ca="1">SUMIFS(TableDailySummary[Tienda 81_orders],TableDailySummary[Fecha],"&gt;="&amp;TableWeeklySummary[[#This Row],[Desde]],TableDailySummary[Fecha],"&lt;="&amp;TableWeeklySummary[[#This Row],[Hasta]])</f>
        <v>0</v>
      </c>
      <c r="P236" s="12">
        <f ca="1">SUMIFS(TableDailySummary[Rappi_net_sales],TableDailySummary[Fecha],"&gt;="&amp;TableWeeklySummary[[#This Row],[Desde]],TableDailySummary[Fecha],"&lt;="&amp;TableWeeklySummary[[#This Row],[Hasta]])</f>
        <v>0</v>
      </c>
      <c r="Q236" s="12">
        <f ca="1">SUMIFS(TableDailySummary[Rappi_orders],TableDailySummary[Fecha],"&gt;="&amp;TableWeeklySummary[[#This Row],[Desde]],TableDailySummary[Fecha],"&lt;="&amp;TableWeeklySummary[[#This Row],[Hasta]])</f>
        <v>0</v>
      </c>
      <c r="R23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3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36" s="12">
        <f ca="1">SUMIFS(TableDailySummary[Inversión google ads],TableDailySummary[Fecha],"&gt;="&amp;TableWeeklySummary[[#This Row],[Desde]],TableDailySummary[Fecha],"&lt;="&amp;TableWeeklySummary[[#This Row],[Hasta]])</f>
        <v>0</v>
      </c>
      <c r="U236" s="12">
        <f ca="1">SUMIFS(TableDailySummary[Ventas google ads],TableDailySummary[Fecha],"&gt;="&amp;TableWeeklySummary[[#This Row],[Desde]],TableDailySummary[Fecha],"&lt;="&amp;TableWeeklySummary[[#This Row],[Hasta]])</f>
        <v>0</v>
      </c>
      <c r="V236" s="12">
        <f ca="1">SUMIFS(TableDailySummary[Inversión meta ads],TableDailySummary[Fecha],"&gt;="&amp;TableWeeklySummary[[#This Row],[Desde]],TableDailySummary[Fecha],"&lt;="&amp;TableWeeklySummary[[#This Row],[Hasta]])</f>
        <v>0</v>
      </c>
      <c r="W236" s="12">
        <f ca="1">SUMIFS(TableDailySummary[Ventas meta ads],TableDailySummary[Fecha],"&gt;="&amp;TableWeeklySummary[[#This Row],[Desde]],TableDailySummary[Fecha],"&lt;="&amp;TableWeeklySummary[[#This Row],[Hasta]])</f>
        <v>0</v>
      </c>
      <c r="X236" s="12">
        <f ca="1">TableWeeklySummary[[#This Row],[Inversión google ads]]+TableWeeklySummary[[#This Row],[Inversión meta ads]]</f>
        <v>0</v>
      </c>
      <c r="Y236" s="12">
        <f ca="1">TableWeeklySummary[[#This Row],[Ventas google ads]]+TableWeeklySummary[[#This Row],[Ventas meta ads]]</f>
        <v>0</v>
      </c>
      <c r="Z236" s="14">
        <f ca="1">IFERROR(TableWeeklySummary[[#This Row],[Ventas publicidad]]/TableWeeklySummary[[#This Row],[Inversión publicidad]],0)</f>
        <v>0</v>
      </c>
      <c r="AA236" s="14">
        <f ca="1">IFERROR(TableWeeklySummary[[#This Row],[Ventas primer cliente]]/TableWeeklySummary[[#This Row],[Inversión publicidad]],0)</f>
        <v>0</v>
      </c>
      <c r="AB236" s="14"/>
      <c r="AC236" s="12"/>
      <c r="AI23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3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36" s="12">
        <f ca="1">SUMIFS(TableDailySummary[Utilidad bruta],TableDailySummary[Fecha],"&gt;="&amp;TableWeeklySummary[[#This Row],[Desde]],TableDailySummary[Fecha],"&lt;="&amp;TableWeeklySummary[[#This Row],[Hasta]])</f>
        <v>0</v>
      </c>
      <c r="AL236" s="18">
        <f ca="1">IFERROR(TableWeeklySummary[[#This Row],[Utilidad bruta]]/TableWeeklySummary[[#This Row],[Ventas netas con costo registrado]],0)</f>
        <v>0</v>
      </c>
    </row>
    <row r="237" spans="2:38" x14ac:dyDescent="0.2">
      <c r="B237" s="16">
        <f ca="1">_xlfn.ISOWEEKNUM(TableWeeklySummary[[#This Row],[Hasta]])</f>
        <v>14</v>
      </c>
      <c r="C237" s="6">
        <f t="shared" ca="1" si="5"/>
        <v>47571</v>
      </c>
      <c r="D237" s="6">
        <f ca="1">TableWeeklySummary[[#This Row],[Desde]]+7-1</f>
        <v>47577</v>
      </c>
      <c r="E237" s="12">
        <f ca="1">SUMIFS(TableDailySummary[Ventas netas totales],TableDailySummary[Fecha],"&gt;="&amp;TableWeeklySummary[[#This Row],[Desde]],TableDailySummary[Fecha],"&lt;="&amp;TableWeeklySummary[[#This Row],[Hasta]])</f>
        <v>0</v>
      </c>
      <c r="F237" s="12">
        <f ca="1">SUMIFS(TableDailySummary[Órdenes totales],TableDailySummary[Fecha],"&gt;="&amp;TableWeeklySummary[[#This Row],[Desde]],TableDailySummary[Fecha],"&lt;="&amp;TableWeeklySummary[[#This Row],[Hasta]])</f>
        <v>0</v>
      </c>
      <c r="G237" s="12">
        <f ca="1">IFERROR(TableWeeklySummary[[#This Row],[Ventas netas totales]]/TableWeeklySummary[[#This Row],[Órdenes totales]],0)</f>
        <v>0</v>
      </c>
      <c r="H23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37" s="12">
        <f ca="1">TableWeeklySummary[[#This Row],[Órden promedio totales]]*TableWeeklySummary[[#This Row],[CR totales]]</f>
        <v>0</v>
      </c>
      <c r="J237" s="12">
        <f ca="1">SUMIFS(TableDailySummary[Ventas primer cliente],TableDailySummary[Fecha],"&gt;="&amp;TableWeeklySummary[[#This Row],[Desde]],TableDailySummary[Fecha],"&lt;="&amp;TableWeeklySummary[[#This Row],[Hasta]])</f>
        <v>0</v>
      </c>
      <c r="K237" s="12">
        <f ca="1">SUMIFS(TableDailySummary[Órdenes primer cliente],TableDailySummary[Fecha],"&gt;="&amp;TableWeeklySummary[[#This Row],[Desde]],TableDailySummary[Fecha],"&lt;="&amp;TableWeeklySummary[[#This Row],[Hasta]])</f>
        <v>0</v>
      </c>
      <c r="L237" s="12">
        <f ca="1">SUMIFS(TableDailySummary[Online Store_net_sales],TableDailySummary[Fecha],"&gt;="&amp;TableWeeklySummary[[#This Row],[Desde]],TableDailySummary[Fecha],"&lt;="&amp;TableWeeklySummary[[#This Row],[Hasta]])</f>
        <v>0</v>
      </c>
      <c r="M237" s="12">
        <f ca="1">SUMIFS(TableDailySummary[Online Store_orders],TableDailySummary[Fecha],"&gt;="&amp;TableWeeklySummary[[#This Row],[Desde]],TableDailySummary[Fecha],"&lt;="&amp;TableWeeklySummary[[#This Row],[Hasta]])</f>
        <v>0</v>
      </c>
      <c r="N237" s="12">
        <f ca="1">SUMIFS(TableDailySummary[Tienda 81_net_sales],TableDailySummary[Fecha],"&gt;="&amp;TableWeeklySummary[[#This Row],[Desde]],TableDailySummary[Fecha],"&lt;="&amp;TableWeeklySummary[[#This Row],[Hasta]])</f>
        <v>0</v>
      </c>
      <c r="O237" s="12">
        <f ca="1">SUMIFS(TableDailySummary[Tienda 81_orders],TableDailySummary[Fecha],"&gt;="&amp;TableWeeklySummary[[#This Row],[Desde]],TableDailySummary[Fecha],"&lt;="&amp;TableWeeklySummary[[#This Row],[Hasta]])</f>
        <v>0</v>
      </c>
      <c r="P237" s="12">
        <f ca="1">SUMIFS(TableDailySummary[Rappi_net_sales],TableDailySummary[Fecha],"&gt;="&amp;TableWeeklySummary[[#This Row],[Desde]],TableDailySummary[Fecha],"&lt;="&amp;TableWeeklySummary[[#This Row],[Hasta]])</f>
        <v>0</v>
      </c>
      <c r="Q237" s="12">
        <f ca="1">SUMIFS(TableDailySummary[Rappi_orders],TableDailySummary[Fecha],"&gt;="&amp;TableWeeklySummary[[#This Row],[Desde]],TableDailySummary[Fecha],"&lt;="&amp;TableWeeklySummary[[#This Row],[Hasta]])</f>
        <v>0</v>
      </c>
      <c r="R23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3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37" s="12">
        <f ca="1">SUMIFS(TableDailySummary[Inversión google ads],TableDailySummary[Fecha],"&gt;="&amp;TableWeeklySummary[[#This Row],[Desde]],TableDailySummary[Fecha],"&lt;="&amp;TableWeeklySummary[[#This Row],[Hasta]])</f>
        <v>0</v>
      </c>
      <c r="U237" s="12">
        <f ca="1">SUMIFS(TableDailySummary[Ventas google ads],TableDailySummary[Fecha],"&gt;="&amp;TableWeeklySummary[[#This Row],[Desde]],TableDailySummary[Fecha],"&lt;="&amp;TableWeeklySummary[[#This Row],[Hasta]])</f>
        <v>0</v>
      </c>
      <c r="V237" s="12">
        <f ca="1">SUMIFS(TableDailySummary[Inversión meta ads],TableDailySummary[Fecha],"&gt;="&amp;TableWeeklySummary[[#This Row],[Desde]],TableDailySummary[Fecha],"&lt;="&amp;TableWeeklySummary[[#This Row],[Hasta]])</f>
        <v>0</v>
      </c>
      <c r="W237" s="12">
        <f ca="1">SUMIFS(TableDailySummary[Ventas meta ads],TableDailySummary[Fecha],"&gt;="&amp;TableWeeklySummary[[#This Row],[Desde]],TableDailySummary[Fecha],"&lt;="&amp;TableWeeklySummary[[#This Row],[Hasta]])</f>
        <v>0</v>
      </c>
      <c r="X237" s="12">
        <f ca="1">TableWeeklySummary[[#This Row],[Inversión google ads]]+TableWeeklySummary[[#This Row],[Inversión meta ads]]</f>
        <v>0</v>
      </c>
      <c r="Y237" s="12">
        <f ca="1">TableWeeklySummary[[#This Row],[Ventas google ads]]+TableWeeklySummary[[#This Row],[Ventas meta ads]]</f>
        <v>0</v>
      </c>
      <c r="Z237" s="14">
        <f ca="1">IFERROR(TableWeeklySummary[[#This Row],[Ventas publicidad]]/TableWeeklySummary[[#This Row],[Inversión publicidad]],0)</f>
        <v>0</v>
      </c>
      <c r="AA237" s="14">
        <f ca="1">IFERROR(TableWeeklySummary[[#This Row],[Ventas primer cliente]]/TableWeeklySummary[[#This Row],[Inversión publicidad]],0)</f>
        <v>0</v>
      </c>
      <c r="AB237" s="14"/>
      <c r="AC237" s="12"/>
      <c r="AI23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3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37" s="12">
        <f ca="1">SUMIFS(TableDailySummary[Utilidad bruta],TableDailySummary[Fecha],"&gt;="&amp;TableWeeklySummary[[#This Row],[Desde]],TableDailySummary[Fecha],"&lt;="&amp;TableWeeklySummary[[#This Row],[Hasta]])</f>
        <v>0</v>
      </c>
      <c r="AL237" s="18">
        <f ca="1">IFERROR(TableWeeklySummary[[#This Row],[Utilidad bruta]]/TableWeeklySummary[[#This Row],[Ventas netas con costo registrado]],0)</f>
        <v>0</v>
      </c>
    </row>
    <row r="238" spans="2:38" x14ac:dyDescent="0.2">
      <c r="B238" s="16">
        <f ca="1">_xlfn.ISOWEEKNUM(TableWeeklySummary[[#This Row],[Hasta]])</f>
        <v>15</v>
      </c>
      <c r="C238" s="6">
        <f t="shared" ca="1" si="5"/>
        <v>47578</v>
      </c>
      <c r="D238" s="6">
        <f ca="1">TableWeeklySummary[[#This Row],[Desde]]+7-1</f>
        <v>47584</v>
      </c>
      <c r="E238" s="12">
        <f ca="1">SUMIFS(TableDailySummary[Ventas netas totales],TableDailySummary[Fecha],"&gt;="&amp;TableWeeklySummary[[#This Row],[Desde]],TableDailySummary[Fecha],"&lt;="&amp;TableWeeklySummary[[#This Row],[Hasta]])</f>
        <v>0</v>
      </c>
      <c r="F238" s="12">
        <f ca="1">SUMIFS(TableDailySummary[Órdenes totales],TableDailySummary[Fecha],"&gt;="&amp;TableWeeklySummary[[#This Row],[Desde]],TableDailySummary[Fecha],"&lt;="&amp;TableWeeklySummary[[#This Row],[Hasta]])</f>
        <v>0</v>
      </c>
      <c r="G238" s="12">
        <f ca="1">IFERROR(TableWeeklySummary[[#This Row],[Ventas netas totales]]/TableWeeklySummary[[#This Row],[Órdenes totales]],0)</f>
        <v>0</v>
      </c>
      <c r="H23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38" s="12">
        <f ca="1">TableWeeklySummary[[#This Row],[Órden promedio totales]]*TableWeeklySummary[[#This Row],[CR totales]]</f>
        <v>0</v>
      </c>
      <c r="J238" s="12">
        <f ca="1">SUMIFS(TableDailySummary[Ventas primer cliente],TableDailySummary[Fecha],"&gt;="&amp;TableWeeklySummary[[#This Row],[Desde]],TableDailySummary[Fecha],"&lt;="&amp;TableWeeklySummary[[#This Row],[Hasta]])</f>
        <v>0</v>
      </c>
      <c r="K238" s="12">
        <f ca="1">SUMIFS(TableDailySummary[Órdenes primer cliente],TableDailySummary[Fecha],"&gt;="&amp;TableWeeklySummary[[#This Row],[Desde]],TableDailySummary[Fecha],"&lt;="&amp;TableWeeklySummary[[#This Row],[Hasta]])</f>
        <v>0</v>
      </c>
      <c r="L238" s="12">
        <f ca="1">SUMIFS(TableDailySummary[Online Store_net_sales],TableDailySummary[Fecha],"&gt;="&amp;TableWeeklySummary[[#This Row],[Desde]],TableDailySummary[Fecha],"&lt;="&amp;TableWeeklySummary[[#This Row],[Hasta]])</f>
        <v>0</v>
      </c>
      <c r="M238" s="12">
        <f ca="1">SUMIFS(TableDailySummary[Online Store_orders],TableDailySummary[Fecha],"&gt;="&amp;TableWeeklySummary[[#This Row],[Desde]],TableDailySummary[Fecha],"&lt;="&amp;TableWeeklySummary[[#This Row],[Hasta]])</f>
        <v>0</v>
      </c>
      <c r="N238" s="12">
        <f ca="1">SUMIFS(TableDailySummary[Tienda 81_net_sales],TableDailySummary[Fecha],"&gt;="&amp;TableWeeklySummary[[#This Row],[Desde]],TableDailySummary[Fecha],"&lt;="&amp;TableWeeklySummary[[#This Row],[Hasta]])</f>
        <v>0</v>
      </c>
      <c r="O238" s="12">
        <f ca="1">SUMIFS(TableDailySummary[Tienda 81_orders],TableDailySummary[Fecha],"&gt;="&amp;TableWeeklySummary[[#This Row],[Desde]],TableDailySummary[Fecha],"&lt;="&amp;TableWeeklySummary[[#This Row],[Hasta]])</f>
        <v>0</v>
      </c>
      <c r="P238" s="12">
        <f ca="1">SUMIFS(TableDailySummary[Rappi_net_sales],TableDailySummary[Fecha],"&gt;="&amp;TableWeeklySummary[[#This Row],[Desde]],TableDailySummary[Fecha],"&lt;="&amp;TableWeeklySummary[[#This Row],[Hasta]])</f>
        <v>0</v>
      </c>
      <c r="Q238" s="12">
        <f ca="1">SUMIFS(TableDailySummary[Rappi_orders],TableDailySummary[Fecha],"&gt;="&amp;TableWeeklySummary[[#This Row],[Desde]],TableDailySummary[Fecha],"&lt;="&amp;TableWeeklySummary[[#This Row],[Hasta]])</f>
        <v>0</v>
      </c>
      <c r="R23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3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38" s="12">
        <f ca="1">SUMIFS(TableDailySummary[Inversión google ads],TableDailySummary[Fecha],"&gt;="&amp;TableWeeklySummary[[#This Row],[Desde]],TableDailySummary[Fecha],"&lt;="&amp;TableWeeklySummary[[#This Row],[Hasta]])</f>
        <v>0</v>
      </c>
      <c r="U238" s="12">
        <f ca="1">SUMIFS(TableDailySummary[Ventas google ads],TableDailySummary[Fecha],"&gt;="&amp;TableWeeklySummary[[#This Row],[Desde]],TableDailySummary[Fecha],"&lt;="&amp;TableWeeklySummary[[#This Row],[Hasta]])</f>
        <v>0</v>
      </c>
      <c r="V238" s="12">
        <f ca="1">SUMIFS(TableDailySummary[Inversión meta ads],TableDailySummary[Fecha],"&gt;="&amp;TableWeeklySummary[[#This Row],[Desde]],TableDailySummary[Fecha],"&lt;="&amp;TableWeeklySummary[[#This Row],[Hasta]])</f>
        <v>0</v>
      </c>
      <c r="W238" s="12">
        <f ca="1">SUMIFS(TableDailySummary[Ventas meta ads],TableDailySummary[Fecha],"&gt;="&amp;TableWeeklySummary[[#This Row],[Desde]],TableDailySummary[Fecha],"&lt;="&amp;TableWeeklySummary[[#This Row],[Hasta]])</f>
        <v>0</v>
      </c>
      <c r="X238" s="12">
        <f ca="1">TableWeeklySummary[[#This Row],[Inversión google ads]]+TableWeeklySummary[[#This Row],[Inversión meta ads]]</f>
        <v>0</v>
      </c>
      <c r="Y238" s="12">
        <f ca="1">TableWeeklySummary[[#This Row],[Ventas google ads]]+TableWeeklySummary[[#This Row],[Ventas meta ads]]</f>
        <v>0</v>
      </c>
      <c r="Z238" s="14">
        <f ca="1">IFERROR(TableWeeklySummary[[#This Row],[Ventas publicidad]]/TableWeeklySummary[[#This Row],[Inversión publicidad]],0)</f>
        <v>0</v>
      </c>
      <c r="AA238" s="14">
        <f ca="1">IFERROR(TableWeeklySummary[[#This Row],[Ventas primer cliente]]/TableWeeklySummary[[#This Row],[Inversión publicidad]],0)</f>
        <v>0</v>
      </c>
      <c r="AB238" s="14"/>
      <c r="AC238" s="12"/>
      <c r="AI23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3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38" s="12">
        <f ca="1">SUMIFS(TableDailySummary[Utilidad bruta],TableDailySummary[Fecha],"&gt;="&amp;TableWeeklySummary[[#This Row],[Desde]],TableDailySummary[Fecha],"&lt;="&amp;TableWeeklySummary[[#This Row],[Hasta]])</f>
        <v>0</v>
      </c>
      <c r="AL238" s="18">
        <f ca="1">IFERROR(TableWeeklySummary[[#This Row],[Utilidad bruta]]/TableWeeklySummary[[#This Row],[Ventas netas con costo registrado]],0)</f>
        <v>0</v>
      </c>
    </row>
    <row r="239" spans="2:38" x14ac:dyDescent="0.2">
      <c r="B239" s="16">
        <f ca="1">_xlfn.ISOWEEKNUM(TableWeeklySummary[[#This Row],[Hasta]])</f>
        <v>16</v>
      </c>
      <c r="C239" s="6">
        <f t="shared" ca="1" si="5"/>
        <v>47585</v>
      </c>
      <c r="D239" s="6">
        <f ca="1">TableWeeklySummary[[#This Row],[Desde]]+7-1</f>
        <v>47591</v>
      </c>
      <c r="E239" s="12">
        <f ca="1">SUMIFS(TableDailySummary[Ventas netas totales],TableDailySummary[Fecha],"&gt;="&amp;TableWeeklySummary[[#This Row],[Desde]],TableDailySummary[Fecha],"&lt;="&amp;TableWeeklySummary[[#This Row],[Hasta]])</f>
        <v>0</v>
      </c>
      <c r="F239" s="12">
        <f ca="1">SUMIFS(TableDailySummary[Órdenes totales],TableDailySummary[Fecha],"&gt;="&amp;TableWeeklySummary[[#This Row],[Desde]],TableDailySummary[Fecha],"&lt;="&amp;TableWeeklySummary[[#This Row],[Hasta]])</f>
        <v>0</v>
      </c>
      <c r="G239" s="12">
        <f ca="1">IFERROR(TableWeeklySummary[[#This Row],[Ventas netas totales]]/TableWeeklySummary[[#This Row],[Órdenes totales]],0)</f>
        <v>0</v>
      </c>
      <c r="H23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39" s="12">
        <f ca="1">TableWeeklySummary[[#This Row],[Órden promedio totales]]*TableWeeklySummary[[#This Row],[CR totales]]</f>
        <v>0</v>
      </c>
      <c r="J239" s="12">
        <f ca="1">SUMIFS(TableDailySummary[Ventas primer cliente],TableDailySummary[Fecha],"&gt;="&amp;TableWeeklySummary[[#This Row],[Desde]],TableDailySummary[Fecha],"&lt;="&amp;TableWeeklySummary[[#This Row],[Hasta]])</f>
        <v>0</v>
      </c>
      <c r="K239" s="12">
        <f ca="1">SUMIFS(TableDailySummary[Órdenes primer cliente],TableDailySummary[Fecha],"&gt;="&amp;TableWeeklySummary[[#This Row],[Desde]],TableDailySummary[Fecha],"&lt;="&amp;TableWeeklySummary[[#This Row],[Hasta]])</f>
        <v>0</v>
      </c>
      <c r="L239" s="12">
        <f ca="1">SUMIFS(TableDailySummary[Online Store_net_sales],TableDailySummary[Fecha],"&gt;="&amp;TableWeeklySummary[[#This Row],[Desde]],TableDailySummary[Fecha],"&lt;="&amp;TableWeeklySummary[[#This Row],[Hasta]])</f>
        <v>0</v>
      </c>
      <c r="M239" s="12">
        <f ca="1">SUMIFS(TableDailySummary[Online Store_orders],TableDailySummary[Fecha],"&gt;="&amp;TableWeeklySummary[[#This Row],[Desde]],TableDailySummary[Fecha],"&lt;="&amp;TableWeeklySummary[[#This Row],[Hasta]])</f>
        <v>0</v>
      </c>
      <c r="N239" s="12">
        <f ca="1">SUMIFS(TableDailySummary[Tienda 81_net_sales],TableDailySummary[Fecha],"&gt;="&amp;TableWeeklySummary[[#This Row],[Desde]],TableDailySummary[Fecha],"&lt;="&amp;TableWeeklySummary[[#This Row],[Hasta]])</f>
        <v>0</v>
      </c>
      <c r="O239" s="12">
        <f ca="1">SUMIFS(TableDailySummary[Tienda 81_orders],TableDailySummary[Fecha],"&gt;="&amp;TableWeeklySummary[[#This Row],[Desde]],TableDailySummary[Fecha],"&lt;="&amp;TableWeeklySummary[[#This Row],[Hasta]])</f>
        <v>0</v>
      </c>
      <c r="P239" s="12">
        <f ca="1">SUMIFS(TableDailySummary[Rappi_net_sales],TableDailySummary[Fecha],"&gt;="&amp;TableWeeklySummary[[#This Row],[Desde]],TableDailySummary[Fecha],"&lt;="&amp;TableWeeklySummary[[#This Row],[Hasta]])</f>
        <v>0</v>
      </c>
      <c r="Q239" s="12">
        <f ca="1">SUMIFS(TableDailySummary[Rappi_orders],TableDailySummary[Fecha],"&gt;="&amp;TableWeeklySummary[[#This Row],[Desde]],TableDailySummary[Fecha],"&lt;="&amp;TableWeeklySummary[[#This Row],[Hasta]])</f>
        <v>0</v>
      </c>
      <c r="R23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3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39" s="12">
        <f ca="1">SUMIFS(TableDailySummary[Inversión google ads],TableDailySummary[Fecha],"&gt;="&amp;TableWeeklySummary[[#This Row],[Desde]],TableDailySummary[Fecha],"&lt;="&amp;TableWeeklySummary[[#This Row],[Hasta]])</f>
        <v>0</v>
      </c>
      <c r="U239" s="12">
        <f ca="1">SUMIFS(TableDailySummary[Ventas google ads],TableDailySummary[Fecha],"&gt;="&amp;TableWeeklySummary[[#This Row],[Desde]],TableDailySummary[Fecha],"&lt;="&amp;TableWeeklySummary[[#This Row],[Hasta]])</f>
        <v>0</v>
      </c>
      <c r="V239" s="12">
        <f ca="1">SUMIFS(TableDailySummary[Inversión meta ads],TableDailySummary[Fecha],"&gt;="&amp;TableWeeklySummary[[#This Row],[Desde]],TableDailySummary[Fecha],"&lt;="&amp;TableWeeklySummary[[#This Row],[Hasta]])</f>
        <v>0</v>
      </c>
      <c r="W239" s="12">
        <f ca="1">SUMIFS(TableDailySummary[Ventas meta ads],TableDailySummary[Fecha],"&gt;="&amp;TableWeeklySummary[[#This Row],[Desde]],TableDailySummary[Fecha],"&lt;="&amp;TableWeeklySummary[[#This Row],[Hasta]])</f>
        <v>0</v>
      </c>
      <c r="X239" s="12">
        <f ca="1">TableWeeklySummary[[#This Row],[Inversión google ads]]+TableWeeklySummary[[#This Row],[Inversión meta ads]]</f>
        <v>0</v>
      </c>
      <c r="Y239" s="12">
        <f ca="1">TableWeeklySummary[[#This Row],[Ventas google ads]]+TableWeeklySummary[[#This Row],[Ventas meta ads]]</f>
        <v>0</v>
      </c>
      <c r="Z239" s="14">
        <f ca="1">IFERROR(TableWeeklySummary[[#This Row],[Ventas publicidad]]/TableWeeklySummary[[#This Row],[Inversión publicidad]],0)</f>
        <v>0</v>
      </c>
      <c r="AA239" s="14">
        <f ca="1">IFERROR(TableWeeklySummary[[#This Row],[Ventas primer cliente]]/TableWeeklySummary[[#This Row],[Inversión publicidad]],0)</f>
        <v>0</v>
      </c>
      <c r="AB239" s="14"/>
      <c r="AC239" s="12"/>
      <c r="AI23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3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39" s="12">
        <f ca="1">SUMIFS(TableDailySummary[Utilidad bruta],TableDailySummary[Fecha],"&gt;="&amp;TableWeeklySummary[[#This Row],[Desde]],TableDailySummary[Fecha],"&lt;="&amp;TableWeeklySummary[[#This Row],[Hasta]])</f>
        <v>0</v>
      </c>
      <c r="AL239" s="18">
        <f ca="1">IFERROR(TableWeeklySummary[[#This Row],[Utilidad bruta]]/TableWeeklySummary[[#This Row],[Ventas netas con costo registrado]],0)</f>
        <v>0</v>
      </c>
    </row>
    <row r="240" spans="2:38" x14ac:dyDescent="0.2">
      <c r="B240" s="16">
        <f ca="1">_xlfn.ISOWEEKNUM(TableWeeklySummary[[#This Row],[Hasta]])</f>
        <v>17</v>
      </c>
      <c r="C240" s="6">
        <f t="shared" ca="1" si="5"/>
        <v>47592</v>
      </c>
      <c r="D240" s="6">
        <f ca="1">TableWeeklySummary[[#This Row],[Desde]]+7-1</f>
        <v>47598</v>
      </c>
      <c r="E240" s="12">
        <f ca="1">SUMIFS(TableDailySummary[Ventas netas totales],TableDailySummary[Fecha],"&gt;="&amp;TableWeeklySummary[[#This Row],[Desde]],TableDailySummary[Fecha],"&lt;="&amp;TableWeeklySummary[[#This Row],[Hasta]])</f>
        <v>0</v>
      </c>
      <c r="F240" s="12">
        <f ca="1">SUMIFS(TableDailySummary[Órdenes totales],TableDailySummary[Fecha],"&gt;="&amp;TableWeeklySummary[[#This Row],[Desde]],TableDailySummary[Fecha],"&lt;="&amp;TableWeeklySummary[[#This Row],[Hasta]])</f>
        <v>0</v>
      </c>
      <c r="G240" s="12">
        <f ca="1">IFERROR(TableWeeklySummary[[#This Row],[Ventas netas totales]]/TableWeeklySummary[[#This Row],[Órdenes totales]],0)</f>
        <v>0</v>
      </c>
      <c r="H24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40" s="12">
        <f ca="1">TableWeeklySummary[[#This Row],[Órden promedio totales]]*TableWeeklySummary[[#This Row],[CR totales]]</f>
        <v>0</v>
      </c>
      <c r="J240" s="12">
        <f ca="1">SUMIFS(TableDailySummary[Ventas primer cliente],TableDailySummary[Fecha],"&gt;="&amp;TableWeeklySummary[[#This Row],[Desde]],TableDailySummary[Fecha],"&lt;="&amp;TableWeeklySummary[[#This Row],[Hasta]])</f>
        <v>0</v>
      </c>
      <c r="K240" s="12">
        <f ca="1">SUMIFS(TableDailySummary[Órdenes primer cliente],TableDailySummary[Fecha],"&gt;="&amp;TableWeeklySummary[[#This Row],[Desde]],TableDailySummary[Fecha],"&lt;="&amp;TableWeeklySummary[[#This Row],[Hasta]])</f>
        <v>0</v>
      </c>
      <c r="L240" s="12">
        <f ca="1">SUMIFS(TableDailySummary[Online Store_net_sales],TableDailySummary[Fecha],"&gt;="&amp;TableWeeklySummary[[#This Row],[Desde]],TableDailySummary[Fecha],"&lt;="&amp;TableWeeklySummary[[#This Row],[Hasta]])</f>
        <v>0</v>
      </c>
      <c r="M240" s="12">
        <f ca="1">SUMIFS(TableDailySummary[Online Store_orders],TableDailySummary[Fecha],"&gt;="&amp;TableWeeklySummary[[#This Row],[Desde]],TableDailySummary[Fecha],"&lt;="&amp;TableWeeklySummary[[#This Row],[Hasta]])</f>
        <v>0</v>
      </c>
      <c r="N240" s="12">
        <f ca="1">SUMIFS(TableDailySummary[Tienda 81_net_sales],TableDailySummary[Fecha],"&gt;="&amp;TableWeeklySummary[[#This Row],[Desde]],TableDailySummary[Fecha],"&lt;="&amp;TableWeeklySummary[[#This Row],[Hasta]])</f>
        <v>0</v>
      </c>
      <c r="O240" s="12">
        <f ca="1">SUMIFS(TableDailySummary[Tienda 81_orders],TableDailySummary[Fecha],"&gt;="&amp;TableWeeklySummary[[#This Row],[Desde]],TableDailySummary[Fecha],"&lt;="&amp;TableWeeklySummary[[#This Row],[Hasta]])</f>
        <v>0</v>
      </c>
      <c r="P240" s="12">
        <f ca="1">SUMIFS(TableDailySummary[Rappi_net_sales],TableDailySummary[Fecha],"&gt;="&amp;TableWeeklySummary[[#This Row],[Desde]],TableDailySummary[Fecha],"&lt;="&amp;TableWeeklySummary[[#This Row],[Hasta]])</f>
        <v>0</v>
      </c>
      <c r="Q240" s="12">
        <f ca="1">SUMIFS(TableDailySummary[Rappi_orders],TableDailySummary[Fecha],"&gt;="&amp;TableWeeklySummary[[#This Row],[Desde]],TableDailySummary[Fecha],"&lt;="&amp;TableWeeklySummary[[#This Row],[Hasta]])</f>
        <v>0</v>
      </c>
      <c r="R24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4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40" s="12">
        <f ca="1">SUMIFS(TableDailySummary[Inversión google ads],TableDailySummary[Fecha],"&gt;="&amp;TableWeeklySummary[[#This Row],[Desde]],TableDailySummary[Fecha],"&lt;="&amp;TableWeeklySummary[[#This Row],[Hasta]])</f>
        <v>0</v>
      </c>
      <c r="U240" s="12">
        <f ca="1">SUMIFS(TableDailySummary[Ventas google ads],TableDailySummary[Fecha],"&gt;="&amp;TableWeeklySummary[[#This Row],[Desde]],TableDailySummary[Fecha],"&lt;="&amp;TableWeeklySummary[[#This Row],[Hasta]])</f>
        <v>0</v>
      </c>
      <c r="V240" s="12">
        <f ca="1">SUMIFS(TableDailySummary[Inversión meta ads],TableDailySummary[Fecha],"&gt;="&amp;TableWeeklySummary[[#This Row],[Desde]],TableDailySummary[Fecha],"&lt;="&amp;TableWeeklySummary[[#This Row],[Hasta]])</f>
        <v>0</v>
      </c>
      <c r="W240" s="12">
        <f ca="1">SUMIFS(TableDailySummary[Ventas meta ads],TableDailySummary[Fecha],"&gt;="&amp;TableWeeklySummary[[#This Row],[Desde]],TableDailySummary[Fecha],"&lt;="&amp;TableWeeklySummary[[#This Row],[Hasta]])</f>
        <v>0</v>
      </c>
      <c r="X240" s="12">
        <f ca="1">TableWeeklySummary[[#This Row],[Inversión google ads]]+TableWeeklySummary[[#This Row],[Inversión meta ads]]</f>
        <v>0</v>
      </c>
      <c r="Y240" s="12">
        <f ca="1">TableWeeklySummary[[#This Row],[Ventas google ads]]+TableWeeklySummary[[#This Row],[Ventas meta ads]]</f>
        <v>0</v>
      </c>
      <c r="Z240" s="14">
        <f ca="1">IFERROR(TableWeeklySummary[[#This Row],[Ventas publicidad]]/TableWeeklySummary[[#This Row],[Inversión publicidad]],0)</f>
        <v>0</v>
      </c>
      <c r="AA240" s="14">
        <f ca="1">IFERROR(TableWeeklySummary[[#This Row],[Ventas primer cliente]]/TableWeeklySummary[[#This Row],[Inversión publicidad]],0)</f>
        <v>0</v>
      </c>
      <c r="AB240" s="14"/>
      <c r="AC240" s="12"/>
      <c r="AI24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4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40" s="12">
        <f ca="1">SUMIFS(TableDailySummary[Utilidad bruta],TableDailySummary[Fecha],"&gt;="&amp;TableWeeklySummary[[#This Row],[Desde]],TableDailySummary[Fecha],"&lt;="&amp;TableWeeklySummary[[#This Row],[Hasta]])</f>
        <v>0</v>
      </c>
      <c r="AL240" s="18">
        <f ca="1">IFERROR(TableWeeklySummary[[#This Row],[Utilidad bruta]]/TableWeeklySummary[[#This Row],[Ventas netas con costo registrado]],0)</f>
        <v>0</v>
      </c>
    </row>
    <row r="241" spans="2:38" x14ac:dyDescent="0.2">
      <c r="B241" s="16">
        <f ca="1">_xlfn.ISOWEEKNUM(TableWeeklySummary[[#This Row],[Hasta]])</f>
        <v>18</v>
      </c>
      <c r="C241" s="6">
        <f t="shared" ca="1" si="5"/>
        <v>47599</v>
      </c>
      <c r="D241" s="6">
        <f ca="1">TableWeeklySummary[[#This Row],[Desde]]+7-1</f>
        <v>47605</v>
      </c>
      <c r="E241" s="12">
        <f ca="1">SUMIFS(TableDailySummary[Ventas netas totales],TableDailySummary[Fecha],"&gt;="&amp;TableWeeklySummary[[#This Row],[Desde]],TableDailySummary[Fecha],"&lt;="&amp;TableWeeklySummary[[#This Row],[Hasta]])</f>
        <v>0</v>
      </c>
      <c r="F241" s="12">
        <f ca="1">SUMIFS(TableDailySummary[Órdenes totales],TableDailySummary[Fecha],"&gt;="&amp;TableWeeklySummary[[#This Row],[Desde]],TableDailySummary[Fecha],"&lt;="&amp;TableWeeklySummary[[#This Row],[Hasta]])</f>
        <v>0</v>
      </c>
      <c r="G241" s="12">
        <f ca="1">IFERROR(TableWeeklySummary[[#This Row],[Ventas netas totales]]/TableWeeklySummary[[#This Row],[Órdenes totales]],0)</f>
        <v>0</v>
      </c>
      <c r="H24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41" s="12">
        <f ca="1">TableWeeklySummary[[#This Row],[Órden promedio totales]]*TableWeeklySummary[[#This Row],[CR totales]]</f>
        <v>0</v>
      </c>
      <c r="J241" s="12">
        <f ca="1">SUMIFS(TableDailySummary[Ventas primer cliente],TableDailySummary[Fecha],"&gt;="&amp;TableWeeklySummary[[#This Row],[Desde]],TableDailySummary[Fecha],"&lt;="&amp;TableWeeklySummary[[#This Row],[Hasta]])</f>
        <v>0</v>
      </c>
      <c r="K241" s="12">
        <f ca="1">SUMIFS(TableDailySummary[Órdenes primer cliente],TableDailySummary[Fecha],"&gt;="&amp;TableWeeklySummary[[#This Row],[Desde]],TableDailySummary[Fecha],"&lt;="&amp;TableWeeklySummary[[#This Row],[Hasta]])</f>
        <v>0</v>
      </c>
      <c r="L241" s="12">
        <f ca="1">SUMIFS(TableDailySummary[Online Store_net_sales],TableDailySummary[Fecha],"&gt;="&amp;TableWeeklySummary[[#This Row],[Desde]],TableDailySummary[Fecha],"&lt;="&amp;TableWeeklySummary[[#This Row],[Hasta]])</f>
        <v>0</v>
      </c>
      <c r="M241" s="12">
        <f ca="1">SUMIFS(TableDailySummary[Online Store_orders],TableDailySummary[Fecha],"&gt;="&amp;TableWeeklySummary[[#This Row],[Desde]],TableDailySummary[Fecha],"&lt;="&amp;TableWeeklySummary[[#This Row],[Hasta]])</f>
        <v>0</v>
      </c>
      <c r="N241" s="12">
        <f ca="1">SUMIFS(TableDailySummary[Tienda 81_net_sales],TableDailySummary[Fecha],"&gt;="&amp;TableWeeklySummary[[#This Row],[Desde]],TableDailySummary[Fecha],"&lt;="&amp;TableWeeklySummary[[#This Row],[Hasta]])</f>
        <v>0</v>
      </c>
      <c r="O241" s="12">
        <f ca="1">SUMIFS(TableDailySummary[Tienda 81_orders],TableDailySummary[Fecha],"&gt;="&amp;TableWeeklySummary[[#This Row],[Desde]],TableDailySummary[Fecha],"&lt;="&amp;TableWeeklySummary[[#This Row],[Hasta]])</f>
        <v>0</v>
      </c>
      <c r="P241" s="12">
        <f ca="1">SUMIFS(TableDailySummary[Rappi_net_sales],TableDailySummary[Fecha],"&gt;="&amp;TableWeeklySummary[[#This Row],[Desde]],TableDailySummary[Fecha],"&lt;="&amp;TableWeeklySummary[[#This Row],[Hasta]])</f>
        <v>0</v>
      </c>
      <c r="Q241" s="12">
        <f ca="1">SUMIFS(TableDailySummary[Rappi_orders],TableDailySummary[Fecha],"&gt;="&amp;TableWeeklySummary[[#This Row],[Desde]],TableDailySummary[Fecha],"&lt;="&amp;TableWeeklySummary[[#This Row],[Hasta]])</f>
        <v>0</v>
      </c>
      <c r="R24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4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41" s="12">
        <f ca="1">SUMIFS(TableDailySummary[Inversión google ads],TableDailySummary[Fecha],"&gt;="&amp;TableWeeklySummary[[#This Row],[Desde]],TableDailySummary[Fecha],"&lt;="&amp;TableWeeklySummary[[#This Row],[Hasta]])</f>
        <v>0</v>
      </c>
      <c r="U241" s="12">
        <f ca="1">SUMIFS(TableDailySummary[Ventas google ads],TableDailySummary[Fecha],"&gt;="&amp;TableWeeklySummary[[#This Row],[Desde]],TableDailySummary[Fecha],"&lt;="&amp;TableWeeklySummary[[#This Row],[Hasta]])</f>
        <v>0</v>
      </c>
      <c r="V241" s="12">
        <f ca="1">SUMIFS(TableDailySummary[Inversión meta ads],TableDailySummary[Fecha],"&gt;="&amp;TableWeeklySummary[[#This Row],[Desde]],TableDailySummary[Fecha],"&lt;="&amp;TableWeeklySummary[[#This Row],[Hasta]])</f>
        <v>0</v>
      </c>
      <c r="W241" s="12">
        <f ca="1">SUMIFS(TableDailySummary[Ventas meta ads],TableDailySummary[Fecha],"&gt;="&amp;TableWeeklySummary[[#This Row],[Desde]],TableDailySummary[Fecha],"&lt;="&amp;TableWeeklySummary[[#This Row],[Hasta]])</f>
        <v>0</v>
      </c>
      <c r="X241" s="12">
        <f ca="1">TableWeeklySummary[[#This Row],[Inversión google ads]]+TableWeeklySummary[[#This Row],[Inversión meta ads]]</f>
        <v>0</v>
      </c>
      <c r="Y241" s="12">
        <f ca="1">TableWeeklySummary[[#This Row],[Ventas google ads]]+TableWeeklySummary[[#This Row],[Ventas meta ads]]</f>
        <v>0</v>
      </c>
      <c r="Z241" s="14">
        <f ca="1">IFERROR(TableWeeklySummary[[#This Row],[Ventas publicidad]]/TableWeeklySummary[[#This Row],[Inversión publicidad]],0)</f>
        <v>0</v>
      </c>
      <c r="AA241" s="14">
        <f ca="1">IFERROR(TableWeeklySummary[[#This Row],[Ventas primer cliente]]/TableWeeklySummary[[#This Row],[Inversión publicidad]],0)</f>
        <v>0</v>
      </c>
      <c r="AB241" s="14"/>
      <c r="AC241" s="12"/>
      <c r="AI24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4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41" s="12">
        <f ca="1">SUMIFS(TableDailySummary[Utilidad bruta],TableDailySummary[Fecha],"&gt;="&amp;TableWeeklySummary[[#This Row],[Desde]],TableDailySummary[Fecha],"&lt;="&amp;TableWeeklySummary[[#This Row],[Hasta]])</f>
        <v>0</v>
      </c>
      <c r="AL241" s="18">
        <f ca="1">IFERROR(TableWeeklySummary[[#This Row],[Utilidad bruta]]/TableWeeklySummary[[#This Row],[Ventas netas con costo registrado]],0)</f>
        <v>0</v>
      </c>
    </row>
    <row r="242" spans="2:38" x14ac:dyDescent="0.2">
      <c r="B242" s="16">
        <f ca="1">_xlfn.ISOWEEKNUM(TableWeeklySummary[[#This Row],[Hasta]])</f>
        <v>19</v>
      </c>
      <c r="C242" s="6">
        <f t="shared" ca="1" si="5"/>
        <v>47606</v>
      </c>
      <c r="D242" s="6">
        <f ca="1">TableWeeklySummary[[#This Row],[Desde]]+7-1</f>
        <v>47612</v>
      </c>
      <c r="E242" s="12">
        <f ca="1">SUMIFS(TableDailySummary[Ventas netas totales],TableDailySummary[Fecha],"&gt;="&amp;TableWeeklySummary[[#This Row],[Desde]],TableDailySummary[Fecha],"&lt;="&amp;TableWeeklySummary[[#This Row],[Hasta]])</f>
        <v>0</v>
      </c>
      <c r="F242" s="12">
        <f ca="1">SUMIFS(TableDailySummary[Órdenes totales],TableDailySummary[Fecha],"&gt;="&amp;TableWeeklySummary[[#This Row],[Desde]],TableDailySummary[Fecha],"&lt;="&amp;TableWeeklySummary[[#This Row],[Hasta]])</f>
        <v>0</v>
      </c>
      <c r="G242" s="12">
        <f ca="1">IFERROR(TableWeeklySummary[[#This Row],[Ventas netas totales]]/TableWeeklySummary[[#This Row],[Órdenes totales]],0)</f>
        <v>0</v>
      </c>
      <c r="H24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42" s="12">
        <f ca="1">TableWeeklySummary[[#This Row],[Órden promedio totales]]*TableWeeklySummary[[#This Row],[CR totales]]</f>
        <v>0</v>
      </c>
      <c r="J242" s="12">
        <f ca="1">SUMIFS(TableDailySummary[Ventas primer cliente],TableDailySummary[Fecha],"&gt;="&amp;TableWeeklySummary[[#This Row],[Desde]],TableDailySummary[Fecha],"&lt;="&amp;TableWeeklySummary[[#This Row],[Hasta]])</f>
        <v>0</v>
      </c>
      <c r="K242" s="12">
        <f ca="1">SUMIFS(TableDailySummary[Órdenes primer cliente],TableDailySummary[Fecha],"&gt;="&amp;TableWeeklySummary[[#This Row],[Desde]],TableDailySummary[Fecha],"&lt;="&amp;TableWeeklySummary[[#This Row],[Hasta]])</f>
        <v>0</v>
      </c>
      <c r="L242" s="12">
        <f ca="1">SUMIFS(TableDailySummary[Online Store_net_sales],TableDailySummary[Fecha],"&gt;="&amp;TableWeeklySummary[[#This Row],[Desde]],TableDailySummary[Fecha],"&lt;="&amp;TableWeeklySummary[[#This Row],[Hasta]])</f>
        <v>0</v>
      </c>
      <c r="M242" s="12">
        <f ca="1">SUMIFS(TableDailySummary[Online Store_orders],TableDailySummary[Fecha],"&gt;="&amp;TableWeeklySummary[[#This Row],[Desde]],TableDailySummary[Fecha],"&lt;="&amp;TableWeeklySummary[[#This Row],[Hasta]])</f>
        <v>0</v>
      </c>
      <c r="N242" s="12">
        <f ca="1">SUMIFS(TableDailySummary[Tienda 81_net_sales],TableDailySummary[Fecha],"&gt;="&amp;TableWeeklySummary[[#This Row],[Desde]],TableDailySummary[Fecha],"&lt;="&amp;TableWeeklySummary[[#This Row],[Hasta]])</f>
        <v>0</v>
      </c>
      <c r="O242" s="12">
        <f ca="1">SUMIFS(TableDailySummary[Tienda 81_orders],TableDailySummary[Fecha],"&gt;="&amp;TableWeeklySummary[[#This Row],[Desde]],TableDailySummary[Fecha],"&lt;="&amp;TableWeeklySummary[[#This Row],[Hasta]])</f>
        <v>0</v>
      </c>
      <c r="P242" s="12">
        <f ca="1">SUMIFS(TableDailySummary[Rappi_net_sales],TableDailySummary[Fecha],"&gt;="&amp;TableWeeklySummary[[#This Row],[Desde]],TableDailySummary[Fecha],"&lt;="&amp;TableWeeklySummary[[#This Row],[Hasta]])</f>
        <v>0</v>
      </c>
      <c r="Q242" s="12">
        <f ca="1">SUMIFS(TableDailySummary[Rappi_orders],TableDailySummary[Fecha],"&gt;="&amp;TableWeeklySummary[[#This Row],[Desde]],TableDailySummary[Fecha],"&lt;="&amp;TableWeeklySummary[[#This Row],[Hasta]])</f>
        <v>0</v>
      </c>
      <c r="R24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4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42" s="12">
        <f ca="1">SUMIFS(TableDailySummary[Inversión google ads],TableDailySummary[Fecha],"&gt;="&amp;TableWeeklySummary[[#This Row],[Desde]],TableDailySummary[Fecha],"&lt;="&amp;TableWeeklySummary[[#This Row],[Hasta]])</f>
        <v>0</v>
      </c>
      <c r="U242" s="12">
        <f ca="1">SUMIFS(TableDailySummary[Ventas google ads],TableDailySummary[Fecha],"&gt;="&amp;TableWeeklySummary[[#This Row],[Desde]],TableDailySummary[Fecha],"&lt;="&amp;TableWeeklySummary[[#This Row],[Hasta]])</f>
        <v>0</v>
      </c>
      <c r="V242" s="12">
        <f ca="1">SUMIFS(TableDailySummary[Inversión meta ads],TableDailySummary[Fecha],"&gt;="&amp;TableWeeklySummary[[#This Row],[Desde]],TableDailySummary[Fecha],"&lt;="&amp;TableWeeklySummary[[#This Row],[Hasta]])</f>
        <v>0</v>
      </c>
      <c r="W242" s="12">
        <f ca="1">SUMIFS(TableDailySummary[Ventas meta ads],TableDailySummary[Fecha],"&gt;="&amp;TableWeeklySummary[[#This Row],[Desde]],TableDailySummary[Fecha],"&lt;="&amp;TableWeeklySummary[[#This Row],[Hasta]])</f>
        <v>0</v>
      </c>
      <c r="X242" s="12">
        <f ca="1">TableWeeklySummary[[#This Row],[Inversión google ads]]+TableWeeklySummary[[#This Row],[Inversión meta ads]]</f>
        <v>0</v>
      </c>
      <c r="Y242" s="12">
        <f ca="1">TableWeeklySummary[[#This Row],[Ventas google ads]]+TableWeeklySummary[[#This Row],[Ventas meta ads]]</f>
        <v>0</v>
      </c>
      <c r="Z242" s="14">
        <f ca="1">IFERROR(TableWeeklySummary[[#This Row],[Ventas publicidad]]/TableWeeklySummary[[#This Row],[Inversión publicidad]],0)</f>
        <v>0</v>
      </c>
      <c r="AA242" s="14">
        <f ca="1">IFERROR(TableWeeklySummary[[#This Row],[Ventas primer cliente]]/TableWeeklySummary[[#This Row],[Inversión publicidad]],0)</f>
        <v>0</v>
      </c>
      <c r="AB242" s="14"/>
      <c r="AC242" s="12"/>
      <c r="AI24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4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42" s="12">
        <f ca="1">SUMIFS(TableDailySummary[Utilidad bruta],TableDailySummary[Fecha],"&gt;="&amp;TableWeeklySummary[[#This Row],[Desde]],TableDailySummary[Fecha],"&lt;="&amp;TableWeeklySummary[[#This Row],[Hasta]])</f>
        <v>0</v>
      </c>
      <c r="AL242" s="18">
        <f ca="1">IFERROR(TableWeeklySummary[[#This Row],[Utilidad bruta]]/TableWeeklySummary[[#This Row],[Ventas netas con costo registrado]],0)</f>
        <v>0</v>
      </c>
    </row>
    <row r="243" spans="2:38" x14ac:dyDescent="0.2">
      <c r="B243" s="16">
        <f ca="1">_xlfn.ISOWEEKNUM(TableWeeklySummary[[#This Row],[Hasta]])</f>
        <v>20</v>
      </c>
      <c r="C243" s="6">
        <f t="shared" ca="1" si="5"/>
        <v>47613</v>
      </c>
      <c r="D243" s="6">
        <f ca="1">TableWeeklySummary[[#This Row],[Desde]]+7-1</f>
        <v>47619</v>
      </c>
      <c r="E243" s="12">
        <f ca="1">SUMIFS(TableDailySummary[Ventas netas totales],TableDailySummary[Fecha],"&gt;="&amp;TableWeeklySummary[[#This Row],[Desde]],TableDailySummary[Fecha],"&lt;="&amp;TableWeeklySummary[[#This Row],[Hasta]])</f>
        <v>0</v>
      </c>
      <c r="F243" s="12">
        <f ca="1">SUMIFS(TableDailySummary[Órdenes totales],TableDailySummary[Fecha],"&gt;="&amp;TableWeeklySummary[[#This Row],[Desde]],TableDailySummary[Fecha],"&lt;="&amp;TableWeeklySummary[[#This Row],[Hasta]])</f>
        <v>0</v>
      </c>
      <c r="G243" s="12">
        <f ca="1">IFERROR(TableWeeklySummary[[#This Row],[Ventas netas totales]]/TableWeeklySummary[[#This Row],[Órdenes totales]],0)</f>
        <v>0</v>
      </c>
      <c r="H24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43" s="12">
        <f ca="1">TableWeeklySummary[[#This Row],[Órden promedio totales]]*TableWeeklySummary[[#This Row],[CR totales]]</f>
        <v>0</v>
      </c>
      <c r="J243" s="12">
        <f ca="1">SUMIFS(TableDailySummary[Ventas primer cliente],TableDailySummary[Fecha],"&gt;="&amp;TableWeeklySummary[[#This Row],[Desde]],TableDailySummary[Fecha],"&lt;="&amp;TableWeeklySummary[[#This Row],[Hasta]])</f>
        <v>0</v>
      </c>
      <c r="K243" s="12">
        <f ca="1">SUMIFS(TableDailySummary[Órdenes primer cliente],TableDailySummary[Fecha],"&gt;="&amp;TableWeeklySummary[[#This Row],[Desde]],TableDailySummary[Fecha],"&lt;="&amp;TableWeeklySummary[[#This Row],[Hasta]])</f>
        <v>0</v>
      </c>
      <c r="L243" s="12">
        <f ca="1">SUMIFS(TableDailySummary[Online Store_net_sales],TableDailySummary[Fecha],"&gt;="&amp;TableWeeklySummary[[#This Row],[Desde]],TableDailySummary[Fecha],"&lt;="&amp;TableWeeklySummary[[#This Row],[Hasta]])</f>
        <v>0</v>
      </c>
      <c r="M243" s="12">
        <f ca="1">SUMIFS(TableDailySummary[Online Store_orders],TableDailySummary[Fecha],"&gt;="&amp;TableWeeklySummary[[#This Row],[Desde]],TableDailySummary[Fecha],"&lt;="&amp;TableWeeklySummary[[#This Row],[Hasta]])</f>
        <v>0</v>
      </c>
      <c r="N243" s="12">
        <f ca="1">SUMIFS(TableDailySummary[Tienda 81_net_sales],TableDailySummary[Fecha],"&gt;="&amp;TableWeeklySummary[[#This Row],[Desde]],TableDailySummary[Fecha],"&lt;="&amp;TableWeeklySummary[[#This Row],[Hasta]])</f>
        <v>0</v>
      </c>
      <c r="O243" s="12">
        <f ca="1">SUMIFS(TableDailySummary[Tienda 81_orders],TableDailySummary[Fecha],"&gt;="&amp;TableWeeklySummary[[#This Row],[Desde]],TableDailySummary[Fecha],"&lt;="&amp;TableWeeklySummary[[#This Row],[Hasta]])</f>
        <v>0</v>
      </c>
      <c r="P243" s="12">
        <f ca="1">SUMIFS(TableDailySummary[Rappi_net_sales],TableDailySummary[Fecha],"&gt;="&amp;TableWeeklySummary[[#This Row],[Desde]],TableDailySummary[Fecha],"&lt;="&amp;TableWeeklySummary[[#This Row],[Hasta]])</f>
        <v>0</v>
      </c>
      <c r="Q243" s="12">
        <f ca="1">SUMIFS(TableDailySummary[Rappi_orders],TableDailySummary[Fecha],"&gt;="&amp;TableWeeklySummary[[#This Row],[Desde]],TableDailySummary[Fecha],"&lt;="&amp;TableWeeklySummary[[#This Row],[Hasta]])</f>
        <v>0</v>
      </c>
      <c r="R24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4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43" s="12">
        <f ca="1">SUMIFS(TableDailySummary[Inversión google ads],TableDailySummary[Fecha],"&gt;="&amp;TableWeeklySummary[[#This Row],[Desde]],TableDailySummary[Fecha],"&lt;="&amp;TableWeeklySummary[[#This Row],[Hasta]])</f>
        <v>0</v>
      </c>
      <c r="U243" s="12">
        <f ca="1">SUMIFS(TableDailySummary[Ventas google ads],TableDailySummary[Fecha],"&gt;="&amp;TableWeeklySummary[[#This Row],[Desde]],TableDailySummary[Fecha],"&lt;="&amp;TableWeeklySummary[[#This Row],[Hasta]])</f>
        <v>0</v>
      </c>
      <c r="V243" s="12">
        <f ca="1">SUMIFS(TableDailySummary[Inversión meta ads],TableDailySummary[Fecha],"&gt;="&amp;TableWeeklySummary[[#This Row],[Desde]],TableDailySummary[Fecha],"&lt;="&amp;TableWeeklySummary[[#This Row],[Hasta]])</f>
        <v>0</v>
      </c>
      <c r="W243" s="12">
        <f ca="1">SUMIFS(TableDailySummary[Ventas meta ads],TableDailySummary[Fecha],"&gt;="&amp;TableWeeklySummary[[#This Row],[Desde]],TableDailySummary[Fecha],"&lt;="&amp;TableWeeklySummary[[#This Row],[Hasta]])</f>
        <v>0</v>
      </c>
      <c r="X243" s="12">
        <f ca="1">TableWeeklySummary[[#This Row],[Inversión google ads]]+TableWeeklySummary[[#This Row],[Inversión meta ads]]</f>
        <v>0</v>
      </c>
      <c r="Y243" s="12">
        <f ca="1">TableWeeklySummary[[#This Row],[Ventas google ads]]+TableWeeklySummary[[#This Row],[Ventas meta ads]]</f>
        <v>0</v>
      </c>
      <c r="Z243" s="14">
        <f ca="1">IFERROR(TableWeeklySummary[[#This Row],[Ventas publicidad]]/TableWeeklySummary[[#This Row],[Inversión publicidad]],0)</f>
        <v>0</v>
      </c>
      <c r="AA243" s="14">
        <f ca="1">IFERROR(TableWeeklySummary[[#This Row],[Ventas primer cliente]]/TableWeeklySummary[[#This Row],[Inversión publicidad]],0)</f>
        <v>0</v>
      </c>
      <c r="AB243" s="14"/>
      <c r="AC243" s="12"/>
      <c r="AI24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4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43" s="12">
        <f ca="1">SUMIFS(TableDailySummary[Utilidad bruta],TableDailySummary[Fecha],"&gt;="&amp;TableWeeklySummary[[#This Row],[Desde]],TableDailySummary[Fecha],"&lt;="&amp;TableWeeklySummary[[#This Row],[Hasta]])</f>
        <v>0</v>
      </c>
      <c r="AL243" s="18">
        <f ca="1">IFERROR(TableWeeklySummary[[#This Row],[Utilidad bruta]]/TableWeeklySummary[[#This Row],[Ventas netas con costo registrado]],0)</f>
        <v>0</v>
      </c>
    </row>
    <row r="244" spans="2:38" x14ac:dyDescent="0.2">
      <c r="B244" s="16">
        <f ca="1">_xlfn.ISOWEEKNUM(TableWeeklySummary[[#This Row],[Hasta]])</f>
        <v>21</v>
      </c>
      <c r="C244" s="6">
        <f t="shared" ca="1" si="5"/>
        <v>47620</v>
      </c>
      <c r="D244" s="6">
        <f ca="1">TableWeeklySummary[[#This Row],[Desde]]+7-1</f>
        <v>47626</v>
      </c>
      <c r="E244" s="12">
        <f ca="1">SUMIFS(TableDailySummary[Ventas netas totales],TableDailySummary[Fecha],"&gt;="&amp;TableWeeklySummary[[#This Row],[Desde]],TableDailySummary[Fecha],"&lt;="&amp;TableWeeklySummary[[#This Row],[Hasta]])</f>
        <v>0</v>
      </c>
      <c r="F244" s="12">
        <f ca="1">SUMIFS(TableDailySummary[Órdenes totales],TableDailySummary[Fecha],"&gt;="&amp;TableWeeklySummary[[#This Row],[Desde]],TableDailySummary[Fecha],"&lt;="&amp;TableWeeklySummary[[#This Row],[Hasta]])</f>
        <v>0</v>
      </c>
      <c r="G244" s="12">
        <f ca="1">IFERROR(TableWeeklySummary[[#This Row],[Ventas netas totales]]/TableWeeklySummary[[#This Row],[Órdenes totales]],0)</f>
        <v>0</v>
      </c>
      <c r="H24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44" s="12">
        <f ca="1">TableWeeklySummary[[#This Row],[Órden promedio totales]]*TableWeeklySummary[[#This Row],[CR totales]]</f>
        <v>0</v>
      </c>
      <c r="J244" s="12">
        <f ca="1">SUMIFS(TableDailySummary[Ventas primer cliente],TableDailySummary[Fecha],"&gt;="&amp;TableWeeklySummary[[#This Row],[Desde]],TableDailySummary[Fecha],"&lt;="&amp;TableWeeklySummary[[#This Row],[Hasta]])</f>
        <v>0</v>
      </c>
      <c r="K244" s="12">
        <f ca="1">SUMIFS(TableDailySummary[Órdenes primer cliente],TableDailySummary[Fecha],"&gt;="&amp;TableWeeklySummary[[#This Row],[Desde]],TableDailySummary[Fecha],"&lt;="&amp;TableWeeklySummary[[#This Row],[Hasta]])</f>
        <v>0</v>
      </c>
      <c r="L244" s="12">
        <f ca="1">SUMIFS(TableDailySummary[Online Store_net_sales],TableDailySummary[Fecha],"&gt;="&amp;TableWeeklySummary[[#This Row],[Desde]],TableDailySummary[Fecha],"&lt;="&amp;TableWeeklySummary[[#This Row],[Hasta]])</f>
        <v>0</v>
      </c>
      <c r="M244" s="12">
        <f ca="1">SUMIFS(TableDailySummary[Online Store_orders],TableDailySummary[Fecha],"&gt;="&amp;TableWeeklySummary[[#This Row],[Desde]],TableDailySummary[Fecha],"&lt;="&amp;TableWeeklySummary[[#This Row],[Hasta]])</f>
        <v>0</v>
      </c>
      <c r="N244" s="12">
        <f ca="1">SUMIFS(TableDailySummary[Tienda 81_net_sales],TableDailySummary[Fecha],"&gt;="&amp;TableWeeklySummary[[#This Row],[Desde]],TableDailySummary[Fecha],"&lt;="&amp;TableWeeklySummary[[#This Row],[Hasta]])</f>
        <v>0</v>
      </c>
      <c r="O244" s="12">
        <f ca="1">SUMIFS(TableDailySummary[Tienda 81_orders],TableDailySummary[Fecha],"&gt;="&amp;TableWeeklySummary[[#This Row],[Desde]],TableDailySummary[Fecha],"&lt;="&amp;TableWeeklySummary[[#This Row],[Hasta]])</f>
        <v>0</v>
      </c>
      <c r="P244" s="12">
        <f ca="1">SUMIFS(TableDailySummary[Rappi_net_sales],TableDailySummary[Fecha],"&gt;="&amp;TableWeeklySummary[[#This Row],[Desde]],TableDailySummary[Fecha],"&lt;="&amp;TableWeeklySummary[[#This Row],[Hasta]])</f>
        <v>0</v>
      </c>
      <c r="Q244" s="12">
        <f ca="1">SUMIFS(TableDailySummary[Rappi_orders],TableDailySummary[Fecha],"&gt;="&amp;TableWeeklySummary[[#This Row],[Desde]],TableDailySummary[Fecha],"&lt;="&amp;TableWeeklySummary[[#This Row],[Hasta]])</f>
        <v>0</v>
      </c>
      <c r="R24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4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44" s="12">
        <f ca="1">SUMIFS(TableDailySummary[Inversión google ads],TableDailySummary[Fecha],"&gt;="&amp;TableWeeklySummary[[#This Row],[Desde]],TableDailySummary[Fecha],"&lt;="&amp;TableWeeklySummary[[#This Row],[Hasta]])</f>
        <v>0</v>
      </c>
      <c r="U244" s="12">
        <f ca="1">SUMIFS(TableDailySummary[Ventas google ads],TableDailySummary[Fecha],"&gt;="&amp;TableWeeklySummary[[#This Row],[Desde]],TableDailySummary[Fecha],"&lt;="&amp;TableWeeklySummary[[#This Row],[Hasta]])</f>
        <v>0</v>
      </c>
      <c r="V244" s="12">
        <f ca="1">SUMIFS(TableDailySummary[Inversión meta ads],TableDailySummary[Fecha],"&gt;="&amp;TableWeeklySummary[[#This Row],[Desde]],TableDailySummary[Fecha],"&lt;="&amp;TableWeeklySummary[[#This Row],[Hasta]])</f>
        <v>0</v>
      </c>
      <c r="W244" s="12">
        <f ca="1">SUMIFS(TableDailySummary[Ventas meta ads],TableDailySummary[Fecha],"&gt;="&amp;TableWeeklySummary[[#This Row],[Desde]],TableDailySummary[Fecha],"&lt;="&amp;TableWeeklySummary[[#This Row],[Hasta]])</f>
        <v>0</v>
      </c>
      <c r="X244" s="12">
        <f ca="1">TableWeeklySummary[[#This Row],[Inversión google ads]]+TableWeeklySummary[[#This Row],[Inversión meta ads]]</f>
        <v>0</v>
      </c>
      <c r="Y244" s="12">
        <f ca="1">TableWeeklySummary[[#This Row],[Ventas google ads]]+TableWeeklySummary[[#This Row],[Ventas meta ads]]</f>
        <v>0</v>
      </c>
      <c r="Z244" s="14">
        <f ca="1">IFERROR(TableWeeklySummary[[#This Row],[Ventas publicidad]]/TableWeeklySummary[[#This Row],[Inversión publicidad]],0)</f>
        <v>0</v>
      </c>
      <c r="AA244" s="14">
        <f ca="1">IFERROR(TableWeeklySummary[[#This Row],[Ventas primer cliente]]/TableWeeklySummary[[#This Row],[Inversión publicidad]],0)</f>
        <v>0</v>
      </c>
      <c r="AB244" s="14"/>
      <c r="AC244" s="12"/>
      <c r="AI24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4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44" s="12">
        <f ca="1">SUMIFS(TableDailySummary[Utilidad bruta],TableDailySummary[Fecha],"&gt;="&amp;TableWeeklySummary[[#This Row],[Desde]],TableDailySummary[Fecha],"&lt;="&amp;TableWeeklySummary[[#This Row],[Hasta]])</f>
        <v>0</v>
      </c>
      <c r="AL244" s="18">
        <f ca="1">IFERROR(TableWeeklySummary[[#This Row],[Utilidad bruta]]/TableWeeklySummary[[#This Row],[Ventas netas con costo registrado]],0)</f>
        <v>0</v>
      </c>
    </row>
    <row r="245" spans="2:38" x14ac:dyDescent="0.2">
      <c r="B245" s="16">
        <f ca="1">_xlfn.ISOWEEKNUM(TableWeeklySummary[[#This Row],[Hasta]])</f>
        <v>22</v>
      </c>
      <c r="C245" s="6">
        <f t="shared" ca="1" si="5"/>
        <v>47627</v>
      </c>
      <c r="D245" s="6">
        <f ca="1">TableWeeklySummary[[#This Row],[Desde]]+7-1</f>
        <v>47633</v>
      </c>
      <c r="E245" s="12">
        <f ca="1">SUMIFS(TableDailySummary[Ventas netas totales],TableDailySummary[Fecha],"&gt;="&amp;TableWeeklySummary[[#This Row],[Desde]],TableDailySummary[Fecha],"&lt;="&amp;TableWeeklySummary[[#This Row],[Hasta]])</f>
        <v>0</v>
      </c>
      <c r="F245" s="12">
        <f ca="1">SUMIFS(TableDailySummary[Órdenes totales],TableDailySummary[Fecha],"&gt;="&amp;TableWeeklySummary[[#This Row],[Desde]],TableDailySummary[Fecha],"&lt;="&amp;TableWeeklySummary[[#This Row],[Hasta]])</f>
        <v>0</v>
      </c>
      <c r="G245" s="12">
        <f ca="1">IFERROR(TableWeeklySummary[[#This Row],[Ventas netas totales]]/TableWeeklySummary[[#This Row],[Órdenes totales]],0)</f>
        <v>0</v>
      </c>
      <c r="H24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45" s="12">
        <f ca="1">TableWeeklySummary[[#This Row],[Órden promedio totales]]*TableWeeklySummary[[#This Row],[CR totales]]</f>
        <v>0</v>
      </c>
      <c r="J245" s="12">
        <f ca="1">SUMIFS(TableDailySummary[Ventas primer cliente],TableDailySummary[Fecha],"&gt;="&amp;TableWeeklySummary[[#This Row],[Desde]],TableDailySummary[Fecha],"&lt;="&amp;TableWeeklySummary[[#This Row],[Hasta]])</f>
        <v>0</v>
      </c>
      <c r="K245" s="12">
        <f ca="1">SUMIFS(TableDailySummary[Órdenes primer cliente],TableDailySummary[Fecha],"&gt;="&amp;TableWeeklySummary[[#This Row],[Desde]],TableDailySummary[Fecha],"&lt;="&amp;TableWeeklySummary[[#This Row],[Hasta]])</f>
        <v>0</v>
      </c>
      <c r="L245" s="12">
        <f ca="1">SUMIFS(TableDailySummary[Online Store_net_sales],TableDailySummary[Fecha],"&gt;="&amp;TableWeeklySummary[[#This Row],[Desde]],TableDailySummary[Fecha],"&lt;="&amp;TableWeeklySummary[[#This Row],[Hasta]])</f>
        <v>0</v>
      </c>
      <c r="M245" s="12">
        <f ca="1">SUMIFS(TableDailySummary[Online Store_orders],TableDailySummary[Fecha],"&gt;="&amp;TableWeeklySummary[[#This Row],[Desde]],TableDailySummary[Fecha],"&lt;="&amp;TableWeeklySummary[[#This Row],[Hasta]])</f>
        <v>0</v>
      </c>
      <c r="N245" s="12">
        <f ca="1">SUMIFS(TableDailySummary[Tienda 81_net_sales],TableDailySummary[Fecha],"&gt;="&amp;TableWeeklySummary[[#This Row],[Desde]],TableDailySummary[Fecha],"&lt;="&amp;TableWeeklySummary[[#This Row],[Hasta]])</f>
        <v>0</v>
      </c>
      <c r="O245" s="12">
        <f ca="1">SUMIFS(TableDailySummary[Tienda 81_orders],TableDailySummary[Fecha],"&gt;="&amp;TableWeeklySummary[[#This Row],[Desde]],TableDailySummary[Fecha],"&lt;="&amp;TableWeeklySummary[[#This Row],[Hasta]])</f>
        <v>0</v>
      </c>
      <c r="P245" s="12">
        <f ca="1">SUMIFS(TableDailySummary[Rappi_net_sales],TableDailySummary[Fecha],"&gt;="&amp;TableWeeklySummary[[#This Row],[Desde]],TableDailySummary[Fecha],"&lt;="&amp;TableWeeklySummary[[#This Row],[Hasta]])</f>
        <v>0</v>
      </c>
      <c r="Q245" s="12">
        <f ca="1">SUMIFS(TableDailySummary[Rappi_orders],TableDailySummary[Fecha],"&gt;="&amp;TableWeeklySummary[[#This Row],[Desde]],TableDailySummary[Fecha],"&lt;="&amp;TableWeeklySummary[[#This Row],[Hasta]])</f>
        <v>0</v>
      </c>
      <c r="R24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4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45" s="12">
        <f ca="1">SUMIFS(TableDailySummary[Inversión google ads],TableDailySummary[Fecha],"&gt;="&amp;TableWeeklySummary[[#This Row],[Desde]],TableDailySummary[Fecha],"&lt;="&amp;TableWeeklySummary[[#This Row],[Hasta]])</f>
        <v>0</v>
      </c>
      <c r="U245" s="12">
        <f ca="1">SUMIFS(TableDailySummary[Ventas google ads],TableDailySummary[Fecha],"&gt;="&amp;TableWeeklySummary[[#This Row],[Desde]],TableDailySummary[Fecha],"&lt;="&amp;TableWeeklySummary[[#This Row],[Hasta]])</f>
        <v>0</v>
      </c>
      <c r="V245" s="12">
        <f ca="1">SUMIFS(TableDailySummary[Inversión meta ads],TableDailySummary[Fecha],"&gt;="&amp;TableWeeklySummary[[#This Row],[Desde]],TableDailySummary[Fecha],"&lt;="&amp;TableWeeklySummary[[#This Row],[Hasta]])</f>
        <v>0</v>
      </c>
      <c r="W245" s="12">
        <f ca="1">SUMIFS(TableDailySummary[Ventas meta ads],TableDailySummary[Fecha],"&gt;="&amp;TableWeeklySummary[[#This Row],[Desde]],TableDailySummary[Fecha],"&lt;="&amp;TableWeeklySummary[[#This Row],[Hasta]])</f>
        <v>0</v>
      </c>
      <c r="X245" s="12">
        <f ca="1">TableWeeklySummary[[#This Row],[Inversión google ads]]+TableWeeklySummary[[#This Row],[Inversión meta ads]]</f>
        <v>0</v>
      </c>
      <c r="Y245" s="12">
        <f ca="1">TableWeeklySummary[[#This Row],[Ventas google ads]]+TableWeeklySummary[[#This Row],[Ventas meta ads]]</f>
        <v>0</v>
      </c>
      <c r="Z245" s="14">
        <f ca="1">IFERROR(TableWeeklySummary[[#This Row],[Ventas publicidad]]/TableWeeklySummary[[#This Row],[Inversión publicidad]],0)</f>
        <v>0</v>
      </c>
      <c r="AA245" s="14">
        <f ca="1">IFERROR(TableWeeklySummary[[#This Row],[Ventas primer cliente]]/TableWeeklySummary[[#This Row],[Inversión publicidad]],0)</f>
        <v>0</v>
      </c>
      <c r="AB245" s="14"/>
      <c r="AC245" s="12"/>
      <c r="AI24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4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45" s="12">
        <f ca="1">SUMIFS(TableDailySummary[Utilidad bruta],TableDailySummary[Fecha],"&gt;="&amp;TableWeeklySummary[[#This Row],[Desde]],TableDailySummary[Fecha],"&lt;="&amp;TableWeeklySummary[[#This Row],[Hasta]])</f>
        <v>0</v>
      </c>
      <c r="AL245" s="18">
        <f ca="1">IFERROR(TableWeeklySummary[[#This Row],[Utilidad bruta]]/TableWeeklySummary[[#This Row],[Ventas netas con costo registrado]],0)</f>
        <v>0</v>
      </c>
    </row>
    <row r="246" spans="2:38" x14ac:dyDescent="0.2">
      <c r="B246" s="16">
        <f ca="1">_xlfn.ISOWEEKNUM(TableWeeklySummary[[#This Row],[Hasta]])</f>
        <v>23</v>
      </c>
      <c r="C246" s="6">
        <f t="shared" ca="1" si="5"/>
        <v>47634</v>
      </c>
      <c r="D246" s="6">
        <f ca="1">TableWeeklySummary[[#This Row],[Desde]]+7-1</f>
        <v>47640</v>
      </c>
      <c r="E246" s="12">
        <f ca="1">SUMIFS(TableDailySummary[Ventas netas totales],TableDailySummary[Fecha],"&gt;="&amp;TableWeeklySummary[[#This Row],[Desde]],TableDailySummary[Fecha],"&lt;="&amp;TableWeeklySummary[[#This Row],[Hasta]])</f>
        <v>0</v>
      </c>
      <c r="F246" s="12">
        <f ca="1">SUMIFS(TableDailySummary[Órdenes totales],TableDailySummary[Fecha],"&gt;="&amp;TableWeeklySummary[[#This Row],[Desde]],TableDailySummary[Fecha],"&lt;="&amp;TableWeeklySummary[[#This Row],[Hasta]])</f>
        <v>0</v>
      </c>
      <c r="G246" s="12">
        <f ca="1">IFERROR(TableWeeklySummary[[#This Row],[Ventas netas totales]]/TableWeeklySummary[[#This Row],[Órdenes totales]],0)</f>
        <v>0</v>
      </c>
      <c r="H24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46" s="12">
        <f ca="1">TableWeeklySummary[[#This Row],[Órden promedio totales]]*TableWeeklySummary[[#This Row],[CR totales]]</f>
        <v>0</v>
      </c>
      <c r="J246" s="12">
        <f ca="1">SUMIFS(TableDailySummary[Ventas primer cliente],TableDailySummary[Fecha],"&gt;="&amp;TableWeeklySummary[[#This Row],[Desde]],TableDailySummary[Fecha],"&lt;="&amp;TableWeeklySummary[[#This Row],[Hasta]])</f>
        <v>0</v>
      </c>
      <c r="K246" s="12">
        <f ca="1">SUMIFS(TableDailySummary[Órdenes primer cliente],TableDailySummary[Fecha],"&gt;="&amp;TableWeeklySummary[[#This Row],[Desde]],TableDailySummary[Fecha],"&lt;="&amp;TableWeeklySummary[[#This Row],[Hasta]])</f>
        <v>0</v>
      </c>
      <c r="L246" s="12">
        <f ca="1">SUMIFS(TableDailySummary[Online Store_net_sales],TableDailySummary[Fecha],"&gt;="&amp;TableWeeklySummary[[#This Row],[Desde]],TableDailySummary[Fecha],"&lt;="&amp;TableWeeklySummary[[#This Row],[Hasta]])</f>
        <v>0</v>
      </c>
      <c r="M246" s="12">
        <f ca="1">SUMIFS(TableDailySummary[Online Store_orders],TableDailySummary[Fecha],"&gt;="&amp;TableWeeklySummary[[#This Row],[Desde]],TableDailySummary[Fecha],"&lt;="&amp;TableWeeklySummary[[#This Row],[Hasta]])</f>
        <v>0</v>
      </c>
      <c r="N246" s="12">
        <f ca="1">SUMIFS(TableDailySummary[Tienda 81_net_sales],TableDailySummary[Fecha],"&gt;="&amp;TableWeeklySummary[[#This Row],[Desde]],TableDailySummary[Fecha],"&lt;="&amp;TableWeeklySummary[[#This Row],[Hasta]])</f>
        <v>0</v>
      </c>
      <c r="O246" s="12">
        <f ca="1">SUMIFS(TableDailySummary[Tienda 81_orders],TableDailySummary[Fecha],"&gt;="&amp;TableWeeklySummary[[#This Row],[Desde]],TableDailySummary[Fecha],"&lt;="&amp;TableWeeklySummary[[#This Row],[Hasta]])</f>
        <v>0</v>
      </c>
      <c r="P246" s="12">
        <f ca="1">SUMIFS(TableDailySummary[Rappi_net_sales],TableDailySummary[Fecha],"&gt;="&amp;TableWeeklySummary[[#This Row],[Desde]],TableDailySummary[Fecha],"&lt;="&amp;TableWeeklySummary[[#This Row],[Hasta]])</f>
        <v>0</v>
      </c>
      <c r="Q246" s="12">
        <f ca="1">SUMIFS(TableDailySummary[Rappi_orders],TableDailySummary[Fecha],"&gt;="&amp;TableWeeklySummary[[#This Row],[Desde]],TableDailySummary[Fecha],"&lt;="&amp;TableWeeklySummary[[#This Row],[Hasta]])</f>
        <v>0</v>
      </c>
      <c r="R24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4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46" s="12">
        <f ca="1">SUMIFS(TableDailySummary[Inversión google ads],TableDailySummary[Fecha],"&gt;="&amp;TableWeeklySummary[[#This Row],[Desde]],TableDailySummary[Fecha],"&lt;="&amp;TableWeeklySummary[[#This Row],[Hasta]])</f>
        <v>0</v>
      </c>
      <c r="U246" s="12">
        <f ca="1">SUMIFS(TableDailySummary[Ventas google ads],TableDailySummary[Fecha],"&gt;="&amp;TableWeeklySummary[[#This Row],[Desde]],TableDailySummary[Fecha],"&lt;="&amp;TableWeeklySummary[[#This Row],[Hasta]])</f>
        <v>0</v>
      </c>
      <c r="V246" s="12">
        <f ca="1">SUMIFS(TableDailySummary[Inversión meta ads],TableDailySummary[Fecha],"&gt;="&amp;TableWeeklySummary[[#This Row],[Desde]],TableDailySummary[Fecha],"&lt;="&amp;TableWeeklySummary[[#This Row],[Hasta]])</f>
        <v>0</v>
      </c>
      <c r="W246" s="12">
        <f ca="1">SUMIFS(TableDailySummary[Ventas meta ads],TableDailySummary[Fecha],"&gt;="&amp;TableWeeklySummary[[#This Row],[Desde]],TableDailySummary[Fecha],"&lt;="&amp;TableWeeklySummary[[#This Row],[Hasta]])</f>
        <v>0</v>
      </c>
      <c r="X246" s="12">
        <f ca="1">TableWeeklySummary[[#This Row],[Inversión google ads]]+TableWeeklySummary[[#This Row],[Inversión meta ads]]</f>
        <v>0</v>
      </c>
      <c r="Y246" s="12">
        <f ca="1">TableWeeklySummary[[#This Row],[Ventas google ads]]+TableWeeklySummary[[#This Row],[Ventas meta ads]]</f>
        <v>0</v>
      </c>
      <c r="Z246" s="14">
        <f ca="1">IFERROR(TableWeeklySummary[[#This Row],[Ventas publicidad]]/TableWeeklySummary[[#This Row],[Inversión publicidad]],0)</f>
        <v>0</v>
      </c>
      <c r="AA246" s="14">
        <f ca="1">IFERROR(TableWeeklySummary[[#This Row],[Ventas primer cliente]]/TableWeeklySummary[[#This Row],[Inversión publicidad]],0)</f>
        <v>0</v>
      </c>
      <c r="AB246" s="14"/>
      <c r="AC246" s="12"/>
      <c r="AI24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4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46" s="12">
        <f ca="1">SUMIFS(TableDailySummary[Utilidad bruta],TableDailySummary[Fecha],"&gt;="&amp;TableWeeklySummary[[#This Row],[Desde]],TableDailySummary[Fecha],"&lt;="&amp;TableWeeklySummary[[#This Row],[Hasta]])</f>
        <v>0</v>
      </c>
      <c r="AL246" s="18">
        <f ca="1">IFERROR(TableWeeklySummary[[#This Row],[Utilidad bruta]]/TableWeeklySummary[[#This Row],[Ventas netas con costo registrado]],0)</f>
        <v>0</v>
      </c>
    </row>
    <row r="247" spans="2:38" x14ac:dyDescent="0.2">
      <c r="B247" s="16">
        <f ca="1">_xlfn.ISOWEEKNUM(TableWeeklySummary[[#This Row],[Hasta]])</f>
        <v>24</v>
      </c>
      <c r="C247" s="6">
        <f t="shared" ca="1" si="5"/>
        <v>47641</v>
      </c>
      <c r="D247" s="6">
        <f ca="1">TableWeeklySummary[[#This Row],[Desde]]+7-1</f>
        <v>47647</v>
      </c>
      <c r="E247" s="12">
        <f ca="1">SUMIFS(TableDailySummary[Ventas netas totales],TableDailySummary[Fecha],"&gt;="&amp;TableWeeklySummary[[#This Row],[Desde]],TableDailySummary[Fecha],"&lt;="&amp;TableWeeklySummary[[#This Row],[Hasta]])</f>
        <v>0</v>
      </c>
      <c r="F247" s="12">
        <f ca="1">SUMIFS(TableDailySummary[Órdenes totales],TableDailySummary[Fecha],"&gt;="&amp;TableWeeklySummary[[#This Row],[Desde]],TableDailySummary[Fecha],"&lt;="&amp;TableWeeklySummary[[#This Row],[Hasta]])</f>
        <v>0</v>
      </c>
      <c r="G247" s="12">
        <f ca="1">IFERROR(TableWeeklySummary[[#This Row],[Ventas netas totales]]/TableWeeklySummary[[#This Row],[Órdenes totales]],0)</f>
        <v>0</v>
      </c>
      <c r="H24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47" s="12">
        <f ca="1">TableWeeklySummary[[#This Row],[Órden promedio totales]]*TableWeeklySummary[[#This Row],[CR totales]]</f>
        <v>0</v>
      </c>
      <c r="J247" s="12">
        <f ca="1">SUMIFS(TableDailySummary[Ventas primer cliente],TableDailySummary[Fecha],"&gt;="&amp;TableWeeklySummary[[#This Row],[Desde]],TableDailySummary[Fecha],"&lt;="&amp;TableWeeklySummary[[#This Row],[Hasta]])</f>
        <v>0</v>
      </c>
      <c r="K247" s="12">
        <f ca="1">SUMIFS(TableDailySummary[Órdenes primer cliente],TableDailySummary[Fecha],"&gt;="&amp;TableWeeklySummary[[#This Row],[Desde]],TableDailySummary[Fecha],"&lt;="&amp;TableWeeklySummary[[#This Row],[Hasta]])</f>
        <v>0</v>
      </c>
      <c r="L247" s="12">
        <f ca="1">SUMIFS(TableDailySummary[Online Store_net_sales],TableDailySummary[Fecha],"&gt;="&amp;TableWeeklySummary[[#This Row],[Desde]],TableDailySummary[Fecha],"&lt;="&amp;TableWeeklySummary[[#This Row],[Hasta]])</f>
        <v>0</v>
      </c>
      <c r="M247" s="12">
        <f ca="1">SUMIFS(TableDailySummary[Online Store_orders],TableDailySummary[Fecha],"&gt;="&amp;TableWeeklySummary[[#This Row],[Desde]],TableDailySummary[Fecha],"&lt;="&amp;TableWeeklySummary[[#This Row],[Hasta]])</f>
        <v>0</v>
      </c>
      <c r="N247" s="12">
        <f ca="1">SUMIFS(TableDailySummary[Tienda 81_net_sales],TableDailySummary[Fecha],"&gt;="&amp;TableWeeklySummary[[#This Row],[Desde]],TableDailySummary[Fecha],"&lt;="&amp;TableWeeklySummary[[#This Row],[Hasta]])</f>
        <v>0</v>
      </c>
      <c r="O247" s="12">
        <f ca="1">SUMIFS(TableDailySummary[Tienda 81_orders],TableDailySummary[Fecha],"&gt;="&amp;TableWeeklySummary[[#This Row],[Desde]],TableDailySummary[Fecha],"&lt;="&amp;TableWeeklySummary[[#This Row],[Hasta]])</f>
        <v>0</v>
      </c>
      <c r="P247" s="12">
        <f ca="1">SUMIFS(TableDailySummary[Rappi_net_sales],TableDailySummary[Fecha],"&gt;="&amp;TableWeeklySummary[[#This Row],[Desde]],TableDailySummary[Fecha],"&lt;="&amp;TableWeeklySummary[[#This Row],[Hasta]])</f>
        <v>0</v>
      </c>
      <c r="Q247" s="12">
        <f ca="1">SUMIFS(TableDailySummary[Rappi_orders],TableDailySummary[Fecha],"&gt;="&amp;TableWeeklySummary[[#This Row],[Desde]],TableDailySummary[Fecha],"&lt;="&amp;TableWeeklySummary[[#This Row],[Hasta]])</f>
        <v>0</v>
      </c>
      <c r="R24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4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47" s="12">
        <f ca="1">SUMIFS(TableDailySummary[Inversión google ads],TableDailySummary[Fecha],"&gt;="&amp;TableWeeklySummary[[#This Row],[Desde]],TableDailySummary[Fecha],"&lt;="&amp;TableWeeklySummary[[#This Row],[Hasta]])</f>
        <v>0</v>
      </c>
      <c r="U247" s="12">
        <f ca="1">SUMIFS(TableDailySummary[Ventas google ads],TableDailySummary[Fecha],"&gt;="&amp;TableWeeklySummary[[#This Row],[Desde]],TableDailySummary[Fecha],"&lt;="&amp;TableWeeklySummary[[#This Row],[Hasta]])</f>
        <v>0</v>
      </c>
      <c r="V247" s="12">
        <f ca="1">SUMIFS(TableDailySummary[Inversión meta ads],TableDailySummary[Fecha],"&gt;="&amp;TableWeeklySummary[[#This Row],[Desde]],TableDailySummary[Fecha],"&lt;="&amp;TableWeeklySummary[[#This Row],[Hasta]])</f>
        <v>0</v>
      </c>
      <c r="W247" s="12">
        <f ca="1">SUMIFS(TableDailySummary[Ventas meta ads],TableDailySummary[Fecha],"&gt;="&amp;TableWeeklySummary[[#This Row],[Desde]],TableDailySummary[Fecha],"&lt;="&amp;TableWeeklySummary[[#This Row],[Hasta]])</f>
        <v>0</v>
      </c>
      <c r="X247" s="12">
        <f ca="1">TableWeeklySummary[[#This Row],[Inversión google ads]]+TableWeeklySummary[[#This Row],[Inversión meta ads]]</f>
        <v>0</v>
      </c>
      <c r="Y247" s="12">
        <f ca="1">TableWeeklySummary[[#This Row],[Ventas google ads]]+TableWeeklySummary[[#This Row],[Ventas meta ads]]</f>
        <v>0</v>
      </c>
      <c r="Z247" s="14">
        <f ca="1">IFERROR(TableWeeklySummary[[#This Row],[Ventas publicidad]]/TableWeeklySummary[[#This Row],[Inversión publicidad]],0)</f>
        <v>0</v>
      </c>
      <c r="AA247" s="14">
        <f ca="1">IFERROR(TableWeeklySummary[[#This Row],[Ventas primer cliente]]/TableWeeklySummary[[#This Row],[Inversión publicidad]],0)</f>
        <v>0</v>
      </c>
      <c r="AB247" s="14"/>
      <c r="AC247" s="12"/>
      <c r="AI24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4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47" s="12">
        <f ca="1">SUMIFS(TableDailySummary[Utilidad bruta],TableDailySummary[Fecha],"&gt;="&amp;TableWeeklySummary[[#This Row],[Desde]],TableDailySummary[Fecha],"&lt;="&amp;TableWeeklySummary[[#This Row],[Hasta]])</f>
        <v>0</v>
      </c>
      <c r="AL247" s="18">
        <f ca="1">IFERROR(TableWeeklySummary[[#This Row],[Utilidad bruta]]/TableWeeklySummary[[#This Row],[Ventas netas con costo registrado]],0)</f>
        <v>0</v>
      </c>
    </row>
    <row r="248" spans="2:38" x14ac:dyDescent="0.2">
      <c r="B248" s="16">
        <f ca="1">_xlfn.ISOWEEKNUM(TableWeeklySummary[[#This Row],[Hasta]])</f>
        <v>25</v>
      </c>
      <c r="C248" s="6">
        <f t="shared" ca="1" si="5"/>
        <v>47648</v>
      </c>
      <c r="D248" s="6">
        <f ca="1">TableWeeklySummary[[#This Row],[Desde]]+7-1</f>
        <v>47654</v>
      </c>
      <c r="E248" s="12">
        <f ca="1">SUMIFS(TableDailySummary[Ventas netas totales],TableDailySummary[Fecha],"&gt;="&amp;TableWeeklySummary[[#This Row],[Desde]],TableDailySummary[Fecha],"&lt;="&amp;TableWeeklySummary[[#This Row],[Hasta]])</f>
        <v>0</v>
      </c>
      <c r="F248" s="12">
        <f ca="1">SUMIFS(TableDailySummary[Órdenes totales],TableDailySummary[Fecha],"&gt;="&amp;TableWeeklySummary[[#This Row],[Desde]],TableDailySummary[Fecha],"&lt;="&amp;TableWeeklySummary[[#This Row],[Hasta]])</f>
        <v>0</v>
      </c>
      <c r="G248" s="12">
        <f ca="1">IFERROR(TableWeeklySummary[[#This Row],[Ventas netas totales]]/TableWeeklySummary[[#This Row],[Órdenes totales]],0)</f>
        <v>0</v>
      </c>
      <c r="H24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48" s="12">
        <f ca="1">TableWeeklySummary[[#This Row],[Órden promedio totales]]*TableWeeklySummary[[#This Row],[CR totales]]</f>
        <v>0</v>
      </c>
      <c r="J248" s="12">
        <f ca="1">SUMIFS(TableDailySummary[Ventas primer cliente],TableDailySummary[Fecha],"&gt;="&amp;TableWeeklySummary[[#This Row],[Desde]],TableDailySummary[Fecha],"&lt;="&amp;TableWeeklySummary[[#This Row],[Hasta]])</f>
        <v>0</v>
      </c>
      <c r="K248" s="12">
        <f ca="1">SUMIFS(TableDailySummary[Órdenes primer cliente],TableDailySummary[Fecha],"&gt;="&amp;TableWeeklySummary[[#This Row],[Desde]],TableDailySummary[Fecha],"&lt;="&amp;TableWeeklySummary[[#This Row],[Hasta]])</f>
        <v>0</v>
      </c>
      <c r="L248" s="12">
        <f ca="1">SUMIFS(TableDailySummary[Online Store_net_sales],TableDailySummary[Fecha],"&gt;="&amp;TableWeeklySummary[[#This Row],[Desde]],TableDailySummary[Fecha],"&lt;="&amp;TableWeeklySummary[[#This Row],[Hasta]])</f>
        <v>0</v>
      </c>
      <c r="M248" s="12">
        <f ca="1">SUMIFS(TableDailySummary[Online Store_orders],TableDailySummary[Fecha],"&gt;="&amp;TableWeeklySummary[[#This Row],[Desde]],TableDailySummary[Fecha],"&lt;="&amp;TableWeeklySummary[[#This Row],[Hasta]])</f>
        <v>0</v>
      </c>
      <c r="N248" s="12">
        <f ca="1">SUMIFS(TableDailySummary[Tienda 81_net_sales],TableDailySummary[Fecha],"&gt;="&amp;TableWeeklySummary[[#This Row],[Desde]],TableDailySummary[Fecha],"&lt;="&amp;TableWeeklySummary[[#This Row],[Hasta]])</f>
        <v>0</v>
      </c>
      <c r="O248" s="12">
        <f ca="1">SUMIFS(TableDailySummary[Tienda 81_orders],TableDailySummary[Fecha],"&gt;="&amp;TableWeeklySummary[[#This Row],[Desde]],TableDailySummary[Fecha],"&lt;="&amp;TableWeeklySummary[[#This Row],[Hasta]])</f>
        <v>0</v>
      </c>
      <c r="P248" s="12">
        <f ca="1">SUMIFS(TableDailySummary[Rappi_net_sales],TableDailySummary[Fecha],"&gt;="&amp;TableWeeklySummary[[#This Row],[Desde]],TableDailySummary[Fecha],"&lt;="&amp;TableWeeklySummary[[#This Row],[Hasta]])</f>
        <v>0</v>
      </c>
      <c r="Q248" s="12">
        <f ca="1">SUMIFS(TableDailySummary[Rappi_orders],TableDailySummary[Fecha],"&gt;="&amp;TableWeeklySummary[[#This Row],[Desde]],TableDailySummary[Fecha],"&lt;="&amp;TableWeeklySummary[[#This Row],[Hasta]])</f>
        <v>0</v>
      </c>
      <c r="R24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4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48" s="12">
        <f ca="1">SUMIFS(TableDailySummary[Inversión google ads],TableDailySummary[Fecha],"&gt;="&amp;TableWeeklySummary[[#This Row],[Desde]],TableDailySummary[Fecha],"&lt;="&amp;TableWeeklySummary[[#This Row],[Hasta]])</f>
        <v>0</v>
      </c>
      <c r="U248" s="12">
        <f ca="1">SUMIFS(TableDailySummary[Ventas google ads],TableDailySummary[Fecha],"&gt;="&amp;TableWeeklySummary[[#This Row],[Desde]],TableDailySummary[Fecha],"&lt;="&amp;TableWeeklySummary[[#This Row],[Hasta]])</f>
        <v>0</v>
      </c>
      <c r="V248" s="12">
        <f ca="1">SUMIFS(TableDailySummary[Inversión meta ads],TableDailySummary[Fecha],"&gt;="&amp;TableWeeklySummary[[#This Row],[Desde]],TableDailySummary[Fecha],"&lt;="&amp;TableWeeklySummary[[#This Row],[Hasta]])</f>
        <v>0</v>
      </c>
      <c r="W248" s="12">
        <f ca="1">SUMIFS(TableDailySummary[Ventas meta ads],TableDailySummary[Fecha],"&gt;="&amp;TableWeeklySummary[[#This Row],[Desde]],TableDailySummary[Fecha],"&lt;="&amp;TableWeeklySummary[[#This Row],[Hasta]])</f>
        <v>0</v>
      </c>
      <c r="X248" s="12">
        <f ca="1">TableWeeklySummary[[#This Row],[Inversión google ads]]+TableWeeklySummary[[#This Row],[Inversión meta ads]]</f>
        <v>0</v>
      </c>
      <c r="Y248" s="12">
        <f ca="1">TableWeeklySummary[[#This Row],[Ventas google ads]]+TableWeeklySummary[[#This Row],[Ventas meta ads]]</f>
        <v>0</v>
      </c>
      <c r="Z248" s="14">
        <f ca="1">IFERROR(TableWeeklySummary[[#This Row],[Ventas publicidad]]/TableWeeklySummary[[#This Row],[Inversión publicidad]],0)</f>
        <v>0</v>
      </c>
      <c r="AA248" s="14">
        <f ca="1">IFERROR(TableWeeklySummary[[#This Row],[Ventas primer cliente]]/TableWeeklySummary[[#This Row],[Inversión publicidad]],0)</f>
        <v>0</v>
      </c>
      <c r="AB248" s="14"/>
      <c r="AC248" s="12"/>
      <c r="AI24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4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48" s="12">
        <f ca="1">SUMIFS(TableDailySummary[Utilidad bruta],TableDailySummary[Fecha],"&gt;="&amp;TableWeeklySummary[[#This Row],[Desde]],TableDailySummary[Fecha],"&lt;="&amp;TableWeeklySummary[[#This Row],[Hasta]])</f>
        <v>0</v>
      </c>
      <c r="AL248" s="18">
        <f ca="1">IFERROR(TableWeeklySummary[[#This Row],[Utilidad bruta]]/TableWeeklySummary[[#This Row],[Ventas netas con costo registrado]],0)</f>
        <v>0</v>
      </c>
    </row>
    <row r="249" spans="2:38" x14ac:dyDescent="0.2">
      <c r="B249" s="16">
        <f ca="1">_xlfn.ISOWEEKNUM(TableWeeklySummary[[#This Row],[Hasta]])</f>
        <v>26</v>
      </c>
      <c r="C249" s="6">
        <f t="shared" ca="1" si="5"/>
        <v>47655</v>
      </c>
      <c r="D249" s="6">
        <f ca="1">TableWeeklySummary[[#This Row],[Desde]]+7-1</f>
        <v>47661</v>
      </c>
      <c r="E249" s="12">
        <f ca="1">SUMIFS(TableDailySummary[Ventas netas totales],TableDailySummary[Fecha],"&gt;="&amp;TableWeeklySummary[[#This Row],[Desde]],TableDailySummary[Fecha],"&lt;="&amp;TableWeeklySummary[[#This Row],[Hasta]])</f>
        <v>0</v>
      </c>
      <c r="F249" s="12">
        <f ca="1">SUMIFS(TableDailySummary[Órdenes totales],TableDailySummary[Fecha],"&gt;="&amp;TableWeeklySummary[[#This Row],[Desde]],TableDailySummary[Fecha],"&lt;="&amp;TableWeeklySummary[[#This Row],[Hasta]])</f>
        <v>0</v>
      </c>
      <c r="G249" s="12">
        <f ca="1">IFERROR(TableWeeklySummary[[#This Row],[Ventas netas totales]]/TableWeeklySummary[[#This Row],[Órdenes totales]],0)</f>
        <v>0</v>
      </c>
      <c r="H24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49" s="12">
        <f ca="1">TableWeeklySummary[[#This Row],[Órden promedio totales]]*TableWeeklySummary[[#This Row],[CR totales]]</f>
        <v>0</v>
      </c>
      <c r="J249" s="12">
        <f ca="1">SUMIFS(TableDailySummary[Ventas primer cliente],TableDailySummary[Fecha],"&gt;="&amp;TableWeeklySummary[[#This Row],[Desde]],TableDailySummary[Fecha],"&lt;="&amp;TableWeeklySummary[[#This Row],[Hasta]])</f>
        <v>0</v>
      </c>
      <c r="K249" s="12">
        <f ca="1">SUMIFS(TableDailySummary[Órdenes primer cliente],TableDailySummary[Fecha],"&gt;="&amp;TableWeeklySummary[[#This Row],[Desde]],TableDailySummary[Fecha],"&lt;="&amp;TableWeeklySummary[[#This Row],[Hasta]])</f>
        <v>0</v>
      </c>
      <c r="L249" s="12">
        <f ca="1">SUMIFS(TableDailySummary[Online Store_net_sales],TableDailySummary[Fecha],"&gt;="&amp;TableWeeklySummary[[#This Row],[Desde]],TableDailySummary[Fecha],"&lt;="&amp;TableWeeklySummary[[#This Row],[Hasta]])</f>
        <v>0</v>
      </c>
      <c r="M249" s="12">
        <f ca="1">SUMIFS(TableDailySummary[Online Store_orders],TableDailySummary[Fecha],"&gt;="&amp;TableWeeklySummary[[#This Row],[Desde]],TableDailySummary[Fecha],"&lt;="&amp;TableWeeklySummary[[#This Row],[Hasta]])</f>
        <v>0</v>
      </c>
      <c r="N249" s="12">
        <f ca="1">SUMIFS(TableDailySummary[Tienda 81_net_sales],TableDailySummary[Fecha],"&gt;="&amp;TableWeeklySummary[[#This Row],[Desde]],TableDailySummary[Fecha],"&lt;="&amp;TableWeeklySummary[[#This Row],[Hasta]])</f>
        <v>0</v>
      </c>
      <c r="O249" s="12">
        <f ca="1">SUMIFS(TableDailySummary[Tienda 81_orders],TableDailySummary[Fecha],"&gt;="&amp;TableWeeklySummary[[#This Row],[Desde]],TableDailySummary[Fecha],"&lt;="&amp;TableWeeklySummary[[#This Row],[Hasta]])</f>
        <v>0</v>
      </c>
      <c r="P249" s="12">
        <f ca="1">SUMIFS(TableDailySummary[Rappi_net_sales],TableDailySummary[Fecha],"&gt;="&amp;TableWeeklySummary[[#This Row],[Desde]],TableDailySummary[Fecha],"&lt;="&amp;TableWeeklySummary[[#This Row],[Hasta]])</f>
        <v>0</v>
      </c>
      <c r="Q249" s="12">
        <f ca="1">SUMIFS(TableDailySummary[Rappi_orders],TableDailySummary[Fecha],"&gt;="&amp;TableWeeklySummary[[#This Row],[Desde]],TableDailySummary[Fecha],"&lt;="&amp;TableWeeklySummary[[#This Row],[Hasta]])</f>
        <v>0</v>
      </c>
      <c r="R24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4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49" s="12">
        <f ca="1">SUMIFS(TableDailySummary[Inversión google ads],TableDailySummary[Fecha],"&gt;="&amp;TableWeeklySummary[[#This Row],[Desde]],TableDailySummary[Fecha],"&lt;="&amp;TableWeeklySummary[[#This Row],[Hasta]])</f>
        <v>0</v>
      </c>
      <c r="U249" s="12">
        <f ca="1">SUMIFS(TableDailySummary[Ventas google ads],TableDailySummary[Fecha],"&gt;="&amp;TableWeeklySummary[[#This Row],[Desde]],TableDailySummary[Fecha],"&lt;="&amp;TableWeeklySummary[[#This Row],[Hasta]])</f>
        <v>0</v>
      </c>
      <c r="V249" s="12">
        <f ca="1">SUMIFS(TableDailySummary[Inversión meta ads],TableDailySummary[Fecha],"&gt;="&amp;TableWeeklySummary[[#This Row],[Desde]],TableDailySummary[Fecha],"&lt;="&amp;TableWeeklySummary[[#This Row],[Hasta]])</f>
        <v>0</v>
      </c>
      <c r="W249" s="12">
        <f ca="1">SUMIFS(TableDailySummary[Ventas meta ads],TableDailySummary[Fecha],"&gt;="&amp;TableWeeklySummary[[#This Row],[Desde]],TableDailySummary[Fecha],"&lt;="&amp;TableWeeklySummary[[#This Row],[Hasta]])</f>
        <v>0</v>
      </c>
      <c r="X249" s="12">
        <f ca="1">TableWeeklySummary[[#This Row],[Inversión google ads]]+TableWeeklySummary[[#This Row],[Inversión meta ads]]</f>
        <v>0</v>
      </c>
      <c r="Y249" s="12">
        <f ca="1">TableWeeklySummary[[#This Row],[Ventas google ads]]+TableWeeklySummary[[#This Row],[Ventas meta ads]]</f>
        <v>0</v>
      </c>
      <c r="Z249" s="14">
        <f ca="1">IFERROR(TableWeeklySummary[[#This Row],[Ventas publicidad]]/TableWeeklySummary[[#This Row],[Inversión publicidad]],0)</f>
        <v>0</v>
      </c>
      <c r="AA249" s="14">
        <f ca="1">IFERROR(TableWeeklySummary[[#This Row],[Ventas primer cliente]]/TableWeeklySummary[[#This Row],[Inversión publicidad]],0)</f>
        <v>0</v>
      </c>
      <c r="AB249" s="14"/>
      <c r="AC249" s="12"/>
      <c r="AI24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4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49" s="12">
        <f ca="1">SUMIFS(TableDailySummary[Utilidad bruta],TableDailySummary[Fecha],"&gt;="&amp;TableWeeklySummary[[#This Row],[Desde]],TableDailySummary[Fecha],"&lt;="&amp;TableWeeklySummary[[#This Row],[Hasta]])</f>
        <v>0</v>
      </c>
      <c r="AL249" s="18">
        <f ca="1">IFERROR(TableWeeklySummary[[#This Row],[Utilidad bruta]]/TableWeeklySummary[[#This Row],[Ventas netas con costo registrado]],0)</f>
        <v>0</v>
      </c>
    </row>
    <row r="250" spans="2:38" x14ac:dyDescent="0.2">
      <c r="B250" s="16">
        <f ca="1">_xlfn.ISOWEEKNUM(TableWeeklySummary[[#This Row],[Hasta]])</f>
        <v>27</v>
      </c>
      <c r="C250" s="6">
        <f t="shared" ca="1" si="5"/>
        <v>47662</v>
      </c>
      <c r="D250" s="6">
        <f ca="1">TableWeeklySummary[[#This Row],[Desde]]+7-1</f>
        <v>47668</v>
      </c>
      <c r="E250" s="12">
        <f ca="1">SUMIFS(TableDailySummary[Ventas netas totales],TableDailySummary[Fecha],"&gt;="&amp;TableWeeklySummary[[#This Row],[Desde]],TableDailySummary[Fecha],"&lt;="&amp;TableWeeklySummary[[#This Row],[Hasta]])</f>
        <v>0</v>
      </c>
      <c r="F250" s="12">
        <f ca="1">SUMIFS(TableDailySummary[Órdenes totales],TableDailySummary[Fecha],"&gt;="&amp;TableWeeklySummary[[#This Row],[Desde]],TableDailySummary[Fecha],"&lt;="&amp;TableWeeklySummary[[#This Row],[Hasta]])</f>
        <v>0</v>
      </c>
      <c r="G250" s="12">
        <f ca="1">IFERROR(TableWeeklySummary[[#This Row],[Ventas netas totales]]/TableWeeklySummary[[#This Row],[Órdenes totales]],0)</f>
        <v>0</v>
      </c>
      <c r="H25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50" s="12">
        <f ca="1">TableWeeklySummary[[#This Row],[Órden promedio totales]]*TableWeeklySummary[[#This Row],[CR totales]]</f>
        <v>0</v>
      </c>
      <c r="J250" s="12">
        <f ca="1">SUMIFS(TableDailySummary[Ventas primer cliente],TableDailySummary[Fecha],"&gt;="&amp;TableWeeklySummary[[#This Row],[Desde]],TableDailySummary[Fecha],"&lt;="&amp;TableWeeklySummary[[#This Row],[Hasta]])</f>
        <v>0</v>
      </c>
      <c r="K250" s="12">
        <f ca="1">SUMIFS(TableDailySummary[Órdenes primer cliente],TableDailySummary[Fecha],"&gt;="&amp;TableWeeklySummary[[#This Row],[Desde]],TableDailySummary[Fecha],"&lt;="&amp;TableWeeklySummary[[#This Row],[Hasta]])</f>
        <v>0</v>
      </c>
      <c r="L250" s="12">
        <f ca="1">SUMIFS(TableDailySummary[Online Store_net_sales],TableDailySummary[Fecha],"&gt;="&amp;TableWeeklySummary[[#This Row],[Desde]],TableDailySummary[Fecha],"&lt;="&amp;TableWeeklySummary[[#This Row],[Hasta]])</f>
        <v>0</v>
      </c>
      <c r="M250" s="12">
        <f ca="1">SUMIFS(TableDailySummary[Online Store_orders],TableDailySummary[Fecha],"&gt;="&amp;TableWeeklySummary[[#This Row],[Desde]],TableDailySummary[Fecha],"&lt;="&amp;TableWeeklySummary[[#This Row],[Hasta]])</f>
        <v>0</v>
      </c>
      <c r="N250" s="12">
        <f ca="1">SUMIFS(TableDailySummary[Tienda 81_net_sales],TableDailySummary[Fecha],"&gt;="&amp;TableWeeklySummary[[#This Row],[Desde]],TableDailySummary[Fecha],"&lt;="&amp;TableWeeklySummary[[#This Row],[Hasta]])</f>
        <v>0</v>
      </c>
      <c r="O250" s="12">
        <f ca="1">SUMIFS(TableDailySummary[Tienda 81_orders],TableDailySummary[Fecha],"&gt;="&amp;TableWeeklySummary[[#This Row],[Desde]],TableDailySummary[Fecha],"&lt;="&amp;TableWeeklySummary[[#This Row],[Hasta]])</f>
        <v>0</v>
      </c>
      <c r="P250" s="12">
        <f ca="1">SUMIFS(TableDailySummary[Rappi_net_sales],TableDailySummary[Fecha],"&gt;="&amp;TableWeeklySummary[[#This Row],[Desde]],TableDailySummary[Fecha],"&lt;="&amp;TableWeeklySummary[[#This Row],[Hasta]])</f>
        <v>0</v>
      </c>
      <c r="Q250" s="12">
        <f ca="1">SUMIFS(TableDailySummary[Rappi_orders],TableDailySummary[Fecha],"&gt;="&amp;TableWeeklySummary[[#This Row],[Desde]],TableDailySummary[Fecha],"&lt;="&amp;TableWeeklySummary[[#This Row],[Hasta]])</f>
        <v>0</v>
      </c>
      <c r="R25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5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50" s="12">
        <f ca="1">SUMIFS(TableDailySummary[Inversión google ads],TableDailySummary[Fecha],"&gt;="&amp;TableWeeklySummary[[#This Row],[Desde]],TableDailySummary[Fecha],"&lt;="&amp;TableWeeklySummary[[#This Row],[Hasta]])</f>
        <v>0</v>
      </c>
      <c r="U250" s="12">
        <f ca="1">SUMIFS(TableDailySummary[Ventas google ads],TableDailySummary[Fecha],"&gt;="&amp;TableWeeklySummary[[#This Row],[Desde]],TableDailySummary[Fecha],"&lt;="&amp;TableWeeklySummary[[#This Row],[Hasta]])</f>
        <v>0</v>
      </c>
      <c r="V250" s="12">
        <f ca="1">SUMIFS(TableDailySummary[Inversión meta ads],TableDailySummary[Fecha],"&gt;="&amp;TableWeeklySummary[[#This Row],[Desde]],TableDailySummary[Fecha],"&lt;="&amp;TableWeeklySummary[[#This Row],[Hasta]])</f>
        <v>0</v>
      </c>
      <c r="W250" s="12">
        <f ca="1">SUMIFS(TableDailySummary[Ventas meta ads],TableDailySummary[Fecha],"&gt;="&amp;TableWeeklySummary[[#This Row],[Desde]],TableDailySummary[Fecha],"&lt;="&amp;TableWeeklySummary[[#This Row],[Hasta]])</f>
        <v>0</v>
      </c>
      <c r="X250" s="12">
        <f ca="1">TableWeeklySummary[[#This Row],[Inversión google ads]]+TableWeeklySummary[[#This Row],[Inversión meta ads]]</f>
        <v>0</v>
      </c>
      <c r="Y250" s="12">
        <f ca="1">TableWeeklySummary[[#This Row],[Ventas google ads]]+TableWeeklySummary[[#This Row],[Ventas meta ads]]</f>
        <v>0</v>
      </c>
      <c r="Z250" s="14">
        <f ca="1">IFERROR(TableWeeklySummary[[#This Row],[Ventas publicidad]]/TableWeeklySummary[[#This Row],[Inversión publicidad]],0)</f>
        <v>0</v>
      </c>
      <c r="AA250" s="14">
        <f ca="1">IFERROR(TableWeeklySummary[[#This Row],[Ventas primer cliente]]/TableWeeklySummary[[#This Row],[Inversión publicidad]],0)</f>
        <v>0</v>
      </c>
      <c r="AB250" s="14"/>
      <c r="AC250" s="12"/>
      <c r="AI25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5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50" s="12">
        <f ca="1">SUMIFS(TableDailySummary[Utilidad bruta],TableDailySummary[Fecha],"&gt;="&amp;TableWeeklySummary[[#This Row],[Desde]],TableDailySummary[Fecha],"&lt;="&amp;TableWeeklySummary[[#This Row],[Hasta]])</f>
        <v>0</v>
      </c>
      <c r="AL250" s="18">
        <f ca="1">IFERROR(TableWeeklySummary[[#This Row],[Utilidad bruta]]/TableWeeklySummary[[#This Row],[Ventas netas con costo registrado]],0)</f>
        <v>0</v>
      </c>
    </row>
    <row r="251" spans="2:38" x14ac:dyDescent="0.2">
      <c r="B251" s="16">
        <f ca="1">_xlfn.ISOWEEKNUM(TableWeeklySummary[[#This Row],[Hasta]])</f>
        <v>28</v>
      </c>
      <c r="C251" s="6">
        <f t="shared" ca="1" si="5"/>
        <v>47669</v>
      </c>
      <c r="D251" s="6">
        <f ca="1">TableWeeklySummary[[#This Row],[Desde]]+7-1</f>
        <v>47675</v>
      </c>
      <c r="E251" s="12">
        <f ca="1">SUMIFS(TableDailySummary[Ventas netas totales],TableDailySummary[Fecha],"&gt;="&amp;TableWeeklySummary[[#This Row],[Desde]],TableDailySummary[Fecha],"&lt;="&amp;TableWeeklySummary[[#This Row],[Hasta]])</f>
        <v>0</v>
      </c>
      <c r="F251" s="12">
        <f ca="1">SUMIFS(TableDailySummary[Órdenes totales],TableDailySummary[Fecha],"&gt;="&amp;TableWeeklySummary[[#This Row],[Desde]],TableDailySummary[Fecha],"&lt;="&amp;TableWeeklySummary[[#This Row],[Hasta]])</f>
        <v>0</v>
      </c>
      <c r="G251" s="12">
        <f ca="1">IFERROR(TableWeeklySummary[[#This Row],[Ventas netas totales]]/TableWeeklySummary[[#This Row],[Órdenes totales]],0)</f>
        <v>0</v>
      </c>
      <c r="H25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51" s="12">
        <f ca="1">TableWeeklySummary[[#This Row],[Órden promedio totales]]*TableWeeklySummary[[#This Row],[CR totales]]</f>
        <v>0</v>
      </c>
      <c r="J251" s="12">
        <f ca="1">SUMIFS(TableDailySummary[Ventas primer cliente],TableDailySummary[Fecha],"&gt;="&amp;TableWeeklySummary[[#This Row],[Desde]],TableDailySummary[Fecha],"&lt;="&amp;TableWeeklySummary[[#This Row],[Hasta]])</f>
        <v>0</v>
      </c>
      <c r="K251" s="12">
        <f ca="1">SUMIFS(TableDailySummary[Órdenes primer cliente],TableDailySummary[Fecha],"&gt;="&amp;TableWeeklySummary[[#This Row],[Desde]],TableDailySummary[Fecha],"&lt;="&amp;TableWeeklySummary[[#This Row],[Hasta]])</f>
        <v>0</v>
      </c>
      <c r="L251" s="12">
        <f ca="1">SUMIFS(TableDailySummary[Online Store_net_sales],TableDailySummary[Fecha],"&gt;="&amp;TableWeeklySummary[[#This Row],[Desde]],TableDailySummary[Fecha],"&lt;="&amp;TableWeeklySummary[[#This Row],[Hasta]])</f>
        <v>0</v>
      </c>
      <c r="M251" s="12">
        <f ca="1">SUMIFS(TableDailySummary[Online Store_orders],TableDailySummary[Fecha],"&gt;="&amp;TableWeeklySummary[[#This Row],[Desde]],TableDailySummary[Fecha],"&lt;="&amp;TableWeeklySummary[[#This Row],[Hasta]])</f>
        <v>0</v>
      </c>
      <c r="N251" s="12">
        <f ca="1">SUMIFS(TableDailySummary[Tienda 81_net_sales],TableDailySummary[Fecha],"&gt;="&amp;TableWeeklySummary[[#This Row],[Desde]],TableDailySummary[Fecha],"&lt;="&amp;TableWeeklySummary[[#This Row],[Hasta]])</f>
        <v>0</v>
      </c>
      <c r="O251" s="12">
        <f ca="1">SUMIFS(TableDailySummary[Tienda 81_orders],TableDailySummary[Fecha],"&gt;="&amp;TableWeeklySummary[[#This Row],[Desde]],TableDailySummary[Fecha],"&lt;="&amp;TableWeeklySummary[[#This Row],[Hasta]])</f>
        <v>0</v>
      </c>
      <c r="P251" s="12">
        <f ca="1">SUMIFS(TableDailySummary[Rappi_net_sales],TableDailySummary[Fecha],"&gt;="&amp;TableWeeklySummary[[#This Row],[Desde]],TableDailySummary[Fecha],"&lt;="&amp;TableWeeklySummary[[#This Row],[Hasta]])</f>
        <v>0</v>
      </c>
      <c r="Q251" s="12">
        <f ca="1">SUMIFS(TableDailySummary[Rappi_orders],TableDailySummary[Fecha],"&gt;="&amp;TableWeeklySummary[[#This Row],[Desde]],TableDailySummary[Fecha],"&lt;="&amp;TableWeeklySummary[[#This Row],[Hasta]])</f>
        <v>0</v>
      </c>
      <c r="R25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5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51" s="12">
        <f ca="1">SUMIFS(TableDailySummary[Inversión google ads],TableDailySummary[Fecha],"&gt;="&amp;TableWeeklySummary[[#This Row],[Desde]],TableDailySummary[Fecha],"&lt;="&amp;TableWeeklySummary[[#This Row],[Hasta]])</f>
        <v>0</v>
      </c>
      <c r="U251" s="12">
        <f ca="1">SUMIFS(TableDailySummary[Ventas google ads],TableDailySummary[Fecha],"&gt;="&amp;TableWeeklySummary[[#This Row],[Desde]],TableDailySummary[Fecha],"&lt;="&amp;TableWeeklySummary[[#This Row],[Hasta]])</f>
        <v>0</v>
      </c>
      <c r="V251" s="12">
        <f ca="1">SUMIFS(TableDailySummary[Inversión meta ads],TableDailySummary[Fecha],"&gt;="&amp;TableWeeklySummary[[#This Row],[Desde]],TableDailySummary[Fecha],"&lt;="&amp;TableWeeklySummary[[#This Row],[Hasta]])</f>
        <v>0</v>
      </c>
      <c r="W251" s="12">
        <f ca="1">SUMIFS(TableDailySummary[Ventas meta ads],TableDailySummary[Fecha],"&gt;="&amp;TableWeeklySummary[[#This Row],[Desde]],TableDailySummary[Fecha],"&lt;="&amp;TableWeeklySummary[[#This Row],[Hasta]])</f>
        <v>0</v>
      </c>
      <c r="X251" s="12">
        <f ca="1">TableWeeklySummary[[#This Row],[Inversión google ads]]+TableWeeklySummary[[#This Row],[Inversión meta ads]]</f>
        <v>0</v>
      </c>
      <c r="Y251" s="12">
        <f ca="1">TableWeeklySummary[[#This Row],[Ventas google ads]]+TableWeeklySummary[[#This Row],[Ventas meta ads]]</f>
        <v>0</v>
      </c>
      <c r="Z251" s="14">
        <f ca="1">IFERROR(TableWeeklySummary[[#This Row],[Ventas publicidad]]/TableWeeklySummary[[#This Row],[Inversión publicidad]],0)</f>
        <v>0</v>
      </c>
      <c r="AA251" s="14">
        <f ca="1">IFERROR(TableWeeklySummary[[#This Row],[Ventas primer cliente]]/TableWeeklySummary[[#This Row],[Inversión publicidad]],0)</f>
        <v>0</v>
      </c>
      <c r="AB251" s="14"/>
      <c r="AC251" s="12"/>
      <c r="AI25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5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51" s="12">
        <f ca="1">SUMIFS(TableDailySummary[Utilidad bruta],TableDailySummary[Fecha],"&gt;="&amp;TableWeeklySummary[[#This Row],[Desde]],TableDailySummary[Fecha],"&lt;="&amp;TableWeeklySummary[[#This Row],[Hasta]])</f>
        <v>0</v>
      </c>
      <c r="AL251" s="18">
        <f ca="1">IFERROR(TableWeeklySummary[[#This Row],[Utilidad bruta]]/TableWeeklySummary[[#This Row],[Ventas netas con costo registrado]],0)</f>
        <v>0</v>
      </c>
    </row>
    <row r="252" spans="2:38" x14ac:dyDescent="0.2">
      <c r="B252" s="16">
        <f ca="1">_xlfn.ISOWEEKNUM(TableWeeklySummary[[#This Row],[Hasta]])</f>
        <v>29</v>
      </c>
      <c r="C252" s="6">
        <f t="shared" ca="1" si="5"/>
        <v>47676</v>
      </c>
      <c r="D252" s="6">
        <f ca="1">TableWeeklySummary[[#This Row],[Desde]]+7-1</f>
        <v>47682</v>
      </c>
      <c r="E252" s="12">
        <f ca="1">SUMIFS(TableDailySummary[Ventas netas totales],TableDailySummary[Fecha],"&gt;="&amp;TableWeeklySummary[[#This Row],[Desde]],TableDailySummary[Fecha],"&lt;="&amp;TableWeeklySummary[[#This Row],[Hasta]])</f>
        <v>0</v>
      </c>
      <c r="F252" s="12">
        <f ca="1">SUMIFS(TableDailySummary[Órdenes totales],TableDailySummary[Fecha],"&gt;="&amp;TableWeeklySummary[[#This Row],[Desde]],TableDailySummary[Fecha],"&lt;="&amp;TableWeeklySummary[[#This Row],[Hasta]])</f>
        <v>0</v>
      </c>
      <c r="G252" s="12">
        <f ca="1">IFERROR(TableWeeklySummary[[#This Row],[Ventas netas totales]]/TableWeeklySummary[[#This Row],[Órdenes totales]],0)</f>
        <v>0</v>
      </c>
      <c r="H25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52" s="12">
        <f ca="1">TableWeeklySummary[[#This Row],[Órden promedio totales]]*TableWeeklySummary[[#This Row],[CR totales]]</f>
        <v>0</v>
      </c>
      <c r="J252" s="12">
        <f ca="1">SUMIFS(TableDailySummary[Ventas primer cliente],TableDailySummary[Fecha],"&gt;="&amp;TableWeeklySummary[[#This Row],[Desde]],TableDailySummary[Fecha],"&lt;="&amp;TableWeeklySummary[[#This Row],[Hasta]])</f>
        <v>0</v>
      </c>
      <c r="K252" s="12">
        <f ca="1">SUMIFS(TableDailySummary[Órdenes primer cliente],TableDailySummary[Fecha],"&gt;="&amp;TableWeeklySummary[[#This Row],[Desde]],TableDailySummary[Fecha],"&lt;="&amp;TableWeeklySummary[[#This Row],[Hasta]])</f>
        <v>0</v>
      </c>
      <c r="L252" s="12">
        <f ca="1">SUMIFS(TableDailySummary[Online Store_net_sales],TableDailySummary[Fecha],"&gt;="&amp;TableWeeklySummary[[#This Row],[Desde]],TableDailySummary[Fecha],"&lt;="&amp;TableWeeklySummary[[#This Row],[Hasta]])</f>
        <v>0</v>
      </c>
      <c r="M252" s="12">
        <f ca="1">SUMIFS(TableDailySummary[Online Store_orders],TableDailySummary[Fecha],"&gt;="&amp;TableWeeklySummary[[#This Row],[Desde]],TableDailySummary[Fecha],"&lt;="&amp;TableWeeklySummary[[#This Row],[Hasta]])</f>
        <v>0</v>
      </c>
      <c r="N252" s="12">
        <f ca="1">SUMIFS(TableDailySummary[Tienda 81_net_sales],TableDailySummary[Fecha],"&gt;="&amp;TableWeeklySummary[[#This Row],[Desde]],TableDailySummary[Fecha],"&lt;="&amp;TableWeeklySummary[[#This Row],[Hasta]])</f>
        <v>0</v>
      </c>
      <c r="O252" s="12">
        <f ca="1">SUMIFS(TableDailySummary[Tienda 81_orders],TableDailySummary[Fecha],"&gt;="&amp;TableWeeklySummary[[#This Row],[Desde]],TableDailySummary[Fecha],"&lt;="&amp;TableWeeklySummary[[#This Row],[Hasta]])</f>
        <v>0</v>
      </c>
      <c r="P252" s="12">
        <f ca="1">SUMIFS(TableDailySummary[Rappi_net_sales],TableDailySummary[Fecha],"&gt;="&amp;TableWeeklySummary[[#This Row],[Desde]],TableDailySummary[Fecha],"&lt;="&amp;TableWeeklySummary[[#This Row],[Hasta]])</f>
        <v>0</v>
      </c>
      <c r="Q252" s="12">
        <f ca="1">SUMIFS(TableDailySummary[Rappi_orders],TableDailySummary[Fecha],"&gt;="&amp;TableWeeklySummary[[#This Row],[Desde]],TableDailySummary[Fecha],"&lt;="&amp;TableWeeklySummary[[#This Row],[Hasta]])</f>
        <v>0</v>
      </c>
      <c r="R25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5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52" s="12">
        <f ca="1">SUMIFS(TableDailySummary[Inversión google ads],TableDailySummary[Fecha],"&gt;="&amp;TableWeeklySummary[[#This Row],[Desde]],TableDailySummary[Fecha],"&lt;="&amp;TableWeeklySummary[[#This Row],[Hasta]])</f>
        <v>0</v>
      </c>
      <c r="U252" s="12">
        <f ca="1">SUMIFS(TableDailySummary[Ventas google ads],TableDailySummary[Fecha],"&gt;="&amp;TableWeeklySummary[[#This Row],[Desde]],TableDailySummary[Fecha],"&lt;="&amp;TableWeeklySummary[[#This Row],[Hasta]])</f>
        <v>0</v>
      </c>
      <c r="V252" s="12">
        <f ca="1">SUMIFS(TableDailySummary[Inversión meta ads],TableDailySummary[Fecha],"&gt;="&amp;TableWeeklySummary[[#This Row],[Desde]],TableDailySummary[Fecha],"&lt;="&amp;TableWeeklySummary[[#This Row],[Hasta]])</f>
        <v>0</v>
      </c>
      <c r="W252" s="12">
        <f ca="1">SUMIFS(TableDailySummary[Ventas meta ads],TableDailySummary[Fecha],"&gt;="&amp;TableWeeklySummary[[#This Row],[Desde]],TableDailySummary[Fecha],"&lt;="&amp;TableWeeklySummary[[#This Row],[Hasta]])</f>
        <v>0</v>
      </c>
      <c r="X252" s="12">
        <f ca="1">TableWeeklySummary[[#This Row],[Inversión google ads]]+TableWeeklySummary[[#This Row],[Inversión meta ads]]</f>
        <v>0</v>
      </c>
      <c r="Y252" s="12">
        <f ca="1">TableWeeklySummary[[#This Row],[Ventas google ads]]+TableWeeklySummary[[#This Row],[Ventas meta ads]]</f>
        <v>0</v>
      </c>
      <c r="Z252" s="14">
        <f ca="1">IFERROR(TableWeeklySummary[[#This Row],[Ventas publicidad]]/TableWeeklySummary[[#This Row],[Inversión publicidad]],0)</f>
        <v>0</v>
      </c>
      <c r="AA252" s="14">
        <f ca="1">IFERROR(TableWeeklySummary[[#This Row],[Ventas primer cliente]]/TableWeeklySummary[[#This Row],[Inversión publicidad]],0)</f>
        <v>0</v>
      </c>
      <c r="AB252" s="14"/>
      <c r="AC252" s="12"/>
      <c r="AI25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5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52" s="12">
        <f ca="1">SUMIFS(TableDailySummary[Utilidad bruta],TableDailySummary[Fecha],"&gt;="&amp;TableWeeklySummary[[#This Row],[Desde]],TableDailySummary[Fecha],"&lt;="&amp;TableWeeklySummary[[#This Row],[Hasta]])</f>
        <v>0</v>
      </c>
      <c r="AL252" s="18">
        <f ca="1">IFERROR(TableWeeklySummary[[#This Row],[Utilidad bruta]]/TableWeeklySummary[[#This Row],[Ventas netas con costo registrado]],0)</f>
        <v>0</v>
      </c>
    </row>
    <row r="253" spans="2:38" x14ac:dyDescent="0.2">
      <c r="B253" s="16">
        <f ca="1">_xlfn.ISOWEEKNUM(TableWeeklySummary[[#This Row],[Hasta]])</f>
        <v>30</v>
      </c>
      <c r="C253" s="6">
        <f t="shared" ca="1" si="5"/>
        <v>47683</v>
      </c>
      <c r="D253" s="6">
        <f ca="1">TableWeeklySummary[[#This Row],[Desde]]+7-1</f>
        <v>47689</v>
      </c>
      <c r="E253" s="12">
        <f ca="1">SUMIFS(TableDailySummary[Ventas netas totales],TableDailySummary[Fecha],"&gt;="&amp;TableWeeklySummary[[#This Row],[Desde]],TableDailySummary[Fecha],"&lt;="&amp;TableWeeklySummary[[#This Row],[Hasta]])</f>
        <v>0</v>
      </c>
      <c r="F253" s="12">
        <f ca="1">SUMIFS(TableDailySummary[Órdenes totales],TableDailySummary[Fecha],"&gt;="&amp;TableWeeklySummary[[#This Row],[Desde]],TableDailySummary[Fecha],"&lt;="&amp;TableWeeklySummary[[#This Row],[Hasta]])</f>
        <v>0</v>
      </c>
      <c r="G253" s="12">
        <f ca="1">IFERROR(TableWeeklySummary[[#This Row],[Ventas netas totales]]/TableWeeklySummary[[#This Row],[Órdenes totales]],0)</f>
        <v>0</v>
      </c>
      <c r="H25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53" s="12">
        <f ca="1">TableWeeklySummary[[#This Row],[Órden promedio totales]]*TableWeeklySummary[[#This Row],[CR totales]]</f>
        <v>0</v>
      </c>
      <c r="J253" s="12">
        <f ca="1">SUMIFS(TableDailySummary[Ventas primer cliente],TableDailySummary[Fecha],"&gt;="&amp;TableWeeklySummary[[#This Row],[Desde]],TableDailySummary[Fecha],"&lt;="&amp;TableWeeklySummary[[#This Row],[Hasta]])</f>
        <v>0</v>
      </c>
      <c r="K253" s="12">
        <f ca="1">SUMIFS(TableDailySummary[Órdenes primer cliente],TableDailySummary[Fecha],"&gt;="&amp;TableWeeklySummary[[#This Row],[Desde]],TableDailySummary[Fecha],"&lt;="&amp;TableWeeklySummary[[#This Row],[Hasta]])</f>
        <v>0</v>
      </c>
      <c r="L253" s="12">
        <f ca="1">SUMIFS(TableDailySummary[Online Store_net_sales],TableDailySummary[Fecha],"&gt;="&amp;TableWeeklySummary[[#This Row],[Desde]],TableDailySummary[Fecha],"&lt;="&amp;TableWeeklySummary[[#This Row],[Hasta]])</f>
        <v>0</v>
      </c>
      <c r="M253" s="12">
        <f ca="1">SUMIFS(TableDailySummary[Online Store_orders],TableDailySummary[Fecha],"&gt;="&amp;TableWeeklySummary[[#This Row],[Desde]],TableDailySummary[Fecha],"&lt;="&amp;TableWeeklySummary[[#This Row],[Hasta]])</f>
        <v>0</v>
      </c>
      <c r="N253" s="12">
        <f ca="1">SUMIFS(TableDailySummary[Tienda 81_net_sales],TableDailySummary[Fecha],"&gt;="&amp;TableWeeklySummary[[#This Row],[Desde]],TableDailySummary[Fecha],"&lt;="&amp;TableWeeklySummary[[#This Row],[Hasta]])</f>
        <v>0</v>
      </c>
      <c r="O253" s="12">
        <f ca="1">SUMIFS(TableDailySummary[Tienda 81_orders],TableDailySummary[Fecha],"&gt;="&amp;TableWeeklySummary[[#This Row],[Desde]],TableDailySummary[Fecha],"&lt;="&amp;TableWeeklySummary[[#This Row],[Hasta]])</f>
        <v>0</v>
      </c>
      <c r="P253" s="12">
        <f ca="1">SUMIFS(TableDailySummary[Rappi_net_sales],TableDailySummary[Fecha],"&gt;="&amp;TableWeeklySummary[[#This Row],[Desde]],TableDailySummary[Fecha],"&lt;="&amp;TableWeeklySummary[[#This Row],[Hasta]])</f>
        <v>0</v>
      </c>
      <c r="Q253" s="12">
        <f ca="1">SUMIFS(TableDailySummary[Rappi_orders],TableDailySummary[Fecha],"&gt;="&amp;TableWeeklySummary[[#This Row],[Desde]],TableDailySummary[Fecha],"&lt;="&amp;TableWeeklySummary[[#This Row],[Hasta]])</f>
        <v>0</v>
      </c>
      <c r="R25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5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53" s="12">
        <f ca="1">SUMIFS(TableDailySummary[Inversión google ads],TableDailySummary[Fecha],"&gt;="&amp;TableWeeklySummary[[#This Row],[Desde]],TableDailySummary[Fecha],"&lt;="&amp;TableWeeklySummary[[#This Row],[Hasta]])</f>
        <v>0</v>
      </c>
      <c r="U253" s="12">
        <f ca="1">SUMIFS(TableDailySummary[Ventas google ads],TableDailySummary[Fecha],"&gt;="&amp;TableWeeklySummary[[#This Row],[Desde]],TableDailySummary[Fecha],"&lt;="&amp;TableWeeklySummary[[#This Row],[Hasta]])</f>
        <v>0</v>
      </c>
      <c r="V253" s="12">
        <f ca="1">SUMIFS(TableDailySummary[Inversión meta ads],TableDailySummary[Fecha],"&gt;="&amp;TableWeeklySummary[[#This Row],[Desde]],TableDailySummary[Fecha],"&lt;="&amp;TableWeeklySummary[[#This Row],[Hasta]])</f>
        <v>0</v>
      </c>
      <c r="W253" s="12">
        <f ca="1">SUMIFS(TableDailySummary[Ventas meta ads],TableDailySummary[Fecha],"&gt;="&amp;TableWeeklySummary[[#This Row],[Desde]],TableDailySummary[Fecha],"&lt;="&amp;TableWeeklySummary[[#This Row],[Hasta]])</f>
        <v>0</v>
      </c>
      <c r="X253" s="12">
        <f ca="1">TableWeeklySummary[[#This Row],[Inversión google ads]]+TableWeeklySummary[[#This Row],[Inversión meta ads]]</f>
        <v>0</v>
      </c>
      <c r="Y253" s="12">
        <f ca="1">TableWeeklySummary[[#This Row],[Ventas google ads]]+TableWeeklySummary[[#This Row],[Ventas meta ads]]</f>
        <v>0</v>
      </c>
      <c r="Z253" s="14">
        <f ca="1">IFERROR(TableWeeklySummary[[#This Row],[Ventas publicidad]]/TableWeeklySummary[[#This Row],[Inversión publicidad]],0)</f>
        <v>0</v>
      </c>
      <c r="AA253" s="14">
        <f ca="1">IFERROR(TableWeeklySummary[[#This Row],[Ventas primer cliente]]/TableWeeklySummary[[#This Row],[Inversión publicidad]],0)</f>
        <v>0</v>
      </c>
      <c r="AB253" s="14"/>
      <c r="AC253" s="12"/>
      <c r="AI25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5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53" s="12">
        <f ca="1">SUMIFS(TableDailySummary[Utilidad bruta],TableDailySummary[Fecha],"&gt;="&amp;TableWeeklySummary[[#This Row],[Desde]],TableDailySummary[Fecha],"&lt;="&amp;TableWeeklySummary[[#This Row],[Hasta]])</f>
        <v>0</v>
      </c>
      <c r="AL253" s="18">
        <f ca="1">IFERROR(TableWeeklySummary[[#This Row],[Utilidad bruta]]/TableWeeklySummary[[#This Row],[Ventas netas con costo registrado]],0)</f>
        <v>0</v>
      </c>
    </row>
    <row r="254" spans="2:38" x14ac:dyDescent="0.2">
      <c r="B254" s="16">
        <f ca="1">_xlfn.ISOWEEKNUM(TableWeeklySummary[[#This Row],[Hasta]])</f>
        <v>31</v>
      </c>
      <c r="C254" s="6">
        <f t="shared" ca="1" si="5"/>
        <v>47690</v>
      </c>
      <c r="D254" s="6">
        <f ca="1">TableWeeklySummary[[#This Row],[Desde]]+7-1</f>
        <v>47696</v>
      </c>
      <c r="E254" s="12">
        <f ca="1">SUMIFS(TableDailySummary[Ventas netas totales],TableDailySummary[Fecha],"&gt;="&amp;TableWeeklySummary[[#This Row],[Desde]],TableDailySummary[Fecha],"&lt;="&amp;TableWeeklySummary[[#This Row],[Hasta]])</f>
        <v>0</v>
      </c>
      <c r="F254" s="12">
        <f ca="1">SUMIFS(TableDailySummary[Órdenes totales],TableDailySummary[Fecha],"&gt;="&amp;TableWeeklySummary[[#This Row],[Desde]],TableDailySummary[Fecha],"&lt;="&amp;TableWeeklySummary[[#This Row],[Hasta]])</f>
        <v>0</v>
      </c>
      <c r="G254" s="12">
        <f ca="1">IFERROR(TableWeeklySummary[[#This Row],[Ventas netas totales]]/TableWeeklySummary[[#This Row],[Órdenes totales]],0)</f>
        <v>0</v>
      </c>
      <c r="H25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54" s="12">
        <f ca="1">TableWeeklySummary[[#This Row],[Órden promedio totales]]*TableWeeklySummary[[#This Row],[CR totales]]</f>
        <v>0</v>
      </c>
      <c r="J254" s="12">
        <f ca="1">SUMIFS(TableDailySummary[Ventas primer cliente],TableDailySummary[Fecha],"&gt;="&amp;TableWeeklySummary[[#This Row],[Desde]],TableDailySummary[Fecha],"&lt;="&amp;TableWeeklySummary[[#This Row],[Hasta]])</f>
        <v>0</v>
      </c>
      <c r="K254" s="12">
        <f ca="1">SUMIFS(TableDailySummary[Órdenes primer cliente],TableDailySummary[Fecha],"&gt;="&amp;TableWeeklySummary[[#This Row],[Desde]],TableDailySummary[Fecha],"&lt;="&amp;TableWeeklySummary[[#This Row],[Hasta]])</f>
        <v>0</v>
      </c>
      <c r="L254" s="12">
        <f ca="1">SUMIFS(TableDailySummary[Online Store_net_sales],TableDailySummary[Fecha],"&gt;="&amp;TableWeeklySummary[[#This Row],[Desde]],TableDailySummary[Fecha],"&lt;="&amp;TableWeeklySummary[[#This Row],[Hasta]])</f>
        <v>0</v>
      </c>
      <c r="M254" s="12">
        <f ca="1">SUMIFS(TableDailySummary[Online Store_orders],TableDailySummary[Fecha],"&gt;="&amp;TableWeeklySummary[[#This Row],[Desde]],TableDailySummary[Fecha],"&lt;="&amp;TableWeeklySummary[[#This Row],[Hasta]])</f>
        <v>0</v>
      </c>
      <c r="N254" s="12">
        <f ca="1">SUMIFS(TableDailySummary[Tienda 81_net_sales],TableDailySummary[Fecha],"&gt;="&amp;TableWeeklySummary[[#This Row],[Desde]],TableDailySummary[Fecha],"&lt;="&amp;TableWeeklySummary[[#This Row],[Hasta]])</f>
        <v>0</v>
      </c>
      <c r="O254" s="12">
        <f ca="1">SUMIFS(TableDailySummary[Tienda 81_orders],TableDailySummary[Fecha],"&gt;="&amp;TableWeeklySummary[[#This Row],[Desde]],TableDailySummary[Fecha],"&lt;="&amp;TableWeeklySummary[[#This Row],[Hasta]])</f>
        <v>0</v>
      </c>
      <c r="P254" s="12">
        <f ca="1">SUMIFS(TableDailySummary[Rappi_net_sales],TableDailySummary[Fecha],"&gt;="&amp;TableWeeklySummary[[#This Row],[Desde]],TableDailySummary[Fecha],"&lt;="&amp;TableWeeklySummary[[#This Row],[Hasta]])</f>
        <v>0</v>
      </c>
      <c r="Q254" s="12">
        <f ca="1">SUMIFS(TableDailySummary[Rappi_orders],TableDailySummary[Fecha],"&gt;="&amp;TableWeeklySummary[[#This Row],[Desde]],TableDailySummary[Fecha],"&lt;="&amp;TableWeeklySummary[[#This Row],[Hasta]])</f>
        <v>0</v>
      </c>
      <c r="R25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5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54" s="12">
        <f ca="1">SUMIFS(TableDailySummary[Inversión google ads],TableDailySummary[Fecha],"&gt;="&amp;TableWeeklySummary[[#This Row],[Desde]],TableDailySummary[Fecha],"&lt;="&amp;TableWeeklySummary[[#This Row],[Hasta]])</f>
        <v>0</v>
      </c>
      <c r="U254" s="12">
        <f ca="1">SUMIFS(TableDailySummary[Ventas google ads],TableDailySummary[Fecha],"&gt;="&amp;TableWeeklySummary[[#This Row],[Desde]],TableDailySummary[Fecha],"&lt;="&amp;TableWeeklySummary[[#This Row],[Hasta]])</f>
        <v>0</v>
      </c>
      <c r="V254" s="12">
        <f ca="1">SUMIFS(TableDailySummary[Inversión meta ads],TableDailySummary[Fecha],"&gt;="&amp;TableWeeklySummary[[#This Row],[Desde]],TableDailySummary[Fecha],"&lt;="&amp;TableWeeklySummary[[#This Row],[Hasta]])</f>
        <v>0</v>
      </c>
      <c r="W254" s="12">
        <f ca="1">SUMIFS(TableDailySummary[Ventas meta ads],TableDailySummary[Fecha],"&gt;="&amp;TableWeeklySummary[[#This Row],[Desde]],TableDailySummary[Fecha],"&lt;="&amp;TableWeeklySummary[[#This Row],[Hasta]])</f>
        <v>0</v>
      </c>
      <c r="X254" s="12">
        <f ca="1">TableWeeklySummary[[#This Row],[Inversión google ads]]+TableWeeklySummary[[#This Row],[Inversión meta ads]]</f>
        <v>0</v>
      </c>
      <c r="Y254" s="12">
        <f ca="1">TableWeeklySummary[[#This Row],[Ventas google ads]]+TableWeeklySummary[[#This Row],[Ventas meta ads]]</f>
        <v>0</v>
      </c>
      <c r="Z254" s="14">
        <f ca="1">IFERROR(TableWeeklySummary[[#This Row],[Ventas publicidad]]/TableWeeklySummary[[#This Row],[Inversión publicidad]],0)</f>
        <v>0</v>
      </c>
      <c r="AA254" s="14">
        <f ca="1">IFERROR(TableWeeklySummary[[#This Row],[Ventas primer cliente]]/TableWeeklySummary[[#This Row],[Inversión publicidad]],0)</f>
        <v>0</v>
      </c>
      <c r="AB254" s="14"/>
      <c r="AC254" s="12"/>
      <c r="AI25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5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54" s="12">
        <f ca="1">SUMIFS(TableDailySummary[Utilidad bruta],TableDailySummary[Fecha],"&gt;="&amp;TableWeeklySummary[[#This Row],[Desde]],TableDailySummary[Fecha],"&lt;="&amp;TableWeeklySummary[[#This Row],[Hasta]])</f>
        <v>0</v>
      </c>
      <c r="AL254" s="18">
        <f ca="1">IFERROR(TableWeeklySummary[[#This Row],[Utilidad bruta]]/TableWeeklySummary[[#This Row],[Ventas netas con costo registrado]],0)</f>
        <v>0</v>
      </c>
    </row>
    <row r="255" spans="2:38" x14ac:dyDescent="0.2">
      <c r="B255" s="16">
        <f ca="1">_xlfn.ISOWEEKNUM(TableWeeklySummary[[#This Row],[Hasta]])</f>
        <v>32</v>
      </c>
      <c r="C255" s="6">
        <f t="shared" ca="1" si="5"/>
        <v>47697</v>
      </c>
      <c r="D255" s="6">
        <f ca="1">TableWeeklySummary[[#This Row],[Desde]]+7-1</f>
        <v>47703</v>
      </c>
      <c r="E255" s="12">
        <f ca="1">SUMIFS(TableDailySummary[Ventas netas totales],TableDailySummary[Fecha],"&gt;="&amp;TableWeeklySummary[[#This Row],[Desde]],TableDailySummary[Fecha],"&lt;="&amp;TableWeeklySummary[[#This Row],[Hasta]])</f>
        <v>0</v>
      </c>
      <c r="F255" s="12">
        <f ca="1">SUMIFS(TableDailySummary[Órdenes totales],TableDailySummary[Fecha],"&gt;="&amp;TableWeeklySummary[[#This Row],[Desde]],TableDailySummary[Fecha],"&lt;="&amp;TableWeeklySummary[[#This Row],[Hasta]])</f>
        <v>0</v>
      </c>
      <c r="G255" s="12">
        <f ca="1">IFERROR(TableWeeklySummary[[#This Row],[Ventas netas totales]]/TableWeeklySummary[[#This Row],[Órdenes totales]],0)</f>
        <v>0</v>
      </c>
      <c r="H25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55" s="12">
        <f ca="1">TableWeeklySummary[[#This Row],[Órden promedio totales]]*TableWeeklySummary[[#This Row],[CR totales]]</f>
        <v>0</v>
      </c>
      <c r="J255" s="12">
        <f ca="1">SUMIFS(TableDailySummary[Ventas primer cliente],TableDailySummary[Fecha],"&gt;="&amp;TableWeeklySummary[[#This Row],[Desde]],TableDailySummary[Fecha],"&lt;="&amp;TableWeeklySummary[[#This Row],[Hasta]])</f>
        <v>0</v>
      </c>
      <c r="K255" s="12">
        <f ca="1">SUMIFS(TableDailySummary[Órdenes primer cliente],TableDailySummary[Fecha],"&gt;="&amp;TableWeeklySummary[[#This Row],[Desde]],TableDailySummary[Fecha],"&lt;="&amp;TableWeeklySummary[[#This Row],[Hasta]])</f>
        <v>0</v>
      </c>
      <c r="L255" s="12">
        <f ca="1">SUMIFS(TableDailySummary[Online Store_net_sales],TableDailySummary[Fecha],"&gt;="&amp;TableWeeklySummary[[#This Row],[Desde]],TableDailySummary[Fecha],"&lt;="&amp;TableWeeklySummary[[#This Row],[Hasta]])</f>
        <v>0</v>
      </c>
      <c r="M255" s="12">
        <f ca="1">SUMIFS(TableDailySummary[Online Store_orders],TableDailySummary[Fecha],"&gt;="&amp;TableWeeklySummary[[#This Row],[Desde]],TableDailySummary[Fecha],"&lt;="&amp;TableWeeklySummary[[#This Row],[Hasta]])</f>
        <v>0</v>
      </c>
      <c r="N255" s="12">
        <f ca="1">SUMIFS(TableDailySummary[Tienda 81_net_sales],TableDailySummary[Fecha],"&gt;="&amp;TableWeeklySummary[[#This Row],[Desde]],TableDailySummary[Fecha],"&lt;="&amp;TableWeeklySummary[[#This Row],[Hasta]])</f>
        <v>0</v>
      </c>
      <c r="O255" s="12">
        <f ca="1">SUMIFS(TableDailySummary[Tienda 81_orders],TableDailySummary[Fecha],"&gt;="&amp;TableWeeklySummary[[#This Row],[Desde]],TableDailySummary[Fecha],"&lt;="&amp;TableWeeklySummary[[#This Row],[Hasta]])</f>
        <v>0</v>
      </c>
      <c r="P255" s="12">
        <f ca="1">SUMIFS(TableDailySummary[Rappi_net_sales],TableDailySummary[Fecha],"&gt;="&amp;TableWeeklySummary[[#This Row],[Desde]],TableDailySummary[Fecha],"&lt;="&amp;TableWeeklySummary[[#This Row],[Hasta]])</f>
        <v>0</v>
      </c>
      <c r="Q255" s="12">
        <f ca="1">SUMIFS(TableDailySummary[Rappi_orders],TableDailySummary[Fecha],"&gt;="&amp;TableWeeklySummary[[#This Row],[Desde]],TableDailySummary[Fecha],"&lt;="&amp;TableWeeklySummary[[#This Row],[Hasta]])</f>
        <v>0</v>
      </c>
      <c r="R25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5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55" s="12">
        <f ca="1">SUMIFS(TableDailySummary[Inversión google ads],TableDailySummary[Fecha],"&gt;="&amp;TableWeeklySummary[[#This Row],[Desde]],TableDailySummary[Fecha],"&lt;="&amp;TableWeeklySummary[[#This Row],[Hasta]])</f>
        <v>0</v>
      </c>
      <c r="U255" s="12">
        <f ca="1">SUMIFS(TableDailySummary[Ventas google ads],TableDailySummary[Fecha],"&gt;="&amp;TableWeeklySummary[[#This Row],[Desde]],TableDailySummary[Fecha],"&lt;="&amp;TableWeeklySummary[[#This Row],[Hasta]])</f>
        <v>0</v>
      </c>
      <c r="V255" s="12">
        <f ca="1">SUMIFS(TableDailySummary[Inversión meta ads],TableDailySummary[Fecha],"&gt;="&amp;TableWeeklySummary[[#This Row],[Desde]],TableDailySummary[Fecha],"&lt;="&amp;TableWeeklySummary[[#This Row],[Hasta]])</f>
        <v>0</v>
      </c>
      <c r="W255" s="12">
        <f ca="1">SUMIFS(TableDailySummary[Ventas meta ads],TableDailySummary[Fecha],"&gt;="&amp;TableWeeklySummary[[#This Row],[Desde]],TableDailySummary[Fecha],"&lt;="&amp;TableWeeklySummary[[#This Row],[Hasta]])</f>
        <v>0</v>
      </c>
      <c r="X255" s="12">
        <f ca="1">TableWeeklySummary[[#This Row],[Inversión google ads]]+TableWeeklySummary[[#This Row],[Inversión meta ads]]</f>
        <v>0</v>
      </c>
      <c r="Y255" s="12">
        <f ca="1">TableWeeklySummary[[#This Row],[Ventas google ads]]+TableWeeklySummary[[#This Row],[Ventas meta ads]]</f>
        <v>0</v>
      </c>
      <c r="Z255" s="14">
        <f ca="1">IFERROR(TableWeeklySummary[[#This Row],[Ventas publicidad]]/TableWeeklySummary[[#This Row],[Inversión publicidad]],0)</f>
        <v>0</v>
      </c>
      <c r="AA255" s="14">
        <f ca="1">IFERROR(TableWeeklySummary[[#This Row],[Ventas primer cliente]]/TableWeeklySummary[[#This Row],[Inversión publicidad]],0)</f>
        <v>0</v>
      </c>
      <c r="AB255" s="14"/>
      <c r="AC255" s="12"/>
      <c r="AI25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5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55" s="12">
        <f ca="1">SUMIFS(TableDailySummary[Utilidad bruta],TableDailySummary[Fecha],"&gt;="&amp;TableWeeklySummary[[#This Row],[Desde]],TableDailySummary[Fecha],"&lt;="&amp;TableWeeklySummary[[#This Row],[Hasta]])</f>
        <v>0</v>
      </c>
      <c r="AL255" s="18">
        <f ca="1">IFERROR(TableWeeklySummary[[#This Row],[Utilidad bruta]]/TableWeeklySummary[[#This Row],[Ventas netas con costo registrado]],0)</f>
        <v>0</v>
      </c>
    </row>
    <row r="256" spans="2:38" x14ac:dyDescent="0.2">
      <c r="B256" s="16">
        <f ca="1">_xlfn.ISOWEEKNUM(TableWeeklySummary[[#This Row],[Hasta]])</f>
        <v>33</v>
      </c>
      <c r="C256" s="6">
        <f t="shared" ref="C256:C319" ca="1" si="6">_xlfn.LET(
    _xlpm.fechaini, ParamFechaInicioReporte,
    _xlpm.start_friday, IF(WEEKDAY(_xlpm.fechaini, 1) = 6, _xlpm.fechaini, _xlpm.fechaini - MOD(WEEKDAY(_xlpm.fechaini, 1) + 1, 7)),
    IF(ROW()=8, _xlpm.start_friday, C255 + 7)
)</f>
        <v>47704</v>
      </c>
      <c r="D256" s="6">
        <f ca="1">TableWeeklySummary[[#This Row],[Desde]]+7-1</f>
        <v>47710</v>
      </c>
      <c r="E256" s="12">
        <f ca="1">SUMIFS(TableDailySummary[Ventas netas totales],TableDailySummary[Fecha],"&gt;="&amp;TableWeeklySummary[[#This Row],[Desde]],TableDailySummary[Fecha],"&lt;="&amp;TableWeeklySummary[[#This Row],[Hasta]])</f>
        <v>0</v>
      </c>
      <c r="F256" s="12">
        <f ca="1">SUMIFS(TableDailySummary[Órdenes totales],TableDailySummary[Fecha],"&gt;="&amp;TableWeeklySummary[[#This Row],[Desde]],TableDailySummary[Fecha],"&lt;="&amp;TableWeeklySummary[[#This Row],[Hasta]])</f>
        <v>0</v>
      </c>
      <c r="G256" s="12">
        <f ca="1">IFERROR(TableWeeklySummary[[#This Row],[Ventas netas totales]]/TableWeeklySummary[[#This Row],[Órdenes totales]],0)</f>
        <v>0</v>
      </c>
      <c r="H25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56" s="12">
        <f ca="1">TableWeeklySummary[[#This Row],[Órden promedio totales]]*TableWeeklySummary[[#This Row],[CR totales]]</f>
        <v>0</v>
      </c>
      <c r="J256" s="12">
        <f ca="1">SUMIFS(TableDailySummary[Ventas primer cliente],TableDailySummary[Fecha],"&gt;="&amp;TableWeeklySummary[[#This Row],[Desde]],TableDailySummary[Fecha],"&lt;="&amp;TableWeeklySummary[[#This Row],[Hasta]])</f>
        <v>0</v>
      </c>
      <c r="K256" s="12">
        <f ca="1">SUMIFS(TableDailySummary[Órdenes primer cliente],TableDailySummary[Fecha],"&gt;="&amp;TableWeeklySummary[[#This Row],[Desde]],TableDailySummary[Fecha],"&lt;="&amp;TableWeeklySummary[[#This Row],[Hasta]])</f>
        <v>0</v>
      </c>
      <c r="L256" s="12">
        <f ca="1">SUMIFS(TableDailySummary[Online Store_net_sales],TableDailySummary[Fecha],"&gt;="&amp;TableWeeklySummary[[#This Row],[Desde]],TableDailySummary[Fecha],"&lt;="&amp;TableWeeklySummary[[#This Row],[Hasta]])</f>
        <v>0</v>
      </c>
      <c r="M256" s="12">
        <f ca="1">SUMIFS(TableDailySummary[Online Store_orders],TableDailySummary[Fecha],"&gt;="&amp;TableWeeklySummary[[#This Row],[Desde]],TableDailySummary[Fecha],"&lt;="&amp;TableWeeklySummary[[#This Row],[Hasta]])</f>
        <v>0</v>
      </c>
      <c r="N256" s="12">
        <f ca="1">SUMIFS(TableDailySummary[Tienda 81_net_sales],TableDailySummary[Fecha],"&gt;="&amp;TableWeeklySummary[[#This Row],[Desde]],TableDailySummary[Fecha],"&lt;="&amp;TableWeeklySummary[[#This Row],[Hasta]])</f>
        <v>0</v>
      </c>
      <c r="O256" s="12">
        <f ca="1">SUMIFS(TableDailySummary[Tienda 81_orders],TableDailySummary[Fecha],"&gt;="&amp;TableWeeklySummary[[#This Row],[Desde]],TableDailySummary[Fecha],"&lt;="&amp;TableWeeklySummary[[#This Row],[Hasta]])</f>
        <v>0</v>
      </c>
      <c r="P256" s="12">
        <f ca="1">SUMIFS(TableDailySummary[Rappi_net_sales],TableDailySummary[Fecha],"&gt;="&amp;TableWeeklySummary[[#This Row],[Desde]],TableDailySummary[Fecha],"&lt;="&amp;TableWeeklySummary[[#This Row],[Hasta]])</f>
        <v>0</v>
      </c>
      <c r="Q256" s="12">
        <f ca="1">SUMIFS(TableDailySummary[Rappi_orders],TableDailySummary[Fecha],"&gt;="&amp;TableWeeklySummary[[#This Row],[Desde]],TableDailySummary[Fecha],"&lt;="&amp;TableWeeklySummary[[#This Row],[Hasta]])</f>
        <v>0</v>
      </c>
      <c r="R25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5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56" s="12">
        <f ca="1">SUMIFS(TableDailySummary[Inversión google ads],TableDailySummary[Fecha],"&gt;="&amp;TableWeeklySummary[[#This Row],[Desde]],TableDailySummary[Fecha],"&lt;="&amp;TableWeeklySummary[[#This Row],[Hasta]])</f>
        <v>0</v>
      </c>
      <c r="U256" s="12">
        <f ca="1">SUMIFS(TableDailySummary[Ventas google ads],TableDailySummary[Fecha],"&gt;="&amp;TableWeeklySummary[[#This Row],[Desde]],TableDailySummary[Fecha],"&lt;="&amp;TableWeeklySummary[[#This Row],[Hasta]])</f>
        <v>0</v>
      </c>
      <c r="V256" s="12">
        <f ca="1">SUMIFS(TableDailySummary[Inversión meta ads],TableDailySummary[Fecha],"&gt;="&amp;TableWeeklySummary[[#This Row],[Desde]],TableDailySummary[Fecha],"&lt;="&amp;TableWeeklySummary[[#This Row],[Hasta]])</f>
        <v>0</v>
      </c>
      <c r="W256" s="12">
        <f ca="1">SUMIFS(TableDailySummary[Ventas meta ads],TableDailySummary[Fecha],"&gt;="&amp;TableWeeklySummary[[#This Row],[Desde]],TableDailySummary[Fecha],"&lt;="&amp;TableWeeklySummary[[#This Row],[Hasta]])</f>
        <v>0</v>
      </c>
      <c r="X256" s="12">
        <f ca="1">TableWeeklySummary[[#This Row],[Inversión google ads]]+TableWeeklySummary[[#This Row],[Inversión meta ads]]</f>
        <v>0</v>
      </c>
      <c r="Y256" s="12">
        <f ca="1">TableWeeklySummary[[#This Row],[Ventas google ads]]+TableWeeklySummary[[#This Row],[Ventas meta ads]]</f>
        <v>0</v>
      </c>
      <c r="Z256" s="14">
        <f ca="1">IFERROR(TableWeeklySummary[[#This Row],[Ventas publicidad]]/TableWeeklySummary[[#This Row],[Inversión publicidad]],0)</f>
        <v>0</v>
      </c>
      <c r="AA256" s="14">
        <f ca="1">IFERROR(TableWeeklySummary[[#This Row],[Ventas primer cliente]]/TableWeeklySummary[[#This Row],[Inversión publicidad]],0)</f>
        <v>0</v>
      </c>
      <c r="AB256" s="14"/>
      <c r="AC256" s="12"/>
      <c r="AI25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5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56" s="12">
        <f ca="1">SUMIFS(TableDailySummary[Utilidad bruta],TableDailySummary[Fecha],"&gt;="&amp;TableWeeklySummary[[#This Row],[Desde]],TableDailySummary[Fecha],"&lt;="&amp;TableWeeklySummary[[#This Row],[Hasta]])</f>
        <v>0</v>
      </c>
      <c r="AL256" s="18">
        <f ca="1">IFERROR(TableWeeklySummary[[#This Row],[Utilidad bruta]]/TableWeeklySummary[[#This Row],[Ventas netas con costo registrado]],0)</f>
        <v>0</v>
      </c>
    </row>
    <row r="257" spans="2:38" x14ac:dyDescent="0.2">
      <c r="B257" s="16">
        <f ca="1">_xlfn.ISOWEEKNUM(TableWeeklySummary[[#This Row],[Hasta]])</f>
        <v>34</v>
      </c>
      <c r="C257" s="6">
        <f t="shared" ca="1" si="6"/>
        <v>47711</v>
      </c>
      <c r="D257" s="6">
        <f ca="1">TableWeeklySummary[[#This Row],[Desde]]+7-1</f>
        <v>47717</v>
      </c>
      <c r="E257" s="12">
        <f ca="1">SUMIFS(TableDailySummary[Ventas netas totales],TableDailySummary[Fecha],"&gt;="&amp;TableWeeklySummary[[#This Row],[Desde]],TableDailySummary[Fecha],"&lt;="&amp;TableWeeklySummary[[#This Row],[Hasta]])</f>
        <v>0</v>
      </c>
      <c r="F257" s="12">
        <f ca="1">SUMIFS(TableDailySummary[Órdenes totales],TableDailySummary[Fecha],"&gt;="&amp;TableWeeklySummary[[#This Row],[Desde]],TableDailySummary[Fecha],"&lt;="&amp;TableWeeklySummary[[#This Row],[Hasta]])</f>
        <v>0</v>
      </c>
      <c r="G257" s="12">
        <f ca="1">IFERROR(TableWeeklySummary[[#This Row],[Ventas netas totales]]/TableWeeklySummary[[#This Row],[Órdenes totales]],0)</f>
        <v>0</v>
      </c>
      <c r="H25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57" s="12">
        <f ca="1">TableWeeklySummary[[#This Row],[Órden promedio totales]]*TableWeeklySummary[[#This Row],[CR totales]]</f>
        <v>0</v>
      </c>
      <c r="J257" s="12">
        <f ca="1">SUMIFS(TableDailySummary[Ventas primer cliente],TableDailySummary[Fecha],"&gt;="&amp;TableWeeklySummary[[#This Row],[Desde]],TableDailySummary[Fecha],"&lt;="&amp;TableWeeklySummary[[#This Row],[Hasta]])</f>
        <v>0</v>
      </c>
      <c r="K257" s="12">
        <f ca="1">SUMIFS(TableDailySummary[Órdenes primer cliente],TableDailySummary[Fecha],"&gt;="&amp;TableWeeklySummary[[#This Row],[Desde]],TableDailySummary[Fecha],"&lt;="&amp;TableWeeklySummary[[#This Row],[Hasta]])</f>
        <v>0</v>
      </c>
      <c r="L257" s="12">
        <f ca="1">SUMIFS(TableDailySummary[Online Store_net_sales],TableDailySummary[Fecha],"&gt;="&amp;TableWeeklySummary[[#This Row],[Desde]],TableDailySummary[Fecha],"&lt;="&amp;TableWeeklySummary[[#This Row],[Hasta]])</f>
        <v>0</v>
      </c>
      <c r="M257" s="12">
        <f ca="1">SUMIFS(TableDailySummary[Online Store_orders],TableDailySummary[Fecha],"&gt;="&amp;TableWeeklySummary[[#This Row],[Desde]],TableDailySummary[Fecha],"&lt;="&amp;TableWeeklySummary[[#This Row],[Hasta]])</f>
        <v>0</v>
      </c>
      <c r="N257" s="12">
        <f ca="1">SUMIFS(TableDailySummary[Tienda 81_net_sales],TableDailySummary[Fecha],"&gt;="&amp;TableWeeklySummary[[#This Row],[Desde]],TableDailySummary[Fecha],"&lt;="&amp;TableWeeklySummary[[#This Row],[Hasta]])</f>
        <v>0</v>
      </c>
      <c r="O257" s="12">
        <f ca="1">SUMIFS(TableDailySummary[Tienda 81_orders],TableDailySummary[Fecha],"&gt;="&amp;TableWeeklySummary[[#This Row],[Desde]],TableDailySummary[Fecha],"&lt;="&amp;TableWeeklySummary[[#This Row],[Hasta]])</f>
        <v>0</v>
      </c>
      <c r="P257" s="12">
        <f ca="1">SUMIFS(TableDailySummary[Rappi_net_sales],TableDailySummary[Fecha],"&gt;="&amp;TableWeeklySummary[[#This Row],[Desde]],TableDailySummary[Fecha],"&lt;="&amp;TableWeeklySummary[[#This Row],[Hasta]])</f>
        <v>0</v>
      </c>
      <c r="Q257" s="12">
        <f ca="1">SUMIFS(TableDailySummary[Rappi_orders],TableDailySummary[Fecha],"&gt;="&amp;TableWeeklySummary[[#This Row],[Desde]],TableDailySummary[Fecha],"&lt;="&amp;TableWeeklySummary[[#This Row],[Hasta]])</f>
        <v>0</v>
      </c>
      <c r="R25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5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57" s="12">
        <f ca="1">SUMIFS(TableDailySummary[Inversión google ads],TableDailySummary[Fecha],"&gt;="&amp;TableWeeklySummary[[#This Row],[Desde]],TableDailySummary[Fecha],"&lt;="&amp;TableWeeklySummary[[#This Row],[Hasta]])</f>
        <v>0</v>
      </c>
      <c r="U257" s="12">
        <f ca="1">SUMIFS(TableDailySummary[Ventas google ads],TableDailySummary[Fecha],"&gt;="&amp;TableWeeklySummary[[#This Row],[Desde]],TableDailySummary[Fecha],"&lt;="&amp;TableWeeklySummary[[#This Row],[Hasta]])</f>
        <v>0</v>
      </c>
      <c r="V257" s="12">
        <f ca="1">SUMIFS(TableDailySummary[Inversión meta ads],TableDailySummary[Fecha],"&gt;="&amp;TableWeeklySummary[[#This Row],[Desde]],TableDailySummary[Fecha],"&lt;="&amp;TableWeeklySummary[[#This Row],[Hasta]])</f>
        <v>0</v>
      </c>
      <c r="W257" s="12">
        <f ca="1">SUMIFS(TableDailySummary[Ventas meta ads],TableDailySummary[Fecha],"&gt;="&amp;TableWeeklySummary[[#This Row],[Desde]],TableDailySummary[Fecha],"&lt;="&amp;TableWeeklySummary[[#This Row],[Hasta]])</f>
        <v>0</v>
      </c>
      <c r="X257" s="12">
        <f ca="1">TableWeeklySummary[[#This Row],[Inversión google ads]]+TableWeeklySummary[[#This Row],[Inversión meta ads]]</f>
        <v>0</v>
      </c>
      <c r="Y257" s="12">
        <f ca="1">TableWeeklySummary[[#This Row],[Ventas google ads]]+TableWeeklySummary[[#This Row],[Ventas meta ads]]</f>
        <v>0</v>
      </c>
      <c r="Z257" s="14">
        <f ca="1">IFERROR(TableWeeklySummary[[#This Row],[Ventas publicidad]]/TableWeeklySummary[[#This Row],[Inversión publicidad]],0)</f>
        <v>0</v>
      </c>
      <c r="AA257" s="14">
        <f ca="1">IFERROR(TableWeeklySummary[[#This Row],[Ventas primer cliente]]/TableWeeklySummary[[#This Row],[Inversión publicidad]],0)</f>
        <v>0</v>
      </c>
      <c r="AB257" s="14"/>
      <c r="AC257" s="12"/>
      <c r="AI25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5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57" s="12">
        <f ca="1">SUMIFS(TableDailySummary[Utilidad bruta],TableDailySummary[Fecha],"&gt;="&amp;TableWeeklySummary[[#This Row],[Desde]],TableDailySummary[Fecha],"&lt;="&amp;TableWeeklySummary[[#This Row],[Hasta]])</f>
        <v>0</v>
      </c>
      <c r="AL257" s="18">
        <f ca="1">IFERROR(TableWeeklySummary[[#This Row],[Utilidad bruta]]/TableWeeklySummary[[#This Row],[Ventas netas con costo registrado]],0)</f>
        <v>0</v>
      </c>
    </row>
    <row r="258" spans="2:38" x14ac:dyDescent="0.2">
      <c r="B258" s="16">
        <f ca="1">_xlfn.ISOWEEKNUM(TableWeeklySummary[[#This Row],[Hasta]])</f>
        <v>35</v>
      </c>
      <c r="C258" s="6">
        <f t="shared" ca="1" si="6"/>
        <v>47718</v>
      </c>
      <c r="D258" s="6">
        <f ca="1">TableWeeklySummary[[#This Row],[Desde]]+7-1</f>
        <v>47724</v>
      </c>
      <c r="E258" s="12">
        <f ca="1">SUMIFS(TableDailySummary[Ventas netas totales],TableDailySummary[Fecha],"&gt;="&amp;TableWeeklySummary[[#This Row],[Desde]],TableDailySummary[Fecha],"&lt;="&amp;TableWeeklySummary[[#This Row],[Hasta]])</f>
        <v>0</v>
      </c>
      <c r="F258" s="12">
        <f ca="1">SUMIFS(TableDailySummary[Órdenes totales],TableDailySummary[Fecha],"&gt;="&amp;TableWeeklySummary[[#This Row],[Desde]],TableDailySummary[Fecha],"&lt;="&amp;TableWeeklySummary[[#This Row],[Hasta]])</f>
        <v>0</v>
      </c>
      <c r="G258" s="12">
        <f ca="1">IFERROR(TableWeeklySummary[[#This Row],[Ventas netas totales]]/TableWeeklySummary[[#This Row],[Órdenes totales]],0)</f>
        <v>0</v>
      </c>
      <c r="H25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58" s="12">
        <f ca="1">TableWeeklySummary[[#This Row],[Órden promedio totales]]*TableWeeklySummary[[#This Row],[CR totales]]</f>
        <v>0</v>
      </c>
      <c r="J258" s="12">
        <f ca="1">SUMIFS(TableDailySummary[Ventas primer cliente],TableDailySummary[Fecha],"&gt;="&amp;TableWeeklySummary[[#This Row],[Desde]],TableDailySummary[Fecha],"&lt;="&amp;TableWeeklySummary[[#This Row],[Hasta]])</f>
        <v>0</v>
      </c>
      <c r="K258" s="12">
        <f ca="1">SUMIFS(TableDailySummary[Órdenes primer cliente],TableDailySummary[Fecha],"&gt;="&amp;TableWeeklySummary[[#This Row],[Desde]],TableDailySummary[Fecha],"&lt;="&amp;TableWeeklySummary[[#This Row],[Hasta]])</f>
        <v>0</v>
      </c>
      <c r="L258" s="12">
        <f ca="1">SUMIFS(TableDailySummary[Online Store_net_sales],TableDailySummary[Fecha],"&gt;="&amp;TableWeeklySummary[[#This Row],[Desde]],TableDailySummary[Fecha],"&lt;="&amp;TableWeeklySummary[[#This Row],[Hasta]])</f>
        <v>0</v>
      </c>
      <c r="M258" s="12">
        <f ca="1">SUMIFS(TableDailySummary[Online Store_orders],TableDailySummary[Fecha],"&gt;="&amp;TableWeeklySummary[[#This Row],[Desde]],TableDailySummary[Fecha],"&lt;="&amp;TableWeeklySummary[[#This Row],[Hasta]])</f>
        <v>0</v>
      </c>
      <c r="N258" s="12">
        <f ca="1">SUMIFS(TableDailySummary[Tienda 81_net_sales],TableDailySummary[Fecha],"&gt;="&amp;TableWeeklySummary[[#This Row],[Desde]],TableDailySummary[Fecha],"&lt;="&amp;TableWeeklySummary[[#This Row],[Hasta]])</f>
        <v>0</v>
      </c>
      <c r="O258" s="12">
        <f ca="1">SUMIFS(TableDailySummary[Tienda 81_orders],TableDailySummary[Fecha],"&gt;="&amp;TableWeeklySummary[[#This Row],[Desde]],TableDailySummary[Fecha],"&lt;="&amp;TableWeeklySummary[[#This Row],[Hasta]])</f>
        <v>0</v>
      </c>
      <c r="P258" s="12">
        <f ca="1">SUMIFS(TableDailySummary[Rappi_net_sales],TableDailySummary[Fecha],"&gt;="&amp;TableWeeklySummary[[#This Row],[Desde]],TableDailySummary[Fecha],"&lt;="&amp;TableWeeklySummary[[#This Row],[Hasta]])</f>
        <v>0</v>
      </c>
      <c r="Q258" s="12">
        <f ca="1">SUMIFS(TableDailySummary[Rappi_orders],TableDailySummary[Fecha],"&gt;="&amp;TableWeeklySummary[[#This Row],[Desde]],TableDailySummary[Fecha],"&lt;="&amp;TableWeeklySummary[[#This Row],[Hasta]])</f>
        <v>0</v>
      </c>
      <c r="R25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5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58" s="12">
        <f ca="1">SUMIFS(TableDailySummary[Inversión google ads],TableDailySummary[Fecha],"&gt;="&amp;TableWeeklySummary[[#This Row],[Desde]],TableDailySummary[Fecha],"&lt;="&amp;TableWeeklySummary[[#This Row],[Hasta]])</f>
        <v>0</v>
      </c>
      <c r="U258" s="12">
        <f ca="1">SUMIFS(TableDailySummary[Ventas google ads],TableDailySummary[Fecha],"&gt;="&amp;TableWeeklySummary[[#This Row],[Desde]],TableDailySummary[Fecha],"&lt;="&amp;TableWeeklySummary[[#This Row],[Hasta]])</f>
        <v>0</v>
      </c>
      <c r="V258" s="12">
        <f ca="1">SUMIFS(TableDailySummary[Inversión meta ads],TableDailySummary[Fecha],"&gt;="&amp;TableWeeklySummary[[#This Row],[Desde]],TableDailySummary[Fecha],"&lt;="&amp;TableWeeklySummary[[#This Row],[Hasta]])</f>
        <v>0</v>
      </c>
      <c r="W258" s="12">
        <f ca="1">SUMIFS(TableDailySummary[Ventas meta ads],TableDailySummary[Fecha],"&gt;="&amp;TableWeeklySummary[[#This Row],[Desde]],TableDailySummary[Fecha],"&lt;="&amp;TableWeeklySummary[[#This Row],[Hasta]])</f>
        <v>0</v>
      </c>
      <c r="X258" s="12">
        <f ca="1">TableWeeklySummary[[#This Row],[Inversión google ads]]+TableWeeklySummary[[#This Row],[Inversión meta ads]]</f>
        <v>0</v>
      </c>
      <c r="Y258" s="12">
        <f ca="1">TableWeeklySummary[[#This Row],[Ventas google ads]]+TableWeeklySummary[[#This Row],[Ventas meta ads]]</f>
        <v>0</v>
      </c>
      <c r="Z258" s="14">
        <f ca="1">IFERROR(TableWeeklySummary[[#This Row],[Ventas publicidad]]/TableWeeklySummary[[#This Row],[Inversión publicidad]],0)</f>
        <v>0</v>
      </c>
      <c r="AA258" s="14">
        <f ca="1">IFERROR(TableWeeklySummary[[#This Row],[Ventas primer cliente]]/TableWeeklySummary[[#This Row],[Inversión publicidad]],0)</f>
        <v>0</v>
      </c>
      <c r="AB258" s="14"/>
      <c r="AC258" s="12"/>
      <c r="AI25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5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58" s="12">
        <f ca="1">SUMIFS(TableDailySummary[Utilidad bruta],TableDailySummary[Fecha],"&gt;="&amp;TableWeeklySummary[[#This Row],[Desde]],TableDailySummary[Fecha],"&lt;="&amp;TableWeeklySummary[[#This Row],[Hasta]])</f>
        <v>0</v>
      </c>
      <c r="AL258" s="18">
        <f ca="1">IFERROR(TableWeeklySummary[[#This Row],[Utilidad bruta]]/TableWeeklySummary[[#This Row],[Ventas netas con costo registrado]],0)</f>
        <v>0</v>
      </c>
    </row>
    <row r="259" spans="2:38" x14ac:dyDescent="0.2">
      <c r="B259" s="16">
        <f ca="1">_xlfn.ISOWEEKNUM(TableWeeklySummary[[#This Row],[Hasta]])</f>
        <v>36</v>
      </c>
      <c r="C259" s="6">
        <f t="shared" ca="1" si="6"/>
        <v>47725</v>
      </c>
      <c r="D259" s="6">
        <f ca="1">TableWeeklySummary[[#This Row],[Desde]]+7-1</f>
        <v>47731</v>
      </c>
      <c r="E259" s="12">
        <f ca="1">SUMIFS(TableDailySummary[Ventas netas totales],TableDailySummary[Fecha],"&gt;="&amp;TableWeeklySummary[[#This Row],[Desde]],TableDailySummary[Fecha],"&lt;="&amp;TableWeeklySummary[[#This Row],[Hasta]])</f>
        <v>0</v>
      </c>
      <c r="F259" s="12">
        <f ca="1">SUMIFS(TableDailySummary[Órdenes totales],TableDailySummary[Fecha],"&gt;="&amp;TableWeeklySummary[[#This Row],[Desde]],TableDailySummary[Fecha],"&lt;="&amp;TableWeeklySummary[[#This Row],[Hasta]])</f>
        <v>0</v>
      </c>
      <c r="G259" s="12">
        <f ca="1">IFERROR(TableWeeklySummary[[#This Row],[Ventas netas totales]]/TableWeeklySummary[[#This Row],[Órdenes totales]],0)</f>
        <v>0</v>
      </c>
      <c r="H25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59" s="12">
        <f ca="1">TableWeeklySummary[[#This Row],[Órden promedio totales]]*TableWeeklySummary[[#This Row],[CR totales]]</f>
        <v>0</v>
      </c>
      <c r="J259" s="12">
        <f ca="1">SUMIFS(TableDailySummary[Ventas primer cliente],TableDailySummary[Fecha],"&gt;="&amp;TableWeeklySummary[[#This Row],[Desde]],TableDailySummary[Fecha],"&lt;="&amp;TableWeeklySummary[[#This Row],[Hasta]])</f>
        <v>0</v>
      </c>
      <c r="K259" s="12">
        <f ca="1">SUMIFS(TableDailySummary[Órdenes primer cliente],TableDailySummary[Fecha],"&gt;="&amp;TableWeeklySummary[[#This Row],[Desde]],TableDailySummary[Fecha],"&lt;="&amp;TableWeeklySummary[[#This Row],[Hasta]])</f>
        <v>0</v>
      </c>
      <c r="L259" s="12">
        <f ca="1">SUMIFS(TableDailySummary[Online Store_net_sales],TableDailySummary[Fecha],"&gt;="&amp;TableWeeklySummary[[#This Row],[Desde]],TableDailySummary[Fecha],"&lt;="&amp;TableWeeklySummary[[#This Row],[Hasta]])</f>
        <v>0</v>
      </c>
      <c r="M259" s="12">
        <f ca="1">SUMIFS(TableDailySummary[Online Store_orders],TableDailySummary[Fecha],"&gt;="&amp;TableWeeklySummary[[#This Row],[Desde]],TableDailySummary[Fecha],"&lt;="&amp;TableWeeklySummary[[#This Row],[Hasta]])</f>
        <v>0</v>
      </c>
      <c r="N259" s="12">
        <f ca="1">SUMIFS(TableDailySummary[Tienda 81_net_sales],TableDailySummary[Fecha],"&gt;="&amp;TableWeeklySummary[[#This Row],[Desde]],TableDailySummary[Fecha],"&lt;="&amp;TableWeeklySummary[[#This Row],[Hasta]])</f>
        <v>0</v>
      </c>
      <c r="O259" s="12">
        <f ca="1">SUMIFS(TableDailySummary[Tienda 81_orders],TableDailySummary[Fecha],"&gt;="&amp;TableWeeklySummary[[#This Row],[Desde]],TableDailySummary[Fecha],"&lt;="&amp;TableWeeklySummary[[#This Row],[Hasta]])</f>
        <v>0</v>
      </c>
      <c r="P259" s="12">
        <f ca="1">SUMIFS(TableDailySummary[Rappi_net_sales],TableDailySummary[Fecha],"&gt;="&amp;TableWeeklySummary[[#This Row],[Desde]],TableDailySummary[Fecha],"&lt;="&amp;TableWeeklySummary[[#This Row],[Hasta]])</f>
        <v>0</v>
      </c>
      <c r="Q259" s="12">
        <f ca="1">SUMIFS(TableDailySummary[Rappi_orders],TableDailySummary[Fecha],"&gt;="&amp;TableWeeklySummary[[#This Row],[Desde]],TableDailySummary[Fecha],"&lt;="&amp;TableWeeklySummary[[#This Row],[Hasta]])</f>
        <v>0</v>
      </c>
      <c r="R25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5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59" s="12">
        <f ca="1">SUMIFS(TableDailySummary[Inversión google ads],TableDailySummary[Fecha],"&gt;="&amp;TableWeeklySummary[[#This Row],[Desde]],TableDailySummary[Fecha],"&lt;="&amp;TableWeeklySummary[[#This Row],[Hasta]])</f>
        <v>0</v>
      </c>
      <c r="U259" s="12">
        <f ca="1">SUMIFS(TableDailySummary[Ventas google ads],TableDailySummary[Fecha],"&gt;="&amp;TableWeeklySummary[[#This Row],[Desde]],TableDailySummary[Fecha],"&lt;="&amp;TableWeeklySummary[[#This Row],[Hasta]])</f>
        <v>0</v>
      </c>
      <c r="V259" s="12">
        <f ca="1">SUMIFS(TableDailySummary[Inversión meta ads],TableDailySummary[Fecha],"&gt;="&amp;TableWeeklySummary[[#This Row],[Desde]],TableDailySummary[Fecha],"&lt;="&amp;TableWeeklySummary[[#This Row],[Hasta]])</f>
        <v>0</v>
      </c>
      <c r="W259" s="12">
        <f ca="1">SUMIFS(TableDailySummary[Ventas meta ads],TableDailySummary[Fecha],"&gt;="&amp;TableWeeklySummary[[#This Row],[Desde]],TableDailySummary[Fecha],"&lt;="&amp;TableWeeklySummary[[#This Row],[Hasta]])</f>
        <v>0</v>
      </c>
      <c r="X259" s="12">
        <f ca="1">TableWeeklySummary[[#This Row],[Inversión google ads]]+TableWeeklySummary[[#This Row],[Inversión meta ads]]</f>
        <v>0</v>
      </c>
      <c r="Y259" s="12">
        <f ca="1">TableWeeklySummary[[#This Row],[Ventas google ads]]+TableWeeklySummary[[#This Row],[Ventas meta ads]]</f>
        <v>0</v>
      </c>
      <c r="Z259" s="14">
        <f ca="1">IFERROR(TableWeeklySummary[[#This Row],[Ventas publicidad]]/TableWeeklySummary[[#This Row],[Inversión publicidad]],0)</f>
        <v>0</v>
      </c>
      <c r="AA259" s="14">
        <f ca="1">IFERROR(TableWeeklySummary[[#This Row],[Ventas primer cliente]]/TableWeeklySummary[[#This Row],[Inversión publicidad]],0)</f>
        <v>0</v>
      </c>
      <c r="AB259" s="14"/>
      <c r="AC259" s="12"/>
      <c r="AI25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5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59" s="12">
        <f ca="1">SUMIFS(TableDailySummary[Utilidad bruta],TableDailySummary[Fecha],"&gt;="&amp;TableWeeklySummary[[#This Row],[Desde]],TableDailySummary[Fecha],"&lt;="&amp;TableWeeklySummary[[#This Row],[Hasta]])</f>
        <v>0</v>
      </c>
      <c r="AL259" s="18">
        <f ca="1">IFERROR(TableWeeklySummary[[#This Row],[Utilidad bruta]]/TableWeeklySummary[[#This Row],[Ventas netas con costo registrado]],0)</f>
        <v>0</v>
      </c>
    </row>
    <row r="260" spans="2:38" x14ac:dyDescent="0.2">
      <c r="B260" s="16">
        <f ca="1">_xlfn.ISOWEEKNUM(TableWeeklySummary[[#This Row],[Hasta]])</f>
        <v>37</v>
      </c>
      <c r="C260" s="6">
        <f t="shared" ca="1" si="6"/>
        <v>47732</v>
      </c>
      <c r="D260" s="6">
        <f ca="1">TableWeeklySummary[[#This Row],[Desde]]+7-1</f>
        <v>47738</v>
      </c>
      <c r="E260" s="12">
        <f ca="1">SUMIFS(TableDailySummary[Ventas netas totales],TableDailySummary[Fecha],"&gt;="&amp;TableWeeklySummary[[#This Row],[Desde]],TableDailySummary[Fecha],"&lt;="&amp;TableWeeklySummary[[#This Row],[Hasta]])</f>
        <v>0</v>
      </c>
      <c r="F260" s="12">
        <f ca="1">SUMIFS(TableDailySummary[Órdenes totales],TableDailySummary[Fecha],"&gt;="&amp;TableWeeklySummary[[#This Row],[Desde]],TableDailySummary[Fecha],"&lt;="&amp;TableWeeklySummary[[#This Row],[Hasta]])</f>
        <v>0</v>
      </c>
      <c r="G260" s="12">
        <f ca="1">IFERROR(TableWeeklySummary[[#This Row],[Ventas netas totales]]/TableWeeklySummary[[#This Row],[Órdenes totales]],0)</f>
        <v>0</v>
      </c>
      <c r="H26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60" s="12">
        <f ca="1">TableWeeklySummary[[#This Row],[Órden promedio totales]]*TableWeeklySummary[[#This Row],[CR totales]]</f>
        <v>0</v>
      </c>
      <c r="J260" s="12">
        <f ca="1">SUMIFS(TableDailySummary[Ventas primer cliente],TableDailySummary[Fecha],"&gt;="&amp;TableWeeklySummary[[#This Row],[Desde]],TableDailySummary[Fecha],"&lt;="&amp;TableWeeklySummary[[#This Row],[Hasta]])</f>
        <v>0</v>
      </c>
      <c r="K260" s="12">
        <f ca="1">SUMIFS(TableDailySummary[Órdenes primer cliente],TableDailySummary[Fecha],"&gt;="&amp;TableWeeklySummary[[#This Row],[Desde]],TableDailySummary[Fecha],"&lt;="&amp;TableWeeklySummary[[#This Row],[Hasta]])</f>
        <v>0</v>
      </c>
      <c r="L260" s="12">
        <f ca="1">SUMIFS(TableDailySummary[Online Store_net_sales],TableDailySummary[Fecha],"&gt;="&amp;TableWeeklySummary[[#This Row],[Desde]],TableDailySummary[Fecha],"&lt;="&amp;TableWeeklySummary[[#This Row],[Hasta]])</f>
        <v>0</v>
      </c>
      <c r="M260" s="12">
        <f ca="1">SUMIFS(TableDailySummary[Online Store_orders],TableDailySummary[Fecha],"&gt;="&amp;TableWeeklySummary[[#This Row],[Desde]],TableDailySummary[Fecha],"&lt;="&amp;TableWeeklySummary[[#This Row],[Hasta]])</f>
        <v>0</v>
      </c>
      <c r="N260" s="12">
        <f ca="1">SUMIFS(TableDailySummary[Tienda 81_net_sales],TableDailySummary[Fecha],"&gt;="&amp;TableWeeklySummary[[#This Row],[Desde]],TableDailySummary[Fecha],"&lt;="&amp;TableWeeklySummary[[#This Row],[Hasta]])</f>
        <v>0</v>
      </c>
      <c r="O260" s="12">
        <f ca="1">SUMIFS(TableDailySummary[Tienda 81_orders],TableDailySummary[Fecha],"&gt;="&amp;TableWeeklySummary[[#This Row],[Desde]],TableDailySummary[Fecha],"&lt;="&amp;TableWeeklySummary[[#This Row],[Hasta]])</f>
        <v>0</v>
      </c>
      <c r="P260" s="12">
        <f ca="1">SUMIFS(TableDailySummary[Rappi_net_sales],TableDailySummary[Fecha],"&gt;="&amp;TableWeeklySummary[[#This Row],[Desde]],TableDailySummary[Fecha],"&lt;="&amp;TableWeeklySummary[[#This Row],[Hasta]])</f>
        <v>0</v>
      </c>
      <c r="Q260" s="12">
        <f ca="1">SUMIFS(TableDailySummary[Rappi_orders],TableDailySummary[Fecha],"&gt;="&amp;TableWeeklySummary[[#This Row],[Desde]],TableDailySummary[Fecha],"&lt;="&amp;TableWeeklySummary[[#This Row],[Hasta]])</f>
        <v>0</v>
      </c>
      <c r="R26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6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60" s="12">
        <f ca="1">SUMIFS(TableDailySummary[Inversión google ads],TableDailySummary[Fecha],"&gt;="&amp;TableWeeklySummary[[#This Row],[Desde]],TableDailySummary[Fecha],"&lt;="&amp;TableWeeklySummary[[#This Row],[Hasta]])</f>
        <v>0</v>
      </c>
      <c r="U260" s="12">
        <f ca="1">SUMIFS(TableDailySummary[Ventas google ads],TableDailySummary[Fecha],"&gt;="&amp;TableWeeklySummary[[#This Row],[Desde]],TableDailySummary[Fecha],"&lt;="&amp;TableWeeklySummary[[#This Row],[Hasta]])</f>
        <v>0</v>
      </c>
      <c r="V260" s="12">
        <f ca="1">SUMIFS(TableDailySummary[Inversión meta ads],TableDailySummary[Fecha],"&gt;="&amp;TableWeeklySummary[[#This Row],[Desde]],TableDailySummary[Fecha],"&lt;="&amp;TableWeeklySummary[[#This Row],[Hasta]])</f>
        <v>0</v>
      </c>
      <c r="W260" s="12">
        <f ca="1">SUMIFS(TableDailySummary[Ventas meta ads],TableDailySummary[Fecha],"&gt;="&amp;TableWeeklySummary[[#This Row],[Desde]],TableDailySummary[Fecha],"&lt;="&amp;TableWeeklySummary[[#This Row],[Hasta]])</f>
        <v>0</v>
      </c>
      <c r="X260" s="12">
        <f ca="1">TableWeeklySummary[[#This Row],[Inversión google ads]]+TableWeeklySummary[[#This Row],[Inversión meta ads]]</f>
        <v>0</v>
      </c>
      <c r="Y260" s="12">
        <f ca="1">TableWeeklySummary[[#This Row],[Ventas google ads]]+TableWeeklySummary[[#This Row],[Ventas meta ads]]</f>
        <v>0</v>
      </c>
      <c r="Z260" s="14">
        <f ca="1">IFERROR(TableWeeklySummary[[#This Row],[Ventas publicidad]]/TableWeeklySummary[[#This Row],[Inversión publicidad]],0)</f>
        <v>0</v>
      </c>
      <c r="AA260" s="14">
        <f ca="1">IFERROR(TableWeeklySummary[[#This Row],[Ventas primer cliente]]/TableWeeklySummary[[#This Row],[Inversión publicidad]],0)</f>
        <v>0</v>
      </c>
      <c r="AB260" s="14"/>
      <c r="AC260" s="12"/>
      <c r="AI26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6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60" s="12">
        <f ca="1">SUMIFS(TableDailySummary[Utilidad bruta],TableDailySummary[Fecha],"&gt;="&amp;TableWeeklySummary[[#This Row],[Desde]],TableDailySummary[Fecha],"&lt;="&amp;TableWeeklySummary[[#This Row],[Hasta]])</f>
        <v>0</v>
      </c>
      <c r="AL260" s="18">
        <f ca="1">IFERROR(TableWeeklySummary[[#This Row],[Utilidad bruta]]/TableWeeklySummary[[#This Row],[Ventas netas con costo registrado]],0)</f>
        <v>0</v>
      </c>
    </row>
    <row r="261" spans="2:38" x14ac:dyDescent="0.2">
      <c r="B261" s="16">
        <f ca="1">_xlfn.ISOWEEKNUM(TableWeeklySummary[[#This Row],[Hasta]])</f>
        <v>38</v>
      </c>
      <c r="C261" s="6">
        <f t="shared" ca="1" si="6"/>
        <v>47739</v>
      </c>
      <c r="D261" s="6">
        <f ca="1">TableWeeklySummary[[#This Row],[Desde]]+7-1</f>
        <v>47745</v>
      </c>
      <c r="E261" s="12">
        <f ca="1">SUMIFS(TableDailySummary[Ventas netas totales],TableDailySummary[Fecha],"&gt;="&amp;TableWeeklySummary[[#This Row],[Desde]],TableDailySummary[Fecha],"&lt;="&amp;TableWeeklySummary[[#This Row],[Hasta]])</f>
        <v>0</v>
      </c>
      <c r="F261" s="12">
        <f ca="1">SUMIFS(TableDailySummary[Órdenes totales],TableDailySummary[Fecha],"&gt;="&amp;TableWeeklySummary[[#This Row],[Desde]],TableDailySummary[Fecha],"&lt;="&amp;TableWeeklySummary[[#This Row],[Hasta]])</f>
        <v>0</v>
      </c>
      <c r="G261" s="12">
        <f ca="1">IFERROR(TableWeeklySummary[[#This Row],[Ventas netas totales]]/TableWeeklySummary[[#This Row],[Órdenes totales]],0)</f>
        <v>0</v>
      </c>
      <c r="H26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61" s="12">
        <f ca="1">TableWeeklySummary[[#This Row],[Órden promedio totales]]*TableWeeklySummary[[#This Row],[CR totales]]</f>
        <v>0</v>
      </c>
      <c r="J261" s="12">
        <f ca="1">SUMIFS(TableDailySummary[Ventas primer cliente],TableDailySummary[Fecha],"&gt;="&amp;TableWeeklySummary[[#This Row],[Desde]],TableDailySummary[Fecha],"&lt;="&amp;TableWeeklySummary[[#This Row],[Hasta]])</f>
        <v>0</v>
      </c>
      <c r="K261" s="12">
        <f ca="1">SUMIFS(TableDailySummary[Órdenes primer cliente],TableDailySummary[Fecha],"&gt;="&amp;TableWeeklySummary[[#This Row],[Desde]],TableDailySummary[Fecha],"&lt;="&amp;TableWeeklySummary[[#This Row],[Hasta]])</f>
        <v>0</v>
      </c>
      <c r="L261" s="12">
        <f ca="1">SUMIFS(TableDailySummary[Online Store_net_sales],TableDailySummary[Fecha],"&gt;="&amp;TableWeeklySummary[[#This Row],[Desde]],TableDailySummary[Fecha],"&lt;="&amp;TableWeeklySummary[[#This Row],[Hasta]])</f>
        <v>0</v>
      </c>
      <c r="M261" s="12">
        <f ca="1">SUMIFS(TableDailySummary[Online Store_orders],TableDailySummary[Fecha],"&gt;="&amp;TableWeeklySummary[[#This Row],[Desde]],TableDailySummary[Fecha],"&lt;="&amp;TableWeeklySummary[[#This Row],[Hasta]])</f>
        <v>0</v>
      </c>
      <c r="N261" s="12">
        <f ca="1">SUMIFS(TableDailySummary[Tienda 81_net_sales],TableDailySummary[Fecha],"&gt;="&amp;TableWeeklySummary[[#This Row],[Desde]],TableDailySummary[Fecha],"&lt;="&amp;TableWeeklySummary[[#This Row],[Hasta]])</f>
        <v>0</v>
      </c>
      <c r="O261" s="12">
        <f ca="1">SUMIFS(TableDailySummary[Tienda 81_orders],TableDailySummary[Fecha],"&gt;="&amp;TableWeeklySummary[[#This Row],[Desde]],TableDailySummary[Fecha],"&lt;="&amp;TableWeeklySummary[[#This Row],[Hasta]])</f>
        <v>0</v>
      </c>
      <c r="P261" s="12">
        <f ca="1">SUMIFS(TableDailySummary[Rappi_net_sales],TableDailySummary[Fecha],"&gt;="&amp;TableWeeklySummary[[#This Row],[Desde]],TableDailySummary[Fecha],"&lt;="&amp;TableWeeklySummary[[#This Row],[Hasta]])</f>
        <v>0</v>
      </c>
      <c r="Q261" s="12">
        <f ca="1">SUMIFS(TableDailySummary[Rappi_orders],TableDailySummary[Fecha],"&gt;="&amp;TableWeeklySummary[[#This Row],[Desde]],TableDailySummary[Fecha],"&lt;="&amp;TableWeeklySummary[[#This Row],[Hasta]])</f>
        <v>0</v>
      </c>
      <c r="R26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6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61" s="12">
        <f ca="1">SUMIFS(TableDailySummary[Inversión google ads],TableDailySummary[Fecha],"&gt;="&amp;TableWeeklySummary[[#This Row],[Desde]],TableDailySummary[Fecha],"&lt;="&amp;TableWeeklySummary[[#This Row],[Hasta]])</f>
        <v>0</v>
      </c>
      <c r="U261" s="12">
        <f ca="1">SUMIFS(TableDailySummary[Ventas google ads],TableDailySummary[Fecha],"&gt;="&amp;TableWeeklySummary[[#This Row],[Desde]],TableDailySummary[Fecha],"&lt;="&amp;TableWeeklySummary[[#This Row],[Hasta]])</f>
        <v>0</v>
      </c>
      <c r="V261" s="12">
        <f ca="1">SUMIFS(TableDailySummary[Inversión meta ads],TableDailySummary[Fecha],"&gt;="&amp;TableWeeklySummary[[#This Row],[Desde]],TableDailySummary[Fecha],"&lt;="&amp;TableWeeklySummary[[#This Row],[Hasta]])</f>
        <v>0</v>
      </c>
      <c r="W261" s="12">
        <f ca="1">SUMIFS(TableDailySummary[Ventas meta ads],TableDailySummary[Fecha],"&gt;="&amp;TableWeeklySummary[[#This Row],[Desde]],TableDailySummary[Fecha],"&lt;="&amp;TableWeeklySummary[[#This Row],[Hasta]])</f>
        <v>0</v>
      </c>
      <c r="X261" s="12">
        <f ca="1">TableWeeklySummary[[#This Row],[Inversión google ads]]+TableWeeklySummary[[#This Row],[Inversión meta ads]]</f>
        <v>0</v>
      </c>
      <c r="Y261" s="12">
        <f ca="1">TableWeeklySummary[[#This Row],[Ventas google ads]]+TableWeeklySummary[[#This Row],[Ventas meta ads]]</f>
        <v>0</v>
      </c>
      <c r="Z261" s="14">
        <f ca="1">IFERROR(TableWeeklySummary[[#This Row],[Ventas publicidad]]/TableWeeklySummary[[#This Row],[Inversión publicidad]],0)</f>
        <v>0</v>
      </c>
      <c r="AA261" s="14">
        <f ca="1">IFERROR(TableWeeklySummary[[#This Row],[Ventas primer cliente]]/TableWeeklySummary[[#This Row],[Inversión publicidad]],0)</f>
        <v>0</v>
      </c>
      <c r="AB261" s="14"/>
      <c r="AC261" s="12"/>
      <c r="AI26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6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61" s="12">
        <f ca="1">SUMIFS(TableDailySummary[Utilidad bruta],TableDailySummary[Fecha],"&gt;="&amp;TableWeeklySummary[[#This Row],[Desde]],TableDailySummary[Fecha],"&lt;="&amp;TableWeeklySummary[[#This Row],[Hasta]])</f>
        <v>0</v>
      </c>
      <c r="AL261" s="18">
        <f ca="1">IFERROR(TableWeeklySummary[[#This Row],[Utilidad bruta]]/TableWeeklySummary[[#This Row],[Ventas netas con costo registrado]],0)</f>
        <v>0</v>
      </c>
    </row>
    <row r="262" spans="2:38" x14ac:dyDescent="0.2">
      <c r="B262" s="16">
        <f ca="1">_xlfn.ISOWEEKNUM(TableWeeklySummary[[#This Row],[Hasta]])</f>
        <v>39</v>
      </c>
      <c r="C262" s="6">
        <f t="shared" ca="1" si="6"/>
        <v>47746</v>
      </c>
      <c r="D262" s="6">
        <f ca="1">TableWeeklySummary[[#This Row],[Desde]]+7-1</f>
        <v>47752</v>
      </c>
      <c r="E262" s="12">
        <f ca="1">SUMIFS(TableDailySummary[Ventas netas totales],TableDailySummary[Fecha],"&gt;="&amp;TableWeeklySummary[[#This Row],[Desde]],TableDailySummary[Fecha],"&lt;="&amp;TableWeeklySummary[[#This Row],[Hasta]])</f>
        <v>0</v>
      </c>
      <c r="F262" s="12">
        <f ca="1">SUMIFS(TableDailySummary[Órdenes totales],TableDailySummary[Fecha],"&gt;="&amp;TableWeeklySummary[[#This Row],[Desde]],TableDailySummary[Fecha],"&lt;="&amp;TableWeeklySummary[[#This Row],[Hasta]])</f>
        <v>0</v>
      </c>
      <c r="G262" s="12">
        <f ca="1">IFERROR(TableWeeklySummary[[#This Row],[Ventas netas totales]]/TableWeeklySummary[[#This Row],[Órdenes totales]],0)</f>
        <v>0</v>
      </c>
      <c r="H26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62" s="12">
        <f ca="1">TableWeeklySummary[[#This Row],[Órden promedio totales]]*TableWeeklySummary[[#This Row],[CR totales]]</f>
        <v>0</v>
      </c>
      <c r="J262" s="12">
        <f ca="1">SUMIFS(TableDailySummary[Ventas primer cliente],TableDailySummary[Fecha],"&gt;="&amp;TableWeeklySummary[[#This Row],[Desde]],TableDailySummary[Fecha],"&lt;="&amp;TableWeeklySummary[[#This Row],[Hasta]])</f>
        <v>0</v>
      </c>
      <c r="K262" s="12">
        <f ca="1">SUMIFS(TableDailySummary[Órdenes primer cliente],TableDailySummary[Fecha],"&gt;="&amp;TableWeeklySummary[[#This Row],[Desde]],TableDailySummary[Fecha],"&lt;="&amp;TableWeeklySummary[[#This Row],[Hasta]])</f>
        <v>0</v>
      </c>
      <c r="L262" s="12">
        <f ca="1">SUMIFS(TableDailySummary[Online Store_net_sales],TableDailySummary[Fecha],"&gt;="&amp;TableWeeklySummary[[#This Row],[Desde]],TableDailySummary[Fecha],"&lt;="&amp;TableWeeklySummary[[#This Row],[Hasta]])</f>
        <v>0</v>
      </c>
      <c r="M262" s="12">
        <f ca="1">SUMIFS(TableDailySummary[Online Store_orders],TableDailySummary[Fecha],"&gt;="&amp;TableWeeklySummary[[#This Row],[Desde]],TableDailySummary[Fecha],"&lt;="&amp;TableWeeklySummary[[#This Row],[Hasta]])</f>
        <v>0</v>
      </c>
      <c r="N262" s="12">
        <f ca="1">SUMIFS(TableDailySummary[Tienda 81_net_sales],TableDailySummary[Fecha],"&gt;="&amp;TableWeeklySummary[[#This Row],[Desde]],TableDailySummary[Fecha],"&lt;="&amp;TableWeeklySummary[[#This Row],[Hasta]])</f>
        <v>0</v>
      </c>
      <c r="O262" s="12">
        <f ca="1">SUMIFS(TableDailySummary[Tienda 81_orders],TableDailySummary[Fecha],"&gt;="&amp;TableWeeklySummary[[#This Row],[Desde]],TableDailySummary[Fecha],"&lt;="&amp;TableWeeklySummary[[#This Row],[Hasta]])</f>
        <v>0</v>
      </c>
      <c r="P262" s="12">
        <f ca="1">SUMIFS(TableDailySummary[Rappi_net_sales],TableDailySummary[Fecha],"&gt;="&amp;TableWeeklySummary[[#This Row],[Desde]],TableDailySummary[Fecha],"&lt;="&amp;TableWeeklySummary[[#This Row],[Hasta]])</f>
        <v>0</v>
      </c>
      <c r="Q262" s="12">
        <f ca="1">SUMIFS(TableDailySummary[Rappi_orders],TableDailySummary[Fecha],"&gt;="&amp;TableWeeklySummary[[#This Row],[Desde]],TableDailySummary[Fecha],"&lt;="&amp;TableWeeklySummary[[#This Row],[Hasta]])</f>
        <v>0</v>
      </c>
      <c r="R26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6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62" s="12">
        <f ca="1">SUMIFS(TableDailySummary[Inversión google ads],TableDailySummary[Fecha],"&gt;="&amp;TableWeeklySummary[[#This Row],[Desde]],TableDailySummary[Fecha],"&lt;="&amp;TableWeeklySummary[[#This Row],[Hasta]])</f>
        <v>0</v>
      </c>
      <c r="U262" s="12">
        <f ca="1">SUMIFS(TableDailySummary[Ventas google ads],TableDailySummary[Fecha],"&gt;="&amp;TableWeeklySummary[[#This Row],[Desde]],TableDailySummary[Fecha],"&lt;="&amp;TableWeeklySummary[[#This Row],[Hasta]])</f>
        <v>0</v>
      </c>
      <c r="V262" s="12">
        <f ca="1">SUMIFS(TableDailySummary[Inversión meta ads],TableDailySummary[Fecha],"&gt;="&amp;TableWeeklySummary[[#This Row],[Desde]],TableDailySummary[Fecha],"&lt;="&amp;TableWeeklySummary[[#This Row],[Hasta]])</f>
        <v>0</v>
      </c>
      <c r="W262" s="12">
        <f ca="1">SUMIFS(TableDailySummary[Ventas meta ads],TableDailySummary[Fecha],"&gt;="&amp;TableWeeklySummary[[#This Row],[Desde]],TableDailySummary[Fecha],"&lt;="&amp;TableWeeklySummary[[#This Row],[Hasta]])</f>
        <v>0</v>
      </c>
      <c r="X262" s="12">
        <f ca="1">TableWeeklySummary[[#This Row],[Inversión google ads]]+TableWeeklySummary[[#This Row],[Inversión meta ads]]</f>
        <v>0</v>
      </c>
      <c r="Y262" s="12">
        <f ca="1">TableWeeklySummary[[#This Row],[Ventas google ads]]+TableWeeklySummary[[#This Row],[Ventas meta ads]]</f>
        <v>0</v>
      </c>
      <c r="Z262" s="14">
        <f ca="1">IFERROR(TableWeeklySummary[[#This Row],[Ventas publicidad]]/TableWeeklySummary[[#This Row],[Inversión publicidad]],0)</f>
        <v>0</v>
      </c>
      <c r="AA262" s="14">
        <f ca="1">IFERROR(TableWeeklySummary[[#This Row],[Ventas primer cliente]]/TableWeeklySummary[[#This Row],[Inversión publicidad]],0)</f>
        <v>0</v>
      </c>
      <c r="AB262" s="14"/>
      <c r="AC262" s="12"/>
      <c r="AI26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6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62" s="12">
        <f ca="1">SUMIFS(TableDailySummary[Utilidad bruta],TableDailySummary[Fecha],"&gt;="&amp;TableWeeklySummary[[#This Row],[Desde]],TableDailySummary[Fecha],"&lt;="&amp;TableWeeklySummary[[#This Row],[Hasta]])</f>
        <v>0</v>
      </c>
      <c r="AL262" s="18">
        <f ca="1">IFERROR(TableWeeklySummary[[#This Row],[Utilidad bruta]]/TableWeeklySummary[[#This Row],[Ventas netas con costo registrado]],0)</f>
        <v>0</v>
      </c>
    </row>
    <row r="263" spans="2:38" x14ac:dyDescent="0.2">
      <c r="B263" s="16">
        <f ca="1">_xlfn.ISOWEEKNUM(TableWeeklySummary[[#This Row],[Hasta]])</f>
        <v>40</v>
      </c>
      <c r="C263" s="6">
        <f t="shared" ca="1" si="6"/>
        <v>47753</v>
      </c>
      <c r="D263" s="6">
        <f ca="1">TableWeeklySummary[[#This Row],[Desde]]+7-1</f>
        <v>47759</v>
      </c>
      <c r="E263" s="12">
        <f ca="1">SUMIFS(TableDailySummary[Ventas netas totales],TableDailySummary[Fecha],"&gt;="&amp;TableWeeklySummary[[#This Row],[Desde]],TableDailySummary[Fecha],"&lt;="&amp;TableWeeklySummary[[#This Row],[Hasta]])</f>
        <v>0</v>
      </c>
      <c r="F263" s="12">
        <f ca="1">SUMIFS(TableDailySummary[Órdenes totales],TableDailySummary[Fecha],"&gt;="&amp;TableWeeklySummary[[#This Row],[Desde]],TableDailySummary[Fecha],"&lt;="&amp;TableWeeklySummary[[#This Row],[Hasta]])</f>
        <v>0</v>
      </c>
      <c r="G263" s="12">
        <f ca="1">IFERROR(TableWeeklySummary[[#This Row],[Ventas netas totales]]/TableWeeklySummary[[#This Row],[Órdenes totales]],0)</f>
        <v>0</v>
      </c>
      <c r="H26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63" s="12">
        <f ca="1">TableWeeklySummary[[#This Row],[Órden promedio totales]]*TableWeeklySummary[[#This Row],[CR totales]]</f>
        <v>0</v>
      </c>
      <c r="J263" s="12">
        <f ca="1">SUMIFS(TableDailySummary[Ventas primer cliente],TableDailySummary[Fecha],"&gt;="&amp;TableWeeklySummary[[#This Row],[Desde]],TableDailySummary[Fecha],"&lt;="&amp;TableWeeklySummary[[#This Row],[Hasta]])</f>
        <v>0</v>
      </c>
      <c r="K263" s="12">
        <f ca="1">SUMIFS(TableDailySummary[Órdenes primer cliente],TableDailySummary[Fecha],"&gt;="&amp;TableWeeklySummary[[#This Row],[Desde]],TableDailySummary[Fecha],"&lt;="&amp;TableWeeklySummary[[#This Row],[Hasta]])</f>
        <v>0</v>
      </c>
      <c r="L263" s="12">
        <f ca="1">SUMIFS(TableDailySummary[Online Store_net_sales],TableDailySummary[Fecha],"&gt;="&amp;TableWeeklySummary[[#This Row],[Desde]],TableDailySummary[Fecha],"&lt;="&amp;TableWeeklySummary[[#This Row],[Hasta]])</f>
        <v>0</v>
      </c>
      <c r="M263" s="12">
        <f ca="1">SUMIFS(TableDailySummary[Online Store_orders],TableDailySummary[Fecha],"&gt;="&amp;TableWeeklySummary[[#This Row],[Desde]],TableDailySummary[Fecha],"&lt;="&amp;TableWeeklySummary[[#This Row],[Hasta]])</f>
        <v>0</v>
      </c>
      <c r="N263" s="12">
        <f ca="1">SUMIFS(TableDailySummary[Tienda 81_net_sales],TableDailySummary[Fecha],"&gt;="&amp;TableWeeklySummary[[#This Row],[Desde]],TableDailySummary[Fecha],"&lt;="&amp;TableWeeklySummary[[#This Row],[Hasta]])</f>
        <v>0</v>
      </c>
      <c r="O263" s="12">
        <f ca="1">SUMIFS(TableDailySummary[Tienda 81_orders],TableDailySummary[Fecha],"&gt;="&amp;TableWeeklySummary[[#This Row],[Desde]],TableDailySummary[Fecha],"&lt;="&amp;TableWeeklySummary[[#This Row],[Hasta]])</f>
        <v>0</v>
      </c>
      <c r="P263" s="12">
        <f ca="1">SUMIFS(TableDailySummary[Rappi_net_sales],TableDailySummary[Fecha],"&gt;="&amp;TableWeeklySummary[[#This Row],[Desde]],TableDailySummary[Fecha],"&lt;="&amp;TableWeeklySummary[[#This Row],[Hasta]])</f>
        <v>0</v>
      </c>
      <c r="Q263" s="12">
        <f ca="1">SUMIFS(TableDailySummary[Rappi_orders],TableDailySummary[Fecha],"&gt;="&amp;TableWeeklySummary[[#This Row],[Desde]],TableDailySummary[Fecha],"&lt;="&amp;TableWeeklySummary[[#This Row],[Hasta]])</f>
        <v>0</v>
      </c>
      <c r="R26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6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63" s="12">
        <f ca="1">SUMIFS(TableDailySummary[Inversión google ads],TableDailySummary[Fecha],"&gt;="&amp;TableWeeklySummary[[#This Row],[Desde]],TableDailySummary[Fecha],"&lt;="&amp;TableWeeklySummary[[#This Row],[Hasta]])</f>
        <v>0</v>
      </c>
      <c r="U263" s="12">
        <f ca="1">SUMIFS(TableDailySummary[Ventas google ads],TableDailySummary[Fecha],"&gt;="&amp;TableWeeklySummary[[#This Row],[Desde]],TableDailySummary[Fecha],"&lt;="&amp;TableWeeklySummary[[#This Row],[Hasta]])</f>
        <v>0</v>
      </c>
      <c r="V263" s="12">
        <f ca="1">SUMIFS(TableDailySummary[Inversión meta ads],TableDailySummary[Fecha],"&gt;="&amp;TableWeeklySummary[[#This Row],[Desde]],TableDailySummary[Fecha],"&lt;="&amp;TableWeeklySummary[[#This Row],[Hasta]])</f>
        <v>0</v>
      </c>
      <c r="W263" s="12">
        <f ca="1">SUMIFS(TableDailySummary[Ventas meta ads],TableDailySummary[Fecha],"&gt;="&amp;TableWeeklySummary[[#This Row],[Desde]],TableDailySummary[Fecha],"&lt;="&amp;TableWeeklySummary[[#This Row],[Hasta]])</f>
        <v>0</v>
      </c>
      <c r="X263" s="12">
        <f ca="1">TableWeeklySummary[[#This Row],[Inversión google ads]]+TableWeeklySummary[[#This Row],[Inversión meta ads]]</f>
        <v>0</v>
      </c>
      <c r="Y263" s="12">
        <f ca="1">TableWeeklySummary[[#This Row],[Ventas google ads]]+TableWeeklySummary[[#This Row],[Ventas meta ads]]</f>
        <v>0</v>
      </c>
      <c r="Z263" s="14">
        <f ca="1">IFERROR(TableWeeklySummary[[#This Row],[Ventas publicidad]]/TableWeeklySummary[[#This Row],[Inversión publicidad]],0)</f>
        <v>0</v>
      </c>
      <c r="AA263" s="14">
        <f ca="1">IFERROR(TableWeeklySummary[[#This Row],[Ventas primer cliente]]/TableWeeklySummary[[#This Row],[Inversión publicidad]],0)</f>
        <v>0</v>
      </c>
      <c r="AB263" s="14"/>
      <c r="AC263" s="12"/>
      <c r="AI26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6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63" s="12">
        <f ca="1">SUMIFS(TableDailySummary[Utilidad bruta],TableDailySummary[Fecha],"&gt;="&amp;TableWeeklySummary[[#This Row],[Desde]],TableDailySummary[Fecha],"&lt;="&amp;TableWeeklySummary[[#This Row],[Hasta]])</f>
        <v>0</v>
      </c>
      <c r="AL263" s="18">
        <f ca="1">IFERROR(TableWeeklySummary[[#This Row],[Utilidad bruta]]/TableWeeklySummary[[#This Row],[Ventas netas con costo registrado]],0)</f>
        <v>0</v>
      </c>
    </row>
    <row r="264" spans="2:38" x14ac:dyDescent="0.2">
      <c r="B264" s="16">
        <f ca="1">_xlfn.ISOWEEKNUM(TableWeeklySummary[[#This Row],[Hasta]])</f>
        <v>41</v>
      </c>
      <c r="C264" s="6">
        <f t="shared" ca="1" si="6"/>
        <v>47760</v>
      </c>
      <c r="D264" s="6">
        <f ca="1">TableWeeklySummary[[#This Row],[Desde]]+7-1</f>
        <v>47766</v>
      </c>
      <c r="E264" s="12">
        <f ca="1">SUMIFS(TableDailySummary[Ventas netas totales],TableDailySummary[Fecha],"&gt;="&amp;TableWeeklySummary[[#This Row],[Desde]],TableDailySummary[Fecha],"&lt;="&amp;TableWeeklySummary[[#This Row],[Hasta]])</f>
        <v>0</v>
      </c>
      <c r="F264" s="12">
        <f ca="1">SUMIFS(TableDailySummary[Órdenes totales],TableDailySummary[Fecha],"&gt;="&amp;TableWeeklySummary[[#This Row],[Desde]],TableDailySummary[Fecha],"&lt;="&amp;TableWeeklySummary[[#This Row],[Hasta]])</f>
        <v>0</v>
      </c>
      <c r="G264" s="12">
        <f ca="1">IFERROR(TableWeeklySummary[[#This Row],[Ventas netas totales]]/TableWeeklySummary[[#This Row],[Órdenes totales]],0)</f>
        <v>0</v>
      </c>
      <c r="H26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64" s="12">
        <f ca="1">TableWeeklySummary[[#This Row],[Órden promedio totales]]*TableWeeklySummary[[#This Row],[CR totales]]</f>
        <v>0</v>
      </c>
      <c r="J264" s="12">
        <f ca="1">SUMIFS(TableDailySummary[Ventas primer cliente],TableDailySummary[Fecha],"&gt;="&amp;TableWeeklySummary[[#This Row],[Desde]],TableDailySummary[Fecha],"&lt;="&amp;TableWeeklySummary[[#This Row],[Hasta]])</f>
        <v>0</v>
      </c>
      <c r="K264" s="12">
        <f ca="1">SUMIFS(TableDailySummary[Órdenes primer cliente],TableDailySummary[Fecha],"&gt;="&amp;TableWeeklySummary[[#This Row],[Desde]],TableDailySummary[Fecha],"&lt;="&amp;TableWeeklySummary[[#This Row],[Hasta]])</f>
        <v>0</v>
      </c>
      <c r="L264" s="12">
        <f ca="1">SUMIFS(TableDailySummary[Online Store_net_sales],TableDailySummary[Fecha],"&gt;="&amp;TableWeeklySummary[[#This Row],[Desde]],TableDailySummary[Fecha],"&lt;="&amp;TableWeeklySummary[[#This Row],[Hasta]])</f>
        <v>0</v>
      </c>
      <c r="M264" s="12">
        <f ca="1">SUMIFS(TableDailySummary[Online Store_orders],TableDailySummary[Fecha],"&gt;="&amp;TableWeeklySummary[[#This Row],[Desde]],TableDailySummary[Fecha],"&lt;="&amp;TableWeeklySummary[[#This Row],[Hasta]])</f>
        <v>0</v>
      </c>
      <c r="N264" s="12">
        <f ca="1">SUMIFS(TableDailySummary[Tienda 81_net_sales],TableDailySummary[Fecha],"&gt;="&amp;TableWeeklySummary[[#This Row],[Desde]],TableDailySummary[Fecha],"&lt;="&amp;TableWeeklySummary[[#This Row],[Hasta]])</f>
        <v>0</v>
      </c>
      <c r="O264" s="12">
        <f ca="1">SUMIFS(TableDailySummary[Tienda 81_orders],TableDailySummary[Fecha],"&gt;="&amp;TableWeeklySummary[[#This Row],[Desde]],TableDailySummary[Fecha],"&lt;="&amp;TableWeeklySummary[[#This Row],[Hasta]])</f>
        <v>0</v>
      </c>
      <c r="P264" s="12">
        <f ca="1">SUMIFS(TableDailySummary[Rappi_net_sales],TableDailySummary[Fecha],"&gt;="&amp;TableWeeklySummary[[#This Row],[Desde]],TableDailySummary[Fecha],"&lt;="&amp;TableWeeklySummary[[#This Row],[Hasta]])</f>
        <v>0</v>
      </c>
      <c r="Q264" s="12">
        <f ca="1">SUMIFS(TableDailySummary[Rappi_orders],TableDailySummary[Fecha],"&gt;="&amp;TableWeeklySummary[[#This Row],[Desde]],TableDailySummary[Fecha],"&lt;="&amp;TableWeeklySummary[[#This Row],[Hasta]])</f>
        <v>0</v>
      </c>
      <c r="R26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6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64" s="12">
        <f ca="1">SUMIFS(TableDailySummary[Inversión google ads],TableDailySummary[Fecha],"&gt;="&amp;TableWeeklySummary[[#This Row],[Desde]],TableDailySummary[Fecha],"&lt;="&amp;TableWeeklySummary[[#This Row],[Hasta]])</f>
        <v>0</v>
      </c>
      <c r="U264" s="12">
        <f ca="1">SUMIFS(TableDailySummary[Ventas google ads],TableDailySummary[Fecha],"&gt;="&amp;TableWeeklySummary[[#This Row],[Desde]],TableDailySummary[Fecha],"&lt;="&amp;TableWeeklySummary[[#This Row],[Hasta]])</f>
        <v>0</v>
      </c>
      <c r="V264" s="12">
        <f ca="1">SUMIFS(TableDailySummary[Inversión meta ads],TableDailySummary[Fecha],"&gt;="&amp;TableWeeklySummary[[#This Row],[Desde]],TableDailySummary[Fecha],"&lt;="&amp;TableWeeklySummary[[#This Row],[Hasta]])</f>
        <v>0</v>
      </c>
      <c r="W264" s="12">
        <f ca="1">SUMIFS(TableDailySummary[Ventas meta ads],TableDailySummary[Fecha],"&gt;="&amp;TableWeeklySummary[[#This Row],[Desde]],TableDailySummary[Fecha],"&lt;="&amp;TableWeeklySummary[[#This Row],[Hasta]])</f>
        <v>0</v>
      </c>
      <c r="X264" s="12">
        <f ca="1">TableWeeklySummary[[#This Row],[Inversión google ads]]+TableWeeklySummary[[#This Row],[Inversión meta ads]]</f>
        <v>0</v>
      </c>
      <c r="Y264" s="12">
        <f ca="1">TableWeeklySummary[[#This Row],[Ventas google ads]]+TableWeeklySummary[[#This Row],[Ventas meta ads]]</f>
        <v>0</v>
      </c>
      <c r="Z264" s="14">
        <f ca="1">IFERROR(TableWeeklySummary[[#This Row],[Ventas publicidad]]/TableWeeklySummary[[#This Row],[Inversión publicidad]],0)</f>
        <v>0</v>
      </c>
      <c r="AA264" s="14">
        <f ca="1">IFERROR(TableWeeklySummary[[#This Row],[Ventas primer cliente]]/TableWeeklySummary[[#This Row],[Inversión publicidad]],0)</f>
        <v>0</v>
      </c>
      <c r="AB264" s="14"/>
      <c r="AC264" s="12"/>
      <c r="AI26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6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64" s="12">
        <f ca="1">SUMIFS(TableDailySummary[Utilidad bruta],TableDailySummary[Fecha],"&gt;="&amp;TableWeeklySummary[[#This Row],[Desde]],TableDailySummary[Fecha],"&lt;="&amp;TableWeeklySummary[[#This Row],[Hasta]])</f>
        <v>0</v>
      </c>
      <c r="AL264" s="18">
        <f ca="1">IFERROR(TableWeeklySummary[[#This Row],[Utilidad bruta]]/TableWeeklySummary[[#This Row],[Ventas netas con costo registrado]],0)</f>
        <v>0</v>
      </c>
    </row>
    <row r="265" spans="2:38" x14ac:dyDescent="0.2">
      <c r="B265" s="16">
        <f ca="1">_xlfn.ISOWEEKNUM(TableWeeklySummary[[#This Row],[Hasta]])</f>
        <v>42</v>
      </c>
      <c r="C265" s="6">
        <f t="shared" ca="1" si="6"/>
        <v>47767</v>
      </c>
      <c r="D265" s="6">
        <f ca="1">TableWeeklySummary[[#This Row],[Desde]]+7-1</f>
        <v>47773</v>
      </c>
      <c r="E265" s="12">
        <f ca="1">SUMIFS(TableDailySummary[Ventas netas totales],TableDailySummary[Fecha],"&gt;="&amp;TableWeeklySummary[[#This Row],[Desde]],TableDailySummary[Fecha],"&lt;="&amp;TableWeeklySummary[[#This Row],[Hasta]])</f>
        <v>0</v>
      </c>
      <c r="F265" s="12">
        <f ca="1">SUMIFS(TableDailySummary[Órdenes totales],TableDailySummary[Fecha],"&gt;="&amp;TableWeeklySummary[[#This Row],[Desde]],TableDailySummary[Fecha],"&lt;="&amp;TableWeeklySummary[[#This Row],[Hasta]])</f>
        <v>0</v>
      </c>
      <c r="G265" s="12">
        <f ca="1">IFERROR(TableWeeklySummary[[#This Row],[Ventas netas totales]]/TableWeeklySummary[[#This Row],[Órdenes totales]],0)</f>
        <v>0</v>
      </c>
      <c r="H26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65" s="12">
        <f ca="1">TableWeeklySummary[[#This Row],[Órden promedio totales]]*TableWeeklySummary[[#This Row],[CR totales]]</f>
        <v>0</v>
      </c>
      <c r="J265" s="12">
        <f ca="1">SUMIFS(TableDailySummary[Ventas primer cliente],TableDailySummary[Fecha],"&gt;="&amp;TableWeeklySummary[[#This Row],[Desde]],TableDailySummary[Fecha],"&lt;="&amp;TableWeeklySummary[[#This Row],[Hasta]])</f>
        <v>0</v>
      </c>
      <c r="K265" s="12">
        <f ca="1">SUMIFS(TableDailySummary[Órdenes primer cliente],TableDailySummary[Fecha],"&gt;="&amp;TableWeeklySummary[[#This Row],[Desde]],TableDailySummary[Fecha],"&lt;="&amp;TableWeeklySummary[[#This Row],[Hasta]])</f>
        <v>0</v>
      </c>
      <c r="L265" s="12">
        <f ca="1">SUMIFS(TableDailySummary[Online Store_net_sales],TableDailySummary[Fecha],"&gt;="&amp;TableWeeklySummary[[#This Row],[Desde]],TableDailySummary[Fecha],"&lt;="&amp;TableWeeklySummary[[#This Row],[Hasta]])</f>
        <v>0</v>
      </c>
      <c r="M265" s="12">
        <f ca="1">SUMIFS(TableDailySummary[Online Store_orders],TableDailySummary[Fecha],"&gt;="&amp;TableWeeklySummary[[#This Row],[Desde]],TableDailySummary[Fecha],"&lt;="&amp;TableWeeklySummary[[#This Row],[Hasta]])</f>
        <v>0</v>
      </c>
      <c r="N265" s="12">
        <f ca="1">SUMIFS(TableDailySummary[Tienda 81_net_sales],TableDailySummary[Fecha],"&gt;="&amp;TableWeeklySummary[[#This Row],[Desde]],TableDailySummary[Fecha],"&lt;="&amp;TableWeeklySummary[[#This Row],[Hasta]])</f>
        <v>0</v>
      </c>
      <c r="O265" s="12">
        <f ca="1">SUMIFS(TableDailySummary[Tienda 81_orders],TableDailySummary[Fecha],"&gt;="&amp;TableWeeklySummary[[#This Row],[Desde]],TableDailySummary[Fecha],"&lt;="&amp;TableWeeklySummary[[#This Row],[Hasta]])</f>
        <v>0</v>
      </c>
      <c r="P265" s="12">
        <f ca="1">SUMIFS(TableDailySummary[Rappi_net_sales],TableDailySummary[Fecha],"&gt;="&amp;TableWeeklySummary[[#This Row],[Desde]],TableDailySummary[Fecha],"&lt;="&amp;TableWeeklySummary[[#This Row],[Hasta]])</f>
        <v>0</v>
      </c>
      <c r="Q265" s="12">
        <f ca="1">SUMIFS(TableDailySummary[Rappi_orders],TableDailySummary[Fecha],"&gt;="&amp;TableWeeklySummary[[#This Row],[Desde]],TableDailySummary[Fecha],"&lt;="&amp;TableWeeklySummary[[#This Row],[Hasta]])</f>
        <v>0</v>
      </c>
      <c r="R26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6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65" s="12">
        <f ca="1">SUMIFS(TableDailySummary[Inversión google ads],TableDailySummary[Fecha],"&gt;="&amp;TableWeeklySummary[[#This Row],[Desde]],TableDailySummary[Fecha],"&lt;="&amp;TableWeeklySummary[[#This Row],[Hasta]])</f>
        <v>0</v>
      </c>
      <c r="U265" s="12">
        <f ca="1">SUMIFS(TableDailySummary[Ventas google ads],TableDailySummary[Fecha],"&gt;="&amp;TableWeeklySummary[[#This Row],[Desde]],TableDailySummary[Fecha],"&lt;="&amp;TableWeeklySummary[[#This Row],[Hasta]])</f>
        <v>0</v>
      </c>
      <c r="V265" s="12">
        <f ca="1">SUMIFS(TableDailySummary[Inversión meta ads],TableDailySummary[Fecha],"&gt;="&amp;TableWeeklySummary[[#This Row],[Desde]],TableDailySummary[Fecha],"&lt;="&amp;TableWeeklySummary[[#This Row],[Hasta]])</f>
        <v>0</v>
      </c>
      <c r="W265" s="12">
        <f ca="1">SUMIFS(TableDailySummary[Ventas meta ads],TableDailySummary[Fecha],"&gt;="&amp;TableWeeklySummary[[#This Row],[Desde]],TableDailySummary[Fecha],"&lt;="&amp;TableWeeklySummary[[#This Row],[Hasta]])</f>
        <v>0</v>
      </c>
      <c r="X265" s="12">
        <f ca="1">TableWeeklySummary[[#This Row],[Inversión google ads]]+TableWeeklySummary[[#This Row],[Inversión meta ads]]</f>
        <v>0</v>
      </c>
      <c r="Y265" s="12">
        <f ca="1">TableWeeklySummary[[#This Row],[Ventas google ads]]+TableWeeklySummary[[#This Row],[Ventas meta ads]]</f>
        <v>0</v>
      </c>
      <c r="Z265" s="14">
        <f ca="1">IFERROR(TableWeeklySummary[[#This Row],[Ventas publicidad]]/TableWeeklySummary[[#This Row],[Inversión publicidad]],0)</f>
        <v>0</v>
      </c>
      <c r="AA265" s="14">
        <f ca="1">IFERROR(TableWeeklySummary[[#This Row],[Ventas primer cliente]]/TableWeeklySummary[[#This Row],[Inversión publicidad]],0)</f>
        <v>0</v>
      </c>
      <c r="AB265" s="14"/>
      <c r="AC265" s="12"/>
      <c r="AI26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6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65" s="12">
        <f ca="1">SUMIFS(TableDailySummary[Utilidad bruta],TableDailySummary[Fecha],"&gt;="&amp;TableWeeklySummary[[#This Row],[Desde]],TableDailySummary[Fecha],"&lt;="&amp;TableWeeklySummary[[#This Row],[Hasta]])</f>
        <v>0</v>
      </c>
      <c r="AL265" s="18">
        <f ca="1">IFERROR(TableWeeklySummary[[#This Row],[Utilidad bruta]]/TableWeeklySummary[[#This Row],[Ventas netas con costo registrado]],0)</f>
        <v>0</v>
      </c>
    </row>
    <row r="266" spans="2:38" x14ac:dyDescent="0.2">
      <c r="B266" s="16">
        <f ca="1">_xlfn.ISOWEEKNUM(TableWeeklySummary[[#This Row],[Hasta]])</f>
        <v>43</v>
      </c>
      <c r="C266" s="6">
        <f t="shared" ca="1" si="6"/>
        <v>47774</v>
      </c>
      <c r="D266" s="6">
        <f ca="1">TableWeeklySummary[[#This Row],[Desde]]+7-1</f>
        <v>47780</v>
      </c>
      <c r="E266" s="12">
        <f ca="1">SUMIFS(TableDailySummary[Ventas netas totales],TableDailySummary[Fecha],"&gt;="&amp;TableWeeklySummary[[#This Row],[Desde]],TableDailySummary[Fecha],"&lt;="&amp;TableWeeklySummary[[#This Row],[Hasta]])</f>
        <v>0</v>
      </c>
      <c r="F266" s="12">
        <f ca="1">SUMIFS(TableDailySummary[Órdenes totales],TableDailySummary[Fecha],"&gt;="&amp;TableWeeklySummary[[#This Row],[Desde]],TableDailySummary[Fecha],"&lt;="&amp;TableWeeklySummary[[#This Row],[Hasta]])</f>
        <v>0</v>
      </c>
      <c r="G266" s="12">
        <f ca="1">IFERROR(TableWeeklySummary[[#This Row],[Ventas netas totales]]/TableWeeklySummary[[#This Row],[Órdenes totales]],0)</f>
        <v>0</v>
      </c>
      <c r="H26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66" s="12">
        <f ca="1">TableWeeklySummary[[#This Row],[Órden promedio totales]]*TableWeeklySummary[[#This Row],[CR totales]]</f>
        <v>0</v>
      </c>
      <c r="J266" s="12">
        <f ca="1">SUMIFS(TableDailySummary[Ventas primer cliente],TableDailySummary[Fecha],"&gt;="&amp;TableWeeklySummary[[#This Row],[Desde]],TableDailySummary[Fecha],"&lt;="&amp;TableWeeklySummary[[#This Row],[Hasta]])</f>
        <v>0</v>
      </c>
      <c r="K266" s="12">
        <f ca="1">SUMIFS(TableDailySummary[Órdenes primer cliente],TableDailySummary[Fecha],"&gt;="&amp;TableWeeklySummary[[#This Row],[Desde]],TableDailySummary[Fecha],"&lt;="&amp;TableWeeklySummary[[#This Row],[Hasta]])</f>
        <v>0</v>
      </c>
      <c r="L266" s="12">
        <f ca="1">SUMIFS(TableDailySummary[Online Store_net_sales],TableDailySummary[Fecha],"&gt;="&amp;TableWeeklySummary[[#This Row],[Desde]],TableDailySummary[Fecha],"&lt;="&amp;TableWeeklySummary[[#This Row],[Hasta]])</f>
        <v>0</v>
      </c>
      <c r="M266" s="12">
        <f ca="1">SUMIFS(TableDailySummary[Online Store_orders],TableDailySummary[Fecha],"&gt;="&amp;TableWeeklySummary[[#This Row],[Desde]],TableDailySummary[Fecha],"&lt;="&amp;TableWeeklySummary[[#This Row],[Hasta]])</f>
        <v>0</v>
      </c>
      <c r="N266" s="12">
        <f ca="1">SUMIFS(TableDailySummary[Tienda 81_net_sales],TableDailySummary[Fecha],"&gt;="&amp;TableWeeklySummary[[#This Row],[Desde]],TableDailySummary[Fecha],"&lt;="&amp;TableWeeklySummary[[#This Row],[Hasta]])</f>
        <v>0</v>
      </c>
      <c r="O266" s="12">
        <f ca="1">SUMIFS(TableDailySummary[Tienda 81_orders],TableDailySummary[Fecha],"&gt;="&amp;TableWeeklySummary[[#This Row],[Desde]],TableDailySummary[Fecha],"&lt;="&amp;TableWeeklySummary[[#This Row],[Hasta]])</f>
        <v>0</v>
      </c>
      <c r="P266" s="12">
        <f ca="1">SUMIFS(TableDailySummary[Rappi_net_sales],TableDailySummary[Fecha],"&gt;="&amp;TableWeeklySummary[[#This Row],[Desde]],TableDailySummary[Fecha],"&lt;="&amp;TableWeeklySummary[[#This Row],[Hasta]])</f>
        <v>0</v>
      </c>
      <c r="Q266" s="12">
        <f ca="1">SUMIFS(TableDailySummary[Rappi_orders],TableDailySummary[Fecha],"&gt;="&amp;TableWeeklySummary[[#This Row],[Desde]],TableDailySummary[Fecha],"&lt;="&amp;TableWeeklySummary[[#This Row],[Hasta]])</f>
        <v>0</v>
      </c>
      <c r="R26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6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66" s="12">
        <f ca="1">SUMIFS(TableDailySummary[Inversión google ads],TableDailySummary[Fecha],"&gt;="&amp;TableWeeklySummary[[#This Row],[Desde]],TableDailySummary[Fecha],"&lt;="&amp;TableWeeklySummary[[#This Row],[Hasta]])</f>
        <v>0</v>
      </c>
      <c r="U266" s="12">
        <f ca="1">SUMIFS(TableDailySummary[Ventas google ads],TableDailySummary[Fecha],"&gt;="&amp;TableWeeklySummary[[#This Row],[Desde]],TableDailySummary[Fecha],"&lt;="&amp;TableWeeklySummary[[#This Row],[Hasta]])</f>
        <v>0</v>
      </c>
      <c r="V266" s="12">
        <f ca="1">SUMIFS(TableDailySummary[Inversión meta ads],TableDailySummary[Fecha],"&gt;="&amp;TableWeeklySummary[[#This Row],[Desde]],TableDailySummary[Fecha],"&lt;="&amp;TableWeeklySummary[[#This Row],[Hasta]])</f>
        <v>0</v>
      </c>
      <c r="W266" s="12">
        <f ca="1">SUMIFS(TableDailySummary[Ventas meta ads],TableDailySummary[Fecha],"&gt;="&amp;TableWeeklySummary[[#This Row],[Desde]],TableDailySummary[Fecha],"&lt;="&amp;TableWeeklySummary[[#This Row],[Hasta]])</f>
        <v>0</v>
      </c>
      <c r="X266" s="12">
        <f ca="1">TableWeeklySummary[[#This Row],[Inversión google ads]]+TableWeeklySummary[[#This Row],[Inversión meta ads]]</f>
        <v>0</v>
      </c>
      <c r="Y266" s="12">
        <f ca="1">TableWeeklySummary[[#This Row],[Ventas google ads]]+TableWeeklySummary[[#This Row],[Ventas meta ads]]</f>
        <v>0</v>
      </c>
      <c r="Z266" s="14">
        <f ca="1">IFERROR(TableWeeklySummary[[#This Row],[Ventas publicidad]]/TableWeeklySummary[[#This Row],[Inversión publicidad]],0)</f>
        <v>0</v>
      </c>
      <c r="AA266" s="14">
        <f ca="1">IFERROR(TableWeeklySummary[[#This Row],[Ventas primer cliente]]/TableWeeklySummary[[#This Row],[Inversión publicidad]],0)</f>
        <v>0</v>
      </c>
      <c r="AB266" s="14"/>
      <c r="AC266" s="12"/>
      <c r="AI26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6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66" s="12">
        <f ca="1">SUMIFS(TableDailySummary[Utilidad bruta],TableDailySummary[Fecha],"&gt;="&amp;TableWeeklySummary[[#This Row],[Desde]],TableDailySummary[Fecha],"&lt;="&amp;TableWeeklySummary[[#This Row],[Hasta]])</f>
        <v>0</v>
      </c>
      <c r="AL266" s="18">
        <f ca="1">IFERROR(TableWeeklySummary[[#This Row],[Utilidad bruta]]/TableWeeklySummary[[#This Row],[Ventas netas con costo registrado]],0)</f>
        <v>0</v>
      </c>
    </row>
    <row r="267" spans="2:38" x14ac:dyDescent="0.2">
      <c r="B267" s="16">
        <f ca="1">_xlfn.ISOWEEKNUM(TableWeeklySummary[[#This Row],[Hasta]])</f>
        <v>44</v>
      </c>
      <c r="C267" s="6">
        <f t="shared" ca="1" si="6"/>
        <v>47781</v>
      </c>
      <c r="D267" s="6">
        <f ca="1">TableWeeklySummary[[#This Row],[Desde]]+7-1</f>
        <v>47787</v>
      </c>
      <c r="E267" s="12">
        <f ca="1">SUMIFS(TableDailySummary[Ventas netas totales],TableDailySummary[Fecha],"&gt;="&amp;TableWeeklySummary[[#This Row],[Desde]],TableDailySummary[Fecha],"&lt;="&amp;TableWeeklySummary[[#This Row],[Hasta]])</f>
        <v>0</v>
      </c>
      <c r="F267" s="12">
        <f ca="1">SUMIFS(TableDailySummary[Órdenes totales],TableDailySummary[Fecha],"&gt;="&amp;TableWeeklySummary[[#This Row],[Desde]],TableDailySummary[Fecha],"&lt;="&amp;TableWeeklySummary[[#This Row],[Hasta]])</f>
        <v>0</v>
      </c>
      <c r="G267" s="12">
        <f ca="1">IFERROR(TableWeeklySummary[[#This Row],[Ventas netas totales]]/TableWeeklySummary[[#This Row],[Órdenes totales]],0)</f>
        <v>0</v>
      </c>
      <c r="H26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67" s="12">
        <f ca="1">TableWeeklySummary[[#This Row],[Órden promedio totales]]*TableWeeklySummary[[#This Row],[CR totales]]</f>
        <v>0</v>
      </c>
      <c r="J267" s="12">
        <f ca="1">SUMIFS(TableDailySummary[Ventas primer cliente],TableDailySummary[Fecha],"&gt;="&amp;TableWeeklySummary[[#This Row],[Desde]],TableDailySummary[Fecha],"&lt;="&amp;TableWeeklySummary[[#This Row],[Hasta]])</f>
        <v>0</v>
      </c>
      <c r="K267" s="12">
        <f ca="1">SUMIFS(TableDailySummary[Órdenes primer cliente],TableDailySummary[Fecha],"&gt;="&amp;TableWeeklySummary[[#This Row],[Desde]],TableDailySummary[Fecha],"&lt;="&amp;TableWeeklySummary[[#This Row],[Hasta]])</f>
        <v>0</v>
      </c>
      <c r="L267" s="12">
        <f ca="1">SUMIFS(TableDailySummary[Online Store_net_sales],TableDailySummary[Fecha],"&gt;="&amp;TableWeeklySummary[[#This Row],[Desde]],TableDailySummary[Fecha],"&lt;="&amp;TableWeeklySummary[[#This Row],[Hasta]])</f>
        <v>0</v>
      </c>
      <c r="M267" s="12">
        <f ca="1">SUMIFS(TableDailySummary[Online Store_orders],TableDailySummary[Fecha],"&gt;="&amp;TableWeeklySummary[[#This Row],[Desde]],TableDailySummary[Fecha],"&lt;="&amp;TableWeeklySummary[[#This Row],[Hasta]])</f>
        <v>0</v>
      </c>
      <c r="N267" s="12">
        <f ca="1">SUMIFS(TableDailySummary[Tienda 81_net_sales],TableDailySummary[Fecha],"&gt;="&amp;TableWeeklySummary[[#This Row],[Desde]],TableDailySummary[Fecha],"&lt;="&amp;TableWeeklySummary[[#This Row],[Hasta]])</f>
        <v>0</v>
      </c>
      <c r="O267" s="12">
        <f ca="1">SUMIFS(TableDailySummary[Tienda 81_orders],TableDailySummary[Fecha],"&gt;="&amp;TableWeeklySummary[[#This Row],[Desde]],TableDailySummary[Fecha],"&lt;="&amp;TableWeeklySummary[[#This Row],[Hasta]])</f>
        <v>0</v>
      </c>
      <c r="P267" s="12">
        <f ca="1">SUMIFS(TableDailySummary[Rappi_net_sales],TableDailySummary[Fecha],"&gt;="&amp;TableWeeklySummary[[#This Row],[Desde]],TableDailySummary[Fecha],"&lt;="&amp;TableWeeklySummary[[#This Row],[Hasta]])</f>
        <v>0</v>
      </c>
      <c r="Q267" s="12">
        <f ca="1">SUMIFS(TableDailySummary[Rappi_orders],TableDailySummary[Fecha],"&gt;="&amp;TableWeeklySummary[[#This Row],[Desde]],TableDailySummary[Fecha],"&lt;="&amp;TableWeeklySummary[[#This Row],[Hasta]])</f>
        <v>0</v>
      </c>
      <c r="R26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6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67" s="12">
        <f ca="1">SUMIFS(TableDailySummary[Inversión google ads],TableDailySummary[Fecha],"&gt;="&amp;TableWeeklySummary[[#This Row],[Desde]],TableDailySummary[Fecha],"&lt;="&amp;TableWeeklySummary[[#This Row],[Hasta]])</f>
        <v>0</v>
      </c>
      <c r="U267" s="12">
        <f ca="1">SUMIFS(TableDailySummary[Ventas google ads],TableDailySummary[Fecha],"&gt;="&amp;TableWeeklySummary[[#This Row],[Desde]],TableDailySummary[Fecha],"&lt;="&amp;TableWeeklySummary[[#This Row],[Hasta]])</f>
        <v>0</v>
      </c>
      <c r="V267" s="12">
        <f ca="1">SUMIFS(TableDailySummary[Inversión meta ads],TableDailySummary[Fecha],"&gt;="&amp;TableWeeklySummary[[#This Row],[Desde]],TableDailySummary[Fecha],"&lt;="&amp;TableWeeklySummary[[#This Row],[Hasta]])</f>
        <v>0</v>
      </c>
      <c r="W267" s="12">
        <f ca="1">SUMIFS(TableDailySummary[Ventas meta ads],TableDailySummary[Fecha],"&gt;="&amp;TableWeeklySummary[[#This Row],[Desde]],TableDailySummary[Fecha],"&lt;="&amp;TableWeeklySummary[[#This Row],[Hasta]])</f>
        <v>0</v>
      </c>
      <c r="X267" s="12">
        <f ca="1">TableWeeklySummary[[#This Row],[Inversión google ads]]+TableWeeklySummary[[#This Row],[Inversión meta ads]]</f>
        <v>0</v>
      </c>
      <c r="Y267" s="12">
        <f ca="1">TableWeeklySummary[[#This Row],[Ventas google ads]]+TableWeeklySummary[[#This Row],[Ventas meta ads]]</f>
        <v>0</v>
      </c>
      <c r="Z267" s="14">
        <f ca="1">IFERROR(TableWeeklySummary[[#This Row],[Ventas publicidad]]/TableWeeklySummary[[#This Row],[Inversión publicidad]],0)</f>
        <v>0</v>
      </c>
      <c r="AA267" s="14">
        <f ca="1">IFERROR(TableWeeklySummary[[#This Row],[Ventas primer cliente]]/TableWeeklySummary[[#This Row],[Inversión publicidad]],0)</f>
        <v>0</v>
      </c>
      <c r="AB267" s="14"/>
      <c r="AC267" s="12"/>
      <c r="AI26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6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67" s="12">
        <f ca="1">SUMIFS(TableDailySummary[Utilidad bruta],TableDailySummary[Fecha],"&gt;="&amp;TableWeeklySummary[[#This Row],[Desde]],TableDailySummary[Fecha],"&lt;="&amp;TableWeeklySummary[[#This Row],[Hasta]])</f>
        <v>0</v>
      </c>
      <c r="AL267" s="18">
        <f ca="1">IFERROR(TableWeeklySummary[[#This Row],[Utilidad bruta]]/TableWeeklySummary[[#This Row],[Ventas netas con costo registrado]],0)</f>
        <v>0</v>
      </c>
    </row>
    <row r="268" spans="2:38" x14ac:dyDescent="0.2">
      <c r="B268" s="16">
        <f ca="1">_xlfn.ISOWEEKNUM(TableWeeklySummary[[#This Row],[Hasta]])</f>
        <v>45</v>
      </c>
      <c r="C268" s="6">
        <f t="shared" ca="1" si="6"/>
        <v>47788</v>
      </c>
      <c r="D268" s="6">
        <f ca="1">TableWeeklySummary[[#This Row],[Desde]]+7-1</f>
        <v>47794</v>
      </c>
      <c r="E268" s="12">
        <f ca="1">SUMIFS(TableDailySummary[Ventas netas totales],TableDailySummary[Fecha],"&gt;="&amp;TableWeeklySummary[[#This Row],[Desde]],TableDailySummary[Fecha],"&lt;="&amp;TableWeeklySummary[[#This Row],[Hasta]])</f>
        <v>0</v>
      </c>
      <c r="F268" s="12">
        <f ca="1">SUMIFS(TableDailySummary[Órdenes totales],TableDailySummary[Fecha],"&gt;="&amp;TableWeeklySummary[[#This Row],[Desde]],TableDailySummary[Fecha],"&lt;="&amp;TableWeeklySummary[[#This Row],[Hasta]])</f>
        <v>0</v>
      </c>
      <c r="G268" s="12">
        <f ca="1">IFERROR(TableWeeklySummary[[#This Row],[Ventas netas totales]]/TableWeeklySummary[[#This Row],[Órdenes totales]],0)</f>
        <v>0</v>
      </c>
      <c r="H26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68" s="12">
        <f ca="1">TableWeeklySummary[[#This Row],[Órden promedio totales]]*TableWeeklySummary[[#This Row],[CR totales]]</f>
        <v>0</v>
      </c>
      <c r="J268" s="12">
        <f ca="1">SUMIFS(TableDailySummary[Ventas primer cliente],TableDailySummary[Fecha],"&gt;="&amp;TableWeeklySummary[[#This Row],[Desde]],TableDailySummary[Fecha],"&lt;="&amp;TableWeeklySummary[[#This Row],[Hasta]])</f>
        <v>0</v>
      </c>
      <c r="K268" s="12">
        <f ca="1">SUMIFS(TableDailySummary[Órdenes primer cliente],TableDailySummary[Fecha],"&gt;="&amp;TableWeeklySummary[[#This Row],[Desde]],TableDailySummary[Fecha],"&lt;="&amp;TableWeeklySummary[[#This Row],[Hasta]])</f>
        <v>0</v>
      </c>
      <c r="L268" s="12">
        <f ca="1">SUMIFS(TableDailySummary[Online Store_net_sales],TableDailySummary[Fecha],"&gt;="&amp;TableWeeklySummary[[#This Row],[Desde]],TableDailySummary[Fecha],"&lt;="&amp;TableWeeklySummary[[#This Row],[Hasta]])</f>
        <v>0</v>
      </c>
      <c r="M268" s="12">
        <f ca="1">SUMIFS(TableDailySummary[Online Store_orders],TableDailySummary[Fecha],"&gt;="&amp;TableWeeklySummary[[#This Row],[Desde]],TableDailySummary[Fecha],"&lt;="&amp;TableWeeklySummary[[#This Row],[Hasta]])</f>
        <v>0</v>
      </c>
      <c r="N268" s="12">
        <f ca="1">SUMIFS(TableDailySummary[Tienda 81_net_sales],TableDailySummary[Fecha],"&gt;="&amp;TableWeeklySummary[[#This Row],[Desde]],TableDailySummary[Fecha],"&lt;="&amp;TableWeeklySummary[[#This Row],[Hasta]])</f>
        <v>0</v>
      </c>
      <c r="O268" s="12">
        <f ca="1">SUMIFS(TableDailySummary[Tienda 81_orders],TableDailySummary[Fecha],"&gt;="&amp;TableWeeklySummary[[#This Row],[Desde]],TableDailySummary[Fecha],"&lt;="&amp;TableWeeklySummary[[#This Row],[Hasta]])</f>
        <v>0</v>
      </c>
      <c r="P268" s="12">
        <f ca="1">SUMIFS(TableDailySummary[Rappi_net_sales],TableDailySummary[Fecha],"&gt;="&amp;TableWeeklySummary[[#This Row],[Desde]],TableDailySummary[Fecha],"&lt;="&amp;TableWeeklySummary[[#This Row],[Hasta]])</f>
        <v>0</v>
      </c>
      <c r="Q268" s="12">
        <f ca="1">SUMIFS(TableDailySummary[Rappi_orders],TableDailySummary[Fecha],"&gt;="&amp;TableWeeklySummary[[#This Row],[Desde]],TableDailySummary[Fecha],"&lt;="&amp;TableWeeklySummary[[#This Row],[Hasta]])</f>
        <v>0</v>
      </c>
      <c r="R26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6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68" s="12">
        <f ca="1">SUMIFS(TableDailySummary[Inversión google ads],TableDailySummary[Fecha],"&gt;="&amp;TableWeeklySummary[[#This Row],[Desde]],TableDailySummary[Fecha],"&lt;="&amp;TableWeeklySummary[[#This Row],[Hasta]])</f>
        <v>0</v>
      </c>
      <c r="U268" s="12">
        <f ca="1">SUMIFS(TableDailySummary[Ventas google ads],TableDailySummary[Fecha],"&gt;="&amp;TableWeeklySummary[[#This Row],[Desde]],TableDailySummary[Fecha],"&lt;="&amp;TableWeeklySummary[[#This Row],[Hasta]])</f>
        <v>0</v>
      </c>
      <c r="V268" s="12">
        <f ca="1">SUMIFS(TableDailySummary[Inversión meta ads],TableDailySummary[Fecha],"&gt;="&amp;TableWeeklySummary[[#This Row],[Desde]],TableDailySummary[Fecha],"&lt;="&amp;TableWeeklySummary[[#This Row],[Hasta]])</f>
        <v>0</v>
      </c>
      <c r="W268" s="12">
        <f ca="1">SUMIFS(TableDailySummary[Ventas meta ads],TableDailySummary[Fecha],"&gt;="&amp;TableWeeklySummary[[#This Row],[Desde]],TableDailySummary[Fecha],"&lt;="&amp;TableWeeklySummary[[#This Row],[Hasta]])</f>
        <v>0</v>
      </c>
      <c r="X268" s="12">
        <f ca="1">TableWeeklySummary[[#This Row],[Inversión google ads]]+TableWeeklySummary[[#This Row],[Inversión meta ads]]</f>
        <v>0</v>
      </c>
      <c r="Y268" s="12">
        <f ca="1">TableWeeklySummary[[#This Row],[Ventas google ads]]+TableWeeklySummary[[#This Row],[Ventas meta ads]]</f>
        <v>0</v>
      </c>
      <c r="Z268" s="14">
        <f ca="1">IFERROR(TableWeeklySummary[[#This Row],[Ventas publicidad]]/TableWeeklySummary[[#This Row],[Inversión publicidad]],0)</f>
        <v>0</v>
      </c>
      <c r="AA268" s="14">
        <f ca="1">IFERROR(TableWeeklySummary[[#This Row],[Ventas primer cliente]]/TableWeeklySummary[[#This Row],[Inversión publicidad]],0)</f>
        <v>0</v>
      </c>
      <c r="AB268" s="14"/>
      <c r="AC268" s="12"/>
      <c r="AI26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6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68" s="12">
        <f ca="1">SUMIFS(TableDailySummary[Utilidad bruta],TableDailySummary[Fecha],"&gt;="&amp;TableWeeklySummary[[#This Row],[Desde]],TableDailySummary[Fecha],"&lt;="&amp;TableWeeklySummary[[#This Row],[Hasta]])</f>
        <v>0</v>
      </c>
      <c r="AL268" s="18">
        <f ca="1">IFERROR(TableWeeklySummary[[#This Row],[Utilidad bruta]]/TableWeeklySummary[[#This Row],[Ventas netas con costo registrado]],0)</f>
        <v>0</v>
      </c>
    </row>
    <row r="269" spans="2:38" x14ac:dyDescent="0.2">
      <c r="B269" s="16">
        <f ca="1">_xlfn.ISOWEEKNUM(TableWeeklySummary[[#This Row],[Hasta]])</f>
        <v>46</v>
      </c>
      <c r="C269" s="6">
        <f t="shared" ca="1" si="6"/>
        <v>47795</v>
      </c>
      <c r="D269" s="6">
        <f ca="1">TableWeeklySummary[[#This Row],[Desde]]+7-1</f>
        <v>47801</v>
      </c>
      <c r="E269" s="12">
        <f ca="1">SUMIFS(TableDailySummary[Ventas netas totales],TableDailySummary[Fecha],"&gt;="&amp;TableWeeklySummary[[#This Row],[Desde]],TableDailySummary[Fecha],"&lt;="&amp;TableWeeklySummary[[#This Row],[Hasta]])</f>
        <v>0</v>
      </c>
      <c r="F269" s="12">
        <f ca="1">SUMIFS(TableDailySummary[Órdenes totales],TableDailySummary[Fecha],"&gt;="&amp;TableWeeklySummary[[#This Row],[Desde]],TableDailySummary[Fecha],"&lt;="&amp;TableWeeklySummary[[#This Row],[Hasta]])</f>
        <v>0</v>
      </c>
      <c r="G269" s="12">
        <f ca="1">IFERROR(TableWeeklySummary[[#This Row],[Ventas netas totales]]/TableWeeklySummary[[#This Row],[Órdenes totales]],0)</f>
        <v>0</v>
      </c>
      <c r="H26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69" s="12">
        <f ca="1">TableWeeklySummary[[#This Row],[Órden promedio totales]]*TableWeeklySummary[[#This Row],[CR totales]]</f>
        <v>0</v>
      </c>
      <c r="J269" s="12">
        <f ca="1">SUMIFS(TableDailySummary[Ventas primer cliente],TableDailySummary[Fecha],"&gt;="&amp;TableWeeklySummary[[#This Row],[Desde]],TableDailySummary[Fecha],"&lt;="&amp;TableWeeklySummary[[#This Row],[Hasta]])</f>
        <v>0</v>
      </c>
      <c r="K269" s="12">
        <f ca="1">SUMIFS(TableDailySummary[Órdenes primer cliente],TableDailySummary[Fecha],"&gt;="&amp;TableWeeklySummary[[#This Row],[Desde]],TableDailySummary[Fecha],"&lt;="&amp;TableWeeklySummary[[#This Row],[Hasta]])</f>
        <v>0</v>
      </c>
      <c r="L269" s="12">
        <f ca="1">SUMIFS(TableDailySummary[Online Store_net_sales],TableDailySummary[Fecha],"&gt;="&amp;TableWeeklySummary[[#This Row],[Desde]],TableDailySummary[Fecha],"&lt;="&amp;TableWeeklySummary[[#This Row],[Hasta]])</f>
        <v>0</v>
      </c>
      <c r="M269" s="12">
        <f ca="1">SUMIFS(TableDailySummary[Online Store_orders],TableDailySummary[Fecha],"&gt;="&amp;TableWeeklySummary[[#This Row],[Desde]],TableDailySummary[Fecha],"&lt;="&amp;TableWeeklySummary[[#This Row],[Hasta]])</f>
        <v>0</v>
      </c>
      <c r="N269" s="12">
        <f ca="1">SUMIFS(TableDailySummary[Tienda 81_net_sales],TableDailySummary[Fecha],"&gt;="&amp;TableWeeklySummary[[#This Row],[Desde]],TableDailySummary[Fecha],"&lt;="&amp;TableWeeklySummary[[#This Row],[Hasta]])</f>
        <v>0</v>
      </c>
      <c r="O269" s="12">
        <f ca="1">SUMIFS(TableDailySummary[Tienda 81_orders],TableDailySummary[Fecha],"&gt;="&amp;TableWeeklySummary[[#This Row],[Desde]],TableDailySummary[Fecha],"&lt;="&amp;TableWeeklySummary[[#This Row],[Hasta]])</f>
        <v>0</v>
      </c>
      <c r="P269" s="12">
        <f ca="1">SUMIFS(TableDailySummary[Rappi_net_sales],TableDailySummary[Fecha],"&gt;="&amp;TableWeeklySummary[[#This Row],[Desde]],TableDailySummary[Fecha],"&lt;="&amp;TableWeeklySummary[[#This Row],[Hasta]])</f>
        <v>0</v>
      </c>
      <c r="Q269" s="12">
        <f ca="1">SUMIFS(TableDailySummary[Rappi_orders],TableDailySummary[Fecha],"&gt;="&amp;TableWeeklySummary[[#This Row],[Desde]],TableDailySummary[Fecha],"&lt;="&amp;TableWeeklySummary[[#This Row],[Hasta]])</f>
        <v>0</v>
      </c>
      <c r="R26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6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69" s="12">
        <f ca="1">SUMIFS(TableDailySummary[Inversión google ads],TableDailySummary[Fecha],"&gt;="&amp;TableWeeklySummary[[#This Row],[Desde]],TableDailySummary[Fecha],"&lt;="&amp;TableWeeklySummary[[#This Row],[Hasta]])</f>
        <v>0</v>
      </c>
      <c r="U269" s="12">
        <f ca="1">SUMIFS(TableDailySummary[Ventas google ads],TableDailySummary[Fecha],"&gt;="&amp;TableWeeklySummary[[#This Row],[Desde]],TableDailySummary[Fecha],"&lt;="&amp;TableWeeklySummary[[#This Row],[Hasta]])</f>
        <v>0</v>
      </c>
      <c r="V269" s="12">
        <f ca="1">SUMIFS(TableDailySummary[Inversión meta ads],TableDailySummary[Fecha],"&gt;="&amp;TableWeeklySummary[[#This Row],[Desde]],TableDailySummary[Fecha],"&lt;="&amp;TableWeeklySummary[[#This Row],[Hasta]])</f>
        <v>0</v>
      </c>
      <c r="W269" s="12">
        <f ca="1">SUMIFS(TableDailySummary[Ventas meta ads],TableDailySummary[Fecha],"&gt;="&amp;TableWeeklySummary[[#This Row],[Desde]],TableDailySummary[Fecha],"&lt;="&amp;TableWeeklySummary[[#This Row],[Hasta]])</f>
        <v>0</v>
      </c>
      <c r="X269" s="12">
        <f ca="1">TableWeeklySummary[[#This Row],[Inversión google ads]]+TableWeeklySummary[[#This Row],[Inversión meta ads]]</f>
        <v>0</v>
      </c>
      <c r="Y269" s="12">
        <f ca="1">TableWeeklySummary[[#This Row],[Ventas google ads]]+TableWeeklySummary[[#This Row],[Ventas meta ads]]</f>
        <v>0</v>
      </c>
      <c r="Z269" s="14">
        <f ca="1">IFERROR(TableWeeklySummary[[#This Row],[Ventas publicidad]]/TableWeeklySummary[[#This Row],[Inversión publicidad]],0)</f>
        <v>0</v>
      </c>
      <c r="AA269" s="14">
        <f ca="1">IFERROR(TableWeeklySummary[[#This Row],[Ventas primer cliente]]/TableWeeklySummary[[#This Row],[Inversión publicidad]],0)</f>
        <v>0</v>
      </c>
      <c r="AB269" s="14"/>
      <c r="AC269" s="12"/>
      <c r="AI26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6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69" s="12">
        <f ca="1">SUMIFS(TableDailySummary[Utilidad bruta],TableDailySummary[Fecha],"&gt;="&amp;TableWeeklySummary[[#This Row],[Desde]],TableDailySummary[Fecha],"&lt;="&amp;TableWeeklySummary[[#This Row],[Hasta]])</f>
        <v>0</v>
      </c>
      <c r="AL269" s="18">
        <f ca="1">IFERROR(TableWeeklySummary[[#This Row],[Utilidad bruta]]/TableWeeklySummary[[#This Row],[Ventas netas con costo registrado]],0)</f>
        <v>0</v>
      </c>
    </row>
    <row r="270" spans="2:38" x14ac:dyDescent="0.2">
      <c r="B270" s="16">
        <f ca="1">_xlfn.ISOWEEKNUM(TableWeeklySummary[[#This Row],[Hasta]])</f>
        <v>47</v>
      </c>
      <c r="C270" s="6">
        <f t="shared" ca="1" si="6"/>
        <v>47802</v>
      </c>
      <c r="D270" s="6">
        <f ca="1">TableWeeklySummary[[#This Row],[Desde]]+7-1</f>
        <v>47808</v>
      </c>
      <c r="E270" s="12">
        <f ca="1">SUMIFS(TableDailySummary[Ventas netas totales],TableDailySummary[Fecha],"&gt;="&amp;TableWeeklySummary[[#This Row],[Desde]],TableDailySummary[Fecha],"&lt;="&amp;TableWeeklySummary[[#This Row],[Hasta]])</f>
        <v>0</v>
      </c>
      <c r="F270" s="12">
        <f ca="1">SUMIFS(TableDailySummary[Órdenes totales],TableDailySummary[Fecha],"&gt;="&amp;TableWeeklySummary[[#This Row],[Desde]],TableDailySummary[Fecha],"&lt;="&amp;TableWeeklySummary[[#This Row],[Hasta]])</f>
        <v>0</v>
      </c>
      <c r="G270" s="12">
        <f ca="1">IFERROR(TableWeeklySummary[[#This Row],[Ventas netas totales]]/TableWeeklySummary[[#This Row],[Órdenes totales]],0)</f>
        <v>0</v>
      </c>
      <c r="H27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70" s="12">
        <f ca="1">TableWeeklySummary[[#This Row],[Órden promedio totales]]*TableWeeklySummary[[#This Row],[CR totales]]</f>
        <v>0</v>
      </c>
      <c r="J270" s="12">
        <f ca="1">SUMIFS(TableDailySummary[Ventas primer cliente],TableDailySummary[Fecha],"&gt;="&amp;TableWeeklySummary[[#This Row],[Desde]],TableDailySummary[Fecha],"&lt;="&amp;TableWeeklySummary[[#This Row],[Hasta]])</f>
        <v>0</v>
      </c>
      <c r="K270" s="12">
        <f ca="1">SUMIFS(TableDailySummary[Órdenes primer cliente],TableDailySummary[Fecha],"&gt;="&amp;TableWeeklySummary[[#This Row],[Desde]],TableDailySummary[Fecha],"&lt;="&amp;TableWeeklySummary[[#This Row],[Hasta]])</f>
        <v>0</v>
      </c>
      <c r="L270" s="12">
        <f ca="1">SUMIFS(TableDailySummary[Online Store_net_sales],TableDailySummary[Fecha],"&gt;="&amp;TableWeeklySummary[[#This Row],[Desde]],TableDailySummary[Fecha],"&lt;="&amp;TableWeeklySummary[[#This Row],[Hasta]])</f>
        <v>0</v>
      </c>
      <c r="M270" s="12">
        <f ca="1">SUMIFS(TableDailySummary[Online Store_orders],TableDailySummary[Fecha],"&gt;="&amp;TableWeeklySummary[[#This Row],[Desde]],TableDailySummary[Fecha],"&lt;="&amp;TableWeeklySummary[[#This Row],[Hasta]])</f>
        <v>0</v>
      </c>
      <c r="N270" s="12">
        <f ca="1">SUMIFS(TableDailySummary[Tienda 81_net_sales],TableDailySummary[Fecha],"&gt;="&amp;TableWeeklySummary[[#This Row],[Desde]],TableDailySummary[Fecha],"&lt;="&amp;TableWeeklySummary[[#This Row],[Hasta]])</f>
        <v>0</v>
      </c>
      <c r="O270" s="12">
        <f ca="1">SUMIFS(TableDailySummary[Tienda 81_orders],TableDailySummary[Fecha],"&gt;="&amp;TableWeeklySummary[[#This Row],[Desde]],TableDailySummary[Fecha],"&lt;="&amp;TableWeeklySummary[[#This Row],[Hasta]])</f>
        <v>0</v>
      </c>
      <c r="P270" s="12">
        <f ca="1">SUMIFS(TableDailySummary[Rappi_net_sales],TableDailySummary[Fecha],"&gt;="&amp;TableWeeklySummary[[#This Row],[Desde]],TableDailySummary[Fecha],"&lt;="&amp;TableWeeklySummary[[#This Row],[Hasta]])</f>
        <v>0</v>
      </c>
      <c r="Q270" s="12">
        <f ca="1">SUMIFS(TableDailySummary[Rappi_orders],TableDailySummary[Fecha],"&gt;="&amp;TableWeeklySummary[[#This Row],[Desde]],TableDailySummary[Fecha],"&lt;="&amp;TableWeeklySummary[[#This Row],[Hasta]])</f>
        <v>0</v>
      </c>
      <c r="R27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7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70" s="12">
        <f ca="1">SUMIFS(TableDailySummary[Inversión google ads],TableDailySummary[Fecha],"&gt;="&amp;TableWeeklySummary[[#This Row],[Desde]],TableDailySummary[Fecha],"&lt;="&amp;TableWeeklySummary[[#This Row],[Hasta]])</f>
        <v>0</v>
      </c>
      <c r="U270" s="12">
        <f ca="1">SUMIFS(TableDailySummary[Ventas google ads],TableDailySummary[Fecha],"&gt;="&amp;TableWeeklySummary[[#This Row],[Desde]],TableDailySummary[Fecha],"&lt;="&amp;TableWeeklySummary[[#This Row],[Hasta]])</f>
        <v>0</v>
      </c>
      <c r="V270" s="12">
        <f ca="1">SUMIFS(TableDailySummary[Inversión meta ads],TableDailySummary[Fecha],"&gt;="&amp;TableWeeklySummary[[#This Row],[Desde]],TableDailySummary[Fecha],"&lt;="&amp;TableWeeklySummary[[#This Row],[Hasta]])</f>
        <v>0</v>
      </c>
      <c r="W270" s="12">
        <f ca="1">SUMIFS(TableDailySummary[Ventas meta ads],TableDailySummary[Fecha],"&gt;="&amp;TableWeeklySummary[[#This Row],[Desde]],TableDailySummary[Fecha],"&lt;="&amp;TableWeeklySummary[[#This Row],[Hasta]])</f>
        <v>0</v>
      </c>
      <c r="X270" s="12">
        <f ca="1">TableWeeklySummary[[#This Row],[Inversión google ads]]+TableWeeklySummary[[#This Row],[Inversión meta ads]]</f>
        <v>0</v>
      </c>
      <c r="Y270" s="12">
        <f ca="1">TableWeeklySummary[[#This Row],[Ventas google ads]]+TableWeeklySummary[[#This Row],[Ventas meta ads]]</f>
        <v>0</v>
      </c>
      <c r="Z270" s="14">
        <f ca="1">IFERROR(TableWeeklySummary[[#This Row],[Ventas publicidad]]/TableWeeklySummary[[#This Row],[Inversión publicidad]],0)</f>
        <v>0</v>
      </c>
      <c r="AA270" s="14">
        <f ca="1">IFERROR(TableWeeklySummary[[#This Row],[Ventas primer cliente]]/TableWeeklySummary[[#This Row],[Inversión publicidad]],0)</f>
        <v>0</v>
      </c>
      <c r="AB270" s="14"/>
      <c r="AC270" s="12"/>
      <c r="AI27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7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70" s="12">
        <f ca="1">SUMIFS(TableDailySummary[Utilidad bruta],TableDailySummary[Fecha],"&gt;="&amp;TableWeeklySummary[[#This Row],[Desde]],TableDailySummary[Fecha],"&lt;="&amp;TableWeeklySummary[[#This Row],[Hasta]])</f>
        <v>0</v>
      </c>
      <c r="AL270" s="18">
        <f ca="1">IFERROR(TableWeeklySummary[[#This Row],[Utilidad bruta]]/TableWeeklySummary[[#This Row],[Ventas netas con costo registrado]],0)</f>
        <v>0</v>
      </c>
    </row>
    <row r="271" spans="2:38" x14ac:dyDescent="0.2">
      <c r="B271" s="16">
        <f ca="1">_xlfn.ISOWEEKNUM(TableWeeklySummary[[#This Row],[Hasta]])</f>
        <v>48</v>
      </c>
      <c r="C271" s="6">
        <f t="shared" ca="1" si="6"/>
        <v>47809</v>
      </c>
      <c r="D271" s="6">
        <f ca="1">TableWeeklySummary[[#This Row],[Desde]]+7-1</f>
        <v>47815</v>
      </c>
      <c r="E271" s="12">
        <f ca="1">SUMIFS(TableDailySummary[Ventas netas totales],TableDailySummary[Fecha],"&gt;="&amp;TableWeeklySummary[[#This Row],[Desde]],TableDailySummary[Fecha],"&lt;="&amp;TableWeeklySummary[[#This Row],[Hasta]])</f>
        <v>0</v>
      </c>
      <c r="F271" s="12">
        <f ca="1">SUMIFS(TableDailySummary[Órdenes totales],TableDailySummary[Fecha],"&gt;="&amp;TableWeeklySummary[[#This Row],[Desde]],TableDailySummary[Fecha],"&lt;="&amp;TableWeeklySummary[[#This Row],[Hasta]])</f>
        <v>0</v>
      </c>
      <c r="G271" s="12">
        <f ca="1">IFERROR(TableWeeklySummary[[#This Row],[Ventas netas totales]]/TableWeeklySummary[[#This Row],[Órdenes totales]],0)</f>
        <v>0</v>
      </c>
      <c r="H27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71" s="12">
        <f ca="1">TableWeeklySummary[[#This Row],[Órden promedio totales]]*TableWeeklySummary[[#This Row],[CR totales]]</f>
        <v>0</v>
      </c>
      <c r="J271" s="12">
        <f ca="1">SUMIFS(TableDailySummary[Ventas primer cliente],TableDailySummary[Fecha],"&gt;="&amp;TableWeeklySummary[[#This Row],[Desde]],TableDailySummary[Fecha],"&lt;="&amp;TableWeeklySummary[[#This Row],[Hasta]])</f>
        <v>0</v>
      </c>
      <c r="K271" s="12">
        <f ca="1">SUMIFS(TableDailySummary[Órdenes primer cliente],TableDailySummary[Fecha],"&gt;="&amp;TableWeeklySummary[[#This Row],[Desde]],TableDailySummary[Fecha],"&lt;="&amp;TableWeeklySummary[[#This Row],[Hasta]])</f>
        <v>0</v>
      </c>
      <c r="L271" s="12">
        <f ca="1">SUMIFS(TableDailySummary[Online Store_net_sales],TableDailySummary[Fecha],"&gt;="&amp;TableWeeklySummary[[#This Row],[Desde]],TableDailySummary[Fecha],"&lt;="&amp;TableWeeklySummary[[#This Row],[Hasta]])</f>
        <v>0</v>
      </c>
      <c r="M271" s="12">
        <f ca="1">SUMIFS(TableDailySummary[Online Store_orders],TableDailySummary[Fecha],"&gt;="&amp;TableWeeklySummary[[#This Row],[Desde]],TableDailySummary[Fecha],"&lt;="&amp;TableWeeklySummary[[#This Row],[Hasta]])</f>
        <v>0</v>
      </c>
      <c r="N271" s="12">
        <f ca="1">SUMIFS(TableDailySummary[Tienda 81_net_sales],TableDailySummary[Fecha],"&gt;="&amp;TableWeeklySummary[[#This Row],[Desde]],TableDailySummary[Fecha],"&lt;="&amp;TableWeeklySummary[[#This Row],[Hasta]])</f>
        <v>0</v>
      </c>
      <c r="O271" s="12">
        <f ca="1">SUMIFS(TableDailySummary[Tienda 81_orders],TableDailySummary[Fecha],"&gt;="&amp;TableWeeklySummary[[#This Row],[Desde]],TableDailySummary[Fecha],"&lt;="&amp;TableWeeklySummary[[#This Row],[Hasta]])</f>
        <v>0</v>
      </c>
      <c r="P271" s="12">
        <f ca="1">SUMIFS(TableDailySummary[Rappi_net_sales],TableDailySummary[Fecha],"&gt;="&amp;TableWeeklySummary[[#This Row],[Desde]],TableDailySummary[Fecha],"&lt;="&amp;TableWeeklySummary[[#This Row],[Hasta]])</f>
        <v>0</v>
      </c>
      <c r="Q271" s="12">
        <f ca="1">SUMIFS(TableDailySummary[Rappi_orders],TableDailySummary[Fecha],"&gt;="&amp;TableWeeklySummary[[#This Row],[Desde]],TableDailySummary[Fecha],"&lt;="&amp;TableWeeklySummary[[#This Row],[Hasta]])</f>
        <v>0</v>
      </c>
      <c r="R27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7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71" s="12">
        <f ca="1">SUMIFS(TableDailySummary[Inversión google ads],TableDailySummary[Fecha],"&gt;="&amp;TableWeeklySummary[[#This Row],[Desde]],TableDailySummary[Fecha],"&lt;="&amp;TableWeeklySummary[[#This Row],[Hasta]])</f>
        <v>0</v>
      </c>
      <c r="U271" s="12">
        <f ca="1">SUMIFS(TableDailySummary[Ventas google ads],TableDailySummary[Fecha],"&gt;="&amp;TableWeeklySummary[[#This Row],[Desde]],TableDailySummary[Fecha],"&lt;="&amp;TableWeeklySummary[[#This Row],[Hasta]])</f>
        <v>0</v>
      </c>
      <c r="V271" s="12">
        <f ca="1">SUMIFS(TableDailySummary[Inversión meta ads],TableDailySummary[Fecha],"&gt;="&amp;TableWeeklySummary[[#This Row],[Desde]],TableDailySummary[Fecha],"&lt;="&amp;TableWeeklySummary[[#This Row],[Hasta]])</f>
        <v>0</v>
      </c>
      <c r="W271" s="12">
        <f ca="1">SUMIFS(TableDailySummary[Ventas meta ads],TableDailySummary[Fecha],"&gt;="&amp;TableWeeklySummary[[#This Row],[Desde]],TableDailySummary[Fecha],"&lt;="&amp;TableWeeklySummary[[#This Row],[Hasta]])</f>
        <v>0</v>
      </c>
      <c r="X271" s="12">
        <f ca="1">TableWeeklySummary[[#This Row],[Inversión google ads]]+TableWeeklySummary[[#This Row],[Inversión meta ads]]</f>
        <v>0</v>
      </c>
      <c r="Y271" s="12">
        <f ca="1">TableWeeklySummary[[#This Row],[Ventas google ads]]+TableWeeklySummary[[#This Row],[Ventas meta ads]]</f>
        <v>0</v>
      </c>
      <c r="Z271" s="14">
        <f ca="1">IFERROR(TableWeeklySummary[[#This Row],[Ventas publicidad]]/TableWeeklySummary[[#This Row],[Inversión publicidad]],0)</f>
        <v>0</v>
      </c>
      <c r="AA271" s="14">
        <f ca="1">IFERROR(TableWeeklySummary[[#This Row],[Ventas primer cliente]]/TableWeeklySummary[[#This Row],[Inversión publicidad]],0)</f>
        <v>0</v>
      </c>
      <c r="AB271" s="14"/>
      <c r="AC271" s="12"/>
      <c r="AI27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7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71" s="12">
        <f ca="1">SUMIFS(TableDailySummary[Utilidad bruta],TableDailySummary[Fecha],"&gt;="&amp;TableWeeklySummary[[#This Row],[Desde]],TableDailySummary[Fecha],"&lt;="&amp;TableWeeklySummary[[#This Row],[Hasta]])</f>
        <v>0</v>
      </c>
      <c r="AL271" s="18">
        <f ca="1">IFERROR(TableWeeklySummary[[#This Row],[Utilidad bruta]]/TableWeeklySummary[[#This Row],[Ventas netas con costo registrado]],0)</f>
        <v>0</v>
      </c>
    </row>
    <row r="272" spans="2:38" x14ac:dyDescent="0.2">
      <c r="B272" s="16">
        <f ca="1">_xlfn.ISOWEEKNUM(TableWeeklySummary[[#This Row],[Hasta]])</f>
        <v>49</v>
      </c>
      <c r="C272" s="6">
        <f t="shared" ca="1" si="6"/>
        <v>47816</v>
      </c>
      <c r="D272" s="6">
        <f ca="1">TableWeeklySummary[[#This Row],[Desde]]+7-1</f>
        <v>47822</v>
      </c>
      <c r="E272" s="12">
        <f ca="1">SUMIFS(TableDailySummary[Ventas netas totales],TableDailySummary[Fecha],"&gt;="&amp;TableWeeklySummary[[#This Row],[Desde]],TableDailySummary[Fecha],"&lt;="&amp;TableWeeklySummary[[#This Row],[Hasta]])</f>
        <v>0</v>
      </c>
      <c r="F272" s="12">
        <f ca="1">SUMIFS(TableDailySummary[Órdenes totales],TableDailySummary[Fecha],"&gt;="&amp;TableWeeklySummary[[#This Row],[Desde]],TableDailySummary[Fecha],"&lt;="&amp;TableWeeklySummary[[#This Row],[Hasta]])</f>
        <v>0</v>
      </c>
      <c r="G272" s="12">
        <f ca="1">IFERROR(TableWeeklySummary[[#This Row],[Ventas netas totales]]/TableWeeklySummary[[#This Row],[Órdenes totales]],0)</f>
        <v>0</v>
      </c>
      <c r="H27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72" s="12">
        <f ca="1">TableWeeklySummary[[#This Row],[Órden promedio totales]]*TableWeeklySummary[[#This Row],[CR totales]]</f>
        <v>0</v>
      </c>
      <c r="J272" s="12">
        <f ca="1">SUMIFS(TableDailySummary[Ventas primer cliente],TableDailySummary[Fecha],"&gt;="&amp;TableWeeklySummary[[#This Row],[Desde]],TableDailySummary[Fecha],"&lt;="&amp;TableWeeklySummary[[#This Row],[Hasta]])</f>
        <v>0</v>
      </c>
      <c r="K272" s="12">
        <f ca="1">SUMIFS(TableDailySummary[Órdenes primer cliente],TableDailySummary[Fecha],"&gt;="&amp;TableWeeklySummary[[#This Row],[Desde]],TableDailySummary[Fecha],"&lt;="&amp;TableWeeklySummary[[#This Row],[Hasta]])</f>
        <v>0</v>
      </c>
      <c r="L272" s="12">
        <f ca="1">SUMIFS(TableDailySummary[Online Store_net_sales],TableDailySummary[Fecha],"&gt;="&amp;TableWeeklySummary[[#This Row],[Desde]],TableDailySummary[Fecha],"&lt;="&amp;TableWeeklySummary[[#This Row],[Hasta]])</f>
        <v>0</v>
      </c>
      <c r="M272" s="12">
        <f ca="1">SUMIFS(TableDailySummary[Online Store_orders],TableDailySummary[Fecha],"&gt;="&amp;TableWeeklySummary[[#This Row],[Desde]],TableDailySummary[Fecha],"&lt;="&amp;TableWeeklySummary[[#This Row],[Hasta]])</f>
        <v>0</v>
      </c>
      <c r="N272" s="12">
        <f ca="1">SUMIFS(TableDailySummary[Tienda 81_net_sales],TableDailySummary[Fecha],"&gt;="&amp;TableWeeklySummary[[#This Row],[Desde]],TableDailySummary[Fecha],"&lt;="&amp;TableWeeklySummary[[#This Row],[Hasta]])</f>
        <v>0</v>
      </c>
      <c r="O272" s="12">
        <f ca="1">SUMIFS(TableDailySummary[Tienda 81_orders],TableDailySummary[Fecha],"&gt;="&amp;TableWeeklySummary[[#This Row],[Desde]],TableDailySummary[Fecha],"&lt;="&amp;TableWeeklySummary[[#This Row],[Hasta]])</f>
        <v>0</v>
      </c>
      <c r="P272" s="12">
        <f ca="1">SUMIFS(TableDailySummary[Rappi_net_sales],TableDailySummary[Fecha],"&gt;="&amp;TableWeeklySummary[[#This Row],[Desde]],TableDailySummary[Fecha],"&lt;="&amp;TableWeeklySummary[[#This Row],[Hasta]])</f>
        <v>0</v>
      </c>
      <c r="Q272" s="12">
        <f ca="1">SUMIFS(TableDailySummary[Rappi_orders],TableDailySummary[Fecha],"&gt;="&amp;TableWeeklySummary[[#This Row],[Desde]],TableDailySummary[Fecha],"&lt;="&amp;TableWeeklySummary[[#This Row],[Hasta]])</f>
        <v>0</v>
      </c>
      <c r="R27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7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72" s="12">
        <f ca="1">SUMIFS(TableDailySummary[Inversión google ads],TableDailySummary[Fecha],"&gt;="&amp;TableWeeklySummary[[#This Row],[Desde]],TableDailySummary[Fecha],"&lt;="&amp;TableWeeklySummary[[#This Row],[Hasta]])</f>
        <v>0</v>
      </c>
      <c r="U272" s="12">
        <f ca="1">SUMIFS(TableDailySummary[Ventas google ads],TableDailySummary[Fecha],"&gt;="&amp;TableWeeklySummary[[#This Row],[Desde]],TableDailySummary[Fecha],"&lt;="&amp;TableWeeklySummary[[#This Row],[Hasta]])</f>
        <v>0</v>
      </c>
      <c r="V272" s="12">
        <f ca="1">SUMIFS(TableDailySummary[Inversión meta ads],TableDailySummary[Fecha],"&gt;="&amp;TableWeeklySummary[[#This Row],[Desde]],TableDailySummary[Fecha],"&lt;="&amp;TableWeeklySummary[[#This Row],[Hasta]])</f>
        <v>0</v>
      </c>
      <c r="W272" s="12">
        <f ca="1">SUMIFS(TableDailySummary[Ventas meta ads],TableDailySummary[Fecha],"&gt;="&amp;TableWeeklySummary[[#This Row],[Desde]],TableDailySummary[Fecha],"&lt;="&amp;TableWeeklySummary[[#This Row],[Hasta]])</f>
        <v>0</v>
      </c>
      <c r="X272" s="12">
        <f ca="1">TableWeeklySummary[[#This Row],[Inversión google ads]]+TableWeeklySummary[[#This Row],[Inversión meta ads]]</f>
        <v>0</v>
      </c>
      <c r="Y272" s="12">
        <f ca="1">TableWeeklySummary[[#This Row],[Ventas google ads]]+TableWeeklySummary[[#This Row],[Ventas meta ads]]</f>
        <v>0</v>
      </c>
      <c r="Z272" s="14">
        <f ca="1">IFERROR(TableWeeklySummary[[#This Row],[Ventas publicidad]]/TableWeeklySummary[[#This Row],[Inversión publicidad]],0)</f>
        <v>0</v>
      </c>
      <c r="AA272" s="14">
        <f ca="1">IFERROR(TableWeeklySummary[[#This Row],[Ventas primer cliente]]/TableWeeklySummary[[#This Row],[Inversión publicidad]],0)</f>
        <v>0</v>
      </c>
      <c r="AB272" s="14"/>
      <c r="AC272" s="12"/>
      <c r="AI27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7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72" s="12">
        <f ca="1">SUMIFS(TableDailySummary[Utilidad bruta],TableDailySummary[Fecha],"&gt;="&amp;TableWeeklySummary[[#This Row],[Desde]],TableDailySummary[Fecha],"&lt;="&amp;TableWeeklySummary[[#This Row],[Hasta]])</f>
        <v>0</v>
      </c>
      <c r="AL272" s="18">
        <f ca="1">IFERROR(TableWeeklySummary[[#This Row],[Utilidad bruta]]/TableWeeklySummary[[#This Row],[Ventas netas con costo registrado]],0)</f>
        <v>0</v>
      </c>
    </row>
    <row r="273" spans="2:38" x14ac:dyDescent="0.2">
      <c r="B273" s="16">
        <f ca="1">_xlfn.ISOWEEKNUM(TableWeeklySummary[[#This Row],[Hasta]])</f>
        <v>50</v>
      </c>
      <c r="C273" s="6">
        <f t="shared" ca="1" si="6"/>
        <v>47823</v>
      </c>
      <c r="D273" s="6">
        <f ca="1">TableWeeklySummary[[#This Row],[Desde]]+7-1</f>
        <v>47829</v>
      </c>
      <c r="E273" s="12">
        <f ca="1">SUMIFS(TableDailySummary[Ventas netas totales],TableDailySummary[Fecha],"&gt;="&amp;TableWeeklySummary[[#This Row],[Desde]],TableDailySummary[Fecha],"&lt;="&amp;TableWeeklySummary[[#This Row],[Hasta]])</f>
        <v>0</v>
      </c>
      <c r="F273" s="12">
        <f ca="1">SUMIFS(TableDailySummary[Órdenes totales],TableDailySummary[Fecha],"&gt;="&amp;TableWeeklySummary[[#This Row],[Desde]],TableDailySummary[Fecha],"&lt;="&amp;TableWeeklySummary[[#This Row],[Hasta]])</f>
        <v>0</v>
      </c>
      <c r="G273" s="12">
        <f ca="1">IFERROR(TableWeeklySummary[[#This Row],[Ventas netas totales]]/TableWeeklySummary[[#This Row],[Órdenes totales]],0)</f>
        <v>0</v>
      </c>
      <c r="H27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73" s="12">
        <f ca="1">TableWeeklySummary[[#This Row],[Órden promedio totales]]*TableWeeklySummary[[#This Row],[CR totales]]</f>
        <v>0</v>
      </c>
      <c r="J273" s="12">
        <f ca="1">SUMIFS(TableDailySummary[Ventas primer cliente],TableDailySummary[Fecha],"&gt;="&amp;TableWeeklySummary[[#This Row],[Desde]],TableDailySummary[Fecha],"&lt;="&amp;TableWeeklySummary[[#This Row],[Hasta]])</f>
        <v>0</v>
      </c>
      <c r="K273" s="12">
        <f ca="1">SUMIFS(TableDailySummary[Órdenes primer cliente],TableDailySummary[Fecha],"&gt;="&amp;TableWeeklySummary[[#This Row],[Desde]],TableDailySummary[Fecha],"&lt;="&amp;TableWeeklySummary[[#This Row],[Hasta]])</f>
        <v>0</v>
      </c>
      <c r="L273" s="12">
        <f ca="1">SUMIFS(TableDailySummary[Online Store_net_sales],TableDailySummary[Fecha],"&gt;="&amp;TableWeeklySummary[[#This Row],[Desde]],TableDailySummary[Fecha],"&lt;="&amp;TableWeeklySummary[[#This Row],[Hasta]])</f>
        <v>0</v>
      </c>
      <c r="M273" s="12">
        <f ca="1">SUMIFS(TableDailySummary[Online Store_orders],TableDailySummary[Fecha],"&gt;="&amp;TableWeeklySummary[[#This Row],[Desde]],TableDailySummary[Fecha],"&lt;="&amp;TableWeeklySummary[[#This Row],[Hasta]])</f>
        <v>0</v>
      </c>
      <c r="N273" s="12">
        <f ca="1">SUMIFS(TableDailySummary[Tienda 81_net_sales],TableDailySummary[Fecha],"&gt;="&amp;TableWeeklySummary[[#This Row],[Desde]],TableDailySummary[Fecha],"&lt;="&amp;TableWeeklySummary[[#This Row],[Hasta]])</f>
        <v>0</v>
      </c>
      <c r="O273" s="12">
        <f ca="1">SUMIFS(TableDailySummary[Tienda 81_orders],TableDailySummary[Fecha],"&gt;="&amp;TableWeeklySummary[[#This Row],[Desde]],TableDailySummary[Fecha],"&lt;="&amp;TableWeeklySummary[[#This Row],[Hasta]])</f>
        <v>0</v>
      </c>
      <c r="P273" s="12">
        <f ca="1">SUMIFS(TableDailySummary[Rappi_net_sales],TableDailySummary[Fecha],"&gt;="&amp;TableWeeklySummary[[#This Row],[Desde]],TableDailySummary[Fecha],"&lt;="&amp;TableWeeklySummary[[#This Row],[Hasta]])</f>
        <v>0</v>
      </c>
      <c r="Q273" s="12">
        <f ca="1">SUMIFS(TableDailySummary[Rappi_orders],TableDailySummary[Fecha],"&gt;="&amp;TableWeeklySummary[[#This Row],[Desde]],TableDailySummary[Fecha],"&lt;="&amp;TableWeeklySummary[[#This Row],[Hasta]])</f>
        <v>0</v>
      </c>
      <c r="R27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7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73" s="12">
        <f ca="1">SUMIFS(TableDailySummary[Inversión google ads],TableDailySummary[Fecha],"&gt;="&amp;TableWeeklySummary[[#This Row],[Desde]],TableDailySummary[Fecha],"&lt;="&amp;TableWeeklySummary[[#This Row],[Hasta]])</f>
        <v>0</v>
      </c>
      <c r="U273" s="12">
        <f ca="1">SUMIFS(TableDailySummary[Ventas google ads],TableDailySummary[Fecha],"&gt;="&amp;TableWeeklySummary[[#This Row],[Desde]],TableDailySummary[Fecha],"&lt;="&amp;TableWeeklySummary[[#This Row],[Hasta]])</f>
        <v>0</v>
      </c>
      <c r="V273" s="12">
        <f ca="1">SUMIFS(TableDailySummary[Inversión meta ads],TableDailySummary[Fecha],"&gt;="&amp;TableWeeklySummary[[#This Row],[Desde]],TableDailySummary[Fecha],"&lt;="&amp;TableWeeklySummary[[#This Row],[Hasta]])</f>
        <v>0</v>
      </c>
      <c r="W273" s="12">
        <f ca="1">SUMIFS(TableDailySummary[Ventas meta ads],TableDailySummary[Fecha],"&gt;="&amp;TableWeeklySummary[[#This Row],[Desde]],TableDailySummary[Fecha],"&lt;="&amp;TableWeeklySummary[[#This Row],[Hasta]])</f>
        <v>0</v>
      </c>
      <c r="X273" s="12">
        <f ca="1">TableWeeklySummary[[#This Row],[Inversión google ads]]+TableWeeklySummary[[#This Row],[Inversión meta ads]]</f>
        <v>0</v>
      </c>
      <c r="Y273" s="12">
        <f ca="1">TableWeeklySummary[[#This Row],[Ventas google ads]]+TableWeeklySummary[[#This Row],[Ventas meta ads]]</f>
        <v>0</v>
      </c>
      <c r="Z273" s="14">
        <f ca="1">IFERROR(TableWeeklySummary[[#This Row],[Ventas publicidad]]/TableWeeklySummary[[#This Row],[Inversión publicidad]],0)</f>
        <v>0</v>
      </c>
      <c r="AA273" s="14">
        <f ca="1">IFERROR(TableWeeklySummary[[#This Row],[Ventas primer cliente]]/TableWeeklySummary[[#This Row],[Inversión publicidad]],0)</f>
        <v>0</v>
      </c>
      <c r="AB273" s="14"/>
      <c r="AC273" s="12"/>
      <c r="AI27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7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73" s="12">
        <f ca="1">SUMIFS(TableDailySummary[Utilidad bruta],TableDailySummary[Fecha],"&gt;="&amp;TableWeeklySummary[[#This Row],[Desde]],TableDailySummary[Fecha],"&lt;="&amp;TableWeeklySummary[[#This Row],[Hasta]])</f>
        <v>0</v>
      </c>
      <c r="AL273" s="18">
        <f ca="1">IFERROR(TableWeeklySummary[[#This Row],[Utilidad bruta]]/TableWeeklySummary[[#This Row],[Ventas netas con costo registrado]],0)</f>
        <v>0</v>
      </c>
    </row>
    <row r="274" spans="2:38" x14ac:dyDescent="0.2">
      <c r="B274" s="16">
        <f ca="1">_xlfn.ISOWEEKNUM(TableWeeklySummary[[#This Row],[Hasta]])</f>
        <v>51</v>
      </c>
      <c r="C274" s="6">
        <f t="shared" ca="1" si="6"/>
        <v>47830</v>
      </c>
      <c r="D274" s="6">
        <f ca="1">TableWeeklySummary[[#This Row],[Desde]]+7-1</f>
        <v>47836</v>
      </c>
      <c r="E274" s="12">
        <f ca="1">SUMIFS(TableDailySummary[Ventas netas totales],TableDailySummary[Fecha],"&gt;="&amp;TableWeeklySummary[[#This Row],[Desde]],TableDailySummary[Fecha],"&lt;="&amp;TableWeeklySummary[[#This Row],[Hasta]])</f>
        <v>0</v>
      </c>
      <c r="F274" s="12">
        <f ca="1">SUMIFS(TableDailySummary[Órdenes totales],TableDailySummary[Fecha],"&gt;="&amp;TableWeeklySummary[[#This Row],[Desde]],TableDailySummary[Fecha],"&lt;="&amp;TableWeeklySummary[[#This Row],[Hasta]])</f>
        <v>0</v>
      </c>
      <c r="G274" s="12">
        <f ca="1">IFERROR(TableWeeklySummary[[#This Row],[Ventas netas totales]]/TableWeeklySummary[[#This Row],[Órdenes totales]],0)</f>
        <v>0</v>
      </c>
      <c r="H27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74" s="12">
        <f ca="1">TableWeeklySummary[[#This Row],[Órden promedio totales]]*TableWeeklySummary[[#This Row],[CR totales]]</f>
        <v>0</v>
      </c>
      <c r="J274" s="12">
        <f ca="1">SUMIFS(TableDailySummary[Ventas primer cliente],TableDailySummary[Fecha],"&gt;="&amp;TableWeeklySummary[[#This Row],[Desde]],TableDailySummary[Fecha],"&lt;="&amp;TableWeeklySummary[[#This Row],[Hasta]])</f>
        <v>0</v>
      </c>
      <c r="K274" s="12">
        <f ca="1">SUMIFS(TableDailySummary[Órdenes primer cliente],TableDailySummary[Fecha],"&gt;="&amp;TableWeeklySummary[[#This Row],[Desde]],TableDailySummary[Fecha],"&lt;="&amp;TableWeeklySummary[[#This Row],[Hasta]])</f>
        <v>0</v>
      </c>
      <c r="L274" s="12">
        <f ca="1">SUMIFS(TableDailySummary[Online Store_net_sales],TableDailySummary[Fecha],"&gt;="&amp;TableWeeklySummary[[#This Row],[Desde]],TableDailySummary[Fecha],"&lt;="&amp;TableWeeklySummary[[#This Row],[Hasta]])</f>
        <v>0</v>
      </c>
      <c r="M274" s="12">
        <f ca="1">SUMIFS(TableDailySummary[Online Store_orders],TableDailySummary[Fecha],"&gt;="&amp;TableWeeklySummary[[#This Row],[Desde]],TableDailySummary[Fecha],"&lt;="&amp;TableWeeklySummary[[#This Row],[Hasta]])</f>
        <v>0</v>
      </c>
      <c r="N274" s="12">
        <f ca="1">SUMIFS(TableDailySummary[Tienda 81_net_sales],TableDailySummary[Fecha],"&gt;="&amp;TableWeeklySummary[[#This Row],[Desde]],TableDailySummary[Fecha],"&lt;="&amp;TableWeeklySummary[[#This Row],[Hasta]])</f>
        <v>0</v>
      </c>
      <c r="O274" s="12">
        <f ca="1">SUMIFS(TableDailySummary[Tienda 81_orders],TableDailySummary[Fecha],"&gt;="&amp;TableWeeklySummary[[#This Row],[Desde]],TableDailySummary[Fecha],"&lt;="&amp;TableWeeklySummary[[#This Row],[Hasta]])</f>
        <v>0</v>
      </c>
      <c r="P274" s="12">
        <f ca="1">SUMIFS(TableDailySummary[Rappi_net_sales],TableDailySummary[Fecha],"&gt;="&amp;TableWeeklySummary[[#This Row],[Desde]],TableDailySummary[Fecha],"&lt;="&amp;TableWeeklySummary[[#This Row],[Hasta]])</f>
        <v>0</v>
      </c>
      <c r="Q274" s="12">
        <f ca="1">SUMIFS(TableDailySummary[Rappi_orders],TableDailySummary[Fecha],"&gt;="&amp;TableWeeklySummary[[#This Row],[Desde]],TableDailySummary[Fecha],"&lt;="&amp;TableWeeklySummary[[#This Row],[Hasta]])</f>
        <v>0</v>
      </c>
      <c r="R27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7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74" s="12">
        <f ca="1">SUMIFS(TableDailySummary[Inversión google ads],TableDailySummary[Fecha],"&gt;="&amp;TableWeeklySummary[[#This Row],[Desde]],TableDailySummary[Fecha],"&lt;="&amp;TableWeeklySummary[[#This Row],[Hasta]])</f>
        <v>0</v>
      </c>
      <c r="U274" s="12">
        <f ca="1">SUMIFS(TableDailySummary[Ventas google ads],TableDailySummary[Fecha],"&gt;="&amp;TableWeeklySummary[[#This Row],[Desde]],TableDailySummary[Fecha],"&lt;="&amp;TableWeeklySummary[[#This Row],[Hasta]])</f>
        <v>0</v>
      </c>
      <c r="V274" s="12">
        <f ca="1">SUMIFS(TableDailySummary[Inversión meta ads],TableDailySummary[Fecha],"&gt;="&amp;TableWeeklySummary[[#This Row],[Desde]],TableDailySummary[Fecha],"&lt;="&amp;TableWeeklySummary[[#This Row],[Hasta]])</f>
        <v>0</v>
      </c>
      <c r="W274" s="12">
        <f ca="1">SUMIFS(TableDailySummary[Ventas meta ads],TableDailySummary[Fecha],"&gt;="&amp;TableWeeklySummary[[#This Row],[Desde]],TableDailySummary[Fecha],"&lt;="&amp;TableWeeklySummary[[#This Row],[Hasta]])</f>
        <v>0</v>
      </c>
      <c r="X274" s="12">
        <f ca="1">TableWeeklySummary[[#This Row],[Inversión google ads]]+TableWeeklySummary[[#This Row],[Inversión meta ads]]</f>
        <v>0</v>
      </c>
      <c r="Y274" s="12">
        <f ca="1">TableWeeklySummary[[#This Row],[Ventas google ads]]+TableWeeklySummary[[#This Row],[Ventas meta ads]]</f>
        <v>0</v>
      </c>
      <c r="Z274" s="14">
        <f ca="1">IFERROR(TableWeeklySummary[[#This Row],[Ventas publicidad]]/TableWeeklySummary[[#This Row],[Inversión publicidad]],0)</f>
        <v>0</v>
      </c>
      <c r="AA274" s="14">
        <f ca="1">IFERROR(TableWeeklySummary[[#This Row],[Ventas primer cliente]]/TableWeeklySummary[[#This Row],[Inversión publicidad]],0)</f>
        <v>0</v>
      </c>
      <c r="AB274" s="14"/>
      <c r="AC274" s="12"/>
      <c r="AI27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7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74" s="12">
        <f ca="1">SUMIFS(TableDailySummary[Utilidad bruta],TableDailySummary[Fecha],"&gt;="&amp;TableWeeklySummary[[#This Row],[Desde]],TableDailySummary[Fecha],"&lt;="&amp;TableWeeklySummary[[#This Row],[Hasta]])</f>
        <v>0</v>
      </c>
      <c r="AL274" s="18">
        <f ca="1">IFERROR(TableWeeklySummary[[#This Row],[Utilidad bruta]]/TableWeeklySummary[[#This Row],[Ventas netas con costo registrado]],0)</f>
        <v>0</v>
      </c>
    </row>
    <row r="275" spans="2:38" x14ac:dyDescent="0.2">
      <c r="B275" s="16">
        <f ca="1">_xlfn.ISOWEEKNUM(TableWeeklySummary[[#This Row],[Hasta]])</f>
        <v>52</v>
      </c>
      <c r="C275" s="6">
        <f t="shared" ca="1" si="6"/>
        <v>47837</v>
      </c>
      <c r="D275" s="6">
        <f ca="1">TableWeeklySummary[[#This Row],[Desde]]+7-1</f>
        <v>47843</v>
      </c>
      <c r="E275" s="12">
        <f ca="1">SUMIFS(TableDailySummary[Ventas netas totales],TableDailySummary[Fecha],"&gt;="&amp;TableWeeklySummary[[#This Row],[Desde]],TableDailySummary[Fecha],"&lt;="&amp;TableWeeklySummary[[#This Row],[Hasta]])</f>
        <v>0</v>
      </c>
      <c r="F275" s="12">
        <f ca="1">SUMIFS(TableDailySummary[Órdenes totales],TableDailySummary[Fecha],"&gt;="&amp;TableWeeklySummary[[#This Row],[Desde]],TableDailySummary[Fecha],"&lt;="&amp;TableWeeklySummary[[#This Row],[Hasta]])</f>
        <v>0</v>
      </c>
      <c r="G275" s="12">
        <f ca="1">IFERROR(TableWeeklySummary[[#This Row],[Ventas netas totales]]/TableWeeklySummary[[#This Row],[Órdenes totales]],0)</f>
        <v>0</v>
      </c>
      <c r="H27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75" s="12">
        <f ca="1">TableWeeklySummary[[#This Row],[Órden promedio totales]]*TableWeeklySummary[[#This Row],[CR totales]]</f>
        <v>0</v>
      </c>
      <c r="J275" s="12">
        <f ca="1">SUMIFS(TableDailySummary[Ventas primer cliente],TableDailySummary[Fecha],"&gt;="&amp;TableWeeklySummary[[#This Row],[Desde]],TableDailySummary[Fecha],"&lt;="&amp;TableWeeklySummary[[#This Row],[Hasta]])</f>
        <v>0</v>
      </c>
      <c r="K275" s="12">
        <f ca="1">SUMIFS(TableDailySummary[Órdenes primer cliente],TableDailySummary[Fecha],"&gt;="&amp;TableWeeklySummary[[#This Row],[Desde]],TableDailySummary[Fecha],"&lt;="&amp;TableWeeklySummary[[#This Row],[Hasta]])</f>
        <v>0</v>
      </c>
      <c r="L275" s="12">
        <f ca="1">SUMIFS(TableDailySummary[Online Store_net_sales],TableDailySummary[Fecha],"&gt;="&amp;TableWeeklySummary[[#This Row],[Desde]],TableDailySummary[Fecha],"&lt;="&amp;TableWeeklySummary[[#This Row],[Hasta]])</f>
        <v>0</v>
      </c>
      <c r="M275" s="12">
        <f ca="1">SUMIFS(TableDailySummary[Online Store_orders],TableDailySummary[Fecha],"&gt;="&amp;TableWeeklySummary[[#This Row],[Desde]],TableDailySummary[Fecha],"&lt;="&amp;TableWeeklySummary[[#This Row],[Hasta]])</f>
        <v>0</v>
      </c>
      <c r="N275" s="12">
        <f ca="1">SUMIFS(TableDailySummary[Tienda 81_net_sales],TableDailySummary[Fecha],"&gt;="&amp;TableWeeklySummary[[#This Row],[Desde]],TableDailySummary[Fecha],"&lt;="&amp;TableWeeklySummary[[#This Row],[Hasta]])</f>
        <v>0</v>
      </c>
      <c r="O275" s="12">
        <f ca="1">SUMIFS(TableDailySummary[Tienda 81_orders],TableDailySummary[Fecha],"&gt;="&amp;TableWeeklySummary[[#This Row],[Desde]],TableDailySummary[Fecha],"&lt;="&amp;TableWeeklySummary[[#This Row],[Hasta]])</f>
        <v>0</v>
      </c>
      <c r="P275" s="12">
        <f ca="1">SUMIFS(TableDailySummary[Rappi_net_sales],TableDailySummary[Fecha],"&gt;="&amp;TableWeeklySummary[[#This Row],[Desde]],TableDailySummary[Fecha],"&lt;="&amp;TableWeeklySummary[[#This Row],[Hasta]])</f>
        <v>0</v>
      </c>
      <c r="Q275" s="12">
        <f ca="1">SUMIFS(TableDailySummary[Rappi_orders],TableDailySummary[Fecha],"&gt;="&amp;TableWeeklySummary[[#This Row],[Desde]],TableDailySummary[Fecha],"&lt;="&amp;TableWeeklySummary[[#This Row],[Hasta]])</f>
        <v>0</v>
      </c>
      <c r="R27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7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75" s="12">
        <f ca="1">SUMIFS(TableDailySummary[Inversión google ads],TableDailySummary[Fecha],"&gt;="&amp;TableWeeklySummary[[#This Row],[Desde]],TableDailySummary[Fecha],"&lt;="&amp;TableWeeklySummary[[#This Row],[Hasta]])</f>
        <v>0</v>
      </c>
      <c r="U275" s="12">
        <f ca="1">SUMIFS(TableDailySummary[Ventas google ads],TableDailySummary[Fecha],"&gt;="&amp;TableWeeklySummary[[#This Row],[Desde]],TableDailySummary[Fecha],"&lt;="&amp;TableWeeklySummary[[#This Row],[Hasta]])</f>
        <v>0</v>
      </c>
      <c r="V275" s="12">
        <f ca="1">SUMIFS(TableDailySummary[Inversión meta ads],TableDailySummary[Fecha],"&gt;="&amp;TableWeeklySummary[[#This Row],[Desde]],TableDailySummary[Fecha],"&lt;="&amp;TableWeeklySummary[[#This Row],[Hasta]])</f>
        <v>0</v>
      </c>
      <c r="W275" s="12">
        <f ca="1">SUMIFS(TableDailySummary[Ventas meta ads],TableDailySummary[Fecha],"&gt;="&amp;TableWeeklySummary[[#This Row],[Desde]],TableDailySummary[Fecha],"&lt;="&amp;TableWeeklySummary[[#This Row],[Hasta]])</f>
        <v>0</v>
      </c>
      <c r="X275" s="12">
        <f ca="1">TableWeeklySummary[[#This Row],[Inversión google ads]]+TableWeeklySummary[[#This Row],[Inversión meta ads]]</f>
        <v>0</v>
      </c>
      <c r="Y275" s="12">
        <f ca="1">TableWeeklySummary[[#This Row],[Ventas google ads]]+TableWeeklySummary[[#This Row],[Ventas meta ads]]</f>
        <v>0</v>
      </c>
      <c r="Z275" s="14">
        <f ca="1">IFERROR(TableWeeklySummary[[#This Row],[Ventas publicidad]]/TableWeeklySummary[[#This Row],[Inversión publicidad]],0)</f>
        <v>0</v>
      </c>
      <c r="AA275" s="14">
        <f ca="1">IFERROR(TableWeeklySummary[[#This Row],[Ventas primer cliente]]/TableWeeklySummary[[#This Row],[Inversión publicidad]],0)</f>
        <v>0</v>
      </c>
      <c r="AB275" s="14"/>
      <c r="AC275" s="12"/>
      <c r="AI27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7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75" s="12">
        <f ca="1">SUMIFS(TableDailySummary[Utilidad bruta],TableDailySummary[Fecha],"&gt;="&amp;TableWeeklySummary[[#This Row],[Desde]],TableDailySummary[Fecha],"&lt;="&amp;TableWeeklySummary[[#This Row],[Hasta]])</f>
        <v>0</v>
      </c>
      <c r="AL275" s="18">
        <f ca="1">IFERROR(TableWeeklySummary[[#This Row],[Utilidad bruta]]/TableWeeklySummary[[#This Row],[Ventas netas con costo registrado]],0)</f>
        <v>0</v>
      </c>
    </row>
    <row r="276" spans="2:38" x14ac:dyDescent="0.2">
      <c r="B276" s="16">
        <f ca="1">_xlfn.ISOWEEKNUM(TableWeeklySummary[[#This Row],[Hasta]])</f>
        <v>1</v>
      </c>
      <c r="C276" s="6">
        <f t="shared" ca="1" si="6"/>
        <v>47844</v>
      </c>
      <c r="D276" s="6">
        <f ca="1">TableWeeklySummary[[#This Row],[Desde]]+7-1</f>
        <v>47850</v>
      </c>
      <c r="E276" s="12">
        <f ca="1">SUMIFS(TableDailySummary[Ventas netas totales],TableDailySummary[Fecha],"&gt;="&amp;TableWeeklySummary[[#This Row],[Desde]],TableDailySummary[Fecha],"&lt;="&amp;TableWeeklySummary[[#This Row],[Hasta]])</f>
        <v>0</v>
      </c>
      <c r="F276" s="12">
        <f ca="1">SUMIFS(TableDailySummary[Órdenes totales],TableDailySummary[Fecha],"&gt;="&amp;TableWeeklySummary[[#This Row],[Desde]],TableDailySummary[Fecha],"&lt;="&amp;TableWeeklySummary[[#This Row],[Hasta]])</f>
        <v>0</v>
      </c>
      <c r="G276" s="12">
        <f ca="1">IFERROR(TableWeeklySummary[[#This Row],[Ventas netas totales]]/TableWeeklySummary[[#This Row],[Órdenes totales]],0)</f>
        <v>0</v>
      </c>
      <c r="H27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76" s="12">
        <f ca="1">TableWeeklySummary[[#This Row],[Órden promedio totales]]*TableWeeklySummary[[#This Row],[CR totales]]</f>
        <v>0</v>
      </c>
      <c r="J276" s="12">
        <f ca="1">SUMIFS(TableDailySummary[Ventas primer cliente],TableDailySummary[Fecha],"&gt;="&amp;TableWeeklySummary[[#This Row],[Desde]],TableDailySummary[Fecha],"&lt;="&amp;TableWeeklySummary[[#This Row],[Hasta]])</f>
        <v>0</v>
      </c>
      <c r="K276" s="12">
        <f ca="1">SUMIFS(TableDailySummary[Órdenes primer cliente],TableDailySummary[Fecha],"&gt;="&amp;TableWeeklySummary[[#This Row],[Desde]],TableDailySummary[Fecha],"&lt;="&amp;TableWeeklySummary[[#This Row],[Hasta]])</f>
        <v>0</v>
      </c>
      <c r="L276" s="12">
        <f ca="1">SUMIFS(TableDailySummary[Online Store_net_sales],TableDailySummary[Fecha],"&gt;="&amp;TableWeeklySummary[[#This Row],[Desde]],TableDailySummary[Fecha],"&lt;="&amp;TableWeeklySummary[[#This Row],[Hasta]])</f>
        <v>0</v>
      </c>
      <c r="M276" s="12">
        <f ca="1">SUMIFS(TableDailySummary[Online Store_orders],TableDailySummary[Fecha],"&gt;="&amp;TableWeeklySummary[[#This Row],[Desde]],TableDailySummary[Fecha],"&lt;="&amp;TableWeeklySummary[[#This Row],[Hasta]])</f>
        <v>0</v>
      </c>
      <c r="N276" s="12">
        <f ca="1">SUMIFS(TableDailySummary[Tienda 81_net_sales],TableDailySummary[Fecha],"&gt;="&amp;TableWeeklySummary[[#This Row],[Desde]],TableDailySummary[Fecha],"&lt;="&amp;TableWeeklySummary[[#This Row],[Hasta]])</f>
        <v>0</v>
      </c>
      <c r="O276" s="12">
        <f ca="1">SUMIFS(TableDailySummary[Tienda 81_orders],TableDailySummary[Fecha],"&gt;="&amp;TableWeeklySummary[[#This Row],[Desde]],TableDailySummary[Fecha],"&lt;="&amp;TableWeeklySummary[[#This Row],[Hasta]])</f>
        <v>0</v>
      </c>
      <c r="P276" s="12">
        <f ca="1">SUMIFS(TableDailySummary[Rappi_net_sales],TableDailySummary[Fecha],"&gt;="&amp;TableWeeklySummary[[#This Row],[Desde]],TableDailySummary[Fecha],"&lt;="&amp;TableWeeklySummary[[#This Row],[Hasta]])</f>
        <v>0</v>
      </c>
      <c r="Q276" s="12">
        <f ca="1">SUMIFS(TableDailySummary[Rappi_orders],TableDailySummary[Fecha],"&gt;="&amp;TableWeeklySummary[[#This Row],[Desde]],TableDailySummary[Fecha],"&lt;="&amp;TableWeeklySummary[[#This Row],[Hasta]])</f>
        <v>0</v>
      </c>
      <c r="R27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7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76" s="12">
        <f ca="1">SUMIFS(TableDailySummary[Inversión google ads],TableDailySummary[Fecha],"&gt;="&amp;TableWeeklySummary[[#This Row],[Desde]],TableDailySummary[Fecha],"&lt;="&amp;TableWeeklySummary[[#This Row],[Hasta]])</f>
        <v>0</v>
      </c>
      <c r="U276" s="12">
        <f ca="1">SUMIFS(TableDailySummary[Ventas google ads],TableDailySummary[Fecha],"&gt;="&amp;TableWeeklySummary[[#This Row],[Desde]],TableDailySummary[Fecha],"&lt;="&amp;TableWeeklySummary[[#This Row],[Hasta]])</f>
        <v>0</v>
      </c>
      <c r="V276" s="12">
        <f ca="1">SUMIFS(TableDailySummary[Inversión meta ads],TableDailySummary[Fecha],"&gt;="&amp;TableWeeklySummary[[#This Row],[Desde]],TableDailySummary[Fecha],"&lt;="&amp;TableWeeklySummary[[#This Row],[Hasta]])</f>
        <v>0</v>
      </c>
      <c r="W276" s="12">
        <f ca="1">SUMIFS(TableDailySummary[Ventas meta ads],TableDailySummary[Fecha],"&gt;="&amp;TableWeeklySummary[[#This Row],[Desde]],TableDailySummary[Fecha],"&lt;="&amp;TableWeeklySummary[[#This Row],[Hasta]])</f>
        <v>0</v>
      </c>
      <c r="X276" s="12">
        <f ca="1">TableWeeklySummary[[#This Row],[Inversión google ads]]+TableWeeklySummary[[#This Row],[Inversión meta ads]]</f>
        <v>0</v>
      </c>
      <c r="Y276" s="12">
        <f ca="1">TableWeeklySummary[[#This Row],[Ventas google ads]]+TableWeeklySummary[[#This Row],[Ventas meta ads]]</f>
        <v>0</v>
      </c>
      <c r="Z276" s="14">
        <f ca="1">IFERROR(TableWeeklySummary[[#This Row],[Ventas publicidad]]/TableWeeklySummary[[#This Row],[Inversión publicidad]],0)</f>
        <v>0</v>
      </c>
      <c r="AA276" s="14">
        <f ca="1">IFERROR(TableWeeklySummary[[#This Row],[Ventas primer cliente]]/TableWeeklySummary[[#This Row],[Inversión publicidad]],0)</f>
        <v>0</v>
      </c>
      <c r="AB276" s="14"/>
      <c r="AC276" s="12"/>
      <c r="AI27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7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76" s="12">
        <f ca="1">SUMIFS(TableDailySummary[Utilidad bruta],TableDailySummary[Fecha],"&gt;="&amp;TableWeeklySummary[[#This Row],[Desde]],TableDailySummary[Fecha],"&lt;="&amp;TableWeeklySummary[[#This Row],[Hasta]])</f>
        <v>0</v>
      </c>
      <c r="AL276" s="18">
        <f ca="1">IFERROR(TableWeeklySummary[[#This Row],[Utilidad bruta]]/TableWeeklySummary[[#This Row],[Ventas netas con costo registrado]],0)</f>
        <v>0</v>
      </c>
    </row>
    <row r="277" spans="2:38" x14ac:dyDescent="0.2">
      <c r="B277" s="16">
        <f ca="1">_xlfn.ISOWEEKNUM(TableWeeklySummary[[#This Row],[Hasta]])</f>
        <v>2</v>
      </c>
      <c r="C277" s="6">
        <f t="shared" ca="1" si="6"/>
        <v>47851</v>
      </c>
      <c r="D277" s="6">
        <f ca="1">TableWeeklySummary[[#This Row],[Desde]]+7-1</f>
        <v>47857</v>
      </c>
      <c r="E277" s="12">
        <f ca="1">SUMIFS(TableDailySummary[Ventas netas totales],TableDailySummary[Fecha],"&gt;="&amp;TableWeeklySummary[[#This Row],[Desde]],TableDailySummary[Fecha],"&lt;="&amp;TableWeeklySummary[[#This Row],[Hasta]])</f>
        <v>0</v>
      </c>
      <c r="F277" s="12">
        <f ca="1">SUMIFS(TableDailySummary[Órdenes totales],TableDailySummary[Fecha],"&gt;="&amp;TableWeeklySummary[[#This Row],[Desde]],TableDailySummary[Fecha],"&lt;="&amp;TableWeeklySummary[[#This Row],[Hasta]])</f>
        <v>0</v>
      </c>
      <c r="G277" s="12">
        <f ca="1">IFERROR(TableWeeklySummary[[#This Row],[Ventas netas totales]]/TableWeeklySummary[[#This Row],[Órdenes totales]],0)</f>
        <v>0</v>
      </c>
      <c r="H27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77" s="12">
        <f ca="1">TableWeeklySummary[[#This Row],[Órden promedio totales]]*TableWeeklySummary[[#This Row],[CR totales]]</f>
        <v>0</v>
      </c>
      <c r="J277" s="12">
        <f ca="1">SUMIFS(TableDailySummary[Ventas primer cliente],TableDailySummary[Fecha],"&gt;="&amp;TableWeeklySummary[[#This Row],[Desde]],TableDailySummary[Fecha],"&lt;="&amp;TableWeeklySummary[[#This Row],[Hasta]])</f>
        <v>0</v>
      </c>
      <c r="K277" s="12">
        <f ca="1">SUMIFS(TableDailySummary[Órdenes primer cliente],TableDailySummary[Fecha],"&gt;="&amp;TableWeeklySummary[[#This Row],[Desde]],TableDailySummary[Fecha],"&lt;="&amp;TableWeeklySummary[[#This Row],[Hasta]])</f>
        <v>0</v>
      </c>
      <c r="L277" s="12">
        <f ca="1">SUMIFS(TableDailySummary[Online Store_net_sales],TableDailySummary[Fecha],"&gt;="&amp;TableWeeklySummary[[#This Row],[Desde]],TableDailySummary[Fecha],"&lt;="&amp;TableWeeklySummary[[#This Row],[Hasta]])</f>
        <v>0</v>
      </c>
      <c r="M277" s="12">
        <f ca="1">SUMIFS(TableDailySummary[Online Store_orders],TableDailySummary[Fecha],"&gt;="&amp;TableWeeklySummary[[#This Row],[Desde]],TableDailySummary[Fecha],"&lt;="&amp;TableWeeklySummary[[#This Row],[Hasta]])</f>
        <v>0</v>
      </c>
      <c r="N277" s="12">
        <f ca="1">SUMIFS(TableDailySummary[Tienda 81_net_sales],TableDailySummary[Fecha],"&gt;="&amp;TableWeeklySummary[[#This Row],[Desde]],TableDailySummary[Fecha],"&lt;="&amp;TableWeeklySummary[[#This Row],[Hasta]])</f>
        <v>0</v>
      </c>
      <c r="O277" s="12">
        <f ca="1">SUMIFS(TableDailySummary[Tienda 81_orders],TableDailySummary[Fecha],"&gt;="&amp;TableWeeklySummary[[#This Row],[Desde]],TableDailySummary[Fecha],"&lt;="&amp;TableWeeklySummary[[#This Row],[Hasta]])</f>
        <v>0</v>
      </c>
      <c r="P277" s="12">
        <f ca="1">SUMIFS(TableDailySummary[Rappi_net_sales],TableDailySummary[Fecha],"&gt;="&amp;TableWeeklySummary[[#This Row],[Desde]],TableDailySummary[Fecha],"&lt;="&amp;TableWeeklySummary[[#This Row],[Hasta]])</f>
        <v>0</v>
      </c>
      <c r="Q277" s="12">
        <f ca="1">SUMIFS(TableDailySummary[Rappi_orders],TableDailySummary[Fecha],"&gt;="&amp;TableWeeklySummary[[#This Row],[Desde]],TableDailySummary[Fecha],"&lt;="&amp;TableWeeklySummary[[#This Row],[Hasta]])</f>
        <v>0</v>
      </c>
      <c r="R27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7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77" s="12">
        <f ca="1">SUMIFS(TableDailySummary[Inversión google ads],TableDailySummary[Fecha],"&gt;="&amp;TableWeeklySummary[[#This Row],[Desde]],TableDailySummary[Fecha],"&lt;="&amp;TableWeeklySummary[[#This Row],[Hasta]])</f>
        <v>0</v>
      </c>
      <c r="U277" s="12">
        <f ca="1">SUMIFS(TableDailySummary[Ventas google ads],TableDailySummary[Fecha],"&gt;="&amp;TableWeeklySummary[[#This Row],[Desde]],TableDailySummary[Fecha],"&lt;="&amp;TableWeeklySummary[[#This Row],[Hasta]])</f>
        <v>0</v>
      </c>
      <c r="V277" s="12">
        <f ca="1">SUMIFS(TableDailySummary[Inversión meta ads],TableDailySummary[Fecha],"&gt;="&amp;TableWeeklySummary[[#This Row],[Desde]],TableDailySummary[Fecha],"&lt;="&amp;TableWeeklySummary[[#This Row],[Hasta]])</f>
        <v>0</v>
      </c>
      <c r="W277" s="12">
        <f ca="1">SUMIFS(TableDailySummary[Ventas meta ads],TableDailySummary[Fecha],"&gt;="&amp;TableWeeklySummary[[#This Row],[Desde]],TableDailySummary[Fecha],"&lt;="&amp;TableWeeklySummary[[#This Row],[Hasta]])</f>
        <v>0</v>
      </c>
      <c r="X277" s="12">
        <f ca="1">TableWeeklySummary[[#This Row],[Inversión google ads]]+TableWeeklySummary[[#This Row],[Inversión meta ads]]</f>
        <v>0</v>
      </c>
      <c r="Y277" s="12">
        <f ca="1">TableWeeklySummary[[#This Row],[Ventas google ads]]+TableWeeklySummary[[#This Row],[Ventas meta ads]]</f>
        <v>0</v>
      </c>
      <c r="Z277" s="14">
        <f ca="1">IFERROR(TableWeeklySummary[[#This Row],[Ventas publicidad]]/TableWeeklySummary[[#This Row],[Inversión publicidad]],0)</f>
        <v>0</v>
      </c>
      <c r="AA277" s="14">
        <f ca="1">IFERROR(TableWeeklySummary[[#This Row],[Ventas primer cliente]]/TableWeeklySummary[[#This Row],[Inversión publicidad]],0)</f>
        <v>0</v>
      </c>
      <c r="AB277" s="14"/>
      <c r="AC277" s="12"/>
      <c r="AI27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7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77" s="12">
        <f ca="1">SUMIFS(TableDailySummary[Utilidad bruta],TableDailySummary[Fecha],"&gt;="&amp;TableWeeklySummary[[#This Row],[Desde]],TableDailySummary[Fecha],"&lt;="&amp;TableWeeklySummary[[#This Row],[Hasta]])</f>
        <v>0</v>
      </c>
      <c r="AL277" s="18">
        <f ca="1">IFERROR(TableWeeklySummary[[#This Row],[Utilidad bruta]]/TableWeeklySummary[[#This Row],[Ventas netas con costo registrado]],0)</f>
        <v>0</v>
      </c>
    </row>
    <row r="278" spans="2:38" x14ac:dyDescent="0.2">
      <c r="B278" s="16">
        <f ca="1">_xlfn.ISOWEEKNUM(TableWeeklySummary[[#This Row],[Hasta]])</f>
        <v>3</v>
      </c>
      <c r="C278" s="6">
        <f t="shared" ca="1" si="6"/>
        <v>47858</v>
      </c>
      <c r="D278" s="6">
        <f ca="1">TableWeeklySummary[[#This Row],[Desde]]+7-1</f>
        <v>47864</v>
      </c>
      <c r="E278" s="12">
        <f ca="1">SUMIFS(TableDailySummary[Ventas netas totales],TableDailySummary[Fecha],"&gt;="&amp;TableWeeklySummary[[#This Row],[Desde]],TableDailySummary[Fecha],"&lt;="&amp;TableWeeklySummary[[#This Row],[Hasta]])</f>
        <v>0</v>
      </c>
      <c r="F278" s="12">
        <f ca="1">SUMIFS(TableDailySummary[Órdenes totales],TableDailySummary[Fecha],"&gt;="&amp;TableWeeklySummary[[#This Row],[Desde]],TableDailySummary[Fecha],"&lt;="&amp;TableWeeklySummary[[#This Row],[Hasta]])</f>
        <v>0</v>
      </c>
      <c r="G278" s="12">
        <f ca="1">IFERROR(TableWeeklySummary[[#This Row],[Ventas netas totales]]/TableWeeklySummary[[#This Row],[Órdenes totales]],0)</f>
        <v>0</v>
      </c>
      <c r="H27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78" s="12">
        <f ca="1">TableWeeklySummary[[#This Row],[Órden promedio totales]]*TableWeeklySummary[[#This Row],[CR totales]]</f>
        <v>0</v>
      </c>
      <c r="J278" s="12">
        <f ca="1">SUMIFS(TableDailySummary[Ventas primer cliente],TableDailySummary[Fecha],"&gt;="&amp;TableWeeklySummary[[#This Row],[Desde]],TableDailySummary[Fecha],"&lt;="&amp;TableWeeklySummary[[#This Row],[Hasta]])</f>
        <v>0</v>
      </c>
      <c r="K278" s="12">
        <f ca="1">SUMIFS(TableDailySummary[Órdenes primer cliente],TableDailySummary[Fecha],"&gt;="&amp;TableWeeklySummary[[#This Row],[Desde]],TableDailySummary[Fecha],"&lt;="&amp;TableWeeklySummary[[#This Row],[Hasta]])</f>
        <v>0</v>
      </c>
      <c r="L278" s="12">
        <f ca="1">SUMIFS(TableDailySummary[Online Store_net_sales],TableDailySummary[Fecha],"&gt;="&amp;TableWeeklySummary[[#This Row],[Desde]],TableDailySummary[Fecha],"&lt;="&amp;TableWeeklySummary[[#This Row],[Hasta]])</f>
        <v>0</v>
      </c>
      <c r="M278" s="12">
        <f ca="1">SUMIFS(TableDailySummary[Online Store_orders],TableDailySummary[Fecha],"&gt;="&amp;TableWeeklySummary[[#This Row],[Desde]],TableDailySummary[Fecha],"&lt;="&amp;TableWeeklySummary[[#This Row],[Hasta]])</f>
        <v>0</v>
      </c>
      <c r="N278" s="12">
        <f ca="1">SUMIFS(TableDailySummary[Tienda 81_net_sales],TableDailySummary[Fecha],"&gt;="&amp;TableWeeklySummary[[#This Row],[Desde]],TableDailySummary[Fecha],"&lt;="&amp;TableWeeklySummary[[#This Row],[Hasta]])</f>
        <v>0</v>
      </c>
      <c r="O278" s="12">
        <f ca="1">SUMIFS(TableDailySummary[Tienda 81_orders],TableDailySummary[Fecha],"&gt;="&amp;TableWeeklySummary[[#This Row],[Desde]],TableDailySummary[Fecha],"&lt;="&amp;TableWeeklySummary[[#This Row],[Hasta]])</f>
        <v>0</v>
      </c>
      <c r="P278" s="12">
        <f ca="1">SUMIFS(TableDailySummary[Rappi_net_sales],TableDailySummary[Fecha],"&gt;="&amp;TableWeeklySummary[[#This Row],[Desde]],TableDailySummary[Fecha],"&lt;="&amp;TableWeeklySummary[[#This Row],[Hasta]])</f>
        <v>0</v>
      </c>
      <c r="Q278" s="12">
        <f ca="1">SUMIFS(TableDailySummary[Rappi_orders],TableDailySummary[Fecha],"&gt;="&amp;TableWeeklySummary[[#This Row],[Desde]],TableDailySummary[Fecha],"&lt;="&amp;TableWeeklySummary[[#This Row],[Hasta]])</f>
        <v>0</v>
      </c>
      <c r="R27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7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78" s="12">
        <f ca="1">SUMIFS(TableDailySummary[Inversión google ads],TableDailySummary[Fecha],"&gt;="&amp;TableWeeklySummary[[#This Row],[Desde]],TableDailySummary[Fecha],"&lt;="&amp;TableWeeklySummary[[#This Row],[Hasta]])</f>
        <v>0</v>
      </c>
      <c r="U278" s="12">
        <f ca="1">SUMIFS(TableDailySummary[Ventas google ads],TableDailySummary[Fecha],"&gt;="&amp;TableWeeklySummary[[#This Row],[Desde]],TableDailySummary[Fecha],"&lt;="&amp;TableWeeklySummary[[#This Row],[Hasta]])</f>
        <v>0</v>
      </c>
      <c r="V278" s="12">
        <f ca="1">SUMIFS(TableDailySummary[Inversión meta ads],TableDailySummary[Fecha],"&gt;="&amp;TableWeeklySummary[[#This Row],[Desde]],TableDailySummary[Fecha],"&lt;="&amp;TableWeeklySummary[[#This Row],[Hasta]])</f>
        <v>0</v>
      </c>
      <c r="W278" s="12">
        <f ca="1">SUMIFS(TableDailySummary[Ventas meta ads],TableDailySummary[Fecha],"&gt;="&amp;TableWeeklySummary[[#This Row],[Desde]],TableDailySummary[Fecha],"&lt;="&amp;TableWeeklySummary[[#This Row],[Hasta]])</f>
        <v>0</v>
      </c>
      <c r="X278" s="12">
        <f ca="1">TableWeeklySummary[[#This Row],[Inversión google ads]]+TableWeeklySummary[[#This Row],[Inversión meta ads]]</f>
        <v>0</v>
      </c>
      <c r="Y278" s="12">
        <f ca="1">TableWeeklySummary[[#This Row],[Ventas google ads]]+TableWeeklySummary[[#This Row],[Ventas meta ads]]</f>
        <v>0</v>
      </c>
      <c r="Z278" s="14">
        <f ca="1">IFERROR(TableWeeklySummary[[#This Row],[Ventas publicidad]]/TableWeeklySummary[[#This Row],[Inversión publicidad]],0)</f>
        <v>0</v>
      </c>
      <c r="AA278" s="14">
        <f ca="1">IFERROR(TableWeeklySummary[[#This Row],[Ventas primer cliente]]/TableWeeklySummary[[#This Row],[Inversión publicidad]],0)</f>
        <v>0</v>
      </c>
      <c r="AB278" s="14"/>
      <c r="AC278" s="12"/>
      <c r="AI27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7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78" s="12">
        <f ca="1">SUMIFS(TableDailySummary[Utilidad bruta],TableDailySummary[Fecha],"&gt;="&amp;TableWeeklySummary[[#This Row],[Desde]],TableDailySummary[Fecha],"&lt;="&amp;TableWeeklySummary[[#This Row],[Hasta]])</f>
        <v>0</v>
      </c>
      <c r="AL278" s="18">
        <f ca="1">IFERROR(TableWeeklySummary[[#This Row],[Utilidad bruta]]/TableWeeklySummary[[#This Row],[Ventas netas con costo registrado]],0)</f>
        <v>0</v>
      </c>
    </row>
    <row r="279" spans="2:38" x14ac:dyDescent="0.2">
      <c r="B279" s="16">
        <f ca="1">_xlfn.ISOWEEKNUM(TableWeeklySummary[[#This Row],[Hasta]])</f>
        <v>4</v>
      </c>
      <c r="C279" s="6">
        <f t="shared" ca="1" si="6"/>
        <v>47865</v>
      </c>
      <c r="D279" s="6">
        <f ca="1">TableWeeklySummary[[#This Row],[Desde]]+7-1</f>
        <v>47871</v>
      </c>
      <c r="E279" s="12">
        <f ca="1">SUMIFS(TableDailySummary[Ventas netas totales],TableDailySummary[Fecha],"&gt;="&amp;TableWeeklySummary[[#This Row],[Desde]],TableDailySummary[Fecha],"&lt;="&amp;TableWeeklySummary[[#This Row],[Hasta]])</f>
        <v>0</v>
      </c>
      <c r="F279" s="12">
        <f ca="1">SUMIFS(TableDailySummary[Órdenes totales],TableDailySummary[Fecha],"&gt;="&amp;TableWeeklySummary[[#This Row],[Desde]],TableDailySummary[Fecha],"&lt;="&amp;TableWeeklySummary[[#This Row],[Hasta]])</f>
        <v>0</v>
      </c>
      <c r="G279" s="12">
        <f ca="1">IFERROR(TableWeeklySummary[[#This Row],[Ventas netas totales]]/TableWeeklySummary[[#This Row],[Órdenes totales]],0)</f>
        <v>0</v>
      </c>
      <c r="H27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79" s="12">
        <f ca="1">TableWeeklySummary[[#This Row],[Órden promedio totales]]*TableWeeklySummary[[#This Row],[CR totales]]</f>
        <v>0</v>
      </c>
      <c r="J279" s="12">
        <f ca="1">SUMIFS(TableDailySummary[Ventas primer cliente],TableDailySummary[Fecha],"&gt;="&amp;TableWeeklySummary[[#This Row],[Desde]],TableDailySummary[Fecha],"&lt;="&amp;TableWeeklySummary[[#This Row],[Hasta]])</f>
        <v>0</v>
      </c>
      <c r="K279" s="12">
        <f ca="1">SUMIFS(TableDailySummary[Órdenes primer cliente],TableDailySummary[Fecha],"&gt;="&amp;TableWeeklySummary[[#This Row],[Desde]],TableDailySummary[Fecha],"&lt;="&amp;TableWeeklySummary[[#This Row],[Hasta]])</f>
        <v>0</v>
      </c>
      <c r="L279" s="12">
        <f ca="1">SUMIFS(TableDailySummary[Online Store_net_sales],TableDailySummary[Fecha],"&gt;="&amp;TableWeeklySummary[[#This Row],[Desde]],TableDailySummary[Fecha],"&lt;="&amp;TableWeeklySummary[[#This Row],[Hasta]])</f>
        <v>0</v>
      </c>
      <c r="M279" s="12">
        <f ca="1">SUMIFS(TableDailySummary[Online Store_orders],TableDailySummary[Fecha],"&gt;="&amp;TableWeeklySummary[[#This Row],[Desde]],TableDailySummary[Fecha],"&lt;="&amp;TableWeeklySummary[[#This Row],[Hasta]])</f>
        <v>0</v>
      </c>
      <c r="N279" s="12">
        <f ca="1">SUMIFS(TableDailySummary[Tienda 81_net_sales],TableDailySummary[Fecha],"&gt;="&amp;TableWeeklySummary[[#This Row],[Desde]],TableDailySummary[Fecha],"&lt;="&amp;TableWeeklySummary[[#This Row],[Hasta]])</f>
        <v>0</v>
      </c>
      <c r="O279" s="12">
        <f ca="1">SUMIFS(TableDailySummary[Tienda 81_orders],TableDailySummary[Fecha],"&gt;="&amp;TableWeeklySummary[[#This Row],[Desde]],TableDailySummary[Fecha],"&lt;="&amp;TableWeeklySummary[[#This Row],[Hasta]])</f>
        <v>0</v>
      </c>
      <c r="P279" s="12">
        <f ca="1">SUMIFS(TableDailySummary[Rappi_net_sales],TableDailySummary[Fecha],"&gt;="&amp;TableWeeklySummary[[#This Row],[Desde]],TableDailySummary[Fecha],"&lt;="&amp;TableWeeklySummary[[#This Row],[Hasta]])</f>
        <v>0</v>
      </c>
      <c r="Q279" s="12">
        <f ca="1">SUMIFS(TableDailySummary[Rappi_orders],TableDailySummary[Fecha],"&gt;="&amp;TableWeeklySummary[[#This Row],[Desde]],TableDailySummary[Fecha],"&lt;="&amp;TableWeeklySummary[[#This Row],[Hasta]])</f>
        <v>0</v>
      </c>
      <c r="R27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7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79" s="12">
        <f ca="1">SUMIFS(TableDailySummary[Inversión google ads],TableDailySummary[Fecha],"&gt;="&amp;TableWeeklySummary[[#This Row],[Desde]],TableDailySummary[Fecha],"&lt;="&amp;TableWeeklySummary[[#This Row],[Hasta]])</f>
        <v>0</v>
      </c>
      <c r="U279" s="12">
        <f ca="1">SUMIFS(TableDailySummary[Ventas google ads],TableDailySummary[Fecha],"&gt;="&amp;TableWeeklySummary[[#This Row],[Desde]],TableDailySummary[Fecha],"&lt;="&amp;TableWeeklySummary[[#This Row],[Hasta]])</f>
        <v>0</v>
      </c>
      <c r="V279" s="12">
        <f ca="1">SUMIFS(TableDailySummary[Inversión meta ads],TableDailySummary[Fecha],"&gt;="&amp;TableWeeklySummary[[#This Row],[Desde]],TableDailySummary[Fecha],"&lt;="&amp;TableWeeklySummary[[#This Row],[Hasta]])</f>
        <v>0</v>
      </c>
      <c r="W279" s="12">
        <f ca="1">SUMIFS(TableDailySummary[Ventas meta ads],TableDailySummary[Fecha],"&gt;="&amp;TableWeeklySummary[[#This Row],[Desde]],TableDailySummary[Fecha],"&lt;="&amp;TableWeeklySummary[[#This Row],[Hasta]])</f>
        <v>0</v>
      </c>
      <c r="X279" s="12">
        <f ca="1">TableWeeklySummary[[#This Row],[Inversión google ads]]+TableWeeklySummary[[#This Row],[Inversión meta ads]]</f>
        <v>0</v>
      </c>
      <c r="Y279" s="12">
        <f ca="1">TableWeeklySummary[[#This Row],[Ventas google ads]]+TableWeeklySummary[[#This Row],[Ventas meta ads]]</f>
        <v>0</v>
      </c>
      <c r="Z279" s="14">
        <f ca="1">IFERROR(TableWeeklySummary[[#This Row],[Ventas publicidad]]/TableWeeklySummary[[#This Row],[Inversión publicidad]],0)</f>
        <v>0</v>
      </c>
      <c r="AA279" s="14">
        <f ca="1">IFERROR(TableWeeklySummary[[#This Row],[Ventas primer cliente]]/TableWeeklySummary[[#This Row],[Inversión publicidad]],0)</f>
        <v>0</v>
      </c>
      <c r="AB279" s="14"/>
      <c r="AC279" s="12"/>
      <c r="AI27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7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79" s="12">
        <f ca="1">SUMIFS(TableDailySummary[Utilidad bruta],TableDailySummary[Fecha],"&gt;="&amp;TableWeeklySummary[[#This Row],[Desde]],TableDailySummary[Fecha],"&lt;="&amp;TableWeeklySummary[[#This Row],[Hasta]])</f>
        <v>0</v>
      </c>
      <c r="AL279" s="18">
        <f ca="1">IFERROR(TableWeeklySummary[[#This Row],[Utilidad bruta]]/TableWeeklySummary[[#This Row],[Ventas netas con costo registrado]],0)</f>
        <v>0</v>
      </c>
    </row>
    <row r="280" spans="2:38" x14ac:dyDescent="0.2">
      <c r="B280" s="16">
        <f ca="1">_xlfn.ISOWEEKNUM(TableWeeklySummary[[#This Row],[Hasta]])</f>
        <v>5</v>
      </c>
      <c r="C280" s="6">
        <f t="shared" ca="1" si="6"/>
        <v>47872</v>
      </c>
      <c r="D280" s="6">
        <f ca="1">TableWeeklySummary[[#This Row],[Desde]]+7-1</f>
        <v>47878</v>
      </c>
      <c r="E280" s="12">
        <f ca="1">SUMIFS(TableDailySummary[Ventas netas totales],TableDailySummary[Fecha],"&gt;="&amp;TableWeeklySummary[[#This Row],[Desde]],TableDailySummary[Fecha],"&lt;="&amp;TableWeeklySummary[[#This Row],[Hasta]])</f>
        <v>0</v>
      </c>
      <c r="F280" s="12">
        <f ca="1">SUMIFS(TableDailySummary[Órdenes totales],TableDailySummary[Fecha],"&gt;="&amp;TableWeeklySummary[[#This Row],[Desde]],TableDailySummary[Fecha],"&lt;="&amp;TableWeeklySummary[[#This Row],[Hasta]])</f>
        <v>0</v>
      </c>
      <c r="G280" s="12">
        <f ca="1">IFERROR(TableWeeklySummary[[#This Row],[Ventas netas totales]]/TableWeeklySummary[[#This Row],[Órdenes totales]],0)</f>
        <v>0</v>
      </c>
      <c r="H28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80" s="12">
        <f ca="1">TableWeeklySummary[[#This Row],[Órden promedio totales]]*TableWeeklySummary[[#This Row],[CR totales]]</f>
        <v>0</v>
      </c>
      <c r="J280" s="12">
        <f ca="1">SUMIFS(TableDailySummary[Ventas primer cliente],TableDailySummary[Fecha],"&gt;="&amp;TableWeeklySummary[[#This Row],[Desde]],TableDailySummary[Fecha],"&lt;="&amp;TableWeeklySummary[[#This Row],[Hasta]])</f>
        <v>0</v>
      </c>
      <c r="K280" s="12">
        <f ca="1">SUMIFS(TableDailySummary[Órdenes primer cliente],TableDailySummary[Fecha],"&gt;="&amp;TableWeeklySummary[[#This Row],[Desde]],TableDailySummary[Fecha],"&lt;="&amp;TableWeeklySummary[[#This Row],[Hasta]])</f>
        <v>0</v>
      </c>
      <c r="L280" s="12">
        <f ca="1">SUMIFS(TableDailySummary[Online Store_net_sales],TableDailySummary[Fecha],"&gt;="&amp;TableWeeklySummary[[#This Row],[Desde]],TableDailySummary[Fecha],"&lt;="&amp;TableWeeklySummary[[#This Row],[Hasta]])</f>
        <v>0</v>
      </c>
      <c r="M280" s="12">
        <f ca="1">SUMIFS(TableDailySummary[Online Store_orders],TableDailySummary[Fecha],"&gt;="&amp;TableWeeklySummary[[#This Row],[Desde]],TableDailySummary[Fecha],"&lt;="&amp;TableWeeklySummary[[#This Row],[Hasta]])</f>
        <v>0</v>
      </c>
      <c r="N280" s="12">
        <f ca="1">SUMIFS(TableDailySummary[Tienda 81_net_sales],TableDailySummary[Fecha],"&gt;="&amp;TableWeeklySummary[[#This Row],[Desde]],TableDailySummary[Fecha],"&lt;="&amp;TableWeeklySummary[[#This Row],[Hasta]])</f>
        <v>0</v>
      </c>
      <c r="O280" s="12">
        <f ca="1">SUMIFS(TableDailySummary[Tienda 81_orders],TableDailySummary[Fecha],"&gt;="&amp;TableWeeklySummary[[#This Row],[Desde]],TableDailySummary[Fecha],"&lt;="&amp;TableWeeklySummary[[#This Row],[Hasta]])</f>
        <v>0</v>
      </c>
      <c r="P280" s="12">
        <f ca="1">SUMIFS(TableDailySummary[Rappi_net_sales],TableDailySummary[Fecha],"&gt;="&amp;TableWeeklySummary[[#This Row],[Desde]],TableDailySummary[Fecha],"&lt;="&amp;TableWeeklySummary[[#This Row],[Hasta]])</f>
        <v>0</v>
      </c>
      <c r="Q280" s="12">
        <f ca="1">SUMIFS(TableDailySummary[Rappi_orders],TableDailySummary[Fecha],"&gt;="&amp;TableWeeklySummary[[#This Row],[Desde]],TableDailySummary[Fecha],"&lt;="&amp;TableWeeklySummary[[#This Row],[Hasta]])</f>
        <v>0</v>
      </c>
      <c r="R28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8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80" s="12">
        <f ca="1">SUMIFS(TableDailySummary[Inversión google ads],TableDailySummary[Fecha],"&gt;="&amp;TableWeeklySummary[[#This Row],[Desde]],TableDailySummary[Fecha],"&lt;="&amp;TableWeeklySummary[[#This Row],[Hasta]])</f>
        <v>0</v>
      </c>
      <c r="U280" s="12">
        <f ca="1">SUMIFS(TableDailySummary[Ventas google ads],TableDailySummary[Fecha],"&gt;="&amp;TableWeeklySummary[[#This Row],[Desde]],TableDailySummary[Fecha],"&lt;="&amp;TableWeeklySummary[[#This Row],[Hasta]])</f>
        <v>0</v>
      </c>
      <c r="V280" s="12">
        <f ca="1">SUMIFS(TableDailySummary[Inversión meta ads],TableDailySummary[Fecha],"&gt;="&amp;TableWeeklySummary[[#This Row],[Desde]],TableDailySummary[Fecha],"&lt;="&amp;TableWeeklySummary[[#This Row],[Hasta]])</f>
        <v>0</v>
      </c>
      <c r="W280" s="12">
        <f ca="1">SUMIFS(TableDailySummary[Ventas meta ads],TableDailySummary[Fecha],"&gt;="&amp;TableWeeklySummary[[#This Row],[Desde]],TableDailySummary[Fecha],"&lt;="&amp;TableWeeklySummary[[#This Row],[Hasta]])</f>
        <v>0</v>
      </c>
      <c r="X280" s="12">
        <f ca="1">TableWeeklySummary[[#This Row],[Inversión google ads]]+TableWeeklySummary[[#This Row],[Inversión meta ads]]</f>
        <v>0</v>
      </c>
      <c r="Y280" s="12">
        <f ca="1">TableWeeklySummary[[#This Row],[Ventas google ads]]+TableWeeklySummary[[#This Row],[Ventas meta ads]]</f>
        <v>0</v>
      </c>
      <c r="Z280" s="14">
        <f ca="1">IFERROR(TableWeeklySummary[[#This Row],[Ventas publicidad]]/TableWeeklySummary[[#This Row],[Inversión publicidad]],0)</f>
        <v>0</v>
      </c>
      <c r="AA280" s="14">
        <f ca="1">IFERROR(TableWeeklySummary[[#This Row],[Ventas primer cliente]]/TableWeeklySummary[[#This Row],[Inversión publicidad]],0)</f>
        <v>0</v>
      </c>
      <c r="AB280" s="14"/>
      <c r="AC280" s="12"/>
      <c r="AI28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8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80" s="12">
        <f ca="1">SUMIFS(TableDailySummary[Utilidad bruta],TableDailySummary[Fecha],"&gt;="&amp;TableWeeklySummary[[#This Row],[Desde]],TableDailySummary[Fecha],"&lt;="&amp;TableWeeklySummary[[#This Row],[Hasta]])</f>
        <v>0</v>
      </c>
      <c r="AL280" s="18">
        <f ca="1">IFERROR(TableWeeklySummary[[#This Row],[Utilidad bruta]]/TableWeeklySummary[[#This Row],[Ventas netas con costo registrado]],0)</f>
        <v>0</v>
      </c>
    </row>
    <row r="281" spans="2:38" x14ac:dyDescent="0.2">
      <c r="B281" s="16">
        <f ca="1">_xlfn.ISOWEEKNUM(TableWeeklySummary[[#This Row],[Hasta]])</f>
        <v>6</v>
      </c>
      <c r="C281" s="6">
        <f t="shared" ca="1" si="6"/>
        <v>47879</v>
      </c>
      <c r="D281" s="6">
        <f ca="1">TableWeeklySummary[[#This Row],[Desde]]+7-1</f>
        <v>47885</v>
      </c>
      <c r="E281" s="12">
        <f ca="1">SUMIFS(TableDailySummary[Ventas netas totales],TableDailySummary[Fecha],"&gt;="&amp;TableWeeklySummary[[#This Row],[Desde]],TableDailySummary[Fecha],"&lt;="&amp;TableWeeklySummary[[#This Row],[Hasta]])</f>
        <v>0</v>
      </c>
      <c r="F281" s="12">
        <f ca="1">SUMIFS(TableDailySummary[Órdenes totales],TableDailySummary[Fecha],"&gt;="&amp;TableWeeklySummary[[#This Row],[Desde]],TableDailySummary[Fecha],"&lt;="&amp;TableWeeklySummary[[#This Row],[Hasta]])</f>
        <v>0</v>
      </c>
      <c r="G281" s="12">
        <f ca="1">IFERROR(TableWeeklySummary[[#This Row],[Ventas netas totales]]/TableWeeklySummary[[#This Row],[Órdenes totales]],0)</f>
        <v>0</v>
      </c>
      <c r="H28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81" s="12">
        <f ca="1">TableWeeklySummary[[#This Row],[Órden promedio totales]]*TableWeeklySummary[[#This Row],[CR totales]]</f>
        <v>0</v>
      </c>
      <c r="J281" s="12">
        <f ca="1">SUMIFS(TableDailySummary[Ventas primer cliente],TableDailySummary[Fecha],"&gt;="&amp;TableWeeklySummary[[#This Row],[Desde]],TableDailySummary[Fecha],"&lt;="&amp;TableWeeklySummary[[#This Row],[Hasta]])</f>
        <v>0</v>
      </c>
      <c r="K281" s="12">
        <f ca="1">SUMIFS(TableDailySummary[Órdenes primer cliente],TableDailySummary[Fecha],"&gt;="&amp;TableWeeklySummary[[#This Row],[Desde]],TableDailySummary[Fecha],"&lt;="&amp;TableWeeklySummary[[#This Row],[Hasta]])</f>
        <v>0</v>
      </c>
      <c r="L281" s="12">
        <f ca="1">SUMIFS(TableDailySummary[Online Store_net_sales],TableDailySummary[Fecha],"&gt;="&amp;TableWeeklySummary[[#This Row],[Desde]],TableDailySummary[Fecha],"&lt;="&amp;TableWeeklySummary[[#This Row],[Hasta]])</f>
        <v>0</v>
      </c>
      <c r="M281" s="12">
        <f ca="1">SUMIFS(TableDailySummary[Online Store_orders],TableDailySummary[Fecha],"&gt;="&amp;TableWeeklySummary[[#This Row],[Desde]],TableDailySummary[Fecha],"&lt;="&amp;TableWeeklySummary[[#This Row],[Hasta]])</f>
        <v>0</v>
      </c>
      <c r="N281" s="12">
        <f ca="1">SUMIFS(TableDailySummary[Tienda 81_net_sales],TableDailySummary[Fecha],"&gt;="&amp;TableWeeklySummary[[#This Row],[Desde]],TableDailySummary[Fecha],"&lt;="&amp;TableWeeklySummary[[#This Row],[Hasta]])</f>
        <v>0</v>
      </c>
      <c r="O281" s="12">
        <f ca="1">SUMIFS(TableDailySummary[Tienda 81_orders],TableDailySummary[Fecha],"&gt;="&amp;TableWeeklySummary[[#This Row],[Desde]],TableDailySummary[Fecha],"&lt;="&amp;TableWeeklySummary[[#This Row],[Hasta]])</f>
        <v>0</v>
      </c>
      <c r="P281" s="12">
        <f ca="1">SUMIFS(TableDailySummary[Rappi_net_sales],TableDailySummary[Fecha],"&gt;="&amp;TableWeeklySummary[[#This Row],[Desde]],TableDailySummary[Fecha],"&lt;="&amp;TableWeeklySummary[[#This Row],[Hasta]])</f>
        <v>0</v>
      </c>
      <c r="Q281" s="12">
        <f ca="1">SUMIFS(TableDailySummary[Rappi_orders],TableDailySummary[Fecha],"&gt;="&amp;TableWeeklySummary[[#This Row],[Desde]],TableDailySummary[Fecha],"&lt;="&amp;TableWeeklySummary[[#This Row],[Hasta]])</f>
        <v>0</v>
      </c>
      <c r="R28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8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81" s="12">
        <f ca="1">SUMIFS(TableDailySummary[Inversión google ads],TableDailySummary[Fecha],"&gt;="&amp;TableWeeklySummary[[#This Row],[Desde]],TableDailySummary[Fecha],"&lt;="&amp;TableWeeklySummary[[#This Row],[Hasta]])</f>
        <v>0</v>
      </c>
      <c r="U281" s="12">
        <f ca="1">SUMIFS(TableDailySummary[Ventas google ads],TableDailySummary[Fecha],"&gt;="&amp;TableWeeklySummary[[#This Row],[Desde]],TableDailySummary[Fecha],"&lt;="&amp;TableWeeklySummary[[#This Row],[Hasta]])</f>
        <v>0</v>
      </c>
      <c r="V281" s="12">
        <f ca="1">SUMIFS(TableDailySummary[Inversión meta ads],TableDailySummary[Fecha],"&gt;="&amp;TableWeeklySummary[[#This Row],[Desde]],TableDailySummary[Fecha],"&lt;="&amp;TableWeeklySummary[[#This Row],[Hasta]])</f>
        <v>0</v>
      </c>
      <c r="W281" s="12">
        <f ca="1">SUMIFS(TableDailySummary[Ventas meta ads],TableDailySummary[Fecha],"&gt;="&amp;TableWeeklySummary[[#This Row],[Desde]],TableDailySummary[Fecha],"&lt;="&amp;TableWeeklySummary[[#This Row],[Hasta]])</f>
        <v>0</v>
      </c>
      <c r="X281" s="12">
        <f ca="1">TableWeeklySummary[[#This Row],[Inversión google ads]]+TableWeeklySummary[[#This Row],[Inversión meta ads]]</f>
        <v>0</v>
      </c>
      <c r="Y281" s="12">
        <f ca="1">TableWeeklySummary[[#This Row],[Ventas google ads]]+TableWeeklySummary[[#This Row],[Ventas meta ads]]</f>
        <v>0</v>
      </c>
      <c r="Z281" s="14">
        <f ca="1">IFERROR(TableWeeklySummary[[#This Row],[Ventas publicidad]]/TableWeeklySummary[[#This Row],[Inversión publicidad]],0)</f>
        <v>0</v>
      </c>
      <c r="AA281" s="14">
        <f ca="1">IFERROR(TableWeeklySummary[[#This Row],[Ventas primer cliente]]/TableWeeklySummary[[#This Row],[Inversión publicidad]],0)</f>
        <v>0</v>
      </c>
      <c r="AB281" s="14"/>
      <c r="AC281" s="12"/>
      <c r="AI28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8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81" s="12">
        <f ca="1">SUMIFS(TableDailySummary[Utilidad bruta],TableDailySummary[Fecha],"&gt;="&amp;TableWeeklySummary[[#This Row],[Desde]],TableDailySummary[Fecha],"&lt;="&amp;TableWeeklySummary[[#This Row],[Hasta]])</f>
        <v>0</v>
      </c>
      <c r="AL281" s="18">
        <f ca="1">IFERROR(TableWeeklySummary[[#This Row],[Utilidad bruta]]/TableWeeklySummary[[#This Row],[Ventas netas con costo registrado]],0)</f>
        <v>0</v>
      </c>
    </row>
    <row r="282" spans="2:38" x14ac:dyDescent="0.2">
      <c r="B282" s="16">
        <f ca="1">_xlfn.ISOWEEKNUM(TableWeeklySummary[[#This Row],[Hasta]])</f>
        <v>7</v>
      </c>
      <c r="C282" s="6">
        <f t="shared" ca="1" si="6"/>
        <v>47886</v>
      </c>
      <c r="D282" s="6">
        <f ca="1">TableWeeklySummary[[#This Row],[Desde]]+7-1</f>
        <v>47892</v>
      </c>
      <c r="E282" s="12">
        <f ca="1">SUMIFS(TableDailySummary[Ventas netas totales],TableDailySummary[Fecha],"&gt;="&amp;TableWeeklySummary[[#This Row],[Desde]],TableDailySummary[Fecha],"&lt;="&amp;TableWeeklySummary[[#This Row],[Hasta]])</f>
        <v>0</v>
      </c>
      <c r="F282" s="12">
        <f ca="1">SUMIFS(TableDailySummary[Órdenes totales],TableDailySummary[Fecha],"&gt;="&amp;TableWeeklySummary[[#This Row],[Desde]],TableDailySummary[Fecha],"&lt;="&amp;TableWeeklySummary[[#This Row],[Hasta]])</f>
        <v>0</v>
      </c>
      <c r="G282" s="12">
        <f ca="1">IFERROR(TableWeeklySummary[[#This Row],[Ventas netas totales]]/TableWeeklySummary[[#This Row],[Órdenes totales]],0)</f>
        <v>0</v>
      </c>
      <c r="H28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82" s="12">
        <f ca="1">TableWeeklySummary[[#This Row],[Órden promedio totales]]*TableWeeklySummary[[#This Row],[CR totales]]</f>
        <v>0</v>
      </c>
      <c r="J282" s="12">
        <f ca="1">SUMIFS(TableDailySummary[Ventas primer cliente],TableDailySummary[Fecha],"&gt;="&amp;TableWeeklySummary[[#This Row],[Desde]],TableDailySummary[Fecha],"&lt;="&amp;TableWeeklySummary[[#This Row],[Hasta]])</f>
        <v>0</v>
      </c>
      <c r="K282" s="12">
        <f ca="1">SUMIFS(TableDailySummary[Órdenes primer cliente],TableDailySummary[Fecha],"&gt;="&amp;TableWeeklySummary[[#This Row],[Desde]],TableDailySummary[Fecha],"&lt;="&amp;TableWeeklySummary[[#This Row],[Hasta]])</f>
        <v>0</v>
      </c>
      <c r="L282" s="12">
        <f ca="1">SUMIFS(TableDailySummary[Online Store_net_sales],TableDailySummary[Fecha],"&gt;="&amp;TableWeeklySummary[[#This Row],[Desde]],TableDailySummary[Fecha],"&lt;="&amp;TableWeeklySummary[[#This Row],[Hasta]])</f>
        <v>0</v>
      </c>
      <c r="M282" s="12">
        <f ca="1">SUMIFS(TableDailySummary[Online Store_orders],TableDailySummary[Fecha],"&gt;="&amp;TableWeeklySummary[[#This Row],[Desde]],TableDailySummary[Fecha],"&lt;="&amp;TableWeeklySummary[[#This Row],[Hasta]])</f>
        <v>0</v>
      </c>
      <c r="N282" s="12">
        <f ca="1">SUMIFS(TableDailySummary[Tienda 81_net_sales],TableDailySummary[Fecha],"&gt;="&amp;TableWeeklySummary[[#This Row],[Desde]],TableDailySummary[Fecha],"&lt;="&amp;TableWeeklySummary[[#This Row],[Hasta]])</f>
        <v>0</v>
      </c>
      <c r="O282" s="12">
        <f ca="1">SUMIFS(TableDailySummary[Tienda 81_orders],TableDailySummary[Fecha],"&gt;="&amp;TableWeeklySummary[[#This Row],[Desde]],TableDailySummary[Fecha],"&lt;="&amp;TableWeeklySummary[[#This Row],[Hasta]])</f>
        <v>0</v>
      </c>
      <c r="P282" s="12">
        <f ca="1">SUMIFS(TableDailySummary[Rappi_net_sales],TableDailySummary[Fecha],"&gt;="&amp;TableWeeklySummary[[#This Row],[Desde]],TableDailySummary[Fecha],"&lt;="&amp;TableWeeklySummary[[#This Row],[Hasta]])</f>
        <v>0</v>
      </c>
      <c r="Q282" s="12">
        <f ca="1">SUMIFS(TableDailySummary[Rappi_orders],TableDailySummary[Fecha],"&gt;="&amp;TableWeeklySummary[[#This Row],[Desde]],TableDailySummary[Fecha],"&lt;="&amp;TableWeeklySummary[[#This Row],[Hasta]])</f>
        <v>0</v>
      </c>
      <c r="R28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8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82" s="12">
        <f ca="1">SUMIFS(TableDailySummary[Inversión google ads],TableDailySummary[Fecha],"&gt;="&amp;TableWeeklySummary[[#This Row],[Desde]],TableDailySummary[Fecha],"&lt;="&amp;TableWeeklySummary[[#This Row],[Hasta]])</f>
        <v>0</v>
      </c>
      <c r="U282" s="12">
        <f ca="1">SUMIFS(TableDailySummary[Ventas google ads],TableDailySummary[Fecha],"&gt;="&amp;TableWeeklySummary[[#This Row],[Desde]],TableDailySummary[Fecha],"&lt;="&amp;TableWeeklySummary[[#This Row],[Hasta]])</f>
        <v>0</v>
      </c>
      <c r="V282" s="12">
        <f ca="1">SUMIFS(TableDailySummary[Inversión meta ads],TableDailySummary[Fecha],"&gt;="&amp;TableWeeklySummary[[#This Row],[Desde]],TableDailySummary[Fecha],"&lt;="&amp;TableWeeklySummary[[#This Row],[Hasta]])</f>
        <v>0</v>
      </c>
      <c r="W282" s="12">
        <f ca="1">SUMIFS(TableDailySummary[Ventas meta ads],TableDailySummary[Fecha],"&gt;="&amp;TableWeeklySummary[[#This Row],[Desde]],TableDailySummary[Fecha],"&lt;="&amp;TableWeeklySummary[[#This Row],[Hasta]])</f>
        <v>0</v>
      </c>
      <c r="X282" s="12">
        <f ca="1">TableWeeklySummary[[#This Row],[Inversión google ads]]+TableWeeklySummary[[#This Row],[Inversión meta ads]]</f>
        <v>0</v>
      </c>
      <c r="Y282" s="12">
        <f ca="1">TableWeeklySummary[[#This Row],[Ventas google ads]]+TableWeeklySummary[[#This Row],[Ventas meta ads]]</f>
        <v>0</v>
      </c>
      <c r="Z282" s="14">
        <f ca="1">IFERROR(TableWeeklySummary[[#This Row],[Ventas publicidad]]/TableWeeklySummary[[#This Row],[Inversión publicidad]],0)</f>
        <v>0</v>
      </c>
      <c r="AA282" s="14">
        <f ca="1">IFERROR(TableWeeklySummary[[#This Row],[Ventas primer cliente]]/TableWeeklySummary[[#This Row],[Inversión publicidad]],0)</f>
        <v>0</v>
      </c>
      <c r="AB282" s="14"/>
      <c r="AC282" s="12"/>
      <c r="AI28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8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82" s="12">
        <f ca="1">SUMIFS(TableDailySummary[Utilidad bruta],TableDailySummary[Fecha],"&gt;="&amp;TableWeeklySummary[[#This Row],[Desde]],TableDailySummary[Fecha],"&lt;="&amp;TableWeeklySummary[[#This Row],[Hasta]])</f>
        <v>0</v>
      </c>
      <c r="AL282" s="18">
        <f ca="1">IFERROR(TableWeeklySummary[[#This Row],[Utilidad bruta]]/TableWeeklySummary[[#This Row],[Ventas netas con costo registrado]],0)</f>
        <v>0</v>
      </c>
    </row>
    <row r="283" spans="2:38" x14ac:dyDescent="0.2">
      <c r="B283" s="16">
        <f ca="1">_xlfn.ISOWEEKNUM(TableWeeklySummary[[#This Row],[Hasta]])</f>
        <v>8</v>
      </c>
      <c r="C283" s="6">
        <f t="shared" ca="1" si="6"/>
        <v>47893</v>
      </c>
      <c r="D283" s="6">
        <f ca="1">TableWeeklySummary[[#This Row],[Desde]]+7-1</f>
        <v>47899</v>
      </c>
      <c r="E283" s="12">
        <f ca="1">SUMIFS(TableDailySummary[Ventas netas totales],TableDailySummary[Fecha],"&gt;="&amp;TableWeeklySummary[[#This Row],[Desde]],TableDailySummary[Fecha],"&lt;="&amp;TableWeeklySummary[[#This Row],[Hasta]])</f>
        <v>0</v>
      </c>
      <c r="F283" s="12">
        <f ca="1">SUMIFS(TableDailySummary[Órdenes totales],TableDailySummary[Fecha],"&gt;="&amp;TableWeeklySummary[[#This Row],[Desde]],TableDailySummary[Fecha],"&lt;="&amp;TableWeeklySummary[[#This Row],[Hasta]])</f>
        <v>0</v>
      </c>
      <c r="G283" s="12">
        <f ca="1">IFERROR(TableWeeklySummary[[#This Row],[Ventas netas totales]]/TableWeeklySummary[[#This Row],[Órdenes totales]],0)</f>
        <v>0</v>
      </c>
      <c r="H28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83" s="12">
        <f ca="1">TableWeeklySummary[[#This Row],[Órden promedio totales]]*TableWeeklySummary[[#This Row],[CR totales]]</f>
        <v>0</v>
      </c>
      <c r="J283" s="12">
        <f ca="1">SUMIFS(TableDailySummary[Ventas primer cliente],TableDailySummary[Fecha],"&gt;="&amp;TableWeeklySummary[[#This Row],[Desde]],TableDailySummary[Fecha],"&lt;="&amp;TableWeeklySummary[[#This Row],[Hasta]])</f>
        <v>0</v>
      </c>
      <c r="K283" s="12">
        <f ca="1">SUMIFS(TableDailySummary[Órdenes primer cliente],TableDailySummary[Fecha],"&gt;="&amp;TableWeeklySummary[[#This Row],[Desde]],TableDailySummary[Fecha],"&lt;="&amp;TableWeeklySummary[[#This Row],[Hasta]])</f>
        <v>0</v>
      </c>
      <c r="L283" s="12">
        <f ca="1">SUMIFS(TableDailySummary[Online Store_net_sales],TableDailySummary[Fecha],"&gt;="&amp;TableWeeklySummary[[#This Row],[Desde]],TableDailySummary[Fecha],"&lt;="&amp;TableWeeklySummary[[#This Row],[Hasta]])</f>
        <v>0</v>
      </c>
      <c r="M283" s="12">
        <f ca="1">SUMIFS(TableDailySummary[Online Store_orders],TableDailySummary[Fecha],"&gt;="&amp;TableWeeklySummary[[#This Row],[Desde]],TableDailySummary[Fecha],"&lt;="&amp;TableWeeklySummary[[#This Row],[Hasta]])</f>
        <v>0</v>
      </c>
      <c r="N283" s="12">
        <f ca="1">SUMIFS(TableDailySummary[Tienda 81_net_sales],TableDailySummary[Fecha],"&gt;="&amp;TableWeeklySummary[[#This Row],[Desde]],TableDailySummary[Fecha],"&lt;="&amp;TableWeeklySummary[[#This Row],[Hasta]])</f>
        <v>0</v>
      </c>
      <c r="O283" s="12">
        <f ca="1">SUMIFS(TableDailySummary[Tienda 81_orders],TableDailySummary[Fecha],"&gt;="&amp;TableWeeklySummary[[#This Row],[Desde]],TableDailySummary[Fecha],"&lt;="&amp;TableWeeklySummary[[#This Row],[Hasta]])</f>
        <v>0</v>
      </c>
      <c r="P283" s="12">
        <f ca="1">SUMIFS(TableDailySummary[Rappi_net_sales],TableDailySummary[Fecha],"&gt;="&amp;TableWeeklySummary[[#This Row],[Desde]],TableDailySummary[Fecha],"&lt;="&amp;TableWeeklySummary[[#This Row],[Hasta]])</f>
        <v>0</v>
      </c>
      <c r="Q283" s="12">
        <f ca="1">SUMIFS(TableDailySummary[Rappi_orders],TableDailySummary[Fecha],"&gt;="&amp;TableWeeklySummary[[#This Row],[Desde]],TableDailySummary[Fecha],"&lt;="&amp;TableWeeklySummary[[#This Row],[Hasta]])</f>
        <v>0</v>
      </c>
      <c r="R28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8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83" s="12">
        <f ca="1">SUMIFS(TableDailySummary[Inversión google ads],TableDailySummary[Fecha],"&gt;="&amp;TableWeeklySummary[[#This Row],[Desde]],TableDailySummary[Fecha],"&lt;="&amp;TableWeeklySummary[[#This Row],[Hasta]])</f>
        <v>0</v>
      </c>
      <c r="U283" s="12">
        <f ca="1">SUMIFS(TableDailySummary[Ventas google ads],TableDailySummary[Fecha],"&gt;="&amp;TableWeeklySummary[[#This Row],[Desde]],TableDailySummary[Fecha],"&lt;="&amp;TableWeeklySummary[[#This Row],[Hasta]])</f>
        <v>0</v>
      </c>
      <c r="V283" s="12">
        <f ca="1">SUMIFS(TableDailySummary[Inversión meta ads],TableDailySummary[Fecha],"&gt;="&amp;TableWeeklySummary[[#This Row],[Desde]],TableDailySummary[Fecha],"&lt;="&amp;TableWeeklySummary[[#This Row],[Hasta]])</f>
        <v>0</v>
      </c>
      <c r="W283" s="12">
        <f ca="1">SUMIFS(TableDailySummary[Ventas meta ads],TableDailySummary[Fecha],"&gt;="&amp;TableWeeklySummary[[#This Row],[Desde]],TableDailySummary[Fecha],"&lt;="&amp;TableWeeklySummary[[#This Row],[Hasta]])</f>
        <v>0</v>
      </c>
      <c r="X283" s="12">
        <f ca="1">TableWeeklySummary[[#This Row],[Inversión google ads]]+TableWeeklySummary[[#This Row],[Inversión meta ads]]</f>
        <v>0</v>
      </c>
      <c r="Y283" s="12">
        <f ca="1">TableWeeklySummary[[#This Row],[Ventas google ads]]+TableWeeklySummary[[#This Row],[Ventas meta ads]]</f>
        <v>0</v>
      </c>
      <c r="Z283" s="14">
        <f ca="1">IFERROR(TableWeeklySummary[[#This Row],[Ventas publicidad]]/TableWeeklySummary[[#This Row],[Inversión publicidad]],0)</f>
        <v>0</v>
      </c>
      <c r="AA283" s="14">
        <f ca="1">IFERROR(TableWeeklySummary[[#This Row],[Ventas primer cliente]]/TableWeeklySummary[[#This Row],[Inversión publicidad]],0)</f>
        <v>0</v>
      </c>
      <c r="AB283" s="14"/>
      <c r="AC283" s="12"/>
      <c r="AI28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8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83" s="12">
        <f ca="1">SUMIFS(TableDailySummary[Utilidad bruta],TableDailySummary[Fecha],"&gt;="&amp;TableWeeklySummary[[#This Row],[Desde]],TableDailySummary[Fecha],"&lt;="&amp;TableWeeklySummary[[#This Row],[Hasta]])</f>
        <v>0</v>
      </c>
      <c r="AL283" s="18">
        <f ca="1">IFERROR(TableWeeklySummary[[#This Row],[Utilidad bruta]]/TableWeeklySummary[[#This Row],[Ventas netas con costo registrado]],0)</f>
        <v>0</v>
      </c>
    </row>
    <row r="284" spans="2:38" x14ac:dyDescent="0.2">
      <c r="B284" s="16">
        <f ca="1">_xlfn.ISOWEEKNUM(TableWeeklySummary[[#This Row],[Hasta]])</f>
        <v>9</v>
      </c>
      <c r="C284" s="6">
        <f t="shared" ca="1" si="6"/>
        <v>47900</v>
      </c>
      <c r="D284" s="6">
        <f ca="1">TableWeeklySummary[[#This Row],[Desde]]+7-1</f>
        <v>47906</v>
      </c>
      <c r="E284" s="12">
        <f ca="1">SUMIFS(TableDailySummary[Ventas netas totales],TableDailySummary[Fecha],"&gt;="&amp;TableWeeklySummary[[#This Row],[Desde]],TableDailySummary[Fecha],"&lt;="&amp;TableWeeklySummary[[#This Row],[Hasta]])</f>
        <v>0</v>
      </c>
      <c r="F284" s="12">
        <f ca="1">SUMIFS(TableDailySummary[Órdenes totales],TableDailySummary[Fecha],"&gt;="&amp;TableWeeklySummary[[#This Row],[Desde]],TableDailySummary[Fecha],"&lt;="&amp;TableWeeklySummary[[#This Row],[Hasta]])</f>
        <v>0</v>
      </c>
      <c r="G284" s="12">
        <f ca="1">IFERROR(TableWeeklySummary[[#This Row],[Ventas netas totales]]/TableWeeklySummary[[#This Row],[Órdenes totales]],0)</f>
        <v>0</v>
      </c>
      <c r="H28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84" s="12">
        <f ca="1">TableWeeklySummary[[#This Row],[Órden promedio totales]]*TableWeeklySummary[[#This Row],[CR totales]]</f>
        <v>0</v>
      </c>
      <c r="J284" s="12">
        <f ca="1">SUMIFS(TableDailySummary[Ventas primer cliente],TableDailySummary[Fecha],"&gt;="&amp;TableWeeklySummary[[#This Row],[Desde]],TableDailySummary[Fecha],"&lt;="&amp;TableWeeklySummary[[#This Row],[Hasta]])</f>
        <v>0</v>
      </c>
      <c r="K284" s="12">
        <f ca="1">SUMIFS(TableDailySummary[Órdenes primer cliente],TableDailySummary[Fecha],"&gt;="&amp;TableWeeklySummary[[#This Row],[Desde]],TableDailySummary[Fecha],"&lt;="&amp;TableWeeklySummary[[#This Row],[Hasta]])</f>
        <v>0</v>
      </c>
      <c r="L284" s="12">
        <f ca="1">SUMIFS(TableDailySummary[Online Store_net_sales],TableDailySummary[Fecha],"&gt;="&amp;TableWeeklySummary[[#This Row],[Desde]],TableDailySummary[Fecha],"&lt;="&amp;TableWeeklySummary[[#This Row],[Hasta]])</f>
        <v>0</v>
      </c>
      <c r="M284" s="12">
        <f ca="1">SUMIFS(TableDailySummary[Online Store_orders],TableDailySummary[Fecha],"&gt;="&amp;TableWeeklySummary[[#This Row],[Desde]],TableDailySummary[Fecha],"&lt;="&amp;TableWeeklySummary[[#This Row],[Hasta]])</f>
        <v>0</v>
      </c>
      <c r="N284" s="12">
        <f ca="1">SUMIFS(TableDailySummary[Tienda 81_net_sales],TableDailySummary[Fecha],"&gt;="&amp;TableWeeklySummary[[#This Row],[Desde]],TableDailySummary[Fecha],"&lt;="&amp;TableWeeklySummary[[#This Row],[Hasta]])</f>
        <v>0</v>
      </c>
      <c r="O284" s="12">
        <f ca="1">SUMIFS(TableDailySummary[Tienda 81_orders],TableDailySummary[Fecha],"&gt;="&amp;TableWeeklySummary[[#This Row],[Desde]],TableDailySummary[Fecha],"&lt;="&amp;TableWeeklySummary[[#This Row],[Hasta]])</f>
        <v>0</v>
      </c>
      <c r="P284" s="12">
        <f ca="1">SUMIFS(TableDailySummary[Rappi_net_sales],TableDailySummary[Fecha],"&gt;="&amp;TableWeeklySummary[[#This Row],[Desde]],TableDailySummary[Fecha],"&lt;="&amp;TableWeeklySummary[[#This Row],[Hasta]])</f>
        <v>0</v>
      </c>
      <c r="Q284" s="12">
        <f ca="1">SUMIFS(TableDailySummary[Rappi_orders],TableDailySummary[Fecha],"&gt;="&amp;TableWeeklySummary[[#This Row],[Desde]],TableDailySummary[Fecha],"&lt;="&amp;TableWeeklySummary[[#This Row],[Hasta]])</f>
        <v>0</v>
      </c>
      <c r="R28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8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84" s="12">
        <f ca="1">SUMIFS(TableDailySummary[Inversión google ads],TableDailySummary[Fecha],"&gt;="&amp;TableWeeklySummary[[#This Row],[Desde]],TableDailySummary[Fecha],"&lt;="&amp;TableWeeklySummary[[#This Row],[Hasta]])</f>
        <v>0</v>
      </c>
      <c r="U284" s="12">
        <f ca="1">SUMIFS(TableDailySummary[Ventas google ads],TableDailySummary[Fecha],"&gt;="&amp;TableWeeklySummary[[#This Row],[Desde]],TableDailySummary[Fecha],"&lt;="&amp;TableWeeklySummary[[#This Row],[Hasta]])</f>
        <v>0</v>
      </c>
      <c r="V284" s="12">
        <f ca="1">SUMIFS(TableDailySummary[Inversión meta ads],TableDailySummary[Fecha],"&gt;="&amp;TableWeeklySummary[[#This Row],[Desde]],TableDailySummary[Fecha],"&lt;="&amp;TableWeeklySummary[[#This Row],[Hasta]])</f>
        <v>0</v>
      </c>
      <c r="W284" s="12">
        <f ca="1">SUMIFS(TableDailySummary[Ventas meta ads],TableDailySummary[Fecha],"&gt;="&amp;TableWeeklySummary[[#This Row],[Desde]],TableDailySummary[Fecha],"&lt;="&amp;TableWeeklySummary[[#This Row],[Hasta]])</f>
        <v>0</v>
      </c>
      <c r="X284" s="12">
        <f ca="1">TableWeeklySummary[[#This Row],[Inversión google ads]]+TableWeeklySummary[[#This Row],[Inversión meta ads]]</f>
        <v>0</v>
      </c>
      <c r="Y284" s="12">
        <f ca="1">TableWeeklySummary[[#This Row],[Ventas google ads]]+TableWeeklySummary[[#This Row],[Ventas meta ads]]</f>
        <v>0</v>
      </c>
      <c r="Z284" s="14">
        <f ca="1">IFERROR(TableWeeklySummary[[#This Row],[Ventas publicidad]]/TableWeeklySummary[[#This Row],[Inversión publicidad]],0)</f>
        <v>0</v>
      </c>
      <c r="AA284" s="14">
        <f ca="1">IFERROR(TableWeeklySummary[[#This Row],[Ventas primer cliente]]/TableWeeklySummary[[#This Row],[Inversión publicidad]],0)</f>
        <v>0</v>
      </c>
      <c r="AB284" s="14"/>
      <c r="AC284" s="12"/>
      <c r="AI28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8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84" s="12">
        <f ca="1">SUMIFS(TableDailySummary[Utilidad bruta],TableDailySummary[Fecha],"&gt;="&amp;TableWeeklySummary[[#This Row],[Desde]],TableDailySummary[Fecha],"&lt;="&amp;TableWeeklySummary[[#This Row],[Hasta]])</f>
        <v>0</v>
      </c>
      <c r="AL284" s="18">
        <f ca="1">IFERROR(TableWeeklySummary[[#This Row],[Utilidad bruta]]/TableWeeklySummary[[#This Row],[Ventas netas con costo registrado]],0)</f>
        <v>0</v>
      </c>
    </row>
    <row r="285" spans="2:38" x14ac:dyDescent="0.2">
      <c r="B285" s="16">
        <f ca="1">_xlfn.ISOWEEKNUM(TableWeeklySummary[[#This Row],[Hasta]])</f>
        <v>10</v>
      </c>
      <c r="C285" s="6">
        <f t="shared" ca="1" si="6"/>
        <v>47907</v>
      </c>
      <c r="D285" s="6">
        <f ca="1">TableWeeklySummary[[#This Row],[Desde]]+7-1</f>
        <v>47913</v>
      </c>
      <c r="E285" s="12">
        <f ca="1">SUMIFS(TableDailySummary[Ventas netas totales],TableDailySummary[Fecha],"&gt;="&amp;TableWeeklySummary[[#This Row],[Desde]],TableDailySummary[Fecha],"&lt;="&amp;TableWeeklySummary[[#This Row],[Hasta]])</f>
        <v>0</v>
      </c>
      <c r="F285" s="12">
        <f ca="1">SUMIFS(TableDailySummary[Órdenes totales],TableDailySummary[Fecha],"&gt;="&amp;TableWeeklySummary[[#This Row],[Desde]],TableDailySummary[Fecha],"&lt;="&amp;TableWeeklySummary[[#This Row],[Hasta]])</f>
        <v>0</v>
      </c>
      <c r="G285" s="12">
        <f ca="1">IFERROR(TableWeeklySummary[[#This Row],[Ventas netas totales]]/TableWeeklySummary[[#This Row],[Órdenes totales]],0)</f>
        <v>0</v>
      </c>
      <c r="H28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85" s="12">
        <f ca="1">TableWeeklySummary[[#This Row],[Órden promedio totales]]*TableWeeklySummary[[#This Row],[CR totales]]</f>
        <v>0</v>
      </c>
      <c r="J285" s="12">
        <f ca="1">SUMIFS(TableDailySummary[Ventas primer cliente],TableDailySummary[Fecha],"&gt;="&amp;TableWeeklySummary[[#This Row],[Desde]],TableDailySummary[Fecha],"&lt;="&amp;TableWeeklySummary[[#This Row],[Hasta]])</f>
        <v>0</v>
      </c>
      <c r="K285" s="12">
        <f ca="1">SUMIFS(TableDailySummary[Órdenes primer cliente],TableDailySummary[Fecha],"&gt;="&amp;TableWeeklySummary[[#This Row],[Desde]],TableDailySummary[Fecha],"&lt;="&amp;TableWeeklySummary[[#This Row],[Hasta]])</f>
        <v>0</v>
      </c>
      <c r="L285" s="12">
        <f ca="1">SUMIFS(TableDailySummary[Online Store_net_sales],TableDailySummary[Fecha],"&gt;="&amp;TableWeeklySummary[[#This Row],[Desde]],TableDailySummary[Fecha],"&lt;="&amp;TableWeeklySummary[[#This Row],[Hasta]])</f>
        <v>0</v>
      </c>
      <c r="M285" s="12">
        <f ca="1">SUMIFS(TableDailySummary[Online Store_orders],TableDailySummary[Fecha],"&gt;="&amp;TableWeeklySummary[[#This Row],[Desde]],TableDailySummary[Fecha],"&lt;="&amp;TableWeeklySummary[[#This Row],[Hasta]])</f>
        <v>0</v>
      </c>
      <c r="N285" s="12">
        <f ca="1">SUMIFS(TableDailySummary[Tienda 81_net_sales],TableDailySummary[Fecha],"&gt;="&amp;TableWeeklySummary[[#This Row],[Desde]],TableDailySummary[Fecha],"&lt;="&amp;TableWeeklySummary[[#This Row],[Hasta]])</f>
        <v>0</v>
      </c>
      <c r="O285" s="12">
        <f ca="1">SUMIFS(TableDailySummary[Tienda 81_orders],TableDailySummary[Fecha],"&gt;="&amp;TableWeeklySummary[[#This Row],[Desde]],TableDailySummary[Fecha],"&lt;="&amp;TableWeeklySummary[[#This Row],[Hasta]])</f>
        <v>0</v>
      </c>
      <c r="P285" s="12">
        <f ca="1">SUMIFS(TableDailySummary[Rappi_net_sales],TableDailySummary[Fecha],"&gt;="&amp;TableWeeklySummary[[#This Row],[Desde]],TableDailySummary[Fecha],"&lt;="&amp;TableWeeklySummary[[#This Row],[Hasta]])</f>
        <v>0</v>
      </c>
      <c r="Q285" s="12">
        <f ca="1">SUMIFS(TableDailySummary[Rappi_orders],TableDailySummary[Fecha],"&gt;="&amp;TableWeeklySummary[[#This Row],[Desde]],TableDailySummary[Fecha],"&lt;="&amp;TableWeeklySummary[[#This Row],[Hasta]])</f>
        <v>0</v>
      </c>
      <c r="R28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8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85" s="12">
        <f ca="1">SUMIFS(TableDailySummary[Inversión google ads],TableDailySummary[Fecha],"&gt;="&amp;TableWeeklySummary[[#This Row],[Desde]],TableDailySummary[Fecha],"&lt;="&amp;TableWeeklySummary[[#This Row],[Hasta]])</f>
        <v>0</v>
      </c>
      <c r="U285" s="12">
        <f ca="1">SUMIFS(TableDailySummary[Ventas google ads],TableDailySummary[Fecha],"&gt;="&amp;TableWeeklySummary[[#This Row],[Desde]],TableDailySummary[Fecha],"&lt;="&amp;TableWeeklySummary[[#This Row],[Hasta]])</f>
        <v>0</v>
      </c>
      <c r="V285" s="12">
        <f ca="1">SUMIFS(TableDailySummary[Inversión meta ads],TableDailySummary[Fecha],"&gt;="&amp;TableWeeklySummary[[#This Row],[Desde]],TableDailySummary[Fecha],"&lt;="&amp;TableWeeklySummary[[#This Row],[Hasta]])</f>
        <v>0</v>
      </c>
      <c r="W285" s="12">
        <f ca="1">SUMIFS(TableDailySummary[Ventas meta ads],TableDailySummary[Fecha],"&gt;="&amp;TableWeeklySummary[[#This Row],[Desde]],TableDailySummary[Fecha],"&lt;="&amp;TableWeeklySummary[[#This Row],[Hasta]])</f>
        <v>0</v>
      </c>
      <c r="X285" s="12">
        <f ca="1">TableWeeklySummary[[#This Row],[Inversión google ads]]+TableWeeklySummary[[#This Row],[Inversión meta ads]]</f>
        <v>0</v>
      </c>
      <c r="Y285" s="12">
        <f ca="1">TableWeeklySummary[[#This Row],[Ventas google ads]]+TableWeeklySummary[[#This Row],[Ventas meta ads]]</f>
        <v>0</v>
      </c>
      <c r="Z285" s="14">
        <f ca="1">IFERROR(TableWeeklySummary[[#This Row],[Ventas publicidad]]/TableWeeklySummary[[#This Row],[Inversión publicidad]],0)</f>
        <v>0</v>
      </c>
      <c r="AA285" s="14">
        <f ca="1">IFERROR(TableWeeklySummary[[#This Row],[Ventas primer cliente]]/TableWeeklySummary[[#This Row],[Inversión publicidad]],0)</f>
        <v>0</v>
      </c>
      <c r="AB285" s="14"/>
      <c r="AC285" s="12"/>
      <c r="AI28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8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85" s="12">
        <f ca="1">SUMIFS(TableDailySummary[Utilidad bruta],TableDailySummary[Fecha],"&gt;="&amp;TableWeeklySummary[[#This Row],[Desde]],TableDailySummary[Fecha],"&lt;="&amp;TableWeeklySummary[[#This Row],[Hasta]])</f>
        <v>0</v>
      </c>
      <c r="AL285" s="18">
        <f ca="1">IFERROR(TableWeeklySummary[[#This Row],[Utilidad bruta]]/TableWeeklySummary[[#This Row],[Ventas netas con costo registrado]],0)</f>
        <v>0</v>
      </c>
    </row>
    <row r="286" spans="2:38" x14ac:dyDescent="0.2">
      <c r="B286" s="16">
        <f ca="1">_xlfn.ISOWEEKNUM(TableWeeklySummary[[#This Row],[Hasta]])</f>
        <v>11</v>
      </c>
      <c r="C286" s="6">
        <f t="shared" ca="1" si="6"/>
        <v>47914</v>
      </c>
      <c r="D286" s="6">
        <f ca="1">TableWeeklySummary[[#This Row],[Desde]]+7-1</f>
        <v>47920</v>
      </c>
      <c r="E286" s="12">
        <f ca="1">SUMIFS(TableDailySummary[Ventas netas totales],TableDailySummary[Fecha],"&gt;="&amp;TableWeeklySummary[[#This Row],[Desde]],TableDailySummary[Fecha],"&lt;="&amp;TableWeeklySummary[[#This Row],[Hasta]])</f>
        <v>0</v>
      </c>
      <c r="F286" s="12">
        <f ca="1">SUMIFS(TableDailySummary[Órdenes totales],TableDailySummary[Fecha],"&gt;="&amp;TableWeeklySummary[[#This Row],[Desde]],TableDailySummary[Fecha],"&lt;="&amp;TableWeeklySummary[[#This Row],[Hasta]])</f>
        <v>0</v>
      </c>
      <c r="G286" s="12">
        <f ca="1">IFERROR(TableWeeklySummary[[#This Row],[Ventas netas totales]]/TableWeeklySummary[[#This Row],[Órdenes totales]],0)</f>
        <v>0</v>
      </c>
      <c r="H28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86" s="12">
        <f ca="1">TableWeeklySummary[[#This Row],[Órden promedio totales]]*TableWeeklySummary[[#This Row],[CR totales]]</f>
        <v>0</v>
      </c>
      <c r="J286" s="12">
        <f ca="1">SUMIFS(TableDailySummary[Ventas primer cliente],TableDailySummary[Fecha],"&gt;="&amp;TableWeeklySummary[[#This Row],[Desde]],TableDailySummary[Fecha],"&lt;="&amp;TableWeeklySummary[[#This Row],[Hasta]])</f>
        <v>0</v>
      </c>
      <c r="K286" s="12">
        <f ca="1">SUMIFS(TableDailySummary[Órdenes primer cliente],TableDailySummary[Fecha],"&gt;="&amp;TableWeeklySummary[[#This Row],[Desde]],TableDailySummary[Fecha],"&lt;="&amp;TableWeeklySummary[[#This Row],[Hasta]])</f>
        <v>0</v>
      </c>
      <c r="L286" s="12">
        <f ca="1">SUMIFS(TableDailySummary[Online Store_net_sales],TableDailySummary[Fecha],"&gt;="&amp;TableWeeklySummary[[#This Row],[Desde]],TableDailySummary[Fecha],"&lt;="&amp;TableWeeklySummary[[#This Row],[Hasta]])</f>
        <v>0</v>
      </c>
      <c r="M286" s="12">
        <f ca="1">SUMIFS(TableDailySummary[Online Store_orders],TableDailySummary[Fecha],"&gt;="&amp;TableWeeklySummary[[#This Row],[Desde]],TableDailySummary[Fecha],"&lt;="&amp;TableWeeklySummary[[#This Row],[Hasta]])</f>
        <v>0</v>
      </c>
      <c r="N286" s="12">
        <f ca="1">SUMIFS(TableDailySummary[Tienda 81_net_sales],TableDailySummary[Fecha],"&gt;="&amp;TableWeeklySummary[[#This Row],[Desde]],TableDailySummary[Fecha],"&lt;="&amp;TableWeeklySummary[[#This Row],[Hasta]])</f>
        <v>0</v>
      </c>
      <c r="O286" s="12">
        <f ca="1">SUMIFS(TableDailySummary[Tienda 81_orders],TableDailySummary[Fecha],"&gt;="&amp;TableWeeklySummary[[#This Row],[Desde]],TableDailySummary[Fecha],"&lt;="&amp;TableWeeklySummary[[#This Row],[Hasta]])</f>
        <v>0</v>
      </c>
      <c r="P286" s="12">
        <f ca="1">SUMIFS(TableDailySummary[Rappi_net_sales],TableDailySummary[Fecha],"&gt;="&amp;TableWeeklySummary[[#This Row],[Desde]],TableDailySummary[Fecha],"&lt;="&amp;TableWeeklySummary[[#This Row],[Hasta]])</f>
        <v>0</v>
      </c>
      <c r="Q286" s="12">
        <f ca="1">SUMIFS(TableDailySummary[Rappi_orders],TableDailySummary[Fecha],"&gt;="&amp;TableWeeklySummary[[#This Row],[Desde]],TableDailySummary[Fecha],"&lt;="&amp;TableWeeklySummary[[#This Row],[Hasta]])</f>
        <v>0</v>
      </c>
      <c r="R28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8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86" s="12">
        <f ca="1">SUMIFS(TableDailySummary[Inversión google ads],TableDailySummary[Fecha],"&gt;="&amp;TableWeeklySummary[[#This Row],[Desde]],TableDailySummary[Fecha],"&lt;="&amp;TableWeeklySummary[[#This Row],[Hasta]])</f>
        <v>0</v>
      </c>
      <c r="U286" s="12">
        <f ca="1">SUMIFS(TableDailySummary[Ventas google ads],TableDailySummary[Fecha],"&gt;="&amp;TableWeeklySummary[[#This Row],[Desde]],TableDailySummary[Fecha],"&lt;="&amp;TableWeeklySummary[[#This Row],[Hasta]])</f>
        <v>0</v>
      </c>
      <c r="V286" s="12">
        <f ca="1">SUMIFS(TableDailySummary[Inversión meta ads],TableDailySummary[Fecha],"&gt;="&amp;TableWeeklySummary[[#This Row],[Desde]],TableDailySummary[Fecha],"&lt;="&amp;TableWeeklySummary[[#This Row],[Hasta]])</f>
        <v>0</v>
      </c>
      <c r="W286" s="12">
        <f ca="1">SUMIFS(TableDailySummary[Ventas meta ads],TableDailySummary[Fecha],"&gt;="&amp;TableWeeklySummary[[#This Row],[Desde]],TableDailySummary[Fecha],"&lt;="&amp;TableWeeklySummary[[#This Row],[Hasta]])</f>
        <v>0</v>
      </c>
      <c r="X286" s="12">
        <f ca="1">TableWeeklySummary[[#This Row],[Inversión google ads]]+TableWeeklySummary[[#This Row],[Inversión meta ads]]</f>
        <v>0</v>
      </c>
      <c r="Y286" s="12">
        <f ca="1">TableWeeklySummary[[#This Row],[Ventas google ads]]+TableWeeklySummary[[#This Row],[Ventas meta ads]]</f>
        <v>0</v>
      </c>
      <c r="Z286" s="14">
        <f ca="1">IFERROR(TableWeeklySummary[[#This Row],[Ventas publicidad]]/TableWeeklySummary[[#This Row],[Inversión publicidad]],0)</f>
        <v>0</v>
      </c>
      <c r="AA286" s="14">
        <f ca="1">IFERROR(TableWeeklySummary[[#This Row],[Ventas primer cliente]]/TableWeeklySummary[[#This Row],[Inversión publicidad]],0)</f>
        <v>0</v>
      </c>
      <c r="AB286" s="14"/>
      <c r="AC286" s="12"/>
      <c r="AI28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8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86" s="12">
        <f ca="1">SUMIFS(TableDailySummary[Utilidad bruta],TableDailySummary[Fecha],"&gt;="&amp;TableWeeklySummary[[#This Row],[Desde]],TableDailySummary[Fecha],"&lt;="&amp;TableWeeklySummary[[#This Row],[Hasta]])</f>
        <v>0</v>
      </c>
      <c r="AL286" s="18">
        <f ca="1">IFERROR(TableWeeklySummary[[#This Row],[Utilidad bruta]]/TableWeeklySummary[[#This Row],[Ventas netas con costo registrado]],0)</f>
        <v>0</v>
      </c>
    </row>
    <row r="287" spans="2:38" x14ac:dyDescent="0.2">
      <c r="B287" s="16">
        <f ca="1">_xlfn.ISOWEEKNUM(TableWeeklySummary[[#This Row],[Hasta]])</f>
        <v>12</v>
      </c>
      <c r="C287" s="6">
        <f t="shared" ca="1" si="6"/>
        <v>47921</v>
      </c>
      <c r="D287" s="6">
        <f ca="1">TableWeeklySummary[[#This Row],[Desde]]+7-1</f>
        <v>47927</v>
      </c>
      <c r="E287" s="12">
        <f ca="1">SUMIFS(TableDailySummary[Ventas netas totales],TableDailySummary[Fecha],"&gt;="&amp;TableWeeklySummary[[#This Row],[Desde]],TableDailySummary[Fecha],"&lt;="&amp;TableWeeklySummary[[#This Row],[Hasta]])</f>
        <v>0</v>
      </c>
      <c r="F287" s="12">
        <f ca="1">SUMIFS(TableDailySummary[Órdenes totales],TableDailySummary[Fecha],"&gt;="&amp;TableWeeklySummary[[#This Row],[Desde]],TableDailySummary[Fecha],"&lt;="&amp;TableWeeklySummary[[#This Row],[Hasta]])</f>
        <v>0</v>
      </c>
      <c r="G287" s="12">
        <f ca="1">IFERROR(TableWeeklySummary[[#This Row],[Ventas netas totales]]/TableWeeklySummary[[#This Row],[Órdenes totales]],0)</f>
        <v>0</v>
      </c>
      <c r="H28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87" s="12">
        <f ca="1">TableWeeklySummary[[#This Row],[Órden promedio totales]]*TableWeeklySummary[[#This Row],[CR totales]]</f>
        <v>0</v>
      </c>
      <c r="J287" s="12">
        <f ca="1">SUMIFS(TableDailySummary[Ventas primer cliente],TableDailySummary[Fecha],"&gt;="&amp;TableWeeklySummary[[#This Row],[Desde]],TableDailySummary[Fecha],"&lt;="&amp;TableWeeklySummary[[#This Row],[Hasta]])</f>
        <v>0</v>
      </c>
      <c r="K287" s="12">
        <f ca="1">SUMIFS(TableDailySummary[Órdenes primer cliente],TableDailySummary[Fecha],"&gt;="&amp;TableWeeklySummary[[#This Row],[Desde]],TableDailySummary[Fecha],"&lt;="&amp;TableWeeklySummary[[#This Row],[Hasta]])</f>
        <v>0</v>
      </c>
      <c r="L287" s="12">
        <f ca="1">SUMIFS(TableDailySummary[Online Store_net_sales],TableDailySummary[Fecha],"&gt;="&amp;TableWeeklySummary[[#This Row],[Desde]],TableDailySummary[Fecha],"&lt;="&amp;TableWeeklySummary[[#This Row],[Hasta]])</f>
        <v>0</v>
      </c>
      <c r="M287" s="12">
        <f ca="1">SUMIFS(TableDailySummary[Online Store_orders],TableDailySummary[Fecha],"&gt;="&amp;TableWeeklySummary[[#This Row],[Desde]],TableDailySummary[Fecha],"&lt;="&amp;TableWeeklySummary[[#This Row],[Hasta]])</f>
        <v>0</v>
      </c>
      <c r="N287" s="12">
        <f ca="1">SUMIFS(TableDailySummary[Tienda 81_net_sales],TableDailySummary[Fecha],"&gt;="&amp;TableWeeklySummary[[#This Row],[Desde]],TableDailySummary[Fecha],"&lt;="&amp;TableWeeklySummary[[#This Row],[Hasta]])</f>
        <v>0</v>
      </c>
      <c r="O287" s="12">
        <f ca="1">SUMIFS(TableDailySummary[Tienda 81_orders],TableDailySummary[Fecha],"&gt;="&amp;TableWeeklySummary[[#This Row],[Desde]],TableDailySummary[Fecha],"&lt;="&amp;TableWeeklySummary[[#This Row],[Hasta]])</f>
        <v>0</v>
      </c>
      <c r="P287" s="12">
        <f ca="1">SUMIFS(TableDailySummary[Rappi_net_sales],TableDailySummary[Fecha],"&gt;="&amp;TableWeeklySummary[[#This Row],[Desde]],TableDailySummary[Fecha],"&lt;="&amp;TableWeeklySummary[[#This Row],[Hasta]])</f>
        <v>0</v>
      </c>
      <c r="Q287" s="12">
        <f ca="1">SUMIFS(TableDailySummary[Rappi_orders],TableDailySummary[Fecha],"&gt;="&amp;TableWeeklySummary[[#This Row],[Desde]],TableDailySummary[Fecha],"&lt;="&amp;TableWeeklySummary[[#This Row],[Hasta]])</f>
        <v>0</v>
      </c>
      <c r="R28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8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87" s="12">
        <f ca="1">SUMIFS(TableDailySummary[Inversión google ads],TableDailySummary[Fecha],"&gt;="&amp;TableWeeklySummary[[#This Row],[Desde]],TableDailySummary[Fecha],"&lt;="&amp;TableWeeklySummary[[#This Row],[Hasta]])</f>
        <v>0</v>
      </c>
      <c r="U287" s="12">
        <f ca="1">SUMIFS(TableDailySummary[Ventas google ads],TableDailySummary[Fecha],"&gt;="&amp;TableWeeklySummary[[#This Row],[Desde]],TableDailySummary[Fecha],"&lt;="&amp;TableWeeklySummary[[#This Row],[Hasta]])</f>
        <v>0</v>
      </c>
      <c r="V287" s="12">
        <f ca="1">SUMIFS(TableDailySummary[Inversión meta ads],TableDailySummary[Fecha],"&gt;="&amp;TableWeeklySummary[[#This Row],[Desde]],TableDailySummary[Fecha],"&lt;="&amp;TableWeeklySummary[[#This Row],[Hasta]])</f>
        <v>0</v>
      </c>
      <c r="W287" s="12">
        <f ca="1">SUMIFS(TableDailySummary[Ventas meta ads],TableDailySummary[Fecha],"&gt;="&amp;TableWeeklySummary[[#This Row],[Desde]],TableDailySummary[Fecha],"&lt;="&amp;TableWeeklySummary[[#This Row],[Hasta]])</f>
        <v>0</v>
      </c>
      <c r="X287" s="12">
        <f ca="1">TableWeeklySummary[[#This Row],[Inversión google ads]]+TableWeeklySummary[[#This Row],[Inversión meta ads]]</f>
        <v>0</v>
      </c>
      <c r="Y287" s="12">
        <f ca="1">TableWeeklySummary[[#This Row],[Ventas google ads]]+TableWeeklySummary[[#This Row],[Ventas meta ads]]</f>
        <v>0</v>
      </c>
      <c r="Z287" s="14">
        <f ca="1">IFERROR(TableWeeklySummary[[#This Row],[Ventas publicidad]]/TableWeeklySummary[[#This Row],[Inversión publicidad]],0)</f>
        <v>0</v>
      </c>
      <c r="AA287" s="14">
        <f ca="1">IFERROR(TableWeeklySummary[[#This Row],[Ventas primer cliente]]/TableWeeklySummary[[#This Row],[Inversión publicidad]],0)</f>
        <v>0</v>
      </c>
      <c r="AB287" s="14"/>
      <c r="AC287" s="12"/>
      <c r="AI28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8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87" s="12">
        <f ca="1">SUMIFS(TableDailySummary[Utilidad bruta],TableDailySummary[Fecha],"&gt;="&amp;TableWeeklySummary[[#This Row],[Desde]],TableDailySummary[Fecha],"&lt;="&amp;TableWeeklySummary[[#This Row],[Hasta]])</f>
        <v>0</v>
      </c>
      <c r="AL287" s="18">
        <f ca="1">IFERROR(TableWeeklySummary[[#This Row],[Utilidad bruta]]/TableWeeklySummary[[#This Row],[Ventas netas con costo registrado]],0)</f>
        <v>0</v>
      </c>
    </row>
    <row r="288" spans="2:38" x14ac:dyDescent="0.2">
      <c r="B288" s="16">
        <f ca="1">_xlfn.ISOWEEKNUM(TableWeeklySummary[[#This Row],[Hasta]])</f>
        <v>13</v>
      </c>
      <c r="C288" s="6">
        <f t="shared" ca="1" si="6"/>
        <v>47928</v>
      </c>
      <c r="D288" s="6">
        <f ca="1">TableWeeklySummary[[#This Row],[Desde]]+7-1</f>
        <v>47934</v>
      </c>
      <c r="E288" s="12">
        <f ca="1">SUMIFS(TableDailySummary[Ventas netas totales],TableDailySummary[Fecha],"&gt;="&amp;TableWeeklySummary[[#This Row],[Desde]],TableDailySummary[Fecha],"&lt;="&amp;TableWeeklySummary[[#This Row],[Hasta]])</f>
        <v>0</v>
      </c>
      <c r="F288" s="12">
        <f ca="1">SUMIFS(TableDailySummary[Órdenes totales],TableDailySummary[Fecha],"&gt;="&amp;TableWeeklySummary[[#This Row],[Desde]],TableDailySummary[Fecha],"&lt;="&amp;TableWeeklySummary[[#This Row],[Hasta]])</f>
        <v>0</v>
      </c>
      <c r="G288" s="12">
        <f ca="1">IFERROR(TableWeeklySummary[[#This Row],[Ventas netas totales]]/TableWeeklySummary[[#This Row],[Órdenes totales]],0)</f>
        <v>0</v>
      </c>
      <c r="H28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88" s="12">
        <f ca="1">TableWeeklySummary[[#This Row],[Órden promedio totales]]*TableWeeklySummary[[#This Row],[CR totales]]</f>
        <v>0</v>
      </c>
      <c r="J288" s="12">
        <f ca="1">SUMIFS(TableDailySummary[Ventas primer cliente],TableDailySummary[Fecha],"&gt;="&amp;TableWeeklySummary[[#This Row],[Desde]],TableDailySummary[Fecha],"&lt;="&amp;TableWeeklySummary[[#This Row],[Hasta]])</f>
        <v>0</v>
      </c>
      <c r="K288" s="12">
        <f ca="1">SUMIFS(TableDailySummary[Órdenes primer cliente],TableDailySummary[Fecha],"&gt;="&amp;TableWeeklySummary[[#This Row],[Desde]],TableDailySummary[Fecha],"&lt;="&amp;TableWeeklySummary[[#This Row],[Hasta]])</f>
        <v>0</v>
      </c>
      <c r="L288" s="12">
        <f ca="1">SUMIFS(TableDailySummary[Online Store_net_sales],TableDailySummary[Fecha],"&gt;="&amp;TableWeeklySummary[[#This Row],[Desde]],TableDailySummary[Fecha],"&lt;="&amp;TableWeeklySummary[[#This Row],[Hasta]])</f>
        <v>0</v>
      </c>
      <c r="M288" s="12">
        <f ca="1">SUMIFS(TableDailySummary[Online Store_orders],TableDailySummary[Fecha],"&gt;="&amp;TableWeeklySummary[[#This Row],[Desde]],TableDailySummary[Fecha],"&lt;="&amp;TableWeeklySummary[[#This Row],[Hasta]])</f>
        <v>0</v>
      </c>
      <c r="N288" s="12">
        <f ca="1">SUMIFS(TableDailySummary[Tienda 81_net_sales],TableDailySummary[Fecha],"&gt;="&amp;TableWeeklySummary[[#This Row],[Desde]],TableDailySummary[Fecha],"&lt;="&amp;TableWeeklySummary[[#This Row],[Hasta]])</f>
        <v>0</v>
      </c>
      <c r="O288" s="12">
        <f ca="1">SUMIFS(TableDailySummary[Tienda 81_orders],TableDailySummary[Fecha],"&gt;="&amp;TableWeeklySummary[[#This Row],[Desde]],TableDailySummary[Fecha],"&lt;="&amp;TableWeeklySummary[[#This Row],[Hasta]])</f>
        <v>0</v>
      </c>
      <c r="P288" s="12">
        <f ca="1">SUMIFS(TableDailySummary[Rappi_net_sales],TableDailySummary[Fecha],"&gt;="&amp;TableWeeklySummary[[#This Row],[Desde]],TableDailySummary[Fecha],"&lt;="&amp;TableWeeklySummary[[#This Row],[Hasta]])</f>
        <v>0</v>
      </c>
      <c r="Q288" s="12">
        <f ca="1">SUMIFS(TableDailySummary[Rappi_orders],TableDailySummary[Fecha],"&gt;="&amp;TableWeeklySummary[[#This Row],[Desde]],TableDailySummary[Fecha],"&lt;="&amp;TableWeeklySummary[[#This Row],[Hasta]])</f>
        <v>0</v>
      </c>
      <c r="R28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8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88" s="12">
        <f ca="1">SUMIFS(TableDailySummary[Inversión google ads],TableDailySummary[Fecha],"&gt;="&amp;TableWeeklySummary[[#This Row],[Desde]],TableDailySummary[Fecha],"&lt;="&amp;TableWeeklySummary[[#This Row],[Hasta]])</f>
        <v>0</v>
      </c>
      <c r="U288" s="12">
        <f ca="1">SUMIFS(TableDailySummary[Ventas google ads],TableDailySummary[Fecha],"&gt;="&amp;TableWeeklySummary[[#This Row],[Desde]],TableDailySummary[Fecha],"&lt;="&amp;TableWeeklySummary[[#This Row],[Hasta]])</f>
        <v>0</v>
      </c>
      <c r="V288" s="12">
        <f ca="1">SUMIFS(TableDailySummary[Inversión meta ads],TableDailySummary[Fecha],"&gt;="&amp;TableWeeklySummary[[#This Row],[Desde]],TableDailySummary[Fecha],"&lt;="&amp;TableWeeklySummary[[#This Row],[Hasta]])</f>
        <v>0</v>
      </c>
      <c r="W288" s="12">
        <f ca="1">SUMIFS(TableDailySummary[Ventas meta ads],TableDailySummary[Fecha],"&gt;="&amp;TableWeeklySummary[[#This Row],[Desde]],TableDailySummary[Fecha],"&lt;="&amp;TableWeeklySummary[[#This Row],[Hasta]])</f>
        <v>0</v>
      </c>
      <c r="X288" s="12">
        <f ca="1">TableWeeklySummary[[#This Row],[Inversión google ads]]+TableWeeklySummary[[#This Row],[Inversión meta ads]]</f>
        <v>0</v>
      </c>
      <c r="Y288" s="12">
        <f ca="1">TableWeeklySummary[[#This Row],[Ventas google ads]]+TableWeeklySummary[[#This Row],[Ventas meta ads]]</f>
        <v>0</v>
      </c>
      <c r="Z288" s="14">
        <f ca="1">IFERROR(TableWeeklySummary[[#This Row],[Ventas publicidad]]/TableWeeklySummary[[#This Row],[Inversión publicidad]],0)</f>
        <v>0</v>
      </c>
      <c r="AA288" s="14">
        <f ca="1">IFERROR(TableWeeklySummary[[#This Row],[Ventas primer cliente]]/TableWeeklySummary[[#This Row],[Inversión publicidad]],0)</f>
        <v>0</v>
      </c>
      <c r="AB288" s="14"/>
      <c r="AC288" s="12"/>
      <c r="AI28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8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88" s="12">
        <f ca="1">SUMIFS(TableDailySummary[Utilidad bruta],TableDailySummary[Fecha],"&gt;="&amp;TableWeeklySummary[[#This Row],[Desde]],TableDailySummary[Fecha],"&lt;="&amp;TableWeeklySummary[[#This Row],[Hasta]])</f>
        <v>0</v>
      </c>
      <c r="AL288" s="18">
        <f ca="1">IFERROR(TableWeeklySummary[[#This Row],[Utilidad bruta]]/TableWeeklySummary[[#This Row],[Ventas netas con costo registrado]],0)</f>
        <v>0</v>
      </c>
    </row>
    <row r="289" spans="2:38" x14ac:dyDescent="0.2">
      <c r="B289" s="16">
        <f ca="1">_xlfn.ISOWEEKNUM(TableWeeklySummary[[#This Row],[Hasta]])</f>
        <v>14</v>
      </c>
      <c r="C289" s="6">
        <f t="shared" ca="1" si="6"/>
        <v>47935</v>
      </c>
      <c r="D289" s="6">
        <f ca="1">TableWeeklySummary[[#This Row],[Desde]]+7-1</f>
        <v>47941</v>
      </c>
      <c r="E289" s="12">
        <f ca="1">SUMIFS(TableDailySummary[Ventas netas totales],TableDailySummary[Fecha],"&gt;="&amp;TableWeeklySummary[[#This Row],[Desde]],TableDailySummary[Fecha],"&lt;="&amp;TableWeeklySummary[[#This Row],[Hasta]])</f>
        <v>0</v>
      </c>
      <c r="F289" s="12">
        <f ca="1">SUMIFS(TableDailySummary[Órdenes totales],TableDailySummary[Fecha],"&gt;="&amp;TableWeeklySummary[[#This Row],[Desde]],TableDailySummary[Fecha],"&lt;="&amp;TableWeeklySummary[[#This Row],[Hasta]])</f>
        <v>0</v>
      </c>
      <c r="G289" s="12">
        <f ca="1">IFERROR(TableWeeklySummary[[#This Row],[Ventas netas totales]]/TableWeeklySummary[[#This Row],[Órdenes totales]],0)</f>
        <v>0</v>
      </c>
      <c r="H28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89" s="12">
        <f ca="1">TableWeeklySummary[[#This Row],[Órden promedio totales]]*TableWeeklySummary[[#This Row],[CR totales]]</f>
        <v>0</v>
      </c>
      <c r="J289" s="12">
        <f ca="1">SUMIFS(TableDailySummary[Ventas primer cliente],TableDailySummary[Fecha],"&gt;="&amp;TableWeeklySummary[[#This Row],[Desde]],TableDailySummary[Fecha],"&lt;="&amp;TableWeeklySummary[[#This Row],[Hasta]])</f>
        <v>0</v>
      </c>
      <c r="K289" s="12">
        <f ca="1">SUMIFS(TableDailySummary[Órdenes primer cliente],TableDailySummary[Fecha],"&gt;="&amp;TableWeeklySummary[[#This Row],[Desde]],TableDailySummary[Fecha],"&lt;="&amp;TableWeeklySummary[[#This Row],[Hasta]])</f>
        <v>0</v>
      </c>
      <c r="L289" s="12">
        <f ca="1">SUMIFS(TableDailySummary[Online Store_net_sales],TableDailySummary[Fecha],"&gt;="&amp;TableWeeklySummary[[#This Row],[Desde]],TableDailySummary[Fecha],"&lt;="&amp;TableWeeklySummary[[#This Row],[Hasta]])</f>
        <v>0</v>
      </c>
      <c r="M289" s="12">
        <f ca="1">SUMIFS(TableDailySummary[Online Store_orders],TableDailySummary[Fecha],"&gt;="&amp;TableWeeklySummary[[#This Row],[Desde]],TableDailySummary[Fecha],"&lt;="&amp;TableWeeklySummary[[#This Row],[Hasta]])</f>
        <v>0</v>
      </c>
      <c r="N289" s="12">
        <f ca="1">SUMIFS(TableDailySummary[Tienda 81_net_sales],TableDailySummary[Fecha],"&gt;="&amp;TableWeeklySummary[[#This Row],[Desde]],TableDailySummary[Fecha],"&lt;="&amp;TableWeeklySummary[[#This Row],[Hasta]])</f>
        <v>0</v>
      </c>
      <c r="O289" s="12">
        <f ca="1">SUMIFS(TableDailySummary[Tienda 81_orders],TableDailySummary[Fecha],"&gt;="&amp;TableWeeklySummary[[#This Row],[Desde]],TableDailySummary[Fecha],"&lt;="&amp;TableWeeklySummary[[#This Row],[Hasta]])</f>
        <v>0</v>
      </c>
      <c r="P289" s="12">
        <f ca="1">SUMIFS(TableDailySummary[Rappi_net_sales],TableDailySummary[Fecha],"&gt;="&amp;TableWeeklySummary[[#This Row],[Desde]],TableDailySummary[Fecha],"&lt;="&amp;TableWeeklySummary[[#This Row],[Hasta]])</f>
        <v>0</v>
      </c>
      <c r="Q289" s="12">
        <f ca="1">SUMIFS(TableDailySummary[Rappi_orders],TableDailySummary[Fecha],"&gt;="&amp;TableWeeklySummary[[#This Row],[Desde]],TableDailySummary[Fecha],"&lt;="&amp;TableWeeklySummary[[#This Row],[Hasta]])</f>
        <v>0</v>
      </c>
      <c r="R28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8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89" s="12">
        <f ca="1">SUMIFS(TableDailySummary[Inversión google ads],TableDailySummary[Fecha],"&gt;="&amp;TableWeeklySummary[[#This Row],[Desde]],TableDailySummary[Fecha],"&lt;="&amp;TableWeeklySummary[[#This Row],[Hasta]])</f>
        <v>0</v>
      </c>
      <c r="U289" s="12">
        <f ca="1">SUMIFS(TableDailySummary[Ventas google ads],TableDailySummary[Fecha],"&gt;="&amp;TableWeeklySummary[[#This Row],[Desde]],TableDailySummary[Fecha],"&lt;="&amp;TableWeeklySummary[[#This Row],[Hasta]])</f>
        <v>0</v>
      </c>
      <c r="V289" s="12">
        <f ca="1">SUMIFS(TableDailySummary[Inversión meta ads],TableDailySummary[Fecha],"&gt;="&amp;TableWeeklySummary[[#This Row],[Desde]],TableDailySummary[Fecha],"&lt;="&amp;TableWeeklySummary[[#This Row],[Hasta]])</f>
        <v>0</v>
      </c>
      <c r="W289" s="12">
        <f ca="1">SUMIFS(TableDailySummary[Ventas meta ads],TableDailySummary[Fecha],"&gt;="&amp;TableWeeklySummary[[#This Row],[Desde]],TableDailySummary[Fecha],"&lt;="&amp;TableWeeklySummary[[#This Row],[Hasta]])</f>
        <v>0</v>
      </c>
      <c r="X289" s="12">
        <f ca="1">TableWeeklySummary[[#This Row],[Inversión google ads]]+TableWeeklySummary[[#This Row],[Inversión meta ads]]</f>
        <v>0</v>
      </c>
      <c r="Y289" s="12">
        <f ca="1">TableWeeklySummary[[#This Row],[Ventas google ads]]+TableWeeklySummary[[#This Row],[Ventas meta ads]]</f>
        <v>0</v>
      </c>
      <c r="Z289" s="14">
        <f ca="1">IFERROR(TableWeeklySummary[[#This Row],[Ventas publicidad]]/TableWeeklySummary[[#This Row],[Inversión publicidad]],0)</f>
        <v>0</v>
      </c>
      <c r="AA289" s="14">
        <f ca="1">IFERROR(TableWeeklySummary[[#This Row],[Ventas primer cliente]]/TableWeeklySummary[[#This Row],[Inversión publicidad]],0)</f>
        <v>0</v>
      </c>
      <c r="AB289" s="14"/>
      <c r="AC289" s="12"/>
      <c r="AI28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8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89" s="12">
        <f ca="1">SUMIFS(TableDailySummary[Utilidad bruta],TableDailySummary[Fecha],"&gt;="&amp;TableWeeklySummary[[#This Row],[Desde]],TableDailySummary[Fecha],"&lt;="&amp;TableWeeklySummary[[#This Row],[Hasta]])</f>
        <v>0</v>
      </c>
      <c r="AL289" s="18">
        <f ca="1">IFERROR(TableWeeklySummary[[#This Row],[Utilidad bruta]]/TableWeeklySummary[[#This Row],[Ventas netas con costo registrado]],0)</f>
        <v>0</v>
      </c>
    </row>
    <row r="290" spans="2:38" x14ac:dyDescent="0.2">
      <c r="B290" s="16">
        <f ca="1">_xlfn.ISOWEEKNUM(TableWeeklySummary[[#This Row],[Hasta]])</f>
        <v>15</v>
      </c>
      <c r="C290" s="6">
        <f t="shared" ca="1" si="6"/>
        <v>47942</v>
      </c>
      <c r="D290" s="6">
        <f ca="1">TableWeeklySummary[[#This Row],[Desde]]+7-1</f>
        <v>47948</v>
      </c>
      <c r="E290" s="12">
        <f ca="1">SUMIFS(TableDailySummary[Ventas netas totales],TableDailySummary[Fecha],"&gt;="&amp;TableWeeklySummary[[#This Row],[Desde]],TableDailySummary[Fecha],"&lt;="&amp;TableWeeklySummary[[#This Row],[Hasta]])</f>
        <v>0</v>
      </c>
      <c r="F290" s="12">
        <f ca="1">SUMIFS(TableDailySummary[Órdenes totales],TableDailySummary[Fecha],"&gt;="&amp;TableWeeklySummary[[#This Row],[Desde]],TableDailySummary[Fecha],"&lt;="&amp;TableWeeklySummary[[#This Row],[Hasta]])</f>
        <v>0</v>
      </c>
      <c r="G290" s="12">
        <f ca="1">IFERROR(TableWeeklySummary[[#This Row],[Ventas netas totales]]/TableWeeklySummary[[#This Row],[Órdenes totales]],0)</f>
        <v>0</v>
      </c>
      <c r="H29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90" s="12">
        <f ca="1">TableWeeklySummary[[#This Row],[Órden promedio totales]]*TableWeeklySummary[[#This Row],[CR totales]]</f>
        <v>0</v>
      </c>
      <c r="J290" s="12">
        <f ca="1">SUMIFS(TableDailySummary[Ventas primer cliente],TableDailySummary[Fecha],"&gt;="&amp;TableWeeklySummary[[#This Row],[Desde]],TableDailySummary[Fecha],"&lt;="&amp;TableWeeklySummary[[#This Row],[Hasta]])</f>
        <v>0</v>
      </c>
      <c r="K290" s="12">
        <f ca="1">SUMIFS(TableDailySummary[Órdenes primer cliente],TableDailySummary[Fecha],"&gt;="&amp;TableWeeklySummary[[#This Row],[Desde]],TableDailySummary[Fecha],"&lt;="&amp;TableWeeklySummary[[#This Row],[Hasta]])</f>
        <v>0</v>
      </c>
      <c r="L290" s="12">
        <f ca="1">SUMIFS(TableDailySummary[Online Store_net_sales],TableDailySummary[Fecha],"&gt;="&amp;TableWeeklySummary[[#This Row],[Desde]],TableDailySummary[Fecha],"&lt;="&amp;TableWeeklySummary[[#This Row],[Hasta]])</f>
        <v>0</v>
      </c>
      <c r="M290" s="12">
        <f ca="1">SUMIFS(TableDailySummary[Online Store_orders],TableDailySummary[Fecha],"&gt;="&amp;TableWeeklySummary[[#This Row],[Desde]],TableDailySummary[Fecha],"&lt;="&amp;TableWeeklySummary[[#This Row],[Hasta]])</f>
        <v>0</v>
      </c>
      <c r="N290" s="12">
        <f ca="1">SUMIFS(TableDailySummary[Tienda 81_net_sales],TableDailySummary[Fecha],"&gt;="&amp;TableWeeklySummary[[#This Row],[Desde]],TableDailySummary[Fecha],"&lt;="&amp;TableWeeklySummary[[#This Row],[Hasta]])</f>
        <v>0</v>
      </c>
      <c r="O290" s="12">
        <f ca="1">SUMIFS(TableDailySummary[Tienda 81_orders],TableDailySummary[Fecha],"&gt;="&amp;TableWeeklySummary[[#This Row],[Desde]],TableDailySummary[Fecha],"&lt;="&amp;TableWeeklySummary[[#This Row],[Hasta]])</f>
        <v>0</v>
      </c>
      <c r="P290" s="12">
        <f ca="1">SUMIFS(TableDailySummary[Rappi_net_sales],TableDailySummary[Fecha],"&gt;="&amp;TableWeeklySummary[[#This Row],[Desde]],TableDailySummary[Fecha],"&lt;="&amp;TableWeeklySummary[[#This Row],[Hasta]])</f>
        <v>0</v>
      </c>
      <c r="Q290" s="12">
        <f ca="1">SUMIFS(TableDailySummary[Rappi_orders],TableDailySummary[Fecha],"&gt;="&amp;TableWeeklySummary[[#This Row],[Desde]],TableDailySummary[Fecha],"&lt;="&amp;TableWeeklySummary[[#This Row],[Hasta]])</f>
        <v>0</v>
      </c>
      <c r="R29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9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90" s="12">
        <f ca="1">SUMIFS(TableDailySummary[Inversión google ads],TableDailySummary[Fecha],"&gt;="&amp;TableWeeklySummary[[#This Row],[Desde]],TableDailySummary[Fecha],"&lt;="&amp;TableWeeklySummary[[#This Row],[Hasta]])</f>
        <v>0</v>
      </c>
      <c r="U290" s="12">
        <f ca="1">SUMIFS(TableDailySummary[Ventas google ads],TableDailySummary[Fecha],"&gt;="&amp;TableWeeklySummary[[#This Row],[Desde]],TableDailySummary[Fecha],"&lt;="&amp;TableWeeklySummary[[#This Row],[Hasta]])</f>
        <v>0</v>
      </c>
      <c r="V290" s="12">
        <f ca="1">SUMIFS(TableDailySummary[Inversión meta ads],TableDailySummary[Fecha],"&gt;="&amp;TableWeeklySummary[[#This Row],[Desde]],TableDailySummary[Fecha],"&lt;="&amp;TableWeeklySummary[[#This Row],[Hasta]])</f>
        <v>0</v>
      </c>
      <c r="W290" s="12">
        <f ca="1">SUMIFS(TableDailySummary[Ventas meta ads],TableDailySummary[Fecha],"&gt;="&amp;TableWeeklySummary[[#This Row],[Desde]],TableDailySummary[Fecha],"&lt;="&amp;TableWeeklySummary[[#This Row],[Hasta]])</f>
        <v>0</v>
      </c>
      <c r="X290" s="12">
        <f ca="1">TableWeeklySummary[[#This Row],[Inversión google ads]]+TableWeeklySummary[[#This Row],[Inversión meta ads]]</f>
        <v>0</v>
      </c>
      <c r="Y290" s="12">
        <f ca="1">TableWeeklySummary[[#This Row],[Ventas google ads]]+TableWeeklySummary[[#This Row],[Ventas meta ads]]</f>
        <v>0</v>
      </c>
      <c r="Z290" s="14">
        <f ca="1">IFERROR(TableWeeklySummary[[#This Row],[Ventas publicidad]]/TableWeeklySummary[[#This Row],[Inversión publicidad]],0)</f>
        <v>0</v>
      </c>
      <c r="AA290" s="14">
        <f ca="1">IFERROR(TableWeeklySummary[[#This Row],[Ventas primer cliente]]/TableWeeklySummary[[#This Row],[Inversión publicidad]],0)</f>
        <v>0</v>
      </c>
      <c r="AB290" s="14"/>
      <c r="AC290" s="12"/>
      <c r="AI29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9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90" s="12">
        <f ca="1">SUMIFS(TableDailySummary[Utilidad bruta],TableDailySummary[Fecha],"&gt;="&amp;TableWeeklySummary[[#This Row],[Desde]],TableDailySummary[Fecha],"&lt;="&amp;TableWeeklySummary[[#This Row],[Hasta]])</f>
        <v>0</v>
      </c>
      <c r="AL290" s="18">
        <f ca="1">IFERROR(TableWeeklySummary[[#This Row],[Utilidad bruta]]/TableWeeklySummary[[#This Row],[Ventas netas con costo registrado]],0)</f>
        <v>0</v>
      </c>
    </row>
    <row r="291" spans="2:38" x14ac:dyDescent="0.2">
      <c r="B291" s="16">
        <f ca="1">_xlfn.ISOWEEKNUM(TableWeeklySummary[[#This Row],[Hasta]])</f>
        <v>16</v>
      </c>
      <c r="C291" s="6">
        <f t="shared" ca="1" si="6"/>
        <v>47949</v>
      </c>
      <c r="D291" s="6">
        <f ca="1">TableWeeklySummary[[#This Row],[Desde]]+7-1</f>
        <v>47955</v>
      </c>
      <c r="E291" s="12">
        <f ca="1">SUMIFS(TableDailySummary[Ventas netas totales],TableDailySummary[Fecha],"&gt;="&amp;TableWeeklySummary[[#This Row],[Desde]],TableDailySummary[Fecha],"&lt;="&amp;TableWeeklySummary[[#This Row],[Hasta]])</f>
        <v>0</v>
      </c>
      <c r="F291" s="12">
        <f ca="1">SUMIFS(TableDailySummary[Órdenes totales],TableDailySummary[Fecha],"&gt;="&amp;TableWeeklySummary[[#This Row],[Desde]],TableDailySummary[Fecha],"&lt;="&amp;TableWeeklySummary[[#This Row],[Hasta]])</f>
        <v>0</v>
      </c>
      <c r="G291" s="12">
        <f ca="1">IFERROR(TableWeeklySummary[[#This Row],[Ventas netas totales]]/TableWeeklySummary[[#This Row],[Órdenes totales]],0)</f>
        <v>0</v>
      </c>
      <c r="H29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91" s="12">
        <f ca="1">TableWeeklySummary[[#This Row],[Órden promedio totales]]*TableWeeklySummary[[#This Row],[CR totales]]</f>
        <v>0</v>
      </c>
      <c r="J291" s="12">
        <f ca="1">SUMIFS(TableDailySummary[Ventas primer cliente],TableDailySummary[Fecha],"&gt;="&amp;TableWeeklySummary[[#This Row],[Desde]],TableDailySummary[Fecha],"&lt;="&amp;TableWeeklySummary[[#This Row],[Hasta]])</f>
        <v>0</v>
      </c>
      <c r="K291" s="12">
        <f ca="1">SUMIFS(TableDailySummary[Órdenes primer cliente],TableDailySummary[Fecha],"&gt;="&amp;TableWeeklySummary[[#This Row],[Desde]],TableDailySummary[Fecha],"&lt;="&amp;TableWeeklySummary[[#This Row],[Hasta]])</f>
        <v>0</v>
      </c>
      <c r="L291" s="12">
        <f ca="1">SUMIFS(TableDailySummary[Online Store_net_sales],TableDailySummary[Fecha],"&gt;="&amp;TableWeeklySummary[[#This Row],[Desde]],TableDailySummary[Fecha],"&lt;="&amp;TableWeeklySummary[[#This Row],[Hasta]])</f>
        <v>0</v>
      </c>
      <c r="M291" s="12">
        <f ca="1">SUMIFS(TableDailySummary[Online Store_orders],TableDailySummary[Fecha],"&gt;="&amp;TableWeeklySummary[[#This Row],[Desde]],TableDailySummary[Fecha],"&lt;="&amp;TableWeeklySummary[[#This Row],[Hasta]])</f>
        <v>0</v>
      </c>
      <c r="N291" s="12">
        <f ca="1">SUMIFS(TableDailySummary[Tienda 81_net_sales],TableDailySummary[Fecha],"&gt;="&amp;TableWeeklySummary[[#This Row],[Desde]],TableDailySummary[Fecha],"&lt;="&amp;TableWeeklySummary[[#This Row],[Hasta]])</f>
        <v>0</v>
      </c>
      <c r="O291" s="12">
        <f ca="1">SUMIFS(TableDailySummary[Tienda 81_orders],TableDailySummary[Fecha],"&gt;="&amp;TableWeeklySummary[[#This Row],[Desde]],TableDailySummary[Fecha],"&lt;="&amp;TableWeeklySummary[[#This Row],[Hasta]])</f>
        <v>0</v>
      </c>
      <c r="P291" s="12">
        <f ca="1">SUMIFS(TableDailySummary[Rappi_net_sales],TableDailySummary[Fecha],"&gt;="&amp;TableWeeklySummary[[#This Row],[Desde]],TableDailySummary[Fecha],"&lt;="&amp;TableWeeklySummary[[#This Row],[Hasta]])</f>
        <v>0</v>
      </c>
      <c r="Q291" s="12">
        <f ca="1">SUMIFS(TableDailySummary[Rappi_orders],TableDailySummary[Fecha],"&gt;="&amp;TableWeeklySummary[[#This Row],[Desde]],TableDailySummary[Fecha],"&lt;="&amp;TableWeeklySummary[[#This Row],[Hasta]])</f>
        <v>0</v>
      </c>
      <c r="R29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9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91" s="12">
        <f ca="1">SUMIFS(TableDailySummary[Inversión google ads],TableDailySummary[Fecha],"&gt;="&amp;TableWeeklySummary[[#This Row],[Desde]],TableDailySummary[Fecha],"&lt;="&amp;TableWeeklySummary[[#This Row],[Hasta]])</f>
        <v>0</v>
      </c>
      <c r="U291" s="12">
        <f ca="1">SUMIFS(TableDailySummary[Ventas google ads],TableDailySummary[Fecha],"&gt;="&amp;TableWeeklySummary[[#This Row],[Desde]],TableDailySummary[Fecha],"&lt;="&amp;TableWeeklySummary[[#This Row],[Hasta]])</f>
        <v>0</v>
      </c>
      <c r="V291" s="12">
        <f ca="1">SUMIFS(TableDailySummary[Inversión meta ads],TableDailySummary[Fecha],"&gt;="&amp;TableWeeklySummary[[#This Row],[Desde]],TableDailySummary[Fecha],"&lt;="&amp;TableWeeklySummary[[#This Row],[Hasta]])</f>
        <v>0</v>
      </c>
      <c r="W291" s="12">
        <f ca="1">SUMIFS(TableDailySummary[Ventas meta ads],TableDailySummary[Fecha],"&gt;="&amp;TableWeeklySummary[[#This Row],[Desde]],TableDailySummary[Fecha],"&lt;="&amp;TableWeeklySummary[[#This Row],[Hasta]])</f>
        <v>0</v>
      </c>
      <c r="X291" s="12">
        <f ca="1">TableWeeklySummary[[#This Row],[Inversión google ads]]+TableWeeklySummary[[#This Row],[Inversión meta ads]]</f>
        <v>0</v>
      </c>
      <c r="Y291" s="12">
        <f ca="1">TableWeeklySummary[[#This Row],[Ventas google ads]]+TableWeeklySummary[[#This Row],[Ventas meta ads]]</f>
        <v>0</v>
      </c>
      <c r="Z291" s="14">
        <f ca="1">IFERROR(TableWeeklySummary[[#This Row],[Ventas publicidad]]/TableWeeklySummary[[#This Row],[Inversión publicidad]],0)</f>
        <v>0</v>
      </c>
      <c r="AA291" s="14">
        <f ca="1">IFERROR(TableWeeklySummary[[#This Row],[Ventas primer cliente]]/TableWeeklySummary[[#This Row],[Inversión publicidad]],0)</f>
        <v>0</v>
      </c>
      <c r="AB291" s="14"/>
      <c r="AC291" s="12"/>
      <c r="AI29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9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91" s="12">
        <f ca="1">SUMIFS(TableDailySummary[Utilidad bruta],TableDailySummary[Fecha],"&gt;="&amp;TableWeeklySummary[[#This Row],[Desde]],TableDailySummary[Fecha],"&lt;="&amp;TableWeeklySummary[[#This Row],[Hasta]])</f>
        <v>0</v>
      </c>
      <c r="AL291" s="18">
        <f ca="1">IFERROR(TableWeeklySummary[[#This Row],[Utilidad bruta]]/TableWeeklySummary[[#This Row],[Ventas netas con costo registrado]],0)</f>
        <v>0</v>
      </c>
    </row>
    <row r="292" spans="2:38" x14ac:dyDescent="0.2">
      <c r="B292" s="16">
        <f ca="1">_xlfn.ISOWEEKNUM(TableWeeklySummary[[#This Row],[Hasta]])</f>
        <v>17</v>
      </c>
      <c r="C292" s="6">
        <f t="shared" ca="1" si="6"/>
        <v>47956</v>
      </c>
      <c r="D292" s="6">
        <f ca="1">TableWeeklySummary[[#This Row],[Desde]]+7-1</f>
        <v>47962</v>
      </c>
      <c r="E292" s="12">
        <f ca="1">SUMIFS(TableDailySummary[Ventas netas totales],TableDailySummary[Fecha],"&gt;="&amp;TableWeeklySummary[[#This Row],[Desde]],TableDailySummary[Fecha],"&lt;="&amp;TableWeeklySummary[[#This Row],[Hasta]])</f>
        <v>0</v>
      </c>
      <c r="F292" s="12">
        <f ca="1">SUMIFS(TableDailySummary[Órdenes totales],TableDailySummary[Fecha],"&gt;="&amp;TableWeeklySummary[[#This Row],[Desde]],TableDailySummary[Fecha],"&lt;="&amp;TableWeeklySummary[[#This Row],[Hasta]])</f>
        <v>0</v>
      </c>
      <c r="G292" s="12">
        <f ca="1">IFERROR(TableWeeklySummary[[#This Row],[Ventas netas totales]]/TableWeeklySummary[[#This Row],[Órdenes totales]],0)</f>
        <v>0</v>
      </c>
      <c r="H29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92" s="12">
        <f ca="1">TableWeeklySummary[[#This Row],[Órden promedio totales]]*TableWeeklySummary[[#This Row],[CR totales]]</f>
        <v>0</v>
      </c>
      <c r="J292" s="12">
        <f ca="1">SUMIFS(TableDailySummary[Ventas primer cliente],TableDailySummary[Fecha],"&gt;="&amp;TableWeeklySummary[[#This Row],[Desde]],TableDailySummary[Fecha],"&lt;="&amp;TableWeeklySummary[[#This Row],[Hasta]])</f>
        <v>0</v>
      </c>
      <c r="K292" s="12">
        <f ca="1">SUMIFS(TableDailySummary[Órdenes primer cliente],TableDailySummary[Fecha],"&gt;="&amp;TableWeeklySummary[[#This Row],[Desde]],TableDailySummary[Fecha],"&lt;="&amp;TableWeeklySummary[[#This Row],[Hasta]])</f>
        <v>0</v>
      </c>
      <c r="L292" s="12">
        <f ca="1">SUMIFS(TableDailySummary[Online Store_net_sales],TableDailySummary[Fecha],"&gt;="&amp;TableWeeklySummary[[#This Row],[Desde]],TableDailySummary[Fecha],"&lt;="&amp;TableWeeklySummary[[#This Row],[Hasta]])</f>
        <v>0</v>
      </c>
      <c r="M292" s="12">
        <f ca="1">SUMIFS(TableDailySummary[Online Store_orders],TableDailySummary[Fecha],"&gt;="&amp;TableWeeklySummary[[#This Row],[Desde]],TableDailySummary[Fecha],"&lt;="&amp;TableWeeklySummary[[#This Row],[Hasta]])</f>
        <v>0</v>
      </c>
      <c r="N292" s="12">
        <f ca="1">SUMIFS(TableDailySummary[Tienda 81_net_sales],TableDailySummary[Fecha],"&gt;="&amp;TableWeeklySummary[[#This Row],[Desde]],TableDailySummary[Fecha],"&lt;="&amp;TableWeeklySummary[[#This Row],[Hasta]])</f>
        <v>0</v>
      </c>
      <c r="O292" s="12">
        <f ca="1">SUMIFS(TableDailySummary[Tienda 81_orders],TableDailySummary[Fecha],"&gt;="&amp;TableWeeklySummary[[#This Row],[Desde]],TableDailySummary[Fecha],"&lt;="&amp;TableWeeklySummary[[#This Row],[Hasta]])</f>
        <v>0</v>
      </c>
      <c r="P292" s="12">
        <f ca="1">SUMIFS(TableDailySummary[Rappi_net_sales],TableDailySummary[Fecha],"&gt;="&amp;TableWeeklySummary[[#This Row],[Desde]],TableDailySummary[Fecha],"&lt;="&amp;TableWeeklySummary[[#This Row],[Hasta]])</f>
        <v>0</v>
      </c>
      <c r="Q292" s="12">
        <f ca="1">SUMIFS(TableDailySummary[Rappi_orders],TableDailySummary[Fecha],"&gt;="&amp;TableWeeklySummary[[#This Row],[Desde]],TableDailySummary[Fecha],"&lt;="&amp;TableWeeklySummary[[#This Row],[Hasta]])</f>
        <v>0</v>
      </c>
      <c r="R29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9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92" s="12">
        <f ca="1">SUMIFS(TableDailySummary[Inversión google ads],TableDailySummary[Fecha],"&gt;="&amp;TableWeeklySummary[[#This Row],[Desde]],TableDailySummary[Fecha],"&lt;="&amp;TableWeeklySummary[[#This Row],[Hasta]])</f>
        <v>0</v>
      </c>
      <c r="U292" s="12">
        <f ca="1">SUMIFS(TableDailySummary[Ventas google ads],TableDailySummary[Fecha],"&gt;="&amp;TableWeeklySummary[[#This Row],[Desde]],TableDailySummary[Fecha],"&lt;="&amp;TableWeeklySummary[[#This Row],[Hasta]])</f>
        <v>0</v>
      </c>
      <c r="V292" s="12">
        <f ca="1">SUMIFS(TableDailySummary[Inversión meta ads],TableDailySummary[Fecha],"&gt;="&amp;TableWeeklySummary[[#This Row],[Desde]],TableDailySummary[Fecha],"&lt;="&amp;TableWeeklySummary[[#This Row],[Hasta]])</f>
        <v>0</v>
      </c>
      <c r="W292" s="12">
        <f ca="1">SUMIFS(TableDailySummary[Ventas meta ads],TableDailySummary[Fecha],"&gt;="&amp;TableWeeklySummary[[#This Row],[Desde]],TableDailySummary[Fecha],"&lt;="&amp;TableWeeklySummary[[#This Row],[Hasta]])</f>
        <v>0</v>
      </c>
      <c r="X292" s="12">
        <f ca="1">TableWeeklySummary[[#This Row],[Inversión google ads]]+TableWeeklySummary[[#This Row],[Inversión meta ads]]</f>
        <v>0</v>
      </c>
      <c r="Y292" s="12">
        <f ca="1">TableWeeklySummary[[#This Row],[Ventas google ads]]+TableWeeklySummary[[#This Row],[Ventas meta ads]]</f>
        <v>0</v>
      </c>
      <c r="Z292" s="14">
        <f ca="1">IFERROR(TableWeeklySummary[[#This Row],[Ventas publicidad]]/TableWeeklySummary[[#This Row],[Inversión publicidad]],0)</f>
        <v>0</v>
      </c>
      <c r="AA292" s="14">
        <f ca="1">IFERROR(TableWeeklySummary[[#This Row],[Ventas primer cliente]]/TableWeeklySummary[[#This Row],[Inversión publicidad]],0)</f>
        <v>0</v>
      </c>
      <c r="AB292" s="14"/>
      <c r="AC292" s="12"/>
      <c r="AI29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9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92" s="12">
        <f ca="1">SUMIFS(TableDailySummary[Utilidad bruta],TableDailySummary[Fecha],"&gt;="&amp;TableWeeklySummary[[#This Row],[Desde]],TableDailySummary[Fecha],"&lt;="&amp;TableWeeklySummary[[#This Row],[Hasta]])</f>
        <v>0</v>
      </c>
      <c r="AL292" s="18">
        <f ca="1">IFERROR(TableWeeklySummary[[#This Row],[Utilidad bruta]]/TableWeeklySummary[[#This Row],[Ventas netas con costo registrado]],0)</f>
        <v>0</v>
      </c>
    </row>
    <row r="293" spans="2:38" x14ac:dyDescent="0.2">
      <c r="B293" s="16">
        <f ca="1">_xlfn.ISOWEEKNUM(TableWeeklySummary[[#This Row],[Hasta]])</f>
        <v>18</v>
      </c>
      <c r="C293" s="6">
        <f t="shared" ca="1" si="6"/>
        <v>47963</v>
      </c>
      <c r="D293" s="6">
        <f ca="1">TableWeeklySummary[[#This Row],[Desde]]+7-1</f>
        <v>47969</v>
      </c>
      <c r="E293" s="12">
        <f ca="1">SUMIFS(TableDailySummary[Ventas netas totales],TableDailySummary[Fecha],"&gt;="&amp;TableWeeklySummary[[#This Row],[Desde]],TableDailySummary[Fecha],"&lt;="&amp;TableWeeklySummary[[#This Row],[Hasta]])</f>
        <v>0</v>
      </c>
      <c r="F293" s="12">
        <f ca="1">SUMIFS(TableDailySummary[Órdenes totales],TableDailySummary[Fecha],"&gt;="&amp;TableWeeklySummary[[#This Row],[Desde]],TableDailySummary[Fecha],"&lt;="&amp;TableWeeklySummary[[#This Row],[Hasta]])</f>
        <v>0</v>
      </c>
      <c r="G293" s="12">
        <f ca="1">IFERROR(TableWeeklySummary[[#This Row],[Ventas netas totales]]/TableWeeklySummary[[#This Row],[Órdenes totales]],0)</f>
        <v>0</v>
      </c>
      <c r="H29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93" s="12">
        <f ca="1">TableWeeklySummary[[#This Row],[Órden promedio totales]]*TableWeeklySummary[[#This Row],[CR totales]]</f>
        <v>0</v>
      </c>
      <c r="J293" s="12">
        <f ca="1">SUMIFS(TableDailySummary[Ventas primer cliente],TableDailySummary[Fecha],"&gt;="&amp;TableWeeklySummary[[#This Row],[Desde]],TableDailySummary[Fecha],"&lt;="&amp;TableWeeklySummary[[#This Row],[Hasta]])</f>
        <v>0</v>
      </c>
      <c r="K293" s="12">
        <f ca="1">SUMIFS(TableDailySummary[Órdenes primer cliente],TableDailySummary[Fecha],"&gt;="&amp;TableWeeklySummary[[#This Row],[Desde]],TableDailySummary[Fecha],"&lt;="&amp;TableWeeklySummary[[#This Row],[Hasta]])</f>
        <v>0</v>
      </c>
      <c r="L293" s="12">
        <f ca="1">SUMIFS(TableDailySummary[Online Store_net_sales],TableDailySummary[Fecha],"&gt;="&amp;TableWeeklySummary[[#This Row],[Desde]],TableDailySummary[Fecha],"&lt;="&amp;TableWeeklySummary[[#This Row],[Hasta]])</f>
        <v>0</v>
      </c>
      <c r="M293" s="12">
        <f ca="1">SUMIFS(TableDailySummary[Online Store_orders],TableDailySummary[Fecha],"&gt;="&amp;TableWeeklySummary[[#This Row],[Desde]],TableDailySummary[Fecha],"&lt;="&amp;TableWeeklySummary[[#This Row],[Hasta]])</f>
        <v>0</v>
      </c>
      <c r="N293" s="12">
        <f ca="1">SUMIFS(TableDailySummary[Tienda 81_net_sales],TableDailySummary[Fecha],"&gt;="&amp;TableWeeklySummary[[#This Row],[Desde]],TableDailySummary[Fecha],"&lt;="&amp;TableWeeklySummary[[#This Row],[Hasta]])</f>
        <v>0</v>
      </c>
      <c r="O293" s="12">
        <f ca="1">SUMIFS(TableDailySummary[Tienda 81_orders],TableDailySummary[Fecha],"&gt;="&amp;TableWeeklySummary[[#This Row],[Desde]],TableDailySummary[Fecha],"&lt;="&amp;TableWeeklySummary[[#This Row],[Hasta]])</f>
        <v>0</v>
      </c>
      <c r="P293" s="12">
        <f ca="1">SUMIFS(TableDailySummary[Rappi_net_sales],TableDailySummary[Fecha],"&gt;="&amp;TableWeeklySummary[[#This Row],[Desde]],TableDailySummary[Fecha],"&lt;="&amp;TableWeeklySummary[[#This Row],[Hasta]])</f>
        <v>0</v>
      </c>
      <c r="Q293" s="12">
        <f ca="1">SUMIFS(TableDailySummary[Rappi_orders],TableDailySummary[Fecha],"&gt;="&amp;TableWeeklySummary[[#This Row],[Desde]],TableDailySummary[Fecha],"&lt;="&amp;TableWeeklySummary[[#This Row],[Hasta]])</f>
        <v>0</v>
      </c>
      <c r="R29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9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93" s="12">
        <f ca="1">SUMIFS(TableDailySummary[Inversión google ads],TableDailySummary[Fecha],"&gt;="&amp;TableWeeklySummary[[#This Row],[Desde]],TableDailySummary[Fecha],"&lt;="&amp;TableWeeklySummary[[#This Row],[Hasta]])</f>
        <v>0</v>
      </c>
      <c r="U293" s="12">
        <f ca="1">SUMIFS(TableDailySummary[Ventas google ads],TableDailySummary[Fecha],"&gt;="&amp;TableWeeklySummary[[#This Row],[Desde]],TableDailySummary[Fecha],"&lt;="&amp;TableWeeklySummary[[#This Row],[Hasta]])</f>
        <v>0</v>
      </c>
      <c r="V293" s="12">
        <f ca="1">SUMIFS(TableDailySummary[Inversión meta ads],TableDailySummary[Fecha],"&gt;="&amp;TableWeeklySummary[[#This Row],[Desde]],TableDailySummary[Fecha],"&lt;="&amp;TableWeeklySummary[[#This Row],[Hasta]])</f>
        <v>0</v>
      </c>
      <c r="W293" s="12">
        <f ca="1">SUMIFS(TableDailySummary[Ventas meta ads],TableDailySummary[Fecha],"&gt;="&amp;TableWeeklySummary[[#This Row],[Desde]],TableDailySummary[Fecha],"&lt;="&amp;TableWeeklySummary[[#This Row],[Hasta]])</f>
        <v>0</v>
      </c>
      <c r="X293" s="12">
        <f ca="1">TableWeeklySummary[[#This Row],[Inversión google ads]]+TableWeeklySummary[[#This Row],[Inversión meta ads]]</f>
        <v>0</v>
      </c>
      <c r="Y293" s="12">
        <f ca="1">TableWeeklySummary[[#This Row],[Ventas google ads]]+TableWeeklySummary[[#This Row],[Ventas meta ads]]</f>
        <v>0</v>
      </c>
      <c r="Z293" s="14">
        <f ca="1">IFERROR(TableWeeklySummary[[#This Row],[Ventas publicidad]]/TableWeeklySummary[[#This Row],[Inversión publicidad]],0)</f>
        <v>0</v>
      </c>
      <c r="AA293" s="14">
        <f ca="1">IFERROR(TableWeeklySummary[[#This Row],[Ventas primer cliente]]/TableWeeklySummary[[#This Row],[Inversión publicidad]],0)</f>
        <v>0</v>
      </c>
      <c r="AB293" s="14"/>
      <c r="AC293" s="12"/>
      <c r="AI29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9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93" s="12">
        <f ca="1">SUMIFS(TableDailySummary[Utilidad bruta],TableDailySummary[Fecha],"&gt;="&amp;TableWeeklySummary[[#This Row],[Desde]],TableDailySummary[Fecha],"&lt;="&amp;TableWeeklySummary[[#This Row],[Hasta]])</f>
        <v>0</v>
      </c>
      <c r="AL293" s="18">
        <f ca="1">IFERROR(TableWeeklySummary[[#This Row],[Utilidad bruta]]/TableWeeklySummary[[#This Row],[Ventas netas con costo registrado]],0)</f>
        <v>0</v>
      </c>
    </row>
    <row r="294" spans="2:38" x14ac:dyDescent="0.2">
      <c r="B294" s="16">
        <f ca="1">_xlfn.ISOWEEKNUM(TableWeeklySummary[[#This Row],[Hasta]])</f>
        <v>19</v>
      </c>
      <c r="C294" s="6">
        <f t="shared" ca="1" si="6"/>
        <v>47970</v>
      </c>
      <c r="D294" s="6">
        <f ca="1">TableWeeklySummary[[#This Row],[Desde]]+7-1</f>
        <v>47976</v>
      </c>
      <c r="E294" s="12">
        <f ca="1">SUMIFS(TableDailySummary[Ventas netas totales],TableDailySummary[Fecha],"&gt;="&amp;TableWeeklySummary[[#This Row],[Desde]],TableDailySummary[Fecha],"&lt;="&amp;TableWeeklySummary[[#This Row],[Hasta]])</f>
        <v>0</v>
      </c>
      <c r="F294" s="12">
        <f ca="1">SUMIFS(TableDailySummary[Órdenes totales],TableDailySummary[Fecha],"&gt;="&amp;TableWeeklySummary[[#This Row],[Desde]],TableDailySummary[Fecha],"&lt;="&amp;TableWeeklySummary[[#This Row],[Hasta]])</f>
        <v>0</v>
      </c>
      <c r="G294" s="12">
        <f ca="1">IFERROR(TableWeeklySummary[[#This Row],[Ventas netas totales]]/TableWeeklySummary[[#This Row],[Órdenes totales]],0)</f>
        <v>0</v>
      </c>
      <c r="H29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94" s="12">
        <f ca="1">TableWeeklySummary[[#This Row],[Órden promedio totales]]*TableWeeklySummary[[#This Row],[CR totales]]</f>
        <v>0</v>
      </c>
      <c r="J294" s="12">
        <f ca="1">SUMIFS(TableDailySummary[Ventas primer cliente],TableDailySummary[Fecha],"&gt;="&amp;TableWeeklySummary[[#This Row],[Desde]],TableDailySummary[Fecha],"&lt;="&amp;TableWeeklySummary[[#This Row],[Hasta]])</f>
        <v>0</v>
      </c>
      <c r="K294" s="12">
        <f ca="1">SUMIFS(TableDailySummary[Órdenes primer cliente],TableDailySummary[Fecha],"&gt;="&amp;TableWeeklySummary[[#This Row],[Desde]],TableDailySummary[Fecha],"&lt;="&amp;TableWeeklySummary[[#This Row],[Hasta]])</f>
        <v>0</v>
      </c>
      <c r="L294" s="12">
        <f ca="1">SUMIFS(TableDailySummary[Online Store_net_sales],TableDailySummary[Fecha],"&gt;="&amp;TableWeeklySummary[[#This Row],[Desde]],TableDailySummary[Fecha],"&lt;="&amp;TableWeeklySummary[[#This Row],[Hasta]])</f>
        <v>0</v>
      </c>
      <c r="M294" s="12">
        <f ca="1">SUMIFS(TableDailySummary[Online Store_orders],TableDailySummary[Fecha],"&gt;="&amp;TableWeeklySummary[[#This Row],[Desde]],TableDailySummary[Fecha],"&lt;="&amp;TableWeeklySummary[[#This Row],[Hasta]])</f>
        <v>0</v>
      </c>
      <c r="N294" s="12">
        <f ca="1">SUMIFS(TableDailySummary[Tienda 81_net_sales],TableDailySummary[Fecha],"&gt;="&amp;TableWeeklySummary[[#This Row],[Desde]],TableDailySummary[Fecha],"&lt;="&amp;TableWeeklySummary[[#This Row],[Hasta]])</f>
        <v>0</v>
      </c>
      <c r="O294" s="12">
        <f ca="1">SUMIFS(TableDailySummary[Tienda 81_orders],TableDailySummary[Fecha],"&gt;="&amp;TableWeeklySummary[[#This Row],[Desde]],TableDailySummary[Fecha],"&lt;="&amp;TableWeeklySummary[[#This Row],[Hasta]])</f>
        <v>0</v>
      </c>
      <c r="P294" s="12">
        <f ca="1">SUMIFS(TableDailySummary[Rappi_net_sales],TableDailySummary[Fecha],"&gt;="&amp;TableWeeklySummary[[#This Row],[Desde]],TableDailySummary[Fecha],"&lt;="&amp;TableWeeklySummary[[#This Row],[Hasta]])</f>
        <v>0</v>
      </c>
      <c r="Q294" s="12">
        <f ca="1">SUMIFS(TableDailySummary[Rappi_orders],TableDailySummary[Fecha],"&gt;="&amp;TableWeeklySummary[[#This Row],[Desde]],TableDailySummary[Fecha],"&lt;="&amp;TableWeeklySummary[[#This Row],[Hasta]])</f>
        <v>0</v>
      </c>
      <c r="R29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9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94" s="12">
        <f ca="1">SUMIFS(TableDailySummary[Inversión google ads],TableDailySummary[Fecha],"&gt;="&amp;TableWeeklySummary[[#This Row],[Desde]],TableDailySummary[Fecha],"&lt;="&amp;TableWeeklySummary[[#This Row],[Hasta]])</f>
        <v>0</v>
      </c>
      <c r="U294" s="12">
        <f ca="1">SUMIFS(TableDailySummary[Ventas google ads],TableDailySummary[Fecha],"&gt;="&amp;TableWeeklySummary[[#This Row],[Desde]],TableDailySummary[Fecha],"&lt;="&amp;TableWeeklySummary[[#This Row],[Hasta]])</f>
        <v>0</v>
      </c>
      <c r="V294" s="12">
        <f ca="1">SUMIFS(TableDailySummary[Inversión meta ads],TableDailySummary[Fecha],"&gt;="&amp;TableWeeklySummary[[#This Row],[Desde]],TableDailySummary[Fecha],"&lt;="&amp;TableWeeklySummary[[#This Row],[Hasta]])</f>
        <v>0</v>
      </c>
      <c r="W294" s="12">
        <f ca="1">SUMIFS(TableDailySummary[Ventas meta ads],TableDailySummary[Fecha],"&gt;="&amp;TableWeeklySummary[[#This Row],[Desde]],TableDailySummary[Fecha],"&lt;="&amp;TableWeeklySummary[[#This Row],[Hasta]])</f>
        <v>0</v>
      </c>
      <c r="X294" s="12">
        <f ca="1">TableWeeklySummary[[#This Row],[Inversión google ads]]+TableWeeklySummary[[#This Row],[Inversión meta ads]]</f>
        <v>0</v>
      </c>
      <c r="Y294" s="12">
        <f ca="1">TableWeeklySummary[[#This Row],[Ventas google ads]]+TableWeeklySummary[[#This Row],[Ventas meta ads]]</f>
        <v>0</v>
      </c>
      <c r="Z294" s="14">
        <f ca="1">IFERROR(TableWeeklySummary[[#This Row],[Ventas publicidad]]/TableWeeklySummary[[#This Row],[Inversión publicidad]],0)</f>
        <v>0</v>
      </c>
      <c r="AA294" s="14">
        <f ca="1">IFERROR(TableWeeklySummary[[#This Row],[Ventas primer cliente]]/TableWeeklySummary[[#This Row],[Inversión publicidad]],0)</f>
        <v>0</v>
      </c>
      <c r="AB294" s="14"/>
      <c r="AC294" s="12"/>
      <c r="AI29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9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94" s="12">
        <f ca="1">SUMIFS(TableDailySummary[Utilidad bruta],TableDailySummary[Fecha],"&gt;="&amp;TableWeeklySummary[[#This Row],[Desde]],TableDailySummary[Fecha],"&lt;="&amp;TableWeeklySummary[[#This Row],[Hasta]])</f>
        <v>0</v>
      </c>
      <c r="AL294" s="18">
        <f ca="1">IFERROR(TableWeeklySummary[[#This Row],[Utilidad bruta]]/TableWeeklySummary[[#This Row],[Ventas netas con costo registrado]],0)</f>
        <v>0</v>
      </c>
    </row>
    <row r="295" spans="2:38" x14ac:dyDescent="0.2">
      <c r="B295" s="16">
        <f ca="1">_xlfn.ISOWEEKNUM(TableWeeklySummary[[#This Row],[Hasta]])</f>
        <v>20</v>
      </c>
      <c r="C295" s="6">
        <f t="shared" ca="1" si="6"/>
        <v>47977</v>
      </c>
      <c r="D295" s="6">
        <f ca="1">TableWeeklySummary[[#This Row],[Desde]]+7-1</f>
        <v>47983</v>
      </c>
      <c r="E295" s="12">
        <f ca="1">SUMIFS(TableDailySummary[Ventas netas totales],TableDailySummary[Fecha],"&gt;="&amp;TableWeeklySummary[[#This Row],[Desde]],TableDailySummary[Fecha],"&lt;="&amp;TableWeeklySummary[[#This Row],[Hasta]])</f>
        <v>0</v>
      </c>
      <c r="F295" s="12">
        <f ca="1">SUMIFS(TableDailySummary[Órdenes totales],TableDailySummary[Fecha],"&gt;="&amp;TableWeeklySummary[[#This Row],[Desde]],TableDailySummary[Fecha],"&lt;="&amp;TableWeeklySummary[[#This Row],[Hasta]])</f>
        <v>0</v>
      </c>
      <c r="G295" s="12">
        <f ca="1">IFERROR(TableWeeklySummary[[#This Row],[Ventas netas totales]]/TableWeeklySummary[[#This Row],[Órdenes totales]],0)</f>
        <v>0</v>
      </c>
      <c r="H29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95" s="12">
        <f ca="1">TableWeeklySummary[[#This Row],[Órden promedio totales]]*TableWeeklySummary[[#This Row],[CR totales]]</f>
        <v>0</v>
      </c>
      <c r="J295" s="12">
        <f ca="1">SUMIFS(TableDailySummary[Ventas primer cliente],TableDailySummary[Fecha],"&gt;="&amp;TableWeeklySummary[[#This Row],[Desde]],TableDailySummary[Fecha],"&lt;="&amp;TableWeeklySummary[[#This Row],[Hasta]])</f>
        <v>0</v>
      </c>
      <c r="K295" s="12">
        <f ca="1">SUMIFS(TableDailySummary[Órdenes primer cliente],TableDailySummary[Fecha],"&gt;="&amp;TableWeeklySummary[[#This Row],[Desde]],TableDailySummary[Fecha],"&lt;="&amp;TableWeeklySummary[[#This Row],[Hasta]])</f>
        <v>0</v>
      </c>
      <c r="L295" s="12">
        <f ca="1">SUMIFS(TableDailySummary[Online Store_net_sales],TableDailySummary[Fecha],"&gt;="&amp;TableWeeklySummary[[#This Row],[Desde]],TableDailySummary[Fecha],"&lt;="&amp;TableWeeklySummary[[#This Row],[Hasta]])</f>
        <v>0</v>
      </c>
      <c r="M295" s="12">
        <f ca="1">SUMIFS(TableDailySummary[Online Store_orders],TableDailySummary[Fecha],"&gt;="&amp;TableWeeklySummary[[#This Row],[Desde]],TableDailySummary[Fecha],"&lt;="&amp;TableWeeklySummary[[#This Row],[Hasta]])</f>
        <v>0</v>
      </c>
      <c r="N295" s="12">
        <f ca="1">SUMIFS(TableDailySummary[Tienda 81_net_sales],TableDailySummary[Fecha],"&gt;="&amp;TableWeeklySummary[[#This Row],[Desde]],TableDailySummary[Fecha],"&lt;="&amp;TableWeeklySummary[[#This Row],[Hasta]])</f>
        <v>0</v>
      </c>
      <c r="O295" s="12">
        <f ca="1">SUMIFS(TableDailySummary[Tienda 81_orders],TableDailySummary[Fecha],"&gt;="&amp;TableWeeklySummary[[#This Row],[Desde]],TableDailySummary[Fecha],"&lt;="&amp;TableWeeklySummary[[#This Row],[Hasta]])</f>
        <v>0</v>
      </c>
      <c r="P295" s="12">
        <f ca="1">SUMIFS(TableDailySummary[Rappi_net_sales],TableDailySummary[Fecha],"&gt;="&amp;TableWeeklySummary[[#This Row],[Desde]],TableDailySummary[Fecha],"&lt;="&amp;TableWeeklySummary[[#This Row],[Hasta]])</f>
        <v>0</v>
      </c>
      <c r="Q295" s="12">
        <f ca="1">SUMIFS(TableDailySummary[Rappi_orders],TableDailySummary[Fecha],"&gt;="&amp;TableWeeklySummary[[#This Row],[Desde]],TableDailySummary[Fecha],"&lt;="&amp;TableWeeklySummary[[#This Row],[Hasta]])</f>
        <v>0</v>
      </c>
      <c r="R29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9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95" s="12">
        <f ca="1">SUMIFS(TableDailySummary[Inversión google ads],TableDailySummary[Fecha],"&gt;="&amp;TableWeeklySummary[[#This Row],[Desde]],TableDailySummary[Fecha],"&lt;="&amp;TableWeeklySummary[[#This Row],[Hasta]])</f>
        <v>0</v>
      </c>
      <c r="U295" s="12">
        <f ca="1">SUMIFS(TableDailySummary[Ventas google ads],TableDailySummary[Fecha],"&gt;="&amp;TableWeeklySummary[[#This Row],[Desde]],TableDailySummary[Fecha],"&lt;="&amp;TableWeeklySummary[[#This Row],[Hasta]])</f>
        <v>0</v>
      </c>
      <c r="V295" s="12">
        <f ca="1">SUMIFS(TableDailySummary[Inversión meta ads],TableDailySummary[Fecha],"&gt;="&amp;TableWeeklySummary[[#This Row],[Desde]],TableDailySummary[Fecha],"&lt;="&amp;TableWeeklySummary[[#This Row],[Hasta]])</f>
        <v>0</v>
      </c>
      <c r="W295" s="12">
        <f ca="1">SUMIFS(TableDailySummary[Ventas meta ads],TableDailySummary[Fecha],"&gt;="&amp;TableWeeklySummary[[#This Row],[Desde]],TableDailySummary[Fecha],"&lt;="&amp;TableWeeklySummary[[#This Row],[Hasta]])</f>
        <v>0</v>
      </c>
      <c r="X295" s="12">
        <f ca="1">TableWeeklySummary[[#This Row],[Inversión google ads]]+TableWeeklySummary[[#This Row],[Inversión meta ads]]</f>
        <v>0</v>
      </c>
      <c r="Y295" s="12">
        <f ca="1">TableWeeklySummary[[#This Row],[Ventas google ads]]+TableWeeklySummary[[#This Row],[Ventas meta ads]]</f>
        <v>0</v>
      </c>
      <c r="Z295" s="14">
        <f ca="1">IFERROR(TableWeeklySummary[[#This Row],[Ventas publicidad]]/TableWeeklySummary[[#This Row],[Inversión publicidad]],0)</f>
        <v>0</v>
      </c>
      <c r="AA295" s="14">
        <f ca="1">IFERROR(TableWeeklySummary[[#This Row],[Ventas primer cliente]]/TableWeeklySummary[[#This Row],[Inversión publicidad]],0)</f>
        <v>0</v>
      </c>
      <c r="AB295" s="14"/>
      <c r="AC295" s="12"/>
      <c r="AI29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9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95" s="12">
        <f ca="1">SUMIFS(TableDailySummary[Utilidad bruta],TableDailySummary[Fecha],"&gt;="&amp;TableWeeklySummary[[#This Row],[Desde]],TableDailySummary[Fecha],"&lt;="&amp;TableWeeklySummary[[#This Row],[Hasta]])</f>
        <v>0</v>
      </c>
      <c r="AL295" s="18">
        <f ca="1">IFERROR(TableWeeklySummary[[#This Row],[Utilidad bruta]]/TableWeeklySummary[[#This Row],[Ventas netas con costo registrado]],0)</f>
        <v>0</v>
      </c>
    </row>
    <row r="296" spans="2:38" x14ac:dyDescent="0.2">
      <c r="B296" s="16">
        <f ca="1">_xlfn.ISOWEEKNUM(TableWeeklySummary[[#This Row],[Hasta]])</f>
        <v>21</v>
      </c>
      <c r="C296" s="6">
        <f t="shared" ca="1" si="6"/>
        <v>47984</v>
      </c>
      <c r="D296" s="6">
        <f ca="1">TableWeeklySummary[[#This Row],[Desde]]+7-1</f>
        <v>47990</v>
      </c>
      <c r="E296" s="12">
        <f ca="1">SUMIFS(TableDailySummary[Ventas netas totales],TableDailySummary[Fecha],"&gt;="&amp;TableWeeklySummary[[#This Row],[Desde]],TableDailySummary[Fecha],"&lt;="&amp;TableWeeklySummary[[#This Row],[Hasta]])</f>
        <v>0</v>
      </c>
      <c r="F296" s="12">
        <f ca="1">SUMIFS(TableDailySummary[Órdenes totales],TableDailySummary[Fecha],"&gt;="&amp;TableWeeklySummary[[#This Row],[Desde]],TableDailySummary[Fecha],"&lt;="&amp;TableWeeklySummary[[#This Row],[Hasta]])</f>
        <v>0</v>
      </c>
      <c r="G296" s="12">
        <f ca="1">IFERROR(TableWeeklySummary[[#This Row],[Ventas netas totales]]/TableWeeklySummary[[#This Row],[Órdenes totales]],0)</f>
        <v>0</v>
      </c>
      <c r="H29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96" s="12">
        <f ca="1">TableWeeklySummary[[#This Row],[Órden promedio totales]]*TableWeeklySummary[[#This Row],[CR totales]]</f>
        <v>0</v>
      </c>
      <c r="J296" s="12">
        <f ca="1">SUMIFS(TableDailySummary[Ventas primer cliente],TableDailySummary[Fecha],"&gt;="&amp;TableWeeklySummary[[#This Row],[Desde]],TableDailySummary[Fecha],"&lt;="&amp;TableWeeklySummary[[#This Row],[Hasta]])</f>
        <v>0</v>
      </c>
      <c r="K296" s="12">
        <f ca="1">SUMIFS(TableDailySummary[Órdenes primer cliente],TableDailySummary[Fecha],"&gt;="&amp;TableWeeklySummary[[#This Row],[Desde]],TableDailySummary[Fecha],"&lt;="&amp;TableWeeklySummary[[#This Row],[Hasta]])</f>
        <v>0</v>
      </c>
      <c r="L296" s="12">
        <f ca="1">SUMIFS(TableDailySummary[Online Store_net_sales],TableDailySummary[Fecha],"&gt;="&amp;TableWeeklySummary[[#This Row],[Desde]],TableDailySummary[Fecha],"&lt;="&amp;TableWeeklySummary[[#This Row],[Hasta]])</f>
        <v>0</v>
      </c>
      <c r="M296" s="12">
        <f ca="1">SUMIFS(TableDailySummary[Online Store_orders],TableDailySummary[Fecha],"&gt;="&amp;TableWeeklySummary[[#This Row],[Desde]],TableDailySummary[Fecha],"&lt;="&amp;TableWeeklySummary[[#This Row],[Hasta]])</f>
        <v>0</v>
      </c>
      <c r="N296" s="12">
        <f ca="1">SUMIFS(TableDailySummary[Tienda 81_net_sales],TableDailySummary[Fecha],"&gt;="&amp;TableWeeklySummary[[#This Row],[Desde]],TableDailySummary[Fecha],"&lt;="&amp;TableWeeklySummary[[#This Row],[Hasta]])</f>
        <v>0</v>
      </c>
      <c r="O296" s="12">
        <f ca="1">SUMIFS(TableDailySummary[Tienda 81_orders],TableDailySummary[Fecha],"&gt;="&amp;TableWeeklySummary[[#This Row],[Desde]],TableDailySummary[Fecha],"&lt;="&amp;TableWeeklySummary[[#This Row],[Hasta]])</f>
        <v>0</v>
      </c>
      <c r="P296" s="12">
        <f ca="1">SUMIFS(TableDailySummary[Rappi_net_sales],TableDailySummary[Fecha],"&gt;="&amp;TableWeeklySummary[[#This Row],[Desde]],TableDailySummary[Fecha],"&lt;="&amp;TableWeeklySummary[[#This Row],[Hasta]])</f>
        <v>0</v>
      </c>
      <c r="Q296" s="12">
        <f ca="1">SUMIFS(TableDailySummary[Rappi_orders],TableDailySummary[Fecha],"&gt;="&amp;TableWeeklySummary[[#This Row],[Desde]],TableDailySummary[Fecha],"&lt;="&amp;TableWeeklySummary[[#This Row],[Hasta]])</f>
        <v>0</v>
      </c>
      <c r="R29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9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96" s="12">
        <f ca="1">SUMIFS(TableDailySummary[Inversión google ads],TableDailySummary[Fecha],"&gt;="&amp;TableWeeklySummary[[#This Row],[Desde]],TableDailySummary[Fecha],"&lt;="&amp;TableWeeklySummary[[#This Row],[Hasta]])</f>
        <v>0</v>
      </c>
      <c r="U296" s="12">
        <f ca="1">SUMIFS(TableDailySummary[Ventas google ads],TableDailySummary[Fecha],"&gt;="&amp;TableWeeklySummary[[#This Row],[Desde]],TableDailySummary[Fecha],"&lt;="&amp;TableWeeklySummary[[#This Row],[Hasta]])</f>
        <v>0</v>
      </c>
      <c r="V296" s="12">
        <f ca="1">SUMIFS(TableDailySummary[Inversión meta ads],TableDailySummary[Fecha],"&gt;="&amp;TableWeeklySummary[[#This Row],[Desde]],TableDailySummary[Fecha],"&lt;="&amp;TableWeeklySummary[[#This Row],[Hasta]])</f>
        <v>0</v>
      </c>
      <c r="W296" s="12">
        <f ca="1">SUMIFS(TableDailySummary[Ventas meta ads],TableDailySummary[Fecha],"&gt;="&amp;TableWeeklySummary[[#This Row],[Desde]],TableDailySummary[Fecha],"&lt;="&amp;TableWeeklySummary[[#This Row],[Hasta]])</f>
        <v>0</v>
      </c>
      <c r="X296" s="12">
        <f ca="1">TableWeeklySummary[[#This Row],[Inversión google ads]]+TableWeeklySummary[[#This Row],[Inversión meta ads]]</f>
        <v>0</v>
      </c>
      <c r="Y296" s="12">
        <f ca="1">TableWeeklySummary[[#This Row],[Ventas google ads]]+TableWeeklySummary[[#This Row],[Ventas meta ads]]</f>
        <v>0</v>
      </c>
      <c r="Z296" s="14">
        <f ca="1">IFERROR(TableWeeklySummary[[#This Row],[Ventas publicidad]]/TableWeeklySummary[[#This Row],[Inversión publicidad]],0)</f>
        <v>0</v>
      </c>
      <c r="AA296" s="14">
        <f ca="1">IFERROR(TableWeeklySummary[[#This Row],[Ventas primer cliente]]/TableWeeklySummary[[#This Row],[Inversión publicidad]],0)</f>
        <v>0</v>
      </c>
      <c r="AB296" s="14"/>
      <c r="AC296" s="12"/>
      <c r="AI29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9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96" s="12">
        <f ca="1">SUMIFS(TableDailySummary[Utilidad bruta],TableDailySummary[Fecha],"&gt;="&amp;TableWeeklySummary[[#This Row],[Desde]],TableDailySummary[Fecha],"&lt;="&amp;TableWeeklySummary[[#This Row],[Hasta]])</f>
        <v>0</v>
      </c>
      <c r="AL296" s="18">
        <f ca="1">IFERROR(TableWeeklySummary[[#This Row],[Utilidad bruta]]/TableWeeklySummary[[#This Row],[Ventas netas con costo registrado]],0)</f>
        <v>0</v>
      </c>
    </row>
    <row r="297" spans="2:38" x14ac:dyDescent="0.2">
      <c r="B297" s="16">
        <f ca="1">_xlfn.ISOWEEKNUM(TableWeeklySummary[[#This Row],[Hasta]])</f>
        <v>22</v>
      </c>
      <c r="C297" s="6">
        <f t="shared" ca="1" si="6"/>
        <v>47991</v>
      </c>
      <c r="D297" s="6">
        <f ca="1">TableWeeklySummary[[#This Row],[Desde]]+7-1</f>
        <v>47997</v>
      </c>
      <c r="E297" s="12">
        <f ca="1">SUMIFS(TableDailySummary[Ventas netas totales],TableDailySummary[Fecha],"&gt;="&amp;TableWeeklySummary[[#This Row],[Desde]],TableDailySummary[Fecha],"&lt;="&amp;TableWeeklySummary[[#This Row],[Hasta]])</f>
        <v>0</v>
      </c>
      <c r="F297" s="12">
        <f ca="1">SUMIFS(TableDailySummary[Órdenes totales],TableDailySummary[Fecha],"&gt;="&amp;TableWeeklySummary[[#This Row],[Desde]],TableDailySummary[Fecha],"&lt;="&amp;TableWeeklySummary[[#This Row],[Hasta]])</f>
        <v>0</v>
      </c>
      <c r="G297" s="12">
        <f ca="1">IFERROR(TableWeeklySummary[[#This Row],[Ventas netas totales]]/TableWeeklySummary[[#This Row],[Órdenes totales]],0)</f>
        <v>0</v>
      </c>
      <c r="H29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97" s="12">
        <f ca="1">TableWeeklySummary[[#This Row],[Órden promedio totales]]*TableWeeklySummary[[#This Row],[CR totales]]</f>
        <v>0</v>
      </c>
      <c r="J297" s="12">
        <f ca="1">SUMIFS(TableDailySummary[Ventas primer cliente],TableDailySummary[Fecha],"&gt;="&amp;TableWeeklySummary[[#This Row],[Desde]],TableDailySummary[Fecha],"&lt;="&amp;TableWeeklySummary[[#This Row],[Hasta]])</f>
        <v>0</v>
      </c>
      <c r="K297" s="12">
        <f ca="1">SUMIFS(TableDailySummary[Órdenes primer cliente],TableDailySummary[Fecha],"&gt;="&amp;TableWeeklySummary[[#This Row],[Desde]],TableDailySummary[Fecha],"&lt;="&amp;TableWeeklySummary[[#This Row],[Hasta]])</f>
        <v>0</v>
      </c>
      <c r="L297" s="12">
        <f ca="1">SUMIFS(TableDailySummary[Online Store_net_sales],TableDailySummary[Fecha],"&gt;="&amp;TableWeeklySummary[[#This Row],[Desde]],TableDailySummary[Fecha],"&lt;="&amp;TableWeeklySummary[[#This Row],[Hasta]])</f>
        <v>0</v>
      </c>
      <c r="M297" s="12">
        <f ca="1">SUMIFS(TableDailySummary[Online Store_orders],TableDailySummary[Fecha],"&gt;="&amp;TableWeeklySummary[[#This Row],[Desde]],TableDailySummary[Fecha],"&lt;="&amp;TableWeeklySummary[[#This Row],[Hasta]])</f>
        <v>0</v>
      </c>
      <c r="N297" s="12">
        <f ca="1">SUMIFS(TableDailySummary[Tienda 81_net_sales],TableDailySummary[Fecha],"&gt;="&amp;TableWeeklySummary[[#This Row],[Desde]],TableDailySummary[Fecha],"&lt;="&amp;TableWeeklySummary[[#This Row],[Hasta]])</f>
        <v>0</v>
      </c>
      <c r="O297" s="12">
        <f ca="1">SUMIFS(TableDailySummary[Tienda 81_orders],TableDailySummary[Fecha],"&gt;="&amp;TableWeeklySummary[[#This Row],[Desde]],TableDailySummary[Fecha],"&lt;="&amp;TableWeeklySummary[[#This Row],[Hasta]])</f>
        <v>0</v>
      </c>
      <c r="P297" s="12">
        <f ca="1">SUMIFS(TableDailySummary[Rappi_net_sales],TableDailySummary[Fecha],"&gt;="&amp;TableWeeklySummary[[#This Row],[Desde]],TableDailySummary[Fecha],"&lt;="&amp;TableWeeklySummary[[#This Row],[Hasta]])</f>
        <v>0</v>
      </c>
      <c r="Q297" s="12">
        <f ca="1">SUMIFS(TableDailySummary[Rappi_orders],TableDailySummary[Fecha],"&gt;="&amp;TableWeeklySummary[[#This Row],[Desde]],TableDailySummary[Fecha],"&lt;="&amp;TableWeeklySummary[[#This Row],[Hasta]])</f>
        <v>0</v>
      </c>
      <c r="R29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9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97" s="12">
        <f ca="1">SUMIFS(TableDailySummary[Inversión google ads],TableDailySummary[Fecha],"&gt;="&amp;TableWeeklySummary[[#This Row],[Desde]],TableDailySummary[Fecha],"&lt;="&amp;TableWeeklySummary[[#This Row],[Hasta]])</f>
        <v>0</v>
      </c>
      <c r="U297" s="12">
        <f ca="1">SUMIFS(TableDailySummary[Ventas google ads],TableDailySummary[Fecha],"&gt;="&amp;TableWeeklySummary[[#This Row],[Desde]],TableDailySummary[Fecha],"&lt;="&amp;TableWeeklySummary[[#This Row],[Hasta]])</f>
        <v>0</v>
      </c>
      <c r="V297" s="12">
        <f ca="1">SUMIFS(TableDailySummary[Inversión meta ads],TableDailySummary[Fecha],"&gt;="&amp;TableWeeklySummary[[#This Row],[Desde]],TableDailySummary[Fecha],"&lt;="&amp;TableWeeklySummary[[#This Row],[Hasta]])</f>
        <v>0</v>
      </c>
      <c r="W297" s="12">
        <f ca="1">SUMIFS(TableDailySummary[Ventas meta ads],TableDailySummary[Fecha],"&gt;="&amp;TableWeeklySummary[[#This Row],[Desde]],TableDailySummary[Fecha],"&lt;="&amp;TableWeeklySummary[[#This Row],[Hasta]])</f>
        <v>0</v>
      </c>
      <c r="X297" s="12">
        <f ca="1">TableWeeklySummary[[#This Row],[Inversión google ads]]+TableWeeklySummary[[#This Row],[Inversión meta ads]]</f>
        <v>0</v>
      </c>
      <c r="Y297" s="12">
        <f ca="1">TableWeeklySummary[[#This Row],[Ventas google ads]]+TableWeeklySummary[[#This Row],[Ventas meta ads]]</f>
        <v>0</v>
      </c>
      <c r="Z297" s="14">
        <f ca="1">IFERROR(TableWeeklySummary[[#This Row],[Ventas publicidad]]/TableWeeklySummary[[#This Row],[Inversión publicidad]],0)</f>
        <v>0</v>
      </c>
      <c r="AA297" s="14">
        <f ca="1">IFERROR(TableWeeklySummary[[#This Row],[Ventas primer cliente]]/TableWeeklySummary[[#This Row],[Inversión publicidad]],0)</f>
        <v>0</v>
      </c>
      <c r="AB297" s="14"/>
      <c r="AC297" s="12"/>
      <c r="AI29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9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97" s="12">
        <f ca="1">SUMIFS(TableDailySummary[Utilidad bruta],TableDailySummary[Fecha],"&gt;="&amp;TableWeeklySummary[[#This Row],[Desde]],TableDailySummary[Fecha],"&lt;="&amp;TableWeeklySummary[[#This Row],[Hasta]])</f>
        <v>0</v>
      </c>
      <c r="AL297" s="18">
        <f ca="1">IFERROR(TableWeeklySummary[[#This Row],[Utilidad bruta]]/TableWeeklySummary[[#This Row],[Ventas netas con costo registrado]],0)</f>
        <v>0</v>
      </c>
    </row>
    <row r="298" spans="2:38" x14ac:dyDescent="0.2">
      <c r="B298" s="16">
        <f ca="1">_xlfn.ISOWEEKNUM(TableWeeklySummary[[#This Row],[Hasta]])</f>
        <v>23</v>
      </c>
      <c r="C298" s="6">
        <f t="shared" ca="1" si="6"/>
        <v>47998</v>
      </c>
      <c r="D298" s="6">
        <f ca="1">TableWeeklySummary[[#This Row],[Desde]]+7-1</f>
        <v>48004</v>
      </c>
      <c r="E298" s="12">
        <f ca="1">SUMIFS(TableDailySummary[Ventas netas totales],TableDailySummary[Fecha],"&gt;="&amp;TableWeeklySummary[[#This Row],[Desde]],TableDailySummary[Fecha],"&lt;="&amp;TableWeeklySummary[[#This Row],[Hasta]])</f>
        <v>0</v>
      </c>
      <c r="F298" s="12">
        <f ca="1">SUMIFS(TableDailySummary[Órdenes totales],TableDailySummary[Fecha],"&gt;="&amp;TableWeeklySummary[[#This Row],[Desde]],TableDailySummary[Fecha],"&lt;="&amp;TableWeeklySummary[[#This Row],[Hasta]])</f>
        <v>0</v>
      </c>
      <c r="G298" s="12">
        <f ca="1">IFERROR(TableWeeklySummary[[#This Row],[Ventas netas totales]]/TableWeeklySummary[[#This Row],[Órdenes totales]],0)</f>
        <v>0</v>
      </c>
      <c r="H29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98" s="12">
        <f ca="1">TableWeeklySummary[[#This Row],[Órden promedio totales]]*TableWeeklySummary[[#This Row],[CR totales]]</f>
        <v>0</v>
      </c>
      <c r="J298" s="12">
        <f ca="1">SUMIFS(TableDailySummary[Ventas primer cliente],TableDailySummary[Fecha],"&gt;="&amp;TableWeeklySummary[[#This Row],[Desde]],TableDailySummary[Fecha],"&lt;="&amp;TableWeeklySummary[[#This Row],[Hasta]])</f>
        <v>0</v>
      </c>
      <c r="K298" s="12">
        <f ca="1">SUMIFS(TableDailySummary[Órdenes primer cliente],TableDailySummary[Fecha],"&gt;="&amp;TableWeeklySummary[[#This Row],[Desde]],TableDailySummary[Fecha],"&lt;="&amp;TableWeeklySummary[[#This Row],[Hasta]])</f>
        <v>0</v>
      </c>
      <c r="L298" s="12">
        <f ca="1">SUMIFS(TableDailySummary[Online Store_net_sales],TableDailySummary[Fecha],"&gt;="&amp;TableWeeklySummary[[#This Row],[Desde]],TableDailySummary[Fecha],"&lt;="&amp;TableWeeklySummary[[#This Row],[Hasta]])</f>
        <v>0</v>
      </c>
      <c r="M298" s="12">
        <f ca="1">SUMIFS(TableDailySummary[Online Store_orders],TableDailySummary[Fecha],"&gt;="&amp;TableWeeklySummary[[#This Row],[Desde]],TableDailySummary[Fecha],"&lt;="&amp;TableWeeklySummary[[#This Row],[Hasta]])</f>
        <v>0</v>
      </c>
      <c r="N298" s="12">
        <f ca="1">SUMIFS(TableDailySummary[Tienda 81_net_sales],TableDailySummary[Fecha],"&gt;="&amp;TableWeeklySummary[[#This Row],[Desde]],TableDailySummary[Fecha],"&lt;="&amp;TableWeeklySummary[[#This Row],[Hasta]])</f>
        <v>0</v>
      </c>
      <c r="O298" s="12">
        <f ca="1">SUMIFS(TableDailySummary[Tienda 81_orders],TableDailySummary[Fecha],"&gt;="&amp;TableWeeklySummary[[#This Row],[Desde]],TableDailySummary[Fecha],"&lt;="&amp;TableWeeklySummary[[#This Row],[Hasta]])</f>
        <v>0</v>
      </c>
      <c r="P298" s="12">
        <f ca="1">SUMIFS(TableDailySummary[Rappi_net_sales],TableDailySummary[Fecha],"&gt;="&amp;TableWeeklySummary[[#This Row],[Desde]],TableDailySummary[Fecha],"&lt;="&amp;TableWeeklySummary[[#This Row],[Hasta]])</f>
        <v>0</v>
      </c>
      <c r="Q298" s="12">
        <f ca="1">SUMIFS(TableDailySummary[Rappi_orders],TableDailySummary[Fecha],"&gt;="&amp;TableWeeklySummary[[#This Row],[Desde]],TableDailySummary[Fecha],"&lt;="&amp;TableWeeklySummary[[#This Row],[Hasta]])</f>
        <v>0</v>
      </c>
      <c r="R29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9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98" s="12">
        <f ca="1">SUMIFS(TableDailySummary[Inversión google ads],TableDailySummary[Fecha],"&gt;="&amp;TableWeeklySummary[[#This Row],[Desde]],TableDailySummary[Fecha],"&lt;="&amp;TableWeeklySummary[[#This Row],[Hasta]])</f>
        <v>0</v>
      </c>
      <c r="U298" s="12">
        <f ca="1">SUMIFS(TableDailySummary[Ventas google ads],TableDailySummary[Fecha],"&gt;="&amp;TableWeeklySummary[[#This Row],[Desde]],TableDailySummary[Fecha],"&lt;="&amp;TableWeeklySummary[[#This Row],[Hasta]])</f>
        <v>0</v>
      </c>
      <c r="V298" s="12">
        <f ca="1">SUMIFS(TableDailySummary[Inversión meta ads],TableDailySummary[Fecha],"&gt;="&amp;TableWeeklySummary[[#This Row],[Desde]],TableDailySummary[Fecha],"&lt;="&amp;TableWeeklySummary[[#This Row],[Hasta]])</f>
        <v>0</v>
      </c>
      <c r="W298" s="12">
        <f ca="1">SUMIFS(TableDailySummary[Ventas meta ads],TableDailySummary[Fecha],"&gt;="&amp;TableWeeklySummary[[#This Row],[Desde]],TableDailySummary[Fecha],"&lt;="&amp;TableWeeklySummary[[#This Row],[Hasta]])</f>
        <v>0</v>
      </c>
      <c r="X298" s="12">
        <f ca="1">TableWeeklySummary[[#This Row],[Inversión google ads]]+TableWeeklySummary[[#This Row],[Inversión meta ads]]</f>
        <v>0</v>
      </c>
      <c r="Y298" s="12">
        <f ca="1">TableWeeklySummary[[#This Row],[Ventas google ads]]+TableWeeklySummary[[#This Row],[Ventas meta ads]]</f>
        <v>0</v>
      </c>
      <c r="Z298" s="14">
        <f ca="1">IFERROR(TableWeeklySummary[[#This Row],[Ventas publicidad]]/TableWeeklySummary[[#This Row],[Inversión publicidad]],0)</f>
        <v>0</v>
      </c>
      <c r="AA298" s="14">
        <f ca="1">IFERROR(TableWeeklySummary[[#This Row],[Ventas primer cliente]]/TableWeeklySummary[[#This Row],[Inversión publicidad]],0)</f>
        <v>0</v>
      </c>
      <c r="AB298" s="14"/>
      <c r="AC298" s="12"/>
      <c r="AI29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9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98" s="12">
        <f ca="1">SUMIFS(TableDailySummary[Utilidad bruta],TableDailySummary[Fecha],"&gt;="&amp;TableWeeklySummary[[#This Row],[Desde]],TableDailySummary[Fecha],"&lt;="&amp;TableWeeklySummary[[#This Row],[Hasta]])</f>
        <v>0</v>
      </c>
      <c r="AL298" s="18">
        <f ca="1">IFERROR(TableWeeklySummary[[#This Row],[Utilidad bruta]]/TableWeeklySummary[[#This Row],[Ventas netas con costo registrado]],0)</f>
        <v>0</v>
      </c>
    </row>
    <row r="299" spans="2:38" x14ac:dyDescent="0.2">
      <c r="B299" s="16">
        <f ca="1">_xlfn.ISOWEEKNUM(TableWeeklySummary[[#This Row],[Hasta]])</f>
        <v>24</v>
      </c>
      <c r="C299" s="6">
        <f t="shared" ca="1" si="6"/>
        <v>48005</v>
      </c>
      <c r="D299" s="6">
        <f ca="1">TableWeeklySummary[[#This Row],[Desde]]+7-1</f>
        <v>48011</v>
      </c>
      <c r="E299" s="12">
        <f ca="1">SUMIFS(TableDailySummary[Ventas netas totales],TableDailySummary[Fecha],"&gt;="&amp;TableWeeklySummary[[#This Row],[Desde]],TableDailySummary[Fecha],"&lt;="&amp;TableWeeklySummary[[#This Row],[Hasta]])</f>
        <v>0</v>
      </c>
      <c r="F299" s="12">
        <f ca="1">SUMIFS(TableDailySummary[Órdenes totales],TableDailySummary[Fecha],"&gt;="&amp;TableWeeklySummary[[#This Row],[Desde]],TableDailySummary[Fecha],"&lt;="&amp;TableWeeklySummary[[#This Row],[Hasta]])</f>
        <v>0</v>
      </c>
      <c r="G299" s="12">
        <f ca="1">IFERROR(TableWeeklySummary[[#This Row],[Ventas netas totales]]/TableWeeklySummary[[#This Row],[Órdenes totales]],0)</f>
        <v>0</v>
      </c>
      <c r="H29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299" s="12">
        <f ca="1">TableWeeklySummary[[#This Row],[Órden promedio totales]]*TableWeeklySummary[[#This Row],[CR totales]]</f>
        <v>0</v>
      </c>
      <c r="J299" s="12">
        <f ca="1">SUMIFS(TableDailySummary[Ventas primer cliente],TableDailySummary[Fecha],"&gt;="&amp;TableWeeklySummary[[#This Row],[Desde]],TableDailySummary[Fecha],"&lt;="&amp;TableWeeklySummary[[#This Row],[Hasta]])</f>
        <v>0</v>
      </c>
      <c r="K299" s="12">
        <f ca="1">SUMIFS(TableDailySummary[Órdenes primer cliente],TableDailySummary[Fecha],"&gt;="&amp;TableWeeklySummary[[#This Row],[Desde]],TableDailySummary[Fecha],"&lt;="&amp;TableWeeklySummary[[#This Row],[Hasta]])</f>
        <v>0</v>
      </c>
      <c r="L299" s="12">
        <f ca="1">SUMIFS(TableDailySummary[Online Store_net_sales],TableDailySummary[Fecha],"&gt;="&amp;TableWeeklySummary[[#This Row],[Desde]],TableDailySummary[Fecha],"&lt;="&amp;TableWeeklySummary[[#This Row],[Hasta]])</f>
        <v>0</v>
      </c>
      <c r="M299" s="12">
        <f ca="1">SUMIFS(TableDailySummary[Online Store_orders],TableDailySummary[Fecha],"&gt;="&amp;TableWeeklySummary[[#This Row],[Desde]],TableDailySummary[Fecha],"&lt;="&amp;TableWeeklySummary[[#This Row],[Hasta]])</f>
        <v>0</v>
      </c>
      <c r="N299" s="12">
        <f ca="1">SUMIFS(TableDailySummary[Tienda 81_net_sales],TableDailySummary[Fecha],"&gt;="&amp;TableWeeklySummary[[#This Row],[Desde]],TableDailySummary[Fecha],"&lt;="&amp;TableWeeklySummary[[#This Row],[Hasta]])</f>
        <v>0</v>
      </c>
      <c r="O299" s="12">
        <f ca="1">SUMIFS(TableDailySummary[Tienda 81_orders],TableDailySummary[Fecha],"&gt;="&amp;TableWeeklySummary[[#This Row],[Desde]],TableDailySummary[Fecha],"&lt;="&amp;TableWeeklySummary[[#This Row],[Hasta]])</f>
        <v>0</v>
      </c>
      <c r="P299" s="12">
        <f ca="1">SUMIFS(TableDailySummary[Rappi_net_sales],TableDailySummary[Fecha],"&gt;="&amp;TableWeeklySummary[[#This Row],[Desde]],TableDailySummary[Fecha],"&lt;="&amp;TableWeeklySummary[[#This Row],[Hasta]])</f>
        <v>0</v>
      </c>
      <c r="Q299" s="12">
        <f ca="1">SUMIFS(TableDailySummary[Rappi_orders],TableDailySummary[Fecha],"&gt;="&amp;TableWeeklySummary[[#This Row],[Desde]],TableDailySummary[Fecha],"&lt;="&amp;TableWeeklySummary[[#This Row],[Hasta]])</f>
        <v>0</v>
      </c>
      <c r="R29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29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299" s="12">
        <f ca="1">SUMIFS(TableDailySummary[Inversión google ads],TableDailySummary[Fecha],"&gt;="&amp;TableWeeklySummary[[#This Row],[Desde]],TableDailySummary[Fecha],"&lt;="&amp;TableWeeklySummary[[#This Row],[Hasta]])</f>
        <v>0</v>
      </c>
      <c r="U299" s="12">
        <f ca="1">SUMIFS(TableDailySummary[Ventas google ads],TableDailySummary[Fecha],"&gt;="&amp;TableWeeklySummary[[#This Row],[Desde]],TableDailySummary[Fecha],"&lt;="&amp;TableWeeklySummary[[#This Row],[Hasta]])</f>
        <v>0</v>
      </c>
      <c r="V299" s="12">
        <f ca="1">SUMIFS(TableDailySummary[Inversión meta ads],TableDailySummary[Fecha],"&gt;="&amp;TableWeeklySummary[[#This Row],[Desde]],TableDailySummary[Fecha],"&lt;="&amp;TableWeeklySummary[[#This Row],[Hasta]])</f>
        <v>0</v>
      </c>
      <c r="W299" s="12">
        <f ca="1">SUMIFS(TableDailySummary[Ventas meta ads],TableDailySummary[Fecha],"&gt;="&amp;TableWeeklySummary[[#This Row],[Desde]],TableDailySummary[Fecha],"&lt;="&amp;TableWeeklySummary[[#This Row],[Hasta]])</f>
        <v>0</v>
      </c>
      <c r="X299" s="12">
        <f ca="1">TableWeeklySummary[[#This Row],[Inversión google ads]]+TableWeeklySummary[[#This Row],[Inversión meta ads]]</f>
        <v>0</v>
      </c>
      <c r="Y299" s="12">
        <f ca="1">TableWeeklySummary[[#This Row],[Ventas google ads]]+TableWeeklySummary[[#This Row],[Ventas meta ads]]</f>
        <v>0</v>
      </c>
      <c r="Z299" s="14">
        <f ca="1">IFERROR(TableWeeklySummary[[#This Row],[Ventas publicidad]]/TableWeeklySummary[[#This Row],[Inversión publicidad]],0)</f>
        <v>0</v>
      </c>
      <c r="AA299" s="14">
        <f ca="1">IFERROR(TableWeeklySummary[[#This Row],[Ventas primer cliente]]/TableWeeklySummary[[#This Row],[Inversión publicidad]],0)</f>
        <v>0</v>
      </c>
      <c r="AB299" s="14"/>
      <c r="AC299" s="12"/>
      <c r="AI29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29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299" s="12">
        <f ca="1">SUMIFS(TableDailySummary[Utilidad bruta],TableDailySummary[Fecha],"&gt;="&amp;TableWeeklySummary[[#This Row],[Desde]],TableDailySummary[Fecha],"&lt;="&amp;TableWeeklySummary[[#This Row],[Hasta]])</f>
        <v>0</v>
      </c>
      <c r="AL299" s="18">
        <f ca="1">IFERROR(TableWeeklySummary[[#This Row],[Utilidad bruta]]/TableWeeklySummary[[#This Row],[Ventas netas con costo registrado]],0)</f>
        <v>0</v>
      </c>
    </row>
    <row r="300" spans="2:38" x14ac:dyDescent="0.2">
      <c r="B300" s="16">
        <f ca="1">_xlfn.ISOWEEKNUM(TableWeeklySummary[[#This Row],[Hasta]])</f>
        <v>25</v>
      </c>
      <c r="C300" s="6">
        <f t="shared" ca="1" si="6"/>
        <v>48012</v>
      </c>
      <c r="D300" s="6">
        <f ca="1">TableWeeklySummary[[#This Row],[Desde]]+7-1</f>
        <v>48018</v>
      </c>
      <c r="E300" s="12">
        <f ca="1">SUMIFS(TableDailySummary[Ventas netas totales],TableDailySummary[Fecha],"&gt;="&amp;TableWeeklySummary[[#This Row],[Desde]],TableDailySummary[Fecha],"&lt;="&amp;TableWeeklySummary[[#This Row],[Hasta]])</f>
        <v>0</v>
      </c>
      <c r="F300" s="12">
        <f ca="1">SUMIFS(TableDailySummary[Órdenes totales],TableDailySummary[Fecha],"&gt;="&amp;TableWeeklySummary[[#This Row],[Desde]],TableDailySummary[Fecha],"&lt;="&amp;TableWeeklySummary[[#This Row],[Hasta]])</f>
        <v>0</v>
      </c>
      <c r="G300" s="12">
        <f ca="1">IFERROR(TableWeeklySummary[[#This Row],[Ventas netas totales]]/TableWeeklySummary[[#This Row],[Órdenes totales]],0)</f>
        <v>0</v>
      </c>
      <c r="H30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00" s="12">
        <f ca="1">TableWeeklySummary[[#This Row],[Órden promedio totales]]*TableWeeklySummary[[#This Row],[CR totales]]</f>
        <v>0</v>
      </c>
      <c r="J300" s="12">
        <f ca="1">SUMIFS(TableDailySummary[Ventas primer cliente],TableDailySummary[Fecha],"&gt;="&amp;TableWeeklySummary[[#This Row],[Desde]],TableDailySummary[Fecha],"&lt;="&amp;TableWeeklySummary[[#This Row],[Hasta]])</f>
        <v>0</v>
      </c>
      <c r="K300" s="12">
        <f ca="1">SUMIFS(TableDailySummary[Órdenes primer cliente],TableDailySummary[Fecha],"&gt;="&amp;TableWeeklySummary[[#This Row],[Desde]],TableDailySummary[Fecha],"&lt;="&amp;TableWeeklySummary[[#This Row],[Hasta]])</f>
        <v>0</v>
      </c>
      <c r="L300" s="12">
        <f ca="1">SUMIFS(TableDailySummary[Online Store_net_sales],TableDailySummary[Fecha],"&gt;="&amp;TableWeeklySummary[[#This Row],[Desde]],TableDailySummary[Fecha],"&lt;="&amp;TableWeeklySummary[[#This Row],[Hasta]])</f>
        <v>0</v>
      </c>
      <c r="M300" s="12">
        <f ca="1">SUMIFS(TableDailySummary[Online Store_orders],TableDailySummary[Fecha],"&gt;="&amp;TableWeeklySummary[[#This Row],[Desde]],TableDailySummary[Fecha],"&lt;="&amp;TableWeeklySummary[[#This Row],[Hasta]])</f>
        <v>0</v>
      </c>
      <c r="N300" s="12">
        <f ca="1">SUMIFS(TableDailySummary[Tienda 81_net_sales],TableDailySummary[Fecha],"&gt;="&amp;TableWeeklySummary[[#This Row],[Desde]],TableDailySummary[Fecha],"&lt;="&amp;TableWeeklySummary[[#This Row],[Hasta]])</f>
        <v>0</v>
      </c>
      <c r="O300" s="12">
        <f ca="1">SUMIFS(TableDailySummary[Tienda 81_orders],TableDailySummary[Fecha],"&gt;="&amp;TableWeeklySummary[[#This Row],[Desde]],TableDailySummary[Fecha],"&lt;="&amp;TableWeeklySummary[[#This Row],[Hasta]])</f>
        <v>0</v>
      </c>
      <c r="P300" s="12">
        <f ca="1">SUMIFS(TableDailySummary[Rappi_net_sales],TableDailySummary[Fecha],"&gt;="&amp;TableWeeklySummary[[#This Row],[Desde]],TableDailySummary[Fecha],"&lt;="&amp;TableWeeklySummary[[#This Row],[Hasta]])</f>
        <v>0</v>
      </c>
      <c r="Q300" s="12">
        <f ca="1">SUMIFS(TableDailySummary[Rappi_orders],TableDailySummary[Fecha],"&gt;="&amp;TableWeeklySummary[[#This Row],[Desde]],TableDailySummary[Fecha],"&lt;="&amp;TableWeeklySummary[[#This Row],[Hasta]])</f>
        <v>0</v>
      </c>
      <c r="R30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0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00" s="12">
        <f ca="1">SUMIFS(TableDailySummary[Inversión google ads],TableDailySummary[Fecha],"&gt;="&amp;TableWeeklySummary[[#This Row],[Desde]],TableDailySummary[Fecha],"&lt;="&amp;TableWeeklySummary[[#This Row],[Hasta]])</f>
        <v>0</v>
      </c>
      <c r="U300" s="12">
        <f ca="1">SUMIFS(TableDailySummary[Ventas google ads],TableDailySummary[Fecha],"&gt;="&amp;TableWeeklySummary[[#This Row],[Desde]],TableDailySummary[Fecha],"&lt;="&amp;TableWeeklySummary[[#This Row],[Hasta]])</f>
        <v>0</v>
      </c>
      <c r="V300" s="12">
        <f ca="1">SUMIFS(TableDailySummary[Inversión meta ads],TableDailySummary[Fecha],"&gt;="&amp;TableWeeklySummary[[#This Row],[Desde]],TableDailySummary[Fecha],"&lt;="&amp;TableWeeklySummary[[#This Row],[Hasta]])</f>
        <v>0</v>
      </c>
      <c r="W300" s="12">
        <f ca="1">SUMIFS(TableDailySummary[Ventas meta ads],TableDailySummary[Fecha],"&gt;="&amp;TableWeeklySummary[[#This Row],[Desde]],TableDailySummary[Fecha],"&lt;="&amp;TableWeeklySummary[[#This Row],[Hasta]])</f>
        <v>0</v>
      </c>
      <c r="X300" s="12">
        <f ca="1">TableWeeklySummary[[#This Row],[Inversión google ads]]+TableWeeklySummary[[#This Row],[Inversión meta ads]]</f>
        <v>0</v>
      </c>
      <c r="Y300" s="12">
        <f ca="1">TableWeeklySummary[[#This Row],[Ventas google ads]]+TableWeeklySummary[[#This Row],[Ventas meta ads]]</f>
        <v>0</v>
      </c>
      <c r="Z300" s="14">
        <f ca="1">IFERROR(TableWeeklySummary[[#This Row],[Ventas publicidad]]/TableWeeklySummary[[#This Row],[Inversión publicidad]],0)</f>
        <v>0</v>
      </c>
      <c r="AA300" s="14">
        <f ca="1">IFERROR(TableWeeklySummary[[#This Row],[Ventas primer cliente]]/TableWeeklySummary[[#This Row],[Inversión publicidad]],0)</f>
        <v>0</v>
      </c>
      <c r="AB300" s="14"/>
      <c r="AC300" s="12"/>
      <c r="AI30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0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00" s="12">
        <f ca="1">SUMIFS(TableDailySummary[Utilidad bruta],TableDailySummary[Fecha],"&gt;="&amp;TableWeeklySummary[[#This Row],[Desde]],TableDailySummary[Fecha],"&lt;="&amp;TableWeeklySummary[[#This Row],[Hasta]])</f>
        <v>0</v>
      </c>
      <c r="AL300" s="18">
        <f ca="1">IFERROR(TableWeeklySummary[[#This Row],[Utilidad bruta]]/TableWeeklySummary[[#This Row],[Ventas netas con costo registrado]],0)</f>
        <v>0</v>
      </c>
    </row>
    <row r="301" spans="2:38" x14ac:dyDescent="0.2">
      <c r="B301" s="16">
        <f ca="1">_xlfn.ISOWEEKNUM(TableWeeklySummary[[#This Row],[Hasta]])</f>
        <v>26</v>
      </c>
      <c r="C301" s="6">
        <f t="shared" ca="1" si="6"/>
        <v>48019</v>
      </c>
      <c r="D301" s="6">
        <f ca="1">TableWeeklySummary[[#This Row],[Desde]]+7-1</f>
        <v>48025</v>
      </c>
      <c r="E301" s="12">
        <f ca="1">SUMIFS(TableDailySummary[Ventas netas totales],TableDailySummary[Fecha],"&gt;="&amp;TableWeeklySummary[[#This Row],[Desde]],TableDailySummary[Fecha],"&lt;="&amp;TableWeeklySummary[[#This Row],[Hasta]])</f>
        <v>0</v>
      </c>
      <c r="F301" s="12">
        <f ca="1">SUMIFS(TableDailySummary[Órdenes totales],TableDailySummary[Fecha],"&gt;="&amp;TableWeeklySummary[[#This Row],[Desde]],TableDailySummary[Fecha],"&lt;="&amp;TableWeeklySummary[[#This Row],[Hasta]])</f>
        <v>0</v>
      </c>
      <c r="G301" s="12">
        <f ca="1">IFERROR(TableWeeklySummary[[#This Row],[Ventas netas totales]]/TableWeeklySummary[[#This Row],[Órdenes totales]],0)</f>
        <v>0</v>
      </c>
      <c r="H30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01" s="12">
        <f ca="1">TableWeeklySummary[[#This Row],[Órden promedio totales]]*TableWeeklySummary[[#This Row],[CR totales]]</f>
        <v>0</v>
      </c>
      <c r="J301" s="12">
        <f ca="1">SUMIFS(TableDailySummary[Ventas primer cliente],TableDailySummary[Fecha],"&gt;="&amp;TableWeeklySummary[[#This Row],[Desde]],TableDailySummary[Fecha],"&lt;="&amp;TableWeeklySummary[[#This Row],[Hasta]])</f>
        <v>0</v>
      </c>
      <c r="K301" s="12">
        <f ca="1">SUMIFS(TableDailySummary[Órdenes primer cliente],TableDailySummary[Fecha],"&gt;="&amp;TableWeeklySummary[[#This Row],[Desde]],TableDailySummary[Fecha],"&lt;="&amp;TableWeeklySummary[[#This Row],[Hasta]])</f>
        <v>0</v>
      </c>
      <c r="L301" s="12">
        <f ca="1">SUMIFS(TableDailySummary[Online Store_net_sales],TableDailySummary[Fecha],"&gt;="&amp;TableWeeklySummary[[#This Row],[Desde]],TableDailySummary[Fecha],"&lt;="&amp;TableWeeklySummary[[#This Row],[Hasta]])</f>
        <v>0</v>
      </c>
      <c r="M301" s="12">
        <f ca="1">SUMIFS(TableDailySummary[Online Store_orders],TableDailySummary[Fecha],"&gt;="&amp;TableWeeklySummary[[#This Row],[Desde]],TableDailySummary[Fecha],"&lt;="&amp;TableWeeklySummary[[#This Row],[Hasta]])</f>
        <v>0</v>
      </c>
      <c r="N301" s="12">
        <f ca="1">SUMIFS(TableDailySummary[Tienda 81_net_sales],TableDailySummary[Fecha],"&gt;="&amp;TableWeeklySummary[[#This Row],[Desde]],TableDailySummary[Fecha],"&lt;="&amp;TableWeeklySummary[[#This Row],[Hasta]])</f>
        <v>0</v>
      </c>
      <c r="O301" s="12">
        <f ca="1">SUMIFS(TableDailySummary[Tienda 81_orders],TableDailySummary[Fecha],"&gt;="&amp;TableWeeklySummary[[#This Row],[Desde]],TableDailySummary[Fecha],"&lt;="&amp;TableWeeklySummary[[#This Row],[Hasta]])</f>
        <v>0</v>
      </c>
      <c r="P301" s="12">
        <f ca="1">SUMIFS(TableDailySummary[Rappi_net_sales],TableDailySummary[Fecha],"&gt;="&amp;TableWeeklySummary[[#This Row],[Desde]],TableDailySummary[Fecha],"&lt;="&amp;TableWeeklySummary[[#This Row],[Hasta]])</f>
        <v>0</v>
      </c>
      <c r="Q301" s="12">
        <f ca="1">SUMIFS(TableDailySummary[Rappi_orders],TableDailySummary[Fecha],"&gt;="&amp;TableWeeklySummary[[#This Row],[Desde]],TableDailySummary[Fecha],"&lt;="&amp;TableWeeklySummary[[#This Row],[Hasta]])</f>
        <v>0</v>
      </c>
      <c r="R30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0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01" s="12">
        <f ca="1">SUMIFS(TableDailySummary[Inversión google ads],TableDailySummary[Fecha],"&gt;="&amp;TableWeeklySummary[[#This Row],[Desde]],TableDailySummary[Fecha],"&lt;="&amp;TableWeeklySummary[[#This Row],[Hasta]])</f>
        <v>0</v>
      </c>
      <c r="U301" s="12">
        <f ca="1">SUMIFS(TableDailySummary[Ventas google ads],TableDailySummary[Fecha],"&gt;="&amp;TableWeeklySummary[[#This Row],[Desde]],TableDailySummary[Fecha],"&lt;="&amp;TableWeeklySummary[[#This Row],[Hasta]])</f>
        <v>0</v>
      </c>
      <c r="V301" s="12">
        <f ca="1">SUMIFS(TableDailySummary[Inversión meta ads],TableDailySummary[Fecha],"&gt;="&amp;TableWeeklySummary[[#This Row],[Desde]],TableDailySummary[Fecha],"&lt;="&amp;TableWeeklySummary[[#This Row],[Hasta]])</f>
        <v>0</v>
      </c>
      <c r="W301" s="12">
        <f ca="1">SUMIFS(TableDailySummary[Ventas meta ads],TableDailySummary[Fecha],"&gt;="&amp;TableWeeklySummary[[#This Row],[Desde]],TableDailySummary[Fecha],"&lt;="&amp;TableWeeklySummary[[#This Row],[Hasta]])</f>
        <v>0</v>
      </c>
      <c r="X301" s="12">
        <f ca="1">TableWeeklySummary[[#This Row],[Inversión google ads]]+TableWeeklySummary[[#This Row],[Inversión meta ads]]</f>
        <v>0</v>
      </c>
      <c r="Y301" s="12">
        <f ca="1">TableWeeklySummary[[#This Row],[Ventas google ads]]+TableWeeklySummary[[#This Row],[Ventas meta ads]]</f>
        <v>0</v>
      </c>
      <c r="Z301" s="14">
        <f ca="1">IFERROR(TableWeeklySummary[[#This Row],[Ventas publicidad]]/TableWeeklySummary[[#This Row],[Inversión publicidad]],0)</f>
        <v>0</v>
      </c>
      <c r="AA301" s="14">
        <f ca="1">IFERROR(TableWeeklySummary[[#This Row],[Ventas primer cliente]]/TableWeeklySummary[[#This Row],[Inversión publicidad]],0)</f>
        <v>0</v>
      </c>
      <c r="AB301" s="14"/>
      <c r="AC301" s="12"/>
      <c r="AI30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0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01" s="12">
        <f ca="1">SUMIFS(TableDailySummary[Utilidad bruta],TableDailySummary[Fecha],"&gt;="&amp;TableWeeklySummary[[#This Row],[Desde]],TableDailySummary[Fecha],"&lt;="&amp;TableWeeklySummary[[#This Row],[Hasta]])</f>
        <v>0</v>
      </c>
      <c r="AL301" s="18">
        <f ca="1">IFERROR(TableWeeklySummary[[#This Row],[Utilidad bruta]]/TableWeeklySummary[[#This Row],[Ventas netas con costo registrado]],0)</f>
        <v>0</v>
      </c>
    </row>
    <row r="302" spans="2:38" x14ac:dyDescent="0.2">
      <c r="B302" s="16">
        <f ca="1">_xlfn.ISOWEEKNUM(TableWeeklySummary[[#This Row],[Hasta]])</f>
        <v>27</v>
      </c>
      <c r="C302" s="6">
        <f t="shared" ca="1" si="6"/>
        <v>48026</v>
      </c>
      <c r="D302" s="6">
        <f ca="1">TableWeeklySummary[[#This Row],[Desde]]+7-1</f>
        <v>48032</v>
      </c>
      <c r="E302" s="12">
        <f ca="1">SUMIFS(TableDailySummary[Ventas netas totales],TableDailySummary[Fecha],"&gt;="&amp;TableWeeklySummary[[#This Row],[Desde]],TableDailySummary[Fecha],"&lt;="&amp;TableWeeklySummary[[#This Row],[Hasta]])</f>
        <v>0</v>
      </c>
      <c r="F302" s="12">
        <f ca="1">SUMIFS(TableDailySummary[Órdenes totales],TableDailySummary[Fecha],"&gt;="&amp;TableWeeklySummary[[#This Row],[Desde]],TableDailySummary[Fecha],"&lt;="&amp;TableWeeklySummary[[#This Row],[Hasta]])</f>
        <v>0</v>
      </c>
      <c r="G302" s="12">
        <f ca="1">IFERROR(TableWeeklySummary[[#This Row],[Ventas netas totales]]/TableWeeklySummary[[#This Row],[Órdenes totales]],0)</f>
        <v>0</v>
      </c>
      <c r="H30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02" s="12">
        <f ca="1">TableWeeklySummary[[#This Row],[Órden promedio totales]]*TableWeeklySummary[[#This Row],[CR totales]]</f>
        <v>0</v>
      </c>
      <c r="J302" s="12">
        <f ca="1">SUMIFS(TableDailySummary[Ventas primer cliente],TableDailySummary[Fecha],"&gt;="&amp;TableWeeklySummary[[#This Row],[Desde]],TableDailySummary[Fecha],"&lt;="&amp;TableWeeklySummary[[#This Row],[Hasta]])</f>
        <v>0</v>
      </c>
      <c r="K302" s="12">
        <f ca="1">SUMIFS(TableDailySummary[Órdenes primer cliente],TableDailySummary[Fecha],"&gt;="&amp;TableWeeklySummary[[#This Row],[Desde]],TableDailySummary[Fecha],"&lt;="&amp;TableWeeklySummary[[#This Row],[Hasta]])</f>
        <v>0</v>
      </c>
      <c r="L302" s="12">
        <f ca="1">SUMIFS(TableDailySummary[Online Store_net_sales],TableDailySummary[Fecha],"&gt;="&amp;TableWeeklySummary[[#This Row],[Desde]],TableDailySummary[Fecha],"&lt;="&amp;TableWeeklySummary[[#This Row],[Hasta]])</f>
        <v>0</v>
      </c>
      <c r="M302" s="12">
        <f ca="1">SUMIFS(TableDailySummary[Online Store_orders],TableDailySummary[Fecha],"&gt;="&amp;TableWeeklySummary[[#This Row],[Desde]],TableDailySummary[Fecha],"&lt;="&amp;TableWeeklySummary[[#This Row],[Hasta]])</f>
        <v>0</v>
      </c>
      <c r="N302" s="12">
        <f ca="1">SUMIFS(TableDailySummary[Tienda 81_net_sales],TableDailySummary[Fecha],"&gt;="&amp;TableWeeklySummary[[#This Row],[Desde]],TableDailySummary[Fecha],"&lt;="&amp;TableWeeklySummary[[#This Row],[Hasta]])</f>
        <v>0</v>
      </c>
      <c r="O302" s="12">
        <f ca="1">SUMIFS(TableDailySummary[Tienda 81_orders],TableDailySummary[Fecha],"&gt;="&amp;TableWeeklySummary[[#This Row],[Desde]],TableDailySummary[Fecha],"&lt;="&amp;TableWeeklySummary[[#This Row],[Hasta]])</f>
        <v>0</v>
      </c>
      <c r="P302" s="12">
        <f ca="1">SUMIFS(TableDailySummary[Rappi_net_sales],TableDailySummary[Fecha],"&gt;="&amp;TableWeeklySummary[[#This Row],[Desde]],TableDailySummary[Fecha],"&lt;="&amp;TableWeeklySummary[[#This Row],[Hasta]])</f>
        <v>0</v>
      </c>
      <c r="Q302" s="12">
        <f ca="1">SUMIFS(TableDailySummary[Rappi_orders],TableDailySummary[Fecha],"&gt;="&amp;TableWeeklySummary[[#This Row],[Desde]],TableDailySummary[Fecha],"&lt;="&amp;TableWeeklySummary[[#This Row],[Hasta]])</f>
        <v>0</v>
      </c>
      <c r="R30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0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02" s="12">
        <f ca="1">SUMIFS(TableDailySummary[Inversión google ads],TableDailySummary[Fecha],"&gt;="&amp;TableWeeklySummary[[#This Row],[Desde]],TableDailySummary[Fecha],"&lt;="&amp;TableWeeklySummary[[#This Row],[Hasta]])</f>
        <v>0</v>
      </c>
      <c r="U302" s="12">
        <f ca="1">SUMIFS(TableDailySummary[Ventas google ads],TableDailySummary[Fecha],"&gt;="&amp;TableWeeklySummary[[#This Row],[Desde]],TableDailySummary[Fecha],"&lt;="&amp;TableWeeklySummary[[#This Row],[Hasta]])</f>
        <v>0</v>
      </c>
      <c r="V302" s="12">
        <f ca="1">SUMIFS(TableDailySummary[Inversión meta ads],TableDailySummary[Fecha],"&gt;="&amp;TableWeeklySummary[[#This Row],[Desde]],TableDailySummary[Fecha],"&lt;="&amp;TableWeeklySummary[[#This Row],[Hasta]])</f>
        <v>0</v>
      </c>
      <c r="W302" s="12">
        <f ca="1">SUMIFS(TableDailySummary[Ventas meta ads],TableDailySummary[Fecha],"&gt;="&amp;TableWeeklySummary[[#This Row],[Desde]],TableDailySummary[Fecha],"&lt;="&amp;TableWeeklySummary[[#This Row],[Hasta]])</f>
        <v>0</v>
      </c>
      <c r="X302" s="12">
        <f ca="1">TableWeeklySummary[[#This Row],[Inversión google ads]]+TableWeeklySummary[[#This Row],[Inversión meta ads]]</f>
        <v>0</v>
      </c>
      <c r="Y302" s="12">
        <f ca="1">TableWeeklySummary[[#This Row],[Ventas google ads]]+TableWeeklySummary[[#This Row],[Ventas meta ads]]</f>
        <v>0</v>
      </c>
      <c r="Z302" s="14">
        <f ca="1">IFERROR(TableWeeklySummary[[#This Row],[Ventas publicidad]]/TableWeeklySummary[[#This Row],[Inversión publicidad]],0)</f>
        <v>0</v>
      </c>
      <c r="AA302" s="14">
        <f ca="1">IFERROR(TableWeeklySummary[[#This Row],[Ventas primer cliente]]/TableWeeklySummary[[#This Row],[Inversión publicidad]],0)</f>
        <v>0</v>
      </c>
      <c r="AB302" s="14"/>
      <c r="AC302" s="12"/>
      <c r="AI30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0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02" s="12">
        <f ca="1">SUMIFS(TableDailySummary[Utilidad bruta],TableDailySummary[Fecha],"&gt;="&amp;TableWeeklySummary[[#This Row],[Desde]],TableDailySummary[Fecha],"&lt;="&amp;TableWeeklySummary[[#This Row],[Hasta]])</f>
        <v>0</v>
      </c>
      <c r="AL302" s="18">
        <f ca="1">IFERROR(TableWeeklySummary[[#This Row],[Utilidad bruta]]/TableWeeklySummary[[#This Row],[Ventas netas con costo registrado]],0)</f>
        <v>0</v>
      </c>
    </row>
    <row r="303" spans="2:38" x14ac:dyDescent="0.2">
      <c r="B303" s="16">
        <f ca="1">_xlfn.ISOWEEKNUM(TableWeeklySummary[[#This Row],[Hasta]])</f>
        <v>28</v>
      </c>
      <c r="C303" s="6">
        <f t="shared" ca="1" si="6"/>
        <v>48033</v>
      </c>
      <c r="D303" s="6">
        <f ca="1">TableWeeklySummary[[#This Row],[Desde]]+7-1</f>
        <v>48039</v>
      </c>
      <c r="E303" s="12">
        <f ca="1">SUMIFS(TableDailySummary[Ventas netas totales],TableDailySummary[Fecha],"&gt;="&amp;TableWeeklySummary[[#This Row],[Desde]],TableDailySummary[Fecha],"&lt;="&amp;TableWeeklySummary[[#This Row],[Hasta]])</f>
        <v>0</v>
      </c>
      <c r="F303" s="12">
        <f ca="1">SUMIFS(TableDailySummary[Órdenes totales],TableDailySummary[Fecha],"&gt;="&amp;TableWeeklySummary[[#This Row],[Desde]],TableDailySummary[Fecha],"&lt;="&amp;TableWeeklySummary[[#This Row],[Hasta]])</f>
        <v>0</v>
      </c>
      <c r="G303" s="12">
        <f ca="1">IFERROR(TableWeeklySummary[[#This Row],[Ventas netas totales]]/TableWeeklySummary[[#This Row],[Órdenes totales]],0)</f>
        <v>0</v>
      </c>
      <c r="H30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03" s="12">
        <f ca="1">TableWeeklySummary[[#This Row],[Órden promedio totales]]*TableWeeklySummary[[#This Row],[CR totales]]</f>
        <v>0</v>
      </c>
      <c r="J303" s="12">
        <f ca="1">SUMIFS(TableDailySummary[Ventas primer cliente],TableDailySummary[Fecha],"&gt;="&amp;TableWeeklySummary[[#This Row],[Desde]],TableDailySummary[Fecha],"&lt;="&amp;TableWeeklySummary[[#This Row],[Hasta]])</f>
        <v>0</v>
      </c>
      <c r="K303" s="12">
        <f ca="1">SUMIFS(TableDailySummary[Órdenes primer cliente],TableDailySummary[Fecha],"&gt;="&amp;TableWeeklySummary[[#This Row],[Desde]],TableDailySummary[Fecha],"&lt;="&amp;TableWeeklySummary[[#This Row],[Hasta]])</f>
        <v>0</v>
      </c>
      <c r="L303" s="12">
        <f ca="1">SUMIFS(TableDailySummary[Online Store_net_sales],TableDailySummary[Fecha],"&gt;="&amp;TableWeeklySummary[[#This Row],[Desde]],TableDailySummary[Fecha],"&lt;="&amp;TableWeeklySummary[[#This Row],[Hasta]])</f>
        <v>0</v>
      </c>
      <c r="M303" s="12">
        <f ca="1">SUMIFS(TableDailySummary[Online Store_orders],TableDailySummary[Fecha],"&gt;="&amp;TableWeeklySummary[[#This Row],[Desde]],TableDailySummary[Fecha],"&lt;="&amp;TableWeeklySummary[[#This Row],[Hasta]])</f>
        <v>0</v>
      </c>
      <c r="N303" s="12">
        <f ca="1">SUMIFS(TableDailySummary[Tienda 81_net_sales],TableDailySummary[Fecha],"&gt;="&amp;TableWeeklySummary[[#This Row],[Desde]],TableDailySummary[Fecha],"&lt;="&amp;TableWeeklySummary[[#This Row],[Hasta]])</f>
        <v>0</v>
      </c>
      <c r="O303" s="12">
        <f ca="1">SUMIFS(TableDailySummary[Tienda 81_orders],TableDailySummary[Fecha],"&gt;="&amp;TableWeeklySummary[[#This Row],[Desde]],TableDailySummary[Fecha],"&lt;="&amp;TableWeeklySummary[[#This Row],[Hasta]])</f>
        <v>0</v>
      </c>
      <c r="P303" s="12">
        <f ca="1">SUMIFS(TableDailySummary[Rappi_net_sales],TableDailySummary[Fecha],"&gt;="&amp;TableWeeklySummary[[#This Row],[Desde]],TableDailySummary[Fecha],"&lt;="&amp;TableWeeklySummary[[#This Row],[Hasta]])</f>
        <v>0</v>
      </c>
      <c r="Q303" s="12">
        <f ca="1">SUMIFS(TableDailySummary[Rappi_orders],TableDailySummary[Fecha],"&gt;="&amp;TableWeeklySummary[[#This Row],[Desde]],TableDailySummary[Fecha],"&lt;="&amp;TableWeeklySummary[[#This Row],[Hasta]])</f>
        <v>0</v>
      </c>
      <c r="R30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0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03" s="12">
        <f ca="1">SUMIFS(TableDailySummary[Inversión google ads],TableDailySummary[Fecha],"&gt;="&amp;TableWeeklySummary[[#This Row],[Desde]],TableDailySummary[Fecha],"&lt;="&amp;TableWeeklySummary[[#This Row],[Hasta]])</f>
        <v>0</v>
      </c>
      <c r="U303" s="12">
        <f ca="1">SUMIFS(TableDailySummary[Ventas google ads],TableDailySummary[Fecha],"&gt;="&amp;TableWeeklySummary[[#This Row],[Desde]],TableDailySummary[Fecha],"&lt;="&amp;TableWeeklySummary[[#This Row],[Hasta]])</f>
        <v>0</v>
      </c>
      <c r="V303" s="12">
        <f ca="1">SUMIFS(TableDailySummary[Inversión meta ads],TableDailySummary[Fecha],"&gt;="&amp;TableWeeklySummary[[#This Row],[Desde]],TableDailySummary[Fecha],"&lt;="&amp;TableWeeklySummary[[#This Row],[Hasta]])</f>
        <v>0</v>
      </c>
      <c r="W303" s="12">
        <f ca="1">SUMIFS(TableDailySummary[Ventas meta ads],TableDailySummary[Fecha],"&gt;="&amp;TableWeeklySummary[[#This Row],[Desde]],TableDailySummary[Fecha],"&lt;="&amp;TableWeeklySummary[[#This Row],[Hasta]])</f>
        <v>0</v>
      </c>
      <c r="X303" s="12">
        <f ca="1">TableWeeklySummary[[#This Row],[Inversión google ads]]+TableWeeklySummary[[#This Row],[Inversión meta ads]]</f>
        <v>0</v>
      </c>
      <c r="Y303" s="12">
        <f ca="1">TableWeeklySummary[[#This Row],[Ventas google ads]]+TableWeeklySummary[[#This Row],[Ventas meta ads]]</f>
        <v>0</v>
      </c>
      <c r="Z303" s="14">
        <f ca="1">IFERROR(TableWeeklySummary[[#This Row],[Ventas publicidad]]/TableWeeklySummary[[#This Row],[Inversión publicidad]],0)</f>
        <v>0</v>
      </c>
      <c r="AA303" s="14">
        <f ca="1">IFERROR(TableWeeklySummary[[#This Row],[Ventas primer cliente]]/TableWeeklySummary[[#This Row],[Inversión publicidad]],0)</f>
        <v>0</v>
      </c>
      <c r="AB303" s="14"/>
      <c r="AC303" s="12"/>
      <c r="AI30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0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03" s="12">
        <f ca="1">SUMIFS(TableDailySummary[Utilidad bruta],TableDailySummary[Fecha],"&gt;="&amp;TableWeeklySummary[[#This Row],[Desde]],TableDailySummary[Fecha],"&lt;="&amp;TableWeeklySummary[[#This Row],[Hasta]])</f>
        <v>0</v>
      </c>
      <c r="AL303" s="18">
        <f ca="1">IFERROR(TableWeeklySummary[[#This Row],[Utilidad bruta]]/TableWeeklySummary[[#This Row],[Ventas netas con costo registrado]],0)</f>
        <v>0</v>
      </c>
    </row>
    <row r="304" spans="2:38" x14ac:dyDescent="0.2">
      <c r="B304" s="16">
        <f ca="1">_xlfn.ISOWEEKNUM(TableWeeklySummary[[#This Row],[Hasta]])</f>
        <v>29</v>
      </c>
      <c r="C304" s="6">
        <f t="shared" ca="1" si="6"/>
        <v>48040</v>
      </c>
      <c r="D304" s="6">
        <f ca="1">TableWeeklySummary[[#This Row],[Desde]]+7-1</f>
        <v>48046</v>
      </c>
      <c r="E304" s="12">
        <f ca="1">SUMIFS(TableDailySummary[Ventas netas totales],TableDailySummary[Fecha],"&gt;="&amp;TableWeeklySummary[[#This Row],[Desde]],TableDailySummary[Fecha],"&lt;="&amp;TableWeeklySummary[[#This Row],[Hasta]])</f>
        <v>0</v>
      </c>
      <c r="F304" s="12">
        <f ca="1">SUMIFS(TableDailySummary[Órdenes totales],TableDailySummary[Fecha],"&gt;="&amp;TableWeeklySummary[[#This Row],[Desde]],TableDailySummary[Fecha],"&lt;="&amp;TableWeeklySummary[[#This Row],[Hasta]])</f>
        <v>0</v>
      </c>
      <c r="G304" s="12">
        <f ca="1">IFERROR(TableWeeklySummary[[#This Row],[Ventas netas totales]]/TableWeeklySummary[[#This Row],[Órdenes totales]],0)</f>
        <v>0</v>
      </c>
      <c r="H30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04" s="12">
        <f ca="1">TableWeeklySummary[[#This Row],[Órden promedio totales]]*TableWeeklySummary[[#This Row],[CR totales]]</f>
        <v>0</v>
      </c>
      <c r="J304" s="12">
        <f ca="1">SUMIFS(TableDailySummary[Ventas primer cliente],TableDailySummary[Fecha],"&gt;="&amp;TableWeeklySummary[[#This Row],[Desde]],TableDailySummary[Fecha],"&lt;="&amp;TableWeeklySummary[[#This Row],[Hasta]])</f>
        <v>0</v>
      </c>
      <c r="K304" s="12">
        <f ca="1">SUMIFS(TableDailySummary[Órdenes primer cliente],TableDailySummary[Fecha],"&gt;="&amp;TableWeeklySummary[[#This Row],[Desde]],TableDailySummary[Fecha],"&lt;="&amp;TableWeeklySummary[[#This Row],[Hasta]])</f>
        <v>0</v>
      </c>
      <c r="L304" s="12">
        <f ca="1">SUMIFS(TableDailySummary[Online Store_net_sales],TableDailySummary[Fecha],"&gt;="&amp;TableWeeklySummary[[#This Row],[Desde]],TableDailySummary[Fecha],"&lt;="&amp;TableWeeklySummary[[#This Row],[Hasta]])</f>
        <v>0</v>
      </c>
      <c r="M304" s="12">
        <f ca="1">SUMIFS(TableDailySummary[Online Store_orders],TableDailySummary[Fecha],"&gt;="&amp;TableWeeklySummary[[#This Row],[Desde]],TableDailySummary[Fecha],"&lt;="&amp;TableWeeklySummary[[#This Row],[Hasta]])</f>
        <v>0</v>
      </c>
      <c r="N304" s="12">
        <f ca="1">SUMIFS(TableDailySummary[Tienda 81_net_sales],TableDailySummary[Fecha],"&gt;="&amp;TableWeeklySummary[[#This Row],[Desde]],TableDailySummary[Fecha],"&lt;="&amp;TableWeeklySummary[[#This Row],[Hasta]])</f>
        <v>0</v>
      </c>
      <c r="O304" s="12">
        <f ca="1">SUMIFS(TableDailySummary[Tienda 81_orders],TableDailySummary[Fecha],"&gt;="&amp;TableWeeklySummary[[#This Row],[Desde]],TableDailySummary[Fecha],"&lt;="&amp;TableWeeklySummary[[#This Row],[Hasta]])</f>
        <v>0</v>
      </c>
      <c r="P304" s="12">
        <f ca="1">SUMIFS(TableDailySummary[Rappi_net_sales],TableDailySummary[Fecha],"&gt;="&amp;TableWeeklySummary[[#This Row],[Desde]],TableDailySummary[Fecha],"&lt;="&amp;TableWeeklySummary[[#This Row],[Hasta]])</f>
        <v>0</v>
      </c>
      <c r="Q304" s="12">
        <f ca="1">SUMIFS(TableDailySummary[Rappi_orders],TableDailySummary[Fecha],"&gt;="&amp;TableWeeklySummary[[#This Row],[Desde]],TableDailySummary[Fecha],"&lt;="&amp;TableWeeklySummary[[#This Row],[Hasta]])</f>
        <v>0</v>
      </c>
      <c r="R30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0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04" s="12">
        <f ca="1">SUMIFS(TableDailySummary[Inversión google ads],TableDailySummary[Fecha],"&gt;="&amp;TableWeeklySummary[[#This Row],[Desde]],TableDailySummary[Fecha],"&lt;="&amp;TableWeeklySummary[[#This Row],[Hasta]])</f>
        <v>0</v>
      </c>
      <c r="U304" s="12">
        <f ca="1">SUMIFS(TableDailySummary[Ventas google ads],TableDailySummary[Fecha],"&gt;="&amp;TableWeeklySummary[[#This Row],[Desde]],TableDailySummary[Fecha],"&lt;="&amp;TableWeeklySummary[[#This Row],[Hasta]])</f>
        <v>0</v>
      </c>
      <c r="V304" s="12">
        <f ca="1">SUMIFS(TableDailySummary[Inversión meta ads],TableDailySummary[Fecha],"&gt;="&amp;TableWeeklySummary[[#This Row],[Desde]],TableDailySummary[Fecha],"&lt;="&amp;TableWeeklySummary[[#This Row],[Hasta]])</f>
        <v>0</v>
      </c>
      <c r="W304" s="12">
        <f ca="1">SUMIFS(TableDailySummary[Ventas meta ads],TableDailySummary[Fecha],"&gt;="&amp;TableWeeklySummary[[#This Row],[Desde]],TableDailySummary[Fecha],"&lt;="&amp;TableWeeklySummary[[#This Row],[Hasta]])</f>
        <v>0</v>
      </c>
      <c r="X304" s="12">
        <f ca="1">TableWeeklySummary[[#This Row],[Inversión google ads]]+TableWeeklySummary[[#This Row],[Inversión meta ads]]</f>
        <v>0</v>
      </c>
      <c r="Y304" s="12">
        <f ca="1">TableWeeklySummary[[#This Row],[Ventas google ads]]+TableWeeklySummary[[#This Row],[Ventas meta ads]]</f>
        <v>0</v>
      </c>
      <c r="Z304" s="14">
        <f ca="1">IFERROR(TableWeeklySummary[[#This Row],[Ventas publicidad]]/TableWeeklySummary[[#This Row],[Inversión publicidad]],0)</f>
        <v>0</v>
      </c>
      <c r="AA304" s="14">
        <f ca="1">IFERROR(TableWeeklySummary[[#This Row],[Ventas primer cliente]]/TableWeeklySummary[[#This Row],[Inversión publicidad]],0)</f>
        <v>0</v>
      </c>
      <c r="AB304" s="14"/>
      <c r="AC304" s="12"/>
      <c r="AI30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0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04" s="12">
        <f ca="1">SUMIFS(TableDailySummary[Utilidad bruta],TableDailySummary[Fecha],"&gt;="&amp;TableWeeklySummary[[#This Row],[Desde]],TableDailySummary[Fecha],"&lt;="&amp;TableWeeklySummary[[#This Row],[Hasta]])</f>
        <v>0</v>
      </c>
      <c r="AL304" s="18">
        <f ca="1">IFERROR(TableWeeklySummary[[#This Row],[Utilidad bruta]]/TableWeeklySummary[[#This Row],[Ventas netas con costo registrado]],0)</f>
        <v>0</v>
      </c>
    </row>
    <row r="305" spans="2:38" x14ac:dyDescent="0.2">
      <c r="B305" s="16">
        <f ca="1">_xlfn.ISOWEEKNUM(TableWeeklySummary[[#This Row],[Hasta]])</f>
        <v>30</v>
      </c>
      <c r="C305" s="6">
        <f t="shared" ca="1" si="6"/>
        <v>48047</v>
      </c>
      <c r="D305" s="6">
        <f ca="1">TableWeeklySummary[[#This Row],[Desde]]+7-1</f>
        <v>48053</v>
      </c>
      <c r="E305" s="12">
        <f ca="1">SUMIFS(TableDailySummary[Ventas netas totales],TableDailySummary[Fecha],"&gt;="&amp;TableWeeklySummary[[#This Row],[Desde]],TableDailySummary[Fecha],"&lt;="&amp;TableWeeklySummary[[#This Row],[Hasta]])</f>
        <v>0</v>
      </c>
      <c r="F305" s="12">
        <f ca="1">SUMIFS(TableDailySummary[Órdenes totales],TableDailySummary[Fecha],"&gt;="&amp;TableWeeklySummary[[#This Row],[Desde]],TableDailySummary[Fecha],"&lt;="&amp;TableWeeklySummary[[#This Row],[Hasta]])</f>
        <v>0</v>
      </c>
      <c r="G305" s="12">
        <f ca="1">IFERROR(TableWeeklySummary[[#This Row],[Ventas netas totales]]/TableWeeklySummary[[#This Row],[Órdenes totales]],0)</f>
        <v>0</v>
      </c>
      <c r="H30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05" s="12">
        <f ca="1">TableWeeklySummary[[#This Row],[Órden promedio totales]]*TableWeeklySummary[[#This Row],[CR totales]]</f>
        <v>0</v>
      </c>
      <c r="J305" s="12">
        <f ca="1">SUMIFS(TableDailySummary[Ventas primer cliente],TableDailySummary[Fecha],"&gt;="&amp;TableWeeklySummary[[#This Row],[Desde]],TableDailySummary[Fecha],"&lt;="&amp;TableWeeklySummary[[#This Row],[Hasta]])</f>
        <v>0</v>
      </c>
      <c r="K305" s="12">
        <f ca="1">SUMIFS(TableDailySummary[Órdenes primer cliente],TableDailySummary[Fecha],"&gt;="&amp;TableWeeklySummary[[#This Row],[Desde]],TableDailySummary[Fecha],"&lt;="&amp;TableWeeklySummary[[#This Row],[Hasta]])</f>
        <v>0</v>
      </c>
      <c r="L305" s="12">
        <f ca="1">SUMIFS(TableDailySummary[Online Store_net_sales],TableDailySummary[Fecha],"&gt;="&amp;TableWeeklySummary[[#This Row],[Desde]],TableDailySummary[Fecha],"&lt;="&amp;TableWeeklySummary[[#This Row],[Hasta]])</f>
        <v>0</v>
      </c>
      <c r="M305" s="12">
        <f ca="1">SUMIFS(TableDailySummary[Online Store_orders],TableDailySummary[Fecha],"&gt;="&amp;TableWeeklySummary[[#This Row],[Desde]],TableDailySummary[Fecha],"&lt;="&amp;TableWeeklySummary[[#This Row],[Hasta]])</f>
        <v>0</v>
      </c>
      <c r="N305" s="12">
        <f ca="1">SUMIFS(TableDailySummary[Tienda 81_net_sales],TableDailySummary[Fecha],"&gt;="&amp;TableWeeklySummary[[#This Row],[Desde]],TableDailySummary[Fecha],"&lt;="&amp;TableWeeklySummary[[#This Row],[Hasta]])</f>
        <v>0</v>
      </c>
      <c r="O305" s="12">
        <f ca="1">SUMIFS(TableDailySummary[Tienda 81_orders],TableDailySummary[Fecha],"&gt;="&amp;TableWeeklySummary[[#This Row],[Desde]],TableDailySummary[Fecha],"&lt;="&amp;TableWeeklySummary[[#This Row],[Hasta]])</f>
        <v>0</v>
      </c>
      <c r="P305" s="12">
        <f ca="1">SUMIFS(TableDailySummary[Rappi_net_sales],TableDailySummary[Fecha],"&gt;="&amp;TableWeeklySummary[[#This Row],[Desde]],TableDailySummary[Fecha],"&lt;="&amp;TableWeeklySummary[[#This Row],[Hasta]])</f>
        <v>0</v>
      </c>
      <c r="Q305" s="12">
        <f ca="1">SUMIFS(TableDailySummary[Rappi_orders],TableDailySummary[Fecha],"&gt;="&amp;TableWeeklySummary[[#This Row],[Desde]],TableDailySummary[Fecha],"&lt;="&amp;TableWeeklySummary[[#This Row],[Hasta]])</f>
        <v>0</v>
      </c>
      <c r="R30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0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05" s="12">
        <f ca="1">SUMIFS(TableDailySummary[Inversión google ads],TableDailySummary[Fecha],"&gt;="&amp;TableWeeklySummary[[#This Row],[Desde]],TableDailySummary[Fecha],"&lt;="&amp;TableWeeklySummary[[#This Row],[Hasta]])</f>
        <v>0</v>
      </c>
      <c r="U305" s="12">
        <f ca="1">SUMIFS(TableDailySummary[Ventas google ads],TableDailySummary[Fecha],"&gt;="&amp;TableWeeklySummary[[#This Row],[Desde]],TableDailySummary[Fecha],"&lt;="&amp;TableWeeklySummary[[#This Row],[Hasta]])</f>
        <v>0</v>
      </c>
      <c r="V305" s="12">
        <f ca="1">SUMIFS(TableDailySummary[Inversión meta ads],TableDailySummary[Fecha],"&gt;="&amp;TableWeeklySummary[[#This Row],[Desde]],TableDailySummary[Fecha],"&lt;="&amp;TableWeeklySummary[[#This Row],[Hasta]])</f>
        <v>0</v>
      </c>
      <c r="W305" s="12">
        <f ca="1">SUMIFS(TableDailySummary[Ventas meta ads],TableDailySummary[Fecha],"&gt;="&amp;TableWeeklySummary[[#This Row],[Desde]],TableDailySummary[Fecha],"&lt;="&amp;TableWeeklySummary[[#This Row],[Hasta]])</f>
        <v>0</v>
      </c>
      <c r="X305" s="12">
        <f ca="1">TableWeeklySummary[[#This Row],[Inversión google ads]]+TableWeeklySummary[[#This Row],[Inversión meta ads]]</f>
        <v>0</v>
      </c>
      <c r="Y305" s="12">
        <f ca="1">TableWeeklySummary[[#This Row],[Ventas google ads]]+TableWeeklySummary[[#This Row],[Ventas meta ads]]</f>
        <v>0</v>
      </c>
      <c r="Z305" s="14">
        <f ca="1">IFERROR(TableWeeklySummary[[#This Row],[Ventas publicidad]]/TableWeeklySummary[[#This Row],[Inversión publicidad]],0)</f>
        <v>0</v>
      </c>
      <c r="AA305" s="14">
        <f ca="1">IFERROR(TableWeeklySummary[[#This Row],[Ventas primer cliente]]/TableWeeklySummary[[#This Row],[Inversión publicidad]],0)</f>
        <v>0</v>
      </c>
      <c r="AB305" s="14"/>
      <c r="AC305" s="12"/>
      <c r="AI30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0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05" s="12">
        <f ca="1">SUMIFS(TableDailySummary[Utilidad bruta],TableDailySummary[Fecha],"&gt;="&amp;TableWeeklySummary[[#This Row],[Desde]],TableDailySummary[Fecha],"&lt;="&amp;TableWeeklySummary[[#This Row],[Hasta]])</f>
        <v>0</v>
      </c>
      <c r="AL305" s="18">
        <f ca="1">IFERROR(TableWeeklySummary[[#This Row],[Utilidad bruta]]/TableWeeklySummary[[#This Row],[Ventas netas con costo registrado]],0)</f>
        <v>0</v>
      </c>
    </row>
    <row r="306" spans="2:38" x14ac:dyDescent="0.2">
      <c r="B306" s="16">
        <f ca="1">_xlfn.ISOWEEKNUM(TableWeeklySummary[[#This Row],[Hasta]])</f>
        <v>31</v>
      </c>
      <c r="C306" s="6">
        <f t="shared" ca="1" si="6"/>
        <v>48054</v>
      </c>
      <c r="D306" s="6">
        <f ca="1">TableWeeklySummary[[#This Row],[Desde]]+7-1</f>
        <v>48060</v>
      </c>
      <c r="E306" s="12">
        <f ca="1">SUMIFS(TableDailySummary[Ventas netas totales],TableDailySummary[Fecha],"&gt;="&amp;TableWeeklySummary[[#This Row],[Desde]],TableDailySummary[Fecha],"&lt;="&amp;TableWeeklySummary[[#This Row],[Hasta]])</f>
        <v>0</v>
      </c>
      <c r="F306" s="12">
        <f ca="1">SUMIFS(TableDailySummary[Órdenes totales],TableDailySummary[Fecha],"&gt;="&amp;TableWeeklySummary[[#This Row],[Desde]],TableDailySummary[Fecha],"&lt;="&amp;TableWeeklySummary[[#This Row],[Hasta]])</f>
        <v>0</v>
      </c>
      <c r="G306" s="12">
        <f ca="1">IFERROR(TableWeeklySummary[[#This Row],[Ventas netas totales]]/TableWeeklySummary[[#This Row],[Órdenes totales]],0)</f>
        <v>0</v>
      </c>
      <c r="H30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06" s="12">
        <f ca="1">TableWeeklySummary[[#This Row],[Órden promedio totales]]*TableWeeklySummary[[#This Row],[CR totales]]</f>
        <v>0</v>
      </c>
      <c r="J306" s="12">
        <f ca="1">SUMIFS(TableDailySummary[Ventas primer cliente],TableDailySummary[Fecha],"&gt;="&amp;TableWeeklySummary[[#This Row],[Desde]],TableDailySummary[Fecha],"&lt;="&amp;TableWeeklySummary[[#This Row],[Hasta]])</f>
        <v>0</v>
      </c>
      <c r="K306" s="12">
        <f ca="1">SUMIFS(TableDailySummary[Órdenes primer cliente],TableDailySummary[Fecha],"&gt;="&amp;TableWeeklySummary[[#This Row],[Desde]],TableDailySummary[Fecha],"&lt;="&amp;TableWeeklySummary[[#This Row],[Hasta]])</f>
        <v>0</v>
      </c>
      <c r="L306" s="12">
        <f ca="1">SUMIFS(TableDailySummary[Online Store_net_sales],TableDailySummary[Fecha],"&gt;="&amp;TableWeeklySummary[[#This Row],[Desde]],TableDailySummary[Fecha],"&lt;="&amp;TableWeeklySummary[[#This Row],[Hasta]])</f>
        <v>0</v>
      </c>
      <c r="M306" s="12">
        <f ca="1">SUMIFS(TableDailySummary[Online Store_orders],TableDailySummary[Fecha],"&gt;="&amp;TableWeeklySummary[[#This Row],[Desde]],TableDailySummary[Fecha],"&lt;="&amp;TableWeeklySummary[[#This Row],[Hasta]])</f>
        <v>0</v>
      </c>
      <c r="N306" s="12">
        <f ca="1">SUMIFS(TableDailySummary[Tienda 81_net_sales],TableDailySummary[Fecha],"&gt;="&amp;TableWeeklySummary[[#This Row],[Desde]],TableDailySummary[Fecha],"&lt;="&amp;TableWeeklySummary[[#This Row],[Hasta]])</f>
        <v>0</v>
      </c>
      <c r="O306" s="12">
        <f ca="1">SUMIFS(TableDailySummary[Tienda 81_orders],TableDailySummary[Fecha],"&gt;="&amp;TableWeeklySummary[[#This Row],[Desde]],TableDailySummary[Fecha],"&lt;="&amp;TableWeeklySummary[[#This Row],[Hasta]])</f>
        <v>0</v>
      </c>
      <c r="P306" s="12">
        <f ca="1">SUMIFS(TableDailySummary[Rappi_net_sales],TableDailySummary[Fecha],"&gt;="&amp;TableWeeklySummary[[#This Row],[Desde]],TableDailySummary[Fecha],"&lt;="&amp;TableWeeklySummary[[#This Row],[Hasta]])</f>
        <v>0</v>
      </c>
      <c r="Q306" s="12">
        <f ca="1">SUMIFS(TableDailySummary[Rappi_orders],TableDailySummary[Fecha],"&gt;="&amp;TableWeeklySummary[[#This Row],[Desde]],TableDailySummary[Fecha],"&lt;="&amp;TableWeeklySummary[[#This Row],[Hasta]])</f>
        <v>0</v>
      </c>
      <c r="R30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0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06" s="12">
        <f ca="1">SUMIFS(TableDailySummary[Inversión google ads],TableDailySummary[Fecha],"&gt;="&amp;TableWeeklySummary[[#This Row],[Desde]],TableDailySummary[Fecha],"&lt;="&amp;TableWeeklySummary[[#This Row],[Hasta]])</f>
        <v>0</v>
      </c>
      <c r="U306" s="12">
        <f ca="1">SUMIFS(TableDailySummary[Ventas google ads],TableDailySummary[Fecha],"&gt;="&amp;TableWeeklySummary[[#This Row],[Desde]],TableDailySummary[Fecha],"&lt;="&amp;TableWeeklySummary[[#This Row],[Hasta]])</f>
        <v>0</v>
      </c>
      <c r="V306" s="12">
        <f ca="1">SUMIFS(TableDailySummary[Inversión meta ads],TableDailySummary[Fecha],"&gt;="&amp;TableWeeklySummary[[#This Row],[Desde]],TableDailySummary[Fecha],"&lt;="&amp;TableWeeklySummary[[#This Row],[Hasta]])</f>
        <v>0</v>
      </c>
      <c r="W306" s="12">
        <f ca="1">SUMIFS(TableDailySummary[Ventas meta ads],TableDailySummary[Fecha],"&gt;="&amp;TableWeeklySummary[[#This Row],[Desde]],TableDailySummary[Fecha],"&lt;="&amp;TableWeeklySummary[[#This Row],[Hasta]])</f>
        <v>0</v>
      </c>
      <c r="X306" s="12">
        <f ca="1">TableWeeklySummary[[#This Row],[Inversión google ads]]+TableWeeklySummary[[#This Row],[Inversión meta ads]]</f>
        <v>0</v>
      </c>
      <c r="Y306" s="12">
        <f ca="1">TableWeeklySummary[[#This Row],[Ventas google ads]]+TableWeeklySummary[[#This Row],[Ventas meta ads]]</f>
        <v>0</v>
      </c>
      <c r="Z306" s="14">
        <f ca="1">IFERROR(TableWeeklySummary[[#This Row],[Ventas publicidad]]/TableWeeklySummary[[#This Row],[Inversión publicidad]],0)</f>
        <v>0</v>
      </c>
      <c r="AA306" s="14">
        <f ca="1">IFERROR(TableWeeklySummary[[#This Row],[Ventas primer cliente]]/TableWeeklySummary[[#This Row],[Inversión publicidad]],0)</f>
        <v>0</v>
      </c>
      <c r="AB306" s="14"/>
      <c r="AC306" s="12"/>
      <c r="AI30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0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06" s="12">
        <f ca="1">SUMIFS(TableDailySummary[Utilidad bruta],TableDailySummary[Fecha],"&gt;="&amp;TableWeeklySummary[[#This Row],[Desde]],TableDailySummary[Fecha],"&lt;="&amp;TableWeeklySummary[[#This Row],[Hasta]])</f>
        <v>0</v>
      </c>
      <c r="AL306" s="18">
        <f ca="1">IFERROR(TableWeeklySummary[[#This Row],[Utilidad bruta]]/TableWeeklySummary[[#This Row],[Ventas netas con costo registrado]],0)</f>
        <v>0</v>
      </c>
    </row>
    <row r="307" spans="2:38" x14ac:dyDescent="0.2">
      <c r="B307" s="16">
        <f ca="1">_xlfn.ISOWEEKNUM(TableWeeklySummary[[#This Row],[Hasta]])</f>
        <v>32</v>
      </c>
      <c r="C307" s="6">
        <f t="shared" ca="1" si="6"/>
        <v>48061</v>
      </c>
      <c r="D307" s="6">
        <f ca="1">TableWeeklySummary[[#This Row],[Desde]]+7-1</f>
        <v>48067</v>
      </c>
      <c r="E307" s="12">
        <f ca="1">SUMIFS(TableDailySummary[Ventas netas totales],TableDailySummary[Fecha],"&gt;="&amp;TableWeeklySummary[[#This Row],[Desde]],TableDailySummary[Fecha],"&lt;="&amp;TableWeeklySummary[[#This Row],[Hasta]])</f>
        <v>0</v>
      </c>
      <c r="F307" s="12">
        <f ca="1">SUMIFS(TableDailySummary[Órdenes totales],TableDailySummary[Fecha],"&gt;="&amp;TableWeeklySummary[[#This Row],[Desde]],TableDailySummary[Fecha],"&lt;="&amp;TableWeeklySummary[[#This Row],[Hasta]])</f>
        <v>0</v>
      </c>
      <c r="G307" s="12">
        <f ca="1">IFERROR(TableWeeklySummary[[#This Row],[Ventas netas totales]]/TableWeeklySummary[[#This Row],[Órdenes totales]],0)</f>
        <v>0</v>
      </c>
      <c r="H30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07" s="12">
        <f ca="1">TableWeeklySummary[[#This Row],[Órden promedio totales]]*TableWeeklySummary[[#This Row],[CR totales]]</f>
        <v>0</v>
      </c>
      <c r="J307" s="12">
        <f ca="1">SUMIFS(TableDailySummary[Ventas primer cliente],TableDailySummary[Fecha],"&gt;="&amp;TableWeeklySummary[[#This Row],[Desde]],TableDailySummary[Fecha],"&lt;="&amp;TableWeeklySummary[[#This Row],[Hasta]])</f>
        <v>0</v>
      </c>
      <c r="K307" s="12">
        <f ca="1">SUMIFS(TableDailySummary[Órdenes primer cliente],TableDailySummary[Fecha],"&gt;="&amp;TableWeeklySummary[[#This Row],[Desde]],TableDailySummary[Fecha],"&lt;="&amp;TableWeeklySummary[[#This Row],[Hasta]])</f>
        <v>0</v>
      </c>
      <c r="L307" s="12">
        <f ca="1">SUMIFS(TableDailySummary[Online Store_net_sales],TableDailySummary[Fecha],"&gt;="&amp;TableWeeklySummary[[#This Row],[Desde]],TableDailySummary[Fecha],"&lt;="&amp;TableWeeklySummary[[#This Row],[Hasta]])</f>
        <v>0</v>
      </c>
      <c r="M307" s="12">
        <f ca="1">SUMIFS(TableDailySummary[Online Store_orders],TableDailySummary[Fecha],"&gt;="&amp;TableWeeklySummary[[#This Row],[Desde]],TableDailySummary[Fecha],"&lt;="&amp;TableWeeklySummary[[#This Row],[Hasta]])</f>
        <v>0</v>
      </c>
      <c r="N307" s="12">
        <f ca="1">SUMIFS(TableDailySummary[Tienda 81_net_sales],TableDailySummary[Fecha],"&gt;="&amp;TableWeeklySummary[[#This Row],[Desde]],TableDailySummary[Fecha],"&lt;="&amp;TableWeeklySummary[[#This Row],[Hasta]])</f>
        <v>0</v>
      </c>
      <c r="O307" s="12">
        <f ca="1">SUMIFS(TableDailySummary[Tienda 81_orders],TableDailySummary[Fecha],"&gt;="&amp;TableWeeklySummary[[#This Row],[Desde]],TableDailySummary[Fecha],"&lt;="&amp;TableWeeklySummary[[#This Row],[Hasta]])</f>
        <v>0</v>
      </c>
      <c r="P307" s="12">
        <f ca="1">SUMIFS(TableDailySummary[Rappi_net_sales],TableDailySummary[Fecha],"&gt;="&amp;TableWeeklySummary[[#This Row],[Desde]],TableDailySummary[Fecha],"&lt;="&amp;TableWeeklySummary[[#This Row],[Hasta]])</f>
        <v>0</v>
      </c>
      <c r="Q307" s="12">
        <f ca="1">SUMIFS(TableDailySummary[Rappi_orders],TableDailySummary[Fecha],"&gt;="&amp;TableWeeklySummary[[#This Row],[Desde]],TableDailySummary[Fecha],"&lt;="&amp;TableWeeklySummary[[#This Row],[Hasta]])</f>
        <v>0</v>
      </c>
      <c r="R30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0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07" s="12">
        <f ca="1">SUMIFS(TableDailySummary[Inversión google ads],TableDailySummary[Fecha],"&gt;="&amp;TableWeeklySummary[[#This Row],[Desde]],TableDailySummary[Fecha],"&lt;="&amp;TableWeeklySummary[[#This Row],[Hasta]])</f>
        <v>0</v>
      </c>
      <c r="U307" s="12">
        <f ca="1">SUMIFS(TableDailySummary[Ventas google ads],TableDailySummary[Fecha],"&gt;="&amp;TableWeeklySummary[[#This Row],[Desde]],TableDailySummary[Fecha],"&lt;="&amp;TableWeeklySummary[[#This Row],[Hasta]])</f>
        <v>0</v>
      </c>
      <c r="V307" s="12">
        <f ca="1">SUMIFS(TableDailySummary[Inversión meta ads],TableDailySummary[Fecha],"&gt;="&amp;TableWeeklySummary[[#This Row],[Desde]],TableDailySummary[Fecha],"&lt;="&amp;TableWeeklySummary[[#This Row],[Hasta]])</f>
        <v>0</v>
      </c>
      <c r="W307" s="12">
        <f ca="1">SUMIFS(TableDailySummary[Ventas meta ads],TableDailySummary[Fecha],"&gt;="&amp;TableWeeklySummary[[#This Row],[Desde]],TableDailySummary[Fecha],"&lt;="&amp;TableWeeklySummary[[#This Row],[Hasta]])</f>
        <v>0</v>
      </c>
      <c r="X307" s="12">
        <f ca="1">TableWeeklySummary[[#This Row],[Inversión google ads]]+TableWeeklySummary[[#This Row],[Inversión meta ads]]</f>
        <v>0</v>
      </c>
      <c r="Y307" s="12">
        <f ca="1">TableWeeklySummary[[#This Row],[Ventas google ads]]+TableWeeklySummary[[#This Row],[Ventas meta ads]]</f>
        <v>0</v>
      </c>
      <c r="Z307" s="14">
        <f ca="1">IFERROR(TableWeeklySummary[[#This Row],[Ventas publicidad]]/TableWeeklySummary[[#This Row],[Inversión publicidad]],0)</f>
        <v>0</v>
      </c>
      <c r="AA307" s="14">
        <f ca="1">IFERROR(TableWeeklySummary[[#This Row],[Ventas primer cliente]]/TableWeeklySummary[[#This Row],[Inversión publicidad]],0)</f>
        <v>0</v>
      </c>
      <c r="AB307" s="14"/>
      <c r="AC307" s="12"/>
      <c r="AI30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0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07" s="12">
        <f ca="1">SUMIFS(TableDailySummary[Utilidad bruta],TableDailySummary[Fecha],"&gt;="&amp;TableWeeklySummary[[#This Row],[Desde]],TableDailySummary[Fecha],"&lt;="&amp;TableWeeklySummary[[#This Row],[Hasta]])</f>
        <v>0</v>
      </c>
      <c r="AL307" s="18">
        <f ca="1">IFERROR(TableWeeklySummary[[#This Row],[Utilidad bruta]]/TableWeeklySummary[[#This Row],[Ventas netas con costo registrado]],0)</f>
        <v>0</v>
      </c>
    </row>
    <row r="308" spans="2:38" x14ac:dyDescent="0.2">
      <c r="B308" s="16">
        <f ca="1">_xlfn.ISOWEEKNUM(TableWeeklySummary[[#This Row],[Hasta]])</f>
        <v>33</v>
      </c>
      <c r="C308" s="6">
        <f t="shared" ca="1" si="6"/>
        <v>48068</v>
      </c>
      <c r="D308" s="6">
        <f ca="1">TableWeeklySummary[[#This Row],[Desde]]+7-1</f>
        <v>48074</v>
      </c>
      <c r="E308" s="12">
        <f ca="1">SUMIFS(TableDailySummary[Ventas netas totales],TableDailySummary[Fecha],"&gt;="&amp;TableWeeklySummary[[#This Row],[Desde]],TableDailySummary[Fecha],"&lt;="&amp;TableWeeklySummary[[#This Row],[Hasta]])</f>
        <v>0</v>
      </c>
      <c r="F308" s="12">
        <f ca="1">SUMIFS(TableDailySummary[Órdenes totales],TableDailySummary[Fecha],"&gt;="&amp;TableWeeklySummary[[#This Row],[Desde]],TableDailySummary[Fecha],"&lt;="&amp;TableWeeklySummary[[#This Row],[Hasta]])</f>
        <v>0</v>
      </c>
      <c r="G308" s="12">
        <f ca="1">IFERROR(TableWeeklySummary[[#This Row],[Ventas netas totales]]/TableWeeklySummary[[#This Row],[Órdenes totales]],0)</f>
        <v>0</v>
      </c>
      <c r="H30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08" s="12">
        <f ca="1">TableWeeklySummary[[#This Row],[Órden promedio totales]]*TableWeeklySummary[[#This Row],[CR totales]]</f>
        <v>0</v>
      </c>
      <c r="J308" s="12">
        <f ca="1">SUMIFS(TableDailySummary[Ventas primer cliente],TableDailySummary[Fecha],"&gt;="&amp;TableWeeklySummary[[#This Row],[Desde]],TableDailySummary[Fecha],"&lt;="&amp;TableWeeklySummary[[#This Row],[Hasta]])</f>
        <v>0</v>
      </c>
      <c r="K308" s="12">
        <f ca="1">SUMIFS(TableDailySummary[Órdenes primer cliente],TableDailySummary[Fecha],"&gt;="&amp;TableWeeklySummary[[#This Row],[Desde]],TableDailySummary[Fecha],"&lt;="&amp;TableWeeklySummary[[#This Row],[Hasta]])</f>
        <v>0</v>
      </c>
      <c r="L308" s="12">
        <f ca="1">SUMIFS(TableDailySummary[Online Store_net_sales],TableDailySummary[Fecha],"&gt;="&amp;TableWeeklySummary[[#This Row],[Desde]],TableDailySummary[Fecha],"&lt;="&amp;TableWeeklySummary[[#This Row],[Hasta]])</f>
        <v>0</v>
      </c>
      <c r="M308" s="12">
        <f ca="1">SUMIFS(TableDailySummary[Online Store_orders],TableDailySummary[Fecha],"&gt;="&amp;TableWeeklySummary[[#This Row],[Desde]],TableDailySummary[Fecha],"&lt;="&amp;TableWeeklySummary[[#This Row],[Hasta]])</f>
        <v>0</v>
      </c>
      <c r="N308" s="12">
        <f ca="1">SUMIFS(TableDailySummary[Tienda 81_net_sales],TableDailySummary[Fecha],"&gt;="&amp;TableWeeklySummary[[#This Row],[Desde]],TableDailySummary[Fecha],"&lt;="&amp;TableWeeklySummary[[#This Row],[Hasta]])</f>
        <v>0</v>
      </c>
      <c r="O308" s="12">
        <f ca="1">SUMIFS(TableDailySummary[Tienda 81_orders],TableDailySummary[Fecha],"&gt;="&amp;TableWeeklySummary[[#This Row],[Desde]],TableDailySummary[Fecha],"&lt;="&amp;TableWeeklySummary[[#This Row],[Hasta]])</f>
        <v>0</v>
      </c>
      <c r="P308" s="12">
        <f ca="1">SUMIFS(TableDailySummary[Rappi_net_sales],TableDailySummary[Fecha],"&gt;="&amp;TableWeeklySummary[[#This Row],[Desde]],TableDailySummary[Fecha],"&lt;="&amp;TableWeeklySummary[[#This Row],[Hasta]])</f>
        <v>0</v>
      </c>
      <c r="Q308" s="12">
        <f ca="1">SUMIFS(TableDailySummary[Rappi_orders],TableDailySummary[Fecha],"&gt;="&amp;TableWeeklySummary[[#This Row],[Desde]],TableDailySummary[Fecha],"&lt;="&amp;TableWeeklySummary[[#This Row],[Hasta]])</f>
        <v>0</v>
      </c>
      <c r="R30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0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08" s="12">
        <f ca="1">SUMIFS(TableDailySummary[Inversión google ads],TableDailySummary[Fecha],"&gt;="&amp;TableWeeklySummary[[#This Row],[Desde]],TableDailySummary[Fecha],"&lt;="&amp;TableWeeklySummary[[#This Row],[Hasta]])</f>
        <v>0</v>
      </c>
      <c r="U308" s="12">
        <f ca="1">SUMIFS(TableDailySummary[Ventas google ads],TableDailySummary[Fecha],"&gt;="&amp;TableWeeklySummary[[#This Row],[Desde]],TableDailySummary[Fecha],"&lt;="&amp;TableWeeklySummary[[#This Row],[Hasta]])</f>
        <v>0</v>
      </c>
      <c r="V308" s="12">
        <f ca="1">SUMIFS(TableDailySummary[Inversión meta ads],TableDailySummary[Fecha],"&gt;="&amp;TableWeeklySummary[[#This Row],[Desde]],TableDailySummary[Fecha],"&lt;="&amp;TableWeeklySummary[[#This Row],[Hasta]])</f>
        <v>0</v>
      </c>
      <c r="W308" s="12">
        <f ca="1">SUMIFS(TableDailySummary[Ventas meta ads],TableDailySummary[Fecha],"&gt;="&amp;TableWeeklySummary[[#This Row],[Desde]],TableDailySummary[Fecha],"&lt;="&amp;TableWeeklySummary[[#This Row],[Hasta]])</f>
        <v>0</v>
      </c>
      <c r="X308" s="12">
        <f ca="1">TableWeeklySummary[[#This Row],[Inversión google ads]]+TableWeeklySummary[[#This Row],[Inversión meta ads]]</f>
        <v>0</v>
      </c>
      <c r="Y308" s="12">
        <f ca="1">TableWeeklySummary[[#This Row],[Ventas google ads]]+TableWeeklySummary[[#This Row],[Ventas meta ads]]</f>
        <v>0</v>
      </c>
      <c r="Z308" s="14">
        <f ca="1">IFERROR(TableWeeklySummary[[#This Row],[Ventas publicidad]]/TableWeeklySummary[[#This Row],[Inversión publicidad]],0)</f>
        <v>0</v>
      </c>
      <c r="AA308" s="14">
        <f ca="1">IFERROR(TableWeeklySummary[[#This Row],[Ventas primer cliente]]/TableWeeklySummary[[#This Row],[Inversión publicidad]],0)</f>
        <v>0</v>
      </c>
      <c r="AB308" s="14"/>
      <c r="AC308" s="12"/>
      <c r="AI30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0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08" s="12">
        <f ca="1">SUMIFS(TableDailySummary[Utilidad bruta],TableDailySummary[Fecha],"&gt;="&amp;TableWeeklySummary[[#This Row],[Desde]],TableDailySummary[Fecha],"&lt;="&amp;TableWeeklySummary[[#This Row],[Hasta]])</f>
        <v>0</v>
      </c>
      <c r="AL308" s="18">
        <f ca="1">IFERROR(TableWeeklySummary[[#This Row],[Utilidad bruta]]/TableWeeklySummary[[#This Row],[Ventas netas con costo registrado]],0)</f>
        <v>0</v>
      </c>
    </row>
    <row r="309" spans="2:38" x14ac:dyDescent="0.2">
      <c r="B309" s="16">
        <f ca="1">_xlfn.ISOWEEKNUM(TableWeeklySummary[[#This Row],[Hasta]])</f>
        <v>34</v>
      </c>
      <c r="C309" s="6">
        <f t="shared" ca="1" si="6"/>
        <v>48075</v>
      </c>
      <c r="D309" s="6">
        <f ca="1">TableWeeklySummary[[#This Row],[Desde]]+7-1</f>
        <v>48081</v>
      </c>
      <c r="E309" s="12">
        <f ca="1">SUMIFS(TableDailySummary[Ventas netas totales],TableDailySummary[Fecha],"&gt;="&amp;TableWeeklySummary[[#This Row],[Desde]],TableDailySummary[Fecha],"&lt;="&amp;TableWeeklySummary[[#This Row],[Hasta]])</f>
        <v>0</v>
      </c>
      <c r="F309" s="12">
        <f ca="1">SUMIFS(TableDailySummary[Órdenes totales],TableDailySummary[Fecha],"&gt;="&amp;TableWeeklySummary[[#This Row],[Desde]],TableDailySummary[Fecha],"&lt;="&amp;TableWeeklySummary[[#This Row],[Hasta]])</f>
        <v>0</v>
      </c>
      <c r="G309" s="12">
        <f ca="1">IFERROR(TableWeeklySummary[[#This Row],[Ventas netas totales]]/TableWeeklySummary[[#This Row],[Órdenes totales]],0)</f>
        <v>0</v>
      </c>
      <c r="H30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09" s="12">
        <f ca="1">TableWeeklySummary[[#This Row],[Órden promedio totales]]*TableWeeklySummary[[#This Row],[CR totales]]</f>
        <v>0</v>
      </c>
      <c r="J309" s="12">
        <f ca="1">SUMIFS(TableDailySummary[Ventas primer cliente],TableDailySummary[Fecha],"&gt;="&amp;TableWeeklySummary[[#This Row],[Desde]],TableDailySummary[Fecha],"&lt;="&amp;TableWeeklySummary[[#This Row],[Hasta]])</f>
        <v>0</v>
      </c>
      <c r="K309" s="12">
        <f ca="1">SUMIFS(TableDailySummary[Órdenes primer cliente],TableDailySummary[Fecha],"&gt;="&amp;TableWeeklySummary[[#This Row],[Desde]],TableDailySummary[Fecha],"&lt;="&amp;TableWeeklySummary[[#This Row],[Hasta]])</f>
        <v>0</v>
      </c>
      <c r="L309" s="12">
        <f ca="1">SUMIFS(TableDailySummary[Online Store_net_sales],TableDailySummary[Fecha],"&gt;="&amp;TableWeeklySummary[[#This Row],[Desde]],TableDailySummary[Fecha],"&lt;="&amp;TableWeeklySummary[[#This Row],[Hasta]])</f>
        <v>0</v>
      </c>
      <c r="M309" s="12">
        <f ca="1">SUMIFS(TableDailySummary[Online Store_orders],TableDailySummary[Fecha],"&gt;="&amp;TableWeeklySummary[[#This Row],[Desde]],TableDailySummary[Fecha],"&lt;="&amp;TableWeeklySummary[[#This Row],[Hasta]])</f>
        <v>0</v>
      </c>
      <c r="N309" s="12">
        <f ca="1">SUMIFS(TableDailySummary[Tienda 81_net_sales],TableDailySummary[Fecha],"&gt;="&amp;TableWeeklySummary[[#This Row],[Desde]],TableDailySummary[Fecha],"&lt;="&amp;TableWeeklySummary[[#This Row],[Hasta]])</f>
        <v>0</v>
      </c>
      <c r="O309" s="12">
        <f ca="1">SUMIFS(TableDailySummary[Tienda 81_orders],TableDailySummary[Fecha],"&gt;="&amp;TableWeeklySummary[[#This Row],[Desde]],TableDailySummary[Fecha],"&lt;="&amp;TableWeeklySummary[[#This Row],[Hasta]])</f>
        <v>0</v>
      </c>
      <c r="P309" s="12">
        <f ca="1">SUMIFS(TableDailySummary[Rappi_net_sales],TableDailySummary[Fecha],"&gt;="&amp;TableWeeklySummary[[#This Row],[Desde]],TableDailySummary[Fecha],"&lt;="&amp;TableWeeklySummary[[#This Row],[Hasta]])</f>
        <v>0</v>
      </c>
      <c r="Q309" s="12">
        <f ca="1">SUMIFS(TableDailySummary[Rappi_orders],TableDailySummary[Fecha],"&gt;="&amp;TableWeeklySummary[[#This Row],[Desde]],TableDailySummary[Fecha],"&lt;="&amp;TableWeeklySummary[[#This Row],[Hasta]])</f>
        <v>0</v>
      </c>
      <c r="R30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0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09" s="12">
        <f ca="1">SUMIFS(TableDailySummary[Inversión google ads],TableDailySummary[Fecha],"&gt;="&amp;TableWeeklySummary[[#This Row],[Desde]],TableDailySummary[Fecha],"&lt;="&amp;TableWeeklySummary[[#This Row],[Hasta]])</f>
        <v>0</v>
      </c>
      <c r="U309" s="12">
        <f ca="1">SUMIFS(TableDailySummary[Ventas google ads],TableDailySummary[Fecha],"&gt;="&amp;TableWeeklySummary[[#This Row],[Desde]],TableDailySummary[Fecha],"&lt;="&amp;TableWeeklySummary[[#This Row],[Hasta]])</f>
        <v>0</v>
      </c>
      <c r="V309" s="12">
        <f ca="1">SUMIFS(TableDailySummary[Inversión meta ads],TableDailySummary[Fecha],"&gt;="&amp;TableWeeklySummary[[#This Row],[Desde]],TableDailySummary[Fecha],"&lt;="&amp;TableWeeklySummary[[#This Row],[Hasta]])</f>
        <v>0</v>
      </c>
      <c r="W309" s="12">
        <f ca="1">SUMIFS(TableDailySummary[Ventas meta ads],TableDailySummary[Fecha],"&gt;="&amp;TableWeeklySummary[[#This Row],[Desde]],TableDailySummary[Fecha],"&lt;="&amp;TableWeeklySummary[[#This Row],[Hasta]])</f>
        <v>0</v>
      </c>
      <c r="X309" s="12">
        <f ca="1">TableWeeklySummary[[#This Row],[Inversión google ads]]+TableWeeklySummary[[#This Row],[Inversión meta ads]]</f>
        <v>0</v>
      </c>
      <c r="Y309" s="12">
        <f ca="1">TableWeeklySummary[[#This Row],[Ventas google ads]]+TableWeeklySummary[[#This Row],[Ventas meta ads]]</f>
        <v>0</v>
      </c>
      <c r="Z309" s="14">
        <f ca="1">IFERROR(TableWeeklySummary[[#This Row],[Ventas publicidad]]/TableWeeklySummary[[#This Row],[Inversión publicidad]],0)</f>
        <v>0</v>
      </c>
      <c r="AA309" s="14">
        <f ca="1">IFERROR(TableWeeklySummary[[#This Row],[Ventas primer cliente]]/TableWeeklySummary[[#This Row],[Inversión publicidad]],0)</f>
        <v>0</v>
      </c>
      <c r="AB309" s="14"/>
      <c r="AC309" s="12"/>
      <c r="AI30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0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09" s="12">
        <f ca="1">SUMIFS(TableDailySummary[Utilidad bruta],TableDailySummary[Fecha],"&gt;="&amp;TableWeeklySummary[[#This Row],[Desde]],TableDailySummary[Fecha],"&lt;="&amp;TableWeeklySummary[[#This Row],[Hasta]])</f>
        <v>0</v>
      </c>
      <c r="AL309" s="18">
        <f ca="1">IFERROR(TableWeeklySummary[[#This Row],[Utilidad bruta]]/TableWeeklySummary[[#This Row],[Ventas netas con costo registrado]],0)</f>
        <v>0</v>
      </c>
    </row>
    <row r="310" spans="2:38" x14ac:dyDescent="0.2">
      <c r="B310" s="16">
        <f ca="1">_xlfn.ISOWEEKNUM(TableWeeklySummary[[#This Row],[Hasta]])</f>
        <v>35</v>
      </c>
      <c r="C310" s="6">
        <f t="shared" ca="1" si="6"/>
        <v>48082</v>
      </c>
      <c r="D310" s="6">
        <f ca="1">TableWeeklySummary[[#This Row],[Desde]]+7-1</f>
        <v>48088</v>
      </c>
      <c r="E310" s="12">
        <f ca="1">SUMIFS(TableDailySummary[Ventas netas totales],TableDailySummary[Fecha],"&gt;="&amp;TableWeeklySummary[[#This Row],[Desde]],TableDailySummary[Fecha],"&lt;="&amp;TableWeeklySummary[[#This Row],[Hasta]])</f>
        <v>0</v>
      </c>
      <c r="F310" s="12">
        <f ca="1">SUMIFS(TableDailySummary[Órdenes totales],TableDailySummary[Fecha],"&gt;="&amp;TableWeeklySummary[[#This Row],[Desde]],TableDailySummary[Fecha],"&lt;="&amp;TableWeeklySummary[[#This Row],[Hasta]])</f>
        <v>0</v>
      </c>
      <c r="G310" s="12">
        <f ca="1">IFERROR(TableWeeklySummary[[#This Row],[Ventas netas totales]]/TableWeeklySummary[[#This Row],[Órdenes totales]],0)</f>
        <v>0</v>
      </c>
      <c r="H31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10" s="12">
        <f ca="1">TableWeeklySummary[[#This Row],[Órden promedio totales]]*TableWeeklySummary[[#This Row],[CR totales]]</f>
        <v>0</v>
      </c>
      <c r="J310" s="12">
        <f ca="1">SUMIFS(TableDailySummary[Ventas primer cliente],TableDailySummary[Fecha],"&gt;="&amp;TableWeeklySummary[[#This Row],[Desde]],TableDailySummary[Fecha],"&lt;="&amp;TableWeeklySummary[[#This Row],[Hasta]])</f>
        <v>0</v>
      </c>
      <c r="K310" s="12">
        <f ca="1">SUMIFS(TableDailySummary[Órdenes primer cliente],TableDailySummary[Fecha],"&gt;="&amp;TableWeeklySummary[[#This Row],[Desde]],TableDailySummary[Fecha],"&lt;="&amp;TableWeeklySummary[[#This Row],[Hasta]])</f>
        <v>0</v>
      </c>
      <c r="L310" s="12">
        <f ca="1">SUMIFS(TableDailySummary[Online Store_net_sales],TableDailySummary[Fecha],"&gt;="&amp;TableWeeklySummary[[#This Row],[Desde]],TableDailySummary[Fecha],"&lt;="&amp;TableWeeklySummary[[#This Row],[Hasta]])</f>
        <v>0</v>
      </c>
      <c r="M310" s="12">
        <f ca="1">SUMIFS(TableDailySummary[Online Store_orders],TableDailySummary[Fecha],"&gt;="&amp;TableWeeklySummary[[#This Row],[Desde]],TableDailySummary[Fecha],"&lt;="&amp;TableWeeklySummary[[#This Row],[Hasta]])</f>
        <v>0</v>
      </c>
      <c r="N310" s="12">
        <f ca="1">SUMIFS(TableDailySummary[Tienda 81_net_sales],TableDailySummary[Fecha],"&gt;="&amp;TableWeeklySummary[[#This Row],[Desde]],TableDailySummary[Fecha],"&lt;="&amp;TableWeeklySummary[[#This Row],[Hasta]])</f>
        <v>0</v>
      </c>
      <c r="O310" s="12">
        <f ca="1">SUMIFS(TableDailySummary[Tienda 81_orders],TableDailySummary[Fecha],"&gt;="&amp;TableWeeklySummary[[#This Row],[Desde]],TableDailySummary[Fecha],"&lt;="&amp;TableWeeklySummary[[#This Row],[Hasta]])</f>
        <v>0</v>
      </c>
      <c r="P310" s="12">
        <f ca="1">SUMIFS(TableDailySummary[Rappi_net_sales],TableDailySummary[Fecha],"&gt;="&amp;TableWeeklySummary[[#This Row],[Desde]],TableDailySummary[Fecha],"&lt;="&amp;TableWeeklySummary[[#This Row],[Hasta]])</f>
        <v>0</v>
      </c>
      <c r="Q310" s="12">
        <f ca="1">SUMIFS(TableDailySummary[Rappi_orders],TableDailySummary[Fecha],"&gt;="&amp;TableWeeklySummary[[#This Row],[Desde]],TableDailySummary[Fecha],"&lt;="&amp;TableWeeklySummary[[#This Row],[Hasta]])</f>
        <v>0</v>
      </c>
      <c r="R31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1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10" s="12">
        <f ca="1">SUMIFS(TableDailySummary[Inversión google ads],TableDailySummary[Fecha],"&gt;="&amp;TableWeeklySummary[[#This Row],[Desde]],TableDailySummary[Fecha],"&lt;="&amp;TableWeeklySummary[[#This Row],[Hasta]])</f>
        <v>0</v>
      </c>
      <c r="U310" s="12">
        <f ca="1">SUMIFS(TableDailySummary[Ventas google ads],TableDailySummary[Fecha],"&gt;="&amp;TableWeeklySummary[[#This Row],[Desde]],TableDailySummary[Fecha],"&lt;="&amp;TableWeeklySummary[[#This Row],[Hasta]])</f>
        <v>0</v>
      </c>
      <c r="V310" s="12">
        <f ca="1">SUMIFS(TableDailySummary[Inversión meta ads],TableDailySummary[Fecha],"&gt;="&amp;TableWeeklySummary[[#This Row],[Desde]],TableDailySummary[Fecha],"&lt;="&amp;TableWeeklySummary[[#This Row],[Hasta]])</f>
        <v>0</v>
      </c>
      <c r="W310" s="12">
        <f ca="1">SUMIFS(TableDailySummary[Ventas meta ads],TableDailySummary[Fecha],"&gt;="&amp;TableWeeklySummary[[#This Row],[Desde]],TableDailySummary[Fecha],"&lt;="&amp;TableWeeklySummary[[#This Row],[Hasta]])</f>
        <v>0</v>
      </c>
      <c r="X310" s="12">
        <f ca="1">TableWeeklySummary[[#This Row],[Inversión google ads]]+TableWeeklySummary[[#This Row],[Inversión meta ads]]</f>
        <v>0</v>
      </c>
      <c r="Y310" s="12">
        <f ca="1">TableWeeklySummary[[#This Row],[Ventas google ads]]+TableWeeklySummary[[#This Row],[Ventas meta ads]]</f>
        <v>0</v>
      </c>
      <c r="Z310" s="14">
        <f ca="1">IFERROR(TableWeeklySummary[[#This Row],[Ventas publicidad]]/TableWeeklySummary[[#This Row],[Inversión publicidad]],0)</f>
        <v>0</v>
      </c>
      <c r="AA310" s="14">
        <f ca="1">IFERROR(TableWeeklySummary[[#This Row],[Ventas primer cliente]]/TableWeeklySummary[[#This Row],[Inversión publicidad]],0)</f>
        <v>0</v>
      </c>
      <c r="AB310" s="14"/>
      <c r="AC310" s="12"/>
      <c r="AI31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1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10" s="12">
        <f ca="1">SUMIFS(TableDailySummary[Utilidad bruta],TableDailySummary[Fecha],"&gt;="&amp;TableWeeklySummary[[#This Row],[Desde]],TableDailySummary[Fecha],"&lt;="&amp;TableWeeklySummary[[#This Row],[Hasta]])</f>
        <v>0</v>
      </c>
      <c r="AL310" s="18">
        <f ca="1">IFERROR(TableWeeklySummary[[#This Row],[Utilidad bruta]]/TableWeeklySummary[[#This Row],[Ventas netas con costo registrado]],0)</f>
        <v>0</v>
      </c>
    </row>
    <row r="311" spans="2:38" x14ac:dyDescent="0.2">
      <c r="B311" s="16">
        <f ca="1">_xlfn.ISOWEEKNUM(TableWeeklySummary[[#This Row],[Hasta]])</f>
        <v>36</v>
      </c>
      <c r="C311" s="6">
        <f t="shared" ca="1" si="6"/>
        <v>48089</v>
      </c>
      <c r="D311" s="6">
        <f ca="1">TableWeeklySummary[[#This Row],[Desde]]+7-1</f>
        <v>48095</v>
      </c>
      <c r="E311" s="12">
        <f ca="1">SUMIFS(TableDailySummary[Ventas netas totales],TableDailySummary[Fecha],"&gt;="&amp;TableWeeklySummary[[#This Row],[Desde]],TableDailySummary[Fecha],"&lt;="&amp;TableWeeklySummary[[#This Row],[Hasta]])</f>
        <v>0</v>
      </c>
      <c r="F311" s="12">
        <f ca="1">SUMIFS(TableDailySummary[Órdenes totales],TableDailySummary[Fecha],"&gt;="&amp;TableWeeklySummary[[#This Row],[Desde]],TableDailySummary[Fecha],"&lt;="&amp;TableWeeklySummary[[#This Row],[Hasta]])</f>
        <v>0</v>
      </c>
      <c r="G311" s="12">
        <f ca="1">IFERROR(TableWeeklySummary[[#This Row],[Ventas netas totales]]/TableWeeklySummary[[#This Row],[Órdenes totales]],0)</f>
        <v>0</v>
      </c>
      <c r="H31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11" s="12">
        <f ca="1">TableWeeklySummary[[#This Row],[Órden promedio totales]]*TableWeeklySummary[[#This Row],[CR totales]]</f>
        <v>0</v>
      </c>
      <c r="J311" s="12">
        <f ca="1">SUMIFS(TableDailySummary[Ventas primer cliente],TableDailySummary[Fecha],"&gt;="&amp;TableWeeklySummary[[#This Row],[Desde]],TableDailySummary[Fecha],"&lt;="&amp;TableWeeklySummary[[#This Row],[Hasta]])</f>
        <v>0</v>
      </c>
      <c r="K311" s="12">
        <f ca="1">SUMIFS(TableDailySummary[Órdenes primer cliente],TableDailySummary[Fecha],"&gt;="&amp;TableWeeklySummary[[#This Row],[Desde]],TableDailySummary[Fecha],"&lt;="&amp;TableWeeklySummary[[#This Row],[Hasta]])</f>
        <v>0</v>
      </c>
      <c r="L311" s="12">
        <f ca="1">SUMIFS(TableDailySummary[Online Store_net_sales],TableDailySummary[Fecha],"&gt;="&amp;TableWeeklySummary[[#This Row],[Desde]],TableDailySummary[Fecha],"&lt;="&amp;TableWeeklySummary[[#This Row],[Hasta]])</f>
        <v>0</v>
      </c>
      <c r="M311" s="12">
        <f ca="1">SUMIFS(TableDailySummary[Online Store_orders],TableDailySummary[Fecha],"&gt;="&amp;TableWeeklySummary[[#This Row],[Desde]],TableDailySummary[Fecha],"&lt;="&amp;TableWeeklySummary[[#This Row],[Hasta]])</f>
        <v>0</v>
      </c>
      <c r="N311" s="12">
        <f ca="1">SUMIFS(TableDailySummary[Tienda 81_net_sales],TableDailySummary[Fecha],"&gt;="&amp;TableWeeklySummary[[#This Row],[Desde]],TableDailySummary[Fecha],"&lt;="&amp;TableWeeklySummary[[#This Row],[Hasta]])</f>
        <v>0</v>
      </c>
      <c r="O311" s="12">
        <f ca="1">SUMIFS(TableDailySummary[Tienda 81_orders],TableDailySummary[Fecha],"&gt;="&amp;TableWeeklySummary[[#This Row],[Desde]],TableDailySummary[Fecha],"&lt;="&amp;TableWeeklySummary[[#This Row],[Hasta]])</f>
        <v>0</v>
      </c>
      <c r="P311" s="12">
        <f ca="1">SUMIFS(TableDailySummary[Rappi_net_sales],TableDailySummary[Fecha],"&gt;="&amp;TableWeeklySummary[[#This Row],[Desde]],TableDailySummary[Fecha],"&lt;="&amp;TableWeeklySummary[[#This Row],[Hasta]])</f>
        <v>0</v>
      </c>
      <c r="Q311" s="12">
        <f ca="1">SUMIFS(TableDailySummary[Rappi_orders],TableDailySummary[Fecha],"&gt;="&amp;TableWeeklySummary[[#This Row],[Desde]],TableDailySummary[Fecha],"&lt;="&amp;TableWeeklySummary[[#This Row],[Hasta]])</f>
        <v>0</v>
      </c>
      <c r="R31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1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11" s="12">
        <f ca="1">SUMIFS(TableDailySummary[Inversión google ads],TableDailySummary[Fecha],"&gt;="&amp;TableWeeklySummary[[#This Row],[Desde]],TableDailySummary[Fecha],"&lt;="&amp;TableWeeklySummary[[#This Row],[Hasta]])</f>
        <v>0</v>
      </c>
      <c r="U311" s="12">
        <f ca="1">SUMIFS(TableDailySummary[Ventas google ads],TableDailySummary[Fecha],"&gt;="&amp;TableWeeklySummary[[#This Row],[Desde]],TableDailySummary[Fecha],"&lt;="&amp;TableWeeklySummary[[#This Row],[Hasta]])</f>
        <v>0</v>
      </c>
      <c r="V311" s="12">
        <f ca="1">SUMIFS(TableDailySummary[Inversión meta ads],TableDailySummary[Fecha],"&gt;="&amp;TableWeeklySummary[[#This Row],[Desde]],TableDailySummary[Fecha],"&lt;="&amp;TableWeeklySummary[[#This Row],[Hasta]])</f>
        <v>0</v>
      </c>
      <c r="W311" s="12">
        <f ca="1">SUMIFS(TableDailySummary[Ventas meta ads],TableDailySummary[Fecha],"&gt;="&amp;TableWeeklySummary[[#This Row],[Desde]],TableDailySummary[Fecha],"&lt;="&amp;TableWeeklySummary[[#This Row],[Hasta]])</f>
        <v>0</v>
      </c>
      <c r="X311" s="12">
        <f ca="1">TableWeeklySummary[[#This Row],[Inversión google ads]]+TableWeeklySummary[[#This Row],[Inversión meta ads]]</f>
        <v>0</v>
      </c>
      <c r="Y311" s="12">
        <f ca="1">TableWeeklySummary[[#This Row],[Ventas google ads]]+TableWeeklySummary[[#This Row],[Ventas meta ads]]</f>
        <v>0</v>
      </c>
      <c r="Z311" s="14">
        <f ca="1">IFERROR(TableWeeklySummary[[#This Row],[Ventas publicidad]]/TableWeeklySummary[[#This Row],[Inversión publicidad]],0)</f>
        <v>0</v>
      </c>
      <c r="AA311" s="14">
        <f ca="1">IFERROR(TableWeeklySummary[[#This Row],[Ventas primer cliente]]/TableWeeklySummary[[#This Row],[Inversión publicidad]],0)</f>
        <v>0</v>
      </c>
      <c r="AB311" s="14"/>
      <c r="AC311" s="12"/>
      <c r="AI31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1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11" s="12">
        <f ca="1">SUMIFS(TableDailySummary[Utilidad bruta],TableDailySummary[Fecha],"&gt;="&amp;TableWeeklySummary[[#This Row],[Desde]],TableDailySummary[Fecha],"&lt;="&amp;TableWeeklySummary[[#This Row],[Hasta]])</f>
        <v>0</v>
      </c>
      <c r="AL311" s="18">
        <f ca="1">IFERROR(TableWeeklySummary[[#This Row],[Utilidad bruta]]/TableWeeklySummary[[#This Row],[Ventas netas con costo registrado]],0)</f>
        <v>0</v>
      </c>
    </row>
    <row r="312" spans="2:38" x14ac:dyDescent="0.2">
      <c r="B312" s="16">
        <f ca="1">_xlfn.ISOWEEKNUM(TableWeeklySummary[[#This Row],[Hasta]])</f>
        <v>37</v>
      </c>
      <c r="C312" s="6">
        <f t="shared" ca="1" si="6"/>
        <v>48096</v>
      </c>
      <c r="D312" s="6">
        <f ca="1">TableWeeklySummary[[#This Row],[Desde]]+7-1</f>
        <v>48102</v>
      </c>
      <c r="E312" s="12">
        <f ca="1">SUMIFS(TableDailySummary[Ventas netas totales],TableDailySummary[Fecha],"&gt;="&amp;TableWeeklySummary[[#This Row],[Desde]],TableDailySummary[Fecha],"&lt;="&amp;TableWeeklySummary[[#This Row],[Hasta]])</f>
        <v>0</v>
      </c>
      <c r="F312" s="12">
        <f ca="1">SUMIFS(TableDailySummary[Órdenes totales],TableDailySummary[Fecha],"&gt;="&amp;TableWeeklySummary[[#This Row],[Desde]],TableDailySummary[Fecha],"&lt;="&amp;TableWeeklySummary[[#This Row],[Hasta]])</f>
        <v>0</v>
      </c>
      <c r="G312" s="12">
        <f ca="1">IFERROR(TableWeeklySummary[[#This Row],[Ventas netas totales]]/TableWeeklySummary[[#This Row],[Órdenes totales]],0)</f>
        <v>0</v>
      </c>
      <c r="H31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12" s="12">
        <f ca="1">TableWeeklySummary[[#This Row],[Órden promedio totales]]*TableWeeklySummary[[#This Row],[CR totales]]</f>
        <v>0</v>
      </c>
      <c r="J312" s="12">
        <f ca="1">SUMIFS(TableDailySummary[Ventas primer cliente],TableDailySummary[Fecha],"&gt;="&amp;TableWeeklySummary[[#This Row],[Desde]],TableDailySummary[Fecha],"&lt;="&amp;TableWeeklySummary[[#This Row],[Hasta]])</f>
        <v>0</v>
      </c>
      <c r="K312" s="12">
        <f ca="1">SUMIFS(TableDailySummary[Órdenes primer cliente],TableDailySummary[Fecha],"&gt;="&amp;TableWeeklySummary[[#This Row],[Desde]],TableDailySummary[Fecha],"&lt;="&amp;TableWeeklySummary[[#This Row],[Hasta]])</f>
        <v>0</v>
      </c>
      <c r="L312" s="12">
        <f ca="1">SUMIFS(TableDailySummary[Online Store_net_sales],TableDailySummary[Fecha],"&gt;="&amp;TableWeeklySummary[[#This Row],[Desde]],TableDailySummary[Fecha],"&lt;="&amp;TableWeeklySummary[[#This Row],[Hasta]])</f>
        <v>0</v>
      </c>
      <c r="M312" s="12">
        <f ca="1">SUMIFS(TableDailySummary[Online Store_orders],TableDailySummary[Fecha],"&gt;="&amp;TableWeeklySummary[[#This Row],[Desde]],TableDailySummary[Fecha],"&lt;="&amp;TableWeeklySummary[[#This Row],[Hasta]])</f>
        <v>0</v>
      </c>
      <c r="N312" s="12">
        <f ca="1">SUMIFS(TableDailySummary[Tienda 81_net_sales],TableDailySummary[Fecha],"&gt;="&amp;TableWeeklySummary[[#This Row],[Desde]],TableDailySummary[Fecha],"&lt;="&amp;TableWeeklySummary[[#This Row],[Hasta]])</f>
        <v>0</v>
      </c>
      <c r="O312" s="12">
        <f ca="1">SUMIFS(TableDailySummary[Tienda 81_orders],TableDailySummary[Fecha],"&gt;="&amp;TableWeeklySummary[[#This Row],[Desde]],TableDailySummary[Fecha],"&lt;="&amp;TableWeeklySummary[[#This Row],[Hasta]])</f>
        <v>0</v>
      </c>
      <c r="P312" s="12">
        <f ca="1">SUMIFS(TableDailySummary[Rappi_net_sales],TableDailySummary[Fecha],"&gt;="&amp;TableWeeklySummary[[#This Row],[Desde]],TableDailySummary[Fecha],"&lt;="&amp;TableWeeklySummary[[#This Row],[Hasta]])</f>
        <v>0</v>
      </c>
      <c r="Q312" s="12">
        <f ca="1">SUMIFS(TableDailySummary[Rappi_orders],TableDailySummary[Fecha],"&gt;="&amp;TableWeeklySummary[[#This Row],[Desde]],TableDailySummary[Fecha],"&lt;="&amp;TableWeeklySummary[[#This Row],[Hasta]])</f>
        <v>0</v>
      </c>
      <c r="R31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1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12" s="12">
        <f ca="1">SUMIFS(TableDailySummary[Inversión google ads],TableDailySummary[Fecha],"&gt;="&amp;TableWeeklySummary[[#This Row],[Desde]],TableDailySummary[Fecha],"&lt;="&amp;TableWeeklySummary[[#This Row],[Hasta]])</f>
        <v>0</v>
      </c>
      <c r="U312" s="12">
        <f ca="1">SUMIFS(TableDailySummary[Ventas google ads],TableDailySummary[Fecha],"&gt;="&amp;TableWeeklySummary[[#This Row],[Desde]],TableDailySummary[Fecha],"&lt;="&amp;TableWeeklySummary[[#This Row],[Hasta]])</f>
        <v>0</v>
      </c>
      <c r="V312" s="12">
        <f ca="1">SUMIFS(TableDailySummary[Inversión meta ads],TableDailySummary[Fecha],"&gt;="&amp;TableWeeklySummary[[#This Row],[Desde]],TableDailySummary[Fecha],"&lt;="&amp;TableWeeklySummary[[#This Row],[Hasta]])</f>
        <v>0</v>
      </c>
      <c r="W312" s="12">
        <f ca="1">SUMIFS(TableDailySummary[Ventas meta ads],TableDailySummary[Fecha],"&gt;="&amp;TableWeeklySummary[[#This Row],[Desde]],TableDailySummary[Fecha],"&lt;="&amp;TableWeeklySummary[[#This Row],[Hasta]])</f>
        <v>0</v>
      </c>
      <c r="X312" s="12">
        <f ca="1">TableWeeklySummary[[#This Row],[Inversión google ads]]+TableWeeklySummary[[#This Row],[Inversión meta ads]]</f>
        <v>0</v>
      </c>
      <c r="Y312" s="12">
        <f ca="1">TableWeeklySummary[[#This Row],[Ventas google ads]]+TableWeeklySummary[[#This Row],[Ventas meta ads]]</f>
        <v>0</v>
      </c>
      <c r="Z312" s="14">
        <f ca="1">IFERROR(TableWeeklySummary[[#This Row],[Ventas publicidad]]/TableWeeklySummary[[#This Row],[Inversión publicidad]],0)</f>
        <v>0</v>
      </c>
      <c r="AA312" s="14">
        <f ca="1">IFERROR(TableWeeklySummary[[#This Row],[Ventas primer cliente]]/TableWeeklySummary[[#This Row],[Inversión publicidad]],0)</f>
        <v>0</v>
      </c>
      <c r="AB312" s="14"/>
      <c r="AC312" s="12"/>
      <c r="AI31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1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12" s="12">
        <f ca="1">SUMIFS(TableDailySummary[Utilidad bruta],TableDailySummary[Fecha],"&gt;="&amp;TableWeeklySummary[[#This Row],[Desde]],TableDailySummary[Fecha],"&lt;="&amp;TableWeeklySummary[[#This Row],[Hasta]])</f>
        <v>0</v>
      </c>
      <c r="AL312" s="18">
        <f ca="1">IFERROR(TableWeeklySummary[[#This Row],[Utilidad bruta]]/TableWeeklySummary[[#This Row],[Ventas netas con costo registrado]],0)</f>
        <v>0</v>
      </c>
    </row>
    <row r="313" spans="2:38" x14ac:dyDescent="0.2">
      <c r="B313" s="16">
        <f ca="1">_xlfn.ISOWEEKNUM(TableWeeklySummary[[#This Row],[Hasta]])</f>
        <v>38</v>
      </c>
      <c r="C313" s="6">
        <f t="shared" ca="1" si="6"/>
        <v>48103</v>
      </c>
      <c r="D313" s="6">
        <f ca="1">TableWeeklySummary[[#This Row],[Desde]]+7-1</f>
        <v>48109</v>
      </c>
      <c r="E313" s="12">
        <f ca="1">SUMIFS(TableDailySummary[Ventas netas totales],TableDailySummary[Fecha],"&gt;="&amp;TableWeeklySummary[[#This Row],[Desde]],TableDailySummary[Fecha],"&lt;="&amp;TableWeeklySummary[[#This Row],[Hasta]])</f>
        <v>0</v>
      </c>
      <c r="F313" s="12">
        <f ca="1">SUMIFS(TableDailySummary[Órdenes totales],TableDailySummary[Fecha],"&gt;="&amp;TableWeeklySummary[[#This Row],[Desde]],TableDailySummary[Fecha],"&lt;="&amp;TableWeeklySummary[[#This Row],[Hasta]])</f>
        <v>0</v>
      </c>
      <c r="G313" s="12">
        <f ca="1">IFERROR(TableWeeklySummary[[#This Row],[Ventas netas totales]]/TableWeeklySummary[[#This Row],[Órdenes totales]],0)</f>
        <v>0</v>
      </c>
      <c r="H31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13" s="12">
        <f ca="1">TableWeeklySummary[[#This Row],[Órden promedio totales]]*TableWeeklySummary[[#This Row],[CR totales]]</f>
        <v>0</v>
      </c>
      <c r="J313" s="12">
        <f ca="1">SUMIFS(TableDailySummary[Ventas primer cliente],TableDailySummary[Fecha],"&gt;="&amp;TableWeeklySummary[[#This Row],[Desde]],TableDailySummary[Fecha],"&lt;="&amp;TableWeeklySummary[[#This Row],[Hasta]])</f>
        <v>0</v>
      </c>
      <c r="K313" s="12">
        <f ca="1">SUMIFS(TableDailySummary[Órdenes primer cliente],TableDailySummary[Fecha],"&gt;="&amp;TableWeeklySummary[[#This Row],[Desde]],TableDailySummary[Fecha],"&lt;="&amp;TableWeeklySummary[[#This Row],[Hasta]])</f>
        <v>0</v>
      </c>
      <c r="L313" s="12">
        <f ca="1">SUMIFS(TableDailySummary[Online Store_net_sales],TableDailySummary[Fecha],"&gt;="&amp;TableWeeklySummary[[#This Row],[Desde]],TableDailySummary[Fecha],"&lt;="&amp;TableWeeklySummary[[#This Row],[Hasta]])</f>
        <v>0</v>
      </c>
      <c r="M313" s="12">
        <f ca="1">SUMIFS(TableDailySummary[Online Store_orders],TableDailySummary[Fecha],"&gt;="&amp;TableWeeklySummary[[#This Row],[Desde]],TableDailySummary[Fecha],"&lt;="&amp;TableWeeklySummary[[#This Row],[Hasta]])</f>
        <v>0</v>
      </c>
      <c r="N313" s="12">
        <f ca="1">SUMIFS(TableDailySummary[Tienda 81_net_sales],TableDailySummary[Fecha],"&gt;="&amp;TableWeeklySummary[[#This Row],[Desde]],TableDailySummary[Fecha],"&lt;="&amp;TableWeeklySummary[[#This Row],[Hasta]])</f>
        <v>0</v>
      </c>
      <c r="O313" s="12">
        <f ca="1">SUMIFS(TableDailySummary[Tienda 81_orders],TableDailySummary[Fecha],"&gt;="&amp;TableWeeklySummary[[#This Row],[Desde]],TableDailySummary[Fecha],"&lt;="&amp;TableWeeklySummary[[#This Row],[Hasta]])</f>
        <v>0</v>
      </c>
      <c r="P313" s="12">
        <f ca="1">SUMIFS(TableDailySummary[Rappi_net_sales],TableDailySummary[Fecha],"&gt;="&amp;TableWeeklySummary[[#This Row],[Desde]],TableDailySummary[Fecha],"&lt;="&amp;TableWeeklySummary[[#This Row],[Hasta]])</f>
        <v>0</v>
      </c>
      <c r="Q313" s="12">
        <f ca="1">SUMIFS(TableDailySummary[Rappi_orders],TableDailySummary[Fecha],"&gt;="&amp;TableWeeklySummary[[#This Row],[Desde]],TableDailySummary[Fecha],"&lt;="&amp;TableWeeklySummary[[#This Row],[Hasta]])</f>
        <v>0</v>
      </c>
      <c r="R31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1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13" s="12">
        <f ca="1">SUMIFS(TableDailySummary[Inversión google ads],TableDailySummary[Fecha],"&gt;="&amp;TableWeeklySummary[[#This Row],[Desde]],TableDailySummary[Fecha],"&lt;="&amp;TableWeeklySummary[[#This Row],[Hasta]])</f>
        <v>0</v>
      </c>
      <c r="U313" s="12">
        <f ca="1">SUMIFS(TableDailySummary[Ventas google ads],TableDailySummary[Fecha],"&gt;="&amp;TableWeeklySummary[[#This Row],[Desde]],TableDailySummary[Fecha],"&lt;="&amp;TableWeeklySummary[[#This Row],[Hasta]])</f>
        <v>0</v>
      </c>
      <c r="V313" s="12">
        <f ca="1">SUMIFS(TableDailySummary[Inversión meta ads],TableDailySummary[Fecha],"&gt;="&amp;TableWeeklySummary[[#This Row],[Desde]],TableDailySummary[Fecha],"&lt;="&amp;TableWeeklySummary[[#This Row],[Hasta]])</f>
        <v>0</v>
      </c>
      <c r="W313" s="12">
        <f ca="1">SUMIFS(TableDailySummary[Ventas meta ads],TableDailySummary[Fecha],"&gt;="&amp;TableWeeklySummary[[#This Row],[Desde]],TableDailySummary[Fecha],"&lt;="&amp;TableWeeklySummary[[#This Row],[Hasta]])</f>
        <v>0</v>
      </c>
      <c r="X313" s="12">
        <f ca="1">TableWeeklySummary[[#This Row],[Inversión google ads]]+TableWeeklySummary[[#This Row],[Inversión meta ads]]</f>
        <v>0</v>
      </c>
      <c r="Y313" s="12">
        <f ca="1">TableWeeklySummary[[#This Row],[Ventas google ads]]+TableWeeklySummary[[#This Row],[Ventas meta ads]]</f>
        <v>0</v>
      </c>
      <c r="Z313" s="14">
        <f ca="1">IFERROR(TableWeeklySummary[[#This Row],[Ventas publicidad]]/TableWeeklySummary[[#This Row],[Inversión publicidad]],0)</f>
        <v>0</v>
      </c>
      <c r="AA313" s="14">
        <f ca="1">IFERROR(TableWeeklySummary[[#This Row],[Ventas primer cliente]]/TableWeeklySummary[[#This Row],[Inversión publicidad]],0)</f>
        <v>0</v>
      </c>
      <c r="AB313" s="14"/>
      <c r="AC313" s="12"/>
      <c r="AI31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1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13" s="12">
        <f ca="1">SUMIFS(TableDailySummary[Utilidad bruta],TableDailySummary[Fecha],"&gt;="&amp;TableWeeklySummary[[#This Row],[Desde]],TableDailySummary[Fecha],"&lt;="&amp;TableWeeklySummary[[#This Row],[Hasta]])</f>
        <v>0</v>
      </c>
      <c r="AL313" s="18">
        <f ca="1">IFERROR(TableWeeklySummary[[#This Row],[Utilidad bruta]]/TableWeeklySummary[[#This Row],[Ventas netas con costo registrado]],0)</f>
        <v>0</v>
      </c>
    </row>
    <row r="314" spans="2:38" x14ac:dyDescent="0.2">
      <c r="B314" s="16">
        <f ca="1">_xlfn.ISOWEEKNUM(TableWeeklySummary[[#This Row],[Hasta]])</f>
        <v>39</v>
      </c>
      <c r="C314" s="6">
        <f t="shared" ca="1" si="6"/>
        <v>48110</v>
      </c>
      <c r="D314" s="6">
        <f ca="1">TableWeeklySummary[[#This Row],[Desde]]+7-1</f>
        <v>48116</v>
      </c>
      <c r="E314" s="12">
        <f ca="1">SUMIFS(TableDailySummary[Ventas netas totales],TableDailySummary[Fecha],"&gt;="&amp;TableWeeklySummary[[#This Row],[Desde]],TableDailySummary[Fecha],"&lt;="&amp;TableWeeklySummary[[#This Row],[Hasta]])</f>
        <v>0</v>
      </c>
      <c r="F314" s="12">
        <f ca="1">SUMIFS(TableDailySummary[Órdenes totales],TableDailySummary[Fecha],"&gt;="&amp;TableWeeklySummary[[#This Row],[Desde]],TableDailySummary[Fecha],"&lt;="&amp;TableWeeklySummary[[#This Row],[Hasta]])</f>
        <v>0</v>
      </c>
      <c r="G314" s="12">
        <f ca="1">IFERROR(TableWeeklySummary[[#This Row],[Ventas netas totales]]/TableWeeklySummary[[#This Row],[Órdenes totales]],0)</f>
        <v>0</v>
      </c>
      <c r="H31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14" s="12">
        <f ca="1">TableWeeklySummary[[#This Row],[Órden promedio totales]]*TableWeeklySummary[[#This Row],[CR totales]]</f>
        <v>0</v>
      </c>
      <c r="J314" s="12">
        <f ca="1">SUMIFS(TableDailySummary[Ventas primer cliente],TableDailySummary[Fecha],"&gt;="&amp;TableWeeklySummary[[#This Row],[Desde]],TableDailySummary[Fecha],"&lt;="&amp;TableWeeklySummary[[#This Row],[Hasta]])</f>
        <v>0</v>
      </c>
      <c r="K314" s="12">
        <f ca="1">SUMIFS(TableDailySummary[Órdenes primer cliente],TableDailySummary[Fecha],"&gt;="&amp;TableWeeklySummary[[#This Row],[Desde]],TableDailySummary[Fecha],"&lt;="&amp;TableWeeklySummary[[#This Row],[Hasta]])</f>
        <v>0</v>
      </c>
      <c r="L314" s="12">
        <f ca="1">SUMIFS(TableDailySummary[Online Store_net_sales],TableDailySummary[Fecha],"&gt;="&amp;TableWeeklySummary[[#This Row],[Desde]],TableDailySummary[Fecha],"&lt;="&amp;TableWeeklySummary[[#This Row],[Hasta]])</f>
        <v>0</v>
      </c>
      <c r="M314" s="12">
        <f ca="1">SUMIFS(TableDailySummary[Online Store_orders],TableDailySummary[Fecha],"&gt;="&amp;TableWeeklySummary[[#This Row],[Desde]],TableDailySummary[Fecha],"&lt;="&amp;TableWeeklySummary[[#This Row],[Hasta]])</f>
        <v>0</v>
      </c>
      <c r="N314" s="12">
        <f ca="1">SUMIFS(TableDailySummary[Tienda 81_net_sales],TableDailySummary[Fecha],"&gt;="&amp;TableWeeklySummary[[#This Row],[Desde]],TableDailySummary[Fecha],"&lt;="&amp;TableWeeklySummary[[#This Row],[Hasta]])</f>
        <v>0</v>
      </c>
      <c r="O314" s="12">
        <f ca="1">SUMIFS(TableDailySummary[Tienda 81_orders],TableDailySummary[Fecha],"&gt;="&amp;TableWeeklySummary[[#This Row],[Desde]],TableDailySummary[Fecha],"&lt;="&amp;TableWeeklySummary[[#This Row],[Hasta]])</f>
        <v>0</v>
      </c>
      <c r="P314" s="12">
        <f ca="1">SUMIFS(TableDailySummary[Rappi_net_sales],TableDailySummary[Fecha],"&gt;="&amp;TableWeeklySummary[[#This Row],[Desde]],TableDailySummary[Fecha],"&lt;="&amp;TableWeeklySummary[[#This Row],[Hasta]])</f>
        <v>0</v>
      </c>
      <c r="Q314" s="12">
        <f ca="1">SUMIFS(TableDailySummary[Rappi_orders],TableDailySummary[Fecha],"&gt;="&amp;TableWeeklySummary[[#This Row],[Desde]],TableDailySummary[Fecha],"&lt;="&amp;TableWeeklySummary[[#This Row],[Hasta]])</f>
        <v>0</v>
      </c>
      <c r="R31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1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14" s="12">
        <f ca="1">SUMIFS(TableDailySummary[Inversión google ads],TableDailySummary[Fecha],"&gt;="&amp;TableWeeklySummary[[#This Row],[Desde]],TableDailySummary[Fecha],"&lt;="&amp;TableWeeklySummary[[#This Row],[Hasta]])</f>
        <v>0</v>
      </c>
      <c r="U314" s="12">
        <f ca="1">SUMIFS(TableDailySummary[Ventas google ads],TableDailySummary[Fecha],"&gt;="&amp;TableWeeklySummary[[#This Row],[Desde]],TableDailySummary[Fecha],"&lt;="&amp;TableWeeklySummary[[#This Row],[Hasta]])</f>
        <v>0</v>
      </c>
      <c r="V314" s="12">
        <f ca="1">SUMIFS(TableDailySummary[Inversión meta ads],TableDailySummary[Fecha],"&gt;="&amp;TableWeeklySummary[[#This Row],[Desde]],TableDailySummary[Fecha],"&lt;="&amp;TableWeeklySummary[[#This Row],[Hasta]])</f>
        <v>0</v>
      </c>
      <c r="W314" s="12">
        <f ca="1">SUMIFS(TableDailySummary[Ventas meta ads],TableDailySummary[Fecha],"&gt;="&amp;TableWeeklySummary[[#This Row],[Desde]],TableDailySummary[Fecha],"&lt;="&amp;TableWeeklySummary[[#This Row],[Hasta]])</f>
        <v>0</v>
      </c>
      <c r="X314" s="12">
        <f ca="1">TableWeeklySummary[[#This Row],[Inversión google ads]]+TableWeeklySummary[[#This Row],[Inversión meta ads]]</f>
        <v>0</v>
      </c>
      <c r="Y314" s="12">
        <f ca="1">TableWeeklySummary[[#This Row],[Ventas google ads]]+TableWeeklySummary[[#This Row],[Ventas meta ads]]</f>
        <v>0</v>
      </c>
      <c r="Z314" s="14">
        <f ca="1">IFERROR(TableWeeklySummary[[#This Row],[Ventas publicidad]]/TableWeeklySummary[[#This Row],[Inversión publicidad]],0)</f>
        <v>0</v>
      </c>
      <c r="AA314" s="14">
        <f ca="1">IFERROR(TableWeeklySummary[[#This Row],[Ventas primer cliente]]/TableWeeklySummary[[#This Row],[Inversión publicidad]],0)</f>
        <v>0</v>
      </c>
      <c r="AB314" s="14"/>
      <c r="AC314" s="12"/>
      <c r="AI31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1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14" s="12">
        <f ca="1">SUMIFS(TableDailySummary[Utilidad bruta],TableDailySummary[Fecha],"&gt;="&amp;TableWeeklySummary[[#This Row],[Desde]],TableDailySummary[Fecha],"&lt;="&amp;TableWeeklySummary[[#This Row],[Hasta]])</f>
        <v>0</v>
      </c>
      <c r="AL314" s="18">
        <f ca="1">IFERROR(TableWeeklySummary[[#This Row],[Utilidad bruta]]/TableWeeklySummary[[#This Row],[Ventas netas con costo registrado]],0)</f>
        <v>0</v>
      </c>
    </row>
    <row r="315" spans="2:38" x14ac:dyDescent="0.2">
      <c r="B315" s="16">
        <f ca="1">_xlfn.ISOWEEKNUM(TableWeeklySummary[[#This Row],[Hasta]])</f>
        <v>40</v>
      </c>
      <c r="C315" s="6">
        <f t="shared" ca="1" si="6"/>
        <v>48117</v>
      </c>
      <c r="D315" s="6">
        <f ca="1">TableWeeklySummary[[#This Row],[Desde]]+7-1</f>
        <v>48123</v>
      </c>
      <c r="E315" s="12">
        <f ca="1">SUMIFS(TableDailySummary[Ventas netas totales],TableDailySummary[Fecha],"&gt;="&amp;TableWeeklySummary[[#This Row],[Desde]],TableDailySummary[Fecha],"&lt;="&amp;TableWeeklySummary[[#This Row],[Hasta]])</f>
        <v>0</v>
      </c>
      <c r="F315" s="12">
        <f ca="1">SUMIFS(TableDailySummary[Órdenes totales],TableDailySummary[Fecha],"&gt;="&amp;TableWeeklySummary[[#This Row],[Desde]],TableDailySummary[Fecha],"&lt;="&amp;TableWeeklySummary[[#This Row],[Hasta]])</f>
        <v>0</v>
      </c>
      <c r="G315" s="12">
        <f ca="1">IFERROR(TableWeeklySummary[[#This Row],[Ventas netas totales]]/TableWeeklySummary[[#This Row],[Órdenes totales]],0)</f>
        <v>0</v>
      </c>
      <c r="H31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15" s="12">
        <f ca="1">TableWeeklySummary[[#This Row],[Órden promedio totales]]*TableWeeklySummary[[#This Row],[CR totales]]</f>
        <v>0</v>
      </c>
      <c r="J315" s="12">
        <f ca="1">SUMIFS(TableDailySummary[Ventas primer cliente],TableDailySummary[Fecha],"&gt;="&amp;TableWeeklySummary[[#This Row],[Desde]],TableDailySummary[Fecha],"&lt;="&amp;TableWeeklySummary[[#This Row],[Hasta]])</f>
        <v>0</v>
      </c>
      <c r="K315" s="12">
        <f ca="1">SUMIFS(TableDailySummary[Órdenes primer cliente],TableDailySummary[Fecha],"&gt;="&amp;TableWeeklySummary[[#This Row],[Desde]],TableDailySummary[Fecha],"&lt;="&amp;TableWeeklySummary[[#This Row],[Hasta]])</f>
        <v>0</v>
      </c>
      <c r="L315" s="12">
        <f ca="1">SUMIFS(TableDailySummary[Online Store_net_sales],TableDailySummary[Fecha],"&gt;="&amp;TableWeeklySummary[[#This Row],[Desde]],TableDailySummary[Fecha],"&lt;="&amp;TableWeeklySummary[[#This Row],[Hasta]])</f>
        <v>0</v>
      </c>
      <c r="M315" s="12">
        <f ca="1">SUMIFS(TableDailySummary[Online Store_orders],TableDailySummary[Fecha],"&gt;="&amp;TableWeeklySummary[[#This Row],[Desde]],TableDailySummary[Fecha],"&lt;="&amp;TableWeeklySummary[[#This Row],[Hasta]])</f>
        <v>0</v>
      </c>
      <c r="N315" s="12">
        <f ca="1">SUMIFS(TableDailySummary[Tienda 81_net_sales],TableDailySummary[Fecha],"&gt;="&amp;TableWeeklySummary[[#This Row],[Desde]],TableDailySummary[Fecha],"&lt;="&amp;TableWeeklySummary[[#This Row],[Hasta]])</f>
        <v>0</v>
      </c>
      <c r="O315" s="12">
        <f ca="1">SUMIFS(TableDailySummary[Tienda 81_orders],TableDailySummary[Fecha],"&gt;="&amp;TableWeeklySummary[[#This Row],[Desde]],TableDailySummary[Fecha],"&lt;="&amp;TableWeeklySummary[[#This Row],[Hasta]])</f>
        <v>0</v>
      </c>
      <c r="P315" s="12">
        <f ca="1">SUMIFS(TableDailySummary[Rappi_net_sales],TableDailySummary[Fecha],"&gt;="&amp;TableWeeklySummary[[#This Row],[Desde]],TableDailySummary[Fecha],"&lt;="&amp;TableWeeklySummary[[#This Row],[Hasta]])</f>
        <v>0</v>
      </c>
      <c r="Q315" s="12">
        <f ca="1">SUMIFS(TableDailySummary[Rappi_orders],TableDailySummary[Fecha],"&gt;="&amp;TableWeeklySummary[[#This Row],[Desde]],TableDailySummary[Fecha],"&lt;="&amp;TableWeeklySummary[[#This Row],[Hasta]])</f>
        <v>0</v>
      </c>
      <c r="R31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1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15" s="12">
        <f ca="1">SUMIFS(TableDailySummary[Inversión google ads],TableDailySummary[Fecha],"&gt;="&amp;TableWeeklySummary[[#This Row],[Desde]],TableDailySummary[Fecha],"&lt;="&amp;TableWeeklySummary[[#This Row],[Hasta]])</f>
        <v>0</v>
      </c>
      <c r="U315" s="12">
        <f ca="1">SUMIFS(TableDailySummary[Ventas google ads],TableDailySummary[Fecha],"&gt;="&amp;TableWeeklySummary[[#This Row],[Desde]],TableDailySummary[Fecha],"&lt;="&amp;TableWeeklySummary[[#This Row],[Hasta]])</f>
        <v>0</v>
      </c>
      <c r="V315" s="12">
        <f ca="1">SUMIFS(TableDailySummary[Inversión meta ads],TableDailySummary[Fecha],"&gt;="&amp;TableWeeklySummary[[#This Row],[Desde]],TableDailySummary[Fecha],"&lt;="&amp;TableWeeklySummary[[#This Row],[Hasta]])</f>
        <v>0</v>
      </c>
      <c r="W315" s="12">
        <f ca="1">SUMIFS(TableDailySummary[Ventas meta ads],TableDailySummary[Fecha],"&gt;="&amp;TableWeeklySummary[[#This Row],[Desde]],TableDailySummary[Fecha],"&lt;="&amp;TableWeeklySummary[[#This Row],[Hasta]])</f>
        <v>0</v>
      </c>
      <c r="X315" s="12">
        <f ca="1">TableWeeklySummary[[#This Row],[Inversión google ads]]+TableWeeklySummary[[#This Row],[Inversión meta ads]]</f>
        <v>0</v>
      </c>
      <c r="Y315" s="12">
        <f ca="1">TableWeeklySummary[[#This Row],[Ventas google ads]]+TableWeeklySummary[[#This Row],[Ventas meta ads]]</f>
        <v>0</v>
      </c>
      <c r="Z315" s="14">
        <f ca="1">IFERROR(TableWeeklySummary[[#This Row],[Ventas publicidad]]/TableWeeklySummary[[#This Row],[Inversión publicidad]],0)</f>
        <v>0</v>
      </c>
      <c r="AA315" s="14">
        <f ca="1">IFERROR(TableWeeklySummary[[#This Row],[Ventas primer cliente]]/TableWeeklySummary[[#This Row],[Inversión publicidad]],0)</f>
        <v>0</v>
      </c>
      <c r="AB315" s="14"/>
      <c r="AC315" s="12"/>
      <c r="AI31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1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15" s="12">
        <f ca="1">SUMIFS(TableDailySummary[Utilidad bruta],TableDailySummary[Fecha],"&gt;="&amp;TableWeeklySummary[[#This Row],[Desde]],TableDailySummary[Fecha],"&lt;="&amp;TableWeeklySummary[[#This Row],[Hasta]])</f>
        <v>0</v>
      </c>
      <c r="AL315" s="18">
        <f ca="1">IFERROR(TableWeeklySummary[[#This Row],[Utilidad bruta]]/TableWeeklySummary[[#This Row],[Ventas netas con costo registrado]],0)</f>
        <v>0</v>
      </c>
    </row>
    <row r="316" spans="2:38" x14ac:dyDescent="0.2">
      <c r="B316" s="16">
        <f ca="1">_xlfn.ISOWEEKNUM(TableWeeklySummary[[#This Row],[Hasta]])</f>
        <v>41</v>
      </c>
      <c r="C316" s="6">
        <f t="shared" ca="1" si="6"/>
        <v>48124</v>
      </c>
      <c r="D316" s="6">
        <f ca="1">TableWeeklySummary[[#This Row],[Desde]]+7-1</f>
        <v>48130</v>
      </c>
      <c r="E316" s="12">
        <f ca="1">SUMIFS(TableDailySummary[Ventas netas totales],TableDailySummary[Fecha],"&gt;="&amp;TableWeeklySummary[[#This Row],[Desde]],TableDailySummary[Fecha],"&lt;="&amp;TableWeeklySummary[[#This Row],[Hasta]])</f>
        <v>0</v>
      </c>
      <c r="F316" s="12">
        <f ca="1">SUMIFS(TableDailySummary[Órdenes totales],TableDailySummary[Fecha],"&gt;="&amp;TableWeeklySummary[[#This Row],[Desde]],TableDailySummary[Fecha],"&lt;="&amp;TableWeeklySummary[[#This Row],[Hasta]])</f>
        <v>0</v>
      </c>
      <c r="G316" s="12">
        <f ca="1">IFERROR(TableWeeklySummary[[#This Row],[Ventas netas totales]]/TableWeeklySummary[[#This Row],[Órdenes totales]],0)</f>
        <v>0</v>
      </c>
      <c r="H31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16" s="12">
        <f ca="1">TableWeeklySummary[[#This Row],[Órden promedio totales]]*TableWeeklySummary[[#This Row],[CR totales]]</f>
        <v>0</v>
      </c>
      <c r="J316" s="12">
        <f ca="1">SUMIFS(TableDailySummary[Ventas primer cliente],TableDailySummary[Fecha],"&gt;="&amp;TableWeeklySummary[[#This Row],[Desde]],TableDailySummary[Fecha],"&lt;="&amp;TableWeeklySummary[[#This Row],[Hasta]])</f>
        <v>0</v>
      </c>
      <c r="K316" s="12">
        <f ca="1">SUMIFS(TableDailySummary[Órdenes primer cliente],TableDailySummary[Fecha],"&gt;="&amp;TableWeeklySummary[[#This Row],[Desde]],TableDailySummary[Fecha],"&lt;="&amp;TableWeeklySummary[[#This Row],[Hasta]])</f>
        <v>0</v>
      </c>
      <c r="L316" s="12">
        <f ca="1">SUMIFS(TableDailySummary[Online Store_net_sales],TableDailySummary[Fecha],"&gt;="&amp;TableWeeklySummary[[#This Row],[Desde]],TableDailySummary[Fecha],"&lt;="&amp;TableWeeklySummary[[#This Row],[Hasta]])</f>
        <v>0</v>
      </c>
      <c r="M316" s="12">
        <f ca="1">SUMIFS(TableDailySummary[Online Store_orders],TableDailySummary[Fecha],"&gt;="&amp;TableWeeklySummary[[#This Row],[Desde]],TableDailySummary[Fecha],"&lt;="&amp;TableWeeklySummary[[#This Row],[Hasta]])</f>
        <v>0</v>
      </c>
      <c r="N316" s="12">
        <f ca="1">SUMIFS(TableDailySummary[Tienda 81_net_sales],TableDailySummary[Fecha],"&gt;="&amp;TableWeeklySummary[[#This Row],[Desde]],TableDailySummary[Fecha],"&lt;="&amp;TableWeeklySummary[[#This Row],[Hasta]])</f>
        <v>0</v>
      </c>
      <c r="O316" s="12">
        <f ca="1">SUMIFS(TableDailySummary[Tienda 81_orders],TableDailySummary[Fecha],"&gt;="&amp;TableWeeklySummary[[#This Row],[Desde]],TableDailySummary[Fecha],"&lt;="&amp;TableWeeklySummary[[#This Row],[Hasta]])</f>
        <v>0</v>
      </c>
      <c r="P316" s="12">
        <f ca="1">SUMIFS(TableDailySummary[Rappi_net_sales],TableDailySummary[Fecha],"&gt;="&amp;TableWeeklySummary[[#This Row],[Desde]],TableDailySummary[Fecha],"&lt;="&amp;TableWeeklySummary[[#This Row],[Hasta]])</f>
        <v>0</v>
      </c>
      <c r="Q316" s="12">
        <f ca="1">SUMIFS(TableDailySummary[Rappi_orders],TableDailySummary[Fecha],"&gt;="&amp;TableWeeklySummary[[#This Row],[Desde]],TableDailySummary[Fecha],"&lt;="&amp;TableWeeklySummary[[#This Row],[Hasta]])</f>
        <v>0</v>
      </c>
      <c r="R31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1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16" s="12">
        <f ca="1">SUMIFS(TableDailySummary[Inversión google ads],TableDailySummary[Fecha],"&gt;="&amp;TableWeeklySummary[[#This Row],[Desde]],TableDailySummary[Fecha],"&lt;="&amp;TableWeeklySummary[[#This Row],[Hasta]])</f>
        <v>0</v>
      </c>
      <c r="U316" s="12">
        <f ca="1">SUMIFS(TableDailySummary[Ventas google ads],TableDailySummary[Fecha],"&gt;="&amp;TableWeeklySummary[[#This Row],[Desde]],TableDailySummary[Fecha],"&lt;="&amp;TableWeeklySummary[[#This Row],[Hasta]])</f>
        <v>0</v>
      </c>
      <c r="V316" s="12">
        <f ca="1">SUMIFS(TableDailySummary[Inversión meta ads],TableDailySummary[Fecha],"&gt;="&amp;TableWeeklySummary[[#This Row],[Desde]],TableDailySummary[Fecha],"&lt;="&amp;TableWeeklySummary[[#This Row],[Hasta]])</f>
        <v>0</v>
      </c>
      <c r="W316" s="12">
        <f ca="1">SUMIFS(TableDailySummary[Ventas meta ads],TableDailySummary[Fecha],"&gt;="&amp;TableWeeklySummary[[#This Row],[Desde]],TableDailySummary[Fecha],"&lt;="&amp;TableWeeklySummary[[#This Row],[Hasta]])</f>
        <v>0</v>
      </c>
      <c r="X316" s="12">
        <f ca="1">TableWeeklySummary[[#This Row],[Inversión google ads]]+TableWeeklySummary[[#This Row],[Inversión meta ads]]</f>
        <v>0</v>
      </c>
      <c r="Y316" s="12">
        <f ca="1">TableWeeklySummary[[#This Row],[Ventas google ads]]+TableWeeklySummary[[#This Row],[Ventas meta ads]]</f>
        <v>0</v>
      </c>
      <c r="Z316" s="14">
        <f ca="1">IFERROR(TableWeeklySummary[[#This Row],[Ventas publicidad]]/TableWeeklySummary[[#This Row],[Inversión publicidad]],0)</f>
        <v>0</v>
      </c>
      <c r="AA316" s="14">
        <f ca="1">IFERROR(TableWeeklySummary[[#This Row],[Ventas primer cliente]]/TableWeeklySummary[[#This Row],[Inversión publicidad]],0)</f>
        <v>0</v>
      </c>
      <c r="AB316" s="14"/>
      <c r="AC316" s="12"/>
      <c r="AI31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1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16" s="12">
        <f ca="1">SUMIFS(TableDailySummary[Utilidad bruta],TableDailySummary[Fecha],"&gt;="&amp;TableWeeklySummary[[#This Row],[Desde]],TableDailySummary[Fecha],"&lt;="&amp;TableWeeklySummary[[#This Row],[Hasta]])</f>
        <v>0</v>
      </c>
      <c r="AL316" s="18">
        <f ca="1">IFERROR(TableWeeklySummary[[#This Row],[Utilidad bruta]]/TableWeeklySummary[[#This Row],[Ventas netas con costo registrado]],0)</f>
        <v>0</v>
      </c>
    </row>
    <row r="317" spans="2:38" x14ac:dyDescent="0.2">
      <c r="B317" s="16">
        <f ca="1">_xlfn.ISOWEEKNUM(TableWeeklySummary[[#This Row],[Hasta]])</f>
        <v>42</v>
      </c>
      <c r="C317" s="6">
        <f t="shared" ca="1" si="6"/>
        <v>48131</v>
      </c>
      <c r="D317" s="6">
        <f ca="1">TableWeeklySummary[[#This Row],[Desde]]+7-1</f>
        <v>48137</v>
      </c>
      <c r="E317" s="12">
        <f ca="1">SUMIFS(TableDailySummary[Ventas netas totales],TableDailySummary[Fecha],"&gt;="&amp;TableWeeklySummary[[#This Row],[Desde]],TableDailySummary[Fecha],"&lt;="&amp;TableWeeklySummary[[#This Row],[Hasta]])</f>
        <v>0</v>
      </c>
      <c r="F317" s="12">
        <f ca="1">SUMIFS(TableDailySummary[Órdenes totales],TableDailySummary[Fecha],"&gt;="&amp;TableWeeklySummary[[#This Row],[Desde]],TableDailySummary[Fecha],"&lt;="&amp;TableWeeklySummary[[#This Row],[Hasta]])</f>
        <v>0</v>
      </c>
      <c r="G317" s="12">
        <f ca="1">IFERROR(TableWeeklySummary[[#This Row],[Ventas netas totales]]/TableWeeklySummary[[#This Row],[Órdenes totales]],0)</f>
        <v>0</v>
      </c>
      <c r="H31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17" s="12">
        <f ca="1">TableWeeklySummary[[#This Row],[Órden promedio totales]]*TableWeeklySummary[[#This Row],[CR totales]]</f>
        <v>0</v>
      </c>
      <c r="J317" s="12">
        <f ca="1">SUMIFS(TableDailySummary[Ventas primer cliente],TableDailySummary[Fecha],"&gt;="&amp;TableWeeklySummary[[#This Row],[Desde]],TableDailySummary[Fecha],"&lt;="&amp;TableWeeklySummary[[#This Row],[Hasta]])</f>
        <v>0</v>
      </c>
      <c r="K317" s="12">
        <f ca="1">SUMIFS(TableDailySummary[Órdenes primer cliente],TableDailySummary[Fecha],"&gt;="&amp;TableWeeklySummary[[#This Row],[Desde]],TableDailySummary[Fecha],"&lt;="&amp;TableWeeklySummary[[#This Row],[Hasta]])</f>
        <v>0</v>
      </c>
      <c r="L317" s="12">
        <f ca="1">SUMIFS(TableDailySummary[Online Store_net_sales],TableDailySummary[Fecha],"&gt;="&amp;TableWeeklySummary[[#This Row],[Desde]],TableDailySummary[Fecha],"&lt;="&amp;TableWeeklySummary[[#This Row],[Hasta]])</f>
        <v>0</v>
      </c>
      <c r="M317" s="12">
        <f ca="1">SUMIFS(TableDailySummary[Online Store_orders],TableDailySummary[Fecha],"&gt;="&amp;TableWeeklySummary[[#This Row],[Desde]],TableDailySummary[Fecha],"&lt;="&amp;TableWeeklySummary[[#This Row],[Hasta]])</f>
        <v>0</v>
      </c>
      <c r="N317" s="12">
        <f ca="1">SUMIFS(TableDailySummary[Tienda 81_net_sales],TableDailySummary[Fecha],"&gt;="&amp;TableWeeklySummary[[#This Row],[Desde]],TableDailySummary[Fecha],"&lt;="&amp;TableWeeklySummary[[#This Row],[Hasta]])</f>
        <v>0</v>
      </c>
      <c r="O317" s="12">
        <f ca="1">SUMIFS(TableDailySummary[Tienda 81_orders],TableDailySummary[Fecha],"&gt;="&amp;TableWeeklySummary[[#This Row],[Desde]],TableDailySummary[Fecha],"&lt;="&amp;TableWeeklySummary[[#This Row],[Hasta]])</f>
        <v>0</v>
      </c>
      <c r="P317" s="12">
        <f ca="1">SUMIFS(TableDailySummary[Rappi_net_sales],TableDailySummary[Fecha],"&gt;="&amp;TableWeeklySummary[[#This Row],[Desde]],TableDailySummary[Fecha],"&lt;="&amp;TableWeeklySummary[[#This Row],[Hasta]])</f>
        <v>0</v>
      </c>
      <c r="Q317" s="12">
        <f ca="1">SUMIFS(TableDailySummary[Rappi_orders],TableDailySummary[Fecha],"&gt;="&amp;TableWeeklySummary[[#This Row],[Desde]],TableDailySummary[Fecha],"&lt;="&amp;TableWeeklySummary[[#This Row],[Hasta]])</f>
        <v>0</v>
      </c>
      <c r="R31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1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17" s="12">
        <f ca="1">SUMIFS(TableDailySummary[Inversión google ads],TableDailySummary[Fecha],"&gt;="&amp;TableWeeklySummary[[#This Row],[Desde]],TableDailySummary[Fecha],"&lt;="&amp;TableWeeklySummary[[#This Row],[Hasta]])</f>
        <v>0</v>
      </c>
      <c r="U317" s="12">
        <f ca="1">SUMIFS(TableDailySummary[Ventas google ads],TableDailySummary[Fecha],"&gt;="&amp;TableWeeklySummary[[#This Row],[Desde]],TableDailySummary[Fecha],"&lt;="&amp;TableWeeklySummary[[#This Row],[Hasta]])</f>
        <v>0</v>
      </c>
      <c r="V317" s="12">
        <f ca="1">SUMIFS(TableDailySummary[Inversión meta ads],TableDailySummary[Fecha],"&gt;="&amp;TableWeeklySummary[[#This Row],[Desde]],TableDailySummary[Fecha],"&lt;="&amp;TableWeeklySummary[[#This Row],[Hasta]])</f>
        <v>0</v>
      </c>
      <c r="W317" s="12">
        <f ca="1">SUMIFS(TableDailySummary[Ventas meta ads],TableDailySummary[Fecha],"&gt;="&amp;TableWeeklySummary[[#This Row],[Desde]],TableDailySummary[Fecha],"&lt;="&amp;TableWeeklySummary[[#This Row],[Hasta]])</f>
        <v>0</v>
      </c>
      <c r="X317" s="12">
        <f ca="1">TableWeeklySummary[[#This Row],[Inversión google ads]]+TableWeeklySummary[[#This Row],[Inversión meta ads]]</f>
        <v>0</v>
      </c>
      <c r="Y317" s="12">
        <f ca="1">TableWeeklySummary[[#This Row],[Ventas google ads]]+TableWeeklySummary[[#This Row],[Ventas meta ads]]</f>
        <v>0</v>
      </c>
      <c r="Z317" s="14">
        <f ca="1">IFERROR(TableWeeklySummary[[#This Row],[Ventas publicidad]]/TableWeeklySummary[[#This Row],[Inversión publicidad]],0)</f>
        <v>0</v>
      </c>
      <c r="AA317" s="14">
        <f ca="1">IFERROR(TableWeeklySummary[[#This Row],[Ventas primer cliente]]/TableWeeklySummary[[#This Row],[Inversión publicidad]],0)</f>
        <v>0</v>
      </c>
      <c r="AB317" s="14"/>
      <c r="AC317" s="12"/>
      <c r="AI31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1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17" s="12">
        <f ca="1">SUMIFS(TableDailySummary[Utilidad bruta],TableDailySummary[Fecha],"&gt;="&amp;TableWeeklySummary[[#This Row],[Desde]],TableDailySummary[Fecha],"&lt;="&amp;TableWeeklySummary[[#This Row],[Hasta]])</f>
        <v>0</v>
      </c>
      <c r="AL317" s="18">
        <f ca="1">IFERROR(TableWeeklySummary[[#This Row],[Utilidad bruta]]/TableWeeklySummary[[#This Row],[Ventas netas con costo registrado]],0)</f>
        <v>0</v>
      </c>
    </row>
    <row r="318" spans="2:38" x14ac:dyDescent="0.2">
      <c r="B318" s="16">
        <f ca="1">_xlfn.ISOWEEKNUM(TableWeeklySummary[[#This Row],[Hasta]])</f>
        <v>43</v>
      </c>
      <c r="C318" s="6">
        <f t="shared" ca="1" si="6"/>
        <v>48138</v>
      </c>
      <c r="D318" s="6">
        <f ca="1">TableWeeklySummary[[#This Row],[Desde]]+7-1</f>
        <v>48144</v>
      </c>
      <c r="E318" s="12">
        <f ca="1">SUMIFS(TableDailySummary[Ventas netas totales],TableDailySummary[Fecha],"&gt;="&amp;TableWeeklySummary[[#This Row],[Desde]],TableDailySummary[Fecha],"&lt;="&amp;TableWeeklySummary[[#This Row],[Hasta]])</f>
        <v>0</v>
      </c>
      <c r="F318" s="12">
        <f ca="1">SUMIFS(TableDailySummary[Órdenes totales],TableDailySummary[Fecha],"&gt;="&amp;TableWeeklySummary[[#This Row],[Desde]],TableDailySummary[Fecha],"&lt;="&amp;TableWeeklySummary[[#This Row],[Hasta]])</f>
        <v>0</v>
      </c>
      <c r="G318" s="12">
        <f ca="1">IFERROR(TableWeeklySummary[[#This Row],[Ventas netas totales]]/TableWeeklySummary[[#This Row],[Órdenes totales]],0)</f>
        <v>0</v>
      </c>
      <c r="H31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18" s="12">
        <f ca="1">TableWeeklySummary[[#This Row],[Órden promedio totales]]*TableWeeklySummary[[#This Row],[CR totales]]</f>
        <v>0</v>
      </c>
      <c r="J318" s="12">
        <f ca="1">SUMIFS(TableDailySummary[Ventas primer cliente],TableDailySummary[Fecha],"&gt;="&amp;TableWeeklySummary[[#This Row],[Desde]],TableDailySummary[Fecha],"&lt;="&amp;TableWeeklySummary[[#This Row],[Hasta]])</f>
        <v>0</v>
      </c>
      <c r="K318" s="12">
        <f ca="1">SUMIFS(TableDailySummary[Órdenes primer cliente],TableDailySummary[Fecha],"&gt;="&amp;TableWeeklySummary[[#This Row],[Desde]],TableDailySummary[Fecha],"&lt;="&amp;TableWeeklySummary[[#This Row],[Hasta]])</f>
        <v>0</v>
      </c>
      <c r="L318" s="12">
        <f ca="1">SUMIFS(TableDailySummary[Online Store_net_sales],TableDailySummary[Fecha],"&gt;="&amp;TableWeeklySummary[[#This Row],[Desde]],TableDailySummary[Fecha],"&lt;="&amp;TableWeeklySummary[[#This Row],[Hasta]])</f>
        <v>0</v>
      </c>
      <c r="M318" s="12">
        <f ca="1">SUMIFS(TableDailySummary[Online Store_orders],TableDailySummary[Fecha],"&gt;="&amp;TableWeeklySummary[[#This Row],[Desde]],TableDailySummary[Fecha],"&lt;="&amp;TableWeeklySummary[[#This Row],[Hasta]])</f>
        <v>0</v>
      </c>
      <c r="N318" s="12">
        <f ca="1">SUMIFS(TableDailySummary[Tienda 81_net_sales],TableDailySummary[Fecha],"&gt;="&amp;TableWeeklySummary[[#This Row],[Desde]],TableDailySummary[Fecha],"&lt;="&amp;TableWeeklySummary[[#This Row],[Hasta]])</f>
        <v>0</v>
      </c>
      <c r="O318" s="12">
        <f ca="1">SUMIFS(TableDailySummary[Tienda 81_orders],TableDailySummary[Fecha],"&gt;="&amp;TableWeeklySummary[[#This Row],[Desde]],TableDailySummary[Fecha],"&lt;="&amp;TableWeeklySummary[[#This Row],[Hasta]])</f>
        <v>0</v>
      </c>
      <c r="P318" s="12">
        <f ca="1">SUMIFS(TableDailySummary[Rappi_net_sales],TableDailySummary[Fecha],"&gt;="&amp;TableWeeklySummary[[#This Row],[Desde]],TableDailySummary[Fecha],"&lt;="&amp;TableWeeklySummary[[#This Row],[Hasta]])</f>
        <v>0</v>
      </c>
      <c r="Q318" s="12">
        <f ca="1">SUMIFS(TableDailySummary[Rappi_orders],TableDailySummary[Fecha],"&gt;="&amp;TableWeeklySummary[[#This Row],[Desde]],TableDailySummary[Fecha],"&lt;="&amp;TableWeeklySummary[[#This Row],[Hasta]])</f>
        <v>0</v>
      </c>
      <c r="R31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1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18" s="12">
        <f ca="1">SUMIFS(TableDailySummary[Inversión google ads],TableDailySummary[Fecha],"&gt;="&amp;TableWeeklySummary[[#This Row],[Desde]],TableDailySummary[Fecha],"&lt;="&amp;TableWeeklySummary[[#This Row],[Hasta]])</f>
        <v>0</v>
      </c>
      <c r="U318" s="12">
        <f ca="1">SUMIFS(TableDailySummary[Ventas google ads],TableDailySummary[Fecha],"&gt;="&amp;TableWeeklySummary[[#This Row],[Desde]],TableDailySummary[Fecha],"&lt;="&amp;TableWeeklySummary[[#This Row],[Hasta]])</f>
        <v>0</v>
      </c>
      <c r="V318" s="12">
        <f ca="1">SUMIFS(TableDailySummary[Inversión meta ads],TableDailySummary[Fecha],"&gt;="&amp;TableWeeklySummary[[#This Row],[Desde]],TableDailySummary[Fecha],"&lt;="&amp;TableWeeklySummary[[#This Row],[Hasta]])</f>
        <v>0</v>
      </c>
      <c r="W318" s="12">
        <f ca="1">SUMIFS(TableDailySummary[Ventas meta ads],TableDailySummary[Fecha],"&gt;="&amp;TableWeeklySummary[[#This Row],[Desde]],TableDailySummary[Fecha],"&lt;="&amp;TableWeeklySummary[[#This Row],[Hasta]])</f>
        <v>0</v>
      </c>
      <c r="X318" s="12">
        <f ca="1">TableWeeklySummary[[#This Row],[Inversión google ads]]+TableWeeklySummary[[#This Row],[Inversión meta ads]]</f>
        <v>0</v>
      </c>
      <c r="Y318" s="12">
        <f ca="1">TableWeeklySummary[[#This Row],[Ventas google ads]]+TableWeeklySummary[[#This Row],[Ventas meta ads]]</f>
        <v>0</v>
      </c>
      <c r="Z318" s="14">
        <f ca="1">IFERROR(TableWeeklySummary[[#This Row],[Ventas publicidad]]/TableWeeklySummary[[#This Row],[Inversión publicidad]],0)</f>
        <v>0</v>
      </c>
      <c r="AA318" s="14">
        <f ca="1">IFERROR(TableWeeklySummary[[#This Row],[Ventas primer cliente]]/TableWeeklySummary[[#This Row],[Inversión publicidad]],0)</f>
        <v>0</v>
      </c>
      <c r="AB318" s="14"/>
      <c r="AC318" s="12"/>
      <c r="AI31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1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18" s="12">
        <f ca="1">SUMIFS(TableDailySummary[Utilidad bruta],TableDailySummary[Fecha],"&gt;="&amp;TableWeeklySummary[[#This Row],[Desde]],TableDailySummary[Fecha],"&lt;="&amp;TableWeeklySummary[[#This Row],[Hasta]])</f>
        <v>0</v>
      </c>
      <c r="AL318" s="18">
        <f ca="1">IFERROR(TableWeeklySummary[[#This Row],[Utilidad bruta]]/TableWeeklySummary[[#This Row],[Ventas netas con costo registrado]],0)</f>
        <v>0</v>
      </c>
    </row>
    <row r="319" spans="2:38" x14ac:dyDescent="0.2">
      <c r="B319" s="16">
        <f ca="1">_xlfn.ISOWEEKNUM(TableWeeklySummary[[#This Row],[Hasta]])</f>
        <v>44</v>
      </c>
      <c r="C319" s="6">
        <f t="shared" ca="1" si="6"/>
        <v>48145</v>
      </c>
      <c r="D319" s="6">
        <f ca="1">TableWeeklySummary[[#This Row],[Desde]]+7-1</f>
        <v>48151</v>
      </c>
      <c r="E319" s="12">
        <f ca="1">SUMIFS(TableDailySummary[Ventas netas totales],TableDailySummary[Fecha],"&gt;="&amp;TableWeeklySummary[[#This Row],[Desde]],TableDailySummary[Fecha],"&lt;="&amp;TableWeeklySummary[[#This Row],[Hasta]])</f>
        <v>0</v>
      </c>
      <c r="F319" s="12">
        <f ca="1">SUMIFS(TableDailySummary[Órdenes totales],TableDailySummary[Fecha],"&gt;="&amp;TableWeeklySummary[[#This Row],[Desde]],TableDailySummary[Fecha],"&lt;="&amp;TableWeeklySummary[[#This Row],[Hasta]])</f>
        <v>0</v>
      </c>
      <c r="G319" s="12">
        <f ca="1">IFERROR(TableWeeklySummary[[#This Row],[Ventas netas totales]]/TableWeeklySummary[[#This Row],[Órdenes totales]],0)</f>
        <v>0</v>
      </c>
      <c r="H31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19" s="12">
        <f ca="1">TableWeeklySummary[[#This Row],[Órden promedio totales]]*TableWeeklySummary[[#This Row],[CR totales]]</f>
        <v>0</v>
      </c>
      <c r="J319" s="12">
        <f ca="1">SUMIFS(TableDailySummary[Ventas primer cliente],TableDailySummary[Fecha],"&gt;="&amp;TableWeeklySummary[[#This Row],[Desde]],TableDailySummary[Fecha],"&lt;="&amp;TableWeeklySummary[[#This Row],[Hasta]])</f>
        <v>0</v>
      </c>
      <c r="K319" s="12">
        <f ca="1">SUMIFS(TableDailySummary[Órdenes primer cliente],TableDailySummary[Fecha],"&gt;="&amp;TableWeeklySummary[[#This Row],[Desde]],TableDailySummary[Fecha],"&lt;="&amp;TableWeeklySummary[[#This Row],[Hasta]])</f>
        <v>0</v>
      </c>
      <c r="L319" s="12">
        <f ca="1">SUMIFS(TableDailySummary[Online Store_net_sales],TableDailySummary[Fecha],"&gt;="&amp;TableWeeklySummary[[#This Row],[Desde]],TableDailySummary[Fecha],"&lt;="&amp;TableWeeklySummary[[#This Row],[Hasta]])</f>
        <v>0</v>
      </c>
      <c r="M319" s="12">
        <f ca="1">SUMIFS(TableDailySummary[Online Store_orders],TableDailySummary[Fecha],"&gt;="&amp;TableWeeklySummary[[#This Row],[Desde]],TableDailySummary[Fecha],"&lt;="&amp;TableWeeklySummary[[#This Row],[Hasta]])</f>
        <v>0</v>
      </c>
      <c r="N319" s="12">
        <f ca="1">SUMIFS(TableDailySummary[Tienda 81_net_sales],TableDailySummary[Fecha],"&gt;="&amp;TableWeeklySummary[[#This Row],[Desde]],TableDailySummary[Fecha],"&lt;="&amp;TableWeeklySummary[[#This Row],[Hasta]])</f>
        <v>0</v>
      </c>
      <c r="O319" s="12">
        <f ca="1">SUMIFS(TableDailySummary[Tienda 81_orders],TableDailySummary[Fecha],"&gt;="&amp;TableWeeklySummary[[#This Row],[Desde]],TableDailySummary[Fecha],"&lt;="&amp;TableWeeklySummary[[#This Row],[Hasta]])</f>
        <v>0</v>
      </c>
      <c r="P319" s="12">
        <f ca="1">SUMIFS(TableDailySummary[Rappi_net_sales],TableDailySummary[Fecha],"&gt;="&amp;TableWeeklySummary[[#This Row],[Desde]],TableDailySummary[Fecha],"&lt;="&amp;TableWeeklySummary[[#This Row],[Hasta]])</f>
        <v>0</v>
      </c>
      <c r="Q319" s="12">
        <f ca="1">SUMIFS(TableDailySummary[Rappi_orders],TableDailySummary[Fecha],"&gt;="&amp;TableWeeklySummary[[#This Row],[Desde]],TableDailySummary[Fecha],"&lt;="&amp;TableWeeklySummary[[#This Row],[Hasta]])</f>
        <v>0</v>
      </c>
      <c r="R31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1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19" s="12">
        <f ca="1">SUMIFS(TableDailySummary[Inversión google ads],TableDailySummary[Fecha],"&gt;="&amp;TableWeeklySummary[[#This Row],[Desde]],TableDailySummary[Fecha],"&lt;="&amp;TableWeeklySummary[[#This Row],[Hasta]])</f>
        <v>0</v>
      </c>
      <c r="U319" s="12">
        <f ca="1">SUMIFS(TableDailySummary[Ventas google ads],TableDailySummary[Fecha],"&gt;="&amp;TableWeeklySummary[[#This Row],[Desde]],TableDailySummary[Fecha],"&lt;="&amp;TableWeeklySummary[[#This Row],[Hasta]])</f>
        <v>0</v>
      </c>
      <c r="V319" s="12">
        <f ca="1">SUMIFS(TableDailySummary[Inversión meta ads],TableDailySummary[Fecha],"&gt;="&amp;TableWeeklySummary[[#This Row],[Desde]],TableDailySummary[Fecha],"&lt;="&amp;TableWeeklySummary[[#This Row],[Hasta]])</f>
        <v>0</v>
      </c>
      <c r="W319" s="12">
        <f ca="1">SUMIFS(TableDailySummary[Ventas meta ads],TableDailySummary[Fecha],"&gt;="&amp;TableWeeklySummary[[#This Row],[Desde]],TableDailySummary[Fecha],"&lt;="&amp;TableWeeklySummary[[#This Row],[Hasta]])</f>
        <v>0</v>
      </c>
      <c r="X319" s="12">
        <f ca="1">TableWeeklySummary[[#This Row],[Inversión google ads]]+TableWeeklySummary[[#This Row],[Inversión meta ads]]</f>
        <v>0</v>
      </c>
      <c r="Y319" s="12">
        <f ca="1">TableWeeklySummary[[#This Row],[Ventas google ads]]+TableWeeklySummary[[#This Row],[Ventas meta ads]]</f>
        <v>0</v>
      </c>
      <c r="Z319" s="14">
        <f ca="1">IFERROR(TableWeeklySummary[[#This Row],[Ventas publicidad]]/TableWeeklySummary[[#This Row],[Inversión publicidad]],0)</f>
        <v>0</v>
      </c>
      <c r="AA319" s="14">
        <f ca="1">IFERROR(TableWeeklySummary[[#This Row],[Ventas primer cliente]]/TableWeeklySummary[[#This Row],[Inversión publicidad]],0)</f>
        <v>0</v>
      </c>
      <c r="AB319" s="14"/>
      <c r="AC319" s="12"/>
      <c r="AI31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1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19" s="12">
        <f ca="1">SUMIFS(TableDailySummary[Utilidad bruta],TableDailySummary[Fecha],"&gt;="&amp;TableWeeklySummary[[#This Row],[Desde]],TableDailySummary[Fecha],"&lt;="&amp;TableWeeklySummary[[#This Row],[Hasta]])</f>
        <v>0</v>
      </c>
      <c r="AL319" s="18">
        <f ca="1">IFERROR(TableWeeklySummary[[#This Row],[Utilidad bruta]]/TableWeeklySummary[[#This Row],[Ventas netas con costo registrado]],0)</f>
        <v>0</v>
      </c>
    </row>
    <row r="320" spans="2:38" x14ac:dyDescent="0.2">
      <c r="B320" s="16">
        <f ca="1">_xlfn.ISOWEEKNUM(TableWeeklySummary[[#This Row],[Hasta]])</f>
        <v>45</v>
      </c>
      <c r="C320" s="6">
        <f t="shared" ref="C320:C383" ca="1" si="7">_xlfn.LET(
    _xlpm.fechaini, ParamFechaInicioReporte,
    _xlpm.start_friday, IF(WEEKDAY(_xlpm.fechaini, 1) = 6, _xlpm.fechaini, _xlpm.fechaini - MOD(WEEKDAY(_xlpm.fechaini, 1) + 1, 7)),
    IF(ROW()=8, _xlpm.start_friday, C319 + 7)
)</f>
        <v>48152</v>
      </c>
      <c r="D320" s="6">
        <f ca="1">TableWeeklySummary[[#This Row],[Desde]]+7-1</f>
        <v>48158</v>
      </c>
      <c r="E320" s="12">
        <f ca="1">SUMIFS(TableDailySummary[Ventas netas totales],TableDailySummary[Fecha],"&gt;="&amp;TableWeeklySummary[[#This Row],[Desde]],TableDailySummary[Fecha],"&lt;="&amp;TableWeeklySummary[[#This Row],[Hasta]])</f>
        <v>0</v>
      </c>
      <c r="F320" s="12">
        <f ca="1">SUMIFS(TableDailySummary[Órdenes totales],TableDailySummary[Fecha],"&gt;="&amp;TableWeeklySummary[[#This Row],[Desde]],TableDailySummary[Fecha],"&lt;="&amp;TableWeeklySummary[[#This Row],[Hasta]])</f>
        <v>0</v>
      </c>
      <c r="G320" s="12">
        <f ca="1">IFERROR(TableWeeklySummary[[#This Row],[Ventas netas totales]]/TableWeeklySummary[[#This Row],[Órdenes totales]],0)</f>
        <v>0</v>
      </c>
      <c r="H32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20" s="12">
        <f ca="1">TableWeeklySummary[[#This Row],[Órden promedio totales]]*TableWeeklySummary[[#This Row],[CR totales]]</f>
        <v>0</v>
      </c>
      <c r="J320" s="12">
        <f ca="1">SUMIFS(TableDailySummary[Ventas primer cliente],TableDailySummary[Fecha],"&gt;="&amp;TableWeeklySummary[[#This Row],[Desde]],TableDailySummary[Fecha],"&lt;="&amp;TableWeeklySummary[[#This Row],[Hasta]])</f>
        <v>0</v>
      </c>
      <c r="K320" s="12">
        <f ca="1">SUMIFS(TableDailySummary[Órdenes primer cliente],TableDailySummary[Fecha],"&gt;="&amp;TableWeeklySummary[[#This Row],[Desde]],TableDailySummary[Fecha],"&lt;="&amp;TableWeeklySummary[[#This Row],[Hasta]])</f>
        <v>0</v>
      </c>
      <c r="L320" s="12">
        <f ca="1">SUMIFS(TableDailySummary[Online Store_net_sales],TableDailySummary[Fecha],"&gt;="&amp;TableWeeklySummary[[#This Row],[Desde]],TableDailySummary[Fecha],"&lt;="&amp;TableWeeklySummary[[#This Row],[Hasta]])</f>
        <v>0</v>
      </c>
      <c r="M320" s="12">
        <f ca="1">SUMIFS(TableDailySummary[Online Store_orders],TableDailySummary[Fecha],"&gt;="&amp;TableWeeklySummary[[#This Row],[Desde]],TableDailySummary[Fecha],"&lt;="&amp;TableWeeklySummary[[#This Row],[Hasta]])</f>
        <v>0</v>
      </c>
      <c r="N320" s="12">
        <f ca="1">SUMIFS(TableDailySummary[Tienda 81_net_sales],TableDailySummary[Fecha],"&gt;="&amp;TableWeeklySummary[[#This Row],[Desde]],TableDailySummary[Fecha],"&lt;="&amp;TableWeeklySummary[[#This Row],[Hasta]])</f>
        <v>0</v>
      </c>
      <c r="O320" s="12">
        <f ca="1">SUMIFS(TableDailySummary[Tienda 81_orders],TableDailySummary[Fecha],"&gt;="&amp;TableWeeklySummary[[#This Row],[Desde]],TableDailySummary[Fecha],"&lt;="&amp;TableWeeklySummary[[#This Row],[Hasta]])</f>
        <v>0</v>
      </c>
      <c r="P320" s="12">
        <f ca="1">SUMIFS(TableDailySummary[Rappi_net_sales],TableDailySummary[Fecha],"&gt;="&amp;TableWeeklySummary[[#This Row],[Desde]],TableDailySummary[Fecha],"&lt;="&amp;TableWeeklySummary[[#This Row],[Hasta]])</f>
        <v>0</v>
      </c>
      <c r="Q320" s="12">
        <f ca="1">SUMIFS(TableDailySummary[Rappi_orders],TableDailySummary[Fecha],"&gt;="&amp;TableWeeklySummary[[#This Row],[Desde]],TableDailySummary[Fecha],"&lt;="&amp;TableWeeklySummary[[#This Row],[Hasta]])</f>
        <v>0</v>
      </c>
      <c r="R32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2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20" s="12">
        <f ca="1">SUMIFS(TableDailySummary[Inversión google ads],TableDailySummary[Fecha],"&gt;="&amp;TableWeeklySummary[[#This Row],[Desde]],TableDailySummary[Fecha],"&lt;="&amp;TableWeeklySummary[[#This Row],[Hasta]])</f>
        <v>0</v>
      </c>
      <c r="U320" s="12">
        <f ca="1">SUMIFS(TableDailySummary[Ventas google ads],TableDailySummary[Fecha],"&gt;="&amp;TableWeeklySummary[[#This Row],[Desde]],TableDailySummary[Fecha],"&lt;="&amp;TableWeeklySummary[[#This Row],[Hasta]])</f>
        <v>0</v>
      </c>
      <c r="V320" s="12">
        <f ca="1">SUMIFS(TableDailySummary[Inversión meta ads],TableDailySummary[Fecha],"&gt;="&amp;TableWeeklySummary[[#This Row],[Desde]],TableDailySummary[Fecha],"&lt;="&amp;TableWeeklySummary[[#This Row],[Hasta]])</f>
        <v>0</v>
      </c>
      <c r="W320" s="12">
        <f ca="1">SUMIFS(TableDailySummary[Ventas meta ads],TableDailySummary[Fecha],"&gt;="&amp;TableWeeklySummary[[#This Row],[Desde]],TableDailySummary[Fecha],"&lt;="&amp;TableWeeklySummary[[#This Row],[Hasta]])</f>
        <v>0</v>
      </c>
      <c r="X320" s="12">
        <f ca="1">TableWeeklySummary[[#This Row],[Inversión google ads]]+TableWeeklySummary[[#This Row],[Inversión meta ads]]</f>
        <v>0</v>
      </c>
      <c r="Y320" s="12">
        <f ca="1">TableWeeklySummary[[#This Row],[Ventas google ads]]+TableWeeklySummary[[#This Row],[Ventas meta ads]]</f>
        <v>0</v>
      </c>
      <c r="Z320" s="14">
        <f ca="1">IFERROR(TableWeeklySummary[[#This Row],[Ventas publicidad]]/TableWeeklySummary[[#This Row],[Inversión publicidad]],0)</f>
        <v>0</v>
      </c>
      <c r="AA320" s="14">
        <f ca="1">IFERROR(TableWeeklySummary[[#This Row],[Ventas primer cliente]]/TableWeeklySummary[[#This Row],[Inversión publicidad]],0)</f>
        <v>0</v>
      </c>
      <c r="AB320" s="14"/>
      <c r="AC320" s="12"/>
      <c r="AI32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2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20" s="12">
        <f ca="1">SUMIFS(TableDailySummary[Utilidad bruta],TableDailySummary[Fecha],"&gt;="&amp;TableWeeklySummary[[#This Row],[Desde]],TableDailySummary[Fecha],"&lt;="&amp;TableWeeklySummary[[#This Row],[Hasta]])</f>
        <v>0</v>
      </c>
      <c r="AL320" s="18">
        <f ca="1">IFERROR(TableWeeklySummary[[#This Row],[Utilidad bruta]]/TableWeeklySummary[[#This Row],[Ventas netas con costo registrado]],0)</f>
        <v>0</v>
      </c>
    </row>
    <row r="321" spans="2:38" x14ac:dyDescent="0.2">
      <c r="B321" s="16">
        <f ca="1">_xlfn.ISOWEEKNUM(TableWeeklySummary[[#This Row],[Hasta]])</f>
        <v>46</v>
      </c>
      <c r="C321" s="6">
        <f t="shared" ca="1" si="7"/>
        <v>48159</v>
      </c>
      <c r="D321" s="6">
        <f ca="1">TableWeeklySummary[[#This Row],[Desde]]+7-1</f>
        <v>48165</v>
      </c>
      <c r="E321" s="12">
        <f ca="1">SUMIFS(TableDailySummary[Ventas netas totales],TableDailySummary[Fecha],"&gt;="&amp;TableWeeklySummary[[#This Row],[Desde]],TableDailySummary[Fecha],"&lt;="&amp;TableWeeklySummary[[#This Row],[Hasta]])</f>
        <v>0</v>
      </c>
      <c r="F321" s="12">
        <f ca="1">SUMIFS(TableDailySummary[Órdenes totales],TableDailySummary[Fecha],"&gt;="&amp;TableWeeklySummary[[#This Row],[Desde]],TableDailySummary[Fecha],"&lt;="&amp;TableWeeklySummary[[#This Row],[Hasta]])</f>
        <v>0</v>
      </c>
      <c r="G321" s="12">
        <f ca="1">IFERROR(TableWeeklySummary[[#This Row],[Ventas netas totales]]/TableWeeklySummary[[#This Row],[Órdenes totales]],0)</f>
        <v>0</v>
      </c>
      <c r="H32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21" s="12">
        <f ca="1">TableWeeklySummary[[#This Row],[Órden promedio totales]]*TableWeeklySummary[[#This Row],[CR totales]]</f>
        <v>0</v>
      </c>
      <c r="J321" s="12">
        <f ca="1">SUMIFS(TableDailySummary[Ventas primer cliente],TableDailySummary[Fecha],"&gt;="&amp;TableWeeklySummary[[#This Row],[Desde]],TableDailySummary[Fecha],"&lt;="&amp;TableWeeklySummary[[#This Row],[Hasta]])</f>
        <v>0</v>
      </c>
      <c r="K321" s="12">
        <f ca="1">SUMIFS(TableDailySummary[Órdenes primer cliente],TableDailySummary[Fecha],"&gt;="&amp;TableWeeklySummary[[#This Row],[Desde]],TableDailySummary[Fecha],"&lt;="&amp;TableWeeklySummary[[#This Row],[Hasta]])</f>
        <v>0</v>
      </c>
      <c r="L321" s="12">
        <f ca="1">SUMIFS(TableDailySummary[Online Store_net_sales],TableDailySummary[Fecha],"&gt;="&amp;TableWeeklySummary[[#This Row],[Desde]],TableDailySummary[Fecha],"&lt;="&amp;TableWeeklySummary[[#This Row],[Hasta]])</f>
        <v>0</v>
      </c>
      <c r="M321" s="12">
        <f ca="1">SUMIFS(TableDailySummary[Online Store_orders],TableDailySummary[Fecha],"&gt;="&amp;TableWeeklySummary[[#This Row],[Desde]],TableDailySummary[Fecha],"&lt;="&amp;TableWeeklySummary[[#This Row],[Hasta]])</f>
        <v>0</v>
      </c>
      <c r="N321" s="12">
        <f ca="1">SUMIFS(TableDailySummary[Tienda 81_net_sales],TableDailySummary[Fecha],"&gt;="&amp;TableWeeklySummary[[#This Row],[Desde]],TableDailySummary[Fecha],"&lt;="&amp;TableWeeklySummary[[#This Row],[Hasta]])</f>
        <v>0</v>
      </c>
      <c r="O321" s="12">
        <f ca="1">SUMIFS(TableDailySummary[Tienda 81_orders],TableDailySummary[Fecha],"&gt;="&amp;TableWeeklySummary[[#This Row],[Desde]],TableDailySummary[Fecha],"&lt;="&amp;TableWeeklySummary[[#This Row],[Hasta]])</f>
        <v>0</v>
      </c>
      <c r="P321" s="12">
        <f ca="1">SUMIFS(TableDailySummary[Rappi_net_sales],TableDailySummary[Fecha],"&gt;="&amp;TableWeeklySummary[[#This Row],[Desde]],TableDailySummary[Fecha],"&lt;="&amp;TableWeeklySummary[[#This Row],[Hasta]])</f>
        <v>0</v>
      </c>
      <c r="Q321" s="12">
        <f ca="1">SUMIFS(TableDailySummary[Rappi_orders],TableDailySummary[Fecha],"&gt;="&amp;TableWeeklySummary[[#This Row],[Desde]],TableDailySummary[Fecha],"&lt;="&amp;TableWeeklySummary[[#This Row],[Hasta]])</f>
        <v>0</v>
      </c>
      <c r="R32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2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21" s="12">
        <f ca="1">SUMIFS(TableDailySummary[Inversión google ads],TableDailySummary[Fecha],"&gt;="&amp;TableWeeklySummary[[#This Row],[Desde]],TableDailySummary[Fecha],"&lt;="&amp;TableWeeklySummary[[#This Row],[Hasta]])</f>
        <v>0</v>
      </c>
      <c r="U321" s="12">
        <f ca="1">SUMIFS(TableDailySummary[Ventas google ads],TableDailySummary[Fecha],"&gt;="&amp;TableWeeklySummary[[#This Row],[Desde]],TableDailySummary[Fecha],"&lt;="&amp;TableWeeklySummary[[#This Row],[Hasta]])</f>
        <v>0</v>
      </c>
      <c r="V321" s="12">
        <f ca="1">SUMIFS(TableDailySummary[Inversión meta ads],TableDailySummary[Fecha],"&gt;="&amp;TableWeeklySummary[[#This Row],[Desde]],TableDailySummary[Fecha],"&lt;="&amp;TableWeeklySummary[[#This Row],[Hasta]])</f>
        <v>0</v>
      </c>
      <c r="W321" s="12">
        <f ca="1">SUMIFS(TableDailySummary[Ventas meta ads],TableDailySummary[Fecha],"&gt;="&amp;TableWeeklySummary[[#This Row],[Desde]],TableDailySummary[Fecha],"&lt;="&amp;TableWeeklySummary[[#This Row],[Hasta]])</f>
        <v>0</v>
      </c>
      <c r="X321" s="12">
        <f ca="1">TableWeeklySummary[[#This Row],[Inversión google ads]]+TableWeeklySummary[[#This Row],[Inversión meta ads]]</f>
        <v>0</v>
      </c>
      <c r="Y321" s="12">
        <f ca="1">TableWeeklySummary[[#This Row],[Ventas google ads]]+TableWeeklySummary[[#This Row],[Ventas meta ads]]</f>
        <v>0</v>
      </c>
      <c r="Z321" s="14">
        <f ca="1">IFERROR(TableWeeklySummary[[#This Row],[Ventas publicidad]]/TableWeeklySummary[[#This Row],[Inversión publicidad]],0)</f>
        <v>0</v>
      </c>
      <c r="AA321" s="14">
        <f ca="1">IFERROR(TableWeeklySummary[[#This Row],[Ventas primer cliente]]/TableWeeklySummary[[#This Row],[Inversión publicidad]],0)</f>
        <v>0</v>
      </c>
      <c r="AB321" s="14"/>
      <c r="AC321" s="12"/>
      <c r="AI32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2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21" s="12">
        <f ca="1">SUMIFS(TableDailySummary[Utilidad bruta],TableDailySummary[Fecha],"&gt;="&amp;TableWeeklySummary[[#This Row],[Desde]],TableDailySummary[Fecha],"&lt;="&amp;TableWeeklySummary[[#This Row],[Hasta]])</f>
        <v>0</v>
      </c>
      <c r="AL321" s="18">
        <f ca="1">IFERROR(TableWeeklySummary[[#This Row],[Utilidad bruta]]/TableWeeklySummary[[#This Row],[Ventas netas con costo registrado]],0)</f>
        <v>0</v>
      </c>
    </row>
    <row r="322" spans="2:38" x14ac:dyDescent="0.2">
      <c r="B322" s="16">
        <f ca="1">_xlfn.ISOWEEKNUM(TableWeeklySummary[[#This Row],[Hasta]])</f>
        <v>47</v>
      </c>
      <c r="C322" s="6">
        <f t="shared" ca="1" si="7"/>
        <v>48166</v>
      </c>
      <c r="D322" s="6">
        <f ca="1">TableWeeklySummary[[#This Row],[Desde]]+7-1</f>
        <v>48172</v>
      </c>
      <c r="E322" s="12">
        <f ca="1">SUMIFS(TableDailySummary[Ventas netas totales],TableDailySummary[Fecha],"&gt;="&amp;TableWeeklySummary[[#This Row],[Desde]],TableDailySummary[Fecha],"&lt;="&amp;TableWeeklySummary[[#This Row],[Hasta]])</f>
        <v>0</v>
      </c>
      <c r="F322" s="12">
        <f ca="1">SUMIFS(TableDailySummary[Órdenes totales],TableDailySummary[Fecha],"&gt;="&amp;TableWeeklySummary[[#This Row],[Desde]],TableDailySummary[Fecha],"&lt;="&amp;TableWeeklySummary[[#This Row],[Hasta]])</f>
        <v>0</v>
      </c>
      <c r="G322" s="12">
        <f ca="1">IFERROR(TableWeeklySummary[[#This Row],[Ventas netas totales]]/TableWeeklySummary[[#This Row],[Órdenes totales]],0)</f>
        <v>0</v>
      </c>
      <c r="H32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22" s="12">
        <f ca="1">TableWeeklySummary[[#This Row],[Órden promedio totales]]*TableWeeklySummary[[#This Row],[CR totales]]</f>
        <v>0</v>
      </c>
      <c r="J322" s="12">
        <f ca="1">SUMIFS(TableDailySummary[Ventas primer cliente],TableDailySummary[Fecha],"&gt;="&amp;TableWeeklySummary[[#This Row],[Desde]],TableDailySummary[Fecha],"&lt;="&amp;TableWeeklySummary[[#This Row],[Hasta]])</f>
        <v>0</v>
      </c>
      <c r="K322" s="12">
        <f ca="1">SUMIFS(TableDailySummary[Órdenes primer cliente],TableDailySummary[Fecha],"&gt;="&amp;TableWeeklySummary[[#This Row],[Desde]],TableDailySummary[Fecha],"&lt;="&amp;TableWeeklySummary[[#This Row],[Hasta]])</f>
        <v>0</v>
      </c>
      <c r="L322" s="12">
        <f ca="1">SUMIFS(TableDailySummary[Online Store_net_sales],TableDailySummary[Fecha],"&gt;="&amp;TableWeeklySummary[[#This Row],[Desde]],TableDailySummary[Fecha],"&lt;="&amp;TableWeeklySummary[[#This Row],[Hasta]])</f>
        <v>0</v>
      </c>
      <c r="M322" s="12">
        <f ca="1">SUMIFS(TableDailySummary[Online Store_orders],TableDailySummary[Fecha],"&gt;="&amp;TableWeeklySummary[[#This Row],[Desde]],TableDailySummary[Fecha],"&lt;="&amp;TableWeeklySummary[[#This Row],[Hasta]])</f>
        <v>0</v>
      </c>
      <c r="N322" s="12">
        <f ca="1">SUMIFS(TableDailySummary[Tienda 81_net_sales],TableDailySummary[Fecha],"&gt;="&amp;TableWeeklySummary[[#This Row],[Desde]],TableDailySummary[Fecha],"&lt;="&amp;TableWeeklySummary[[#This Row],[Hasta]])</f>
        <v>0</v>
      </c>
      <c r="O322" s="12">
        <f ca="1">SUMIFS(TableDailySummary[Tienda 81_orders],TableDailySummary[Fecha],"&gt;="&amp;TableWeeklySummary[[#This Row],[Desde]],TableDailySummary[Fecha],"&lt;="&amp;TableWeeklySummary[[#This Row],[Hasta]])</f>
        <v>0</v>
      </c>
      <c r="P322" s="12">
        <f ca="1">SUMIFS(TableDailySummary[Rappi_net_sales],TableDailySummary[Fecha],"&gt;="&amp;TableWeeklySummary[[#This Row],[Desde]],TableDailySummary[Fecha],"&lt;="&amp;TableWeeklySummary[[#This Row],[Hasta]])</f>
        <v>0</v>
      </c>
      <c r="Q322" s="12">
        <f ca="1">SUMIFS(TableDailySummary[Rappi_orders],TableDailySummary[Fecha],"&gt;="&amp;TableWeeklySummary[[#This Row],[Desde]],TableDailySummary[Fecha],"&lt;="&amp;TableWeeklySummary[[#This Row],[Hasta]])</f>
        <v>0</v>
      </c>
      <c r="R32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2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22" s="12">
        <f ca="1">SUMIFS(TableDailySummary[Inversión google ads],TableDailySummary[Fecha],"&gt;="&amp;TableWeeklySummary[[#This Row],[Desde]],TableDailySummary[Fecha],"&lt;="&amp;TableWeeklySummary[[#This Row],[Hasta]])</f>
        <v>0</v>
      </c>
      <c r="U322" s="12">
        <f ca="1">SUMIFS(TableDailySummary[Ventas google ads],TableDailySummary[Fecha],"&gt;="&amp;TableWeeklySummary[[#This Row],[Desde]],TableDailySummary[Fecha],"&lt;="&amp;TableWeeklySummary[[#This Row],[Hasta]])</f>
        <v>0</v>
      </c>
      <c r="V322" s="12">
        <f ca="1">SUMIFS(TableDailySummary[Inversión meta ads],TableDailySummary[Fecha],"&gt;="&amp;TableWeeklySummary[[#This Row],[Desde]],TableDailySummary[Fecha],"&lt;="&amp;TableWeeklySummary[[#This Row],[Hasta]])</f>
        <v>0</v>
      </c>
      <c r="W322" s="12">
        <f ca="1">SUMIFS(TableDailySummary[Ventas meta ads],TableDailySummary[Fecha],"&gt;="&amp;TableWeeklySummary[[#This Row],[Desde]],TableDailySummary[Fecha],"&lt;="&amp;TableWeeklySummary[[#This Row],[Hasta]])</f>
        <v>0</v>
      </c>
      <c r="X322" s="12">
        <f ca="1">TableWeeklySummary[[#This Row],[Inversión google ads]]+TableWeeklySummary[[#This Row],[Inversión meta ads]]</f>
        <v>0</v>
      </c>
      <c r="Y322" s="12">
        <f ca="1">TableWeeklySummary[[#This Row],[Ventas google ads]]+TableWeeklySummary[[#This Row],[Ventas meta ads]]</f>
        <v>0</v>
      </c>
      <c r="Z322" s="14">
        <f ca="1">IFERROR(TableWeeklySummary[[#This Row],[Ventas publicidad]]/TableWeeklySummary[[#This Row],[Inversión publicidad]],0)</f>
        <v>0</v>
      </c>
      <c r="AA322" s="14">
        <f ca="1">IFERROR(TableWeeklySummary[[#This Row],[Ventas primer cliente]]/TableWeeklySummary[[#This Row],[Inversión publicidad]],0)</f>
        <v>0</v>
      </c>
      <c r="AB322" s="14"/>
      <c r="AC322" s="12"/>
      <c r="AI32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2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22" s="12">
        <f ca="1">SUMIFS(TableDailySummary[Utilidad bruta],TableDailySummary[Fecha],"&gt;="&amp;TableWeeklySummary[[#This Row],[Desde]],TableDailySummary[Fecha],"&lt;="&amp;TableWeeklySummary[[#This Row],[Hasta]])</f>
        <v>0</v>
      </c>
      <c r="AL322" s="18">
        <f ca="1">IFERROR(TableWeeklySummary[[#This Row],[Utilidad bruta]]/TableWeeklySummary[[#This Row],[Ventas netas con costo registrado]],0)</f>
        <v>0</v>
      </c>
    </row>
    <row r="323" spans="2:38" x14ac:dyDescent="0.2">
      <c r="B323" s="16">
        <f ca="1">_xlfn.ISOWEEKNUM(TableWeeklySummary[[#This Row],[Hasta]])</f>
        <v>48</v>
      </c>
      <c r="C323" s="6">
        <f t="shared" ca="1" si="7"/>
        <v>48173</v>
      </c>
      <c r="D323" s="6">
        <f ca="1">TableWeeklySummary[[#This Row],[Desde]]+7-1</f>
        <v>48179</v>
      </c>
      <c r="E323" s="12">
        <f ca="1">SUMIFS(TableDailySummary[Ventas netas totales],TableDailySummary[Fecha],"&gt;="&amp;TableWeeklySummary[[#This Row],[Desde]],TableDailySummary[Fecha],"&lt;="&amp;TableWeeklySummary[[#This Row],[Hasta]])</f>
        <v>0</v>
      </c>
      <c r="F323" s="12">
        <f ca="1">SUMIFS(TableDailySummary[Órdenes totales],TableDailySummary[Fecha],"&gt;="&amp;TableWeeklySummary[[#This Row],[Desde]],TableDailySummary[Fecha],"&lt;="&amp;TableWeeklySummary[[#This Row],[Hasta]])</f>
        <v>0</v>
      </c>
      <c r="G323" s="12">
        <f ca="1">IFERROR(TableWeeklySummary[[#This Row],[Ventas netas totales]]/TableWeeklySummary[[#This Row],[Órdenes totales]],0)</f>
        <v>0</v>
      </c>
      <c r="H32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23" s="12">
        <f ca="1">TableWeeklySummary[[#This Row],[Órden promedio totales]]*TableWeeklySummary[[#This Row],[CR totales]]</f>
        <v>0</v>
      </c>
      <c r="J323" s="12">
        <f ca="1">SUMIFS(TableDailySummary[Ventas primer cliente],TableDailySummary[Fecha],"&gt;="&amp;TableWeeklySummary[[#This Row],[Desde]],TableDailySummary[Fecha],"&lt;="&amp;TableWeeklySummary[[#This Row],[Hasta]])</f>
        <v>0</v>
      </c>
      <c r="K323" s="12">
        <f ca="1">SUMIFS(TableDailySummary[Órdenes primer cliente],TableDailySummary[Fecha],"&gt;="&amp;TableWeeklySummary[[#This Row],[Desde]],TableDailySummary[Fecha],"&lt;="&amp;TableWeeklySummary[[#This Row],[Hasta]])</f>
        <v>0</v>
      </c>
      <c r="L323" s="12">
        <f ca="1">SUMIFS(TableDailySummary[Online Store_net_sales],TableDailySummary[Fecha],"&gt;="&amp;TableWeeklySummary[[#This Row],[Desde]],TableDailySummary[Fecha],"&lt;="&amp;TableWeeklySummary[[#This Row],[Hasta]])</f>
        <v>0</v>
      </c>
      <c r="M323" s="12">
        <f ca="1">SUMIFS(TableDailySummary[Online Store_orders],TableDailySummary[Fecha],"&gt;="&amp;TableWeeklySummary[[#This Row],[Desde]],TableDailySummary[Fecha],"&lt;="&amp;TableWeeklySummary[[#This Row],[Hasta]])</f>
        <v>0</v>
      </c>
      <c r="N323" s="12">
        <f ca="1">SUMIFS(TableDailySummary[Tienda 81_net_sales],TableDailySummary[Fecha],"&gt;="&amp;TableWeeklySummary[[#This Row],[Desde]],TableDailySummary[Fecha],"&lt;="&amp;TableWeeklySummary[[#This Row],[Hasta]])</f>
        <v>0</v>
      </c>
      <c r="O323" s="12">
        <f ca="1">SUMIFS(TableDailySummary[Tienda 81_orders],TableDailySummary[Fecha],"&gt;="&amp;TableWeeklySummary[[#This Row],[Desde]],TableDailySummary[Fecha],"&lt;="&amp;TableWeeklySummary[[#This Row],[Hasta]])</f>
        <v>0</v>
      </c>
      <c r="P323" s="12">
        <f ca="1">SUMIFS(TableDailySummary[Rappi_net_sales],TableDailySummary[Fecha],"&gt;="&amp;TableWeeklySummary[[#This Row],[Desde]],TableDailySummary[Fecha],"&lt;="&amp;TableWeeklySummary[[#This Row],[Hasta]])</f>
        <v>0</v>
      </c>
      <c r="Q323" s="12">
        <f ca="1">SUMIFS(TableDailySummary[Rappi_orders],TableDailySummary[Fecha],"&gt;="&amp;TableWeeklySummary[[#This Row],[Desde]],TableDailySummary[Fecha],"&lt;="&amp;TableWeeklySummary[[#This Row],[Hasta]])</f>
        <v>0</v>
      </c>
      <c r="R32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2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23" s="12">
        <f ca="1">SUMIFS(TableDailySummary[Inversión google ads],TableDailySummary[Fecha],"&gt;="&amp;TableWeeklySummary[[#This Row],[Desde]],TableDailySummary[Fecha],"&lt;="&amp;TableWeeklySummary[[#This Row],[Hasta]])</f>
        <v>0</v>
      </c>
      <c r="U323" s="12">
        <f ca="1">SUMIFS(TableDailySummary[Ventas google ads],TableDailySummary[Fecha],"&gt;="&amp;TableWeeklySummary[[#This Row],[Desde]],TableDailySummary[Fecha],"&lt;="&amp;TableWeeklySummary[[#This Row],[Hasta]])</f>
        <v>0</v>
      </c>
      <c r="V323" s="12">
        <f ca="1">SUMIFS(TableDailySummary[Inversión meta ads],TableDailySummary[Fecha],"&gt;="&amp;TableWeeklySummary[[#This Row],[Desde]],TableDailySummary[Fecha],"&lt;="&amp;TableWeeklySummary[[#This Row],[Hasta]])</f>
        <v>0</v>
      </c>
      <c r="W323" s="12">
        <f ca="1">SUMIFS(TableDailySummary[Ventas meta ads],TableDailySummary[Fecha],"&gt;="&amp;TableWeeklySummary[[#This Row],[Desde]],TableDailySummary[Fecha],"&lt;="&amp;TableWeeklySummary[[#This Row],[Hasta]])</f>
        <v>0</v>
      </c>
      <c r="X323" s="12">
        <f ca="1">TableWeeklySummary[[#This Row],[Inversión google ads]]+TableWeeklySummary[[#This Row],[Inversión meta ads]]</f>
        <v>0</v>
      </c>
      <c r="Y323" s="12">
        <f ca="1">TableWeeklySummary[[#This Row],[Ventas google ads]]+TableWeeklySummary[[#This Row],[Ventas meta ads]]</f>
        <v>0</v>
      </c>
      <c r="Z323" s="14">
        <f ca="1">IFERROR(TableWeeklySummary[[#This Row],[Ventas publicidad]]/TableWeeklySummary[[#This Row],[Inversión publicidad]],0)</f>
        <v>0</v>
      </c>
      <c r="AA323" s="14">
        <f ca="1">IFERROR(TableWeeklySummary[[#This Row],[Ventas primer cliente]]/TableWeeklySummary[[#This Row],[Inversión publicidad]],0)</f>
        <v>0</v>
      </c>
      <c r="AB323" s="14"/>
      <c r="AC323" s="12"/>
      <c r="AI32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2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23" s="12">
        <f ca="1">SUMIFS(TableDailySummary[Utilidad bruta],TableDailySummary[Fecha],"&gt;="&amp;TableWeeklySummary[[#This Row],[Desde]],TableDailySummary[Fecha],"&lt;="&amp;TableWeeklySummary[[#This Row],[Hasta]])</f>
        <v>0</v>
      </c>
      <c r="AL323" s="18">
        <f ca="1">IFERROR(TableWeeklySummary[[#This Row],[Utilidad bruta]]/TableWeeklySummary[[#This Row],[Ventas netas con costo registrado]],0)</f>
        <v>0</v>
      </c>
    </row>
    <row r="324" spans="2:38" x14ac:dyDescent="0.2">
      <c r="B324" s="16">
        <f ca="1">_xlfn.ISOWEEKNUM(TableWeeklySummary[[#This Row],[Hasta]])</f>
        <v>49</v>
      </c>
      <c r="C324" s="6">
        <f t="shared" ca="1" si="7"/>
        <v>48180</v>
      </c>
      <c r="D324" s="6">
        <f ca="1">TableWeeklySummary[[#This Row],[Desde]]+7-1</f>
        <v>48186</v>
      </c>
      <c r="E324" s="12">
        <f ca="1">SUMIFS(TableDailySummary[Ventas netas totales],TableDailySummary[Fecha],"&gt;="&amp;TableWeeklySummary[[#This Row],[Desde]],TableDailySummary[Fecha],"&lt;="&amp;TableWeeklySummary[[#This Row],[Hasta]])</f>
        <v>0</v>
      </c>
      <c r="F324" s="12">
        <f ca="1">SUMIFS(TableDailySummary[Órdenes totales],TableDailySummary[Fecha],"&gt;="&amp;TableWeeklySummary[[#This Row],[Desde]],TableDailySummary[Fecha],"&lt;="&amp;TableWeeklySummary[[#This Row],[Hasta]])</f>
        <v>0</v>
      </c>
      <c r="G324" s="12">
        <f ca="1">IFERROR(TableWeeklySummary[[#This Row],[Ventas netas totales]]/TableWeeklySummary[[#This Row],[Órdenes totales]],0)</f>
        <v>0</v>
      </c>
      <c r="H32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24" s="12">
        <f ca="1">TableWeeklySummary[[#This Row],[Órden promedio totales]]*TableWeeklySummary[[#This Row],[CR totales]]</f>
        <v>0</v>
      </c>
      <c r="J324" s="12">
        <f ca="1">SUMIFS(TableDailySummary[Ventas primer cliente],TableDailySummary[Fecha],"&gt;="&amp;TableWeeklySummary[[#This Row],[Desde]],TableDailySummary[Fecha],"&lt;="&amp;TableWeeklySummary[[#This Row],[Hasta]])</f>
        <v>0</v>
      </c>
      <c r="K324" s="12">
        <f ca="1">SUMIFS(TableDailySummary[Órdenes primer cliente],TableDailySummary[Fecha],"&gt;="&amp;TableWeeklySummary[[#This Row],[Desde]],TableDailySummary[Fecha],"&lt;="&amp;TableWeeklySummary[[#This Row],[Hasta]])</f>
        <v>0</v>
      </c>
      <c r="L324" s="12">
        <f ca="1">SUMIFS(TableDailySummary[Online Store_net_sales],TableDailySummary[Fecha],"&gt;="&amp;TableWeeklySummary[[#This Row],[Desde]],TableDailySummary[Fecha],"&lt;="&amp;TableWeeklySummary[[#This Row],[Hasta]])</f>
        <v>0</v>
      </c>
      <c r="M324" s="12">
        <f ca="1">SUMIFS(TableDailySummary[Online Store_orders],TableDailySummary[Fecha],"&gt;="&amp;TableWeeklySummary[[#This Row],[Desde]],TableDailySummary[Fecha],"&lt;="&amp;TableWeeklySummary[[#This Row],[Hasta]])</f>
        <v>0</v>
      </c>
      <c r="N324" s="12">
        <f ca="1">SUMIFS(TableDailySummary[Tienda 81_net_sales],TableDailySummary[Fecha],"&gt;="&amp;TableWeeklySummary[[#This Row],[Desde]],TableDailySummary[Fecha],"&lt;="&amp;TableWeeklySummary[[#This Row],[Hasta]])</f>
        <v>0</v>
      </c>
      <c r="O324" s="12">
        <f ca="1">SUMIFS(TableDailySummary[Tienda 81_orders],TableDailySummary[Fecha],"&gt;="&amp;TableWeeklySummary[[#This Row],[Desde]],TableDailySummary[Fecha],"&lt;="&amp;TableWeeklySummary[[#This Row],[Hasta]])</f>
        <v>0</v>
      </c>
      <c r="P324" s="12">
        <f ca="1">SUMIFS(TableDailySummary[Rappi_net_sales],TableDailySummary[Fecha],"&gt;="&amp;TableWeeklySummary[[#This Row],[Desde]],TableDailySummary[Fecha],"&lt;="&amp;TableWeeklySummary[[#This Row],[Hasta]])</f>
        <v>0</v>
      </c>
      <c r="Q324" s="12">
        <f ca="1">SUMIFS(TableDailySummary[Rappi_orders],TableDailySummary[Fecha],"&gt;="&amp;TableWeeklySummary[[#This Row],[Desde]],TableDailySummary[Fecha],"&lt;="&amp;TableWeeklySummary[[#This Row],[Hasta]])</f>
        <v>0</v>
      </c>
      <c r="R32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2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24" s="12">
        <f ca="1">SUMIFS(TableDailySummary[Inversión google ads],TableDailySummary[Fecha],"&gt;="&amp;TableWeeklySummary[[#This Row],[Desde]],TableDailySummary[Fecha],"&lt;="&amp;TableWeeklySummary[[#This Row],[Hasta]])</f>
        <v>0</v>
      </c>
      <c r="U324" s="12">
        <f ca="1">SUMIFS(TableDailySummary[Ventas google ads],TableDailySummary[Fecha],"&gt;="&amp;TableWeeklySummary[[#This Row],[Desde]],TableDailySummary[Fecha],"&lt;="&amp;TableWeeklySummary[[#This Row],[Hasta]])</f>
        <v>0</v>
      </c>
      <c r="V324" s="12">
        <f ca="1">SUMIFS(TableDailySummary[Inversión meta ads],TableDailySummary[Fecha],"&gt;="&amp;TableWeeklySummary[[#This Row],[Desde]],TableDailySummary[Fecha],"&lt;="&amp;TableWeeklySummary[[#This Row],[Hasta]])</f>
        <v>0</v>
      </c>
      <c r="W324" s="12">
        <f ca="1">SUMIFS(TableDailySummary[Ventas meta ads],TableDailySummary[Fecha],"&gt;="&amp;TableWeeklySummary[[#This Row],[Desde]],TableDailySummary[Fecha],"&lt;="&amp;TableWeeklySummary[[#This Row],[Hasta]])</f>
        <v>0</v>
      </c>
      <c r="X324" s="12">
        <f ca="1">TableWeeklySummary[[#This Row],[Inversión google ads]]+TableWeeklySummary[[#This Row],[Inversión meta ads]]</f>
        <v>0</v>
      </c>
      <c r="Y324" s="12">
        <f ca="1">TableWeeklySummary[[#This Row],[Ventas google ads]]+TableWeeklySummary[[#This Row],[Ventas meta ads]]</f>
        <v>0</v>
      </c>
      <c r="Z324" s="14">
        <f ca="1">IFERROR(TableWeeklySummary[[#This Row],[Ventas publicidad]]/TableWeeklySummary[[#This Row],[Inversión publicidad]],0)</f>
        <v>0</v>
      </c>
      <c r="AA324" s="14">
        <f ca="1">IFERROR(TableWeeklySummary[[#This Row],[Ventas primer cliente]]/TableWeeklySummary[[#This Row],[Inversión publicidad]],0)</f>
        <v>0</v>
      </c>
      <c r="AB324" s="14"/>
      <c r="AC324" s="12"/>
      <c r="AI32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2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24" s="12">
        <f ca="1">SUMIFS(TableDailySummary[Utilidad bruta],TableDailySummary[Fecha],"&gt;="&amp;TableWeeklySummary[[#This Row],[Desde]],TableDailySummary[Fecha],"&lt;="&amp;TableWeeklySummary[[#This Row],[Hasta]])</f>
        <v>0</v>
      </c>
      <c r="AL324" s="18">
        <f ca="1">IFERROR(TableWeeklySummary[[#This Row],[Utilidad bruta]]/TableWeeklySummary[[#This Row],[Ventas netas con costo registrado]],0)</f>
        <v>0</v>
      </c>
    </row>
    <row r="325" spans="2:38" x14ac:dyDescent="0.2">
      <c r="B325" s="16">
        <f ca="1">_xlfn.ISOWEEKNUM(TableWeeklySummary[[#This Row],[Hasta]])</f>
        <v>50</v>
      </c>
      <c r="C325" s="6">
        <f t="shared" ca="1" si="7"/>
        <v>48187</v>
      </c>
      <c r="D325" s="6">
        <f ca="1">TableWeeklySummary[[#This Row],[Desde]]+7-1</f>
        <v>48193</v>
      </c>
      <c r="E325" s="12">
        <f ca="1">SUMIFS(TableDailySummary[Ventas netas totales],TableDailySummary[Fecha],"&gt;="&amp;TableWeeklySummary[[#This Row],[Desde]],TableDailySummary[Fecha],"&lt;="&amp;TableWeeklySummary[[#This Row],[Hasta]])</f>
        <v>0</v>
      </c>
      <c r="F325" s="12">
        <f ca="1">SUMIFS(TableDailySummary[Órdenes totales],TableDailySummary[Fecha],"&gt;="&amp;TableWeeklySummary[[#This Row],[Desde]],TableDailySummary[Fecha],"&lt;="&amp;TableWeeklySummary[[#This Row],[Hasta]])</f>
        <v>0</v>
      </c>
      <c r="G325" s="12">
        <f ca="1">IFERROR(TableWeeklySummary[[#This Row],[Ventas netas totales]]/TableWeeklySummary[[#This Row],[Órdenes totales]],0)</f>
        <v>0</v>
      </c>
      <c r="H32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25" s="12">
        <f ca="1">TableWeeklySummary[[#This Row],[Órden promedio totales]]*TableWeeklySummary[[#This Row],[CR totales]]</f>
        <v>0</v>
      </c>
      <c r="J325" s="12">
        <f ca="1">SUMIFS(TableDailySummary[Ventas primer cliente],TableDailySummary[Fecha],"&gt;="&amp;TableWeeklySummary[[#This Row],[Desde]],TableDailySummary[Fecha],"&lt;="&amp;TableWeeklySummary[[#This Row],[Hasta]])</f>
        <v>0</v>
      </c>
      <c r="K325" s="12">
        <f ca="1">SUMIFS(TableDailySummary[Órdenes primer cliente],TableDailySummary[Fecha],"&gt;="&amp;TableWeeklySummary[[#This Row],[Desde]],TableDailySummary[Fecha],"&lt;="&amp;TableWeeklySummary[[#This Row],[Hasta]])</f>
        <v>0</v>
      </c>
      <c r="L325" s="12">
        <f ca="1">SUMIFS(TableDailySummary[Online Store_net_sales],TableDailySummary[Fecha],"&gt;="&amp;TableWeeklySummary[[#This Row],[Desde]],TableDailySummary[Fecha],"&lt;="&amp;TableWeeklySummary[[#This Row],[Hasta]])</f>
        <v>0</v>
      </c>
      <c r="M325" s="12">
        <f ca="1">SUMIFS(TableDailySummary[Online Store_orders],TableDailySummary[Fecha],"&gt;="&amp;TableWeeklySummary[[#This Row],[Desde]],TableDailySummary[Fecha],"&lt;="&amp;TableWeeklySummary[[#This Row],[Hasta]])</f>
        <v>0</v>
      </c>
      <c r="N325" s="12">
        <f ca="1">SUMIFS(TableDailySummary[Tienda 81_net_sales],TableDailySummary[Fecha],"&gt;="&amp;TableWeeklySummary[[#This Row],[Desde]],TableDailySummary[Fecha],"&lt;="&amp;TableWeeklySummary[[#This Row],[Hasta]])</f>
        <v>0</v>
      </c>
      <c r="O325" s="12">
        <f ca="1">SUMIFS(TableDailySummary[Tienda 81_orders],TableDailySummary[Fecha],"&gt;="&amp;TableWeeklySummary[[#This Row],[Desde]],TableDailySummary[Fecha],"&lt;="&amp;TableWeeklySummary[[#This Row],[Hasta]])</f>
        <v>0</v>
      </c>
      <c r="P325" s="12">
        <f ca="1">SUMIFS(TableDailySummary[Rappi_net_sales],TableDailySummary[Fecha],"&gt;="&amp;TableWeeklySummary[[#This Row],[Desde]],TableDailySummary[Fecha],"&lt;="&amp;TableWeeklySummary[[#This Row],[Hasta]])</f>
        <v>0</v>
      </c>
      <c r="Q325" s="12">
        <f ca="1">SUMIFS(TableDailySummary[Rappi_orders],TableDailySummary[Fecha],"&gt;="&amp;TableWeeklySummary[[#This Row],[Desde]],TableDailySummary[Fecha],"&lt;="&amp;TableWeeklySummary[[#This Row],[Hasta]])</f>
        <v>0</v>
      </c>
      <c r="R32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2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25" s="12">
        <f ca="1">SUMIFS(TableDailySummary[Inversión google ads],TableDailySummary[Fecha],"&gt;="&amp;TableWeeklySummary[[#This Row],[Desde]],TableDailySummary[Fecha],"&lt;="&amp;TableWeeklySummary[[#This Row],[Hasta]])</f>
        <v>0</v>
      </c>
      <c r="U325" s="12">
        <f ca="1">SUMIFS(TableDailySummary[Ventas google ads],TableDailySummary[Fecha],"&gt;="&amp;TableWeeklySummary[[#This Row],[Desde]],TableDailySummary[Fecha],"&lt;="&amp;TableWeeklySummary[[#This Row],[Hasta]])</f>
        <v>0</v>
      </c>
      <c r="V325" s="12">
        <f ca="1">SUMIFS(TableDailySummary[Inversión meta ads],TableDailySummary[Fecha],"&gt;="&amp;TableWeeklySummary[[#This Row],[Desde]],TableDailySummary[Fecha],"&lt;="&amp;TableWeeklySummary[[#This Row],[Hasta]])</f>
        <v>0</v>
      </c>
      <c r="W325" s="12">
        <f ca="1">SUMIFS(TableDailySummary[Ventas meta ads],TableDailySummary[Fecha],"&gt;="&amp;TableWeeklySummary[[#This Row],[Desde]],TableDailySummary[Fecha],"&lt;="&amp;TableWeeklySummary[[#This Row],[Hasta]])</f>
        <v>0</v>
      </c>
      <c r="X325" s="12">
        <f ca="1">TableWeeklySummary[[#This Row],[Inversión google ads]]+TableWeeklySummary[[#This Row],[Inversión meta ads]]</f>
        <v>0</v>
      </c>
      <c r="Y325" s="12">
        <f ca="1">TableWeeklySummary[[#This Row],[Ventas google ads]]+TableWeeklySummary[[#This Row],[Ventas meta ads]]</f>
        <v>0</v>
      </c>
      <c r="Z325" s="14">
        <f ca="1">IFERROR(TableWeeklySummary[[#This Row],[Ventas publicidad]]/TableWeeklySummary[[#This Row],[Inversión publicidad]],0)</f>
        <v>0</v>
      </c>
      <c r="AA325" s="14">
        <f ca="1">IFERROR(TableWeeklySummary[[#This Row],[Ventas primer cliente]]/TableWeeklySummary[[#This Row],[Inversión publicidad]],0)</f>
        <v>0</v>
      </c>
      <c r="AB325" s="14"/>
      <c r="AC325" s="12"/>
      <c r="AI32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2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25" s="12">
        <f ca="1">SUMIFS(TableDailySummary[Utilidad bruta],TableDailySummary[Fecha],"&gt;="&amp;TableWeeklySummary[[#This Row],[Desde]],TableDailySummary[Fecha],"&lt;="&amp;TableWeeklySummary[[#This Row],[Hasta]])</f>
        <v>0</v>
      </c>
      <c r="AL325" s="18">
        <f ca="1">IFERROR(TableWeeklySummary[[#This Row],[Utilidad bruta]]/TableWeeklySummary[[#This Row],[Ventas netas con costo registrado]],0)</f>
        <v>0</v>
      </c>
    </row>
    <row r="326" spans="2:38" x14ac:dyDescent="0.2">
      <c r="B326" s="16">
        <f ca="1">_xlfn.ISOWEEKNUM(TableWeeklySummary[[#This Row],[Hasta]])</f>
        <v>51</v>
      </c>
      <c r="C326" s="6">
        <f t="shared" ca="1" si="7"/>
        <v>48194</v>
      </c>
      <c r="D326" s="6">
        <f ca="1">TableWeeklySummary[[#This Row],[Desde]]+7-1</f>
        <v>48200</v>
      </c>
      <c r="E326" s="12">
        <f ca="1">SUMIFS(TableDailySummary[Ventas netas totales],TableDailySummary[Fecha],"&gt;="&amp;TableWeeklySummary[[#This Row],[Desde]],TableDailySummary[Fecha],"&lt;="&amp;TableWeeklySummary[[#This Row],[Hasta]])</f>
        <v>0</v>
      </c>
      <c r="F326" s="12">
        <f ca="1">SUMIFS(TableDailySummary[Órdenes totales],TableDailySummary[Fecha],"&gt;="&amp;TableWeeklySummary[[#This Row],[Desde]],TableDailySummary[Fecha],"&lt;="&amp;TableWeeklySummary[[#This Row],[Hasta]])</f>
        <v>0</v>
      </c>
      <c r="G326" s="12">
        <f ca="1">IFERROR(TableWeeklySummary[[#This Row],[Ventas netas totales]]/TableWeeklySummary[[#This Row],[Órdenes totales]],0)</f>
        <v>0</v>
      </c>
      <c r="H32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26" s="12">
        <f ca="1">TableWeeklySummary[[#This Row],[Órden promedio totales]]*TableWeeklySummary[[#This Row],[CR totales]]</f>
        <v>0</v>
      </c>
      <c r="J326" s="12">
        <f ca="1">SUMIFS(TableDailySummary[Ventas primer cliente],TableDailySummary[Fecha],"&gt;="&amp;TableWeeklySummary[[#This Row],[Desde]],TableDailySummary[Fecha],"&lt;="&amp;TableWeeklySummary[[#This Row],[Hasta]])</f>
        <v>0</v>
      </c>
      <c r="K326" s="12">
        <f ca="1">SUMIFS(TableDailySummary[Órdenes primer cliente],TableDailySummary[Fecha],"&gt;="&amp;TableWeeklySummary[[#This Row],[Desde]],TableDailySummary[Fecha],"&lt;="&amp;TableWeeklySummary[[#This Row],[Hasta]])</f>
        <v>0</v>
      </c>
      <c r="L326" s="12">
        <f ca="1">SUMIFS(TableDailySummary[Online Store_net_sales],TableDailySummary[Fecha],"&gt;="&amp;TableWeeklySummary[[#This Row],[Desde]],TableDailySummary[Fecha],"&lt;="&amp;TableWeeklySummary[[#This Row],[Hasta]])</f>
        <v>0</v>
      </c>
      <c r="M326" s="12">
        <f ca="1">SUMIFS(TableDailySummary[Online Store_orders],TableDailySummary[Fecha],"&gt;="&amp;TableWeeklySummary[[#This Row],[Desde]],TableDailySummary[Fecha],"&lt;="&amp;TableWeeklySummary[[#This Row],[Hasta]])</f>
        <v>0</v>
      </c>
      <c r="N326" s="12">
        <f ca="1">SUMIFS(TableDailySummary[Tienda 81_net_sales],TableDailySummary[Fecha],"&gt;="&amp;TableWeeklySummary[[#This Row],[Desde]],TableDailySummary[Fecha],"&lt;="&amp;TableWeeklySummary[[#This Row],[Hasta]])</f>
        <v>0</v>
      </c>
      <c r="O326" s="12">
        <f ca="1">SUMIFS(TableDailySummary[Tienda 81_orders],TableDailySummary[Fecha],"&gt;="&amp;TableWeeklySummary[[#This Row],[Desde]],TableDailySummary[Fecha],"&lt;="&amp;TableWeeklySummary[[#This Row],[Hasta]])</f>
        <v>0</v>
      </c>
      <c r="P326" s="12">
        <f ca="1">SUMIFS(TableDailySummary[Rappi_net_sales],TableDailySummary[Fecha],"&gt;="&amp;TableWeeklySummary[[#This Row],[Desde]],TableDailySummary[Fecha],"&lt;="&amp;TableWeeklySummary[[#This Row],[Hasta]])</f>
        <v>0</v>
      </c>
      <c r="Q326" s="12">
        <f ca="1">SUMIFS(TableDailySummary[Rappi_orders],TableDailySummary[Fecha],"&gt;="&amp;TableWeeklySummary[[#This Row],[Desde]],TableDailySummary[Fecha],"&lt;="&amp;TableWeeklySummary[[#This Row],[Hasta]])</f>
        <v>0</v>
      </c>
      <c r="R32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2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26" s="12">
        <f ca="1">SUMIFS(TableDailySummary[Inversión google ads],TableDailySummary[Fecha],"&gt;="&amp;TableWeeklySummary[[#This Row],[Desde]],TableDailySummary[Fecha],"&lt;="&amp;TableWeeklySummary[[#This Row],[Hasta]])</f>
        <v>0</v>
      </c>
      <c r="U326" s="12">
        <f ca="1">SUMIFS(TableDailySummary[Ventas google ads],TableDailySummary[Fecha],"&gt;="&amp;TableWeeklySummary[[#This Row],[Desde]],TableDailySummary[Fecha],"&lt;="&amp;TableWeeklySummary[[#This Row],[Hasta]])</f>
        <v>0</v>
      </c>
      <c r="V326" s="12">
        <f ca="1">SUMIFS(TableDailySummary[Inversión meta ads],TableDailySummary[Fecha],"&gt;="&amp;TableWeeklySummary[[#This Row],[Desde]],TableDailySummary[Fecha],"&lt;="&amp;TableWeeklySummary[[#This Row],[Hasta]])</f>
        <v>0</v>
      </c>
      <c r="W326" s="12">
        <f ca="1">SUMIFS(TableDailySummary[Ventas meta ads],TableDailySummary[Fecha],"&gt;="&amp;TableWeeklySummary[[#This Row],[Desde]],TableDailySummary[Fecha],"&lt;="&amp;TableWeeklySummary[[#This Row],[Hasta]])</f>
        <v>0</v>
      </c>
      <c r="X326" s="12">
        <f ca="1">TableWeeklySummary[[#This Row],[Inversión google ads]]+TableWeeklySummary[[#This Row],[Inversión meta ads]]</f>
        <v>0</v>
      </c>
      <c r="Y326" s="12">
        <f ca="1">TableWeeklySummary[[#This Row],[Ventas google ads]]+TableWeeklySummary[[#This Row],[Ventas meta ads]]</f>
        <v>0</v>
      </c>
      <c r="Z326" s="14">
        <f ca="1">IFERROR(TableWeeklySummary[[#This Row],[Ventas publicidad]]/TableWeeklySummary[[#This Row],[Inversión publicidad]],0)</f>
        <v>0</v>
      </c>
      <c r="AA326" s="14">
        <f ca="1">IFERROR(TableWeeklySummary[[#This Row],[Ventas primer cliente]]/TableWeeklySummary[[#This Row],[Inversión publicidad]],0)</f>
        <v>0</v>
      </c>
      <c r="AB326" s="14"/>
      <c r="AC326" s="12"/>
      <c r="AI32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2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26" s="12">
        <f ca="1">SUMIFS(TableDailySummary[Utilidad bruta],TableDailySummary[Fecha],"&gt;="&amp;TableWeeklySummary[[#This Row],[Desde]],TableDailySummary[Fecha],"&lt;="&amp;TableWeeklySummary[[#This Row],[Hasta]])</f>
        <v>0</v>
      </c>
      <c r="AL326" s="18">
        <f ca="1">IFERROR(TableWeeklySummary[[#This Row],[Utilidad bruta]]/TableWeeklySummary[[#This Row],[Ventas netas con costo registrado]],0)</f>
        <v>0</v>
      </c>
    </row>
    <row r="327" spans="2:38" x14ac:dyDescent="0.2">
      <c r="B327" s="16">
        <f ca="1">_xlfn.ISOWEEKNUM(TableWeeklySummary[[#This Row],[Hasta]])</f>
        <v>52</v>
      </c>
      <c r="C327" s="6">
        <f t="shared" ca="1" si="7"/>
        <v>48201</v>
      </c>
      <c r="D327" s="6">
        <f ca="1">TableWeeklySummary[[#This Row],[Desde]]+7-1</f>
        <v>48207</v>
      </c>
      <c r="E327" s="12">
        <f ca="1">SUMIFS(TableDailySummary[Ventas netas totales],TableDailySummary[Fecha],"&gt;="&amp;TableWeeklySummary[[#This Row],[Desde]],TableDailySummary[Fecha],"&lt;="&amp;TableWeeklySummary[[#This Row],[Hasta]])</f>
        <v>0</v>
      </c>
      <c r="F327" s="12">
        <f ca="1">SUMIFS(TableDailySummary[Órdenes totales],TableDailySummary[Fecha],"&gt;="&amp;TableWeeklySummary[[#This Row],[Desde]],TableDailySummary[Fecha],"&lt;="&amp;TableWeeklySummary[[#This Row],[Hasta]])</f>
        <v>0</v>
      </c>
      <c r="G327" s="12">
        <f ca="1">IFERROR(TableWeeklySummary[[#This Row],[Ventas netas totales]]/TableWeeklySummary[[#This Row],[Órdenes totales]],0)</f>
        <v>0</v>
      </c>
      <c r="H32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27" s="12">
        <f ca="1">TableWeeklySummary[[#This Row],[Órden promedio totales]]*TableWeeklySummary[[#This Row],[CR totales]]</f>
        <v>0</v>
      </c>
      <c r="J327" s="12">
        <f ca="1">SUMIFS(TableDailySummary[Ventas primer cliente],TableDailySummary[Fecha],"&gt;="&amp;TableWeeklySummary[[#This Row],[Desde]],TableDailySummary[Fecha],"&lt;="&amp;TableWeeklySummary[[#This Row],[Hasta]])</f>
        <v>0</v>
      </c>
      <c r="K327" s="12">
        <f ca="1">SUMIFS(TableDailySummary[Órdenes primer cliente],TableDailySummary[Fecha],"&gt;="&amp;TableWeeklySummary[[#This Row],[Desde]],TableDailySummary[Fecha],"&lt;="&amp;TableWeeklySummary[[#This Row],[Hasta]])</f>
        <v>0</v>
      </c>
      <c r="L327" s="12">
        <f ca="1">SUMIFS(TableDailySummary[Online Store_net_sales],TableDailySummary[Fecha],"&gt;="&amp;TableWeeklySummary[[#This Row],[Desde]],TableDailySummary[Fecha],"&lt;="&amp;TableWeeklySummary[[#This Row],[Hasta]])</f>
        <v>0</v>
      </c>
      <c r="M327" s="12">
        <f ca="1">SUMIFS(TableDailySummary[Online Store_orders],TableDailySummary[Fecha],"&gt;="&amp;TableWeeklySummary[[#This Row],[Desde]],TableDailySummary[Fecha],"&lt;="&amp;TableWeeklySummary[[#This Row],[Hasta]])</f>
        <v>0</v>
      </c>
      <c r="N327" s="12">
        <f ca="1">SUMIFS(TableDailySummary[Tienda 81_net_sales],TableDailySummary[Fecha],"&gt;="&amp;TableWeeklySummary[[#This Row],[Desde]],TableDailySummary[Fecha],"&lt;="&amp;TableWeeklySummary[[#This Row],[Hasta]])</f>
        <v>0</v>
      </c>
      <c r="O327" s="12">
        <f ca="1">SUMIFS(TableDailySummary[Tienda 81_orders],TableDailySummary[Fecha],"&gt;="&amp;TableWeeklySummary[[#This Row],[Desde]],TableDailySummary[Fecha],"&lt;="&amp;TableWeeklySummary[[#This Row],[Hasta]])</f>
        <v>0</v>
      </c>
      <c r="P327" s="12">
        <f ca="1">SUMIFS(TableDailySummary[Rappi_net_sales],TableDailySummary[Fecha],"&gt;="&amp;TableWeeklySummary[[#This Row],[Desde]],TableDailySummary[Fecha],"&lt;="&amp;TableWeeklySummary[[#This Row],[Hasta]])</f>
        <v>0</v>
      </c>
      <c r="Q327" s="12">
        <f ca="1">SUMIFS(TableDailySummary[Rappi_orders],TableDailySummary[Fecha],"&gt;="&amp;TableWeeklySummary[[#This Row],[Desde]],TableDailySummary[Fecha],"&lt;="&amp;TableWeeklySummary[[#This Row],[Hasta]])</f>
        <v>0</v>
      </c>
      <c r="R32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2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27" s="12">
        <f ca="1">SUMIFS(TableDailySummary[Inversión google ads],TableDailySummary[Fecha],"&gt;="&amp;TableWeeklySummary[[#This Row],[Desde]],TableDailySummary[Fecha],"&lt;="&amp;TableWeeklySummary[[#This Row],[Hasta]])</f>
        <v>0</v>
      </c>
      <c r="U327" s="12">
        <f ca="1">SUMIFS(TableDailySummary[Ventas google ads],TableDailySummary[Fecha],"&gt;="&amp;TableWeeklySummary[[#This Row],[Desde]],TableDailySummary[Fecha],"&lt;="&amp;TableWeeklySummary[[#This Row],[Hasta]])</f>
        <v>0</v>
      </c>
      <c r="V327" s="12">
        <f ca="1">SUMIFS(TableDailySummary[Inversión meta ads],TableDailySummary[Fecha],"&gt;="&amp;TableWeeklySummary[[#This Row],[Desde]],TableDailySummary[Fecha],"&lt;="&amp;TableWeeklySummary[[#This Row],[Hasta]])</f>
        <v>0</v>
      </c>
      <c r="W327" s="12">
        <f ca="1">SUMIFS(TableDailySummary[Ventas meta ads],TableDailySummary[Fecha],"&gt;="&amp;TableWeeklySummary[[#This Row],[Desde]],TableDailySummary[Fecha],"&lt;="&amp;TableWeeklySummary[[#This Row],[Hasta]])</f>
        <v>0</v>
      </c>
      <c r="X327" s="12">
        <f ca="1">TableWeeklySummary[[#This Row],[Inversión google ads]]+TableWeeklySummary[[#This Row],[Inversión meta ads]]</f>
        <v>0</v>
      </c>
      <c r="Y327" s="12">
        <f ca="1">TableWeeklySummary[[#This Row],[Ventas google ads]]+TableWeeklySummary[[#This Row],[Ventas meta ads]]</f>
        <v>0</v>
      </c>
      <c r="Z327" s="14">
        <f ca="1">IFERROR(TableWeeklySummary[[#This Row],[Ventas publicidad]]/TableWeeklySummary[[#This Row],[Inversión publicidad]],0)</f>
        <v>0</v>
      </c>
      <c r="AA327" s="14">
        <f ca="1">IFERROR(TableWeeklySummary[[#This Row],[Ventas primer cliente]]/TableWeeklySummary[[#This Row],[Inversión publicidad]],0)</f>
        <v>0</v>
      </c>
      <c r="AB327" s="14"/>
      <c r="AC327" s="12"/>
      <c r="AI32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2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27" s="12">
        <f ca="1">SUMIFS(TableDailySummary[Utilidad bruta],TableDailySummary[Fecha],"&gt;="&amp;TableWeeklySummary[[#This Row],[Desde]],TableDailySummary[Fecha],"&lt;="&amp;TableWeeklySummary[[#This Row],[Hasta]])</f>
        <v>0</v>
      </c>
      <c r="AL327" s="18">
        <f ca="1">IFERROR(TableWeeklySummary[[#This Row],[Utilidad bruta]]/TableWeeklySummary[[#This Row],[Ventas netas con costo registrado]],0)</f>
        <v>0</v>
      </c>
    </row>
    <row r="328" spans="2:38" x14ac:dyDescent="0.2">
      <c r="B328" s="16">
        <f ca="1">_xlfn.ISOWEEKNUM(TableWeeklySummary[[#This Row],[Hasta]])</f>
        <v>1</v>
      </c>
      <c r="C328" s="6">
        <f t="shared" ca="1" si="7"/>
        <v>48208</v>
      </c>
      <c r="D328" s="6">
        <f ca="1">TableWeeklySummary[[#This Row],[Desde]]+7-1</f>
        <v>48214</v>
      </c>
      <c r="E328" s="12">
        <f ca="1">SUMIFS(TableDailySummary[Ventas netas totales],TableDailySummary[Fecha],"&gt;="&amp;TableWeeklySummary[[#This Row],[Desde]],TableDailySummary[Fecha],"&lt;="&amp;TableWeeklySummary[[#This Row],[Hasta]])</f>
        <v>0</v>
      </c>
      <c r="F328" s="12">
        <f ca="1">SUMIFS(TableDailySummary[Órdenes totales],TableDailySummary[Fecha],"&gt;="&amp;TableWeeklySummary[[#This Row],[Desde]],TableDailySummary[Fecha],"&lt;="&amp;TableWeeklySummary[[#This Row],[Hasta]])</f>
        <v>0</v>
      </c>
      <c r="G328" s="12">
        <f ca="1">IFERROR(TableWeeklySummary[[#This Row],[Ventas netas totales]]/TableWeeklySummary[[#This Row],[Órdenes totales]],0)</f>
        <v>0</v>
      </c>
      <c r="H32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28" s="12">
        <f ca="1">TableWeeklySummary[[#This Row],[Órden promedio totales]]*TableWeeklySummary[[#This Row],[CR totales]]</f>
        <v>0</v>
      </c>
      <c r="J328" s="12">
        <f ca="1">SUMIFS(TableDailySummary[Ventas primer cliente],TableDailySummary[Fecha],"&gt;="&amp;TableWeeklySummary[[#This Row],[Desde]],TableDailySummary[Fecha],"&lt;="&amp;TableWeeklySummary[[#This Row],[Hasta]])</f>
        <v>0</v>
      </c>
      <c r="K328" s="12">
        <f ca="1">SUMIFS(TableDailySummary[Órdenes primer cliente],TableDailySummary[Fecha],"&gt;="&amp;TableWeeklySummary[[#This Row],[Desde]],TableDailySummary[Fecha],"&lt;="&amp;TableWeeklySummary[[#This Row],[Hasta]])</f>
        <v>0</v>
      </c>
      <c r="L328" s="12">
        <f ca="1">SUMIFS(TableDailySummary[Online Store_net_sales],TableDailySummary[Fecha],"&gt;="&amp;TableWeeklySummary[[#This Row],[Desde]],TableDailySummary[Fecha],"&lt;="&amp;TableWeeklySummary[[#This Row],[Hasta]])</f>
        <v>0</v>
      </c>
      <c r="M328" s="12">
        <f ca="1">SUMIFS(TableDailySummary[Online Store_orders],TableDailySummary[Fecha],"&gt;="&amp;TableWeeklySummary[[#This Row],[Desde]],TableDailySummary[Fecha],"&lt;="&amp;TableWeeklySummary[[#This Row],[Hasta]])</f>
        <v>0</v>
      </c>
      <c r="N328" s="12">
        <f ca="1">SUMIFS(TableDailySummary[Tienda 81_net_sales],TableDailySummary[Fecha],"&gt;="&amp;TableWeeklySummary[[#This Row],[Desde]],TableDailySummary[Fecha],"&lt;="&amp;TableWeeklySummary[[#This Row],[Hasta]])</f>
        <v>0</v>
      </c>
      <c r="O328" s="12">
        <f ca="1">SUMIFS(TableDailySummary[Tienda 81_orders],TableDailySummary[Fecha],"&gt;="&amp;TableWeeklySummary[[#This Row],[Desde]],TableDailySummary[Fecha],"&lt;="&amp;TableWeeklySummary[[#This Row],[Hasta]])</f>
        <v>0</v>
      </c>
      <c r="P328" s="12">
        <f ca="1">SUMIFS(TableDailySummary[Rappi_net_sales],TableDailySummary[Fecha],"&gt;="&amp;TableWeeklySummary[[#This Row],[Desde]],TableDailySummary[Fecha],"&lt;="&amp;TableWeeklySummary[[#This Row],[Hasta]])</f>
        <v>0</v>
      </c>
      <c r="Q328" s="12">
        <f ca="1">SUMIFS(TableDailySummary[Rappi_orders],TableDailySummary[Fecha],"&gt;="&amp;TableWeeklySummary[[#This Row],[Desde]],TableDailySummary[Fecha],"&lt;="&amp;TableWeeklySummary[[#This Row],[Hasta]])</f>
        <v>0</v>
      </c>
      <c r="R32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2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28" s="12">
        <f ca="1">SUMIFS(TableDailySummary[Inversión google ads],TableDailySummary[Fecha],"&gt;="&amp;TableWeeklySummary[[#This Row],[Desde]],TableDailySummary[Fecha],"&lt;="&amp;TableWeeklySummary[[#This Row],[Hasta]])</f>
        <v>0</v>
      </c>
      <c r="U328" s="12">
        <f ca="1">SUMIFS(TableDailySummary[Ventas google ads],TableDailySummary[Fecha],"&gt;="&amp;TableWeeklySummary[[#This Row],[Desde]],TableDailySummary[Fecha],"&lt;="&amp;TableWeeklySummary[[#This Row],[Hasta]])</f>
        <v>0</v>
      </c>
      <c r="V328" s="12">
        <f ca="1">SUMIFS(TableDailySummary[Inversión meta ads],TableDailySummary[Fecha],"&gt;="&amp;TableWeeklySummary[[#This Row],[Desde]],TableDailySummary[Fecha],"&lt;="&amp;TableWeeklySummary[[#This Row],[Hasta]])</f>
        <v>0</v>
      </c>
      <c r="W328" s="12">
        <f ca="1">SUMIFS(TableDailySummary[Ventas meta ads],TableDailySummary[Fecha],"&gt;="&amp;TableWeeklySummary[[#This Row],[Desde]],TableDailySummary[Fecha],"&lt;="&amp;TableWeeklySummary[[#This Row],[Hasta]])</f>
        <v>0</v>
      </c>
      <c r="X328" s="12">
        <f ca="1">TableWeeklySummary[[#This Row],[Inversión google ads]]+TableWeeklySummary[[#This Row],[Inversión meta ads]]</f>
        <v>0</v>
      </c>
      <c r="Y328" s="12">
        <f ca="1">TableWeeklySummary[[#This Row],[Ventas google ads]]+TableWeeklySummary[[#This Row],[Ventas meta ads]]</f>
        <v>0</v>
      </c>
      <c r="Z328" s="14">
        <f ca="1">IFERROR(TableWeeklySummary[[#This Row],[Ventas publicidad]]/TableWeeklySummary[[#This Row],[Inversión publicidad]],0)</f>
        <v>0</v>
      </c>
      <c r="AA328" s="14">
        <f ca="1">IFERROR(TableWeeklySummary[[#This Row],[Ventas primer cliente]]/TableWeeklySummary[[#This Row],[Inversión publicidad]],0)</f>
        <v>0</v>
      </c>
      <c r="AB328" s="14"/>
      <c r="AC328" s="12"/>
      <c r="AI32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2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28" s="12">
        <f ca="1">SUMIFS(TableDailySummary[Utilidad bruta],TableDailySummary[Fecha],"&gt;="&amp;TableWeeklySummary[[#This Row],[Desde]],TableDailySummary[Fecha],"&lt;="&amp;TableWeeklySummary[[#This Row],[Hasta]])</f>
        <v>0</v>
      </c>
      <c r="AL328" s="18">
        <f ca="1">IFERROR(TableWeeklySummary[[#This Row],[Utilidad bruta]]/TableWeeklySummary[[#This Row],[Ventas netas con costo registrado]],0)</f>
        <v>0</v>
      </c>
    </row>
    <row r="329" spans="2:38" x14ac:dyDescent="0.2">
      <c r="B329" s="16">
        <f ca="1">_xlfn.ISOWEEKNUM(TableWeeklySummary[[#This Row],[Hasta]])</f>
        <v>2</v>
      </c>
      <c r="C329" s="6">
        <f t="shared" ca="1" si="7"/>
        <v>48215</v>
      </c>
      <c r="D329" s="6">
        <f ca="1">TableWeeklySummary[[#This Row],[Desde]]+7-1</f>
        <v>48221</v>
      </c>
      <c r="E329" s="12">
        <f ca="1">SUMIFS(TableDailySummary[Ventas netas totales],TableDailySummary[Fecha],"&gt;="&amp;TableWeeklySummary[[#This Row],[Desde]],TableDailySummary[Fecha],"&lt;="&amp;TableWeeklySummary[[#This Row],[Hasta]])</f>
        <v>0</v>
      </c>
      <c r="F329" s="12">
        <f ca="1">SUMIFS(TableDailySummary[Órdenes totales],TableDailySummary[Fecha],"&gt;="&amp;TableWeeklySummary[[#This Row],[Desde]],TableDailySummary[Fecha],"&lt;="&amp;TableWeeklySummary[[#This Row],[Hasta]])</f>
        <v>0</v>
      </c>
      <c r="G329" s="12">
        <f ca="1">IFERROR(TableWeeklySummary[[#This Row],[Ventas netas totales]]/TableWeeklySummary[[#This Row],[Órdenes totales]],0)</f>
        <v>0</v>
      </c>
      <c r="H32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29" s="12">
        <f ca="1">TableWeeklySummary[[#This Row],[Órden promedio totales]]*TableWeeklySummary[[#This Row],[CR totales]]</f>
        <v>0</v>
      </c>
      <c r="J329" s="12">
        <f ca="1">SUMIFS(TableDailySummary[Ventas primer cliente],TableDailySummary[Fecha],"&gt;="&amp;TableWeeklySummary[[#This Row],[Desde]],TableDailySummary[Fecha],"&lt;="&amp;TableWeeklySummary[[#This Row],[Hasta]])</f>
        <v>0</v>
      </c>
      <c r="K329" s="12">
        <f ca="1">SUMIFS(TableDailySummary[Órdenes primer cliente],TableDailySummary[Fecha],"&gt;="&amp;TableWeeklySummary[[#This Row],[Desde]],TableDailySummary[Fecha],"&lt;="&amp;TableWeeklySummary[[#This Row],[Hasta]])</f>
        <v>0</v>
      </c>
      <c r="L329" s="12">
        <f ca="1">SUMIFS(TableDailySummary[Online Store_net_sales],TableDailySummary[Fecha],"&gt;="&amp;TableWeeklySummary[[#This Row],[Desde]],TableDailySummary[Fecha],"&lt;="&amp;TableWeeklySummary[[#This Row],[Hasta]])</f>
        <v>0</v>
      </c>
      <c r="M329" s="12">
        <f ca="1">SUMIFS(TableDailySummary[Online Store_orders],TableDailySummary[Fecha],"&gt;="&amp;TableWeeklySummary[[#This Row],[Desde]],TableDailySummary[Fecha],"&lt;="&amp;TableWeeklySummary[[#This Row],[Hasta]])</f>
        <v>0</v>
      </c>
      <c r="N329" s="12">
        <f ca="1">SUMIFS(TableDailySummary[Tienda 81_net_sales],TableDailySummary[Fecha],"&gt;="&amp;TableWeeklySummary[[#This Row],[Desde]],TableDailySummary[Fecha],"&lt;="&amp;TableWeeklySummary[[#This Row],[Hasta]])</f>
        <v>0</v>
      </c>
      <c r="O329" s="12">
        <f ca="1">SUMIFS(TableDailySummary[Tienda 81_orders],TableDailySummary[Fecha],"&gt;="&amp;TableWeeklySummary[[#This Row],[Desde]],TableDailySummary[Fecha],"&lt;="&amp;TableWeeklySummary[[#This Row],[Hasta]])</f>
        <v>0</v>
      </c>
      <c r="P329" s="12">
        <f ca="1">SUMIFS(TableDailySummary[Rappi_net_sales],TableDailySummary[Fecha],"&gt;="&amp;TableWeeklySummary[[#This Row],[Desde]],TableDailySummary[Fecha],"&lt;="&amp;TableWeeklySummary[[#This Row],[Hasta]])</f>
        <v>0</v>
      </c>
      <c r="Q329" s="12">
        <f ca="1">SUMIFS(TableDailySummary[Rappi_orders],TableDailySummary[Fecha],"&gt;="&amp;TableWeeklySummary[[#This Row],[Desde]],TableDailySummary[Fecha],"&lt;="&amp;TableWeeklySummary[[#This Row],[Hasta]])</f>
        <v>0</v>
      </c>
      <c r="R32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2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29" s="12">
        <f ca="1">SUMIFS(TableDailySummary[Inversión google ads],TableDailySummary[Fecha],"&gt;="&amp;TableWeeklySummary[[#This Row],[Desde]],TableDailySummary[Fecha],"&lt;="&amp;TableWeeklySummary[[#This Row],[Hasta]])</f>
        <v>0</v>
      </c>
      <c r="U329" s="12">
        <f ca="1">SUMIFS(TableDailySummary[Ventas google ads],TableDailySummary[Fecha],"&gt;="&amp;TableWeeklySummary[[#This Row],[Desde]],TableDailySummary[Fecha],"&lt;="&amp;TableWeeklySummary[[#This Row],[Hasta]])</f>
        <v>0</v>
      </c>
      <c r="V329" s="12">
        <f ca="1">SUMIFS(TableDailySummary[Inversión meta ads],TableDailySummary[Fecha],"&gt;="&amp;TableWeeklySummary[[#This Row],[Desde]],TableDailySummary[Fecha],"&lt;="&amp;TableWeeklySummary[[#This Row],[Hasta]])</f>
        <v>0</v>
      </c>
      <c r="W329" s="12">
        <f ca="1">SUMIFS(TableDailySummary[Ventas meta ads],TableDailySummary[Fecha],"&gt;="&amp;TableWeeklySummary[[#This Row],[Desde]],TableDailySummary[Fecha],"&lt;="&amp;TableWeeklySummary[[#This Row],[Hasta]])</f>
        <v>0</v>
      </c>
      <c r="X329" s="12">
        <f ca="1">TableWeeklySummary[[#This Row],[Inversión google ads]]+TableWeeklySummary[[#This Row],[Inversión meta ads]]</f>
        <v>0</v>
      </c>
      <c r="Y329" s="12">
        <f ca="1">TableWeeklySummary[[#This Row],[Ventas google ads]]+TableWeeklySummary[[#This Row],[Ventas meta ads]]</f>
        <v>0</v>
      </c>
      <c r="Z329" s="14">
        <f ca="1">IFERROR(TableWeeklySummary[[#This Row],[Ventas publicidad]]/TableWeeklySummary[[#This Row],[Inversión publicidad]],0)</f>
        <v>0</v>
      </c>
      <c r="AA329" s="14">
        <f ca="1">IFERROR(TableWeeklySummary[[#This Row],[Ventas primer cliente]]/TableWeeklySummary[[#This Row],[Inversión publicidad]],0)</f>
        <v>0</v>
      </c>
      <c r="AB329" s="14"/>
      <c r="AC329" s="12"/>
      <c r="AI32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2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29" s="12">
        <f ca="1">SUMIFS(TableDailySummary[Utilidad bruta],TableDailySummary[Fecha],"&gt;="&amp;TableWeeklySummary[[#This Row],[Desde]],TableDailySummary[Fecha],"&lt;="&amp;TableWeeklySummary[[#This Row],[Hasta]])</f>
        <v>0</v>
      </c>
      <c r="AL329" s="18">
        <f ca="1">IFERROR(TableWeeklySummary[[#This Row],[Utilidad bruta]]/TableWeeklySummary[[#This Row],[Ventas netas con costo registrado]],0)</f>
        <v>0</v>
      </c>
    </row>
    <row r="330" spans="2:38" x14ac:dyDescent="0.2">
      <c r="B330" s="16">
        <f ca="1">_xlfn.ISOWEEKNUM(TableWeeklySummary[[#This Row],[Hasta]])</f>
        <v>3</v>
      </c>
      <c r="C330" s="6">
        <f t="shared" ca="1" si="7"/>
        <v>48222</v>
      </c>
      <c r="D330" s="6">
        <f ca="1">TableWeeklySummary[[#This Row],[Desde]]+7-1</f>
        <v>48228</v>
      </c>
      <c r="E330" s="12">
        <f ca="1">SUMIFS(TableDailySummary[Ventas netas totales],TableDailySummary[Fecha],"&gt;="&amp;TableWeeklySummary[[#This Row],[Desde]],TableDailySummary[Fecha],"&lt;="&amp;TableWeeklySummary[[#This Row],[Hasta]])</f>
        <v>0</v>
      </c>
      <c r="F330" s="12">
        <f ca="1">SUMIFS(TableDailySummary[Órdenes totales],TableDailySummary[Fecha],"&gt;="&amp;TableWeeklySummary[[#This Row],[Desde]],TableDailySummary[Fecha],"&lt;="&amp;TableWeeklySummary[[#This Row],[Hasta]])</f>
        <v>0</v>
      </c>
      <c r="G330" s="12">
        <f ca="1">IFERROR(TableWeeklySummary[[#This Row],[Ventas netas totales]]/TableWeeklySummary[[#This Row],[Órdenes totales]],0)</f>
        <v>0</v>
      </c>
      <c r="H33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30" s="12">
        <f ca="1">TableWeeklySummary[[#This Row],[Órden promedio totales]]*TableWeeklySummary[[#This Row],[CR totales]]</f>
        <v>0</v>
      </c>
      <c r="J330" s="12">
        <f ca="1">SUMIFS(TableDailySummary[Ventas primer cliente],TableDailySummary[Fecha],"&gt;="&amp;TableWeeklySummary[[#This Row],[Desde]],TableDailySummary[Fecha],"&lt;="&amp;TableWeeklySummary[[#This Row],[Hasta]])</f>
        <v>0</v>
      </c>
      <c r="K330" s="12">
        <f ca="1">SUMIFS(TableDailySummary[Órdenes primer cliente],TableDailySummary[Fecha],"&gt;="&amp;TableWeeklySummary[[#This Row],[Desde]],TableDailySummary[Fecha],"&lt;="&amp;TableWeeklySummary[[#This Row],[Hasta]])</f>
        <v>0</v>
      </c>
      <c r="L330" s="12">
        <f ca="1">SUMIFS(TableDailySummary[Online Store_net_sales],TableDailySummary[Fecha],"&gt;="&amp;TableWeeklySummary[[#This Row],[Desde]],TableDailySummary[Fecha],"&lt;="&amp;TableWeeklySummary[[#This Row],[Hasta]])</f>
        <v>0</v>
      </c>
      <c r="M330" s="12">
        <f ca="1">SUMIFS(TableDailySummary[Online Store_orders],TableDailySummary[Fecha],"&gt;="&amp;TableWeeklySummary[[#This Row],[Desde]],TableDailySummary[Fecha],"&lt;="&amp;TableWeeklySummary[[#This Row],[Hasta]])</f>
        <v>0</v>
      </c>
      <c r="N330" s="12">
        <f ca="1">SUMIFS(TableDailySummary[Tienda 81_net_sales],TableDailySummary[Fecha],"&gt;="&amp;TableWeeklySummary[[#This Row],[Desde]],TableDailySummary[Fecha],"&lt;="&amp;TableWeeklySummary[[#This Row],[Hasta]])</f>
        <v>0</v>
      </c>
      <c r="O330" s="12">
        <f ca="1">SUMIFS(TableDailySummary[Tienda 81_orders],TableDailySummary[Fecha],"&gt;="&amp;TableWeeklySummary[[#This Row],[Desde]],TableDailySummary[Fecha],"&lt;="&amp;TableWeeklySummary[[#This Row],[Hasta]])</f>
        <v>0</v>
      </c>
      <c r="P330" s="12">
        <f ca="1">SUMIFS(TableDailySummary[Rappi_net_sales],TableDailySummary[Fecha],"&gt;="&amp;TableWeeklySummary[[#This Row],[Desde]],TableDailySummary[Fecha],"&lt;="&amp;TableWeeklySummary[[#This Row],[Hasta]])</f>
        <v>0</v>
      </c>
      <c r="Q330" s="12">
        <f ca="1">SUMIFS(TableDailySummary[Rappi_orders],TableDailySummary[Fecha],"&gt;="&amp;TableWeeklySummary[[#This Row],[Desde]],TableDailySummary[Fecha],"&lt;="&amp;TableWeeklySummary[[#This Row],[Hasta]])</f>
        <v>0</v>
      </c>
      <c r="R33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3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30" s="12">
        <f ca="1">SUMIFS(TableDailySummary[Inversión google ads],TableDailySummary[Fecha],"&gt;="&amp;TableWeeklySummary[[#This Row],[Desde]],TableDailySummary[Fecha],"&lt;="&amp;TableWeeklySummary[[#This Row],[Hasta]])</f>
        <v>0</v>
      </c>
      <c r="U330" s="12">
        <f ca="1">SUMIFS(TableDailySummary[Ventas google ads],TableDailySummary[Fecha],"&gt;="&amp;TableWeeklySummary[[#This Row],[Desde]],TableDailySummary[Fecha],"&lt;="&amp;TableWeeklySummary[[#This Row],[Hasta]])</f>
        <v>0</v>
      </c>
      <c r="V330" s="12">
        <f ca="1">SUMIFS(TableDailySummary[Inversión meta ads],TableDailySummary[Fecha],"&gt;="&amp;TableWeeklySummary[[#This Row],[Desde]],TableDailySummary[Fecha],"&lt;="&amp;TableWeeklySummary[[#This Row],[Hasta]])</f>
        <v>0</v>
      </c>
      <c r="W330" s="12">
        <f ca="1">SUMIFS(TableDailySummary[Ventas meta ads],TableDailySummary[Fecha],"&gt;="&amp;TableWeeklySummary[[#This Row],[Desde]],TableDailySummary[Fecha],"&lt;="&amp;TableWeeklySummary[[#This Row],[Hasta]])</f>
        <v>0</v>
      </c>
      <c r="X330" s="12">
        <f ca="1">TableWeeklySummary[[#This Row],[Inversión google ads]]+TableWeeklySummary[[#This Row],[Inversión meta ads]]</f>
        <v>0</v>
      </c>
      <c r="Y330" s="12">
        <f ca="1">TableWeeklySummary[[#This Row],[Ventas google ads]]+TableWeeklySummary[[#This Row],[Ventas meta ads]]</f>
        <v>0</v>
      </c>
      <c r="Z330" s="14">
        <f ca="1">IFERROR(TableWeeklySummary[[#This Row],[Ventas publicidad]]/TableWeeklySummary[[#This Row],[Inversión publicidad]],0)</f>
        <v>0</v>
      </c>
      <c r="AA330" s="14">
        <f ca="1">IFERROR(TableWeeklySummary[[#This Row],[Ventas primer cliente]]/TableWeeklySummary[[#This Row],[Inversión publicidad]],0)</f>
        <v>0</v>
      </c>
      <c r="AB330" s="14"/>
      <c r="AC330" s="12"/>
      <c r="AI33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3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30" s="12">
        <f ca="1">SUMIFS(TableDailySummary[Utilidad bruta],TableDailySummary[Fecha],"&gt;="&amp;TableWeeklySummary[[#This Row],[Desde]],TableDailySummary[Fecha],"&lt;="&amp;TableWeeklySummary[[#This Row],[Hasta]])</f>
        <v>0</v>
      </c>
      <c r="AL330" s="18">
        <f ca="1">IFERROR(TableWeeklySummary[[#This Row],[Utilidad bruta]]/TableWeeklySummary[[#This Row],[Ventas netas con costo registrado]],0)</f>
        <v>0</v>
      </c>
    </row>
    <row r="331" spans="2:38" x14ac:dyDescent="0.2">
      <c r="B331" s="16">
        <f ca="1">_xlfn.ISOWEEKNUM(TableWeeklySummary[[#This Row],[Hasta]])</f>
        <v>4</v>
      </c>
      <c r="C331" s="6">
        <f t="shared" ca="1" si="7"/>
        <v>48229</v>
      </c>
      <c r="D331" s="6">
        <f ca="1">TableWeeklySummary[[#This Row],[Desde]]+7-1</f>
        <v>48235</v>
      </c>
      <c r="E331" s="12">
        <f ca="1">SUMIFS(TableDailySummary[Ventas netas totales],TableDailySummary[Fecha],"&gt;="&amp;TableWeeklySummary[[#This Row],[Desde]],TableDailySummary[Fecha],"&lt;="&amp;TableWeeklySummary[[#This Row],[Hasta]])</f>
        <v>0</v>
      </c>
      <c r="F331" s="12">
        <f ca="1">SUMIFS(TableDailySummary[Órdenes totales],TableDailySummary[Fecha],"&gt;="&amp;TableWeeklySummary[[#This Row],[Desde]],TableDailySummary[Fecha],"&lt;="&amp;TableWeeklySummary[[#This Row],[Hasta]])</f>
        <v>0</v>
      </c>
      <c r="G331" s="12">
        <f ca="1">IFERROR(TableWeeklySummary[[#This Row],[Ventas netas totales]]/TableWeeklySummary[[#This Row],[Órdenes totales]],0)</f>
        <v>0</v>
      </c>
      <c r="H33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31" s="12">
        <f ca="1">TableWeeklySummary[[#This Row],[Órden promedio totales]]*TableWeeklySummary[[#This Row],[CR totales]]</f>
        <v>0</v>
      </c>
      <c r="J331" s="12">
        <f ca="1">SUMIFS(TableDailySummary[Ventas primer cliente],TableDailySummary[Fecha],"&gt;="&amp;TableWeeklySummary[[#This Row],[Desde]],TableDailySummary[Fecha],"&lt;="&amp;TableWeeklySummary[[#This Row],[Hasta]])</f>
        <v>0</v>
      </c>
      <c r="K331" s="12">
        <f ca="1">SUMIFS(TableDailySummary[Órdenes primer cliente],TableDailySummary[Fecha],"&gt;="&amp;TableWeeklySummary[[#This Row],[Desde]],TableDailySummary[Fecha],"&lt;="&amp;TableWeeklySummary[[#This Row],[Hasta]])</f>
        <v>0</v>
      </c>
      <c r="L331" s="12">
        <f ca="1">SUMIFS(TableDailySummary[Online Store_net_sales],TableDailySummary[Fecha],"&gt;="&amp;TableWeeklySummary[[#This Row],[Desde]],TableDailySummary[Fecha],"&lt;="&amp;TableWeeklySummary[[#This Row],[Hasta]])</f>
        <v>0</v>
      </c>
      <c r="M331" s="12">
        <f ca="1">SUMIFS(TableDailySummary[Online Store_orders],TableDailySummary[Fecha],"&gt;="&amp;TableWeeklySummary[[#This Row],[Desde]],TableDailySummary[Fecha],"&lt;="&amp;TableWeeklySummary[[#This Row],[Hasta]])</f>
        <v>0</v>
      </c>
      <c r="N331" s="12">
        <f ca="1">SUMIFS(TableDailySummary[Tienda 81_net_sales],TableDailySummary[Fecha],"&gt;="&amp;TableWeeklySummary[[#This Row],[Desde]],TableDailySummary[Fecha],"&lt;="&amp;TableWeeklySummary[[#This Row],[Hasta]])</f>
        <v>0</v>
      </c>
      <c r="O331" s="12">
        <f ca="1">SUMIFS(TableDailySummary[Tienda 81_orders],TableDailySummary[Fecha],"&gt;="&amp;TableWeeklySummary[[#This Row],[Desde]],TableDailySummary[Fecha],"&lt;="&amp;TableWeeklySummary[[#This Row],[Hasta]])</f>
        <v>0</v>
      </c>
      <c r="P331" s="12">
        <f ca="1">SUMIFS(TableDailySummary[Rappi_net_sales],TableDailySummary[Fecha],"&gt;="&amp;TableWeeklySummary[[#This Row],[Desde]],TableDailySummary[Fecha],"&lt;="&amp;TableWeeklySummary[[#This Row],[Hasta]])</f>
        <v>0</v>
      </c>
      <c r="Q331" s="12">
        <f ca="1">SUMIFS(TableDailySummary[Rappi_orders],TableDailySummary[Fecha],"&gt;="&amp;TableWeeklySummary[[#This Row],[Desde]],TableDailySummary[Fecha],"&lt;="&amp;TableWeeklySummary[[#This Row],[Hasta]])</f>
        <v>0</v>
      </c>
      <c r="R33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3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31" s="12">
        <f ca="1">SUMIFS(TableDailySummary[Inversión google ads],TableDailySummary[Fecha],"&gt;="&amp;TableWeeklySummary[[#This Row],[Desde]],TableDailySummary[Fecha],"&lt;="&amp;TableWeeklySummary[[#This Row],[Hasta]])</f>
        <v>0</v>
      </c>
      <c r="U331" s="12">
        <f ca="1">SUMIFS(TableDailySummary[Ventas google ads],TableDailySummary[Fecha],"&gt;="&amp;TableWeeklySummary[[#This Row],[Desde]],TableDailySummary[Fecha],"&lt;="&amp;TableWeeklySummary[[#This Row],[Hasta]])</f>
        <v>0</v>
      </c>
      <c r="V331" s="12">
        <f ca="1">SUMIFS(TableDailySummary[Inversión meta ads],TableDailySummary[Fecha],"&gt;="&amp;TableWeeklySummary[[#This Row],[Desde]],TableDailySummary[Fecha],"&lt;="&amp;TableWeeklySummary[[#This Row],[Hasta]])</f>
        <v>0</v>
      </c>
      <c r="W331" s="12">
        <f ca="1">SUMIFS(TableDailySummary[Ventas meta ads],TableDailySummary[Fecha],"&gt;="&amp;TableWeeklySummary[[#This Row],[Desde]],TableDailySummary[Fecha],"&lt;="&amp;TableWeeklySummary[[#This Row],[Hasta]])</f>
        <v>0</v>
      </c>
      <c r="X331" s="12">
        <f ca="1">TableWeeklySummary[[#This Row],[Inversión google ads]]+TableWeeklySummary[[#This Row],[Inversión meta ads]]</f>
        <v>0</v>
      </c>
      <c r="Y331" s="12">
        <f ca="1">TableWeeklySummary[[#This Row],[Ventas google ads]]+TableWeeklySummary[[#This Row],[Ventas meta ads]]</f>
        <v>0</v>
      </c>
      <c r="Z331" s="14">
        <f ca="1">IFERROR(TableWeeklySummary[[#This Row],[Ventas publicidad]]/TableWeeklySummary[[#This Row],[Inversión publicidad]],0)</f>
        <v>0</v>
      </c>
      <c r="AA331" s="14">
        <f ca="1">IFERROR(TableWeeklySummary[[#This Row],[Ventas primer cliente]]/TableWeeklySummary[[#This Row],[Inversión publicidad]],0)</f>
        <v>0</v>
      </c>
      <c r="AB331" s="14"/>
      <c r="AC331" s="12"/>
      <c r="AI33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3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31" s="12">
        <f ca="1">SUMIFS(TableDailySummary[Utilidad bruta],TableDailySummary[Fecha],"&gt;="&amp;TableWeeklySummary[[#This Row],[Desde]],TableDailySummary[Fecha],"&lt;="&amp;TableWeeklySummary[[#This Row],[Hasta]])</f>
        <v>0</v>
      </c>
      <c r="AL331" s="18">
        <f ca="1">IFERROR(TableWeeklySummary[[#This Row],[Utilidad bruta]]/TableWeeklySummary[[#This Row],[Ventas netas con costo registrado]],0)</f>
        <v>0</v>
      </c>
    </row>
    <row r="332" spans="2:38" x14ac:dyDescent="0.2">
      <c r="B332" s="16">
        <f ca="1">_xlfn.ISOWEEKNUM(TableWeeklySummary[[#This Row],[Hasta]])</f>
        <v>5</v>
      </c>
      <c r="C332" s="6">
        <f t="shared" ca="1" si="7"/>
        <v>48236</v>
      </c>
      <c r="D332" s="6">
        <f ca="1">TableWeeklySummary[[#This Row],[Desde]]+7-1</f>
        <v>48242</v>
      </c>
      <c r="E332" s="12">
        <f ca="1">SUMIFS(TableDailySummary[Ventas netas totales],TableDailySummary[Fecha],"&gt;="&amp;TableWeeklySummary[[#This Row],[Desde]],TableDailySummary[Fecha],"&lt;="&amp;TableWeeklySummary[[#This Row],[Hasta]])</f>
        <v>0</v>
      </c>
      <c r="F332" s="12">
        <f ca="1">SUMIFS(TableDailySummary[Órdenes totales],TableDailySummary[Fecha],"&gt;="&amp;TableWeeklySummary[[#This Row],[Desde]],TableDailySummary[Fecha],"&lt;="&amp;TableWeeklySummary[[#This Row],[Hasta]])</f>
        <v>0</v>
      </c>
      <c r="G332" s="12">
        <f ca="1">IFERROR(TableWeeklySummary[[#This Row],[Ventas netas totales]]/TableWeeklySummary[[#This Row],[Órdenes totales]],0)</f>
        <v>0</v>
      </c>
      <c r="H33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32" s="12">
        <f ca="1">TableWeeklySummary[[#This Row],[Órden promedio totales]]*TableWeeklySummary[[#This Row],[CR totales]]</f>
        <v>0</v>
      </c>
      <c r="J332" s="12">
        <f ca="1">SUMIFS(TableDailySummary[Ventas primer cliente],TableDailySummary[Fecha],"&gt;="&amp;TableWeeklySummary[[#This Row],[Desde]],TableDailySummary[Fecha],"&lt;="&amp;TableWeeklySummary[[#This Row],[Hasta]])</f>
        <v>0</v>
      </c>
      <c r="K332" s="12">
        <f ca="1">SUMIFS(TableDailySummary[Órdenes primer cliente],TableDailySummary[Fecha],"&gt;="&amp;TableWeeklySummary[[#This Row],[Desde]],TableDailySummary[Fecha],"&lt;="&amp;TableWeeklySummary[[#This Row],[Hasta]])</f>
        <v>0</v>
      </c>
      <c r="L332" s="12">
        <f ca="1">SUMIFS(TableDailySummary[Online Store_net_sales],TableDailySummary[Fecha],"&gt;="&amp;TableWeeklySummary[[#This Row],[Desde]],TableDailySummary[Fecha],"&lt;="&amp;TableWeeklySummary[[#This Row],[Hasta]])</f>
        <v>0</v>
      </c>
      <c r="M332" s="12">
        <f ca="1">SUMIFS(TableDailySummary[Online Store_orders],TableDailySummary[Fecha],"&gt;="&amp;TableWeeklySummary[[#This Row],[Desde]],TableDailySummary[Fecha],"&lt;="&amp;TableWeeklySummary[[#This Row],[Hasta]])</f>
        <v>0</v>
      </c>
      <c r="N332" s="12">
        <f ca="1">SUMIFS(TableDailySummary[Tienda 81_net_sales],TableDailySummary[Fecha],"&gt;="&amp;TableWeeklySummary[[#This Row],[Desde]],TableDailySummary[Fecha],"&lt;="&amp;TableWeeklySummary[[#This Row],[Hasta]])</f>
        <v>0</v>
      </c>
      <c r="O332" s="12">
        <f ca="1">SUMIFS(TableDailySummary[Tienda 81_orders],TableDailySummary[Fecha],"&gt;="&amp;TableWeeklySummary[[#This Row],[Desde]],TableDailySummary[Fecha],"&lt;="&amp;TableWeeklySummary[[#This Row],[Hasta]])</f>
        <v>0</v>
      </c>
      <c r="P332" s="12">
        <f ca="1">SUMIFS(TableDailySummary[Rappi_net_sales],TableDailySummary[Fecha],"&gt;="&amp;TableWeeklySummary[[#This Row],[Desde]],TableDailySummary[Fecha],"&lt;="&amp;TableWeeklySummary[[#This Row],[Hasta]])</f>
        <v>0</v>
      </c>
      <c r="Q332" s="12">
        <f ca="1">SUMIFS(TableDailySummary[Rappi_orders],TableDailySummary[Fecha],"&gt;="&amp;TableWeeklySummary[[#This Row],[Desde]],TableDailySummary[Fecha],"&lt;="&amp;TableWeeklySummary[[#This Row],[Hasta]])</f>
        <v>0</v>
      </c>
      <c r="R33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3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32" s="12">
        <f ca="1">SUMIFS(TableDailySummary[Inversión google ads],TableDailySummary[Fecha],"&gt;="&amp;TableWeeklySummary[[#This Row],[Desde]],TableDailySummary[Fecha],"&lt;="&amp;TableWeeklySummary[[#This Row],[Hasta]])</f>
        <v>0</v>
      </c>
      <c r="U332" s="12">
        <f ca="1">SUMIFS(TableDailySummary[Ventas google ads],TableDailySummary[Fecha],"&gt;="&amp;TableWeeklySummary[[#This Row],[Desde]],TableDailySummary[Fecha],"&lt;="&amp;TableWeeklySummary[[#This Row],[Hasta]])</f>
        <v>0</v>
      </c>
      <c r="V332" s="12">
        <f ca="1">SUMIFS(TableDailySummary[Inversión meta ads],TableDailySummary[Fecha],"&gt;="&amp;TableWeeklySummary[[#This Row],[Desde]],TableDailySummary[Fecha],"&lt;="&amp;TableWeeklySummary[[#This Row],[Hasta]])</f>
        <v>0</v>
      </c>
      <c r="W332" s="12">
        <f ca="1">SUMIFS(TableDailySummary[Ventas meta ads],TableDailySummary[Fecha],"&gt;="&amp;TableWeeklySummary[[#This Row],[Desde]],TableDailySummary[Fecha],"&lt;="&amp;TableWeeklySummary[[#This Row],[Hasta]])</f>
        <v>0</v>
      </c>
      <c r="X332" s="12">
        <f ca="1">TableWeeklySummary[[#This Row],[Inversión google ads]]+TableWeeklySummary[[#This Row],[Inversión meta ads]]</f>
        <v>0</v>
      </c>
      <c r="Y332" s="12">
        <f ca="1">TableWeeklySummary[[#This Row],[Ventas google ads]]+TableWeeklySummary[[#This Row],[Ventas meta ads]]</f>
        <v>0</v>
      </c>
      <c r="Z332" s="14">
        <f ca="1">IFERROR(TableWeeklySummary[[#This Row],[Ventas publicidad]]/TableWeeklySummary[[#This Row],[Inversión publicidad]],0)</f>
        <v>0</v>
      </c>
      <c r="AA332" s="14">
        <f ca="1">IFERROR(TableWeeklySummary[[#This Row],[Ventas primer cliente]]/TableWeeklySummary[[#This Row],[Inversión publicidad]],0)</f>
        <v>0</v>
      </c>
      <c r="AB332" s="14"/>
      <c r="AC332" s="12"/>
      <c r="AI33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3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32" s="12">
        <f ca="1">SUMIFS(TableDailySummary[Utilidad bruta],TableDailySummary[Fecha],"&gt;="&amp;TableWeeklySummary[[#This Row],[Desde]],TableDailySummary[Fecha],"&lt;="&amp;TableWeeklySummary[[#This Row],[Hasta]])</f>
        <v>0</v>
      </c>
      <c r="AL332" s="18">
        <f ca="1">IFERROR(TableWeeklySummary[[#This Row],[Utilidad bruta]]/TableWeeklySummary[[#This Row],[Ventas netas con costo registrado]],0)</f>
        <v>0</v>
      </c>
    </row>
    <row r="333" spans="2:38" x14ac:dyDescent="0.2">
      <c r="B333" s="16">
        <f ca="1">_xlfn.ISOWEEKNUM(TableWeeklySummary[[#This Row],[Hasta]])</f>
        <v>6</v>
      </c>
      <c r="C333" s="6">
        <f t="shared" ca="1" si="7"/>
        <v>48243</v>
      </c>
      <c r="D333" s="6">
        <f ca="1">TableWeeklySummary[[#This Row],[Desde]]+7-1</f>
        <v>48249</v>
      </c>
      <c r="E333" s="12">
        <f ca="1">SUMIFS(TableDailySummary[Ventas netas totales],TableDailySummary[Fecha],"&gt;="&amp;TableWeeklySummary[[#This Row],[Desde]],TableDailySummary[Fecha],"&lt;="&amp;TableWeeklySummary[[#This Row],[Hasta]])</f>
        <v>0</v>
      </c>
      <c r="F333" s="12">
        <f ca="1">SUMIFS(TableDailySummary[Órdenes totales],TableDailySummary[Fecha],"&gt;="&amp;TableWeeklySummary[[#This Row],[Desde]],TableDailySummary[Fecha],"&lt;="&amp;TableWeeklySummary[[#This Row],[Hasta]])</f>
        <v>0</v>
      </c>
      <c r="G333" s="12">
        <f ca="1">IFERROR(TableWeeklySummary[[#This Row],[Ventas netas totales]]/TableWeeklySummary[[#This Row],[Órdenes totales]],0)</f>
        <v>0</v>
      </c>
      <c r="H33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33" s="12">
        <f ca="1">TableWeeklySummary[[#This Row],[Órden promedio totales]]*TableWeeklySummary[[#This Row],[CR totales]]</f>
        <v>0</v>
      </c>
      <c r="J333" s="12">
        <f ca="1">SUMIFS(TableDailySummary[Ventas primer cliente],TableDailySummary[Fecha],"&gt;="&amp;TableWeeklySummary[[#This Row],[Desde]],TableDailySummary[Fecha],"&lt;="&amp;TableWeeklySummary[[#This Row],[Hasta]])</f>
        <v>0</v>
      </c>
      <c r="K333" s="12">
        <f ca="1">SUMIFS(TableDailySummary[Órdenes primer cliente],TableDailySummary[Fecha],"&gt;="&amp;TableWeeklySummary[[#This Row],[Desde]],TableDailySummary[Fecha],"&lt;="&amp;TableWeeklySummary[[#This Row],[Hasta]])</f>
        <v>0</v>
      </c>
      <c r="L333" s="12">
        <f ca="1">SUMIFS(TableDailySummary[Online Store_net_sales],TableDailySummary[Fecha],"&gt;="&amp;TableWeeklySummary[[#This Row],[Desde]],TableDailySummary[Fecha],"&lt;="&amp;TableWeeklySummary[[#This Row],[Hasta]])</f>
        <v>0</v>
      </c>
      <c r="M333" s="12">
        <f ca="1">SUMIFS(TableDailySummary[Online Store_orders],TableDailySummary[Fecha],"&gt;="&amp;TableWeeklySummary[[#This Row],[Desde]],TableDailySummary[Fecha],"&lt;="&amp;TableWeeklySummary[[#This Row],[Hasta]])</f>
        <v>0</v>
      </c>
      <c r="N333" s="12">
        <f ca="1">SUMIFS(TableDailySummary[Tienda 81_net_sales],TableDailySummary[Fecha],"&gt;="&amp;TableWeeklySummary[[#This Row],[Desde]],TableDailySummary[Fecha],"&lt;="&amp;TableWeeklySummary[[#This Row],[Hasta]])</f>
        <v>0</v>
      </c>
      <c r="O333" s="12">
        <f ca="1">SUMIFS(TableDailySummary[Tienda 81_orders],TableDailySummary[Fecha],"&gt;="&amp;TableWeeklySummary[[#This Row],[Desde]],TableDailySummary[Fecha],"&lt;="&amp;TableWeeklySummary[[#This Row],[Hasta]])</f>
        <v>0</v>
      </c>
      <c r="P333" s="12">
        <f ca="1">SUMIFS(TableDailySummary[Rappi_net_sales],TableDailySummary[Fecha],"&gt;="&amp;TableWeeklySummary[[#This Row],[Desde]],TableDailySummary[Fecha],"&lt;="&amp;TableWeeklySummary[[#This Row],[Hasta]])</f>
        <v>0</v>
      </c>
      <c r="Q333" s="12">
        <f ca="1">SUMIFS(TableDailySummary[Rappi_orders],TableDailySummary[Fecha],"&gt;="&amp;TableWeeklySummary[[#This Row],[Desde]],TableDailySummary[Fecha],"&lt;="&amp;TableWeeklySummary[[#This Row],[Hasta]])</f>
        <v>0</v>
      </c>
      <c r="R33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3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33" s="12">
        <f ca="1">SUMIFS(TableDailySummary[Inversión google ads],TableDailySummary[Fecha],"&gt;="&amp;TableWeeklySummary[[#This Row],[Desde]],TableDailySummary[Fecha],"&lt;="&amp;TableWeeklySummary[[#This Row],[Hasta]])</f>
        <v>0</v>
      </c>
      <c r="U333" s="12">
        <f ca="1">SUMIFS(TableDailySummary[Ventas google ads],TableDailySummary[Fecha],"&gt;="&amp;TableWeeklySummary[[#This Row],[Desde]],TableDailySummary[Fecha],"&lt;="&amp;TableWeeklySummary[[#This Row],[Hasta]])</f>
        <v>0</v>
      </c>
      <c r="V333" s="12">
        <f ca="1">SUMIFS(TableDailySummary[Inversión meta ads],TableDailySummary[Fecha],"&gt;="&amp;TableWeeklySummary[[#This Row],[Desde]],TableDailySummary[Fecha],"&lt;="&amp;TableWeeklySummary[[#This Row],[Hasta]])</f>
        <v>0</v>
      </c>
      <c r="W333" s="12">
        <f ca="1">SUMIFS(TableDailySummary[Ventas meta ads],TableDailySummary[Fecha],"&gt;="&amp;TableWeeklySummary[[#This Row],[Desde]],TableDailySummary[Fecha],"&lt;="&amp;TableWeeklySummary[[#This Row],[Hasta]])</f>
        <v>0</v>
      </c>
      <c r="X333" s="12">
        <f ca="1">TableWeeklySummary[[#This Row],[Inversión google ads]]+TableWeeklySummary[[#This Row],[Inversión meta ads]]</f>
        <v>0</v>
      </c>
      <c r="Y333" s="12">
        <f ca="1">TableWeeklySummary[[#This Row],[Ventas google ads]]+TableWeeklySummary[[#This Row],[Ventas meta ads]]</f>
        <v>0</v>
      </c>
      <c r="Z333" s="14">
        <f ca="1">IFERROR(TableWeeklySummary[[#This Row],[Ventas publicidad]]/TableWeeklySummary[[#This Row],[Inversión publicidad]],0)</f>
        <v>0</v>
      </c>
      <c r="AA333" s="14">
        <f ca="1">IFERROR(TableWeeklySummary[[#This Row],[Ventas primer cliente]]/TableWeeklySummary[[#This Row],[Inversión publicidad]],0)</f>
        <v>0</v>
      </c>
      <c r="AB333" s="14"/>
      <c r="AC333" s="12"/>
      <c r="AI33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3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33" s="12">
        <f ca="1">SUMIFS(TableDailySummary[Utilidad bruta],TableDailySummary[Fecha],"&gt;="&amp;TableWeeklySummary[[#This Row],[Desde]],TableDailySummary[Fecha],"&lt;="&amp;TableWeeklySummary[[#This Row],[Hasta]])</f>
        <v>0</v>
      </c>
      <c r="AL333" s="18">
        <f ca="1">IFERROR(TableWeeklySummary[[#This Row],[Utilidad bruta]]/TableWeeklySummary[[#This Row],[Ventas netas con costo registrado]],0)</f>
        <v>0</v>
      </c>
    </row>
    <row r="334" spans="2:38" x14ac:dyDescent="0.2">
      <c r="B334" s="16">
        <f ca="1">_xlfn.ISOWEEKNUM(TableWeeklySummary[[#This Row],[Hasta]])</f>
        <v>7</v>
      </c>
      <c r="C334" s="6">
        <f t="shared" ca="1" si="7"/>
        <v>48250</v>
      </c>
      <c r="D334" s="6">
        <f ca="1">TableWeeklySummary[[#This Row],[Desde]]+7-1</f>
        <v>48256</v>
      </c>
      <c r="E334" s="12">
        <f ca="1">SUMIFS(TableDailySummary[Ventas netas totales],TableDailySummary[Fecha],"&gt;="&amp;TableWeeklySummary[[#This Row],[Desde]],TableDailySummary[Fecha],"&lt;="&amp;TableWeeklySummary[[#This Row],[Hasta]])</f>
        <v>0</v>
      </c>
      <c r="F334" s="12">
        <f ca="1">SUMIFS(TableDailySummary[Órdenes totales],TableDailySummary[Fecha],"&gt;="&amp;TableWeeklySummary[[#This Row],[Desde]],TableDailySummary[Fecha],"&lt;="&amp;TableWeeklySummary[[#This Row],[Hasta]])</f>
        <v>0</v>
      </c>
      <c r="G334" s="12">
        <f ca="1">IFERROR(TableWeeklySummary[[#This Row],[Ventas netas totales]]/TableWeeklySummary[[#This Row],[Órdenes totales]],0)</f>
        <v>0</v>
      </c>
      <c r="H33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34" s="12">
        <f ca="1">TableWeeklySummary[[#This Row],[Órden promedio totales]]*TableWeeklySummary[[#This Row],[CR totales]]</f>
        <v>0</v>
      </c>
      <c r="J334" s="12">
        <f ca="1">SUMIFS(TableDailySummary[Ventas primer cliente],TableDailySummary[Fecha],"&gt;="&amp;TableWeeklySummary[[#This Row],[Desde]],TableDailySummary[Fecha],"&lt;="&amp;TableWeeklySummary[[#This Row],[Hasta]])</f>
        <v>0</v>
      </c>
      <c r="K334" s="12">
        <f ca="1">SUMIFS(TableDailySummary[Órdenes primer cliente],TableDailySummary[Fecha],"&gt;="&amp;TableWeeklySummary[[#This Row],[Desde]],TableDailySummary[Fecha],"&lt;="&amp;TableWeeklySummary[[#This Row],[Hasta]])</f>
        <v>0</v>
      </c>
      <c r="L334" s="12">
        <f ca="1">SUMIFS(TableDailySummary[Online Store_net_sales],TableDailySummary[Fecha],"&gt;="&amp;TableWeeklySummary[[#This Row],[Desde]],TableDailySummary[Fecha],"&lt;="&amp;TableWeeklySummary[[#This Row],[Hasta]])</f>
        <v>0</v>
      </c>
      <c r="M334" s="12">
        <f ca="1">SUMIFS(TableDailySummary[Online Store_orders],TableDailySummary[Fecha],"&gt;="&amp;TableWeeklySummary[[#This Row],[Desde]],TableDailySummary[Fecha],"&lt;="&amp;TableWeeklySummary[[#This Row],[Hasta]])</f>
        <v>0</v>
      </c>
      <c r="N334" s="12">
        <f ca="1">SUMIFS(TableDailySummary[Tienda 81_net_sales],TableDailySummary[Fecha],"&gt;="&amp;TableWeeklySummary[[#This Row],[Desde]],TableDailySummary[Fecha],"&lt;="&amp;TableWeeklySummary[[#This Row],[Hasta]])</f>
        <v>0</v>
      </c>
      <c r="O334" s="12">
        <f ca="1">SUMIFS(TableDailySummary[Tienda 81_orders],TableDailySummary[Fecha],"&gt;="&amp;TableWeeklySummary[[#This Row],[Desde]],TableDailySummary[Fecha],"&lt;="&amp;TableWeeklySummary[[#This Row],[Hasta]])</f>
        <v>0</v>
      </c>
      <c r="P334" s="12">
        <f ca="1">SUMIFS(TableDailySummary[Rappi_net_sales],TableDailySummary[Fecha],"&gt;="&amp;TableWeeklySummary[[#This Row],[Desde]],TableDailySummary[Fecha],"&lt;="&amp;TableWeeklySummary[[#This Row],[Hasta]])</f>
        <v>0</v>
      </c>
      <c r="Q334" s="12">
        <f ca="1">SUMIFS(TableDailySummary[Rappi_orders],TableDailySummary[Fecha],"&gt;="&amp;TableWeeklySummary[[#This Row],[Desde]],TableDailySummary[Fecha],"&lt;="&amp;TableWeeklySummary[[#This Row],[Hasta]])</f>
        <v>0</v>
      </c>
      <c r="R33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3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34" s="12">
        <f ca="1">SUMIFS(TableDailySummary[Inversión google ads],TableDailySummary[Fecha],"&gt;="&amp;TableWeeklySummary[[#This Row],[Desde]],TableDailySummary[Fecha],"&lt;="&amp;TableWeeklySummary[[#This Row],[Hasta]])</f>
        <v>0</v>
      </c>
      <c r="U334" s="12">
        <f ca="1">SUMIFS(TableDailySummary[Ventas google ads],TableDailySummary[Fecha],"&gt;="&amp;TableWeeklySummary[[#This Row],[Desde]],TableDailySummary[Fecha],"&lt;="&amp;TableWeeklySummary[[#This Row],[Hasta]])</f>
        <v>0</v>
      </c>
      <c r="V334" s="12">
        <f ca="1">SUMIFS(TableDailySummary[Inversión meta ads],TableDailySummary[Fecha],"&gt;="&amp;TableWeeklySummary[[#This Row],[Desde]],TableDailySummary[Fecha],"&lt;="&amp;TableWeeklySummary[[#This Row],[Hasta]])</f>
        <v>0</v>
      </c>
      <c r="W334" s="12">
        <f ca="1">SUMIFS(TableDailySummary[Ventas meta ads],TableDailySummary[Fecha],"&gt;="&amp;TableWeeklySummary[[#This Row],[Desde]],TableDailySummary[Fecha],"&lt;="&amp;TableWeeklySummary[[#This Row],[Hasta]])</f>
        <v>0</v>
      </c>
      <c r="X334" s="12">
        <f ca="1">TableWeeklySummary[[#This Row],[Inversión google ads]]+TableWeeklySummary[[#This Row],[Inversión meta ads]]</f>
        <v>0</v>
      </c>
      <c r="Y334" s="12">
        <f ca="1">TableWeeklySummary[[#This Row],[Ventas google ads]]+TableWeeklySummary[[#This Row],[Ventas meta ads]]</f>
        <v>0</v>
      </c>
      <c r="Z334" s="14">
        <f ca="1">IFERROR(TableWeeklySummary[[#This Row],[Ventas publicidad]]/TableWeeklySummary[[#This Row],[Inversión publicidad]],0)</f>
        <v>0</v>
      </c>
      <c r="AA334" s="14">
        <f ca="1">IFERROR(TableWeeklySummary[[#This Row],[Ventas primer cliente]]/TableWeeklySummary[[#This Row],[Inversión publicidad]],0)</f>
        <v>0</v>
      </c>
      <c r="AB334" s="14"/>
      <c r="AC334" s="12"/>
      <c r="AI33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3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34" s="12">
        <f ca="1">SUMIFS(TableDailySummary[Utilidad bruta],TableDailySummary[Fecha],"&gt;="&amp;TableWeeklySummary[[#This Row],[Desde]],TableDailySummary[Fecha],"&lt;="&amp;TableWeeklySummary[[#This Row],[Hasta]])</f>
        <v>0</v>
      </c>
      <c r="AL334" s="18">
        <f ca="1">IFERROR(TableWeeklySummary[[#This Row],[Utilidad bruta]]/TableWeeklySummary[[#This Row],[Ventas netas con costo registrado]],0)</f>
        <v>0</v>
      </c>
    </row>
    <row r="335" spans="2:38" x14ac:dyDescent="0.2">
      <c r="B335" s="16">
        <f ca="1">_xlfn.ISOWEEKNUM(TableWeeklySummary[[#This Row],[Hasta]])</f>
        <v>8</v>
      </c>
      <c r="C335" s="6">
        <f t="shared" ca="1" si="7"/>
        <v>48257</v>
      </c>
      <c r="D335" s="6">
        <f ca="1">TableWeeklySummary[[#This Row],[Desde]]+7-1</f>
        <v>48263</v>
      </c>
      <c r="E335" s="12">
        <f ca="1">SUMIFS(TableDailySummary[Ventas netas totales],TableDailySummary[Fecha],"&gt;="&amp;TableWeeklySummary[[#This Row],[Desde]],TableDailySummary[Fecha],"&lt;="&amp;TableWeeklySummary[[#This Row],[Hasta]])</f>
        <v>0</v>
      </c>
      <c r="F335" s="12">
        <f ca="1">SUMIFS(TableDailySummary[Órdenes totales],TableDailySummary[Fecha],"&gt;="&amp;TableWeeklySummary[[#This Row],[Desde]],TableDailySummary[Fecha],"&lt;="&amp;TableWeeklySummary[[#This Row],[Hasta]])</f>
        <v>0</v>
      </c>
      <c r="G335" s="12">
        <f ca="1">IFERROR(TableWeeklySummary[[#This Row],[Ventas netas totales]]/TableWeeklySummary[[#This Row],[Órdenes totales]],0)</f>
        <v>0</v>
      </c>
      <c r="H33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35" s="12">
        <f ca="1">TableWeeklySummary[[#This Row],[Órden promedio totales]]*TableWeeklySummary[[#This Row],[CR totales]]</f>
        <v>0</v>
      </c>
      <c r="J335" s="12">
        <f ca="1">SUMIFS(TableDailySummary[Ventas primer cliente],TableDailySummary[Fecha],"&gt;="&amp;TableWeeklySummary[[#This Row],[Desde]],TableDailySummary[Fecha],"&lt;="&amp;TableWeeklySummary[[#This Row],[Hasta]])</f>
        <v>0</v>
      </c>
      <c r="K335" s="12">
        <f ca="1">SUMIFS(TableDailySummary[Órdenes primer cliente],TableDailySummary[Fecha],"&gt;="&amp;TableWeeklySummary[[#This Row],[Desde]],TableDailySummary[Fecha],"&lt;="&amp;TableWeeklySummary[[#This Row],[Hasta]])</f>
        <v>0</v>
      </c>
      <c r="L335" s="12">
        <f ca="1">SUMIFS(TableDailySummary[Online Store_net_sales],TableDailySummary[Fecha],"&gt;="&amp;TableWeeklySummary[[#This Row],[Desde]],TableDailySummary[Fecha],"&lt;="&amp;TableWeeklySummary[[#This Row],[Hasta]])</f>
        <v>0</v>
      </c>
      <c r="M335" s="12">
        <f ca="1">SUMIFS(TableDailySummary[Online Store_orders],TableDailySummary[Fecha],"&gt;="&amp;TableWeeklySummary[[#This Row],[Desde]],TableDailySummary[Fecha],"&lt;="&amp;TableWeeklySummary[[#This Row],[Hasta]])</f>
        <v>0</v>
      </c>
      <c r="N335" s="12">
        <f ca="1">SUMIFS(TableDailySummary[Tienda 81_net_sales],TableDailySummary[Fecha],"&gt;="&amp;TableWeeklySummary[[#This Row],[Desde]],TableDailySummary[Fecha],"&lt;="&amp;TableWeeklySummary[[#This Row],[Hasta]])</f>
        <v>0</v>
      </c>
      <c r="O335" s="12">
        <f ca="1">SUMIFS(TableDailySummary[Tienda 81_orders],TableDailySummary[Fecha],"&gt;="&amp;TableWeeklySummary[[#This Row],[Desde]],TableDailySummary[Fecha],"&lt;="&amp;TableWeeklySummary[[#This Row],[Hasta]])</f>
        <v>0</v>
      </c>
      <c r="P335" s="12">
        <f ca="1">SUMIFS(TableDailySummary[Rappi_net_sales],TableDailySummary[Fecha],"&gt;="&amp;TableWeeklySummary[[#This Row],[Desde]],TableDailySummary[Fecha],"&lt;="&amp;TableWeeklySummary[[#This Row],[Hasta]])</f>
        <v>0</v>
      </c>
      <c r="Q335" s="12">
        <f ca="1">SUMIFS(TableDailySummary[Rappi_orders],TableDailySummary[Fecha],"&gt;="&amp;TableWeeklySummary[[#This Row],[Desde]],TableDailySummary[Fecha],"&lt;="&amp;TableWeeklySummary[[#This Row],[Hasta]])</f>
        <v>0</v>
      </c>
      <c r="R33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3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35" s="12">
        <f ca="1">SUMIFS(TableDailySummary[Inversión google ads],TableDailySummary[Fecha],"&gt;="&amp;TableWeeklySummary[[#This Row],[Desde]],TableDailySummary[Fecha],"&lt;="&amp;TableWeeklySummary[[#This Row],[Hasta]])</f>
        <v>0</v>
      </c>
      <c r="U335" s="12">
        <f ca="1">SUMIFS(TableDailySummary[Ventas google ads],TableDailySummary[Fecha],"&gt;="&amp;TableWeeklySummary[[#This Row],[Desde]],TableDailySummary[Fecha],"&lt;="&amp;TableWeeklySummary[[#This Row],[Hasta]])</f>
        <v>0</v>
      </c>
      <c r="V335" s="12">
        <f ca="1">SUMIFS(TableDailySummary[Inversión meta ads],TableDailySummary[Fecha],"&gt;="&amp;TableWeeklySummary[[#This Row],[Desde]],TableDailySummary[Fecha],"&lt;="&amp;TableWeeklySummary[[#This Row],[Hasta]])</f>
        <v>0</v>
      </c>
      <c r="W335" s="12">
        <f ca="1">SUMIFS(TableDailySummary[Ventas meta ads],TableDailySummary[Fecha],"&gt;="&amp;TableWeeklySummary[[#This Row],[Desde]],TableDailySummary[Fecha],"&lt;="&amp;TableWeeklySummary[[#This Row],[Hasta]])</f>
        <v>0</v>
      </c>
      <c r="X335" s="12">
        <f ca="1">TableWeeklySummary[[#This Row],[Inversión google ads]]+TableWeeklySummary[[#This Row],[Inversión meta ads]]</f>
        <v>0</v>
      </c>
      <c r="Y335" s="12">
        <f ca="1">TableWeeklySummary[[#This Row],[Ventas google ads]]+TableWeeklySummary[[#This Row],[Ventas meta ads]]</f>
        <v>0</v>
      </c>
      <c r="Z335" s="14">
        <f ca="1">IFERROR(TableWeeklySummary[[#This Row],[Ventas publicidad]]/TableWeeklySummary[[#This Row],[Inversión publicidad]],0)</f>
        <v>0</v>
      </c>
      <c r="AA335" s="14">
        <f ca="1">IFERROR(TableWeeklySummary[[#This Row],[Ventas primer cliente]]/TableWeeklySummary[[#This Row],[Inversión publicidad]],0)</f>
        <v>0</v>
      </c>
      <c r="AB335" s="14"/>
      <c r="AC335" s="12"/>
      <c r="AI33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3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35" s="12">
        <f ca="1">SUMIFS(TableDailySummary[Utilidad bruta],TableDailySummary[Fecha],"&gt;="&amp;TableWeeklySummary[[#This Row],[Desde]],TableDailySummary[Fecha],"&lt;="&amp;TableWeeklySummary[[#This Row],[Hasta]])</f>
        <v>0</v>
      </c>
      <c r="AL335" s="18">
        <f ca="1">IFERROR(TableWeeklySummary[[#This Row],[Utilidad bruta]]/TableWeeklySummary[[#This Row],[Ventas netas con costo registrado]],0)</f>
        <v>0</v>
      </c>
    </row>
    <row r="336" spans="2:38" x14ac:dyDescent="0.2">
      <c r="B336" s="16">
        <f ca="1">_xlfn.ISOWEEKNUM(TableWeeklySummary[[#This Row],[Hasta]])</f>
        <v>9</v>
      </c>
      <c r="C336" s="6">
        <f t="shared" ca="1" si="7"/>
        <v>48264</v>
      </c>
      <c r="D336" s="6">
        <f ca="1">TableWeeklySummary[[#This Row],[Desde]]+7-1</f>
        <v>48270</v>
      </c>
      <c r="E336" s="12">
        <f ca="1">SUMIFS(TableDailySummary[Ventas netas totales],TableDailySummary[Fecha],"&gt;="&amp;TableWeeklySummary[[#This Row],[Desde]],TableDailySummary[Fecha],"&lt;="&amp;TableWeeklySummary[[#This Row],[Hasta]])</f>
        <v>0</v>
      </c>
      <c r="F336" s="12">
        <f ca="1">SUMIFS(TableDailySummary[Órdenes totales],TableDailySummary[Fecha],"&gt;="&amp;TableWeeklySummary[[#This Row],[Desde]],TableDailySummary[Fecha],"&lt;="&amp;TableWeeklySummary[[#This Row],[Hasta]])</f>
        <v>0</v>
      </c>
      <c r="G336" s="12">
        <f ca="1">IFERROR(TableWeeklySummary[[#This Row],[Ventas netas totales]]/TableWeeklySummary[[#This Row],[Órdenes totales]],0)</f>
        <v>0</v>
      </c>
      <c r="H33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36" s="12">
        <f ca="1">TableWeeklySummary[[#This Row],[Órden promedio totales]]*TableWeeklySummary[[#This Row],[CR totales]]</f>
        <v>0</v>
      </c>
      <c r="J336" s="12">
        <f ca="1">SUMIFS(TableDailySummary[Ventas primer cliente],TableDailySummary[Fecha],"&gt;="&amp;TableWeeklySummary[[#This Row],[Desde]],TableDailySummary[Fecha],"&lt;="&amp;TableWeeklySummary[[#This Row],[Hasta]])</f>
        <v>0</v>
      </c>
      <c r="K336" s="12">
        <f ca="1">SUMIFS(TableDailySummary[Órdenes primer cliente],TableDailySummary[Fecha],"&gt;="&amp;TableWeeklySummary[[#This Row],[Desde]],TableDailySummary[Fecha],"&lt;="&amp;TableWeeklySummary[[#This Row],[Hasta]])</f>
        <v>0</v>
      </c>
      <c r="L336" s="12">
        <f ca="1">SUMIFS(TableDailySummary[Online Store_net_sales],TableDailySummary[Fecha],"&gt;="&amp;TableWeeklySummary[[#This Row],[Desde]],TableDailySummary[Fecha],"&lt;="&amp;TableWeeklySummary[[#This Row],[Hasta]])</f>
        <v>0</v>
      </c>
      <c r="M336" s="12">
        <f ca="1">SUMIFS(TableDailySummary[Online Store_orders],TableDailySummary[Fecha],"&gt;="&amp;TableWeeklySummary[[#This Row],[Desde]],TableDailySummary[Fecha],"&lt;="&amp;TableWeeklySummary[[#This Row],[Hasta]])</f>
        <v>0</v>
      </c>
      <c r="N336" s="12">
        <f ca="1">SUMIFS(TableDailySummary[Tienda 81_net_sales],TableDailySummary[Fecha],"&gt;="&amp;TableWeeklySummary[[#This Row],[Desde]],TableDailySummary[Fecha],"&lt;="&amp;TableWeeklySummary[[#This Row],[Hasta]])</f>
        <v>0</v>
      </c>
      <c r="O336" s="12">
        <f ca="1">SUMIFS(TableDailySummary[Tienda 81_orders],TableDailySummary[Fecha],"&gt;="&amp;TableWeeklySummary[[#This Row],[Desde]],TableDailySummary[Fecha],"&lt;="&amp;TableWeeklySummary[[#This Row],[Hasta]])</f>
        <v>0</v>
      </c>
      <c r="P336" s="12">
        <f ca="1">SUMIFS(TableDailySummary[Rappi_net_sales],TableDailySummary[Fecha],"&gt;="&amp;TableWeeklySummary[[#This Row],[Desde]],TableDailySummary[Fecha],"&lt;="&amp;TableWeeklySummary[[#This Row],[Hasta]])</f>
        <v>0</v>
      </c>
      <c r="Q336" s="12">
        <f ca="1">SUMIFS(TableDailySummary[Rappi_orders],TableDailySummary[Fecha],"&gt;="&amp;TableWeeklySummary[[#This Row],[Desde]],TableDailySummary[Fecha],"&lt;="&amp;TableWeeklySummary[[#This Row],[Hasta]])</f>
        <v>0</v>
      </c>
      <c r="R33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3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36" s="12">
        <f ca="1">SUMIFS(TableDailySummary[Inversión google ads],TableDailySummary[Fecha],"&gt;="&amp;TableWeeklySummary[[#This Row],[Desde]],TableDailySummary[Fecha],"&lt;="&amp;TableWeeklySummary[[#This Row],[Hasta]])</f>
        <v>0</v>
      </c>
      <c r="U336" s="12">
        <f ca="1">SUMIFS(TableDailySummary[Ventas google ads],TableDailySummary[Fecha],"&gt;="&amp;TableWeeklySummary[[#This Row],[Desde]],TableDailySummary[Fecha],"&lt;="&amp;TableWeeklySummary[[#This Row],[Hasta]])</f>
        <v>0</v>
      </c>
      <c r="V336" s="12">
        <f ca="1">SUMIFS(TableDailySummary[Inversión meta ads],TableDailySummary[Fecha],"&gt;="&amp;TableWeeklySummary[[#This Row],[Desde]],TableDailySummary[Fecha],"&lt;="&amp;TableWeeklySummary[[#This Row],[Hasta]])</f>
        <v>0</v>
      </c>
      <c r="W336" s="12">
        <f ca="1">SUMIFS(TableDailySummary[Ventas meta ads],TableDailySummary[Fecha],"&gt;="&amp;TableWeeklySummary[[#This Row],[Desde]],TableDailySummary[Fecha],"&lt;="&amp;TableWeeklySummary[[#This Row],[Hasta]])</f>
        <v>0</v>
      </c>
      <c r="X336" s="12">
        <f ca="1">TableWeeklySummary[[#This Row],[Inversión google ads]]+TableWeeklySummary[[#This Row],[Inversión meta ads]]</f>
        <v>0</v>
      </c>
      <c r="Y336" s="12">
        <f ca="1">TableWeeklySummary[[#This Row],[Ventas google ads]]+TableWeeklySummary[[#This Row],[Ventas meta ads]]</f>
        <v>0</v>
      </c>
      <c r="Z336" s="14">
        <f ca="1">IFERROR(TableWeeklySummary[[#This Row],[Ventas publicidad]]/TableWeeklySummary[[#This Row],[Inversión publicidad]],0)</f>
        <v>0</v>
      </c>
      <c r="AA336" s="14">
        <f ca="1">IFERROR(TableWeeklySummary[[#This Row],[Ventas primer cliente]]/TableWeeklySummary[[#This Row],[Inversión publicidad]],0)</f>
        <v>0</v>
      </c>
      <c r="AB336" s="14"/>
      <c r="AC336" s="12"/>
      <c r="AI33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3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36" s="12">
        <f ca="1">SUMIFS(TableDailySummary[Utilidad bruta],TableDailySummary[Fecha],"&gt;="&amp;TableWeeklySummary[[#This Row],[Desde]],TableDailySummary[Fecha],"&lt;="&amp;TableWeeklySummary[[#This Row],[Hasta]])</f>
        <v>0</v>
      </c>
      <c r="AL336" s="18">
        <f ca="1">IFERROR(TableWeeklySummary[[#This Row],[Utilidad bruta]]/TableWeeklySummary[[#This Row],[Ventas netas con costo registrado]],0)</f>
        <v>0</v>
      </c>
    </row>
    <row r="337" spans="2:38" x14ac:dyDescent="0.2">
      <c r="B337" s="16">
        <f ca="1">_xlfn.ISOWEEKNUM(TableWeeklySummary[[#This Row],[Hasta]])</f>
        <v>10</v>
      </c>
      <c r="C337" s="6">
        <f t="shared" ca="1" si="7"/>
        <v>48271</v>
      </c>
      <c r="D337" s="6">
        <f ca="1">TableWeeklySummary[[#This Row],[Desde]]+7-1</f>
        <v>48277</v>
      </c>
      <c r="E337" s="12">
        <f ca="1">SUMIFS(TableDailySummary[Ventas netas totales],TableDailySummary[Fecha],"&gt;="&amp;TableWeeklySummary[[#This Row],[Desde]],TableDailySummary[Fecha],"&lt;="&amp;TableWeeklySummary[[#This Row],[Hasta]])</f>
        <v>0</v>
      </c>
      <c r="F337" s="12">
        <f ca="1">SUMIFS(TableDailySummary[Órdenes totales],TableDailySummary[Fecha],"&gt;="&amp;TableWeeklySummary[[#This Row],[Desde]],TableDailySummary[Fecha],"&lt;="&amp;TableWeeklySummary[[#This Row],[Hasta]])</f>
        <v>0</v>
      </c>
      <c r="G337" s="12">
        <f ca="1">IFERROR(TableWeeklySummary[[#This Row],[Ventas netas totales]]/TableWeeklySummary[[#This Row],[Órdenes totales]],0)</f>
        <v>0</v>
      </c>
      <c r="H33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37" s="12">
        <f ca="1">TableWeeklySummary[[#This Row],[Órden promedio totales]]*TableWeeklySummary[[#This Row],[CR totales]]</f>
        <v>0</v>
      </c>
      <c r="J337" s="12">
        <f ca="1">SUMIFS(TableDailySummary[Ventas primer cliente],TableDailySummary[Fecha],"&gt;="&amp;TableWeeklySummary[[#This Row],[Desde]],TableDailySummary[Fecha],"&lt;="&amp;TableWeeklySummary[[#This Row],[Hasta]])</f>
        <v>0</v>
      </c>
      <c r="K337" s="12">
        <f ca="1">SUMIFS(TableDailySummary[Órdenes primer cliente],TableDailySummary[Fecha],"&gt;="&amp;TableWeeklySummary[[#This Row],[Desde]],TableDailySummary[Fecha],"&lt;="&amp;TableWeeklySummary[[#This Row],[Hasta]])</f>
        <v>0</v>
      </c>
      <c r="L337" s="12">
        <f ca="1">SUMIFS(TableDailySummary[Online Store_net_sales],TableDailySummary[Fecha],"&gt;="&amp;TableWeeklySummary[[#This Row],[Desde]],TableDailySummary[Fecha],"&lt;="&amp;TableWeeklySummary[[#This Row],[Hasta]])</f>
        <v>0</v>
      </c>
      <c r="M337" s="12">
        <f ca="1">SUMIFS(TableDailySummary[Online Store_orders],TableDailySummary[Fecha],"&gt;="&amp;TableWeeklySummary[[#This Row],[Desde]],TableDailySummary[Fecha],"&lt;="&amp;TableWeeklySummary[[#This Row],[Hasta]])</f>
        <v>0</v>
      </c>
      <c r="N337" s="12">
        <f ca="1">SUMIFS(TableDailySummary[Tienda 81_net_sales],TableDailySummary[Fecha],"&gt;="&amp;TableWeeklySummary[[#This Row],[Desde]],TableDailySummary[Fecha],"&lt;="&amp;TableWeeklySummary[[#This Row],[Hasta]])</f>
        <v>0</v>
      </c>
      <c r="O337" s="12">
        <f ca="1">SUMIFS(TableDailySummary[Tienda 81_orders],TableDailySummary[Fecha],"&gt;="&amp;TableWeeklySummary[[#This Row],[Desde]],TableDailySummary[Fecha],"&lt;="&amp;TableWeeklySummary[[#This Row],[Hasta]])</f>
        <v>0</v>
      </c>
      <c r="P337" s="12">
        <f ca="1">SUMIFS(TableDailySummary[Rappi_net_sales],TableDailySummary[Fecha],"&gt;="&amp;TableWeeklySummary[[#This Row],[Desde]],TableDailySummary[Fecha],"&lt;="&amp;TableWeeklySummary[[#This Row],[Hasta]])</f>
        <v>0</v>
      </c>
      <c r="Q337" s="12">
        <f ca="1">SUMIFS(TableDailySummary[Rappi_orders],TableDailySummary[Fecha],"&gt;="&amp;TableWeeklySummary[[#This Row],[Desde]],TableDailySummary[Fecha],"&lt;="&amp;TableWeeklySummary[[#This Row],[Hasta]])</f>
        <v>0</v>
      </c>
      <c r="R33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3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37" s="12">
        <f ca="1">SUMIFS(TableDailySummary[Inversión google ads],TableDailySummary[Fecha],"&gt;="&amp;TableWeeklySummary[[#This Row],[Desde]],TableDailySummary[Fecha],"&lt;="&amp;TableWeeklySummary[[#This Row],[Hasta]])</f>
        <v>0</v>
      </c>
      <c r="U337" s="12">
        <f ca="1">SUMIFS(TableDailySummary[Ventas google ads],TableDailySummary[Fecha],"&gt;="&amp;TableWeeklySummary[[#This Row],[Desde]],TableDailySummary[Fecha],"&lt;="&amp;TableWeeklySummary[[#This Row],[Hasta]])</f>
        <v>0</v>
      </c>
      <c r="V337" s="12">
        <f ca="1">SUMIFS(TableDailySummary[Inversión meta ads],TableDailySummary[Fecha],"&gt;="&amp;TableWeeklySummary[[#This Row],[Desde]],TableDailySummary[Fecha],"&lt;="&amp;TableWeeklySummary[[#This Row],[Hasta]])</f>
        <v>0</v>
      </c>
      <c r="W337" s="12">
        <f ca="1">SUMIFS(TableDailySummary[Ventas meta ads],TableDailySummary[Fecha],"&gt;="&amp;TableWeeklySummary[[#This Row],[Desde]],TableDailySummary[Fecha],"&lt;="&amp;TableWeeklySummary[[#This Row],[Hasta]])</f>
        <v>0</v>
      </c>
      <c r="X337" s="12">
        <f ca="1">TableWeeklySummary[[#This Row],[Inversión google ads]]+TableWeeklySummary[[#This Row],[Inversión meta ads]]</f>
        <v>0</v>
      </c>
      <c r="Y337" s="12">
        <f ca="1">TableWeeklySummary[[#This Row],[Ventas google ads]]+TableWeeklySummary[[#This Row],[Ventas meta ads]]</f>
        <v>0</v>
      </c>
      <c r="Z337" s="14">
        <f ca="1">IFERROR(TableWeeklySummary[[#This Row],[Ventas publicidad]]/TableWeeklySummary[[#This Row],[Inversión publicidad]],0)</f>
        <v>0</v>
      </c>
      <c r="AA337" s="14">
        <f ca="1">IFERROR(TableWeeklySummary[[#This Row],[Ventas primer cliente]]/TableWeeklySummary[[#This Row],[Inversión publicidad]],0)</f>
        <v>0</v>
      </c>
      <c r="AB337" s="14"/>
      <c r="AC337" s="12"/>
      <c r="AI33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3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37" s="12">
        <f ca="1">SUMIFS(TableDailySummary[Utilidad bruta],TableDailySummary[Fecha],"&gt;="&amp;TableWeeklySummary[[#This Row],[Desde]],TableDailySummary[Fecha],"&lt;="&amp;TableWeeklySummary[[#This Row],[Hasta]])</f>
        <v>0</v>
      </c>
      <c r="AL337" s="18">
        <f ca="1">IFERROR(TableWeeklySummary[[#This Row],[Utilidad bruta]]/TableWeeklySummary[[#This Row],[Ventas netas con costo registrado]],0)</f>
        <v>0</v>
      </c>
    </row>
    <row r="338" spans="2:38" x14ac:dyDescent="0.2">
      <c r="B338" s="16">
        <f ca="1">_xlfn.ISOWEEKNUM(TableWeeklySummary[[#This Row],[Hasta]])</f>
        <v>11</v>
      </c>
      <c r="C338" s="6">
        <f t="shared" ca="1" si="7"/>
        <v>48278</v>
      </c>
      <c r="D338" s="6">
        <f ca="1">TableWeeklySummary[[#This Row],[Desde]]+7-1</f>
        <v>48284</v>
      </c>
      <c r="E338" s="12">
        <f ca="1">SUMIFS(TableDailySummary[Ventas netas totales],TableDailySummary[Fecha],"&gt;="&amp;TableWeeklySummary[[#This Row],[Desde]],TableDailySummary[Fecha],"&lt;="&amp;TableWeeklySummary[[#This Row],[Hasta]])</f>
        <v>0</v>
      </c>
      <c r="F338" s="12">
        <f ca="1">SUMIFS(TableDailySummary[Órdenes totales],TableDailySummary[Fecha],"&gt;="&amp;TableWeeklySummary[[#This Row],[Desde]],TableDailySummary[Fecha],"&lt;="&amp;TableWeeklySummary[[#This Row],[Hasta]])</f>
        <v>0</v>
      </c>
      <c r="G338" s="12">
        <f ca="1">IFERROR(TableWeeklySummary[[#This Row],[Ventas netas totales]]/TableWeeklySummary[[#This Row],[Órdenes totales]],0)</f>
        <v>0</v>
      </c>
      <c r="H33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38" s="12">
        <f ca="1">TableWeeklySummary[[#This Row],[Órden promedio totales]]*TableWeeklySummary[[#This Row],[CR totales]]</f>
        <v>0</v>
      </c>
      <c r="J338" s="12">
        <f ca="1">SUMIFS(TableDailySummary[Ventas primer cliente],TableDailySummary[Fecha],"&gt;="&amp;TableWeeklySummary[[#This Row],[Desde]],TableDailySummary[Fecha],"&lt;="&amp;TableWeeklySummary[[#This Row],[Hasta]])</f>
        <v>0</v>
      </c>
      <c r="K338" s="12">
        <f ca="1">SUMIFS(TableDailySummary[Órdenes primer cliente],TableDailySummary[Fecha],"&gt;="&amp;TableWeeklySummary[[#This Row],[Desde]],TableDailySummary[Fecha],"&lt;="&amp;TableWeeklySummary[[#This Row],[Hasta]])</f>
        <v>0</v>
      </c>
      <c r="L338" s="12">
        <f ca="1">SUMIFS(TableDailySummary[Online Store_net_sales],TableDailySummary[Fecha],"&gt;="&amp;TableWeeklySummary[[#This Row],[Desde]],TableDailySummary[Fecha],"&lt;="&amp;TableWeeklySummary[[#This Row],[Hasta]])</f>
        <v>0</v>
      </c>
      <c r="M338" s="12">
        <f ca="1">SUMIFS(TableDailySummary[Online Store_orders],TableDailySummary[Fecha],"&gt;="&amp;TableWeeklySummary[[#This Row],[Desde]],TableDailySummary[Fecha],"&lt;="&amp;TableWeeklySummary[[#This Row],[Hasta]])</f>
        <v>0</v>
      </c>
      <c r="N338" s="12">
        <f ca="1">SUMIFS(TableDailySummary[Tienda 81_net_sales],TableDailySummary[Fecha],"&gt;="&amp;TableWeeklySummary[[#This Row],[Desde]],TableDailySummary[Fecha],"&lt;="&amp;TableWeeklySummary[[#This Row],[Hasta]])</f>
        <v>0</v>
      </c>
      <c r="O338" s="12">
        <f ca="1">SUMIFS(TableDailySummary[Tienda 81_orders],TableDailySummary[Fecha],"&gt;="&amp;TableWeeklySummary[[#This Row],[Desde]],TableDailySummary[Fecha],"&lt;="&amp;TableWeeklySummary[[#This Row],[Hasta]])</f>
        <v>0</v>
      </c>
      <c r="P338" s="12">
        <f ca="1">SUMIFS(TableDailySummary[Rappi_net_sales],TableDailySummary[Fecha],"&gt;="&amp;TableWeeklySummary[[#This Row],[Desde]],TableDailySummary[Fecha],"&lt;="&amp;TableWeeklySummary[[#This Row],[Hasta]])</f>
        <v>0</v>
      </c>
      <c r="Q338" s="12">
        <f ca="1">SUMIFS(TableDailySummary[Rappi_orders],TableDailySummary[Fecha],"&gt;="&amp;TableWeeklySummary[[#This Row],[Desde]],TableDailySummary[Fecha],"&lt;="&amp;TableWeeklySummary[[#This Row],[Hasta]])</f>
        <v>0</v>
      </c>
      <c r="R33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3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38" s="12">
        <f ca="1">SUMIFS(TableDailySummary[Inversión google ads],TableDailySummary[Fecha],"&gt;="&amp;TableWeeklySummary[[#This Row],[Desde]],TableDailySummary[Fecha],"&lt;="&amp;TableWeeklySummary[[#This Row],[Hasta]])</f>
        <v>0</v>
      </c>
      <c r="U338" s="12">
        <f ca="1">SUMIFS(TableDailySummary[Ventas google ads],TableDailySummary[Fecha],"&gt;="&amp;TableWeeklySummary[[#This Row],[Desde]],TableDailySummary[Fecha],"&lt;="&amp;TableWeeklySummary[[#This Row],[Hasta]])</f>
        <v>0</v>
      </c>
      <c r="V338" s="12">
        <f ca="1">SUMIFS(TableDailySummary[Inversión meta ads],TableDailySummary[Fecha],"&gt;="&amp;TableWeeklySummary[[#This Row],[Desde]],TableDailySummary[Fecha],"&lt;="&amp;TableWeeklySummary[[#This Row],[Hasta]])</f>
        <v>0</v>
      </c>
      <c r="W338" s="12">
        <f ca="1">SUMIFS(TableDailySummary[Ventas meta ads],TableDailySummary[Fecha],"&gt;="&amp;TableWeeklySummary[[#This Row],[Desde]],TableDailySummary[Fecha],"&lt;="&amp;TableWeeklySummary[[#This Row],[Hasta]])</f>
        <v>0</v>
      </c>
      <c r="X338" s="12">
        <f ca="1">TableWeeklySummary[[#This Row],[Inversión google ads]]+TableWeeklySummary[[#This Row],[Inversión meta ads]]</f>
        <v>0</v>
      </c>
      <c r="Y338" s="12">
        <f ca="1">TableWeeklySummary[[#This Row],[Ventas google ads]]+TableWeeklySummary[[#This Row],[Ventas meta ads]]</f>
        <v>0</v>
      </c>
      <c r="Z338" s="14">
        <f ca="1">IFERROR(TableWeeklySummary[[#This Row],[Ventas publicidad]]/TableWeeklySummary[[#This Row],[Inversión publicidad]],0)</f>
        <v>0</v>
      </c>
      <c r="AA338" s="14">
        <f ca="1">IFERROR(TableWeeklySummary[[#This Row],[Ventas primer cliente]]/TableWeeklySummary[[#This Row],[Inversión publicidad]],0)</f>
        <v>0</v>
      </c>
      <c r="AB338" s="14"/>
      <c r="AC338" s="12"/>
      <c r="AI33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3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38" s="12">
        <f ca="1">SUMIFS(TableDailySummary[Utilidad bruta],TableDailySummary[Fecha],"&gt;="&amp;TableWeeklySummary[[#This Row],[Desde]],TableDailySummary[Fecha],"&lt;="&amp;TableWeeklySummary[[#This Row],[Hasta]])</f>
        <v>0</v>
      </c>
      <c r="AL338" s="18">
        <f ca="1">IFERROR(TableWeeklySummary[[#This Row],[Utilidad bruta]]/TableWeeklySummary[[#This Row],[Ventas netas con costo registrado]],0)</f>
        <v>0</v>
      </c>
    </row>
    <row r="339" spans="2:38" x14ac:dyDescent="0.2">
      <c r="B339" s="16">
        <f ca="1">_xlfn.ISOWEEKNUM(TableWeeklySummary[[#This Row],[Hasta]])</f>
        <v>12</v>
      </c>
      <c r="C339" s="6">
        <f t="shared" ca="1" si="7"/>
        <v>48285</v>
      </c>
      <c r="D339" s="6">
        <f ca="1">TableWeeklySummary[[#This Row],[Desde]]+7-1</f>
        <v>48291</v>
      </c>
      <c r="E339" s="12">
        <f ca="1">SUMIFS(TableDailySummary[Ventas netas totales],TableDailySummary[Fecha],"&gt;="&amp;TableWeeklySummary[[#This Row],[Desde]],TableDailySummary[Fecha],"&lt;="&amp;TableWeeklySummary[[#This Row],[Hasta]])</f>
        <v>0</v>
      </c>
      <c r="F339" s="12">
        <f ca="1">SUMIFS(TableDailySummary[Órdenes totales],TableDailySummary[Fecha],"&gt;="&amp;TableWeeklySummary[[#This Row],[Desde]],TableDailySummary[Fecha],"&lt;="&amp;TableWeeklySummary[[#This Row],[Hasta]])</f>
        <v>0</v>
      </c>
      <c r="G339" s="12">
        <f ca="1">IFERROR(TableWeeklySummary[[#This Row],[Ventas netas totales]]/TableWeeklySummary[[#This Row],[Órdenes totales]],0)</f>
        <v>0</v>
      </c>
      <c r="H33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39" s="12">
        <f ca="1">TableWeeklySummary[[#This Row],[Órden promedio totales]]*TableWeeklySummary[[#This Row],[CR totales]]</f>
        <v>0</v>
      </c>
      <c r="J339" s="12">
        <f ca="1">SUMIFS(TableDailySummary[Ventas primer cliente],TableDailySummary[Fecha],"&gt;="&amp;TableWeeklySummary[[#This Row],[Desde]],TableDailySummary[Fecha],"&lt;="&amp;TableWeeklySummary[[#This Row],[Hasta]])</f>
        <v>0</v>
      </c>
      <c r="K339" s="12">
        <f ca="1">SUMIFS(TableDailySummary[Órdenes primer cliente],TableDailySummary[Fecha],"&gt;="&amp;TableWeeklySummary[[#This Row],[Desde]],TableDailySummary[Fecha],"&lt;="&amp;TableWeeklySummary[[#This Row],[Hasta]])</f>
        <v>0</v>
      </c>
      <c r="L339" s="12">
        <f ca="1">SUMIFS(TableDailySummary[Online Store_net_sales],TableDailySummary[Fecha],"&gt;="&amp;TableWeeklySummary[[#This Row],[Desde]],TableDailySummary[Fecha],"&lt;="&amp;TableWeeklySummary[[#This Row],[Hasta]])</f>
        <v>0</v>
      </c>
      <c r="M339" s="12">
        <f ca="1">SUMIFS(TableDailySummary[Online Store_orders],TableDailySummary[Fecha],"&gt;="&amp;TableWeeklySummary[[#This Row],[Desde]],TableDailySummary[Fecha],"&lt;="&amp;TableWeeklySummary[[#This Row],[Hasta]])</f>
        <v>0</v>
      </c>
      <c r="N339" s="12">
        <f ca="1">SUMIFS(TableDailySummary[Tienda 81_net_sales],TableDailySummary[Fecha],"&gt;="&amp;TableWeeklySummary[[#This Row],[Desde]],TableDailySummary[Fecha],"&lt;="&amp;TableWeeklySummary[[#This Row],[Hasta]])</f>
        <v>0</v>
      </c>
      <c r="O339" s="12">
        <f ca="1">SUMIFS(TableDailySummary[Tienda 81_orders],TableDailySummary[Fecha],"&gt;="&amp;TableWeeklySummary[[#This Row],[Desde]],TableDailySummary[Fecha],"&lt;="&amp;TableWeeklySummary[[#This Row],[Hasta]])</f>
        <v>0</v>
      </c>
      <c r="P339" s="12">
        <f ca="1">SUMIFS(TableDailySummary[Rappi_net_sales],TableDailySummary[Fecha],"&gt;="&amp;TableWeeklySummary[[#This Row],[Desde]],TableDailySummary[Fecha],"&lt;="&amp;TableWeeklySummary[[#This Row],[Hasta]])</f>
        <v>0</v>
      </c>
      <c r="Q339" s="12">
        <f ca="1">SUMIFS(TableDailySummary[Rappi_orders],TableDailySummary[Fecha],"&gt;="&amp;TableWeeklySummary[[#This Row],[Desde]],TableDailySummary[Fecha],"&lt;="&amp;TableWeeklySummary[[#This Row],[Hasta]])</f>
        <v>0</v>
      </c>
      <c r="R33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3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39" s="12">
        <f ca="1">SUMIFS(TableDailySummary[Inversión google ads],TableDailySummary[Fecha],"&gt;="&amp;TableWeeklySummary[[#This Row],[Desde]],TableDailySummary[Fecha],"&lt;="&amp;TableWeeklySummary[[#This Row],[Hasta]])</f>
        <v>0</v>
      </c>
      <c r="U339" s="12">
        <f ca="1">SUMIFS(TableDailySummary[Ventas google ads],TableDailySummary[Fecha],"&gt;="&amp;TableWeeklySummary[[#This Row],[Desde]],TableDailySummary[Fecha],"&lt;="&amp;TableWeeklySummary[[#This Row],[Hasta]])</f>
        <v>0</v>
      </c>
      <c r="V339" s="12">
        <f ca="1">SUMIFS(TableDailySummary[Inversión meta ads],TableDailySummary[Fecha],"&gt;="&amp;TableWeeklySummary[[#This Row],[Desde]],TableDailySummary[Fecha],"&lt;="&amp;TableWeeklySummary[[#This Row],[Hasta]])</f>
        <v>0</v>
      </c>
      <c r="W339" s="12">
        <f ca="1">SUMIFS(TableDailySummary[Ventas meta ads],TableDailySummary[Fecha],"&gt;="&amp;TableWeeklySummary[[#This Row],[Desde]],TableDailySummary[Fecha],"&lt;="&amp;TableWeeklySummary[[#This Row],[Hasta]])</f>
        <v>0</v>
      </c>
      <c r="X339" s="12">
        <f ca="1">TableWeeklySummary[[#This Row],[Inversión google ads]]+TableWeeklySummary[[#This Row],[Inversión meta ads]]</f>
        <v>0</v>
      </c>
      <c r="Y339" s="12">
        <f ca="1">TableWeeklySummary[[#This Row],[Ventas google ads]]+TableWeeklySummary[[#This Row],[Ventas meta ads]]</f>
        <v>0</v>
      </c>
      <c r="Z339" s="14">
        <f ca="1">IFERROR(TableWeeklySummary[[#This Row],[Ventas publicidad]]/TableWeeklySummary[[#This Row],[Inversión publicidad]],0)</f>
        <v>0</v>
      </c>
      <c r="AA339" s="14">
        <f ca="1">IFERROR(TableWeeklySummary[[#This Row],[Ventas primer cliente]]/TableWeeklySummary[[#This Row],[Inversión publicidad]],0)</f>
        <v>0</v>
      </c>
      <c r="AB339" s="14"/>
      <c r="AC339" s="12"/>
      <c r="AI33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3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39" s="12">
        <f ca="1">SUMIFS(TableDailySummary[Utilidad bruta],TableDailySummary[Fecha],"&gt;="&amp;TableWeeklySummary[[#This Row],[Desde]],TableDailySummary[Fecha],"&lt;="&amp;TableWeeklySummary[[#This Row],[Hasta]])</f>
        <v>0</v>
      </c>
      <c r="AL339" s="18">
        <f ca="1">IFERROR(TableWeeklySummary[[#This Row],[Utilidad bruta]]/TableWeeklySummary[[#This Row],[Ventas netas con costo registrado]],0)</f>
        <v>0</v>
      </c>
    </row>
    <row r="340" spans="2:38" x14ac:dyDescent="0.2">
      <c r="B340" s="16">
        <f ca="1">_xlfn.ISOWEEKNUM(TableWeeklySummary[[#This Row],[Hasta]])</f>
        <v>13</v>
      </c>
      <c r="C340" s="6">
        <f t="shared" ca="1" si="7"/>
        <v>48292</v>
      </c>
      <c r="D340" s="6">
        <f ca="1">TableWeeklySummary[[#This Row],[Desde]]+7-1</f>
        <v>48298</v>
      </c>
      <c r="E340" s="12">
        <f ca="1">SUMIFS(TableDailySummary[Ventas netas totales],TableDailySummary[Fecha],"&gt;="&amp;TableWeeklySummary[[#This Row],[Desde]],TableDailySummary[Fecha],"&lt;="&amp;TableWeeklySummary[[#This Row],[Hasta]])</f>
        <v>0</v>
      </c>
      <c r="F340" s="12">
        <f ca="1">SUMIFS(TableDailySummary[Órdenes totales],TableDailySummary[Fecha],"&gt;="&amp;TableWeeklySummary[[#This Row],[Desde]],TableDailySummary[Fecha],"&lt;="&amp;TableWeeklySummary[[#This Row],[Hasta]])</f>
        <v>0</v>
      </c>
      <c r="G340" s="12">
        <f ca="1">IFERROR(TableWeeklySummary[[#This Row],[Ventas netas totales]]/TableWeeklySummary[[#This Row],[Órdenes totales]],0)</f>
        <v>0</v>
      </c>
      <c r="H34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40" s="12">
        <f ca="1">TableWeeklySummary[[#This Row],[Órden promedio totales]]*TableWeeklySummary[[#This Row],[CR totales]]</f>
        <v>0</v>
      </c>
      <c r="J340" s="12">
        <f ca="1">SUMIFS(TableDailySummary[Ventas primer cliente],TableDailySummary[Fecha],"&gt;="&amp;TableWeeklySummary[[#This Row],[Desde]],TableDailySummary[Fecha],"&lt;="&amp;TableWeeklySummary[[#This Row],[Hasta]])</f>
        <v>0</v>
      </c>
      <c r="K340" s="12">
        <f ca="1">SUMIFS(TableDailySummary[Órdenes primer cliente],TableDailySummary[Fecha],"&gt;="&amp;TableWeeklySummary[[#This Row],[Desde]],TableDailySummary[Fecha],"&lt;="&amp;TableWeeklySummary[[#This Row],[Hasta]])</f>
        <v>0</v>
      </c>
      <c r="L340" s="12">
        <f ca="1">SUMIFS(TableDailySummary[Online Store_net_sales],TableDailySummary[Fecha],"&gt;="&amp;TableWeeklySummary[[#This Row],[Desde]],TableDailySummary[Fecha],"&lt;="&amp;TableWeeklySummary[[#This Row],[Hasta]])</f>
        <v>0</v>
      </c>
      <c r="M340" s="12">
        <f ca="1">SUMIFS(TableDailySummary[Online Store_orders],TableDailySummary[Fecha],"&gt;="&amp;TableWeeklySummary[[#This Row],[Desde]],TableDailySummary[Fecha],"&lt;="&amp;TableWeeklySummary[[#This Row],[Hasta]])</f>
        <v>0</v>
      </c>
      <c r="N340" s="12">
        <f ca="1">SUMIFS(TableDailySummary[Tienda 81_net_sales],TableDailySummary[Fecha],"&gt;="&amp;TableWeeklySummary[[#This Row],[Desde]],TableDailySummary[Fecha],"&lt;="&amp;TableWeeklySummary[[#This Row],[Hasta]])</f>
        <v>0</v>
      </c>
      <c r="O340" s="12">
        <f ca="1">SUMIFS(TableDailySummary[Tienda 81_orders],TableDailySummary[Fecha],"&gt;="&amp;TableWeeklySummary[[#This Row],[Desde]],TableDailySummary[Fecha],"&lt;="&amp;TableWeeklySummary[[#This Row],[Hasta]])</f>
        <v>0</v>
      </c>
      <c r="P340" s="12">
        <f ca="1">SUMIFS(TableDailySummary[Rappi_net_sales],TableDailySummary[Fecha],"&gt;="&amp;TableWeeklySummary[[#This Row],[Desde]],TableDailySummary[Fecha],"&lt;="&amp;TableWeeklySummary[[#This Row],[Hasta]])</f>
        <v>0</v>
      </c>
      <c r="Q340" s="12">
        <f ca="1">SUMIFS(TableDailySummary[Rappi_orders],TableDailySummary[Fecha],"&gt;="&amp;TableWeeklySummary[[#This Row],[Desde]],TableDailySummary[Fecha],"&lt;="&amp;TableWeeklySummary[[#This Row],[Hasta]])</f>
        <v>0</v>
      </c>
      <c r="R34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4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40" s="12">
        <f ca="1">SUMIFS(TableDailySummary[Inversión google ads],TableDailySummary[Fecha],"&gt;="&amp;TableWeeklySummary[[#This Row],[Desde]],TableDailySummary[Fecha],"&lt;="&amp;TableWeeklySummary[[#This Row],[Hasta]])</f>
        <v>0</v>
      </c>
      <c r="U340" s="12">
        <f ca="1">SUMIFS(TableDailySummary[Ventas google ads],TableDailySummary[Fecha],"&gt;="&amp;TableWeeklySummary[[#This Row],[Desde]],TableDailySummary[Fecha],"&lt;="&amp;TableWeeklySummary[[#This Row],[Hasta]])</f>
        <v>0</v>
      </c>
      <c r="V340" s="12">
        <f ca="1">SUMIFS(TableDailySummary[Inversión meta ads],TableDailySummary[Fecha],"&gt;="&amp;TableWeeklySummary[[#This Row],[Desde]],TableDailySummary[Fecha],"&lt;="&amp;TableWeeklySummary[[#This Row],[Hasta]])</f>
        <v>0</v>
      </c>
      <c r="W340" s="12">
        <f ca="1">SUMIFS(TableDailySummary[Ventas meta ads],TableDailySummary[Fecha],"&gt;="&amp;TableWeeklySummary[[#This Row],[Desde]],TableDailySummary[Fecha],"&lt;="&amp;TableWeeklySummary[[#This Row],[Hasta]])</f>
        <v>0</v>
      </c>
      <c r="X340" s="12">
        <f ca="1">TableWeeklySummary[[#This Row],[Inversión google ads]]+TableWeeklySummary[[#This Row],[Inversión meta ads]]</f>
        <v>0</v>
      </c>
      <c r="Y340" s="12">
        <f ca="1">TableWeeklySummary[[#This Row],[Ventas google ads]]+TableWeeklySummary[[#This Row],[Ventas meta ads]]</f>
        <v>0</v>
      </c>
      <c r="Z340" s="14">
        <f ca="1">IFERROR(TableWeeklySummary[[#This Row],[Ventas publicidad]]/TableWeeklySummary[[#This Row],[Inversión publicidad]],0)</f>
        <v>0</v>
      </c>
      <c r="AA340" s="14">
        <f ca="1">IFERROR(TableWeeklySummary[[#This Row],[Ventas primer cliente]]/TableWeeklySummary[[#This Row],[Inversión publicidad]],0)</f>
        <v>0</v>
      </c>
      <c r="AB340" s="14"/>
      <c r="AC340" s="12"/>
      <c r="AI34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4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40" s="12">
        <f ca="1">SUMIFS(TableDailySummary[Utilidad bruta],TableDailySummary[Fecha],"&gt;="&amp;TableWeeklySummary[[#This Row],[Desde]],TableDailySummary[Fecha],"&lt;="&amp;TableWeeklySummary[[#This Row],[Hasta]])</f>
        <v>0</v>
      </c>
      <c r="AL340" s="18">
        <f ca="1">IFERROR(TableWeeklySummary[[#This Row],[Utilidad bruta]]/TableWeeklySummary[[#This Row],[Ventas netas con costo registrado]],0)</f>
        <v>0</v>
      </c>
    </row>
    <row r="341" spans="2:38" x14ac:dyDescent="0.2">
      <c r="B341" s="16">
        <f ca="1">_xlfn.ISOWEEKNUM(TableWeeklySummary[[#This Row],[Hasta]])</f>
        <v>14</v>
      </c>
      <c r="C341" s="6">
        <f t="shared" ca="1" si="7"/>
        <v>48299</v>
      </c>
      <c r="D341" s="6">
        <f ca="1">TableWeeklySummary[[#This Row],[Desde]]+7-1</f>
        <v>48305</v>
      </c>
      <c r="E341" s="12">
        <f ca="1">SUMIFS(TableDailySummary[Ventas netas totales],TableDailySummary[Fecha],"&gt;="&amp;TableWeeklySummary[[#This Row],[Desde]],TableDailySummary[Fecha],"&lt;="&amp;TableWeeklySummary[[#This Row],[Hasta]])</f>
        <v>0</v>
      </c>
      <c r="F341" s="12">
        <f ca="1">SUMIFS(TableDailySummary[Órdenes totales],TableDailySummary[Fecha],"&gt;="&amp;TableWeeklySummary[[#This Row],[Desde]],TableDailySummary[Fecha],"&lt;="&amp;TableWeeklySummary[[#This Row],[Hasta]])</f>
        <v>0</v>
      </c>
      <c r="G341" s="12">
        <f ca="1">IFERROR(TableWeeklySummary[[#This Row],[Ventas netas totales]]/TableWeeklySummary[[#This Row],[Órdenes totales]],0)</f>
        <v>0</v>
      </c>
      <c r="H34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41" s="12">
        <f ca="1">TableWeeklySummary[[#This Row],[Órden promedio totales]]*TableWeeklySummary[[#This Row],[CR totales]]</f>
        <v>0</v>
      </c>
      <c r="J341" s="12">
        <f ca="1">SUMIFS(TableDailySummary[Ventas primer cliente],TableDailySummary[Fecha],"&gt;="&amp;TableWeeklySummary[[#This Row],[Desde]],TableDailySummary[Fecha],"&lt;="&amp;TableWeeklySummary[[#This Row],[Hasta]])</f>
        <v>0</v>
      </c>
      <c r="K341" s="12">
        <f ca="1">SUMIFS(TableDailySummary[Órdenes primer cliente],TableDailySummary[Fecha],"&gt;="&amp;TableWeeklySummary[[#This Row],[Desde]],TableDailySummary[Fecha],"&lt;="&amp;TableWeeklySummary[[#This Row],[Hasta]])</f>
        <v>0</v>
      </c>
      <c r="L341" s="12">
        <f ca="1">SUMIFS(TableDailySummary[Online Store_net_sales],TableDailySummary[Fecha],"&gt;="&amp;TableWeeklySummary[[#This Row],[Desde]],TableDailySummary[Fecha],"&lt;="&amp;TableWeeklySummary[[#This Row],[Hasta]])</f>
        <v>0</v>
      </c>
      <c r="M341" s="12">
        <f ca="1">SUMIFS(TableDailySummary[Online Store_orders],TableDailySummary[Fecha],"&gt;="&amp;TableWeeklySummary[[#This Row],[Desde]],TableDailySummary[Fecha],"&lt;="&amp;TableWeeklySummary[[#This Row],[Hasta]])</f>
        <v>0</v>
      </c>
      <c r="N341" s="12">
        <f ca="1">SUMIFS(TableDailySummary[Tienda 81_net_sales],TableDailySummary[Fecha],"&gt;="&amp;TableWeeklySummary[[#This Row],[Desde]],TableDailySummary[Fecha],"&lt;="&amp;TableWeeklySummary[[#This Row],[Hasta]])</f>
        <v>0</v>
      </c>
      <c r="O341" s="12">
        <f ca="1">SUMIFS(TableDailySummary[Tienda 81_orders],TableDailySummary[Fecha],"&gt;="&amp;TableWeeklySummary[[#This Row],[Desde]],TableDailySummary[Fecha],"&lt;="&amp;TableWeeklySummary[[#This Row],[Hasta]])</f>
        <v>0</v>
      </c>
      <c r="P341" s="12">
        <f ca="1">SUMIFS(TableDailySummary[Rappi_net_sales],TableDailySummary[Fecha],"&gt;="&amp;TableWeeklySummary[[#This Row],[Desde]],TableDailySummary[Fecha],"&lt;="&amp;TableWeeklySummary[[#This Row],[Hasta]])</f>
        <v>0</v>
      </c>
      <c r="Q341" s="12">
        <f ca="1">SUMIFS(TableDailySummary[Rappi_orders],TableDailySummary[Fecha],"&gt;="&amp;TableWeeklySummary[[#This Row],[Desde]],TableDailySummary[Fecha],"&lt;="&amp;TableWeeklySummary[[#This Row],[Hasta]])</f>
        <v>0</v>
      </c>
      <c r="R34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4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41" s="12">
        <f ca="1">SUMIFS(TableDailySummary[Inversión google ads],TableDailySummary[Fecha],"&gt;="&amp;TableWeeklySummary[[#This Row],[Desde]],TableDailySummary[Fecha],"&lt;="&amp;TableWeeklySummary[[#This Row],[Hasta]])</f>
        <v>0</v>
      </c>
      <c r="U341" s="12">
        <f ca="1">SUMIFS(TableDailySummary[Ventas google ads],TableDailySummary[Fecha],"&gt;="&amp;TableWeeklySummary[[#This Row],[Desde]],TableDailySummary[Fecha],"&lt;="&amp;TableWeeklySummary[[#This Row],[Hasta]])</f>
        <v>0</v>
      </c>
      <c r="V341" s="12">
        <f ca="1">SUMIFS(TableDailySummary[Inversión meta ads],TableDailySummary[Fecha],"&gt;="&amp;TableWeeklySummary[[#This Row],[Desde]],TableDailySummary[Fecha],"&lt;="&amp;TableWeeklySummary[[#This Row],[Hasta]])</f>
        <v>0</v>
      </c>
      <c r="W341" s="12">
        <f ca="1">SUMIFS(TableDailySummary[Ventas meta ads],TableDailySummary[Fecha],"&gt;="&amp;TableWeeklySummary[[#This Row],[Desde]],TableDailySummary[Fecha],"&lt;="&amp;TableWeeklySummary[[#This Row],[Hasta]])</f>
        <v>0</v>
      </c>
      <c r="X341" s="12">
        <f ca="1">TableWeeklySummary[[#This Row],[Inversión google ads]]+TableWeeklySummary[[#This Row],[Inversión meta ads]]</f>
        <v>0</v>
      </c>
      <c r="Y341" s="12">
        <f ca="1">TableWeeklySummary[[#This Row],[Ventas google ads]]+TableWeeklySummary[[#This Row],[Ventas meta ads]]</f>
        <v>0</v>
      </c>
      <c r="Z341" s="14">
        <f ca="1">IFERROR(TableWeeklySummary[[#This Row],[Ventas publicidad]]/TableWeeklySummary[[#This Row],[Inversión publicidad]],0)</f>
        <v>0</v>
      </c>
      <c r="AA341" s="14">
        <f ca="1">IFERROR(TableWeeklySummary[[#This Row],[Ventas primer cliente]]/TableWeeklySummary[[#This Row],[Inversión publicidad]],0)</f>
        <v>0</v>
      </c>
      <c r="AB341" s="14"/>
      <c r="AC341" s="12"/>
      <c r="AI34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4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41" s="12">
        <f ca="1">SUMIFS(TableDailySummary[Utilidad bruta],TableDailySummary[Fecha],"&gt;="&amp;TableWeeklySummary[[#This Row],[Desde]],TableDailySummary[Fecha],"&lt;="&amp;TableWeeklySummary[[#This Row],[Hasta]])</f>
        <v>0</v>
      </c>
      <c r="AL341" s="18">
        <f ca="1">IFERROR(TableWeeklySummary[[#This Row],[Utilidad bruta]]/TableWeeklySummary[[#This Row],[Ventas netas con costo registrado]],0)</f>
        <v>0</v>
      </c>
    </row>
    <row r="342" spans="2:38" x14ac:dyDescent="0.2">
      <c r="B342" s="16">
        <f ca="1">_xlfn.ISOWEEKNUM(TableWeeklySummary[[#This Row],[Hasta]])</f>
        <v>15</v>
      </c>
      <c r="C342" s="6">
        <f t="shared" ca="1" si="7"/>
        <v>48306</v>
      </c>
      <c r="D342" s="6">
        <f ca="1">TableWeeklySummary[[#This Row],[Desde]]+7-1</f>
        <v>48312</v>
      </c>
      <c r="E342" s="12">
        <f ca="1">SUMIFS(TableDailySummary[Ventas netas totales],TableDailySummary[Fecha],"&gt;="&amp;TableWeeklySummary[[#This Row],[Desde]],TableDailySummary[Fecha],"&lt;="&amp;TableWeeklySummary[[#This Row],[Hasta]])</f>
        <v>0</v>
      </c>
      <c r="F342" s="12">
        <f ca="1">SUMIFS(TableDailySummary[Órdenes totales],TableDailySummary[Fecha],"&gt;="&amp;TableWeeklySummary[[#This Row],[Desde]],TableDailySummary[Fecha],"&lt;="&amp;TableWeeklySummary[[#This Row],[Hasta]])</f>
        <v>0</v>
      </c>
      <c r="G342" s="12">
        <f ca="1">IFERROR(TableWeeklySummary[[#This Row],[Ventas netas totales]]/TableWeeklySummary[[#This Row],[Órdenes totales]],0)</f>
        <v>0</v>
      </c>
      <c r="H34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42" s="12">
        <f ca="1">TableWeeklySummary[[#This Row],[Órden promedio totales]]*TableWeeklySummary[[#This Row],[CR totales]]</f>
        <v>0</v>
      </c>
      <c r="J342" s="12">
        <f ca="1">SUMIFS(TableDailySummary[Ventas primer cliente],TableDailySummary[Fecha],"&gt;="&amp;TableWeeklySummary[[#This Row],[Desde]],TableDailySummary[Fecha],"&lt;="&amp;TableWeeklySummary[[#This Row],[Hasta]])</f>
        <v>0</v>
      </c>
      <c r="K342" s="12">
        <f ca="1">SUMIFS(TableDailySummary[Órdenes primer cliente],TableDailySummary[Fecha],"&gt;="&amp;TableWeeklySummary[[#This Row],[Desde]],TableDailySummary[Fecha],"&lt;="&amp;TableWeeklySummary[[#This Row],[Hasta]])</f>
        <v>0</v>
      </c>
      <c r="L342" s="12">
        <f ca="1">SUMIFS(TableDailySummary[Online Store_net_sales],TableDailySummary[Fecha],"&gt;="&amp;TableWeeklySummary[[#This Row],[Desde]],TableDailySummary[Fecha],"&lt;="&amp;TableWeeklySummary[[#This Row],[Hasta]])</f>
        <v>0</v>
      </c>
      <c r="M342" s="12">
        <f ca="1">SUMIFS(TableDailySummary[Online Store_orders],TableDailySummary[Fecha],"&gt;="&amp;TableWeeklySummary[[#This Row],[Desde]],TableDailySummary[Fecha],"&lt;="&amp;TableWeeklySummary[[#This Row],[Hasta]])</f>
        <v>0</v>
      </c>
      <c r="N342" s="12">
        <f ca="1">SUMIFS(TableDailySummary[Tienda 81_net_sales],TableDailySummary[Fecha],"&gt;="&amp;TableWeeklySummary[[#This Row],[Desde]],TableDailySummary[Fecha],"&lt;="&amp;TableWeeklySummary[[#This Row],[Hasta]])</f>
        <v>0</v>
      </c>
      <c r="O342" s="12">
        <f ca="1">SUMIFS(TableDailySummary[Tienda 81_orders],TableDailySummary[Fecha],"&gt;="&amp;TableWeeklySummary[[#This Row],[Desde]],TableDailySummary[Fecha],"&lt;="&amp;TableWeeklySummary[[#This Row],[Hasta]])</f>
        <v>0</v>
      </c>
      <c r="P342" s="12">
        <f ca="1">SUMIFS(TableDailySummary[Rappi_net_sales],TableDailySummary[Fecha],"&gt;="&amp;TableWeeklySummary[[#This Row],[Desde]],TableDailySummary[Fecha],"&lt;="&amp;TableWeeklySummary[[#This Row],[Hasta]])</f>
        <v>0</v>
      </c>
      <c r="Q342" s="12">
        <f ca="1">SUMIFS(TableDailySummary[Rappi_orders],TableDailySummary[Fecha],"&gt;="&amp;TableWeeklySummary[[#This Row],[Desde]],TableDailySummary[Fecha],"&lt;="&amp;TableWeeklySummary[[#This Row],[Hasta]])</f>
        <v>0</v>
      </c>
      <c r="R34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4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42" s="12">
        <f ca="1">SUMIFS(TableDailySummary[Inversión google ads],TableDailySummary[Fecha],"&gt;="&amp;TableWeeklySummary[[#This Row],[Desde]],TableDailySummary[Fecha],"&lt;="&amp;TableWeeklySummary[[#This Row],[Hasta]])</f>
        <v>0</v>
      </c>
      <c r="U342" s="12">
        <f ca="1">SUMIFS(TableDailySummary[Ventas google ads],TableDailySummary[Fecha],"&gt;="&amp;TableWeeklySummary[[#This Row],[Desde]],TableDailySummary[Fecha],"&lt;="&amp;TableWeeklySummary[[#This Row],[Hasta]])</f>
        <v>0</v>
      </c>
      <c r="V342" s="12">
        <f ca="1">SUMIFS(TableDailySummary[Inversión meta ads],TableDailySummary[Fecha],"&gt;="&amp;TableWeeklySummary[[#This Row],[Desde]],TableDailySummary[Fecha],"&lt;="&amp;TableWeeklySummary[[#This Row],[Hasta]])</f>
        <v>0</v>
      </c>
      <c r="W342" s="12">
        <f ca="1">SUMIFS(TableDailySummary[Ventas meta ads],TableDailySummary[Fecha],"&gt;="&amp;TableWeeklySummary[[#This Row],[Desde]],TableDailySummary[Fecha],"&lt;="&amp;TableWeeklySummary[[#This Row],[Hasta]])</f>
        <v>0</v>
      </c>
      <c r="X342" s="12">
        <f ca="1">TableWeeklySummary[[#This Row],[Inversión google ads]]+TableWeeklySummary[[#This Row],[Inversión meta ads]]</f>
        <v>0</v>
      </c>
      <c r="Y342" s="12">
        <f ca="1">TableWeeklySummary[[#This Row],[Ventas google ads]]+TableWeeklySummary[[#This Row],[Ventas meta ads]]</f>
        <v>0</v>
      </c>
      <c r="Z342" s="14">
        <f ca="1">IFERROR(TableWeeklySummary[[#This Row],[Ventas publicidad]]/TableWeeklySummary[[#This Row],[Inversión publicidad]],0)</f>
        <v>0</v>
      </c>
      <c r="AA342" s="14">
        <f ca="1">IFERROR(TableWeeklySummary[[#This Row],[Ventas primer cliente]]/TableWeeklySummary[[#This Row],[Inversión publicidad]],0)</f>
        <v>0</v>
      </c>
      <c r="AB342" s="14"/>
      <c r="AC342" s="12"/>
      <c r="AI34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4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42" s="12">
        <f ca="1">SUMIFS(TableDailySummary[Utilidad bruta],TableDailySummary[Fecha],"&gt;="&amp;TableWeeklySummary[[#This Row],[Desde]],TableDailySummary[Fecha],"&lt;="&amp;TableWeeklySummary[[#This Row],[Hasta]])</f>
        <v>0</v>
      </c>
      <c r="AL342" s="18">
        <f ca="1">IFERROR(TableWeeklySummary[[#This Row],[Utilidad bruta]]/TableWeeklySummary[[#This Row],[Ventas netas con costo registrado]],0)</f>
        <v>0</v>
      </c>
    </row>
    <row r="343" spans="2:38" x14ac:dyDescent="0.2">
      <c r="B343" s="16">
        <f ca="1">_xlfn.ISOWEEKNUM(TableWeeklySummary[[#This Row],[Hasta]])</f>
        <v>16</v>
      </c>
      <c r="C343" s="6">
        <f t="shared" ca="1" si="7"/>
        <v>48313</v>
      </c>
      <c r="D343" s="6">
        <f ca="1">TableWeeklySummary[[#This Row],[Desde]]+7-1</f>
        <v>48319</v>
      </c>
      <c r="E343" s="12">
        <f ca="1">SUMIFS(TableDailySummary[Ventas netas totales],TableDailySummary[Fecha],"&gt;="&amp;TableWeeklySummary[[#This Row],[Desde]],TableDailySummary[Fecha],"&lt;="&amp;TableWeeklySummary[[#This Row],[Hasta]])</f>
        <v>0</v>
      </c>
      <c r="F343" s="12">
        <f ca="1">SUMIFS(TableDailySummary[Órdenes totales],TableDailySummary[Fecha],"&gt;="&amp;TableWeeklySummary[[#This Row],[Desde]],TableDailySummary[Fecha],"&lt;="&amp;TableWeeklySummary[[#This Row],[Hasta]])</f>
        <v>0</v>
      </c>
      <c r="G343" s="12">
        <f ca="1">IFERROR(TableWeeklySummary[[#This Row],[Ventas netas totales]]/TableWeeklySummary[[#This Row],[Órdenes totales]],0)</f>
        <v>0</v>
      </c>
      <c r="H34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43" s="12">
        <f ca="1">TableWeeklySummary[[#This Row],[Órden promedio totales]]*TableWeeklySummary[[#This Row],[CR totales]]</f>
        <v>0</v>
      </c>
      <c r="J343" s="12">
        <f ca="1">SUMIFS(TableDailySummary[Ventas primer cliente],TableDailySummary[Fecha],"&gt;="&amp;TableWeeklySummary[[#This Row],[Desde]],TableDailySummary[Fecha],"&lt;="&amp;TableWeeklySummary[[#This Row],[Hasta]])</f>
        <v>0</v>
      </c>
      <c r="K343" s="12">
        <f ca="1">SUMIFS(TableDailySummary[Órdenes primer cliente],TableDailySummary[Fecha],"&gt;="&amp;TableWeeklySummary[[#This Row],[Desde]],TableDailySummary[Fecha],"&lt;="&amp;TableWeeklySummary[[#This Row],[Hasta]])</f>
        <v>0</v>
      </c>
      <c r="L343" s="12">
        <f ca="1">SUMIFS(TableDailySummary[Online Store_net_sales],TableDailySummary[Fecha],"&gt;="&amp;TableWeeklySummary[[#This Row],[Desde]],TableDailySummary[Fecha],"&lt;="&amp;TableWeeklySummary[[#This Row],[Hasta]])</f>
        <v>0</v>
      </c>
      <c r="M343" s="12">
        <f ca="1">SUMIFS(TableDailySummary[Online Store_orders],TableDailySummary[Fecha],"&gt;="&amp;TableWeeklySummary[[#This Row],[Desde]],TableDailySummary[Fecha],"&lt;="&amp;TableWeeklySummary[[#This Row],[Hasta]])</f>
        <v>0</v>
      </c>
      <c r="N343" s="12">
        <f ca="1">SUMIFS(TableDailySummary[Tienda 81_net_sales],TableDailySummary[Fecha],"&gt;="&amp;TableWeeklySummary[[#This Row],[Desde]],TableDailySummary[Fecha],"&lt;="&amp;TableWeeklySummary[[#This Row],[Hasta]])</f>
        <v>0</v>
      </c>
      <c r="O343" s="12">
        <f ca="1">SUMIFS(TableDailySummary[Tienda 81_orders],TableDailySummary[Fecha],"&gt;="&amp;TableWeeklySummary[[#This Row],[Desde]],TableDailySummary[Fecha],"&lt;="&amp;TableWeeklySummary[[#This Row],[Hasta]])</f>
        <v>0</v>
      </c>
      <c r="P343" s="12">
        <f ca="1">SUMIFS(TableDailySummary[Rappi_net_sales],TableDailySummary[Fecha],"&gt;="&amp;TableWeeklySummary[[#This Row],[Desde]],TableDailySummary[Fecha],"&lt;="&amp;TableWeeklySummary[[#This Row],[Hasta]])</f>
        <v>0</v>
      </c>
      <c r="Q343" s="12">
        <f ca="1">SUMIFS(TableDailySummary[Rappi_orders],TableDailySummary[Fecha],"&gt;="&amp;TableWeeklySummary[[#This Row],[Desde]],TableDailySummary[Fecha],"&lt;="&amp;TableWeeklySummary[[#This Row],[Hasta]])</f>
        <v>0</v>
      </c>
      <c r="R34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4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43" s="12">
        <f ca="1">SUMIFS(TableDailySummary[Inversión google ads],TableDailySummary[Fecha],"&gt;="&amp;TableWeeklySummary[[#This Row],[Desde]],TableDailySummary[Fecha],"&lt;="&amp;TableWeeklySummary[[#This Row],[Hasta]])</f>
        <v>0</v>
      </c>
      <c r="U343" s="12">
        <f ca="1">SUMIFS(TableDailySummary[Ventas google ads],TableDailySummary[Fecha],"&gt;="&amp;TableWeeklySummary[[#This Row],[Desde]],TableDailySummary[Fecha],"&lt;="&amp;TableWeeklySummary[[#This Row],[Hasta]])</f>
        <v>0</v>
      </c>
      <c r="V343" s="12">
        <f ca="1">SUMIFS(TableDailySummary[Inversión meta ads],TableDailySummary[Fecha],"&gt;="&amp;TableWeeklySummary[[#This Row],[Desde]],TableDailySummary[Fecha],"&lt;="&amp;TableWeeklySummary[[#This Row],[Hasta]])</f>
        <v>0</v>
      </c>
      <c r="W343" s="12">
        <f ca="1">SUMIFS(TableDailySummary[Ventas meta ads],TableDailySummary[Fecha],"&gt;="&amp;TableWeeklySummary[[#This Row],[Desde]],TableDailySummary[Fecha],"&lt;="&amp;TableWeeklySummary[[#This Row],[Hasta]])</f>
        <v>0</v>
      </c>
      <c r="X343" s="12">
        <f ca="1">TableWeeklySummary[[#This Row],[Inversión google ads]]+TableWeeklySummary[[#This Row],[Inversión meta ads]]</f>
        <v>0</v>
      </c>
      <c r="Y343" s="12">
        <f ca="1">TableWeeklySummary[[#This Row],[Ventas google ads]]+TableWeeklySummary[[#This Row],[Ventas meta ads]]</f>
        <v>0</v>
      </c>
      <c r="Z343" s="14">
        <f ca="1">IFERROR(TableWeeklySummary[[#This Row],[Ventas publicidad]]/TableWeeklySummary[[#This Row],[Inversión publicidad]],0)</f>
        <v>0</v>
      </c>
      <c r="AA343" s="14">
        <f ca="1">IFERROR(TableWeeklySummary[[#This Row],[Ventas primer cliente]]/TableWeeklySummary[[#This Row],[Inversión publicidad]],0)</f>
        <v>0</v>
      </c>
      <c r="AB343" s="14"/>
      <c r="AC343" s="12"/>
      <c r="AI34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4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43" s="12">
        <f ca="1">SUMIFS(TableDailySummary[Utilidad bruta],TableDailySummary[Fecha],"&gt;="&amp;TableWeeklySummary[[#This Row],[Desde]],TableDailySummary[Fecha],"&lt;="&amp;TableWeeklySummary[[#This Row],[Hasta]])</f>
        <v>0</v>
      </c>
      <c r="AL343" s="18">
        <f ca="1">IFERROR(TableWeeklySummary[[#This Row],[Utilidad bruta]]/TableWeeklySummary[[#This Row],[Ventas netas con costo registrado]],0)</f>
        <v>0</v>
      </c>
    </row>
    <row r="344" spans="2:38" x14ac:dyDescent="0.2">
      <c r="B344" s="16">
        <f ca="1">_xlfn.ISOWEEKNUM(TableWeeklySummary[[#This Row],[Hasta]])</f>
        <v>17</v>
      </c>
      <c r="C344" s="6">
        <f t="shared" ca="1" si="7"/>
        <v>48320</v>
      </c>
      <c r="D344" s="6">
        <f ca="1">TableWeeklySummary[[#This Row],[Desde]]+7-1</f>
        <v>48326</v>
      </c>
      <c r="E344" s="12">
        <f ca="1">SUMIFS(TableDailySummary[Ventas netas totales],TableDailySummary[Fecha],"&gt;="&amp;TableWeeklySummary[[#This Row],[Desde]],TableDailySummary[Fecha],"&lt;="&amp;TableWeeklySummary[[#This Row],[Hasta]])</f>
        <v>0</v>
      </c>
      <c r="F344" s="12">
        <f ca="1">SUMIFS(TableDailySummary[Órdenes totales],TableDailySummary[Fecha],"&gt;="&amp;TableWeeklySummary[[#This Row],[Desde]],TableDailySummary[Fecha],"&lt;="&amp;TableWeeklySummary[[#This Row],[Hasta]])</f>
        <v>0</v>
      </c>
      <c r="G344" s="12">
        <f ca="1">IFERROR(TableWeeklySummary[[#This Row],[Ventas netas totales]]/TableWeeklySummary[[#This Row],[Órdenes totales]],0)</f>
        <v>0</v>
      </c>
      <c r="H34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44" s="12">
        <f ca="1">TableWeeklySummary[[#This Row],[Órden promedio totales]]*TableWeeklySummary[[#This Row],[CR totales]]</f>
        <v>0</v>
      </c>
      <c r="J344" s="12">
        <f ca="1">SUMIFS(TableDailySummary[Ventas primer cliente],TableDailySummary[Fecha],"&gt;="&amp;TableWeeklySummary[[#This Row],[Desde]],TableDailySummary[Fecha],"&lt;="&amp;TableWeeklySummary[[#This Row],[Hasta]])</f>
        <v>0</v>
      </c>
      <c r="K344" s="12">
        <f ca="1">SUMIFS(TableDailySummary[Órdenes primer cliente],TableDailySummary[Fecha],"&gt;="&amp;TableWeeklySummary[[#This Row],[Desde]],TableDailySummary[Fecha],"&lt;="&amp;TableWeeklySummary[[#This Row],[Hasta]])</f>
        <v>0</v>
      </c>
      <c r="L344" s="12">
        <f ca="1">SUMIFS(TableDailySummary[Online Store_net_sales],TableDailySummary[Fecha],"&gt;="&amp;TableWeeklySummary[[#This Row],[Desde]],TableDailySummary[Fecha],"&lt;="&amp;TableWeeklySummary[[#This Row],[Hasta]])</f>
        <v>0</v>
      </c>
      <c r="M344" s="12">
        <f ca="1">SUMIFS(TableDailySummary[Online Store_orders],TableDailySummary[Fecha],"&gt;="&amp;TableWeeklySummary[[#This Row],[Desde]],TableDailySummary[Fecha],"&lt;="&amp;TableWeeklySummary[[#This Row],[Hasta]])</f>
        <v>0</v>
      </c>
      <c r="N344" s="12">
        <f ca="1">SUMIFS(TableDailySummary[Tienda 81_net_sales],TableDailySummary[Fecha],"&gt;="&amp;TableWeeklySummary[[#This Row],[Desde]],TableDailySummary[Fecha],"&lt;="&amp;TableWeeklySummary[[#This Row],[Hasta]])</f>
        <v>0</v>
      </c>
      <c r="O344" s="12">
        <f ca="1">SUMIFS(TableDailySummary[Tienda 81_orders],TableDailySummary[Fecha],"&gt;="&amp;TableWeeklySummary[[#This Row],[Desde]],TableDailySummary[Fecha],"&lt;="&amp;TableWeeklySummary[[#This Row],[Hasta]])</f>
        <v>0</v>
      </c>
      <c r="P344" s="12">
        <f ca="1">SUMIFS(TableDailySummary[Rappi_net_sales],TableDailySummary[Fecha],"&gt;="&amp;TableWeeklySummary[[#This Row],[Desde]],TableDailySummary[Fecha],"&lt;="&amp;TableWeeklySummary[[#This Row],[Hasta]])</f>
        <v>0</v>
      </c>
      <c r="Q344" s="12">
        <f ca="1">SUMIFS(TableDailySummary[Rappi_orders],TableDailySummary[Fecha],"&gt;="&amp;TableWeeklySummary[[#This Row],[Desde]],TableDailySummary[Fecha],"&lt;="&amp;TableWeeklySummary[[#This Row],[Hasta]])</f>
        <v>0</v>
      </c>
      <c r="R34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4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44" s="12">
        <f ca="1">SUMIFS(TableDailySummary[Inversión google ads],TableDailySummary[Fecha],"&gt;="&amp;TableWeeklySummary[[#This Row],[Desde]],TableDailySummary[Fecha],"&lt;="&amp;TableWeeklySummary[[#This Row],[Hasta]])</f>
        <v>0</v>
      </c>
      <c r="U344" s="12">
        <f ca="1">SUMIFS(TableDailySummary[Ventas google ads],TableDailySummary[Fecha],"&gt;="&amp;TableWeeklySummary[[#This Row],[Desde]],TableDailySummary[Fecha],"&lt;="&amp;TableWeeklySummary[[#This Row],[Hasta]])</f>
        <v>0</v>
      </c>
      <c r="V344" s="12">
        <f ca="1">SUMIFS(TableDailySummary[Inversión meta ads],TableDailySummary[Fecha],"&gt;="&amp;TableWeeklySummary[[#This Row],[Desde]],TableDailySummary[Fecha],"&lt;="&amp;TableWeeklySummary[[#This Row],[Hasta]])</f>
        <v>0</v>
      </c>
      <c r="W344" s="12">
        <f ca="1">SUMIFS(TableDailySummary[Ventas meta ads],TableDailySummary[Fecha],"&gt;="&amp;TableWeeklySummary[[#This Row],[Desde]],TableDailySummary[Fecha],"&lt;="&amp;TableWeeklySummary[[#This Row],[Hasta]])</f>
        <v>0</v>
      </c>
      <c r="X344" s="12">
        <f ca="1">TableWeeklySummary[[#This Row],[Inversión google ads]]+TableWeeklySummary[[#This Row],[Inversión meta ads]]</f>
        <v>0</v>
      </c>
      <c r="Y344" s="12">
        <f ca="1">TableWeeklySummary[[#This Row],[Ventas google ads]]+TableWeeklySummary[[#This Row],[Ventas meta ads]]</f>
        <v>0</v>
      </c>
      <c r="Z344" s="14">
        <f ca="1">IFERROR(TableWeeklySummary[[#This Row],[Ventas publicidad]]/TableWeeklySummary[[#This Row],[Inversión publicidad]],0)</f>
        <v>0</v>
      </c>
      <c r="AA344" s="14">
        <f ca="1">IFERROR(TableWeeklySummary[[#This Row],[Ventas primer cliente]]/TableWeeklySummary[[#This Row],[Inversión publicidad]],0)</f>
        <v>0</v>
      </c>
      <c r="AB344" s="14"/>
      <c r="AC344" s="12"/>
      <c r="AI34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4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44" s="12">
        <f ca="1">SUMIFS(TableDailySummary[Utilidad bruta],TableDailySummary[Fecha],"&gt;="&amp;TableWeeklySummary[[#This Row],[Desde]],TableDailySummary[Fecha],"&lt;="&amp;TableWeeklySummary[[#This Row],[Hasta]])</f>
        <v>0</v>
      </c>
      <c r="AL344" s="18">
        <f ca="1">IFERROR(TableWeeklySummary[[#This Row],[Utilidad bruta]]/TableWeeklySummary[[#This Row],[Ventas netas con costo registrado]],0)</f>
        <v>0</v>
      </c>
    </row>
    <row r="345" spans="2:38" x14ac:dyDescent="0.2">
      <c r="B345" s="16">
        <f ca="1">_xlfn.ISOWEEKNUM(TableWeeklySummary[[#This Row],[Hasta]])</f>
        <v>18</v>
      </c>
      <c r="C345" s="6">
        <f t="shared" ca="1" si="7"/>
        <v>48327</v>
      </c>
      <c r="D345" s="6">
        <f ca="1">TableWeeklySummary[[#This Row],[Desde]]+7-1</f>
        <v>48333</v>
      </c>
      <c r="E345" s="12">
        <f ca="1">SUMIFS(TableDailySummary[Ventas netas totales],TableDailySummary[Fecha],"&gt;="&amp;TableWeeklySummary[[#This Row],[Desde]],TableDailySummary[Fecha],"&lt;="&amp;TableWeeklySummary[[#This Row],[Hasta]])</f>
        <v>0</v>
      </c>
      <c r="F345" s="12">
        <f ca="1">SUMIFS(TableDailySummary[Órdenes totales],TableDailySummary[Fecha],"&gt;="&amp;TableWeeklySummary[[#This Row],[Desde]],TableDailySummary[Fecha],"&lt;="&amp;TableWeeklySummary[[#This Row],[Hasta]])</f>
        <v>0</v>
      </c>
      <c r="G345" s="12">
        <f ca="1">IFERROR(TableWeeklySummary[[#This Row],[Ventas netas totales]]/TableWeeklySummary[[#This Row],[Órdenes totales]],0)</f>
        <v>0</v>
      </c>
      <c r="H34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45" s="12">
        <f ca="1">TableWeeklySummary[[#This Row],[Órden promedio totales]]*TableWeeklySummary[[#This Row],[CR totales]]</f>
        <v>0</v>
      </c>
      <c r="J345" s="12">
        <f ca="1">SUMIFS(TableDailySummary[Ventas primer cliente],TableDailySummary[Fecha],"&gt;="&amp;TableWeeklySummary[[#This Row],[Desde]],TableDailySummary[Fecha],"&lt;="&amp;TableWeeklySummary[[#This Row],[Hasta]])</f>
        <v>0</v>
      </c>
      <c r="K345" s="12">
        <f ca="1">SUMIFS(TableDailySummary[Órdenes primer cliente],TableDailySummary[Fecha],"&gt;="&amp;TableWeeklySummary[[#This Row],[Desde]],TableDailySummary[Fecha],"&lt;="&amp;TableWeeklySummary[[#This Row],[Hasta]])</f>
        <v>0</v>
      </c>
      <c r="L345" s="12">
        <f ca="1">SUMIFS(TableDailySummary[Online Store_net_sales],TableDailySummary[Fecha],"&gt;="&amp;TableWeeklySummary[[#This Row],[Desde]],TableDailySummary[Fecha],"&lt;="&amp;TableWeeklySummary[[#This Row],[Hasta]])</f>
        <v>0</v>
      </c>
      <c r="M345" s="12">
        <f ca="1">SUMIFS(TableDailySummary[Online Store_orders],TableDailySummary[Fecha],"&gt;="&amp;TableWeeklySummary[[#This Row],[Desde]],TableDailySummary[Fecha],"&lt;="&amp;TableWeeklySummary[[#This Row],[Hasta]])</f>
        <v>0</v>
      </c>
      <c r="N345" s="12">
        <f ca="1">SUMIFS(TableDailySummary[Tienda 81_net_sales],TableDailySummary[Fecha],"&gt;="&amp;TableWeeklySummary[[#This Row],[Desde]],TableDailySummary[Fecha],"&lt;="&amp;TableWeeklySummary[[#This Row],[Hasta]])</f>
        <v>0</v>
      </c>
      <c r="O345" s="12">
        <f ca="1">SUMIFS(TableDailySummary[Tienda 81_orders],TableDailySummary[Fecha],"&gt;="&amp;TableWeeklySummary[[#This Row],[Desde]],TableDailySummary[Fecha],"&lt;="&amp;TableWeeklySummary[[#This Row],[Hasta]])</f>
        <v>0</v>
      </c>
      <c r="P345" s="12">
        <f ca="1">SUMIFS(TableDailySummary[Rappi_net_sales],TableDailySummary[Fecha],"&gt;="&amp;TableWeeklySummary[[#This Row],[Desde]],TableDailySummary[Fecha],"&lt;="&amp;TableWeeklySummary[[#This Row],[Hasta]])</f>
        <v>0</v>
      </c>
      <c r="Q345" s="12">
        <f ca="1">SUMIFS(TableDailySummary[Rappi_orders],TableDailySummary[Fecha],"&gt;="&amp;TableWeeklySummary[[#This Row],[Desde]],TableDailySummary[Fecha],"&lt;="&amp;TableWeeklySummary[[#This Row],[Hasta]])</f>
        <v>0</v>
      </c>
      <c r="R34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4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45" s="12">
        <f ca="1">SUMIFS(TableDailySummary[Inversión google ads],TableDailySummary[Fecha],"&gt;="&amp;TableWeeklySummary[[#This Row],[Desde]],TableDailySummary[Fecha],"&lt;="&amp;TableWeeklySummary[[#This Row],[Hasta]])</f>
        <v>0</v>
      </c>
      <c r="U345" s="12">
        <f ca="1">SUMIFS(TableDailySummary[Ventas google ads],TableDailySummary[Fecha],"&gt;="&amp;TableWeeklySummary[[#This Row],[Desde]],TableDailySummary[Fecha],"&lt;="&amp;TableWeeklySummary[[#This Row],[Hasta]])</f>
        <v>0</v>
      </c>
      <c r="V345" s="12">
        <f ca="1">SUMIFS(TableDailySummary[Inversión meta ads],TableDailySummary[Fecha],"&gt;="&amp;TableWeeklySummary[[#This Row],[Desde]],TableDailySummary[Fecha],"&lt;="&amp;TableWeeklySummary[[#This Row],[Hasta]])</f>
        <v>0</v>
      </c>
      <c r="W345" s="12">
        <f ca="1">SUMIFS(TableDailySummary[Ventas meta ads],TableDailySummary[Fecha],"&gt;="&amp;TableWeeklySummary[[#This Row],[Desde]],TableDailySummary[Fecha],"&lt;="&amp;TableWeeklySummary[[#This Row],[Hasta]])</f>
        <v>0</v>
      </c>
      <c r="X345" s="12">
        <f ca="1">TableWeeklySummary[[#This Row],[Inversión google ads]]+TableWeeklySummary[[#This Row],[Inversión meta ads]]</f>
        <v>0</v>
      </c>
      <c r="Y345" s="12">
        <f ca="1">TableWeeklySummary[[#This Row],[Ventas google ads]]+TableWeeklySummary[[#This Row],[Ventas meta ads]]</f>
        <v>0</v>
      </c>
      <c r="Z345" s="14">
        <f ca="1">IFERROR(TableWeeklySummary[[#This Row],[Ventas publicidad]]/TableWeeklySummary[[#This Row],[Inversión publicidad]],0)</f>
        <v>0</v>
      </c>
      <c r="AA345" s="14">
        <f ca="1">IFERROR(TableWeeklySummary[[#This Row],[Ventas primer cliente]]/TableWeeklySummary[[#This Row],[Inversión publicidad]],0)</f>
        <v>0</v>
      </c>
      <c r="AB345" s="14"/>
      <c r="AC345" s="12"/>
      <c r="AI34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4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45" s="12">
        <f ca="1">SUMIFS(TableDailySummary[Utilidad bruta],TableDailySummary[Fecha],"&gt;="&amp;TableWeeklySummary[[#This Row],[Desde]],TableDailySummary[Fecha],"&lt;="&amp;TableWeeklySummary[[#This Row],[Hasta]])</f>
        <v>0</v>
      </c>
      <c r="AL345" s="18">
        <f ca="1">IFERROR(TableWeeklySummary[[#This Row],[Utilidad bruta]]/TableWeeklySummary[[#This Row],[Ventas netas con costo registrado]],0)</f>
        <v>0</v>
      </c>
    </row>
    <row r="346" spans="2:38" x14ac:dyDescent="0.2">
      <c r="B346" s="16">
        <f ca="1">_xlfn.ISOWEEKNUM(TableWeeklySummary[[#This Row],[Hasta]])</f>
        <v>19</v>
      </c>
      <c r="C346" s="6">
        <f t="shared" ca="1" si="7"/>
        <v>48334</v>
      </c>
      <c r="D346" s="6">
        <f ca="1">TableWeeklySummary[[#This Row],[Desde]]+7-1</f>
        <v>48340</v>
      </c>
      <c r="E346" s="12">
        <f ca="1">SUMIFS(TableDailySummary[Ventas netas totales],TableDailySummary[Fecha],"&gt;="&amp;TableWeeklySummary[[#This Row],[Desde]],TableDailySummary[Fecha],"&lt;="&amp;TableWeeklySummary[[#This Row],[Hasta]])</f>
        <v>0</v>
      </c>
      <c r="F346" s="12">
        <f ca="1">SUMIFS(TableDailySummary[Órdenes totales],TableDailySummary[Fecha],"&gt;="&amp;TableWeeklySummary[[#This Row],[Desde]],TableDailySummary[Fecha],"&lt;="&amp;TableWeeklySummary[[#This Row],[Hasta]])</f>
        <v>0</v>
      </c>
      <c r="G346" s="12">
        <f ca="1">IFERROR(TableWeeklySummary[[#This Row],[Ventas netas totales]]/TableWeeklySummary[[#This Row],[Órdenes totales]],0)</f>
        <v>0</v>
      </c>
      <c r="H34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46" s="12">
        <f ca="1">TableWeeklySummary[[#This Row],[Órden promedio totales]]*TableWeeklySummary[[#This Row],[CR totales]]</f>
        <v>0</v>
      </c>
      <c r="J346" s="12">
        <f ca="1">SUMIFS(TableDailySummary[Ventas primer cliente],TableDailySummary[Fecha],"&gt;="&amp;TableWeeklySummary[[#This Row],[Desde]],TableDailySummary[Fecha],"&lt;="&amp;TableWeeklySummary[[#This Row],[Hasta]])</f>
        <v>0</v>
      </c>
      <c r="K346" s="12">
        <f ca="1">SUMIFS(TableDailySummary[Órdenes primer cliente],TableDailySummary[Fecha],"&gt;="&amp;TableWeeklySummary[[#This Row],[Desde]],TableDailySummary[Fecha],"&lt;="&amp;TableWeeklySummary[[#This Row],[Hasta]])</f>
        <v>0</v>
      </c>
      <c r="L346" s="12">
        <f ca="1">SUMIFS(TableDailySummary[Online Store_net_sales],TableDailySummary[Fecha],"&gt;="&amp;TableWeeklySummary[[#This Row],[Desde]],TableDailySummary[Fecha],"&lt;="&amp;TableWeeklySummary[[#This Row],[Hasta]])</f>
        <v>0</v>
      </c>
      <c r="M346" s="12">
        <f ca="1">SUMIFS(TableDailySummary[Online Store_orders],TableDailySummary[Fecha],"&gt;="&amp;TableWeeklySummary[[#This Row],[Desde]],TableDailySummary[Fecha],"&lt;="&amp;TableWeeklySummary[[#This Row],[Hasta]])</f>
        <v>0</v>
      </c>
      <c r="N346" s="12">
        <f ca="1">SUMIFS(TableDailySummary[Tienda 81_net_sales],TableDailySummary[Fecha],"&gt;="&amp;TableWeeklySummary[[#This Row],[Desde]],TableDailySummary[Fecha],"&lt;="&amp;TableWeeklySummary[[#This Row],[Hasta]])</f>
        <v>0</v>
      </c>
      <c r="O346" s="12">
        <f ca="1">SUMIFS(TableDailySummary[Tienda 81_orders],TableDailySummary[Fecha],"&gt;="&amp;TableWeeklySummary[[#This Row],[Desde]],TableDailySummary[Fecha],"&lt;="&amp;TableWeeklySummary[[#This Row],[Hasta]])</f>
        <v>0</v>
      </c>
      <c r="P346" s="12">
        <f ca="1">SUMIFS(TableDailySummary[Rappi_net_sales],TableDailySummary[Fecha],"&gt;="&amp;TableWeeklySummary[[#This Row],[Desde]],TableDailySummary[Fecha],"&lt;="&amp;TableWeeklySummary[[#This Row],[Hasta]])</f>
        <v>0</v>
      </c>
      <c r="Q346" s="12">
        <f ca="1">SUMIFS(TableDailySummary[Rappi_orders],TableDailySummary[Fecha],"&gt;="&amp;TableWeeklySummary[[#This Row],[Desde]],TableDailySummary[Fecha],"&lt;="&amp;TableWeeklySummary[[#This Row],[Hasta]])</f>
        <v>0</v>
      </c>
      <c r="R34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4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46" s="12">
        <f ca="1">SUMIFS(TableDailySummary[Inversión google ads],TableDailySummary[Fecha],"&gt;="&amp;TableWeeklySummary[[#This Row],[Desde]],TableDailySummary[Fecha],"&lt;="&amp;TableWeeklySummary[[#This Row],[Hasta]])</f>
        <v>0</v>
      </c>
      <c r="U346" s="12">
        <f ca="1">SUMIFS(TableDailySummary[Ventas google ads],TableDailySummary[Fecha],"&gt;="&amp;TableWeeklySummary[[#This Row],[Desde]],TableDailySummary[Fecha],"&lt;="&amp;TableWeeklySummary[[#This Row],[Hasta]])</f>
        <v>0</v>
      </c>
      <c r="V346" s="12">
        <f ca="1">SUMIFS(TableDailySummary[Inversión meta ads],TableDailySummary[Fecha],"&gt;="&amp;TableWeeklySummary[[#This Row],[Desde]],TableDailySummary[Fecha],"&lt;="&amp;TableWeeklySummary[[#This Row],[Hasta]])</f>
        <v>0</v>
      </c>
      <c r="W346" s="12">
        <f ca="1">SUMIFS(TableDailySummary[Ventas meta ads],TableDailySummary[Fecha],"&gt;="&amp;TableWeeklySummary[[#This Row],[Desde]],TableDailySummary[Fecha],"&lt;="&amp;TableWeeklySummary[[#This Row],[Hasta]])</f>
        <v>0</v>
      </c>
      <c r="X346" s="12">
        <f ca="1">TableWeeklySummary[[#This Row],[Inversión google ads]]+TableWeeklySummary[[#This Row],[Inversión meta ads]]</f>
        <v>0</v>
      </c>
      <c r="Y346" s="12">
        <f ca="1">TableWeeklySummary[[#This Row],[Ventas google ads]]+TableWeeklySummary[[#This Row],[Ventas meta ads]]</f>
        <v>0</v>
      </c>
      <c r="Z346" s="14">
        <f ca="1">IFERROR(TableWeeklySummary[[#This Row],[Ventas publicidad]]/TableWeeklySummary[[#This Row],[Inversión publicidad]],0)</f>
        <v>0</v>
      </c>
      <c r="AA346" s="14">
        <f ca="1">IFERROR(TableWeeklySummary[[#This Row],[Ventas primer cliente]]/TableWeeklySummary[[#This Row],[Inversión publicidad]],0)</f>
        <v>0</v>
      </c>
      <c r="AB346" s="14"/>
      <c r="AC346" s="12"/>
      <c r="AI34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4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46" s="12">
        <f ca="1">SUMIFS(TableDailySummary[Utilidad bruta],TableDailySummary[Fecha],"&gt;="&amp;TableWeeklySummary[[#This Row],[Desde]],TableDailySummary[Fecha],"&lt;="&amp;TableWeeklySummary[[#This Row],[Hasta]])</f>
        <v>0</v>
      </c>
      <c r="AL346" s="18">
        <f ca="1">IFERROR(TableWeeklySummary[[#This Row],[Utilidad bruta]]/TableWeeklySummary[[#This Row],[Ventas netas con costo registrado]],0)</f>
        <v>0</v>
      </c>
    </row>
    <row r="347" spans="2:38" x14ac:dyDescent="0.2">
      <c r="B347" s="16">
        <f ca="1">_xlfn.ISOWEEKNUM(TableWeeklySummary[[#This Row],[Hasta]])</f>
        <v>20</v>
      </c>
      <c r="C347" s="6">
        <f t="shared" ca="1" si="7"/>
        <v>48341</v>
      </c>
      <c r="D347" s="6">
        <f ca="1">TableWeeklySummary[[#This Row],[Desde]]+7-1</f>
        <v>48347</v>
      </c>
      <c r="E347" s="12">
        <f ca="1">SUMIFS(TableDailySummary[Ventas netas totales],TableDailySummary[Fecha],"&gt;="&amp;TableWeeklySummary[[#This Row],[Desde]],TableDailySummary[Fecha],"&lt;="&amp;TableWeeklySummary[[#This Row],[Hasta]])</f>
        <v>0</v>
      </c>
      <c r="F347" s="12">
        <f ca="1">SUMIFS(TableDailySummary[Órdenes totales],TableDailySummary[Fecha],"&gt;="&amp;TableWeeklySummary[[#This Row],[Desde]],TableDailySummary[Fecha],"&lt;="&amp;TableWeeklySummary[[#This Row],[Hasta]])</f>
        <v>0</v>
      </c>
      <c r="G347" s="12">
        <f ca="1">IFERROR(TableWeeklySummary[[#This Row],[Ventas netas totales]]/TableWeeklySummary[[#This Row],[Órdenes totales]],0)</f>
        <v>0</v>
      </c>
      <c r="H34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47" s="12">
        <f ca="1">TableWeeklySummary[[#This Row],[Órden promedio totales]]*TableWeeklySummary[[#This Row],[CR totales]]</f>
        <v>0</v>
      </c>
      <c r="J347" s="12">
        <f ca="1">SUMIFS(TableDailySummary[Ventas primer cliente],TableDailySummary[Fecha],"&gt;="&amp;TableWeeklySummary[[#This Row],[Desde]],TableDailySummary[Fecha],"&lt;="&amp;TableWeeklySummary[[#This Row],[Hasta]])</f>
        <v>0</v>
      </c>
      <c r="K347" s="12">
        <f ca="1">SUMIFS(TableDailySummary[Órdenes primer cliente],TableDailySummary[Fecha],"&gt;="&amp;TableWeeklySummary[[#This Row],[Desde]],TableDailySummary[Fecha],"&lt;="&amp;TableWeeklySummary[[#This Row],[Hasta]])</f>
        <v>0</v>
      </c>
      <c r="L347" s="12">
        <f ca="1">SUMIFS(TableDailySummary[Online Store_net_sales],TableDailySummary[Fecha],"&gt;="&amp;TableWeeklySummary[[#This Row],[Desde]],TableDailySummary[Fecha],"&lt;="&amp;TableWeeklySummary[[#This Row],[Hasta]])</f>
        <v>0</v>
      </c>
      <c r="M347" s="12">
        <f ca="1">SUMIFS(TableDailySummary[Online Store_orders],TableDailySummary[Fecha],"&gt;="&amp;TableWeeklySummary[[#This Row],[Desde]],TableDailySummary[Fecha],"&lt;="&amp;TableWeeklySummary[[#This Row],[Hasta]])</f>
        <v>0</v>
      </c>
      <c r="N347" s="12">
        <f ca="1">SUMIFS(TableDailySummary[Tienda 81_net_sales],TableDailySummary[Fecha],"&gt;="&amp;TableWeeklySummary[[#This Row],[Desde]],TableDailySummary[Fecha],"&lt;="&amp;TableWeeklySummary[[#This Row],[Hasta]])</f>
        <v>0</v>
      </c>
      <c r="O347" s="12">
        <f ca="1">SUMIFS(TableDailySummary[Tienda 81_orders],TableDailySummary[Fecha],"&gt;="&amp;TableWeeklySummary[[#This Row],[Desde]],TableDailySummary[Fecha],"&lt;="&amp;TableWeeklySummary[[#This Row],[Hasta]])</f>
        <v>0</v>
      </c>
      <c r="P347" s="12">
        <f ca="1">SUMIFS(TableDailySummary[Rappi_net_sales],TableDailySummary[Fecha],"&gt;="&amp;TableWeeklySummary[[#This Row],[Desde]],TableDailySummary[Fecha],"&lt;="&amp;TableWeeklySummary[[#This Row],[Hasta]])</f>
        <v>0</v>
      </c>
      <c r="Q347" s="12">
        <f ca="1">SUMIFS(TableDailySummary[Rappi_orders],TableDailySummary[Fecha],"&gt;="&amp;TableWeeklySummary[[#This Row],[Desde]],TableDailySummary[Fecha],"&lt;="&amp;TableWeeklySummary[[#This Row],[Hasta]])</f>
        <v>0</v>
      </c>
      <c r="R34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4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47" s="12">
        <f ca="1">SUMIFS(TableDailySummary[Inversión google ads],TableDailySummary[Fecha],"&gt;="&amp;TableWeeklySummary[[#This Row],[Desde]],TableDailySummary[Fecha],"&lt;="&amp;TableWeeklySummary[[#This Row],[Hasta]])</f>
        <v>0</v>
      </c>
      <c r="U347" s="12">
        <f ca="1">SUMIFS(TableDailySummary[Ventas google ads],TableDailySummary[Fecha],"&gt;="&amp;TableWeeklySummary[[#This Row],[Desde]],TableDailySummary[Fecha],"&lt;="&amp;TableWeeklySummary[[#This Row],[Hasta]])</f>
        <v>0</v>
      </c>
      <c r="V347" s="12">
        <f ca="1">SUMIFS(TableDailySummary[Inversión meta ads],TableDailySummary[Fecha],"&gt;="&amp;TableWeeklySummary[[#This Row],[Desde]],TableDailySummary[Fecha],"&lt;="&amp;TableWeeklySummary[[#This Row],[Hasta]])</f>
        <v>0</v>
      </c>
      <c r="W347" s="12">
        <f ca="1">SUMIFS(TableDailySummary[Ventas meta ads],TableDailySummary[Fecha],"&gt;="&amp;TableWeeklySummary[[#This Row],[Desde]],TableDailySummary[Fecha],"&lt;="&amp;TableWeeklySummary[[#This Row],[Hasta]])</f>
        <v>0</v>
      </c>
      <c r="X347" s="12">
        <f ca="1">TableWeeklySummary[[#This Row],[Inversión google ads]]+TableWeeklySummary[[#This Row],[Inversión meta ads]]</f>
        <v>0</v>
      </c>
      <c r="Y347" s="12">
        <f ca="1">TableWeeklySummary[[#This Row],[Ventas google ads]]+TableWeeklySummary[[#This Row],[Ventas meta ads]]</f>
        <v>0</v>
      </c>
      <c r="Z347" s="14">
        <f ca="1">IFERROR(TableWeeklySummary[[#This Row],[Ventas publicidad]]/TableWeeklySummary[[#This Row],[Inversión publicidad]],0)</f>
        <v>0</v>
      </c>
      <c r="AA347" s="14">
        <f ca="1">IFERROR(TableWeeklySummary[[#This Row],[Ventas primer cliente]]/TableWeeklySummary[[#This Row],[Inversión publicidad]],0)</f>
        <v>0</v>
      </c>
      <c r="AB347" s="14"/>
      <c r="AC347" s="12"/>
      <c r="AI34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4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47" s="12">
        <f ca="1">SUMIFS(TableDailySummary[Utilidad bruta],TableDailySummary[Fecha],"&gt;="&amp;TableWeeklySummary[[#This Row],[Desde]],TableDailySummary[Fecha],"&lt;="&amp;TableWeeklySummary[[#This Row],[Hasta]])</f>
        <v>0</v>
      </c>
      <c r="AL347" s="18">
        <f ca="1">IFERROR(TableWeeklySummary[[#This Row],[Utilidad bruta]]/TableWeeklySummary[[#This Row],[Ventas netas con costo registrado]],0)</f>
        <v>0</v>
      </c>
    </row>
    <row r="348" spans="2:38" x14ac:dyDescent="0.2">
      <c r="B348" s="16">
        <f ca="1">_xlfn.ISOWEEKNUM(TableWeeklySummary[[#This Row],[Hasta]])</f>
        <v>21</v>
      </c>
      <c r="C348" s="6">
        <f t="shared" ca="1" si="7"/>
        <v>48348</v>
      </c>
      <c r="D348" s="6">
        <f ca="1">TableWeeklySummary[[#This Row],[Desde]]+7-1</f>
        <v>48354</v>
      </c>
      <c r="E348" s="12">
        <f ca="1">SUMIFS(TableDailySummary[Ventas netas totales],TableDailySummary[Fecha],"&gt;="&amp;TableWeeklySummary[[#This Row],[Desde]],TableDailySummary[Fecha],"&lt;="&amp;TableWeeklySummary[[#This Row],[Hasta]])</f>
        <v>0</v>
      </c>
      <c r="F348" s="12">
        <f ca="1">SUMIFS(TableDailySummary[Órdenes totales],TableDailySummary[Fecha],"&gt;="&amp;TableWeeklySummary[[#This Row],[Desde]],TableDailySummary[Fecha],"&lt;="&amp;TableWeeklySummary[[#This Row],[Hasta]])</f>
        <v>0</v>
      </c>
      <c r="G348" s="12">
        <f ca="1">IFERROR(TableWeeklySummary[[#This Row],[Ventas netas totales]]/TableWeeklySummary[[#This Row],[Órdenes totales]],0)</f>
        <v>0</v>
      </c>
      <c r="H34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48" s="12">
        <f ca="1">TableWeeklySummary[[#This Row],[Órden promedio totales]]*TableWeeklySummary[[#This Row],[CR totales]]</f>
        <v>0</v>
      </c>
      <c r="J348" s="12">
        <f ca="1">SUMIFS(TableDailySummary[Ventas primer cliente],TableDailySummary[Fecha],"&gt;="&amp;TableWeeklySummary[[#This Row],[Desde]],TableDailySummary[Fecha],"&lt;="&amp;TableWeeklySummary[[#This Row],[Hasta]])</f>
        <v>0</v>
      </c>
      <c r="K348" s="12">
        <f ca="1">SUMIFS(TableDailySummary[Órdenes primer cliente],TableDailySummary[Fecha],"&gt;="&amp;TableWeeklySummary[[#This Row],[Desde]],TableDailySummary[Fecha],"&lt;="&amp;TableWeeklySummary[[#This Row],[Hasta]])</f>
        <v>0</v>
      </c>
      <c r="L348" s="12">
        <f ca="1">SUMIFS(TableDailySummary[Online Store_net_sales],TableDailySummary[Fecha],"&gt;="&amp;TableWeeklySummary[[#This Row],[Desde]],TableDailySummary[Fecha],"&lt;="&amp;TableWeeklySummary[[#This Row],[Hasta]])</f>
        <v>0</v>
      </c>
      <c r="M348" s="12">
        <f ca="1">SUMIFS(TableDailySummary[Online Store_orders],TableDailySummary[Fecha],"&gt;="&amp;TableWeeklySummary[[#This Row],[Desde]],TableDailySummary[Fecha],"&lt;="&amp;TableWeeklySummary[[#This Row],[Hasta]])</f>
        <v>0</v>
      </c>
      <c r="N348" s="12">
        <f ca="1">SUMIFS(TableDailySummary[Tienda 81_net_sales],TableDailySummary[Fecha],"&gt;="&amp;TableWeeklySummary[[#This Row],[Desde]],TableDailySummary[Fecha],"&lt;="&amp;TableWeeklySummary[[#This Row],[Hasta]])</f>
        <v>0</v>
      </c>
      <c r="O348" s="12">
        <f ca="1">SUMIFS(TableDailySummary[Tienda 81_orders],TableDailySummary[Fecha],"&gt;="&amp;TableWeeklySummary[[#This Row],[Desde]],TableDailySummary[Fecha],"&lt;="&amp;TableWeeklySummary[[#This Row],[Hasta]])</f>
        <v>0</v>
      </c>
      <c r="P348" s="12">
        <f ca="1">SUMIFS(TableDailySummary[Rappi_net_sales],TableDailySummary[Fecha],"&gt;="&amp;TableWeeklySummary[[#This Row],[Desde]],TableDailySummary[Fecha],"&lt;="&amp;TableWeeklySummary[[#This Row],[Hasta]])</f>
        <v>0</v>
      </c>
      <c r="Q348" s="12">
        <f ca="1">SUMIFS(TableDailySummary[Rappi_orders],TableDailySummary[Fecha],"&gt;="&amp;TableWeeklySummary[[#This Row],[Desde]],TableDailySummary[Fecha],"&lt;="&amp;TableWeeklySummary[[#This Row],[Hasta]])</f>
        <v>0</v>
      </c>
      <c r="R34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4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48" s="12">
        <f ca="1">SUMIFS(TableDailySummary[Inversión google ads],TableDailySummary[Fecha],"&gt;="&amp;TableWeeklySummary[[#This Row],[Desde]],TableDailySummary[Fecha],"&lt;="&amp;TableWeeklySummary[[#This Row],[Hasta]])</f>
        <v>0</v>
      </c>
      <c r="U348" s="12">
        <f ca="1">SUMIFS(TableDailySummary[Ventas google ads],TableDailySummary[Fecha],"&gt;="&amp;TableWeeklySummary[[#This Row],[Desde]],TableDailySummary[Fecha],"&lt;="&amp;TableWeeklySummary[[#This Row],[Hasta]])</f>
        <v>0</v>
      </c>
      <c r="V348" s="12">
        <f ca="1">SUMIFS(TableDailySummary[Inversión meta ads],TableDailySummary[Fecha],"&gt;="&amp;TableWeeklySummary[[#This Row],[Desde]],TableDailySummary[Fecha],"&lt;="&amp;TableWeeklySummary[[#This Row],[Hasta]])</f>
        <v>0</v>
      </c>
      <c r="W348" s="12">
        <f ca="1">SUMIFS(TableDailySummary[Ventas meta ads],TableDailySummary[Fecha],"&gt;="&amp;TableWeeklySummary[[#This Row],[Desde]],TableDailySummary[Fecha],"&lt;="&amp;TableWeeklySummary[[#This Row],[Hasta]])</f>
        <v>0</v>
      </c>
      <c r="X348" s="12">
        <f ca="1">TableWeeklySummary[[#This Row],[Inversión google ads]]+TableWeeklySummary[[#This Row],[Inversión meta ads]]</f>
        <v>0</v>
      </c>
      <c r="Y348" s="12">
        <f ca="1">TableWeeklySummary[[#This Row],[Ventas google ads]]+TableWeeklySummary[[#This Row],[Ventas meta ads]]</f>
        <v>0</v>
      </c>
      <c r="Z348" s="14">
        <f ca="1">IFERROR(TableWeeklySummary[[#This Row],[Ventas publicidad]]/TableWeeklySummary[[#This Row],[Inversión publicidad]],0)</f>
        <v>0</v>
      </c>
      <c r="AA348" s="14">
        <f ca="1">IFERROR(TableWeeklySummary[[#This Row],[Ventas primer cliente]]/TableWeeklySummary[[#This Row],[Inversión publicidad]],0)</f>
        <v>0</v>
      </c>
      <c r="AB348" s="14"/>
      <c r="AC348" s="12"/>
      <c r="AI34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4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48" s="12">
        <f ca="1">SUMIFS(TableDailySummary[Utilidad bruta],TableDailySummary[Fecha],"&gt;="&amp;TableWeeklySummary[[#This Row],[Desde]],TableDailySummary[Fecha],"&lt;="&amp;TableWeeklySummary[[#This Row],[Hasta]])</f>
        <v>0</v>
      </c>
      <c r="AL348" s="18">
        <f ca="1">IFERROR(TableWeeklySummary[[#This Row],[Utilidad bruta]]/TableWeeklySummary[[#This Row],[Ventas netas con costo registrado]],0)</f>
        <v>0</v>
      </c>
    </row>
    <row r="349" spans="2:38" x14ac:dyDescent="0.2">
      <c r="B349" s="16">
        <f ca="1">_xlfn.ISOWEEKNUM(TableWeeklySummary[[#This Row],[Hasta]])</f>
        <v>22</v>
      </c>
      <c r="C349" s="6">
        <f t="shared" ca="1" si="7"/>
        <v>48355</v>
      </c>
      <c r="D349" s="6">
        <f ca="1">TableWeeklySummary[[#This Row],[Desde]]+7-1</f>
        <v>48361</v>
      </c>
      <c r="E349" s="12">
        <f ca="1">SUMIFS(TableDailySummary[Ventas netas totales],TableDailySummary[Fecha],"&gt;="&amp;TableWeeklySummary[[#This Row],[Desde]],TableDailySummary[Fecha],"&lt;="&amp;TableWeeklySummary[[#This Row],[Hasta]])</f>
        <v>0</v>
      </c>
      <c r="F349" s="12">
        <f ca="1">SUMIFS(TableDailySummary[Órdenes totales],TableDailySummary[Fecha],"&gt;="&amp;TableWeeklySummary[[#This Row],[Desde]],TableDailySummary[Fecha],"&lt;="&amp;TableWeeklySummary[[#This Row],[Hasta]])</f>
        <v>0</v>
      </c>
      <c r="G349" s="12">
        <f ca="1">IFERROR(TableWeeklySummary[[#This Row],[Ventas netas totales]]/TableWeeklySummary[[#This Row],[Órdenes totales]],0)</f>
        <v>0</v>
      </c>
      <c r="H34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49" s="12">
        <f ca="1">TableWeeklySummary[[#This Row],[Órden promedio totales]]*TableWeeklySummary[[#This Row],[CR totales]]</f>
        <v>0</v>
      </c>
      <c r="J349" s="12">
        <f ca="1">SUMIFS(TableDailySummary[Ventas primer cliente],TableDailySummary[Fecha],"&gt;="&amp;TableWeeklySummary[[#This Row],[Desde]],TableDailySummary[Fecha],"&lt;="&amp;TableWeeklySummary[[#This Row],[Hasta]])</f>
        <v>0</v>
      </c>
      <c r="K349" s="12">
        <f ca="1">SUMIFS(TableDailySummary[Órdenes primer cliente],TableDailySummary[Fecha],"&gt;="&amp;TableWeeklySummary[[#This Row],[Desde]],TableDailySummary[Fecha],"&lt;="&amp;TableWeeklySummary[[#This Row],[Hasta]])</f>
        <v>0</v>
      </c>
      <c r="L349" s="12">
        <f ca="1">SUMIFS(TableDailySummary[Online Store_net_sales],TableDailySummary[Fecha],"&gt;="&amp;TableWeeklySummary[[#This Row],[Desde]],TableDailySummary[Fecha],"&lt;="&amp;TableWeeklySummary[[#This Row],[Hasta]])</f>
        <v>0</v>
      </c>
      <c r="M349" s="12">
        <f ca="1">SUMIFS(TableDailySummary[Online Store_orders],TableDailySummary[Fecha],"&gt;="&amp;TableWeeklySummary[[#This Row],[Desde]],TableDailySummary[Fecha],"&lt;="&amp;TableWeeklySummary[[#This Row],[Hasta]])</f>
        <v>0</v>
      </c>
      <c r="N349" s="12">
        <f ca="1">SUMIFS(TableDailySummary[Tienda 81_net_sales],TableDailySummary[Fecha],"&gt;="&amp;TableWeeklySummary[[#This Row],[Desde]],TableDailySummary[Fecha],"&lt;="&amp;TableWeeklySummary[[#This Row],[Hasta]])</f>
        <v>0</v>
      </c>
      <c r="O349" s="12">
        <f ca="1">SUMIFS(TableDailySummary[Tienda 81_orders],TableDailySummary[Fecha],"&gt;="&amp;TableWeeklySummary[[#This Row],[Desde]],TableDailySummary[Fecha],"&lt;="&amp;TableWeeklySummary[[#This Row],[Hasta]])</f>
        <v>0</v>
      </c>
      <c r="P349" s="12">
        <f ca="1">SUMIFS(TableDailySummary[Rappi_net_sales],TableDailySummary[Fecha],"&gt;="&amp;TableWeeklySummary[[#This Row],[Desde]],TableDailySummary[Fecha],"&lt;="&amp;TableWeeklySummary[[#This Row],[Hasta]])</f>
        <v>0</v>
      </c>
      <c r="Q349" s="12">
        <f ca="1">SUMIFS(TableDailySummary[Rappi_orders],TableDailySummary[Fecha],"&gt;="&amp;TableWeeklySummary[[#This Row],[Desde]],TableDailySummary[Fecha],"&lt;="&amp;TableWeeklySummary[[#This Row],[Hasta]])</f>
        <v>0</v>
      </c>
      <c r="R34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4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49" s="12">
        <f ca="1">SUMIFS(TableDailySummary[Inversión google ads],TableDailySummary[Fecha],"&gt;="&amp;TableWeeklySummary[[#This Row],[Desde]],TableDailySummary[Fecha],"&lt;="&amp;TableWeeklySummary[[#This Row],[Hasta]])</f>
        <v>0</v>
      </c>
      <c r="U349" s="12">
        <f ca="1">SUMIFS(TableDailySummary[Ventas google ads],TableDailySummary[Fecha],"&gt;="&amp;TableWeeklySummary[[#This Row],[Desde]],TableDailySummary[Fecha],"&lt;="&amp;TableWeeklySummary[[#This Row],[Hasta]])</f>
        <v>0</v>
      </c>
      <c r="V349" s="12">
        <f ca="1">SUMIFS(TableDailySummary[Inversión meta ads],TableDailySummary[Fecha],"&gt;="&amp;TableWeeklySummary[[#This Row],[Desde]],TableDailySummary[Fecha],"&lt;="&amp;TableWeeklySummary[[#This Row],[Hasta]])</f>
        <v>0</v>
      </c>
      <c r="W349" s="12">
        <f ca="1">SUMIFS(TableDailySummary[Ventas meta ads],TableDailySummary[Fecha],"&gt;="&amp;TableWeeklySummary[[#This Row],[Desde]],TableDailySummary[Fecha],"&lt;="&amp;TableWeeklySummary[[#This Row],[Hasta]])</f>
        <v>0</v>
      </c>
      <c r="X349" s="12">
        <f ca="1">TableWeeklySummary[[#This Row],[Inversión google ads]]+TableWeeklySummary[[#This Row],[Inversión meta ads]]</f>
        <v>0</v>
      </c>
      <c r="Y349" s="12">
        <f ca="1">TableWeeklySummary[[#This Row],[Ventas google ads]]+TableWeeklySummary[[#This Row],[Ventas meta ads]]</f>
        <v>0</v>
      </c>
      <c r="Z349" s="14">
        <f ca="1">IFERROR(TableWeeklySummary[[#This Row],[Ventas publicidad]]/TableWeeklySummary[[#This Row],[Inversión publicidad]],0)</f>
        <v>0</v>
      </c>
      <c r="AA349" s="14">
        <f ca="1">IFERROR(TableWeeklySummary[[#This Row],[Ventas primer cliente]]/TableWeeklySummary[[#This Row],[Inversión publicidad]],0)</f>
        <v>0</v>
      </c>
      <c r="AB349" s="14"/>
      <c r="AC349" s="12"/>
      <c r="AI34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4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49" s="12">
        <f ca="1">SUMIFS(TableDailySummary[Utilidad bruta],TableDailySummary[Fecha],"&gt;="&amp;TableWeeklySummary[[#This Row],[Desde]],TableDailySummary[Fecha],"&lt;="&amp;TableWeeklySummary[[#This Row],[Hasta]])</f>
        <v>0</v>
      </c>
      <c r="AL349" s="18">
        <f ca="1">IFERROR(TableWeeklySummary[[#This Row],[Utilidad bruta]]/TableWeeklySummary[[#This Row],[Ventas netas con costo registrado]],0)</f>
        <v>0</v>
      </c>
    </row>
    <row r="350" spans="2:38" x14ac:dyDescent="0.2">
      <c r="B350" s="16">
        <f ca="1">_xlfn.ISOWEEKNUM(TableWeeklySummary[[#This Row],[Hasta]])</f>
        <v>23</v>
      </c>
      <c r="C350" s="6">
        <f t="shared" ca="1" si="7"/>
        <v>48362</v>
      </c>
      <c r="D350" s="6">
        <f ca="1">TableWeeklySummary[[#This Row],[Desde]]+7-1</f>
        <v>48368</v>
      </c>
      <c r="E350" s="12">
        <f ca="1">SUMIFS(TableDailySummary[Ventas netas totales],TableDailySummary[Fecha],"&gt;="&amp;TableWeeklySummary[[#This Row],[Desde]],TableDailySummary[Fecha],"&lt;="&amp;TableWeeklySummary[[#This Row],[Hasta]])</f>
        <v>0</v>
      </c>
      <c r="F350" s="12">
        <f ca="1">SUMIFS(TableDailySummary[Órdenes totales],TableDailySummary[Fecha],"&gt;="&amp;TableWeeklySummary[[#This Row],[Desde]],TableDailySummary[Fecha],"&lt;="&amp;TableWeeklySummary[[#This Row],[Hasta]])</f>
        <v>0</v>
      </c>
      <c r="G350" s="12">
        <f ca="1">IFERROR(TableWeeklySummary[[#This Row],[Ventas netas totales]]/TableWeeklySummary[[#This Row],[Órdenes totales]],0)</f>
        <v>0</v>
      </c>
      <c r="H35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50" s="12">
        <f ca="1">TableWeeklySummary[[#This Row],[Órden promedio totales]]*TableWeeklySummary[[#This Row],[CR totales]]</f>
        <v>0</v>
      </c>
      <c r="J350" s="12">
        <f ca="1">SUMIFS(TableDailySummary[Ventas primer cliente],TableDailySummary[Fecha],"&gt;="&amp;TableWeeklySummary[[#This Row],[Desde]],TableDailySummary[Fecha],"&lt;="&amp;TableWeeklySummary[[#This Row],[Hasta]])</f>
        <v>0</v>
      </c>
      <c r="K350" s="12">
        <f ca="1">SUMIFS(TableDailySummary[Órdenes primer cliente],TableDailySummary[Fecha],"&gt;="&amp;TableWeeklySummary[[#This Row],[Desde]],TableDailySummary[Fecha],"&lt;="&amp;TableWeeklySummary[[#This Row],[Hasta]])</f>
        <v>0</v>
      </c>
      <c r="L350" s="12">
        <f ca="1">SUMIFS(TableDailySummary[Online Store_net_sales],TableDailySummary[Fecha],"&gt;="&amp;TableWeeklySummary[[#This Row],[Desde]],TableDailySummary[Fecha],"&lt;="&amp;TableWeeklySummary[[#This Row],[Hasta]])</f>
        <v>0</v>
      </c>
      <c r="M350" s="12">
        <f ca="1">SUMIFS(TableDailySummary[Online Store_orders],TableDailySummary[Fecha],"&gt;="&amp;TableWeeklySummary[[#This Row],[Desde]],TableDailySummary[Fecha],"&lt;="&amp;TableWeeklySummary[[#This Row],[Hasta]])</f>
        <v>0</v>
      </c>
      <c r="N350" s="12">
        <f ca="1">SUMIFS(TableDailySummary[Tienda 81_net_sales],TableDailySummary[Fecha],"&gt;="&amp;TableWeeklySummary[[#This Row],[Desde]],TableDailySummary[Fecha],"&lt;="&amp;TableWeeklySummary[[#This Row],[Hasta]])</f>
        <v>0</v>
      </c>
      <c r="O350" s="12">
        <f ca="1">SUMIFS(TableDailySummary[Tienda 81_orders],TableDailySummary[Fecha],"&gt;="&amp;TableWeeklySummary[[#This Row],[Desde]],TableDailySummary[Fecha],"&lt;="&amp;TableWeeklySummary[[#This Row],[Hasta]])</f>
        <v>0</v>
      </c>
      <c r="P350" s="12">
        <f ca="1">SUMIFS(TableDailySummary[Rappi_net_sales],TableDailySummary[Fecha],"&gt;="&amp;TableWeeklySummary[[#This Row],[Desde]],TableDailySummary[Fecha],"&lt;="&amp;TableWeeklySummary[[#This Row],[Hasta]])</f>
        <v>0</v>
      </c>
      <c r="Q350" s="12">
        <f ca="1">SUMIFS(TableDailySummary[Rappi_orders],TableDailySummary[Fecha],"&gt;="&amp;TableWeeklySummary[[#This Row],[Desde]],TableDailySummary[Fecha],"&lt;="&amp;TableWeeklySummary[[#This Row],[Hasta]])</f>
        <v>0</v>
      </c>
      <c r="R35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5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50" s="12">
        <f ca="1">SUMIFS(TableDailySummary[Inversión google ads],TableDailySummary[Fecha],"&gt;="&amp;TableWeeklySummary[[#This Row],[Desde]],TableDailySummary[Fecha],"&lt;="&amp;TableWeeklySummary[[#This Row],[Hasta]])</f>
        <v>0</v>
      </c>
      <c r="U350" s="12">
        <f ca="1">SUMIFS(TableDailySummary[Ventas google ads],TableDailySummary[Fecha],"&gt;="&amp;TableWeeklySummary[[#This Row],[Desde]],TableDailySummary[Fecha],"&lt;="&amp;TableWeeklySummary[[#This Row],[Hasta]])</f>
        <v>0</v>
      </c>
      <c r="V350" s="12">
        <f ca="1">SUMIFS(TableDailySummary[Inversión meta ads],TableDailySummary[Fecha],"&gt;="&amp;TableWeeklySummary[[#This Row],[Desde]],TableDailySummary[Fecha],"&lt;="&amp;TableWeeklySummary[[#This Row],[Hasta]])</f>
        <v>0</v>
      </c>
      <c r="W350" s="12">
        <f ca="1">SUMIFS(TableDailySummary[Ventas meta ads],TableDailySummary[Fecha],"&gt;="&amp;TableWeeklySummary[[#This Row],[Desde]],TableDailySummary[Fecha],"&lt;="&amp;TableWeeklySummary[[#This Row],[Hasta]])</f>
        <v>0</v>
      </c>
      <c r="X350" s="12">
        <f ca="1">TableWeeklySummary[[#This Row],[Inversión google ads]]+TableWeeklySummary[[#This Row],[Inversión meta ads]]</f>
        <v>0</v>
      </c>
      <c r="Y350" s="12">
        <f ca="1">TableWeeklySummary[[#This Row],[Ventas google ads]]+TableWeeklySummary[[#This Row],[Ventas meta ads]]</f>
        <v>0</v>
      </c>
      <c r="Z350" s="14">
        <f ca="1">IFERROR(TableWeeklySummary[[#This Row],[Ventas publicidad]]/TableWeeklySummary[[#This Row],[Inversión publicidad]],0)</f>
        <v>0</v>
      </c>
      <c r="AA350" s="14">
        <f ca="1">IFERROR(TableWeeklySummary[[#This Row],[Ventas primer cliente]]/TableWeeklySummary[[#This Row],[Inversión publicidad]],0)</f>
        <v>0</v>
      </c>
      <c r="AB350" s="14"/>
      <c r="AC350" s="12"/>
      <c r="AI35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5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50" s="12">
        <f ca="1">SUMIFS(TableDailySummary[Utilidad bruta],TableDailySummary[Fecha],"&gt;="&amp;TableWeeklySummary[[#This Row],[Desde]],TableDailySummary[Fecha],"&lt;="&amp;TableWeeklySummary[[#This Row],[Hasta]])</f>
        <v>0</v>
      </c>
      <c r="AL350" s="18">
        <f ca="1">IFERROR(TableWeeklySummary[[#This Row],[Utilidad bruta]]/TableWeeklySummary[[#This Row],[Ventas netas con costo registrado]],0)</f>
        <v>0</v>
      </c>
    </row>
    <row r="351" spans="2:38" x14ac:dyDescent="0.2">
      <c r="B351" s="16">
        <f ca="1">_xlfn.ISOWEEKNUM(TableWeeklySummary[[#This Row],[Hasta]])</f>
        <v>24</v>
      </c>
      <c r="C351" s="6">
        <f t="shared" ca="1" si="7"/>
        <v>48369</v>
      </c>
      <c r="D351" s="6">
        <f ca="1">TableWeeklySummary[[#This Row],[Desde]]+7-1</f>
        <v>48375</v>
      </c>
      <c r="E351" s="12">
        <f ca="1">SUMIFS(TableDailySummary[Ventas netas totales],TableDailySummary[Fecha],"&gt;="&amp;TableWeeklySummary[[#This Row],[Desde]],TableDailySummary[Fecha],"&lt;="&amp;TableWeeklySummary[[#This Row],[Hasta]])</f>
        <v>0</v>
      </c>
      <c r="F351" s="12">
        <f ca="1">SUMIFS(TableDailySummary[Órdenes totales],TableDailySummary[Fecha],"&gt;="&amp;TableWeeklySummary[[#This Row],[Desde]],TableDailySummary[Fecha],"&lt;="&amp;TableWeeklySummary[[#This Row],[Hasta]])</f>
        <v>0</v>
      </c>
      <c r="G351" s="12">
        <f ca="1">IFERROR(TableWeeklySummary[[#This Row],[Ventas netas totales]]/TableWeeklySummary[[#This Row],[Órdenes totales]],0)</f>
        <v>0</v>
      </c>
      <c r="H35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51" s="12">
        <f ca="1">TableWeeklySummary[[#This Row],[Órden promedio totales]]*TableWeeklySummary[[#This Row],[CR totales]]</f>
        <v>0</v>
      </c>
      <c r="J351" s="12">
        <f ca="1">SUMIFS(TableDailySummary[Ventas primer cliente],TableDailySummary[Fecha],"&gt;="&amp;TableWeeklySummary[[#This Row],[Desde]],TableDailySummary[Fecha],"&lt;="&amp;TableWeeklySummary[[#This Row],[Hasta]])</f>
        <v>0</v>
      </c>
      <c r="K351" s="12">
        <f ca="1">SUMIFS(TableDailySummary[Órdenes primer cliente],TableDailySummary[Fecha],"&gt;="&amp;TableWeeklySummary[[#This Row],[Desde]],TableDailySummary[Fecha],"&lt;="&amp;TableWeeklySummary[[#This Row],[Hasta]])</f>
        <v>0</v>
      </c>
      <c r="L351" s="12">
        <f ca="1">SUMIFS(TableDailySummary[Online Store_net_sales],TableDailySummary[Fecha],"&gt;="&amp;TableWeeklySummary[[#This Row],[Desde]],TableDailySummary[Fecha],"&lt;="&amp;TableWeeklySummary[[#This Row],[Hasta]])</f>
        <v>0</v>
      </c>
      <c r="M351" s="12">
        <f ca="1">SUMIFS(TableDailySummary[Online Store_orders],TableDailySummary[Fecha],"&gt;="&amp;TableWeeklySummary[[#This Row],[Desde]],TableDailySummary[Fecha],"&lt;="&amp;TableWeeklySummary[[#This Row],[Hasta]])</f>
        <v>0</v>
      </c>
      <c r="N351" s="12">
        <f ca="1">SUMIFS(TableDailySummary[Tienda 81_net_sales],TableDailySummary[Fecha],"&gt;="&amp;TableWeeklySummary[[#This Row],[Desde]],TableDailySummary[Fecha],"&lt;="&amp;TableWeeklySummary[[#This Row],[Hasta]])</f>
        <v>0</v>
      </c>
      <c r="O351" s="12">
        <f ca="1">SUMIFS(TableDailySummary[Tienda 81_orders],TableDailySummary[Fecha],"&gt;="&amp;TableWeeklySummary[[#This Row],[Desde]],TableDailySummary[Fecha],"&lt;="&amp;TableWeeklySummary[[#This Row],[Hasta]])</f>
        <v>0</v>
      </c>
      <c r="P351" s="12">
        <f ca="1">SUMIFS(TableDailySummary[Rappi_net_sales],TableDailySummary[Fecha],"&gt;="&amp;TableWeeklySummary[[#This Row],[Desde]],TableDailySummary[Fecha],"&lt;="&amp;TableWeeklySummary[[#This Row],[Hasta]])</f>
        <v>0</v>
      </c>
      <c r="Q351" s="12">
        <f ca="1">SUMIFS(TableDailySummary[Rappi_orders],TableDailySummary[Fecha],"&gt;="&amp;TableWeeklySummary[[#This Row],[Desde]],TableDailySummary[Fecha],"&lt;="&amp;TableWeeklySummary[[#This Row],[Hasta]])</f>
        <v>0</v>
      </c>
      <c r="R35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5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51" s="12">
        <f ca="1">SUMIFS(TableDailySummary[Inversión google ads],TableDailySummary[Fecha],"&gt;="&amp;TableWeeklySummary[[#This Row],[Desde]],TableDailySummary[Fecha],"&lt;="&amp;TableWeeklySummary[[#This Row],[Hasta]])</f>
        <v>0</v>
      </c>
      <c r="U351" s="12">
        <f ca="1">SUMIFS(TableDailySummary[Ventas google ads],TableDailySummary[Fecha],"&gt;="&amp;TableWeeklySummary[[#This Row],[Desde]],TableDailySummary[Fecha],"&lt;="&amp;TableWeeklySummary[[#This Row],[Hasta]])</f>
        <v>0</v>
      </c>
      <c r="V351" s="12">
        <f ca="1">SUMIFS(TableDailySummary[Inversión meta ads],TableDailySummary[Fecha],"&gt;="&amp;TableWeeklySummary[[#This Row],[Desde]],TableDailySummary[Fecha],"&lt;="&amp;TableWeeklySummary[[#This Row],[Hasta]])</f>
        <v>0</v>
      </c>
      <c r="W351" s="12">
        <f ca="1">SUMIFS(TableDailySummary[Ventas meta ads],TableDailySummary[Fecha],"&gt;="&amp;TableWeeklySummary[[#This Row],[Desde]],TableDailySummary[Fecha],"&lt;="&amp;TableWeeklySummary[[#This Row],[Hasta]])</f>
        <v>0</v>
      </c>
      <c r="X351" s="12">
        <f ca="1">TableWeeklySummary[[#This Row],[Inversión google ads]]+TableWeeklySummary[[#This Row],[Inversión meta ads]]</f>
        <v>0</v>
      </c>
      <c r="Y351" s="12">
        <f ca="1">TableWeeklySummary[[#This Row],[Ventas google ads]]+TableWeeklySummary[[#This Row],[Ventas meta ads]]</f>
        <v>0</v>
      </c>
      <c r="Z351" s="14">
        <f ca="1">IFERROR(TableWeeklySummary[[#This Row],[Ventas publicidad]]/TableWeeklySummary[[#This Row],[Inversión publicidad]],0)</f>
        <v>0</v>
      </c>
      <c r="AA351" s="14">
        <f ca="1">IFERROR(TableWeeklySummary[[#This Row],[Ventas primer cliente]]/TableWeeklySummary[[#This Row],[Inversión publicidad]],0)</f>
        <v>0</v>
      </c>
      <c r="AB351" s="14"/>
      <c r="AC351" s="12"/>
      <c r="AI35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5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51" s="12">
        <f ca="1">SUMIFS(TableDailySummary[Utilidad bruta],TableDailySummary[Fecha],"&gt;="&amp;TableWeeklySummary[[#This Row],[Desde]],TableDailySummary[Fecha],"&lt;="&amp;TableWeeklySummary[[#This Row],[Hasta]])</f>
        <v>0</v>
      </c>
      <c r="AL351" s="18">
        <f ca="1">IFERROR(TableWeeklySummary[[#This Row],[Utilidad bruta]]/TableWeeklySummary[[#This Row],[Ventas netas con costo registrado]],0)</f>
        <v>0</v>
      </c>
    </row>
    <row r="352" spans="2:38" x14ac:dyDescent="0.2">
      <c r="B352" s="16">
        <f ca="1">_xlfn.ISOWEEKNUM(TableWeeklySummary[[#This Row],[Hasta]])</f>
        <v>25</v>
      </c>
      <c r="C352" s="6">
        <f t="shared" ca="1" si="7"/>
        <v>48376</v>
      </c>
      <c r="D352" s="6">
        <f ca="1">TableWeeklySummary[[#This Row],[Desde]]+7-1</f>
        <v>48382</v>
      </c>
      <c r="E352" s="12">
        <f ca="1">SUMIFS(TableDailySummary[Ventas netas totales],TableDailySummary[Fecha],"&gt;="&amp;TableWeeklySummary[[#This Row],[Desde]],TableDailySummary[Fecha],"&lt;="&amp;TableWeeklySummary[[#This Row],[Hasta]])</f>
        <v>0</v>
      </c>
      <c r="F352" s="12">
        <f ca="1">SUMIFS(TableDailySummary[Órdenes totales],TableDailySummary[Fecha],"&gt;="&amp;TableWeeklySummary[[#This Row],[Desde]],TableDailySummary[Fecha],"&lt;="&amp;TableWeeklySummary[[#This Row],[Hasta]])</f>
        <v>0</v>
      </c>
      <c r="G352" s="12">
        <f ca="1">IFERROR(TableWeeklySummary[[#This Row],[Ventas netas totales]]/TableWeeklySummary[[#This Row],[Órdenes totales]],0)</f>
        <v>0</v>
      </c>
      <c r="H35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52" s="12">
        <f ca="1">TableWeeklySummary[[#This Row],[Órden promedio totales]]*TableWeeklySummary[[#This Row],[CR totales]]</f>
        <v>0</v>
      </c>
      <c r="J352" s="12">
        <f ca="1">SUMIFS(TableDailySummary[Ventas primer cliente],TableDailySummary[Fecha],"&gt;="&amp;TableWeeklySummary[[#This Row],[Desde]],TableDailySummary[Fecha],"&lt;="&amp;TableWeeklySummary[[#This Row],[Hasta]])</f>
        <v>0</v>
      </c>
      <c r="K352" s="12">
        <f ca="1">SUMIFS(TableDailySummary[Órdenes primer cliente],TableDailySummary[Fecha],"&gt;="&amp;TableWeeklySummary[[#This Row],[Desde]],TableDailySummary[Fecha],"&lt;="&amp;TableWeeklySummary[[#This Row],[Hasta]])</f>
        <v>0</v>
      </c>
      <c r="L352" s="12">
        <f ca="1">SUMIFS(TableDailySummary[Online Store_net_sales],TableDailySummary[Fecha],"&gt;="&amp;TableWeeklySummary[[#This Row],[Desde]],TableDailySummary[Fecha],"&lt;="&amp;TableWeeklySummary[[#This Row],[Hasta]])</f>
        <v>0</v>
      </c>
      <c r="M352" s="12">
        <f ca="1">SUMIFS(TableDailySummary[Online Store_orders],TableDailySummary[Fecha],"&gt;="&amp;TableWeeklySummary[[#This Row],[Desde]],TableDailySummary[Fecha],"&lt;="&amp;TableWeeklySummary[[#This Row],[Hasta]])</f>
        <v>0</v>
      </c>
      <c r="N352" s="12">
        <f ca="1">SUMIFS(TableDailySummary[Tienda 81_net_sales],TableDailySummary[Fecha],"&gt;="&amp;TableWeeklySummary[[#This Row],[Desde]],TableDailySummary[Fecha],"&lt;="&amp;TableWeeklySummary[[#This Row],[Hasta]])</f>
        <v>0</v>
      </c>
      <c r="O352" s="12">
        <f ca="1">SUMIFS(TableDailySummary[Tienda 81_orders],TableDailySummary[Fecha],"&gt;="&amp;TableWeeklySummary[[#This Row],[Desde]],TableDailySummary[Fecha],"&lt;="&amp;TableWeeklySummary[[#This Row],[Hasta]])</f>
        <v>0</v>
      </c>
      <c r="P352" s="12">
        <f ca="1">SUMIFS(TableDailySummary[Rappi_net_sales],TableDailySummary[Fecha],"&gt;="&amp;TableWeeklySummary[[#This Row],[Desde]],TableDailySummary[Fecha],"&lt;="&amp;TableWeeklySummary[[#This Row],[Hasta]])</f>
        <v>0</v>
      </c>
      <c r="Q352" s="12">
        <f ca="1">SUMIFS(TableDailySummary[Rappi_orders],TableDailySummary[Fecha],"&gt;="&amp;TableWeeklySummary[[#This Row],[Desde]],TableDailySummary[Fecha],"&lt;="&amp;TableWeeklySummary[[#This Row],[Hasta]])</f>
        <v>0</v>
      </c>
      <c r="R35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5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52" s="12">
        <f ca="1">SUMIFS(TableDailySummary[Inversión google ads],TableDailySummary[Fecha],"&gt;="&amp;TableWeeklySummary[[#This Row],[Desde]],TableDailySummary[Fecha],"&lt;="&amp;TableWeeklySummary[[#This Row],[Hasta]])</f>
        <v>0</v>
      </c>
      <c r="U352" s="12">
        <f ca="1">SUMIFS(TableDailySummary[Ventas google ads],TableDailySummary[Fecha],"&gt;="&amp;TableWeeklySummary[[#This Row],[Desde]],TableDailySummary[Fecha],"&lt;="&amp;TableWeeklySummary[[#This Row],[Hasta]])</f>
        <v>0</v>
      </c>
      <c r="V352" s="12">
        <f ca="1">SUMIFS(TableDailySummary[Inversión meta ads],TableDailySummary[Fecha],"&gt;="&amp;TableWeeklySummary[[#This Row],[Desde]],TableDailySummary[Fecha],"&lt;="&amp;TableWeeklySummary[[#This Row],[Hasta]])</f>
        <v>0</v>
      </c>
      <c r="W352" s="12">
        <f ca="1">SUMIFS(TableDailySummary[Ventas meta ads],TableDailySummary[Fecha],"&gt;="&amp;TableWeeklySummary[[#This Row],[Desde]],TableDailySummary[Fecha],"&lt;="&amp;TableWeeklySummary[[#This Row],[Hasta]])</f>
        <v>0</v>
      </c>
      <c r="X352" s="12">
        <f ca="1">TableWeeklySummary[[#This Row],[Inversión google ads]]+TableWeeklySummary[[#This Row],[Inversión meta ads]]</f>
        <v>0</v>
      </c>
      <c r="Y352" s="12">
        <f ca="1">TableWeeklySummary[[#This Row],[Ventas google ads]]+TableWeeklySummary[[#This Row],[Ventas meta ads]]</f>
        <v>0</v>
      </c>
      <c r="Z352" s="14">
        <f ca="1">IFERROR(TableWeeklySummary[[#This Row],[Ventas publicidad]]/TableWeeklySummary[[#This Row],[Inversión publicidad]],0)</f>
        <v>0</v>
      </c>
      <c r="AA352" s="14">
        <f ca="1">IFERROR(TableWeeklySummary[[#This Row],[Ventas primer cliente]]/TableWeeklySummary[[#This Row],[Inversión publicidad]],0)</f>
        <v>0</v>
      </c>
      <c r="AB352" s="14"/>
      <c r="AC352" s="12"/>
      <c r="AI35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5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52" s="12">
        <f ca="1">SUMIFS(TableDailySummary[Utilidad bruta],TableDailySummary[Fecha],"&gt;="&amp;TableWeeklySummary[[#This Row],[Desde]],TableDailySummary[Fecha],"&lt;="&amp;TableWeeklySummary[[#This Row],[Hasta]])</f>
        <v>0</v>
      </c>
      <c r="AL352" s="18">
        <f ca="1">IFERROR(TableWeeklySummary[[#This Row],[Utilidad bruta]]/TableWeeklySummary[[#This Row],[Ventas netas con costo registrado]],0)</f>
        <v>0</v>
      </c>
    </row>
    <row r="353" spans="2:38" x14ac:dyDescent="0.2">
      <c r="B353" s="16">
        <f ca="1">_xlfn.ISOWEEKNUM(TableWeeklySummary[[#This Row],[Hasta]])</f>
        <v>26</v>
      </c>
      <c r="C353" s="6">
        <f t="shared" ca="1" si="7"/>
        <v>48383</v>
      </c>
      <c r="D353" s="6">
        <f ca="1">TableWeeklySummary[[#This Row],[Desde]]+7-1</f>
        <v>48389</v>
      </c>
      <c r="E353" s="12">
        <f ca="1">SUMIFS(TableDailySummary[Ventas netas totales],TableDailySummary[Fecha],"&gt;="&amp;TableWeeklySummary[[#This Row],[Desde]],TableDailySummary[Fecha],"&lt;="&amp;TableWeeklySummary[[#This Row],[Hasta]])</f>
        <v>0</v>
      </c>
      <c r="F353" s="12">
        <f ca="1">SUMIFS(TableDailySummary[Órdenes totales],TableDailySummary[Fecha],"&gt;="&amp;TableWeeklySummary[[#This Row],[Desde]],TableDailySummary[Fecha],"&lt;="&amp;TableWeeklySummary[[#This Row],[Hasta]])</f>
        <v>0</v>
      </c>
      <c r="G353" s="12">
        <f ca="1">IFERROR(TableWeeklySummary[[#This Row],[Ventas netas totales]]/TableWeeklySummary[[#This Row],[Órdenes totales]],0)</f>
        <v>0</v>
      </c>
      <c r="H35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53" s="12">
        <f ca="1">TableWeeklySummary[[#This Row],[Órden promedio totales]]*TableWeeklySummary[[#This Row],[CR totales]]</f>
        <v>0</v>
      </c>
      <c r="J353" s="12">
        <f ca="1">SUMIFS(TableDailySummary[Ventas primer cliente],TableDailySummary[Fecha],"&gt;="&amp;TableWeeklySummary[[#This Row],[Desde]],TableDailySummary[Fecha],"&lt;="&amp;TableWeeklySummary[[#This Row],[Hasta]])</f>
        <v>0</v>
      </c>
      <c r="K353" s="12">
        <f ca="1">SUMIFS(TableDailySummary[Órdenes primer cliente],TableDailySummary[Fecha],"&gt;="&amp;TableWeeklySummary[[#This Row],[Desde]],TableDailySummary[Fecha],"&lt;="&amp;TableWeeklySummary[[#This Row],[Hasta]])</f>
        <v>0</v>
      </c>
      <c r="L353" s="12">
        <f ca="1">SUMIFS(TableDailySummary[Online Store_net_sales],TableDailySummary[Fecha],"&gt;="&amp;TableWeeklySummary[[#This Row],[Desde]],TableDailySummary[Fecha],"&lt;="&amp;TableWeeklySummary[[#This Row],[Hasta]])</f>
        <v>0</v>
      </c>
      <c r="M353" s="12">
        <f ca="1">SUMIFS(TableDailySummary[Online Store_orders],TableDailySummary[Fecha],"&gt;="&amp;TableWeeklySummary[[#This Row],[Desde]],TableDailySummary[Fecha],"&lt;="&amp;TableWeeklySummary[[#This Row],[Hasta]])</f>
        <v>0</v>
      </c>
      <c r="N353" s="12">
        <f ca="1">SUMIFS(TableDailySummary[Tienda 81_net_sales],TableDailySummary[Fecha],"&gt;="&amp;TableWeeklySummary[[#This Row],[Desde]],TableDailySummary[Fecha],"&lt;="&amp;TableWeeklySummary[[#This Row],[Hasta]])</f>
        <v>0</v>
      </c>
      <c r="O353" s="12">
        <f ca="1">SUMIFS(TableDailySummary[Tienda 81_orders],TableDailySummary[Fecha],"&gt;="&amp;TableWeeklySummary[[#This Row],[Desde]],TableDailySummary[Fecha],"&lt;="&amp;TableWeeklySummary[[#This Row],[Hasta]])</f>
        <v>0</v>
      </c>
      <c r="P353" s="12">
        <f ca="1">SUMIFS(TableDailySummary[Rappi_net_sales],TableDailySummary[Fecha],"&gt;="&amp;TableWeeklySummary[[#This Row],[Desde]],TableDailySummary[Fecha],"&lt;="&amp;TableWeeklySummary[[#This Row],[Hasta]])</f>
        <v>0</v>
      </c>
      <c r="Q353" s="12">
        <f ca="1">SUMIFS(TableDailySummary[Rappi_orders],TableDailySummary[Fecha],"&gt;="&amp;TableWeeklySummary[[#This Row],[Desde]],TableDailySummary[Fecha],"&lt;="&amp;TableWeeklySummary[[#This Row],[Hasta]])</f>
        <v>0</v>
      </c>
      <c r="R35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5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53" s="12">
        <f ca="1">SUMIFS(TableDailySummary[Inversión google ads],TableDailySummary[Fecha],"&gt;="&amp;TableWeeklySummary[[#This Row],[Desde]],TableDailySummary[Fecha],"&lt;="&amp;TableWeeklySummary[[#This Row],[Hasta]])</f>
        <v>0</v>
      </c>
      <c r="U353" s="12">
        <f ca="1">SUMIFS(TableDailySummary[Ventas google ads],TableDailySummary[Fecha],"&gt;="&amp;TableWeeklySummary[[#This Row],[Desde]],TableDailySummary[Fecha],"&lt;="&amp;TableWeeklySummary[[#This Row],[Hasta]])</f>
        <v>0</v>
      </c>
      <c r="V353" s="12">
        <f ca="1">SUMIFS(TableDailySummary[Inversión meta ads],TableDailySummary[Fecha],"&gt;="&amp;TableWeeklySummary[[#This Row],[Desde]],TableDailySummary[Fecha],"&lt;="&amp;TableWeeklySummary[[#This Row],[Hasta]])</f>
        <v>0</v>
      </c>
      <c r="W353" s="12">
        <f ca="1">SUMIFS(TableDailySummary[Ventas meta ads],TableDailySummary[Fecha],"&gt;="&amp;TableWeeklySummary[[#This Row],[Desde]],TableDailySummary[Fecha],"&lt;="&amp;TableWeeklySummary[[#This Row],[Hasta]])</f>
        <v>0</v>
      </c>
      <c r="X353" s="12">
        <f ca="1">TableWeeklySummary[[#This Row],[Inversión google ads]]+TableWeeklySummary[[#This Row],[Inversión meta ads]]</f>
        <v>0</v>
      </c>
      <c r="Y353" s="12">
        <f ca="1">TableWeeklySummary[[#This Row],[Ventas google ads]]+TableWeeklySummary[[#This Row],[Ventas meta ads]]</f>
        <v>0</v>
      </c>
      <c r="Z353" s="14">
        <f ca="1">IFERROR(TableWeeklySummary[[#This Row],[Ventas publicidad]]/TableWeeklySummary[[#This Row],[Inversión publicidad]],0)</f>
        <v>0</v>
      </c>
      <c r="AA353" s="14">
        <f ca="1">IFERROR(TableWeeklySummary[[#This Row],[Ventas primer cliente]]/TableWeeklySummary[[#This Row],[Inversión publicidad]],0)</f>
        <v>0</v>
      </c>
      <c r="AB353" s="14"/>
      <c r="AC353" s="12"/>
      <c r="AI35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5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53" s="12">
        <f ca="1">SUMIFS(TableDailySummary[Utilidad bruta],TableDailySummary[Fecha],"&gt;="&amp;TableWeeklySummary[[#This Row],[Desde]],TableDailySummary[Fecha],"&lt;="&amp;TableWeeklySummary[[#This Row],[Hasta]])</f>
        <v>0</v>
      </c>
      <c r="AL353" s="18">
        <f ca="1">IFERROR(TableWeeklySummary[[#This Row],[Utilidad bruta]]/TableWeeklySummary[[#This Row],[Ventas netas con costo registrado]],0)</f>
        <v>0</v>
      </c>
    </row>
    <row r="354" spans="2:38" x14ac:dyDescent="0.2">
      <c r="B354" s="16">
        <f ca="1">_xlfn.ISOWEEKNUM(TableWeeklySummary[[#This Row],[Hasta]])</f>
        <v>27</v>
      </c>
      <c r="C354" s="6">
        <f t="shared" ca="1" si="7"/>
        <v>48390</v>
      </c>
      <c r="D354" s="6">
        <f ca="1">TableWeeklySummary[[#This Row],[Desde]]+7-1</f>
        <v>48396</v>
      </c>
      <c r="E354" s="12">
        <f ca="1">SUMIFS(TableDailySummary[Ventas netas totales],TableDailySummary[Fecha],"&gt;="&amp;TableWeeklySummary[[#This Row],[Desde]],TableDailySummary[Fecha],"&lt;="&amp;TableWeeklySummary[[#This Row],[Hasta]])</f>
        <v>0</v>
      </c>
      <c r="F354" s="12">
        <f ca="1">SUMIFS(TableDailySummary[Órdenes totales],TableDailySummary[Fecha],"&gt;="&amp;TableWeeklySummary[[#This Row],[Desde]],TableDailySummary[Fecha],"&lt;="&amp;TableWeeklySummary[[#This Row],[Hasta]])</f>
        <v>0</v>
      </c>
      <c r="G354" s="12">
        <f ca="1">IFERROR(TableWeeklySummary[[#This Row],[Ventas netas totales]]/TableWeeklySummary[[#This Row],[Órdenes totales]],0)</f>
        <v>0</v>
      </c>
      <c r="H35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54" s="12">
        <f ca="1">TableWeeklySummary[[#This Row],[Órden promedio totales]]*TableWeeklySummary[[#This Row],[CR totales]]</f>
        <v>0</v>
      </c>
      <c r="J354" s="12">
        <f ca="1">SUMIFS(TableDailySummary[Ventas primer cliente],TableDailySummary[Fecha],"&gt;="&amp;TableWeeklySummary[[#This Row],[Desde]],TableDailySummary[Fecha],"&lt;="&amp;TableWeeklySummary[[#This Row],[Hasta]])</f>
        <v>0</v>
      </c>
      <c r="K354" s="12">
        <f ca="1">SUMIFS(TableDailySummary[Órdenes primer cliente],TableDailySummary[Fecha],"&gt;="&amp;TableWeeklySummary[[#This Row],[Desde]],TableDailySummary[Fecha],"&lt;="&amp;TableWeeklySummary[[#This Row],[Hasta]])</f>
        <v>0</v>
      </c>
      <c r="L354" s="12">
        <f ca="1">SUMIFS(TableDailySummary[Online Store_net_sales],TableDailySummary[Fecha],"&gt;="&amp;TableWeeklySummary[[#This Row],[Desde]],TableDailySummary[Fecha],"&lt;="&amp;TableWeeklySummary[[#This Row],[Hasta]])</f>
        <v>0</v>
      </c>
      <c r="M354" s="12">
        <f ca="1">SUMIFS(TableDailySummary[Online Store_orders],TableDailySummary[Fecha],"&gt;="&amp;TableWeeklySummary[[#This Row],[Desde]],TableDailySummary[Fecha],"&lt;="&amp;TableWeeklySummary[[#This Row],[Hasta]])</f>
        <v>0</v>
      </c>
      <c r="N354" s="12">
        <f ca="1">SUMIFS(TableDailySummary[Tienda 81_net_sales],TableDailySummary[Fecha],"&gt;="&amp;TableWeeklySummary[[#This Row],[Desde]],TableDailySummary[Fecha],"&lt;="&amp;TableWeeklySummary[[#This Row],[Hasta]])</f>
        <v>0</v>
      </c>
      <c r="O354" s="12">
        <f ca="1">SUMIFS(TableDailySummary[Tienda 81_orders],TableDailySummary[Fecha],"&gt;="&amp;TableWeeklySummary[[#This Row],[Desde]],TableDailySummary[Fecha],"&lt;="&amp;TableWeeklySummary[[#This Row],[Hasta]])</f>
        <v>0</v>
      </c>
      <c r="P354" s="12">
        <f ca="1">SUMIFS(TableDailySummary[Rappi_net_sales],TableDailySummary[Fecha],"&gt;="&amp;TableWeeklySummary[[#This Row],[Desde]],TableDailySummary[Fecha],"&lt;="&amp;TableWeeklySummary[[#This Row],[Hasta]])</f>
        <v>0</v>
      </c>
      <c r="Q354" s="12">
        <f ca="1">SUMIFS(TableDailySummary[Rappi_orders],TableDailySummary[Fecha],"&gt;="&amp;TableWeeklySummary[[#This Row],[Desde]],TableDailySummary[Fecha],"&lt;="&amp;TableWeeklySummary[[#This Row],[Hasta]])</f>
        <v>0</v>
      </c>
      <c r="R35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5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54" s="12">
        <f ca="1">SUMIFS(TableDailySummary[Inversión google ads],TableDailySummary[Fecha],"&gt;="&amp;TableWeeklySummary[[#This Row],[Desde]],TableDailySummary[Fecha],"&lt;="&amp;TableWeeklySummary[[#This Row],[Hasta]])</f>
        <v>0</v>
      </c>
      <c r="U354" s="12">
        <f ca="1">SUMIFS(TableDailySummary[Ventas google ads],TableDailySummary[Fecha],"&gt;="&amp;TableWeeklySummary[[#This Row],[Desde]],TableDailySummary[Fecha],"&lt;="&amp;TableWeeklySummary[[#This Row],[Hasta]])</f>
        <v>0</v>
      </c>
      <c r="V354" s="12">
        <f ca="1">SUMIFS(TableDailySummary[Inversión meta ads],TableDailySummary[Fecha],"&gt;="&amp;TableWeeklySummary[[#This Row],[Desde]],TableDailySummary[Fecha],"&lt;="&amp;TableWeeklySummary[[#This Row],[Hasta]])</f>
        <v>0</v>
      </c>
      <c r="W354" s="12">
        <f ca="1">SUMIFS(TableDailySummary[Ventas meta ads],TableDailySummary[Fecha],"&gt;="&amp;TableWeeklySummary[[#This Row],[Desde]],TableDailySummary[Fecha],"&lt;="&amp;TableWeeklySummary[[#This Row],[Hasta]])</f>
        <v>0</v>
      </c>
      <c r="X354" s="12">
        <f ca="1">TableWeeklySummary[[#This Row],[Inversión google ads]]+TableWeeklySummary[[#This Row],[Inversión meta ads]]</f>
        <v>0</v>
      </c>
      <c r="Y354" s="12">
        <f ca="1">TableWeeklySummary[[#This Row],[Ventas google ads]]+TableWeeklySummary[[#This Row],[Ventas meta ads]]</f>
        <v>0</v>
      </c>
      <c r="Z354" s="14">
        <f ca="1">IFERROR(TableWeeklySummary[[#This Row],[Ventas publicidad]]/TableWeeklySummary[[#This Row],[Inversión publicidad]],0)</f>
        <v>0</v>
      </c>
      <c r="AA354" s="14">
        <f ca="1">IFERROR(TableWeeklySummary[[#This Row],[Ventas primer cliente]]/TableWeeklySummary[[#This Row],[Inversión publicidad]],0)</f>
        <v>0</v>
      </c>
      <c r="AB354" s="14"/>
      <c r="AC354" s="12"/>
      <c r="AI35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5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54" s="12">
        <f ca="1">SUMIFS(TableDailySummary[Utilidad bruta],TableDailySummary[Fecha],"&gt;="&amp;TableWeeklySummary[[#This Row],[Desde]],TableDailySummary[Fecha],"&lt;="&amp;TableWeeklySummary[[#This Row],[Hasta]])</f>
        <v>0</v>
      </c>
      <c r="AL354" s="18">
        <f ca="1">IFERROR(TableWeeklySummary[[#This Row],[Utilidad bruta]]/TableWeeklySummary[[#This Row],[Ventas netas con costo registrado]],0)</f>
        <v>0</v>
      </c>
    </row>
    <row r="355" spans="2:38" x14ac:dyDescent="0.2">
      <c r="B355" s="16">
        <f ca="1">_xlfn.ISOWEEKNUM(TableWeeklySummary[[#This Row],[Hasta]])</f>
        <v>28</v>
      </c>
      <c r="C355" s="6">
        <f t="shared" ca="1" si="7"/>
        <v>48397</v>
      </c>
      <c r="D355" s="6">
        <f ca="1">TableWeeklySummary[[#This Row],[Desde]]+7-1</f>
        <v>48403</v>
      </c>
      <c r="E355" s="12">
        <f ca="1">SUMIFS(TableDailySummary[Ventas netas totales],TableDailySummary[Fecha],"&gt;="&amp;TableWeeklySummary[[#This Row],[Desde]],TableDailySummary[Fecha],"&lt;="&amp;TableWeeklySummary[[#This Row],[Hasta]])</f>
        <v>0</v>
      </c>
      <c r="F355" s="12">
        <f ca="1">SUMIFS(TableDailySummary[Órdenes totales],TableDailySummary[Fecha],"&gt;="&amp;TableWeeklySummary[[#This Row],[Desde]],TableDailySummary[Fecha],"&lt;="&amp;TableWeeklySummary[[#This Row],[Hasta]])</f>
        <v>0</v>
      </c>
      <c r="G355" s="12">
        <f ca="1">IFERROR(TableWeeklySummary[[#This Row],[Ventas netas totales]]/TableWeeklySummary[[#This Row],[Órdenes totales]],0)</f>
        <v>0</v>
      </c>
      <c r="H35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55" s="12">
        <f ca="1">TableWeeklySummary[[#This Row],[Órden promedio totales]]*TableWeeklySummary[[#This Row],[CR totales]]</f>
        <v>0</v>
      </c>
      <c r="J355" s="12">
        <f ca="1">SUMIFS(TableDailySummary[Ventas primer cliente],TableDailySummary[Fecha],"&gt;="&amp;TableWeeklySummary[[#This Row],[Desde]],TableDailySummary[Fecha],"&lt;="&amp;TableWeeklySummary[[#This Row],[Hasta]])</f>
        <v>0</v>
      </c>
      <c r="K355" s="12">
        <f ca="1">SUMIFS(TableDailySummary[Órdenes primer cliente],TableDailySummary[Fecha],"&gt;="&amp;TableWeeklySummary[[#This Row],[Desde]],TableDailySummary[Fecha],"&lt;="&amp;TableWeeklySummary[[#This Row],[Hasta]])</f>
        <v>0</v>
      </c>
      <c r="L355" s="12">
        <f ca="1">SUMIFS(TableDailySummary[Online Store_net_sales],TableDailySummary[Fecha],"&gt;="&amp;TableWeeklySummary[[#This Row],[Desde]],TableDailySummary[Fecha],"&lt;="&amp;TableWeeklySummary[[#This Row],[Hasta]])</f>
        <v>0</v>
      </c>
      <c r="M355" s="12">
        <f ca="1">SUMIFS(TableDailySummary[Online Store_orders],TableDailySummary[Fecha],"&gt;="&amp;TableWeeklySummary[[#This Row],[Desde]],TableDailySummary[Fecha],"&lt;="&amp;TableWeeklySummary[[#This Row],[Hasta]])</f>
        <v>0</v>
      </c>
      <c r="N355" s="12">
        <f ca="1">SUMIFS(TableDailySummary[Tienda 81_net_sales],TableDailySummary[Fecha],"&gt;="&amp;TableWeeklySummary[[#This Row],[Desde]],TableDailySummary[Fecha],"&lt;="&amp;TableWeeklySummary[[#This Row],[Hasta]])</f>
        <v>0</v>
      </c>
      <c r="O355" s="12">
        <f ca="1">SUMIFS(TableDailySummary[Tienda 81_orders],TableDailySummary[Fecha],"&gt;="&amp;TableWeeklySummary[[#This Row],[Desde]],TableDailySummary[Fecha],"&lt;="&amp;TableWeeklySummary[[#This Row],[Hasta]])</f>
        <v>0</v>
      </c>
      <c r="P355" s="12">
        <f ca="1">SUMIFS(TableDailySummary[Rappi_net_sales],TableDailySummary[Fecha],"&gt;="&amp;TableWeeklySummary[[#This Row],[Desde]],TableDailySummary[Fecha],"&lt;="&amp;TableWeeklySummary[[#This Row],[Hasta]])</f>
        <v>0</v>
      </c>
      <c r="Q355" s="12">
        <f ca="1">SUMIFS(TableDailySummary[Rappi_orders],TableDailySummary[Fecha],"&gt;="&amp;TableWeeklySummary[[#This Row],[Desde]],TableDailySummary[Fecha],"&lt;="&amp;TableWeeklySummary[[#This Row],[Hasta]])</f>
        <v>0</v>
      </c>
      <c r="R35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5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55" s="12">
        <f ca="1">SUMIFS(TableDailySummary[Inversión google ads],TableDailySummary[Fecha],"&gt;="&amp;TableWeeklySummary[[#This Row],[Desde]],TableDailySummary[Fecha],"&lt;="&amp;TableWeeklySummary[[#This Row],[Hasta]])</f>
        <v>0</v>
      </c>
      <c r="U355" s="12">
        <f ca="1">SUMIFS(TableDailySummary[Ventas google ads],TableDailySummary[Fecha],"&gt;="&amp;TableWeeklySummary[[#This Row],[Desde]],TableDailySummary[Fecha],"&lt;="&amp;TableWeeklySummary[[#This Row],[Hasta]])</f>
        <v>0</v>
      </c>
      <c r="V355" s="12">
        <f ca="1">SUMIFS(TableDailySummary[Inversión meta ads],TableDailySummary[Fecha],"&gt;="&amp;TableWeeklySummary[[#This Row],[Desde]],TableDailySummary[Fecha],"&lt;="&amp;TableWeeklySummary[[#This Row],[Hasta]])</f>
        <v>0</v>
      </c>
      <c r="W355" s="12">
        <f ca="1">SUMIFS(TableDailySummary[Ventas meta ads],TableDailySummary[Fecha],"&gt;="&amp;TableWeeklySummary[[#This Row],[Desde]],TableDailySummary[Fecha],"&lt;="&amp;TableWeeklySummary[[#This Row],[Hasta]])</f>
        <v>0</v>
      </c>
      <c r="X355" s="12">
        <f ca="1">TableWeeklySummary[[#This Row],[Inversión google ads]]+TableWeeklySummary[[#This Row],[Inversión meta ads]]</f>
        <v>0</v>
      </c>
      <c r="Y355" s="12">
        <f ca="1">TableWeeklySummary[[#This Row],[Ventas google ads]]+TableWeeklySummary[[#This Row],[Ventas meta ads]]</f>
        <v>0</v>
      </c>
      <c r="Z355" s="14">
        <f ca="1">IFERROR(TableWeeklySummary[[#This Row],[Ventas publicidad]]/TableWeeklySummary[[#This Row],[Inversión publicidad]],0)</f>
        <v>0</v>
      </c>
      <c r="AA355" s="14">
        <f ca="1">IFERROR(TableWeeklySummary[[#This Row],[Ventas primer cliente]]/TableWeeklySummary[[#This Row],[Inversión publicidad]],0)</f>
        <v>0</v>
      </c>
      <c r="AB355" s="14"/>
      <c r="AC355" s="12"/>
      <c r="AI35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5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55" s="12">
        <f ca="1">SUMIFS(TableDailySummary[Utilidad bruta],TableDailySummary[Fecha],"&gt;="&amp;TableWeeklySummary[[#This Row],[Desde]],TableDailySummary[Fecha],"&lt;="&amp;TableWeeklySummary[[#This Row],[Hasta]])</f>
        <v>0</v>
      </c>
      <c r="AL355" s="18">
        <f ca="1">IFERROR(TableWeeklySummary[[#This Row],[Utilidad bruta]]/TableWeeklySummary[[#This Row],[Ventas netas con costo registrado]],0)</f>
        <v>0</v>
      </c>
    </row>
    <row r="356" spans="2:38" x14ac:dyDescent="0.2">
      <c r="B356" s="16">
        <f ca="1">_xlfn.ISOWEEKNUM(TableWeeklySummary[[#This Row],[Hasta]])</f>
        <v>29</v>
      </c>
      <c r="C356" s="6">
        <f t="shared" ca="1" si="7"/>
        <v>48404</v>
      </c>
      <c r="D356" s="6">
        <f ca="1">TableWeeklySummary[[#This Row],[Desde]]+7-1</f>
        <v>48410</v>
      </c>
      <c r="E356" s="12">
        <f ca="1">SUMIFS(TableDailySummary[Ventas netas totales],TableDailySummary[Fecha],"&gt;="&amp;TableWeeklySummary[[#This Row],[Desde]],TableDailySummary[Fecha],"&lt;="&amp;TableWeeklySummary[[#This Row],[Hasta]])</f>
        <v>0</v>
      </c>
      <c r="F356" s="12">
        <f ca="1">SUMIFS(TableDailySummary[Órdenes totales],TableDailySummary[Fecha],"&gt;="&amp;TableWeeklySummary[[#This Row],[Desde]],TableDailySummary[Fecha],"&lt;="&amp;TableWeeklySummary[[#This Row],[Hasta]])</f>
        <v>0</v>
      </c>
      <c r="G356" s="12">
        <f ca="1">IFERROR(TableWeeklySummary[[#This Row],[Ventas netas totales]]/TableWeeklySummary[[#This Row],[Órdenes totales]],0)</f>
        <v>0</v>
      </c>
      <c r="H35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56" s="12">
        <f ca="1">TableWeeklySummary[[#This Row],[Órden promedio totales]]*TableWeeklySummary[[#This Row],[CR totales]]</f>
        <v>0</v>
      </c>
      <c r="J356" s="12">
        <f ca="1">SUMIFS(TableDailySummary[Ventas primer cliente],TableDailySummary[Fecha],"&gt;="&amp;TableWeeklySummary[[#This Row],[Desde]],TableDailySummary[Fecha],"&lt;="&amp;TableWeeklySummary[[#This Row],[Hasta]])</f>
        <v>0</v>
      </c>
      <c r="K356" s="12">
        <f ca="1">SUMIFS(TableDailySummary[Órdenes primer cliente],TableDailySummary[Fecha],"&gt;="&amp;TableWeeklySummary[[#This Row],[Desde]],TableDailySummary[Fecha],"&lt;="&amp;TableWeeklySummary[[#This Row],[Hasta]])</f>
        <v>0</v>
      </c>
      <c r="L356" s="12">
        <f ca="1">SUMIFS(TableDailySummary[Online Store_net_sales],TableDailySummary[Fecha],"&gt;="&amp;TableWeeklySummary[[#This Row],[Desde]],TableDailySummary[Fecha],"&lt;="&amp;TableWeeklySummary[[#This Row],[Hasta]])</f>
        <v>0</v>
      </c>
      <c r="M356" s="12">
        <f ca="1">SUMIFS(TableDailySummary[Online Store_orders],TableDailySummary[Fecha],"&gt;="&amp;TableWeeklySummary[[#This Row],[Desde]],TableDailySummary[Fecha],"&lt;="&amp;TableWeeklySummary[[#This Row],[Hasta]])</f>
        <v>0</v>
      </c>
      <c r="N356" s="12">
        <f ca="1">SUMIFS(TableDailySummary[Tienda 81_net_sales],TableDailySummary[Fecha],"&gt;="&amp;TableWeeklySummary[[#This Row],[Desde]],TableDailySummary[Fecha],"&lt;="&amp;TableWeeklySummary[[#This Row],[Hasta]])</f>
        <v>0</v>
      </c>
      <c r="O356" s="12">
        <f ca="1">SUMIFS(TableDailySummary[Tienda 81_orders],TableDailySummary[Fecha],"&gt;="&amp;TableWeeklySummary[[#This Row],[Desde]],TableDailySummary[Fecha],"&lt;="&amp;TableWeeklySummary[[#This Row],[Hasta]])</f>
        <v>0</v>
      </c>
      <c r="P356" s="12">
        <f ca="1">SUMIFS(TableDailySummary[Rappi_net_sales],TableDailySummary[Fecha],"&gt;="&amp;TableWeeklySummary[[#This Row],[Desde]],TableDailySummary[Fecha],"&lt;="&amp;TableWeeklySummary[[#This Row],[Hasta]])</f>
        <v>0</v>
      </c>
      <c r="Q356" s="12">
        <f ca="1">SUMIFS(TableDailySummary[Rappi_orders],TableDailySummary[Fecha],"&gt;="&amp;TableWeeklySummary[[#This Row],[Desde]],TableDailySummary[Fecha],"&lt;="&amp;TableWeeklySummary[[#This Row],[Hasta]])</f>
        <v>0</v>
      </c>
      <c r="R35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5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56" s="12">
        <f ca="1">SUMIFS(TableDailySummary[Inversión google ads],TableDailySummary[Fecha],"&gt;="&amp;TableWeeklySummary[[#This Row],[Desde]],TableDailySummary[Fecha],"&lt;="&amp;TableWeeklySummary[[#This Row],[Hasta]])</f>
        <v>0</v>
      </c>
      <c r="U356" s="12">
        <f ca="1">SUMIFS(TableDailySummary[Ventas google ads],TableDailySummary[Fecha],"&gt;="&amp;TableWeeklySummary[[#This Row],[Desde]],TableDailySummary[Fecha],"&lt;="&amp;TableWeeklySummary[[#This Row],[Hasta]])</f>
        <v>0</v>
      </c>
      <c r="V356" s="12">
        <f ca="1">SUMIFS(TableDailySummary[Inversión meta ads],TableDailySummary[Fecha],"&gt;="&amp;TableWeeklySummary[[#This Row],[Desde]],TableDailySummary[Fecha],"&lt;="&amp;TableWeeklySummary[[#This Row],[Hasta]])</f>
        <v>0</v>
      </c>
      <c r="W356" s="12">
        <f ca="1">SUMIFS(TableDailySummary[Ventas meta ads],TableDailySummary[Fecha],"&gt;="&amp;TableWeeklySummary[[#This Row],[Desde]],TableDailySummary[Fecha],"&lt;="&amp;TableWeeklySummary[[#This Row],[Hasta]])</f>
        <v>0</v>
      </c>
      <c r="X356" s="12">
        <f ca="1">TableWeeklySummary[[#This Row],[Inversión google ads]]+TableWeeklySummary[[#This Row],[Inversión meta ads]]</f>
        <v>0</v>
      </c>
      <c r="Y356" s="12">
        <f ca="1">TableWeeklySummary[[#This Row],[Ventas google ads]]+TableWeeklySummary[[#This Row],[Ventas meta ads]]</f>
        <v>0</v>
      </c>
      <c r="Z356" s="14">
        <f ca="1">IFERROR(TableWeeklySummary[[#This Row],[Ventas publicidad]]/TableWeeklySummary[[#This Row],[Inversión publicidad]],0)</f>
        <v>0</v>
      </c>
      <c r="AA356" s="14">
        <f ca="1">IFERROR(TableWeeklySummary[[#This Row],[Ventas primer cliente]]/TableWeeklySummary[[#This Row],[Inversión publicidad]],0)</f>
        <v>0</v>
      </c>
      <c r="AB356" s="14"/>
      <c r="AC356" s="12"/>
      <c r="AI35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5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56" s="12">
        <f ca="1">SUMIFS(TableDailySummary[Utilidad bruta],TableDailySummary[Fecha],"&gt;="&amp;TableWeeklySummary[[#This Row],[Desde]],TableDailySummary[Fecha],"&lt;="&amp;TableWeeklySummary[[#This Row],[Hasta]])</f>
        <v>0</v>
      </c>
      <c r="AL356" s="18">
        <f ca="1">IFERROR(TableWeeklySummary[[#This Row],[Utilidad bruta]]/TableWeeklySummary[[#This Row],[Ventas netas con costo registrado]],0)</f>
        <v>0</v>
      </c>
    </row>
    <row r="357" spans="2:38" x14ac:dyDescent="0.2">
      <c r="B357" s="16">
        <f ca="1">_xlfn.ISOWEEKNUM(TableWeeklySummary[[#This Row],[Hasta]])</f>
        <v>30</v>
      </c>
      <c r="C357" s="6">
        <f t="shared" ca="1" si="7"/>
        <v>48411</v>
      </c>
      <c r="D357" s="6">
        <f ca="1">TableWeeklySummary[[#This Row],[Desde]]+7-1</f>
        <v>48417</v>
      </c>
      <c r="E357" s="12">
        <f ca="1">SUMIFS(TableDailySummary[Ventas netas totales],TableDailySummary[Fecha],"&gt;="&amp;TableWeeklySummary[[#This Row],[Desde]],TableDailySummary[Fecha],"&lt;="&amp;TableWeeklySummary[[#This Row],[Hasta]])</f>
        <v>0</v>
      </c>
      <c r="F357" s="12">
        <f ca="1">SUMIFS(TableDailySummary[Órdenes totales],TableDailySummary[Fecha],"&gt;="&amp;TableWeeklySummary[[#This Row],[Desde]],TableDailySummary[Fecha],"&lt;="&amp;TableWeeklySummary[[#This Row],[Hasta]])</f>
        <v>0</v>
      </c>
      <c r="G357" s="12">
        <f ca="1">IFERROR(TableWeeklySummary[[#This Row],[Ventas netas totales]]/TableWeeklySummary[[#This Row],[Órdenes totales]],0)</f>
        <v>0</v>
      </c>
      <c r="H35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57" s="12">
        <f ca="1">TableWeeklySummary[[#This Row],[Órden promedio totales]]*TableWeeklySummary[[#This Row],[CR totales]]</f>
        <v>0</v>
      </c>
      <c r="J357" s="12">
        <f ca="1">SUMIFS(TableDailySummary[Ventas primer cliente],TableDailySummary[Fecha],"&gt;="&amp;TableWeeklySummary[[#This Row],[Desde]],TableDailySummary[Fecha],"&lt;="&amp;TableWeeklySummary[[#This Row],[Hasta]])</f>
        <v>0</v>
      </c>
      <c r="K357" s="12">
        <f ca="1">SUMIFS(TableDailySummary[Órdenes primer cliente],TableDailySummary[Fecha],"&gt;="&amp;TableWeeklySummary[[#This Row],[Desde]],TableDailySummary[Fecha],"&lt;="&amp;TableWeeklySummary[[#This Row],[Hasta]])</f>
        <v>0</v>
      </c>
      <c r="L357" s="12">
        <f ca="1">SUMIFS(TableDailySummary[Online Store_net_sales],TableDailySummary[Fecha],"&gt;="&amp;TableWeeklySummary[[#This Row],[Desde]],TableDailySummary[Fecha],"&lt;="&amp;TableWeeklySummary[[#This Row],[Hasta]])</f>
        <v>0</v>
      </c>
      <c r="M357" s="12">
        <f ca="1">SUMIFS(TableDailySummary[Online Store_orders],TableDailySummary[Fecha],"&gt;="&amp;TableWeeklySummary[[#This Row],[Desde]],TableDailySummary[Fecha],"&lt;="&amp;TableWeeklySummary[[#This Row],[Hasta]])</f>
        <v>0</v>
      </c>
      <c r="N357" s="12">
        <f ca="1">SUMIFS(TableDailySummary[Tienda 81_net_sales],TableDailySummary[Fecha],"&gt;="&amp;TableWeeklySummary[[#This Row],[Desde]],TableDailySummary[Fecha],"&lt;="&amp;TableWeeklySummary[[#This Row],[Hasta]])</f>
        <v>0</v>
      </c>
      <c r="O357" s="12">
        <f ca="1">SUMIFS(TableDailySummary[Tienda 81_orders],TableDailySummary[Fecha],"&gt;="&amp;TableWeeklySummary[[#This Row],[Desde]],TableDailySummary[Fecha],"&lt;="&amp;TableWeeklySummary[[#This Row],[Hasta]])</f>
        <v>0</v>
      </c>
      <c r="P357" s="12">
        <f ca="1">SUMIFS(TableDailySummary[Rappi_net_sales],TableDailySummary[Fecha],"&gt;="&amp;TableWeeklySummary[[#This Row],[Desde]],TableDailySummary[Fecha],"&lt;="&amp;TableWeeklySummary[[#This Row],[Hasta]])</f>
        <v>0</v>
      </c>
      <c r="Q357" s="12">
        <f ca="1">SUMIFS(TableDailySummary[Rappi_orders],TableDailySummary[Fecha],"&gt;="&amp;TableWeeklySummary[[#This Row],[Desde]],TableDailySummary[Fecha],"&lt;="&amp;TableWeeklySummary[[#This Row],[Hasta]])</f>
        <v>0</v>
      </c>
      <c r="R35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5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57" s="12">
        <f ca="1">SUMIFS(TableDailySummary[Inversión google ads],TableDailySummary[Fecha],"&gt;="&amp;TableWeeklySummary[[#This Row],[Desde]],TableDailySummary[Fecha],"&lt;="&amp;TableWeeklySummary[[#This Row],[Hasta]])</f>
        <v>0</v>
      </c>
      <c r="U357" s="12">
        <f ca="1">SUMIFS(TableDailySummary[Ventas google ads],TableDailySummary[Fecha],"&gt;="&amp;TableWeeklySummary[[#This Row],[Desde]],TableDailySummary[Fecha],"&lt;="&amp;TableWeeklySummary[[#This Row],[Hasta]])</f>
        <v>0</v>
      </c>
      <c r="V357" s="12">
        <f ca="1">SUMIFS(TableDailySummary[Inversión meta ads],TableDailySummary[Fecha],"&gt;="&amp;TableWeeklySummary[[#This Row],[Desde]],TableDailySummary[Fecha],"&lt;="&amp;TableWeeklySummary[[#This Row],[Hasta]])</f>
        <v>0</v>
      </c>
      <c r="W357" s="12">
        <f ca="1">SUMIFS(TableDailySummary[Ventas meta ads],TableDailySummary[Fecha],"&gt;="&amp;TableWeeklySummary[[#This Row],[Desde]],TableDailySummary[Fecha],"&lt;="&amp;TableWeeklySummary[[#This Row],[Hasta]])</f>
        <v>0</v>
      </c>
      <c r="X357" s="12">
        <f ca="1">TableWeeklySummary[[#This Row],[Inversión google ads]]+TableWeeklySummary[[#This Row],[Inversión meta ads]]</f>
        <v>0</v>
      </c>
      <c r="Y357" s="12">
        <f ca="1">TableWeeklySummary[[#This Row],[Ventas google ads]]+TableWeeklySummary[[#This Row],[Ventas meta ads]]</f>
        <v>0</v>
      </c>
      <c r="Z357" s="14">
        <f ca="1">IFERROR(TableWeeklySummary[[#This Row],[Ventas publicidad]]/TableWeeklySummary[[#This Row],[Inversión publicidad]],0)</f>
        <v>0</v>
      </c>
      <c r="AA357" s="14">
        <f ca="1">IFERROR(TableWeeklySummary[[#This Row],[Ventas primer cliente]]/TableWeeklySummary[[#This Row],[Inversión publicidad]],0)</f>
        <v>0</v>
      </c>
      <c r="AB357" s="14"/>
      <c r="AC357" s="12"/>
      <c r="AI35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5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57" s="12">
        <f ca="1">SUMIFS(TableDailySummary[Utilidad bruta],TableDailySummary[Fecha],"&gt;="&amp;TableWeeklySummary[[#This Row],[Desde]],TableDailySummary[Fecha],"&lt;="&amp;TableWeeklySummary[[#This Row],[Hasta]])</f>
        <v>0</v>
      </c>
      <c r="AL357" s="18">
        <f ca="1">IFERROR(TableWeeklySummary[[#This Row],[Utilidad bruta]]/TableWeeklySummary[[#This Row],[Ventas netas con costo registrado]],0)</f>
        <v>0</v>
      </c>
    </row>
    <row r="358" spans="2:38" x14ac:dyDescent="0.2">
      <c r="B358" s="16">
        <f ca="1">_xlfn.ISOWEEKNUM(TableWeeklySummary[[#This Row],[Hasta]])</f>
        <v>31</v>
      </c>
      <c r="C358" s="6">
        <f t="shared" ca="1" si="7"/>
        <v>48418</v>
      </c>
      <c r="D358" s="6">
        <f ca="1">TableWeeklySummary[[#This Row],[Desde]]+7-1</f>
        <v>48424</v>
      </c>
      <c r="E358" s="12">
        <f ca="1">SUMIFS(TableDailySummary[Ventas netas totales],TableDailySummary[Fecha],"&gt;="&amp;TableWeeklySummary[[#This Row],[Desde]],TableDailySummary[Fecha],"&lt;="&amp;TableWeeklySummary[[#This Row],[Hasta]])</f>
        <v>0</v>
      </c>
      <c r="F358" s="12">
        <f ca="1">SUMIFS(TableDailySummary[Órdenes totales],TableDailySummary[Fecha],"&gt;="&amp;TableWeeklySummary[[#This Row],[Desde]],TableDailySummary[Fecha],"&lt;="&amp;TableWeeklySummary[[#This Row],[Hasta]])</f>
        <v>0</v>
      </c>
      <c r="G358" s="12">
        <f ca="1">IFERROR(TableWeeklySummary[[#This Row],[Ventas netas totales]]/TableWeeklySummary[[#This Row],[Órdenes totales]],0)</f>
        <v>0</v>
      </c>
      <c r="H35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58" s="12">
        <f ca="1">TableWeeklySummary[[#This Row],[Órden promedio totales]]*TableWeeklySummary[[#This Row],[CR totales]]</f>
        <v>0</v>
      </c>
      <c r="J358" s="12">
        <f ca="1">SUMIFS(TableDailySummary[Ventas primer cliente],TableDailySummary[Fecha],"&gt;="&amp;TableWeeklySummary[[#This Row],[Desde]],TableDailySummary[Fecha],"&lt;="&amp;TableWeeklySummary[[#This Row],[Hasta]])</f>
        <v>0</v>
      </c>
      <c r="K358" s="12">
        <f ca="1">SUMIFS(TableDailySummary[Órdenes primer cliente],TableDailySummary[Fecha],"&gt;="&amp;TableWeeklySummary[[#This Row],[Desde]],TableDailySummary[Fecha],"&lt;="&amp;TableWeeklySummary[[#This Row],[Hasta]])</f>
        <v>0</v>
      </c>
      <c r="L358" s="12">
        <f ca="1">SUMIFS(TableDailySummary[Online Store_net_sales],TableDailySummary[Fecha],"&gt;="&amp;TableWeeklySummary[[#This Row],[Desde]],TableDailySummary[Fecha],"&lt;="&amp;TableWeeklySummary[[#This Row],[Hasta]])</f>
        <v>0</v>
      </c>
      <c r="M358" s="12">
        <f ca="1">SUMIFS(TableDailySummary[Online Store_orders],TableDailySummary[Fecha],"&gt;="&amp;TableWeeklySummary[[#This Row],[Desde]],TableDailySummary[Fecha],"&lt;="&amp;TableWeeklySummary[[#This Row],[Hasta]])</f>
        <v>0</v>
      </c>
      <c r="N358" s="12">
        <f ca="1">SUMIFS(TableDailySummary[Tienda 81_net_sales],TableDailySummary[Fecha],"&gt;="&amp;TableWeeklySummary[[#This Row],[Desde]],TableDailySummary[Fecha],"&lt;="&amp;TableWeeklySummary[[#This Row],[Hasta]])</f>
        <v>0</v>
      </c>
      <c r="O358" s="12">
        <f ca="1">SUMIFS(TableDailySummary[Tienda 81_orders],TableDailySummary[Fecha],"&gt;="&amp;TableWeeklySummary[[#This Row],[Desde]],TableDailySummary[Fecha],"&lt;="&amp;TableWeeklySummary[[#This Row],[Hasta]])</f>
        <v>0</v>
      </c>
      <c r="P358" s="12">
        <f ca="1">SUMIFS(TableDailySummary[Rappi_net_sales],TableDailySummary[Fecha],"&gt;="&amp;TableWeeklySummary[[#This Row],[Desde]],TableDailySummary[Fecha],"&lt;="&amp;TableWeeklySummary[[#This Row],[Hasta]])</f>
        <v>0</v>
      </c>
      <c r="Q358" s="12">
        <f ca="1">SUMIFS(TableDailySummary[Rappi_orders],TableDailySummary[Fecha],"&gt;="&amp;TableWeeklySummary[[#This Row],[Desde]],TableDailySummary[Fecha],"&lt;="&amp;TableWeeklySummary[[#This Row],[Hasta]])</f>
        <v>0</v>
      </c>
      <c r="R35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5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58" s="12">
        <f ca="1">SUMIFS(TableDailySummary[Inversión google ads],TableDailySummary[Fecha],"&gt;="&amp;TableWeeklySummary[[#This Row],[Desde]],TableDailySummary[Fecha],"&lt;="&amp;TableWeeklySummary[[#This Row],[Hasta]])</f>
        <v>0</v>
      </c>
      <c r="U358" s="12">
        <f ca="1">SUMIFS(TableDailySummary[Ventas google ads],TableDailySummary[Fecha],"&gt;="&amp;TableWeeklySummary[[#This Row],[Desde]],TableDailySummary[Fecha],"&lt;="&amp;TableWeeklySummary[[#This Row],[Hasta]])</f>
        <v>0</v>
      </c>
      <c r="V358" s="12">
        <f ca="1">SUMIFS(TableDailySummary[Inversión meta ads],TableDailySummary[Fecha],"&gt;="&amp;TableWeeklySummary[[#This Row],[Desde]],TableDailySummary[Fecha],"&lt;="&amp;TableWeeklySummary[[#This Row],[Hasta]])</f>
        <v>0</v>
      </c>
      <c r="W358" s="12">
        <f ca="1">SUMIFS(TableDailySummary[Ventas meta ads],TableDailySummary[Fecha],"&gt;="&amp;TableWeeklySummary[[#This Row],[Desde]],TableDailySummary[Fecha],"&lt;="&amp;TableWeeklySummary[[#This Row],[Hasta]])</f>
        <v>0</v>
      </c>
      <c r="X358" s="12">
        <f ca="1">TableWeeklySummary[[#This Row],[Inversión google ads]]+TableWeeklySummary[[#This Row],[Inversión meta ads]]</f>
        <v>0</v>
      </c>
      <c r="Y358" s="12">
        <f ca="1">TableWeeklySummary[[#This Row],[Ventas google ads]]+TableWeeklySummary[[#This Row],[Ventas meta ads]]</f>
        <v>0</v>
      </c>
      <c r="Z358" s="14">
        <f ca="1">IFERROR(TableWeeklySummary[[#This Row],[Ventas publicidad]]/TableWeeklySummary[[#This Row],[Inversión publicidad]],0)</f>
        <v>0</v>
      </c>
      <c r="AA358" s="14">
        <f ca="1">IFERROR(TableWeeklySummary[[#This Row],[Ventas primer cliente]]/TableWeeklySummary[[#This Row],[Inversión publicidad]],0)</f>
        <v>0</v>
      </c>
      <c r="AB358" s="14"/>
      <c r="AC358" s="12"/>
      <c r="AI35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5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58" s="12">
        <f ca="1">SUMIFS(TableDailySummary[Utilidad bruta],TableDailySummary[Fecha],"&gt;="&amp;TableWeeklySummary[[#This Row],[Desde]],TableDailySummary[Fecha],"&lt;="&amp;TableWeeklySummary[[#This Row],[Hasta]])</f>
        <v>0</v>
      </c>
      <c r="AL358" s="18">
        <f ca="1">IFERROR(TableWeeklySummary[[#This Row],[Utilidad bruta]]/TableWeeklySummary[[#This Row],[Ventas netas con costo registrado]],0)</f>
        <v>0</v>
      </c>
    </row>
    <row r="359" spans="2:38" x14ac:dyDescent="0.2">
      <c r="B359" s="16">
        <f ca="1">_xlfn.ISOWEEKNUM(TableWeeklySummary[[#This Row],[Hasta]])</f>
        <v>32</v>
      </c>
      <c r="C359" s="6">
        <f t="shared" ca="1" si="7"/>
        <v>48425</v>
      </c>
      <c r="D359" s="6">
        <f ca="1">TableWeeklySummary[[#This Row],[Desde]]+7-1</f>
        <v>48431</v>
      </c>
      <c r="E359" s="12">
        <f ca="1">SUMIFS(TableDailySummary[Ventas netas totales],TableDailySummary[Fecha],"&gt;="&amp;TableWeeklySummary[[#This Row],[Desde]],TableDailySummary[Fecha],"&lt;="&amp;TableWeeklySummary[[#This Row],[Hasta]])</f>
        <v>0</v>
      </c>
      <c r="F359" s="12">
        <f ca="1">SUMIFS(TableDailySummary[Órdenes totales],TableDailySummary[Fecha],"&gt;="&amp;TableWeeklySummary[[#This Row],[Desde]],TableDailySummary[Fecha],"&lt;="&amp;TableWeeklySummary[[#This Row],[Hasta]])</f>
        <v>0</v>
      </c>
      <c r="G359" s="12">
        <f ca="1">IFERROR(TableWeeklySummary[[#This Row],[Ventas netas totales]]/TableWeeklySummary[[#This Row],[Órdenes totales]],0)</f>
        <v>0</v>
      </c>
      <c r="H35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59" s="12">
        <f ca="1">TableWeeklySummary[[#This Row],[Órden promedio totales]]*TableWeeklySummary[[#This Row],[CR totales]]</f>
        <v>0</v>
      </c>
      <c r="J359" s="12">
        <f ca="1">SUMIFS(TableDailySummary[Ventas primer cliente],TableDailySummary[Fecha],"&gt;="&amp;TableWeeklySummary[[#This Row],[Desde]],TableDailySummary[Fecha],"&lt;="&amp;TableWeeklySummary[[#This Row],[Hasta]])</f>
        <v>0</v>
      </c>
      <c r="K359" s="12">
        <f ca="1">SUMIFS(TableDailySummary[Órdenes primer cliente],TableDailySummary[Fecha],"&gt;="&amp;TableWeeklySummary[[#This Row],[Desde]],TableDailySummary[Fecha],"&lt;="&amp;TableWeeklySummary[[#This Row],[Hasta]])</f>
        <v>0</v>
      </c>
      <c r="L359" s="12">
        <f ca="1">SUMIFS(TableDailySummary[Online Store_net_sales],TableDailySummary[Fecha],"&gt;="&amp;TableWeeklySummary[[#This Row],[Desde]],TableDailySummary[Fecha],"&lt;="&amp;TableWeeklySummary[[#This Row],[Hasta]])</f>
        <v>0</v>
      </c>
      <c r="M359" s="12">
        <f ca="1">SUMIFS(TableDailySummary[Online Store_orders],TableDailySummary[Fecha],"&gt;="&amp;TableWeeklySummary[[#This Row],[Desde]],TableDailySummary[Fecha],"&lt;="&amp;TableWeeklySummary[[#This Row],[Hasta]])</f>
        <v>0</v>
      </c>
      <c r="N359" s="12">
        <f ca="1">SUMIFS(TableDailySummary[Tienda 81_net_sales],TableDailySummary[Fecha],"&gt;="&amp;TableWeeklySummary[[#This Row],[Desde]],TableDailySummary[Fecha],"&lt;="&amp;TableWeeklySummary[[#This Row],[Hasta]])</f>
        <v>0</v>
      </c>
      <c r="O359" s="12">
        <f ca="1">SUMIFS(TableDailySummary[Tienda 81_orders],TableDailySummary[Fecha],"&gt;="&amp;TableWeeklySummary[[#This Row],[Desde]],TableDailySummary[Fecha],"&lt;="&amp;TableWeeklySummary[[#This Row],[Hasta]])</f>
        <v>0</v>
      </c>
      <c r="P359" s="12">
        <f ca="1">SUMIFS(TableDailySummary[Rappi_net_sales],TableDailySummary[Fecha],"&gt;="&amp;TableWeeklySummary[[#This Row],[Desde]],TableDailySummary[Fecha],"&lt;="&amp;TableWeeklySummary[[#This Row],[Hasta]])</f>
        <v>0</v>
      </c>
      <c r="Q359" s="12">
        <f ca="1">SUMIFS(TableDailySummary[Rappi_orders],TableDailySummary[Fecha],"&gt;="&amp;TableWeeklySummary[[#This Row],[Desde]],TableDailySummary[Fecha],"&lt;="&amp;TableWeeklySummary[[#This Row],[Hasta]])</f>
        <v>0</v>
      </c>
      <c r="R35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5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59" s="12">
        <f ca="1">SUMIFS(TableDailySummary[Inversión google ads],TableDailySummary[Fecha],"&gt;="&amp;TableWeeklySummary[[#This Row],[Desde]],TableDailySummary[Fecha],"&lt;="&amp;TableWeeklySummary[[#This Row],[Hasta]])</f>
        <v>0</v>
      </c>
      <c r="U359" s="12">
        <f ca="1">SUMIFS(TableDailySummary[Ventas google ads],TableDailySummary[Fecha],"&gt;="&amp;TableWeeklySummary[[#This Row],[Desde]],TableDailySummary[Fecha],"&lt;="&amp;TableWeeklySummary[[#This Row],[Hasta]])</f>
        <v>0</v>
      </c>
      <c r="V359" s="12">
        <f ca="1">SUMIFS(TableDailySummary[Inversión meta ads],TableDailySummary[Fecha],"&gt;="&amp;TableWeeklySummary[[#This Row],[Desde]],TableDailySummary[Fecha],"&lt;="&amp;TableWeeklySummary[[#This Row],[Hasta]])</f>
        <v>0</v>
      </c>
      <c r="W359" s="12">
        <f ca="1">SUMIFS(TableDailySummary[Ventas meta ads],TableDailySummary[Fecha],"&gt;="&amp;TableWeeklySummary[[#This Row],[Desde]],TableDailySummary[Fecha],"&lt;="&amp;TableWeeklySummary[[#This Row],[Hasta]])</f>
        <v>0</v>
      </c>
      <c r="X359" s="12">
        <f ca="1">TableWeeklySummary[[#This Row],[Inversión google ads]]+TableWeeklySummary[[#This Row],[Inversión meta ads]]</f>
        <v>0</v>
      </c>
      <c r="Y359" s="12">
        <f ca="1">TableWeeklySummary[[#This Row],[Ventas google ads]]+TableWeeklySummary[[#This Row],[Ventas meta ads]]</f>
        <v>0</v>
      </c>
      <c r="Z359" s="14">
        <f ca="1">IFERROR(TableWeeklySummary[[#This Row],[Ventas publicidad]]/TableWeeklySummary[[#This Row],[Inversión publicidad]],0)</f>
        <v>0</v>
      </c>
      <c r="AA359" s="14">
        <f ca="1">IFERROR(TableWeeklySummary[[#This Row],[Ventas primer cliente]]/TableWeeklySummary[[#This Row],[Inversión publicidad]],0)</f>
        <v>0</v>
      </c>
      <c r="AB359" s="14"/>
      <c r="AC359" s="12"/>
      <c r="AI35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5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59" s="12">
        <f ca="1">SUMIFS(TableDailySummary[Utilidad bruta],TableDailySummary[Fecha],"&gt;="&amp;TableWeeklySummary[[#This Row],[Desde]],TableDailySummary[Fecha],"&lt;="&amp;TableWeeklySummary[[#This Row],[Hasta]])</f>
        <v>0</v>
      </c>
      <c r="AL359" s="18">
        <f ca="1">IFERROR(TableWeeklySummary[[#This Row],[Utilidad bruta]]/TableWeeklySummary[[#This Row],[Ventas netas con costo registrado]],0)</f>
        <v>0</v>
      </c>
    </row>
    <row r="360" spans="2:38" x14ac:dyDescent="0.2">
      <c r="B360" s="16">
        <f ca="1">_xlfn.ISOWEEKNUM(TableWeeklySummary[[#This Row],[Hasta]])</f>
        <v>33</v>
      </c>
      <c r="C360" s="6">
        <f t="shared" ca="1" si="7"/>
        <v>48432</v>
      </c>
      <c r="D360" s="6">
        <f ca="1">TableWeeklySummary[[#This Row],[Desde]]+7-1</f>
        <v>48438</v>
      </c>
      <c r="E360" s="12">
        <f ca="1">SUMIFS(TableDailySummary[Ventas netas totales],TableDailySummary[Fecha],"&gt;="&amp;TableWeeklySummary[[#This Row],[Desde]],TableDailySummary[Fecha],"&lt;="&amp;TableWeeklySummary[[#This Row],[Hasta]])</f>
        <v>0</v>
      </c>
      <c r="F360" s="12">
        <f ca="1">SUMIFS(TableDailySummary[Órdenes totales],TableDailySummary[Fecha],"&gt;="&amp;TableWeeklySummary[[#This Row],[Desde]],TableDailySummary[Fecha],"&lt;="&amp;TableWeeklySummary[[#This Row],[Hasta]])</f>
        <v>0</v>
      </c>
      <c r="G360" s="12">
        <f ca="1">IFERROR(TableWeeklySummary[[#This Row],[Ventas netas totales]]/TableWeeklySummary[[#This Row],[Órdenes totales]],0)</f>
        <v>0</v>
      </c>
      <c r="H36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60" s="12">
        <f ca="1">TableWeeklySummary[[#This Row],[Órden promedio totales]]*TableWeeklySummary[[#This Row],[CR totales]]</f>
        <v>0</v>
      </c>
      <c r="J360" s="12">
        <f ca="1">SUMIFS(TableDailySummary[Ventas primer cliente],TableDailySummary[Fecha],"&gt;="&amp;TableWeeklySummary[[#This Row],[Desde]],TableDailySummary[Fecha],"&lt;="&amp;TableWeeklySummary[[#This Row],[Hasta]])</f>
        <v>0</v>
      </c>
      <c r="K360" s="12">
        <f ca="1">SUMIFS(TableDailySummary[Órdenes primer cliente],TableDailySummary[Fecha],"&gt;="&amp;TableWeeklySummary[[#This Row],[Desde]],TableDailySummary[Fecha],"&lt;="&amp;TableWeeklySummary[[#This Row],[Hasta]])</f>
        <v>0</v>
      </c>
      <c r="L360" s="12">
        <f ca="1">SUMIFS(TableDailySummary[Online Store_net_sales],TableDailySummary[Fecha],"&gt;="&amp;TableWeeklySummary[[#This Row],[Desde]],TableDailySummary[Fecha],"&lt;="&amp;TableWeeklySummary[[#This Row],[Hasta]])</f>
        <v>0</v>
      </c>
      <c r="M360" s="12">
        <f ca="1">SUMIFS(TableDailySummary[Online Store_orders],TableDailySummary[Fecha],"&gt;="&amp;TableWeeklySummary[[#This Row],[Desde]],TableDailySummary[Fecha],"&lt;="&amp;TableWeeklySummary[[#This Row],[Hasta]])</f>
        <v>0</v>
      </c>
      <c r="N360" s="12">
        <f ca="1">SUMIFS(TableDailySummary[Tienda 81_net_sales],TableDailySummary[Fecha],"&gt;="&amp;TableWeeklySummary[[#This Row],[Desde]],TableDailySummary[Fecha],"&lt;="&amp;TableWeeklySummary[[#This Row],[Hasta]])</f>
        <v>0</v>
      </c>
      <c r="O360" s="12">
        <f ca="1">SUMIFS(TableDailySummary[Tienda 81_orders],TableDailySummary[Fecha],"&gt;="&amp;TableWeeklySummary[[#This Row],[Desde]],TableDailySummary[Fecha],"&lt;="&amp;TableWeeklySummary[[#This Row],[Hasta]])</f>
        <v>0</v>
      </c>
      <c r="P360" s="12">
        <f ca="1">SUMIFS(TableDailySummary[Rappi_net_sales],TableDailySummary[Fecha],"&gt;="&amp;TableWeeklySummary[[#This Row],[Desde]],TableDailySummary[Fecha],"&lt;="&amp;TableWeeklySummary[[#This Row],[Hasta]])</f>
        <v>0</v>
      </c>
      <c r="Q360" s="12">
        <f ca="1">SUMIFS(TableDailySummary[Rappi_orders],TableDailySummary[Fecha],"&gt;="&amp;TableWeeklySummary[[#This Row],[Desde]],TableDailySummary[Fecha],"&lt;="&amp;TableWeeklySummary[[#This Row],[Hasta]])</f>
        <v>0</v>
      </c>
      <c r="R36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6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60" s="12">
        <f ca="1">SUMIFS(TableDailySummary[Inversión google ads],TableDailySummary[Fecha],"&gt;="&amp;TableWeeklySummary[[#This Row],[Desde]],TableDailySummary[Fecha],"&lt;="&amp;TableWeeklySummary[[#This Row],[Hasta]])</f>
        <v>0</v>
      </c>
      <c r="U360" s="12">
        <f ca="1">SUMIFS(TableDailySummary[Ventas google ads],TableDailySummary[Fecha],"&gt;="&amp;TableWeeklySummary[[#This Row],[Desde]],TableDailySummary[Fecha],"&lt;="&amp;TableWeeklySummary[[#This Row],[Hasta]])</f>
        <v>0</v>
      </c>
      <c r="V360" s="12">
        <f ca="1">SUMIFS(TableDailySummary[Inversión meta ads],TableDailySummary[Fecha],"&gt;="&amp;TableWeeklySummary[[#This Row],[Desde]],TableDailySummary[Fecha],"&lt;="&amp;TableWeeklySummary[[#This Row],[Hasta]])</f>
        <v>0</v>
      </c>
      <c r="W360" s="12">
        <f ca="1">SUMIFS(TableDailySummary[Ventas meta ads],TableDailySummary[Fecha],"&gt;="&amp;TableWeeklySummary[[#This Row],[Desde]],TableDailySummary[Fecha],"&lt;="&amp;TableWeeklySummary[[#This Row],[Hasta]])</f>
        <v>0</v>
      </c>
      <c r="X360" s="12">
        <f ca="1">TableWeeklySummary[[#This Row],[Inversión google ads]]+TableWeeklySummary[[#This Row],[Inversión meta ads]]</f>
        <v>0</v>
      </c>
      <c r="Y360" s="12">
        <f ca="1">TableWeeklySummary[[#This Row],[Ventas google ads]]+TableWeeklySummary[[#This Row],[Ventas meta ads]]</f>
        <v>0</v>
      </c>
      <c r="Z360" s="14">
        <f ca="1">IFERROR(TableWeeklySummary[[#This Row],[Ventas publicidad]]/TableWeeklySummary[[#This Row],[Inversión publicidad]],0)</f>
        <v>0</v>
      </c>
      <c r="AA360" s="14">
        <f ca="1">IFERROR(TableWeeklySummary[[#This Row],[Ventas primer cliente]]/TableWeeklySummary[[#This Row],[Inversión publicidad]],0)</f>
        <v>0</v>
      </c>
      <c r="AB360" s="14"/>
      <c r="AC360" s="12"/>
      <c r="AI36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6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60" s="12">
        <f ca="1">SUMIFS(TableDailySummary[Utilidad bruta],TableDailySummary[Fecha],"&gt;="&amp;TableWeeklySummary[[#This Row],[Desde]],TableDailySummary[Fecha],"&lt;="&amp;TableWeeklySummary[[#This Row],[Hasta]])</f>
        <v>0</v>
      </c>
      <c r="AL360" s="18">
        <f ca="1">IFERROR(TableWeeklySummary[[#This Row],[Utilidad bruta]]/TableWeeklySummary[[#This Row],[Ventas netas con costo registrado]],0)</f>
        <v>0</v>
      </c>
    </row>
    <row r="361" spans="2:38" x14ac:dyDescent="0.2">
      <c r="B361" s="16">
        <f ca="1">_xlfn.ISOWEEKNUM(TableWeeklySummary[[#This Row],[Hasta]])</f>
        <v>34</v>
      </c>
      <c r="C361" s="6">
        <f t="shared" ca="1" si="7"/>
        <v>48439</v>
      </c>
      <c r="D361" s="6">
        <f ca="1">TableWeeklySummary[[#This Row],[Desde]]+7-1</f>
        <v>48445</v>
      </c>
      <c r="E361" s="12">
        <f ca="1">SUMIFS(TableDailySummary[Ventas netas totales],TableDailySummary[Fecha],"&gt;="&amp;TableWeeklySummary[[#This Row],[Desde]],TableDailySummary[Fecha],"&lt;="&amp;TableWeeklySummary[[#This Row],[Hasta]])</f>
        <v>0</v>
      </c>
      <c r="F361" s="12">
        <f ca="1">SUMIFS(TableDailySummary[Órdenes totales],TableDailySummary[Fecha],"&gt;="&amp;TableWeeklySummary[[#This Row],[Desde]],TableDailySummary[Fecha],"&lt;="&amp;TableWeeklySummary[[#This Row],[Hasta]])</f>
        <v>0</v>
      </c>
      <c r="G361" s="12">
        <f ca="1">IFERROR(TableWeeklySummary[[#This Row],[Ventas netas totales]]/TableWeeklySummary[[#This Row],[Órdenes totales]],0)</f>
        <v>0</v>
      </c>
      <c r="H36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61" s="12">
        <f ca="1">TableWeeklySummary[[#This Row],[Órden promedio totales]]*TableWeeklySummary[[#This Row],[CR totales]]</f>
        <v>0</v>
      </c>
      <c r="J361" s="12">
        <f ca="1">SUMIFS(TableDailySummary[Ventas primer cliente],TableDailySummary[Fecha],"&gt;="&amp;TableWeeklySummary[[#This Row],[Desde]],TableDailySummary[Fecha],"&lt;="&amp;TableWeeklySummary[[#This Row],[Hasta]])</f>
        <v>0</v>
      </c>
      <c r="K361" s="12">
        <f ca="1">SUMIFS(TableDailySummary[Órdenes primer cliente],TableDailySummary[Fecha],"&gt;="&amp;TableWeeklySummary[[#This Row],[Desde]],TableDailySummary[Fecha],"&lt;="&amp;TableWeeklySummary[[#This Row],[Hasta]])</f>
        <v>0</v>
      </c>
      <c r="L361" s="12">
        <f ca="1">SUMIFS(TableDailySummary[Online Store_net_sales],TableDailySummary[Fecha],"&gt;="&amp;TableWeeklySummary[[#This Row],[Desde]],TableDailySummary[Fecha],"&lt;="&amp;TableWeeklySummary[[#This Row],[Hasta]])</f>
        <v>0</v>
      </c>
      <c r="M361" s="12">
        <f ca="1">SUMIFS(TableDailySummary[Online Store_orders],TableDailySummary[Fecha],"&gt;="&amp;TableWeeklySummary[[#This Row],[Desde]],TableDailySummary[Fecha],"&lt;="&amp;TableWeeklySummary[[#This Row],[Hasta]])</f>
        <v>0</v>
      </c>
      <c r="N361" s="12">
        <f ca="1">SUMIFS(TableDailySummary[Tienda 81_net_sales],TableDailySummary[Fecha],"&gt;="&amp;TableWeeklySummary[[#This Row],[Desde]],TableDailySummary[Fecha],"&lt;="&amp;TableWeeklySummary[[#This Row],[Hasta]])</f>
        <v>0</v>
      </c>
      <c r="O361" s="12">
        <f ca="1">SUMIFS(TableDailySummary[Tienda 81_orders],TableDailySummary[Fecha],"&gt;="&amp;TableWeeklySummary[[#This Row],[Desde]],TableDailySummary[Fecha],"&lt;="&amp;TableWeeklySummary[[#This Row],[Hasta]])</f>
        <v>0</v>
      </c>
      <c r="P361" s="12">
        <f ca="1">SUMIFS(TableDailySummary[Rappi_net_sales],TableDailySummary[Fecha],"&gt;="&amp;TableWeeklySummary[[#This Row],[Desde]],TableDailySummary[Fecha],"&lt;="&amp;TableWeeklySummary[[#This Row],[Hasta]])</f>
        <v>0</v>
      </c>
      <c r="Q361" s="12">
        <f ca="1">SUMIFS(TableDailySummary[Rappi_orders],TableDailySummary[Fecha],"&gt;="&amp;TableWeeklySummary[[#This Row],[Desde]],TableDailySummary[Fecha],"&lt;="&amp;TableWeeklySummary[[#This Row],[Hasta]])</f>
        <v>0</v>
      </c>
      <c r="R36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6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61" s="12">
        <f ca="1">SUMIFS(TableDailySummary[Inversión google ads],TableDailySummary[Fecha],"&gt;="&amp;TableWeeklySummary[[#This Row],[Desde]],TableDailySummary[Fecha],"&lt;="&amp;TableWeeklySummary[[#This Row],[Hasta]])</f>
        <v>0</v>
      </c>
      <c r="U361" s="12">
        <f ca="1">SUMIFS(TableDailySummary[Ventas google ads],TableDailySummary[Fecha],"&gt;="&amp;TableWeeklySummary[[#This Row],[Desde]],TableDailySummary[Fecha],"&lt;="&amp;TableWeeklySummary[[#This Row],[Hasta]])</f>
        <v>0</v>
      </c>
      <c r="V361" s="12">
        <f ca="1">SUMIFS(TableDailySummary[Inversión meta ads],TableDailySummary[Fecha],"&gt;="&amp;TableWeeklySummary[[#This Row],[Desde]],TableDailySummary[Fecha],"&lt;="&amp;TableWeeklySummary[[#This Row],[Hasta]])</f>
        <v>0</v>
      </c>
      <c r="W361" s="12">
        <f ca="1">SUMIFS(TableDailySummary[Ventas meta ads],TableDailySummary[Fecha],"&gt;="&amp;TableWeeklySummary[[#This Row],[Desde]],TableDailySummary[Fecha],"&lt;="&amp;TableWeeklySummary[[#This Row],[Hasta]])</f>
        <v>0</v>
      </c>
      <c r="X361" s="12">
        <f ca="1">TableWeeklySummary[[#This Row],[Inversión google ads]]+TableWeeklySummary[[#This Row],[Inversión meta ads]]</f>
        <v>0</v>
      </c>
      <c r="Y361" s="12">
        <f ca="1">TableWeeklySummary[[#This Row],[Ventas google ads]]+TableWeeklySummary[[#This Row],[Ventas meta ads]]</f>
        <v>0</v>
      </c>
      <c r="Z361" s="14">
        <f ca="1">IFERROR(TableWeeklySummary[[#This Row],[Ventas publicidad]]/TableWeeklySummary[[#This Row],[Inversión publicidad]],0)</f>
        <v>0</v>
      </c>
      <c r="AA361" s="14">
        <f ca="1">IFERROR(TableWeeklySummary[[#This Row],[Ventas primer cliente]]/TableWeeklySummary[[#This Row],[Inversión publicidad]],0)</f>
        <v>0</v>
      </c>
      <c r="AB361" s="14"/>
      <c r="AC361" s="12"/>
      <c r="AI36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6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61" s="12">
        <f ca="1">SUMIFS(TableDailySummary[Utilidad bruta],TableDailySummary[Fecha],"&gt;="&amp;TableWeeklySummary[[#This Row],[Desde]],TableDailySummary[Fecha],"&lt;="&amp;TableWeeklySummary[[#This Row],[Hasta]])</f>
        <v>0</v>
      </c>
      <c r="AL361" s="18">
        <f ca="1">IFERROR(TableWeeklySummary[[#This Row],[Utilidad bruta]]/TableWeeklySummary[[#This Row],[Ventas netas con costo registrado]],0)</f>
        <v>0</v>
      </c>
    </row>
    <row r="362" spans="2:38" x14ac:dyDescent="0.2">
      <c r="B362" s="16">
        <f ca="1">_xlfn.ISOWEEKNUM(TableWeeklySummary[[#This Row],[Hasta]])</f>
        <v>35</v>
      </c>
      <c r="C362" s="6">
        <f t="shared" ca="1" si="7"/>
        <v>48446</v>
      </c>
      <c r="D362" s="6">
        <f ca="1">TableWeeklySummary[[#This Row],[Desde]]+7-1</f>
        <v>48452</v>
      </c>
      <c r="E362" s="12">
        <f ca="1">SUMIFS(TableDailySummary[Ventas netas totales],TableDailySummary[Fecha],"&gt;="&amp;TableWeeklySummary[[#This Row],[Desde]],TableDailySummary[Fecha],"&lt;="&amp;TableWeeklySummary[[#This Row],[Hasta]])</f>
        <v>0</v>
      </c>
      <c r="F362" s="12">
        <f ca="1">SUMIFS(TableDailySummary[Órdenes totales],TableDailySummary[Fecha],"&gt;="&amp;TableWeeklySummary[[#This Row],[Desde]],TableDailySummary[Fecha],"&lt;="&amp;TableWeeklySummary[[#This Row],[Hasta]])</f>
        <v>0</v>
      </c>
      <c r="G362" s="12">
        <f ca="1">IFERROR(TableWeeklySummary[[#This Row],[Ventas netas totales]]/TableWeeklySummary[[#This Row],[Órdenes totales]],0)</f>
        <v>0</v>
      </c>
      <c r="H36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62" s="12">
        <f ca="1">TableWeeklySummary[[#This Row],[Órden promedio totales]]*TableWeeklySummary[[#This Row],[CR totales]]</f>
        <v>0</v>
      </c>
      <c r="J362" s="12">
        <f ca="1">SUMIFS(TableDailySummary[Ventas primer cliente],TableDailySummary[Fecha],"&gt;="&amp;TableWeeklySummary[[#This Row],[Desde]],TableDailySummary[Fecha],"&lt;="&amp;TableWeeklySummary[[#This Row],[Hasta]])</f>
        <v>0</v>
      </c>
      <c r="K362" s="12">
        <f ca="1">SUMIFS(TableDailySummary[Órdenes primer cliente],TableDailySummary[Fecha],"&gt;="&amp;TableWeeklySummary[[#This Row],[Desde]],TableDailySummary[Fecha],"&lt;="&amp;TableWeeklySummary[[#This Row],[Hasta]])</f>
        <v>0</v>
      </c>
      <c r="L362" s="12">
        <f ca="1">SUMIFS(TableDailySummary[Online Store_net_sales],TableDailySummary[Fecha],"&gt;="&amp;TableWeeklySummary[[#This Row],[Desde]],TableDailySummary[Fecha],"&lt;="&amp;TableWeeklySummary[[#This Row],[Hasta]])</f>
        <v>0</v>
      </c>
      <c r="M362" s="12">
        <f ca="1">SUMIFS(TableDailySummary[Online Store_orders],TableDailySummary[Fecha],"&gt;="&amp;TableWeeklySummary[[#This Row],[Desde]],TableDailySummary[Fecha],"&lt;="&amp;TableWeeklySummary[[#This Row],[Hasta]])</f>
        <v>0</v>
      </c>
      <c r="N362" s="12">
        <f ca="1">SUMIFS(TableDailySummary[Tienda 81_net_sales],TableDailySummary[Fecha],"&gt;="&amp;TableWeeklySummary[[#This Row],[Desde]],TableDailySummary[Fecha],"&lt;="&amp;TableWeeklySummary[[#This Row],[Hasta]])</f>
        <v>0</v>
      </c>
      <c r="O362" s="12">
        <f ca="1">SUMIFS(TableDailySummary[Tienda 81_orders],TableDailySummary[Fecha],"&gt;="&amp;TableWeeklySummary[[#This Row],[Desde]],TableDailySummary[Fecha],"&lt;="&amp;TableWeeklySummary[[#This Row],[Hasta]])</f>
        <v>0</v>
      </c>
      <c r="P362" s="12">
        <f ca="1">SUMIFS(TableDailySummary[Rappi_net_sales],TableDailySummary[Fecha],"&gt;="&amp;TableWeeklySummary[[#This Row],[Desde]],TableDailySummary[Fecha],"&lt;="&amp;TableWeeklySummary[[#This Row],[Hasta]])</f>
        <v>0</v>
      </c>
      <c r="Q362" s="12">
        <f ca="1">SUMIFS(TableDailySummary[Rappi_orders],TableDailySummary[Fecha],"&gt;="&amp;TableWeeklySummary[[#This Row],[Desde]],TableDailySummary[Fecha],"&lt;="&amp;TableWeeklySummary[[#This Row],[Hasta]])</f>
        <v>0</v>
      </c>
      <c r="R36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6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62" s="12">
        <f ca="1">SUMIFS(TableDailySummary[Inversión google ads],TableDailySummary[Fecha],"&gt;="&amp;TableWeeklySummary[[#This Row],[Desde]],TableDailySummary[Fecha],"&lt;="&amp;TableWeeklySummary[[#This Row],[Hasta]])</f>
        <v>0</v>
      </c>
      <c r="U362" s="12">
        <f ca="1">SUMIFS(TableDailySummary[Ventas google ads],TableDailySummary[Fecha],"&gt;="&amp;TableWeeklySummary[[#This Row],[Desde]],TableDailySummary[Fecha],"&lt;="&amp;TableWeeklySummary[[#This Row],[Hasta]])</f>
        <v>0</v>
      </c>
      <c r="V362" s="12">
        <f ca="1">SUMIFS(TableDailySummary[Inversión meta ads],TableDailySummary[Fecha],"&gt;="&amp;TableWeeklySummary[[#This Row],[Desde]],TableDailySummary[Fecha],"&lt;="&amp;TableWeeklySummary[[#This Row],[Hasta]])</f>
        <v>0</v>
      </c>
      <c r="W362" s="12">
        <f ca="1">SUMIFS(TableDailySummary[Ventas meta ads],TableDailySummary[Fecha],"&gt;="&amp;TableWeeklySummary[[#This Row],[Desde]],TableDailySummary[Fecha],"&lt;="&amp;TableWeeklySummary[[#This Row],[Hasta]])</f>
        <v>0</v>
      </c>
      <c r="X362" s="12">
        <f ca="1">TableWeeklySummary[[#This Row],[Inversión google ads]]+TableWeeklySummary[[#This Row],[Inversión meta ads]]</f>
        <v>0</v>
      </c>
      <c r="Y362" s="12">
        <f ca="1">TableWeeklySummary[[#This Row],[Ventas google ads]]+TableWeeklySummary[[#This Row],[Ventas meta ads]]</f>
        <v>0</v>
      </c>
      <c r="Z362" s="14">
        <f ca="1">IFERROR(TableWeeklySummary[[#This Row],[Ventas publicidad]]/TableWeeklySummary[[#This Row],[Inversión publicidad]],0)</f>
        <v>0</v>
      </c>
      <c r="AA362" s="14">
        <f ca="1">IFERROR(TableWeeklySummary[[#This Row],[Ventas primer cliente]]/TableWeeklySummary[[#This Row],[Inversión publicidad]],0)</f>
        <v>0</v>
      </c>
      <c r="AB362" s="14"/>
      <c r="AC362" s="12"/>
      <c r="AI36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6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62" s="12">
        <f ca="1">SUMIFS(TableDailySummary[Utilidad bruta],TableDailySummary[Fecha],"&gt;="&amp;TableWeeklySummary[[#This Row],[Desde]],TableDailySummary[Fecha],"&lt;="&amp;TableWeeklySummary[[#This Row],[Hasta]])</f>
        <v>0</v>
      </c>
      <c r="AL362" s="18">
        <f ca="1">IFERROR(TableWeeklySummary[[#This Row],[Utilidad bruta]]/TableWeeklySummary[[#This Row],[Ventas netas con costo registrado]],0)</f>
        <v>0</v>
      </c>
    </row>
    <row r="363" spans="2:38" x14ac:dyDescent="0.2">
      <c r="B363" s="16">
        <f ca="1">_xlfn.ISOWEEKNUM(TableWeeklySummary[[#This Row],[Hasta]])</f>
        <v>36</v>
      </c>
      <c r="C363" s="6">
        <f t="shared" ca="1" si="7"/>
        <v>48453</v>
      </c>
      <c r="D363" s="6">
        <f ca="1">TableWeeklySummary[[#This Row],[Desde]]+7-1</f>
        <v>48459</v>
      </c>
      <c r="E363" s="12">
        <f ca="1">SUMIFS(TableDailySummary[Ventas netas totales],TableDailySummary[Fecha],"&gt;="&amp;TableWeeklySummary[[#This Row],[Desde]],TableDailySummary[Fecha],"&lt;="&amp;TableWeeklySummary[[#This Row],[Hasta]])</f>
        <v>0</v>
      </c>
      <c r="F363" s="12">
        <f ca="1">SUMIFS(TableDailySummary[Órdenes totales],TableDailySummary[Fecha],"&gt;="&amp;TableWeeklySummary[[#This Row],[Desde]],TableDailySummary[Fecha],"&lt;="&amp;TableWeeklySummary[[#This Row],[Hasta]])</f>
        <v>0</v>
      </c>
      <c r="G363" s="12">
        <f ca="1">IFERROR(TableWeeklySummary[[#This Row],[Ventas netas totales]]/TableWeeklySummary[[#This Row],[Órdenes totales]],0)</f>
        <v>0</v>
      </c>
      <c r="H36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63" s="12">
        <f ca="1">TableWeeklySummary[[#This Row],[Órden promedio totales]]*TableWeeklySummary[[#This Row],[CR totales]]</f>
        <v>0</v>
      </c>
      <c r="J363" s="12">
        <f ca="1">SUMIFS(TableDailySummary[Ventas primer cliente],TableDailySummary[Fecha],"&gt;="&amp;TableWeeklySummary[[#This Row],[Desde]],TableDailySummary[Fecha],"&lt;="&amp;TableWeeklySummary[[#This Row],[Hasta]])</f>
        <v>0</v>
      </c>
      <c r="K363" s="12">
        <f ca="1">SUMIFS(TableDailySummary[Órdenes primer cliente],TableDailySummary[Fecha],"&gt;="&amp;TableWeeklySummary[[#This Row],[Desde]],TableDailySummary[Fecha],"&lt;="&amp;TableWeeklySummary[[#This Row],[Hasta]])</f>
        <v>0</v>
      </c>
      <c r="L363" s="12">
        <f ca="1">SUMIFS(TableDailySummary[Online Store_net_sales],TableDailySummary[Fecha],"&gt;="&amp;TableWeeklySummary[[#This Row],[Desde]],TableDailySummary[Fecha],"&lt;="&amp;TableWeeklySummary[[#This Row],[Hasta]])</f>
        <v>0</v>
      </c>
      <c r="M363" s="12">
        <f ca="1">SUMIFS(TableDailySummary[Online Store_orders],TableDailySummary[Fecha],"&gt;="&amp;TableWeeklySummary[[#This Row],[Desde]],TableDailySummary[Fecha],"&lt;="&amp;TableWeeklySummary[[#This Row],[Hasta]])</f>
        <v>0</v>
      </c>
      <c r="N363" s="12">
        <f ca="1">SUMIFS(TableDailySummary[Tienda 81_net_sales],TableDailySummary[Fecha],"&gt;="&amp;TableWeeklySummary[[#This Row],[Desde]],TableDailySummary[Fecha],"&lt;="&amp;TableWeeklySummary[[#This Row],[Hasta]])</f>
        <v>0</v>
      </c>
      <c r="O363" s="12">
        <f ca="1">SUMIFS(TableDailySummary[Tienda 81_orders],TableDailySummary[Fecha],"&gt;="&amp;TableWeeklySummary[[#This Row],[Desde]],TableDailySummary[Fecha],"&lt;="&amp;TableWeeklySummary[[#This Row],[Hasta]])</f>
        <v>0</v>
      </c>
      <c r="P363" s="12">
        <f ca="1">SUMIFS(TableDailySummary[Rappi_net_sales],TableDailySummary[Fecha],"&gt;="&amp;TableWeeklySummary[[#This Row],[Desde]],TableDailySummary[Fecha],"&lt;="&amp;TableWeeklySummary[[#This Row],[Hasta]])</f>
        <v>0</v>
      </c>
      <c r="Q363" s="12">
        <f ca="1">SUMIFS(TableDailySummary[Rappi_orders],TableDailySummary[Fecha],"&gt;="&amp;TableWeeklySummary[[#This Row],[Desde]],TableDailySummary[Fecha],"&lt;="&amp;TableWeeklySummary[[#This Row],[Hasta]])</f>
        <v>0</v>
      </c>
      <c r="R36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6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63" s="12">
        <f ca="1">SUMIFS(TableDailySummary[Inversión google ads],TableDailySummary[Fecha],"&gt;="&amp;TableWeeklySummary[[#This Row],[Desde]],TableDailySummary[Fecha],"&lt;="&amp;TableWeeklySummary[[#This Row],[Hasta]])</f>
        <v>0</v>
      </c>
      <c r="U363" s="12">
        <f ca="1">SUMIFS(TableDailySummary[Ventas google ads],TableDailySummary[Fecha],"&gt;="&amp;TableWeeklySummary[[#This Row],[Desde]],TableDailySummary[Fecha],"&lt;="&amp;TableWeeklySummary[[#This Row],[Hasta]])</f>
        <v>0</v>
      </c>
      <c r="V363" s="12">
        <f ca="1">SUMIFS(TableDailySummary[Inversión meta ads],TableDailySummary[Fecha],"&gt;="&amp;TableWeeklySummary[[#This Row],[Desde]],TableDailySummary[Fecha],"&lt;="&amp;TableWeeklySummary[[#This Row],[Hasta]])</f>
        <v>0</v>
      </c>
      <c r="W363" s="12">
        <f ca="1">SUMIFS(TableDailySummary[Ventas meta ads],TableDailySummary[Fecha],"&gt;="&amp;TableWeeklySummary[[#This Row],[Desde]],TableDailySummary[Fecha],"&lt;="&amp;TableWeeklySummary[[#This Row],[Hasta]])</f>
        <v>0</v>
      </c>
      <c r="X363" s="12">
        <f ca="1">TableWeeklySummary[[#This Row],[Inversión google ads]]+TableWeeklySummary[[#This Row],[Inversión meta ads]]</f>
        <v>0</v>
      </c>
      <c r="Y363" s="12">
        <f ca="1">TableWeeklySummary[[#This Row],[Ventas google ads]]+TableWeeklySummary[[#This Row],[Ventas meta ads]]</f>
        <v>0</v>
      </c>
      <c r="Z363" s="14">
        <f ca="1">IFERROR(TableWeeklySummary[[#This Row],[Ventas publicidad]]/TableWeeklySummary[[#This Row],[Inversión publicidad]],0)</f>
        <v>0</v>
      </c>
      <c r="AA363" s="14">
        <f ca="1">IFERROR(TableWeeklySummary[[#This Row],[Ventas primer cliente]]/TableWeeklySummary[[#This Row],[Inversión publicidad]],0)</f>
        <v>0</v>
      </c>
      <c r="AB363" s="14"/>
      <c r="AC363" s="12"/>
      <c r="AI36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6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63" s="12">
        <f ca="1">SUMIFS(TableDailySummary[Utilidad bruta],TableDailySummary[Fecha],"&gt;="&amp;TableWeeklySummary[[#This Row],[Desde]],TableDailySummary[Fecha],"&lt;="&amp;TableWeeklySummary[[#This Row],[Hasta]])</f>
        <v>0</v>
      </c>
      <c r="AL363" s="18">
        <f ca="1">IFERROR(TableWeeklySummary[[#This Row],[Utilidad bruta]]/TableWeeklySummary[[#This Row],[Ventas netas con costo registrado]],0)</f>
        <v>0</v>
      </c>
    </row>
    <row r="364" spans="2:38" x14ac:dyDescent="0.2">
      <c r="B364" s="16">
        <f ca="1">_xlfn.ISOWEEKNUM(TableWeeklySummary[[#This Row],[Hasta]])</f>
        <v>37</v>
      </c>
      <c r="C364" s="6">
        <f t="shared" ca="1" si="7"/>
        <v>48460</v>
      </c>
      <c r="D364" s="6">
        <f ca="1">TableWeeklySummary[[#This Row],[Desde]]+7-1</f>
        <v>48466</v>
      </c>
      <c r="E364" s="12">
        <f ca="1">SUMIFS(TableDailySummary[Ventas netas totales],TableDailySummary[Fecha],"&gt;="&amp;TableWeeklySummary[[#This Row],[Desde]],TableDailySummary[Fecha],"&lt;="&amp;TableWeeklySummary[[#This Row],[Hasta]])</f>
        <v>0</v>
      </c>
      <c r="F364" s="12">
        <f ca="1">SUMIFS(TableDailySummary[Órdenes totales],TableDailySummary[Fecha],"&gt;="&amp;TableWeeklySummary[[#This Row],[Desde]],TableDailySummary[Fecha],"&lt;="&amp;TableWeeklySummary[[#This Row],[Hasta]])</f>
        <v>0</v>
      </c>
      <c r="G364" s="12">
        <f ca="1">IFERROR(TableWeeklySummary[[#This Row],[Ventas netas totales]]/TableWeeklySummary[[#This Row],[Órdenes totales]],0)</f>
        <v>0</v>
      </c>
      <c r="H36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64" s="12">
        <f ca="1">TableWeeklySummary[[#This Row],[Órden promedio totales]]*TableWeeklySummary[[#This Row],[CR totales]]</f>
        <v>0</v>
      </c>
      <c r="J364" s="12">
        <f ca="1">SUMIFS(TableDailySummary[Ventas primer cliente],TableDailySummary[Fecha],"&gt;="&amp;TableWeeklySummary[[#This Row],[Desde]],TableDailySummary[Fecha],"&lt;="&amp;TableWeeklySummary[[#This Row],[Hasta]])</f>
        <v>0</v>
      </c>
      <c r="K364" s="12">
        <f ca="1">SUMIFS(TableDailySummary[Órdenes primer cliente],TableDailySummary[Fecha],"&gt;="&amp;TableWeeklySummary[[#This Row],[Desde]],TableDailySummary[Fecha],"&lt;="&amp;TableWeeklySummary[[#This Row],[Hasta]])</f>
        <v>0</v>
      </c>
      <c r="L364" s="12">
        <f ca="1">SUMIFS(TableDailySummary[Online Store_net_sales],TableDailySummary[Fecha],"&gt;="&amp;TableWeeklySummary[[#This Row],[Desde]],TableDailySummary[Fecha],"&lt;="&amp;TableWeeklySummary[[#This Row],[Hasta]])</f>
        <v>0</v>
      </c>
      <c r="M364" s="12">
        <f ca="1">SUMIFS(TableDailySummary[Online Store_orders],TableDailySummary[Fecha],"&gt;="&amp;TableWeeklySummary[[#This Row],[Desde]],TableDailySummary[Fecha],"&lt;="&amp;TableWeeklySummary[[#This Row],[Hasta]])</f>
        <v>0</v>
      </c>
      <c r="N364" s="12">
        <f ca="1">SUMIFS(TableDailySummary[Tienda 81_net_sales],TableDailySummary[Fecha],"&gt;="&amp;TableWeeklySummary[[#This Row],[Desde]],TableDailySummary[Fecha],"&lt;="&amp;TableWeeklySummary[[#This Row],[Hasta]])</f>
        <v>0</v>
      </c>
      <c r="O364" s="12">
        <f ca="1">SUMIFS(TableDailySummary[Tienda 81_orders],TableDailySummary[Fecha],"&gt;="&amp;TableWeeklySummary[[#This Row],[Desde]],TableDailySummary[Fecha],"&lt;="&amp;TableWeeklySummary[[#This Row],[Hasta]])</f>
        <v>0</v>
      </c>
      <c r="P364" s="12">
        <f ca="1">SUMIFS(TableDailySummary[Rappi_net_sales],TableDailySummary[Fecha],"&gt;="&amp;TableWeeklySummary[[#This Row],[Desde]],TableDailySummary[Fecha],"&lt;="&amp;TableWeeklySummary[[#This Row],[Hasta]])</f>
        <v>0</v>
      </c>
      <c r="Q364" s="12">
        <f ca="1">SUMIFS(TableDailySummary[Rappi_orders],TableDailySummary[Fecha],"&gt;="&amp;TableWeeklySummary[[#This Row],[Desde]],TableDailySummary[Fecha],"&lt;="&amp;TableWeeklySummary[[#This Row],[Hasta]])</f>
        <v>0</v>
      </c>
      <c r="R36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6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64" s="12">
        <f ca="1">SUMIFS(TableDailySummary[Inversión google ads],TableDailySummary[Fecha],"&gt;="&amp;TableWeeklySummary[[#This Row],[Desde]],TableDailySummary[Fecha],"&lt;="&amp;TableWeeklySummary[[#This Row],[Hasta]])</f>
        <v>0</v>
      </c>
      <c r="U364" s="12">
        <f ca="1">SUMIFS(TableDailySummary[Ventas google ads],TableDailySummary[Fecha],"&gt;="&amp;TableWeeklySummary[[#This Row],[Desde]],TableDailySummary[Fecha],"&lt;="&amp;TableWeeklySummary[[#This Row],[Hasta]])</f>
        <v>0</v>
      </c>
      <c r="V364" s="12">
        <f ca="1">SUMIFS(TableDailySummary[Inversión meta ads],TableDailySummary[Fecha],"&gt;="&amp;TableWeeklySummary[[#This Row],[Desde]],TableDailySummary[Fecha],"&lt;="&amp;TableWeeklySummary[[#This Row],[Hasta]])</f>
        <v>0</v>
      </c>
      <c r="W364" s="12">
        <f ca="1">SUMIFS(TableDailySummary[Ventas meta ads],TableDailySummary[Fecha],"&gt;="&amp;TableWeeklySummary[[#This Row],[Desde]],TableDailySummary[Fecha],"&lt;="&amp;TableWeeklySummary[[#This Row],[Hasta]])</f>
        <v>0</v>
      </c>
      <c r="X364" s="12">
        <f ca="1">TableWeeklySummary[[#This Row],[Inversión google ads]]+TableWeeklySummary[[#This Row],[Inversión meta ads]]</f>
        <v>0</v>
      </c>
      <c r="Y364" s="12">
        <f ca="1">TableWeeklySummary[[#This Row],[Ventas google ads]]+TableWeeklySummary[[#This Row],[Ventas meta ads]]</f>
        <v>0</v>
      </c>
      <c r="Z364" s="14">
        <f ca="1">IFERROR(TableWeeklySummary[[#This Row],[Ventas publicidad]]/TableWeeklySummary[[#This Row],[Inversión publicidad]],0)</f>
        <v>0</v>
      </c>
      <c r="AA364" s="14">
        <f ca="1">IFERROR(TableWeeklySummary[[#This Row],[Ventas primer cliente]]/TableWeeklySummary[[#This Row],[Inversión publicidad]],0)</f>
        <v>0</v>
      </c>
      <c r="AB364" s="14"/>
      <c r="AC364" s="12"/>
      <c r="AI36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6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64" s="12">
        <f ca="1">SUMIFS(TableDailySummary[Utilidad bruta],TableDailySummary[Fecha],"&gt;="&amp;TableWeeklySummary[[#This Row],[Desde]],TableDailySummary[Fecha],"&lt;="&amp;TableWeeklySummary[[#This Row],[Hasta]])</f>
        <v>0</v>
      </c>
      <c r="AL364" s="18">
        <f ca="1">IFERROR(TableWeeklySummary[[#This Row],[Utilidad bruta]]/TableWeeklySummary[[#This Row],[Ventas netas con costo registrado]],0)</f>
        <v>0</v>
      </c>
    </row>
    <row r="365" spans="2:38" x14ac:dyDescent="0.2">
      <c r="B365" s="16">
        <f ca="1">_xlfn.ISOWEEKNUM(TableWeeklySummary[[#This Row],[Hasta]])</f>
        <v>38</v>
      </c>
      <c r="C365" s="6">
        <f t="shared" ca="1" si="7"/>
        <v>48467</v>
      </c>
      <c r="D365" s="6">
        <f ca="1">TableWeeklySummary[[#This Row],[Desde]]+7-1</f>
        <v>48473</v>
      </c>
      <c r="E365" s="12">
        <f ca="1">SUMIFS(TableDailySummary[Ventas netas totales],TableDailySummary[Fecha],"&gt;="&amp;TableWeeklySummary[[#This Row],[Desde]],TableDailySummary[Fecha],"&lt;="&amp;TableWeeklySummary[[#This Row],[Hasta]])</f>
        <v>0</v>
      </c>
      <c r="F365" s="12">
        <f ca="1">SUMIFS(TableDailySummary[Órdenes totales],TableDailySummary[Fecha],"&gt;="&amp;TableWeeklySummary[[#This Row],[Desde]],TableDailySummary[Fecha],"&lt;="&amp;TableWeeklySummary[[#This Row],[Hasta]])</f>
        <v>0</v>
      </c>
      <c r="G365" s="12">
        <f ca="1">IFERROR(TableWeeklySummary[[#This Row],[Ventas netas totales]]/TableWeeklySummary[[#This Row],[Órdenes totales]],0)</f>
        <v>0</v>
      </c>
      <c r="H36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65" s="12">
        <f ca="1">TableWeeklySummary[[#This Row],[Órden promedio totales]]*TableWeeklySummary[[#This Row],[CR totales]]</f>
        <v>0</v>
      </c>
      <c r="J365" s="12">
        <f ca="1">SUMIFS(TableDailySummary[Ventas primer cliente],TableDailySummary[Fecha],"&gt;="&amp;TableWeeklySummary[[#This Row],[Desde]],TableDailySummary[Fecha],"&lt;="&amp;TableWeeklySummary[[#This Row],[Hasta]])</f>
        <v>0</v>
      </c>
      <c r="K365" s="12">
        <f ca="1">SUMIFS(TableDailySummary[Órdenes primer cliente],TableDailySummary[Fecha],"&gt;="&amp;TableWeeklySummary[[#This Row],[Desde]],TableDailySummary[Fecha],"&lt;="&amp;TableWeeklySummary[[#This Row],[Hasta]])</f>
        <v>0</v>
      </c>
      <c r="L365" s="12">
        <f ca="1">SUMIFS(TableDailySummary[Online Store_net_sales],TableDailySummary[Fecha],"&gt;="&amp;TableWeeklySummary[[#This Row],[Desde]],TableDailySummary[Fecha],"&lt;="&amp;TableWeeklySummary[[#This Row],[Hasta]])</f>
        <v>0</v>
      </c>
      <c r="M365" s="12">
        <f ca="1">SUMIFS(TableDailySummary[Online Store_orders],TableDailySummary[Fecha],"&gt;="&amp;TableWeeklySummary[[#This Row],[Desde]],TableDailySummary[Fecha],"&lt;="&amp;TableWeeklySummary[[#This Row],[Hasta]])</f>
        <v>0</v>
      </c>
      <c r="N365" s="12">
        <f ca="1">SUMIFS(TableDailySummary[Tienda 81_net_sales],TableDailySummary[Fecha],"&gt;="&amp;TableWeeklySummary[[#This Row],[Desde]],TableDailySummary[Fecha],"&lt;="&amp;TableWeeklySummary[[#This Row],[Hasta]])</f>
        <v>0</v>
      </c>
      <c r="O365" s="12">
        <f ca="1">SUMIFS(TableDailySummary[Tienda 81_orders],TableDailySummary[Fecha],"&gt;="&amp;TableWeeklySummary[[#This Row],[Desde]],TableDailySummary[Fecha],"&lt;="&amp;TableWeeklySummary[[#This Row],[Hasta]])</f>
        <v>0</v>
      </c>
      <c r="P365" s="12">
        <f ca="1">SUMIFS(TableDailySummary[Rappi_net_sales],TableDailySummary[Fecha],"&gt;="&amp;TableWeeklySummary[[#This Row],[Desde]],TableDailySummary[Fecha],"&lt;="&amp;TableWeeklySummary[[#This Row],[Hasta]])</f>
        <v>0</v>
      </c>
      <c r="Q365" s="12">
        <f ca="1">SUMIFS(TableDailySummary[Rappi_orders],TableDailySummary[Fecha],"&gt;="&amp;TableWeeklySummary[[#This Row],[Desde]],TableDailySummary[Fecha],"&lt;="&amp;TableWeeklySummary[[#This Row],[Hasta]])</f>
        <v>0</v>
      </c>
      <c r="R36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6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65" s="12">
        <f ca="1">SUMIFS(TableDailySummary[Inversión google ads],TableDailySummary[Fecha],"&gt;="&amp;TableWeeklySummary[[#This Row],[Desde]],TableDailySummary[Fecha],"&lt;="&amp;TableWeeklySummary[[#This Row],[Hasta]])</f>
        <v>0</v>
      </c>
      <c r="U365" s="12">
        <f ca="1">SUMIFS(TableDailySummary[Ventas google ads],TableDailySummary[Fecha],"&gt;="&amp;TableWeeklySummary[[#This Row],[Desde]],TableDailySummary[Fecha],"&lt;="&amp;TableWeeklySummary[[#This Row],[Hasta]])</f>
        <v>0</v>
      </c>
      <c r="V365" s="12">
        <f ca="1">SUMIFS(TableDailySummary[Inversión meta ads],TableDailySummary[Fecha],"&gt;="&amp;TableWeeklySummary[[#This Row],[Desde]],TableDailySummary[Fecha],"&lt;="&amp;TableWeeklySummary[[#This Row],[Hasta]])</f>
        <v>0</v>
      </c>
      <c r="W365" s="12">
        <f ca="1">SUMIFS(TableDailySummary[Ventas meta ads],TableDailySummary[Fecha],"&gt;="&amp;TableWeeklySummary[[#This Row],[Desde]],TableDailySummary[Fecha],"&lt;="&amp;TableWeeklySummary[[#This Row],[Hasta]])</f>
        <v>0</v>
      </c>
      <c r="X365" s="12">
        <f ca="1">TableWeeklySummary[[#This Row],[Inversión google ads]]+TableWeeklySummary[[#This Row],[Inversión meta ads]]</f>
        <v>0</v>
      </c>
      <c r="Y365" s="12">
        <f ca="1">TableWeeklySummary[[#This Row],[Ventas google ads]]+TableWeeklySummary[[#This Row],[Ventas meta ads]]</f>
        <v>0</v>
      </c>
      <c r="Z365" s="14">
        <f ca="1">IFERROR(TableWeeklySummary[[#This Row],[Ventas publicidad]]/TableWeeklySummary[[#This Row],[Inversión publicidad]],0)</f>
        <v>0</v>
      </c>
      <c r="AA365" s="14">
        <f ca="1">IFERROR(TableWeeklySummary[[#This Row],[Ventas primer cliente]]/TableWeeklySummary[[#This Row],[Inversión publicidad]],0)</f>
        <v>0</v>
      </c>
      <c r="AB365" s="14"/>
      <c r="AC365" s="12"/>
      <c r="AI36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6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65" s="12">
        <f ca="1">SUMIFS(TableDailySummary[Utilidad bruta],TableDailySummary[Fecha],"&gt;="&amp;TableWeeklySummary[[#This Row],[Desde]],TableDailySummary[Fecha],"&lt;="&amp;TableWeeklySummary[[#This Row],[Hasta]])</f>
        <v>0</v>
      </c>
      <c r="AL365" s="18">
        <f ca="1">IFERROR(TableWeeklySummary[[#This Row],[Utilidad bruta]]/TableWeeklySummary[[#This Row],[Ventas netas con costo registrado]],0)</f>
        <v>0</v>
      </c>
    </row>
    <row r="366" spans="2:38" x14ac:dyDescent="0.2">
      <c r="B366" s="16">
        <f ca="1">_xlfn.ISOWEEKNUM(TableWeeklySummary[[#This Row],[Hasta]])</f>
        <v>39</v>
      </c>
      <c r="C366" s="6">
        <f t="shared" ca="1" si="7"/>
        <v>48474</v>
      </c>
      <c r="D366" s="6">
        <f ca="1">TableWeeklySummary[[#This Row],[Desde]]+7-1</f>
        <v>48480</v>
      </c>
      <c r="E366" s="12">
        <f ca="1">SUMIFS(TableDailySummary[Ventas netas totales],TableDailySummary[Fecha],"&gt;="&amp;TableWeeklySummary[[#This Row],[Desde]],TableDailySummary[Fecha],"&lt;="&amp;TableWeeklySummary[[#This Row],[Hasta]])</f>
        <v>0</v>
      </c>
      <c r="F366" s="12">
        <f ca="1">SUMIFS(TableDailySummary[Órdenes totales],TableDailySummary[Fecha],"&gt;="&amp;TableWeeklySummary[[#This Row],[Desde]],TableDailySummary[Fecha],"&lt;="&amp;TableWeeklySummary[[#This Row],[Hasta]])</f>
        <v>0</v>
      </c>
      <c r="G366" s="12">
        <f ca="1">IFERROR(TableWeeklySummary[[#This Row],[Ventas netas totales]]/TableWeeklySummary[[#This Row],[Órdenes totales]],0)</f>
        <v>0</v>
      </c>
      <c r="H36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66" s="12">
        <f ca="1">TableWeeklySummary[[#This Row],[Órden promedio totales]]*TableWeeklySummary[[#This Row],[CR totales]]</f>
        <v>0</v>
      </c>
      <c r="J366" s="12">
        <f ca="1">SUMIFS(TableDailySummary[Ventas primer cliente],TableDailySummary[Fecha],"&gt;="&amp;TableWeeklySummary[[#This Row],[Desde]],TableDailySummary[Fecha],"&lt;="&amp;TableWeeklySummary[[#This Row],[Hasta]])</f>
        <v>0</v>
      </c>
      <c r="K366" s="12">
        <f ca="1">SUMIFS(TableDailySummary[Órdenes primer cliente],TableDailySummary[Fecha],"&gt;="&amp;TableWeeklySummary[[#This Row],[Desde]],TableDailySummary[Fecha],"&lt;="&amp;TableWeeklySummary[[#This Row],[Hasta]])</f>
        <v>0</v>
      </c>
      <c r="L366" s="12">
        <f ca="1">SUMIFS(TableDailySummary[Online Store_net_sales],TableDailySummary[Fecha],"&gt;="&amp;TableWeeklySummary[[#This Row],[Desde]],TableDailySummary[Fecha],"&lt;="&amp;TableWeeklySummary[[#This Row],[Hasta]])</f>
        <v>0</v>
      </c>
      <c r="M366" s="12">
        <f ca="1">SUMIFS(TableDailySummary[Online Store_orders],TableDailySummary[Fecha],"&gt;="&amp;TableWeeklySummary[[#This Row],[Desde]],TableDailySummary[Fecha],"&lt;="&amp;TableWeeklySummary[[#This Row],[Hasta]])</f>
        <v>0</v>
      </c>
      <c r="N366" s="12">
        <f ca="1">SUMIFS(TableDailySummary[Tienda 81_net_sales],TableDailySummary[Fecha],"&gt;="&amp;TableWeeklySummary[[#This Row],[Desde]],TableDailySummary[Fecha],"&lt;="&amp;TableWeeklySummary[[#This Row],[Hasta]])</f>
        <v>0</v>
      </c>
      <c r="O366" s="12">
        <f ca="1">SUMIFS(TableDailySummary[Tienda 81_orders],TableDailySummary[Fecha],"&gt;="&amp;TableWeeklySummary[[#This Row],[Desde]],TableDailySummary[Fecha],"&lt;="&amp;TableWeeklySummary[[#This Row],[Hasta]])</f>
        <v>0</v>
      </c>
      <c r="P366" s="12">
        <f ca="1">SUMIFS(TableDailySummary[Rappi_net_sales],TableDailySummary[Fecha],"&gt;="&amp;TableWeeklySummary[[#This Row],[Desde]],TableDailySummary[Fecha],"&lt;="&amp;TableWeeklySummary[[#This Row],[Hasta]])</f>
        <v>0</v>
      </c>
      <c r="Q366" s="12">
        <f ca="1">SUMIFS(TableDailySummary[Rappi_orders],TableDailySummary[Fecha],"&gt;="&amp;TableWeeklySummary[[#This Row],[Desde]],TableDailySummary[Fecha],"&lt;="&amp;TableWeeklySummary[[#This Row],[Hasta]])</f>
        <v>0</v>
      </c>
      <c r="R36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6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66" s="12">
        <f ca="1">SUMIFS(TableDailySummary[Inversión google ads],TableDailySummary[Fecha],"&gt;="&amp;TableWeeklySummary[[#This Row],[Desde]],TableDailySummary[Fecha],"&lt;="&amp;TableWeeklySummary[[#This Row],[Hasta]])</f>
        <v>0</v>
      </c>
      <c r="U366" s="12">
        <f ca="1">SUMIFS(TableDailySummary[Ventas google ads],TableDailySummary[Fecha],"&gt;="&amp;TableWeeklySummary[[#This Row],[Desde]],TableDailySummary[Fecha],"&lt;="&amp;TableWeeklySummary[[#This Row],[Hasta]])</f>
        <v>0</v>
      </c>
      <c r="V366" s="12">
        <f ca="1">SUMIFS(TableDailySummary[Inversión meta ads],TableDailySummary[Fecha],"&gt;="&amp;TableWeeklySummary[[#This Row],[Desde]],TableDailySummary[Fecha],"&lt;="&amp;TableWeeklySummary[[#This Row],[Hasta]])</f>
        <v>0</v>
      </c>
      <c r="W366" s="12">
        <f ca="1">SUMIFS(TableDailySummary[Ventas meta ads],TableDailySummary[Fecha],"&gt;="&amp;TableWeeklySummary[[#This Row],[Desde]],TableDailySummary[Fecha],"&lt;="&amp;TableWeeklySummary[[#This Row],[Hasta]])</f>
        <v>0</v>
      </c>
      <c r="X366" s="12">
        <f ca="1">TableWeeklySummary[[#This Row],[Inversión google ads]]+TableWeeklySummary[[#This Row],[Inversión meta ads]]</f>
        <v>0</v>
      </c>
      <c r="Y366" s="12">
        <f ca="1">TableWeeklySummary[[#This Row],[Ventas google ads]]+TableWeeklySummary[[#This Row],[Ventas meta ads]]</f>
        <v>0</v>
      </c>
      <c r="Z366" s="14">
        <f ca="1">IFERROR(TableWeeklySummary[[#This Row],[Ventas publicidad]]/TableWeeklySummary[[#This Row],[Inversión publicidad]],0)</f>
        <v>0</v>
      </c>
      <c r="AA366" s="14">
        <f ca="1">IFERROR(TableWeeklySummary[[#This Row],[Ventas primer cliente]]/TableWeeklySummary[[#This Row],[Inversión publicidad]],0)</f>
        <v>0</v>
      </c>
      <c r="AB366" s="14"/>
      <c r="AC366" s="12"/>
      <c r="AI36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6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66" s="12">
        <f ca="1">SUMIFS(TableDailySummary[Utilidad bruta],TableDailySummary[Fecha],"&gt;="&amp;TableWeeklySummary[[#This Row],[Desde]],TableDailySummary[Fecha],"&lt;="&amp;TableWeeklySummary[[#This Row],[Hasta]])</f>
        <v>0</v>
      </c>
      <c r="AL366" s="18">
        <f ca="1">IFERROR(TableWeeklySummary[[#This Row],[Utilidad bruta]]/TableWeeklySummary[[#This Row],[Ventas netas con costo registrado]],0)</f>
        <v>0</v>
      </c>
    </row>
    <row r="367" spans="2:38" x14ac:dyDescent="0.2">
      <c r="B367" s="16">
        <f ca="1">_xlfn.ISOWEEKNUM(TableWeeklySummary[[#This Row],[Hasta]])</f>
        <v>40</v>
      </c>
      <c r="C367" s="6">
        <f t="shared" ca="1" si="7"/>
        <v>48481</v>
      </c>
      <c r="D367" s="6">
        <f ca="1">TableWeeklySummary[[#This Row],[Desde]]+7-1</f>
        <v>48487</v>
      </c>
      <c r="E367" s="12">
        <f ca="1">SUMIFS(TableDailySummary[Ventas netas totales],TableDailySummary[Fecha],"&gt;="&amp;TableWeeklySummary[[#This Row],[Desde]],TableDailySummary[Fecha],"&lt;="&amp;TableWeeklySummary[[#This Row],[Hasta]])</f>
        <v>0</v>
      </c>
      <c r="F367" s="12">
        <f ca="1">SUMIFS(TableDailySummary[Órdenes totales],TableDailySummary[Fecha],"&gt;="&amp;TableWeeklySummary[[#This Row],[Desde]],TableDailySummary[Fecha],"&lt;="&amp;TableWeeklySummary[[#This Row],[Hasta]])</f>
        <v>0</v>
      </c>
      <c r="G367" s="12">
        <f ca="1">IFERROR(TableWeeklySummary[[#This Row],[Ventas netas totales]]/TableWeeklySummary[[#This Row],[Órdenes totales]],0)</f>
        <v>0</v>
      </c>
      <c r="H36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67" s="12">
        <f ca="1">TableWeeklySummary[[#This Row],[Órden promedio totales]]*TableWeeklySummary[[#This Row],[CR totales]]</f>
        <v>0</v>
      </c>
      <c r="J367" s="12">
        <f ca="1">SUMIFS(TableDailySummary[Ventas primer cliente],TableDailySummary[Fecha],"&gt;="&amp;TableWeeklySummary[[#This Row],[Desde]],TableDailySummary[Fecha],"&lt;="&amp;TableWeeklySummary[[#This Row],[Hasta]])</f>
        <v>0</v>
      </c>
      <c r="K367" s="12">
        <f ca="1">SUMIFS(TableDailySummary[Órdenes primer cliente],TableDailySummary[Fecha],"&gt;="&amp;TableWeeklySummary[[#This Row],[Desde]],TableDailySummary[Fecha],"&lt;="&amp;TableWeeklySummary[[#This Row],[Hasta]])</f>
        <v>0</v>
      </c>
      <c r="L367" s="12">
        <f ca="1">SUMIFS(TableDailySummary[Online Store_net_sales],TableDailySummary[Fecha],"&gt;="&amp;TableWeeklySummary[[#This Row],[Desde]],TableDailySummary[Fecha],"&lt;="&amp;TableWeeklySummary[[#This Row],[Hasta]])</f>
        <v>0</v>
      </c>
      <c r="M367" s="12">
        <f ca="1">SUMIFS(TableDailySummary[Online Store_orders],TableDailySummary[Fecha],"&gt;="&amp;TableWeeklySummary[[#This Row],[Desde]],TableDailySummary[Fecha],"&lt;="&amp;TableWeeklySummary[[#This Row],[Hasta]])</f>
        <v>0</v>
      </c>
      <c r="N367" s="12">
        <f ca="1">SUMIFS(TableDailySummary[Tienda 81_net_sales],TableDailySummary[Fecha],"&gt;="&amp;TableWeeklySummary[[#This Row],[Desde]],TableDailySummary[Fecha],"&lt;="&amp;TableWeeklySummary[[#This Row],[Hasta]])</f>
        <v>0</v>
      </c>
      <c r="O367" s="12">
        <f ca="1">SUMIFS(TableDailySummary[Tienda 81_orders],TableDailySummary[Fecha],"&gt;="&amp;TableWeeklySummary[[#This Row],[Desde]],TableDailySummary[Fecha],"&lt;="&amp;TableWeeklySummary[[#This Row],[Hasta]])</f>
        <v>0</v>
      </c>
      <c r="P367" s="12">
        <f ca="1">SUMIFS(TableDailySummary[Rappi_net_sales],TableDailySummary[Fecha],"&gt;="&amp;TableWeeklySummary[[#This Row],[Desde]],TableDailySummary[Fecha],"&lt;="&amp;TableWeeklySummary[[#This Row],[Hasta]])</f>
        <v>0</v>
      </c>
      <c r="Q367" s="12">
        <f ca="1">SUMIFS(TableDailySummary[Rappi_orders],TableDailySummary[Fecha],"&gt;="&amp;TableWeeklySummary[[#This Row],[Desde]],TableDailySummary[Fecha],"&lt;="&amp;TableWeeklySummary[[#This Row],[Hasta]])</f>
        <v>0</v>
      </c>
      <c r="R36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6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67" s="12">
        <f ca="1">SUMIFS(TableDailySummary[Inversión google ads],TableDailySummary[Fecha],"&gt;="&amp;TableWeeklySummary[[#This Row],[Desde]],TableDailySummary[Fecha],"&lt;="&amp;TableWeeklySummary[[#This Row],[Hasta]])</f>
        <v>0</v>
      </c>
      <c r="U367" s="12">
        <f ca="1">SUMIFS(TableDailySummary[Ventas google ads],TableDailySummary[Fecha],"&gt;="&amp;TableWeeklySummary[[#This Row],[Desde]],TableDailySummary[Fecha],"&lt;="&amp;TableWeeklySummary[[#This Row],[Hasta]])</f>
        <v>0</v>
      </c>
      <c r="V367" s="12">
        <f ca="1">SUMIFS(TableDailySummary[Inversión meta ads],TableDailySummary[Fecha],"&gt;="&amp;TableWeeklySummary[[#This Row],[Desde]],TableDailySummary[Fecha],"&lt;="&amp;TableWeeklySummary[[#This Row],[Hasta]])</f>
        <v>0</v>
      </c>
      <c r="W367" s="12">
        <f ca="1">SUMIFS(TableDailySummary[Ventas meta ads],TableDailySummary[Fecha],"&gt;="&amp;TableWeeklySummary[[#This Row],[Desde]],TableDailySummary[Fecha],"&lt;="&amp;TableWeeklySummary[[#This Row],[Hasta]])</f>
        <v>0</v>
      </c>
      <c r="X367" s="12">
        <f ca="1">TableWeeklySummary[[#This Row],[Inversión google ads]]+TableWeeklySummary[[#This Row],[Inversión meta ads]]</f>
        <v>0</v>
      </c>
      <c r="Y367" s="12">
        <f ca="1">TableWeeklySummary[[#This Row],[Ventas google ads]]+TableWeeklySummary[[#This Row],[Ventas meta ads]]</f>
        <v>0</v>
      </c>
      <c r="Z367" s="14">
        <f ca="1">IFERROR(TableWeeklySummary[[#This Row],[Ventas publicidad]]/TableWeeklySummary[[#This Row],[Inversión publicidad]],0)</f>
        <v>0</v>
      </c>
      <c r="AA367" s="14">
        <f ca="1">IFERROR(TableWeeklySummary[[#This Row],[Ventas primer cliente]]/TableWeeklySummary[[#This Row],[Inversión publicidad]],0)</f>
        <v>0</v>
      </c>
      <c r="AB367" s="14"/>
      <c r="AC367" s="12"/>
      <c r="AI36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6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67" s="12">
        <f ca="1">SUMIFS(TableDailySummary[Utilidad bruta],TableDailySummary[Fecha],"&gt;="&amp;TableWeeklySummary[[#This Row],[Desde]],TableDailySummary[Fecha],"&lt;="&amp;TableWeeklySummary[[#This Row],[Hasta]])</f>
        <v>0</v>
      </c>
      <c r="AL367" s="18">
        <f ca="1">IFERROR(TableWeeklySummary[[#This Row],[Utilidad bruta]]/TableWeeklySummary[[#This Row],[Ventas netas con costo registrado]],0)</f>
        <v>0</v>
      </c>
    </row>
    <row r="368" spans="2:38" x14ac:dyDescent="0.2">
      <c r="B368" s="16">
        <f ca="1">_xlfn.ISOWEEKNUM(TableWeeklySummary[[#This Row],[Hasta]])</f>
        <v>41</v>
      </c>
      <c r="C368" s="6">
        <f t="shared" ca="1" si="7"/>
        <v>48488</v>
      </c>
      <c r="D368" s="6">
        <f ca="1">TableWeeklySummary[[#This Row],[Desde]]+7-1</f>
        <v>48494</v>
      </c>
      <c r="E368" s="12">
        <f ca="1">SUMIFS(TableDailySummary[Ventas netas totales],TableDailySummary[Fecha],"&gt;="&amp;TableWeeklySummary[[#This Row],[Desde]],TableDailySummary[Fecha],"&lt;="&amp;TableWeeklySummary[[#This Row],[Hasta]])</f>
        <v>0</v>
      </c>
      <c r="F368" s="12">
        <f ca="1">SUMIFS(TableDailySummary[Órdenes totales],TableDailySummary[Fecha],"&gt;="&amp;TableWeeklySummary[[#This Row],[Desde]],TableDailySummary[Fecha],"&lt;="&amp;TableWeeklySummary[[#This Row],[Hasta]])</f>
        <v>0</v>
      </c>
      <c r="G368" s="12">
        <f ca="1">IFERROR(TableWeeklySummary[[#This Row],[Ventas netas totales]]/TableWeeklySummary[[#This Row],[Órdenes totales]],0)</f>
        <v>0</v>
      </c>
      <c r="H36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68" s="12">
        <f ca="1">TableWeeklySummary[[#This Row],[Órden promedio totales]]*TableWeeklySummary[[#This Row],[CR totales]]</f>
        <v>0</v>
      </c>
      <c r="J368" s="12">
        <f ca="1">SUMIFS(TableDailySummary[Ventas primer cliente],TableDailySummary[Fecha],"&gt;="&amp;TableWeeklySummary[[#This Row],[Desde]],TableDailySummary[Fecha],"&lt;="&amp;TableWeeklySummary[[#This Row],[Hasta]])</f>
        <v>0</v>
      </c>
      <c r="K368" s="12">
        <f ca="1">SUMIFS(TableDailySummary[Órdenes primer cliente],TableDailySummary[Fecha],"&gt;="&amp;TableWeeklySummary[[#This Row],[Desde]],TableDailySummary[Fecha],"&lt;="&amp;TableWeeklySummary[[#This Row],[Hasta]])</f>
        <v>0</v>
      </c>
      <c r="L368" s="12">
        <f ca="1">SUMIFS(TableDailySummary[Online Store_net_sales],TableDailySummary[Fecha],"&gt;="&amp;TableWeeklySummary[[#This Row],[Desde]],TableDailySummary[Fecha],"&lt;="&amp;TableWeeklySummary[[#This Row],[Hasta]])</f>
        <v>0</v>
      </c>
      <c r="M368" s="12">
        <f ca="1">SUMIFS(TableDailySummary[Online Store_orders],TableDailySummary[Fecha],"&gt;="&amp;TableWeeklySummary[[#This Row],[Desde]],TableDailySummary[Fecha],"&lt;="&amp;TableWeeklySummary[[#This Row],[Hasta]])</f>
        <v>0</v>
      </c>
      <c r="N368" s="12">
        <f ca="1">SUMIFS(TableDailySummary[Tienda 81_net_sales],TableDailySummary[Fecha],"&gt;="&amp;TableWeeklySummary[[#This Row],[Desde]],TableDailySummary[Fecha],"&lt;="&amp;TableWeeklySummary[[#This Row],[Hasta]])</f>
        <v>0</v>
      </c>
      <c r="O368" s="12">
        <f ca="1">SUMIFS(TableDailySummary[Tienda 81_orders],TableDailySummary[Fecha],"&gt;="&amp;TableWeeklySummary[[#This Row],[Desde]],TableDailySummary[Fecha],"&lt;="&amp;TableWeeklySummary[[#This Row],[Hasta]])</f>
        <v>0</v>
      </c>
      <c r="P368" s="12">
        <f ca="1">SUMIFS(TableDailySummary[Rappi_net_sales],TableDailySummary[Fecha],"&gt;="&amp;TableWeeklySummary[[#This Row],[Desde]],TableDailySummary[Fecha],"&lt;="&amp;TableWeeklySummary[[#This Row],[Hasta]])</f>
        <v>0</v>
      </c>
      <c r="Q368" s="12">
        <f ca="1">SUMIFS(TableDailySummary[Rappi_orders],TableDailySummary[Fecha],"&gt;="&amp;TableWeeklySummary[[#This Row],[Desde]],TableDailySummary[Fecha],"&lt;="&amp;TableWeeklySummary[[#This Row],[Hasta]])</f>
        <v>0</v>
      </c>
      <c r="R36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6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68" s="12">
        <f ca="1">SUMIFS(TableDailySummary[Inversión google ads],TableDailySummary[Fecha],"&gt;="&amp;TableWeeklySummary[[#This Row],[Desde]],TableDailySummary[Fecha],"&lt;="&amp;TableWeeklySummary[[#This Row],[Hasta]])</f>
        <v>0</v>
      </c>
      <c r="U368" s="12">
        <f ca="1">SUMIFS(TableDailySummary[Ventas google ads],TableDailySummary[Fecha],"&gt;="&amp;TableWeeklySummary[[#This Row],[Desde]],TableDailySummary[Fecha],"&lt;="&amp;TableWeeklySummary[[#This Row],[Hasta]])</f>
        <v>0</v>
      </c>
      <c r="V368" s="12">
        <f ca="1">SUMIFS(TableDailySummary[Inversión meta ads],TableDailySummary[Fecha],"&gt;="&amp;TableWeeklySummary[[#This Row],[Desde]],TableDailySummary[Fecha],"&lt;="&amp;TableWeeklySummary[[#This Row],[Hasta]])</f>
        <v>0</v>
      </c>
      <c r="W368" s="12">
        <f ca="1">SUMIFS(TableDailySummary[Ventas meta ads],TableDailySummary[Fecha],"&gt;="&amp;TableWeeklySummary[[#This Row],[Desde]],TableDailySummary[Fecha],"&lt;="&amp;TableWeeklySummary[[#This Row],[Hasta]])</f>
        <v>0</v>
      </c>
      <c r="X368" s="12">
        <f ca="1">TableWeeklySummary[[#This Row],[Inversión google ads]]+TableWeeklySummary[[#This Row],[Inversión meta ads]]</f>
        <v>0</v>
      </c>
      <c r="Y368" s="12">
        <f ca="1">TableWeeklySummary[[#This Row],[Ventas google ads]]+TableWeeklySummary[[#This Row],[Ventas meta ads]]</f>
        <v>0</v>
      </c>
      <c r="Z368" s="14">
        <f ca="1">IFERROR(TableWeeklySummary[[#This Row],[Ventas publicidad]]/TableWeeklySummary[[#This Row],[Inversión publicidad]],0)</f>
        <v>0</v>
      </c>
      <c r="AA368" s="14">
        <f ca="1">IFERROR(TableWeeklySummary[[#This Row],[Ventas primer cliente]]/TableWeeklySummary[[#This Row],[Inversión publicidad]],0)</f>
        <v>0</v>
      </c>
      <c r="AB368" s="14"/>
      <c r="AC368" s="12"/>
      <c r="AI36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6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68" s="12">
        <f ca="1">SUMIFS(TableDailySummary[Utilidad bruta],TableDailySummary[Fecha],"&gt;="&amp;TableWeeklySummary[[#This Row],[Desde]],TableDailySummary[Fecha],"&lt;="&amp;TableWeeklySummary[[#This Row],[Hasta]])</f>
        <v>0</v>
      </c>
      <c r="AL368" s="18">
        <f ca="1">IFERROR(TableWeeklySummary[[#This Row],[Utilidad bruta]]/TableWeeklySummary[[#This Row],[Ventas netas con costo registrado]],0)</f>
        <v>0</v>
      </c>
    </row>
    <row r="369" spans="2:38" x14ac:dyDescent="0.2">
      <c r="B369" s="16">
        <f ca="1">_xlfn.ISOWEEKNUM(TableWeeklySummary[[#This Row],[Hasta]])</f>
        <v>42</v>
      </c>
      <c r="C369" s="6">
        <f t="shared" ca="1" si="7"/>
        <v>48495</v>
      </c>
      <c r="D369" s="6">
        <f ca="1">TableWeeklySummary[[#This Row],[Desde]]+7-1</f>
        <v>48501</v>
      </c>
      <c r="E369" s="12">
        <f ca="1">SUMIFS(TableDailySummary[Ventas netas totales],TableDailySummary[Fecha],"&gt;="&amp;TableWeeklySummary[[#This Row],[Desde]],TableDailySummary[Fecha],"&lt;="&amp;TableWeeklySummary[[#This Row],[Hasta]])</f>
        <v>0</v>
      </c>
      <c r="F369" s="12">
        <f ca="1">SUMIFS(TableDailySummary[Órdenes totales],TableDailySummary[Fecha],"&gt;="&amp;TableWeeklySummary[[#This Row],[Desde]],TableDailySummary[Fecha],"&lt;="&amp;TableWeeklySummary[[#This Row],[Hasta]])</f>
        <v>0</v>
      </c>
      <c r="G369" s="12">
        <f ca="1">IFERROR(TableWeeklySummary[[#This Row],[Ventas netas totales]]/TableWeeklySummary[[#This Row],[Órdenes totales]],0)</f>
        <v>0</v>
      </c>
      <c r="H36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69" s="12">
        <f ca="1">TableWeeklySummary[[#This Row],[Órden promedio totales]]*TableWeeklySummary[[#This Row],[CR totales]]</f>
        <v>0</v>
      </c>
      <c r="J369" s="12">
        <f ca="1">SUMIFS(TableDailySummary[Ventas primer cliente],TableDailySummary[Fecha],"&gt;="&amp;TableWeeklySummary[[#This Row],[Desde]],TableDailySummary[Fecha],"&lt;="&amp;TableWeeklySummary[[#This Row],[Hasta]])</f>
        <v>0</v>
      </c>
      <c r="K369" s="12">
        <f ca="1">SUMIFS(TableDailySummary[Órdenes primer cliente],TableDailySummary[Fecha],"&gt;="&amp;TableWeeklySummary[[#This Row],[Desde]],TableDailySummary[Fecha],"&lt;="&amp;TableWeeklySummary[[#This Row],[Hasta]])</f>
        <v>0</v>
      </c>
      <c r="L369" s="12">
        <f ca="1">SUMIFS(TableDailySummary[Online Store_net_sales],TableDailySummary[Fecha],"&gt;="&amp;TableWeeklySummary[[#This Row],[Desde]],TableDailySummary[Fecha],"&lt;="&amp;TableWeeklySummary[[#This Row],[Hasta]])</f>
        <v>0</v>
      </c>
      <c r="M369" s="12">
        <f ca="1">SUMIFS(TableDailySummary[Online Store_orders],TableDailySummary[Fecha],"&gt;="&amp;TableWeeklySummary[[#This Row],[Desde]],TableDailySummary[Fecha],"&lt;="&amp;TableWeeklySummary[[#This Row],[Hasta]])</f>
        <v>0</v>
      </c>
      <c r="N369" s="12">
        <f ca="1">SUMIFS(TableDailySummary[Tienda 81_net_sales],TableDailySummary[Fecha],"&gt;="&amp;TableWeeklySummary[[#This Row],[Desde]],TableDailySummary[Fecha],"&lt;="&amp;TableWeeklySummary[[#This Row],[Hasta]])</f>
        <v>0</v>
      </c>
      <c r="O369" s="12">
        <f ca="1">SUMIFS(TableDailySummary[Tienda 81_orders],TableDailySummary[Fecha],"&gt;="&amp;TableWeeklySummary[[#This Row],[Desde]],TableDailySummary[Fecha],"&lt;="&amp;TableWeeklySummary[[#This Row],[Hasta]])</f>
        <v>0</v>
      </c>
      <c r="P369" s="12">
        <f ca="1">SUMIFS(TableDailySummary[Rappi_net_sales],TableDailySummary[Fecha],"&gt;="&amp;TableWeeklySummary[[#This Row],[Desde]],TableDailySummary[Fecha],"&lt;="&amp;TableWeeklySummary[[#This Row],[Hasta]])</f>
        <v>0</v>
      </c>
      <c r="Q369" s="12">
        <f ca="1">SUMIFS(TableDailySummary[Rappi_orders],TableDailySummary[Fecha],"&gt;="&amp;TableWeeklySummary[[#This Row],[Desde]],TableDailySummary[Fecha],"&lt;="&amp;TableWeeklySummary[[#This Row],[Hasta]])</f>
        <v>0</v>
      </c>
      <c r="R36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6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69" s="12">
        <f ca="1">SUMIFS(TableDailySummary[Inversión google ads],TableDailySummary[Fecha],"&gt;="&amp;TableWeeklySummary[[#This Row],[Desde]],TableDailySummary[Fecha],"&lt;="&amp;TableWeeklySummary[[#This Row],[Hasta]])</f>
        <v>0</v>
      </c>
      <c r="U369" s="12">
        <f ca="1">SUMIFS(TableDailySummary[Ventas google ads],TableDailySummary[Fecha],"&gt;="&amp;TableWeeklySummary[[#This Row],[Desde]],TableDailySummary[Fecha],"&lt;="&amp;TableWeeklySummary[[#This Row],[Hasta]])</f>
        <v>0</v>
      </c>
      <c r="V369" s="12">
        <f ca="1">SUMIFS(TableDailySummary[Inversión meta ads],TableDailySummary[Fecha],"&gt;="&amp;TableWeeklySummary[[#This Row],[Desde]],TableDailySummary[Fecha],"&lt;="&amp;TableWeeklySummary[[#This Row],[Hasta]])</f>
        <v>0</v>
      </c>
      <c r="W369" s="12">
        <f ca="1">SUMIFS(TableDailySummary[Ventas meta ads],TableDailySummary[Fecha],"&gt;="&amp;TableWeeklySummary[[#This Row],[Desde]],TableDailySummary[Fecha],"&lt;="&amp;TableWeeklySummary[[#This Row],[Hasta]])</f>
        <v>0</v>
      </c>
      <c r="X369" s="12">
        <f ca="1">TableWeeklySummary[[#This Row],[Inversión google ads]]+TableWeeklySummary[[#This Row],[Inversión meta ads]]</f>
        <v>0</v>
      </c>
      <c r="Y369" s="12">
        <f ca="1">TableWeeklySummary[[#This Row],[Ventas google ads]]+TableWeeklySummary[[#This Row],[Ventas meta ads]]</f>
        <v>0</v>
      </c>
      <c r="Z369" s="14">
        <f ca="1">IFERROR(TableWeeklySummary[[#This Row],[Ventas publicidad]]/TableWeeklySummary[[#This Row],[Inversión publicidad]],0)</f>
        <v>0</v>
      </c>
      <c r="AA369" s="14">
        <f ca="1">IFERROR(TableWeeklySummary[[#This Row],[Ventas primer cliente]]/TableWeeklySummary[[#This Row],[Inversión publicidad]],0)</f>
        <v>0</v>
      </c>
      <c r="AB369" s="14"/>
      <c r="AC369" s="12"/>
      <c r="AI36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6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69" s="12">
        <f ca="1">SUMIFS(TableDailySummary[Utilidad bruta],TableDailySummary[Fecha],"&gt;="&amp;TableWeeklySummary[[#This Row],[Desde]],TableDailySummary[Fecha],"&lt;="&amp;TableWeeklySummary[[#This Row],[Hasta]])</f>
        <v>0</v>
      </c>
      <c r="AL369" s="18">
        <f ca="1">IFERROR(TableWeeklySummary[[#This Row],[Utilidad bruta]]/TableWeeklySummary[[#This Row],[Ventas netas con costo registrado]],0)</f>
        <v>0</v>
      </c>
    </row>
    <row r="370" spans="2:38" x14ac:dyDescent="0.2">
      <c r="B370" s="16">
        <f ca="1">_xlfn.ISOWEEKNUM(TableWeeklySummary[[#This Row],[Hasta]])</f>
        <v>43</v>
      </c>
      <c r="C370" s="6">
        <f t="shared" ca="1" si="7"/>
        <v>48502</v>
      </c>
      <c r="D370" s="6">
        <f ca="1">TableWeeklySummary[[#This Row],[Desde]]+7-1</f>
        <v>48508</v>
      </c>
      <c r="E370" s="12">
        <f ca="1">SUMIFS(TableDailySummary[Ventas netas totales],TableDailySummary[Fecha],"&gt;="&amp;TableWeeklySummary[[#This Row],[Desde]],TableDailySummary[Fecha],"&lt;="&amp;TableWeeklySummary[[#This Row],[Hasta]])</f>
        <v>0</v>
      </c>
      <c r="F370" s="12">
        <f ca="1">SUMIFS(TableDailySummary[Órdenes totales],TableDailySummary[Fecha],"&gt;="&amp;TableWeeklySummary[[#This Row],[Desde]],TableDailySummary[Fecha],"&lt;="&amp;TableWeeklySummary[[#This Row],[Hasta]])</f>
        <v>0</v>
      </c>
      <c r="G370" s="12">
        <f ca="1">IFERROR(TableWeeklySummary[[#This Row],[Ventas netas totales]]/TableWeeklySummary[[#This Row],[Órdenes totales]],0)</f>
        <v>0</v>
      </c>
      <c r="H37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70" s="12">
        <f ca="1">TableWeeklySummary[[#This Row],[Órden promedio totales]]*TableWeeklySummary[[#This Row],[CR totales]]</f>
        <v>0</v>
      </c>
      <c r="J370" s="12">
        <f ca="1">SUMIFS(TableDailySummary[Ventas primer cliente],TableDailySummary[Fecha],"&gt;="&amp;TableWeeklySummary[[#This Row],[Desde]],TableDailySummary[Fecha],"&lt;="&amp;TableWeeklySummary[[#This Row],[Hasta]])</f>
        <v>0</v>
      </c>
      <c r="K370" s="12">
        <f ca="1">SUMIFS(TableDailySummary[Órdenes primer cliente],TableDailySummary[Fecha],"&gt;="&amp;TableWeeklySummary[[#This Row],[Desde]],TableDailySummary[Fecha],"&lt;="&amp;TableWeeklySummary[[#This Row],[Hasta]])</f>
        <v>0</v>
      </c>
      <c r="L370" s="12">
        <f ca="1">SUMIFS(TableDailySummary[Online Store_net_sales],TableDailySummary[Fecha],"&gt;="&amp;TableWeeklySummary[[#This Row],[Desde]],TableDailySummary[Fecha],"&lt;="&amp;TableWeeklySummary[[#This Row],[Hasta]])</f>
        <v>0</v>
      </c>
      <c r="M370" s="12">
        <f ca="1">SUMIFS(TableDailySummary[Online Store_orders],TableDailySummary[Fecha],"&gt;="&amp;TableWeeklySummary[[#This Row],[Desde]],TableDailySummary[Fecha],"&lt;="&amp;TableWeeklySummary[[#This Row],[Hasta]])</f>
        <v>0</v>
      </c>
      <c r="N370" s="12">
        <f ca="1">SUMIFS(TableDailySummary[Tienda 81_net_sales],TableDailySummary[Fecha],"&gt;="&amp;TableWeeklySummary[[#This Row],[Desde]],TableDailySummary[Fecha],"&lt;="&amp;TableWeeklySummary[[#This Row],[Hasta]])</f>
        <v>0</v>
      </c>
      <c r="O370" s="12">
        <f ca="1">SUMIFS(TableDailySummary[Tienda 81_orders],TableDailySummary[Fecha],"&gt;="&amp;TableWeeklySummary[[#This Row],[Desde]],TableDailySummary[Fecha],"&lt;="&amp;TableWeeklySummary[[#This Row],[Hasta]])</f>
        <v>0</v>
      </c>
      <c r="P370" s="12">
        <f ca="1">SUMIFS(TableDailySummary[Rappi_net_sales],TableDailySummary[Fecha],"&gt;="&amp;TableWeeklySummary[[#This Row],[Desde]],TableDailySummary[Fecha],"&lt;="&amp;TableWeeklySummary[[#This Row],[Hasta]])</f>
        <v>0</v>
      </c>
      <c r="Q370" s="12">
        <f ca="1">SUMIFS(TableDailySummary[Rappi_orders],TableDailySummary[Fecha],"&gt;="&amp;TableWeeklySummary[[#This Row],[Desde]],TableDailySummary[Fecha],"&lt;="&amp;TableWeeklySummary[[#This Row],[Hasta]])</f>
        <v>0</v>
      </c>
      <c r="R37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7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70" s="12">
        <f ca="1">SUMIFS(TableDailySummary[Inversión google ads],TableDailySummary[Fecha],"&gt;="&amp;TableWeeklySummary[[#This Row],[Desde]],TableDailySummary[Fecha],"&lt;="&amp;TableWeeklySummary[[#This Row],[Hasta]])</f>
        <v>0</v>
      </c>
      <c r="U370" s="12">
        <f ca="1">SUMIFS(TableDailySummary[Ventas google ads],TableDailySummary[Fecha],"&gt;="&amp;TableWeeklySummary[[#This Row],[Desde]],TableDailySummary[Fecha],"&lt;="&amp;TableWeeklySummary[[#This Row],[Hasta]])</f>
        <v>0</v>
      </c>
      <c r="V370" s="12">
        <f ca="1">SUMIFS(TableDailySummary[Inversión meta ads],TableDailySummary[Fecha],"&gt;="&amp;TableWeeklySummary[[#This Row],[Desde]],TableDailySummary[Fecha],"&lt;="&amp;TableWeeklySummary[[#This Row],[Hasta]])</f>
        <v>0</v>
      </c>
      <c r="W370" s="12">
        <f ca="1">SUMIFS(TableDailySummary[Ventas meta ads],TableDailySummary[Fecha],"&gt;="&amp;TableWeeklySummary[[#This Row],[Desde]],TableDailySummary[Fecha],"&lt;="&amp;TableWeeklySummary[[#This Row],[Hasta]])</f>
        <v>0</v>
      </c>
      <c r="X370" s="12">
        <f ca="1">TableWeeklySummary[[#This Row],[Inversión google ads]]+TableWeeklySummary[[#This Row],[Inversión meta ads]]</f>
        <v>0</v>
      </c>
      <c r="Y370" s="12">
        <f ca="1">TableWeeklySummary[[#This Row],[Ventas google ads]]+TableWeeklySummary[[#This Row],[Ventas meta ads]]</f>
        <v>0</v>
      </c>
      <c r="Z370" s="14">
        <f ca="1">IFERROR(TableWeeklySummary[[#This Row],[Ventas publicidad]]/TableWeeklySummary[[#This Row],[Inversión publicidad]],0)</f>
        <v>0</v>
      </c>
      <c r="AA370" s="14">
        <f ca="1">IFERROR(TableWeeklySummary[[#This Row],[Ventas primer cliente]]/TableWeeklySummary[[#This Row],[Inversión publicidad]],0)</f>
        <v>0</v>
      </c>
      <c r="AB370" s="14"/>
      <c r="AC370" s="12"/>
      <c r="AI37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7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70" s="12">
        <f ca="1">SUMIFS(TableDailySummary[Utilidad bruta],TableDailySummary[Fecha],"&gt;="&amp;TableWeeklySummary[[#This Row],[Desde]],TableDailySummary[Fecha],"&lt;="&amp;TableWeeklySummary[[#This Row],[Hasta]])</f>
        <v>0</v>
      </c>
      <c r="AL370" s="18">
        <f ca="1">IFERROR(TableWeeklySummary[[#This Row],[Utilidad bruta]]/TableWeeklySummary[[#This Row],[Ventas netas con costo registrado]],0)</f>
        <v>0</v>
      </c>
    </row>
    <row r="371" spans="2:38" x14ac:dyDescent="0.2">
      <c r="B371" s="16">
        <f ca="1">_xlfn.ISOWEEKNUM(TableWeeklySummary[[#This Row],[Hasta]])</f>
        <v>44</v>
      </c>
      <c r="C371" s="6">
        <f t="shared" ca="1" si="7"/>
        <v>48509</v>
      </c>
      <c r="D371" s="6">
        <f ca="1">TableWeeklySummary[[#This Row],[Desde]]+7-1</f>
        <v>48515</v>
      </c>
      <c r="E371" s="12">
        <f ca="1">SUMIFS(TableDailySummary[Ventas netas totales],TableDailySummary[Fecha],"&gt;="&amp;TableWeeklySummary[[#This Row],[Desde]],TableDailySummary[Fecha],"&lt;="&amp;TableWeeklySummary[[#This Row],[Hasta]])</f>
        <v>0</v>
      </c>
      <c r="F371" s="12">
        <f ca="1">SUMIFS(TableDailySummary[Órdenes totales],TableDailySummary[Fecha],"&gt;="&amp;TableWeeklySummary[[#This Row],[Desde]],TableDailySummary[Fecha],"&lt;="&amp;TableWeeklySummary[[#This Row],[Hasta]])</f>
        <v>0</v>
      </c>
      <c r="G371" s="12">
        <f ca="1">IFERROR(TableWeeklySummary[[#This Row],[Ventas netas totales]]/TableWeeklySummary[[#This Row],[Órdenes totales]],0)</f>
        <v>0</v>
      </c>
      <c r="H37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71" s="12">
        <f ca="1">TableWeeklySummary[[#This Row],[Órden promedio totales]]*TableWeeklySummary[[#This Row],[CR totales]]</f>
        <v>0</v>
      </c>
      <c r="J371" s="12">
        <f ca="1">SUMIFS(TableDailySummary[Ventas primer cliente],TableDailySummary[Fecha],"&gt;="&amp;TableWeeklySummary[[#This Row],[Desde]],TableDailySummary[Fecha],"&lt;="&amp;TableWeeklySummary[[#This Row],[Hasta]])</f>
        <v>0</v>
      </c>
      <c r="K371" s="12">
        <f ca="1">SUMIFS(TableDailySummary[Órdenes primer cliente],TableDailySummary[Fecha],"&gt;="&amp;TableWeeklySummary[[#This Row],[Desde]],TableDailySummary[Fecha],"&lt;="&amp;TableWeeklySummary[[#This Row],[Hasta]])</f>
        <v>0</v>
      </c>
      <c r="L371" s="12">
        <f ca="1">SUMIFS(TableDailySummary[Online Store_net_sales],TableDailySummary[Fecha],"&gt;="&amp;TableWeeklySummary[[#This Row],[Desde]],TableDailySummary[Fecha],"&lt;="&amp;TableWeeklySummary[[#This Row],[Hasta]])</f>
        <v>0</v>
      </c>
      <c r="M371" s="12">
        <f ca="1">SUMIFS(TableDailySummary[Online Store_orders],TableDailySummary[Fecha],"&gt;="&amp;TableWeeklySummary[[#This Row],[Desde]],TableDailySummary[Fecha],"&lt;="&amp;TableWeeklySummary[[#This Row],[Hasta]])</f>
        <v>0</v>
      </c>
      <c r="N371" s="12">
        <f ca="1">SUMIFS(TableDailySummary[Tienda 81_net_sales],TableDailySummary[Fecha],"&gt;="&amp;TableWeeklySummary[[#This Row],[Desde]],TableDailySummary[Fecha],"&lt;="&amp;TableWeeklySummary[[#This Row],[Hasta]])</f>
        <v>0</v>
      </c>
      <c r="O371" s="12">
        <f ca="1">SUMIFS(TableDailySummary[Tienda 81_orders],TableDailySummary[Fecha],"&gt;="&amp;TableWeeklySummary[[#This Row],[Desde]],TableDailySummary[Fecha],"&lt;="&amp;TableWeeklySummary[[#This Row],[Hasta]])</f>
        <v>0</v>
      </c>
      <c r="P371" s="12">
        <f ca="1">SUMIFS(TableDailySummary[Rappi_net_sales],TableDailySummary[Fecha],"&gt;="&amp;TableWeeklySummary[[#This Row],[Desde]],TableDailySummary[Fecha],"&lt;="&amp;TableWeeklySummary[[#This Row],[Hasta]])</f>
        <v>0</v>
      </c>
      <c r="Q371" s="12">
        <f ca="1">SUMIFS(TableDailySummary[Rappi_orders],TableDailySummary[Fecha],"&gt;="&amp;TableWeeklySummary[[#This Row],[Desde]],TableDailySummary[Fecha],"&lt;="&amp;TableWeeklySummary[[#This Row],[Hasta]])</f>
        <v>0</v>
      </c>
      <c r="R37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7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71" s="12">
        <f ca="1">SUMIFS(TableDailySummary[Inversión google ads],TableDailySummary[Fecha],"&gt;="&amp;TableWeeklySummary[[#This Row],[Desde]],TableDailySummary[Fecha],"&lt;="&amp;TableWeeklySummary[[#This Row],[Hasta]])</f>
        <v>0</v>
      </c>
      <c r="U371" s="12">
        <f ca="1">SUMIFS(TableDailySummary[Ventas google ads],TableDailySummary[Fecha],"&gt;="&amp;TableWeeklySummary[[#This Row],[Desde]],TableDailySummary[Fecha],"&lt;="&amp;TableWeeklySummary[[#This Row],[Hasta]])</f>
        <v>0</v>
      </c>
      <c r="V371" s="12">
        <f ca="1">SUMIFS(TableDailySummary[Inversión meta ads],TableDailySummary[Fecha],"&gt;="&amp;TableWeeklySummary[[#This Row],[Desde]],TableDailySummary[Fecha],"&lt;="&amp;TableWeeklySummary[[#This Row],[Hasta]])</f>
        <v>0</v>
      </c>
      <c r="W371" s="12">
        <f ca="1">SUMIFS(TableDailySummary[Ventas meta ads],TableDailySummary[Fecha],"&gt;="&amp;TableWeeklySummary[[#This Row],[Desde]],TableDailySummary[Fecha],"&lt;="&amp;TableWeeklySummary[[#This Row],[Hasta]])</f>
        <v>0</v>
      </c>
      <c r="X371" s="12">
        <f ca="1">TableWeeklySummary[[#This Row],[Inversión google ads]]+TableWeeklySummary[[#This Row],[Inversión meta ads]]</f>
        <v>0</v>
      </c>
      <c r="Y371" s="12">
        <f ca="1">TableWeeklySummary[[#This Row],[Ventas google ads]]+TableWeeklySummary[[#This Row],[Ventas meta ads]]</f>
        <v>0</v>
      </c>
      <c r="Z371" s="14">
        <f ca="1">IFERROR(TableWeeklySummary[[#This Row],[Ventas publicidad]]/TableWeeklySummary[[#This Row],[Inversión publicidad]],0)</f>
        <v>0</v>
      </c>
      <c r="AA371" s="14">
        <f ca="1">IFERROR(TableWeeklySummary[[#This Row],[Ventas primer cliente]]/TableWeeklySummary[[#This Row],[Inversión publicidad]],0)</f>
        <v>0</v>
      </c>
      <c r="AB371" s="14"/>
      <c r="AC371" s="12"/>
      <c r="AI37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7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71" s="12">
        <f ca="1">SUMIFS(TableDailySummary[Utilidad bruta],TableDailySummary[Fecha],"&gt;="&amp;TableWeeklySummary[[#This Row],[Desde]],TableDailySummary[Fecha],"&lt;="&amp;TableWeeklySummary[[#This Row],[Hasta]])</f>
        <v>0</v>
      </c>
      <c r="AL371" s="18">
        <f ca="1">IFERROR(TableWeeklySummary[[#This Row],[Utilidad bruta]]/TableWeeklySummary[[#This Row],[Ventas netas con costo registrado]],0)</f>
        <v>0</v>
      </c>
    </row>
    <row r="372" spans="2:38" x14ac:dyDescent="0.2">
      <c r="B372" s="16">
        <f ca="1">_xlfn.ISOWEEKNUM(TableWeeklySummary[[#This Row],[Hasta]])</f>
        <v>45</v>
      </c>
      <c r="C372" s="6">
        <f t="shared" ca="1" si="7"/>
        <v>48516</v>
      </c>
      <c r="D372" s="6">
        <f ca="1">TableWeeklySummary[[#This Row],[Desde]]+7-1</f>
        <v>48522</v>
      </c>
      <c r="E372" s="12">
        <f ca="1">SUMIFS(TableDailySummary[Ventas netas totales],TableDailySummary[Fecha],"&gt;="&amp;TableWeeklySummary[[#This Row],[Desde]],TableDailySummary[Fecha],"&lt;="&amp;TableWeeklySummary[[#This Row],[Hasta]])</f>
        <v>0</v>
      </c>
      <c r="F372" s="12">
        <f ca="1">SUMIFS(TableDailySummary[Órdenes totales],TableDailySummary[Fecha],"&gt;="&amp;TableWeeklySummary[[#This Row],[Desde]],TableDailySummary[Fecha],"&lt;="&amp;TableWeeklySummary[[#This Row],[Hasta]])</f>
        <v>0</v>
      </c>
      <c r="G372" s="12">
        <f ca="1">IFERROR(TableWeeklySummary[[#This Row],[Ventas netas totales]]/TableWeeklySummary[[#This Row],[Órdenes totales]],0)</f>
        <v>0</v>
      </c>
      <c r="H37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72" s="12">
        <f ca="1">TableWeeklySummary[[#This Row],[Órden promedio totales]]*TableWeeklySummary[[#This Row],[CR totales]]</f>
        <v>0</v>
      </c>
      <c r="J372" s="12">
        <f ca="1">SUMIFS(TableDailySummary[Ventas primer cliente],TableDailySummary[Fecha],"&gt;="&amp;TableWeeklySummary[[#This Row],[Desde]],TableDailySummary[Fecha],"&lt;="&amp;TableWeeklySummary[[#This Row],[Hasta]])</f>
        <v>0</v>
      </c>
      <c r="K372" s="12">
        <f ca="1">SUMIFS(TableDailySummary[Órdenes primer cliente],TableDailySummary[Fecha],"&gt;="&amp;TableWeeklySummary[[#This Row],[Desde]],TableDailySummary[Fecha],"&lt;="&amp;TableWeeklySummary[[#This Row],[Hasta]])</f>
        <v>0</v>
      </c>
      <c r="L372" s="12">
        <f ca="1">SUMIFS(TableDailySummary[Online Store_net_sales],TableDailySummary[Fecha],"&gt;="&amp;TableWeeklySummary[[#This Row],[Desde]],TableDailySummary[Fecha],"&lt;="&amp;TableWeeklySummary[[#This Row],[Hasta]])</f>
        <v>0</v>
      </c>
      <c r="M372" s="12">
        <f ca="1">SUMIFS(TableDailySummary[Online Store_orders],TableDailySummary[Fecha],"&gt;="&amp;TableWeeklySummary[[#This Row],[Desde]],TableDailySummary[Fecha],"&lt;="&amp;TableWeeklySummary[[#This Row],[Hasta]])</f>
        <v>0</v>
      </c>
      <c r="N372" s="12">
        <f ca="1">SUMIFS(TableDailySummary[Tienda 81_net_sales],TableDailySummary[Fecha],"&gt;="&amp;TableWeeklySummary[[#This Row],[Desde]],TableDailySummary[Fecha],"&lt;="&amp;TableWeeklySummary[[#This Row],[Hasta]])</f>
        <v>0</v>
      </c>
      <c r="O372" s="12">
        <f ca="1">SUMIFS(TableDailySummary[Tienda 81_orders],TableDailySummary[Fecha],"&gt;="&amp;TableWeeklySummary[[#This Row],[Desde]],TableDailySummary[Fecha],"&lt;="&amp;TableWeeklySummary[[#This Row],[Hasta]])</f>
        <v>0</v>
      </c>
      <c r="P372" s="12">
        <f ca="1">SUMIFS(TableDailySummary[Rappi_net_sales],TableDailySummary[Fecha],"&gt;="&amp;TableWeeklySummary[[#This Row],[Desde]],TableDailySummary[Fecha],"&lt;="&amp;TableWeeklySummary[[#This Row],[Hasta]])</f>
        <v>0</v>
      </c>
      <c r="Q372" s="12">
        <f ca="1">SUMIFS(TableDailySummary[Rappi_orders],TableDailySummary[Fecha],"&gt;="&amp;TableWeeklySummary[[#This Row],[Desde]],TableDailySummary[Fecha],"&lt;="&amp;TableWeeklySummary[[#This Row],[Hasta]])</f>
        <v>0</v>
      </c>
      <c r="R37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7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72" s="12">
        <f ca="1">SUMIFS(TableDailySummary[Inversión google ads],TableDailySummary[Fecha],"&gt;="&amp;TableWeeklySummary[[#This Row],[Desde]],TableDailySummary[Fecha],"&lt;="&amp;TableWeeklySummary[[#This Row],[Hasta]])</f>
        <v>0</v>
      </c>
      <c r="U372" s="12">
        <f ca="1">SUMIFS(TableDailySummary[Ventas google ads],TableDailySummary[Fecha],"&gt;="&amp;TableWeeklySummary[[#This Row],[Desde]],TableDailySummary[Fecha],"&lt;="&amp;TableWeeklySummary[[#This Row],[Hasta]])</f>
        <v>0</v>
      </c>
      <c r="V372" s="12">
        <f ca="1">SUMIFS(TableDailySummary[Inversión meta ads],TableDailySummary[Fecha],"&gt;="&amp;TableWeeklySummary[[#This Row],[Desde]],TableDailySummary[Fecha],"&lt;="&amp;TableWeeklySummary[[#This Row],[Hasta]])</f>
        <v>0</v>
      </c>
      <c r="W372" s="12">
        <f ca="1">SUMIFS(TableDailySummary[Ventas meta ads],TableDailySummary[Fecha],"&gt;="&amp;TableWeeklySummary[[#This Row],[Desde]],TableDailySummary[Fecha],"&lt;="&amp;TableWeeklySummary[[#This Row],[Hasta]])</f>
        <v>0</v>
      </c>
      <c r="X372" s="12">
        <f ca="1">TableWeeklySummary[[#This Row],[Inversión google ads]]+TableWeeklySummary[[#This Row],[Inversión meta ads]]</f>
        <v>0</v>
      </c>
      <c r="Y372" s="12">
        <f ca="1">TableWeeklySummary[[#This Row],[Ventas google ads]]+TableWeeklySummary[[#This Row],[Ventas meta ads]]</f>
        <v>0</v>
      </c>
      <c r="Z372" s="14">
        <f ca="1">IFERROR(TableWeeklySummary[[#This Row],[Ventas publicidad]]/TableWeeklySummary[[#This Row],[Inversión publicidad]],0)</f>
        <v>0</v>
      </c>
      <c r="AA372" s="14">
        <f ca="1">IFERROR(TableWeeklySummary[[#This Row],[Ventas primer cliente]]/TableWeeklySummary[[#This Row],[Inversión publicidad]],0)</f>
        <v>0</v>
      </c>
      <c r="AB372" s="14"/>
      <c r="AC372" s="12"/>
      <c r="AI37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7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72" s="12">
        <f ca="1">SUMIFS(TableDailySummary[Utilidad bruta],TableDailySummary[Fecha],"&gt;="&amp;TableWeeklySummary[[#This Row],[Desde]],TableDailySummary[Fecha],"&lt;="&amp;TableWeeklySummary[[#This Row],[Hasta]])</f>
        <v>0</v>
      </c>
      <c r="AL372" s="18">
        <f ca="1">IFERROR(TableWeeklySummary[[#This Row],[Utilidad bruta]]/TableWeeklySummary[[#This Row],[Ventas netas con costo registrado]],0)</f>
        <v>0</v>
      </c>
    </row>
    <row r="373" spans="2:38" x14ac:dyDescent="0.2">
      <c r="B373" s="16">
        <f ca="1">_xlfn.ISOWEEKNUM(TableWeeklySummary[[#This Row],[Hasta]])</f>
        <v>46</v>
      </c>
      <c r="C373" s="6">
        <f t="shared" ca="1" si="7"/>
        <v>48523</v>
      </c>
      <c r="D373" s="6">
        <f ca="1">TableWeeklySummary[[#This Row],[Desde]]+7-1</f>
        <v>48529</v>
      </c>
      <c r="E373" s="12">
        <f ca="1">SUMIFS(TableDailySummary[Ventas netas totales],TableDailySummary[Fecha],"&gt;="&amp;TableWeeklySummary[[#This Row],[Desde]],TableDailySummary[Fecha],"&lt;="&amp;TableWeeklySummary[[#This Row],[Hasta]])</f>
        <v>0</v>
      </c>
      <c r="F373" s="12">
        <f ca="1">SUMIFS(TableDailySummary[Órdenes totales],TableDailySummary[Fecha],"&gt;="&amp;TableWeeklySummary[[#This Row],[Desde]],TableDailySummary[Fecha],"&lt;="&amp;TableWeeklySummary[[#This Row],[Hasta]])</f>
        <v>0</v>
      </c>
      <c r="G373" s="12">
        <f ca="1">IFERROR(TableWeeklySummary[[#This Row],[Ventas netas totales]]/TableWeeklySummary[[#This Row],[Órdenes totales]],0)</f>
        <v>0</v>
      </c>
      <c r="H37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73" s="12">
        <f ca="1">TableWeeklySummary[[#This Row],[Órden promedio totales]]*TableWeeklySummary[[#This Row],[CR totales]]</f>
        <v>0</v>
      </c>
      <c r="J373" s="12">
        <f ca="1">SUMIFS(TableDailySummary[Ventas primer cliente],TableDailySummary[Fecha],"&gt;="&amp;TableWeeklySummary[[#This Row],[Desde]],TableDailySummary[Fecha],"&lt;="&amp;TableWeeklySummary[[#This Row],[Hasta]])</f>
        <v>0</v>
      </c>
      <c r="K373" s="12">
        <f ca="1">SUMIFS(TableDailySummary[Órdenes primer cliente],TableDailySummary[Fecha],"&gt;="&amp;TableWeeklySummary[[#This Row],[Desde]],TableDailySummary[Fecha],"&lt;="&amp;TableWeeklySummary[[#This Row],[Hasta]])</f>
        <v>0</v>
      </c>
      <c r="L373" s="12">
        <f ca="1">SUMIFS(TableDailySummary[Online Store_net_sales],TableDailySummary[Fecha],"&gt;="&amp;TableWeeklySummary[[#This Row],[Desde]],TableDailySummary[Fecha],"&lt;="&amp;TableWeeklySummary[[#This Row],[Hasta]])</f>
        <v>0</v>
      </c>
      <c r="M373" s="12">
        <f ca="1">SUMIFS(TableDailySummary[Online Store_orders],TableDailySummary[Fecha],"&gt;="&amp;TableWeeklySummary[[#This Row],[Desde]],TableDailySummary[Fecha],"&lt;="&amp;TableWeeklySummary[[#This Row],[Hasta]])</f>
        <v>0</v>
      </c>
      <c r="N373" s="12">
        <f ca="1">SUMIFS(TableDailySummary[Tienda 81_net_sales],TableDailySummary[Fecha],"&gt;="&amp;TableWeeklySummary[[#This Row],[Desde]],TableDailySummary[Fecha],"&lt;="&amp;TableWeeklySummary[[#This Row],[Hasta]])</f>
        <v>0</v>
      </c>
      <c r="O373" s="12">
        <f ca="1">SUMIFS(TableDailySummary[Tienda 81_orders],TableDailySummary[Fecha],"&gt;="&amp;TableWeeklySummary[[#This Row],[Desde]],TableDailySummary[Fecha],"&lt;="&amp;TableWeeklySummary[[#This Row],[Hasta]])</f>
        <v>0</v>
      </c>
      <c r="P373" s="12">
        <f ca="1">SUMIFS(TableDailySummary[Rappi_net_sales],TableDailySummary[Fecha],"&gt;="&amp;TableWeeklySummary[[#This Row],[Desde]],TableDailySummary[Fecha],"&lt;="&amp;TableWeeklySummary[[#This Row],[Hasta]])</f>
        <v>0</v>
      </c>
      <c r="Q373" s="12">
        <f ca="1">SUMIFS(TableDailySummary[Rappi_orders],TableDailySummary[Fecha],"&gt;="&amp;TableWeeklySummary[[#This Row],[Desde]],TableDailySummary[Fecha],"&lt;="&amp;TableWeeklySummary[[#This Row],[Hasta]])</f>
        <v>0</v>
      </c>
      <c r="R37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7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73" s="12">
        <f ca="1">SUMIFS(TableDailySummary[Inversión google ads],TableDailySummary[Fecha],"&gt;="&amp;TableWeeklySummary[[#This Row],[Desde]],TableDailySummary[Fecha],"&lt;="&amp;TableWeeklySummary[[#This Row],[Hasta]])</f>
        <v>0</v>
      </c>
      <c r="U373" s="12">
        <f ca="1">SUMIFS(TableDailySummary[Ventas google ads],TableDailySummary[Fecha],"&gt;="&amp;TableWeeklySummary[[#This Row],[Desde]],TableDailySummary[Fecha],"&lt;="&amp;TableWeeklySummary[[#This Row],[Hasta]])</f>
        <v>0</v>
      </c>
      <c r="V373" s="12">
        <f ca="1">SUMIFS(TableDailySummary[Inversión meta ads],TableDailySummary[Fecha],"&gt;="&amp;TableWeeklySummary[[#This Row],[Desde]],TableDailySummary[Fecha],"&lt;="&amp;TableWeeklySummary[[#This Row],[Hasta]])</f>
        <v>0</v>
      </c>
      <c r="W373" s="12">
        <f ca="1">SUMIFS(TableDailySummary[Ventas meta ads],TableDailySummary[Fecha],"&gt;="&amp;TableWeeklySummary[[#This Row],[Desde]],TableDailySummary[Fecha],"&lt;="&amp;TableWeeklySummary[[#This Row],[Hasta]])</f>
        <v>0</v>
      </c>
      <c r="X373" s="12">
        <f ca="1">TableWeeklySummary[[#This Row],[Inversión google ads]]+TableWeeklySummary[[#This Row],[Inversión meta ads]]</f>
        <v>0</v>
      </c>
      <c r="Y373" s="12">
        <f ca="1">TableWeeklySummary[[#This Row],[Ventas google ads]]+TableWeeklySummary[[#This Row],[Ventas meta ads]]</f>
        <v>0</v>
      </c>
      <c r="Z373" s="14">
        <f ca="1">IFERROR(TableWeeklySummary[[#This Row],[Ventas publicidad]]/TableWeeklySummary[[#This Row],[Inversión publicidad]],0)</f>
        <v>0</v>
      </c>
      <c r="AA373" s="14">
        <f ca="1">IFERROR(TableWeeklySummary[[#This Row],[Ventas primer cliente]]/TableWeeklySummary[[#This Row],[Inversión publicidad]],0)</f>
        <v>0</v>
      </c>
      <c r="AB373" s="14"/>
      <c r="AC373" s="12"/>
      <c r="AI37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7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73" s="12">
        <f ca="1">SUMIFS(TableDailySummary[Utilidad bruta],TableDailySummary[Fecha],"&gt;="&amp;TableWeeklySummary[[#This Row],[Desde]],TableDailySummary[Fecha],"&lt;="&amp;TableWeeklySummary[[#This Row],[Hasta]])</f>
        <v>0</v>
      </c>
      <c r="AL373" s="18">
        <f ca="1">IFERROR(TableWeeklySummary[[#This Row],[Utilidad bruta]]/TableWeeklySummary[[#This Row],[Ventas netas con costo registrado]],0)</f>
        <v>0</v>
      </c>
    </row>
    <row r="374" spans="2:38" x14ac:dyDescent="0.2">
      <c r="B374" s="16">
        <f ca="1">_xlfn.ISOWEEKNUM(TableWeeklySummary[[#This Row],[Hasta]])</f>
        <v>47</v>
      </c>
      <c r="C374" s="6">
        <f t="shared" ca="1" si="7"/>
        <v>48530</v>
      </c>
      <c r="D374" s="6">
        <f ca="1">TableWeeklySummary[[#This Row],[Desde]]+7-1</f>
        <v>48536</v>
      </c>
      <c r="E374" s="12">
        <f ca="1">SUMIFS(TableDailySummary[Ventas netas totales],TableDailySummary[Fecha],"&gt;="&amp;TableWeeklySummary[[#This Row],[Desde]],TableDailySummary[Fecha],"&lt;="&amp;TableWeeklySummary[[#This Row],[Hasta]])</f>
        <v>0</v>
      </c>
      <c r="F374" s="12">
        <f ca="1">SUMIFS(TableDailySummary[Órdenes totales],TableDailySummary[Fecha],"&gt;="&amp;TableWeeklySummary[[#This Row],[Desde]],TableDailySummary[Fecha],"&lt;="&amp;TableWeeklySummary[[#This Row],[Hasta]])</f>
        <v>0</v>
      </c>
      <c r="G374" s="12">
        <f ca="1">IFERROR(TableWeeklySummary[[#This Row],[Ventas netas totales]]/TableWeeklySummary[[#This Row],[Órdenes totales]],0)</f>
        <v>0</v>
      </c>
      <c r="H37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74" s="12">
        <f ca="1">TableWeeklySummary[[#This Row],[Órden promedio totales]]*TableWeeklySummary[[#This Row],[CR totales]]</f>
        <v>0</v>
      </c>
      <c r="J374" s="12">
        <f ca="1">SUMIFS(TableDailySummary[Ventas primer cliente],TableDailySummary[Fecha],"&gt;="&amp;TableWeeklySummary[[#This Row],[Desde]],TableDailySummary[Fecha],"&lt;="&amp;TableWeeklySummary[[#This Row],[Hasta]])</f>
        <v>0</v>
      </c>
      <c r="K374" s="12">
        <f ca="1">SUMIFS(TableDailySummary[Órdenes primer cliente],TableDailySummary[Fecha],"&gt;="&amp;TableWeeklySummary[[#This Row],[Desde]],TableDailySummary[Fecha],"&lt;="&amp;TableWeeklySummary[[#This Row],[Hasta]])</f>
        <v>0</v>
      </c>
      <c r="L374" s="12">
        <f ca="1">SUMIFS(TableDailySummary[Online Store_net_sales],TableDailySummary[Fecha],"&gt;="&amp;TableWeeklySummary[[#This Row],[Desde]],TableDailySummary[Fecha],"&lt;="&amp;TableWeeklySummary[[#This Row],[Hasta]])</f>
        <v>0</v>
      </c>
      <c r="M374" s="12">
        <f ca="1">SUMIFS(TableDailySummary[Online Store_orders],TableDailySummary[Fecha],"&gt;="&amp;TableWeeklySummary[[#This Row],[Desde]],TableDailySummary[Fecha],"&lt;="&amp;TableWeeklySummary[[#This Row],[Hasta]])</f>
        <v>0</v>
      </c>
      <c r="N374" s="12">
        <f ca="1">SUMIFS(TableDailySummary[Tienda 81_net_sales],TableDailySummary[Fecha],"&gt;="&amp;TableWeeklySummary[[#This Row],[Desde]],TableDailySummary[Fecha],"&lt;="&amp;TableWeeklySummary[[#This Row],[Hasta]])</f>
        <v>0</v>
      </c>
      <c r="O374" s="12">
        <f ca="1">SUMIFS(TableDailySummary[Tienda 81_orders],TableDailySummary[Fecha],"&gt;="&amp;TableWeeklySummary[[#This Row],[Desde]],TableDailySummary[Fecha],"&lt;="&amp;TableWeeklySummary[[#This Row],[Hasta]])</f>
        <v>0</v>
      </c>
      <c r="P374" s="12">
        <f ca="1">SUMIFS(TableDailySummary[Rappi_net_sales],TableDailySummary[Fecha],"&gt;="&amp;TableWeeklySummary[[#This Row],[Desde]],TableDailySummary[Fecha],"&lt;="&amp;TableWeeklySummary[[#This Row],[Hasta]])</f>
        <v>0</v>
      </c>
      <c r="Q374" s="12">
        <f ca="1">SUMIFS(TableDailySummary[Rappi_orders],TableDailySummary[Fecha],"&gt;="&amp;TableWeeklySummary[[#This Row],[Desde]],TableDailySummary[Fecha],"&lt;="&amp;TableWeeklySummary[[#This Row],[Hasta]])</f>
        <v>0</v>
      </c>
      <c r="R37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7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74" s="12">
        <f ca="1">SUMIFS(TableDailySummary[Inversión google ads],TableDailySummary[Fecha],"&gt;="&amp;TableWeeklySummary[[#This Row],[Desde]],TableDailySummary[Fecha],"&lt;="&amp;TableWeeklySummary[[#This Row],[Hasta]])</f>
        <v>0</v>
      </c>
      <c r="U374" s="12">
        <f ca="1">SUMIFS(TableDailySummary[Ventas google ads],TableDailySummary[Fecha],"&gt;="&amp;TableWeeklySummary[[#This Row],[Desde]],TableDailySummary[Fecha],"&lt;="&amp;TableWeeklySummary[[#This Row],[Hasta]])</f>
        <v>0</v>
      </c>
      <c r="V374" s="12">
        <f ca="1">SUMIFS(TableDailySummary[Inversión meta ads],TableDailySummary[Fecha],"&gt;="&amp;TableWeeklySummary[[#This Row],[Desde]],TableDailySummary[Fecha],"&lt;="&amp;TableWeeklySummary[[#This Row],[Hasta]])</f>
        <v>0</v>
      </c>
      <c r="W374" s="12">
        <f ca="1">SUMIFS(TableDailySummary[Ventas meta ads],TableDailySummary[Fecha],"&gt;="&amp;TableWeeklySummary[[#This Row],[Desde]],TableDailySummary[Fecha],"&lt;="&amp;TableWeeklySummary[[#This Row],[Hasta]])</f>
        <v>0</v>
      </c>
      <c r="X374" s="12">
        <f ca="1">TableWeeklySummary[[#This Row],[Inversión google ads]]+TableWeeklySummary[[#This Row],[Inversión meta ads]]</f>
        <v>0</v>
      </c>
      <c r="Y374" s="12">
        <f ca="1">TableWeeklySummary[[#This Row],[Ventas google ads]]+TableWeeklySummary[[#This Row],[Ventas meta ads]]</f>
        <v>0</v>
      </c>
      <c r="Z374" s="14">
        <f ca="1">IFERROR(TableWeeklySummary[[#This Row],[Ventas publicidad]]/TableWeeklySummary[[#This Row],[Inversión publicidad]],0)</f>
        <v>0</v>
      </c>
      <c r="AA374" s="14">
        <f ca="1">IFERROR(TableWeeklySummary[[#This Row],[Ventas primer cliente]]/TableWeeklySummary[[#This Row],[Inversión publicidad]],0)</f>
        <v>0</v>
      </c>
      <c r="AB374" s="14"/>
      <c r="AC374" s="12"/>
      <c r="AI37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7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74" s="12">
        <f ca="1">SUMIFS(TableDailySummary[Utilidad bruta],TableDailySummary[Fecha],"&gt;="&amp;TableWeeklySummary[[#This Row],[Desde]],TableDailySummary[Fecha],"&lt;="&amp;TableWeeklySummary[[#This Row],[Hasta]])</f>
        <v>0</v>
      </c>
      <c r="AL374" s="18">
        <f ca="1">IFERROR(TableWeeklySummary[[#This Row],[Utilidad bruta]]/TableWeeklySummary[[#This Row],[Ventas netas con costo registrado]],0)</f>
        <v>0</v>
      </c>
    </row>
    <row r="375" spans="2:38" x14ac:dyDescent="0.2">
      <c r="B375" s="16">
        <f ca="1">_xlfn.ISOWEEKNUM(TableWeeklySummary[[#This Row],[Hasta]])</f>
        <v>48</v>
      </c>
      <c r="C375" s="6">
        <f t="shared" ca="1" si="7"/>
        <v>48537</v>
      </c>
      <c r="D375" s="6">
        <f ca="1">TableWeeklySummary[[#This Row],[Desde]]+7-1</f>
        <v>48543</v>
      </c>
      <c r="E375" s="12">
        <f ca="1">SUMIFS(TableDailySummary[Ventas netas totales],TableDailySummary[Fecha],"&gt;="&amp;TableWeeklySummary[[#This Row],[Desde]],TableDailySummary[Fecha],"&lt;="&amp;TableWeeklySummary[[#This Row],[Hasta]])</f>
        <v>0</v>
      </c>
      <c r="F375" s="12">
        <f ca="1">SUMIFS(TableDailySummary[Órdenes totales],TableDailySummary[Fecha],"&gt;="&amp;TableWeeklySummary[[#This Row],[Desde]],TableDailySummary[Fecha],"&lt;="&amp;TableWeeklySummary[[#This Row],[Hasta]])</f>
        <v>0</v>
      </c>
      <c r="G375" s="12">
        <f ca="1">IFERROR(TableWeeklySummary[[#This Row],[Ventas netas totales]]/TableWeeklySummary[[#This Row],[Órdenes totales]],0)</f>
        <v>0</v>
      </c>
      <c r="H37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75" s="12">
        <f ca="1">TableWeeklySummary[[#This Row],[Órden promedio totales]]*TableWeeklySummary[[#This Row],[CR totales]]</f>
        <v>0</v>
      </c>
      <c r="J375" s="12">
        <f ca="1">SUMIFS(TableDailySummary[Ventas primer cliente],TableDailySummary[Fecha],"&gt;="&amp;TableWeeklySummary[[#This Row],[Desde]],TableDailySummary[Fecha],"&lt;="&amp;TableWeeklySummary[[#This Row],[Hasta]])</f>
        <v>0</v>
      </c>
      <c r="K375" s="12">
        <f ca="1">SUMIFS(TableDailySummary[Órdenes primer cliente],TableDailySummary[Fecha],"&gt;="&amp;TableWeeklySummary[[#This Row],[Desde]],TableDailySummary[Fecha],"&lt;="&amp;TableWeeklySummary[[#This Row],[Hasta]])</f>
        <v>0</v>
      </c>
      <c r="L375" s="12">
        <f ca="1">SUMIFS(TableDailySummary[Online Store_net_sales],TableDailySummary[Fecha],"&gt;="&amp;TableWeeklySummary[[#This Row],[Desde]],TableDailySummary[Fecha],"&lt;="&amp;TableWeeklySummary[[#This Row],[Hasta]])</f>
        <v>0</v>
      </c>
      <c r="M375" s="12">
        <f ca="1">SUMIFS(TableDailySummary[Online Store_orders],TableDailySummary[Fecha],"&gt;="&amp;TableWeeklySummary[[#This Row],[Desde]],TableDailySummary[Fecha],"&lt;="&amp;TableWeeklySummary[[#This Row],[Hasta]])</f>
        <v>0</v>
      </c>
      <c r="N375" s="12">
        <f ca="1">SUMIFS(TableDailySummary[Tienda 81_net_sales],TableDailySummary[Fecha],"&gt;="&amp;TableWeeklySummary[[#This Row],[Desde]],TableDailySummary[Fecha],"&lt;="&amp;TableWeeklySummary[[#This Row],[Hasta]])</f>
        <v>0</v>
      </c>
      <c r="O375" s="12">
        <f ca="1">SUMIFS(TableDailySummary[Tienda 81_orders],TableDailySummary[Fecha],"&gt;="&amp;TableWeeklySummary[[#This Row],[Desde]],TableDailySummary[Fecha],"&lt;="&amp;TableWeeklySummary[[#This Row],[Hasta]])</f>
        <v>0</v>
      </c>
      <c r="P375" s="12">
        <f ca="1">SUMIFS(TableDailySummary[Rappi_net_sales],TableDailySummary[Fecha],"&gt;="&amp;TableWeeklySummary[[#This Row],[Desde]],TableDailySummary[Fecha],"&lt;="&amp;TableWeeklySummary[[#This Row],[Hasta]])</f>
        <v>0</v>
      </c>
      <c r="Q375" s="12">
        <f ca="1">SUMIFS(TableDailySummary[Rappi_orders],TableDailySummary[Fecha],"&gt;="&amp;TableWeeklySummary[[#This Row],[Desde]],TableDailySummary[Fecha],"&lt;="&amp;TableWeeklySummary[[#This Row],[Hasta]])</f>
        <v>0</v>
      </c>
      <c r="R37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7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75" s="12">
        <f ca="1">SUMIFS(TableDailySummary[Inversión google ads],TableDailySummary[Fecha],"&gt;="&amp;TableWeeklySummary[[#This Row],[Desde]],TableDailySummary[Fecha],"&lt;="&amp;TableWeeklySummary[[#This Row],[Hasta]])</f>
        <v>0</v>
      </c>
      <c r="U375" s="12">
        <f ca="1">SUMIFS(TableDailySummary[Ventas google ads],TableDailySummary[Fecha],"&gt;="&amp;TableWeeklySummary[[#This Row],[Desde]],TableDailySummary[Fecha],"&lt;="&amp;TableWeeklySummary[[#This Row],[Hasta]])</f>
        <v>0</v>
      </c>
      <c r="V375" s="12">
        <f ca="1">SUMIFS(TableDailySummary[Inversión meta ads],TableDailySummary[Fecha],"&gt;="&amp;TableWeeklySummary[[#This Row],[Desde]],TableDailySummary[Fecha],"&lt;="&amp;TableWeeklySummary[[#This Row],[Hasta]])</f>
        <v>0</v>
      </c>
      <c r="W375" s="12">
        <f ca="1">SUMIFS(TableDailySummary[Ventas meta ads],TableDailySummary[Fecha],"&gt;="&amp;TableWeeklySummary[[#This Row],[Desde]],TableDailySummary[Fecha],"&lt;="&amp;TableWeeklySummary[[#This Row],[Hasta]])</f>
        <v>0</v>
      </c>
      <c r="X375" s="12">
        <f ca="1">TableWeeklySummary[[#This Row],[Inversión google ads]]+TableWeeklySummary[[#This Row],[Inversión meta ads]]</f>
        <v>0</v>
      </c>
      <c r="Y375" s="12">
        <f ca="1">TableWeeklySummary[[#This Row],[Ventas google ads]]+TableWeeklySummary[[#This Row],[Ventas meta ads]]</f>
        <v>0</v>
      </c>
      <c r="Z375" s="14">
        <f ca="1">IFERROR(TableWeeklySummary[[#This Row],[Ventas publicidad]]/TableWeeklySummary[[#This Row],[Inversión publicidad]],0)</f>
        <v>0</v>
      </c>
      <c r="AA375" s="14">
        <f ca="1">IFERROR(TableWeeklySummary[[#This Row],[Ventas primer cliente]]/TableWeeklySummary[[#This Row],[Inversión publicidad]],0)</f>
        <v>0</v>
      </c>
      <c r="AB375" s="14"/>
      <c r="AC375" s="12"/>
      <c r="AI37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7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75" s="12">
        <f ca="1">SUMIFS(TableDailySummary[Utilidad bruta],TableDailySummary[Fecha],"&gt;="&amp;TableWeeklySummary[[#This Row],[Desde]],TableDailySummary[Fecha],"&lt;="&amp;TableWeeklySummary[[#This Row],[Hasta]])</f>
        <v>0</v>
      </c>
      <c r="AL375" s="18">
        <f ca="1">IFERROR(TableWeeklySummary[[#This Row],[Utilidad bruta]]/TableWeeklySummary[[#This Row],[Ventas netas con costo registrado]],0)</f>
        <v>0</v>
      </c>
    </row>
    <row r="376" spans="2:38" x14ac:dyDescent="0.2">
      <c r="B376" s="16">
        <f ca="1">_xlfn.ISOWEEKNUM(TableWeeklySummary[[#This Row],[Hasta]])</f>
        <v>49</v>
      </c>
      <c r="C376" s="6">
        <f t="shared" ca="1" si="7"/>
        <v>48544</v>
      </c>
      <c r="D376" s="6">
        <f ca="1">TableWeeklySummary[[#This Row],[Desde]]+7-1</f>
        <v>48550</v>
      </c>
      <c r="E376" s="12">
        <f ca="1">SUMIFS(TableDailySummary[Ventas netas totales],TableDailySummary[Fecha],"&gt;="&amp;TableWeeklySummary[[#This Row],[Desde]],TableDailySummary[Fecha],"&lt;="&amp;TableWeeklySummary[[#This Row],[Hasta]])</f>
        <v>0</v>
      </c>
      <c r="F376" s="12">
        <f ca="1">SUMIFS(TableDailySummary[Órdenes totales],TableDailySummary[Fecha],"&gt;="&amp;TableWeeklySummary[[#This Row],[Desde]],TableDailySummary[Fecha],"&lt;="&amp;TableWeeklySummary[[#This Row],[Hasta]])</f>
        <v>0</v>
      </c>
      <c r="G376" s="12">
        <f ca="1">IFERROR(TableWeeklySummary[[#This Row],[Ventas netas totales]]/TableWeeklySummary[[#This Row],[Órdenes totales]],0)</f>
        <v>0</v>
      </c>
      <c r="H37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76" s="12">
        <f ca="1">TableWeeklySummary[[#This Row],[Órden promedio totales]]*TableWeeklySummary[[#This Row],[CR totales]]</f>
        <v>0</v>
      </c>
      <c r="J376" s="12">
        <f ca="1">SUMIFS(TableDailySummary[Ventas primer cliente],TableDailySummary[Fecha],"&gt;="&amp;TableWeeklySummary[[#This Row],[Desde]],TableDailySummary[Fecha],"&lt;="&amp;TableWeeklySummary[[#This Row],[Hasta]])</f>
        <v>0</v>
      </c>
      <c r="K376" s="12">
        <f ca="1">SUMIFS(TableDailySummary[Órdenes primer cliente],TableDailySummary[Fecha],"&gt;="&amp;TableWeeklySummary[[#This Row],[Desde]],TableDailySummary[Fecha],"&lt;="&amp;TableWeeklySummary[[#This Row],[Hasta]])</f>
        <v>0</v>
      </c>
      <c r="L376" s="12">
        <f ca="1">SUMIFS(TableDailySummary[Online Store_net_sales],TableDailySummary[Fecha],"&gt;="&amp;TableWeeklySummary[[#This Row],[Desde]],TableDailySummary[Fecha],"&lt;="&amp;TableWeeklySummary[[#This Row],[Hasta]])</f>
        <v>0</v>
      </c>
      <c r="M376" s="12">
        <f ca="1">SUMIFS(TableDailySummary[Online Store_orders],TableDailySummary[Fecha],"&gt;="&amp;TableWeeklySummary[[#This Row],[Desde]],TableDailySummary[Fecha],"&lt;="&amp;TableWeeklySummary[[#This Row],[Hasta]])</f>
        <v>0</v>
      </c>
      <c r="N376" s="12">
        <f ca="1">SUMIFS(TableDailySummary[Tienda 81_net_sales],TableDailySummary[Fecha],"&gt;="&amp;TableWeeklySummary[[#This Row],[Desde]],TableDailySummary[Fecha],"&lt;="&amp;TableWeeklySummary[[#This Row],[Hasta]])</f>
        <v>0</v>
      </c>
      <c r="O376" s="12">
        <f ca="1">SUMIFS(TableDailySummary[Tienda 81_orders],TableDailySummary[Fecha],"&gt;="&amp;TableWeeklySummary[[#This Row],[Desde]],TableDailySummary[Fecha],"&lt;="&amp;TableWeeklySummary[[#This Row],[Hasta]])</f>
        <v>0</v>
      </c>
      <c r="P376" s="12">
        <f ca="1">SUMIFS(TableDailySummary[Rappi_net_sales],TableDailySummary[Fecha],"&gt;="&amp;TableWeeklySummary[[#This Row],[Desde]],TableDailySummary[Fecha],"&lt;="&amp;TableWeeklySummary[[#This Row],[Hasta]])</f>
        <v>0</v>
      </c>
      <c r="Q376" s="12">
        <f ca="1">SUMIFS(TableDailySummary[Rappi_orders],TableDailySummary[Fecha],"&gt;="&amp;TableWeeklySummary[[#This Row],[Desde]],TableDailySummary[Fecha],"&lt;="&amp;TableWeeklySummary[[#This Row],[Hasta]])</f>
        <v>0</v>
      </c>
      <c r="R37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7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76" s="12">
        <f ca="1">SUMIFS(TableDailySummary[Inversión google ads],TableDailySummary[Fecha],"&gt;="&amp;TableWeeklySummary[[#This Row],[Desde]],TableDailySummary[Fecha],"&lt;="&amp;TableWeeklySummary[[#This Row],[Hasta]])</f>
        <v>0</v>
      </c>
      <c r="U376" s="12">
        <f ca="1">SUMIFS(TableDailySummary[Ventas google ads],TableDailySummary[Fecha],"&gt;="&amp;TableWeeklySummary[[#This Row],[Desde]],TableDailySummary[Fecha],"&lt;="&amp;TableWeeklySummary[[#This Row],[Hasta]])</f>
        <v>0</v>
      </c>
      <c r="V376" s="12">
        <f ca="1">SUMIFS(TableDailySummary[Inversión meta ads],TableDailySummary[Fecha],"&gt;="&amp;TableWeeklySummary[[#This Row],[Desde]],TableDailySummary[Fecha],"&lt;="&amp;TableWeeklySummary[[#This Row],[Hasta]])</f>
        <v>0</v>
      </c>
      <c r="W376" s="12">
        <f ca="1">SUMIFS(TableDailySummary[Ventas meta ads],TableDailySummary[Fecha],"&gt;="&amp;TableWeeklySummary[[#This Row],[Desde]],TableDailySummary[Fecha],"&lt;="&amp;TableWeeklySummary[[#This Row],[Hasta]])</f>
        <v>0</v>
      </c>
      <c r="X376" s="12">
        <f ca="1">TableWeeklySummary[[#This Row],[Inversión google ads]]+TableWeeklySummary[[#This Row],[Inversión meta ads]]</f>
        <v>0</v>
      </c>
      <c r="Y376" s="12">
        <f ca="1">TableWeeklySummary[[#This Row],[Ventas google ads]]+TableWeeklySummary[[#This Row],[Ventas meta ads]]</f>
        <v>0</v>
      </c>
      <c r="Z376" s="14">
        <f ca="1">IFERROR(TableWeeklySummary[[#This Row],[Ventas publicidad]]/TableWeeklySummary[[#This Row],[Inversión publicidad]],0)</f>
        <v>0</v>
      </c>
      <c r="AA376" s="14">
        <f ca="1">IFERROR(TableWeeklySummary[[#This Row],[Ventas primer cliente]]/TableWeeklySummary[[#This Row],[Inversión publicidad]],0)</f>
        <v>0</v>
      </c>
      <c r="AB376" s="14"/>
      <c r="AC376" s="12"/>
      <c r="AI37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7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76" s="12">
        <f ca="1">SUMIFS(TableDailySummary[Utilidad bruta],TableDailySummary[Fecha],"&gt;="&amp;TableWeeklySummary[[#This Row],[Desde]],TableDailySummary[Fecha],"&lt;="&amp;TableWeeklySummary[[#This Row],[Hasta]])</f>
        <v>0</v>
      </c>
      <c r="AL376" s="18">
        <f ca="1">IFERROR(TableWeeklySummary[[#This Row],[Utilidad bruta]]/TableWeeklySummary[[#This Row],[Ventas netas con costo registrado]],0)</f>
        <v>0</v>
      </c>
    </row>
    <row r="377" spans="2:38" x14ac:dyDescent="0.2">
      <c r="B377" s="16">
        <f ca="1">_xlfn.ISOWEEKNUM(TableWeeklySummary[[#This Row],[Hasta]])</f>
        <v>50</v>
      </c>
      <c r="C377" s="6">
        <f t="shared" ca="1" si="7"/>
        <v>48551</v>
      </c>
      <c r="D377" s="6">
        <f ca="1">TableWeeklySummary[[#This Row],[Desde]]+7-1</f>
        <v>48557</v>
      </c>
      <c r="E377" s="12">
        <f ca="1">SUMIFS(TableDailySummary[Ventas netas totales],TableDailySummary[Fecha],"&gt;="&amp;TableWeeklySummary[[#This Row],[Desde]],TableDailySummary[Fecha],"&lt;="&amp;TableWeeklySummary[[#This Row],[Hasta]])</f>
        <v>0</v>
      </c>
      <c r="F377" s="12">
        <f ca="1">SUMIFS(TableDailySummary[Órdenes totales],TableDailySummary[Fecha],"&gt;="&amp;TableWeeklySummary[[#This Row],[Desde]],TableDailySummary[Fecha],"&lt;="&amp;TableWeeklySummary[[#This Row],[Hasta]])</f>
        <v>0</v>
      </c>
      <c r="G377" s="12">
        <f ca="1">IFERROR(TableWeeklySummary[[#This Row],[Ventas netas totales]]/TableWeeklySummary[[#This Row],[Órdenes totales]],0)</f>
        <v>0</v>
      </c>
      <c r="H37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77" s="12">
        <f ca="1">TableWeeklySummary[[#This Row],[Órden promedio totales]]*TableWeeklySummary[[#This Row],[CR totales]]</f>
        <v>0</v>
      </c>
      <c r="J377" s="12">
        <f ca="1">SUMIFS(TableDailySummary[Ventas primer cliente],TableDailySummary[Fecha],"&gt;="&amp;TableWeeklySummary[[#This Row],[Desde]],TableDailySummary[Fecha],"&lt;="&amp;TableWeeklySummary[[#This Row],[Hasta]])</f>
        <v>0</v>
      </c>
      <c r="K377" s="12">
        <f ca="1">SUMIFS(TableDailySummary[Órdenes primer cliente],TableDailySummary[Fecha],"&gt;="&amp;TableWeeklySummary[[#This Row],[Desde]],TableDailySummary[Fecha],"&lt;="&amp;TableWeeklySummary[[#This Row],[Hasta]])</f>
        <v>0</v>
      </c>
      <c r="L377" s="12">
        <f ca="1">SUMIFS(TableDailySummary[Online Store_net_sales],TableDailySummary[Fecha],"&gt;="&amp;TableWeeklySummary[[#This Row],[Desde]],TableDailySummary[Fecha],"&lt;="&amp;TableWeeklySummary[[#This Row],[Hasta]])</f>
        <v>0</v>
      </c>
      <c r="M377" s="12">
        <f ca="1">SUMIFS(TableDailySummary[Online Store_orders],TableDailySummary[Fecha],"&gt;="&amp;TableWeeklySummary[[#This Row],[Desde]],TableDailySummary[Fecha],"&lt;="&amp;TableWeeklySummary[[#This Row],[Hasta]])</f>
        <v>0</v>
      </c>
      <c r="N377" s="12">
        <f ca="1">SUMIFS(TableDailySummary[Tienda 81_net_sales],TableDailySummary[Fecha],"&gt;="&amp;TableWeeklySummary[[#This Row],[Desde]],TableDailySummary[Fecha],"&lt;="&amp;TableWeeklySummary[[#This Row],[Hasta]])</f>
        <v>0</v>
      </c>
      <c r="O377" s="12">
        <f ca="1">SUMIFS(TableDailySummary[Tienda 81_orders],TableDailySummary[Fecha],"&gt;="&amp;TableWeeklySummary[[#This Row],[Desde]],TableDailySummary[Fecha],"&lt;="&amp;TableWeeklySummary[[#This Row],[Hasta]])</f>
        <v>0</v>
      </c>
      <c r="P377" s="12">
        <f ca="1">SUMIFS(TableDailySummary[Rappi_net_sales],TableDailySummary[Fecha],"&gt;="&amp;TableWeeklySummary[[#This Row],[Desde]],TableDailySummary[Fecha],"&lt;="&amp;TableWeeklySummary[[#This Row],[Hasta]])</f>
        <v>0</v>
      </c>
      <c r="Q377" s="12">
        <f ca="1">SUMIFS(TableDailySummary[Rappi_orders],TableDailySummary[Fecha],"&gt;="&amp;TableWeeklySummary[[#This Row],[Desde]],TableDailySummary[Fecha],"&lt;="&amp;TableWeeklySummary[[#This Row],[Hasta]])</f>
        <v>0</v>
      </c>
      <c r="R37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7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77" s="12">
        <f ca="1">SUMIFS(TableDailySummary[Inversión google ads],TableDailySummary[Fecha],"&gt;="&amp;TableWeeklySummary[[#This Row],[Desde]],TableDailySummary[Fecha],"&lt;="&amp;TableWeeklySummary[[#This Row],[Hasta]])</f>
        <v>0</v>
      </c>
      <c r="U377" s="12">
        <f ca="1">SUMIFS(TableDailySummary[Ventas google ads],TableDailySummary[Fecha],"&gt;="&amp;TableWeeklySummary[[#This Row],[Desde]],TableDailySummary[Fecha],"&lt;="&amp;TableWeeklySummary[[#This Row],[Hasta]])</f>
        <v>0</v>
      </c>
      <c r="V377" s="12">
        <f ca="1">SUMIFS(TableDailySummary[Inversión meta ads],TableDailySummary[Fecha],"&gt;="&amp;TableWeeklySummary[[#This Row],[Desde]],TableDailySummary[Fecha],"&lt;="&amp;TableWeeklySummary[[#This Row],[Hasta]])</f>
        <v>0</v>
      </c>
      <c r="W377" s="12">
        <f ca="1">SUMIFS(TableDailySummary[Ventas meta ads],TableDailySummary[Fecha],"&gt;="&amp;TableWeeklySummary[[#This Row],[Desde]],TableDailySummary[Fecha],"&lt;="&amp;TableWeeklySummary[[#This Row],[Hasta]])</f>
        <v>0</v>
      </c>
      <c r="X377" s="12">
        <f ca="1">TableWeeklySummary[[#This Row],[Inversión google ads]]+TableWeeklySummary[[#This Row],[Inversión meta ads]]</f>
        <v>0</v>
      </c>
      <c r="Y377" s="12">
        <f ca="1">TableWeeklySummary[[#This Row],[Ventas google ads]]+TableWeeklySummary[[#This Row],[Ventas meta ads]]</f>
        <v>0</v>
      </c>
      <c r="Z377" s="14">
        <f ca="1">IFERROR(TableWeeklySummary[[#This Row],[Ventas publicidad]]/TableWeeklySummary[[#This Row],[Inversión publicidad]],0)</f>
        <v>0</v>
      </c>
      <c r="AA377" s="14">
        <f ca="1">IFERROR(TableWeeklySummary[[#This Row],[Ventas primer cliente]]/TableWeeklySummary[[#This Row],[Inversión publicidad]],0)</f>
        <v>0</v>
      </c>
      <c r="AB377" s="14"/>
      <c r="AC377" s="12"/>
      <c r="AI37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7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77" s="12">
        <f ca="1">SUMIFS(TableDailySummary[Utilidad bruta],TableDailySummary[Fecha],"&gt;="&amp;TableWeeklySummary[[#This Row],[Desde]],TableDailySummary[Fecha],"&lt;="&amp;TableWeeklySummary[[#This Row],[Hasta]])</f>
        <v>0</v>
      </c>
      <c r="AL377" s="18">
        <f ca="1">IFERROR(TableWeeklySummary[[#This Row],[Utilidad bruta]]/TableWeeklySummary[[#This Row],[Ventas netas con costo registrado]],0)</f>
        <v>0</v>
      </c>
    </row>
    <row r="378" spans="2:38" x14ac:dyDescent="0.2">
      <c r="B378" s="16">
        <f ca="1">_xlfn.ISOWEEKNUM(TableWeeklySummary[[#This Row],[Hasta]])</f>
        <v>51</v>
      </c>
      <c r="C378" s="6">
        <f t="shared" ca="1" si="7"/>
        <v>48558</v>
      </c>
      <c r="D378" s="6">
        <f ca="1">TableWeeklySummary[[#This Row],[Desde]]+7-1</f>
        <v>48564</v>
      </c>
      <c r="E378" s="12">
        <f ca="1">SUMIFS(TableDailySummary[Ventas netas totales],TableDailySummary[Fecha],"&gt;="&amp;TableWeeklySummary[[#This Row],[Desde]],TableDailySummary[Fecha],"&lt;="&amp;TableWeeklySummary[[#This Row],[Hasta]])</f>
        <v>0</v>
      </c>
      <c r="F378" s="12">
        <f ca="1">SUMIFS(TableDailySummary[Órdenes totales],TableDailySummary[Fecha],"&gt;="&amp;TableWeeklySummary[[#This Row],[Desde]],TableDailySummary[Fecha],"&lt;="&amp;TableWeeklySummary[[#This Row],[Hasta]])</f>
        <v>0</v>
      </c>
      <c r="G378" s="12">
        <f ca="1">IFERROR(TableWeeklySummary[[#This Row],[Ventas netas totales]]/TableWeeklySummary[[#This Row],[Órdenes totales]],0)</f>
        <v>0</v>
      </c>
      <c r="H37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78" s="12">
        <f ca="1">TableWeeklySummary[[#This Row],[Órden promedio totales]]*TableWeeklySummary[[#This Row],[CR totales]]</f>
        <v>0</v>
      </c>
      <c r="J378" s="12">
        <f ca="1">SUMIFS(TableDailySummary[Ventas primer cliente],TableDailySummary[Fecha],"&gt;="&amp;TableWeeklySummary[[#This Row],[Desde]],TableDailySummary[Fecha],"&lt;="&amp;TableWeeklySummary[[#This Row],[Hasta]])</f>
        <v>0</v>
      </c>
      <c r="K378" s="12">
        <f ca="1">SUMIFS(TableDailySummary[Órdenes primer cliente],TableDailySummary[Fecha],"&gt;="&amp;TableWeeklySummary[[#This Row],[Desde]],TableDailySummary[Fecha],"&lt;="&amp;TableWeeklySummary[[#This Row],[Hasta]])</f>
        <v>0</v>
      </c>
      <c r="L378" s="12">
        <f ca="1">SUMIFS(TableDailySummary[Online Store_net_sales],TableDailySummary[Fecha],"&gt;="&amp;TableWeeklySummary[[#This Row],[Desde]],TableDailySummary[Fecha],"&lt;="&amp;TableWeeklySummary[[#This Row],[Hasta]])</f>
        <v>0</v>
      </c>
      <c r="M378" s="12">
        <f ca="1">SUMIFS(TableDailySummary[Online Store_orders],TableDailySummary[Fecha],"&gt;="&amp;TableWeeklySummary[[#This Row],[Desde]],TableDailySummary[Fecha],"&lt;="&amp;TableWeeklySummary[[#This Row],[Hasta]])</f>
        <v>0</v>
      </c>
      <c r="N378" s="12">
        <f ca="1">SUMIFS(TableDailySummary[Tienda 81_net_sales],TableDailySummary[Fecha],"&gt;="&amp;TableWeeklySummary[[#This Row],[Desde]],TableDailySummary[Fecha],"&lt;="&amp;TableWeeklySummary[[#This Row],[Hasta]])</f>
        <v>0</v>
      </c>
      <c r="O378" s="12">
        <f ca="1">SUMIFS(TableDailySummary[Tienda 81_orders],TableDailySummary[Fecha],"&gt;="&amp;TableWeeklySummary[[#This Row],[Desde]],TableDailySummary[Fecha],"&lt;="&amp;TableWeeklySummary[[#This Row],[Hasta]])</f>
        <v>0</v>
      </c>
      <c r="P378" s="12">
        <f ca="1">SUMIFS(TableDailySummary[Rappi_net_sales],TableDailySummary[Fecha],"&gt;="&amp;TableWeeklySummary[[#This Row],[Desde]],TableDailySummary[Fecha],"&lt;="&amp;TableWeeklySummary[[#This Row],[Hasta]])</f>
        <v>0</v>
      </c>
      <c r="Q378" s="12">
        <f ca="1">SUMIFS(TableDailySummary[Rappi_orders],TableDailySummary[Fecha],"&gt;="&amp;TableWeeklySummary[[#This Row],[Desde]],TableDailySummary[Fecha],"&lt;="&amp;TableWeeklySummary[[#This Row],[Hasta]])</f>
        <v>0</v>
      </c>
      <c r="R37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7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78" s="12">
        <f ca="1">SUMIFS(TableDailySummary[Inversión google ads],TableDailySummary[Fecha],"&gt;="&amp;TableWeeklySummary[[#This Row],[Desde]],TableDailySummary[Fecha],"&lt;="&amp;TableWeeklySummary[[#This Row],[Hasta]])</f>
        <v>0</v>
      </c>
      <c r="U378" s="12">
        <f ca="1">SUMIFS(TableDailySummary[Ventas google ads],TableDailySummary[Fecha],"&gt;="&amp;TableWeeklySummary[[#This Row],[Desde]],TableDailySummary[Fecha],"&lt;="&amp;TableWeeklySummary[[#This Row],[Hasta]])</f>
        <v>0</v>
      </c>
      <c r="V378" s="12">
        <f ca="1">SUMIFS(TableDailySummary[Inversión meta ads],TableDailySummary[Fecha],"&gt;="&amp;TableWeeklySummary[[#This Row],[Desde]],TableDailySummary[Fecha],"&lt;="&amp;TableWeeklySummary[[#This Row],[Hasta]])</f>
        <v>0</v>
      </c>
      <c r="W378" s="12">
        <f ca="1">SUMIFS(TableDailySummary[Ventas meta ads],TableDailySummary[Fecha],"&gt;="&amp;TableWeeklySummary[[#This Row],[Desde]],TableDailySummary[Fecha],"&lt;="&amp;TableWeeklySummary[[#This Row],[Hasta]])</f>
        <v>0</v>
      </c>
      <c r="X378" s="12">
        <f ca="1">TableWeeklySummary[[#This Row],[Inversión google ads]]+TableWeeklySummary[[#This Row],[Inversión meta ads]]</f>
        <v>0</v>
      </c>
      <c r="Y378" s="12">
        <f ca="1">TableWeeklySummary[[#This Row],[Ventas google ads]]+TableWeeklySummary[[#This Row],[Ventas meta ads]]</f>
        <v>0</v>
      </c>
      <c r="Z378" s="14">
        <f ca="1">IFERROR(TableWeeklySummary[[#This Row],[Ventas publicidad]]/TableWeeklySummary[[#This Row],[Inversión publicidad]],0)</f>
        <v>0</v>
      </c>
      <c r="AA378" s="14">
        <f ca="1">IFERROR(TableWeeklySummary[[#This Row],[Ventas primer cliente]]/TableWeeklySummary[[#This Row],[Inversión publicidad]],0)</f>
        <v>0</v>
      </c>
      <c r="AB378" s="14"/>
      <c r="AC378" s="12"/>
      <c r="AI37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7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78" s="12">
        <f ca="1">SUMIFS(TableDailySummary[Utilidad bruta],TableDailySummary[Fecha],"&gt;="&amp;TableWeeklySummary[[#This Row],[Desde]],TableDailySummary[Fecha],"&lt;="&amp;TableWeeklySummary[[#This Row],[Hasta]])</f>
        <v>0</v>
      </c>
      <c r="AL378" s="18">
        <f ca="1">IFERROR(TableWeeklySummary[[#This Row],[Utilidad bruta]]/TableWeeklySummary[[#This Row],[Ventas netas con costo registrado]],0)</f>
        <v>0</v>
      </c>
    </row>
    <row r="379" spans="2:38" x14ac:dyDescent="0.2">
      <c r="B379" s="16">
        <f ca="1">_xlfn.ISOWEEKNUM(TableWeeklySummary[[#This Row],[Hasta]])</f>
        <v>52</v>
      </c>
      <c r="C379" s="6">
        <f t="shared" ca="1" si="7"/>
        <v>48565</v>
      </c>
      <c r="D379" s="6">
        <f ca="1">TableWeeklySummary[[#This Row],[Desde]]+7-1</f>
        <v>48571</v>
      </c>
      <c r="E379" s="12">
        <f ca="1">SUMIFS(TableDailySummary[Ventas netas totales],TableDailySummary[Fecha],"&gt;="&amp;TableWeeklySummary[[#This Row],[Desde]],TableDailySummary[Fecha],"&lt;="&amp;TableWeeklySummary[[#This Row],[Hasta]])</f>
        <v>0</v>
      </c>
      <c r="F379" s="12">
        <f ca="1">SUMIFS(TableDailySummary[Órdenes totales],TableDailySummary[Fecha],"&gt;="&amp;TableWeeklySummary[[#This Row],[Desde]],TableDailySummary[Fecha],"&lt;="&amp;TableWeeklySummary[[#This Row],[Hasta]])</f>
        <v>0</v>
      </c>
      <c r="G379" s="12">
        <f ca="1">IFERROR(TableWeeklySummary[[#This Row],[Ventas netas totales]]/TableWeeklySummary[[#This Row],[Órdenes totales]],0)</f>
        <v>0</v>
      </c>
      <c r="H37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79" s="12">
        <f ca="1">TableWeeklySummary[[#This Row],[Órden promedio totales]]*TableWeeklySummary[[#This Row],[CR totales]]</f>
        <v>0</v>
      </c>
      <c r="J379" s="12">
        <f ca="1">SUMIFS(TableDailySummary[Ventas primer cliente],TableDailySummary[Fecha],"&gt;="&amp;TableWeeklySummary[[#This Row],[Desde]],TableDailySummary[Fecha],"&lt;="&amp;TableWeeklySummary[[#This Row],[Hasta]])</f>
        <v>0</v>
      </c>
      <c r="K379" s="12">
        <f ca="1">SUMIFS(TableDailySummary[Órdenes primer cliente],TableDailySummary[Fecha],"&gt;="&amp;TableWeeklySummary[[#This Row],[Desde]],TableDailySummary[Fecha],"&lt;="&amp;TableWeeklySummary[[#This Row],[Hasta]])</f>
        <v>0</v>
      </c>
      <c r="L379" s="12">
        <f ca="1">SUMIFS(TableDailySummary[Online Store_net_sales],TableDailySummary[Fecha],"&gt;="&amp;TableWeeklySummary[[#This Row],[Desde]],TableDailySummary[Fecha],"&lt;="&amp;TableWeeklySummary[[#This Row],[Hasta]])</f>
        <v>0</v>
      </c>
      <c r="M379" s="12">
        <f ca="1">SUMIFS(TableDailySummary[Online Store_orders],TableDailySummary[Fecha],"&gt;="&amp;TableWeeklySummary[[#This Row],[Desde]],TableDailySummary[Fecha],"&lt;="&amp;TableWeeklySummary[[#This Row],[Hasta]])</f>
        <v>0</v>
      </c>
      <c r="N379" s="12">
        <f ca="1">SUMIFS(TableDailySummary[Tienda 81_net_sales],TableDailySummary[Fecha],"&gt;="&amp;TableWeeklySummary[[#This Row],[Desde]],TableDailySummary[Fecha],"&lt;="&amp;TableWeeklySummary[[#This Row],[Hasta]])</f>
        <v>0</v>
      </c>
      <c r="O379" s="12">
        <f ca="1">SUMIFS(TableDailySummary[Tienda 81_orders],TableDailySummary[Fecha],"&gt;="&amp;TableWeeklySummary[[#This Row],[Desde]],TableDailySummary[Fecha],"&lt;="&amp;TableWeeklySummary[[#This Row],[Hasta]])</f>
        <v>0</v>
      </c>
      <c r="P379" s="12">
        <f ca="1">SUMIFS(TableDailySummary[Rappi_net_sales],TableDailySummary[Fecha],"&gt;="&amp;TableWeeklySummary[[#This Row],[Desde]],TableDailySummary[Fecha],"&lt;="&amp;TableWeeklySummary[[#This Row],[Hasta]])</f>
        <v>0</v>
      </c>
      <c r="Q379" s="12">
        <f ca="1">SUMIFS(TableDailySummary[Rappi_orders],TableDailySummary[Fecha],"&gt;="&amp;TableWeeklySummary[[#This Row],[Desde]],TableDailySummary[Fecha],"&lt;="&amp;TableWeeklySummary[[#This Row],[Hasta]])</f>
        <v>0</v>
      </c>
      <c r="R37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7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79" s="12">
        <f ca="1">SUMIFS(TableDailySummary[Inversión google ads],TableDailySummary[Fecha],"&gt;="&amp;TableWeeklySummary[[#This Row],[Desde]],TableDailySummary[Fecha],"&lt;="&amp;TableWeeklySummary[[#This Row],[Hasta]])</f>
        <v>0</v>
      </c>
      <c r="U379" s="12">
        <f ca="1">SUMIFS(TableDailySummary[Ventas google ads],TableDailySummary[Fecha],"&gt;="&amp;TableWeeklySummary[[#This Row],[Desde]],TableDailySummary[Fecha],"&lt;="&amp;TableWeeklySummary[[#This Row],[Hasta]])</f>
        <v>0</v>
      </c>
      <c r="V379" s="12">
        <f ca="1">SUMIFS(TableDailySummary[Inversión meta ads],TableDailySummary[Fecha],"&gt;="&amp;TableWeeklySummary[[#This Row],[Desde]],TableDailySummary[Fecha],"&lt;="&amp;TableWeeklySummary[[#This Row],[Hasta]])</f>
        <v>0</v>
      </c>
      <c r="W379" s="12">
        <f ca="1">SUMIFS(TableDailySummary[Ventas meta ads],TableDailySummary[Fecha],"&gt;="&amp;TableWeeklySummary[[#This Row],[Desde]],TableDailySummary[Fecha],"&lt;="&amp;TableWeeklySummary[[#This Row],[Hasta]])</f>
        <v>0</v>
      </c>
      <c r="X379" s="12">
        <f ca="1">TableWeeklySummary[[#This Row],[Inversión google ads]]+TableWeeklySummary[[#This Row],[Inversión meta ads]]</f>
        <v>0</v>
      </c>
      <c r="Y379" s="12">
        <f ca="1">TableWeeklySummary[[#This Row],[Ventas google ads]]+TableWeeklySummary[[#This Row],[Ventas meta ads]]</f>
        <v>0</v>
      </c>
      <c r="Z379" s="14">
        <f ca="1">IFERROR(TableWeeklySummary[[#This Row],[Ventas publicidad]]/TableWeeklySummary[[#This Row],[Inversión publicidad]],0)</f>
        <v>0</v>
      </c>
      <c r="AA379" s="14">
        <f ca="1">IFERROR(TableWeeklySummary[[#This Row],[Ventas primer cliente]]/TableWeeklySummary[[#This Row],[Inversión publicidad]],0)</f>
        <v>0</v>
      </c>
      <c r="AB379" s="14"/>
      <c r="AC379" s="12"/>
      <c r="AI37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7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79" s="12">
        <f ca="1">SUMIFS(TableDailySummary[Utilidad bruta],TableDailySummary[Fecha],"&gt;="&amp;TableWeeklySummary[[#This Row],[Desde]],TableDailySummary[Fecha],"&lt;="&amp;TableWeeklySummary[[#This Row],[Hasta]])</f>
        <v>0</v>
      </c>
      <c r="AL379" s="18">
        <f ca="1">IFERROR(TableWeeklySummary[[#This Row],[Utilidad bruta]]/TableWeeklySummary[[#This Row],[Ventas netas con costo registrado]],0)</f>
        <v>0</v>
      </c>
    </row>
    <row r="380" spans="2:38" x14ac:dyDescent="0.2">
      <c r="B380" s="16">
        <f ca="1">_xlfn.ISOWEEKNUM(TableWeeklySummary[[#This Row],[Hasta]])</f>
        <v>53</v>
      </c>
      <c r="C380" s="6">
        <f t="shared" ca="1" si="7"/>
        <v>48572</v>
      </c>
      <c r="D380" s="6">
        <f ca="1">TableWeeklySummary[[#This Row],[Desde]]+7-1</f>
        <v>48578</v>
      </c>
      <c r="E380" s="12">
        <f ca="1">SUMIFS(TableDailySummary[Ventas netas totales],TableDailySummary[Fecha],"&gt;="&amp;TableWeeklySummary[[#This Row],[Desde]],TableDailySummary[Fecha],"&lt;="&amp;TableWeeklySummary[[#This Row],[Hasta]])</f>
        <v>0</v>
      </c>
      <c r="F380" s="12">
        <f ca="1">SUMIFS(TableDailySummary[Órdenes totales],TableDailySummary[Fecha],"&gt;="&amp;TableWeeklySummary[[#This Row],[Desde]],TableDailySummary[Fecha],"&lt;="&amp;TableWeeklySummary[[#This Row],[Hasta]])</f>
        <v>0</v>
      </c>
      <c r="G380" s="12">
        <f ca="1">IFERROR(TableWeeklySummary[[#This Row],[Ventas netas totales]]/TableWeeklySummary[[#This Row],[Órdenes totales]],0)</f>
        <v>0</v>
      </c>
      <c r="H38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80" s="12">
        <f ca="1">TableWeeklySummary[[#This Row],[Órden promedio totales]]*TableWeeklySummary[[#This Row],[CR totales]]</f>
        <v>0</v>
      </c>
      <c r="J380" s="12">
        <f ca="1">SUMIFS(TableDailySummary[Ventas primer cliente],TableDailySummary[Fecha],"&gt;="&amp;TableWeeklySummary[[#This Row],[Desde]],TableDailySummary[Fecha],"&lt;="&amp;TableWeeklySummary[[#This Row],[Hasta]])</f>
        <v>0</v>
      </c>
      <c r="K380" s="12">
        <f ca="1">SUMIFS(TableDailySummary[Órdenes primer cliente],TableDailySummary[Fecha],"&gt;="&amp;TableWeeklySummary[[#This Row],[Desde]],TableDailySummary[Fecha],"&lt;="&amp;TableWeeklySummary[[#This Row],[Hasta]])</f>
        <v>0</v>
      </c>
      <c r="L380" s="12">
        <f ca="1">SUMIFS(TableDailySummary[Online Store_net_sales],TableDailySummary[Fecha],"&gt;="&amp;TableWeeklySummary[[#This Row],[Desde]],TableDailySummary[Fecha],"&lt;="&amp;TableWeeklySummary[[#This Row],[Hasta]])</f>
        <v>0</v>
      </c>
      <c r="M380" s="12">
        <f ca="1">SUMIFS(TableDailySummary[Online Store_orders],TableDailySummary[Fecha],"&gt;="&amp;TableWeeklySummary[[#This Row],[Desde]],TableDailySummary[Fecha],"&lt;="&amp;TableWeeklySummary[[#This Row],[Hasta]])</f>
        <v>0</v>
      </c>
      <c r="N380" s="12">
        <f ca="1">SUMIFS(TableDailySummary[Tienda 81_net_sales],TableDailySummary[Fecha],"&gt;="&amp;TableWeeklySummary[[#This Row],[Desde]],TableDailySummary[Fecha],"&lt;="&amp;TableWeeklySummary[[#This Row],[Hasta]])</f>
        <v>0</v>
      </c>
      <c r="O380" s="12">
        <f ca="1">SUMIFS(TableDailySummary[Tienda 81_orders],TableDailySummary[Fecha],"&gt;="&amp;TableWeeklySummary[[#This Row],[Desde]],TableDailySummary[Fecha],"&lt;="&amp;TableWeeklySummary[[#This Row],[Hasta]])</f>
        <v>0</v>
      </c>
      <c r="P380" s="12">
        <f ca="1">SUMIFS(TableDailySummary[Rappi_net_sales],TableDailySummary[Fecha],"&gt;="&amp;TableWeeklySummary[[#This Row],[Desde]],TableDailySummary[Fecha],"&lt;="&amp;TableWeeklySummary[[#This Row],[Hasta]])</f>
        <v>0</v>
      </c>
      <c r="Q380" s="12">
        <f ca="1">SUMIFS(TableDailySummary[Rappi_orders],TableDailySummary[Fecha],"&gt;="&amp;TableWeeklySummary[[#This Row],[Desde]],TableDailySummary[Fecha],"&lt;="&amp;TableWeeklySummary[[#This Row],[Hasta]])</f>
        <v>0</v>
      </c>
      <c r="R38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8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80" s="12">
        <f ca="1">SUMIFS(TableDailySummary[Inversión google ads],TableDailySummary[Fecha],"&gt;="&amp;TableWeeklySummary[[#This Row],[Desde]],TableDailySummary[Fecha],"&lt;="&amp;TableWeeklySummary[[#This Row],[Hasta]])</f>
        <v>0</v>
      </c>
      <c r="U380" s="12">
        <f ca="1">SUMIFS(TableDailySummary[Ventas google ads],TableDailySummary[Fecha],"&gt;="&amp;TableWeeklySummary[[#This Row],[Desde]],TableDailySummary[Fecha],"&lt;="&amp;TableWeeklySummary[[#This Row],[Hasta]])</f>
        <v>0</v>
      </c>
      <c r="V380" s="12">
        <f ca="1">SUMIFS(TableDailySummary[Inversión meta ads],TableDailySummary[Fecha],"&gt;="&amp;TableWeeklySummary[[#This Row],[Desde]],TableDailySummary[Fecha],"&lt;="&amp;TableWeeklySummary[[#This Row],[Hasta]])</f>
        <v>0</v>
      </c>
      <c r="W380" s="12">
        <f ca="1">SUMIFS(TableDailySummary[Ventas meta ads],TableDailySummary[Fecha],"&gt;="&amp;TableWeeklySummary[[#This Row],[Desde]],TableDailySummary[Fecha],"&lt;="&amp;TableWeeklySummary[[#This Row],[Hasta]])</f>
        <v>0</v>
      </c>
      <c r="X380" s="12">
        <f ca="1">TableWeeklySummary[[#This Row],[Inversión google ads]]+TableWeeklySummary[[#This Row],[Inversión meta ads]]</f>
        <v>0</v>
      </c>
      <c r="Y380" s="12">
        <f ca="1">TableWeeklySummary[[#This Row],[Ventas google ads]]+TableWeeklySummary[[#This Row],[Ventas meta ads]]</f>
        <v>0</v>
      </c>
      <c r="Z380" s="14">
        <f ca="1">IFERROR(TableWeeklySummary[[#This Row],[Ventas publicidad]]/TableWeeklySummary[[#This Row],[Inversión publicidad]],0)</f>
        <v>0</v>
      </c>
      <c r="AA380" s="14">
        <f ca="1">IFERROR(TableWeeklySummary[[#This Row],[Ventas primer cliente]]/TableWeeklySummary[[#This Row],[Inversión publicidad]],0)</f>
        <v>0</v>
      </c>
      <c r="AB380" s="14"/>
      <c r="AC380" s="12"/>
      <c r="AI38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8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80" s="12">
        <f ca="1">SUMIFS(TableDailySummary[Utilidad bruta],TableDailySummary[Fecha],"&gt;="&amp;TableWeeklySummary[[#This Row],[Desde]],TableDailySummary[Fecha],"&lt;="&amp;TableWeeklySummary[[#This Row],[Hasta]])</f>
        <v>0</v>
      </c>
      <c r="AL380" s="18">
        <f ca="1">IFERROR(TableWeeklySummary[[#This Row],[Utilidad bruta]]/TableWeeklySummary[[#This Row],[Ventas netas con costo registrado]],0)</f>
        <v>0</v>
      </c>
    </row>
    <row r="381" spans="2:38" x14ac:dyDescent="0.2">
      <c r="B381" s="16">
        <f ca="1">_xlfn.ISOWEEKNUM(TableWeeklySummary[[#This Row],[Hasta]])</f>
        <v>1</v>
      </c>
      <c r="C381" s="6">
        <f t="shared" ca="1" si="7"/>
        <v>48579</v>
      </c>
      <c r="D381" s="6">
        <f ca="1">TableWeeklySummary[[#This Row],[Desde]]+7-1</f>
        <v>48585</v>
      </c>
      <c r="E381" s="12">
        <f ca="1">SUMIFS(TableDailySummary[Ventas netas totales],TableDailySummary[Fecha],"&gt;="&amp;TableWeeklySummary[[#This Row],[Desde]],TableDailySummary[Fecha],"&lt;="&amp;TableWeeklySummary[[#This Row],[Hasta]])</f>
        <v>0</v>
      </c>
      <c r="F381" s="12">
        <f ca="1">SUMIFS(TableDailySummary[Órdenes totales],TableDailySummary[Fecha],"&gt;="&amp;TableWeeklySummary[[#This Row],[Desde]],TableDailySummary[Fecha],"&lt;="&amp;TableWeeklySummary[[#This Row],[Hasta]])</f>
        <v>0</v>
      </c>
      <c r="G381" s="12">
        <f ca="1">IFERROR(TableWeeklySummary[[#This Row],[Ventas netas totales]]/TableWeeklySummary[[#This Row],[Órdenes totales]],0)</f>
        <v>0</v>
      </c>
      <c r="H38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81" s="12">
        <f ca="1">TableWeeklySummary[[#This Row],[Órden promedio totales]]*TableWeeklySummary[[#This Row],[CR totales]]</f>
        <v>0</v>
      </c>
      <c r="J381" s="12">
        <f ca="1">SUMIFS(TableDailySummary[Ventas primer cliente],TableDailySummary[Fecha],"&gt;="&amp;TableWeeklySummary[[#This Row],[Desde]],TableDailySummary[Fecha],"&lt;="&amp;TableWeeklySummary[[#This Row],[Hasta]])</f>
        <v>0</v>
      </c>
      <c r="K381" s="12">
        <f ca="1">SUMIFS(TableDailySummary[Órdenes primer cliente],TableDailySummary[Fecha],"&gt;="&amp;TableWeeklySummary[[#This Row],[Desde]],TableDailySummary[Fecha],"&lt;="&amp;TableWeeklySummary[[#This Row],[Hasta]])</f>
        <v>0</v>
      </c>
      <c r="L381" s="12">
        <f ca="1">SUMIFS(TableDailySummary[Online Store_net_sales],TableDailySummary[Fecha],"&gt;="&amp;TableWeeklySummary[[#This Row],[Desde]],TableDailySummary[Fecha],"&lt;="&amp;TableWeeklySummary[[#This Row],[Hasta]])</f>
        <v>0</v>
      </c>
      <c r="M381" s="12">
        <f ca="1">SUMIFS(TableDailySummary[Online Store_orders],TableDailySummary[Fecha],"&gt;="&amp;TableWeeklySummary[[#This Row],[Desde]],TableDailySummary[Fecha],"&lt;="&amp;TableWeeklySummary[[#This Row],[Hasta]])</f>
        <v>0</v>
      </c>
      <c r="N381" s="12">
        <f ca="1">SUMIFS(TableDailySummary[Tienda 81_net_sales],TableDailySummary[Fecha],"&gt;="&amp;TableWeeklySummary[[#This Row],[Desde]],TableDailySummary[Fecha],"&lt;="&amp;TableWeeklySummary[[#This Row],[Hasta]])</f>
        <v>0</v>
      </c>
      <c r="O381" s="12">
        <f ca="1">SUMIFS(TableDailySummary[Tienda 81_orders],TableDailySummary[Fecha],"&gt;="&amp;TableWeeklySummary[[#This Row],[Desde]],TableDailySummary[Fecha],"&lt;="&amp;TableWeeklySummary[[#This Row],[Hasta]])</f>
        <v>0</v>
      </c>
      <c r="P381" s="12">
        <f ca="1">SUMIFS(TableDailySummary[Rappi_net_sales],TableDailySummary[Fecha],"&gt;="&amp;TableWeeklySummary[[#This Row],[Desde]],TableDailySummary[Fecha],"&lt;="&amp;TableWeeklySummary[[#This Row],[Hasta]])</f>
        <v>0</v>
      </c>
      <c r="Q381" s="12">
        <f ca="1">SUMIFS(TableDailySummary[Rappi_orders],TableDailySummary[Fecha],"&gt;="&amp;TableWeeklySummary[[#This Row],[Desde]],TableDailySummary[Fecha],"&lt;="&amp;TableWeeklySummary[[#This Row],[Hasta]])</f>
        <v>0</v>
      </c>
      <c r="R38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8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81" s="12">
        <f ca="1">SUMIFS(TableDailySummary[Inversión google ads],TableDailySummary[Fecha],"&gt;="&amp;TableWeeklySummary[[#This Row],[Desde]],TableDailySummary[Fecha],"&lt;="&amp;TableWeeklySummary[[#This Row],[Hasta]])</f>
        <v>0</v>
      </c>
      <c r="U381" s="12">
        <f ca="1">SUMIFS(TableDailySummary[Ventas google ads],TableDailySummary[Fecha],"&gt;="&amp;TableWeeklySummary[[#This Row],[Desde]],TableDailySummary[Fecha],"&lt;="&amp;TableWeeklySummary[[#This Row],[Hasta]])</f>
        <v>0</v>
      </c>
      <c r="V381" s="12">
        <f ca="1">SUMIFS(TableDailySummary[Inversión meta ads],TableDailySummary[Fecha],"&gt;="&amp;TableWeeklySummary[[#This Row],[Desde]],TableDailySummary[Fecha],"&lt;="&amp;TableWeeklySummary[[#This Row],[Hasta]])</f>
        <v>0</v>
      </c>
      <c r="W381" s="12">
        <f ca="1">SUMIFS(TableDailySummary[Ventas meta ads],TableDailySummary[Fecha],"&gt;="&amp;TableWeeklySummary[[#This Row],[Desde]],TableDailySummary[Fecha],"&lt;="&amp;TableWeeklySummary[[#This Row],[Hasta]])</f>
        <v>0</v>
      </c>
      <c r="X381" s="12">
        <f ca="1">TableWeeklySummary[[#This Row],[Inversión google ads]]+TableWeeklySummary[[#This Row],[Inversión meta ads]]</f>
        <v>0</v>
      </c>
      <c r="Y381" s="12">
        <f ca="1">TableWeeklySummary[[#This Row],[Ventas google ads]]+TableWeeklySummary[[#This Row],[Ventas meta ads]]</f>
        <v>0</v>
      </c>
      <c r="Z381" s="14">
        <f ca="1">IFERROR(TableWeeklySummary[[#This Row],[Ventas publicidad]]/TableWeeklySummary[[#This Row],[Inversión publicidad]],0)</f>
        <v>0</v>
      </c>
      <c r="AA381" s="14">
        <f ca="1">IFERROR(TableWeeklySummary[[#This Row],[Ventas primer cliente]]/TableWeeklySummary[[#This Row],[Inversión publicidad]],0)</f>
        <v>0</v>
      </c>
      <c r="AB381" s="14"/>
      <c r="AC381" s="12"/>
      <c r="AI38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8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81" s="12">
        <f ca="1">SUMIFS(TableDailySummary[Utilidad bruta],TableDailySummary[Fecha],"&gt;="&amp;TableWeeklySummary[[#This Row],[Desde]],TableDailySummary[Fecha],"&lt;="&amp;TableWeeklySummary[[#This Row],[Hasta]])</f>
        <v>0</v>
      </c>
      <c r="AL381" s="18">
        <f ca="1">IFERROR(TableWeeklySummary[[#This Row],[Utilidad bruta]]/TableWeeklySummary[[#This Row],[Ventas netas con costo registrado]],0)</f>
        <v>0</v>
      </c>
    </row>
    <row r="382" spans="2:38" x14ac:dyDescent="0.2">
      <c r="B382" s="16">
        <f ca="1">_xlfn.ISOWEEKNUM(TableWeeklySummary[[#This Row],[Hasta]])</f>
        <v>2</v>
      </c>
      <c r="C382" s="6">
        <f t="shared" ca="1" si="7"/>
        <v>48586</v>
      </c>
      <c r="D382" s="6">
        <f ca="1">TableWeeklySummary[[#This Row],[Desde]]+7-1</f>
        <v>48592</v>
      </c>
      <c r="E382" s="12">
        <f ca="1">SUMIFS(TableDailySummary[Ventas netas totales],TableDailySummary[Fecha],"&gt;="&amp;TableWeeklySummary[[#This Row],[Desde]],TableDailySummary[Fecha],"&lt;="&amp;TableWeeklySummary[[#This Row],[Hasta]])</f>
        <v>0</v>
      </c>
      <c r="F382" s="12">
        <f ca="1">SUMIFS(TableDailySummary[Órdenes totales],TableDailySummary[Fecha],"&gt;="&amp;TableWeeklySummary[[#This Row],[Desde]],TableDailySummary[Fecha],"&lt;="&amp;TableWeeklySummary[[#This Row],[Hasta]])</f>
        <v>0</v>
      </c>
      <c r="G382" s="12">
        <f ca="1">IFERROR(TableWeeklySummary[[#This Row],[Ventas netas totales]]/TableWeeklySummary[[#This Row],[Órdenes totales]],0)</f>
        <v>0</v>
      </c>
      <c r="H38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82" s="12">
        <f ca="1">TableWeeklySummary[[#This Row],[Órden promedio totales]]*TableWeeklySummary[[#This Row],[CR totales]]</f>
        <v>0</v>
      </c>
      <c r="J382" s="12">
        <f ca="1">SUMIFS(TableDailySummary[Ventas primer cliente],TableDailySummary[Fecha],"&gt;="&amp;TableWeeklySummary[[#This Row],[Desde]],TableDailySummary[Fecha],"&lt;="&amp;TableWeeklySummary[[#This Row],[Hasta]])</f>
        <v>0</v>
      </c>
      <c r="K382" s="12">
        <f ca="1">SUMIFS(TableDailySummary[Órdenes primer cliente],TableDailySummary[Fecha],"&gt;="&amp;TableWeeklySummary[[#This Row],[Desde]],TableDailySummary[Fecha],"&lt;="&amp;TableWeeklySummary[[#This Row],[Hasta]])</f>
        <v>0</v>
      </c>
      <c r="L382" s="12">
        <f ca="1">SUMIFS(TableDailySummary[Online Store_net_sales],TableDailySummary[Fecha],"&gt;="&amp;TableWeeklySummary[[#This Row],[Desde]],TableDailySummary[Fecha],"&lt;="&amp;TableWeeklySummary[[#This Row],[Hasta]])</f>
        <v>0</v>
      </c>
      <c r="M382" s="12">
        <f ca="1">SUMIFS(TableDailySummary[Online Store_orders],TableDailySummary[Fecha],"&gt;="&amp;TableWeeklySummary[[#This Row],[Desde]],TableDailySummary[Fecha],"&lt;="&amp;TableWeeklySummary[[#This Row],[Hasta]])</f>
        <v>0</v>
      </c>
      <c r="N382" s="12">
        <f ca="1">SUMIFS(TableDailySummary[Tienda 81_net_sales],TableDailySummary[Fecha],"&gt;="&amp;TableWeeklySummary[[#This Row],[Desde]],TableDailySummary[Fecha],"&lt;="&amp;TableWeeklySummary[[#This Row],[Hasta]])</f>
        <v>0</v>
      </c>
      <c r="O382" s="12">
        <f ca="1">SUMIFS(TableDailySummary[Tienda 81_orders],TableDailySummary[Fecha],"&gt;="&amp;TableWeeklySummary[[#This Row],[Desde]],TableDailySummary[Fecha],"&lt;="&amp;TableWeeklySummary[[#This Row],[Hasta]])</f>
        <v>0</v>
      </c>
      <c r="P382" s="12">
        <f ca="1">SUMIFS(TableDailySummary[Rappi_net_sales],TableDailySummary[Fecha],"&gt;="&amp;TableWeeklySummary[[#This Row],[Desde]],TableDailySummary[Fecha],"&lt;="&amp;TableWeeklySummary[[#This Row],[Hasta]])</f>
        <v>0</v>
      </c>
      <c r="Q382" s="12">
        <f ca="1">SUMIFS(TableDailySummary[Rappi_orders],TableDailySummary[Fecha],"&gt;="&amp;TableWeeklySummary[[#This Row],[Desde]],TableDailySummary[Fecha],"&lt;="&amp;TableWeeklySummary[[#This Row],[Hasta]])</f>
        <v>0</v>
      </c>
      <c r="R38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8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82" s="12">
        <f ca="1">SUMIFS(TableDailySummary[Inversión google ads],TableDailySummary[Fecha],"&gt;="&amp;TableWeeklySummary[[#This Row],[Desde]],TableDailySummary[Fecha],"&lt;="&amp;TableWeeklySummary[[#This Row],[Hasta]])</f>
        <v>0</v>
      </c>
      <c r="U382" s="12">
        <f ca="1">SUMIFS(TableDailySummary[Ventas google ads],TableDailySummary[Fecha],"&gt;="&amp;TableWeeklySummary[[#This Row],[Desde]],TableDailySummary[Fecha],"&lt;="&amp;TableWeeklySummary[[#This Row],[Hasta]])</f>
        <v>0</v>
      </c>
      <c r="V382" s="12">
        <f ca="1">SUMIFS(TableDailySummary[Inversión meta ads],TableDailySummary[Fecha],"&gt;="&amp;TableWeeklySummary[[#This Row],[Desde]],TableDailySummary[Fecha],"&lt;="&amp;TableWeeklySummary[[#This Row],[Hasta]])</f>
        <v>0</v>
      </c>
      <c r="W382" s="12">
        <f ca="1">SUMIFS(TableDailySummary[Ventas meta ads],TableDailySummary[Fecha],"&gt;="&amp;TableWeeklySummary[[#This Row],[Desde]],TableDailySummary[Fecha],"&lt;="&amp;TableWeeklySummary[[#This Row],[Hasta]])</f>
        <v>0</v>
      </c>
      <c r="X382" s="12">
        <f ca="1">TableWeeklySummary[[#This Row],[Inversión google ads]]+TableWeeklySummary[[#This Row],[Inversión meta ads]]</f>
        <v>0</v>
      </c>
      <c r="Y382" s="12">
        <f ca="1">TableWeeklySummary[[#This Row],[Ventas google ads]]+TableWeeklySummary[[#This Row],[Ventas meta ads]]</f>
        <v>0</v>
      </c>
      <c r="Z382" s="14">
        <f ca="1">IFERROR(TableWeeklySummary[[#This Row],[Ventas publicidad]]/TableWeeklySummary[[#This Row],[Inversión publicidad]],0)</f>
        <v>0</v>
      </c>
      <c r="AA382" s="14">
        <f ca="1">IFERROR(TableWeeklySummary[[#This Row],[Ventas primer cliente]]/TableWeeklySummary[[#This Row],[Inversión publicidad]],0)</f>
        <v>0</v>
      </c>
      <c r="AB382" s="14"/>
      <c r="AC382" s="12"/>
      <c r="AI38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8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82" s="12">
        <f ca="1">SUMIFS(TableDailySummary[Utilidad bruta],TableDailySummary[Fecha],"&gt;="&amp;TableWeeklySummary[[#This Row],[Desde]],TableDailySummary[Fecha],"&lt;="&amp;TableWeeklySummary[[#This Row],[Hasta]])</f>
        <v>0</v>
      </c>
      <c r="AL382" s="18">
        <f ca="1">IFERROR(TableWeeklySummary[[#This Row],[Utilidad bruta]]/TableWeeklySummary[[#This Row],[Ventas netas con costo registrado]],0)</f>
        <v>0</v>
      </c>
    </row>
    <row r="383" spans="2:38" x14ac:dyDescent="0.2">
      <c r="B383" s="16">
        <f ca="1">_xlfn.ISOWEEKNUM(TableWeeklySummary[[#This Row],[Hasta]])</f>
        <v>3</v>
      </c>
      <c r="C383" s="6">
        <f t="shared" ca="1" si="7"/>
        <v>48593</v>
      </c>
      <c r="D383" s="6">
        <f ca="1">TableWeeklySummary[[#This Row],[Desde]]+7-1</f>
        <v>48599</v>
      </c>
      <c r="E383" s="12">
        <f ca="1">SUMIFS(TableDailySummary[Ventas netas totales],TableDailySummary[Fecha],"&gt;="&amp;TableWeeklySummary[[#This Row],[Desde]],TableDailySummary[Fecha],"&lt;="&amp;TableWeeklySummary[[#This Row],[Hasta]])</f>
        <v>0</v>
      </c>
      <c r="F383" s="12">
        <f ca="1">SUMIFS(TableDailySummary[Órdenes totales],TableDailySummary[Fecha],"&gt;="&amp;TableWeeklySummary[[#This Row],[Desde]],TableDailySummary[Fecha],"&lt;="&amp;TableWeeklySummary[[#This Row],[Hasta]])</f>
        <v>0</v>
      </c>
      <c r="G383" s="12">
        <f ca="1">IFERROR(TableWeeklySummary[[#This Row],[Ventas netas totales]]/TableWeeklySummary[[#This Row],[Órdenes totales]],0)</f>
        <v>0</v>
      </c>
      <c r="H38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83" s="12">
        <f ca="1">TableWeeklySummary[[#This Row],[Órden promedio totales]]*TableWeeklySummary[[#This Row],[CR totales]]</f>
        <v>0</v>
      </c>
      <c r="J383" s="12">
        <f ca="1">SUMIFS(TableDailySummary[Ventas primer cliente],TableDailySummary[Fecha],"&gt;="&amp;TableWeeklySummary[[#This Row],[Desde]],TableDailySummary[Fecha],"&lt;="&amp;TableWeeklySummary[[#This Row],[Hasta]])</f>
        <v>0</v>
      </c>
      <c r="K383" s="12">
        <f ca="1">SUMIFS(TableDailySummary[Órdenes primer cliente],TableDailySummary[Fecha],"&gt;="&amp;TableWeeklySummary[[#This Row],[Desde]],TableDailySummary[Fecha],"&lt;="&amp;TableWeeklySummary[[#This Row],[Hasta]])</f>
        <v>0</v>
      </c>
      <c r="L383" s="12">
        <f ca="1">SUMIFS(TableDailySummary[Online Store_net_sales],TableDailySummary[Fecha],"&gt;="&amp;TableWeeklySummary[[#This Row],[Desde]],TableDailySummary[Fecha],"&lt;="&amp;TableWeeklySummary[[#This Row],[Hasta]])</f>
        <v>0</v>
      </c>
      <c r="M383" s="12">
        <f ca="1">SUMIFS(TableDailySummary[Online Store_orders],TableDailySummary[Fecha],"&gt;="&amp;TableWeeklySummary[[#This Row],[Desde]],TableDailySummary[Fecha],"&lt;="&amp;TableWeeklySummary[[#This Row],[Hasta]])</f>
        <v>0</v>
      </c>
      <c r="N383" s="12">
        <f ca="1">SUMIFS(TableDailySummary[Tienda 81_net_sales],TableDailySummary[Fecha],"&gt;="&amp;TableWeeklySummary[[#This Row],[Desde]],TableDailySummary[Fecha],"&lt;="&amp;TableWeeklySummary[[#This Row],[Hasta]])</f>
        <v>0</v>
      </c>
      <c r="O383" s="12">
        <f ca="1">SUMIFS(TableDailySummary[Tienda 81_orders],TableDailySummary[Fecha],"&gt;="&amp;TableWeeklySummary[[#This Row],[Desde]],TableDailySummary[Fecha],"&lt;="&amp;TableWeeklySummary[[#This Row],[Hasta]])</f>
        <v>0</v>
      </c>
      <c r="P383" s="12">
        <f ca="1">SUMIFS(TableDailySummary[Rappi_net_sales],TableDailySummary[Fecha],"&gt;="&amp;TableWeeklySummary[[#This Row],[Desde]],TableDailySummary[Fecha],"&lt;="&amp;TableWeeklySummary[[#This Row],[Hasta]])</f>
        <v>0</v>
      </c>
      <c r="Q383" s="12">
        <f ca="1">SUMIFS(TableDailySummary[Rappi_orders],TableDailySummary[Fecha],"&gt;="&amp;TableWeeklySummary[[#This Row],[Desde]],TableDailySummary[Fecha],"&lt;="&amp;TableWeeklySummary[[#This Row],[Hasta]])</f>
        <v>0</v>
      </c>
      <c r="R38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8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83" s="12">
        <f ca="1">SUMIFS(TableDailySummary[Inversión google ads],TableDailySummary[Fecha],"&gt;="&amp;TableWeeklySummary[[#This Row],[Desde]],TableDailySummary[Fecha],"&lt;="&amp;TableWeeklySummary[[#This Row],[Hasta]])</f>
        <v>0</v>
      </c>
      <c r="U383" s="12">
        <f ca="1">SUMIFS(TableDailySummary[Ventas google ads],TableDailySummary[Fecha],"&gt;="&amp;TableWeeklySummary[[#This Row],[Desde]],TableDailySummary[Fecha],"&lt;="&amp;TableWeeklySummary[[#This Row],[Hasta]])</f>
        <v>0</v>
      </c>
      <c r="V383" s="12">
        <f ca="1">SUMIFS(TableDailySummary[Inversión meta ads],TableDailySummary[Fecha],"&gt;="&amp;TableWeeklySummary[[#This Row],[Desde]],TableDailySummary[Fecha],"&lt;="&amp;TableWeeklySummary[[#This Row],[Hasta]])</f>
        <v>0</v>
      </c>
      <c r="W383" s="12">
        <f ca="1">SUMIFS(TableDailySummary[Ventas meta ads],TableDailySummary[Fecha],"&gt;="&amp;TableWeeklySummary[[#This Row],[Desde]],TableDailySummary[Fecha],"&lt;="&amp;TableWeeklySummary[[#This Row],[Hasta]])</f>
        <v>0</v>
      </c>
      <c r="X383" s="12">
        <f ca="1">TableWeeklySummary[[#This Row],[Inversión google ads]]+TableWeeklySummary[[#This Row],[Inversión meta ads]]</f>
        <v>0</v>
      </c>
      <c r="Y383" s="12">
        <f ca="1">TableWeeklySummary[[#This Row],[Ventas google ads]]+TableWeeklySummary[[#This Row],[Ventas meta ads]]</f>
        <v>0</v>
      </c>
      <c r="Z383" s="14">
        <f ca="1">IFERROR(TableWeeklySummary[[#This Row],[Ventas publicidad]]/TableWeeklySummary[[#This Row],[Inversión publicidad]],0)</f>
        <v>0</v>
      </c>
      <c r="AA383" s="14">
        <f ca="1">IFERROR(TableWeeklySummary[[#This Row],[Ventas primer cliente]]/TableWeeklySummary[[#This Row],[Inversión publicidad]],0)</f>
        <v>0</v>
      </c>
      <c r="AB383" s="14"/>
      <c r="AC383" s="12"/>
      <c r="AI38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8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83" s="12">
        <f ca="1">SUMIFS(TableDailySummary[Utilidad bruta],TableDailySummary[Fecha],"&gt;="&amp;TableWeeklySummary[[#This Row],[Desde]],TableDailySummary[Fecha],"&lt;="&amp;TableWeeklySummary[[#This Row],[Hasta]])</f>
        <v>0</v>
      </c>
      <c r="AL383" s="18">
        <f ca="1">IFERROR(TableWeeklySummary[[#This Row],[Utilidad bruta]]/TableWeeklySummary[[#This Row],[Ventas netas con costo registrado]],0)</f>
        <v>0</v>
      </c>
    </row>
    <row r="384" spans="2:38" x14ac:dyDescent="0.2">
      <c r="B384" s="16">
        <f ca="1">_xlfn.ISOWEEKNUM(TableWeeklySummary[[#This Row],[Hasta]])</f>
        <v>4</v>
      </c>
      <c r="C384" s="6">
        <f t="shared" ref="C384:C447" ca="1" si="8">_xlfn.LET(
    _xlpm.fechaini, ParamFechaInicioReporte,
    _xlpm.start_friday, IF(WEEKDAY(_xlpm.fechaini, 1) = 6, _xlpm.fechaini, _xlpm.fechaini - MOD(WEEKDAY(_xlpm.fechaini, 1) + 1, 7)),
    IF(ROW()=8, _xlpm.start_friday, C383 + 7)
)</f>
        <v>48600</v>
      </c>
      <c r="D384" s="6">
        <f ca="1">TableWeeklySummary[[#This Row],[Desde]]+7-1</f>
        <v>48606</v>
      </c>
      <c r="E384" s="12">
        <f ca="1">SUMIFS(TableDailySummary[Ventas netas totales],TableDailySummary[Fecha],"&gt;="&amp;TableWeeklySummary[[#This Row],[Desde]],TableDailySummary[Fecha],"&lt;="&amp;TableWeeklySummary[[#This Row],[Hasta]])</f>
        <v>0</v>
      </c>
      <c r="F384" s="12">
        <f ca="1">SUMIFS(TableDailySummary[Órdenes totales],TableDailySummary[Fecha],"&gt;="&amp;TableWeeklySummary[[#This Row],[Desde]],TableDailySummary[Fecha],"&lt;="&amp;TableWeeklySummary[[#This Row],[Hasta]])</f>
        <v>0</v>
      </c>
      <c r="G384" s="12">
        <f ca="1">IFERROR(TableWeeklySummary[[#This Row],[Ventas netas totales]]/TableWeeklySummary[[#This Row],[Órdenes totales]],0)</f>
        <v>0</v>
      </c>
      <c r="H38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84" s="12">
        <f ca="1">TableWeeklySummary[[#This Row],[Órden promedio totales]]*TableWeeklySummary[[#This Row],[CR totales]]</f>
        <v>0</v>
      </c>
      <c r="J384" s="12">
        <f ca="1">SUMIFS(TableDailySummary[Ventas primer cliente],TableDailySummary[Fecha],"&gt;="&amp;TableWeeklySummary[[#This Row],[Desde]],TableDailySummary[Fecha],"&lt;="&amp;TableWeeklySummary[[#This Row],[Hasta]])</f>
        <v>0</v>
      </c>
      <c r="K384" s="12">
        <f ca="1">SUMIFS(TableDailySummary[Órdenes primer cliente],TableDailySummary[Fecha],"&gt;="&amp;TableWeeklySummary[[#This Row],[Desde]],TableDailySummary[Fecha],"&lt;="&amp;TableWeeklySummary[[#This Row],[Hasta]])</f>
        <v>0</v>
      </c>
      <c r="L384" s="12">
        <f ca="1">SUMIFS(TableDailySummary[Online Store_net_sales],TableDailySummary[Fecha],"&gt;="&amp;TableWeeklySummary[[#This Row],[Desde]],TableDailySummary[Fecha],"&lt;="&amp;TableWeeklySummary[[#This Row],[Hasta]])</f>
        <v>0</v>
      </c>
      <c r="M384" s="12">
        <f ca="1">SUMIFS(TableDailySummary[Online Store_orders],TableDailySummary[Fecha],"&gt;="&amp;TableWeeklySummary[[#This Row],[Desde]],TableDailySummary[Fecha],"&lt;="&amp;TableWeeklySummary[[#This Row],[Hasta]])</f>
        <v>0</v>
      </c>
      <c r="N384" s="12">
        <f ca="1">SUMIFS(TableDailySummary[Tienda 81_net_sales],TableDailySummary[Fecha],"&gt;="&amp;TableWeeklySummary[[#This Row],[Desde]],TableDailySummary[Fecha],"&lt;="&amp;TableWeeklySummary[[#This Row],[Hasta]])</f>
        <v>0</v>
      </c>
      <c r="O384" s="12">
        <f ca="1">SUMIFS(TableDailySummary[Tienda 81_orders],TableDailySummary[Fecha],"&gt;="&amp;TableWeeklySummary[[#This Row],[Desde]],TableDailySummary[Fecha],"&lt;="&amp;TableWeeklySummary[[#This Row],[Hasta]])</f>
        <v>0</v>
      </c>
      <c r="P384" s="12">
        <f ca="1">SUMIFS(TableDailySummary[Rappi_net_sales],TableDailySummary[Fecha],"&gt;="&amp;TableWeeklySummary[[#This Row],[Desde]],TableDailySummary[Fecha],"&lt;="&amp;TableWeeklySummary[[#This Row],[Hasta]])</f>
        <v>0</v>
      </c>
      <c r="Q384" s="12">
        <f ca="1">SUMIFS(TableDailySummary[Rappi_orders],TableDailySummary[Fecha],"&gt;="&amp;TableWeeklySummary[[#This Row],[Desde]],TableDailySummary[Fecha],"&lt;="&amp;TableWeeklySummary[[#This Row],[Hasta]])</f>
        <v>0</v>
      </c>
      <c r="R38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8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84" s="12">
        <f ca="1">SUMIFS(TableDailySummary[Inversión google ads],TableDailySummary[Fecha],"&gt;="&amp;TableWeeklySummary[[#This Row],[Desde]],TableDailySummary[Fecha],"&lt;="&amp;TableWeeklySummary[[#This Row],[Hasta]])</f>
        <v>0</v>
      </c>
      <c r="U384" s="12">
        <f ca="1">SUMIFS(TableDailySummary[Ventas google ads],TableDailySummary[Fecha],"&gt;="&amp;TableWeeklySummary[[#This Row],[Desde]],TableDailySummary[Fecha],"&lt;="&amp;TableWeeklySummary[[#This Row],[Hasta]])</f>
        <v>0</v>
      </c>
      <c r="V384" s="12">
        <f ca="1">SUMIFS(TableDailySummary[Inversión meta ads],TableDailySummary[Fecha],"&gt;="&amp;TableWeeklySummary[[#This Row],[Desde]],TableDailySummary[Fecha],"&lt;="&amp;TableWeeklySummary[[#This Row],[Hasta]])</f>
        <v>0</v>
      </c>
      <c r="W384" s="12">
        <f ca="1">SUMIFS(TableDailySummary[Ventas meta ads],TableDailySummary[Fecha],"&gt;="&amp;TableWeeklySummary[[#This Row],[Desde]],TableDailySummary[Fecha],"&lt;="&amp;TableWeeklySummary[[#This Row],[Hasta]])</f>
        <v>0</v>
      </c>
      <c r="X384" s="12">
        <f ca="1">TableWeeklySummary[[#This Row],[Inversión google ads]]+TableWeeklySummary[[#This Row],[Inversión meta ads]]</f>
        <v>0</v>
      </c>
      <c r="Y384" s="12">
        <f ca="1">TableWeeklySummary[[#This Row],[Ventas google ads]]+TableWeeklySummary[[#This Row],[Ventas meta ads]]</f>
        <v>0</v>
      </c>
      <c r="Z384" s="14">
        <f ca="1">IFERROR(TableWeeklySummary[[#This Row],[Ventas publicidad]]/TableWeeklySummary[[#This Row],[Inversión publicidad]],0)</f>
        <v>0</v>
      </c>
      <c r="AA384" s="14">
        <f ca="1">IFERROR(TableWeeklySummary[[#This Row],[Ventas primer cliente]]/TableWeeklySummary[[#This Row],[Inversión publicidad]],0)</f>
        <v>0</v>
      </c>
      <c r="AB384" s="14"/>
      <c r="AC384" s="12"/>
      <c r="AI38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8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84" s="12">
        <f ca="1">SUMIFS(TableDailySummary[Utilidad bruta],TableDailySummary[Fecha],"&gt;="&amp;TableWeeklySummary[[#This Row],[Desde]],TableDailySummary[Fecha],"&lt;="&amp;TableWeeklySummary[[#This Row],[Hasta]])</f>
        <v>0</v>
      </c>
      <c r="AL384" s="18">
        <f ca="1">IFERROR(TableWeeklySummary[[#This Row],[Utilidad bruta]]/TableWeeklySummary[[#This Row],[Ventas netas con costo registrado]],0)</f>
        <v>0</v>
      </c>
    </row>
    <row r="385" spans="2:38" x14ac:dyDescent="0.2">
      <c r="B385" s="16">
        <f ca="1">_xlfn.ISOWEEKNUM(TableWeeklySummary[[#This Row],[Hasta]])</f>
        <v>5</v>
      </c>
      <c r="C385" s="6">
        <f t="shared" ca="1" si="8"/>
        <v>48607</v>
      </c>
      <c r="D385" s="6">
        <f ca="1">TableWeeklySummary[[#This Row],[Desde]]+7-1</f>
        <v>48613</v>
      </c>
      <c r="E385" s="12">
        <f ca="1">SUMIFS(TableDailySummary[Ventas netas totales],TableDailySummary[Fecha],"&gt;="&amp;TableWeeklySummary[[#This Row],[Desde]],TableDailySummary[Fecha],"&lt;="&amp;TableWeeklySummary[[#This Row],[Hasta]])</f>
        <v>0</v>
      </c>
      <c r="F385" s="12">
        <f ca="1">SUMIFS(TableDailySummary[Órdenes totales],TableDailySummary[Fecha],"&gt;="&amp;TableWeeklySummary[[#This Row],[Desde]],TableDailySummary[Fecha],"&lt;="&amp;TableWeeklySummary[[#This Row],[Hasta]])</f>
        <v>0</v>
      </c>
      <c r="G385" s="12">
        <f ca="1">IFERROR(TableWeeklySummary[[#This Row],[Ventas netas totales]]/TableWeeklySummary[[#This Row],[Órdenes totales]],0)</f>
        <v>0</v>
      </c>
      <c r="H38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85" s="12">
        <f ca="1">TableWeeklySummary[[#This Row],[Órden promedio totales]]*TableWeeklySummary[[#This Row],[CR totales]]</f>
        <v>0</v>
      </c>
      <c r="J385" s="12">
        <f ca="1">SUMIFS(TableDailySummary[Ventas primer cliente],TableDailySummary[Fecha],"&gt;="&amp;TableWeeklySummary[[#This Row],[Desde]],TableDailySummary[Fecha],"&lt;="&amp;TableWeeklySummary[[#This Row],[Hasta]])</f>
        <v>0</v>
      </c>
      <c r="K385" s="12">
        <f ca="1">SUMIFS(TableDailySummary[Órdenes primer cliente],TableDailySummary[Fecha],"&gt;="&amp;TableWeeklySummary[[#This Row],[Desde]],TableDailySummary[Fecha],"&lt;="&amp;TableWeeklySummary[[#This Row],[Hasta]])</f>
        <v>0</v>
      </c>
      <c r="L385" s="12">
        <f ca="1">SUMIFS(TableDailySummary[Online Store_net_sales],TableDailySummary[Fecha],"&gt;="&amp;TableWeeklySummary[[#This Row],[Desde]],TableDailySummary[Fecha],"&lt;="&amp;TableWeeklySummary[[#This Row],[Hasta]])</f>
        <v>0</v>
      </c>
      <c r="M385" s="12">
        <f ca="1">SUMIFS(TableDailySummary[Online Store_orders],TableDailySummary[Fecha],"&gt;="&amp;TableWeeklySummary[[#This Row],[Desde]],TableDailySummary[Fecha],"&lt;="&amp;TableWeeklySummary[[#This Row],[Hasta]])</f>
        <v>0</v>
      </c>
      <c r="N385" s="12">
        <f ca="1">SUMIFS(TableDailySummary[Tienda 81_net_sales],TableDailySummary[Fecha],"&gt;="&amp;TableWeeklySummary[[#This Row],[Desde]],TableDailySummary[Fecha],"&lt;="&amp;TableWeeklySummary[[#This Row],[Hasta]])</f>
        <v>0</v>
      </c>
      <c r="O385" s="12">
        <f ca="1">SUMIFS(TableDailySummary[Tienda 81_orders],TableDailySummary[Fecha],"&gt;="&amp;TableWeeklySummary[[#This Row],[Desde]],TableDailySummary[Fecha],"&lt;="&amp;TableWeeklySummary[[#This Row],[Hasta]])</f>
        <v>0</v>
      </c>
      <c r="P385" s="12">
        <f ca="1">SUMIFS(TableDailySummary[Rappi_net_sales],TableDailySummary[Fecha],"&gt;="&amp;TableWeeklySummary[[#This Row],[Desde]],TableDailySummary[Fecha],"&lt;="&amp;TableWeeklySummary[[#This Row],[Hasta]])</f>
        <v>0</v>
      </c>
      <c r="Q385" s="12">
        <f ca="1">SUMIFS(TableDailySummary[Rappi_orders],TableDailySummary[Fecha],"&gt;="&amp;TableWeeklySummary[[#This Row],[Desde]],TableDailySummary[Fecha],"&lt;="&amp;TableWeeklySummary[[#This Row],[Hasta]])</f>
        <v>0</v>
      </c>
      <c r="R38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8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85" s="12">
        <f ca="1">SUMIFS(TableDailySummary[Inversión google ads],TableDailySummary[Fecha],"&gt;="&amp;TableWeeklySummary[[#This Row],[Desde]],TableDailySummary[Fecha],"&lt;="&amp;TableWeeklySummary[[#This Row],[Hasta]])</f>
        <v>0</v>
      </c>
      <c r="U385" s="12">
        <f ca="1">SUMIFS(TableDailySummary[Ventas google ads],TableDailySummary[Fecha],"&gt;="&amp;TableWeeklySummary[[#This Row],[Desde]],TableDailySummary[Fecha],"&lt;="&amp;TableWeeklySummary[[#This Row],[Hasta]])</f>
        <v>0</v>
      </c>
      <c r="V385" s="12">
        <f ca="1">SUMIFS(TableDailySummary[Inversión meta ads],TableDailySummary[Fecha],"&gt;="&amp;TableWeeklySummary[[#This Row],[Desde]],TableDailySummary[Fecha],"&lt;="&amp;TableWeeklySummary[[#This Row],[Hasta]])</f>
        <v>0</v>
      </c>
      <c r="W385" s="12">
        <f ca="1">SUMIFS(TableDailySummary[Ventas meta ads],TableDailySummary[Fecha],"&gt;="&amp;TableWeeklySummary[[#This Row],[Desde]],TableDailySummary[Fecha],"&lt;="&amp;TableWeeklySummary[[#This Row],[Hasta]])</f>
        <v>0</v>
      </c>
      <c r="X385" s="12">
        <f ca="1">TableWeeklySummary[[#This Row],[Inversión google ads]]+TableWeeklySummary[[#This Row],[Inversión meta ads]]</f>
        <v>0</v>
      </c>
      <c r="Y385" s="12">
        <f ca="1">TableWeeklySummary[[#This Row],[Ventas google ads]]+TableWeeklySummary[[#This Row],[Ventas meta ads]]</f>
        <v>0</v>
      </c>
      <c r="Z385" s="14">
        <f ca="1">IFERROR(TableWeeklySummary[[#This Row],[Ventas publicidad]]/TableWeeklySummary[[#This Row],[Inversión publicidad]],0)</f>
        <v>0</v>
      </c>
      <c r="AA385" s="14">
        <f ca="1">IFERROR(TableWeeklySummary[[#This Row],[Ventas primer cliente]]/TableWeeklySummary[[#This Row],[Inversión publicidad]],0)</f>
        <v>0</v>
      </c>
      <c r="AB385" s="14"/>
      <c r="AC385" s="12"/>
      <c r="AI38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8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85" s="12">
        <f ca="1">SUMIFS(TableDailySummary[Utilidad bruta],TableDailySummary[Fecha],"&gt;="&amp;TableWeeklySummary[[#This Row],[Desde]],TableDailySummary[Fecha],"&lt;="&amp;TableWeeklySummary[[#This Row],[Hasta]])</f>
        <v>0</v>
      </c>
      <c r="AL385" s="18">
        <f ca="1">IFERROR(TableWeeklySummary[[#This Row],[Utilidad bruta]]/TableWeeklySummary[[#This Row],[Ventas netas con costo registrado]],0)</f>
        <v>0</v>
      </c>
    </row>
    <row r="386" spans="2:38" x14ac:dyDescent="0.2">
      <c r="B386" s="16">
        <f ca="1">_xlfn.ISOWEEKNUM(TableWeeklySummary[[#This Row],[Hasta]])</f>
        <v>6</v>
      </c>
      <c r="C386" s="6">
        <f t="shared" ca="1" si="8"/>
        <v>48614</v>
      </c>
      <c r="D386" s="6">
        <f ca="1">TableWeeklySummary[[#This Row],[Desde]]+7-1</f>
        <v>48620</v>
      </c>
      <c r="E386" s="12">
        <f ca="1">SUMIFS(TableDailySummary[Ventas netas totales],TableDailySummary[Fecha],"&gt;="&amp;TableWeeklySummary[[#This Row],[Desde]],TableDailySummary[Fecha],"&lt;="&amp;TableWeeklySummary[[#This Row],[Hasta]])</f>
        <v>0</v>
      </c>
      <c r="F386" s="12">
        <f ca="1">SUMIFS(TableDailySummary[Órdenes totales],TableDailySummary[Fecha],"&gt;="&amp;TableWeeklySummary[[#This Row],[Desde]],TableDailySummary[Fecha],"&lt;="&amp;TableWeeklySummary[[#This Row],[Hasta]])</f>
        <v>0</v>
      </c>
      <c r="G386" s="12">
        <f ca="1">IFERROR(TableWeeklySummary[[#This Row],[Ventas netas totales]]/TableWeeklySummary[[#This Row],[Órdenes totales]],0)</f>
        <v>0</v>
      </c>
      <c r="H38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86" s="12">
        <f ca="1">TableWeeklySummary[[#This Row],[Órden promedio totales]]*TableWeeklySummary[[#This Row],[CR totales]]</f>
        <v>0</v>
      </c>
      <c r="J386" s="12">
        <f ca="1">SUMIFS(TableDailySummary[Ventas primer cliente],TableDailySummary[Fecha],"&gt;="&amp;TableWeeklySummary[[#This Row],[Desde]],TableDailySummary[Fecha],"&lt;="&amp;TableWeeklySummary[[#This Row],[Hasta]])</f>
        <v>0</v>
      </c>
      <c r="K386" s="12">
        <f ca="1">SUMIFS(TableDailySummary[Órdenes primer cliente],TableDailySummary[Fecha],"&gt;="&amp;TableWeeklySummary[[#This Row],[Desde]],TableDailySummary[Fecha],"&lt;="&amp;TableWeeklySummary[[#This Row],[Hasta]])</f>
        <v>0</v>
      </c>
      <c r="L386" s="12">
        <f ca="1">SUMIFS(TableDailySummary[Online Store_net_sales],TableDailySummary[Fecha],"&gt;="&amp;TableWeeklySummary[[#This Row],[Desde]],TableDailySummary[Fecha],"&lt;="&amp;TableWeeklySummary[[#This Row],[Hasta]])</f>
        <v>0</v>
      </c>
      <c r="M386" s="12">
        <f ca="1">SUMIFS(TableDailySummary[Online Store_orders],TableDailySummary[Fecha],"&gt;="&amp;TableWeeklySummary[[#This Row],[Desde]],TableDailySummary[Fecha],"&lt;="&amp;TableWeeklySummary[[#This Row],[Hasta]])</f>
        <v>0</v>
      </c>
      <c r="N386" s="12">
        <f ca="1">SUMIFS(TableDailySummary[Tienda 81_net_sales],TableDailySummary[Fecha],"&gt;="&amp;TableWeeklySummary[[#This Row],[Desde]],TableDailySummary[Fecha],"&lt;="&amp;TableWeeklySummary[[#This Row],[Hasta]])</f>
        <v>0</v>
      </c>
      <c r="O386" s="12">
        <f ca="1">SUMIFS(TableDailySummary[Tienda 81_orders],TableDailySummary[Fecha],"&gt;="&amp;TableWeeklySummary[[#This Row],[Desde]],TableDailySummary[Fecha],"&lt;="&amp;TableWeeklySummary[[#This Row],[Hasta]])</f>
        <v>0</v>
      </c>
      <c r="P386" s="12">
        <f ca="1">SUMIFS(TableDailySummary[Rappi_net_sales],TableDailySummary[Fecha],"&gt;="&amp;TableWeeklySummary[[#This Row],[Desde]],TableDailySummary[Fecha],"&lt;="&amp;TableWeeklySummary[[#This Row],[Hasta]])</f>
        <v>0</v>
      </c>
      <c r="Q386" s="12">
        <f ca="1">SUMIFS(TableDailySummary[Rappi_orders],TableDailySummary[Fecha],"&gt;="&amp;TableWeeklySummary[[#This Row],[Desde]],TableDailySummary[Fecha],"&lt;="&amp;TableWeeklySummary[[#This Row],[Hasta]])</f>
        <v>0</v>
      </c>
      <c r="R38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8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86" s="12">
        <f ca="1">SUMIFS(TableDailySummary[Inversión google ads],TableDailySummary[Fecha],"&gt;="&amp;TableWeeklySummary[[#This Row],[Desde]],TableDailySummary[Fecha],"&lt;="&amp;TableWeeklySummary[[#This Row],[Hasta]])</f>
        <v>0</v>
      </c>
      <c r="U386" s="12">
        <f ca="1">SUMIFS(TableDailySummary[Ventas google ads],TableDailySummary[Fecha],"&gt;="&amp;TableWeeklySummary[[#This Row],[Desde]],TableDailySummary[Fecha],"&lt;="&amp;TableWeeklySummary[[#This Row],[Hasta]])</f>
        <v>0</v>
      </c>
      <c r="V386" s="12">
        <f ca="1">SUMIFS(TableDailySummary[Inversión meta ads],TableDailySummary[Fecha],"&gt;="&amp;TableWeeklySummary[[#This Row],[Desde]],TableDailySummary[Fecha],"&lt;="&amp;TableWeeklySummary[[#This Row],[Hasta]])</f>
        <v>0</v>
      </c>
      <c r="W386" s="12">
        <f ca="1">SUMIFS(TableDailySummary[Ventas meta ads],TableDailySummary[Fecha],"&gt;="&amp;TableWeeklySummary[[#This Row],[Desde]],TableDailySummary[Fecha],"&lt;="&amp;TableWeeklySummary[[#This Row],[Hasta]])</f>
        <v>0</v>
      </c>
      <c r="X386" s="12">
        <f ca="1">TableWeeklySummary[[#This Row],[Inversión google ads]]+TableWeeklySummary[[#This Row],[Inversión meta ads]]</f>
        <v>0</v>
      </c>
      <c r="Y386" s="12">
        <f ca="1">TableWeeklySummary[[#This Row],[Ventas google ads]]+TableWeeklySummary[[#This Row],[Ventas meta ads]]</f>
        <v>0</v>
      </c>
      <c r="Z386" s="14">
        <f ca="1">IFERROR(TableWeeklySummary[[#This Row],[Ventas publicidad]]/TableWeeklySummary[[#This Row],[Inversión publicidad]],0)</f>
        <v>0</v>
      </c>
      <c r="AA386" s="14">
        <f ca="1">IFERROR(TableWeeklySummary[[#This Row],[Ventas primer cliente]]/TableWeeklySummary[[#This Row],[Inversión publicidad]],0)</f>
        <v>0</v>
      </c>
      <c r="AB386" s="14"/>
      <c r="AC386" s="12"/>
      <c r="AI38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8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86" s="12">
        <f ca="1">SUMIFS(TableDailySummary[Utilidad bruta],TableDailySummary[Fecha],"&gt;="&amp;TableWeeklySummary[[#This Row],[Desde]],TableDailySummary[Fecha],"&lt;="&amp;TableWeeklySummary[[#This Row],[Hasta]])</f>
        <v>0</v>
      </c>
      <c r="AL386" s="18">
        <f ca="1">IFERROR(TableWeeklySummary[[#This Row],[Utilidad bruta]]/TableWeeklySummary[[#This Row],[Ventas netas con costo registrado]],0)</f>
        <v>0</v>
      </c>
    </row>
    <row r="387" spans="2:38" x14ac:dyDescent="0.2">
      <c r="B387" s="16">
        <f ca="1">_xlfn.ISOWEEKNUM(TableWeeklySummary[[#This Row],[Hasta]])</f>
        <v>7</v>
      </c>
      <c r="C387" s="6">
        <f t="shared" ca="1" si="8"/>
        <v>48621</v>
      </c>
      <c r="D387" s="6">
        <f ca="1">TableWeeklySummary[[#This Row],[Desde]]+7-1</f>
        <v>48627</v>
      </c>
      <c r="E387" s="12">
        <f ca="1">SUMIFS(TableDailySummary[Ventas netas totales],TableDailySummary[Fecha],"&gt;="&amp;TableWeeklySummary[[#This Row],[Desde]],TableDailySummary[Fecha],"&lt;="&amp;TableWeeklySummary[[#This Row],[Hasta]])</f>
        <v>0</v>
      </c>
      <c r="F387" s="12">
        <f ca="1">SUMIFS(TableDailySummary[Órdenes totales],TableDailySummary[Fecha],"&gt;="&amp;TableWeeklySummary[[#This Row],[Desde]],TableDailySummary[Fecha],"&lt;="&amp;TableWeeklySummary[[#This Row],[Hasta]])</f>
        <v>0</v>
      </c>
      <c r="G387" s="12">
        <f ca="1">IFERROR(TableWeeklySummary[[#This Row],[Ventas netas totales]]/TableWeeklySummary[[#This Row],[Órdenes totales]],0)</f>
        <v>0</v>
      </c>
      <c r="H38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87" s="12">
        <f ca="1">TableWeeklySummary[[#This Row],[Órden promedio totales]]*TableWeeklySummary[[#This Row],[CR totales]]</f>
        <v>0</v>
      </c>
      <c r="J387" s="12">
        <f ca="1">SUMIFS(TableDailySummary[Ventas primer cliente],TableDailySummary[Fecha],"&gt;="&amp;TableWeeklySummary[[#This Row],[Desde]],TableDailySummary[Fecha],"&lt;="&amp;TableWeeklySummary[[#This Row],[Hasta]])</f>
        <v>0</v>
      </c>
      <c r="K387" s="12">
        <f ca="1">SUMIFS(TableDailySummary[Órdenes primer cliente],TableDailySummary[Fecha],"&gt;="&amp;TableWeeklySummary[[#This Row],[Desde]],TableDailySummary[Fecha],"&lt;="&amp;TableWeeklySummary[[#This Row],[Hasta]])</f>
        <v>0</v>
      </c>
      <c r="L387" s="12">
        <f ca="1">SUMIFS(TableDailySummary[Online Store_net_sales],TableDailySummary[Fecha],"&gt;="&amp;TableWeeklySummary[[#This Row],[Desde]],TableDailySummary[Fecha],"&lt;="&amp;TableWeeklySummary[[#This Row],[Hasta]])</f>
        <v>0</v>
      </c>
      <c r="M387" s="12">
        <f ca="1">SUMIFS(TableDailySummary[Online Store_orders],TableDailySummary[Fecha],"&gt;="&amp;TableWeeklySummary[[#This Row],[Desde]],TableDailySummary[Fecha],"&lt;="&amp;TableWeeklySummary[[#This Row],[Hasta]])</f>
        <v>0</v>
      </c>
      <c r="N387" s="12">
        <f ca="1">SUMIFS(TableDailySummary[Tienda 81_net_sales],TableDailySummary[Fecha],"&gt;="&amp;TableWeeklySummary[[#This Row],[Desde]],TableDailySummary[Fecha],"&lt;="&amp;TableWeeklySummary[[#This Row],[Hasta]])</f>
        <v>0</v>
      </c>
      <c r="O387" s="12">
        <f ca="1">SUMIFS(TableDailySummary[Tienda 81_orders],TableDailySummary[Fecha],"&gt;="&amp;TableWeeklySummary[[#This Row],[Desde]],TableDailySummary[Fecha],"&lt;="&amp;TableWeeklySummary[[#This Row],[Hasta]])</f>
        <v>0</v>
      </c>
      <c r="P387" s="12">
        <f ca="1">SUMIFS(TableDailySummary[Rappi_net_sales],TableDailySummary[Fecha],"&gt;="&amp;TableWeeklySummary[[#This Row],[Desde]],TableDailySummary[Fecha],"&lt;="&amp;TableWeeklySummary[[#This Row],[Hasta]])</f>
        <v>0</v>
      </c>
      <c r="Q387" s="12">
        <f ca="1">SUMIFS(TableDailySummary[Rappi_orders],TableDailySummary[Fecha],"&gt;="&amp;TableWeeklySummary[[#This Row],[Desde]],TableDailySummary[Fecha],"&lt;="&amp;TableWeeklySummary[[#This Row],[Hasta]])</f>
        <v>0</v>
      </c>
      <c r="R38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8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87" s="12">
        <f ca="1">SUMIFS(TableDailySummary[Inversión google ads],TableDailySummary[Fecha],"&gt;="&amp;TableWeeklySummary[[#This Row],[Desde]],TableDailySummary[Fecha],"&lt;="&amp;TableWeeklySummary[[#This Row],[Hasta]])</f>
        <v>0</v>
      </c>
      <c r="U387" s="12">
        <f ca="1">SUMIFS(TableDailySummary[Ventas google ads],TableDailySummary[Fecha],"&gt;="&amp;TableWeeklySummary[[#This Row],[Desde]],TableDailySummary[Fecha],"&lt;="&amp;TableWeeklySummary[[#This Row],[Hasta]])</f>
        <v>0</v>
      </c>
      <c r="V387" s="12">
        <f ca="1">SUMIFS(TableDailySummary[Inversión meta ads],TableDailySummary[Fecha],"&gt;="&amp;TableWeeklySummary[[#This Row],[Desde]],TableDailySummary[Fecha],"&lt;="&amp;TableWeeklySummary[[#This Row],[Hasta]])</f>
        <v>0</v>
      </c>
      <c r="W387" s="12">
        <f ca="1">SUMIFS(TableDailySummary[Ventas meta ads],TableDailySummary[Fecha],"&gt;="&amp;TableWeeklySummary[[#This Row],[Desde]],TableDailySummary[Fecha],"&lt;="&amp;TableWeeklySummary[[#This Row],[Hasta]])</f>
        <v>0</v>
      </c>
      <c r="X387" s="12">
        <f ca="1">TableWeeklySummary[[#This Row],[Inversión google ads]]+TableWeeklySummary[[#This Row],[Inversión meta ads]]</f>
        <v>0</v>
      </c>
      <c r="Y387" s="12">
        <f ca="1">TableWeeklySummary[[#This Row],[Ventas google ads]]+TableWeeklySummary[[#This Row],[Ventas meta ads]]</f>
        <v>0</v>
      </c>
      <c r="Z387" s="14">
        <f ca="1">IFERROR(TableWeeklySummary[[#This Row],[Ventas publicidad]]/TableWeeklySummary[[#This Row],[Inversión publicidad]],0)</f>
        <v>0</v>
      </c>
      <c r="AA387" s="14">
        <f ca="1">IFERROR(TableWeeklySummary[[#This Row],[Ventas primer cliente]]/TableWeeklySummary[[#This Row],[Inversión publicidad]],0)</f>
        <v>0</v>
      </c>
      <c r="AB387" s="14"/>
      <c r="AC387" s="12"/>
      <c r="AI38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8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87" s="12">
        <f ca="1">SUMIFS(TableDailySummary[Utilidad bruta],TableDailySummary[Fecha],"&gt;="&amp;TableWeeklySummary[[#This Row],[Desde]],TableDailySummary[Fecha],"&lt;="&amp;TableWeeklySummary[[#This Row],[Hasta]])</f>
        <v>0</v>
      </c>
      <c r="AL387" s="18">
        <f ca="1">IFERROR(TableWeeklySummary[[#This Row],[Utilidad bruta]]/TableWeeklySummary[[#This Row],[Ventas netas con costo registrado]],0)</f>
        <v>0</v>
      </c>
    </row>
    <row r="388" spans="2:38" x14ac:dyDescent="0.2">
      <c r="B388" s="16">
        <f ca="1">_xlfn.ISOWEEKNUM(TableWeeklySummary[[#This Row],[Hasta]])</f>
        <v>8</v>
      </c>
      <c r="C388" s="6">
        <f t="shared" ca="1" si="8"/>
        <v>48628</v>
      </c>
      <c r="D388" s="6">
        <f ca="1">TableWeeklySummary[[#This Row],[Desde]]+7-1</f>
        <v>48634</v>
      </c>
      <c r="E388" s="12">
        <f ca="1">SUMIFS(TableDailySummary[Ventas netas totales],TableDailySummary[Fecha],"&gt;="&amp;TableWeeklySummary[[#This Row],[Desde]],TableDailySummary[Fecha],"&lt;="&amp;TableWeeklySummary[[#This Row],[Hasta]])</f>
        <v>0</v>
      </c>
      <c r="F388" s="12">
        <f ca="1">SUMIFS(TableDailySummary[Órdenes totales],TableDailySummary[Fecha],"&gt;="&amp;TableWeeklySummary[[#This Row],[Desde]],TableDailySummary[Fecha],"&lt;="&amp;TableWeeklySummary[[#This Row],[Hasta]])</f>
        <v>0</v>
      </c>
      <c r="G388" s="12">
        <f ca="1">IFERROR(TableWeeklySummary[[#This Row],[Ventas netas totales]]/TableWeeklySummary[[#This Row],[Órdenes totales]],0)</f>
        <v>0</v>
      </c>
      <c r="H38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88" s="12">
        <f ca="1">TableWeeklySummary[[#This Row],[Órden promedio totales]]*TableWeeklySummary[[#This Row],[CR totales]]</f>
        <v>0</v>
      </c>
      <c r="J388" s="12">
        <f ca="1">SUMIFS(TableDailySummary[Ventas primer cliente],TableDailySummary[Fecha],"&gt;="&amp;TableWeeklySummary[[#This Row],[Desde]],TableDailySummary[Fecha],"&lt;="&amp;TableWeeklySummary[[#This Row],[Hasta]])</f>
        <v>0</v>
      </c>
      <c r="K388" s="12">
        <f ca="1">SUMIFS(TableDailySummary[Órdenes primer cliente],TableDailySummary[Fecha],"&gt;="&amp;TableWeeklySummary[[#This Row],[Desde]],TableDailySummary[Fecha],"&lt;="&amp;TableWeeklySummary[[#This Row],[Hasta]])</f>
        <v>0</v>
      </c>
      <c r="L388" s="12">
        <f ca="1">SUMIFS(TableDailySummary[Online Store_net_sales],TableDailySummary[Fecha],"&gt;="&amp;TableWeeklySummary[[#This Row],[Desde]],TableDailySummary[Fecha],"&lt;="&amp;TableWeeklySummary[[#This Row],[Hasta]])</f>
        <v>0</v>
      </c>
      <c r="M388" s="12">
        <f ca="1">SUMIFS(TableDailySummary[Online Store_orders],TableDailySummary[Fecha],"&gt;="&amp;TableWeeklySummary[[#This Row],[Desde]],TableDailySummary[Fecha],"&lt;="&amp;TableWeeklySummary[[#This Row],[Hasta]])</f>
        <v>0</v>
      </c>
      <c r="N388" s="12">
        <f ca="1">SUMIFS(TableDailySummary[Tienda 81_net_sales],TableDailySummary[Fecha],"&gt;="&amp;TableWeeklySummary[[#This Row],[Desde]],TableDailySummary[Fecha],"&lt;="&amp;TableWeeklySummary[[#This Row],[Hasta]])</f>
        <v>0</v>
      </c>
      <c r="O388" s="12">
        <f ca="1">SUMIFS(TableDailySummary[Tienda 81_orders],TableDailySummary[Fecha],"&gt;="&amp;TableWeeklySummary[[#This Row],[Desde]],TableDailySummary[Fecha],"&lt;="&amp;TableWeeklySummary[[#This Row],[Hasta]])</f>
        <v>0</v>
      </c>
      <c r="P388" s="12">
        <f ca="1">SUMIFS(TableDailySummary[Rappi_net_sales],TableDailySummary[Fecha],"&gt;="&amp;TableWeeklySummary[[#This Row],[Desde]],TableDailySummary[Fecha],"&lt;="&amp;TableWeeklySummary[[#This Row],[Hasta]])</f>
        <v>0</v>
      </c>
      <c r="Q388" s="12">
        <f ca="1">SUMIFS(TableDailySummary[Rappi_orders],TableDailySummary[Fecha],"&gt;="&amp;TableWeeklySummary[[#This Row],[Desde]],TableDailySummary[Fecha],"&lt;="&amp;TableWeeklySummary[[#This Row],[Hasta]])</f>
        <v>0</v>
      </c>
      <c r="R38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8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88" s="12">
        <f ca="1">SUMIFS(TableDailySummary[Inversión google ads],TableDailySummary[Fecha],"&gt;="&amp;TableWeeklySummary[[#This Row],[Desde]],TableDailySummary[Fecha],"&lt;="&amp;TableWeeklySummary[[#This Row],[Hasta]])</f>
        <v>0</v>
      </c>
      <c r="U388" s="12">
        <f ca="1">SUMIFS(TableDailySummary[Ventas google ads],TableDailySummary[Fecha],"&gt;="&amp;TableWeeklySummary[[#This Row],[Desde]],TableDailySummary[Fecha],"&lt;="&amp;TableWeeklySummary[[#This Row],[Hasta]])</f>
        <v>0</v>
      </c>
      <c r="V388" s="12">
        <f ca="1">SUMIFS(TableDailySummary[Inversión meta ads],TableDailySummary[Fecha],"&gt;="&amp;TableWeeklySummary[[#This Row],[Desde]],TableDailySummary[Fecha],"&lt;="&amp;TableWeeklySummary[[#This Row],[Hasta]])</f>
        <v>0</v>
      </c>
      <c r="W388" s="12">
        <f ca="1">SUMIFS(TableDailySummary[Ventas meta ads],TableDailySummary[Fecha],"&gt;="&amp;TableWeeklySummary[[#This Row],[Desde]],TableDailySummary[Fecha],"&lt;="&amp;TableWeeklySummary[[#This Row],[Hasta]])</f>
        <v>0</v>
      </c>
      <c r="X388" s="12">
        <f ca="1">TableWeeklySummary[[#This Row],[Inversión google ads]]+TableWeeklySummary[[#This Row],[Inversión meta ads]]</f>
        <v>0</v>
      </c>
      <c r="Y388" s="12">
        <f ca="1">TableWeeklySummary[[#This Row],[Ventas google ads]]+TableWeeklySummary[[#This Row],[Ventas meta ads]]</f>
        <v>0</v>
      </c>
      <c r="Z388" s="14">
        <f ca="1">IFERROR(TableWeeklySummary[[#This Row],[Ventas publicidad]]/TableWeeklySummary[[#This Row],[Inversión publicidad]],0)</f>
        <v>0</v>
      </c>
      <c r="AA388" s="14">
        <f ca="1">IFERROR(TableWeeklySummary[[#This Row],[Ventas primer cliente]]/TableWeeklySummary[[#This Row],[Inversión publicidad]],0)</f>
        <v>0</v>
      </c>
      <c r="AB388" s="14"/>
      <c r="AC388" s="12"/>
      <c r="AI38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8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88" s="12">
        <f ca="1">SUMIFS(TableDailySummary[Utilidad bruta],TableDailySummary[Fecha],"&gt;="&amp;TableWeeklySummary[[#This Row],[Desde]],TableDailySummary[Fecha],"&lt;="&amp;TableWeeklySummary[[#This Row],[Hasta]])</f>
        <v>0</v>
      </c>
      <c r="AL388" s="18">
        <f ca="1">IFERROR(TableWeeklySummary[[#This Row],[Utilidad bruta]]/TableWeeklySummary[[#This Row],[Ventas netas con costo registrado]],0)</f>
        <v>0</v>
      </c>
    </row>
    <row r="389" spans="2:38" x14ac:dyDescent="0.2">
      <c r="B389" s="16">
        <f ca="1">_xlfn.ISOWEEKNUM(TableWeeklySummary[[#This Row],[Hasta]])</f>
        <v>9</v>
      </c>
      <c r="C389" s="6">
        <f t="shared" ca="1" si="8"/>
        <v>48635</v>
      </c>
      <c r="D389" s="6">
        <f ca="1">TableWeeklySummary[[#This Row],[Desde]]+7-1</f>
        <v>48641</v>
      </c>
      <c r="E389" s="12">
        <f ca="1">SUMIFS(TableDailySummary[Ventas netas totales],TableDailySummary[Fecha],"&gt;="&amp;TableWeeklySummary[[#This Row],[Desde]],TableDailySummary[Fecha],"&lt;="&amp;TableWeeklySummary[[#This Row],[Hasta]])</f>
        <v>0</v>
      </c>
      <c r="F389" s="12">
        <f ca="1">SUMIFS(TableDailySummary[Órdenes totales],TableDailySummary[Fecha],"&gt;="&amp;TableWeeklySummary[[#This Row],[Desde]],TableDailySummary[Fecha],"&lt;="&amp;TableWeeklySummary[[#This Row],[Hasta]])</f>
        <v>0</v>
      </c>
      <c r="G389" s="12">
        <f ca="1">IFERROR(TableWeeklySummary[[#This Row],[Ventas netas totales]]/TableWeeklySummary[[#This Row],[Órdenes totales]],0)</f>
        <v>0</v>
      </c>
      <c r="H38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89" s="12">
        <f ca="1">TableWeeklySummary[[#This Row],[Órden promedio totales]]*TableWeeklySummary[[#This Row],[CR totales]]</f>
        <v>0</v>
      </c>
      <c r="J389" s="12">
        <f ca="1">SUMIFS(TableDailySummary[Ventas primer cliente],TableDailySummary[Fecha],"&gt;="&amp;TableWeeklySummary[[#This Row],[Desde]],TableDailySummary[Fecha],"&lt;="&amp;TableWeeklySummary[[#This Row],[Hasta]])</f>
        <v>0</v>
      </c>
      <c r="K389" s="12">
        <f ca="1">SUMIFS(TableDailySummary[Órdenes primer cliente],TableDailySummary[Fecha],"&gt;="&amp;TableWeeklySummary[[#This Row],[Desde]],TableDailySummary[Fecha],"&lt;="&amp;TableWeeklySummary[[#This Row],[Hasta]])</f>
        <v>0</v>
      </c>
      <c r="L389" s="12">
        <f ca="1">SUMIFS(TableDailySummary[Online Store_net_sales],TableDailySummary[Fecha],"&gt;="&amp;TableWeeklySummary[[#This Row],[Desde]],TableDailySummary[Fecha],"&lt;="&amp;TableWeeklySummary[[#This Row],[Hasta]])</f>
        <v>0</v>
      </c>
      <c r="M389" s="12">
        <f ca="1">SUMIFS(TableDailySummary[Online Store_orders],TableDailySummary[Fecha],"&gt;="&amp;TableWeeklySummary[[#This Row],[Desde]],TableDailySummary[Fecha],"&lt;="&amp;TableWeeklySummary[[#This Row],[Hasta]])</f>
        <v>0</v>
      </c>
      <c r="N389" s="12">
        <f ca="1">SUMIFS(TableDailySummary[Tienda 81_net_sales],TableDailySummary[Fecha],"&gt;="&amp;TableWeeklySummary[[#This Row],[Desde]],TableDailySummary[Fecha],"&lt;="&amp;TableWeeklySummary[[#This Row],[Hasta]])</f>
        <v>0</v>
      </c>
      <c r="O389" s="12">
        <f ca="1">SUMIFS(TableDailySummary[Tienda 81_orders],TableDailySummary[Fecha],"&gt;="&amp;TableWeeklySummary[[#This Row],[Desde]],TableDailySummary[Fecha],"&lt;="&amp;TableWeeklySummary[[#This Row],[Hasta]])</f>
        <v>0</v>
      </c>
      <c r="P389" s="12">
        <f ca="1">SUMIFS(TableDailySummary[Rappi_net_sales],TableDailySummary[Fecha],"&gt;="&amp;TableWeeklySummary[[#This Row],[Desde]],TableDailySummary[Fecha],"&lt;="&amp;TableWeeklySummary[[#This Row],[Hasta]])</f>
        <v>0</v>
      </c>
      <c r="Q389" s="12">
        <f ca="1">SUMIFS(TableDailySummary[Rappi_orders],TableDailySummary[Fecha],"&gt;="&amp;TableWeeklySummary[[#This Row],[Desde]],TableDailySummary[Fecha],"&lt;="&amp;TableWeeklySummary[[#This Row],[Hasta]])</f>
        <v>0</v>
      </c>
      <c r="R38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8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89" s="12">
        <f ca="1">SUMIFS(TableDailySummary[Inversión google ads],TableDailySummary[Fecha],"&gt;="&amp;TableWeeklySummary[[#This Row],[Desde]],TableDailySummary[Fecha],"&lt;="&amp;TableWeeklySummary[[#This Row],[Hasta]])</f>
        <v>0</v>
      </c>
      <c r="U389" s="12">
        <f ca="1">SUMIFS(TableDailySummary[Ventas google ads],TableDailySummary[Fecha],"&gt;="&amp;TableWeeklySummary[[#This Row],[Desde]],TableDailySummary[Fecha],"&lt;="&amp;TableWeeklySummary[[#This Row],[Hasta]])</f>
        <v>0</v>
      </c>
      <c r="V389" s="12">
        <f ca="1">SUMIFS(TableDailySummary[Inversión meta ads],TableDailySummary[Fecha],"&gt;="&amp;TableWeeklySummary[[#This Row],[Desde]],TableDailySummary[Fecha],"&lt;="&amp;TableWeeklySummary[[#This Row],[Hasta]])</f>
        <v>0</v>
      </c>
      <c r="W389" s="12">
        <f ca="1">SUMIFS(TableDailySummary[Ventas meta ads],TableDailySummary[Fecha],"&gt;="&amp;TableWeeklySummary[[#This Row],[Desde]],TableDailySummary[Fecha],"&lt;="&amp;TableWeeklySummary[[#This Row],[Hasta]])</f>
        <v>0</v>
      </c>
      <c r="X389" s="12">
        <f ca="1">TableWeeklySummary[[#This Row],[Inversión google ads]]+TableWeeklySummary[[#This Row],[Inversión meta ads]]</f>
        <v>0</v>
      </c>
      <c r="Y389" s="12">
        <f ca="1">TableWeeklySummary[[#This Row],[Ventas google ads]]+TableWeeklySummary[[#This Row],[Ventas meta ads]]</f>
        <v>0</v>
      </c>
      <c r="Z389" s="14">
        <f ca="1">IFERROR(TableWeeklySummary[[#This Row],[Ventas publicidad]]/TableWeeklySummary[[#This Row],[Inversión publicidad]],0)</f>
        <v>0</v>
      </c>
      <c r="AA389" s="14">
        <f ca="1">IFERROR(TableWeeklySummary[[#This Row],[Ventas primer cliente]]/TableWeeklySummary[[#This Row],[Inversión publicidad]],0)</f>
        <v>0</v>
      </c>
      <c r="AB389" s="14"/>
      <c r="AC389" s="12"/>
      <c r="AI38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8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89" s="12">
        <f ca="1">SUMIFS(TableDailySummary[Utilidad bruta],TableDailySummary[Fecha],"&gt;="&amp;TableWeeklySummary[[#This Row],[Desde]],TableDailySummary[Fecha],"&lt;="&amp;TableWeeklySummary[[#This Row],[Hasta]])</f>
        <v>0</v>
      </c>
      <c r="AL389" s="18">
        <f ca="1">IFERROR(TableWeeklySummary[[#This Row],[Utilidad bruta]]/TableWeeklySummary[[#This Row],[Ventas netas con costo registrado]],0)</f>
        <v>0</v>
      </c>
    </row>
    <row r="390" spans="2:38" x14ac:dyDescent="0.2">
      <c r="B390" s="16">
        <f ca="1">_xlfn.ISOWEEKNUM(TableWeeklySummary[[#This Row],[Hasta]])</f>
        <v>10</v>
      </c>
      <c r="C390" s="6">
        <f t="shared" ca="1" si="8"/>
        <v>48642</v>
      </c>
      <c r="D390" s="6">
        <f ca="1">TableWeeklySummary[[#This Row],[Desde]]+7-1</f>
        <v>48648</v>
      </c>
      <c r="E390" s="12">
        <f ca="1">SUMIFS(TableDailySummary[Ventas netas totales],TableDailySummary[Fecha],"&gt;="&amp;TableWeeklySummary[[#This Row],[Desde]],TableDailySummary[Fecha],"&lt;="&amp;TableWeeklySummary[[#This Row],[Hasta]])</f>
        <v>0</v>
      </c>
      <c r="F390" s="12">
        <f ca="1">SUMIFS(TableDailySummary[Órdenes totales],TableDailySummary[Fecha],"&gt;="&amp;TableWeeklySummary[[#This Row],[Desde]],TableDailySummary[Fecha],"&lt;="&amp;TableWeeklySummary[[#This Row],[Hasta]])</f>
        <v>0</v>
      </c>
      <c r="G390" s="12">
        <f ca="1">IFERROR(TableWeeklySummary[[#This Row],[Ventas netas totales]]/TableWeeklySummary[[#This Row],[Órdenes totales]],0)</f>
        <v>0</v>
      </c>
      <c r="H39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90" s="12">
        <f ca="1">TableWeeklySummary[[#This Row],[Órden promedio totales]]*TableWeeklySummary[[#This Row],[CR totales]]</f>
        <v>0</v>
      </c>
      <c r="J390" s="12">
        <f ca="1">SUMIFS(TableDailySummary[Ventas primer cliente],TableDailySummary[Fecha],"&gt;="&amp;TableWeeklySummary[[#This Row],[Desde]],TableDailySummary[Fecha],"&lt;="&amp;TableWeeklySummary[[#This Row],[Hasta]])</f>
        <v>0</v>
      </c>
      <c r="K390" s="12">
        <f ca="1">SUMIFS(TableDailySummary[Órdenes primer cliente],TableDailySummary[Fecha],"&gt;="&amp;TableWeeklySummary[[#This Row],[Desde]],TableDailySummary[Fecha],"&lt;="&amp;TableWeeklySummary[[#This Row],[Hasta]])</f>
        <v>0</v>
      </c>
      <c r="L390" s="12">
        <f ca="1">SUMIFS(TableDailySummary[Online Store_net_sales],TableDailySummary[Fecha],"&gt;="&amp;TableWeeklySummary[[#This Row],[Desde]],TableDailySummary[Fecha],"&lt;="&amp;TableWeeklySummary[[#This Row],[Hasta]])</f>
        <v>0</v>
      </c>
      <c r="M390" s="12">
        <f ca="1">SUMIFS(TableDailySummary[Online Store_orders],TableDailySummary[Fecha],"&gt;="&amp;TableWeeklySummary[[#This Row],[Desde]],TableDailySummary[Fecha],"&lt;="&amp;TableWeeklySummary[[#This Row],[Hasta]])</f>
        <v>0</v>
      </c>
      <c r="N390" s="12">
        <f ca="1">SUMIFS(TableDailySummary[Tienda 81_net_sales],TableDailySummary[Fecha],"&gt;="&amp;TableWeeklySummary[[#This Row],[Desde]],TableDailySummary[Fecha],"&lt;="&amp;TableWeeklySummary[[#This Row],[Hasta]])</f>
        <v>0</v>
      </c>
      <c r="O390" s="12">
        <f ca="1">SUMIFS(TableDailySummary[Tienda 81_orders],TableDailySummary[Fecha],"&gt;="&amp;TableWeeklySummary[[#This Row],[Desde]],TableDailySummary[Fecha],"&lt;="&amp;TableWeeklySummary[[#This Row],[Hasta]])</f>
        <v>0</v>
      </c>
      <c r="P390" s="12">
        <f ca="1">SUMIFS(TableDailySummary[Rappi_net_sales],TableDailySummary[Fecha],"&gt;="&amp;TableWeeklySummary[[#This Row],[Desde]],TableDailySummary[Fecha],"&lt;="&amp;TableWeeklySummary[[#This Row],[Hasta]])</f>
        <v>0</v>
      </c>
      <c r="Q390" s="12">
        <f ca="1">SUMIFS(TableDailySummary[Rappi_orders],TableDailySummary[Fecha],"&gt;="&amp;TableWeeklySummary[[#This Row],[Desde]],TableDailySummary[Fecha],"&lt;="&amp;TableWeeklySummary[[#This Row],[Hasta]])</f>
        <v>0</v>
      </c>
      <c r="R39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9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90" s="12">
        <f ca="1">SUMIFS(TableDailySummary[Inversión google ads],TableDailySummary[Fecha],"&gt;="&amp;TableWeeklySummary[[#This Row],[Desde]],TableDailySummary[Fecha],"&lt;="&amp;TableWeeklySummary[[#This Row],[Hasta]])</f>
        <v>0</v>
      </c>
      <c r="U390" s="12">
        <f ca="1">SUMIFS(TableDailySummary[Ventas google ads],TableDailySummary[Fecha],"&gt;="&amp;TableWeeklySummary[[#This Row],[Desde]],TableDailySummary[Fecha],"&lt;="&amp;TableWeeklySummary[[#This Row],[Hasta]])</f>
        <v>0</v>
      </c>
      <c r="V390" s="12">
        <f ca="1">SUMIFS(TableDailySummary[Inversión meta ads],TableDailySummary[Fecha],"&gt;="&amp;TableWeeklySummary[[#This Row],[Desde]],TableDailySummary[Fecha],"&lt;="&amp;TableWeeklySummary[[#This Row],[Hasta]])</f>
        <v>0</v>
      </c>
      <c r="W390" s="12">
        <f ca="1">SUMIFS(TableDailySummary[Ventas meta ads],TableDailySummary[Fecha],"&gt;="&amp;TableWeeklySummary[[#This Row],[Desde]],TableDailySummary[Fecha],"&lt;="&amp;TableWeeklySummary[[#This Row],[Hasta]])</f>
        <v>0</v>
      </c>
      <c r="X390" s="12">
        <f ca="1">TableWeeklySummary[[#This Row],[Inversión google ads]]+TableWeeklySummary[[#This Row],[Inversión meta ads]]</f>
        <v>0</v>
      </c>
      <c r="Y390" s="12">
        <f ca="1">TableWeeklySummary[[#This Row],[Ventas google ads]]+TableWeeklySummary[[#This Row],[Ventas meta ads]]</f>
        <v>0</v>
      </c>
      <c r="Z390" s="14">
        <f ca="1">IFERROR(TableWeeklySummary[[#This Row],[Ventas publicidad]]/TableWeeklySummary[[#This Row],[Inversión publicidad]],0)</f>
        <v>0</v>
      </c>
      <c r="AA390" s="14">
        <f ca="1">IFERROR(TableWeeklySummary[[#This Row],[Ventas primer cliente]]/TableWeeklySummary[[#This Row],[Inversión publicidad]],0)</f>
        <v>0</v>
      </c>
      <c r="AB390" s="14"/>
      <c r="AC390" s="12"/>
      <c r="AI39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9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90" s="12">
        <f ca="1">SUMIFS(TableDailySummary[Utilidad bruta],TableDailySummary[Fecha],"&gt;="&amp;TableWeeklySummary[[#This Row],[Desde]],TableDailySummary[Fecha],"&lt;="&amp;TableWeeklySummary[[#This Row],[Hasta]])</f>
        <v>0</v>
      </c>
      <c r="AL390" s="18">
        <f ca="1">IFERROR(TableWeeklySummary[[#This Row],[Utilidad bruta]]/TableWeeklySummary[[#This Row],[Ventas netas con costo registrado]],0)</f>
        <v>0</v>
      </c>
    </row>
    <row r="391" spans="2:38" x14ac:dyDescent="0.2">
      <c r="B391" s="16">
        <f ca="1">_xlfn.ISOWEEKNUM(TableWeeklySummary[[#This Row],[Hasta]])</f>
        <v>11</v>
      </c>
      <c r="C391" s="6">
        <f t="shared" ca="1" si="8"/>
        <v>48649</v>
      </c>
      <c r="D391" s="6">
        <f ca="1">TableWeeklySummary[[#This Row],[Desde]]+7-1</f>
        <v>48655</v>
      </c>
      <c r="E391" s="12">
        <f ca="1">SUMIFS(TableDailySummary[Ventas netas totales],TableDailySummary[Fecha],"&gt;="&amp;TableWeeklySummary[[#This Row],[Desde]],TableDailySummary[Fecha],"&lt;="&amp;TableWeeklySummary[[#This Row],[Hasta]])</f>
        <v>0</v>
      </c>
      <c r="F391" s="12">
        <f ca="1">SUMIFS(TableDailySummary[Órdenes totales],TableDailySummary[Fecha],"&gt;="&amp;TableWeeklySummary[[#This Row],[Desde]],TableDailySummary[Fecha],"&lt;="&amp;TableWeeklySummary[[#This Row],[Hasta]])</f>
        <v>0</v>
      </c>
      <c r="G391" s="12">
        <f ca="1">IFERROR(TableWeeklySummary[[#This Row],[Ventas netas totales]]/TableWeeklySummary[[#This Row],[Órdenes totales]],0)</f>
        <v>0</v>
      </c>
      <c r="H39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91" s="12">
        <f ca="1">TableWeeklySummary[[#This Row],[Órden promedio totales]]*TableWeeklySummary[[#This Row],[CR totales]]</f>
        <v>0</v>
      </c>
      <c r="J391" s="12">
        <f ca="1">SUMIFS(TableDailySummary[Ventas primer cliente],TableDailySummary[Fecha],"&gt;="&amp;TableWeeklySummary[[#This Row],[Desde]],TableDailySummary[Fecha],"&lt;="&amp;TableWeeklySummary[[#This Row],[Hasta]])</f>
        <v>0</v>
      </c>
      <c r="K391" s="12">
        <f ca="1">SUMIFS(TableDailySummary[Órdenes primer cliente],TableDailySummary[Fecha],"&gt;="&amp;TableWeeklySummary[[#This Row],[Desde]],TableDailySummary[Fecha],"&lt;="&amp;TableWeeklySummary[[#This Row],[Hasta]])</f>
        <v>0</v>
      </c>
      <c r="L391" s="12">
        <f ca="1">SUMIFS(TableDailySummary[Online Store_net_sales],TableDailySummary[Fecha],"&gt;="&amp;TableWeeklySummary[[#This Row],[Desde]],TableDailySummary[Fecha],"&lt;="&amp;TableWeeklySummary[[#This Row],[Hasta]])</f>
        <v>0</v>
      </c>
      <c r="M391" s="12">
        <f ca="1">SUMIFS(TableDailySummary[Online Store_orders],TableDailySummary[Fecha],"&gt;="&amp;TableWeeklySummary[[#This Row],[Desde]],TableDailySummary[Fecha],"&lt;="&amp;TableWeeklySummary[[#This Row],[Hasta]])</f>
        <v>0</v>
      </c>
      <c r="N391" s="12">
        <f ca="1">SUMIFS(TableDailySummary[Tienda 81_net_sales],TableDailySummary[Fecha],"&gt;="&amp;TableWeeklySummary[[#This Row],[Desde]],TableDailySummary[Fecha],"&lt;="&amp;TableWeeklySummary[[#This Row],[Hasta]])</f>
        <v>0</v>
      </c>
      <c r="O391" s="12">
        <f ca="1">SUMIFS(TableDailySummary[Tienda 81_orders],TableDailySummary[Fecha],"&gt;="&amp;TableWeeklySummary[[#This Row],[Desde]],TableDailySummary[Fecha],"&lt;="&amp;TableWeeklySummary[[#This Row],[Hasta]])</f>
        <v>0</v>
      </c>
      <c r="P391" s="12">
        <f ca="1">SUMIFS(TableDailySummary[Rappi_net_sales],TableDailySummary[Fecha],"&gt;="&amp;TableWeeklySummary[[#This Row],[Desde]],TableDailySummary[Fecha],"&lt;="&amp;TableWeeklySummary[[#This Row],[Hasta]])</f>
        <v>0</v>
      </c>
      <c r="Q391" s="12">
        <f ca="1">SUMIFS(TableDailySummary[Rappi_orders],TableDailySummary[Fecha],"&gt;="&amp;TableWeeklySummary[[#This Row],[Desde]],TableDailySummary[Fecha],"&lt;="&amp;TableWeeklySummary[[#This Row],[Hasta]])</f>
        <v>0</v>
      </c>
      <c r="R39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9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91" s="12">
        <f ca="1">SUMIFS(TableDailySummary[Inversión google ads],TableDailySummary[Fecha],"&gt;="&amp;TableWeeklySummary[[#This Row],[Desde]],TableDailySummary[Fecha],"&lt;="&amp;TableWeeklySummary[[#This Row],[Hasta]])</f>
        <v>0</v>
      </c>
      <c r="U391" s="12">
        <f ca="1">SUMIFS(TableDailySummary[Ventas google ads],TableDailySummary[Fecha],"&gt;="&amp;TableWeeklySummary[[#This Row],[Desde]],TableDailySummary[Fecha],"&lt;="&amp;TableWeeklySummary[[#This Row],[Hasta]])</f>
        <v>0</v>
      </c>
      <c r="V391" s="12">
        <f ca="1">SUMIFS(TableDailySummary[Inversión meta ads],TableDailySummary[Fecha],"&gt;="&amp;TableWeeklySummary[[#This Row],[Desde]],TableDailySummary[Fecha],"&lt;="&amp;TableWeeklySummary[[#This Row],[Hasta]])</f>
        <v>0</v>
      </c>
      <c r="W391" s="12">
        <f ca="1">SUMIFS(TableDailySummary[Ventas meta ads],TableDailySummary[Fecha],"&gt;="&amp;TableWeeklySummary[[#This Row],[Desde]],TableDailySummary[Fecha],"&lt;="&amp;TableWeeklySummary[[#This Row],[Hasta]])</f>
        <v>0</v>
      </c>
      <c r="X391" s="12">
        <f ca="1">TableWeeklySummary[[#This Row],[Inversión google ads]]+TableWeeklySummary[[#This Row],[Inversión meta ads]]</f>
        <v>0</v>
      </c>
      <c r="Y391" s="12">
        <f ca="1">TableWeeklySummary[[#This Row],[Ventas google ads]]+TableWeeklySummary[[#This Row],[Ventas meta ads]]</f>
        <v>0</v>
      </c>
      <c r="Z391" s="14">
        <f ca="1">IFERROR(TableWeeklySummary[[#This Row],[Ventas publicidad]]/TableWeeklySummary[[#This Row],[Inversión publicidad]],0)</f>
        <v>0</v>
      </c>
      <c r="AA391" s="14">
        <f ca="1">IFERROR(TableWeeklySummary[[#This Row],[Ventas primer cliente]]/TableWeeklySummary[[#This Row],[Inversión publicidad]],0)</f>
        <v>0</v>
      </c>
      <c r="AB391" s="14"/>
      <c r="AC391" s="12"/>
      <c r="AI39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9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91" s="12">
        <f ca="1">SUMIFS(TableDailySummary[Utilidad bruta],TableDailySummary[Fecha],"&gt;="&amp;TableWeeklySummary[[#This Row],[Desde]],TableDailySummary[Fecha],"&lt;="&amp;TableWeeklySummary[[#This Row],[Hasta]])</f>
        <v>0</v>
      </c>
      <c r="AL391" s="18">
        <f ca="1">IFERROR(TableWeeklySummary[[#This Row],[Utilidad bruta]]/TableWeeklySummary[[#This Row],[Ventas netas con costo registrado]],0)</f>
        <v>0</v>
      </c>
    </row>
    <row r="392" spans="2:38" x14ac:dyDescent="0.2">
      <c r="B392" s="16">
        <f ca="1">_xlfn.ISOWEEKNUM(TableWeeklySummary[[#This Row],[Hasta]])</f>
        <v>12</v>
      </c>
      <c r="C392" s="6">
        <f t="shared" ca="1" si="8"/>
        <v>48656</v>
      </c>
      <c r="D392" s="6">
        <f ca="1">TableWeeklySummary[[#This Row],[Desde]]+7-1</f>
        <v>48662</v>
      </c>
      <c r="E392" s="12">
        <f ca="1">SUMIFS(TableDailySummary[Ventas netas totales],TableDailySummary[Fecha],"&gt;="&amp;TableWeeklySummary[[#This Row],[Desde]],TableDailySummary[Fecha],"&lt;="&amp;TableWeeklySummary[[#This Row],[Hasta]])</f>
        <v>0</v>
      </c>
      <c r="F392" s="12">
        <f ca="1">SUMIFS(TableDailySummary[Órdenes totales],TableDailySummary[Fecha],"&gt;="&amp;TableWeeklySummary[[#This Row],[Desde]],TableDailySummary[Fecha],"&lt;="&amp;TableWeeklySummary[[#This Row],[Hasta]])</f>
        <v>0</v>
      </c>
      <c r="G392" s="12">
        <f ca="1">IFERROR(TableWeeklySummary[[#This Row],[Ventas netas totales]]/TableWeeklySummary[[#This Row],[Órdenes totales]],0)</f>
        <v>0</v>
      </c>
      <c r="H39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92" s="12">
        <f ca="1">TableWeeklySummary[[#This Row],[Órden promedio totales]]*TableWeeklySummary[[#This Row],[CR totales]]</f>
        <v>0</v>
      </c>
      <c r="J392" s="12">
        <f ca="1">SUMIFS(TableDailySummary[Ventas primer cliente],TableDailySummary[Fecha],"&gt;="&amp;TableWeeklySummary[[#This Row],[Desde]],TableDailySummary[Fecha],"&lt;="&amp;TableWeeklySummary[[#This Row],[Hasta]])</f>
        <v>0</v>
      </c>
      <c r="K392" s="12">
        <f ca="1">SUMIFS(TableDailySummary[Órdenes primer cliente],TableDailySummary[Fecha],"&gt;="&amp;TableWeeklySummary[[#This Row],[Desde]],TableDailySummary[Fecha],"&lt;="&amp;TableWeeklySummary[[#This Row],[Hasta]])</f>
        <v>0</v>
      </c>
      <c r="L392" s="12">
        <f ca="1">SUMIFS(TableDailySummary[Online Store_net_sales],TableDailySummary[Fecha],"&gt;="&amp;TableWeeklySummary[[#This Row],[Desde]],TableDailySummary[Fecha],"&lt;="&amp;TableWeeklySummary[[#This Row],[Hasta]])</f>
        <v>0</v>
      </c>
      <c r="M392" s="12">
        <f ca="1">SUMIFS(TableDailySummary[Online Store_orders],TableDailySummary[Fecha],"&gt;="&amp;TableWeeklySummary[[#This Row],[Desde]],TableDailySummary[Fecha],"&lt;="&amp;TableWeeklySummary[[#This Row],[Hasta]])</f>
        <v>0</v>
      </c>
      <c r="N392" s="12">
        <f ca="1">SUMIFS(TableDailySummary[Tienda 81_net_sales],TableDailySummary[Fecha],"&gt;="&amp;TableWeeklySummary[[#This Row],[Desde]],TableDailySummary[Fecha],"&lt;="&amp;TableWeeklySummary[[#This Row],[Hasta]])</f>
        <v>0</v>
      </c>
      <c r="O392" s="12">
        <f ca="1">SUMIFS(TableDailySummary[Tienda 81_orders],TableDailySummary[Fecha],"&gt;="&amp;TableWeeklySummary[[#This Row],[Desde]],TableDailySummary[Fecha],"&lt;="&amp;TableWeeklySummary[[#This Row],[Hasta]])</f>
        <v>0</v>
      </c>
      <c r="P392" s="12">
        <f ca="1">SUMIFS(TableDailySummary[Rappi_net_sales],TableDailySummary[Fecha],"&gt;="&amp;TableWeeklySummary[[#This Row],[Desde]],TableDailySummary[Fecha],"&lt;="&amp;TableWeeklySummary[[#This Row],[Hasta]])</f>
        <v>0</v>
      </c>
      <c r="Q392" s="12">
        <f ca="1">SUMIFS(TableDailySummary[Rappi_orders],TableDailySummary[Fecha],"&gt;="&amp;TableWeeklySummary[[#This Row],[Desde]],TableDailySummary[Fecha],"&lt;="&amp;TableWeeklySummary[[#This Row],[Hasta]])</f>
        <v>0</v>
      </c>
      <c r="R39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9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92" s="12">
        <f ca="1">SUMIFS(TableDailySummary[Inversión google ads],TableDailySummary[Fecha],"&gt;="&amp;TableWeeklySummary[[#This Row],[Desde]],TableDailySummary[Fecha],"&lt;="&amp;TableWeeklySummary[[#This Row],[Hasta]])</f>
        <v>0</v>
      </c>
      <c r="U392" s="12">
        <f ca="1">SUMIFS(TableDailySummary[Ventas google ads],TableDailySummary[Fecha],"&gt;="&amp;TableWeeklySummary[[#This Row],[Desde]],TableDailySummary[Fecha],"&lt;="&amp;TableWeeklySummary[[#This Row],[Hasta]])</f>
        <v>0</v>
      </c>
      <c r="V392" s="12">
        <f ca="1">SUMIFS(TableDailySummary[Inversión meta ads],TableDailySummary[Fecha],"&gt;="&amp;TableWeeklySummary[[#This Row],[Desde]],TableDailySummary[Fecha],"&lt;="&amp;TableWeeklySummary[[#This Row],[Hasta]])</f>
        <v>0</v>
      </c>
      <c r="W392" s="12">
        <f ca="1">SUMIFS(TableDailySummary[Ventas meta ads],TableDailySummary[Fecha],"&gt;="&amp;TableWeeklySummary[[#This Row],[Desde]],TableDailySummary[Fecha],"&lt;="&amp;TableWeeklySummary[[#This Row],[Hasta]])</f>
        <v>0</v>
      </c>
      <c r="X392" s="12">
        <f ca="1">TableWeeklySummary[[#This Row],[Inversión google ads]]+TableWeeklySummary[[#This Row],[Inversión meta ads]]</f>
        <v>0</v>
      </c>
      <c r="Y392" s="12">
        <f ca="1">TableWeeklySummary[[#This Row],[Ventas google ads]]+TableWeeklySummary[[#This Row],[Ventas meta ads]]</f>
        <v>0</v>
      </c>
      <c r="Z392" s="14">
        <f ca="1">IFERROR(TableWeeklySummary[[#This Row],[Ventas publicidad]]/TableWeeklySummary[[#This Row],[Inversión publicidad]],0)</f>
        <v>0</v>
      </c>
      <c r="AA392" s="14">
        <f ca="1">IFERROR(TableWeeklySummary[[#This Row],[Ventas primer cliente]]/TableWeeklySummary[[#This Row],[Inversión publicidad]],0)</f>
        <v>0</v>
      </c>
      <c r="AB392" s="14"/>
      <c r="AC392" s="12"/>
      <c r="AI39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9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92" s="12">
        <f ca="1">SUMIFS(TableDailySummary[Utilidad bruta],TableDailySummary[Fecha],"&gt;="&amp;TableWeeklySummary[[#This Row],[Desde]],TableDailySummary[Fecha],"&lt;="&amp;TableWeeklySummary[[#This Row],[Hasta]])</f>
        <v>0</v>
      </c>
      <c r="AL392" s="18">
        <f ca="1">IFERROR(TableWeeklySummary[[#This Row],[Utilidad bruta]]/TableWeeklySummary[[#This Row],[Ventas netas con costo registrado]],0)</f>
        <v>0</v>
      </c>
    </row>
    <row r="393" spans="2:38" x14ac:dyDescent="0.2">
      <c r="B393" s="16">
        <f ca="1">_xlfn.ISOWEEKNUM(TableWeeklySummary[[#This Row],[Hasta]])</f>
        <v>13</v>
      </c>
      <c r="C393" s="6">
        <f t="shared" ca="1" si="8"/>
        <v>48663</v>
      </c>
      <c r="D393" s="6">
        <f ca="1">TableWeeklySummary[[#This Row],[Desde]]+7-1</f>
        <v>48669</v>
      </c>
      <c r="E393" s="12">
        <f ca="1">SUMIFS(TableDailySummary[Ventas netas totales],TableDailySummary[Fecha],"&gt;="&amp;TableWeeklySummary[[#This Row],[Desde]],TableDailySummary[Fecha],"&lt;="&amp;TableWeeklySummary[[#This Row],[Hasta]])</f>
        <v>0</v>
      </c>
      <c r="F393" s="12">
        <f ca="1">SUMIFS(TableDailySummary[Órdenes totales],TableDailySummary[Fecha],"&gt;="&amp;TableWeeklySummary[[#This Row],[Desde]],TableDailySummary[Fecha],"&lt;="&amp;TableWeeklySummary[[#This Row],[Hasta]])</f>
        <v>0</v>
      </c>
      <c r="G393" s="12">
        <f ca="1">IFERROR(TableWeeklySummary[[#This Row],[Ventas netas totales]]/TableWeeklySummary[[#This Row],[Órdenes totales]],0)</f>
        <v>0</v>
      </c>
      <c r="H39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93" s="12">
        <f ca="1">TableWeeklySummary[[#This Row],[Órden promedio totales]]*TableWeeklySummary[[#This Row],[CR totales]]</f>
        <v>0</v>
      </c>
      <c r="J393" s="12">
        <f ca="1">SUMIFS(TableDailySummary[Ventas primer cliente],TableDailySummary[Fecha],"&gt;="&amp;TableWeeklySummary[[#This Row],[Desde]],TableDailySummary[Fecha],"&lt;="&amp;TableWeeklySummary[[#This Row],[Hasta]])</f>
        <v>0</v>
      </c>
      <c r="K393" s="12">
        <f ca="1">SUMIFS(TableDailySummary[Órdenes primer cliente],TableDailySummary[Fecha],"&gt;="&amp;TableWeeklySummary[[#This Row],[Desde]],TableDailySummary[Fecha],"&lt;="&amp;TableWeeklySummary[[#This Row],[Hasta]])</f>
        <v>0</v>
      </c>
      <c r="L393" s="12">
        <f ca="1">SUMIFS(TableDailySummary[Online Store_net_sales],TableDailySummary[Fecha],"&gt;="&amp;TableWeeklySummary[[#This Row],[Desde]],TableDailySummary[Fecha],"&lt;="&amp;TableWeeklySummary[[#This Row],[Hasta]])</f>
        <v>0</v>
      </c>
      <c r="M393" s="12">
        <f ca="1">SUMIFS(TableDailySummary[Online Store_orders],TableDailySummary[Fecha],"&gt;="&amp;TableWeeklySummary[[#This Row],[Desde]],TableDailySummary[Fecha],"&lt;="&amp;TableWeeklySummary[[#This Row],[Hasta]])</f>
        <v>0</v>
      </c>
      <c r="N393" s="12">
        <f ca="1">SUMIFS(TableDailySummary[Tienda 81_net_sales],TableDailySummary[Fecha],"&gt;="&amp;TableWeeklySummary[[#This Row],[Desde]],TableDailySummary[Fecha],"&lt;="&amp;TableWeeklySummary[[#This Row],[Hasta]])</f>
        <v>0</v>
      </c>
      <c r="O393" s="12">
        <f ca="1">SUMIFS(TableDailySummary[Tienda 81_orders],TableDailySummary[Fecha],"&gt;="&amp;TableWeeklySummary[[#This Row],[Desde]],TableDailySummary[Fecha],"&lt;="&amp;TableWeeklySummary[[#This Row],[Hasta]])</f>
        <v>0</v>
      </c>
      <c r="P393" s="12">
        <f ca="1">SUMIFS(TableDailySummary[Rappi_net_sales],TableDailySummary[Fecha],"&gt;="&amp;TableWeeklySummary[[#This Row],[Desde]],TableDailySummary[Fecha],"&lt;="&amp;TableWeeklySummary[[#This Row],[Hasta]])</f>
        <v>0</v>
      </c>
      <c r="Q393" s="12">
        <f ca="1">SUMIFS(TableDailySummary[Rappi_orders],TableDailySummary[Fecha],"&gt;="&amp;TableWeeklySummary[[#This Row],[Desde]],TableDailySummary[Fecha],"&lt;="&amp;TableWeeklySummary[[#This Row],[Hasta]])</f>
        <v>0</v>
      </c>
      <c r="R39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9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93" s="12">
        <f ca="1">SUMIFS(TableDailySummary[Inversión google ads],TableDailySummary[Fecha],"&gt;="&amp;TableWeeklySummary[[#This Row],[Desde]],TableDailySummary[Fecha],"&lt;="&amp;TableWeeklySummary[[#This Row],[Hasta]])</f>
        <v>0</v>
      </c>
      <c r="U393" s="12">
        <f ca="1">SUMIFS(TableDailySummary[Ventas google ads],TableDailySummary[Fecha],"&gt;="&amp;TableWeeklySummary[[#This Row],[Desde]],TableDailySummary[Fecha],"&lt;="&amp;TableWeeklySummary[[#This Row],[Hasta]])</f>
        <v>0</v>
      </c>
      <c r="V393" s="12">
        <f ca="1">SUMIFS(TableDailySummary[Inversión meta ads],TableDailySummary[Fecha],"&gt;="&amp;TableWeeklySummary[[#This Row],[Desde]],TableDailySummary[Fecha],"&lt;="&amp;TableWeeklySummary[[#This Row],[Hasta]])</f>
        <v>0</v>
      </c>
      <c r="W393" s="12">
        <f ca="1">SUMIFS(TableDailySummary[Ventas meta ads],TableDailySummary[Fecha],"&gt;="&amp;TableWeeklySummary[[#This Row],[Desde]],TableDailySummary[Fecha],"&lt;="&amp;TableWeeklySummary[[#This Row],[Hasta]])</f>
        <v>0</v>
      </c>
      <c r="X393" s="12">
        <f ca="1">TableWeeklySummary[[#This Row],[Inversión google ads]]+TableWeeklySummary[[#This Row],[Inversión meta ads]]</f>
        <v>0</v>
      </c>
      <c r="Y393" s="12">
        <f ca="1">TableWeeklySummary[[#This Row],[Ventas google ads]]+TableWeeklySummary[[#This Row],[Ventas meta ads]]</f>
        <v>0</v>
      </c>
      <c r="Z393" s="14">
        <f ca="1">IFERROR(TableWeeklySummary[[#This Row],[Ventas publicidad]]/TableWeeklySummary[[#This Row],[Inversión publicidad]],0)</f>
        <v>0</v>
      </c>
      <c r="AA393" s="14">
        <f ca="1">IFERROR(TableWeeklySummary[[#This Row],[Ventas primer cliente]]/TableWeeklySummary[[#This Row],[Inversión publicidad]],0)</f>
        <v>0</v>
      </c>
      <c r="AB393" s="14"/>
      <c r="AC393" s="12"/>
      <c r="AI39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9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93" s="12">
        <f ca="1">SUMIFS(TableDailySummary[Utilidad bruta],TableDailySummary[Fecha],"&gt;="&amp;TableWeeklySummary[[#This Row],[Desde]],TableDailySummary[Fecha],"&lt;="&amp;TableWeeklySummary[[#This Row],[Hasta]])</f>
        <v>0</v>
      </c>
      <c r="AL393" s="18">
        <f ca="1">IFERROR(TableWeeklySummary[[#This Row],[Utilidad bruta]]/TableWeeklySummary[[#This Row],[Ventas netas con costo registrado]],0)</f>
        <v>0</v>
      </c>
    </row>
    <row r="394" spans="2:38" x14ac:dyDescent="0.2">
      <c r="B394" s="16">
        <f ca="1">_xlfn.ISOWEEKNUM(TableWeeklySummary[[#This Row],[Hasta]])</f>
        <v>14</v>
      </c>
      <c r="C394" s="6">
        <f t="shared" ca="1" si="8"/>
        <v>48670</v>
      </c>
      <c r="D394" s="6">
        <f ca="1">TableWeeklySummary[[#This Row],[Desde]]+7-1</f>
        <v>48676</v>
      </c>
      <c r="E394" s="12">
        <f ca="1">SUMIFS(TableDailySummary[Ventas netas totales],TableDailySummary[Fecha],"&gt;="&amp;TableWeeklySummary[[#This Row],[Desde]],TableDailySummary[Fecha],"&lt;="&amp;TableWeeklySummary[[#This Row],[Hasta]])</f>
        <v>0</v>
      </c>
      <c r="F394" s="12">
        <f ca="1">SUMIFS(TableDailySummary[Órdenes totales],TableDailySummary[Fecha],"&gt;="&amp;TableWeeklySummary[[#This Row],[Desde]],TableDailySummary[Fecha],"&lt;="&amp;TableWeeklySummary[[#This Row],[Hasta]])</f>
        <v>0</v>
      </c>
      <c r="G394" s="12">
        <f ca="1">IFERROR(TableWeeklySummary[[#This Row],[Ventas netas totales]]/TableWeeklySummary[[#This Row],[Órdenes totales]],0)</f>
        <v>0</v>
      </c>
      <c r="H39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94" s="12">
        <f ca="1">TableWeeklySummary[[#This Row],[Órden promedio totales]]*TableWeeklySummary[[#This Row],[CR totales]]</f>
        <v>0</v>
      </c>
      <c r="J394" s="12">
        <f ca="1">SUMIFS(TableDailySummary[Ventas primer cliente],TableDailySummary[Fecha],"&gt;="&amp;TableWeeklySummary[[#This Row],[Desde]],TableDailySummary[Fecha],"&lt;="&amp;TableWeeklySummary[[#This Row],[Hasta]])</f>
        <v>0</v>
      </c>
      <c r="K394" s="12">
        <f ca="1">SUMIFS(TableDailySummary[Órdenes primer cliente],TableDailySummary[Fecha],"&gt;="&amp;TableWeeklySummary[[#This Row],[Desde]],TableDailySummary[Fecha],"&lt;="&amp;TableWeeklySummary[[#This Row],[Hasta]])</f>
        <v>0</v>
      </c>
      <c r="L394" s="12">
        <f ca="1">SUMIFS(TableDailySummary[Online Store_net_sales],TableDailySummary[Fecha],"&gt;="&amp;TableWeeklySummary[[#This Row],[Desde]],TableDailySummary[Fecha],"&lt;="&amp;TableWeeklySummary[[#This Row],[Hasta]])</f>
        <v>0</v>
      </c>
      <c r="M394" s="12">
        <f ca="1">SUMIFS(TableDailySummary[Online Store_orders],TableDailySummary[Fecha],"&gt;="&amp;TableWeeklySummary[[#This Row],[Desde]],TableDailySummary[Fecha],"&lt;="&amp;TableWeeklySummary[[#This Row],[Hasta]])</f>
        <v>0</v>
      </c>
      <c r="N394" s="12">
        <f ca="1">SUMIFS(TableDailySummary[Tienda 81_net_sales],TableDailySummary[Fecha],"&gt;="&amp;TableWeeklySummary[[#This Row],[Desde]],TableDailySummary[Fecha],"&lt;="&amp;TableWeeklySummary[[#This Row],[Hasta]])</f>
        <v>0</v>
      </c>
      <c r="O394" s="12">
        <f ca="1">SUMIFS(TableDailySummary[Tienda 81_orders],TableDailySummary[Fecha],"&gt;="&amp;TableWeeklySummary[[#This Row],[Desde]],TableDailySummary[Fecha],"&lt;="&amp;TableWeeklySummary[[#This Row],[Hasta]])</f>
        <v>0</v>
      </c>
      <c r="P394" s="12">
        <f ca="1">SUMIFS(TableDailySummary[Rappi_net_sales],TableDailySummary[Fecha],"&gt;="&amp;TableWeeklySummary[[#This Row],[Desde]],TableDailySummary[Fecha],"&lt;="&amp;TableWeeklySummary[[#This Row],[Hasta]])</f>
        <v>0</v>
      </c>
      <c r="Q394" s="12">
        <f ca="1">SUMIFS(TableDailySummary[Rappi_orders],TableDailySummary[Fecha],"&gt;="&amp;TableWeeklySummary[[#This Row],[Desde]],TableDailySummary[Fecha],"&lt;="&amp;TableWeeklySummary[[#This Row],[Hasta]])</f>
        <v>0</v>
      </c>
      <c r="R39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9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94" s="12">
        <f ca="1">SUMIFS(TableDailySummary[Inversión google ads],TableDailySummary[Fecha],"&gt;="&amp;TableWeeklySummary[[#This Row],[Desde]],TableDailySummary[Fecha],"&lt;="&amp;TableWeeklySummary[[#This Row],[Hasta]])</f>
        <v>0</v>
      </c>
      <c r="U394" s="12">
        <f ca="1">SUMIFS(TableDailySummary[Ventas google ads],TableDailySummary[Fecha],"&gt;="&amp;TableWeeklySummary[[#This Row],[Desde]],TableDailySummary[Fecha],"&lt;="&amp;TableWeeklySummary[[#This Row],[Hasta]])</f>
        <v>0</v>
      </c>
      <c r="V394" s="12">
        <f ca="1">SUMIFS(TableDailySummary[Inversión meta ads],TableDailySummary[Fecha],"&gt;="&amp;TableWeeklySummary[[#This Row],[Desde]],TableDailySummary[Fecha],"&lt;="&amp;TableWeeklySummary[[#This Row],[Hasta]])</f>
        <v>0</v>
      </c>
      <c r="W394" s="12">
        <f ca="1">SUMIFS(TableDailySummary[Ventas meta ads],TableDailySummary[Fecha],"&gt;="&amp;TableWeeklySummary[[#This Row],[Desde]],TableDailySummary[Fecha],"&lt;="&amp;TableWeeklySummary[[#This Row],[Hasta]])</f>
        <v>0</v>
      </c>
      <c r="X394" s="12">
        <f ca="1">TableWeeklySummary[[#This Row],[Inversión google ads]]+TableWeeklySummary[[#This Row],[Inversión meta ads]]</f>
        <v>0</v>
      </c>
      <c r="Y394" s="12">
        <f ca="1">TableWeeklySummary[[#This Row],[Ventas google ads]]+TableWeeklySummary[[#This Row],[Ventas meta ads]]</f>
        <v>0</v>
      </c>
      <c r="Z394" s="14">
        <f ca="1">IFERROR(TableWeeklySummary[[#This Row],[Ventas publicidad]]/TableWeeklySummary[[#This Row],[Inversión publicidad]],0)</f>
        <v>0</v>
      </c>
      <c r="AA394" s="14">
        <f ca="1">IFERROR(TableWeeklySummary[[#This Row],[Ventas primer cliente]]/TableWeeklySummary[[#This Row],[Inversión publicidad]],0)</f>
        <v>0</v>
      </c>
      <c r="AB394" s="14"/>
      <c r="AC394" s="12"/>
      <c r="AI39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9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94" s="12">
        <f ca="1">SUMIFS(TableDailySummary[Utilidad bruta],TableDailySummary[Fecha],"&gt;="&amp;TableWeeklySummary[[#This Row],[Desde]],TableDailySummary[Fecha],"&lt;="&amp;TableWeeklySummary[[#This Row],[Hasta]])</f>
        <v>0</v>
      </c>
      <c r="AL394" s="18">
        <f ca="1">IFERROR(TableWeeklySummary[[#This Row],[Utilidad bruta]]/TableWeeklySummary[[#This Row],[Ventas netas con costo registrado]],0)</f>
        <v>0</v>
      </c>
    </row>
    <row r="395" spans="2:38" x14ac:dyDescent="0.2">
      <c r="B395" s="16">
        <f ca="1">_xlfn.ISOWEEKNUM(TableWeeklySummary[[#This Row],[Hasta]])</f>
        <v>15</v>
      </c>
      <c r="C395" s="6">
        <f t="shared" ca="1" si="8"/>
        <v>48677</v>
      </c>
      <c r="D395" s="6">
        <f ca="1">TableWeeklySummary[[#This Row],[Desde]]+7-1</f>
        <v>48683</v>
      </c>
      <c r="E395" s="12">
        <f ca="1">SUMIFS(TableDailySummary[Ventas netas totales],TableDailySummary[Fecha],"&gt;="&amp;TableWeeklySummary[[#This Row],[Desde]],TableDailySummary[Fecha],"&lt;="&amp;TableWeeklySummary[[#This Row],[Hasta]])</f>
        <v>0</v>
      </c>
      <c r="F395" s="12">
        <f ca="1">SUMIFS(TableDailySummary[Órdenes totales],TableDailySummary[Fecha],"&gt;="&amp;TableWeeklySummary[[#This Row],[Desde]],TableDailySummary[Fecha],"&lt;="&amp;TableWeeklySummary[[#This Row],[Hasta]])</f>
        <v>0</v>
      </c>
      <c r="G395" s="12">
        <f ca="1">IFERROR(TableWeeklySummary[[#This Row],[Ventas netas totales]]/TableWeeklySummary[[#This Row],[Órdenes totales]],0)</f>
        <v>0</v>
      </c>
      <c r="H39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95" s="12">
        <f ca="1">TableWeeklySummary[[#This Row],[Órden promedio totales]]*TableWeeklySummary[[#This Row],[CR totales]]</f>
        <v>0</v>
      </c>
      <c r="J395" s="12">
        <f ca="1">SUMIFS(TableDailySummary[Ventas primer cliente],TableDailySummary[Fecha],"&gt;="&amp;TableWeeklySummary[[#This Row],[Desde]],TableDailySummary[Fecha],"&lt;="&amp;TableWeeklySummary[[#This Row],[Hasta]])</f>
        <v>0</v>
      </c>
      <c r="K395" s="12">
        <f ca="1">SUMIFS(TableDailySummary[Órdenes primer cliente],TableDailySummary[Fecha],"&gt;="&amp;TableWeeklySummary[[#This Row],[Desde]],TableDailySummary[Fecha],"&lt;="&amp;TableWeeklySummary[[#This Row],[Hasta]])</f>
        <v>0</v>
      </c>
      <c r="L395" s="12">
        <f ca="1">SUMIFS(TableDailySummary[Online Store_net_sales],TableDailySummary[Fecha],"&gt;="&amp;TableWeeklySummary[[#This Row],[Desde]],TableDailySummary[Fecha],"&lt;="&amp;TableWeeklySummary[[#This Row],[Hasta]])</f>
        <v>0</v>
      </c>
      <c r="M395" s="12">
        <f ca="1">SUMIFS(TableDailySummary[Online Store_orders],TableDailySummary[Fecha],"&gt;="&amp;TableWeeklySummary[[#This Row],[Desde]],TableDailySummary[Fecha],"&lt;="&amp;TableWeeklySummary[[#This Row],[Hasta]])</f>
        <v>0</v>
      </c>
      <c r="N395" s="12">
        <f ca="1">SUMIFS(TableDailySummary[Tienda 81_net_sales],TableDailySummary[Fecha],"&gt;="&amp;TableWeeklySummary[[#This Row],[Desde]],TableDailySummary[Fecha],"&lt;="&amp;TableWeeklySummary[[#This Row],[Hasta]])</f>
        <v>0</v>
      </c>
      <c r="O395" s="12">
        <f ca="1">SUMIFS(TableDailySummary[Tienda 81_orders],TableDailySummary[Fecha],"&gt;="&amp;TableWeeklySummary[[#This Row],[Desde]],TableDailySummary[Fecha],"&lt;="&amp;TableWeeklySummary[[#This Row],[Hasta]])</f>
        <v>0</v>
      </c>
      <c r="P395" s="12">
        <f ca="1">SUMIFS(TableDailySummary[Rappi_net_sales],TableDailySummary[Fecha],"&gt;="&amp;TableWeeklySummary[[#This Row],[Desde]],TableDailySummary[Fecha],"&lt;="&amp;TableWeeklySummary[[#This Row],[Hasta]])</f>
        <v>0</v>
      </c>
      <c r="Q395" s="12">
        <f ca="1">SUMIFS(TableDailySummary[Rappi_orders],TableDailySummary[Fecha],"&gt;="&amp;TableWeeklySummary[[#This Row],[Desde]],TableDailySummary[Fecha],"&lt;="&amp;TableWeeklySummary[[#This Row],[Hasta]])</f>
        <v>0</v>
      </c>
      <c r="R39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9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95" s="12">
        <f ca="1">SUMIFS(TableDailySummary[Inversión google ads],TableDailySummary[Fecha],"&gt;="&amp;TableWeeklySummary[[#This Row],[Desde]],TableDailySummary[Fecha],"&lt;="&amp;TableWeeklySummary[[#This Row],[Hasta]])</f>
        <v>0</v>
      </c>
      <c r="U395" s="12">
        <f ca="1">SUMIFS(TableDailySummary[Ventas google ads],TableDailySummary[Fecha],"&gt;="&amp;TableWeeklySummary[[#This Row],[Desde]],TableDailySummary[Fecha],"&lt;="&amp;TableWeeklySummary[[#This Row],[Hasta]])</f>
        <v>0</v>
      </c>
      <c r="V395" s="12">
        <f ca="1">SUMIFS(TableDailySummary[Inversión meta ads],TableDailySummary[Fecha],"&gt;="&amp;TableWeeklySummary[[#This Row],[Desde]],TableDailySummary[Fecha],"&lt;="&amp;TableWeeklySummary[[#This Row],[Hasta]])</f>
        <v>0</v>
      </c>
      <c r="W395" s="12">
        <f ca="1">SUMIFS(TableDailySummary[Ventas meta ads],TableDailySummary[Fecha],"&gt;="&amp;TableWeeklySummary[[#This Row],[Desde]],TableDailySummary[Fecha],"&lt;="&amp;TableWeeklySummary[[#This Row],[Hasta]])</f>
        <v>0</v>
      </c>
      <c r="X395" s="12">
        <f ca="1">TableWeeklySummary[[#This Row],[Inversión google ads]]+TableWeeklySummary[[#This Row],[Inversión meta ads]]</f>
        <v>0</v>
      </c>
      <c r="Y395" s="12">
        <f ca="1">TableWeeklySummary[[#This Row],[Ventas google ads]]+TableWeeklySummary[[#This Row],[Ventas meta ads]]</f>
        <v>0</v>
      </c>
      <c r="Z395" s="14">
        <f ca="1">IFERROR(TableWeeklySummary[[#This Row],[Ventas publicidad]]/TableWeeklySummary[[#This Row],[Inversión publicidad]],0)</f>
        <v>0</v>
      </c>
      <c r="AA395" s="14">
        <f ca="1">IFERROR(TableWeeklySummary[[#This Row],[Ventas primer cliente]]/TableWeeklySummary[[#This Row],[Inversión publicidad]],0)</f>
        <v>0</v>
      </c>
      <c r="AB395" s="14"/>
      <c r="AC395" s="12"/>
      <c r="AI39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9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95" s="12">
        <f ca="1">SUMIFS(TableDailySummary[Utilidad bruta],TableDailySummary[Fecha],"&gt;="&amp;TableWeeklySummary[[#This Row],[Desde]],TableDailySummary[Fecha],"&lt;="&amp;TableWeeklySummary[[#This Row],[Hasta]])</f>
        <v>0</v>
      </c>
      <c r="AL395" s="18">
        <f ca="1">IFERROR(TableWeeklySummary[[#This Row],[Utilidad bruta]]/TableWeeklySummary[[#This Row],[Ventas netas con costo registrado]],0)</f>
        <v>0</v>
      </c>
    </row>
    <row r="396" spans="2:38" x14ac:dyDescent="0.2">
      <c r="B396" s="16">
        <f ca="1">_xlfn.ISOWEEKNUM(TableWeeklySummary[[#This Row],[Hasta]])</f>
        <v>16</v>
      </c>
      <c r="C396" s="6">
        <f t="shared" ca="1" si="8"/>
        <v>48684</v>
      </c>
      <c r="D396" s="6">
        <f ca="1">TableWeeklySummary[[#This Row],[Desde]]+7-1</f>
        <v>48690</v>
      </c>
      <c r="E396" s="12">
        <f ca="1">SUMIFS(TableDailySummary[Ventas netas totales],TableDailySummary[Fecha],"&gt;="&amp;TableWeeklySummary[[#This Row],[Desde]],TableDailySummary[Fecha],"&lt;="&amp;TableWeeklySummary[[#This Row],[Hasta]])</f>
        <v>0</v>
      </c>
      <c r="F396" s="12">
        <f ca="1">SUMIFS(TableDailySummary[Órdenes totales],TableDailySummary[Fecha],"&gt;="&amp;TableWeeklySummary[[#This Row],[Desde]],TableDailySummary[Fecha],"&lt;="&amp;TableWeeklySummary[[#This Row],[Hasta]])</f>
        <v>0</v>
      </c>
      <c r="G396" s="12">
        <f ca="1">IFERROR(TableWeeklySummary[[#This Row],[Ventas netas totales]]/TableWeeklySummary[[#This Row],[Órdenes totales]],0)</f>
        <v>0</v>
      </c>
      <c r="H39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96" s="12">
        <f ca="1">TableWeeklySummary[[#This Row],[Órden promedio totales]]*TableWeeklySummary[[#This Row],[CR totales]]</f>
        <v>0</v>
      </c>
      <c r="J396" s="12">
        <f ca="1">SUMIFS(TableDailySummary[Ventas primer cliente],TableDailySummary[Fecha],"&gt;="&amp;TableWeeklySummary[[#This Row],[Desde]],TableDailySummary[Fecha],"&lt;="&amp;TableWeeklySummary[[#This Row],[Hasta]])</f>
        <v>0</v>
      </c>
      <c r="K396" s="12">
        <f ca="1">SUMIFS(TableDailySummary[Órdenes primer cliente],TableDailySummary[Fecha],"&gt;="&amp;TableWeeklySummary[[#This Row],[Desde]],TableDailySummary[Fecha],"&lt;="&amp;TableWeeklySummary[[#This Row],[Hasta]])</f>
        <v>0</v>
      </c>
      <c r="L396" s="12">
        <f ca="1">SUMIFS(TableDailySummary[Online Store_net_sales],TableDailySummary[Fecha],"&gt;="&amp;TableWeeklySummary[[#This Row],[Desde]],TableDailySummary[Fecha],"&lt;="&amp;TableWeeklySummary[[#This Row],[Hasta]])</f>
        <v>0</v>
      </c>
      <c r="M396" s="12">
        <f ca="1">SUMIFS(TableDailySummary[Online Store_orders],TableDailySummary[Fecha],"&gt;="&amp;TableWeeklySummary[[#This Row],[Desde]],TableDailySummary[Fecha],"&lt;="&amp;TableWeeklySummary[[#This Row],[Hasta]])</f>
        <v>0</v>
      </c>
      <c r="N396" s="12">
        <f ca="1">SUMIFS(TableDailySummary[Tienda 81_net_sales],TableDailySummary[Fecha],"&gt;="&amp;TableWeeklySummary[[#This Row],[Desde]],TableDailySummary[Fecha],"&lt;="&amp;TableWeeklySummary[[#This Row],[Hasta]])</f>
        <v>0</v>
      </c>
      <c r="O396" s="12">
        <f ca="1">SUMIFS(TableDailySummary[Tienda 81_orders],TableDailySummary[Fecha],"&gt;="&amp;TableWeeklySummary[[#This Row],[Desde]],TableDailySummary[Fecha],"&lt;="&amp;TableWeeklySummary[[#This Row],[Hasta]])</f>
        <v>0</v>
      </c>
      <c r="P396" s="12">
        <f ca="1">SUMIFS(TableDailySummary[Rappi_net_sales],TableDailySummary[Fecha],"&gt;="&amp;TableWeeklySummary[[#This Row],[Desde]],TableDailySummary[Fecha],"&lt;="&amp;TableWeeklySummary[[#This Row],[Hasta]])</f>
        <v>0</v>
      </c>
      <c r="Q396" s="12">
        <f ca="1">SUMIFS(TableDailySummary[Rappi_orders],TableDailySummary[Fecha],"&gt;="&amp;TableWeeklySummary[[#This Row],[Desde]],TableDailySummary[Fecha],"&lt;="&amp;TableWeeklySummary[[#This Row],[Hasta]])</f>
        <v>0</v>
      </c>
      <c r="R39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9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96" s="12">
        <f ca="1">SUMIFS(TableDailySummary[Inversión google ads],TableDailySummary[Fecha],"&gt;="&amp;TableWeeklySummary[[#This Row],[Desde]],TableDailySummary[Fecha],"&lt;="&amp;TableWeeklySummary[[#This Row],[Hasta]])</f>
        <v>0</v>
      </c>
      <c r="U396" s="12">
        <f ca="1">SUMIFS(TableDailySummary[Ventas google ads],TableDailySummary[Fecha],"&gt;="&amp;TableWeeklySummary[[#This Row],[Desde]],TableDailySummary[Fecha],"&lt;="&amp;TableWeeklySummary[[#This Row],[Hasta]])</f>
        <v>0</v>
      </c>
      <c r="V396" s="12">
        <f ca="1">SUMIFS(TableDailySummary[Inversión meta ads],TableDailySummary[Fecha],"&gt;="&amp;TableWeeklySummary[[#This Row],[Desde]],TableDailySummary[Fecha],"&lt;="&amp;TableWeeklySummary[[#This Row],[Hasta]])</f>
        <v>0</v>
      </c>
      <c r="W396" s="12">
        <f ca="1">SUMIFS(TableDailySummary[Ventas meta ads],TableDailySummary[Fecha],"&gt;="&amp;TableWeeklySummary[[#This Row],[Desde]],TableDailySummary[Fecha],"&lt;="&amp;TableWeeklySummary[[#This Row],[Hasta]])</f>
        <v>0</v>
      </c>
      <c r="X396" s="12">
        <f ca="1">TableWeeklySummary[[#This Row],[Inversión google ads]]+TableWeeklySummary[[#This Row],[Inversión meta ads]]</f>
        <v>0</v>
      </c>
      <c r="Y396" s="12">
        <f ca="1">TableWeeklySummary[[#This Row],[Ventas google ads]]+TableWeeklySummary[[#This Row],[Ventas meta ads]]</f>
        <v>0</v>
      </c>
      <c r="Z396" s="14">
        <f ca="1">IFERROR(TableWeeklySummary[[#This Row],[Ventas publicidad]]/TableWeeklySummary[[#This Row],[Inversión publicidad]],0)</f>
        <v>0</v>
      </c>
      <c r="AA396" s="14">
        <f ca="1">IFERROR(TableWeeklySummary[[#This Row],[Ventas primer cliente]]/TableWeeklySummary[[#This Row],[Inversión publicidad]],0)</f>
        <v>0</v>
      </c>
      <c r="AB396" s="14"/>
      <c r="AC396" s="12"/>
      <c r="AI39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9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96" s="12">
        <f ca="1">SUMIFS(TableDailySummary[Utilidad bruta],TableDailySummary[Fecha],"&gt;="&amp;TableWeeklySummary[[#This Row],[Desde]],TableDailySummary[Fecha],"&lt;="&amp;TableWeeklySummary[[#This Row],[Hasta]])</f>
        <v>0</v>
      </c>
      <c r="AL396" s="18">
        <f ca="1">IFERROR(TableWeeklySummary[[#This Row],[Utilidad bruta]]/TableWeeklySummary[[#This Row],[Ventas netas con costo registrado]],0)</f>
        <v>0</v>
      </c>
    </row>
    <row r="397" spans="2:38" x14ac:dyDescent="0.2">
      <c r="B397" s="16">
        <f ca="1">_xlfn.ISOWEEKNUM(TableWeeklySummary[[#This Row],[Hasta]])</f>
        <v>17</v>
      </c>
      <c r="C397" s="6">
        <f t="shared" ca="1" si="8"/>
        <v>48691</v>
      </c>
      <c r="D397" s="6">
        <f ca="1">TableWeeklySummary[[#This Row],[Desde]]+7-1</f>
        <v>48697</v>
      </c>
      <c r="E397" s="12">
        <f ca="1">SUMIFS(TableDailySummary[Ventas netas totales],TableDailySummary[Fecha],"&gt;="&amp;TableWeeklySummary[[#This Row],[Desde]],TableDailySummary[Fecha],"&lt;="&amp;TableWeeklySummary[[#This Row],[Hasta]])</f>
        <v>0</v>
      </c>
      <c r="F397" s="12">
        <f ca="1">SUMIFS(TableDailySummary[Órdenes totales],TableDailySummary[Fecha],"&gt;="&amp;TableWeeklySummary[[#This Row],[Desde]],TableDailySummary[Fecha],"&lt;="&amp;TableWeeklySummary[[#This Row],[Hasta]])</f>
        <v>0</v>
      </c>
      <c r="G397" s="12">
        <f ca="1">IFERROR(TableWeeklySummary[[#This Row],[Ventas netas totales]]/TableWeeklySummary[[#This Row],[Órdenes totales]],0)</f>
        <v>0</v>
      </c>
      <c r="H39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97" s="12">
        <f ca="1">TableWeeklySummary[[#This Row],[Órden promedio totales]]*TableWeeklySummary[[#This Row],[CR totales]]</f>
        <v>0</v>
      </c>
      <c r="J397" s="12">
        <f ca="1">SUMIFS(TableDailySummary[Ventas primer cliente],TableDailySummary[Fecha],"&gt;="&amp;TableWeeklySummary[[#This Row],[Desde]],TableDailySummary[Fecha],"&lt;="&amp;TableWeeklySummary[[#This Row],[Hasta]])</f>
        <v>0</v>
      </c>
      <c r="K397" s="12">
        <f ca="1">SUMIFS(TableDailySummary[Órdenes primer cliente],TableDailySummary[Fecha],"&gt;="&amp;TableWeeklySummary[[#This Row],[Desde]],TableDailySummary[Fecha],"&lt;="&amp;TableWeeklySummary[[#This Row],[Hasta]])</f>
        <v>0</v>
      </c>
      <c r="L397" s="12">
        <f ca="1">SUMIFS(TableDailySummary[Online Store_net_sales],TableDailySummary[Fecha],"&gt;="&amp;TableWeeklySummary[[#This Row],[Desde]],TableDailySummary[Fecha],"&lt;="&amp;TableWeeklySummary[[#This Row],[Hasta]])</f>
        <v>0</v>
      </c>
      <c r="M397" s="12">
        <f ca="1">SUMIFS(TableDailySummary[Online Store_orders],TableDailySummary[Fecha],"&gt;="&amp;TableWeeklySummary[[#This Row],[Desde]],TableDailySummary[Fecha],"&lt;="&amp;TableWeeklySummary[[#This Row],[Hasta]])</f>
        <v>0</v>
      </c>
      <c r="N397" s="12">
        <f ca="1">SUMIFS(TableDailySummary[Tienda 81_net_sales],TableDailySummary[Fecha],"&gt;="&amp;TableWeeklySummary[[#This Row],[Desde]],TableDailySummary[Fecha],"&lt;="&amp;TableWeeklySummary[[#This Row],[Hasta]])</f>
        <v>0</v>
      </c>
      <c r="O397" s="12">
        <f ca="1">SUMIFS(TableDailySummary[Tienda 81_orders],TableDailySummary[Fecha],"&gt;="&amp;TableWeeklySummary[[#This Row],[Desde]],TableDailySummary[Fecha],"&lt;="&amp;TableWeeklySummary[[#This Row],[Hasta]])</f>
        <v>0</v>
      </c>
      <c r="P397" s="12">
        <f ca="1">SUMIFS(TableDailySummary[Rappi_net_sales],TableDailySummary[Fecha],"&gt;="&amp;TableWeeklySummary[[#This Row],[Desde]],TableDailySummary[Fecha],"&lt;="&amp;TableWeeklySummary[[#This Row],[Hasta]])</f>
        <v>0</v>
      </c>
      <c r="Q397" s="12">
        <f ca="1">SUMIFS(TableDailySummary[Rappi_orders],TableDailySummary[Fecha],"&gt;="&amp;TableWeeklySummary[[#This Row],[Desde]],TableDailySummary[Fecha],"&lt;="&amp;TableWeeklySummary[[#This Row],[Hasta]])</f>
        <v>0</v>
      </c>
      <c r="R39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9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97" s="12">
        <f ca="1">SUMIFS(TableDailySummary[Inversión google ads],TableDailySummary[Fecha],"&gt;="&amp;TableWeeklySummary[[#This Row],[Desde]],TableDailySummary[Fecha],"&lt;="&amp;TableWeeklySummary[[#This Row],[Hasta]])</f>
        <v>0</v>
      </c>
      <c r="U397" s="12">
        <f ca="1">SUMIFS(TableDailySummary[Ventas google ads],TableDailySummary[Fecha],"&gt;="&amp;TableWeeklySummary[[#This Row],[Desde]],TableDailySummary[Fecha],"&lt;="&amp;TableWeeklySummary[[#This Row],[Hasta]])</f>
        <v>0</v>
      </c>
      <c r="V397" s="12">
        <f ca="1">SUMIFS(TableDailySummary[Inversión meta ads],TableDailySummary[Fecha],"&gt;="&amp;TableWeeklySummary[[#This Row],[Desde]],TableDailySummary[Fecha],"&lt;="&amp;TableWeeklySummary[[#This Row],[Hasta]])</f>
        <v>0</v>
      </c>
      <c r="W397" s="12">
        <f ca="1">SUMIFS(TableDailySummary[Ventas meta ads],TableDailySummary[Fecha],"&gt;="&amp;TableWeeklySummary[[#This Row],[Desde]],TableDailySummary[Fecha],"&lt;="&amp;TableWeeklySummary[[#This Row],[Hasta]])</f>
        <v>0</v>
      </c>
      <c r="X397" s="12">
        <f ca="1">TableWeeklySummary[[#This Row],[Inversión google ads]]+TableWeeklySummary[[#This Row],[Inversión meta ads]]</f>
        <v>0</v>
      </c>
      <c r="Y397" s="12">
        <f ca="1">TableWeeklySummary[[#This Row],[Ventas google ads]]+TableWeeklySummary[[#This Row],[Ventas meta ads]]</f>
        <v>0</v>
      </c>
      <c r="Z397" s="14">
        <f ca="1">IFERROR(TableWeeklySummary[[#This Row],[Ventas publicidad]]/TableWeeklySummary[[#This Row],[Inversión publicidad]],0)</f>
        <v>0</v>
      </c>
      <c r="AA397" s="14">
        <f ca="1">IFERROR(TableWeeklySummary[[#This Row],[Ventas primer cliente]]/TableWeeklySummary[[#This Row],[Inversión publicidad]],0)</f>
        <v>0</v>
      </c>
      <c r="AB397" s="14"/>
      <c r="AC397" s="12"/>
      <c r="AI39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9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97" s="12">
        <f ca="1">SUMIFS(TableDailySummary[Utilidad bruta],TableDailySummary[Fecha],"&gt;="&amp;TableWeeklySummary[[#This Row],[Desde]],TableDailySummary[Fecha],"&lt;="&amp;TableWeeklySummary[[#This Row],[Hasta]])</f>
        <v>0</v>
      </c>
      <c r="AL397" s="18">
        <f ca="1">IFERROR(TableWeeklySummary[[#This Row],[Utilidad bruta]]/TableWeeklySummary[[#This Row],[Ventas netas con costo registrado]],0)</f>
        <v>0</v>
      </c>
    </row>
    <row r="398" spans="2:38" x14ac:dyDescent="0.2">
      <c r="B398" s="16">
        <f ca="1">_xlfn.ISOWEEKNUM(TableWeeklySummary[[#This Row],[Hasta]])</f>
        <v>18</v>
      </c>
      <c r="C398" s="6">
        <f t="shared" ca="1" si="8"/>
        <v>48698</v>
      </c>
      <c r="D398" s="6">
        <f ca="1">TableWeeklySummary[[#This Row],[Desde]]+7-1</f>
        <v>48704</v>
      </c>
      <c r="E398" s="12">
        <f ca="1">SUMIFS(TableDailySummary[Ventas netas totales],TableDailySummary[Fecha],"&gt;="&amp;TableWeeklySummary[[#This Row],[Desde]],TableDailySummary[Fecha],"&lt;="&amp;TableWeeklySummary[[#This Row],[Hasta]])</f>
        <v>0</v>
      </c>
      <c r="F398" s="12">
        <f ca="1">SUMIFS(TableDailySummary[Órdenes totales],TableDailySummary[Fecha],"&gt;="&amp;TableWeeklySummary[[#This Row],[Desde]],TableDailySummary[Fecha],"&lt;="&amp;TableWeeklySummary[[#This Row],[Hasta]])</f>
        <v>0</v>
      </c>
      <c r="G398" s="12">
        <f ca="1">IFERROR(TableWeeklySummary[[#This Row],[Ventas netas totales]]/TableWeeklySummary[[#This Row],[Órdenes totales]],0)</f>
        <v>0</v>
      </c>
      <c r="H39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98" s="12">
        <f ca="1">TableWeeklySummary[[#This Row],[Órden promedio totales]]*TableWeeklySummary[[#This Row],[CR totales]]</f>
        <v>0</v>
      </c>
      <c r="J398" s="12">
        <f ca="1">SUMIFS(TableDailySummary[Ventas primer cliente],TableDailySummary[Fecha],"&gt;="&amp;TableWeeklySummary[[#This Row],[Desde]],TableDailySummary[Fecha],"&lt;="&amp;TableWeeklySummary[[#This Row],[Hasta]])</f>
        <v>0</v>
      </c>
      <c r="K398" s="12">
        <f ca="1">SUMIFS(TableDailySummary[Órdenes primer cliente],TableDailySummary[Fecha],"&gt;="&amp;TableWeeklySummary[[#This Row],[Desde]],TableDailySummary[Fecha],"&lt;="&amp;TableWeeklySummary[[#This Row],[Hasta]])</f>
        <v>0</v>
      </c>
      <c r="L398" s="12">
        <f ca="1">SUMIFS(TableDailySummary[Online Store_net_sales],TableDailySummary[Fecha],"&gt;="&amp;TableWeeklySummary[[#This Row],[Desde]],TableDailySummary[Fecha],"&lt;="&amp;TableWeeklySummary[[#This Row],[Hasta]])</f>
        <v>0</v>
      </c>
      <c r="M398" s="12">
        <f ca="1">SUMIFS(TableDailySummary[Online Store_orders],TableDailySummary[Fecha],"&gt;="&amp;TableWeeklySummary[[#This Row],[Desde]],TableDailySummary[Fecha],"&lt;="&amp;TableWeeklySummary[[#This Row],[Hasta]])</f>
        <v>0</v>
      </c>
      <c r="N398" s="12">
        <f ca="1">SUMIFS(TableDailySummary[Tienda 81_net_sales],TableDailySummary[Fecha],"&gt;="&amp;TableWeeklySummary[[#This Row],[Desde]],TableDailySummary[Fecha],"&lt;="&amp;TableWeeklySummary[[#This Row],[Hasta]])</f>
        <v>0</v>
      </c>
      <c r="O398" s="12">
        <f ca="1">SUMIFS(TableDailySummary[Tienda 81_orders],TableDailySummary[Fecha],"&gt;="&amp;TableWeeklySummary[[#This Row],[Desde]],TableDailySummary[Fecha],"&lt;="&amp;TableWeeklySummary[[#This Row],[Hasta]])</f>
        <v>0</v>
      </c>
      <c r="P398" s="12">
        <f ca="1">SUMIFS(TableDailySummary[Rappi_net_sales],TableDailySummary[Fecha],"&gt;="&amp;TableWeeklySummary[[#This Row],[Desde]],TableDailySummary[Fecha],"&lt;="&amp;TableWeeklySummary[[#This Row],[Hasta]])</f>
        <v>0</v>
      </c>
      <c r="Q398" s="12">
        <f ca="1">SUMIFS(TableDailySummary[Rappi_orders],TableDailySummary[Fecha],"&gt;="&amp;TableWeeklySummary[[#This Row],[Desde]],TableDailySummary[Fecha],"&lt;="&amp;TableWeeklySummary[[#This Row],[Hasta]])</f>
        <v>0</v>
      </c>
      <c r="R39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9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98" s="12">
        <f ca="1">SUMIFS(TableDailySummary[Inversión google ads],TableDailySummary[Fecha],"&gt;="&amp;TableWeeklySummary[[#This Row],[Desde]],TableDailySummary[Fecha],"&lt;="&amp;TableWeeklySummary[[#This Row],[Hasta]])</f>
        <v>0</v>
      </c>
      <c r="U398" s="12">
        <f ca="1">SUMIFS(TableDailySummary[Ventas google ads],TableDailySummary[Fecha],"&gt;="&amp;TableWeeklySummary[[#This Row],[Desde]],TableDailySummary[Fecha],"&lt;="&amp;TableWeeklySummary[[#This Row],[Hasta]])</f>
        <v>0</v>
      </c>
      <c r="V398" s="12">
        <f ca="1">SUMIFS(TableDailySummary[Inversión meta ads],TableDailySummary[Fecha],"&gt;="&amp;TableWeeklySummary[[#This Row],[Desde]],TableDailySummary[Fecha],"&lt;="&amp;TableWeeklySummary[[#This Row],[Hasta]])</f>
        <v>0</v>
      </c>
      <c r="W398" s="12">
        <f ca="1">SUMIFS(TableDailySummary[Ventas meta ads],TableDailySummary[Fecha],"&gt;="&amp;TableWeeklySummary[[#This Row],[Desde]],TableDailySummary[Fecha],"&lt;="&amp;TableWeeklySummary[[#This Row],[Hasta]])</f>
        <v>0</v>
      </c>
      <c r="X398" s="12">
        <f ca="1">TableWeeklySummary[[#This Row],[Inversión google ads]]+TableWeeklySummary[[#This Row],[Inversión meta ads]]</f>
        <v>0</v>
      </c>
      <c r="Y398" s="12">
        <f ca="1">TableWeeklySummary[[#This Row],[Ventas google ads]]+TableWeeklySummary[[#This Row],[Ventas meta ads]]</f>
        <v>0</v>
      </c>
      <c r="Z398" s="14">
        <f ca="1">IFERROR(TableWeeklySummary[[#This Row],[Ventas publicidad]]/TableWeeklySummary[[#This Row],[Inversión publicidad]],0)</f>
        <v>0</v>
      </c>
      <c r="AA398" s="14">
        <f ca="1">IFERROR(TableWeeklySummary[[#This Row],[Ventas primer cliente]]/TableWeeklySummary[[#This Row],[Inversión publicidad]],0)</f>
        <v>0</v>
      </c>
      <c r="AB398" s="14"/>
      <c r="AC398" s="12"/>
      <c r="AI39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9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98" s="12">
        <f ca="1">SUMIFS(TableDailySummary[Utilidad bruta],TableDailySummary[Fecha],"&gt;="&amp;TableWeeklySummary[[#This Row],[Desde]],TableDailySummary[Fecha],"&lt;="&amp;TableWeeklySummary[[#This Row],[Hasta]])</f>
        <v>0</v>
      </c>
      <c r="AL398" s="18">
        <f ca="1">IFERROR(TableWeeklySummary[[#This Row],[Utilidad bruta]]/TableWeeklySummary[[#This Row],[Ventas netas con costo registrado]],0)</f>
        <v>0</v>
      </c>
    </row>
    <row r="399" spans="2:38" x14ac:dyDescent="0.2">
      <c r="B399" s="16">
        <f ca="1">_xlfn.ISOWEEKNUM(TableWeeklySummary[[#This Row],[Hasta]])</f>
        <v>19</v>
      </c>
      <c r="C399" s="6">
        <f t="shared" ca="1" si="8"/>
        <v>48705</v>
      </c>
      <c r="D399" s="6">
        <f ca="1">TableWeeklySummary[[#This Row],[Desde]]+7-1</f>
        <v>48711</v>
      </c>
      <c r="E399" s="12">
        <f ca="1">SUMIFS(TableDailySummary[Ventas netas totales],TableDailySummary[Fecha],"&gt;="&amp;TableWeeklySummary[[#This Row],[Desde]],TableDailySummary[Fecha],"&lt;="&amp;TableWeeklySummary[[#This Row],[Hasta]])</f>
        <v>0</v>
      </c>
      <c r="F399" s="12">
        <f ca="1">SUMIFS(TableDailySummary[Órdenes totales],TableDailySummary[Fecha],"&gt;="&amp;TableWeeklySummary[[#This Row],[Desde]],TableDailySummary[Fecha],"&lt;="&amp;TableWeeklySummary[[#This Row],[Hasta]])</f>
        <v>0</v>
      </c>
      <c r="G399" s="12">
        <f ca="1">IFERROR(TableWeeklySummary[[#This Row],[Ventas netas totales]]/TableWeeklySummary[[#This Row],[Órdenes totales]],0)</f>
        <v>0</v>
      </c>
      <c r="H39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399" s="12">
        <f ca="1">TableWeeklySummary[[#This Row],[Órden promedio totales]]*TableWeeklySummary[[#This Row],[CR totales]]</f>
        <v>0</v>
      </c>
      <c r="J399" s="12">
        <f ca="1">SUMIFS(TableDailySummary[Ventas primer cliente],TableDailySummary[Fecha],"&gt;="&amp;TableWeeklySummary[[#This Row],[Desde]],TableDailySummary[Fecha],"&lt;="&amp;TableWeeklySummary[[#This Row],[Hasta]])</f>
        <v>0</v>
      </c>
      <c r="K399" s="12">
        <f ca="1">SUMIFS(TableDailySummary[Órdenes primer cliente],TableDailySummary[Fecha],"&gt;="&amp;TableWeeklySummary[[#This Row],[Desde]],TableDailySummary[Fecha],"&lt;="&amp;TableWeeklySummary[[#This Row],[Hasta]])</f>
        <v>0</v>
      </c>
      <c r="L399" s="12">
        <f ca="1">SUMIFS(TableDailySummary[Online Store_net_sales],TableDailySummary[Fecha],"&gt;="&amp;TableWeeklySummary[[#This Row],[Desde]],TableDailySummary[Fecha],"&lt;="&amp;TableWeeklySummary[[#This Row],[Hasta]])</f>
        <v>0</v>
      </c>
      <c r="M399" s="12">
        <f ca="1">SUMIFS(TableDailySummary[Online Store_orders],TableDailySummary[Fecha],"&gt;="&amp;TableWeeklySummary[[#This Row],[Desde]],TableDailySummary[Fecha],"&lt;="&amp;TableWeeklySummary[[#This Row],[Hasta]])</f>
        <v>0</v>
      </c>
      <c r="N399" s="12">
        <f ca="1">SUMIFS(TableDailySummary[Tienda 81_net_sales],TableDailySummary[Fecha],"&gt;="&amp;TableWeeklySummary[[#This Row],[Desde]],TableDailySummary[Fecha],"&lt;="&amp;TableWeeklySummary[[#This Row],[Hasta]])</f>
        <v>0</v>
      </c>
      <c r="O399" s="12">
        <f ca="1">SUMIFS(TableDailySummary[Tienda 81_orders],TableDailySummary[Fecha],"&gt;="&amp;TableWeeklySummary[[#This Row],[Desde]],TableDailySummary[Fecha],"&lt;="&amp;TableWeeklySummary[[#This Row],[Hasta]])</f>
        <v>0</v>
      </c>
      <c r="P399" s="12">
        <f ca="1">SUMIFS(TableDailySummary[Rappi_net_sales],TableDailySummary[Fecha],"&gt;="&amp;TableWeeklySummary[[#This Row],[Desde]],TableDailySummary[Fecha],"&lt;="&amp;TableWeeklySummary[[#This Row],[Hasta]])</f>
        <v>0</v>
      </c>
      <c r="Q399" s="12">
        <f ca="1">SUMIFS(TableDailySummary[Rappi_orders],TableDailySummary[Fecha],"&gt;="&amp;TableWeeklySummary[[#This Row],[Desde]],TableDailySummary[Fecha],"&lt;="&amp;TableWeeklySummary[[#This Row],[Hasta]])</f>
        <v>0</v>
      </c>
      <c r="R39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39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399" s="12">
        <f ca="1">SUMIFS(TableDailySummary[Inversión google ads],TableDailySummary[Fecha],"&gt;="&amp;TableWeeklySummary[[#This Row],[Desde]],TableDailySummary[Fecha],"&lt;="&amp;TableWeeklySummary[[#This Row],[Hasta]])</f>
        <v>0</v>
      </c>
      <c r="U399" s="12">
        <f ca="1">SUMIFS(TableDailySummary[Ventas google ads],TableDailySummary[Fecha],"&gt;="&amp;TableWeeklySummary[[#This Row],[Desde]],TableDailySummary[Fecha],"&lt;="&amp;TableWeeklySummary[[#This Row],[Hasta]])</f>
        <v>0</v>
      </c>
      <c r="V399" s="12">
        <f ca="1">SUMIFS(TableDailySummary[Inversión meta ads],TableDailySummary[Fecha],"&gt;="&amp;TableWeeklySummary[[#This Row],[Desde]],TableDailySummary[Fecha],"&lt;="&amp;TableWeeklySummary[[#This Row],[Hasta]])</f>
        <v>0</v>
      </c>
      <c r="W399" s="12">
        <f ca="1">SUMIFS(TableDailySummary[Ventas meta ads],TableDailySummary[Fecha],"&gt;="&amp;TableWeeklySummary[[#This Row],[Desde]],TableDailySummary[Fecha],"&lt;="&amp;TableWeeklySummary[[#This Row],[Hasta]])</f>
        <v>0</v>
      </c>
      <c r="X399" s="12">
        <f ca="1">TableWeeklySummary[[#This Row],[Inversión google ads]]+TableWeeklySummary[[#This Row],[Inversión meta ads]]</f>
        <v>0</v>
      </c>
      <c r="Y399" s="12">
        <f ca="1">TableWeeklySummary[[#This Row],[Ventas google ads]]+TableWeeklySummary[[#This Row],[Ventas meta ads]]</f>
        <v>0</v>
      </c>
      <c r="Z399" s="14">
        <f ca="1">IFERROR(TableWeeklySummary[[#This Row],[Ventas publicidad]]/TableWeeklySummary[[#This Row],[Inversión publicidad]],0)</f>
        <v>0</v>
      </c>
      <c r="AA399" s="14">
        <f ca="1">IFERROR(TableWeeklySummary[[#This Row],[Ventas primer cliente]]/TableWeeklySummary[[#This Row],[Inversión publicidad]],0)</f>
        <v>0</v>
      </c>
      <c r="AB399" s="14"/>
      <c r="AC399" s="12"/>
      <c r="AI39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39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399" s="12">
        <f ca="1">SUMIFS(TableDailySummary[Utilidad bruta],TableDailySummary[Fecha],"&gt;="&amp;TableWeeklySummary[[#This Row],[Desde]],TableDailySummary[Fecha],"&lt;="&amp;TableWeeklySummary[[#This Row],[Hasta]])</f>
        <v>0</v>
      </c>
      <c r="AL399" s="18">
        <f ca="1">IFERROR(TableWeeklySummary[[#This Row],[Utilidad bruta]]/TableWeeklySummary[[#This Row],[Ventas netas con costo registrado]],0)</f>
        <v>0</v>
      </c>
    </row>
    <row r="400" spans="2:38" x14ac:dyDescent="0.2">
      <c r="B400" s="16">
        <f ca="1">_xlfn.ISOWEEKNUM(TableWeeklySummary[[#This Row],[Hasta]])</f>
        <v>20</v>
      </c>
      <c r="C400" s="6">
        <f t="shared" ca="1" si="8"/>
        <v>48712</v>
      </c>
      <c r="D400" s="6">
        <f ca="1">TableWeeklySummary[[#This Row],[Desde]]+7-1</f>
        <v>48718</v>
      </c>
      <c r="E400" s="12">
        <f ca="1">SUMIFS(TableDailySummary[Ventas netas totales],TableDailySummary[Fecha],"&gt;="&amp;TableWeeklySummary[[#This Row],[Desde]],TableDailySummary[Fecha],"&lt;="&amp;TableWeeklySummary[[#This Row],[Hasta]])</f>
        <v>0</v>
      </c>
      <c r="F400" s="12">
        <f ca="1">SUMIFS(TableDailySummary[Órdenes totales],TableDailySummary[Fecha],"&gt;="&amp;TableWeeklySummary[[#This Row],[Desde]],TableDailySummary[Fecha],"&lt;="&amp;TableWeeklySummary[[#This Row],[Hasta]])</f>
        <v>0</v>
      </c>
      <c r="G400" s="12">
        <f ca="1">IFERROR(TableWeeklySummary[[#This Row],[Ventas netas totales]]/TableWeeklySummary[[#This Row],[Órdenes totales]],0)</f>
        <v>0</v>
      </c>
      <c r="H40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00" s="12">
        <f ca="1">TableWeeklySummary[[#This Row],[Órden promedio totales]]*TableWeeklySummary[[#This Row],[CR totales]]</f>
        <v>0</v>
      </c>
      <c r="J400" s="12">
        <f ca="1">SUMIFS(TableDailySummary[Ventas primer cliente],TableDailySummary[Fecha],"&gt;="&amp;TableWeeklySummary[[#This Row],[Desde]],TableDailySummary[Fecha],"&lt;="&amp;TableWeeklySummary[[#This Row],[Hasta]])</f>
        <v>0</v>
      </c>
      <c r="K400" s="12">
        <f ca="1">SUMIFS(TableDailySummary[Órdenes primer cliente],TableDailySummary[Fecha],"&gt;="&amp;TableWeeklySummary[[#This Row],[Desde]],TableDailySummary[Fecha],"&lt;="&amp;TableWeeklySummary[[#This Row],[Hasta]])</f>
        <v>0</v>
      </c>
      <c r="L400" s="12">
        <f ca="1">SUMIFS(TableDailySummary[Online Store_net_sales],TableDailySummary[Fecha],"&gt;="&amp;TableWeeklySummary[[#This Row],[Desde]],TableDailySummary[Fecha],"&lt;="&amp;TableWeeklySummary[[#This Row],[Hasta]])</f>
        <v>0</v>
      </c>
      <c r="M400" s="12">
        <f ca="1">SUMIFS(TableDailySummary[Online Store_orders],TableDailySummary[Fecha],"&gt;="&amp;TableWeeklySummary[[#This Row],[Desde]],TableDailySummary[Fecha],"&lt;="&amp;TableWeeklySummary[[#This Row],[Hasta]])</f>
        <v>0</v>
      </c>
      <c r="N400" s="12">
        <f ca="1">SUMIFS(TableDailySummary[Tienda 81_net_sales],TableDailySummary[Fecha],"&gt;="&amp;TableWeeklySummary[[#This Row],[Desde]],TableDailySummary[Fecha],"&lt;="&amp;TableWeeklySummary[[#This Row],[Hasta]])</f>
        <v>0</v>
      </c>
      <c r="O400" s="12">
        <f ca="1">SUMIFS(TableDailySummary[Tienda 81_orders],TableDailySummary[Fecha],"&gt;="&amp;TableWeeklySummary[[#This Row],[Desde]],TableDailySummary[Fecha],"&lt;="&amp;TableWeeklySummary[[#This Row],[Hasta]])</f>
        <v>0</v>
      </c>
      <c r="P400" s="12">
        <f ca="1">SUMIFS(TableDailySummary[Rappi_net_sales],TableDailySummary[Fecha],"&gt;="&amp;TableWeeklySummary[[#This Row],[Desde]],TableDailySummary[Fecha],"&lt;="&amp;TableWeeklySummary[[#This Row],[Hasta]])</f>
        <v>0</v>
      </c>
      <c r="Q400" s="12">
        <f ca="1">SUMIFS(TableDailySummary[Rappi_orders],TableDailySummary[Fecha],"&gt;="&amp;TableWeeklySummary[[#This Row],[Desde]],TableDailySummary[Fecha],"&lt;="&amp;TableWeeklySummary[[#This Row],[Hasta]])</f>
        <v>0</v>
      </c>
      <c r="R40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0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00" s="12">
        <f ca="1">SUMIFS(TableDailySummary[Inversión google ads],TableDailySummary[Fecha],"&gt;="&amp;TableWeeklySummary[[#This Row],[Desde]],TableDailySummary[Fecha],"&lt;="&amp;TableWeeklySummary[[#This Row],[Hasta]])</f>
        <v>0</v>
      </c>
      <c r="U400" s="12">
        <f ca="1">SUMIFS(TableDailySummary[Ventas google ads],TableDailySummary[Fecha],"&gt;="&amp;TableWeeklySummary[[#This Row],[Desde]],TableDailySummary[Fecha],"&lt;="&amp;TableWeeklySummary[[#This Row],[Hasta]])</f>
        <v>0</v>
      </c>
      <c r="V400" s="12">
        <f ca="1">SUMIFS(TableDailySummary[Inversión meta ads],TableDailySummary[Fecha],"&gt;="&amp;TableWeeklySummary[[#This Row],[Desde]],TableDailySummary[Fecha],"&lt;="&amp;TableWeeklySummary[[#This Row],[Hasta]])</f>
        <v>0</v>
      </c>
      <c r="W400" s="12">
        <f ca="1">SUMIFS(TableDailySummary[Ventas meta ads],TableDailySummary[Fecha],"&gt;="&amp;TableWeeklySummary[[#This Row],[Desde]],TableDailySummary[Fecha],"&lt;="&amp;TableWeeklySummary[[#This Row],[Hasta]])</f>
        <v>0</v>
      </c>
      <c r="X400" s="12">
        <f ca="1">TableWeeklySummary[[#This Row],[Inversión google ads]]+TableWeeklySummary[[#This Row],[Inversión meta ads]]</f>
        <v>0</v>
      </c>
      <c r="Y400" s="12">
        <f ca="1">TableWeeklySummary[[#This Row],[Ventas google ads]]+TableWeeklySummary[[#This Row],[Ventas meta ads]]</f>
        <v>0</v>
      </c>
      <c r="Z400" s="14">
        <f ca="1">IFERROR(TableWeeklySummary[[#This Row],[Ventas publicidad]]/TableWeeklySummary[[#This Row],[Inversión publicidad]],0)</f>
        <v>0</v>
      </c>
      <c r="AA400" s="14">
        <f ca="1">IFERROR(TableWeeklySummary[[#This Row],[Ventas primer cliente]]/TableWeeklySummary[[#This Row],[Inversión publicidad]],0)</f>
        <v>0</v>
      </c>
      <c r="AB400" s="14"/>
      <c r="AC400" s="12"/>
      <c r="AI40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0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00" s="12">
        <f ca="1">SUMIFS(TableDailySummary[Utilidad bruta],TableDailySummary[Fecha],"&gt;="&amp;TableWeeklySummary[[#This Row],[Desde]],TableDailySummary[Fecha],"&lt;="&amp;TableWeeklySummary[[#This Row],[Hasta]])</f>
        <v>0</v>
      </c>
      <c r="AL400" s="18">
        <f ca="1">IFERROR(TableWeeklySummary[[#This Row],[Utilidad bruta]]/TableWeeklySummary[[#This Row],[Ventas netas con costo registrado]],0)</f>
        <v>0</v>
      </c>
    </row>
    <row r="401" spans="2:38" x14ac:dyDescent="0.2">
      <c r="B401" s="16">
        <f ca="1">_xlfn.ISOWEEKNUM(TableWeeklySummary[[#This Row],[Hasta]])</f>
        <v>21</v>
      </c>
      <c r="C401" s="6">
        <f t="shared" ca="1" si="8"/>
        <v>48719</v>
      </c>
      <c r="D401" s="6">
        <f ca="1">TableWeeklySummary[[#This Row],[Desde]]+7-1</f>
        <v>48725</v>
      </c>
      <c r="E401" s="12">
        <f ca="1">SUMIFS(TableDailySummary[Ventas netas totales],TableDailySummary[Fecha],"&gt;="&amp;TableWeeklySummary[[#This Row],[Desde]],TableDailySummary[Fecha],"&lt;="&amp;TableWeeklySummary[[#This Row],[Hasta]])</f>
        <v>0</v>
      </c>
      <c r="F401" s="12">
        <f ca="1">SUMIFS(TableDailySummary[Órdenes totales],TableDailySummary[Fecha],"&gt;="&amp;TableWeeklySummary[[#This Row],[Desde]],TableDailySummary[Fecha],"&lt;="&amp;TableWeeklySummary[[#This Row],[Hasta]])</f>
        <v>0</v>
      </c>
      <c r="G401" s="12">
        <f ca="1">IFERROR(TableWeeklySummary[[#This Row],[Ventas netas totales]]/TableWeeklySummary[[#This Row],[Órdenes totales]],0)</f>
        <v>0</v>
      </c>
      <c r="H40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01" s="12">
        <f ca="1">TableWeeklySummary[[#This Row],[Órden promedio totales]]*TableWeeklySummary[[#This Row],[CR totales]]</f>
        <v>0</v>
      </c>
      <c r="J401" s="12">
        <f ca="1">SUMIFS(TableDailySummary[Ventas primer cliente],TableDailySummary[Fecha],"&gt;="&amp;TableWeeklySummary[[#This Row],[Desde]],TableDailySummary[Fecha],"&lt;="&amp;TableWeeklySummary[[#This Row],[Hasta]])</f>
        <v>0</v>
      </c>
      <c r="K401" s="12">
        <f ca="1">SUMIFS(TableDailySummary[Órdenes primer cliente],TableDailySummary[Fecha],"&gt;="&amp;TableWeeklySummary[[#This Row],[Desde]],TableDailySummary[Fecha],"&lt;="&amp;TableWeeklySummary[[#This Row],[Hasta]])</f>
        <v>0</v>
      </c>
      <c r="L401" s="12">
        <f ca="1">SUMIFS(TableDailySummary[Online Store_net_sales],TableDailySummary[Fecha],"&gt;="&amp;TableWeeklySummary[[#This Row],[Desde]],TableDailySummary[Fecha],"&lt;="&amp;TableWeeklySummary[[#This Row],[Hasta]])</f>
        <v>0</v>
      </c>
      <c r="M401" s="12">
        <f ca="1">SUMIFS(TableDailySummary[Online Store_orders],TableDailySummary[Fecha],"&gt;="&amp;TableWeeklySummary[[#This Row],[Desde]],TableDailySummary[Fecha],"&lt;="&amp;TableWeeklySummary[[#This Row],[Hasta]])</f>
        <v>0</v>
      </c>
      <c r="N401" s="12">
        <f ca="1">SUMIFS(TableDailySummary[Tienda 81_net_sales],TableDailySummary[Fecha],"&gt;="&amp;TableWeeklySummary[[#This Row],[Desde]],TableDailySummary[Fecha],"&lt;="&amp;TableWeeklySummary[[#This Row],[Hasta]])</f>
        <v>0</v>
      </c>
      <c r="O401" s="12">
        <f ca="1">SUMIFS(TableDailySummary[Tienda 81_orders],TableDailySummary[Fecha],"&gt;="&amp;TableWeeklySummary[[#This Row],[Desde]],TableDailySummary[Fecha],"&lt;="&amp;TableWeeklySummary[[#This Row],[Hasta]])</f>
        <v>0</v>
      </c>
      <c r="P401" s="12">
        <f ca="1">SUMIFS(TableDailySummary[Rappi_net_sales],TableDailySummary[Fecha],"&gt;="&amp;TableWeeklySummary[[#This Row],[Desde]],TableDailySummary[Fecha],"&lt;="&amp;TableWeeklySummary[[#This Row],[Hasta]])</f>
        <v>0</v>
      </c>
      <c r="Q401" s="12">
        <f ca="1">SUMIFS(TableDailySummary[Rappi_orders],TableDailySummary[Fecha],"&gt;="&amp;TableWeeklySummary[[#This Row],[Desde]],TableDailySummary[Fecha],"&lt;="&amp;TableWeeklySummary[[#This Row],[Hasta]])</f>
        <v>0</v>
      </c>
      <c r="R40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0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01" s="12">
        <f ca="1">SUMIFS(TableDailySummary[Inversión google ads],TableDailySummary[Fecha],"&gt;="&amp;TableWeeklySummary[[#This Row],[Desde]],TableDailySummary[Fecha],"&lt;="&amp;TableWeeklySummary[[#This Row],[Hasta]])</f>
        <v>0</v>
      </c>
      <c r="U401" s="12">
        <f ca="1">SUMIFS(TableDailySummary[Ventas google ads],TableDailySummary[Fecha],"&gt;="&amp;TableWeeklySummary[[#This Row],[Desde]],TableDailySummary[Fecha],"&lt;="&amp;TableWeeklySummary[[#This Row],[Hasta]])</f>
        <v>0</v>
      </c>
      <c r="V401" s="12">
        <f ca="1">SUMIFS(TableDailySummary[Inversión meta ads],TableDailySummary[Fecha],"&gt;="&amp;TableWeeklySummary[[#This Row],[Desde]],TableDailySummary[Fecha],"&lt;="&amp;TableWeeklySummary[[#This Row],[Hasta]])</f>
        <v>0</v>
      </c>
      <c r="W401" s="12">
        <f ca="1">SUMIFS(TableDailySummary[Ventas meta ads],TableDailySummary[Fecha],"&gt;="&amp;TableWeeklySummary[[#This Row],[Desde]],TableDailySummary[Fecha],"&lt;="&amp;TableWeeklySummary[[#This Row],[Hasta]])</f>
        <v>0</v>
      </c>
      <c r="X401" s="12">
        <f ca="1">TableWeeklySummary[[#This Row],[Inversión google ads]]+TableWeeklySummary[[#This Row],[Inversión meta ads]]</f>
        <v>0</v>
      </c>
      <c r="Y401" s="12">
        <f ca="1">TableWeeklySummary[[#This Row],[Ventas google ads]]+TableWeeklySummary[[#This Row],[Ventas meta ads]]</f>
        <v>0</v>
      </c>
      <c r="Z401" s="14">
        <f ca="1">IFERROR(TableWeeklySummary[[#This Row],[Ventas publicidad]]/TableWeeklySummary[[#This Row],[Inversión publicidad]],0)</f>
        <v>0</v>
      </c>
      <c r="AA401" s="14">
        <f ca="1">IFERROR(TableWeeklySummary[[#This Row],[Ventas primer cliente]]/TableWeeklySummary[[#This Row],[Inversión publicidad]],0)</f>
        <v>0</v>
      </c>
      <c r="AB401" s="14"/>
      <c r="AC401" s="12"/>
      <c r="AI40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0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01" s="12">
        <f ca="1">SUMIFS(TableDailySummary[Utilidad bruta],TableDailySummary[Fecha],"&gt;="&amp;TableWeeklySummary[[#This Row],[Desde]],TableDailySummary[Fecha],"&lt;="&amp;TableWeeklySummary[[#This Row],[Hasta]])</f>
        <v>0</v>
      </c>
      <c r="AL401" s="18">
        <f ca="1">IFERROR(TableWeeklySummary[[#This Row],[Utilidad bruta]]/TableWeeklySummary[[#This Row],[Ventas netas con costo registrado]],0)</f>
        <v>0</v>
      </c>
    </row>
    <row r="402" spans="2:38" x14ac:dyDescent="0.2">
      <c r="B402" s="16">
        <f ca="1">_xlfn.ISOWEEKNUM(TableWeeklySummary[[#This Row],[Hasta]])</f>
        <v>22</v>
      </c>
      <c r="C402" s="6">
        <f t="shared" ca="1" si="8"/>
        <v>48726</v>
      </c>
      <c r="D402" s="6">
        <f ca="1">TableWeeklySummary[[#This Row],[Desde]]+7-1</f>
        <v>48732</v>
      </c>
      <c r="E402" s="12">
        <f ca="1">SUMIFS(TableDailySummary[Ventas netas totales],TableDailySummary[Fecha],"&gt;="&amp;TableWeeklySummary[[#This Row],[Desde]],TableDailySummary[Fecha],"&lt;="&amp;TableWeeklySummary[[#This Row],[Hasta]])</f>
        <v>0</v>
      </c>
      <c r="F402" s="12">
        <f ca="1">SUMIFS(TableDailySummary[Órdenes totales],TableDailySummary[Fecha],"&gt;="&amp;TableWeeklySummary[[#This Row],[Desde]],TableDailySummary[Fecha],"&lt;="&amp;TableWeeklySummary[[#This Row],[Hasta]])</f>
        <v>0</v>
      </c>
      <c r="G402" s="12">
        <f ca="1">IFERROR(TableWeeklySummary[[#This Row],[Ventas netas totales]]/TableWeeklySummary[[#This Row],[Órdenes totales]],0)</f>
        <v>0</v>
      </c>
      <c r="H40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02" s="12">
        <f ca="1">TableWeeklySummary[[#This Row],[Órden promedio totales]]*TableWeeklySummary[[#This Row],[CR totales]]</f>
        <v>0</v>
      </c>
      <c r="J402" s="12">
        <f ca="1">SUMIFS(TableDailySummary[Ventas primer cliente],TableDailySummary[Fecha],"&gt;="&amp;TableWeeklySummary[[#This Row],[Desde]],TableDailySummary[Fecha],"&lt;="&amp;TableWeeklySummary[[#This Row],[Hasta]])</f>
        <v>0</v>
      </c>
      <c r="K402" s="12">
        <f ca="1">SUMIFS(TableDailySummary[Órdenes primer cliente],TableDailySummary[Fecha],"&gt;="&amp;TableWeeklySummary[[#This Row],[Desde]],TableDailySummary[Fecha],"&lt;="&amp;TableWeeklySummary[[#This Row],[Hasta]])</f>
        <v>0</v>
      </c>
      <c r="L402" s="12">
        <f ca="1">SUMIFS(TableDailySummary[Online Store_net_sales],TableDailySummary[Fecha],"&gt;="&amp;TableWeeklySummary[[#This Row],[Desde]],TableDailySummary[Fecha],"&lt;="&amp;TableWeeklySummary[[#This Row],[Hasta]])</f>
        <v>0</v>
      </c>
      <c r="M402" s="12">
        <f ca="1">SUMIFS(TableDailySummary[Online Store_orders],TableDailySummary[Fecha],"&gt;="&amp;TableWeeklySummary[[#This Row],[Desde]],TableDailySummary[Fecha],"&lt;="&amp;TableWeeklySummary[[#This Row],[Hasta]])</f>
        <v>0</v>
      </c>
      <c r="N402" s="12">
        <f ca="1">SUMIFS(TableDailySummary[Tienda 81_net_sales],TableDailySummary[Fecha],"&gt;="&amp;TableWeeklySummary[[#This Row],[Desde]],TableDailySummary[Fecha],"&lt;="&amp;TableWeeklySummary[[#This Row],[Hasta]])</f>
        <v>0</v>
      </c>
      <c r="O402" s="12">
        <f ca="1">SUMIFS(TableDailySummary[Tienda 81_orders],TableDailySummary[Fecha],"&gt;="&amp;TableWeeklySummary[[#This Row],[Desde]],TableDailySummary[Fecha],"&lt;="&amp;TableWeeklySummary[[#This Row],[Hasta]])</f>
        <v>0</v>
      </c>
      <c r="P402" s="12">
        <f ca="1">SUMIFS(TableDailySummary[Rappi_net_sales],TableDailySummary[Fecha],"&gt;="&amp;TableWeeklySummary[[#This Row],[Desde]],TableDailySummary[Fecha],"&lt;="&amp;TableWeeklySummary[[#This Row],[Hasta]])</f>
        <v>0</v>
      </c>
      <c r="Q402" s="12">
        <f ca="1">SUMIFS(TableDailySummary[Rappi_orders],TableDailySummary[Fecha],"&gt;="&amp;TableWeeklySummary[[#This Row],[Desde]],TableDailySummary[Fecha],"&lt;="&amp;TableWeeklySummary[[#This Row],[Hasta]])</f>
        <v>0</v>
      </c>
      <c r="R40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0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02" s="12">
        <f ca="1">SUMIFS(TableDailySummary[Inversión google ads],TableDailySummary[Fecha],"&gt;="&amp;TableWeeklySummary[[#This Row],[Desde]],TableDailySummary[Fecha],"&lt;="&amp;TableWeeklySummary[[#This Row],[Hasta]])</f>
        <v>0</v>
      </c>
      <c r="U402" s="12">
        <f ca="1">SUMIFS(TableDailySummary[Ventas google ads],TableDailySummary[Fecha],"&gt;="&amp;TableWeeklySummary[[#This Row],[Desde]],TableDailySummary[Fecha],"&lt;="&amp;TableWeeklySummary[[#This Row],[Hasta]])</f>
        <v>0</v>
      </c>
      <c r="V402" s="12">
        <f ca="1">SUMIFS(TableDailySummary[Inversión meta ads],TableDailySummary[Fecha],"&gt;="&amp;TableWeeklySummary[[#This Row],[Desde]],TableDailySummary[Fecha],"&lt;="&amp;TableWeeklySummary[[#This Row],[Hasta]])</f>
        <v>0</v>
      </c>
      <c r="W402" s="12">
        <f ca="1">SUMIFS(TableDailySummary[Ventas meta ads],TableDailySummary[Fecha],"&gt;="&amp;TableWeeklySummary[[#This Row],[Desde]],TableDailySummary[Fecha],"&lt;="&amp;TableWeeklySummary[[#This Row],[Hasta]])</f>
        <v>0</v>
      </c>
      <c r="X402" s="12">
        <f ca="1">TableWeeklySummary[[#This Row],[Inversión google ads]]+TableWeeklySummary[[#This Row],[Inversión meta ads]]</f>
        <v>0</v>
      </c>
      <c r="Y402" s="12">
        <f ca="1">TableWeeklySummary[[#This Row],[Ventas google ads]]+TableWeeklySummary[[#This Row],[Ventas meta ads]]</f>
        <v>0</v>
      </c>
      <c r="Z402" s="14">
        <f ca="1">IFERROR(TableWeeklySummary[[#This Row],[Ventas publicidad]]/TableWeeklySummary[[#This Row],[Inversión publicidad]],0)</f>
        <v>0</v>
      </c>
      <c r="AA402" s="14">
        <f ca="1">IFERROR(TableWeeklySummary[[#This Row],[Ventas primer cliente]]/TableWeeklySummary[[#This Row],[Inversión publicidad]],0)</f>
        <v>0</v>
      </c>
      <c r="AB402" s="14"/>
      <c r="AC402" s="12"/>
      <c r="AI40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0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02" s="12">
        <f ca="1">SUMIFS(TableDailySummary[Utilidad bruta],TableDailySummary[Fecha],"&gt;="&amp;TableWeeklySummary[[#This Row],[Desde]],TableDailySummary[Fecha],"&lt;="&amp;TableWeeklySummary[[#This Row],[Hasta]])</f>
        <v>0</v>
      </c>
      <c r="AL402" s="18">
        <f ca="1">IFERROR(TableWeeklySummary[[#This Row],[Utilidad bruta]]/TableWeeklySummary[[#This Row],[Ventas netas con costo registrado]],0)</f>
        <v>0</v>
      </c>
    </row>
    <row r="403" spans="2:38" x14ac:dyDescent="0.2">
      <c r="B403" s="16">
        <f ca="1">_xlfn.ISOWEEKNUM(TableWeeklySummary[[#This Row],[Hasta]])</f>
        <v>23</v>
      </c>
      <c r="C403" s="6">
        <f t="shared" ca="1" si="8"/>
        <v>48733</v>
      </c>
      <c r="D403" s="6">
        <f ca="1">TableWeeklySummary[[#This Row],[Desde]]+7-1</f>
        <v>48739</v>
      </c>
      <c r="E403" s="12">
        <f ca="1">SUMIFS(TableDailySummary[Ventas netas totales],TableDailySummary[Fecha],"&gt;="&amp;TableWeeklySummary[[#This Row],[Desde]],TableDailySummary[Fecha],"&lt;="&amp;TableWeeklySummary[[#This Row],[Hasta]])</f>
        <v>0</v>
      </c>
      <c r="F403" s="12">
        <f ca="1">SUMIFS(TableDailySummary[Órdenes totales],TableDailySummary[Fecha],"&gt;="&amp;TableWeeklySummary[[#This Row],[Desde]],TableDailySummary[Fecha],"&lt;="&amp;TableWeeklySummary[[#This Row],[Hasta]])</f>
        <v>0</v>
      </c>
      <c r="G403" s="12">
        <f ca="1">IFERROR(TableWeeklySummary[[#This Row],[Ventas netas totales]]/TableWeeklySummary[[#This Row],[Órdenes totales]],0)</f>
        <v>0</v>
      </c>
      <c r="H40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03" s="12">
        <f ca="1">TableWeeklySummary[[#This Row],[Órden promedio totales]]*TableWeeklySummary[[#This Row],[CR totales]]</f>
        <v>0</v>
      </c>
      <c r="J403" s="12">
        <f ca="1">SUMIFS(TableDailySummary[Ventas primer cliente],TableDailySummary[Fecha],"&gt;="&amp;TableWeeklySummary[[#This Row],[Desde]],TableDailySummary[Fecha],"&lt;="&amp;TableWeeklySummary[[#This Row],[Hasta]])</f>
        <v>0</v>
      </c>
      <c r="K403" s="12">
        <f ca="1">SUMIFS(TableDailySummary[Órdenes primer cliente],TableDailySummary[Fecha],"&gt;="&amp;TableWeeklySummary[[#This Row],[Desde]],TableDailySummary[Fecha],"&lt;="&amp;TableWeeklySummary[[#This Row],[Hasta]])</f>
        <v>0</v>
      </c>
      <c r="L403" s="12">
        <f ca="1">SUMIFS(TableDailySummary[Online Store_net_sales],TableDailySummary[Fecha],"&gt;="&amp;TableWeeklySummary[[#This Row],[Desde]],TableDailySummary[Fecha],"&lt;="&amp;TableWeeklySummary[[#This Row],[Hasta]])</f>
        <v>0</v>
      </c>
      <c r="M403" s="12">
        <f ca="1">SUMIFS(TableDailySummary[Online Store_orders],TableDailySummary[Fecha],"&gt;="&amp;TableWeeklySummary[[#This Row],[Desde]],TableDailySummary[Fecha],"&lt;="&amp;TableWeeklySummary[[#This Row],[Hasta]])</f>
        <v>0</v>
      </c>
      <c r="N403" s="12">
        <f ca="1">SUMIFS(TableDailySummary[Tienda 81_net_sales],TableDailySummary[Fecha],"&gt;="&amp;TableWeeklySummary[[#This Row],[Desde]],TableDailySummary[Fecha],"&lt;="&amp;TableWeeklySummary[[#This Row],[Hasta]])</f>
        <v>0</v>
      </c>
      <c r="O403" s="12">
        <f ca="1">SUMIFS(TableDailySummary[Tienda 81_orders],TableDailySummary[Fecha],"&gt;="&amp;TableWeeklySummary[[#This Row],[Desde]],TableDailySummary[Fecha],"&lt;="&amp;TableWeeklySummary[[#This Row],[Hasta]])</f>
        <v>0</v>
      </c>
      <c r="P403" s="12">
        <f ca="1">SUMIFS(TableDailySummary[Rappi_net_sales],TableDailySummary[Fecha],"&gt;="&amp;TableWeeklySummary[[#This Row],[Desde]],TableDailySummary[Fecha],"&lt;="&amp;TableWeeklySummary[[#This Row],[Hasta]])</f>
        <v>0</v>
      </c>
      <c r="Q403" s="12">
        <f ca="1">SUMIFS(TableDailySummary[Rappi_orders],TableDailySummary[Fecha],"&gt;="&amp;TableWeeklySummary[[#This Row],[Desde]],TableDailySummary[Fecha],"&lt;="&amp;TableWeeklySummary[[#This Row],[Hasta]])</f>
        <v>0</v>
      </c>
      <c r="R40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0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03" s="12">
        <f ca="1">SUMIFS(TableDailySummary[Inversión google ads],TableDailySummary[Fecha],"&gt;="&amp;TableWeeklySummary[[#This Row],[Desde]],TableDailySummary[Fecha],"&lt;="&amp;TableWeeklySummary[[#This Row],[Hasta]])</f>
        <v>0</v>
      </c>
      <c r="U403" s="12">
        <f ca="1">SUMIFS(TableDailySummary[Ventas google ads],TableDailySummary[Fecha],"&gt;="&amp;TableWeeklySummary[[#This Row],[Desde]],TableDailySummary[Fecha],"&lt;="&amp;TableWeeklySummary[[#This Row],[Hasta]])</f>
        <v>0</v>
      </c>
      <c r="V403" s="12">
        <f ca="1">SUMIFS(TableDailySummary[Inversión meta ads],TableDailySummary[Fecha],"&gt;="&amp;TableWeeklySummary[[#This Row],[Desde]],TableDailySummary[Fecha],"&lt;="&amp;TableWeeklySummary[[#This Row],[Hasta]])</f>
        <v>0</v>
      </c>
      <c r="W403" s="12">
        <f ca="1">SUMIFS(TableDailySummary[Ventas meta ads],TableDailySummary[Fecha],"&gt;="&amp;TableWeeklySummary[[#This Row],[Desde]],TableDailySummary[Fecha],"&lt;="&amp;TableWeeklySummary[[#This Row],[Hasta]])</f>
        <v>0</v>
      </c>
      <c r="X403" s="12">
        <f ca="1">TableWeeklySummary[[#This Row],[Inversión google ads]]+TableWeeklySummary[[#This Row],[Inversión meta ads]]</f>
        <v>0</v>
      </c>
      <c r="Y403" s="12">
        <f ca="1">TableWeeklySummary[[#This Row],[Ventas google ads]]+TableWeeklySummary[[#This Row],[Ventas meta ads]]</f>
        <v>0</v>
      </c>
      <c r="Z403" s="14">
        <f ca="1">IFERROR(TableWeeklySummary[[#This Row],[Ventas publicidad]]/TableWeeklySummary[[#This Row],[Inversión publicidad]],0)</f>
        <v>0</v>
      </c>
      <c r="AA403" s="14">
        <f ca="1">IFERROR(TableWeeklySummary[[#This Row],[Ventas primer cliente]]/TableWeeklySummary[[#This Row],[Inversión publicidad]],0)</f>
        <v>0</v>
      </c>
      <c r="AB403" s="14"/>
      <c r="AC403" s="12"/>
      <c r="AI40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0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03" s="12">
        <f ca="1">SUMIFS(TableDailySummary[Utilidad bruta],TableDailySummary[Fecha],"&gt;="&amp;TableWeeklySummary[[#This Row],[Desde]],TableDailySummary[Fecha],"&lt;="&amp;TableWeeklySummary[[#This Row],[Hasta]])</f>
        <v>0</v>
      </c>
      <c r="AL403" s="18">
        <f ca="1">IFERROR(TableWeeklySummary[[#This Row],[Utilidad bruta]]/TableWeeklySummary[[#This Row],[Ventas netas con costo registrado]],0)</f>
        <v>0</v>
      </c>
    </row>
    <row r="404" spans="2:38" x14ac:dyDescent="0.2">
      <c r="B404" s="16">
        <f ca="1">_xlfn.ISOWEEKNUM(TableWeeklySummary[[#This Row],[Hasta]])</f>
        <v>24</v>
      </c>
      <c r="C404" s="6">
        <f t="shared" ca="1" si="8"/>
        <v>48740</v>
      </c>
      <c r="D404" s="6">
        <f ca="1">TableWeeklySummary[[#This Row],[Desde]]+7-1</f>
        <v>48746</v>
      </c>
      <c r="E404" s="12">
        <f ca="1">SUMIFS(TableDailySummary[Ventas netas totales],TableDailySummary[Fecha],"&gt;="&amp;TableWeeklySummary[[#This Row],[Desde]],TableDailySummary[Fecha],"&lt;="&amp;TableWeeklySummary[[#This Row],[Hasta]])</f>
        <v>0</v>
      </c>
      <c r="F404" s="12">
        <f ca="1">SUMIFS(TableDailySummary[Órdenes totales],TableDailySummary[Fecha],"&gt;="&amp;TableWeeklySummary[[#This Row],[Desde]],TableDailySummary[Fecha],"&lt;="&amp;TableWeeklySummary[[#This Row],[Hasta]])</f>
        <v>0</v>
      </c>
      <c r="G404" s="12">
        <f ca="1">IFERROR(TableWeeklySummary[[#This Row],[Ventas netas totales]]/TableWeeklySummary[[#This Row],[Órdenes totales]],0)</f>
        <v>0</v>
      </c>
      <c r="H40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04" s="12">
        <f ca="1">TableWeeklySummary[[#This Row],[Órden promedio totales]]*TableWeeklySummary[[#This Row],[CR totales]]</f>
        <v>0</v>
      </c>
      <c r="J404" s="12">
        <f ca="1">SUMIFS(TableDailySummary[Ventas primer cliente],TableDailySummary[Fecha],"&gt;="&amp;TableWeeklySummary[[#This Row],[Desde]],TableDailySummary[Fecha],"&lt;="&amp;TableWeeklySummary[[#This Row],[Hasta]])</f>
        <v>0</v>
      </c>
      <c r="K404" s="12">
        <f ca="1">SUMIFS(TableDailySummary[Órdenes primer cliente],TableDailySummary[Fecha],"&gt;="&amp;TableWeeklySummary[[#This Row],[Desde]],TableDailySummary[Fecha],"&lt;="&amp;TableWeeklySummary[[#This Row],[Hasta]])</f>
        <v>0</v>
      </c>
      <c r="L404" s="12">
        <f ca="1">SUMIFS(TableDailySummary[Online Store_net_sales],TableDailySummary[Fecha],"&gt;="&amp;TableWeeklySummary[[#This Row],[Desde]],TableDailySummary[Fecha],"&lt;="&amp;TableWeeklySummary[[#This Row],[Hasta]])</f>
        <v>0</v>
      </c>
      <c r="M404" s="12">
        <f ca="1">SUMIFS(TableDailySummary[Online Store_orders],TableDailySummary[Fecha],"&gt;="&amp;TableWeeklySummary[[#This Row],[Desde]],TableDailySummary[Fecha],"&lt;="&amp;TableWeeklySummary[[#This Row],[Hasta]])</f>
        <v>0</v>
      </c>
      <c r="N404" s="12">
        <f ca="1">SUMIFS(TableDailySummary[Tienda 81_net_sales],TableDailySummary[Fecha],"&gt;="&amp;TableWeeklySummary[[#This Row],[Desde]],TableDailySummary[Fecha],"&lt;="&amp;TableWeeklySummary[[#This Row],[Hasta]])</f>
        <v>0</v>
      </c>
      <c r="O404" s="12">
        <f ca="1">SUMIFS(TableDailySummary[Tienda 81_orders],TableDailySummary[Fecha],"&gt;="&amp;TableWeeklySummary[[#This Row],[Desde]],TableDailySummary[Fecha],"&lt;="&amp;TableWeeklySummary[[#This Row],[Hasta]])</f>
        <v>0</v>
      </c>
      <c r="P404" s="12">
        <f ca="1">SUMIFS(TableDailySummary[Rappi_net_sales],TableDailySummary[Fecha],"&gt;="&amp;TableWeeklySummary[[#This Row],[Desde]],TableDailySummary[Fecha],"&lt;="&amp;TableWeeklySummary[[#This Row],[Hasta]])</f>
        <v>0</v>
      </c>
      <c r="Q404" s="12">
        <f ca="1">SUMIFS(TableDailySummary[Rappi_orders],TableDailySummary[Fecha],"&gt;="&amp;TableWeeklySummary[[#This Row],[Desde]],TableDailySummary[Fecha],"&lt;="&amp;TableWeeklySummary[[#This Row],[Hasta]])</f>
        <v>0</v>
      </c>
      <c r="R40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0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04" s="12">
        <f ca="1">SUMIFS(TableDailySummary[Inversión google ads],TableDailySummary[Fecha],"&gt;="&amp;TableWeeklySummary[[#This Row],[Desde]],TableDailySummary[Fecha],"&lt;="&amp;TableWeeklySummary[[#This Row],[Hasta]])</f>
        <v>0</v>
      </c>
      <c r="U404" s="12">
        <f ca="1">SUMIFS(TableDailySummary[Ventas google ads],TableDailySummary[Fecha],"&gt;="&amp;TableWeeklySummary[[#This Row],[Desde]],TableDailySummary[Fecha],"&lt;="&amp;TableWeeklySummary[[#This Row],[Hasta]])</f>
        <v>0</v>
      </c>
      <c r="V404" s="12">
        <f ca="1">SUMIFS(TableDailySummary[Inversión meta ads],TableDailySummary[Fecha],"&gt;="&amp;TableWeeklySummary[[#This Row],[Desde]],TableDailySummary[Fecha],"&lt;="&amp;TableWeeklySummary[[#This Row],[Hasta]])</f>
        <v>0</v>
      </c>
      <c r="W404" s="12">
        <f ca="1">SUMIFS(TableDailySummary[Ventas meta ads],TableDailySummary[Fecha],"&gt;="&amp;TableWeeklySummary[[#This Row],[Desde]],TableDailySummary[Fecha],"&lt;="&amp;TableWeeklySummary[[#This Row],[Hasta]])</f>
        <v>0</v>
      </c>
      <c r="X404" s="12">
        <f ca="1">TableWeeklySummary[[#This Row],[Inversión google ads]]+TableWeeklySummary[[#This Row],[Inversión meta ads]]</f>
        <v>0</v>
      </c>
      <c r="Y404" s="12">
        <f ca="1">TableWeeklySummary[[#This Row],[Ventas google ads]]+TableWeeklySummary[[#This Row],[Ventas meta ads]]</f>
        <v>0</v>
      </c>
      <c r="Z404" s="14">
        <f ca="1">IFERROR(TableWeeklySummary[[#This Row],[Ventas publicidad]]/TableWeeklySummary[[#This Row],[Inversión publicidad]],0)</f>
        <v>0</v>
      </c>
      <c r="AA404" s="14">
        <f ca="1">IFERROR(TableWeeklySummary[[#This Row],[Ventas primer cliente]]/TableWeeklySummary[[#This Row],[Inversión publicidad]],0)</f>
        <v>0</v>
      </c>
      <c r="AB404" s="14"/>
      <c r="AC404" s="12"/>
      <c r="AI40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0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04" s="12">
        <f ca="1">SUMIFS(TableDailySummary[Utilidad bruta],TableDailySummary[Fecha],"&gt;="&amp;TableWeeklySummary[[#This Row],[Desde]],TableDailySummary[Fecha],"&lt;="&amp;TableWeeklySummary[[#This Row],[Hasta]])</f>
        <v>0</v>
      </c>
      <c r="AL404" s="18">
        <f ca="1">IFERROR(TableWeeklySummary[[#This Row],[Utilidad bruta]]/TableWeeklySummary[[#This Row],[Ventas netas con costo registrado]],0)</f>
        <v>0</v>
      </c>
    </row>
    <row r="405" spans="2:38" x14ac:dyDescent="0.2">
      <c r="B405" s="16">
        <f ca="1">_xlfn.ISOWEEKNUM(TableWeeklySummary[[#This Row],[Hasta]])</f>
        <v>25</v>
      </c>
      <c r="C405" s="6">
        <f t="shared" ca="1" si="8"/>
        <v>48747</v>
      </c>
      <c r="D405" s="6">
        <f ca="1">TableWeeklySummary[[#This Row],[Desde]]+7-1</f>
        <v>48753</v>
      </c>
      <c r="E405" s="12">
        <f ca="1">SUMIFS(TableDailySummary[Ventas netas totales],TableDailySummary[Fecha],"&gt;="&amp;TableWeeklySummary[[#This Row],[Desde]],TableDailySummary[Fecha],"&lt;="&amp;TableWeeklySummary[[#This Row],[Hasta]])</f>
        <v>0</v>
      </c>
      <c r="F405" s="12">
        <f ca="1">SUMIFS(TableDailySummary[Órdenes totales],TableDailySummary[Fecha],"&gt;="&amp;TableWeeklySummary[[#This Row],[Desde]],TableDailySummary[Fecha],"&lt;="&amp;TableWeeklySummary[[#This Row],[Hasta]])</f>
        <v>0</v>
      </c>
      <c r="G405" s="12">
        <f ca="1">IFERROR(TableWeeklySummary[[#This Row],[Ventas netas totales]]/TableWeeklySummary[[#This Row],[Órdenes totales]],0)</f>
        <v>0</v>
      </c>
      <c r="H40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05" s="12">
        <f ca="1">TableWeeklySummary[[#This Row],[Órden promedio totales]]*TableWeeklySummary[[#This Row],[CR totales]]</f>
        <v>0</v>
      </c>
      <c r="J405" s="12">
        <f ca="1">SUMIFS(TableDailySummary[Ventas primer cliente],TableDailySummary[Fecha],"&gt;="&amp;TableWeeklySummary[[#This Row],[Desde]],TableDailySummary[Fecha],"&lt;="&amp;TableWeeklySummary[[#This Row],[Hasta]])</f>
        <v>0</v>
      </c>
      <c r="K405" s="12">
        <f ca="1">SUMIFS(TableDailySummary[Órdenes primer cliente],TableDailySummary[Fecha],"&gt;="&amp;TableWeeklySummary[[#This Row],[Desde]],TableDailySummary[Fecha],"&lt;="&amp;TableWeeklySummary[[#This Row],[Hasta]])</f>
        <v>0</v>
      </c>
      <c r="L405" s="12">
        <f ca="1">SUMIFS(TableDailySummary[Online Store_net_sales],TableDailySummary[Fecha],"&gt;="&amp;TableWeeklySummary[[#This Row],[Desde]],TableDailySummary[Fecha],"&lt;="&amp;TableWeeklySummary[[#This Row],[Hasta]])</f>
        <v>0</v>
      </c>
      <c r="M405" s="12">
        <f ca="1">SUMIFS(TableDailySummary[Online Store_orders],TableDailySummary[Fecha],"&gt;="&amp;TableWeeklySummary[[#This Row],[Desde]],TableDailySummary[Fecha],"&lt;="&amp;TableWeeklySummary[[#This Row],[Hasta]])</f>
        <v>0</v>
      </c>
      <c r="N405" s="12">
        <f ca="1">SUMIFS(TableDailySummary[Tienda 81_net_sales],TableDailySummary[Fecha],"&gt;="&amp;TableWeeklySummary[[#This Row],[Desde]],TableDailySummary[Fecha],"&lt;="&amp;TableWeeklySummary[[#This Row],[Hasta]])</f>
        <v>0</v>
      </c>
      <c r="O405" s="12">
        <f ca="1">SUMIFS(TableDailySummary[Tienda 81_orders],TableDailySummary[Fecha],"&gt;="&amp;TableWeeklySummary[[#This Row],[Desde]],TableDailySummary[Fecha],"&lt;="&amp;TableWeeklySummary[[#This Row],[Hasta]])</f>
        <v>0</v>
      </c>
      <c r="P405" s="12">
        <f ca="1">SUMIFS(TableDailySummary[Rappi_net_sales],TableDailySummary[Fecha],"&gt;="&amp;TableWeeklySummary[[#This Row],[Desde]],TableDailySummary[Fecha],"&lt;="&amp;TableWeeklySummary[[#This Row],[Hasta]])</f>
        <v>0</v>
      </c>
      <c r="Q405" s="12">
        <f ca="1">SUMIFS(TableDailySummary[Rappi_orders],TableDailySummary[Fecha],"&gt;="&amp;TableWeeklySummary[[#This Row],[Desde]],TableDailySummary[Fecha],"&lt;="&amp;TableWeeklySummary[[#This Row],[Hasta]])</f>
        <v>0</v>
      </c>
      <c r="R40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0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05" s="12">
        <f ca="1">SUMIFS(TableDailySummary[Inversión google ads],TableDailySummary[Fecha],"&gt;="&amp;TableWeeklySummary[[#This Row],[Desde]],TableDailySummary[Fecha],"&lt;="&amp;TableWeeklySummary[[#This Row],[Hasta]])</f>
        <v>0</v>
      </c>
      <c r="U405" s="12">
        <f ca="1">SUMIFS(TableDailySummary[Ventas google ads],TableDailySummary[Fecha],"&gt;="&amp;TableWeeklySummary[[#This Row],[Desde]],TableDailySummary[Fecha],"&lt;="&amp;TableWeeklySummary[[#This Row],[Hasta]])</f>
        <v>0</v>
      </c>
      <c r="V405" s="12">
        <f ca="1">SUMIFS(TableDailySummary[Inversión meta ads],TableDailySummary[Fecha],"&gt;="&amp;TableWeeklySummary[[#This Row],[Desde]],TableDailySummary[Fecha],"&lt;="&amp;TableWeeklySummary[[#This Row],[Hasta]])</f>
        <v>0</v>
      </c>
      <c r="W405" s="12">
        <f ca="1">SUMIFS(TableDailySummary[Ventas meta ads],TableDailySummary[Fecha],"&gt;="&amp;TableWeeklySummary[[#This Row],[Desde]],TableDailySummary[Fecha],"&lt;="&amp;TableWeeklySummary[[#This Row],[Hasta]])</f>
        <v>0</v>
      </c>
      <c r="X405" s="12">
        <f ca="1">TableWeeklySummary[[#This Row],[Inversión google ads]]+TableWeeklySummary[[#This Row],[Inversión meta ads]]</f>
        <v>0</v>
      </c>
      <c r="Y405" s="12">
        <f ca="1">TableWeeklySummary[[#This Row],[Ventas google ads]]+TableWeeklySummary[[#This Row],[Ventas meta ads]]</f>
        <v>0</v>
      </c>
      <c r="Z405" s="14">
        <f ca="1">IFERROR(TableWeeklySummary[[#This Row],[Ventas publicidad]]/TableWeeklySummary[[#This Row],[Inversión publicidad]],0)</f>
        <v>0</v>
      </c>
      <c r="AA405" s="14">
        <f ca="1">IFERROR(TableWeeklySummary[[#This Row],[Ventas primer cliente]]/TableWeeklySummary[[#This Row],[Inversión publicidad]],0)</f>
        <v>0</v>
      </c>
      <c r="AB405" s="14"/>
      <c r="AC405" s="12"/>
      <c r="AI40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0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05" s="12">
        <f ca="1">SUMIFS(TableDailySummary[Utilidad bruta],TableDailySummary[Fecha],"&gt;="&amp;TableWeeklySummary[[#This Row],[Desde]],TableDailySummary[Fecha],"&lt;="&amp;TableWeeklySummary[[#This Row],[Hasta]])</f>
        <v>0</v>
      </c>
      <c r="AL405" s="18">
        <f ca="1">IFERROR(TableWeeklySummary[[#This Row],[Utilidad bruta]]/TableWeeklySummary[[#This Row],[Ventas netas con costo registrado]],0)</f>
        <v>0</v>
      </c>
    </row>
    <row r="406" spans="2:38" x14ac:dyDescent="0.2">
      <c r="B406" s="16">
        <f ca="1">_xlfn.ISOWEEKNUM(TableWeeklySummary[[#This Row],[Hasta]])</f>
        <v>26</v>
      </c>
      <c r="C406" s="6">
        <f t="shared" ca="1" si="8"/>
        <v>48754</v>
      </c>
      <c r="D406" s="6">
        <f ca="1">TableWeeklySummary[[#This Row],[Desde]]+7-1</f>
        <v>48760</v>
      </c>
      <c r="E406" s="12">
        <f ca="1">SUMIFS(TableDailySummary[Ventas netas totales],TableDailySummary[Fecha],"&gt;="&amp;TableWeeklySummary[[#This Row],[Desde]],TableDailySummary[Fecha],"&lt;="&amp;TableWeeklySummary[[#This Row],[Hasta]])</f>
        <v>0</v>
      </c>
      <c r="F406" s="12">
        <f ca="1">SUMIFS(TableDailySummary[Órdenes totales],TableDailySummary[Fecha],"&gt;="&amp;TableWeeklySummary[[#This Row],[Desde]],TableDailySummary[Fecha],"&lt;="&amp;TableWeeklySummary[[#This Row],[Hasta]])</f>
        <v>0</v>
      </c>
      <c r="G406" s="12">
        <f ca="1">IFERROR(TableWeeklySummary[[#This Row],[Ventas netas totales]]/TableWeeklySummary[[#This Row],[Órdenes totales]],0)</f>
        <v>0</v>
      </c>
      <c r="H40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06" s="12">
        <f ca="1">TableWeeklySummary[[#This Row],[Órden promedio totales]]*TableWeeklySummary[[#This Row],[CR totales]]</f>
        <v>0</v>
      </c>
      <c r="J406" s="12">
        <f ca="1">SUMIFS(TableDailySummary[Ventas primer cliente],TableDailySummary[Fecha],"&gt;="&amp;TableWeeklySummary[[#This Row],[Desde]],TableDailySummary[Fecha],"&lt;="&amp;TableWeeklySummary[[#This Row],[Hasta]])</f>
        <v>0</v>
      </c>
      <c r="K406" s="12">
        <f ca="1">SUMIFS(TableDailySummary[Órdenes primer cliente],TableDailySummary[Fecha],"&gt;="&amp;TableWeeklySummary[[#This Row],[Desde]],TableDailySummary[Fecha],"&lt;="&amp;TableWeeklySummary[[#This Row],[Hasta]])</f>
        <v>0</v>
      </c>
      <c r="L406" s="12">
        <f ca="1">SUMIFS(TableDailySummary[Online Store_net_sales],TableDailySummary[Fecha],"&gt;="&amp;TableWeeklySummary[[#This Row],[Desde]],TableDailySummary[Fecha],"&lt;="&amp;TableWeeklySummary[[#This Row],[Hasta]])</f>
        <v>0</v>
      </c>
      <c r="M406" s="12">
        <f ca="1">SUMIFS(TableDailySummary[Online Store_orders],TableDailySummary[Fecha],"&gt;="&amp;TableWeeklySummary[[#This Row],[Desde]],TableDailySummary[Fecha],"&lt;="&amp;TableWeeklySummary[[#This Row],[Hasta]])</f>
        <v>0</v>
      </c>
      <c r="N406" s="12">
        <f ca="1">SUMIFS(TableDailySummary[Tienda 81_net_sales],TableDailySummary[Fecha],"&gt;="&amp;TableWeeklySummary[[#This Row],[Desde]],TableDailySummary[Fecha],"&lt;="&amp;TableWeeklySummary[[#This Row],[Hasta]])</f>
        <v>0</v>
      </c>
      <c r="O406" s="12">
        <f ca="1">SUMIFS(TableDailySummary[Tienda 81_orders],TableDailySummary[Fecha],"&gt;="&amp;TableWeeklySummary[[#This Row],[Desde]],TableDailySummary[Fecha],"&lt;="&amp;TableWeeklySummary[[#This Row],[Hasta]])</f>
        <v>0</v>
      </c>
      <c r="P406" s="12">
        <f ca="1">SUMIFS(TableDailySummary[Rappi_net_sales],TableDailySummary[Fecha],"&gt;="&amp;TableWeeklySummary[[#This Row],[Desde]],TableDailySummary[Fecha],"&lt;="&amp;TableWeeklySummary[[#This Row],[Hasta]])</f>
        <v>0</v>
      </c>
      <c r="Q406" s="12">
        <f ca="1">SUMIFS(TableDailySummary[Rappi_orders],TableDailySummary[Fecha],"&gt;="&amp;TableWeeklySummary[[#This Row],[Desde]],TableDailySummary[Fecha],"&lt;="&amp;TableWeeklySummary[[#This Row],[Hasta]])</f>
        <v>0</v>
      </c>
      <c r="R40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0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06" s="12">
        <f ca="1">SUMIFS(TableDailySummary[Inversión google ads],TableDailySummary[Fecha],"&gt;="&amp;TableWeeklySummary[[#This Row],[Desde]],TableDailySummary[Fecha],"&lt;="&amp;TableWeeklySummary[[#This Row],[Hasta]])</f>
        <v>0</v>
      </c>
      <c r="U406" s="12">
        <f ca="1">SUMIFS(TableDailySummary[Ventas google ads],TableDailySummary[Fecha],"&gt;="&amp;TableWeeklySummary[[#This Row],[Desde]],TableDailySummary[Fecha],"&lt;="&amp;TableWeeklySummary[[#This Row],[Hasta]])</f>
        <v>0</v>
      </c>
      <c r="V406" s="12">
        <f ca="1">SUMIFS(TableDailySummary[Inversión meta ads],TableDailySummary[Fecha],"&gt;="&amp;TableWeeklySummary[[#This Row],[Desde]],TableDailySummary[Fecha],"&lt;="&amp;TableWeeklySummary[[#This Row],[Hasta]])</f>
        <v>0</v>
      </c>
      <c r="W406" s="12">
        <f ca="1">SUMIFS(TableDailySummary[Ventas meta ads],TableDailySummary[Fecha],"&gt;="&amp;TableWeeklySummary[[#This Row],[Desde]],TableDailySummary[Fecha],"&lt;="&amp;TableWeeklySummary[[#This Row],[Hasta]])</f>
        <v>0</v>
      </c>
      <c r="X406" s="12">
        <f ca="1">TableWeeklySummary[[#This Row],[Inversión google ads]]+TableWeeklySummary[[#This Row],[Inversión meta ads]]</f>
        <v>0</v>
      </c>
      <c r="Y406" s="12">
        <f ca="1">TableWeeklySummary[[#This Row],[Ventas google ads]]+TableWeeklySummary[[#This Row],[Ventas meta ads]]</f>
        <v>0</v>
      </c>
      <c r="Z406" s="14">
        <f ca="1">IFERROR(TableWeeklySummary[[#This Row],[Ventas publicidad]]/TableWeeklySummary[[#This Row],[Inversión publicidad]],0)</f>
        <v>0</v>
      </c>
      <c r="AA406" s="14">
        <f ca="1">IFERROR(TableWeeklySummary[[#This Row],[Ventas primer cliente]]/TableWeeklySummary[[#This Row],[Inversión publicidad]],0)</f>
        <v>0</v>
      </c>
      <c r="AB406" s="14"/>
      <c r="AC406" s="12"/>
      <c r="AI40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0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06" s="12">
        <f ca="1">SUMIFS(TableDailySummary[Utilidad bruta],TableDailySummary[Fecha],"&gt;="&amp;TableWeeklySummary[[#This Row],[Desde]],TableDailySummary[Fecha],"&lt;="&amp;TableWeeklySummary[[#This Row],[Hasta]])</f>
        <v>0</v>
      </c>
      <c r="AL406" s="18">
        <f ca="1">IFERROR(TableWeeklySummary[[#This Row],[Utilidad bruta]]/TableWeeklySummary[[#This Row],[Ventas netas con costo registrado]],0)</f>
        <v>0</v>
      </c>
    </row>
    <row r="407" spans="2:38" x14ac:dyDescent="0.2">
      <c r="B407" s="16">
        <f ca="1">_xlfn.ISOWEEKNUM(TableWeeklySummary[[#This Row],[Hasta]])</f>
        <v>27</v>
      </c>
      <c r="C407" s="6">
        <f t="shared" ca="1" si="8"/>
        <v>48761</v>
      </c>
      <c r="D407" s="6">
        <f ca="1">TableWeeklySummary[[#This Row],[Desde]]+7-1</f>
        <v>48767</v>
      </c>
      <c r="E407" s="12">
        <f ca="1">SUMIFS(TableDailySummary[Ventas netas totales],TableDailySummary[Fecha],"&gt;="&amp;TableWeeklySummary[[#This Row],[Desde]],TableDailySummary[Fecha],"&lt;="&amp;TableWeeklySummary[[#This Row],[Hasta]])</f>
        <v>0</v>
      </c>
      <c r="F407" s="12">
        <f ca="1">SUMIFS(TableDailySummary[Órdenes totales],TableDailySummary[Fecha],"&gt;="&amp;TableWeeklySummary[[#This Row],[Desde]],TableDailySummary[Fecha],"&lt;="&amp;TableWeeklySummary[[#This Row],[Hasta]])</f>
        <v>0</v>
      </c>
      <c r="G407" s="12">
        <f ca="1">IFERROR(TableWeeklySummary[[#This Row],[Ventas netas totales]]/TableWeeklySummary[[#This Row],[Órdenes totales]],0)</f>
        <v>0</v>
      </c>
      <c r="H40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07" s="12">
        <f ca="1">TableWeeklySummary[[#This Row],[Órden promedio totales]]*TableWeeklySummary[[#This Row],[CR totales]]</f>
        <v>0</v>
      </c>
      <c r="J407" s="12">
        <f ca="1">SUMIFS(TableDailySummary[Ventas primer cliente],TableDailySummary[Fecha],"&gt;="&amp;TableWeeklySummary[[#This Row],[Desde]],TableDailySummary[Fecha],"&lt;="&amp;TableWeeklySummary[[#This Row],[Hasta]])</f>
        <v>0</v>
      </c>
      <c r="K407" s="12">
        <f ca="1">SUMIFS(TableDailySummary[Órdenes primer cliente],TableDailySummary[Fecha],"&gt;="&amp;TableWeeklySummary[[#This Row],[Desde]],TableDailySummary[Fecha],"&lt;="&amp;TableWeeklySummary[[#This Row],[Hasta]])</f>
        <v>0</v>
      </c>
      <c r="L407" s="12">
        <f ca="1">SUMIFS(TableDailySummary[Online Store_net_sales],TableDailySummary[Fecha],"&gt;="&amp;TableWeeklySummary[[#This Row],[Desde]],TableDailySummary[Fecha],"&lt;="&amp;TableWeeklySummary[[#This Row],[Hasta]])</f>
        <v>0</v>
      </c>
      <c r="M407" s="12">
        <f ca="1">SUMIFS(TableDailySummary[Online Store_orders],TableDailySummary[Fecha],"&gt;="&amp;TableWeeklySummary[[#This Row],[Desde]],TableDailySummary[Fecha],"&lt;="&amp;TableWeeklySummary[[#This Row],[Hasta]])</f>
        <v>0</v>
      </c>
      <c r="N407" s="12">
        <f ca="1">SUMIFS(TableDailySummary[Tienda 81_net_sales],TableDailySummary[Fecha],"&gt;="&amp;TableWeeklySummary[[#This Row],[Desde]],TableDailySummary[Fecha],"&lt;="&amp;TableWeeklySummary[[#This Row],[Hasta]])</f>
        <v>0</v>
      </c>
      <c r="O407" s="12">
        <f ca="1">SUMIFS(TableDailySummary[Tienda 81_orders],TableDailySummary[Fecha],"&gt;="&amp;TableWeeklySummary[[#This Row],[Desde]],TableDailySummary[Fecha],"&lt;="&amp;TableWeeklySummary[[#This Row],[Hasta]])</f>
        <v>0</v>
      </c>
      <c r="P407" s="12">
        <f ca="1">SUMIFS(TableDailySummary[Rappi_net_sales],TableDailySummary[Fecha],"&gt;="&amp;TableWeeklySummary[[#This Row],[Desde]],TableDailySummary[Fecha],"&lt;="&amp;TableWeeklySummary[[#This Row],[Hasta]])</f>
        <v>0</v>
      </c>
      <c r="Q407" s="12">
        <f ca="1">SUMIFS(TableDailySummary[Rappi_orders],TableDailySummary[Fecha],"&gt;="&amp;TableWeeklySummary[[#This Row],[Desde]],TableDailySummary[Fecha],"&lt;="&amp;TableWeeklySummary[[#This Row],[Hasta]])</f>
        <v>0</v>
      </c>
      <c r="R40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0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07" s="12">
        <f ca="1">SUMIFS(TableDailySummary[Inversión google ads],TableDailySummary[Fecha],"&gt;="&amp;TableWeeklySummary[[#This Row],[Desde]],TableDailySummary[Fecha],"&lt;="&amp;TableWeeklySummary[[#This Row],[Hasta]])</f>
        <v>0</v>
      </c>
      <c r="U407" s="12">
        <f ca="1">SUMIFS(TableDailySummary[Ventas google ads],TableDailySummary[Fecha],"&gt;="&amp;TableWeeklySummary[[#This Row],[Desde]],TableDailySummary[Fecha],"&lt;="&amp;TableWeeklySummary[[#This Row],[Hasta]])</f>
        <v>0</v>
      </c>
      <c r="V407" s="12">
        <f ca="1">SUMIFS(TableDailySummary[Inversión meta ads],TableDailySummary[Fecha],"&gt;="&amp;TableWeeklySummary[[#This Row],[Desde]],TableDailySummary[Fecha],"&lt;="&amp;TableWeeklySummary[[#This Row],[Hasta]])</f>
        <v>0</v>
      </c>
      <c r="W407" s="12">
        <f ca="1">SUMIFS(TableDailySummary[Ventas meta ads],TableDailySummary[Fecha],"&gt;="&amp;TableWeeklySummary[[#This Row],[Desde]],TableDailySummary[Fecha],"&lt;="&amp;TableWeeklySummary[[#This Row],[Hasta]])</f>
        <v>0</v>
      </c>
      <c r="X407" s="12">
        <f ca="1">TableWeeklySummary[[#This Row],[Inversión google ads]]+TableWeeklySummary[[#This Row],[Inversión meta ads]]</f>
        <v>0</v>
      </c>
      <c r="Y407" s="12">
        <f ca="1">TableWeeklySummary[[#This Row],[Ventas google ads]]+TableWeeklySummary[[#This Row],[Ventas meta ads]]</f>
        <v>0</v>
      </c>
      <c r="Z407" s="14">
        <f ca="1">IFERROR(TableWeeklySummary[[#This Row],[Ventas publicidad]]/TableWeeklySummary[[#This Row],[Inversión publicidad]],0)</f>
        <v>0</v>
      </c>
      <c r="AA407" s="14">
        <f ca="1">IFERROR(TableWeeklySummary[[#This Row],[Ventas primer cliente]]/TableWeeklySummary[[#This Row],[Inversión publicidad]],0)</f>
        <v>0</v>
      </c>
      <c r="AB407" s="14"/>
      <c r="AC407" s="12"/>
      <c r="AI40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0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07" s="12">
        <f ca="1">SUMIFS(TableDailySummary[Utilidad bruta],TableDailySummary[Fecha],"&gt;="&amp;TableWeeklySummary[[#This Row],[Desde]],TableDailySummary[Fecha],"&lt;="&amp;TableWeeklySummary[[#This Row],[Hasta]])</f>
        <v>0</v>
      </c>
      <c r="AL407" s="18">
        <f ca="1">IFERROR(TableWeeklySummary[[#This Row],[Utilidad bruta]]/TableWeeklySummary[[#This Row],[Ventas netas con costo registrado]],0)</f>
        <v>0</v>
      </c>
    </row>
    <row r="408" spans="2:38" x14ac:dyDescent="0.2">
      <c r="B408" s="16">
        <f ca="1">_xlfn.ISOWEEKNUM(TableWeeklySummary[[#This Row],[Hasta]])</f>
        <v>28</v>
      </c>
      <c r="C408" s="6">
        <f t="shared" ca="1" si="8"/>
        <v>48768</v>
      </c>
      <c r="D408" s="6">
        <f ca="1">TableWeeklySummary[[#This Row],[Desde]]+7-1</f>
        <v>48774</v>
      </c>
      <c r="E408" s="12">
        <f ca="1">SUMIFS(TableDailySummary[Ventas netas totales],TableDailySummary[Fecha],"&gt;="&amp;TableWeeklySummary[[#This Row],[Desde]],TableDailySummary[Fecha],"&lt;="&amp;TableWeeklySummary[[#This Row],[Hasta]])</f>
        <v>0</v>
      </c>
      <c r="F408" s="12">
        <f ca="1">SUMIFS(TableDailySummary[Órdenes totales],TableDailySummary[Fecha],"&gt;="&amp;TableWeeklySummary[[#This Row],[Desde]],TableDailySummary[Fecha],"&lt;="&amp;TableWeeklySummary[[#This Row],[Hasta]])</f>
        <v>0</v>
      </c>
      <c r="G408" s="12">
        <f ca="1">IFERROR(TableWeeklySummary[[#This Row],[Ventas netas totales]]/TableWeeklySummary[[#This Row],[Órdenes totales]],0)</f>
        <v>0</v>
      </c>
      <c r="H40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08" s="12">
        <f ca="1">TableWeeklySummary[[#This Row],[Órden promedio totales]]*TableWeeklySummary[[#This Row],[CR totales]]</f>
        <v>0</v>
      </c>
      <c r="J408" s="12">
        <f ca="1">SUMIFS(TableDailySummary[Ventas primer cliente],TableDailySummary[Fecha],"&gt;="&amp;TableWeeklySummary[[#This Row],[Desde]],TableDailySummary[Fecha],"&lt;="&amp;TableWeeklySummary[[#This Row],[Hasta]])</f>
        <v>0</v>
      </c>
      <c r="K408" s="12">
        <f ca="1">SUMIFS(TableDailySummary[Órdenes primer cliente],TableDailySummary[Fecha],"&gt;="&amp;TableWeeklySummary[[#This Row],[Desde]],TableDailySummary[Fecha],"&lt;="&amp;TableWeeklySummary[[#This Row],[Hasta]])</f>
        <v>0</v>
      </c>
      <c r="L408" s="12">
        <f ca="1">SUMIFS(TableDailySummary[Online Store_net_sales],TableDailySummary[Fecha],"&gt;="&amp;TableWeeklySummary[[#This Row],[Desde]],TableDailySummary[Fecha],"&lt;="&amp;TableWeeklySummary[[#This Row],[Hasta]])</f>
        <v>0</v>
      </c>
      <c r="M408" s="12">
        <f ca="1">SUMIFS(TableDailySummary[Online Store_orders],TableDailySummary[Fecha],"&gt;="&amp;TableWeeklySummary[[#This Row],[Desde]],TableDailySummary[Fecha],"&lt;="&amp;TableWeeklySummary[[#This Row],[Hasta]])</f>
        <v>0</v>
      </c>
      <c r="N408" s="12">
        <f ca="1">SUMIFS(TableDailySummary[Tienda 81_net_sales],TableDailySummary[Fecha],"&gt;="&amp;TableWeeklySummary[[#This Row],[Desde]],TableDailySummary[Fecha],"&lt;="&amp;TableWeeklySummary[[#This Row],[Hasta]])</f>
        <v>0</v>
      </c>
      <c r="O408" s="12">
        <f ca="1">SUMIFS(TableDailySummary[Tienda 81_orders],TableDailySummary[Fecha],"&gt;="&amp;TableWeeklySummary[[#This Row],[Desde]],TableDailySummary[Fecha],"&lt;="&amp;TableWeeklySummary[[#This Row],[Hasta]])</f>
        <v>0</v>
      </c>
      <c r="P408" s="12">
        <f ca="1">SUMIFS(TableDailySummary[Rappi_net_sales],TableDailySummary[Fecha],"&gt;="&amp;TableWeeklySummary[[#This Row],[Desde]],TableDailySummary[Fecha],"&lt;="&amp;TableWeeklySummary[[#This Row],[Hasta]])</f>
        <v>0</v>
      </c>
      <c r="Q408" s="12">
        <f ca="1">SUMIFS(TableDailySummary[Rappi_orders],TableDailySummary[Fecha],"&gt;="&amp;TableWeeklySummary[[#This Row],[Desde]],TableDailySummary[Fecha],"&lt;="&amp;TableWeeklySummary[[#This Row],[Hasta]])</f>
        <v>0</v>
      </c>
      <c r="R40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0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08" s="12">
        <f ca="1">SUMIFS(TableDailySummary[Inversión google ads],TableDailySummary[Fecha],"&gt;="&amp;TableWeeklySummary[[#This Row],[Desde]],TableDailySummary[Fecha],"&lt;="&amp;TableWeeklySummary[[#This Row],[Hasta]])</f>
        <v>0</v>
      </c>
      <c r="U408" s="12">
        <f ca="1">SUMIFS(TableDailySummary[Ventas google ads],TableDailySummary[Fecha],"&gt;="&amp;TableWeeklySummary[[#This Row],[Desde]],TableDailySummary[Fecha],"&lt;="&amp;TableWeeklySummary[[#This Row],[Hasta]])</f>
        <v>0</v>
      </c>
      <c r="V408" s="12">
        <f ca="1">SUMIFS(TableDailySummary[Inversión meta ads],TableDailySummary[Fecha],"&gt;="&amp;TableWeeklySummary[[#This Row],[Desde]],TableDailySummary[Fecha],"&lt;="&amp;TableWeeklySummary[[#This Row],[Hasta]])</f>
        <v>0</v>
      </c>
      <c r="W408" s="12">
        <f ca="1">SUMIFS(TableDailySummary[Ventas meta ads],TableDailySummary[Fecha],"&gt;="&amp;TableWeeklySummary[[#This Row],[Desde]],TableDailySummary[Fecha],"&lt;="&amp;TableWeeklySummary[[#This Row],[Hasta]])</f>
        <v>0</v>
      </c>
      <c r="X408" s="12">
        <f ca="1">TableWeeklySummary[[#This Row],[Inversión google ads]]+TableWeeklySummary[[#This Row],[Inversión meta ads]]</f>
        <v>0</v>
      </c>
      <c r="Y408" s="12">
        <f ca="1">TableWeeklySummary[[#This Row],[Ventas google ads]]+TableWeeklySummary[[#This Row],[Ventas meta ads]]</f>
        <v>0</v>
      </c>
      <c r="Z408" s="14">
        <f ca="1">IFERROR(TableWeeklySummary[[#This Row],[Ventas publicidad]]/TableWeeklySummary[[#This Row],[Inversión publicidad]],0)</f>
        <v>0</v>
      </c>
      <c r="AA408" s="14">
        <f ca="1">IFERROR(TableWeeklySummary[[#This Row],[Ventas primer cliente]]/TableWeeklySummary[[#This Row],[Inversión publicidad]],0)</f>
        <v>0</v>
      </c>
      <c r="AB408" s="14"/>
      <c r="AC408" s="12"/>
      <c r="AI40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0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08" s="12">
        <f ca="1">SUMIFS(TableDailySummary[Utilidad bruta],TableDailySummary[Fecha],"&gt;="&amp;TableWeeklySummary[[#This Row],[Desde]],TableDailySummary[Fecha],"&lt;="&amp;TableWeeklySummary[[#This Row],[Hasta]])</f>
        <v>0</v>
      </c>
      <c r="AL408" s="18">
        <f ca="1">IFERROR(TableWeeklySummary[[#This Row],[Utilidad bruta]]/TableWeeklySummary[[#This Row],[Ventas netas con costo registrado]],0)</f>
        <v>0</v>
      </c>
    </row>
    <row r="409" spans="2:38" x14ac:dyDescent="0.2">
      <c r="B409" s="16">
        <f ca="1">_xlfn.ISOWEEKNUM(TableWeeklySummary[[#This Row],[Hasta]])</f>
        <v>29</v>
      </c>
      <c r="C409" s="6">
        <f t="shared" ca="1" si="8"/>
        <v>48775</v>
      </c>
      <c r="D409" s="6">
        <f ca="1">TableWeeklySummary[[#This Row],[Desde]]+7-1</f>
        <v>48781</v>
      </c>
      <c r="E409" s="12">
        <f ca="1">SUMIFS(TableDailySummary[Ventas netas totales],TableDailySummary[Fecha],"&gt;="&amp;TableWeeklySummary[[#This Row],[Desde]],TableDailySummary[Fecha],"&lt;="&amp;TableWeeklySummary[[#This Row],[Hasta]])</f>
        <v>0</v>
      </c>
      <c r="F409" s="12">
        <f ca="1">SUMIFS(TableDailySummary[Órdenes totales],TableDailySummary[Fecha],"&gt;="&amp;TableWeeklySummary[[#This Row],[Desde]],TableDailySummary[Fecha],"&lt;="&amp;TableWeeklySummary[[#This Row],[Hasta]])</f>
        <v>0</v>
      </c>
      <c r="G409" s="12">
        <f ca="1">IFERROR(TableWeeklySummary[[#This Row],[Ventas netas totales]]/TableWeeklySummary[[#This Row],[Órdenes totales]],0)</f>
        <v>0</v>
      </c>
      <c r="H40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09" s="12">
        <f ca="1">TableWeeklySummary[[#This Row],[Órden promedio totales]]*TableWeeklySummary[[#This Row],[CR totales]]</f>
        <v>0</v>
      </c>
      <c r="J409" s="12">
        <f ca="1">SUMIFS(TableDailySummary[Ventas primer cliente],TableDailySummary[Fecha],"&gt;="&amp;TableWeeklySummary[[#This Row],[Desde]],TableDailySummary[Fecha],"&lt;="&amp;TableWeeklySummary[[#This Row],[Hasta]])</f>
        <v>0</v>
      </c>
      <c r="K409" s="12">
        <f ca="1">SUMIFS(TableDailySummary[Órdenes primer cliente],TableDailySummary[Fecha],"&gt;="&amp;TableWeeklySummary[[#This Row],[Desde]],TableDailySummary[Fecha],"&lt;="&amp;TableWeeklySummary[[#This Row],[Hasta]])</f>
        <v>0</v>
      </c>
      <c r="L409" s="12">
        <f ca="1">SUMIFS(TableDailySummary[Online Store_net_sales],TableDailySummary[Fecha],"&gt;="&amp;TableWeeklySummary[[#This Row],[Desde]],TableDailySummary[Fecha],"&lt;="&amp;TableWeeklySummary[[#This Row],[Hasta]])</f>
        <v>0</v>
      </c>
      <c r="M409" s="12">
        <f ca="1">SUMIFS(TableDailySummary[Online Store_orders],TableDailySummary[Fecha],"&gt;="&amp;TableWeeklySummary[[#This Row],[Desde]],TableDailySummary[Fecha],"&lt;="&amp;TableWeeklySummary[[#This Row],[Hasta]])</f>
        <v>0</v>
      </c>
      <c r="N409" s="12">
        <f ca="1">SUMIFS(TableDailySummary[Tienda 81_net_sales],TableDailySummary[Fecha],"&gt;="&amp;TableWeeklySummary[[#This Row],[Desde]],TableDailySummary[Fecha],"&lt;="&amp;TableWeeklySummary[[#This Row],[Hasta]])</f>
        <v>0</v>
      </c>
      <c r="O409" s="12">
        <f ca="1">SUMIFS(TableDailySummary[Tienda 81_orders],TableDailySummary[Fecha],"&gt;="&amp;TableWeeklySummary[[#This Row],[Desde]],TableDailySummary[Fecha],"&lt;="&amp;TableWeeklySummary[[#This Row],[Hasta]])</f>
        <v>0</v>
      </c>
      <c r="P409" s="12">
        <f ca="1">SUMIFS(TableDailySummary[Rappi_net_sales],TableDailySummary[Fecha],"&gt;="&amp;TableWeeklySummary[[#This Row],[Desde]],TableDailySummary[Fecha],"&lt;="&amp;TableWeeklySummary[[#This Row],[Hasta]])</f>
        <v>0</v>
      </c>
      <c r="Q409" s="12">
        <f ca="1">SUMIFS(TableDailySummary[Rappi_orders],TableDailySummary[Fecha],"&gt;="&amp;TableWeeklySummary[[#This Row],[Desde]],TableDailySummary[Fecha],"&lt;="&amp;TableWeeklySummary[[#This Row],[Hasta]])</f>
        <v>0</v>
      </c>
      <c r="R40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0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09" s="12">
        <f ca="1">SUMIFS(TableDailySummary[Inversión google ads],TableDailySummary[Fecha],"&gt;="&amp;TableWeeklySummary[[#This Row],[Desde]],TableDailySummary[Fecha],"&lt;="&amp;TableWeeklySummary[[#This Row],[Hasta]])</f>
        <v>0</v>
      </c>
      <c r="U409" s="12">
        <f ca="1">SUMIFS(TableDailySummary[Ventas google ads],TableDailySummary[Fecha],"&gt;="&amp;TableWeeklySummary[[#This Row],[Desde]],TableDailySummary[Fecha],"&lt;="&amp;TableWeeklySummary[[#This Row],[Hasta]])</f>
        <v>0</v>
      </c>
      <c r="V409" s="12">
        <f ca="1">SUMIFS(TableDailySummary[Inversión meta ads],TableDailySummary[Fecha],"&gt;="&amp;TableWeeklySummary[[#This Row],[Desde]],TableDailySummary[Fecha],"&lt;="&amp;TableWeeklySummary[[#This Row],[Hasta]])</f>
        <v>0</v>
      </c>
      <c r="W409" s="12">
        <f ca="1">SUMIFS(TableDailySummary[Ventas meta ads],TableDailySummary[Fecha],"&gt;="&amp;TableWeeklySummary[[#This Row],[Desde]],TableDailySummary[Fecha],"&lt;="&amp;TableWeeklySummary[[#This Row],[Hasta]])</f>
        <v>0</v>
      </c>
      <c r="X409" s="12">
        <f ca="1">TableWeeklySummary[[#This Row],[Inversión google ads]]+TableWeeklySummary[[#This Row],[Inversión meta ads]]</f>
        <v>0</v>
      </c>
      <c r="Y409" s="12">
        <f ca="1">TableWeeklySummary[[#This Row],[Ventas google ads]]+TableWeeklySummary[[#This Row],[Ventas meta ads]]</f>
        <v>0</v>
      </c>
      <c r="Z409" s="14">
        <f ca="1">IFERROR(TableWeeklySummary[[#This Row],[Ventas publicidad]]/TableWeeklySummary[[#This Row],[Inversión publicidad]],0)</f>
        <v>0</v>
      </c>
      <c r="AA409" s="14">
        <f ca="1">IFERROR(TableWeeklySummary[[#This Row],[Ventas primer cliente]]/TableWeeklySummary[[#This Row],[Inversión publicidad]],0)</f>
        <v>0</v>
      </c>
      <c r="AB409" s="14"/>
      <c r="AC409" s="12"/>
      <c r="AI40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0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09" s="12">
        <f ca="1">SUMIFS(TableDailySummary[Utilidad bruta],TableDailySummary[Fecha],"&gt;="&amp;TableWeeklySummary[[#This Row],[Desde]],TableDailySummary[Fecha],"&lt;="&amp;TableWeeklySummary[[#This Row],[Hasta]])</f>
        <v>0</v>
      </c>
      <c r="AL409" s="18">
        <f ca="1">IFERROR(TableWeeklySummary[[#This Row],[Utilidad bruta]]/TableWeeklySummary[[#This Row],[Ventas netas con costo registrado]],0)</f>
        <v>0</v>
      </c>
    </row>
    <row r="410" spans="2:38" x14ac:dyDescent="0.2">
      <c r="B410" s="16">
        <f ca="1">_xlfn.ISOWEEKNUM(TableWeeklySummary[[#This Row],[Hasta]])</f>
        <v>30</v>
      </c>
      <c r="C410" s="6">
        <f t="shared" ca="1" si="8"/>
        <v>48782</v>
      </c>
      <c r="D410" s="6">
        <f ca="1">TableWeeklySummary[[#This Row],[Desde]]+7-1</f>
        <v>48788</v>
      </c>
      <c r="E410" s="12">
        <f ca="1">SUMIFS(TableDailySummary[Ventas netas totales],TableDailySummary[Fecha],"&gt;="&amp;TableWeeklySummary[[#This Row],[Desde]],TableDailySummary[Fecha],"&lt;="&amp;TableWeeklySummary[[#This Row],[Hasta]])</f>
        <v>0</v>
      </c>
      <c r="F410" s="12">
        <f ca="1">SUMIFS(TableDailySummary[Órdenes totales],TableDailySummary[Fecha],"&gt;="&amp;TableWeeklySummary[[#This Row],[Desde]],TableDailySummary[Fecha],"&lt;="&amp;TableWeeklySummary[[#This Row],[Hasta]])</f>
        <v>0</v>
      </c>
      <c r="G410" s="12">
        <f ca="1">IFERROR(TableWeeklySummary[[#This Row],[Ventas netas totales]]/TableWeeklySummary[[#This Row],[Órdenes totales]],0)</f>
        <v>0</v>
      </c>
      <c r="H41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10" s="12">
        <f ca="1">TableWeeklySummary[[#This Row],[Órden promedio totales]]*TableWeeklySummary[[#This Row],[CR totales]]</f>
        <v>0</v>
      </c>
      <c r="J410" s="12">
        <f ca="1">SUMIFS(TableDailySummary[Ventas primer cliente],TableDailySummary[Fecha],"&gt;="&amp;TableWeeklySummary[[#This Row],[Desde]],TableDailySummary[Fecha],"&lt;="&amp;TableWeeklySummary[[#This Row],[Hasta]])</f>
        <v>0</v>
      </c>
      <c r="K410" s="12">
        <f ca="1">SUMIFS(TableDailySummary[Órdenes primer cliente],TableDailySummary[Fecha],"&gt;="&amp;TableWeeklySummary[[#This Row],[Desde]],TableDailySummary[Fecha],"&lt;="&amp;TableWeeklySummary[[#This Row],[Hasta]])</f>
        <v>0</v>
      </c>
      <c r="L410" s="12">
        <f ca="1">SUMIFS(TableDailySummary[Online Store_net_sales],TableDailySummary[Fecha],"&gt;="&amp;TableWeeklySummary[[#This Row],[Desde]],TableDailySummary[Fecha],"&lt;="&amp;TableWeeklySummary[[#This Row],[Hasta]])</f>
        <v>0</v>
      </c>
      <c r="M410" s="12">
        <f ca="1">SUMIFS(TableDailySummary[Online Store_orders],TableDailySummary[Fecha],"&gt;="&amp;TableWeeklySummary[[#This Row],[Desde]],TableDailySummary[Fecha],"&lt;="&amp;TableWeeklySummary[[#This Row],[Hasta]])</f>
        <v>0</v>
      </c>
      <c r="N410" s="12">
        <f ca="1">SUMIFS(TableDailySummary[Tienda 81_net_sales],TableDailySummary[Fecha],"&gt;="&amp;TableWeeklySummary[[#This Row],[Desde]],TableDailySummary[Fecha],"&lt;="&amp;TableWeeklySummary[[#This Row],[Hasta]])</f>
        <v>0</v>
      </c>
      <c r="O410" s="12">
        <f ca="1">SUMIFS(TableDailySummary[Tienda 81_orders],TableDailySummary[Fecha],"&gt;="&amp;TableWeeklySummary[[#This Row],[Desde]],TableDailySummary[Fecha],"&lt;="&amp;TableWeeklySummary[[#This Row],[Hasta]])</f>
        <v>0</v>
      </c>
      <c r="P410" s="12">
        <f ca="1">SUMIFS(TableDailySummary[Rappi_net_sales],TableDailySummary[Fecha],"&gt;="&amp;TableWeeklySummary[[#This Row],[Desde]],TableDailySummary[Fecha],"&lt;="&amp;TableWeeklySummary[[#This Row],[Hasta]])</f>
        <v>0</v>
      </c>
      <c r="Q410" s="12">
        <f ca="1">SUMIFS(TableDailySummary[Rappi_orders],TableDailySummary[Fecha],"&gt;="&amp;TableWeeklySummary[[#This Row],[Desde]],TableDailySummary[Fecha],"&lt;="&amp;TableWeeklySummary[[#This Row],[Hasta]])</f>
        <v>0</v>
      </c>
      <c r="R41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1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10" s="12">
        <f ca="1">SUMIFS(TableDailySummary[Inversión google ads],TableDailySummary[Fecha],"&gt;="&amp;TableWeeklySummary[[#This Row],[Desde]],TableDailySummary[Fecha],"&lt;="&amp;TableWeeklySummary[[#This Row],[Hasta]])</f>
        <v>0</v>
      </c>
      <c r="U410" s="12">
        <f ca="1">SUMIFS(TableDailySummary[Ventas google ads],TableDailySummary[Fecha],"&gt;="&amp;TableWeeklySummary[[#This Row],[Desde]],TableDailySummary[Fecha],"&lt;="&amp;TableWeeklySummary[[#This Row],[Hasta]])</f>
        <v>0</v>
      </c>
      <c r="V410" s="12">
        <f ca="1">SUMIFS(TableDailySummary[Inversión meta ads],TableDailySummary[Fecha],"&gt;="&amp;TableWeeklySummary[[#This Row],[Desde]],TableDailySummary[Fecha],"&lt;="&amp;TableWeeklySummary[[#This Row],[Hasta]])</f>
        <v>0</v>
      </c>
      <c r="W410" s="12">
        <f ca="1">SUMIFS(TableDailySummary[Ventas meta ads],TableDailySummary[Fecha],"&gt;="&amp;TableWeeklySummary[[#This Row],[Desde]],TableDailySummary[Fecha],"&lt;="&amp;TableWeeklySummary[[#This Row],[Hasta]])</f>
        <v>0</v>
      </c>
      <c r="X410" s="12">
        <f ca="1">TableWeeklySummary[[#This Row],[Inversión google ads]]+TableWeeklySummary[[#This Row],[Inversión meta ads]]</f>
        <v>0</v>
      </c>
      <c r="Y410" s="12">
        <f ca="1">TableWeeklySummary[[#This Row],[Ventas google ads]]+TableWeeklySummary[[#This Row],[Ventas meta ads]]</f>
        <v>0</v>
      </c>
      <c r="Z410" s="14">
        <f ca="1">IFERROR(TableWeeklySummary[[#This Row],[Ventas publicidad]]/TableWeeklySummary[[#This Row],[Inversión publicidad]],0)</f>
        <v>0</v>
      </c>
      <c r="AA410" s="14">
        <f ca="1">IFERROR(TableWeeklySummary[[#This Row],[Ventas primer cliente]]/TableWeeklySummary[[#This Row],[Inversión publicidad]],0)</f>
        <v>0</v>
      </c>
      <c r="AB410" s="14"/>
      <c r="AC410" s="12"/>
      <c r="AI41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1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10" s="12">
        <f ca="1">SUMIFS(TableDailySummary[Utilidad bruta],TableDailySummary[Fecha],"&gt;="&amp;TableWeeklySummary[[#This Row],[Desde]],TableDailySummary[Fecha],"&lt;="&amp;TableWeeklySummary[[#This Row],[Hasta]])</f>
        <v>0</v>
      </c>
      <c r="AL410" s="18">
        <f ca="1">IFERROR(TableWeeklySummary[[#This Row],[Utilidad bruta]]/TableWeeklySummary[[#This Row],[Ventas netas con costo registrado]],0)</f>
        <v>0</v>
      </c>
    </row>
    <row r="411" spans="2:38" x14ac:dyDescent="0.2">
      <c r="B411" s="16">
        <f ca="1">_xlfn.ISOWEEKNUM(TableWeeklySummary[[#This Row],[Hasta]])</f>
        <v>31</v>
      </c>
      <c r="C411" s="6">
        <f t="shared" ca="1" si="8"/>
        <v>48789</v>
      </c>
      <c r="D411" s="6">
        <f ca="1">TableWeeklySummary[[#This Row],[Desde]]+7-1</f>
        <v>48795</v>
      </c>
      <c r="E411" s="12">
        <f ca="1">SUMIFS(TableDailySummary[Ventas netas totales],TableDailySummary[Fecha],"&gt;="&amp;TableWeeklySummary[[#This Row],[Desde]],TableDailySummary[Fecha],"&lt;="&amp;TableWeeklySummary[[#This Row],[Hasta]])</f>
        <v>0</v>
      </c>
      <c r="F411" s="12">
        <f ca="1">SUMIFS(TableDailySummary[Órdenes totales],TableDailySummary[Fecha],"&gt;="&amp;TableWeeklySummary[[#This Row],[Desde]],TableDailySummary[Fecha],"&lt;="&amp;TableWeeklySummary[[#This Row],[Hasta]])</f>
        <v>0</v>
      </c>
      <c r="G411" s="12">
        <f ca="1">IFERROR(TableWeeklySummary[[#This Row],[Ventas netas totales]]/TableWeeklySummary[[#This Row],[Órdenes totales]],0)</f>
        <v>0</v>
      </c>
      <c r="H41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11" s="12">
        <f ca="1">TableWeeklySummary[[#This Row],[Órden promedio totales]]*TableWeeklySummary[[#This Row],[CR totales]]</f>
        <v>0</v>
      </c>
      <c r="J411" s="12">
        <f ca="1">SUMIFS(TableDailySummary[Ventas primer cliente],TableDailySummary[Fecha],"&gt;="&amp;TableWeeklySummary[[#This Row],[Desde]],TableDailySummary[Fecha],"&lt;="&amp;TableWeeklySummary[[#This Row],[Hasta]])</f>
        <v>0</v>
      </c>
      <c r="K411" s="12">
        <f ca="1">SUMIFS(TableDailySummary[Órdenes primer cliente],TableDailySummary[Fecha],"&gt;="&amp;TableWeeklySummary[[#This Row],[Desde]],TableDailySummary[Fecha],"&lt;="&amp;TableWeeklySummary[[#This Row],[Hasta]])</f>
        <v>0</v>
      </c>
      <c r="L411" s="12">
        <f ca="1">SUMIFS(TableDailySummary[Online Store_net_sales],TableDailySummary[Fecha],"&gt;="&amp;TableWeeklySummary[[#This Row],[Desde]],TableDailySummary[Fecha],"&lt;="&amp;TableWeeklySummary[[#This Row],[Hasta]])</f>
        <v>0</v>
      </c>
      <c r="M411" s="12">
        <f ca="1">SUMIFS(TableDailySummary[Online Store_orders],TableDailySummary[Fecha],"&gt;="&amp;TableWeeklySummary[[#This Row],[Desde]],TableDailySummary[Fecha],"&lt;="&amp;TableWeeklySummary[[#This Row],[Hasta]])</f>
        <v>0</v>
      </c>
      <c r="N411" s="12">
        <f ca="1">SUMIFS(TableDailySummary[Tienda 81_net_sales],TableDailySummary[Fecha],"&gt;="&amp;TableWeeklySummary[[#This Row],[Desde]],TableDailySummary[Fecha],"&lt;="&amp;TableWeeklySummary[[#This Row],[Hasta]])</f>
        <v>0</v>
      </c>
      <c r="O411" s="12">
        <f ca="1">SUMIFS(TableDailySummary[Tienda 81_orders],TableDailySummary[Fecha],"&gt;="&amp;TableWeeklySummary[[#This Row],[Desde]],TableDailySummary[Fecha],"&lt;="&amp;TableWeeklySummary[[#This Row],[Hasta]])</f>
        <v>0</v>
      </c>
      <c r="P411" s="12">
        <f ca="1">SUMIFS(TableDailySummary[Rappi_net_sales],TableDailySummary[Fecha],"&gt;="&amp;TableWeeklySummary[[#This Row],[Desde]],TableDailySummary[Fecha],"&lt;="&amp;TableWeeklySummary[[#This Row],[Hasta]])</f>
        <v>0</v>
      </c>
      <c r="Q411" s="12">
        <f ca="1">SUMIFS(TableDailySummary[Rappi_orders],TableDailySummary[Fecha],"&gt;="&amp;TableWeeklySummary[[#This Row],[Desde]],TableDailySummary[Fecha],"&lt;="&amp;TableWeeklySummary[[#This Row],[Hasta]])</f>
        <v>0</v>
      </c>
      <c r="R41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1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11" s="12">
        <f ca="1">SUMIFS(TableDailySummary[Inversión google ads],TableDailySummary[Fecha],"&gt;="&amp;TableWeeklySummary[[#This Row],[Desde]],TableDailySummary[Fecha],"&lt;="&amp;TableWeeklySummary[[#This Row],[Hasta]])</f>
        <v>0</v>
      </c>
      <c r="U411" s="12">
        <f ca="1">SUMIFS(TableDailySummary[Ventas google ads],TableDailySummary[Fecha],"&gt;="&amp;TableWeeklySummary[[#This Row],[Desde]],TableDailySummary[Fecha],"&lt;="&amp;TableWeeklySummary[[#This Row],[Hasta]])</f>
        <v>0</v>
      </c>
      <c r="V411" s="12">
        <f ca="1">SUMIFS(TableDailySummary[Inversión meta ads],TableDailySummary[Fecha],"&gt;="&amp;TableWeeklySummary[[#This Row],[Desde]],TableDailySummary[Fecha],"&lt;="&amp;TableWeeklySummary[[#This Row],[Hasta]])</f>
        <v>0</v>
      </c>
      <c r="W411" s="12">
        <f ca="1">SUMIFS(TableDailySummary[Ventas meta ads],TableDailySummary[Fecha],"&gt;="&amp;TableWeeklySummary[[#This Row],[Desde]],TableDailySummary[Fecha],"&lt;="&amp;TableWeeklySummary[[#This Row],[Hasta]])</f>
        <v>0</v>
      </c>
      <c r="X411" s="12">
        <f ca="1">TableWeeklySummary[[#This Row],[Inversión google ads]]+TableWeeklySummary[[#This Row],[Inversión meta ads]]</f>
        <v>0</v>
      </c>
      <c r="Y411" s="12">
        <f ca="1">TableWeeklySummary[[#This Row],[Ventas google ads]]+TableWeeklySummary[[#This Row],[Ventas meta ads]]</f>
        <v>0</v>
      </c>
      <c r="Z411" s="14">
        <f ca="1">IFERROR(TableWeeklySummary[[#This Row],[Ventas publicidad]]/TableWeeklySummary[[#This Row],[Inversión publicidad]],0)</f>
        <v>0</v>
      </c>
      <c r="AA411" s="14">
        <f ca="1">IFERROR(TableWeeklySummary[[#This Row],[Ventas primer cliente]]/TableWeeklySummary[[#This Row],[Inversión publicidad]],0)</f>
        <v>0</v>
      </c>
      <c r="AB411" s="14"/>
      <c r="AC411" s="12"/>
      <c r="AI41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1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11" s="12">
        <f ca="1">SUMIFS(TableDailySummary[Utilidad bruta],TableDailySummary[Fecha],"&gt;="&amp;TableWeeklySummary[[#This Row],[Desde]],TableDailySummary[Fecha],"&lt;="&amp;TableWeeklySummary[[#This Row],[Hasta]])</f>
        <v>0</v>
      </c>
      <c r="AL411" s="18">
        <f ca="1">IFERROR(TableWeeklySummary[[#This Row],[Utilidad bruta]]/TableWeeklySummary[[#This Row],[Ventas netas con costo registrado]],0)</f>
        <v>0</v>
      </c>
    </row>
    <row r="412" spans="2:38" x14ac:dyDescent="0.2">
      <c r="B412" s="16">
        <f ca="1">_xlfn.ISOWEEKNUM(TableWeeklySummary[[#This Row],[Hasta]])</f>
        <v>32</v>
      </c>
      <c r="C412" s="6">
        <f t="shared" ca="1" si="8"/>
        <v>48796</v>
      </c>
      <c r="D412" s="6">
        <f ca="1">TableWeeklySummary[[#This Row],[Desde]]+7-1</f>
        <v>48802</v>
      </c>
      <c r="E412" s="12">
        <f ca="1">SUMIFS(TableDailySummary[Ventas netas totales],TableDailySummary[Fecha],"&gt;="&amp;TableWeeklySummary[[#This Row],[Desde]],TableDailySummary[Fecha],"&lt;="&amp;TableWeeklySummary[[#This Row],[Hasta]])</f>
        <v>0</v>
      </c>
      <c r="F412" s="12">
        <f ca="1">SUMIFS(TableDailySummary[Órdenes totales],TableDailySummary[Fecha],"&gt;="&amp;TableWeeklySummary[[#This Row],[Desde]],TableDailySummary[Fecha],"&lt;="&amp;TableWeeklySummary[[#This Row],[Hasta]])</f>
        <v>0</v>
      </c>
      <c r="G412" s="12">
        <f ca="1">IFERROR(TableWeeklySummary[[#This Row],[Ventas netas totales]]/TableWeeklySummary[[#This Row],[Órdenes totales]],0)</f>
        <v>0</v>
      </c>
      <c r="H41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12" s="12">
        <f ca="1">TableWeeklySummary[[#This Row],[Órden promedio totales]]*TableWeeklySummary[[#This Row],[CR totales]]</f>
        <v>0</v>
      </c>
      <c r="J412" s="12">
        <f ca="1">SUMIFS(TableDailySummary[Ventas primer cliente],TableDailySummary[Fecha],"&gt;="&amp;TableWeeklySummary[[#This Row],[Desde]],TableDailySummary[Fecha],"&lt;="&amp;TableWeeklySummary[[#This Row],[Hasta]])</f>
        <v>0</v>
      </c>
      <c r="K412" s="12">
        <f ca="1">SUMIFS(TableDailySummary[Órdenes primer cliente],TableDailySummary[Fecha],"&gt;="&amp;TableWeeklySummary[[#This Row],[Desde]],TableDailySummary[Fecha],"&lt;="&amp;TableWeeklySummary[[#This Row],[Hasta]])</f>
        <v>0</v>
      </c>
      <c r="L412" s="12">
        <f ca="1">SUMIFS(TableDailySummary[Online Store_net_sales],TableDailySummary[Fecha],"&gt;="&amp;TableWeeklySummary[[#This Row],[Desde]],TableDailySummary[Fecha],"&lt;="&amp;TableWeeklySummary[[#This Row],[Hasta]])</f>
        <v>0</v>
      </c>
      <c r="M412" s="12">
        <f ca="1">SUMIFS(TableDailySummary[Online Store_orders],TableDailySummary[Fecha],"&gt;="&amp;TableWeeklySummary[[#This Row],[Desde]],TableDailySummary[Fecha],"&lt;="&amp;TableWeeklySummary[[#This Row],[Hasta]])</f>
        <v>0</v>
      </c>
      <c r="N412" s="12">
        <f ca="1">SUMIFS(TableDailySummary[Tienda 81_net_sales],TableDailySummary[Fecha],"&gt;="&amp;TableWeeklySummary[[#This Row],[Desde]],TableDailySummary[Fecha],"&lt;="&amp;TableWeeklySummary[[#This Row],[Hasta]])</f>
        <v>0</v>
      </c>
      <c r="O412" s="12">
        <f ca="1">SUMIFS(TableDailySummary[Tienda 81_orders],TableDailySummary[Fecha],"&gt;="&amp;TableWeeklySummary[[#This Row],[Desde]],TableDailySummary[Fecha],"&lt;="&amp;TableWeeklySummary[[#This Row],[Hasta]])</f>
        <v>0</v>
      </c>
      <c r="P412" s="12">
        <f ca="1">SUMIFS(TableDailySummary[Rappi_net_sales],TableDailySummary[Fecha],"&gt;="&amp;TableWeeklySummary[[#This Row],[Desde]],TableDailySummary[Fecha],"&lt;="&amp;TableWeeklySummary[[#This Row],[Hasta]])</f>
        <v>0</v>
      </c>
      <c r="Q412" s="12">
        <f ca="1">SUMIFS(TableDailySummary[Rappi_orders],TableDailySummary[Fecha],"&gt;="&amp;TableWeeklySummary[[#This Row],[Desde]],TableDailySummary[Fecha],"&lt;="&amp;TableWeeklySummary[[#This Row],[Hasta]])</f>
        <v>0</v>
      </c>
      <c r="R41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1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12" s="12">
        <f ca="1">SUMIFS(TableDailySummary[Inversión google ads],TableDailySummary[Fecha],"&gt;="&amp;TableWeeklySummary[[#This Row],[Desde]],TableDailySummary[Fecha],"&lt;="&amp;TableWeeklySummary[[#This Row],[Hasta]])</f>
        <v>0</v>
      </c>
      <c r="U412" s="12">
        <f ca="1">SUMIFS(TableDailySummary[Ventas google ads],TableDailySummary[Fecha],"&gt;="&amp;TableWeeklySummary[[#This Row],[Desde]],TableDailySummary[Fecha],"&lt;="&amp;TableWeeklySummary[[#This Row],[Hasta]])</f>
        <v>0</v>
      </c>
      <c r="V412" s="12">
        <f ca="1">SUMIFS(TableDailySummary[Inversión meta ads],TableDailySummary[Fecha],"&gt;="&amp;TableWeeklySummary[[#This Row],[Desde]],TableDailySummary[Fecha],"&lt;="&amp;TableWeeklySummary[[#This Row],[Hasta]])</f>
        <v>0</v>
      </c>
      <c r="W412" s="12">
        <f ca="1">SUMIFS(TableDailySummary[Ventas meta ads],TableDailySummary[Fecha],"&gt;="&amp;TableWeeklySummary[[#This Row],[Desde]],TableDailySummary[Fecha],"&lt;="&amp;TableWeeklySummary[[#This Row],[Hasta]])</f>
        <v>0</v>
      </c>
      <c r="X412" s="12">
        <f ca="1">TableWeeklySummary[[#This Row],[Inversión google ads]]+TableWeeklySummary[[#This Row],[Inversión meta ads]]</f>
        <v>0</v>
      </c>
      <c r="Y412" s="12">
        <f ca="1">TableWeeklySummary[[#This Row],[Ventas google ads]]+TableWeeklySummary[[#This Row],[Ventas meta ads]]</f>
        <v>0</v>
      </c>
      <c r="Z412" s="14">
        <f ca="1">IFERROR(TableWeeklySummary[[#This Row],[Ventas publicidad]]/TableWeeklySummary[[#This Row],[Inversión publicidad]],0)</f>
        <v>0</v>
      </c>
      <c r="AA412" s="14">
        <f ca="1">IFERROR(TableWeeklySummary[[#This Row],[Ventas primer cliente]]/TableWeeklySummary[[#This Row],[Inversión publicidad]],0)</f>
        <v>0</v>
      </c>
      <c r="AB412" s="14"/>
      <c r="AC412" s="12"/>
      <c r="AI41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1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12" s="12">
        <f ca="1">SUMIFS(TableDailySummary[Utilidad bruta],TableDailySummary[Fecha],"&gt;="&amp;TableWeeklySummary[[#This Row],[Desde]],TableDailySummary[Fecha],"&lt;="&amp;TableWeeklySummary[[#This Row],[Hasta]])</f>
        <v>0</v>
      </c>
      <c r="AL412" s="18">
        <f ca="1">IFERROR(TableWeeklySummary[[#This Row],[Utilidad bruta]]/TableWeeklySummary[[#This Row],[Ventas netas con costo registrado]],0)</f>
        <v>0</v>
      </c>
    </row>
    <row r="413" spans="2:38" x14ac:dyDescent="0.2">
      <c r="B413" s="16">
        <f ca="1">_xlfn.ISOWEEKNUM(TableWeeklySummary[[#This Row],[Hasta]])</f>
        <v>33</v>
      </c>
      <c r="C413" s="6">
        <f t="shared" ca="1" si="8"/>
        <v>48803</v>
      </c>
      <c r="D413" s="6">
        <f ca="1">TableWeeklySummary[[#This Row],[Desde]]+7-1</f>
        <v>48809</v>
      </c>
      <c r="E413" s="12">
        <f ca="1">SUMIFS(TableDailySummary[Ventas netas totales],TableDailySummary[Fecha],"&gt;="&amp;TableWeeklySummary[[#This Row],[Desde]],TableDailySummary[Fecha],"&lt;="&amp;TableWeeklySummary[[#This Row],[Hasta]])</f>
        <v>0</v>
      </c>
      <c r="F413" s="12">
        <f ca="1">SUMIFS(TableDailySummary[Órdenes totales],TableDailySummary[Fecha],"&gt;="&amp;TableWeeklySummary[[#This Row],[Desde]],TableDailySummary[Fecha],"&lt;="&amp;TableWeeklySummary[[#This Row],[Hasta]])</f>
        <v>0</v>
      </c>
      <c r="G413" s="12">
        <f ca="1">IFERROR(TableWeeklySummary[[#This Row],[Ventas netas totales]]/TableWeeklySummary[[#This Row],[Órdenes totales]],0)</f>
        <v>0</v>
      </c>
      <c r="H41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13" s="12">
        <f ca="1">TableWeeklySummary[[#This Row],[Órden promedio totales]]*TableWeeklySummary[[#This Row],[CR totales]]</f>
        <v>0</v>
      </c>
      <c r="J413" s="12">
        <f ca="1">SUMIFS(TableDailySummary[Ventas primer cliente],TableDailySummary[Fecha],"&gt;="&amp;TableWeeklySummary[[#This Row],[Desde]],TableDailySummary[Fecha],"&lt;="&amp;TableWeeklySummary[[#This Row],[Hasta]])</f>
        <v>0</v>
      </c>
      <c r="K413" s="12">
        <f ca="1">SUMIFS(TableDailySummary[Órdenes primer cliente],TableDailySummary[Fecha],"&gt;="&amp;TableWeeklySummary[[#This Row],[Desde]],TableDailySummary[Fecha],"&lt;="&amp;TableWeeklySummary[[#This Row],[Hasta]])</f>
        <v>0</v>
      </c>
      <c r="L413" s="12">
        <f ca="1">SUMIFS(TableDailySummary[Online Store_net_sales],TableDailySummary[Fecha],"&gt;="&amp;TableWeeklySummary[[#This Row],[Desde]],TableDailySummary[Fecha],"&lt;="&amp;TableWeeklySummary[[#This Row],[Hasta]])</f>
        <v>0</v>
      </c>
      <c r="M413" s="12">
        <f ca="1">SUMIFS(TableDailySummary[Online Store_orders],TableDailySummary[Fecha],"&gt;="&amp;TableWeeklySummary[[#This Row],[Desde]],TableDailySummary[Fecha],"&lt;="&amp;TableWeeklySummary[[#This Row],[Hasta]])</f>
        <v>0</v>
      </c>
      <c r="N413" s="12">
        <f ca="1">SUMIFS(TableDailySummary[Tienda 81_net_sales],TableDailySummary[Fecha],"&gt;="&amp;TableWeeklySummary[[#This Row],[Desde]],TableDailySummary[Fecha],"&lt;="&amp;TableWeeklySummary[[#This Row],[Hasta]])</f>
        <v>0</v>
      </c>
      <c r="O413" s="12">
        <f ca="1">SUMIFS(TableDailySummary[Tienda 81_orders],TableDailySummary[Fecha],"&gt;="&amp;TableWeeklySummary[[#This Row],[Desde]],TableDailySummary[Fecha],"&lt;="&amp;TableWeeklySummary[[#This Row],[Hasta]])</f>
        <v>0</v>
      </c>
      <c r="P413" s="12">
        <f ca="1">SUMIFS(TableDailySummary[Rappi_net_sales],TableDailySummary[Fecha],"&gt;="&amp;TableWeeklySummary[[#This Row],[Desde]],TableDailySummary[Fecha],"&lt;="&amp;TableWeeklySummary[[#This Row],[Hasta]])</f>
        <v>0</v>
      </c>
      <c r="Q413" s="12">
        <f ca="1">SUMIFS(TableDailySummary[Rappi_orders],TableDailySummary[Fecha],"&gt;="&amp;TableWeeklySummary[[#This Row],[Desde]],TableDailySummary[Fecha],"&lt;="&amp;TableWeeklySummary[[#This Row],[Hasta]])</f>
        <v>0</v>
      </c>
      <c r="R41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1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13" s="12">
        <f ca="1">SUMIFS(TableDailySummary[Inversión google ads],TableDailySummary[Fecha],"&gt;="&amp;TableWeeklySummary[[#This Row],[Desde]],TableDailySummary[Fecha],"&lt;="&amp;TableWeeklySummary[[#This Row],[Hasta]])</f>
        <v>0</v>
      </c>
      <c r="U413" s="12">
        <f ca="1">SUMIFS(TableDailySummary[Ventas google ads],TableDailySummary[Fecha],"&gt;="&amp;TableWeeklySummary[[#This Row],[Desde]],TableDailySummary[Fecha],"&lt;="&amp;TableWeeklySummary[[#This Row],[Hasta]])</f>
        <v>0</v>
      </c>
      <c r="V413" s="12">
        <f ca="1">SUMIFS(TableDailySummary[Inversión meta ads],TableDailySummary[Fecha],"&gt;="&amp;TableWeeklySummary[[#This Row],[Desde]],TableDailySummary[Fecha],"&lt;="&amp;TableWeeklySummary[[#This Row],[Hasta]])</f>
        <v>0</v>
      </c>
      <c r="W413" s="12">
        <f ca="1">SUMIFS(TableDailySummary[Ventas meta ads],TableDailySummary[Fecha],"&gt;="&amp;TableWeeklySummary[[#This Row],[Desde]],TableDailySummary[Fecha],"&lt;="&amp;TableWeeklySummary[[#This Row],[Hasta]])</f>
        <v>0</v>
      </c>
      <c r="X413" s="12">
        <f ca="1">TableWeeklySummary[[#This Row],[Inversión google ads]]+TableWeeklySummary[[#This Row],[Inversión meta ads]]</f>
        <v>0</v>
      </c>
      <c r="Y413" s="12">
        <f ca="1">TableWeeklySummary[[#This Row],[Ventas google ads]]+TableWeeklySummary[[#This Row],[Ventas meta ads]]</f>
        <v>0</v>
      </c>
      <c r="Z413" s="14">
        <f ca="1">IFERROR(TableWeeklySummary[[#This Row],[Ventas publicidad]]/TableWeeklySummary[[#This Row],[Inversión publicidad]],0)</f>
        <v>0</v>
      </c>
      <c r="AA413" s="14">
        <f ca="1">IFERROR(TableWeeklySummary[[#This Row],[Ventas primer cliente]]/TableWeeklySummary[[#This Row],[Inversión publicidad]],0)</f>
        <v>0</v>
      </c>
      <c r="AB413" s="14"/>
      <c r="AC413" s="12"/>
      <c r="AI41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1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13" s="12">
        <f ca="1">SUMIFS(TableDailySummary[Utilidad bruta],TableDailySummary[Fecha],"&gt;="&amp;TableWeeklySummary[[#This Row],[Desde]],TableDailySummary[Fecha],"&lt;="&amp;TableWeeklySummary[[#This Row],[Hasta]])</f>
        <v>0</v>
      </c>
      <c r="AL413" s="18">
        <f ca="1">IFERROR(TableWeeklySummary[[#This Row],[Utilidad bruta]]/TableWeeklySummary[[#This Row],[Ventas netas con costo registrado]],0)</f>
        <v>0</v>
      </c>
    </row>
    <row r="414" spans="2:38" x14ac:dyDescent="0.2">
      <c r="B414" s="16">
        <f ca="1">_xlfn.ISOWEEKNUM(TableWeeklySummary[[#This Row],[Hasta]])</f>
        <v>34</v>
      </c>
      <c r="C414" s="6">
        <f t="shared" ca="1" si="8"/>
        <v>48810</v>
      </c>
      <c r="D414" s="6">
        <f ca="1">TableWeeklySummary[[#This Row],[Desde]]+7-1</f>
        <v>48816</v>
      </c>
      <c r="E414" s="12">
        <f ca="1">SUMIFS(TableDailySummary[Ventas netas totales],TableDailySummary[Fecha],"&gt;="&amp;TableWeeklySummary[[#This Row],[Desde]],TableDailySummary[Fecha],"&lt;="&amp;TableWeeklySummary[[#This Row],[Hasta]])</f>
        <v>0</v>
      </c>
      <c r="F414" s="12">
        <f ca="1">SUMIFS(TableDailySummary[Órdenes totales],TableDailySummary[Fecha],"&gt;="&amp;TableWeeklySummary[[#This Row],[Desde]],TableDailySummary[Fecha],"&lt;="&amp;TableWeeklySummary[[#This Row],[Hasta]])</f>
        <v>0</v>
      </c>
      <c r="G414" s="12">
        <f ca="1">IFERROR(TableWeeklySummary[[#This Row],[Ventas netas totales]]/TableWeeklySummary[[#This Row],[Órdenes totales]],0)</f>
        <v>0</v>
      </c>
      <c r="H41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14" s="12">
        <f ca="1">TableWeeklySummary[[#This Row],[Órden promedio totales]]*TableWeeklySummary[[#This Row],[CR totales]]</f>
        <v>0</v>
      </c>
      <c r="J414" s="12">
        <f ca="1">SUMIFS(TableDailySummary[Ventas primer cliente],TableDailySummary[Fecha],"&gt;="&amp;TableWeeklySummary[[#This Row],[Desde]],TableDailySummary[Fecha],"&lt;="&amp;TableWeeklySummary[[#This Row],[Hasta]])</f>
        <v>0</v>
      </c>
      <c r="K414" s="12">
        <f ca="1">SUMIFS(TableDailySummary[Órdenes primer cliente],TableDailySummary[Fecha],"&gt;="&amp;TableWeeklySummary[[#This Row],[Desde]],TableDailySummary[Fecha],"&lt;="&amp;TableWeeklySummary[[#This Row],[Hasta]])</f>
        <v>0</v>
      </c>
      <c r="L414" s="12">
        <f ca="1">SUMIFS(TableDailySummary[Online Store_net_sales],TableDailySummary[Fecha],"&gt;="&amp;TableWeeklySummary[[#This Row],[Desde]],TableDailySummary[Fecha],"&lt;="&amp;TableWeeklySummary[[#This Row],[Hasta]])</f>
        <v>0</v>
      </c>
      <c r="M414" s="12">
        <f ca="1">SUMIFS(TableDailySummary[Online Store_orders],TableDailySummary[Fecha],"&gt;="&amp;TableWeeklySummary[[#This Row],[Desde]],TableDailySummary[Fecha],"&lt;="&amp;TableWeeklySummary[[#This Row],[Hasta]])</f>
        <v>0</v>
      </c>
      <c r="N414" s="12">
        <f ca="1">SUMIFS(TableDailySummary[Tienda 81_net_sales],TableDailySummary[Fecha],"&gt;="&amp;TableWeeklySummary[[#This Row],[Desde]],TableDailySummary[Fecha],"&lt;="&amp;TableWeeklySummary[[#This Row],[Hasta]])</f>
        <v>0</v>
      </c>
      <c r="O414" s="12">
        <f ca="1">SUMIFS(TableDailySummary[Tienda 81_orders],TableDailySummary[Fecha],"&gt;="&amp;TableWeeklySummary[[#This Row],[Desde]],TableDailySummary[Fecha],"&lt;="&amp;TableWeeklySummary[[#This Row],[Hasta]])</f>
        <v>0</v>
      </c>
      <c r="P414" s="12">
        <f ca="1">SUMIFS(TableDailySummary[Rappi_net_sales],TableDailySummary[Fecha],"&gt;="&amp;TableWeeklySummary[[#This Row],[Desde]],TableDailySummary[Fecha],"&lt;="&amp;TableWeeklySummary[[#This Row],[Hasta]])</f>
        <v>0</v>
      </c>
      <c r="Q414" s="12">
        <f ca="1">SUMIFS(TableDailySummary[Rappi_orders],TableDailySummary[Fecha],"&gt;="&amp;TableWeeklySummary[[#This Row],[Desde]],TableDailySummary[Fecha],"&lt;="&amp;TableWeeklySummary[[#This Row],[Hasta]])</f>
        <v>0</v>
      </c>
      <c r="R41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1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14" s="12">
        <f ca="1">SUMIFS(TableDailySummary[Inversión google ads],TableDailySummary[Fecha],"&gt;="&amp;TableWeeklySummary[[#This Row],[Desde]],TableDailySummary[Fecha],"&lt;="&amp;TableWeeklySummary[[#This Row],[Hasta]])</f>
        <v>0</v>
      </c>
      <c r="U414" s="12">
        <f ca="1">SUMIFS(TableDailySummary[Ventas google ads],TableDailySummary[Fecha],"&gt;="&amp;TableWeeklySummary[[#This Row],[Desde]],TableDailySummary[Fecha],"&lt;="&amp;TableWeeklySummary[[#This Row],[Hasta]])</f>
        <v>0</v>
      </c>
      <c r="V414" s="12">
        <f ca="1">SUMIFS(TableDailySummary[Inversión meta ads],TableDailySummary[Fecha],"&gt;="&amp;TableWeeklySummary[[#This Row],[Desde]],TableDailySummary[Fecha],"&lt;="&amp;TableWeeklySummary[[#This Row],[Hasta]])</f>
        <v>0</v>
      </c>
      <c r="W414" s="12">
        <f ca="1">SUMIFS(TableDailySummary[Ventas meta ads],TableDailySummary[Fecha],"&gt;="&amp;TableWeeklySummary[[#This Row],[Desde]],TableDailySummary[Fecha],"&lt;="&amp;TableWeeklySummary[[#This Row],[Hasta]])</f>
        <v>0</v>
      </c>
      <c r="X414" s="12">
        <f ca="1">TableWeeklySummary[[#This Row],[Inversión google ads]]+TableWeeklySummary[[#This Row],[Inversión meta ads]]</f>
        <v>0</v>
      </c>
      <c r="Y414" s="12">
        <f ca="1">TableWeeklySummary[[#This Row],[Ventas google ads]]+TableWeeklySummary[[#This Row],[Ventas meta ads]]</f>
        <v>0</v>
      </c>
      <c r="Z414" s="14">
        <f ca="1">IFERROR(TableWeeklySummary[[#This Row],[Ventas publicidad]]/TableWeeklySummary[[#This Row],[Inversión publicidad]],0)</f>
        <v>0</v>
      </c>
      <c r="AA414" s="14">
        <f ca="1">IFERROR(TableWeeklySummary[[#This Row],[Ventas primer cliente]]/TableWeeklySummary[[#This Row],[Inversión publicidad]],0)</f>
        <v>0</v>
      </c>
      <c r="AB414" s="14"/>
      <c r="AC414" s="12"/>
      <c r="AI41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1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14" s="12">
        <f ca="1">SUMIFS(TableDailySummary[Utilidad bruta],TableDailySummary[Fecha],"&gt;="&amp;TableWeeklySummary[[#This Row],[Desde]],TableDailySummary[Fecha],"&lt;="&amp;TableWeeklySummary[[#This Row],[Hasta]])</f>
        <v>0</v>
      </c>
      <c r="AL414" s="18">
        <f ca="1">IFERROR(TableWeeklySummary[[#This Row],[Utilidad bruta]]/TableWeeklySummary[[#This Row],[Ventas netas con costo registrado]],0)</f>
        <v>0</v>
      </c>
    </row>
    <row r="415" spans="2:38" x14ac:dyDescent="0.2">
      <c r="B415" s="16">
        <f ca="1">_xlfn.ISOWEEKNUM(TableWeeklySummary[[#This Row],[Hasta]])</f>
        <v>35</v>
      </c>
      <c r="C415" s="6">
        <f t="shared" ca="1" si="8"/>
        <v>48817</v>
      </c>
      <c r="D415" s="6">
        <f ca="1">TableWeeklySummary[[#This Row],[Desde]]+7-1</f>
        <v>48823</v>
      </c>
      <c r="E415" s="12">
        <f ca="1">SUMIFS(TableDailySummary[Ventas netas totales],TableDailySummary[Fecha],"&gt;="&amp;TableWeeklySummary[[#This Row],[Desde]],TableDailySummary[Fecha],"&lt;="&amp;TableWeeklySummary[[#This Row],[Hasta]])</f>
        <v>0</v>
      </c>
      <c r="F415" s="12">
        <f ca="1">SUMIFS(TableDailySummary[Órdenes totales],TableDailySummary[Fecha],"&gt;="&amp;TableWeeklySummary[[#This Row],[Desde]],TableDailySummary[Fecha],"&lt;="&amp;TableWeeklySummary[[#This Row],[Hasta]])</f>
        <v>0</v>
      </c>
      <c r="G415" s="12">
        <f ca="1">IFERROR(TableWeeklySummary[[#This Row],[Ventas netas totales]]/TableWeeklySummary[[#This Row],[Órdenes totales]],0)</f>
        <v>0</v>
      </c>
      <c r="H41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15" s="12">
        <f ca="1">TableWeeklySummary[[#This Row],[Órden promedio totales]]*TableWeeklySummary[[#This Row],[CR totales]]</f>
        <v>0</v>
      </c>
      <c r="J415" s="12">
        <f ca="1">SUMIFS(TableDailySummary[Ventas primer cliente],TableDailySummary[Fecha],"&gt;="&amp;TableWeeklySummary[[#This Row],[Desde]],TableDailySummary[Fecha],"&lt;="&amp;TableWeeklySummary[[#This Row],[Hasta]])</f>
        <v>0</v>
      </c>
      <c r="K415" s="12">
        <f ca="1">SUMIFS(TableDailySummary[Órdenes primer cliente],TableDailySummary[Fecha],"&gt;="&amp;TableWeeklySummary[[#This Row],[Desde]],TableDailySummary[Fecha],"&lt;="&amp;TableWeeklySummary[[#This Row],[Hasta]])</f>
        <v>0</v>
      </c>
      <c r="L415" s="12">
        <f ca="1">SUMIFS(TableDailySummary[Online Store_net_sales],TableDailySummary[Fecha],"&gt;="&amp;TableWeeklySummary[[#This Row],[Desde]],TableDailySummary[Fecha],"&lt;="&amp;TableWeeklySummary[[#This Row],[Hasta]])</f>
        <v>0</v>
      </c>
      <c r="M415" s="12">
        <f ca="1">SUMIFS(TableDailySummary[Online Store_orders],TableDailySummary[Fecha],"&gt;="&amp;TableWeeklySummary[[#This Row],[Desde]],TableDailySummary[Fecha],"&lt;="&amp;TableWeeklySummary[[#This Row],[Hasta]])</f>
        <v>0</v>
      </c>
      <c r="N415" s="12">
        <f ca="1">SUMIFS(TableDailySummary[Tienda 81_net_sales],TableDailySummary[Fecha],"&gt;="&amp;TableWeeklySummary[[#This Row],[Desde]],TableDailySummary[Fecha],"&lt;="&amp;TableWeeklySummary[[#This Row],[Hasta]])</f>
        <v>0</v>
      </c>
      <c r="O415" s="12">
        <f ca="1">SUMIFS(TableDailySummary[Tienda 81_orders],TableDailySummary[Fecha],"&gt;="&amp;TableWeeklySummary[[#This Row],[Desde]],TableDailySummary[Fecha],"&lt;="&amp;TableWeeklySummary[[#This Row],[Hasta]])</f>
        <v>0</v>
      </c>
      <c r="P415" s="12">
        <f ca="1">SUMIFS(TableDailySummary[Rappi_net_sales],TableDailySummary[Fecha],"&gt;="&amp;TableWeeklySummary[[#This Row],[Desde]],TableDailySummary[Fecha],"&lt;="&amp;TableWeeklySummary[[#This Row],[Hasta]])</f>
        <v>0</v>
      </c>
      <c r="Q415" s="12">
        <f ca="1">SUMIFS(TableDailySummary[Rappi_orders],TableDailySummary[Fecha],"&gt;="&amp;TableWeeklySummary[[#This Row],[Desde]],TableDailySummary[Fecha],"&lt;="&amp;TableWeeklySummary[[#This Row],[Hasta]])</f>
        <v>0</v>
      </c>
      <c r="R41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1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15" s="12">
        <f ca="1">SUMIFS(TableDailySummary[Inversión google ads],TableDailySummary[Fecha],"&gt;="&amp;TableWeeklySummary[[#This Row],[Desde]],TableDailySummary[Fecha],"&lt;="&amp;TableWeeklySummary[[#This Row],[Hasta]])</f>
        <v>0</v>
      </c>
      <c r="U415" s="12">
        <f ca="1">SUMIFS(TableDailySummary[Ventas google ads],TableDailySummary[Fecha],"&gt;="&amp;TableWeeklySummary[[#This Row],[Desde]],TableDailySummary[Fecha],"&lt;="&amp;TableWeeklySummary[[#This Row],[Hasta]])</f>
        <v>0</v>
      </c>
      <c r="V415" s="12">
        <f ca="1">SUMIFS(TableDailySummary[Inversión meta ads],TableDailySummary[Fecha],"&gt;="&amp;TableWeeklySummary[[#This Row],[Desde]],TableDailySummary[Fecha],"&lt;="&amp;TableWeeklySummary[[#This Row],[Hasta]])</f>
        <v>0</v>
      </c>
      <c r="W415" s="12">
        <f ca="1">SUMIFS(TableDailySummary[Ventas meta ads],TableDailySummary[Fecha],"&gt;="&amp;TableWeeklySummary[[#This Row],[Desde]],TableDailySummary[Fecha],"&lt;="&amp;TableWeeklySummary[[#This Row],[Hasta]])</f>
        <v>0</v>
      </c>
      <c r="X415" s="12">
        <f ca="1">TableWeeklySummary[[#This Row],[Inversión google ads]]+TableWeeklySummary[[#This Row],[Inversión meta ads]]</f>
        <v>0</v>
      </c>
      <c r="Y415" s="12">
        <f ca="1">TableWeeklySummary[[#This Row],[Ventas google ads]]+TableWeeklySummary[[#This Row],[Ventas meta ads]]</f>
        <v>0</v>
      </c>
      <c r="Z415" s="14">
        <f ca="1">IFERROR(TableWeeklySummary[[#This Row],[Ventas publicidad]]/TableWeeklySummary[[#This Row],[Inversión publicidad]],0)</f>
        <v>0</v>
      </c>
      <c r="AA415" s="14">
        <f ca="1">IFERROR(TableWeeklySummary[[#This Row],[Ventas primer cliente]]/TableWeeklySummary[[#This Row],[Inversión publicidad]],0)</f>
        <v>0</v>
      </c>
      <c r="AB415" s="14"/>
      <c r="AC415" s="12"/>
      <c r="AI41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1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15" s="12">
        <f ca="1">SUMIFS(TableDailySummary[Utilidad bruta],TableDailySummary[Fecha],"&gt;="&amp;TableWeeklySummary[[#This Row],[Desde]],TableDailySummary[Fecha],"&lt;="&amp;TableWeeklySummary[[#This Row],[Hasta]])</f>
        <v>0</v>
      </c>
      <c r="AL415" s="18">
        <f ca="1">IFERROR(TableWeeklySummary[[#This Row],[Utilidad bruta]]/TableWeeklySummary[[#This Row],[Ventas netas con costo registrado]],0)</f>
        <v>0</v>
      </c>
    </row>
    <row r="416" spans="2:38" x14ac:dyDescent="0.2">
      <c r="B416" s="16">
        <f ca="1">_xlfn.ISOWEEKNUM(TableWeeklySummary[[#This Row],[Hasta]])</f>
        <v>36</v>
      </c>
      <c r="C416" s="6">
        <f t="shared" ca="1" si="8"/>
        <v>48824</v>
      </c>
      <c r="D416" s="6">
        <f ca="1">TableWeeklySummary[[#This Row],[Desde]]+7-1</f>
        <v>48830</v>
      </c>
      <c r="E416" s="12">
        <f ca="1">SUMIFS(TableDailySummary[Ventas netas totales],TableDailySummary[Fecha],"&gt;="&amp;TableWeeklySummary[[#This Row],[Desde]],TableDailySummary[Fecha],"&lt;="&amp;TableWeeklySummary[[#This Row],[Hasta]])</f>
        <v>0</v>
      </c>
      <c r="F416" s="12">
        <f ca="1">SUMIFS(TableDailySummary[Órdenes totales],TableDailySummary[Fecha],"&gt;="&amp;TableWeeklySummary[[#This Row],[Desde]],TableDailySummary[Fecha],"&lt;="&amp;TableWeeklySummary[[#This Row],[Hasta]])</f>
        <v>0</v>
      </c>
      <c r="G416" s="12">
        <f ca="1">IFERROR(TableWeeklySummary[[#This Row],[Ventas netas totales]]/TableWeeklySummary[[#This Row],[Órdenes totales]],0)</f>
        <v>0</v>
      </c>
      <c r="H41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16" s="12">
        <f ca="1">TableWeeklySummary[[#This Row],[Órden promedio totales]]*TableWeeklySummary[[#This Row],[CR totales]]</f>
        <v>0</v>
      </c>
      <c r="J416" s="12">
        <f ca="1">SUMIFS(TableDailySummary[Ventas primer cliente],TableDailySummary[Fecha],"&gt;="&amp;TableWeeklySummary[[#This Row],[Desde]],TableDailySummary[Fecha],"&lt;="&amp;TableWeeklySummary[[#This Row],[Hasta]])</f>
        <v>0</v>
      </c>
      <c r="K416" s="12">
        <f ca="1">SUMIFS(TableDailySummary[Órdenes primer cliente],TableDailySummary[Fecha],"&gt;="&amp;TableWeeklySummary[[#This Row],[Desde]],TableDailySummary[Fecha],"&lt;="&amp;TableWeeklySummary[[#This Row],[Hasta]])</f>
        <v>0</v>
      </c>
      <c r="L416" s="12">
        <f ca="1">SUMIFS(TableDailySummary[Online Store_net_sales],TableDailySummary[Fecha],"&gt;="&amp;TableWeeklySummary[[#This Row],[Desde]],TableDailySummary[Fecha],"&lt;="&amp;TableWeeklySummary[[#This Row],[Hasta]])</f>
        <v>0</v>
      </c>
      <c r="M416" s="12">
        <f ca="1">SUMIFS(TableDailySummary[Online Store_orders],TableDailySummary[Fecha],"&gt;="&amp;TableWeeklySummary[[#This Row],[Desde]],TableDailySummary[Fecha],"&lt;="&amp;TableWeeklySummary[[#This Row],[Hasta]])</f>
        <v>0</v>
      </c>
      <c r="N416" s="12">
        <f ca="1">SUMIFS(TableDailySummary[Tienda 81_net_sales],TableDailySummary[Fecha],"&gt;="&amp;TableWeeklySummary[[#This Row],[Desde]],TableDailySummary[Fecha],"&lt;="&amp;TableWeeklySummary[[#This Row],[Hasta]])</f>
        <v>0</v>
      </c>
      <c r="O416" s="12">
        <f ca="1">SUMIFS(TableDailySummary[Tienda 81_orders],TableDailySummary[Fecha],"&gt;="&amp;TableWeeklySummary[[#This Row],[Desde]],TableDailySummary[Fecha],"&lt;="&amp;TableWeeklySummary[[#This Row],[Hasta]])</f>
        <v>0</v>
      </c>
      <c r="P416" s="12">
        <f ca="1">SUMIFS(TableDailySummary[Rappi_net_sales],TableDailySummary[Fecha],"&gt;="&amp;TableWeeklySummary[[#This Row],[Desde]],TableDailySummary[Fecha],"&lt;="&amp;TableWeeklySummary[[#This Row],[Hasta]])</f>
        <v>0</v>
      </c>
      <c r="Q416" s="12">
        <f ca="1">SUMIFS(TableDailySummary[Rappi_orders],TableDailySummary[Fecha],"&gt;="&amp;TableWeeklySummary[[#This Row],[Desde]],TableDailySummary[Fecha],"&lt;="&amp;TableWeeklySummary[[#This Row],[Hasta]])</f>
        <v>0</v>
      </c>
      <c r="R41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1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16" s="12">
        <f ca="1">SUMIFS(TableDailySummary[Inversión google ads],TableDailySummary[Fecha],"&gt;="&amp;TableWeeklySummary[[#This Row],[Desde]],TableDailySummary[Fecha],"&lt;="&amp;TableWeeklySummary[[#This Row],[Hasta]])</f>
        <v>0</v>
      </c>
      <c r="U416" s="12">
        <f ca="1">SUMIFS(TableDailySummary[Ventas google ads],TableDailySummary[Fecha],"&gt;="&amp;TableWeeklySummary[[#This Row],[Desde]],TableDailySummary[Fecha],"&lt;="&amp;TableWeeklySummary[[#This Row],[Hasta]])</f>
        <v>0</v>
      </c>
      <c r="V416" s="12">
        <f ca="1">SUMIFS(TableDailySummary[Inversión meta ads],TableDailySummary[Fecha],"&gt;="&amp;TableWeeklySummary[[#This Row],[Desde]],TableDailySummary[Fecha],"&lt;="&amp;TableWeeklySummary[[#This Row],[Hasta]])</f>
        <v>0</v>
      </c>
      <c r="W416" s="12">
        <f ca="1">SUMIFS(TableDailySummary[Ventas meta ads],TableDailySummary[Fecha],"&gt;="&amp;TableWeeklySummary[[#This Row],[Desde]],TableDailySummary[Fecha],"&lt;="&amp;TableWeeklySummary[[#This Row],[Hasta]])</f>
        <v>0</v>
      </c>
      <c r="X416" s="12">
        <f ca="1">TableWeeklySummary[[#This Row],[Inversión google ads]]+TableWeeklySummary[[#This Row],[Inversión meta ads]]</f>
        <v>0</v>
      </c>
      <c r="Y416" s="12">
        <f ca="1">TableWeeklySummary[[#This Row],[Ventas google ads]]+TableWeeklySummary[[#This Row],[Ventas meta ads]]</f>
        <v>0</v>
      </c>
      <c r="Z416" s="14">
        <f ca="1">IFERROR(TableWeeklySummary[[#This Row],[Ventas publicidad]]/TableWeeklySummary[[#This Row],[Inversión publicidad]],0)</f>
        <v>0</v>
      </c>
      <c r="AA416" s="14">
        <f ca="1">IFERROR(TableWeeklySummary[[#This Row],[Ventas primer cliente]]/TableWeeklySummary[[#This Row],[Inversión publicidad]],0)</f>
        <v>0</v>
      </c>
      <c r="AB416" s="14"/>
      <c r="AC416" s="12"/>
      <c r="AI41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1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16" s="12">
        <f ca="1">SUMIFS(TableDailySummary[Utilidad bruta],TableDailySummary[Fecha],"&gt;="&amp;TableWeeklySummary[[#This Row],[Desde]],TableDailySummary[Fecha],"&lt;="&amp;TableWeeklySummary[[#This Row],[Hasta]])</f>
        <v>0</v>
      </c>
      <c r="AL416" s="18">
        <f ca="1">IFERROR(TableWeeklySummary[[#This Row],[Utilidad bruta]]/TableWeeklySummary[[#This Row],[Ventas netas con costo registrado]],0)</f>
        <v>0</v>
      </c>
    </row>
    <row r="417" spans="2:38" x14ac:dyDescent="0.2">
      <c r="B417" s="16">
        <f ca="1">_xlfn.ISOWEEKNUM(TableWeeklySummary[[#This Row],[Hasta]])</f>
        <v>37</v>
      </c>
      <c r="C417" s="6">
        <f t="shared" ca="1" si="8"/>
        <v>48831</v>
      </c>
      <c r="D417" s="6">
        <f ca="1">TableWeeklySummary[[#This Row],[Desde]]+7-1</f>
        <v>48837</v>
      </c>
      <c r="E417" s="12">
        <f ca="1">SUMIFS(TableDailySummary[Ventas netas totales],TableDailySummary[Fecha],"&gt;="&amp;TableWeeklySummary[[#This Row],[Desde]],TableDailySummary[Fecha],"&lt;="&amp;TableWeeklySummary[[#This Row],[Hasta]])</f>
        <v>0</v>
      </c>
      <c r="F417" s="12">
        <f ca="1">SUMIFS(TableDailySummary[Órdenes totales],TableDailySummary[Fecha],"&gt;="&amp;TableWeeklySummary[[#This Row],[Desde]],TableDailySummary[Fecha],"&lt;="&amp;TableWeeklySummary[[#This Row],[Hasta]])</f>
        <v>0</v>
      </c>
      <c r="G417" s="12">
        <f ca="1">IFERROR(TableWeeklySummary[[#This Row],[Ventas netas totales]]/TableWeeklySummary[[#This Row],[Órdenes totales]],0)</f>
        <v>0</v>
      </c>
      <c r="H41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17" s="12">
        <f ca="1">TableWeeklySummary[[#This Row],[Órden promedio totales]]*TableWeeklySummary[[#This Row],[CR totales]]</f>
        <v>0</v>
      </c>
      <c r="J417" s="12">
        <f ca="1">SUMIFS(TableDailySummary[Ventas primer cliente],TableDailySummary[Fecha],"&gt;="&amp;TableWeeklySummary[[#This Row],[Desde]],TableDailySummary[Fecha],"&lt;="&amp;TableWeeklySummary[[#This Row],[Hasta]])</f>
        <v>0</v>
      </c>
      <c r="K417" s="12">
        <f ca="1">SUMIFS(TableDailySummary[Órdenes primer cliente],TableDailySummary[Fecha],"&gt;="&amp;TableWeeklySummary[[#This Row],[Desde]],TableDailySummary[Fecha],"&lt;="&amp;TableWeeklySummary[[#This Row],[Hasta]])</f>
        <v>0</v>
      </c>
      <c r="L417" s="12">
        <f ca="1">SUMIFS(TableDailySummary[Online Store_net_sales],TableDailySummary[Fecha],"&gt;="&amp;TableWeeklySummary[[#This Row],[Desde]],TableDailySummary[Fecha],"&lt;="&amp;TableWeeklySummary[[#This Row],[Hasta]])</f>
        <v>0</v>
      </c>
      <c r="M417" s="12">
        <f ca="1">SUMIFS(TableDailySummary[Online Store_orders],TableDailySummary[Fecha],"&gt;="&amp;TableWeeklySummary[[#This Row],[Desde]],TableDailySummary[Fecha],"&lt;="&amp;TableWeeklySummary[[#This Row],[Hasta]])</f>
        <v>0</v>
      </c>
      <c r="N417" s="12">
        <f ca="1">SUMIFS(TableDailySummary[Tienda 81_net_sales],TableDailySummary[Fecha],"&gt;="&amp;TableWeeklySummary[[#This Row],[Desde]],TableDailySummary[Fecha],"&lt;="&amp;TableWeeklySummary[[#This Row],[Hasta]])</f>
        <v>0</v>
      </c>
      <c r="O417" s="12">
        <f ca="1">SUMIFS(TableDailySummary[Tienda 81_orders],TableDailySummary[Fecha],"&gt;="&amp;TableWeeklySummary[[#This Row],[Desde]],TableDailySummary[Fecha],"&lt;="&amp;TableWeeklySummary[[#This Row],[Hasta]])</f>
        <v>0</v>
      </c>
      <c r="P417" s="12">
        <f ca="1">SUMIFS(TableDailySummary[Rappi_net_sales],TableDailySummary[Fecha],"&gt;="&amp;TableWeeklySummary[[#This Row],[Desde]],TableDailySummary[Fecha],"&lt;="&amp;TableWeeklySummary[[#This Row],[Hasta]])</f>
        <v>0</v>
      </c>
      <c r="Q417" s="12">
        <f ca="1">SUMIFS(TableDailySummary[Rappi_orders],TableDailySummary[Fecha],"&gt;="&amp;TableWeeklySummary[[#This Row],[Desde]],TableDailySummary[Fecha],"&lt;="&amp;TableWeeklySummary[[#This Row],[Hasta]])</f>
        <v>0</v>
      </c>
      <c r="R41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1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17" s="12">
        <f ca="1">SUMIFS(TableDailySummary[Inversión google ads],TableDailySummary[Fecha],"&gt;="&amp;TableWeeklySummary[[#This Row],[Desde]],TableDailySummary[Fecha],"&lt;="&amp;TableWeeklySummary[[#This Row],[Hasta]])</f>
        <v>0</v>
      </c>
      <c r="U417" s="12">
        <f ca="1">SUMIFS(TableDailySummary[Ventas google ads],TableDailySummary[Fecha],"&gt;="&amp;TableWeeklySummary[[#This Row],[Desde]],TableDailySummary[Fecha],"&lt;="&amp;TableWeeklySummary[[#This Row],[Hasta]])</f>
        <v>0</v>
      </c>
      <c r="V417" s="12">
        <f ca="1">SUMIFS(TableDailySummary[Inversión meta ads],TableDailySummary[Fecha],"&gt;="&amp;TableWeeklySummary[[#This Row],[Desde]],TableDailySummary[Fecha],"&lt;="&amp;TableWeeklySummary[[#This Row],[Hasta]])</f>
        <v>0</v>
      </c>
      <c r="W417" s="12">
        <f ca="1">SUMIFS(TableDailySummary[Ventas meta ads],TableDailySummary[Fecha],"&gt;="&amp;TableWeeklySummary[[#This Row],[Desde]],TableDailySummary[Fecha],"&lt;="&amp;TableWeeklySummary[[#This Row],[Hasta]])</f>
        <v>0</v>
      </c>
      <c r="X417" s="12">
        <f ca="1">TableWeeklySummary[[#This Row],[Inversión google ads]]+TableWeeklySummary[[#This Row],[Inversión meta ads]]</f>
        <v>0</v>
      </c>
      <c r="Y417" s="12">
        <f ca="1">TableWeeklySummary[[#This Row],[Ventas google ads]]+TableWeeklySummary[[#This Row],[Ventas meta ads]]</f>
        <v>0</v>
      </c>
      <c r="Z417" s="14">
        <f ca="1">IFERROR(TableWeeklySummary[[#This Row],[Ventas publicidad]]/TableWeeklySummary[[#This Row],[Inversión publicidad]],0)</f>
        <v>0</v>
      </c>
      <c r="AA417" s="14">
        <f ca="1">IFERROR(TableWeeklySummary[[#This Row],[Ventas primer cliente]]/TableWeeklySummary[[#This Row],[Inversión publicidad]],0)</f>
        <v>0</v>
      </c>
      <c r="AB417" s="14"/>
      <c r="AC417" s="12"/>
      <c r="AI41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1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17" s="12">
        <f ca="1">SUMIFS(TableDailySummary[Utilidad bruta],TableDailySummary[Fecha],"&gt;="&amp;TableWeeklySummary[[#This Row],[Desde]],TableDailySummary[Fecha],"&lt;="&amp;TableWeeklySummary[[#This Row],[Hasta]])</f>
        <v>0</v>
      </c>
      <c r="AL417" s="18">
        <f ca="1">IFERROR(TableWeeklySummary[[#This Row],[Utilidad bruta]]/TableWeeklySummary[[#This Row],[Ventas netas con costo registrado]],0)</f>
        <v>0</v>
      </c>
    </row>
    <row r="418" spans="2:38" x14ac:dyDescent="0.2">
      <c r="B418" s="16">
        <f ca="1">_xlfn.ISOWEEKNUM(TableWeeklySummary[[#This Row],[Hasta]])</f>
        <v>38</v>
      </c>
      <c r="C418" s="6">
        <f t="shared" ca="1" si="8"/>
        <v>48838</v>
      </c>
      <c r="D418" s="6">
        <f ca="1">TableWeeklySummary[[#This Row],[Desde]]+7-1</f>
        <v>48844</v>
      </c>
      <c r="E418" s="12">
        <f ca="1">SUMIFS(TableDailySummary[Ventas netas totales],TableDailySummary[Fecha],"&gt;="&amp;TableWeeklySummary[[#This Row],[Desde]],TableDailySummary[Fecha],"&lt;="&amp;TableWeeklySummary[[#This Row],[Hasta]])</f>
        <v>0</v>
      </c>
      <c r="F418" s="12">
        <f ca="1">SUMIFS(TableDailySummary[Órdenes totales],TableDailySummary[Fecha],"&gt;="&amp;TableWeeklySummary[[#This Row],[Desde]],TableDailySummary[Fecha],"&lt;="&amp;TableWeeklySummary[[#This Row],[Hasta]])</f>
        <v>0</v>
      </c>
      <c r="G418" s="12">
        <f ca="1">IFERROR(TableWeeklySummary[[#This Row],[Ventas netas totales]]/TableWeeklySummary[[#This Row],[Órdenes totales]],0)</f>
        <v>0</v>
      </c>
      <c r="H41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18" s="12">
        <f ca="1">TableWeeklySummary[[#This Row],[Órden promedio totales]]*TableWeeklySummary[[#This Row],[CR totales]]</f>
        <v>0</v>
      </c>
      <c r="J418" s="12">
        <f ca="1">SUMIFS(TableDailySummary[Ventas primer cliente],TableDailySummary[Fecha],"&gt;="&amp;TableWeeklySummary[[#This Row],[Desde]],TableDailySummary[Fecha],"&lt;="&amp;TableWeeklySummary[[#This Row],[Hasta]])</f>
        <v>0</v>
      </c>
      <c r="K418" s="12">
        <f ca="1">SUMIFS(TableDailySummary[Órdenes primer cliente],TableDailySummary[Fecha],"&gt;="&amp;TableWeeklySummary[[#This Row],[Desde]],TableDailySummary[Fecha],"&lt;="&amp;TableWeeklySummary[[#This Row],[Hasta]])</f>
        <v>0</v>
      </c>
      <c r="L418" s="12">
        <f ca="1">SUMIFS(TableDailySummary[Online Store_net_sales],TableDailySummary[Fecha],"&gt;="&amp;TableWeeklySummary[[#This Row],[Desde]],TableDailySummary[Fecha],"&lt;="&amp;TableWeeklySummary[[#This Row],[Hasta]])</f>
        <v>0</v>
      </c>
      <c r="M418" s="12">
        <f ca="1">SUMIFS(TableDailySummary[Online Store_orders],TableDailySummary[Fecha],"&gt;="&amp;TableWeeklySummary[[#This Row],[Desde]],TableDailySummary[Fecha],"&lt;="&amp;TableWeeklySummary[[#This Row],[Hasta]])</f>
        <v>0</v>
      </c>
      <c r="N418" s="12">
        <f ca="1">SUMIFS(TableDailySummary[Tienda 81_net_sales],TableDailySummary[Fecha],"&gt;="&amp;TableWeeklySummary[[#This Row],[Desde]],TableDailySummary[Fecha],"&lt;="&amp;TableWeeklySummary[[#This Row],[Hasta]])</f>
        <v>0</v>
      </c>
      <c r="O418" s="12">
        <f ca="1">SUMIFS(TableDailySummary[Tienda 81_orders],TableDailySummary[Fecha],"&gt;="&amp;TableWeeklySummary[[#This Row],[Desde]],TableDailySummary[Fecha],"&lt;="&amp;TableWeeklySummary[[#This Row],[Hasta]])</f>
        <v>0</v>
      </c>
      <c r="P418" s="12">
        <f ca="1">SUMIFS(TableDailySummary[Rappi_net_sales],TableDailySummary[Fecha],"&gt;="&amp;TableWeeklySummary[[#This Row],[Desde]],TableDailySummary[Fecha],"&lt;="&amp;TableWeeklySummary[[#This Row],[Hasta]])</f>
        <v>0</v>
      </c>
      <c r="Q418" s="12">
        <f ca="1">SUMIFS(TableDailySummary[Rappi_orders],TableDailySummary[Fecha],"&gt;="&amp;TableWeeklySummary[[#This Row],[Desde]],TableDailySummary[Fecha],"&lt;="&amp;TableWeeklySummary[[#This Row],[Hasta]])</f>
        <v>0</v>
      </c>
      <c r="R41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1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18" s="12">
        <f ca="1">SUMIFS(TableDailySummary[Inversión google ads],TableDailySummary[Fecha],"&gt;="&amp;TableWeeklySummary[[#This Row],[Desde]],TableDailySummary[Fecha],"&lt;="&amp;TableWeeklySummary[[#This Row],[Hasta]])</f>
        <v>0</v>
      </c>
      <c r="U418" s="12">
        <f ca="1">SUMIFS(TableDailySummary[Ventas google ads],TableDailySummary[Fecha],"&gt;="&amp;TableWeeklySummary[[#This Row],[Desde]],TableDailySummary[Fecha],"&lt;="&amp;TableWeeklySummary[[#This Row],[Hasta]])</f>
        <v>0</v>
      </c>
      <c r="V418" s="12">
        <f ca="1">SUMIFS(TableDailySummary[Inversión meta ads],TableDailySummary[Fecha],"&gt;="&amp;TableWeeklySummary[[#This Row],[Desde]],TableDailySummary[Fecha],"&lt;="&amp;TableWeeklySummary[[#This Row],[Hasta]])</f>
        <v>0</v>
      </c>
      <c r="W418" s="12">
        <f ca="1">SUMIFS(TableDailySummary[Ventas meta ads],TableDailySummary[Fecha],"&gt;="&amp;TableWeeklySummary[[#This Row],[Desde]],TableDailySummary[Fecha],"&lt;="&amp;TableWeeklySummary[[#This Row],[Hasta]])</f>
        <v>0</v>
      </c>
      <c r="X418" s="12">
        <f ca="1">TableWeeklySummary[[#This Row],[Inversión google ads]]+TableWeeklySummary[[#This Row],[Inversión meta ads]]</f>
        <v>0</v>
      </c>
      <c r="Y418" s="12">
        <f ca="1">TableWeeklySummary[[#This Row],[Ventas google ads]]+TableWeeklySummary[[#This Row],[Ventas meta ads]]</f>
        <v>0</v>
      </c>
      <c r="Z418" s="14">
        <f ca="1">IFERROR(TableWeeklySummary[[#This Row],[Ventas publicidad]]/TableWeeklySummary[[#This Row],[Inversión publicidad]],0)</f>
        <v>0</v>
      </c>
      <c r="AA418" s="14">
        <f ca="1">IFERROR(TableWeeklySummary[[#This Row],[Ventas primer cliente]]/TableWeeklySummary[[#This Row],[Inversión publicidad]],0)</f>
        <v>0</v>
      </c>
      <c r="AB418" s="14"/>
      <c r="AC418" s="12"/>
      <c r="AI41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1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18" s="12">
        <f ca="1">SUMIFS(TableDailySummary[Utilidad bruta],TableDailySummary[Fecha],"&gt;="&amp;TableWeeklySummary[[#This Row],[Desde]],TableDailySummary[Fecha],"&lt;="&amp;TableWeeklySummary[[#This Row],[Hasta]])</f>
        <v>0</v>
      </c>
      <c r="AL418" s="18">
        <f ca="1">IFERROR(TableWeeklySummary[[#This Row],[Utilidad bruta]]/TableWeeklySummary[[#This Row],[Ventas netas con costo registrado]],0)</f>
        <v>0</v>
      </c>
    </row>
    <row r="419" spans="2:38" x14ac:dyDescent="0.2">
      <c r="B419" s="16">
        <f ca="1">_xlfn.ISOWEEKNUM(TableWeeklySummary[[#This Row],[Hasta]])</f>
        <v>39</v>
      </c>
      <c r="C419" s="6">
        <f t="shared" ca="1" si="8"/>
        <v>48845</v>
      </c>
      <c r="D419" s="6">
        <f ca="1">TableWeeklySummary[[#This Row],[Desde]]+7-1</f>
        <v>48851</v>
      </c>
      <c r="E419" s="12">
        <f ca="1">SUMIFS(TableDailySummary[Ventas netas totales],TableDailySummary[Fecha],"&gt;="&amp;TableWeeklySummary[[#This Row],[Desde]],TableDailySummary[Fecha],"&lt;="&amp;TableWeeklySummary[[#This Row],[Hasta]])</f>
        <v>0</v>
      </c>
      <c r="F419" s="12">
        <f ca="1">SUMIFS(TableDailySummary[Órdenes totales],TableDailySummary[Fecha],"&gt;="&amp;TableWeeklySummary[[#This Row],[Desde]],TableDailySummary[Fecha],"&lt;="&amp;TableWeeklySummary[[#This Row],[Hasta]])</f>
        <v>0</v>
      </c>
      <c r="G419" s="12">
        <f ca="1">IFERROR(TableWeeklySummary[[#This Row],[Ventas netas totales]]/TableWeeklySummary[[#This Row],[Órdenes totales]],0)</f>
        <v>0</v>
      </c>
      <c r="H41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19" s="12">
        <f ca="1">TableWeeklySummary[[#This Row],[Órden promedio totales]]*TableWeeklySummary[[#This Row],[CR totales]]</f>
        <v>0</v>
      </c>
      <c r="J419" s="12">
        <f ca="1">SUMIFS(TableDailySummary[Ventas primer cliente],TableDailySummary[Fecha],"&gt;="&amp;TableWeeklySummary[[#This Row],[Desde]],TableDailySummary[Fecha],"&lt;="&amp;TableWeeklySummary[[#This Row],[Hasta]])</f>
        <v>0</v>
      </c>
      <c r="K419" s="12">
        <f ca="1">SUMIFS(TableDailySummary[Órdenes primer cliente],TableDailySummary[Fecha],"&gt;="&amp;TableWeeklySummary[[#This Row],[Desde]],TableDailySummary[Fecha],"&lt;="&amp;TableWeeklySummary[[#This Row],[Hasta]])</f>
        <v>0</v>
      </c>
      <c r="L419" s="12">
        <f ca="1">SUMIFS(TableDailySummary[Online Store_net_sales],TableDailySummary[Fecha],"&gt;="&amp;TableWeeklySummary[[#This Row],[Desde]],TableDailySummary[Fecha],"&lt;="&amp;TableWeeklySummary[[#This Row],[Hasta]])</f>
        <v>0</v>
      </c>
      <c r="M419" s="12">
        <f ca="1">SUMIFS(TableDailySummary[Online Store_orders],TableDailySummary[Fecha],"&gt;="&amp;TableWeeklySummary[[#This Row],[Desde]],TableDailySummary[Fecha],"&lt;="&amp;TableWeeklySummary[[#This Row],[Hasta]])</f>
        <v>0</v>
      </c>
      <c r="N419" s="12">
        <f ca="1">SUMIFS(TableDailySummary[Tienda 81_net_sales],TableDailySummary[Fecha],"&gt;="&amp;TableWeeklySummary[[#This Row],[Desde]],TableDailySummary[Fecha],"&lt;="&amp;TableWeeklySummary[[#This Row],[Hasta]])</f>
        <v>0</v>
      </c>
      <c r="O419" s="12">
        <f ca="1">SUMIFS(TableDailySummary[Tienda 81_orders],TableDailySummary[Fecha],"&gt;="&amp;TableWeeklySummary[[#This Row],[Desde]],TableDailySummary[Fecha],"&lt;="&amp;TableWeeklySummary[[#This Row],[Hasta]])</f>
        <v>0</v>
      </c>
      <c r="P419" s="12">
        <f ca="1">SUMIFS(TableDailySummary[Rappi_net_sales],TableDailySummary[Fecha],"&gt;="&amp;TableWeeklySummary[[#This Row],[Desde]],TableDailySummary[Fecha],"&lt;="&amp;TableWeeklySummary[[#This Row],[Hasta]])</f>
        <v>0</v>
      </c>
      <c r="Q419" s="12">
        <f ca="1">SUMIFS(TableDailySummary[Rappi_orders],TableDailySummary[Fecha],"&gt;="&amp;TableWeeklySummary[[#This Row],[Desde]],TableDailySummary[Fecha],"&lt;="&amp;TableWeeklySummary[[#This Row],[Hasta]])</f>
        <v>0</v>
      </c>
      <c r="R41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1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19" s="12">
        <f ca="1">SUMIFS(TableDailySummary[Inversión google ads],TableDailySummary[Fecha],"&gt;="&amp;TableWeeklySummary[[#This Row],[Desde]],TableDailySummary[Fecha],"&lt;="&amp;TableWeeklySummary[[#This Row],[Hasta]])</f>
        <v>0</v>
      </c>
      <c r="U419" s="12">
        <f ca="1">SUMIFS(TableDailySummary[Ventas google ads],TableDailySummary[Fecha],"&gt;="&amp;TableWeeklySummary[[#This Row],[Desde]],TableDailySummary[Fecha],"&lt;="&amp;TableWeeklySummary[[#This Row],[Hasta]])</f>
        <v>0</v>
      </c>
      <c r="V419" s="12">
        <f ca="1">SUMIFS(TableDailySummary[Inversión meta ads],TableDailySummary[Fecha],"&gt;="&amp;TableWeeklySummary[[#This Row],[Desde]],TableDailySummary[Fecha],"&lt;="&amp;TableWeeklySummary[[#This Row],[Hasta]])</f>
        <v>0</v>
      </c>
      <c r="W419" s="12">
        <f ca="1">SUMIFS(TableDailySummary[Ventas meta ads],TableDailySummary[Fecha],"&gt;="&amp;TableWeeklySummary[[#This Row],[Desde]],TableDailySummary[Fecha],"&lt;="&amp;TableWeeklySummary[[#This Row],[Hasta]])</f>
        <v>0</v>
      </c>
      <c r="X419" s="12">
        <f ca="1">TableWeeklySummary[[#This Row],[Inversión google ads]]+TableWeeklySummary[[#This Row],[Inversión meta ads]]</f>
        <v>0</v>
      </c>
      <c r="Y419" s="12">
        <f ca="1">TableWeeklySummary[[#This Row],[Ventas google ads]]+TableWeeklySummary[[#This Row],[Ventas meta ads]]</f>
        <v>0</v>
      </c>
      <c r="Z419" s="14">
        <f ca="1">IFERROR(TableWeeklySummary[[#This Row],[Ventas publicidad]]/TableWeeklySummary[[#This Row],[Inversión publicidad]],0)</f>
        <v>0</v>
      </c>
      <c r="AA419" s="14">
        <f ca="1">IFERROR(TableWeeklySummary[[#This Row],[Ventas primer cliente]]/TableWeeklySummary[[#This Row],[Inversión publicidad]],0)</f>
        <v>0</v>
      </c>
      <c r="AB419" s="14"/>
      <c r="AC419" s="12"/>
      <c r="AI41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1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19" s="12">
        <f ca="1">SUMIFS(TableDailySummary[Utilidad bruta],TableDailySummary[Fecha],"&gt;="&amp;TableWeeklySummary[[#This Row],[Desde]],TableDailySummary[Fecha],"&lt;="&amp;TableWeeklySummary[[#This Row],[Hasta]])</f>
        <v>0</v>
      </c>
      <c r="AL419" s="18">
        <f ca="1">IFERROR(TableWeeklySummary[[#This Row],[Utilidad bruta]]/TableWeeklySummary[[#This Row],[Ventas netas con costo registrado]],0)</f>
        <v>0</v>
      </c>
    </row>
    <row r="420" spans="2:38" x14ac:dyDescent="0.2">
      <c r="B420" s="16">
        <f ca="1">_xlfn.ISOWEEKNUM(TableWeeklySummary[[#This Row],[Hasta]])</f>
        <v>40</v>
      </c>
      <c r="C420" s="6">
        <f t="shared" ca="1" si="8"/>
        <v>48852</v>
      </c>
      <c r="D420" s="6">
        <f ca="1">TableWeeklySummary[[#This Row],[Desde]]+7-1</f>
        <v>48858</v>
      </c>
      <c r="E420" s="12">
        <f ca="1">SUMIFS(TableDailySummary[Ventas netas totales],TableDailySummary[Fecha],"&gt;="&amp;TableWeeklySummary[[#This Row],[Desde]],TableDailySummary[Fecha],"&lt;="&amp;TableWeeklySummary[[#This Row],[Hasta]])</f>
        <v>0</v>
      </c>
      <c r="F420" s="12">
        <f ca="1">SUMIFS(TableDailySummary[Órdenes totales],TableDailySummary[Fecha],"&gt;="&amp;TableWeeklySummary[[#This Row],[Desde]],TableDailySummary[Fecha],"&lt;="&amp;TableWeeklySummary[[#This Row],[Hasta]])</f>
        <v>0</v>
      </c>
      <c r="G420" s="12">
        <f ca="1">IFERROR(TableWeeklySummary[[#This Row],[Ventas netas totales]]/TableWeeklySummary[[#This Row],[Órdenes totales]],0)</f>
        <v>0</v>
      </c>
      <c r="H42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20" s="12">
        <f ca="1">TableWeeklySummary[[#This Row],[Órden promedio totales]]*TableWeeklySummary[[#This Row],[CR totales]]</f>
        <v>0</v>
      </c>
      <c r="J420" s="12">
        <f ca="1">SUMIFS(TableDailySummary[Ventas primer cliente],TableDailySummary[Fecha],"&gt;="&amp;TableWeeklySummary[[#This Row],[Desde]],TableDailySummary[Fecha],"&lt;="&amp;TableWeeklySummary[[#This Row],[Hasta]])</f>
        <v>0</v>
      </c>
      <c r="K420" s="12">
        <f ca="1">SUMIFS(TableDailySummary[Órdenes primer cliente],TableDailySummary[Fecha],"&gt;="&amp;TableWeeklySummary[[#This Row],[Desde]],TableDailySummary[Fecha],"&lt;="&amp;TableWeeklySummary[[#This Row],[Hasta]])</f>
        <v>0</v>
      </c>
      <c r="L420" s="12">
        <f ca="1">SUMIFS(TableDailySummary[Online Store_net_sales],TableDailySummary[Fecha],"&gt;="&amp;TableWeeklySummary[[#This Row],[Desde]],TableDailySummary[Fecha],"&lt;="&amp;TableWeeklySummary[[#This Row],[Hasta]])</f>
        <v>0</v>
      </c>
      <c r="M420" s="12">
        <f ca="1">SUMIFS(TableDailySummary[Online Store_orders],TableDailySummary[Fecha],"&gt;="&amp;TableWeeklySummary[[#This Row],[Desde]],TableDailySummary[Fecha],"&lt;="&amp;TableWeeklySummary[[#This Row],[Hasta]])</f>
        <v>0</v>
      </c>
      <c r="N420" s="12">
        <f ca="1">SUMIFS(TableDailySummary[Tienda 81_net_sales],TableDailySummary[Fecha],"&gt;="&amp;TableWeeklySummary[[#This Row],[Desde]],TableDailySummary[Fecha],"&lt;="&amp;TableWeeklySummary[[#This Row],[Hasta]])</f>
        <v>0</v>
      </c>
      <c r="O420" s="12">
        <f ca="1">SUMIFS(TableDailySummary[Tienda 81_orders],TableDailySummary[Fecha],"&gt;="&amp;TableWeeklySummary[[#This Row],[Desde]],TableDailySummary[Fecha],"&lt;="&amp;TableWeeklySummary[[#This Row],[Hasta]])</f>
        <v>0</v>
      </c>
      <c r="P420" s="12">
        <f ca="1">SUMIFS(TableDailySummary[Rappi_net_sales],TableDailySummary[Fecha],"&gt;="&amp;TableWeeklySummary[[#This Row],[Desde]],TableDailySummary[Fecha],"&lt;="&amp;TableWeeklySummary[[#This Row],[Hasta]])</f>
        <v>0</v>
      </c>
      <c r="Q420" s="12">
        <f ca="1">SUMIFS(TableDailySummary[Rappi_orders],TableDailySummary[Fecha],"&gt;="&amp;TableWeeklySummary[[#This Row],[Desde]],TableDailySummary[Fecha],"&lt;="&amp;TableWeeklySummary[[#This Row],[Hasta]])</f>
        <v>0</v>
      </c>
      <c r="R42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2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20" s="12">
        <f ca="1">SUMIFS(TableDailySummary[Inversión google ads],TableDailySummary[Fecha],"&gt;="&amp;TableWeeklySummary[[#This Row],[Desde]],TableDailySummary[Fecha],"&lt;="&amp;TableWeeklySummary[[#This Row],[Hasta]])</f>
        <v>0</v>
      </c>
      <c r="U420" s="12">
        <f ca="1">SUMIFS(TableDailySummary[Ventas google ads],TableDailySummary[Fecha],"&gt;="&amp;TableWeeklySummary[[#This Row],[Desde]],TableDailySummary[Fecha],"&lt;="&amp;TableWeeklySummary[[#This Row],[Hasta]])</f>
        <v>0</v>
      </c>
      <c r="V420" s="12">
        <f ca="1">SUMIFS(TableDailySummary[Inversión meta ads],TableDailySummary[Fecha],"&gt;="&amp;TableWeeklySummary[[#This Row],[Desde]],TableDailySummary[Fecha],"&lt;="&amp;TableWeeklySummary[[#This Row],[Hasta]])</f>
        <v>0</v>
      </c>
      <c r="W420" s="12">
        <f ca="1">SUMIFS(TableDailySummary[Ventas meta ads],TableDailySummary[Fecha],"&gt;="&amp;TableWeeklySummary[[#This Row],[Desde]],TableDailySummary[Fecha],"&lt;="&amp;TableWeeklySummary[[#This Row],[Hasta]])</f>
        <v>0</v>
      </c>
      <c r="X420" s="12">
        <f ca="1">TableWeeklySummary[[#This Row],[Inversión google ads]]+TableWeeklySummary[[#This Row],[Inversión meta ads]]</f>
        <v>0</v>
      </c>
      <c r="Y420" s="12">
        <f ca="1">TableWeeklySummary[[#This Row],[Ventas google ads]]+TableWeeklySummary[[#This Row],[Ventas meta ads]]</f>
        <v>0</v>
      </c>
      <c r="Z420" s="14">
        <f ca="1">IFERROR(TableWeeklySummary[[#This Row],[Ventas publicidad]]/TableWeeklySummary[[#This Row],[Inversión publicidad]],0)</f>
        <v>0</v>
      </c>
      <c r="AA420" s="14">
        <f ca="1">IFERROR(TableWeeklySummary[[#This Row],[Ventas primer cliente]]/TableWeeklySummary[[#This Row],[Inversión publicidad]],0)</f>
        <v>0</v>
      </c>
      <c r="AB420" s="14"/>
      <c r="AC420" s="12"/>
      <c r="AI42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2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20" s="12">
        <f ca="1">SUMIFS(TableDailySummary[Utilidad bruta],TableDailySummary[Fecha],"&gt;="&amp;TableWeeklySummary[[#This Row],[Desde]],TableDailySummary[Fecha],"&lt;="&amp;TableWeeklySummary[[#This Row],[Hasta]])</f>
        <v>0</v>
      </c>
      <c r="AL420" s="18">
        <f ca="1">IFERROR(TableWeeklySummary[[#This Row],[Utilidad bruta]]/TableWeeklySummary[[#This Row],[Ventas netas con costo registrado]],0)</f>
        <v>0</v>
      </c>
    </row>
    <row r="421" spans="2:38" x14ac:dyDescent="0.2">
      <c r="B421" s="16">
        <f ca="1">_xlfn.ISOWEEKNUM(TableWeeklySummary[[#This Row],[Hasta]])</f>
        <v>41</v>
      </c>
      <c r="C421" s="6">
        <f t="shared" ca="1" si="8"/>
        <v>48859</v>
      </c>
      <c r="D421" s="6">
        <f ca="1">TableWeeklySummary[[#This Row],[Desde]]+7-1</f>
        <v>48865</v>
      </c>
      <c r="E421" s="12">
        <f ca="1">SUMIFS(TableDailySummary[Ventas netas totales],TableDailySummary[Fecha],"&gt;="&amp;TableWeeklySummary[[#This Row],[Desde]],TableDailySummary[Fecha],"&lt;="&amp;TableWeeklySummary[[#This Row],[Hasta]])</f>
        <v>0</v>
      </c>
      <c r="F421" s="12">
        <f ca="1">SUMIFS(TableDailySummary[Órdenes totales],TableDailySummary[Fecha],"&gt;="&amp;TableWeeklySummary[[#This Row],[Desde]],TableDailySummary[Fecha],"&lt;="&amp;TableWeeklySummary[[#This Row],[Hasta]])</f>
        <v>0</v>
      </c>
      <c r="G421" s="12">
        <f ca="1">IFERROR(TableWeeklySummary[[#This Row],[Ventas netas totales]]/TableWeeklySummary[[#This Row],[Órdenes totales]],0)</f>
        <v>0</v>
      </c>
      <c r="H42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21" s="12">
        <f ca="1">TableWeeklySummary[[#This Row],[Órden promedio totales]]*TableWeeklySummary[[#This Row],[CR totales]]</f>
        <v>0</v>
      </c>
      <c r="J421" s="12">
        <f ca="1">SUMIFS(TableDailySummary[Ventas primer cliente],TableDailySummary[Fecha],"&gt;="&amp;TableWeeklySummary[[#This Row],[Desde]],TableDailySummary[Fecha],"&lt;="&amp;TableWeeklySummary[[#This Row],[Hasta]])</f>
        <v>0</v>
      </c>
      <c r="K421" s="12">
        <f ca="1">SUMIFS(TableDailySummary[Órdenes primer cliente],TableDailySummary[Fecha],"&gt;="&amp;TableWeeklySummary[[#This Row],[Desde]],TableDailySummary[Fecha],"&lt;="&amp;TableWeeklySummary[[#This Row],[Hasta]])</f>
        <v>0</v>
      </c>
      <c r="L421" s="12">
        <f ca="1">SUMIFS(TableDailySummary[Online Store_net_sales],TableDailySummary[Fecha],"&gt;="&amp;TableWeeklySummary[[#This Row],[Desde]],TableDailySummary[Fecha],"&lt;="&amp;TableWeeklySummary[[#This Row],[Hasta]])</f>
        <v>0</v>
      </c>
      <c r="M421" s="12">
        <f ca="1">SUMIFS(TableDailySummary[Online Store_orders],TableDailySummary[Fecha],"&gt;="&amp;TableWeeklySummary[[#This Row],[Desde]],TableDailySummary[Fecha],"&lt;="&amp;TableWeeklySummary[[#This Row],[Hasta]])</f>
        <v>0</v>
      </c>
      <c r="N421" s="12">
        <f ca="1">SUMIFS(TableDailySummary[Tienda 81_net_sales],TableDailySummary[Fecha],"&gt;="&amp;TableWeeklySummary[[#This Row],[Desde]],TableDailySummary[Fecha],"&lt;="&amp;TableWeeklySummary[[#This Row],[Hasta]])</f>
        <v>0</v>
      </c>
      <c r="O421" s="12">
        <f ca="1">SUMIFS(TableDailySummary[Tienda 81_orders],TableDailySummary[Fecha],"&gt;="&amp;TableWeeklySummary[[#This Row],[Desde]],TableDailySummary[Fecha],"&lt;="&amp;TableWeeklySummary[[#This Row],[Hasta]])</f>
        <v>0</v>
      </c>
      <c r="P421" s="12">
        <f ca="1">SUMIFS(TableDailySummary[Rappi_net_sales],TableDailySummary[Fecha],"&gt;="&amp;TableWeeklySummary[[#This Row],[Desde]],TableDailySummary[Fecha],"&lt;="&amp;TableWeeklySummary[[#This Row],[Hasta]])</f>
        <v>0</v>
      </c>
      <c r="Q421" s="12">
        <f ca="1">SUMIFS(TableDailySummary[Rappi_orders],TableDailySummary[Fecha],"&gt;="&amp;TableWeeklySummary[[#This Row],[Desde]],TableDailySummary[Fecha],"&lt;="&amp;TableWeeklySummary[[#This Row],[Hasta]])</f>
        <v>0</v>
      </c>
      <c r="R42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2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21" s="12">
        <f ca="1">SUMIFS(TableDailySummary[Inversión google ads],TableDailySummary[Fecha],"&gt;="&amp;TableWeeklySummary[[#This Row],[Desde]],TableDailySummary[Fecha],"&lt;="&amp;TableWeeklySummary[[#This Row],[Hasta]])</f>
        <v>0</v>
      </c>
      <c r="U421" s="12">
        <f ca="1">SUMIFS(TableDailySummary[Ventas google ads],TableDailySummary[Fecha],"&gt;="&amp;TableWeeklySummary[[#This Row],[Desde]],TableDailySummary[Fecha],"&lt;="&amp;TableWeeklySummary[[#This Row],[Hasta]])</f>
        <v>0</v>
      </c>
      <c r="V421" s="12">
        <f ca="1">SUMIFS(TableDailySummary[Inversión meta ads],TableDailySummary[Fecha],"&gt;="&amp;TableWeeklySummary[[#This Row],[Desde]],TableDailySummary[Fecha],"&lt;="&amp;TableWeeklySummary[[#This Row],[Hasta]])</f>
        <v>0</v>
      </c>
      <c r="W421" s="12">
        <f ca="1">SUMIFS(TableDailySummary[Ventas meta ads],TableDailySummary[Fecha],"&gt;="&amp;TableWeeklySummary[[#This Row],[Desde]],TableDailySummary[Fecha],"&lt;="&amp;TableWeeklySummary[[#This Row],[Hasta]])</f>
        <v>0</v>
      </c>
      <c r="X421" s="12">
        <f ca="1">TableWeeklySummary[[#This Row],[Inversión google ads]]+TableWeeklySummary[[#This Row],[Inversión meta ads]]</f>
        <v>0</v>
      </c>
      <c r="Y421" s="12">
        <f ca="1">TableWeeklySummary[[#This Row],[Ventas google ads]]+TableWeeklySummary[[#This Row],[Ventas meta ads]]</f>
        <v>0</v>
      </c>
      <c r="Z421" s="14">
        <f ca="1">IFERROR(TableWeeklySummary[[#This Row],[Ventas publicidad]]/TableWeeklySummary[[#This Row],[Inversión publicidad]],0)</f>
        <v>0</v>
      </c>
      <c r="AA421" s="14">
        <f ca="1">IFERROR(TableWeeklySummary[[#This Row],[Ventas primer cliente]]/TableWeeklySummary[[#This Row],[Inversión publicidad]],0)</f>
        <v>0</v>
      </c>
      <c r="AB421" s="14"/>
      <c r="AC421" s="12"/>
      <c r="AI42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2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21" s="12">
        <f ca="1">SUMIFS(TableDailySummary[Utilidad bruta],TableDailySummary[Fecha],"&gt;="&amp;TableWeeklySummary[[#This Row],[Desde]],TableDailySummary[Fecha],"&lt;="&amp;TableWeeklySummary[[#This Row],[Hasta]])</f>
        <v>0</v>
      </c>
      <c r="AL421" s="18">
        <f ca="1">IFERROR(TableWeeklySummary[[#This Row],[Utilidad bruta]]/TableWeeklySummary[[#This Row],[Ventas netas con costo registrado]],0)</f>
        <v>0</v>
      </c>
    </row>
    <row r="422" spans="2:38" x14ac:dyDescent="0.2">
      <c r="B422" s="16">
        <f ca="1">_xlfn.ISOWEEKNUM(TableWeeklySummary[[#This Row],[Hasta]])</f>
        <v>42</v>
      </c>
      <c r="C422" s="6">
        <f t="shared" ca="1" si="8"/>
        <v>48866</v>
      </c>
      <c r="D422" s="6">
        <f ca="1">TableWeeklySummary[[#This Row],[Desde]]+7-1</f>
        <v>48872</v>
      </c>
      <c r="E422" s="12">
        <f ca="1">SUMIFS(TableDailySummary[Ventas netas totales],TableDailySummary[Fecha],"&gt;="&amp;TableWeeklySummary[[#This Row],[Desde]],TableDailySummary[Fecha],"&lt;="&amp;TableWeeklySummary[[#This Row],[Hasta]])</f>
        <v>0</v>
      </c>
      <c r="F422" s="12">
        <f ca="1">SUMIFS(TableDailySummary[Órdenes totales],TableDailySummary[Fecha],"&gt;="&amp;TableWeeklySummary[[#This Row],[Desde]],TableDailySummary[Fecha],"&lt;="&amp;TableWeeklySummary[[#This Row],[Hasta]])</f>
        <v>0</v>
      </c>
      <c r="G422" s="12">
        <f ca="1">IFERROR(TableWeeklySummary[[#This Row],[Ventas netas totales]]/TableWeeklySummary[[#This Row],[Órdenes totales]],0)</f>
        <v>0</v>
      </c>
      <c r="H42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22" s="12">
        <f ca="1">TableWeeklySummary[[#This Row],[Órden promedio totales]]*TableWeeklySummary[[#This Row],[CR totales]]</f>
        <v>0</v>
      </c>
      <c r="J422" s="12">
        <f ca="1">SUMIFS(TableDailySummary[Ventas primer cliente],TableDailySummary[Fecha],"&gt;="&amp;TableWeeklySummary[[#This Row],[Desde]],TableDailySummary[Fecha],"&lt;="&amp;TableWeeklySummary[[#This Row],[Hasta]])</f>
        <v>0</v>
      </c>
      <c r="K422" s="12">
        <f ca="1">SUMIFS(TableDailySummary[Órdenes primer cliente],TableDailySummary[Fecha],"&gt;="&amp;TableWeeklySummary[[#This Row],[Desde]],TableDailySummary[Fecha],"&lt;="&amp;TableWeeklySummary[[#This Row],[Hasta]])</f>
        <v>0</v>
      </c>
      <c r="L422" s="12">
        <f ca="1">SUMIFS(TableDailySummary[Online Store_net_sales],TableDailySummary[Fecha],"&gt;="&amp;TableWeeklySummary[[#This Row],[Desde]],TableDailySummary[Fecha],"&lt;="&amp;TableWeeklySummary[[#This Row],[Hasta]])</f>
        <v>0</v>
      </c>
      <c r="M422" s="12">
        <f ca="1">SUMIFS(TableDailySummary[Online Store_orders],TableDailySummary[Fecha],"&gt;="&amp;TableWeeklySummary[[#This Row],[Desde]],TableDailySummary[Fecha],"&lt;="&amp;TableWeeklySummary[[#This Row],[Hasta]])</f>
        <v>0</v>
      </c>
      <c r="N422" s="12">
        <f ca="1">SUMIFS(TableDailySummary[Tienda 81_net_sales],TableDailySummary[Fecha],"&gt;="&amp;TableWeeklySummary[[#This Row],[Desde]],TableDailySummary[Fecha],"&lt;="&amp;TableWeeklySummary[[#This Row],[Hasta]])</f>
        <v>0</v>
      </c>
      <c r="O422" s="12">
        <f ca="1">SUMIFS(TableDailySummary[Tienda 81_orders],TableDailySummary[Fecha],"&gt;="&amp;TableWeeklySummary[[#This Row],[Desde]],TableDailySummary[Fecha],"&lt;="&amp;TableWeeklySummary[[#This Row],[Hasta]])</f>
        <v>0</v>
      </c>
      <c r="P422" s="12">
        <f ca="1">SUMIFS(TableDailySummary[Rappi_net_sales],TableDailySummary[Fecha],"&gt;="&amp;TableWeeklySummary[[#This Row],[Desde]],TableDailySummary[Fecha],"&lt;="&amp;TableWeeklySummary[[#This Row],[Hasta]])</f>
        <v>0</v>
      </c>
      <c r="Q422" s="12">
        <f ca="1">SUMIFS(TableDailySummary[Rappi_orders],TableDailySummary[Fecha],"&gt;="&amp;TableWeeklySummary[[#This Row],[Desde]],TableDailySummary[Fecha],"&lt;="&amp;TableWeeklySummary[[#This Row],[Hasta]])</f>
        <v>0</v>
      </c>
      <c r="R42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2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22" s="12">
        <f ca="1">SUMIFS(TableDailySummary[Inversión google ads],TableDailySummary[Fecha],"&gt;="&amp;TableWeeklySummary[[#This Row],[Desde]],TableDailySummary[Fecha],"&lt;="&amp;TableWeeklySummary[[#This Row],[Hasta]])</f>
        <v>0</v>
      </c>
      <c r="U422" s="12">
        <f ca="1">SUMIFS(TableDailySummary[Ventas google ads],TableDailySummary[Fecha],"&gt;="&amp;TableWeeklySummary[[#This Row],[Desde]],TableDailySummary[Fecha],"&lt;="&amp;TableWeeklySummary[[#This Row],[Hasta]])</f>
        <v>0</v>
      </c>
      <c r="V422" s="12">
        <f ca="1">SUMIFS(TableDailySummary[Inversión meta ads],TableDailySummary[Fecha],"&gt;="&amp;TableWeeklySummary[[#This Row],[Desde]],TableDailySummary[Fecha],"&lt;="&amp;TableWeeklySummary[[#This Row],[Hasta]])</f>
        <v>0</v>
      </c>
      <c r="W422" s="12">
        <f ca="1">SUMIFS(TableDailySummary[Ventas meta ads],TableDailySummary[Fecha],"&gt;="&amp;TableWeeklySummary[[#This Row],[Desde]],TableDailySummary[Fecha],"&lt;="&amp;TableWeeklySummary[[#This Row],[Hasta]])</f>
        <v>0</v>
      </c>
      <c r="X422" s="12">
        <f ca="1">TableWeeklySummary[[#This Row],[Inversión google ads]]+TableWeeklySummary[[#This Row],[Inversión meta ads]]</f>
        <v>0</v>
      </c>
      <c r="Y422" s="12">
        <f ca="1">TableWeeklySummary[[#This Row],[Ventas google ads]]+TableWeeklySummary[[#This Row],[Ventas meta ads]]</f>
        <v>0</v>
      </c>
      <c r="Z422" s="14">
        <f ca="1">IFERROR(TableWeeklySummary[[#This Row],[Ventas publicidad]]/TableWeeklySummary[[#This Row],[Inversión publicidad]],0)</f>
        <v>0</v>
      </c>
      <c r="AA422" s="14">
        <f ca="1">IFERROR(TableWeeklySummary[[#This Row],[Ventas primer cliente]]/TableWeeklySummary[[#This Row],[Inversión publicidad]],0)</f>
        <v>0</v>
      </c>
      <c r="AB422" s="14"/>
      <c r="AC422" s="12"/>
      <c r="AI42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2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22" s="12">
        <f ca="1">SUMIFS(TableDailySummary[Utilidad bruta],TableDailySummary[Fecha],"&gt;="&amp;TableWeeklySummary[[#This Row],[Desde]],TableDailySummary[Fecha],"&lt;="&amp;TableWeeklySummary[[#This Row],[Hasta]])</f>
        <v>0</v>
      </c>
      <c r="AL422" s="18">
        <f ca="1">IFERROR(TableWeeklySummary[[#This Row],[Utilidad bruta]]/TableWeeklySummary[[#This Row],[Ventas netas con costo registrado]],0)</f>
        <v>0</v>
      </c>
    </row>
    <row r="423" spans="2:38" x14ac:dyDescent="0.2">
      <c r="B423" s="16">
        <f ca="1">_xlfn.ISOWEEKNUM(TableWeeklySummary[[#This Row],[Hasta]])</f>
        <v>43</v>
      </c>
      <c r="C423" s="6">
        <f t="shared" ca="1" si="8"/>
        <v>48873</v>
      </c>
      <c r="D423" s="6">
        <f ca="1">TableWeeklySummary[[#This Row],[Desde]]+7-1</f>
        <v>48879</v>
      </c>
      <c r="E423" s="12">
        <f ca="1">SUMIFS(TableDailySummary[Ventas netas totales],TableDailySummary[Fecha],"&gt;="&amp;TableWeeklySummary[[#This Row],[Desde]],TableDailySummary[Fecha],"&lt;="&amp;TableWeeklySummary[[#This Row],[Hasta]])</f>
        <v>0</v>
      </c>
      <c r="F423" s="12">
        <f ca="1">SUMIFS(TableDailySummary[Órdenes totales],TableDailySummary[Fecha],"&gt;="&amp;TableWeeklySummary[[#This Row],[Desde]],TableDailySummary[Fecha],"&lt;="&amp;TableWeeklySummary[[#This Row],[Hasta]])</f>
        <v>0</v>
      </c>
      <c r="G423" s="12">
        <f ca="1">IFERROR(TableWeeklySummary[[#This Row],[Ventas netas totales]]/TableWeeklySummary[[#This Row],[Órdenes totales]],0)</f>
        <v>0</v>
      </c>
      <c r="H42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23" s="12">
        <f ca="1">TableWeeklySummary[[#This Row],[Órden promedio totales]]*TableWeeklySummary[[#This Row],[CR totales]]</f>
        <v>0</v>
      </c>
      <c r="J423" s="12">
        <f ca="1">SUMIFS(TableDailySummary[Ventas primer cliente],TableDailySummary[Fecha],"&gt;="&amp;TableWeeklySummary[[#This Row],[Desde]],TableDailySummary[Fecha],"&lt;="&amp;TableWeeklySummary[[#This Row],[Hasta]])</f>
        <v>0</v>
      </c>
      <c r="K423" s="12">
        <f ca="1">SUMIFS(TableDailySummary[Órdenes primer cliente],TableDailySummary[Fecha],"&gt;="&amp;TableWeeklySummary[[#This Row],[Desde]],TableDailySummary[Fecha],"&lt;="&amp;TableWeeklySummary[[#This Row],[Hasta]])</f>
        <v>0</v>
      </c>
      <c r="L423" s="12">
        <f ca="1">SUMIFS(TableDailySummary[Online Store_net_sales],TableDailySummary[Fecha],"&gt;="&amp;TableWeeklySummary[[#This Row],[Desde]],TableDailySummary[Fecha],"&lt;="&amp;TableWeeklySummary[[#This Row],[Hasta]])</f>
        <v>0</v>
      </c>
      <c r="M423" s="12">
        <f ca="1">SUMIFS(TableDailySummary[Online Store_orders],TableDailySummary[Fecha],"&gt;="&amp;TableWeeklySummary[[#This Row],[Desde]],TableDailySummary[Fecha],"&lt;="&amp;TableWeeklySummary[[#This Row],[Hasta]])</f>
        <v>0</v>
      </c>
      <c r="N423" s="12">
        <f ca="1">SUMIFS(TableDailySummary[Tienda 81_net_sales],TableDailySummary[Fecha],"&gt;="&amp;TableWeeklySummary[[#This Row],[Desde]],TableDailySummary[Fecha],"&lt;="&amp;TableWeeklySummary[[#This Row],[Hasta]])</f>
        <v>0</v>
      </c>
      <c r="O423" s="12">
        <f ca="1">SUMIFS(TableDailySummary[Tienda 81_orders],TableDailySummary[Fecha],"&gt;="&amp;TableWeeklySummary[[#This Row],[Desde]],TableDailySummary[Fecha],"&lt;="&amp;TableWeeklySummary[[#This Row],[Hasta]])</f>
        <v>0</v>
      </c>
      <c r="P423" s="12">
        <f ca="1">SUMIFS(TableDailySummary[Rappi_net_sales],TableDailySummary[Fecha],"&gt;="&amp;TableWeeklySummary[[#This Row],[Desde]],TableDailySummary[Fecha],"&lt;="&amp;TableWeeklySummary[[#This Row],[Hasta]])</f>
        <v>0</v>
      </c>
      <c r="Q423" s="12">
        <f ca="1">SUMIFS(TableDailySummary[Rappi_orders],TableDailySummary[Fecha],"&gt;="&amp;TableWeeklySummary[[#This Row],[Desde]],TableDailySummary[Fecha],"&lt;="&amp;TableWeeklySummary[[#This Row],[Hasta]])</f>
        <v>0</v>
      </c>
      <c r="R42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2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23" s="12">
        <f ca="1">SUMIFS(TableDailySummary[Inversión google ads],TableDailySummary[Fecha],"&gt;="&amp;TableWeeklySummary[[#This Row],[Desde]],TableDailySummary[Fecha],"&lt;="&amp;TableWeeklySummary[[#This Row],[Hasta]])</f>
        <v>0</v>
      </c>
      <c r="U423" s="12">
        <f ca="1">SUMIFS(TableDailySummary[Ventas google ads],TableDailySummary[Fecha],"&gt;="&amp;TableWeeklySummary[[#This Row],[Desde]],TableDailySummary[Fecha],"&lt;="&amp;TableWeeklySummary[[#This Row],[Hasta]])</f>
        <v>0</v>
      </c>
      <c r="V423" s="12">
        <f ca="1">SUMIFS(TableDailySummary[Inversión meta ads],TableDailySummary[Fecha],"&gt;="&amp;TableWeeklySummary[[#This Row],[Desde]],TableDailySummary[Fecha],"&lt;="&amp;TableWeeklySummary[[#This Row],[Hasta]])</f>
        <v>0</v>
      </c>
      <c r="W423" s="12">
        <f ca="1">SUMIFS(TableDailySummary[Ventas meta ads],TableDailySummary[Fecha],"&gt;="&amp;TableWeeklySummary[[#This Row],[Desde]],TableDailySummary[Fecha],"&lt;="&amp;TableWeeklySummary[[#This Row],[Hasta]])</f>
        <v>0</v>
      </c>
      <c r="X423" s="12">
        <f ca="1">TableWeeklySummary[[#This Row],[Inversión google ads]]+TableWeeklySummary[[#This Row],[Inversión meta ads]]</f>
        <v>0</v>
      </c>
      <c r="Y423" s="12">
        <f ca="1">TableWeeklySummary[[#This Row],[Ventas google ads]]+TableWeeklySummary[[#This Row],[Ventas meta ads]]</f>
        <v>0</v>
      </c>
      <c r="Z423" s="14">
        <f ca="1">IFERROR(TableWeeklySummary[[#This Row],[Ventas publicidad]]/TableWeeklySummary[[#This Row],[Inversión publicidad]],0)</f>
        <v>0</v>
      </c>
      <c r="AA423" s="14">
        <f ca="1">IFERROR(TableWeeklySummary[[#This Row],[Ventas primer cliente]]/TableWeeklySummary[[#This Row],[Inversión publicidad]],0)</f>
        <v>0</v>
      </c>
      <c r="AB423" s="14"/>
      <c r="AC423" s="12"/>
      <c r="AI42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2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23" s="12">
        <f ca="1">SUMIFS(TableDailySummary[Utilidad bruta],TableDailySummary[Fecha],"&gt;="&amp;TableWeeklySummary[[#This Row],[Desde]],TableDailySummary[Fecha],"&lt;="&amp;TableWeeklySummary[[#This Row],[Hasta]])</f>
        <v>0</v>
      </c>
      <c r="AL423" s="18">
        <f ca="1">IFERROR(TableWeeklySummary[[#This Row],[Utilidad bruta]]/TableWeeklySummary[[#This Row],[Ventas netas con costo registrado]],0)</f>
        <v>0</v>
      </c>
    </row>
    <row r="424" spans="2:38" x14ac:dyDescent="0.2">
      <c r="B424" s="16">
        <f ca="1">_xlfn.ISOWEEKNUM(TableWeeklySummary[[#This Row],[Hasta]])</f>
        <v>44</v>
      </c>
      <c r="C424" s="6">
        <f t="shared" ca="1" si="8"/>
        <v>48880</v>
      </c>
      <c r="D424" s="6">
        <f ca="1">TableWeeklySummary[[#This Row],[Desde]]+7-1</f>
        <v>48886</v>
      </c>
      <c r="E424" s="12">
        <f ca="1">SUMIFS(TableDailySummary[Ventas netas totales],TableDailySummary[Fecha],"&gt;="&amp;TableWeeklySummary[[#This Row],[Desde]],TableDailySummary[Fecha],"&lt;="&amp;TableWeeklySummary[[#This Row],[Hasta]])</f>
        <v>0</v>
      </c>
      <c r="F424" s="12">
        <f ca="1">SUMIFS(TableDailySummary[Órdenes totales],TableDailySummary[Fecha],"&gt;="&amp;TableWeeklySummary[[#This Row],[Desde]],TableDailySummary[Fecha],"&lt;="&amp;TableWeeklySummary[[#This Row],[Hasta]])</f>
        <v>0</v>
      </c>
      <c r="G424" s="12">
        <f ca="1">IFERROR(TableWeeklySummary[[#This Row],[Ventas netas totales]]/TableWeeklySummary[[#This Row],[Órdenes totales]],0)</f>
        <v>0</v>
      </c>
      <c r="H42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24" s="12">
        <f ca="1">TableWeeklySummary[[#This Row],[Órden promedio totales]]*TableWeeklySummary[[#This Row],[CR totales]]</f>
        <v>0</v>
      </c>
      <c r="J424" s="12">
        <f ca="1">SUMIFS(TableDailySummary[Ventas primer cliente],TableDailySummary[Fecha],"&gt;="&amp;TableWeeklySummary[[#This Row],[Desde]],TableDailySummary[Fecha],"&lt;="&amp;TableWeeklySummary[[#This Row],[Hasta]])</f>
        <v>0</v>
      </c>
      <c r="K424" s="12">
        <f ca="1">SUMIFS(TableDailySummary[Órdenes primer cliente],TableDailySummary[Fecha],"&gt;="&amp;TableWeeklySummary[[#This Row],[Desde]],TableDailySummary[Fecha],"&lt;="&amp;TableWeeklySummary[[#This Row],[Hasta]])</f>
        <v>0</v>
      </c>
      <c r="L424" s="12">
        <f ca="1">SUMIFS(TableDailySummary[Online Store_net_sales],TableDailySummary[Fecha],"&gt;="&amp;TableWeeklySummary[[#This Row],[Desde]],TableDailySummary[Fecha],"&lt;="&amp;TableWeeklySummary[[#This Row],[Hasta]])</f>
        <v>0</v>
      </c>
      <c r="M424" s="12">
        <f ca="1">SUMIFS(TableDailySummary[Online Store_orders],TableDailySummary[Fecha],"&gt;="&amp;TableWeeklySummary[[#This Row],[Desde]],TableDailySummary[Fecha],"&lt;="&amp;TableWeeklySummary[[#This Row],[Hasta]])</f>
        <v>0</v>
      </c>
      <c r="N424" s="12">
        <f ca="1">SUMIFS(TableDailySummary[Tienda 81_net_sales],TableDailySummary[Fecha],"&gt;="&amp;TableWeeklySummary[[#This Row],[Desde]],TableDailySummary[Fecha],"&lt;="&amp;TableWeeklySummary[[#This Row],[Hasta]])</f>
        <v>0</v>
      </c>
      <c r="O424" s="12">
        <f ca="1">SUMIFS(TableDailySummary[Tienda 81_orders],TableDailySummary[Fecha],"&gt;="&amp;TableWeeklySummary[[#This Row],[Desde]],TableDailySummary[Fecha],"&lt;="&amp;TableWeeklySummary[[#This Row],[Hasta]])</f>
        <v>0</v>
      </c>
      <c r="P424" s="12">
        <f ca="1">SUMIFS(TableDailySummary[Rappi_net_sales],TableDailySummary[Fecha],"&gt;="&amp;TableWeeklySummary[[#This Row],[Desde]],TableDailySummary[Fecha],"&lt;="&amp;TableWeeklySummary[[#This Row],[Hasta]])</f>
        <v>0</v>
      </c>
      <c r="Q424" s="12">
        <f ca="1">SUMIFS(TableDailySummary[Rappi_orders],TableDailySummary[Fecha],"&gt;="&amp;TableWeeklySummary[[#This Row],[Desde]],TableDailySummary[Fecha],"&lt;="&amp;TableWeeklySummary[[#This Row],[Hasta]])</f>
        <v>0</v>
      </c>
      <c r="R42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2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24" s="12">
        <f ca="1">SUMIFS(TableDailySummary[Inversión google ads],TableDailySummary[Fecha],"&gt;="&amp;TableWeeklySummary[[#This Row],[Desde]],TableDailySummary[Fecha],"&lt;="&amp;TableWeeklySummary[[#This Row],[Hasta]])</f>
        <v>0</v>
      </c>
      <c r="U424" s="12">
        <f ca="1">SUMIFS(TableDailySummary[Ventas google ads],TableDailySummary[Fecha],"&gt;="&amp;TableWeeklySummary[[#This Row],[Desde]],TableDailySummary[Fecha],"&lt;="&amp;TableWeeklySummary[[#This Row],[Hasta]])</f>
        <v>0</v>
      </c>
      <c r="V424" s="12">
        <f ca="1">SUMIFS(TableDailySummary[Inversión meta ads],TableDailySummary[Fecha],"&gt;="&amp;TableWeeklySummary[[#This Row],[Desde]],TableDailySummary[Fecha],"&lt;="&amp;TableWeeklySummary[[#This Row],[Hasta]])</f>
        <v>0</v>
      </c>
      <c r="W424" s="12">
        <f ca="1">SUMIFS(TableDailySummary[Ventas meta ads],TableDailySummary[Fecha],"&gt;="&amp;TableWeeklySummary[[#This Row],[Desde]],TableDailySummary[Fecha],"&lt;="&amp;TableWeeklySummary[[#This Row],[Hasta]])</f>
        <v>0</v>
      </c>
      <c r="X424" s="12">
        <f ca="1">TableWeeklySummary[[#This Row],[Inversión google ads]]+TableWeeklySummary[[#This Row],[Inversión meta ads]]</f>
        <v>0</v>
      </c>
      <c r="Y424" s="12">
        <f ca="1">TableWeeklySummary[[#This Row],[Ventas google ads]]+TableWeeklySummary[[#This Row],[Ventas meta ads]]</f>
        <v>0</v>
      </c>
      <c r="Z424" s="14">
        <f ca="1">IFERROR(TableWeeklySummary[[#This Row],[Ventas publicidad]]/TableWeeklySummary[[#This Row],[Inversión publicidad]],0)</f>
        <v>0</v>
      </c>
      <c r="AA424" s="14">
        <f ca="1">IFERROR(TableWeeklySummary[[#This Row],[Ventas primer cliente]]/TableWeeklySummary[[#This Row],[Inversión publicidad]],0)</f>
        <v>0</v>
      </c>
      <c r="AB424" s="14"/>
      <c r="AC424" s="12"/>
      <c r="AI42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2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24" s="12">
        <f ca="1">SUMIFS(TableDailySummary[Utilidad bruta],TableDailySummary[Fecha],"&gt;="&amp;TableWeeklySummary[[#This Row],[Desde]],TableDailySummary[Fecha],"&lt;="&amp;TableWeeklySummary[[#This Row],[Hasta]])</f>
        <v>0</v>
      </c>
      <c r="AL424" s="18">
        <f ca="1">IFERROR(TableWeeklySummary[[#This Row],[Utilidad bruta]]/TableWeeklySummary[[#This Row],[Ventas netas con costo registrado]],0)</f>
        <v>0</v>
      </c>
    </row>
    <row r="425" spans="2:38" x14ac:dyDescent="0.2">
      <c r="B425" s="16">
        <f ca="1">_xlfn.ISOWEEKNUM(TableWeeklySummary[[#This Row],[Hasta]])</f>
        <v>45</v>
      </c>
      <c r="C425" s="6">
        <f t="shared" ca="1" si="8"/>
        <v>48887</v>
      </c>
      <c r="D425" s="6">
        <f ca="1">TableWeeklySummary[[#This Row],[Desde]]+7-1</f>
        <v>48893</v>
      </c>
      <c r="E425" s="12">
        <f ca="1">SUMIFS(TableDailySummary[Ventas netas totales],TableDailySummary[Fecha],"&gt;="&amp;TableWeeklySummary[[#This Row],[Desde]],TableDailySummary[Fecha],"&lt;="&amp;TableWeeklySummary[[#This Row],[Hasta]])</f>
        <v>0</v>
      </c>
      <c r="F425" s="12">
        <f ca="1">SUMIFS(TableDailySummary[Órdenes totales],TableDailySummary[Fecha],"&gt;="&amp;TableWeeklySummary[[#This Row],[Desde]],TableDailySummary[Fecha],"&lt;="&amp;TableWeeklySummary[[#This Row],[Hasta]])</f>
        <v>0</v>
      </c>
      <c r="G425" s="12">
        <f ca="1">IFERROR(TableWeeklySummary[[#This Row],[Ventas netas totales]]/TableWeeklySummary[[#This Row],[Órdenes totales]],0)</f>
        <v>0</v>
      </c>
      <c r="H42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25" s="12">
        <f ca="1">TableWeeklySummary[[#This Row],[Órden promedio totales]]*TableWeeklySummary[[#This Row],[CR totales]]</f>
        <v>0</v>
      </c>
      <c r="J425" s="12">
        <f ca="1">SUMIFS(TableDailySummary[Ventas primer cliente],TableDailySummary[Fecha],"&gt;="&amp;TableWeeklySummary[[#This Row],[Desde]],TableDailySummary[Fecha],"&lt;="&amp;TableWeeklySummary[[#This Row],[Hasta]])</f>
        <v>0</v>
      </c>
      <c r="K425" s="12">
        <f ca="1">SUMIFS(TableDailySummary[Órdenes primer cliente],TableDailySummary[Fecha],"&gt;="&amp;TableWeeklySummary[[#This Row],[Desde]],TableDailySummary[Fecha],"&lt;="&amp;TableWeeklySummary[[#This Row],[Hasta]])</f>
        <v>0</v>
      </c>
      <c r="L425" s="12">
        <f ca="1">SUMIFS(TableDailySummary[Online Store_net_sales],TableDailySummary[Fecha],"&gt;="&amp;TableWeeklySummary[[#This Row],[Desde]],TableDailySummary[Fecha],"&lt;="&amp;TableWeeklySummary[[#This Row],[Hasta]])</f>
        <v>0</v>
      </c>
      <c r="M425" s="12">
        <f ca="1">SUMIFS(TableDailySummary[Online Store_orders],TableDailySummary[Fecha],"&gt;="&amp;TableWeeklySummary[[#This Row],[Desde]],TableDailySummary[Fecha],"&lt;="&amp;TableWeeklySummary[[#This Row],[Hasta]])</f>
        <v>0</v>
      </c>
      <c r="N425" s="12">
        <f ca="1">SUMIFS(TableDailySummary[Tienda 81_net_sales],TableDailySummary[Fecha],"&gt;="&amp;TableWeeklySummary[[#This Row],[Desde]],TableDailySummary[Fecha],"&lt;="&amp;TableWeeklySummary[[#This Row],[Hasta]])</f>
        <v>0</v>
      </c>
      <c r="O425" s="12">
        <f ca="1">SUMIFS(TableDailySummary[Tienda 81_orders],TableDailySummary[Fecha],"&gt;="&amp;TableWeeklySummary[[#This Row],[Desde]],TableDailySummary[Fecha],"&lt;="&amp;TableWeeklySummary[[#This Row],[Hasta]])</f>
        <v>0</v>
      </c>
      <c r="P425" s="12">
        <f ca="1">SUMIFS(TableDailySummary[Rappi_net_sales],TableDailySummary[Fecha],"&gt;="&amp;TableWeeklySummary[[#This Row],[Desde]],TableDailySummary[Fecha],"&lt;="&amp;TableWeeklySummary[[#This Row],[Hasta]])</f>
        <v>0</v>
      </c>
      <c r="Q425" s="12">
        <f ca="1">SUMIFS(TableDailySummary[Rappi_orders],TableDailySummary[Fecha],"&gt;="&amp;TableWeeklySummary[[#This Row],[Desde]],TableDailySummary[Fecha],"&lt;="&amp;TableWeeklySummary[[#This Row],[Hasta]])</f>
        <v>0</v>
      </c>
      <c r="R42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2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25" s="12">
        <f ca="1">SUMIFS(TableDailySummary[Inversión google ads],TableDailySummary[Fecha],"&gt;="&amp;TableWeeklySummary[[#This Row],[Desde]],TableDailySummary[Fecha],"&lt;="&amp;TableWeeklySummary[[#This Row],[Hasta]])</f>
        <v>0</v>
      </c>
      <c r="U425" s="12">
        <f ca="1">SUMIFS(TableDailySummary[Ventas google ads],TableDailySummary[Fecha],"&gt;="&amp;TableWeeklySummary[[#This Row],[Desde]],TableDailySummary[Fecha],"&lt;="&amp;TableWeeklySummary[[#This Row],[Hasta]])</f>
        <v>0</v>
      </c>
      <c r="V425" s="12">
        <f ca="1">SUMIFS(TableDailySummary[Inversión meta ads],TableDailySummary[Fecha],"&gt;="&amp;TableWeeklySummary[[#This Row],[Desde]],TableDailySummary[Fecha],"&lt;="&amp;TableWeeklySummary[[#This Row],[Hasta]])</f>
        <v>0</v>
      </c>
      <c r="W425" s="12">
        <f ca="1">SUMIFS(TableDailySummary[Ventas meta ads],TableDailySummary[Fecha],"&gt;="&amp;TableWeeklySummary[[#This Row],[Desde]],TableDailySummary[Fecha],"&lt;="&amp;TableWeeklySummary[[#This Row],[Hasta]])</f>
        <v>0</v>
      </c>
      <c r="X425" s="12">
        <f ca="1">TableWeeklySummary[[#This Row],[Inversión google ads]]+TableWeeklySummary[[#This Row],[Inversión meta ads]]</f>
        <v>0</v>
      </c>
      <c r="Y425" s="12">
        <f ca="1">TableWeeklySummary[[#This Row],[Ventas google ads]]+TableWeeklySummary[[#This Row],[Ventas meta ads]]</f>
        <v>0</v>
      </c>
      <c r="Z425" s="14">
        <f ca="1">IFERROR(TableWeeklySummary[[#This Row],[Ventas publicidad]]/TableWeeklySummary[[#This Row],[Inversión publicidad]],0)</f>
        <v>0</v>
      </c>
      <c r="AA425" s="14">
        <f ca="1">IFERROR(TableWeeklySummary[[#This Row],[Ventas primer cliente]]/TableWeeklySummary[[#This Row],[Inversión publicidad]],0)</f>
        <v>0</v>
      </c>
      <c r="AB425" s="14"/>
      <c r="AC425" s="12"/>
      <c r="AI42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2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25" s="12">
        <f ca="1">SUMIFS(TableDailySummary[Utilidad bruta],TableDailySummary[Fecha],"&gt;="&amp;TableWeeklySummary[[#This Row],[Desde]],TableDailySummary[Fecha],"&lt;="&amp;TableWeeklySummary[[#This Row],[Hasta]])</f>
        <v>0</v>
      </c>
      <c r="AL425" s="18">
        <f ca="1">IFERROR(TableWeeklySummary[[#This Row],[Utilidad bruta]]/TableWeeklySummary[[#This Row],[Ventas netas con costo registrado]],0)</f>
        <v>0</v>
      </c>
    </row>
    <row r="426" spans="2:38" x14ac:dyDescent="0.2">
      <c r="B426" s="16">
        <f ca="1">_xlfn.ISOWEEKNUM(TableWeeklySummary[[#This Row],[Hasta]])</f>
        <v>46</v>
      </c>
      <c r="C426" s="6">
        <f t="shared" ca="1" si="8"/>
        <v>48894</v>
      </c>
      <c r="D426" s="6">
        <f ca="1">TableWeeklySummary[[#This Row],[Desde]]+7-1</f>
        <v>48900</v>
      </c>
      <c r="E426" s="12">
        <f ca="1">SUMIFS(TableDailySummary[Ventas netas totales],TableDailySummary[Fecha],"&gt;="&amp;TableWeeklySummary[[#This Row],[Desde]],TableDailySummary[Fecha],"&lt;="&amp;TableWeeklySummary[[#This Row],[Hasta]])</f>
        <v>0</v>
      </c>
      <c r="F426" s="12">
        <f ca="1">SUMIFS(TableDailySummary[Órdenes totales],TableDailySummary[Fecha],"&gt;="&amp;TableWeeklySummary[[#This Row],[Desde]],TableDailySummary[Fecha],"&lt;="&amp;TableWeeklySummary[[#This Row],[Hasta]])</f>
        <v>0</v>
      </c>
      <c r="G426" s="12">
        <f ca="1">IFERROR(TableWeeklySummary[[#This Row],[Ventas netas totales]]/TableWeeklySummary[[#This Row],[Órdenes totales]],0)</f>
        <v>0</v>
      </c>
      <c r="H42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26" s="12">
        <f ca="1">TableWeeklySummary[[#This Row],[Órden promedio totales]]*TableWeeklySummary[[#This Row],[CR totales]]</f>
        <v>0</v>
      </c>
      <c r="J426" s="12">
        <f ca="1">SUMIFS(TableDailySummary[Ventas primer cliente],TableDailySummary[Fecha],"&gt;="&amp;TableWeeklySummary[[#This Row],[Desde]],TableDailySummary[Fecha],"&lt;="&amp;TableWeeklySummary[[#This Row],[Hasta]])</f>
        <v>0</v>
      </c>
      <c r="K426" s="12">
        <f ca="1">SUMIFS(TableDailySummary[Órdenes primer cliente],TableDailySummary[Fecha],"&gt;="&amp;TableWeeklySummary[[#This Row],[Desde]],TableDailySummary[Fecha],"&lt;="&amp;TableWeeklySummary[[#This Row],[Hasta]])</f>
        <v>0</v>
      </c>
      <c r="L426" s="12">
        <f ca="1">SUMIFS(TableDailySummary[Online Store_net_sales],TableDailySummary[Fecha],"&gt;="&amp;TableWeeklySummary[[#This Row],[Desde]],TableDailySummary[Fecha],"&lt;="&amp;TableWeeklySummary[[#This Row],[Hasta]])</f>
        <v>0</v>
      </c>
      <c r="M426" s="12">
        <f ca="1">SUMIFS(TableDailySummary[Online Store_orders],TableDailySummary[Fecha],"&gt;="&amp;TableWeeklySummary[[#This Row],[Desde]],TableDailySummary[Fecha],"&lt;="&amp;TableWeeklySummary[[#This Row],[Hasta]])</f>
        <v>0</v>
      </c>
      <c r="N426" s="12">
        <f ca="1">SUMIFS(TableDailySummary[Tienda 81_net_sales],TableDailySummary[Fecha],"&gt;="&amp;TableWeeklySummary[[#This Row],[Desde]],TableDailySummary[Fecha],"&lt;="&amp;TableWeeklySummary[[#This Row],[Hasta]])</f>
        <v>0</v>
      </c>
      <c r="O426" s="12">
        <f ca="1">SUMIFS(TableDailySummary[Tienda 81_orders],TableDailySummary[Fecha],"&gt;="&amp;TableWeeklySummary[[#This Row],[Desde]],TableDailySummary[Fecha],"&lt;="&amp;TableWeeklySummary[[#This Row],[Hasta]])</f>
        <v>0</v>
      </c>
      <c r="P426" s="12">
        <f ca="1">SUMIFS(TableDailySummary[Rappi_net_sales],TableDailySummary[Fecha],"&gt;="&amp;TableWeeklySummary[[#This Row],[Desde]],TableDailySummary[Fecha],"&lt;="&amp;TableWeeklySummary[[#This Row],[Hasta]])</f>
        <v>0</v>
      </c>
      <c r="Q426" s="12">
        <f ca="1">SUMIFS(TableDailySummary[Rappi_orders],TableDailySummary[Fecha],"&gt;="&amp;TableWeeklySummary[[#This Row],[Desde]],TableDailySummary[Fecha],"&lt;="&amp;TableWeeklySummary[[#This Row],[Hasta]])</f>
        <v>0</v>
      </c>
      <c r="R42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2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26" s="12">
        <f ca="1">SUMIFS(TableDailySummary[Inversión google ads],TableDailySummary[Fecha],"&gt;="&amp;TableWeeklySummary[[#This Row],[Desde]],TableDailySummary[Fecha],"&lt;="&amp;TableWeeklySummary[[#This Row],[Hasta]])</f>
        <v>0</v>
      </c>
      <c r="U426" s="12">
        <f ca="1">SUMIFS(TableDailySummary[Ventas google ads],TableDailySummary[Fecha],"&gt;="&amp;TableWeeklySummary[[#This Row],[Desde]],TableDailySummary[Fecha],"&lt;="&amp;TableWeeklySummary[[#This Row],[Hasta]])</f>
        <v>0</v>
      </c>
      <c r="V426" s="12">
        <f ca="1">SUMIFS(TableDailySummary[Inversión meta ads],TableDailySummary[Fecha],"&gt;="&amp;TableWeeklySummary[[#This Row],[Desde]],TableDailySummary[Fecha],"&lt;="&amp;TableWeeklySummary[[#This Row],[Hasta]])</f>
        <v>0</v>
      </c>
      <c r="W426" s="12">
        <f ca="1">SUMIFS(TableDailySummary[Ventas meta ads],TableDailySummary[Fecha],"&gt;="&amp;TableWeeklySummary[[#This Row],[Desde]],TableDailySummary[Fecha],"&lt;="&amp;TableWeeklySummary[[#This Row],[Hasta]])</f>
        <v>0</v>
      </c>
      <c r="X426" s="12">
        <f ca="1">TableWeeklySummary[[#This Row],[Inversión google ads]]+TableWeeklySummary[[#This Row],[Inversión meta ads]]</f>
        <v>0</v>
      </c>
      <c r="Y426" s="12">
        <f ca="1">TableWeeklySummary[[#This Row],[Ventas google ads]]+TableWeeklySummary[[#This Row],[Ventas meta ads]]</f>
        <v>0</v>
      </c>
      <c r="Z426" s="14">
        <f ca="1">IFERROR(TableWeeklySummary[[#This Row],[Ventas publicidad]]/TableWeeklySummary[[#This Row],[Inversión publicidad]],0)</f>
        <v>0</v>
      </c>
      <c r="AA426" s="14">
        <f ca="1">IFERROR(TableWeeklySummary[[#This Row],[Ventas primer cliente]]/TableWeeklySummary[[#This Row],[Inversión publicidad]],0)</f>
        <v>0</v>
      </c>
      <c r="AB426" s="14"/>
      <c r="AC426" s="12"/>
      <c r="AI42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2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26" s="12">
        <f ca="1">SUMIFS(TableDailySummary[Utilidad bruta],TableDailySummary[Fecha],"&gt;="&amp;TableWeeklySummary[[#This Row],[Desde]],TableDailySummary[Fecha],"&lt;="&amp;TableWeeklySummary[[#This Row],[Hasta]])</f>
        <v>0</v>
      </c>
      <c r="AL426" s="18">
        <f ca="1">IFERROR(TableWeeklySummary[[#This Row],[Utilidad bruta]]/TableWeeklySummary[[#This Row],[Ventas netas con costo registrado]],0)</f>
        <v>0</v>
      </c>
    </row>
    <row r="427" spans="2:38" x14ac:dyDescent="0.2">
      <c r="B427" s="16">
        <f ca="1">_xlfn.ISOWEEKNUM(TableWeeklySummary[[#This Row],[Hasta]])</f>
        <v>47</v>
      </c>
      <c r="C427" s="6">
        <f t="shared" ca="1" si="8"/>
        <v>48901</v>
      </c>
      <c r="D427" s="6">
        <f ca="1">TableWeeklySummary[[#This Row],[Desde]]+7-1</f>
        <v>48907</v>
      </c>
      <c r="E427" s="12">
        <f ca="1">SUMIFS(TableDailySummary[Ventas netas totales],TableDailySummary[Fecha],"&gt;="&amp;TableWeeklySummary[[#This Row],[Desde]],TableDailySummary[Fecha],"&lt;="&amp;TableWeeklySummary[[#This Row],[Hasta]])</f>
        <v>0</v>
      </c>
      <c r="F427" s="12">
        <f ca="1">SUMIFS(TableDailySummary[Órdenes totales],TableDailySummary[Fecha],"&gt;="&amp;TableWeeklySummary[[#This Row],[Desde]],TableDailySummary[Fecha],"&lt;="&amp;TableWeeklySummary[[#This Row],[Hasta]])</f>
        <v>0</v>
      </c>
      <c r="G427" s="12">
        <f ca="1">IFERROR(TableWeeklySummary[[#This Row],[Ventas netas totales]]/TableWeeklySummary[[#This Row],[Órdenes totales]],0)</f>
        <v>0</v>
      </c>
      <c r="H42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27" s="12">
        <f ca="1">TableWeeklySummary[[#This Row],[Órden promedio totales]]*TableWeeklySummary[[#This Row],[CR totales]]</f>
        <v>0</v>
      </c>
      <c r="J427" s="12">
        <f ca="1">SUMIFS(TableDailySummary[Ventas primer cliente],TableDailySummary[Fecha],"&gt;="&amp;TableWeeklySummary[[#This Row],[Desde]],TableDailySummary[Fecha],"&lt;="&amp;TableWeeklySummary[[#This Row],[Hasta]])</f>
        <v>0</v>
      </c>
      <c r="K427" s="12">
        <f ca="1">SUMIFS(TableDailySummary[Órdenes primer cliente],TableDailySummary[Fecha],"&gt;="&amp;TableWeeklySummary[[#This Row],[Desde]],TableDailySummary[Fecha],"&lt;="&amp;TableWeeklySummary[[#This Row],[Hasta]])</f>
        <v>0</v>
      </c>
      <c r="L427" s="12">
        <f ca="1">SUMIFS(TableDailySummary[Online Store_net_sales],TableDailySummary[Fecha],"&gt;="&amp;TableWeeklySummary[[#This Row],[Desde]],TableDailySummary[Fecha],"&lt;="&amp;TableWeeklySummary[[#This Row],[Hasta]])</f>
        <v>0</v>
      </c>
      <c r="M427" s="12">
        <f ca="1">SUMIFS(TableDailySummary[Online Store_orders],TableDailySummary[Fecha],"&gt;="&amp;TableWeeklySummary[[#This Row],[Desde]],TableDailySummary[Fecha],"&lt;="&amp;TableWeeklySummary[[#This Row],[Hasta]])</f>
        <v>0</v>
      </c>
      <c r="N427" s="12">
        <f ca="1">SUMIFS(TableDailySummary[Tienda 81_net_sales],TableDailySummary[Fecha],"&gt;="&amp;TableWeeklySummary[[#This Row],[Desde]],TableDailySummary[Fecha],"&lt;="&amp;TableWeeklySummary[[#This Row],[Hasta]])</f>
        <v>0</v>
      </c>
      <c r="O427" s="12">
        <f ca="1">SUMIFS(TableDailySummary[Tienda 81_orders],TableDailySummary[Fecha],"&gt;="&amp;TableWeeklySummary[[#This Row],[Desde]],TableDailySummary[Fecha],"&lt;="&amp;TableWeeklySummary[[#This Row],[Hasta]])</f>
        <v>0</v>
      </c>
      <c r="P427" s="12">
        <f ca="1">SUMIFS(TableDailySummary[Rappi_net_sales],TableDailySummary[Fecha],"&gt;="&amp;TableWeeklySummary[[#This Row],[Desde]],TableDailySummary[Fecha],"&lt;="&amp;TableWeeklySummary[[#This Row],[Hasta]])</f>
        <v>0</v>
      </c>
      <c r="Q427" s="12">
        <f ca="1">SUMIFS(TableDailySummary[Rappi_orders],TableDailySummary[Fecha],"&gt;="&amp;TableWeeklySummary[[#This Row],[Desde]],TableDailySummary[Fecha],"&lt;="&amp;TableWeeklySummary[[#This Row],[Hasta]])</f>
        <v>0</v>
      </c>
      <c r="R42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2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27" s="12">
        <f ca="1">SUMIFS(TableDailySummary[Inversión google ads],TableDailySummary[Fecha],"&gt;="&amp;TableWeeklySummary[[#This Row],[Desde]],TableDailySummary[Fecha],"&lt;="&amp;TableWeeklySummary[[#This Row],[Hasta]])</f>
        <v>0</v>
      </c>
      <c r="U427" s="12">
        <f ca="1">SUMIFS(TableDailySummary[Ventas google ads],TableDailySummary[Fecha],"&gt;="&amp;TableWeeklySummary[[#This Row],[Desde]],TableDailySummary[Fecha],"&lt;="&amp;TableWeeklySummary[[#This Row],[Hasta]])</f>
        <v>0</v>
      </c>
      <c r="V427" s="12">
        <f ca="1">SUMIFS(TableDailySummary[Inversión meta ads],TableDailySummary[Fecha],"&gt;="&amp;TableWeeklySummary[[#This Row],[Desde]],TableDailySummary[Fecha],"&lt;="&amp;TableWeeklySummary[[#This Row],[Hasta]])</f>
        <v>0</v>
      </c>
      <c r="W427" s="12">
        <f ca="1">SUMIFS(TableDailySummary[Ventas meta ads],TableDailySummary[Fecha],"&gt;="&amp;TableWeeklySummary[[#This Row],[Desde]],TableDailySummary[Fecha],"&lt;="&amp;TableWeeklySummary[[#This Row],[Hasta]])</f>
        <v>0</v>
      </c>
      <c r="X427" s="12">
        <f ca="1">TableWeeklySummary[[#This Row],[Inversión google ads]]+TableWeeklySummary[[#This Row],[Inversión meta ads]]</f>
        <v>0</v>
      </c>
      <c r="Y427" s="12">
        <f ca="1">TableWeeklySummary[[#This Row],[Ventas google ads]]+TableWeeklySummary[[#This Row],[Ventas meta ads]]</f>
        <v>0</v>
      </c>
      <c r="Z427" s="14">
        <f ca="1">IFERROR(TableWeeklySummary[[#This Row],[Ventas publicidad]]/TableWeeklySummary[[#This Row],[Inversión publicidad]],0)</f>
        <v>0</v>
      </c>
      <c r="AA427" s="14">
        <f ca="1">IFERROR(TableWeeklySummary[[#This Row],[Ventas primer cliente]]/TableWeeklySummary[[#This Row],[Inversión publicidad]],0)</f>
        <v>0</v>
      </c>
      <c r="AB427" s="14"/>
      <c r="AC427" s="12"/>
      <c r="AI42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2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27" s="12">
        <f ca="1">SUMIFS(TableDailySummary[Utilidad bruta],TableDailySummary[Fecha],"&gt;="&amp;TableWeeklySummary[[#This Row],[Desde]],TableDailySummary[Fecha],"&lt;="&amp;TableWeeklySummary[[#This Row],[Hasta]])</f>
        <v>0</v>
      </c>
      <c r="AL427" s="18">
        <f ca="1">IFERROR(TableWeeklySummary[[#This Row],[Utilidad bruta]]/TableWeeklySummary[[#This Row],[Ventas netas con costo registrado]],0)</f>
        <v>0</v>
      </c>
    </row>
    <row r="428" spans="2:38" x14ac:dyDescent="0.2">
      <c r="B428" s="16">
        <f ca="1">_xlfn.ISOWEEKNUM(TableWeeklySummary[[#This Row],[Hasta]])</f>
        <v>48</v>
      </c>
      <c r="C428" s="6">
        <f t="shared" ca="1" si="8"/>
        <v>48908</v>
      </c>
      <c r="D428" s="6">
        <f ca="1">TableWeeklySummary[[#This Row],[Desde]]+7-1</f>
        <v>48914</v>
      </c>
      <c r="E428" s="12">
        <f ca="1">SUMIFS(TableDailySummary[Ventas netas totales],TableDailySummary[Fecha],"&gt;="&amp;TableWeeklySummary[[#This Row],[Desde]],TableDailySummary[Fecha],"&lt;="&amp;TableWeeklySummary[[#This Row],[Hasta]])</f>
        <v>0</v>
      </c>
      <c r="F428" s="12">
        <f ca="1">SUMIFS(TableDailySummary[Órdenes totales],TableDailySummary[Fecha],"&gt;="&amp;TableWeeklySummary[[#This Row],[Desde]],TableDailySummary[Fecha],"&lt;="&amp;TableWeeklySummary[[#This Row],[Hasta]])</f>
        <v>0</v>
      </c>
      <c r="G428" s="12">
        <f ca="1">IFERROR(TableWeeklySummary[[#This Row],[Ventas netas totales]]/TableWeeklySummary[[#This Row],[Órdenes totales]],0)</f>
        <v>0</v>
      </c>
      <c r="H42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28" s="12">
        <f ca="1">TableWeeklySummary[[#This Row],[Órden promedio totales]]*TableWeeklySummary[[#This Row],[CR totales]]</f>
        <v>0</v>
      </c>
      <c r="J428" s="12">
        <f ca="1">SUMIFS(TableDailySummary[Ventas primer cliente],TableDailySummary[Fecha],"&gt;="&amp;TableWeeklySummary[[#This Row],[Desde]],TableDailySummary[Fecha],"&lt;="&amp;TableWeeklySummary[[#This Row],[Hasta]])</f>
        <v>0</v>
      </c>
      <c r="K428" s="12">
        <f ca="1">SUMIFS(TableDailySummary[Órdenes primer cliente],TableDailySummary[Fecha],"&gt;="&amp;TableWeeklySummary[[#This Row],[Desde]],TableDailySummary[Fecha],"&lt;="&amp;TableWeeklySummary[[#This Row],[Hasta]])</f>
        <v>0</v>
      </c>
      <c r="L428" s="12">
        <f ca="1">SUMIFS(TableDailySummary[Online Store_net_sales],TableDailySummary[Fecha],"&gt;="&amp;TableWeeklySummary[[#This Row],[Desde]],TableDailySummary[Fecha],"&lt;="&amp;TableWeeklySummary[[#This Row],[Hasta]])</f>
        <v>0</v>
      </c>
      <c r="M428" s="12">
        <f ca="1">SUMIFS(TableDailySummary[Online Store_orders],TableDailySummary[Fecha],"&gt;="&amp;TableWeeklySummary[[#This Row],[Desde]],TableDailySummary[Fecha],"&lt;="&amp;TableWeeklySummary[[#This Row],[Hasta]])</f>
        <v>0</v>
      </c>
      <c r="N428" s="12">
        <f ca="1">SUMIFS(TableDailySummary[Tienda 81_net_sales],TableDailySummary[Fecha],"&gt;="&amp;TableWeeklySummary[[#This Row],[Desde]],TableDailySummary[Fecha],"&lt;="&amp;TableWeeklySummary[[#This Row],[Hasta]])</f>
        <v>0</v>
      </c>
      <c r="O428" s="12">
        <f ca="1">SUMIFS(TableDailySummary[Tienda 81_orders],TableDailySummary[Fecha],"&gt;="&amp;TableWeeklySummary[[#This Row],[Desde]],TableDailySummary[Fecha],"&lt;="&amp;TableWeeklySummary[[#This Row],[Hasta]])</f>
        <v>0</v>
      </c>
      <c r="P428" s="12">
        <f ca="1">SUMIFS(TableDailySummary[Rappi_net_sales],TableDailySummary[Fecha],"&gt;="&amp;TableWeeklySummary[[#This Row],[Desde]],TableDailySummary[Fecha],"&lt;="&amp;TableWeeklySummary[[#This Row],[Hasta]])</f>
        <v>0</v>
      </c>
      <c r="Q428" s="12">
        <f ca="1">SUMIFS(TableDailySummary[Rappi_orders],TableDailySummary[Fecha],"&gt;="&amp;TableWeeklySummary[[#This Row],[Desde]],TableDailySummary[Fecha],"&lt;="&amp;TableWeeklySummary[[#This Row],[Hasta]])</f>
        <v>0</v>
      </c>
      <c r="R42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2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28" s="12">
        <f ca="1">SUMIFS(TableDailySummary[Inversión google ads],TableDailySummary[Fecha],"&gt;="&amp;TableWeeklySummary[[#This Row],[Desde]],TableDailySummary[Fecha],"&lt;="&amp;TableWeeklySummary[[#This Row],[Hasta]])</f>
        <v>0</v>
      </c>
      <c r="U428" s="12">
        <f ca="1">SUMIFS(TableDailySummary[Ventas google ads],TableDailySummary[Fecha],"&gt;="&amp;TableWeeklySummary[[#This Row],[Desde]],TableDailySummary[Fecha],"&lt;="&amp;TableWeeklySummary[[#This Row],[Hasta]])</f>
        <v>0</v>
      </c>
      <c r="V428" s="12">
        <f ca="1">SUMIFS(TableDailySummary[Inversión meta ads],TableDailySummary[Fecha],"&gt;="&amp;TableWeeklySummary[[#This Row],[Desde]],TableDailySummary[Fecha],"&lt;="&amp;TableWeeklySummary[[#This Row],[Hasta]])</f>
        <v>0</v>
      </c>
      <c r="W428" s="12">
        <f ca="1">SUMIFS(TableDailySummary[Ventas meta ads],TableDailySummary[Fecha],"&gt;="&amp;TableWeeklySummary[[#This Row],[Desde]],TableDailySummary[Fecha],"&lt;="&amp;TableWeeklySummary[[#This Row],[Hasta]])</f>
        <v>0</v>
      </c>
      <c r="X428" s="12">
        <f ca="1">TableWeeklySummary[[#This Row],[Inversión google ads]]+TableWeeklySummary[[#This Row],[Inversión meta ads]]</f>
        <v>0</v>
      </c>
      <c r="Y428" s="12">
        <f ca="1">TableWeeklySummary[[#This Row],[Ventas google ads]]+TableWeeklySummary[[#This Row],[Ventas meta ads]]</f>
        <v>0</v>
      </c>
      <c r="Z428" s="14">
        <f ca="1">IFERROR(TableWeeklySummary[[#This Row],[Ventas publicidad]]/TableWeeklySummary[[#This Row],[Inversión publicidad]],0)</f>
        <v>0</v>
      </c>
      <c r="AA428" s="14">
        <f ca="1">IFERROR(TableWeeklySummary[[#This Row],[Ventas primer cliente]]/TableWeeklySummary[[#This Row],[Inversión publicidad]],0)</f>
        <v>0</v>
      </c>
      <c r="AB428" s="14"/>
      <c r="AC428" s="12"/>
      <c r="AI42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2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28" s="12">
        <f ca="1">SUMIFS(TableDailySummary[Utilidad bruta],TableDailySummary[Fecha],"&gt;="&amp;TableWeeklySummary[[#This Row],[Desde]],TableDailySummary[Fecha],"&lt;="&amp;TableWeeklySummary[[#This Row],[Hasta]])</f>
        <v>0</v>
      </c>
      <c r="AL428" s="18">
        <f ca="1">IFERROR(TableWeeklySummary[[#This Row],[Utilidad bruta]]/TableWeeklySummary[[#This Row],[Ventas netas con costo registrado]],0)</f>
        <v>0</v>
      </c>
    </row>
    <row r="429" spans="2:38" x14ac:dyDescent="0.2">
      <c r="B429" s="16">
        <f ca="1">_xlfn.ISOWEEKNUM(TableWeeklySummary[[#This Row],[Hasta]])</f>
        <v>49</v>
      </c>
      <c r="C429" s="6">
        <f t="shared" ca="1" si="8"/>
        <v>48915</v>
      </c>
      <c r="D429" s="6">
        <f ca="1">TableWeeklySummary[[#This Row],[Desde]]+7-1</f>
        <v>48921</v>
      </c>
      <c r="E429" s="12">
        <f ca="1">SUMIFS(TableDailySummary[Ventas netas totales],TableDailySummary[Fecha],"&gt;="&amp;TableWeeklySummary[[#This Row],[Desde]],TableDailySummary[Fecha],"&lt;="&amp;TableWeeklySummary[[#This Row],[Hasta]])</f>
        <v>0</v>
      </c>
      <c r="F429" s="12">
        <f ca="1">SUMIFS(TableDailySummary[Órdenes totales],TableDailySummary[Fecha],"&gt;="&amp;TableWeeklySummary[[#This Row],[Desde]],TableDailySummary[Fecha],"&lt;="&amp;TableWeeklySummary[[#This Row],[Hasta]])</f>
        <v>0</v>
      </c>
      <c r="G429" s="12">
        <f ca="1">IFERROR(TableWeeklySummary[[#This Row],[Ventas netas totales]]/TableWeeklySummary[[#This Row],[Órdenes totales]],0)</f>
        <v>0</v>
      </c>
      <c r="H42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29" s="12">
        <f ca="1">TableWeeklySummary[[#This Row],[Órden promedio totales]]*TableWeeklySummary[[#This Row],[CR totales]]</f>
        <v>0</v>
      </c>
      <c r="J429" s="12">
        <f ca="1">SUMIFS(TableDailySummary[Ventas primer cliente],TableDailySummary[Fecha],"&gt;="&amp;TableWeeklySummary[[#This Row],[Desde]],TableDailySummary[Fecha],"&lt;="&amp;TableWeeklySummary[[#This Row],[Hasta]])</f>
        <v>0</v>
      </c>
      <c r="K429" s="12">
        <f ca="1">SUMIFS(TableDailySummary[Órdenes primer cliente],TableDailySummary[Fecha],"&gt;="&amp;TableWeeklySummary[[#This Row],[Desde]],TableDailySummary[Fecha],"&lt;="&amp;TableWeeklySummary[[#This Row],[Hasta]])</f>
        <v>0</v>
      </c>
      <c r="L429" s="12">
        <f ca="1">SUMIFS(TableDailySummary[Online Store_net_sales],TableDailySummary[Fecha],"&gt;="&amp;TableWeeklySummary[[#This Row],[Desde]],TableDailySummary[Fecha],"&lt;="&amp;TableWeeklySummary[[#This Row],[Hasta]])</f>
        <v>0</v>
      </c>
      <c r="M429" s="12">
        <f ca="1">SUMIFS(TableDailySummary[Online Store_orders],TableDailySummary[Fecha],"&gt;="&amp;TableWeeklySummary[[#This Row],[Desde]],TableDailySummary[Fecha],"&lt;="&amp;TableWeeklySummary[[#This Row],[Hasta]])</f>
        <v>0</v>
      </c>
      <c r="N429" s="12">
        <f ca="1">SUMIFS(TableDailySummary[Tienda 81_net_sales],TableDailySummary[Fecha],"&gt;="&amp;TableWeeklySummary[[#This Row],[Desde]],TableDailySummary[Fecha],"&lt;="&amp;TableWeeklySummary[[#This Row],[Hasta]])</f>
        <v>0</v>
      </c>
      <c r="O429" s="12">
        <f ca="1">SUMIFS(TableDailySummary[Tienda 81_orders],TableDailySummary[Fecha],"&gt;="&amp;TableWeeklySummary[[#This Row],[Desde]],TableDailySummary[Fecha],"&lt;="&amp;TableWeeklySummary[[#This Row],[Hasta]])</f>
        <v>0</v>
      </c>
      <c r="P429" s="12">
        <f ca="1">SUMIFS(TableDailySummary[Rappi_net_sales],TableDailySummary[Fecha],"&gt;="&amp;TableWeeklySummary[[#This Row],[Desde]],TableDailySummary[Fecha],"&lt;="&amp;TableWeeklySummary[[#This Row],[Hasta]])</f>
        <v>0</v>
      </c>
      <c r="Q429" s="12">
        <f ca="1">SUMIFS(TableDailySummary[Rappi_orders],TableDailySummary[Fecha],"&gt;="&amp;TableWeeklySummary[[#This Row],[Desde]],TableDailySummary[Fecha],"&lt;="&amp;TableWeeklySummary[[#This Row],[Hasta]])</f>
        <v>0</v>
      </c>
      <c r="R42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2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29" s="12">
        <f ca="1">SUMIFS(TableDailySummary[Inversión google ads],TableDailySummary[Fecha],"&gt;="&amp;TableWeeklySummary[[#This Row],[Desde]],TableDailySummary[Fecha],"&lt;="&amp;TableWeeklySummary[[#This Row],[Hasta]])</f>
        <v>0</v>
      </c>
      <c r="U429" s="12">
        <f ca="1">SUMIFS(TableDailySummary[Ventas google ads],TableDailySummary[Fecha],"&gt;="&amp;TableWeeklySummary[[#This Row],[Desde]],TableDailySummary[Fecha],"&lt;="&amp;TableWeeklySummary[[#This Row],[Hasta]])</f>
        <v>0</v>
      </c>
      <c r="V429" s="12">
        <f ca="1">SUMIFS(TableDailySummary[Inversión meta ads],TableDailySummary[Fecha],"&gt;="&amp;TableWeeklySummary[[#This Row],[Desde]],TableDailySummary[Fecha],"&lt;="&amp;TableWeeklySummary[[#This Row],[Hasta]])</f>
        <v>0</v>
      </c>
      <c r="W429" s="12">
        <f ca="1">SUMIFS(TableDailySummary[Ventas meta ads],TableDailySummary[Fecha],"&gt;="&amp;TableWeeklySummary[[#This Row],[Desde]],TableDailySummary[Fecha],"&lt;="&amp;TableWeeklySummary[[#This Row],[Hasta]])</f>
        <v>0</v>
      </c>
      <c r="X429" s="12">
        <f ca="1">TableWeeklySummary[[#This Row],[Inversión google ads]]+TableWeeklySummary[[#This Row],[Inversión meta ads]]</f>
        <v>0</v>
      </c>
      <c r="Y429" s="12">
        <f ca="1">TableWeeklySummary[[#This Row],[Ventas google ads]]+TableWeeklySummary[[#This Row],[Ventas meta ads]]</f>
        <v>0</v>
      </c>
      <c r="Z429" s="14">
        <f ca="1">IFERROR(TableWeeklySummary[[#This Row],[Ventas publicidad]]/TableWeeklySummary[[#This Row],[Inversión publicidad]],0)</f>
        <v>0</v>
      </c>
      <c r="AA429" s="14">
        <f ca="1">IFERROR(TableWeeklySummary[[#This Row],[Ventas primer cliente]]/TableWeeklySummary[[#This Row],[Inversión publicidad]],0)</f>
        <v>0</v>
      </c>
      <c r="AB429" s="14"/>
      <c r="AC429" s="12"/>
      <c r="AI42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2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29" s="12">
        <f ca="1">SUMIFS(TableDailySummary[Utilidad bruta],TableDailySummary[Fecha],"&gt;="&amp;TableWeeklySummary[[#This Row],[Desde]],TableDailySummary[Fecha],"&lt;="&amp;TableWeeklySummary[[#This Row],[Hasta]])</f>
        <v>0</v>
      </c>
      <c r="AL429" s="18">
        <f ca="1">IFERROR(TableWeeklySummary[[#This Row],[Utilidad bruta]]/TableWeeklySummary[[#This Row],[Ventas netas con costo registrado]],0)</f>
        <v>0</v>
      </c>
    </row>
    <row r="430" spans="2:38" x14ac:dyDescent="0.2">
      <c r="B430" s="16">
        <f ca="1">_xlfn.ISOWEEKNUM(TableWeeklySummary[[#This Row],[Hasta]])</f>
        <v>50</v>
      </c>
      <c r="C430" s="6">
        <f t="shared" ca="1" si="8"/>
        <v>48922</v>
      </c>
      <c r="D430" s="6">
        <f ca="1">TableWeeklySummary[[#This Row],[Desde]]+7-1</f>
        <v>48928</v>
      </c>
      <c r="E430" s="12">
        <f ca="1">SUMIFS(TableDailySummary[Ventas netas totales],TableDailySummary[Fecha],"&gt;="&amp;TableWeeklySummary[[#This Row],[Desde]],TableDailySummary[Fecha],"&lt;="&amp;TableWeeklySummary[[#This Row],[Hasta]])</f>
        <v>0</v>
      </c>
      <c r="F430" s="12">
        <f ca="1">SUMIFS(TableDailySummary[Órdenes totales],TableDailySummary[Fecha],"&gt;="&amp;TableWeeklySummary[[#This Row],[Desde]],TableDailySummary[Fecha],"&lt;="&amp;TableWeeklySummary[[#This Row],[Hasta]])</f>
        <v>0</v>
      </c>
      <c r="G430" s="12">
        <f ca="1">IFERROR(TableWeeklySummary[[#This Row],[Ventas netas totales]]/TableWeeklySummary[[#This Row],[Órdenes totales]],0)</f>
        <v>0</v>
      </c>
      <c r="H43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30" s="12">
        <f ca="1">TableWeeklySummary[[#This Row],[Órden promedio totales]]*TableWeeklySummary[[#This Row],[CR totales]]</f>
        <v>0</v>
      </c>
      <c r="J430" s="12">
        <f ca="1">SUMIFS(TableDailySummary[Ventas primer cliente],TableDailySummary[Fecha],"&gt;="&amp;TableWeeklySummary[[#This Row],[Desde]],TableDailySummary[Fecha],"&lt;="&amp;TableWeeklySummary[[#This Row],[Hasta]])</f>
        <v>0</v>
      </c>
      <c r="K430" s="12">
        <f ca="1">SUMIFS(TableDailySummary[Órdenes primer cliente],TableDailySummary[Fecha],"&gt;="&amp;TableWeeklySummary[[#This Row],[Desde]],TableDailySummary[Fecha],"&lt;="&amp;TableWeeklySummary[[#This Row],[Hasta]])</f>
        <v>0</v>
      </c>
      <c r="L430" s="12">
        <f ca="1">SUMIFS(TableDailySummary[Online Store_net_sales],TableDailySummary[Fecha],"&gt;="&amp;TableWeeklySummary[[#This Row],[Desde]],TableDailySummary[Fecha],"&lt;="&amp;TableWeeklySummary[[#This Row],[Hasta]])</f>
        <v>0</v>
      </c>
      <c r="M430" s="12">
        <f ca="1">SUMIFS(TableDailySummary[Online Store_orders],TableDailySummary[Fecha],"&gt;="&amp;TableWeeklySummary[[#This Row],[Desde]],TableDailySummary[Fecha],"&lt;="&amp;TableWeeklySummary[[#This Row],[Hasta]])</f>
        <v>0</v>
      </c>
      <c r="N430" s="12">
        <f ca="1">SUMIFS(TableDailySummary[Tienda 81_net_sales],TableDailySummary[Fecha],"&gt;="&amp;TableWeeklySummary[[#This Row],[Desde]],TableDailySummary[Fecha],"&lt;="&amp;TableWeeklySummary[[#This Row],[Hasta]])</f>
        <v>0</v>
      </c>
      <c r="O430" s="12">
        <f ca="1">SUMIFS(TableDailySummary[Tienda 81_orders],TableDailySummary[Fecha],"&gt;="&amp;TableWeeklySummary[[#This Row],[Desde]],TableDailySummary[Fecha],"&lt;="&amp;TableWeeklySummary[[#This Row],[Hasta]])</f>
        <v>0</v>
      </c>
      <c r="P430" s="12">
        <f ca="1">SUMIFS(TableDailySummary[Rappi_net_sales],TableDailySummary[Fecha],"&gt;="&amp;TableWeeklySummary[[#This Row],[Desde]],TableDailySummary[Fecha],"&lt;="&amp;TableWeeklySummary[[#This Row],[Hasta]])</f>
        <v>0</v>
      </c>
      <c r="Q430" s="12">
        <f ca="1">SUMIFS(TableDailySummary[Rappi_orders],TableDailySummary[Fecha],"&gt;="&amp;TableWeeklySummary[[#This Row],[Desde]],TableDailySummary[Fecha],"&lt;="&amp;TableWeeklySummary[[#This Row],[Hasta]])</f>
        <v>0</v>
      </c>
      <c r="R43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3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30" s="12">
        <f ca="1">SUMIFS(TableDailySummary[Inversión google ads],TableDailySummary[Fecha],"&gt;="&amp;TableWeeklySummary[[#This Row],[Desde]],TableDailySummary[Fecha],"&lt;="&amp;TableWeeklySummary[[#This Row],[Hasta]])</f>
        <v>0</v>
      </c>
      <c r="U430" s="12">
        <f ca="1">SUMIFS(TableDailySummary[Ventas google ads],TableDailySummary[Fecha],"&gt;="&amp;TableWeeklySummary[[#This Row],[Desde]],TableDailySummary[Fecha],"&lt;="&amp;TableWeeklySummary[[#This Row],[Hasta]])</f>
        <v>0</v>
      </c>
      <c r="V430" s="12">
        <f ca="1">SUMIFS(TableDailySummary[Inversión meta ads],TableDailySummary[Fecha],"&gt;="&amp;TableWeeklySummary[[#This Row],[Desde]],TableDailySummary[Fecha],"&lt;="&amp;TableWeeklySummary[[#This Row],[Hasta]])</f>
        <v>0</v>
      </c>
      <c r="W430" s="12">
        <f ca="1">SUMIFS(TableDailySummary[Ventas meta ads],TableDailySummary[Fecha],"&gt;="&amp;TableWeeklySummary[[#This Row],[Desde]],TableDailySummary[Fecha],"&lt;="&amp;TableWeeklySummary[[#This Row],[Hasta]])</f>
        <v>0</v>
      </c>
      <c r="X430" s="12">
        <f ca="1">TableWeeklySummary[[#This Row],[Inversión google ads]]+TableWeeklySummary[[#This Row],[Inversión meta ads]]</f>
        <v>0</v>
      </c>
      <c r="Y430" s="12">
        <f ca="1">TableWeeklySummary[[#This Row],[Ventas google ads]]+TableWeeklySummary[[#This Row],[Ventas meta ads]]</f>
        <v>0</v>
      </c>
      <c r="Z430" s="14">
        <f ca="1">IFERROR(TableWeeklySummary[[#This Row],[Ventas publicidad]]/TableWeeklySummary[[#This Row],[Inversión publicidad]],0)</f>
        <v>0</v>
      </c>
      <c r="AA430" s="14">
        <f ca="1">IFERROR(TableWeeklySummary[[#This Row],[Ventas primer cliente]]/TableWeeklySummary[[#This Row],[Inversión publicidad]],0)</f>
        <v>0</v>
      </c>
      <c r="AB430" s="14"/>
      <c r="AC430" s="12"/>
      <c r="AI43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3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30" s="12">
        <f ca="1">SUMIFS(TableDailySummary[Utilidad bruta],TableDailySummary[Fecha],"&gt;="&amp;TableWeeklySummary[[#This Row],[Desde]],TableDailySummary[Fecha],"&lt;="&amp;TableWeeklySummary[[#This Row],[Hasta]])</f>
        <v>0</v>
      </c>
      <c r="AL430" s="18">
        <f ca="1">IFERROR(TableWeeklySummary[[#This Row],[Utilidad bruta]]/TableWeeklySummary[[#This Row],[Ventas netas con costo registrado]],0)</f>
        <v>0</v>
      </c>
    </row>
    <row r="431" spans="2:38" x14ac:dyDescent="0.2">
      <c r="B431" s="16">
        <f ca="1">_xlfn.ISOWEEKNUM(TableWeeklySummary[[#This Row],[Hasta]])</f>
        <v>51</v>
      </c>
      <c r="C431" s="6">
        <f t="shared" ca="1" si="8"/>
        <v>48929</v>
      </c>
      <c r="D431" s="6">
        <f ca="1">TableWeeklySummary[[#This Row],[Desde]]+7-1</f>
        <v>48935</v>
      </c>
      <c r="E431" s="12">
        <f ca="1">SUMIFS(TableDailySummary[Ventas netas totales],TableDailySummary[Fecha],"&gt;="&amp;TableWeeklySummary[[#This Row],[Desde]],TableDailySummary[Fecha],"&lt;="&amp;TableWeeklySummary[[#This Row],[Hasta]])</f>
        <v>0</v>
      </c>
      <c r="F431" s="12">
        <f ca="1">SUMIFS(TableDailySummary[Órdenes totales],TableDailySummary[Fecha],"&gt;="&amp;TableWeeklySummary[[#This Row],[Desde]],TableDailySummary[Fecha],"&lt;="&amp;TableWeeklySummary[[#This Row],[Hasta]])</f>
        <v>0</v>
      </c>
      <c r="G431" s="12">
        <f ca="1">IFERROR(TableWeeklySummary[[#This Row],[Ventas netas totales]]/TableWeeklySummary[[#This Row],[Órdenes totales]],0)</f>
        <v>0</v>
      </c>
      <c r="H43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31" s="12">
        <f ca="1">TableWeeklySummary[[#This Row],[Órden promedio totales]]*TableWeeklySummary[[#This Row],[CR totales]]</f>
        <v>0</v>
      </c>
      <c r="J431" s="12">
        <f ca="1">SUMIFS(TableDailySummary[Ventas primer cliente],TableDailySummary[Fecha],"&gt;="&amp;TableWeeklySummary[[#This Row],[Desde]],TableDailySummary[Fecha],"&lt;="&amp;TableWeeklySummary[[#This Row],[Hasta]])</f>
        <v>0</v>
      </c>
      <c r="K431" s="12">
        <f ca="1">SUMIFS(TableDailySummary[Órdenes primer cliente],TableDailySummary[Fecha],"&gt;="&amp;TableWeeklySummary[[#This Row],[Desde]],TableDailySummary[Fecha],"&lt;="&amp;TableWeeklySummary[[#This Row],[Hasta]])</f>
        <v>0</v>
      </c>
      <c r="L431" s="12">
        <f ca="1">SUMIFS(TableDailySummary[Online Store_net_sales],TableDailySummary[Fecha],"&gt;="&amp;TableWeeklySummary[[#This Row],[Desde]],TableDailySummary[Fecha],"&lt;="&amp;TableWeeklySummary[[#This Row],[Hasta]])</f>
        <v>0</v>
      </c>
      <c r="M431" s="12">
        <f ca="1">SUMIFS(TableDailySummary[Online Store_orders],TableDailySummary[Fecha],"&gt;="&amp;TableWeeklySummary[[#This Row],[Desde]],TableDailySummary[Fecha],"&lt;="&amp;TableWeeklySummary[[#This Row],[Hasta]])</f>
        <v>0</v>
      </c>
      <c r="N431" s="12">
        <f ca="1">SUMIFS(TableDailySummary[Tienda 81_net_sales],TableDailySummary[Fecha],"&gt;="&amp;TableWeeklySummary[[#This Row],[Desde]],TableDailySummary[Fecha],"&lt;="&amp;TableWeeklySummary[[#This Row],[Hasta]])</f>
        <v>0</v>
      </c>
      <c r="O431" s="12">
        <f ca="1">SUMIFS(TableDailySummary[Tienda 81_orders],TableDailySummary[Fecha],"&gt;="&amp;TableWeeklySummary[[#This Row],[Desde]],TableDailySummary[Fecha],"&lt;="&amp;TableWeeklySummary[[#This Row],[Hasta]])</f>
        <v>0</v>
      </c>
      <c r="P431" s="12">
        <f ca="1">SUMIFS(TableDailySummary[Rappi_net_sales],TableDailySummary[Fecha],"&gt;="&amp;TableWeeklySummary[[#This Row],[Desde]],TableDailySummary[Fecha],"&lt;="&amp;TableWeeklySummary[[#This Row],[Hasta]])</f>
        <v>0</v>
      </c>
      <c r="Q431" s="12">
        <f ca="1">SUMIFS(TableDailySummary[Rappi_orders],TableDailySummary[Fecha],"&gt;="&amp;TableWeeklySummary[[#This Row],[Desde]],TableDailySummary[Fecha],"&lt;="&amp;TableWeeklySummary[[#This Row],[Hasta]])</f>
        <v>0</v>
      </c>
      <c r="R43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3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31" s="12">
        <f ca="1">SUMIFS(TableDailySummary[Inversión google ads],TableDailySummary[Fecha],"&gt;="&amp;TableWeeklySummary[[#This Row],[Desde]],TableDailySummary[Fecha],"&lt;="&amp;TableWeeklySummary[[#This Row],[Hasta]])</f>
        <v>0</v>
      </c>
      <c r="U431" s="12">
        <f ca="1">SUMIFS(TableDailySummary[Ventas google ads],TableDailySummary[Fecha],"&gt;="&amp;TableWeeklySummary[[#This Row],[Desde]],TableDailySummary[Fecha],"&lt;="&amp;TableWeeklySummary[[#This Row],[Hasta]])</f>
        <v>0</v>
      </c>
      <c r="V431" s="12">
        <f ca="1">SUMIFS(TableDailySummary[Inversión meta ads],TableDailySummary[Fecha],"&gt;="&amp;TableWeeklySummary[[#This Row],[Desde]],TableDailySummary[Fecha],"&lt;="&amp;TableWeeklySummary[[#This Row],[Hasta]])</f>
        <v>0</v>
      </c>
      <c r="W431" s="12">
        <f ca="1">SUMIFS(TableDailySummary[Ventas meta ads],TableDailySummary[Fecha],"&gt;="&amp;TableWeeklySummary[[#This Row],[Desde]],TableDailySummary[Fecha],"&lt;="&amp;TableWeeklySummary[[#This Row],[Hasta]])</f>
        <v>0</v>
      </c>
      <c r="X431" s="12">
        <f ca="1">TableWeeklySummary[[#This Row],[Inversión google ads]]+TableWeeklySummary[[#This Row],[Inversión meta ads]]</f>
        <v>0</v>
      </c>
      <c r="Y431" s="12">
        <f ca="1">TableWeeklySummary[[#This Row],[Ventas google ads]]+TableWeeklySummary[[#This Row],[Ventas meta ads]]</f>
        <v>0</v>
      </c>
      <c r="Z431" s="14">
        <f ca="1">IFERROR(TableWeeklySummary[[#This Row],[Ventas publicidad]]/TableWeeklySummary[[#This Row],[Inversión publicidad]],0)</f>
        <v>0</v>
      </c>
      <c r="AA431" s="14">
        <f ca="1">IFERROR(TableWeeklySummary[[#This Row],[Ventas primer cliente]]/TableWeeklySummary[[#This Row],[Inversión publicidad]],0)</f>
        <v>0</v>
      </c>
      <c r="AB431" s="14"/>
      <c r="AC431" s="12"/>
      <c r="AI43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3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31" s="12">
        <f ca="1">SUMIFS(TableDailySummary[Utilidad bruta],TableDailySummary[Fecha],"&gt;="&amp;TableWeeklySummary[[#This Row],[Desde]],TableDailySummary[Fecha],"&lt;="&amp;TableWeeklySummary[[#This Row],[Hasta]])</f>
        <v>0</v>
      </c>
      <c r="AL431" s="18">
        <f ca="1">IFERROR(TableWeeklySummary[[#This Row],[Utilidad bruta]]/TableWeeklySummary[[#This Row],[Ventas netas con costo registrado]],0)</f>
        <v>0</v>
      </c>
    </row>
    <row r="432" spans="2:38" x14ac:dyDescent="0.2">
      <c r="B432" s="16">
        <f ca="1">_xlfn.ISOWEEKNUM(TableWeeklySummary[[#This Row],[Hasta]])</f>
        <v>52</v>
      </c>
      <c r="C432" s="6">
        <f t="shared" ca="1" si="8"/>
        <v>48936</v>
      </c>
      <c r="D432" s="6">
        <f ca="1">TableWeeklySummary[[#This Row],[Desde]]+7-1</f>
        <v>48942</v>
      </c>
      <c r="E432" s="12">
        <f ca="1">SUMIFS(TableDailySummary[Ventas netas totales],TableDailySummary[Fecha],"&gt;="&amp;TableWeeklySummary[[#This Row],[Desde]],TableDailySummary[Fecha],"&lt;="&amp;TableWeeklySummary[[#This Row],[Hasta]])</f>
        <v>0</v>
      </c>
      <c r="F432" s="12">
        <f ca="1">SUMIFS(TableDailySummary[Órdenes totales],TableDailySummary[Fecha],"&gt;="&amp;TableWeeklySummary[[#This Row],[Desde]],TableDailySummary[Fecha],"&lt;="&amp;TableWeeklySummary[[#This Row],[Hasta]])</f>
        <v>0</v>
      </c>
      <c r="G432" s="12">
        <f ca="1">IFERROR(TableWeeklySummary[[#This Row],[Ventas netas totales]]/TableWeeklySummary[[#This Row],[Órdenes totales]],0)</f>
        <v>0</v>
      </c>
      <c r="H43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32" s="12">
        <f ca="1">TableWeeklySummary[[#This Row],[Órden promedio totales]]*TableWeeklySummary[[#This Row],[CR totales]]</f>
        <v>0</v>
      </c>
      <c r="J432" s="12">
        <f ca="1">SUMIFS(TableDailySummary[Ventas primer cliente],TableDailySummary[Fecha],"&gt;="&amp;TableWeeklySummary[[#This Row],[Desde]],TableDailySummary[Fecha],"&lt;="&amp;TableWeeklySummary[[#This Row],[Hasta]])</f>
        <v>0</v>
      </c>
      <c r="K432" s="12">
        <f ca="1">SUMIFS(TableDailySummary[Órdenes primer cliente],TableDailySummary[Fecha],"&gt;="&amp;TableWeeklySummary[[#This Row],[Desde]],TableDailySummary[Fecha],"&lt;="&amp;TableWeeklySummary[[#This Row],[Hasta]])</f>
        <v>0</v>
      </c>
      <c r="L432" s="12">
        <f ca="1">SUMIFS(TableDailySummary[Online Store_net_sales],TableDailySummary[Fecha],"&gt;="&amp;TableWeeklySummary[[#This Row],[Desde]],TableDailySummary[Fecha],"&lt;="&amp;TableWeeklySummary[[#This Row],[Hasta]])</f>
        <v>0</v>
      </c>
      <c r="M432" s="12">
        <f ca="1">SUMIFS(TableDailySummary[Online Store_orders],TableDailySummary[Fecha],"&gt;="&amp;TableWeeklySummary[[#This Row],[Desde]],TableDailySummary[Fecha],"&lt;="&amp;TableWeeklySummary[[#This Row],[Hasta]])</f>
        <v>0</v>
      </c>
      <c r="N432" s="12">
        <f ca="1">SUMIFS(TableDailySummary[Tienda 81_net_sales],TableDailySummary[Fecha],"&gt;="&amp;TableWeeklySummary[[#This Row],[Desde]],TableDailySummary[Fecha],"&lt;="&amp;TableWeeklySummary[[#This Row],[Hasta]])</f>
        <v>0</v>
      </c>
      <c r="O432" s="12">
        <f ca="1">SUMIFS(TableDailySummary[Tienda 81_orders],TableDailySummary[Fecha],"&gt;="&amp;TableWeeklySummary[[#This Row],[Desde]],TableDailySummary[Fecha],"&lt;="&amp;TableWeeklySummary[[#This Row],[Hasta]])</f>
        <v>0</v>
      </c>
      <c r="P432" s="12">
        <f ca="1">SUMIFS(TableDailySummary[Rappi_net_sales],TableDailySummary[Fecha],"&gt;="&amp;TableWeeklySummary[[#This Row],[Desde]],TableDailySummary[Fecha],"&lt;="&amp;TableWeeklySummary[[#This Row],[Hasta]])</f>
        <v>0</v>
      </c>
      <c r="Q432" s="12">
        <f ca="1">SUMIFS(TableDailySummary[Rappi_orders],TableDailySummary[Fecha],"&gt;="&amp;TableWeeklySummary[[#This Row],[Desde]],TableDailySummary[Fecha],"&lt;="&amp;TableWeeklySummary[[#This Row],[Hasta]])</f>
        <v>0</v>
      </c>
      <c r="R43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3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32" s="12">
        <f ca="1">SUMIFS(TableDailySummary[Inversión google ads],TableDailySummary[Fecha],"&gt;="&amp;TableWeeklySummary[[#This Row],[Desde]],TableDailySummary[Fecha],"&lt;="&amp;TableWeeklySummary[[#This Row],[Hasta]])</f>
        <v>0</v>
      </c>
      <c r="U432" s="12">
        <f ca="1">SUMIFS(TableDailySummary[Ventas google ads],TableDailySummary[Fecha],"&gt;="&amp;TableWeeklySummary[[#This Row],[Desde]],TableDailySummary[Fecha],"&lt;="&amp;TableWeeklySummary[[#This Row],[Hasta]])</f>
        <v>0</v>
      </c>
      <c r="V432" s="12">
        <f ca="1">SUMIFS(TableDailySummary[Inversión meta ads],TableDailySummary[Fecha],"&gt;="&amp;TableWeeklySummary[[#This Row],[Desde]],TableDailySummary[Fecha],"&lt;="&amp;TableWeeklySummary[[#This Row],[Hasta]])</f>
        <v>0</v>
      </c>
      <c r="W432" s="12">
        <f ca="1">SUMIFS(TableDailySummary[Ventas meta ads],TableDailySummary[Fecha],"&gt;="&amp;TableWeeklySummary[[#This Row],[Desde]],TableDailySummary[Fecha],"&lt;="&amp;TableWeeklySummary[[#This Row],[Hasta]])</f>
        <v>0</v>
      </c>
      <c r="X432" s="12">
        <f ca="1">TableWeeklySummary[[#This Row],[Inversión google ads]]+TableWeeklySummary[[#This Row],[Inversión meta ads]]</f>
        <v>0</v>
      </c>
      <c r="Y432" s="12">
        <f ca="1">TableWeeklySummary[[#This Row],[Ventas google ads]]+TableWeeklySummary[[#This Row],[Ventas meta ads]]</f>
        <v>0</v>
      </c>
      <c r="Z432" s="14">
        <f ca="1">IFERROR(TableWeeklySummary[[#This Row],[Ventas publicidad]]/TableWeeklySummary[[#This Row],[Inversión publicidad]],0)</f>
        <v>0</v>
      </c>
      <c r="AA432" s="14">
        <f ca="1">IFERROR(TableWeeklySummary[[#This Row],[Ventas primer cliente]]/TableWeeklySummary[[#This Row],[Inversión publicidad]],0)</f>
        <v>0</v>
      </c>
      <c r="AB432" s="14"/>
      <c r="AC432" s="12"/>
      <c r="AI43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3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32" s="12">
        <f ca="1">SUMIFS(TableDailySummary[Utilidad bruta],TableDailySummary[Fecha],"&gt;="&amp;TableWeeklySummary[[#This Row],[Desde]],TableDailySummary[Fecha],"&lt;="&amp;TableWeeklySummary[[#This Row],[Hasta]])</f>
        <v>0</v>
      </c>
      <c r="AL432" s="18">
        <f ca="1">IFERROR(TableWeeklySummary[[#This Row],[Utilidad bruta]]/TableWeeklySummary[[#This Row],[Ventas netas con costo registrado]],0)</f>
        <v>0</v>
      </c>
    </row>
    <row r="433" spans="2:38" x14ac:dyDescent="0.2">
      <c r="B433" s="16">
        <f ca="1">_xlfn.ISOWEEKNUM(TableWeeklySummary[[#This Row],[Hasta]])</f>
        <v>1</v>
      </c>
      <c r="C433" s="6">
        <f t="shared" ca="1" si="8"/>
        <v>48943</v>
      </c>
      <c r="D433" s="6">
        <f ca="1">TableWeeklySummary[[#This Row],[Desde]]+7-1</f>
        <v>48949</v>
      </c>
      <c r="E433" s="12">
        <f ca="1">SUMIFS(TableDailySummary[Ventas netas totales],TableDailySummary[Fecha],"&gt;="&amp;TableWeeklySummary[[#This Row],[Desde]],TableDailySummary[Fecha],"&lt;="&amp;TableWeeklySummary[[#This Row],[Hasta]])</f>
        <v>0</v>
      </c>
      <c r="F433" s="12">
        <f ca="1">SUMIFS(TableDailySummary[Órdenes totales],TableDailySummary[Fecha],"&gt;="&amp;TableWeeklySummary[[#This Row],[Desde]],TableDailySummary[Fecha],"&lt;="&amp;TableWeeklySummary[[#This Row],[Hasta]])</f>
        <v>0</v>
      </c>
      <c r="G433" s="12">
        <f ca="1">IFERROR(TableWeeklySummary[[#This Row],[Ventas netas totales]]/TableWeeklySummary[[#This Row],[Órdenes totales]],0)</f>
        <v>0</v>
      </c>
      <c r="H43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33" s="12">
        <f ca="1">TableWeeklySummary[[#This Row],[Órden promedio totales]]*TableWeeklySummary[[#This Row],[CR totales]]</f>
        <v>0</v>
      </c>
      <c r="J433" s="12">
        <f ca="1">SUMIFS(TableDailySummary[Ventas primer cliente],TableDailySummary[Fecha],"&gt;="&amp;TableWeeklySummary[[#This Row],[Desde]],TableDailySummary[Fecha],"&lt;="&amp;TableWeeklySummary[[#This Row],[Hasta]])</f>
        <v>0</v>
      </c>
      <c r="K433" s="12">
        <f ca="1">SUMIFS(TableDailySummary[Órdenes primer cliente],TableDailySummary[Fecha],"&gt;="&amp;TableWeeklySummary[[#This Row],[Desde]],TableDailySummary[Fecha],"&lt;="&amp;TableWeeklySummary[[#This Row],[Hasta]])</f>
        <v>0</v>
      </c>
      <c r="L433" s="12">
        <f ca="1">SUMIFS(TableDailySummary[Online Store_net_sales],TableDailySummary[Fecha],"&gt;="&amp;TableWeeklySummary[[#This Row],[Desde]],TableDailySummary[Fecha],"&lt;="&amp;TableWeeklySummary[[#This Row],[Hasta]])</f>
        <v>0</v>
      </c>
      <c r="M433" s="12">
        <f ca="1">SUMIFS(TableDailySummary[Online Store_orders],TableDailySummary[Fecha],"&gt;="&amp;TableWeeklySummary[[#This Row],[Desde]],TableDailySummary[Fecha],"&lt;="&amp;TableWeeklySummary[[#This Row],[Hasta]])</f>
        <v>0</v>
      </c>
      <c r="N433" s="12">
        <f ca="1">SUMIFS(TableDailySummary[Tienda 81_net_sales],TableDailySummary[Fecha],"&gt;="&amp;TableWeeklySummary[[#This Row],[Desde]],TableDailySummary[Fecha],"&lt;="&amp;TableWeeklySummary[[#This Row],[Hasta]])</f>
        <v>0</v>
      </c>
      <c r="O433" s="12">
        <f ca="1">SUMIFS(TableDailySummary[Tienda 81_orders],TableDailySummary[Fecha],"&gt;="&amp;TableWeeklySummary[[#This Row],[Desde]],TableDailySummary[Fecha],"&lt;="&amp;TableWeeklySummary[[#This Row],[Hasta]])</f>
        <v>0</v>
      </c>
      <c r="P433" s="12">
        <f ca="1">SUMIFS(TableDailySummary[Rappi_net_sales],TableDailySummary[Fecha],"&gt;="&amp;TableWeeklySummary[[#This Row],[Desde]],TableDailySummary[Fecha],"&lt;="&amp;TableWeeklySummary[[#This Row],[Hasta]])</f>
        <v>0</v>
      </c>
      <c r="Q433" s="12">
        <f ca="1">SUMIFS(TableDailySummary[Rappi_orders],TableDailySummary[Fecha],"&gt;="&amp;TableWeeklySummary[[#This Row],[Desde]],TableDailySummary[Fecha],"&lt;="&amp;TableWeeklySummary[[#This Row],[Hasta]])</f>
        <v>0</v>
      </c>
      <c r="R43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3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33" s="12">
        <f ca="1">SUMIFS(TableDailySummary[Inversión google ads],TableDailySummary[Fecha],"&gt;="&amp;TableWeeklySummary[[#This Row],[Desde]],TableDailySummary[Fecha],"&lt;="&amp;TableWeeklySummary[[#This Row],[Hasta]])</f>
        <v>0</v>
      </c>
      <c r="U433" s="12">
        <f ca="1">SUMIFS(TableDailySummary[Ventas google ads],TableDailySummary[Fecha],"&gt;="&amp;TableWeeklySummary[[#This Row],[Desde]],TableDailySummary[Fecha],"&lt;="&amp;TableWeeklySummary[[#This Row],[Hasta]])</f>
        <v>0</v>
      </c>
      <c r="V433" s="12">
        <f ca="1">SUMIFS(TableDailySummary[Inversión meta ads],TableDailySummary[Fecha],"&gt;="&amp;TableWeeklySummary[[#This Row],[Desde]],TableDailySummary[Fecha],"&lt;="&amp;TableWeeklySummary[[#This Row],[Hasta]])</f>
        <v>0</v>
      </c>
      <c r="W433" s="12">
        <f ca="1">SUMIFS(TableDailySummary[Ventas meta ads],TableDailySummary[Fecha],"&gt;="&amp;TableWeeklySummary[[#This Row],[Desde]],TableDailySummary[Fecha],"&lt;="&amp;TableWeeklySummary[[#This Row],[Hasta]])</f>
        <v>0</v>
      </c>
      <c r="X433" s="12">
        <f ca="1">TableWeeklySummary[[#This Row],[Inversión google ads]]+TableWeeklySummary[[#This Row],[Inversión meta ads]]</f>
        <v>0</v>
      </c>
      <c r="Y433" s="12">
        <f ca="1">TableWeeklySummary[[#This Row],[Ventas google ads]]+TableWeeklySummary[[#This Row],[Ventas meta ads]]</f>
        <v>0</v>
      </c>
      <c r="Z433" s="14">
        <f ca="1">IFERROR(TableWeeklySummary[[#This Row],[Ventas publicidad]]/TableWeeklySummary[[#This Row],[Inversión publicidad]],0)</f>
        <v>0</v>
      </c>
      <c r="AA433" s="14">
        <f ca="1">IFERROR(TableWeeklySummary[[#This Row],[Ventas primer cliente]]/TableWeeklySummary[[#This Row],[Inversión publicidad]],0)</f>
        <v>0</v>
      </c>
      <c r="AB433" s="14"/>
      <c r="AC433" s="12"/>
      <c r="AI43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3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33" s="12">
        <f ca="1">SUMIFS(TableDailySummary[Utilidad bruta],TableDailySummary[Fecha],"&gt;="&amp;TableWeeklySummary[[#This Row],[Desde]],TableDailySummary[Fecha],"&lt;="&amp;TableWeeklySummary[[#This Row],[Hasta]])</f>
        <v>0</v>
      </c>
      <c r="AL433" s="18">
        <f ca="1">IFERROR(TableWeeklySummary[[#This Row],[Utilidad bruta]]/TableWeeklySummary[[#This Row],[Ventas netas con costo registrado]],0)</f>
        <v>0</v>
      </c>
    </row>
    <row r="434" spans="2:38" x14ac:dyDescent="0.2">
      <c r="B434" s="16">
        <f ca="1">_xlfn.ISOWEEKNUM(TableWeeklySummary[[#This Row],[Hasta]])</f>
        <v>2</v>
      </c>
      <c r="C434" s="6">
        <f t="shared" ca="1" si="8"/>
        <v>48950</v>
      </c>
      <c r="D434" s="6">
        <f ca="1">TableWeeklySummary[[#This Row],[Desde]]+7-1</f>
        <v>48956</v>
      </c>
      <c r="E434" s="12">
        <f ca="1">SUMIFS(TableDailySummary[Ventas netas totales],TableDailySummary[Fecha],"&gt;="&amp;TableWeeklySummary[[#This Row],[Desde]],TableDailySummary[Fecha],"&lt;="&amp;TableWeeklySummary[[#This Row],[Hasta]])</f>
        <v>0</v>
      </c>
      <c r="F434" s="12">
        <f ca="1">SUMIFS(TableDailySummary[Órdenes totales],TableDailySummary[Fecha],"&gt;="&amp;TableWeeklySummary[[#This Row],[Desde]],TableDailySummary[Fecha],"&lt;="&amp;TableWeeklySummary[[#This Row],[Hasta]])</f>
        <v>0</v>
      </c>
      <c r="G434" s="12">
        <f ca="1">IFERROR(TableWeeklySummary[[#This Row],[Ventas netas totales]]/TableWeeklySummary[[#This Row],[Órdenes totales]],0)</f>
        <v>0</v>
      </c>
      <c r="H43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34" s="12">
        <f ca="1">TableWeeklySummary[[#This Row],[Órden promedio totales]]*TableWeeklySummary[[#This Row],[CR totales]]</f>
        <v>0</v>
      </c>
      <c r="J434" s="12">
        <f ca="1">SUMIFS(TableDailySummary[Ventas primer cliente],TableDailySummary[Fecha],"&gt;="&amp;TableWeeklySummary[[#This Row],[Desde]],TableDailySummary[Fecha],"&lt;="&amp;TableWeeklySummary[[#This Row],[Hasta]])</f>
        <v>0</v>
      </c>
      <c r="K434" s="12">
        <f ca="1">SUMIFS(TableDailySummary[Órdenes primer cliente],TableDailySummary[Fecha],"&gt;="&amp;TableWeeklySummary[[#This Row],[Desde]],TableDailySummary[Fecha],"&lt;="&amp;TableWeeklySummary[[#This Row],[Hasta]])</f>
        <v>0</v>
      </c>
      <c r="L434" s="12">
        <f ca="1">SUMIFS(TableDailySummary[Online Store_net_sales],TableDailySummary[Fecha],"&gt;="&amp;TableWeeklySummary[[#This Row],[Desde]],TableDailySummary[Fecha],"&lt;="&amp;TableWeeklySummary[[#This Row],[Hasta]])</f>
        <v>0</v>
      </c>
      <c r="M434" s="12">
        <f ca="1">SUMIFS(TableDailySummary[Online Store_orders],TableDailySummary[Fecha],"&gt;="&amp;TableWeeklySummary[[#This Row],[Desde]],TableDailySummary[Fecha],"&lt;="&amp;TableWeeklySummary[[#This Row],[Hasta]])</f>
        <v>0</v>
      </c>
      <c r="N434" s="12">
        <f ca="1">SUMIFS(TableDailySummary[Tienda 81_net_sales],TableDailySummary[Fecha],"&gt;="&amp;TableWeeklySummary[[#This Row],[Desde]],TableDailySummary[Fecha],"&lt;="&amp;TableWeeklySummary[[#This Row],[Hasta]])</f>
        <v>0</v>
      </c>
      <c r="O434" s="12">
        <f ca="1">SUMIFS(TableDailySummary[Tienda 81_orders],TableDailySummary[Fecha],"&gt;="&amp;TableWeeklySummary[[#This Row],[Desde]],TableDailySummary[Fecha],"&lt;="&amp;TableWeeklySummary[[#This Row],[Hasta]])</f>
        <v>0</v>
      </c>
      <c r="P434" s="12">
        <f ca="1">SUMIFS(TableDailySummary[Rappi_net_sales],TableDailySummary[Fecha],"&gt;="&amp;TableWeeklySummary[[#This Row],[Desde]],TableDailySummary[Fecha],"&lt;="&amp;TableWeeklySummary[[#This Row],[Hasta]])</f>
        <v>0</v>
      </c>
      <c r="Q434" s="12">
        <f ca="1">SUMIFS(TableDailySummary[Rappi_orders],TableDailySummary[Fecha],"&gt;="&amp;TableWeeklySummary[[#This Row],[Desde]],TableDailySummary[Fecha],"&lt;="&amp;TableWeeklySummary[[#This Row],[Hasta]])</f>
        <v>0</v>
      </c>
      <c r="R43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3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34" s="12">
        <f ca="1">SUMIFS(TableDailySummary[Inversión google ads],TableDailySummary[Fecha],"&gt;="&amp;TableWeeklySummary[[#This Row],[Desde]],TableDailySummary[Fecha],"&lt;="&amp;TableWeeklySummary[[#This Row],[Hasta]])</f>
        <v>0</v>
      </c>
      <c r="U434" s="12">
        <f ca="1">SUMIFS(TableDailySummary[Ventas google ads],TableDailySummary[Fecha],"&gt;="&amp;TableWeeklySummary[[#This Row],[Desde]],TableDailySummary[Fecha],"&lt;="&amp;TableWeeklySummary[[#This Row],[Hasta]])</f>
        <v>0</v>
      </c>
      <c r="V434" s="12">
        <f ca="1">SUMIFS(TableDailySummary[Inversión meta ads],TableDailySummary[Fecha],"&gt;="&amp;TableWeeklySummary[[#This Row],[Desde]],TableDailySummary[Fecha],"&lt;="&amp;TableWeeklySummary[[#This Row],[Hasta]])</f>
        <v>0</v>
      </c>
      <c r="W434" s="12">
        <f ca="1">SUMIFS(TableDailySummary[Ventas meta ads],TableDailySummary[Fecha],"&gt;="&amp;TableWeeklySummary[[#This Row],[Desde]],TableDailySummary[Fecha],"&lt;="&amp;TableWeeklySummary[[#This Row],[Hasta]])</f>
        <v>0</v>
      </c>
      <c r="X434" s="12">
        <f ca="1">TableWeeklySummary[[#This Row],[Inversión google ads]]+TableWeeklySummary[[#This Row],[Inversión meta ads]]</f>
        <v>0</v>
      </c>
      <c r="Y434" s="12">
        <f ca="1">TableWeeklySummary[[#This Row],[Ventas google ads]]+TableWeeklySummary[[#This Row],[Ventas meta ads]]</f>
        <v>0</v>
      </c>
      <c r="Z434" s="14">
        <f ca="1">IFERROR(TableWeeklySummary[[#This Row],[Ventas publicidad]]/TableWeeklySummary[[#This Row],[Inversión publicidad]],0)</f>
        <v>0</v>
      </c>
      <c r="AA434" s="14">
        <f ca="1">IFERROR(TableWeeklySummary[[#This Row],[Ventas primer cliente]]/TableWeeklySummary[[#This Row],[Inversión publicidad]],0)</f>
        <v>0</v>
      </c>
      <c r="AB434" s="14"/>
      <c r="AC434" s="12"/>
      <c r="AI43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3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34" s="12">
        <f ca="1">SUMIFS(TableDailySummary[Utilidad bruta],TableDailySummary[Fecha],"&gt;="&amp;TableWeeklySummary[[#This Row],[Desde]],TableDailySummary[Fecha],"&lt;="&amp;TableWeeklySummary[[#This Row],[Hasta]])</f>
        <v>0</v>
      </c>
      <c r="AL434" s="18">
        <f ca="1">IFERROR(TableWeeklySummary[[#This Row],[Utilidad bruta]]/TableWeeklySummary[[#This Row],[Ventas netas con costo registrado]],0)</f>
        <v>0</v>
      </c>
    </row>
    <row r="435" spans="2:38" x14ac:dyDescent="0.2">
      <c r="B435" s="16">
        <f ca="1">_xlfn.ISOWEEKNUM(TableWeeklySummary[[#This Row],[Hasta]])</f>
        <v>3</v>
      </c>
      <c r="C435" s="6">
        <f t="shared" ca="1" si="8"/>
        <v>48957</v>
      </c>
      <c r="D435" s="6">
        <f ca="1">TableWeeklySummary[[#This Row],[Desde]]+7-1</f>
        <v>48963</v>
      </c>
      <c r="E435" s="12">
        <f ca="1">SUMIFS(TableDailySummary[Ventas netas totales],TableDailySummary[Fecha],"&gt;="&amp;TableWeeklySummary[[#This Row],[Desde]],TableDailySummary[Fecha],"&lt;="&amp;TableWeeklySummary[[#This Row],[Hasta]])</f>
        <v>0</v>
      </c>
      <c r="F435" s="12">
        <f ca="1">SUMIFS(TableDailySummary[Órdenes totales],TableDailySummary[Fecha],"&gt;="&amp;TableWeeklySummary[[#This Row],[Desde]],TableDailySummary[Fecha],"&lt;="&amp;TableWeeklySummary[[#This Row],[Hasta]])</f>
        <v>0</v>
      </c>
      <c r="G435" s="12">
        <f ca="1">IFERROR(TableWeeklySummary[[#This Row],[Ventas netas totales]]/TableWeeklySummary[[#This Row],[Órdenes totales]],0)</f>
        <v>0</v>
      </c>
      <c r="H43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35" s="12">
        <f ca="1">TableWeeklySummary[[#This Row],[Órden promedio totales]]*TableWeeklySummary[[#This Row],[CR totales]]</f>
        <v>0</v>
      </c>
      <c r="J435" s="12">
        <f ca="1">SUMIFS(TableDailySummary[Ventas primer cliente],TableDailySummary[Fecha],"&gt;="&amp;TableWeeklySummary[[#This Row],[Desde]],TableDailySummary[Fecha],"&lt;="&amp;TableWeeklySummary[[#This Row],[Hasta]])</f>
        <v>0</v>
      </c>
      <c r="K435" s="12">
        <f ca="1">SUMIFS(TableDailySummary[Órdenes primer cliente],TableDailySummary[Fecha],"&gt;="&amp;TableWeeklySummary[[#This Row],[Desde]],TableDailySummary[Fecha],"&lt;="&amp;TableWeeklySummary[[#This Row],[Hasta]])</f>
        <v>0</v>
      </c>
      <c r="L435" s="12">
        <f ca="1">SUMIFS(TableDailySummary[Online Store_net_sales],TableDailySummary[Fecha],"&gt;="&amp;TableWeeklySummary[[#This Row],[Desde]],TableDailySummary[Fecha],"&lt;="&amp;TableWeeklySummary[[#This Row],[Hasta]])</f>
        <v>0</v>
      </c>
      <c r="M435" s="12">
        <f ca="1">SUMIFS(TableDailySummary[Online Store_orders],TableDailySummary[Fecha],"&gt;="&amp;TableWeeklySummary[[#This Row],[Desde]],TableDailySummary[Fecha],"&lt;="&amp;TableWeeklySummary[[#This Row],[Hasta]])</f>
        <v>0</v>
      </c>
      <c r="N435" s="12">
        <f ca="1">SUMIFS(TableDailySummary[Tienda 81_net_sales],TableDailySummary[Fecha],"&gt;="&amp;TableWeeklySummary[[#This Row],[Desde]],TableDailySummary[Fecha],"&lt;="&amp;TableWeeklySummary[[#This Row],[Hasta]])</f>
        <v>0</v>
      </c>
      <c r="O435" s="12">
        <f ca="1">SUMIFS(TableDailySummary[Tienda 81_orders],TableDailySummary[Fecha],"&gt;="&amp;TableWeeklySummary[[#This Row],[Desde]],TableDailySummary[Fecha],"&lt;="&amp;TableWeeklySummary[[#This Row],[Hasta]])</f>
        <v>0</v>
      </c>
      <c r="P435" s="12">
        <f ca="1">SUMIFS(TableDailySummary[Rappi_net_sales],TableDailySummary[Fecha],"&gt;="&amp;TableWeeklySummary[[#This Row],[Desde]],TableDailySummary[Fecha],"&lt;="&amp;TableWeeklySummary[[#This Row],[Hasta]])</f>
        <v>0</v>
      </c>
      <c r="Q435" s="12">
        <f ca="1">SUMIFS(TableDailySummary[Rappi_orders],TableDailySummary[Fecha],"&gt;="&amp;TableWeeklySummary[[#This Row],[Desde]],TableDailySummary[Fecha],"&lt;="&amp;TableWeeklySummary[[#This Row],[Hasta]])</f>
        <v>0</v>
      </c>
      <c r="R43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3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35" s="12">
        <f ca="1">SUMIFS(TableDailySummary[Inversión google ads],TableDailySummary[Fecha],"&gt;="&amp;TableWeeklySummary[[#This Row],[Desde]],TableDailySummary[Fecha],"&lt;="&amp;TableWeeklySummary[[#This Row],[Hasta]])</f>
        <v>0</v>
      </c>
      <c r="U435" s="12">
        <f ca="1">SUMIFS(TableDailySummary[Ventas google ads],TableDailySummary[Fecha],"&gt;="&amp;TableWeeklySummary[[#This Row],[Desde]],TableDailySummary[Fecha],"&lt;="&amp;TableWeeklySummary[[#This Row],[Hasta]])</f>
        <v>0</v>
      </c>
      <c r="V435" s="12">
        <f ca="1">SUMIFS(TableDailySummary[Inversión meta ads],TableDailySummary[Fecha],"&gt;="&amp;TableWeeklySummary[[#This Row],[Desde]],TableDailySummary[Fecha],"&lt;="&amp;TableWeeklySummary[[#This Row],[Hasta]])</f>
        <v>0</v>
      </c>
      <c r="W435" s="12">
        <f ca="1">SUMIFS(TableDailySummary[Ventas meta ads],TableDailySummary[Fecha],"&gt;="&amp;TableWeeklySummary[[#This Row],[Desde]],TableDailySummary[Fecha],"&lt;="&amp;TableWeeklySummary[[#This Row],[Hasta]])</f>
        <v>0</v>
      </c>
      <c r="X435" s="12">
        <f ca="1">TableWeeklySummary[[#This Row],[Inversión google ads]]+TableWeeklySummary[[#This Row],[Inversión meta ads]]</f>
        <v>0</v>
      </c>
      <c r="Y435" s="12">
        <f ca="1">TableWeeklySummary[[#This Row],[Ventas google ads]]+TableWeeklySummary[[#This Row],[Ventas meta ads]]</f>
        <v>0</v>
      </c>
      <c r="Z435" s="14">
        <f ca="1">IFERROR(TableWeeklySummary[[#This Row],[Ventas publicidad]]/TableWeeklySummary[[#This Row],[Inversión publicidad]],0)</f>
        <v>0</v>
      </c>
      <c r="AA435" s="14">
        <f ca="1">IFERROR(TableWeeklySummary[[#This Row],[Ventas primer cliente]]/TableWeeklySummary[[#This Row],[Inversión publicidad]],0)</f>
        <v>0</v>
      </c>
      <c r="AB435" s="14"/>
      <c r="AC435" s="12"/>
      <c r="AI43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3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35" s="12">
        <f ca="1">SUMIFS(TableDailySummary[Utilidad bruta],TableDailySummary[Fecha],"&gt;="&amp;TableWeeklySummary[[#This Row],[Desde]],TableDailySummary[Fecha],"&lt;="&amp;TableWeeklySummary[[#This Row],[Hasta]])</f>
        <v>0</v>
      </c>
      <c r="AL435" s="18">
        <f ca="1">IFERROR(TableWeeklySummary[[#This Row],[Utilidad bruta]]/TableWeeklySummary[[#This Row],[Ventas netas con costo registrado]],0)</f>
        <v>0</v>
      </c>
    </row>
    <row r="436" spans="2:38" x14ac:dyDescent="0.2">
      <c r="B436" s="16">
        <f ca="1">_xlfn.ISOWEEKNUM(TableWeeklySummary[[#This Row],[Hasta]])</f>
        <v>4</v>
      </c>
      <c r="C436" s="6">
        <f t="shared" ca="1" si="8"/>
        <v>48964</v>
      </c>
      <c r="D436" s="6">
        <f ca="1">TableWeeklySummary[[#This Row],[Desde]]+7-1</f>
        <v>48970</v>
      </c>
      <c r="E436" s="12">
        <f ca="1">SUMIFS(TableDailySummary[Ventas netas totales],TableDailySummary[Fecha],"&gt;="&amp;TableWeeklySummary[[#This Row],[Desde]],TableDailySummary[Fecha],"&lt;="&amp;TableWeeklySummary[[#This Row],[Hasta]])</f>
        <v>0</v>
      </c>
      <c r="F436" s="12">
        <f ca="1">SUMIFS(TableDailySummary[Órdenes totales],TableDailySummary[Fecha],"&gt;="&amp;TableWeeklySummary[[#This Row],[Desde]],TableDailySummary[Fecha],"&lt;="&amp;TableWeeklySummary[[#This Row],[Hasta]])</f>
        <v>0</v>
      </c>
      <c r="G436" s="12">
        <f ca="1">IFERROR(TableWeeklySummary[[#This Row],[Ventas netas totales]]/TableWeeklySummary[[#This Row],[Órdenes totales]],0)</f>
        <v>0</v>
      </c>
      <c r="H43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36" s="12">
        <f ca="1">TableWeeklySummary[[#This Row],[Órden promedio totales]]*TableWeeklySummary[[#This Row],[CR totales]]</f>
        <v>0</v>
      </c>
      <c r="J436" s="12">
        <f ca="1">SUMIFS(TableDailySummary[Ventas primer cliente],TableDailySummary[Fecha],"&gt;="&amp;TableWeeklySummary[[#This Row],[Desde]],TableDailySummary[Fecha],"&lt;="&amp;TableWeeklySummary[[#This Row],[Hasta]])</f>
        <v>0</v>
      </c>
      <c r="K436" s="12">
        <f ca="1">SUMIFS(TableDailySummary[Órdenes primer cliente],TableDailySummary[Fecha],"&gt;="&amp;TableWeeklySummary[[#This Row],[Desde]],TableDailySummary[Fecha],"&lt;="&amp;TableWeeklySummary[[#This Row],[Hasta]])</f>
        <v>0</v>
      </c>
      <c r="L436" s="12">
        <f ca="1">SUMIFS(TableDailySummary[Online Store_net_sales],TableDailySummary[Fecha],"&gt;="&amp;TableWeeklySummary[[#This Row],[Desde]],TableDailySummary[Fecha],"&lt;="&amp;TableWeeklySummary[[#This Row],[Hasta]])</f>
        <v>0</v>
      </c>
      <c r="M436" s="12">
        <f ca="1">SUMIFS(TableDailySummary[Online Store_orders],TableDailySummary[Fecha],"&gt;="&amp;TableWeeklySummary[[#This Row],[Desde]],TableDailySummary[Fecha],"&lt;="&amp;TableWeeklySummary[[#This Row],[Hasta]])</f>
        <v>0</v>
      </c>
      <c r="N436" s="12">
        <f ca="1">SUMIFS(TableDailySummary[Tienda 81_net_sales],TableDailySummary[Fecha],"&gt;="&amp;TableWeeklySummary[[#This Row],[Desde]],TableDailySummary[Fecha],"&lt;="&amp;TableWeeklySummary[[#This Row],[Hasta]])</f>
        <v>0</v>
      </c>
      <c r="O436" s="12">
        <f ca="1">SUMIFS(TableDailySummary[Tienda 81_orders],TableDailySummary[Fecha],"&gt;="&amp;TableWeeklySummary[[#This Row],[Desde]],TableDailySummary[Fecha],"&lt;="&amp;TableWeeklySummary[[#This Row],[Hasta]])</f>
        <v>0</v>
      </c>
      <c r="P436" s="12">
        <f ca="1">SUMIFS(TableDailySummary[Rappi_net_sales],TableDailySummary[Fecha],"&gt;="&amp;TableWeeklySummary[[#This Row],[Desde]],TableDailySummary[Fecha],"&lt;="&amp;TableWeeklySummary[[#This Row],[Hasta]])</f>
        <v>0</v>
      </c>
      <c r="Q436" s="12">
        <f ca="1">SUMIFS(TableDailySummary[Rappi_orders],TableDailySummary[Fecha],"&gt;="&amp;TableWeeklySummary[[#This Row],[Desde]],TableDailySummary[Fecha],"&lt;="&amp;TableWeeklySummary[[#This Row],[Hasta]])</f>
        <v>0</v>
      </c>
      <c r="R43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3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36" s="12">
        <f ca="1">SUMIFS(TableDailySummary[Inversión google ads],TableDailySummary[Fecha],"&gt;="&amp;TableWeeklySummary[[#This Row],[Desde]],TableDailySummary[Fecha],"&lt;="&amp;TableWeeklySummary[[#This Row],[Hasta]])</f>
        <v>0</v>
      </c>
      <c r="U436" s="12">
        <f ca="1">SUMIFS(TableDailySummary[Ventas google ads],TableDailySummary[Fecha],"&gt;="&amp;TableWeeklySummary[[#This Row],[Desde]],TableDailySummary[Fecha],"&lt;="&amp;TableWeeklySummary[[#This Row],[Hasta]])</f>
        <v>0</v>
      </c>
      <c r="V436" s="12">
        <f ca="1">SUMIFS(TableDailySummary[Inversión meta ads],TableDailySummary[Fecha],"&gt;="&amp;TableWeeklySummary[[#This Row],[Desde]],TableDailySummary[Fecha],"&lt;="&amp;TableWeeklySummary[[#This Row],[Hasta]])</f>
        <v>0</v>
      </c>
      <c r="W436" s="12">
        <f ca="1">SUMIFS(TableDailySummary[Ventas meta ads],TableDailySummary[Fecha],"&gt;="&amp;TableWeeklySummary[[#This Row],[Desde]],TableDailySummary[Fecha],"&lt;="&amp;TableWeeklySummary[[#This Row],[Hasta]])</f>
        <v>0</v>
      </c>
      <c r="X436" s="12">
        <f ca="1">TableWeeklySummary[[#This Row],[Inversión google ads]]+TableWeeklySummary[[#This Row],[Inversión meta ads]]</f>
        <v>0</v>
      </c>
      <c r="Y436" s="12">
        <f ca="1">TableWeeklySummary[[#This Row],[Ventas google ads]]+TableWeeklySummary[[#This Row],[Ventas meta ads]]</f>
        <v>0</v>
      </c>
      <c r="Z436" s="14">
        <f ca="1">IFERROR(TableWeeklySummary[[#This Row],[Ventas publicidad]]/TableWeeklySummary[[#This Row],[Inversión publicidad]],0)</f>
        <v>0</v>
      </c>
      <c r="AA436" s="14">
        <f ca="1">IFERROR(TableWeeklySummary[[#This Row],[Ventas primer cliente]]/TableWeeklySummary[[#This Row],[Inversión publicidad]],0)</f>
        <v>0</v>
      </c>
      <c r="AB436" s="14"/>
      <c r="AC436" s="12"/>
      <c r="AI43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3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36" s="12">
        <f ca="1">SUMIFS(TableDailySummary[Utilidad bruta],TableDailySummary[Fecha],"&gt;="&amp;TableWeeklySummary[[#This Row],[Desde]],TableDailySummary[Fecha],"&lt;="&amp;TableWeeklySummary[[#This Row],[Hasta]])</f>
        <v>0</v>
      </c>
      <c r="AL436" s="18">
        <f ca="1">IFERROR(TableWeeklySummary[[#This Row],[Utilidad bruta]]/TableWeeklySummary[[#This Row],[Ventas netas con costo registrado]],0)</f>
        <v>0</v>
      </c>
    </row>
    <row r="437" spans="2:38" x14ac:dyDescent="0.2">
      <c r="B437" s="16">
        <f ca="1">_xlfn.ISOWEEKNUM(TableWeeklySummary[[#This Row],[Hasta]])</f>
        <v>5</v>
      </c>
      <c r="C437" s="6">
        <f t="shared" ca="1" si="8"/>
        <v>48971</v>
      </c>
      <c r="D437" s="6">
        <f ca="1">TableWeeklySummary[[#This Row],[Desde]]+7-1</f>
        <v>48977</v>
      </c>
      <c r="E437" s="12">
        <f ca="1">SUMIFS(TableDailySummary[Ventas netas totales],TableDailySummary[Fecha],"&gt;="&amp;TableWeeklySummary[[#This Row],[Desde]],TableDailySummary[Fecha],"&lt;="&amp;TableWeeklySummary[[#This Row],[Hasta]])</f>
        <v>0</v>
      </c>
      <c r="F437" s="12">
        <f ca="1">SUMIFS(TableDailySummary[Órdenes totales],TableDailySummary[Fecha],"&gt;="&amp;TableWeeklySummary[[#This Row],[Desde]],TableDailySummary[Fecha],"&lt;="&amp;TableWeeklySummary[[#This Row],[Hasta]])</f>
        <v>0</v>
      </c>
      <c r="G437" s="12">
        <f ca="1">IFERROR(TableWeeklySummary[[#This Row],[Ventas netas totales]]/TableWeeklySummary[[#This Row],[Órdenes totales]],0)</f>
        <v>0</v>
      </c>
      <c r="H43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37" s="12">
        <f ca="1">TableWeeklySummary[[#This Row],[Órden promedio totales]]*TableWeeklySummary[[#This Row],[CR totales]]</f>
        <v>0</v>
      </c>
      <c r="J437" s="12">
        <f ca="1">SUMIFS(TableDailySummary[Ventas primer cliente],TableDailySummary[Fecha],"&gt;="&amp;TableWeeklySummary[[#This Row],[Desde]],TableDailySummary[Fecha],"&lt;="&amp;TableWeeklySummary[[#This Row],[Hasta]])</f>
        <v>0</v>
      </c>
      <c r="K437" s="12">
        <f ca="1">SUMIFS(TableDailySummary[Órdenes primer cliente],TableDailySummary[Fecha],"&gt;="&amp;TableWeeklySummary[[#This Row],[Desde]],TableDailySummary[Fecha],"&lt;="&amp;TableWeeklySummary[[#This Row],[Hasta]])</f>
        <v>0</v>
      </c>
      <c r="L437" s="12">
        <f ca="1">SUMIFS(TableDailySummary[Online Store_net_sales],TableDailySummary[Fecha],"&gt;="&amp;TableWeeklySummary[[#This Row],[Desde]],TableDailySummary[Fecha],"&lt;="&amp;TableWeeklySummary[[#This Row],[Hasta]])</f>
        <v>0</v>
      </c>
      <c r="M437" s="12">
        <f ca="1">SUMIFS(TableDailySummary[Online Store_orders],TableDailySummary[Fecha],"&gt;="&amp;TableWeeklySummary[[#This Row],[Desde]],TableDailySummary[Fecha],"&lt;="&amp;TableWeeklySummary[[#This Row],[Hasta]])</f>
        <v>0</v>
      </c>
      <c r="N437" s="12">
        <f ca="1">SUMIFS(TableDailySummary[Tienda 81_net_sales],TableDailySummary[Fecha],"&gt;="&amp;TableWeeklySummary[[#This Row],[Desde]],TableDailySummary[Fecha],"&lt;="&amp;TableWeeklySummary[[#This Row],[Hasta]])</f>
        <v>0</v>
      </c>
      <c r="O437" s="12">
        <f ca="1">SUMIFS(TableDailySummary[Tienda 81_orders],TableDailySummary[Fecha],"&gt;="&amp;TableWeeklySummary[[#This Row],[Desde]],TableDailySummary[Fecha],"&lt;="&amp;TableWeeklySummary[[#This Row],[Hasta]])</f>
        <v>0</v>
      </c>
      <c r="P437" s="12">
        <f ca="1">SUMIFS(TableDailySummary[Rappi_net_sales],TableDailySummary[Fecha],"&gt;="&amp;TableWeeklySummary[[#This Row],[Desde]],TableDailySummary[Fecha],"&lt;="&amp;TableWeeklySummary[[#This Row],[Hasta]])</f>
        <v>0</v>
      </c>
      <c r="Q437" s="12">
        <f ca="1">SUMIFS(TableDailySummary[Rappi_orders],TableDailySummary[Fecha],"&gt;="&amp;TableWeeklySummary[[#This Row],[Desde]],TableDailySummary[Fecha],"&lt;="&amp;TableWeeklySummary[[#This Row],[Hasta]])</f>
        <v>0</v>
      </c>
      <c r="R43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3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37" s="12">
        <f ca="1">SUMIFS(TableDailySummary[Inversión google ads],TableDailySummary[Fecha],"&gt;="&amp;TableWeeklySummary[[#This Row],[Desde]],TableDailySummary[Fecha],"&lt;="&amp;TableWeeklySummary[[#This Row],[Hasta]])</f>
        <v>0</v>
      </c>
      <c r="U437" s="12">
        <f ca="1">SUMIFS(TableDailySummary[Ventas google ads],TableDailySummary[Fecha],"&gt;="&amp;TableWeeklySummary[[#This Row],[Desde]],TableDailySummary[Fecha],"&lt;="&amp;TableWeeklySummary[[#This Row],[Hasta]])</f>
        <v>0</v>
      </c>
      <c r="V437" s="12">
        <f ca="1">SUMIFS(TableDailySummary[Inversión meta ads],TableDailySummary[Fecha],"&gt;="&amp;TableWeeklySummary[[#This Row],[Desde]],TableDailySummary[Fecha],"&lt;="&amp;TableWeeklySummary[[#This Row],[Hasta]])</f>
        <v>0</v>
      </c>
      <c r="W437" s="12">
        <f ca="1">SUMIFS(TableDailySummary[Ventas meta ads],TableDailySummary[Fecha],"&gt;="&amp;TableWeeklySummary[[#This Row],[Desde]],TableDailySummary[Fecha],"&lt;="&amp;TableWeeklySummary[[#This Row],[Hasta]])</f>
        <v>0</v>
      </c>
      <c r="X437" s="12">
        <f ca="1">TableWeeklySummary[[#This Row],[Inversión google ads]]+TableWeeklySummary[[#This Row],[Inversión meta ads]]</f>
        <v>0</v>
      </c>
      <c r="Y437" s="12">
        <f ca="1">TableWeeklySummary[[#This Row],[Ventas google ads]]+TableWeeklySummary[[#This Row],[Ventas meta ads]]</f>
        <v>0</v>
      </c>
      <c r="Z437" s="14">
        <f ca="1">IFERROR(TableWeeklySummary[[#This Row],[Ventas publicidad]]/TableWeeklySummary[[#This Row],[Inversión publicidad]],0)</f>
        <v>0</v>
      </c>
      <c r="AA437" s="14">
        <f ca="1">IFERROR(TableWeeklySummary[[#This Row],[Ventas primer cliente]]/TableWeeklySummary[[#This Row],[Inversión publicidad]],0)</f>
        <v>0</v>
      </c>
      <c r="AB437" s="14"/>
      <c r="AC437" s="12"/>
      <c r="AI43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3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37" s="12">
        <f ca="1">SUMIFS(TableDailySummary[Utilidad bruta],TableDailySummary[Fecha],"&gt;="&amp;TableWeeklySummary[[#This Row],[Desde]],TableDailySummary[Fecha],"&lt;="&amp;TableWeeklySummary[[#This Row],[Hasta]])</f>
        <v>0</v>
      </c>
      <c r="AL437" s="18">
        <f ca="1">IFERROR(TableWeeklySummary[[#This Row],[Utilidad bruta]]/TableWeeklySummary[[#This Row],[Ventas netas con costo registrado]],0)</f>
        <v>0</v>
      </c>
    </row>
    <row r="438" spans="2:38" x14ac:dyDescent="0.2">
      <c r="B438" s="16">
        <f ca="1">_xlfn.ISOWEEKNUM(TableWeeklySummary[[#This Row],[Hasta]])</f>
        <v>6</v>
      </c>
      <c r="C438" s="6">
        <f t="shared" ca="1" si="8"/>
        <v>48978</v>
      </c>
      <c r="D438" s="6">
        <f ca="1">TableWeeklySummary[[#This Row],[Desde]]+7-1</f>
        <v>48984</v>
      </c>
      <c r="E438" s="12">
        <f ca="1">SUMIFS(TableDailySummary[Ventas netas totales],TableDailySummary[Fecha],"&gt;="&amp;TableWeeklySummary[[#This Row],[Desde]],TableDailySummary[Fecha],"&lt;="&amp;TableWeeklySummary[[#This Row],[Hasta]])</f>
        <v>0</v>
      </c>
      <c r="F438" s="12">
        <f ca="1">SUMIFS(TableDailySummary[Órdenes totales],TableDailySummary[Fecha],"&gt;="&amp;TableWeeklySummary[[#This Row],[Desde]],TableDailySummary[Fecha],"&lt;="&amp;TableWeeklySummary[[#This Row],[Hasta]])</f>
        <v>0</v>
      </c>
      <c r="G438" s="12">
        <f ca="1">IFERROR(TableWeeklySummary[[#This Row],[Ventas netas totales]]/TableWeeklySummary[[#This Row],[Órdenes totales]],0)</f>
        <v>0</v>
      </c>
      <c r="H43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38" s="12">
        <f ca="1">TableWeeklySummary[[#This Row],[Órden promedio totales]]*TableWeeklySummary[[#This Row],[CR totales]]</f>
        <v>0</v>
      </c>
      <c r="J438" s="12">
        <f ca="1">SUMIFS(TableDailySummary[Ventas primer cliente],TableDailySummary[Fecha],"&gt;="&amp;TableWeeklySummary[[#This Row],[Desde]],TableDailySummary[Fecha],"&lt;="&amp;TableWeeklySummary[[#This Row],[Hasta]])</f>
        <v>0</v>
      </c>
      <c r="K438" s="12">
        <f ca="1">SUMIFS(TableDailySummary[Órdenes primer cliente],TableDailySummary[Fecha],"&gt;="&amp;TableWeeklySummary[[#This Row],[Desde]],TableDailySummary[Fecha],"&lt;="&amp;TableWeeklySummary[[#This Row],[Hasta]])</f>
        <v>0</v>
      </c>
      <c r="L438" s="12">
        <f ca="1">SUMIFS(TableDailySummary[Online Store_net_sales],TableDailySummary[Fecha],"&gt;="&amp;TableWeeklySummary[[#This Row],[Desde]],TableDailySummary[Fecha],"&lt;="&amp;TableWeeklySummary[[#This Row],[Hasta]])</f>
        <v>0</v>
      </c>
      <c r="M438" s="12">
        <f ca="1">SUMIFS(TableDailySummary[Online Store_orders],TableDailySummary[Fecha],"&gt;="&amp;TableWeeklySummary[[#This Row],[Desde]],TableDailySummary[Fecha],"&lt;="&amp;TableWeeklySummary[[#This Row],[Hasta]])</f>
        <v>0</v>
      </c>
      <c r="N438" s="12">
        <f ca="1">SUMIFS(TableDailySummary[Tienda 81_net_sales],TableDailySummary[Fecha],"&gt;="&amp;TableWeeklySummary[[#This Row],[Desde]],TableDailySummary[Fecha],"&lt;="&amp;TableWeeklySummary[[#This Row],[Hasta]])</f>
        <v>0</v>
      </c>
      <c r="O438" s="12">
        <f ca="1">SUMIFS(TableDailySummary[Tienda 81_orders],TableDailySummary[Fecha],"&gt;="&amp;TableWeeklySummary[[#This Row],[Desde]],TableDailySummary[Fecha],"&lt;="&amp;TableWeeklySummary[[#This Row],[Hasta]])</f>
        <v>0</v>
      </c>
      <c r="P438" s="12">
        <f ca="1">SUMIFS(TableDailySummary[Rappi_net_sales],TableDailySummary[Fecha],"&gt;="&amp;TableWeeklySummary[[#This Row],[Desde]],TableDailySummary[Fecha],"&lt;="&amp;TableWeeklySummary[[#This Row],[Hasta]])</f>
        <v>0</v>
      </c>
      <c r="Q438" s="12">
        <f ca="1">SUMIFS(TableDailySummary[Rappi_orders],TableDailySummary[Fecha],"&gt;="&amp;TableWeeklySummary[[#This Row],[Desde]],TableDailySummary[Fecha],"&lt;="&amp;TableWeeklySummary[[#This Row],[Hasta]])</f>
        <v>0</v>
      </c>
      <c r="R43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3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38" s="12">
        <f ca="1">SUMIFS(TableDailySummary[Inversión google ads],TableDailySummary[Fecha],"&gt;="&amp;TableWeeklySummary[[#This Row],[Desde]],TableDailySummary[Fecha],"&lt;="&amp;TableWeeklySummary[[#This Row],[Hasta]])</f>
        <v>0</v>
      </c>
      <c r="U438" s="12">
        <f ca="1">SUMIFS(TableDailySummary[Ventas google ads],TableDailySummary[Fecha],"&gt;="&amp;TableWeeklySummary[[#This Row],[Desde]],TableDailySummary[Fecha],"&lt;="&amp;TableWeeklySummary[[#This Row],[Hasta]])</f>
        <v>0</v>
      </c>
      <c r="V438" s="12">
        <f ca="1">SUMIFS(TableDailySummary[Inversión meta ads],TableDailySummary[Fecha],"&gt;="&amp;TableWeeklySummary[[#This Row],[Desde]],TableDailySummary[Fecha],"&lt;="&amp;TableWeeklySummary[[#This Row],[Hasta]])</f>
        <v>0</v>
      </c>
      <c r="W438" s="12">
        <f ca="1">SUMIFS(TableDailySummary[Ventas meta ads],TableDailySummary[Fecha],"&gt;="&amp;TableWeeklySummary[[#This Row],[Desde]],TableDailySummary[Fecha],"&lt;="&amp;TableWeeklySummary[[#This Row],[Hasta]])</f>
        <v>0</v>
      </c>
      <c r="X438" s="12">
        <f ca="1">TableWeeklySummary[[#This Row],[Inversión google ads]]+TableWeeklySummary[[#This Row],[Inversión meta ads]]</f>
        <v>0</v>
      </c>
      <c r="Y438" s="12">
        <f ca="1">TableWeeklySummary[[#This Row],[Ventas google ads]]+TableWeeklySummary[[#This Row],[Ventas meta ads]]</f>
        <v>0</v>
      </c>
      <c r="Z438" s="14">
        <f ca="1">IFERROR(TableWeeklySummary[[#This Row],[Ventas publicidad]]/TableWeeklySummary[[#This Row],[Inversión publicidad]],0)</f>
        <v>0</v>
      </c>
      <c r="AA438" s="14">
        <f ca="1">IFERROR(TableWeeklySummary[[#This Row],[Ventas primer cliente]]/TableWeeklySummary[[#This Row],[Inversión publicidad]],0)</f>
        <v>0</v>
      </c>
      <c r="AB438" s="14"/>
      <c r="AC438" s="12"/>
      <c r="AI43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3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38" s="12">
        <f ca="1">SUMIFS(TableDailySummary[Utilidad bruta],TableDailySummary[Fecha],"&gt;="&amp;TableWeeklySummary[[#This Row],[Desde]],TableDailySummary[Fecha],"&lt;="&amp;TableWeeklySummary[[#This Row],[Hasta]])</f>
        <v>0</v>
      </c>
      <c r="AL438" s="18">
        <f ca="1">IFERROR(TableWeeklySummary[[#This Row],[Utilidad bruta]]/TableWeeklySummary[[#This Row],[Ventas netas con costo registrado]],0)</f>
        <v>0</v>
      </c>
    </row>
    <row r="439" spans="2:38" x14ac:dyDescent="0.2">
      <c r="B439" s="16">
        <f ca="1">_xlfn.ISOWEEKNUM(TableWeeklySummary[[#This Row],[Hasta]])</f>
        <v>7</v>
      </c>
      <c r="C439" s="6">
        <f t="shared" ca="1" si="8"/>
        <v>48985</v>
      </c>
      <c r="D439" s="6">
        <f ca="1">TableWeeklySummary[[#This Row],[Desde]]+7-1</f>
        <v>48991</v>
      </c>
      <c r="E439" s="12">
        <f ca="1">SUMIFS(TableDailySummary[Ventas netas totales],TableDailySummary[Fecha],"&gt;="&amp;TableWeeklySummary[[#This Row],[Desde]],TableDailySummary[Fecha],"&lt;="&amp;TableWeeklySummary[[#This Row],[Hasta]])</f>
        <v>0</v>
      </c>
      <c r="F439" s="12">
        <f ca="1">SUMIFS(TableDailySummary[Órdenes totales],TableDailySummary[Fecha],"&gt;="&amp;TableWeeklySummary[[#This Row],[Desde]],TableDailySummary[Fecha],"&lt;="&amp;TableWeeklySummary[[#This Row],[Hasta]])</f>
        <v>0</v>
      </c>
      <c r="G439" s="12">
        <f ca="1">IFERROR(TableWeeklySummary[[#This Row],[Ventas netas totales]]/TableWeeklySummary[[#This Row],[Órdenes totales]],0)</f>
        <v>0</v>
      </c>
      <c r="H43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39" s="12">
        <f ca="1">TableWeeklySummary[[#This Row],[Órden promedio totales]]*TableWeeklySummary[[#This Row],[CR totales]]</f>
        <v>0</v>
      </c>
      <c r="J439" s="12">
        <f ca="1">SUMIFS(TableDailySummary[Ventas primer cliente],TableDailySummary[Fecha],"&gt;="&amp;TableWeeklySummary[[#This Row],[Desde]],TableDailySummary[Fecha],"&lt;="&amp;TableWeeklySummary[[#This Row],[Hasta]])</f>
        <v>0</v>
      </c>
      <c r="K439" s="12">
        <f ca="1">SUMIFS(TableDailySummary[Órdenes primer cliente],TableDailySummary[Fecha],"&gt;="&amp;TableWeeklySummary[[#This Row],[Desde]],TableDailySummary[Fecha],"&lt;="&amp;TableWeeklySummary[[#This Row],[Hasta]])</f>
        <v>0</v>
      </c>
      <c r="L439" s="12">
        <f ca="1">SUMIFS(TableDailySummary[Online Store_net_sales],TableDailySummary[Fecha],"&gt;="&amp;TableWeeklySummary[[#This Row],[Desde]],TableDailySummary[Fecha],"&lt;="&amp;TableWeeklySummary[[#This Row],[Hasta]])</f>
        <v>0</v>
      </c>
      <c r="M439" s="12">
        <f ca="1">SUMIFS(TableDailySummary[Online Store_orders],TableDailySummary[Fecha],"&gt;="&amp;TableWeeklySummary[[#This Row],[Desde]],TableDailySummary[Fecha],"&lt;="&amp;TableWeeklySummary[[#This Row],[Hasta]])</f>
        <v>0</v>
      </c>
      <c r="N439" s="12">
        <f ca="1">SUMIFS(TableDailySummary[Tienda 81_net_sales],TableDailySummary[Fecha],"&gt;="&amp;TableWeeklySummary[[#This Row],[Desde]],TableDailySummary[Fecha],"&lt;="&amp;TableWeeklySummary[[#This Row],[Hasta]])</f>
        <v>0</v>
      </c>
      <c r="O439" s="12">
        <f ca="1">SUMIFS(TableDailySummary[Tienda 81_orders],TableDailySummary[Fecha],"&gt;="&amp;TableWeeklySummary[[#This Row],[Desde]],TableDailySummary[Fecha],"&lt;="&amp;TableWeeklySummary[[#This Row],[Hasta]])</f>
        <v>0</v>
      </c>
      <c r="P439" s="12">
        <f ca="1">SUMIFS(TableDailySummary[Rappi_net_sales],TableDailySummary[Fecha],"&gt;="&amp;TableWeeklySummary[[#This Row],[Desde]],TableDailySummary[Fecha],"&lt;="&amp;TableWeeklySummary[[#This Row],[Hasta]])</f>
        <v>0</v>
      </c>
      <c r="Q439" s="12">
        <f ca="1">SUMIFS(TableDailySummary[Rappi_orders],TableDailySummary[Fecha],"&gt;="&amp;TableWeeklySummary[[#This Row],[Desde]],TableDailySummary[Fecha],"&lt;="&amp;TableWeeklySummary[[#This Row],[Hasta]])</f>
        <v>0</v>
      </c>
      <c r="R43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3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39" s="12">
        <f ca="1">SUMIFS(TableDailySummary[Inversión google ads],TableDailySummary[Fecha],"&gt;="&amp;TableWeeklySummary[[#This Row],[Desde]],TableDailySummary[Fecha],"&lt;="&amp;TableWeeklySummary[[#This Row],[Hasta]])</f>
        <v>0</v>
      </c>
      <c r="U439" s="12">
        <f ca="1">SUMIFS(TableDailySummary[Ventas google ads],TableDailySummary[Fecha],"&gt;="&amp;TableWeeklySummary[[#This Row],[Desde]],TableDailySummary[Fecha],"&lt;="&amp;TableWeeklySummary[[#This Row],[Hasta]])</f>
        <v>0</v>
      </c>
      <c r="V439" s="12">
        <f ca="1">SUMIFS(TableDailySummary[Inversión meta ads],TableDailySummary[Fecha],"&gt;="&amp;TableWeeklySummary[[#This Row],[Desde]],TableDailySummary[Fecha],"&lt;="&amp;TableWeeklySummary[[#This Row],[Hasta]])</f>
        <v>0</v>
      </c>
      <c r="W439" s="12">
        <f ca="1">SUMIFS(TableDailySummary[Ventas meta ads],TableDailySummary[Fecha],"&gt;="&amp;TableWeeklySummary[[#This Row],[Desde]],TableDailySummary[Fecha],"&lt;="&amp;TableWeeklySummary[[#This Row],[Hasta]])</f>
        <v>0</v>
      </c>
      <c r="X439" s="12">
        <f ca="1">TableWeeklySummary[[#This Row],[Inversión google ads]]+TableWeeklySummary[[#This Row],[Inversión meta ads]]</f>
        <v>0</v>
      </c>
      <c r="Y439" s="12">
        <f ca="1">TableWeeklySummary[[#This Row],[Ventas google ads]]+TableWeeklySummary[[#This Row],[Ventas meta ads]]</f>
        <v>0</v>
      </c>
      <c r="Z439" s="14">
        <f ca="1">IFERROR(TableWeeklySummary[[#This Row],[Ventas publicidad]]/TableWeeklySummary[[#This Row],[Inversión publicidad]],0)</f>
        <v>0</v>
      </c>
      <c r="AA439" s="14">
        <f ca="1">IFERROR(TableWeeklySummary[[#This Row],[Ventas primer cliente]]/TableWeeklySummary[[#This Row],[Inversión publicidad]],0)</f>
        <v>0</v>
      </c>
      <c r="AB439" s="14"/>
      <c r="AC439" s="12"/>
      <c r="AI43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3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39" s="12">
        <f ca="1">SUMIFS(TableDailySummary[Utilidad bruta],TableDailySummary[Fecha],"&gt;="&amp;TableWeeklySummary[[#This Row],[Desde]],TableDailySummary[Fecha],"&lt;="&amp;TableWeeklySummary[[#This Row],[Hasta]])</f>
        <v>0</v>
      </c>
      <c r="AL439" s="18">
        <f ca="1">IFERROR(TableWeeklySummary[[#This Row],[Utilidad bruta]]/TableWeeklySummary[[#This Row],[Ventas netas con costo registrado]],0)</f>
        <v>0</v>
      </c>
    </row>
    <row r="440" spans="2:38" x14ac:dyDescent="0.2">
      <c r="B440" s="16">
        <f ca="1">_xlfn.ISOWEEKNUM(TableWeeklySummary[[#This Row],[Hasta]])</f>
        <v>8</v>
      </c>
      <c r="C440" s="6">
        <f t="shared" ca="1" si="8"/>
        <v>48992</v>
      </c>
      <c r="D440" s="6">
        <f ca="1">TableWeeklySummary[[#This Row],[Desde]]+7-1</f>
        <v>48998</v>
      </c>
      <c r="E440" s="12">
        <f ca="1">SUMIFS(TableDailySummary[Ventas netas totales],TableDailySummary[Fecha],"&gt;="&amp;TableWeeklySummary[[#This Row],[Desde]],TableDailySummary[Fecha],"&lt;="&amp;TableWeeklySummary[[#This Row],[Hasta]])</f>
        <v>0</v>
      </c>
      <c r="F440" s="12">
        <f ca="1">SUMIFS(TableDailySummary[Órdenes totales],TableDailySummary[Fecha],"&gt;="&amp;TableWeeklySummary[[#This Row],[Desde]],TableDailySummary[Fecha],"&lt;="&amp;TableWeeklySummary[[#This Row],[Hasta]])</f>
        <v>0</v>
      </c>
      <c r="G440" s="12">
        <f ca="1">IFERROR(TableWeeklySummary[[#This Row],[Ventas netas totales]]/TableWeeklySummary[[#This Row],[Órdenes totales]],0)</f>
        <v>0</v>
      </c>
      <c r="H44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40" s="12">
        <f ca="1">TableWeeklySummary[[#This Row],[Órden promedio totales]]*TableWeeklySummary[[#This Row],[CR totales]]</f>
        <v>0</v>
      </c>
      <c r="J440" s="12">
        <f ca="1">SUMIFS(TableDailySummary[Ventas primer cliente],TableDailySummary[Fecha],"&gt;="&amp;TableWeeklySummary[[#This Row],[Desde]],TableDailySummary[Fecha],"&lt;="&amp;TableWeeklySummary[[#This Row],[Hasta]])</f>
        <v>0</v>
      </c>
      <c r="K440" s="12">
        <f ca="1">SUMIFS(TableDailySummary[Órdenes primer cliente],TableDailySummary[Fecha],"&gt;="&amp;TableWeeklySummary[[#This Row],[Desde]],TableDailySummary[Fecha],"&lt;="&amp;TableWeeklySummary[[#This Row],[Hasta]])</f>
        <v>0</v>
      </c>
      <c r="L440" s="12">
        <f ca="1">SUMIFS(TableDailySummary[Online Store_net_sales],TableDailySummary[Fecha],"&gt;="&amp;TableWeeklySummary[[#This Row],[Desde]],TableDailySummary[Fecha],"&lt;="&amp;TableWeeklySummary[[#This Row],[Hasta]])</f>
        <v>0</v>
      </c>
      <c r="M440" s="12">
        <f ca="1">SUMIFS(TableDailySummary[Online Store_orders],TableDailySummary[Fecha],"&gt;="&amp;TableWeeklySummary[[#This Row],[Desde]],TableDailySummary[Fecha],"&lt;="&amp;TableWeeklySummary[[#This Row],[Hasta]])</f>
        <v>0</v>
      </c>
      <c r="N440" s="12">
        <f ca="1">SUMIFS(TableDailySummary[Tienda 81_net_sales],TableDailySummary[Fecha],"&gt;="&amp;TableWeeklySummary[[#This Row],[Desde]],TableDailySummary[Fecha],"&lt;="&amp;TableWeeklySummary[[#This Row],[Hasta]])</f>
        <v>0</v>
      </c>
      <c r="O440" s="12">
        <f ca="1">SUMIFS(TableDailySummary[Tienda 81_orders],TableDailySummary[Fecha],"&gt;="&amp;TableWeeklySummary[[#This Row],[Desde]],TableDailySummary[Fecha],"&lt;="&amp;TableWeeklySummary[[#This Row],[Hasta]])</f>
        <v>0</v>
      </c>
      <c r="P440" s="12">
        <f ca="1">SUMIFS(TableDailySummary[Rappi_net_sales],TableDailySummary[Fecha],"&gt;="&amp;TableWeeklySummary[[#This Row],[Desde]],TableDailySummary[Fecha],"&lt;="&amp;TableWeeklySummary[[#This Row],[Hasta]])</f>
        <v>0</v>
      </c>
      <c r="Q440" s="12">
        <f ca="1">SUMIFS(TableDailySummary[Rappi_orders],TableDailySummary[Fecha],"&gt;="&amp;TableWeeklySummary[[#This Row],[Desde]],TableDailySummary[Fecha],"&lt;="&amp;TableWeeklySummary[[#This Row],[Hasta]])</f>
        <v>0</v>
      </c>
      <c r="R44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4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40" s="12">
        <f ca="1">SUMIFS(TableDailySummary[Inversión google ads],TableDailySummary[Fecha],"&gt;="&amp;TableWeeklySummary[[#This Row],[Desde]],TableDailySummary[Fecha],"&lt;="&amp;TableWeeklySummary[[#This Row],[Hasta]])</f>
        <v>0</v>
      </c>
      <c r="U440" s="12">
        <f ca="1">SUMIFS(TableDailySummary[Ventas google ads],TableDailySummary[Fecha],"&gt;="&amp;TableWeeklySummary[[#This Row],[Desde]],TableDailySummary[Fecha],"&lt;="&amp;TableWeeklySummary[[#This Row],[Hasta]])</f>
        <v>0</v>
      </c>
      <c r="V440" s="12">
        <f ca="1">SUMIFS(TableDailySummary[Inversión meta ads],TableDailySummary[Fecha],"&gt;="&amp;TableWeeklySummary[[#This Row],[Desde]],TableDailySummary[Fecha],"&lt;="&amp;TableWeeklySummary[[#This Row],[Hasta]])</f>
        <v>0</v>
      </c>
      <c r="W440" s="12">
        <f ca="1">SUMIFS(TableDailySummary[Ventas meta ads],TableDailySummary[Fecha],"&gt;="&amp;TableWeeklySummary[[#This Row],[Desde]],TableDailySummary[Fecha],"&lt;="&amp;TableWeeklySummary[[#This Row],[Hasta]])</f>
        <v>0</v>
      </c>
      <c r="X440" s="12">
        <f ca="1">TableWeeklySummary[[#This Row],[Inversión google ads]]+TableWeeklySummary[[#This Row],[Inversión meta ads]]</f>
        <v>0</v>
      </c>
      <c r="Y440" s="12">
        <f ca="1">TableWeeklySummary[[#This Row],[Ventas google ads]]+TableWeeklySummary[[#This Row],[Ventas meta ads]]</f>
        <v>0</v>
      </c>
      <c r="Z440" s="14">
        <f ca="1">IFERROR(TableWeeklySummary[[#This Row],[Ventas publicidad]]/TableWeeklySummary[[#This Row],[Inversión publicidad]],0)</f>
        <v>0</v>
      </c>
      <c r="AA440" s="14">
        <f ca="1">IFERROR(TableWeeklySummary[[#This Row],[Ventas primer cliente]]/TableWeeklySummary[[#This Row],[Inversión publicidad]],0)</f>
        <v>0</v>
      </c>
      <c r="AB440" s="14"/>
      <c r="AC440" s="12"/>
      <c r="AI44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4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40" s="12">
        <f ca="1">SUMIFS(TableDailySummary[Utilidad bruta],TableDailySummary[Fecha],"&gt;="&amp;TableWeeklySummary[[#This Row],[Desde]],TableDailySummary[Fecha],"&lt;="&amp;TableWeeklySummary[[#This Row],[Hasta]])</f>
        <v>0</v>
      </c>
      <c r="AL440" s="18">
        <f ca="1">IFERROR(TableWeeklySummary[[#This Row],[Utilidad bruta]]/TableWeeklySummary[[#This Row],[Ventas netas con costo registrado]],0)</f>
        <v>0</v>
      </c>
    </row>
    <row r="441" spans="2:38" x14ac:dyDescent="0.2">
      <c r="B441" s="16">
        <f ca="1">_xlfn.ISOWEEKNUM(TableWeeklySummary[[#This Row],[Hasta]])</f>
        <v>9</v>
      </c>
      <c r="C441" s="6">
        <f t="shared" ca="1" si="8"/>
        <v>48999</v>
      </c>
      <c r="D441" s="6">
        <f ca="1">TableWeeklySummary[[#This Row],[Desde]]+7-1</f>
        <v>49005</v>
      </c>
      <c r="E441" s="12">
        <f ca="1">SUMIFS(TableDailySummary[Ventas netas totales],TableDailySummary[Fecha],"&gt;="&amp;TableWeeklySummary[[#This Row],[Desde]],TableDailySummary[Fecha],"&lt;="&amp;TableWeeklySummary[[#This Row],[Hasta]])</f>
        <v>0</v>
      </c>
      <c r="F441" s="12">
        <f ca="1">SUMIFS(TableDailySummary[Órdenes totales],TableDailySummary[Fecha],"&gt;="&amp;TableWeeklySummary[[#This Row],[Desde]],TableDailySummary[Fecha],"&lt;="&amp;TableWeeklySummary[[#This Row],[Hasta]])</f>
        <v>0</v>
      </c>
      <c r="G441" s="12">
        <f ca="1">IFERROR(TableWeeklySummary[[#This Row],[Ventas netas totales]]/TableWeeklySummary[[#This Row],[Órdenes totales]],0)</f>
        <v>0</v>
      </c>
      <c r="H44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41" s="12">
        <f ca="1">TableWeeklySummary[[#This Row],[Órden promedio totales]]*TableWeeklySummary[[#This Row],[CR totales]]</f>
        <v>0</v>
      </c>
      <c r="J441" s="12">
        <f ca="1">SUMIFS(TableDailySummary[Ventas primer cliente],TableDailySummary[Fecha],"&gt;="&amp;TableWeeklySummary[[#This Row],[Desde]],TableDailySummary[Fecha],"&lt;="&amp;TableWeeklySummary[[#This Row],[Hasta]])</f>
        <v>0</v>
      </c>
      <c r="K441" s="12">
        <f ca="1">SUMIFS(TableDailySummary[Órdenes primer cliente],TableDailySummary[Fecha],"&gt;="&amp;TableWeeklySummary[[#This Row],[Desde]],TableDailySummary[Fecha],"&lt;="&amp;TableWeeklySummary[[#This Row],[Hasta]])</f>
        <v>0</v>
      </c>
      <c r="L441" s="12">
        <f ca="1">SUMIFS(TableDailySummary[Online Store_net_sales],TableDailySummary[Fecha],"&gt;="&amp;TableWeeklySummary[[#This Row],[Desde]],TableDailySummary[Fecha],"&lt;="&amp;TableWeeklySummary[[#This Row],[Hasta]])</f>
        <v>0</v>
      </c>
      <c r="M441" s="12">
        <f ca="1">SUMIFS(TableDailySummary[Online Store_orders],TableDailySummary[Fecha],"&gt;="&amp;TableWeeklySummary[[#This Row],[Desde]],TableDailySummary[Fecha],"&lt;="&amp;TableWeeklySummary[[#This Row],[Hasta]])</f>
        <v>0</v>
      </c>
      <c r="N441" s="12">
        <f ca="1">SUMIFS(TableDailySummary[Tienda 81_net_sales],TableDailySummary[Fecha],"&gt;="&amp;TableWeeklySummary[[#This Row],[Desde]],TableDailySummary[Fecha],"&lt;="&amp;TableWeeklySummary[[#This Row],[Hasta]])</f>
        <v>0</v>
      </c>
      <c r="O441" s="12">
        <f ca="1">SUMIFS(TableDailySummary[Tienda 81_orders],TableDailySummary[Fecha],"&gt;="&amp;TableWeeklySummary[[#This Row],[Desde]],TableDailySummary[Fecha],"&lt;="&amp;TableWeeklySummary[[#This Row],[Hasta]])</f>
        <v>0</v>
      </c>
      <c r="P441" s="12">
        <f ca="1">SUMIFS(TableDailySummary[Rappi_net_sales],TableDailySummary[Fecha],"&gt;="&amp;TableWeeklySummary[[#This Row],[Desde]],TableDailySummary[Fecha],"&lt;="&amp;TableWeeklySummary[[#This Row],[Hasta]])</f>
        <v>0</v>
      </c>
      <c r="Q441" s="12">
        <f ca="1">SUMIFS(TableDailySummary[Rappi_orders],TableDailySummary[Fecha],"&gt;="&amp;TableWeeklySummary[[#This Row],[Desde]],TableDailySummary[Fecha],"&lt;="&amp;TableWeeklySummary[[#This Row],[Hasta]])</f>
        <v>0</v>
      </c>
      <c r="R44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4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41" s="12">
        <f ca="1">SUMIFS(TableDailySummary[Inversión google ads],TableDailySummary[Fecha],"&gt;="&amp;TableWeeklySummary[[#This Row],[Desde]],TableDailySummary[Fecha],"&lt;="&amp;TableWeeklySummary[[#This Row],[Hasta]])</f>
        <v>0</v>
      </c>
      <c r="U441" s="12">
        <f ca="1">SUMIFS(TableDailySummary[Ventas google ads],TableDailySummary[Fecha],"&gt;="&amp;TableWeeklySummary[[#This Row],[Desde]],TableDailySummary[Fecha],"&lt;="&amp;TableWeeklySummary[[#This Row],[Hasta]])</f>
        <v>0</v>
      </c>
      <c r="V441" s="12">
        <f ca="1">SUMIFS(TableDailySummary[Inversión meta ads],TableDailySummary[Fecha],"&gt;="&amp;TableWeeklySummary[[#This Row],[Desde]],TableDailySummary[Fecha],"&lt;="&amp;TableWeeklySummary[[#This Row],[Hasta]])</f>
        <v>0</v>
      </c>
      <c r="W441" s="12">
        <f ca="1">SUMIFS(TableDailySummary[Ventas meta ads],TableDailySummary[Fecha],"&gt;="&amp;TableWeeklySummary[[#This Row],[Desde]],TableDailySummary[Fecha],"&lt;="&amp;TableWeeklySummary[[#This Row],[Hasta]])</f>
        <v>0</v>
      </c>
      <c r="X441" s="12">
        <f ca="1">TableWeeklySummary[[#This Row],[Inversión google ads]]+TableWeeklySummary[[#This Row],[Inversión meta ads]]</f>
        <v>0</v>
      </c>
      <c r="Y441" s="12">
        <f ca="1">TableWeeklySummary[[#This Row],[Ventas google ads]]+TableWeeklySummary[[#This Row],[Ventas meta ads]]</f>
        <v>0</v>
      </c>
      <c r="Z441" s="14">
        <f ca="1">IFERROR(TableWeeklySummary[[#This Row],[Ventas publicidad]]/TableWeeklySummary[[#This Row],[Inversión publicidad]],0)</f>
        <v>0</v>
      </c>
      <c r="AA441" s="14">
        <f ca="1">IFERROR(TableWeeklySummary[[#This Row],[Ventas primer cliente]]/TableWeeklySummary[[#This Row],[Inversión publicidad]],0)</f>
        <v>0</v>
      </c>
      <c r="AB441" s="14"/>
      <c r="AC441" s="12"/>
      <c r="AI44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4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41" s="12">
        <f ca="1">SUMIFS(TableDailySummary[Utilidad bruta],TableDailySummary[Fecha],"&gt;="&amp;TableWeeklySummary[[#This Row],[Desde]],TableDailySummary[Fecha],"&lt;="&amp;TableWeeklySummary[[#This Row],[Hasta]])</f>
        <v>0</v>
      </c>
      <c r="AL441" s="18">
        <f ca="1">IFERROR(TableWeeklySummary[[#This Row],[Utilidad bruta]]/TableWeeklySummary[[#This Row],[Ventas netas con costo registrado]],0)</f>
        <v>0</v>
      </c>
    </row>
    <row r="442" spans="2:38" x14ac:dyDescent="0.2">
      <c r="B442" s="16">
        <f ca="1">_xlfn.ISOWEEKNUM(TableWeeklySummary[[#This Row],[Hasta]])</f>
        <v>10</v>
      </c>
      <c r="C442" s="6">
        <f t="shared" ca="1" si="8"/>
        <v>49006</v>
      </c>
      <c r="D442" s="6">
        <f ca="1">TableWeeklySummary[[#This Row],[Desde]]+7-1</f>
        <v>49012</v>
      </c>
      <c r="E442" s="12">
        <f ca="1">SUMIFS(TableDailySummary[Ventas netas totales],TableDailySummary[Fecha],"&gt;="&amp;TableWeeklySummary[[#This Row],[Desde]],TableDailySummary[Fecha],"&lt;="&amp;TableWeeklySummary[[#This Row],[Hasta]])</f>
        <v>0</v>
      </c>
      <c r="F442" s="12">
        <f ca="1">SUMIFS(TableDailySummary[Órdenes totales],TableDailySummary[Fecha],"&gt;="&amp;TableWeeklySummary[[#This Row],[Desde]],TableDailySummary[Fecha],"&lt;="&amp;TableWeeklySummary[[#This Row],[Hasta]])</f>
        <v>0</v>
      </c>
      <c r="G442" s="12">
        <f ca="1">IFERROR(TableWeeklySummary[[#This Row],[Ventas netas totales]]/TableWeeklySummary[[#This Row],[Órdenes totales]],0)</f>
        <v>0</v>
      </c>
      <c r="H44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42" s="12">
        <f ca="1">TableWeeklySummary[[#This Row],[Órden promedio totales]]*TableWeeklySummary[[#This Row],[CR totales]]</f>
        <v>0</v>
      </c>
      <c r="J442" s="12">
        <f ca="1">SUMIFS(TableDailySummary[Ventas primer cliente],TableDailySummary[Fecha],"&gt;="&amp;TableWeeklySummary[[#This Row],[Desde]],TableDailySummary[Fecha],"&lt;="&amp;TableWeeklySummary[[#This Row],[Hasta]])</f>
        <v>0</v>
      </c>
      <c r="K442" s="12">
        <f ca="1">SUMIFS(TableDailySummary[Órdenes primer cliente],TableDailySummary[Fecha],"&gt;="&amp;TableWeeklySummary[[#This Row],[Desde]],TableDailySummary[Fecha],"&lt;="&amp;TableWeeklySummary[[#This Row],[Hasta]])</f>
        <v>0</v>
      </c>
      <c r="L442" s="12">
        <f ca="1">SUMIFS(TableDailySummary[Online Store_net_sales],TableDailySummary[Fecha],"&gt;="&amp;TableWeeklySummary[[#This Row],[Desde]],TableDailySummary[Fecha],"&lt;="&amp;TableWeeklySummary[[#This Row],[Hasta]])</f>
        <v>0</v>
      </c>
      <c r="M442" s="12">
        <f ca="1">SUMIFS(TableDailySummary[Online Store_orders],TableDailySummary[Fecha],"&gt;="&amp;TableWeeklySummary[[#This Row],[Desde]],TableDailySummary[Fecha],"&lt;="&amp;TableWeeklySummary[[#This Row],[Hasta]])</f>
        <v>0</v>
      </c>
      <c r="N442" s="12">
        <f ca="1">SUMIFS(TableDailySummary[Tienda 81_net_sales],TableDailySummary[Fecha],"&gt;="&amp;TableWeeklySummary[[#This Row],[Desde]],TableDailySummary[Fecha],"&lt;="&amp;TableWeeklySummary[[#This Row],[Hasta]])</f>
        <v>0</v>
      </c>
      <c r="O442" s="12">
        <f ca="1">SUMIFS(TableDailySummary[Tienda 81_orders],TableDailySummary[Fecha],"&gt;="&amp;TableWeeklySummary[[#This Row],[Desde]],TableDailySummary[Fecha],"&lt;="&amp;TableWeeklySummary[[#This Row],[Hasta]])</f>
        <v>0</v>
      </c>
      <c r="P442" s="12">
        <f ca="1">SUMIFS(TableDailySummary[Rappi_net_sales],TableDailySummary[Fecha],"&gt;="&amp;TableWeeklySummary[[#This Row],[Desde]],TableDailySummary[Fecha],"&lt;="&amp;TableWeeklySummary[[#This Row],[Hasta]])</f>
        <v>0</v>
      </c>
      <c r="Q442" s="12">
        <f ca="1">SUMIFS(TableDailySummary[Rappi_orders],TableDailySummary[Fecha],"&gt;="&amp;TableWeeklySummary[[#This Row],[Desde]],TableDailySummary[Fecha],"&lt;="&amp;TableWeeklySummary[[#This Row],[Hasta]])</f>
        <v>0</v>
      </c>
      <c r="R44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4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42" s="12">
        <f ca="1">SUMIFS(TableDailySummary[Inversión google ads],TableDailySummary[Fecha],"&gt;="&amp;TableWeeklySummary[[#This Row],[Desde]],TableDailySummary[Fecha],"&lt;="&amp;TableWeeklySummary[[#This Row],[Hasta]])</f>
        <v>0</v>
      </c>
      <c r="U442" s="12">
        <f ca="1">SUMIFS(TableDailySummary[Ventas google ads],TableDailySummary[Fecha],"&gt;="&amp;TableWeeklySummary[[#This Row],[Desde]],TableDailySummary[Fecha],"&lt;="&amp;TableWeeklySummary[[#This Row],[Hasta]])</f>
        <v>0</v>
      </c>
      <c r="V442" s="12">
        <f ca="1">SUMIFS(TableDailySummary[Inversión meta ads],TableDailySummary[Fecha],"&gt;="&amp;TableWeeklySummary[[#This Row],[Desde]],TableDailySummary[Fecha],"&lt;="&amp;TableWeeklySummary[[#This Row],[Hasta]])</f>
        <v>0</v>
      </c>
      <c r="W442" s="12">
        <f ca="1">SUMIFS(TableDailySummary[Ventas meta ads],TableDailySummary[Fecha],"&gt;="&amp;TableWeeklySummary[[#This Row],[Desde]],TableDailySummary[Fecha],"&lt;="&amp;TableWeeklySummary[[#This Row],[Hasta]])</f>
        <v>0</v>
      </c>
      <c r="X442" s="12">
        <f ca="1">TableWeeklySummary[[#This Row],[Inversión google ads]]+TableWeeklySummary[[#This Row],[Inversión meta ads]]</f>
        <v>0</v>
      </c>
      <c r="Y442" s="12">
        <f ca="1">TableWeeklySummary[[#This Row],[Ventas google ads]]+TableWeeklySummary[[#This Row],[Ventas meta ads]]</f>
        <v>0</v>
      </c>
      <c r="Z442" s="14">
        <f ca="1">IFERROR(TableWeeklySummary[[#This Row],[Ventas publicidad]]/TableWeeklySummary[[#This Row],[Inversión publicidad]],0)</f>
        <v>0</v>
      </c>
      <c r="AA442" s="14">
        <f ca="1">IFERROR(TableWeeklySummary[[#This Row],[Ventas primer cliente]]/TableWeeklySummary[[#This Row],[Inversión publicidad]],0)</f>
        <v>0</v>
      </c>
      <c r="AB442" s="14"/>
      <c r="AC442" s="12"/>
      <c r="AI44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4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42" s="12">
        <f ca="1">SUMIFS(TableDailySummary[Utilidad bruta],TableDailySummary[Fecha],"&gt;="&amp;TableWeeklySummary[[#This Row],[Desde]],TableDailySummary[Fecha],"&lt;="&amp;TableWeeklySummary[[#This Row],[Hasta]])</f>
        <v>0</v>
      </c>
      <c r="AL442" s="18">
        <f ca="1">IFERROR(TableWeeklySummary[[#This Row],[Utilidad bruta]]/TableWeeklySummary[[#This Row],[Ventas netas con costo registrado]],0)</f>
        <v>0</v>
      </c>
    </row>
    <row r="443" spans="2:38" x14ac:dyDescent="0.2">
      <c r="B443" s="16">
        <f ca="1">_xlfn.ISOWEEKNUM(TableWeeklySummary[[#This Row],[Hasta]])</f>
        <v>11</v>
      </c>
      <c r="C443" s="6">
        <f t="shared" ca="1" si="8"/>
        <v>49013</v>
      </c>
      <c r="D443" s="6">
        <f ca="1">TableWeeklySummary[[#This Row],[Desde]]+7-1</f>
        <v>49019</v>
      </c>
      <c r="E443" s="12">
        <f ca="1">SUMIFS(TableDailySummary[Ventas netas totales],TableDailySummary[Fecha],"&gt;="&amp;TableWeeklySummary[[#This Row],[Desde]],TableDailySummary[Fecha],"&lt;="&amp;TableWeeklySummary[[#This Row],[Hasta]])</f>
        <v>0</v>
      </c>
      <c r="F443" s="12">
        <f ca="1">SUMIFS(TableDailySummary[Órdenes totales],TableDailySummary[Fecha],"&gt;="&amp;TableWeeklySummary[[#This Row],[Desde]],TableDailySummary[Fecha],"&lt;="&amp;TableWeeklySummary[[#This Row],[Hasta]])</f>
        <v>0</v>
      </c>
      <c r="G443" s="12">
        <f ca="1">IFERROR(TableWeeklySummary[[#This Row],[Ventas netas totales]]/TableWeeklySummary[[#This Row],[Órdenes totales]],0)</f>
        <v>0</v>
      </c>
      <c r="H44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43" s="12">
        <f ca="1">TableWeeklySummary[[#This Row],[Órden promedio totales]]*TableWeeklySummary[[#This Row],[CR totales]]</f>
        <v>0</v>
      </c>
      <c r="J443" s="12">
        <f ca="1">SUMIFS(TableDailySummary[Ventas primer cliente],TableDailySummary[Fecha],"&gt;="&amp;TableWeeklySummary[[#This Row],[Desde]],TableDailySummary[Fecha],"&lt;="&amp;TableWeeklySummary[[#This Row],[Hasta]])</f>
        <v>0</v>
      </c>
      <c r="K443" s="12">
        <f ca="1">SUMIFS(TableDailySummary[Órdenes primer cliente],TableDailySummary[Fecha],"&gt;="&amp;TableWeeklySummary[[#This Row],[Desde]],TableDailySummary[Fecha],"&lt;="&amp;TableWeeklySummary[[#This Row],[Hasta]])</f>
        <v>0</v>
      </c>
      <c r="L443" s="12">
        <f ca="1">SUMIFS(TableDailySummary[Online Store_net_sales],TableDailySummary[Fecha],"&gt;="&amp;TableWeeklySummary[[#This Row],[Desde]],TableDailySummary[Fecha],"&lt;="&amp;TableWeeklySummary[[#This Row],[Hasta]])</f>
        <v>0</v>
      </c>
      <c r="M443" s="12">
        <f ca="1">SUMIFS(TableDailySummary[Online Store_orders],TableDailySummary[Fecha],"&gt;="&amp;TableWeeklySummary[[#This Row],[Desde]],TableDailySummary[Fecha],"&lt;="&amp;TableWeeklySummary[[#This Row],[Hasta]])</f>
        <v>0</v>
      </c>
      <c r="N443" s="12">
        <f ca="1">SUMIFS(TableDailySummary[Tienda 81_net_sales],TableDailySummary[Fecha],"&gt;="&amp;TableWeeklySummary[[#This Row],[Desde]],TableDailySummary[Fecha],"&lt;="&amp;TableWeeklySummary[[#This Row],[Hasta]])</f>
        <v>0</v>
      </c>
      <c r="O443" s="12">
        <f ca="1">SUMIFS(TableDailySummary[Tienda 81_orders],TableDailySummary[Fecha],"&gt;="&amp;TableWeeklySummary[[#This Row],[Desde]],TableDailySummary[Fecha],"&lt;="&amp;TableWeeklySummary[[#This Row],[Hasta]])</f>
        <v>0</v>
      </c>
      <c r="P443" s="12">
        <f ca="1">SUMIFS(TableDailySummary[Rappi_net_sales],TableDailySummary[Fecha],"&gt;="&amp;TableWeeklySummary[[#This Row],[Desde]],TableDailySummary[Fecha],"&lt;="&amp;TableWeeklySummary[[#This Row],[Hasta]])</f>
        <v>0</v>
      </c>
      <c r="Q443" s="12">
        <f ca="1">SUMIFS(TableDailySummary[Rappi_orders],TableDailySummary[Fecha],"&gt;="&amp;TableWeeklySummary[[#This Row],[Desde]],TableDailySummary[Fecha],"&lt;="&amp;TableWeeklySummary[[#This Row],[Hasta]])</f>
        <v>0</v>
      </c>
      <c r="R44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4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43" s="12">
        <f ca="1">SUMIFS(TableDailySummary[Inversión google ads],TableDailySummary[Fecha],"&gt;="&amp;TableWeeklySummary[[#This Row],[Desde]],TableDailySummary[Fecha],"&lt;="&amp;TableWeeklySummary[[#This Row],[Hasta]])</f>
        <v>0</v>
      </c>
      <c r="U443" s="12">
        <f ca="1">SUMIFS(TableDailySummary[Ventas google ads],TableDailySummary[Fecha],"&gt;="&amp;TableWeeklySummary[[#This Row],[Desde]],TableDailySummary[Fecha],"&lt;="&amp;TableWeeklySummary[[#This Row],[Hasta]])</f>
        <v>0</v>
      </c>
      <c r="V443" s="12">
        <f ca="1">SUMIFS(TableDailySummary[Inversión meta ads],TableDailySummary[Fecha],"&gt;="&amp;TableWeeklySummary[[#This Row],[Desde]],TableDailySummary[Fecha],"&lt;="&amp;TableWeeklySummary[[#This Row],[Hasta]])</f>
        <v>0</v>
      </c>
      <c r="W443" s="12">
        <f ca="1">SUMIFS(TableDailySummary[Ventas meta ads],TableDailySummary[Fecha],"&gt;="&amp;TableWeeklySummary[[#This Row],[Desde]],TableDailySummary[Fecha],"&lt;="&amp;TableWeeklySummary[[#This Row],[Hasta]])</f>
        <v>0</v>
      </c>
      <c r="X443" s="12">
        <f ca="1">TableWeeklySummary[[#This Row],[Inversión google ads]]+TableWeeklySummary[[#This Row],[Inversión meta ads]]</f>
        <v>0</v>
      </c>
      <c r="Y443" s="12">
        <f ca="1">TableWeeklySummary[[#This Row],[Ventas google ads]]+TableWeeklySummary[[#This Row],[Ventas meta ads]]</f>
        <v>0</v>
      </c>
      <c r="Z443" s="14">
        <f ca="1">IFERROR(TableWeeklySummary[[#This Row],[Ventas publicidad]]/TableWeeklySummary[[#This Row],[Inversión publicidad]],0)</f>
        <v>0</v>
      </c>
      <c r="AA443" s="14">
        <f ca="1">IFERROR(TableWeeklySummary[[#This Row],[Ventas primer cliente]]/TableWeeklySummary[[#This Row],[Inversión publicidad]],0)</f>
        <v>0</v>
      </c>
      <c r="AB443" s="14"/>
      <c r="AC443" s="12"/>
      <c r="AI44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4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43" s="12">
        <f ca="1">SUMIFS(TableDailySummary[Utilidad bruta],TableDailySummary[Fecha],"&gt;="&amp;TableWeeklySummary[[#This Row],[Desde]],TableDailySummary[Fecha],"&lt;="&amp;TableWeeklySummary[[#This Row],[Hasta]])</f>
        <v>0</v>
      </c>
      <c r="AL443" s="18">
        <f ca="1">IFERROR(TableWeeklySummary[[#This Row],[Utilidad bruta]]/TableWeeklySummary[[#This Row],[Ventas netas con costo registrado]],0)</f>
        <v>0</v>
      </c>
    </row>
    <row r="444" spans="2:38" x14ac:dyDescent="0.2">
      <c r="B444" s="16">
        <f ca="1">_xlfn.ISOWEEKNUM(TableWeeklySummary[[#This Row],[Hasta]])</f>
        <v>12</v>
      </c>
      <c r="C444" s="6">
        <f t="shared" ca="1" si="8"/>
        <v>49020</v>
      </c>
      <c r="D444" s="6">
        <f ca="1">TableWeeklySummary[[#This Row],[Desde]]+7-1</f>
        <v>49026</v>
      </c>
      <c r="E444" s="12">
        <f ca="1">SUMIFS(TableDailySummary[Ventas netas totales],TableDailySummary[Fecha],"&gt;="&amp;TableWeeklySummary[[#This Row],[Desde]],TableDailySummary[Fecha],"&lt;="&amp;TableWeeklySummary[[#This Row],[Hasta]])</f>
        <v>0</v>
      </c>
      <c r="F444" s="12">
        <f ca="1">SUMIFS(TableDailySummary[Órdenes totales],TableDailySummary[Fecha],"&gt;="&amp;TableWeeklySummary[[#This Row],[Desde]],TableDailySummary[Fecha],"&lt;="&amp;TableWeeklySummary[[#This Row],[Hasta]])</f>
        <v>0</v>
      </c>
      <c r="G444" s="12">
        <f ca="1">IFERROR(TableWeeklySummary[[#This Row],[Ventas netas totales]]/TableWeeklySummary[[#This Row],[Órdenes totales]],0)</f>
        <v>0</v>
      </c>
      <c r="H44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44" s="12">
        <f ca="1">TableWeeklySummary[[#This Row],[Órden promedio totales]]*TableWeeklySummary[[#This Row],[CR totales]]</f>
        <v>0</v>
      </c>
      <c r="J444" s="12">
        <f ca="1">SUMIFS(TableDailySummary[Ventas primer cliente],TableDailySummary[Fecha],"&gt;="&amp;TableWeeklySummary[[#This Row],[Desde]],TableDailySummary[Fecha],"&lt;="&amp;TableWeeklySummary[[#This Row],[Hasta]])</f>
        <v>0</v>
      </c>
      <c r="K444" s="12">
        <f ca="1">SUMIFS(TableDailySummary[Órdenes primer cliente],TableDailySummary[Fecha],"&gt;="&amp;TableWeeklySummary[[#This Row],[Desde]],TableDailySummary[Fecha],"&lt;="&amp;TableWeeklySummary[[#This Row],[Hasta]])</f>
        <v>0</v>
      </c>
      <c r="L444" s="12">
        <f ca="1">SUMIFS(TableDailySummary[Online Store_net_sales],TableDailySummary[Fecha],"&gt;="&amp;TableWeeklySummary[[#This Row],[Desde]],TableDailySummary[Fecha],"&lt;="&amp;TableWeeklySummary[[#This Row],[Hasta]])</f>
        <v>0</v>
      </c>
      <c r="M444" s="12">
        <f ca="1">SUMIFS(TableDailySummary[Online Store_orders],TableDailySummary[Fecha],"&gt;="&amp;TableWeeklySummary[[#This Row],[Desde]],TableDailySummary[Fecha],"&lt;="&amp;TableWeeklySummary[[#This Row],[Hasta]])</f>
        <v>0</v>
      </c>
      <c r="N444" s="12">
        <f ca="1">SUMIFS(TableDailySummary[Tienda 81_net_sales],TableDailySummary[Fecha],"&gt;="&amp;TableWeeklySummary[[#This Row],[Desde]],TableDailySummary[Fecha],"&lt;="&amp;TableWeeklySummary[[#This Row],[Hasta]])</f>
        <v>0</v>
      </c>
      <c r="O444" s="12">
        <f ca="1">SUMIFS(TableDailySummary[Tienda 81_orders],TableDailySummary[Fecha],"&gt;="&amp;TableWeeklySummary[[#This Row],[Desde]],TableDailySummary[Fecha],"&lt;="&amp;TableWeeklySummary[[#This Row],[Hasta]])</f>
        <v>0</v>
      </c>
      <c r="P444" s="12">
        <f ca="1">SUMIFS(TableDailySummary[Rappi_net_sales],TableDailySummary[Fecha],"&gt;="&amp;TableWeeklySummary[[#This Row],[Desde]],TableDailySummary[Fecha],"&lt;="&amp;TableWeeklySummary[[#This Row],[Hasta]])</f>
        <v>0</v>
      </c>
      <c r="Q444" s="12">
        <f ca="1">SUMIFS(TableDailySummary[Rappi_orders],TableDailySummary[Fecha],"&gt;="&amp;TableWeeklySummary[[#This Row],[Desde]],TableDailySummary[Fecha],"&lt;="&amp;TableWeeklySummary[[#This Row],[Hasta]])</f>
        <v>0</v>
      </c>
      <c r="R44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4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44" s="12">
        <f ca="1">SUMIFS(TableDailySummary[Inversión google ads],TableDailySummary[Fecha],"&gt;="&amp;TableWeeklySummary[[#This Row],[Desde]],TableDailySummary[Fecha],"&lt;="&amp;TableWeeklySummary[[#This Row],[Hasta]])</f>
        <v>0</v>
      </c>
      <c r="U444" s="12">
        <f ca="1">SUMIFS(TableDailySummary[Ventas google ads],TableDailySummary[Fecha],"&gt;="&amp;TableWeeklySummary[[#This Row],[Desde]],TableDailySummary[Fecha],"&lt;="&amp;TableWeeklySummary[[#This Row],[Hasta]])</f>
        <v>0</v>
      </c>
      <c r="V444" s="12">
        <f ca="1">SUMIFS(TableDailySummary[Inversión meta ads],TableDailySummary[Fecha],"&gt;="&amp;TableWeeklySummary[[#This Row],[Desde]],TableDailySummary[Fecha],"&lt;="&amp;TableWeeklySummary[[#This Row],[Hasta]])</f>
        <v>0</v>
      </c>
      <c r="W444" s="12">
        <f ca="1">SUMIFS(TableDailySummary[Ventas meta ads],TableDailySummary[Fecha],"&gt;="&amp;TableWeeklySummary[[#This Row],[Desde]],TableDailySummary[Fecha],"&lt;="&amp;TableWeeklySummary[[#This Row],[Hasta]])</f>
        <v>0</v>
      </c>
      <c r="X444" s="12">
        <f ca="1">TableWeeklySummary[[#This Row],[Inversión google ads]]+TableWeeklySummary[[#This Row],[Inversión meta ads]]</f>
        <v>0</v>
      </c>
      <c r="Y444" s="12">
        <f ca="1">TableWeeklySummary[[#This Row],[Ventas google ads]]+TableWeeklySummary[[#This Row],[Ventas meta ads]]</f>
        <v>0</v>
      </c>
      <c r="Z444" s="14">
        <f ca="1">IFERROR(TableWeeklySummary[[#This Row],[Ventas publicidad]]/TableWeeklySummary[[#This Row],[Inversión publicidad]],0)</f>
        <v>0</v>
      </c>
      <c r="AA444" s="14">
        <f ca="1">IFERROR(TableWeeklySummary[[#This Row],[Ventas primer cliente]]/TableWeeklySummary[[#This Row],[Inversión publicidad]],0)</f>
        <v>0</v>
      </c>
      <c r="AB444" s="14"/>
      <c r="AC444" s="12"/>
      <c r="AI44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4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44" s="12">
        <f ca="1">SUMIFS(TableDailySummary[Utilidad bruta],TableDailySummary[Fecha],"&gt;="&amp;TableWeeklySummary[[#This Row],[Desde]],TableDailySummary[Fecha],"&lt;="&amp;TableWeeklySummary[[#This Row],[Hasta]])</f>
        <v>0</v>
      </c>
      <c r="AL444" s="18">
        <f ca="1">IFERROR(TableWeeklySummary[[#This Row],[Utilidad bruta]]/TableWeeklySummary[[#This Row],[Ventas netas con costo registrado]],0)</f>
        <v>0</v>
      </c>
    </row>
    <row r="445" spans="2:38" x14ac:dyDescent="0.2">
      <c r="B445" s="16">
        <f ca="1">_xlfn.ISOWEEKNUM(TableWeeklySummary[[#This Row],[Hasta]])</f>
        <v>13</v>
      </c>
      <c r="C445" s="6">
        <f t="shared" ca="1" si="8"/>
        <v>49027</v>
      </c>
      <c r="D445" s="6">
        <f ca="1">TableWeeklySummary[[#This Row],[Desde]]+7-1</f>
        <v>49033</v>
      </c>
      <c r="E445" s="12">
        <f ca="1">SUMIFS(TableDailySummary[Ventas netas totales],TableDailySummary[Fecha],"&gt;="&amp;TableWeeklySummary[[#This Row],[Desde]],TableDailySummary[Fecha],"&lt;="&amp;TableWeeklySummary[[#This Row],[Hasta]])</f>
        <v>0</v>
      </c>
      <c r="F445" s="12">
        <f ca="1">SUMIFS(TableDailySummary[Órdenes totales],TableDailySummary[Fecha],"&gt;="&amp;TableWeeklySummary[[#This Row],[Desde]],TableDailySummary[Fecha],"&lt;="&amp;TableWeeklySummary[[#This Row],[Hasta]])</f>
        <v>0</v>
      </c>
      <c r="G445" s="12">
        <f ca="1">IFERROR(TableWeeklySummary[[#This Row],[Ventas netas totales]]/TableWeeklySummary[[#This Row],[Órdenes totales]],0)</f>
        <v>0</v>
      </c>
      <c r="H44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45" s="12">
        <f ca="1">TableWeeklySummary[[#This Row],[Órden promedio totales]]*TableWeeklySummary[[#This Row],[CR totales]]</f>
        <v>0</v>
      </c>
      <c r="J445" s="12">
        <f ca="1">SUMIFS(TableDailySummary[Ventas primer cliente],TableDailySummary[Fecha],"&gt;="&amp;TableWeeklySummary[[#This Row],[Desde]],TableDailySummary[Fecha],"&lt;="&amp;TableWeeklySummary[[#This Row],[Hasta]])</f>
        <v>0</v>
      </c>
      <c r="K445" s="12">
        <f ca="1">SUMIFS(TableDailySummary[Órdenes primer cliente],TableDailySummary[Fecha],"&gt;="&amp;TableWeeklySummary[[#This Row],[Desde]],TableDailySummary[Fecha],"&lt;="&amp;TableWeeklySummary[[#This Row],[Hasta]])</f>
        <v>0</v>
      </c>
      <c r="L445" s="12">
        <f ca="1">SUMIFS(TableDailySummary[Online Store_net_sales],TableDailySummary[Fecha],"&gt;="&amp;TableWeeklySummary[[#This Row],[Desde]],TableDailySummary[Fecha],"&lt;="&amp;TableWeeklySummary[[#This Row],[Hasta]])</f>
        <v>0</v>
      </c>
      <c r="M445" s="12">
        <f ca="1">SUMIFS(TableDailySummary[Online Store_orders],TableDailySummary[Fecha],"&gt;="&amp;TableWeeklySummary[[#This Row],[Desde]],TableDailySummary[Fecha],"&lt;="&amp;TableWeeklySummary[[#This Row],[Hasta]])</f>
        <v>0</v>
      </c>
      <c r="N445" s="12">
        <f ca="1">SUMIFS(TableDailySummary[Tienda 81_net_sales],TableDailySummary[Fecha],"&gt;="&amp;TableWeeklySummary[[#This Row],[Desde]],TableDailySummary[Fecha],"&lt;="&amp;TableWeeklySummary[[#This Row],[Hasta]])</f>
        <v>0</v>
      </c>
      <c r="O445" s="12">
        <f ca="1">SUMIFS(TableDailySummary[Tienda 81_orders],TableDailySummary[Fecha],"&gt;="&amp;TableWeeklySummary[[#This Row],[Desde]],TableDailySummary[Fecha],"&lt;="&amp;TableWeeklySummary[[#This Row],[Hasta]])</f>
        <v>0</v>
      </c>
      <c r="P445" s="12">
        <f ca="1">SUMIFS(TableDailySummary[Rappi_net_sales],TableDailySummary[Fecha],"&gt;="&amp;TableWeeklySummary[[#This Row],[Desde]],TableDailySummary[Fecha],"&lt;="&amp;TableWeeklySummary[[#This Row],[Hasta]])</f>
        <v>0</v>
      </c>
      <c r="Q445" s="12">
        <f ca="1">SUMIFS(TableDailySummary[Rappi_orders],TableDailySummary[Fecha],"&gt;="&amp;TableWeeklySummary[[#This Row],[Desde]],TableDailySummary[Fecha],"&lt;="&amp;TableWeeklySummary[[#This Row],[Hasta]])</f>
        <v>0</v>
      </c>
      <c r="R44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4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45" s="12">
        <f ca="1">SUMIFS(TableDailySummary[Inversión google ads],TableDailySummary[Fecha],"&gt;="&amp;TableWeeklySummary[[#This Row],[Desde]],TableDailySummary[Fecha],"&lt;="&amp;TableWeeklySummary[[#This Row],[Hasta]])</f>
        <v>0</v>
      </c>
      <c r="U445" s="12">
        <f ca="1">SUMIFS(TableDailySummary[Ventas google ads],TableDailySummary[Fecha],"&gt;="&amp;TableWeeklySummary[[#This Row],[Desde]],TableDailySummary[Fecha],"&lt;="&amp;TableWeeklySummary[[#This Row],[Hasta]])</f>
        <v>0</v>
      </c>
      <c r="V445" s="12">
        <f ca="1">SUMIFS(TableDailySummary[Inversión meta ads],TableDailySummary[Fecha],"&gt;="&amp;TableWeeklySummary[[#This Row],[Desde]],TableDailySummary[Fecha],"&lt;="&amp;TableWeeklySummary[[#This Row],[Hasta]])</f>
        <v>0</v>
      </c>
      <c r="W445" s="12">
        <f ca="1">SUMIFS(TableDailySummary[Ventas meta ads],TableDailySummary[Fecha],"&gt;="&amp;TableWeeklySummary[[#This Row],[Desde]],TableDailySummary[Fecha],"&lt;="&amp;TableWeeklySummary[[#This Row],[Hasta]])</f>
        <v>0</v>
      </c>
      <c r="X445" s="12">
        <f ca="1">TableWeeklySummary[[#This Row],[Inversión google ads]]+TableWeeklySummary[[#This Row],[Inversión meta ads]]</f>
        <v>0</v>
      </c>
      <c r="Y445" s="12">
        <f ca="1">TableWeeklySummary[[#This Row],[Ventas google ads]]+TableWeeklySummary[[#This Row],[Ventas meta ads]]</f>
        <v>0</v>
      </c>
      <c r="Z445" s="14">
        <f ca="1">IFERROR(TableWeeklySummary[[#This Row],[Ventas publicidad]]/TableWeeklySummary[[#This Row],[Inversión publicidad]],0)</f>
        <v>0</v>
      </c>
      <c r="AA445" s="14">
        <f ca="1">IFERROR(TableWeeklySummary[[#This Row],[Ventas primer cliente]]/TableWeeklySummary[[#This Row],[Inversión publicidad]],0)</f>
        <v>0</v>
      </c>
      <c r="AB445" s="14"/>
      <c r="AC445" s="12"/>
      <c r="AI44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4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45" s="12">
        <f ca="1">SUMIFS(TableDailySummary[Utilidad bruta],TableDailySummary[Fecha],"&gt;="&amp;TableWeeklySummary[[#This Row],[Desde]],TableDailySummary[Fecha],"&lt;="&amp;TableWeeklySummary[[#This Row],[Hasta]])</f>
        <v>0</v>
      </c>
      <c r="AL445" s="18">
        <f ca="1">IFERROR(TableWeeklySummary[[#This Row],[Utilidad bruta]]/TableWeeklySummary[[#This Row],[Ventas netas con costo registrado]],0)</f>
        <v>0</v>
      </c>
    </row>
    <row r="446" spans="2:38" x14ac:dyDescent="0.2">
      <c r="B446" s="16">
        <f ca="1">_xlfn.ISOWEEKNUM(TableWeeklySummary[[#This Row],[Hasta]])</f>
        <v>14</v>
      </c>
      <c r="C446" s="6">
        <f t="shared" ca="1" si="8"/>
        <v>49034</v>
      </c>
      <c r="D446" s="6">
        <f ca="1">TableWeeklySummary[[#This Row],[Desde]]+7-1</f>
        <v>49040</v>
      </c>
      <c r="E446" s="12">
        <f ca="1">SUMIFS(TableDailySummary[Ventas netas totales],TableDailySummary[Fecha],"&gt;="&amp;TableWeeklySummary[[#This Row],[Desde]],TableDailySummary[Fecha],"&lt;="&amp;TableWeeklySummary[[#This Row],[Hasta]])</f>
        <v>0</v>
      </c>
      <c r="F446" s="12">
        <f ca="1">SUMIFS(TableDailySummary[Órdenes totales],TableDailySummary[Fecha],"&gt;="&amp;TableWeeklySummary[[#This Row],[Desde]],TableDailySummary[Fecha],"&lt;="&amp;TableWeeklySummary[[#This Row],[Hasta]])</f>
        <v>0</v>
      </c>
      <c r="G446" s="12">
        <f ca="1">IFERROR(TableWeeklySummary[[#This Row],[Ventas netas totales]]/TableWeeklySummary[[#This Row],[Órdenes totales]],0)</f>
        <v>0</v>
      </c>
      <c r="H44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46" s="12">
        <f ca="1">TableWeeklySummary[[#This Row],[Órden promedio totales]]*TableWeeklySummary[[#This Row],[CR totales]]</f>
        <v>0</v>
      </c>
      <c r="J446" s="12">
        <f ca="1">SUMIFS(TableDailySummary[Ventas primer cliente],TableDailySummary[Fecha],"&gt;="&amp;TableWeeklySummary[[#This Row],[Desde]],TableDailySummary[Fecha],"&lt;="&amp;TableWeeklySummary[[#This Row],[Hasta]])</f>
        <v>0</v>
      </c>
      <c r="K446" s="12">
        <f ca="1">SUMIFS(TableDailySummary[Órdenes primer cliente],TableDailySummary[Fecha],"&gt;="&amp;TableWeeklySummary[[#This Row],[Desde]],TableDailySummary[Fecha],"&lt;="&amp;TableWeeklySummary[[#This Row],[Hasta]])</f>
        <v>0</v>
      </c>
      <c r="L446" s="12">
        <f ca="1">SUMIFS(TableDailySummary[Online Store_net_sales],TableDailySummary[Fecha],"&gt;="&amp;TableWeeklySummary[[#This Row],[Desde]],TableDailySummary[Fecha],"&lt;="&amp;TableWeeklySummary[[#This Row],[Hasta]])</f>
        <v>0</v>
      </c>
      <c r="M446" s="12">
        <f ca="1">SUMIFS(TableDailySummary[Online Store_orders],TableDailySummary[Fecha],"&gt;="&amp;TableWeeklySummary[[#This Row],[Desde]],TableDailySummary[Fecha],"&lt;="&amp;TableWeeklySummary[[#This Row],[Hasta]])</f>
        <v>0</v>
      </c>
      <c r="N446" s="12">
        <f ca="1">SUMIFS(TableDailySummary[Tienda 81_net_sales],TableDailySummary[Fecha],"&gt;="&amp;TableWeeklySummary[[#This Row],[Desde]],TableDailySummary[Fecha],"&lt;="&amp;TableWeeklySummary[[#This Row],[Hasta]])</f>
        <v>0</v>
      </c>
      <c r="O446" s="12">
        <f ca="1">SUMIFS(TableDailySummary[Tienda 81_orders],TableDailySummary[Fecha],"&gt;="&amp;TableWeeklySummary[[#This Row],[Desde]],TableDailySummary[Fecha],"&lt;="&amp;TableWeeklySummary[[#This Row],[Hasta]])</f>
        <v>0</v>
      </c>
      <c r="P446" s="12">
        <f ca="1">SUMIFS(TableDailySummary[Rappi_net_sales],TableDailySummary[Fecha],"&gt;="&amp;TableWeeklySummary[[#This Row],[Desde]],TableDailySummary[Fecha],"&lt;="&amp;TableWeeklySummary[[#This Row],[Hasta]])</f>
        <v>0</v>
      </c>
      <c r="Q446" s="12">
        <f ca="1">SUMIFS(TableDailySummary[Rappi_orders],TableDailySummary[Fecha],"&gt;="&amp;TableWeeklySummary[[#This Row],[Desde]],TableDailySummary[Fecha],"&lt;="&amp;TableWeeklySummary[[#This Row],[Hasta]])</f>
        <v>0</v>
      </c>
      <c r="R44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4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46" s="12">
        <f ca="1">SUMIFS(TableDailySummary[Inversión google ads],TableDailySummary[Fecha],"&gt;="&amp;TableWeeklySummary[[#This Row],[Desde]],TableDailySummary[Fecha],"&lt;="&amp;TableWeeklySummary[[#This Row],[Hasta]])</f>
        <v>0</v>
      </c>
      <c r="U446" s="12">
        <f ca="1">SUMIFS(TableDailySummary[Ventas google ads],TableDailySummary[Fecha],"&gt;="&amp;TableWeeklySummary[[#This Row],[Desde]],TableDailySummary[Fecha],"&lt;="&amp;TableWeeklySummary[[#This Row],[Hasta]])</f>
        <v>0</v>
      </c>
      <c r="V446" s="12">
        <f ca="1">SUMIFS(TableDailySummary[Inversión meta ads],TableDailySummary[Fecha],"&gt;="&amp;TableWeeklySummary[[#This Row],[Desde]],TableDailySummary[Fecha],"&lt;="&amp;TableWeeklySummary[[#This Row],[Hasta]])</f>
        <v>0</v>
      </c>
      <c r="W446" s="12">
        <f ca="1">SUMIFS(TableDailySummary[Ventas meta ads],TableDailySummary[Fecha],"&gt;="&amp;TableWeeklySummary[[#This Row],[Desde]],TableDailySummary[Fecha],"&lt;="&amp;TableWeeklySummary[[#This Row],[Hasta]])</f>
        <v>0</v>
      </c>
      <c r="X446" s="12">
        <f ca="1">TableWeeklySummary[[#This Row],[Inversión google ads]]+TableWeeklySummary[[#This Row],[Inversión meta ads]]</f>
        <v>0</v>
      </c>
      <c r="Y446" s="12">
        <f ca="1">TableWeeklySummary[[#This Row],[Ventas google ads]]+TableWeeklySummary[[#This Row],[Ventas meta ads]]</f>
        <v>0</v>
      </c>
      <c r="Z446" s="14">
        <f ca="1">IFERROR(TableWeeklySummary[[#This Row],[Ventas publicidad]]/TableWeeklySummary[[#This Row],[Inversión publicidad]],0)</f>
        <v>0</v>
      </c>
      <c r="AA446" s="14">
        <f ca="1">IFERROR(TableWeeklySummary[[#This Row],[Ventas primer cliente]]/TableWeeklySummary[[#This Row],[Inversión publicidad]],0)</f>
        <v>0</v>
      </c>
      <c r="AB446" s="14"/>
      <c r="AC446" s="12"/>
      <c r="AI44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4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46" s="12">
        <f ca="1">SUMIFS(TableDailySummary[Utilidad bruta],TableDailySummary[Fecha],"&gt;="&amp;TableWeeklySummary[[#This Row],[Desde]],TableDailySummary[Fecha],"&lt;="&amp;TableWeeklySummary[[#This Row],[Hasta]])</f>
        <v>0</v>
      </c>
      <c r="AL446" s="18">
        <f ca="1">IFERROR(TableWeeklySummary[[#This Row],[Utilidad bruta]]/TableWeeklySummary[[#This Row],[Ventas netas con costo registrado]],0)</f>
        <v>0</v>
      </c>
    </row>
    <row r="447" spans="2:38" x14ac:dyDescent="0.2">
      <c r="B447" s="16">
        <f ca="1">_xlfn.ISOWEEKNUM(TableWeeklySummary[[#This Row],[Hasta]])</f>
        <v>15</v>
      </c>
      <c r="C447" s="6">
        <f t="shared" ca="1" si="8"/>
        <v>49041</v>
      </c>
      <c r="D447" s="6">
        <f ca="1">TableWeeklySummary[[#This Row],[Desde]]+7-1</f>
        <v>49047</v>
      </c>
      <c r="E447" s="12">
        <f ca="1">SUMIFS(TableDailySummary[Ventas netas totales],TableDailySummary[Fecha],"&gt;="&amp;TableWeeklySummary[[#This Row],[Desde]],TableDailySummary[Fecha],"&lt;="&amp;TableWeeklySummary[[#This Row],[Hasta]])</f>
        <v>0</v>
      </c>
      <c r="F447" s="12">
        <f ca="1">SUMIFS(TableDailySummary[Órdenes totales],TableDailySummary[Fecha],"&gt;="&amp;TableWeeklySummary[[#This Row],[Desde]],TableDailySummary[Fecha],"&lt;="&amp;TableWeeklySummary[[#This Row],[Hasta]])</f>
        <v>0</v>
      </c>
      <c r="G447" s="12">
        <f ca="1">IFERROR(TableWeeklySummary[[#This Row],[Ventas netas totales]]/TableWeeklySummary[[#This Row],[Órdenes totales]],0)</f>
        <v>0</v>
      </c>
      <c r="H44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47" s="12">
        <f ca="1">TableWeeklySummary[[#This Row],[Órden promedio totales]]*TableWeeklySummary[[#This Row],[CR totales]]</f>
        <v>0</v>
      </c>
      <c r="J447" s="12">
        <f ca="1">SUMIFS(TableDailySummary[Ventas primer cliente],TableDailySummary[Fecha],"&gt;="&amp;TableWeeklySummary[[#This Row],[Desde]],TableDailySummary[Fecha],"&lt;="&amp;TableWeeklySummary[[#This Row],[Hasta]])</f>
        <v>0</v>
      </c>
      <c r="K447" s="12">
        <f ca="1">SUMIFS(TableDailySummary[Órdenes primer cliente],TableDailySummary[Fecha],"&gt;="&amp;TableWeeklySummary[[#This Row],[Desde]],TableDailySummary[Fecha],"&lt;="&amp;TableWeeklySummary[[#This Row],[Hasta]])</f>
        <v>0</v>
      </c>
      <c r="L447" s="12">
        <f ca="1">SUMIFS(TableDailySummary[Online Store_net_sales],TableDailySummary[Fecha],"&gt;="&amp;TableWeeklySummary[[#This Row],[Desde]],TableDailySummary[Fecha],"&lt;="&amp;TableWeeklySummary[[#This Row],[Hasta]])</f>
        <v>0</v>
      </c>
      <c r="M447" s="12">
        <f ca="1">SUMIFS(TableDailySummary[Online Store_orders],TableDailySummary[Fecha],"&gt;="&amp;TableWeeklySummary[[#This Row],[Desde]],TableDailySummary[Fecha],"&lt;="&amp;TableWeeklySummary[[#This Row],[Hasta]])</f>
        <v>0</v>
      </c>
      <c r="N447" s="12">
        <f ca="1">SUMIFS(TableDailySummary[Tienda 81_net_sales],TableDailySummary[Fecha],"&gt;="&amp;TableWeeklySummary[[#This Row],[Desde]],TableDailySummary[Fecha],"&lt;="&amp;TableWeeklySummary[[#This Row],[Hasta]])</f>
        <v>0</v>
      </c>
      <c r="O447" s="12">
        <f ca="1">SUMIFS(TableDailySummary[Tienda 81_orders],TableDailySummary[Fecha],"&gt;="&amp;TableWeeklySummary[[#This Row],[Desde]],TableDailySummary[Fecha],"&lt;="&amp;TableWeeklySummary[[#This Row],[Hasta]])</f>
        <v>0</v>
      </c>
      <c r="P447" s="12">
        <f ca="1">SUMIFS(TableDailySummary[Rappi_net_sales],TableDailySummary[Fecha],"&gt;="&amp;TableWeeklySummary[[#This Row],[Desde]],TableDailySummary[Fecha],"&lt;="&amp;TableWeeklySummary[[#This Row],[Hasta]])</f>
        <v>0</v>
      </c>
      <c r="Q447" s="12">
        <f ca="1">SUMIFS(TableDailySummary[Rappi_orders],TableDailySummary[Fecha],"&gt;="&amp;TableWeeklySummary[[#This Row],[Desde]],TableDailySummary[Fecha],"&lt;="&amp;TableWeeklySummary[[#This Row],[Hasta]])</f>
        <v>0</v>
      </c>
      <c r="R44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4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47" s="12">
        <f ca="1">SUMIFS(TableDailySummary[Inversión google ads],TableDailySummary[Fecha],"&gt;="&amp;TableWeeklySummary[[#This Row],[Desde]],TableDailySummary[Fecha],"&lt;="&amp;TableWeeklySummary[[#This Row],[Hasta]])</f>
        <v>0</v>
      </c>
      <c r="U447" s="12">
        <f ca="1">SUMIFS(TableDailySummary[Ventas google ads],TableDailySummary[Fecha],"&gt;="&amp;TableWeeklySummary[[#This Row],[Desde]],TableDailySummary[Fecha],"&lt;="&amp;TableWeeklySummary[[#This Row],[Hasta]])</f>
        <v>0</v>
      </c>
      <c r="V447" s="12">
        <f ca="1">SUMIFS(TableDailySummary[Inversión meta ads],TableDailySummary[Fecha],"&gt;="&amp;TableWeeklySummary[[#This Row],[Desde]],TableDailySummary[Fecha],"&lt;="&amp;TableWeeklySummary[[#This Row],[Hasta]])</f>
        <v>0</v>
      </c>
      <c r="W447" s="12">
        <f ca="1">SUMIFS(TableDailySummary[Ventas meta ads],TableDailySummary[Fecha],"&gt;="&amp;TableWeeklySummary[[#This Row],[Desde]],TableDailySummary[Fecha],"&lt;="&amp;TableWeeklySummary[[#This Row],[Hasta]])</f>
        <v>0</v>
      </c>
      <c r="X447" s="12">
        <f ca="1">TableWeeklySummary[[#This Row],[Inversión google ads]]+TableWeeklySummary[[#This Row],[Inversión meta ads]]</f>
        <v>0</v>
      </c>
      <c r="Y447" s="12">
        <f ca="1">TableWeeklySummary[[#This Row],[Ventas google ads]]+TableWeeklySummary[[#This Row],[Ventas meta ads]]</f>
        <v>0</v>
      </c>
      <c r="Z447" s="14">
        <f ca="1">IFERROR(TableWeeklySummary[[#This Row],[Ventas publicidad]]/TableWeeklySummary[[#This Row],[Inversión publicidad]],0)</f>
        <v>0</v>
      </c>
      <c r="AA447" s="14">
        <f ca="1">IFERROR(TableWeeklySummary[[#This Row],[Ventas primer cliente]]/TableWeeklySummary[[#This Row],[Inversión publicidad]],0)</f>
        <v>0</v>
      </c>
      <c r="AB447" s="14"/>
      <c r="AC447" s="12"/>
      <c r="AI44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4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47" s="12">
        <f ca="1">SUMIFS(TableDailySummary[Utilidad bruta],TableDailySummary[Fecha],"&gt;="&amp;TableWeeklySummary[[#This Row],[Desde]],TableDailySummary[Fecha],"&lt;="&amp;TableWeeklySummary[[#This Row],[Hasta]])</f>
        <v>0</v>
      </c>
      <c r="AL447" s="18">
        <f ca="1">IFERROR(TableWeeklySummary[[#This Row],[Utilidad bruta]]/TableWeeklySummary[[#This Row],[Ventas netas con costo registrado]],0)</f>
        <v>0</v>
      </c>
    </row>
    <row r="448" spans="2:38" x14ac:dyDescent="0.2">
      <c r="B448" s="16">
        <f ca="1">_xlfn.ISOWEEKNUM(TableWeeklySummary[[#This Row],[Hasta]])</f>
        <v>16</v>
      </c>
      <c r="C448" s="6">
        <f t="shared" ref="C448:C505" ca="1" si="9">_xlfn.LET(
    _xlpm.fechaini, ParamFechaInicioReporte,
    _xlpm.start_friday, IF(WEEKDAY(_xlpm.fechaini, 1) = 6, _xlpm.fechaini, _xlpm.fechaini - MOD(WEEKDAY(_xlpm.fechaini, 1) + 1, 7)),
    IF(ROW()=8, _xlpm.start_friday, C447 + 7)
)</f>
        <v>49048</v>
      </c>
      <c r="D448" s="6">
        <f ca="1">TableWeeklySummary[[#This Row],[Desde]]+7-1</f>
        <v>49054</v>
      </c>
      <c r="E448" s="12">
        <f ca="1">SUMIFS(TableDailySummary[Ventas netas totales],TableDailySummary[Fecha],"&gt;="&amp;TableWeeklySummary[[#This Row],[Desde]],TableDailySummary[Fecha],"&lt;="&amp;TableWeeklySummary[[#This Row],[Hasta]])</f>
        <v>0</v>
      </c>
      <c r="F448" s="12">
        <f ca="1">SUMIFS(TableDailySummary[Órdenes totales],TableDailySummary[Fecha],"&gt;="&amp;TableWeeklySummary[[#This Row],[Desde]],TableDailySummary[Fecha],"&lt;="&amp;TableWeeklySummary[[#This Row],[Hasta]])</f>
        <v>0</v>
      </c>
      <c r="G448" s="12">
        <f ca="1">IFERROR(TableWeeklySummary[[#This Row],[Ventas netas totales]]/TableWeeklySummary[[#This Row],[Órdenes totales]],0)</f>
        <v>0</v>
      </c>
      <c r="H44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48" s="12">
        <f ca="1">TableWeeklySummary[[#This Row],[Órden promedio totales]]*TableWeeklySummary[[#This Row],[CR totales]]</f>
        <v>0</v>
      </c>
      <c r="J448" s="12">
        <f ca="1">SUMIFS(TableDailySummary[Ventas primer cliente],TableDailySummary[Fecha],"&gt;="&amp;TableWeeklySummary[[#This Row],[Desde]],TableDailySummary[Fecha],"&lt;="&amp;TableWeeklySummary[[#This Row],[Hasta]])</f>
        <v>0</v>
      </c>
      <c r="K448" s="12">
        <f ca="1">SUMIFS(TableDailySummary[Órdenes primer cliente],TableDailySummary[Fecha],"&gt;="&amp;TableWeeklySummary[[#This Row],[Desde]],TableDailySummary[Fecha],"&lt;="&amp;TableWeeklySummary[[#This Row],[Hasta]])</f>
        <v>0</v>
      </c>
      <c r="L448" s="12">
        <f ca="1">SUMIFS(TableDailySummary[Online Store_net_sales],TableDailySummary[Fecha],"&gt;="&amp;TableWeeklySummary[[#This Row],[Desde]],TableDailySummary[Fecha],"&lt;="&amp;TableWeeklySummary[[#This Row],[Hasta]])</f>
        <v>0</v>
      </c>
      <c r="M448" s="12">
        <f ca="1">SUMIFS(TableDailySummary[Online Store_orders],TableDailySummary[Fecha],"&gt;="&amp;TableWeeklySummary[[#This Row],[Desde]],TableDailySummary[Fecha],"&lt;="&amp;TableWeeklySummary[[#This Row],[Hasta]])</f>
        <v>0</v>
      </c>
      <c r="N448" s="12">
        <f ca="1">SUMIFS(TableDailySummary[Tienda 81_net_sales],TableDailySummary[Fecha],"&gt;="&amp;TableWeeklySummary[[#This Row],[Desde]],TableDailySummary[Fecha],"&lt;="&amp;TableWeeklySummary[[#This Row],[Hasta]])</f>
        <v>0</v>
      </c>
      <c r="O448" s="12">
        <f ca="1">SUMIFS(TableDailySummary[Tienda 81_orders],TableDailySummary[Fecha],"&gt;="&amp;TableWeeklySummary[[#This Row],[Desde]],TableDailySummary[Fecha],"&lt;="&amp;TableWeeklySummary[[#This Row],[Hasta]])</f>
        <v>0</v>
      </c>
      <c r="P448" s="12">
        <f ca="1">SUMIFS(TableDailySummary[Rappi_net_sales],TableDailySummary[Fecha],"&gt;="&amp;TableWeeklySummary[[#This Row],[Desde]],TableDailySummary[Fecha],"&lt;="&amp;TableWeeklySummary[[#This Row],[Hasta]])</f>
        <v>0</v>
      </c>
      <c r="Q448" s="12">
        <f ca="1">SUMIFS(TableDailySummary[Rappi_orders],TableDailySummary[Fecha],"&gt;="&amp;TableWeeklySummary[[#This Row],[Desde]],TableDailySummary[Fecha],"&lt;="&amp;TableWeeklySummary[[#This Row],[Hasta]])</f>
        <v>0</v>
      </c>
      <c r="R44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4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48" s="12">
        <f ca="1">SUMIFS(TableDailySummary[Inversión google ads],TableDailySummary[Fecha],"&gt;="&amp;TableWeeklySummary[[#This Row],[Desde]],TableDailySummary[Fecha],"&lt;="&amp;TableWeeklySummary[[#This Row],[Hasta]])</f>
        <v>0</v>
      </c>
      <c r="U448" s="12">
        <f ca="1">SUMIFS(TableDailySummary[Ventas google ads],TableDailySummary[Fecha],"&gt;="&amp;TableWeeklySummary[[#This Row],[Desde]],TableDailySummary[Fecha],"&lt;="&amp;TableWeeklySummary[[#This Row],[Hasta]])</f>
        <v>0</v>
      </c>
      <c r="V448" s="12">
        <f ca="1">SUMIFS(TableDailySummary[Inversión meta ads],TableDailySummary[Fecha],"&gt;="&amp;TableWeeklySummary[[#This Row],[Desde]],TableDailySummary[Fecha],"&lt;="&amp;TableWeeklySummary[[#This Row],[Hasta]])</f>
        <v>0</v>
      </c>
      <c r="W448" s="12">
        <f ca="1">SUMIFS(TableDailySummary[Ventas meta ads],TableDailySummary[Fecha],"&gt;="&amp;TableWeeklySummary[[#This Row],[Desde]],TableDailySummary[Fecha],"&lt;="&amp;TableWeeklySummary[[#This Row],[Hasta]])</f>
        <v>0</v>
      </c>
      <c r="X448" s="12">
        <f ca="1">TableWeeklySummary[[#This Row],[Inversión google ads]]+TableWeeklySummary[[#This Row],[Inversión meta ads]]</f>
        <v>0</v>
      </c>
      <c r="Y448" s="12">
        <f ca="1">TableWeeklySummary[[#This Row],[Ventas google ads]]+TableWeeklySummary[[#This Row],[Ventas meta ads]]</f>
        <v>0</v>
      </c>
      <c r="Z448" s="14">
        <f ca="1">IFERROR(TableWeeklySummary[[#This Row],[Ventas publicidad]]/TableWeeklySummary[[#This Row],[Inversión publicidad]],0)</f>
        <v>0</v>
      </c>
      <c r="AA448" s="14">
        <f ca="1">IFERROR(TableWeeklySummary[[#This Row],[Ventas primer cliente]]/TableWeeklySummary[[#This Row],[Inversión publicidad]],0)</f>
        <v>0</v>
      </c>
      <c r="AB448" s="14"/>
      <c r="AC448" s="12"/>
      <c r="AI44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4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48" s="12">
        <f ca="1">SUMIFS(TableDailySummary[Utilidad bruta],TableDailySummary[Fecha],"&gt;="&amp;TableWeeklySummary[[#This Row],[Desde]],TableDailySummary[Fecha],"&lt;="&amp;TableWeeklySummary[[#This Row],[Hasta]])</f>
        <v>0</v>
      </c>
      <c r="AL448" s="18">
        <f ca="1">IFERROR(TableWeeklySummary[[#This Row],[Utilidad bruta]]/TableWeeklySummary[[#This Row],[Ventas netas con costo registrado]],0)</f>
        <v>0</v>
      </c>
    </row>
    <row r="449" spans="2:38" x14ac:dyDescent="0.2">
      <c r="B449" s="16">
        <f ca="1">_xlfn.ISOWEEKNUM(TableWeeklySummary[[#This Row],[Hasta]])</f>
        <v>17</v>
      </c>
      <c r="C449" s="6">
        <f t="shared" ca="1" si="9"/>
        <v>49055</v>
      </c>
      <c r="D449" s="6">
        <f ca="1">TableWeeklySummary[[#This Row],[Desde]]+7-1</f>
        <v>49061</v>
      </c>
      <c r="E449" s="12">
        <f ca="1">SUMIFS(TableDailySummary[Ventas netas totales],TableDailySummary[Fecha],"&gt;="&amp;TableWeeklySummary[[#This Row],[Desde]],TableDailySummary[Fecha],"&lt;="&amp;TableWeeklySummary[[#This Row],[Hasta]])</f>
        <v>0</v>
      </c>
      <c r="F449" s="12">
        <f ca="1">SUMIFS(TableDailySummary[Órdenes totales],TableDailySummary[Fecha],"&gt;="&amp;TableWeeklySummary[[#This Row],[Desde]],TableDailySummary[Fecha],"&lt;="&amp;TableWeeklySummary[[#This Row],[Hasta]])</f>
        <v>0</v>
      </c>
      <c r="G449" s="12">
        <f ca="1">IFERROR(TableWeeklySummary[[#This Row],[Ventas netas totales]]/TableWeeklySummary[[#This Row],[Órdenes totales]],0)</f>
        <v>0</v>
      </c>
      <c r="H44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49" s="12">
        <f ca="1">TableWeeklySummary[[#This Row],[Órden promedio totales]]*TableWeeklySummary[[#This Row],[CR totales]]</f>
        <v>0</v>
      </c>
      <c r="J449" s="12">
        <f ca="1">SUMIFS(TableDailySummary[Ventas primer cliente],TableDailySummary[Fecha],"&gt;="&amp;TableWeeklySummary[[#This Row],[Desde]],TableDailySummary[Fecha],"&lt;="&amp;TableWeeklySummary[[#This Row],[Hasta]])</f>
        <v>0</v>
      </c>
      <c r="K449" s="12">
        <f ca="1">SUMIFS(TableDailySummary[Órdenes primer cliente],TableDailySummary[Fecha],"&gt;="&amp;TableWeeklySummary[[#This Row],[Desde]],TableDailySummary[Fecha],"&lt;="&amp;TableWeeklySummary[[#This Row],[Hasta]])</f>
        <v>0</v>
      </c>
      <c r="L449" s="12">
        <f ca="1">SUMIFS(TableDailySummary[Online Store_net_sales],TableDailySummary[Fecha],"&gt;="&amp;TableWeeklySummary[[#This Row],[Desde]],TableDailySummary[Fecha],"&lt;="&amp;TableWeeklySummary[[#This Row],[Hasta]])</f>
        <v>0</v>
      </c>
      <c r="M449" s="12">
        <f ca="1">SUMIFS(TableDailySummary[Online Store_orders],TableDailySummary[Fecha],"&gt;="&amp;TableWeeklySummary[[#This Row],[Desde]],TableDailySummary[Fecha],"&lt;="&amp;TableWeeklySummary[[#This Row],[Hasta]])</f>
        <v>0</v>
      </c>
      <c r="N449" s="12">
        <f ca="1">SUMIFS(TableDailySummary[Tienda 81_net_sales],TableDailySummary[Fecha],"&gt;="&amp;TableWeeklySummary[[#This Row],[Desde]],TableDailySummary[Fecha],"&lt;="&amp;TableWeeklySummary[[#This Row],[Hasta]])</f>
        <v>0</v>
      </c>
      <c r="O449" s="12">
        <f ca="1">SUMIFS(TableDailySummary[Tienda 81_orders],TableDailySummary[Fecha],"&gt;="&amp;TableWeeklySummary[[#This Row],[Desde]],TableDailySummary[Fecha],"&lt;="&amp;TableWeeklySummary[[#This Row],[Hasta]])</f>
        <v>0</v>
      </c>
      <c r="P449" s="12">
        <f ca="1">SUMIFS(TableDailySummary[Rappi_net_sales],TableDailySummary[Fecha],"&gt;="&amp;TableWeeklySummary[[#This Row],[Desde]],TableDailySummary[Fecha],"&lt;="&amp;TableWeeklySummary[[#This Row],[Hasta]])</f>
        <v>0</v>
      </c>
      <c r="Q449" s="12">
        <f ca="1">SUMIFS(TableDailySummary[Rappi_orders],TableDailySummary[Fecha],"&gt;="&amp;TableWeeklySummary[[#This Row],[Desde]],TableDailySummary[Fecha],"&lt;="&amp;TableWeeklySummary[[#This Row],[Hasta]])</f>
        <v>0</v>
      </c>
      <c r="R44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4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49" s="12">
        <f ca="1">SUMIFS(TableDailySummary[Inversión google ads],TableDailySummary[Fecha],"&gt;="&amp;TableWeeklySummary[[#This Row],[Desde]],TableDailySummary[Fecha],"&lt;="&amp;TableWeeklySummary[[#This Row],[Hasta]])</f>
        <v>0</v>
      </c>
      <c r="U449" s="12">
        <f ca="1">SUMIFS(TableDailySummary[Ventas google ads],TableDailySummary[Fecha],"&gt;="&amp;TableWeeklySummary[[#This Row],[Desde]],TableDailySummary[Fecha],"&lt;="&amp;TableWeeklySummary[[#This Row],[Hasta]])</f>
        <v>0</v>
      </c>
      <c r="V449" s="12">
        <f ca="1">SUMIFS(TableDailySummary[Inversión meta ads],TableDailySummary[Fecha],"&gt;="&amp;TableWeeklySummary[[#This Row],[Desde]],TableDailySummary[Fecha],"&lt;="&amp;TableWeeklySummary[[#This Row],[Hasta]])</f>
        <v>0</v>
      </c>
      <c r="W449" s="12">
        <f ca="1">SUMIFS(TableDailySummary[Ventas meta ads],TableDailySummary[Fecha],"&gt;="&amp;TableWeeklySummary[[#This Row],[Desde]],TableDailySummary[Fecha],"&lt;="&amp;TableWeeklySummary[[#This Row],[Hasta]])</f>
        <v>0</v>
      </c>
      <c r="X449" s="12">
        <f ca="1">TableWeeklySummary[[#This Row],[Inversión google ads]]+TableWeeklySummary[[#This Row],[Inversión meta ads]]</f>
        <v>0</v>
      </c>
      <c r="Y449" s="12">
        <f ca="1">TableWeeklySummary[[#This Row],[Ventas google ads]]+TableWeeklySummary[[#This Row],[Ventas meta ads]]</f>
        <v>0</v>
      </c>
      <c r="Z449" s="14">
        <f ca="1">IFERROR(TableWeeklySummary[[#This Row],[Ventas publicidad]]/TableWeeklySummary[[#This Row],[Inversión publicidad]],0)</f>
        <v>0</v>
      </c>
      <c r="AA449" s="14">
        <f ca="1">IFERROR(TableWeeklySummary[[#This Row],[Ventas primer cliente]]/TableWeeklySummary[[#This Row],[Inversión publicidad]],0)</f>
        <v>0</v>
      </c>
      <c r="AB449" s="14"/>
      <c r="AC449" s="12"/>
      <c r="AI44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4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49" s="12">
        <f ca="1">SUMIFS(TableDailySummary[Utilidad bruta],TableDailySummary[Fecha],"&gt;="&amp;TableWeeklySummary[[#This Row],[Desde]],TableDailySummary[Fecha],"&lt;="&amp;TableWeeklySummary[[#This Row],[Hasta]])</f>
        <v>0</v>
      </c>
      <c r="AL449" s="18">
        <f ca="1">IFERROR(TableWeeklySummary[[#This Row],[Utilidad bruta]]/TableWeeklySummary[[#This Row],[Ventas netas con costo registrado]],0)</f>
        <v>0</v>
      </c>
    </row>
    <row r="450" spans="2:38" x14ac:dyDescent="0.2">
      <c r="B450" s="16">
        <f ca="1">_xlfn.ISOWEEKNUM(TableWeeklySummary[[#This Row],[Hasta]])</f>
        <v>18</v>
      </c>
      <c r="C450" s="6">
        <f t="shared" ca="1" si="9"/>
        <v>49062</v>
      </c>
      <c r="D450" s="6">
        <f ca="1">TableWeeklySummary[[#This Row],[Desde]]+7-1</f>
        <v>49068</v>
      </c>
      <c r="E450" s="12">
        <f ca="1">SUMIFS(TableDailySummary[Ventas netas totales],TableDailySummary[Fecha],"&gt;="&amp;TableWeeklySummary[[#This Row],[Desde]],TableDailySummary[Fecha],"&lt;="&amp;TableWeeklySummary[[#This Row],[Hasta]])</f>
        <v>0</v>
      </c>
      <c r="F450" s="12">
        <f ca="1">SUMIFS(TableDailySummary[Órdenes totales],TableDailySummary[Fecha],"&gt;="&amp;TableWeeklySummary[[#This Row],[Desde]],TableDailySummary[Fecha],"&lt;="&amp;TableWeeklySummary[[#This Row],[Hasta]])</f>
        <v>0</v>
      </c>
      <c r="G450" s="12">
        <f ca="1">IFERROR(TableWeeklySummary[[#This Row],[Ventas netas totales]]/TableWeeklySummary[[#This Row],[Órdenes totales]],0)</f>
        <v>0</v>
      </c>
      <c r="H45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50" s="12">
        <f ca="1">TableWeeklySummary[[#This Row],[Órden promedio totales]]*TableWeeklySummary[[#This Row],[CR totales]]</f>
        <v>0</v>
      </c>
      <c r="J450" s="12">
        <f ca="1">SUMIFS(TableDailySummary[Ventas primer cliente],TableDailySummary[Fecha],"&gt;="&amp;TableWeeklySummary[[#This Row],[Desde]],TableDailySummary[Fecha],"&lt;="&amp;TableWeeklySummary[[#This Row],[Hasta]])</f>
        <v>0</v>
      </c>
      <c r="K450" s="12">
        <f ca="1">SUMIFS(TableDailySummary[Órdenes primer cliente],TableDailySummary[Fecha],"&gt;="&amp;TableWeeklySummary[[#This Row],[Desde]],TableDailySummary[Fecha],"&lt;="&amp;TableWeeklySummary[[#This Row],[Hasta]])</f>
        <v>0</v>
      </c>
      <c r="L450" s="12">
        <f ca="1">SUMIFS(TableDailySummary[Online Store_net_sales],TableDailySummary[Fecha],"&gt;="&amp;TableWeeklySummary[[#This Row],[Desde]],TableDailySummary[Fecha],"&lt;="&amp;TableWeeklySummary[[#This Row],[Hasta]])</f>
        <v>0</v>
      </c>
      <c r="M450" s="12">
        <f ca="1">SUMIFS(TableDailySummary[Online Store_orders],TableDailySummary[Fecha],"&gt;="&amp;TableWeeklySummary[[#This Row],[Desde]],TableDailySummary[Fecha],"&lt;="&amp;TableWeeklySummary[[#This Row],[Hasta]])</f>
        <v>0</v>
      </c>
      <c r="N450" s="12">
        <f ca="1">SUMIFS(TableDailySummary[Tienda 81_net_sales],TableDailySummary[Fecha],"&gt;="&amp;TableWeeklySummary[[#This Row],[Desde]],TableDailySummary[Fecha],"&lt;="&amp;TableWeeklySummary[[#This Row],[Hasta]])</f>
        <v>0</v>
      </c>
      <c r="O450" s="12">
        <f ca="1">SUMIFS(TableDailySummary[Tienda 81_orders],TableDailySummary[Fecha],"&gt;="&amp;TableWeeklySummary[[#This Row],[Desde]],TableDailySummary[Fecha],"&lt;="&amp;TableWeeklySummary[[#This Row],[Hasta]])</f>
        <v>0</v>
      </c>
      <c r="P450" s="12">
        <f ca="1">SUMIFS(TableDailySummary[Rappi_net_sales],TableDailySummary[Fecha],"&gt;="&amp;TableWeeklySummary[[#This Row],[Desde]],TableDailySummary[Fecha],"&lt;="&amp;TableWeeklySummary[[#This Row],[Hasta]])</f>
        <v>0</v>
      </c>
      <c r="Q450" s="12">
        <f ca="1">SUMIFS(TableDailySummary[Rappi_orders],TableDailySummary[Fecha],"&gt;="&amp;TableWeeklySummary[[#This Row],[Desde]],TableDailySummary[Fecha],"&lt;="&amp;TableWeeklySummary[[#This Row],[Hasta]])</f>
        <v>0</v>
      </c>
      <c r="R45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5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50" s="12">
        <f ca="1">SUMIFS(TableDailySummary[Inversión google ads],TableDailySummary[Fecha],"&gt;="&amp;TableWeeklySummary[[#This Row],[Desde]],TableDailySummary[Fecha],"&lt;="&amp;TableWeeklySummary[[#This Row],[Hasta]])</f>
        <v>0</v>
      </c>
      <c r="U450" s="12">
        <f ca="1">SUMIFS(TableDailySummary[Ventas google ads],TableDailySummary[Fecha],"&gt;="&amp;TableWeeklySummary[[#This Row],[Desde]],TableDailySummary[Fecha],"&lt;="&amp;TableWeeklySummary[[#This Row],[Hasta]])</f>
        <v>0</v>
      </c>
      <c r="V450" s="12">
        <f ca="1">SUMIFS(TableDailySummary[Inversión meta ads],TableDailySummary[Fecha],"&gt;="&amp;TableWeeklySummary[[#This Row],[Desde]],TableDailySummary[Fecha],"&lt;="&amp;TableWeeklySummary[[#This Row],[Hasta]])</f>
        <v>0</v>
      </c>
      <c r="W450" s="12">
        <f ca="1">SUMIFS(TableDailySummary[Ventas meta ads],TableDailySummary[Fecha],"&gt;="&amp;TableWeeklySummary[[#This Row],[Desde]],TableDailySummary[Fecha],"&lt;="&amp;TableWeeklySummary[[#This Row],[Hasta]])</f>
        <v>0</v>
      </c>
      <c r="X450" s="12">
        <f ca="1">TableWeeklySummary[[#This Row],[Inversión google ads]]+TableWeeklySummary[[#This Row],[Inversión meta ads]]</f>
        <v>0</v>
      </c>
      <c r="Y450" s="12">
        <f ca="1">TableWeeklySummary[[#This Row],[Ventas google ads]]+TableWeeklySummary[[#This Row],[Ventas meta ads]]</f>
        <v>0</v>
      </c>
      <c r="Z450" s="14">
        <f ca="1">IFERROR(TableWeeklySummary[[#This Row],[Ventas publicidad]]/TableWeeklySummary[[#This Row],[Inversión publicidad]],0)</f>
        <v>0</v>
      </c>
      <c r="AA450" s="14">
        <f ca="1">IFERROR(TableWeeklySummary[[#This Row],[Ventas primer cliente]]/TableWeeklySummary[[#This Row],[Inversión publicidad]],0)</f>
        <v>0</v>
      </c>
      <c r="AB450" s="14"/>
      <c r="AC450" s="12"/>
      <c r="AI45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5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50" s="12">
        <f ca="1">SUMIFS(TableDailySummary[Utilidad bruta],TableDailySummary[Fecha],"&gt;="&amp;TableWeeklySummary[[#This Row],[Desde]],TableDailySummary[Fecha],"&lt;="&amp;TableWeeklySummary[[#This Row],[Hasta]])</f>
        <v>0</v>
      </c>
      <c r="AL450" s="18">
        <f ca="1">IFERROR(TableWeeklySummary[[#This Row],[Utilidad bruta]]/TableWeeklySummary[[#This Row],[Ventas netas con costo registrado]],0)</f>
        <v>0</v>
      </c>
    </row>
    <row r="451" spans="2:38" x14ac:dyDescent="0.2">
      <c r="B451" s="16">
        <f ca="1">_xlfn.ISOWEEKNUM(TableWeeklySummary[[#This Row],[Hasta]])</f>
        <v>19</v>
      </c>
      <c r="C451" s="6">
        <f t="shared" ca="1" si="9"/>
        <v>49069</v>
      </c>
      <c r="D451" s="6">
        <f ca="1">TableWeeklySummary[[#This Row],[Desde]]+7-1</f>
        <v>49075</v>
      </c>
      <c r="E451" s="12">
        <f ca="1">SUMIFS(TableDailySummary[Ventas netas totales],TableDailySummary[Fecha],"&gt;="&amp;TableWeeklySummary[[#This Row],[Desde]],TableDailySummary[Fecha],"&lt;="&amp;TableWeeklySummary[[#This Row],[Hasta]])</f>
        <v>0</v>
      </c>
      <c r="F451" s="12">
        <f ca="1">SUMIFS(TableDailySummary[Órdenes totales],TableDailySummary[Fecha],"&gt;="&amp;TableWeeklySummary[[#This Row],[Desde]],TableDailySummary[Fecha],"&lt;="&amp;TableWeeklySummary[[#This Row],[Hasta]])</f>
        <v>0</v>
      </c>
      <c r="G451" s="12">
        <f ca="1">IFERROR(TableWeeklySummary[[#This Row],[Ventas netas totales]]/TableWeeklySummary[[#This Row],[Órdenes totales]],0)</f>
        <v>0</v>
      </c>
      <c r="H45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51" s="12">
        <f ca="1">TableWeeklySummary[[#This Row],[Órden promedio totales]]*TableWeeklySummary[[#This Row],[CR totales]]</f>
        <v>0</v>
      </c>
      <c r="J451" s="12">
        <f ca="1">SUMIFS(TableDailySummary[Ventas primer cliente],TableDailySummary[Fecha],"&gt;="&amp;TableWeeklySummary[[#This Row],[Desde]],TableDailySummary[Fecha],"&lt;="&amp;TableWeeklySummary[[#This Row],[Hasta]])</f>
        <v>0</v>
      </c>
      <c r="K451" s="12">
        <f ca="1">SUMIFS(TableDailySummary[Órdenes primer cliente],TableDailySummary[Fecha],"&gt;="&amp;TableWeeklySummary[[#This Row],[Desde]],TableDailySummary[Fecha],"&lt;="&amp;TableWeeklySummary[[#This Row],[Hasta]])</f>
        <v>0</v>
      </c>
      <c r="L451" s="12">
        <f ca="1">SUMIFS(TableDailySummary[Online Store_net_sales],TableDailySummary[Fecha],"&gt;="&amp;TableWeeklySummary[[#This Row],[Desde]],TableDailySummary[Fecha],"&lt;="&amp;TableWeeklySummary[[#This Row],[Hasta]])</f>
        <v>0</v>
      </c>
      <c r="M451" s="12">
        <f ca="1">SUMIFS(TableDailySummary[Online Store_orders],TableDailySummary[Fecha],"&gt;="&amp;TableWeeklySummary[[#This Row],[Desde]],TableDailySummary[Fecha],"&lt;="&amp;TableWeeklySummary[[#This Row],[Hasta]])</f>
        <v>0</v>
      </c>
      <c r="N451" s="12">
        <f ca="1">SUMIFS(TableDailySummary[Tienda 81_net_sales],TableDailySummary[Fecha],"&gt;="&amp;TableWeeklySummary[[#This Row],[Desde]],TableDailySummary[Fecha],"&lt;="&amp;TableWeeklySummary[[#This Row],[Hasta]])</f>
        <v>0</v>
      </c>
      <c r="O451" s="12">
        <f ca="1">SUMIFS(TableDailySummary[Tienda 81_orders],TableDailySummary[Fecha],"&gt;="&amp;TableWeeklySummary[[#This Row],[Desde]],TableDailySummary[Fecha],"&lt;="&amp;TableWeeklySummary[[#This Row],[Hasta]])</f>
        <v>0</v>
      </c>
      <c r="P451" s="12">
        <f ca="1">SUMIFS(TableDailySummary[Rappi_net_sales],TableDailySummary[Fecha],"&gt;="&amp;TableWeeklySummary[[#This Row],[Desde]],TableDailySummary[Fecha],"&lt;="&amp;TableWeeklySummary[[#This Row],[Hasta]])</f>
        <v>0</v>
      </c>
      <c r="Q451" s="12">
        <f ca="1">SUMIFS(TableDailySummary[Rappi_orders],TableDailySummary[Fecha],"&gt;="&amp;TableWeeklySummary[[#This Row],[Desde]],TableDailySummary[Fecha],"&lt;="&amp;TableWeeklySummary[[#This Row],[Hasta]])</f>
        <v>0</v>
      </c>
      <c r="R45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5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51" s="12">
        <f ca="1">SUMIFS(TableDailySummary[Inversión google ads],TableDailySummary[Fecha],"&gt;="&amp;TableWeeklySummary[[#This Row],[Desde]],TableDailySummary[Fecha],"&lt;="&amp;TableWeeklySummary[[#This Row],[Hasta]])</f>
        <v>0</v>
      </c>
      <c r="U451" s="12">
        <f ca="1">SUMIFS(TableDailySummary[Ventas google ads],TableDailySummary[Fecha],"&gt;="&amp;TableWeeklySummary[[#This Row],[Desde]],TableDailySummary[Fecha],"&lt;="&amp;TableWeeklySummary[[#This Row],[Hasta]])</f>
        <v>0</v>
      </c>
      <c r="V451" s="12">
        <f ca="1">SUMIFS(TableDailySummary[Inversión meta ads],TableDailySummary[Fecha],"&gt;="&amp;TableWeeklySummary[[#This Row],[Desde]],TableDailySummary[Fecha],"&lt;="&amp;TableWeeklySummary[[#This Row],[Hasta]])</f>
        <v>0</v>
      </c>
      <c r="W451" s="12">
        <f ca="1">SUMIFS(TableDailySummary[Ventas meta ads],TableDailySummary[Fecha],"&gt;="&amp;TableWeeklySummary[[#This Row],[Desde]],TableDailySummary[Fecha],"&lt;="&amp;TableWeeklySummary[[#This Row],[Hasta]])</f>
        <v>0</v>
      </c>
      <c r="X451" s="12">
        <f ca="1">TableWeeklySummary[[#This Row],[Inversión google ads]]+TableWeeklySummary[[#This Row],[Inversión meta ads]]</f>
        <v>0</v>
      </c>
      <c r="Y451" s="12">
        <f ca="1">TableWeeklySummary[[#This Row],[Ventas google ads]]+TableWeeklySummary[[#This Row],[Ventas meta ads]]</f>
        <v>0</v>
      </c>
      <c r="Z451" s="14">
        <f ca="1">IFERROR(TableWeeklySummary[[#This Row],[Ventas publicidad]]/TableWeeklySummary[[#This Row],[Inversión publicidad]],0)</f>
        <v>0</v>
      </c>
      <c r="AA451" s="14">
        <f ca="1">IFERROR(TableWeeklySummary[[#This Row],[Ventas primer cliente]]/TableWeeklySummary[[#This Row],[Inversión publicidad]],0)</f>
        <v>0</v>
      </c>
      <c r="AB451" s="14"/>
      <c r="AC451" s="12"/>
      <c r="AI45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5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51" s="12">
        <f ca="1">SUMIFS(TableDailySummary[Utilidad bruta],TableDailySummary[Fecha],"&gt;="&amp;TableWeeklySummary[[#This Row],[Desde]],TableDailySummary[Fecha],"&lt;="&amp;TableWeeklySummary[[#This Row],[Hasta]])</f>
        <v>0</v>
      </c>
      <c r="AL451" s="18">
        <f ca="1">IFERROR(TableWeeklySummary[[#This Row],[Utilidad bruta]]/TableWeeklySummary[[#This Row],[Ventas netas con costo registrado]],0)</f>
        <v>0</v>
      </c>
    </row>
    <row r="452" spans="2:38" x14ac:dyDescent="0.2">
      <c r="B452" s="16">
        <f ca="1">_xlfn.ISOWEEKNUM(TableWeeklySummary[[#This Row],[Hasta]])</f>
        <v>20</v>
      </c>
      <c r="C452" s="6">
        <f t="shared" ca="1" si="9"/>
        <v>49076</v>
      </c>
      <c r="D452" s="6">
        <f ca="1">TableWeeklySummary[[#This Row],[Desde]]+7-1</f>
        <v>49082</v>
      </c>
      <c r="E452" s="12">
        <f ca="1">SUMIFS(TableDailySummary[Ventas netas totales],TableDailySummary[Fecha],"&gt;="&amp;TableWeeklySummary[[#This Row],[Desde]],TableDailySummary[Fecha],"&lt;="&amp;TableWeeklySummary[[#This Row],[Hasta]])</f>
        <v>0</v>
      </c>
      <c r="F452" s="12">
        <f ca="1">SUMIFS(TableDailySummary[Órdenes totales],TableDailySummary[Fecha],"&gt;="&amp;TableWeeklySummary[[#This Row],[Desde]],TableDailySummary[Fecha],"&lt;="&amp;TableWeeklySummary[[#This Row],[Hasta]])</f>
        <v>0</v>
      </c>
      <c r="G452" s="12">
        <f ca="1">IFERROR(TableWeeklySummary[[#This Row],[Ventas netas totales]]/TableWeeklySummary[[#This Row],[Órdenes totales]],0)</f>
        <v>0</v>
      </c>
      <c r="H45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52" s="12">
        <f ca="1">TableWeeklySummary[[#This Row],[Órden promedio totales]]*TableWeeklySummary[[#This Row],[CR totales]]</f>
        <v>0</v>
      </c>
      <c r="J452" s="12">
        <f ca="1">SUMIFS(TableDailySummary[Ventas primer cliente],TableDailySummary[Fecha],"&gt;="&amp;TableWeeklySummary[[#This Row],[Desde]],TableDailySummary[Fecha],"&lt;="&amp;TableWeeklySummary[[#This Row],[Hasta]])</f>
        <v>0</v>
      </c>
      <c r="K452" s="12">
        <f ca="1">SUMIFS(TableDailySummary[Órdenes primer cliente],TableDailySummary[Fecha],"&gt;="&amp;TableWeeklySummary[[#This Row],[Desde]],TableDailySummary[Fecha],"&lt;="&amp;TableWeeklySummary[[#This Row],[Hasta]])</f>
        <v>0</v>
      </c>
      <c r="L452" s="12">
        <f ca="1">SUMIFS(TableDailySummary[Online Store_net_sales],TableDailySummary[Fecha],"&gt;="&amp;TableWeeklySummary[[#This Row],[Desde]],TableDailySummary[Fecha],"&lt;="&amp;TableWeeklySummary[[#This Row],[Hasta]])</f>
        <v>0</v>
      </c>
      <c r="M452" s="12">
        <f ca="1">SUMIFS(TableDailySummary[Online Store_orders],TableDailySummary[Fecha],"&gt;="&amp;TableWeeklySummary[[#This Row],[Desde]],TableDailySummary[Fecha],"&lt;="&amp;TableWeeklySummary[[#This Row],[Hasta]])</f>
        <v>0</v>
      </c>
      <c r="N452" s="12">
        <f ca="1">SUMIFS(TableDailySummary[Tienda 81_net_sales],TableDailySummary[Fecha],"&gt;="&amp;TableWeeklySummary[[#This Row],[Desde]],TableDailySummary[Fecha],"&lt;="&amp;TableWeeklySummary[[#This Row],[Hasta]])</f>
        <v>0</v>
      </c>
      <c r="O452" s="12">
        <f ca="1">SUMIFS(TableDailySummary[Tienda 81_orders],TableDailySummary[Fecha],"&gt;="&amp;TableWeeklySummary[[#This Row],[Desde]],TableDailySummary[Fecha],"&lt;="&amp;TableWeeklySummary[[#This Row],[Hasta]])</f>
        <v>0</v>
      </c>
      <c r="P452" s="12">
        <f ca="1">SUMIFS(TableDailySummary[Rappi_net_sales],TableDailySummary[Fecha],"&gt;="&amp;TableWeeklySummary[[#This Row],[Desde]],TableDailySummary[Fecha],"&lt;="&amp;TableWeeklySummary[[#This Row],[Hasta]])</f>
        <v>0</v>
      </c>
      <c r="Q452" s="12">
        <f ca="1">SUMIFS(TableDailySummary[Rappi_orders],TableDailySummary[Fecha],"&gt;="&amp;TableWeeklySummary[[#This Row],[Desde]],TableDailySummary[Fecha],"&lt;="&amp;TableWeeklySummary[[#This Row],[Hasta]])</f>
        <v>0</v>
      </c>
      <c r="R45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5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52" s="12">
        <f ca="1">SUMIFS(TableDailySummary[Inversión google ads],TableDailySummary[Fecha],"&gt;="&amp;TableWeeklySummary[[#This Row],[Desde]],TableDailySummary[Fecha],"&lt;="&amp;TableWeeklySummary[[#This Row],[Hasta]])</f>
        <v>0</v>
      </c>
      <c r="U452" s="12">
        <f ca="1">SUMIFS(TableDailySummary[Ventas google ads],TableDailySummary[Fecha],"&gt;="&amp;TableWeeklySummary[[#This Row],[Desde]],TableDailySummary[Fecha],"&lt;="&amp;TableWeeklySummary[[#This Row],[Hasta]])</f>
        <v>0</v>
      </c>
      <c r="V452" s="12">
        <f ca="1">SUMIFS(TableDailySummary[Inversión meta ads],TableDailySummary[Fecha],"&gt;="&amp;TableWeeklySummary[[#This Row],[Desde]],TableDailySummary[Fecha],"&lt;="&amp;TableWeeklySummary[[#This Row],[Hasta]])</f>
        <v>0</v>
      </c>
      <c r="W452" s="12">
        <f ca="1">SUMIFS(TableDailySummary[Ventas meta ads],TableDailySummary[Fecha],"&gt;="&amp;TableWeeklySummary[[#This Row],[Desde]],TableDailySummary[Fecha],"&lt;="&amp;TableWeeklySummary[[#This Row],[Hasta]])</f>
        <v>0</v>
      </c>
      <c r="X452" s="12">
        <f ca="1">TableWeeklySummary[[#This Row],[Inversión google ads]]+TableWeeklySummary[[#This Row],[Inversión meta ads]]</f>
        <v>0</v>
      </c>
      <c r="Y452" s="12">
        <f ca="1">TableWeeklySummary[[#This Row],[Ventas google ads]]+TableWeeklySummary[[#This Row],[Ventas meta ads]]</f>
        <v>0</v>
      </c>
      <c r="Z452" s="14">
        <f ca="1">IFERROR(TableWeeklySummary[[#This Row],[Ventas publicidad]]/TableWeeklySummary[[#This Row],[Inversión publicidad]],0)</f>
        <v>0</v>
      </c>
      <c r="AA452" s="14">
        <f ca="1">IFERROR(TableWeeklySummary[[#This Row],[Ventas primer cliente]]/TableWeeklySummary[[#This Row],[Inversión publicidad]],0)</f>
        <v>0</v>
      </c>
      <c r="AB452" s="14"/>
      <c r="AC452" s="12"/>
      <c r="AI45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5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52" s="12">
        <f ca="1">SUMIFS(TableDailySummary[Utilidad bruta],TableDailySummary[Fecha],"&gt;="&amp;TableWeeklySummary[[#This Row],[Desde]],TableDailySummary[Fecha],"&lt;="&amp;TableWeeklySummary[[#This Row],[Hasta]])</f>
        <v>0</v>
      </c>
      <c r="AL452" s="18">
        <f ca="1">IFERROR(TableWeeklySummary[[#This Row],[Utilidad bruta]]/TableWeeklySummary[[#This Row],[Ventas netas con costo registrado]],0)</f>
        <v>0</v>
      </c>
    </row>
    <row r="453" spans="2:38" x14ac:dyDescent="0.2">
      <c r="B453" s="16">
        <f ca="1">_xlfn.ISOWEEKNUM(TableWeeklySummary[[#This Row],[Hasta]])</f>
        <v>21</v>
      </c>
      <c r="C453" s="6">
        <f t="shared" ca="1" si="9"/>
        <v>49083</v>
      </c>
      <c r="D453" s="6">
        <f ca="1">TableWeeklySummary[[#This Row],[Desde]]+7-1</f>
        <v>49089</v>
      </c>
      <c r="E453" s="12">
        <f ca="1">SUMIFS(TableDailySummary[Ventas netas totales],TableDailySummary[Fecha],"&gt;="&amp;TableWeeklySummary[[#This Row],[Desde]],TableDailySummary[Fecha],"&lt;="&amp;TableWeeklySummary[[#This Row],[Hasta]])</f>
        <v>0</v>
      </c>
      <c r="F453" s="12">
        <f ca="1">SUMIFS(TableDailySummary[Órdenes totales],TableDailySummary[Fecha],"&gt;="&amp;TableWeeklySummary[[#This Row],[Desde]],TableDailySummary[Fecha],"&lt;="&amp;TableWeeklySummary[[#This Row],[Hasta]])</f>
        <v>0</v>
      </c>
      <c r="G453" s="12">
        <f ca="1">IFERROR(TableWeeklySummary[[#This Row],[Ventas netas totales]]/TableWeeklySummary[[#This Row],[Órdenes totales]],0)</f>
        <v>0</v>
      </c>
      <c r="H45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53" s="12">
        <f ca="1">TableWeeklySummary[[#This Row],[Órden promedio totales]]*TableWeeklySummary[[#This Row],[CR totales]]</f>
        <v>0</v>
      </c>
      <c r="J453" s="12">
        <f ca="1">SUMIFS(TableDailySummary[Ventas primer cliente],TableDailySummary[Fecha],"&gt;="&amp;TableWeeklySummary[[#This Row],[Desde]],TableDailySummary[Fecha],"&lt;="&amp;TableWeeklySummary[[#This Row],[Hasta]])</f>
        <v>0</v>
      </c>
      <c r="K453" s="12">
        <f ca="1">SUMIFS(TableDailySummary[Órdenes primer cliente],TableDailySummary[Fecha],"&gt;="&amp;TableWeeklySummary[[#This Row],[Desde]],TableDailySummary[Fecha],"&lt;="&amp;TableWeeklySummary[[#This Row],[Hasta]])</f>
        <v>0</v>
      </c>
      <c r="L453" s="12">
        <f ca="1">SUMIFS(TableDailySummary[Online Store_net_sales],TableDailySummary[Fecha],"&gt;="&amp;TableWeeklySummary[[#This Row],[Desde]],TableDailySummary[Fecha],"&lt;="&amp;TableWeeklySummary[[#This Row],[Hasta]])</f>
        <v>0</v>
      </c>
      <c r="M453" s="12">
        <f ca="1">SUMIFS(TableDailySummary[Online Store_orders],TableDailySummary[Fecha],"&gt;="&amp;TableWeeklySummary[[#This Row],[Desde]],TableDailySummary[Fecha],"&lt;="&amp;TableWeeklySummary[[#This Row],[Hasta]])</f>
        <v>0</v>
      </c>
      <c r="N453" s="12">
        <f ca="1">SUMIFS(TableDailySummary[Tienda 81_net_sales],TableDailySummary[Fecha],"&gt;="&amp;TableWeeklySummary[[#This Row],[Desde]],TableDailySummary[Fecha],"&lt;="&amp;TableWeeklySummary[[#This Row],[Hasta]])</f>
        <v>0</v>
      </c>
      <c r="O453" s="12">
        <f ca="1">SUMIFS(TableDailySummary[Tienda 81_orders],TableDailySummary[Fecha],"&gt;="&amp;TableWeeklySummary[[#This Row],[Desde]],TableDailySummary[Fecha],"&lt;="&amp;TableWeeklySummary[[#This Row],[Hasta]])</f>
        <v>0</v>
      </c>
      <c r="P453" s="12">
        <f ca="1">SUMIFS(TableDailySummary[Rappi_net_sales],TableDailySummary[Fecha],"&gt;="&amp;TableWeeklySummary[[#This Row],[Desde]],TableDailySummary[Fecha],"&lt;="&amp;TableWeeklySummary[[#This Row],[Hasta]])</f>
        <v>0</v>
      </c>
      <c r="Q453" s="12">
        <f ca="1">SUMIFS(TableDailySummary[Rappi_orders],TableDailySummary[Fecha],"&gt;="&amp;TableWeeklySummary[[#This Row],[Desde]],TableDailySummary[Fecha],"&lt;="&amp;TableWeeklySummary[[#This Row],[Hasta]])</f>
        <v>0</v>
      </c>
      <c r="R45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5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53" s="12">
        <f ca="1">SUMIFS(TableDailySummary[Inversión google ads],TableDailySummary[Fecha],"&gt;="&amp;TableWeeklySummary[[#This Row],[Desde]],TableDailySummary[Fecha],"&lt;="&amp;TableWeeklySummary[[#This Row],[Hasta]])</f>
        <v>0</v>
      </c>
      <c r="U453" s="12">
        <f ca="1">SUMIFS(TableDailySummary[Ventas google ads],TableDailySummary[Fecha],"&gt;="&amp;TableWeeklySummary[[#This Row],[Desde]],TableDailySummary[Fecha],"&lt;="&amp;TableWeeklySummary[[#This Row],[Hasta]])</f>
        <v>0</v>
      </c>
      <c r="V453" s="12">
        <f ca="1">SUMIFS(TableDailySummary[Inversión meta ads],TableDailySummary[Fecha],"&gt;="&amp;TableWeeklySummary[[#This Row],[Desde]],TableDailySummary[Fecha],"&lt;="&amp;TableWeeklySummary[[#This Row],[Hasta]])</f>
        <v>0</v>
      </c>
      <c r="W453" s="12">
        <f ca="1">SUMIFS(TableDailySummary[Ventas meta ads],TableDailySummary[Fecha],"&gt;="&amp;TableWeeklySummary[[#This Row],[Desde]],TableDailySummary[Fecha],"&lt;="&amp;TableWeeklySummary[[#This Row],[Hasta]])</f>
        <v>0</v>
      </c>
      <c r="X453" s="12">
        <f ca="1">TableWeeklySummary[[#This Row],[Inversión google ads]]+TableWeeklySummary[[#This Row],[Inversión meta ads]]</f>
        <v>0</v>
      </c>
      <c r="Y453" s="12">
        <f ca="1">TableWeeklySummary[[#This Row],[Ventas google ads]]+TableWeeklySummary[[#This Row],[Ventas meta ads]]</f>
        <v>0</v>
      </c>
      <c r="Z453" s="14">
        <f ca="1">IFERROR(TableWeeklySummary[[#This Row],[Ventas publicidad]]/TableWeeklySummary[[#This Row],[Inversión publicidad]],0)</f>
        <v>0</v>
      </c>
      <c r="AA453" s="14">
        <f ca="1">IFERROR(TableWeeklySummary[[#This Row],[Ventas primer cliente]]/TableWeeklySummary[[#This Row],[Inversión publicidad]],0)</f>
        <v>0</v>
      </c>
      <c r="AB453" s="14"/>
      <c r="AC453" s="12"/>
      <c r="AI45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5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53" s="12">
        <f ca="1">SUMIFS(TableDailySummary[Utilidad bruta],TableDailySummary[Fecha],"&gt;="&amp;TableWeeklySummary[[#This Row],[Desde]],TableDailySummary[Fecha],"&lt;="&amp;TableWeeklySummary[[#This Row],[Hasta]])</f>
        <v>0</v>
      </c>
      <c r="AL453" s="18">
        <f ca="1">IFERROR(TableWeeklySummary[[#This Row],[Utilidad bruta]]/TableWeeklySummary[[#This Row],[Ventas netas con costo registrado]],0)</f>
        <v>0</v>
      </c>
    </row>
    <row r="454" spans="2:38" x14ac:dyDescent="0.2">
      <c r="B454" s="16">
        <f ca="1">_xlfn.ISOWEEKNUM(TableWeeklySummary[[#This Row],[Hasta]])</f>
        <v>22</v>
      </c>
      <c r="C454" s="6">
        <f t="shared" ca="1" si="9"/>
        <v>49090</v>
      </c>
      <c r="D454" s="6">
        <f ca="1">TableWeeklySummary[[#This Row],[Desde]]+7-1</f>
        <v>49096</v>
      </c>
      <c r="E454" s="12">
        <f ca="1">SUMIFS(TableDailySummary[Ventas netas totales],TableDailySummary[Fecha],"&gt;="&amp;TableWeeklySummary[[#This Row],[Desde]],TableDailySummary[Fecha],"&lt;="&amp;TableWeeklySummary[[#This Row],[Hasta]])</f>
        <v>0</v>
      </c>
      <c r="F454" s="12">
        <f ca="1">SUMIFS(TableDailySummary[Órdenes totales],TableDailySummary[Fecha],"&gt;="&amp;TableWeeklySummary[[#This Row],[Desde]],TableDailySummary[Fecha],"&lt;="&amp;TableWeeklySummary[[#This Row],[Hasta]])</f>
        <v>0</v>
      </c>
      <c r="G454" s="12">
        <f ca="1">IFERROR(TableWeeklySummary[[#This Row],[Ventas netas totales]]/TableWeeklySummary[[#This Row],[Órdenes totales]],0)</f>
        <v>0</v>
      </c>
      <c r="H45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54" s="12">
        <f ca="1">TableWeeklySummary[[#This Row],[Órden promedio totales]]*TableWeeklySummary[[#This Row],[CR totales]]</f>
        <v>0</v>
      </c>
      <c r="J454" s="12">
        <f ca="1">SUMIFS(TableDailySummary[Ventas primer cliente],TableDailySummary[Fecha],"&gt;="&amp;TableWeeklySummary[[#This Row],[Desde]],TableDailySummary[Fecha],"&lt;="&amp;TableWeeklySummary[[#This Row],[Hasta]])</f>
        <v>0</v>
      </c>
      <c r="K454" s="12">
        <f ca="1">SUMIFS(TableDailySummary[Órdenes primer cliente],TableDailySummary[Fecha],"&gt;="&amp;TableWeeklySummary[[#This Row],[Desde]],TableDailySummary[Fecha],"&lt;="&amp;TableWeeklySummary[[#This Row],[Hasta]])</f>
        <v>0</v>
      </c>
      <c r="L454" s="12">
        <f ca="1">SUMIFS(TableDailySummary[Online Store_net_sales],TableDailySummary[Fecha],"&gt;="&amp;TableWeeklySummary[[#This Row],[Desde]],TableDailySummary[Fecha],"&lt;="&amp;TableWeeklySummary[[#This Row],[Hasta]])</f>
        <v>0</v>
      </c>
      <c r="M454" s="12">
        <f ca="1">SUMIFS(TableDailySummary[Online Store_orders],TableDailySummary[Fecha],"&gt;="&amp;TableWeeklySummary[[#This Row],[Desde]],TableDailySummary[Fecha],"&lt;="&amp;TableWeeklySummary[[#This Row],[Hasta]])</f>
        <v>0</v>
      </c>
      <c r="N454" s="12">
        <f ca="1">SUMIFS(TableDailySummary[Tienda 81_net_sales],TableDailySummary[Fecha],"&gt;="&amp;TableWeeklySummary[[#This Row],[Desde]],TableDailySummary[Fecha],"&lt;="&amp;TableWeeklySummary[[#This Row],[Hasta]])</f>
        <v>0</v>
      </c>
      <c r="O454" s="12">
        <f ca="1">SUMIFS(TableDailySummary[Tienda 81_orders],TableDailySummary[Fecha],"&gt;="&amp;TableWeeklySummary[[#This Row],[Desde]],TableDailySummary[Fecha],"&lt;="&amp;TableWeeklySummary[[#This Row],[Hasta]])</f>
        <v>0</v>
      </c>
      <c r="P454" s="12">
        <f ca="1">SUMIFS(TableDailySummary[Rappi_net_sales],TableDailySummary[Fecha],"&gt;="&amp;TableWeeklySummary[[#This Row],[Desde]],TableDailySummary[Fecha],"&lt;="&amp;TableWeeklySummary[[#This Row],[Hasta]])</f>
        <v>0</v>
      </c>
      <c r="Q454" s="12">
        <f ca="1">SUMIFS(TableDailySummary[Rappi_orders],TableDailySummary[Fecha],"&gt;="&amp;TableWeeklySummary[[#This Row],[Desde]],TableDailySummary[Fecha],"&lt;="&amp;TableWeeklySummary[[#This Row],[Hasta]])</f>
        <v>0</v>
      </c>
      <c r="R45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5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54" s="12">
        <f ca="1">SUMIFS(TableDailySummary[Inversión google ads],TableDailySummary[Fecha],"&gt;="&amp;TableWeeklySummary[[#This Row],[Desde]],TableDailySummary[Fecha],"&lt;="&amp;TableWeeklySummary[[#This Row],[Hasta]])</f>
        <v>0</v>
      </c>
      <c r="U454" s="12">
        <f ca="1">SUMIFS(TableDailySummary[Ventas google ads],TableDailySummary[Fecha],"&gt;="&amp;TableWeeklySummary[[#This Row],[Desde]],TableDailySummary[Fecha],"&lt;="&amp;TableWeeklySummary[[#This Row],[Hasta]])</f>
        <v>0</v>
      </c>
      <c r="V454" s="12">
        <f ca="1">SUMIFS(TableDailySummary[Inversión meta ads],TableDailySummary[Fecha],"&gt;="&amp;TableWeeklySummary[[#This Row],[Desde]],TableDailySummary[Fecha],"&lt;="&amp;TableWeeklySummary[[#This Row],[Hasta]])</f>
        <v>0</v>
      </c>
      <c r="W454" s="12">
        <f ca="1">SUMIFS(TableDailySummary[Ventas meta ads],TableDailySummary[Fecha],"&gt;="&amp;TableWeeklySummary[[#This Row],[Desde]],TableDailySummary[Fecha],"&lt;="&amp;TableWeeklySummary[[#This Row],[Hasta]])</f>
        <v>0</v>
      </c>
      <c r="X454" s="12">
        <f ca="1">TableWeeklySummary[[#This Row],[Inversión google ads]]+TableWeeklySummary[[#This Row],[Inversión meta ads]]</f>
        <v>0</v>
      </c>
      <c r="Y454" s="12">
        <f ca="1">TableWeeklySummary[[#This Row],[Ventas google ads]]+TableWeeklySummary[[#This Row],[Ventas meta ads]]</f>
        <v>0</v>
      </c>
      <c r="Z454" s="14">
        <f ca="1">IFERROR(TableWeeklySummary[[#This Row],[Ventas publicidad]]/TableWeeklySummary[[#This Row],[Inversión publicidad]],0)</f>
        <v>0</v>
      </c>
      <c r="AA454" s="14">
        <f ca="1">IFERROR(TableWeeklySummary[[#This Row],[Ventas primer cliente]]/TableWeeklySummary[[#This Row],[Inversión publicidad]],0)</f>
        <v>0</v>
      </c>
      <c r="AB454" s="14"/>
      <c r="AC454" s="12"/>
      <c r="AI45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5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54" s="12">
        <f ca="1">SUMIFS(TableDailySummary[Utilidad bruta],TableDailySummary[Fecha],"&gt;="&amp;TableWeeklySummary[[#This Row],[Desde]],TableDailySummary[Fecha],"&lt;="&amp;TableWeeklySummary[[#This Row],[Hasta]])</f>
        <v>0</v>
      </c>
      <c r="AL454" s="18">
        <f ca="1">IFERROR(TableWeeklySummary[[#This Row],[Utilidad bruta]]/TableWeeklySummary[[#This Row],[Ventas netas con costo registrado]],0)</f>
        <v>0</v>
      </c>
    </row>
    <row r="455" spans="2:38" x14ac:dyDescent="0.2">
      <c r="B455" s="16">
        <f ca="1">_xlfn.ISOWEEKNUM(TableWeeklySummary[[#This Row],[Hasta]])</f>
        <v>23</v>
      </c>
      <c r="C455" s="6">
        <f t="shared" ca="1" si="9"/>
        <v>49097</v>
      </c>
      <c r="D455" s="6">
        <f ca="1">TableWeeklySummary[[#This Row],[Desde]]+7-1</f>
        <v>49103</v>
      </c>
      <c r="E455" s="12">
        <f ca="1">SUMIFS(TableDailySummary[Ventas netas totales],TableDailySummary[Fecha],"&gt;="&amp;TableWeeklySummary[[#This Row],[Desde]],TableDailySummary[Fecha],"&lt;="&amp;TableWeeklySummary[[#This Row],[Hasta]])</f>
        <v>0</v>
      </c>
      <c r="F455" s="12">
        <f ca="1">SUMIFS(TableDailySummary[Órdenes totales],TableDailySummary[Fecha],"&gt;="&amp;TableWeeklySummary[[#This Row],[Desde]],TableDailySummary[Fecha],"&lt;="&amp;TableWeeklySummary[[#This Row],[Hasta]])</f>
        <v>0</v>
      </c>
      <c r="G455" s="12">
        <f ca="1">IFERROR(TableWeeklySummary[[#This Row],[Ventas netas totales]]/TableWeeklySummary[[#This Row],[Órdenes totales]],0)</f>
        <v>0</v>
      </c>
      <c r="H45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55" s="12">
        <f ca="1">TableWeeklySummary[[#This Row],[Órden promedio totales]]*TableWeeklySummary[[#This Row],[CR totales]]</f>
        <v>0</v>
      </c>
      <c r="J455" s="12">
        <f ca="1">SUMIFS(TableDailySummary[Ventas primer cliente],TableDailySummary[Fecha],"&gt;="&amp;TableWeeklySummary[[#This Row],[Desde]],TableDailySummary[Fecha],"&lt;="&amp;TableWeeklySummary[[#This Row],[Hasta]])</f>
        <v>0</v>
      </c>
      <c r="K455" s="12">
        <f ca="1">SUMIFS(TableDailySummary[Órdenes primer cliente],TableDailySummary[Fecha],"&gt;="&amp;TableWeeklySummary[[#This Row],[Desde]],TableDailySummary[Fecha],"&lt;="&amp;TableWeeklySummary[[#This Row],[Hasta]])</f>
        <v>0</v>
      </c>
      <c r="L455" s="12">
        <f ca="1">SUMIFS(TableDailySummary[Online Store_net_sales],TableDailySummary[Fecha],"&gt;="&amp;TableWeeklySummary[[#This Row],[Desde]],TableDailySummary[Fecha],"&lt;="&amp;TableWeeklySummary[[#This Row],[Hasta]])</f>
        <v>0</v>
      </c>
      <c r="M455" s="12">
        <f ca="1">SUMIFS(TableDailySummary[Online Store_orders],TableDailySummary[Fecha],"&gt;="&amp;TableWeeklySummary[[#This Row],[Desde]],TableDailySummary[Fecha],"&lt;="&amp;TableWeeklySummary[[#This Row],[Hasta]])</f>
        <v>0</v>
      </c>
      <c r="N455" s="12">
        <f ca="1">SUMIFS(TableDailySummary[Tienda 81_net_sales],TableDailySummary[Fecha],"&gt;="&amp;TableWeeklySummary[[#This Row],[Desde]],TableDailySummary[Fecha],"&lt;="&amp;TableWeeklySummary[[#This Row],[Hasta]])</f>
        <v>0</v>
      </c>
      <c r="O455" s="12">
        <f ca="1">SUMIFS(TableDailySummary[Tienda 81_orders],TableDailySummary[Fecha],"&gt;="&amp;TableWeeklySummary[[#This Row],[Desde]],TableDailySummary[Fecha],"&lt;="&amp;TableWeeklySummary[[#This Row],[Hasta]])</f>
        <v>0</v>
      </c>
      <c r="P455" s="12">
        <f ca="1">SUMIFS(TableDailySummary[Rappi_net_sales],TableDailySummary[Fecha],"&gt;="&amp;TableWeeklySummary[[#This Row],[Desde]],TableDailySummary[Fecha],"&lt;="&amp;TableWeeklySummary[[#This Row],[Hasta]])</f>
        <v>0</v>
      </c>
      <c r="Q455" s="12">
        <f ca="1">SUMIFS(TableDailySummary[Rappi_orders],TableDailySummary[Fecha],"&gt;="&amp;TableWeeklySummary[[#This Row],[Desde]],TableDailySummary[Fecha],"&lt;="&amp;TableWeeklySummary[[#This Row],[Hasta]])</f>
        <v>0</v>
      </c>
      <c r="R45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5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55" s="12">
        <f ca="1">SUMIFS(TableDailySummary[Inversión google ads],TableDailySummary[Fecha],"&gt;="&amp;TableWeeklySummary[[#This Row],[Desde]],TableDailySummary[Fecha],"&lt;="&amp;TableWeeklySummary[[#This Row],[Hasta]])</f>
        <v>0</v>
      </c>
      <c r="U455" s="12">
        <f ca="1">SUMIFS(TableDailySummary[Ventas google ads],TableDailySummary[Fecha],"&gt;="&amp;TableWeeklySummary[[#This Row],[Desde]],TableDailySummary[Fecha],"&lt;="&amp;TableWeeklySummary[[#This Row],[Hasta]])</f>
        <v>0</v>
      </c>
      <c r="V455" s="12">
        <f ca="1">SUMIFS(TableDailySummary[Inversión meta ads],TableDailySummary[Fecha],"&gt;="&amp;TableWeeklySummary[[#This Row],[Desde]],TableDailySummary[Fecha],"&lt;="&amp;TableWeeklySummary[[#This Row],[Hasta]])</f>
        <v>0</v>
      </c>
      <c r="W455" s="12">
        <f ca="1">SUMIFS(TableDailySummary[Ventas meta ads],TableDailySummary[Fecha],"&gt;="&amp;TableWeeklySummary[[#This Row],[Desde]],TableDailySummary[Fecha],"&lt;="&amp;TableWeeklySummary[[#This Row],[Hasta]])</f>
        <v>0</v>
      </c>
      <c r="X455" s="12">
        <f ca="1">TableWeeklySummary[[#This Row],[Inversión google ads]]+TableWeeklySummary[[#This Row],[Inversión meta ads]]</f>
        <v>0</v>
      </c>
      <c r="Y455" s="12">
        <f ca="1">TableWeeklySummary[[#This Row],[Ventas google ads]]+TableWeeklySummary[[#This Row],[Ventas meta ads]]</f>
        <v>0</v>
      </c>
      <c r="Z455" s="14">
        <f ca="1">IFERROR(TableWeeklySummary[[#This Row],[Ventas publicidad]]/TableWeeklySummary[[#This Row],[Inversión publicidad]],0)</f>
        <v>0</v>
      </c>
      <c r="AA455" s="14">
        <f ca="1">IFERROR(TableWeeklySummary[[#This Row],[Ventas primer cliente]]/TableWeeklySummary[[#This Row],[Inversión publicidad]],0)</f>
        <v>0</v>
      </c>
      <c r="AB455" s="14"/>
      <c r="AC455" s="12"/>
      <c r="AI45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5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55" s="12">
        <f ca="1">SUMIFS(TableDailySummary[Utilidad bruta],TableDailySummary[Fecha],"&gt;="&amp;TableWeeklySummary[[#This Row],[Desde]],TableDailySummary[Fecha],"&lt;="&amp;TableWeeklySummary[[#This Row],[Hasta]])</f>
        <v>0</v>
      </c>
      <c r="AL455" s="18">
        <f ca="1">IFERROR(TableWeeklySummary[[#This Row],[Utilidad bruta]]/TableWeeklySummary[[#This Row],[Ventas netas con costo registrado]],0)</f>
        <v>0</v>
      </c>
    </row>
    <row r="456" spans="2:38" x14ac:dyDescent="0.2">
      <c r="B456" s="16">
        <f ca="1">_xlfn.ISOWEEKNUM(TableWeeklySummary[[#This Row],[Hasta]])</f>
        <v>24</v>
      </c>
      <c r="C456" s="6">
        <f t="shared" ca="1" si="9"/>
        <v>49104</v>
      </c>
      <c r="D456" s="6">
        <f ca="1">TableWeeklySummary[[#This Row],[Desde]]+7-1</f>
        <v>49110</v>
      </c>
      <c r="E456" s="12">
        <f ca="1">SUMIFS(TableDailySummary[Ventas netas totales],TableDailySummary[Fecha],"&gt;="&amp;TableWeeklySummary[[#This Row],[Desde]],TableDailySummary[Fecha],"&lt;="&amp;TableWeeklySummary[[#This Row],[Hasta]])</f>
        <v>0</v>
      </c>
      <c r="F456" s="12">
        <f ca="1">SUMIFS(TableDailySummary[Órdenes totales],TableDailySummary[Fecha],"&gt;="&amp;TableWeeklySummary[[#This Row],[Desde]],TableDailySummary[Fecha],"&lt;="&amp;TableWeeklySummary[[#This Row],[Hasta]])</f>
        <v>0</v>
      </c>
      <c r="G456" s="12">
        <f ca="1">IFERROR(TableWeeklySummary[[#This Row],[Ventas netas totales]]/TableWeeklySummary[[#This Row],[Órdenes totales]],0)</f>
        <v>0</v>
      </c>
      <c r="H45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56" s="12">
        <f ca="1">TableWeeklySummary[[#This Row],[Órden promedio totales]]*TableWeeklySummary[[#This Row],[CR totales]]</f>
        <v>0</v>
      </c>
      <c r="J456" s="12">
        <f ca="1">SUMIFS(TableDailySummary[Ventas primer cliente],TableDailySummary[Fecha],"&gt;="&amp;TableWeeklySummary[[#This Row],[Desde]],TableDailySummary[Fecha],"&lt;="&amp;TableWeeklySummary[[#This Row],[Hasta]])</f>
        <v>0</v>
      </c>
      <c r="K456" s="12">
        <f ca="1">SUMIFS(TableDailySummary[Órdenes primer cliente],TableDailySummary[Fecha],"&gt;="&amp;TableWeeklySummary[[#This Row],[Desde]],TableDailySummary[Fecha],"&lt;="&amp;TableWeeklySummary[[#This Row],[Hasta]])</f>
        <v>0</v>
      </c>
      <c r="L456" s="12">
        <f ca="1">SUMIFS(TableDailySummary[Online Store_net_sales],TableDailySummary[Fecha],"&gt;="&amp;TableWeeklySummary[[#This Row],[Desde]],TableDailySummary[Fecha],"&lt;="&amp;TableWeeklySummary[[#This Row],[Hasta]])</f>
        <v>0</v>
      </c>
      <c r="M456" s="12">
        <f ca="1">SUMIFS(TableDailySummary[Online Store_orders],TableDailySummary[Fecha],"&gt;="&amp;TableWeeklySummary[[#This Row],[Desde]],TableDailySummary[Fecha],"&lt;="&amp;TableWeeklySummary[[#This Row],[Hasta]])</f>
        <v>0</v>
      </c>
      <c r="N456" s="12">
        <f ca="1">SUMIFS(TableDailySummary[Tienda 81_net_sales],TableDailySummary[Fecha],"&gt;="&amp;TableWeeklySummary[[#This Row],[Desde]],TableDailySummary[Fecha],"&lt;="&amp;TableWeeklySummary[[#This Row],[Hasta]])</f>
        <v>0</v>
      </c>
      <c r="O456" s="12">
        <f ca="1">SUMIFS(TableDailySummary[Tienda 81_orders],TableDailySummary[Fecha],"&gt;="&amp;TableWeeklySummary[[#This Row],[Desde]],TableDailySummary[Fecha],"&lt;="&amp;TableWeeklySummary[[#This Row],[Hasta]])</f>
        <v>0</v>
      </c>
      <c r="P456" s="12">
        <f ca="1">SUMIFS(TableDailySummary[Rappi_net_sales],TableDailySummary[Fecha],"&gt;="&amp;TableWeeklySummary[[#This Row],[Desde]],TableDailySummary[Fecha],"&lt;="&amp;TableWeeklySummary[[#This Row],[Hasta]])</f>
        <v>0</v>
      </c>
      <c r="Q456" s="12">
        <f ca="1">SUMIFS(TableDailySummary[Rappi_orders],TableDailySummary[Fecha],"&gt;="&amp;TableWeeklySummary[[#This Row],[Desde]],TableDailySummary[Fecha],"&lt;="&amp;TableWeeklySummary[[#This Row],[Hasta]])</f>
        <v>0</v>
      </c>
      <c r="R45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5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56" s="12">
        <f ca="1">SUMIFS(TableDailySummary[Inversión google ads],TableDailySummary[Fecha],"&gt;="&amp;TableWeeklySummary[[#This Row],[Desde]],TableDailySummary[Fecha],"&lt;="&amp;TableWeeklySummary[[#This Row],[Hasta]])</f>
        <v>0</v>
      </c>
      <c r="U456" s="12">
        <f ca="1">SUMIFS(TableDailySummary[Ventas google ads],TableDailySummary[Fecha],"&gt;="&amp;TableWeeklySummary[[#This Row],[Desde]],TableDailySummary[Fecha],"&lt;="&amp;TableWeeklySummary[[#This Row],[Hasta]])</f>
        <v>0</v>
      </c>
      <c r="V456" s="12">
        <f ca="1">SUMIFS(TableDailySummary[Inversión meta ads],TableDailySummary[Fecha],"&gt;="&amp;TableWeeklySummary[[#This Row],[Desde]],TableDailySummary[Fecha],"&lt;="&amp;TableWeeklySummary[[#This Row],[Hasta]])</f>
        <v>0</v>
      </c>
      <c r="W456" s="12">
        <f ca="1">SUMIFS(TableDailySummary[Ventas meta ads],TableDailySummary[Fecha],"&gt;="&amp;TableWeeklySummary[[#This Row],[Desde]],TableDailySummary[Fecha],"&lt;="&amp;TableWeeklySummary[[#This Row],[Hasta]])</f>
        <v>0</v>
      </c>
      <c r="X456" s="12">
        <f ca="1">TableWeeklySummary[[#This Row],[Inversión google ads]]+TableWeeklySummary[[#This Row],[Inversión meta ads]]</f>
        <v>0</v>
      </c>
      <c r="Y456" s="12">
        <f ca="1">TableWeeklySummary[[#This Row],[Ventas google ads]]+TableWeeklySummary[[#This Row],[Ventas meta ads]]</f>
        <v>0</v>
      </c>
      <c r="Z456" s="14">
        <f ca="1">IFERROR(TableWeeklySummary[[#This Row],[Ventas publicidad]]/TableWeeklySummary[[#This Row],[Inversión publicidad]],0)</f>
        <v>0</v>
      </c>
      <c r="AA456" s="14">
        <f ca="1">IFERROR(TableWeeklySummary[[#This Row],[Ventas primer cliente]]/TableWeeklySummary[[#This Row],[Inversión publicidad]],0)</f>
        <v>0</v>
      </c>
      <c r="AB456" s="14"/>
      <c r="AC456" s="12"/>
      <c r="AI45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5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56" s="12">
        <f ca="1">SUMIFS(TableDailySummary[Utilidad bruta],TableDailySummary[Fecha],"&gt;="&amp;TableWeeklySummary[[#This Row],[Desde]],TableDailySummary[Fecha],"&lt;="&amp;TableWeeklySummary[[#This Row],[Hasta]])</f>
        <v>0</v>
      </c>
      <c r="AL456" s="18">
        <f ca="1">IFERROR(TableWeeklySummary[[#This Row],[Utilidad bruta]]/TableWeeklySummary[[#This Row],[Ventas netas con costo registrado]],0)</f>
        <v>0</v>
      </c>
    </row>
    <row r="457" spans="2:38" x14ac:dyDescent="0.2">
      <c r="B457" s="16">
        <f ca="1">_xlfn.ISOWEEKNUM(TableWeeklySummary[[#This Row],[Hasta]])</f>
        <v>25</v>
      </c>
      <c r="C457" s="6">
        <f t="shared" ca="1" si="9"/>
        <v>49111</v>
      </c>
      <c r="D457" s="6">
        <f ca="1">TableWeeklySummary[[#This Row],[Desde]]+7-1</f>
        <v>49117</v>
      </c>
      <c r="E457" s="12">
        <f ca="1">SUMIFS(TableDailySummary[Ventas netas totales],TableDailySummary[Fecha],"&gt;="&amp;TableWeeklySummary[[#This Row],[Desde]],TableDailySummary[Fecha],"&lt;="&amp;TableWeeklySummary[[#This Row],[Hasta]])</f>
        <v>0</v>
      </c>
      <c r="F457" s="12">
        <f ca="1">SUMIFS(TableDailySummary[Órdenes totales],TableDailySummary[Fecha],"&gt;="&amp;TableWeeklySummary[[#This Row],[Desde]],TableDailySummary[Fecha],"&lt;="&amp;TableWeeklySummary[[#This Row],[Hasta]])</f>
        <v>0</v>
      </c>
      <c r="G457" s="12">
        <f ca="1">IFERROR(TableWeeklySummary[[#This Row],[Ventas netas totales]]/TableWeeklySummary[[#This Row],[Órdenes totales]],0)</f>
        <v>0</v>
      </c>
      <c r="H45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57" s="12">
        <f ca="1">TableWeeklySummary[[#This Row],[Órden promedio totales]]*TableWeeklySummary[[#This Row],[CR totales]]</f>
        <v>0</v>
      </c>
      <c r="J457" s="12">
        <f ca="1">SUMIFS(TableDailySummary[Ventas primer cliente],TableDailySummary[Fecha],"&gt;="&amp;TableWeeklySummary[[#This Row],[Desde]],TableDailySummary[Fecha],"&lt;="&amp;TableWeeklySummary[[#This Row],[Hasta]])</f>
        <v>0</v>
      </c>
      <c r="K457" s="12">
        <f ca="1">SUMIFS(TableDailySummary[Órdenes primer cliente],TableDailySummary[Fecha],"&gt;="&amp;TableWeeklySummary[[#This Row],[Desde]],TableDailySummary[Fecha],"&lt;="&amp;TableWeeklySummary[[#This Row],[Hasta]])</f>
        <v>0</v>
      </c>
      <c r="L457" s="12">
        <f ca="1">SUMIFS(TableDailySummary[Online Store_net_sales],TableDailySummary[Fecha],"&gt;="&amp;TableWeeklySummary[[#This Row],[Desde]],TableDailySummary[Fecha],"&lt;="&amp;TableWeeklySummary[[#This Row],[Hasta]])</f>
        <v>0</v>
      </c>
      <c r="M457" s="12">
        <f ca="1">SUMIFS(TableDailySummary[Online Store_orders],TableDailySummary[Fecha],"&gt;="&amp;TableWeeklySummary[[#This Row],[Desde]],TableDailySummary[Fecha],"&lt;="&amp;TableWeeklySummary[[#This Row],[Hasta]])</f>
        <v>0</v>
      </c>
      <c r="N457" s="12">
        <f ca="1">SUMIFS(TableDailySummary[Tienda 81_net_sales],TableDailySummary[Fecha],"&gt;="&amp;TableWeeklySummary[[#This Row],[Desde]],TableDailySummary[Fecha],"&lt;="&amp;TableWeeklySummary[[#This Row],[Hasta]])</f>
        <v>0</v>
      </c>
      <c r="O457" s="12">
        <f ca="1">SUMIFS(TableDailySummary[Tienda 81_orders],TableDailySummary[Fecha],"&gt;="&amp;TableWeeklySummary[[#This Row],[Desde]],TableDailySummary[Fecha],"&lt;="&amp;TableWeeklySummary[[#This Row],[Hasta]])</f>
        <v>0</v>
      </c>
      <c r="P457" s="12">
        <f ca="1">SUMIFS(TableDailySummary[Rappi_net_sales],TableDailySummary[Fecha],"&gt;="&amp;TableWeeklySummary[[#This Row],[Desde]],TableDailySummary[Fecha],"&lt;="&amp;TableWeeklySummary[[#This Row],[Hasta]])</f>
        <v>0</v>
      </c>
      <c r="Q457" s="12">
        <f ca="1">SUMIFS(TableDailySummary[Rappi_orders],TableDailySummary[Fecha],"&gt;="&amp;TableWeeklySummary[[#This Row],[Desde]],TableDailySummary[Fecha],"&lt;="&amp;TableWeeklySummary[[#This Row],[Hasta]])</f>
        <v>0</v>
      </c>
      <c r="R45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5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57" s="12">
        <f ca="1">SUMIFS(TableDailySummary[Inversión google ads],TableDailySummary[Fecha],"&gt;="&amp;TableWeeklySummary[[#This Row],[Desde]],TableDailySummary[Fecha],"&lt;="&amp;TableWeeklySummary[[#This Row],[Hasta]])</f>
        <v>0</v>
      </c>
      <c r="U457" s="12">
        <f ca="1">SUMIFS(TableDailySummary[Ventas google ads],TableDailySummary[Fecha],"&gt;="&amp;TableWeeklySummary[[#This Row],[Desde]],TableDailySummary[Fecha],"&lt;="&amp;TableWeeklySummary[[#This Row],[Hasta]])</f>
        <v>0</v>
      </c>
      <c r="V457" s="12">
        <f ca="1">SUMIFS(TableDailySummary[Inversión meta ads],TableDailySummary[Fecha],"&gt;="&amp;TableWeeklySummary[[#This Row],[Desde]],TableDailySummary[Fecha],"&lt;="&amp;TableWeeklySummary[[#This Row],[Hasta]])</f>
        <v>0</v>
      </c>
      <c r="W457" s="12">
        <f ca="1">SUMIFS(TableDailySummary[Ventas meta ads],TableDailySummary[Fecha],"&gt;="&amp;TableWeeklySummary[[#This Row],[Desde]],TableDailySummary[Fecha],"&lt;="&amp;TableWeeklySummary[[#This Row],[Hasta]])</f>
        <v>0</v>
      </c>
      <c r="X457" s="12">
        <f ca="1">TableWeeklySummary[[#This Row],[Inversión google ads]]+TableWeeklySummary[[#This Row],[Inversión meta ads]]</f>
        <v>0</v>
      </c>
      <c r="Y457" s="12">
        <f ca="1">TableWeeklySummary[[#This Row],[Ventas google ads]]+TableWeeklySummary[[#This Row],[Ventas meta ads]]</f>
        <v>0</v>
      </c>
      <c r="Z457" s="14">
        <f ca="1">IFERROR(TableWeeklySummary[[#This Row],[Ventas publicidad]]/TableWeeklySummary[[#This Row],[Inversión publicidad]],0)</f>
        <v>0</v>
      </c>
      <c r="AA457" s="14">
        <f ca="1">IFERROR(TableWeeklySummary[[#This Row],[Ventas primer cliente]]/TableWeeklySummary[[#This Row],[Inversión publicidad]],0)</f>
        <v>0</v>
      </c>
      <c r="AB457" s="14"/>
      <c r="AC457" s="12"/>
      <c r="AI45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5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57" s="12">
        <f ca="1">SUMIFS(TableDailySummary[Utilidad bruta],TableDailySummary[Fecha],"&gt;="&amp;TableWeeklySummary[[#This Row],[Desde]],TableDailySummary[Fecha],"&lt;="&amp;TableWeeklySummary[[#This Row],[Hasta]])</f>
        <v>0</v>
      </c>
      <c r="AL457" s="18">
        <f ca="1">IFERROR(TableWeeklySummary[[#This Row],[Utilidad bruta]]/TableWeeklySummary[[#This Row],[Ventas netas con costo registrado]],0)</f>
        <v>0</v>
      </c>
    </row>
    <row r="458" spans="2:38" x14ac:dyDescent="0.2">
      <c r="B458" s="16">
        <f ca="1">_xlfn.ISOWEEKNUM(TableWeeklySummary[[#This Row],[Hasta]])</f>
        <v>26</v>
      </c>
      <c r="C458" s="6">
        <f t="shared" ca="1" si="9"/>
        <v>49118</v>
      </c>
      <c r="D458" s="6">
        <f ca="1">TableWeeklySummary[[#This Row],[Desde]]+7-1</f>
        <v>49124</v>
      </c>
      <c r="E458" s="12">
        <f ca="1">SUMIFS(TableDailySummary[Ventas netas totales],TableDailySummary[Fecha],"&gt;="&amp;TableWeeklySummary[[#This Row],[Desde]],TableDailySummary[Fecha],"&lt;="&amp;TableWeeklySummary[[#This Row],[Hasta]])</f>
        <v>0</v>
      </c>
      <c r="F458" s="12">
        <f ca="1">SUMIFS(TableDailySummary[Órdenes totales],TableDailySummary[Fecha],"&gt;="&amp;TableWeeklySummary[[#This Row],[Desde]],TableDailySummary[Fecha],"&lt;="&amp;TableWeeklySummary[[#This Row],[Hasta]])</f>
        <v>0</v>
      </c>
      <c r="G458" s="12">
        <f ca="1">IFERROR(TableWeeklySummary[[#This Row],[Ventas netas totales]]/TableWeeklySummary[[#This Row],[Órdenes totales]],0)</f>
        <v>0</v>
      </c>
      <c r="H45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58" s="12">
        <f ca="1">TableWeeklySummary[[#This Row],[Órden promedio totales]]*TableWeeklySummary[[#This Row],[CR totales]]</f>
        <v>0</v>
      </c>
      <c r="J458" s="12">
        <f ca="1">SUMIFS(TableDailySummary[Ventas primer cliente],TableDailySummary[Fecha],"&gt;="&amp;TableWeeklySummary[[#This Row],[Desde]],TableDailySummary[Fecha],"&lt;="&amp;TableWeeklySummary[[#This Row],[Hasta]])</f>
        <v>0</v>
      </c>
      <c r="K458" s="12">
        <f ca="1">SUMIFS(TableDailySummary[Órdenes primer cliente],TableDailySummary[Fecha],"&gt;="&amp;TableWeeklySummary[[#This Row],[Desde]],TableDailySummary[Fecha],"&lt;="&amp;TableWeeklySummary[[#This Row],[Hasta]])</f>
        <v>0</v>
      </c>
      <c r="L458" s="12">
        <f ca="1">SUMIFS(TableDailySummary[Online Store_net_sales],TableDailySummary[Fecha],"&gt;="&amp;TableWeeklySummary[[#This Row],[Desde]],TableDailySummary[Fecha],"&lt;="&amp;TableWeeklySummary[[#This Row],[Hasta]])</f>
        <v>0</v>
      </c>
      <c r="M458" s="12">
        <f ca="1">SUMIFS(TableDailySummary[Online Store_orders],TableDailySummary[Fecha],"&gt;="&amp;TableWeeklySummary[[#This Row],[Desde]],TableDailySummary[Fecha],"&lt;="&amp;TableWeeklySummary[[#This Row],[Hasta]])</f>
        <v>0</v>
      </c>
      <c r="N458" s="12">
        <f ca="1">SUMIFS(TableDailySummary[Tienda 81_net_sales],TableDailySummary[Fecha],"&gt;="&amp;TableWeeklySummary[[#This Row],[Desde]],TableDailySummary[Fecha],"&lt;="&amp;TableWeeklySummary[[#This Row],[Hasta]])</f>
        <v>0</v>
      </c>
      <c r="O458" s="12">
        <f ca="1">SUMIFS(TableDailySummary[Tienda 81_orders],TableDailySummary[Fecha],"&gt;="&amp;TableWeeklySummary[[#This Row],[Desde]],TableDailySummary[Fecha],"&lt;="&amp;TableWeeklySummary[[#This Row],[Hasta]])</f>
        <v>0</v>
      </c>
      <c r="P458" s="12">
        <f ca="1">SUMIFS(TableDailySummary[Rappi_net_sales],TableDailySummary[Fecha],"&gt;="&amp;TableWeeklySummary[[#This Row],[Desde]],TableDailySummary[Fecha],"&lt;="&amp;TableWeeklySummary[[#This Row],[Hasta]])</f>
        <v>0</v>
      </c>
      <c r="Q458" s="12">
        <f ca="1">SUMIFS(TableDailySummary[Rappi_orders],TableDailySummary[Fecha],"&gt;="&amp;TableWeeklySummary[[#This Row],[Desde]],TableDailySummary[Fecha],"&lt;="&amp;TableWeeklySummary[[#This Row],[Hasta]])</f>
        <v>0</v>
      </c>
      <c r="R45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5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58" s="12">
        <f ca="1">SUMIFS(TableDailySummary[Inversión google ads],TableDailySummary[Fecha],"&gt;="&amp;TableWeeklySummary[[#This Row],[Desde]],TableDailySummary[Fecha],"&lt;="&amp;TableWeeklySummary[[#This Row],[Hasta]])</f>
        <v>0</v>
      </c>
      <c r="U458" s="12">
        <f ca="1">SUMIFS(TableDailySummary[Ventas google ads],TableDailySummary[Fecha],"&gt;="&amp;TableWeeklySummary[[#This Row],[Desde]],TableDailySummary[Fecha],"&lt;="&amp;TableWeeklySummary[[#This Row],[Hasta]])</f>
        <v>0</v>
      </c>
      <c r="V458" s="12">
        <f ca="1">SUMIFS(TableDailySummary[Inversión meta ads],TableDailySummary[Fecha],"&gt;="&amp;TableWeeklySummary[[#This Row],[Desde]],TableDailySummary[Fecha],"&lt;="&amp;TableWeeklySummary[[#This Row],[Hasta]])</f>
        <v>0</v>
      </c>
      <c r="W458" s="12">
        <f ca="1">SUMIFS(TableDailySummary[Ventas meta ads],TableDailySummary[Fecha],"&gt;="&amp;TableWeeklySummary[[#This Row],[Desde]],TableDailySummary[Fecha],"&lt;="&amp;TableWeeklySummary[[#This Row],[Hasta]])</f>
        <v>0</v>
      </c>
      <c r="X458" s="12">
        <f ca="1">TableWeeklySummary[[#This Row],[Inversión google ads]]+TableWeeklySummary[[#This Row],[Inversión meta ads]]</f>
        <v>0</v>
      </c>
      <c r="Y458" s="12">
        <f ca="1">TableWeeklySummary[[#This Row],[Ventas google ads]]+TableWeeklySummary[[#This Row],[Ventas meta ads]]</f>
        <v>0</v>
      </c>
      <c r="Z458" s="14">
        <f ca="1">IFERROR(TableWeeklySummary[[#This Row],[Ventas publicidad]]/TableWeeklySummary[[#This Row],[Inversión publicidad]],0)</f>
        <v>0</v>
      </c>
      <c r="AA458" s="14">
        <f ca="1">IFERROR(TableWeeklySummary[[#This Row],[Ventas primer cliente]]/TableWeeklySummary[[#This Row],[Inversión publicidad]],0)</f>
        <v>0</v>
      </c>
      <c r="AB458" s="14"/>
      <c r="AC458" s="12"/>
      <c r="AI45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5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58" s="12">
        <f ca="1">SUMIFS(TableDailySummary[Utilidad bruta],TableDailySummary[Fecha],"&gt;="&amp;TableWeeklySummary[[#This Row],[Desde]],TableDailySummary[Fecha],"&lt;="&amp;TableWeeklySummary[[#This Row],[Hasta]])</f>
        <v>0</v>
      </c>
      <c r="AL458" s="18">
        <f ca="1">IFERROR(TableWeeklySummary[[#This Row],[Utilidad bruta]]/TableWeeklySummary[[#This Row],[Ventas netas con costo registrado]],0)</f>
        <v>0</v>
      </c>
    </row>
    <row r="459" spans="2:38" x14ac:dyDescent="0.2">
      <c r="B459" s="16">
        <f ca="1">_xlfn.ISOWEEKNUM(TableWeeklySummary[[#This Row],[Hasta]])</f>
        <v>27</v>
      </c>
      <c r="C459" s="6">
        <f t="shared" ca="1" si="9"/>
        <v>49125</v>
      </c>
      <c r="D459" s="6">
        <f ca="1">TableWeeklySummary[[#This Row],[Desde]]+7-1</f>
        <v>49131</v>
      </c>
      <c r="E459" s="12">
        <f ca="1">SUMIFS(TableDailySummary[Ventas netas totales],TableDailySummary[Fecha],"&gt;="&amp;TableWeeklySummary[[#This Row],[Desde]],TableDailySummary[Fecha],"&lt;="&amp;TableWeeklySummary[[#This Row],[Hasta]])</f>
        <v>0</v>
      </c>
      <c r="F459" s="12">
        <f ca="1">SUMIFS(TableDailySummary[Órdenes totales],TableDailySummary[Fecha],"&gt;="&amp;TableWeeklySummary[[#This Row],[Desde]],TableDailySummary[Fecha],"&lt;="&amp;TableWeeklySummary[[#This Row],[Hasta]])</f>
        <v>0</v>
      </c>
      <c r="G459" s="12">
        <f ca="1">IFERROR(TableWeeklySummary[[#This Row],[Ventas netas totales]]/TableWeeklySummary[[#This Row],[Órdenes totales]],0)</f>
        <v>0</v>
      </c>
      <c r="H45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59" s="12">
        <f ca="1">TableWeeklySummary[[#This Row],[Órden promedio totales]]*TableWeeklySummary[[#This Row],[CR totales]]</f>
        <v>0</v>
      </c>
      <c r="J459" s="12">
        <f ca="1">SUMIFS(TableDailySummary[Ventas primer cliente],TableDailySummary[Fecha],"&gt;="&amp;TableWeeklySummary[[#This Row],[Desde]],TableDailySummary[Fecha],"&lt;="&amp;TableWeeklySummary[[#This Row],[Hasta]])</f>
        <v>0</v>
      </c>
      <c r="K459" s="12">
        <f ca="1">SUMIFS(TableDailySummary[Órdenes primer cliente],TableDailySummary[Fecha],"&gt;="&amp;TableWeeklySummary[[#This Row],[Desde]],TableDailySummary[Fecha],"&lt;="&amp;TableWeeklySummary[[#This Row],[Hasta]])</f>
        <v>0</v>
      </c>
      <c r="L459" s="12">
        <f ca="1">SUMIFS(TableDailySummary[Online Store_net_sales],TableDailySummary[Fecha],"&gt;="&amp;TableWeeklySummary[[#This Row],[Desde]],TableDailySummary[Fecha],"&lt;="&amp;TableWeeklySummary[[#This Row],[Hasta]])</f>
        <v>0</v>
      </c>
      <c r="M459" s="12">
        <f ca="1">SUMIFS(TableDailySummary[Online Store_orders],TableDailySummary[Fecha],"&gt;="&amp;TableWeeklySummary[[#This Row],[Desde]],TableDailySummary[Fecha],"&lt;="&amp;TableWeeklySummary[[#This Row],[Hasta]])</f>
        <v>0</v>
      </c>
      <c r="N459" s="12">
        <f ca="1">SUMIFS(TableDailySummary[Tienda 81_net_sales],TableDailySummary[Fecha],"&gt;="&amp;TableWeeklySummary[[#This Row],[Desde]],TableDailySummary[Fecha],"&lt;="&amp;TableWeeklySummary[[#This Row],[Hasta]])</f>
        <v>0</v>
      </c>
      <c r="O459" s="12">
        <f ca="1">SUMIFS(TableDailySummary[Tienda 81_orders],TableDailySummary[Fecha],"&gt;="&amp;TableWeeklySummary[[#This Row],[Desde]],TableDailySummary[Fecha],"&lt;="&amp;TableWeeklySummary[[#This Row],[Hasta]])</f>
        <v>0</v>
      </c>
      <c r="P459" s="12">
        <f ca="1">SUMIFS(TableDailySummary[Rappi_net_sales],TableDailySummary[Fecha],"&gt;="&amp;TableWeeklySummary[[#This Row],[Desde]],TableDailySummary[Fecha],"&lt;="&amp;TableWeeklySummary[[#This Row],[Hasta]])</f>
        <v>0</v>
      </c>
      <c r="Q459" s="12">
        <f ca="1">SUMIFS(TableDailySummary[Rappi_orders],TableDailySummary[Fecha],"&gt;="&amp;TableWeeklySummary[[#This Row],[Desde]],TableDailySummary[Fecha],"&lt;="&amp;TableWeeklySummary[[#This Row],[Hasta]])</f>
        <v>0</v>
      </c>
      <c r="R45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5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59" s="12">
        <f ca="1">SUMIFS(TableDailySummary[Inversión google ads],TableDailySummary[Fecha],"&gt;="&amp;TableWeeklySummary[[#This Row],[Desde]],TableDailySummary[Fecha],"&lt;="&amp;TableWeeklySummary[[#This Row],[Hasta]])</f>
        <v>0</v>
      </c>
      <c r="U459" s="12">
        <f ca="1">SUMIFS(TableDailySummary[Ventas google ads],TableDailySummary[Fecha],"&gt;="&amp;TableWeeklySummary[[#This Row],[Desde]],TableDailySummary[Fecha],"&lt;="&amp;TableWeeklySummary[[#This Row],[Hasta]])</f>
        <v>0</v>
      </c>
      <c r="V459" s="12">
        <f ca="1">SUMIFS(TableDailySummary[Inversión meta ads],TableDailySummary[Fecha],"&gt;="&amp;TableWeeklySummary[[#This Row],[Desde]],TableDailySummary[Fecha],"&lt;="&amp;TableWeeklySummary[[#This Row],[Hasta]])</f>
        <v>0</v>
      </c>
      <c r="W459" s="12">
        <f ca="1">SUMIFS(TableDailySummary[Ventas meta ads],TableDailySummary[Fecha],"&gt;="&amp;TableWeeklySummary[[#This Row],[Desde]],TableDailySummary[Fecha],"&lt;="&amp;TableWeeklySummary[[#This Row],[Hasta]])</f>
        <v>0</v>
      </c>
      <c r="X459" s="12">
        <f ca="1">TableWeeklySummary[[#This Row],[Inversión google ads]]+TableWeeklySummary[[#This Row],[Inversión meta ads]]</f>
        <v>0</v>
      </c>
      <c r="Y459" s="12">
        <f ca="1">TableWeeklySummary[[#This Row],[Ventas google ads]]+TableWeeklySummary[[#This Row],[Ventas meta ads]]</f>
        <v>0</v>
      </c>
      <c r="Z459" s="14">
        <f ca="1">IFERROR(TableWeeklySummary[[#This Row],[Ventas publicidad]]/TableWeeklySummary[[#This Row],[Inversión publicidad]],0)</f>
        <v>0</v>
      </c>
      <c r="AA459" s="14">
        <f ca="1">IFERROR(TableWeeklySummary[[#This Row],[Ventas primer cliente]]/TableWeeklySummary[[#This Row],[Inversión publicidad]],0)</f>
        <v>0</v>
      </c>
      <c r="AB459" s="14"/>
      <c r="AC459" s="12"/>
      <c r="AI45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5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59" s="12">
        <f ca="1">SUMIFS(TableDailySummary[Utilidad bruta],TableDailySummary[Fecha],"&gt;="&amp;TableWeeklySummary[[#This Row],[Desde]],TableDailySummary[Fecha],"&lt;="&amp;TableWeeklySummary[[#This Row],[Hasta]])</f>
        <v>0</v>
      </c>
      <c r="AL459" s="18">
        <f ca="1">IFERROR(TableWeeklySummary[[#This Row],[Utilidad bruta]]/TableWeeklySummary[[#This Row],[Ventas netas con costo registrado]],0)</f>
        <v>0</v>
      </c>
    </row>
    <row r="460" spans="2:38" x14ac:dyDescent="0.2">
      <c r="B460" s="16">
        <f ca="1">_xlfn.ISOWEEKNUM(TableWeeklySummary[[#This Row],[Hasta]])</f>
        <v>28</v>
      </c>
      <c r="C460" s="6">
        <f t="shared" ca="1" si="9"/>
        <v>49132</v>
      </c>
      <c r="D460" s="6">
        <f ca="1">TableWeeklySummary[[#This Row],[Desde]]+7-1</f>
        <v>49138</v>
      </c>
      <c r="E460" s="12">
        <f ca="1">SUMIFS(TableDailySummary[Ventas netas totales],TableDailySummary[Fecha],"&gt;="&amp;TableWeeklySummary[[#This Row],[Desde]],TableDailySummary[Fecha],"&lt;="&amp;TableWeeklySummary[[#This Row],[Hasta]])</f>
        <v>0</v>
      </c>
      <c r="F460" s="12">
        <f ca="1">SUMIFS(TableDailySummary[Órdenes totales],TableDailySummary[Fecha],"&gt;="&amp;TableWeeklySummary[[#This Row],[Desde]],TableDailySummary[Fecha],"&lt;="&amp;TableWeeklySummary[[#This Row],[Hasta]])</f>
        <v>0</v>
      </c>
      <c r="G460" s="12">
        <f ca="1">IFERROR(TableWeeklySummary[[#This Row],[Ventas netas totales]]/TableWeeklySummary[[#This Row],[Órdenes totales]],0)</f>
        <v>0</v>
      </c>
      <c r="H46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60" s="12">
        <f ca="1">TableWeeklySummary[[#This Row],[Órden promedio totales]]*TableWeeklySummary[[#This Row],[CR totales]]</f>
        <v>0</v>
      </c>
      <c r="J460" s="12">
        <f ca="1">SUMIFS(TableDailySummary[Ventas primer cliente],TableDailySummary[Fecha],"&gt;="&amp;TableWeeklySummary[[#This Row],[Desde]],TableDailySummary[Fecha],"&lt;="&amp;TableWeeklySummary[[#This Row],[Hasta]])</f>
        <v>0</v>
      </c>
      <c r="K460" s="12">
        <f ca="1">SUMIFS(TableDailySummary[Órdenes primer cliente],TableDailySummary[Fecha],"&gt;="&amp;TableWeeklySummary[[#This Row],[Desde]],TableDailySummary[Fecha],"&lt;="&amp;TableWeeklySummary[[#This Row],[Hasta]])</f>
        <v>0</v>
      </c>
      <c r="L460" s="12">
        <f ca="1">SUMIFS(TableDailySummary[Online Store_net_sales],TableDailySummary[Fecha],"&gt;="&amp;TableWeeklySummary[[#This Row],[Desde]],TableDailySummary[Fecha],"&lt;="&amp;TableWeeklySummary[[#This Row],[Hasta]])</f>
        <v>0</v>
      </c>
      <c r="M460" s="12">
        <f ca="1">SUMIFS(TableDailySummary[Online Store_orders],TableDailySummary[Fecha],"&gt;="&amp;TableWeeklySummary[[#This Row],[Desde]],TableDailySummary[Fecha],"&lt;="&amp;TableWeeklySummary[[#This Row],[Hasta]])</f>
        <v>0</v>
      </c>
      <c r="N460" s="12">
        <f ca="1">SUMIFS(TableDailySummary[Tienda 81_net_sales],TableDailySummary[Fecha],"&gt;="&amp;TableWeeklySummary[[#This Row],[Desde]],TableDailySummary[Fecha],"&lt;="&amp;TableWeeklySummary[[#This Row],[Hasta]])</f>
        <v>0</v>
      </c>
      <c r="O460" s="12">
        <f ca="1">SUMIFS(TableDailySummary[Tienda 81_orders],TableDailySummary[Fecha],"&gt;="&amp;TableWeeklySummary[[#This Row],[Desde]],TableDailySummary[Fecha],"&lt;="&amp;TableWeeklySummary[[#This Row],[Hasta]])</f>
        <v>0</v>
      </c>
      <c r="P460" s="12">
        <f ca="1">SUMIFS(TableDailySummary[Rappi_net_sales],TableDailySummary[Fecha],"&gt;="&amp;TableWeeklySummary[[#This Row],[Desde]],TableDailySummary[Fecha],"&lt;="&amp;TableWeeklySummary[[#This Row],[Hasta]])</f>
        <v>0</v>
      </c>
      <c r="Q460" s="12">
        <f ca="1">SUMIFS(TableDailySummary[Rappi_orders],TableDailySummary[Fecha],"&gt;="&amp;TableWeeklySummary[[#This Row],[Desde]],TableDailySummary[Fecha],"&lt;="&amp;TableWeeklySummary[[#This Row],[Hasta]])</f>
        <v>0</v>
      </c>
      <c r="R46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6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60" s="12">
        <f ca="1">SUMIFS(TableDailySummary[Inversión google ads],TableDailySummary[Fecha],"&gt;="&amp;TableWeeklySummary[[#This Row],[Desde]],TableDailySummary[Fecha],"&lt;="&amp;TableWeeklySummary[[#This Row],[Hasta]])</f>
        <v>0</v>
      </c>
      <c r="U460" s="12">
        <f ca="1">SUMIFS(TableDailySummary[Ventas google ads],TableDailySummary[Fecha],"&gt;="&amp;TableWeeklySummary[[#This Row],[Desde]],TableDailySummary[Fecha],"&lt;="&amp;TableWeeklySummary[[#This Row],[Hasta]])</f>
        <v>0</v>
      </c>
      <c r="V460" s="12">
        <f ca="1">SUMIFS(TableDailySummary[Inversión meta ads],TableDailySummary[Fecha],"&gt;="&amp;TableWeeklySummary[[#This Row],[Desde]],TableDailySummary[Fecha],"&lt;="&amp;TableWeeklySummary[[#This Row],[Hasta]])</f>
        <v>0</v>
      </c>
      <c r="W460" s="12">
        <f ca="1">SUMIFS(TableDailySummary[Ventas meta ads],TableDailySummary[Fecha],"&gt;="&amp;TableWeeklySummary[[#This Row],[Desde]],TableDailySummary[Fecha],"&lt;="&amp;TableWeeklySummary[[#This Row],[Hasta]])</f>
        <v>0</v>
      </c>
      <c r="X460" s="12">
        <f ca="1">TableWeeklySummary[[#This Row],[Inversión google ads]]+TableWeeklySummary[[#This Row],[Inversión meta ads]]</f>
        <v>0</v>
      </c>
      <c r="Y460" s="12">
        <f ca="1">TableWeeklySummary[[#This Row],[Ventas google ads]]+TableWeeklySummary[[#This Row],[Ventas meta ads]]</f>
        <v>0</v>
      </c>
      <c r="Z460" s="14">
        <f ca="1">IFERROR(TableWeeklySummary[[#This Row],[Ventas publicidad]]/TableWeeklySummary[[#This Row],[Inversión publicidad]],0)</f>
        <v>0</v>
      </c>
      <c r="AA460" s="14">
        <f ca="1">IFERROR(TableWeeklySummary[[#This Row],[Ventas primer cliente]]/TableWeeklySummary[[#This Row],[Inversión publicidad]],0)</f>
        <v>0</v>
      </c>
      <c r="AB460" s="14"/>
      <c r="AC460" s="12"/>
      <c r="AI46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6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60" s="12">
        <f ca="1">SUMIFS(TableDailySummary[Utilidad bruta],TableDailySummary[Fecha],"&gt;="&amp;TableWeeklySummary[[#This Row],[Desde]],TableDailySummary[Fecha],"&lt;="&amp;TableWeeklySummary[[#This Row],[Hasta]])</f>
        <v>0</v>
      </c>
      <c r="AL460" s="18">
        <f ca="1">IFERROR(TableWeeklySummary[[#This Row],[Utilidad bruta]]/TableWeeklySummary[[#This Row],[Ventas netas con costo registrado]],0)</f>
        <v>0</v>
      </c>
    </row>
    <row r="461" spans="2:38" x14ac:dyDescent="0.2">
      <c r="B461" s="16">
        <f ca="1">_xlfn.ISOWEEKNUM(TableWeeklySummary[[#This Row],[Hasta]])</f>
        <v>29</v>
      </c>
      <c r="C461" s="6">
        <f t="shared" ca="1" si="9"/>
        <v>49139</v>
      </c>
      <c r="D461" s="6">
        <f ca="1">TableWeeklySummary[[#This Row],[Desde]]+7-1</f>
        <v>49145</v>
      </c>
      <c r="E461" s="12">
        <f ca="1">SUMIFS(TableDailySummary[Ventas netas totales],TableDailySummary[Fecha],"&gt;="&amp;TableWeeklySummary[[#This Row],[Desde]],TableDailySummary[Fecha],"&lt;="&amp;TableWeeklySummary[[#This Row],[Hasta]])</f>
        <v>0</v>
      </c>
      <c r="F461" s="12">
        <f ca="1">SUMIFS(TableDailySummary[Órdenes totales],TableDailySummary[Fecha],"&gt;="&amp;TableWeeklySummary[[#This Row],[Desde]],TableDailySummary[Fecha],"&lt;="&amp;TableWeeklySummary[[#This Row],[Hasta]])</f>
        <v>0</v>
      </c>
      <c r="G461" s="12">
        <f ca="1">IFERROR(TableWeeklySummary[[#This Row],[Ventas netas totales]]/TableWeeklySummary[[#This Row],[Órdenes totales]],0)</f>
        <v>0</v>
      </c>
      <c r="H46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61" s="12">
        <f ca="1">TableWeeklySummary[[#This Row],[Órden promedio totales]]*TableWeeklySummary[[#This Row],[CR totales]]</f>
        <v>0</v>
      </c>
      <c r="J461" s="12">
        <f ca="1">SUMIFS(TableDailySummary[Ventas primer cliente],TableDailySummary[Fecha],"&gt;="&amp;TableWeeklySummary[[#This Row],[Desde]],TableDailySummary[Fecha],"&lt;="&amp;TableWeeklySummary[[#This Row],[Hasta]])</f>
        <v>0</v>
      </c>
      <c r="K461" s="12">
        <f ca="1">SUMIFS(TableDailySummary[Órdenes primer cliente],TableDailySummary[Fecha],"&gt;="&amp;TableWeeklySummary[[#This Row],[Desde]],TableDailySummary[Fecha],"&lt;="&amp;TableWeeklySummary[[#This Row],[Hasta]])</f>
        <v>0</v>
      </c>
      <c r="L461" s="12">
        <f ca="1">SUMIFS(TableDailySummary[Online Store_net_sales],TableDailySummary[Fecha],"&gt;="&amp;TableWeeklySummary[[#This Row],[Desde]],TableDailySummary[Fecha],"&lt;="&amp;TableWeeklySummary[[#This Row],[Hasta]])</f>
        <v>0</v>
      </c>
      <c r="M461" s="12">
        <f ca="1">SUMIFS(TableDailySummary[Online Store_orders],TableDailySummary[Fecha],"&gt;="&amp;TableWeeklySummary[[#This Row],[Desde]],TableDailySummary[Fecha],"&lt;="&amp;TableWeeklySummary[[#This Row],[Hasta]])</f>
        <v>0</v>
      </c>
      <c r="N461" s="12">
        <f ca="1">SUMIFS(TableDailySummary[Tienda 81_net_sales],TableDailySummary[Fecha],"&gt;="&amp;TableWeeklySummary[[#This Row],[Desde]],TableDailySummary[Fecha],"&lt;="&amp;TableWeeklySummary[[#This Row],[Hasta]])</f>
        <v>0</v>
      </c>
      <c r="O461" s="12">
        <f ca="1">SUMIFS(TableDailySummary[Tienda 81_orders],TableDailySummary[Fecha],"&gt;="&amp;TableWeeklySummary[[#This Row],[Desde]],TableDailySummary[Fecha],"&lt;="&amp;TableWeeklySummary[[#This Row],[Hasta]])</f>
        <v>0</v>
      </c>
      <c r="P461" s="12">
        <f ca="1">SUMIFS(TableDailySummary[Rappi_net_sales],TableDailySummary[Fecha],"&gt;="&amp;TableWeeklySummary[[#This Row],[Desde]],TableDailySummary[Fecha],"&lt;="&amp;TableWeeklySummary[[#This Row],[Hasta]])</f>
        <v>0</v>
      </c>
      <c r="Q461" s="12">
        <f ca="1">SUMIFS(TableDailySummary[Rappi_orders],TableDailySummary[Fecha],"&gt;="&amp;TableWeeklySummary[[#This Row],[Desde]],TableDailySummary[Fecha],"&lt;="&amp;TableWeeklySummary[[#This Row],[Hasta]])</f>
        <v>0</v>
      </c>
      <c r="R46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6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61" s="12">
        <f ca="1">SUMIFS(TableDailySummary[Inversión google ads],TableDailySummary[Fecha],"&gt;="&amp;TableWeeklySummary[[#This Row],[Desde]],TableDailySummary[Fecha],"&lt;="&amp;TableWeeklySummary[[#This Row],[Hasta]])</f>
        <v>0</v>
      </c>
      <c r="U461" s="12">
        <f ca="1">SUMIFS(TableDailySummary[Ventas google ads],TableDailySummary[Fecha],"&gt;="&amp;TableWeeklySummary[[#This Row],[Desde]],TableDailySummary[Fecha],"&lt;="&amp;TableWeeklySummary[[#This Row],[Hasta]])</f>
        <v>0</v>
      </c>
      <c r="V461" s="12">
        <f ca="1">SUMIFS(TableDailySummary[Inversión meta ads],TableDailySummary[Fecha],"&gt;="&amp;TableWeeklySummary[[#This Row],[Desde]],TableDailySummary[Fecha],"&lt;="&amp;TableWeeklySummary[[#This Row],[Hasta]])</f>
        <v>0</v>
      </c>
      <c r="W461" s="12">
        <f ca="1">SUMIFS(TableDailySummary[Ventas meta ads],TableDailySummary[Fecha],"&gt;="&amp;TableWeeklySummary[[#This Row],[Desde]],TableDailySummary[Fecha],"&lt;="&amp;TableWeeklySummary[[#This Row],[Hasta]])</f>
        <v>0</v>
      </c>
      <c r="X461" s="12">
        <f ca="1">TableWeeklySummary[[#This Row],[Inversión google ads]]+TableWeeklySummary[[#This Row],[Inversión meta ads]]</f>
        <v>0</v>
      </c>
      <c r="Y461" s="12">
        <f ca="1">TableWeeklySummary[[#This Row],[Ventas google ads]]+TableWeeklySummary[[#This Row],[Ventas meta ads]]</f>
        <v>0</v>
      </c>
      <c r="Z461" s="14">
        <f ca="1">IFERROR(TableWeeklySummary[[#This Row],[Ventas publicidad]]/TableWeeklySummary[[#This Row],[Inversión publicidad]],0)</f>
        <v>0</v>
      </c>
      <c r="AA461" s="14">
        <f ca="1">IFERROR(TableWeeklySummary[[#This Row],[Ventas primer cliente]]/TableWeeklySummary[[#This Row],[Inversión publicidad]],0)</f>
        <v>0</v>
      </c>
      <c r="AB461" s="14"/>
      <c r="AC461" s="12"/>
      <c r="AI46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6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61" s="12">
        <f ca="1">SUMIFS(TableDailySummary[Utilidad bruta],TableDailySummary[Fecha],"&gt;="&amp;TableWeeklySummary[[#This Row],[Desde]],TableDailySummary[Fecha],"&lt;="&amp;TableWeeklySummary[[#This Row],[Hasta]])</f>
        <v>0</v>
      </c>
      <c r="AL461" s="18">
        <f ca="1">IFERROR(TableWeeklySummary[[#This Row],[Utilidad bruta]]/TableWeeklySummary[[#This Row],[Ventas netas con costo registrado]],0)</f>
        <v>0</v>
      </c>
    </row>
    <row r="462" spans="2:38" x14ac:dyDescent="0.2">
      <c r="B462" s="16">
        <f ca="1">_xlfn.ISOWEEKNUM(TableWeeklySummary[[#This Row],[Hasta]])</f>
        <v>30</v>
      </c>
      <c r="C462" s="6">
        <f t="shared" ca="1" si="9"/>
        <v>49146</v>
      </c>
      <c r="D462" s="6">
        <f ca="1">TableWeeklySummary[[#This Row],[Desde]]+7-1</f>
        <v>49152</v>
      </c>
      <c r="E462" s="12">
        <f ca="1">SUMIFS(TableDailySummary[Ventas netas totales],TableDailySummary[Fecha],"&gt;="&amp;TableWeeklySummary[[#This Row],[Desde]],TableDailySummary[Fecha],"&lt;="&amp;TableWeeklySummary[[#This Row],[Hasta]])</f>
        <v>0</v>
      </c>
      <c r="F462" s="12">
        <f ca="1">SUMIFS(TableDailySummary[Órdenes totales],TableDailySummary[Fecha],"&gt;="&amp;TableWeeklySummary[[#This Row],[Desde]],TableDailySummary[Fecha],"&lt;="&amp;TableWeeklySummary[[#This Row],[Hasta]])</f>
        <v>0</v>
      </c>
      <c r="G462" s="12">
        <f ca="1">IFERROR(TableWeeklySummary[[#This Row],[Ventas netas totales]]/TableWeeklySummary[[#This Row],[Órdenes totales]],0)</f>
        <v>0</v>
      </c>
      <c r="H46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62" s="12">
        <f ca="1">TableWeeklySummary[[#This Row],[Órden promedio totales]]*TableWeeklySummary[[#This Row],[CR totales]]</f>
        <v>0</v>
      </c>
      <c r="J462" s="12">
        <f ca="1">SUMIFS(TableDailySummary[Ventas primer cliente],TableDailySummary[Fecha],"&gt;="&amp;TableWeeklySummary[[#This Row],[Desde]],TableDailySummary[Fecha],"&lt;="&amp;TableWeeklySummary[[#This Row],[Hasta]])</f>
        <v>0</v>
      </c>
      <c r="K462" s="12">
        <f ca="1">SUMIFS(TableDailySummary[Órdenes primer cliente],TableDailySummary[Fecha],"&gt;="&amp;TableWeeklySummary[[#This Row],[Desde]],TableDailySummary[Fecha],"&lt;="&amp;TableWeeklySummary[[#This Row],[Hasta]])</f>
        <v>0</v>
      </c>
      <c r="L462" s="12">
        <f ca="1">SUMIFS(TableDailySummary[Online Store_net_sales],TableDailySummary[Fecha],"&gt;="&amp;TableWeeklySummary[[#This Row],[Desde]],TableDailySummary[Fecha],"&lt;="&amp;TableWeeklySummary[[#This Row],[Hasta]])</f>
        <v>0</v>
      </c>
      <c r="M462" s="12">
        <f ca="1">SUMIFS(TableDailySummary[Online Store_orders],TableDailySummary[Fecha],"&gt;="&amp;TableWeeklySummary[[#This Row],[Desde]],TableDailySummary[Fecha],"&lt;="&amp;TableWeeklySummary[[#This Row],[Hasta]])</f>
        <v>0</v>
      </c>
      <c r="N462" s="12">
        <f ca="1">SUMIFS(TableDailySummary[Tienda 81_net_sales],TableDailySummary[Fecha],"&gt;="&amp;TableWeeklySummary[[#This Row],[Desde]],TableDailySummary[Fecha],"&lt;="&amp;TableWeeklySummary[[#This Row],[Hasta]])</f>
        <v>0</v>
      </c>
      <c r="O462" s="12">
        <f ca="1">SUMIFS(TableDailySummary[Tienda 81_orders],TableDailySummary[Fecha],"&gt;="&amp;TableWeeklySummary[[#This Row],[Desde]],TableDailySummary[Fecha],"&lt;="&amp;TableWeeklySummary[[#This Row],[Hasta]])</f>
        <v>0</v>
      </c>
      <c r="P462" s="12">
        <f ca="1">SUMIFS(TableDailySummary[Rappi_net_sales],TableDailySummary[Fecha],"&gt;="&amp;TableWeeklySummary[[#This Row],[Desde]],TableDailySummary[Fecha],"&lt;="&amp;TableWeeklySummary[[#This Row],[Hasta]])</f>
        <v>0</v>
      </c>
      <c r="Q462" s="12">
        <f ca="1">SUMIFS(TableDailySummary[Rappi_orders],TableDailySummary[Fecha],"&gt;="&amp;TableWeeklySummary[[#This Row],[Desde]],TableDailySummary[Fecha],"&lt;="&amp;TableWeeklySummary[[#This Row],[Hasta]])</f>
        <v>0</v>
      </c>
      <c r="R46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6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62" s="12">
        <f ca="1">SUMIFS(TableDailySummary[Inversión google ads],TableDailySummary[Fecha],"&gt;="&amp;TableWeeklySummary[[#This Row],[Desde]],TableDailySummary[Fecha],"&lt;="&amp;TableWeeklySummary[[#This Row],[Hasta]])</f>
        <v>0</v>
      </c>
      <c r="U462" s="12">
        <f ca="1">SUMIFS(TableDailySummary[Ventas google ads],TableDailySummary[Fecha],"&gt;="&amp;TableWeeklySummary[[#This Row],[Desde]],TableDailySummary[Fecha],"&lt;="&amp;TableWeeklySummary[[#This Row],[Hasta]])</f>
        <v>0</v>
      </c>
      <c r="V462" s="12">
        <f ca="1">SUMIFS(TableDailySummary[Inversión meta ads],TableDailySummary[Fecha],"&gt;="&amp;TableWeeklySummary[[#This Row],[Desde]],TableDailySummary[Fecha],"&lt;="&amp;TableWeeklySummary[[#This Row],[Hasta]])</f>
        <v>0</v>
      </c>
      <c r="W462" s="12">
        <f ca="1">SUMIFS(TableDailySummary[Ventas meta ads],TableDailySummary[Fecha],"&gt;="&amp;TableWeeklySummary[[#This Row],[Desde]],TableDailySummary[Fecha],"&lt;="&amp;TableWeeklySummary[[#This Row],[Hasta]])</f>
        <v>0</v>
      </c>
      <c r="X462" s="12">
        <f ca="1">TableWeeklySummary[[#This Row],[Inversión google ads]]+TableWeeklySummary[[#This Row],[Inversión meta ads]]</f>
        <v>0</v>
      </c>
      <c r="Y462" s="12">
        <f ca="1">TableWeeklySummary[[#This Row],[Ventas google ads]]+TableWeeklySummary[[#This Row],[Ventas meta ads]]</f>
        <v>0</v>
      </c>
      <c r="Z462" s="14">
        <f ca="1">IFERROR(TableWeeklySummary[[#This Row],[Ventas publicidad]]/TableWeeklySummary[[#This Row],[Inversión publicidad]],0)</f>
        <v>0</v>
      </c>
      <c r="AA462" s="14">
        <f ca="1">IFERROR(TableWeeklySummary[[#This Row],[Ventas primer cliente]]/TableWeeklySummary[[#This Row],[Inversión publicidad]],0)</f>
        <v>0</v>
      </c>
      <c r="AB462" s="14"/>
      <c r="AC462" s="12"/>
      <c r="AI46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6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62" s="12">
        <f ca="1">SUMIFS(TableDailySummary[Utilidad bruta],TableDailySummary[Fecha],"&gt;="&amp;TableWeeklySummary[[#This Row],[Desde]],TableDailySummary[Fecha],"&lt;="&amp;TableWeeklySummary[[#This Row],[Hasta]])</f>
        <v>0</v>
      </c>
      <c r="AL462" s="18">
        <f ca="1">IFERROR(TableWeeklySummary[[#This Row],[Utilidad bruta]]/TableWeeklySummary[[#This Row],[Ventas netas con costo registrado]],0)</f>
        <v>0</v>
      </c>
    </row>
    <row r="463" spans="2:38" x14ac:dyDescent="0.2">
      <c r="B463" s="16">
        <f ca="1">_xlfn.ISOWEEKNUM(TableWeeklySummary[[#This Row],[Hasta]])</f>
        <v>31</v>
      </c>
      <c r="C463" s="6">
        <f t="shared" ca="1" si="9"/>
        <v>49153</v>
      </c>
      <c r="D463" s="6">
        <f ca="1">TableWeeklySummary[[#This Row],[Desde]]+7-1</f>
        <v>49159</v>
      </c>
      <c r="E463" s="12">
        <f ca="1">SUMIFS(TableDailySummary[Ventas netas totales],TableDailySummary[Fecha],"&gt;="&amp;TableWeeklySummary[[#This Row],[Desde]],TableDailySummary[Fecha],"&lt;="&amp;TableWeeklySummary[[#This Row],[Hasta]])</f>
        <v>0</v>
      </c>
      <c r="F463" s="12">
        <f ca="1">SUMIFS(TableDailySummary[Órdenes totales],TableDailySummary[Fecha],"&gt;="&amp;TableWeeklySummary[[#This Row],[Desde]],TableDailySummary[Fecha],"&lt;="&amp;TableWeeklySummary[[#This Row],[Hasta]])</f>
        <v>0</v>
      </c>
      <c r="G463" s="12">
        <f ca="1">IFERROR(TableWeeklySummary[[#This Row],[Ventas netas totales]]/TableWeeklySummary[[#This Row],[Órdenes totales]],0)</f>
        <v>0</v>
      </c>
      <c r="H46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63" s="12">
        <f ca="1">TableWeeklySummary[[#This Row],[Órden promedio totales]]*TableWeeklySummary[[#This Row],[CR totales]]</f>
        <v>0</v>
      </c>
      <c r="J463" s="12">
        <f ca="1">SUMIFS(TableDailySummary[Ventas primer cliente],TableDailySummary[Fecha],"&gt;="&amp;TableWeeklySummary[[#This Row],[Desde]],TableDailySummary[Fecha],"&lt;="&amp;TableWeeklySummary[[#This Row],[Hasta]])</f>
        <v>0</v>
      </c>
      <c r="K463" s="12">
        <f ca="1">SUMIFS(TableDailySummary[Órdenes primer cliente],TableDailySummary[Fecha],"&gt;="&amp;TableWeeklySummary[[#This Row],[Desde]],TableDailySummary[Fecha],"&lt;="&amp;TableWeeklySummary[[#This Row],[Hasta]])</f>
        <v>0</v>
      </c>
      <c r="L463" s="12">
        <f ca="1">SUMIFS(TableDailySummary[Online Store_net_sales],TableDailySummary[Fecha],"&gt;="&amp;TableWeeklySummary[[#This Row],[Desde]],TableDailySummary[Fecha],"&lt;="&amp;TableWeeklySummary[[#This Row],[Hasta]])</f>
        <v>0</v>
      </c>
      <c r="M463" s="12">
        <f ca="1">SUMIFS(TableDailySummary[Online Store_orders],TableDailySummary[Fecha],"&gt;="&amp;TableWeeklySummary[[#This Row],[Desde]],TableDailySummary[Fecha],"&lt;="&amp;TableWeeklySummary[[#This Row],[Hasta]])</f>
        <v>0</v>
      </c>
      <c r="N463" s="12">
        <f ca="1">SUMIFS(TableDailySummary[Tienda 81_net_sales],TableDailySummary[Fecha],"&gt;="&amp;TableWeeklySummary[[#This Row],[Desde]],TableDailySummary[Fecha],"&lt;="&amp;TableWeeklySummary[[#This Row],[Hasta]])</f>
        <v>0</v>
      </c>
      <c r="O463" s="12">
        <f ca="1">SUMIFS(TableDailySummary[Tienda 81_orders],TableDailySummary[Fecha],"&gt;="&amp;TableWeeklySummary[[#This Row],[Desde]],TableDailySummary[Fecha],"&lt;="&amp;TableWeeklySummary[[#This Row],[Hasta]])</f>
        <v>0</v>
      </c>
      <c r="P463" s="12">
        <f ca="1">SUMIFS(TableDailySummary[Rappi_net_sales],TableDailySummary[Fecha],"&gt;="&amp;TableWeeklySummary[[#This Row],[Desde]],TableDailySummary[Fecha],"&lt;="&amp;TableWeeklySummary[[#This Row],[Hasta]])</f>
        <v>0</v>
      </c>
      <c r="Q463" s="12">
        <f ca="1">SUMIFS(TableDailySummary[Rappi_orders],TableDailySummary[Fecha],"&gt;="&amp;TableWeeklySummary[[#This Row],[Desde]],TableDailySummary[Fecha],"&lt;="&amp;TableWeeklySummary[[#This Row],[Hasta]])</f>
        <v>0</v>
      </c>
      <c r="R46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6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63" s="12">
        <f ca="1">SUMIFS(TableDailySummary[Inversión google ads],TableDailySummary[Fecha],"&gt;="&amp;TableWeeklySummary[[#This Row],[Desde]],TableDailySummary[Fecha],"&lt;="&amp;TableWeeklySummary[[#This Row],[Hasta]])</f>
        <v>0</v>
      </c>
      <c r="U463" s="12">
        <f ca="1">SUMIFS(TableDailySummary[Ventas google ads],TableDailySummary[Fecha],"&gt;="&amp;TableWeeklySummary[[#This Row],[Desde]],TableDailySummary[Fecha],"&lt;="&amp;TableWeeklySummary[[#This Row],[Hasta]])</f>
        <v>0</v>
      </c>
      <c r="V463" s="12">
        <f ca="1">SUMIFS(TableDailySummary[Inversión meta ads],TableDailySummary[Fecha],"&gt;="&amp;TableWeeklySummary[[#This Row],[Desde]],TableDailySummary[Fecha],"&lt;="&amp;TableWeeklySummary[[#This Row],[Hasta]])</f>
        <v>0</v>
      </c>
      <c r="W463" s="12">
        <f ca="1">SUMIFS(TableDailySummary[Ventas meta ads],TableDailySummary[Fecha],"&gt;="&amp;TableWeeklySummary[[#This Row],[Desde]],TableDailySummary[Fecha],"&lt;="&amp;TableWeeklySummary[[#This Row],[Hasta]])</f>
        <v>0</v>
      </c>
      <c r="X463" s="12">
        <f ca="1">TableWeeklySummary[[#This Row],[Inversión google ads]]+TableWeeklySummary[[#This Row],[Inversión meta ads]]</f>
        <v>0</v>
      </c>
      <c r="Y463" s="12">
        <f ca="1">TableWeeklySummary[[#This Row],[Ventas google ads]]+TableWeeklySummary[[#This Row],[Ventas meta ads]]</f>
        <v>0</v>
      </c>
      <c r="Z463" s="14">
        <f ca="1">IFERROR(TableWeeklySummary[[#This Row],[Ventas publicidad]]/TableWeeklySummary[[#This Row],[Inversión publicidad]],0)</f>
        <v>0</v>
      </c>
      <c r="AA463" s="14">
        <f ca="1">IFERROR(TableWeeklySummary[[#This Row],[Ventas primer cliente]]/TableWeeklySummary[[#This Row],[Inversión publicidad]],0)</f>
        <v>0</v>
      </c>
      <c r="AB463" s="14"/>
      <c r="AC463" s="12"/>
      <c r="AI46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6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63" s="12">
        <f ca="1">SUMIFS(TableDailySummary[Utilidad bruta],TableDailySummary[Fecha],"&gt;="&amp;TableWeeklySummary[[#This Row],[Desde]],TableDailySummary[Fecha],"&lt;="&amp;TableWeeklySummary[[#This Row],[Hasta]])</f>
        <v>0</v>
      </c>
      <c r="AL463" s="18">
        <f ca="1">IFERROR(TableWeeklySummary[[#This Row],[Utilidad bruta]]/TableWeeklySummary[[#This Row],[Ventas netas con costo registrado]],0)</f>
        <v>0</v>
      </c>
    </row>
    <row r="464" spans="2:38" x14ac:dyDescent="0.2">
      <c r="B464" s="16">
        <f ca="1">_xlfn.ISOWEEKNUM(TableWeeklySummary[[#This Row],[Hasta]])</f>
        <v>32</v>
      </c>
      <c r="C464" s="6">
        <f t="shared" ca="1" si="9"/>
        <v>49160</v>
      </c>
      <c r="D464" s="6">
        <f ca="1">TableWeeklySummary[[#This Row],[Desde]]+7-1</f>
        <v>49166</v>
      </c>
      <c r="E464" s="12">
        <f ca="1">SUMIFS(TableDailySummary[Ventas netas totales],TableDailySummary[Fecha],"&gt;="&amp;TableWeeklySummary[[#This Row],[Desde]],TableDailySummary[Fecha],"&lt;="&amp;TableWeeklySummary[[#This Row],[Hasta]])</f>
        <v>0</v>
      </c>
      <c r="F464" s="12">
        <f ca="1">SUMIFS(TableDailySummary[Órdenes totales],TableDailySummary[Fecha],"&gt;="&amp;TableWeeklySummary[[#This Row],[Desde]],TableDailySummary[Fecha],"&lt;="&amp;TableWeeklySummary[[#This Row],[Hasta]])</f>
        <v>0</v>
      </c>
      <c r="G464" s="12">
        <f ca="1">IFERROR(TableWeeklySummary[[#This Row],[Ventas netas totales]]/TableWeeklySummary[[#This Row],[Órdenes totales]],0)</f>
        <v>0</v>
      </c>
      <c r="H46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64" s="12">
        <f ca="1">TableWeeklySummary[[#This Row],[Órden promedio totales]]*TableWeeklySummary[[#This Row],[CR totales]]</f>
        <v>0</v>
      </c>
      <c r="J464" s="12">
        <f ca="1">SUMIFS(TableDailySummary[Ventas primer cliente],TableDailySummary[Fecha],"&gt;="&amp;TableWeeklySummary[[#This Row],[Desde]],TableDailySummary[Fecha],"&lt;="&amp;TableWeeklySummary[[#This Row],[Hasta]])</f>
        <v>0</v>
      </c>
      <c r="K464" s="12">
        <f ca="1">SUMIFS(TableDailySummary[Órdenes primer cliente],TableDailySummary[Fecha],"&gt;="&amp;TableWeeklySummary[[#This Row],[Desde]],TableDailySummary[Fecha],"&lt;="&amp;TableWeeklySummary[[#This Row],[Hasta]])</f>
        <v>0</v>
      </c>
      <c r="L464" s="12">
        <f ca="1">SUMIFS(TableDailySummary[Online Store_net_sales],TableDailySummary[Fecha],"&gt;="&amp;TableWeeklySummary[[#This Row],[Desde]],TableDailySummary[Fecha],"&lt;="&amp;TableWeeklySummary[[#This Row],[Hasta]])</f>
        <v>0</v>
      </c>
      <c r="M464" s="12">
        <f ca="1">SUMIFS(TableDailySummary[Online Store_orders],TableDailySummary[Fecha],"&gt;="&amp;TableWeeklySummary[[#This Row],[Desde]],TableDailySummary[Fecha],"&lt;="&amp;TableWeeklySummary[[#This Row],[Hasta]])</f>
        <v>0</v>
      </c>
      <c r="N464" s="12">
        <f ca="1">SUMIFS(TableDailySummary[Tienda 81_net_sales],TableDailySummary[Fecha],"&gt;="&amp;TableWeeklySummary[[#This Row],[Desde]],TableDailySummary[Fecha],"&lt;="&amp;TableWeeklySummary[[#This Row],[Hasta]])</f>
        <v>0</v>
      </c>
      <c r="O464" s="12">
        <f ca="1">SUMIFS(TableDailySummary[Tienda 81_orders],TableDailySummary[Fecha],"&gt;="&amp;TableWeeklySummary[[#This Row],[Desde]],TableDailySummary[Fecha],"&lt;="&amp;TableWeeklySummary[[#This Row],[Hasta]])</f>
        <v>0</v>
      </c>
      <c r="P464" s="12">
        <f ca="1">SUMIFS(TableDailySummary[Rappi_net_sales],TableDailySummary[Fecha],"&gt;="&amp;TableWeeklySummary[[#This Row],[Desde]],TableDailySummary[Fecha],"&lt;="&amp;TableWeeklySummary[[#This Row],[Hasta]])</f>
        <v>0</v>
      </c>
      <c r="Q464" s="12">
        <f ca="1">SUMIFS(TableDailySummary[Rappi_orders],TableDailySummary[Fecha],"&gt;="&amp;TableWeeklySummary[[#This Row],[Desde]],TableDailySummary[Fecha],"&lt;="&amp;TableWeeklySummary[[#This Row],[Hasta]])</f>
        <v>0</v>
      </c>
      <c r="R46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6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64" s="12">
        <f ca="1">SUMIFS(TableDailySummary[Inversión google ads],TableDailySummary[Fecha],"&gt;="&amp;TableWeeklySummary[[#This Row],[Desde]],TableDailySummary[Fecha],"&lt;="&amp;TableWeeklySummary[[#This Row],[Hasta]])</f>
        <v>0</v>
      </c>
      <c r="U464" s="12">
        <f ca="1">SUMIFS(TableDailySummary[Ventas google ads],TableDailySummary[Fecha],"&gt;="&amp;TableWeeklySummary[[#This Row],[Desde]],TableDailySummary[Fecha],"&lt;="&amp;TableWeeklySummary[[#This Row],[Hasta]])</f>
        <v>0</v>
      </c>
      <c r="V464" s="12">
        <f ca="1">SUMIFS(TableDailySummary[Inversión meta ads],TableDailySummary[Fecha],"&gt;="&amp;TableWeeklySummary[[#This Row],[Desde]],TableDailySummary[Fecha],"&lt;="&amp;TableWeeklySummary[[#This Row],[Hasta]])</f>
        <v>0</v>
      </c>
      <c r="W464" s="12">
        <f ca="1">SUMIFS(TableDailySummary[Ventas meta ads],TableDailySummary[Fecha],"&gt;="&amp;TableWeeklySummary[[#This Row],[Desde]],TableDailySummary[Fecha],"&lt;="&amp;TableWeeklySummary[[#This Row],[Hasta]])</f>
        <v>0</v>
      </c>
      <c r="X464" s="12">
        <f ca="1">TableWeeklySummary[[#This Row],[Inversión google ads]]+TableWeeklySummary[[#This Row],[Inversión meta ads]]</f>
        <v>0</v>
      </c>
      <c r="Y464" s="12">
        <f ca="1">TableWeeklySummary[[#This Row],[Ventas google ads]]+TableWeeklySummary[[#This Row],[Ventas meta ads]]</f>
        <v>0</v>
      </c>
      <c r="Z464" s="14">
        <f ca="1">IFERROR(TableWeeklySummary[[#This Row],[Ventas publicidad]]/TableWeeklySummary[[#This Row],[Inversión publicidad]],0)</f>
        <v>0</v>
      </c>
      <c r="AA464" s="14">
        <f ca="1">IFERROR(TableWeeklySummary[[#This Row],[Ventas primer cliente]]/TableWeeklySummary[[#This Row],[Inversión publicidad]],0)</f>
        <v>0</v>
      </c>
      <c r="AB464" s="14"/>
      <c r="AC464" s="12"/>
      <c r="AI46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6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64" s="12">
        <f ca="1">SUMIFS(TableDailySummary[Utilidad bruta],TableDailySummary[Fecha],"&gt;="&amp;TableWeeklySummary[[#This Row],[Desde]],TableDailySummary[Fecha],"&lt;="&amp;TableWeeklySummary[[#This Row],[Hasta]])</f>
        <v>0</v>
      </c>
      <c r="AL464" s="18">
        <f ca="1">IFERROR(TableWeeklySummary[[#This Row],[Utilidad bruta]]/TableWeeklySummary[[#This Row],[Ventas netas con costo registrado]],0)</f>
        <v>0</v>
      </c>
    </row>
    <row r="465" spans="2:38" x14ac:dyDescent="0.2">
      <c r="B465" s="16">
        <f ca="1">_xlfn.ISOWEEKNUM(TableWeeklySummary[[#This Row],[Hasta]])</f>
        <v>33</v>
      </c>
      <c r="C465" s="6">
        <f t="shared" ca="1" si="9"/>
        <v>49167</v>
      </c>
      <c r="D465" s="6">
        <f ca="1">TableWeeklySummary[[#This Row],[Desde]]+7-1</f>
        <v>49173</v>
      </c>
      <c r="E465" s="12">
        <f ca="1">SUMIFS(TableDailySummary[Ventas netas totales],TableDailySummary[Fecha],"&gt;="&amp;TableWeeklySummary[[#This Row],[Desde]],TableDailySummary[Fecha],"&lt;="&amp;TableWeeklySummary[[#This Row],[Hasta]])</f>
        <v>0</v>
      </c>
      <c r="F465" s="12">
        <f ca="1">SUMIFS(TableDailySummary[Órdenes totales],TableDailySummary[Fecha],"&gt;="&amp;TableWeeklySummary[[#This Row],[Desde]],TableDailySummary[Fecha],"&lt;="&amp;TableWeeklySummary[[#This Row],[Hasta]])</f>
        <v>0</v>
      </c>
      <c r="G465" s="12">
        <f ca="1">IFERROR(TableWeeklySummary[[#This Row],[Ventas netas totales]]/TableWeeklySummary[[#This Row],[Órdenes totales]],0)</f>
        <v>0</v>
      </c>
      <c r="H46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65" s="12">
        <f ca="1">TableWeeklySummary[[#This Row],[Órden promedio totales]]*TableWeeklySummary[[#This Row],[CR totales]]</f>
        <v>0</v>
      </c>
      <c r="J465" s="12">
        <f ca="1">SUMIFS(TableDailySummary[Ventas primer cliente],TableDailySummary[Fecha],"&gt;="&amp;TableWeeklySummary[[#This Row],[Desde]],TableDailySummary[Fecha],"&lt;="&amp;TableWeeklySummary[[#This Row],[Hasta]])</f>
        <v>0</v>
      </c>
      <c r="K465" s="12">
        <f ca="1">SUMIFS(TableDailySummary[Órdenes primer cliente],TableDailySummary[Fecha],"&gt;="&amp;TableWeeklySummary[[#This Row],[Desde]],TableDailySummary[Fecha],"&lt;="&amp;TableWeeklySummary[[#This Row],[Hasta]])</f>
        <v>0</v>
      </c>
      <c r="L465" s="12">
        <f ca="1">SUMIFS(TableDailySummary[Online Store_net_sales],TableDailySummary[Fecha],"&gt;="&amp;TableWeeklySummary[[#This Row],[Desde]],TableDailySummary[Fecha],"&lt;="&amp;TableWeeklySummary[[#This Row],[Hasta]])</f>
        <v>0</v>
      </c>
      <c r="M465" s="12">
        <f ca="1">SUMIFS(TableDailySummary[Online Store_orders],TableDailySummary[Fecha],"&gt;="&amp;TableWeeklySummary[[#This Row],[Desde]],TableDailySummary[Fecha],"&lt;="&amp;TableWeeklySummary[[#This Row],[Hasta]])</f>
        <v>0</v>
      </c>
      <c r="N465" s="12">
        <f ca="1">SUMIFS(TableDailySummary[Tienda 81_net_sales],TableDailySummary[Fecha],"&gt;="&amp;TableWeeklySummary[[#This Row],[Desde]],TableDailySummary[Fecha],"&lt;="&amp;TableWeeklySummary[[#This Row],[Hasta]])</f>
        <v>0</v>
      </c>
      <c r="O465" s="12">
        <f ca="1">SUMIFS(TableDailySummary[Tienda 81_orders],TableDailySummary[Fecha],"&gt;="&amp;TableWeeklySummary[[#This Row],[Desde]],TableDailySummary[Fecha],"&lt;="&amp;TableWeeklySummary[[#This Row],[Hasta]])</f>
        <v>0</v>
      </c>
      <c r="P465" s="12">
        <f ca="1">SUMIFS(TableDailySummary[Rappi_net_sales],TableDailySummary[Fecha],"&gt;="&amp;TableWeeklySummary[[#This Row],[Desde]],TableDailySummary[Fecha],"&lt;="&amp;TableWeeklySummary[[#This Row],[Hasta]])</f>
        <v>0</v>
      </c>
      <c r="Q465" s="12">
        <f ca="1">SUMIFS(TableDailySummary[Rappi_orders],TableDailySummary[Fecha],"&gt;="&amp;TableWeeklySummary[[#This Row],[Desde]],TableDailySummary[Fecha],"&lt;="&amp;TableWeeklySummary[[#This Row],[Hasta]])</f>
        <v>0</v>
      </c>
      <c r="R46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6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65" s="12">
        <f ca="1">SUMIFS(TableDailySummary[Inversión google ads],TableDailySummary[Fecha],"&gt;="&amp;TableWeeklySummary[[#This Row],[Desde]],TableDailySummary[Fecha],"&lt;="&amp;TableWeeklySummary[[#This Row],[Hasta]])</f>
        <v>0</v>
      </c>
      <c r="U465" s="12">
        <f ca="1">SUMIFS(TableDailySummary[Ventas google ads],TableDailySummary[Fecha],"&gt;="&amp;TableWeeklySummary[[#This Row],[Desde]],TableDailySummary[Fecha],"&lt;="&amp;TableWeeklySummary[[#This Row],[Hasta]])</f>
        <v>0</v>
      </c>
      <c r="V465" s="12">
        <f ca="1">SUMIFS(TableDailySummary[Inversión meta ads],TableDailySummary[Fecha],"&gt;="&amp;TableWeeklySummary[[#This Row],[Desde]],TableDailySummary[Fecha],"&lt;="&amp;TableWeeklySummary[[#This Row],[Hasta]])</f>
        <v>0</v>
      </c>
      <c r="W465" s="12">
        <f ca="1">SUMIFS(TableDailySummary[Ventas meta ads],TableDailySummary[Fecha],"&gt;="&amp;TableWeeklySummary[[#This Row],[Desde]],TableDailySummary[Fecha],"&lt;="&amp;TableWeeklySummary[[#This Row],[Hasta]])</f>
        <v>0</v>
      </c>
      <c r="X465" s="12">
        <f ca="1">TableWeeklySummary[[#This Row],[Inversión google ads]]+TableWeeklySummary[[#This Row],[Inversión meta ads]]</f>
        <v>0</v>
      </c>
      <c r="Y465" s="12">
        <f ca="1">TableWeeklySummary[[#This Row],[Ventas google ads]]+TableWeeklySummary[[#This Row],[Ventas meta ads]]</f>
        <v>0</v>
      </c>
      <c r="Z465" s="14">
        <f ca="1">IFERROR(TableWeeklySummary[[#This Row],[Ventas publicidad]]/TableWeeklySummary[[#This Row],[Inversión publicidad]],0)</f>
        <v>0</v>
      </c>
      <c r="AA465" s="14">
        <f ca="1">IFERROR(TableWeeklySummary[[#This Row],[Ventas primer cliente]]/TableWeeklySummary[[#This Row],[Inversión publicidad]],0)</f>
        <v>0</v>
      </c>
      <c r="AB465" s="14"/>
      <c r="AC465" s="12"/>
      <c r="AI46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6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65" s="12">
        <f ca="1">SUMIFS(TableDailySummary[Utilidad bruta],TableDailySummary[Fecha],"&gt;="&amp;TableWeeklySummary[[#This Row],[Desde]],TableDailySummary[Fecha],"&lt;="&amp;TableWeeklySummary[[#This Row],[Hasta]])</f>
        <v>0</v>
      </c>
      <c r="AL465" s="18">
        <f ca="1">IFERROR(TableWeeklySummary[[#This Row],[Utilidad bruta]]/TableWeeklySummary[[#This Row],[Ventas netas con costo registrado]],0)</f>
        <v>0</v>
      </c>
    </row>
    <row r="466" spans="2:38" x14ac:dyDescent="0.2">
      <c r="B466" s="16">
        <f ca="1">_xlfn.ISOWEEKNUM(TableWeeklySummary[[#This Row],[Hasta]])</f>
        <v>34</v>
      </c>
      <c r="C466" s="6">
        <f t="shared" ca="1" si="9"/>
        <v>49174</v>
      </c>
      <c r="D466" s="6">
        <f ca="1">TableWeeklySummary[[#This Row],[Desde]]+7-1</f>
        <v>49180</v>
      </c>
      <c r="E466" s="12">
        <f ca="1">SUMIFS(TableDailySummary[Ventas netas totales],TableDailySummary[Fecha],"&gt;="&amp;TableWeeklySummary[[#This Row],[Desde]],TableDailySummary[Fecha],"&lt;="&amp;TableWeeklySummary[[#This Row],[Hasta]])</f>
        <v>0</v>
      </c>
      <c r="F466" s="12">
        <f ca="1">SUMIFS(TableDailySummary[Órdenes totales],TableDailySummary[Fecha],"&gt;="&amp;TableWeeklySummary[[#This Row],[Desde]],TableDailySummary[Fecha],"&lt;="&amp;TableWeeklySummary[[#This Row],[Hasta]])</f>
        <v>0</v>
      </c>
      <c r="G466" s="12">
        <f ca="1">IFERROR(TableWeeklySummary[[#This Row],[Ventas netas totales]]/TableWeeklySummary[[#This Row],[Órdenes totales]],0)</f>
        <v>0</v>
      </c>
      <c r="H46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66" s="12">
        <f ca="1">TableWeeklySummary[[#This Row],[Órden promedio totales]]*TableWeeklySummary[[#This Row],[CR totales]]</f>
        <v>0</v>
      </c>
      <c r="J466" s="12">
        <f ca="1">SUMIFS(TableDailySummary[Ventas primer cliente],TableDailySummary[Fecha],"&gt;="&amp;TableWeeklySummary[[#This Row],[Desde]],TableDailySummary[Fecha],"&lt;="&amp;TableWeeklySummary[[#This Row],[Hasta]])</f>
        <v>0</v>
      </c>
      <c r="K466" s="12">
        <f ca="1">SUMIFS(TableDailySummary[Órdenes primer cliente],TableDailySummary[Fecha],"&gt;="&amp;TableWeeklySummary[[#This Row],[Desde]],TableDailySummary[Fecha],"&lt;="&amp;TableWeeklySummary[[#This Row],[Hasta]])</f>
        <v>0</v>
      </c>
      <c r="L466" s="12">
        <f ca="1">SUMIFS(TableDailySummary[Online Store_net_sales],TableDailySummary[Fecha],"&gt;="&amp;TableWeeklySummary[[#This Row],[Desde]],TableDailySummary[Fecha],"&lt;="&amp;TableWeeklySummary[[#This Row],[Hasta]])</f>
        <v>0</v>
      </c>
      <c r="M466" s="12">
        <f ca="1">SUMIFS(TableDailySummary[Online Store_orders],TableDailySummary[Fecha],"&gt;="&amp;TableWeeklySummary[[#This Row],[Desde]],TableDailySummary[Fecha],"&lt;="&amp;TableWeeklySummary[[#This Row],[Hasta]])</f>
        <v>0</v>
      </c>
      <c r="N466" s="12">
        <f ca="1">SUMIFS(TableDailySummary[Tienda 81_net_sales],TableDailySummary[Fecha],"&gt;="&amp;TableWeeklySummary[[#This Row],[Desde]],TableDailySummary[Fecha],"&lt;="&amp;TableWeeklySummary[[#This Row],[Hasta]])</f>
        <v>0</v>
      </c>
      <c r="O466" s="12">
        <f ca="1">SUMIFS(TableDailySummary[Tienda 81_orders],TableDailySummary[Fecha],"&gt;="&amp;TableWeeklySummary[[#This Row],[Desde]],TableDailySummary[Fecha],"&lt;="&amp;TableWeeklySummary[[#This Row],[Hasta]])</f>
        <v>0</v>
      </c>
      <c r="P466" s="12">
        <f ca="1">SUMIFS(TableDailySummary[Rappi_net_sales],TableDailySummary[Fecha],"&gt;="&amp;TableWeeklySummary[[#This Row],[Desde]],TableDailySummary[Fecha],"&lt;="&amp;TableWeeklySummary[[#This Row],[Hasta]])</f>
        <v>0</v>
      </c>
      <c r="Q466" s="12">
        <f ca="1">SUMIFS(TableDailySummary[Rappi_orders],TableDailySummary[Fecha],"&gt;="&amp;TableWeeklySummary[[#This Row],[Desde]],TableDailySummary[Fecha],"&lt;="&amp;TableWeeklySummary[[#This Row],[Hasta]])</f>
        <v>0</v>
      </c>
      <c r="R46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6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66" s="12">
        <f ca="1">SUMIFS(TableDailySummary[Inversión google ads],TableDailySummary[Fecha],"&gt;="&amp;TableWeeklySummary[[#This Row],[Desde]],TableDailySummary[Fecha],"&lt;="&amp;TableWeeklySummary[[#This Row],[Hasta]])</f>
        <v>0</v>
      </c>
      <c r="U466" s="12">
        <f ca="1">SUMIFS(TableDailySummary[Ventas google ads],TableDailySummary[Fecha],"&gt;="&amp;TableWeeklySummary[[#This Row],[Desde]],TableDailySummary[Fecha],"&lt;="&amp;TableWeeklySummary[[#This Row],[Hasta]])</f>
        <v>0</v>
      </c>
      <c r="V466" s="12">
        <f ca="1">SUMIFS(TableDailySummary[Inversión meta ads],TableDailySummary[Fecha],"&gt;="&amp;TableWeeklySummary[[#This Row],[Desde]],TableDailySummary[Fecha],"&lt;="&amp;TableWeeklySummary[[#This Row],[Hasta]])</f>
        <v>0</v>
      </c>
      <c r="W466" s="12">
        <f ca="1">SUMIFS(TableDailySummary[Ventas meta ads],TableDailySummary[Fecha],"&gt;="&amp;TableWeeklySummary[[#This Row],[Desde]],TableDailySummary[Fecha],"&lt;="&amp;TableWeeklySummary[[#This Row],[Hasta]])</f>
        <v>0</v>
      </c>
      <c r="X466" s="12">
        <f ca="1">TableWeeklySummary[[#This Row],[Inversión google ads]]+TableWeeklySummary[[#This Row],[Inversión meta ads]]</f>
        <v>0</v>
      </c>
      <c r="Y466" s="12">
        <f ca="1">TableWeeklySummary[[#This Row],[Ventas google ads]]+TableWeeklySummary[[#This Row],[Ventas meta ads]]</f>
        <v>0</v>
      </c>
      <c r="Z466" s="14">
        <f ca="1">IFERROR(TableWeeklySummary[[#This Row],[Ventas publicidad]]/TableWeeklySummary[[#This Row],[Inversión publicidad]],0)</f>
        <v>0</v>
      </c>
      <c r="AA466" s="14">
        <f ca="1">IFERROR(TableWeeklySummary[[#This Row],[Ventas primer cliente]]/TableWeeklySummary[[#This Row],[Inversión publicidad]],0)</f>
        <v>0</v>
      </c>
      <c r="AB466" s="14"/>
      <c r="AC466" s="12"/>
      <c r="AI46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6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66" s="12">
        <f ca="1">SUMIFS(TableDailySummary[Utilidad bruta],TableDailySummary[Fecha],"&gt;="&amp;TableWeeklySummary[[#This Row],[Desde]],TableDailySummary[Fecha],"&lt;="&amp;TableWeeklySummary[[#This Row],[Hasta]])</f>
        <v>0</v>
      </c>
      <c r="AL466" s="18">
        <f ca="1">IFERROR(TableWeeklySummary[[#This Row],[Utilidad bruta]]/TableWeeklySummary[[#This Row],[Ventas netas con costo registrado]],0)</f>
        <v>0</v>
      </c>
    </row>
    <row r="467" spans="2:38" x14ac:dyDescent="0.2">
      <c r="B467" s="16">
        <f ca="1">_xlfn.ISOWEEKNUM(TableWeeklySummary[[#This Row],[Hasta]])</f>
        <v>35</v>
      </c>
      <c r="C467" s="6">
        <f t="shared" ca="1" si="9"/>
        <v>49181</v>
      </c>
      <c r="D467" s="6">
        <f ca="1">TableWeeklySummary[[#This Row],[Desde]]+7-1</f>
        <v>49187</v>
      </c>
      <c r="E467" s="12">
        <f ca="1">SUMIFS(TableDailySummary[Ventas netas totales],TableDailySummary[Fecha],"&gt;="&amp;TableWeeklySummary[[#This Row],[Desde]],TableDailySummary[Fecha],"&lt;="&amp;TableWeeklySummary[[#This Row],[Hasta]])</f>
        <v>0</v>
      </c>
      <c r="F467" s="12">
        <f ca="1">SUMIFS(TableDailySummary[Órdenes totales],TableDailySummary[Fecha],"&gt;="&amp;TableWeeklySummary[[#This Row],[Desde]],TableDailySummary[Fecha],"&lt;="&amp;TableWeeklySummary[[#This Row],[Hasta]])</f>
        <v>0</v>
      </c>
      <c r="G467" s="12">
        <f ca="1">IFERROR(TableWeeklySummary[[#This Row],[Ventas netas totales]]/TableWeeklySummary[[#This Row],[Órdenes totales]],0)</f>
        <v>0</v>
      </c>
      <c r="H46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67" s="12">
        <f ca="1">TableWeeklySummary[[#This Row],[Órden promedio totales]]*TableWeeklySummary[[#This Row],[CR totales]]</f>
        <v>0</v>
      </c>
      <c r="J467" s="12">
        <f ca="1">SUMIFS(TableDailySummary[Ventas primer cliente],TableDailySummary[Fecha],"&gt;="&amp;TableWeeklySummary[[#This Row],[Desde]],TableDailySummary[Fecha],"&lt;="&amp;TableWeeklySummary[[#This Row],[Hasta]])</f>
        <v>0</v>
      </c>
      <c r="K467" s="12">
        <f ca="1">SUMIFS(TableDailySummary[Órdenes primer cliente],TableDailySummary[Fecha],"&gt;="&amp;TableWeeklySummary[[#This Row],[Desde]],TableDailySummary[Fecha],"&lt;="&amp;TableWeeklySummary[[#This Row],[Hasta]])</f>
        <v>0</v>
      </c>
      <c r="L467" s="12">
        <f ca="1">SUMIFS(TableDailySummary[Online Store_net_sales],TableDailySummary[Fecha],"&gt;="&amp;TableWeeklySummary[[#This Row],[Desde]],TableDailySummary[Fecha],"&lt;="&amp;TableWeeklySummary[[#This Row],[Hasta]])</f>
        <v>0</v>
      </c>
      <c r="M467" s="12">
        <f ca="1">SUMIFS(TableDailySummary[Online Store_orders],TableDailySummary[Fecha],"&gt;="&amp;TableWeeklySummary[[#This Row],[Desde]],TableDailySummary[Fecha],"&lt;="&amp;TableWeeklySummary[[#This Row],[Hasta]])</f>
        <v>0</v>
      </c>
      <c r="N467" s="12">
        <f ca="1">SUMIFS(TableDailySummary[Tienda 81_net_sales],TableDailySummary[Fecha],"&gt;="&amp;TableWeeklySummary[[#This Row],[Desde]],TableDailySummary[Fecha],"&lt;="&amp;TableWeeklySummary[[#This Row],[Hasta]])</f>
        <v>0</v>
      </c>
      <c r="O467" s="12">
        <f ca="1">SUMIFS(TableDailySummary[Tienda 81_orders],TableDailySummary[Fecha],"&gt;="&amp;TableWeeklySummary[[#This Row],[Desde]],TableDailySummary[Fecha],"&lt;="&amp;TableWeeklySummary[[#This Row],[Hasta]])</f>
        <v>0</v>
      </c>
      <c r="P467" s="12">
        <f ca="1">SUMIFS(TableDailySummary[Rappi_net_sales],TableDailySummary[Fecha],"&gt;="&amp;TableWeeklySummary[[#This Row],[Desde]],TableDailySummary[Fecha],"&lt;="&amp;TableWeeklySummary[[#This Row],[Hasta]])</f>
        <v>0</v>
      </c>
      <c r="Q467" s="12">
        <f ca="1">SUMIFS(TableDailySummary[Rappi_orders],TableDailySummary[Fecha],"&gt;="&amp;TableWeeklySummary[[#This Row],[Desde]],TableDailySummary[Fecha],"&lt;="&amp;TableWeeklySummary[[#This Row],[Hasta]])</f>
        <v>0</v>
      </c>
      <c r="R46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6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67" s="12">
        <f ca="1">SUMIFS(TableDailySummary[Inversión google ads],TableDailySummary[Fecha],"&gt;="&amp;TableWeeklySummary[[#This Row],[Desde]],TableDailySummary[Fecha],"&lt;="&amp;TableWeeklySummary[[#This Row],[Hasta]])</f>
        <v>0</v>
      </c>
      <c r="U467" s="12">
        <f ca="1">SUMIFS(TableDailySummary[Ventas google ads],TableDailySummary[Fecha],"&gt;="&amp;TableWeeklySummary[[#This Row],[Desde]],TableDailySummary[Fecha],"&lt;="&amp;TableWeeklySummary[[#This Row],[Hasta]])</f>
        <v>0</v>
      </c>
      <c r="V467" s="12">
        <f ca="1">SUMIFS(TableDailySummary[Inversión meta ads],TableDailySummary[Fecha],"&gt;="&amp;TableWeeklySummary[[#This Row],[Desde]],TableDailySummary[Fecha],"&lt;="&amp;TableWeeklySummary[[#This Row],[Hasta]])</f>
        <v>0</v>
      </c>
      <c r="W467" s="12">
        <f ca="1">SUMIFS(TableDailySummary[Ventas meta ads],TableDailySummary[Fecha],"&gt;="&amp;TableWeeklySummary[[#This Row],[Desde]],TableDailySummary[Fecha],"&lt;="&amp;TableWeeklySummary[[#This Row],[Hasta]])</f>
        <v>0</v>
      </c>
      <c r="X467" s="12">
        <f ca="1">TableWeeklySummary[[#This Row],[Inversión google ads]]+TableWeeklySummary[[#This Row],[Inversión meta ads]]</f>
        <v>0</v>
      </c>
      <c r="Y467" s="12">
        <f ca="1">TableWeeklySummary[[#This Row],[Ventas google ads]]+TableWeeklySummary[[#This Row],[Ventas meta ads]]</f>
        <v>0</v>
      </c>
      <c r="Z467" s="14">
        <f ca="1">IFERROR(TableWeeklySummary[[#This Row],[Ventas publicidad]]/TableWeeklySummary[[#This Row],[Inversión publicidad]],0)</f>
        <v>0</v>
      </c>
      <c r="AA467" s="14">
        <f ca="1">IFERROR(TableWeeklySummary[[#This Row],[Ventas primer cliente]]/TableWeeklySummary[[#This Row],[Inversión publicidad]],0)</f>
        <v>0</v>
      </c>
      <c r="AB467" s="14"/>
      <c r="AC467" s="12"/>
      <c r="AI46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6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67" s="12">
        <f ca="1">SUMIFS(TableDailySummary[Utilidad bruta],TableDailySummary[Fecha],"&gt;="&amp;TableWeeklySummary[[#This Row],[Desde]],TableDailySummary[Fecha],"&lt;="&amp;TableWeeklySummary[[#This Row],[Hasta]])</f>
        <v>0</v>
      </c>
      <c r="AL467" s="18">
        <f ca="1">IFERROR(TableWeeklySummary[[#This Row],[Utilidad bruta]]/TableWeeklySummary[[#This Row],[Ventas netas con costo registrado]],0)</f>
        <v>0</v>
      </c>
    </row>
    <row r="468" spans="2:38" x14ac:dyDescent="0.2">
      <c r="B468" s="16">
        <f ca="1">_xlfn.ISOWEEKNUM(TableWeeklySummary[[#This Row],[Hasta]])</f>
        <v>36</v>
      </c>
      <c r="C468" s="6">
        <f t="shared" ca="1" si="9"/>
        <v>49188</v>
      </c>
      <c r="D468" s="6">
        <f ca="1">TableWeeklySummary[[#This Row],[Desde]]+7-1</f>
        <v>49194</v>
      </c>
      <c r="E468" s="12">
        <f ca="1">SUMIFS(TableDailySummary[Ventas netas totales],TableDailySummary[Fecha],"&gt;="&amp;TableWeeklySummary[[#This Row],[Desde]],TableDailySummary[Fecha],"&lt;="&amp;TableWeeklySummary[[#This Row],[Hasta]])</f>
        <v>0</v>
      </c>
      <c r="F468" s="12">
        <f ca="1">SUMIFS(TableDailySummary[Órdenes totales],TableDailySummary[Fecha],"&gt;="&amp;TableWeeklySummary[[#This Row],[Desde]],TableDailySummary[Fecha],"&lt;="&amp;TableWeeklySummary[[#This Row],[Hasta]])</f>
        <v>0</v>
      </c>
      <c r="G468" s="12">
        <f ca="1">IFERROR(TableWeeklySummary[[#This Row],[Ventas netas totales]]/TableWeeklySummary[[#This Row],[Órdenes totales]],0)</f>
        <v>0</v>
      </c>
      <c r="H46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68" s="12">
        <f ca="1">TableWeeklySummary[[#This Row],[Órden promedio totales]]*TableWeeklySummary[[#This Row],[CR totales]]</f>
        <v>0</v>
      </c>
      <c r="J468" s="12">
        <f ca="1">SUMIFS(TableDailySummary[Ventas primer cliente],TableDailySummary[Fecha],"&gt;="&amp;TableWeeklySummary[[#This Row],[Desde]],TableDailySummary[Fecha],"&lt;="&amp;TableWeeklySummary[[#This Row],[Hasta]])</f>
        <v>0</v>
      </c>
      <c r="K468" s="12">
        <f ca="1">SUMIFS(TableDailySummary[Órdenes primer cliente],TableDailySummary[Fecha],"&gt;="&amp;TableWeeklySummary[[#This Row],[Desde]],TableDailySummary[Fecha],"&lt;="&amp;TableWeeklySummary[[#This Row],[Hasta]])</f>
        <v>0</v>
      </c>
      <c r="L468" s="12">
        <f ca="1">SUMIFS(TableDailySummary[Online Store_net_sales],TableDailySummary[Fecha],"&gt;="&amp;TableWeeklySummary[[#This Row],[Desde]],TableDailySummary[Fecha],"&lt;="&amp;TableWeeklySummary[[#This Row],[Hasta]])</f>
        <v>0</v>
      </c>
      <c r="M468" s="12">
        <f ca="1">SUMIFS(TableDailySummary[Online Store_orders],TableDailySummary[Fecha],"&gt;="&amp;TableWeeklySummary[[#This Row],[Desde]],TableDailySummary[Fecha],"&lt;="&amp;TableWeeklySummary[[#This Row],[Hasta]])</f>
        <v>0</v>
      </c>
      <c r="N468" s="12">
        <f ca="1">SUMIFS(TableDailySummary[Tienda 81_net_sales],TableDailySummary[Fecha],"&gt;="&amp;TableWeeklySummary[[#This Row],[Desde]],TableDailySummary[Fecha],"&lt;="&amp;TableWeeklySummary[[#This Row],[Hasta]])</f>
        <v>0</v>
      </c>
      <c r="O468" s="12">
        <f ca="1">SUMIFS(TableDailySummary[Tienda 81_orders],TableDailySummary[Fecha],"&gt;="&amp;TableWeeklySummary[[#This Row],[Desde]],TableDailySummary[Fecha],"&lt;="&amp;TableWeeklySummary[[#This Row],[Hasta]])</f>
        <v>0</v>
      </c>
      <c r="P468" s="12">
        <f ca="1">SUMIFS(TableDailySummary[Rappi_net_sales],TableDailySummary[Fecha],"&gt;="&amp;TableWeeklySummary[[#This Row],[Desde]],TableDailySummary[Fecha],"&lt;="&amp;TableWeeklySummary[[#This Row],[Hasta]])</f>
        <v>0</v>
      </c>
      <c r="Q468" s="12">
        <f ca="1">SUMIFS(TableDailySummary[Rappi_orders],TableDailySummary[Fecha],"&gt;="&amp;TableWeeklySummary[[#This Row],[Desde]],TableDailySummary[Fecha],"&lt;="&amp;TableWeeklySummary[[#This Row],[Hasta]])</f>
        <v>0</v>
      </c>
      <c r="R46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6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68" s="12">
        <f ca="1">SUMIFS(TableDailySummary[Inversión google ads],TableDailySummary[Fecha],"&gt;="&amp;TableWeeklySummary[[#This Row],[Desde]],TableDailySummary[Fecha],"&lt;="&amp;TableWeeklySummary[[#This Row],[Hasta]])</f>
        <v>0</v>
      </c>
      <c r="U468" s="12">
        <f ca="1">SUMIFS(TableDailySummary[Ventas google ads],TableDailySummary[Fecha],"&gt;="&amp;TableWeeklySummary[[#This Row],[Desde]],TableDailySummary[Fecha],"&lt;="&amp;TableWeeklySummary[[#This Row],[Hasta]])</f>
        <v>0</v>
      </c>
      <c r="V468" s="12">
        <f ca="1">SUMIFS(TableDailySummary[Inversión meta ads],TableDailySummary[Fecha],"&gt;="&amp;TableWeeklySummary[[#This Row],[Desde]],TableDailySummary[Fecha],"&lt;="&amp;TableWeeklySummary[[#This Row],[Hasta]])</f>
        <v>0</v>
      </c>
      <c r="W468" s="12">
        <f ca="1">SUMIFS(TableDailySummary[Ventas meta ads],TableDailySummary[Fecha],"&gt;="&amp;TableWeeklySummary[[#This Row],[Desde]],TableDailySummary[Fecha],"&lt;="&amp;TableWeeklySummary[[#This Row],[Hasta]])</f>
        <v>0</v>
      </c>
      <c r="X468" s="12">
        <f ca="1">TableWeeklySummary[[#This Row],[Inversión google ads]]+TableWeeklySummary[[#This Row],[Inversión meta ads]]</f>
        <v>0</v>
      </c>
      <c r="Y468" s="12">
        <f ca="1">TableWeeklySummary[[#This Row],[Ventas google ads]]+TableWeeklySummary[[#This Row],[Ventas meta ads]]</f>
        <v>0</v>
      </c>
      <c r="Z468" s="14">
        <f ca="1">IFERROR(TableWeeklySummary[[#This Row],[Ventas publicidad]]/TableWeeklySummary[[#This Row],[Inversión publicidad]],0)</f>
        <v>0</v>
      </c>
      <c r="AA468" s="14">
        <f ca="1">IFERROR(TableWeeklySummary[[#This Row],[Ventas primer cliente]]/TableWeeklySummary[[#This Row],[Inversión publicidad]],0)</f>
        <v>0</v>
      </c>
      <c r="AB468" s="14"/>
      <c r="AC468" s="12"/>
      <c r="AI46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6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68" s="12">
        <f ca="1">SUMIFS(TableDailySummary[Utilidad bruta],TableDailySummary[Fecha],"&gt;="&amp;TableWeeklySummary[[#This Row],[Desde]],TableDailySummary[Fecha],"&lt;="&amp;TableWeeklySummary[[#This Row],[Hasta]])</f>
        <v>0</v>
      </c>
      <c r="AL468" s="18">
        <f ca="1">IFERROR(TableWeeklySummary[[#This Row],[Utilidad bruta]]/TableWeeklySummary[[#This Row],[Ventas netas con costo registrado]],0)</f>
        <v>0</v>
      </c>
    </row>
    <row r="469" spans="2:38" x14ac:dyDescent="0.2">
      <c r="B469" s="16">
        <f ca="1">_xlfn.ISOWEEKNUM(TableWeeklySummary[[#This Row],[Hasta]])</f>
        <v>37</v>
      </c>
      <c r="C469" s="6">
        <f t="shared" ca="1" si="9"/>
        <v>49195</v>
      </c>
      <c r="D469" s="6">
        <f ca="1">TableWeeklySummary[[#This Row],[Desde]]+7-1</f>
        <v>49201</v>
      </c>
      <c r="E469" s="12">
        <f ca="1">SUMIFS(TableDailySummary[Ventas netas totales],TableDailySummary[Fecha],"&gt;="&amp;TableWeeklySummary[[#This Row],[Desde]],TableDailySummary[Fecha],"&lt;="&amp;TableWeeklySummary[[#This Row],[Hasta]])</f>
        <v>0</v>
      </c>
      <c r="F469" s="12">
        <f ca="1">SUMIFS(TableDailySummary[Órdenes totales],TableDailySummary[Fecha],"&gt;="&amp;TableWeeklySummary[[#This Row],[Desde]],TableDailySummary[Fecha],"&lt;="&amp;TableWeeklySummary[[#This Row],[Hasta]])</f>
        <v>0</v>
      </c>
      <c r="G469" s="12">
        <f ca="1">IFERROR(TableWeeklySummary[[#This Row],[Ventas netas totales]]/TableWeeklySummary[[#This Row],[Órdenes totales]],0)</f>
        <v>0</v>
      </c>
      <c r="H46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69" s="12">
        <f ca="1">TableWeeklySummary[[#This Row],[Órden promedio totales]]*TableWeeklySummary[[#This Row],[CR totales]]</f>
        <v>0</v>
      </c>
      <c r="J469" s="12">
        <f ca="1">SUMIFS(TableDailySummary[Ventas primer cliente],TableDailySummary[Fecha],"&gt;="&amp;TableWeeklySummary[[#This Row],[Desde]],TableDailySummary[Fecha],"&lt;="&amp;TableWeeklySummary[[#This Row],[Hasta]])</f>
        <v>0</v>
      </c>
      <c r="K469" s="12">
        <f ca="1">SUMIFS(TableDailySummary[Órdenes primer cliente],TableDailySummary[Fecha],"&gt;="&amp;TableWeeklySummary[[#This Row],[Desde]],TableDailySummary[Fecha],"&lt;="&amp;TableWeeklySummary[[#This Row],[Hasta]])</f>
        <v>0</v>
      </c>
      <c r="L469" s="12">
        <f ca="1">SUMIFS(TableDailySummary[Online Store_net_sales],TableDailySummary[Fecha],"&gt;="&amp;TableWeeklySummary[[#This Row],[Desde]],TableDailySummary[Fecha],"&lt;="&amp;TableWeeklySummary[[#This Row],[Hasta]])</f>
        <v>0</v>
      </c>
      <c r="M469" s="12">
        <f ca="1">SUMIFS(TableDailySummary[Online Store_orders],TableDailySummary[Fecha],"&gt;="&amp;TableWeeklySummary[[#This Row],[Desde]],TableDailySummary[Fecha],"&lt;="&amp;TableWeeklySummary[[#This Row],[Hasta]])</f>
        <v>0</v>
      </c>
      <c r="N469" s="12">
        <f ca="1">SUMIFS(TableDailySummary[Tienda 81_net_sales],TableDailySummary[Fecha],"&gt;="&amp;TableWeeklySummary[[#This Row],[Desde]],TableDailySummary[Fecha],"&lt;="&amp;TableWeeklySummary[[#This Row],[Hasta]])</f>
        <v>0</v>
      </c>
      <c r="O469" s="12">
        <f ca="1">SUMIFS(TableDailySummary[Tienda 81_orders],TableDailySummary[Fecha],"&gt;="&amp;TableWeeklySummary[[#This Row],[Desde]],TableDailySummary[Fecha],"&lt;="&amp;TableWeeklySummary[[#This Row],[Hasta]])</f>
        <v>0</v>
      </c>
      <c r="P469" s="12">
        <f ca="1">SUMIFS(TableDailySummary[Rappi_net_sales],TableDailySummary[Fecha],"&gt;="&amp;TableWeeklySummary[[#This Row],[Desde]],TableDailySummary[Fecha],"&lt;="&amp;TableWeeklySummary[[#This Row],[Hasta]])</f>
        <v>0</v>
      </c>
      <c r="Q469" s="12">
        <f ca="1">SUMIFS(TableDailySummary[Rappi_orders],TableDailySummary[Fecha],"&gt;="&amp;TableWeeklySummary[[#This Row],[Desde]],TableDailySummary[Fecha],"&lt;="&amp;TableWeeklySummary[[#This Row],[Hasta]])</f>
        <v>0</v>
      </c>
      <c r="R46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6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69" s="12">
        <f ca="1">SUMIFS(TableDailySummary[Inversión google ads],TableDailySummary[Fecha],"&gt;="&amp;TableWeeklySummary[[#This Row],[Desde]],TableDailySummary[Fecha],"&lt;="&amp;TableWeeklySummary[[#This Row],[Hasta]])</f>
        <v>0</v>
      </c>
      <c r="U469" s="12">
        <f ca="1">SUMIFS(TableDailySummary[Ventas google ads],TableDailySummary[Fecha],"&gt;="&amp;TableWeeklySummary[[#This Row],[Desde]],TableDailySummary[Fecha],"&lt;="&amp;TableWeeklySummary[[#This Row],[Hasta]])</f>
        <v>0</v>
      </c>
      <c r="V469" s="12">
        <f ca="1">SUMIFS(TableDailySummary[Inversión meta ads],TableDailySummary[Fecha],"&gt;="&amp;TableWeeklySummary[[#This Row],[Desde]],TableDailySummary[Fecha],"&lt;="&amp;TableWeeklySummary[[#This Row],[Hasta]])</f>
        <v>0</v>
      </c>
      <c r="W469" s="12">
        <f ca="1">SUMIFS(TableDailySummary[Ventas meta ads],TableDailySummary[Fecha],"&gt;="&amp;TableWeeklySummary[[#This Row],[Desde]],TableDailySummary[Fecha],"&lt;="&amp;TableWeeklySummary[[#This Row],[Hasta]])</f>
        <v>0</v>
      </c>
      <c r="X469" s="12">
        <f ca="1">TableWeeklySummary[[#This Row],[Inversión google ads]]+TableWeeklySummary[[#This Row],[Inversión meta ads]]</f>
        <v>0</v>
      </c>
      <c r="Y469" s="12">
        <f ca="1">TableWeeklySummary[[#This Row],[Ventas google ads]]+TableWeeklySummary[[#This Row],[Ventas meta ads]]</f>
        <v>0</v>
      </c>
      <c r="Z469" s="14">
        <f ca="1">IFERROR(TableWeeklySummary[[#This Row],[Ventas publicidad]]/TableWeeklySummary[[#This Row],[Inversión publicidad]],0)</f>
        <v>0</v>
      </c>
      <c r="AA469" s="14">
        <f ca="1">IFERROR(TableWeeklySummary[[#This Row],[Ventas primer cliente]]/TableWeeklySummary[[#This Row],[Inversión publicidad]],0)</f>
        <v>0</v>
      </c>
      <c r="AB469" s="14"/>
      <c r="AC469" s="12"/>
      <c r="AI46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6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69" s="12">
        <f ca="1">SUMIFS(TableDailySummary[Utilidad bruta],TableDailySummary[Fecha],"&gt;="&amp;TableWeeklySummary[[#This Row],[Desde]],TableDailySummary[Fecha],"&lt;="&amp;TableWeeklySummary[[#This Row],[Hasta]])</f>
        <v>0</v>
      </c>
      <c r="AL469" s="18">
        <f ca="1">IFERROR(TableWeeklySummary[[#This Row],[Utilidad bruta]]/TableWeeklySummary[[#This Row],[Ventas netas con costo registrado]],0)</f>
        <v>0</v>
      </c>
    </row>
    <row r="470" spans="2:38" x14ac:dyDescent="0.2">
      <c r="B470" s="16">
        <f ca="1">_xlfn.ISOWEEKNUM(TableWeeklySummary[[#This Row],[Hasta]])</f>
        <v>38</v>
      </c>
      <c r="C470" s="6">
        <f t="shared" ca="1" si="9"/>
        <v>49202</v>
      </c>
      <c r="D470" s="6">
        <f ca="1">TableWeeklySummary[[#This Row],[Desde]]+7-1</f>
        <v>49208</v>
      </c>
      <c r="E470" s="12">
        <f ca="1">SUMIFS(TableDailySummary[Ventas netas totales],TableDailySummary[Fecha],"&gt;="&amp;TableWeeklySummary[[#This Row],[Desde]],TableDailySummary[Fecha],"&lt;="&amp;TableWeeklySummary[[#This Row],[Hasta]])</f>
        <v>0</v>
      </c>
      <c r="F470" s="12">
        <f ca="1">SUMIFS(TableDailySummary[Órdenes totales],TableDailySummary[Fecha],"&gt;="&amp;TableWeeklySummary[[#This Row],[Desde]],TableDailySummary[Fecha],"&lt;="&amp;TableWeeklySummary[[#This Row],[Hasta]])</f>
        <v>0</v>
      </c>
      <c r="G470" s="12">
        <f ca="1">IFERROR(TableWeeklySummary[[#This Row],[Ventas netas totales]]/TableWeeklySummary[[#This Row],[Órdenes totales]],0)</f>
        <v>0</v>
      </c>
      <c r="H47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70" s="12">
        <f ca="1">TableWeeklySummary[[#This Row],[Órden promedio totales]]*TableWeeklySummary[[#This Row],[CR totales]]</f>
        <v>0</v>
      </c>
      <c r="J470" s="12">
        <f ca="1">SUMIFS(TableDailySummary[Ventas primer cliente],TableDailySummary[Fecha],"&gt;="&amp;TableWeeklySummary[[#This Row],[Desde]],TableDailySummary[Fecha],"&lt;="&amp;TableWeeklySummary[[#This Row],[Hasta]])</f>
        <v>0</v>
      </c>
      <c r="K470" s="12">
        <f ca="1">SUMIFS(TableDailySummary[Órdenes primer cliente],TableDailySummary[Fecha],"&gt;="&amp;TableWeeklySummary[[#This Row],[Desde]],TableDailySummary[Fecha],"&lt;="&amp;TableWeeklySummary[[#This Row],[Hasta]])</f>
        <v>0</v>
      </c>
      <c r="L470" s="12">
        <f ca="1">SUMIFS(TableDailySummary[Online Store_net_sales],TableDailySummary[Fecha],"&gt;="&amp;TableWeeklySummary[[#This Row],[Desde]],TableDailySummary[Fecha],"&lt;="&amp;TableWeeklySummary[[#This Row],[Hasta]])</f>
        <v>0</v>
      </c>
      <c r="M470" s="12">
        <f ca="1">SUMIFS(TableDailySummary[Online Store_orders],TableDailySummary[Fecha],"&gt;="&amp;TableWeeklySummary[[#This Row],[Desde]],TableDailySummary[Fecha],"&lt;="&amp;TableWeeklySummary[[#This Row],[Hasta]])</f>
        <v>0</v>
      </c>
      <c r="N470" s="12">
        <f ca="1">SUMIFS(TableDailySummary[Tienda 81_net_sales],TableDailySummary[Fecha],"&gt;="&amp;TableWeeklySummary[[#This Row],[Desde]],TableDailySummary[Fecha],"&lt;="&amp;TableWeeklySummary[[#This Row],[Hasta]])</f>
        <v>0</v>
      </c>
      <c r="O470" s="12">
        <f ca="1">SUMIFS(TableDailySummary[Tienda 81_orders],TableDailySummary[Fecha],"&gt;="&amp;TableWeeklySummary[[#This Row],[Desde]],TableDailySummary[Fecha],"&lt;="&amp;TableWeeklySummary[[#This Row],[Hasta]])</f>
        <v>0</v>
      </c>
      <c r="P470" s="12">
        <f ca="1">SUMIFS(TableDailySummary[Rappi_net_sales],TableDailySummary[Fecha],"&gt;="&amp;TableWeeklySummary[[#This Row],[Desde]],TableDailySummary[Fecha],"&lt;="&amp;TableWeeklySummary[[#This Row],[Hasta]])</f>
        <v>0</v>
      </c>
      <c r="Q470" s="12">
        <f ca="1">SUMIFS(TableDailySummary[Rappi_orders],TableDailySummary[Fecha],"&gt;="&amp;TableWeeklySummary[[#This Row],[Desde]],TableDailySummary[Fecha],"&lt;="&amp;TableWeeklySummary[[#This Row],[Hasta]])</f>
        <v>0</v>
      </c>
      <c r="R47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7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70" s="12">
        <f ca="1">SUMIFS(TableDailySummary[Inversión google ads],TableDailySummary[Fecha],"&gt;="&amp;TableWeeklySummary[[#This Row],[Desde]],TableDailySummary[Fecha],"&lt;="&amp;TableWeeklySummary[[#This Row],[Hasta]])</f>
        <v>0</v>
      </c>
      <c r="U470" s="12">
        <f ca="1">SUMIFS(TableDailySummary[Ventas google ads],TableDailySummary[Fecha],"&gt;="&amp;TableWeeklySummary[[#This Row],[Desde]],TableDailySummary[Fecha],"&lt;="&amp;TableWeeklySummary[[#This Row],[Hasta]])</f>
        <v>0</v>
      </c>
      <c r="V470" s="12">
        <f ca="1">SUMIFS(TableDailySummary[Inversión meta ads],TableDailySummary[Fecha],"&gt;="&amp;TableWeeklySummary[[#This Row],[Desde]],TableDailySummary[Fecha],"&lt;="&amp;TableWeeklySummary[[#This Row],[Hasta]])</f>
        <v>0</v>
      </c>
      <c r="W470" s="12">
        <f ca="1">SUMIFS(TableDailySummary[Ventas meta ads],TableDailySummary[Fecha],"&gt;="&amp;TableWeeklySummary[[#This Row],[Desde]],TableDailySummary[Fecha],"&lt;="&amp;TableWeeklySummary[[#This Row],[Hasta]])</f>
        <v>0</v>
      </c>
      <c r="X470" s="12">
        <f ca="1">TableWeeklySummary[[#This Row],[Inversión google ads]]+TableWeeklySummary[[#This Row],[Inversión meta ads]]</f>
        <v>0</v>
      </c>
      <c r="Y470" s="12">
        <f ca="1">TableWeeklySummary[[#This Row],[Ventas google ads]]+TableWeeklySummary[[#This Row],[Ventas meta ads]]</f>
        <v>0</v>
      </c>
      <c r="Z470" s="14">
        <f ca="1">IFERROR(TableWeeklySummary[[#This Row],[Ventas publicidad]]/TableWeeklySummary[[#This Row],[Inversión publicidad]],0)</f>
        <v>0</v>
      </c>
      <c r="AA470" s="14">
        <f ca="1">IFERROR(TableWeeklySummary[[#This Row],[Ventas primer cliente]]/TableWeeklySummary[[#This Row],[Inversión publicidad]],0)</f>
        <v>0</v>
      </c>
      <c r="AB470" s="14"/>
      <c r="AC470" s="12"/>
      <c r="AI47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7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70" s="12">
        <f ca="1">SUMIFS(TableDailySummary[Utilidad bruta],TableDailySummary[Fecha],"&gt;="&amp;TableWeeklySummary[[#This Row],[Desde]],TableDailySummary[Fecha],"&lt;="&amp;TableWeeklySummary[[#This Row],[Hasta]])</f>
        <v>0</v>
      </c>
      <c r="AL470" s="18">
        <f ca="1">IFERROR(TableWeeklySummary[[#This Row],[Utilidad bruta]]/TableWeeklySummary[[#This Row],[Ventas netas con costo registrado]],0)</f>
        <v>0</v>
      </c>
    </row>
    <row r="471" spans="2:38" x14ac:dyDescent="0.2">
      <c r="B471" s="16">
        <f ca="1">_xlfn.ISOWEEKNUM(TableWeeklySummary[[#This Row],[Hasta]])</f>
        <v>39</v>
      </c>
      <c r="C471" s="6">
        <f t="shared" ca="1" si="9"/>
        <v>49209</v>
      </c>
      <c r="D471" s="6">
        <f ca="1">TableWeeklySummary[[#This Row],[Desde]]+7-1</f>
        <v>49215</v>
      </c>
      <c r="E471" s="12">
        <f ca="1">SUMIFS(TableDailySummary[Ventas netas totales],TableDailySummary[Fecha],"&gt;="&amp;TableWeeklySummary[[#This Row],[Desde]],TableDailySummary[Fecha],"&lt;="&amp;TableWeeklySummary[[#This Row],[Hasta]])</f>
        <v>0</v>
      </c>
      <c r="F471" s="12">
        <f ca="1">SUMIFS(TableDailySummary[Órdenes totales],TableDailySummary[Fecha],"&gt;="&amp;TableWeeklySummary[[#This Row],[Desde]],TableDailySummary[Fecha],"&lt;="&amp;TableWeeklySummary[[#This Row],[Hasta]])</f>
        <v>0</v>
      </c>
      <c r="G471" s="12">
        <f ca="1">IFERROR(TableWeeklySummary[[#This Row],[Ventas netas totales]]/TableWeeklySummary[[#This Row],[Órdenes totales]],0)</f>
        <v>0</v>
      </c>
      <c r="H47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71" s="12">
        <f ca="1">TableWeeklySummary[[#This Row],[Órden promedio totales]]*TableWeeklySummary[[#This Row],[CR totales]]</f>
        <v>0</v>
      </c>
      <c r="J471" s="12">
        <f ca="1">SUMIFS(TableDailySummary[Ventas primer cliente],TableDailySummary[Fecha],"&gt;="&amp;TableWeeklySummary[[#This Row],[Desde]],TableDailySummary[Fecha],"&lt;="&amp;TableWeeklySummary[[#This Row],[Hasta]])</f>
        <v>0</v>
      </c>
      <c r="K471" s="12">
        <f ca="1">SUMIFS(TableDailySummary[Órdenes primer cliente],TableDailySummary[Fecha],"&gt;="&amp;TableWeeklySummary[[#This Row],[Desde]],TableDailySummary[Fecha],"&lt;="&amp;TableWeeklySummary[[#This Row],[Hasta]])</f>
        <v>0</v>
      </c>
      <c r="L471" s="12">
        <f ca="1">SUMIFS(TableDailySummary[Online Store_net_sales],TableDailySummary[Fecha],"&gt;="&amp;TableWeeklySummary[[#This Row],[Desde]],TableDailySummary[Fecha],"&lt;="&amp;TableWeeklySummary[[#This Row],[Hasta]])</f>
        <v>0</v>
      </c>
      <c r="M471" s="12">
        <f ca="1">SUMIFS(TableDailySummary[Online Store_orders],TableDailySummary[Fecha],"&gt;="&amp;TableWeeklySummary[[#This Row],[Desde]],TableDailySummary[Fecha],"&lt;="&amp;TableWeeklySummary[[#This Row],[Hasta]])</f>
        <v>0</v>
      </c>
      <c r="N471" s="12">
        <f ca="1">SUMIFS(TableDailySummary[Tienda 81_net_sales],TableDailySummary[Fecha],"&gt;="&amp;TableWeeklySummary[[#This Row],[Desde]],TableDailySummary[Fecha],"&lt;="&amp;TableWeeklySummary[[#This Row],[Hasta]])</f>
        <v>0</v>
      </c>
      <c r="O471" s="12">
        <f ca="1">SUMIFS(TableDailySummary[Tienda 81_orders],TableDailySummary[Fecha],"&gt;="&amp;TableWeeklySummary[[#This Row],[Desde]],TableDailySummary[Fecha],"&lt;="&amp;TableWeeklySummary[[#This Row],[Hasta]])</f>
        <v>0</v>
      </c>
      <c r="P471" s="12">
        <f ca="1">SUMIFS(TableDailySummary[Rappi_net_sales],TableDailySummary[Fecha],"&gt;="&amp;TableWeeklySummary[[#This Row],[Desde]],TableDailySummary[Fecha],"&lt;="&amp;TableWeeklySummary[[#This Row],[Hasta]])</f>
        <v>0</v>
      </c>
      <c r="Q471" s="12">
        <f ca="1">SUMIFS(TableDailySummary[Rappi_orders],TableDailySummary[Fecha],"&gt;="&amp;TableWeeklySummary[[#This Row],[Desde]],TableDailySummary[Fecha],"&lt;="&amp;TableWeeklySummary[[#This Row],[Hasta]])</f>
        <v>0</v>
      </c>
      <c r="R47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7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71" s="12">
        <f ca="1">SUMIFS(TableDailySummary[Inversión google ads],TableDailySummary[Fecha],"&gt;="&amp;TableWeeklySummary[[#This Row],[Desde]],TableDailySummary[Fecha],"&lt;="&amp;TableWeeklySummary[[#This Row],[Hasta]])</f>
        <v>0</v>
      </c>
      <c r="U471" s="12">
        <f ca="1">SUMIFS(TableDailySummary[Ventas google ads],TableDailySummary[Fecha],"&gt;="&amp;TableWeeklySummary[[#This Row],[Desde]],TableDailySummary[Fecha],"&lt;="&amp;TableWeeklySummary[[#This Row],[Hasta]])</f>
        <v>0</v>
      </c>
      <c r="V471" s="12">
        <f ca="1">SUMIFS(TableDailySummary[Inversión meta ads],TableDailySummary[Fecha],"&gt;="&amp;TableWeeklySummary[[#This Row],[Desde]],TableDailySummary[Fecha],"&lt;="&amp;TableWeeklySummary[[#This Row],[Hasta]])</f>
        <v>0</v>
      </c>
      <c r="W471" s="12">
        <f ca="1">SUMIFS(TableDailySummary[Ventas meta ads],TableDailySummary[Fecha],"&gt;="&amp;TableWeeklySummary[[#This Row],[Desde]],TableDailySummary[Fecha],"&lt;="&amp;TableWeeklySummary[[#This Row],[Hasta]])</f>
        <v>0</v>
      </c>
      <c r="X471" s="12">
        <f ca="1">TableWeeklySummary[[#This Row],[Inversión google ads]]+TableWeeklySummary[[#This Row],[Inversión meta ads]]</f>
        <v>0</v>
      </c>
      <c r="Y471" s="12">
        <f ca="1">TableWeeklySummary[[#This Row],[Ventas google ads]]+TableWeeklySummary[[#This Row],[Ventas meta ads]]</f>
        <v>0</v>
      </c>
      <c r="Z471" s="14">
        <f ca="1">IFERROR(TableWeeklySummary[[#This Row],[Ventas publicidad]]/TableWeeklySummary[[#This Row],[Inversión publicidad]],0)</f>
        <v>0</v>
      </c>
      <c r="AA471" s="14">
        <f ca="1">IFERROR(TableWeeklySummary[[#This Row],[Ventas primer cliente]]/TableWeeklySummary[[#This Row],[Inversión publicidad]],0)</f>
        <v>0</v>
      </c>
      <c r="AB471" s="14"/>
      <c r="AC471" s="12"/>
      <c r="AI47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7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71" s="12">
        <f ca="1">SUMIFS(TableDailySummary[Utilidad bruta],TableDailySummary[Fecha],"&gt;="&amp;TableWeeklySummary[[#This Row],[Desde]],TableDailySummary[Fecha],"&lt;="&amp;TableWeeklySummary[[#This Row],[Hasta]])</f>
        <v>0</v>
      </c>
      <c r="AL471" s="18">
        <f ca="1">IFERROR(TableWeeklySummary[[#This Row],[Utilidad bruta]]/TableWeeklySummary[[#This Row],[Ventas netas con costo registrado]],0)</f>
        <v>0</v>
      </c>
    </row>
    <row r="472" spans="2:38" x14ac:dyDescent="0.2">
      <c r="B472" s="16">
        <f ca="1">_xlfn.ISOWEEKNUM(TableWeeklySummary[[#This Row],[Hasta]])</f>
        <v>40</v>
      </c>
      <c r="C472" s="6">
        <f t="shared" ca="1" si="9"/>
        <v>49216</v>
      </c>
      <c r="D472" s="6">
        <f ca="1">TableWeeklySummary[[#This Row],[Desde]]+7-1</f>
        <v>49222</v>
      </c>
      <c r="E472" s="12">
        <f ca="1">SUMIFS(TableDailySummary[Ventas netas totales],TableDailySummary[Fecha],"&gt;="&amp;TableWeeklySummary[[#This Row],[Desde]],TableDailySummary[Fecha],"&lt;="&amp;TableWeeklySummary[[#This Row],[Hasta]])</f>
        <v>0</v>
      </c>
      <c r="F472" s="12">
        <f ca="1">SUMIFS(TableDailySummary[Órdenes totales],TableDailySummary[Fecha],"&gt;="&amp;TableWeeklySummary[[#This Row],[Desde]],TableDailySummary[Fecha],"&lt;="&amp;TableWeeklySummary[[#This Row],[Hasta]])</f>
        <v>0</v>
      </c>
      <c r="G472" s="12">
        <f ca="1">IFERROR(TableWeeklySummary[[#This Row],[Ventas netas totales]]/TableWeeklySummary[[#This Row],[Órdenes totales]],0)</f>
        <v>0</v>
      </c>
      <c r="H47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72" s="12">
        <f ca="1">TableWeeklySummary[[#This Row],[Órden promedio totales]]*TableWeeklySummary[[#This Row],[CR totales]]</f>
        <v>0</v>
      </c>
      <c r="J472" s="12">
        <f ca="1">SUMIFS(TableDailySummary[Ventas primer cliente],TableDailySummary[Fecha],"&gt;="&amp;TableWeeklySummary[[#This Row],[Desde]],TableDailySummary[Fecha],"&lt;="&amp;TableWeeklySummary[[#This Row],[Hasta]])</f>
        <v>0</v>
      </c>
      <c r="K472" s="12">
        <f ca="1">SUMIFS(TableDailySummary[Órdenes primer cliente],TableDailySummary[Fecha],"&gt;="&amp;TableWeeklySummary[[#This Row],[Desde]],TableDailySummary[Fecha],"&lt;="&amp;TableWeeklySummary[[#This Row],[Hasta]])</f>
        <v>0</v>
      </c>
      <c r="L472" s="12">
        <f ca="1">SUMIFS(TableDailySummary[Online Store_net_sales],TableDailySummary[Fecha],"&gt;="&amp;TableWeeklySummary[[#This Row],[Desde]],TableDailySummary[Fecha],"&lt;="&amp;TableWeeklySummary[[#This Row],[Hasta]])</f>
        <v>0</v>
      </c>
      <c r="M472" s="12">
        <f ca="1">SUMIFS(TableDailySummary[Online Store_orders],TableDailySummary[Fecha],"&gt;="&amp;TableWeeklySummary[[#This Row],[Desde]],TableDailySummary[Fecha],"&lt;="&amp;TableWeeklySummary[[#This Row],[Hasta]])</f>
        <v>0</v>
      </c>
      <c r="N472" s="12">
        <f ca="1">SUMIFS(TableDailySummary[Tienda 81_net_sales],TableDailySummary[Fecha],"&gt;="&amp;TableWeeklySummary[[#This Row],[Desde]],TableDailySummary[Fecha],"&lt;="&amp;TableWeeklySummary[[#This Row],[Hasta]])</f>
        <v>0</v>
      </c>
      <c r="O472" s="12">
        <f ca="1">SUMIFS(TableDailySummary[Tienda 81_orders],TableDailySummary[Fecha],"&gt;="&amp;TableWeeklySummary[[#This Row],[Desde]],TableDailySummary[Fecha],"&lt;="&amp;TableWeeklySummary[[#This Row],[Hasta]])</f>
        <v>0</v>
      </c>
      <c r="P472" s="12">
        <f ca="1">SUMIFS(TableDailySummary[Rappi_net_sales],TableDailySummary[Fecha],"&gt;="&amp;TableWeeklySummary[[#This Row],[Desde]],TableDailySummary[Fecha],"&lt;="&amp;TableWeeklySummary[[#This Row],[Hasta]])</f>
        <v>0</v>
      </c>
      <c r="Q472" s="12">
        <f ca="1">SUMIFS(TableDailySummary[Rappi_orders],TableDailySummary[Fecha],"&gt;="&amp;TableWeeklySummary[[#This Row],[Desde]],TableDailySummary[Fecha],"&lt;="&amp;TableWeeklySummary[[#This Row],[Hasta]])</f>
        <v>0</v>
      </c>
      <c r="R47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7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72" s="12">
        <f ca="1">SUMIFS(TableDailySummary[Inversión google ads],TableDailySummary[Fecha],"&gt;="&amp;TableWeeklySummary[[#This Row],[Desde]],TableDailySummary[Fecha],"&lt;="&amp;TableWeeklySummary[[#This Row],[Hasta]])</f>
        <v>0</v>
      </c>
      <c r="U472" s="12">
        <f ca="1">SUMIFS(TableDailySummary[Ventas google ads],TableDailySummary[Fecha],"&gt;="&amp;TableWeeklySummary[[#This Row],[Desde]],TableDailySummary[Fecha],"&lt;="&amp;TableWeeklySummary[[#This Row],[Hasta]])</f>
        <v>0</v>
      </c>
      <c r="V472" s="12">
        <f ca="1">SUMIFS(TableDailySummary[Inversión meta ads],TableDailySummary[Fecha],"&gt;="&amp;TableWeeklySummary[[#This Row],[Desde]],TableDailySummary[Fecha],"&lt;="&amp;TableWeeklySummary[[#This Row],[Hasta]])</f>
        <v>0</v>
      </c>
      <c r="W472" s="12">
        <f ca="1">SUMIFS(TableDailySummary[Ventas meta ads],TableDailySummary[Fecha],"&gt;="&amp;TableWeeklySummary[[#This Row],[Desde]],TableDailySummary[Fecha],"&lt;="&amp;TableWeeklySummary[[#This Row],[Hasta]])</f>
        <v>0</v>
      </c>
      <c r="X472" s="12">
        <f ca="1">TableWeeklySummary[[#This Row],[Inversión google ads]]+TableWeeklySummary[[#This Row],[Inversión meta ads]]</f>
        <v>0</v>
      </c>
      <c r="Y472" s="12">
        <f ca="1">TableWeeklySummary[[#This Row],[Ventas google ads]]+TableWeeklySummary[[#This Row],[Ventas meta ads]]</f>
        <v>0</v>
      </c>
      <c r="Z472" s="14">
        <f ca="1">IFERROR(TableWeeklySummary[[#This Row],[Ventas publicidad]]/TableWeeklySummary[[#This Row],[Inversión publicidad]],0)</f>
        <v>0</v>
      </c>
      <c r="AA472" s="14">
        <f ca="1">IFERROR(TableWeeklySummary[[#This Row],[Ventas primer cliente]]/TableWeeklySummary[[#This Row],[Inversión publicidad]],0)</f>
        <v>0</v>
      </c>
      <c r="AB472" s="14"/>
      <c r="AC472" s="12"/>
      <c r="AI47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7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72" s="12">
        <f ca="1">SUMIFS(TableDailySummary[Utilidad bruta],TableDailySummary[Fecha],"&gt;="&amp;TableWeeklySummary[[#This Row],[Desde]],TableDailySummary[Fecha],"&lt;="&amp;TableWeeklySummary[[#This Row],[Hasta]])</f>
        <v>0</v>
      </c>
      <c r="AL472" s="18">
        <f ca="1">IFERROR(TableWeeklySummary[[#This Row],[Utilidad bruta]]/TableWeeklySummary[[#This Row],[Ventas netas con costo registrado]],0)</f>
        <v>0</v>
      </c>
    </row>
    <row r="473" spans="2:38" x14ac:dyDescent="0.2">
      <c r="B473" s="16">
        <f ca="1">_xlfn.ISOWEEKNUM(TableWeeklySummary[[#This Row],[Hasta]])</f>
        <v>41</v>
      </c>
      <c r="C473" s="6">
        <f t="shared" ca="1" si="9"/>
        <v>49223</v>
      </c>
      <c r="D473" s="6">
        <f ca="1">TableWeeklySummary[[#This Row],[Desde]]+7-1</f>
        <v>49229</v>
      </c>
      <c r="E473" s="12">
        <f ca="1">SUMIFS(TableDailySummary[Ventas netas totales],TableDailySummary[Fecha],"&gt;="&amp;TableWeeklySummary[[#This Row],[Desde]],TableDailySummary[Fecha],"&lt;="&amp;TableWeeklySummary[[#This Row],[Hasta]])</f>
        <v>0</v>
      </c>
      <c r="F473" s="12">
        <f ca="1">SUMIFS(TableDailySummary[Órdenes totales],TableDailySummary[Fecha],"&gt;="&amp;TableWeeklySummary[[#This Row],[Desde]],TableDailySummary[Fecha],"&lt;="&amp;TableWeeklySummary[[#This Row],[Hasta]])</f>
        <v>0</v>
      </c>
      <c r="G473" s="12">
        <f ca="1">IFERROR(TableWeeklySummary[[#This Row],[Ventas netas totales]]/TableWeeklySummary[[#This Row],[Órdenes totales]],0)</f>
        <v>0</v>
      </c>
      <c r="H47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73" s="12">
        <f ca="1">TableWeeklySummary[[#This Row],[Órden promedio totales]]*TableWeeklySummary[[#This Row],[CR totales]]</f>
        <v>0</v>
      </c>
      <c r="J473" s="12">
        <f ca="1">SUMIFS(TableDailySummary[Ventas primer cliente],TableDailySummary[Fecha],"&gt;="&amp;TableWeeklySummary[[#This Row],[Desde]],TableDailySummary[Fecha],"&lt;="&amp;TableWeeklySummary[[#This Row],[Hasta]])</f>
        <v>0</v>
      </c>
      <c r="K473" s="12">
        <f ca="1">SUMIFS(TableDailySummary[Órdenes primer cliente],TableDailySummary[Fecha],"&gt;="&amp;TableWeeklySummary[[#This Row],[Desde]],TableDailySummary[Fecha],"&lt;="&amp;TableWeeklySummary[[#This Row],[Hasta]])</f>
        <v>0</v>
      </c>
      <c r="L473" s="12">
        <f ca="1">SUMIFS(TableDailySummary[Online Store_net_sales],TableDailySummary[Fecha],"&gt;="&amp;TableWeeklySummary[[#This Row],[Desde]],TableDailySummary[Fecha],"&lt;="&amp;TableWeeklySummary[[#This Row],[Hasta]])</f>
        <v>0</v>
      </c>
      <c r="M473" s="12">
        <f ca="1">SUMIFS(TableDailySummary[Online Store_orders],TableDailySummary[Fecha],"&gt;="&amp;TableWeeklySummary[[#This Row],[Desde]],TableDailySummary[Fecha],"&lt;="&amp;TableWeeklySummary[[#This Row],[Hasta]])</f>
        <v>0</v>
      </c>
      <c r="N473" s="12">
        <f ca="1">SUMIFS(TableDailySummary[Tienda 81_net_sales],TableDailySummary[Fecha],"&gt;="&amp;TableWeeklySummary[[#This Row],[Desde]],TableDailySummary[Fecha],"&lt;="&amp;TableWeeklySummary[[#This Row],[Hasta]])</f>
        <v>0</v>
      </c>
      <c r="O473" s="12">
        <f ca="1">SUMIFS(TableDailySummary[Tienda 81_orders],TableDailySummary[Fecha],"&gt;="&amp;TableWeeklySummary[[#This Row],[Desde]],TableDailySummary[Fecha],"&lt;="&amp;TableWeeklySummary[[#This Row],[Hasta]])</f>
        <v>0</v>
      </c>
      <c r="P473" s="12">
        <f ca="1">SUMIFS(TableDailySummary[Rappi_net_sales],TableDailySummary[Fecha],"&gt;="&amp;TableWeeklySummary[[#This Row],[Desde]],TableDailySummary[Fecha],"&lt;="&amp;TableWeeklySummary[[#This Row],[Hasta]])</f>
        <v>0</v>
      </c>
      <c r="Q473" s="12">
        <f ca="1">SUMIFS(TableDailySummary[Rappi_orders],TableDailySummary[Fecha],"&gt;="&amp;TableWeeklySummary[[#This Row],[Desde]],TableDailySummary[Fecha],"&lt;="&amp;TableWeeklySummary[[#This Row],[Hasta]])</f>
        <v>0</v>
      </c>
      <c r="R47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7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73" s="12">
        <f ca="1">SUMIFS(TableDailySummary[Inversión google ads],TableDailySummary[Fecha],"&gt;="&amp;TableWeeklySummary[[#This Row],[Desde]],TableDailySummary[Fecha],"&lt;="&amp;TableWeeklySummary[[#This Row],[Hasta]])</f>
        <v>0</v>
      </c>
      <c r="U473" s="12">
        <f ca="1">SUMIFS(TableDailySummary[Ventas google ads],TableDailySummary[Fecha],"&gt;="&amp;TableWeeklySummary[[#This Row],[Desde]],TableDailySummary[Fecha],"&lt;="&amp;TableWeeklySummary[[#This Row],[Hasta]])</f>
        <v>0</v>
      </c>
      <c r="V473" s="12">
        <f ca="1">SUMIFS(TableDailySummary[Inversión meta ads],TableDailySummary[Fecha],"&gt;="&amp;TableWeeklySummary[[#This Row],[Desde]],TableDailySummary[Fecha],"&lt;="&amp;TableWeeklySummary[[#This Row],[Hasta]])</f>
        <v>0</v>
      </c>
      <c r="W473" s="12">
        <f ca="1">SUMIFS(TableDailySummary[Ventas meta ads],TableDailySummary[Fecha],"&gt;="&amp;TableWeeklySummary[[#This Row],[Desde]],TableDailySummary[Fecha],"&lt;="&amp;TableWeeklySummary[[#This Row],[Hasta]])</f>
        <v>0</v>
      </c>
      <c r="X473" s="12">
        <f ca="1">TableWeeklySummary[[#This Row],[Inversión google ads]]+TableWeeklySummary[[#This Row],[Inversión meta ads]]</f>
        <v>0</v>
      </c>
      <c r="Y473" s="12">
        <f ca="1">TableWeeklySummary[[#This Row],[Ventas google ads]]+TableWeeklySummary[[#This Row],[Ventas meta ads]]</f>
        <v>0</v>
      </c>
      <c r="Z473" s="14">
        <f ca="1">IFERROR(TableWeeklySummary[[#This Row],[Ventas publicidad]]/TableWeeklySummary[[#This Row],[Inversión publicidad]],0)</f>
        <v>0</v>
      </c>
      <c r="AA473" s="14">
        <f ca="1">IFERROR(TableWeeklySummary[[#This Row],[Ventas primer cliente]]/TableWeeklySummary[[#This Row],[Inversión publicidad]],0)</f>
        <v>0</v>
      </c>
      <c r="AB473" s="14"/>
      <c r="AC473" s="12"/>
      <c r="AI47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7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73" s="12">
        <f ca="1">SUMIFS(TableDailySummary[Utilidad bruta],TableDailySummary[Fecha],"&gt;="&amp;TableWeeklySummary[[#This Row],[Desde]],TableDailySummary[Fecha],"&lt;="&amp;TableWeeklySummary[[#This Row],[Hasta]])</f>
        <v>0</v>
      </c>
      <c r="AL473" s="18">
        <f ca="1">IFERROR(TableWeeklySummary[[#This Row],[Utilidad bruta]]/TableWeeklySummary[[#This Row],[Ventas netas con costo registrado]],0)</f>
        <v>0</v>
      </c>
    </row>
    <row r="474" spans="2:38" x14ac:dyDescent="0.2">
      <c r="B474" s="16">
        <f ca="1">_xlfn.ISOWEEKNUM(TableWeeklySummary[[#This Row],[Hasta]])</f>
        <v>42</v>
      </c>
      <c r="C474" s="6">
        <f t="shared" ca="1" si="9"/>
        <v>49230</v>
      </c>
      <c r="D474" s="6">
        <f ca="1">TableWeeklySummary[[#This Row],[Desde]]+7-1</f>
        <v>49236</v>
      </c>
      <c r="E474" s="12">
        <f ca="1">SUMIFS(TableDailySummary[Ventas netas totales],TableDailySummary[Fecha],"&gt;="&amp;TableWeeklySummary[[#This Row],[Desde]],TableDailySummary[Fecha],"&lt;="&amp;TableWeeklySummary[[#This Row],[Hasta]])</f>
        <v>0</v>
      </c>
      <c r="F474" s="12">
        <f ca="1">SUMIFS(TableDailySummary[Órdenes totales],TableDailySummary[Fecha],"&gt;="&amp;TableWeeklySummary[[#This Row],[Desde]],TableDailySummary[Fecha],"&lt;="&amp;TableWeeklySummary[[#This Row],[Hasta]])</f>
        <v>0</v>
      </c>
      <c r="G474" s="12">
        <f ca="1">IFERROR(TableWeeklySummary[[#This Row],[Ventas netas totales]]/TableWeeklySummary[[#This Row],[Órdenes totales]],0)</f>
        <v>0</v>
      </c>
      <c r="H47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74" s="12">
        <f ca="1">TableWeeklySummary[[#This Row],[Órden promedio totales]]*TableWeeklySummary[[#This Row],[CR totales]]</f>
        <v>0</v>
      </c>
      <c r="J474" s="12">
        <f ca="1">SUMIFS(TableDailySummary[Ventas primer cliente],TableDailySummary[Fecha],"&gt;="&amp;TableWeeklySummary[[#This Row],[Desde]],TableDailySummary[Fecha],"&lt;="&amp;TableWeeklySummary[[#This Row],[Hasta]])</f>
        <v>0</v>
      </c>
      <c r="K474" s="12">
        <f ca="1">SUMIFS(TableDailySummary[Órdenes primer cliente],TableDailySummary[Fecha],"&gt;="&amp;TableWeeklySummary[[#This Row],[Desde]],TableDailySummary[Fecha],"&lt;="&amp;TableWeeklySummary[[#This Row],[Hasta]])</f>
        <v>0</v>
      </c>
      <c r="L474" s="12">
        <f ca="1">SUMIFS(TableDailySummary[Online Store_net_sales],TableDailySummary[Fecha],"&gt;="&amp;TableWeeklySummary[[#This Row],[Desde]],TableDailySummary[Fecha],"&lt;="&amp;TableWeeklySummary[[#This Row],[Hasta]])</f>
        <v>0</v>
      </c>
      <c r="M474" s="12">
        <f ca="1">SUMIFS(TableDailySummary[Online Store_orders],TableDailySummary[Fecha],"&gt;="&amp;TableWeeklySummary[[#This Row],[Desde]],TableDailySummary[Fecha],"&lt;="&amp;TableWeeklySummary[[#This Row],[Hasta]])</f>
        <v>0</v>
      </c>
      <c r="N474" s="12">
        <f ca="1">SUMIFS(TableDailySummary[Tienda 81_net_sales],TableDailySummary[Fecha],"&gt;="&amp;TableWeeklySummary[[#This Row],[Desde]],TableDailySummary[Fecha],"&lt;="&amp;TableWeeklySummary[[#This Row],[Hasta]])</f>
        <v>0</v>
      </c>
      <c r="O474" s="12">
        <f ca="1">SUMIFS(TableDailySummary[Tienda 81_orders],TableDailySummary[Fecha],"&gt;="&amp;TableWeeklySummary[[#This Row],[Desde]],TableDailySummary[Fecha],"&lt;="&amp;TableWeeklySummary[[#This Row],[Hasta]])</f>
        <v>0</v>
      </c>
      <c r="P474" s="12">
        <f ca="1">SUMIFS(TableDailySummary[Rappi_net_sales],TableDailySummary[Fecha],"&gt;="&amp;TableWeeklySummary[[#This Row],[Desde]],TableDailySummary[Fecha],"&lt;="&amp;TableWeeklySummary[[#This Row],[Hasta]])</f>
        <v>0</v>
      </c>
      <c r="Q474" s="12">
        <f ca="1">SUMIFS(TableDailySummary[Rappi_orders],TableDailySummary[Fecha],"&gt;="&amp;TableWeeklySummary[[#This Row],[Desde]],TableDailySummary[Fecha],"&lt;="&amp;TableWeeklySummary[[#This Row],[Hasta]])</f>
        <v>0</v>
      </c>
      <c r="R47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7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74" s="12">
        <f ca="1">SUMIFS(TableDailySummary[Inversión google ads],TableDailySummary[Fecha],"&gt;="&amp;TableWeeklySummary[[#This Row],[Desde]],TableDailySummary[Fecha],"&lt;="&amp;TableWeeklySummary[[#This Row],[Hasta]])</f>
        <v>0</v>
      </c>
      <c r="U474" s="12">
        <f ca="1">SUMIFS(TableDailySummary[Ventas google ads],TableDailySummary[Fecha],"&gt;="&amp;TableWeeklySummary[[#This Row],[Desde]],TableDailySummary[Fecha],"&lt;="&amp;TableWeeklySummary[[#This Row],[Hasta]])</f>
        <v>0</v>
      </c>
      <c r="V474" s="12">
        <f ca="1">SUMIFS(TableDailySummary[Inversión meta ads],TableDailySummary[Fecha],"&gt;="&amp;TableWeeklySummary[[#This Row],[Desde]],TableDailySummary[Fecha],"&lt;="&amp;TableWeeklySummary[[#This Row],[Hasta]])</f>
        <v>0</v>
      </c>
      <c r="W474" s="12">
        <f ca="1">SUMIFS(TableDailySummary[Ventas meta ads],TableDailySummary[Fecha],"&gt;="&amp;TableWeeklySummary[[#This Row],[Desde]],TableDailySummary[Fecha],"&lt;="&amp;TableWeeklySummary[[#This Row],[Hasta]])</f>
        <v>0</v>
      </c>
      <c r="X474" s="12">
        <f ca="1">TableWeeklySummary[[#This Row],[Inversión google ads]]+TableWeeklySummary[[#This Row],[Inversión meta ads]]</f>
        <v>0</v>
      </c>
      <c r="Y474" s="12">
        <f ca="1">TableWeeklySummary[[#This Row],[Ventas google ads]]+TableWeeklySummary[[#This Row],[Ventas meta ads]]</f>
        <v>0</v>
      </c>
      <c r="Z474" s="14">
        <f ca="1">IFERROR(TableWeeklySummary[[#This Row],[Ventas publicidad]]/TableWeeklySummary[[#This Row],[Inversión publicidad]],0)</f>
        <v>0</v>
      </c>
      <c r="AA474" s="14">
        <f ca="1">IFERROR(TableWeeklySummary[[#This Row],[Ventas primer cliente]]/TableWeeklySummary[[#This Row],[Inversión publicidad]],0)</f>
        <v>0</v>
      </c>
      <c r="AB474" s="14"/>
      <c r="AC474" s="12"/>
      <c r="AI47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7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74" s="12">
        <f ca="1">SUMIFS(TableDailySummary[Utilidad bruta],TableDailySummary[Fecha],"&gt;="&amp;TableWeeklySummary[[#This Row],[Desde]],TableDailySummary[Fecha],"&lt;="&amp;TableWeeklySummary[[#This Row],[Hasta]])</f>
        <v>0</v>
      </c>
      <c r="AL474" s="18">
        <f ca="1">IFERROR(TableWeeklySummary[[#This Row],[Utilidad bruta]]/TableWeeklySummary[[#This Row],[Ventas netas con costo registrado]],0)</f>
        <v>0</v>
      </c>
    </row>
    <row r="475" spans="2:38" x14ac:dyDescent="0.2">
      <c r="B475" s="16">
        <f ca="1">_xlfn.ISOWEEKNUM(TableWeeklySummary[[#This Row],[Hasta]])</f>
        <v>43</v>
      </c>
      <c r="C475" s="6">
        <f t="shared" ca="1" si="9"/>
        <v>49237</v>
      </c>
      <c r="D475" s="6">
        <f ca="1">TableWeeklySummary[[#This Row],[Desde]]+7-1</f>
        <v>49243</v>
      </c>
      <c r="E475" s="12">
        <f ca="1">SUMIFS(TableDailySummary[Ventas netas totales],TableDailySummary[Fecha],"&gt;="&amp;TableWeeklySummary[[#This Row],[Desde]],TableDailySummary[Fecha],"&lt;="&amp;TableWeeklySummary[[#This Row],[Hasta]])</f>
        <v>0</v>
      </c>
      <c r="F475" s="12">
        <f ca="1">SUMIFS(TableDailySummary[Órdenes totales],TableDailySummary[Fecha],"&gt;="&amp;TableWeeklySummary[[#This Row],[Desde]],TableDailySummary[Fecha],"&lt;="&amp;TableWeeklySummary[[#This Row],[Hasta]])</f>
        <v>0</v>
      </c>
      <c r="G475" s="12">
        <f ca="1">IFERROR(TableWeeklySummary[[#This Row],[Ventas netas totales]]/TableWeeklySummary[[#This Row],[Órdenes totales]],0)</f>
        <v>0</v>
      </c>
      <c r="H47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75" s="12">
        <f ca="1">TableWeeklySummary[[#This Row],[Órden promedio totales]]*TableWeeklySummary[[#This Row],[CR totales]]</f>
        <v>0</v>
      </c>
      <c r="J475" s="12">
        <f ca="1">SUMIFS(TableDailySummary[Ventas primer cliente],TableDailySummary[Fecha],"&gt;="&amp;TableWeeklySummary[[#This Row],[Desde]],TableDailySummary[Fecha],"&lt;="&amp;TableWeeklySummary[[#This Row],[Hasta]])</f>
        <v>0</v>
      </c>
      <c r="K475" s="12">
        <f ca="1">SUMIFS(TableDailySummary[Órdenes primer cliente],TableDailySummary[Fecha],"&gt;="&amp;TableWeeklySummary[[#This Row],[Desde]],TableDailySummary[Fecha],"&lt;="&amp;TableWeeklySummary[[#This Row],[Hasta]])</f>
        <v>0</v>
      </c>
      <c r="L475" s="12">
        <f ca="1">SUMIFS(TableDailySummary[Online Store_net_sales],TableDailySummary[Fecha],"&gt;="&amp;TableWeeklySummary[[#This Row],[Desde]],TableDailySummary[Fecha],"&lt;="&amp;TableWeeklySummary[[#This Row],[Hasta]])</f>
        <v>0</v>
      </c>
      <c r="M475" s="12">
        <f ca="1">SUMIFS(TableDailySummary[Online Store_orders],TableDailySummary[Fecha],"&gt;="&amp;TableWeeklySummary[[#This Row],[Desde]],TableDailySummary[Fecha],"&lt;="&amp;TableWeeklySummary[[#This Row],[Hasta]])</f>
        <v>0</v>
      </c>
      <c r="N475" s="12">
        <f ca="1">SUMIFS(TableDailySummary[Tienda 81_net_sales],TableDailySummary[Fecha],"&gt;="&amp;TableWeeklySummary[[#This Row],[Desde]],TableDailySummary[Fecha],"&lt;="&amp;TableWeeklySummary[[#This Row],[Hasta]])</f>
        <v>0</v>
      </c>
      <c r="O475" s="12">
        <f ca="1">SUMIFS(TableDailySummary[Tienda 81_orders],TableDailySummary[Fecha],"&gt;="&amp;TableWeeklySummary[[#This Row],[Desde]],TableDailySummary[Fecha],"&lt;="&amp;TableWeeklySummary[[#This Row],[Hasta]])</f>
        <v>0</v>
      </c>
      <c r="P475" s="12">
        <f ca="1">SUMIFS(TableDailySummary[Rappi_net_sales],TableDailySummary[Fecha],"&gt;="&amp;TableWeeklySummary[[#This Row],[Desde]],TableDailySummary[Fecha],"&lt;="&amp;TableWeeklySummary[[#This Row],[Hasta]])</f>
        <v>0</v>
      </c>
      <c r="Q475" s="12">
        <f ca="1">SUMIFS(TableDailySummary[Rappi_orders],TableDailySummary[Fecha],"&gt;="&amp;TableWeeklySummary[[#This Row],[Desde]],TableDailySummary[Fecha],"&lt;="&amp;TableWeeklySummary[[#This Row],[Hasta]])</f>
        <v>0</v>
      </c>
      <c r="R47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7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75" s="12">
        <f ca="1">SUMIFS(TableDailySummary[Inversión google ads],TableDailySummary[Fecha],"&gt;="&amp;TableWeeklySummary[[#This Row],[Desde]],TableDailySummary[Fecha],"&lt;="&amp;TableWeeklySummary[[#This Row],[Hasta]])</f>
        <v>0</v>
      </c>
      <c r="U475" s="12">
        <f ca="1">SUMIFS(TableDailySummary[Ventas google ads],TableDailySummary[Fecha],"&gt;="&amp;TableWeeklySummary[[#This Row],[Desde]],TableDailySummary[Fecha],"&lt;="&amp;TableWeeklySummary[[#This Row],[Hasta]])</f>
        <v>0</v>
      </c>
      <c r="V475" s="12">
        <f ca="1">SUMIFS(TableDailySummary[Inversión meta ads],TableDailySummary[Fecha],"&gt;="&amp;TableWeeklySummary[[#This Row],[Desde]],TableDailySummary[Fecha],"&lt;="&amp;TableWeeklySummary[[#This Row],[Hasta]])</f>
        <v>0</v>
      </c>
      <c r="W475" s="12">
        <f ca="1">SUMIFS(TableDailySummary[Ventas meta ads],TableDailySummary[Fecha],"&gt;="&amp;TableWeeklySummary[[#This Row],[Desde]],TableDailySummary[Fecha],"&lt;="&amp;TableWeeklySummary[[#This Row],[Hasta]])</f>
        <v>0</v>
      </c>
      <c r="X475" s="12">
        <f ca="1">TableWeeklySummary[[#This Row],[Inversión google ads]]+TableWeeklySummary[[#This Row],[Inversión meta ads]]</f>
        <v>0</v>
      </c>
      <c r="Y475" s="12">
        <f ca="1">TableWeeklySummary[[#This Row],[Ventas google ads]]+TableWeeklySummary[[#This Row],[Ventas meta ads]]</f>
        <v>0</v>
      </c>
      <c r="Z475" s="14">
        <f ca="1">IFERROR(TableWeeklySummary[[#This Row],[Ventas publicidad]]/TableWeeklySummary[[#This Row],[Inversión publicidad]],0)</f>
        <v>0</v>
      </c>
      <c r="AA475" s="14">
        <f ca="1">IFERROR(TableWeeklySummary[[#This Row],[Ventas primer cliente]]/TableWeeklySummary[[#This Row],[Inversión publicidad]],0)</f>
        <v>0</v>
      </c>
      <c r="AB475" s="14"/>
      <c r="AC475" s="12"/>
      <c r="AI47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7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75" s="12">
        <f ca="1">SUMIFS(TableDailySummary[Utilidad bruta],TableDailySummary[Fecha],"&gt;="&amp;TableWeeklySummary[[#This Row],[Desde]],TableDailySummary[Fecha],"&lt;="&amp;TableWeeklySummary[[#This Row],[Hasta]])</f>
        <v>0</v>
      </c>
      <c r="AL475" s="18">
        <f ca="1">IFERROR(TableWeeklySummary[[#This Row],[Utilidad bruta]]/TableWeeklySummary[[#This Row],[Ventas netas con costo registrado]],0)</f>
        <v>0</v>
      </c>
    </row>
    <row r="476" spans="2:38" x14ac:dyDescent="0.2">
      <c r="B476" s="16">
        <f ca="1">_xlfn.ISOWEEKNUM(TableWeeklySummary[[#This Row],[Hasta]])</f>
        <v>44</v>
      </c>
      <c r="C476" s="6">
        <f t="shared" ca="1" si="9"/>
        <v>49244</v>
      </c>
      <c r="D476" s="6">
        <f ca="1">TableWeeklySummary[[#This Row],[Desde]]+7-1</f>
        <v>49250</v>
      </c>
      <c r="E476" s="12">
        <f ca="1">SUMIFS(TableDailySummary[Ventas netas totales],TableDailySummary[Fecha],"&gt;="&amp;TableWeeklySummary[[#This Row],[Desde]],TableDailySummary[Fecha],"&lt;="&amp;TableWeeklySummary[[#This Row],[Hasta]])</f>
        <v>0</v>
      </c>
      <c r="F476" s="12">
        <f ca="1">SUMIFS(TableDailySummary[Órdenes totales],TableDailySummary[Fecha],"&gt;="&amp;TableWeeklySummary[[#This Row],[Desde]],TableDailySummary[Fecha],"&lt;="&amp;TableWeeklySummary[[#This Row],[Hasta]])</f>
        <v>0</v>
      </c>
      <c r="G476" s="12">
        <f ca="1">IFERROR(TableWeeklySummary[[#This Row],[Ventas netas totales]]/TableWeeklySummary[[#This Row],[Órdenes totales]],0)</f>
        <v>0</v>
      </c>
      <c r="H47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76" s="12">
        <f ca="1">TableWeeklySummary[[#This Row],[Órden promedio totales]]*TableWeeklySummary[[#This Row],[CR totales]]</f>
        <v>0</v>
      </c>
      <c r="J476" s="12">
        <f ca="1">SUMIFS(TableDailySummary[Ventas primer cliente],TableDailySummary[Fecha],"&gt;="&amp;TableWeeklySummary[[#This Row],[Desde]],TableDailySummary[Fecha],"&lt;="&amp;TableWeeklySummary[[#This Row],[Hasta]])</f>
        <v>0</v>
      </c>
      <c r="K476" s="12">
        <f ca="1">SUMIFS(TableDailySummary[Órdenes primer cliente],TableDailySummary[Fecha],"&gt;="&amp;TableWeeklySummary[[#This Row],[Desde]],TableDailySummary[Fecha],"&lt;="&amp;TableWeeklySummary[[#This Row],[Hasta]])</f>
        <v>0</v>
      </c>
      <c r="L476" s="12">
        <f ca="1">SUMIFS(TableDailySummary[Online Store_net_sales],TableDailySummary[Fecha],"&gt;="&amp;TableWeeklySummary[[#This Row],[Desde]],TableDailySummary[Fecha],"&lt;="&amp;TableWeeklySummary[[#This Row],[Hasta]])</f>
        <v>0</v>
      </c>
      <c r="M476" s="12">
        <f ca="1">SUMIFS(TableDailySummary[Online Store_orders],TableDailySummary[Fecha],"&gt;="&amp;TableWeeklySummary[[#This Row],[Desde]],TableDailySummary[Fecha],"&lt;="&amp;TableWeeklySummary[[#This Row],[Hasta]])</f>
        <v>0</v>
      </c>
      <c r="N476" s="12">
        <f ca="1">SUMIFS(TableDailySummary[Tienda 81_net_sales],TableDailySummary[Fecha],"&gt;="&amp;TableWeeklySummary[[#This Row],[Desde]],TableDailySummary[Fecha],"&lt;="&amp;TableWeeklySummary[[#This Row],[Hasta]])</f>
        <v>0</v>
      </c>
      <c r="O476" s="12">
        <f ca="1">SUMIFS(TableDailySummary[Tienda 81_orders],TableDailySummary[Fecha],"&gt;="&amp;TableWeeklySummary[[#This Row],[Desde]],TableDailySummary[Fecha],"&lt;="&amp;TableWeeklySummary[[#This Row],[Hasta]])</f>
        <v>0</v>
      </c>
      <c r="P476" s="12">
        <f ca="1">SUMIFS(TableDailySummary[Rappi_net_sales],TableDailySummary[Fecha],"&gt;="&amp;TableWeeklySummary[[#This Row],[Desde]],TableDailySummary[Fecha],"&lt;="&amp;TableWeeklySummary[[#This Row],[Hasta]])</f>
        <v>0</v>
      </c>
      <c r="Q476" s="12">
        <f ca="1">SUMIFS(TableDailySummary[Rappi_orders],TableDailySummary[Fecha],"&gt;="&amp;TableWeeklySummary[[#This Row],[Desde]],TableDailySummary[Fecha],"&lt;="&amp;TableWeeklySummary[[#This Row],[Hasta]])</f>
        <v>0</v>
      </c>
      <c r="R47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7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76" s="12">
        <f ca="1">SUMIFS(TableDailySummary[Inversión google ads],TableDailySummary[Fecha],"&gt;="&amp;TableWeeklySummary[[#This Row],[Desde]],TableDailySummary[Fecha],"&lt;="&amp;TableWeeklySummary[[#This Row],[Hasta]])</f>
        <v>0</v>
      </c>
      <c r="U476" s="12">
        <f ca="1">SUMIFS(TableDailySummary[Ventas google ads],TableDailySummary[Fecha],"&gt;="&amp;TableWeeklySummary[[#This Row],[Desde]],TableDailySummary[Fecha],"&lt;="&amp;TableWeeklySummary[[#This Row],[Hasta]])</f>
        <v>0</v>
      </c>
      <c r="V476" s="12">
        <f ca="1">SUMIFS(TableDailySummary[Inversión meta ads],TableDailySummary[Fecha],"&gt;="&amp;TableWeeklySummary[[#This Row],[Desde]],TableDailySummary[Fecha],"&lt;="&amp;TableWeeklySummary[[#This Row],[Hasta]])</f>
        <v>0</v>
      </c>
      <c r="W476" s="12">
        <f ca="1">SUMIFS(TableDailySummary[Ventas meta ads],TableDailySummary[Fecha],"&gt;="&amp;TableWeeklySummary[[#This Row],[Desde]],TableDailySummary[Fecha],"&lt;="&amp;TableWeeklySummary[[#This Row],[Hasta]])</f>
        <v>0</v>
      </c>
      <c r="X476" s="12">
        <f ca="1">TableWeeklySummary[[#This Row],[Inversión google ads]]+TableWeeklySummary[[#This Row],[Inversión meta ads]]</f>
        <v>0</v>
      </c>
      <c r="Y476" s="12">
        <f ca="1">TableWeeklySummary[[#This Row],[Ventas google ads]]+TableWeeklySummary[[#This Row],[Ventas meta ads]]</f>
        <v>0</v>
      </c>
      <c r="Z476" s="14">
        <f ca="1">IFERROR(TableWeeklySummary[[#This Row],[Ventas publicidad]]/TableWeeklySummary[[#This Row],[Inversión publicidad]],0)</f>
        <v>0</v>
      </c>
      <c r="AA476" s="14">
        <f ca="1">IFERROR(TableWeeklySummary[[#This Row],[Ventas primer cliente]]/TableWeeklySummary[[#This Row],[Inversión publicidad]],0)</f>
        <v>0</v>
      </c>
      <c r="AB476" s="14"/>
      <c r="AC476" s="12"/>
      <c r="AI47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7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76" s="12">
        <f ca="1">SUMIFS(TableDailySummary[Utilidad bruta],TableDailySummary[Fecha],"&gt;="&amp;TableWeeklySummary[[#This Row],[Desde]],TableDailySummary[Fecha],"&lt;="&amp;TableWeeklySummary[[#This Row],[Hasta]])</f>
        <v>0</v>
      </c>
      <c r="AL476" s="18">
        <f ca="1">IFERROR(TableWeeklySummary[[#This Row],[Utilidad bruta]]/TableWeeklySummary[[#This Row],[Ventas netas con costo registrado]],0)</f>
        <v>0</v>
      </c>
    </row>
    <row r="477" spans="2:38" x14ac:dyDescent="0.2">
      <c r="B477" s="16">
        <f ca="1">_xlfn.ISOWEEKNUM(TableWeeklySummary[[#This Row],[Hasta]])</f>
        <v>45</v>
      </c>
      <c r="C477" s="6">
        <f t="shared" ca="1" si="9"/>
        <v>49251</v>
      </c>
      <c r="D477" s="6">
        <f ca="1">TableWeeklySummary[[#This Row],[Desde]]+7-1</f>
        <v>49257</v>
      </c>
      <c r="E477" s="12">
        <f ca="1">SUMIFS(TableDailySummary[Ventas netas totales],TableDailySummary[Fecha],"&gt;="&amp;TableWeeklySummary[[#This Row],[Desde]],TableDailySummary[Fecha],"&lt;="&amp;TableWeeklySummary[[#This Row],[Hasta]])</f>
        <v>0</v>
      </c>
      <c r="F477" s="12">
        <f ca="1">SUMIFS(TableDailySummary[Órdenes totales],TableDailySummary[Fecha],"&gt;="&amp;TableWeeklySummary[[#This Row],[Desde]],TableDailySummary[Fecha],"&lt;="&amp;TableWeeklySummary[[#This Row],[Hasta]])</f>
        <v>0</v>
      </c>
      <c r="G477" s="12">
        <f ca="1">IFERROR(TableWeeklySummary[[#This Row],[Ventas netas totales]]/TableWeeklySummary[[#This Row],[Órdenes totales]],0)</f>
        <v>0</v>
      </c>
      <c r="H47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77" s="12">
        <f ca="1">TableWeeklySummary[[#This Row],[Órden promedio totales]]*TableWeeklySummary[[#This Row],[CR totales]]</f>
        <v>0</v>
      </c>
      <c r="J477" s="12">
        <f ca="1">SUMIFS(TableDailySummary[Ventas primer cliente],TableDailySummary[Fecha],"&gt;="&amp;TableWeeklySummary[[#This Row],[Desde]],TableDailySummary[Fecha],"&lt;="&amp;TableWeeklySummary[[#This Row],[Hasta]])</f>
        <v>0</v>
      </c>
      <c r="K477" s="12">
        <f ca="1">SUMIFS(TableDailySummary[Órdenes primer cliente],TableDailySummary[Fecha],"&gt;="&amp;TableWeeklySummary[[#This Row],[Desde]],TableDailySummary[Fecha],"&lt;="&amp;TableWeeklySummary[[#This Row],[Hasta]])</f>
        <v>0</v>
      </c>
      <c r="L477" s="12">
        <f ca="1">SUMIFS(TableDailySummary[Online Store_net_sales],TableDailySummary[Fecha],"&gt;="&amp;TableWeeklySummary[[#This Row],[Desde]],TableDailySummary[Fecha],"&lt;="&amp;TableWeeklySummary[[#This Row],[Hasta]])</f>
        <v>0</v>
      </c>
      <c r="M477" s="12">
        <f ca="1">SUMIFS(TableDailySummary[Online Store_orders],TableDailySummary[Fecha],"&gt;="&amp;TableWeeklySummary[[#This Row],[Desde]],TableDailySummary[Fecha],"&lt;="&amp;TableWeeklySummary[[#This Row],[Hasta]])</f>
        <v>0</v>
      </c>
      <c r="N477" s="12">
        <f ca="1">SUMIFS(TableDailySummary[Tienda 81_net_sales],TableDailySummary[Fecha],"&gt;="&amp;TableWeeklySummary[[#This Row],[Desde]],TableDailySummary[Fecha],"&lt;="&amp;TableWeeklySummary[[#This Row],[Hasta]])</f>
        <v>0</v>
      </c>
      <c r="O477" s="12">
        <f ca="1">SUMIFS(TableDailySummary[Tienda 81_orders],TableDailySummary[Fecha],"&gt;="&amp;TableWeeklySummary[[#This Row],[Desde]],TableDailySummary[Fecha],"&lt;="&amp;TableWeeklySummary[[#This Row],[Hasta]])</f>
        <v>0</v>
      </c>
      <c r="P477" s="12">
        <f ca="1">SUMIFS(TableDailySummary[Rappi_net_sales],TableDailySummary[Fecha],"&gt;="&amp;TableWeeklySummary[[#This Row],[Desde]],TableDailySummary[Fecha],"&lt;="&amp;TableWeeklySummary[[#This Row],[Hasta]])</f>
        <v>0</v>
      </c>
      <c r="Q477" s="12">
        <f ca="1">SUMIFS(TableDailySummary[Rappi_orders],TableDailySummary[Fecha],"&gt;="&amp;TableWeeklySummary[[#This Row],[Desde]],TableDailySummary[Fecha],"&lt;="&amp;TableWeeklySummary[[#This Row],[Hasta]])</f>
        <v>0</v>
      </c>
      <c r="R47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7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77" s="12">
        <f ca="1">SUMIFS(TableDailySummary[Inversión google ads],TableDailySummary[Fecha],"&gt;="&amp;TableWeeklySummary[[#This Row],[Desde]],TableDailySummary[Fecha],"&lt;="&amp;TableWeeklySummary[[#This Row],[Hasta]])</f>
        <v>0</v>
      </c>
      <c r="U477" s="12">
        <f ca="1">SUMIFS(TableDailySummary[Ventas google ads],TableDailySummary[Fecha],"&gt;="&amp;TableWeeklySummary[[#This Row],[Desde]],TableDailySummary[Fecha],"&lt;="&amp;TableWeeklySummary[[#This Row],[Hasta]])</f>
        <v>0</v>
      </c>
      <c r="V477" s="12">
        <f ca="1">SUMIFS(TableDailySummary[Inversión meta ads],TableDailySummary[Fecha],"&gt;="&amp;TableWeeklySummary[[#This Row],[Desde]],TableDailySummary[Fecha],"&lt;="&amp;TableWeeklySummary[[#This Row],[Hasta]])</f>
        <v>0</v>
      </c>
      <c r="W477" s="12">
        <f ca="1">SUMIFS(TableDailySummary[Ventas meta ads],TableDailySummary[Fecha],"&gt;="&amp;TableWeeklySummary[[#This Row],[Desde]],TableDailySummary[Fecha],"&lt;="&amp;TableWeeklySummary[[#This Row],[Hasta]])</f>
        <v>0</v>
      </c>
      <c r="X477" s="12">
        <f ca="1">TableWeeklySummary[[#This Row],[Inversión google ads]]+TableWeeklySummary[[#This Row],[Inversión meta ads]]</f>
        <v>0</v>
      </c>
      <c r="Y477" s="12">
        <f ca="1">TableWeeklySummary[[#This Row],[Ventas google ads]]+TableWeeklySummary[[#This Row],[Ventas meta ads]]</f>
        <v>0</v>
      </c>
      <c r="Z477" s="14">
        <f ca="1">IFERROR(TableWeeklySummary[[#This Row],[Ventas publicidad]]/TableWeeklySummary[[#This Row],[Inversión publicidad]],0)</f>
        <v>0</v>
      </c>
      <c r="AA477" s="14">
        <f ca="1">IFERROR(TableWeeklySummary[[#This Row],[Ventas primer cliente]]/TableWeeklySummary[[#This Row],[Inversión publicidad]],0)</f>
        <v>0</v>
      </c>
      <c r="AB477" s="14"/>
      <c r="AC477" s="12"/>
      <c r="AI47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7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77" s="12">
        <f ca="1">SUMIFS(TableDailySummary[Utilidad bruta],TableDailySummary[Fecha],"&gt;="&amp;TableWeeklySummary[[#This Row],[Desde]],TableDailySummary[Fecha],"&lt;="&amp;TableWeeklySummary[[#This Row],[Hasta]])</f>
        <v>0</v>
      </c>
      <c r="AL477" s="18">
        <f ca="1">IFERROR(TableWeeklySummary[[#This Row],[Utilidad bruta]]/TableWeeklySummary[[#This Row],[Ventas netas con costo registrado]],0)</f>
        <v>0</v>
      </c>
    </row>
    <row r="478" spans="2:38" x14ac:dyDescent="0.2">
      <c r="B478" s="16">
        <f ca="1">_xlfn.ISOWEEKNUM(TableWeeklySummary[[#This Row],[Hasta]])</f>
        <v>46</v>
      </c>
      <c r="C478" s="6">
        <f t="shared" ca="1" si="9"/>
        <v>49258</v>
      </c>
      <c r="D478" s="6">
        <f ca="1">TableWeeklySummary[[#This Row],[Desde]]+7-1</f>
        <v>49264</v>
      </c>
      <c r="E478" s="12">
        <f ca="1">SUMIFS(TableDailySummary[Ventas netas totales],TableDailySummary[Fecha],"&gt;="&amp;TableWeeklySummary[[#This Row],[Desde]],TableDailySummary[Fecha],"&lt;="&amp;TableWeeklySummary[[#This Row],[Hasta]])</f>
        <v>0</v>
      </c>
      <c r="F478" s="12">
        <f ca="1">SUMIFS(TableDailySummary[Órdenes totales],TableDailySummary[Fecha],"&gt;="&amp;TableWeeklySummary[[#This Row],[Desde]],TableDailySummary[Fecha],"&lt;="&amp;TableWeeklySummary[[#This Row],[Hasta]])</f>
        <v>0</v>
      </c>
      <c r="G478" s="12">
        <f ca="1">IFERROR(TableWeeklySummary[[#This Row],[Ventas netas totales]]/TableWeeklySummary[[#This Row],[Órdenes totales]],0)</f>
        <v>0</v>
      </c>
      <c r="H47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78" s="12">
        <f ca="1">TableWeeklySummary[[#This Row],[Órden promedio totales]]*TableWeeklySummary[[#This Row],[CR totales]]</f>
        <v>0</v>
      </c>
      <c r="J478" s="12">
        <f ca="1">SUMIFS(TableDailySummary[Ventas primer cliente],TableDailySummary[Fecha],"&gt;="&amp;TableWeeklySummary[[#This Row],[Desde]],TableDailySummary[Fecha],"&lt;="&amp;TableWeeklySummary[[#This Row],[Hasta]])</f>
        <v>0</v>
      </c>
      <c r="K478" s="12">
        <f ca="1">SUMIFS(TableDailySummary[Órdenes primer cliente],TableDailySummary[Fecha],"&gt;="&amp;TableWeeklySummary[[#This Row],[Desde]],TableDailySummary[Fecha],"&lt;="&amp;TableWeeklySummary[[#This Row],[Hasta]])</f>
        <v>0</v>
      </c>
      <c r="L478" s="12">
        <f ca="1">SUMIFS(TableDailySummary[Online Store_net_sales],TableDailySummary[Fecha],"&gt;="&amp;TableWeeklySummary[[#This Row],[Desde]],TableDailySummary[Fecha],"&lt;="&amp;TableWeeklySummary[[#This Row],[Hasta]])</f>
        <v>0</v>
      </c>
      <c r="M478" s="12">
        <f ca="1">SUMIFS(TableDailySummary[Online Store_orders],TableDailySummary[Fecha],"&gt;="&amp;TableWeeklySummary[[#This Row],[Desde]],TableDailySummary[Fecha],"&lt;="&amp;TableWeeklySummary[[#This Row],[Hasta]])</f>
        <v>0</v>
      </c>
      <c r="N478" s="12">
        <f ca="1">SUMIFS(TableDailySummary[Tienda 81_net_sales],TableDailySummary[Fecha],"&gt;="&amp;TableWeeklySummary[[#This Row],[Desde]],TableDailySummary[Fecha],"&lt;="&amp;TableWeeklySummary[[#This Row],[Hasta]])</f>
        <v>0</v>
      </c>
      <c r="O478" s="12">
        <f ca="1">SUMIFS(TableDailySummary[Tienda 81_orders],TableDailySummary[Fecha],"&gt;="&amp;TableWeeklySummary[[#This Row],[Desde]],TableDailySummary[Fecha],"&lt;="&amp;TableWeeklySummary[[#This Row],[Hasta]])</f>
        <v>0</v>
      </c>
      <c r="P478" s="12">
        <f ca="1">SUMIFS(TableDailySummary[Rappi_net_sales],TableDailySummary[Fecha],"&gt;="&amp;TableWeeklySummary[[#This Row],[Desde]],TableDailySummary[Fecha],"&lt;="&amp;TableWeeklySummary[[#This Row],[Hasta]])</f>
        <v>0</v>
      </c>
      <c r="Q478" s="12">
        <f ca="1">SUMIFS(TableDailySummary[Rappi_orders],TableDailySummary[Fecha],"&gt;="&amp;TableWeeklySummary[[#This Row],[Desde]],TableDailySummary[Fecha],"&lt;="&amp;TableWeeklySummary[[#This Row],[Hasta]])</f>
        <v>0</v>
      </c>
      <c r="R47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7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78" s="12">
        <f ca="1">SUMIFS(TableDailySummary[Inversión google ads],TableDailySummary[Fecha],"&gt;="&amp;TableWeeklySummary[[#This Row],[Desde]],TableDailySummary[Fecha],"&lt;="&amp;TableWeeklySummary[[#This Row],[Hasta]])</f>
        <v>0</v>
      </c>
      <c r="U478" s="12">
        <f ca="1">SUMIFS(TableDailySummary[Ventas google ads],TableDailySummary[Fecha],"&gt;="&amp;TableWeeklySummary[[#This Row],[Desde]],TableDailySummary[Fecha],"&lt;="&amp;TableWeeklySummary[[#This Row],[Hasta]])</f>
        <v>0</v>
      </c>
      <c r="V478" s="12">
        <f ca="1">SUMIFS(TableDailySummary[Inversión meta ads],TableDailySummary[Fecha],"&gt;="&amp;TableWeeklySummary[[#This Row],[Desde]],TableDailySummary[Fecha],"&lt;="&amp;TableWeeklySummary[[#This Row],[Hasta]])</f>
        <v>0</v>
      </c>
      <c r="W478" s="12">
        <f ca="1">SUMIFS(TableDailySummary[Ventas meta ads],TableDailySummary[Fecha],"&gt;="&amp;TableWeeklySummary[[#This Row],[Desde]],TableDailySummary[Fecha],"&lt;="&amp;TableWeeklySummary[[#This Row],[Hasta]])</f>
        <v>0</v>
      </c>
      <c r="X478" s="12">
        <f ca="1">TableWeeklySummary[[#This Row],[Inversión google ads]]+TableWeeklySummary[[#This Row],[Inversión meta ads]]</f>
        <v>0</v>
      </c>
      <c r="Y478" s="12">
        <f ca="1">TableWeeklySummary[[#This Row],[Ventas google ads]]+TableWeeklySummary[[#This Row],[Ventas meta ads]]</f>
        <v>0</v>
      </c>
      <c r="Z478" s="14">
        <f ca="1">IFERROR(TableWeeklySummary[[#This Row],[Ventas publicidad]]/TableWeeklySummary[[#This Row],[Inversión publicidad]],0)</f>
        <v>0</v>
      </c>
      <c r="AA478" s="14">
        <f ca="1">IFERROR(TableWeeklySummary[[#This Row],[Ventas primer cliente]]/TableWeeklySummary[[#This Row],[Inversión publicidad]],0)</f>
        <v>0</v>
      </c>
      <c r="AB478" s="14"/>
      <c r="AC478" s="12"/>
      <c r="AI47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7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78" s="12">
        <f ca="1">SUMIFS(TableDailySummary[Utilidad bruta],TableDailySummary[Fecha],"&gt;="&amp;TableWeeklySummary[[#This Row],[Desde]],TableDailySummary[Fecha],"&lt;="&amp;TableWeeklySummary[[#This Row],[Hasta]])</f>
        <v>0</v>
      </c>
      <c r="AL478" s="18">
        <f ca="1">IFERROR(TableWeeklySummary[[#This Row],[Utilidad bruta]]/TableWeeklySummary[[#This Row],[Ventas netas con costo registrado]],0)</f>
        <v>0</v>
      </c>
    </row>
    <row r="479" spans="2:38" x14ac:dyDescent="0.2">
      <c r="B479" s="16">
        <f ca="1">_xlfn.ISOWEEKNUM(TableWeeklySummary[[#This Row],[Hasta]])</f>
        <v>47</v>
      </c>
      <c r="C479" s="6">
        <f t="shared" ca="1" si="9"/>
        <v>49265</v>
      </c>
      <c r="D479" s="6">
        <f ca="1">TableWeeklySummary[[#This Row],[Desde]]+7-1</f>
        <v>49271</v>
      </c>
      <c r="E479" s="12">
        <f ca="1">SUMIFS(TableDailySummary[Ventas netas totales],TableDailySummary[Fecha],"&gt;="&amp;TableWeeklySummary[[#This Row],[Desde]],TableDailySummary[Fecha],"&lt;="&amp;TableWeeklySummary[[#This Row],[Hasta]])</f>
        <v>0</v>
      </c>
      <c r="F479" s="12">
        <f ca="1">SUMIFS(TableDailySummary[Órdenes totales],TableDailySummary[Fecha],"&gt;="&amp;TableWeeklySummary[[#This Row],[Desde]],TableDailySummary[Fecha],"&lt;="&amp;TableWeeklySummary[[#This Row],[Hasta]])</f>
        <v>0</v>
      </c>
      <c r="G479" s="12">
        <f ca="1">IFERROR(TableWeeklySummary[[#This Row],[Ventas netas totales]]/TableWeeklySummary[[#This Row],[Órdenes totales]],0)</f>
        <v>0</v>
      </c>
      <c r="H47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79" s="12">
        <f ca="1">TableWeeklySummary[[#This Row],[Órden promedio totales]]*TableWeeklySummary[[#This Row],[CR totales]]</f>
        <v>0</v>
      </c>
      <c r="J479" s="12">
        <f ca="1">SUMIFS(TableDailySummary[Ventas primer cliente],TableDailySummary[Fecha],"&gt;="&amp;TableWeeklySummary[[#This Row],[Desde]],TableDailySummary[Fecha],"&lt;="&amp;TableWeeklySummary[[#This Row],[Hasta]])</f>
        <v>0</v>
      </c>
      <c r="K479" s="12">
        <f ca="1">SUMIFS(TableDailySummary[Órdenes primer cliente],TableDailySummary[Fecha],"&gt;="&amp;TableWeeklySummary[[#This Row],[Desde]],TableDailySummary[Fecha],"&lt;="&amp;TableWeeklySummary[[#This Row],[Hasta]])</f>
        <v>0</v>
      </c>
      <c r="L479" s="12">
        <f ca="1">SUMIFS(TableDailySummary[Online Store_net_sales],TableDailySummary[Fecha],"&gt;="&amp;TableWeeklySummary[[#This Row],[Desde]],TableDailySummary[Fecha],"&lt;="&amp;TableWeeklySummary[[#This Row],[Hasta]])</f>
        <v>0</v>
      </c>
      <c r="M479" s="12">
        <f ca="1">SUMIFS(TableDailySummary[Online Store_orders],TableDailySummary[Fecha],"&gt;="&amp;TableWeeklySummary[[#This Row],[Desde]],TableDailySummary[Fecha],"&lt;="&amp;TableWeeklySummary[[#This Row],[Hasta]])</f>
        <v>0</v>
      </c>
      <c r="N479" s="12">
        <f ca="1">SUMIFS(TableDailySummary[Tienda 81_net_sales],TableDailySummary[Fecha],"&gt;="&amp;TableWeeklySummary[[#This Row],[Desde]],TableDailySummary[Fecha],"&lt;="&amp;TableWeeklySummary[[#This Row],[Hasta]])</f>
        <v>0</v>
      </c>
      <c r="O479" s="12">
        <f ca="1">SUMIFS(TableDailySummary[Tienda 81_orders],TableDailySummary[Fecha],"&gt;="&amp;TableWeeklySummary[[#This Row],[Desde]],TableDailySummary[Fecha],"&lt;="&amp;TableWeeklySummary[[#This Row],[Hasta]])</f>
        <v>0</v>
      </c>
      <c r="P479" s="12">
        <f ca="1">SUMIFS(TableDailySummary[Rappi_net_sales],TableDailySummary[Fecha],"&gt;="&amp;TableWeeklySummary[[#This Row],[Desde]],TableDailySummary[Fecha],"&lt;="&amp;TableWeeklySummary[[#This Row],[Hasta]])</f>
        <v>0</v>
      </c>
      <c r="Q479" s="12">
        <f ca="1">SUMIFS(TableDailySummary[Rappi_orders],TableDailySummary[Fecha],"&gt;="&amp;TableWeeklySummary[[#This Row],[Desde]],TableDailySummary[Fecha],"&lt;="&amp;TableWeeklySummary[[#This Row],[Hasta]])</f>
        <v>0</v>
      </c>
      <c r="R47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7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79" s="12">
        <f ca="1">SUMIFS(TableDailySummary[Inversión google ads],TableDailySummary[Fecha],"&gt;="&amp;TableWeeklySummary[[#This Row],[Desde]],TableDailySummary[Fecha],"&lt;="&amp;TableWeeklySummary[[#This Row],[Hasta]])</f>
        <v>0</v>
      </c>
      <c r="U479" s="12">
        <f ca="1">SUMIFS(TableDailySummary[Ventas google ads],TableDailySummary[Fecha],"&gt;="&amp;TableWeeklySummary[[#This Row],[Desde]],TableDailySummary[Fecha],"&lt;="&amp;TableWeeklySummary[[#This Row],[Hasta]])</f>
        <v>0</v>
      </c>
      <c r="V479" s="12">
        <f ca="1">SUMIFS(TableDailySummary[Inversión meta ads],TableDailySummary[Fecha],"&gt;="&amp;TableWeeklySummary[[#This Row],[Desde]],TableDailySummary[Fecha],"&lt;="&amp;TableWeeklySummary[[#This Row],[Hasta]])</f>
        <v>0</v>
      </c>
      <c r="W479" s="12">
        <f ca="1">SUMIFS(TableDailySummary[Ventas meta ads],TableDailySummary[Fecha],"&gt;="&amp;TableWeeklySummary[[#This Row],[Desde]],TableDailySummary[Fecha],"&lt;="&amp;TableWeeklySummary[[#This Row],[Hasta]])</f>
        <v>0</v>
      </c>
      <c r="X479" s="12">
        <f ca="1">TableWeeklySummary[[#This Row],[Inversión google ads]]+TableWeeklySummary[[#This Row],[Inversión meta ads]]</f>
        <v>0</v>
      </c>
      <c r="Y479" s="12">
        <f ca="1">TableWeeklySummary[[#This Row],[Ventas google ads]]+TableWeeklySummary[[#This Row],[Ventas meta ads]]</f>
        <v>0</v>
      </c>
      <c r="Z479" s="14">
        <f ca="1">IFERROR(TableWeeklySummary[[#This Row],[Ventas publicidad]]/TableWeeklySummary[[#This Row],[Inversión publicidad]],0)</f>
        <v>0</v>
      </c>
      <c r="AA479" s="14">
        <f ca="1">IFERROR(TableWeeklySummary[[#This Row],[Ventas primer cliente]]/TableWeeklySummary[[#This Row],[Inversión publicidad]],0)</f>
        <v>0</v>
      </c>
      <c r="AB479" s="14"/>
      <c r="AC479" s="12"/>
      <c r="AI47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7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79" s="12">
        <f ca="1">SUMIFS(TableDailySummary[Utilidad bruta],TableDailySummary[Fecha],"&gt;="&amp;TableWeeklySummary[[#This Row],[Desde]],TableDailySummary[Fecha],"&lt;="&amp;TableWeeklySummary[[#This Row],[Hasta]])</f>
        <v>0</v>
      </c>
      <c r="AL479" s="18">
        <f ca="1">IFERROR(TableWeeklySummary[[#This Row],[Utilidad bruta]]/TableWeeklySummary[[#This Row],[Ventas netas con costo registrado]],0)</f>
        <v>0</v>
      </c>
    </row>
    <row r="480" spans="2:38" x14ac:dyDescent="0.2">
      <c r="B480" s="16">
        <f ca="1">_xlfn.ISOWEEKNUM(TableWeeklySummary[[#This Row],[Hasta]])</f>
        <v>48</v>
      </c>
      <c r="C480" s="6">
        <f t="shared" ca="1" si="9"/>
        <v>49272</v>
      </c>
      <c r="D480" s="6">
        <f ca="1">TableWeeklySummary[[#This Row],[Desde]]+7-1</f>
        <v>49278</v>
      </c>
      <c r="E480" s="12">
        <f ca="1">SUMIFS(TableDailySummary[Ventas netas totales],TableDailySummary[Fecha],"&gt;="&amp;TableWeeklySummary[[#This Row],[Desde]],TableDailySummary[Fecha],"&lt;="&amp;TableWeeklySummary[[#This Row],[Hasta]])</f>
        <v>0</v>
      </c>
      <c r="F480" s="12">
        <f ca="1">SUMIFS(TableDailySummary[Órdenes totales],TableDailySummary[Fecha],"&gt;="&amp;TableWeeklySummary[[#This Row],[Desde]],TableDailySummary[Fecha],"&lt;="&amp;TableWeeklySummary[[#This Row],[Hasta]])</f>
        <v>0</v>
      </c>
      <c r="G480" s="12">
        <f ca="1">IFERROR(TableWeeklySummary[[#This Row],[Ventas netas totales]]/TableWeeklySummary[[#This Row],[Órdenes totales]],0)</f>
        <v>0</v>
      </c>
      <c r="H48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80" s="12">
        <f ca="1">TableWeeklySummary[[#This Row],[Órden promedio totales]]*TableWeeklySummary[[#This Row],[CR totales]]</f>
        <v>0</v>
      </c>
      <c r="J480" s="12">
        <f ca="1">SUMIFS(TableDailySummary[Ventas primer cliente],TableDailySummary[Fecha],"&gt;="&amp;TableWeeklySummary[[#This Row],[Desde]],TableDailySummary[Fecha],"&lt;="&amp;TableWeeklySummary[[#This Row],[Hasta]])</f>
        <v>0</v>
      </c>
      <c r="K480" s="12">
        <f ca="1">SUMIFS(TableDailySummary[Órdenes primer cliente],TableDailySummary[Fecha],"&gt;="&amp;TableWeeklySummary[[#This Row],[Desde]],TableDailySummary[Fecha],"&lt;="&amp;TableWeeklySummary[[#This Row],[Hasta]])</f>
        <v>0</v>
      </c>
      <c r="L480" s="12">
        <f ca="1">SUMIFS(TableDailySummary[Online Store_net_sales],TableDailySummary[Fecha],"&gt;="&amp;TableWeeklySummary[[#This Row],[Desde]],TableDailySummary[Fecha],"&lt;="&amp;TableWeeklySummary[[#This Row],[Hasta]])</f>
        <v>0</v>
      </c>
      <c r="M480" s="12">
        <f ca="1">SUMIFS(TableDailySummary[Online Store_orders],TableDailySummary[Fecha],"&gt;="&amp;TableWeeklySummary[[#This Row],[Desde]],TableDailySummary[Fecha],"&lt;="&amp;TableWeeklySummary[[#This Row],[Hasta]])</f>
        <v>0</v>
      </c>
      <c r="N480" s="12">
        <f ca="1">SUMIFS(TableDailySummary[Tienda 81_net_sales],TableDailySummary[Fecha],"&gt;="&amp;TableWeeklySummary[[#This Row],[Desde]],TableDailySummary[Fecha],"&lt;="&amp;TableWeeklySummary[[#This Row],[Hasta]])</f>
        <v>0</v>
      </c>
      <c r="O480" s="12">
        <f ca="1">SUMIFS(TableDailySummary[Tienda 81_orders],TableDailySummary[Fecha],"&gt;="&amp;TableWeeklySummary[[#This Row],[Desde]],TableDailySummary[Fecha],"&lt;="&amp;TableWeeklySummary[[#This Row],[Hasta]])</f>
        <v>0</v>
      </c>
      <c r="P480" s="12">
        <f ca="1">SUMIFS(TableDailySummary[Rappi_net_sales],TableDailySummary[Fecha],"&gt;="&amp;TableWeeklySummary[[#This Row],[Desde]],TableDailySummary[Fecha],"&lt;="&amp;TableWeeklySummary[[#This Row],[Hasta]])</f>
        <v>0</v>
      </c>
      <c r="Q480" s="12">
        <f ca="1">SUMIFS(TableDailySummary[Rappi_orders],TableDailySummary[Fecha],"&gt;="&amp;TableWeeklySummary[[#This Row],[Desde]],TableDailySummary[Fecha],"&lt;="&amp;TableWeeklySummary[[#This Row],[Hasta]])</f>
        <v>0</v>
      </c>
      <c r="R48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8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80" s="12">
        <f ca="1">SUMIFS(TableDailySummary[Inversión google ads],TableDailySummary[Fecha],"&gt;="&amp;TableWeeklySummary[[#This Row],[Desde]],TableDailySummary[Fecha],"&lt;="&amp;TableWeeklySummary[[#This Row],[Hasta]])</f>
        <v>0</v>
      </c>
      <c r="U480" s="12">
        <f ca="1">SUMIFS(TableDailySummary[Ventas google ads],TableDailySummary[Fecha],"&gt;="&amp;TableWeeklySummary[[#This Row],[Desde]],TableDailySummary[Fecha],"&lt;="&amp;TableWeeklySummary[[#This Row],[Hasta]])</f>
        <v>0</v>
      </c>
      <c r="V480" s="12">
        <f ca="1">SUMIFS(TableDailySummary[Inversión meta ads],TableDailySummary[Fecha],"&gt;="&amp;TableWeeklySummary[[#This Row],[Desde]],TableDailySummary[Fecha],"&lt;="&amp;TableWeeklySummary[[#This Row],[Hasta]])</f>
        <v>0</v>
      </c>
      <c r="W480" s="12">
        <f ca="1">SUMIFS(TableDailySummary[Ventas meta ads],TableDailySummary[Fecha],"&gt;="&amp;TableWeeklySummary[[#This Row],[Desde]],TableDailySummary[Fecha],"&lt;="&amp;TableWeeklySummary[[#This Row],[Hasta]])</f>
        <v>0</v>
      </c>
      <c r="X480" s="12">
        <f ca="1">TableWeeklySummary[[#This Row],[Inversión google ads]]+TableWeeklySummary[[#This Row],[Inversión meta ads]]</f>
        <v>0</v>
      </c>
      <c r="Y480" s="12">
        <f ca="1">TableWeeklySummary[[#This Row],[Ventas google ads]]+TableWeeklySummary[[#This Row],[Ventas meta ads]]</f>
        <v>0</v>
      </c>
      <c r="Z480" s="14">
        <f ca="1">IFERROR(TableWeeklySummary[[#This Row],[Ventas publicidad]]/TableWeeklySummary[[#This Row],[Inversión publicidad]],0)</f>
        <v>0</v>
      </c>
      <c r="AA480" s="14">
        <f ca="1">IFERROR(TableWeeklySummary[[#This Row],[Ventas primer cliente]]/TableWeeklySummary[[#This Row],[Inversión publicidad]],0)</f>
        <v>0</v>
      </c>
      <c r="AB480" s="14"/>
      <c r="AC480" s="12"/>
      <c r="AI48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8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80" s="12">
        <f ca="1">SUMIFS(TableDailySummary[Utilidad bruta],TableDailySummary[Fecha],"&gt;="&amp;TableWeeklySummary[[#This Row],[Desde]],TableDailySummary[Fecha],"&lt;="&amp;TableWeeklySummary[[#This Row],[Hasta]])</f>
        <v>0</v>
      </c>
      <c r="AL480" s="18">
        <f ca="1">IFERROR(TableWeeklySummary[[#This Row],[Utilidad bruta]]/TableWeeklySummary[[#This Row],[Ventas netas con costo registrado]],0)</f>
        <v>0</v>
      </c>
    </row>
    <row r="481" spans="2:38" x14ac:dyDescent="0.2">
      <c r="B481" s="16">
        <f ca="1">_xlfn.ISOWEEKNUM(TableWeeklySummary[[#This Row],[Hasta]])</f>
        <v>49</v>
      </c>
      <c r="C481" s="6">
        <f t="shared" ca="1" si="9"/>
        <v>49279</v>
      </c>
      <c r="D481" s="6">
        <f ca="1">TableWeeklySummary[[#This Row],[Desde]]+7-1</f>
        <v>49285</v>
      </c>
      <c r="E481" s="12">
        <f ca="1">SUMIFS(TableDailySummary[Ventas netas totales],TableDailySummary[Fecha],"&gt;="&amp;TableWeeklySummary[[#This Row],[Desde]],TableDailySummary[Fecha],"&lt;="&amp;TableWeeklySummary[[#This Row],[Hasta]])</f>
        <v>0</v>
      </c>
      <c r="F481" s="12">
        <f ca="1">SUMIFS(TableDailySummary[Órdenes totales],TableDailySummary[Fecha],"&gt;="&amp;TableWeeklySummary[[#This Row],[Desde]],TableDailySummary[Fecha],"&lt;="&amp;TableWeeklySummary[[#This Row],[Hasta]])</f>
        <v>0</v>
      </c>
      <c r="G481" s="12">
        <f ca="1">IFERROR(TableWeeklySummary[[#This Row],[Ventas netas totales]]/TableWeeklySummary[[#This Row],[Órdenes totales]],0)</f>
        <v>0</v>
      </c>
      <c r="H48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81" s="12">
        <f ca="1">TableWeeklySummary[[#This Row],[Órden promedio totales]]*TableWeeklySummary[[#This Row],[CR totales]]</f>
        <v>0</v>
      </c>
      <c r="J481" s="12">
        <f ca="1">SUMIFS(TableDailySummary[Ventas primer cliente],TableDailySummary[Fecha],"&gt;="&amp;TableWeeklySummary[[#This Row],[Desde]],TableDailySummary[Fecha],"&lt;="&amp;TableWeeklySummary[[#This Row],[Hasta]])</f>
        <v>0</v>
      </c>
      <c r="K481" s="12">
        <f ca="1">SUMIFS(TableDailySummary[Órdenes primer cliente],TableDailySummary[Fecha],"&gt;="&amp;TableWeeklySummary[[#This Row],[Desde]],TableDailySummary[Fecha],"&lt;="&amp;TableWeeklySummary[[#This Row],[Hasta]])</f>
        <v>0</v>
      </c>
      <c r="L481" s="12">
        <f ca="1">SUMIFS(TableDailySummary[Online Store_net_sales],TableDailySummary[Fecha],"&gt;="&amp;TableWeeklySummary[[#This Row],[Desde]],TableDailySummary[Fecha],"&lt;="&amp;TableWeeklySummary[[#This Row],[Hasta]])</f>
        <v>0</v>
      </c>
      <c r="M481" s="12">
        <f ca="1">SUMIFS(TableDailySummary[Online Store_orders],TableDailySummary[Fecha],"&gt;="&amp;TableWeeklySummary[[#This Row],[Desde]],TableDailySummary[Fecha],"&lt;="&amp;TableWeeklySummary[[#This Row],[Hasta]])</f>
        <v>0</v>
      </c>
      <c r="N481" s="12">
        <f ca="1">SUMIFS(TableDailySummary[Tienda 81_net_sales],TableDailySummary[Fecha],"&gt;="&amp;TableWeeklySummary[[#This Row],[Desde]],TableDailySummary[Fecha],"&lt;="&amp;TableWeeklySummary[[#This Row],[Hasta]])</f>
        <v>0</v>
      </c>
      <c r="O481" s="12">
        <f ca="1">SUMIFS(TableDailySummary[Tienda 81_orders],TableDailySummary[Fecha],"&gt;="&amp;TableWeeklySummary[[#This Row],[Desde]],TableDailySummary[Fecha],"&lt;="&amp;TableWeeklySummary[[#This Row],[Hasta]])</f>
        <v>0</v>
      </c>
      <c r="P481" s="12">
        <f ca="1">SUMIFS(TableDailySummary[Rappi_net_sales],TableDailySummary[Fecha],"&gt;="&amp;TableWeeklySummary[[#This Row],[Desde]],TableDailySummary[Fecha],"&lt;="&amp;TableWeeklySummary[[#This Row],[Hasta]])</f>
        <v>0</v>
      </c>
      <c r="Q481" s="12">
        <f ca="1">SUMIFS(TableDailySummary[Rappi_orders],TableDailySummary[Fecha],"&gt;="&amp;TableWeeklySummary[[#This Row],[Desde]],TableDailySummary[Fecha],"&lt;="&amp;TableWeeklySummary[[#This Row],[Hasta]])</f>
        <v>0</v>
      </c>
      <c r="R48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8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81" s="12">
        <f ca="1">SUMIFS(TableDailySummary[Inversión google ads],TableDailySummary[Fecha],"&gt;="&amp;TableWeeklySummary[[#This Row],[Desde]],TableDailySummary[Fecha],"&lt;="&amp;TableWeeklySummary[[#This Row],[Hasta]])</f>
        <v>0</v>
      </c>
      <c r="U481" s="12">
        <f ca="1">SUMIFS(TableDailySummary[Ventas google ads],TableDailySummary[Fecha],"&gt;="&amp;TableWeeklySummary[[#This Row],[Desde]],TableDailySummary[Fecha],"&lt;="&amp;TableWeeklySummary[[#This Row],[Hasta]])</f>
        <v>0</v>
      </c>
      <c r="V481" s="12">
        <f ca="1">SUMIFS(TableDailySummary[Inversión meta ads],TableDailySummary[Fecha],"&gt;="&amp;TableWeeklySummary[[#This Row],[Desde]],TableDailySummary[Fecha],"&lt;="&amp;TableWeeklySummary[[#This Row],[Hasta]])</f>
        <v>0</v>
      </c>
      <c r="W481" s="12">
        <f ca="1">SUMIFS(TableDailySummary[Ventas meta ads],TableDailySummary[Fecha],"&gt;="&amp;TableWeeklySummary[[#This Row],[Desde]],TableDailySummary[Fecha],"&lt;="&amp;TableWeeklySummary[[#This Row],[Hasta]])</f>
        <v>0</v>
      </c>
      <c r="X481" s="12">
        <f ca="1">TableWeeklySummary[[#This Row],[Inversión google ads]]+TableWeeklySummary[[#This Row],[Inversión meta ads]]</f>
        <v>0</v>
      </c>
      <c r="Y481" s="12">
        <f ca="1">TableWeeklySummary[[#This Row],[Ventas google ads]]+TableWeeklySummary[[#This Row],[Ventas meta ads]]</f>
        <v>0</v>
      </c>
      <c r="Z481" s="14">
        <f ca="1">IFERROR(TableWeeklySummary[[#This Row],[Ventas publicidad]]/TableWeeklySummary[[#This Row],[Inversión publicidad]],0)</f>
        <v>0</v>
      </c>
      <c r="AA481" s="14">
        <f ca="1">IFERROR(TableWeeklySummary[[#This Row],[Ventas primer cliente]]/TableWeeklySummary[[#This Row],[Inversión publicidad]],0)</f>
        <v>0</v>
      </c>
      <c r="AB481" s="14"/>
      <c r="AC481" s="12"/>
      <c r="AI48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8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81" s="12">
        <f ca="1">SUMIFS(TableDailySummary[Utilidad bruta],TableDailySummary[Fecha],"&gt;="&amp;TableWeeklySummary[[#This Row],[Desde]],TableDailySummary[Fecha],"&lt;="&amp;TableWeeklySummary[[#This Row],[Hasta]])</f>
        <v>0</v>
      </c>
      <c r="AL481" s="18">
        <f ca="1">IFERROR(TableWeeklySummary[[#This Row],[Utilidad bruta]]/TableWeeklySummary[[#This Row],[Ventas netas con costo registrado]],0)</f>
        <v>0</v>
      </c>
    </row>
    <row r="482" spans="2:38" x14ac:dyDescent="0.2">
      <c r="B482" s="16">
        <f ca="1">_xlfn.ISOWEEKNUM(TableWeeklySummary[[#This Row],[Hasta]])</f>
        <v>50</v>
      </c>
      <c r="C482" s="6">
        <f t="shared" ca="1" si="9"/>
        <v>49286</v>
      </c>
      <c r="D482" s="6">
        <f ca="1">TableWeeklySummary[[#This Row],[Desde]]+7-1</f>
        <v>49292</v>
      </c>
      <c r="E482" s="12">
        <f ca="1">SUMIFS(TableDailySummary[Ventas netas totales],TableDailySummary[Fecha],"&gt;="&amp;TableWeeklySummary[[#This Row],[Desde]],TableDailySummary[Fecha],"&lt;="&amp;TableWeeklySummary[[#This Row],[Hasta]])</f>
        <v>0</v>
      </c>
      <c r="F482" s="12">
        <f ca="1">SUMIFS(TableDailySummary[Órdenes totales],TableDailySummary[Fecha],"&gt;="&amp;TableWeeklySummary[[#This Row],[Desde]],TableDailySummary[Fecha],"&lt;="&amp;TableWeeklySummary[[#This Row],[Hasta]])</f>
        <v>0</v>
      </c>
      <c r="G482" s="12">
        <f ca="1">IFERROR(TableWeeklySummary[[#This Row],[Ventas netas totales]]/TableWeeklySummary[[#This Row],[Órdenes totales]],0)</f>
        <v>0</v>
      </c>
      <c r="H48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82" s="12">
        <f ca="1">TableWeeklySummary[[#This Row],[Órden promedio totales]]*TableWeeklySummary[[#This Row],[CR totales]]</f>
        <v>0</v>
      </c>
      <c r="J482" s="12">
        <f ca="1">SUMIFS(TableDailySummary[Ventas primer cliente],TableDailySummary[Fecha],"&gt;="&amp;TableWeeklySummary[[#This Row],[Desde]],TableDailySummary[Fecha],"&lt;="&amp;TableWeeklySummary[[#This Row],[Hasta]])</f>
        <v>0</v>
      </c>
      <c r="K482" s="12">
        <f ca="1">SUMIFS(TableDailySummary[Órdenes primer cliente],TableDailySummary[Fecha],"&gt;="&amp;TableWeeklySummary[[#This Row],[Desde]],TableDailySummary[Fecha],"&lt;="&amp;TableWeeklySummary[[#This Row],[Hasta]])</f>
        <v>0</v>
      </c>
      <c r="L482" s="12">
        <f ca="1">SUMIFS(TableDailySummary[Online Store_net_sales],TableDailySummary[Fecha],"&gt;="&amp;TableWeeklySummary[[#This Row],[Desde]],TableDailySummary[Fecha],"&lt;="&amp;TableWeeklySummary[[#This Row],[Hasta]])</f>
        <v>0</v>
      </c>
      <c r="M482" s="12">
        <f ca="1">SUMIFS(TableDailySummary[Online Store_orders],TableDailySummary[Fecha],"&gt;="&amp;TableWeeklySummary[[#This Row],[Desde]],TableDailySummary[Fecha],"&lt;="&amp;TableWeeklySummary[[#This Row],[Hasta]])</f>
        <v>0</v>
      </c>
      <c r="N482" s="12">
        <f ca="1">SUMIFS(TableDailySummary[Tienda 81_net_sales],TableDailySummary[Fecha],"&gt;="&amp;TableWeeklySummary[[#This Row],[Desde]],TableDailySummary[Fecha],"&lt;="&amp;TableWeeklySummary[[#This Row],[Hasta]])</f>
        <v>0</v>
      </c>
      <c r="O482" s="12">
        <f ca="1">SUMIFS(TableDailySummary[Tienda 81_orders],TableDailySummary[Fecha],"&gt;="&amp;TableWeeklySummary[[#This Row],[Desde]],TableDailySummary[Fecha],"&lt;="&amp;TableWeeklySummary[[#This Row],[Hasta]])</f>
        <v>0</v>
      </c>
      <c r="P482" s="12">
        <f ca="1">SUMIFS(TableDailySummary[Rappi_net_sales],TableDailySummary[Fecha],"&gt;="&amp;TableWeeklySummary[[#This Row],[Desde]],TableDailySummary[Fecha],"&lt;="&amp;TableWeeklySummary[[#This Row],[Hasta]])</f>
        <v>0</v>
      </c>
      <c r="Q482" s="12">
        <f ca="1">SUMIFS(TableDailySummary[Rappi_orders],TableDailySummary[Fecha],"&gt;="&amp;TableWeeklySummary[[#This Row],[Desde]],TableDailySummary[Fecha],"&lt;="&amp;TableWeeklySummary[[#This Row],[Hasta]])</f>
        <v>0</v>
      </c>
      <c r="R48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8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82" s="12">
        <f ca="1">SUMIFS(TableDailySummary[Inversión google ads],TableDailySummary[Fecha],"&gt;="&amp;TableWeeklySummary[[#This Row],[Desde]],TableDailySummary[Fecha],"&lt;="&amp;TableWeeklySummary[[#This Row],[Hasta]])</f>
        <v>0</v>
      </c>
      <c r="U482" s="12">
        <f ca="1">SUMIFS(TableDailySummary[Ventas google ads],TableDailySummary[Fecha],"&gt;="&amp;TableWeeklySummary[[#This Row],[Desde]],TableDailySummary[Fecha],"&lt;="&amp;TableWeeklySummary[[#This Row],[Hasta]])</f>
        <v>0</v>
      </c>
      <c r="V482" s="12">
        <f ca="1">SUMIFS(TableDailySummary[Inversión meta ads],TableDailySummary[Fecha],"&gt;="&amp;TableWeeklySummary[[#This Row],[Desde]],TableDailySummary[Fecha],"&lt;="&amp;TableWeeklySummary[[#This Row],[Hasta]])</f>
        <v>0</v>
      </c>
      <c r="W482" s="12">
        <f ca="1">SUMIFS(TableDailySummary[Ventas meta ads],TableDailySummary[Fecha],"&gt;="&amp;TableWeeklySummary[[#This Row],[Desde]],TableDailySummary[Fecha],"&lt;="&amp;TableWeeklySummary[[#This Row],[Hasta]])</f>
        <v>0</v>
      </c>
      <c r="X482" s="12">
        <f ca="1">TableWeeklySummary[[#This Row],[Inversión google ads]]+TableWeeklySummary[[#This Row],[Inversión meta ads]]</f>
        <v>0</v>
      </c>
      <c r="Y482" s="12">
        <f ca="1">TableWeeklySummary[[#This Row],[Ventas google ads]]+TableWeeklySummary[[#This Row],[Ventas meta ads]]</f>
        <v>0</v>
      </c>
      <c r="Z482" s="14">
        <f ca="1">IFERROR(TableWeeklySummary[[#This Row],[Ventas publicidad]]/TableWeeklySummary[[#This Row],[Inversión publicidad]],0)</f>
        <v>0</v>
      </c>
      <c r="AA482" s="14">
        <f ca="1">IFERROR(TableWeeklySummary[[#This Row],[Ventas primer cliente]]/TableWeeklySummary[[#This Row],[Inversión publicidad]],0)</f>
        <v>0</v>
      </c>
      <c r="AB482" s="14"/>
      <c r="AC482" s="12"/>
      <c r="AI48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8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82" s="12">
        <f ca="1">SUMIFS(TableDailySummary[Utilidad bruta],TableDailySummary[Fecha],"&gt;="&amp;TableWeeklySummary[[#This Row],[Desde]],TableDailySummary[Fecha],"&lt;="&amp;TableWeeklySummary[[#This Row],[Hasta]])</f>
        <v>0</v>
      </c>
      <c r="AL482" s="18">
        <f ca="1">IFERROR(TableWeeklySummary[[#This Row],[Utilidad bruta]]/TableWeeklySummary[[#This Row],[Ventas netas con costo registrado]],0)</f>
        <v>0</v>
      </c>
    </row>
    <row r="483" spans="2:38" x14ac:dyDescent="0.2">
      <c r="B483" s="16">
        <f ca="1">_xlfn.ISOWEEKNUM(TableWeeklySummary[[#This Row],[Hasta]])</f>
        <v>51</v>
      </c>
      <c r="C483" s="6">
        <f t="shared" ca="1" si="9"/>
        <v>49293</v>
      </c>
      <c r="D483" s="6">
        <f ca="1">TableWeeklySummary[[#This Row],[Desde]]+7-1</f>
        <v>49299</v>
      </c>
      <c r="E483" s="12">
        <f ca="1">SUMIFS(TableDailySummary[Ventas netas totales],TableDailySummary[Fecha],"&gt;="&amp;TableWeeklySummary[[#This Row],[Desde]],TableDailySummary[Fecha],"&lt;="&amp;TableWeeklySummary[[#This Row],[Hasta]])</f>
        <v>0</v>
      </c>
      <c r="F483" s="12">
        <f ca="1">SUMIFS(TableDailySummary[Órdenes totales],TableDailySummary[Fecha],"&gt;="&amp;TableWeeklySummary[[#This Row],[Desde]],TableDailySummary[Fecha],"&lt;="&amp;TableWeeklySummary[[#This Row],[Hasta]])</f>
        <v>0</v>
      </c>
      <c r="G483" s="12">
        <f ca="1">IFERROR(TableWeeklySummary[[#This Row],[Ventas netas totales]]/TableWeeklySummary[[#This Row],[Órdenes totales]],0)</f>
        <v>0</v>
      </c>
      <c r="H48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83" s="12">
        <f ca="1">TableWeeklySummary[[#This Row],[Órden promedio totales]]*TableWeeklySummary[[#This Row],[CR totales]]</f>
        <v>0</v>
      </c>
      <c r="J483" s="12">
        <f ca="1">SUMIFS(TableDailySummary[Ventas primer cliente],TableDailySummary[Fecha],"&gt;="&amp;TableWeeklySummary[[#This Row],[Desde]],TableDailySummary[Fecha],"&lt;="&amp;TableWeeklySummary[[#This Row],[Hasta]])</f>
        <v>0</v>
      </c>
      <c r="K483" s="12">
        <f ca="1">SUMIFS(TableDailySummary[Órdenes primer cliente],TableDailySummary[Fecha],"&gt;="&amp;TableWeeklySummary[[#This Row],[Desde]],TableDailySummary[Fecha],"&lt;="&amp;TableWeeklySummary[[#This Row],[Hasta]])</f>
        <v>0</v>
      </c>
      <c r="L483" s="12">
        <f ca="1">SUMIFS(TableDailySummary[Online Store_net_sales],TableDailySummary[Fecha],"&gt;="&amp;TableWeeklySummary[[#This Row],[Desde]],TableDailySummary[Fecha],"&lt;="&amp;TableWeeklySummary[[#This Row],[Hasta]])</f>
        <v>0</v>
      </c>
      <c r="M483" s="12">
        <f ca="1">SUMIFS(TableDailySummary[Online Store_orders],TableDailySummary[Fecha],"&gt;="&amp;TableWeeklySummary[[#This Row],[Desde]],TableDailySummary[Fecha],"&lt;="&amp;TableWeeklySummary[[#This Row],[Hasta]])</f>
        <v>0</v>
      </c>
      <c r="N483" s="12">
        <f ca="1">SUMIFS(TableDailySummary[Tienda 81_net_sales],TableDailySummary[Fecha],"&gt;="&amp;TableWeeklySummary[[#This Row],[Desde]],TableDailySummary[Fecha],"&lt;="&amp;TableWeeklySummary[[#This Row],[Hasta]])</f>
        <v>0</v>
      </c>
      <c r="O483" s="12">
        <f ca="1">SUMIFS(TableDailySummary[Tienda 81_orders],TableDailySummary[Fecha],"&gt;="&amp;TableWeeklySummary[[#This Row],[Desde]],TableDailySummary[Fecha],"&lt;="&amp;TableWeeklySummary[[#This Row],[Hasta]])</f>
        <v>0</v>
      </c>
      <c r="P483" s="12">
        <f ca="1">SUMIFS(TableDailySummary[Rappi_net_sales],TableDailySummary[Fecha],"&gt;="&amp;TableWeeklySummary[[#This Row],[Desde]],TableDailySummary[Fecha],"&lt;="&amp;TableWeeklySummary[[#This Row],[Hasta]])</f>
        <v>0</v>
      </c>
      <c r="Q483" s="12">
        <f ca="1">SUMIFS(TableDailySummary[Rappi_orders],TableDailySummary[Fecha],"&gt;="&amp;TableWeeklySummary[[#This Row],[Desde]],TableDailySummary[Fecha],"&lt;="&amp;TableWeeklySummary[[#This Row],[Hasta]])</f>
        <v>0</v>
      </c>
      <c r="R48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8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83" s="12">
        <f ca="1">SUMIFS(TableDailySummary[Inversión google ads],TableDailySummary[Fecha],"&gt;="&amp;TableWeeklySummary[[#This Row],[Desde]],TableDailySummary[Fecha],"&lt;="&amp;TableWeeklySummary[[#This Row],[Hasta]])</f>
        <v>0</v>
      </c>
      <c r="U483" s="12">
        <f ca="1">SUMIFS(TableDailySummary[Ventas google ads],TableDailySummary[Fecha],"&gt;="&amp;TableWeeklySummary[[#This Row],[Desde]],TableDailySummary[Fecha],"&lt;="&amp;TableWeeklySummary[[#This Row],[Hasta]])</f>
        <v>0</v>
      </c>
      <c r="V483" s="12">
        <f ca="1">SUMIFS(TableDailySummary[Inversión meta ads],TableDailySummary[Fecha],"&gt;="&amp;TableWeeklySummary[[#This Row],[Desde]],TableDailySummary[Fecha],"&lt;="&amp;TableWeeklySummary[[#This Row],[Hasta]])</f>
        <v>0</v>
      </c>
      <c r="W483" s="12">
        <f ca="1">SUMIFS(TableDailySummary[Ventas meta ads],TableDailySummary[Fecha],"&gt;="&amp;TableWeeklySummary[[#This Row],[Desde]],TableDailySummary[Fecha],"&lt;="&amp;TableWeeklySummary[[#This Row],[Hasta]])</f>
        <v>0</v>
      </c>
      <c r="X483" s="12">
        <f ca="1">TableWeeklySummary[[#This Row],[Inversión google ads]]+TableWeeklySummary[[#This Row],[Inversión meta ads]]</f>
        <v>0</v>
      </c>
      <c r="Y483" s="12">
        <f ca="1">TableWeeklySummary[[#This Row],[Ventas google ads]]+TableWeeklySummary[[#This Row],[Ventas meta ads]]</f>
        <v>0</v>
      </c>
      <c r="Z483" s="14">
        <f ca="1">IFERROR(TableWeeklySummary[[#This Row],[Ventas publicidad]]/TableWeeklySummary[[#This Row],[Inversión publicidad]],0)</f>
        <v>0</v>
      </c>
      <c r="AA483" s="14">
        <f ca="1">IFERROR(TableWeeklySummary[[#This Row],[Ventas primer cliente]]/TableWeeklySummary[[#This Row],[Inversión publicidad]],0)</f>
        <v>0</v>
      </c>
      <c r="AB483" s="14"/>
      <c r="AC483" s="12"/>
      <c r="AI48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8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83" s="12">
        <f ca="1">SUMIFS(TableDailySummary[Utilidad bruta],TableDailySummary[Fecha],"&gt;="&amp;TableWeeklySummary[[#This Row],[Desde]],TableDailySummary[Fecha],"&lt;="&amp;TableWeeklySummary[[#This Row],[Hasta]])</f>
        <v>0</v>
      </c>
      <c r="AL483" s="18">
        <f ca="1">IFERROR(TableWeeklySummary[[#This Row],[Utilidad bruta]]/TableWeeklySummary[[#This Row],[Ventas netas con costo registrado]],0)</f>
        <v>0</v>
      </c>
    </row>
    <row r="484" spans="2:38" x14ac:dyDescent="0.2">
      <c r="B484" s="16">
        <f ca="1">_xlfn.ISOWEEKNUM(TableWeeklySummary[[#This Row],[Hasta]])</f>
        <v>52</v>
      </c>
      <c r="C484" s="6">
        <f t="shared" ca="1" si="9"/>
        <v>49300</v>
      </c>
      <c r="D484" s="6">
        <f ca="1">TableWeeklySummary[[#This Row],[Desde]]+7-1</f>
        <v>49306</v>
      </c>
      <c r="E484" s="12">
        <f ca="1">SUMIFS(TableDailySummary[Ventas netas totales],TableDailySummary[Fecha],"&gt;="&amp;TableWeeklySummary[[#This Row],[Desde]],TableDailySummary[Fecha],"&lt;="&amp;TableWeeklySummary[[#This Row],[Hasta]])</f>
        <v>0</v>
      </c>
      <c r="F484" s="12">
        <f ca="1">SUMIFS(TableDailySummary[Órdenes totales],TableDailySummary[Fecha],"&gt;="&amp;TableWeeklySummary[[#This Row],[Desde]],TableDailySummary[Fecha],"&lt;="&amp;TableWeeklySummary[[#This Row],[Hasta]])</f>
        <v>0</v>
      </c>
      <c r="G484" s="12">
        <f ca="1">IFERROR(TableWeeklySummary[[#This Row],[Ventas netas totales]]/TableWeeklySummary[[#This Row],[Órdenes totales]],0)</f>
        <v>0</v>
      </c>
      <c r="H48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84" s="12">
        <f ca="1">TableWeeklySummary[[#This Row],[Órden promedio totales]]*TableWeeklySummary[[#This Row],[CR totales]]</f>
        <v>0</v>
      </c>
      <c r="J484" s="12">
        <f ca="1">SUMIFS(TableDailySummary[Ventas primer cliente],TableDailySummary[Fecha],"&gt;="&amp;TableWeeklySummary[[#This Row],[Desde]],TableDailySummary[Fecha],"&lt;="&amp;TableWeeklySummary[[#This Row],[Hasta]])</f>
        <v>0</v>
      </c>
      <c r="K484" s="12">
        <f ca="1">SUMIFS(TableDailySummary[Órdenes primer cliente],TableDailySummary[Fecha],"&gt;="&amp;TableWeeklySummary[[#This Row],[Desde]],TableDailySummary[Fecha],"&lt;="&amp;TableWeeklySummary[[#This Row],[Hasta]])</f>
        <v>0</v>
      </c>
      <c r="L484" s="12">
        <f ca="1">SUMIFS(TableDailySummary[Online Store_net_sales],TableDailySummary[Fecha],"&gt;="&amp;TableWeeklySummary[[#This Row],[Desde]],TableDailySummary[Fecha],"&lt;="&amp;TableWeeklySummary[[#This Row],[Hasta]])</f>
        <v>0</v>
      </c>
      <c r="M484" s="12">
        <f ca="1">SUMIFS(TableDailySummary[Online Store_orders],TableDailySummary[Fecha],"&gt;="&amp;TableWeeklySummary[[#This Row],[Desde]],TableDailySummary[Fecha],"&lt;="&amp;TableWeeklySummary[[#This Row],[Hasta]])</f>
        <v>0</v>
      </c>
      <c r="N484" s="12">
        <f ca="1">SUMIFS(TableDailySummary[Tienda 81_net_sales],TableDailySummary[Fecha],"&gt;="&amp;TableWeeklySummary[[#This Row],[Desde]],TableDailySummary[Fecha],"&lt;="&amp;TableWeeklySummary[[#This Row],[Hasta]])</f>
        <v>0</v>
      </c>
      <c r="O484" s="12">
        <f ca="1">SUMIFS(TableDailySummary[Tienda 81_orders],TableDailySummary[Fecha],"&gt;="&amp;TableWeeklySummary[[#This Row],[Desde]],TableDailySummary[Fecha],"&lt;="&amp;TableWeeklySummary[[#This Row],[Hasta]])</f>
        <v>0</v>
      </c>
      <c r="P484" s="12">
        <f ca="1">SUMIFS(TableDailySummary[Rappi_net_sales],TableDailySummary[Fecha],"&gt;="&amp;TableWeeklySummary[[#This Row],[Desde]],TableDailySummary[Fecha],"&lt;="&amp;TableWeeklySummary[[#This Row],[Hasta]])</f>
        <v>0</v>
      </c>
      <c r="Q484" s="12">
        <f ca="1">SUMIFS(TableDailySummary[Rappi_orders],TableDailySummary[Fecha],"&gt;="&amp;TableWeeklySummary[[#This Row],[Desde]],TableDailySummary[Fecha],"&lt;="&amp;TableWeeklySummary[[#This Row],[Hasta]])</f>
        <v>0</v>
      </c>
      <c r="R48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8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84" s="12">
        <f ca="1">SUMIFS(TableDailySummary[Inversión google ads],TableDailySummary[Fecha],"&gt;="&amp;TableWeeklySummary[[#This Row],[Desde]],TableDailySummary[Fecha],"&lt;="&amp;TableWeeklySummary[[#This Row],[Hasta]])</f>
        <v>0</v>
      </c>
      <c r="U484" s="12">
        <f ca="1">SUMIFS(TableDailySummary[Ventas google ads],TableDailySummary[Fecha],"&gt;="&amp;TableWeeklySummary[[#This Row],[Desde]],TableDailySummary[Fecha],"&lt;="&amp;TableWeeklySummary[[#This Row],[Hasta]])</f>
        <v>0</v>
      </c>
      <c r="V484" s="12">
        <f ca="1">SUMIFS(TableDailySummary[Inversión meta ads],TableDailySummary[Fecha],"&gt;="&amp;TableWeeklySummary[[#This Row],[Desde]],TableDailySummary[Fecha],"&lt;="&amp;TableWeeklySummary[[#This Row],[Hasta]])</f>
        <v>0</v>
      </c>
      <c r="W484" s="12">
        <f ca="1">SUMIFS(TableDailySummary[Ventas meta ads],TableDailySummary[Fecha],"&gt;="&amp;TableWeeklySummary[[#This Row],[Desde]],TableDailySummary[Fecha],"&lt;="&amp;TableWeeklySummary[[#This Row],[Hasta]])</f>
        <v>0</v>
      </c>
      <c r="X484" s="12">
        <f ca="1">TableWeeklySummary[[#This Row],[Inversión google ads]]+TableWeeklySummary[[#This Row],[Inversión meta ads]]</f>
        <v>0</v>
      </c>
      <c r="Y484" s="12">
        <f ca="1">TableWeeklySummary[[#This Row],[Ventas google ads]]+TableWeeklySummary[[#This Row],[Ventas meta ads]]</f>
        <v>0</v>
      </c>
      <c r="Z484" s="14">
        <f ca="1">IFERROR(TableWeeklySummary[[#This Row],[Ventas publicidad]]/TableWeeklySummary[[#This Row],[Inversión publicidad]],0)</f>
        <v>0</v>
      </c>
      <c r="AA484" s="14">
        <f ca="1">IFERROR(TableWeeklySummary[[#This Row],[Ventas primer cliente]]/TableWeeklySummary[[#This Row],[Inversión publicidad]],0)</f>
        <v>0</v>
      </c>
      <c r="AB484" s="14"/>
      <c r="AC484" s="12"/>
      <c r="AI48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8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84" s="12">
        <f ca="1">SUMIFS(TableDailySummary[Utilidad bruta],TableDailySummary[Fecha],"&gt;="&amp;TableWeeklySummary[[#This Row],[Desde]],TableDailySummary[Fecha],"&lt;="&amp;TableWeeklySummary[[#This Row],[Hasta]])</f>
        <v>0</v>
      </c>
      <c r="AL484" s="18">
        <f ca="1">IFERROR(TableWeeklySummary[[#This Row],[Utilidad bruta]]/TableWeeklySummary[[#This Row],[Ventas netas con costo registrado]],0)</f>
        <v>0</v>
      </c>
    </row>
    <row r="485" spans="2:38" x14ac:dyDescent="0.2">
      <c r="B485" s="16">
        <f ca="1">_xlfn.ISOWEEKNUM(TableWeeklySummary[[#This Row],[Hasta]])</f>
        <v>1</v>
      </c>
      <c r="C485" s="6">
        <f t="shared" ca="1" si="9"/>
        <v>49307</v>
      </c>
      <c r="D485" s="6">
        <f ca="1">TableWeeklySummary[[#This Row],[Desde]]+7-1</f>
        <v>49313</v>
      </c>
      <c r="E485" s="12">
        <f ca="1">SUMIFS(TableDailySummary[Ventas netas totales],TableDailySummary[Fecha],"&gt;="&amp;TableWeeklySummary[[#This Row],[Desde]],TableDailySummary[Fecha],"&lt;="&amp;TableWeeklySummary[[#This Row],[Hasta]])</f>
        <v>0</v>
      </c>
      <c r="F485" s="12">
        <f ca="1">SUMIFS(TableDailySummary[Órdenes totales],TableDailySummary[Fecha],"&gt;="&amp;TableWeeklySummary[[#This Row],[Desde]],TableDailySummary[Fecha],"&lt;="&amp;TableWeeklySummary[[#This Row],[Hasta]])</f>
        <v>0</v>
      </c>
      <c r="G485" s="12">
        <f ca="1">IFERROR(TableWeeklySummary[[#This Row],[Ventas netas totales]]/TableWeeklySummary[[#This Row],[Órdenes totales]],0)</f>
        <v>0</v>
      </c>
      <c r="H48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85" s="12">
        <f ca="1">TableWeeklySummary[[#This Row],[Órden promedio totales]]*TableWeeklySummary[[#This Row],[CR totales]]</f>
        <v>0</v>
      </c>
      <c r="J485" s="12">
        <f ca="1">SUMIFS(TableDailySummary[Ventas primer cliente],TableDailySummary[Fecha],"&gt;="&amp;TableWeeklySummary[[#This Row],[Desde]],TableDailySummary[Fecha],"&lt;="&amp;TableWeeklySummary[[#This Row],[Hasta]])</f>
        <v>0</v>
      </c>
      <c r="K485" s="12">
        <f ca="1">SUMIFS(TableDailySummary[Órdenes primer cliente],TableDailySummary[Fecha],"&gt;="&amp;TableWeeklySummary[[#This Row],[Desde]],TableDailySummary[Fecha],"&lt;="&amp;TableWeeklySummary[[#This Row],[Hasta]])</f>
        <v>0</v>
      </c>
      <c r="L485" s="12">
        <f ca="1">SUMIFS(TableDailySummary[Online Store_net_sales],TableDailySummary[Fecha],"&gt;="&amp;TableWeeklySummary[[#This Row],[Desde]],TableDailySummary[Fecha],"&lt;="&amp;TableWeeklySummary[[#This Row],[Hasta]])</f>
        <v>0</v>
      </c>
      <c r="M485" s="12">
        <f ca="1">SUMIFS(TableDailySummary[Online Store_orders],TableDailySummary[Fecha],"&gt;="&amp;TableWeeklySummary[[#This Row],[Desde]],TableDailySummary[Fecha],"&lt;="&amp;TableWeeklySummary[[#This Row],[Hasta]])</f>
        <v>0</v>
      </c>
      <c r="N485" s="12">
        <f ca="1">SUMIFS(TableDailySummary[Tienda 81_net_sales],TableDailySummary[Fecha],"&gt;="&amp;TableWeeklySummary[[#This Row],[Desde]],TableDailySummary[Fecha],"&lt;="&amp;TableWeeklySummary[[#This Row],[Hasta]])</f>
        <v>0</v>
      </c>
      <c r="O485" s="12">
        <f ca="1">SUMIFS(TableDailySummary[Tienda 81_orders],TableDailySummary[Fecha],"&gt;="&amp;TableWeeklySummary[[#This Row],[Desde]],TableDailySummary[Fecha],"&lt;="&amp;TableWeeklySummary[[#This Row],[Hasta]])</f>
        <v>0</v>
      </c>
      <c r="P485" s="12">
        <f ca="1">SUMIFS(TableDailySummary[Rappi_net_sales],TableDailySummary[Fecha],"&gt;="&amp;TableWeeklySummary[[#This Row],[Desde]],TableDailySummary[Fecha],"&lt;="&amp;TableWeeklySummary[[#This Row],[Hasta]])</f>
        <v>0</v>
      </c>
      <c r="Q485" s="12">
        <f ca="1">SUMIFS(TableDailySummary[Rappi_orders],TableDailySummary[Fecha],"&gt;="&amp;TableWeeklySummary[[#This Row],[Desde]],TableDailySummary[Fecha],"&lt;="&amp;TableWeeklySummary[[#This Row],[Hasta]])</f>
        <v>0</v>
      </c>
      <c r="R48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8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85" s="12">
        <f ca="1">SUMIFS(TableDailySummary[Inversión google ads],TableDailySummary[Fecha],"&gt;="&amp;TableWeeklySummary[[#This Row],[Desde]],TableDailySummary[Fecha],"&lt;="&amp;TableWeeklySummary[[#This Row],[Hasta]])</f>
        <v>0</v>
      </c>
      <c r="U485" s="12">
        <f ca="1">SUMIFS(TableDailySummary[Ventas google ads],TableDailySummary[Fecha],"&gt;="&amp;TableWeeklySummary[[#This Row],[Desde]],TableDailySummary[Fecha],"&lt;="&amp;TableWeeklySummary[[#This Row],[Hasta]])</f>
        <v>0</v>
      </c>
      <c r="V485" s="12">
        <f ca="1">SUMIFS(TableDailySummary[Inversión meta ads],TableDailySummary[Fecha],"&gt;="&amp;TableWeeklySummary[[#This Row],[Desde]],TableDailySummary[Fecha],"&lt;="&amp;TableWeeklySummary[[#This Row],[Hasta]])</f>
        <v>0</v>
      </c>
      <c r="W485" s="12">
        <f ca="1">SUMIFS(TableDailySummary[Ventas meta ads],TableDailySummary[Fecha],"&gt;="&amp;TableWeeklySummary[[#This Row],[Desde]],TableDailySummary[Fecha],"&lt;="&amp;TableWeeklySummary[[#This Row],[Hasta]])</f>
        <v>0</v>
      </c>
      <c r="X485" s="12">
        <f ca="1">TableWeeklySummary[[#This Row],[Inversión google ads]]+TableWeeklySummary[[#This Row],[Inversión meta ads]]</f>
        <v>0</v>
      </c>
      <c r="Y485" s="12">
        <f ca="1">TableWeeklySummary[[#This Row],[Ventas google ads]]+TableWeeklySummary[[#This Row],[Ventas meta ads]]</f>
        <v>0</v>
      </c>
      <c r="Z485" s="14">
        <f ca="1">IFERROR(TableWeeklySummary[[#This Row],[Ventas publicidad]]/TableWeeklySummary[[#This Row],[Inversión publicidad]],0)</f>
        <v>0</v>
      </c>
      <c r="AA485" s="14">
        <f ca="1">IFERROR(TableWeeklySummary[[#This Row],[Ventas primer cliente]]/TableWeeklySummary[[#This Row],[Inversión publicidad]],0)</f>
        <v>0</v>
      </c>
      <c r="AB485" s="14"/>
      <c r="AC485" s="12"/>
      <c r="AI48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8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85" s="12">
        <f ca="1">SUMIFS(TableDailySummary[Utilidad bruta],TableDailySummary[Fecha],"&gt;="&amp;TableWeeklySummary[[#This Row],[Desde]],TableDailySummary[Fecha],"&lt;="&amp;TableWeeklySummary[[#This Row],[Hasta]])</f>
        <v>0</v>
      </c>
      <c r="AL485" s="18">
        <f ca="1">IFERROR(TableWeeklySummary[[#This Row],[Utilidad bruta]]/TableWeeklySummary[[#This Row],[Ventas netas con costo registrado]],0)</f>
        <v>0</v>
      </c>
    </row>
    <row r="486" spans="2:38" x14ac:dyDescent="0.2">
      <c r="B486" s="16">
        <f ca="1">_xlfn.ISOWEEKNUM(TableWeeklySummary[[#This Row],[Hasta]])</f>
        <v>2</v>
      </c>
      <c r="C486" s="6">
        <f t="shared" ca="1" si="9"/>
        <v>49314</v>
      </c>
      <c r="D486" s="6">
        <f ca="1">TableWeeklySummary[[#This Row],[Desde]]+7-1</f>
        <v>49320</v>
      </c>
      <c r="E486" s="12">
        <f ca="1">SUMIFS(TableDailySummary[Ventas netas totales],TableDailySummary[Fecha],"&gt;="&amp;TableWeeklySummary[[#This Row],[Desde]],TableDailySummary[Fecha],"&lt;="&amp;TableWeeklySummary[[#This Row],[Hasta]])</f>
        <v>0</v>
      </c>
      <c r="F486" s="12">
        <f ca="1">SUMIFS(TableDailySummary[Órdenes totales],TableDailySummary[Fecha],"&gt;="&amp;TableWeeklySummary[[#This Row],[Desde]],TableDailySummary[Fecha],"&lt;="&amp;TableWeeklySummary[[#This Row],[Hasta]])</f>
        <v>0</v>
      </c>
      <c r="G486" s="12">
        <f ca="1">IFERROR(TableWeeklySummary[[#This Row],[Ventas netas totales]]/TableWeeklySummary[[#This Row],[Órdenes totales]],0)</f>
        <v>0</v>
      </c>
      <c r="H48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86" s="12">
        <f ca="1">TableWeeklySummary[[#This Row],[Órden promedio totales]]*TableWeeklySummary[[#This Row],[CR totales]]</f>
        <v>0</v>
      </c>
      <c r="J486" s="12">
        <f ca="1">SUMIFS(TableDailySummary[Ventas primer cliente],TableDailySummary[Fecha],"&gt;="&amp;TableWeeklySummary[[#This Row],[Desde]],TableDailySummary[Fecha],"&lt;="&amp;TableWeeklySummary[[#This Row],[Hasta]])</f>
        <v>0</v>
      </c>
      <c r="K486" s="12">
        <f ca="1">SUMIFS(TableDailySummary[Órdenes primer cliente],TableDailySummary[Fecha],"&gt;="&amp;TableWeeklySummary[[#This Row],[Desde]],TableDailySummary[Fecha],"&lt;="&amp;TableWeeklySummary[[#This Row],[Hasta]])</f>
        <v>0</v>
      </c>
      <c r="L486" s="12">
        <f ca="1">SUMIFS(TableDailySummary[Online Store_net_sales],TableDailySummary[Fecha],"&gt;="&amp;TableWeeklySummary[[#This Row],[Desde]],TableDailySummary[Fecha],"&lt;="&amp;TableWeeklySummary[[#This Row],[Hasta]])</f>
        <v>0</v>
      </c>
      <c r="M486" s="12">
        <f ca="1">SUMIFS(TableDailySummary[Online Store_orders],TableDailySummary[Fecha],"&gt;="&amp;TableWeeklySummary[[#This Row],[Desde]],TableDailySummary[Fecha],"&lt;="&amp;TableWeeklySummary[[#This Row],[Hasta]])</f>
        <v>0</v>
      </c>
      <c r="N486" s="12">
        <f ca="1">SUMIFS(TableDailySummary[Tienda 81_net_sales],TableDailySummary[Fecha],"&gt;="&amp;TableWeeklySummary[[#This Row],[Desde]],TableDailySummary[Fecha],"&lt;="&amp;TableWeeklySummary[[#This Row],[Hasta]])</f>
        <v>0</v>
      </c>
      <c r="O486" s="12">
        <f ca="1">SUMIFS(TableDailySummary[Tienda 81_orders],TableDailySummary[Fecha],"&gt;="&amp;TableWeeklySummary[[#This Row],[Desde]],TableDailySummary[Fecha],"&lt;="&amp;TableWeeklySummary[[#This Row],[Hasta]])</f>
        <v>0</v>
      </c>
      <c r="P486" s="12">
        <f ca="1">SUMIFS(TableDailySummary[Rappi_net_sales],TableDailySummary[Fecha],"&gt;="&amp;TableWeeklySummary[[#This Row],[Desde]],TableDailySummary[Fecha],"&lt;="&amp;TableWeeklySummary[[#This Row],[Hasta]])</f>
        <v>0</v>
      </c>
      <c r="Q486" s="12">
        <f ca="1">SUMIFS(TableDailySummary[Rappi_orders],TableDailySummary[Fecha],"&gt;="&amp;TableWeeklySummary[[#This Row],[Desde]],TableDailySummary[Fecha],"&lt;="&amp;TableWeeklySummary[[#This Row],[Hasta]])</f>
        <v>0</v>
      </c>
      <c r="R48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8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86" s="12">
        <f ca="1">SUMIFS(TableDailySummary[Inversión google ads],TableDailySummary[Fecha],"&gt;="&amp;TableWeeklySummary[[#This Row],[Desde]],TableDailySummary[Fecha],"&lt;="&amp;TableWeeklySummary[[#This Row],[Hasta]])</f>
        <v>0</v>
      </c>
      <c r="U486" s="12">
        <f ca="1">SUMIFS(TableDailySummary[Ventas google ads],TableDailySummary[Fecha],"&gt;="&amp;TableWeeklySummary[[#This Row],[Desde]],TableDailySummary[Fecha],"&lt;="&amp;TableWeeklySummary[[#This Row],[Hasta]])</f>
        <v>0</v>
      </c>
      <c r="V486" s="12">
        <f ca="1">SUMIFS(TableDailySummary[Inversión meta ads],TableDailySummary[Fecha],"&gt;="&amp;TableWeeklySummary[[#This Row],[Desde]],TableDailySummary[Fecha],"&lt;="&amp;TableWeeklySummary[[#This Row],[Hasta]])</f>
        <v>0</v>
      </c>
      <c r="W486" s="12">
        <f ca="1">SUMIFS(TableDailySummary[Ventas meta ads],TableDailySummary[Fecha],"&gt;="&amp;TableWeeklySummary[[#This Row],[Desde]],TableDailySummary[Fecha],"&lt;="&amp;TableWeeklySummary[[#This Row],[Hasta]])</f>
        <v>0</v>
      </c>
      <c r="X486" s="12">
        <f ca="1">TableWeeklySummary[[#This Row],[Inversión google ads]]+TableWeeklySummary[[#This Row],[Inversión meta ads]]</f>
        <v>0</v>
      </c>
      <c r="Y486" s="12">
        <f ca="1">TableWeeklySummary[[#This Row],[Ventas google ads]]+TableWeeklySummary[[#This Row],[Ventas meta ads]]</f>
        <v>0</v>
      </c>
      <c r="Z486" s="14">
        <f ca="1">IFERROR(TableWeeklySummary[[#This Row],[Ventas publicidad]]/TableWeeklySummary[[#This Row],[Inversión publicidad]],0)</f>
        <v>0</v>
      </c>
      <c r="AA486" s="14">
        <f ca="1">IFERROR(TableWeeklySummary[[#This Row],[Ventas primer cliente]]/TableWeeklySummary[[#This Row],[Inversión publicidad]],0)</f>
        <v>0</v>
      </c>
      <c r="AB486" s="14"/>
      <c r="AC486" s="12"/>
      <c r="AI48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8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86" s="12">
        <f ca="1">SUMIFS(TableDailySummary[Utilidad bruta],TableDailySummary[Fecha],"&gt;="&amp;TableWeeklySummary[[#This Row],[Desde]],TableDailySummary[Fecha],"&lt;="&amp;TableWeeklySummary[[#This Row],[Hasta]])</f>
        <v>0</v>
      </c>
      <c r="AL486" s="18">
        <f ca="1">IFERROR(TableWeeklySummary[[#This Row],[Utilidad bruta]]/TableWeeklySummary[[#This Row],[Ventas netas con costo registrado]],0)</f>
        <v>0</v>
      </c>
    </row>
    <row r="487" spans="2:38" x14ac:dyDescent="0.2">
      <c r="B487" s="16">
        <f ca="1">_xlfn.ISOWEEKNUM(TableWeeklySummary[[#This Row],[Hasta]])</f>
        <v>3</v>
      </c>
      <c r="C487" s="6">
        <f t="shared" ca="1" si="9"/>
        <v>49321</v>
      </c>
      <c r="D487" s="6">
        <f ca="1">TableWeeklySummary[[#This Row],[Desde]]+7-1</f>
        <v>49327</v>
      </c>
      <c r="E487" s="12">
        <f ca="1">SUMIFS(TableDailySummary[Ventas netas totales],TableDailySummary[Fecha],"&gt;="&amp;TableWeeklySummary[[#This Row],[Desde]],TableDailySummary[Fecha],"&lt;="&amp;TableWeeklySummary[[#This Row],[Hasta]])</f>
        <v>0</v>
      </c>
      <c r="F487" s="12">
        <f ca="1">SUMIFS(TableDailySummary[Órdenes totales],TableDailySummary[Fecha],"&gt;="&amp;TableWeeklySummary[[#This Row],[Desde]],TableDailySummary[Fecha],"&lt;="&amp;TableWeeklySummary[[#This Row],[Hasta]])</f>
        <v>0</v>
      </c>
      <c r="G487" s="12">
        <f ca="1">IFERROR(TableWeeklySummary[[#This Row],[Ventas netas totales]]/TableWeeklySummary[[#This Row],[Órdenes totales]],0)</f>
        <v>0</v>
      </c>
      <c r="H48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87" s="12">
        <f ca="1">TableWeeklySummary[[#This Row],[Órden promedio totales]]*TableWeeklySummary[[#This Row],[CR totales]]</f>
        <v>0</v>
      </c>
      <c r="J487" s="12">
        <f ca="1">SUMIFS(TableDailySummary[Ventas primer cliente],TableDailySummary[Fecha],"&gt;="&amp;TableWeeklySummary[[#This Row],[Desde]],TableDailySummary[Fecha],"&lt;="&amp;TableWeeklySummary[[#This Row],[Hasta]])</f>
        <v>0</v>
      </c>
      <c r="K487" s="12">
        <f ca="1">SUMIFS(TableDailySummary[Órdenes primer cliente],TableDailySummary[Fecha],"&gt;="&amp;TableWeeklySummary[[#This Row],[Desde]],TableDailySummary[Fecha],"&lt;="&amp;TableWeeklySummary[[#This Row],[Hasta]])</f>
        <v>0</v>
      </c>
      <c r="L487" s="12">
        <f ca="1">SUMIFS(TableDailySummary[Online Store_net_sales],TableDailySummary[Fecha],"&gt;="&amp;TableWeeklySummary[[#This Row],[Desde]],TableDailySummary[Fecha],"&lt;="&amp;TableWeeklySummary[[#This Row],[Hasta]])</f>
        <v>0</v>
      </c>
      <c r="M487" s="12">
        <f ca="1">SUMIFS(TableDailySummary[Online Store_orders],TableDailySummary[Fecha],"&gt;="&amp;TableWeeklySummary[[#This Row],[Desde]],TableDailySummary[Fecha],"&lt;="&amp;TableWeeklySummary[[#This Row],[Hasta]])</f>
        <v>0</v>
      </c>
      <c r="N487" s="12">
        <f ca="1">SUMIFS(TableDailySummary[Tienda 81_net_sales],TableDailySummary[Fecha],"&gt;="&amp;TableWeeklySummary[[#This Row],[Desde]],TableDailySummary[Fecha],"&lt;="&amp;TableWeeklySummary[[#This Row],[Hasta]])</f>
        <v>0</v>
      </c>
      <c r="O487" s="12">
        <f ca="1">SUMIFS(TableDailySummary[Tienda 81_orders],TableDailySummary[Fecha],"&gt;="&amp;TableWeeklySummary[[#This Row],[Desde]],TableDailySummary[Fecha],"&lt;="&amp;TableWeeklySummary[[#This Row],[Hasta]])</f>
        <v>0</v>
      </c>
      <c r="P487" s="12">
        <f ca="1">SUMIFS(TableDailySummary[Rappi_net_sales],TableDailySummary[Fecha],"&gt;="&amp;TableWeeklySummary[[#This Row],[Desde]],TableDailySummary[Fecha],"&lt;="&amp;TableWeeklySummary[[#This Row],[Hasta]])</f>
        <v>0</v>
      </c>
      <c r="Q487" s="12">
        <f ca="1">SUMIFS(TableDailySummary[Rappi_orders],TableDailySummary[Fecha],"&gt;="&amp;TableWeeklySummary[[#This Row],[Desde]],TableDailySummary[Fecha],"&lt;="&amp;TableWeeklySummary[[#This Row],[Hasta]])</f>
        <v>0</v>
      </c>
      <c r="R48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8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87" s="12">
        <f ca="1">SUMIFS(TableDailySummary[Inversión google ads],TableDailySummary[Fecha],"&gt;="&amp;TableWeeklySummary[[#This Row],[Desde]],TableDailySummary[Fecha],"&lt;="&amp;TableWeeklySummary[[#This Row],[Hasta]])</f>
        <v>0</v>
      </c>
      <c r="U487" s="12">
        <f ca="1">SUMIFS(TableDailySummary[Ventas google ads],TableDailySummary[Fecha],"&gt;="&amp;TableWeeklySummary[[#This Row],[Desde]],TableDailySummary[Fecha],"&lt;="&amp;TableWeeklySummary[[#This Row],[Hasta]])</f>
        <v>0</v>
      </c>
      <c r="V487" s="12">
        <f ca="1">SUMIFS(TableDailySummary[Inversión meta ads],TableDailySummary[Fecha],"&gt;="&amp;TableWeeklySummary[[#This Row],[Desde]],TableDailySummary[Fecha],"&lt;="&amp;TableWeeklySummary[[#This Row],[Hasta]])</f>
        <v>0</v>
      </c>
      <c r="W487" s="12">
        <f ca="1">SUMIFS(TableDailySummary[Ventas meta ads],TableDailySummary[Fecha],"&gt;="&amp;TableWeeklySummary[[#This Row],[Desde]],TableDailySummary[Fecha],"&lt;="&amp;TableWeeklySummary[[#This Row],[Hasta]])</f>
        <v>0</v>
      </c>
      <c r="X487" s="12">
        <f ca="1">TableWeeklySummary[[#This Row],[Inversión google ads]]+TableWeeklySummary[[#This Row],[Inversión meta ads]]</f>
        <v>0</v>
      </c>
      <c r="Y487" s="12">
        <f ca="1">TableWeeklySummary[[#This Row],[Ventas google ads]]+TableWeeklySummary[[#This Row],[Ventas meta ads]]</f>
        <v>0</v>
      </c>
      <c r="Z487" s="14">
        <f ca="1">IFERROR(TableWeeklySummary[[#This Row],[Ventas publicidad]]/TableWeeklySummary[[#This Row],[Inversión publicidad]],0)</f>
        <v>0</v>
      </c>
      <c r="AA487" s="14">
        <f ca="1">IFERROR(TableWeeklySummary[[#This Row],[Ventas primer cliente]]/TableWeeklySummary[[#This Row],[Inversión publicidad]],0)</f>
        <v>0</v>
      </c>
      <c r="AB487" s="14"/>
      <c r="AC487" s="12"/>
      <c r="AI48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8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87" s="12">
        <f ca="1">SUMIFS(TableDailySummary[Utilidad bruta],TableDailySummary[Fecha],"&gt;="&amp;TableWeeklySummary[[#This Row],[Desde]],TableDailySummary[Fecha],"&lt;="&amp;TableWeeklySummary[[#This Row],[Hasta]])</f>
        <v>0</v>
      </c>
      <c r="AL487" s="18">
        <f ca="1">IFERROR(TableWeeklySummary[[#This Row],[Utilidad bruta]]/TableWeeklySummary[[#This Row],[Ventas netas con costo registrado]],0)</f>
        <v>0</v>
      </c>
    </row>
    <row r="488" spans="2:38" x14ac:dyDescent="0.2">
      <c r="B488" s="16">
        <f ca="1">_xlfn.ISOWEEKNUM(TableWeeklySummary[[#This Row],[Hasta]])</f>
        <v>4</v>
      </c>
      <c r="C488" s="6">
        <f t="shared" ca="1" si="9"/>
        <v>49328</v>
      </c>
      <c r="D488" s="6">
        <f ca="1">TableWeeklySummary[[#This Row],[Desde]]+7-1</f>
        <v>49334</v>
      </c>
      <c r="E488" s="12">
        <f ca="1">SUMIFS(TableDailySummary[Ventas netas totales],TableDailySummary[Fecha],"&gt;="&amp;TableWeeklySummary[[#This Row],[Desde]],TableDailySummary[Fecha],"&lt;="&amp;TableWeeklySummary[[#This Row],[Hasta]])</f>
        <v>0</v>
      </c>
      <c r="F488" s="12">
        <f ca="1">SUMIFS(TableDailySummary[Órdenes totales],TableDailySummary[Fecha],"&gt;="&amp;TableWeeklySummary[[#This Row],[Desde]],TableDailySummary[Fecha],"&lt;="&amp;TableWeeklySummary[[#This Row],[Hasta]])</f>
        <v>0</v>
      </c>
      <c r="G488" s="12">
        <f ca="1">IFERROR(TableWeeklySummary[[#This Row],[Ventas netas totales]]/TableWeeklySummary[[#This Row],[Órdenes totales]],0)</f>
        <v>0</v>
      </c>
      <c r="H48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88" s="12">
        <f ca="1">TableWeeklySummary[[#This Row],[Órden promedio totales]]*TableWeeklySummary[[#This Row],[CR totales]]</f>
        <v>0</v>
      </c>
      <c r="J488" s="12">
        <f ca="1">SUMIFS(TableDailySummary[Ventas primer cliente],TableDailySummary[Fecha],"&gt;="&amp;TableWeeklySummary[[#This Row],[Desde]],TableDailySummary[Fecha],"&lt;="&amp;TableWeeklySummary[[#This Row],[Hasta]])</f>
        <v>0</v>
      </c>
      <c r="K488" s="12">
        <f ca="1">SUMIFS(TableDailySummary[Órdenes primer cliente],TableDailySummary[Fecha],"&gt;="&amp;TableWeeklySummary[[#This Row],[Desde]],TableDailySummary[Fecha],"&lt;="&amp;TableWeeklySummary[[#This Row],[Hasta]])</f>
        <v>0</v>
      </c>
      <c r="L488" s="12">
        <f ca="1">SUMIFS(TableDailySummary[Online Store_net_sales],TableDailySummary[Fecha],"&gt;="&amp;TableWeeklySummary[[#This Row],[Desde]],TableDailySummary[Fecha],"&lt;="&amp;TableWeeklySummary[[#This Row],[Hasta]])</f>
        <v>0</v>
      </c>
      <c r="M488" s="12">
        <f ca="1">SUMIFS(TableDailySummary[Online Store_orders],TableDailySummary[Fecha],"&gt;="&amp;TableWeeklySummary[[#This Row],[Desde]],TableDailySummary[Fecha],"&lt;="&amp;TableWeeklySummary[[#This Row],[Hasta]])</f>
        <v>0</v>
      </c>
      <c r="N488" s="12">
        <f ca="1">SUMIFS(TableDailySummary[Tienda 81_net_sales],TableDailySummary[Fecha],"&gt;="&amp;TableWeeklySummary[[#This Row],[Desde]],TableDailySummary[Fecha],"&lt;="&amp;TableWeeklySummary[[#This Row],[Hasta]])</f>
        <v>0</v>
      </c>
      <c r="O488" s="12">
        <f ca="1">SUMIFS(TableDailySummary[Tienda 81_orders],TableDailySummary[Fecha],"&gt;="&amp;TableWeeklySummary[[#This Row],[Desde]],TableDailySummary[Fecha],"&lt;="&amp;TableWeeklySummary[[#This Row],[Hasta]])</f>
        <v>0</v>
      </c>
      <c r="P488" s="12">
        <f ca="1">SUMIFS(TableDailySummary[Rappi_net_sales],TableDailySummary[Fecha],"&gt;="&amp;TableWeeklySummary[[#This Row],[Desde]],TableDailySummary[Fecha],"&lt;="&amp;TableWeeklySummary[[#This Row],[Hasta]])</f>
        <v>0</v>
      </c>
      <c r="Q488" s="12">
        <f ca="1">SUMIFS(TableDailySummary[Rappi_orders],TableDailySummary[Fecha],"&gt;="&amp;TableWeeklySummary[[#This Row],[Desde]],TableDailySummary[Fecha],"&lt;="&amp;TableWeeklySummary[[#This Row],[Hasta]])</f>
        <v>0</v>
      </c>
      <c r="R48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8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88" s="12">
        <f ca="1">SUMIFS(TableDailySummary[Inversión google ads],TableDailySummary[Fecha],"&gt;="&amp;TableWeeklySummary[[#This Row],[Desde]],TableDailySummary[Fecha],"&lt;="&amp;TableWeeklySummary[[#This Row],[Hasta]])</f>
        <v>0</v>
      </c>
      <c r="U488" s="12">
        <f ca="1">SUMIFS(TableDailySummary[Ventas google ads],TableDailySummary[Fecha],"&gt;="&amp;TableWeeklySummary[[#This Row],[Desde]],TableDailySummary[Fecha],"&lt;="&amp;TableWeeklySummary[[#This Row],[Hasta]])</f>
        <v>0</v>
      </c>
      <c r="V488" s="12">
        <f ca="1">SUMIFS(TableDailySummary[Inversión meta ads],TableDailySummary[Fecha],"&gt;="&amp;TableWeeklySummary[[#This Row],[Desde]],TableDailySummary[Fecha],"&lt;="&amp;TableWeeklySummary[[#This Row],[Hasta]])</f>
        <v>0</v>
      </c>
      <c r="W488" s="12">
        <f ca="1">SUMIFS(TableDailySummary[Ventas meta ads],TableDailySummary[Fecha],"&gt;="&amp;TableWeeklySummary[[#This Row],[Desde]],TableDailySummary[Fecha],"&lt;="&amp;TableWeeklySummary[[#This Row],[Hasta]])</f>
        <v>0</v>
      </c>
      <c r="X488" s="12">
        <f ca="1">TableWeeklySummary[[#This Row],[Inversión google ads]]+TableWeeklySummary[[#This Row],[Inversión meta ads]]</f>
        <v>0</v>
      </c>
      <c r="Y488" s="12">
        <f ca="1">TableWeeklySummary[[#This Row],[Ventas google ads]]+TableWeeklySummary[[#This Row],[Ventas meta ads]]</f>
        <v>0</v>
      </c>
      <c r="Z488" s="14">
        <f ca="1">IFERROR(TableWeeklySummary[[#This Row],[Ventas publicidad]]/TableWeeklySummary[[#This Row],[Inversión publicidad]],0)</f>
        <v>0</v>
      </c>
      <c r="AA488" s="14">
        <f ca="1">IFERROR(TableWeeklySummary[[#This Row],[Ventas primer cliente]]/TableWeeklySummary[[#This Row],[Inversión publicidad]],0)</f>
        <v>0</v>
      </c>
      <c r="AB488" s="14"/>
      <c r="AC488" s="12"/>
      <c r="AI48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8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88" s="12">
        <f ca="1">SUMIFS(TableDailySummary[Utilidad bruta],TableDailySummary[Fecha],"&gt;="&amp;TableWeeklySummary[[#This Row],[Desde]],TableDailySummary[Fecha],"&lt;="&amp;TableWeeklySummary[[#This Row],[Hasta]])</f>
        <v>0</v>
      </c>
      <c r="AL488" s="18">
        <f ca="1">IFERROR(TableWeeklySummary[[#This Row],[Utilidad bruta]]/TableWeeklySummary[[#This Row],[Ventas netas con costo registrado]],0)</f>
        <v>0</v>
      </c>
    </row>
    <row r="489" spans="2:38" x14ac:dyDescent="0.2">
      <c r="B489" s="16">
        <f ca="1">_xlfn.ISOWEEKNUM(TableWeeklySummary[[#This Row],[Hasta]])</f>
        <v>5</v>
      </c>
      <c r="C489" s="6">
        <f t="shared" ca="1" si="9"/>
        <v>49335</v>
      </c>
      <c r="D489" s="6">
        <f ca="1">TableWeeklySummary[[#This Row],[Desde]]+7-1</f>
        <v>49341</v>
      </c>
      <c r="E489" s="12">
        <f ca="1">SUMIFS(TableDailySummary[Ventas netas totales],TableDailySummary[Fecha],"&gt;="&amp;TableWeeklySummary[[#This Row],[Desde]],TableDailySummary[Fecha],"&lt;="&amp;TableWeeklySummary[[#This Row],[Hasta]])</f>
        <v>0</v>
      </c>
      <c r="F489" s="12">
        <f ca="1">SUMIFS(TableDailySummary[Órdenes totales],TableDailySummary[Fecha],"&gt;="&amp;TableWeeklySummary[[#This Row],[Desde]],TableDailySummary[Fecha],"&lt;="&amp;TableWeeklySummary[[#This Row],[Hasta]])</f>
        <v>0</v>
      </c>
      <c r="G489" s="12">
        <f ca="1">IFERROR(TableWeeklySummary[[#This Row],[Ventas netas totales]]/TableWeeklySummary[[#This Row],[Órdenes totales]],0)</f>
        <v>0</v>
      </c>
      <c r="H48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89" s="12">
        <f ca="1">TableWeeklySummary[[#This Row],[Órden promedio totales]]*TableWeeklySummary[[#This Row],[CR totales]]</f>
        <v>0</v>
      </c>
      <c r="J489" s="12">
        <f ca="1">SUMIFS(TableDailySummary[Ventas primer cliente],TableDailySummary[Fecha],"&gt;="&amp;TableWeeklySummary[[#This Row],[Desde]],TableDailySummary[Fecha],"&lt;="&amp;TableWeeklySummary[[#This Row],[Hasta]])</f>
        <v>0</v>
      </c>
      <c r="K489" s="12">
        <f ca="1">SUMIFS(TableDailySummary[Órdenes primer cliente],TableDailySummary[Fecha],"&gt;="&amp;TableWeeklySummary[[#This Row],[Desde]],TableDailySummary[Fecha],"&lt;="&amp;TableWeeklySummary[[#This Row],[Hasta]])</f>
        <v>0</v>
      </c>
      <c r="L489" s="12">
        <f ca="1">SUMIFS(TableDailySummary[Online Store_net_sales],TableDailySummary[Fecha],"&gt;="&amp;TableWeeklySummary[[#This Row],[Desde]],TableDailySummary[Fecha],"&lt;="&amp;TableWeeklySummary[[#This Row],[Hasta]])</f>
        <v>0</v>
      </c>
      <c r="M489" s="12">
        <f ca="1">SUMIFS(TableDailySummary[Online Store_orders],TableDailySummary[Fecha],"&gt;="&amp;TableWeeklySummary[[#This Row],[Desde]],TableDailySummary[Fecha],"&lt;="&amp;TableWeeklySummary[[#This Row],[Hasta]])</f>
        <v>0</v>
      </c>
      <c r="N489" s="12">
        <f ca="1">SUMIFS(TableDailySummary[Tienda 81_net_sales],TableDailySummary[Fecha],"&gt;="&amp;TableWeeklySummary[[#This Row],[Desde]],TableDailySummary[Fecha],"&lt;="&amp;TableWeeklySummary[[#This Row],[Hasta]])</f>
        <v>0</v>
      </c>
      <c r="O489" s="12">
        <f ca="1">SUMIFS(TableDailySummary[Tienda 81_orders],TableDailySummary[Fecha],"&gt;="&amp;TableWeeklySummary[[#This Row],[Desde]],TableDailySummary[Fecha],"&lt;="&amp;TableWeeklySummary[[#This Row],[Hasta]])</f>
        <v>0</v>
      </c>
      <c r="P489" s="12">
        <f ca="1">SUMIFS(TableDailySummary[Rappi_net_sales],TableDailySummary[Fecha],"&gt;="&amp;TableWeeklySummary[[#This Row],[Desde]],TableDailySummary[Fecha],"&lt;="&amp;TableWeeklySummary[[#This Row],[Hasta]])</f>
        <v>0</v>
      </c>
      <c r="Q489" s="12">
        <f ca="1">SUMIFS(TableDailySummary[Rappi_orders],TableDailySummary[Fecha],"&gt;="&amp;TableWeeklySummary[[#This Row],[Desde]],TableDailySummary[Fecha],"&lt;="&amp;TableWeeklySummary[[#This Row],[Hasta]])</f>
        <v>0</v>
      </c>
      <c r="R48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8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89" s="12">
        <f ca="1">SUMIFS(TableDailySummary[Inversión google ads],TableDailySummary[Fecha],"&gt;="&amp;TableWeeklySummary[[#This Row],[Desde]],TableDailySummary[Fecha],"&lt;="&amp;TableWeeklySummary[[#This Row],[Hasta]])</f>
        <v>0</v>
      </c>
      <c r="U489" s="12">
        <f ca="1">SUMIFS(TableDailySummary[Ventas google ads],TableDailySummary[Fecha],"&gt;="&amp;TableWeeklySummary[[#This Row],[Desde]],TableDailySummary[Fecha],"&lt;="&amp;TableWeeklySummary[[#This Row],[Hasta]])</f>
        <v>0</v>
      </c>
      <c r="V489" s="12">
        <f ca="1">SUMIFS(TableDailySummary[Inversión meta ads],TableDailySummary[Fecha],"&gt;="&amp;TableWeeklySummary[[#This Row],[Desde]],TableDailySummary[Fecha],"&lt;="&amp;TableWeeklySummary[[#This Row],[Hasta]])</f>
        <v>0</v>
      </c>
      <c r="W489" s="12">
        <f ca="1">SUMIFS(TableDailySummary[Ventas meta ads],TableDailySummary[Fecha],"&gt;="&amp;TableWeeklySummary[[#This Row],[Desde]],TableDailySummary[Fecha],"&lt;="&amp;TableWeeklySummary[[#This Row],[Hasta]])</f>
        <v>0</v>
      </c>
      <c r="X489" s="12">
        <f ca="1">TableWeeklySummary[[#This Row],[Inversión google ads]]+TableWeeklySummary[[#This Row],[Inversión meta ads]]</f>
        <v>0</v>
      </c>
      <c r="Y489" s="12">
        <f ca="1">TableWeeklySummary[[#This Row],[Ventas google ads]]+TableWeeklySummary[[#This Row],[Ventas meta ads]]</f>
        <v>0</v>
      </c>
      <c r="Z489" s="14">
        <f ca="1">IFERROR(TableWeeklySummary[[#This Row],[Ventas publicidad]]/TableWeeklySummary[[#This Row],[Inversión publicidad]],0)</f>
        <v>0</v>
      </c>
      <c r="AA489" s="14">
        <f ca="1">IFERROR(TableWeeklySummary[[#This Row],[Ventas primer cliente]]/TableWeeklySummary[[#This Row],[Inversión publicidad]],0)</f>
        <v>0</v>
      </c>
      <c r="AB489" s="14"/>
      <c r="AC489" s="12"/>
      <c r="AI48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8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89" s="12">
        <f ca="1">SUMIFS(TableDailySummary[Utilidad bruta],TableDailySummary[Fecha],"&gt;="&amp;TableWeeklySummary[[#This Row],[Desde]],TableDailySummary[Fecha],"&lt;="&amp;TableWeeklySummary[[#This Row],[Hasta]])</f>
        <v>0</v>
      </c>
      <c r="AL489" s="18">
        <f ca="1">IFERROR(TableWeeklySummary[[#This Row],[Utilidad bruta]]/TableWeeklySummary[[#This Row],[Ventas netas con costo registrado]],0)</f>
        <v>0</v>
      </c>
    </row>
    <row r="490" spans="2:38" x14ac:dyDescent="0.2">
      <c r="B490" s="16">
        <f ca="1">_xlfn.ISOWEEKNUM(TableWeeklySummary[[#This Row],[Hasta]])</f>
        <v>6</v>
      </c>
      <c r="C490" s="6">
        <f t="shared" ca="1" si="9"/>
        <v>49342</v>
      </c>
      <c r="D490" s="6">
        <f ca="1">TableWeeklySummary[[#This Row],[Desde]]+7-1</f>
        <v>49348</v>
      </c>
      <c r="E490" s="12">
        <f ca="1">SUMIFS(TableDailySummary[Ventas netas totales],TableDailySummary[Fecha],"&gt;="&amp;TableWeeklySummary[[#This Row],[Desde]],TableDailySummary[Fecha],"&lt;="&amp;TableWeeklySummary[[#This Row],[Hasta]])</f>
        <v>0</v>
      </c>
      <c r="F490" s="12">
        <f ca="1">SUMIFS(TableDailySummary[Órdenes totales],TableDailySummary[Fecha],"&gt;="&amp;TableWeeklySummary[[#This Row],[Desde]],TableDailySummary[Fecha],"&lt;="&amp;TableWeeklySummary[[#This Row],[Hasta]])</f>
        <v>0</v>
      </c>
      <c r="G490" s="12">
        <f ca="1">IFERROR(TableWeeklySummary[[#This Row],[Ventas netas totales]]/TableWeeklySummary[[#This Row],[Órdenes totales]],0)</f>
        <v>0</v>
      </c>
      <c r="H49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90" s="12">
        <f ca="1">TableWeeklySummary[[#This Row],[Órden promedio totales]]*TableWeeklySummary[[#This Row],[CR totales]]</f>
        <v>0</v>
      </c>
      <c r="J490" s="12">
        <f ca="1">SUMIFS(TableDailySummary[Ventas primer cliente],TableDailySummary[Fecha],"&gt;="&amp;TableWeeklySummary[[#This Row],[Desde]],TableDailySummary[Fecha],"&lt;="&amp;TableWeeklySummary[[#This Row],[Hasta]])</f>
        <v>0</v>
      </c>
      <c r="K490" s="12">
        <f ca="1">SUMIFS(TableDailySummary[Órdenes primer cliente],TableDailySummary[Fecha],"&gt;="&amp;TableWeeklySummary[[#This Row],[Desde]],TableDailySummary[Fecha],"&lt;="&amp;TableWeeklySummary[[#This Row],[Hasta]])</f>
        <v>0</v>
      </c>
      <c r="L490" s="12">
        <f ca="1">SUMIFS(TableDailySummary[Online Store_net_sales],TableDailySummary[Fecha],"&gt;="&amp;TableWeeklySummary[[#This Row],[Desde]],TableDailySummary[Fecha],"&lt;="&amp;TableWeeklySummary[[#This Row],[Hasta]])</f>
        <v>0</v>
      </c>
      <c r="M490" s="12">
        <f ca="1">SUMIFS(TableDailySummary[Online Store_orders],TableDailySummary[Fecha],"&gt;="&amp;TableWeeklySummary[[#This Row],[Desde]],TableDailySummary[Fecha],"&lt;="&amp;TableWeeklySummary[[#This Row],[Hasta]])</f>
        <v>0</v>
      </c>
      <c r="N490" s="12">
        <f ca="1">SUMIFS(TableDailySummary[Tienda 81_net_sales],TableDailySummary[Fecha],"&gt;="&amp;TableWeeklySummary[[#This Row],[Desde]],TableDailySummary[Fecha],"&lt;="&amp;TableWeeklySummary[[#This Row],[Hasta]])</f>
        <v>0</v>
      </c>
      <c r="O490" s="12">
        <f ca="1">SUMIFS(TableDailySummary[Tienda 81_orders],TableDailySummary[Fecha],"&gt;="&amp;TableWeeklySummary[[#This Row],[Desde]],TableDailySummary[Fecha],"&lt;="&amp;TableWeeklySummary[[#This Row],[Hasta]])</f>
        <v>0</v>
      </c>
      <c r="P490" s="12">
        <f ca="1">SUMIFS(TableDailySummary[Rappi_net_sales],TableDailySummary[Fecha],"&gt;="&amp;TableWeeklySummary[[#This Row],[Desde]],TableDailySummary[Fecha],"&lt;="&amp;TableWeeklySummary[[#This Row],[Hasta]])</f>
        <v>0</v>
      </c>
      <c r="Q490" s="12">
        <f ca="1">SUMIFS(TableDailySummary[Rappi_orders],TableDailySummary[Fecha],"&gt;="&amp;TableWeeklySummary[[#This Row],[Desde]],TableDailySummary[Fecha],"&lt;="&amp;TableWeeklySummary[[#This Row],[Hasta]])</f>
        <v>0</v>
      </c>
      <c r="R49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9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90" s="12">
        <f ca="1">SUMIFS(TableDailySummary[Inversión google ads],TableDailySummary[Fecha],"&gt;="&amp;TableWeeklySummary[[#This Row],[Desde]],TableDailySummary[Fecha],"&lt;="&amp;TableWeeklySummary[[#This Row],[Hasta]])</f>
        <v>0</v>
      </c>
      <c r="U490" s="12">
        <f ca="1">SUMIFS(TableDailySummary[Ventas google ads],TableDailySummary[Fecha],"&gt;="&amp;TableWeeklySummary[[#This Row],[Desde]],TableDailySummary[Fecha],"&lt;="&amp;TableWeeklySummary[[#This Row],[Hasta]])</f>
        <v>0</v>
      </c>
      <c r="V490" s="12">
        <f ca="1">SUMIFS(TableDailySummary[Inversión meta ads],TableDailySummary[Fecha],"&gt;="&amp;TableWeeklySummary[[#This Row],[Desde]],TableDailySummary[Fecha],"&lt;="&amp;TableWeeklySummary[[#This Row],[Hasta]])</f>
        <v>0</v>
      </c>
      <c r="W490" s="12">
        <f ca="1">SUMIFS(TableDailySummary[Ventas meta ads],TableDailySummary[Fecha],"&gt;="&amp;TableWeeklySummary[[#This Row],[Desde]],TableDailySummary[Fecha],"&lt;="&amp;TableWeeklySummary[[#This Row],[Hasta]])</f>
        <v>0</v>
      </c>
      <c r="X490" s="12">
        <f ca="1">TableWeeklySummary[[#This Row],[Inversión google ads]]+TableWeeklySummary[[#This Row],[Inversión meta ads]]</f>
        <v>0</v>
      </c>
      <c r="Y490" s="12">
        <f ca="1">TableWeeklySummary[[#This Row],[Ventas google ads]]+TableWeeklySummary[[#This Row],[Ventas meta ads]]</f>
        <v>0</v>
      </c>
      <c r="Z490" s="14">
        <f ca="1">IFERROR(TableWeeklySummary[[#This Row],[Ventas publicidad]]/TableWeeklySummary[[#This Row],[Inversión publicidad]],0)</f>
        <v>0</v>
      </c>
      <c r="AA490" s="14">
        <f ca="1">IFERROR(TableWeeklySummary[[#This Row],[Ventas primer cliente]]/TableWeeklySummary[[#This Row],[Inversión publicidad]],0)</f>
        <v>0</v>
      </c>
      <c r="AB490" s="14"/>
      <c r="AC490" s="12"/>
      <c r="AI49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9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90" s="12">
        <f ca="1">SUMIFS(TableDailySummary[Utilidad bruta],TableDailySummary[Fecha],"&gt;="&amp;TableWeeklySummary[[#This Row],[Desde]],TableDailySummary[Fecha],"&lt;="&amp;TableWeeklySummary[[#This Row],[Hasta]])</f>
        <v>0</v>
      </c>
      <c r="AL490" s="18">
        <f ca="1">IFERROR(TableWeeklySummary[[#This Row],[Utilidad bruta]]/TableWeeklySummary[[#This Row],[Ventas netas con costo registrado]],0)</f>
        <v>0</v>
      </c>
    </row>
    <row r="491" spans="2:38" x14ac:dyDescent="0.2">
      <c r="B491" s="16">
        <f ca="1">_xlfn.ISOWEEKNUM(TableWeeklySummary[[#This Row],[Hasta]])</f>
        <v>7</v>
      </c>
      <c r="C491" s="6">
        <f t="shared" ca="1" si="9"/>
        <v>49349</v>
      </c>
      <c r="D491" s="6">
        <f ca="1">TableWeeklySummary[[#This Row],[Desde]]+7-1</f>
        <v>49355</v>
      </c>
      <c r="E491" s="12">
        <f ca="1">SUMIFS(TableDailySummary[Ventas netas totales],TableDailySummary[Fecha],"&gt;="&amp;TableWeeklySummary[[#This Row],[Desde]],TableDailySummary[Fecha],"&lt;="&amp;TableWeeklySummary[[#This Row],[Hasta]])</f>
        <v>0</v>
      </c>
      <c r="F491" s="12">
        <f ca="1">SUMIFS(TableDailySummary[Órdenes totales],TableDailySummary[Fecha],"&gt;="&amp;TableWeeklySummary[[#This Row],[Desde]],TableDailySummary[Fecha],"&lt;="&amp;TableWeeklySummary[[#This Row],[Hasta]])</f>
        <v>0</v>
      </c>
      <c r="G491" s="12">
        <f ca="1">IFERROR(TableWeeklySummary[[#This Row],[Ventas netas totales]]/TableWeeklySummary[[#This Row],[Órdenes totales]],0)</f>
        <v>0</v>
      </c>
      <c r="H49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91" s="12">
        <f ca="1">TableWeeklySummary[[#This Row],[Órden promedio totales]]*TableWeeklySummary[[#This Row],[CR totales]]</f>
        <v>0</v>
      </c>
      <c r="J491" s="12">
        <f ca="1">SUMIFS(TableDailySummary[Ventas primer cliente],TableDailySummary[Fecha],"&gt;="&amp;TableWeeklySummary[[#This Row],[Desde]],TableDailySummary[Fecha],"&lt;="&amp;TableWeeklySummary[[#This Row],[Hasta]])</f>
        <v>0</v>
      </c>
      <c r="K491" s="12">
        <f ca="1">SUMIFS(TableDailySummary[Órdenes primer cliente],TableDailySummary[Fecha],"&gt;="&amp;TableWeeklySummary[[#This Row],[Desde]],TableDailySummary[Fecha],"&lt;="&amp;TableWeeklySummary[[#This Row],[Hasta]])</f>
        <v>0</v>
      </c>
      <c r="L491" s="12">
        <f ca="1">SUMIFS(TableDailySummary[Online Store_net_sales],TableDailySummary[Fecha],"&gt;="&amp;TableWeeklySummary[[#This Row],[Desde]],TableDailySummary[Fecha],"&lt;="&amp;TableWeeklySummary[[#This Row],[Hasta]])</f>
        <v>0</v>
      </c>
      <c r="M491" s="12">
        <f ca="1">SUMIFS(TableDailySummary[Online Store_orders],TableDailySummary[Fecha],"&gt;="&amp;TableWeeklySummary[[#This Row],[Desde]],TableDailySummary[Fecha],"&lt;="&amp;TableWeeklySummary[[#This Row],[Hasta]])</f>
        <v>0</v>
      </c>
      <c r="N491" s="12">
        <f ca="1">SUMIFS(TableDailySummary[Tienda 81_net_sales],TableDailySummary[Fecha],"&gt;="&amp;TableWeeklySummary[[#This Row],[Desde]],TableDailySummary[Fecha],"&lt;="&amp;TableWeeklySummary[[#This Row],[Hasta]])</f>
        <v>0</v>
      </c>
      <c r="O491" s="12">
        <f ca="1">SUMIFS(TableDailySummary[Tienda 81_orders],TableDailySummary[Fecha],"&gt;="&amp;TableWeeklySummary[[#This Row],[Desde]],TableDailySummary[Fecha],"&lt;="&amp;TableWeeklySummary[[#This Row],[Hasta]])</f>
        <v>0</v>
      </c>
      <c r="P491" s="12">
        <f ca="1">SUMIFS(TableDailySummary[Rappi_net_sales],TableDailySummary[Fecha],"&gt;="&amp;TableWeeklySummary[[#This Row],[Desde]],TableDailySummary[Fecha],"&lt;="&amp;TableWeeklySummary[[#This Row],[Hasta]])</f>
        <v>0</v>
      </c>
      <c r="Q491" s="12">
        <f ca="1">SUMIFS(TableDailySummary[Rappi_orders],TableDailySummary[Fecha],"&gt;="&amp;TableWeeklySummary[[#This Row],[Desde]],TableDailySummary[Fecha],"&lt;="&amp;TableWeeklySummary[[#This Row],[Hasta]])</f>
        <v>0</v>
      </c>
      <c r="R49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9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91" s="12">
        <f ca="1">SUMIFS(TableDailySummary[Inversión google ads],TableDailySummary[Fecha],"&gt;="&amp;TableWeeklySummary[[#This Row],[Desde]],TableDailySummary[Fecha],"&lt;="&amp;TableWeeklySummary[[#This Row],[Hasta]])</f>
        <v>0</v>
      </c>
      <c r="U491" s="12">
        <f ca="1">SUMIFS(TableDailySummary[Ventas google ads],TableDailySummary[Fecha],"&gt;="&amp;TableWeeklySummary[[#This Row],[Desde]],TableDailySummary[Fecha],"&lt;="&amp;TableWeeklySummary[[#This Row],[Hasta]])</f>
        <v>0</v>
      </c>
      <c r="V491" s="12">
        <f ca="1">SUMIFS(TableDailySummary[Inversión meta ads],TableDailySummary[Fecha],"&gt;="&amp;TableWeeklySummary[[#This Row],[Desde]],TableDailySummary[Fecha],"&lt;="&amp;TableWeeklySummary[[#This Row],[Hasta]])</f>
        <v>0</v>
      </c>
      <c r="W491" s="12">
        <f ca="1">SUMIFS(TableDailySummary[Ventas meta ads],TableDailySummary[Fecha],"&gt;="&amp;TableWeeklySummary[[#This Row],[Desde]],TableDailySummary[Fecha],"&lt;="&amp;TableWeeklySummary[[#This Row],[Hasta]])</f>
        <v>0</v>
      </c>
      <c r="X491" s="12">
        <f ca="1">TableWeeklySummary[[#This Row],[Inversión google ads]]+TableWeeklySummary[[#This Row],[Inversión meta ads]]</f>
        <v>0</v>
      </c>
      <c r="Y491" s="12">
        <f ca="1">TableWeeklySummary[[#This Row],[Ventas google ads]]+TableWeeklySummary[[#This Row],[Ventas meta ads]]</f>
        <v>0</v>
      </c>
      <c r="Z491" s="14">
        <f ca="1">IFERROR(TableWeeklySummary[[#This Row],[Ventas publicidad]]/TableWeeklySummary[[#This Row],[Inversión publicidad]],0)</f>
        <v>0</v>
      </c>
      <c r="AA491" s="14">
        <f ca="1">IFERROR(TableWeeklySummary[[#This Row],[Ventas primer cliente]]/TableWeeklySummary[[#This Row],[Inversión publicidad]],0)</f>
        <v>0</v>
      </c>
      <c r="AB491" s="14"/>
      <c r="AC491" s="12"/>
      <c r="AI49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9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91" s="12">
        <f ca="1">SUMIFS(TableDailySummary[Utilidad bruta],TableDailySummary[Fecha],"&gt;="&amp;TableWeeklySummary[[#This Row],[Desde]],TableDailySummary[Fecha],"&lt;="&amp;TableWeeklySummary[[#This Row],[Hasta]])</f>
        <v>0</v>
      </c>
      <c r="AL491" s="18">
        <f ca="1">IFERROR(TableWeeklySummary[[#This Row],[Utilidad bruta]]/TableWeeklySummary[[#This Row],[Ventas netas con costo registrado]],0)</f>
        <v>0</v>
      </c>
    </row>
    <row r="492" spans="2:38" x14ac:dyDescent="0.2">
      <c r="B492" s="16">
        <f ca="1">_xlfn.ISOWEEKNUM(TableWeeklySummary[[#This Row],[Hasta]])</f>
        <v>8</v>
      </c>
      <c r="C492" s="6">
        <f t="shared" ca="1" si="9"/>
        <v>49356</v>
      </c>
      <c r="D492" s="6">
        <f ca="1">TableWeeklySummary[[#This Row],[Desde]]+7-1</f>
        <v>49362</v>
      </c>
      <c r="E492" s="12">
        <f ca="1">SUMIFS(TableDailySummary[Ventas netas totales],TableDailySummary[Fecha],"&gt;="&amp;TableWeeklySummary[[#This Row],[Desde]],TableDailySummary[Fecha],"&lt;="&amp;TableWeeklySummary[[#This Row],[Hasta]])</f>
        <v>0</v>
      </c>
      <c r="F492" s="12">
        <f ca="1">SUMIFS(TableDailySummary[Órdenes totales],TableDailySummary[Fecha],"&gt;="&amp;TableWeeklySummary[[#This Row],[Desde]],TableDailySummary[Fecha],"&lt;="&amp;TableWeeklySummary[[#This Row],[Hasta]])</f>
        <v>0</v>
      </c>
      <c r="G492" s="12">
        <f ca="1">IFERROR(TableWeeklySummary[[#This Row],[Ventas netas totales]]/TableWeeklySummary[[#This Row],[Órdenes totales]],0)</f>
        <v>0</v>
      </c>
      <c r="H49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92" s="12">
        <f ca="1">TableWeeklySummary[[#This Row],[Órden promedio totales]]*TableWeeklySummary[[#This Row],[CR totales]]</f>
        <v>0</v>
      </c>
      <c r="J492" s="12">
        <f ca="1">SUMIFS(TableDailySummary[Ventas primer cliente],TableDailySummary[Fecha],"&gt;="&amp;TableWeeklySummary[[#This Row],[Desde]],TableDailySummary[Fecha],"&lt;="&amp;TableWeeklySummary[[#This Row],[Hasta]])</f>
        <v>0</v>
      </c>
      <c r="K492" s="12">
        <f ca="1">SUMIFS(TableDailySummary[Órdenes primer cliente],TableDailySummary[Fecha],"&gt;="&amp;TableWeeklySummary[[#This Row],[Desde]],TableDailySummary[Fecha],"&lt;="&amp;TableWeeklySummary[[#This Row],[Hasta]])</f>
        <v>0</v>
      </c>
      <c r="L492" s="12">
        <f ca="1">SUMIFS(TableDailySummary[Online Store_net_sales],TableDailySummary[Fecha],"&gt;="&amp;TableWeeklySummary[[#This Row],[Desde]],TableDailySummary[Fecha],"&lt;="&amp;TableWeeklySummary[[#This Row],[Hasta]])</f>
        <v>0</v>
      </c>
      <c r="M492" s="12">
        <f ca="1">SUMIFS(TableDailySummary[Online Store_orders],TableDailySummary[Fecha],"&gt;="&amp;TableWeeklySummary[[#This Row],[Desde]],TableDailySummary[Fecha],"&lt;="&amp;TableWeeklySummary[[#This Row],[Hasta]])</f>
        <v>0</v>
      </c>
      <c r="N492" s="12">
        <f ca="1">SUMIFS(TableDailySummary[Tienda 81_net_sales],TableDailySummary[Fecha],"&gt;="&amp;TableWeeklySummary[[#This Row],[Desde]],TableDailySummary[Fecha],"&lt;="&amp;TableWeeklySummary[[#This Row],[Hasta]])</f>
        <v>0</v>
      </c>
      <c r="O492" s="12">
        <f ca="1">SUMIFS(TableDailySummary[Tienda 81_orders],TableDailySummary[Fecha],"&gt;="&amp;TableWeeklySummary[[#This Row],[Desde]],TableDailySummary[Fecha],"&lt;="&amp;TableWeeklySummary[[#This Row],[Hasta]])</f>
        <v>0</v>
      </c>
      <c r="P492" s="12">
        <f ca="1">SUMIFS(TableDailySummary[Rappi_net_sales],TableDailySummary[Fecha],"&gt;="&amp;TableWeeklySummary[[#This Row],[Desde]],TableDailySummary[Fecha],"&lt;="&amp;TableWeeklySummary[[#This Row],[Hasta]])</f>
        <v>0</v>
      </c>
      <c r="Q492" s="12">
        <f ca="1">SUMIFS(TableDailySummary[Rappi_orders],TableDailySummary[Fecha],"&gt;="&amp;TableWeeklySummary[[#This Row],[Desde]],TableDailySummary[Fecha],"&lt;="&amp;TableWeeklySummary[[#This Row],[Hasta]])</f>
        <v>0</v>
      </c>
      <c r="R49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9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92" s="12">
        <f ca="1">SUMIFS(TableDailySummary[Inversión google ads],TableDailySummary[Fecha],"&gt;="&amp;TableWeeklySummary[[#This Row],[Desde]],TableDailySummary[Fecha],"&lt;="&amp;TableWeeklySummary[[#This Row],[Hasta]])</f>
        <v>0</v>
      </c>
      <c r="U492" s="12">
        <f ca="1">SUMIFS(TableDailySummary[Ventas google ads],TableDailySummary[Fecha],"&gt;="&amp;TableWeeklySummary[[#This Row],[Desde]],TableDailySummary[Fecha],"&lt;="&amp;TableWeeklySummary[[#This Row],[Hasta]])</f>
        <v>0</v>
      </c>
      <c r="V492" s="12">
        <f ca="1">SUMIFS(TableDailySummary[Inversión meta ads],TableDailySummary[Fecha],"&gt;="&amp;TableWeeklySummary[[#This Row],[Desde]],TableDailySummary[Fecha],"&lt;="&amp;TableWeeklySummary[[#This Row],[Hasta]])</f>
        <v>0</v>
      </c>
      <c r="W492" s="12">
        <f ca="1">SUMIFS(TableDailySummary[Ventas meta ads],TableDailySummary[Fecha],"&gt;="&amp;TableWeeklySummary[[#This Row],[Desde]],TableDailySummary[Fecha],"&lt;="&amp;TableWeeklySummary[[#This Row],[Hasta]])</f>
        <v>0</v>
      </c>
      <c r="X492" s="12">
        <f ca="1">TableWeeklySummary[[#This Row],[Inversión google ads]]+TableWeeklySummary[[#This Row],[Inversión meta ads]]</f>
        <v>0</v>
      </c>
      <c r="Y492" s="12">
        <f ca="1">TableWeeklySummary[[#This Row],[Ventas google ads]]+TableWeeklySummary[[#This Row],[Ventas meta ads]]</f>
        <v>0</v>
      </c>
      <c r="Z492" s="14">
        <f ca="1">IFERROR(TableWeeklySummary[[#This Row],[Ventas publicidad]]/TableWeeklySummary[[#This Row],[Inversión publicidad]],0)</f>
        <v>0</v>
      </c>
      <c r="AA492" s="14">
        <f ca="1">IFERROR(TableWeeklySummary[[#This Row],[Ventas primer cliente]]/TableWeeklySummary[[#This Row],[Inversión publicidad]],0)</f>
        <v>0</v>
      </c>
      <c r="AB492" s="14"/>
      <c r="AC492" s="12"/>
      <c r="AI49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9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92" s="12">
        <f ca="1">SUMIFS(TableDailySummary[Utilidad bruta],TableDailySummary[Fecha],"&gt;="&amp;TableWeeklySummary[[#This Row],[Desde]],TableDailySummary[Fecha],"&lt;="&amp;TableWeeklySummary[[#This Row],[Hasta]])</f>
        <v>0</v>
      </c>
      <c r="AL492" s="18">
        <f ca="1">IFERROR(TableWeeklySummary[[#This Row],[Utilidad bruta]]/TableWeeklySummary[[#This Row],[Ventas netas con costo registrado]],0)</f>
        <v>0</v>
      </c>
    </row>
    <row r="493" spans="2:38" x14ac:dyDescent="0.2">
      <c r="B493" s="16">
        <f ca="1">_xlfn.ISOWEEKNUM(TableWeeklySummary[[#This Row],[Hasta]])</f>
        <v>9</v>
      </c>
      <c r="C493" s="6">
        <f t="shared" ca="1" si="9"/>
        <v>49363</v>
      </c>
      <c r="D493" s="6">
        <f ca="1">TableWeeklySummary[[#This Row],[Desde]]+7-1</f>
        <v>49369</v>
      </c>
      <c r="E493" s="12">
        <f ca="1">SUMIFS(TableDailySummary[Ventas netas totales],TableDailySummary[Fecha],"&gt;="&amp;TableWeeklySummary[[#This Row],[Desde]],TableDailySummary[Fecha],"&lt;="&amp;TableWeeklySummary[[#This Row],[Hasta]])</f>
        <v>0</v>
      </c>
      <c r="F493" s="12">
        <f ca="1">SUMIFS(TableDailySummary[Órdenes totales],TableDailySummary[Fecha],"&gt;="&amp;TableWeeklySummary[[#This Row],[Desde]],TableDailySummary[Fecha],"&lt;="&amp;TableWeeklySummary[[#This Row],[Hasta]])</f>
        <v>0</v>
      </c>
      <c r="G493" s="12">
        <f ca="1">IFERROR(TableWeeklySummary[[#This Row],[Ventas netas totales]]/TableWeeklySummary[[#This Row],[Órdenes totales]],0)</f>
        <v>0</v>
      </c>
      <c r="H49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93" s="12">
        <f ca="1">TableWeeklySummary[[#This Row],[Órden promedio totales]]*TableWeeklySummary[[#This Row],[CR totales]]</f>
        <v>0</v>
      </c>
      <c r="J493" s="12">
        <f ca="1">SUMIFS(TableDailySummary[Ventas primer cliente],TableDailySummary[Fecha],"&gt;="&amp;TableWeeklySummary[[#This Row],[Desde]],TableDailySummary[Fecha],"&lt;="&amp;TableWeeklySummary[[#This Row],[Hasta]])</f>
        <v>0</v>
      </c>
      <c r="K493" s="12">
        <f ca="1">SUMIFS(TableDailySummary[Órdenes primer cliente],TableDailySummary[Fecha],"&gt;="&amp;TableWeeklySummary[[#This Row],[Desde]],TableDailySummary[Fecha],"&lt;="&amp;TableWeeklySummary[[#This Row],[Hasta]])</f>
        <v>0</v>
      </c>
      <c r="L493" s="12">
        <f ca="1">SUMIFS(TableDailySummary[Online Store_net_sales],TableDailySummary[Fecha],"&gt;="&amp;TableWeeklySummary[[#This Row],[Desde]],TableDailySummary[Fecha],"&lt;="&amp;TableWeeklySummary[[#This Row],[Hasta]])</f>
        <v>0</v>
      </c>
      <c r="M493" s="12">
        <f ca="1">SUMIFS(TableDailySummary[Online Store_orders],TableDailySummary[Fecha],"&gt;="&amp;TableWeeklySummary[[#This Row],[Desde]],TableDailySummary[Fecha],"&lt;="&amp;TableWeeklySummary[[#This Row],[Hasta]])</f>
        <v>0</v>
      </c>
      <c r="N493" s="12">
        <f ca="1">SUMIFS(TableDailySummary[Tienda 81_net_sales],TableDailySummary[Fecha],"&gt;="&amp;TableWeeklySummary[[#This Row],[Desde]],TableDailySummary[Fecha],"&lt;="&amp;TableWeeklySummary[[#This Row],[Hasta]])</f>
        <v>0</v>
      </c>
      <c r="O493" s="12">
        <f ca="1">SUMIFS(TableDailySummary[Tienda 81_orders],TableDailySummary[Fecha],"&gt;="&amp;TableWeeklySummary[[#This Row],[Desde]],TableDailySummary[Fecha],"&lt;="&amp;TableWeeklySummary[[#This Row],[Hasta]])</f>
        <v>0</v>
      </c>
      <c r="P493" s="12">
        <f ca="1">SUMIFS(TableDailySummary[Rappi_net_sales],TableDailySummary[Fecha],"&gt;="&amp;TableWeeklySummary[[#This Row],[Desde]],TableDailySummary[Fecha],"&lt;="&amp;TableWeeklySummary[[#This Row],[Hasta]])</f>
        <v>0</v>
      </c>
      <c r="Q493" s="12">
        <f ca="1">SUMIFS(TableDailySummary[Rappi_orders],TableDailySummary[Fecha],"&gt;="&amp;TableWeeklySummary[[#This Row],[Desde]],TableDailySummary[Fecha],"&lt;="&amp;TableWeeklySummary[[#This Row],[Hasta]])</f>
        <v>0</v>
      </c>
      <c r="R49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9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93" s="12">
        <f ca="1">SUMIFS(TableDailySummary[Inversión google ads],TableDailySummary[Fecha],"&gt;="&amp;TableWeeklySummary[[#This Row],[Desde]],TableDailySummary[Fecha],"&lt;="&amp;TableWeeklySummary[[#This Row],[Hasta]])</f>
        <v>0</v>
      </c>
      <c r="U493" s="12">
        <f ca="1">SUMIFS(TableDailySummary[Ventas google ads],TableDailySummary[Fecha],"&gt;="&amp;TableWeeklySummary[[#This Row],[Desde]],TableDailySummary[Fecha],"&lt;="&amp;TableWeeklySummary[[#This Row],[Hasta]])</f>
        <v>0</v>
      </c>
      <c r="V493" s="12">
        <f ca="1">SUMIFS(TableDailySummary[Inversión meta ads],TableDailySummary[Fecha],"&gt;="&amp;TableWeeklySummary[[#This Row],[Desde]],TableDailySummary[Fecha],"&lt;="&amp;TableWeeklySummary[[#This Row],[Hasta]])</f>
        <v>0</v>
      </c>
      <c r="W493" s="12">
        <f ca="1">SUMIFS(TableDailySummary[Ventas meta ads],TableDailySummary[Fecha],"&gt;="&amp;TableWeeklySummary[[#This Row],[Desde]],TableDailySummary[Fecha],"&lt;="&amp;TableWeeklySummary[[#This Row],[Hasta]])</f>
        <v>0</v>
      </c>
      <c r="X493" s="12">
        <f ca="1">TableWeeklySummary[[#This Row],[Inversión google ads]]+TableWeeklySummary[[#This Row],[Inversión meta ads]]</f>
        <v>0</v>
      </c>
      <c r="Y493" s="12">
        <f ca="1">TableWeeklySummary[[#This Row],[Ventas google ads]]+TableWeeklySummary[[#This Row],[Ventas meta ads]]</f>
        <v>0</v>
      </c>
      <c r="Z493" s="14">
        <f ca="1">IFERROR(TableWeeklySummary[[#This Row],[Ventas publicidad]]/TableWeeklySummary[[#This Row],[Inversión publicidad]],0)</f>
        <v>0</v>
      </c>
      <c r="AA493" s="14">
        <f ca="1">IFERROR(TableWeeklySummary[[#This Row],[Ventas primer cliente]]/TableWeeklySummary[[#This Row],[Inversión publicidad]],0)</f>
        <v>0</v>
      </c>
      <c r="AB493" s="14"/>
      <c r="AC493" s="12"/>
      <c r="AI49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9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93" s="12">
        <f ca="1">SUMIFS(TableDailySummary[Utilidad bruta],TableDailySummary[Fecha],"&gt;="&amp;TableWeeklySummary[[#This Row],[Desde]],TableDailySummary[Fecha],"&lt;="&amp;TableWeeklySummary[[#This Row],[Hasta]])</f>
        <v>0</v>
      </c>
      <c r="AL493" s="18">
        <f ca="1">IFERROR(TableWeeklySummary[[#This Row],[Utilidad bruta]]/TableWeeklySummary[[#This Row],[Ventas netas con costo registrado]],0)</f>
        <v>0</v>
      </c>
    </row>
    <row r="494" spans="2:38" x14ac:dyDescent="0.2">
      <c r="B494" s="16">
        <f ca="1">_xlfn.ISOWEEKNUM(TableWeeklySummary[[#This Row],[Hasta]])</f>
        <v>10</v>
      </c>
      <c r="C494" s="6">
        <f t="shared" ca="1" si="9"/>
        <v>49370</v>
      </c>
      <c r="D494" s="6">
        <f ca="1">TableWeeklySummary[[#This Row],[Desde]]+7-1</f>
        <v>49376</v>
      </c>
      <c r="E494" s="12">
        <f ca="1">SUMIFS(TableDailySummary[Ventas netas totales],TableDailySummary[Fecha],"&gt;="&amp;TableWeeklySummary[[#This Row],[Desde]],TableDailySummary[Fecha],"&lt;="&amp;TableWeeklySummary[[#This Row],[Hasta]])</f>
        <v>0</v>
      </c>
      <c r="F494" s="12">
        <f ca="1">SUMIFS(TableDailySummary[Órdenes totales],TableDailySummary[Fecha],"&gt;="&amp;TableWeeklySummary[[#This Row],[Desde]],TableDailySummary[Fecha],"&lt;="&amp;TableWeeklySummary[[#This Row],[Hasta]])</f>
        <v>0</v>
      </c>
      <c r="G494" s="12">
        <f ca="1">IFERROR(TableWeeklySummary[[#This Row],[Ventas netas totales]]/TableWeeklySummary[[#This Row],[Órdenes totales]],0)</f>
        <v>0</v>
      </c>
      <c r="H49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94" s="12">
        <f ca="1">TableWeeklySummary[[#This Row],[Órden promedio totales]]*TableWeeklySummary[[#This Row],[CR totales]]</f>
        <v>0</v>
      </c>
      <c r="J494" s="12">
        <f ca="1">SUMIFS(TableDailySummary[Ventas primer cliente],TableDailySummary[Fecha],"&gt;="&amp;TableWeeklySummary[[#This Row],[Desde]],TableDailySummary[Fecha],"&lt;="&amp;TableWeeklySummary[[#This Row],[Hasta]])</f>
        <v>0</v>
      </c>
      <c r="K494" s="12">
        <f ca="1">SUMIFS(TableDailySummary[Órdenes primer cliente],TableDailySummary[Fecha],"&gt;="&amp;TableWeeklySummary[[#This Row],[Desde]],TableDailySummary[Fecha],"&lt;="&amp;TableWeeklySummary[[#This Row],[Hasta]])</f>
        <v>0</v>
      </c>
      <c r="L494" s="12">
        <f ca="1">SUMIFS(TableDailySummary[Online Store_net_sales],TableDailySummary[Fecha],"&gt;="&amp;TableWeeklySummary[[#This Row],[Desde]],TableDailySummary[Fecha],"&lt;="&amp;TableWeeklySummary[[#This Row],[Hasta]])</f>
        <v>0</v>
      </c>
      <c r="M494" s="12">
        <f ca="1">SUMIFS(TableDailySummary[Online Store_orders],TableDailySummary[Fecha],"&gt;="&amp;TableWeeklySummary[[#This Row],[Desde]],TableDailySummary[Fecha],"&lt;="&amp;TableWeeklySummary[[#This Row],[Hasta]])</f>
        <v>0</v>
      </c>
      <c r="N494" s="12">
        <f ca="1">SUMIFS(TableDailySummary[Tienda 81_net_sales],TableDailySummary[Fecha],"&gt;="&amp;TableWeeklySummary[[#This Row],[Desde]],TableDailySummary[Fecha],"&lt;="&amp;TableWeeklySummary[[#This Row],[Hasta]])</f>
        <v>0</v>
      </c>
      <c r="O494" s="12">
        <f ca="1">SUMIFS(TableDailySummary[Tienda 81_orders],TableDailySummary[Fecha],"&gt;="&amp;TableWeeklySummary[[#This Row],[Desde]],TableDailySummary[Fecha],"&lt;="&amp;TableWeeklySummary[[#This Row],[Hasta]])</f>
        <v>0</v>
      </c>
      <c r="P494" s="12">
        <f ca="1">SUMIFS(TableDailySummary[Rappi_net_sales],TableDailySummary[Fecha],"&gt;="&amp;TableWeeklySummary[[#This Row],[Desde]],TableDailySummary[Fecha],"&lt;="&amp;TableWeeklySummary[[#This Row],[Hasta]])</f>
        <v>0</v>
      </c>
      <c r="Q494" s="12">
        <f ca="1">SUMIFS(TableDailySummary[Rappi_orders],TableDailySummary[Fecha],"&gt;="&amp;TableWeeklySummary[[#This Row],[Desde]],TableDailySummary[Fecha],"&lt;="&amp;TableWeeklySummary[[#This Row],[Hasta]])</f>
        <v>0</v>
      </c>
      <c r="R49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9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94" s="12">
        <f ca="1">SUMIFS(TableDailySummary[Inversión google ads],TableDailySummary[Fecha],"&gt;="&amp;TableWeeklySummary[[#This Row],[Desde]],TableDailySummary[Fecha],"&lt;="&amp;TableWeeklySummary[[#This Row],[Hasta]])</f>
        <v>0</v>
      </c>
      <c r="U494" s="12">
        <f ca="1">SUMIFS(TableDailySummary[Ventas google ads],TableDailySummary[Fecha],"&gt;="&amp;TableWeeklySummary[[#This Row],[Desde]],TableDailySummary[Fecha],"&lt;="&amp;TableWeeklySummary[[#This Row],[Hasta]])</f>
        <v>0</v>
      </c>
      <c r="V494" s="12">
        <f ca="1">SUMIFS(TableDailySummary[Inversión meta ads],TableDailySummary[Fecha],"&gt;="&amp;TableWeeklySummary[[#This Row],[Desde]],TableDailySummary[Fecha],"&lt;="&amp;TableWeeklySummary[[#This Row],[Hasta]])</f>
        <v>0</v>
      </c>
      <c r="W494" s="12">
        <f ca="1">SUMIFS(TableDailySummary[Ventas meta ads],TableDailySummary[Fecha],"&gt;="&amp;TableWeeklySummary[[#This Row],[Desde]],TableDailySummary[Fecha],"&lt;="&amp;TableWeeklySummary[[#This Row],[Hasta]])</f>
        <v>0</v>
      </c>
      <c r="X494" s="12">
        <f ca="1">TableWeeklySummary[[#This Row],[Inversión google ads]]+TableWeeklySummary[[#This Row],[Inversión meta ads]]</f>
        <v>0</v>
      </c>
      <c r="Y494" s="12">
        <f ca="1">TableWeeklySummary[[#This Row],[Ventas google ads]]+TableWeeklySummary[[#This Row],[Ventas meta ads]]</f>
        <v>0</v>
      </c>
      <c r="Z494" s="14">
        <f ca="1">IFERROR(TableWeeklySummary[[#This Row],[Ventas publicidad]]/TableWeeklySummary[[#This Row],[Inversión publicidad]],0)</f>
        <v>0</v>
      </c>
      <c r="AA494" s="14">
        <f ca="1">IFERROR(TableWeeklySummary[[#This Row],[Ventas primer cliente]]/TableWeeklySummary[[#This Row],[Inversión publicidad]],0)</f>
        <v>0</v>
      </c>
      <c r="AB494" s="14"/>
      <c r="AC494" s="12"/>
      <c r="AI49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9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94" s="12">
        <f ca="1">SUMIFS(TableDailySummary[Utilidad bruta],TableDailySummary[Fecha],"&gt;="&amp;TableWeeklySummary[[#This Row],[Desde]],TableDailySummary[Fecha],"&lt;="&amp;TableWeeklySummary[[#This Row],[Hasta]])</f>
        <v>0</v>
      </c>
      <c r="AL494" s="18">
        <f ca="1">IFERROR(TableWeeklySummary[[#This Row],[Utilidad bruta]]/TableWeeklySummary[[#This Row],[Ventas netas con costo registrado]],0)</f>
        <v>0</v>
      </c>
    </row>
    <row r="495" spans="2:38" x14ac:dyDescent="0.2">
      <c r="B495" s="16">
        <f ca="1">_xlfn.ISOWEEKNUM(TableWeeklySummary[[#This Row],[Hasta]])</f>
        <v>11</v>
      </c>
      <c r="C495" s="6">
        <f t="shared" ca="1" si="9"/>
        <v>49377</v>
      </c>
      <c r="D495" s="6">
        <f ca="1">TableWeeklySummary[[#This Row],[Desde]]+7-1</f>
        <v>49383</v>
      </c>
      <c r="E495" s="12">
        <f ca="1">SUMIFS(TableDailySummary[Ventas netas totales],TableDailySummary[Fecha],"&gt;="&amp;TableWeeklySummary[[#This Row],[Desde]],TableDailySummary[Fecha],"&lt;="&amp;TableWeeklySummary[[#This Row],[Hasta]])</f>
        <v>0</v>
      </c>
      <c r="F495" s="12">
        <f ca="1">SUMIFS(TableDailySummary[Órdenes totales],TableDailySummary[Fecha],"&gt;="&amp;TableWeeklySummary[[#This Row],[Desde]],TableDailySummary[Fecha],"&lt;="&amp;TableWeeklySummary[[#This Row],[Hasta]])</f>
        <v>0</v>
      </c>
      <c r="G495" s="12">
        <f ca="1">IFERROR(TableWeeklySummary[[#This Row],[Ventas netas totales]]/TableWeeklySummary[[#This Row],[Órdenes totales]],0)</f>
        <v>0</v>
      </c>
      <c r="H49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95" s="12">
        <f ca="1">TableWeeklySummary[[#This Row],[Órden promedio totales]]*TableWeeklySummary[[#This Row],[CR totales]]</f>
        <v>0</v>
      </c>
      <c r="J495" s="12">
        <f ca="1">SUMIFS(TableDailySummary[Ventas primer cliente],TableDailySummary[Fecha],"&gt;="&amp;TableWeeklySummary[[#This Row],[Desde]],TableDailySummary[Fecha],"&lt;="&amp;TableWeeklySummary[[#This Row],[Hasta]])</f>
        <v>0</v>
      </c>
      <c r="K495" s="12">
        <f ca="1">SUMIFS(TableDailySummary[Órdenes primer cliente],TableDailySummary[Fecha],"&gt;="&amp;TableWeeklySummary[[#This Row],[Desde]],TableDailySummary[Fecha],"&lt;="&amp;TableWeeklySummary[[#This Row],[Hasta]])</f>
        <v>0</v>
      </c>
      <c r="L495" s="12">
        <f ca="1">SUMIFS(TableDailySummary[Online Store_net_sales],TableDailySummary[Fecha],"&gt;="&amp;TableWeeklySummary[[#This Row],[Desde]],TableDailySummary[Fecha],"&lt;="&amp;TableWeeklySummary[[#This Row],[Hasta]])</f>
        <v>0</v>
      </c>
      <c r="M495" s="12">
        <f ca="1">SUMIFS(TableDailySummary[Online Store_orders],TableDailySummary[Fecha],"&gt;="&amp;TableWeeklySummary[[#This Row],[Desde]],TableDailySummary[Fecha],"&lt;="&amp;TableWeeklySummary[[#This Row],[Hasta]])</f>
        <v>0</v>
      </c>
      <c r="N495" s="12">
        <f ca="1">SUMIFS(TableDailySummary[Tienda 81_net_sales],TableDailySummary[Fecha],"&gt;="&amp;TableWeeklySummary[[#This Row],[Desde]],TableDailySummary[Fecha],"&lt;="&amp;TableWeeklySummary[[#This Row],[Hasta]])</f>
        <v>0</v>
      </c>
      <c r="O495" s="12">
        <f ca="1">SUMIFS(TableDailySummary[Tienda 81_orders],TableDailySummary[Fecha],"&gt;="&amp;TableWeeklySummary[[#This Row],[Desde]],TableDailySummary[Fecha],"&lt;="&amp;TableWeeklySummary[[#This Row],[Hasta]])</f>
        <v>0</v>
      </c>
      <c r="P495" s="12">
        <f ca="1">SUMIFS(TableDailySummary[Rappi_net_sales],TableDailySummary[Fecha],"&gt;="&amp;TableWeeklySummary[[#This Row],[Desde]],TableDailySummary[Fecha],"&lt;="&amp;TableWeeklySummary[[#This Row],[Hasta]])</f>
        <v>0</v>
      </c>
      <c r="Q495" s="12">
        <f ca="1">SUMIFS(TableDailySummary[Rappi_orders],TableDailySummary[Fecha],"&gt;="&amp;TableWeeklySummary[[#This Row],[Desde]],TableDailySummary[Fecha],"&lt;="&amp;TableWeeklySummary[[#This Row],[Hasta]])</f>
        <v>0</v>
      </c>
      <c r="R49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9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95" s="12">
        <f ca="1">SUMIFS(TableDailySummary[Inversión google ads],TableDailySummary[Fecha],"&gt;="&amp;TableWeeklySummary[[#This Row],[Desde]],TableDailySummary[Fecha],"&lt;="&amp;TableWeeklySummary[[#This Row],[Hasta]])</f>
        <v>0</v>
      </c>
      <c r="U495" s="12">
        <f ca="1">SUMIFS(TableDailySummary[Ventas google ads],TableDailySummary[Fecha],"&gt;="&amp;TableWeeklySummary[[#This Row],[Desde]],TableDailySummary[Fecha],"&lt;="&amp;TableWeeklySummary[[#This Row],[Hasta]])</f>
        <v>0</v>
      </c>
      <c r="V495" s="12">
        <f ca="1">SUMIFS(TableDailySummary[Inversión meta ads],TableDailySummary[Fecha],"&gt;="&amp;TableWeeklySummary[[#This Row],[Desde]],TableDailySummary[Fecha],"&lt;="&amp;TableWeeklySummary[[#This Row],[Hasta]])</f>
        <v>0</v>
      </c>
      <c r="W495" s="12">
        <f ca="1">SUMIFS(TableDailySummary[Ventas meta ads],TableDailySummary[Fecha],"&gt;="&amp;TableWeeklySummary[[#This Row],[Desde]],TableDailySummary[Fecha],"&lt;="&amp;TableWeeklySummary[[#This Row],[Hasta]])</f>
        <v>0</v>
      </c>
      <c r="X495" s="12">
        <f ca="1">TableWeeklySummary[[#This Row],[Inversión google ads]]+TableWeeklySummary[[#This Row],[Inversión meta ads]]</f>
        <v>0</v>
      </c>
      <c r="Y495" s="12">
        <f ca="1">TableWeeklySummary[[#This Row],[Ventas google ads]]+TableWeeklySummary[[#This Row],[Ventas meta ads]]</f>
        <v>0</v>
      </c>
      <c r="Z495" s="14">
        <f ca="1">IFERROR(TableWeeklySummary[[#This Row],[Ventas publicidad]]/TableWeeklySummary[[#This Row],[Inversión publicidad]],0)</f>
        <v>0</v>
      </c>
      <c r="AA495" s="14">
        <f ca="1">IFERROR(TableWeeklySummary[[#This Row],[Ventas primer cliente]]/TableWeeklySummary[[#This Row],[Inversión publicidad]],0)</f>
        <v>0</v>
      </c>
      <c r="AB495" s="14"/>
      <c r="AC495" s="12"/>
      <c r="AI49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9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95" s="12">
        <f ca="1">SUMIFS(TableDailySummary[Utilidad bruta],TableDailySummary[Fecha],"&gt;="&amp;TableWeeklySummary[[#This Row],[Desde]],TableDailySummary[Fecha],"&lt;="&amp;TableWeeklySummary[[#This Row],[Hasta]])</f>
        <v>0</v>
      </c>
      <c r="AL495" s="18">
        <f ca="1">IFERROR(TableWeeklySummary[[#This Row],[Utilidad bruta]]/TableWeeklySummary[[#This Row],[Ventas netas con costo registrado]],0)</f>
        <v>0</v>
      </c>
    </row>
    <row r="496" spans="2:38" x14ac:dyDescent="0.2">
      <c r="B496" s="16">
        <f ca="1">_xlfn.ISOWEEKNUM(TableWeeklySummary[[#This Row],[Hasta]])</f>
        <v>12</v>
      </c>
      <c r="C496" s="6">
        <f t="shared" ca="1" si="9"/>
        <v>49384</v>
      </c>
      <c r="D496" s="6">
        <f ca="1">TableWeeklySummary[[#This Row],[Desde]]+7-1</f>
        <v>49390</v>
      </c>
      <c r="E496" s="12">
        <f ca="1">SUMIFS(TableDailySummary[Ventas netas totales],TableDailySummary[Fecha],"&gt;="&amp;TableWeeklySummary[[#This Row],[Desde]],TableDailySummary[Fecha],"&lt;="&amp;TableWeeklySummary[[#This Row],[Hasta]])</f>
        <v>0</v>
      </c>
      <c r="F496" s="12">
        <f ca="1">SUMIFS(TableDailySummary[Órdenes totales],TableDailySummary[Fecha],"&gt;="&amp;TableWeeklySummary[[#This Row],[Desde]],TableDailySummary[Fecha],"&lt;="&amp;TableWeeklySummary[[#This Row],[Hasta]])</f>
        <v>0</v>
      </c>
      <c r="G496" s="12">
        <f ca="1">IFERROR(TableWeeklySummary[[#This Row],[Ventas netas totales]]/TableWeeklySummary[[#This Row],[Órdenes totales]],0)</f>
        <v>0</v>
      </c>
      <c r="H496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96" s="12">
        <f ca="1">TableWeeklySummary[[#This Row],[Órden promedio totales]]*TableWeeklySummary[[#This Row],[CR totales]]</f>
        <v>0</v>
      </c>
      <c r="J496" s="12">
        <f ca="1">SUMIFS(TableDailySummary[Ventas primer cliente],TableDailySummary[Fecha],"&gt;="&amp;TableWeeklySummary[[#This Row],[Desde]],TableDailySummary[Fecha],"&lt;="&amp;TableWeeklySummary[[#This Row],[Hasta]])</f>
        <v>0</v>
      </c>
      <c r="K496" s="12">
        <f ca="1">SUMIFS(TableDailySummary[Órdenes primer cliente],TableDailySummary[Fecha],"&gt;="&amp;TableWeeklySummary[[#This Row],[Desde]],TableDailySummary[Fecha],"&lt;="&amp;TableWeeklySummary[[#This Row],[Hasta]])</f>
        <v>0</v>
      </c>
      <c r="L496" s="12">
        <f ca="1">SUMIFS(TableDailySummary[Online Store_net_sales],TableDailySummary[Fecha],"&gt;="&amp;TableWeeklySummary[[#This Row],[Desde]],TableDailySummary[Fecha],"&lt;="&amp;TableWeeklySummary[[#This Row],[Hasta]])</f>
        <v>0</v>
      </c>
      <c r="M496" s="12">
        <f ca="1">SUMIFS(TableDailySummary[Online Store_orders],TableDailySummary[Fecha],"&gt;="&amp;TableWeeklySummary[[#This Row],[Desde]],TableDailySummary[Fecha],"&lt;="&amp;TableWeeklySummary[[#This Row],[Hasta]])</f>
        <v>0</v>
      </c>
      <c r="N496" s="12">
        <f ca="1">SUMIFS(TableDailySummary[Tienda 81_net_sales],TableDailySummary[Fecha],"&gt;="&amp;TableWeeklySummary[[#This Row],[Desde]],TableDailySummary[Fecha],"&lt;="&amp;TableWeeklySummary[[#This Row],[Hasta]])</f>
        <v>0</v>
      </c>
      <c r="O496" s="12">
        <f ca="1">SUMIFS(TableDailySummary[Tienda 81_orders],TableDailySummary[Fecha],"&gt;="&amp;TableWeeklySummary[[#This Row],[Desde]],TableDailySummary[Fecha],"&lt;="&amp;TableWeeklySummary[[#This Row],[Hasta]])</f>
        <v>0</v>
      </c>
      <c r="P496" s="12">
        <f ca="1">SUMIFS(TableDailySummary[Rappi_net_sales],TableDailySummary[Fecha],"&gt;="&amp;TableWeeklySummary[[#This Row],[Desde]],TableDailySummary[Fecha],"&lt;="&amp;TableWeeklySummary[[#This Row],[Hasta]])</f>
        <v>0</v>
      </c>
      <c r="Q496" s="12">
        <f ca="1">SUMIFS(TableDailySummary[Rappi_orders],TableDailySummary[Fecha],"&gt;="&amp;TableWeeklySummary[[#This Row],[Desde]],TableDailySummary[Fecha],"&lt;="&amp;TableWeeklySummary[[#This Row],[Hasta]])</f>
        <v>0</v>
      </c>
      <c r="R496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96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96" s="12">
        <f ca="1">SUMIFS(TableDailySummary[Inversión google ads],TableDailySummary[Fecha],"&gt;="&amp;TableWeeklySummary[[#This Row],[Desde]],TableDailySummary[Fecha],"&lt;="&amp;TableWeeklySummary[[#This Row],[Hasta]])</f>
        <v>0</v>
      </c>
      <c r="U496" s="12">
        <f ca="1">SUMIFS(TableDailySummary[Ventas google ads],TableDailySummary[Fecha],"&gt;="&amp;TableWeeklySummary[[#This Row],[Desde]],TableDailySummary[Fecha],"&lt;="&amp;TableWeeklySummary[[#This Row],[Hasta]])</f>
        <v>0</v>
      </c>
      <c r="V496" s="12">
        <f ca="1">SUMIFS(TableDailySummary[Inversión meta ads],TableDailySummary[Fecha],"&gt;="&amp;TableWeeklySummary[[#This Row],[Desde]],TableDailySummary[Fecha],"&lt;="&amp;TableWeeklySummary[[#This Row],[Hasta]])</f>
        <v>0</v>
      </c>
      <c r="W496" s="12">
        <f ca="1">SUMIFS(TableDailySummary[Ventas meta ads],TableDailySummary[Fecha],"&gt;="&amp;TableWeeklySummary[[#This Row],[Desde]],TableDailySummary[Fecha],"&lt;="&amp;TableWeeklySummary[[#This Row],[Hasta]])</f>
        <v>0</v>
      </c>
      <c r="X496" s="12">
        <f ca="1">TableWeeklySummary[[#This Row],[Inversión google ads]]+TableWeeklySummary[[#This Row],[Inversión meta ads]]</f>
        <v>0</v>
      </c>
      <c r="Y496" s="12">
        <f ca="1">TableWeeklySummary[[#This Row],[Ventas google ads]]+TableWeeklySummary[[#This Row],[Ventas meta ads]]</f>
        <v>0</v>
      </c>
      <c r="Z496" s="14">
        <f ca="1">IFERROR(TableWeeklySummary[[#This Row],[Ventas publicidad]]/TableWeeklySummary[[#This Row],[Inversión publicidad]],0)</f>
        <v>0</v>
      </c>
      <c r="AA496" s="14">
        <f ca="1">IFERROR(TableWeeklySummary[[#This Row],[Ventas primer cliente]]/TableWeeklySummary[[#This Row],[Inversión publicidad]],0)</f>
        <v>0</v>
      </c>
      <c r="AB496" s="14"/>
      <c r="AC496" s="12"/>
      <c r="AI496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96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96" s="12">
        <f ca="1">SUMIFS(TableDailySummary[Utilidad bruta],TableDailySummary[Fecha],"&gt;="&amp;TableWeeklySummary[[#This Row],[Desde]],TableDailySummary[Fecha],"&lt;="&amp;TableWeeklySummary[[#This Row],[Hasta]])</f>
        <v>0</v>
      </c>
      <c r="AL496" s="18">
        <f ca="1">IFERROR(TableWeeklySummary[[#This Row],[Utilidad bruta]]/TableWeeklySummary[[#This Row],[Ventas netas con costo registrado]],0)</f>
        <v>0</v>
      </c>
    </row>
    <row r="497" spans="2:38" x14ac:dyDescent="0.2">
      <c r="B497" s="16">
        <f ca="1">_xlfn.ISOWEEKNUM(TableWeeklySummary[[#This Row],[Hasta]])</f>
        <v>13</v>
      </c>
      <c r="C497" s="6">
        <f t="shared" ca="1" si="9"/>
        <v>49391</v>
      </c>
      <c r="D497" s="6">
        <f ca="1">TableWeeklySummary[[#This Row],[Desde]]+7-1</f>
        <v>49397</v>
      </c>
      <c r="E497" s="12">
        <f ca="1">SUMIFS(TableDailySummary[Ventas netas totales],TableDailySummary[Fecha],"&gt;="&amp;TableWeeklySummary[[#This Row],[Desde]],TableDailySummary[Fecha],"&lt;="&amp;TableWeeklySummary[[#This Row],[Hasta]])</f>
        <v>0</v>
      </c>
      <c r="F497" s="12">
        <f ca="1">SUMIFS(TableDailySummary[Órdenes totales],TableDailySummary[Fecha],"&gt;="&amp;TableWeeklySummary[[#This Row],[Desde]],TableDailySummary[Fecha],"&lt;="&amp;TableWeeklySummary[[#This Row],[Hasta]])</f>
        <v>0</v>
      </c>
      <c r="G497" s="12">
        <f ca="1">IFERROR(TableWeeklySummary[[#This Row],[Ventas netas totales]]/TableWeeklySummary[[#This Row],[Órdenes totales]],0)</f>
        <v>0</v>
      </c>
      <c r="H497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97" s="12">
        <f ca="1">TableWeeklySummary[[#This Row],[Órden promedio totales]]*TableWeeklySummary[[#This Row],[CR totales]]</f>
        <v>0</v>
      </c>
      <c r="J497" s="12">
        <f ca="1">SUMIFS(TableDailySummary[Ventas primer cliente],TableDailySummary[Fecha],"&gt;="&amp;TableWeeklySummary[[#This Row],[Desde]],TableDailySummary[Fecha],"&lt;="&amp;TableWeeklySummary[[#This Row],[Hasta]])</f>
        <v>0</v>
      </c>
      <c r="K497" s="12">
        <f ca="1">SUMIFS(TableDailySummary[Órdenes primer cliente],TableDailySummary[Fecha],"&gt;="&amp;TableWeeklySummary[[#This Row],[Desde]],TableDailySummary[Fecha],"&lt;="&amp;TableWeeklySummary[[#This Row],[Hasta]])</f>
        <v>0</v>
      </c>
      <c r="L497" s="12">
        <f ca="1">SUMIFS(TableDailySummary[Online Store_net_sales],TableDailySummary[Fecha],"&gt;="&amp;TableWeeklySummary[[#This Row],[Desde]],TableDailySummary[Fecha],"&lt;="&amp;TableWeeklySummary[[#This Row],[Hasta]])</f>
        <v>0</v>
      </c>
      <c r="M497" s="12">
        <f ca="1">SUMIFS(TableDailySummary[Online Store_orders],TableDailySummary[Fecha],"&gt;="&amp;TableWeeklySummary[[#This Row],[Desde]],TableDailySummary[Fecha],"&lt;="&amp;TableWeeklySummary[[#This Row],[Hasta]])</f>
        <v>0</v>
      </c>
      <c r="N497" s="12">
        <f ca="1">SUMIFS(TableDailySummary[Tienda 81_net_sales],TableDailySummary[Fecha],"&gt;="&amp;TableWeeklySummary[[#This Row],[Desde]],TableDailySummary[Fecha],"&lt;="&amp;TableWeeklySummary[[#This Row],[Hasta]])</f>
        <v>0</v>
      </c>
      <c r="O497" s="12">
        <f ca="1">SUMIFS(TableDailySummary[Tienda 81_orders],TableDailySummary[Fecha],"&gt;="&amp;TableWeeklySummary[[#This Row],[Desde]],TableDailySummary[Fecha],"&lt;="&amp;TableWeeklySummary[[#This Row],[Hasta]])</f>
        <v>0</v>
      </c>
      <c r="P497" s="12">
        <f ca="1">SUMIFS(TableDailySummary[Rappi_net_sales],TableDailySummary[Fecha],"&gt;="&amp;TableWeeklySummary[[#This Row],[Desde]],TableDailySummary[Fecha],"&lt;="&amp;TableWeeklySummary[[#This Row],[Hasta]])</f>
        <v>0</v>
      </c>
      <c r="Q497" s="12">
        <f ca="1">SUMIFS(TableDailySummary[Rappi_orders],TableDailySummary[Fecha],"&gt;="&amp;TableWeeklySummary[[#This Row],[Desde]],TableDailySummary[Fecha],"&lt;="&amp;TableWeeklySummary[[#This Row],[Hasta]])</f>
        <v>0</v>
      </c>
      <c r="R497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97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97" s="12">
        <f ca="1">SUMIFS(TableDailySummary[Inversión google ads],TableDailySummary[Fecha],"&gt;="&amp;TableWeeklySummary[[#This Row],[Desde]],TableDailySummary[Fecha],"&lt;="&amp;TableWeeklySummary[[#This Row],[Hasta]])</f>
        <v>0</v>
      </c>
      <c r="U497" s="12">
        <f ca="1">SUMIFS(TableDailySummary[Ventas google ads],TableDailySummary[Fecha],"&gt;="&amp;TableWeeklySummary[[#This Row],[Desde]],TableDailySummary[Fecha],"&lt;="&amp;TableWeeklySummary[[#This Row],[Hasta]])</f>
        <v>0</v>
      </c>
      <c r="V497" s="12">
        <f ca="1">SUMIFS(TableDailySummary[Inversión meta ads],TableDailySummary[Fecha],"&gt;="&amp;TableWeeklySummary[[#This Row],[Desde]],TableDailySummary[Fecha],"&lt;="&amp;TableWeeklySummary[[#This Row],[Hasta]])</f>
        <v>0</v>
      </c>
      <c r="W497" s="12">
        <f ca="1">SUMIFS(TableDailySummary[Ventas meta ads],TableDailySummary[Fecha],"&gt;="&amp;TableWeeklySummary[[#This Row],[Desde]],TableDailySummary[Fecha],"&lt;="&amp;TableWeeklySummary[[#This Row],[Hasta]])</f>
        <v>0</v>
      </c>
      <c r="X497" s="12">
        <f ca="1">TableWeeklySummary[[#This Row],[Inversión google ads]]+TableWeeklySummary[[#This Row],[Inversión meta ads]]</f>
        <v>0</v>
      </c>
      <c r="Y497" s="12">
        <f ca="1">TableWeeklySummary[[#This Row],[Ventas google ads]]+TableWeeklySummary[[#This Row],[Ventas meta ads]]</f>
        <v>0</v>
      </c>
      <c r="Z497" s="14">
        <f ca="1">IFERROR(TableWeeklySummary[[#This Row],[Ventas publicidad]]/TableWeeklySummary[[#This Row],[Inversión publicidad]],0)</f>
        <v>0</v>
      </c>
      <c r="AA497" s="14">
        <f ca="1">IFERROR(TableWeeklySummary[[#This Row],[Ventas primer cliente]]/TableWeeklySummary[[#This Row],[Inversión publicidad]],0)</f>
        <v>0</v>
      </c>
      <c r="AB497" s="14"/>
      <c r="AC497" s="12"/>
      <c r="AI497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97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97" s="12">
        <f ca="1">SUMIFS(TableDailySummary[Utilidad bruta],TableDailySummary[Fecha],"&gt;="&amp;TableWeeklySummary[[#This Row],[Desde]],TableDailySummary[Fecha],"&lt;="&amp;TableWeeklySummary[[#This Row],[Hasta]])</f>
        <v>0</v>
      </c>
      <c r="AL497" s="18">
        <f ca="1">IFERROR(TableWeeklySummary[[#This Row],[Utilidad bruta]]/TableWeeklySummary[[#This Row],[Ventas netas con costo registrado]],0)</f>
        <v>0</v>
      </c>
    </row>
    <row r="498" spans="2:38" x14ac:dyDescent="0.2">
      <c r="B498" s="16">
        <f ca="1">_xlfn.ISOWEEKNUM(TableWeeklySummary[[#This Row],[Hasta]])</f>
        <v>14</v>
      </c>
      <c r="C498" s="6">
        <f t="shared" ca="1" si="9"/>
        <v>49398</v>
      </c>
      <c r="D498" s="6">
        <f ca="1">TableWeeklySummary[[#This Row],[Desde]]+7-1</f>
        <v>49404</v>
      </c>
      <c r="E498" s="12">
        <f ca="1">SUMIFS(TableDailySummary[Ventas netas totales],TableDailySummary[Fecha],"&gt;="&amp;TableWeeklySummary[[#This Row],[Desde]],TableDailySummary[Fecha],"&lt;="&amp;TableWeeklySummary[[#This Row],[Hasta]])</f>
        <v>0</v>
      </c>
      <c r="F498" s="12">
        <f ca="1">SUMIFS(TableDailySummary[Órdenes totales],TableDailySummary[Fecha],"&gt;="&amp;TableWeeklySummary[[#This Row],[Desde]],TableDailySummary[Fecha],"&lt;="&amp;TableWeeklySummary[[#This Row],[Hasta]])</f>
        <v>0</v>
      </c>
      <c r="G498" s="12">
        <f ca="1">IFERROR(TableWeeklySummary[[#This Row],[Ventas netas totales]]/TableWeeklySummary[[#This Row],[Órdenes totales]],0)</f>
        <v>0</v>
      </c>
      <c r="H498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98" s="12">
        <f ca="1">TableWeeklySummary[[#This Row],[Órden promedio totales]]*TableWeeklySummary[[#This Row],[CR totales]]</f>
        <v>0</v>
      </c>
      <c r="J498" s="12">
        <f ca="1">SUMIFS(TableDailySummary[Ventas primer cliente],TableDailySummary[Fecha],"&gt;="&amp;TableWeeklySummary[[#This Row],[Desde]],TableDailySummary[Fecha],"&lt;="&amp;TableWeeklySummary[[#This Row],[Hasta]])</f>
        <v>0</v>
      </c>
      <c r="K498" s="12">
        <f ca="1">SUMIFS(TableDailySummary[Órdenes primer cliente],TableDailySummary[Fecha],"&gt;="&amp;TableWeeklySummary[[#This Row],[Desde]],TableDailySummary[Fecha],"&lt;="&amp;TableWeeklySummary[[#This Row],[Hasta]])</f>
        <v>0</v>
      </c>
      <c r="L498" s="12">
        <f ca="1">SUMIFS(TableDailySummary[Online Store_net_sales],TableDailySummary[Fecha],"&gt;="&amp;TableWeeklySummary[[#This Row],[Desde]],TableDailySummary[Fecha],"&lt;="&amp;TableWeeklySummary[[#This Row],[Hasta]])</f>
        <v>0</v>
      </c>
      <c r="M498" s="12">
        <f ca="1">SUMIFS(TableDailySummary[Online Store_orders],TableDailySummary[Fecha],"&gt;="&amp;TableWeeklySummary[[#This Row],[Desde]],TableDailySummary[Fecha],"&lt;="&amp;TableWeeklySummary[[#This Row],[Hasta]])</f>
        <v>0</v>
      </c>
      <c r="N498" s="12">
        <f ca="1">SUMIFS(TableDailySummary[Tienda 81_net_sales],TableDailySummary[Fecha],"&gt;="&amp;TableWeeklySummary[[#This Row],[Desde]],TableDailySummary[Fecha],"&lt;="&amp;TableWeeklySummary[[#This Row],[Hasta]])</f>
        <v>0</v>
      </c>
      <c r="O498" s="12">
        <f ca="1">SUMIFS(TableDailySummary[Tienda 81_orders],TableDailySummary[Fecha],"&gt;="&amp;TableWeeklySummary[[#This Row],[Desde]],TableDailySummary[Fecha],"&lt;="&amp;TableWeeklySummary[[#This Row],[Hasta]])</f>
        <v>0</v>
      </c>
      <c r="P498" s="12">
        <f ca="1">SUMIFS(TableDailySummary[Rappi_net_sales],TableDailySummary[Fecha],"&gt;="&amp;TableWeeklySummary[[#This Row],[Desde]],TableDailySummary[Fecha],"&lt;="&amp;TableWeeklySummary[[#This Row],[Hasta]])</f>
        <v>0</v>
      </c>
      <c r="Q498" s="12">
        <f ca="1">SUMIFS(TableDailySummary[Rappi_orders],TableDailySummary[Fecha],"&gt;="&amp;TableWeeklySummary[[#This Row],[Desde]],TableDailySummary[Fecha],"&lt;="&amp;TableWeeklySummary[[#This Row],[Hasta]])</f>
        <v>0</v>
      </c>
      <c r="R498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98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98" s="12">
        <f ca="1">SUMIFS(TableDailySummary[Inversión google ads],TableDailySummary[Fecha],"&gt;="&amp;TableWeeklySummary[[#This Row],[Desde]],TableDailySummary[Fecha],"&lt;="&amp;TableWeeklySummary[[#This Row],[Hasta]])</f>
        <v>0</v>
      </c>
      <c r="U498" s="12">
        <f ca="1">SUMIFS(TableDailySummary[Ventas google ads],TableDailySummary[Fecha],"&gt;="&amp;TableWeeklySummary[[#This Row],[Desde]],TableDailySummary[Fecha],"&lt;="&amp;TableWeeklySummary[[#This Row],[Hasta]])</f>
        <v>0</v>
      </c>
      <c r="V498" s="12">
        <f ca="1">SUMIFS(TableDailySummary[Inversión meta ads],TableDailySummary[Fecha],"&gt;="&amp;TableWeeklySummary[[#This Row],[Desde]],TableDailySummary[Fecha],"&lt;="&amp;TableWeeklySummary[[#This Row],[Hasta]])</f>
        <v>0</v>
      </c>
      <c r="W498" s="12">
        <f ca="1">SUMIFS(TableDailySummary[Ventas meta ads],TableDailySummary[Fecha],"&gt;="&amp;TableWeeklySummary[[#This Row],[Desde]],TableDailySummary[Fecha],"&lt;="&amp;TableWeeklySummary[[#This Row],[Hasta]])</f>
        <v>0</v>
      </c>
      <c r="X498" s="12">
        <f ca="1">TableWeeklySummary[[#This Row],[Inversión google ads]]+TableWeeklySummary[[#This Row],[Inversión meta ads]]</f>
        <v>0</v>
      </c>
      <c r="Y498" s="12">
        <f ca="1">TableWeeklySummary[[#This Row],[Ventas google ads]]+TableWeeklySummary[[#This Row],[Ventas meta ads]]</f>
        <v>0</v>
      </c>
      <c r="Z498" s="14">
        <f ca="1">IFERROR(TableWeeklySummary[[#This Row],[Ventas publicidad]]/TableWeeklySummary[[#This Row],[Inversión publicidad]],0)</f>
        <v>0</v>
      </c>
      <c r="AA498" s="14">
        <f ca="1">IFERROR(TableWeeklySummary[[#This Row],[Ventas primer cliente]]/TableWeeklySummary[[#This Row],[Inversión publicidad]],0)</f>
        <v>0</v>
      </c>
      <c r="AB498" s="14"/>
      <c r="AC498" s="12"/>
      <c r="AI498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98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98" s="12">
        <f ca="1">SUMIFS(TableDailySummary[Utilidad bruta],TableDailySummary[Fecha],"&gt;="&amp;TableWeeklySummary[[#This Row],[Desde]],TableDailySummary[Fecha],"&lt;="&amp;TableWeeklySummary[[#This Row],[Hasta]])</f>
        <v>0</v>
      </c>
      <c r="AL498" s="18">
        <f ca="1">IFERROR(TableWeeklySummary[[#This Row],[Utilidad bruta]]/TableWeeklySummary[[#This Row],[Ventas netas con costo registrado]],0)</f>
        <v>0</v>
      </c>
    </row>
    <row r="499" spans="2:38" x14ac:dyDescent="0.2">
      <c r="B499" s="16">
        <f ca="1">_xlfn.ISOWEEKNUM(TableWeeklySummary[[#This Row],[Hasta]])</f>
        <v>15</v>
      </c>
      <c r="C499" s="6">
        <f t="shared" ca="1" si="9"/>
        <v>49405</v>
      </c>
      <c r="D499" s="6">
        <f ca="1">TableWeeklySummary[[#This Row],[Desde]]+7-1</f>
        <v>49411</v>
      </c>
      <c r="E499" s="12">
        <f ca="1">SUMIFS(TableDailySummary[Ventas netas totales],TableDailySummary[Fecha],"&gt;="&amp;TableWeeklySummary[[#This Row],[Desde]],TableDailySummary[Fecha],"&lt;="&amp;TableWeeklySummary[[#This Row],[Hasta]])</f>
        <v>0</v>
      </c>
      <c r="F499" s="12">
        <f ca="1">SUMIFS(TableDailySummary[Órdenes totales],TableDailySummary[Fecha],"&gt;="&amp;TableWeeklySummary[[#This Row],[Desde]],TableDailySummary[Fecha],"&lt;="&amp;TableWeeklySummary[[#This Row],[Hasta]])</f>
        <v>0</v>
      </c>
      <c r="G499" s="12">
        <f ca="1">IFERROR(TableWeeklySummary[[#This Row],[Ventas netas totales]]/TableWeeklySummary[[#This Row],[Órdenes totales]],0)</f>
        <v>0</v>
      </c>
      <c r="H499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499" s="12">
        <f ca="1">TableWeeklySummary[[#This Row],[Órden promedio totales]]*TableWeeklySummary[[#This Row],[CR totales]]</f>
        <v>0</v>
      </c>
      <c r="J499" s="12">
        <f ca="1">SUMIFS(TableDailySummary[Ventas primer cliente],TableDailySummary[Fecha],"&gt;="&amp;TableWeeklySummary[[#This Row],[Desde]],TableDailySummary[Fecha],"&lt;="&amp;TableWeeklySummary[[#This Row],[Hasta]])</f>
        <v>0</v>
      </c>
      <c r="K499" s="12">
        <f ca="1">SUMIFS(TableDailySummary[Órdenes primer cliente],TableDailySummary[Fecha],"&gt;="&amp;TableWeeklySummary[[#This Row],[Desde]],TableDailySummary[Fecha],"&lt;="&amp;TableWeeklySummary[[#This Row],[Hasta]])</f>
        <v>0</v>
      </c>
      <c r="L499" s="12">
        <f ca="1">SUMIFS(TableDailySummary[Online Store_net_sales],TableDailySummary[Fecha],"&gt;="&amp;TableWeeklySummary[[#This Row],[Desde]],TableDailySummary[Fecha],"&lt;="&amp;TableWeeklySummary[[#This Row],[Hasta]])</f>
        <v>0</v>
      </c>
      <c r="M499" s="12">
        <f ca="1">SUMIFS(TableDailySummary[Online Store_orders],TableDailySummary[Fecha],"&gt;="&amp;TableWeeklySummary[[#This Row],[Desde]],TableDailySummary[Fecha],"&lt;="&amp;TableWeeklySummary[[#This Row],[Hasta]])</f>
        <v>0</v>
      </c>
      <c r="N499" s="12">
        <f ca="1">SUMIFS(TableDailySummary[Tienda 81_net_sales],TableDailySummary[Fecha],"&gt;="&amp;TableWeeklySummary[[#This Row],[Desde]],TableDailySummary[Fecha],"&lt;="&amp;TableWeeklySummary[[#This Row],[Hasta]])</f>
        <v>0</v>
      </c>
      <c r="O499" s="12">
        <f ca="1">SUMIFS(TableDailySummary[Tienda 81_orders],TableDailySummary[Fecha],"&gt;="&amp;TableWeeklySummary[[#This Row],[Desde]],TableDailySummary[Fecha],"&lt;="&amp;TableWeeklySummary[[#This Row],[Hasta]])</f>
        <v>0</v>
      </c>
      <c r="P499" s="12">
        <f ca="1">SUMIFS(TableDailySummary[Rappi_net_sales],TableDailySummary[Fecha],"&gt;="&amp;TableWeeklySummary[[#This Row],[Desde]],TableDailySummary[Fecha],"&lt;="&amp;TableWeeklySummary[[#This Row],[Hasta]])</f>
        <v>0</v>
      </c>
      <c r="Q499" s="12">
        <f ca="1">SUMIFS(TableDailySummary[Rappi_orders],TableDailySummary[Fecha],"&gt;="&amp;TableWeeklySummary[[#This Row],[Desde]],TableDailySummary[Fecha],"&lt;="&amp;TableWeeklySummary[[#This Row],[Hasta]])</f>
        <v>0</v>
      </c>
      <c r="R499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499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499" s="12">
        <f ca="1">SUMIFS(TableDailySummary[Inversión google ads],TableDailySummary[Fecha],"&gt;="&amp;TableWeeklySummary[[#This Row],[Desde]],TableDailySummary[Fecha],"&lt;="&amp;TableWeeklySummary[[#This Row],[Hasta]])</f>
        <v>0</v>
      </c>
      <c r="U499" s="12">
        <f ca="1">SUMIFS(TableDailySummary[Ventas google ads],TableDailySummary[Fecha],"&gt;="&amp;TableWeeklySummary[[#This Row],[Desde]],TableDailySummary[Fecha],"&lt;="&amp;TableWeeklySummary[[#This Row],[Hasta]])</f>
        <v>0</v>
      </c>
      <c r="V499" s="12">
        <f ca="1">SUMIFS(TableDailySummary[Inversión meta ads],TableDailySummary[Fecha],"&gt;="&amp;TableWeeklySummary[[#This Row],[Desde]],TableDailySummary[Fecha],"&lt;="&amp;TableWeeklySummary[[#This Row],[Hasta]])</f>
        <v>0</v>
      </c>
      <c r="W499" s="12">
        <f ca="1">SUMIFS(TableDailySummary[Ventas meta ads],TableDailySummary[Fecha],"&gt;="&amp;TableWeeklySummary[[#This Row],[Desde]],TableDailySummary[Fecha],"&lt;="&amp;TableWeeklySummary[[#This Row],[Hasta]])</f>
        <v>0</v>
      </c>
      <c r="X499" s="12">
        <f ca="1">TableWeeklySummary[[#This Row],[Inversión google ads]]+TableWeeklySummary[[#This Row],[Inversión meta ads]]</f>
        <v>0</v>
      </c>
      <c r="Y499" s="12">
        <f ca="1">TableWeeklySummary[[#This Row],[Ventas google ads]]+TableWeeklySummary[[#This Row],[Ventas meta ads]]</f>
        <v>0</v>
      </c>
      <c r="Z499" s="14">
        <f ca="1">IFERROR(TableWeeklySummary[[#This Row],[Ventas publicidad]]/TableWeeklySummary[[#This Row],[Inversión publicidad]],0)</f>
        <v>0</v>
      </c>
      <c r="AA499" s="14">
        <f ca="1">IFERROR(TableWeeklySummary[[#This Row],[Ventas primer cliente]]/TableWeeklySummary[[#This Row],[Inversión publicidad]],0)</f>
        <v>0</v>
      </c>
      <c r="AB499" s="14"/>
      <c r="AC499" s="12"/>
      <c r="AI499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499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499" s="12">
        <f ca="1">SUMIFS(TableDailySummary[Utilidad bruta],TableDailySummary[Fecha],"&gt;="&amp;TableWeeklySummary[[#This Row],[Desde]],TableDailySummary[Fecha],"&lt;="&amp;TableWeeklySummary[[#This Row],[Hasta]])</f>
        <v>0</v>
      </c>
      <c r="AL499" s="18">
        <f ca="1">IFERROR(TableWeeklySummary[[#This Row],[Utilidad bruta]]/TableWeeklySummary[[#This Row],[Ventas netas con costo registrado]],0)</f>
        <v>0</v>
      </c>
    </row>
    <row r="500" spans="2:38" x14ac:dyDescent="0.2">
      <c r="B500" s="16">
        <f ca="1">_xlfn.ISOWEEKNUM(TableWeeklySummary[[#This Row],[Hasta]])</f>
        <v>16</v>
      </c>
      <c r="C500" s="6">
        <f t="shared" ca="1" si="9"/>
        <v>49412</v>
      </c>
      <c r="D500" s="6">
        <f ca="1">TableWeeklySummary[[#This Row],[Desde]]+7-1</f>
        <v>49418</v>
      </c>
      <c r="E500" s="12">
        <f ca="1">SUMIFS(TableDailySummary[Ventas netas totales],TableDailySummary[Fecha],"&gt;="&amp;TableWeeklySummary[[#This Row],[Desde]],TableDailySummary[Fecha],"&lt;="&amp;TableWeeklySummary[[#This Row],[Hasta]])</f>
        <v>0</v>
      </c>
      <c r="F500" s="12">
        <f ca="1">SUMIFS(TableDailySummary[Órdenes totales],TableDailySummary[Fecha],"&gt;="&amp;TableWeeklySummary[[#This Row],[Desde]],TableDailySummary[Fecha],"&lt;="&amp;TableWeeklySummary[[#This Row],[Hasta]])</f>
        <v>0</v>
      </c>
      <c r="G500" s="12">
        <f ca="1">IFERROR(TableWeeklySummary[[#This Row],[Ventas netas totales]]/TableWeeklySummary[[#This Row],[Órdenes totales]],0)</f>
        <v>0</v>
      </c>
      <c r="H500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00" s="12">
        <f ca="1">TableWeeklySummary[[#This Row],[Órden promedio totales]]*TableWeeklySummary[[#This Row],[CR totales]]</f>
        <v>0</v>
      </c>
      <c r="J500" s="12">
        <f ca="1">SUMIFS(TableDailySummary[Ventas primer cliente],TableDailySummary[Fecha],"&gt;="&amp;TableWeeklySummary[[#This Row],[Desde]],TableDailySummary[Fecha],"&lt;="&amp;TableWeeklySummary[[#This Row],[Hasta]])</f>
        <v>0</v>
      </c>
      <c r="K500" s="12">
        <f ca="1">SUMIFS(TableDailySummary[Órdenes primer cliente],TableDailySummary[Fecha],"&gt;="&amp;TableWeeklySummary[[#This Row],[Desde]],TableDailySummary[Fecha],"&lt;="&amp;TableWeeklySummary[[#This Row],[Hasta]])</f>
        <v>0</v>
      </c>
      <c r="L500" s="12">
        <f ca="1">SUMIFS(TableDailySummary[Online Store_net_sales],TableDailySummary[Fecha],"&gt;="&amp;TableWeeklySummary[[#This Row],[Desde]],TableDailySummary[Fecha],"&lt;="&amp;TableWeeklySummary[[#This Row],[Hasta]])</f>
        <v>0</v>
      </c>
      <c r="M500" s="12">
        <f ca="1">SUMIFS(TableDailySummary[Online Store_orders],TableDailySummary[Fecha],"&gt;="&amp;TableWeeklySummary[[#This Row],[Desde]],TableDailySummary[Fecha],"&lt;="&amp;TableWeeklySummary[[#This Row],[Hasta]])</f>
        <v>0</v>
      </c>
      <c r="N500" s="12">
        <f ca="1">SUMIFS(TableDailySummary[Tienda 81_net_sales],TableDailySummary[Fecha],"&gt;="&amp;TableWeeklySummary[[#This Row],[Desde]],TableDailySummary[Fecha],"&lt;="&amp;TableWeeklySummary[[#This Row],[Hasta]])</f>
        <v>0</v>
      </c>
      <c r="O500" s="12">
        <f ca="1">SUMIFS(TableDailySummary[Tienda 81_orders],TableDailySummary[Fecha],"&gt;="&amp;TableWeeklySummary[[#This Row],[Desde]],TableDailySummary[Fecha],"&lt;="&amp;TableWeeklySummary[[#This Row],[Hasta]])</f>
        <v>0</v>
      </c>
      <c r="P500" s="12">
        <f ca="1">SUMIFS(TableDailySummary[Rappi_net_sales],TableDailySummary[Fecha],"&gt;="&amp;TableWeeklySummary[[#This Row],[Desde]],TableDailySummary[Fecha],"&lt;="&amp;TableWeeklySummary[[#This Row],[Hasta]])</f>
        <v>0</v>
      </c>
      <c r="Q500" s="12">
        <f ca="1">SUMIFS(TableDailySummary[Rappi_orders],TableDailySummary[Fecha],"&gt;="&amp;TableWeeklySummary[[#This Row],[Desde]],TableDailySummary[Fecha],"&lt;="&amp;TableWeeklySummary[[#This Row],[Hasta]])</f>
        <v>0</v>
      </c>
      <c r="R500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00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00" s="12">
        <f ca="1">SUMIFS(TableDailySummary[Inversión google ads],TableDailySummary[Fecha],"&gt;="&amp;TableWeeklySummary[[#This Row],[Desde]],TableDailySummary[Fecha],"&lt;="&amp;TableWeeklySummary[[#This Row],[Hasta]])</f>
        <v>0</v>
      </c>
      <c r="U500" s="12">
        <f ca="1">SUMIFS(TableDailySummary[Ventas google ads],TableDailySummary[Fecha],"&gt;="&amp;TableWeeklySummary[[#This Row],[Desde]],TableDailySummary[Fecha],"&lt;="&amp;TableWeeklySummary[[#This Row],[Hasta]])</f>
        <v>0</v>
      </c>
      <c r="V500" s="12">
        <f ca="1">SUMIFS(TableDailySummary[Inversión meta ads],TableDailySummary[Fecha],"&gt;="&amp;TableWeeklySummary[[#This Row],[Desde]],TableDailySummary[Fecha],"&lt;="&amp;TableWeeklySummary[[#This Row],[Hasta]])</f>
        <v>0</v>
      </c>
      <c r="W500" s="12">
        <f ca="1">SUMIFS(TableDailySummary[Ventas meta ads],TableDailySummary[Fecha],"&gt;="&amp;TableWeeklySummary[[#This Row],[Desde]],TableDailySummary[Fecha],"&lt;="&amp;TableWeeklySummary[[#This Row],[Hasta]])</f>
        <v>0</v>
      </c>
      <c r="X500" s="12">
        <f ca="1">TableWeeklySummary[[#This Row],[Inversión google ads]]+TableWeeklySummary[[#This Row],[Inversión meta ads]]</f>
        <v>0</v>
      </c>
      <c r="Y500" s="12">
        <f ca="1">TableWeeklySummary[[#This Row],[Ventas google ads]]+TableWeeklySummary[[#This Row],[Ventas meta ads]]</f>
        <v>0</v>
      </c>
      <c r="Z500" s="14">
        <f ca="1">IFERROR(TableWeeklySummary[[#This Row],[Ventas publicidad]]/TableWeeklySummary[[#This Row],[Inversión publicidad]],0)</f>
        <v>0</v>
      </c>
      <c r="AA500" s="14">
        <f ca="1">IFERROR(TableWeeklySummary[[#This Row],[Ventas primer cliente]]/TableWeeklySummary[[#This Row],[Inversión publicidad]],0)</f>
        <v>0</v>
      </c>
      <c r="AB500" s="14"/>
      <c r="AC500" s="12"/>
      <c r="AI500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00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00" s="12">
        <f ca="1">SUMIFS(TableDailySummary[Utilidad bruta],TableDailySummary[Fecha],"&gt;="&amp;TableWeeklySummary[[#This Row],[Desde]],TableDailySummary[Fecha],"&lt;="&amp;TableWeeklySummary[[#This Row],[Hasta]])</f>
        <v>0</v>
      </c>
      <c r="AL500" s="18">
        <f ca="1">IFERROR(TableWeeklySummary[[#This Row],[Utilidad bruta]]/TableWeeklySummary[[#This Row],[Ventas netas con costo registrado]],0)</f>
        <v>0</v>
      </c>
    </row>
    <row r="501" spans="2:38" x14ac:dyDescent="0.2">
      <c r="B501" s="16">
        <f ca="1">_xlfn.ISOWEEKNUM(TableWeeklySummary[[#This Row],[Hasta]])</f>
        <v>17</v>
      </c>
      <c r="C501" s="6">
        <f t="shared" ca="1" si="9"/>
        <v>49419</v>
      </c>
      <c r="D501" s="6">
        <f ca="1">TableWeeklySummary[[#This Row],[Desde]]+7-1</f>
        <v>49425</v>
      </c>
      <c r="E501" s="12">
        <f ca="1">SUMIFS(TableDailySummary[Ventas netas totales],TableDailySummary[Fecha],"&gt;="&amp;TableWeeklySummary[[#This Row],[Desde]],TableDailySummary[Fecha],"&lt;="&amp;TableWeeklySummary[[#This Row],[Hasta]])</f>
        <v>0</v>
      </c>
      <c r="F501" s="12">
        <f ca="1">SUMIFS(TableDailySummary[Órdenes totales],TableDailySummary[Fecha],"&gt;="&amp;TableWeeklySummary[[#This Row],[Desde]],TableDailySummary[Fecha],"&lt;="&amp;TableWeeklySummary[[#This Row],[Hasta]])</f>
        <v>0</v>
      </c>
      <c r="G501" s="12">
        <f ca="1">IFERROR(TableWeeklySummary[[#This Row],[Ventas netas totales]]/TableWeeklySummary[[#This Row],[Órdenes totales]],0)</f>
        <v>0</v>
      </c>
      <c r="H501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01" s="12">
        <f ca="1">TableWeeklySummary[[#This Row],[Órden promedio totales]]*TableWeeklySummary[[#This Row],[CR totales]]</f>
        <v>0</v>
      </c>
      <c r="J501" s="12">
        <f ca="1">SUMIFS(TableDailySummary[Ventas primer cliente],TableDailySummary[Fecha],"&gt;="&amp;TableWeeklySummary[[#This Row],[Desde]],TableDailySummary[Fecha],"&lt;="&amp;TableWeeklySummary[[#This Row],[Hasta]])</f>
        <v>0</v>
      </c>
      <c r="K501" s="12">
        <f ca="1">SUMIFS(TableDailySummary[Órdenes primer cliente],TableDailySummary[Fecha],"&gt;="&amp;TableWeeklySummary[[#This Row],[Desde]],TableDailySummary[Fecha],"&lt;="&amp;TableWeeklySummary[[#This Row],[Hasta]])</f>
        <v>0</v>
      </c>
      <c r="L501" s="12">
        <f ca="1">SUMIFS(TableDailySummary[Online Store_net_sales],TableDailySummary[Fecha],"&gt;="&amp;TableWeeklySummary[[#This Row],[Desde]],TableDailySummary[Fecha],"&lt;="&amp;TableWeeklySummary[[#This Row],[Hasta]])</f>
        <v>0</v>
      </c>
      <c r="M501" s="12">
        <f ca="1">SUMIFS(TableDailySummary[Online Store_orders],TableDailySummary[Fecha],"&gt;="&amp;TableWeeklySummary[[#This Row],[Desde]],TableDailySummary[Fecha],"&lt;="&amp;TableWeeklySummary[[#This Row],[Hasta]])</f>
        <v>0</v>
      </c>
      <c r="N501" s="12">
        <f ca="1">SUMIFS(TableDailySummary[Tienda 81_net_sales],TableDailySummary[Fecha],"&gt;="&amp;TableWeeklySummary[[#This Row],[Desde]],TableDailySummary[Fecha],"&lt;="&amp;TableWeeklySummary[[#This Row],[Hasta]])</f>
        <v>0</v>
      </c>
      <c r="O501" s="12">
        <f ca="1">SUMIFS(TableDailySummary[Tienda 81_orders],TableDailySummary[Fecha],"&gt;="&amp;TableWeeklySummary[[#This Row],[Desde]],TableDailySummary[Fecha],"&lt;="&amp;TableWeeklySummary[[#This Row],[Hasta]])</f>
        <v>0</v>
      </c>
      <c r="P501" s="12">
        <f ca="1">SUMIFS(TableDailySummary[Rappi_net_sales],TableDailySummary[Fecha],"&gt;="&amp;TableWeeklySummary[[#This Row],[Desde]],TableDailySummary[Fecha],"&lt;="&amp;TableWeeklySummary[[#This Row],[Hasta]])</f>
        <v>0</v>
      </c>
      <c r="Q501" s="12">
        <f ca="1">SUMIFS(TableDailySummary[Rappi_orders],TableDailySummary[Fecha],"&gt;="&amp;TableWeeklySummary[[#This Row],[Desde]],TableDailySummary[Fecha],"&lt;="&amp;TableWeeklySummary[[#This Row],[Hasta]])</f>
        <v>0</v>
      </c>
      <c r="R501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01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01" s="12">
        <f ca="1">SUMIFS(TableDailySummary[Inversión google ads],TableDailySummary[Fecha],"&gt;="&amp;TableWeeklySummary[[#This Row],[Desde]],TableDailySummary[Fecha],"&lt;="&amp;TableWeeklySummary[[#This Row],[Hasta]])</f>
        <v>0</v>
      </c>
      <c r="U501" s="12">
        <f ca="1">SUMIFS(TableDailySummary[Ventas google ads],TableDailySummary[Fecha],"&gt;="&amp;TableWeeklySummary[[#This Row],[Desde]],TableDailySummary[Fecha],"&lt;="&amp;TableWeeklySummary[[#This Row],[Hasta]])</f>
        <v>0</v>
      </c>
      <c r="V501" s="12">
        <f ca="1">SUMIFS(TableDailySummary[Inversión meta ads],TableDailySummary[Fecha],"&gt;="&amp;TableWeeklySummary[[#This Row],[Desde]],TableDailySummary[Fecha],"&lt;="&amp;TableWeeklySummary[[#This Row],[Hasta]])</f>
        <v>0</v>
      </c>
      <c r="W501" s="12">
        <f ca="1">SUMIFS(TableDailySummary[Ventas meta ads],TableDailySummary[Fecha],"&gt;="&amp;TableWeeklySummary[[#This Row],[Desde]],TableDailySummary[Fecha],"&lt;="&amp;TableWeeklySummary[[#This Row],[Hasta]])</f>
        <v>0</v>
      </c>
      <c r="X501" s="12">
        <f ca="1">TableWeeklySummary[[#This Row],[Inversión google ads]]+TableWeeklySummary[[#This Row],[Inversión meta ads]]</f>
        <v>0</v>
      </c>
      <c r="Y501" s="12">
        <f ca="1">TableWeeklySummary[[#This Row],[Ventas google ads]]+TableWeeklySummary[[#This Row],[Ventas meta ads]]</f>
        <v>0</v>
      </c>
      <c r="Z501" s="14">
        <f ca="1">IFERROR(TableWeeklySummary[[#This Row],[Ventas publicidad]]/TableWeeklySummary[[#This Row],[Inversión publicidad]],0)</f>
        <v>0</v>
      </c>
      <c r="AA501" s="14">
        <f ca="1">IFERROR(TableWeeklySummary[[#This Row],[Ventas primer cliente]]/TableWeeklySummary[[#This Row],[Inversión publicidad]],0)</f>
        <v>0</v>
      </c>
      <c r="AB501" s="14"/>
      <c r="AC501" s="12"/>
      <c r="AI501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01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01" s="12">
        <f ca="1">SUMIFS(TableDailySummary[Utilidad bruta],TableDailySummary[Fecha],"&gt;="&amp;TableWeeklySummary[[#This Row],[Desde]],TableDailySummary[Fecha],"&lt;="&amp;TableWeeklySummary[[#This Row],[Hasta]])</f>
        <v>0</v>
      </c>
      <c r="AL501" s="18">
        <f ca="1">IFERROR(TableWeeklySummary[[#This Row],[Utilidad bruta]]/TableWeeklySummary[[#This Row],[Ventas netas con costo registrado]],0)</f>
        <v>0</v>
      </c>
    </row>
    <row r="502" spans="2:38" x14ac:dyDescent="0.2">
      <c r="B502" s="16">
        <f ca="1">_xlfn.ISOWEEKNUM(TableWeeklySummary[[#This Row],[Hasta]])</f>
        <v>18</v>
      </c>
      <c r="C502" s="6">
        <f t="shared" ca="1" si="9"/>
        <v>49426</v>
      </c>
      <c r="D502" s="6">
        <f ca="1">TableWeeklySummary[[#This Row],[Desde]]+7-1</f>
        <v>49432</v>
      </c>
      <c r="E502" s="12">
        <f ca="1">SUMIFS(TableDailySummary[Ventas netas totales],TableDailySummary[Fecha],"&gt;="&amp;TableWeeklySummary[[#This Row],[Desde]],TableDailySummary[Fecha],"&lt;="&amp;TableWeeklySummary[[#This Row],[Hasta]])</f>
        <v>0</v>
      </c>
      <c r="F502" s="12">
        <f ca="1">SUMIFS(TableDailySummary[Órdenes totales],TableDailySummary[Fecha],"&gt;="&amp;TableWeeklySummary[[#This Row],[Desde]],TableDailySummary[Fecha],"&lt;="&amp;TableWeeklySummary[[#This Row],[Hasta]])</f>
        <v>0</v>
      </c>
      <c r="G502" s="12">
        <f ca="1">IFERROR(TableWeeklySummary[[#This Row],[Ventas netas totales]]/TableWeeklySummary[[#This Row],[Órdenes totales]],0)</f>
        <v>0</v>
      </c>
      <c r="H502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02" s="12">
        <f ca="1">TableWeeklySummary[[#This Row],[Órden promedio totales]]*TableWeeklySummary[[#This Row],[CR totales]]</f>
        <v>0</v>
      </c>
      <c r="J502" s="12">
        <f ca="1">SUMIFS(TableDailySummary[Ventas primer cliente],TableDailySummary[Fecha],"&gt;="&amp;TableWeeklySummary[[#This Row],[Desde]],TableDailySummary[Fecha],"&lt;="&amp;TableWeeklySummary[[#This Row],[Hasta]])</f>
        <v>0</v>
      </c>
      <c r="K502" s="12">
        <f ca="1">SUMIFS(TableDailySummary[Órdenes primer cliente],TableDailySummary[Fecha],"&gt;="&amp;TableWeeklySummary[[#This Row],[Desde]],TableDailySummary[Fecha],"&lt;="&amp;TableWeeklySummary[[#This Row],[Hasta]])</f>
        <v>0</v>
      </c>
      <c r="L502" s="12">
        <f ca="1">SUMIFS(TableDailySummary[Online Store_net_sales],TableDailySummary[Fecha],"&gt;="&amp;TableWeeklySummary[[#This Row],[Desde]],TableDailySummary[Fecha],"&lt;="&amp;TableWeeklySummary[[#This Row],[Hasta]])</f>
        <v>0</v>
      </c>
      <c r="M502" s="12">
        <f ca="1">SUMIFS(TableDailySummary[Online Store_orders],TableDailySummary[Fecha],"&gt;="&amp;TableWeeklySummary[[#This Row],[Desde]],TableDailySummary[Fecha],"&lt;="&amp;TableWeeklySummary[[#This Row],[Hasta]])</f>
        <v>0</v>
      </c>
      <c r="N502" s="12">
        <f ca="1">SUMIFS(TableDailySummary[Tienda 81_net_sales],TableDailySummary[Fecha],"&gt;="&amp;TableWeeklySummary[[#This Row],[Desde]],TableDailySummary[Fecha],"&lt;="&amp;TableWeeklySummary[[#This Row],[Hasta]])</f>
        <v>0</v>
      </c>
      <c r="O502" s="12">
        <f ca="1">SUMIFS(TableDailySummary[Tienda 81_orders],TableDailySummary[Fecha],"&gt;="&amp;TableWeeklySummary[[#This Row],[Desde]],TableDailySummary[Fecha],"&lt;="&amp;TableWeeklySummary[[#This Row],[Hasta]])</f>
        <v>0</v>
      </c>
      <c r="P502" s="12">
        <f ca="1">SUMIFS(TableDailySummary[Rappi_net_sales],TableDailySummary[Fecha],"&gt;="&amp;TableWeeklySummary[[#This Row],[Desde]],TableDailySummary[Fecha],"&lt;="&amp;TableWeeklySummary[[#This Row],[Hasta]])</f>
        <v>0</v>
      </c>
      <c r="Q502" s="12">
        <f ca="1">SUMIFS(TableDailySummary[Rappi_orders],TableDailySummary[Fecha],"&gt;="&amp;TableWeeklySummary[[#This Row],[Desde]],TableDailySummary[Fecha],"&lt;="&amp;TableWeeklySummary[[#This Row],[Hasta]])</f>
        <v>0</v>
      </c>
      <c r="R502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02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02" s="12">
        <f ca="1">SUMIFS(TableDailySummary[Inversión google ads],TableDailySummary[Fecha],"&gt;="&amp;TableWeeklySummary[[#This Row],[Desde]],TableDailySummary[Fecha],"&lt;="&amp;TableWeeklySummary[[#This Row],[Hasta]])</f>
        <v>0</v>
      </c>
      <c r="U502" s="12">
        <f ca="1">SUMIFS(TableDailySummary[Ventas google ads],TableDailySummary[Fecha],"&gt;="&amp;TableWeeklySummary[[#This Row],[Desde]],TableDailySummary[Fecha],"&lt;="&amp;TableWeeklySummary[[#This Row],[Hasta]])</f>
        <v>0</v>
      </c>
      <c r="V502" s="12">
        <f ca="1">SUMIFS(TableDailySummary[Inversión meta ads],TableDailySummary[Fecha],"&gt;="&amp;TableWeeklySummary[[#This Row],[Desde]],TableDailySummary[Fecha],"&lt;="&amp;TableWeeklySummary[[#This Row],[Hasta]])</f>
        <v>0</v>
      </c>
      <c r="W502" s="12">
        <f ca="1">SUMIFS(TableDailySummary[Ventas meta ads],TableDailySummary[Fecha],"&gt;="&amp;TableWeeklySummary[[#This Row],[Desde]],TableDailySummary[Fecha],"&lt;="&amp;TableWeeklySummary[[#This Row],[Hasta]])</f>
        <v>0</v>
      </c>
      <c r="X502" s="12">
        <f ca="1">TableWeeklySummary[[#This Row],[Inversión google ads]]+TableWeeklySummary[[#This Row],[Inversión meta ads]]</f>
        <v>0</v>
      </c>
      <c r="Y502" s="12">
        <f ca="1">TableWeeklySummary[[#This Row],[Ventas google ads]]+TableWeeklySummary[[#This Row],[Ventas meta ads]]</f>
        <v>0</v>
      </c>
      <c r="Z502" s="14">
        <f ca="1">IFERROR(TableWeeklySummary[[#This Row],[Ventas publicidad]]/TableWeeklySummary[[#This Row],[Inversión publicidad]],0)</f>
        <v>0</v>
      </c>
      <c r="AA502" s="14">
        <f ca="1">IFERROR(TableWeeklySummary[[#This Row],[Ventas primer cliente]]/TableWeeklySummary[[#This Row],[Inversión publicidad]],0)</f>
        <v>0</v>
      </c>
      <c r="AB502" s="14"/>
      <c r="AC502" s="12"/>
      <c r="AI502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02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02" s="12">
        <f ca="1">SUMIFS(TableDailySummary[Utilidad bruta],TableDailySummary[Fecha],"&gt;="&amp;TableWeeklySummary[[#This Row],[Desde]],TableDailySummary[Fecha],"&lt;="&amp;TableWeeklySummary[[#This Row],[Hasta]])</f>
        <v>0</v>
      </c>
      <c r="AL502" s="18">
        <f ca="1">IFERROR(TableWeeklySummary[[#This Row],[Utilidad bruta]]/TableWeeklySummary[[#This Row],[Ventas netas con costo registrado]],0)</f>
        <v>0</v>
      </c>
    </row>
    <row r="503" spans="2:38" x14ac:dyDescent="0.2">
      <c r="B503" s="16">
        <f ca="1">_xlfn.ISOWEEKNUM(TableWeeklySummary[[#This Row],[Hasta]])</f>
        <v>19</v>
      </c>
      <c r="C503" s="6">
        <f t="shared" ca="1" si="9"/>
        <v>49433</v>
      </c>
      <c r="D503" s="6">
        <f ca="1">TableWeeklySummary[[#This Row],[Desde]]+7-1</f>
        <v>49439</v>
      </c>
      <c r="E503" s="12">
        <f ca="1">SUMIFS(TableDailySummary[Ventas netas totales],TableDailySummary[Fecha],"&gt;="&amp;TableWeeklySummary[[#This Row],[Desde]],TableDailySummary[Fecha],"&lt;="&amp;TableWeeklySummary[[#This Row],[Hasta]])</f>
        <v>0</v>
      </c>
      <c r="F503" s="12">
        <f ca="1">SUMIFS(TableDailySummary[Órdenes totales],TableDailySummary[Fecha],"&gt;="&amp;TableWeeklySummary[[#This Row],[Desde]],TableDailySummary[Fecha],"&lt;="&amp;TableWeeklySummary[[#This Row],[Hasta]])</f>
        <v>0</v>
      </c>
      <c r="G503" s="12">
        <f ca="1">IFERROR(TableWeeklySummary[[#This Row],[Ventas netas totales]]/TableWeeklySummary[[#This Row],[Órdenes totales]],0)</f>
        <v>0</v>
      </c>
      <c r="H503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03" s="12">
        <f ca="1">TableWeeklySummary[[#This Row],[Órden promedio totales]]*TableWeeklySummary[[#This Row],[CR totales]]</f>
        <v>0</v>
      </c>
      <c r="J503" s="12">
        <f ca="1">SUMIFS(TableDailySummary[Ventas primer cliente],TableDailySummary[Fecha],"&gt;="&amp;TableWeeklySummary[[#This Row],[Desde]],TableDailySummary[Fecha],"&lt;="&amp;TableWeeklySummary[[#This Row],[Hasta]])</f>
        <v>0</v>
      </c>
      <c r="K503" s="12">
        <f ca="1">SUMIFS(TableDailySummary[Órdenes primer cliente],TableDailySummary[Fecha],"&gt;="&amp;TableWeeklySummary[[#This Row],[Desde]],TableDailySummary[Fecha],"&lt;="&amp;TableWeeklySummary[[#This Row],[Hasta]])</f>
        <v>0</v>
      </c>
      <c r="L503" s="12">
        <f ca="1">SUMIFS(TableDailySummary[Online Store_net_sales],TableDailySummary[Fecha],"&gt;="&amp;TableWeeklySummary[[#This Row],[Desde]],TableDailySummary[Fecha],"&lt;="&amp;TableWeeklySummary[[#This Row],[Hasta]])</f>
        <v>0</v>
      </c>
      <c r="M503" s="12">
        <f ca="1">SUMIFS(TableDailySummary[Online Store_orders],TableDailySummary[Fecha],"&gt;="&amp;TableWeeklySummary[[#This Row],[Desde]],TableDailySummary[Fecha],"&lt;="&amp;TableWeeklySummary[[#This Row],[Hasta]])</f>
        <v>0</v>
      </c>
      <c r="N503" s="12">
        <f ca="1">SUMIFS(TableDailySummary[Tienda 81_net_sales],TableDailySummary[Fecha],"&gt;="&amp;TableWeeklySummary[[#This Row],[Desde]],TableDailySummary[Fecha],"&lt;="&amp;TableWeeklySummary[[#This Row],[Hasta]])</f>
        <v>0</v>
      </c>
      <c r="O503" s="12">
        <f ca="1">SUMIFS(TableDailySummary[Tienda 81_orders],TableDailySummary[Fecha],"&gt;="&amp;TableWeeklySummary[[#This Row],[Desde]],TableDailySummary[Fecha],"&lt;="&amp;TableWeeklySummary[[#This Row],[Hasta]])</f>
        <v>0</v>
      </c>
      <c r="P503" s="12">
        <f ca="1">SUMIFS(TableDailySummary[Rappi_net_sales],TableDailySummary[Fecha],"&gt;="&amp;TableWeeklySummary[[#This Row],[Desde]],TableDailySummary[Fecha],"&lt;="&amp;TableWeeklySummary[[#This Row],[Hasta]])</f>
        <v>0</v>
      </c>
      <c r="Q503" s="12">
        <f ca="1">SUMIFS(TableDailySummary[Rappi_orders],TableDailySummary[Fecha],"&gt;="&amp;TableWeeklySummary[[#This Row],[Desde]],TableDailySummary[Fecha],"&lt;="&amp;TableWeeklySummary[[#This Row],[Hasta]])</f>
        <v>0</v>
      </c>
      <c r="R503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03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03" s="12">
        <f ca="1">SUMIFS(TableDailySummary[Inversión google ads],TableDailySummary[Fecha],"&gt;="&amp;TableWeeklySummary[[#This Row],[Desde]],TableDailySummary[Fecha],"&lt;="&amp;TableWeeklySummary[[#This Row],[Hasta]])</f>
        <v>0</v>
      </c>
      <c r="U503" s="12">
        <f ca="1">SUMIFS(TableDailySummary[Ventas google ads],TableDailySummary[Fecha],"&gt;="&amp;TableWeeklySummary[[#This Row],[Desde]],TableDailySummary[Fecha],"&lt;="&amp;TableWeeklySummary[[#This Row],[Hasta]])</f>
        <v>0</v>
      </c>
      <c r="V503" s="12">
        <f ca="1">SUMIFS(TableDailySummary[Inversión meta ads],TableDailySummary[Fecha],"&gt;="&amp;TableWeeklySummary[[#This Row],[Desde]],TableDailySummary[Fecha],"&lt;="&amp;TableWeeklySummary[[#This Row],[Hasta]])</f>
        <v>0</v>
      </c>
      <c r="W503" s="12">
        <f ca="1">SUMIFS(TableDailySummary[Ventas meta ads],TableDailySummary[Fecha],"&gt;="&amp;TableWeeklySummary[[#This Row],[Desde]],TableDailySummary[Fecha],"&lt;="&amp;TableWeeklySummary[[#This Row],[Hasta]])</f>
        <v>0</v>
      </c>
      <c r="X503" s="12">
        <f ca="1">TableWeeklySummary[[#This Row],[Inversión google ads]]+TableWeeklySummary[[#This Row],[Inversión meta ads]]</f>
        <v>0</v>
      </c>
      <c r="Y503" s="12">
        <f ca="1">TableWeeklySummary[[#This Row],[Ventas google ads]]+TableWeeklySummary[[#This Row],[Ventas meta ads]]</f>
        <v>0</v>
      </c>
      <c r="Z503" s="14">
        <f ca="1">IFERROR(TableWeeklySummary[[#This Row],[Ventas publicidad]]/TableWeeklySummary[[#This Row],[Inversión publicidad]],0)</f>
        <v>0</v>
      </c>
      <c r="AA503" s="14">
        <f ca="1">IFERROR(TableWeeklySummary[[#This Row],[Ventas primer cliente]]/TableWeeklySummary[[#This Row],[Inversión publicidad]],0)</f>
        <v>0</v>
      </c>
      <c r="AB503" s="14"/>
      <c r="AC503" s="12"/>
      <c r="AI503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03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03" s="12">
        <f ca="1">SUMIFS(TableDailySummary[Utilidad bruta],TableDailySummary[Fecha],"&gt;="&amp;TableWeeklySummary[[#This Row],[Desde]],TableDailySummary[Fecha],"&lt;="&amp;TableWeeklySummary[[#This Row],[Hasta]])</f>
        <v>0</v>
      </c>
      <c r="AL503" s="18">
        <f ca="1">IFERROR(TableWeeklySummary[[#This Row],[Utilidad bruta]]/TableWeeklySummary[[#This Row],[Ventas netas con costo registrado]],0)</f>
        <v>0</v>
      </c>
    </row>
    <row r="504" spans="2:38" x14ac:dyDescent="0.2">
      <c r="B504" s="16">
        <f ca="1">_xlfn.ISOWEEKNUM(TableWeeklySummary[[#This Row],[Hasta]])</f>
        <v>20</v>
      </c>
      <c r="C504" s="6">
        <f t="shared" ca="1" si="9"/>
        <v>49440</v>
      </c>
      <c r="D504" s="6">
        <f ca="1">TableWeeklySummary[[#This Row],[Desde]]+7-1</f>
        <v>49446</v>
      </c>
      <c r="E504" s="12">
        <f ca="1">SUMIFS(TableDailySummary[Ventas netas totales],TableDailySummary[Fecha],"&gt;="&amp;TableWeeklySummary[[#This Row],[Desde]],TableDailySummary[Fecha],"&lt;="&amp;TableWeeklySummary[[#This Row],[Hasta]])</f>
        <v>0</v>
      </c>
      <c r="F504" s="12">
        <f ca="1">SUMIFS(TableDailySummary[Órdenes totales],TableDailySummary[Fecha],"&gt;="&amp;TableWeeklySummary[[#This Row],[Desde]],TableDailySummary[Fecha],"&lt;="&amp;TableWeeklySummary[[#This Row],[Hasta]])</f>
        <v>0</v>
      </c>
      <c r="G504" s="12">
        <f ca="1">IFERROR(TableWeeklySummary[[#This Row],[Ventas netas totales]]/TableWeeklySummary[[#This Row],[Órdenes totales]],0)</f>
        <v>0</v>
      </c>
      <c r="H504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04" s="12">
        <f ca="1">TableWeeklySummary[[#This Row],[Órden promedio totales]]*TableWeeklySummary[[#This Row],[CR totales]]</f>
        <v>0</v>
      </c>
      <c r="J504" s="12">
        <f ca="1">SUMIFS(TableDailySummary[Ventas primer cliente],TableDailySummary[Fecha],"&gt;="&amp;TableWeeklySummary[[#This Row],[Desde]],TableDailySummary[Fecha],"&lt;="&amp;TableWeeklySummary[[#This Row],[Hasta]])</f>
        <v>0</v>
      </c>
      <c r="K504" s="12">
        <f ca="1">SUMIFS(TableDailySummary[Órdenes primer cliente],TableDailySummary[Fecha],"&gt;="&amp;TableWeeklySummary[[#This Row],[Desde]],TableDailySummary[Fecha],"&lt;="&amp;TableWeeklySummary[[#This Row],[Hasta]])</f>
        <v>0</v>
      </c>
      <c r="L504" s="12">
        <f ca="1">SUMIFS(TableDailySummary[Online Store_net_sales],TableDailySummary[Fecha],"&gt;="&amp;TableWeeklySummary[[#This Row],[Desde]],TableDailySummary[Fecha],"&lt;="&amp;TableWeeklySummary[[#This Row],[Hasta]])</f>
        <v>0</v>
      </c>
      <c r="M504" s="12">
        <f ca="1">SUMIFS(TableDailySummary[Online Store_orders],TableDailySummary[Fecha],"&gt;="&amp;TableWeeklySummary[[#This Row],[Desde]],TableDailySummary[Fecha],"&lt;="&amp;TableWeeklySummary[[#This Row],[Hasta]])</f>
        <v>0</v>
      </c>
      <c r="N504" s="12">
        <f ca="1">SUMIFS(TableDailySummary[Tienda 81_net_sales],TableDailySummary[Fecha],"&gt;="&amp;TableWeeklySummary[[#This Row],[Desde]],TableDailySummary[Fecha],"&lt;="&amp;TableWeeklySummary[[#This Row],[Hasta]])</f>
        <v>0</v>
      </c>
      <c r="O504" s="12">
        <f ca="1">SUMIFS(TableDailySummary[Tienda 81_orders],TableDailySummary[Fecha],"&gt;="&amp;TableWeeklySummary[[#This Row],[Desde]],TableDailySummary[Fecha],"&lt;="&amp;TableWeeklySummary[[#This Row],[Hasta]])</f>
        <v>0</v>
      </c>
      <c r="P504" s="12">
        <f ca="1">SUMIFS(TableDailySummary[Rappi_net_sales],TableDailySummary[Fecha],"&gt;="&amp;TableWeeklySummary[[#This Row],[Desde]],TableDailySummary[Fecha],"&lt;="&amp;TableWeeklySummary[[#This Row],[Hasta]])</f>
        <v>0</v>
      </c>
      <c r="Q504" s="12">
        <f ca="1">SUMIFS(TableDailySummary[Rappi_orders],TableDailySummary[Fecha],"&gt;="&amp;TableWeeklySummary[[#This Row],[Desde]],TableDailySummary[Fecha],"&lt;="&amp;TableWeeklySummary[[#This Row],[Hasta]])</f>
        <v>0</v>
      </c>
      <c r="R504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04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04" s="12">
        <f ca="1">SUMIFS(TableDailySummary[Inversión google ads],TableDailySummary[Fecha],"&gt;="&amp;TableWeeklySummary[[#This Row],[Desde]],TableDailySummary[Fecha],"&lt;="&amp;TableWeeklySummary[[#This Row],[Hasta]])</f>
        <v>0</v>
      </c>
      <c r="U504" s="12">
        <f ca="1">SUMIFS(TableDailySummary[Ventas google ads],TableDailySummary[Fecha],"&gt;="&amp;TableWeeklySummary[[#This Row],[Desde]],TableDailySummary[Fecha],"&lt;="&amp;TableWeeklySummary[[#This Row],[Hasta]])</f>
        <v>0</v>
      </c>
      <c r="V504" s="12">
        <f ca="1">SUMIFS(TableDailySummary[Inversión meta ads],TableDailySummary[Fecha],"&gt;="&amp;TableWeeklySummary[[#This Row],[Desde]],TableDailySummary[Fecha],"&lt;="&amp;TableWeeklySummary[[#This Row],[Hasta]])</f>
        <v>0</v>
      </c>
      <c r="W504" s="12">
        <f ca="1">SUMIFS(TableDailySummary[Ventas meta ads],TableDailySummary[Fecha],"&gt;="&amp;TableWeeklySummary[[#This Row],[Desde]],TableDailySummary[Fecha],"&lt;="&amp;TableWeeklySummary[[#This Row],[Hasta]])</f>
        <v>0</v>
      </c>
      <c r="X504" s="12">
        <f ca="1">TableWeeklySummary[[#This Row],[Inversión google ads]]+TableWeeklySummary[[#This Row],[Inversión meta ads]]</f>
        <v>0</v>
      </c>
      <c r="Y504" s="12">
        <f ca="1">TableWeeklySummary[[#This Row],[Ventas google ads]]+TableWeeklySummary[[#This Row],[Ventas meta ads]]</f>
        <v>0</v>
      </c>
      <c r="Z504" s="14">
        <f ca="1">IFERROR(TableWeeklySummary[[#This Row],[Ventas publicidad]]/TableWeeklySummary[[#This Row],[Inversión publicidad]],0)</f>
        <v>0</v>
      </c>
      <c r="AA504" s="14">
        <f ca="1">IFERROR(TableWeeklySummary[[#This Row],[Ventas primer cliente]]/TableWeeklySummary[[#This Row],[Inversión publicidad]],0)</f>
        <v>0</v>
      </c>
      <c r="AB504" s="14"/>
      <c r="AC504" s="12"/>
      <c r="AI504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04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04" s="12">
        <f ca="1">SUMIFS(TableDailySummary[Utilidad bruta],TableDailySummary[Fecha],"&gt;="&amp;TableWeeklySummary[[#This Row],[Desde]],TableDailySummary[Fecha],"&lt;="&amp;TableWeeklySummary[[#This Row],[Hasta]])</f>
        <v>0</v>
      </c>
      <c r="AL504" s="18">
        <f ca="1">IFERROR(TableWeeklySummary[[#This Row],[Utilidad bruta]]/TableWeeklySummary[[#This Row],[Ventas netas con costo registrado]],0)</f>
        <v>0</v>
      </c>
    </row>
    <row r="505" spans="2:38" x14ac:dyDescent="0.2">
      <c r="B505" s="16">
        <f ca="1">_xlfn.ISOWEEKNUM(TableWeeklySummary[[#This Row],[Hasta]])</f>
        <v>21</v>
      </c>
      <c r="C505" s="6">
        <f t="shared" ca="1" si="9"/>
        <v>49447</v>
      </c>
      <c r="D505" s="6">
        <f ca="1">TableWeeklySummary[[#This Row],[Desde]]+7-1</f>
        <v>49453</v>
      </c>
      <c r="E505" s="12">
        <f ca="1">SUMIFS(TableDailySummary[Ventas netas totales],TableDailySummary[Fecha],"&gt;="&amp;TableWeeklySummary[[#This Row],[Desde]],TableDailySummary[Fecha],"&lt;="&amp;TableWeeklySummary[[#This Row],[Hasta]])</f>
        <v>0</v>
      </c>
      <c r="F505" s="12">
        <f ca="1">SUMIFS(TableDailySummary[Órdenes totales],TableDailySummary[Fecha],"&gt;="&amp;TableWeeklySummary[[#This Row],[Desde]],TableDailySummary[Fecha],"&lt;="&amp;TableWeeklySummary[[#This Row],[Hasta]])</f>
        <v>0</v>
      </c>
      <c r="G505" s="12">
        <f ca="1">IFERROR(TableWeeklySummary[[#This Row],[Ventas netas totales]]/TableWeeklySummary[[#This Row],[Órdenes totales]],0)</f>
        <v>0</v>
      </c>
      <c r="H505" s="24">
        <f ca="1">IFERROR(SUMIFS(#REF!,#REF!,"Total site",#REF!,"&gt;="&amp;TableWeeklySummary[[#This Row],[Desde]],#REF!,"&lt;="&amp;TableWeeklySummary[[#This Row],[Hasta]]) /
SUMIFS(#REF!,#REF!,"Total site",#REF!,"&gt;="&amp;TableWeeklySummary[[#This Row],[Desde]],#REF!,"&lt;="&amp;TableWeeklySummary[[#This Row],[Hasta]]),0)</f>
        <v>0</v>
      </c>
      <c r="I505" s="12">
        <f ca="1">TableWeeklySummary[[#This Row],[Órden promedio totales]]*TableWeeklySummary[[#This Row],[CR totales]]</f>
        <v>0</v>
      </c>
      <c r="J505" s="12">
        <f ca="1">SUMIFS(TableDailySummary[Ventas primer cliente],TableDailySummary[Fecha],"&gt;="&amp;TableWeeklySummary[[#This Row],[Desde]],TableDailySummary[Fecha],"&lt;="&amp;TableWeeklySummary[[#This Row],[Hasta]])</f>
        <v>0</v>
      </c>
      <c r="K505" s="12">
        <f ca="1">SUMIFS(TableDailySummary[Órdenes primer cliente],TableDailySummary[Fecha],"&gt;="&amp;TableWeeklySummary[[#This Row],[Desde]],TableDailySummary[Fecha],"&lt;="&amp;TableWeeklySummary[[#This Row],[Hasta]])</f>
        <v>0</v>
      </c>
      <c r="L505" s="12">
        <f ca="1">SUMIFS(TableDailySummary[Online Store_net_sales],TableDailySummary[Fecha],"&gt;="&amp;TableWeeklySummary[[#This Row],[Desde]],TableDailySummary[Fecha],"&lt;="&amp;TableWeeklySummary[[#This Row],[Hasta]])</f>
        <v>0</v>
      </c>
      <c r="M505" s="12">
        <f ca="1">SUMIFS(TableDailySummary[Online Store_orders],TableDailySummary[Fecha],"&gt;="&amp;TableWeeklySummary[[#This Row],[Desde]],TableDailySummary[Fecha],"&lt;="&amp;TableWeeklySummary[[#This Row],[Hasta]])</f>
        <v>0</v>
      </c>
      <c r="N505" s="12">
        <f ca="1">SUMIFS(TableDailySummary[Tienda 81_net_sales],TableDailySummary[Fecha],"&gt;="&amp;TableWeeklySummary[[#This Row],[Desde]],TableDailySummary[Fecha],"&lt;="&amp;TableWeeklySummary[[#This Row],[Hasta]])</f>
        <v>0</v>
      </c>
      <c r="O505" s="12">
        <f ca="1">SUMIFS(TableDailySummary[Tienda 81_orders],TableDailySummary[Fecha],"&gt;="&amp;TableWeeklySummary[[#This Row],[Desde]],TableDailySummary[Fecha],"&lt;="&amp;TableWeeklySummary[[#This Row],[Hasta]])</f>
        <v>0</v>
      </c>
      <c r="P505" s="12">
        <f ca="1">SUMIFS(TableDailySummary[Rappi_net_sales],TableDailySummary[Fecha],"&gt;="&amp;TableWeeklySummary[[#This Row],[Desde]],TableDailySummary[Fecha],"&lt;="&amp;TableWeeklySummary[[#This Row],[Hasta]])</f>
        <v>0</v>
      </c>
      <c r="Q505" s="12">
        <f ca="1">SUMIFS(TableDailySummary[Rappi_orders],TableDailySummary[Fecha],"&gt;="&amp;TableWeeklySummary[[#This Row],[Desde]],TableDailySummary[Fecha],"&lt;="&amp;TableWeeklySummary[[#This Row],[Hasta]])</f>
        <v>0</v>
      </c>
      <c r="R505" s="12">
        <f ca="1">SUMIFS(TableDailySummary[Corporativo no tienda_net_sales],TableDailySummary[Fecha],"&gt;="&amp;TableWeeklySummary[[#This Row],[Desde]],TableDailySummary[Fecha],"&lt;="&amp;TableWeeklySummary[[#This Row],[Hasta]])</f>
        <v>0</v>
      </c>
      <c r="S505" s="12">
        <f ca="1">SUMIFS(TableDailySummary[Corporativo no tienda_orders],TableDailySummary[Fecha],"&gt;="&amp;TableWeeklySummary[[#This Row],[Desde]],TableDailySummary[Fecha],"&lt;="&amp;TableWeeklySummary[[#This Row],[Hasta]])</f>
        <v>0</v>
      </c>
      <c r="T505" s="12">
        <f ca="1">SUMIFS(TableDailySummary[Inversión google ads],TableDailySummary[Fecha],"&gt;="&amp;TableWeeklySummary[[#This Row],[Desde]],TableDailySummary[Fecha],"&lt;="&amp;TableWeeklySummary[[#This Row],[Hasta]])</f>
        <v>0</v>
      </c>
      <c r="U505" s="12">
        <f ca="1">SUMIFS(TableDailySummary[Ventas google ads],TableDailySummary[Fecha],"&gt;="&amp;TableWeeklySummary[[#This Row],[Desde]],TableDailySummary[Fecha],"&lt;="&amp;TableWeeklySummary[[#This Row],[Hasta]])</f>
        <v>0</v>
      </c>
      <c r="V505" s="12">
        <f ca="1">SUMIFS(TableDailySummary[Inversión meta ads],TableDailySummary[Fecha],"&gt;="&amp;TableWeeklySummary[[#This Row],[Desde]],TableDailySummary[Fecha],"&lt;="&amp;TableWeeklySummary[[#This Row],[Hasta]])</f>
        <v>0</v>
      </c>
      <c r="W505" s="12">
        <f ca="1">SUMIFS(TableDailySummary[Ventas meta ads],TableDailySummary[Fecha],"&gt;="&amp;TableWeeklySummary[[#This Row],[Desde]],TableDailySummary[Fecha],"&lt;="&amp;TableWeeklySummary[[#This Row],[Hasta]])</f>
        <v>0</v>
      </c>
      <c r="X505" s="12">
        <f ca="1">TableWeeklySummary[[#This Row],[Inversión google ads]]+TableWeeklySummary[[#This Row],[Inversión meta ads]]</f>
        <v>0</v>
      </c>
      <c r="Y505" s="12">
        <f ca="1">TableWeeklySummary[[#This Row],[Ventas google ads]]+TableWeeklySummary[[#This Row],[Ventas meta ads]]</f>
        <v>0</v>
      </c>
      <c r="Z505" s="14">
        <f ca="1">IFERROR(TableWeeklySummary[[#This Row],[Ventas publicidad]]/TableWeeklySummary[[#This Row],[Inversión publicidad]],0)</f>
        <v>0</v>
      </c>
      <c r="AA505" s="14">
        <f ca="1">IFERROR(TableWeeklySummary[[#This Row],[Ventas primer cliente]]/TableWeeklySummary[[#This Row],[Inversión publicidad]],0)</f>
        <v>0</v>
      </c>
      <c r="AB505" s="14"/>
      <c r="AC505" s="12"/>
      <c r="AI505" s="12">
        <f ca="1">SUMIFS(TableDailySummary[Ventas netas con costo registrado],TableDailySummary[Fecha],"&gt;="&amp;TableWeeklySummary[[#This Row],[Desde]],TableDailySummary[Fecha],"&lt;="&amp;TableWeeklySummary[[#This Row],[Hasta]])</f>
        <v>0</v>
      </c>
      <c r="AJ505" s="12">
        <f ca="1">SUMIFS(TableDailySummary[Costo de ventas registrado],TableDailySummary[Fecha],"&gt;="&amp;TableWeeklySummary[[#This Row],[Desde]],TableDailySummary[Fecha],"&lt;="&amp;TableWeeklySummary[[#This Row],[Hasta]])</f>
        <v>0</v>
      </c>
      <c r="AK505" s="12">
        <f ca="1">SUMIFS(TableDailySummary[Utilidad bruta],TableDailySummary[Fecha],"&gt;="&amp;TableWeeklySummary[[#This Row],[Desde]],TableDailySummary[Fecha],"&lt;="&amp;TableWeeklySummary[[#This Row],[Hasta]])</f>
        <v>0</v>
      </c>
      <c r="AL505" s="18">
        <f ca="1">IFERROR(TableWeeklySummary[[#This Row],[Utilidad bruta]]/TableWeeklySummary[[#This Row],[Ventas netas con costo registrado]],0)</f>
        <v>0</v>
      </c>
    </row>
  </sheetData>
  <phoneticPr fontId="49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DF3E-80F8-42CA-BB35-F0AA836A58E3}">
  <sheetPr codeName="Sheet4"/>
  <dimension ref="B3:AP372"/>
  <sheetViews>
    <sheetView showGridLines="0" topLeftCell="A336" zoomScaleNormal="100" workbookViewId="0">
      <selection activeCell="C372" sqref="C372"/>
    </sheetView>
  </sheetViews>
  <sheetFormatPr defaultRowHeight="12" outlineLevelRow="1" outlineLevelCol="1" x14ac:dyDescent="0.2"/>
  <cols>
    <col min="1" max="1" width="3.83203125" customWidth="1"/>
    <col min="2" max="2" width="13.5" customWidth="1"/>
    <col min="3" max="3" width="12.6640625" customWidth="1"/>
    <col min="4" max="11" width="12" customWidth="1"/>
    <col min="12" max="23" width="11.83203125" customWidth="1" outlineLevel="1"/>
    <col min="24" max="29" width="12" customWidth="1"/>
    <col min="30" max="31" width="12.5" customWidth="1"/>
    <col min="32" max="32" width="12" customWidth="1"/>
    <col min="33" max="33" width="26.6640625" customWidth="1"/>
    <col min="34" max="34" width="26.5" customWidth="1"/>
    <col min="39" max="41" width="12" customWidth="1"/>
    <col min="43" max="43" width="23.1640625" customWidth="1"/>
    <col min="44" max="44" width="13" customWidth="1"/>
    <col min="45" max="45" width="13.83203125" customWidth="1"/>
    <col min="47" max="49" width="11.5" bestFit="1" customWidth="1"/>
  </cols>
  <sheetData>
    <row r="3" spans="2:42" ht="15" x14ac:dyDescent="0.2">
      <c r="B3" s="9" t="s">
        <v>32</v>
      </c>
    </row>
    <row r="5" spans="2:42" x14ac:dyDescent="0.2">
      <c r="D5" s="2" t="s">
        <v>2</v>
      </c>
      <c r="E5" s="2"/>
      <c r="F5" s="2"/>
      <c r="G5" s="2"/>
      <c r="H5" s="2"/>
      <c r="I5" s="3" t="s">
        <v>5</v>
      </c>
      <c r="J5" s="3"/>
      <c r="K5" s="3"/>
      <c r="L5" s="22" t="s">
        <v>119</v>
      </c>
      <c r="M5" s="22"/>
      <c r="N5" s="22"/>
      <c r="O5" s="21" t="s">
        <v>109</v>
      </c>
      <c r="P5" s="21"/>
      <c r="Q5" s="21"/>
      <c r="R5" s="20" t="s">
        <v>110</v>
      </c>
      <c r="S5" s="20"/>
      <c r="T5" s="20"/>
      <c r="U5" s="19" t="s">
        <v>108</v>
      </c>
      <c r="V5" s="19"/>
      <c r="W5" s="19"/>
      <c r="X5" s="4" t="s">
        <v>6</v>
      </c>
      <c r="Y5" s="4"/>
      <c r="Z5" s="4" t="s">
        <v>7</v>
      </c>
      <c r="AA5" s="4"/>
      <c r="AB5" s="3" t="s">
        <v>713</v>
      </c>
      <c r="AC5" s="3"/>
      <c r="AD5" s="8" t="s">
        <v>9</v>
      </c>
      <c r="AE5" s="8" t="s">
        <v>652</v>
      </c>
      <c r="AF5" t="s">
        <v>30</v>
      </c>
    </row>
    <row r="6" spans="2:42" ht="24" customHeight="1" x14ac:dyDescent="0.2">
      <c r="B6" s="26" t="s">
        <v>0</v>
      </c>
      <c r="C6" s="27" t="s">
        <v>1</v>
      </c>
      <c r="D6" s="27" t="s">
        <v>34</v>
      </c>
      <c r="E6" s="27" t="s">
        <v>4</v>
      </c>
      <c r="F6" s="27" t="s">
        <v>663</v>
      </c>
      <c r="G6" s="27" t="s">
        <v>688</v>
      </c>
      <c r="H6" s="27" t="s">
        <v>689</v>
      </c>
      <c r="I6" s="27" t="s">
        <v>3</v>
      </c>
      <c r="J6" s="27" t="s">
        <v>4</v>
      </c>
      <c r="K6" s="27" t="s">
        <v>663</v>
      </c>
      <c r="L6" s="27" t="s">
        <v>3</v>
      </c>
      <c r="M6" s="27" t="s">
        <v>4</v>
      </c>
      <c r="N6" s="27" t="s">
        <v>663</v>
      </c>
      <c r="O6" s="27" t="s">
        <v>3</v>
      </c>
      <c r="P6" s="27" t="s">
        <v>4</v>
      </c>
      <c r="Q6" s="27" t="s">
        <v>663</v>
      </c>
      <c r="R6" s="27" t="s">
        <v>3</v>
      </c>
      <c r="S6" s="27" t="s">
        <v>4</v>
      </c>
      <c r="T6" s="27" t="s">
        <v>663</v>
      </c>
      <c r="U6" s="27" t="s">
        <v>3</v>
      </c>
      <c r="V6" s="27" t="s">
        <v>4</v>
      </c>
      <c r="W6" s="27" t="s">
        <v>663</v>
      </c>
      <c r="X6" s="27" t="s">
        <v>8</v>
      </c>
      <c r="Y6" s="27" t="s">
        <v>3</v>
      </c>
      <c r="Z6" s="27" t="s">
        <v>8</v>
      </c>
      <c r="AA6" s="27" t="s">
        <v>3</v>
      </c>
      <c r="AB6" s="27" t="s">
        <v>8</v>
      </c>
      <c r="AC6" s="27" t="s">
        <v>3</v>
      </c>
      <c r="AD6" s="27" t="s">
        <v>10</v>
      </c>
      <c r="AE6" s="27" t="s">
        <v>11</v>
      </c>
      <c r="AF6" s="27" t="s">
        <v>12</v>
      </c>
      <c r="AG6" s="27" t="s">
        <v>13</v>
      </c>
      <c r="AH6" s="27" t="s">
        <v>14</v>
      </c>
      <c r="AI6" s="27" t="s">
        <v>15</v>
      </c>
      <c r="AJ6" s="27" t="s">
        <v>16</v>
      </c>
      <c r="AK6" s="28" t="s">
        <v>17</v>
      </c>
      <c r="AL6" s="28" t="s">
        <v>18</v>
      </c>
      <c r="AM6" s="29" t="s">
        <v>96</v>
      </c>
      <c r="AN6" s="29" t="s">
        <v>97</v>
      </c>
      <c r="AO6" s="29" t="s">
        <v>98</v>
      </c>
      <c r="AP6" s="29" t="s">
        <v>99</v>
      </c>
    </row>
    <row r="7" spans="2:42" outlineLevel="1" x14ac:dyDescent="0.2">
      <c r="B7" t="s">
        <v>0</v>
      </c>
      <c r="C7" t="s">
        <v>1</v>
      </c>
      <c r="D7" t="s">
        <v>35</v>
      </c>
      <c r="E7" t="s">
        <v>19</v>
      </c>
      <c r="F7" t="s">
        <v>664</v>
      </c>
      <c r="G7" t="s">
        <v>690</v>
      </c>
      <c r="H7" t="s">
        <v>691</v>
      </c>
      <c r="I7" t="s">
        <v>20</v>
      </c>
      <c r="J7" t="s">
        <v>21</v>
      </c>
      <c r="K7" t="s">
        <v>665</v>
      </c>
      <c r="L7" t="s">
        <v>111</v>
      </c>
      <c r="M7" t="s">
        <v>112</v>
      </c>
      <c r="N7" t="s">
        <v>666</v>
      </c>
      <c r="O7" t="s">
        <v>113</v>
      </c>
      <c r="P7" t="s">
        <v>114</v>
      </c>
      <c r="Q7" t="s">
        <v>667</v>
      </c>
      <c r="R7" t="s">
        <v>115</v>
      </c>
      <c r="S7" t="s">
        <v>116</v>
      </c>
      <c r="T7" t="s">
        <v>668</v>
      </c>
      <c r="U7" t="s">
        <v>117</v>
      </c>
      <c r="V7" t="s">
        <v>118</v>
      </c>
      <c r="W7" t="s">
        <v>669</v>
      </c>
      <c r="X7" t="s">
        <v>22</v>
      </c>
      <c r="Y7" t="s">
        <v>23</v>
      </c>
      <c r="Z7" t="s">
        <v>24</v>
      </c>
      <c r="AA7" t="s">
        <v>25</v>
      </c>
      <c r="AB7" t="s">
        <v>26</v>
      </c>
      <c r="AC7" t="s">
        <v>27</v>
      </c>
      <c r="AD7" t="s">
        <v>28</v>
      </c>
      <c r="AE7" t="s">
        <v>29</v>
      </c>
      <c r="AF7" t="s">
        <v>12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t="s">
        <v>18</v>
      </c>
      <c r="AM7" t="s">
        <v>95</v>
      </c>
      <c r="AN7" t="s">
        <v>97</v>
      </c>
      <c r="AO7" t="s">
        <v>98</v>
      </c>
      <c r="AP7" t="s">
        <v>99</v>
      </c>
    </row>
    <row r="8" spans="2:42" x14ac:dyDescent="0.2">
      <c r="B8" s="15" cm="1">
        <f t="array" ref="B8">MIN(SummaryDaily[day]) + (ROW(TableDailySummary[#This Row]) - ROW(TableDailySummary[[#Headers],[Dia]]) - 1)</f>
        <v>45779</v>
      </c>
      <c r="C8" s="6">
        <f>TableDailySummary[[#This Row],[Dia]]</f>
        <v>45779</v>
      </c>
      <c r="D8" s="12">
        <f>_xlfn.XLOOKUP(TableDailySummary[[#This Row],[Fecha]],SummaryDaily[day],SummaryDaily[net_sales],0)</f>
        <v>4429411.76</v>
      </c>
      <c r="E8" s="12">
        <f>_xlfn.XLOOKUP(TableDailySummary[[#This Row],[Fecha]],SummaryDaily[day],SummaryDaily[orders],0)</f>
        <v>26</v>
      </c>
      <c r="F8" s="12">
        <f>_xlfn.XLOOKUP(TableDailySummary[[#This Row],[Fecha]],SummaryDaily[day],SummaryDaily[average_order_value],0)</f>
        <v>170361.99</v>
      </c>
      <c r="G8" s="24">
        <f>_xlfn.XLOOKUP(TableDailySummary[[#This Row],[Fecha]],SummaryDaily[day],SummaryDaily[Total site_conversion_rate],0)</f>
        <v>3.8461538461538464E-2</v>
      </c>
      <c r="H8" s="12">
        <f>TableDailySummary[[#This Row],[Órden promedio totales]]*TableDailySummary[[#This Row],[CR totales]]</f>
        <v>6552.3842307692312</v>
      </c>
      <c r="I8" s="12">
        <f>_xlfn.XLOOKUP(TableDailySummary[[#This Row],[Fecha]],SummaryDaily[day],SummaryDaily[new_net_sales],0)</f>
        <v>3654621.85</v>
      </c>
      <c r="J8" s="12">
        <f>_xlfn.XLOOKUP(TableDailySummary[[#This Row],[Fecha]],SummaryDaily[day],SummaryDaily[new_orders],0)</f>
        <v>21</v>
      </c>
      <c r="K8" s="12">
        <f>_xlfn.XLOOKUP(TableDailySummary[[#This Row],[Fecha]],SummaryDaily[day],SummaryDaily[new_average_order_value],0)</f>
        <v>174029.611</v>
      </c>
      <c r="L8" s="12">
        <f>_xlfn.XLOOKUP(TableDailySummary[[#This Row],[Fecha]],SummaryDaily[day],SummaryDaily[Online Store_net_sales],0)</f>
        <v>4429411.76</v>
      </c>
      <c r="M8" s="12">
        <f>_xlfn.XLOOKUP(TableDailySummary[[#This Row],[Fecha]],SummaryDaily[day],SummaryDaily[Online Store_orders],0)</f>
        <v>26</v>
      </c>
      <c r="N8" s="12">
        <f>_xlfn.XLOOKUP(TableDailySummary[[#This Row],[Fecha]],SummaryDaily[day],SummaryDaily[Online Store_average_order_value],0)</f>
        <v>170361.99</v>
      </c>
      <c r="O8" s="12">
        <f>_xlfn.XLOOKUP(TableDailySummary[[#This Row],[Fecha]],SummaryDaily[day],SummaryDaily[Tienda 81_net_sales],0)</f>
        <v>0</v>
      </c>
      <c r="P8" s="12">
        <f>_xlfn.XLOOKUP(TableDailySummary[[#This Row],[Fecha]],SummaryDaily[day],SummaryDaily[Tienda 81_orders],0)</f>
        <v>0</v>
      </c>
      <c r="Q8" s="12">
        <f>_xlfn.XLOOKUP(TableDailySummary[[#This Row],[Fecha]],SummaryDaily[day],SummaryDaily[Tienda 81_average_order_value],0)</f>
        <v>0</v>
      </c>
      <c r="R8" s="12">
        <f>_xlfn.XLOOKUP(TableDailySummary[[#This Row],[Fecha]],SummaryDaily[day],SummaryDaily[Rappi_net_sales],0)</f>
        <v>0</v>
      </c>
      <c r="S8" s="12">
        <f>_xlfn.XLOOKUP(TableDailySummary[[#This Row],[Fecha]],SummaryDaily[day],SummaryDaily[Rappi_orders],0)</f>
        <v>0</v>
      </c>
      <c r="T8" s="12">
        <f>_xlfn.XLOOKUP(TableDailySummary[[#This Row],[Fecha]],SummaryDaily[day],SummaryDaily[Rappi_average_order_value],0)</f>
        <v>0</v>
      </c>
      <c r="U8" s="12">
        <f>_xlfn.XLOOKUP(TableDailySummary[[#This Row],[Fecha]],SummaryDaily[day],SummaryDaily[Corporativo no tienda_net_sales],0)</f>
        <v>0</v>
      </c>
      <c r="V8" s="12">
        <f>_xlfn.XLOOKUP(TableDailySummary[[#This Row],[Fecha]],SummaryDaily[day],SummaryDaily[Corporativo no tienda_orders],0)</f>
        <v>0</v>
      </c>
      <c r="W8" s="12">
        <f>_xlfn.XLOOKUP(TableDailySummary[[#This Row],[Fecha]],SummaryDaily[day],SummaryDaily[Corporativo no tienda_average_order_value],0)</f>
        <v>0</v>
      </c>
      <c r="X8" s="12">
        <f>_xlfn.XLOOKUP(TableDailySummary[[#This Row],[Fecha]],SummaryDaily[day],SummaryDaily[GoogleAdsOperation.Cost],0)</f>
        <v>54342.879999999997</v>
      </c>
      <c r="Y8" s="12">
        <f>SUMIFS(SalesByUTMDaily[google],SalesByUTMDaily[day],TableDailySummary[[#This Row],[Fecha]])</f>
        <v>0</v>
      </c>
      <c r="Z8" s="12">
        <f>_xlfn.XLOOKUP(TableDailySummary[[#This Row],[Fecha]],SummaryDaily[day],SummaryDaily[MetaAdsOperation.spend],0)</f>
        <v>19627</v>
      </c>
      <c r="AA8" s="12">
        <f>SUMIFS(SalesByUTMDaily[facebook],SalesByUTMDaily[day],TableDailySummary[[#This Row],[Fecha]])</f>
        <v>79000</v>
      </c>
      <c r="AB8" s="12">
        <f>TableDailySummary[[#This Row],[Inversión google ads]]+TableDailySummary[[#This Row],[Inversión meta ads]]</f>
        <v>73969.88</v>
      </c>
      <c r="AC8" s="12">
        <f>TableDailySummary[[#This Row],[Ventas google ads]]+TableDailySummary[[#This Row],[Ventas meta ads]]</f>
        <v>79000</v>
      </c>
      <c r="AD8" s="14">
        <f>IFERROR(TableDailySummary[[#This Row],[Ventas publicidad]]/TableDailySummary[[#This Row],[Inversión publicidad]],0)</f>
        <v>1.0680022733577503</v>
      </c>
      <c r="AE8" s="14">
        <f>IFERROR(TableDailySummary[[#This Row],[Ventas primer cliente]]/TableDailySummary[[#This Row],[Inversión publicidad]],0)</f>
        <v>49.406891696998834</v>
      </c>
      <c r="AF8" s="14"/>
      <c r="AG8" s="12"/>
      <c r="AM8" s="12">
        <f>_xlfn.XLOOKUP(TableDailySummary[[#This Row],[Fecha]],SummaryDaily[day],SummaryDaily[net_sales_with_cost_recorded],0)</f>
        <v>4345378.1500000004</v>
      </c>
      <c r="AN8" s="12">
        <f>_xlfn.XLOOKUP(TableDailySummary[[#This Row],[Fecha]],SummaryDaily[day],SummaryDaily[cost_of_goods_sold],0)</f>
        <v>1209141</v>
      </c>
      <c r="AO8" s="12">
        <f>_xlfn.XLOOKUP(TableDailySummary[[#This Row],[Fecha]],SummaryDaily[day],SummaryDaily[gross_profit],0)</f>
        <v>3136237.15</v>
      </c>
      <c r="AP8" s="18">
        <f>IFERROR(TableDailySummary[[#This Row],[Utilidad bruta]]/TableDailySummary[[#This Row],[Ventas netas con costo registrado]],0)</f>
        <v>0.72174090303280036</v>
      </c>
    </row>
    <row r="9" spans="2:42" x14ac:dyDescent="0.2">
      <c r="B9" s="15" cm="1">
        <f t="array" ref="B9">MIN(SummaryDaily[day]) + (ROW(TableDailySummary[#This Row]) - ROW(TableDailySummary[[#Headers],[Dia]]) - 1)</f>
        <v>45780</v>
      </c>
      <c r="C9" s="6">
        <f>TableDailySummary[[#This Row],[Dia]]</f>
        <v>45780</v>
      </c>
      <c r="D9" s="12">
        <f>_xlfn.XLOOKUP(TableDailySummary[[#This Row],[Fecha]],SummaryDaily[day],SummaryDaily[net_sales],0)</f>
        <v>5367563.09</v>
      </c>
      <c r="E9" s="12">
        <f>_xlfn.XLOOKUP(TableDailySummary[[#This Row],[Fecha]],SummaryDaily[day],SummaryDaily[orders],0)</f>
        <v>54</v>
      </c>
      <c r="F9" s="12">
        <f>_xlfn.XLOOKUP(TableDailySummary[[#This Row],[Fecha]],SummaryDaily[day],SummaryDaily[average_order_value],0)</f>
        <v>99399.316000000006</v>
      </c>
      <c r="G9" s="24">
        <f>_xlfn.XLOOKUP(TableDailySummary[[#This Row],[Fecha]],SummaryDaily[day],SummaryDaily[Total site_conversion_rate],0)</f>
        <v>1.2170385395537525E-2</v>
      </c>
      <c r="H9" s="12">
        <f>TableDailySummary[[#This Row],[Órden promedio totales]]*TableDailySummary[[#This Row],[CR totales]]</f>
        <v>1209.7279837728195</v>
      </c>
      <c r="I9" s="12">
        <f>_xlfn.XLOOKUP(TableDailySummary[[#This Row],[Fecha]],SummaryDaily[day],SummaryDaily[new_net_sales],0)</f>
        <v>3692773.14</v>
      </c>
      <c r="J9" s="12">
        <f>_xlfn.XLOOKUP(TableDailySummary[[#This Row],[Fecha]],SummaryDaily[day],SummaryDaily[new_orders],0)</f>
        <v>34</v>
      </c>
      <c r="K9" s="12">
        <f>_xlfn.XLOOKUP(TableDailySummary[[#This Row],[Fecha]],SummaryDaily[day],SummaryDaily[new_average_order_value],0)</f>
        <v>108610.974</v>
      </c>
      <c r="L9" s="12">
        <f>_xlfn.XLOOKUP(TableDailySummary[[#This Row],[Fecha]],SummaryDaily[day],SummaryDaily[Online Store_net_sales],0)</f>
        <v>5367563.09</v>
      </c>
      <c r="M9" s="12">
        <f>_xlfn.XLOOKUP(TableDailySummary[[#This Row],[Fecha]],SummaryDaily[day],SummaryDaily[Online Store_orders],0)</f>
        <v>54</v>
      </c>
      <c r="N9" s="12">
        <f>_xlfn.XLOOKUP(TableDailySummary[[#This Row],[Fecha]],SummaryDaily[day],SummaryDaily[Online Store_average_order_value],0)</f>
        <v>99399.316000000006</v>
      </c>
      <c r="O9" s="12">
        <f>_xlfn.XLOOKUP(TableDailySummary[[#This Row],[Fecha]],SummaryDaily[day],SummaryDaily[Tienda 81_net_sales],0)</f>
        <v>0</v>
      </c>
      <c r="P9" s="12">
        <f>_xlfn.XLOOKUP(TableDailySummary[[#This Row],[Fecha]],SummaryDaily[day],SummaryDaily[Tienda 81_orders],0)</f>
        <v>0</v>
      </c>
      <c r="Q9" s="12">
        <f>_xlfn.XLOOKUP(TableDailySummary[[#This Row],[Fecha]],SummaryDaily[day],SummaryDaily[Tienda 81_average_order_value],0)</f>
        <v>0</v>
      </c>
      <c r="R9" s="12">
        <f>_xlfn.XLOOKUP(TableDailySummary[[#This Row],[Fecha]],SummaryDaily[day],SummaryDaily[Rappi_net_sales],0)</f>
        <v>0</v>
      </c>
      <c r="S9" s="12">
        <f>_xlfn.XLOOKUP(TableDailySummary[[#This Row],[Fecha]],SummaryDaily[day],SummaryDaily[Rappi_orders],0)</f>
        <v>0</v>
      </c>
      <c r="T9" s="12">
        <f>_xlfn.XLOOKUP(TableDailySummary[[#This Row],[Fecha]],SummaryDaily[day],SummaryDaily[Rappi_average_order_value],0)</f>
        <v>0</v>
      </c>
      <c r="U9" s="12">
        <f>_xlfn.XLOOKUP(TableDailySummary[[#This Row],[Fecha]],SummaryDaily[day],SummaryDaily[Corporativo no tienda_net_sales],0)</f>
        <v>0</v>
      </c>
      <c r="V9" s="12">
        <f>_xlfn.XLOOKUP(TableDailySummary[[#This Row],[Fecha]],SummaryDaily[day],SummaryDaily[Corporativo no tienda_orders],0)</f>
        <v>0</v>
      </c>
      <c r="W9" s="12">
        <f>_xlfn.XLOOKUP(TableDailySummary[[#This Row],[Fecha]],SummaryDaily[day],SummaryDaily[Corporativo no tienda_average_order_value],0)</f>
        <v>0</v>
      </c>
      <c r="X9" s="12">
        <f>_xlfn.XLOOKUP(TableDailySummary[[#This Row],[Fecha]],SummaryDaily[day],SummaryDaily[GoogleAdsOperation.Cost],0)</f>
        <v>65890.23</v>
      </c>
      <c r="Y9" s="12">
        <f>SUMIFS(SalesByUTMDaily[google],SalesByUTMDaily[day],TableDailySummary[[#This Row],[Fecha]])</f>
        <v>0</v>
      </c>
      <c r="Z9" s="12">
        <f>_xlfn.XLOOKUP(TableDailySummary[[#This Row],[Fecha]],SummaryDaily[day],SummaryDaily[MetaAdsOperation.spend],0)</f>
        <v>20211</v>
      </c>
      <c r="AA9" s="12">
        <f>SUMIFS(SalesByUTMDaily[facebook],SalesByUTMDaily[day],TableDailySummary[[#This Row],[Fecha]])</f>
        <v>84500</v>
      </c>
      <c r="AB9" s="12">
        <f>TableDailySummary[[#This Row],[Inversión google ads]]+TableDailySummary[[#This Row],[Inversión meta ads]]</f>
        <v>86101.23</v>
      </c>
      <c r="AC9" s="12">
        <f>TableDailySummary[[#This Row],[Ventas google ads]]+TableDailySummary[[#This Row],[Ventas meta ads]]</f>
        <v>84500</v>
      </c>
      <c r="AD9" s="14">
        <f>IFERROR(TableDailySummary[[#This Row],[Ventas publicidad]]/TableDailySummary[[#This Row],[Inversión publicidad]],0)</f>
        <v>0.98140293698475622</v>
      </c>
      <c r="AE9" s="14">
        <f>IFERROR(TableDailySummary[[#This Row],[Ventas primer cliente]]/TableDailySummary[[#This Row],[Inversión publicidad]],0)</f>
        <v>42.888738523247582</v>
      </c>
      <c r="AF9" s="14"/>
      <c r="AG9" s="12"/>
      <c r="AM9" s="12">
        <f>_xlfn.XLOOKUP(TableDailySummary[[#This Row],[Fecha]],SummaryDaily[day],SummaryDaily[net_sales_with_cost_recorded],0)</f>
        <v>4906006.4800000004</v>
      </c>
      <c r="AN9" s="12">
        <f>_xlfn.XLOOKUP(TableDailySummary[[#This Row],[Fecha]],SummaryDaily[day],SummaryDaily[cost_of_goods_sold],0)</f>
        <v>1299758</v>
      </c>
      <c r="AO9" s="12">
        <f>_xlfn.XLOOKUP(TableDailySummary[[#This Row],[Fecha]],SummaryDaily[day],SummaryDaily[gross_profit],0)</f>
        <v>3606248.48</v>
      </c>
      <c r="AP9" s="18">
        <f>IFERROR(TableDailySummary[[#This Row],[Utilidad bruta]]/TableDailySummary[[#This Row],[Ventas netas con costo registrado]],0)</f>
        <v>0.73506802216861311</v>
      </c>
    </row>
    <row r="10" spans="2:42" x14ac:dyDescent="0.2">
      <c r="B10" s="15" cm="1">
        <f t="array" ref="B10">MIN(SummaryDaily[day]) + (ROW(TableDailySummary[#This Row]) - ROW(TableDailySummary[[#Headers],[Dia]]) - 1)</f>
        <v>45781</v>
      </c>
      <c r="C10" s="6">
        <f>TableDailySummary[[#This Row],[Dia]]</f>
        <v>45781</v>
      </c>
      <c r="D10" s="12">
        <f>_xlfn.XLOOKUP(TableDailySummary[[#This Row],[Fecha]],SummaryDaily[day],SummaryDaily[net_sales],0)</f>
        <v>4035547.1</v>
      </c>
      <c r="E10" s="12">
        <f>_xlfn.XLOOKUP(TableDailySummary[[#This Row],[Fecha]],SummaryDaily[day],SummaryDaily[orders],0)</f>
        <v>31</v>
      </c>
      <c r="F10" s="12">
        <f>_xlfn.XLOOKUP(TableDailySummary[[#This Row],[Fecha]],SummaryDaily[day],SummaryDaily[average_order_value],0)</f>
        <v>155226.37599999999</v>
      </c>
      <c r="G10" s="24">
        <f>_xlfn.XLOOKUP(TableDailySummary[[#This Row],[Fecha]],SummaryDaily[day],SummaryDaily[Total site_conversion_rate],0)</f>
        <v>1.4749262536873156E-2</v>
      </c>
      <c r="H10" s="12">
        <f>TableDailySummary[[#This Row],[Órden promedio totales]]*TableDailySummary[[#This Row],[CR totales]]</f>
        <v>2289.474572271386</v>
      </c>
      <c r="I10" s="12">
        <f>_xlfn.XLOOKUP(TableDailySummary[[#This Row],[Fecha]],SummaryDaily[day],SummaryDaily[new_net_sales],0)</f>
        <v>2116806.73</v>
      </c>
      <c r="J10" s="12">
        <f>_xlfn.XLOOKUP(TableDailySummary[[#This Row],[Fecha]],SummaryDaily[day],SummaryDaily[new_orders],0)</f>
        <v>17</v>
      </c>
      <c r="K10" s="12">
        <f>_xlfn.XLOOKUP(TableDailySummary[[#This Row],[Fecha]],SummaryDaily[day],SummaryDaily[new_average_order_value],0)</f>
        <v>124518.042</v>
      </c>
      <c r="L10" s="12">
        <f>_xlfn.XLOOKUP(TableDailySummary[[#This Row],[Fecha]],SummaryDaily[day],SummaryDaily[Online Store_net_sales],0)</f>
        <v>4035547.1</v>
      </c>
      <c r="M10" s="12">
        <f>_xlfn.XLOOKUP(TableDailySummary[[#This Row],[Fecha]],SummaryDaily[day],SummaryDaily[Online Store_orders],0)</f>
        <v>31</v>
      </c>
      <c r="N10" s="12">
        <f>_xlfn.XLOOKUP(TableDailySummary[[#This Row],[Fecha]],SummaryDaily[day],SummaryDaily[Online Store_average_order_value],0)</f>
        <v>155226.37599999999</v>
      </c>
      <c r="O10" s="12">
        <f>_xlfn.XLOOKUP(TableDailySummary[[#This Row],[Fecha]],SummaryDaily[day],SummaryDaily[Tienda 81_net_sales],0)</f>
        <v>0</v>
      </c>
      <c r="P10" s="12">
        <f>_xlfn.XLOOKUP(TableDailySummary[[#This Row],[Fecha]],SummaryDaily[day],SummaryDaily[Tienda 81_orders],0)</f>
        <v>0</v>
      </c>
      <c r="Q10" s="12">
        <f>_xlfn.XLOOKUP(TableDailySummary[[#This Row],[Fecha]],SummaryDaily[day],SummaryDaily[Tienda 81_average_order_value],0)</f>
        <v>0</v>
      </c>
      <c r="R10" s="12">
        <f>_xlfn.XLOOKUP(TableDailySummary[[#This Row],[Fecha]],SummaryDaily[day],SummaryDaily[Rappi_net_sales],0)</f>
        <v>0</v>
      </c>
      <c r="S10" s="12">
        <f>_xlfn.XLOOKUP(TableDailySummary[[#This Row],[Fecha]],SummaryDaily[day],SummaryDaily[Rappi_orders],0)</f>
        <v>0</v>
      </c>
      <c r="T10" s="12">
        <f>_xlfn.XLOOKUP(TableDailySummary[[#This Row],[Fecha]],SummaryDaily[day],SummaryDaily[Rappi_average_order_value],0)</f>
        <v>0</v>
      </c>
      <c r="U10" s="12">
        <f>_xlfn.XLOOKUP(TableDailySummary[[#This Row],[Fecha]],SummaryDaily[day],SummaryDaily[Corporativo no tienda_net_sales],0)</f>
        <v>0</v>
      </c>
      <c r="V10" s="12">
        <f>_xlfn.XLOOKUP(TableDailySummary[[#This Row],[Fecha]],SummaryDaily[day],SummaryDaily[Corporativo no tienda_orders],0)</f>
        <v>0</v>
      </c>
      <c r="W10" s="12">
        <f>_xlfn.XLOOKUP(TableDailySummary[[#This Row],[Fecha]],SummaryDaily[day],SummaryDaily[Corporativo no tienda_average_order_value],0)</f>
        <v>0</v>
      </c>
      <c r="X10" s="12">
        <f>_xlfn.XLOOKUP(TableDailySummary[[#This Row],[Fecha]],SummaryDaily[day],SummaryDaily[GoogleAdsOperation.Cost],0)</f>
        <v>27155.47</v>
      </c>
      <c r="Y10" s="12">
        <f>SUMIFS(SalesByUTMDaily[google],SalesByUTMDaily[day],TableDailySummary[[#This Row],[Fecha]])</f>
        <v>0</v>
      </c>
      <c r="Z10" s="12">
        <f>_xlfn.XLOOKUP(TableDailySummary[[#This Row],[Fecha]],SummaryDaily[day],SummaryDaily[MetaAdsOperation.spend],0)</f>
        <v>22129</v>
      </c>
      <c r="AA10" s="12">
        <f>SUMIFS(SalesByUTMDaily[facebook],SalesByUTMDaily[day],TableDailySummary[[#This Row],[Fecha]])</f>
        <v>0</v>
      </c>
      <c r="AB10" s="12">
        <f>TableDailySummary[[#This Row],[Inversión google ads]]+TableDailySummary[[#This Row],[Inversión meta ads]]</f>
        <v>49284.47</v>
      </c>
      <c r="AC10" s="12">
        <f>TableDailySummary[[#This Row],[Ventas google ads]]+TableDailySummary[[#This Row],[Ventas meta ads]]</f>
        <v>0</v>
      </c>
      <c r="AD10" s="14">
        <f>IFERROR(TableDailySummary[[#This Row],[Ventas publicidad]]/TableDailySummary[[#This Row],[Inversión publicidad]],0)</f>
        <v>0</v>
      </c>
      <c r="AE10" s="14">
        <f>IFERROR(TableDailySummary[[#This Row],[Ventas primer cliente]]/TableDailySummary[[#This Row],[Inversión publicidad]],0)</f>
        <v>42.950786119846676</v>
      </c>
      <c r="AF10" s="14"/>
      <c r="AG10" s="12"/>
      <c r="AM10" s="12">
        <f>_xlfn.XLOOKUP(TableDailySummary[[#This Row],[Fecha]],SummaryDaily[day],SummaryDaily[net_sales_with_cost_recorded],0)</f>
        <v>3993530.29</v>
      </c>
      <c r="AN10" s="12">
        <f>_xlfn.XLOOKUP(TableDailySummary[[#This Row],[Fecha]],SummaryDaily[day],SummaryDaily[cost_of_goods_sold],0)</f>
        <v>1122666</v>
      </c>
      <c r="AO10" s="12">
        <f>_xlfn.XLOOKUP(TableDailySummary[[#This Row],[Fecha]],SummaryDaily[day],SummaryDaily[gross_profit],0)</f>
        <v>2870864.29</v>
      </c>
      <c r="AP10" s="18">
        <f>IFERROR(TableDailySummary[[#This Row],[Utilidad bruta]]/TableDailySummary[[#This Row],[Ventas netas con costo registrado]],0)</f>
        <v>0.71887880685136862</v>
      </c>
    </row>
    <row r="11" spans="2:42" x14ac:dyDescent="0.2">
      <c r="B11" s="15" cm="1">
        <f t="array" ref="B11">MIN(SummaryDaily[day]) + (ROW(TableDailySummary[#This Row]) - ROW(TableDailySummary[[#Headers],[Dia]]) - 1)</f>
        <v>45782</v>
      </c>
      <c r="C11" s="6">
        <f>TableDailySummary[[#This Row],[Dia]]</f>
        <v>45782</v>
      </c>
      <c r="D11" s="12">
        <f>_xlfn.XLOOKUP(TableDailySummary[[#This Row],[Fecha]],SummaryDaily[day],SummaryDaily[net_sales],0)</f>
        <v>3922018.65</v>
      </c>
      <c r="E11" s="12">
        <f>_xlfn.XLOOKUP(TableDailySummary[[#This Row],[Fecha]],SummaryDaily[day],SummaryDaily[orders],0)</f>
        <v>29</v>
      </c>
      <c r="F11" s="12">
        <f>_xlfn.XLOOKUP(TableDailySummary[[#This Row],[Fecha]],SummaryDaily[day],SummaryDaily[average_order_value],0)</f>
        <v>135242.022</v>
      </c>
      <c r="G11" s="24">
        <f>_xlfn.XLOOKUP(TableDailySummary[[#This Row],[Fecha]],SummaryDaily[day],SummaryDaily[Total site_conversion_rate],0)</f>
        <v>1.9963702359346643E-2</v>
      </c>
      <c r="H11" s="12">
        <f>TableDailySummary[[#This Row],[Órden promedio totales]]*TableDailySummary[[#This Row],[CR totales]]</f>
        <v>2699.9314736842107</v>
      </c>
      <c r="I11" s="12">
        <f>_xlfn.XLOOKUP(TableDailySummary[[#This Row],[Fecha]],SummaryDaily[day],SummaryDaily[new_net_sales],0)</f>
        <v>1897647.06</v>
      </c>
      <c r="J11" s="12">
        <f>_xlfn.XLOOKUP(TableDailySummary[[#This Row],[Fecha]],SummaryDaily[day],SummaryDaily[new_orders],0)</f>
        <v>15</v>
      </c>
      <c r="K11" s="12">
        <f>_xlfn.XLOOKUP(TableDailySummary[[#This Row],[Fecha]],SummaryDaily[day],SummaryDaily[new_average_order_value],0)</f>
        <v>126509.804</v>
      </c>
      <c r="L11" s="12">
        <f>_xlfn.XLOOKUP(TableDailySummary[[#This Row],[Fecha]],SummaryDaily[day],SummaryDaily[Online Store_net_sales],0)</f>
        <v>3922018.65</v>
      </c>
      <c r="M11" s="12">
        <f>_xlfn.XLOOKUP(TableDailySummary[[#This Row],[Fecha]],SummaryDaily[day],SummaryDaily[Online Store_orders],0)</f>
        <v>29</v>
      </c>
      <c r="N11" s="12">
        <f>_xlfn.XLOOKUP(TableDailySummary[[#This Row],[Fecha]],SummaryDaily[day],SummaryDaily[Online Store_average_order_value],0)</f>
        <v>135242.022</v>
      </c>
      <c r="O11" s="12">
        <f>_xlfn.XLOOKUP(TableDailySummary[[#This Row],[Fecha]],SummaryDaily[day],SummaryDaily[Tienda 81_net_sales],0)</f>
        <v>0</v>
      </c>
      <c r="P11" s="12">
        <f>_xlfn.XLOOKUP(TableDailySummary[[#This Row],[Fecha]],SummaryDaily[day],SummaryDaily[Tienda 81_orders],0)</f>
        <v>0</v>
      </c>
      <c r="Q11" s="12">
        <f>_xlfn.XLOOKUP(TableDailySummary[[#This Row],[Fecha]],SummaryDaily[day],SummaryDaily[Tienda 81_average_order_value],0)</f>
        <v>0</v>
      </c>
      <c r="R11" s="12">
        <f>_xlfn.XLOOKUP(TableDailySummary[[#This Row],[Fecha]],SummaryDaily[day],SummaryDaily[Rappi_net_sales],0)</f>
        <v>0</v>
      </c>
      <c r="S11" s="12">
        <f>_xlfn.XLOOKUP(TableDailySummary[[#This Row],[Fecha]],SummaryDaily[day],SummaryDaily[Rappi_orders],0)</f>
        <v>0</v>
      </c>
      <c r="T11" s="12">
        <f>_xlfn.XLOOKUP(TableDailySummary[[#This Row],[Fecha]],SummaryDaily[day],SummaryDaily[Rappi_average_order_value],0)</f>
        <v>0</v>
      </c>
      <c r="U11" s="12">
        <f>_xlfn.XLOOKUP(TableDailySummary[[#This Row],[Fecha]],SummaryDaily[day],SummaryDaily[Corporativo no tienda_net_sales],0)</f>
        <v>0</v>
      </c>
      <c r="V11" s="12">
        <f>_xlfn.XLOOKUP(TableDailySummary[[#This Row],[Fecha]],SummaryDaily[day],SummaryDaily[Corporativo no tienda_orders],0)</f>
        <v>0</v>
      </c>
      <c r="W11" s="12">
        <f>_xlfn.XLOOKUP(TableDailySummary[[#This Row],[Fecha]],SummaryDaily[day],SummaryDaily[Corporativo no tienda_average_order_value],0)</f>
        <v>0</v>
      </c>
      <c r="X11" s="12">
        <f>_xlfn.XLOOKUP(TableDailySummary[[#This Row],[Fecha]],SummaryDaily[day],SummaryDaily[GoogleAdsOperation.Cost],0)</f>
        <v>52911.71</v>
      </c>
      <c r="Y11" s="12">
        <f>SUMIFS(SalesByUTMDaily[google],SalesByUTMDaily[day],TableDailySummary[[#This Row],[Fecha]])</f>
        <v>0</v>
      </c>
      <c r="Z11" s="12">
        <f>_xlfn.XLOOKUP(TableDailySummary[[#This Row],[Fecha]],SummaryDaily[day],SummaryDaily[MetaAdsOperation.spend],0)</f>
        <v>18579</v>
      </c>
      <c r="AA11" s="12">
        <f>SUMIFS(SalesByUTMDaily[facebook],SalesByUTMDaily[day],TableDailySummary[[#This Row],[Fecha]])</f>
        <v>0</v>
      </c>
      <c r="AB11" s="12">
        <f>TableDailySummary[[#This Row],[Inversión google ads]]+TableDailySummary[[#This Row],[Inversión meta ads]]</f>
        <v>71490.709999999992</v>
      </c>
      <c r="AC11" s="12">
        <f>TableDailySummary[[#This Row],[Ventas google ads]]+TableDailySummary[[#This Row],[Ventas meta ads]]</f>
        <v>0</v>
      </c>
      <c r="AD11" s="14">
        <f>IFERROR(TableDailySummary[[#This Row],[Ventas publicidad]]/TableDailySummary[[#This Row],[Inversión publicidad]],0)</f>
        <v>0</v>
      </c>
      <c r="AE11" s="14">
        <f>IFERROR(TableDailySummary[[#This Row],[Ventas primer cliente]]/TableDailySummary[[#This Row],[Inversión publicidad]],0)</f>
        <v>26.5439671811904</v>
      </c>
      <c r="AF11" s="14"/>
      <c r="AG11" s="12"/>
      <c r="AM11" s="12">
        <f>_xlfn.XLOOKUP(TableDailySummary[[#This Row],[Fecha]],SummaryDaily[day],SummaryDaily[net_sales_with_cost_recorded],0)</f>
        <v>3837984.04</v>
      </c>
      <c r="AN11" s="12">
        <f>_xlfn.XLOOKUP(TableDailySummary[[#This Row],[Fecha]],SummaryDaily[day],SummaryDaily[cost_of_goods_sold],0)</f>
        <v>1058387</v>
      </c>
      <c r="AO11" s="12">
        <f>_xlfn.XLOOKUP(TableDailySummary[[#This Row],[Fecha]],SummaryDaily[day],SummaryDaily[gross_profit],0)</f>
        <v>2779597.04</v>
      </c>
      <c r="AP11" s="18">
        <f>IFERROR(TableDailySummary[[#This Row],[Utilidad bruta]]/TableDailySummary[[#This Row],[Ventas netas con costo registrado]],0)</f>
        <v>0.72423361093497407</v>
      </c>
    </row>
    <row r="12" spans="2:42" x14ac:dyDescent="0.2">
      <c r="B12" s="15" cm="1">
        <f t="array" ref="B12">MIN(SummaryDaily[day]) + (ROW(TableDailySummary[#This Row]) - ROW(TableDailySummary[[#Headers],[Dia]]) - 1)</f>
        <v>45783</v>
      </c>
      <c r="C12" s="6">
        <f>TableDailySummary[[#This Row],[Dia]]</f>
        <v>45783</v>
      </c>
      <c r="D12" s="12">
        <f>_xlfn.XLOOKUP(TableDailySummary[[#This Row],[Fecha]],SummaryDaily[day],SummaryDaily[net_sales],0)</f>
        <v>5282353.79</v>
      </c>
      <c r="E12" s="12">
        <f>_xlfn.XLOOKUP(TableDailySummary[[#This Row],[Fecha]],SummaryDaily[day],SummaryDaily[orders],0)</f>
        <v>37</v>
      </c>
      <c r="F12" s="12">
        <f>_xlfn.XLOOKUP(TableDailySummary[[#This Row],[Fecha]],SummaryDaily[day],SummaryDaily[average_order_value],0)</f>
        <v>144674.10800000001</v>
      </c>
      <c r="G12" s="24">
        <f>_xlfn.XLOOKUP(TableDailySummary[[#This Row],[Fecha]],SummaryDaily[day],SummaryDaily[Total site_conversion_rate],0)</f>
        <v>1.3024602026049204E-2</v>
      </c>
      <c r="H12" s="12">
        <f>TableDailySummary[[#This Row],[Órden promedio totales]]*TableDailySummary[[#This Row],[CR totales]]</f>
        <v>1884.3226801736614</v>
      </c>
      <c r="I12" s="12">
        <f>_xlfn.XLOOKUP(TableDailySummary[[#This Row],[Fecha]],SummaryDaily[day],SummaryDaily[new_net_sales],0)</f>
        <v>2835294.13</v>
      </c>
      <c r="J12" s="12">
        <f>_xlfn.XLOOKUP(TableDailySummary[[#This Row],[Fecha]],SummaryDaily[day],SummaryDaily[new_orders],0)</f>
        <v>24</v>
      </c>
      <c r="K12" s="12">
        <f>_xlfn.XLOOKUP(TableDailySummary[[#This Row],[Fecha]],SummaryDaily[day],SummaryDaily[new_average_order_value],0)</f>
        <v>118137.255</v>
      </c>
      <c r="L12" s="12">
        <f>_xlfn.XLOOKUP(TableDailySummary[[#This Row],[Fecha]],SummaryDaily[day],SummaryDaily[Online Store_net_sales],0)</f>
        <v>5282353.79</v>
      </c>
      <c r="M12" s="12">
        <f>_xlfn.XLOOKUP(TableDailySummary[[#This Row],[Fecha]],SummaryDaily[day],SummaryDaily[Online Store_orders],0)</f>
        <v>37</v>
      </c>
      <c r="N12" s="12">
        <f>_xlfn.XLOOKUP(TableDailySummary[[#This Row],[Fecha]],SummaryDaily[day],SummaryDaily[Online Store_average_order_value],0)</f>
        <v>144674.10800000001</v>
      </c>
      <c r="O12" s="12">
        <f>_xlfn.XLOOKUP(TableDailySummary[[#This Row],[Fecha]],SummaryDaily[day],SummaryDaily[Tienda 81_net_sales],0)</f>
        <v>0</v>
      </c>
      <c r="P12" s="12">
        <f>_xlfn.XLOOKUP(TableDailySummary[[#This Row],[Fecha]],SummaryDaily[day],SummaryDaily[Tienda 81_orders],0)</f>
        <v>0</v>
      </c>
      <c r="Q12" s="12">
        <f>_xlfn.XLOOKUP(TableDailySummary[[#This Row],[Fecha]],SummaryDaily[day],SummaryDaily[Tienda 81_average_order_value],0)</f>
        <v>0</v>
      </c>
      <c r="R12" s="12">
        <f>_xlfn.XLOOKUP(TableDailySummary[[#This Row],[Fecha]],SummaryDaily[day],SummaryDaily[Rappi_net_sales],0)</f>
        <v>0</v>
      </c>
      <c r="S12" s="12">
        <f>_xlfn.XLOOKUP(TableDailySummary[[#This Row],[Fecha]],SummaryDaily[day],SummaryDaily[Rappi_orders],0)</f>
        <v>0</v>
      </c>
      <c r="T12" s="12">
        <f>_xlfn.XLOOKUP(TableDailySummary[[#This Row],[Fecha]],SummaryDaily[day],SummaryDaily[Rappi_average_order_value],0)</f>
        <v>0</v>
      </c>
      <c r="U12" s="12">
        <f>_xlfn.XLOOKUP(TableDailySummary[[#This Row],[Fecha]],SummaryDaily[day],SummaryDaily[Corporativo no tienda_net_sales],0)</f>
        <v>0</v>
      </c>
      <c r="V12" s="12">
        <f>_xlfn.XLOOKUP(TableDailySummary[[#This Row],[Fecha]],SummaryDaily[day],SummaryDaily[Corporativo no tienda_orders],0)</f>
        <v>0</v>
      </c>
      <c r="W12" s="12">
        <f>_xlfn.XLOOKUP(TableDailySummary[[#This Row],[Fecha]],SummaryDaily[day],SummaryDaily[Corporativo no tienda_average_order_value],0)</f>
        <v>0</v>
      </c>
      <c r="X12" s="12">
        <f>_xlfn.XLOOKUP(TableDailySummary[[#This Row],[Fecha]],SummaryDaily[day],SummaryDaily[GoogleAdsOperation.Cost],0)</f>
        <v>56722.16</v>
      </c>
      <c r="Y12" s="12">
        <f>SUMIFS(SalesByUTMDaily[google],SalesByUTMDaily[day],TableDailySummary[[#This Row],[Fecha]])</f>
        <v>0</v>
      </c>
      <c r="Z12" s="12">
        <f>_xlfn.XLOOKUP(TableDailySummary[[#This Row],[Fecha]],SummaryDaily[day],SummaryDaily[MetaAdsOperation.spend],0)</f>
        <v>19221</v>
      </c>
      <c r="AA12" s="12">
        <f>SUMIFS(SalesByUTMDaily[facebook],SalesByUTMDaily[day],TableDailySummary[[#This Row],[Fecha]])</f>
        <v>0</v>
      </c>
      <c r="AB12" s="12">
        <f>TableDailySummary[[#This Row],[Inversión google ads]]+TableDailySummary[[#This Row],[Inversión meta ads]]</f>
        <v>75943.16</v>
      </c>
      <c r="AC12" s="12">
        <f>TableDailySummary[[#This Row],[Ventas google ads]]+TableDailySummary[[#This Row],[Ventas meta ads]]</f>
        <v>0</v>
      </c>
      <c r="AD12" s="14">
        <f>IFERROR(TableDailySummary[[#This Row],[Ventas publicidad]]/TableDailySummary[[#This Row],[Inversión publicidad]],0)</f>
        <v>0</v>
      </c>
      <c r="AE12" s="14">
        <f>IFERROR(TableDailySummary[[#This Row],[Ventas primer cliente]]/TableDailySummary[[#This Row],[Inversión publicidad]],0)</f>
        <v>37.334423929686359</v>
      </c>
      <c r="AF12" s="14"/>
      <c r="AG12" s="12"/>
      <c r="AM12" s="12">
        <f>_xlfn.XLOOKUP(TableDailySummary[[#This Row],[Fecha]],SummaryDaily[day],SummaryDaily[net_sales_with_cost_recorded],0)</f>
        <v>5240336.1399999997</v>
      </c>
      <c r="AN12" s="12">
        <f>_xlfn.XLOOKUP(TableDailySummary[[#This Row],[Fecha]],SummaryDaily[day],SummaryDaily[cost_of_goods_sold],0)</f>
        <v>1311981</v>
      </c>
      <c r="AO12" s="12">
        <f>_xlfn.XLOOKUP(TableDailySummary[[#This Row],[Fecha]],SummaryDaily[day],SummaryDaily[gross_profit],0)</f>
        <v>3928355.14</v>
      </c>
      <c r="AP12" s="18">
        <f>IFERROR(TableDailySummary[[#This Row],[Utilidad bruta]]/TableDailySummary[[#This Row],[Ventas netas con costo registrado]],0)</f>
        <v>0.74963800700006245</v>
      </c>
    </row>
    <row r="13" spans="2:42" x14ac:dyDescent="0.2">
      <c r="B13" s="15" cm="1">
        <f t="array" ref="B13">MIN(SummaryDaily[day]) + (ROW(TableDailySummary[#This Row]) - ROW(TableDailySummary[[#Headers],[Dia]]) - 1)</f>
        <v>45784</v>
      </c>
      <c r="C13" s="6">
        <f>TableDailySummary[[#This Row],[Dia]]</f>
        <v>45784</v>
      </c>
      <c r="D13" s="12">
        <f>_xlfn.XLOOKUP(TableDailySummary[[#This Row],[Fecha]],SummaryDaily[day],SummaryDaily[net_sales],0)</f>
        <v>1417647.05</v>
      </c>
      <c r="E13" s="12">
        <f>_xlfn.XLOOKUP(TableDailySummary[[#This Row],[Fecha]],SummaryDaily[day],SummaryDaily[orders],0)</f>
        <v>14</v>
      </c>
      <c r="F13" s="12">
        <f>_xlfn.XLOOKUP(TableDailySummary[[#This Row],[Fecha]],SummaryDaily[day],SummaryDaily[average_order_value],0)</f>
        <v>101260.503</v>
      </c>
      <c r="G13" s="24">
        <f>_xlfn.XLOOKUP(TableDailySummary[[#This Row],[Fecha]],SummaryDaily[day],SummaryDaily[Total site_conversion_rate],0)</f>
        <v>2.318840579710145E-2</v>
      </c>
      <c r="H13" s="12">
        <f>TableDailySummary[[#This Row],[Órden promedio totales]]*TableDailySummary[[#This Row],[CR totales]]</f>
        <v>2348.0696347826088</v>
      </c>
      <c r="I13" s="12">
        <f>_xlfn.XLOOKUP(TableDailySummary[[#This Row],[Fecha]],SummaryDaily[day],SummaryDaily[new_net_sales],0)</f>
        <v>919327.73</v>
      </c>
      <c r="J13" s="12">
        <f>_xlfn.XLOOKUP(TableDailySummary[[#This Row],[Fecha]],SummaryDaily[day],SummaryDaily[new_orders],0)</f>
        <v>10</v>
      </c>
      <c r="K13" s="12">
        <f>_xlfn.XLOOKUP(TableDailySummary[[#This Row],[Fecha]],SummaryDaily[day],SummaryDaily[new_average_order_value],0)</f>
        <v>91932.773000000001</v>
      </c>
      <c r="L13" s="12">
        <f>_xlfn.XLOOKUP(TableDailySummary[[#This Row],[Fecha]],SummaryDaily[day],SummaryDaily[Online Store_net_sales],0)</f>
        <v>1417647.05</v>
      </c>
      <c r="M13" s="12">
        <f>_xlfn.XLOOKUP(TableDailySummary[[#This Row],[Fecha]],SummaryDaily[day],SummaryDaily[Online Store_orders],0)</f>
        <v>14</v>
      </c>
      <c r="N13" s="12">
        <f>_xlfn.XLOOKUP(TableDailySummary[[#This Row],[Fecha]],SummaryDaily[day],SummaryDaily[Online Store_average_order_value],0)</f>
        <v>101260.503</v>
      </c>
      <c r="O13" s="12">
        <f>_xlfn.XLOOKUP(TableDailySummary[[#This Row],[Fecha]],SummaryDaily[day],SummaryDaily[Tienda 81_net_sales],0)</f>
        <v>0</v>
      </c>
      <c r="P13" s="12">
        <f>_xlfn.XLOOKUP(TableDailySummary[[#This Row],[Fecha]],SummaryDaily[day],SummaryDaily[Tienda 81_orders],0)</f>
        <v>0</v>
      </c>
      <c r="Q13" s="12">
        <f>_xlfn.XLOOKUP(TableDailySummary[[#This Row],[Fecha]],SummaryDaily[day],SummaryDaily[Tienda 81_average_order_value],0)</f>
        <v>0</v>
      </c>
      <c r="R13" s="12">
        <f>_xlfn.XLOOKUP(TableDailySummary[[#This Row],[Fecha]],SummaryDaily[day],SummaryDaily[Rappi_net_sales],0)</f>
        <v>0</v>
      </c>
      <c r="S13" s="12">
        <f>_xlfn.XLOOKUP(TableDailySummary[[#This Row],[Fecha]],SummaryDaily[day],SummaryDaily[Rappi_orders],0)</f>
        <v>0</v>
      </c>
      <c r="T13" s="12">
        <f>_xlfn.XLOOKUP(TableDailySummary[[#This Row],[Fecha]],SummaryDaily[day],SummaryDaily[Rappi_average_order_value],0)</f>
        <v>0</v>
      </c>
      <c r="U13" s="12">
        <f>_xlfn.XLOOKUP(TableDailySummary[[#This Row],[Fecha]],SummaryDaily[day],SummaryDaily[Corporativo no tienda_net_sales],0)</f>
        <v>0</v>
      </c>
      <c r="V13" s="12">
        <f>_xlfn.XLOOKUP(TableDailySummary[[#This Row],[Fecha]],SummaryDaily[day],SummaryDaily[Corporativo no tienda_orders],0)</f>
        <v>0</v>
      </c>
      <c r="W13" s="12">
        <f>_xlfn.XLOOKUP(TableDailySummary[[#This Row],[Fecha]],SummaryDaily[day],SummaryDaily[Corporativo no tienda_average_order_value],0)</f>
        <v>0</v>
      </c>
      <c r="X13" s="12">
        <f>_xlfn.XLOOKUP(TableDailySummary[[#This Row],[Fecha]],SummaryDaily[day],SummaryDaily[GoogleAdsOperation.Cost],0)</f>
        <v>61998.74</v>
      </c>
      <c r="Y13" s="12">
        <f>SUMIFS(SalesByUTMDaily[google],SalesByUTMDaily[day],TableDailySummary[[#This Row],[Fecha]])</f>
        <v>0</v>
      </c>
      <c r="Z13" s="12">
        <f>_xlfn.XLOOKUP(TableDailySummary[[#This Row],[Fecha]],SummaryDaily[day],SummaryDaily[MetaAdsOperation.spend],0)</f>
        <v>20396</v>
      </c>
      <c r="AA13" s="12">
        <f>SUMIFS(SalesByUTMDaily[facebook],SalesByUTMDaily[day],TableDailySummary[[#This Row],[Fecha]])</f>
        <v>0</v>
      </c>
      <c r="AB13" s="12">
        <f>TableDailySummary[[#This Row],[Inversión google ads]]+TableDailySummary[[#This Row],[Inversión meta ads]]</f>
        <v>82394.739999999991</v>
      </c>
      <c r="AC13" s="12">
        <f>TableDailySummary[[#This Row],[Ventas google ads]]+TableDailySummary[[#This Row],[Ventas meta ads]]</f>
        <v>0</v>
      </c>
      <c r="AD13" s="14">
        <f>IFERROR(TableDailySummary[[#This Row],[Ventas publicidad]]/TableDailySummary[[#This Row],[Inversión publicidad]],0)</f>
        <v>0</v>
      </c>
      <c r="AE13" s="14">
        <f>IFERROR(TableDailySummary[[#This Row],[Ventas primer cliente]]/TableDailySummary[[#This Row],[Inversión publicidad]],0)</f>
        <v>11.157602172177496</v>
      </c>
      <c r="AF13" s="14"/>
      <c r="AG13" s="12"/>
      <c r="AM13" s="12">
        <f>_xlfn.XLOOKUP(TableDailySummary[[#This Row],[Fecha]],SummaryDaily[day],SummaryDaily[net_sales_with_cost_recorded],0)</f>
        <v>1375630.24</v>
      </c>
      <c r="AN13" s="12">
        <f>_xlfn.XLOOKUP(TableDailySummary[[#This Row],[Fecha]],SummaryDaily[day],SummaryDaily[cost_of_goods_sold],0)</f>
        <v>292251</v>
      </c>
      <c r="AO13" s="12">
        <f>_xlfn.XLOOKUP(TableDailySummary[[#This Row],[Fecha]],SummaryDaily[day],SummaryDaily[gross_profit],0)</f>
        <v>1083379.24</v>
      </c>
      <c r="AP13" s="18">
        <f>IFERROR(TableDailySummary[[#This Row],[Utilidad bruta]]/TableDailySummary[[#This Row],[Ventas netas con costo registrado]],0)</f>
        <v>0.78755119544333363</v>
      </c>
    </row>
    <row r="14" spans="2:42" x14ac:dyDescent="0.2">
      <c r="B14" s="15" cm="1">
        <f t="array" ref="B14">MIN(SummaryDaily[day]) + (ROW(TableDailySummary[#This Row]) - ROW(TableDailySummary[[#Headers],[Dia]]) - 1)</f>
        <v>45785</v>
      </c>
      <c r="C14" s="6">
        <f>TableDailySummary[[#This Row],[Dia]]</f>
        <v>45785</v>
      </c>
      <c r="D14" s="12">
        <f>_xlfn.XLOOKUP(TableDailySummary[[#This Row],[Fecha]],SummaryDaily[day],SummaryDaily[net_sales],0)</f>
        <v>3243373.91</v>
      </c>
      <c r="E14" s="12">
        <f>_xlfn.XLOOKUP(TableDailySummary[[#This Row],[Fecha]],SummaryDaily[day],SummaryDaily[orders],0)</f>
        <v>14</v>
      </c>
      <c r="F14" s="12">
        <f>_xlfn.XLOOKUP(TableDailySummary[[#This Row],[Fecha]],SummaryDaily[day],SummaryDaily[average_order_value],0)</f>
        <v>325519.625</v>
      </c>
      <c r="G14" s="24">
        <f>_xlfn.XLOOKUP(TableDailySummary[[#This Row],[Fecha]],SummaryDaily[day],SummaryDaily[Total site_conversion_rate],0)</f>
        <v>1.8711018711018712E-2</v>
      </c>
      <c r="H14" s="12">
        <f>TableDailySummary[[#This Row],[Órden promedio totales]]*TableDailySummary[[#This Row],[CR totales]]</f>
        <v>6090.8037941787943</v>
      </c>
      <c r="I14" s="12">
        <f>_xlfn.XLOOKUP(TableDailySummary[[#This Row],[Fecha]],SummaryDaily[day],SummaryDaily[new_net_sales],0)</f>
        <v>2247575.6</v>
      </c>
      <c r="J14" s="12">
        <f>_xlfn.XLOOKUP(TableDailySummary[[#This Row],[Fecha]],SummaryDaily[day],SummaryDaily[new_orders],0)</f>
        <v>7</v>
      </c>
      <c r="K14" s="12">
        <f>_xlfn.XLOOKUP(TableDailySummary[[#This Row],[Fecha]],SummaryDaily[day],SummaryDaily[new_average_order_value],0)</f>
        <v>321082.228</v>
      </c>
      <c r="L14" s="12">
        <f>_xlfn.XLOOKUP(TableDailySummary[[#This Row],[Fecha]],SummaryDaily[day],SummaryDaily[Online Store_net_sales],0)</f>
        <v>3243373.91</v>
      </c>
      <c r="M14" s="12">
        <f>_xlfn.XLOOKUP(TableDailySummary[[#This Row],[Fecha]],SummaryDaily[day],SummaryDaily[Online Store_orders],0)</f>
        <v>14</v>
      </c>
      <c r="N14" s="12">
        <f>_xlfn.XLOOKUP(TableDailySummary[[#This Row],[Fecha]],SummaryDaily[day],SummaryDaily[Online Store_average_order_value],0)</f>
        <v>325519.625</v>
      </c>
      <c r="O14" s="12">
        <f>_xlfn.XLOOKUP(TableDailySummary[[#This Row],[Fecha]],SummaryDaily[day],SummaryDaily[Tienda 81_net_sales],0)</f>
        <v>0</v>
      </c>
      <c r="P14" s="12">
        <f>_xlfn.XLOOKUP(TableDailySummary[[#This Row],[Fecha]],SummaryDaily[day],SummaryDaily[Tienda 81_orders],0)</f>
        <v>0</v>
      </c>
      <c r="Q14" s="12">
        <f>_xlfn.XLOOKUP(TableDailySummary[[#This Row],[Fecha]],SummaryDaily[day],SummaryDaily[Tienda 81_average_order_value],0)</f>
        <v>0</v>
      </c>
      <c r="R14" s="12">
        <f>_xlfn.XLOOKUP(TableDailySummary[[#This Row],[Fecha]],SummaryDaily[day],SummaryDaily[Rappi_net_sales],0)</f>
        <v>0</v>
      </c>
      <c r="S14" s="12">
        <f>_xlfn.XLOOKUP(TableDailySummary[[#This Row],[Fecha]],SummaryDaily[day],SummaryDaily[Rappi_orders],0)</f>
        <v>0</v>
      </c>
      <c r="T14" s="12">
        <f>_xlfn.XLOOKUP(TableDailySummary[[#This Row],[Fecha]],SummaryDaily[day],SummaryDaily[Rappi_average_order_value],0)</f>
        <v>0</v>
      </c>
      <c r="U14" s="12">
        <f>_xlfn.XLOOKUP(TableDailySummary[[#This Row],[Fecha]],SummaryDaily[day],SummaryDaily[Corporativo no tienda_net_sales],0)</f>
        <v>0</v>
      </c>
      <c r="V14" s="12">
        <f>_xlfn.XLOOKUP(TableDailySummary[[#This Row],[Fecha]],SummaryDaily[day],SummaryDaily[Corporativo no tienda_orders],0)</f>
        <v>0</v>
      </c>
      <c r="W14" s="12">
        <f>_xlfn.XLOOKUP(TableDailySummary[[#This Row],[Fecha]],SummaryDaily[day],SummaryDaily[Corporativo no tienda_average_order_value],0)</f>
        <v>0</v>
      </c>
      <c r="X14" s="12">
        <f>_xlfn.XLOOKUP(TableDailySummary[[#This Row],[Fecha]],SummaryDaily[day],SummaryDaily[GoogleAdsOperation.Cost],0)</f>
        <v>61454.39</v>
      </c>
      <c r="Y14" s="12">
        <f>SUMIFS(SalesByUTMDaily[google],SalesByUTMDaily[day],TableDailySummary[[#This Row],[Fecha]])</f>
        <v>0</v>
      </c>
      <c r="Z14" s="12">
        <f>_xlfn.XLOOKUP(TableDailySummary[[#This Row],[Fecha]],SummaryDaily[day],SummaryDaily[MetaAdsOperation.spend],0)</f>
        <v>20462</v>
      </c>
      <c r="AA14" s="12">
        <f>SUMIFS(SalesByUTMDaily[facebook],SalesByUTMDaily[day],TableDailySummary[[#This Row],[Fecha]])</f>
        <v>140000</v>
      </c>
      <c r="AB14" s="12">
        <f>TableDailySummary[[#This Row],[Inversión google ads]]+TableDailySummary[[#This Row],[Inversión meta ads]]</f>
        <v>81916.39</v>
      </c>
      <c r="AC14" s="12">
        <f>TableDailySummary[[#This Row],[Ventas google ads]]+TableDailySummary[[#This Row],[Ventas meta ads]]</f>
        <v>140000</v>
      </c>
      <c r="AD14" s="14">
        <f>IFERROR(TableDailySummary[[#This Row],[Ventas publicidad]]/TableDailySummary[[#This Row],[Inversión publicidad]],0)</f>
        <v>1.7090596887875553</v>
      </c>
      <c r="AE14" s="14">
        <f>IFERROR(TableDailySummary[[#This Row],[Ventas primer cliente]]/TableDailySummary[[#This Row],[Inversión publicidad]],0)</f>
        <v>27.437434681875022</v>
      </c>
      <c r="AF14" s="14"/>
      <c r="AG14" s="12"/>
      <c r="AM14" s="12">
        <f>_xlfn.XLOOKUP(TableDailySummary[[#This Row],[Fecha]],SummaryDaily[day],SummaryDaily[net_sales_with_cost_recorded],0)</f>
        <v>3243373.91</v>
      </c>
      <c r="AN14" s="12">
        <f>_xlfn.XLOOKUP(TableDailySummary[[#This Row],[Fecha]],SummaryDaily[day],SummaryDaily[cost_of_goods_sold],0)</f>
        <v>741427</v>
      </c>
      <c r="AO14" s="12">
        <f>_xlfn.XLOOKUP(TableDailySummary[[#This Row],[Fecha]],SummaryDaily[day],SummaryDaily[gross_profit],0)</f>
        <v>2501946.91</v>
      </c>
      <c r="AP14" s="18">
        <f>IFERROR(TableDailySummary[[#This Row],[Utilidad bruta]]/TableDailySummary[[#This Row],[Ventas netas con costo registrado]],0)</f>
        <v>0.77140255161021509</v>
      </c>
    </row>
    <row r="15" spans="2:42" x14ac:dyDescent="0.2">
      <c r="B15" s="15" cm="1">
        <f t="array" ref="B15">MIN(SummaryDaily[day]) + (ROW(TableDailySummary[#This Row]) - ROW(TableDailySummary[[#Headers],[Dia]]) - 1)</f>
        <v>45786</v>
      </c>
      <c r="C15" s="6">
        <f>TableDailySummary[[#This Row],[Dia]]</f>
        <v>45786</v>
      </c>
      <c r="D15" s="12">
        <f>_xlfn.XLOOKUP(TableDailySummary[[#This Row],[Fecha]],SummaryDaily[day],SummaryDaily[net_sales],0)</f>
        <v>2173949.59</v>
      </c>
      <c r="E15" s="12">
        <f>_xlfn.XLOOKUP(TableDailySummary[[#This Row],[Fecha]],SummaryDaily[day],SummaryDaily[orders],0)</f>
        <v>16</v>
      </c>
      <c r="F15" s="12">
        <f>_xlfn.XLOOKUP(TableDailySummary[[#This Row],[Fecha]],SummaryDaily[day],SummaryDaily[average_order_value],0)</f>
        <v>125630.25199999999</v>
      </c>
      <c r="G15" s="24">
        <f>_xlfn.XLOOKUP(TableDailySummary[[#This Row],[Fecha]],SummaryDaily[day],SummaryDaily[Total site_conversion_rate],0)</f>
        <v>2.2408963585434174E-2</v>
      </c>
      <c r="H15" s="12">
        <f>TableDailySummary[[#This Row],[Órden promedio totales]]*TableDailySummary[[#This Row],[CR totales]]</f>
        <v>2815.2437422969188</v>
      </c>
      <c r="I15" s="12">
        <f>_xlfn.XLOOKUP(TableDailySummary[[#This Row],[Fecha]],SummaryDaily[day],SummaryDaily[new_net_sales],0)</f>
        <v>653781.51</v>
      </c>
      <c r="J15" s="12">
        <f>_xlfn.XLOOKUP(TableDailySummary[[#This Row],[Fecha]],SummaryDaily[day],SummaryDaily[new_orders],0)</f>
        <v>4</v>
      </c>
      <c r="K15" s="12">
        <f>_xlfn.XLOOKUP(TableDailySummary[[#This Row],[Fecha]],SummaryDaily[day],SummaryDaily[new_average_order_value],0)</f>
        <v>163445.37700000001</v>
      </c>
      <c r="L15" s="12">
        <f>_xlfn.XLOOKUP(TableDailySummary[[#This Row],[Fecha]],SummaryDaily[day],SummaryDaily[Online Store_net_sales],0)</f>
        <v>2173949.59</v>
      </c>
      <c r="M15" s="12">
        <f>_xlfn.XLOOKUP(TableDailySummary[[#This Row],[Fecha]],SummaryDaily[day],SummaryDaily[Online Store_orders],0)</f>
        <v>16</v>
      </c>
      <c r="N15" s="12">
        <f>_xlfn.XLOOKUP(TableDailySummary[[#This Row],[Fecha]],SummaryDaily[day],SummaryDaily[Online Store_average_order_value],0)</f>
        <v>125630.25199999999</v>
      </c>
      <c r="O15" s="12">
        <f>_xlfn.XLOOKUP(TableDailySummary[[#This Row],[Fecha]],SummaryDaily[day],SummaryDaily[Tienda 81_net_sales],0)</f>
        <v>0</v>
      </c>
      <c r="P15" s="12">
        <f>_xlfn.XLOOKUP(TableDailySummary[[#This Row],[Fecha]],SummaryDaily[day],SummaryDaily[Tienda 81_orders],0)</f>
        <v>0</v>
      </c>
      <c r="Q15" s="12">
        <f>_xlfn.XLOOKUP(TableDailySummary[[#This Row],[Fecha]],SummaryDaily[day],SummaryDaily[Tienda 81_average_order_value],0)</f>
        <v>0</v>
      </c>
      <c r="R15" s="12">
        <f>_xlfn.XLOOKUP(TableDailySummary[[#This Row],[Fecha]],SummaryDaily[day],SummaryDaily[Rappi_net_sales],0)</f>
        <v>0</v>
      </c>
      <c r="S15" s="12">
        <f>_xlfn.XLOOKUP(TableDailySummary[[#This Row],[Fecha]],SummaryDaily[day],SummaryDaily[Rappi_orders],0)</f>
        <v>0</v>
      </c>
      <c r="T15" s="12">
        <f>_xlfn.XLOOKUP(TableDailySummary[[#This Row],[Fecha]],SummaryDaily[day],SummaryDaily[Rappi_average_order_value],0)</f>
        <v>0</v>
      </c>
      <c r="U15" s="12">
        <f>_xlfn.XLOOKUP(TableDailySummary[[#This Row],[Fecha]],SummaryDaily[day],SummaryDaily[Corporativo no tienda_net_sales],0)</f>
        <v>0</v>
      </c>
      <c r="V15" s="12">
        <f>_xlfn.XLOOKUP(TableDailySummary[[#This Row],[Fecha]],SummaryDaily[day],SummaryDaily[Corporativo no tienda_orders],0)</f>
        <v>0</v>
      </c>
      <c r="W15" s="12">
        <f>_xlfn.XLOOKUP(TableDailySummary[[#This Row],[Fecha]],SummaryDaily[day],SummaryDaily[Corporativo no tienda_average_order_value],0)</f>
        <v>0</v>
      </c>
      <c r="X15" s="12">
        <f>_xlfn.XLOOKUP(TableDailySummary[[#This Row],[Fecha]],SummaryDaily[day],SummaryDaily[GoogleAdsOperation.Cost],0)</f>
        <v>26713.26</v>
      </c>
      <c r="Y15" s="12">
        <f>SUMIFS(SalesByUTMDaily[google],SalesByUTMDaily[day],TableDailySummary[[#This Row],[Fecha]])</f>
        <v>0</v>
      </c>
      <c r="Z15" s="12">
        <f>_xlfn.XLOOKUP(TableDailySummary[[#This Row],[Fecha]],SummaryDaily[day],SummaryDaily[MetaAdsOperation.spend],0)</f>
        <v>15057</v>
      </c>
      <c r="AA15" s="12">
        <f>SUMIFS(SalesByUTMDaily[facebook],SalesByUTMDaily[day],TableDailySummary[[#This Row],[Fecha]])</f>
        <v>0</v>
      </c>
      <c r="AB15" s="12">
        <f>TableDailySummary[[#This Row],[Inversión google ads]]+TableDailySummary[[#This Row],[Inversión meta ads]]</f>
        <v>41770.259999999995</v>
      </c>
      <c r="AC15" s="12">
        <f>TableDailySummary[[#This Row],[Ventas google ads]]+TableDailySummary[[#This Row],[Ventas meta ads]]</f>
        <v>0</v>
      </c>
      <c r="AD15" s="14">
        <f>IFERROR(TableDailySummary[[#This Row],[Ventas publicidad]]/TableDailySummary[[#This Row],[Inversión publicidad]],0)</f>
        <v>0</v>
      </c>
      <c r="AE15" s="14">
        <f>IFERROR(TableDailySummary[[#This Row],[Ventas primer cliente]]/TableDailySummary[[#This Row],[Inversión publicidad]],0)</f>
        <v>15.651842004335144</v>
      </c>
      <c r="AF15" s="14"/>
      <c r="AG15" s="12"/>
      <c r="AM15" s="12">
        <f>_xlfn.XLOOKUP(TableDailySummary[[#This Row],[Fecha]],SummaryDaily[day],SummaryDaily[net_sales_with_cost_recorded],0)</f>
        <v>2173949.59</v>
      </c>
      <c r="AN15" s="12">
        <f>_xlfn.XLOOKUP(TableDailySummary[[#This Row],[Fecha]],SummaryDaily[day],SummaryDaily[cost_of_goods_sold],0)</f>
        <v>488871</v>
      </c>
      <c r="AO15" s="12">
        <f>_xlfn.XLOOKUP(TableDailySummary[[#This Row],[Fecha]],SummaryDaily[day],SummaryDaily[gross_profit],0)</f>
        <v>1685078.59</v>
      </c>
      <c r="AP15" s="18">
        <f>IFERROR(TableDailySummary[[#This Row],[Utilidad bruta]]/TableDailySummary[[#This Row],[Ventas netas con costo registrado]],0)</f>
        <v>0.77512312049517218</v>
      </c>
    </row>
    <row r="16" spans="2:42" x14ac:dyDescent="0.2">
      <c r="B16" s="15" cm="1">
        <f t="array" ref="B16">MIN(SummaryDaily[day]) + (ROW(TableDailySummary[#This Row]) - ROW(TableDailySummary[[#Headers],[Dia]]) - 1)</f>
        <v>45787</v>
      </c>
      <c r="C16" s="6">
        <f>TableDailySummary[[#This Row],[Dia]]</f>
        <v>45787</v>
      </c>
      <c r="D16" s="12">
        <f>_xlfn.XLOOKUP(TableDailySummary[[#This Row],[Fecha]],SummaryDaily[day],SummaryDaily[net_sales],0)</f>
        <v>756093.27</v>
      </c>
      <c r="E16" s="12">
        <f>_xlfn.XLOOKUP(TableDailySummary[[#This Row],[Fecha]],SummaryDaily[day],SummaryDaily[orders],0)</f>
        <v>10</v>
      </c>
      <c r="F16" s="12">
        <f>_xlfn.XLOOKUP(TableDailySummary[[#This Row],[Fecha]],SummaryDaily[day],SummaryDaily[average_order_value],0)</f>
        <v>75609.327000000005</v>
      </c>
      <c r="G16" s="24">
        <f>_xlfn.XLOOKUP(TableDailySummary[[#This Row],[Fecha]],SummaryDaily[day],SummaryDaily[Total site_conversion_rate],0)</f>
        <v>9.7847358121330719E-3</v>
      </c>
      <c r="H16" s="12">
        <f>TableDailySummary[[#This Row],[Órden promedio totales]]*TableDailySummary[[#This Row],[CR totales]]</f>
        <v>739.81728962817999</v>
      </c>
      <c r="I16" s="12">
        <f>_xlfn.XLOOKUP(TableDailySummary[[#This Row],[Fecha]],SummaryDaily[day],SummaryDaily[new_net_sales],0)</f>
        <v>235294.11</v>
      </c>
      <c r="J16" s="12">
        <f>_xlfn.XLOOKUP(TableDailySummary[[#This Row],[Fecha]],SummaryDaily[day],SummaryDaily[new_orders],0)</f>
        <v>3</v>
      </c>
      <c r="K16" s="12">
        <f>_xlfn.XLOOKUP(TableDailySummary[[#This Row],[Fecha]],SummaryDaily[day],SummaryDaily[new_average_order_value],0)</f>
        <v>78431.37</v>
      </c>
      <c r="L16" s="12">
        <f>_xlfn.XLOOKUP(TableDailySummary[[#This Row],[Fecha]],SummaryDaily[day],SummaryDaily[Online Store_net_sales],0)</f>
        <v>756093.27</v>
      </c>
      <c r="M16" s="12">
        <f>_xlfn.XLOOKUP(TableDailySummary[[#This Row],[Fecha]],SummaryDaily[day],SummaryDaily[Online Store_orders],0)</f>
        <v>10</v>
      </c>
      <c r="N16" s="12">
        <f>_xlfn.XLOOKUP(TableDailySummary[[#This Row],[Fecha]],SummaryDaily[day],SummaryDaily[Online Store_average_order_value],0)</f>
        <v>75609.327000000005</v>
      </c>
      <c r="O16" s="12">
        <f>_xlfn.XLOOKUP(TableDailySummary[[#This Row],[Fecha]],SummaryDaily[day],SummaryDaily[Tienda 81_net_sales],0)</f>
        <v>0</v>
      </c>
      <c r="P16" s="12">
        <f>_xlfn.XLOOKUP(TableDailySummary[[#This Row],[Fecha]],SummaryDaily[day],SummaryDaily[Tienda 81_orders],0)</f>
        <v>0</v>
      </c>
      <c r="Q16" s="12">
        <f>_xlfn.XLOOKUP(TableDailySummary[[#This Row],[Fecha]],SummaryDaily[day],SummaryDaily[Tienda 81_average_order_value],0)</f>
        <v>0</v>
      </c>
      <c r="R16" s="12">
        <f>_xlfn.XLOOKUP(TableDailySummary[[#This Row],[Fecha]],SummaryDaily[day],SummaryDaily[Rappi_net_sales],0)</f>
        <v>0</v>
      </c>
      <c r="S16" s="12">
        <f>_xlfn.XLOOKUP(TableDailySummary[[#This Row],[Fecha]],SummaryDaily[day],SummaryDaily[Rappi_orders],0)</f>
        <v>0</v>
      </c>
      <c r="T16" s="12">
        <f>_xlfn.XLOOKUP(TableDailySummary[[#This Row],[Fecha]],SummaryDaily[day],SummaryDaily[Rappi_average_order_value],0)</f>
        <v>0</v>
      </c>
      <c r="U16" s="12">
        <f>_xlfn.XLOOKUP(TableDailySummary[[#This Row],[Fecha]],SummaryDaily[day],SummaryDaily[Corporativo no tienda_net_sales],0)</f>
        <v>0</v>
      </c>
      <c r="V16" s="12">
        <f>_xlfn.XLOOKUP(TableDailySummary[[#This Row],[Fecha]],SummaryDaily[day],SummaryDaily[Corporativo no tienda_orders],0)</f>
        <v>0</v>
      </c>
      <c r="W16" s="12">
        <f>_xlfn.XLOOKUP(TableDailySummary[[#This Row],[Fecha]],SummaryDaily[day],SummaryDaily[Corporativo no tienda_average_order_value],0)</f>
        <v>0</v>
      </c>
      <c r="X16" s="12">
        <f>_xlfn.XLOOKUP(TableDailySummary[[#This Row],[Fecha]],SummaryDaily[day],SummaryDaily[GoogleAdsOperation.Cost],0)</f>
        <v>75391.72</v>
      </c>
      <c r="Y16" s="12">
        <f>SUMIFS(SalesByUTMDaily[google],SalesByUTMDaily[day],TableDailySummary[[#This Row],[Fecha]])</f>
        <v>0</v>
      </c>
      <c r="Z16" s="12">
        <f>_xlfn.XLOOKUP(TableDailySummary[[#This Row],[Fecha]],SummaryDaily[day],SummaryDaily[MetaAdsOperation.spend],0)</f>
        <v>23879</v>
      </c>
      <c r="AA16" s="12">
        <f>SUMIFS(SalesByUTMDaily[facebook],SalesByUTMDaily[day],TableDailySummary[[#This Row],[Fecha]])</f>
        <v>84500</v>
      </c>
      <c r="AB16" s="12">
        <f>TableDailySummary[[#This Row],[Inversión google ads]]+TableDailySummary[[#This Row],[Inversión meta ads]]</f>
        <v>99270.720000000001</v>
      </c>
      <c r="AC16" s="12">
        <f>TableDailySummary[[#This Row],[Ventas google ads]]+TableDailySummary[[#This Row],[Ventas meta ads]]</f>
        <v>84500</v>
      </c>
      <c r="AD16" s="14">
        <f>IFERROR(TableDailySummary[[#This Row],[Ventas publicidad]]/TableDailySummary[[#This Row],[Inversión publicidad]],0)</f>
        <v>0.85120768742283726</v>
      </c>
      <c r="AE16" s="14">
        <f>IFERROR(TableDailySummary[[#This Row],[Ventas primer cliente]]/TableDailySummary[[#This Row],[Inversión publicidad]],0)</f>
        <v>2.37022668919899</v>
      </c>
      <c r="AF16" s="14"/>
      <c r="AG16" s="12"/>
      <c r="AM16" s="12">
        <f>_xlfn.XLOOKUP(TableDailySummary[[#This Row],[Fecha]],SummaryDaily[day],SummaryDaily[net_sales_with_cost_recorded],0)</f>
        <v>756092.43</v>
      </c>
      <c r="AN16" s="12">
        <f>_xlfn.XLOOKUP(TableDailySummary[[#This Row],[Fecha]],SummaryDaily[day],SummaryDaily[cost_of_goods_sold],0)</f>
        <v>212555</v>
      </c>
      <c r="AO16" s="12">
        <f>_xlfn.XLOOKUP(TableDailySummary[[#This Row],[Fecha]],SummaryDaily[day],SummaryDaily[gross_profit],0)</f>
        <v>543537.43000000005</v>
      </c>
      <c r="AP16" s="18">
        <f>IFERROR(TableDailySummary[[#This Row],[Utilidad bruta]]/TableDailySummary[[#This Row],[Ventas netas con costo registrado]],0)</f>
        <v>0.71887696323054051</v>
      </c>
    </row>
    <row r="17" spans="2:42" x14ac:dyDescent="0.2">
      <c r="B17" s="15" cm="1">
        <f t="array" ref="B17">MIN(SummaryDaily[day]) + (ROW(TableDailySummary[#This Row]) - ROW(TableDailySummary[[#Headers],[Dia]]) - 1)</f>
        <v>45788</v>
      </c>
      <c r="C17" s="6">
        <f>TableDailySummary[[#This Row],[Dia]]</f>
        <v>45788</v>
      </c>
      <c r="D17" s="12">
        <f>_xlfn.XLOOKUP(TableDailySummary[[#This Row],[Fecha]],SummaryDaily[day],SummaryDaily[net_sales],0)</f>
        <v>200000</v>
      </c>
      <c r="E17" s="12">
        <f>_xlfn.XLOOKUP(TableDailySummary[[#This Row],[Fecha]],SummaryDaily[day],SummaryDaily[orders],0)</f>
        <v>2</v>
      </c>
      <c r="F17" s="12">
        <f>_xlfn.XLOOKUP(TableDailySummary[[#This Row],[Fecha]],SummaryDaily[day],SummaryDaily[average_order_value],0)</f>
        <v>100000</v>
      </c>
      <c r="G17" s="24">
        <f>_xlfn.XLOOKUP(TableDailySummary[[#This Row],[Fecha]],SummaryDaily[day],SummaryDaily[Total site_conversion_rate],0)</f>
        <v>5.681818181818182E-3</v>
      </c>
      <c r="H17" s="12">
        <f>TableDailySummary[[#This Row],[Órden promedio totales]]*TableDailySummary[[#This Row],[CR totales]]</f>
        <v>568.18181818181824</v>
      </c>
      <c r="I17" s="12">
        <f>_xlfn.XLOOKUP(TableDailySummary[[#This Row],[Fecha]],SummaryDaily[day],SummaryDaily[new_net_sales],0)</f>
        <v>200000</v>
      </c>
      <c r="J17" s="12">
        <f>_xlfn.XLOOKUP(TableDailySummary[[#This Row],[Fecha]],SummaryDaily[day],SummaryDaily[new_orders],0)</f>
        <v>2</v>
      </c>
      <c r="K17" s="12">
        <f>_xlfn.XLOOKUP(TableDailySummary[[#This Row],[Fecha]],SummaryDaily[day],SummaryDaily[new_average_order_value],0)</f>
        <v>100000</v>
      </c>
      <c r="L17" s="12">
        <f>_xlfn.XLOOKUP(TableDailySummary[[#This Row],[Fecha]],SummaryDaily[day],SummaryDaily[Online Store_net_sales],0)</f>
        <v>200000</v>
      </c>
      <c r="M17" s="12">
        <f>_xlfn.XLOOKUP(TableDailySummary[[#This Row],[Fecha]],SummaryDaily[day],SummaryDaily[Online Store_orders],0)</f>
        <v>2</v>
      </c>
      <c r="N17" s="12">
        <f>_xlfn.XLOOKUP(TableDailySummary[[#This Row],[Fecha]],SummaryDaily[day],SummaryDaily[Online Store_average_order_value],0)</f>
        <v>100000</v>
      </c>
      <c r="O17" s="12">
        <f>_xlfn.XLOOKUP(TableDailySummary[[#This Row],[Fecha]],SummaryDaily[day],SummaryDaily[Tienda 81_net_sales],0)</f>
        <v>0</v>
      </c>
      <c r="P17" s="12">
        <f>_xlfn.XLOOKUP(TableDailySummary[[#This Row],[Fecha]],SummaryDaily[day],SummaryDaily[Tienda 81_orders],0)</f>
        <v>0</v>
      </c>
      <c r="Q17" s="12">
        <f>_xlfn.XLOOKUP(TableDailySummary[[#This Row],[Fecha]],SummaryDaily[day],SummaryDaily[Tienda 81_average_order_value],0)</f>
        <v>0</v>
      </c>
      <c r="R17" s="12">
        <f>_xlfn.XLOOKUP(TableDailySummary[[#This Row],[Fecha]],SummaryDaily[day],SummaryDaily[Rappi_net_sales],0)</f>
        <v>0</v>
      </c>
      <c r="S17" s="12">
        <f>_xlfn.XLOOKUP(TableDailySummary[[#This Row],[Fecha]],SummaryDaily[day],SummaryDaily[Rappi_orders],0)</f>
        <v>0</v>
      </c>
      <c r="T17" s="12">
        <f>_xlfn.XLOOKUP(TableDailySummary[[#This Row],[Fecha]],SummaryDaily[day],SummaryDaily[Rappi_average_order_value],0)</f>
        <v>0</v>
      </c>
      <c r="U17" s="12">
        <f>_xlfn.XLOOKUP(TableDailySummary[[#This Row],[Fecha]],SummaryDaily[day],SummaryDaily[Corporativo no tienda_net_sales],0)</f>
        <v>0</v>
      </c>
      <c r="V17" s="12">
        <f>_xlfn.XLOOKUP(TableDailySummary[[#This Row],[Fecha]],SummaryDaily[day],SummaryDaily[Corporativo no tienda_orders],0)</f>
        <v>0</v>
      </c>
      <c r="W17" s="12">
        <f>_xlfn.XLOOKUP(TableDailySummary[[#This Row],[Fecha]],SummaryDaily[day],SummaryDaily[Corporativo no tienda_average_order_value],0)</f>
        <v>0</v>
      </c>
      <c r="X17" s="12">
        <f>_xlfn.XLOOKUP(TableDailySummary[[#This Row],[Fecha]],SummaryDaily[day],SummaryDaily[GoogleAdsOperation.Cost],0)</f>
        <v>36767.47</v>
      </c>
      <c r="Y17" s="12">
        <f>SUMIFS(SalesByUTMDaily[google],SalesByUTMDaily[day],TableDailySummary[[#This Row],[Fecha]])</f>
        <v>0</v>
      </c>
      <c r="Z17" s="12">
        <f>_xlfn.XLOOKUP(TableDailySummary[[#This Row],[Fecha]],SummaryDaily[day],SummaryDaily[MetaAdsOperation.spend],0)</f>
        <v>22348</v>
      </c>
      <c r="AA17" s="12">
        <f>SUMIFS(SalesByUTMDaily[facebook],SalesByUTMDaily[day],TableDailySummary[[#This Row],[Fecha]])</f>
        <v>0</v>
      </c>
      <c r="AB17" s="12">
        <f>TableDailySummary[[#This Row],[Inversión google ads]]+TableDailySummary[[#This Row],[Inversión meta ads]]</f>
        <v>59115.47</v>
      </c>
      <c r="AC17" s="12">
        <f>TableDailySummary[[#This Row],[Ventas google ads]]+TableDailySummary[[#This Row],[Ventas meta ads]]</f>
        <v>0</v>
      </c>
      <c r="AD17" s="14">
        <f>IFERROR(TableDailySummary[[#This Row],[Ventas publicidad]]/TableDailySummary[[#This Row],[Inversión publicidad]],0)</f>
        <v>0</v>
      </c>
      <c r="AE17" s="14">
        <f>IFERROR(TableDailySummary[[#This Row],[Ventas primer cliente]]/TableDailySummary[[#This Row],[Inversión publicidad]],0)</f>
        <v>3.383209166737573</v>
      </c>
      <c r="AF17" s="14"/>
      <c r="AG17" s="12"/>
      <c r="AM17" s="12">
        <f>_xlfn.XLOOKUP(TableDailySummary[[#This Row],[Fecha]],SummaryDaily[day],SummaryDaily[net_sales_with_cost_recorded],0)</f>
        <v>200000</v>
      </c>
      <c r="AN17" s="12">
        <f>_xlfn.XLOOKUP(TableDailySummary[[#This Row],[Fecha]],SummaryDaily[day],SummaryDaily[cost_of_goods_sold],0)</f>
        <v>61255</v>
      </c>
      <c r="AO17" s="12">
        <f>_xlfn.XLOOKUP(TableDailySummary[[#This Row],[Fecha]],SummaryDaily[day],SummaryDaily[gross_profit],0)</f>
        <v>138745</v>
      </c>
      <c r="AP17" s="18">
        <f>IFERROR(TableDailySummary[[#This Row],[Utilidad bruta]]/TableDailySummary[[#This Row],[Ventas netas con costo registrado]],0)</f>
        <v>0.69372500000000004</v>
      </c>
    </row>
    <row r="18" spans="2:42" x14ac:dyDescent="0.2">
      <c r="B18" s="15" cm="1">
        <f t="array" ref="B18">MIN(SummaryDaily[day]) + (ROW(TableDailySummary[#This Row]) - ROW(TableDailySummary[[#Headers],[Dia]]) - 1)</f>
        <v>45789</v>
      </c>
      <c r="C18" s="6">
        <f>TableDailySummary[[#This Row],[Dia]]</f>
        <v>45789</v>
      </c>
      <c r="D18" s="12">
        <f>_xlfn.XLOOKUP(TableDailySummary[[#This Row],[Fecha]],SummaryDaily[day],SummaryDaily[net_sales],0)</f>
        <v>1772268.91</v>
      </c>
      <c r="E18" s="12">
        <f>_xlfn.XLOOKUP(TableDailySummary[[#This Row],[Fecha]],SummaryDaily[day],SummaryDaily[orders],0)</f>
        <v>14</v>
      </c>
      <c r="F18" s="12">
        <f>_xlfn.XLOOKUP(TableDailySummary[[#This Row],[Fecha]],SummaryDaily[day],SummaryDaily[average_order_value],0)</f>
        <v>126590.636</v>
      </c>
      <c r="G18" s="24">
        <f>_xlfn.XLOOKUP(TableDailySummary[[#This Row],[Fecha]],SummaryDaily[day],SummaryDaily[Total site_conversion_rate],0)</f>
        <v>1.5306122448979591E-2</v>
      </c>
      <c r="H18" s="12">
        <f>TableDailySummary[[#This Row],[Órden promedio totales]]*TableDailySummary[[#This Row],[CR totales]]</f>
        <v>1937.6117755102041</v>
      </c>
      <c r="I18" s="12">
        <f>_xlfn.XLOOKUP(TableDailySummary[[#This Row],[Fecha]],SummaryDaily[day],SummaryDaily[new_net_sales],0)</f>
        <v>1049579.83</v>
      </c>
      <c r="J18" s="12">
        <f>_xlfn.XLOOKUP(TableDailySummary[[#This Row],[Fecha]],SummaryDaily[day],SummaryDaily[new_orders],0)</f>
        <v>7</v>
      </c>
      <c r="K18" s="12">
        <f>_xlfn.XLOOKUP(TableDailySummary[[#This Row],[Fecha]],SummaryDaily[day],SummaryDaily[new_average_order_value],0)</f>
        <v>149939.97500000001</v>
      </c>
      <c r="L18" s="12">
        <f>_xlfn.XLOOKUP(TableDailySummary[[#This Row],[Fecha]],SummaryDaily[day],SummaryDaily[Online Store_net_sales],0)</f>
        <v>1772268.91</v>
      </c>
      <c r="M18" s="12">
        <f>_xlfn.XLOOKUP(TableDailySummary[[#This Row],[Fecha]],SummaryDaily[day],SummaryDaily[Online Store_orders],0)</f>
        <v>14</v>
      </c>
      <c r="N18" s="12">
        <f>_xlfn.XLOOKUP(TableDailySummary[[#This Row],[Fecha]],SummaryDaily[day],SummaryDaily[Online Store_average_order_value],0)</f>
        <v>126590.636</v>
      </c>
      <c r="O18" s="12">
        <f>_xlfn.XLOOKUP(TableDailySummary[[#This Row],[Fecha]],SummaryDaily[day],SummaryDaily[Tienda 81_net_sales],0)</f>
        <v>0</v>
      </c>
      <c r="P18" s="12">
        <f>_xlfn.XLOOKUP(TableDailySummary[[#This Row],[Fecha]],SummaryDaily[day],SummaryDaily[Tienda 81_orders],0)</f>
        <v>0</v>
      </c>
      <c r="Q18" s="12">
        <f>_xlfn.XLOOKUP(TableDailySummary[[#This Row],[Fecha]],SummaryDaily[day],SummaryDaily[Tienda 81_average_order_value],0)</f>
        <v>0</v>
      </c>
      <c r="R18" s="12">
        <f>_xlfn.XLOOKUP(TableDailySummary[[#This Row],[Fecha]],SummaryDaily[day],SummaryDaily[Rappi_net_sales],0)</f>
        <v>0</v>
      </c>
      <c r="S18" s="12">
        <f>_xlfn.XLOOKUP(TableDailySummary[[#This Row],[Fecha]],SummaryDaily[day],SummaryDaily[Rappi_orders],0)</f>
        <v>0</v>
      </c>
      <c r="T18" s="12">
        <f>_xlfn.XLOOKUP(TableDailySummary[[#This Row],[Fecha]],SummaryDaily[day],SummaryDaily[Rappi_average_order_value],0)</f>
        <v>0</v>
      </c>
      <c r="U18" s="12">
        <f>_xlfn.XLOOKUP(TableDailySummary[[#This Row],[Fecha]],SummaryDaily[day],SummaryDaily[Corporativo no tienda_net_sales],0)</f>
        <v>0</v>
      </c>
      <c r="V18" s="12">
        <f>_xlfn.XLOOKUP(TableDailySummary[[#This Row],[Fecha]],SummaryDaily[day],SummaryDaily[Corporativo no tienda_orders],0)</f>
        <v>0</v>
      </c>
      <c r="W18" s="12">
        <f>_xlfn.XLOOKUP(TableDailySummary[[#This Row],[Fecha]],SummaryDaily[day],SummaryDaily[Corporativo no tienda_average_order_value],0)</f>
        <v>0</v>
      </c>
      <c r="X18" s="12">
        <f>_xlfn.XLOOKUP(TableDailySummary[[#This Row],[Fecha]],SummaryDaily[day],SummaryDaily[GoogleAdsOperation.Cost],0)</f>
        <v>41330.35</v>
      </c>
      <c r="Y18" s="12">
        <f>SUMIFS(SalesByUTMDaily[google],SalesByUTMDaily[day],TableDailySummary[[#This Row],[Fecha]])</f>
        <v>0</v>
      </c>
      <c r="Z18" s="12">
        <f>_xlfn.XLOOKUP(TableDailySummary[[#This Row],[Fecha]],SummaryDaily[day],SummaryDaily[MetaAdsOperation.spend],0)</f>
        <v>18385</v>
      </c>
      <c r="AA18" s="12">
        <f>SUMIFS(SalesByUTMDaily[facebook],SalesByUTMDaily[day],TableDailySummary[[#This Row],[Fecha]])</f>
        <v>0</v>
      </c>
      <c r="AB18" s="12">
        <f>TableDailySummary[[#This Row],[Inversión google ads]]+TableDailySummary[[#This Row],[Inversión meta ads]]</f>
        <v>59715.35</v>
      </c>
      <c r="AC18" s="12">
        <f>TableDailySummary[[#This Row],[Ventas google ads]]+TableDailySummary[[#This Row],[Ventas meta ads]]</f>
        <v>0</v>
      </c>
      <c r="AD18" s="14">
        <f>IFERROR(TableDailySummary[[#This Row],[Ventas publicidad]]/TableDailySummary[[#This Row],[Inversión publicidad]],0)</f>
        <v>0</v>
      </c>
      <c r="AE18" s="14">
        <f>IFERROR(TableDailySummary[[#This Row],[Ventas primer cliente]]/TableDailySummary[[#This Row],[Inversión publicidad]],0)</f>
        <v>17.576382454427549</v>
      </c>
      <c r="AF18" s="14"/>
      <c r="AG18" s="12"/>
      <c r="AM18" s="12">
        <f>_xlfn.XLOOKUP(TableDailySummary[[#This Row],[Fecha]],SummaryDaily[day],SummaryDaily[net_sales_with_cost_recorded],0)</f>
        <v>1688235.3</v>
      </c>
      <c r="AN18" s="12">
        <f>_xlfn.XLOOKUP(TableDailySummary[[#This Row],[Fecha]],SummaryDaily[day],SummaryDaily[cost_of_goods_sold],0)</f>
        <v>406970</v>
      </c>
      <c r="AO18" s="12">
        <f>_xlfn.XLOOKUP(TableDailySummary[[#This Row],[Fecha]],SummaryDaily[day],SummaryDaily[gross_profit],0)</f>
        <v>1281265.3</v>
      </c>
      <c r="AP18" s="18">
        <f>IFERROR(TableDailySummary[[#This Row],[Utilidad bruta]]/TableDailySummary[[#This Row],[Ventas netas con costo registrado]],0)</f>
        <v>0.75893763150195948</v>
      </c>
    </row>
    <row r="19" spans="2:42" x14ac:dyDescent="0.2">
      <c r="B19" s="15" cm="1">
        <f t="array" ref="B19">MIN(SummaryDaily[day]) + (ROW(TableDailySummary[#This Row]) - ROW(TableDailySummary[[#Headers],[Dia]]) - 1)</f>
        <v>45790</v>
      </c>
      <c r="C19" s="6">
        <f>TableDailySummary[[#This Row],[Dia]]</f>
        <v>45790</v>
      </c>
      <c r="D19" s="12">
        <f>_xlfn.XLOOKUP(TableDailySummary[[#This Row],[Fecha]],SummaryDaily[day],SummaryDaily[net_sales],0)</f>
        <v>8189916.79</v>
      </c>
      <c r="E19" s="12">
        <f>_xlfn.XLOOKUP(TableDailySummary[[#This Row],[Fecha]],SummaryDaily[day],SummaryDaily[orders],0)</f>
        <v>14</v>
      </c>
      <c r="F19" s="12">
        <f>_xlfn.XLOOKUP(TableDailySummary[[#This Row],[Fecha]],SummaryDaily[day],SummaryDaily[average_order_value],0)</f>
        <v>584994.05599999998</v>
      </c>
      <c r="G19" s="24">
        <f>_xlfn.XLOOKUP(TableDailySummary[[#This Row],[Fecha]],SummaryDaily[day],SummaryDaily[Total site_conversion_rate],0)</f>
        <v>1.0526315789473684E-2</v>
      </c>
      <c r="H19" s="12">
        <f>TableDailySummary[[#This Row],[Órden promedio totales]]*TableDailySummary[[#This Row],[CR totales]]</f>
        <v>6157.8321684210523</v>
      </c>
      <c r="I19" s="12">
        <f>_xlfn.XLOOKUP(TableDailySummary[[#This Row],[Fecha]],SummaryDaily[day],SummaryDaily[new_net_sales],0)</f>
        <v>7082352.9400000004</v>
      </c>
      <c r="J19" s="12">
        <f>_xlfn.XLOOKUP(TableDailySummary[[#This Row],[Fecha]],SummaryDaily[day],SummaryDaily[new_orders],0)</f>
        <v>7</v>
      </c>
      <c r="K19" s="12">
        <f>_xlfn.XLOOKUP(TableDailySummary[[#This Row],[Fecha]],SummaryDaily[day],SummaryDaily[new_average_order_value],0)</f>
        <v>1011764.705</v>
      </c>
      <c r="L19" s="12">
        <f>_xlfn.XLOOKUP(TableDailySummary[[#This Row],[Fecha]],SummaryDaily[day],SummaryDaily[Online Store_net_sales],0)</f>
        <v>8189916.79</v>
      </c>
      <c r="M19" s="12">
        <f>_xlfn.XLOOKUP(TableDailySummary[[#This Row],[Fecha]],SummaryDaily[day],SummaryDaily[Online Store_orders],0)</f>
        <v>14</v>
      </c>
      <c r="N19" s="12">
        <f>_xlfn.XLOOKUP(TableDailySummary[[#This Row],[Fecha]],SummaryDaily[day],SummaryDaily[Online Store_average_order_value],0)</f>
        <v>584994.05599999998</v>
      </c>
      <c r="O19" s="12">
        <f>_xlfn.XLOOKUP(TableDailySummary[[#This Row],[Fecha]],SummaryDaily[day],SummaryDaily[Tienda 81_net_sales],0)</f>
        <v>0</v>
      </c>
      <c r="P19" s="12">
        <f>_xlfn.XLOOKUP(TableDailySummary[[#This Row],[Fecha]],SummaryDaily[day],SummaryDaily[Tienda 81_orders],0)</f>
        <v>0</v>
      </c>
      <c r="Q19" s="12">
        <f>_xlfn.XLOOKUP(TableDailySummary[[#This Row],[Fecha]],SummaryDaily[day],SummaryDaily[Tienda 81_average_order_value],0)</f>
        <v>0</v>
      </c>
      <c r="R19" s="12">
        <f>_xlfn.XLOOKUP(TableDailySummary[[#This Row],[Fecha]],SummaryDaily[day],SummaryDaily[Rappi_net_sales],0)</f>
        <v>0</v>
      </c>
      <c r="S19" s="12">
        <f>_xlfn.XLOOKUP(TableDailySummary[[#This Row],[Fecha]],SummaryDaily[day],SummaryDaily[Rappi_orders],0)</f>
        <v>0</v>
      </c>
      <c r="T19" s="12">
        <f>_xlfn.XLOOKUP(TableDailySummary[[#This Row],[Fecha]],SummaryDaily[day],SummaryDaily[Rappi_average_order_value],0)</f>
        <v>0</v>
      </c>
      <c r="U19" s="12">
        <f>_xlfn.XLOOKUP(TableDailySummary[[#This Row],[Fecha]],SummaryDaily[day],SummaryDaily[Corporativo no tienda_net_sales],0)</f>
        <v>0</v>
      </c>
      <c r="V19" s="12">
        <f>_xlfn.XLOOKUP(TableDailySummary[[#This Row],[Fecha]],SummaryDaily[day],SummaryDaily[Corporativo no tienda_orders],0)</f>
        <v>0</v>
      </c>
      <c r="W19" s="12">
        <f>_xlfn.XLOOKUP(TableDailySummary[[#This Row],[Fecha]],SummaryDaily[day],SummaryDaily[Corporativo no tienda_average_order_value],0)</f>
        <v>0</v>
      </c>
      <c r="X19" s="12">
        <f>_xlfn.XLOOKUP(TableDailySummary[[#This Row],[Fecha]],SummaryDaily[day],SummaryDaily[GoogleAdsOperation.Cost],0)</f>
        <v>42081.83</v>
      </c>
      <c r="Y19" s="12">
        <f>SUMIFS(SalesByUTMDaily[google],SalesByUTMDaily[day],TableDailySummary[[#This Row],[Fecha]])</f>
        <v>0</v>
      </c>
      <c r="Z19" s="12">
        <f>_xlfn.XLOOKUP(TableDailySummary[[#This Row],[Fecha]],SummaryDaily[day],SummaryDaily[MetaAdsOperation.spend],0)</f>
        <v>20669</v>
      </c>
      <c r="AA19" s="12">
        <f>SUMIFS(SalesByUTMDaily[facebook],SalesByUTMDaily[day],TableDailySummary[[#This Row],[Fecha]])</f>
        <v>0</v>
      </c>
      <c r="AB19" s="12">
        <f>TableDailySummary[[#This Row],[Inversión google ads]]+TableDailySummary[[#This Row],[Inversión meta ads]]</f>
        <v>62750.83</v>
      </c>
      <c r="AC19" s="12">
        <f>TableDailySummary[[#This Row],[Ventas google ads]]+TableDailySummary[[#This Row],[Ventas meta ads]]</f>
        <v>0</v>
      </c>
      <c r="AD19" s="14">
        <f>IFERROR(TableDailySummary[[#This Row],[Ventas publicidad]]/TableDailySummary[[#This Row],[Inversión publicidad]],0)</f>
        <v>0</v>
      </c>
      <c r="AE19" s="14">
        <f>IFERROR(TableDailySummary[[#This Row],[Ventas primer cliente]]/TableDailySummary[[#This Row],[Inversión publicidad]],0)</f>
        <v>112.86468943916758</v>
      </c>
      <c r="AF19" s="14"/>
      <c r="AG19" s="12"/>
      <c r="AM19" s="12">
        <f>_xlfn.XLOOKUP(TableDailySummary[[#This Row],[Fecha]],SummaryDaily[day],SummaryDaily[net_sales_with_cost_recorded],0)</f>
        <v>8189915.9500000002</v>
      </c>
      <c r="AN19" s="12">
        <f>_xlfn.XLOOKUP(TableDailySummary[[#This Row],[Fecha]],SummaryDaily[day],SummaryDaily[cost_of_goods_sold],0)</f>
        <v>2299168</v>
      </c>
      <c r="AO19" s="12">
        <f>_xlfn.XLOOKUP(TableDailySummary[[#This Row],[Fecha]],SummaryDaily[day],SummaryDaily[gross_profit],0)</f>
        <v>5890747.9500000002</v>
      </c>
      <c r="AP19" s="18">
        <f>IFERROR(TableDailySummary[[#This Row],[Utilidad bruta]]/TableDailySummary[[#This Row],[Ventas netas con costo registrado]],0)</f>
        <v>0.71926842545923808</v>
      </c>
    </row>
    <row r="20" spans="2:42" x14ac:dyDescent="0.2">
      <c r="B20" s="15" cm="1">
        <f t="array" ref="B20">MIN(SummaryDaily[day]) + (ROW(TableDailySummary[#This Row]) - ROW(TableDailySummary[[#Headers],[Dia]]) - 1)</f>
        <v>45791</v>
      </c>
      <c r="C20" s="6">
        <f>TableDailySummary[[#This Row],[Dia]]</f>
        <v>45791</v>
      </c>
      <c r="D20" s="12">
        <f>_xlfn.XLOOKUP(TableDailySummary[[#This Row],[Fecha]],SummaryDaily[day],SummaryDaily[net_sales],0)</f>
        <v>7460495.8300000001</v>
      </c>
      <c r="E20" s="12">
        <f>_xlfn.XLOOKUP(TableDailySummary[[#This Row],[Fecha]],SummaryDaily[day],SummaryDaily[orders],0)</f>
        <v>55</v>
      </c>
      <c r="F20" s="12">
        <f>_xlfn.XLOOKUP(TableDailySummary[[#This Row],[Fecha]],SummaryDaily[day],SummaryDaily[average_order_value],0)</f>
        <v>135706.49400000001</v>
      </c>
      <c r="G20" s="24">
        <f>_xlfn.XLOOKUP(TableDailySummary[[#This Row],[Fecha]],SummaryDaily[day],SummaryDaily[Total site_conversion_rate],0)</f>
        <v>5.0209205020920501E-2</v>
      </c>
      <c r="H20" s="12">
        <f>TableDailySummary[[#This Row],[Órden promedio totales]]*TableDailySummary[[#This Row],[CR totales]]</f>
        <v>6813.7151799163184</v>
      </c>
      <c r="I20" s="12">
        <f>_xlfn.XLOOKUP(TableDailySummary[[#This Row],[Fecha]],SummaryDaily[day],SummaryDaily[new_net_sales],0)</f>
        <v>4902521.0199999996</v>
      </c>
      <c r="J20" s="12">
        <f>_xlfn.XLOOKUP(TableDailySummary[[#This Row],[Fecha]],SummaryDaily[day],SummaryDaily[new_orders],0)</f>
        <v>40</v>
      </c>
      <c r="K20" s="12">
        <f>_xlfn.XLOOKUP(TableDailySummary[[#This Row],[Fecha]],SummaryDaily[day],SummaryDaily[new_average_order_value],0)</f>
        <v>122563.02499999999</v>
      </c>
      <c r="L20" s="12">
        <f>_xlfn.XLOOKUP(TableDailySummary[[#This Row],[Fecha]],SummaryDaily[day],SummaryDaily[Online Store_net_sales],0)</f>
        <v>7460495.8300000001</v>
      </c>
      <c r="M20" s="12">
        <f>_xlfn.XLOOKUP(TableDailySummary[[#This Row],[Fecha]],SummaryDaily[day],SummaryDaily[Online Store_orders],0)</f>
        <v>55</v>
      </c>
      <c r="N20" s="12">
        <f>_xlfn.XLOOKUP(TableDailySummary[[#This Row],[Fecha]],SummaryDaily[day],SummaryDaily[Online Store_average_order_value],0)</f>
        <v>135706.49400000001</v>
      </c>
      <c r="O20" s="12">
        <f>_xlfn.XLOOKUP(TableDailySummary[[#This Row],[Fecha]],SummaryDaily[day],SummaryDaily[Tienda 81_net_sales],0)</f>
        <v>0</v>
      </c>
      <c r="P20" s="12">
        <f>_xlfn.XLOOKUP(TableDailySummary[[#This Row],[Fecha]],SummaryDaily[day],SummaryDaily[Tienda 81_orders],0)</f>
        <v>0</v>
      </c>
      <c r="Q20" s="12">
        <f>_xlfn.XLOOKUP(TableDailySummary[[#This Row],[Fecha]],SummaryDaily[day],SummaryDaily[Tienda 81_average_order_value],0)</f>
        <v>0</v>
      </c>
      <c r="R20" s="12">
        <f>_xlfn.XLOOKUP(TableDailySummary[[#This Row],[Fecha]],SummaryDaily[day],SummaryDaily[Rappi_net_sales],0)</f>
        <v>0</v>
      </c>
      <c r="S20" s="12">
        <f>_xlfn.XLOOKUP(TableDailySummary[[#This Row],[Fecha]],SummaryDaily[day],SummaryDaily[Rappi_orders],0)</f>
        <v>0</v>
      </c>
      <c r="T20" s="12">
        <f>_xlfn.XLOOKUP(TableDailySummary[[#This Row],[Fecha]],SummaryDaily[day],SummaryDaily[Rappi_average_order_value],0)</f>
        <v>0</v>
      </c>
      <c r="U20" s="12">
        <f>_xlfn.XLOOKUP(TableDailySummary[[#This Row],[Fecha]],SummaryDaily[day],SummaryDaily[Corporativo no tienda_net_sales],0)</f>
        <v>0</v>
      </c>
      <c r="V20" s="12">
        <f>_xlfn.XLOOKUP(TableDailySummary[[#This Row],[Fecha]],SummaryDaily[day],SummaryDaily[Corporativo no tienda_orders],0)</f>
        <v>0</v>
      </c>
      <c r="W20" s="12">
        <f>_xlfn.XLOOKUP(TableDailySummary[[#This Row],[Fecha]],SummaryDaily[day],SummaryDaily[Corporativo no tienda_average_order_value],0)</f>
        <v>0</v>
      </c>
      <c r="X20" s="12">
        <f>_xlfn.XLOOKUP(TableDailySummary[[#This Row],[Fecha]],SummaryDaily[day],SummaryDaily[GoogleAdsOperation.Cost],0)</f>
        <v>58238.559999999998</v>
      </c>
      <c r="Y20" s="12">
        <f>SUMIFS(SalesByUTMDaily[google],SalesByUTMDaily[day],TableDailySummary[[#This Row],[Fecha]])</f>
        <v>0</v>
      </c>
      <c r="Z20" s="12">
        <f>_xlfn.XLOOKUP(TableDailySummary[[#This Row],[Fecha]],SummaryDaily[day],SummaryDaily[MetaAdsOperation.spend],0)</f>
        <v>18207</v>
      </c>
      <c r="AA20" s="12">
        <f>SUMIFS(SalesByUTMDaily[facebook],SalesByUTMDaily[day],TableDailySummary[[#This Row],[Fecha]])</f>
        <v>84500</v>
      </c>
      <c r="AB20" s="12">
        <f>TableDailySummary[[#This Row],[Inversión google ads]]+TableDailySummary[[#This Row],[Inversión meta ads]]</f>
        <v>76445.56</v>
      </c>
      <c r="AC20" s="12">
        <f>TableDailySummary[[#This Row],[Ventas google ads]]+TableDailySummary[[#This Row],[Ventas meta ads]]</f>
        <v>84500</v>
      </c>
      <c r="AD20" s="14">
        <f>IFERROR(TableDailySummary[[#This Row],[Ventas publicidad]]/TableDailySummary[[#This Row],[Inversión publicidad]],0)</f>
        <v>1.105361776406635</v>
      </c>
      <c r="AE20" s="14">
        <f>IFERROR(TableDailySummary[[#This Row],[Ventas primer cliente]]/TableDailySummary[[#This Row],[Inversión publicidad]],0)</f>
        <v>64.130879805184236</v>
      </c>
      <c r="AF20" s="14"/>
      <c r="AG20" s="12"/>
      <c r="AM20" s="12">
        <f>_xlfn.XLOOKUP(TableDailySummary[[#This Row],[Fecha]],SummaryDaily[day],SummaryDaily[net_sales_with_cost_recorded],0)</f>
        <v>7246210.1100000003</v>
      </c>
      <c r="AN20" s="12">
        <f>_xlfn.XLOOKUP(TableDailySummary[[#This Row],[Fecha]],SummaryDaily[day],SummaryDaily[cost_of_goods_sold],0)</f>
        <v>1859524</v>
      </c>
      <c r="AO20" s="12">
        <f>_xlfn.XLOOKUP(TableDailySummary[[#This Row],[Fecha]],SummaryDaily[day],SummaryDaily[gross_profit],0)</f>
        <v>5386686.1100000003</v>
      </c>
      <c r="AP20" s="18">
        <f>IFERROR(TableDailySummary[[#This Row],[Utilidad bruta]]/TableDailySummary[[#This Row],[Ventas netas con costo registrado]],0)</f>
        <v>0.74337978449813402</v>
      </c>
    </row>
    <row r="21" spans="2:42" x14ac:dyDescent="0.2">
      <c r="B21" s="15" cm="1">
        <f t="array" ref="B21">MIN(SummaryDaily[day]) + (ROW(TableDailySummary[#This Row]) - ROW(TableDailySummary[[#Headers],[Dia]]) - 1)</f>
        <v>45792</v>
      </c>
      <c r="C21" s="6">
        <f>TableDailySummary[[#This Row],[Dia]]</f>
        <v>45792</v>
      </c>
      <c r="D21" s="12">
        <f>_xlfn.XLOOKUP(TableDailySummary[[#This Row],[Fecha]],SummaryDaily[day],SummaryDaily[net_sales],0)</f>
        <v>5208825.2</v>
      </c>
      <c r="E21" s="12">
        <f>_xlfn.XLOOKUP(TableDailySummary[[#This Row],[Fecha]],SummaryDaily[day],SummaryDaily[orders],0)</f>
        <v>35</v>
      </c>
      <c r="F21" s="12">
        <f>_xlfn.XLOOKUP(TableDailySummary[[#This Row],[Fecha]],SummaryDaily[day],SummaryDaily[average_order_value],0)</f>
        <v>153865.59400000001</v>
      </c>
      <c r="G21" s="24">
        <f>_xlfn.XLOOKUP(TableDailySummary[[#This Row],[Fecha]],SummaryDaily[day],SummaryDaily[Total site_conversion_rate],0)</f>
        <v>1.7475728155339806E-2</v>
      </c>
      <c r="H21" s="12">
        <f>TableDailySummary[[#This Row],[Órden promedio totales]]*TableDailySummary[[#This Row],[CR totales]]</f>
        <v>2688.9132932038838</v>
      </c>
      <c r="I21" s="12">
        <f>_xlfn.XLOOKUP(TableDailySummary[[#This Row],[Fecha]],SummaryDaily[day],SummaryDaily[new_net_sales],0)</f>
        <v>3103361.33</v>
      </c>
      <c r="J21" s="12">
        <f>_xlfn.XLOOKUP(TableDailySummary[[#This Row],[Fecha]],SummaryDaily[day],SummaryDaily[new_orders],0)</f>
        <v>17</v>
      </c>
      <c r="K21" s="12">
        <f>_xlfn.XLOOKUP(TableDailySummary[[#This Row],[Fecha]],SummaryDaily[day],SummaryDaily[new_average_order_value],0)</f>
        <v>182550.666</v>
      </c>
      <c r="L21" s="12">
        <f>_xlfn.XLOOKUP(TableDailySummary[[#This Row],[Fecha]],SummaryDaily[day],SummaryDaily[Online Store_net_sales],0)</f>
        <v>5208825.2</v>
      </c>
      <c r="M21" s="12">
        <f>_xlfn.XLOOKUP(TableDailySummary[[#This Row],[Fecha]],SummaryDaily[day],SummaryDaily[Online Store_orders],0)</f>
        <v>35</v>
      </c>
      <c r="N21" s="12">
        <f>_xlfn.XLOOKUP(TableDailySummary[[#This Row],[Fecha]],SummaryDaily[day],SummaryDaily[Online Store_average_order_value],0)</f>
        <v>153865.59400000001</v>
      </c>
      <c r="O21" s="12">
        <f>_xlfn.XLOOKUP(TableDailySummary[[#This Row],[Fecha]],SummaryDaily[day],SummaryDaily[Tienda 81_net_sales],0)</f>
        <v>0</v>
      </c>
      <c r="P21" s="12">
        <f>_xlfn.XLOOKUP(TableDailySummary[[#This Row],[Fecha]],SummaryDaily[day],SummaryDaily[Tienda 81_orders],0)</f>
        <v>0</v>
      </c>
      <c r="Q21" s="12">
        <f>_xlfn.XLOOKUP(TableDailySummary[[#This Row],[Fecha]],SummaryDaily[day],SummaryDaily[Tienda 81_average_order_value],0)</f>
        <v>0</v>
      </c>
      <c r="R21" s="12">
        <f>_xlfn.XLOOKUP(TableDailySummary[[#This Row],[Fecha]],SummaryDaily[day],SummaryDaily[Rappi_net_sales],0)</f>
        <v>0</v>
      </c>
      <c r="S21" s="12">
        <f>_xlfn.XLOOKUP(TableDailySummary[[#This Row],[Fecha]],SummaryDaily[day],SummaryDaily[Rappi_orders],0)</f>
        <v>0</v>
      </c>
      <c r="T21" s="12">
        <f>_xlfn.XLOOKUP(TableDailySummary[[#This Row],[Fecha]],SummaryDaily[day],SummaryDaily[Rappi_average_order_value],0)</f>
        <v>0</v>
      </c>
      <c r="U21" s="12">
        <f>_xlfn.XLOOKUP(TableDailySummary[[#This Row],[Fecha]],SummaryDaily[day],SummaryDaily[Corporativo no tienda_net_sales],0)</f>
        <v>0</v>
      </c>
      <c r="V21" s="12">
        <f>_xlfn.XLOOKUP(TableDailySummary[[#This Row],[Fecha]],SummaryDaily[day],SummaryDaily[Corporativo no tienda_orders],0)</f>
        <v>0</v>
      </c>
      <c r="W21" s="12">
        <f>_xlfn.XLOOKUP(TableDailySummary[[#This Row],[Fecha]],SummaryDaily[day],SummaryDaily[Corporativo no tienda_average_order_value],0)</f>
        <v>0</v>
      </c>
      <c r="X21" s="12">
        <f>_xlfn.XLOOKUP(TableDailySummary[[#This Row],[Fecha]],SummaryDaily[day],SummaryDaily[GoogleAdsOperation.Cost],0)</f>
        <v>59697.71</v>
      </c>
      <c r="Y21" s="12">
        <f>SUMIFS(SalesByUTMDaily[google],SalesByUTMDaily[day],TableDailySummary[[#This Row],[Fecha]])</f>
        <v>0</v>
      </c>
      <c r="Z21" s="12">
        <f>_xlfn.XLOOKUP(TableDailySummary[[#This Row],[Fecha]],SummaryDaily[day],SummaryDaily[MetaAdsOperation.spend],0)</f>
        <v>18719</v>
      </c>
      <c r="AA21" s="12">
        <f>SUMIFS(SalesByUTMDaily[facebook],SalesByUTMDaily[day],TableDailySummary[[#This Row],[Fecha]])</f>
        <v>0</v>
      </c>
      <c r="AB21" s="12">
        <f>TableDailySummary[[#This Row],[Inversión google ads]]+TableDailySummary[[#This Row],[Inversión meta ads]]</f>
        <v>78416.709999999992</v>
      </c>
      <c r="AC21" s="12">
        <f>TableDailySummary[[#This Row],[Ventas google ads]]+TableDailySummary[[#This Row],[Ventas meta ads]]</f>
        <v>0</v>
      </c>
      <c r="AD21" s="14">
        <f>IFERROR(TableDailySummary[[#This Row],[Ventas publicidad]]/TableDailySummary[[#This Row],[Inversión publicidad]],0)</f>
        <v>0</v>
      </c>
      <c r="AE21" s="14">
        <f>IFERROR(TableDailySummary[[#This Row],[Ventas primer cliente]]/TableDailySummary[[#This Row],[Inversión publicidad]],0)</f>
        <v>39.575255452568726</v>
      </c>
      <c r="AF21" s="14"/>
      <c r="AG21" s="12"/>
      <c r="AM21" s="12">
        <f>_xlfn.XLOOKUP(TableDailySummary[[#This Row],[Fecha]],SummaryDaily[day],SummaryDaily[net_sales_with_cost_recorded],0)</f>
        <v>5082773.09</v>
      </c>
      <c r="AN21" s="12">
        <f>_xlfn.XLOOKUP(TableDailySummary[[#This Row],[Fecha]],SummaryDaily[day],SummaryDaily[cost_of_goods_sold],0)</f>
        <v>1288710.1200000001</v>
      </c>
      <c r="AO21" s="12">
        <f>_xlfn.XLOOKUP(TableDailySummary[[#This Row],[Fecha]],SummaryDaily[day],SummaryDaily[gross_profit],0)</f>
        <v>3794062.97</v>
      </c>
      <c r="AP21" s="18">
        <f>IFERROR(TableDailySummary[[#This Row],[Utilidad bruta]]/TableDailySummary[[#This Row],[Ventas netas con costo registrado]],0)</f>
        <v>0.74645531146463207</v>
      </c>
    </row>
    <row r="22" spans="2:42" x14ac:dyDescent="0.2">
      <c r="B22" s="15" cm="1">
        <f t="array" ref="B22">MIN(SummaryDaily[day]) + (ROW(TableDailySummary[#This Row]) - ROW(TableDailySummary[[#Headers],[Dia]]) - 1)</f>
        <v>45793</v>
      </c>
      <c r="C22" s="6">
        <f>TableDailySummary[[#This Row],[Dia]]</f>
        <v>45793</v>
      </c>
      <c r="D22" s="12">
        <f>_xlfn.XLOOKUP(TableDailySummary[[#This Row],[Fecha]],SummaryDaily[day],SummaryDaily[net_sales],0)</f>
        <v>2552807.56</v>
      </c>
      <c r="E22" s="12">
        <f>_xlfn.XLOOKUP(TableDailySummary[[#This Row],[Fecha]],SummaryDaily[day],SummaryDaily[orders],0)</f>
        <v>11</v>
      </c>
      <c r="F22" s="12">
        <f>_xlfn.XLOOKUP(TableDailySummary[[#This Row],[Fecha]],SummaryDaily[day],SummaryDaily[average_order_value],0)</f>
        <v>232073.41399999999</v>
      </c>
      <c r="G22" s="24">
        <f>_xlfn.XLOOKUP(TableDailySummary[[#This Row],[Fecha]],SummaryDaily[day],SummaryDaily[Total site_conversion_rate],0)</f>
        <v>1.6326530612244899E-2</v>
      </c>
      <c r="H22" s="12">
        <f>TableDailySummary[[#This Row],[Órden promedio totales]]*TableDailySummary[[#This Row],[CR totales]]</f>
        <v>3788.953697959184</v>
      </c>
      <c r="I22" s="12">
        <f>_xlfn.XLOOKUP(TableDailySummary[[#This Row],[Fecha]],SummaryDaily[day],SummaryDaily[new_net_sales],0)</f>
        <v>359663.87</v>
      </c>
      <c r="J22" s="12">
        <f>_xlfn.XLOOKUP(TableDailySummary[[#This Row],[Fecha]],SummaryDaily[day],SummaryDaily[new_orders],0)</f>
        <v>3</v>
      </c>
      <c r="K22" s="12">
        <f>_xlfn.XLOOKUP(TableDailySummary[[#This Row],[Fecha]],SummaryDaily[day],SummaryDaily[new_average_order_value],0)</f>
        <v>119887.95600000001</v>
      </c>
      <c r="L22" s="12">
        <f>_xlfn.XLOOKUP(TableDailySummary[[#This Row],[Fecha]],SummaryDaily[day],SummaryDaily[Online Store_net_sales],0)</f>
        <v>2552807.56</v>
      </c>
      <c r="M22" s="12">
        <f>_xlfn.XLOOKUP(TableDailySummary[[#This Row],[Fecha]],SummaryDaily[day],SummaryDaily[Online Store_orders],0)</f>
        <v>11</v>
      </c>
      <c r="N22" s="12">
        <f>_xlfn.XLOOKUP(TableDailySummary[[#This Row],[Fecha]],SummaryDaily[day],SummaryDaily[Online Store_average_order_value],0)</f>
        <v>232073.41399999999</v>
      </c>
      <c r="O22" s="12">
        <f>_xlfn.XLOOKUP(TableDailySummary[[#This Row],[Fecha]],SummaryDaily[day],SummaryDaily[Tienda 81_net_sales],0)</f>
        <v>0</v>
      </c>
      <c r="P22" s="12">
        <f>_xlfn.XLOOKUP(TableDailySummary[[#This Row],[Fecha]],SummaryDaily[day],SummaryDaily[Tienda 81_orders],0)</f>
        <v>0</v>
      </c>
      <c r="Q22" s="12">
        <f>_xlfn.XLOOKUP(TableDailySummary[[#This Row],[Fecha]],SummaryDaily[day],SummaryDaily[Tienda 81_average_order_value],0)</f>
        <v>0</v>
      </c>
      <c r="R22" s="12">
        <f>_xlfn.XLOOKUP(TableDailySummary[[#This Row],[Fecha]],SummaryDaily[day],SummaryDaily[Rappi_net_sales],0)</f>
        <v>0</v>
      </c>
      <c r="S22" s="12">
        <f>_xlfn.XLOOKUP(TableDailySummary[[#This Row],[Fecha]],SummaryDaily[day],SummaryDaily[Rappi_orders],0)</f>
        <v>0</v>
      </c>
      <c r="T22" s="12">
        <f>_xlfn.XLOOKUP(TableDailySummary[[#This Row],[Fecha]],SummaryDaily[day],SummaryDaily[Rappi_average_order_value],0)</f>
        <v>0</v>
      </c>
      <c r="U22" s="12">
        <f>_xlfn.XLOOKUP(TableDailySummary[[#This Row],[Fecha]],SummaryDaily[day],SummaryDaily[Corporativo no tienda_net_sales],0)</f>
        <v>0</v>
      </c>
      <c r="V22" s="12">
        <f>_xlfn.XLOOKUP(TableDailySummary[[#This Row],[Fecha]],SummaryDaily[day],SummaryDaily[Corporativo no tienda_orders],0)</f>
        <v>0</v>
      </c>
      <c r="W22" s="12">
        <f>_xlfn.XLOOKUP(TableDailySummary[[#This Row],[Fecha]],SummaryDaily[day],SummaryDaily[Corporativo no tienda_average_order_value],0)</f>
        <v>0</v>
      </c>
      <c r="X22" s="12">
        <f>_xlfn.XLOOKUP(TableDailySummary[[#This Row],[Fecha]],SummaryDaily[day],SummaryDaily[GoogleAdsOperation.Cost],0)</f>
        <v>16573.68</v>
      </c>
      <c r="Y22" s="12">
        <f>SUMIFS(SalesByUTMDaily[google],SalesByUTMDaily[day],TableDailySummary[[#This Row],[Fecha]])</f>
        <v>0</v>
      </c>
      <c r="Z22" s="12">
        <f>_xlfn.XLOOKUP(TableDailySummary[[#This Row],[Fecha]],SummaryDaily[day],SummaryDaily[MetaAdsOperation.spend],0)</f>
        <v>21149</v>
      </c>
      <c r="AA22" s="12">
        <f>SUMIFS(SalesByUTMDaily[facebook],SalesByUTMDaily[day],TableDailySummary[[#This Row],[Fecha]])</f>
        <v>0</v>
      </c>
      <c r="AB22" s="12">
        <f>TableDailySummary[[#This Row],[Inversión google ads]]+TableDailySummary[[#This Row],[Inversión meta ads]]</f>
        <v>37722.68</v>
      </c>
      <c r="AC22" s="12">
        <f>TableDailySummary[[#This Row],[Ventas google ads]]+TableDailySummary[[#This Row],[Ventas meta ads]]</f>
        <v>0</v>
      </c>
      <c r="AD22" s="14">
        <f>IFERROR(TableDailySummary[[#This Row],[Ventas publicidad]]/TableDailySummary[[#This Row],[Inversión publicidad]],0)</f>
        <v>0</v>
      </c>
      <c r="AE22" s="14">
        <f>IFERROR(TableDailySummary[[#This Row],[Ventas primer cliente]]/TableDailySummary[[#This Row],[Inversión publicidad]],0)</f>
        <v>9.5344198768486219</v>
      </c>
      <c r="AF22" s="14"/>
      <c r="AG22" s="12"/>
      <c r="AM22" s="12">
        <f>_xlfn.XLOOKUP(TableDailySummary[[#This Row],[Fecha]],SummaryDaily[day],SummaryDaily[net_sales_with_cost_recorded],0)</f>
        <v>2510789.91</v>
      </c>
      <c r="AN22" s="12">
        <f>_xlfn.XLOOKUP(TableDailySummary[[#This Row],[Fecha]],SummaryDaily[day],SummaryDaily[cost_of_goods_sold],0)</f>
        <v>966034</v>
      </c>
      <c r="AO22" s="12">
        <f>_xlfn.XLOOKUP(TableDailySummary[[#This Row],[Fecha]],SummaryDaily[day],SummaryDaily[gross_profit],0)</f>
        <v>1544755.91</v>
      </c>
      <c r="AP22" s="18">
        <f>IFERROR(TableDailySummary[[#This Row],[Utilidad bruta]]/TableDailySummary[[#This Row],[Ventas netas con costo registrado]],0)</f>
        <v>0.61524698018242385</v>
      </c>
    </row>
    <row r="23" spans="2:42" x14ac:dyDescent="0.2">
      <c r="B23" s="15" cm="1">
        <f t="array" ref="B23">MIN(SummaryDaily[day]) + (ROW(TableDailySummary[#This Row]) - ROW(TableDailySummary[[#Headers],[Dia]]) - 1)</f>
        <v>45794</v>
      </c>
      <c r="C23" s="6">
        <f>TableDailySummary[[#This Row],[Dia]]</f>
        <v>45794</v>
      </c>
      <c r="D23" s="12">
        <f>_xlfn.XLOOKUP(TableDailySummary[[#This Row],[Fecha]],SummaryDaily[day],SummaryDaily[net_sales],0)</f>
        <v>826890.75</v>
      </c>
      <c r="E23" s="12">
        <f>_xlfn.XLOOKUP(TableDailySummary[[#This Row],[Fecha]],SummaryDaily[day],SummaryDaily[orders],0)</f>
        <v>8</v>
      </c>
      <c r="F23" s="12">
        <f>_xlfn.XLOOKUP(TableDailySummary[[#This Row],[Fecha]],SummaryDaily[day],SummaryDaily[average_order_value],0)</f>
        <v>103361.34299999999</v>
      </c>
      <c r="G23" s="24">
        <f>_xlfn.XLOOKUP(TableDailySummary[[#This Row],[Fecha]],SummaryDaily[day],SummaryDaily[Total site_conversion_rate],0)</f>
        <v>9.433962264150943E-3</v>
      </c>
      <c r="H23" s="12">
        <f>TableDailySummary[[#This Row],[Órden promedio totales]]*TableDailySummary[[#This Row],[CR totales]]</f>
        <v>975.10700943396216</v>
      </c>
      <c r="I23" s="12">
        <f>_xlfn.XLOOKUP(TableDailySummary[[#This Row],[Fecha]],SummaryDaily[day],SummaryDaily[new_net_sales],0)</f>
        <v>425210.08</v>
      </c>
      <c r="J23" s="12">
        <f>_xlfn.XLOOKUP(TableDailySummary[[#This Row],[Fecha]],SummaryDaily[day],SummaryDaily[new_orders],0)</f>
        <v>4</v>
      </c>
      <c r="K23" s="12">
        <f>_xlfn.XLOOKUP(TableDailySummary[[#This Row],[Fecha]],SummaryDaily[day],SummaryDaily[new_average_order_value],0)</f>
        <v>106302.52</v>
      </c>
      <c r="L23" s="12">
        <f>_xlfn.XLOOKUP(TableDailySummary[[#This Row],[Fecha]],SummaryDaily[day],SummaryDaily[Online Store_net_sales],0)</f>
        <v>826890.75</v>
      </c>
      <c r="M23" s="12">
        <f>_xlfn.XLOOKUP(TableDailySummary[[#This Row],[Fecha]],SummaryDaily[day],SummaryDaily[Online Store_orders],0)</f>
        <v>8</v>
      </c>
      <c r="N23" s="12">
        <f>_xlfn.XLOOKUP(TableDailySummary[[#This Row],[Fecha]],SummaryDaily[day],SummaryDaily[Online Store_average_order_value],0)</f>
        <v>103361.34299999999</v>
      </c>
      <c r="O23" s="12">
        <f>_xlfn.XLOOKUP(TableDailySummary[[#This Row],[Fecha]],SummaryDaily[day],SummaryDaily[Tienda 81_net_sales],0)</f>
        <v>0</v>
      </c>
      <c r="P23" s="12">
        <f>_xlfn.XLOOKUP(TableDailySummary[[#This Row],[Fecha]],SummaryDaily[day],SummaryDaily[Tienda 81_orders],0)</f>
        <v>0</v>
      </c>
      <c r="Q23" s="12">
        <f>_xlfn.XLOOKUP(TableDailySummary[[#This Row],[Fecha]],SummaryDaily[day],SummaryDaily[Tienda 81_average_order_value],0)</f>
        <v>0</v>
      </c>
      <c r="R23" s="12">
        <f>_xlfn.XLOOKUP(TableDailySummary[[#This Row],[Fecha]],SummaryDaily[day],SummaryDaily[Rappi_net_sales],0)</f>
        <v>0</v>
      </c>
      <c r="S23" s="12">
        <f>_xlfn.XLOOKUP(TableDailySummary[[#This Row],[Fecha]],SummaryDaily[day],SummaryDaily[Rappi_orders],0)</f>
        <v>0</v>
      </c>
      <c r="T23" s="12">
        <f>_xlfn.XLOOKUP(TableDailySummary[[#This Row],[Fecha]],SummaryDaily[day],SummaryDaily[Rappi_average_order_value],0)</f>
        <v>0</v>
      </c>
      <c r="U23" s="12">
        <f>_xlfn.XLOOKUP(TableDailySummary[[#This Row],[Fecha]],SummaryDaily[day],SummaryDaily[Corporativo no tienda_net_sales],0)</f>
        <v>0</v>
      </c>
      <c r="V23" s="12">
        <f>_xlfn.XLOOKUP(TableDailySummary[[#This Row],[Fecha]],SummaryDaily[day],SummaryDaily[Corporativo no tienda_orders],0)</f>
        <v>0</v>
      </c>
      <c r="W23" s="12">
        <f>_xlfn.XLOOKUP(TableDailySummary[[#This Row],[Fecha]],SummaryDaily[day],SummaryDaily[Corporativo no tienda_average_order_value],0)</f>
        <v>0</v>
      </c>
      <c r="X23" s="12">
        <f>_xlfn.XLOOKUP(TableDailySummary[[#This Row],[Fecha]],SummaryDaily[day],SummaryDaily[GoogleAdsOperation.Cost],0)</f>
        <v>60697.62</v>
      </c>
      <c r="Y23" s="12">
        <f>SUMIFS(SalesByUTMDaily[google],SalesByUTMDaily[day],TableDailySummary[[#This Row],[Fecha]])</f>
        <v>0</v>
      </c>
      <c r="Z23" s="12">
        <f>_xlfn.XLOOKUP(TableDailySummary[[#This Row],[Fecha]],SummaryDaily[day],SummaryDaily[MetaAdsOperation.spend],0)</f>
        <v>20510</v>
      </c>
      <c r="AA23" s="12">
        <f>SUMIFS(SalesByUTMDaily[facebook],SalesByUTMDaily[day],TableDailySummary[[#This Row],[Fecha]])</f>
        <v>0</v>
      </c>
      <c r="AB23" s="12">
        <f>TableDailySummary[[#This Row],[Inversión google ads]]+TableDailySummary[[#This Row],[Inversión meta ads]]</f>
        <v>81207.62</v>
      </c>
      <c r="AC23" s="12">
        <f>TableDailySummary[[#This Row],[Ventas google ads]]+TableDailySummary[[#This Row],[Ventas meta ads]]</f>
        <v>0</v>
      </c>
      <c r="AD23" s="14">
        <f>IFERROR(TableDailySummary[[#This Row],[Ventas publicidad]]/TableDailySummary[[#This Row],[Inversión publicidad]],0)</f>
        <v>0</v>
      </c>
      <c r="AE23" s="14">
        <f>IFERROR(TableDailySummary[[#This Row],[Ventas primer cliente]]/TableDailySummary[[#This Row],[Inversión publicidad]],0)</f>
        <v>5.2360859732128588</v>
      </c>
      <c r="AF23" s="14"/>
      <c r="AG23" s="12"/>
      <c r="AM23" s="12">
        <f>_xlfn.XLOOKUP(TableDailySummary[[#This Row],[Fecha]],SummaryDaily[day],SummaryDaily[net_sales_with_cost_recorded],0)</f>
        <v>700840.33</v>
      </c>
      <c r="AN23" s="12">
        <f>_xlfn.XLOOKUP(TableDailySummary[[#This Row],[Fecha]],SummaryDaily[day],SummaryDaily[cost_of_goods_sold],0)</f>
        <v>171744</v>
      </c>
      <c r="AO23" s="12">
        <f>_xlfn.XLOOKUP(TableDailySummary[[#This Row],[Fecha]],SummaryDaily[day],SummaryDaily[gross_profit],0)</f>
        <v>529096.32999999996</v>
      </c>
      <c r="AP23" s="18">
        <f>IFERROR(TableDailySummary[[#This Row],[Utilidad bruta]]/TableDailySummary[[#This Row],[Ventas netas con costo registrado]],0)</f>
        <v>0.75494560936583088</v>
      </c>
    </row>
    <row r="24" spans="2:42" x14ac:dyDescent="0.2">
      <c r="B24" s="15" cm="1">
        <f t="array" ref="B24">MIN(SummaryDaily[day]) + (ROW(TableDailySummary[#This Row]) - ROW(TableDailySummary[[#Headers],[Dia]]) - 1)</f>
        <v>45795</v>
      </c>
      <c r="C24" s="6">
        <f>TableDailySummary[[#This Row],[Dia]]</f>
        <v>45795</v>
      </c>
      <c r="D24" s="12">
        <f>_xlfn.XLOOKUP(TableDailySummary[[#This Row],[Fecha]],SummaryDaily[day],SummaryDaily[net_sales],0)</f>
        <v>462184.88</v>
      </c>
      <c r="E24" s="12">
        <f>_xlfn.XLOOKUP(TableDailySummary[[#This Row],[Fecha]],SummaryDaily[day],SummaryDaily[orders],0)</f>
        <v>3</v>
      </c>
      <c r="F24" s="12">
        <f>_xlfn.XLOOKUP(TableDailySummary[[#This Row],[Fecha]],SummaryDaily[day],SummaryDaily[average_order_value],0)</f>
        <v>154061.62599999999</v>
      </c>
      <c r="G24" s="24">
        <f>_xlfn.XLOOKUP(TableDailySummary[[#This Row],[Fecha]],SummaryDaily[day],SummaryDaily[Total site_conversion_rate],0)</f>
        <v>2.9411764705882353E-2</v>
      </c>
      <c r="H24" s="12">
        <f>TableDailySummary[[#This Row],[Órden promedio totales]]*TableDailySummary[[#This Row],[CR totales]]</f>
        <v>4531.2242941176464</v>
      </c>
      <c r="I24" s="12">
        <f>_xlfn.XLOOKUP(TableDailySummary[[#This Row],[Fecha]],SummaryDaily[day],SummaryDaily[new_net_sales],0)</f>
        <v>462184.88</v>
      </c>
      <c r="J24" s="12">
        <f>_xlfn.XLOOKUP(TableDailySummary[[#This Row],[Fecha]],SummaryDaily[day],SummaryDaily[new_orders],0)</f>
        <v>3</v>
      </c>
      <c r="K24" s="12">
        <f>_xlfn.XLOOKUP(TableDailySummary[[#This Row],[Fecha]],SummaryDaily[day],SummaryDaily[new_average_order_value],0)</f>
        <v>154061.62599999999</v>
      </c>
      <c r="L24" s="12">
        <f>_xlfn.XLOOKUP(TableDailySummary[[#This Row],[Fecha]],SummaryDaily[day],SummaryDaily[Online Store_net_sales],0)</f>
        <v>462184.88</v>
      </c>
      <c r="M24" s="12">
        <f>_xlfn.XLOOKUP(TableDailySummary[[#This Row],[Fecha]],SummaryDaily[day],SummaryDaily[Online Store_orders],0)</f>
        <v>3</v>
      </c>
      <c r="N24" s="12">
        <f>_xlfn.XLOOKUP(TableDailySummary[[#This Row],[Fecha]],SummaryDaily[day],SummaryDaily[Online Store_average_order_value],0)</f>
        <v>154061.62599999999</v>
      </c>
      <c r="O24" s="12">
        <f>_xlfn.XLOOKUP(TableDailySummary[[#This Row],[Fecha]],SummaryDaily[day],SummaryDaily[Tienda 81_net_sales],0)</f>
        <v>0</v>
      </c>
      <c r="P24" s="12">
        <f>_xlfn.XLOOKUP(TableDailySummary[[#This Row],[Fecha]],SummaryDaily[day],SummaryDaily[Tienda 81_orders],0)</f>
        <v>0</v>
      </c>
      <c r="Q24" s="12">
        <f>_xlfn.XLOOKUP(TableDailySummary[[#This Row],[Fecha]],SummaryDaily[day],SummaryDaily[Tienda 81_average_order_value],0)</f>
        <v>0</v>
      </c>
      <c r="R24" s="12">
        <f>_xlfn.XLOOKUP(TableDailySummary[[#This Row],[Fecha]],SummaryDaily[day],SummaryDaily[Rappi_net_sales],0)</f>
        <v>0</v>
      </c>
      <c r="S24" s="12">
        <f>_xlfn.XLOOKUP(TableDailySummary[[#This Row],[Fecha]],SummaryDaily[day],SummaryDaily[Rappi_orders],0)</f>
        <v>0</v>
      </c>
      <c r="T24" s="12">
        <f>_xlfn.XLOOKUP(TableDailySummary[[#This Row],[Fecha]],SummaryDaily[day],SummaryDaily[Rappi_average_order_value],0)</f>
        <v>0</v>
      </c>
      <c r="U24" s="12">
        <f>_xlfn.XLOOKUP(TableDailySummary[[#This Row],[Fecha]],SummaryDaily[day],SummaryDaily[Corporativo no tienda_net_sales],0)</f>
        <v>0</v>
      </c>
      <c r="V24" s="12">
        <f>_xlfn.XLOOKUP(TableDailySummary[[#This Row],[Fecha]],SummaryDaily[day],SummaryDaily[Corporativo no tienda_orders],0)</f>
        <v>0</v>
      </c>
      <c r="W24" s="12">
        <f>_xlfn.XLOOKUP(TableDailySummary[[#This Row],[Fecha]],SummaryDaily[day],SummaryDaily[Corporativo no tienda_average_order_value],0)</f>
        <v>0</v>
      </c>
      <c r="X24" s="12">
        <f>_xlfn.XLOOKUP(TableDailySummary[[#This Row],[Fecha]],SummaryDaily[day],SummaryDaily[GoogleAdsOperation.Cost],0)</f>
        <v>7353.99</v>
      </c>
      <c r="Y24" s="12">
        <f>SUMIFS(SalesByUTMDaily[google],SalesByUTMDaily[day],TableDailySummary[[#This Row],[Fecha]])</f>
        <v>0</v>
      </c>
      <c r="Z24" s="12">
        <f>_xlfn.XLOOKUP(TableDailySummary[[#This Row],[Fecha]],SummaryDaily[day],SummaryDaily[MetaAdsOperation.spend],0)</f>
        <v>25101</v>
      </c>
      <c r="AA24" s="12">
        <f>SUMIFS(SalesByUTMDaily[facebook],SalesByUTMDaily[day],TableDailySummary[[#This Row],[Fecha]])</f>
        <v>0</v>
      </c>
      <c r="AB24" s="12">
        <f>TableDailySummary[[#This Row],[Inversión google ads]]+TableDailySummary[[#This Row],[Inversión meta ads]]</f>
        <v>32454.989999999998</v>
      </c>
      <c r="AC24" s="12">
        <f>TableDailySummary[[#This Row],[Ventas google ads]]+TableDailySummary[[#This Row],[Ventas meta ads]]</f>
        <v>0</v>
      </c>
      <c r="AD24" s="14">
        <f>IFERROR(TableDailySummary[[#This Row],[Ventas publicidad]]/TableDailySummary[[#This Row],[Inversión publicidad]],0)</f>
        <v>0</v>
      </c>
      <c r="AE24" s="14">
        <f>IFERROR(TableDailySummary[[#This Row],[Ventas primer cliente]]/TableDailySummary[[#This Row],[Inversión publicidad]],0)</f>
        <v>14.240795637281048</v>
      </c>
      <c r="AF24" s="14"/>
      <c r="AG24" s="12"/>
      <c r="AM24" s="12">
        <f>_xlfn.XLOOKUP(TableDailySummary[[#This Row],[Fecha]],SummaryDaily[day],SummaryDaily[net_sales_with_cost_recorded],0)</f>
        <v>462184.88</v>
      </c>
      <c r="AN24" s="12">
        <f>_xlfn.XLOOKUP(TableDailySummary[[#This Row],[Fecha]],SummaryDaily[day],SummaryDaily[cost_of_goods_sold],0)</f>
        <v>122134</v>
      </c>
      <c r="AO24" s="12">
        <f>_xlfn.XLOOKUP(TableDailySummary[[#This Row],[Fecha]],SummaryDaily[day],SummaryDaily[gross_profit],0)</f>
        <v>340050.88</v>
      </c>
      <c r="AP24" s="18">
        <f>IFERROR(TableDailySummary[[#This Row],[Utilidad bruta]]/TableDailySummary[[#This Row],[Ventas netas con costo registrado]],0)</f>
        <v>0.73574643982295573</v>
      </c>
    </row>
    <row r="25" spans="2:42" x14ac:dyDescent="0.2">
      <c r="B25" s="15" cm="1">
        <f t="array" ref="B25">MIN(SummaryDaily[day]) + (ROW(TableDailySummary[#This Row]) - ROW(TableDailySummary[[#Headers],[Dia]]) - 1)</f>
        <v>45796</v>
      </c>
      <c r="C25" s="6">
        <f>TableDailySummary[[#This Row],[Dia]]</f>
        <v>45796</v>
      </c>
      <c r="D25" s="12">
        <f>_xlfn.XLOOKUP(TableDailySummary[[#This Row],[Fecha]],SummaryDaily[day],SummaryDaily[net_sales],0)</f>
        <v>1732773.08</v>
      </c>
      <c r="E25" s="12">
        <f>_xlfn.XLOOKUP(TableDailySummary[[#This Row],[Fecha]],SummaryDaily[day],SummaryDaily[orders],0)</f>
        <v>11</v>
      </c>
      <c r="F25" s="12">
        <f>_xlfn.XLOOKUP(TableDailySummary[[#This Row],[Fecha]],SummaryDaily[day],SummaryDaily[average_order_value],0)</f>
        <v>149503.435</v>
      </c>
      <c r="G25" s="24">
        <f>_xlfn.XLOOKUP(TableDailySummary[[#This Row],[Fecha]],SummaryDaily[day],SummaryDaily[Total site_conversion_rate],0)</f>
        <v>1.6666666666666666E-2</v>
      </c>
      <c r="H25" s="12">
        <f>TableDailySummary[[#This Row],[Órden promedio totales]]*TableDailySummary[[#This Row],[CR totales]]</f>
        <v>2491.7239166666668</v>
      </c>
      <c r="I25" s="12">
        <f>_xlfn.XLOOKUP(TableDailySummary[[#This Row],[Fecha]],SummaryDaily[day],SummaryDaily[new_net_sales],0)</f>
        <v>1190756.28</v>
      </c>
      <c r="J25" s="12">
        <f>_xlfn.XLOOKUP(TableDailySummary[[#This Row],[Fecha]],SummaryDaily[day],SummaryDaily[new_orders],0)</f>
        <v>6</v>
      </c>
      <c r="K25" s="12">
        <f>_xlfn.XLOOKUP(TableDailySummary[[#This Row],[Fecha]],SummaryDaily[day],SummaryDaily[new_average_order_value],0)</f>
        <v>198459.38</v>
      </c>
      <c r="L25" s="12">
        <f>_xlfn.XLOOKUP(TableDailySummary[[#This Row],[Fecha]],SummaryDaily[day],SummaryDaily[Online Store_net_sales],0)</f>
        <v>1732773.08</v>
      </c>
      <c r="M25" s="12">
        <f>_xlfn.XLOOKUP(TableDailySummary[[#This Row],[Fecha]],SummaryDaily[day],SummaryDaily[Online Store_orders],0)</f>
        <v>11</v>
      </c>
      <c r="N25" s="12">
        <f>_xlfn.XLOOKUP(TableDailySummary[[#This Row],[Fecha]],SummaryDaily[day],SummaryDaily[Online Store_average_order_value],0)</f>
        <v>149503.435</v>
      </c>
      <c r="O25" s="12">
        <f>_xlfn.XLOOKUP(TableDailySummary[[#This Row],[Fecha]],SummaryDaily[day],SummaryDaily[Tienda 81_net_sales],0)</f>
        <v>0</v>
      </c>
      <c r="P25" s="12">
        <f>_xlfn.XLOOKUP(TableDailySummary[[#This Row],[Fecha]],SummaryDaily[day],SummaryDaily[Tienda 81_orders],0)</f>
        <v>0</v>
      </c>
      <c r="Q25" s="12">
        <f>_xlfn.XLOOKUP(TableDailySummary[[#This Row],[Fecha]],SummaryDaily[day],SummaryDaily[Tienda 81_average_order_value],0)</f>
        <v>0</v>
      </c>
      <c r="R25" s="12">
        <f>_xlfn.XLOOKUP(TableDailySummary[[#This Row],[Fecha]],SummaryDaily[day],SummaryDaily[Rappi_net_sales],0)</f>
        <v>0</v>
      </c>
      <c r="S25" s="12">
        <f>_xlfn.XLOOKUP(TableDailySummary[[#This Row],[Fecha]],SummaryDaily[day],SummaryDaily[Rappi_orders],0)</f>
        <v>0</v>
      </c>
      <c r="T25" s="12">
        <f>_xlfn.XLOOKUP(TableDailySummary[[#This Row],[Fecha]],SummaryDaily[day],SummaryDaily[Rappi_average_order_value],0)</f>
        <v>0</v>
      </c>
      <c r="U25" s="12">
        <f>_xlfn.XLOOKUP(TableDailySummary[[#This Row],[Fecha]],SummaryDaily[day],SummaryDaily[Corporativo no tienda_net_sales],0)</f>
        <v>0</v>
      </c>
      <c r="V25" s="12">
        <f>_xlfn.XLOOKUP(TableDailySummary[[#This Row],[Fecha]],SummaryDaily[day],SummaryDaily[Corporativo no tienda_orders],0)</f>
        <v>0</v>
      </c>
      <c r="W25" s="12">
        <f>_xlfn.XLOOKUP(TableDailySummary[[#This Row],[Fecha]],SummaryDaily[day],SummaryDaily[Corporativo no tienda_average_order_value],0)</f>
        <v>0</v>
      </c>
      <c r="X25" s="12">
        <f>_xlfn.XLOOKUP(TableDailySummary[[#This Row],[Fecha]],SummaryDaily[day],SummaryDaily[GoogleAdsOperation.Cost],0)</f>
        <v>64442.559999999998</v>
      </c>
      <c r="Y25" s="12">
        <f>SUMIFS(SalesByUTMDaily[google],SalesByUTMDaily[day],TableDailySummary[[#This Row],[Fecha]])</f>
        <v>0</v>
      </c>
      <c r="Z25" s="12">
        <f>_xlfn.XLOOKUP(TableDailySummary[[#This Row],[Fecha]],SummaryDaily[day],SummaryDaily[MetaAdsOperation.spend],0)</f>
        <v>20116</v>
      </c>
      <c r="AA25" s="12">
        <f>SUMIFS(SalesByUTMDaily[facebook],SalesByUTMDaily[day],TableDailySummary[[#This Row],[Fecha]])</f>
        <v>0</v>
      </c>
      <c r="AB25" s="12">
        <f>TableDailySummary[[#This Row],[Inversión google ads]]+TableDailySummary[[#This Row],[Inversión meta ads]]</f>
        <v>84558.56</v>
      </c>
      <c r="AC25" s="12">
        <f>TableDailySummary[[#This Row],[Ventas google ads]]+TableDailySummary[[#This Row],[Ventas meta ads]]</f>
        <v>0</v>
      </c>
      <c r="AD25" s="14">
        <f>IFERROR(TableDailySummary[[#This Row],[Ventas publicidad]]/TableDailySummary[[#This Row],[Inversión publicidad]],0)</f>
        <v>0</v>
      </c>
      <c r="AE25" s="14">
        <f>IFERROR(TableDailySummary[[#This Row],[Ventas primer cliente]]/TableDailySummary[[#This Row],[Inversión publicidad]],0)</f>
        <v>14.08203119826071</v>
      </c>
      <c r="AF25" s="14"/>
      <c r="AG25" s="12"/>
      <c r="AM25" s="12">
        <f>_xlfn.XLOOKUP(TableDailySummary[[#This Row],[Fecha]],SummaryDaily[day],SummaryDaily[net_sales_with_cost_recorded],0)</f>
        <v>1732773.08</v>
      </c>
      <c r="AN25" s="12">
        <f>_xlfn.XLOOKUP(TableDailySummary[[#This Row],[Fecha]],SummaryDaily[day],SummaryDaily[cost_of_goods_sold],0)</f>
        <v>417373</v>
      </c>
      <c r="AO25" s="12">
        <f>_xlfn.XLOOKUP(TableDailySummary[[#This Row],[Fecha]],SummaryDaily[day],SummaryDaily[gross_profit],0)</f>
        <v>1315400.08</v>
      </c>
      <c r="AP25" s="18">
        <f>IFERROR(TableDailySummary[[#This Row],[Utilidad bruta]]/TableDailySummary[[#This Row],[Ventas netas con costo registrado]],0)</f>
        <v>0.75913002988250489</v>
      </c>
    </row>
    <row r="26" spans="2:42" x14ac:dyDescent="0.2">
      <c r="B26" s="15" cm="1">
        <f t="array" ref="B26">MIN(SummaryDaily[day]) + (ROW(TableDailySummary[#This Row]) - ROW(TableDailySummary[[#Headers],[Dia]]) - 1)</f>
        <v>45797</v>
      </c>
      <c r="C26" s="6">
        <f>TableDailySummary[[#This Row],[Dia]]</f>
        <v>45797</v>
      </c>
      <c r="D26" s="12">
        <f>_xlfn.XLOOKUP(TableDailySummary[[#This Row],[Fecha]],SummaryDaily[day],SummaryDaily[net_sales],0)</f>
        <v>1733613.45</v>
      </c>
      <c r="E26" s="12">
        <f>_xlfn.XLOOKUP(TableDailySummary[[#This Row],[Fecha]],SummaryDaily[day],SummaryDaily[orders],0)</f>
        <v>13</v>
      </c>
      <c r="F26" s="12">
        <f>_xlfn.XLOOKUP(TableDailySummary[[#This Row],[Fecha]],SummaryDaily[day],SummaryDaily[average_order_value],0)</f>
        <v>133354.88099999999</v>
      </c>
      <c r="G26" s="24">
        <f>_xlfn.XLOOKUP(TableDailySummary[[#This Row],[Fecha]],SummaryDaily[day],SummaryDaily[Total site_conversion_rate],0)</f>
        <v>2.1052631578947368E-2</v>
      </c>
      <c r="H26" s="12">
        <f>TableDailySummary[[#This Row],[Órden promedio totales]]*TableDailySummary[[#This Row],[CR totales]]</f>
        <v>2807.4711789473681</v>
      </c>
      <c r="I26" s="12">
        <f>_xlfn.XLOOKUP(TableDailySummary[[#This Row],[Fecha]],SummaryDaily[day],SummaryDaily[new_net_sales],0)</f>
        <v>781512.6</v>
      </c>
      <c r="J26" s="12">
        <f>_xlfn.XLOOKUP(TableDailySummary[[#This Row],[Fecha]],SummaryDaily[day],SummaryDaily[new_orders],0)</f>
        <v>5</v>
      </c>
      <c r="K26" s="12">
        <f>_xlfn.XLOOKUP(TableDailySummary[[#This Row],[Fecha]],SummaryDaily[day],SummaryDaily[new_average_order_value],0)</f>
        <v>156302.522</v>
      </c>
      <c r="L26" s="12">
        <f>_xlfn.XLOOKUP(TableDailySummary[[#This Row],[Fecha]],SummaryDaily[day],SummaryDaily[Online Store_net_sales],0)</f>
        <v>1733613.45</v>
      </c>
      <c r="M26" s="12">
        <f>_xlfn.XLOOKUP(TableDailySummary[[#This Row],[Fecha]],SummaryDaily[day],SummaryDaily[Online Store_orders],0)</f>
        <v>13</v>
      </c>
      <c r="N26" s="12">
        <f>_xlfn.XLOOKUP(TableDailySummary[[#This Row],[Fecha]],SummaryDaily[day],SummaryDaily[Online Store_average_order_value],0)</f>
        <v>133354.88099999999</v>
      </c>
      <c r="O26" s="12">
        <f>_xlfn.XLOOKUP(TableDailySummary[[#This Row],[Fecha]],SummaryDaily[day],SummaryDaily[Tienda 81_net_sales],0)</f>
        <v>0</v>
      </c>
      <c r="P26" s="12">
        <f>_xlfn.XLOOKUP(TableDailySummary[[#This Row],[Fecha]],SummaryDaily[day],SummaryDaily[Tienda 81_orders],0)</f>
        <v>0</v>
      </c>
      <c r="Q26" s="12">
        <f>_xlfn.XLOOKUP(TableDailySummary[[#This Row],[Fecha]],SummaryDaily[day],SummaryDaily[Tienda 81_average_order_value],0)</f>
        <v>0</v>
      </c>
      <c r="R26" s="12">
        <f>_xlfn.XLOOKUP(TableDailySummary[[#This Row],[Fecha]],SummaryDaily[day],SummaryDaily[Rappi_net_sales],0)</f>
        <v>0</v>
      </c>
      <c r="S26" s="12">
        <f>_xlfn.XLOOKUP(TableDailySummary[[#This Row],[Fecha]],SummaryDaily[day],SummaryDaily[Rappi_orders],0)</f>
        <v>0</v>
      </c>
      <c r="T26" s="12">
        <f>_xlfn.XLOOKUP(TableDailySummary[[#This Row],[Fecha]],SummaryDaily[day],SummaryDaily[Rappi_average_order_value],0)</f>
        <v>0</v>
      </c>
      <c r="U26" s="12">
        <f>_xlfn.XLOOKUP(TableDailySummary[[#This Row],[Fecha]],SummaryDaily[day],SummaryDaily[Corporativo no tienda_net_sales],0)</f>
        <v>0</v>
      </c>
      <c r="V26" s="12">
        <f>_xlfn.XLOOKUP(TableDailySummary[[#This Row],[Fecha]],SummaryDaily[day],SummaryDaily[Corporativo no tienda_orders],0)</f>
        <v>0</v>
      </c>
      <c r="W26" s="12">
        <f>_xlfn.XLOOKUP(TableDailySummary[[#This Row],[Fecha]],SummaryDaily[day],SummaryDaily[Corporativo no tienda_average_order_value],0)</f>
        <v>0</v>
      </c>
      <c r="X26" s="12">
        <f>_xlfn.XLOOKUP(TableDailySummary[[#This Row],[Fecha]],SummaryDaily[day],SummaryDaily[GoogleAdsOperation.Cost],0)</f>
        <v>63646.81</v>
      </c>
      <c r="Y26" s="12">
        <f>SUMIFS(SalesByUTMDaily[google],SalesByUTMDaily[day],TableDailySummary[[#This Row],[Fecha]])</f>
        <v>0</v>
      </c>
      <c r="Z26" s="12">
        <f>_xlfn.XLOOKUP(TableDailySummary[[#This Row],[Fecha]],SummaryDaily[day],SummaryDaily[MetaAdsOperation.spend],0)</f>
        <v>17115</v>
      </c>
      <c r="AA26" s="12">
        <f>SUMIFS(SalesByUTMDaily[facebook],SalesByUTMDaily[day],TableDailySummary[[#This Row],[Fecha]])</f>
        <v>0</v>
      </c>
      <c r="AB26" s="12">
        <f>TableDailySummary[[#This Row],[Inversión google ads]]+TableDailySummary[[#This Row],[Inversión meta ads]]</f>
        <v>80761.81</v>
      </c>
      <c r="AC26" s="12">
        <f>TableDailySummary[[#This Row],[Ventas google ads]]+TableDailySummary[[#This Row],[Ventas meta ads]]</f>
        <v>0</v>
      </c>
      <c r="AD26" s="14">
        <f>IFERROR(TableDailySummary[[#This Row],[Ventas publicidad]]/TableDailySummary[[#This Row],[Inversión publicidad]],0)</f>
        <v>0</v>
      </c>
      <c r="AE26" s="14">
        <f>IFERROR(TableDailySummary[[#This Row],[Ventas primer cliente]]/TableDailySummary[[#This Row],[Inversión publicidad]],0)</f>
        <v>9.6767593494994717</v>
      </c>
      <c r="AF26" s="14"/>
      <c r="AG26" s="12"/>
      <c r="AM26" s="12">
        <f>_xlfn.XLOOKUP(TableDailySummary[[#This Row],[Fecha]],SummaryDaily[day],SummaryDaily[net_sales_with_cost_recorded],0)</f>
        <v>1733613.45</v>
      </c>
      <c r="AN26" s="12">
        <f>_xlfn.XLOOKUP(TableDailySummary[[#This Row],[Fecha]],SummaryDaily[day],SummaryDaily[cost_of_goods_sold],0)</f>
        <v>358096</v>
      </c>
      <c r="AO26" s="12">
        <f>_xlfn.XLOOKUP(TableDailySummary[[#This Row],[Fecha]],SummaryDaily[day],SummaryDaily[gross_profit],0)</f>
        <v>1375517.45</v>
      </c>
      <c r="AP26" s="18">
        <f>IFERROR(TableDailySummary[[#This Row],[Utilidad bruta]]/TableDailySummary[[#This Row],[Ventas netas con costo registrado]],0)</f>
        <v>0.79343953520895905</v>
      </c>
    </row>
    <row r="27" spans="2:42" x14ac:dyDescent="0.2">
      <c r="B27" s="15" cm="1">
        <f t="array" ref="B27">MIN(SummaryDaily[day]) + (ROW(TableDailySummary[#This Row]) - ROW(TableDailySummary[[#Headers],[Dia]]) - 1)</f>
        <v>45798</v>
      </c>
      <c r="C27" s="6">
        <f>TableDailySummary[[#This Row],[Dia]]</f>
        <v>45798</v>
      </c>
      <c r="D27" s="12">
        <f>_xlfn.XLOOKUP(TableDailySummary[[#This Row],[Fecha]],SummaryDaily[day],SummaryDaily[net_sales],0)</f>
        <v>1888405.21</v>
      </c>
      <c r="E27" s="12">
        <f>_xlfn.XLOOKUP(TableDailySummary[[#This Row],[Fecha]],SummaryDaily[day],SummaryDaily[orders],0)</f>
        <v>14</v>
      </c>
      <c r="F27" s="12">
        <f>_xlfn.XLOOKUP(TableDailySummary[[#This Row],[Fecha]],SummaryDaily[day],SummaryDaily[average_order_value],0)</f>
        <v>134886.08600000001</v>
      </c>
      <c r="G27" s="24">
        <f>_xlfn.XLOOKUP(TableDailySummary[[#This Row],[Fecha]],SummaryDaily[day],SummaryDaily[Total site_conversion_rate],0)</f>
        <v>2.5773195876288658E-2</v>
      </c>
      <c r="H27" s="12">
        <f>TableDailySummary[[#This Row],[Órden promedio totales]]*TableDailySummary[[#This Row],[CR totales]]</f>
        <v>3476.4455154639177</v>
      </c>
      <c r="I27" s="12">
        <f>_xlfn.XLOOKUP(TableDailySummary[[#This Row],[Fecha]],SummaryDaily[day],SummaryDaily[new_net_sales],0)</f>
        <v>1337983.2</v>
      </c>
      <c r="J27" s="12">
        <f>_xlfn.XLOOKUP(TableDailySummary[[#This Row],[Fecha]],SummaryDaily[day],SummaryDaily[new_orders],0)</f>
        <v>7</v>
      </c>
      <c r="K27" s="12">
        <f>_xlfn.XLOOKUP(TableDailySummary[[#This Row],[Fecha]],SummaryDaily[day],SummaryDaily[new_average_order_value],0)</f>
        <v>191140.45699999999</v>
      </c>
      <c r="L27" s="12">
        <f>_xlfn.XLOOKUP(TableDailySummary[[#This Row],[Fecha]],SummaryDaily[day],SummaryDaily[Online Store_net_sales],0)</f>
        <v>1888405.21</v>
      </c>
      <c r="M27" s="12">
        <f>_xlfn.XLOOKUP(TableDailySummary[[#This Row],[Fecha]],SummaryDaily[day],SummaryDaily[Online Store_orders],0)</f>
        <v>14</v>
      </c>
      <c r="N27" s="12">
        <f>_xlfn.XLOOKUP(TableDailySummary[[#This Row],[Fecha]],SummaryDaily[day],SummaryDaily[Online Store_average_order_value],0)</f>
        <v>134886.08600000001</v>
      </c>
      <c r="O27" s="12">
        <f>_xlfn.XLOOKUP(TableDailySummary[[#This Row],[Fecha]],SummaryDaily[day],SummaryDaily[Tienda 81_net_sales],0)</f>
        <v>0</v>
      </c>
      <c r="P27" s="12">
        <f>_xlfn.XLOOKUP(TableDailySummary[[#This Row],[Fecha]],SummaryDaily[day],SummaryDaily[Tienda 81_orders],0)</f>
        <v>0</v>
      </c>
      <c r="Q27" s="12">
        <f>_xlfn.XLOOKUP(TableDailySummary[[#This Row],[Fecha]],SummaryDaily[day],SummaryDaily[Tienda 81_average_order_value],0)</f>
        <v>0</v>
      </c>
      <c r="R27" s="12">
        <f>_xlfn.XLOOKUP(TableDailySummary[[#This Row],[Fecha]],SummaryDaily[day],SummaryDaily[Rappi_net_sales],0)</f>
        <v>0</v>
      </c>
      <c r="S27" s="12">
        <f>_xlfn.XLOOKUP(TableDailySummary[[#This Row],[Fecha]],SummaryDaily[day],SummaryDaily[Rappi_orders],0)</f>
        <v>0</v>
      </c>
      <c r="T27" s="12">
        <f>_xlfn.XLOOKUP(TableDailySummary[[#This Row],[Fecha]],SummaryDaily[day],SummaryDaily[Rappi_average_order_value],0)</f>
        <v>0</v>
      </c>
      <c r="U27" s="12">
        <f>_xlfn.XLOOKUP(TableDailySummary[[#This Row],[Fecha]],SummaryDaily[day],SummaryDaily[Corporativo no tienda_net_sales],0)</f>
        <v>0</v>
      </c>
      <c r="V27" s="12">
        <f>_xlfn.XLOOKUP(TableDailySummary[[#This Row],[Fecha]],SummaryDaily[day],SummaryDaily[Corporativo no tienda_orders],0)</f>
        <v>0</v>
      </c>
      <c r="W27" s="12">
        <f>_xlfn.XLOOKUP(TableDailySummary[[#This Row],[Fecha]],SummaryDaily[day],SummaryDaily[Corporativo no tienda_average_order_value],0)</f>
        <v>0</v>
      </c>
      <c r="X27" s="12">
        <f>_xlfn.XLOOKUP(TableDailySummary[[#This Row],[Fecha]],SummaryDaily[day],SummaryDaily[GoogleAdsOperation.Cost],0)</f>
        <v>28907.02</v>
      </c>
      <c r="Y27" s="12">
        <f>SUMIFS(SalesByUTMDaily[google],SalesByUTMDaily[day],TableDailySummary[[#This Row],[Fecha]])</f>
        <v>0</v>
      </c>
      <c r="Z27" s="12">
        <f>_xlfn.XLOOKUP(TableDailySummary[[#This Row],[Fecha]],SummaryDaily[day],SummaryDaily[MetaAdsOperation.spend],0)</f>
        <v>18047</v>
      </c>
      <c r="AA27" s="12">
        <f>SUMIFS(SalesByUTMDaily[facebook],SalesByUTMDaily[day],TableDailySummary[[#This Row],[Fecha]])</f>
        <v>0</v>
      </c>
      <c r="AB27" s="12">
        <f>TableDailySummary[[#This Row],[Inversión google ads]]+TableDailySummary[[#This Row],[Inversión meta ads]]</f>
        <v>46954.020000000004</v>
      </c>
      <c r="AC27" s="12">
        <f>TableDailySummary[[#This Row],[Ventas google ads]]+TableDailySummary[[#This Row],[Ventas meta ads]]</f>
        <v>0</v>
      </c>
      <c r="AD27" s="14">
        <f>IFERROR(TableDailySummary[[#This Row],[Ventas publicidad]]/TableDailySummary[[#This Row],[Inversión publicidad]],0)</f>
        <v>0</v>
      </c>
      <c r="AE27" s="14">
        <f>IFERROR(TableDailySummary[[#This Row],[Ventas primer cliente]]/TableDailySummary[[#This Row],[Inversión publicidad]],0)</f>
        <v>28.49560484916946</v>
      </c>
      <c r="AF27" s="14"/>
      <c r="AG27" s="12"/>
      <c r="AM27" s="12">
        <f>_xlfn.XLOOKUP(TableDailySummary[[#This Row],[Fecha]],SummaryDaily[day],SummaryDaily[net_sales_with_cost_recorded],0)</f>
        <v>1888403.37</v>
      </c>
      <c r="AN27" s="12">
        <f>_xlfn.XLOOKUP(TableDailySummary[[#This Row],[Fecha]],SummaryDaily[day],SummaryDaily[cost_of_goods_sold],0)</f>
        <v>513818</v>
      </c>
      <c r="AO27" s="12">
        <f>_xlfn.XLOOKUP(TableDailySummary[[#This Row],[Fecha]],SummaryDaily[day],SummaryDaily[gross_profit],0)</f>
        <v>1374585.37</v>
      </c>
      <c r="AP27" s="18">
        <f>IFERROR(TableDailySummary[[#This Row],[Utilidad bruta]]/TableDailySummary[[#This Row],[Ventas netas con costo registrado]],0)</f>
        <v>0.72790876771205937</v>
      </c>
    </row>
    <row r="28" spans="2:42" x14ac:dyDescent="0.2">
      <c r="B28" s="15" cm="1">
        <f t="array" ref="B28">MIN(SummaryDaily[day]) + (ROW(TableDailySummary[#This Row]) - ROW(TableDailySummary[[#Headers],[Dia]]) - 1)</f>
        <v>45799</v>
      </c>
      <c r="C28" s="6">
        <f>TableDailySummary[[#This Row],[Dia]]</f>
        <v>45799</v>
      </c>
      <c r="D28" s="12">
        <f>_xlfn.XLOOKUP(TableDailySummary[[#This Row],[Fecha]],SummaryDaily[day],SummaryDaily[net_sales],0)</f>
        <v>1582352.95</v>
      </c>
      <c r="E28" s="12">
        <f>_xlfn.XLOOKUP(TableDailySummary[[#This Row],[Fecha]],SummaryDaily[day],SummaryDaily[orders],0)</f>
        <v>12</v>
      </c>
      <c r="F28" s="12">
        <f>_xlfn.XLOOKUP(TableDailySummary[[#This Row],[Fecha]],SummaryDaily[day],SummaryDaily[average_order_value],0)</f>
        <v>131862.745</v>
      </c>
      <c r="G28" s="24">
        <f>_xlfn.XLOOKUP(TableDailySummary[[#This Row],[Fecha]],SummaryDaily[day],SummaryDaily[Total site_conversion_rate],0)</f>
        <v>8.1466395112016286E-3</v>
      </c>
      <c r="H28" s="12">
        <f>TableDailySummary[[#This Row],[Órden promedio totales]]*TableDailySummary[[#This Row],[CR totales]]</f>
        <v>1074.2382484725049</v>
      </c>
      <c r="I28" s="12">
        <f>_xlfn.XLOOKUP(TableDailySummary[[#This Row],[Fecha]],SummaryDaily[day],SummaryDaily[new_net_sales],0)</f>
        <v>559663.87</v>
      </c>
      <c r="J28" s="12">
        <f>_xlfn.XLOOKUP(TableDailySummary[[#This Row],[Fecha]],SummaryDaily[day],SummaryDaily[new_orders],0)</f>
        <v>6</v>
      </c>
      <c r="K28" s="12">
        <f>_xlfn.XLOOKUP(TableDailySummary[[#This Row],[Fecha]],SummaryDaily[day],SummaryDaily[new_average_order_value],0)</f>
        <v>93277.311000000002</v>
      </c>
      <c r="L28" s="12">
        <f>_xlfn.XLOOKUP(TableDailySummary[[#This Row],[Fecha]],SummaryDaily[day],SummaryDaily[Online Store_net_sales],0)</f>
        <v>1582352.95</v>
      </c>
      <c r="M28" s="12">
        <f>_xlfn.XLOOKUP(TableDailySummary[[#This Row],[Fecha]],SummaryDaily[day],SummaryDaily[Online Store_orders],0)</f>
        <v>12</v>
      </c>
      <c r="N28" s="12">
        <f>_xlfn.XLOOKUP(TableDailySummary[[#This Row],[Fecha]],SummaryDaily[day],SummaryDaily[Online Store_average_order_value],0)</f>
        <v>131862.745</v>
      </c>
      <c r="O28" s="12">
        <f>_xlfn.XLOOKUP(TableDailySummary[[#This Row],[Fecha]],SummaryDaily[day],SummaryDaily[Tienda 81_net_sales],0)</f>
        <v>0</v>
      </c>
      <c r="P28" s="12">
        <f>_xlfn.XLOOKUP(TableDailySummary[[#This Row],[Fecha]],SummaryDaily[day],SummaryDaily[Tienda 81_orders],0)</f>
        <v>0</v>
      </c>
      <c r="Q28" s="12">
        <f>_xlfn.XLOOKUP(TableDailySummary[[#This Row],[Fecha]],SummaryDaily[day],SummaryDaily[Tienda 81_average_order_value],0)</f>
        <v>0</v>
      </c>
      <c r="R28" s="12">
        <f>_xlfn.XLOOKUP(TableDailySummary[[#This Row],[Fecha]],SummaryDaily[day],SummaryDaily[Rappi_net_sales],0)</f>
        <v>0</v>
      </c>
      <c r="S28" s="12">
        <f>_xlfn.XLOOKUP(TableDailySummary[[#This Row],[Fecha]],SummaryDaily[day],SummaryDaily[Rappi_orders],0)</f>
        <v>0</v>
      </c>
      <c r="T28" s="12">
        <f>_xlfn.XLOOKUP(TableDailySummary[[#This Row],[Fecha]],SummaryDaily[day],SummaryDaily[Rappi_average_order_value],0)</f>
        <v>0</v>
      </c>
      <c r="U28" s="12">
        <f>_xlfn.XLOOKUP(TableDailySummary[[#This Row],[Fecha]],SummaryDaily[day],SummaryDaily[Corporativo no tienda_net_sales],0)</f>
        <v>0</v>
      </c>
      <c r="V28" s="12">
        <f>_xlfn.XLOOKUP(TableDailySummary[[#This Row],[Fecha]],SummaryDaily[day],SummaryDaily[Corporativo no tienda_orders],0)</f>
        <v>0</v>
      </c>
      <c r="W28" s="12">
        <f>_xlfn.XLOOKUP(TableDailySummary[[#This Row],[Fecha]],SummaryDaily[day],SummaryDaily[Corporativo no tienda_average_order_value],0)</f>
        <v>0</v>
      </c>
      <c r="X28" s="12">
        <f>_xlfn.XLOOKUP(TableDailySummary[[#This Row],[Fecha]],SummaryDaily[day],SummaryDaily[GoogleAdsOperation.Cost],0)</f>
        <v>109443.11</v>
      </c>
      <c r="Y28" s="12">
        <f>SUMIFS(SalesByUTMDaily[google],SalesByUTMDaily[day],TableDailySummary[[#This Row],[Fecha]])</f>
        <v>0</v>
      </c>
      <c r="Z28" s="12">
        <f>_xlfn.XLOOKUP(TableDailySummary[[#This Row],[Fecha]],SummaryDaily[day],SummaryDaily[MetaAdsOperation.spend],0)</f>
        <v>18157</v>
      </c>
      <c r="AA28" s="12">
        <f>SUMIFS(SalesByUTMDaily[facebook],SalesByUTMDaily[day],TableDailySummary[[#This Row],[Fecha]])</f>
        <v>0</v>
      </c>
      <c r="AB28" s="12">
        <f>TableDailySummary[[#This Row],[Inversión google ads]]+TableDailySummary[[#This Row],[Inversión meta ads]]</f>
        <v>127600.11</v>
      </c>
      <c r="AC28" s="12">
        <f>TableDailySummary[[#This Row],[Ventas google ads]]+TableDailySummary[[#This Row],[Ventas meta ads]]</f>
        <v>0</v>
      </c>
      <c r="AD28" s="14">
        <f>IFERROR(TableDailySummary[[#This Row],[Ventas publicidad]]/TableDailySummary[[#This Row],[Inversión publicidad]],0)</f>
        <v>0</v>
      </c>
      <c r="AE28" s="14">
        <f>IFERROR(TableDailySummary[[#This Row],[Ventas primer cliente]]/TableDailySummary[[#This Row],[Inversión publicidad]],0)</f>
        <v>4.3860767047928091</v>
      </c>
      <c r="AF28" s="14"/>
      <c r="AG28" s="12"/>
      <c r="AM28" s="12">
        <f>_xlfn.XLOOKUP(TableDailySummary[[#This Row],[Fecha]],SummaryDaily[day],SummaryDaily[net_sales_with_cost_recorded],0)</f>
        <v>1582352.95</v>
      </c>
      <c r="AN28" s="12">
        <f>_xlfn.XLOOKUP(TableDailySummary[[#This Row],[Fecha]],SummaryDaily[day],SummaryDaily[cost_of_goods_sold],0)</f>
        <v>424106</v>
      </c>
      <c r="AO28" s="12">
        <f>_xlfn.XLOOKUP(TableDailySummary[[#This Row],[Fecha]],SummaryDaily[day],SummaryDaily[gross_profit],0)</f>
        <v>1158246.95</v>
      </c>
      <c r="AP28" s="18">
        <f>IFERROR(TableDailySummary[[#This Row],[Utilidad bruta]]/TableDailySummary[[#This Row],[Ventas netas con costo registrado]],0)</f>
        <v>0.73197762231239238</v>
      </c>
    </row>
    <row r="29" spans="2:42" x14ac:dyDescent="0.2">
      <c r="B29" s="15" cm="1">
        <f t="array" ref="B29">MIN(SummaryDaily[day]) + (ROW(TableDailySummary[#This Row]) - ROW(TableDailySummary[[#Headers],[Dia]]) - 1)</f>
        <v>45800</v>
      </c>
      <c r="C29" s="6">
        <f>TableDailySummary[[#This Row],[Dia]]</f>
        <v>45800</v>
      </c>
      <c r="D29" s="12">
        <f>_xlfn.XLOOKUP(TableDailySummary[[#This Row],[Fecha]],SummaryDaily[day],SummaryDaily[net_sales],0)</f>
        <v>725210.09</v>
      </c>
      <c r="E29" s="12">
        <f>_xlfn.XLOOKUP(TableDailySummary[[#This Row],[Fecha]],SummaryDaily[day],SummaryDaily[orders],0)</f>
        <v>9</v>
      </c>
      <c r="F29" s="12">
        <f>_xlfn.XLOOKUP(TableDailySummary[[#This Row],[Fecha]],SummaryDaily[day],SummaryDaily[average_order_value],0)</f>
        <v>80578.898000000001</v>
      </c>
      <c r="G29" s="24">
        <f>_xlfn.XLOOKUP(TableDailySummary[[#This Row],[Fecha]],SummaryDaily[day],SummaryDaily[Total site_conversion_rate],0)</f>
        <v>7.1174377224199285E-3</v>
      </c>
      <c r="H29" s="12">
        <f>TableDailySummary[[#This Row],[Órden promedio totales]]*TableDailySummary[[#This Row],[CR totales]]</f>
        <v>573.51528825622779</v>
      </c>
      <c r="I29" s="12">
        <f>_xlfn.XLOOKUP(TableDailySummary[[#This Row],[Fecha]],SummaryDaily[day],SummaryDaily[new_net_sales],0)</f>
        <v>164705.89000000001</v>
      </c>
      <c r="J29" s="12">
        <f>_xlfn.XLOOKUP(TableDailySummary[[#This Row],[Fecha]],SummaryDaily[day],SummaryDaily[new_orders],0)</f>
        <v>2</v>
      </c>
      <c r="K29" s="12">
        <f>_xlfn.XLOOKUP(TableDailySummary[[#This Row],[Fecha]],SummaryDaily[day],SummaryDaily[new_average_order_value],0)</f>
        <v>82352.945000000007</v>
      </c>
      <c r="L29" s="12">
        <f>_xlfn.XLOOKUP(TableDailySummary[[#This Row],[Fecha]],SummaryDaily[day],SummaryDaily[Online Store_net_sales],0)</f>
        <v>725210.09</v>
      </c>
      <c r="M29" s="12">
        <f>_xlfn.XLOOKUP(TableDailySummary[[#This Row],[Fecha]],SummaryDaily[day],SummaryDaily[Online Store_orders],0)</f>
        <v>9</v>
      </c>
      <c r="N29" s="12">
        <f>_xlfn.XLOOKUP(TableDailySummary[[#This Row],[Fecha]],SummaryDaily[day],SummaryDaily[Online Store_average_order_value],0)</f>
        <v>80578.898000000001</v>
      </c>
      <c r="O29" s="12">
        <f>_xlfn.XLOOKUP(TableDailySummary[[#This Row],[Fecha]],SummaryDaily[day],SummaryDaily[Tienda 81_net_sales],0)</f>
        <v>0</v>
      </c>
      <c r="P29" s="12">
        <f>_xlfn.XLOOKUP(TableDailySummary[[#This Row],[Fecha]],SummaryDaily[day],SummaryDaily[Tienda 81_orders],0)</f>
        <v>0</v>
      </c>
      <c r="Q29" s="12">
        <f>_xlfn.XLOOKUP(TableDailySummary[[#This Row],[Fecha]],SummaryDaily[day],SummaryDaily[Tienda 81_average_order_value],0)</f>
        <v>0</v>
      </c>
      <c r="R29" s="12">
        <f>_xlfn.XLOOKUP(TableDailySummary[[#This Row],[Fecha]],SummaryDaily[day],SummaryDaily[Rappi_net_sales],0)</f>
        <v>0</v>
      </c>
      <c r="S29" s="12">
        <f>_xlfn.XLOOKUP(TableDailySummary[[#This Row],[Fecha]],SummaryDaily[day],SummaryDaily[Rappi_orders],0)</f>
        <v>0</v>
      </c>
      <c r="T29" s="12">
        <f>_xlfn.XLOOKUP(TableDailySummary[[#This Row],[Fecha]],SummaryDaily[day],SummaryDaily[Rappi_average_order_value],0)</f>
        <v>0</v>
      </c>
      <c r="U29" s="12">
        <f>_xlfn.XLOOKUP(TableDailySummary[[#This Row],[Fecha]],SummaryDaily[day],SummaryDaily[Corporativo no tienda_net_sales],0)</f>
        <v>0</v>
      </c>
      <c r="V29" s="12">
        <f>_xlfn.XLOOKUP(TableDailySummary[[#This Row],[Fecha]],SummaryDaily[day],SummaryDaily[Corporativo no tienda_orders],0)</f>
        <v>0</v>
      </c>
      <c r="W29" s="12">
        <f>_xlfn.XLOOKUP(TableDailySummary[[#This Row],[Fecha]],SummaryDaily[day],SummaryDaily[Corporativo no tienda_average_order_value],0)</f>
        <v>0</v>
      </c>
      <c r="X29" s="12">
        <f>_xlfn.XLOOKUP(TableDailySummary[[#This Row],[Fecha]],SummaryDaily[day],SummaryDaily[GoogleAdsOperation.Cost],0)</f>
        <v>47372.95</v>
      </c>
      <c r="Y29" s="12">
        <f>SUMIFS(SalesByUTMDaily[google],SalesByUTMDaily[day],TableDailySummary[[#This Row],[Fecha]])</f>
        <v>0</v>
      </c>
      <c r="Z29" s="12">
        <f>_xlfn.XLOOKUP(TableDailySummary[[#This Row],[Fecha]],SummaryDaily[day],SummaryDaily[MetaAdsOperation.spend],0)</f>
        <v>19350</v>
      </c>
      <c r="AA29" s="12">
        <f>SUMIFS(SalesByUTMDaily[facebook],SalesByUTMDaily[day],TableDailySummary[[#This Row],[Fecha]])</f>
        <v>0</v>
      </c>
      <c r="AB29" s="12">
        <f>TableDailySummary[[#This Row],[Inversión google ads]]+TableDailySummary[[#This Row],[Inversión meta ads]]</f>
        <v>66722.95</v>
      </c>
      <c r="AC29" s="12">
        <f>TableDailySummary[[#This Row],[Ventas google ads]]+TableDailySummary[[#This Row],[Ventas meta ads]]</f>
        <v>0</v>
      </c>
      <c r="AD29" s="14">
        <f>IFERROR(TableDailySummary[[#This Row],[Ventas publicidad]]/TableDailySummary[[#This Row],[Inversión publicidad]],0)</f>
        <v>0</v>
      </c>
      <c r="AE29" s="14">
        <f>IFERROR(TableDailySummary[[#This Row],[Ventas primer cliente]]/TableDailySummary[[#This Row],[Inversión publicidad]],0)</f>
        <v>2.4685043152318658</v>
      </c>
      <c r="AF29" s="14"/>
      <c r="AG29" s="12"/>
      <c r="AM29" s="12">
        <f>_xlfn.XLOOKUP(TableDailySummary[[#This Row],[Fecha]],SummaryDaily[day],SummaryDaily[net_sales_with_cost_recorded],0)</f>
        <v>725210.09</v>
      </c>
      <c r="AN29" s="12">
        <f>_xlfn.XLOOKUP(TableDailySummary[[#This Row],[Fecha]],SummaryDaily[day],SummaryDaily[cost_of_goods_sold],0)</f>
        <v>142506</v>
      </c>
      <c r="AO29" s="12">
        <f>_xlfn.XLOOKUP(TableDailySummary[[#This Row],[Fecha]],SummaryDaily[day],SummaryDaily[gross_profit],0)</f>
        <v>582704.09</v>
      </c>
      <c r="AP29" s="18">
        <f>IFERROR(TableDailySummary[[#This Row],[Utilidad bruta]]/TableDailySummary[[#This Row],[Ventas netas con costo registrado]],0)</f>
        <v>0.8034969425204771</v>
      </c>
    </row>
    <row r="30" spans="2:42" x14ac:dyDescent="0.2">
      <c r="B30" s="15" cm="1">
        <f t="array" ref="B30">MIN(SummaryDaily[day]) + (ROW(TableDailySummary[#This Row]) - ROW(TableDailySummary[[#Headers],[Dia]]) - 1)</f>
        <v>45801</v>
      </c>
      <c r="C30" s="6">
        <f>TableDailySummary[[#This Row],[Dia]]</f>
        <v>45801</v>
      </c>
      <c r="D30" s="12">
        <f>_xlfn.XLOOKUP(TableDailySummary[[#This Row],[Fecha]],SummaryDaily[day],SummaryDaily[net_sales],0)</f>
        <v>939495.81</v>
      </c>
      <c r="E30" s="12">
        <f>_xlfn.XLOOKUP(TableDailySummary[[#This Row],[Fecha]],SummaryDaily[day],SummaryDaily[orders],0)</f>
        <v>7</v>
      </c>
      <c r="F30" s="12">
        <f>_xlfn.XLOOKUP(TableDailySummary[[#This Row],[Fecha]],SummaryDaily[day],SummaryDaily[average_order_value],0)</f>
        <v>134213.68700000001</v>
      </c>
      <c r="G30" s="24">
        <f>_xlfn.XLOOKUP(TableDailySummary[[#This Row],[Fecha]],SummaryDaily[day],SummaryDaily[Total site_conversion_rate],0)</f>
        <v>1.8726591760299626E-2</v>
      </c>
      <c r="H30" s="12">
        <f>TableDailySummary[[#This Row],[Órden promedio totales]]*TableDailySummary[[#This Row],[CR totales]]</f>
        <v>2513.3649250936332</v>
      </c>
      <c r="I30" s="12">
        <f>_xlfn.XLOOKUP(TableDailySummary[[#This Row],[Fecha]],SummaryDaily[day],SummaryDaily[new_net_sales],0)</f>
        <v>657983.19999999995</v>
      </c>
      <c r="J30" s="12">
        <f>_xlfn.XLOOKUP(TableDailySummary[[#This Row],[Fecha]],SummaryDaily[day],SummaryDaily[new_orders],0)</f>
        <v>4</v>
      </c>
      <c r="K30" s="12">
        <f>_xlfn.XLOOKUP(TableDailySummary[[#This Row],[Fecha]],SummaryDaily[day],SummaryDaily[new_average_order_value],0)</f>
        <v>164495.79999999999</v>
      </c>
      <c r="L30" s="12">
        <f>_xlfn.XLOOKUP(TableDailySummary[[#This Row],[Fecha]],SummaryDaily[day],SummaryDaily[Online Store_net_sales],0)</f>
        <v>939495.81</v>
      </c>
      <c r="M30" s="12">
        <f>_xlfn.XLOOKUP(TableDailySummary[[#This Row],[Fecha]],SummaryDaily[day],SummaryDaily[Online Store_orders],0)</f>
        <v>7</v>
      </c>
      <c r="N30" s="12">
        <f>_xlfn.XLOOKUP(TableDailySummary[[#This Row],[Fecha]],SummaryDaily[day],SummaryDaily[Online Store_average_order_value],0)</f>
        <v>134213.68700000001</v>
      </c>
      <c r="O30" s="12">
        <f>_xlfn.XLOOKUP(TableDailySummary[[#This Row],[Fecha]],SummaryDaily[day],SummaryDaily[Tienda 81_net_sales],0)</f>
        <v>0</v>
      </c>
      <c r="P30" s="12">
        <f>_xlfn.XLOOKUP(TableDailySummary[[#This Row],[Fecha]],SummaryDaily[day],SummaryDaily[Tienda 81_orders],0)</f>
        <v>0</v>
      </c>
      <c r="Q30" s="12">
        <f>_xlfn.XLOOKUP(TableDailySummary[[#This Row],[Fecha]],SummaryDaily[day],SummaryDaily[Tienda 81_average_order_value],0)</f>
        <v>0</v>
      </c>
      <c r="R30" s="12">
        <f>_xlfn.XLOOKUP(TableDailySummary[[#This Row],[Fecha]],SummaryDaily[day],SummaryDaily[Rappi_net_sales],0)</f>
        <v>0</v>
      </c>
      <c r="S30" s="12">
        <f>_xlfn.XLOOKUP(TableDailySummary[[#This Row],[Fecha]],SummaryDaily[day],SummaryDaily[Rappi_orders],0)</f>
        <v>0</v>
      </c>
      <c r="T30" s="12">
        <f>_xlfn.XLOOKUP(TableDailySummary[[#This Row],[Fecha]],SummaryDaily[day],SummaryDaily[Rappi_average_order_value],0)</f>
        <v>0</v>
      </c>
      <c r="U30" s="12">
        <f>_xlfn.XLOOKUP(TableDailySummary[[#This Row],[Fecha]],SummaryDaily[day],SummaryDaily[Corporativo no tienda_net_sales],0)</f>
        <v>0</v>
      </c>
      <c r="V30" s="12">
        <f>_xlfn.XLOOKUP(TableDailySummary[[#This Row],[Fecha]],SummaryDaily[day],SummaryDaily[Corporativo no tienda_orders],0)</f>
        <v>0</v>
      </c>
      <c r="W30" s="12">
        <f>_xlfn.XLOOKUP(TableDailySummary[[#This Row],[Fecha]],SummaryDaily[day],SummaryDaily[Corporativo no tienda_average_order_value],0)</f>
        <v>0</v>
      </c>
      <c r="X30" s="12">
        <f>_xlfn.XLOOKUP(TableDailySummary[[#This Row],[Fecha]],SummaryDaily[day],SummaryDaily[GoogleAdsOperation.Cost],0)</f>
        <v>60445.77</v>
      </c>
      <c r="Y30" s="12">
        <f>SUMIFS(SalesByUTMDaily[google],SalesByUTMDaily[day],TableDailySummary[[#This Row],[Fecha]])</f>
        <v>0</v>
      </c>
      <c r="Z30" s="12">
        <f>_xlfn.XLOOKUP(TableDailySummary[[#This Row],[Fecha]],SummaryDaily[day],SummaryDaily[MetaAdsOperation.spend],0)</f>
        <v>21545</v>
      </c>
      <c r="AA30" s="12">
        <f>SUMIFS(SalesByUTMDaily[facebook],SalesByUTMDaily[day],TableDailySummary[[#This Row],[Fecha]])</f>
        <v>0</v>
      </c>
      <c r="AB30" s="12">
        <f>TableDailySummary[[#This Row],[Inversión google ads]]+TableDailySummary[[#This Row],[Inversión meta ads]]</f>
        <v>81990.76999999999</v>
      </c>
      <c r="AC30" s="12">
        <f>TableDailySummary[[#This Row],[Ventas google ads]]+TableDailySummary[[#This Row],[Ventas meta ads]]</f>
        <v>0</v>
      </c>
      <c r="AD30" s="14">
        <f>IFERROR(TableDailySummary[[#This Row],[Ventas publicidad]]/TableDailySummary[[#This Row],[Inversión publicidad]],0)</f>
        <v>0</v>
      </c>
      <c r="AE30" s="14">
        <f>IFERROR(TableDailySummary[[#This Row],[Ventas primer cliente]]/TableDailySummary[[#This Row],[Inversión publicidad]],0)</f>
        <v>8.0250886776645718</v>
      </c>
      <c r="AF30" s="14"/>
      <c r="AG30" s="12"/>
      <c r="AM30" s="12">
        <f>_xlfn.XLOOKUP(TableDailySummary[[#This Row],[Fecha]],SummaryDaily[day],SummaryDaily[net_sales_with_cost_recorded],0)</f>
        <v>939495.81</v>
      </c>
      <c r="AN30" s="12">
        <f>_xlfn.XLOOKUP(TableDailySummary[[#This Row],[Fecha]],SummaryDaily[day],SummaryDaily[cost_of_goods_sold],0)</f>
        <v>230460</v>
      </c>
      <c r="AO30" s="12">
        <f>_xlfn.XLOOKUP(TableDailySummary[[#This Row],[Fecha]],SummaryDaily[day],SummaryDaily[gross_profit],0)</f>
        <v>709035.81</v>
      </c>
      <c r="AP30" s="18">
        <f>IFERROR(TableDailySummary[[#This Row],[Utilidad bruta]]/TableDailySummary[[#This Row],[Ventas netas con costo registrado]],0)</f>
        <v>0.75469821414105087</v>
      </c>
    </row>
    <row r="31" spans="2:42" x14ac:dyDescent="0.2">
      <c r="B31" s="15" cm="1">
        <f t="array" ref="B31">MIN(SummaryDaily[day]) + (ROW(TableDailySummary[#This Row]) - ROW(TableDailySummary[[#Headers],[Dia]]) - 1)</f>
        <v>45802</v>
      </c>
      <c r="C31" s="6">
        <f>TableDailySummary[[#This Row],[Dia]]</f>
        <v>45802</v>
      </c>
      <c r="D31" s="12">
        <f>_xlfn.XLOOKUP(TableDailySummary[[#This Row],[Fecha]],SummaryDaily[day],SummaryDaily[net_sales],0)</f>
        <v>1597478.98</v>
      </c>
      <c r="E31" s="12">
        <f>_xlfn.XLOOKUP(TableDailySummary[[#This Row],[Fecha]],SummaryDaily[day],SummaryDaily[orders],0)</f>
        <v>7</v>
      </c>
      <c r="F31" s="12">
        <f>_xlfn.XLOOKUP(TableDailySummary[[#This Row],[Fecha]],SummaryDaily[day],SummaryDaily[average_order_value],0)</f>
        <v>228211.28200000001</v>
      </c>
      <c r="G31" s="24">
        <f>_xlfn.XLOOKUP(TableDailySummary[[#This Row],[Fecha]],SummaryDaily[day],SummaryDaily[Total site_conversion_rate],0)</f>
        <v>1.5945330296127564E-2</v>
      </c>
      <c r="H31" s="12">
        <f>TableDailySummary[[#This Row],[Órden promedio totales]]*TableDailySummary[[#This Row],[CR totales]]</f>
        <v>3638.9042687927113</v>
      </c>
      <c r="I31" s="12">
        <f>_xlfn.XLOOKUP(TableDailySummary[[#This Row],[Fecha]],SummaryDaily[day],SummaryDaily[new_net_sales],0)</f>
        <v>1355462.17</v>
      </c>
      <c r="J31" s="12">
        <f>_xlfn.XLOOKUP(TableDailySummary[[#This Row],[Fecha]],SummaryDaily[day],SummaryDaily[new_orders],0)</f>
        <v>5</v>
      </c>
      <c r="K31" s="12">
        <f>_xlfn.XLOOKUP(TableDailySummary[[#This Row],[Fecha]],SummaryDaily[day],SummaryDaily[new_average_order_value],0)</f>
        <v>271092.43400000001</v>
      </c>
      <c r="L31" s="12">
        <f>_xlfn.XLOOKUP(TableDailySummary[[#This Row],[Fecha]],SummaryDaily[day],SummaryDaily[Online Store_net_sales],0)</f>
        <v>1597478.98</v>
      </c>
      <c r="M31" s="12">
        <f>_xlfn.XLOOKUP(TableDailySummary[[#This Row],[Fecha]],SummaryDaily[day],SummaryDaily[Online Store_orders],0)</f>
        <v>7</v>
      </c>
      <c r="N31" s="12">
        <f>_xlfn.XLOOKUP(TableDailySummary[[#This Row],[Fecha]],SummaryDaily[day],SummaryDaily[Online Store_average_order_value],0)</f>
        <v>228211.28200000001</v>
      </c>
      <c r="O31" s="12">
        <f>_xlfn.XLOOKUP(TableDailySummary[[#This Row],[Fecha]],SummaryDaily[day],SummaryDaily[Tienda 81_net_sales],0)</f>
        <v>0</v>
      </c>
      <c r="P31" s="12">
        <f>_xlfn.XLOOKUP(TableDailySummary[[#This Row],[Fecha]],SummaryDaily[day],SummaryDaily[Tienda 81_orders],0)</f>
        <v>0</v>
      </c>
      <c r="Q31" s="12">
        <f>_xlfn.XLOOKUP(TableDailySummary[[#This Row],[Fecha]],SummaryDaily[day],SummaryDaily[Tienda 81_average_order_value],0)</f>
        <v>0</v>
      </c>
      <c r="R31" s="12">
        <f>_xlfn.XLOOKUP(TableDailySummary[[#This Row],[Fecha]],SummaryDaily[day],SummaryDaily[Rappi_net_sales],0)</f>
        <v>0</v>
      </c>
      <c r="S31" s="12">
        <f>_xlfn.XLOOKUP(TableDailySummary[[#This Row],[Fecha]],SummaryDaily[day],SummaryDaily[Rappi_orders],0)</f>
        <v>0</v>
      </c>
      <c r="T31" s="12">
        <f>_xlfn.XLOOKUP(TableDailySummary[[#This Row],[Fecha]],SummaryDaily[day],SummaryDaily[Rappi_average_order_value],0)</f>
        <v>0</v>
      </c>
      <c r="U31" s="12">
        <f>_xlfn.XLOOKUP(TableDailySummary[[#This Row],[Fecha]],SummaryDaily[day],SummaryDaily[Corporativo no tienda_net_sales],0)</f>
        <v>0</v>
      </c>
      <c r="V31" s="12">
        <f>_xlfn.XLOOKUP(TableDailySummary[[#This Row],[Fecha]],SummaryDaily[day],SummaryDaily[Corporativo no tienda_orders],0)</f>
        <v>0</v>
      </c>
      <c r="W31" s="12">
        <f>_xlfn.XLOOKUP(TableDailySummary[[#This Row],[Fecha]],SummaryDaily[day],SummaryDaily[Corporativo no tienda_average_order_value],0)</f>
        <v>0</v>
      </c>
      <c r="X31" s="12">
        <f>_xlfn.XLOOKUP(TableDailySummary[[#This Row],[Fecha]],SummaryDaily[day],SummaryDaily[GoogleAdsOperation.Cost],0)</f>
        <v>81616.03</v>
      </c>
      <c r="Y31" s="12">
        <f>SUMIFS(SalesByUTMDaily[google],SalesByUTMDaily[day],TableDailySummary[[#This Row],[Fecha]])</f>
        <v>0</v>
      </c>
      <c r="Z31" s="12">
        <f>_xlfn.XLOOKUP(TableDailySummary[[#This Row],[Fecha]],SummaryDaily[day],SummaryDaily[MetaAdsOperation.spend],0)</f>
        <v>16445</v>
      </c>
      <c r="AA31" s="12">
        <f>SUMIFS(SalesByUTMDaily[facebook],SalesByUTMDaily[day],TableDailySummary[[#This Row],[Fecha]])</f>
        <v>98000</v>
      </c>
      <c r="AB31" s="12">
        <f>TableDailySummary[[#This Row],[Inversión google ads]]+TableDailySummary[[#This Row],[Inversión meta ads]]</f>
        <v>98061.03</v>
      </c>
      <c r="AC31" s="12">
        <f>TableDailySummary[[#This Row],[Ventas google ads]]+TableDailySummary[[#This Row],[Ventas meta ads]]</f>
        <v>98000</v>
      </c>
      <c r="AD31" s="14">
        <f>IFERROR(TableDailySummary[[#This Row],[Ventas publicidad]]/TableDailySummary[[#This Row],[Inversión publicidad]],0)</f>
        <v>0.99937763248050726</v>
      </c>
      <c r="AE31" s="14">
        <f>IFERROR(TableDailySummary[[#This Row],[Ventas primer cliente]]/TableDailySummary[[#This Row],[Inversión publicidad]],0)</f>
        <v>13.822638513994804</v>
      </c>
      <c r="AF31" s="14"/>
      <c r="AG31" s="12"/>
      <c r="AM31" s="12">
        <f>_xlfn.XLOOKUP(TableDailySummary[[#This Row],[Fecha]],SummaryDaily[day],SummaryDaily[net_sales_with_cost_recorded],0)</f>
        <v>1597478.98</v>
      </c>
      <c r="AN31" s="12">
        <f>_xlfn.XLOOKUP(TableDailySummary[[#This Row],[Fecha]],SummaryDaily[day],SummaryDaily[cost_of_goods_sold],0)</f>
        <v>439602</v>
      </c>
      <c r="AO31" s="12">
        <f>_xlfn.XLOOKUP(TableDailySummary[[#This Row],[Fecha]],SummaryDaily[day],SummaryDaily[gross_profit],0)</f>
        <v>1157876.98</v>
      </c>
      <c r="AP31" s="18">
        <f>IFERROR(TableDailySummary[[#This Row],[Utilidad bruta]]/TableDailySummary[[#This Row],[Ventas netas con costo registrado]],0)</f>
        <v>0.72481515844421318</v>
      </c>
    </row>
    <row r="32" spans="2:42" x14ac:dyDescent="0.2">
      <c r="B32" s="15" cm="1">
        <f t="array" ref="B32">MIN(SummaryDaily[day]) + (ROW(TableDailySummary[#This Row]) - ROW(TableDailySummary[[#Headers],[Dia]]) - 1)</f>
        <v>45803</v>
      </c>
      <c r="C32" s="6">
        <f>TableDailySummary[[#This Row],[Dia]]</f>
        <v>45803</v>
      </c>
      <c r="D32" s="12">
        <f>_xlfn.XLOOKUP(TableDailySummary[[#This Row],[Fecha]],SummaryDaily[day],SummaryDaily[net_sales],0)</f>
        <v>873058.83</v>
      </c>
      <c r="E32" s="12">
        <f>_xlfn.XLOOKUP(TableDailySummary[[#This Row],[Fecha]],SummaryDaily[day],SummaryDaily[orders],0)</f>
        <v>4</v>
      </c>
      <c r="F32" s="12">
        <f>_xlfn.XLOOKUP(TableDailySummary[[#This Row],[Fecha]],SummaryDaily[day],SummaryDaily[average_order_value],0)</f>
        <v>204609.245</v>
      </c>
      <c r="G32" s="24">
        <f>_xlfn.XLOOKUP(TableDailySummary[[#This Row],[Fecha]],SummaryDaily[day],SummaryDaily[Total site_conversion_rate],0)</f>
        <v>7.1428571428571426E-3</v>
      </c>
      <c r="H32" s="12">
        <f>TableDailySummary[[#This Row],[Órden promedio totales]]*TableDailySummary[[#This Row],[CR totales]]</f>
        <v>1461.4946071428571</v>
      </c>
      <c r="I32" s="12">
        <f>_xlfn.XLOOKUP(TableDailySummary[[#This Row],[Fecha]],SummaryDaily[day],SummaryDaily[new_net_sales],0)</f>
        <v>113445.38</v>
      </c>
      <c r="J32" s="12">
        <f>_xlfn.XLOOKUP(TableDailySummary[[#This Row],[Fecha]],SummaryDaily[day],SummaryDaily[new_orders],0)</f>
        <v>1</v>
      </c>
      <c r="K32" s="12">
        <f>_xlfn.XLOOKUP(TableDailySummary[[#This Row],[Fecha]],SummaryDaily[day],SummaryDaily[new_average_order_value],0)</f>
        <v>58823.53</v>
      </c>
      <c r="L32" s="12">
        <f>_xlfn.XLOOKUP(TableDailySummary[[#This Row],[Fecha]],SummaryDaily[day],SummaryDaily[Online Store_net_sales],0)</f>
        <v>873058.83</v>
      </c>
      <c r="M32" s="12">
        <f>_xlfn.XLOOKUP(TableDailySummary[[#This Row],[Fecha]],SummaryDaily[day],SummaryDaily[Online Store_orders],0)</f>
        <v>4</v>
      </c>
      <c r="N32" s="12">
        <f>_xlfn.XLOOKUP(TableDailySummary[[#This Row],[Fecha]],SummaryDaily[day],SummaryDaily[Online Store_average_order_value],0)</f>
        <v>204609.245</v>
      </c>
      <c r="O32" s="12">
        <f>_xlfn.XLOOKUP(TableDailySummary[[#This Row],[Fecha]],SummaryDaily[day],SummaryDaily[Tienda 81_net_sales],0)</f>
        <v>0</v>
      </c>
      <c r="P32" s="12">
        <f>_xlfn.XLOOKUP(TableDailySummary[[#This Row],[Fecha]],SummaryDaily[day],SummaryDaily[Tienda 81_orders],0)</f>
        <v>0</v>
      </c>
      <c r="Q32" s="12">
        <f>_xlfn.XLOOKUP(TableDailySummary[[#This Row],[Fecha]],SummaryDaily[day],SummaryDaily[Tienda 81_average_order_value],0)</f>
        <v>0</v>
      </c>
      <c r="R32" s="12">
        <f>_xlfn.XLOOKUP(TableDailySummary[[#This Row],[Fecha]],SummaryDaily[day],SummaryDaily[Rappi_net_sales],0)</f>
        <v>0</v>
      </c>
      <c r="S32" s="12">
        <f>_xlfn.XLOOKUP(TableDailySummary[[#This Row],[Fecha]],SummaryDaily[day],SummaryDaily[Rappi_orders],0)</f>
        <v>0</v>
      </c>
      <c r="T32" s="12">
        <f>_xlfn.XLOOKUP(TableDailySummary[[#This Row],[Fecha]],SummaryDaily[day],SummaryDaily[Rappi_average_order_value],0)</f>
        <v>0</v>
      </c>
      <c r="U32" s="12">
        <f>_xlfn.XLOOKUP(TableDailySummary[[#This Row],[Fecha]],SummaryDaily[day],SummaryDaily[Corporativo no tienda_net_sales],0)</f>
        <v>0</v>
      </c>
      <c r="V32" s="12">
        <f>_xlfn.XLOOKUP(TableDailySummary[[#This Row],[Fecha]],SummaryDaily[day],SummaryDaily[Corporativo no tienda_orders],0)</f>
        <v>0</v>
      </c>
      <c r="W32" s="12">
        <f>_xlfn.XLOOKUP(TableDailySummary[[#This Row],[Fecha]],SummaryDaily[day],SummaryDaily[Corporativo no tienda_average_order_value],0)</f>
        <v>0</v>
      </c>
      <c r="X32" s="12">
        <f>_xlfn.XLOOKUP(TableDailySummary[[#This Row],[Fecha]],SummaryDaily[day],SummaryDaily[GoogleAdsOperation.Cost],0)</f>
        <v>56182.99</v>
      </c>
      <c r="Y32" s="12">
        <f>SUMIFS(SalesByUTMDaily[google],SalesByUTMDaily[day],TableDailySummary[[#This Row],[Fecha]])</f>
        <v>0</v>
      </c>
      <c r="Z32" s="12">
        <f>_xlfn.XLOOKUP(TableDailySummary[[#This Row],[Fecha]],SummaryDaily[day],SummaryDaily[MetaAdsOperation.spend],0)</f>
        <v>16157</v>
      </c>
      <c r="AA32" s="12">
        <f>SUMIFS(SalesByUTMDaily[facebook],SalesByUTMDaily[day],TableDailySummary[[#This Row],[Fecha]])</f>
        <v>0</v>
      </c>
      <c r="AB32" s="12">
        <f>TableDailySummary[[#This Row],[Inversión google ads]]+TableDailySummary[[#This Row],[Inversión meta ads]]</f>
        <v>72339.989999999991</v>
      </c>
      <c r="AC32" s="12">
        <f>TableDailySummary[[#This Row],[Ventas google ads]]+TableDailySummary[[#This Row],[Ventas meta ads]]</f>
        <v>0</v>
      </c>
      <c r="AD32" s="14">
        <f>IFERROR(TableDailySummary[[#This Row],[Ventas publicidad]]/TableDailySummary[[#This Row],[Inversión publicidad]],0)</f>
        <v>0</v>
      </c>
      <c r="AE32" s="14">
        <f>IFERROR(TableDailySummary[[#This Row],[Ventas primer cliente]]/TableDailySummary[[#This Row],[Inversión publicidad]],0)</f>
        <v>1.5682249886957411</v>
      </c>
      <c r="AF32" s="14"/>
      <c r="AG32" s="12"/>
      <c r="AM32" s="12">
        <f>_xlfn.XLOOKUP(TableDailySummary[[#This Row],[Fecha]],SummaryDaily[day],SummaryDaily[net_sales_with_cost_recorded],0)</f>
        <v>873058.83</v>
      </c>
      <c r="AN32" s="12">
        <f>_xlfn.XLOOKUP(TableDailySummary[[#This Row],[Fecha]],SummaryDaily[day],SummaryDaily[cost_of_goods_sold],0)</f>
        <v>270790</v>
      </c>
      <c r="AO32" s="12">
        <f>_xlfn.XLOOKUP(TableDailySummary[[#This Row],[Fecha]],SummaryDaily[day],SummaryDaily[gross_profit],0)</f>
        <v>602268.82999999996</v>
      </c>
      <c r="AP32" s="18">
        <f>IFERROR(TableDailySummary[[#This Row],[Utilidad bruta]]/TableDailySummary[[#This Row],[Ventas netas con costo registrado]],0)</f>
        <v>0.68983762526060244</v>
      </c>
    </row>
    <row r="33" spans="2:42" x14ac:dyDescent="0.2">
      <c r="B33" s="15" cm="1">
        <f t="array" ref="B33">MIN(SummaryDaily[day]) + (ROW(TableDailySummary[#This Row]) - ROW(TableDailySummary[[#Headers],[Dia]]) - 1)</f>
        <v>45804</v>
      </c>
      <c r="C33" s="6">
        <f>TableDailySummary[[#This Row],[Dia]]</f>
        <v>45804</v>
      </c>
      <c r="D33" s="12">
        <f>_xlfn.XLOOKUP(TableDailySummary[[#This Row],[Fecha]],SummaryDaily[day],SummaryDaily[net_sales],0)</f>
        <v>6360494.1100000003</v>
      </c>
      <c r="E33" s="12">
        <f>_xlfn.XLOOKUP(TableDailySummary[[#This Row],[Fecha]],SummaryDaily[day],SummaryDaily[orders],0)</f>
        <v>33</v>
      </c>
      <c r="F33" s="12">
        <f>_xlfn.XLOOKUP(TableDailySummary[[#This Row],[Fecha]],SummaryDaily[day],SummaryDaily[average_order_value],0)</f>
        <v>209156.073</v>
      </c>
      <c r="G33" s="24">
        <f>_xlfn.XLOOKUP(TableDailySummary[[#This Row],[Fecha]],SummaryDaily[day],SummaryDaily[Total site_conversion_rate],0)</f>
        <v>1.0101010101010102E-2</v>
      </c>
      <c r="H33" s="12">
        <f>TableDailySummary[[#This Row],[Órden promedio totales]]*TableDailySummary[[#This Row],[CR totales]]</f>
        <v>2112.6876060606064</v>
      </c>
      <c r="I33" s="12">
        <f>_xlfn.XLOOKUP(TableDailySummary[[#This Row],[Fecha]],SummaryDaily[day],SummaryDaily[new_net_sales],0)</f>
        <v>3650420.16</v>
      </c>
      <c r="J33" s="12">
        <f>_xlfn.XLOOKUP(TableDailySummary[[#This Row],[Fecha]],SummaryDaily[day],SummaryDaily[new_orders],0)</f>
        <v>16</v>
      </c>
      <c r="K33" s="12">
        <f>_xlfn.XLOOKUP(TableDailySummary[[#This Row],[Fecha]],SummaryDaily[day],SummaryDaily[new_average_order_value],0)</f>
        <v>228151.26</v>
      </c>
      <c r="L33" s="12">
        <f>_xlfn.XLOOKUP(TableDailySummary[[#This Row],[Fecha]],SummaryDaily[day],SummaryDaily[Online Store_net_sales],0)</f>
        <v>6360494.1100000003</v>
      </c>
      <c r="M33" s="12">
        <f>_xlfn.XLOOKUP(TableDailySummary[[#This Row],[Fecha]],SummaryDaily[day],SummaryDaily[Online Store_orders],0)</f>
        <v>33</v>
      </c>
      <c r="N33" s="12">
        <f>_xlfn.XLOOKUP(TableDailySummary[[#This Row],[Fecha]],SummaryDaily[day],SummaryDaily[Online Store_average_order_value],0)</f>
        <v>209156.073</v>
      </c>
      <c r="O33" s="12">
        <f>_xlfn.XLOOKUP(TableDailySummary[[#This Row],[Fecha]],SummaryDaily[day],SummaryDaily[Tienda 81_net_sales],0)</f>
        <v>0</v>
      </c>
      <c r="P33" s="12">
        <f>_xlfn.XLOOKUP(TableDailySummary[[#This Row],[Fecha]],SummaryDaily[day],SummaryDaily[Tienda 81_orders],0)</f>
        <v>0</v>
      </c>
      <c r="Q33" s="12">
        <f>_xlfn.XLOOKUP(TableDailySummary[[#This Row],[Fecha]],SummaryDaily[day],SummaryDaily[Tienda 81_average_order_value],0)</f>
        <v>0</v>
      </c>
      <c r="R33" s="12">
        <f>_xlfn.XLOOKUP(TableDailySummary[[#This Row],[Fecha]],SummaryDaily[day],SummaryDaily[Rappi_net_sales],0)</f>
        <v>0</v>
      </c>
      <c r="S33" s="12">
        <f>_xlfn.XLOOKUP(TableDailySummary[[#This Row],[Fecha]],SummaryDaily[day],SummaryDaily[Rappi_orders],0)</f>
        <v>0</v>
      </c>
      <c r="T33" s="12">
        <f>_xlfn.XLOOKUP(TableDailySummary[[#This Row],[Fecha]],SummaryDaily[day],SummaryDaily[Rappi_average_order_value],0)</f>
        <v>0</v>
      </c>
      <c r="U33" s="12">
        <f>_xlfn.XLOOKUP(TableDailySummary[[#This Row],[Fecha]],SummaryDaily[day],SummaryDaily[Corporativo no tienda_net_sales],0)</f>
        <v>0</v>
      </c>
      <c r="V33" s="12">
        <f>_xlfn.XLOOKUP(TableDailySummary[[#This Row],[Fecha]],SummaryDaily[day],SummaryDaily[Corporativo no tienda_orders],0)</f>
        <v>0</v>
      </c>
      <c r="W33" s="12">
        <f>_xlfn.XLOOKUP(TableDailySummary[[#This Row],[Fecha]],SummaryDaily[day],SummaryDaily[Corporativo no tienda_average_order_value],0)</f>
        <v>0</v>
      </c>
      <c r="X33" s="12">
        <f>_xlfn.XLOOKUP(TableDailySummary[[#This Row],[Fecha]],SummaryDaily[day],SummaryDaily[GoogleAdsOperation.Cost],0)</f>
        <v>47802.7</v>
      </c>
      <c r="Y33" s="12">
        <f>SUMIFS(SalesByUTMDaily[google],SalesByUTMDaily[day],TableDailySummary[[#This Row],[Fecha]])</f>
        <v>0</v>
      </c>
      <c r="Z33" s="12">
        <f>_xlfn.XLOOKUP(TableDailySummary[[#This Row],[Fecha]],SummaryDaily[day],SummaryDaily[MetaAdsOperation.spend],0)</f>
        <v>15341</v>
      </c>
      <c r="AA33" s="12">
        <f>SUMIFS(SalesByUTMDaily[facebook],SalesByUTMDaily[day],TableDailySummary[[#This Row],[Fecha]])</f>
        <v>0</v>
      </c>
      <c r="AB33" s="12">
        <f>TableDailySummary[[#This Row],[Inversión google ads]]+TableDailySummary[[#This Row],[Inversión meta ads]]</f>
        <v>63143.7</v>
      </c>
      <c r="AC33" s="12">
        <f>TableDailySummary[[#This Row],[Ventas google ads]]+TableDailySummary[[#This Row],[Ventas meta ads]]</f>
        <v>0</v>
      </c>
      <c r="AD33" s="14">
        <f>IFERROR(TableDailySummary[[#This Row],[Ventas publicidad]]/TableDailySummary[[#This Row],[Inversión publicidad]],0)</f>
        <v>0</v>
      </c>
      <c r="AE33" s="14">
        <f>IFERROR(TableDailySummary[[#This Row],[Ventas primer cliente]]/TableDailySummary[[#This Row],[Inversión publicidad]],0)</f>
        <v>57.811312292437734</v>
      </c>
      <c r="AF33" s="14"/>
      <c r="AG33" s="12"/>
      <c r="AM33" s="12">
        <f>_xlfn.XLOOKUP(TableDailySummary[[#This Row],[Fecha]],SummaryDaily[day],SummaryDaily[net_sales_with_cost_recorded],0)</f>
        <v>6360491.5899999999</v>
      </c>
      <c r="AN33" s="12">
        <f>_xlfn.XLOOKUP(TableDailySummary[[#This Row],[Fecha]],SummaryDaily[day],SummaryDaily[cost_of_goods_sold],0)</f>
        <v>1553585</v>
      </c>
      <c r="AO33" s="12">
        <f>_xlfn.XLOOKUP(TableDailySummary[[#This Row],[Fecha]],SummaryDaily[day],SummaryDaily[gross_profit],0)</f>
        <v>4806906.59</v>
      </c>
      <c r="AP33" s="18">
        <f>IFERROR(TableDailySummary[[#This Row],[Utilidad bruta]]/TableDailySummary[[#This Row],[Ventas netas con costo registrado]],0)</f>
        <v>0.75574450842092855</v>
      </c>
    </row>
    <row r="34" spans="2:42" x14ac:dyDescent="0.2">
      <c r="B34" s="15" cm="1">
        <f t="array" ref="B34">MIN(SummaryDaily[day]) + (ROW(TableDailySummary[#This Row]) - ROW(TableDailySummary[[#Headers],[Dia]]) - 1)</f>
        <v>45805</v>
      </c>
      <c r="C34" s="6">
        <f>TableDailySummary[[#This Row],[Dia]]</f>
        <v>45805</v>
      </c>
      <c r="D34" s="12">
        <f>_xlfn.XLOOKUP(TableDailySummary[[#This Row],[Fecha]],SummaryDaily[day],SummaryDaily[net_sales],0)</f>
        <v>4310084.03</v>
      </c>
      <c r="E34" s="12">
        <f>_xlfn.XLOOKUP(TableDailySummary[[#This Row],[Fecha]],SummaryDaily[day],SummaryDaily[orders],0)</f>
        <v>15</v>
      </c>
      <c r="F34" s="12">
        <f>_xlfn.XLOOKUP(TableDailySummary[[#This Row],[Fecha]],SummaryDaily[day],SummaryDaily[average_order_value],0)</f>
        <v>287338.935</v>
      </c>
      <c r="G34" s="24">
        <f>_xlfn.XLOOKUP(TableDailySummary[[#This Row],[Fecha]],SummaryDaily[day],SummaryDaily[Total site_conversion_rate],0)</f>
        <v>3.125E-2</v>
      </c>
      <c r="H34" s="12">
        <f>TableDailySummary[[#This Row],[Órden promedio totales]]*TableDailySummary[[#This Row],[CR totales]]</f>
        <v>8979.3417187499999</v>
      </c>
      <c r="I34" s="12">
        <f>_xlfn.XLOOKUP(TableDailySummary[[#This Row],[Fecha]],SummaryDaily[day],SummaryDaily[new_net_sales],0)</f>
        <v>2552941.17</v>
      </c>
      <c r="J34" s="12">
        <f>_xlfn.XLOOKUP(TableDailySummary[[#This Row],[Fecha]],SummaryDaily[day],SummaryDaily[new_orders],0)</f>
        <v>4</v>
      </c>
      <c r="K34" s="12">
        <f>_xlfn.XLOOKUP(TableDailySummary[[#This Row],[Fecha]],SummaryDaily[day],SummaryDaily[new_average_order_value],0)</f>
        <v>638235.29200000002</v>
      </c>
      <c r="L34" s="12">
        <f>_xlfn.XLOOKUP(TableDailySummary[[#This Row],[Fecha]],SummaryDaily[day],SummaryDaily[Online Store_net_sales],0)</f>
        <v>4310084.03</v>
      </c>
      <c r="M34" s="12">
        <f>_xlfn.XLOOKUP(TableDailySummary[[#This Row],[Fecha]],SummaryDaily[day],SummaryDaily[Online Store_orders],0)</f>
        <v>15</v>
      </c>
      <c r="N34" s="12">
        <f>_xlfn.XLOOKUP(TableDailySummary[[#This Row],[Fecha]],SummaryDaily[day],SummaryDaily[Online Store_average_order_value],0)</f>
        <v>287338.935</v>
      </c>
      <c r="O34" s="12">
        <f>_xlfn.XLOOKUP(TableDailySummary[[#This Row],[Fecha]],SummaryDaily[day],SummaryDaily[Tienda 81_net_sales],0)</f>
        <v>0</v>
      </c>
      <c r="P34" s="12">
        <f>_xlfn.XLOOKUP(TableDailySummary[[#This Row],[Fecha]],SummaryDaily[day],SummaryDaily[Tienda 81_orders],0)</f>
        <v>0</v>
      </c>
      <c r="Q34" s="12">
        <f>_xlfn.XLOOKUP(TableDailySummary[[#This Row],[Fecha]],SummaryDaily[day],SummaryDaily[Tienda 81_average_order_value],0)</f>
        <v>0</v>
      </c>
      <c r="R34" s="12">
        <f>_xlfn.XLOOKUP(TableDailySummary[[#This Row],[Fecha]],SummaryDaily[day],SummaryDaily[Rappi_net_sales],0)</f>
        <v>0</v>
      </c>
      <c r="S34" s="12">
        <f>_xlfn.XLOOKUP(TableDailySummary[[#This Row],[Fecha]],SummaryDaily[day],SummaryDaily[Rappi_orders],0)</f>
        <v>0</v>
      </c>
      <c r="T34" s="12">
        <f>_xlfn.XLOOKUP(TableDailySummary[[#This Row],[Fecha]],SummaryDaily[day],SummaryDaily[Rappi_average_order_value],0)</f>
        <v>0</v>
      </c>
      <c r="U34" s="12">
        <f>_xlfn.XLOOKUP(TableDailySummary[[#This Row],[Fecha]],SummaryDaily[day],SummaryDaily[Corporativo no tienda_net_sales],0)</f>
        <v>0</v>
      </c>
      <c r="V34" s="12">
        <f>_xlfn.XLOOKUP(TableDailySummary[[#This Row],[Fecha]],SummaryDaily[day],SummaryDaily[Corporativo no tienda_orders],0)</f>
        <v>0</v>
      </c>
      <c r="W34" s="12">
        <f>_xlfn.XLOOKUP(TableDailySummary[[#This Row],[Fecha]],SummaryDaily[day],SummaryDaily[Corporativo no tienda_average_order_value],0)</f>
        <v>0</v>
      </c>
      <c r="X34" s="12">
        <f>_xlfn.XLOOKUP(TableDailySummary[[#This Row],[Fecha]],SummaryDaily[day],SummaryDaily[GoogleAdsOperation.Cost],0)</f>
        <v>49449.03</v>
      </c>
      <c r="Y34" s="12">
        <f>SUMIFS(SalesByUTMDaily[google],SalesByUTMDaily[day],TableDailySummary[[#This Row],[Fecha]])</f>
        <v>0</v>
      </c>
      <c r="Z34" s="12">
        <f>_xlfn.XLOOKUP(TableDailySummary[[#This Row],[Fecha]],SummaryDaily[day],SummaryDaily[MetaAdsOperation.spend],0)</f>
        <v>12960</v>
      </c>
      <c r="AA34" s="12">
        <f>SUMIFS(SalesByUTMDaily[facebook],SalesByUTMDaily[day],TableDailySummary[[#This Row],[Fecha]])</f>
        <v>0</v>
      </c>
      <c r="AB34" s="12">
        <f>TableDailySummary[[#This Row],[Inversión google ads]]+TableDailySummary[[#This Row],[Inversión meta ads]]</f>
        <v>62409.03</v>
      </c>
      <c r="AC34" s="12">
        <f>TableDailySummary[[#This Row],[Ventas google ads]]+TableDailySummary[[#This Row],[Ventas meta ads]]</f>
        <v>0</v>
      </c>
      <c r="AD34" s="14">
        <f>IFERROR(TableDailySummary[[#This Row],[Ventas publicidad]]/TableDailySummary[[#This Row],[Inversión publicidad]],0)</f>
        <v>0</v>
      </c>
      <c r="AE34" s="14">
        <f>IFERROR(TableDailySummary[[#This Row],[Ventas primer cliente]]/TableDailySummary[[#This Row],[Inversión publicidad]],0)</f>
        <v>40.906599093112007</v>
      </c>
      <c r="AF34" s="14"/>
      <c r="AG34" s="12"/>
      <c r="AM34" s="12">
        <f>_xlfn.XLOOKUP(TableDailySummary[[#This Row],[Fecha]],SummaryDaily[day],SummaryDaily[net_sales_with_cost_recorded],0)</f>
        <v>4310084.03</v>
      </c>
      <c r="AN34" s="12">
        <f>_xlfn.XLOOKUP(TableDailySummary[[#This Row],[Fecha]],SummaryDaily[day],SummaryDaily[cost_of_goods_sold],0)</f>
        <v>1052286</v>
      </c>
      <c r="AO34" s="12">
        <f>_xlfn.XLOOKUP(TableDailySummary[[#This Row],[Fecha]],SummaryDaily[day],SummaryDaily[gross_profit],0)</f>
        <v>3257798.03</v>
      </c>
      <c r="AP34" s="18">
        <f>IFERROR(TableDailySummary[[#This Row],[Utilidad bruta]]/TableDailySummary[[#This Row],[Ventas netas con costo registrado]],0)</f>
        <v>0.75585487598950585</v>
      </c>
    </row>
    <row r="35" spans="2:42" x14ac:dyDescent="0.2">
      <c r="B35" s="15" cm="1">
        <f t="array" ref="B35">MIN(SummaryDaily[day]) + (ROW(TableDailySummary[#This Row]) - ROW(TableDailySummary[[#Headers],[Dia]]) - 1)</f>
        <v>45806</v>
      </c>
      <c r="C35" s="6">
        <f>TableDailySummary[[#This Row],[Dia]]</f>
        <v>45806</v>
      </c>
      <c r="D35" s="12">
        <f>_xlfn.XLOOKUP(TableDailySummary[[#This Row],[Fecha]],SummaryDaily[day],SummaryDaily[net_sales],0)</f>
        <v>1139495.8</v>
      </c>
      <c r="E35" s="12">
        <f>_xlfn.XLOOKUP(TableDailySummary[[#This Row],[Fecha]],SummaryDaily[day],SummaryDaily[orders],0)</f>
        <v>10</v>
      </c>
      <c r="F35" s="12">
        <f>_xlfn.XLOOKUP(TableDailySummary[[#This Row],[Fecha]],SummaryDaily[day],SummaryDaily[average_order_value],0)</f>
        <v>113949.58</v>
      </c>
      <c r="G35" s="24">
        <f>_xlfn.XLOOKUP(TableDailySummary[[#This Row],[Fecha]],SummaryDaily[day],SummaryDaily[Total site_conversion_rate],0)</f>
        <v>1.0309278350515464E-2</v>
      </c>
      <c r="H35" s="12">
        <f>TableDailySummary[[#This Row],[Órden promedio totales]]*TableDailySummary[[#This Row],[CR totales]]</f>
        <v>1174.73793814433</v>
      </c>
      <c r="I35" s="12">
        <f>_xlfn.XLOOKUP(TableDailySummary[[#This Row],[Fecha]],SummaryDaily[day],SummaryDaily[new_net_sales],0)</f>
        <v>198319.33</v>
      </c>
      <c r="J35" s="12">
        <f>_xlfn.XLOOKUP(TableDailySummary[[#This Row],[Fecha]],SummaryDaily[day],SummaryDaily[new_orders],0)</f>
        <v>2</v>
      </c>
      <c r="K35" s="12">
        <f>_xlfn.XLOOKUP(TableDailySummary[[#This Row],[Fecha]],SummaryDaily[day],SummaryDaily[new_average_order_value],0)</f>
        <v>99159.664999999994</v>
      </c>
      <c r="L35" s="12">
        <f>_xlfn.XLOOKUP(TableDailySummary[[#This Row],[Fecha]],SummaryDaily[day],SummaryDaily[Online Store_net_sales],0)</f>
        <v>1139495.8</v>
      </c>
      <c r="M35" s="12">
        <f>_xlfn.XLOOKUP(TableDailySummary[[#This Row],[Fecha]],SummaryDaily[day],SummaryDaily[Online Store_orders],0)</f>
        <v>10</v>
      </c>
      <c r="N35" s="12">
        <f>_xlfn.XLOOKUP(TableDailySummary[[#This Row],[Fecha]],SummaryDaily[day],SummaryDaily[Online Store_average_order_value],0)</f>
        <v>113949.58</v>
      </c>
      <c r="O35" s="12">
        <f>_xlfn.XLOOKUP(TableDailySummary[[#This Row],[Fecha]],SummaryDaily[day],SummaryDaily[Tienda 81_net_sales],0)</f>
        <v>0</v>
      </c>
      <c r="P35" s="12">
        <f>_xlfn.XLOOKUP(TableDailySummary[[#This Row],[Fecha]],SummaryDaily[day],SummaryDaily[Tienda 81_orders],0)</f>
        <v>0</v>
      </c>
      <c r="Q35" s="12">
        <f>_xlfn.XLOOKUP(TableDailySummary[[#This Row],[Fecha]],SummaryDaily[day],SummaryDaily[Tienda 81_average_order_value],0)</f>
        <v>0</v>
      </c>
      <c r="R35" s="12">
        <f>_xlfn.XLOOKUP(TableDailySummary[[#This Row],[Fecha]],SummaryDaily[day],SummaryDaily[Rappi_net_sales],0)</f>
        <v>0</v>
      </c>
      <c r="S35" s="12">
        <f>_xlfn.XLOOKUP(TableDailySummary[[#This Row],[Fecha]],SummaryDaily[day],SummaryDaily[Rappi_orders],0)</f>
        <v>0</v>
      </c>
      <c r="T35" s="12">
        <f>_xlfn.XLOOKUP(TableDailySummary[[#This Row],[Fecha]],SummaryDaily[day],SummaryDaily[Rappi_average_order_value],0)</f>
        <v>0</v>
      </c>
      <c r="U35" s="12">
        <f>_xlfn.XLOOKUP(TableDailySummary[[#This Row],[Fecha]],SummaryDaily[day],SummaryDaily[Corporativo no tienda_net_sales],0)</f>
        <v>0</v>
      </c>
      <c r="V35" s="12">
        <f>_xlfn.XLOOKUP(TableDailySummary[[#This Row],[Fecha]],SummaryDaily[day],SummaryDaily[Corporativo no tienda_orders],0)</f>
        <v>0</v>
      </c>
      <c r="W35" s="12">
        <f>_xlfn.XLOOKUP(TableDailySummary[[#This Row],[Fecha]],SummaryDaily[day],SummaryDaily[Corporativo no tienda_average_order_value],0)</f>
        <v>0</v>
      </c>
      <c r="X35" s="12">
        <f>_xlfn.XLOOKUP(TableDailySummary[[#This Row],[Fecha]],SummaryDaily[day],SummaryDaily[GoogleAdsOperation.Cost],0)</f>
        <v>60651.06</v>
      </c>
      <c r="Y35" s="12">
        <f>SUMIFS(SalesByUTMDaily[google],SalesByUTMDaily[day],TableDailySummary[[#This Row],[Fecha]])</f>
        <v>0</v>
      </c>
      <c r="Z35" s="12">
        <f>_xlfn.XLOOKUP(TableDailySummary[[#This Row],[Fecha]],SummaryDaily[day],SummaryDaily[MetaAdsOperation.spend],0)</f>
        <v>29142</v>
      </c>
      <c r="AA35" s="12">
        <f>SUMIFS(SalesByUTMDaily[facebook],SalesByUTMDaily[day],TableDailySummary[[#This Row],[Fecha]])</f>
        <v>0</v>
      </c>
      <c r="AB35" s="12">
        <f>TableDailySummary[[#This Row],[Inversión google ads]]+TableDailySummary[[#This Row],[Inversión meta ads]]</f>
        <v>89793.06</v>
      </c>
      <c r="AC35" s="12">
        <f>TableDailySummary[[#This Row],[Ventas google ads]]+TableDailySummary[[#This Row],[Ventas meta ads]]</f>
        <v>0</v>
      </c>
      <c r="AD35" s="14">
        <f>IFERROR(TableDailySummary[[#This Row],[Ventas publicidad]]/TableDailySummary[[#This Row],[Inversión publicidad]],0)</f>
        <v>0</v>
      </c>
      <c r="AE35" s="14">
        <f>IFERROR(TableDailySummary[[#This Row],[Ventas primer cliente]]/TableDailySummary[[#This Row],[Inversión publicidad]],0)</f>
        <v>2.2086264795965298</v>
      </c>
      <c r="AF35" s="14"/>
      <c r="AG35" s="12"/>
      <c r="AM35" s="12">
        <f>_xlfn.XLOOKUP(TableDailySummary[[#This Row],[Fecha]],SummaryDaily[day],SummaryDaily[net_sales_with_cost_recorded],0)</f>
        <v>1139495.8</v>
      </c>
      <c r="AN35" s="12">
        <f>_xlfn.XLOOKUP(TableDailySummary[[#This Row],[Fecha]],SummaryDaily[day],SummaryDaily[cost_of_goods_sold],0)</f>
        <v>393430</v>
      </c>
      <c r="AO35" s="12">
        <f>_xlfn.XLOOKUP(TableDailySummary[[#This Row],[Fecha]],SummaryDaily[day],SummaryDaily[gross_profit],0)</f>
        <v>746065.8</v>
      </c>
      <c r="AP35" s="18">
        <f>IFERROR(TableDailySummary[[#This Row],[Utilidad bruta]]/TableDailySummary[[#This Row],[Ventas netas con costo registrado]],0)</f>
        <v>0.65473326009626365</v>
      </c>
    </row>
    <row r="36" spans="2:42" x14ac:dyDescent="0.2">
      <c r="B36" s="15" cm="1">
        <f t="array" ref="B36">MIN(SummaryDaily[day]) + (ROW(TableDailySummary[#This Row]) - ROW(TableDailySummary[[#Headers],[Dia]]) - 1)</f>
        <v>45807</v>
      </c>
      <c r="C36" s="6">
        <f>TableDailySummary[[#This Row],[Dia]]</f>
        <v>45807</v>
      </c>
      <c r="D36" s="12">
        <f>_xlfn.XLOOKUP(TableDailySummary[[#This Row],[Fecha]],SummaryDaily[day],SummaryDaily[net_sales],0)</f>
        <v>2066617.25</v>
      </c>
      <c r="E36" s="12">
        <f>_xlfn.XLOOKUP(TableDailySummary[[#This Row],[Fecha]],SummaryDaily[day],SummaryDaily[orders],0)</f>
        <v>7</v>
      </c>
      <c r="F36" s="12">
        <f>_xlfn.XLOOKUP(TableDailySummary[[#This Row],[Fecha]],SummaryDaily[day],SummaryDaily[average_order_value],0)</f>
        <v>349099.641</v>
      </c>
      <c r="G36" s="24">
        <f>_xlfn.XLOOKUP(TableDailySummary[[#This Row],[Fecha]],SummaryDaily[day],SummaryDaily[Total site_conversion_rate],0)</f>
        <v>2.6086956521739129E-2</v>
      </c>
      <c r="H36" s="12">
        <f>TableDailySummary[[#This Row],[Órden promedio totales]]*TableDailySummary[[#This Row],[CR totales]]</f>
        <v>9106.9471565217391</v>
      </c>
      <c r="I36" s="12">
        <f>_xlfn.XLOOKUP(TableDailySummary[[#This Row],[Fecha]],SummaryDaily[day],SummaryDaily[new_net_sales],0)</f>
        <v>-204811.33</v>
      </c>
      <c r="J36" s="12">
        <f>_xlfn.XLOOKUP(TableDailySummary[[#This Row],[Fecha]],SummaryDaily[day],SummaryDaily[new_orders],0)</f>
        <v>2</v>
      </c>
      <c r="K36" s="12">
        <f>_xlfn.XLOOKUP(TableDailySummary[[#This Row],[Fecha]],SummaryDaily[day],SummaryDaily[new_average_order_value],0)</f>
        <v>86134.455000000002</v>
      </c>
      <c r="L36" s="12">
        <f>_xlfn.XLOOKUP(TableDailySummary[[#This Row],[Fecha]],SummaryDaily[day],SummaryDaily[Online Store_net_sales],0)</f>
        <v>2066617.25</v>
      </c>
      <c r="M36" s="12">
        <f>_xlfn.XLOOKUP(TableDailySummary[[#This Row],[Fecha]],SummaryDaily[day],SummaryDaily[Online Store_orders],0)</f>
        <v>7</v>
      </c>
      <c r="N36" s="12">
        <f>_xlfn.XLOOKUP(TableDailySummary[[#This Row],[Fecha]],SummaryDaily[day],SummaryDaily[Online Store_average_order_value],0)</f>
        <v>349099.641</v>
      </c>
      <c r="O36" s="12">
        <f>_xlfn.XLOOKUP(TableDailySummary[[#This Row],[Fecha]],SummaryDaily[day],SummaryDaily[Tienda 81_net_sales],0)</f>
        <v>0</v>
      </c>
      <c r="P36" s="12">
        <f>_xlfn.XLOOKUP(TableDailySummary[[#This Row],[Fecha]],SummaryDaily[day],SummaryDaily[Tienda 81_orders],0)</f>
        <v>0</v>
      </c>
      <c r="Q36" s="12">
        <f>_xlfn.XLOOKUP(TableDailySummary[[#This Row],[Fecha]],SummaryDaily[day],SummaryDaily[Tienda 81_average_order_value],0)</f>
        <v>0</v>
      </c>
      <c r="R36" s="12">
        <f>_xlfn.XLOOKUP(TableDailySummary[[#This Row],[Fecha]],SummaryDaily[day],SummaryDaily[Rappi_net_sales],0)</f>
        <v>0</v>
      </c>
      <c r="S36" s="12">
        <f>_xlfn.XLOOKUP(TableDailySummary[[#This Row],[Fecha]],SummaryDaily[day],SummaryDaily[Rappi_orders],0)</f>
        <v>0</v>
      </c>
      <c r="T36" s="12">
        <f>_xlfn.XLOOKUP(TableDailySummary[[#This Row],[Fecha]],SummaryDaily[day],SummaryDaily[Rappi_average_order_value],0)</f>
        <v>0</v>
      </c>
      <c r="U36" s="12">
        <f>_xlfn.XLOOKUP(TableDailySummary[[#This Row],[Fecha]],SummaryDaily[day],SummaryDaily[Corporativo no tienda_net_sales],0)</f>
        <v>0</v>
      </c>
      <c r="V36" s="12">
        <f>_xlfn.XLOOKUP(TableDailySummary[[#This Row],[Fecha]],SummaryDaily[day],SummaryDaily[Corporativo no tienda_orders],0)</f>
        <v>0</v>
      </c>
      <c r="W36" s="12">
        <f>_xlfn.XLOOKUP(TableDailySummary[[#This Row],[Fecha]],SummaryDaily[day],SummaryDaily[Corporativo no tienda_average_order_value],0)</f>
        <v>0</v>
      </c>
      <c r="X36" s="12">
        <f>_xlfn.XLOOKUP(TableDailySummary[[#This Row],[Fecha]],SummaryDaily[day],SummaryDaily[GoogleAdsOperation.Cost],0)</f>
        <v>19382.919999999998</v>
      </c>
      <c r="Y36" s="12">
        <f>SUMIFS(SalesByUTMDaily[google],SalesByUTMDaily[day],TableDailySummary[[#This Row],[Fecha]])</f>
        <v>0</v>
      </c>
      <c r="Z36" s="12">
        <f>_xlfn.XLOOKUP(TableDailySummary[[#This Row],[Fecha]],SummaryDaily[day],SummaryDaily[MetaAdsOperation.spend],0)</f>
        <v>28264</v>
      </c>
      <c r="AA36" s="12">
        <f>SUMIFS(SalesByUTMDaily[facebook],SalesByUTMDaily[day],TableDailySummary[[#This Row],[Fecha]])</f>
        <v>0</v>
      </c>
      <c r="AB36" s="12">
        <f>TableDailySummary[[#This Row],[Inversión google ads]]+TableDailySummary[[#This Row],[Inversión meta ads]]</f>
        <v>47646.92</v>
      </c>
      <c r="AC36" s="12">
        <f>TableDailySummary[[#This Row],[Ventas google ads]]+TableDailySummary[[#This Row],[Ventas meta ads]]</f>
        <v>0</v>
      </c>
      <c r="AD36" s="14">
        <f>IFERROR(TableDailySummary[[#This Row],[Ventas publicidad]]/TableDailySummary[[#This Row],[Inversión publicidad]],0)</f>
        <v>0</v>
      </c>
      <c r="AE36" s="14">
        <f>IFERROR(TableDailySummary[[#This Row],[Ventas primer cliente]]/TableDailySummary[[#This Row],[Inversión publicidad]],0)</f>
        <v>-4.298521919150283</v>
      </c>
      <c r="AF36" s="14"/>
      <c r="AG36" s="12"/>
      <c r="AM36" s="12">
        <f>_xlfn.XLOOKUP(TableDailySummary[[#This Row],[Fecha]],SummaryDaily[day],SummaryDaily[net_sales_with_cost_recorded],0)</f>
        <v>2066617.25</v>
      </c>
      <c r="AN36" s="12">
        <f>_xlfn.XLOOKUP(TableDailySummary[[#This Row],[Fecha]],SummaryDaily[day],SummaryDaily[cost_of_goods_sold],0)</f>
        <v>674813</v>
      </c>
      <c r="AO36" s="12">
        <f>_xlfn.XLOOKUP(TableDailySummary[[#This Row],[Fecha]],SummaryDaily[day],SummaryDaily[gross_profit],0)</f>
        <v>1391804.25</v>
      </c>
      <c r="AP36" s="18">
        <f>IFERROR(TableDailySummary[[#This Row],[Utilidad bruta]]/TableDailySummary[[#This Row],[Ventas netas con costo registrado]],0)</f>
        <v>0.67346977288610166</v>
      </c>
    </row>
    <row r="37" spans="2:42" x14ac:dyDescent="0.2">
      <c r="B37" s="15" cm="1">
        <f t="array" ref="B37">MIN(SummaryDaily[day]) + (ROW(TableDailySummary[#This Row]) - ROW(TableDailySummary[[#Headers],[Dia]]) - 1)</f>
        <v>45808</v>
      </c>
      <c r="C37" s="6">
        <f>TableDailySummary[[#This Row],[Dia]]</f>
        <v>45808</v>
      </c>
      <c r="D37" s="12">
        <f>_xlfn.XLOOKUP(TableDailySummary[[#This Row],[Fecha]],SummaryDaily[day],SummaryDaily[net_sales],0)</f>
        <v>437815.13</v>
      </c>
      <c r="E37" s="12">
        <f>_xlfn.XLOOKUP(TableDailySummary[[#This Row],[Fecha]],SummaryDaily[day],SummaryDaily[orders],0)</f>
        <v>4</v>
      </c>
      <c r="F37" s="12">
        <f>_xlfn.XLOOKUP(TableDailySummary[[#This Row],[Fecha]],SummaryDaily[day],SummaryDaily[average_order_value],0)</f>
        <v>109453.78200000001</v>
      </c>
      <c r="G37" s="24">
        <f>_xlfn.XLOOKUP(TableDailySummary[[#This Row],[Fecha]],SummaryDaily[day],SummaryDaily[Total site_conversion_rate],0)</f>
        <v>2.7700831024930748E-3</v>
      </c>
      <c r="H37" s="12">
        <f>TableDailySummary[[#This Row],[Órden promedio totales]]*TableDailySummary[[#This Row],[CR totales]]</f>
        <v>303.19607202216071</v>
      </c>
      <c r="I37" s="12">
        <f>_xlfn.XLOOKUP(TableDailySummary[[#This Row],[Fecha]],SummaryDaily[day],SummaryDaily[new_net_sales],0)</f>
        <v>118487.4</v>
      </c>
      <c r="J37" s="12">
        <f>_xlfn.XLOOKUP(TableDailySummary[[#This Row],[Fecha]],SummaryDaily[day],SummaryDaily[new_orders],0)</f>
        <v>2</v>
      </c>
      <c r="K37" s="12">
        <f>_xlfn.XLOOKUP(TableDailySummary[[#This Row],[Fecha]],SummaryDaily[day],SummaryDaily[new_average_order_value],0)</f>
        <v>59243.7</v>
      </c>
      <c r="L37" s="12">
        <f>_xlfn.XLOOKUP(TableDailySummary[[#This Row],[Fecha]],SummaryDaily[day],SummaryDaily[Online Store_net_sales],0)</f>
        <v>437815.13</v>
      </c>
      <c r="M37" s="12">
        <f>_xlfn.XLOOKUP(TableDailySummary[[#This Row],[Fecha]],SummaryDaily[day],SummaryDaily[Online Store_orders],0)</f>
        <v>4</v>
      </c>
      <c r="N37" s="12">
        <f>_xlfn.XLOOKUP(TableDailySummary[[#This Row],[Fecha]],SummaryDaily[day],SummaryDaily[Online Store_average_order_value],0)</f>
        <v>109453.78200000001</v>
      </c>
      <c r="O37" s="12">
        <f>_xlfn.XLOOKUP(TableDailySummary[[#This Row],[Fecha]],SummaryDaily[day],SummaryDaily[Tienda 81_net_sales],0)</f>
        <v>0</v>
      </c>
      <c r="P37" s="12">
        <f>_xlfn.XLOOKUP(TableDailySummary[[#This Row],[Fecha]],SummaryDaily[day],SummaryDaily[Tienda 81_orders],0)</f>
        <v>0</v>
      </c>
      <c r="Q37" s="12">
        <f>_xlfn.XLOOKUP(TableDailySummary[[#This Row],[Fecha]],SummaryDaily[day],SummaryDaily[Tienda 81_average_order_value],0)</f>
        <v>0</v>
      </c>
      <c r="R37" s="12">
        <f>_xlfn.XLOOKUP(TableDailySummary[[#This Row],[Fecha]],SummaryDaily[day],SummaryDaily[Rappi_net_sales],0)</f>
        <v>0</v>
      </c>
      <c r="S37" s="12">
        <f>_xlfn.XLOOKUP(TableDailySummary[[#This Row],[Fecha]],SummaryDaily[day],SummaryDaily[Rappi_orders],0)</f>
        <v>0</v>
      </c>
      <c r="T37" s="12">
        <f>_xlfn.XLOOKUP(TableDailySummary[[#This Row],[Fecha]],SummaryDaily[day],SummaryDaily[Rappi_average_order_value],0)</f>
        <v>0</v>
      </c>
      <c r="U37" s="12">
        <f>_xlfn.XLOOKUP(TableDailySummary[[#This Row],[Fecha]],SummaryDaily[day],SummaryDaily[Corporativo no tienda_net_sales],0)</f>
        <v>0</v>
      </c>
      <c r="V37" s="12">
        <f>_xlfn.XLOOKUP(TableDailySummary[[#This Row],[Fecha]],SummaryDaily[day],SummaryDaily[Corporativo no tienda_orders],0)</f>
        <v>0</v>
      </c>
      <c r="W37" s="12">
        <f>_xlfn.XLOOKUP(TableDailySummary[[#This Row],[Fecha]],SummaryDaily[day],SummaryDaily[Corporativo no tienda_average_order_value],0)</f>
        <v>0</v>
      </c>
      <c r="X37" s="12">
        <f>_xlfn.XLOOKUP(TableDailySummary[[#This Row],[Fecha]],SummaryDaily[day],SummaryDaily[GoogleAdsOperation.Cost],0)</f>
        <v>46911.21</v>
      </c>
      <c r="Y37" s="12">
        <f>SUMIFS(SalesByUTMDaily[google],SalesByUTMDaily[day],TableDailySummary[[#This Row],[Fecha]])</f>
        <v>0</v>
      </c>
      <c r="Z37" s="12">
        <f>_xlfn.XLOOKUP(TableDailySummary[[#This Row],[Fecha]],SummaryDaily[day],SummaryDaily[MetaAdsOperation.spend],0)</f>
        <v>26572</v>
      </c>
      <c r="AA37" s="12">
        <f>SUMIFS(SalesByUTMDaily[facebook],SalesByUTMDaily[day],TableDailySummary[[#This Row],[Fecha]])</f>
        <v>0</v>
      </c>
      <c r="AB37" s="12">
        <f>TableDailySummary[[#This Row],[Inversión google ads]]+TableDailySummary[[#This Row],[Inversión meta ads]]</f>
        <v>73483.209999999992</v>
      </c>
      <c r="AC37" s="12">
        <f>TableDailySummary[[#This Row],[Ventas google ads]]+TableDailySummary[[#This Row],[Ventas meta ads]]</f>
        <v>0</v>
      </c>
      <c r="AD37" s="14">
        <f>IFERROR(TableDailySummary[[#This Row],[Ventas publicidad]]/TableDailySummary[[#This Row],[Inversión publicidad]],0)</f>
        <v>0</v>
      </c>
      <c r="AE37" s="14">
        <f>IFERROR(TableDailySummary[[#This Row],[Ventas primer cliente]]/TableDailySummary[[#This Row],[Inversión publicidad]],0)</f>
        <v>1.6124418081354912</v>
      </c>
      <c r="AF37" s="14"/>
      <c r="AG37" s="12"/>
      <c r="AM37" s="12">
        <f>_xlfn.XLOOKUP(TableDailySummary[[#This Row],[Fecha]],SummaryDaily[day],SummaryDaily[net_sales_with_cost_recorded],0)</f>
        <v>437815.13</v>
      </c>
      <c r="AN37" s="12">
        <f>_xlfn.XLOOKUP(TableDailySummary[[#This Row],[Fecha]],SummaryDaily[day],SummaryDaily[cost_of_goods_sold],0)</f>
        <v>113564</v>
      </c>
      <c r="AO37" s="12">
        <f>_xlfn.XLOOKUP(TableDailySummary[[#This Row],[Fecha]],SummaryDaily[day],SummaryDaily[gross_profit],0)</f>
        <v>324251.13</v>
      </c>
      <c r="AP37" s="18">
        <f>IFERROR(TableDailySummary[[#This Row],[Utilidad bruta]]/TableDailySummary[[#This Row],[Ventas netas con costo registrado]],0)</f>
        <v>0.74061197930733913</v>
      </c>
    </row>
    <row r="38" spans="2:42" x14ac:dyDescent="0.2">
      <c r="B38" s="15" cm="1">
        <f t="array" ref="B38">MIN(SummaryDaily[day]) + (ROW(TableDailySummary[#This Row]) - ROW(TableDailySummary[[#Headers],[Dia]]) - 1)</f>
        <v>45809</v>
      </c>
      <c r="C38" s="6">
        <f>TableDailySummary[[#This Row],[Dia]]</f>
        <v>45809</v>
      </c>
      <c r="D38" s="12">
        <f>_xlfn.XLOOKUP(TableDailySummary[[#This Row],[Fecha]],SummaryDaily[day],SummaryDaily[net_sales],0)</f>
        <v>1184873.96</v>
      </c>
      <c r="E38" s="12">
        <f>_xlfn.XLOOKUP(TableDailySummary[[#This Row],[Fecha]],SummaryDaily[day],SummaryDaily[orders],0)</f>
        <v>10</v>
      </c>
      <c r="F38" s="12">
        <f>_xlfn.XLOOKUP(TableDailySummary[[#This Row],[Fecha]],SummaryDaily[day],SummaryDaily[average_order_value],0)</f>
        <v>118487.39599999999</v>
      </c>
      <c r="G38" s="24">
        <f>_xlfn.XLOOKUP(TableDailySummary[[#This Row],[Fecha]],SummaryDaily[day],SummaryDaily[Total site_conversion_rate],0)</f>
        <v>2.5936599423631124E-2</v>
      </c>
      <c r="H38" s="12">
        <f>TableDailySummary[[#This Row],[Órden promedio totales]]*TableDailySummary[[#This Row],[CR totales]]</f>
        <v>3073.1601268011527</v>
      </c>
      <c r="I38" s="12">
        <f>_xlfn.XLOOKUP(TableDailySummary[[#This Row],[Fecha]],SummaryDaily[day],SummaryDaily[new_net_sales],0)</f>
        <v>848739.5</v>
      </c>
      <c r="J38" s="12">
        <f>_xlfn.XLOOKUP(TableDailySummary[[#This Row],[Fecha]],SummaryDaily[day],SummaryDaily[new_orders],0)</f>
        <v>6</v>
      </c>
      <c r="K38" s="12">
        <f>_xlfn.XLOOKUP(TableDailySummary[[#This Row],[Fecha]],SummaryDaily[day],SummaryDaily[new_average_order_value],0)</f>
        <v>141456.58300000001</v>
      </c>
      <c r="L38" s="12">
        <f>_xlfn.XLOOKUP(TableDailySummary[[#This Row],[Fecha]],SummaryDaily[day],SummaryDaily[Online Store_net_sales],0)</f>
        <v>1184873.96</v>
      </c>
      <c r="M38" s="12">
        <f>_xlfn.XLOOKUP(TableDailySummary[[#This Row],[Fecha]],SummaryDaily[day],SummaryDaily[Online Store_orders],0)</f>
        <v>10</v>
      </c>
      <c r="N38" s="12">
        <f>_xlfn.XLOOKUP(TableDailySummary[[#This Row],[Fecha]],SummaryDaily[day],SummaryDaily[Online Store_average_order_value],0)</f>
        <v>118487.39599999999</v>
      </c>
      <c r="O38" s="12">
        <f>_xlfn.XLOOKUP(TableDailySummary[[#This Row],[Fecha]],SummaryDaily[day],SummaryDaily[Tienda 81_net_sales],0)</f>
        <v>0</v>
      </c>
      <c r="P38" s="12">
        <f>_xlfn.XLOOKUP(TableDailySummary[[#This Row],[Fecha]],SummaryDaily[day],SummaryDaily[Tienda 81_orders],0)</f>
        <v>0</v>
      </c>
      <c r="Q38" s="12">
        <f>_xlfn.XLOOKUP(TableDailySummary[[#This Row],[Fecha]],SummaryDaily[day],SummaryDaily[Tienda 81_average_order_value],0)</f>
        <v>0</v>
      </c>
      <c r="R38" s="12">
        <f>_xlfn.XLOOKUP(TableDailySummary[[#This Row],[Fecha]],SummaryDaily[day],SummaryDaily[Rappi_net_sales],0)</f>
        <v>0</v>
      </c>
      <c r="S38" s="12">
        <f>_xlfn.XLOOKUP(TableDailySummary[[#This Row],[Fecha]],SummaryDaily[day],SummaryDaily[Rappi_orders],0)</f>
        <v>0</v>
      </c>
      <c r="T38" s="12">
        <f>_xlfn.XLOOKUP(TableDailySummary[[#This Row],[Fecha]],SummaryDaily[day],SummaryDaily[Rappi_average_order_value],0)</f>
        <v>0</v>
      </c>
      <c r="U38" s="12">
        <f>_xlfn.XLOOKUP(TableDailySummary[[#This Row],[Fecha]],SummaryDaily[day],SummaryDaily[Corporativo no tienda_net_sales],0)</f>
        <v>0</v>
      </c>
      <c r="V38" s="12">
        <f>_xlfn.XLOOKUP(TableDailySummary[[#This Row],[Fecha]],SummaryDaily[day],SummaryDaily[Corporativo no tienda_orders],0)</f>
        <v>0</v>
      </c>
      <c r="W38" s="12">
        <f>_xlfn.XLOOKUP(TableDailySummary[[#This Row],[Fecha]],SummaryDaily[day],SummaryDaily[Corporativo no tienda_average_order_value],0)</f>
        <v>0</v>
      </c>
      <c r="X38" s="12">
        <f>_xlfn.XLOOKUP(TableDailySummary[[#This Row],[Fecha]],SummaryDaily[day],SummaryDaily[GoogleAdsOperation.Cost],0)</f>
        <v>45483.4</v>
      </c>
      <c r="Y38" s="12">
        <f>SUMIFS(SalesByUTMDaily[google],SalesByUTMDaily[day],TableDailySummary[[#This Row],[Fecha]])</f>
        <v>0</v>
      </c>
      <c r="Z38" s="12">
        <f>_xlfn.XLOOKUP(TableDailySummary[[#This Row],[Fecha]],SummaryDaily[day],SummaryDaily[MetaAdsOperation.spend],0)</f>
        <v>33971</v>
      </c>
      <c r="AA38" s="12">
        <f>SUMIFS(SalesByUTMDaily[facebook],SalesByUTMDaily[day],TableDailySummary[[#This Row],[Fecha]])</f>
        <v>522500</v>
      </c>
      <c r="AB38" s="12">
        <f>TableDailySummary[[#This Row],[Inversión google ads]]+TableDailySummary[[#This Row],[Inversión meta ads]]</f>
        <v>79454.399999999994</v>
      </c>
      <c r="AC38" s="12">
        <f>TableDailySummary[[#This Row],[Ventas google ads]]+TableDailySummary[[#This Row],[Ventas meta ads]]</f>
        <v>522500</v>
      </c>
      <c r="AD38" s="14">
        <f>IFERROR(TableDailySummary[[#This Row],[Ventas publicidad]]/TableDailySummary[[#This Row],[Inversión publicidad]],0)</f>
        <v>6.5760989951469027</v>
      </c>
      <c r="AE38" s="14">
        <f>IFERROR(TableDailySummary[[#This Row],[Ventas primer cliente]]/TableDailySummary[[#This Row],[Inversión publicidad]],0)</f>
        <v>10.682095642280352</v>
      </c>
      <c r="AF38" s="14"/>
      <c r="AG38" s="12"/>
      <c r="AM38" s="12">
        <f>_xlfn.XLOOKUP(TableDailySummary[[#This Row],[Fecha]],SummaryDaily[day],SummaryDaily[net_sales_with_cost_recorded],0)</f>
        <v>1184873.96</v>
      </c>
      <c r="AN38" s="12">
        <f>_xlfn.XLOOKUP(TableDailySummary[[#This Row],[Fecha]],SummaryDaily[day],SummaryDaily[cost_of_goods_sold],0)</f>
        <v>321197</v>
      </c>
      <c r="AO38" s="12">
        <f>_xlfn.XLOOKUP(TableDailySummary[[#This Row],[Fecha]],SummaryDaily[day],SummaryDaily[gross_profit],0)</f>
        <v>863676.96</v>
      </c>
      <c r="AP38" s="18">
        <f>IFERROR(TableDailySummary[[#This Row],[Utilidad bruta]]/TableDailySummary[[#This Row],[Ventas netas con costo registrado]],0)</f>
        <v>0.72891884635560733</v>
      </c>
    </row>
    <row r="39" spans="2:42" x14ac:dyDescent="0.2">
      <c r="B39" s="15" cm="1">
        <f t="array" ref="B39">MIN(SummaryDaily[day]) + (ROW(TableDailySummary[#This Row]) - ROW(TableDailySummary[[#Headers],[Dia]]) - 1)</f>
        <v>45810</v>
      </c>
      <c r="C39" s="6">
        <f>TableDailySummary[[#This Row],[Dia]]</f>
        <v>45810</v>
      </c>
      <c r="D39" s="12">
        <f>_xlfn.XLOOKUP(TableDailySummary[[#This Row],[Fecha]],SummaryDaily[day],SummaryDaily[net_sales],0)</f>
        <v>865546.23</v>
      </c>
      <c r="E39" s="12">
        <f>_xlfn.XLOOKUP(TableDailySummary[[#This Row],[Fecha]],SummaryDaily[day],SummaryDaily[orders],0)</f>
        <v>7</v>
      </c>
      <c r="F39" s="12">
        <f>_xlfn.XLOOKUP(TableDailySummary[[#This Row],[Fecha]],SummaryDaily[day],SummaryDaily[average_order_value],0)</f>
        <v>123649.461</v>
      </c>
      <c r="G39" s="24">
        <f>_xlfn.XLOOKUP(TableDailySummary[[#This Row],[Fecha]],SummaryDaily[day],SummaryDaily[Total site_conversion_rate],0)</f>
        <v>1.4742014742014743E-2</v>
      </c>
      <c r="H39" s="12">
        <f>TableDailySummary[[#This Row],[Órden promedio totales]]*TableDailySummary[[#This Row],[CR totales]]</f>
        <v>1822.842176904177</v>
      </c>
      <c r="I39" s="12">
        <f>_xlfn.XLOOKUP(TableDailySummary[[#This Row],[Fecha]],SummaryDaily[day],SummaryDaily[new_net_sales],0)</f>
        <v>621848.75</v>
      </c>
      <c r="J39" s="12">
        <f>_xlfn.XLOOKUP(TableDailySummary[[#This Row],[Fecha]],SummaryDaily[day],SummaryDaily[new_orders],0)</f>
        <v>5</v>
      </c>
      <c r="K39" s="12">
        <f>_xlfn.XLOOKUP(TableDailySummary[[#This Row],[Fecha]],SummaryDaily[day],SummaryDaily[new_average_order_value],0)</f>
        <v>124369.75</v>
      </c>
      <c r="L39" s="12">
        <f>_xlfn.XLOOKUP(TableDailySummary[[#This Row],[Fecha]],SummaryDaily[day],SummaryDaily[Online Store_net_sales],0)</f>
        <v>865546.23</v>
      </c>
      <c r="M39" s="12">
        <f>_xlfn.XLOOKUP(TableDailySummary[[#This Row],[Fecha]],SummaryDaily[day],SummaryDaily[Online Store_orders],0)</f>
        <v>7</v>
      </c>
      <c r="N39" s="12">
        <f>_xlfn.XLOOKUP(TableDailySummary[[#This Row],[Fecha]],SummaryDaily[day],SummaryDaily[Online Store_average_order_value],0)</f>
        <v>123649.461</v>
      </c>
      <c r="O39" s="12">
        <f>_xlfn.XLOOKUP(TableDailySummary[[#This Row],[Fecha]],SummaryDaily[day],SummaryDaily[Tienda 81_net_sales],0)</f>
        <v>0</v>
      </c>
      <c r="P39" s="12">
        <f>_xlfn.XLOOKUP(TableDailySummary[[#This Row],[Fecha]],SummaryDaily[day],SummaryDaily[Tienda 81_orders],0)</f>
        <v>0</v>
      </c>
      <c r="Q39" s="12">
        <f>_xlfn.XLOOKUP(TableDailySummary[[#This Row],[Fecha]],SummaryDaily[day],SummaryDaily[Tienda 81_average_order_value],0)</f>
        <v>0</v>
      </c>
      <c r="R39" s="12">
        <f>_xlfn.XLOOKUP(TableDailySummary[[#This Row],[Fecha]],SummaryDaily[day],SummaryDaily[Rappi_net_sales],0)</f>
        <v>0</v>
      </c>
      <c r="S39" s="12">
        <f>_xlfn.XLOOKUP(TableDailySummary[[#This Row],[Fecha]],SummaryDaily[day],SummaryDaily[Rappi_orders],0)</f>
        <v>0</v>
      </c>
      <c r="T39" s="12">
        <f>_xlfn.XLOOKUP(TableDailySummary[[#This Row],[Fecha]],SummaryDaily[day],SummaryDaily[Rappi_average_order_value],0)</f>
        <v>0</v>
      </c>
      <c r="U39" s="12">
        <f>_xlfn.XLOOKUP(TableDailySummary[[#This Row],[Fecha]],SummaryDaily[day],SummaryDaily[Corporativo no tienda_net_sales],0)</f>
        <v>0</v>
      </c>
      <c r="V39" s="12">
        <f>_xlfn.XLOOKUP(TableDailySummary[[#This Row],[Fecha]],SummaryDaily[day],SummaryDaily[Corporativo no tienda_orders],0)</f>
        <v>0</v>
      </c>
      <c r="W39" s="12">
        <f>_xlfn.XLOOKUP(TableDailySummary[[#This Row],[Fecha]],SummaryDaily[day],SummaryDaily[Corporativo no tienda_average_order_value],0)</f>
        <v>0</v>
      </c>
      <c r="X39" s="12">
        <f>_xlfn.XLOOKUP(TableDailySummary[[#This Row],[Fecha]],SummaryDaily[day],SummaryDaily[GoogleAdsOperation.Cost],0)</f>
        <v>41397.24</v>
      </c>
      <c r="Y39" s="12">
        <f>SUMIFS(SalesByUTMDaily[google],SalesByUTMDaily[day],TableDailySummary[[#This Row],[Fecha]])</f>
        <v>0</v>
      </c>
      <c r="Z39" s="12">
        <f>_xlfn.XLOOKUP(TableDailySummary[[#This Row],[Fecha]],SummaryDaily[day],SummaryDaily[MetaAdsOperation.spend],0)</f>
        <v>30340</v>
      </c>
      <c r="AA39" s="12">
        <f>SUMIFS(SalesByUTMDaily[facebook],SalesByUTMDaily[day],TableDailySummary[[#This Row],[Fecha]])</f>
        <v>0</v>
      </c>
      <c r="AB39" s="12">
        <f>TableDailySummary[[#This Row],[Inversión google ads]]+TableDailySummary[[#This Row],[Inversión meta ads]]</f>
        <v>71737.239999999991</v>
      </c>
      <c r="AC39" s="12">
        <f>TableDailySummary[[#This Row],[Ventas google ads]]+TableDailySummary[[#This Row],[Ventas meta ads]]</f>
        <v>0</v>
      </c>
      <c r="AD39" s="14">
        <f>IFERROR(TableDailySummary[[#This Row],[Ventas publicidad]]/TableDailySummary[[#This Row],[Inversión publicidad]],0)</f>
        <v>0</v>
      </c>
      <c r="AE39" s="14">
        <f>IFERROR(TableDailySummary[[#This Row],[Ventas primer cliente]]/TableDailySummary[[#This Row],[Inversión publicidad]],0)</f>
        <v>8.6684231230529658</v>
      </c>
      <c r="AF39" s="14"/>
      <c r="AG39" s="12"/>
      <c r="AM39" s="12">
        <f>_xlfn.XLOOKUP(TableDailySummary[[#This Row],[Fecha]],SummaryDaily[day],SummaryDaily[net_sales_with_cost_recorded],0)</f>
        <v>865546.23</v>
      </c>
      <c r="AN39" s="12">
        <f>_xlfn.XLOOKUP(TableDailySummary[[#This Row],[Fecha]],SummaryDaily[day],SummaryDaily[cost_of_goods_sold],0)</f>
        <v>191003</v>
      </c>
      <c r="AO39" s="12">
        <f>_xlfn.XLOOKUP(TableDailySummary[[#This Row],[Fecha]],SummaryDaily[day],SummaryDaily[gross_profit],0)</f>
        <v>674543.23</v>
      </c>
      <c r="AP39" s="18">
        <f>IFERROR(TableDailySummary[[#This Row],[Utilidad bruta]]/TableDailySummary[[#This Row],[Ventas netas con costo registrado]],0)</f>
        <v>0.77932663400313118</v>
      </c>
    </row>
    <row r="40" spans="2:42" x14ac:dyDescent="0.2">
      <c r="B40" s="15" cm="1">
        <f t="array" ref="B40">MIN(SummaryDaily[day]) + (ROW(TableDailySummary[#This Row]) - ROW(TableDailySummary[[#Headers],[Dia]]) - 1)</f>
        <v>45811</v>
      </c>
      <c r="C40" s="6">
        <f>TableDailySummary[[#This Row],[Dia]]</f>
        <v>45811</v>
      </c>
      <c r="D40" s="12">
        <f>_xlfn.XLOOKUP(TableDailySummary[[#This Row],[Fecha]],SummaryDaily[day],SummaryDaily[net_sales],0)</f>
        <v>1358825.21</v>
      </c>
      <c r="E40" s="12">
        <f>_xlfn.XLOOKUP(TableDailySummary[[#This Row],[Fecha]],SummaryDaily[day],SummaryDaily[orders],0)</f>
        <v>13</v>
      </c>
      <c r="F40" s="12">
        <f>_xlfn.XLOOKUP(TableDailySummary[[#This Row],[Fecha]],SummaryDaily[day],SummaryDaily[average_order_value],0)</f>
        <v>104525.016</v>
      </c>
      <c r="G40" s="24">
        <f>_xlfn.XLOOKUP(TableDailySummary[[#This Row],[Fecha]],SummaryDaily[day],SummaryDaily[Total site_conversion_rate],0)</f>
        <v>2.5925925925925925E-2</v>
      </c>
      <c r="H40" s="12">
        <f>TableDailySummary[[#This Row],[Órden promedio totales]]*TableDailySummary[[#This Row],[CR totales]]</f>
        <v>2709.9078222222224</v>
      </c>
      <c r="I40" s="12">
        <f>_xlfn.XLOOKUP(TableDailySummary[[#This Row],[Fecha]],SummaryDaily[day],SummaryDaily[new_net_sales],0)</f>
        <v>336974.79</v>
      </c>
      <c r="J40" s="12">
        <f>_xlfn.XLOOKUP(TableDailySummary[[#This Row],[Fecha]],SummaryDaily[day],SummaryDaily[new_orders],0)</f>
        <v>4</v>
      </c>
      <c r="K40" s="12">
        <f>_xlfn.XLOOKUP(TableDailySummary[[#This Row],[Fecha]],SummaryDaily[day],SummaryDaily[new_average_order_value],0)</f>
        <v>84243.697</v>
      </c>
      <c r="L40" s="12">
        <f>_xlfn.XLOOKUP(TableDailySummary[[#This Row],[Fecha]],SummaryDaily[day],SummaryDaily[Online Store_net_sales],0)</f>
        <v>1358825.21</v>
      </c>
      <c r="M40" s="12">
        <f>_xlfn.XLOOKUP(TableDailySummary[[#This Row],[Fecha]],SummaryDaily[day],SummaryDaily[Online Store_orders],0)</f>
        <v>13</v>
      </c>
      <c r="N40" s="12">
        <f>_xlfn.XLOOKUP(TableDailySummary[[#This Row],[Fecha]],SummaryDaily[day],SummaryDaily[Online Store_average_order_value],0)</f>
        <v>104525.016</v>
      </c>
      <c r="O40" s="12">
        <f>_xlfn.XLOOKUP(TableDailySummary[[#This Row],[Fecha]],SummaryDaily[day],SummaryDaily[Tienda 81_net_sales],0)</f>
        <v>0</v>
      </c>
      <c r="P40" s="12">
        <f>_xlfn.XLOOKUP(TableDailySummary[[#This Row],[Fecha]],SummaryDaily[day],SummaryDaily[Tienda 81_orders],0)</f>
        <v>0</v>
      </c>
      <c r="Q40" s="12">
        <f>_xlfn.XLOOKUP(TableDailySummary[[#This Row],[Fecha]],SummaryDaily[day],SummaryDaily[Tienda 81_average_order_value],0)</f>
        <v>0</v>
      </c>
      <c r="R40" s="12">
        <f>_xlfn.XLOOKUP(TableDailySummary[[#This Row],[Fecha]],SummaryDaily[day],SummaryDaily[Rappi_net_sales],0)</f>
        <v>0</v>
      </c>
      <c r="S40" s="12">
        <f>_xlfn.XLOOKUP(TableDailySummary[[#This Row],[Fecha]],SummaryDaily[day],SummaryDaily[Rappi_orders],0)</f>
        <v>0</v>
      </c>
      <c r="T40" s="12">
        <f>_xlfn.XLOOKUP(TableDailySummary[[#This Row],[Fecha]],SummaryDaily[day],SummaryDaily[Rappi_average_order_value],0)</f>
        <v>0</v>
      </c>
      <c r="U40" s="12">
        <f>_xlfn.XLOOKUP(TableDailySummary[[#This Row],[Fecha]],SummaryDaily[day],SummaryDaily[Corporativo no tienda_net_sales],0)</f>
        <v>0</v>
      </c>
      <c r="V40" s="12">
        <f>_xlfn.XLOOKUP(TableDailySummary[[#This Row],[Fecha]],SummaryDaily[day],SummaryDaily[Corporativo no tienda_orders],0)</f>
        <v>0</v>
      </c>
      <c r="W40" s="12">
        <f>_xlfn.XLOOKUP(TableDailySummary[[#This Row],[Fecha]],SummaryDaily[day],SummaryDaily[Corporativo no tienda_average_order_value],0)</f>
        <v>0</v>
      </c>
      <c r="X40" s="12">
        <f>_xlfn.XLOOKUP(TableDailySummary[[#This Row],[Fecha]],SummaryDaily[day],SummaryDaily[GoogleAdsOperation.Cost],0)</f>
        <v>24043.4</v>
      </c>
      <c r="Y40" s="12">
        <f>SUMIFS(SalesByUTMDaily[google],SalesByUTMDaily[day],TableDailySummary[[#This Row],[Fecha]])</f>
        <v>0</v>
      </c>
      <c r="Z40" s="12">
        <f>_xlfn.XLOOKUP(TableDailySummary[[#This Row],[Fecha]],SummaryDaily[day],SummaryDaily[MetaAdsOperation.spend],0)</f>
        <v>27709</v>
      </c>
      <c r="AA40" s="12">
        <f>SUMIFS(SalesByUTMDaily[facebook],SalesByUTMDaily[day],TableDailySummary[[#This Row],[Fecha]])</f>
        <v>0</v>
      </c>
      <c r="AB40" s="12">
        <f>TableDailySummary[[#This Row],[Inversión google ads]]+TableDailySummary[[#This Row],[Inversión meta ads]]</f>
        <v>51752.4</v>
      </c>
      <c r="AC40" s="12">
        <f>TableDailySummary[[#This Row],[Ventas google ads]]+TableDailySummary[[#This Row],[Ventas meta ads]]</f>
        <v>0</v>
      </c>
      <c r="AD40" s="14">
        <f>IFERROR(TableDailySummary[[#This Row],[Ventas publicidad]]/TableDailySummary[[#This Row],[Inversión publicidad]],0)</f>
        <v>0</v>
      </c>
      <c r="AE40" s="14">
        <f>IFERROR(TableDailySummary[[#This Row],[Ventas primer cliente]]/TableDailySummary[[#This Row],[Inversión publicidad]],0)</f>
        <v>6.5112881721427405</v>
      </c>
      <c r="AF40" s="14"/>
      <c r="AG40" s="12"/>
      <c r="AM40" s="12">
        <f>_xlfn.XLOOKUP(TableDailySummary[[#This Row],[Fecha]],SummaryDaily[day],SummaryDaily[net_sales_with_cost_recorded],0)</f>
        <v>1358824.37</v>
      </c>
      <c r="AN40" s="12">
        <f>_xlfn.XLOOKUP(TableDailySummary[[#This Row],[Fecha]],SummaryDaily[day],SummaryDaily[cost_of_goods_sold],0)</f>
        <v>333271</v>
      </c>
      <c r="AO40" s="12">
        <f>_xlfn.XLOOKUP(TableDailySummary[[#This Row],[Fecha]],SummaryDaily[day],SummaryDaily[gross_profit],0)</f>
        <v>1025553.37</v>
      </c>
      <c r="AP40" s="18">
        <f>IFERROR(TableDailySummary[[#This Row],[Utilidad bruta]]/TableDailySummary[[#This Row],[Ventas netas con costo registrado]],0)</f>
        <v>0.75473577942968439</v>
      </c>
    </row>
    <row r="41" spans="2:42" x14ac:dyDescent="0.2">
      <c r="B41" s="15" cm="1">
        <f t="array" ref="B41">MIN(SummaryDaily[day]) + (ROW(TableDailySummary[#This Row]) - ROW(TableDailySummary[[#Headers],[Dia]]) - 1)</f>
        <v>45812</v>
      </c>
      <c r="C41" s="6">
        <f>TableDailySummary[[#This Row],[Dia]]</f>
        <v>45812</v>
      </c>
      <c r="D41" s="12">
        <f>_xlfn.XLOOKUP(TableDailySummary[[#This Row],[Fecha]],SummaryDaily[day],SummaryDaily[net_sales],0)</f>
        <v>5169915.9800000004</v>
      </c>
      <c r="E41" s="12">
        <f>_xlfn.XLOOKUP(TableDailySummary[[#This Row],[Fecha]],SummaryDaily[day],SummaryDaily[orders],0)</f>
        <v>16</v>
      </c>
      <c r="F41" s="12">
        <f>_xlfn.XLOOKUP(TableDailySummary[[#This Row],[Fecha]],SummaryDaily[day],SummaryDaily[average_order_value],0)</f>
        <v>321701.68099999998</v>
      </c>
      <c r="G41" s="24">
        <f>_xlfn.XLOOKUP(TableDailySummary[[#This Row],[Fecha]],SummaryDaily[day],SummaryDaily[Total site_conversion_rate],0)</f>
        <v>3.3557046979865771E-3</v>
      </c>
      <c r="H41" s="12">
        <f>TableDailySummary[[#This Row],[Órden promedio totales]]*TableDailySummary[[#This Row],[CR totales]]</f>
        <v>1079.535842281879</v>
      </c>
      <c r="I41" s="12">
        <f>_xlfn.XLOOKUP(TableDailySummary[[#This Row],[Fecha]],SummaryDaily[day],SummaryDaily[new_net_sales],0)</f>
        <v>4346386.5599999996</v>
      </c>
      <c r="J41" s="12">
        <f>_xlfn.XLOOKUP(TableDailySummary[[#This Row],[Fecha]],SummaryDaily[day],SummaryDaily[new_orders],0)</f>
        <v>9</v>
      </c>
      <c r="K41" s="12">
        <f>_xlfn.XLOOKUP(TableDailySummary[[#This Row],[Fecha]],SummaryDaily[day],SummaryDaily[new_average_order_value],0)</f>
        <v>483398.69300000003</v>
      </c>
      <c r="L41" s="12">
        <f>_xlfn.XLOOKUP(TableDailySummary[[#This Row],[Fecha]],SummaryDaily[day],SummaryDaily[Online Store_net_sales],0)</f>
        <v>1899159.68</v>
      </c>
      <c r="M41" s="12">
        <f>_xlfn.XLOOKUP(TableDailySummary[[#This Row],[Fecha]],SummaryDaily[day],SummaryDaily[Online Store_orders],0)</f>
        <v>15</v>
      </c>
      <c r="N41" s="12">
        <f>_xlfn.XLOOKUP(TableDailySummary[[#This Row],[Fecha]],SummaryDaily[day],SummaryDaily[Online Store_average_order_value],0)</f>
        <v>125098.04</v>
      </c>
      <c r="O41" s="12">
        <f>_xlfn.XLOOKUP(TableDailySummary[[#This Row],[Fecha]],SummaryDaily[day],SummaryDaily[Tienda 81_net_sales],0)</f>
        <v>0</v>
      </c>
      <c r="P41" s="12">
        <f>_xlfn.XLOOKUP(TableDailySummary[[#This Row],[Fecha]],SummaryDaily[day],SummaryDaily[Tienda 81_orders],0)</f>
        <v>0</v>
      </c>
      <c r="Q41" s="12">
        <f>_xlfn.XLOOKUP(TableDailySummary[[#This Row],[Fecha]],SummaryDaily[day],SummaryDaily[Tienda 81_average_order_value],0)</f>
        <v>0</v>
      </c>
      <c r="R41" s="12">
        <f>_xlfn.XLOOKUP(TableDailySummary[[#This Row],[Fecha]],SummaryDaily[day],SummaryDaily[Rappi_net_sales],0)</f>
        <v>0</v>
      </c>
      <c r="S41" s="12">
        <f>_xlfn.XLOOKUP(TableDailySummary[[#This Row],[Fecha]],SummaryDaily[day],SummaryDaily[Rappi_orders],0)</f>
        <v>0</v>
      </c>
      <c r="T41" s="12">
        <f>_xlfn.XLOOKUP(TableDailySummary[[#This Row],[Fecha]],SummaryDaily[day],SummaryDaily[Rappi_average_order_value],0)</f>
        <v>0</v>
      </c>
      <c r="U41" s="12">
        <f>_xlfn.XLOOKUP(TableDailySummary[[#This Row],[Fecha]],SummaryDaily[day],SummaryDaily[Corporativo no tienda_net_sales],0)</f>
        <v>0</v>
      </c>
      <c r="V41" s="12">
        <f>_xlfn.XLOOKUP(TableDailySummary[[#This Row],[Fecha]],SummaryDaily[day],SummaryDaily[Corporativo no tienda_orders],0)</f>
        <v>0</v>
      </c>
      <c r="W41" s="12">
        <f>_xlfn.XLOOKUP(TableDailySummary[[#This Row],[Fecha]],SummaryDaily[day],SummaryDaily[Corporativo no tienda_average_order_value],0)</f>
        <v>0</v>
      </c>
      <c r="X41" s="12">
        <f>_xlfn.XLOOKUP(TableDailySummary[[#This Row],[Fecha]],SummaryDaily[day],SummaryDaily[GoogleAdsOperation.Cost],0)</f>
        <v>33685.54</v>
      </c>
      <c r="Y41" s="12">
        <f>SUMIFS(SalesByUTMDaily[google],SalesByUTMDaily[day],TableDailySummary[[#This Row],[Fecha]])</f>
        <v>0</v>
      </c>
      <c r="Z41" s="12">
        <f>_xlfn.XLOOKUP(TableDailySummary[[#This Row],[Fecha]],SummaryDaily[day],SummaryDaily[MetaAdsOperation.spend],0)</f>
        <v>28958</v>
      </c>
      <c r="AA41" s="12">
        <f>SUMIFS(SalesByUTMDaily[facebook],SalesByUTMDaily[day],TableDailySummary[[#This Row],[Fecha]])</f>
        <v>404500</v>
      </c>
      <c r="AB41" s="12">
        <f>TableDailySummary[[#This Row],[Inversión google ads]]+TableDailySummary[[#This Row],[Inversión meta ads]]</f>
        <v>62643.54</v>
      </c>
      <c r="AC41" s="12">
        <f>TableDailySummary[[#This Row],[Ventas google ads]]+TableDailySummary[[#This Row],[Ventas meta ads]]</f>
        <v>404500</v>
      </c>
      <c r="AD41" s="14">
        <f>IFERROR(TableDailySummary[[#This Row],[Ventas publicidad]]/TableDailySummary[[#This Row],[Inversión publicidad]],0)</f>
        <v>6.4571702046212582</v>
      </c>
      <c r="AE41" s="14">
        <f>IFERROR(TableDailySummary[[#This Row],[Ventas primer cliente]]/TableDailySummary[[#This Row],[Inversión publicidad]],0)</f>
        <v>69.382837559946324</v>
      </c>
      <c r="AF41" s="14"/>
      <c r="AG41" s="12"/>
      <c r="AM41" s="12">
        <f>_xlfn.XLOOKUP(TableDailySummary[[#This Row],[Fecha]],SummaryDaily[day],SummaryDaily[net_sales_with_cost_recorded],0)</f>
        <v>5169915.9800000004</v>
      </c>
      <c r="AN41" s="12">
        <f>_xlfn.XLOOKUP(TableDailySummary[[#This Row],[Fecha]],SummaryDaily[day],SummaryDaily[cost_of_goods_sold],0)</f>
        <v>2071273</v>
      </c>
      <c r="AO41" s="12">
        <f>_xlfn.XLOOKUP(TableDailySummary[[#This Row],[Fecha]],SummaryDaily[day],SummaryDaily[gross_profit],0)</f>
        <v>3098642.98</v>
      </c>
      <c r="AP41" s="18">
        <f>IFERROR(TableDailySummary[[#This Row],[Utilidad bruta]]/TableDailySummary[[#This Row],[Ventas netas con costo registrado]],0)</f>
        <v>0.59936041359031911</v>
      </c>
    </row>
    <row r="42" spans="2:42" x14ac:dyDescent="0.2">
      <c r="B42" s="15" cm="1">
        <f t="array" ref="B42">MIN(SummaryDaily[day]) + (ROW(TableDailySummary[#This Row]) - ROW(TableDailySummary[[#Headers],[Dia]]) - 1)</f>
        <v>45813</v>
      </c>
      <c r="C42" s="6">
        <f>TableDailySummary[[#This Row],[Dia]]</f>
        <v>45813</v>
      </c>
      <c r="D42" s="12">
        <f>_xlfn.XLOOKUP(TableDailySummary[[#This Row],[Fecha]],SummaryDaily[day],SummaryDaily[net_sales],0)</f>
        <v>2034453.78</v>
      </c>
      <c r="E42" s="12">
        <f>_xlfn.XLOOKUP(TableDailySummary[[#This Row],[Fecha]],SummaryDaily[day],SummaryDaily[orders],0)</f>
        <v>15</v>
      </c>
      <c r="F42" s="12">
        <f>_xlfn.XLOOKUP(TableDailySummary[[#This Row],[Fecha]],SummaryDaily[day],SummaryDaily[average_order_value],0)</f>
        <v>135630.25200000001</v>
      </c>
      <c r="G42" s="24">
        <f>_xlfn.XLOOKUP(TableDailySummary[[#This Row],[Fecha]],SummaryDaily[day],SummaryDaily[Total site_conversion_rate],0)</f>
        <v>2.6402640264026403E-2</v>
      </c>
      <c r="H42" s="12">
        <f>TableDailySummary[[#This Row],[Órden promedio totales]]*TableDailySummary[[#This Row],[CR totales]]</f>
        <v>3580.9967524752478</v>
      </c>
      <c r="I42" s="12">
        <f>_xlfn.XLOOKUP(TableDailySummary[[#This Row],[Fecha]],SummaryDaily[day],SummaryDaily[new_net_sales],0)</f>
        <v>488235.29</v>
      </c>
      <c r="J42" s="12">
        <f>_xlfn.XLOOKUP(TableDailySummary[[#This Row],[Fecha]],SummaryDaily[day],SummaryDaily[new_orders],0)</f>
        <v>6</v>
      </c>
      <c r="K42" s="12">
        <f>_xlfn.XLOOKUP(TableDailySummary[[#This Row],[Fecha]],SummaryDaily[day],SummaryDaily[new_average_order_value],0)</f>
        <v>81372.547999999995</v>
      </c>
      <c r="L42" s="12">
        <f>_xlfn.XLOOKUP(TableDailySummary[[#This Row],[Fecha]],SummaryDaily[day],SummaryDaily[Online Store_net_sales],0)</f>
        <v>2034453.78</v>
      </c>
      <c r="M42" s="12">
        <f>_xlfn.XLOOKUP(TableDailySummary[[#This Row],[Fecha]],SummaryDaily[day],SummaryDaily[Online Store_orders],0)</f>
        <v>15</v>
      </c>
      <c r="N42" s="12">
        <f>_xlfn.XLOOKUP(TableDailySummary[[#This Row],[Fecha]],SummaryDaily[day],SummaryDaily[Online Store_average_order_value],0)</f>
        <v>135630.25200000001</v>
      </c>
      <c r="O42" s="12">
        <f>_xlfn.XLOOKUP(TableDailySummary[[#This Row],[Fecha]],SummaryDaily[day],SummaryDaily[Tienda 81_net_sales],0)</f>
        <v>0</v>
      </c>
      <c r="P42" s="12">
        <f>_xlfn.XLOOKUP(TableDailySummary[[#This Row],[Fecha]],SummaryDaily[day],SummaryDaily[Tienda 81_orders],0)</f>
        <v>0</v>
      </c>
      <c r="Q42" s="12">
        <f>_xlfn.XLOOKUP(TableDailySummary[[#This Row],[Fecha]],SummaryDaily[day],SummaryDaily[Tienda 81_average_order_value],0)</f>
        <v>0</v>
      </c>
      <c r="R42" s="12">
        <f>_xlfn.XLOOKUP(TableDailySummary[[#This Row],[Fecha]],SummaryDaily[day],SummaryDaily[Rappi_net_sales],0)</f>
        <v>0</v>
      </c>
      <c r="S42" s="12">
        <f>_xlfn.XLOOKUP(TableDailySummary[[#This Row],[Fecha]],SummaryDaily[day],SummaryDaily[Rappi_orders],0)</f>
        <v>0</v>
      </c>
      <c r="T42" s="12">
        <f>_xlfn.XLOOKUP(TableDailySummary[[#This Row],[Fecha]],SummaryDaily[day],SummaryDaily[Rappi_average_order_value],0)</f>
        <v>0</v>
      </c>
      <c r="U42" s="12">
        <f>_xlfn.XLOOKUP(TableDailySummary[[#This Row],[Fecha]],SummaryDaily[day],SummaryDaily[Corporativo no tienda_net_sales],0)</f>
        <v>0</v>
      </c>
      <c r="V42" s="12">
        <f>_xlfn.XLOOKUP(TableDailySummary[[#This Row],[Fecha]],SummaryDaily[day],SummaryDaily[Corporativo no tienda_orders],0)</f>
        <v>0</v>
      </c>
      <c r="W42" s="12">
        <f>_xlfn.XLOOKUP(TableDailySummary[[#This Row],[Fecha]],SummaryDaily[day],SummaryDaily[Corporativo no tienda_average_order_value],0)</f>
        <v>0</v>
      </c>
      <c r="X42" s="12">
        <f>_xlfn.XLOOKUP(TableDailySummary[[#This Row],[Fecha]],SummaryDaily[day],SummaryDaily[GoogleAdsOperation.Cost],0)</f>
        <v>12846.66</v>
      </c>
      <c r="Y42" s="12">
        <f>SUMIFS(SalesByUTMDaily[google],SalesByUTMDaily[day],TableDailySummary[[#This Row],[Fecha]])</f>
        <v>0</v>
      </c>
      <c r="Z42" s="12">
        <f>_xlfn.XLOOKUP(TableDailySummary[[#This Row],[Fecha]],SummaryDaily[day],SummaryDaily[MetaAdsOperation.spend],0)</f>
        <v>27368</v>
      </c>
      <c r="AA42" s="12">
        <f>SUMIFS(SalesByUTMDaily[facebook],SalesByUTMDaily[day],TableDailySummary[[#This Row],[Fecha]])</f>
        <v>70000</v>
      </c>
      <c r="AB42" s="12">
        <f>TableDailySummary[[#This Row],[Inversión google ads]]+TableDailySummary[[#This Row],[Inversión meta ads]]</f>
        <v>40214.660000000003</v>
      </c>
      <c r="AC42" s="12">
        <f>TableDailySummary[[#This Row],[Ventas google ads]]+TableDailySummary[[#This Row],[Ventas meta ads]]</f>
        <v>70000</v>
      </c>
      <c r="AD42" s="14">
        <f>IFERROR(TableDailySummary[[#This Row],[Ventas publicidad]]/TableDailySummary[[#This Row],[Inversión publicidad]],0)</f>
        <v>1.7406587547924064</v>
      </c>
      <c r="AE42" s="14">
        <f>IFERROR(TableDailySummary[[#This Row],[Ventas primer cliente]]/TableDailySummary[[#This Row],[Inversión publicidad]],0)</f>
        <v>12.140729027672991</v>
      </c>
      <c r="AF42" s="14"/>
      <c r="AG42" s="12"/>
      <c r="AM42" s="12">
        <f>_xlfn.XLOOKUP(TableDailySummary[[#This Row],[Fecha]],SummaryDaily[day],SummaryDaily[net_sales_with_cost_recorded],0)</f>
        <v>2034453.78</v>
      </c>
      <c r="AN42" s="12">
        <f>_xlfn.XLOOKUP(TableDailySummary[[#This Row],[Fecha]],SummaryDaily[day],SummaryDaily[cost_of_goods_sold],0)</f>
        <v>581398</v>
      </c>
      <c r="AO42" s="12">
        <f>_xlfn.XLOOKUP(TableDailySummary[[#This Row],[Fecha]],SummaryDaily[day],SummaryDaily[gross_profit],0)</f>
        <v>1453055.78</v>
      </c>
      <c r="AP42" s="18">
        <f>IFERROR(TableDailySummary[[#This Row],[Utilidad bruta]]/TableDailySummary[[#This Row],[Ventas netas con costo registrado]],0)</f>
        <v>0.71422403117951394</v>
      </c>
    </row>
    <row r="43" spans="2:42" x14ac:dyDescent="0.2">
      <c r="B43" s="15" cm="1">
        <f t="array" ref="B43">MIN(SummaryDaily[day]) + (ROW(TableDailySummary[#This Row]) - ROW(TableDailySummary[[#Headers],[Dia]]) - 1)</f>
        <v>45814</v>
      </c>
      <c r="C43" s="6">
        <f>TableDailySummary[[#This Row],[Dia]]</f>
        <v>45814</v>
      </c>
      <c r="D43" s="12">
        <f>_xlfn.XLOOKUP(TableDailySummary[[#This Row],[Fecha]],SummaryDaily[day],SummaryDaily[net_sales],0)</f>
        <v>1605882.36</v>
      </c>
      <c r="E43" s="12">
        <f>_xlfn.XLOOKUP(TableDailySummary[[#This Row],[Fecha]],SummaryDaily[day],SummaryDaily[orders],0)</f>
        <v>12</v>
      </c>
      <c r="F43" s="12">
        <f>_xlfn.XLOOKUP(TableDailySummary[[#This Row],[Fecha]],SummaryDaily[day],SummaryDaily[average_order_value],0)</f>
        <v>133823.53</v>
      </c>
      <c r="G43" s="24">
        <f>_xlfn.XLOOKUP(TableDailySummary[[#This Row],[Fecha]],SummaryDaily[day],SummaryDaily[Total site_conversion_rate],0)</f>
        <v>1.5765765765765764E-2</v>
      </c>
      <c r="H43" s="12">
        <f>TableDailySummary[[#This Row],[Órden promedio totales]]*TableDailySummary[[#This Row],[CR totales]]</f>
        <v>2109.8304279279278</v>
      </c>
      <c r="I43" s="12">
        <f>_xlfn.XLOOKUP(TableDailySummary[[#This Row],[Fecha]],SummaryDaily[day],SummaryDaily[new_net_sales],0)</f>
        <v>1000000</v>
      </c>
      <c r="J43" s="12">
        <f>_xlfn.XLOOKUP(TableDailySummary[[#This Row],[Fecha]],SummaryDaily[day],SummaryDaily[new_orders],0)</f>
        <v>6</v>
      </c>
      <c r="K43" s="12">
        <f>_xlfn.XLOOKUP(TableDailySummary[[#This Row],[Fecha]],SummaryDaily[day],SummaryDaily[new_average_order_value],0)</f>
        <v>166666.666</v>
      </c>
      <c r="L43" s="12">
        <f>_xlfn.XLOOKUP(TableDailySummary[[#This Row],[Fecha]],SummaryDaily[day],SummaryDaily[Online Store_net_sales],0)</f>
        <v>1605882.36</v>
      </c>
      <c r="M43" s="12">
        <f>_xlfn.XLOOKUP(TableDailySummary[[#This Row],[Fecha]],SummaryDaily[day],SummaryDaily[Online Store_orders],0)</f>
        <v>12</v>
      </c>
      <c r="N43" s="12">
        <f>_xlfn.XLOOKUP(TableDailySummary[[#This Row],[Fecha]],SummaryDaily[day],SummaryDaily[Online Store_average_order_value],0)</f>
        <v>133823.53</v>
      </c>
      <c r="O43" s="12">
        <f>_xlfn.XLOOKUP(TableDailySummary[[#This Row],[Fecha]],SummaryDaily[day],SummaryDaily[Tienda 81_net_sales],0)</f>
        <v>0</v>
      </c>
      <c r="P43" s="12">
        <f>_xlfn.XLOOKUP(TableDailySummary[[#This Row],[Fecha]],SummaryDaily[day],SummaryDaily[Tienda 81_orders],0)</f>
        <v>0</v>
      </c>
      <c r="Q43" s="12">
        <f>_xlfn.XLOOKUP(TableDailySummary[[#This Row],[Fecha]],SummaryDaily[day],SummaryDaily[Tienda 81_average_order_value],0)</f>
        <v>0</v>
      </c>
      <c r="R43" s="12">
        <f>_xlfn.XLOOKUP(TableDailySummary[[#This Row],[Fecha]],SummaryDaily[day],SummaryDaily[Rappi_net_sales],0)</f>
        <v>0</v>
      </c>
      <c r="S43" s="12">
        <f>_xlfn.XLOOKUP(TableDailySummary[[#This Row],[Fecha]],SummaryDaily[day],SummaryDaily[Rappi_orders],0)</f>
        <v>0</v>
      </c>
      <c r="T43" s="12">
        <f>_xlfn.XLOOKUP(TableDailySummary[[#This Row],[Fecha]],SummaryDaily[day],SummaryDaily[Rappi_average_order_value],0)</f>
        <v>0</v>
      </c>
      <c r="U43" s="12">
        <f>_xlfn.XLOOKUP(TableDailySummary[[#This Row],[Fecha]],SummaryDaily[day],SummaryDaily[Corporativo no tienda_net_sales],0)</f>
        <v>0</v>
      </c>
      <c r="V43" s="12">
        <f>_xlfn.XLOOKUP(TableDailySummary[[#This Row],[Fecha]],SummaryDaily[day],SummaryDaily[Corporativo no tienda_orders],0)</f>
        <v>0</v>
      </c>
      <c r="W43" s="12">
        <f>_xlfn.XLOOKUP(TableDailySummary[[#This Row],[Fecha]],SummaryDaily[day],SummaryDaily[Corporativo no tienda_average_order_value],0)</f>
        <v>0</v>
      </c>
      <c r="X43" s="12">
        <f>_xlfn.XLOOKUP(TableDailySummary[[#This Row],[Fecha]],SummaryDaily[day],SummaryDaily[GoogleAdsOperation.Cost],0)</f>
        <v>32547.08</v>
      </c>
      <c r="Y43" s="12">
        <f>SUMIFS(SalesByUTMDaily[google],SalesByUTMDaily[day],TableDailySummary[[#This Row],[Fecha]])</f>
        <v>0</v>
      </c>
      <c r="Z43" s="12">
        <f>_xlfn.XLOOKUP(TableDailySummary[[#This Row],[Fecha]],SummaryDaily[day],SummaryDaily[MetaAdsOperation.spend],0)</f>
        <v>29861</v>
      </c>
      <c r="AA43" s="12">
        <f>SUMIFS(SalesByUTMDaily[facebook],SalesByUTMDaily[day],TableDailySummary[[#This Row],[Fecha]])</f>
        <v>79000</v>
      </c>
      <c r="AB43" s="12">
        <f>TableDailySummary[[#This Row],[Inversión google ads]]+TableDailySummary[[#This Row],[Inversión meta ads]]</f>
        <v>62408.08</v>
      </c>
      <c r="AC43" s="12">
        <f>TableDailySummary[[#This Row],[Ventas google ads]]+TableDailySummary[[#This Row],[Ventas meta ads]]</f>
        <v>79000</v>
      </c>
      <c r="AD43" s="14">
        <f>IFERROR(TableDailySummary[[#This Row],[Ventas publicidad]]/TableDailySummary[[#This Row],[Inversión publicidad]],0)</f>
        <v>1.2658617281608406</v>
      </c>
      <c r="AE43" s="14">
        <f>IFERROR(TableDailySummary[[#This Row],[Ventas primer cliente]]/TableDailySummary[[#This Row],[Inversión publicidad]],0)</f>
        <v>16.023566179251148</v>
      </c>
      <c r="AF43" s="14"/>
      <c r="AG43" s="12"/>
      <c r="AM43" s="12">
        <f>_xlfn.XLOOKUP(TableDailySummary[[#This Row],[Fecha]],SummaryDaily[day],SummaryDaily[net_sales_with_cost_recorded],0)</f>
        <v>1605882.36</v>
      </c>
      <c r="AN43" s="12">
        <f>_xlfn.XLOOKUP(TableDailySummary[[#This Row],[Fecha]],SummaryDaily[day],SummaryDaily[cost_of_goods_sold],0)</f>
        <v>459047</v>
      </c>
      <c r="AO43" s="12">
        <f>_xlfn.XLOOKUP(TableDailySummary[[#This Row],[Fecha]],SummaryDaily[day],SummaryDaily[gross_profit],0)</f>
        <v>1146835.3600000001</v>
      </c>
      <c r="AP43" s="18">
        <f>IFERROR(TableDailySummary[[#This Row],[Utilidad bruta]]/TableDailySummary[[#This Row],[Ventas netas con costo registrado]],0)</f>
        <v>0.71414655803305549</v>
      </c>
    </row>
    <row r="44" spans="2:42" x14ac:dyDescent="0.2">
      <c r="B44" s="15" cm="1">
        <f t="array" ref="B44">MIN(SummaryDaily[day]) + (ROW(TableDailySummary[#This Row]) - ROW(TableDailySummary[[#Headers],[Dia]]) - 1)</f>
        <v>45815</v>
      </c>
      <c r="C44" s="6">
        <f>TableDailySummary[[#This Row],[Dia]]</f>
        <v>45815</v>
      </c>
      <c r="D44" s="12">
        <f>_xlfn.XLOOKUP(TableDailySummary[[#This Row],[Fecha]],SummaryDaily[day],SummaryDaily[net_sales],0)</f>
        <v>1205042.04</v>
      </c>
      <c r="E44" s="12">
        <f>_xlfn.XLOOKUP(TableDailySummary[[#This Row],[Fecha]],SummaryDaily[day],SummaryDaily[orders],0)</f>
        <v>7</v>
      </c>
      <c r="F44" s="12">
        <f>_xlfn.XLOOKUP(TableDailySummary[[#This Row],[Fecha]],SummaryDaily[day],SummaryDaily[average_order_value],0)</f>
        <v>172148.86199999999</v>
      </c>
      <c r="G44" s="24">
        <f>_xlfn.XLOOKUP(TableDailySummary[[#This Row],[Fecha]],SummaryDaily[day],SummaryDaily[Total site_conversion_rate],0)</f>
        <v>3.4129692832764505E-3</v>
      </c>
      <c r="H44" s="12">
        <f>TableDailySummary[[#This Row],[Órden promedio totales]]*TableDailySummary[[#This Row],[CR totales]]</f>
        <v>587.53877815699661</v>
      </c>
      <c r="I44" s="12">
        <f>_xlfn.XLOOKUP(TableDailySummary[[#This Row],[Fecha]],SummaryDaily[day],SummaryDaily[new_net_sales],0)</f>
        <v>450420.18</v>
      </c>
      <c r="J44" s="12">
        <f>_xlfn.XLOOKUP(TableDailySummary[[#This Row],[Fecha]],SummaryDaily[day],SummaryDaily[new_orders],0)</f>
        <v>4</v>
      </c>
      <c r="K44" s="12">
        <f>_xlfn.XLOOKUP(TableDailySummary[[#This Row],[Fecha]],SummaryDaily[day],SummaryDaily[new_average_order_value],0)</f>
        <v>112605.045</v>
      </c>
      <c r="L44" s="12">
        <f>_xlfn.XLOOKUP(TableDailySummary[[#This Row],[Fecha]],SummaryDaily[day],SummaryDaily[Online Store_net_sales],0)</f>
        <v>1205042.04</v>
      </c>
      <c r="M44" s="12">
        <f>_xlfn.XLOOKUP(TableDailySummary[[#This Row],[Fecha]],SummaryDaily[day],SummaryDaily[Online Store_orders],0)</f>
        <v>7</v>
      </c>
      <c r="N44" s="12">
        <f>_xlfn.XLOOKUP(TableDailySummary[[#This Row],[Fecha]],SummaryDaily[day],SummaryDaily[Online Store_average_order_value],0)</f>
        <v>172148.86199999999</v>
      </c>
      <c r="O44" s="12">
        <f>_xlfn.XLOOKUP(TableDailySummary[[#This Row],[Fecha]],SummaryDaily[day],SummaryDaily[Tienda 81_net_sales],0)</f>
        <v>0</v>
      </c>
      <c r="P44" s="12">
        <f>_xlfn.XLOOKUP(TableDailySummary[[#This Row],[Fecha]],SummaryDaily[day],SummaryDaily[Tienda 81_orders],0)</f>
        <v>0</v>
      </c>
      <c r="Q44" s="12">
        <f>_xlfn.XLOOKUP(TableDailySummary[[#This Row],[Fecha]],SummaryDaily[day],SummaryDaily[Tienda 81_average_order_value],0)</f>
        <v>0</v>
      </c>
      <c r="R44" s="12">
        <f>_xlfn.XLOOKUP(TableDailySummary[[#This Row],[Fecha]],SummaryDaily[day],SummaryDaily[Rappi_net_sales],0)</f>
        <v>0</v>
      </c>
      <c r="S44" s="12">
        <f>_xlfn.XLOOKUP(TableDailySummary[[#This Row],[Fecha]],SummaryDaily[day],SummaryDaily[Rappi_orders],0)</f>
        <v>0</v>
      </c>
      <c r="T44" s="12">
        <f>_xlfn.XLOOKUP(TableDailySummary[[#This Row],[Fecha]],SummaryDaily[day],SummaryDaily[Rappi_average_order_value],0)</f>
        <v>0</v>
      </c>
      <c r="U44" s="12">
        <f>_xlfn.XLOOKUP(TableDailySummary[[#This Row],[Fecha]],SummaryDaily[day],SummaryDaily[Corporativo no tienda_net_sales],0)</f>
        <v>0</v>
      </c>
      <c r="V44" s="12">
        <f>_xlfn.XLOOKUP(TableDailySummary[[#This Row],[Fecha]],SummaryDaily[day],SummaryDaily[Corporativo no tienda_orders],0)</f>
        <v>0</v>
      </c>
      <c r="W44" s="12">
        <f>_xlfn.XLOOKUP(TableDailySummary[[#This Row],[Fecha]],SummaryDaily[day],SummaryDaily[Corporativo no tienda_average_order_value],0)</f>
        <v>0</v>
      </c>
      <c r="X44" s="12">
        <f>_xlfn.XLOOKUP(TableDailySummary[[#This Row],[Fecha]],SummaryDaily[day],SummaryDaily[GoogleAdsOperation.Cost],0)</f>
        <v>20959.8</v>
      </c>
      <c r="Y44" s="12">
        <f>SUMIFS(SalesByUTMDaily[google],SalesByUTMDaily[day],TableDailySummary[[#This Row],[Fecha]])</f>
        <v>0</v>
      </c>
      <c r="Z44" s="12">
        <f>_xlfn.XLOOKUP(TableDailySummary[[#This Row],[Fecha]],SummaryDaily[day],SummaryDaily[MetaAdsOperation.spend],0)</f>
        <v>30791</v>
      </c>
      <c r="AA44" s="12">
        <f>SUMIFS(SalesByUTMDaily[facebook],SalesByUTMDaily[day],TableDailySummary[[#This Row],[Fecha]])</f>
        <v>0</v>
      </c>
      <c r="AB44" s="12">
        <f>TableDailySummary[[#This Row],[Inversión google ads]]+TableDailySummary[[#This Row],[Inversión meta ads]]</f>
        <v>51750.8</v>
      </c>
      <c r="AC44" s="12">
        <f>TableDailySummary[[#This Row],[Ventas google ads]]+TableDailySummary[[#This Row],[Ventas meta ads]]</f>
        <v>0</v>
      </c>
      <c r="AD44" s="14">
        <f>IFERROR(TableDailySummary[[#This Row],[Ventas publicidad]]/TableDailySummary[[#This Row],[Inversión publicidad]],0)</f>
        <v>0</v>
      </c>
      <c r="AE44" s="14">
        <f>IFERROR(TableDailySummary[[#This Row],[Ventas primer cliente]]/TableDailySummary[[#This Row],[Inversión publicidad]],0)</f>
        <v>8.7036370452244203</v>
      </c>
      <c r="AF44" s="14"/>
      <c r="AG44" s="12"/>
      <c r="AM44" s="12">
        <f>_xlfn.XLOOKUP(TableDailySummary[[#This Row],[Fecha]],SummaryDaily[day],SummaryDaily[net_sales_with_cost_recorded],0)</f>
        <v>1053781.54</v>
      </c>
      <c r="AN44" s="12">
        <f>_xlfn.XLOOKUP(TableDailySummary[[#This Row],[Fecha]],SummaryDaily[day],SummaryDaily[cost_of_goods_sold],0)</f>
        <v>281437</v>
      </c>
      <c r="AO44" s="12">
        <f>_xlfn.XLOOKUP(TableDailySummary[[#This Row],[Fecha]],SummaryDaily[day],SummaryDaily[gross_profit],0)</f>
        <v>772344.54</v>
      </c>
      <c r="AP44" s="18">
        <f>IFERROR(TableDailySummary[[#This Row],[Utilidad bruta]]/TableDailySummary[[#This Row],[Ventas netas con costo registrado]],0)</f>
        <v>0.73292661778835111</v>
      </c>
    </row>
    <row r="45" spans="2:42" x14ac:dyDescent="0.2">
      <c r="B45" s="15" cm="1">
        <f t="array" ref="B45">MIN(SummaryDaily[day]) + (ROW(TableDailySummary[#This Row]) - ROW(TableDailySummary[[#Headers],[Dia]]) - 1)</f>
        <v>45816</v>
      </c>
      <c r="C45" s="6">
        <f>TableDailySummary[[#This Row],[Dia]]</f>
        <v>45816</v>
      </c>
      <c r="D45" s="12">
        <f>_xlfn.XLOOKUP(TableDailySummary[[#This Row],[Fecha]],SummaryDaily[day],SummaryDaily[net_sales],0)</f>
        <v>2772268.92</v>
      </c>
      <c r="E45" s="12">
        <f>_xlfn.XLOOKUP(TableDailySummary[[#This Row],[Fecha]],SummaryDaily[day],SummaryDaily[orders],0)</f>
        <v>25</v>
      </c>
      <c r="F45" s="12">
        <f>_xlfn.XLOOKUP(TableDailySummary[[#This Row],[Fecha]],SummaryDaily[day],SummaryDaily[average_order_value],0)</f>
        <v>110890.75599999999</v>
      </c>
      <c r="G45" s="24">
        <f>_xlfn.XLOOKUP(TableDailySummary[[#This Row],[Fecha]],SummaryDaily[day],SummaryDaily[Total site_conversion_rate],0)</f>
        <v>1.0067114093959731E-2</v>
      </c>
      <c r="H45" s="12">
        <f>TableDailySummary[[#This Row],[Órden promedio totales]]*TableDailySummary[[#This Row],[CR totales]]</f>
        <v>1116.3498926174495</v>
      </c>
      <c r="I45" s="12">
        <f>_xlfn.XLOOKUP(TableDailySummary[[#This Row],[Fecha]],SummaryDaily[day],SummaryDaily[new_net_sales],0)</f>
        <v>1736134.46</v>
      </c>
      <c r="J45" s="12">
        <f>_xlfn.XLOOKUP(TableDailySummary[[#This Row],[Fecha]],SummaryDaily[day],SummaryDaily[new_orders],0)</f>
        <v>11</v>
      </c>
      <c r="K45" s="12">
        <f>_xlfn.XLOOKUP(TableDailySummary[[#This Row],[Fecha]],SummaryDaily[day],SummaryDaily[new_average_order_value],0)</f>
        <v>157830.405</v>
      </c>
      <c r="L45" s="12">
        <f>_xlfn.XLOOKUP(TableDailySummary[[#This Row],[Fecha]],SummaryDaily[day],SummaryDaily[Online Store_net_sales],0)</f>
        <v>2772268.92</v>
      </c>
      <c r="M45" s="12">
        <f>_xlfn.XLOOKUP(TableDailySummary[[#This Row],[Fecha]],SummaryDaily[day],SummaryDaily[Online Store_orders],0)</f>
        <v>25</v>
      </c>
      <c r="N45" s="12">
        <f>_xlfn.XLOOKUP(TableDailySummary[[#This Row],[Fecha]],SummaryDaily[day],SummaryDaily[Online Store_average_order_value],0)</f>
        <v>110890.75599999999</v>
      </c>
      <c r="O45" s="12">
        <f>_xlfn.XLOOKUP(TableDailySummary[[#This Row],[Fecha]],SummaryDaily[day],SummaryDaily[Tienda 81_net_sales],0)</f>
        <v>0</v>
      </c>
      <c r="P45" s="12">
        <f>_xlfn.XLOOKUP(TableDailySummary[[#This Row],[Fecha]],SummaryDaily[day],SummaryDaily[Tienda 81_orders],0)</f>
        <v>0</v>
      </c>
      <c r="Q45" s="12">
        <f>_xlfn.XLOOKUP(TableDailySummary[[#This Row],[Fecha]],SummaryDaily[day],SummaryDaily[Tienda 81_average_order_value],0)</f>
        <v>0</v>
      </c>
      <c r="R45" s="12">
        <f>_xlfn.XLOOKUP(TableDailySummary[[#This Row],[Fecha]],SummaryDaily[day],SummaryDaily[Rappi_net_sales],0)</f>
        <v>0</v>
      </c>
      <c r="S45" s="12">
        <f>_xlfn.XLOOKUP(TableDailySummary[[#This Row],[Fecha]],SummaryDaily[day],SummaryDaily[Rappi_orders],0)</f>
        <v>0</v>
      </c>
      <c r="T45" s="12">
        <f>_xlfn.XLOOKUP(TableDailySummary[[#This Row],[Fecha]],SummaryDaily[day],SummaryDaily[Rappi_average_order_value],0)</f>
        <v>0</v>
      </c>
      <c r="U45" s="12">
        <f>_xlfn.XLOOKUP(TableDailySummary[[#This Row],[Fecha]],SummaryDaily[day],SummaryDaily[Corporativo no tienda_net_sales],0)</f>
        <v>0</v>
      </c>
      <c r="V45" s="12">
        <f>_xlfn.XLOOKUP(TableDailySummary[[#This Row],[Fecha]],SummaryDaily[day],SummaryDaily[Corporativo no tienda_orders],0)</f>
        <v>0</v>
      </c>
      <c r="W45" s="12">
        <f>_xlfn.XLOOKUP(TableDailySummary[[#This Row],[Fecha]],SummaryDaily[day],SummaryDaily[Corporativo no tienda_average_order_value],0)</f>
        <v>0</v>
      </c>
      <c r="X45" s="12">
        <f>_xlfn.XLOOKUP(TableDailySummary[[#This Row],[Fecha]],SummaryDaily[day],SummaryDaily[GoogleAdsOperation.Cost],0)</f>
        <v>16312.33</v>
      </c>
      <c r="Y45" s="12">
        <f>SUMIFS(SalesByUTMDaily[google],SalesByUTMDaily[day],TableDailySummary[[#This Row],[Fecha]])</f>
        <v>0</v>
      </c>
      <c r="Z45" s="12">
        <f>_xlfn.XLOOKUP(TableDailySummary[[#This Row],[Fecha]],SummaryDaily[day],SummaryDaily[MetaAdsOperation.spend],0)</f>
        <v>29947</v>
      </c>
      <c r="AA45" s="12">
        <f>SUMIFS(SalesByUTMDaily[facebook],SalesByUTMDaily[day],TableDailySummary[[#This Row],[Fecha]])</f>
        <v>0</v>
      </c>
      <c r="AB45" s="12">
        <f>TableDailySummary[[#This Row],[Inversión google ads]]+TableDailySummary[[#This Row],[Inversión meta ads]]</f>
        <v>46259.33</v>
      </c>
      <c r="AC45" s="12">
        <f>TableDailySummary[[#This Row],[Ventas google ads]]+TableDailySummary[[#This Row],[Ventas meta ads]]</f>
        <v>0</v>
      </c>
      <c r="AD45" s="14">
        <f>IFERROR(TableDailySummary[[#This Row],[Ventas publicidad]]/TableDailySummary[[#This Row],[Inversión publicidad]],0)</f>
        <v>0</v>
      </c>
      <c r="AE45" s="14">
        <f>IFERROR(TableDailySummary[[#This Row],[Ventas primer cliente]]/TableDailySummary[[#This Row],[Inversión publicidad]],0)</f>
        <v>37.530471366532979</v>
      </c>
      <c r="AF45" s="14"/>
      <c r="AG45" s="12"/>
      <c r="AM45" s="12">
        <f>_xlfn.XLOOKUP(TableDailySummary[[#This Row],[Fecha]],SummaryDaily[day],SummaryDaily[net_sales_with_cost_recorded],0)</f>
        <v>2713445.39</v>
      </c>
      <c r="AN45" s="12">
        <f>_xlfn.XLOOKUP(TableDailySummary[[#This Row],[Fecha]],SummaryDaily[day],SummaryDaily[cost_of_goods_sold],0)</f>
        <v>784552</v>
      </c>
      <c r="AO45" s="12">
        <f>_xlfn.XLOOKUP(TableDailySummary[[#This Row],[Fecha]],SummaryDaily[day],SummaryDaily[gross_profit],0)</f>
        <v>1928893.39</v>
      </c>
      <c r="AP45" s="18">
        <f>IFERROR(TableDailySummary[[#This Row],[Utilidad bruta]]/TableDailySummary[[#This Row],[Ventas netas con costo registrado]],0)</f>
        <v>0.71086501210182818</v>
      </c>
    </row>
    <row r="46" spans="2:42" x14ac:dyDescent="0.2">
      <c r="B46" s="15" cm="1">
        <f t="array" ref="B46">MIN(SummaryDaily[day]) + (ROW(TableDailySummary[#This Row]) - ROW(TableDailySummary[[#Headers],[Dia]]) - 1)</f>
        <v>45817</v>
      </c>
      <c r="C46" s="6">
        <f>TableDailySummary[[#This Row],[Dia]]</f>
        <v>45817</v>
      </c>
      <c r="D46" s="12">
        <f>_xlfn.XLOOKUP(TableDailySummary[[#This Row],[Fecha]],SummaryDaily[day],SummaryDaily[net_sales],0)</f>
        <v>1513446.21</v>
      </c>
      <c r="E46" s="12">
        <f>_xlfn.XLOOKUP(TableDailySummary[[#This Row],[Fecha]],SummaryDaily[day],SummaryDaily[orders],0)</f>
        <v>15</v>
      </c>
      <c r="F46" s="12">
        <f>_xlfn.XLOOKUP(TableDailySummary[[#This Row],[Fecha]],SummaryDaily[day],SummaryDaily[average_order_value],0)</f>
        <v>108739.55100000001</v>
      </c>
      <c r="G46" s="24">
        <f>_xlfn.XLOOKUP(TableDailySummary[[#This Row],[Fecha]],SummaryDaily[day],SummaryDaily[Total site_conversion_rate],0)</f>
        <v>2.1621621621621623E-2</v>
      </c>
      <c r="H46" s="12">
        <f>TableDailySummary[[#This Row],[Órden promedio totales]]*TableDailySummary[[#This Row],[CR totales]]</f>
        <v>2351.1254270270274</v>
      </c>
      <c r="I46" s="12">
        <f>_xlfn.XLOOKUP(TableDailySummary[[#This Row],[Fecha]],SummaryDaily[day],SummaryDaily[new_net_sales],0)</f>
        <v>229411.76</v>
      </c>
      <c r="J46" s="12">
        <f>_xlfn.XLOOKUP(TableDailySummary[[#This Row],[Fecha]],SummaryDaily[day],SummaryDaily[new_orders],0)</f>
        <v>5</v>
      </c>
      <c r="K46" s="12">
        <f>_xlfn.XLOOKUP(TableDailySummary[[#This Row],[Fecha]],SummaryDaily[day],SummaryDaily[new_average_order_value],0)</f>
        <v>69411.763999999996</v>
      </c>
      <c r="L46" s="12">
        <f>_xlfn.XLOOKUP(TableDailySummary[[#This Row],[Fecha]],SummaryDaily[day],SummaryDaily[Online Store_net_sales],0)</f>
        <v>1513446.21</v>
      </c>
      <c r="M46" s="12">
        <f>_xlfn.XLOOKUP(TableDailySummary[[#This Row],[Fecha]],SummaryDaily[day],SummaryDaily[Online Store_orders],0)</f>
        <v>15</v>
      </c>
      <c r="N46" s="12">
        <f>_xlfn.XLOOKUP(TableDailySummary[[#This Row],[Fecha]],SummaryDaily[day],SummaryDaily[Online Store_average_order_value],0)</f>
        <v>108739.55100000001</v>
      </c>
      <c r="O46" s="12">
        <f>_xlfn.XLOOKUP(TableDailySummary[[#This Row],[Fecha]],SummaryDaily[day],SummaryDaily[Tienda 81_net_sales],0)</f>
        <v>0</v>
      </c>
      <c r="P46" s="12">
        <f>_xlfn.XLOOKUP(TableDailySummary[[#This Row],[Fecha]],SummaryDaily[day],SummaryDaily[Tienda 81_orders],0)</f>
        <v>0</v>
      </c>
      <c r="Q46" s="12">
        <f>_xlfn.XLOOKUP(TableDailySummary[[#This Row],[Fecha]],SummaryDaily[day],SummaryDaily[Tienda 81_average_order_value],0)</f>
        <v>0</v>
      </c>
      <c r="R46" s="12">
        <f>_xlfn.XLOOKUP(TableDailySummary[[#This Row],[Fecha]],SummaryDaily[day],SummaryDaily[Rappi_net_sales],0)</f>
        <v>0</v>
      </c>
      <c r="S46" s="12">
        <f>_xlfn.XLOOKUP(TableDailySummary[[#This Row],[Fecha]],SummaryDaily[day],SummaryDaily[Rappi_orders],0)</f>
        <v>0</v>
      </c>
      <c r="T46" s="12">
        <f>_xlfn.XLOOKUP(TableDailySummary[[#This Row],[Fecha]],SummaryDaily[day],SummaryDaily[Rappi_average_order_value],0)</f>
        <v>0</v>
      </c>
      <c r="U46" s="12">
        <f>_xlfn.XLOOKUP(TableDailySummary[[#This Row],[Fecha]],SummaryDaily[day],SummaryDaily[Corporativo no tienda_net_sales],0)</f>
        <v>0</v>
      </c>
      <c r="V46" s="12">
        <f>_xlfn.XLOOKUP(TableDailySummary[[#This Row],[Fecha]],SummaryDaily[day],SummaryDaily[Corporativo no tienda_orders],0)</f>
        <v>0</v>
      </c>
      <c r="W46" s="12">
        <f>_xlfn.XLOOKUP(TableDailySummary[[#This Row],[Fecha]],SummaryDaily[day],SummaryDaily[Corporativo no tienda_average_order_value],0)</f>
        <v>0</v>
      </c>
      <c r="X46" s="12">
        <f>_xlfn.XLOOKUP(TableDailySummary[[#This Row],[Fecha]],SummaryDaily[day],SummaryDaily[GoogleAdsOperation.Cost],0)</f>
        <v>26169.61</v>
      </c>
      <c r="Y46" s="12">
        <f>SUMIFS(SalesByUTMDaily[google],SalesByUTMDaily[day],TableDailySummary[[#This Row],[Fecha]])</f>
        <v>0</v>
      </c>
      <c r="Z46" s="12">
        <f>_xlfn.XLOOKUP(TableDailySummary[[#This Row],[Fecha]],SummaryDaily[day],SummaryDaily[MetaAdsOperation.spend],0)</f>
        <v>29266</v>
      </c>
      <c r="AA46" s="12">
        <f>SUMIFS(SalesByUTMDaily[facebook],SalesByUTMDaily[day],TableDailySummary[[#This Row],[Fecha]])</f>
        <v>0</v>
      </c>
      <c r="AB46" s="12">
        <f>TableDailySummary[[#This Row],[Inversión google ads]]+TableDailySummary[[#This Row],[Inversión meta ads]]</f>
        <v>55435.61</v>
      </c>
      <c r="AC46" s="12">
        <f>TableDailySummary[[#This Row],[Ventas google ads]]+TableDailySummary[[#This Row],[Ventas meta ads]]</f>
        <v>0</v>
      </c>
      <c r="AD46" s="14">
        <f>IFERROR(TableDailySummary[[#This Row],[Ventas publicidad]]/TableDailySummary[[#This Row],[Inversión publicidad]],0)</f>
        <v>0</v>
      </c>
      <c r="AE46" s="14">
        <f>IFERROR(TableDailySummary[[#This Row],[Ventas primer cliente]]/TableDailySummary[[#This Row],[Inversión publicidad]],0)</f>
        <v>4.1383464527584346</v>
      </c>
      <c r="AF46" s="14"/>
      <c r="AG46" s="12"/>
      <c r="AM46" s="12">
        <f>_xlfn.XLOOKUP(TableDailySummary[[#This Row],[Fecha]],SummaryDaily[day],SummaryDaily[net_sales_with_cost_recorded],0)</f>
        <v>1513445.37</v>
      </c>
      <c r="AN46" s="12">
        <f>_xlfn.XLOOKUP(TableDailySummary[[#This Row],[Fecha]],SummaryDaily[day],SummaryDaily[cost_of_goods_sold],0)</f>
        <v>434875</v>
      </c>
      <c r="AO46" s="12">
        <f>_xlfn.XLOOKUP(TableDailySummary[[#This Row],[Fecha]],SummaryDaily[day],SummaryDaily[gross_profit],0)</f>
        <v>1078570.3700000001</v>
      </c>
      <c r="AP46" s="18">
        <f>IFERROR(TableDailySummary[[#This Row],[Utilidad bruta]]/TableDailySummary[[#This Row],[Ventas netas con costo registrado]],0)</f>
        <v>0.71265893793047852</v>
      </c>
    </row>
    <row r="47" spans="2:42" x14ac:dyDescent="0.2">
      <c r="B47" s="15" cm="1">
        <f t="array" ref="B47">MIN(SummaryDaily[day]) + (ROW(TableDailySummary[#This Row]) - ROW(TableDailySummary[[#Headers],[Dia]]) - 1)</f>
        <v>45818</v>
      </c>
      <c r="C47" s="6">
        <f>TableDailySummary[[#This Row],[Dia]]</f>
        <v>45818</v>
      </c>
      <c r="D47" s="12">
        <f>_xlfn.XLOOKUP(TableDailySummary[[#This Row],[Fecha]],SummaryDaily[day],SummaryDaily[net_sales],0)</f>
        <v>2650841.2000000002</v>
      </c>
      <c r="E47" s="12">
        <f>_xlfn.XLOOKUP(TableDailySummary[[#This Row],[Fecha]],SummaryDaily[day],SummaryDaily[orders],0)</f>
        <v>13</v>
      </c>
      <c r="F47" s="12">
        <f>_xlfn.XLOOKUP(TableDailySummary[[#This Row],[Fecha]],SummaryDaily[day],SummaryDaily[average_order_value],0)</f>
        <v>203910.861</v>
      </c>
      <c r="G47" s="24">
        <f>_xlfn.XLOOKUP(TableDailySummary[[#This Row],[Fecha]],SummaryDaily[day],SummaryDaily[Total site_conversion_rate],0)</f>
        <v>2.0833333333333332E-2</v>
      </c>
      <c r="H47" s="12">
        <f>TableDailySummary[[#This Row],[Órden promedio totales]]*TableDailySummary[[#This Row],[CR totales]]</f>
        <v>4248.1429374999998</v>
      </c>
      <c r="I47" s="12">
        <f>_xlfn.XLOOKUP(TableDailySummary[[#This Row],[Fecha]],SummaryDaily[day],SummaryDaily[new_net_sales],0)</f>
        <v>940756.32</v>
      </c>
      <c r="J47" s="12">
        <f>_xlfn.XLOOKUP(TableDailySummary[[#This Row],[Fecha]],SummaryDaily[day],SummaryDaily[new_orders],0)</f>
        <v>9</v>
      </c>
      <c r="K47" s="12">
        <f>_xlfn.XLOOKUP(TableDailySummary[[#This Row],[Fecha]],SummaryDaily[day],SummaryDaily[new_average_order_value],0)</f>
        <v>104528.48</v>
      </c>
      <c r="L47" s="12">
        <f>_xlfn.XLOOKUP(TableDailySummary[[#This Row],[Fecha]],SummaryDaily[day],SummaryDaily[Online Store_net_sales],0)</f>
        <v>2650841.2000000002</v>
      </c>
      <c r="M47" s="12">
        <f>_xlfn.XLOOKUP(TableDailySummary[[#This Row],[Fecha]],SummaryDaily[day],SummaryDaily[Online Store_orders],0)</f>
        <v>13</v>
      </c>
      <c r="N47" s="12">
        <f>_xlfn.XLOOKUP(TableDailySummary[[#This Row],[Fecha]],SummaryDaily[day],SummaryDaily[Online Store_average_order_value],0)</f>
        <v>203910.861</v>
      </c>
      <c r="O47" s="12">
        <f>_xlfn.XLOOKUP(TableDailySummary[[#This Row],[Fecha]],SummaryDaily[day],SummaryDaily[Tienda 81_net_sales],0)</f>
        <v>0</v>
      </c>
      <c r="P47" s="12">
        <f>_xlfn.XLOOKUP(TableDailySummary[[#This Row],[Fecha]],SummaryDaily[day],SummaryDaily[Tienda 81_orders],0)</f>
        <v>0</v>
      </c>
      <c r="Q47" s="12">
        <f>_xlfn.XLOOKUP(TableDailySummary[[#This Row],[Fecha]],SummaryDaily[day],SummaryDaily[Tienda 81_average_order_value],0)</f>
        <v>0</v>
      </c>
      <c r="R47" s="12">
        <f>_xlfn.XLOOKUP(TableDailySummary[[#This Row],[Fecha]],SummaryDaily[day],SummaryDaily[Rappi_net_sales],0)</f>
        <v>0</v>
      </c>
      <c r="S47" s="12">
        <f>_xlfn.XLOOKUP(TableDailySummary[[#This Row],[Fecha]],SummaryDaily[day],SummaryDaily[Rappi_orders],0)</f>
        <v>0</v>
      </c>
      <c r="T47" s="12">
        <f>_xlfn.XLOOKUP(TableDailySummary[[#This Row],[Fecha]],SummaryDaily[day],SummaryDaily[Rappi_average_order_value],0)</f>
        <v>0</v>
      </c>
      <c r="U47" s="12">
        <f>_xlfn.XLOOKUP(TableDailySummary[[#This Row],[Fecha]],SummaryDaily[day],SummaryDaily[Corporativo no tienda_net_sales],0)</f>
        <v>0</v>
      </c>
      <c r="V47" s="12">
        <f>_xlfn.XLOOKUP(TableDailySummary[[#This Row],[Fecha]],SummaryDaily[day],SummaryDaily[Corporativo no tienda_orders],0)</f>
        <v>0</v>
      </c>
      <c r="W47" s="12">
        <f>_xlfn.XLOOKUP(TableDailySummary[[#This Row],[Fecha]],SummaryDaily[day],SummaryDaily[Corporativo no tienda_average_order_value],0)</f>
        <v>0</v>
      </c>
      <c r="X47" s="12">
        <f>_xlfn.XLOOKUP(TableDailySummary[[#This Row],[Fecha]],SummaryDaily[day],SummaryDaily[GoogleAdsOperation.Cost],0)</f>
        <v>16588.02</v>
      </c>
      <c r="Y47" s="12">
        <f>SUMIFS(SalesByUTMDaily[google],SalesByUTMDaily[day],TableDailySummary[[#This Row],[Fecha]])</f>
        <v>0</v>
      </c>
      <c r="Z47" s="12">
        <f>_xlfn.XLOOKUP(TableDailySummary[[#This Row],[Fecha]],SummaryDaily[day],SummaryDaily[MetaAdsOperation.spend],0)</f>
        <v>34882</v>
      </c>
      <c r="AA47" s="12">
        <f>SUMIFS(SalesByUTMDaily[facebook],SalesByUTMDaily[day],TableDailySummary[[#This Row],[Fecha]])</f>
        <v>124000</v>
      </c>
      <c r="AB47" s="12">
        <f>TableDailySummary[[#This Row],[Inversión google ads]]+TableDailySummary[[#This Row],[Inversión meta ads]]</f>
        <v>51470.020000000004</v>
      </c>
      <c r="AC47" s="12">
        <f>TableDailySummary[[#This Row],[Ventas google ads]]+TableDailySummary[[#This Row],[Ventas meta ads]]</f>
        <v>124000</v>
      </c>
      <c r="AD47" s="14">
        <f>IFERROR(TableDailySummary[[#This Row],[Ventas publicidad]]/TableDailySummary[[#This Row],[Inversión publicidad]],0)</f>
        <v>2.4091694543736333</v>
      </c>
      <c r="AE47" s="14">
        <f>IFERROR(TableDailySummary[[#This Row],[Ventas primer cliente]]/TableDailySummary[[#This Row],[Inversión publicidad]],0)</f>
        <v>18.277753146394733</v>
      </c>
      <c r="AF47" s="14"/>
      <c r="AG47" s="12"/>
      <c r="AM47" s="12">
        <f>_xlfn.XLOOKUP(TableDailySummary[[#This Row],[Fecha]],SummaryDaily[day],SummaryDaily[net_sales_with_cost_recorded],0)</f>
        <v>2650840.36</v>
      </c>
      <c r="AN47" s="12">
        <f>_xlfn.XLOOKUP(TableDailySummary[[#This Row],[Fecha]],SummaryDaily[day],SummaryDaily[cost_of_goods_sold],0)</f>
        <v>946300</v>
      </c>
      <c r="AO47" s="12">
        <f>_xlfn.XLOOKUP(TableDailySummary[[#This Row],[Fecha]],SummaryDaily[day],SummaryDaily[gross_profit],0)</f>
        <v>1704540.36</v>
      </c>
      <c r="AP47" s="18">
        <f>IFERROR(TableDailySummary[[#This Row],[Utilidad bruta]]/TableDailySummary[[#This Row],[Ventas netas con costo registrado]],0)</f>
        <v>0.643018865157161</v>
      </c>
    </row>
    <row r="48" spans="2:42" x14ac:dyDescent="0.2">
      <c r="B48" s="15" cm="1">
        <f t="array" ref="B48">MIN(SummaryDaily[day]) + (ROW(TableDailySummary[#This Row]) - ROW(TableDailySummary[[#Headers],[Dia]]) - 1)</f>
        <v>45819</v>
      </c>
      <c r="C48" s="6">
        <f>TableDailySummary[[#This Row],[Dia]]</f>
        <v>45819</v>
      </c>
      <c r="D48" s="12">
        <f>_xlfn.XLOOKUP(TableDailySummary[[#This Row],[Fecha]],SummaryDaily[day],SummaryDaily[net_sales],0)</f>
        <v>1402521.01</v>
      </c>
      <c r="E48" s="12">
        <f>_xlfn.XLOOKUP(TableDailySummary[[#This Row],[Fecha]],SummaryDaily[day],SummaryDaily[orders],0)</f>
        <v>6</v>
      </c>
      <c r="F48" s="12">
        <f>_xlfn.XLOOKUP(TableDailySummary[[#This Row],[Fecha]],SummaryDaily[day],SummaryDaily[average_order_value],0)</f>
        <v>233753.50099999999</v>
      </c>
      <c r="G48" s="24">
        <f>_xlfn.XLOOKUP(TableDailySummary[[#This Row],[Fecha]],SummaryDaily[day],SummaryDaily[Total site_conversion_rate],0)</f>
        <v>3.9603960396039604E-3</v>
      </c>
      <c r="H48" s="12">
        <f>TableDailySummary[[#This Row],[Órden promedio totales]]*TableDailySummary[[#This Row],[CR totales]]</f>
        <v>925.75643960396042</v>
      </c>
      <c r="I48" s="12">
        <f>_xlfn.XLOOKUP(TableDailySummary[[#This Row],[Fecha]],SummaryDaily[day],SummaryDaily[new_net_sales],0)</f>
        <v>395798.32</v>
      </c>
      <c r="J48" s="12">
        <f>_xlfn.XLOOKUP(TableDailySummary[[#This Row],[Fecha]],SummaryDaily[day],SummaryDaily[new_orders],0)</f>
        <v>3</v>
      </c>
      <c r="K48" s="12">
        <f>_xlfn.XLOOKUP(TableDailySummary[[#This Row],[Fecha]],SummaryDaily[day],SummaryDaily[new_average_order_value],0)</f>
        <v>131932.77299999999</v>
      </c>
      <c r="L48" s="12">
        <f>_xlfn.XLOOKUP(TableDailySummary[[#This Row],[Fecha]],SummaryDaily[day],SummaryDaily[Online Store_net_sales],0)</f>
        <v>1402521.01</v>
      </c>
      <c r="M48" s="12">
        <f>_xlfn.XLOOKUP(TableDailySummary[[#This Row],[Fecha]],SummaryDaily[day],SummaryDaily[Online Store_orders],0)</f>
        <v>6</v>
      </c>
      <c r="N48" s="12">
        <f>_xlfn.XLOOKUP(TableDailySummary[[#This Row],[Fecha]],SummaryDaily[day],SummaryDaily[Online Store_average_order_value],0)</f>
        <v>233753.50099999999</v>
      </c>
      <c r="O48" s="12">
        <f>_xlfn.XLOOKUP(TableDailySummary[[#This Row],[Fecha]],SummaryDaily[day],SummaryDaily[Tienda 81_net_sales],0)</f>
        <v>0</v>
      </c>
      <c r="P48" s="12">
        <f>_xlfn.XLOOKUP(TableDailySummary[[#This Row],[Fecha]],SummaryDaily[day],SummaryDaily[Tienda 81_orders],0)</f>
        <v>0</v>
      </c>
      <c r="Q48" s="12">
        <f>_xlfn.XLOOKUP(TableDailySummary[[#This Row],[Fecha]],SummaryDaily[day],SummaryDaily[Tienda 81_average_order_value],0)</f>
        <v>0</v>
      </c>
      <c r="R48" s="12">
        <f>_xlfn.XLOOKUP(TableDailySummary[[#This Row],[Fecha]],SummaryDaily[day],SummaryDaily[Rappi_net_sales],0)</f>
        <v>0</v>
      </c>
      <c r="S48" s="12">
        <f>_xlfn.XLOOKUP(TableDailySummary[[#This Row],[Fecha]],SummaryDaily[day],SummaryDaily[Rappi_orders],0)</f>
        <v>0</v>
      </c>
      <c r="T48" s="12">
        <f>_xlfn.XLOOKUP(TableDailySummary[[#This Row],[Fecha]],SummaryDaily[day],SummaryDaily[Rappi_average_order_value],0)</f>
        <v>0</v>
      </c>
      <c r="U48" s="12">
        <f>_xlfn.XLOOKUP(TableDailySummary[[#This Row],[Fecha]],SummaryDaily[day],SummaryDaily[Corporativo no tienda_net_sales],0)</f>
        <v>0</v>
      </c>
      <c r="V48" s="12">
        <f>_xlfn.XLOOKUP(TableDailySummary[[#This Row],[Fecha]],SummaryDaily[day],SummaryDaily[Corporativo no tienda_orders],0)</f>
        <v>0</v>
      </c>
      <c r="W48" s="12">
        <f>_xlfn.XLOOKUP(TableDailySummary[[#This Row],[Fecha]],SummaryDaily[day],SummaryDaily[Corporativo no tienda_average_order_value],0)</f>
        <v>0</v>
      </c>
      <c r="X48" s="12">
        <f>_xlfn.XLOOKUP(TableDailySummary[[#This Row],[Fecha]],SummaryDaily[day],SummaryDaily[GoogleAdsOperation.Cost],0)</f>
        <v>36186.35</v>
      </c>
      <c r="Y48" s="12">
        <f>SUMIFS(SalesByUTMDaily[google],SalesByUTMDaily[day],TableDailySummary[[#This Row],[Fecha]])</f>
        <v>0</v>
      </c>
      <c r="Z48" s="12">
        <f>_xlfn.XLOOKUP(TableDailySummary[[#This Row],[Fecha]],SummaryDaily[day],SummaryDaily[MetaAdsOperation.spend],0)</f>
        <v>26899</v>
      </c>
      <c r="AA48" s="12">
        <f>SUMIFS(SalesByUTMDaily[facebook],SalesByUTMDaily[day],TableDailySummary[[#This Row],[Fecha]])</f>
        <v>0</v>
      </c>
      <c r="AB48" s="12">
        <f>TableDailySummary[[#This Row],[Inversión google ads]]+TableDailySummary[[#This Row],[Inversión meta ads]]</f>
        <v>63085.35</v>
      </c>
      <c r="AC48" s="12">
        <f>TableDailySummary[[#This Row],[Ventas google ads]]+TableDailySummary[[#This Row],[Ventas meta ads]]</f>
        <v>0</v>
      </c>
      <c r="AD48" s="14">
        <f>IFERROR(TableDailySummary[[#This Row],[Ventas publicidad]]/TableDailySummary[[#This Row],[Inversión publicidad]],0)</f>
        <v>0</v>
      </c>
      <c r="AE48" s="14">
        <f>IFERROR(TableDailySummary[[#This Row],[Ventas primer cliente]]/TableDailySummary[[#This Row],[Inversión publicidad]],0)</f>
        <v>6.2740132217701889</v>
      </c>
      <c r="AF48" s="14"/>
      <c r="AG48" s="12"/>
      <c r="AM48" s="12">
        <f>_xlfn.XLOOKUP(TableDailySummary[[#This Row],[Fecha]],SummaryDaily[day],SummaryDaily[net_sales_with_cost_recorded],0)</f>
        <v>982352.94</v>
      </c>
      <c r="AN48" s="12">
        <f>_xlfn.XLOOKUP(TableDailySummary[[#This Row],[Fecha]],SummaryDaily[day],SummaryDaily[cost_of_goods_sold],0)</f>
        <v>238451</v>
      </c>
      <c r="AO48" s="12">
        <f>_xlfn.XLOOKUP(TableDailySummary[[#This Row],[Fecha]],SummaryDaily[day],SummaryDaily[gross_profit],0)</f>
        <v>743901.94</v>
      </c>
      <c r="AP48" s="18">
        <f>IFERROR(TableDailySummary[[#This Row],[Utilidad bruta]]/TableDailySummary[[#This Row],[Ventas netas con costo registrado]],0)</f>
        <v>0.75726544881109636</v>
      </c>
    </row>
    <row r="49" spans="2:42" x14ac:dyDescent="0.2">
      <c r="B49" s="15" cm="1">
        <f t="array" ref="B49">MIN(SummaryDaily[day]) + (ROW(TableDailySummary[#This Row]) - ROW(TableDailySummary[[#Headers],[Dia]]) - 1)</f>
        <v>45820</v>
      </c>
      <c r="C49" s="6">
        <f>TableDailySummary[[#This Row],[Dia]]</f>
        <v>45820</v>
      </c>
      <c r="D49" s="12">
        <f>_xlfn.XLOOKUP(TableDailySummary[[#This Row],[Fecha]],SummaryDaily[day],SummaryDaily[net_sales],0)</f>
        <v>1663025.21</v>
      </c>
      <c r="E49" s="12">
        <f>_xlfn.XLOOKUP(TableDailySummary[[#This Row],[Fecha]],SummaryDaily[day],SummaryDaily[orders],0)</f>
        <v>8</v>
      </c>
      <c r="F49" s="12">
        <f>_xlfn.XLOOKUP(TableDailySummary[[#This Row],[Fecha]],SummaryDaily[day],SummaryDaily[average_order_value],0)</f>
        <v>207878.15100000001</v>
      </c>
      <c r="G49" s="24">
        <f>_xlfn.XLOOKUP(TableDailySummary[[#This Row],[Fecha]],SummaryDaily[day],SummaryDaily[Total site_conversion_rate],0)</f>
        <v>1.06951871657754E-2</v>
      </c>
      <c r="H49" s="12">
        <f>TableDailySummary[[#This Row],[Órden promedio totales]]*TableDailySummary[[#This Row],[CR totales]]</f>
        <v>2223.2957326203209</v>
      </c>
      <c r="I49" s="12">
        <f>_xlfn.XLOOKUP(TableDailySummary[[#This Row],[Fecha]],SummaryDaily[day],SummaryDaily[new_net_sales],0)</f>
        <v>626050.42000000004</v>
      </c>
      <c r="J49" s="12">
        <f>_xlfn.XLOOKUP(TableDailySummary[[#This Row],[Fecha]],SummaryDaily[day],SummaryDaily[new_orders],0)</f>
        <v>3</v>
      </c>
      <c r="K49" s="12">
        <f>_xlfn.XLOOKUP(TableDailySummary[[#This Row],[Fecha]],SummaryDaily[day],SummaryDaily[new_average_order_value],0)</f>
        <v>208683.473</v>
      </c>
      <c r="L49" s="12">
        <f>_xlfn.XLOOKUP(TableDailySummary[[#This Row],[Fecha]],SummaryDaily[day],SummaryDaily[Online Store_net_sales],0)</f>
        <v>1663025.21</v>
      </c>
      <c r="M49" s="12">
        <f>_xlfn.XLOOKUP(TableDailySummary[[#This Row],[Fecha]],SummaryDaily[day],SummaryDaily[Online Store_orders],0)</f>
        <v>8</v>
      </c>
      <c r="N49" s="12">
        <f>_xlfn.XLOOKUP(TableDailySummary[[#This Row],[Fecha]],SummaryDaily[day],SummaryDaily[Online Store_average_order_value],0)</f>
        <v>207878.15100000001</v>
      </c>
      <c r="O49" s="12">
        <f>_xlfn.XLOOKUP(TableDailySummary[[#This Row],[Fecha]],SummaryDaily[day],SummaryDaily[Tienda 81_net_sales],0)</f>
        <v>0</v>
      </c>
      <c r="P49" s="12">
        <f>_xlfn.XLOOKUP(TableDailySummary[[#This Row],[Fecha]],SummaryDaily[day],SummaryDaily[Tienda 81_orders],0)</f>
        <v>0</v>
      </c>
      <c r="Q49" s="12">
        <f>_xlfn.XLOOKUP(TableDailySummary[[#This Row],[Fecha]],SummaryDaily[day],SummaryDaily[Tienda 81_average_order_value],0)</f>
        <v>0</v>
      </c>
      <c r="R49" s="12">
        <f>_xlfn.XLOOKUP(TableDailySummary[[#This Row],[Fecha]],SummaryDaily[day],SummaryDaily[Rappi_net_sales],0)</f>
        <v>0</v>
      </c>
      <c r="S49" s="12">
        <f>_xlfn.XLOOKUP(TableDailySummary[[#This Row],[Fecha]],SummaryDaily[day],SummaryDaily[Rappi_orders],0)</f>
        <v>0</v>
      </c>
      <c r="T49" s="12">
        <f>_xlfn.XLOOKUP(TableDailySummary[[#This Row],[Fecha]],SummaryDaily[day],SummaryDaily[Rappi_average_order_value],0)</f>
        <v>0</v>
      </c>
      <c r="U49" s="12">
        <f>_xlfn.XLOOKUP(TableDailySummary[[#This Row],[Fecha]],SummaryDaily[day],SummaryDaily[Corporativo no tienda_net_sales],0)</f>
        <v>0</v>
      </c>
      <c r="V49" s="12">
        <f>_xlfn.XLOOKUP(TableDailySummary[[#This Row],[Fecha]],SummaryDaily[day],SummaryDaily[Corporativo no tienda_orders],0)</f>
        <v>0</v>
      </c>
      <c r="W49" s="12">
        <f>_xlfn.XLOOKUP(TableDailySummary[[#This Row],[Fecha]],SummaryDaily[day],SummaryDaily[Corporativo no tienda_average_order_value],0)</f>
        <v>0</v>
      </c>
      <c r="X49" s="12">
        <f>_xlfn.XLOOKUP(TableDailySummary[[#This Row],[Fecha]],SummaryDaily[day],SummaryDaily[GoogleAdsOperation.Cost],0)</f>
        <v>11641.24</v>
      </c>
      <c r="Y49" s="12">
        <f>SUMIFS(SalesByUTMDaily[google],SalesByUTMDaily[day],TableDailySummary[[#This Row],[Fecha]])</f>
        <v>0</v>
      </c>
      <c r="Z49" s="12">
        <f>_xlfn.XLOOKUP(TableDailySummary[[#This Row],[Fecha]],SummaryDaily[day],SummaryDaily[MetaAdsOperation.spend],0)</f>
        <v>26788</v>
      </c>
      <c r="AA49" s="12">
        <f>SUMIFS(SalesByUTMDaily[facebook],SalesByUTMDaily[day],TableDailySummary[[#This Row],[Fecha]])</f>
        <v>0</v>
      </c>
      <c r="AB49" s="12">
        <f>TableDailySummary[[#This Row],[Inversión google ads]]+TableDailySummary[[#This Row],[Inversión meta ads]]</f>
        <v>38429.24</v>
      </c>
      <c r="AC49" s="12">
        <f>TableDailySummary[[#This Row],[Ventas google ads]]+TableDailySummary[[#This Row],[Ventas meta ads]]</f>
        <v>0</v>
      </c>
      <c r="AD49" s="14">
        <f>IFERROR(TableDailySummary[[#This Row],[Ventas publicidad]]/TableDailySummary[[#This Row],[Inversión publicidad]],0)</f>
        <v>0</v>
      </c>
      <c r="AE49" s="14">
        <f>IFERROR(TableDailySummary[[#This Row],[Ventas primer cliente]]/TableDailySummary[[#This Row],[Inversión publicidad]],0)</f>
        <v>16.290991442974153</v>
      </c>
      <c r="AF49" s="14"/>
      <c r="AG49" s="12"/>
      <c r="AM49" s="12">
        <f>_xlfn.XLOOKUP(TableDailySummary[[#This Row],[Fecha]],SummaryDaily[day],SummaryDaily[net_sales_with_cost_recorded],0)</f>
        <v>1663025.21</v>
      </c>
      <c r="AN49" s="12">
        <f>_xlfn.XLOOKUP(TableDailySummary[[#This Row],[Fecha]],SummaryDaily[day],SummaryDaily[cost_of_goods_sold],0)</f>
        <v>464016</v>
      </c>
      <c r="AO49" s="12">
        <f>_xlfn.XLOOKUP(TableDailySummary[[#This Row],[Fecha]],SummaryDaily[day],SummaryDaily[gross_profit],0)</f>
        <v>1199009.21</v>
      </c>
      <c r="AP49" s="18">
        <f>IFERROR(TableDailySummary[[#This Row],[Utilidad bruta]]/TableDailySummary[[#This Row],[Ventas netas con costo registrado]],0)</f>
        <v>0.72098077815669437</v>
      </c>
    </row>
    <row r="50" spans="2:42" x14ac:dyDescent="0.2">
      <c r="B50" s="15" cm="1">
        <f t="array" ref="B50">MIN(SummaryDaily[day]) + (ROW(TableDailySummary[#This Row]) - ROW(TableDailySummary[[#Headers],[Dia]]) - 1)</f>
        <v>45821</v>
      </c>
      <c r="C50" s="6">
        <f>TableDailySummary[[#This Row],[Dia]]</f>
        <v>45821</v>
      </c>
      <c r="D50" s="12">
        <f>_xlfn.XLOOKUP(TableDailySummary[[#This Row],[Fecha]],SummaryDaily[day],SummaryDaily[net_sales],0)</f>
        <v>673949.58</v>
      </c>
      <c r="E50" s="12">
        <f>_xlfn.XLOOKUP(TableDailySummary[[#This Row],[Fecha]],SummaryDaily[day],SummaryDaily[orders],0)</f>
        <v>7</v>
      </c>
      <c r="F50" s="12">
        <f>_xlfn.XLOOKUP(TableDailySummary[[#This Row],[Fecha]],SummaryDaily[day],SummaryDaily[average_order_value],0)</f>
        <v>96278.510999999999</v>
      </c>
      <c r="G50" s="24">
        <f>_xlfn.XLOOKUP(TableDailySummary[[#This Row],[Fecha]],SummaryDaily[day],SummaryDaily[Total site_conversion_rate],0)</f>
        <v>6.3559322033898309E-3</v>
      </c>
      <c r="H50" s="12">
        <f>TableDailySummary[[#This Row],[Órden promedio totales]]*TableDailySummary[[#This Row],[CR totales]]</f>
        <v>611.93968855932212</v>
      </c>
      <c r="I50" s="12">
        <f>_xlfn.XLOOKUP(TableDailySummary[[#This Row],[Fecha]],SummaryDaily[day],SummaryDaily[new_net_sales],0)</f>
        <v>168907.56</v>
      </c>
      <c r="J50" s="12">
        <f>_xlfn.XLOOKUP(TableDailySummary[[#This Row],[Fecha]],SummaryDaily[day],SummaryDaily[new_orders],0)</f>
        <v>3</v>
      </c>
      <c r="K50" s="12">
        <f>_xlfn.XLOOKUP(TableDailySummary[[#This Row],[Fecha]],SummaryDaily[day],SummaryDaily[new_average_order_value],0)</f>
        <v>56302.52</v>
      </c>
      <c r="L50" s="12">
        <f>_xlfn.XLOOKUP(TableDailySummary[[#This Row],[Fecha]],SummaryDaily[day],SummaryDaily[Online Store_net_sales],0)</f>
        <v>673949.58</v>
      </c>
      <c r="M50" s="12">
        <f>_xlfn.XLOOKUP(TableDailySummary[[#This Row],[Fecha]],SummaryDaily[day],SummaryDaily[Online Store_orders],0)</f>
        <v>7</v>
      </c>
      <c r="N50" s="12">
        <f>_xlfn.XLOOKUP(TableDailySummary[[#This Row],[Fecha]],SummaryDaily[day],SummaryDaily[Online Store_average_order_value],0)</f>
        <v>96278.510999999999</v>
      </c>
      <c r="O50" s="12">
        <f>_xlfn.XLOOKUP(TableDailySummary[[#This Row],[Fecha]],SummaryDaily[day],SummaryDaily[Tienda 81_net_sales],0)</f>
        <v>0</v>
      </c>
      <c r="P50" s="12">
        <f>_xlfn.XLOOKUP(TableDailySummary[[#This Row],[Fecha]],SummaryDaily[day],SummaryDaily[Tienda 81_orders],0)</f>
        <v>0</v>
      </c>
      <c r="Q50" s="12">
        <f>_xlfn.XLOOKUP(TableDailySummary[[#This Row],[Fecha]],SummaryDaily[day],SummaryDaily[Tienda 81_average_order_value],0)</f>
        <v>0</v>
      </c>
      <c r="R50" s="12">
        <f>_xlfn.XLOOKUP(TableDailySummary[[#This Row],[Fecha]],SummaryDaily[day],SummaryDaily[Rappi_net_sales],0)</f>
        <v>0</v>
      </c>
      <c r="S50" s="12">
        <f>_xlfn.XLOOKUP(TableDailySummary[[#This Row],[Fecha]],SummaryDaily[day],SummaryDaily[Rappi_orders],0)</f>
        <v>0</v>
      </c>
      <c r="T50" s="12">
        <f>_xlfn.XLOOKUP(TableDailySummary[[#This Row],[Fecha]],SummaryDaily[day],SummaryDaily[Rappi_average_order_value],0)</f>
        <v>0</v>
      </c>
      <c r="U50" s="12">
        <f>_xlfn.XLOOKUP(TableDailySummary[[#This Row],[Fecha]],SummaryDaily[day],SummaryDaily[Corporativo no tienda_net_sales],0)</f>
        <v>0</v>
      </c>
      <c r="V50" s="12">
        <f>_xlfn.XLOOKUP(TableDailySummary[[#This Row],[Fecha]],SummaryDaily[day],SummaryDaily[Corporativo no tienda_orders],0)</f>
        <v>0</v>
      </c>
      <c r="W50" s="12">
        <f>_xlfn.XLOOKUP(TableDailySummary[[#This Row],[Fecha]],SummaryDaily[day],SummaryDaily[Corporativo no tienda_average_order_value],0)</f>
        <v>0</v>
      </c>
      <c r="X50" s="12">
        <f>_xlfn.XLOOKUP(TableDailySummary[[#This Row],[Fecha]],SummaryDaily[day],SummaryDaily[GoogleAdsOperation.Cost],0)</f>
        <v>36699.949999999997</v>
      </c>
      <c r="Y50" s="12">
        <f>SUMIFS(SalesByUTMDaily[google],SalesByUTMDaily[day],TableDailySummary[[#This Row],[Fecha]])</f>
        <v>0</v>
      </c>
      <c r="Z50" s="12">
        <f>_xlfn.XLOOKUP(TableDailySummary[[#This Row],[Fecha]],SummaryDaily[day],SummaryDaily[MetaAdsOperation.spend],0)</f>
        <v>33756</v>
      </c>
      <c r="AA50" s="12">
        <f>SUMIFS(SalesByUTMDaily[facebook],SalesByUTMDaily[day],TableDailySummary[[#This Row],[Fecha]])</f>
        <v>79000</v>
      </c>
      <c r="AB50" s="12">
        <f>TableDailySummary[[#This Row],[Inversión google ads]]+TableDailySummary[[#This Row],[Inversión meta ads]]</f>
        <v>70455.95</v>
      </c>
      <c r="AC50" s="12">
        <f>TableDailySummary[[#This Row],[Ventas google ads]]+TableDailySummary[[#This Row],[Ventas meta ads]]</f>
        <v>79000</v>
      </c>
      <c r="AD50" s="14">
        <f>IFERROR(TableDailySummary[[#This Row],[Ventas publicidad]]/TableDailySummary[[#This Row],[Inversión publicidad]],0)</f>
        <v>1.121267969561123</v>
      </c>
      <c r="AE50" s="14">
        <f>IFERROR(TableDailySummary[[#This Row],[Ventas primer cliente]]/TableDailySummary[[#This Row],[Inversión publicidad]],0)</f>
        <v>2.3973498334775134</v>
      </c>
      <c r="AF50" s="14"/>
      <c r="AG50" s="12"/>
      <c r="AM50" s="12">
        <f>_xlfn.XLOOKUP(TableDailySummary[[#This Row],[Fecha]],SummaryDaily[day],SummaryDaily[net_sales_with_cost_recorded],0)</f>
        <v>673949.58</v>
      </c>
      <c r="AN50" s="12">
        <f>_xlfn.XLOOKUP(TableDailySummary[[#This Row],[Fecha]],SummaryDaily[day],SummaryDaily[cost_of_goods_sold],0)</f>
        <v>163184</v>
      </c>
      <c r="AO50" s="12">
        <f>_xlfn.XLOOKUP(TableDailySummary[[#This Row],[Fecha]],SummaryDaily[day],SummaryDaily[gross_profit],0)</f>
        <v>510765.58</v>
      </c>
      <c r="AP50" s="18">
        <f>IFERROR(TableDailySummary[[#This Row],[Utilidad bruta]]/TableDailySummary[[#This Row],[Ventas netas con costo registrado]],0)</f>
        <v>0.75786912724242672</v>
      </c>
    </row>
    <row r="51" spans="2:42" x14ac:dyDescent="0.2">
      <c r="B51" s="15" cm="1">
        <f t="array" ref="B51">MIN(SummaryDaily[day]) + (ROW(TableDailySummary[#This Row]) - ROW(TableDailySummary[[#Headers],[Dia]]) - 1)</f>
        <v>45822</v>
      </c>
      <c r="C51" s="6">
        <f>TableDailySummary[[#This Row],[Dia]]</f>
        <v>45822</v>
      </c>
      <c r="D51" s="12">
        <f>_xlfn.XLOOKUP(TableDailySummary[[#This Row],[Fecha]],SummaryDaily[day],SummaryDaily[net_sales],0)</f>
        <v>1063025.22</v>
      </c>
      <c r="E51" s="12">
        <f>_xlfn.XLOOKUP(TableDailySummary[[#This Row],[Fecha]],SummaryDaily[day],SummaryDaily[orders],0)</f>
        <v>9</v>
      </c>
      <c r="F51" s="12">
        <f>_xlfn.XLOOKUP(TableDailySummary[[#This Row],[Fecha]],SummaryDaily[day],SummaryDaily[average_order_value],0)</f>
        <v>118113.913</v>
      </c>
      <c r="G51" s="24">
        <f>_xlfn.XLOOKUP(TableDailySummary[[#This Row],[Fecha]],SummaryDaily[day],SummaryDaily[Total site_conversion_rate],0)</f>
        <v>1.3262599469496022E-2</v>
      </c>
      <c r="H51" s="12">
        <f>TableDailySummary[[#This Row],[Órden promedio totales]]*TableDailySummary[[#This Row],[CR totales]]</f>
        <v>1566.4975198938994</v>
      </c>
      <c r="I51" s="12">
        <f>_xlfn.XLOOKUP(TableDailySummary[[#This Row],[Fecha]],SummaryDaily[day],SummaryDaily[new_net_sales],0)</f>
        <v>650420.18000000005</v>
      </c>
      <c r="J51" s="12">
        <f>_xlfn.XLOOKUP(TableDailySummary[[#This Row],[Fecha]],SummaryDaily[day],SummaryDaily[new_orders],0)</f>
        <v>6</v>
      </c>
      <c r="K51" s="12">
        <f>_xlfn.XLOOKUP(TableDailySummary[[#This Row],[Fecha]],SummaryDaily[day],SummaryDaily[new_average_order_value],0)</f>
        <v>108403.363</v>
      </c>
      <c r="L51" s="12">
        <f>_xlfn.XLOOKUP(TableDailySummary[[#This Row],[Fecha]],SummaryDaily[day],SummaryDaily[Online Store_net_sales],0)</f>
        <v>1063025.22</v>
      </c>
      <c r="M51" s="12">
        <f>_xlfn.XLOOKUP(TableDailySummary[[#This Row],[Fecha]],SummaryDaily[day],SummaryDaily[Online Store_orders],0)</f>
        <v>9</v>
      </c>
      <c r="N51" s="12">
        <f>_xlfn.XLOOKUP(TableDailySummary[[#This Row],[Fecha]],SummaryDaily[day],SummaryDaily[Online Store_average_order_value],0)</f>
        <v>118113.913</v>
      </c>
      <c r="O51" s="12">
        <f>_xlfn.XLOOKUP(TableDailySummary[[#This Row],[Fecha]],SummaryDaily[day],SummaryDaily[Tienda 81_net_sales],0)</f>
        <v>0</v>
      </c>
      <c r="P51" s="12">
        <f>_xlfn.XLOOKUP(TableDailySummary[[#This Row],[Fecha]],SummaryDaily[day],SummaryDaily[Tienda 81_orders],0)</f>
        <v>0</v>
      </c>
      <c r="Q51" s="12">
        <f>_xlfn.XLOOKUP(TableDailySummary[[#This Row],[Fecha]],SummaryDaily[day],SummaryDaily[Tienda 81_average_order_value],0)</f>
        <v>0</v>
      </c>
      <c r="R51" s="12">
        <f>_xlfn.XLOOKUP(TableDailySummary[[#This Row],[Fecha]],SummaryDaily[day],SummaryDaily[Rappi_net_sales],0)</f>
        <v>0</v>
      </c>
      <c r="S51" s="12">
        <f>_xlfn.XLOOKUP(TableDailySummary[[#This Row],[Fecha]],SummaryDaily[day],SummaryDaily[Rappi_orders],0)</f>
        <v>0</v>
      </c>
      <c r="T51" s="12">
        <f>_xlfn.XLOOKUP(TableDailySummary[[#This Row],[Fecha]],SummaryDaily[day],SummaryDaily[Rappi_average_order_value],0)</f>
        <v>0</v>
      </c>
      <c r="U51" s="12">
        <f>_xlfn.XLOOKUP(TableDailySummary[[#This Row],[Fecha]],SummaryDaily[day],SummaryDaily[Corporativo no tienda_net_sales],0)</f>
        <v>0</v>
      </c>
      <c r="V51" s="12">
        <f>_xlfn.XLOOKUP(TableDailySummary[[#This Row],[Fecha]],SummaryDaily[day],SummaryDaily[Corporativo no tienda_orders],0)</f>
        <v>0</v>
      </c>
      <c r="W51" s="12">
        <f>_xlfn.XLOOKUP(TableDailySummary[[#This Row],[Fecha]],SummaryDaily[day],SummaryDaily[Corporativo no tienda_average_order_value],0)</f>
        <v>0</v>
      </c>
      <c r="X51" s="12">
        <f>_xlfn.XLOOKUP(TableDailySummary[[#This Row],[Fecha]],SummaryDaily[day],SummaryDaily[GoogleAdsOperation.Cost],0)</f>
        <v>24192.41</v>
      </c>
      <c r="Y51" s="12">
        <f>SUMIFS(SalesByUTMDaily[google],SalesByUTMDaily[day],TableDailySummary[[#This Row],[Fecha]])</f>
        <v>0</v>
      </c>
      <c r="Z51" s="12">
        <f>_xlfn.XLOOKUP(TableDailySummary[[#This Row],[Fecha]],SummaryDaily[day],SummaryDaily[MetaAdsOperation.spend],0)</f>
        <v>37760</v>
      </c>
      <c r="AA51" s="12">
        <f>SUMIFS(SalesByUTMDaily[facebook],SalesByUTMDaily[day],TableDailySummary[[#This Row],[Fecha]])</f>
        <v>0</v>
      </c>
      <c r="AB51" s="12">
        <f>TableDailySummary[[#This Row],[Inversión google ads]]+TableDailySummary[[#This Row],[Inversión meta ads]]</f>
        <v>61952.41</v>
      </c>
      <c r="AC51" s="12">
        <f>TableDailySummary[[#This Row],[Ventas google ads]]+TableDailySummary[[#This Row],[Ventas meta ads]]</f>
        <v>0</v>
      </c>
      <c r="AD51" s="14">
        <f>IFERROR(TableDailySummary[[#This Row],[Ventas publicidad]]/TableDailySummary[[#This Row],[Inversión publicidad]],0)</f>
        <v>0</v>
      </c>
      <c r="AE51" s="14">
        <f>IFERROR(TableDailySummary[[#This Row],[Ventas primer cliente]]/TableDailySummary[[#This Row],[Inversión publicidad]],0)</f>
        <v>10.498706668554137</v>
      </c>
      <c r="AF51" s="14"/>
      <c r="AG51" s="12"/>
      <c r="AM51" s="12">
        <f>_xlfn.XLOOKUP(TableDailySummary[[#This Row],[Fecha]],SummaryDaily[day],SummaryDaily[net_sales_with_cost_recorded],0)</f>
        <v>957142.87</v>
      </c>
      <c r="AN51" s="12">
        <f>_xlfn.XLOOKUP(TableDailySummary[[#This Row],[Fecha]],SummaryDaily[day],SummaryDaily[cost_of_goods_sold],0)</f>
        <v>270677</v>
      </c>
      <c r="AO51" s="12">
        <f>_xlfn.XLOOKUP(TableDailySummary[[#This Row],[Fecha]],SummaryDaily[day],SummaryDaily[gross_profit],0)</f>
        <v>686465.87</v>
      </c>
      <c r="AP51" s="18">
        <f>IFERROR(TableDailySummary[[#This Row],[Utilidad bruta]]/TableDailySummary[[#This Row],[Ventas netas con costo registrado]],0)</f>
        <v>0.717203138127122</v>
      </c>
    </row>
    <row r="52" spans="2:42" x14ac:dyDescent="0.2">
      <c r="B52" s="15" cm="1">
        <f t="array" ref="B52">MIN(SummaryDaily[day]) + (ROW(TableDailySummary[#This Row]) - ROW(TableDailySummary[[#Headers],[Dia]]) - 1)</f>
        <v>45823</v>
      </c>
      <c r="C52" s="6">
        <f>TableDailySummary[[#This Row],[Dia]]</f>
        <v>45823</v>
      </c>
      <c r="D52" s="12">
        <f>_xlfn.XLOOKUP(TableDailySummary[[#This Row],[Fecha]],SummaryDaily[day],SummaryDaily[net_sales],0)</f>
        <v>768907.55</v>
      </c>
      <c r="E52" s="12">
        <f>_xlfn.XLOOKUP(TableDailySummary[[#This Row],[Fecha]],SummaryDaily[day],SummaryDaily[orders],0)</f>
        <v>7</v>
      </c>
      <c r="F52" s="12">
        <f>_xlfn.XLOOKUP(TableDailySummary[[#This Row],[Fecha]],SummaryDaily[day],SummaryDaily[average_order_value],0)</f>
        <v>109843.935</v>
      </c>
      <c r="G52" s="24">
        <f>_xlfn.XLOOKUP(TableDailySummary[[#This Row],[Fecha]],SummaryDaily[day],SummaryDaily[Total site_conversion_rate],0)</f>
        <v>6.5861690450054883E-3</v>
      </c>
      <c r="H52" s="12">
        <f>TableDailySummary[[#This Row],[Órden promedio totales]]*TableDailySummary[[#This Row],[CR totales]]</f>
        <v>723.45072447859491</v>
      </c>
      <c r="I52" s="12">
        <f>_xlfn.XLOOKUP(TableDailySummary[[#This Row],[Fecha]],SummaryDaily[day],SummaryDaily[new_net_sales],0)</f>
        <v>546218.48</v>
      </c>
      <c r="J52" s="12">
        <f>_xlfn.XLOOKUP(TableDailySummary[[#This Row],[Fecha]],SummaryDaily[day],SummaryDaily[new_orders],0)</f>
        <v>4</v>
      </c>
      <c r="K52" s="12">
        <f>_xlfn.XLOOKUP(TableDailySummary[[#This Row],[Fecha]],SummaryDaily[day],SummaryDaily[new_average_order_value],0)</f>
        <v>136554.62</v>
      </c>
      <c r="L52" s="12">
        <f>_xlfn.XLOOKUP(TableDailySummary[[#This Row],[Fecha]],SummaryDaily[day],SummaryDaily[Online Store_net_sales],0)</f>
        <v>768907.55</v>
      </c>
      <c r="M52" s="12">
        <f>_xlfn.XLOOKUP(TableDailySummary[[#This Row],[Fecha]],SummaryDaily[day],SummaryDaily[Online Store_orders],0)</f>
        <v>7</v>
      </c>
      <c r="N52" s="12">
        <f>_xlfn.XLOOKUP(TableDailySummary[[#This Row],[Fecha]],SummaryDaily[day],SummaryDaily[Online Store_average_order_value],0)</f>
        <v>109843.935</v>
      </c>
      <c r="O52" s="12">
        <f>_xlfn.XLOOKUP(TableDailySummary[[#This Row],[Fecha]],SummaryDaily[day],SummaryDaily[Tienda 81_net_sales],0)</f>
        <v>0</v>
      </c>
      <c r="P52" s="12">
        <f>_xlfn.XLOOKUP(TableDailySummary[[#This Row],[Fecha]],SummaryDaily[day],SummaryDaily[Tienda 81_orders],0)</f>
        <v>0</v>
      </c>
      <c r="Q52" s="12">
        <f>_xlfn.XLOOKUP(TableDailySummary[[#This Row],[Fecha]],SummaryDaily[day],SummaryDaily[Tienda 81_average_order_value],0)</f>
        <v>0</v>
      </c>
      <c r="R52" s="12">
        <f>_xlfn.XLOOKUP(TableDailySummary[[#This Row],[Fecha]],SummaryDaily[day],SummaryDaily[Rappi_net_sales],0)</f>
        <v>0</v>
      </c>
      <c r="S52" s="12">
        <f>_xlfn.XLOOKUP(TableDailySummary[[#This Row],[Fecha]],SummaryDaily[day],SummaryDaily[Rappi_orders],0)</f>
        <v>0</v>
      </c>
      <c r="T52" s="12">
        <f>_xlfn.XLOOKUP(TableDailySummary[[#This Row],[Fecha]],SummaryDaily[day],SummaryDaily[Rappi_average_order_value],0)</f>
        <v>0</v>
      </c>
      <c r="U52" s="12">
        <f>_xlfn.XLOOKUP(TableDailySummary[[#This Row],[Fecha]],SummaryDaily[day],SummaryDaily[Corporativo no tienda_net_sales],0)</f>
        <v>0</v>
      </c>
      <c r="V52" s="12">
        <f>_xlfn.XLOOKUP(TableDailySummary[[#This Row],[Fecha]],SummaryDaily[day],SummaryDaily[Corporativo no tienda_orders],0)</f>
        <v>0</v>
      </c>
      <c r="W52" s="12">
        <f>_xlfn.XLOOKUP(TableDailySummary[[#This Row],[Fecha]],SummaryDaily[day],SummaryDaily[Corporativo no tienda_average_order_value],0)</f>
        <v>0</v>
      </c>
      <c r="X52" s="12">
        <f>_xlfn.XLOOKUP(TableDailySummary[[#This Row],[Fecha]],SummaryDaily[day],SummaryDaily[GoogleAdsOperation.Cost],0)</f>
        <v>84764.160000000003</v>
      </c>
      <c r="Y52" s="12">
        <f>SUMIFS(SalesByUTMDaily[google],SalesByUTMDaily[day],TableDailySummary[[#This Row],[Fecha]])</f>
        <v>0</v>
      </c>
      <c r="Z52" s="12">
        <f>_xlfn.XLOOKUP(TableDailySummary[[#This Row],[Fecha]],SummaryDaily[day],SummaryDaily[MetaAdsOperation.spend],0)</f>
        <v>40483</v>
      </c>
      <c r="AA52" s="12">
        <f>SUMIFS(SalesByUTMDaily[facebook],SalesByUTMDaily[day],TableDailySummary[[#This Row],[Fecha]])</f>
        <v>457500</v>
      </c>
      <c r="AB52" s="12">
        <f>TableDailySummary[[#This Row],[Inversión google ads]]+TableDailySummary[[#This Row],[Inversión meta ads]]</f>
        <v>125247.16</v>
      </c>
      <c r="AC52" s="12">
        <f>TableDailySummary[[#This Row],[Ventas google ads]]+TableDailySummary[[#This Row],[Ventas meta ads]]</f>
        <v>457500</v>
      </c>
      <c r="AD52" s="14">
        <f>IFERROR(TableDailySummary[[#This Row],[Ventas publicidad]]/TableDailySummary[[#This Row],[Inversión publicidad]],0)</f>
        <v>3.6527774362308891</v>
      </c>
      <c r="AE52" s="14">
        <f>IFERROR(TableDailySummary[[#This Row],[Ventas primer cliente]]/TableDailySummary[[#This Row],[Inversión publicidad]],0)</f>
        <v>4.3611246754018209</v>
      </c>
      <c r="AF52" s="14"/>
      <c r="AG52" s="12"/>
      <c r="AM52" s="12">
        <f>_xlfn.XLOOKUP(TableDailySummary[[#This Row],[Fecha]],SummaryDaily[day],SummaryDaily[net_sales_with_cost_recorded],0)</f>
        <v>768907.55</v>
      </c>
      <c r="AN52" s="12">
        <f>_xlfn.XLOOKUP(TableDailySummary[[#This Row],[Fecha]],SummaryDaily[day],SummaryDaily[cost_of_goods_sold],0)</f>
        <v>201976</v>
      </c>
      <c r="AO52" s="12">
        <f>_xlfn.XLOOKUP(TableDailySummary[[#This Row],[Fecha]],SummaryDaily[day],SummaryDaily[gross_profit],0)</f>
        <v>566931.55000000005</v>
      </c>
      <c r="AP52" s="18">
        <f>IFERROR(TableDailySummary[[#This Row],[Utilidad bruta]]/TableDailySummary[[#This Row],[Ventas netas con costo registrado]],0)</f>
        <v>0.73732082615133643</v>
      </c>
    </row>
    <row r="53" spans="2:42" x14ac:dyDescent="0.2">
      <c r="B53" s="15" cm="1">
        <f t="array" ref="B53">MIN(SummaryDaily[day]) + (ROW(TableDailySummary[#This Row]) - ROW(TableDailySummary[[#Headers],[Dia]]) - 1)</f>
        <v>45824</v>
      </c>
      <c r="C53" s="6">
        <f>TableDailySummary[[#This Row],[Dia]]</f>
        <v>45824</v>
      </c>
      <c r="D53" s="12">
        <f>_xlfn.XLOOKUP(TableDailySummary[[#This Row],[Fecha]],SummaryDaily[day],SummaryDaily[net_sales],0)</f>
        <v>2342142.87</v>
      </c>
      <c r="E53" s="12">
        <f>_xlfn.XLOOKUP(TableDailySummary[[#This Row],[Fecha]],SummaryDaily[day],SummaryDaily[orders],0)</f>
        <v>13</v>
      </c>
      <c r="F53" s="12">
        <f>_xlfn.XLOOKUP(TableDailySummary[[#This Row],[Fecha]],SummaryDaily[day],SummaryDaily[average_order_value],0)</f>
        <v>180164.83600000001</v>
      </c>
      <c r="G53" s="24">
        <f>_xlfn.XLOOKUP(TableDailySummary[[#This Row],[Fecha]],SummaryDaily[day],SummaryDaily[Total site_conversion_rate],0)</f>
        <v>1.094391244870041E-2</v>
      </c>
      <c r="H53" s="12">
        <f>TableDailySummary[[#This Row],[Órden promedio totales]]*TableDailySummary[[#This Row],[CR totales]]</f>
        <v>1971.7081915184679</v>
      </c>
      <c r="I53" s="12">
        <f>_xlfn.XLOOKUP(TableDailySummary[[#This Row],[Fecha]],SummaryDaily[day],SummaryDaily[new_net_sales],0)</f>
        <v>1804327.74</v>
      </c>
      <c r="J53" s="12">
        <f>_xlfn.XLOOKUP(TableDailySummary[[#This Row],[Fecha]],SummaryDaily[day],SummaryDaily[new_orders],0)</f>
        <v>10</v>
      </c>
      <c r="K53" s="12">
        <f>_xlfn.XLOOKUP(TableDailySummary[[#This Row],[Fecha]],SummaryDaily[day],SummaryDaily[new_average_order_value],0)</f>
        <v>180432.774</v>
      </c>
      <c r="L53" s="12">
        <f>_xlfn.XLOOKUP(TableDailySummary[[#This Row],[Fecha]],SummaryDaily[day],SummaryDaily[Online Store_net_sales],0)</f>
        <v>2342142.87</v>
      </c>
      <c r="M53" s="12">
        <f>_xlfn.XLOOKUP(TableDailySummary[[#This Row],[Fecha]],SummaryDaily[day],SummaryDaily[Online Store_orders],0)</f>
        <v>13</v>
      </c>
      <c r="N53" s="12">
        <f>_xlfn.XLOOKUP(TableDailySummary[[#This Row],[Fecha]],SummaryDaily[day],SummaryDaily[Online Store_average_order_value],0)</f>
        <v>180164.83600000001</v>
      </c>
      <c r="O53" s="12">
        <f>_xlfn.XLOOKUP(TableDailySummary[[#This Row],[Fecha]],SummaryDaily[day],SummaryDaily[Tienda 81_net_sales],0)</f>
        <v>0</v>
      </c>
      <c r="P53" s="12">
        <f>_xlfn.XLOOKUP(TableDailySummary[[#This Row],[Fecha]],SummaryDaily[day],SummaryDaily[Tienda 81_orders],0)</f>
        <v>0</v>
      </c>
      <c r="Q53" s="12">
        <f>_xlfn.XLOOKUP(TableDailySummary[[#This Row],[Fecha]],SummaryDaily[day],SummaryDaily[Tienda 81_average_order_value],0)</f>
        <v>0</v>
      </c>
      <c r="R53" s="12">
        <f>_xlfn.XLOOKUP(TableDailySummary[[#This Row],[Fecha]],SummaryDaily[day],SummaryDaily[Rappi_net_sales],0)</f>
        <v>0</v>
      </c>
      <c r="S53" s="12">
        <f>_xlfn.XLOOKUP(TableDailySummary[[#This Row],[Fecha]],SummaryDaily[day],SummaryDaily[Rappi_orders],0)</f>
        <v>0</v>
      </c>
      <c r="T53" s="12">
        <f>_xlfn.XLOOKUP(TableDailySummary[[#This Row],[Fecha]],SummaryDaily[day],SummaryDaily[Rappi_average_order_value],0)</f>
        <v>0</v>
      </c>
      <c r="U53" s="12">
        <f>_xlfn.XLOOKUP(TableDailySummary[[#This Row],[Fecha]],SummaryDaily[day],SummaryDaily[Corporativo no tienda_net_sales],0)</f>
        <v>0</v>
      </c>
      <c r="V53" s="12">
        <f>_xlfn.XLOOKUP(TableDailySummary[[#This Row],[Fecha]],SummaryDaily[day],SummaryDaily[Corporativo no tienda_orders],0)</f>
        <v>0</v>
      </c>
      <c r="W53" s="12">
        <f>_xlfn.XLOOKUP(TableDailySummary[[#This Row],[Fecha]],SummaryDaily[day],SummaryDaily[Corporativo no tienda_average_order_value],0)</f>
        <v>0</v>
      </c>
      <c r="X53" s="12">
        <f>_xlfn.XLOOKUP(TableDailySummary[[#This Row],[Fecha]],SummaryDaily[day],SummaryDaily[GoogleAdsOperation.Cost],0)</f>
        <v>64590.82</v>
      </c>
      <c r="Y53" s="12">
        <f>SUMIFS(SalesByUTMDaily[google],SalesByUTMDaily[day],TableDailySummary[[#This Row],[Fecha]])</f>
        <v>0</v>
      </c>
      <c r="Z53" s="12">
        <f>_xlfn.XLOOKUP(TableDailySummary[[#This Row],[Fecha]],SummaryDaily[day],SummaryDaily[MetaAdsOperation.spend],0)</f>
        <v>39669</v>
      </c>
      <c r="AA53" s="12">
        <f>SUMIFS(SalesByUTMDaily[facebook],SalesByUTMDaily[day],TableDailySummary[[#This Row],[Fecha]])</f>
        <v>663500</v>
      </c>
      <c r="AB53" s="12">
        <f>TableDailySummary[[#This Row],[Inversión google ads]]+TableDailySummary[[#This Row],[Inversión meta ads]]</f>
        <v>104259.82</v>
      </c>
      <c r="AC53" s="12">
        <f>TableDailySummary[[#This Row],[Ventas google ads]]+TableDailySummary[[#This Row],[Ventas meta ads]]</f>
        <v>663500</v>
      </c>
      <c r="AD53" s="14">
        <f>IFERROR(TableDailySummary[[#This Row],[Ventas publicidad]]/TableDailySummary[[#This Row],[Inversión publicidad]],0)</f>
        <v>6.3639089344293893</v>
      </c>
      <c r="AE53" s="14">
        <f>IFERROR(TableDailySummary[[#This Row],[Ventas primer cliente]]/TableDailySummary[[#This Row],[Inversión publicidad]],0)</f>
        <v>17.306069970195612</v>
      </c>
      <c r="AF53" s="14"/>
      <c r="AG53" s="12"/>
      <c r="AM53" s="12">
        <f>_xlfn.XLOOKUP(TableDailySummary[[#This Row],[Fecha]],SummaryDaily[day],SummaryDaily[net_sales_with_cost_recorded],0)</f>
        <v>2115252.11</v>
      </c>
      <c r="AN53" s="12">
        <f>_xlfn.XLOOKUP(TableDailySummary[[#This Row],[Fecha]],SummaryDaily[day],SummaryDaily[cost_of_goods_sold],0)</f>
        <v>594048</v>
      </c>
      <c r="AO53" s="12">
        <f>_xlfn.XLOOKUP(TableDailySummary[[#This Row],[Fecha]],SummaryDaily[day],SummaryDaily[gross_profit],0)</f>
        <v>1521204.11</v>
      </c>
      <c r="AP53" s="18">
        <f>IFERROR(TableDailySummary[[#This Row],[Utilidad bruta]]/TableDailySummary[[#This Row],[Ventas netas con costo registrado]],0)</f>
        <v>0.71915971756198849</v>
      </c>
    </row>
    <row r="54" spans="2:42" x14ac:dyDescent="0.2">
      <c r="B54" s="15" cm="1">
        <f t="array" ref="B54">MIN(SummaryDaily[day]) + (ROW(TableDailySummary[#This Row]) - ROW(TableDailySummary[[#Headers],[Dia]]) - 1)</f>
        <v>45825</v>
      </c>
      <c r="C54" s="6">
        <f>TableDailySummary[[#This Row],[Dia]]</f>
        <v>45825</v>
      </c>
      <c r="D54" s="12">
        <f>_xlfn.XLOOKUP(TableDailySummary[[#This Row],[Fecha]],SummaryDaily[day],SummaryDaily[net_sales],0)</f>
        <v>908404.2</v>
      </c>
      <c r="E54" s="12">
        <f>_xlfn.XLOOKUP(TableDailySummary[[#This Row],[Fecha]],SummaryDaily[day],SummaryDaily[orders],0)</f>
        <v>13</v>
      </c>
      <c r="F54" s="12">
        <f>_xlfn.XLOOKUP(TableDailySummary[[#This Row],[Fecha]],SummaryDaily[day],SummaryDaily[average_order_value],0)</f>
        <v>95410.535999999993</v>
      </c>
      <c r="G54" s="24">
        <f>_xlfn.XLOOKUP(TableDailySummary[[#This Row],[Fecha]],SummaryDaily[day],SummaryDaily[Total site_conversion_rate],0)</f>
        <v>3.6529680365296802E-3</v>
      </c>
      <c r="H54" s="12">
        <f>TableDailySummary[[#This Row],[Órden promedio totales]]*TableDailySummary[[#This Row],[CR totales]]</f>
        <v>348.53163835616436</v>
      </c>
      <c r="I54" s="12">
        <f>_xlfn.XLOOKUP(TableDailySummary[[#This Row],[Fecha]],SummaryDaily[day],SummaryDaily[new_net_sales],0)</f>
        <v>366386.55</v>
      </c>
      <c r="J54" s="12">
        <f>_xlfn.XLOOKUP(TableDailySummary[[#This Row],[Fecha]],SummaryDaily[day],SummaryDaily[new_orders],0)</f>
        <v>5</v>
      </c>
      <c r="K54" s="12">
        <f>_xlfn.XLOOKUP(TableDailySummary[[#This Row],[Fecha]],SummaryDaily[day],SummaryDaily[new_average_order_value],0)</f>
        <v>87563.024000000005</v>
      </c>
      <c r="L54" s="12">
        <f>_xlfn.XLOOKUP(TableDailySummary[[#This Row],[Fecha]],SummaryDaily[day],SummaryDaily[Online Store_net_sales],0)</f>
        <v>908404.2</v>
      </c>
      <c r="M54" s="12">
        <f>_xlfn.XLOOKUP(TableDailySummary[[#This Row],[Fecha]],SummaryDaily[day],SummaryDaily[Online Store_orders],0)</f>
        <v>13</v>
      </c>
      <c r="N54" s="12">
        <f>_xlfn.XLOOKUP(TableDailySummary[[#This Row],[Fecha]],SummaryDaily[day],SummaryDaily[Online Store_average_order_value],0)</f>
        <v>95410.535999999993</v>
      </c>
      <c r="O54" s="12">
        <f>_xlfn.XLOOKUP(TableDailySummary[[#This Row],[Fecha]],SummaryDaily[day],SummaryDaily[Tienda 81_net_sales],0)</f>
        <v>0</v>
      </c>
      <c r="P54" s="12">
        <f>_xlfn.XLOOKUP(TableDailySummary[[#This Row],[Fecha]],SummaryDaily[day],SummaryDaily[Tienda 81_orders],0)</f>
        <v>0</v>
      </c>
      <c r="Q54" s="12">
        <f>_xlfn.XLOOKUP(TableDailySummary[[#This Row],[Fecha]],SummaryDaily[day],SummaryDaily[Tienda 81_average_order_value],0)</f>
        <v>0</v>
      </c>
      <c r="R54" s="12">
        <f>_xlfn.XLOOKUP(TableDailySummary[[#This Row],[Fecha]],SummaryDaily[day],SummaryDaily[Rappi_net_sales],0)</f>
        <v>0</v>
      </c>
      <c r="S54" s="12">
        <f>_xlfn.XLOOKUP(TableDailySummary[[#This Row],[Fecha]],SummaryDaily[day],SummaryDaily[Rappi_orders],0)</f>
        <v>0</v>
      </c>
      <c r="T54" s="12">
        <f>_xlfn.XLOOKUP(TableDailySummary[[#This Row],[Fecha]],SummaryDaily[day],SummaryDaily[Rappi_average_order_value],0)</f>
        <v>0</v>
      </c>
      <c r="U54" s="12">
        <f>_xlfn.XLOOKUP(TableDailySummary[[#This Row],[Fecha]],SummaryDaily[day],SummaryDaily[Corporativo no tienda_net_sales],0)</f>
        <v>0</v>
      </c>
      <c r="V54" s="12">
        <f>_xlfn.XLOOKUP(TableDailySummary[[#This Row],[Fecha]],SummaryDaily[day],SummaryDaily[Corporativo no tienda_orders],0)</f>
        <v>0</v>
      </c>
      <c r="W54" s="12">
        <f>_xlfn.XLOOKUP(TableDailySummary[[#This Row],[Fecha]],SummaryDaily[day],SummaryDaily[Corporativo no tienda_average_order_value],0)</f>
        <v>0</v>
      </c>
      <c r="X54" s="12">
        <f>_xlfn.XLOOKUP(TableDailySummary[[#This Row],[Fecha]],SummaryDaily[day],SummaryDaily[GoogleAdsOperation.Cost],0)</f>
        <v>111298.75</v>
      </c>
      <c r="Y54" s="12">
        <f>SUMIFS(SalesByUTMDaily[google],SalesByUTMDaily[day],TableDailySummary[[#This Row],[Fecha]])</f>
        <v>0</v>
      </c>
      <c r="Z54" s="12">
        <f>_xlfn.XLOOKUP(TableDailySummary[[#This Row],[Fecha]],SummaryDaily[day],SummaryDaily[MetaAdsOperation.spend],0)</f>
        <v>39028</v>
      </c>
      <c r="AA54" s="12">
        <f>SUMIFS(SalesByUTMDaily[facebook],SalesByUTMDaily[day],TableDailySummary[[#This Row],[Fecha]])</f>
        <v>0</v>
      </c>
      <c r="AB54" s="12">
        <f>TableDailySummary[[#This Row],[Inversión google ads]]+TableDailySummary[[#This Row],[Inversión meta ads]]</f>
        <v>150326.75</v>
      </c>
      <c r="AC54" s="12">
        <f>TableDailySummary[[#This Row],[Ventas google ads]]+TableDailySummary[[#This Row],[Ventas meta ads]]</f>
        <v>0</v>
      </c>
      <c r="AD54" s="14">
        <f>IFERROR(TableDailySummary[[#This Row],[Ventas publicidad]]/TableDailySummary[[#This Row],[Inversión publicidad]],0)</f>
        <v>0</v>
      </c>
      <c r="AE54" s="14">
        <f>IFERROR(TableDailySummary[[#This Row],[Ventas primer cliente]]/TableDailySummary[[#This Row],[Inversión publicidad]],0)</f>
        <v>2.4372678182692034</v>
      </c>
      <c r="AF54" s="14"/>
      <c r="AG54" s="12"/>
      <c r="AM54" s="12">
        <f>_xlfn.XLOOKUP(TableDailySummary[[#This Row],[Fecha]],SummaryDaily[day],SummaryDaily[net_sales_with_cost_recorded],0)</f>
        <v>866386.56</v>
      </c>
      <c r="AN54" s="12">
        <f>_xlfn.XLOOKUP(TableDailySummary[[#This Row],[Fecha]],SummaryDaily[day],SummaryDaily[cost_of_goods_sold],0)</f>
        <v>218579</v>
      </c>
      <c r="AO54" s="12">
        <f>_xlfn.XLOOKUP(TableDailySummary[[#This Row],[Fecha]],SummaryDaily[day],SummaryDaily[gross_profit],0)</f>
        <v>647807.56000000006</v>
      </c>
      <c r="AP54" s="18">
        <f>IFERROR(TableDailySummary[[#This Row],[Utilidad bruta]]/TableDailySummary[[#This Row],[Ventas netas con costo registrado]],0)</f>
        <v>0.74771192203166215</v>
      </c>
    </row>
    <row r="55" spans="2:42" x14ac:dyDescent="0.2">
      <c r="B55" s="15" cm="1">
        <f t="array" ref="B55">MIN(SummaryDaily[day]) + (ROW(TableDailySummary[#This Row]) - ROW(TableDailySummary[[#Headers],[Dia]]) - 1)</f>
        <v>45826</v>
      </c>
      <c r="C55" s="6">
        <f>TableDailySummary[[#This Row],[Dia]]</f>
        <v>45826</v>
      </c>
      <c r="D55" s="12">
        <f>_xlfn.XLOOKUP(TableDailySummary[[#This Row],[Fecha]],SummaryDaily[day],SummaryDaily[net_sales],0)</f>
        <v>1726890.77</v>
      </c>
      <c r="E55" s="12">
        <f>_xlfn.XLOOKUP(TableDailySummary[[#This Row],[Fecha]],SummaryDaily[day],SummaryDaily[orders],0)</f>
        <v>20</v>
      </c>
      <c r="F55" s="12">
        <f>_xlfn.XLOOKUP(TableDailySummary[[#This Row],[Fecha]],SummaryDaily[day],SummaryDaily[average_order_value],0)</f>
        <v>86344.538</v>
      </c>
      <c r="G55" s="24">
        <f>_xlfn.XLOOKUP(TableDailySummary[[#This Row],[Fecha]],SummaryDaily[day],SummaryDaily[Total site_conversion_rate],0)</f>
        <v>5.8195926285160042E-3</v>
      </c>
      <c r="H55" s="12">
        <f>TableDailySummary[[#This Row],[Órden promedio totales]]*TableDailySummary[[#This Row],[CR totales]]</f>
        <v>502.49003685742002</v>
      </c>
      <c r="I55" s="12">
        <f>_xlfn.XLOOKUP(TableDailySummary[[#This Row],[Fecha]],SummaryDaily[day],SummaryDaily[new_net_sales],0)</f>
        <v>546218.49</v>
      </c>
      <c r="J55" s="12">
        <f>_xlfn.XLOOKUP(TableDailySummary[[#This Row],[Fecha]],SummaryDaily[day],SummaryDaily[new_orders],0)</f>
        <v>8</v>
      </c>
      <c r="K55" s="12">
        <f>_xlfn.XLOOKUP(TableDailySummary[[#This Row],[Fecha]],SummaryDaily[day],SummaryDaily[new_average_order_value],0)</f>
        <v>68277.311000000002</v>
      </c>
      <c r="L55" s="12">
        <f>_xlfn.XLOOKUP(TableDailySummary[[#This Row],[Fecha]],SummaryDaily[day],SummaryDaily[Online Store_net_sales],0)</f>
        <v>1726890.77</v>
      </c>
      <c r="M55" s="12">
        <f>_xlfn.XLOOKUP(TableDailySummary[[#This Row],[Fecha]],SummaryDaily[day],SummaryDaily[Online Store_orders],0)</f>
        <v>20</v>
      </c>
      <c r="N55" s="12">
        <f>_xlfn.XLOOKUP(TableDailySummary[[#This Row],[Fecha]],SummaryDaily[day],SummaryDaily[Online Store_average_order_value],0)</f>
        <v>86344.538</v>
      </c>
      <c r="O55" s="12">
        <f>_xlfn.XLOOKUP(TableDailySummary[[#This Row],[Fecha]],SummaryDaily[day],SummaryDaily[Tienda 81_net_sales],0)</f>
        <v>0</v>
      </c>
      <c r="P55" s="12">
        <f>_xlfn.XLOOKUP(TableDailySummary[[#This Row],[Fecha]],SummaryDaily[day],SummaryDaily[Tienda 81_orders],0)</f>
        <v>0</v>
      </c>
      <c r="Q55" s="12">
        <f>_xlfn.XLOOKUP(TableDailySummary[[#This Row],[Fecha]],SummaryDaily[day],SummaryDaily[Tienda 81_average_order_value],0)</f>
        <v>0</v>
      </c>
      <c r="R55" s="12">
        <f>_xlfn.XLOOKUP(TableDailySummary[[#This Row],[Fecha]],SummaryDaily[day],SummaryDaily[Rappi_net_sales],0)</f>
        <v>0</v>
      </c>
      <c r="S55" s="12">
        <f>_xlfn.XLOOKUP(TableDailySummary[[#This Row],[Fecha]],SummaryDaily[day],SummaryDaily[Rappi_orders],0)</f>
        <v>0</v>
      </c>
      <c r="T55" s="12">
        <f>_xlfn.XLOOKUP(TableDailySummary[[#This Row],[Fecha]],SummaryDaily[day],SummaryDaily[Rappi_average_order_value],0)</f>
        <v>0</v>
      </c>
      <c r="U55" s="12">
        <f>_xlfn.XLOOKUP(TableDailySummary[[#This Row],[Fecha]],SummaryDaily[day],SummaryDaily[Corporativo no tienda_net_sales],0)</f>
        <v>0</v>
      </c>
      <c r="V55" s="12">
        <f>_xlfn.XLOOKUP(TableDailySummary[[#This Row],[Fecha]],SummaryDaily[day],SummaryDaily[Corporativo no tienda_orders],0)</f>
        <v>0</v>
      </c>
      <c r="W55" s="12">
        <f>_xlfn.XLOOKUP(TableDailySummary[[#This Row],[Fecha]],SummaryDaily[day],SummaryDaily[Corporativo no tienda_average_order_value],0)</f>
        <v>0</v>
      </c>
      <c r="X55" s="12">
        <f>_xlfn.XLOOKUP(TableDailySummary[[#This Row],[Fecha]],SummaryDaily[day],SummaryDaily[GoogleAdsOperation.Cost],0)</f>
        <v>97437.34</v>
      </c>
      <c r="Y55" s="12">
        <f>SUMIFS(SalesByUTMDaily[google],SalesByUTMDaily[day],TableDailySummary[[#This Row],[Fecha]])</f>
        <v>0</v>
      </c>
      <c r="Z55" s="12">
        <f>_xlfn.XLOOKUP(TableDailySummary[[#This Row],[Fecha]],SummaryDaily[day],SummaryDaily[MetaAdsOperation.spend],0)</f>
        <v>37809</v>
      </c>
      <c r="AA55" s="12">
        <f>SUMIFS(SalesByUTMDaily[facebook],SalesByUTMDaily[day],TableDailySummary[[#This Row],[Fecha]])</f>
        <v>194000</v>
      </c>
      <c r="AB55" s="12">
        <f>TableDailySummary[[#This Row],[Inversión google ads]]+TableDailySummary[[#This Row],[Inversión meta ads]]</f>
        <v>135246.34</v>
      </c>
      <c r="AC55" s="12">
        <f>TableDailySummary[[#This Row],[Ventas google ads]]+TableDailySummary[[#This Row],[Ventas meta ads]]</f>
        <v>194000</v>
      </c>
      <c r="AD55" s="14">
        <f>IFERROR(TableDailySummary[[#This Row],[Ventas publicidad]]/TableDailySummary[[#This Row],[Inversión publicidad]],0)</f>
        <v>1.4344195931660702</v>
      </c>
      <c r="AE55" s="14">
        <f>IFERROR(TableDailySummary[[#This Row],[Ventas primer cliente]]/TableDailySummary[[#This Row],[Inversión publicidad]],0)</f>
        <v>4.0386933206473463</v>
      </c>
      <c r="AF55" s="14"/>
      <c r="AG55" s="12"/>
      <c r="AM55" s="12">
        <f>_xlfn.XLOOKUP(TableDailySummary[[#This Row],[Fecha]],SummaryDaily[day],SummaryDaily[net_sales_with_cost_recorded],0)</f>
        <v>1726890.77</v>
      </c>
      <c r="AN55" s="12">
        <f>_xlfn.XLOOKUP(TableDailySummary[[#This Row],[Fecha]],SummaryDaily[day],SummaryDaily[cost_of_goods_sold],0)</f>
        <v>500967</v>
      </c>
      <c r="AO55" s="12">
        <f>_xlfn.XLOOKUP(TableDailySummary[[#This Row],[Fecha]],SummaryDaily[day],SummaryDaily[gross_profit],0)</f>
        <v>1225923.77</v>
      </c>
      <c r="AP55" s="18">
        <f>IFERROR(TableDailySummary[[#This Row],[Utilidad bruta]]/TableDailySummary[[#This Row],[Ventas netas con costo registrado]],0)</f>
        <v>0.70990232346890125</v>
      </c>
    </row>
    <row r="56" spans="2:42" x14ac:dyDescent="0.2">
      <c r="B56" s="15" cm="1">
        <f t="array" ref="B56">MIN(SummaryDaily[day]) + (ROW(TableDailySummary[#This Row]) - ROW(TableDailySummary[[#Headers],[Dia]]) - 1)</f>
        <v>45827</v>
      </c>
      <c r="C56" s="6">
        <f>TableDailySummary[[#This Row],[Dia]]</f>
        <v>45827</v>
      </c>
      <c r="D56" s="12">
        <f>_xlfn.XLOOKUP(TableDailySummary[[#This Row],[Fecha]],SummaryDaily[day],SummaryDaily[net_sales],0)</f>
        <v>3551260.53</v>
      </c>
      <c r="E56" s="12">
        <f>_xlfn.XLOOKUP(TableDailySummary[[#This Row],[Fecha]],SummaryDaily[day],SummaryDaily[orders],0)</f>
        <v>34</v>
      </c>
      <c r="F56" s="12">
        <f>_xlfn.XLOOKUP(TableDailySummary[[#This Row],[Fecha]],SummaryDaily[day],SummaryDaily[average_order_value],0)</f>
        <v>104448.83900000001</v>
      </c>
      <c r="G56" s="24">
        <f>_xlfn.XLOOKUP(TableDailySummary[[#This Row],[Fecha]],SummaryDaily[day],SummaryDaily[Total site_conversion_rate],0)</f>
        <v>1.6992353440951572E-3</v>
      </c>
      <c r="H56" s="12">
        <f>TableDailySummary[[#This Row],[Órden promedio totales]]*TableDailySummary[[#This Row],[CR totales]]</f>
        <v>177.4831588785047</v>
      </c>
      <c r="I56" s="12">
        <f>_xlfn.XLOOKUP(TableDailySummary[[#This Row],[Fecha]],SummaryDaily[day],SummaryDaily[new_net_sales],0)</f>
        <v>2911764.71</v>
      </c>
      <c r="J56" s="12">
        <f>_xlfn.XLOOKUP(TableDailySummary[[#This Row],[Fecha]],SummaryDaily[day],SummaryDaily[new_orders],0)</f>
        <v>21</v>
      </c>
      <c r="K56" s="12">
        <f>_xlfn.XLOOKUP(TableDailySummary[[#This Row],[Fecha]],SummaryDaily[day],SummaryDaily[new_average_order_value],0)</f>
        <v>138655.462</v>
      </c>
      <c r="L56" s="12">
        <f>_xlfn.XLOOKUP(TableDailySummary[[#This Row],[Fecha]],SummaryDaily[day],SummaryDaily[Online Store_net_sales],0)</f>
        <v>3551260.53</v>
      </c>
      <c r="M56" s="12">
        <f>_xlfn.XLOOKUP(TableDailySummary[[#This Row],[Fecha]],SummaryDaily[day],SummaryDaily[Online Store_orders],0)</f>
        <v>34</v>
      </c>
      <c r="N56" s="12">
        <f>_xlfn.XLOOKUP(TableDailySummary[[#This Row],[Fecha]],SummaryDaily[day],SummaryDaily[Online Store_average_order_value],0)</f>
        <v>104448.83900000001</v>
      </c>
      <c r="O56" s="12">
        <f>_xlfn.XLOOKUP(TableDailySummary[[#This Row],[Fecha]],SummaryDaily[day],SummaryDaily[Tienda 81_net_sales],0)</f>
        <v>0</v>
      </c>
      <c r="P56" s="12">
        <f>_xlfn.XLOOKUP(TableDailySummary[[#This Row],[Fecha]],SummaryDaily[day],SummaryDaily[Tienda 81_orders],0)</f>
        <v>0</v>
      </c>
      <c r="Q56" s="12">
        <f>_xlfn.XLOOKUP(TableDailySummary[[#This Row],[Fecha]],SummaryDaily[day],SummaryDaily[Tienda 81_average_order_value],0)</f>
        <v>0</v>
      </c>
      <c r="R56" s="12">
        <f>_xlfn.XLOOKUP(TableDailySummary[[#This Row],[Fecha]],SummaryDaily[day],SummaryDaily[Rappi_net_sales],0)</f>
        <v>0</v>
      </c>
      <c r="S56" s="12">
        <f>_xlfn.XLOOKUP(TableDailySummary[[#This Row],[Fecha]],SummaryDaily[day],SummaryDaily[Rappi_orders],0)</f>
        <v>0</v>
      </c>
      <c r="T56" s="12">
        <f>_xlfn.XLOOKUP(TableDailySummary[[#This Row],[Fecha]],SummaryDaily[day],SummaryDaily[Rappi_average_order_value],0)</f>
        <v>0</v>
      </c>
      <c r="U56" s="12">
        <f>_xlfn.XLOOKUP(TableDailySummary[[#This Row],[Fecha]],SummaryDaily[day],SummaryDaily[Corporativo no tienda_net_sales],0)</f>
        <v>0</v>
      </c>
      <c r="V56" s="12">
        <f>_xlfn.XLOOKUP(TableDailySummary[[#This Row],[Fecha]],SummaryDaily[day],SummaryDaily[Corporativo no tienda_orders],0)</f>
        <v>0</v>
      </c>
      <c r="W56" s="12">
        <f>_xlfn.XLOOKUP(TableDailySummary[[#This Row],[Fecha]],SummaryDaily[day],SummaryDaily[Corporativo no tienda_average_order_value],0)</f>
        <v>0</v>
      </c>
      <c r="X56" s="12">
        <f>_xlfn.XLOOKUP(TableDailySummary[[#This Row],[Fecha]],SummaryDaily[day],SummaryDaily[GoogleAdsOperation.Cost],0)</f>
        <v>98137.96</v>
      </c>
      <c r="Y56" s="12">
        <f>SUMIFS(SalesByUTMDaily[google],SalesByUTMDaily[day],TableDailySummary[[#This Row],[Fecha]])</f>
        <v>0</v>
      </c>
      <c r="Z56" s="12">
        <f>_xlfn.XLOOKUP(TableDailySummary[[#This Row],[Fecha]],SummaryDaily[day],SummaryDaily[MetaAdsOperation.spend],0)</f>
        <v>38092</v>
      </c>
      <c r="AA56" s="12">
        <f>SUMIFS(SalesByUTMDaily[facebook],SalesByUTMDaily[day],TableDailySummary[[#This Row],[Fecha]])</f>
        <v>0</v>
      </c>
      <c r="AB56" s="12">
        <f>TableDailySummary[[#This Row],[Inversión google ads]]+TableDailySummary[[#This Row],[Inversión meta ads]]</f>
        <v>136229.96000000002</v>
      </c>
      <c r="AC56" s="12">
        <f>TableDailySummary[[#This Row],[Ventas google ads]]+TableDailySummary[[#This Row],[Ventas meta ads]]</f>
        <v>0</v>
      </c>
      <c r="AD56" s="14">
        <f>IFERROR(TableDailySummary[[#This Row],[Ventas publicidad]]/TableDailySummary[[#This Row],[Inversión publicidad]],0)</f>
        <v>0</v>
      </c>
      <c r="AE56" s="14">
        <f>IFERROR(TableDailySummary[[#This Row],[Ventas primer cliente]]/TableDailySummary[[#This Row],[Inversión publicidad]],0)</f>
        <v>21.373893892356715</v>
      </c>
      <c r="AF56" s="14"/>
      <c r="AG56" s="12"/>
      <c r="AM56" s="12">
        <f>_xlfn.XLOOKUP(TableDailySummary[[#This Row],[Fecha]],SummaryDaily[day],SummaryDaily[net_sales_with_cost_recorded],0)</f>
        <v>3450420.2</v>
      </c>
      <c r="AN56" s="12">
        <f>_xlfn.XLOOKUP(TableDailySummary[[#This Row],[Fecha]],SummaryDaily[day],SummaryDaily[cost_of_goods_sold],0)</f>
        <v>1128772</v>
      </c>
      <c r="AO56" s="12">
        <f>_xlfn.XLOOKUP(TableDailySummary[[#This Row],[Fecha]],SummaryDaily[day],SummaryDaily[gross_profit],0)</f>
        <v>2321648.2000000002</v>
      </c>
      <c r="AP56" s="18">
        <f>IFERROR(TableDailySummary[[#This Row],[Utilidad bruta]]/TableDailySummary[[#This Row],[Ventas netas con costo registrado]],0)</f>
        <v>0.67285955490290716</v>
      </c>
    </row>
    <row r="57" spans="2:42" x14ac:dyDescent="0.2">
      <c r="B57" s="15" cm="1">
        <f t="array" ref="B57">MIN(SummaryDaily[day]) + (ROW(TableDailySummary[#This Row]) - ROW(TableDailySummary[[#Headers],[Dia]]) - 1)</f>
        <v>45828</v>
      </c>
      <c r="C57" s="6">
        <f>TableDailySummary[[#This Row],[Dia]]</f>
        <v>45828</v>
      </c>
      <c r="D57" s="12">
        <f>_xlfn.XLOOKUP(TableDailySummary[[#This Row],[Fecha]],SummaryDaily[day],SummaryDaily[net_sales],0)</f>
        <v>2771428.59</v>
      </c>
      <c r="E57" s="12">
        <f>_xlfn.XLOOKUP(TableDailySummary[[#This Row],[Fecha]],SummaryDaily[day],SummaryDaily[orders],0)</f>
        <v>27</v>
      </c>
      <c r="F57" s="12">
        <f>_xlfn.XLOOKUP(TableDailySummary[[#This Row],[Fecha]],SummaryDaily[day],SummaryDaily[average_order_value],0)</f>
        <v>102645.503</v>
      </c>
      <c r="G57" s="24">
        <f>_xlfn.XLOOKUP(TableDailySummary[[#This Row],[Fecha]],SummaryDaily[day],SummaryDaily[Total site_conversion_rate],0)</f>
        <v>3.6231884057971015E-3</v>
      </c>
      <c r="H57" s="12">
        <f>TableDailySummary[[#This Row],[Órden promedio totales]]*TableDailySummary[[#This Row],[CR totales]]</f>
        <v>371.90399637681156</v>
      </c>
      <c r="I57" s="12">
        <f>_xlfn.XLOOKUP(TableDailySummary[[#This Row],[Fecha]],SummaryDaily[day],SummaryDaily[new_net_sales],0)</f>
        <v>2042857.14</v>
      </c>
      <c r="J57" s="12">
        <f>_xlfn.XLOOKUP(TableDailySummary[[#This Row],[Fecha]],SummaryDaily[day],SummaryDaily[new_orders],0)</f>
        <v>17</v>
      </c>
      <c r="K57" s="12">
        <f>_xlfn.XLOOKUP(TableDailySummary[[#This Row],[Fecha]],SummaryDaily[day],SummaryDaily[new_average_order_value],0)</f>
        <v>120168.067</v>
      </c>
      <c r="L57" s="12">
        <f>_xlfn.XLOOKUP(TableDailySummary[[#This Row],[Fecha]],SummaryDaily[day],SummaryDaily[Online Store_net_sales],0)</f>
        <v>2771428.59</v>
      </c>
      <c r="M57" s="12">
        <f>_xlfn.XLOOKUP(TableDailySummary[[#This Row],[Fecha]],SummaryDaily[day],SummaryDaily[Online Store_orders],0)</f>
        <v>27</v>
      </c>
      <c r="N57" s="12">
        <f>_xlfn.XLOOKUP(TableDailySummary[[#This Row],[Fecha]],SummaryDaily[day],SummaryDaily[Online Store_average_order_value],0)</f>
        <v>102645.503</v>
      </c>
      <c r="O57" s="12">
        <f>_xlfn.XLOOKUP(TableDailySummary[[#This Row],[Fecha]],SummaryDaily[day],SummaryDaily[Tienda 81_net_sales],0)</f>
        <v>0</v>
      </c>
      <c r="P57" s="12">
        <f>_xlfn.XLOOKUP(TableDailySummary[[#This Row],[Fecha]],SummaryDaily[day],SummaryDaily[Tienda 81_orders],0)</f>
        <v>0</v>
      </c>
      <c r="Q57" s="12">
        <f>_xlfn.XLOOKUP(TableDailySummary[[#This Row],[Fecha]],SummaryDaily[day],SummaryDaily[Tienda 81_average_order_value],0)</f>
        <v>0</v>
      </c>
      <c r="R57" s="12">
        <f>_xlfn.XLOOKUP(TableDailySummary[[#This Row],[Fecha]],SummaryDaily[day],SummaryDaily[Rappi_net_sales],0)</f>
        <v>0</v>
      </c>
      <c r="S57" s="12">
        <f>_xlfn.XLOOKUP(TableDailySummary[[#This Row],[Fecha]],SummaryDaily[day],SummaryDaily[Rappi_orders],0)</f>
        <v>0</v>
      </c>
      <c r="T57" s="12">
        <f>_xlfn.XLOOKUP(TableDailySummary[[#This Row],[Fecha]],SummaryDaily[day],SummaryDaily[Rappi_average_order_value],0)</f>
        <v>0</v>
      </c>
      <c r="U57" s="12">
        <f>_xlfn.XLOOKUP(TableDailySummary[[#This Row],[Fecha]],SummaryDaily[day],SummaryDaily[Corporativo no tienda_net_sales],0)</f>
        <v>0</v>
      </c>
      <c r="V57" s="12">
        <f>_xlfn.XLOOKUP(TableDailySummary[[#This Row],[Fecha]],SummaryDaily[day],SummaryDaily[Corporativo no tienda_orders],0)</f>
        <v>0</v>
      </c>
      <c r="W57" s="12">
        <f>_xlfn.XLOOKUP(TableDailySummary[[#This Row],[Fecha]],SummaryDaily[day],SummaryDaily[Corporativo no tienda_average_order_value],0)</f>
        <v>0</v>
      </c>
      <c r="X57" s="12">
        <f>_xlfn.XLOOKUP(TableDailySummary[[#This Row],[Fecha]],SummaryDaily[day],SummaryDaily[GoogleAdsOperation.Cost],0)</f>
        <v>99647.97</v>
      </c>
      <c r="Y57" s="12">
        <f>SUMIFS(SalesByUTMDaily[google],SalesByUTMDaily[day],TableDailySummary[[#This Row],[Fecha]])</f>
        <v>0</v>
      </c>
      <c r="Z57" s="12">
        <f>_xlfn.XLOOKUP(TableDailySummary[[#This Row],[Fecha]],SummaryDaily[day],SummaryDaily[MetaAdsOperation.spend],0)</f>
        <v>41485</v>
      </c>
      <c r="AA57" s="12">
        <f>SUMIFS(SalesByUTMDaily[facebook],SalesByUTMDaily[day],TableDailySummary[[#This Row],[Fecha]])</f>
        <v>0</v>
      </c>
      <c r="AB57" s="12">
        <f>TableDailySummary[[#This Row],[Inversión google ads]]+TableDailySummary[[#This Row],[Inversión meta ads]]</f>
        <v>141132.97</v>
      </c>
      <c r="AC57" s="12">
        <f>TableDailySummary[[#This Row],[Ventas google ads]]+TableDailySummary[[#This Row],[Ventas meta ads]]</f>
        <v>0</v>
      </c>
      <c r="AD57" s="14">
        <f>IFERROR(TableDailySummary[[#This Row],[Ventas publicidad]]/TableDailySummary[[#This Row],[Inversión publicidad]],0)</f>
        <v>0</v>
      </c>
      <c r="AE57" s="14">
        <f>IFERROR(TableDailySummary[[#This Row],[Ventas primer cliente]]/TableDailySummary[[#This Row],[Inversión publicidad]],0)</f>
        <v>14.474698151679227</v>
      </c>
      <c r="AF57" s="14"/>
      <c r="AG57" s="12"/>
      <c r="AM57" s="12">
        <f>_xlfn.XLOOKUP(TableDailySummary[[#This Row],[Fecha]],SummaryDaily[day],SummaryDaily[net_sales_with_cost_recorded],0)</f>
        <v>2771428.59</v>
      </c>
      <c r="AN57" s="12">
        <f>_xlfn.XLOOKUP(TableDailySummary[[#This Row],[Fecha]],SummaryDaily[day],SummaryDaily[cost_of_goods_sold],0)</f>
        <v>724933.12</v>
      </c>
      <c r="AO57" s="12">
        <f>_xlfn.XLOOKUP(TableDailySummary[[#This Row],[Fecha]],SummaryDaily[day],SummaryDaily[gross_profit],0)</f>
        <v>2046495.47</v>
      </c>
      <c r="AP57" s="18">
        <f>IFERROR(TableDailySummary[[#This Row],[Utilidad bruta]]/TableDailySummary[[#This Row],[Ventas netas con costo registrado]],0)</f>
        <v>0.7384261955672472</v>
      </c>
    </row>
    <row r="58" spans="2:42" x14ac:dyDescent="0.2">
      <c r="B58" s="15" cm="1">
        <f t="array" ref="B58">MIN(SummaryDaily[day]) + (ROW(TableDailySummary[#This Row]) - ROW(TableDailySummary[[#Headers],[Dia]]) - 1)</f>
        <v>45829</v>
      </c>
      <c r="C58" s="6">
        <f>TableDailySummary[[#This Row],[Dia]]</f>
        <v>45829</v>
      </c>
      <c r="D58" s="12">
        <f>_xlfn.XLOOKUP(TableDailySummary[[#This Row],[Fecha]],SummaryDaily[day],SummaryDaily[net_sales],0)</f>
        <v>3010924.37</v>
      </c>
      <c r="E58" s="12">
        <f>_xlfn.XLOOKUP(TableDailySummary[[#This Row],[Fecha]],SummaryDaily[day],SummaryDaily[orders],0)</f>
        <v>36</v>
      </c>
      <c r="F58" s="12">
        <f>_xlfn.XLOOKUP(TableDailySummary[[#This Row],[Fecha]],SummaryDaily[day],SummaryDaily[average_order_value],0)</f>
        <v>83636.788</v>
      </c>
      <c r="G58" s="24">
        <f>_xlfn.XLOOKUP(TableDailySummary[[#This Row],[Fecha]],SummaryDaily[day],SummaryDaily[Total site_conversion_rate],0)</f>
        <v>2.4590163934426232E-3</v>
      </c>
      <c r="H58" s="12">
        <f>TableDailySummary[[#This Row],[Órden promedio totales]]*TableDailySummary[[#This Row],[CR totales]]</f>
        <v>205.66423278688526</v>
      </c>
      <c r="I58" s="12">
        <f>_xlfn.XLOOKUP(TableDailySummary[[#This Row],[Fecha]],SummaryDaily[day],SummaryDaily[new_net_sales],0)</f>
        <v>1972268.91</v>
      </c>
      <c r="J58" s="12">
        <f>_xlfn.XLOOKUP(TableDailySummary[[#This Row],[Fecha]],SummaryDaily[day],SummaryDaily[new_orders],0)</f>
        <v>21</v>
      </c>
      <c r="K58" s="12">
        <f>_xlfn.XLOOKUP(TableDailySummary[[#This Row],[Fecha]],SummaryDaily[day],SummaryDaily[new_average_order_value],0)</f>
        <v>93917.566999999995</v>
      </c>
      <c r="L58" s="12">
        <f>_xlfn.XLOOKUP(TableDailySummary[[#This Row],[Fecha]],SummaryDaily[day],SummaryDaily[Online Store_net_sales],0)</f>
        <v>3010924.37</v>
      </c>
      <c r="M58" s="12">
        <f>_xlfn.XLOOKUP(TableDailySummary[[#This Row],[Fecha]],SummaryDaily[day],SummaryDaily[Online Store_orders],0)</f>
        <v>36</v>
      </c>
      <c r="N58" s="12">
        <f>_xlfn.XLOOKUP(TableDailySummary[[#This Row],[Fecha]],SummaryDaily[day],SummaryDaily[Online Store_average_order_value],0)</f>
        <v>83636.788</v>
      </c>
      <c r="O58" s="12">
        <f>_xlfn.XLOOKUP(TableDailySummary[[#This Row],[Fecha]],SummaryDaily[day],SummaryDaily[Tienda 81_net_sales],0)</f>
        <v>0</v>
      </c>
      <c r="P58" s="12">
        <f>_xlfn.XLOOKUP(TableDailySummary[[#This Row],[Fecha]],SummaryDaily[day],SummaryDaily[Tienda 81_orders],0)</f>
        <v>0</v>
      </c>
      <c r="Q58" s="12">
        <f>_xlfn.XLOOKUP(TableDailySummary[[#This Row],[Fecha]],SummaryDaily[day],SummaryDaily[Tienda 81_average_order_value],0)</f>
        <v>0</v>
      </c>
      <c r="R58" s="12">
        <f>_xlfn.XLOOKUP(TableDailySummary[[#This Row],[Fecha]],SummaryDaily[day],SummaryDaily[Rappi_net_sales],0)</f>
        <v>0</v>
      </c>
      <c r="S58" s="12">
        <f>_xlfn.XLOOKUP(TableDailySummary[[#This Row],[Fecha]],SummaryDaily[day],SummaryDaily[Rappi_orders],0)</f>
        <v>0</v>
      </c>
      <c r="T58" s="12">
        <f>_xlfn.XLOOKUP(TableDailySummary[[#This Row],[Fecha]],SummaryDaily[day],SummaryDaily[Rappi_average_order_value],0)</f>
        <v>0</v>
      </c>
      <c r="U58" s="12">
        <f>_xlfn.XLOOKUP(TableDailySummary[[#This Row],[Fecha]],SummaryDaily[day],SummaryDaily[Corporativo no tienda_net_sales],0)</f>
        <v>0</v>
      </c>
      <c r="V58" s="12">
        <f>_xlfn.XLOOKUP(TableDailySummary[[#This Row],[Fecha]],SummaryDaily[day],SummaryDaily[Corporativo no tienda_orders],0)</f>
        <v>0</v>
      </c>
      <c r="W58" s="12">
        <f>_xlfn.XLOOKUP(TableDailySummary[[#This Row],[Fecha]],SummaryDaily[day],SummaryDaily[Corporativo no tienda_average_order_value],0)</f>
        <v>0</v>
      </c>
      <c r="X58" s="12">
        <f>_xlfn.XLOOKUP(TableDailySummary[[#This Row],[Fecha]],SummaryDaily[day],SummaryDaily[GoogleAdsOperation.Cost],0)</f>
        <v>95417.95</v>
      </c>
      <c r="Y58" s="12">
        <f>SUMIFS(SalesByUTMDaily[google],SalesByUTMDaily[day],TableDailySummary[[#This Row],[Fecha]])</f>
        <v>0</v>
      </c>
      <c r="Z58" s="12">
        <f>_xlfn.XLOOKUP(TableDailySummary[[#This Row],[Fecha]],SummaryDaily[day],SummaryDaily[MetaAdsOperation.spend],0)</f>
        <v>41780</v>
      </c>
      <c r="AA58" s="12">
        <f>SUMIFS(SalesByUTMDaily[facebook],SalesByUTMDaily[day],TableDailySummary[[#This Row],[Fecha]])</f>
        <v>0</v>
      </c>
      <c r="AB58" s="12">
        <f>TableDailySummary[[#This Row],[Inversión google ads]]+TableDailySummary[[#This Row],[Inversión meta ads]]</f>
        <v>137197.95000000001</v>
      </c>
      <c r="AC58" s="12">
        <f>TableDailySummary[[#This Row],[Ventas google ads]]+TableDailySummary[[#This Row],[Ventas meta ads]]</f>
        <v>0</v>
      </c>
      <c r="AD58" s="14">
        <f>IFERROR(TableDailySummary[[#This Row],[Ventas publicidad]]/TableDailySummary[[#This Row],[Inversión publicidad]],0)</f>
        <v>0</v>
      </c>
      <c r="AE58" s="14">
        <f>IFERROR(TableDailySummary[[#This Row],[Ventas primer cliente]]/TableDailySummary[[#This Row],[Inversión publicidad]],0)</f>
        <v>14.375352620064657</v>
      </c>
      <c r="AF58" s="14"/>
      <c r="AG58" s="12"/>
      <c r="AM58" s="12">
        <f>_xlfn.XLOOKUP(TableDailySummary[[#This Row],[Fecha]],SummaryDaily[day],SummaryDaily[net_sales_with_cost_recorded],0)</f>
        <v>3010924.37</v>
      </c>
      <c r="AN58" s="12">
        <f>_xlfn.XLOOKUP(TableDailySummary[[#This Row],[Fecha]],SummaryDaily[day],SummaryDaily[cost_of_goods_sold],0)</f>
        <v>757275</v>
      </c>
      <c r="AO58" s="12">
        <f>_xlfn.XLOOKUP(TableDailySummary[[#This Row],[Fecha]],SummaryDaily[day],SummaryDaily[gross_profit],0)</f>
        <v>2253649.37</v>
      </c>
      <c r="AP58" s="18">
        <f>IFERROR(TableDailySummary[[#This Row],[Utilidad bruta]]/TableDailySummary[[#This Row],[Ventas netas con costo registrado]],0)</f>
        <v>0.74849085963590645</v>
      </c>
    </row>
    <row r="59" spans="2:42" x14ac:dyDescent="0.2">
      <c r="B59" s="15" cm="1">
        <f t="array" ref="B59">MIN(SummaryDaily[day]) + (ROW(TableDailySummary[#This Row]) - ROW(TableDailySummary[[#Headers],[Dia]]) - 1)</f>
        <v>45830</v>
      </c>
      <c r="C59" s="6">
        <f>TableDailySummary[[#This Row],[Dia]]</f>
        <v>45830</v>
      </c>
      <c r="D59" s="12">
        <f>_xlfn.XLOOKUP(TableDailySummary[[#This Row],[Fecha]],SummaryDaily[day],SummaryDaily[net_sales],0)</f>
        <v>2680294.14</v>
      </c>
      <c r="E59" s="12">
        <f>_xlfn.XLOOKUP(TableDailySummary[[#This Row],[Fecha]],SummaryDaily[day],SummaryDaily[orders],0)</f>
        <v>27</v>
      </c>
      <c r="F59" s="12">
        <f>_xlfn.XLOOKUP(TableDailySummary[[#This Row],[Fecha]],SummaryDaily[day],SummaryDaily[average_order_value],0)</f>
        <v>115610.022</v>
      </c>
      <c r="G59" s="24">
        <f>_xlfn.XLOOKUP(TableDailySummary[[#This Row],[Fecha]],SummaryDaily[day],SummaryDaily[Total site_conversion_rate],0)</f>
        <v>4.6189376443418013E-3</v>
      </c>
      <c r="H59" s="12">
        <f>TableDailySummary[[#This Row],[Órden promedio totales]]*TableDailySummary[[#This Row],[CR totales]]</f>
        <v>533.99548267898376</v>
      </c>
      <c r="I59" s="12">
        <f>_xlfn.XLOOKUP(TableDailySummary[[#This Row],[Fecha]],SummaryDaily[day],SummaryDaily[new_net_sales],0)</f>
        <v>2188697.5</v>
      </c>
      <c r="J59" s="12">
        <f>_xlfn.XLOOKUP(TableDailySummary[[#This Row],[Fecha]],SummaryDaily[day],SummaryDaily[new_orders],0)</f>
        <v>20</v>
      </c>
      <c r="K59" s="12">
        <f>_xlfn.XLOOKUP(TableDailySummary[[#This Row],[Fecha]],SummaryDaily[day],SummaryDaily[new_average_order_value],0)</f>
        <v>109434.875</v>
      </c>
      <c r="L59" s="12">
        <f>_xlfn.XLOOKUP(TableDailySummary[[#This Row],[Fecha]],SummaryDaily[day],SummaryDaily[Online Store_net_sales],0)</f>
        <v>2680294.14</v>
      </c>
      <c r="M59" s="12">
        <f>_xlfn.XLOOKUP(TableDailySummary[[#This Row],[Fecha]],SummaryDaily[day],SummaryDaily[Online Store_orders],0)</f>
        <v>27</v>
      </c>
      <c r="N59" s="12">
        <f>_xlfn.XLOOKUP(TableDailySummary[[#This Row],[Fecha]],SummaryDaily[day],SummaryDaily[Online Store_average_order_value],0)</f>
        <v>115610.022</v>
      </c>
      <c r="O59" s="12">
        <f>_xlfn.XLOOKUP(TableDailySummary[[#This Row],[Fecha]],SummaryDaily[day],SummaryDaily[Tienda 81_net_sales],0)</f>
        <v>0</v>
      </c>
      <c r="P59" s="12">
        <f>_xlfn.XLOOKUP(TableDailySummary[[#This Row],[Fecha]],SummaryDaily[day],SummaryDaily[Tienda 81_orders],0)</f>
        <v>0</v>
      </c>
      <c r="Q59" s="12">
        <f>_xlfn.XLOOKUP(TableDailySummary[[#This Row],[Fecha]],SummaryDaily[day],SummaryDaily[Tienda 81_average_order_value],0)</f>
        <v>0</v>
      </c>
      <c r="R59" s="12">
        <f>_xlfn.XLOOKUP(TableDailySummary[[#This Row],[Fecha]],SummaryDaily[day],SummaryDaily[Rappi_net_sales],0)</f>
        <v>0</v>
      </c>
      <c r="S59" s="12">
        <f>_xlfn.XLOOKUP(TableDailySummary[[#This Row],[Fecha]],SummaryDaily[day],SummaryDaily[Rappi_orders],0)</f>
        <v>0</v>
      </c>
      <c r="T59" s="12">
        <f>_xlfn.XLOOKUP(TableDailySummary[[#This Row],[Fecha]],SummaryDaily[day],SummaryDaily[Rappi_average_order_value],0)</f>
        <v>0</v>
      </c>
      <c r="U59" s="12">
        <f>_xlfn.XLOOKUP(TableDailySummary[[#This Row],[Fecha]],SummaryDaily[day],SummaryDaily[Corporativo no tienda_net_sales],0)</f>
        <v>0</v>
      </c>
      <c r="V59" s="12">
        <f>_xlfn.XLOOKUP(TableDailySummary[[#This Row],[Fecha]],SummaryDaily[day],SummaryDaily[Corporativo no tienda_orders],0)</f>
        <v>0</v>
      </c>
      <c r="W59" s="12">
        <f>_xlfn.XLOOKUP(TableDailySummary[[#This Row],[Fecha]],SummaryDaily[day],SummaryDaily[Corporativo no tienda_average_order_value],0)</f>
        <v>0</v>
      </c>
      <c r="X59" s="12">
        <f>_xlfn.XLOOKUP(TableDailySummary[[#This Row],[Fecha]],SummaryDaily[day],SummaryDaily[GoogleAdsOperation.Cost],0)</f>
        <v>101950.57</v>
      </c>
      <c r="Y59" s="12">
        <f>SUMIFS(SalesByUTMDaily[google],SalesByUTMDaily[day],TableDailySummary[[#This Row],[Fecha]])</f>
        <v>0</v>
      </c>
      <c r="Z59" s="12">
        <f>_xlfn.XLOOKUP(TableDailySummary[[#This Row],[Fecha]],SummaryDaily[day],SummaryDaily[MetaAdsOperation.spend],0)</f>
        <v>45170</v>
      </c>
      <c r="AA59" s="12">
        <f>SUMIFS(SalesByUTMDaily[facebook],SalesByUTMDaily[day],TableDailySummary[[#This Row],[Fecha]])</f>
        <v>0</v>
      </c>
      <c r="AB59" s="12">
        <f>TableDailySummary[[#This Row],[Inversión google ads]]+TableDailySummary[[#This Row],[Inversión meta ads]]</f>
        <v>147120.57</v>
      </c>
      <c r="AC59" s="12">
        <f>TableDailySummary[[#This Row],[Ventas google ads]]+TableDailySummary[[#This Row],[Ventas meta ads]]</f>
        <v>0</v>
      </c>
      <c r="AD59" s="14">
        <f>IFERROR(TableDailySummary[[#This Row],[Ventas publicidad]]/TableDailySummary[[#This Row],[Inversión publicidad]],0)</f>
        <v>0</v>
      </c>
      <c r="AE59" s="14">
        <f>IFERROR(TableDailySummary[[#This Row],[Ventas primer cliente]]/TableDailySummary[[#This Row],[Inversión publicidad]],0)</f>
        <v>14.876896548184934</v>
      </c>
      <c r="AF59" s="14"/>
      <c r="AG59" s="12"/>
      <c r="AM59" s="12">
        <f>_xlfn.XLOOKUP(TableDailySummary[[#This Row],[Fecha]],SummaryDaily[day],SummaryDaily[net_sales_with_cost_recorded],0)</f>
        <v>2680294.14</v>
      </c>
      <c r="AN59" s="12">
        <f>_xlfn.XLOOKUP(TableDailySummary[[#This Row],[Fecha]],SummaryDaily[day],SummaryDaily[cost_of_goods_sold],0)</f>
        <v>793531</v>
      </c>
      <c r="AO59" s="12">
        <f>_xlfn.XLOOKUP(TableDailySummary[[#This Row],[Fecha]],SummaryDaily[day],SummaryDaily[gross_profit],0)</f>
        <v>1886763.14</v>
      </c>
      <c r="AP59" s="18">
        <f>IFERROR(TableDailySummary[[#This Row],[Utilidad bruta]]/TableDailySummary[[#This Row],[Ventas netas con costo registrado]],0)</f>
        <v>0.70393883710091598</v>
      </c>
    </row>
    <row r="60" spans="2:42" x14ac:dyDescent="0.2">
      <c r="B60" s="15" cm="1">
        <f t="array" ref="B60">MIN(SummaryDaily[day]) + (ROW(TableDailySummary[#This Row]) - ROW(TableDailySummary[[#Headers],[Dia]]) - 1)</f>
        <v>45831</v>
      </c>
      <c r="C60" s="6">
        <f>TableDailySummary[[#This Row],[Dia]]</f>
        <v>45831</v>
      </c>
      <c r="D60" s="12">
        <f>_xlfn.XLOOKUP(TableDailySummary[[#This Row],[Fecha]],SummaryDaily[day],SummaryDaily[net_sales],0)</f>
        <v>3908403.4</v>
      </c>
      <c r="E60" s="12">
        <f>_xlfn.XLOOKUP(TableDailySummary[[#This Row],[Fecha]],SummaryDaily[day],SummaryDaily[orders],0)</f>
        <v>43</v>
      </c>
      <c r="F60" s="12">
        <f>_xlfn.XLOOKUP(TableDailySummary[[#This Row],[Fecha]],SummaryDaily[day],SummaryDaily[average_order_value],0)</f>
        <v>90893.101999999999</v>
      </c>
      <c r="G60" s="24">
        <f>_xlfn.XLOOKUP(TableDailySummary[[#This Row],[Fecha]],SummaryDaily[day],SummaryDaily[Total site_conversion_rate],0)</f>
        <v>3.7418147801683817E-3</v>
      </c>
      <c r="H60" s="12">
        <f>TableDailySummary[[#This Row],[Órden promedio totales]]*TableDailySummary[[#This Row],[CR totales]]</f>
        <v>340.10515247895228</v>
      </c>
      <c r="I60" s="12">
        <f>_xlfn.XLOOKUP(TableDailySummary[[#This Row],[Fecha]],SummaryDaily[day],SummaryDaily[new_net_sales],0)</f>
        <v>2807563.05</v>
      </c>
      <c r="J60" s="12">
        <f>_xlfn.XLOOKUP(TableDailySummary[[#This Row],[Fecha]],SummaryDaily[day],SummaryDaily[new_orders],0)</f>
        <v>29</v>
      </c>
      <c r="K60" s="12">
        <f>_xlfn.XLOOKUP(TableDailySummary[[#This Row],[Fecha]],SummaryDaily[day],SummaryDaily[new_average_order_value],0)</f>
        <v>96812.517999999996</v>
      </c>
      <c r="L60" s="12">
        <f>_xlfn.XLOOKUP(TableDailySummary[[#This Row],[Fecha]],SummaryDaily[day],SummaryDaily[Online Store_net_sales],0)</f>
        <v>3908403.4</v>
      </c>
      <c r="M60" s="12">
        <f>_xlfn.XLOOKUP(TableDailySummary[[#This Row],[Fecha]],SummaryDaily[day],SummaryDaily[Online Store_orders],0)</f>
        <v>43</v>
      </c>
      <c r="N60" s="12">
        <f>_xlfn.XLOOKUP(TableDailySummary[[#This Row],[Fecha]],SummaryDaily[day],SummaryDaily[Online Store_average_order_value],0)</f>
        <v>90893.101999999999</v>
      </c>
      <c r="O60" s="12">
        <f>_xlfn.XLOOKUP(TableDailySummary[[#This Row],[Fecha]],SummaryDaily[day],SummaryDaily[Tienda 81_net_sales],0)</f>
        <v>0</v>
      </c>
      <c r="P60" s="12">
        <f>_xlfn.XLOOKUP(TableDailySummary[[#This Row],[Fecha]],SummaryDaily[day],SummaryDaily[Tienda 81_orders],0)</f>
        <v>0</v>
      </c>
      <c r="Q60" s="12">
        <f>_xlfn.XLOOKUP(TableDailySummary[[#This Row],[Fecha]],SummaryDaily[day],SummaryDaily[Tienda 81_average_order_value],0)</f>
        <v>0</v>
      </c>
      <c r="R60" s="12">
        <f>_xlfn.XLOOKUP(TableDailySummary[[#This Row],[Fecha]],SummaryDaily[day],SummaryDaily[Rappi_net_sales],0)</f>
        <v>0</v>
      </c>
      <c r="S60" s="12">
        <f>_xlfn.XLOOKUP(TableDailySummary[[#This Row],[Fecha]],SummaryDaily[day],SummaryDaily[Rappi_orders],0)</f>
        <v>0</v>
      </c>
      <c r="T60" s="12">
        <f>_xlfn.XLOOKUP(TableDailySummary[[#This Row],[Fecha]],SummaryDaily[day],SummaryDaily[Rappi_average_order_value],0)</f>
        <v>0</v>
      </c>
      <c r="U60" s="12">
        <f>_xlfn.XLOOKUP(TableDailySummary[[#This Row],[Fecha]],SummaryDaily[day],SummaryDaily[Corporativo no tienda_net_sales],0)</f>
        <v>0</v>
      </c>
      <c r="V60" s="12">
        <f>_xlfn.XLOOKUP(TableDailySummary[[#This Row],[Fecha]],SummaryDaily[day],SummaryDaily[Corporativo no tienda_orders],0)</f>
        <v>0</v>
      </c>
      <c r="W60" s="12">
        <f>_xlfn.XLOOKUP(TableDailySummary[[#This Row],[Fecha]],SummaryDaily[day],SummaryDaily[Corporativo no tienda_average_order_value],0)</f>
        <v>0</v>
      </c>
      <c r="X60" s="12">
        <f>_xlfn.XLOOKUP(TableDailySummary[[#This Row],[Fecha]],SummaryDaily[day],SummaryDaily[GoogleAdsOperation.Cost],0)</f>
        <v>73606.14</v>
      </c>
      <c r="Y60" s="12">
        <f>SUMIFS(SalesByUTMDaily[google],SalesByUTMDaily[day],TableDailySummary[[#This Row],[Fecha]])</f>
        <v>0</v>
      </c>
      <c r="Z60" s="12">
        <f>_xlfn.XLOOKUP(TableDailySummary[[#This Row],[Fecha]],SummaryDaily[day],SummaryDaily[MetaAdsOperation.spend],0)</f>
        <v>38444</v>
      </c>
      <c r="AA60" s="12">
        <f>SUMIFS(SalesByUTMDaily[facebook],SalesByUTMDaily[day],TableDailySummary[[#This Row],[Fecha]])</f>
        <v>139500</v>
      </c>
      <c r="AB60" s="12">
        <f>TableDailySummary[[#This Row],[Inversión google ads]]+TableDailySummary[[#This Row],[Inversión meta ads]]</f>
        <v>112050.14</v>
      </c>
      <c r="AC60" s="12">
        <f>TableDailySummary[[#This Row],[Ventas google ads]]+TableDailySummary[[#This Row],[Ventas meta ads]]</f>
        <v>139500</v>
      </c>
      <c r="AD60" s="14">
        <f>IFERROR(TableDailySummary[[#This Row],[Ventas publicidad]]/TableDailySummary[[#This Row],[Inversión publicidad]],0)</f>
        <v>1.2449783641501921</v>
      </c>
      <c r="AE60" s="14">
        <f>IFERROR(TableDailySummary[[#This Row],[Ventas primer cliente]]/TableDailySummary[[#This Row],[Inversión publicidad]],0)</f>
        <v>25.05631005905035</v>
      </c>
      <c r="AF60" s="14"/>
      <c r="AG60" s="12"/>
      <c r="AM60" s="12">
        <f>_xlfn.XLOOKUP(TableDailySummary[[#This Row],[Fecha]],SummaryDaily[day],SummaryDaily[net_sales_with_cost_recorded],0)</f>
        <v>3908403.4</v>
      </c>
      <c r="AN60" s="12">
        <f>_xlfn.XLOOKUP(TableDailySummary[[#This Row],[Fecha]],SummaryDaily[day],SummaryDaily[cost_of_goods_sold],0)</f>
        <v>982570</v>
      </c>
      <c r="AO60" s="12">
        <f>_xlfn.XLOOKUP(TableDailySummary[[#This Row],[Fecha]],SummaryDaily[day],SummaryDaily[gross_profit],0)</f>
        <v>2925833.4</v>
      </c>
      <c r="AP60" s="18">
        <f>IFERROR(TableDailySummary[[#This Row],[Utilidad bruta]]/TableDailySummary[[#This Row],[Ventas netas con costo registrado]],0)</f>
        <v>0.74860066900975475</v>
      </c>
    </row>
    <row r="61" spans="2:42" x14ac:dyDescent="0.2">
      <c r="B61" s="15" cm="1">
        <f t="array" ref="B61">MIN(SummaryDaily[day]) + (ROW(TableDailySummary[#This Row]) - ROW(TableDailySummary[[#Headers],[Dia]]) - 1)</f>
        <v>45832</v>
      </c>
      <c r="C61" s="6">
        <f>TableDailySummary[[#This Row],[Dia]]</f>
        <v>45832</v>
      </c>
      <c r="D61" s="12">
        <f>_xlfn.XLOOKUP(TableDailySummary[[#This Row],[Fecha]],SummaryDaily[day],SummaryDaily[net_sales],0)</f>
        <v>8387394.9800000004</v>
      </c>
      <c r="E61" s="12">
        <f>_xlfn.XLOOKUP(TableDailySummary[[#This Row],[Fecha]],SummaryDaily[day],SummaryDaily[orders],0)</f>
        <v>9</v>
      </c>
      <c r="F61" s="12">
        <f>_xlfn.XLOOKUP(TableDailySummary[[#This Row],[Fecha]],SummaryDaily[day],SummaryDaily[average_order_value],0)</f>
        <v>934733.89500000002</v>
      </c>
      <c r="G61" s="24">
        <f>_xlfn.XLOOKUP(TableDailySummary[[#This Row],[Fecha]],SummaryDaily[day],SummaryDaily[Total site_conversion_rate],0)</f>
        <v>5.8479532163742687E-3</v>
      </c>
      <c r="H61" s="12">
        <f>TableDailySummary[[#This Row],[Órden promedio totales]]*TableDailySummary[[#This Row],[CR totales]]</f>
        <v>5466.2800877192976</v>
      </c>
      <c r="I61" s="12">
        <f>_xlfn.XLOOKUP(TableDailySummary[[#This Row],[Fecha]],SummaryDaily[day],SummaryDaily[new_net_sales],0)</f>
        <v>755462.2</v>
      </c>
      <c r="J61" s="12">
        <f>_xlfn.XLOOKUP(TableDailySummary[[#This Row],[Fecha]],SummaryDaily[day],SummaryDaily[new_orders],0)</f>
        <v>5</v>
      </c>
      <c r="K61" s="12">
        <f>_xlfn.XLOOKUP(TableDailySummary[[#This Row],[Fecha]],SummaryDaily[day],SummaryDaily[new_average_order_value],0)</f>
        <v>156134.45600000001</v>
      </c>
      <c r="L61" s="12">
        <f>_xlfn.XLOOKUP(TableDailySummary[[#This Row],[Fecha]],SummaryDaily[day],SummaryDaily[Online Store_net_sales],0)</f>
        <v>8387394.9800000004</v>
      </c>
      <c r="M61" s="12">
        <f>_xlfn.XLOOKUP(TableDailySummary[[#This Row],[Fecha]],SummaryDaily[day],SummaryDaily[Online Store_orders],0)</f>
        <v>9</v>
      </c>
      <c r="N61" s="12">
        <f>_xlfn.XLOOKUP(TableDailySummary[[#This Row],[Fecha]],SummaryDaily[day],SummaryDaily[Online Store_average_order_value],0)</f>
        <v>934733.89500000002</v>
      </c>
      <c r="O61" s="12">
        <f>_xlfn.XLOOKUP(TableDailySummary[[#This Row],[Fecha]],SummaryDaily[day],SummaryDaily[Tienda 81_net_sales],0)</f>
        <v>0</v>
      </c>
      <c r="P61" s="12">
        <f>_xlfn.XLOOKUP(TableDailySummary[[#This Row],[Fecha]],SummaryDaily[day],SummaryDaily[Tienda 81_orders],0)</f>
        <v>0</v>
      </c>
      <c r="Q61" s="12">
        <f>_xlfn.XLOOKUP(TableDailySummary[[#This Row],[Fecha]],SummaryDaily[day],SummaryDaily[Tienda 81_average_order_value],0)</f>
        <v>0</v>
      </c>
      <c r="R61" s="12">
        <f>_xlfn.XLOOKUP(TableDailySummary[[#This Row],[Fecha]],SummaryDaily[day],SummaryDaily[Rappi_net_sales],0)</f>
        <v>0</v>
      </c>
      <c r="S61" s="12">
        <f>_xlfn.XLOOKUP(TableDailySummary[[#This Row],[Fecha]],SummaryDaily[day],SummaryDaily[Rappi_orders],0)</f>
        <v>0</v>
      </c>
      <c r="T61" s="12">
        <f>_xlfn.XLOOKUP(TableDailySummary[[#This Row],[Fecha]],SummaryDaily[day],SummaryDaily[Rappi_average_order_value],0)</f>
        <v>0</v>
      </c>
      <c r="U61" s="12">
        <f>_xlfn.XLOOKUP(TableDailySummary[[#This Row],[Fecha]],SummaryDaily[day],SummaryDaily[Corporativo no tienda_net_sales],0)</f>
        <v>0</v>
      </c>
      <c r="V61" s="12">
        <f>_xlfn.XLOOKUP(TableDailySummary[[#This Row],[Fecha]],SummaryDaily[day],SummaryDaily[Corporativo no tienda_orders],0)</f>
        <v>0</v>
      </c>
      <c r="W61" s="12">
        <f>_xlfn.XLOOKUP(TableDailySummary[[#This Row],[Fecha]],SummaryDaily[day],SummaryDaily[Corporativo no tienda_average_order_value],0)</f>
        <v>0</v>
      </c>
      <c r="X61" s="12">
        <f>_xlfn.XLOOKUP(TableDailySummary[[#This Row],[Fecha]],SummaryDaily[day],SummaryDaily[GoogleAdsOperation.Cost],0)</f>
        <v>104924.24</v>
      </c>
      <c r="Y61" s="12">
        <f>SUMIFS(SalesByUTMDaily[google],SalesByUTMDaily[day],TableDailySummary[[#This Row],[Fecha]])</f>
        <v>0</v>
      </c>
      <c r="Z61" s="12">
        <f>_xlfn.XLOOKUP(TableDailySummary[[#This Row],[Fecha]],SummaryDaily[day],SummaryDaily[MetaAdsOperation.spend],0)</f>
        <v>37139</v>
      </c>
      <c r="AA61" s="12">
        <f>SUMIFS(SalesByUTMDaily[facebook],SalesByUTMDaily[day],TableDailySummary[[#This Row],[Fecha]])</f>
        <v>79000</v>
      </c>
      <c r="AB61" s="12">
        <f>TableDailySummary[[#This Row],[Inversión google ads]]+TableDailySummary[[#This Row],[Inversión meta ads]]</f>
        <v>142063.24</v>
      </c>
      <c r="AC61" s="12">
        <f>TableDailySummary[[#This Row],[Ventas google ads]]+TableDailySummary[[#This Row],[Ventas meta ads]]</f>
        <v>79000</v>
      </c>
      <c r="AD61" s="14">
        <f>IFERROR(TableDailySummary[[#This Row],[Ventas publicidad]]/TableDailySummary[[#This Row],[Inversión publicidad]],0)</f>
        <v>0.55609037214693968</v>
      </c>
      <c r="AE61" s="14">
        <f>IFERROR(TableDailySummary[[#This Row],[Ventas primer cliente]]/TableDailySummary[[#This Row],[Inversión publicidad]],0)</f>
        <v>5.3177880498853893</v>
      </c>
      <c r="AF61" s="14"/>
      <c r="AG61" s="12"/>
      <c r="AM61" s="12">
        <f>_xlfn.XLOOKUP(TableDailySummary[[#This Row],[Fecha]],SummaryDaily[day],SummaryDaily[net_sales_with_cost_recorded],0)</f>
        <v>8387394.9800000004</v>
      </c>
      <c r="AN61" s="12">
        <f>_xlfn.XLOOKUP(TableDailySummary[[#This Row],[Fecha]],SummaryDaily[day],SummaryDaily[cost_of_goods_sold],0)</f>
        <v>4005430</v>
      </c>
      <c r="AO61" s="12">
        <f>_xlfn.XLOOKUP(TableDailySummary[[#This Row],[Fecha]],SummaryDaily[day],SummaryDaily[gross_profit],0)</f>
        <v>4381964.9800000004</v>
      </c>
      <c r="AP61" s="18">
        <f>IFERROR(TableDailySummary[[#This Row],[Utilidad bruta]]/TableDailySummary[[#This Row],[Ventas netas con costo registrado]],0)</f>
        <v>0.52244647956235868</v>
      </c>
    </row>
    <row r="62" spans="2:42" x14ac:dyDescent="0.2">
      <c r="B62" s="15" cm="1">
        <f t="array" ref="B62">MIN(SummaryDaily[day]) + (ROW(TableDailySummary[#This Row]) - ROW(TableDailySummary[[#Headers],[Dia]]) - 1)</f>
        <v>45833</v>
      </c>
      <c r="C62" s="6">
        <f>TableDailySummary[[#This Row],[Dia]]</f>
        <v>45833</v>
      </c>
      <c r="D62" s="12">
        <f>_xlfn.XLOOKUP(TableDailySummary[[#This Row],[Fecha]],SummaryDaily[day],SummaryDaily[net_sales],0)</f>
        <v>1122949.58</v>
      </c>
      <c r="E62" s="12">
        <f>_xlfn.XLOOKUP(TableDailySummary[[#This Row],[Fecha]],SummaryDaily[day],SummaryDaily[orders],0)</f>
        <v>9</v>
      </c>
      <c r="F62" s="12">
        <f>_xlfn.XLOOKUP(TableDailySummary[[#This Row],[Fecha]],SummaryDaily[day],SummaryDaily[average_order_value],0)</f>
        <v>149112.98000000001</v>
      </c>
      <c r="G62" s="24">
        <f>_xlfn.XLOOKUP(TableDailySummary[[#This Row],[Fecha]],SummaryDaily[day],SummaryDaily[Total site_conversion_rate],0)</f>
        <v>6.6777963272120202E-3</v>
      </c>
      <c r="H62" s="12">
        <f>TableDailySummary[[#This Row],[Órden promedio totales]]*TableDailySummary[[#This Row],[CR totales]]</f>
        <v>995.74611018363953</v>
      </c>
      <c r="I62" s="12">
        <f>_xlfn.XLOOKUP(TableDailySummary[[#This Row],[Fecha]],SummaryDaily[day],SummaryDaily[new_net_sales],0)</f>
        <v>505882.36</v>
      </c>
      <c r="J62" s="12">
        <f>_xlfn.XLOOKUP(TableDailySummary[[#This Row],[Fecha]],SummaryDaily[day],SummaryDaily[new_orders],0)</f>
        <v>5</v>
      </c>
      <c r="K62" s="12">
        <f>_xlfn.XLOOKUP(TableDailySummary[[#This Row],[Fecha]],SummaryDaily[day],SummaryDaily[new_average_order_value],0)</f>
        <v>101176.47199999999</v>
      </c>
      <c r="L62" s="12">
        <f>_xlfn.XLOOKUP(TableDailySummary[[#This Row],[Fecha]],SummaryDaily[day],SummaryDaily[Online Store_net_sales],0)</f>
        <v>1122949.58</v>
      </c>
      <c r="M62" s="12">
        <f>_xlfn.XLOOKUP(TableDailySummary[[#This Row],[Fecha]],SummaryDaily[day],SummaryDaily[Online Store_orders],0)</f>
        <v>9</v>
      </c>
      <c r="N62" s="12">
        <f>_xlfn.XLOOKUP(TableDailySummary[[#This Row],[Fecha]],SummaryDaily[day],SummaryDaily[Online Store_average_order_value],0)</f>
        <v>149112.98000000001</v>
      </c>
      <c r="O62" s="12">
        <f>_xlfn.XLOOKUP(TableDailySummary[[#This Row],[Fecha]],SummaryDaily[day],SummaryDaily[Tienda 81_net_sales],0)</f>
        <v>0</v>
      </c>
      <c r="P62" s="12">
        <f>_xlfn.XLOOKUP(TableDailySummary[[#This Row],[Fecha]],SummaryDaily[day],SummaryDaily[Tienda 81_orders],0)</f>
        <v>0</v>
      </c>
      <c r="Q62" s="12">
        <f>_xlfn.XLOOKUP(TableDailySummary[[#This Row],[Fecha]],SummaryDaily[day],SummaryDaily[Tienda 81_average_order_value],0)</f>
        <v>0</v>
      </c>
      <c r="R62" s="12">
        <f>_xlfn.XLOOKUP(TableDailySummary[[#This Row],[Fecha]],SummaryDaily[day],SummaryDaily[Rappi_net_sales],0)</f>
        <v>0</v>
      </c>
      <c r="S62" s="12">
        <f>_xlfn.XLOOKUP(TableDailySummary[[#This Row],[Fecha]],SummaryDaily[day],SummaryDaily[Rappi_orders],0)</f>
        <v>0</v>
      </c>
      <c r="T62" s="12">
        <f>_xlfn.XLOOKUP(TableDailySummary[[#This Row],[Fecha]],SummaryDaily[day],SummaryDaily[Rappi_average_order_value],0)</f>
        <v>0</v>
      </c>
      <c r="U62" s="12">
        <f>_xlfn.XLOOKUP(TableDailySummary[[#This Row],[Fecha]],SummaryDaily[day],SummaryDaily[Corporativo no tienda_net_sales],0)</f>
        <v>0</v>
      </c>
      <c r="V62" s="12">
        <f>_xlfn.XLOOKUP(TableDailySummary[[#This Row],[Fecha]],SummaryDaily[day],SummaryDaily[Corporativo no tienda_orders],0)</f>
        <v>0</v>
      </c>
      <c r="W62" s="12">
        <f>_xlfn.XLOOKUP(TableDailySummary[[#This Row],[Fecha]],SummaryDaily[day],SummaryDaily[Corporativo no tienda_average_order_value],0)</f>
        <v>0</v>
      </c>
      <c r="X62" s="12">
        <f>_xlfn.XLOOKUP(TableDailySummary[[#This Row],[Fecha]],SummaryDaily[day],SummaryDaily[GoogleAdsOperation.Cost],0)</f>
        <v>94456.02</v>
      </c>
      <c r="Y62" s="12">
        <f>SUMIFS(SalesByUTMDaily[google],SalesByUTMDaily[day],TableDailySummary[[#This Row],[Fecha]])</f>
        <v>0</v>
      </c>
      <c r="Z62" s="12">
        <f>_xlfn.XLOOKUP(TableDailySummary[[#This Row],[Fecha]],SummaryDaily[day],SummaryDaily[MetaAdsOperation.spend],0)</f>
        <v>49665</v>
      </c>
      <c r="AA62" s="12">
        <f>SUMIFS(SalesByUTMDaily[facebook],SalesByUTMDaily[day],TableDailySummary[[#This Row],[Fecha]])</f>
        <v>0</v>
      </c>
      <c r="AB62" s="12">
        <f>TableDailySummary[[#This Row],[Inversión google ads]]+TableDailySummary[[#This Row],[Inversión meta ads]]</f>
        <v>144121.02000000002</v>
      </c>
      <c r="AC62" s="12">
        <f>TableDailySummary[[#This Row],[Ventas google ads]]+TableDailySummary[[#This Row],[Ventas meta ads]]</f>
        <v>0</v>
      </c>
      <c r="AD62" s="14">
        <f>IFERROR(TableDailySummary[[#This Row],[Ventas publicidad]]/TableDailySummary[[#This Row],[Inversión publicidad]],0)</f>
        <v>0</v>
      </c>
      <c r="AE62" s="14">
        <f>IFERROR(TableDailySummary[[#This Row],[Ventas primer cliente]]/TableDailySummary[[#This Row],[Inversión publicidad]],0)</f>
        <v>3.5101219794308971</v>
      </c>
      <c r="AF62" s="14"/>
      <c r="AG62" s="12"/>
      <c r="AM62" s="12">
        <f>_xlfn.XLOOKUP(TableDailySummary[[#This Row],[Fecha]],SummaryDaily[day],SummaryDaily[net_sales_with_cost_recorded],0)</f>
        <v>998949.58</v>
      </c>
      <c r="AN62" s="12">
        <f>_xlfn.XLOOKUP(TableDailySummary[[#This Row],[Fecha]],SummaryDaily[day],SummaryDaily[cost_of_goods_sold],0)</f>
        <v>467266</v>
      </c>
      <c r="AO62" s="12">
        <f>_xlfn.XLOOKUP(TableDailySummary[[#This Row],[Fecha]],SummaryDaily[day],SummaryDaily[gross_profit],0)</f>
        <v>531683.57999999996</v>
      </c>
      <c r="AP62" s="18">
        <f>IFERROR(TableDailySummary[[#This Row],[Utilidad bruta]]/TableDailySummary[[#This Row],[Ventas netas con costo registrado]],0)</f>
        <v>0.53224265833316631</v>
      </c>
    </row>
    <row r="63" spans="2:42" x14ac:dyDescent="0.2">
      <c r="B63" s="15" cm="1">
        <f t="array" ref="B63">MIN(SummaryDaily[day]) + (ROW(TableDailySummary[#This Row]) - ROW(TableDailySummary[[#Headers],[Dia]]) - 1)</f>
        <v>45834</v>
      </c>
      <c r="C63" s="6">
        <f>TableDailySummary[[#This Row],[Dia]]</f>
        <v>45834</v>
      </c>
      <c r="D63" s="12">
        <f>_xlfn.XLOOKUP(TableDailySummary[[#This Row],[Fecha]],SummaryDaily[day],SummaryDaily[net_sales],0)</f>
        <v>1221302.53</v>
      </c>
      <c r="E63" s="12">
        <f>_xlfn.XLOOKUP(TableDailySummary[[#This Row],[Fecha]],SummaryDaily[day],SummaryDaily[orders],0)</f>
        <v>11</v>
      </c>
      <c r="F63" s="12">
        <f>_xlfn.XLOOKUP(TableDailySummary[[#This Row],[Fecha]],SummaryDaily[day],SummaryDaily[average_order_value],0)</f>
        <v>111027.50199999999</v>
      </c>
      <c r="G63" s="24">
        <f>_xlfn.XLOOKUP(TableDailySummary[[#This Row],[Fecha]],SummaryDaily[day],SummaryDaily[Total site_conversion_rate],0)</f>
        <v>5.3804765564950041E-3</v>
      </c>
      <c r="H63" s="12">
        <f>TableDailySummary[[#This Row],[Órden promedio totales]]*TableDailySummary[[#This Row],[CR totales]]</f>
        <v>597.38087163720218</v>
      </c>
      <c r="I63" s="12">
        <f>_xlfn.XLOOKUP(TableDailySummary[[#This Row],[Fecha]],SummaryDaily[day],SummaryDaily[new_net_sales],0)</f>
        <v>681512.61</v>
      </c>
      <c r="J63" s="12">
        <f>_xlfn.XLOOKUP(TableDailySummary[[#This Row],[Fecha]],SummaryDaily[day],SummaryDaily[new_orders],0)</f>
        <v>6</v>
      </c>
      <c r="K63" s="12">
        <f>_xlfn.XLOOKUP(TableDailySummary[[#This Row],[Fecha]],SummaryDaily[day],SummaryDaily[new_average_order_value],0)</f>
        <v>113585.435</v>
      </c>
      <c r="L63" s="12">
        <f>_xlfn.XLOOKUP(TableDailySummary[[#This Row],[Fecha]],SummaryDaily[day],SummaryDaily[Online Store_net_sales],0)</f>
        <v>1221302.53</v>
      </c>
      <c r="M63" s="12">
        <f>_xlfn.XLOOKUP(TableDailySummary[[#This Row],[Fecha]],SummaryDaily[day],SummaryDaily[Online Store_orders],0)</f>
        <v>11</v>
      </c>
      <c r="N63" s="12">
        <f>_xlfn.XLOOKUP(TableDailySummary[[#This Row],[Fecha]],SummaryDaily[day],SummaryDaily[Online Store_average_order_value],0)</f>
        <v>111027.50199999999</v>
      </c>
      <c r="O63" s="12">
        <f>_xlfn.XLOOKUP(TableDailySummary[[#This Row],[Fecha]],SummaryDaily[day],SummaryDaily[Tienda 81_net_sales],0)</f>
        <v>0</v>
      </c>
      <c r="P63" s="12">
        <f>_xlfn.XLOOKUP(TableDailySummary[[#This Row],[Fecha]],SummaryDaily[day],SummaryDaily[Tienda 81_orders],0)</f>
        <v>0</v>
      </c>
      <c r="Q63" s="12">
        <f>_xlfn.XLOOKUP(TableDailySummary[[#This Row],[Fecha]],SummaryDaily[day],SummaryDaily[Tienda 81_average_order_value],0)</f>
        <v>0</v>
      </c>
      <c r="R63" s="12">
        <f>_xlfn.XLOOKUP(TableDailySummary[[#This Row],[Fecha]],SummaryDaily[day],SummaryDaily[Rappi_net_sales],0)</f>
        <v>0</v>
      </c>
      <c r="S63" s="12">
        <f>_xlfn.XLOOKUP(TableDailySummary[[#This Row],[Fecha]],SummaryDaily[day],SummaryDaily[Rappi_orders],0)</f>
        <v>0</v>
      </c>
      <c r="T63" s="12">
        <f>_xlfn.XLOOKUP(TableDailySummary[[#This Row],[Fecha]],SummaryDaily[day],SummaryDaily[Rappi_average_order_value],0)</f>
        <v>0</v>
      </c>
      <c r="U63" s="12">
        <f>_xlfn.XLOOKUP(TableDailySummary[[#This Row],[Fecha]],SummaryDaily[day],SummaryDaily[Corporativo no tienda_net_sales],0)</f>
        <v>0</v>
      </c>
      <c r="V63" s="12">
        <f>_xlfn.XLOOKUP(TableDailySummary[[#This Row],[Fecha]],SummaryDaily[day],SummaryDaily[Corporativo no tienda_orders],0)</f>
        <v>0</v>
      </c>
      <c r="W63" s="12">
        <f>_xlfn.XLOOKUP(TableDailySummary[[#This Row],[Fecha]],SummaryDaily[day],SummaryDaily[Corporativo no tienda_average_order_value],0)</f>
        <v>0</v>
      </c>
      <c r="X63" s="12">
        <f>_xlfn.XLOOKUP(TableDailySummary[[#This Row],[Fecha]],SummaryDaily[day],SummaryDaily[GoogleAdsOperation.Cost],0)</f>
        <v>97762.15</v>
      </c>
      <c r="Y63" s="12">
        <f>SUMIFS(SalesByUTMDaily[google],SalesByUTMDaily[day],TableDailySummary[[#This Row],[Fecha]])</f>
        <v>0</v>
      </c>
      <c r="Z63" s="12">
        <f>_xlfn.XLOOKUP(TableDailySummary[[#This Row],[Fecha]],SummaryDaily[day],SummaryDaily[MetaAdsOperation.spend],0)</f>
        <v>32039</v>
      </c>
      <c r="AA63" s="12">
        <f>SUMIFS(SalesByUTMDaily[facebook],SalesByUTMDaily[day],TableDailySummary[[#This Row],[Fecha]])</f>
        <v>0</v>
      </c>
      <c r="AB63" s="12">
        <f>TableDailySummary[[#This Row],[Inversión google ads]]+TableDailySummary[[#This Row],[Inversión meta ads]]</f>
        <v>129801.15</v>
      </c>
      <c r="AC63" s="12">
        <f>TableDailySummary[[#This Row],[Ventas google ads]]+TableDailySummary[[#This Row],[Ventas meta ads]]</f>
        <v>0</v>
      </c>
      <c r="AD63" s="14">
        <f>IFERROR(TableDailySummary[[#This Row],[Ventas publicidad]]/TableDailySummary[[#This Row],[Inversión publicidad]],0)</f>
        <v>0</v>
      </c>
      <c r="AE63" s="14">
        <f>IFERROR(TableDailySummary[[#This Row],[Ventas primer cliente]]/TableDailySummary[[#This Row],[Inversión publicidad]],0)</f>
        <v>5.2504358397441013</v>
      </c>
      <c r="AF63" s="14"/>
      <c r="AG63" s="12"/>
      <c r="AM63" s="12">
        <f>_xlfn.XLOOKUP(TableDailySummary[[#This Row],[Fecha]],SummaryDaily[day],SummaryDaily[net_sales_with_cost_recorded],0)</f>
        <v>1221302.53</v>
      </c>
      <c r="AN63" s="12">
        <f>_xlfn.XLOOKUP(TableDailySummary[[#This Row],[Fecha]],SummaryDaily[day],SummaryDaily[cost_of_goods_sold],0)</f>
        <v>351596</v>
      </c>
      <c r="AO63" s="12">
        <f>_xlfn.XLOOKUP(TableDailySummary[[#This Row],[Fecha]],SummaryDaily[day],SummaryDaily[gross_profit],0)</f>
        <v>869706.53</v>
      </c>
      <c r="AP63" s="18">
        <f>IFERROR(TableDailySummary[[#This Row],[Utilidad bruta]]/TableDailySummary[[#This Row],[Ventas netas con costo registrado]],0)</f>
        <v>0.71211391824431902</v>
      </c>
    </row>
    <row r="64" spans="2:42" x14ac:dyDescent="0.2">
      <c r="B64" s="15" cm="1">
        <f t="array" ref="B64">MIN(SummaryDaily[day]) + (ROW(TableDailySummary[#This Row]) - ROW(TableDailySummary[[#Headers],[Dia]]) - 1)</f>
        <v>45835</v>
      </c>
      <c r="C64" s="6">
        <f>TableDailySummary[[#This Row],[Dia]]</f>
        <v>45835</v>
      </c>
      <c r="D64" s="12">
        <f>_xlfn.XLOOKUP(TableDailySummary[[#This Row],[Fecha]],SummaryDaily[day],SummaryDaily[net_sales],0)</f>
        <v>1313445.3899999999</v>
      </c>
      <c r="E64" s="12">
        <f>_xlfn.XLOOKUP(TableDailySummary[[#This Row],[Fecha]],SummaryDaily[day],SummaryDaily[orders],0)</f>
        <v>7</v>
      </c>
      <c r="F64" s="12">
        <f>_xlfn.XLOOKUP(TableDailySummary[[#This Row],[Fecha]],SummaryDaily[day],SummaryDaily[average_order_value],0)</f>
        <v>187635.05499999999</v>
      </c>
      <c r="G64" s="24">
        <f>_xlfn.XLOOKUP(TableDailySummary[[#This Row],[Fecha]],SummaryDaily[day],SummaryDaily[Total site_conversion_rate],0)</f>
        <v>3.7488284910965324E-3</v>
      </c>
      <c r="H64" s="12">
        <f>TableDailySummary[[#This Row],[Órden promedio totales]]*TableDailySummary[[#This Row],[CR totales]]</f>
        <v>703.41164011246485</v>
      </c>
      <c r="I64" s="12">
        <f>_xlfn.XLOOKUP(TableDailySummary[[#This Row],[Fecha]],SummaryDaily[day],SummaryDaily[new_net_sales],0)</f>
        <v>664705.89</v>
      </c>
      <c r="J64" s="12">
        <f>_xlfn.XLOOKUP(TableDailySummary[[#This Row],[Fecha]],SummaryDaily[day],SummaryDaily[new_orders],0)</f>
        <v>5</v>
      </c>
      <c r="K64" s="12">
        <f>_xlfn.XLOOKUP(TableDailySummary[[#This Row],[Fecha]],SummaryDaily[day],SummaryDaily[new_average_order_value],0)</f>
        <v>132941.17800000001</v>
      </c>
      <c r="L64" s="12">
        <f>_xlfn.XLOOKUP(TableDailySummary[[#This Row],[Fecha]],SummaryDaily[day],SummaryDaily[Online Store_net_sales],0)</f>
        <v>782352.95</v>
      </c>
      <c r="M64" s="12">
        <f>_xlfn.XLOOKUP(TableDailySummary[[#This Row],[Fecha]],SummaryDaily[day],SummaryDaily[Online Store_orders],0)</f>
        <v>6</v>
      </c>
      <c r="N64" s="12">
        <f>_xlfn.XLOOKUP(TableDailySummary[[#This Row],[Fecha]],SummaryDaily[day],SummaryDaily[Online Store_average_order_value],0)</f>
        <v>130392.158</v>
      </c>
      <c r="O64" s="12">
        <f>_xlfn.XLOOKUP(TableDailySummary[[#This Row],[Fecha]],SummaryDaily[day],SummaryDaily[Tienda 81_net_sales],0)</f>
        <v>0</v>
      </c>
      <c r="P64" s="12">
        <f>_xlfn.XLOOKUP(TableDailySummary[[#This Row],[Fecha]],SummaryDaily[day],SummaryDaily[Tienda 81_orders],0)</f>
        <v>0</v>
      </c>
      <c r="Q64" s="12">
        <f>_xlfn.XLOOKUP(TableDailySummary[[#This Row],[Fecha]],SummaryDaily[day],SummaryDaily[Tienda 81_average_order_value],0)</f>
        <v>0</v>
      </c>
      <c r="R64" s="12">
        <f>_xlfn.XLOOKUP(TableDailySummary[[#This Row],[Fecha]],SummaryDaily[day],SummaryDaily[Rappi_net_sales],0)</f>
        <v>0</v>
      </c>
      <c r="S64" s="12">
        <f>_xlfn.XLOOKUP(TableDailySummary[[#This Row],[Fecha]],SummaryDaily[day],SummaryDaily[Rappi_orders],0)</f>
        <v>0</v>
      </c>
      <c r="T64" s="12">
        <f>_xlfn.XLOOKUP(TableDailySummary[[#This Row],[Fecha]],SummaryDaily[day],SummaryDaily[Rappi_average_order_value],0)</f>
        <v>0</v>
      </c>
      <c r="U64" s="12">
        <f>_xlfn.XLOOKUP(TableDailySummary[[#This Row],[Fecha]],SummaryDaily[day],SummaryDaily[Corporativo no tienda_net_sales],0)</f>
        <v>0</v>
      </c>
      <c r="V64" s="12">
        <f>_xlfn.XLOOKUP(TableDailySummary[[#This Row],[Fecha]],SummaryDaily[day],SummaryDaily[Corporativo no tienda_orders],0)</f>
        <v>0</v>
      </c>
      <c r="W64" s="12">
        <f>_xlfn.XLOOKUP(TableDailySummary[[#This Row],[Fecha]],SummaryDaily[day],SummaryDaily[Corporativo no tienda_average_order_value],0)</f>
        <v>0</v>
      </c>
      <c r="X64" s="12">
        <f>_xlfn.XLOOKUP(TableDailySummary[[#This Row],[Fecha]],SummaryDaily[day],SummaryDaily[GoogleAdsOperation.Cost],0)</f>
        <v>91962.39</v>
      </c>
      <c r="Y64" s="12">
        <f>SUMIFS(SalesByUTMDaily[google],SalesByUTMDaily[day],TableDailySummary[[#This Row],[Fecha]])</f>
        <v>0</v>
      </c>
      <c r="Z64" s="12">
        <f>_xlfn.XLOOKUP(TableDailySummary[[#This Row],[Fecha]],SummaryDaily[day],SummaryDaily[MetaAdsOperation.spend],0)</f>
        <v>36659</v>
      </c>
      <c r="AA64" s="12">
        <f>SUMIFS(SalesByUTMDaily[facebook],SalesByUTMDaily[day],TableDailySummary[[#This Row],[Fecha]])</f>
        <v>0</v>
      </c>
      <c r="AB64" s="12">
        <f>TableDailySummary[[#This Row],[Inversión google ads]]+TableDailySummary[[#This Row],[Inversión meta ads]]</f>
        <v>128621.39</v>
      </c>
      <c r="AC64" s="12">
        <f>TableDailySummary[[#This Row],[Ventas google ads]]+TableDailySummary[[#This Row],[Ventas meta ads]]</f>
        <v>0</v>
      </c>
      <c r="AD64" s="14">
        <f>IFERROR(TableDailySummary[[#This Row],[Ventas publicidad]]/TableDailySummary[[#This Row],[Inversión publicidad]],0)</f>
        <v>0</v>
      </c>
      <c r="AE64" s="14">
        <f>IFERROR(TableDailySummary[[#This Row],[Ventas primer cliente]]/TableDailySummary[[#This Row],[Inversión publicidad]],0)</f>
        <v>5.1679265011830458</v>
      </c>
      <c r="AF64" s="14"/>
      <c r="AG64" s="12"/>
      <c r="AM64" s="12">
        <f>_xlfn.XLOOKUP(TableDailySummary[[#This Row],[Fecha]],SummaryDaily[day],SummaryDaily[net_sales_with_cost_recorded],0)</f>
        <v>1313445.3899999999</v>
      </c>
      <c r="AN64" s="12">
        <f>_xlfn.XLOOKUP(TableDailySummary[[#This Row],[Fecha]],SummaryDaily[day],SummaryDaily[cost_of_goods_sold],0)</f>
        <v>422950</v>
      </c>
      <c r="AO64" s="12">
        <f>_xlfn.XLOOKUP(TableDailySummary[[#This Row],[Fecha]],SummaryDaily[day],SummaryDaily[gross_profit],0)</f>
        <v>890495.39</v>
      </c>
      <c r="AP64" s="18">
        <f>IFERROR(TableDailySummary[[#This Row],[Utilidad bruta]]/TableDailySummary[[#This Row],[Ventas netas con costo registrado]],0)</f>
        <v>0.67798432792093477</v>
      </c>
    </row>
    <row r="65" spans="2:42" x14ac:dyDescent="0.2">
      <c r="B65" s="15" cm="1">
        <f t="array" ref="B65">MIN(SummaryDaily[day]) + (ROW(TableDailySummary[#This Row]) - ROW(TableDailySummary[[#Headers],[Dia]]) - 1)</f>
        <v>45836</v>
      </c>
      <c r="C65" s="6">
        <f>TableDailySummary[[#This Row],[Dia]]</f>
        <v>45836</v>
      </c>
      <c r="D65" s="12">
        <f>_xlfn.XLOOKUP(TableDailySummary[[#This Row],[Fecha]],SummaryDaily[day],SummaryDaily[net_sales],0)</f>
        <v>777310.93</v>
      </c>
      <c r="E65" s="12">
        <f>_xlfn.XLOOKUP(TableDailySummary[[#This Row],[Fecha]],SummaryDaily[day],SummaryDaily[orders],0)</f>
        <v>4</v>
      </c>
      <c r="F65" s="12">
        <f>_xlfn.XLOOKUP(TableDailySummary[[#This Row],[Fecha]],SummaryDaily[day],SummaryDaily[average_order_value],0)</f>
        <v>194327.73199999999</v>
      </c>
      <c r="G65" s="24">
        <f>_xlfn.XLOOKUP(TableDailySummary[[#This Row],[Fecha]],SummaryDaily[day],SummaryDaily[Total site_conversion_rate],0)</f>
        <v>2.3923444976076554E-3</v>
      </c>
      <c r="H65" s="12">
        <f>TableDailySummary[[#This Row],[Órden promedio totales]]*TableDailySummary[[#This Row],[CR totales]]</f>
        <v>464.89888038277508</v>
      </c>
      <c r="I65" s="12">
        <f>_xlfn.XLOOKUP(TableDailySummary[[#This Row],[Fecha]],SummaryDaily[day],SummaryDaily[new_net_sales],0)</f>
        <v>676470.59</v>
      </c>
      <c r="J65" s="12">
        <f>_xlfn.XLOOKUP(TableDailySummary[[#This Row],[Fecha]],SummaryDaily[day],SummaryDaily[new_orders],0)</f>
        <v>3</v>
      </c>
      <c r="K65" s="12">
        <f>_xlfn.XLOOKUP(TableDailySummary[[#This Row],[Fecha]],SummaryDaily[day],SummaryDaily[new_average_order_value],0)</f>
        <v>225490.196</v>
      </c>
      <c r="L65" s="12">
        <f>_xlfn.XLOOKUP(TableDailySummary[[#This Row],[Fecha]],SummaryDaily[day],SummaryDaily[Online Store_net_sales],0)</f>
        <v>777310.93</v>
      </c>
      <c r="M65" s="12">
        <f>_xlfn.XLOOKUP(TableDailySummary[[#This Row],[Fecha]],SummaryDaily[day],SummaryDaily[Online Store_orders],0)</f>
        <v>4</v>
      </c>
      <c r="N65" s="12">
        <f>_xlfn.XLOOKUP(TableDailySummary[[#This Row],[Fecha]],SummaryDaily[day],SummaryDaily[Online Store_average_order_value],0)</f>
        <v>194327.73199999999</v>
      </c>
      <c r="O65" s="12">
        <f>_xlfn.XLOOKUP(TableDailySummary[[#This Row],[Fecha]],SummaryDaily[day],SummaryDaily[Tienda 81_net_sales],0)</f>
        <v>0</v>
      </c>
      <c r="P65" s="12">
        <f>_xlfn.XLOOKUP(TableDailySummary[[#This Row],[Fecha]],SummaryDaily[day],SummaryDaily[Tienda 81_orders],0)</f>
        <v>0</v>
      </c>
      <c r="Q65" s="12">
        <f>_xlfn.XLOOKUP(TableDailySummary[[#This Row],[Fecha]],SummaryDaily[day],SummaryDaily[Tienda 81_average_order_value],0)</f>
        <v>0</v>
      </c>
      <c r="R65" s="12">
        <f>_xlfn.XLOOKUP(TableDailySummary[[#This Row],[Fecha]],SummaryDaily[day],SummaryDaily[Rappi_net_sales],0)</f>
        <v>0</v>
      </c>
      <c r="S65" s="12">
        <f>_xlfn.XLOOKUP(TableDailySummary[[#This Row],[Fecha]],SummaryDaily[day],SummaryDaily[Rappi_orders],0)</f>
        <v>0</v>
      </c>
      <c r="T65" s="12">
        <f>_xlfn.XLOOKUP(TableDailySummary[[#This Row],[Fecha]],SummaryDaily[day],SummaryDaily[Rappi_average_order_value],0)</f>
        <v>0</v>
      </c>
      <c r="U65" s="12">
        <f>_xlfn.XLOOKUP(TableDailySummary[[#This Row],[Fecha]],SummaryDaily[day],SummaryDaily[Corporativo no tienda_net_sales],0)</f>
        <v>0</v>
      </c>
      <c r="V65" s="12">
        <f>_xlfn.XLOOKUP(TableDailySummary[[#This Row],[Fecha]],SummaryDaily[day],SummaryDaily[Corporativo no tienda_orders],0)</f>
        <v>0</v>
      </c>
      <c r="W65" s="12">
        <f>_xlfn.XLOOKUP(TableDailySummary[[#This Row],[Fecha]],SummaryDaily[day],SummaryDaily[Corporativo no tienda_average_order_value],0)</f>
        <v>0</v>
      </c>
      <c r="X65" s="12">
        <f>_xlfn.XLOOKUP(TableDailySummary[[#This Row],[Fecha]],SummaryDaily[day],SummaryDaily[GoogleAdsOperation.Cost],0)</f>
        <v>110063.14</v>
      </c>
      <c r="Y65" s="12">
        <f>SUMIFS(SalesByUTMDaily[google],SalesByUTMDaily[day],TableDailySummary[[#This Row],[Fecha]])</f>
        <v>0</v>
      </c>
      <c r="Z65" s="12">
        <f>_xlfn.XLOOKUP(TableDailySummary[[#This Row],[Fecha]],SummaryDaily[day],SummaryDaily[MetaAdsOperation.spend],0)</f>
        <v>40560</v>
      </c>
      <c r="AA65" s="12">
        <f>SUMIFS(SalesByUTMDaily[facebook],SalesByUTMDaily[day],TableDailySummary[[#This Row],[Fecha]])</f>
        <v>0</v>
      </c>
      <c r="AB65" s="12">
        <f>TableDailySummary[[#This Row],[Inversión google ads]]+TableDailySummary[[#This Row],[Inversión meta ads]]</f>
        <v>150623.14000000001</v>
      </c>
      <c r="AC65" s="12">
        <f>TableDailySummary[[#This Row],[Ventas google ads]]+TableDailySummary[[#This Row],[Ventas meta ads]]</f>
        <v>0</v>
      </c>
      <c r="AD65" s="14">
        <f>IFERROR(TableDailySummary[[#This Row],[Ventas publicidad]]/TableDailySummary[[#This Row],[Inversión publicidad]],0)</f>
        <v>0</v>
      </c>
      <c r="AE65" s="14">
        <f>IFERROR(TableDailySummary[[#This Row],[Ventas primer cliente]]/TableDailySummary[[#This Row],[Inversión publicidad]],0)</f>
        <v>4.4911465130789328</v>
      </c>
      <c r="AF65" s="14"/>
      <c r="AG65" s="12"/>
      <c r="AM65" s="12">
        <f>_xlfn.XLOOKUP(TableDailySummary[[#This Row],[Fecha]],SummaryDaily[day],SummaryDaily[net_sales_with_cost_recorded],0)</f>
        <v>777310.93</v>
      </c>
      <c r="AN65" s="12">
        <f>_xlfn.XLOOKUP(TableDailySummary[[#This Row],[Fecha]],SummaryDaily[day],SummaryDaily[cost_of_goods_sold],0)</f>
        <v>269895</v>
      </c>
      <c r="AO65" s="12">
        <f>_xlfn.XLOOKUP(TableDailySummary[[#This Row],[Fecha]],SummaryDaily[day],SummaryDaily[gross_profit],0)</f>
        <v>507415.93</v>
      </c>
      <c r="AP65" s="18">
        <f>IFERROR(TableDailySummary[[#This Row],[Utilidad bruta]]/TableDailySummary[[#This Row],[Ventas netas con costo registrado]],0)</f>
        <v>0.65278373224470154</v>
      </c>
    </row>
    <row r="66" spans="2:42" x14ac:dyDescent="0.2">
      <c r="B66" s="15" cm="1">
        <f t="array" ref="B66">MIN(SummaryDaily[day]) + (ROW(TableDailySummary[#This Row]) - ROW(TableDailySummary[[#Headers],[Dia]]) - 1)</f>
        <v>45837</v>
      </c>
      <c r="C66" s="6">
        <f>TableDailySummary[[#This Row],[Dia]]</f>
        <v>45837</v>
      </c>
      <c r="D66" s="12">
        <f>_xlfn.XLOOKUP(TableDailySummary[[#This Row],[Fecha]],SummaryDaily[day],SummaryDaily[net_sales],0)</f>
        <v>268907.57</v>
      </c>
      <c r="E66" s="12">
        <f>_xlfn.XLOOKUP(TableDailySummary[[#This Row],[Fecha]],SummaryDaily[day],SummaryDaily[orders],0)</f>
        <v>2</v>
      </c>
      <c r="F66" s="12">
        <f>_xlfn.XLOOKUP(TableDailySummary[[#This Row],[Fecha]],SummaryDaily[day],SummaryDaily[average_order_value],0)</f>
        <v>134453.785</v>
      </c>
      <c r="G66" s="24">
        <f>_xlfn.XLOOKUP(TableDailySummary[[#This Row],[Fecha]],SummaryDaily[day],SummaryDaily[Total site_conversion_rate],0)</f>
        <v>1.9065776930409914E-3</v>
      </c>
      <c r="H66" s="12">
        <f>TableDailySummary[[#This Row],[Órden promedio totales]]*TableDailySummary[[#This Row],[CR totales]]</f>
        <v>256.34658722592945</v>
      </c>
      <c r="I66" s="12">
        <f>_xlfn.XLOOKUP(TableDailySummary[[#This Row],[Fecha]],SummaryDaily[day],SummaryDaily[new_net_sales],0)</f>
        <v>100840.34</v>
      </c>
      <c r="J66" s="12">
        <f>_xlfn.XLOOKUP(TableDailySummary[[#This Row],[Fecha]],SummaryDaily[day],SummaryDaily[new_orders],0)</f>
        <v>1</v>
      </c>
      <c r="K66" s="12">
        <f>_xlfn.XLOOKUP(TableDailySummary[[#This Row],[Fecha]],SummaryDaily[day],SummaryDaily[new_average_order_value],0)</f>
        <v>100840.34</v>
      </c>
      <c r="L66" s="12">
        <f>_xlfn.XLOOKUP(TableDailySummary[[#This Row],[Fecha]],SummaryDaily[day],SummaryDaily[Online Store_net_sales],0)</f>
        <v>268907.57</v>
      </c>
      <c r="M66" s="12">
        <f>_xlfn.XLOOKUP(TableDailySummary[[#This Row],[Fecha]],SummaryDaily[day],SummaryDaily[Online Store_orders],0)</f>
        <v>2</v>
      </c>
      <c r="N66" s="12">
        <f>_xlfn.XLOOKUP(TableDailySummary[[#This Row],[Fecha]],SummaryDaily[day],SummaryDaily[Online Store_average_order_value],0)</f>
        <v>134453.785</v>
      </c>
      <c r="O66" s="12">
        <f>_xlfn.XLOOKUP(TableDailySummary[[#This Row],[Fecha]],SummaryDaily[day],SummaryDaily[Tienda 81_net_sales],0)</f>
        <v>0</v>
      </c>
      <c r="P66" s="12">
        <f>_xlfn.XLOOKUP(TableDailySummary[[#This Row],[Fecha]],SummaryDaily[day],SummaryDaily[Tienda 81_orders],0)</f>
        <v>0</v>
      </c>
      <c r="Q66" s="12">
        <f>_xlfn.XLOOKUP(TableDailySummary[[#This Row],[Fecha]],SummaryDaily[day],SummaryDaily[Tienda 81_average_order_value],0)</f>
        <v>0</v>
      </c>
      <c r="R66" s="12">
        <f>_xlfn.XLOOKUP(TableDailySummary[[#This Row],[Fecha]],SummaryDaily[day],SummaryDaily[Rappi_net_sales],0)</f>
        <v>0</v>
      </c>
      <c r="S66" s="12">
        <f>_xlfn.XLOOKUP(TableDailySummary[[#This Row],[Fecha]],SummaryDaily[day],SummaryDaily[Rappi_orders],0)</f>
        <v>0</v>
      </c>
      <c r="T66" s="12">
        <f>_xlfn.XLOOKUP(TableDailySummary[[#This Row],[Fecha]],SummaryDaily[day],SummaryDaily[Rappi_average_order_value],0)</f>
        <v>0</v>
      </c>
      <c r="U66" s="12">
        <f>_xlfn.XLOOKUP(TableDailySummary[[#This Row],[Fecha]],SummaryDaily[day],SummaryDaily[Corporativo no tienda_net_sales],0)</f>
        <v>0</v>
      </c>
      <c r="V66" s="12">
        <f>_xlfn.XLOOKUP(TableDailySummary[[#This Row],[Fecha]],SummaryDaily[day],SummaryDaily[Corporativo no tienda_orders],0)</f>
        <v>0</v>
      </c>
      <c r="W66" s="12">
        <f>_xlfn.XLOOKUP(TableDailySummary[[#This Row],[Fecha]],SummaryDaily[day],SummaryDaily[Corporativo no tienda_average_order_value],0)</f>
        <v>0</v>
      </c>
      <c r="X66" s="12">
        <f>_xlfn.XLOOKUP(TableDailySummary[[#This Row],[Fecha]],SummaryDaily[day],SummaryDaily[GoogleAdsOperation.Cost],0)</f>
        <v>100110.94</v>
      </c>
      <c r="Y66" s="12">
        <f>SUMIFS(SalesByUTMDaily[google],SalesByUTMDaily[day],TableDailySummary[[#This Row],[Fecha]])</f>
        <v>0</v>
      </c>
      <c r="Z66" s="12">
        <f>_xlfn.XLOOKUP(TableDailySummary[[#This Row],[Fecha]],SummaryDaily[day],SummaryDaily[MetaAdsOperation.spend],0)</f>
        <v>39538</v>
      </c>
      <c r="AA66" s="12">
        <f>SUMIFS(SalesByUTMDaily[facebook],SalesByUTMDaily[day],TableDailySummary[[#This Row],[Fecha]])</f>
        <v>129000</v>
      </c>
      <c r="AB66" s="12">
        <f>TableDailySummary[[#This Row],[Inversión google ads]]+TableDailySummary[[#This Row],[Inversión meta ads]]</f>
        <v>139648.94</v>
      </c>
      <c r="AC66" s="12">
        <f>TableDailySummary[[#This Row],[Ventas google ads]]+TableDailySummary[[#This Row],[Ventas meta ads]]</f>
        <v>129000</v>
      </c>
      <c r="AD66" s="14">
        <f>IFERROR(TableDailySummary[[#This Row],[Ventas publicidad]]/TableDailySummary[[#This Row],[Inversión publicidad]],0)</f>
        <v>0.92374492781685269</v>
      </c>
      <c r="AE66" s="14">
        <f>IFERROR(TableDailySummary[[#This Row],[Ventas primer cliente]]/TableDailySummary[[#This Row],[Inversión publicidad]],0)</f>
        <v>0.72209885732036339</v>
      </c>
      <c r="AF66" s="14"/>
      <c r="AG66" s="12"/>
      <c r="AM66" s="12">
        <f>_xlfn.XLOOKUP(TableDailySummary[[#This Row],[Fecha]],SummaryDaily[day],SummaryDaily[net_sales_with_cost_recorded],0)</f>
        <v>268907.57</v>
      </c>
      <c r="AN66" s="12">
        <f>_xlfn.XLOOKUP(TableDailySummary[[#This Row],[Fecha]],SummaryDaily[day],SummaryDaily[cost_of_goods_sold],0)</f>
        <v>64138</v>
      </c>
      <c r="AO66" s="12">
        <f>_xlfn.XLOOKUP(TableDailySummary[[#This Row],[Fecha]],SummaryDaily[day],SummaryDaily[gross_profit],0)</f>
        <v>204769.57</v>
      </c>
      <c r="AP66" s="18">
        <f>IFERROR(TableDailySummary[[#This Row],[Utilidad bruta]]/TableDailySummary[[#This Row],[Ventas netas con costo registrado]],0)</f>
        <v>0.76148681868643564</v>
      </c>
    </row>
    <row r="67" spans="2:42" x14ac:dyDescent="0.2">
      <c r="B67" s="15" cm="1">
        <f t="array" ref="B67">MIN(SummaryDaily[day]) + (ROW(TableDailySummary[#This Row]) - ROW(TableDailySummary[[#Headers],[Dia]]) - 1)</f>
        <v>45838</v>
      </c>
      <c r="C67" s="6">
        <f>TableDailySummary[[#This Row],[Dia]]</f>
        <v>45838</v>
      </c>
      <c r="D67" s="12">
        <f>_xlfn.XLOOKUP(TableDailySummary[[#This Row],[Fecha]],SummaryDaily[day],SummaryDaily[net_sales],0)</f>
        <v>932773.11</v>
      </c>
      <c r="E67" s="12">
        <f>_xlfn.XLOOKUP(TableDailySummary[[#This Row],[Fecha]],SummaryDaily[day],SummaryDaily[orders],0)</f>
        <v>4</v>
      </c>
      <c r="F67" s="12">
        <f>_xlfn.XLOOKUP(TableDailySummary[[#This Row],[Fecha]],SummaryDaily[day],SummaryDaily[average_order_value],0)</f>
        <v>233193.277</v>
      </c>
      <c r="G67" s="24">
        <f>_xlfn.XLOOKUP(TableDailySummary[[#This Row],[Fecha]],SummaryDaily[day],SummaryDaily[Total site_conversion_rate],0)</f>
        <v>2.7359781121751026E-3</v>
      </c>
      <c r="H67" s="12">
        <f>TableDailySummary[[#This Row],[Órden promedio totales]]*TableDailySummary[[#This Row],[CR totales]]</f>
        <v>638.01170177838571</v>
      </c>
      <c r="I67" s="12">
        <f>_xlfn.XLOOKUP(TableDailySummary[[#This Row],[Fecha]],SummaryDaily[day],SummaryDaily[new_net_sales],0)</f>
        <v>722689.08</v>
      </c>
      <c r="J67" s="12">
        <f>_xlfn.XLOOKUP(TableDailySummary[[#This Row],[Fecha]],SummaryDaily[day],SummaryDaily[new_orders],0)</f>
        <v>3</v>
      </c>
      <c r="K67" s="12">
        <f>_xlfn.XLOOKUP(TableDailySummary[[#This Row],[Fecha]],SummaryDaily[day],SummaryDaily[new_average_order_value],0)</f>
        <v>240896.36</v>
      </c>
      <c r="L67" s="12">
        <f>_xlfn.XLOOKUP(TableDailySummary[[#This Row],[Fecha]],SummaryDaily[day],SummaryDaily[Online Store_net_sales],0)</f>
        <v>932773.11</v>
      </c>
      <c r="M67" s="12">
        <f>_xlfn.XLOOKUP(TableDailySummary[[#This Row],[Fecha]],SummaryDaily[day],SummaryDaily[Online Store_orders],0)</f>
        <v>4</v>
      </c>
      <c r="N67" s="12">
        <f>_xlfn.XLOOKUP(TableDailySummary[[#This Row],[Fecha]],SummaryDaily[day],SummaryDaily[Online Store_average_order_value],0)</f>
        <v>233193.277</v>
      </c>
      <c r="O67" s="12">
        <f>_xlfn.XLOOKUP(TableDailySummary[[#This Row],[Fecha]],SummaryDaily[day],SummaryDaily[Tienda 81_net_sales],0)</f>
        <v>0</v>
      </c>
      <c r="P67" s="12">
        <f>_xlfn.XLOOKUP(TableDailySummary[[#This Row],[Fecha]],SummaryDaily[day],SummaryDaily[Tienda 81_orders],0)</f>
        <v>0</v>
      </c>
      <c r="Q67" s="12">
        <f>_xlfn.XLOOKUP(TableDailySummary[[#This Row],[Fecha]],SummaryDaily[day],SummaryDaily[Tienda 81_average_order_value],0)</f>
        <v>0</v>
      </c>
      <c r="R67" s="12">
        <f>_xlfn.XLOOKUP(TableDailySummary[[#This Row],[Fecha]],SummaryDaily[day],SummaryDaily[Rappi_net_sales],0)</f>
        <v>0</v>
      </c>
      <c r="S67" s="12">
        <f>_xlfn.XLOOKUP(TableDailySummary[[#This Row],[Fecha]],SummaryDaily[day],SummaryDaily[Rappi_orders],0)</f>
        <v>0</v>
      </c>
      <c r="T67" s="12">
        <f>_xlfn.XLOOKUP(TableDailySummary[[#This Row],[Fecha]],SummaryDaily[day],SummaryDaily[Rappi_average_order_value],0)</f>
        <v>0</v>
      </c>
      <c r="U67" s="12">
        <f>_xlfn.XLOOKUP(TableDailySummary[[#This Row],[Fecha]],SummaryDaily[day],SummaryDaily[Corporativo no tienda_net_sales],0)</f>
        <v>0</v>
      </c>
      <c r="V67" s="12">
        <f>_xlfn.XLOOKUP(TableDailySummary[[#This Row],[Fecha]],SummaryDaily[day],SummaryDaily[Corporativo no tienda_orders],0)</f>
        <v>0</v>
      </c>
      <c r="W67" s="12">
        <f>_xlfn.XLOOKUP(TableDailySummary[[#This Row],[Fecha]],SummaryDaily[day],SummaryDaily[Corporativo no tienda_average_order_value],0)</f>
        <v>0</v>
      </c>
      <c r="X67" s="12">
        <f>_xlfn.XLOOKUP(TableDailySummary[[#This Row],[Fecha]],SummaryDaily[day],SummaryDaily[GoogleAdsOperation.Cost],0)</f>
        <v>120906.85</v>
      </c>
      <c r="Y67" s="12">
        <f>SUMIFS(SalesByUTMDaily[google],SalesByUTMDaily[day],TableDailySummary[[#This Row],[Fecha]])</f>
        <v>0</v>
      </c>
      <c r="Z67" s="12">
        <f>_xlfn.XLOOKUP(TableDailySummary[[#This Row],[Fecha]],SummaryDaily[day],SummaryDaily[MetaAdsOperation.spend],0)</f>
        <v>40737</v>
      </c>
      <c r="AA67" s="12">
        <f>SUMIFS(SalesByUTMDaily[facebook],SalesByUTMDaily[day],TableDailySummary[[#This Row],[Fecha]])</f>
        <v>0</v>
      </c>
      <c r="AB67" s="12">
        <f>TableDailySummary[[#This Row],[Inversión google ads]]+TableDailySummary[[#This Row],[Inversión meta ads]]</f>
        <v>161643.85</v>
      </c>
      <c r="AC67" s="12">
        <f>TableDailySummary[[#This Row],[Ventas google ads]]+TableDailySummary[[#This Row],[Ventas meta ads]]</f>
        <v>0</v>
      </c>
      <c r="AD67" s="14">
        <f>IFERROR(TableDailySummary[[#This Row],[Ventas publicidad]]/TableDailySummary[[#This Row],[Inversión publicidad]],0)</f>
        <v>0</v>
      </c>
      <c r="AE67" s="14">
        <f>IFERROR(TableDailySummary[[#This Row],[Ventas primer cliente]]/TableDailySummary[[#This Row],[Inversión publicidad]],0)</f>
        <v>4.4708727242020032</v>
      </c>
      <c r="AF67" s="14"/>
      <c r="AG67" s="12"/>
      <c r="AM67" s="12">
        <f>_xlfn.XLOOKUP(TableDailySummary[[#This Row],[Fecha]],SummaryDaily[day],SummaryDaily[net_sales_with_cost_recorded],0)</f>
        <v>932773.11</v>
      </c>
      <c r="AN67" s="12">
        <f>_xlfn.XLOOKUP(TableDailySummary[[#This Row],[Fecha]],SummaryDaily[day],SummaryDaily[cost_of_goods_sold],0)</f>
        <v>323935</v>
      </c>
      <c r="AO67" s="12">
        <f>_xlfn.XLOOKUP(TableDailySummary[[#This Row],[Fecha]],SummaryDaily[day],SummaryDaily[gross_profit],0)</f>
        <v>608838.11</v>
      </c>
      <c r="AP67" s="18">
        <f>IFERROR(TableDailySummary[[#This Row],[Utilidad bruta]]/TableDailySummary[[#This Row],[Ventas netas con costo registrado]],0)</f>
        <v>0.65271833361491305</v>
      </c>
    </row>
    <row r="68" spans="2:42" x14ac:dyDescent="0.2">
      <c r="B68" s="15" cm="1">
        <f t="array" ref="B68">MIN(SummaryDaily[day]) + (ROW(TableDailySummary[#This Row]) - ROW(TableDailySummary[[#Headers],[Dia]]) - 1)</f>
        <v>45839</v>
      </c>
      <c r="C68" s="6">
        <f>TableDailySummary[[#This Row],[Dia]]</f>
        <v>45839</v>
      </c>
      <c r="D68" s="12">
        <f>_xlfn.XLOOKUP(TableDailySummary[[#This Row],[Fecha]],SummaryDaily[day],SummaryDaily[net_sales],0)</f>
        <v>843697.48</v>
      </c>
      <c r="E68" s="12">
        <f>_xlfn.XLOOKUP(TableDailySummary[[#This Row],[Fecha]],SummaryDaily[day],SummaryDaily[orders],0)</f>
        <v>7</v>
      </c>
      <c r="F68" s="12">
        <f>_xlfn.XLOOKUP(TableDailySummary[[#This Row],[Fecha]],SummaryDaily[day],SummaryDaily[average_order_value],0)</f>
        <v>120528.211</v>
      </c>
      <c r="G68" s="24">
        <f>_xlfn.XLOOKUP(TableDailySummary[[#This Row],[Fecha]],SummaryDaily[day],SummaryDaily[Total site_conversion_rate],0)</f>
        <v>2.6809651474530832E-3</v>
      </c>
      <c r="H68" s="12">
        <f>TableDailySummary[[#This Row],[Órden promedio totales]]*TableDailySummary[[#This Row],[CR totales]]</f>
        <v>323.13193297587134</v>
      </c>
      <c r="I68" s="12">
        <f>_xlfn.XLOOKUP(TableDailySummary[[#This Row],[Fecha]],SummaryDaily[day],SummaryDaily[new_net_sales],0)</f>
        <v>510924.37</v>
      </c>
      <c r="J68" s="12">
        <f>_xlfn.XLOOKUP(TableDailySummary[[#This Row],[Fecha]],SummaryDaily[day],SummaryDaily[new_orders],0)</f>
        <v>3</v>
      </c>
      <c r="K68" s="12">
        <f>_xlfn.XLOOKUP(TableDailySummary[[#This Row],[Fecha]],SummaryDaily[day],SummaryDaily[new_average_order_value],0)</f>
        <v>170308.12299999999</v>
      </c>
      <c r="L68" s="12">
        <f>_xlfn.XLOOKUP(TableDailySummary[[#This Row],[Fecha]],SummaryDaily[day],SummaryDaily[Online Store_net_sales],0)</f>
        <v>414285.71</v>
      </c>
      <c r="M68" s="12">
        <f>_xlfn.XLOOKUP(TableDailySummary[[#This Row],[Fecha]],SummaryDaily[day],SummaryDaily[Online Store_orders],0)</f>
        <v>3</v>
      </c>
      <c r="N68" s="12">
        <f>_xlfn.XLOOKUP(TableDailySummary[[#This Row],[Fecha]],SummaryDaily[day],SummaryDaily[Online Store_average_order_value],0)</f>
        <v>138095.236</v>
      </c>
      <c r="O68" s="12">
        <f>_xlfn.XLOOKUP(TableDailySummary[[#This Row],[Fecha]],SummaryDaily[day],SummaryDaily[Tienda 81_net_sales],0)</f>
        <v>0</v>
      </c>
      <c r="P68" s="12">
        <f>_xlfn.XLOOKUP(TableDailySummary[[#This Row],[Fecha]],SummaryDaily[day],SummaryDaily[Tienda 81_orders],0)</f>
        <v>0</v>
      </c>
      <c r="Q68" s="12">
        <f>_xlfn.XLOOKUP(TableDailySummary[[#This Row],[Fecha]],SummaryDaily[day],SummaryDaily[Tienda 81_average_order_value],0)</f>
        <v>0</v>
      </c>
      <c r="R68" s="12">
        <f>_xlfn.XLOOKUP(TableDailySummary[[#This Row],[Fecha]],SummaryDaily[day],SummaryDaily[Rappi_net_sales],0)</f>
        <v>0</v>
      </c>
      <c r="S68" s="12">
        <f>_xlfn.XLOOKUP(TableDailySummary[[#This Row],[Fecha]],SummaryDaily[day],SummaryDaily[Rappi_orders],0)</f>
        <v>0</v>
      </c>
      <c r="T68" s="12">
        <f>_xlfn.XLOOKUP(TableDailySummary[[#This Row],[Fecha]],SummaryDaily[day],SummaryDaily[Rappi_average_order_value],0)</f>
        <v>0</v>
      </c>
      <c r="U68" s="12">
        <f>_xlfn.XLOOKUP(TableDailySummary[[#This Row],[Fecha]],SummaryDaily[day],SummaryDaily[Corporativo no tienda_net_sales],0)</f>
        <v>0</v>
      </c>
      <c r="V68" s="12">
        <f>_xlfn.XLOOKUP(TableDailySummary[[#This Row],[Fecha]],SummaryDaily[day],SummaryDaily[Corporativo no tienda_orders],0)</f>
        <v>0</v>
      </c>
      <c r="W68" s="12">
        <f>_xlfn.XLOOKUP(TableDailySummary[[#This Row],[Fecha]],SummaryDaily[day],SummaryDaily[Corporativo no tienda_average_order_value],0)</f>
        <v>0</v>
      </c>
      <c r="X68" s="12">
        <f>_xlfn.XLOOKUP(TableDailySummary[[#This Row],[Fecha]],SummaryDaily[day],SummaryDaily[GoogleAdsOperation.Cost],0)</f>
        <v>69811.44</v>
      </c>
      <c r="Y68" s="12">
        <f>SUMIFS(SalesByUTMDaily[google],SalesByUTMDaily[day],TableDailySummary[[#This Row],[Fecha]])</f>
        <v>0</v>
      </c>
      <c r="Z68" s="12">
        <f>_xlfn.XLOOKUP(TableDailySummary[[#This Row],[Fecha]],SummaryDaily[day],SummaryDaily[MetaAdsOperation.spend],0)</f>
        <v>45828</v>
      </c>
      <c r="AA68" s="12">
        <f>SUMIFS(SalesByUTMDaily[facebook],SalesByUTMDaily[day],TableDailySummary[[#This Row],[Fecha]])</f>
        <v>0</v>
      </c>
      <c r="AB68" s="12">
        <f>TableDailySummary[[#This Row],[Inversión google ads]]+TableDailySummary[[#This Row],[Inversión meta ads]]</f>
        <v>115639.44</v>
      </c>
      <c r="AC68" s="12">
        <f>TableDailySummary[[#This Row],[Ventas google ads]]+TableDailySummary[[#This Row],[Ventas meta ads]]</f>
        <v>0</v>
      </c>
      <c r="AD68" s="14">
        <f>IFERROR(TableDailySummary[[#This Row],[Ventas publicidad]]/TableDailySummary[[#This Row],[Inversión publicidad]],0)</f>
        <v>0</v>
      </c>
      <c r="AE68" s="14">
        <f>IFERROR(TableDailySummary[[#This Row],[Ventas primer cliente]]/TableDailySummary[[#This Row],[Inversión publicidad]],0)</f>
        <v>4.4182535819959003</v>
      </c>
      <c r="AF68" s="14"/>
      <c r="AG68" s="12"/>
      <c r="AM68" s="12">
        <f>_xlfn.XLOOKUP(TableDailySummary[[#This Row],[Fecha]],SummaryDaily[day],SummaryDaily[net_sales_with_cost_recorded],0)</f>
        <v>843697.48</v>
      </c>
      <c r="AN68" s="12">
        <f>_xlfn.XLOOKUP(TableDailySummary[[#This Row],[Fecha]],SummaryDaily[day],SummaryDaily[cost_of_goods_sold],0)</f>
        <v>220086</v>
      </c>
      <c r="AO68" s="12">
        <f>_xlfn.XLOOKUP(TableDailySummary[[#This Row],[Fecha]],SummaryDaily[day],SummaryDaily[gross_profit],0)</f>
        <v>623611.48</v>
      </c>
      <c r="AP68" s="18">
        <f>IFERROR(TableDailySummary[[#This Row],[Utilidad bruta]]/TableDailySummary[[#This Row],[Ventas netas con costo registrado]],0)</f>
        <v>0.73914109592931343</v>
      </c>
    </row>
    <row r="69" spans="2:42" x14ac:dyDescent="0.2">
      <c r="B69" s="15" cm="1">
        <f t="array" ref="B69">MIN(SummaryDaily[day]) + (ROW(TableDailySummary[#This Row]) - ROW(TableDailySummary[[#Headers],[Dia]]) - 1)</f>
        <v>45840</v>
      </c>
      <c r="C69" s="6">
        <f>TableDailySummary[[#This Row],[Dia]]</f>
        <v>45840</v>
      </c>
      <c r="D69" s="12">
        <f>_xlfn.XLOOKUP(TableDailySummary[[#This Row],[Fecha]],SummaryDaily[day],SummaryDaily[net_sales],0)</f>
        <v>1358823.54</v>
      </c>
      <c r="E69" s="12">
        <f>_xlfn.XLOOKUP(TableDailySummary[[#This Row],[Fecha]],SummaryDaily[day],SummaryDaily[orders],0)</f>
        <v>11</v>
      </c>
      <c r="F69" s="12">
        <f>_xlfn.XLOOKUP(TableDailySummary[[#This Row],[Fecha]],SummaryDaily[day],SummaryDaily[average_order_value],0)</f>
        <v>123529.412</v>
      </c>
      <c r="G69" s="24">
        <f>_xlfn.XLOOKUP(TableDailySummary[[#This Row],[Fecha]],SummaryDaily[day],SummaryDaily[Total site_conversion_rate],0)</f>
        <v>4.3215211754537601E-3</v>
      </c>
      <c r="H69" s="12">
        <f>TableDailySummary[[#This Row],[Órden promedio totales]]*TableDailySummary[[#This Row],[CR totales]]</f>
        <v>533.83496974935179</v>
      </c>
      <c r="I69" s="12">
        <f>_xlfn.XLOOKUP(TableDailySummary[[#This Row],[Fecha]],SummaryDaily[day],SummaryDaily[new_net_sales],0)</f>
        <v>563865.55000000005</v>
      </c>
      <c r="J69" s="12">
        <f>_xlfn.XLOOKUP(TableDailySummary[[#This Row],[Fecha]],SummaryDaily[day],SummaryDaily[new_orders],0)</f>
        <v>6</v>
      </c>
      <c r="K69" s="12">
        <f>_xlfn.XLOOKUP(TableDailySummary[[#This Row],[Fecha]],SummaryDaily[day],SummaryDaily[new_average_order_value],0)</f>
        <v>93977.591</v>
      </c>
      <c r="L69" s="12">
        <f>_xlfn.XLOOKUP(TableDailySummary[[#This Row],[Fecha]],SummaryDaily[day],SummaryDaily[Online Store_net_sales],0)</f>
        <v>546218.49</v>
      </c>
      <c r="M69" s="12">
        <f>_xlfn.XLOOKUP(TableDailySummary[[#This Row],[Fecha]],SummaryDaily[day],SummaryDaily[Online Store_orders],0)</f>
        <v>5</v>
      </c>
      <c r="N69" s="12">
        <f>_xlfn.XLOOKUP(TableDailySummary[[#This Row],[Fecha]],SummaryDaily[day],SummaryDaily[Online Store_average_order_value],0)</f>
        <v>109243.698</v>
      </c>
      <c r="O69" s="12">
        <f>_xlfn.XLOOKUP(TableDailySummary[[#This Row],[Fecha]],SummaryDaily[day],SummaryDaily[Tienda 81_net_sales],0)</f>
        <v>0</v>
      </c>
      <c r="P69" s="12">
        <f>_xlfn.XLOOKUP(TableDailySummary[[#This Row],[Fecha]],SummaryDaily[day],SummaryDaily[Tienda 81_orders],0)</f>
        <v>0</v>
      </c>
      <c r="Q69" s="12">
        <f>_xlfn.XLOOKUP(TableDailySummary[[#This Row],[Fecha]],SummaryDaily[day],SummaryDaily[Tienda 81_average_order_value],0)</f>
        <v>0</v>
      </c>
      <c r="R69" s="12">
        <f>_xlfn.XLOOKUP(TableDailySummary[[#This Row],[Fecha]],SummaryDaily[day],SummaryDaily[Rappi_net_sales],0)</f>
        <v>98319.33</v>
      </c>
      <c r="S69" s="12">
        <f>_xlfn.XLOOKUP(TableDailySummary[[#This Row],[Fecha]],SummaryDaily[day],SummaryDaily[Rappi_orders],0)</f>
        <v>3</v>
      </c>
      <c r="T69" s="12">
        <f>_xlfn.XLOOKUP(TableDailySummary[[#This Row],[Fecha]],SummaryDaily[day],SummaryDaily[Rappi_average_order_value],0)</f>
        <v>32773.11</v>
      </c>
      <c r="U69" s="12">
        <f>_xlfn.XLOOKUP(TableDailySummary[[#This Row],[Fecha]],SummaryDaily[day],SummaryDaily[Corporativo no tienda_net_sales],0)</f>
        <v>0</v>
      </c>
      <c r="V69" s="12">
        <f>_xlfn.XLOOKUP(TableDailySummary[[#This Row],[Fecha]],SummaryDaily[day],SummaryDaily[Corporativo no tienda_orders],0)</f>
        <v>0</v>
      </c>
      <c r="W69" s="12">
        <f>_xlfn.XLOOKUP(TableDailySummary[[#This Row],[Fecha]],SummaryDaily[day],SummaryDaily[Corporativo no tienda_average_order_value],0)</f>
        <v>0</v>
      </c>
      <c r="X69" s="12">
        <f>_xlfn.XLOOKUP(TableDailySummary[[#This Row],[Fecha]],SummaryDaily[day],SummaryDaily[GoogleAdsOperation.Cost],0)</f>
        <v>98918.88</v>
      </c>
      <c r="Y69" s="12">
        <f>SUMIFS(SalesByUTMDaily[google],SalesByUTMDaily[day],TableDailySummary[[#This Row],[Fecha]])</f>
        <v>0</v>
      </c>
      <c r="Z69" s="12">
        <f>_xlfn.XLOOKUP(TableDailySummary[[#This Row],[Fecha]],SummaryDaily[day],SummaryDaily[MetaAdsOperation.spend],0)</f>
        <v>36426</v>
      </c>
      <c r="AA69" s="12">
        <f>SUMIFS(SalesByUTMDaily[facebook],SalesByUTMDaily[day],TableDailySummary[[#This Row],[Fecha]])</f>
        <v>0</v>
      </c>
      <c r="AB69" s="12">
        <f>TableDailySummary[[#This Row],[Inversión google ads]]+TableDailySummary[[#This Row],[Inversión meta ads]]</f>
        <v>135344.88</v>
      </c>
      <c r="AC69" s="12">
        <f>TableDailySummary[[#This Row],[Ventas google ads]]+TableDailySummary[[#This Row],[Ventas meta ads]]</f>
        <v>0</v>
      </c>
      <c r="AD69" s="14">
        <f>IFERROR(TableDailySummary[[#This Row],[Ventas publicidad]]/TableDailySummary[[#This Row],[Inversión publicidad]],0)</f>
        <v>0</v>
      </c>
      <c r="AE69" s="14">
        <f>IFERROR(TableDailySummary[[#This Row],[Ventas primer cliente]]/TableDailySummary[[#This Row],[Inversión publicidad]],0)</f>
        <v>4.1661387560430807</v>
      </c>
      <c r="AF69" s="14"/>
      <c r="AG69" s="12"/>
      <c r="AM69" s="12">
        <f>_xlfn.XLOOKUP(TableDailySummary[[#This Row],[Fecha]],SummaryDaily[day],SummaryDaily[net_sales_with_cost_recorded],0)</f>
        <v>1312605.06</v>
      </c>
      <c r="AN69" s="12">
        <f>_xlfn.XLOOKUP(TableDailySummary[[#This Row],[Fecha]],SummaryDaily[day],SummaryDaily[cost_of_goods_sold],0)</f>
        <v>364823</v>
      </c>
      <c r="AO69" s="12">
        <f>_xlfn.XLOOKUP(TableDailySummary[[#This Row],[Fecha]],SummaryDaily[day],SummaryDaily[gross_profit],0)</f>
        <v>947782.06</v>
      </c>
      <c r="AP69" s="18">
        <f>IFERROR(TableDailySummary[[#This Row],[Utilidad bruta]]/TableDailySummary[[#This Row],[Ventas netas con costo registrado]],0)</f>
        <v>0.72206186680401796</v>
      </c>
    </row>
    <row r="70" spans="2:42" x14ac:dyDescent="0.2">
      <c r="B70" s="15" cm="1">
        <f t="array" ref="B70">MIN(SummaryDaily[day]) + (ROW(TableDailySummary[#This Row]) - ROW(TableDailySummary[[#Headers],[Dia]]) - 1)</f>
        <v>45841</v>
      </c>
      <c r="C70" s="6">
        <f>TableDailySummary[[#This Row],[Dia]]</f>
        <v>45841</v>
      </c>
      <c r="D70" s="12">
        <f>_xlfn.XLOOKUP(TableDailySummary[[#This Row],[Fecha]],SummaryDaily[day],SummaryDaily[net_sales],0)</f>
        <v>815967.22</v>
      </c>
      <c r="E70" s="12">
        <f>_xlfn.XLOOKUP(TableDailySummary[[#This Row],[Fecha]],SummaryDaily[day],SummaryDaily[orders],0)</f>
        <v>9</v>
      </c>
      <c r="F70" s="12">
        <f>_xlfn.XLOOKUP(TableDailySummary[[#This Row],[Fecha]],SummaryDaily[day],SummaryDaily[average_order_value],0)</f>
        <v>90663.024000000005</v>
      </c>
      <c r="G70" s="24">
        <f>_xlfn.XLOOKUP(TableDailySummary[[#This Row],[Fecha]],SummaryDaily[day],SummaryDaily[Total site_conversion_rate],0)</f>
        <v>4.3630017452006981E-3</v>
      </c>
      <c r="H70" s="12">
        <f>TableDailySummary[[#This Row],[Órden promedio totales]]*TableDailySummary[[#This Row],[CR totales]]</f>
        <v>395.56293193717278</v>
      </c>
      <c r="I70" s="12">
        <f>_xlfn.XLOOKUP(TableDailySummary[[#This Row],[Fecha]],SummaryDaily[day],SummaryDaily[new_net_sales],0)</f>
        <v>454621.84</v>
      </c>
      <c r="J70" s="12">
        <f>_xlfn.XLOOKUP(TableDailySummary[[#This Row],[Fecha]],SummaryDaily[day],SummaryDaily[new_orders],0)</f>
        <v>6</v>
      </c>
      <c r="K70" s="12">
        <f>_xlfn.XLOOKUP(TableDailySummary[[#This Row],[Fecha]],SummaryDaily[day],SummaryDaily[new_average_order_value],0)</f>
        <v>75770.305999999997</v>
      </c>
      <c r="L70" s="12">
        <f>_xlfn.XLOOKUP(TableDailySummary[[#This Row],[Fecha]],SummaryDaily[day],SummaryDaily[Online Store_net_sales],0)</f>
        <v>634454.62</v>
      </c>
      <c r="M70" s="12">
        <f>_xlfn.XLOOKUP(TableDailySummary[[#This Row],[Fecha]],SummaryDaily[day],SummaryDaily[Online Store_orders],0)</f>
        <v>6</v>
      </c>
      <c r="N70" s="12">
        <f>_xlfn.XLOOKUP(TableDailySummary[[#This Row],[Fecha]],SummaryDaily[day],SummaryDaily[Online Store_average_order_value],0)</f>
        <v>105742.436</v>
      </c>
      <c r="O70" s="12">
        <f>_xlfn.XLOOKUP(TableDailySummary[[#This Row],[Fecha]],SummaryDaily[day],SummaryDaily[Tienda 81_net_sales],0)</f>
        <v>0</v>
      </c>
      <c r="P70" s="12">
        <f>_xlfn.XLOOKUP(TableDailySummary[[#This Row],[Fecha]],SummaryDaily[day],SummaryDaily[Tienda 81_orders],0)</f>
        <v>0</v>
      </c>
      <c r="Q70" s="12">
        <f>_xlfn.XLOOKUP(TableDailySummary[[#This Row],[Fecha]],SummaryDaily[day],SummaryDaily[Tienda 81_average_order_value],0)</f>
        <v>0</v>
      </c>
      <c r="R70" s="12">
        <f>_xlfn.XLOOKUP(TableDailySummary[[#This Row],[Fecha]],SummaryDaily[day],SummaryDaily[Rappi_net_sales],0)</f>
        <v>21848.74</v>
      </c>
      <c r="S70" s="12">
        <f>_xlfn.XLOOKUP(TableDailySummary[[#This Row],[Fecha]],SummaryDaily[day],SummaryDaily[Rappi_orders],0)</f>
        <v>1</v>
      </c>
      <c r="T70" s="12">
        <f>_xlfn.XLOOKUP(TableDailySummary[[#This Row],[Fecha]],SummaryDaily[day],SummaryDaily[Rappi_average_order_value],0)</f>
        <v>21848.74</v>
      </c>
      <c r="U70" s="12">
        <f>_xlfn.XLOOKUP(TableDailySummary[[#This Row],[Fecha]],SummaryDaily[day],SummaryDaily[Corporativo no tienda_net_sales],0)</f>
        <v>0</v>
      </c>
      <c r="V70" s="12">
        <f>_xlfn.XLOOKUP(TableDailySummary[[#This Row],[Fecha]],SummaryDaily[day],SummaryDaily[Corporativo no tienda_orders],0)</f>
        <v>0</v>
      </c>
      <c r="W70" s="12">
        <f>_xlfn.XLOOKUP(TableDailySummary[[#This Row],[Fecha]],SummaryDaily[day],SummaryDaily[Corporativo no tienda_average_order_value],0)</f>
        <v>0</v>
      </c>
      <c r="X70" s="12">
        <f>_xlfn.XLOOKUP(TableDailySummary[[#This Row],[Fecha]],SummaryDaily[day],SummaryDaily[GoogleAdsOperation.Cost],0)</f>
        <v>95363.32</v>
      </c>
      <c r="Y70" s="12">
        <f>SUMIFS(SalesByUTMDaily[google],SalesByUTMDaily[day],TableDailySummary[[#This Row],[Fecha]])</f>
        <v>0</v>
      </c>
      <c r="Z70" s="12">
        <f>_xlfn.XLOOKUP(TableDailySummary[[#This Row],[Fecha]],SummaryDaily[day],SummaryDaily[MetaAdsOperation.spend],0)</f>
        <v>51297</v>
      </c>
      <c r="AA70" s="12">
        <f>SUMIFS(SalesByUTMDaily[facebook],SalesByUTMDaily[day],TableDailySummary[[#This Row],[Fecha]])</f>
        <v>0</v>
      </c>
      <c r="AB70" s="12">
        <f>TableDailySummary[[#This Row],[Inversión google ads]]+TableDailySummary[[#This Row],[Inversión meta ads]]</f>
        <v>146660.32</v>
      </c>
      <c r="AC70" s="12">
        <f>TableDailySummary[[#This Row],[Ventas google ads]]+TableDailySummary[[#This Row],[Ventas meta ads]]</f>
        <v>0</v>
      </c>
      <c r="AD70" s="14">
        <f>IFERROR(TableDailySummary[[#This Row],[Ventas publicidad]]/TableDailySummary[[#This Row],[Inversión publicidad]],0)</f>
        <v>0</v>
      </c>
      <c r="AE70" s="14">
        <f>IFERROR(TableDailySummary[[#This Row],[Ventas primer cliente]]/TableDailySummary[[#This Row],[Inversión publicidad]],0)</f>
        <v>3.0998285016697085</v>
      </c>
      <c r="AF70" s="14"/>
      <c r="AG70" s="12"/>
      <c r="AM70" s="12">
        <f>_xlfn.XLOOKUP(TableDailySummary[[#This Row],[Fecha]],SummaryDaily[day],SummaryDaily[net_sales_with_cost_recorded],0)</f>
        <v>815966.38</v>
      </c>
      <c r="AN70" s="12">
        <f>_xlfn.XLOOKUP(TableDailySummary[[#This Row],[Fecha]],SummaryDaily[day],SummaryDaily[cost_of_goods_sold],0)</f>
        <v>234454</v>
      </c>
      <c r="AO70" s="12">
        <f>_xlfn.XLOOKUP(TableDailySummary[[#This Row],[Fecha]],SummaryDaily[day],SummaryDaily[gross_profit],0)</f>
        <v>581512.38</v>
      </c>
      <c r="AP70" s="18">
        <f>IFERROR(TableDailySummary[[#This Row],[Utilidad bruta]]/TableDailySummary[[#This Row],[Ventas netas con costo registrado]],0)</f>
        <v>0.71266708317075511</v>
      </c>
    </row>
    <row r="71" spans="2:42" x14ac:dyDescent="0.2">
      <c r="B71" s="15" cm="1">
        <f t="array" ref="B71">MIN(SummaryDaily[day]) + (ROW(TableDailySummary[#This Row]) - ROW(TableDailySummary[[#Headers],[Dia]]) - 1)</f>
        <v>45842</v>
      </c>
      <c r="C71" s="6">
        <f>TableDailySummary[[#This Row],[Dia]]</f>
        <v>45842</v>
      </c>
      <c r="D71" s="12">
        <f>_xlfn.XLOOKUP(TableDailySummary[[#This Row],[Fecha]],SummaryDaily[day],SummaryDaily[net_sales],0)</f>
        <v>1214285.72</v>
      </c>
      <c r="E71" s="12">
        <f>_xlfn.XLOOKUP(TableDailySummary[[#This Row],[Fecha]],SummaryDaily[day],SummaryDaily[orders],0)</f>
        <v>6</v>
      </c>
      <c r="F71" s="12">
        <f>_xlfn.XLOOKUP(TableDailySummary[[#This Row],[Fecha]],SummaryDaily[day],SummaryDaily[average_order_value],0)</f>
        <v>160364.14600000001</v>
      </c>
      <c r="G71" s="24">
        <f>_xlfn.XLOOKUP(TableDailySummary[[#This Row],[Fecha]],SummaryDaily[day],SummaryDaily[Total site_conversion_rate],0)</f>
        <v>1.8365472910927456E-3</v>
      </c>
      <c r="H71" s="12">
        <f>TableDailySummary[[#This Row],[Órden promedio totales]]*TableDailySummary[[#This Row],[CR totales]]</f>
        <v>294.51633792470159</v>
      </c>
      <c r="I71" s="12">
        <f>_xlfn.XLOOKUP(TableDailySummary[[#This Row],[Fecha]],SummaryDaily[day],SummaryDaily[new_net_sales],0)</f>
        <v>794117.65</v>
      </c>
      <c r="J71" s="12">
        <f>_xlfn.XLOOKUP(TableDailySummary[[#This Row],[Fecha]],SummaryDaily[day],SummaryDaily[new_orders],0)</f>
        <v>2</v>
      </c>
      <c r="K71" s="12">
        <f>_xlfn.XLOOKUP(TableDailySummary[[#This Row],[Fecha]],SummaryDaily[day],SummaryDaily[new_average_order_value],0)</f>
        <v>271008.40500000003</v>
      </c>
      <c r="L71" s="12">
        <f>_xlfn.XLOOKUP(TableDailySummary[[#This Row],[Fecha]],SummaryDaily[day],SummaryDaily[Online Store_net_sales],0)</f>
        <v>289915.96999999997</v>
      </c>
      <c r="M71" s="12">
        <f>_xlfn.XLOOKUP(TableDailySummary[[#This Row],[Fecha]],SummaryDaily[day],SummaryDaily[Online Store_orders],0)</f>
        <v>2</v>
      </c>
      <c r="N71" s="12">
        <f>_xlfn.XLOOKUP(TableDailySummary[[#This Row],[Fecha]],SummaryDaily[day],SummaryDaily[Online Store_average_order_value],0)</f>
        <v>144957.98499999999</v>
      </c>
      <c r="O71" s="12">
        <f>_xlfn.XLOOKUP(TableDailySummary[[#This Row],[Fecha]],SummaryDaily[day],SummaryDaily[Tienda 81_net_sales],0)</f>
        <v>0</v>
      </c>
      <c r="P71" s="12">
        <f>_xlfn.XLOOKUP(TableDailySummary[[#This Row],[Fecha]],SummaryDaily[day],SummaryDaily[Tienda 81_orders],0)</f>
        <v>0</v>
      </c>
      <c r="Q71" s="12">
        <f>_xlfn.XLOOKUP(TableDailySummary[[#This Row],[Fecha]],SummaryDaily[day],SummaryDaily[Tienda 81_average_order_value],0)</f>
        <v>0</v>
      </c>
      <c r="R71" s="12">
        <f>_xlfn.XLOOKUP(TableDailySummary[[#This Row],[Fecha]],SummaryDaily[day],SummaryDaily[Rappi_net_sales],0)</f>
        <v>0</v>
      </c>
      <c r="S71" s="12">
        <f>_xlfn.XLOOKUP(TableDailySummary[[#This Row],[Fecha]],SummaryDaily[day],SummaryDaily[Rappi_orders],0)</f>
        <v>0</v>
      </c>
      <c r="T71" s="12">
        <f>_xlfn.XLOOKUP(TableDailySummary[[#This Row],[Fecha]],SummaryDaily[day],SummaryDaily[Rappi_average_order_value],0)</f>
        <v>0</v>
      </c>
      <c r="U71" s="12">
        <f>_xlfn.XLOOKUP(TableDailySummary[[#This Row],[Fecha]],SummaryDaily[day],SummaryDaily[Corporativo no tienda_net_sales],0)</f>
        <v>0</v>
      </c>
      <c r="V71" s="12">
        <f>_xlfn.XLOOKUP(TableDailySummary[[#This Row],[Fecha]],SummaryDaily[day],SummaryDaily[Corporativo no tienda_orders],0)</f>
        <v>0</v>
      </c>
      <c r="W71" s="12">
        <f>_xlfn.XLOOKUP(TableDailySummary[[#This Row],[Fecha]],SummaryDaily[day],SummaryDaily[Corporativo no tienda_average_order_value],0)</f>
        <v>0</v>
      </c>
      <c r="X71" s="12">
        <f>_xlfn.XLOOKUP(TableDailySummary[[#This Row],[Fecha]],SummaryDaily[day],SummaryDaily[GoogleAdsOperation.Cost],0)</f>
        <v>81696.600000000006</v>
      </c>
      <c r="Y71" s="12">
        <f>SUMIFS(SalesByUTMDaily[google],SalesByUTMDaily[day],TableDailySummary[[#This Row],[Fecha]])</f>
        <v>0</v>
      </c>
      <c r="Z71" s="12">
        <f>_xlfn.XLOOKUP(TableDailySummary[[#This Row],[Fecha]],SummaryDaily[day],SummaryDaily[MetaAdsOperation.spend],0)</f>
        <v>31105</v>
      </c>
      <c r="AA71" s="12">
        <f>SUMIFS(SalesByUTMDaily[facebook],SalesByUTMDaily[day],TableDailySummary[[#This Row],[Fecha]])</f>
        <v>0</v>
      </c>
      <c r="AB71" s="12">
        <f>TableDailySummary[[#This Row],[Inversión google ads]]+TableDailySummary[[#This Row],[Inversión meta ads]]</f>
        <v>112801.60000000001</v>
      </c>
      <c r="AC71" s="12">
        <f>TableDailySummary[[#This Row],[Ventas google ads]]+TableDailySummary[[#This Row],[Ventas meta ads]]</f>
        <v>0</v>
      </c>
      <c r="AD71" s="14">
        <f>IFERROR(TableDailySummary[[#This Row],[Ventas publicidad]]/TableDailySummary[[#This Row],[Inversión publicidad]],0)</f>
        <v>0</v>
      </c>
      <c r="AE71" s="14">
        <f>IFERROR(TableDailySummary[[#This Row],[Ventas primer cliente]]/TableDailySummary[[#This Row],[Inversión publicidad]],0)</f>
        <v>7.0399502312023943</v>
      </c>
      <c r="AF71" s="14"/>
      <c r="AG71" s="12"/>
      <c r="AM71" s="12">
        <f>_xlfn.XLOOKUP(TableDailySummary[[#This Row],[Fecha]],SummaryDaily[day],SummaryDaily[net_sales_with_cost_recorded],0)</f>
        <v>1214285.72</v>
      </c>
      <c r="AN71" s="12">
        <f>_xlfn.XLOOKUP(TableDailySummary[[#This Row],[Fecha]],SummaryDaily[day],SummaryDaily[cost_of_goods_sold],0)</f>
        <v>242311</v>
      </c>
      <c r="AO71" s="12">
        <f>_xlfn.XLOOKUP(TableDailySummary[[#This Row],[Fecha]],SummaryDaily[day],SummaryDaily[gross_profit],0)</f>
        <v>971974.72</v>
      </c>
      <c r="AP71" s="18">
        <f>IFERROR(TableDailySummary[[#This Row],[Utilidad bruta]]/TableDailySummary[[#This Row],[Ventas netas con costo registrado]],0)</f>
        <v>0.8004497656449423</v>
      </c>
    </row>
    <row r="72" spans="2:42" x14ac:dyDescent="0.2">
      <c r="B72" s="15" cm="1">
        <f t="array" ref="B72">MIN(SummaryDaily[day]) + (ROW(TableDailySummary[#This Row]) - ROW(TableDailySummary[[#Headers],[Dia]]) - 1)</f>
        <v>45843</v>
      </c>
      <c r="C72" s="6">
        <f>TableDailySummary[[#This Row],[Dia]]</f>
        <v>45843</v>
      </c>
      <c r="D72" s="12">
        <f>_xlfn.XLOOKUP(TableDailySummary[[#This Row],[Fecha]],SummaryDaily[day],SummaryDaily[net_sales],0)</f>
        <v>911764.72</v>
      </c>
      <c r="E72" s="12">
        <f>_xlfn.XLOOKUP(TableDailySummary[[#This Row],[Fecha]],SummaryDaily[day],SummaryDaily[orders],0)</f>
        <v>8</v>
      </c>
      <c r="F72" s="12">
        <f>_xlfn.XLOOKUP(TableDailySummary[[#This Row],[Fecha]],SummaryDaily[day],SummaryDaily[average_order_value],0)</f>
        <v>113970.59</v>
      </c>
      <c r="G72" s="24">
        <f>_xlfn.XLOOKUP(TableDailySummary[[#This Row],[Fecha]],SummaryDaily[day],SummaryDaily[Total site_conversion_rate],0)</f>
        <v>2.2779043280182231E-3</v>
      </c>
      <c r="H72" s="12">
        <f>TableDailySummary[[#This Row],[Órden promedio totales]]*TableDailySummary[[#This Row],[CR totales]]</f>
        <v>259.6141002277904</v>
      </c>
      <c r="I72" s="12">
        <f>_xlfn.XLOOKUP(TableDailySummary[[#This Row],[Fecha]],SummaryDaily[day],SummaryDaily[new_net_sales],0)</f>
        <v>760504.21</v>
      </c>
      <c r="J72" s="12">
        <f>_xlfn.XLOOKUP(TableDailySummary[[#This Row],[Fecha]],SummaryDaily[day],SummaryDaily[new_orders],0)</f>
        <v>5</v>
      </c>
      <c r="K72" s="12">
        <f>_xlfn.XLOOKUP(TableDailySummary[[#This Row],[Fecha]],SummaryDaily[day],SummaryDaily[new_average_order_value],0)</f>
        <v>152100.842</v>
      </c>
      <c r="L72" s="12">
        <f>_xlfn.XLOOKUP(TableDailySummary[[#This Row],[Fecha]],SummaryDaily[day],SummaryDaily[Online Store_net_sales],0)</f>
        <v>621848.75</v>
      </c>
      <c r="M72" s="12">
        <f>_xlfn.XLOOKUP(TableDailySummary[[#This Row],[Fecha]],SummaryDaily[day],SummaryDaily[Online Store_orders],0)</f>
        <v>4</v>
      </c>
      <c r="N72" s="12">
        <f>_xlfn.XLOOKUP(TableDailySummary[[#This Row],[Fecha]],SummaryDaily[day],SummaryDaily[Online Store_average_order_value],0)</f>
        <v>155462.18700000001</v>
      </c>
      <c r="O72" s="12">
        <f>_xlfn.XLOOKUP(TableDailySummary[[#This Row],[Fecha]],SummaryDaily[day],SummaryDaily[Tienda 81_net_sales],0)</f>
        <v>0</v>
      </c>
      <c r="P72" s="12">
        <f>_xlfn.XLOOKUP(TableDailySummary[[#This Row],[Fecha]],SummaryDaily[day],SummaryDaily[Tienda 81_orders],0)</f>
        <v>0</v>
      </c>
      <c r="Q72" s="12">
        <f>_xlfn.XLOOKUP(TableDailySummary[[#This Row],[Fecha]],SummaryDaily[day],SummaryDaily[Tienda 81_average_order_value],0)</f>
        <v>0</v>
      </c>
      <c r="R72" s="12">
        <f>_xlfn.XLOOKUP(TableDailySummary[[#This Row],[Fecha]],SummaryDaily[day],SummaryDaily[Rappi_net_sales],0)</f>
        <v>0</v>
      </c>
      <c r="S72" s="12">
        <f>_xlfn.XLOOKUP(TableDailySummary[[#This Row],[Fecha]],SummaryDaily[day],SummaryDaily[Rappi_orders],0)</f>
        <v>0</v>
      </c>
      <c r="T72" s="12">
        <f>_xlfn.XLOOKUP(TableDailySummary[[#This Row],[Fecha]],SummaryDaily[day],SummaryDaily[Rappi_average_order_value],0)</f>
        <v>0</v>
      </c>
      <c r="U72" s="12">
        <f>_xlfn.XLOOKUP(TableDailySummary[[#This Row],[Fecha]],SummaryDaily[day],SummaryDaily[Corporativo no tienda_net_sales],0)</f>
        <v>0</v>
      </c>
      <c r="V72" s="12">
        <f>_xlfn.XLOOKUP(TableDailySummary[[#This Row],[Fecha]],SummaryDaily[day],SummaryDaily[Corporativo no tienda_orders],0)</f>
        <v>0</v>
      </c>
      <c r="W72" s="12">
        <f>_xlfn.XLOOKUP(TableDailySummary[[#This Row],[Fecha]],SummaryDaily[day],SummaryDaily[Corporativo no tienda_average_order_value],0)</f>
        <v>0</v>
      </c>
      <c r="X72" s="12">
        <f>_xlfn.XLOOKUP(TableDailySummary[[#This Row],[Fecha]],SummaryDaily[day],SummaryDaily[GoogleAdsOperation.Cost],0)</f>
        <v>103596.91</v>
      </c>
      <c r="Y72" s="12">
        <f>SUMIFS(SalesByUTMDaily[google],SalesByUTMDaily[day],TableDailySummary[[#This Row],[Fecha]])</f>
        <v>0</v>
      </c>
      <c r="Z72" s="12">
        <f>_xlfn.XLOOKUP(TableDailySummary[[#This Row],[Fecha]],SummaryDaily[day],SummaryDaily[MetaAdsOperation.spend],0)</f>
        <v>34202</v>
      </c>
      <c r="AA72" s="12">
        <f>SUMIFS(SalesByUTMDaily[facebook],SalesByUTMDaily[day],TableDailySummary[[#This Row],[Fecha]])</f>
        <v>0</v>
      </c>
      <c r="AB72" s="12">
        <f>TableDailySummary[[#This Row],[Inversión google ads]]+TableDailySummary[[#This Row],[Inversión meta ads]]</f>
        <v>137798.91</v>
      </c>
      <c r="AC72" s="12">
        <f>TableDailySummary[[#This Row],[Ventas google ads]]+TableDailySummary[[#This Row],[Ventas meta ads]]</f>
        <v>0</v>
      </c>
      <c r="AD72" s="14">
        <f>IFERROR(TableDailySummary[[#This Row],[Ventas publicidad]]/TableDailySummary[[#This Row],[Inversión publicidad]],0)</f>
        <v>0</v>
      </c>
      <c r="AE72" s="14">
        <f>IFERROR(TableDailySummary[[#This Row],[Ventas primer cliente]]/TableDailySummary[[#This Row],[Inversión publicidad]],0)</f>
        <v>5.5189421309646063</v>
      </c>
      <c r="AF72" s="14"/>
      <c r="AG72" s="12"/>
      <c r="AM72" s="12">
        <f>_xlfn.XLOOKUP(TableDailySummary[[#This Row],[Fecha]],SummaryDaily[day],SummaryDaily[net_sales_with_cost_recorded],0)</f>
        <v>911764.72</v>
      </c>
      <c r="AN72" s="12">
        <f>_xlfn.XLOOKUP(TableDailySummary[[#This Row],[Fecha]],SummaryDaily[day],SummaryDaily[cost_of_goods_sold],0)</f>
        <v>280646</v>
      </c>
      <c r="AO72" s="12">
        <f>_xlfn.XLOOKUP(TableDailySummary[[#This Row],[Fecha]],SummaryDaily[day],SummaryDaily[gross_profit],0)</f>
        <v>631118.72</v>
      </c>
      <c r="AP72" s="18">
        <f>IFERROR(TableDailySummary[[#This Row],[Utilidad bruta]]/TableDailySummary[[#This Row],[Ventas netas con costo registrado]],0)</f>
        <v>0.69219471444343672</v>
      </c>
    </row>
    <row r="73" spans="2:42" x14ac:dyDescent="0.2">
      <c r="B73" s="15" cm="1">
        <f t="array" ref="B73">MIN(SummaryDaily[day]) + (ROW(TableDailySummary[#This Row]) - ROW(TableDailySummary[[#Headers],[Dia]]) - 1)</f>
        <v>45844</v>
      </c>
      <c r="C73" s="6">
        <f>TableDailySummary[[#This Row],[Dia]]</f>
        <v>45844</v>
      </c>
      <c r="D73" s="12">
        <f>_xlfn.XLOOKUP(TableDailySummary[[#This Row],[Fecha]],SummaryDaily[day],SummaryDaily[net_sales],0)</f>
        <v>176470.59</v>
      </c>
      <c r="E73" s="12">
        <f>_xlfn.XLOOKUP(TableDailySummary[[#This Row],[Fecha]],SummaryDaily[day],SummaryDaily[orders],0)</f>
        <v>1</v>
      </c>
      <c r="F73" s="12">
        <f>_xlfn.XLOOKUP(TableDailySummary[[#This Row],[Fecha]],SummaryDaily[day],SummaryDaily[average_order_value],0)</f>
        <v>176470.59</v>
      </c>
      <c r="G73" s="24">
        <f>_xlfn.XLOOKUP(TableDailySummary[[#This Row],[Fecha]],SummaryDaily[day],SummaryDaily[Total site_conversion_rate],0)</f>
        <v>9.9108027750247768E-4</v>
      </c>
      <c r="H73" s="12">
        <f>TableDailySummary[[#This Row],[Órden promedio totales]]*TableDailySummary[[#This Row],[CR totales]]</f>
        <v>174.89652130822597</v>
      </c>
      <c r="I73" s="12">
        <f>_xlfn.XLOOKUP(TableDailySummary[[#This Row],[Fecha]],SummaryDaily[day],SummaryDaily[new_net_sales],0)</f>
        <v>0</v>
      </c>
      <c r="J73" s="12">
        <f>_xlfn.XLOOKUP(TableDailySummary[[#This Row],[Fecha]],SummaryDaily[day],SummaryDaily[new_orders],0)</f>
        <v>0</v>
      </c>
      <c r="K73" s="12">
        <f>_xlfn.XLOOKUP(TableDailySummary[[#This Row],[Fecha]],SummaryDaily[day],SummaryDaily[new_average_order_value],0)</f>
        <v>0</v>
      </c>
      <c r="L73" s="12">
        <f>_xlfn.XLOOKUP(TableDailySummary[[#This Row],[Fecha]],SummaryDaily[day],SummaryDaily[Online Store_net_sales],0)</f>
        <v>176470.59</v>
      </c>
      <c r="M73" s="12">
        <f>_xlfn.XLOOKUP(TableDailySummary[[#This Row],[Fecha]],SummaryDaily[day],SummaryDaily[Online Store_orders],0)</f>
        <v>1</v>
      </c>
      <c r="N73" s="12">
        <f>_xlfn.XLOOKUP(TableDailySummary[[#This Row],[Fecha]],SummaryDaily[day],SummaryDaily[Online Store_average_order_value],0)</f>
        <v>176470.59</v>
      </c>
      <c r="O73" s="12">
        <f>_xlfn.XLOOKUP(TableDailySummary[[#This Row],[Fecha]],SummaryDaily[day],SummaryDaily[Tienda 81_net_sales],0)</f>
        <v>0</v>
      </c>
      <c r="P73" s="12">
        <f>_xlfn.XLOOKUP(TableDailySummary[[#This Row],[Fecha]],SummaryDaily[day],SummaryDaily[Tienda 81_orders],0)</f>
        <v>0</v>
      </c>
      <c r="Q73" s="12">
        <f>_xlfn.XLOOKUP(TableDailySummary[[#This Row],[Fecha]],SummaryDaily[day],SummaryDaily[Tienda 81_average_order_value],0)</f>
        <v>0</v>
      </c>
      <c r="R73" s="12">
        <f>_xlfn.XLOOKUP(TableDailySummary[[#This Row],[Fecha]],SummaryDaily[day],SummaryDaily[Rappi_net_sales],0)</f>
        <v>0</v>
      </c>
      <c r="S73" s="12">
        <f>_xlfn.XLOOKUP(TableDailySummary[[#This Row],[Fecha]],SummaryDaily[day],SummaryDaily[Rappi_orders],0)</f>
        <v>0</v>
      </c>
      <c r="T73" s="12">
        <f>_xlfn.XLOOKUP(TableDailySummary[[#This Row],[Fecha]],SummaryDaily[day],SummaryDaily[Rappi_average_order_value],0)</f>
        <v>0</v>
      </c>
      <c r="U73" s="12">
        <f>_xlfn.XLOOKUP(TableDailySummary[[#This Row],[Fecha]],SummaryDaily[day],SummaryDaily[Corporativo no tienda_net_sales],0)</f>
        <v>0</v>
      </c>
      <c r="V73" s="12">
        <f>_xlfn.XLOOKUP(TableDailySummary[[#This Row],[Fecha]],SummaryDaily[day],SummaryDaily[Corporativo no tienda_orders],0)</f>
        <v>0</v>
      </c>
      <c r="W73" s="12">
        <f>_xlfn.XLOOKUP(TableDailySummary[[#This Row],[Fecha]],SummaryDaily[day],SummaryDaily[Corporativo no tienda_average_order_value],0)</f>
        <v>0</v>
      </c>
      <c r="X73" s="12">
        <f>_xlfn.XLOOKUP(TableDailySummary[[#This Row],[Fecha]],SummaryDaily[day],SummaryDaily[GoogleAdsOperation.Cost],0)</f>
        <v>82344.23</v>
      </c>
      <c r="Y73" s="12">
        <f>SUMIFS(SalesByUTMDaily[google],SalesByUTMDaily[day],TableDailySummary[[#This Row],[Fecha]])</f>
        <v>0</v>
      </c>
      <c r="Z73" s="12">
        <f>_xlfn.XLOOKUP(TableDailySummary[[#This Row],[Fecha]],SummaryDaily[day],SummaryDaily[MetaAdsOperation.spend],0)</f>
        <v>39155</v>
      </c>
      <c r="AA73" s="12">
        <f>SUMIFS(SalesByUTMDaily[facebook],SalesByUTMDaily[day],TableDailySummary[[#This Row],[Fecha]])</f>
        <v>0</v>
      </c>
      <c r="AB73" s="12">
        <f>TableDailySummary[[#This Row],[Inversión google ads]]+TableDailySummary[[#This Row],[Inversión meta ads]]</f>
        <v>121499.23</v>
      </c>
      <c r="AC73" s="12">
        <f>TableDailySummary[[#This Row],[Ventas google ads]]+TableDailySummary[[#This Row],[Ventas meta ads]]</f>
        <v>0</v>
      </c>
      <c r="AD73" s="14">
        <f>IFERROR(TableDailySummary[[#This Row],[Ventas publicidad]]/TableDailySummary[[#This Row],[Inversión publicidad]],0)</f>
        <v>0</v>
      </c>
      <c r="AE73" s="14">
        <f>IFERROR(TableDailySummary[[#This Row],[Ventas primer cliente]]/TableDailySummary[[#This Row],[Inversión publicidad]],0)</f>
        <v>0</v>
      </c>
      <c r="AF73" s="14"/>
      <c r="AG73" s="12"/>
      <c r="AM73" s="12">
        <f>_xlfn.XLOOKUP(TableDailySummary[[#This Row],[Fecha]],SummaryDaily[day],SummaryDaily[net_sales_with_cost_recorded],0)</f>
        <v>176470.59</v>
      </c>
      <c r="AN73" s="12">
        <f>_xlfn.XLOOKUP(TableDailySummary[[#This Row],[Fecha]],SummaryDaily[day],SummaryDaily[cost_of_goods_sold],0)</f>
        <v>48975</v>
      </c>
      <c r="AO73" s="12">
        <f>_xlfn.XLOOKUP(TableDailySummary[[#This Row],[Fecha]],SummaryDaily[day],SummaryDaily[gross_profit],0)</f>
        <v>127495.59</v>
      </c>
      <c r="AP73" s="18">
        <f>IFERROR(TableDailySummary[[#This Row],[Utilidad bruta]]/TableDailySummary[[#This Row],[Ventas netas con costo registrado]],0)</f>
        <v>0.72247500277525001</v>
      </c>
    </row>
    <row r="74" spans="2:42" x14ac:dyDescent="0.2">
      <c r="B74" s="15" cm="1">
        <f t="array" ref="B74">MIN(SummaryDaily[day]) + (ROW(TableDailySummary[#This Row]) - ROW(TableDailySummary[[#Headers],[Dia]]) - 1)</f>
        <v>45845</v>
      </c>
      <c r="C74" s="6">
        <f>TableDailySummary[[#This Row],[Dia]]</f>
        <v>45845</v>
      </c>
      <c r="D74" s="12">
        <f>_xlfn.XLOOKUP(TableDailySummary[[#This Row],[Fecha]],SummaryDaily[day],SummaryDaily[net_sales],0)</f>
        <v>1140336.1399999999</v>
      </c>
      <c r="E74" s="12">
        <f>_xlfn.XLOOKUP(TableDailySummary[[#This Row],[Fecha]],SummaryDaily[day],SummaryDaily[orders],0)</f>
        <v>8</v>
      </c>
      <c r="F74" s="12">
        <f>_xlfn.XLOOKUP(TableDailySummary[[#This Row],[Fecha]],SummaryDaily[day],SummaryDaily[average_order_value],0)</f>
        <v>139810.92499999999</v>
      </c>
      <c r="G74" s="24">
        <f>_xlfn.XLOOKUP(TableDailySummary[[#This Row],[Fecha]],SummaryDaily[day],SummaryDaily[Total site_conversion_rate],0)</f>
        <v>6.7895247332686714E-3</v>
      </c>
      <c r="H74" s="12">
        <f>TableDailySummary[[#This Row],[Órden promedio totales]]*TableDailySummary[[#This Row],[CR totales]]</f>
        <v>949.24973326867109</v>
      </c>
      <c r="I74" s="12">
        <f>_xlfn.XLOOKUP(TableDailySummary[[#This Row],[Fecha]],SummaryDaily[day],SummaryDaily[new_net_sales],0)</f>
        <v>321008.40999999997</v>
      </c>
      <c r="J74" s="12">
        <f>_xlfn.XLOOKUP(TableDailySummary[[#This Row],[Fecha]],SummaryDaily[day],SummaryDaily[new_orders],0)</f>
        <v>4</v>
      </c>
      <c r="K74" s="12">
        <f>_xlfn.XLOOKUP(TableDailySummary[[#This Row],[Fecha]],SummaryDaily[day],SummaryDaily[new_average_order_value],0)</f>
        <v>74789.917000000001</v>
      </c>
      <c r="L74" s="12">
        <f>_xlfn.XLOOKUP(TableDailySummary[[#This Row],[Fecha]],SummaryDaily[day],SummaryDaily[Online Store_net_sales],0)</f>
        <v>1140336.1399999999</v>
      </c>
      <c r="M74" s="12">
        <f>_xlfn.XLOOKUP(TableDailySummary[[#This Row],[Fecha]],SummaryDaily[day],SummaryDaily[Online Store_orders],0)</f>
        <v>8</v>
      </c>
      <c r="N74" s="12">
        <f>_xlfn.XLOOKUP(TableDailySummary[[#This Row],[Fecha]],SummaryDaily[day],SummaryDaily[Online Store_average_order_value],0)</f>
        <v>139810.92499999999</v>
      </c>
      <c r="O74" s="12">
        <f>_xlfn.XLOOKUP(TableDailySummary[[#This Row],[Fecha]],SummaryDaily[day],SummaryDaily[Tienda 81_net_sales],0)</f>
        <v>0</v>
      </c>
      <c r="P74" s="12">
        <f>_xlfn.XLOOKUP(TableDailySummary[[#This Row],[Fecha]],SummaryDaily[day],SummaryDaily[Tienda 81_orders],0)</f>
        <v>0</v>
      </c>
      <c r="Q74" s="12">
        <f>_xlfn.XLOOKUP(TableDailySummary[[#This Row],[Fecha]],SummaryDaily[day],SummaryDaily[Tienda 81_average_order_value],0)</f>
        <v>0</v>
      </c>
      <c r="R74" s="12">
        <f>_xlfn.XLOOKUP(TableDailySummary[[#This Row],[Fecha]],SummaryDaily[day],SummaryDaily[Rappi_net_sales],0)</f>
        <v>0</v>
      </c>
      <c r="S74" s="12">
        <f>_xlfn.XLOOKUP(TableDailySummary[[#This Row],[Fecha]],SummaryDaily[day],SummaryDaily[Rappi_orders],0)</f>
        <v>0</v>
      </c>
      <c r="T74" s="12">
        <f>_xlfn.XLOOKUP(TableDailySummary[[#This Row],[Fecha]],SummaryDaily[day],SummaryDaily[Rappi_average_order_value],0)</f>
        <v>0</v>
      </c>
      <c r="U74" s="12">
        <f>_xlfn.XLOOKUP(TableDailySummary[[#This Row],[Fecha]],SummaryDaily[day],SummaryDaily[Corporativo no tienda_net_sales],0)</f>
        <v>0</v>
      </c>
      <c r="V74" s="12">
        <f>_xlfn.XLOOKUP(TableDailySummary[[#This Row],[Fecha]],SummaryDaily[day],SummaryDaily[Corporativo no tienda_orders],0)</f>
        <v>0</v>
      </c>
      <c r="W74" s="12">
        <f>_xlfn.XLOOKUP(TableDailySummary[[#This Row],[Fecha]],SummaryDaily[day],SummaryDaily[Corporativo no tienda_average_order_value],0)</f>
        <v>0</v>
      </c>
      <c r="X74" s="12">
        <f>_xlfn.XLOOKUP(TableDailySummary[[#This Row],[Fecha]],SummaryDaily[day],SummaryDaily[GoogleAdsOperation.Cost],0)</f>
        <v>97024.92</v>
      </c>
      <c r="Y74" s="12">
        <f>SUMIFS(SalesByUTMDaily[google],SalesByUTMDaily[day],TableDailySummary[[#This Row],[Fecha]])</f>
        <v>0</v>
      </c>
      <c r="Z74" s="12">
        <f>_xlfn.XLOOKUP(TableDailySummary[[#This Row],[Fecha]],SummaryDaily[day],SummaryDaily[MetaAdsOperation.spend],0)</f>
        <v>39854</v>
      </c>
      <c r="AA74" s="12">
        <f>SUMIFS(SalesByUTMDaily[facebook],SalesByUTMDaily[day],TableDailySummary[[#This Row],[Fecha]])</f>
        <v>79000</v>
      </c>
      <c r="AB74" s="12">
        <f>TableDailySummary[[#This Row],[Inversión google ads]]+TableDailySummary[[#This Row],[Inversión meta ads]]</f>
        <v>136878.91999999998</v>
      </c>
      <c r="AC74" s="12">
        <f>TableDailySummary[[#This Row],[Ventas google ads]]+TableDailySummary[[#This Row],[Ventas meta ads]]</f>
        <v>79000</v>
      </c>
      <c r="AD74" s="14">
        <f>IFERROR(TableDailySummary[[#This Row],[Ventas publicidad]]/TableDailySummary[[#This Row],[Inversión publicidad]],0)</f>
        <v>0.57715242054802895</v>
      </c>
      <c r="AE74" s="14">
        <f>IFERROR(TableDailySummary[[#This Row],[Ventas primer cliente]]/TableDailySummary[[#This Row],[Inversión publicidad]],0)</f>
        <v>2.3451997575667605</v>
      </c>
      <c r="AF74" s="14"/>
      <c r="AG74" s="12"/>
      <c r="AM74" s="12">
        <f>_xlfn.XLOOKUP(TableDailySummary[[#This Row],[Fecha]],SummaryDaily[day],SummaryDaily[net_sales_with_cost_recorded],0)</f>
        <v>1140336.1399999999</v>
      </c>
      <c r="AN74" s="12">
        <f>_xlfn.XLOOKUP(TableDailySummary[[#This Row],[Fecha]],SummaryDaily[day],SummaryDaily[cost_of_goods_sold],0)</f>
        <v>329830</v>
      </c>
      <c r="AO74" s="12">
        <f>_xlfn.XLOOKUP(TableDailySummary[[#This Row],[Fecha]],SummaryDaily[day],SummaryDaily[gross_profit],0)</f>
        <v>810506.14</v>
      </c>
      <c r="AP74" s="18">
        <f>IFERROR(TableDailySummary[[#This Row],[Utilidad bruta]]/TableDailySummary[[#This Row],[Ventas netas con costo registrado]],0)</f>
        <v>0.71076072358804665</v>
      </c>
    </row>
    <row r="75" spans="2:42" x14ac:dyDescent="0.2">
      <c r="B75" s="15" cm="1">
        <f t="array" ref="B75">MIN(SummaryDaily[day]) + (ROW(TableDailySummary[#This Row]) - ROW(TableDailySummary[[#Headers],[Dia]]) - 1)</f>
        <v>45846</v>
      </c>
      <c r="C75" s="6">
        <f>TableDailySummary[[#This Row],[Dia]]</f>
        <v>45846</v>
      </c>
      <c r="D75" s="12">
        <f>_xlfn.XLOOKUP(TableDailySummary[[#This Row],[Fecha]],SummaryDaily[day],SummaryDaily[net_sales],0)</f>
        <v>438655.46</v>
      </c>
      <c r="E75" s="12">
        <f>_xlfn.XLOOKUP(TableDailySummary[[#This Row],[Fecha]],SummaryDaily[day],SummaryDaily[orders],0)</f>
        <v>7</v>
      </c>
      <c r="F75" s="12">
        <f>_xlfn.XLOOKUP(TableDailySummary[[#This Row],[Fecha]],SummaryDaily[day],SummaryDaily[average_order_value],0)</f>
        <v>80672.267999999996</v>
      </c>
      <c r="G75" s="24">
        <f>_xlfn.XLOOKUP(TableDailySummary[[#This Row],[Fecha]],SummaryDaily[day],SummaryDaily[Total site_conversion_rate],0)</f>
        <v>1.3037809647979139E-3</v>
      </c>
      <c r="H75" s="12">
        <f>TableDailySummary[[#This Row],[Órden promedio totales]]*TableDailySummary[[#This Row],[CR totales]]</f>
        <v>105.17896740547587</v>
      </c>
      <c r="I75" s="12">
        <f>_xlfn.XLOOKUP(TableDailySummary[[#This Row],[Fecha]],SummaryDaily[day],SummaryDaily[new_net_sales],0)</f>
        <v>-45378.15</v>
      </c>
      <c r="J75" s="12">
        <f>_xlfn.XLOOKUP(TableDailySummary[[#This Row],[Fecha]],SummaryDaily[day],SummaryDaily[new_orders],0)</f>
        <v>2</v>
      </c>
      <c r="K75" s="12">
        <f>_xlfn.XLOOKUP(TableDailySummary[[#This Row],[Fecha]],SummaryDaily[day],SummaryDaily[new_average_order_value],0)</f>
        <v>40336.135000000002</v>
      </c>
      <c r="L75" s="12">
        <f>_xlfn.XLOOKUP(TableDailySummary[[#This Row],[Fecha]],SummaryDaily[day],SummaryDaily[Online Store_net_sales],0)</f>
        <v>357983.19</v>
      </c>
      <c r="M75" s="12">
        <f>_xlfn.XLOOKUP(TableDailySummary[[#This Row],[Fecha]],SummaryDaily[day],SummaryDaily[Online Store_orders],0)</f>
        <v>2</v>
      </c>
      <c r="N75" s="12">
        <f>_xlfn.XLOOKUP(TableDailySummary[[#This Row],[Fecha]],SummaryDaily[day],SummaryDaily[Online Store_average_order_value],0)</f>
        <v>178991.595</v>
      </c>
      <c r="O75" s="12">
        <f>_xlfn.XLOOKUP(TableDailySummary[[#This Row],[Fecha]],SummaryDaily[day],SummaryDaily[Tienda 81_net_sales],0)</f>
        <v>0</v>
      </c>
      <c r="P75" s="12">
        <f>_xlfn.XLOOKUP(TableDailySummary[[#This Row],[Fecha]],SummaryDaily[day],SummaryDaily[Tienda 81_orders],0)</f>
        <v>0</v>
      </c>
      <c r="Q75" s="12">
        <f>_xlfn.XLOOKUP(TableDailySummary[[#This Row],[Fecha]],SummaryDaily[day],SummaryDaily[Tienda 81_average_order_value],0)</f>
        <v>0</v>
      </c>
      <c r="R75" s="12">
        <f>_xlfn.XLOOKUP(TableDailySummary[[#This Row],[Fecha]],SummaryDaily[day],SummaryDaily[Rappi_net_sales],0)</f>
        <v>21848.74</v>
      </c>
      <c r="S75" s="12">
        <f>_xlfn.XLOOKUP(TableDailySummary[[#This Row],[Fecha]],SummaryDaily[day],SummaryDaily[Rappi_orders],0)</f>
        <v>1</v>
      </c>
      <c r="T75" s="12">
        <f>_xlfn.XLOOKUP(TableDailySummary[[#This Row],[Fecha]],SummaryDaily[day],SummaryDaily[Rappi_average_order_value],0)</f>
        <v>21848.74</v>
      </c>
      <c r="U75" s="12">
        <f>_xlfn.XLOOKUP(TableDailySummary[[#This Row],[Fecha]],SummaryDaily[day],SummaryDaily[Corporativo no tienda_net_sales],0)</f>
        <v>0</v>
      </c>
      <c r="V75" s="12">
        <f>_xlfn.XLOOKUP(TableDailySummary[[#This Row],[Fecha]],SummaryDaily[day],SummaryDaily[Corporativo no tienda_orders],0)</f>
        <v>0</v>
      </c>
      <c r="W75" s="12">
        <f>_xlfn.XLOOKUP(TableDailySummary[[#This Row],[Fecha]],SummaryDaily[day],SummaryDaily[Corporativo no tienda_average_order_value],0)</f>
        <v>0</v>
      </c>
      <c r="X75" s="12">
        <f>_xlfn.XLOOKUP(TableDailySummary[[#This Row],[Fecha]],SummaryDaily[day],SummaryDaily[GoogleAdsOperation.Cost],0)</f>
        <v>131575.35999999999</v>
      </c>
      <c r="Y75" s="12">
        <f>SUMIFS(SalesByUTMDaily[google],SalesByUTMDaily[day],TableDailySummary[[#This Row],[Fecha]])</f>
        <v>0</v>
      </c>
      <c r="Z75" s="12">
        <f>_xlfn.XLOOKUP(TableDailySummary[[#This Row],[Fecha]],SummaryDaily[day],SummaryDaily[MetaAdsOperation.spend],0)</f>
        <v>39251</v>
      </c>
      <c r="AA75" s="12">
        <f>SUMIFS(SalesByUTMDaily[facebook],SalesByUTMDaily[day],TableDailySummary[[#This Row],[Fecha]])</f>
        <v>0</v>
      </c>
      <c r="AB75" s="12">
        <f>TableDailySummary[[#This Row],[Inversión google ads]]+TableDailySummary[[#This Row],[Inversión meta ads]]</f>
        <v>170826.36</v>
      </c>
      <c r="AC75" s="12">
        <f>TableDailySummary[[#This Row],[Ventas google ads]]+TableDailySummary[[#This Row],[Ventas meta ads]]</f>
        <v>0</v>
      </c>
      <c r="AD75" s="14">
        <f>IFERROR(TableDailySummary[[#This Row],[Ventas publicidad]]/TableDailySummary[[#This Row],[Inversión publicidad]],0)</f>
        <v>0</v>
      </c>
      <c r="AE75" s="14">
        <f>IFERROR(TableDailySummary[[#This Row],[Ventas primer cliente]]/TableDailySummary[[#This Row],[Inversión publicidad]],0)</f>
        <v>-0.2656390383779178</v>
      </c>
      <c r="AF75" s="14"/>
      <c r="AG75" s="12"/>
      <c r="AM75" s="12">
        <f>_xlfn.XLOOKUP(TableDailySummary[[#This Row],[Fecha]],SummaryDaily[day],SummaryDaily[net_sales_with_cost_recorded],0)</f>
        <v>438655.46</v>
      </c>
      <c r="AN75" s="12">
        <f>_xlfn.XLOOKUP(TableDailySummary[[#This Row],[Fecha]],SummaryDaily[day],SummaryDaily[cost_of_goods_sold],0)</f>
        <v>169844</v>
      </c>
      <c r="AO75" s="12">
        <f>_xlfn.XLOOKUP(TableDailySummary[[#This Row],[Fecha]],SummaryDaily[day],SummaryDaily[gross_profit],0)</f>
        <v>268811.46000000002</v>
      </c>
      <c r="AP75" s="18">
        <f>IFERROR(TableDailySummary[[#This Row],[Utilidad bruta]]/TableDailySummary[[#This Row],[Ventas netas con costo registrado]],0)</f>
        <v>0.61280773753505768</v>
      </c>
    </row>
    <row r="76" spans="2:42" x14ac:dyDescent="0.2">
      <c r="B76" s="15" cm="1">
        <f t="array" ref="B76">MIN(SummaryDaily[day]) + (ROW(TableDailySummary[#This Row]) - ROW(TableDailySummary[[#Headers],[Dia]]) - 1)</f>
        <v>45847</v>
      </c>
      <c r="C76" s="6">
        <f>TableDailySummary[[#This Row],[Dia]]</f>
        <v>45847</v>
      </c>
      <c r="D76" s="12">
        <f>_xlfn.XLOOKUP(TableDailySummary[[#This Row],[Fecha]],SummaryDaily[day],SummaryDaily[net_sales],0)</f>
        <v>3676680.67</v>
      </c>
      <c r="E76" s="12">
        <f>_xlfn.XLOOKUP(TableDailySummary[[#This Row],[Fecha]],SummaryDaily[day],SummaryDaily[orders],0)</f>
        <v>22</v>
      </c>
      <c r="F76" s="12">
        <f>_xlfn.XLOOKUP(TableDailySummary[[#This Row],[Fecha]],SummaryDaily[day],SummaryDaily[average_order_value],0)</f>
        <v>171896.48499999999</v>
      </c>
      <c r="G76" s="24">
        <f>_xlfn.XLOOKUP(TableDailySummary[[#This Row],[Fecha]],SummaryDaily[day],SummaryDaily[Total site_conversion_rate],0)</f>
        <v>1.4767932489451477E-2</v>
      </c>
      <c r="H76" s="12">
        <f>TableDailySummary[[#This Row],[Órden promedio totales]]*TableDailySummary[[#This Row],[CR totales]]</f>
        <v>2538.5556856540084</v>
      </c>
      <c r="I76" s="12">
        <f>_xlfn.XLOOKUP(TableDailySummary[[#This Row],[Fecha]],SummaryDaily[day],SummaryDaily[new_net_sales],0)</f>
        <v>2596848.7400000002</v>
      </c>
      <c r="J76" s="12">
        <f>_xlfn.XLOOKUP(TableDailySummary[[#This Row],[Fecha]],SummaryDaily[day],SummaryDaily[new_orders],0)</f>
        <v>14</v>
      </c>
      <c r="K76" s="12">
        <f>_xlfn.XLOOKUP(TableDailySummary[[#This Row],[Fecha]],SummaryDaily[day],SummaryDaily[new_average_order_value],0)</f>
        <v>185489.19500000001</v>
      </c>
      <c r="L76" s="12">
        <f>_xlfn.XLOOKUP(TableDailySummary[[#This Row],[Fecha]],SummaryDaily[day],SummaryDaily[Online Store_net_sales],0)</f>
        <v>911764.71</v>
      </c>
      <c r="M76" s="12">
        <f>_xlfn.XLOOKUP(TableDailySummary[[#This Row],[Fecha]],SummaryDaily[day],SummaryDaily[Online Store_orders],0)</f>
        <v>7</v>
      </c>
      <c r="N76" s="12">
        <f>_xlfn.XLOOKUP(TableDailySummary[[#This Row],[Fecha]],SummaryDaily[day],SummaryDaily[Online Store_average_order_value],0)</f>
        <v>145258.10399999999</v>
      </c>
      <c r="O76" s="12">
        <f>_xlfn.XLOOKUP(TableDailySummary[[#This Row],[Fecha]],SummaryDaily[day],SummaryDaily[Tienda 81_net_sales],0)</f>
        <v>1256302.53</v>
      </c>
      <c r="P76" s="12">
        <f>_xlfn.XLOOKUP(TableDailySummary[[#This Row],[Fecha]],SummaryDaily[day],SummaryDaily[Tienda 81_orders],0)</f>
        <v>10</v>
      </c>
      <c r="Q76" s="12">
        <f>_xlfn.XLOOKUP(TableDailySummary[[#This Row],[Fecha]],SummaryDaily[day],SummaryDaily[Tienda 81_average_order_value],0)</f>
        <v>125630.253</v>
      </c>
      <c r="R76" s="12">
        <f>_xlfn.XLOOKUP(TableDailySummary[[#This Row],[Fecha]],SummaryDaily[day],SummaryDaily[Rappi_net_sales],0)</f>
        <v>0</v>
      </c>
      <c r="S76" s="12">
        <f>_xlfn.XLOOKUP(TableDailySummary[[#This Row],[Fecha]],SummaryDaily[day],SummaryDaily[Rappi_orders],0)</f>
        <v>0</v>
      </c>
      <c r="T76" s="12">
        <f>_xlfn.XLOOKUP(TableDailySummary[[#This Row],[Fecha]],SummaryDaily[day],SummaryDaily[Rappi_average_order_value],0)</f>
        <v>0</v>
      </c>
      <c r="U76" s="12">
        <f>_xlfn.XLOOKUP(TableDailySummary[[#This Row],[Fecha]],SummaryDaily[day],SummaryDaily[Corporativo no tienda_net_sales],0)</f>
        <v>0</v>
      </c>
      <c r="V76" s="12">
        <f>_xlfn.XLOOKUP(TableDailySummary[[#This Row],[Fecha]],SummaryDaily[day],SummaryDaily[Corporativo no tienda_orders],0)</f>
        <v>0</v>
      </c>
      <c r="W76" s="12">
        <f>_xlfn.XLOOKUP(TableDailySummary[[#This Row],[Fecha]],SummaryDaily[day],SummaryDaily[Corporativo no tienda_average_order_value],0)</f>
        <v>0</v>
      </c>
      <c r="X76" s="12">
        <f>_xlfn.XLOOKUP(TableDailySummary[[#This Row],[Fecha]],SummaryDaily[day],SummaryDaily[GoogleAdsOperation.Cost],0)</f>
        <v>98853.83</v>
      </c>
      <c r="Y76" s="12">
        <f>SUMIFS(SalesByUTMDaily[google],SalesByUTMDaily[day],TableDailySummary[[#This Row],[Fecha]])</f>
        <v>0</v>
      </c>
      <c r="Z76" s="12">
        <f>_xlfn.XLOOKUP(TableDailySummary[[#This Row],[Fecha]],SummaryDaily[day],SummaryDaily[MetaAdsOperation.spend],0)</f>
        <v>42711</v>
      </c>
      <c r="AA76" s="12">
        <f>SUMIFS(SalesByUTMDaily[facebook],SalesByUTMDaily[day],TableDailySummary[[#This Row],[Fecha]])</f>
        <v>0</v>
      </c>
      <c r="AB76" s="12">
        <f>TableDailySummary[[#This Row],[Inversión google ads]]+TableDailySummary[[#This Row],[Inversión meta ads]]</f>
        <v>141564.83000000002</v>
      </c>
      <c r="AC76" s="12">
        <f>TableDailySummary[[#This Row],[Ventas google ads]]+TableDailySummary[[#This Row],[Ventas meta ads]]</f>
        <v>0</v>
      </c>
      <c r="AD76" s="14">
        <f>IFERROR(TableDailySummary[[#This Row],[Ventas publicidad]]/TableDailySummary[[#This Row],[Inversión publicidad]],0)</f>
        <v>0</v>
      </c>
      <c r="AE76" s="14">
        <f>IFERROR(TableDailySummary[[#This Row],[Ventas primer cliente]]/TableDailySummary[[#This Row],[Inversión publicidad]],0)</f>
        <v>18.343883434889865</v>
      </c>
      <c r="AF76" s="14"/>
      <c r="AG76" s="12"/>
      <c r="AM76" s="12">
        <f>_xlfn.XLOOKUP(TableDailySummary[[#This Row],[Fecha]],SummaryDaily[day],SummaryDaily[net_sales_with_cost_recorded],0)</f>
        <v>3575840.33</v>
      </c>
      <c r="AN76" s="12">
        <f>_xlfn.XLOOKUP(TableDailySummary[[#This Row],[Fecha]],SummaryDaily[day],SummaryDaily[cost_of_goods_sold],0)</f>
        <v>1132151</v>
      </c>
      <c r="AO76" s="12">
        <f>_xlfn.XLOOKUP(TableDailySummary[[#This Row],[Fecha]],SummaryDaily[day],SummaryDaily[gross_profit],0)</f>
        <v>2443689.33</v>
      </c>
      <c r="AP76" s="18">
        <f>IFERROR(TableDailySummary[[#This Row],[Utilidad bruta]]/TableDailySummary[[#This Row],[Ventas netas con costo registrado]],0)</f>
        <v>0.68338882737529838</v>
      </c>
    </row>
    <row r="77" spans="2:42" x14ac:dyDescent="0.2">
      <c r="B77" s="15" cm="1">
        <f t="array" ref="B77">MIN(SummaryDaily[day]) + (ROW(TableDailySummary[#This Row]) - ROW(TableDailySummary[[#Headers],[Dia]]) - 1)</f>
        <v>45848</v>
      </c>
      <c r="C77" s="6">
        <f>TableDailySummary[[#This Row],[Dia]]</f>
        <v>45848</v>
      </c>
      <c r="D77" s="12">
        <f>_xlfn.XLOOKUP(TableDailySummary[[#This Row],[Fecha]],SummaryDaily[day],SummaryDaily[net_sales],0)</f>
        <v>2890756.3</v>
      </c>
      <c r="E77" s="12">
        <f>_xlfn.XLOOKUP(TableDailySummary[[#This Row],[Fecha]],SummaryDaily[day],SummaryDaily[orders],0)</f>
        <v>22</v>
      </c>
      <c r="F77" s="12">
        <f>_xlfn.XLOOKUP(TableDailySummary[[#This Row],[Fecha]],SummaryDaily[day],SummaryDaily[average_order_value],0)</f>
        <v>131398.01300000001</v>
      </c>
      <c r="G77" s="24">
        <f>_xlfn.XLOOKUP(TableDailySummary[[#This Row],[Fecha]],SummaryDaily[day],SummaryDaily[Total site_conversion_rate],0)</f>
        <v>3.0120481927710843E-2</v>
      </c>
      <c r="H77" s="12">
        <f>TableDailySummary[[#This Row],[Órden promedio totales]]*TableDailySummary[[#This Row],[CR totales]]</f>
        <v>3957.7714759036148</v>
      </c>
      <c r="I77" s="12">
        <f>_xlfn.XLOOKUP(TableDailySummary[[#This Row],[Fecha]],SummaryDaily[day],SummaryDaily[new_net_sales],0)</f>
        <v>2368067.23</v>
      </c>
      <c r="J77" s="12">
        <f>_xlfn.XLOOKUP(TableDailySummary[[#This Row],[Fecha]],SummaryDaily[day],SummaryDaily[new_orders],0)</f>
        <v>16</v>
      </c>
      <c r="K77" s="12">
        <f>_xlfn.XLOOKUP(TableDailySummary[[#This Row],[Fecha]],SummaryDaily[day],SummaryDaily[new_average_order_value],0)</f>
        <v>148004.201</v>
      </c>
      <c r="L77" s="12">
        <f>_xlfn.XLOOKUP(TableDailySummary[[#This Row],[Fecha]],SummaryDaily[day],SummaryDaily[Online Store_net_sales],0)</f>
        <v>1096638.6599999999</v>
      </c>
      <c r="M77" s="12">
        <f>_xlfn.XLOOKUP(TableDailySummary[[#This Row],[Fecha]],SummaryDaily[day],SummaryDaily[Online Store_orders],0)</f>
        <v>9</v>
      </c>
      <c r="N77" s="12">
        <f>_xlfn.XLOOKUP(TableDailySummary[[#This Row],[Fecha]],SummaryDaily[day],SummaryDaily[Online Store_average_order_value],0)</f>
        <v>121848.74</v>
      </c>
      <c r="O77" s="12">
        <f>_xlfn.XLOOKUP(TableDailySummary[[#This Row],[Fecha]],SummaryDaily[day],SummaryDaily[Tienda 81_net_sales],0)</f>
        <v>1047899.15</v>
      </c>
      <c r="P77" s="12">
        <f>_xlfn.XLOOKUP(TableDailySummary[[#This Row],[Fecha]],SummaryDaily[day],SummaryDaily[Tienda 81_orders],0)</f>
        <v>8</v>
      </c>
      <c r="Q77" s="12">
        <f>_xlfn.XLOOKUP(TableDailySummary[[#This Row],[Fecha]],SummaryDaily[day],SummaryDaily[Tienda 81_average_order_value],0)</f>
        <v>130987.393</v>
      </c>
      <c r="R77" s="12">
        <f>_xlfn.XLOOKUP(TableDailySummary[[#This Row],[Fecha]],SummaryDaily[day],SummaryDaily[Rappi_net_sales],0)</f>
        <v>21848.74</v>
      </c>
      <c r="S77" s="12">
        <f>_xlfn.XLOOKUP(TableDailySummary[[#This Row],[Fecha]],SummaryDaily[day],SummaryDaily[Rappi_orders],0)</f>
        <v>1</v>
      </c>
      <c r="T77" s="12">
        <f>_xlfn.XLOOKUP(TableDailySummary[[#This Row],[Fecha]],SummaryDaily[day],SummaryDaily[Rappi_average_order_value],0)</f>
        <v>21848.74</v>
      </c>
      <c r="U77" s="12">
        <f>_xlfn.XLOOKUP(TableDailySummary[[#This Row],[Fecha]],SummaryDaily[day],SummaryDaily[Corporativo no tienda_net_sales],0)</f>
        <v>0</v>
      </c>
      <c r="V77" s="12">
        <f>_xlfn.XLOOKUP(TableDailySummary[[#This Row],[Fecha]],SummaryDaily[day],SummaryDaily[Corporativo no tienda_orders],0)</f>
        <v>0</v>
      </c>
      <c r="W77" s="12">
        <f>_xlfn.XLOOKUP(TableDailySummary[[#This Row],[Fecha]],SummaryDaily[day],SummaryDaily[Corporativo no tienda_average_order_value],0)</f>
        <v>0</v>
      </c>
      <c r="X77" s="12">
        <f>_xlfn.XLOOKUP(TableDailySummary[[#This Row],[Fecha]],SummaryDaily[day],SummaryDaily[GoogleAdsOperation.Cost],0)</f>
        <v>100375.57</v>
      </c>
      <c r="Y77" s="12">
        <f>SUMIFS(SalesByUTMDaily[google],SalesByUTMDaily[day],TableDailySummary[[#This Row],[Fecha]])</f>
        <v>230000</v>
      </c>
      <c r="Z77" s="12">
        <f>_xlfn.XLOOKUP(TableDailySummary[[#This Row],[Fecha]],SummaryDaily[day],SummaryDaily[MetaAdsOperation.spend],0)</f>
        <v>38344</v>
      </c>
      <c r="AA77" s="12">
        <f>SUMIFS(SalesByUTMDaily[facebook],SalesByUTMDaily[day],TableDailySummary[[#This Row],[Fecha]])</f>
        <v>124000</v>
      </c>
      <c r="AB77" s="12">
        <f>TableDailySummary[[#This Row],[Inversión google ads]]+TableDailySummary[[#This Row],[Inversión meta ads]]</f>
        <v>138719.57</v>
      </c>
      <c r="AC77" s="12">
        <f>TableDailySummary[[#This Row],[Ventas google ads]]+TableDailySummary[[#This Row],[Ventas meta ads]]</f>
        <v>354000</v>
      </c>
      <c r="AD77" s="14">
        <f>IFERROR(TableDailySummary[[#This Row],[Ventas publicidad]]/TableDailySummary[[#This Row],[Inversión publicidad]],0)</f>
        <v>2.5519110245223509</v>
      </c>
      <c r="AE77" s="14">
        <f>IFERROR(TableDailySummary[[#This Row],[Ventas primer cliente]]/TableDailySummary[[#This Row],[Inversión publicidad]],0)</f>
        <v>17.070895115952275</v>
      </c>
      <c r="AF77" s="14"/>
      <c r="AG77" s="12"/>
      <c r="AM77" s="12">
        <f>_xlfn.XLOOKUP(TableDailySummary[[#This Row],[Fecha]],SummaryDaily[day],SummaryDaily[net_sales_with_cost_recorded],0)</f>
        <v>2579831.9300000002</v>
      </c>
      <c r="AN77" s="12">
        <f>_xlfn.XLOOKUP(TableDailySummary[[#This Row],[Fecha]],SummaryDaily[day],SummaryDaily[cost_of_goods_sold],0)</f>
        <v>791891</v>
      </c>
      <c r="AO77" s="12">
        <f>_xlfn.XLOOKUP(TableDailySummary[[#This Row],[Fecha]],SummaryDaily[day],SummaryDaily[gross_profit],0)</f>
        <v>1787940.93</v>
      </c>
      <c r="AP77" s="18">
        <f>IFERROR(TableDailySummary[[#This Row],[Utilidad bruta]]/TableDailySummary[[#This Row],[Ventas netas con costo registrado]],0)</f>
        <v>0.69304550781337138</v>
      </c>
    </row>
    <row r="78" spans="2:42" x14ac:dyDescent="0.2">
      <c r="B78" s="15" cm="1">
        <f t="array" ref="B78">MIN(SummaryDaily[day]) + (ROW(TableDailySummary[#This Row]) - ROW(TableDailySummary[[#Headers],[Dia]]) - 1)</f>
        <v>45849</v>
      </c>
      <c r="C78" s="6">
        <f>TableDailySummary[[#This Row],[Dia]]</f>
        <v>45849</v>
      </c>
      <c r="D78" s="12">
        <f>_xlfn.XLOOKUP(TableDailySummary[[#This Row],[Fecha]],SummaryDaily[day],SummaryDaily[net_sales],0)</f>
        <v>2226890.75</v>
      </c>
      <c r="E78" s="12">
        <f>_xlfn.XLOOKUP(TableDailySummary[[#This Row],[Fecha]],SummaryDaily[day],SummaryDaily[orders],0)</f>
        <v>17</v>
      </c>
      <c r="F78" s="12">
        <f>_xlfn.XLOOKUP(TableDailySummary[[#This Row],[Fecha]],SummaryDaily[day],SummaryDaily[average_order_value],0)</f>
        <v>130993.573</v>
      </c>
      <c r="G78" s="24">
        <f>_xlfn.XLOOKUP(TableDailySummary[[#This Row],[Fecha]],SummaryDaily[day],SummaryDaily[Total site_conversion_rate],0)</f>
        <v>7.3394495412844041E-3</v>
      </c>
      <c r="H78" s="12">
        <f>TableDailySummary[[#This Row],[Órden promedio totales]]*TableDailySummary[[#This Row],[CR totales]]</f>
        <v>961.42071926605513</v>
      </c>
      <c r="I78" s="12">
        <f>_xlfn.XLOOKUP(TableDailySummary[[#This Row],[Fecha]],SummaryDaily[day],SummaryDaily[new_net_sales],0)</f>
        <v>676470.59</v>
      </c>
      <c r="J78" s="12">
        <f>_xlfn.XLOOKUP(TableDailySummary[[#This Row],[Fecha]],SummaryDaily[day],SummaryDaily[new_orders],0)</f>
        <v>6</v>
      </c>
      <c r="K78" s="12">
        <f>_xlfn.XLOOKUP(TableDailySummary[[#This Row],[Fecha]],SummaryDaily[day],SummaryDaily[new_average_order_value],0)</f>
        <v>112745.098</v>
      </c>
      <c r="L78" s="12">
        <f>_xlfn.XLOOKUP(TableDailySummary[[#This Row],[Fecha]],SummaryDaily[day],SummaryDaily[Online Store_net_sales],0)</f>
        <v>504201.69</v>
      </c>
      <c r="M78" s="12">
        <f>_xlfn.XLOOKUP(TableDailySummary[[#This Row],[Fecha]],SummaryDaily[day],SummaryDaily[Online Store_orders],0)</f>
        <v>4</v>
      </c>
      <c r="N78" s="12">
        <f>_xlfn.XLOOKUP(TableDailySummary[[#This Row],[Fecha]],SummaryDaily[day],SummaryDaily[Online Store_average_order_value],0)</f>
        <v>126050.42200000001</v>
      </c>
      <c r="O78" s="12">
        <f>_xlfn.XLOOKUP(TableDailySummary[[#This Row],[Fecha]],SummaryDaily[day],SummaryDaily[Tienda 81_net_sales],0)</f>
        <v>1588235.28</v>
      </c>
      <c r="P78" s="12">
        <f>_xlfn.XLOOKUP(TableDailySummary[[#This Row],[Fecha]],SummaryDaily[day],SummaryDaily[Tienda 81_orders],0)</f>
        <v>11</v>
      </c>
      <c r="Q78" s="12">
        <f>_xlfn.XLOOKUP(TableDailySummary[[#This Row],[Fecha]],SummaryDaily[day],SummaryDaily[Tienda 81_average_order_value],0)</f>
        <v>144385.02499999999</v>
      </c>
      <c r="R78" s="12">
        <f>_xlfn.XLOOKUP(TableDailySummary[[#This Row],[Fecha]],SummaryDaily[day],SummaryDaily[Rappi_net_sales],0)</f>
        <v>0</v>
      </c>
      <c r="S78" s="12">
        <f>_xlfn.XLOOKUP(TableDailySummary[[#This Row],[Fecha]],SummaryDaily[day],SummaryDaily[Rappi_orders],0)</f>
        <v>0</v>
      </c>
      <c r="T78" s="12">
        <f>_xlfn.XLOOKUP(TableDailySummary[[#This Row],[Fecha]],SummaryDaily[day],SummaryDaily[Rappi_average_order_value],0)</f>
        <v>0</v>
      </c>
      <c r="U78" s="12">
        <f>_xlfn.XLOOKUP(TableDailySummary[[#This Row],[Fecha]],SummaryDaily[day],SummaryDaily[Corporativo no tienda_net_sales],0)</f>
        <v>0</v>
      </c>
      <c r="V78" s="12">
        <f>_xlfn.XLOOKUP(TableDailySummary[[#This Row],[Fecha]],SummaryDaily[day],SummaryDaily[Corporativo no tienda_orders],0)</f>
        <v>0</v>
      </c>
      <c r="W78" s="12">
        <f>_xlfn.XLOOKUP(TableDailySummary[[#This Row],[Fecha]],SummaryDaily[day],SummaryDaily[Corporativo no tienda_average_order_value],0)</f>
        <v>0</v>
      </c>
      <c r="X78" s="12">
        <f>_xlfn.XLOOKUP(TableDailySummary[[#This Row],[Fecha]],SummaryDaily[day],SummaryDaily[GoogleAdsOperation.Cost],0)</f>
        <v>109250.94</v>
      </c>
      <c r="Y78" s="12">
        <f>SUMIFS(SalesByUTMDaily[google],SalesByUTMDaily[day],TableDailySummary[[#This Row],[Fecha]])</f>
        <v>0</v>
      </c>
      <c r="Z78" s="12">
        <f>_xlfn.XLOOKUP(TableDailySummary[[#This Row],[Fecha]],SummaryDaily[day],SummaryDaily[MetaAdsOperation.spend],0)</f>
        <v>41178</v>
      </c>
      <c r="AA78" s="12">
        <f>SUMIFS(SalesByUTMDaily[facebook],SalesByUTMDaily[day],TableDailySummary[[#This Row],[Fecha]])</f>
        <v>124000</v>
      </c>
      <c r="AB78" s="12">
        <f>TableDailySummary[[#This Row],[Inversión google ads]]+TableDailySummary[[#This Row],[Inversión meta ads]]</f>
        <v>150428.94</v>
      </c>
      <c r="AC78" s="12">
        <f>TableDailySummary[[#This Row],[Ventas google ads]]+TableDailySummary[[#This Row],[Ventas meta ads]]</f>
        <v>124000</v>
      </c>
      <c r="AD78" s="14">
        <f>IFERROR(TableDailySummary[[#This Row],[Ventas publicidad]]/TableDailySummary[[#This Row],[Inversión publicidad]],0)</f>
        <v>0.82430947130252996</v>
      </c>
      <c r="AE78" s="14">
        <f>IFERROR(TableDailySummary[[#This Row],[Ventas primer cliente]]/TableDailySummary[[#This Row],[Inversión publicidad]],0)</f>
        <v>4.4969444709242783</v>
      </c>
      <c r="AF78" s="14"/>
      <c r="AG78" s="12"/>
      <c r="AM78" s="12">
        <f>_xlfn.XLOOKUP(TableDailySummary[[#This Row],[Fecha]],SummaryDaily[day],SummaryDaily[net_sales_with_cost_recorded],0)</f>
        <v>2226890.75</v>
      </c>
      <c r="AN78" s="12">
        <f>_xlfn.XLOOKUP(TableDailySummary[[#This Row],[Fecha]],SummaryDaily[day],SummaryDaily[cost_of_goods_sold],0)</f>
        <v>714089</v>
      </c>
      <c r="AO78" s="12">
        <f>_xlfn.XLOOKUP(TableDailySummary[[#This Row],[Fecha]],SummaryDaily[day],SummaryDaily[gross_profit],0)</f>
        <v>1512801.75</v>
      </c>
      <c r="AP78" s="18">
        <f>IFERROR(TableDailySummary[[#This Row],[Utilidad bruta]]/TableDailySummary[[#This Row],[Ventas netas con costo registrado]],0)</f>
        <v>0.67933361796037817</v>
      </c>
    </row>
    <row r="79" spans="2:42" x14ac:dyDescent="0.2">
      <c r="B79" s="15" cm="1">
        <f t="array" ref="B79">MIN(SummaryDaily[day]) + (ROW(TableDailySummary[#This Row]) - ROW(TableDailySummary[[#Headers],[Dia]]) - 1)</f>
        <v>45850</v>
      </c>
      <c r="C79" s="6">
        <f>TableDailySummary[[#This Row],[Dia]]</f>
        <v>45850</v>
      </c>
      <c r="D79" s="12">
        <f>_xlfn.XLOOKUP(TableDailySummary[[#This Row],[Fecha]],SummaryDaily[day],SummaryDaily[net_sales],0)</f>
        <v>3698320.35</v>
      </c>
      <c r="E79" s="12">
        <f>_xlfn.XLOOKUP(TableDailySummary[[#This Row],[Fecha]],SummaryDaily[day],SummaryDaily[orders],0)</f>
        <v>23</v>
      </c>
      <c r="F79" s="12">
        <f>_xlfn.XLOOKUP(TableDailySummary[[#This Row],[Fecha]],SummaryDaily[day],SummaryDaily[average_order_value],0)</f>
        <v>160796.53599999999</v>
      </c>
      <c r="G79" s="24">
        <f>_xlfn.XLOOKUP(TableDailySummary[[#This Row],[Fecha]],SummaryDaily[day],SummaryDaily[Total site_conversion_rate],0)</f>
        <v>5.8365758754863814E-3</v>
      </c>
      <c r="H79" s="12">
        <f>TableDailySummary[[#This Row],[Órden promedio totales]]*TableDailySummary[[#This Row],[CR totales]]</f>
        <v>938.50118287937744</v>
      </c>
      <c r="I79" s="12">
        <f>_xlfn.XLOOKUP(TableDailySummary[[#This Row],[Fecha]],SummaryDaily[day],SummaryDaily[new_net_sales],0)</f>
        <v>3059663.89</v>
      </c>
      <c r="J79" s="12">
        <f>_xlfn.XLOOKUP(TableDailySummary[[#This Row],[Fecha]],SummaryDaily[day],SummaryDaily[new_orders],0)</f>
        <v>17</v>
      </c>
      <c r="K79" s="12">
        <f>_xlfn.XLOOKUP(TableDailySummary[[#This Row],[Fecha]],SummaryDaily[day],SummaryDaily[new_average_order_value],0)</f>
        <v>179980.228</v>
      </c>
      <c r="L79" s="12">
        <f>_xlfn.XLOOKUP(TableDailySummary[[#This Row],[Fecha]],SummaryDaily[day],SummaryDaily[Online Store_net_sales],0)</f>
        <v>403362.34</v>
      </c>
      <c r="M79" s="12">
        <f>_xlfn.XLOOKUP(TableDailySummary[[#This Row],[Fecha]],SummaryDaily[day],SummaryDaily[Online Store_orders],0)</f>
        <v>3</v>
      </c>
      <c r="N79" s="12">
        <f>_xlfn.XLOOKUP(TableDailySummary[[#This Row],[Fecha]],SummaryDaily[day],SummaryDaily[Online Store_average_order_value],0)</f>
        <v>134454.11300000001</v>
      </c>
      <c r="O79" s="12">
        <f>_xlfn.XLOOKUP(TableDailySummary[[#This Row],[Fecha]],SummaryDaily[day],SummaryDaily[Tienda 81_net_sales],0)</f>
        <v>3105882.38</v>
      </c>
      <c r="P79" s="12">
        <f>_xlfn.XLOOKUP(TableDailySummary[[#This Row],[Fecha]],SummaryDaily[day],SummaryDaily[Tienda 81_orders],0)</f>
        <v>18</v>
      </c>
      <c r="Q79" s="12">
        <f>_xlfn.XLOOKUP(TableDailySummary[[#This Row],[Fecha]],SummaryDaily[day],SummaryDaily[Tienda 81_average_order_value],0)</f>
        <v>172549.02100000001</v>
      </c>
      <c r="R79" s="12">
        <f>_xlfn.XLOOKUP(TableDailySummary[[#This Row],[Fecha]],SummaryDaily[day],SummaryDaily[Rappi_net_sales],0)</f>
        <v>37815.129999999997</v>
      </c>
      <c r="S79" s="12">
        <f>_xlfn.XLOOKUP(TableDailySummary[[#This Row],[Fecha]],SummaryDaily[day],SummaryDaily[Rappi_orders],0)</f>
        <v>1</v>
      </c>
      <c r="T79" s="12">
        <f>_xlfn.XLOOKUP(TableDailySummary[[#This Row],[Fecha]],SummaryDaily[day],SummaryDaily[Rappi_average_order_value],0)</f>
        <v>37815.129999999997</v>
      </c>
      <c r="U79" s="12">
        <f>_xlfn.XLOOKUP(TableDailySummary[[#This Row],[Fecha]],SummaryDaily[day],SummaryDaily[Corporativo no tienda_net_sales],0)</f>
        <v>0</v>
      </c>
      <c r="V79" s="12">
        <f>_xlfn.XLOOKUP(TableDailySummary[[#This Row],[Fecha]],SummaryDaily[day],SummaryDaily[Corporativo no tienda_orders],0)</f>
        <v>0</v>
      </c>
      <c r="W79" s="12">
        <f>_xlfn.XLOOKUP(TableDailySummary[[#This Row],[Fecha]],SummaryDaily[day],SummaryDaily[Corporativo no tienda_average_order_value],0)</f>
        <v>0</v>
      </c>
      <c r="X79" s="12">
        <f>_xlfn.XLOOKUP(TableDailySummary[[#This Row],[Fecha]],SummaryDaily[day],SummaryDaily[GoogleAdsOperation.Cost],0)</f>
        <v>83080.53</v>
      </c>
      <c r="Y79" s="12">
        <f>SUMIFS(SalesByUTMDaily[google],SalesByUTMDaily[day],TableDailySummary[[#This Row],[Fecha]])</f>
        <v>0</v>
      </c>
      <c r="Z79" s="12">
        <f>_xlfn.XLOOKUP(TableDailySummary[[#This Row],[Fecha]],SummaryDaily[day],SummaryDaily[MetaAdsOperation.spend],0)</f>
        <v>38311</v>
      </c>
      <c r="AA79" s="12">
        <f>SUMIFS(SalesByUTMDaily[facebook],SalesByUTMDaily[day],TableDailySummary[[#This Row],[Fecha]])</f>
        <v>0</v>
      </c>
      <c r="AB79" s="12">
        <f>TableDailySummary[[#This Row],[Inversión google ads]]+TableDailySummary[[#This Row],[Inversión meta ads]]</f>
        <v>121391.53</v>
      </c>
      <c r="AC79" s="12">
        <f>TableDailySummary[[#This Row],[Ventas google ads]]+TableDailySummary[[#This Row],[Ventas meta ads]]</f>
        <v>0</v>
      </c>
      <c r="AD79" s="14">
        <f>IFERROR(TableDailySummary[[#This Row],[Ventas publicidad]]/TableDailySummary[[#This Row],[Inversión publicidad]],0)</f>
        <v>0</v>
      </c>
      <c r="AE79" s="14">
        <f>IFERROR(TableDailySummary[[#This Row],[Ventas primer cliente]]/TableDailySummary[[#This Row],[Inversión publicidad]],0)</f>
        <v>25.204920722228316</v>
      </c>
      <c r="AF79" s="14"/>
      <c r="AG79" s="12"/>
      <c r="AM79" s="12">
        <f>_xlfn.XLOOKUP(TableDailySummary[[#This Row],[Fecha]],SummaryDaily[day],SummaryDaily[net_sales_with_cost_recorded],0)</f>
        <v>3597479.02</v>
      </c>
      <c r="AN79" s="12">
        <f>_xlfn.XLOOKUP(TableDailySummary[[#This Row],[Fecha]],SummaryDaily[day],SummaryDaily[cost_of_goods_sold],0)</f>
        <v>1019863</v>
      </c>
      <c r="AO79" s="12">
        <f>_xlfn.XLOOKUP(TableDailySummary[[#This Row],[Fecha]],SummaryDaily[day],SummaryDaily[gross_profit],0)</f>
        <v>2577616.02</v>
      </c>
      <c r="AP79" s="18">
        <f>IFERROR(TableDailySummary[[#This Row],[Utilidad bruta]]/TableDailySummary[[#This Row],[Ventas netas con costo registrado]],0)</f>
        <v>0.71650619938848181</v>
      </c>
    </row>
    <row r="80" spans="2:42" x14ac:dyDescent="0.2">
      <c r="B80" s="15" cm="1">
        <f t="array" ref="B80">MIN(SummaryDaily[day]) + (ROW(TableDailySummary[#This Row]) - ROW(TableDailySummary[[#Headers],[Dia]]) - 1)</f>
        <v>45851</v>
      </c>
      <c r="C80" s="6">
        <f>TableDailySummary[[#This Row],[Dia]]</f>
        <v>45851</v>
      </c>
      <c r="D80" s="12">
        <f>_xlfn.XLOOKUP(TableDailySummary[[#This Row],[Fecha]],SummaryDaily[day],SummaryDaily[net_sales],0)</f>
        <v>1647058.82</v>
      </c>
      <c r="E80" s="12">
        <f>_xlfn.XLOOKUP(TableDailySummary[[#This Row],[Fecha]],SummaryDaily[day],SummaryDaily[orders],0)</f>
        <v>9</v>
      </c>
      <c r="F80" s="12">
        <f>_xlfn.XLOOKUP(TableDailySummary[[#This Row],[Fecha]],SummaryDaily[day],SummaryDaily[average_order_value],0)</f>
        <v>183006.535</v>
      </c>
      <c r="G80" s="24">
        <f>_xlfn.XLOOKUP(TableDailySummary[[#This Row],[Fecha]],SummaryDaily[day],SummaryDaily[Total site_conversion_rate],0)</f>
        <v>3.5273368606701938E-3</v>
      </c>
      <c r="H80" s="12">
        <f>TableDailySummary[[#This Row],[Órden promedio totales]]*TableDailySummary[[#This Row],[CR totales]]</f>
        <v>645.52569664903001</v>
      </c>
      <c r="I80" s="12">
        <f>_xlfn.XLOOKUP(TableDailySummary[[#This Row],[Fecha]],SummaryDaily[day],SummaryDaily[new_net_sales],0)</f>
        <v>768907.56</v>
      </c>
      <c r="J80" s="12">
        <f>_xlfn.XLOOKUP(TableDailySummary[[#This Row],[Fecha]],SummaryDaily[day],SummaryDaily[new_orders],0)</f>
        <v>6</v>
      </c>
      <c r="K80" s="12">
        <f>_xlfn.XLOOKUP(TableDailySummary[[#This Row],[Fecha]],SummaryDaily[day],SummaryDaily[new_average_order_value],0)</f>
        <v>128151.26</v>
      </c>
      <c r="L80" s="12">
        <f>_xlfn.XLOOKUP(TableDailySummary[[#This Row],[Fecha]],SummaryDaily[day],SummaryDaily[Online Store_net_sales],0)</f>
        <v>142857.14000000001</v>
      </c>
      <c r="M80" s="12">
        <f>_xlfn.XLOOKUP(TableDailySummary[[#This Row],[Fecha]],SummaryDaily[day],SummaryDaily[Online Store_orders],0)</f>
        <v>1</v>
      </c>
      <c r="N80" s="12">
        <f>_xlfn.XLOOKUP(TableDailySummary[[#This Row],[Fecha]],SummaryDaily[day],SummaryDaily[Online Store_average_order_value],0)</f>
        <v>142857.14000000001</v>
      </c>
      <c r="O80" s="12">
        <f>_xlfn.XLOOKUP(TableDailySummary[[#This Row],[Fecha]],SummaryDaily[day],SummaryDaily[Tienda 81_net_sales],0)</f>
        <v>1457983.19</v>
      </c>
      <c r="P80" s="12">
        <f>_xlfn.XLOOKUP(TableDailySummary[[#This Row],[Fecha]],SummaryDaily[day],SummaryDaily[Tienda 81_orders],0)</f>
        <v>7</v>
      </c>
      <c r="Q80" s="12">
        <f>_xlfn.XLOOKUP(TableDailySummary[[#This Row],[Fecha]],SummaryDaily[day],SummaryDaily[Tienda 81_average_order_value],0)</f>
        <v>208283.31200000001</v>
      </c>
      <c r="R80" s="12">
        <f>_xlfn.XLOOKUP(TableDailySummary[[#This Row],[Fecha]],SummaryDaily[day],SummaryDaily[Rappi_net_sales],0)</f>
        <v>46218.49</v>
      </c>
      <c r="S80" s="12">
        <f>_xlfn.XLOOKUP(TableDailySummary[[#This Row],[Fecha]],SummaryDaily[day],SummaryDaily[Rappi_orders],0)</f>
        <v>1</v>
      </c>
      <c r="T80" s="12">
        <f>_xlfn.XLOOKUP(TableDailySummary[[#This Row],[Fecha]],SummaryDaily[day],SummaryDaily[Rappi_average_order_value],0)</f>
        <v>46218.49</v>
      </c>
      <c r="U80" s="12">
        <f>_xlfn.XLOOKUP(TableDailySummary[[#This Row],[Fecha]],SummaryDaily[day],SummaryDaily[Corporativo no tienda_net_sales],0)</f>
        <v>0</v>
      </c>
      <c r="V80" s="12">
        <f>_xlfn.XLOOKUP(TableDailySummary[[#This Row],[Fecha]],SummaryDaily[day],SummaryDaily[Corporativo no tienda_orders],0)</f>
        <v>0</v>
      </c>
      <c r="W80" s="12">
        <f>_xlfn.XLOOKUP(TableDailySummary[[#This Row],[Fecha]],SummaryDaily[day],SummaryDaily[Corporativo no tienda_average_order_value],0)</f>
        <v>0</v>
      </c>
      <c r="X80" s="12">
        <f>_xlfn.XLOOKUP(TableDailySummary[[#This Row],[Fecha]],SummaryDaily[day],SummaryDaily[GoogleAdsOperation.Cost],0)</f>
        <v>96720.41</v>
      </c>
      <c r="Y80" s="12">
        <f>SUMIFS(SalesByUTMDaily[google],SalesByUTMDaily[day],TableDailySummary[[#This Row],[Fecha]])</f>
        <v>0</v>
      </c>
      <c r="Z80" s="12">
        <f>_xlfn.XLOOKUP(TableDailySummary[[#This Row],[Fecha]],SummaryDaily[day],SummaryDaily[MetaAdsOperation.spend],0)</f>
        <v>43045</v>
      </c>
      <c r="AA80" s="12">
        <f>SUMIFS(SalesByUTMDaily[facebook],SalesByUTMDaily[day],TableDailySummary[[#This Row],[Fecha]])</f>
        <v>0</v>
      </c>
      <c r="AB80" s="12">
        <f>TableDailySummary[[#This Row],[Inversión google ads]]+TableDailySummary[[#This Row],[Inversión meta ads]]</f>
        <v>139765.41</v>
      </c>
      <c r="AC80" s="12">
        <f>TableDailySummary[[#This Row],[Ventas google ads]]+TableDailySummary[[#This Row],[Ventas meta ads]]</f>
        <v>0</v>
      </c>
      <c r="AD80" s="14">
        <f>IFERROR(TableDailySummary[[#This Row],[Ventas publicidad]]/TableDailySummary[[#This Row],[Inversión publicidad]],0)</f>
        <v>0</v>
      </c>
      <c r="AE80" s="14">
        <f>IFERROR(TableDailySummary[[#This Row],[Ventas primer cliente]]/TableDailySummary[[#This Row],[Inversión publicidad]],0)</f>
        <v>5.5014152643347165</v>
      </c>
      <c r="AF80" s="14"/>
      <c r="AG80" s="12"/>
      <c r="AM80" s="12">
        <f>_xlfn.XLOOKUP(TableDailySummary[[#This Row],[Fecha]],SummaryDaily[day],SummaryDaily[net_sales_with_cost_recorded],0)</f>
        <v>1647058.82</v>
      </c>
      <c r="AN80" s="12">
        <f>_xlfn.XLOOKUP(TableDailySummary[[#This Row],[Fecha]],SummaryDaily[day],SummaryDaily[cost_of_goods_sold],0)</f>
        <v>441844</v>
      </c>
      <c r="AO80" s="12">
        <f>_xlfn.XLOOKUP(TableDailySummary[[#This Row],[Fecha]],SummaryDaily[day],SummaryDaily[gross_profit],0)</f>
        <v>1205214.82</v>
      </c>
      <c r="AP80" s="18">
        <f>IFERROR(TableDailySummary[[#This Row],[Utilidad bruta]]/TableDailySummary[[#This Row],[Ventas netas con costo registrado]],0)</f>
        <v>0.73173757085372337</v>
      </c>
    </row>
    <row r="81" spans="2:42" x14ac:dyDescent="0.2">
      <c r="B81" s="15" cm="1">
        <f t="array" ref="B81">MIN(SummaryDaily[day]) + (ROW(TableDailySummary[#This Row]) - ROW(TableDailySummary[[#Headers],[Dia]]) - 1)</f>
        <v>45852</v>
      </c>
      <c r="C81" s="6">
        <f>TableDailySummary[[#This Row],[Dia]]</f>
        <v>45852</v>
      </c>
      <c r="D81" s="12">
        <f>_xlfn.XLOOKUP(TableDailySummary[[#This Row],[Fecha]],SummaryDaily[day],SummaryDaily[net_sales],0)</f>
        <v>1405042.85</v>
      </c>
      <c r="E81" s="12">
        <f>_xlfn.XLOOKUP(TableDailySummary[[#This Row],[Fecha]],SummaryDaily[day],SummaryDaily[orders],0)</f>
        <v>14</v>
      </c>
      <c r="F81" s="12">
        <f>_xlfn.XLOOKUP(TableDailySummary[[#This Row],[Fecha]],SummaryDaily[day],SummaryDaily[average_order_value],0)</f>
        <v>100360.20299999999</v>
      </c>
      <c r="G81" s="24">
        <f>_xlfn.XLOOKUP(TableDailySummary[[#This Row],[Fecha]],SummaryDaily[day],SummaryDaily[Total site_conversion_rate],0)</f>
        <v>3.3955857385398981E-3</v>
      </c>
      <c r="H81" s="12">
        <f>TableDailySummary[[#This Row],[Órden promedio totales]]*TableDailySummary[[#This Row],[CR totales]]</f>
        <v>340.78167402376909</v>
      </c>
      <c r="I81" s="12">
        <f>_xlfn.XLOOKUP(TableDailySummary[[#This Row],[Fecha]],SummaryDaily[day],SummaryDaily[new_net_sales],0)</f>
        <v>568067.22</v>
      </c>
      <c r="J81" s="12">
        <f>_xlfn.XLOOKUP(TableDailySummary[[#This Row],[Fecha]],SummaryDaily[day],SummaryDaily[new_orders],0)</f>
        <v>5</v>
      </c>
      <c r="K81" s="12">
        <f>_xlfn.XLOOKUP(TableDailySummary[[#This Row],[Fecha]],SummaryDaily[day],SummaryDaily[new_average_order_value],0)</f>
        <v>113613.444</v>
      </c>
      <c r="L81" s="12">
        <f>_xlfn.XLOOKUP(TableDailySummary[[#This Row],[Fecha]],SummaryDaily[day],SummaryDaily[Online Store_net_sales],0)</f>
        <v>113446.22</v>
      </c>
      <c r="M81" s="12">
        <f>_xlfn.XLOOKUP(TableDailySummary[[#This Row],[Fecha]],SummaryDaily[day],SummaryDaily[Online Store_orders],0)</f>
        <v>3</v>
      </c>
      <c r="N81" s="12">
        <f>_xlfn.XLOOKUP(TableDailySummary[[#This Row],[Fecha]],SummaryDaily[day],SummaryDaily[Online Store_average_order_value],0)</f>
        <v>37815.406000000003</v>
      </c>
      <c r="O81" s="12">
        <f>_xlfn.XLOOKUP(TableDailySummary[[#This Row],[Fecha]],SummaryDaily[day],SummaryDaily[Tienda 81_net_sales],0)</f>
        <v>891596.63</v>
      </c>
      <c r="P81" s="12">
        <f>_xlfn.XLOOKUP(TableDailySummary[[#This Row],[Fecha]],SummaryDaily[day],SummaryDaily[Tienda 81_orders],0)</f>
        <v>8</v>
      </c>
      <c r="Q81" s="12">
        <f>_xlfn.XLOOKUP(TableDailySummary[[#This Row],[Fecha]],SummaryDaily[day],SummaryDaily[Tienda 81_average_order_value],0)</f>
        <v>111449.57799999999</v>
      </c>
      <c r="R81" s="12">
        <f>_xlfn.XLOOKUP(TableDailySummary[[#This Row],[Fecha]],SummaryDaily[day],SummaryDaily[Rappi_net_sales],0)</f>
        <v>21848.74</v>
      </c>
      <c r="S81" s="12">
        <f>_xlfn.XLOOKUP(TableDailySummary[[#This Row],[Fecha]],SummaryDaily[day],SummaryDaily[Rappi_orders],0)</f>
        <v>1</v>
      </c>
      <c r="T81" s="12">
        <f>_xlfn.XLOOKUP(TableDailySummary[[#This Row],[Fecha]],SummaryDaily[day],SummaryDaily[Rappi_average_order_value],0)</f>
        <v>21848.74</v>
      </c>
      <c r="U81" s="12">
        <f>_xlfn.XLOOKUP(TableDailySummary[[#This Row],[Fecha]],SummaryDaily[day],SummaryDaily[Corporativo no tienda_net_sales],0)</f>
        <v>0</v>
      </c>
      <c r="V81" s="12">
        <f>_xlfn.XLOOKUP(TableDailySummary[[#This Row],[Fecha]],SummaryDaily[day],SummaryDaily[Corporativo no tienda_orders],0)</f>
        <v>0</v>
      </c>
      <c r="W81" s="12">
        <f>_xlfn.XLOOKUP(TableDailySummary[[#This Row],[Fecha]],SummaryDaily[day],SummaryDaily[Corporativo no tienda_average_order_value],0)</f>
        <v>0</v>
      </c>
      <c r="X81" s="12">
        <f>_xlfn.XLOOKUP(TableDailySummary[[#This Row],[Fecha]],SummaryDaily[day],SummaryDaily[GoogleAdsOperation.Cost],0)</f>
        <v>98793.29</v>
      </c>
      <c r="Y81" s="12">
        <f>SUMIFS(SalesByUTMDaily[google],SalesByUTMDaily[day],TableDailySummary[[#This Row],[Fecha]])</f>
        <v>0</v>
      </c>
      <c r="Z81" s="12">
        <f>_xlfn.XLOOKUP(TableDailySummary[[#This Row],[Fecha]],SummaryDaily[day],SummaryDaily[MetaAdsOperation.spend],0)</f>
        <v>40129</v>
      </c>
      <c r="AA81" s="12">
        <f>SUMIFS(SalesByUTMDaily[facebook],SalesByUTMDaily[day],TableDailySummary[[#This Row],[Fecha]])</f>
        <v>0</v>
      </c>
      <c r="AB81" s="12">
        <f>TableDailySummary[[#This Row],[Inversión google ads]]+TableDailySummary[[#This Row],[Inversión meta ads]]</f>
        <v>138922.28999999998</v>
      </c>
      <c r="AC81" s="12">
        <f>TableDailySummary[[#This Row],[Ventas google ads]]+TableDailySummary[[#This Row],[Ventas meta ads]]</f>
        <v>0</v>
      </c>
      <c r="AD81" s="14">
        <f>IFERROR(TableDailySummary[[#This Row],[Ventas publicidad]]/TableDailySummary[[#This Row],[Inversión publicidad]],0)</f>
        <v>0</v>
      </c>
      <c r="AE81" s="14">
        <f>IFERROR(TableDailySummary[[#This Row],[Ventas primer cliente]]/TableDailySummary[[#This Row],[Inversión publicidad]],0)</f>
        <v>4.089100604373856</v>
      </c>
      <c r="AF81" s="14"/>
      <c r="AG81" s="12"/>
      <c r="AM81" s="12">
        <f>_xlfn.XLOOKUP(TableDailySummary[[#This Row],[Fecha]],SummaryDaily[day],SummaryDaily[net_sales_with_cost_recorded],0)</f>
        <v>1405042.01</v>
      </c>
      <c r="AN81" s="12">
        <f>_xlfn.XLOOKUP(TableDailySummary[[#This Row],[Fecha]],SummaryDaily[day],SummaryDaily[cost_of_goods_sold],0)</f>
        <v>424633</v>
      </c>
      <c r="AO81" s="12">
        <f>_xlfn.XLOOKUP(TableDailySummary[[#This Row],[Fecha]],SummaryDaily[day],SummaryDaily[gross_profit],0)</f>
        <v>980409.01</v>
      </c>
      <c r="AP81" s="18">
        <f>IFERROR(TableDailySummary[[#This Row],[Utilidad bruta]]/TableDailySummary[[#This Row],[Ventas netas con costo registrado]],0)</f>
        <v>0.69777914327273394</v>
      </c>
    </row>
    <row r="82" spans="2:42" x14ac:dyDescent="0.2">
      <c r="B82" s="15" cm="1">
        <f t="array" ref="B82">MIN(SummaryDaily[day]) + (ROW(TableDailySummary[#This Row]) - ROW(TableDailySummary[[#Headers],[Dia]]) - 1)</f>
        <v>45853</v>
      </c>
      <c r="C82" s="6">
        <f>TableDailySummary[[#This Row],[Dia]]</f>
        <v>45853</v>
      </c>
      <c r="D82" s="12">
        <f>_xlfn.XLOOKUP(TableDailySummary[[#This Row],[Fecha]],SummaryDaily[day],SummaryDaily[net_sales],0)</f>
        <v>2477025.21</v>
      </c>
      <c r="E82" s="12">
        <f>_xlfn.XLOOKUP(TableDailySummary[[#This Row],[Fecha]],SummaryDaily[day],SummaryDaily[orders],0)</f>
        <v>19</v>
      </c>
      <c r="F82" s="12">
        <f>_xlfn.XLOOKUP(TableDailySummary[[#This Row],[Fecha]],SummaryDaily[day],SummaryDaily[average_order_value],0)</f>
        <v>130369.747</v>
      </c>
      <c r="G82" s="24">
        <f>_xlfn.XLOOKUP(TableDailySummary[[#This Row],[Fecha]],SummaryDaily[day],SummaryDaily[Total site_conversion_rate],0)</f>
        <v>6.4412238325281803E-3</v>
      </c>
      <c r="H82" s="12">
        <f>TableDailySummary[[#This Row],[Órden promedio totales]]*TableDailySummary[[#This Row],[CR totales]]</f>
        <v>839.74072141706927</v>
      </c>
      <c r="I82" s="12">
        <f>_xlfn.XLOOKUP(TableDailySummary[[#This Row],[Fecha]],SummaryDaily[day],SummaryDaily[new_net_sales],0)</f>
        <v>2139495.7999999998</v>
      </c>
      <c r="J82" s="12">
        <f>_xlfn.XLOOKUP(TableDailySummary[[#This Row],[Fecha]],SummaryDaily[day],SummaryDaily[new_orders],0)</f>
        <v>14</v>
      </c>
      <c r="K82" s="12">
        <f>_xlfn.XLOOKUP(TableDailySummary[[#This Row],[Fecha]],SummaryDaily[day],SummaryDaily[new_average_order_value],0)</f>
        <v>152821.128</v>
      </c>
      <c r="L82" s="12">
        <f>_xlfn.XLOOKUP(TableDailySummary[[#This Row],[Fecha]],SummaryDaily[day],SummaryDaily[Online Store_net_sales],0)</f>
        <v>432773.11</v>
      </c>
      <c r="M82" s="12">
        <f>_xlfn.XLOOKUP(TableDailySummary[[#This Row],[Fecha]],SummaryDaily[day],SummaryDaily[Online Store_orders],0)</f>
        <v>3</v>
      </c>
      <c r="N82" s="12">
        <f>_xlfn.XLOOKUP(TableDailySummary[[#This Row],[Fecha]],SummaryDaily[day],SummaryDaily[Online Store_average_order_value],0)</f>
        <v>144257.70300000001</v>
      </c>
      <c r="O82" s="12">
        <f>_xlfn.XLOOKUP(TableDailySummary[[#This Row],[Fecha]],SummaryDaily[day],SummaryDaily[Tienda 81_net_sales],0)</f>
        <v>1691310.93</v>
      </c>
      <c r="P82" s="12">
        <f>_xlfn.XLOOKUP(TableDailySummary[[#This Row],[Fecha]],SummaryDaily[day],SummaryDaily[Tienda 81_orders],0)</f>
        <v>13</v>
      </c>
      <c r="Q82" s="12">
        <f>_xlfn.XLOOKUP(TableDailySummary[[#This Row],[Fecha]],SummaryDaily[day],SummaryDaily[Tienda 81_average_order_value],0)</f>
        <v>130100.84</v>
      </c>
      <c r="R82" s="12">
        <f>_xlfn.XLOOKUP(TableDailySummary[[#This Row],[Fecha]],SummaryDaily[day],SummaryDaily[Rappi_net_sales],0)</f>
        <v>71428.570000000007</v>
      </c>
      <c r="S82" s="12">
        <f>_xlfn.XLOOKUP(TableDailySummary[[#This Row],[Fecha]],SummaryDaily[day],SummaryDaily[Rappi_orders],0)</f>
        <v>1</v>
      </c>
      <c r="T82" s="12">
        <f>_xlfn.XLOOKUP(TableDailySummary[[#This Row],[Fecha]],SummaryDaily[day],SummaryDaily[Rappi_average_order_value],0)</f>
        <v>71428.570000000007</v>
      </c>
      <c r="U82" s="12">
        <f>_xlfn.XLOOKUP(TableDailySummary[[#This Row],[Fecha]],SummaryDaily[day],SummaryDaily[Corporativo no tienda_net_sales],0)</f>
        <v>0</v>
      </c>
      <c r="V82" s="12">
        <f>_xlfn.XLOOKUP(TableDailySummary[[#This Row],[Fecha]],SummaryDaily[day],SummaryDaily[Corporativo no tienda_orders],0)</f>
        <v>0</v>
      </c>
      <c r="W82" s="12">
        <f>_xlfn.XLOOKUP(TableDailySummary[[#This Row],[Fecha]],SummaryDaily[day],SummaryDaily[Corporativo no tienda_average_order_value],0)</f>
        <v>0</v>
      </c>
      <c r="X82" s="12">
        <f>_xlfn.XLOOKUP(TableDailySummary[[#This Row],[Fecha]],SummaryDaily[day],SummaryDaily[GoogleAdsOperation.Cost],0)</f>
        <v>97245.19</v>
      </c>
      <c r="Y82" s="12">
        <f>SUMIFS(SalesByUTMDaily[google],SalesByUTMDaily[day],TableDailySummary[[#This Row],[Fecha]])</f>
        <v>0</v>
      </c>
      <c r="Z82" s="12">
        <f>_xlfn.XLOOKUP(TableDailySummary[[#This Row],[Fecha]],SummaryDaily[day],SummaryDaily[MetaAdsOperation.spend],0)</f>
        <v>41429</v>
      </c>
      <c r="AA82" s="12">
        <f>SUMIFS(SalesByUTMDaily[facebook],SalesByUTMDaily[day],TableDailySummary[[#This Row],[Fecha]])</f>
        <v>0</v>
      </c>
      <c r="AB82" s="12">
        <f>TableDailySummary[[#This Row],[Inversión google ads]]+TableDailySummary[[#This Row],[Inversión meta ads]]</f>
        <v>138674.19</v>
      </c>
      <c r="AC82" s="12">
        <f>TableDailySummary[[#This Row],[Ventas google ads]]+TableDailySummary[[#This Row],[Ventas meta ads]]</f>
        <v>0</v>
      </c>
      <c r="AD82" s="14">
        <f>IFERROR(TableDailySummary[[#This Row],[Ventas publicidad]]/TableDailySummary[[#This Row],[Inversión publicidad]],0)</f>
        <v>0</v>
      </c>
      <c r="AE82" s="14">
        <f>IFERROR(TableDailySummary[[#This Row],[Ventas primer cliente]]/TableDailySummary[[#This Row],[Inversión publicidad]],0)</f>
        <v>15.428219194934542</v>
      </c>
      <c r="AF82" s="14"/>
      <c r="AG82" s="12"/>
      <c r="AM82" s="12">
        <f>_xlfn.XLOOKUP(TableDailySummary[[#This Row],[Fecha]],SummaryDaily[day],SummaryDaily[net_sales_with_cost_recorded],0)</f>
        <v>2477025.21</v>
      </c>
      <c r="AN82" s="12">
        <f>_xlfn.XLOOKUP(TableDailySummary[[#This Row],[Fecha]],SummaryDaily[day],SummaryDaily[cost_of_goods_sold],0)</f>
        <v>815858</v>
      </c>
      <c r="AO82" s="12">
        <f>_xlfn.XLOOKUP(TableDailySummary[[#This Row],[Fecha]],SummaryDaily[day],SummaryDaily[gross_profit],0)</f>
        <v>1661167.21</v>
      </c>
      <c r="AP82" s="18">
        <f>IFERROR(TableDailySummary[[#This Row],[Utilidad bruta]]/TableDailySummary[[#This Row],[Ventas netas con costo registrado]],0)</f>
        <v>0.67062991660064697</v>
      </c>
    </row>
    <row r="83" spans="2:42" x14ac:dyDescent="0.2">
      <c r="B83" s="15" cm="1">
        <f t="array" ref="B83">MIN(SummaryDaily[day]) + (ROW(TableDailySummary[#This Row]) - ROW(TableDailySummary[[#Headers],[Dia]]) - 1)</f>
        <v>45854</v>
      </c>
      <c r="C83" s="6">
        <f>TableDailySummary[[#This Row],[Dia]]</f>
        <v>45854</v>
      </c>
      <c r="D83" s="12">
        <f>_xlfn.XLOOKUP(TableDailySummary[[#This Row],[Fecha]],SummaryDaily[day],SummaryDaily[net_sales],0)</f>
        <v>2113445.36</v>
      </c>
      <c r="E83" s="12">
        <f>_xlfn.XLOOKUP(TableDailySummary[[#This Row],[Fecha]],SummaryDaily[day],SummaryDaily[orders],0)</f>
        <v>16</v>
      </c>
      <c r="F83" s="12">
        <f>_xlfn.XLOOKUP(TableDailySummary[[#This Row],[Fecha]],SummaryDaily[day],SummaryDaily[average_order_value],0)</f>
        <v>132090.33499999999</v>
      </c>
      <c r="G83" s="24">
        <f>_xlfn.XLOOKUP(TableDailySummary[[#This Row],[Fecha]],SummaryDaily[day],SummaryDaily[Total site_conversion_rate],0)</f>
        <v>5.6116722783389446E-3</v>
      </c>
      <c r="H83" s="12">
        <f>TableDailySummary[[#This Row],[Órden promedio totales]]*TableDailySummary[[#This Row],[CR totales]]</f>
        <v>741.24767115600434</v>
      </c>
      <c r="I83" s="12">
        <f>_xlfn.XLOOKUP(TableDailySummary[[#This Row],[Fecha]],SummaryDaily[day],SummaryDaily[new_net_sales],0)</f>
        <v>1656302.51</v>
      </c>
      <c r="J83" s="12">
        <f>_xlfn.XLOOKUP(TableDailySummary[[#This Row],[Fecha]],SummaryDaily[day],SummaryDaily[new_orders],0)</f>
        <v>11</v>
      </c>
      <c r="K83" s="12">
        <f>_xlfn.XLOOKUP(TableDailySummary[[#This Row],[Fecha]],SummaryDaily[day],SummaryDaily[new_average_order_value],0)</f>
        <v>150572.95499999999</v>
      </c>
      <c r="L83" s="12">
        <f>_xlfn.XLOOKUP(TableDailySummary[[#This Row],[Fecha]],SummaryDaily[day],SummaryDaily[Online Store_net_sales],0)</f>
        <v>1138655.46</v>
      </c>
      <c r="M83" s="12">
        <f>_xlfn.XLOOKUP(TableDailySummary[[#This Row],[Fecha]],SummaryDaily[day],SummaryDaily[Online Store_orders],0)</f>
        <v>7</v>
      </c>
      <c r="N83" s="12">
        <f>_xlfn.XLOOKUP(TableDailySummary[[#This Row],[Fecha]],SummaryDaily[day],SummaryDaily[Online Store_average_order_value],0)</f>
        <v>162665.065</v>
      </c>
      <c r="O83" s="12">
        <f>_xlfn.XLOOKUP(TableDailySummary[[#This Row],[Fecha]],SummaryDaily[day],SummaryDaily[Tienda 81_net_sales],0)</f>
        <v>953781.5</v>
      </c>
      <c r="P83" s="12">
        <f>_xlfn.XLOOKUP(TableDailySummary[[#This Row],[Fecha]],SummaryDaily[day],SummaryDaily[Tienda 81_orders],0)</f>
        <v>8</v>
      </c>
      <c r="Q83" s="12">
        <f>_xlfn.XLOOKUP(TableDailySummary[[#This Row],[Fecha]],SummaryDaily[day],SummaryDaily[Tienda 81_average_order_value],0)</f>
        <v>119222.68700000001</v>
      </c>
      <c r="R83" s="12">
        <f>_xlfn.XLOOKUP(TableDailySummary[[#This Row],[Fecha]],SummaryDaily[day],SummaryDaily[Rappi_net_sales],0)</f>
        <v>0</v>
      </c>
      <c r="S83" s="12">
        <f>_xlfn.XLOOKUP(TableDailySummary[[#This Row],[Fecha]],SummaryDaily[day],SummaryDaily[Rappi_orders],0)</f>
        <v>0</v>
      </c>
      <c r="T83" s="12">
        <f>_xlfn.XLOOKUP(TableDailySummary[[#This Row],[Fecha]],SummaryDaily[day],SummaryDaily[Rappi_average_order_value],0)</f>
        <v>0</v>
      </c>
      <c r="U83" s="12">
        <f>_xlfn.XLOOKUP(TableDailySummary[[#This Row],[Fecha]],SummaryDaily[day],SummaryDaily[Corporativo no tienda_net_sales],0)</f>
        <v>0</v>
      </c>
      <c r="V83" s="12">
        <f>_xlfn.XLOOKUP(TableDailySummary[[#This Row],[Fecha]],SummaryDaily[day],SummaryDaily[Corporativo no tienda_orders],0)</f>
        <v>0</v>
      </c>
      <c r="W83" s="12">
        <f>_xlfn.XLOOKUP(TableDailySummary[[#This Row],[Fecha]],SummaryDaily[day],SummaryDaily[Corporativo no tienda_average_order_value],0)</f>
        <v>0</v>
      </c>
      <c r="X83" s="12">
        <f>_xlfn.XLOOKUP(TableDailySummary[[#This Row],[Fecha]],SummaryDaily[day],SummaryDaily[GoogleAdsOperation.Cost],0)</f>
        <v>98983.23</v>
      </c>
      <c r="Y83" s="12">
        <f>SUMIFS(SalesByUTMDaily[google],SalesByUTMDaily[day],TableDailySummary[[#This Row],[Fecha]])</f>
        <v>0</v>
      </c>
      <c r="Z83" s="12">
        <f>_xlfn.XLOOKUP(TableDailySummary[[#This Row],[Fecha]],SummaryDaily[day],SummaryDaily[MetaAdsOperation.spend],0)</f>
        <v>56013</v>
      </c>
      <c r="AA83" s="12">
        <f>SUMIFS(SalesByUTMDaily[facebook],SalesByUTMDaily[day],TableDailySummary[[#This Row],[Fecha]])</f>
        <v>74000</v>
      </c>
      <c r="AB83" s="12">
        <f>TableDailySummary[[#This Row],[Inversión google ads]]+TableDailySummary[[#This Row],[Inversión meta ads]]</f>
        <v>154996.22999999998</v>
      </c>
      <c r="AC83" s="12">
        <f>TableDailySummary[[#This Row],[Ventas google ads]]+TableDailySummary[[#This Row],[Ventas meta ads]]</f>
        <v>74000</v>
      </c>
      <c r="AD83" s="14">
        <f>IFERROR(TableDailySummary[[#This Row],[Ventas publicidad]]/TableDailySummary[[#This Row],[Inversión publicidad]],0)</f>
        <v>0.47743096719191175</v>
      </c>
      <c r="AE83" s="14">
        <f>IFERROR(TableDailySummary[[#This Row],[Ventas primer cliente]]/TableDailySummary[[#This Row],[Inversión publicidad]],0)</f>
        <v>10.686082558266095</v>
      </c>
      <c r="AF83" s="14"/>
      <c r="AG83" s="12"/>
      <c r="AM83" s="12">
        <f>_xlfn.XLOOKUP(TableDailySummary[[#This Row],[Fecha]],SummaryDaily[day],SummaryDaily[net_sales_with_cost_recorded],0)</f>
        <v>2113445.36</v>
      </c>
      <c r="AN83" s="12">
        <f>_xlfn.XLOOKUP(TableDailySummary[[#This Row],[Fecha]],SummaryDaily[day],SummaryDaily[cost_of_goods_sold],0)</f>
        <v>702371</v>
      </c>
      <c r="AO83" s="12">
        <f>_xlfn.XLOOKUP(TableDailySummary[[#This Row],[Fecha]],SummaryDaily[day],SummaryDaily[gross_profit],0)</f>
        <v>1411074.36</v>
      </c>
      <c r="AP83" s="18">
        <f>IFERROR(TableDailySummary[[#This Row],[Utilidad bruta]]/TableDailySummary[[#This Row],[Ventas netas con costo registrado]],0)</f>
        <v>0.66766540867656976</v>
      </c>
    </row>
    <row r="84" spans="2:42" x14ac:dyDescent="0.2">
      <c r="B84" s="15" cm="1">
        <f t="array" ref="B84">MIN(SummaryDaily[day]) + (ROW(TableDailySummary[#This Row]) - ROW(TableDailySummary[[#Headers],[Dia]]) - 1)</f>
        <v>45855</v>
      </c>
      <c r="C84" s="6">
        <f>TableDailySummary[[#This Row],[Dia]]</f>
        <v>45855</v>
      </c>
      <c r="D84" s="12">
        <f>_xlfn.XLOOKUP(TableDailySummary[[#This Row],[Fecha]],SummaryDaily[day],SummaryDaily[net_sales],0)</f>
        <v>3236135.31</v>
      </c>
      <c r="E84" s="12">
        <f>_xlfn.XLOOKUP(TableDailySummary[[#This Row],[Fecha]],SummaryDaily[day],SummaryDaily[orders],0)</f>
        <v>29</v>
      </c>
      <c r="F84" s="12">
        <f>_xlfn.XLOOKUP(TableDailySummary[[#This Row],[Fecha]],SummaryDaily[day],SummaryDaily[average_order_value],0)</f>
        <v>108852.53599999999</v>
      </c>
      <c r="G84" s="24">
        <f>_xlfn.XLOOKUP(TableDailySummary[[#This Row],[Fecha]],SummaryDaily[day],SummaryDaily[Total site_conversion_rate],0)</f>
        <v>1.6742770167427701E-2</v>
      </c>
      <c r="H84" s="12">
        <f>TableDailySummary[[#This Row],[Órden promedio totales]]*TableDailySummary[[#This Row],[CR totales]]</f>
        <v>1822.4929923896498</v>
      </c>
      <c r="I84" s="12">
        <f>_xlfn.XLOOKUP(TableDailySummary[[#This Row],[Fecha]],SummaryDaily[day],SummaryDaily[new_net_sales],0)</f>
        <v>1577100.84</v>
      </c>
      <c r="J84" s="12">
        <f>_xlfn.XLOOKUP(TableDailySummary[[#This Row],[Fecha]],SummaryDaily[day],SummaryDaily[new_orders],0)</f>
        <v>13</v>
      </c>
      <c r="K84" s="12">
        <f>_xlfn.XLOOKUP(TableDailySummary[[#This Row],[Fecha]],SummaryDaily[day],SummaryDaily[new_average_order_value],0)</f>
        <v>121800.25900000001</v>
      </c>
      <c r="L84" s="12">
        <f>_xlfn.XLOOKUP(TableDailySummary[[#This Row],[Fecha]],SummaryDaily[day],SummaryDaily[Online Store_net_sales],0)</f>
        <v>913656.3</v>
      </c>
      <c r="M84" s="12">
        <f>_xlfn.XLOOKUP(TableDailySummary[[#This Row],[Fecha]],SummaryDaily[day],SummaryDaily[Online Store_orders],0)</f>
        <v>11</v>
      </c>
      <c r="N84" s="12">
        <f>_xlfn.XLOOKUP(TableDailySummary[[#This Row],[Fecha]],SummaryDaily[day],SummaryDaily[Online Store_average_order_value],0)</f>
        <v>83632.62</v>
      </c>
      <c r="O84" s="12">
        <f>_xlfn.XLOOKUP(TableDailySummary[[#This Row],[Fecha]],SummaryDaily[day],SummaryDaily[Tienda 81_net_sales],0)</f>
        <v>2230042.0299999998</v>
      </c>
      <c r="P84" s="12">
        <f>_xlfn.XLOOKUP(TableDailySummary[[#This Row],[Fecha]],SummaryDaily[day],SummaryDaily[Tienda 81_orders],0)</f>
        <v>16</v>
      </c>
      <c r="Q84" s="12">
        <f>_xlfn.XLOOKUP(TableDailySummary[[#This Row],[Fecha]],SummaryDaily[day],SummaryDaily[Tienda 81_average_order_value],0)</f>
        <v>134020.48300000001</v>
      </c>
      <c r="R84" s="12">
        <f>_xlfn.XLOOKUP(TableDailySummary[[#This Row],[Fecha]],SummaryDaily[day],SummaryDaily[Rappi_net_sales],0)</f>
        <v>92436.98</v>
      </c>
      <c r="S84" s="12">
        <f>_xlfn.XLOOKUP(TableDailySummary[[#This Row],[Fecha]],SummaryDaily[day],SummaryDaily[Rappi_orders],0)</f>
        <v>2</v>
      </c>
      <c r="T84" s="12">
        <f>_xlfn.XLOOKUP(TableDailySummary[[#This Row],[Fecha]],SummaryDaily[day],SummaryDaily[Rappi_average_order_value],0)</f>
        <v>46218.49</v>
      </c>
      <c r="U84" s="12">
        <f>_xlfn.XLOOKUP(TableDailySummary[[#This Row],[Fecha]],SummaryDaily[day],SummaryDaily[Corporativo no tienda_net_sales],0)</f>
        <v>0</v>
      </c>
      <c r="V84" s="12">
        <f>_xlfn.XLOOKUP(TableDailySummary[[#This Row],[Fecha]],SummaryDaily[day],SummaryDaily[Corporativo no tienda_orders],0)</f>
        <v>0</v>
      </c>
      <c r="W84" s="12">
        <f>_xlfn.XLOOKUP(TableDailySummary[[#This Row],[Fecha]],SummaryDaily[day],SummaryDaily[Corporativo no tienda_average_order_value],0)</f>
        <v>0</v>
      </c>
      <c r="X84" s="12">
        <f>_xlfn.XLOOKUP(TableDailySummary[[#This Row],[Fecha]],SummaryDaily[day],SummaryDaily[GoogleAdsOperation.Cost],0)</f>
        <v>89316.39</v>
      </c>
      <c r="Y84" s="12">
        <f>SUMIFS(SalesByUTMDaily[google],SalesByUTMDaily[day],TableDailySummary[[#This Row],[Fecha]])</f>
        <v>0</v>
      </c>
      <c r="Z84" s="12">
        <f>_xlfn.XLOOKUP(TableDailySummary[[#This Row],[Fecha]],SummaryDaily[day],SummaryDaily[MetaAdsOperation.spend],0)</f>
        <v>51858</v>
      </c>
      <c r="AA84" s="12">
        <f>SUMIFS(SalesByUTMDaily[facebook],SalesByUTMDaily[day],TableDailySummary[[#This Row],[Fecha]])</f>
        <v>129500</v>
      </c>
      <c r="AB84" s="12">
        <f>TableDailySummary[[#This Row],[Inversión google ads]]+TableDailySummary[[#This Row],[Inversión meta ads]]</f>
        <v>141174.39000000001</v>
      </c>
      <c r="AC84" s="12">
        <f>TableDailySummary[[#This Row],[Ventas google ads]]+TableDailySummary[[#This Row],[Ventas meta ads]]</f>
        <v>129500</v>
      </c>
      <c r="AD84" s="14">
        <f>IFERROR(TableDailySummary[[#This Row],[Ventas publicidad]]/TableDailySummary[[#This Row],[Inversión publicidad]],0)</f>
        <v>0.91730518545183715</v>
      </c>
      <c r="AE84" s="14">
        <f>IFERROR(TableDailySummary[[#This Row],[Ventas primer cliente]]/TableDailySummary[[#This Row],[Inversión publicidad]],0)</f>
        <v>11.171295586968712</v>
      </c>
      <c r="AF84" s="14"/>
      <c r="AG84" s="12"/>
      <c r="AM84" s="12">
        <f>_xlfn.XLOOKUP(TableDailySummary[[#This Row],[Fecha]],SummaryDaily[day],SummaryDaily[net_sales_with_cost_recorded],0)</f>
        <v>3236134.47</v>
      </c>
      <c r="AN84" s="12">
        <f>_xlfn.XLOOKUP(TableDailySummary[[#This Row],[Fecha]],SummaryDaily[day],SummaryDaily[cost_of_goods_sold],0)</f>
        <v>961608</v>
      </c>
      <c r="AO84" s="12">
        <f>_xlfn.XLOOKUP(TableDailySummary[[#This Row],[Fecha]],SummaryDaily[day],SummaryDaily[gross_profit],0)</f>
        <v>2274526.4700000002</v>
      </c>
      <c r="AP84" s="18">
        <f>IFERROR(TableDailySummary[[#This Row],[Utilidad bruta]]/TableDailySummary[[#This Row],[Ventas netas con costo registrado]],0)</f>
        <v>0.70285289164760822</v>
      </c>
    </row>
    <row r="85" spans="2:42" x14ac:dyDescent="0.2">
      <c r="B85" s="15" cm="1">
        <f t="array" ref="B85">MIN(SummaryDaily[day]) + (ROW(TableDailySummary[#This Row]) - ROW(TableDailySummary[[#Headers],[Dia]]) - 1)</f>
        <v>45856</v>
      </c>
      <c r="C85" s="6">
        <f>TableDailySummary[[#This Row],[Dia]]</f>
        <v>45856</v>
      </c>
      <c r="D85" s="12">
        <f>_xlfn.XLOOKUP(TableDailySummary[[#This Row],[Fecha]],SummaryDaily[day],SummaryDaily[net_sales],0)</f>
        <v>2698428.59</v>
      </c>
      <c r="E85" s="12">
        <f>_xlfn.XLOOKUP(TableDailySummary[[#This Row],[Fecha]],SummaryDaily[day],SummaryDaily[orders],0)</f>
        <v>18</v>
      </c>
      <c r="F85" s="12">
        <f>_xlfn.XLOOKUP(TableDailySummary[[#This Row],[Fecha]],SummaryDaily[day],SummaryDaily[average_order_value],0)</f>
        <v>152544.35200000001</v>
      </c>
      <c r="G85" s="24">
        <f>_xlfn.XLOOKUP(TableDailySummary[[#This Row],[Fecha]],SummaryDaily[day],SummaryDaily[Total site_conversion_rate],0)</f>
        <v>2.7434842249657062E-3</v>
      </c>
      <c r="H85" s="12">
        <f>TableDailySummary[[#This Row],[Órden promedio totales]]*TableDailySummary[[#This Row],[CR totales]]</f>
        <v>418.50302331961592</v>
      </c>
      <c r="I85" s="12">
        <f>_xlfn.XLOOKUP(TableDailySummary[[#This Row],[Fecha]],SummaryDaily[day],SummaryDaily[new_net_sales],0)</f>
        <v>1431092.44</v>
      </c>
      <c r="J85" s="12">
        <f>_xlfn.XLOOKUP(TableDailySummary[[#This Row],[Fecha]],SummaryDaily[day],SummaryDaily[new_orders],0)</f>
        <v>9</v>
      </c>
      <c r="K85" s="12">
        <f>_xlfn.XLOOKUP(TableDailySummary[[#This Row],[Fecha]],SummaryDaily[day],SummaryDaily[new_average_order_value],0)</f>
        <v>164273.576</v>
      </c>
      <c r="L85" s="12">
        <f>_xlfn.XLOOKUP(TableDailySummary[[#This Row],[Fecha]],SummaryDaily[day],SummaryDaily[Online Store_net_sales],0)</f>
        <v>297478.99</v>
      </c>
      <c r="M85" s="12">
        <f>_xlfn.XLOOKUP(TableDailySummary[[#This Row],[Fecha]],SummaryDaily[day],SummaryDaily[Online Store_orders],0)</f>
        <v>2</v>
      </c>
      <c r="N85" s="12">
        <f>_xlfn.XLOOKUP(TableDailySummary[[#This Row],[Fecha]],SummaryDaily[day],SummaryDaily[Online Store_average_order_value],0)</f>
        <v>111239.495</v>
      </c>
      <c r="O85" s="12">
        <f>_xlfn.XLOOKUP(TableDailySummary[[#This Row],[Fecha]],SummaryDaily[day],SummaryDaily[Tienda 81_net_sales],0)</f>
        <v>2177840.35</v>
      </c>
      <c r="P85" s="12">
        <f>_xlfn.XLOOKUP(TableDailySummary[[#This Row],[Fecha]],SummaryDaily[day],SummaryDaily[Tienda 81_orders],0)</f>
        <v>13</v>
      </c>
      <c r="Q85" s="12">
        <f>_xlfn.XLOOKUP(TableDailySummary[[#This Row],[Fecha]],SummaryDaily[day],SummaryDaily[Tienda 81_average_order_value],0)</f>
        <v>176939.23800000001</v>
      </c>
      <c r="R85" s="12">
        <f>_xlfn.XLOOKUP(TableDailySummary[[#This Row],[Fecha]],SummaryDaily[day],SummaryDaily[Rappi_net_sales],0)</f>
        <v>0</v>
      </c>
      <c r="S85" s="12">
        <f>_xlfn.XLOOKUP(TableDailySummary[[#This Row],[Fecha]],SummaryDaily[day],SummaryDaily[Rappi_orders],0)</f>
        <v>0</v>
      </c>
      <c r="T85" s="12">
        <f>_xlfn.XLOOKUP(TableDailySummary[[#This Row],[Fecha]],SummaryDaily[day],SummaryDaily[Rappi_average_order_value],0)</f>
        <v>0</v>
      </c>
      <c r="U85" s="12">
        <f>_xlfn.XLOOKUP(TableDailySummary[[#This Row],[Fecha]],SummaryDaily[day],SummaryDaily[Corporativo no tienda_net_sales],0)</f>
        <v>0</v>
      </c>
      <c r="V85" s="12">
        <f>_xlfn.XLOOKUP(TableDailySummary[[#This Row],[Fecha]],SummaryDaily[day],SummaryDaily[Corporativo no tienda_orders],0)</f>
        <v>0</v>
      </c>
      <c r="W85" s="12">
        <f>_xlfn.XLOOKUP(TableDailySummary[[#This Row],[Fecha]],SummaryDaily[day],SummaryDaily[Corporativo no tienda_average_order_value],0)</f>
        <v>0</v>
      </c>
      <c r="X85" s="12">
        <f>_xlfn.XLOOKUP(TableDailySummary[[#This Row],[Fecha]],SummaryDaily[day],SummaryDaily[GoogleAdsOperation.Cost],0)</f>
        <v>101155.74</v>
      </c>
      <c r="Y85" s="12">
        <f>SUMIFS(SalesByUTMDaily[google],SalesByUTMDaily[day],TableDailySummary[[#This Row],[Fecha]])</f>
        <v>0</v>
      </c>
      <c r="Z85" s="12">
        <f>_xlfn.XLOOKUP(TableDailySummary[[#This Row],[Fecha]],SummaryDaily[day],SummaryDaily[MetaAdsOperation.spend],0)</f>
        <v>58838</v>
      </c>
      <c r="AA85" s="12">
        <f>SUMIFS(SalesByUTMDaily[facebook],SalesByUTMDaily[day],TableDailySummary[[#This Row],[Fecha]])</f>
        <v>0</v>
      </c>
      <c r="AB85" s="12">
        <f>TableDailySummary[[#This Row],[Inversión google ads]]+TableDailySummary[[#This Row],[Inversión meta ads]]</f>
        <v>159993.74</v>
      </c>
      <c r="AC85" s="12">
        <f>TableDailySummary[[#This Row],[Ventas google ads]]+TableDailySummary[[#This Row],[Ventas meta ads]]</f>
        <v>0</v>
      </c>
      <c r="AD85" s="14">
        <f>IFERROR(TableDailySummary[[#This Row],[Ventas publicidad]]/TableDailySummary[[#This Row],[Inversión publicidad]],0)</f>
        <v>0</v>
      </c>
      <c r="AE85" s="14">
        <f>IFERROR(TableDailySummary[[#This Row],[Ventas primer cliente]]/TableDailySummary[[#This Row],[Inversión publicidad]],0)</f>
        <v>8.9446777105154247</v>
      </c>
      <c r="AF85" s="14"/>
      <c r="AG85" s="12"/>
      <c r="AM85" s="12">
        <f>_xlfn.XLOOKUP(TableDailySummary[[#This Row],[Fecha]],SummaryDaily[day],SummaryDaily[net_sales_with_cost_recorded],0)</f>
        <v>2698428.59</v>
      </c>
      <c r="AN85" s="12">
        <f>_xlfn.XLOOKUP(TableDailySummary[[#This Row],[Fecha]],SummaryDaily[day],SummaryDaily[cost_of_goods_sold],0)</f>
        <v>879237</v>
      </c>
      <c r="AO85" s="12">
        <f>_xlfn.XLOOKUP(TableDailySummary[[#This Row],[Fecha]],SummaryDaily[day],SummaryDaily[gross_profit],0)</f>
        <v>1819191.59</v>
      </c>
      <c r="AP85" s="18">
        <f>IFERROR(TableDailySummary[[#This Row],[Utilidad bruta]]/TableDailySummary[[#This Row],[Ventas netas con costo registrado]],0)</f>
        <v>0.6741670306717289</v>
      </c>
    </row>
    <row r="86" spans="2:42" x14ac:dyDescent="0.2">
      <c r="B86" s="15" cm="1">
        <f t="array" ref="B86">MIN(SummaryDaily[day]) + (ROW(TableDailySummary[#This Row]) - ROW(TableDailySummary[[#Headers],[Dia]]) - 1)</f>
        <v>45857</v>
      </c>
      <c r="C86" s="6">
        <f>TableDailySummary[[#This Row],[Dia]]</f>
        <v>45857</v>
      </c>
      <c r="D86" s="12">
        <f>_xlfn.XLOOKUP(TableDailySummary[[#This Row],[Fecha]],SummaryDaily[day],SummaryDaily[net_sales],0)</f>
        <v>1921487.42</v>
      </c>
      <c r="E86" s="12">
        <f>_xlfn.XLOOKUP(TableDailySummary[[#This Row],[Fecha]],SummaryDaily[day],SummaryDaily[orders],0)</f>
        <v>15</v>
      </c>
      <c r="F86" s="12">
        <f>_xlfn.XLOOKUP(TableDailySummary[[#This Row],[Fecha]],SummaryDaily[day],SummaryDaily[average_order_value],0)</f>
        <v>128099.16099999999</v>
      </c>
      <c r="G86" s="24">
        <f>_xlfn.XLOOKUP(TableDailySummary[[#This Row],[Fecha]],SummaryDaily[day],SummaryDaily[Total site_conversion_rate],0)</f>
        <v>6.369426751592357E-3</v>
      </c>
      <c r="H86" s="12">
        <f>TableDailySummary[[#This Row],[Órden promedio totales]]*TableDailySummary[[#This Row],[CR totales]]</f>
        <v>815.91822292993629</v>
      </c>
      <c r="I86" s="12">
        <f>_xlfn.XLOOKUP(TableDailySummary[[#This Row],[Fecha]],SummaryDaily[day],SummaryDaily[new_net_sales],0)</f>
        <v>1555941.2</v>
      </c>
      <c r="J86" s="12">
        <f>_xlfn.XLOOKUP(TableDailySummary[[#This Row],[Fecha]],SummaryDaily[day],SummaryDaily[new_orders],0)</f>
        <v>13</v>
      </c>
      <c r="K86" s="12">
        <f>_xlfn.XLOOKUP(TableDailySummary[[#This Row],[Fecha]],SummaryDaily[day],SummaryDaily[new_average_order_value],0)</f>
        <v>119687.784</v>
      </c>
      <c r="L86" s="12">
        <f>_xlfn.XLOOKUP(TableDailySummary[[#This Row],[Fecha]],SummaryDaily[day],SummaryDaily[Online Store_net_sales],0)</f>
        <v>551890.76</v>
      </c>
      <c r="M86" s="12">
        <f>_xlfn.XLOOKUP(TableDailySummary[[#This Row],[Fecha]],SummaryDaily[day],SummaryDaily[Online Store_orders],0)</f>
        <v>4</v>
      </c>
      <c r="N86" s="12">
        <f>_xlfn.XLOOKUP(TableDailySummary[[#This Row],[Fecha]],SummaryDaily[day],SummaryDaily[Online Store_average_order_value],0)</f>
        <v>137972.69</v>
      </c>
      <c r="O86" s="12">
        <f>_xlfn.XLOOKUP(TableDailySummary[[#This Row],[Fecha]],SummaryDaily[day],SummaryDaily[Tienda 81_net_sales],0)</f>
        <v>1369596.66</v>
      </c>
      <c r="P86" s="12">
        <f>_xlfn.XLOOKUP(TableDailySummary[[#This Row],[Fecha]],SummaryDaily[day],SummaryDaily[Tienda 81_orders],0)</f>
        <v>11</v>
      </c>
      <c r="Q86" s="12">
        <f>_xlfn.XLOOKUP(TableDailySummary[[#This Row],[Fecha]],SummaryDaily[day],SummaryDaily[Tienda 81_average_order_value],0)</f>
        <v>124508.787</v>
      </c>
      <c r="R86" s="12">
        <f>_xlfn.XLOOKUP(TableDailySummary[[#This Row],[Fecha]],SummaryDaily[day],SummaryDaily[Rappi_net_sales],0)</f>
        <v>0</v>
      </c>
      <c r="S86" s="12">
        <f>_xlfn.XLOOKUP(TableDailySummary[[#This Row],[Fecha]],SummaryDaily[day],SummaryDaily[Rappi_orders],0)</f>
        <v>0</v>
      </c>
      <c r="T86" s="12">
        <f>_xlfn.XLOOKUP(TableDailySummary[[#This Row],[Fecha]],SummaryDaily[day],SummaryDaily[Rappi_average_order_value],0)</f>
        <v>0</v>
      </c>
      <c r="U86" s="12">
        <f>_xlfn.XLOOKUP(TableDailySummary[[#This Row],[Fecha]],SummaryDaily[day],SummaryDaily[Corporativo no tienda_net_sales],0)</f>
        <v>0</v>
      </c>
      <c r="V86" s="12">
        <f>_xlfn.XLOOKUP(TableDailySummary[[#This Row],[Fecha]],SummaryDaily[day],SummaryDaily[Corporativo no tienda_orders],0)</f>
        <v>0</v>
      </c>
      <c r="W86" s="12">
        <f>_xlfn.XLOOKUP(TableDailySummary[[#This Row],[Fecha]],SummaryDaily[day],SummaryDaily[Corporativo no tienda_average_order_value],0)</f>
        <v>0</v>
      </c>
      <c r="X86" s="12">
        <f>_xlfn.XLOOKUP(TableDailySummary[[#This Row],[Fecha]],SummaryDaily[day],SummaryDaily[GoogleAdsOperation.Cost],0)</f>
        <v>94365.09</v>
      </c>
      <c r="Y86" s="12">
        <f>SUMIFS(SalesByUTMDaily[google],SalesByUTMDaily[day],TableDailySummary[[#This Row],[Fecha]])</f>
        <v>0</v>
      </c>
      <c r="Z86" s="12">
        <f>_xlfn.XLOOKUP(TableDailySummary[[#This Row],[Fecha]],SummaryDaily[day],SummaryDaily[MetaAdsOperation.spend],0)</f>
        <v>57981</v>
      </c>
      <c r="AA86" s="12">
        <f>SUMIFS(SalesByUTMDaily[facebook],SalesByUTMDaily[day],TableDailySummary[[#This Row],[Fecha]])</f>
        <v>0</v>
      </c>
      <c r="AB86" s="12">
        <f>TableDailySummary[[#This Row],[Inversión google ads]]+TableDailySummary[[#This Row],[Inversión meta ads]]</f>
        <v>152346.09</v>
      </c>
      <c r="AC86" s="12">
        <f>TableDailySummary[[#This Row],[Ventas google ads]]+TableDailySummary[[#This Row],[Ventas meta ads]]</f>
        <v>0</v>
      </c>
      <c r="AD86" s="14">
        <f>IFERROR(TableDailySummary[[#This Row],[Ventas publicidad]]/TableDailySummary[[#This Row],[Inversión publicidad]],0)</f>
        <v>0</v>
      </c>
      <c r="AE86" s="14">
        <f>IFERROR(TableDailySummary[[#This Row],[Ventas primer cliente]]/TableDailySummary[[#This Row],[Inversión publicidad]],0)</f>
        <v>10.213200745749365</v>
      </c>
      <c r="AF86" s="14"/>
      <c r="AG86" s="12"/>
      <c r="AM86" s="12">
        <f>_xlfn.XLOOKUP(TableDailySummary[[#This Row],[Fecha]],SummaryDaily[day],SummaryDaily[net_sales_with_cost_recorded],0)</f>
        <v>1921487.42</v>
      </c>
      <c r="AN86" s="12">
        <f>_xlfn.XLOOKUP(TableDailySummary[[#This Row],[Fecha]],SummaryDaily[day],SummaryDaily[cost_of_goods_sold],0)</f>
        <v>699642</v>
      </c>
      <c r="AO86" s="12">
        <f>_xlfn.XLOOKUP(TableDailySummary[[#This Row],[Fecha]],SummaryDaily[day],SummaryDaily[gross_profit],0)</f>
        <v>1221845.42</v>
      </c>
      <c r="AP86" s="18">
        <f>IFERROR(TableDailySummary[[#This Row],[Utilidad bruta]]/TableDailySummary[[#This Row],[Ventas netas con costo registrado]],0)</f>
        <v>0.63588520397390891</v>
      </c>
    </row>
    <row r="87" spans="2:42" x14ac:dyDescent="0.2">
      <c r="B87" s="15" cm="1">
        <f t="array" ref="B87">MIN(SummaryDaily[day]) + (ROW(TableDailySummary[#This Row]) - ROW(TableDailySummary[[#Headers],[Dia]]) - 1)</f>
        <v>45858</v>
      </c>
      <c r="C87" s="6">
        <f>TableDailySummary[[#This Row],[Dia]]</f>
        <v>45858</v>
      </c>
      <c r="D87" s="12">
        <f>_xlfn.XLOOKUP(TableDailySummary[[#This Row],[Fecha]],SummaryDaily[day],SummaryDaily[net_sales],0)</f>
        <v>2846310.94</v>
      </c>
      <c r="E87" s="12">
        <f>_xlfn.XLOOKUP(TableDailySummary[[#This Row],[Fecha]],SummaryDaily[day],SummaryDaily[orders],0)</f>
        <v>23</v>
      </c>
      <c r="F87" s="12">
        <f>_xlfn.XLOOKUP(TableDailySummary[[#This Row],[Fecha]],SummaryDaily[day],SummaryDaily[average_order_value],0)</f>
        <v>126970.04</v>
      </c>
      <c r="G87" s="24">
        <f>_xlfn.XLOOKUP(TableDailySummary[[#This Row],[Fecha]],SummaryDaily[day],SummaryDaily[Total site_conversion_rate],0)</f>
        <v>1.0130246020260492E-2</v>
      </c>
      <c r="H87" s="12">
        <f>TableDailySummary[[#This Row],[Órden promedio totales]]*TableDailySummary[[#This Row],[CR totales]]</f>
        <v>1286.2377424023155</v>
      </c>
      <c r="I87" s="12">
        <f>_xlfn.XLOOKUP(TableDailySummary[[#This Row],[Fecha]],SummaryDaily[day],SummaryDaily[new_net_sales],0)</f>
        <v>2018109.25</v>
      </c>
      <c r="J87" s="12">
        <f>_xlfn.XLOOKUP(TableDailySummary[[#This Row],[Fecha]],SummaryDaily[day],SummaryDaily[new_orders],0)</f>
        <v>16</v>
      </c>
      <c r="K87" s="12">
        <f>_xlfn.XLOOKUP(TableDailySummary[[#This Row],[Fecha]],SummaryDaily[day],SummaryDaily[new_average_order_value],0)</f>
        <v>130756.82799999999</v>
      </c>
      <c r="L87" s="12">
        <f>_xlfn.XLOOKUP(TableDailySummary[[#This Row],[Fecha]],SummaryDaily[day],SummaryDaily[Online Store_net_sales],0)</f>
        <v>610504.21</v>
      </c>
      <c r="M87" s="12">
        <f>_xlfn.XLOOKUP(TableDailySummary[[#This Row],[Fecha]],SummaryDaily[day],SummaryDaily[Online Store_orders],0)</f>
        <v>6</v>
      </c>
      <c r="N87" s="12">
        <f>_xlfn.XLOOKUP(TableDailySummary[[#This Row],[Fecha]],SummaryDaily[day],SummaryDaily[Online Store_average_order_value],0)</f>
        <v>101750.701</v>
      </c>
      <c r="O87" s="12">
        <f>_xlfn.XLOOKUP(TableDailySummary[[#This Row],[Fecha]],SummaryDaily[day],SummaryDaily[Tienda 81_net_sales],0)</f>
        <v>2235806.73</v>
      </c>
      <c r="P87" s="12">
        <f>_xlfn.XLOOKUP(TableDailySummary[[#This Row],[Fecha]],SummaryDaily[day],SummaryDaily[Tienda 81_orders],0)</f>
        <v>17</v>
      </c>
      <c r="Q87" s="12">
        <f>_xlfn.XLOOKUP(TableDailySummary[[#This Row],[Fecha]],SummaryDaily[day],SummaryDaily[Tienda 81_average_order_value],0)</f>
        <v>135870.984</v>
      </c>
      <c r="R87" s="12">
        <f>_xlfn.XLOOKUP(TableDailySummary[[#This Row],[Fecha]],SummaryDaily[day],SummaryDaily[Rappi_net_sales],0)</f>
        <v>0</v>
      </c>
      <c r="S87" s="12">
        <f>_xlfn.XLOOKUP(TableDailySummary[[#This Row],[Fecha]],SummaryDaily[day],SummaryDaily[Rappi_orders],0)</f>
        <v>0</v>
      </c>
      <c r="T87" s="12">
        <f>_xlfn.XLOOKUP(TableDailySummary[[#This Row],[Fecha]],SummaryDaily[day],SummaryDaily[Rappi_average_order_value],0)</f>
        <v>0</v>
      </c>
      <c r="U87" s="12">
        <f>_xlfn.XLOOKUP(TableDailySummary[[#This Row],[Fecha]],SummaryDaily[day],SummaryDaily[Corporativo no tienda_net_sales],0)</f>
        <v>0</v>
      </c>
      <c r="V87" s="12">
        <f>_xlfn.XLOOKUP(TableDailySummary[[#This Row],[Fecha]],SummaryDaily[day],SummaryDaily[Corporativo no tienda_orders],0)</f>
        <v>0</v>
      </c>
      <c r="W87" s="12">
        <f>_xlfn.XLOOKUP(TableDailySummary[[#This Row],[Fecha]],SummaryDaily[day],SummaryDaily[Corporativo no tienda_average_order_value],0)</f>
        <v>0</v>
      </c>
      <c r="X87" s="12">
        <f>_xlfn.XLOOKUP(TableDailySummary[[#This Row],[Fecha]],SummaryDaily[day],SummaryDaily[GoogleAdsOperation.Cost],0)</f>
        <v>96159.89</v>
      </c>
      <c r="Y87" s="12">
        <f>SUMIFS(SalesByUTMDaily[google],SalesByUTMDaily[day],TableDailySummary[[#This Row],[Fecha]])</f>
        <v>0</v>
      </c>
      <c r="Z87" s="12">
        <f>_xlfn.XLOOKUP(TableDailySummary[[#This Row],[Fecha]],SummaryDaily[day],SummaryDaily[MetaAdsOperation.spend],0)</f>
        <v>63481</v>
      </c>
      <c r="AA87" s="12">
        <f>SUMIFS(SalesByUTMDaily[facebook],SalesByUTMDaily[day],TableDailySummary[[#This Row],[Fecha]])</f>
        <v>0</v>
      </c>
      <c r="AB87" s="12">
        <f>TableDailySummary[[#This Row],[Inversión google ads]]+TableDailySummary[[#This Row],[Inversión meta ads]]</f>
        <v>159640.89000000001</v>
      </c>
      <c r="AC87" s="12">
        <f>TableDailySummary[[#This Row],[Ventas google ads]]+TableDailySummary[[#This Row],[Ventas meta ads]]</f>
        <v>0</v>
      </c>
      <c r="AD87" s="14">
        <f>IFERROR(TableDailySummary[[#This Row],[Ventas publicidad]]/TableDailySummary[[#This Row],[Inversión publicidad]],0)</f>
        <v>0</v>
      </c>
      <c r="AE87" s="14">
        <f>IFERROR(TableDailySummary[[#This Row],[Ventas primer cliente]]/TableDailySummary[[#This Row],[Inversión publicidad]],0)</f>
        <v>12.641555994833153</v>
      </c>
      <c r="AF87" s="14"/>
      <c r="AG87" s="12"/>
      <c r="AM87" s="12">
        <f>_xlfn.XLOOKUP(TableDailySummary[[#This Row],[Fecha]],SummaryDaily[day],SummaryDaily[net_sales_with_cost_recorded],0)</f>
        <v>2846310.94</v>
      </c>
      <c r="AN87" s="12">
        <f>_xlfn.XLOOKUP(TableDailySummary[[#This Row],[Fecha]],SummaryDaily[day],SummaryDaily[cost_of_goods_sold],0)</f>
        <v>951038</v>
      </c>
      <c r="AO87" s="12">
        <f>_xlfn.XLOOKUP(TableDailySummary[[#This Row],[Fecha]],SummaryDaily[day],SummaryDaily[gross_profit],0)</f>
        <v>1895272.94</v>
      </c>
      <c r="AP87" s="18">
        <f>IFERROR(TableDailySummary[[#This Row],[Utilidad bruta]]/TableDailySummary[[#This Row],[Ventas netas con costo registrado]],0)</f>
        <v>0.66586995586645215</v>
      </c>
    </row>
    <row r="88" spans="2:42" x14ac:dyDescent="0.2">
      <c r="B88" s="15" cm="1">
        <f t="array" ref="B88">MIN(SummaryDaily[day]) + (ROW(TableDailySummary[#This Row]) - ROW(TableDailySummary[[#Headers],[Dia]]) - 1)</f>
        <v>45859</v>
      </c>
      <c r="C88" s="6">
        <f>TableDailySummary[[#This Row],[Dia]]</f>
        <v>45859</v>
      </c>
      <c r="D88" s="12">
        <f>_xlfn.XLOOKUP(TableDailySummary[[#This Row],[Fecha]],SummaryDaily[day],SummaryDaily[net_sales],0)</f>
        <v>3348530.26</v>
      </c>
      <c r="E88" s="12">
        <f>_xlfn.XLOOKUP(TableDailySummary[[#This Row],[Fecha]],SummaryDaily[day],SummaryDaily[orders],0)</f>
        <v>24</v>
      </c>
      <c r="F88" s="12">
        <f>_xlfn.XLOOKUP(TableDailySummary[[#This Row],[Fecha]],SummaryDaily[day],SummaryDaily[average_order_value],0)</f>
        <v>138156.54699999999</v>
      </c>
      <c r="G88" s="24">
        <f>_xlfn.XLOOKUP(TableDailySummary[[#This Row],[Fecha]],SummaryDaily[day],SummaryDaily[Total site_conversion_rate],0)</f>
        <v>1.6574585635359115E-2</v>
      </c>
      <c r="H88" s="12">
        <f>TableDailySummary[[#This Row],[Órden promedio totales]]*TableDailySummary[[#This Row],[CR totales]]</f>
        <v>2289.8875193370163</v>
      </c>
      <c r="I88" s="12">
        <f>_xlfn.XLOOKUP(TableDailySummary[[#This Row],[Fecha]],SummaryDaily[day],SummaryDaily[new_net_sales],0)</f>
        <v>1575210.08</v>
      </c>
      <c r="J88" s="12">
        <f>_xlfn.XLOOKUP(TableDailySummary[[#This Row],[Fecha]],SummaryDaily[day],SummaryDaily[new_orders],0)</f>
        <v>10</v>
      </c>
      <c r="K88" s="12">
        <f>_xlfn.XLOOKUP(TableDailySummary[[#This Row],[Fecha]],SummaryDaily[day],SummaryDaily[new_average_order_value],0)</f>
        <v>154243.69699999999</v>
      </c>
      <c r="L88" s="12">
        <f>_xlfn.XLOOKUP(TableDailySummary[[#This Row],[Fecha]],SummaryDaily[day],SummaryDaily[Online Store_net_sales],0)</f>
        <v>2237815.96</v>
      </c>
      <c r="M88" s="12">
        <f>_xlfn.XLOOKUP(TableDailySummary[[#This Row],[Fecha]],SummaryDaily[day],SummaryDaily[Online Store_orders],0)</f>
        <v>14</v>
      </c>
      <c r="N88" s="12">
        <f>_xlfn.XLOOKUP(TableDailySummary[[#This Row],[Fecha]],SummaryDaily[day],SummaryDaily[Online Store_average_order_value],0)</f>
        <v>157503.06</v>
      </c>
      <c r="O88" s="12">
        <f>_xlfn.XLOOKUP(TableDailySummary[[#This Row],[Fecha]],SummaryDaily[day],SummaryDaily[Tienda 81_net_sales],0)</f>
        <v>794117.66</v>
      </c>
      <c r="P88" s="12">
        <f>_xlfn.XLOOKUP(TableDailySummary[[#This Row],[Fecha]],SummaryDaily[day],SummaryDaily[Tienda 81_orders],0)</f>
        <v>6</v>
      </c>
      <c r="Q88" s="12">
        <f>_xlfn.XLOOKUP(TableDailySummary[[#This Row],[Fecha]],SummaryDaily[day],SummaryDaily[Tienda 81_average_order_value],0)</f>
        <v>132352.943</v>
      </c>
      <c r="R88" s="12">
        <f>_xlfn.XLOOKUP(TableDailySummary[[#This Row],[Fecha]],SummaryDaily[day],SummaryDaily[Rappi_net_sales],0)</f>
        <v>46218.49</v>
      </c>
      <c r="S88" s="12">
        <f>_xlfn.XLOOKUP(TableDailySummary[[#This Row],[Fecha]],SummaryDaily[day],SummaryDaily[Rappi_orders],0)</f>
        <v>1</v>
      </c>
      <c r="T88" s="12">
        <f>_xlfn.XLOOKUP(TableDailySummary[[#This Row],[Fecha]],SummaryDaily[day],SummaryDaily[Rappi_average_order_value],0)</f>
        <v>46218.49</v>
      </c>
      <c r="U88" s="12">
        <f>_xlfn.XLOOKUP(TableDailySummary[[#This Row],[Fecha]],SummaryDaily[day],SummaryDaily[Corporativo no tienda_net_sales],0)</f>
        <v>0</v>
      </c>
      <c r="V88" s="12">
        <f>_xlfn.XLOOKUP(TableDailySummary[[#This Row],[Fecha]],SummaryDaily[day],SummaryDaily[Corporativo no tienda_orders],0)</f>
        <v>0</v>
      </c>
      <c r="W88" s="12">
        <f>_xlfn.XLOOKUP(TableDailySummary[[#This Row],[Fecha]],SummaryDaily[day],SummaryDaily[Corporativo no tienda_average_order_value],0)</f>
        <v>0</v>
      </c>
      <c r="X88" s="12">
        <f>_xlfn.XLOOKUP(TableDailySummary[[#This Row],[Fecha]],SummaryDaily[day],SummaryDaily[GoogleAdsOperation.Cost],0)</f>
        <v>95099.56</v>
      </c>
      <c r="Y88" s="12">
        <f>SUMIFS(SalesByUTMDaily[google],SalesByUTMDaily[day],TableDailySummary[[#This Row],[Fecha]])</f>
        <v>179250</v>
      </c>
      <c r="Z88" s="12">
        <f>_xlfn.XLOOKUP(TableDailySummary[[#This Row],[Fecha]],SummaryDaily[day],SummaryDaily[MetaAdsOperation.spend],0)</f>
        <v>53730</v>
      </c>
      <c r="AA88" s="12">
        <f>SUMIFS(SalesByUTMDaily[facebook],SalesByUTMDaily[day],TableDailySummary[[#This Row],[Fecha]])</f>
        <v>174000</v>
      </c>
      <c r="AB88" s="12">
        <f>TableDailySummary[[#This Row],[Inversión google ads]]+TableDailySummary[[#This Row],[Inversión meta ads]]</f>
        <v>148829.56</v>
      </c>
      <c r="AC88" s="12">
        <f>TableDailySummary[[#This Row],[Ventas google ads]]+TableDailySummary[[#This Row],[Ventas meta ads]]</f>
        <v>353250</v>
      </c>
      <c r="AD88" s="14">
        <f>IFERROR(TableDailySummary[[#This Row],[Ventas publicidad]]/TableDailySummary[[#This Row],[Inversión publicidad]],0)</f>
        <v>2.3735204216151686</v>
      </c>
      <c r="AE88" s="14">
        <f>IFERROR(TableDailySummary[[#This Row],[Ventas primer cliente]]/TableDailySummary[[#This Row],[Inversión publicidad]],0)</f>
        <v>10.583986675765217</v>
      </c>
      <c r="AF88" s="14"/>
      <c r="AG88" s="12"/>
      <c r="AM88" s="12">
        <f>_xlfn.XLOOKUP(TableDailySummary[[#This Row],[Fecha]],SummaryDaily[day],SummaryDaily[net_sales_with_cost_recorded],0)</f>
        <v>3348530.26</v>
      </c>
      <c r="AN88" s="12">
        <f>_xlfn.XLOOKUP(TableDailySummary[[#This Row],[Fecha]],SummaryDaily[day],SummaryDaily[cost_of_goods_sold],0)</f>
        <v>955130</v>
      </c>
      <c r="AO88" s="12">
        <f>_xlfn.XLOOKUP(TableDailySummary[[#This Row],[Fecha]],SummaryDaily[day],SummaryDaily[gross_profit],0)</f>
        <v>2393400.2599999998</v>
      </c>
      <c r="AP88" s="18">
        <f>IFERROR(TableDailySummary[[#This Row],[Utilidad bruta]]/TableDailySummary[[#This Row],[Ventas netas con costo registrado]],0)</f>
        <v>0.71476142491243311</v>
      </c>
    </row>
    <row r="89" spans="2:42" x14ac:dyDescent="0.2">
      <c r="B89" s="15" cm="1">
        <f t="array" ref="B89">MIN(SummaryDaily[day]) + (ROW(TableDailySummary[#This Row]) - ROW(TableDailySummary[[#Headers],[Dia]]) - 1)</f>
        <v>45860</v>
      </c>
      <c r="C89" s="6">
        <f>TableDailySummary[[#This Row],[Dia]]</f>
        <v>45860</v>
      </c>
      <c r="D89" s="12">
        <f>_xlfn.XLOOKUP(TableDailySummary[[#This Row],[Fecha]],SummaryDaily[day],SummaryDaily[net_sales],0)</f>
        <v>2653364.69</v>
      </c>
      <c r="E89" s="12">
        <f>_xlfn.XLOOKUP(TableDailySummary[[#This Row],[Fecha]],SummaryDaily[day],SummaryDaily[orders],0)</f>
        <v>20</v>
      </c>
      <c r="F89" s="12">
        <f>_xlfn.XLOOKUP(TableDailySummary[[#This Row],[Fecha]],SummaryDaily[day],SummaryDaily[average_order_value],0)</f>
        <v>132668.234</v>
      </c>
      <c r="G89" s="24">
        <f>_xlfn.XLOOKUP(TableDailySummary[[#This Row],[Fecha]],SummaryDaily[day],SummaryDaily[Total site_conversion_rate],0)</f>
        <v>1.4884979702300407E-2</v>
      </c>
      <c r="H89" s="12">
        <f>TableDailySummary[[#This Row],[Órden promedio totales]]*TableDailySummary[[#This Row],[CR totales]]</f>
        <v>1974.7639702300407</v>
      </c>
      <c r="I89" s="12">
        <f>_xlfn.XLOOKUP(TableDailySummary[[#This Row],[Fecha]],SummaryDaily[day],SummaryDaily[new_net_sales],0)</f>
        <v>1723319.32</v>
      </c>
      <c r="J89" s="12">
        <f>_xlfn.XLOOKUP(TableDailySummary[[#This Row],[Fecha]],SummaryDaily[day],SummaryDaily[new_orders],0)</f>
        <v>10</v>
      </c>
      <c r="K89" s="12">
        <f>_xlfn.XLOOKUP(TableDailySummary[[#This Row],[Fecha]],SummaryDaily[day],SummaryDaily[new_average_order_value],0)</f>
        <v>172331.932</v>
      </c>
      <c r="L89" s="12">
        <f>_xlfn.XLOOKUP(TableDailySummary[[#This Row],[Fecha]],SummaryDaily[day],SummaryDaily[Online Store_net_sales],0)</f>
        <v>1811768.06</v>
      </c>
      <c r="M89" s="12">
        <f>_xlfn.XLOOKUP(TableDailySummary[[#This Row],[Fecha]],SummaryDaily[day],SummaryDaily[Online Store_orders],0)</f>
        <v>15</v>
      </c>
      <c r="N89" s="12">
        <f>_xlfn.XLOOKUP(TableDailySummary[[#This Row],[Fecha]],SummaryDaily[day],SummaryDaily[Online Store_average_order_value],0)</f>
        <v>120784.537</v>
      </c>
      <c r="O89" s="12">
        <f>_xlfn.XLOOKUP(TableDailySummary[[#This Row],[Fecha]],SummaryDaily[day],SummaryDaily[Tienda 81_net_sales],0)</f>
        <v>227731.09</v>
      </c>
      <c r="P89" s="12">
        <f>_xlfn.XLOOKUP(TableDailySummary[[#This Row],[Fecha]],SummaryDaily[day],SummaryDaily[Tienda 81_orders],0)</f>
        <v>3</v>
      </c>
      <c r="Q89" s="12">
        <f>_xlfn.XLOOKUP(TableDailySummary[[#This Row],[Fecha]],SummaryDaily[day],SummaryDaily[Tienda 81_average_order_value],0)</f>
        <v>75910.362999999998</v>
      </c>
      <c r="R89" s="12">
        <f>_xlfn.XLOOKUP(TableDailySummary[[#This Row],[Fecha]],SummaryDaily[day],SummaryDaily[Rappi_net_sales],0)</f>
        <v>92436.97</v>
      </c>
      <c r="S89" s="12">
        <f>_xlfn.XLOOKUP(TableDailySummary[[#This Row],[Fecha]],SummaryDaily[day],SummaryDaily[Rappi_orders],0)</f>
        <v>1</v>
      </c>
      <c r="T89" s="12">
        <f>_xlfn.XLOOKUP(TableDailySummary[[#This Row],[Fecha]],SummaryDaily[day],SummaryDaily[Rappi_average_order_value],0)</f>
        <v>92436.97</v>
      </c>
      <c r="U89" s="12">
        <f>_xlfn.XLOOKUP(TableDailySummary[[#This Row],[Fecha]],SummaryDaily[day],SummaryDaily[Corporativo no tienda_net_sales],0)</f>
        <v>0</v>
      </c>
      <c r="V89" s="12">
        <f>_xlfn.XLOOKUP(TableDailySummary[[#This Row],[Fecha]],SummaryDaily[day],SummaryDaily[Corporativo no tienda_orders],0)</f>
        <v>0</v>
      </c>
      <c r="W89" s="12">
        <f>_xlfn.XLOOKUP(TableDailySummary[[#This Row],[Fecha]],SummaryDaily[day],SummaryDaily[Corporativo no tienda_average_order_value],0)</f>
        <v>0</v>
      </c>
      <c r="X89" s="12">
        <f>_xlfn.XLOOKUP(TableDailySummary[[#This Row],[Fecha]],SummaryDaily[day],SummaryDaily[GoogleAdsOperation.Cost],0)</f>
        <v>91106.76</v>
      </c>
      <c r="Y89" s="12">
        <f>SUMIFS(SalesByUTMDaily[google],SalesByUTMDaily[day],TableDailySummary[[#This Row],[Fecha]])</f>
        <v>45000</v>
      </c>
      <c r="Z89" s="12">
        <f>_xlfn.XLOOKUP(TableDailySummary[[#This Row],[Fecha]],SummaryDaily[day],SummaryDaily[MetaAdsOperation.spend],0)</f>
        <v>65447</v>
      </c>
      <c r="AA89" s="12">
        <f>SUMIFS(SalesByUTMDaily[facebook],SalesByUTMDaily[day],TableDailySummary[[#This Row],[Fecha]])</f>
        <v>0</v>
      </c>
      <c r="AB89" s="12">
        <f>TableDailySummary[[#This Row],[Inversión google ads]]+TableDailySummary[[#This Row],[Inversión meta ads]]</f>
        <v>156553.76</v>
      </c>
      <c r="AC89" s="12">
        <f>TableDailySummary[[#This Row],[Ventas google ads]]+TableDailySummary[[#This Row],[Ventas meta ads]]</f>
        <v>45000</v>
      </c>
      <c r="AD89" s="14">
        <f>IFERROR(TableDailySummary[[#This Row],[Ventas publicidad]]/TableDailySummary[[#This Row],[Inversión publicidad]],0)</f>
        <v>0.28744119591889711</v>
      </c>
      <c r="AE89" s="14">
        <f>IFERROR(TableDailySummary[[#This Row],[Ventas primer cliente]]/TableDailySummary[[#This Row],[Inversión publicidad]],0)</f>
        <v>11.007843695354234</v>
      </c>
      <c r="AF89" s="14"/>
      <c r="AG89" s="12"/>
      <c r="AM89" s="12">
        <f>_xlfn.XLOOKUP(TableDailySummary[[#This Row],[Fecha]],SummaryDaily[day],SummaryDaily[net_sales_with_cost_recorded],0)</f>
        <v>2460504.19</v>
      </c>
      <c r="AN89" s="12">
        <f>_xlfn.XLOOKUP(TableDailySummary[[#This Row],[Fecha]],SummaryDaily[day],SummaryDaily[cost_of_goods_sold],0)</f>
        <v>756890</v>
      </c>
      <c r="AO89" s="12">
        <f>_xlfn.XLOOKUP(TableDailySummary[[#This Row],[Fecha]],SummaryDaily[day],SummaryDaily[gross_profit],0)</f>
        <v>1703614.19</v>
      </c>
      <c r="AP89" s="18">
        <f>IFERROR(TableDailySummary[[#This Row],[Utilidad bruta]]/TableDailySummary[[#This Row],[Ventas netas con costo registrado]],0)</f>
        <v>0.69238418569813531</v>
      </c>
    </row>
    <row r="90" spans="2:42" x14ac:dyDescent="0.2">
      <c r="B90" s="15" cm="1">
        <f t="array" ref="B90">MIN(SummaryDaily[day]) + (ROW(TableDailySummary[#This Row]) - ROW(TableDailySummary[[#Headers],[Dia]]) - 1)</f>
        <v>45861</v>
      </c>
      <c r="C90" s="6">
        <f>TableDailySummary[[#This Row],[Dia]]</f>
        <v>45861</v>
      </c>
      <c r="D90" s="12">
        <f>_xlfn.XLOOKUP(TableDailySummary[[#This Row],[Fecha]],SummaryDaily[day],SummaryDaily[net_sales],0)</f>
        <v>4425226.9000000004</v>
      </c>
      <c r="E90" s="12">
        <f>_xlfn.XLOOKUP(TableDailySummary[[#This Row],[Fecha]],SummaryDaily[day],SummaryDaily[orders],0)</f>
        <v>32</v>
      </c>
      <c r="F90" s="12">
        <f>_xlfn.XLOOKUP(TableDailySummary[[#This Row],[Fecha]],SummaryDaily[day],SummaryDaily[average_order_value],0)</f>
        <v>138288.34</v>
      </c>
      <c r="G90" s="24">
        <f>_xlfn.XLOOKUP(TableDailySummary[[#This Row],[Fecha]],SummaryDaily[day],SummaryDaily[Total site_conversion_rate],0)</f>
        <v>1.2578616352201259E-2</v>
      </c>
      <c r="H90" s="12">
        <f>TableDailySummary[[#This Row],[Órden promedio totales]]*TableDailySummary[[#This Row],[CR totales]]</f>
        <v>1739.4759748427673</v>
      </c>
      <c r="I90" s="12">
        <f>_xlfn.XLOOKUP(TableDailySummary[[#This Row],[Fecha]],SummaryDaily[day],SummaryDaily[new_net_sales],0)</f>
        <v>1591067.23</v>
      </c>
      <c r="J90" s="12">
        <f>_xlfn.XLOOKUP(TableDailySummary[[#This Row],[Fecha]],SummaryDaily[day],SummaryDaily[new_orders],0)</f>
        <v>14</v>
      </c>
      <c r="K90" s="12">
        <f>_xlfn.XLOOKUP(TableDailySummary[[#This Row],[Fecha]],SummaryDaily[day],SummaryDaily[new_average_order_value],0)</f>
        <v>113647.659</v>
      </c>
      <c r="L90" s="12">
        <f>_xlfn.XLOOKUP(TableDailySummary[[#This Row],[Fecha]],SummaryDaily[day],SummaryDaily[Online Store_net_sales],0)</f>
        <v>882142.85</v>
      </c>
      <c r="M90" s="12">
        <f>_xlfn.XLOOKUP(TableDailySummary[[#This Row],[Fecha]],SummaryDaily[day],SummaryDaily[Online Store_orders],0)</f>
        <v>9</v>
      </c>
      <c r="N90" s="12">
        <f>_xlfn.XLOOKUP(TableDailySummary[[#This Row],[Fecha]],SummaryDaily[day],SummaryDaily[Online Store_average_order_value],0)</f>
        <v>98015.872000000003</v>
      </c>
      <c r="O90" s="12">
        <f>_xlfn.XLOOKUP(TableDailySummary[[#This Row],[Fecha]],SummaryDaily[day],SummaryDaily[Tienda 81_net_sales],0)</f>
        <v>3029638.67</v>
      </c>
      <c r="P90" s="12">
        <f>_xlfn.XLOOKUP(TableDailySummary[[#This Row],[Fecha]],SummaryDaily[day],SummaryDaily[Tienda 81_orders],0)</f>
        <v>19</v>
      </c>
      <c r="Q90" s="12">
        <f>_xlfn.XLOOKUP(TableDailySummary[[#This Row],[Fecha]],SummaryDaily[day],SummaryDaily[Tienda 81_average_order_value],0)</f>
        <v>159454.666</v>
      </c>
      <c r="R90" s="12">
        <f>_xlfn.XLOOKUP(TableDailySummary[[#This Row],[Fecha]],SummaryDaily[day],SummaryDaily[Rappi_net_sales],0)</f>
        <v>0</v>
      </c>
      <c r="S90" s="12">
        <f>_xlfn.XLOOKUP(TableDailySummary[[#This Row],[Fecha]],SummaryDaily[day],SummaryDaily[Rappi_orders],0)</f>
        <v>0</v>
      </c>
      <c r="T90" s="12">
        <f>_xlfn.XLOOKUP(TableDailySummary[[#This Row],[Fecha]],SummaryDaily[day],SummaryDaily[Rappi_average_order_value],0)</f>
        <v>0</v>
      </c>
      <c r="U90" s="12">
        <f>_xlfn.XLOOKUP(TableDailySummary[[#This Row],[Fecha]],SummaryDaily[day],SummaryDaily[Corporativo no tienda_net_sales],0)</f>
        <v>0</v>
      </c>
      <c r="V90" s="12">
        <f>_xlfn.XLOOKUP(TableDailySummary[[#This Row],[Fecha]],SummaryDaily[day],SummaryDaily[Corporativo no tienda_orders],0)</f>
        <v>0</v>
      </c>
      <c r="W90" s="12">
        <f>_xlfn.XLOOKUP(TableDailySummary[[#This Row],[Fecha]],SummaryDaily[day],SummaryDaily[Corporativo no tienda_average_order_value],0)</f>
        <v>0</v>
      </c>
      <c r="X90" s="12">
        <f>_xlfn.XLOOKUP(TableDailySummary[[#This Row],[Fecha]],SummaryDaily[day],SummaryDaily[GoogleAdsOperation.Cost],0)</f>
        <v>106342.47</v>
      </c>
      <c r="Y90" s="12">
        <f>SUMIFS(SalesByUTMDaily[google],SalesByUTMDaily[day],TableDailySummary[[#This Row],[Fecha]])</f>
        <v>258500</v>
      </c>
      <c r="Z90" s="12">
        <f>_xlfn.XLOOKUP(TableDailySummary[[#This Row],[Fecha]],SummaryDaily[day],SummaryDaily[MetaAdsOperation.spend],0)</f>
        <v>56844</v>
      </c>
      <c r="AA90" s="12">
        <f>SUMIFS(SalesByUTMDaily[facebook],SalesByUTMDaily[day],TableDailySummary[[#This Row],[Fecha]])</f>
        <v>0</v>
      </c>
      <c r="AB90" s="12">
        <f>TableDailySummary[[#This Row],[Inversión google ads]]+TableDailySummary[[#This Row],[Inversión meta ads]]</f>
        <v>163186.47</v>
      </c>
      <c r="AC90" s="12">
        <f>TableDailySummary[[#This Row],[Ventas google ads]]+TableDailySummary[[#This Row],[Ventas meta ads]]</f>
        <v>258500</v>
      </c>
      <c r="AD90" s="14">
        <f>IFERROR(TableDailySummary[[#This Row],[Ventas publicidad]]/TableDailySummary[[#This Row],[Inversión publicidad]],0)</f>
        <v>1.58407740543686</v>
      </c>
      <c r="AE90" s="14">
        <f>IFERROR(TableDailySummary[[#This Row],[Ventas primer cliente]]/TableDailySummary[[#This Row],[Inversión publicidad]],0)</f>
        <v>9.7499947759149386</v>
      </c>
      <c r="AF90" s="14"/>
      <c r="AG90" s="12"/>
      <c r="AM90" s="12">
        <f>_xlfn.XLOOKUP(TableDailySummary[[#This Row],[Fecha]],SummaryDaily[day],SummaryDaily[net_sales_with_cost_recorded],0)</f>
        <v>4425226.9000000004</v>
      </c>
      <c r="AN90" s="12">
        <f>_xlfn.XLOOKUP(TableDailySummary[[#This Row],[Fecha]],SummaryDaily[day],SummaryDaily[cost_of_goods_sold],0)</f>
        <v>1509568</v>
      </c>
      <c r="AO90" s="12">
        <f>_xlfn.XLOOKUP(TableDailySummary[[#This Row],[Fecha]],SummaryDaily[day],SummaryDaily[gross_profit],0)</f>
        <v>2915658.9</v>
      </c>
      <c r="AP90" s="18">
        <f>IFERROR(TableDailySummary[[#This Row],[Utilidad bruta]]/TableDailySummary[[#This Row],[Ventas netas con costo registrado]],0)</f>
        <v>0.65887218122080915</v>
      </c>
    </row>
    <row r="91" spans="2:42" x14ac:dyDescent="0.2">
      <c r="B91" s="15" cm="1">
        <f t="array" ref="B91">MIN(SummaryDaily[day]) + (ROW(TableDailySummary[#This Row]) - ROW(TableDailySummary[[#Headers],[Dia]]) - 1)</f>
        <v>45862</v>
      </c>
      <c r="C91" s="6">
        <f>TableDailySummary[[#This Row],[Dia]]</f>
        <v>45862</v>
      </c>
      <c r="D91" s="12">
        <f>_xlfn.XLOOKUP(TableDailySummary[[#This Row],[Fecha]],SummaryDaily[day],SummaryDaily[net_sales],0)</f>
        <v>4258598.49</v>
      </c>
      <c r="E91" s="12">
        <f>_xlfn.XLOOKUP(TableDailySummary[[#This Row],[Fecha]],SummaryDaily[day],SummaryDaily[orders],0)</f>
        <v>28</v>
      </c>
      <c r="F91" s="12">
        <f>_xlfn.XLOOKUP(TableDailySummary[[#This Row],[Fecha]],SummaryDaily[day],SummaryDaily[average_order_value],0)</f>
        <v>152092.80300000001</v>
      </c>
      <c r="G91" s="24">
        <f>_xlfn.XLOOKUP(TableDailySummary[[#This Row],[Fecha]],SummaryDaily[day],SummaryDaily[Total site_conversion_rate],0)</f>
        <v>1.3642564802182811E-2</v>
      </c>
      <c r="H91" s="12">
        <f>TableDailySummary[[#This Row],[Órden promedio totales]]*TableDailySummary[[#This Row],[CR totales]]</f>
        <v>2074.9359208731244</v>
      </c>
      <c r="I91" s="12">
        <f>_xlfn.XLOOKUP(TableDailySummary[[#This Row],[Fecha]],SummaryDaily[day],SummaryDaily[new_net_sales],0)</f>
        <v>2440546.2200000002</v>
      </c>
      <c r="J91" s="12">
        <f>_xlfn.XLOOKUP(TableDailySummary[[#This Row],[Fecha]],SummaryDaily[day],SummaryDaily[new_orders],0)</f>
        <v>15</v>
      </c>
      <c r="K91" s="12">
        <f>_xlfn.XLOOKUP(TableDailySummary[[#This Row],[Fecha]],SummaryDaily[day],SummaryDaily[new_average_order_value],0)</f>
        <v>162703.08100000001</v>
      </c>
      <c r="L91" s="12">
        <f>_xlfn.XLOOKUP(TableDailySummary[[#This Row],[Fecha]],SummaryDaily[day],SummaryDaily[Online Store_net_sales],0)</f>
        <v>1410084.88</v>
      </c>
      <c r="M91" s="12">
        <f>_xlfn.XLOOKUP(TableDailySummary[[#This Row],[Fecha]],SummaryDaily[day],SummaryDaily[Online Store_orders],0)</f>
        <v>12</v>
      </c>
      <c r="N91" s="12">
        <f>_xlfn.XLOOKUP(TableDailySummary[[#This Row],[Fecha]],SummaryDaily[day],SummaryDaily[Online Store_average_order_value],0)</f>
        <v>117507.073</v>
      </c>
      <c r="O91" s="12">
        <f>_xlfn.XLOOKUP(TableDailySummary[[#This Row],[Fecha]],SummaryDaily[day],SummaryDaily[Tienda 81_net_sales],0)</f>
        <v>2848513.61</v>
      </c>
      <c r="P91" s="12">
        <f>_xlfn.XLOOKUP(TableDailySummary[[#This Row],[Fecha]],SummaryDaily[day],SummaryDaily[Tienda 81_orders],0)</f>
        <v>16</v>
      </c>
      <c r="Q91" s="12">
        <f>_xlfn.XLOOKUP(TableDailySummary[[#This Row],[Fecha]],SummaryDaily[day],SummaryDaily[Tienda 81_average_order_value],0)</f>
        <v>178032.1</v>
      </c>
      <c r="R91" s="12">
        <f>_xlfn.XLOOKUP(TableDailySummary[[#This Row],[Fecha]],SummaryDaily[day],SummaryDaily[Rappi_net_sales],0)</f>
        <v>0</v>
      </c>
      <c r="S91" s="12">
        <f>_xlfn.XLOOKUP(TableDailySummary[[#This Row],[Fecha]],SummaryDaily[day],SummaryDaily[Rappi_orders],0)</f>
        <v>0</v>
      </c>
      <c r="T91" s="12">
        <f>_xlfn.XLOOKUP(TableDailySummary[[#This Row],[Fecha]],SummaryDaily[day],SummaryDaily[Rappi_average_order_value],0)</f>
        <v>0</v>
      </c>
      <c r="U91" s="12">
        <f>_xlfn.XLOOKUP(TableDailySummary[[#This Row],[Fecha]],SummaryDaily[day],SummaryDaily[Corporativo no tienda_net_sales],0)</f>
        <v>0</v>
      </c>
      <c r="V91" s="12">
        <f>_xlfn.XLOOKUP(TableDailySummary[[#This Row],[Fecha]],SummaryDaily[day],SummaryDaily[Corporativo no tienda_orders],0)</f>
        <v>0</v>
      </c>
      <c r="W91" s="12">
        <f>_xlfn.XLOOKUP(TableDailySummary[[#This Row],[Fecha]],SummaryDaily[day],SummaryDaily[Corporativo no tienda_average_order_value],0)</f>
        <v>0</v>
      </c>
      <c r="X91" s="12">
        <f>_xlfn.XLOOKUP(TableDailySummary[[#This Row],[Fecha]],SummaryDaily[day],SummaryDaily[GoogleAdsOperation.Cost],0)</f>
        <v>95771.85</v>
      </c>
      <c r="Y91" s="12">
        <f>SUMIFS(SalesByUTMDaily[google],SalesByUTMDaily[day],TableDailySummary[[#This Row],[Fecha]])</f>
        <v>252500</v>
      </c>
      <c r="Z91" s="12">
        <f>_xlfn.XLOOKUP(TableDailySummary[[#This Row],[Fecha]],SummaryDaily[day],SummaryDaily[MetaAdsOperation.spend],0)</f>
        <v>59789</v>
      </c>
      <c r="AA91" s="12">
        <f>SUMIFS(SalesByUTMDaily[facebook],SalesByUTMDaily[day],TableDailySummary[[#This Row],[Fecha]])</f>
        <v>0</v>
      </c>
      <c r="AB91" s="12">
        <f>TableDailySummary[[#This Row],[Inversión google ads]]+TableDailySummary[[#This Row],[Inversión meta ads]]</f>
        <v>155560.85</v>
      </c>
      <c r="AC91" s="12">
        <f>TableDailySummary[[#This Row],[Ventas google ads]]+TableDailySummary[[#This Row],[Ventas meta ads]]</f>
        <v>252500</v>
      </c>
      <c r="AD91" s="14">
        <f>IFERROR(TableDailySummary[[#This Row],[Ventas publicidad]]/TableDailySummary[[#This Row],[Inversión publicidad]],0)</f>
        <v>1.6231590403369485</v>
      </c>
      <c r="AE91" s="14">
        <f>IFERROR(TableDailySummary[[#This Row],[Ventas primer cliente]]/TableDailySummary[[#This Row],[Inversión publicidad]],0)</f>
        <v>15.68869172417096</v>
      </c>
      <c r="AF91" s="14"/>
      <c r="AG91" s="12"/>
      <c r="AM91" s="12">
        <f>_xlfn.XLOOKUP(TableDailySummary[[#This Row],[Fecha]],SummaryDaily[day],SummaryDaily[net_sales_with_cost_recorded],0)</f>
        <v>4258596.6500000004</v>
      </c>
      <c r="AN91" s="12">
        <f>_xlfn.XLOOKUP(TableDailySummary[[#This Row],[Fecha]],SummaryDaily[day],SummaryDaily[cost_of_goods_sold],0)</f>
        <v>1591709</v>
      </c>
      <c r="AO91" s="12">
        <f>_xlfn.XLOOKUP(TableDailySummary[[#This Row],[Fecha]],SummaryDaily[day],SummaryDaily[gross_profit],0)</f>
        <v>2666887.65</v>
      </c>
      <c r="AP91" s="18">
        <f>IFERROR(TableDailySummary[[#This Row],[Utilidad bruta]]/TableDailySummary[[#This Row],[Ventas netas con costo registrado]],0)</f>
        <v>0.62623626259603615</v>
      </c>
    </row>
    <row r="92" spans="2:42" x14ac:dyDescent="0.2">
      <c r="B92" s="15" cm="1">
        <f t="array" ref="B92">MIN(SummaryDaily[day]) + (ROW(TableDailySummary[#This Row]) - ROW(TableDailySummary[[#Headers],[Dia]]) - 1)</f>
        <v>45863</v>
      </c>
      <c r="C92" s="6">
        <f>TableDailySummary[[#This Row],[Dia]]</f>
        <v>45863</v>
      </c>
      <c r="D92" s="12">
        <f>_xlfn.XLOOKUP(TableDailySummary[[#This Row],[Fecha]],SummaryDaily[day],SummaryDaily[net_sales],0)</f>
        <v>2520890.7599999998</v>
      </c>
      <c r="E92" s="12">
        <f>_xlfn.XLOOKUP(TableDailySummary[[#This Row],[Fecha]],SummaryDaily[day],SummaryDaily[orders],0)</f>
        <v>17</v>
      </c>
      <c r="F92" s="12">
        <f>_xlfn.XLOOKUP(TableDailySummary[[#This Row],[Fecha]],SummaryDaily[day],SummaryDaily[average_order_value],0)</f>
        <v>145371.231</v>
      </c>
      <c r="G92" s="24">
        <f>_xlfn.XLOOKUP(TableDailySummary[[#This Row],[Fecha]],SummaryDaily[day],SummaryDaily[Total site_conversion_rate],0)</f>
        <v>1.2213740458015267E-2</v>
      </c>
      <c r="H92" s="12">
        <f>TableDailySummary[[#This Row],[Órden promedio totales]]*TableDailySummary[[#This Row],[CR totales]]</f>
        <v>1775.5264854961831</v>
      </c>
      <c r="I92" s="12">
        <f>_xlfn.XLOOKUP(TableDailySummary[[#This Row],[Fecha]],SummaryDaily[day],SummaryDaily[new_net_sales],0)</f>
        <v>820588.23</v>
      </c>
      <c r="J92" s="12">
        <f>_xlfn.XLOOKUP(TableDailySummary[[#This Row],[Fecha]],SummaryDaily[day],SummaryDaily[new_orders],0)</f>
        <v>8</v>
      </c>
      <c r="K92" s="12">
        <f>_xlfn.XLOOKUP(TableDailySummary[[#This Row],[Fecha]],SummaryDaily[day],SummaryDaily[new_average_order_value],0)</f>
        <v>96376.05</v>
      </c>
      <c r="L92" s="12">
        <f>_xlfn.XLOOKUP(TableDailySummary[[#This Row],[Fecha]],SummaryDaily[day],SummaryDaily[Online Store_net_sales],0)</f>
        <v>914285.72</v>
      </c>
      <c r="M92" s="12">
        <f>_xlfn.XLOOKUP(TableDailySummary[[#This Row],[Fecha]],SummaryDaily[day],SummaryDaily[Online Store_orders],0)</f>
        <v>10</v>
      </c>
      <c r="N92" s="12">
        <f>_xlfn.XLOOKUP(TableDailySummary[[#This Row],[Fecha]],SummaryDaily[day],SummaryDaily[Online Store_average_order_value],0)</f>
        <v>91428.572</v>
      </c>
      <c r="O92" s="12">
        <f>_xlfn.XLOOKUP(TableDailySummary[[#This Row],[Fecha]],SummaryDaily[day],SummaryDaily[Tienda 81_net_sales],0)</f>
        <v>1606605.04</v>
      </c>
      <c r="P92" s="12">
        <f>_xlfn.XLOOKUP(TableDailySummary[[#This Row],[Fecha]],SummaryDaily[day],SummaryDaily[Tienda 81_orders],0)</f>
        <v>7</v>
      </c>
      <c r="Q92" s="12">
        <f>_xlfn.XLOOKUP(TableDailySummary[[#This Row],[Fecha]],SummaryDaily[day],SummaryDaily[Tienda 81_average_order_value],0)</f>
        <v>222432.17199999999</v>
      </c>
      <c r="R92" s="12">
        <f>_xlfn.XLOOKUP(TableDailySummary[[#This Row],[Fecha]],SummaryDaily[day],SummaryDaily[Rappi_net_sales],0)</f>
        <v>0</v>
      </c>
      <c r="S92" s="12">
        <f>_xlfn.XLOOKUP(TableDailySummary[[#This Row],[Fecha]],SummaryDaily[day],SummaryDaily[Rappi_orders],0)</f>
        <v>0</v>
      </c>
      <c r="T92" s="12">
        <f>_xlfn.XLOOKUP(TableDailySummary[[#This Row],[Fecha]],SummaryDaily[day],SummaryDaily[Rappi_average_order_value],0)</f>
        <v>0</v>
      </c>
      <c r="U92" s="12">
        <f>_xlfn.XLOOKUP(TableDailySummary[[#This Row],[Fecha]],SummaryDaily[day],SummaryDaily[Corporativo no tienda_net_sales],0)</f>
        <v>0</v>
      </c>
      <c r="V92" s="12">
        <f>_xlfn.XLOOKUP(TableDailySummary[[#This Row],[Fecha]],SummaryDaily[day],SummaryDaily[Corporativo no tienda_orders],0)</f>
        <v>0</v>
      </c>
      <c r="W92" s="12">
        <f>_xlfn.XLOOKUP(TableDailySummary[[#This Row],[Fecha]],SummaryDaily[day],SummaryDaily[Corporativo no tienda_average_order_value],0)</f>
        <v>0</v>
      </c>
      <c r="X92" s="12">
        <f>_xlfn.XLOOKUP(TableDailySummary[[#This Row],[Fecha]],SummaryDaily[day],SummaryDaily[GoogleAdsOperation.Cost],0)</f>
        <v>83313.23</v>
      </c>
      <c r="Y92" s="12">
        <f>SUMIFS(SalesByUTMDaily[google],SalesByUTMDaily[day],TableDailySummary[[#This Row],[Fecha]])</f>
        <v>347000</v>
      </c>
      <c r="Z92" s="12">
        <f>_xlfn.XLOOKUP(TableDailySummary[[#This Row],[Fecha]],SummaryDaily[day],SummaryDaily[MetaAdsOperation.spend],0)</f>
        <v>60464</v>
      </c>
      <c r="AA92" s="12">
        <f>SUMIFS(SalesByUTMDaily[facebook],SalesByUTMDaily[day],TableDailySummary[[#This Row],[Fecha]])</f>
        <v>0</v>
      </c>
      <c r="AB92" s="12">
        <f>TableDailySummary[[#This Row],[Inversión google ads]]+TableDailySummary[[#This Row],[Inversión meta ads]]</f>
        <v>143777.22999999998</v>
      </c>
      <c r="AC92" s="12">
        <f>TableDailySummary[[#This Row],[Ventas google ads]]+TableDailySummary[[#This Row],[Ventas meta ads]]</f>
        <v>347000</v>
      </c>
      <c r="AD92" s="14">
        <f>IFERROR(TableDailySummary[[#This Row],[Ventas publicidad]]/TableDailySummary[[#This Row],[Inversión publicidad]],0)</f>
        <v>2.4134558719763906</v>
      </c>
      <c r="AE92" s="14">
        <f>IFERROR(TableDailySummary[[#This Row],[Ventas primer cliente]]/TableDailySummary[[#This Row],[Inversión publicidad]],0)</f>
        <v>5.7073587382369242</v>
      </c>
      <c r="AF92" s="14"/>
      <c r="AG92" s="12"/>
      <c r="AM92" s="12">
        <f>_xlfn.XLOOKUP(TableDailySummary[[#This Row],[Fecha]],SummaryDaily[day],SummaryDaily[net_sales_with_cost_recorded],0)</f>
        <v>2520890.7599999998</v>
      </c>
      <c r="AN92" s="12">
        <f>_xlfn.XLOOKUP(TableDailySummary[[#This Row],[Fecha]],SummaryDaily[day],SummaryDaily[cost_of_goods_sold],0)</f>
        <v>860762</v>
      </c>
      <c r="AO92" s="12">
        <f>_xlfn.XLOOKUP(TableDailySummary[[#This Row],[Fecha]],SummaryDaily[day],SummaryDaily[gross_profit],0)</f>
        <v>1660128.76</v>
      </c>
      <c r="AP92" s="18">
        <f>IFERROR(TableDailySummary[[#This Row],[Utilidad bruta]]/TableDailySummary[[#This Row],[Ventas netas con costo registrado]],0)</f>
        <v>0.65854847276285788</v>
      </c>
    </row>
    <row r="93" spans="2:42" x14ac:dyDescent="0.2">
      <c r="B93" s="15" cm="1">
        <f t="array" ref="B93">MIN(SummaryDaily[day]) + (ROW(TableDailySummary[#This Row]) - ROW(TableDailySummary[[#Headers],[Dia]]) - 1)</f>
        <v>45864</v>
      </c>
      <c r="C93" s="6">
        <f>TableDailySummary[[#This Row],[Dia]]</f>
        <v>45864</v>
      </c>
      <c r="D93" s="12">
        <f>_xlfn.XLOOKUP(TableDailySummary[[#This Row],[Fecha]],SummaryDaily[day],SummaryDaily[net_sales],0)</f>
        <v>1667226.9</v>
      </c>
      <c r="E93" s="12">
        <f>_xlfn.XLOOKUP(TableDailySummary[[#This Row],[Fecha]],SummaryDaily[day],SummaryDaily[orders],0)</f>
        <v>14</v>
      </c>
      <c r="F93" s="12">
        <f>_xlfn.XLOOKUP(TableDailySummary[[#This Row],[Fecha]],SummaryDaily[day],SummaryDaily[average_order_value],0)</f>
        <v>119087.63499999999</v>
      </c>
      <c r="G93" s="24">
        <f>_xlfn.XLOOKUP(TableDailySummary[[#This Row],[Fecha]],SummaryDaily[day],SummaryDaily[Total site_conversion_rate],0)</f>
        <v>6.269592476489028E-3</v>
      </c>
      <c r="H93" s="12">
        <f>TableDailySummary[[#This Row],[Órden promedio totales]]*TableDailySummary[[#This Row],[CR totales]]</f>
        <v>746.63094043887145</v>
      </c>
      <c r="I93" s="12">
        <f>_xlfn.XLOOKUP(TableDailySummary[[#This Row],[Fecha]],SummaryDaily[day],SummaryDaily[new_net_sales],0)</f>
        <v>1120378.1499999999</v>
      </c>
      <c r="J93" s="12">
        <f>_xlfn.XLOOKUP(TableDailySummary[[#This Row],[Fecha]],SummaryDaily[day],SummaryDaily[new_orders],0)</f>
        <v>9</v>
      </c>
      <c r="K93" s="12">
        <f>_xlfn.XLOOKUP(TableDailySummary[[#This Row],[Fecha]],SummaryDaily[day],SummaryDaily[new_average_order_value],0)</f>
        <v>124486.461</v>
      </c>
      <c r="L93" s="12">
        <f>_xlfn.XLOOKUP(TableDailySummary[[#This Row],[Fecha]],SummaryDaily[day],SummaryDaily[Online Store_net_sales],0)</f>
        <v>807563.03</v>
      </c>
      <c r="M93" s="12">
        <f>_xlfn.XLOOKUP(TableDailySummary[[#This Row],[Fecha]],SummaryDaily[day],SummaryDaily[Online Store_orders],0)</f>
        <v>5</v>
      </c>
      <c r="N93" s="12">
        <f>_xlfn.XLOOKUP(TableDailySummary[[#This Row],[Fecha]],SummaryDaily[day],SummaryDaily[Online Store_average_order_value],0)</f>
        <v>161512.606</v>
      </c>
      <c r="O93" s="12">
        <f>_xlfn.XLOOKUP(TableDailySummary[[#This Row],[Fecha]],SummaryDaily[day],SummaryDaily[Tienda 81_net_sales],0)</f>
        <v>745798.32</v>
      </c>
      <c r="P93" s="12">
        <f>_xlfn.XLOOKUP(TableDailySummary[[#This Row],[Fecha]],SummaryDaily[day],SummaryDaily[Tienda 81_orders],0)</f>
        <v>8</v>
      </c>
      <c r="Q93" s="12">
        <f>_xlfn.XLOOKUP(TableDailySummary[[#This Row],[Fecha]],SummaryDaily[day],SummaryDaily[Tienda 81_average_order_value],0)</f>
        <v>93224.79</v>
      </c>
      <c r="R93" s="12">
        <f>_xlfn.XLOOKUP(TableDailySummary[[#This Row],[Fecha]],SummaryDaily[day],SummaryDaily[Rappi_net_sales],0)</f>
        <v>0</v>
      </c>
      <c r="S93" s="12">
        <f>_xlfn.XLOOKUP(TableDailySummary[[#This Row],[Fecha]],SummaryDaily[day],SummaryDaily[Rappi_orders],0)</f>
        <v>0</v>
      </c>
      <c r="T93" s="12">
        <f>_xlfn.XLOOKUP(TableDailySummary[[#This Row],[Fecha]],SummaryDaily[day],SummaryDaily[Rappi_average_order_value],0)</f>
        <v>0</v>
      </c>
      <c r="U93" s="12">
        <f>_xlfn.XLOOKUP(TableDailySummary[[#This Row],[Fecha]],SummaryDaily[day],SummaryDaily[Corporativo no tienda_net_sales],0)</f>
        <v>0</v>
      </c>
      <c r="V93" s="12">
        <f>_xlfn.XLOOKUP(TableDailySummary[[#This Row],[Fecha]],SummaryDaily[day],SummaryDaily[Corporativo no tienda_orders],0)</f>
        <v>0</v>
      </c>
      <c r="W93" s="12">
        <f>_xlfn.XLOOKUP(TableDailySummary[[#This Row],[Fecha]],SummaryDaily[day],SummaryDaily[Corporativo no tienda_average_order_value],0)</f>
        <v>0</v>
      </c>
      <c r="X93" s="12">
        <f>_xlfn.XLOOKUP(TableDailySummary[[#This Row],[Fecha]],SummaryDaily[day],SummaryDaily[GoogleAdsOperation.Cost],0)</f>
        <v>88956.62</v>
      </c>
      <c r="Y93" s="12">
        <f>SUMIFS(SalesByUTMDaily[google],SalesByUTMDaily[day],TableDailySummary[[#This Row],[Fecha]])</f>
        <v>213000</v>
      </c>
      <c r="Z93" s="12">
        <f>_xlfn.XLOOKUP(TableDailySummary[[#This Row],[Fecha]],SummaryDaily[day],SummaryDaily[MetaAdsOperation.spend],0)</f>
        <v>58482</v>
      </c>
      <c r="AA93" s="12">
        <f>SUMIFS(SalesByUTMDaily[facebook],SalesByUTMDaily[day],TableDailySummary[[#This Row],[Fecha]])</f>
        <v>0</v>
      </c>
      <c r="AB93" s="12">
        <f>TableDailySummary[[#This Row],[Inversión google ads]]+TableDailySummary[[#This Row],[Inversión meta ads]]</f>
        <v>147438.62</v>
      </c>
      <c r="AC93" s="12">
        <f>TableDailySummary[[#This Row],[Ventas google ads]]+TableDailySummary[[#This Row],[Ventas meta ads]]</f>
        <v>213000</v>
      </c>
      <c r="AD93" s="14">
        <f>IFERROR(TableDailySummary[[#This Row],[Ventas publicidad]]/TableDailySummary[[#This Row],[Inversión publicidad]],0)</f>
        <v>1.4446689747910013</v>
      </c>
      <c r="AE93" s="14">
        <f>IFERROR(TableDailySummary[[#This Row],[Ventas primer cliente]]/TableDailySummary[[#This Row],[Inversión publicidad]],0)</f>
        <v>7.5989462598062838</v>
      </c>
      <c r="AF93" s="14"/>
      <c r="AG93" s="12"/>
      <c r="AM93" s="12">
        <f>_xlfn.XLOOKUP(TableDailySummary[[#This Row],[Fecha]],SummaryDaily[day],SummaryDaily[net_sales_with_cost_recorded],0)</f>
        <v>1567226.9</v>
      </c>
      <c r="AN93" s="12">
        <f>_xlfn.XLOOKUP(TableDailySummary[[#This Row],[Fecha]],SummaryDaily[day],SummaryDaily[cost_of_goods_sold],0)</f>
        <v>437777</v>
      </c>
      <c r="AO93" s="12">
        <f>_xlfn.XLOOKUP(TableDailySummary[[#This Row],[Fecha]],SummaryDaily[day],SummaryDaily[gross_profit],0)</f>
        <v>1129449.8999999999</v>
      </c>
      <c r="AP93" s="18">
        <f>IFERROR(TableDailySummary[[#This Row],[Utilidad bruta]]/TableDailySummary[[#This Row],[Ventas netas con costo registrado]],0)</f>
        <v>0.7206677603606727</v>
      </c>
    </row>
    <row r="94" spans="2:42" x14ac:dyDescent="0.2">
      <c r="B94" s="15" cm="1">
        <f t="array" ref="B94">MIN(SummaryDaily[day]) + (ROW(TableDailySummary[#This Row]) - ROW(TableDailySummary[[#Headers],[Dia]]) - 1)</f>
        <v>45865</v>
      </c>
      <c r="C94" s="6">
        <f>TableDailySummary[[#This Row],[Dia]]</f>
        <v>45865</v>
      </c>
      <c r="D94" s="12">
        <f>_xlfn.XLOOKUP(TableDailySummary[[#This Row],[Fecha]],SummaryDaily[day],SummaryDaily[net_sales],0)</f>
        <v>4191235.29</v>
      </c>
      <c r="E94" s="12">
        <f>_xlfn.XLOOKUP(TableDailySummary[[#This Row],[Fecha]],SummaryDaily[day],SummaryDaily[orders],0)</f>
        <v>32</v>
      </c>
      <c r="F94" s="12">
        <f>_xlfn.XLOOKUP(TableDailySummary[[#This Row],[Fecha]],SummaryDaily[day],SummaryDaily[average_order_value],0)</f>
        <v>130976.102</v>
      </c>
      <c r="G94" s="24">
        <f>_xlfn.XLOOKUP(TableDailySummary[[#This Row],[Fecha]],SummaryDaily[day],SummaryDaily[Total site_conversion_rate],0)</f>
        <v>1.2931034482758621E-2</v>
      </c>
      <c r="H94" s="12">
        <f>TableDailySummary[[#This Row],[Órden promedio totales]]*TableDailySummary[[#This Row],[CR totales]]</f>
        <v>1693.6564913793104</v>
      </c>
      <c r="I94" s="12">
        <f>_xlfn.XLOOKUP(TableDailySummary[[#This Row],[Fecha]],SummaryDaily[day],SummaryDaily[new_net_sales],0)</f>
        <v>1732983.2</v>
      </c>
      <c r="J94" s="12">
        <f>_xlfn.XLOOKUP(TableDailySummary[[#This Row],[Fecha]],SummaryDaily[day],SummaryDaily[new_orders],0)</f>
        <v>19</v>
      </c>
      <c r="K94" s="12">
        <f>_xlfn.XLOOKUP(TableDailySummary[[#This Row],[Fecha]],SummaryDaily[day],SummaryDaily[new_average_order_value],0)</f>
        <v>91209.642000000007</v>
      </c>
      <c r="L94" s="12">
        <f>_xlfn.XLOOKUP(TableDailySummary[[#This Row],[Fecha]],SummaryDaily[day],SummaryDaily[Online Store_net_sales],0)</f>
        <v>1248529.3999999999</v>
      </c>
      <c r="M94" s="12">
        <f>_xlfn.XLOOKUP(TableDailySummary[[#This Row],[Fecha]],SummaryDaily[day],SummaryDaily[Online Store_orders],0)</f>
        <v>8</v>
      </c>
      <c r="N94" s="12">
        <f>_xlfn.XLOOKUP(TableDailySummary[[#This Row],[Fecha]],SummaryDaily[day],SummaryDaily[Online Store_average_order_value],0)</f>
        <v>156066.17499999999</v>
      </c>
      <c r="O94" s="12">
        <f>_xlfn.XLOOKUP(TableDailySummary[[#This Row],[Fecha]],SummaryDaily[day],SummaryDaily[Tienda 81_net_sales],0)</f>
        <v>2850268.92</v>
      </c>
      <c r="P94" s="12">
        <f>_xlfn.XLOOKUP(TableDailySummary[[#This Row],[Fecha]],SummaryDaily[day],SummaryDaily[Tienda 81_orders],0)</f>
        <v>23</v>
      </c>
      <c r="Q94" s="12">
        <f>_xlfn.XLOOKUP(TableDailySummary[[#This Row],[Fecha]],SummaryDaily[day],SummaryDaily[Tienda 81_average_order_value],0)</f>
        <v>123924.735</v>
      </c>
      <c r="R94" s="12">
        <f>_xlfn.XLOOKUP(TableDailySummary[[#This Row],[Fecha]],SummaryDaily[day],SummaryDaily[Rappi_net_sales],0)</f>
        <v>92436.97</v>
      </c>
      <c r="S94" s="12">
        <f>_xlfn.XLOOKUP(TableDailySummary[[#This Row],[Fecha]],SummaryDaily[day],SummaryDaily[Rappi_orders],0)</f>
        <v>1</v>
      </c>
      <c r="T94" s="12">
        <f>_xlfn.XLOOKUP(TableDailySummary[[#This Row],[Fecha]],SummaryDaily[day],SummaryDaily[Rappi_average_order_value],0)</f>
        <v>92436.97</v>
      </c>
      <c r="U94" s="12">
        <f>_xlfn.XLOOKUP(TableDailySummary[[#This Row],[Fecha]],SummaryDaily[day],SummaryDaily[Corporativo no tienda_net_sales],0)</f>
        <v>0</v>
      </c>
      <c r="V94" s="12">
        <f>_xlfn.XLOOKUP(TableDailySummary[[#This Row],[Fecha]],SummaryDaily[day],SummaryDaily[Corporativo no tienda_orders],0)</f>
        <v>0</v>
      </c>
      <c r="W94" s="12">
        <f>_xlfn.XLOOKUP(TableDailySummary[[#This Row],[Fecha]],SummaryDaily[day],SummaryDaily[Corporativo no tienda_average_order_value],0)</f>
        <v>0</v>
      </c>
      <c r="X94" s="12">
        <f>_xlfn.XLOOKUP(TableDailySummary[[#This Row],[Fecha]],SummaryDaily[day],SummaryDaily[GoogleAdsOperation.Cost],0)</f>
        <v>87773.119999999995</v>
      </c>
      <c r="Y94" s="12">
        <f>SUMIFS(SalesByUTMDaily[google],SalesByUTMDaily[day],TableDailySummary[[#This Row],[Fecha]])</f>
        <v>208750</v>
      </c>
      <c r="Z94" s="12">
        <f>_xlfn.XLOOKUP(TableDailySummary[[#This Row],[Fecha]],SummaryDaily[day],SummaryDaily[MetaAdsOperation.spend],0)</f>
        <v>61105</v>
      </c>
      <c r="AA94" s="12">
        <f>SUMIFS(SalesByUTMDaily[facebook],SalesByUTMDaily[day],TableDailySummary[[#This Row],[Fecha]])</f>
        <v>70000</v>
      </c>
      <c r="AB94" s="12">
        <f>TableDailySummary[[#This Row],[Inversión google ads]]+TableDailySummary[[#This Row],[Inversión meta ads]]</f>
        <v>148878.12</v>
      </c>
      <c r="AC94" s="12">
        <f>TableDailySummary[[#This Row],[Ventas google ads]]+TableDailySummary[[#This Row],[Ventas meta ads]]</f>
        <v>278750</v>
      </c>
      <c r="AD94" s="14">
        <f>IFERROR(TableDailySummary[[#This Row],[Ventas publicidad]]/TableDailySummary[[#This Row],[Inversión publicidad]],0)</f>
        <v>1.8723369155924323</v>
      </c>
      <c r="AE94" s="14">
        <f>IFERROR(TableDailySummary[[#This Row],[Ventas primer cliente]]/TableDailySummary[[#This Row],[Inversión publicidad]],0)</f>
        <v>11.640281325422432</v>
      </c>
      <c r="AF94" s="14"/>
      <c r="AG94" s="12"/>
      <c r="AM94" s="12">
        <f>_xlfn.XLOOKUP(TableDailySummary[[#This Row],[Fecha]],SummaryDaily[day],SummaryDaily[net_sales_with_cost_recorded],0)</f>
        <v>3835134.45</v>
      </c>
      <c r="AN94" s="12">
        <f>_xlfn.XLOOKUP(TableDailySummary[[#This Row],[Fecha]],SummaryDaily[day],SummaryDaily[cost_of_goods_sold],0)</f>
        <v>1443980</v>
      </c>
      <c r="AO94" s="12">
        <f>_xlfn.XLOOKUP(TableDailySummary[[#This Row],[Fecha]],SummaryDaily[day],SummaryDaily[gross_profit],0)</f>
        <v>2391154.4500000002</v>
      </c>
      <c r="AP94" s="18">
        <f>IFERROR(TableDailySummary[[#This Row],[Utilidad bruta]]/TableDailySummary[[#This Row],[Ventas netas con costo registrado]],0)</f>
        <v>0.62348647255378498</v>
      </c>
    </row>
    <row r="95" spans="2:42" x14ac:dyDescent="0.2">
      <c r="B95" s="15" cm="1">
        <f t="array" ref="B95">MIN(SummaryDaily[day]) + (ROW(TableDailySummary[#This Row]) - ROW(TableDailySummary[[#Headers],[Dia]]) - 1)</f>
        <v>45866</v>
      </c>
      <c r="C95" s="6">
        <f>TableDailySummary[[#This Row],[Dia]]</f>
        <v>45866</v>
      </c>
      <c r="D95" s="12">
        <f>_xlfn.XLOOKUP(TableDailySummary[[#This Row],[Fecha]],SummaryDaily[day],SummaryDaily[net_sales],0)</f>
        <v>6577571.4199999999</v>
      </c>
      <c r="E95" s="12">
        <f>_xlfn.XLOOKUP(TableDailySummary[[#This Row],[Fecha]],SummaryDaily[day],SummaryDaily[orders],0)</f>
        <v>24</v>
      </c>
      <c r="F95" s="12">
        <f>_xlfn.XLOOKUP(TableDailySummary[[#This Row],[Fecha]],SummaryDaily[day],SummaryDaily[average_order_value],0)</f>
        <v>273365.19500000001</v>
      </c>
      <c r="G95" s="24">
        <f>_xlfn.XLOOKUP(TableDailySummary[[#This Row],[Fecha]],SummaryDaily[day],SummaryDaily[Total site_conversion_rate],0)</f>
        <v>1.2102874432677761E-2</v>
      </c>
      <c r="H95" s="12">
        <f>TableDailySummary[[#This Row],[Órden promedio totales]]*TableDailySummary[[#This Row],[CR totales]]</f>
        <v>3308.5046293494706</v>
      </c>
      <c r="I95" s="12">
        <f>_xlfn.XLOOKUP(TableDailySummary[[#This Row],[Fecha]],SummaryDaily[day],SummaryDaily[new_net_sales],0)</f>
        <v>4813865.54</v>
      </c>
      <c r="J95" s="12">
        <f>_xlfn.XLOOKUP(TableDailySummary[[#This Row],[Fecha]],SummaryDaily[day],SummaryDaily[new_orders],0)</f>
        <v>12</v>
      </c>
      <c r="K95" s="12">
        <f>_xlfn.XLOOKUP(TableDailySummary[[#This Row],[Fecha]],SummaryDaily[day],SummaryDaily[new_average_order_value],0)</f>
        <v>399754.90100000001</v>
      </c>
      <c r="L95" s="12">
        <f>_xlfn.XLOOKUP(TableDailySummary[[#This Row],[Fecha]],SummaryDaily[day],SummaryDaily[Online Store_net_sales],0)</f>
        <v>1142436.98</v>
      </c>
      <c r="M95" s="12">
        <f>_xlfn.XLOOKUP(TableDailySummary[[#This Row],[Fecha]],SummaryDaily[day],SummaryDaily[Online Store_orders],0)</f>
        <v>8</v>
      </c>
      <c r="N95" s="12">
        <f>_xlfn.XLOOKUP(TableDailySummary[[#This Row],[Fecha]],SummaryDaily[day],SummaryDaily[Online Store_average_order_value],0)</f>
        <v>142804.622</v>
      </c>
      <c r="O95" s="12">
        <f>_xlfn.XLOOKUP(TableDailySummary[[#This Row],[Fecha]],SummaryDaily[day],SummaryDaily[Tienda 81_net_sales],0)</f>
        <v>5246058.8099999996</v>
      </c>
      <c r="P95" s="12">
        <f>_xlfn.XLOOKUP(TableDailySummary[[#This Row],[Fecha]],SummaryDaily[day],SummaryDaily[Tienda 81_orders],0)</f>
        <v>14</v>
      </c>
      <c r="Q95" s="12">
        <f>_xlfn.XLOOKUP(TableDailySummary[[#This Row],[Fecha]],SummaryDaily[day],SummaryDaily[Tienda 81_average_order_value],0)</f>
        <v>373518.00599999999</v>
      </c>
      <c r="R95" s="12">
        <f>_xlfn.XLOOKUP(TableDailySummary[[#This Row],[Fecha]],SummaryDaily[day],SummaryDaily[Rappi_net_sales],0)</f>
        <v>130252.1</v>
      </c>
      <c r="S95" s="12">
        <f>_xlfn.XLOOKUP(TableDailySummary[[#This Row],[Fecha]],SummaryDaily[day],SummaryDaily[Rappi_orders],0)</f>
        <v>1</v>
      </c>
      <c r="T95" s="12">
        <f>_xlfn.XLOOKUP(TableDailySummary[[#This Row],[Fecha]],SummaryDaily[day],SummaryDaily[Rappi_average_order_value],0)</f>
        <v>130252.1</v>
      </c>
      <c r="U95" s="12">
        <f>_xlfn.XLOOKUP(TableDailySummary[[#This Row],[Fecha]],SummaryDaily[day],SummaryDaily[Corporativo no tienda_net_sales],0)</f>
        <v>0</v>
      </c>
      <c r="V95" s="12">
        <f>_xlfn.XLOOKUP(TableDailySummary[[#This Row],[Fecha]],SummaryDaily[day],SummaryDaily[Corporativo no tienda_orders],0)</f>
        <v>0</v>
      </c>
      <c r="W95" s="12">
        <f>_xlfn.XLOOKUP(TableDailySummary[[#This Row],[Fecha]],SummaryDaily[day],SummaryDaily[Corporativo no tienda_average_order_value],0)</f>
        <v>0</v>
      </c>
      <c r="X95" s="12">
        <f>_xlfn.XLOOKUP(TableDailySummary[[#This Row],[Fecha]],SummaryDaily[day],SummaryDaily[GoogleAdsOperation.Cost],0)</f>
        <v>96719.71</v>
      </c>
      <c r="Y95" s="12">
        <f>SUMIFS(SalesByUTMDaily[google],SalesByUTMDaily[day],TableDailySummary[[#This Row],[Fecha]])</f>
        <v>79000</v>
      </c>
      <c r="Z95" s="12">
        <f>_xlfn.XLOOKUP(TableDailySummary[[#This Row],[Fecha]],SummaryDaily[day],SummaryDaily[MetaAdsOperation.spend],0)</f>
        <v>39674</v>
      </c>
      <c r="AA95" s="12">
        <f>SUMIFS(SalesByUTMDaily[facebook],SalesByUTMDaily[day],TableDailySummary[[#This Row],[Fecha]])</f>
        <v>0</v>
      </c>
      <c r="AB95" s="12">
        <f>TableDailySummary[[#This Row],[Inversión google ads]]+TableDailySummary[[#This Row],[Inversión meta ads]]</f>
        <v>136393.71000000002</v>
      </c>
      <c r="AC95" s="12">
        <f>TableDailySummary[[#This Row],[Ventas google ads]]+TableDailySummary[[#This Row],[Ventas meta ads]]</f>
        <v>79000</v>
      </c>
      <c r="AD95" s="14">
        <f>IFERROR(TableDailySummary[[#This Row],[Ventas publicidad]]/TableDailySummary[[#This Row],[Inversión publicidad]],0)</f>
        <v>0.57920559533133886</v>
      </c>
      <c r="AE95" s="14">
        <f>IFERROR(TableDailySummary[[#This Row],[Ventas primer cliente]]/TableDailySummary[[#This Row],[Inversión publicidad]],0)</f>
        <v>35.29389691064199</v>
      </c>
      <c r="AF95" s="14"/>
      <c r="AG95" s="12"/>
      <c r="AM95" s="12">
        <f>_xlfn.XLOOKUP(TableDailySummary[[#This Row],[Fecha]],SummaryDaily[day],SummaryDaily[net_sales_with_cost_recorded],0)</f>
        <v>6577571.4199999999</v>
      </c>
      <c r="AN95" s="12">
        <f>_xlfn.XLOOKUP(TableDailySummary[[#This Row],[Fecha]],SummaryDaily[day],SummaryDaily[cost_of_goods_sold],0)</f>
        <v>2005440</v>
      </c>
      <c r="AO95" s="12">
        <f>_xlfn.XLOOKUP(TableDailySummary[[#This Row],[Fecha]],SummaryDaily[day],SummaryDaily[gross_profit],0)</f>
        <v>4572131.42</v>
      </c>
      <c r="AP95" s="18">
        <f>IFERROR(TableDailySummary[[#This Row],[Utilidad bruta]]/TableDailySummary[[#This Row],[Ventas netas con costo registrado]],0)</f>
        <v>0.69510935390192996</v>
      </c>
    </row>
    <row r="96" spans="2:42" x14ac:dyDescent="0.2">
      <c r="B96" s="15" cm="1">
        <f t="array" ref="B96">MIN(SummaryDaily[day]) + (ROW(TableDailySummary[#This Row]) - ROW(TableDailySummary[[#Headers],[Dia]]) - 1)</f>
        <v>45867</v>
      </c>
      <c r="C96" s="6">
        <f>TableDailySummary[[#This Row],[Dia]]</f>
        <v>45867</v>
      </c>
      <c r="D96" s="12">
        <f>_xlfn.XLOOKUP(TableDailySummary[[#This Row],[Fecha]],SummaryDaily[day],SummaryDaily[net_sales],0)</f>
        <v>1821100.82</v>
      </c>
      <c r="E96" s="12">
        <f>_xlfn.XLOOKUP(TableDailySummary[[#This Row],[Fecha]],SummaryDaily[day],SummaryDaily[orders],0)</f>
        <v>13</v>
      </c>
      <c r="F96" s="12">
        <f>_xlfn.XLOOKUP(TableDailySummary[[#This Row],[Fecha]],SummaryDaily[day],SummaryDaily[average_order_value],0)</f>
        <v>140084.67800000001</v>
      </c>
      <c r="G96" s="24">
        <f>_xlfn.XLOOKUP(TableDailySummary[[#This Row],[Fecha]],SummaryDaily[day],SummaryDaily[Total site_conversion_rate],0)</f>
        <v>6.8259385665529011E-3</v>
      </c>
      <c r="H96" s="12">
        <f>TableDailySummary[[#This Row],[Órden promedio totales]]*TableDailySummary[[#This Row],[CR totales]]</f>
        <v>956.20940614334484</v>
      </c>
      <c r="I96" s="12">
        <f>_xlfn.XLOOKUP(TableDailySummary[[#This Row],[Fecha]],SummaryDaily[day],SummaryDaily[new_net_sales],0)</f>
        <v>1448411.75</v>
      </c>
      <c r="J96" s="12">
        <f>_xlfn.XLOOKUP(TableDailySummary[[#This Row],[Fecha]],SummaryDaily[day],SummaryDaily[new_orders],0)</f>
        <v>9</v>
      </c>
      <c r="K96" s="12">
        <f>_xlfn.XLOOKUP(TableDailySummary[[#This Row],[Fecha]],SummaryDaily[day],SummaryDaily[new_average_order_value],0)</f>
        <v>160934.63800000001</v>
      </c>
      <c r="L96" s="12">
        <f>_xlfn.XLOOKUP(TableDailySummary[[#This Row],[Fecha]],SummaryDaily[day],SummaryDaily[Online Store_net_sales],0)</f>
        <v>625210.07999999996</v>
      </c>
      <c r="M96" s="12">
        <f>_xlfn.XLOOKUP(TableDailySummary[[#This Row],[Fecha]],SummaryDaily[day],SummaryDaily[Online Store_orders],0)</f>
        <v>5</v>
      </c>
      <c r="N96" s="12">
        <f>_xlfn.XLOOKUP(TableDailySummary[[#This Row],[Fecha]],SummaryDaily[day],SummaryDaily[Online Store_average_order_value],0)</f>
        <v>125042.016</v>
      </c>
      <c r="O96" s="12">
        <f>_xlfn.XLOOKUP(TableDailySummary[[#This Row],[Fecha]],SummaryDaily[day],SummaryDaily[Tienda 81_net_sales],0)</f>
        <v>1023621.84</v>
      </c>
      <c r="P96" s="12">
        <f>_xlfn.XLOOKUP(TableDailySummary[[#This Row],[Fecha]],SummaryDaily[day],SummaryDaily[Tienda 81_orders],0)</f>
        <v>6</v>
      </c>
      <c r="Q96" s="12">
        <f>_xlfn.XLOOKUP(TableDailySummary[[#This Row],[Fecha]],SummaryDaily[day],SummaryDaily[Tienda 81_average_order_value],0)</f>
        <v>170603.64</v>
      </c>
      <c r="R96" s="12">
        <f>_xlfn.XLOOKUP(TableDailySummary[[#This Row],[Fecha]],SummaryDaily[day],SummaryDaily[Rappi_net_sales],0)</f>
        <v>92436.97</v>
      </c>
      <c r="S96" s="12">
        <f>_xlfn.XLOOKUP(TableDailySummary[[#This Row],[Fecha]],SummaryDaily[day],SummaryDaily[Rappi_orders],0)</f>
        <v>1</v>
      </c>
      <c r="T96" s="12">
        <f>_xlfn.XLOOKUP(TableDailySummary[[#This Row],[Fecha]],SummaryDaily[day],SummaryDaily[Rappi_average_order_value],0)</f>
        <v>92436.97</v>
      </c>
      <c r="U96" s="12">
        <f>_xlfn.XLOOKUP(TableDailySummary[[#This Row],[Fecha]],SummaryDaily[day],SummaryDaily[Corporativo no tienda_net_sales],0)</f>
        <v>0</v>
      </c>
      <c r="V96" s="12">
        <f>_xlfn.XLOOKUP(TableDailySummary[[#This Row],[Fecha]],SummaryDaily[day],SummaryDaily[Corporativo no tienda_orders],0)</f>
        <v>0</v>
      </c>
      <c r="W96" s="12">
        <f>_xlfn.XLOOKUP(TableDailySummary[[#This Row],[Fecha]],SummaryDaily[day],SummaryDaily[Corporativo no tienda_average_order_value],0)</f>
        <v>0</v>
      </c>
      <c r="X96" s="12">
        <f>_xlfn.XLOOKUP(TableDailySummary[[#This Row],[Fecha]],SummaryDaily[day],SummaryDaily[GoogleAdsOperation.Cost],0)</f>
        <v>96114.47</v>
      </c>
      <c r="Y96" s="12">
        <f>SUMIFS(SalesByUTMDaily[google],SalesByUTMDaily[day],TableDailySummary[[#This Row],[Fecha]])</f>
        <v>0</v>
      </c>
      <c r="Z96" s="12">
        <f>_xlfn.XLOOKUP(TableDailySummary[[#This Row],[Fecha]],SummaryDaily[day],SummaryDaily[MetaAdsOperation.spend],0)</f>
        <v>40745</v>
      </c>
      <c r="AA96" s="12">
        <f>SUMIFS(SalesByUTMDaily[facebook],SalesByUTMDaily[day],TableDailySummary[[#This Row],[Fecha]])</f>
        <v>0</v>
      </c>
      <c r="AB96" s="12">
        <f>TableDailySummary[[#This Row],[Inversión google ads]]+TableDailySummary[[#This Row],[Inversión meta ads]]</f>
        <v>136859.47</v>
      </c>
      <c r="AC96" s="12">
        <f>TableDailySummary[[#This Row],[Ventas google ads]]+TableDailySummary[[#This Row],[Ventas meta ads]]</f>
        <v>0</v>
      </c>
      <c r="AD96" s="14">
        <f>IFERROR(TableDailySummary[[#This Row],[Ventas publicidad]]/TableDailySummary[[#This Row],[Inversión publicidad]],0)</f>
        <v>0</v>
      </c>
      <c r="AE96" s="14">
        <f>IFERROR(TableDailySummary[[#This Row],[Ventas primer cliente]]/TableDailySummary[[#This Row],[Inversión publicidad]],0)</f>
        <v>10.58320443590787</v>
      </c>
      <c r="AF96" s="14"/>
      <c r="AG96" s="12"/>
      <c r="AM96" s="12">
        <f>_xlfn.XLOOKUP(TableDailySummary[[#This Row],[Fecha]],SummaryDaily[day],SummaryDaily[net_sales_with_cost_recorded],0)</f>
        <v>1821100.82</v>
      </c>
      <c r="AN96" s="12">
        <f>_xlfn.XLOOKUP(TableDailySummary[[#This Row],[Fecha]],SummaryDaily[day],SummaryDaily[cost_of_goods_sold],0)</f>
        <v>567626</v>
      </c>
      <c r="AO96" s="12">
        <f>_xlfn.XLOOKUP(TableDailySummary[[#This Row],[Fecha]],SummaryDaily[day],SummaryDaily[gross_profit],0)</f>
        <v>1253474.82</v>
      </c>
      <c r="AP96" s="18">
        <f>IFERROR(TableDailySummary[[#This Row],[Utilidad bruta]]/TableDailySummary[[#This Row],[Ventas netas con costo registrado]],0)</f>
        <v>0.68830610926856872</v>
      </c>
    </row>
    <row r="97" spans="2:42" x14ac:dyDescent="0.2">
      <c r="B97" s="15" cm="1">
        <f t="array" ref="B97">MIN(SummaryDaily[day]) + (ROW(TableDailySummary[#This Row]) - ROW(TableDailySummary[[#Headers],[Dia]]) - 1)</f>
        <v>45868</v>
      </c>
      <c r="C97" s="6">
        <f>TableDailySummary[[#This Row],[Dia]]</f>
        <v>45868</v>
      </c>
      <c r="D97" s="12">
        <f>_xlfn.XLOOKUP(TableDailySummary[[#This Row],[Fecha]],SummaryDaily[day],SummaryDaily[net_sales],0)</f>
        <v>2604210.11</v>
      </c>
      <c r="E97" s="12">
        <f>_xlfn.XLOOKUP(TableDailySummary[[#This Row],[Fecha]],SummaryDaily[day],SummaryDaily[orders],0)</f>
        <v>23</v>
      </c>
      <c r="F97" s="12">
        <f>_xlfn.XLOOKUP(TableDailySummary[[#This Row],[Fecha]],SummaryDaily[day],SummaryDaily[average_order_value],0)</f>
        <v>113226.526</v>
      </c>
      <c r="G97" s="24">
        <f>_xlfn.XLOOKUP(TableDailySummary[[#This Row],[Fecha]],SummaryDaily[day],SummaryDaily[Total site_conversion_rate],0)</f>
        <v>1.282051282051282E-2</v>
      </c>
      <c r="H97" s="12">
        <f>TableDailySummary[[#This Row],[Órden promedio totales]]*TableDailySummary[[#This Row],[CR totales]]</f>
        <v>1451.6221282051281</v>
      </c>
      <c r="I97" s="12">
        <f>_xlfn.XLOOKUP(TableDailySummary[[#This Row],[Fecha]],SummaryDaily[day],SummaryDaily[new_net_sales],0)</f>
        <v>1668781.53</v>
      </c>
      <c r="J97" s="12">
        <f>_xlfn.XLOOKUP(TableDailySummary[[#This Row],[Fecha]],SummaryDaily[day],SummaryDaily[new_orders],0)</f>
        <v>13</v>
      </c>
      <c r="K97" s="12">
        <f>_xlfn.XLOOKUP(TableDailySummary[[#This Row],[Fecha]],SummaryDaily[day],SummaryDaily[new_average_order_value],0)</f>
        <v>128367.81</v>
      </c>
      <c r="L97" s="12">
        <f>_xlfn.XLOOKUP(TableDailySummary[[#This Row],[Fecha]],SummaryDaily[day],SummaryDaily[Online Store_net_sales],0)</f>
        <v>1035327.74</v>
      </c>
      <c r="M97" s="12">
        <f>_xlfn.XLOOKUP(TableDailySummary[[#This Row],[Fecha]],SummaryDaily[day],SummaryDaily[Online Store_orders],0)</f>
        <v>9</v>
      </c>
      <c r="N97" s="12">
        <f>_xlfn.XLOOKUP(TableDailySummary[[#This Row],[Fecha]],SummaryDaily[day],SummaryDaily[Online Store_average_order_value],0)</f>
        <v>115036.41499999999</v>
      </c>
      <c r="O97" s="12">
        <f>_xlfn.XLOOKUP(TableDailySummary[[#This Row],[Fecha]],SummaryDaily[day],SummaryDaily[Tienda 81_net_sales],0)</f>
        <v>1138000.01</v>
      </c>
      <c r="P97" s="12">
        <f>_xlfn.XLOOKUP(TableDailySummary[[#This Row],[Fecha]],SummaryDaily[day],SummaryDaily[Tienda 81_orders],0)</f>
        <v>9</v>
      </c>
      <c r="Q97" s="12">
        <f>_xlfn.XLOOKUP(TableDailySummary[[#This Row],[Fecha]],SummaryDaily[day],SummaryDaily[Tienda 81_average_order_value],0)</f>
        <v>126444.44500000001</v>
      </c>
      <c r="R97" s="12">
        <f>_xlfn.XLOOKUP(TableDailySummary[[#This Row],[Fecha]],SummaryDaily[day],SummaryDaily[Rappi_net_sales],0)</f>
        <v>117647.06</v>
      </c>
      <c r="S97" s="12">
        <f>_xlfn.XLOOKUP(TableDailySummary[[#This Row],[Fecha]],SummaryDaily[day],SummaryDaily[Rappi_orders],0)</f>
        <v>2</v>
      </c>
      <c r="T97" s="12">
        <f>_xlfn.XLOOKUP(TableDailySummary[[#This Row],[Fecha]],SummaryDaily[day],SummaryDaily[Rappi_average_order_value],0)</f>
        <v>58823.53</v>
      </c>
      <c r="U97" s="12">
        <f>_xlfn.XLOOKUP(TableDailySummary[[#This Row],[Fecha]],SummaryDaily[day],SummaryDaily[Corporativo no tienda_net_sales],0)</f>
        <v>0</v>
      </c>
      <c r="V97" s="12">
        <f>_xlfn.XLOOKUP(TableDailySummary[[#This Row],[Fecha]],SummaryDaily[day],SummaryDaily[Corporativo no tienda_orders],0)</f>
        <v>0</v>
      </c>
      <c r="W97" s="12">
        <f>_xlfn.XLOOKUP(TableDailySummary[[#This Row],[Fecha]],SummaryDaily[day],SummaryDaily[Corporativo no tienda_average_order_value],0)</f>
        <v>0</v>
      </c>
      <c r="X97" s="12">
        <f>_xlfn.XLOOKUP(TableDailySummary[[#This Row],[Fecha]],SummaryDaily[day],SummaryDaily[GoogleAdsOperation.Cost],0)</f>
        <v>90074.3</v>
      </c>
      <c r="Y97" s="12">
        <f>SUMIFS(SalesByUTMDaily[google],SalesByUTMDaily[day],TableDailySummary[[#This Row],[Fecha]])</f>
        <v>278500</v>
      </c>
      <c r="Z97" s="12">
        <f>_xlfn.XLOOKUP(TableDailySummary[[#This Row],[Fecha]],SummaryDaily[day],SummaryDaily[MetaAdsOperation.spend],0)</f>
        <v>42733</v>
      </c>
      <c r="AA97" s="12">
        <f>SUMIFS(SalesByUTMDaily[facebook],SalesByUTMDaily[day],TableDailySummary[[#This Row],[Fecha]])</f>
        <v>115000</v>
      </c>
      <c r="AB97" s="12">
        <f>TableDailySummary[[#This Row],[Inversión google ads]]+TableDailySummary[[#This Row],[Inversión meta ads]]</f>
        <v>132807.29999999999</v>
      </c>
      <c r="AC97" s="12">
        <f>TableDailySummary[[#This Row],[Ventas google ads]]+TableDailySummary[[#This Row],[Ventas meta ads]]</f>
        <v>393500</v>
      </c>
      <c r="AD97" s="14">
        <f>IFERROR(TableDailySummary[[#This Row],[Ventas publicidad]]/TableDailySummary[[#This Row],[Inversión publicidad]],0)</f>
        <v>2.9629395372091749</v>
      </c>
      <c r="AE97" s="14">
        <f>IFERROR(TableDailySummary[[#This Row],[Ventas primer cliente]]/TableDailySummary[[#This Row],[Inversión publicidad]],0)</f>
        <v>12.565435258453414</v>
      </c>
      <c r="AF97" s="14"/>
      <c r="AG97" s="12"/>
      <c r="AM97" s="12">
        <f>_xlfn.XLOOKUP(TableDailySummary[[#This Row],[Fecha]],SummaryDaily[day],SummaryDaily[net_sales_with_cost_recorded],0)</f>
        <v>2604210.11</v>
      </c>
      <c r="AN97" s="12">
        <f>_xlfn.XLOOKUP(TableDailySummary[[#This Row],[Fecha]],SummaryDaily[day],SummaryDaily[cost_of_goods_sold],0)</f>
        <v>851254</v>
      </c>
      <c r="AO97" s="12">
        <f>_xlfn.XLOOKUP(TableDailySummary[[#This Row],[Fecha]],SummaryDaily[day],SummaryDaily[gross_profit],0)</f>
        <v>1752956.11</v>
      </c>
      <c r="AP97" s="18">
        <f>IFERROR(TableDailySummary[[#This Row],[Utilidad bruta]]/TableDailySummary[[#This Row],[Ventas netas con costo registrado]],0)</f>
        <v>0.67312391702526653</v>
      </c>
    </row>
    <row r="98" spans="2:42" x14ac:dyDescent="0.2">
      <c r="B98" s="15" cm="1">
        <f t="array" ref="B98">MIN(SummaryDaily[day]) + (ROW(TableDailySummary[#This Row]) - ROW(TableDailySummary[[#Headers],[Dia]]) - 1)</f>
        <v>45869</v>
      </c>
      <c r="C98" s="6">
        <f>TableDailySummary[[#This Row],[Dia]]</f>
        <v>45869</v>
      </c>
      <c r="D98" s="12">
        <f>_xlfn.XLOOKUP(TableDailySummary[[#This Row],[Fecha]],SummaryDaily[day],SummaryDaily[net_sales],0)</f>
        <v>4703572.28</v>
      </c>
      <c r="E98" s="12">
        <f>_xlfn.XLOOKUP(TableDailySummary[[#This Row],[Fecha]],SummaryDaily[day],SummaryDaily[orders],0)</f>
        <v>24</v>
      </c>
      <c r="F98" s="12">
        <f>_xlfn.XLOOKUP(TableDailySummary[[#This Row],[Fecha]],SummaryDaily[day],SummaryDaily[average_order_value],0)</f>
        <v>194170.20199999999</v>
      </c>
      <c r="G98" s="24">
        <f>_xlfn.XLOOKUP(TableDailySummary[[#This Row],[Fecha]],SummaryDaily[day],SummaryDaily[Total site_conversion_rate],0)</f>
        <v>0</v>
      </c>
      <c r="H98" s="12">
        <f>TableDailySummary[[#This Row],[Órden promedio totales]]*TableDailySummary[[#This Row],[CR totales]]</f>
        <v>0</v>
      </c>
      <c r="I98" s="12">
        <f>_xlfn.XLOOKUP(TableDailySummary[[#This Row],[Fecha]],SummaryDaily[day],SummaryDaily[new_net_sales],0)</f>
        <v>2554411.77</v>
      </c>
      <c r="J98" s="12">
        <f>_xlfn.XLOOKUP(TableDailySummary[[#This Row],[Fecha]],SummaryDaily[day],SummaryDaily[new_orders],0)</f>
        <v>14</v>
      </c>
      <c r="K98" s="12">
        <f>_xlfn.XLOOKUP(TableDailySummary[[#This Row],[Fecha]],SummaryDaily[day],SummaryDaily[new_average_order_value],0)</f>
        <v>184753.90100000001</v>
      </c>
      <c r="L98" s="12">
        <f>_xlfn.XLOOKUP(TableDailySummary[[#This Row],[Fecha]],SummaryDaily[day],SummaryDaily[Online Store_net_sales],0)</f>
        <v>75631.09</v>
      </c>
      <c r="M98" s="12">
        <f>_xlfn.XLOOKUP(TableDailySummary[[#This Row],[Fecha]],SummaryDaily[day],SummaryDaily[Online Store_orders],0)</f>
        <v>2</v>
      </c>
      <c r="N98" s="12">
        <f>_xlfn.XLOOKUP(TableDailySummary[[#This Row],[Fecha]],SummaryDaily[day],SummaryDaily[Online Store_average_order_value],0)</f>
        <v>37815.544999999998</v>
      </c>
      <c r="O98" s="12">
        <f>_xlfn.XLOOKUP(TableDailySummary[[#This Row],[Fecha]],SummaryDaily[day],SummaryDaily[Tienda 81_net_sales],0)</f>
        <v>4627941.1900000004</v>
      </c>
      <c r="P98" s="12">
        <f>_xlfn.XLOOKUP(TableDailySummary[[#This Row],[Fecha]],SummaryDaily[day],SummaryDaily[Tienda 81_orders],0)</f>
        <v>22</v>
      </c>
      <c r="Q98" s="12">
        <f>_xlfn.XLOOKUP(TableDailySummary[[#This Row],[Fecha]],SummaryDaily[day],SummaryDaily[Tienda 81_average_order_value],0)</f>
        <v>208384.26199999999</v>
      </c>
      <c r="R98" s="12">
        <f>_xlfn.XLOOKUP(TableDailySummary[[#This Row],[Fecha]],SummaryDaily[day],SummaryDaily[Rappi_net_sales],0)</f>
        <v>0</v>
      </c>
      <c r="S98" s="12">
        <f>_xlfn.XLOOKUP(TableDailySummary[[#This Row],[Fecha]],SummaryDaily[day],SummaryDaily[Rappi_orders],0)</f>
        <v>0</v>
      </c>
      <c r="T98" s="12">
        <f>_xlfn.XLOOKUP(TableDailySummary[[#This Row],[Fecha]],SummaryDaily[day],SummaryDaily[Rappi_average_order_value],0)</f>
        <v>0</v>
      </c>
      <c r="U98" s="12">
        <f>_xlfn.XLOOKUP(TableDailySummary[[#This Row],[Fecha]],SummaryDaily[day],SummaryDaily[Corporativo no tienda_net_sales],0)</f>
        <v>0</v>
      </c>
      <c r="V98" s="12">
        <f>_xlfn.XLOOKUP(TableDailySummary[[#This Row],[Fecha]],SummaryDaily[day],SummaryDaily[Corporativo no tienda_orders],0)</f>
        <v>0</v>
      </c>
      <c r="W98" s="12">
        <f>_xlfn.XLOOKUP(TableDailySummary[[#This Row],[Fecha]],SummaryDaily[day],SummaryDaily[Corporativo no tienda_average_order_value],0)</f>
        <v>0</v>
      </c>
      <c r="X98" s="12">
        <f>_xlfn.XLOOKUP(TableDailySummary[[#This Row],[Fecha]],SummaryDaily[day],SummaryDaily[GoogleAdsOperation.Cost],0)</f>
        <v>91665.11</v>
      </c>
      <c r="Y98" s="12">
        <f>SUMIFS(SalesByUTMDaily[google],SalesByUTMDaily[day],TableDailySummary[[#This Row],[Fecha]])</f>
        <v>0</v>
      </c>
      <c r="Z98" s="12">
        <f>_xlfn.XLOOKUP(TableDailySummary[[#This Row],[Fecha]],SummaryDaily[day],SummaryDaily[MetaAdsOperation.spend],0)</f>
        <v>38720</v>
      </c>
      <c r="AA98" s="12">
        <f>SUMIFS(SalesByUTMDaily[facebook],SalesByUTMDaily[day],TableDailySummary[[#This Row],[Fecha]])</f>
        <v>0</v>
      </c>
      <c r="AB98" s="12">
        <f>TableDailySummary[[#This Row],[Inversión google ads]]+TableDailySummary[[#This Row],[Inversión meta ads]]</f>
        <v>130385.11</v>
      </c>
      <c r="AC98" s="12">
        <f>TableDailySummary[[#This Row],[Ventas google ads]]+TableDailySummary[[#This Row],[Ventas meta ads]]</f>
        <v>0</v>
      </c>
      <c r="AD98" s="14">
        <f>IFERROR(TableDailySummary[[#This Row],[Ventas publicidad]]/TableDailySummary[[#This Row],[Inversión publicidad]],0)</f>
        <v>0</v>
      </c>
      <c r="AE98" s="14">
        <f>IFERROR(TableDailySummary[[#This Row],[Ventas primer cliente]]/TableDailySummary[[#This Row],[Inversión publicidad]],0)</f>
        <v>19.591284388225006</v>
      </c>
      <c r="AF98" s="14"/>
      <c r="AG98" s="12"/>
      <c r="AM98" s="12">
        <f>_xlfn.XLOOKUP(TableDailySummary[[#This Row],[Fecha]],SummaryDaily[day],SummaryDaily[net_sales_with_cost_recorded],0)</f>
        <v>4648572.28</v>
      </c>
      <c r="AN98" s="12">
        <f>_xlfn.XLOOKUP(TableDailySummary[[#This Row],[Fecha]],SummaryDaily[day],SummaryDaily[cost_of_goods_sold],0)</f>
        <v>1325451.56</v>
      </c>
      <c r="AO98" s="12">
        <f>_xlfn.XLOOKUP(TableDailySummary[[#This Row],[Fecha]],SummaryDaily[day],SummaryDaily[gross_profit],0)</f>
        <v>3323120.72</v>
      </c>
      <c r="AP98" s="18">
        <f>IFERROR(TableDailySummary[[#This Row],[Utilidad bruta]]/TableDailySummary[[#This Row],[Ventas netas con costo registrado]],0)</f>
        <v>0.71486910815550442</v>
      </c>
    </row>
    <row r="99" spans="2:42" x14ac:dyDescent="0.2">
      <c r="B99" s="15" cm="1">
        <f t="array" ref="B99">MIN(SummaryDaily[day]) + (ROW(TableDailySummary[#This Row]) - ROW(TableDailySummary[[#Headers],[Dia]]) - 1)</f>
        <v>45870</v>
      </c>
      <c r="C99" s="6">
        <f>TableDailySummary[[#This Row],[Dia]]</f>
        <v>45870</v>
      </c>
      <c r="D99" s="12">
        <f>_xlfn.XLOOKUP(TableDailySummary[[#This Row],[Fecha]],SummaryDaily[day],SummaryDaily[net_sales],0)</f>
        <v>1512005.07</v>
      </c>
      <c r="E99" s="12">
        <f>_xlfn.XLOOKUP(TableDailySummary[[#This Row],[Fecha]],SummaryDaily[day],SummaryDaily[orders],0)</f>
        <v>16</v>
      </c>
      <c r="F99" s="12">
        <f>_xlfn.XLOOKUP(TableDailySummary[[#This Row],[Fecha]],SummaryDaily[day],SummaryDaily[average_order_value],0)</f>
        <v>94486.346000000005</v>
      </c>
      <c r="G99" s="24">
        <f>_xlfn.XLOOKUP(TableDailySummary[[#This Row],[Fecha]],SummaryDaily[day],SummaryDaily[Total site_conversion_rate],0)</f>
        <v>5.3571428571428572E-3</v>
      </c>
      <c r="H99" s="12">
        <f>TableDailySummary[[#This Row],[Órden promedio totales]]*TableDailySummary[[#This Row],[CR totales]]</f>
        <v>506.17685357142858</v>
      </c>
      <c r="I99" s="12">
        <f>_xlfn.XLOOKUP(TableDailySummary[[#This Row],[Fecha]],SummaryDaily[day],SummaryDaily[new_net_sales],0)</f>
        <v>1210924.3899999999</v>
      </c>
      <c r="J99" s="12">
        <f>_xlfn.XLOOKUP(TableDailySummary[[#This Row],[Fecha]],SummaryDaily[day],SummaryDaily[new_orders],0)</f>
        <v>10</v>
      </c>
      <c r="K99" s="12">
        <f>_xlfn.XLOOKUP(TableDailySummary[[#This Row],[Fecha]],SummaryDaily[day],SummaryDaily[new_average_order_value],0)</f>
        <v>121092.439</v>
      </c>
      <c r="L99" s="12">
        <f>_xlfn.XLOOKUP(TableDailySummary[[#This Row],[Fecha]],SummaryDaily[day],SummaryDaily[Online Store_net_sales],0)</f>
        <v>808122.7</v>
      </c>
      <c r="M99" s="12">
        <f>_xlfn.XLOOKUP(TableDailySummary[[#This Row],[Fecha]],SummaryDaily[day],SummaryDaily[Online Store_orders],0)</f>
        <v>6</v>
      </c>
      <c r="N99" s="12">
        <f>_xlfn.XLOOKUP(TableDailySummary[[#This Row],[Fecha]],SummaryDaily[day],SummaryDaily[Online Store_average_order_value],0)</f>
        <v>134649.861</v>
      </c>
      <c r="O99" s="12">
        <f>_xlfn.XLOOKUP(TableDailySummary[[#This Row],[Fecha]],SummaryDaily[day],SummaryDaily[Tienda 81_net_sales],0)</f>
        <v>544218.5</v>
      </c>
      <c r="P99" s="12">
        <f>_xlfn.XLOOKUP(TableDailySummary[[#This Row],[Fecha]],SummaryDaily[day],SummaryDaily[Tienda 81_orders],0)</f>
        <v>8</v>
      </c>
      <c r="Q99" s="12">
        <f>_xlfn.XLOOKUP(TableDailySummary[[#This Row],[Fecha]],SummaryDaily[day],SummaryDaily[Tienda 81_average_order_value],0)</f>
        <v>68027.312000000005</v>
      </c>
      <c r="R99" s="12">
        <f>_xlfn.XLOOKUP(TableDailySummary[[#This Row],[Fecha]],SummaryDaily[day],SummaryDaily[Rappi_net_sales],0)</f>
        <v>46218.49</v>
      </c>
      <c r="S99" s="12">
        <f>_xlfn.XLOOKUP(TableDailySummary[[#This Row],[Fecha]],SummaryDaily[day],SummaryDaily[Rappi_orders],0)</f>
        <v>1</v>
      </c>
      <c r="T99" s="12">
        <f>_xlfn.XLOOKUP(TableDailySummary[[#This Row],[Fecha]],SummaryDaily[day],SummaryDaily[Rappi_average_order_value],0)</f>
        <v>46218.49</v>
      </c>
      <c r="U99" s="12">
        <f>_xlfn.XLOOKUP(TableDailySummary[[#This Row],[Fecha]],SummaryDaily[day],SummaryDaily[Corporativo no tienda_net_sales],0)</f>
        <v>0</v>
      </c>
      <c r="V99" s="12">
        <f>_xlfn.XLOOKUP(TableDailySummary[[#This Row],[Fecha]],SummaryDaily[day],SummaryDaily[Corporativo no tienda_orders],0)</f>
        <v>0</v>
      </c>
      <c r="W99" s="12">
        <f>_xlfn.XLOOKUP(TableDailySummary[[#This Row],[Fecha]],SummaryDaily[day],SummaryDaily[Corporativo no tienda_average_order_value],0)</f>
        <v>0</v>
      </c>
      <c r="X99" s="12">
        <f>_xlfn.XLOOKUP(TableDailySummary[[#This Row],[Fecha]],SummaryDaily[day],SummaryDaily[GoogleAdsOperation.Cost],0)</f>
        <v>93951.14</v>
      </c>
      <c r="Y99" s="12">
        <f>SUMIFS(SalesByUTMDaily[google],SalesByUTMDaily[day],TableDailySummary[[#This Row],[Fecha]])</f>
        <v>0</v>
      </c>
      <c r="Z99" s="12">
        <f>_xlfn.XLOOKUP(TableDailySummary[[#This Row],[Fecha]],SummaryDaily[day],SummaryDaily[MetaAdsOperation.spend],0)</f>
        <v>37066</v>
      </c>
      <c r="AA99" s="12">
        <f>SUMIFS(SalesByUTMDaily[facebook],SalesByUTMDaily[day],TableDailySummary[[#This Row],[Fecha]])</f>
        <v>0</v>
      </c>
      <c r="AB99" s="12">
        <f>TableDailySummary[[#This Row],[Inversión google ads]]+TableDailySummary[[#This Row],[Inversión meta ads]]</f>
        <v>131017.14</v>
      </c>
      <c r="AC99" s="12">
        <f>TableDailySummary[[#This Row],[Ventas google ads]]+TableDailySummary[[#This Row],[Ventas meta ads]]</f>
        <v>0</v>
      </c>
      <c r="AD99" s="14">
        <f>IFERROR(TableDailySummary[[#This Row],[Ventas publicidad]]/TableDailySummary[[#This Row],[Inversión publicidad]],0)</f>
        <v>0</v>
      </c>
      <c r="AE99" s="14">
        <f>IFERROR(TableDailySummary[[#This Row],[Ventas primer cliente]]/TableDailySummary[[#This Row],[Inversión publicidad]],0)</f>
        <v>9.2424883492343053</v>
      </c>
      <c r="AF99" s="14"/>
      <c r="AG99" s="12"/>
      <c r="AM99" s="12">
        <f>_xlfn.XLOOKUP(TableDailySummary[[#This Row],[Fecha]],SummaryDaily[day],SummaryDaily[net_sales_with_cost_recorded],0)</f>
        <v>1510605.07</v>
      </c>
      <c r="AN99" s="12">
        <f>_xlfn.XLOOKUP(TableDailySummary[[#This Row],[Fecha]],SummaryDaily[day],SummaryDaily[cost_of_goods_sold],0)</f>
        <v>540015</v>
      </c>
      <c r="AO99" s="12">
        <f>_xlfn.XLOOKUP(TableDailySummary[[#This Row],[Fecha]],SummaryDaily[day],SummaryDaily[gross_profit],0)</f>
        <v>970590.07</v>
      </c>
      <c r="AP99" s="18">
        <f>IFERROR(TableDailySummary[[#This Row],[Utilidad bruta]]/TableDailySummary[[#This Row],[Ventas netas con costo registrado]],0)</f>
        <v>0.64251741853348865</v>
      </c>
    </row>
    <row r="100" spans="2:42" x14ac:dyDescent="0.2">
      <c r="B100" s="15" cm="1">
        <f t="array" ref="B100">MIN(SummaryDaily[day]) + (ROW(TableDailySummary[#This Row]) - ROW(TableDailySummary[[#Headers],[Dia]]) - 1)</f>
        <v>45871</v>
      </c>
      <c r="C100" s="6">
        <f>TableDailySummary[[#This Row],[Dia]]</f>
        <v>45871</v>
      </c>
      <c r="D100" s="12">
        <f>_xlfn.XLOOKUP(TableDailySummary[[#This Row],[Fecha]],SummaryDaily[day],SummaryDaily[net_sales],0)</f>
        <v>2558823.5699999998</v>
      </c>
      <c r="E100" s="12">
        <f>_xlfn.XLOOKUP(TableDailySummary[[#This Row],[Fecha]],SummaryDaily[day],SummaryDaily[orders],0)</f>
        <v>24</v>
      </c>
      <c r="F100" s="12">
        <f>_xlfn.XLOOKUP(TableDailySummary[[#This Row],[Fecha]],SummaryDaily[day],SummaryDaily[average_order_value],0)</f>
        <v>108543.41899999999</v>
      </c>
      <c r="G100" s="24">
        <f>_xlfn.XLOOKUP(TableDailySummary[[#This Row],[Fecha]],SummaryDaily[day],SummaryDaily[Total site_conversion_rate],0)</f>
        <v>9.6774193548387101E-3</v>
      </c>
      <c r="H100" s="12">
        <f>TableDailySummary[[#This Row],[Órden promedio totales]]*TableDailySummary[[#This Row],[CR totales]]</f>
        <v>1050.4201838709678</v>
      </c>
      <c r="I100" s="12">
        <f>_xlfn.XLOOKUP(TableDailySummary[[#This Row],[Fecha]],SummaryDaily[day],SummaryDaily[new_net_sales],0)</f>
        <v>1678151.29</v>
      </c>
      <c r="J100" s="12">
        <f>_xlfn.XLOOKUP(TableDailySummary[[#This Row],[Fecha]],SummaryDaily[day],SummaryDaily[new_orders],0)</f>
        <v>17</v>
      </c>
      <c r="K100" s="12">
        <f>_xlfn.XLOOKUP(TableDailySummary[[#This Row],[Fecha]],SummaryDaily[day],SummaryDaily[new_average_order_value],0)</f>
        <v>101433.516</v>
      </c>
      <c r="L100" s="12">
        <f>_xlfn.XLOOKUP(TableDailySummary[[#This Row],[Fecha]],SummaryDaily[day],SummaryDaily[Online Store_net_sales],0)</f>
        <v>862184.88</v>
      </c>
      <c r="M100" s="12">
        <f>_xlfn.XLOOKUP(TableDailySummary[[#This Row],[Fecha]],SummaryDaily[day],SummaryDaily[Online Store_orders],0)</f>
        <v>7</v>
      </c>
      <c r="N100" s="12">
        <f>_xlfn.XLOOKUP(TableDailySummary[[#This Row],[Fecha]],SummaryDaily[day],SummaryDaily[Online Store_average_order_value],0)</f>
        <v>123169.268</v>
      </c>
      <c r="O100" s="12">
        <f>_xlfn.XLOOKUP(TableDailySummary[[#This Row],[Fecha]],SummaryDaily[day],SummaryDaily[Tienda 81_net_sales],0)</f>
        <v>1596638.69</v>
      </c>
      <c r="P100" s="12">
        <f>_xlfn.XLOOKUP(TableDailySummary[[#This Row],[Fecha]],SummaryDaily[day],SummaryDaily[Tienda 81_orders],0)</f>
        <v>16</v>
      </c>
      <c r="Q100" s="12">
        <f>_xlfn.XLOOKUP(TableDailySummary[[#This Row],[Fecha]],SummaryDaily[day],SummaryDaily[Tienda 81_average_order_value],0)</f>
        <v>102678.573</v>
      </c>
      <c r="R100" s="12">
        <f>_xlfn.XLOOKUP(TableDailySummary[[#This Row],[Fecha]],SummaryDaily[day],SummaryDaily[Rappi_net_sales],0)</f>
        <v>0</v>
      </c>
      <c r="S100" s="12">
        <f>_xlfn.XLOOKUP(TableDailySummary[[#This Row],[Fecha]],SummaryDaily[day],SummaryDaily[Rappi_orders],0)</f>
        <v>0</v>
      </c>
      <c r="T100" s="12">
        <f>_xlfn.XLOOKUP(TableDailySummary[[#This Row],[Fecha]],SummaryDaily[day],SummaryDaily[Rappi_average_order_value],0)</f>
        <v>0</v>
      </c>
      <c r="U100" s="12">
        <f>_xlfn.XLOOKUP(TableDailySummary[[#This Row],[Fecha]],SummaryDaily[day],SummaryDaily[Corporativo no tienda_net_sales],0)</f>
        <v>0</v>
      </c>
      <c r="V100" s="12">
        <f>_xlfn.XLOOKUP(TableDailySummary[[#This Row],[Fecha]],SummaryDaily[day],SummaryDaily[Corporativo no tienda_orders],0)</f>
        <v>0</v>
      </c>
      <c r="W100" s="12">
        <f>_xlfn.XLOOKUP(TableDailySummary[[#This Row],[Fecha]],SummaryDaily[day],SummaryDaily[Corporativo no tienda_average_order_value],0)</f>
        <v>0</v>
      </c>
      <c r="X100" s="12">
        <f>_xlfn.XLOOKUP(TableDailySummary[[#This Row],[Fecha]],SummaryDaily[day],SummaryDaily[GoogleAdsOperation.Cost],0)</f>
        <v>89892.14</v>
      </c>
      <c r="Y100" s="12">
        <f>SUMIFS(SalesByUTMDaily[google],SalesByUTMDaily[day],TableDailySummary[[#This Row],[Fecha]])</f>
        <v>0</v>
      </c>
      <c r="Z100" s="12">
        <f>_xlfn.XLOOKUP(TableDailySummary[[#This Row],[Fecha]],SummaryDaily[day],SummaryDaily[MetaAdsOperation.spend],0)</f>
        <v>40629</v>
      </c>
      <c r="AA100" s="12">
        <f>SUMIFS(SalesByUTMDaily[facebook],SalesByUTMDaily[day],TableDailySummary[[#This Row],[Fecha]])</f>
        <v>0</v>
      </c>
      <c r="AB100" s="12">
        <f>TableDailySummary[[#This Row],[Inversión google ads]]+TableDailySummary[[#This Row],[Inversión meta ads]]</f>
        <v>130521.14</v>
      </c>
      <c r="AC100" s="12">
        <f>TableDailySummary[[#This Row],[Ventas google ads]]+TableDailySummary[[#This Row],[Ventas meta ads]]</f>
        <v>0</v>
      </c>
      <c r="AD100" s="14">
        <f>IFERROR(TableDailySummary[[#This Row],[Ventas publicidad]]/TableDailySummary[[#This Row],[Inversión publicidad]],0)</f>
        <v>0</v>
      </c>
      <c r="AE100" s="14">
        <f>IFERROR(TableDailySummary[[#This Row],[Ventas primer cliente]]/TableDailySummary[[#This Row],[Inversión publicidad]],0)</f>
        <v>12.857314071881383</v>
      </c>
      <c r="AF100" s="14"/>
      <c r="AG100" s="12"/>
      <c r="AM100" s="12">
        <f>_xlfn.XLOOKUP(TableDailySummary[[#This Row],[Fecha]],SummaryDaily[day],SummaryDaily[net_sales_with_cost_recorded],0)</f>
        <v>2558823.5699999998</v>
      </c>
      <c r="AN100" s="12">
        <f>_xlfn.XLOOKUP(TableDailySummary[[#This Row],[Fecha]],SummaryDaily[day],SummaryDaily[cost_of_goods_sold],0)</f>
        <v>711704</v>
      </c>
      <c r="AO100" s="12">
        <f>_xlfn.XLOOKUP(TableDailySummary[[#This Row],[Fecha]],SummaryDaily[day],SummaryDaily[gross_profit],0)</f>
        <v>1847119.57</v>
      </c>
      <c r="AP100" s="18">
        <f>IFERROR(TableDailySummary[[#This Row],[Utilidad bruta]]/TableDailySummary[[#This Row],[Ventas netas con costo registrado]],0)</f>
        <v>0.72186280900953248</v>
      </c>
    </row>
    <row r="101" spans="2:42" x14ac:dyDescent="0.2">
      <c r="B101" s="15" cm="1">
        <f t="array" ref="B101">MIN(SummaryDaily[day]) + (ROW(TableDailySummary[#This Row]) - ROW(TableDailySummary[[#Headers],[Dia]]) - 1)</f>
        <v>45872</v>
      </c>
      <c r="C101" s="6">
        <f>TableDailySummary[[#This Row],[Dia]]</f>
        <v>45872</v>
      </c>
      <c r="D101" s="12">
        <f>_xlfn.XLOOKUP(TableDailySummary[[#This Row],[Fecha]],SummaryDaily[day],SummaryDaily[net_sales],0)</f>
        <v>814932.78</v>
      </c>
      <c r="E101" s="12">
        <f>_xlfn.XLOOKUP(TableDailySummary[[#This Row],[Fecha]],SummaryDaily[day],SummaryDaily[orders],0)</f>
        <v>7</v>
      </c>
      <c r="F101" s="12">
        <f>_xlfn.XLOOKUP(TableDailySummary[[#This Row],[Fecha]],SummaryDaily[day],SummaryDaily[average_order_value],0)</f>
        <v>116418.96799999999</v>
      </c>
      <c r="G101" s="24">
        <f>_xlfn.XLOOKUP(TableDailySummary[[#This Row],[Fecha]],SummaryDaily[day],SummaryDaily[Total site_conversion_rate],0)</f>
        <v>1.8315018315018315E-3</v>
      </c>
      <c r="H101" s="12">
        <f>TableDailySummary[[#This Row],[Órden promedio totales]]*TableDailySummary[[#This Row],[CR totales]]</f>
        <v>213.22155311355311</v>
      </c>
      <c r="I101" s="12">
        <f>_xlfn.XLOOKUP(TableDailySummary[[#This Row],[Fecha]],SummaryDaily[day],SummaryDaily[new_net_sales],0)</f>
        <v>583840.34</v>
      </c>
      <c r="J101" s="12">
        <f>_xlfn.XLOOKUP(TableDailySummary[[#This Row],[Fecha]],SummaryDaily[day],SummaryDaily[new_orders],0)</f>
        <v>5</v>
      </c>
      <c r="K101" s="12">
        <f>_xlfn.XLOOKUP(TableDailySummary[[#This Row],[Fecha]],SummaryDaily[day],SummaryDaily[new_average_order_value],0)</f>
        <v>116768.068</v>
      </c>
      <c r="L101" s="12">
        <f>_xlfn.XLOOKUP(TableDailySummary[[#This Row],[Fecha]],SummaryDaily[day],SummaryDaily[Online Store_net_sales],0)</f>
        <v>79831.929999999993</v>
      </c>
      <c r="M101" s="12">
        <f>_xlfn.XLOOKUP(TableDailySummary[[#This Row],[Fecha]],SummaryDaily[day],SummaryDaily[Online Store_orders],0)</f>
        <v>1</v>
      </c>
      <c r="N101" s="12">
        <f>_xlfn.XLOOKUP(TableDailySummary[[#This Row],[Fecha]],SummaryDaily[day],SummaryDaily[Online Store_average_order_value],0)</f>
        <v>79831.929999999993</v>
      </c>
      <c r="O101" s="12">
        <f>_xlfn.XLOOKUP(TableDailySummary[[#This Row],[Fecha]],SummaryDaily[day],SummaryDaily[Tienda 81_net_sales],0)</f>
        <v>735100.85</v>
      </c>
      <c r="P101" s="12">
        <f>_xlfn.XLOOKUP(TableDailySummary[[#This Row],[Fecha]],SummaryDaily[day],SummaryDaily[Tienda 81_orders],0)</f>
        <v>6</v>
      </c>
      <c r="Q101" s="12">
        <f>_xlfn.XLOOKUP(TableDailySummary[[#This Row],[Fecha]],SummaryDaily[day],SummaryDaily[Tienda 81_average_order_value],0)</f>
        <v>122516.808</v>
      </c>
      <c r="R101" s="12">
        <f>_xlfn.XLOOKUP(TableDailySummary[[#This Row],[Fecha]],SummaryDaily[day],SummaryDaily[Rappi_net_sales],0)</f>
        <v>0</v>
      </c>
      <c r="S101" s="12">
        <f>_xlfn.XLOOKUP(TableDailySummary[[#This Row],[Fecha]],SummaryDaily[day],SummaryDaily[Rappi_orders],0)</f>
        <v>0</v>
      </c>
      <c r="T101" s="12">
        <f>_xlfn.XLOOKUP(TableDailySummary[[#This Row],[Fecha]],SummaryDaily[day],SummaryDaily[Rappi_average_order_value],0)</f>
        <v>0</v>
      </c>
      <c r="U101" s="12">
        <f>_xlfn.XLOOKUP(TableDailySummary[[#This Row],[Fecha]],SummaryDaily[day],SummaryDaily[Corporativo no tienda_net_sales],0)</f>
        <v>0</v>
      </c>
      <c r="V101" s="12">
        <f>_xlfn.XLOOKUP(TableDailySummary[[#This Row],[Fecha]],SummaryDaily[day],SummaryDaily[Corporativo no tienda_orders],0)</f>
        <v>0</v>
      </c>
      <c r="W101" s="12">
        <f>_xlfn.XLOOKUP(TableDailySummary[[#This Row],[Fecha]],SummaryDaily[day],SummaryDaily[Corporativo no tienda_average_order_value],0)</f>
        <v>0</v>
      </c>
      <c r="X101" s="12">
        <f>_xlfn.XLOOKUP(TableDailySummary[[#This Row],[Fecha]],SummaryDaily[day],SummaryDaily[GoogleAdsOperation.Cost],0)</f>
        <v>91578.559999999998</v>
      </c>
      <c r="Y101" s="12">
        <f>SUMIFS(SalesByUTMDaily[google],SalesByUTMDaily[day],TableDailySummary[[#This Row],[Fecha]])</f>
        <v>0</v>
      </c>
      <c r="Z101" s="12">
        <f>_xlfn.XLOOKUP(TableDailySummary[[#This Row],[Fecha]],SummaryDaily[day],SummaryDaily[MetaAdsOperation.spend],0)</f>
        <v>41136</v>
      </c>
      <c r="AA101" s="12">
        <f>SUMIFS(SalesByUTMDaily[facebook],SalesByUTMDaily[day],TableDailySummary[[#This Row],[Fecha]])</f>
        <v>0</v>
      </c>
      <c r="AB101" s="12">
        <f>TableDailySummary[[#This Row],[Inversión google ads]]+TableDailySummary[[#This Row],[Inversión meta ads]]</f>
        <v>132714.56</v>
      </c>
      <c r="AC101" s="12">
        <f>TableDailySummary[[#This Row],[Ventas google ads]]+TableDailySummary[[#This Row],[Ventas meta ads]]</f>
        <v>0</v>
      </c>
      <c r="AD101" s="14">
        <f>IFERROR(TableDailySummary[[#This Row],[Ventas publicidad]]/TableDailySummary[[#This Row],[Inversión publicidad]],0)</f>
        <v>0</v>
      </c>
      <c r="AE101" s="14">
        <f>IFERROR(TableDailySummary[[#This Row],[Ventas primer cliente]]/TableDailySummary[[#This Row],[Inversión publicidad]],0)</f>
        <v>4.3992184429500423</v>
      </c>
      <c r="AF101" s="14"/>
      <c r="AG101" s="12"/>
      <c r="AM101" s="12">
        <f>_xlfn.XLOOKUP(TableDailySummary[[#This Row],[Fecha]],SummaryDaily[day],SummaryDaily[net_sales_with_cost_recorded],0)</f>
        <v>814932.78</v>
      </c>
      <c r="AN101" s="12">
        <f>_xlfn.XLOOKUP(TableDailySummary[[#This Row],[Fecha]],SummaryDaily[day],SummaryDaily[cost_of_goods_sold],0)</f>
        <v>315274</v>
      </c>
      <c r="AO101" s="12">
        <f>_xlfn.XLOOKUP(TableDailySummary[[#This Row],[Fecha]],SummaryDaily[day],SummaryDaily[gross_profit],0)</f>
        <v>499658.78</v>
      </c>
      <c r="AP101" s="18">
        <f>IFERROR(TableDailySummary[[#This Row],[Utilidad bruta]]/TableDailySummary[[#This Row],[Ventas netas con costo registrado]],0)</f>
        <v>0.61312882763164833</v>
      </c>
    </row>
    <row r="102" spans="2:42" x14ac:dyDescent="0.2">
      <c r="B102" s="15" cm="1">
        <f t="array" ref="B102">MIN(SummaryDaily[day]) + (ROW(TableDailySummary[#This Row]) - ROW(TableDailySummary[[#Headers],[Dia]]) - 1)</f>
        <v>45873</v>
      </c>
      <c r="C102" s="6">
        <f>TableDailySummary[[#This Row],[Dia]]</f>
        <v>45873</v>
      </c>
      <c r="D102" s="12">
        <f>_xlfn.XLOOKUP(TableDailySummary[[#This Row],[Fecha]],SummaryDaily[day],SummaryDaily[net_sales],0)</f>
        <v>1474789.91</v>
      </c>
      <c r="E102" s="12">
        <f>_xlfn.XLOOKUP(TableDailySummary[[#This Row],[Fecha]],SummaryDaily[day],SummaryDaily[orders],0)</f>
        <v>11</v>
      </c>
      <c r="F102" s="12">
        <f>_xlfn.XLOOKUP(TableDailySummary[[#This Row],[Fecha]],SummaryDaily[day],SummaryDaily[average_order_value],0)</f>
        <v>133766.23300000001</v>
      </c>
      <c r="G102" s="24">
        <f>_xlfn.XLOOKUP(TableDailySummary[[#This Row],[Fecha]],SummaryDaily[day],SummaryDaily[Total site_conversion_rate],0)</f>
        <v>8.7412587412587419E-3</v>
      </c>
      <c r="H102" s="12">
        <f>TableDailySummary[[#This Row],[Órden promedio totales]]*TableDailySummary[[#This Row],[CR totales]]</f>
        <v>1169.2852534965036</v>
      </c>
      <c r="I102" s="12">
        <f>_xlfn.XLOOKUP(TableDailySummary[[#This Row],[Fecha]],SummaryDaily[day],SummaryDaily[new_net_sales],0)</f>
        <v>773109.24</v>
      </c>
      <c r="J102" s="12">
        <f>_xlfn.XLOOKUP(TableDailySummary[[#This Row],[Fecha]],SummaryDaily[day],SummaryDaily[new_orders],0)</f>
        <v>5</v>
      </c>
      <c r="K102" s="12">
        <f>_xlfn.XLOOKUP(TableDailySummary[[#This Row],[Fecha]],SummaryDaily[day],SummaryDaily[new_average_order_value],0)</f>
        <v>153949.57999999999</v>
      </c>
      <c r="L102" s="12">
        <f>_xlfn.XLOOKUP(TableDailySummary[[#This Row],[Fecha]],SummaryDaily[day],SummaryDaily[Online Store_net_sales],0)</f>
        <v>962184.87</v>
      </c>
      <c r="M102" s="12">
        <f>_xlfn.XLOOKUP(TableDailySummary[[#This Row],[Fecha]],SummaryDaily[day],SummaryDaily[Online Store_orders],0)</f>
        <v>5</v>
      </c>
      <c r="N102" s="12">
        <f>_xlfn.XLOOKUP(TableDailySummary[[#This Row],[Fecha]],SummaryDaily[day],SummaryDaily[Online Store_average_order_value],0)</f>
        <v>192436.97399999999</v>
      </c>
      <c r="O102" s="12">
        <f>_xlfn.XLOOKUP(TableDailySummary[[#This Row],[Fecha]],SummaryDaily[day],SummaryDaily[Tienda 81_net_sales],0)</f>
        <v>420168.07</v>
      </c>
      <c r="P102" s="12">
        <f>_xlfn.XLOOKUP(TableDailySummary[[#This Row],[Fecha]],SummaryDaily[day],SummaryDaily[Tienda 81_orders],0)</f>
        <v>5</v>
      </c>
      <c r="Q102" s="12">
        <f>_xlfn.XLOOKUP(TableDailySummary[[#This Row],[Fecha]],SummaryDaily[day],SummaryDaily[Tienda 81_average_order_value],0)</f>
        <v>83361.346000000005</v>
      </c>
      <c r="R102" s="12">
        <f>_xlfn.XLOOKUP(TableDailySummary[[#This Row],[Fecha]],SummaryDaily[day],SummaryDaily[Rappi_net_sales],0)</f>
        <v>0</v>
      </c>
      <c r="S102" s="12">
        <f>_xlfn.XLOOKUP(TableDailySummary[[#This Row],[Fecha]],SummaryDaily[day],SummaryDaily[Rappi_orders],0)</f>
        <v>0</v>
      </c>
      <c r="T102" s="12">
        <f>_xlfn.XLOOKUP(TableDailySummary[[#This Row],[Fecha]],SummaryDaily[day],SummaryDaily[Rappi_average_order_value],0)</f>
        <v>0</v>
      </c>
      <c r="U102" s="12">
        <f>_xlfn.XLOOKUP(TableDailySummary[[#This Row],[Fecha]],SummaryDaily[day],SummaryDaily[Corporativo no tienda_net_sales],0)</f>
        <v>0</v>
      </c>
      <c r="V102" s="12">
        <f>_xlfn.XLOOKUP(TableDailySummary[[#This Row],[Fecha]],SummaryDaily[day],SummaryDaily[Corporativo no tienda_orders],0)</f>
        <v>0</v>
      </c>
      <c r="W102" s="12">
        <f>_xlfn.XLOOKUP(TableDailySummary[[#This Row],[Fecha]],SummaryDaily[day],SummaryDaily[Corporativo no tienda_average_order_value],0)</f>
        <v>0</v>
      </c>
      <c r="X102" s="12">
        <f>_xlfn.XLOOKUP(TableDailySummary[[#This Row],[Fecha]],SummaryDaily[day],SummaryDaily[GoogleAdsOperation.Cost],0)</f>
        <v>99661.16</v>
      </c>
      <c r="Y102" s="12">
        <f>SUMIFS(SalesByUTMDaily[google],SalesByUTMDaily[day],TableDailySummary[[#This Row],[Fecha]])</f>
        <v>0</v>
      </c>
      <c r="Z102" s="12">
        <f>_xlfn.XLOOKUP(TableDailySummary[[#This Row],[Fecha]],SummaryDaily[day],SummaryDaily[MetaAdsOperation.spend],0)</f>
        <v>40432</v>
      </c>
      <c r="AA102" s="12">
        <f>SUMIFS(SalesByUTMDaily[facebook],SalesByUTMDaily[day],TableDailySummary[[#This Row],[Fecha]])</f>
        <v>0</v>
      </c>
      <c r="AB102" s="12">
        <f>TableDailySummary[[#This Row],[Inversión google ads]]+TableDailySummary[[#This Row],[Inversión meta ads]]</f>
        <v>140093.16</v>
      </c>
      <c r="AC102" s="12">
        <f>TableDailySummary[[#This Row],[Ventas google ads]]+TableDailySummary[[#This Row],[Ventas meta ads]]</f>
        <v>0</v>
      </c>
      <c r="AD102" s="14">
        <f>IFERROR(TableDailySummary[[#This Row],[Ventas publicidad]]/TableDailySummary[[#This Row],[Inversión publicidad]],0)</f>
        <v>0</v>
      </c>
      <c r="AE102" s="14">
        <f>IFERROR(TableDailySummary[[#This Row],[Ventas primer cliente]]/TableDailySummary[[#This Row],[Inversión publicidad]],0)</f>
        <v>5.5185366651733743</v>
      </c>
      <c r="AF102" s="14"/>
      <c r="AG102" s="12"/>
      <c r="AM102" s="12">
        <f>_xlfn.XLOOKUP(TableDailySummary[[#This Row],[Fecha]],SummaryDaily[day],SummaryDaily[net_sales_with_cost_recorded],0)</f>
        <v>1474789.91</v>
      </c>
      <c r="AN102" s="12">
        <f>_xlfn.XLOOKUP(TableDailySummary[[#This Row],[Fecha]],SummaryDaily[day],SummaryDaily[cost_of_goods_sold],0)</f>
        <v>459542</v>
      </c>
      <c r="AO102" s="12">
        <f>_xlfn.XLOOKUP(TableDailySummary[[#This Row],[Fecha]],SummaryDaily[day],SummaryDaily[gross_profit],0)</f>
        <v>1015247.91</v>
      </c>
      <c r="AP102" s="18">
        <f>IFERROR(TableDailySummary[[#This Row],[Utilidad bruta]]/TableDailySummary[[#This Row],[Ventas netas con costo registrado]],0)</f>
        <v>0.68840171953712381</v>
      </c>
    </row>
    <row r="103" spans="2:42" x14ac:dyDescent="0.2">
      <c r="B103" s="15" cm="1">
        <f t="array" ref="B103">MIN(SummaryDaily[day]) + (ROW(TableDailySummary[#This Row]) - ROW(TableDailySummary[[#Headers],[Dia]]) - 1)</f>
        <v>45874</v>
      </c>
      <c r="C103" s="6">
        <f>TableDailySummary[[#This Row],[Dia]]</f>
        <v>45874</v>
      </c>
      <c r="D103" s="12">
        <f>_xlfn.XLOOKUP(TableDailySummary[[#This Row],[Fecha]],SummaryDaily[day],SummaryDaily[net_sales],0)</f>
        <v>3916268.94</v>
      </c>
      <c r="E103" s="12">
        <f>_xlfn.XLOOKUP(TableDailySummary[[#This Row],[Fecha]],SummaryDaily[day],SummaryDaily[orders],0)</f>
        <v>23</v>
      </c>
      <c r="F103" s="12">
        <f>_xlfn.XLOOKUP(TableDailySummary[[#This Row],[Fecha]],SummaryDaily[day],SummaryDaily[average_order_value],0)</f>
        <v>170272.56200000001</v>
      </c>
      <c r="G103" s="24">
        <f>_xlfn.XLOOKUP(TableDailySummary[[#This Row],[Fecha]],SummaryDaily[day],SummaryDaily[Total site_conversion_rate],0)</f>
        <v>1.263537906137184E-2</v>
      </c>
      <c r="H103" s="12">
        <f>TableDailySummary[[#This Row],[Órden promedio totales]]*TableDailySummary[[#This Row],[CR totales]]</f>
        <v>2151.4583646209385</v>
      </c>
      <c r="I103" s="12">
        <f>_xlfn.XLOOKUP(TableDailySummary[[#This Row],[Fecha]],SummaryDaily[day],SummaryDaily[new_net_sales],0)</f>
        <v>1221008.42</v>
      </c>
      <c r="J103" s="12">
        <f>_xlfn.XLOOKUP(TableDailySummary[[#This Row],[Fecha]],SummaryDaily[day],SummaryDaily[new_orders],0)</f>
        <v>8</v>
      </c>
      <c r="K103" s="12">
        <f>_xlfn.XLOOKUP(TableDailySummary[[#This Row],[Fecha]],SummaryDaily[day],SummaryDaily[new_average_order_value],0)</f>
        <v>152626.052</v>
      </c>
      <c r="L103" s="12">
        <f>_xlfn.XLOOKUP(TableDailySummary[[#This Row],[Fecha]],SummaryDaily[day],SummaryDaily[Online Store_net_sales],0)</f>
        <v>1351260.52</v>
      </c>
      <c r="M103" s="12">
        <f>_xlfn.XLOOKUP(TableDailySummary[[#This Row],[Fecha]],SummaryDaily[day],SummaryDaily[Online Store_orders],0)</f>
        <v>8</v>
      </c>
      <c r="N103" s="12">
        <f>_xlfn.XLOOKUP(TableDailySummary[[#This Row],[Fecha]],SummaryDaily[day],SummaryDaily[Online Store_average_order_value],0)</f>
        <v>168907.565</v>
      </c>
      <c r="O103" s="12">
        <f>_xlfn.XLOOKUP(TableDailySummary[[#This Row],[Fecha]],SummaryDaily[day],SummaryDaily[Tienda 81_net_sales],0)</f>
        <v>1976773.13</v>
      </c>
      <c r="P103" s="12">
        <f>_xlfn.XLOOKUP(TableDailySummary[[#This Row],[Fecha]],SummaryDaily[day],SummaryDaily[Tienda 81_orders],0)</f>
        <v>12</v>
      </c>
      <c r="Q103" s="12">
        <f>_xlfn.XLOOKUP(TableDailySummary[[#This Row],[Fecha]],SummaryDaily[day],SummaryDaily[Tienda 81_average_order_value],0)</f>
        <v>164731.09400000001</v>
      </c>
      <c r="R103" s="12">
        <f>_xlfn.XLOOKUP(TableDailySummary[[#This Row],[Fecha]],SummaryDaily[day],SummaryDaily[Rappi_net_sales],0)</f>
        <v>0</v>
      </c>
      <c r="S103" s="12">
        <f>_xlfn.XLOOKUP(TableDailySummary[[#This Row],[Fecha]],SummaryDaily[day],SummaryDaily[Rappi_orders],0)</f>
        <v>0</v>
      </c>
      <c r="T103" s="12">
        <f>_xlfn.XLOOKUP(TableDailySummary[[#This Row],[Fecha]],SummaryDaily[day],SummaryDaily[Rappi_average_order_value],0)</f>
        <v>0</v>
      </c>
      <c r="U103" s="12">
        <f>_xlfn.XLOOKUP(TableDailySummary[[#This Row],[Fecha]],SummaryDaily[day],SummaryDaily[Corporativo no tienda_net_sales],0)</f>
        <v>0</v>
      </c>
      <c r="V103" s="12">
        <f>_xlfn.XLOOKUP(TableDailySummary[[#This Row],[Fecha]],SummaryDaily[day],SummaryDaily[Corporativo no tienda_orders],0)</f>
        <v>0</v>
      </c>
      <c r="W103" s="12">
        <f>_xlfn.XLOOKUP(TableDailySummary[[#This Row],[Fecha]],SummaryDaily[day],SummaryDaily[Corporativo no tienda_average_order_value],0)</f>
        <v>0</v>
      </c>
      <c r="X103" s="12">
        <f>_xlfn.XLOOKUP(TableDailySummary[[#This Row],[Fecha]],SummaryDaily[day],SummaryDaily[GoogleAdsOperation.Cost],0)</f>
        <v>88337.45</v>
      </c>
      <c r="Y103" s="12">
        <f>SUMIFS(SalesByUTMDaily[google],SalesByUTMDaily[day],TableDailySummary[[#This Row],[Fecha]])</f>
        <v>79500</v>
      </c>
      <c r="Z103" s="12">
        <f>_xlfn.XLOOKUP(TableDailySummary[[#This Row],[Fecha]],SummaryDaily[day],SummaryDaily[MetaAdsOperation.spend],0)</f>
        <v>43089</v>
      </c>
      <c r="AA103" s="12">
        <f>SUMIFS(SalesByUTMDaily[facebook],SalesByUTMDaily[day],TableDailySummary[[#This Row],[Fecha]])</f>
        <v>0</v>
      </c>
      <c r="AB103" s="12">
        <f>TableDailySummary[[#This Row],[Inversión google ads]]+TableDailySummary[[#This Row],[Inversión meta ads]]</f>
        <v>131426.45000000001</v>
      </c>
      <c r="AC103" s="12">
        <f>TableDailySummary[[#This Row],[Ventas google ads]]+TableDailySummary[[#This Row],[Ventas meta ads]]</f>
        <v>79500</v>
      </c>
      <c r="AD103" s="14">
        <f>IFERROR(TableDailySummary[[#This Row],[Ventas publicidad]]/TableDailySummary[[#This Row],[Inversión publicidad]],0)</f>
        <v>0.60490106824006884</v>
      </c>
      <c r="AE103" s="14">
        <f>IFERROR(TableDailySummary[[#This Row],[Ventas primer cliente]]/TableDailySummary[[#This Row],[Inversión publicidad]],0)</f>
        <v>9.2904314162027486</v>
      </c>
      <c r="AF103" s="14"/>
      <c r="AG103" s="12"/>
      <c r="AM103" s="12">
        <f>_xlfn.XLOOKUP(TableDailySummary[[#This Row],[Fecha]],SummaryDaily[day],SummaryDaily[net_sales_with_cost_recorded],0)</f>
        <v>3916268.94</v>
      </c>
      <c r="AN103" s="12">
        <f>_xlfn.XLOOKUP(TableDailySummary[[#This Row],[Fecha]],SummaryDaily[day],SummaryDaily[cost_of_goods_sold],0)</f>
        <v>1210871</v>
      </c>
      <c r="AO103" s="12">
        <f>_xlfn.XLOOKUP(TableDailySummary[[#This Row],[Fecha]],SummaryDaily[day],SummaryDaily[gross_profit],0)</f>
        <v>2705397.94</v>
      </c>
      <c r="AP103" s="18">
        <f>IFERROR(TableDailySummary[[#This Row],[Utilidad bruta]]/TableDailySummary[[#This Row],[Ventas netas con costo registrado]],0)</f>
        <v>0.69081004942423596</v>
      </c>
    </row>
    <row r="104" spans="2:42" x14ac:dyDescent="0.2">
      <c r="B104" s="15" cm="1">
        <f t="array" ref="B104">MIN(SummaryDaily[day]) + (ROW(TableDailySummary[#This Row]) - ROW(TableDailySummary[[#Headers],[Dia]]) - 1)</f>
        <v>45875</v>
      </c>
      <c r="C104" s="6">
        <f>TableDailySummary[[#This Row],[Dia]]</f>
        <v>45875</v>
      </c>
      <c r="D104" s="12">
        <f>_xlfn.XLOOKUP(TableDailySummary[[#This Row],[Fecha]],SummaryDaily[day],SummaryDaily[net_sales],0)</f>
        <v>3552058.82</v>
      </c>
      <c r="E104" s="12">
        <f>_xlfn.XLOOKUP(TableDailySummary[[#This Row],[Fecha]],SummaryDaily[day],SummaryDaily[orders],0)</f>
        <v>22</v>
      </c>
      <c r="F104" s="12">
        <f>_xlfn.XLOOKUP(TableDailySummary[[#This Row],[Fecha]],SummaryDaily[day],SummaryDaily[average_order_value],0)</f>
        <v>161178.38</v>
      </c>
      <c r="G104" s="24">
        <f>_xlfn.XLOOKUP(TableDailySummary[[#This Row],[Fecha]],SummaryDaily[day],SummaryDaily[Total site_conversion_rate],0)</f>
        <v>6.2305295950155761E-3</v>
      </c>
      <c r="H104" s="12">
        <f>TableDailySummary[[#This Row],[Órden promedio totales]]*TableDailySummary[[#This Row],[CR totales]]</f>
        <v>1004.2266666666667</v>
      </c>
      <c r="I104" s="12">
        <f>_xlfn.XLOOKUP(TableDailySummary[[#This Row],[Fecha]],SummaryDaily[day],SummaryDaily[new_net_sales],0)</f>
        <v>2886193.27</v>
      </c>
      <c r="J104" s="12">
        <f>_xlfn.XLOOKUP(TableDailySummary[[#This Row],[Fecha]],SummaryDaily[day],SummaryDaily[new_orders],0)</f>
        <v>15</v>
      </c>
      <c r="K104" s="12">
        <f>_xlfn.XLOOKUP(TableDailySummary[[#This Row],[Fecha]],SummaryDaily[day],SummaryDaily[new_average_order_value],0)</f>
        <v>194524.93</v>
      </c>
      <c r="L104" s="12">
        <f>_xlfn.XLOOKUP(TableDailySummary[[#This Row],[Fecha]],SummaryDaily[day],SummaryDaily[Online Store_net_sales],0)</f>
        <v>568907.56999999995</v>
      </c>
      <c r="M104" s="12">
        <f>_xlfn.XLOOKUP(TableDailySummary[[#This Row],[Fecha]],SummaryDaily[day],SummaryDaily[Online Store_orders],0)</f>
        <v>4</v>
      </c>
      <c r="N104" s="12">
        <f>_xlfn.XLOOKUP(TableDailySummary[[#This Row],[Fecha]],SummaryDaily[day],SummaryDaily[Online Store_average_order_value],0)</f>
        <v>142226.89199999999</v>
      </c>
      <c r="O104" s="12">
        <f>_xlfn.XLOOKUP(TableDailySummary[[#This Row],[Fecha]],SummaryDaily[day],SummaryDaily[Tienda 81_net_sales],0)</f>
        <v>3014831.93</v>
      </c>
      <c r="P104" s="12">
        <f>_xlfn.XLOOKUP(TableDailySummary[[#This Row],[Fecha]],SummaryDaily[day],SummaryDaily[Tienda 81_orders],0)</f>
        <v>18</v>
      </c>
      <c r="Q104" s="12">
        <f>_xlfn.XLOOKUP(TableDailySummary[[#This Row],[Fecha]],SummaryDaily[day],SummaryDaily[Tienda 81_average_order_value],0)</f>
        <v>165389.82199999999</v>
      </c>
      <c r="R104" s="12">
        <f>_xlfn.XLOOKUP(TableDailySummary[[#This Row],[Fecha]],SummaryDaily[day],SummaryDaily[Rappi_net_sales],0)</f>
        <v>0</v>
      </c>
      <c r="S104" s="12">
        <f>_xlfn.XLOOKUP(TableDailySummary[[#This Row],[Fecha]],SummaryDaily[day],SummaryDaily[Rappi_orders],0)</f>
        <v>0</v>
      </c>
      <c r="T104" s="12">
        <f>_xlfn.XLOOKUP(TableDailySummary[[#This Row],[Fecha]],SummaryDaily[day],SummaryDaily[Rappi_average_order_value],0)</f>
        <v>0</v>
      </c>
      <c r="U104" s="12">
        <f>_xlfn.XLOOKUP(TableDailySummary[[#This Row],[Fecha]],SummaryDaily[day],SummaryDaily[Corporativo no tienda_net_sales],0)</f>
        <v>0</v>
      </c>
      <c r="V104" s="12">
        <f>_xlfn.XLOOKUP(TableDailySummary[[#This Row],[Fecha]],SummaryDaily[day],SummaryDaily[Corporativo no tienda_orders],0)</f>
        <v>0</v>
      </c>
      <c r="W104" s="12">
        <f>_xlfn.XLOOKUP(TableDailySummary[[#This Row],[Fecha]],SummaryDaily[day],SummaryDaily[Corporativo no tienda_average_order_value],0)</f>
        <v>0</v>
      </c>
      <c r="X104" s="12">
        <f>_xlfn.XLOOKUP(TableDailySummary[[#This Row],[Fecha]],SummaryDaily[day],SummaryDaily[GoogleAdsOperation.Cost],0)</f>
        <v>108204.98</v>
      </c>
      <c r="Y104" s="12">
        <f>SUMIFS(SalesByUTMDaily[google],SalesByUTMDaily[day],TableDailySummary[[#This Row],[Fecha]])</f>
        <v>0</v>
      </c>
      <c r="Z104" s="12">
        <f>_xlfn.XLOOKUP(TableDailySummary[[#This Row],[Fecha]],SummaryDaily[day],SummaryDaily[MetaAdsOperation.spend],0)</f>
        <v>37443</v>
      </c>
      <c r="AA104" s="12">
        <f>SUMIFS(SalesByUTMDaily[facebook],SalesByUTMDaily[day],TableDailySummary[[#This Row],[Fecha]])</f>
        <v>0</v>
      </c>
      <c r="AB104" s="12">
        <f>TableDailySummary[[#This Row],[Inversión google ads]]+TableDailySummary[[#This Row],[Inversión meta ads]]</f>
        <v>145647.97999999998</v>
      </c>
      <c r="AC104" s="12">
        <f>TableDailySummary[[#This Row],[Ventas google ads]]+TableDailySummary[[#This Row],[Ventas meta ads]]</f>
        <v>0</v>
      </c>
      <c r="AD104" s="14">
        <f>IFERROR(TableDailySummary[[#This Row],[Ventas publicidad]]/TableDailySummary[[#This Row],[Inversión publicidad]],0)</f>
        <v>0</v>
      </c>
      <c r="AE104" s="14">
        <f>IFERROR(TableDailySummary[[#This Row],[Ventas primer cliente]]/TableDailySummary[[#This Row],[Inversión publicidad]],0)</f>
        <v>19.816225875566555</v>
      </c>
      <c r="AF104" s="14"/>
      <c r="AG104" s="12"/>
      <c r="AM104" s="12">
        <f>_xlfn.XLOOKUP(TableDailySummary[[#This Row],[Fecha]],SummaryDaily[day],SummaryDaily[net_sales_with_cost_recorded],0)</f>
        <v>3484831.93</v>
      </c>
      <c r="AN104" s="12">
        <f>_xlfn.XLOOKUP(TableDailySummary[[#This Row],[Fecha]],SummaryDaily[day],SummaryDaily[cost_of_goods_sold],0)</f>
        <v>897392</v>
      </c>
      <c r="AO104" s="12">
        <f>_xlfn.XLOOKUP(TableDailySummary[[#This Row],[Fecha]],SummaryDaily[day],SummaryDaily[gross_profit],0)</f>
        <v>2587439.9300000002</v>
      </c>
      <c r="AP104" s="18">
        <f>IFERROR(TableDailySummary[[#This Row],[Utilidad bruta]]/TableDailySummary[[#This Row],[Ventas netas con costo registrado]],0)</f>
        <v>0.74248628971899944</v>
      </c>
    </row>
    <row r="105" spans="2:42" x14ac:dyDescent="0.2">
      <c r="B105" s="15" cm="1">
        <f t="array" ref="B105">MIN(SummaryDaily[day]) + (ROW(TableDailySummary[#This Row]) - ROW(TableDailySummary[[#Headers],[Dia]]) - 1)</f>
        <v>45876</v>
      </c>
      <c r="C105" s="6">
        <f>TableDailySummary[[#This Row],[Dia]]</f>
        <v>45876</v>
      </c>
      <c r="D105" s="12">
        <f>_xlfn.XLOOKUP(TableDailySummary[[#This Row],[Fecha]],SummaryDaily[day],SummaryDaily[net_sales],0)</f>
        <v>294537.82</v>
      </c>
      <c r="E105" s="12">
        <f>_xlfn.XLOOKUP(TableDailySummary[[#This Row],[Fecha]],SummaryDaily[day],SummaryDaily[orders],0)</f>
        <v>8</v>
      </c>
      <c r="F105" s="12">
        <f>_xlfn.XLOOKUP(TableDailySummary[[#This Row],[Fecha]],SummaryDaily[day],SummaryDaily[average_order_value],0)</f>
        <v>63077.731</v>
      </c>
      <c r="G105" s="24">
        <f>_xlfn.XLOOKUP(TableDailySummary[[#This Row],[Fecha]],SummaryDaily[day],SummaryDaily[Total site_conversion_rate],0)</f>
        <v>6.3492063492063492E-3</v>
      </c>
      <c r="H105" s="12">
        <f>TableDailySummary[[#This Row],[Órden promedio totales]]*TableDailySummary[[#This Row],[CR totales]]</f>
        <v>400.49353015873015</v>
      </c>
      <c r="I105" s="12">
        <f>_xlfn.XLOOKUP(TableDailySummary[[#This Row],[Fecha]],SummaryDaily[day],SummaryDaily[new_net_sales],0)</f>
        <v>59663.87</v>
      </c>
      <c r="J105" s="12">
        <f>_xlfn.XLOOKUP(TableDailySummary[[#This Row],[Fecha]],SummaryDaily[day],SummaryDaily[new_orders],0)</f>
        <v>5</v>
      </c>
      <c r="K105" s="12">
        <f>_xlfn.XLOOKUP(TableDailySummary[[#This Row],[Fecha]],SummaryDaily[day],SummaryDaily[new_average_order_value],0)</f>
        <v>53949.58</v>
      </c>
      <c r="L105" s="12">
        <f>_xlfn.XLOOKUP(TableDailySummary[[#This Row],[Fecha]],SummaryDaily[day],SummaryDaily[Online Store_net_sales],0)</f>
        <v>159663.87</v>
      </c>
      <c r="M105" s="12">
        <f>_xlfn.XLOOKUP(TableDailySummary[[#This Row],[Fecha]],SummaryDaily[day],SummaryDaily[Online Store_orders],0)</f>
        <v>3</v>
      </c>
      <c r="N105" s="12">
        <f>_xlfn.XLOOKUP(TableDailySummary[[#This Row],[Fecha]],SummaryDaily[day],SummaryDaily[Online Store_average_order_value],0)</f>
        <v>53221.29</v>
      </c>
      <c r="O105" s="12">
        <f>_xlfn.XLOOKUP(TableDailySummary[[#This Row],[Fecha]],SummaryDaily[day],SummaryDaily[Tienda 81_net_sales],0)</f>
        <v>134873.95000000001</v>
      </c>
      <c r="P105" s="12">
        <f>_xlfn.XLOOKUP(TableDailySummary[[#This Row],[Fecha]],SummaryDaily[day],SummaryDaily[Tienda 81_orders],0)</f>
        <v>5</v>
      </c>
      <c r="Q105" s="12">
        <f>_xlfn.XLOOKUP(TableDailySummary[[#This Row],[Fecha]],SummaryDaily[day],SummaryDaily[Tienda 81_average_order_value],0)</f>
        <v>68991.596000000005</v>
      </c>
      <c r="R105" s="12">
        <f>_xlfn.XLOOKUP(TableDailySummary[[#This Row],[Fecha]],SummaryDaily[day],SummaryDaily[Rappi_net_sales],0)</f>
        <v>0</v>
      </c>
      <c r="S105" s="12">
        <f>_xlfn.XLOOKUP(TableDailySummary[[#This Row],[Fecha]],SummaryDaily[day],SummaryDaily[Rappi_orders],0)</f>
        <v>0</v>
      </c>
      <c r="T105" s="12">
        <f>_xlfn.XLOOKUP(TableDailySummary[[#This Row],[Fecha]],SummaryDaily[day],SummaryDaily[Rappi_average_order_value],0)</f>
        <v>0</v>
      </c>
      <c r="U105" s="12">
        <f>_xlfn.XLOOKUP(TableDailySummary[[#This Row],[Fecha]],SummaryDaily[day],SummaryDaily[Corporativo no tienda_net_sales],0)</f>
        <v>0</v>
      </c>
      <c r="V105" s="12">
        <f>_xlfn.XLOOKUP(TableDailySummary[[#This Row],[Fecha]],SummaryDaily[day],SummaryDaily[Corporativo no tienda_orders],0)</f>
        <v>0</v>
      </c>
      <c r="W105" s="12">
        <f>_xlfn.XLOOKUP(TableDailySummary[[#This Row],[Fecha]],SummaryDaily[day],SummaryDaily[Corporativo no tienda_average_order_value],0)</f>
        <v>0</v>
      </c>
      <c r="X105" s="12">
        <f>_xlfn.XLOOKUP(TableDailySummary[[#This Row],[Fecha]],SummaryDaily[day],SummaryDaily[GoogleAdsOperation.Cost],0)</f>
        <v>99878.080000000002</v>
      </c>
      <c r="Y105" s="12">
        <f>SUMIFS(SalesByUTMDaily[google],SalesByUTMDaily[day],TableDailySummary[[#This Row],[Fecha]])</f>
        <v>0</v>
      </c>
      <c r="Z105" s="12">
        <f>_xlfn.XLOOKUP(TableDailySummary[[#This Row],[Fecha]],SummaryDaily[day],SummaryDaily[MetaAdsOperation.spend],0)</f>
        <v>36449</v>
      </c>
      <c r="AA105" s="12">
        <f>SUMIFS(SalesByUTMDaily[facebook],SalesByUTMDaily[day],TableDailySummary[[#This Row],[Fecha]])</f>
        <v>0</v>
      </c>
      <c r="AB105" s="12">
        <f>TableDailySummary[[#This Row],[Inversión google ads]]+TableDailySummary[[#This Row],[Inversión meta ads]]</f>
        <v>136327.08000000002</v>
      </c>
      <c r="AC105" s="12">
        <f>TableDailySummary[[#This Row],[Ventas google ads]]+TableDailySummary[[#This Row],[Ventas meta ads]]</f>
        <v>0</v>
      </c>
      <c r="AD105" s="14">
        <f>IFERROR(TableDailySummary[[#This Row],[Ventas publicidad]]/TableDailySummary[[#This Row],[Inversión publicidad]],0)</f>
        <v>0</v>
      </c>
      <c r="AE105" s="14">
        <f>IFERROR(TableDailySummary[[#This Row],[Ventas primer cliente]]/TableDailySummary[[#This Row],[Inversión publicidad]],0)</f>
        <v>0.43765237251469036</v>
      </c>
      <c r="AF105" s="14"/>
      <c r="AG105" s="12"/>
      <c r="AM105" s="12">
        <f>_xlfn.XLOOKUP(TableDailySummary[[#This Row],[Fecha]],SummaryDaily[day],SummaryDaily[net_sales_with_cost_recorded],0)</f>
        <v>289915.96999999997</v>
      </c>
      <c r="AN105" s="12">
        <f>_xlfn.XLOOKUP(TableDailySummary[[#This Row],[Fecha]],SummaryDaily[day],SummaryDaily[cost_of_goods_sold],0)</f>
        <v>79523</v>
      </c>
      <c r="AO105" s="12">
        <f>_xlfn.XLOOKUP(TableDailySummary[[#This Row],[Fecha]],SummaryDaily[day],SummaryDaily[gross_profit],0)</f>
        <v>210392.97</v>
      </c>
      <c r="AP105" s="18">
        <f>IFERROR(TableDailySummary[[#This Row],[Utilidad bruta]]/TableDailySummary[[#This Row],[Ventas netas con costo registrado]],0)</f>
        <v>0.72570327878108964</v>
      </c>
    </row>
    <row r="106" spans="2:42" x14ac:dyDescent="0.2">
      <c r="B106" s="15" cm="1">
        <f t="array" ref="B106">MIN(SummaryDaily[day]) + (ROW(TableDailySummary[#This Row]) - ROW(TableDailySummary[[#Headers],[Dia]]) - 1)</f>
        <v>45877</v>
      </c>
      <c r="C106" s="6">
        <f>TableDailySummary[[#This Row],[Dia]]</f>
        <v>45877</v>
      </c>
      <c r="D106" s="12">
        <f>_xlfn.XLOOKUP(TableDailySummary[[#This Row],[Fecha]],SummaryDaily[day],SummaryDaily[net_sales],0)</f>
        <v>2726596.65</v>
      </c>
      <c r="E106" s="12">
        <f>_xlfn.XLOOKUP(TableDailySummary[[#This Row],[Fecha]],SummaryDaily[day],SummaryDaily[orders],0)</f>
        <v>16</v>
      </c>
      <c r="F106" s="12">
        <f>_xlfn.XLOOKUP(TableDailySummary[[#This Row],[Fecha]],SummaryDaily[day],SummaryDaily[average_order_value],0)</f>
        <v>170412.29</v>
      </c>
      <c r="G106" s="24">
        <f>_xlfn.XLOOKUP(TableDailySummary[[#This Row],[Fecha]],SummaryDaily[day],SummaryDaily[Total site_conversion_rate],0)</f>
        <v>5.3003533568904597E-3</v>
      </c>
      <c r="H106" s="12">
        <f>TableDailySummary[[#This Row],[Órden promedio totales]]*TableDailySummary[[#This Row],[CR totales]]</f>
        <v>903.24535335689052</v>
      </c>
      <c r="I106" s="12">
        <f>_xlfn.XLOOKUP(TableDailySummary[[#This Row],[Fecha]],SummaryDaily[day],SummaryDaily[new_net_sales],0)</f>
        <v>1767773.11</v>
      </c>
      <c r="J106" s="12">
        <f>_xlfn.XLOOKUP(TableDailySummary[[#This Row],[Fecha]],SummaryDaily[day],SummaryDaily[new_orders],0)</f>
        <v>8</v>
      </c>
      <c r="K106" s="12">
        <f>_xlfn.XLOOKUP(TableDailySummary[[#This Row],[Fecha]],SummaryDaily[day],SummaryDaily[new_average_order_value],0)</f>
        <v>220971.63800000001</v>
      </c>
      <c r="L106" s="12">
        <f>_xlfn.XLOOKUP(TableDailySummary[[#This Row],[Fecha]],SummaryDaily[day],SummaryDaily[Online Store_net_sales],0)</f>
        <v>722689.08</v>
      </c>
      <c r="M106" s="12">
        <f>_xlfn.XLOOKUP(TableDailySummary[[#This Row],[Fecha]],SummaryDaily[day],SummaryDaily[Online Store_orders],0)</f>
        <v>4</v>
      </c>
      <c r="N106" s="12">
        <f>_xlfn.XLOOKUP(TableDailySummary[[#This Row],[Fecha]],SummaryDaily[day],SummaryDaily[Online Store_average_order_value],0)</f>
        <v>180672.27</v>
      </c>
      <c r="O106" s="12">
        <f>_xlfn.XLOOKUP(TableDailySummary[[#This Row],[Fecha]],SummaryDaily[day],SummaryDaily[Tienda 81_net_sales],0)</f>
        <v>1785420.17</v>
      </c>
      <c r="P106" s="12">
        <f>_xlfn.XLOOKUP(TableDailySummary[[#This Row],[Fecha]],SummaryDaily[day],SummaryDaily[Tienda 81_orders],0)</f>
        <v>10</v>
      </c>
      <c r="Q106" s="12">
        <f>_xlfn.XLOOKUP(TableDailySummary[[#This Row],[Fecha]],SummaryDaily[day],SummaryDaily[Tienda 81_average_order_value],0)</f>
        <v>178542.01699999999</v>
      </c>
      <c r="R106" s="12">
        <f>_xlfn.XLOOKUP(TableDailySummary[[#This Row],[Fecha]],SummaryDaily[day],SummaryDaily[Rappi_net_sales],0)</f>
        <v>218487.4</v>
      </c>
      <c r="S106" s="12">
        <f>_xlfn.XLOOKUP(TableDailySummary[[#This Row],[Fecha]],SummaryDaily[day],SummaryDaily[Rappi_orders],0)</f>
        <v>2</v>
      </c>
      <c r="T106" s="12">
        <f>_xlfn.XLOOKUP(TableDailySummary[[#This Row],[Fecha]],SummaryDaily[day],SummaryDaily[Rappi_average_order_value],0)</f>
        <v>109243.7</v>
      </c>
      <c r="U106" s="12">
        <f>_xlfn.XLOOKUP(TableDailySummary[[#This Row],[Fecha]],SummaryDaily[day],SummaryDaily[Corporativo no tienda_net_sales],0)</f>
        <v>0</v>
      </c>
      <c r="V106" s="12">
        <f>_xlfn.XLOOKUP(TableDailySummary[[#This Row],[Fecha]],SummaryDaily[day],SummaryDaily[Corporativo no tienda_orders],0)</f>
        <v>0</v>
      </c>
      <c r="W106" s="12">
        <f>_xlfn.XLOOKUP(TableDailySummary[[#This Row],[Fecha]],SummaryDaily[day],SummaryDaily[Corporativo no tienda_average_order_value],0)</f>
        <v>0</v>
      </c>
      <c r="X106" s="12">
        <f>_xlfn.XLOOKUP(TableDailySummary[[#This Row],[Fecha]],SummaryDaily[day],SummaryDaily[GoogleAdsOperation.Cost],0)</f>
        <v>83801.259999999995</v>
      </c>
      <c r="Y106" s="12">
        <f>SUMIFS(SalesByUTMDaily[google],SalesByUTMDaily[day],TableDailySummary[[#This Row],[Fecha]])</f>
        <v>219000</v>
      </c>
      <c r="Z106" s="12">
        <f>_xlfn.XLOOKUP(TableDailySummary[[#This Row],[Fecha]],SummaryDaily[day],SummaryDaily[MetaAdsOperation.spend],0)</f>
        <v>40321</v>
      </c>
      <c r="AA106" s="12">
        <f>SUMIFS(SalesByUTMDaily[facebook],SalesByUTMDaily[day],TableDailySummary[[#This Row],[Fecha]])</f>
        <v>0</v>
      </c>
      <c r="AB106" s="12">
        <f>TableDailySummary[[#This Row],[Inversión google ads]]+TableDailySummary[[#This Row],[Inversión meta ads]]</f>
        <v>124122.26</v>
      </c>
      <c r="AC106" s="12">
        <f>TableDailySummary[[#This Row],[Ventas google ads]]+TableDailySummary[[#This Row],[Ventas meta ads]]</f>
        <v>219000</v>
      </c>
      <c r="AD106" s="14">
        <f>IFERROR(TableDailySummary[[#This Row],[Ventas publicidad]]/TableDailySummary[[#This Row],[Inversión publicidad]],0)</f>
        <v>1.7643894012242447</v>
      </c>
      <c r="AE106" s="14">
        <f>IFERROR(TableDailySummary[[#This Row],[Ventas primer cliente]]/TableDailySummary[[#This Row],[Inversión publicidad]],0)</f>
        <v>14.242192415768132</v>
      </c>
      <c r="AF106" s="14"/>
      <c r="AG106" s="12"/>
      <c r="AM106" s="12">
        <f>_xlfn.XLOOKUP(TableDailySummary[[#This Row],[Fecha]],SummaryDaily[day],SummaryDaily[net_sales_with_cost_recorded],0)</f>
        <v>2726596.65</v>
      </c>
      <c r="AN106" s="12">
        <f>_xlfn.XLOOKUP(TableDailySummary[[#This Row],[Fecha]],SummaryDaily[day],SummaryDaily[cost_of_goods_sold],0)</f>
        <v>900195</v>
      </c>
      <c r="AO106" s="12">
        <f>_xlfn.XLOOKUP(TableDailySummary[[#This Row],[Fecha]],SummaryDaily[day],SummaryDaily[gross_profit],0)</f>
        <v>1826401.65</v>
      </c>
      <c r="AP106" s="18">
        <f>IFERROR(TableDailySummary[[#This Row],[Utilidad bruta]]/TableDailySummary[[#This Row],[Ventas netas con costo registrado]],0)</f>
        <v>0.66984665663694698</v>
      </c>
    </row>
    <row r="107" spans="2:42" x14ac:dyDescent="0.2">
      <c r="B107" s="15" cm="1">
        <f t="array" ref="B107">MIN(SummaryDaily[day]) + (ROW(TableDailySummary[#This Row]) - ROW(TableDailySummary[[#Headers],[Dia]]) - 1)</f>
        <v>45878</v>
      </c>
      <c r="C107" s="6">
        <f>TableDailySummary[[#This Row],[Dia]]</f>
        <v>45878</v>
      </c>
      <c r="D107" s="12">
        <f>_xlfn.XLOOKUP(TableDailySummary[[#This Row],[Fecha]],SummaryDaily[day],SummaryDaily[net_sales],0)</f>
        <v>1429832.79</v>
      </c>
      <c r="E107" s="12">
        <f>_xlfn.XLOOKUP(TableDailySummary[[#This Row],[Fecha]],SummaryDaily[day],SummaryDaily[orders],0)</f>
        <v>11</v>
      </c>
      <c r="F107" s="12">
        <f>_xlfn.XLOOKUP(TableDailySummary[[#This Row],[Fecha]],SummaryDaily[day],SummaryDaily[average_order_value],0)</f>
        <v>129984.799</v>
      </c>
      <c r="G107" s="24">
        <f>_xlfn.XLOOKUP(TableDailySummary[[#This Row],[Fecha]],SummaryDaily[day],SummaryDaily[Total site_conversion_rate],0)</f>
        <v>5.7471264367816091E-3</v>
      </c>
      <c r="H107" s="12">
        <f>TableDailySummary[[#This Row],[Órden promedio totales]]*TableDailySummary[[#This Row],[CR totales]]</f>
        <v>747.0390747126437</v>
      </c>
      <c r="I107" s="12">
        <f>_xlfn.XLOOKUP(TableDailySummary[[#This Row],[Fecha]],SummaryDaily[day],SummaryDaily[new_net_sales],0)</f>
        <v>1068907.58</v>
      </c>
      <c r="J107" s="12">
        <f>_xlfn.XLOOKUP(TableDailySummary[[#This Row],[Fecha]],SummaryDaily[day],SummaryDaily[new_orders],0)</f>
        <v>6</v>
      </c>
      <c r="K107" s="12">
        <f>_xlfn.XLOOKUP(TableDailySummary[[#This Row],[Fecha]],SummaryDaily[day],SummaryDaily[new_average_order_value],0)</f>
        <v>178151.26300000001</v>
      </c>
      <c r="L107" s="12">
        <f>_xlfn.XLOOKUP(TableDailySummary[[#This Row],[Fecha]],SummaryDaily[day],SummaryDaily[Online Store_net_sales],0)</f>
        <v>596639.5</v>
      </c>
      <c r="M107" s="12">
        <f>_xlfn.XLOOKUP(TableDailySummary[[#This Row],[Fecha]],SummaryDaily[day],SummaryDaily[Online Store_orders],0)</f>
        <v>5</v>
      </c>
      <c r="N107" s="12">
        <f>_xlfn.XLOOKUP(TableDailySummary[[#This Row],[Fecha]],SummaryDaily[day],SummaryDaily[Online Store_average_order_value],0)</f>
        <v>119327.9</v>
      </c>
      <c r="O107" s="12">
        <f>_xlfn.XLOOKUP(TableDailySummary[[#This Row],[Fecha]],SummaryDaily[day],SummaryDaily[Tienda 81_net_sales],0)</f>
        <v>833193.29</v>
      </c>
      <c r="P107" s="12">
        <f>_xlfn.XLOOKUP(TableDailySummary[[#This Row],[Fecha]],SummaryDaily[day],SummaryDaily[Tienda 81_orders],0)</f>
        <v>6</v>
      </c>
      <c r="Q107" s="12">
        <f>_xlfn.XLOOKUP(TableDailySummary[[#This Row],[Fecha]],SummaryDaily[day],SummaryDaily[Tienda 81_average_order_value],0)</f>
        <v>138865.54800000001</v>
      </c>
      <c r="R107" s="12">
        <f>_xlfn.XLOOKUP(TableDailySummary[[#This Row],[Fecha]],SummaryDaily[day],SummaryDaily[Rappi_net_sales],0)</f>
        <v>0</v>
      </c>
      <c r="S107" s="12">
        <f>_xlfn.XLOOKUP(TableDailySummary[[#This Row],[Fecha]],SummaryDaily[day],SummaryDaily[Rappi_orders],0)</f>
        <v>0</v>
      </c>
      <c r="T107" s="12">
        <f>_xlfn.XLOOKUP(TableDailySummary[[#This Row],[Fecha]],SummaryDaily[day],SummaryDaily[Rappi_average_order_value],0)</f>
        <v>0</v>
      </c>
      <c r="U107" s="12">
        <f>_xlfn.XLOOKUP(TableDailySummary[[#This Row],[Fecha]],SummaryDaily[day],SummaryDaily[Corporativo no tienda_net_sales],0)</f>
        <v>0</v>
      </c>
      <c r="V107" s="12">
        <f>_xlfn.XLOOKUP(TableDailySummary[[#This Row],[Fecha]],SummaryDaily[day],SummaryDaily[Corporativo no tienda_orders],0)</f>
        <v>0</v>
      </c>
      <c r="W107" s="12">
        <f>_xlfn.XLOOKUP(TableDailySummary[[#This Row],[Fecha]],SummaryDaily[day],SummaryDaily[Corporativo no tienda_average_order_value],0)</f>
        <v>0</v>
      </c>
      <c r="X107" s="12">
        <f>_xlfn.XLOOKUP(TableDailySummary[[#This Row],[Fecha]],SummaryDaily[day],SummaryDaily[GoogleAdsOperation.Cost],0)</f>
        <v>100974.04</v>
      </c>
      <c r="Y107" s="12">
        <f>SUMIFS(SalesByUTMDaily[google],SalesByUTMDaily[day],TableDailySummary[[#This Row],[Fecha]])</f>
        <v>0</v>
      </c>
      <c r="Z107" s="12">
        <f>_xlfn.XLOOKUP(TableDailySummary[[#This Row],[Fecha]],SummaryDaily[day],SummaryDaily[MetaAdsOperation.spend],0)</f>
        <v>39161</v>
      </c>
      <c r="AA107" s="12">
        <f>SUMIFS(SalesByUTMDaily[facebook],SalesByUTMDaily[day],TableDailySummary[[#This Row],[Fecha]])</f>
        <v>0</v>
      </c>
      <c r="AB107" s="12">
        <f>TableDailySummary[[#This Row],[Inversión google ads]]+TableDailySummary[[#This Row],[Inversión meta ads]]</f>
        <v>140135.03999999998</v>
      </c>
      <c r="AC107" s="12">
        <f>TableDailySummary[[#This Row],[Ventas google ads]]+TableDailySummary[[#This Row],[Ventas meta ads]]</f>
        <v>0</v>
      </c>
      <c r="AD107" s="14">
        <f>IFERROR(TableDailySummary[[#This Row],[Ventas publicidad]]/TableDailySummary[[#This Row],[Inversión publicidad]],0)</f>
        <v>0</v>
      </c>
      <c r="AE107" s="14">
        <f>IFERROR(TableDailySummary[[#This Row],[Ventas primer cliente]]/TableDailySummary[[#This Row],[Inversión publicidad]],0)</f>
        <v>7.6276966845693996</v>
      </c>
      <c r="AF107" s="14"/>
      <c r="AG107" s="12"/>
      <c r="AM107" s="12">
        <f>_xlfn.XLOOKUP(TableDailySummary[[#This Row],[Fecha]],SummaryDaily[day],SummaryDaily[net_sales_with_cost_recorded],0)</f>
        <v>1429832.79</v>
      </c>
      <c r="AN107" s="12">
        <f>_xlfn.XLOOKUP(TableDailySummary[[#This Row],[Fecha]],SummaryDaily[day],SummaryDaily[cost_of_goods_sold],0)</f>
        <v>429080</v>
      </c>
      <c r="AO107" s="12">
        <f>_xlfn.XLOOKUP(TableDailySummary[[#This Row],[Fecha]],SummaryDaily[day],SummaryDaily[gross_profit],0)</f>
        <v>1000752.79</v>
      </c>
      <c r="AP107" s="18">
        <f>IFERROR(TableDailySummary[[#This Row],[Utilidad bruta]]/TableDailySummary[[#This Row],[Ventas netas con costo registrado]],0)</f>
        <v>0.69990896627849752</v>
      </c>
    </row>
    <row r="108" spans="2:42" x14ac:dyDescent="0.2">
      <c r="B108" s="15" cm="1">
        <f t="array" ref="B108">MIN(SummaryDaily[day]) + (ROW(TableDailySummary[#This Row]) - ROW(TableDailySummary[[#Headers],[Dia]]) - 1)</f>
        <v>45879</v>
      </c>
      <c r="C108" s="6">
        <f>TableDailySummary[[#This Row],[Dia]]</f>
        <v>45879</v>
      </c>
      <c r="D108" s="12">
        <f>_xlfn.XLOOKUP(TableDailySummary[[#This Row],[Fecha]],SummaryDaily[day],SummaryDaily[net_sales],0)</f>
        <v>967226.91</v>
      </c>
      <c r="E108" s="12">
        <f>_xlfn.XLOOKUP(TableDailySummary[[#This Row],[Fecha]],SummaryDaily[day],SummaryDaily[orders],0)</f>
        <v>11</v>
      </c>
      <c r="F108" s="12">
        <f>_xlfn.XLOOKUP(TableDailySummary[[#This Row],[Fecha]],SummaryDaily[day],SummaryDaily[average_order_value],0)</f>
        <v>87929.718999999997</v>
      </c>
      <c r="G108" s="24">
        <f>_xlfn.XLOOKUP(TableDailySummary[[#This Row],[Fecha]],SummaryDaily[day],SummaryDaily[Total site_conversion_rate],0)</f>
        <v>6.8493150684931503E-3</v>
      </c>
      <c r="H108" s="12">
        <f>TableDailySummary[[#This Row],[Órden promedio totales]]*TableDailySummary[[#This Row],[CR totales]]</f>
        <v>602.25834931506847</v>
      </c>
      <c r="I108" s="12">
        <f>_xlfn.XLOOKUP(TableDailySummary[[#This Row],[Fecha]],SummaryDaily[day],SummaryDaily[new_net_sales],0)</f>
        <v>269747.90999999997</v>
      </c>
      <c r="J108" s="12">
        <f>_xlfn.XLOOKUP(TableDailySummary[[#This Row],[Fecha]],SummaryDaily[day],SummaryDaily[new_orders],0)</f>
        <v>5</v>
      </c>
      <c r="K108" s="12">
        <f>_xlfn.XLOOKUP(TableDailySummary[[#This Row],[Fecha]],SummaryDaily[day],SummaryDaily[new_average_order_value],0)</f>
        <v>53949.582000000002</v>
      </c>
      <c r="L108" s="12">
        <f>_xlfn.XLOOKUP(TableDailySummary[[#This Row],[Fecha]],SummaryDaily[day],SummaryDaily[Online Store_net_sales],0)</f>
        <v>512605.05</v>
      </c>
      <c r="M108" s="12">
        <f>_xlfn.XLOOKUP(TableDailySummary[[#This Row],[Fecha]],SummaryDaily[day],SummaryDaily[Online Store_orders],0)</f>
        <v>5</v>
      </c>
      <c r="N108" s="12">
        <f>_xlfn.XLOOKUP(TableDailySummary[[#This Row],[Fecha]],SummaryDaily[day],SummaryDaily[Online Store_average_order_value],0)</f>
        <v>102521.01</v>
      </c>
      <c r="O108" s="12">
        <f>_xlfn.XLOOKUP(TableDailySummary[[#This Row],[Fecha]],SummaryDaily[day],SummaryDaily[Tienda 81_net_sales],0)</f>
        <v>454621.86</v>
      </c>
      <c r="P108" s="12">
        <f>_xlfn.XLOOKUP(TableDailySummary[[#This Row],[Fecha]],SummaryDaily[day],SummaryDaily[Tienda 81_orders],0)</f>
        <v>6</v>
      </c>
      <c r="Q108" s="12">
        <f>_xlfn.XLOOKUP(TableDailySummary[[#This Row],[Fecha]],SummaryDaily[day],SummaryDaily[Tienda 81_average_order_value],0)</f>
        <v>75770.31</v>
      </c>
      <c r="R108" s="12">
        <f>_xlfn.XLOOKUP(TableDailySummary[[#This Row],[Fecha]],SummaryDaily[day],SummaryDaily[Rappi_net_sales],0)</f>
        <v>0</v>
      </c>
      <c r="S108" s="12">
        <f>_xlfn.XLOOKUP(TableDailySummary[[#This Row],[Fecha]],SummaryDaily[day],SummaryDaily[Rappi_orders],0)</f>
        <v>0</v>
      </c>
      <c r="T108" s="12">
        <f>_xlfn.XLOOKUP(TableDailySummary[[#This Row],[Fecha]],SummaryDaily[day],SummaryDaily[Rappi_average_order_value],0)</f>
        <v>0</v>
      </c>
      <c r="U108" s="12">
        <f>_xlfn.XLOOKUP(TableDailySummary[[#This Row],[Fecha]],SummaryDaily[day],SummaryDaily[Corporativo no tienda_net_sales],0)</f>
        <v>0</v>
      </c>
      <c r="V108" s="12">
        <f>_xlfn.XLOOKUP(TableDailySummary[[#This Row],[Fecha]],SummaryDaily[day],SummaryDaily[Corporativo no tienda_orders],0)</f>
        <v>0</v>
      </c>
      <c r="W108" s="12">
        <f>_xlfn.XLOOKUP(TableDailySummary[[#This Row],[Fecha]],SummaryDaily[day],SummaryDaily[Corporativo no tienda_average_order_value],0)</f>
        <v>0</v>
      </c>
      <c r="X108" s="12">
        <f>_xlfn.XLOOKUP(TableDailySummary[[#This Row],[Fecha]],SummaryDaily[day],SummaryDaily[GoogleAdsOperation.Cost],0)</f>
        <v>105746.73</v>
      </c>
      <c r="Y108" s="12">
        <f>SUMIFS(SalesByUTMDaily[google],SalesByUTMDaily[day],TableDailySummary[[#This Row],[Fecha]])</f>
        <v>0</v>
      </c>
      <c r="Z108" s="12">
        <f>_xlfn.XLOOKUP(TableDailySummary[[#This Row],[Fecha]],SummaryDaily[day],SummaryDaily[MetaAdsOperation.spend],0)</f>
        <v>40537</v>
      </c>
      <c r="AA108" s="12">
        <f>SUMIFS(SalesByUTMDaily[facebook],SalesByUTMDaily[day],TableDailySummary[[#This Row],[Fecha]])</f>
        <v>124000</v>
      </c>
      <c r="AB108" s="12">
        <f>TableDailySummary[[#This Row],[Inversión google ads]]+TableDailySummary[[#This Row],[Inversión meta ads]]</f>
        <v>146283.72999999998</v>
      </c>
      <c r="AC108" s="12">
        <f>TableDailySummary[[#This Row],[Ventas google ads]]+TableDailySummary[[#This Row],[Ventas meta ads]]</f>
        <v>124000</v>
      </c>
      <c r="AD108" s="14">
        <f>IFERROR(TableDailySummary[[#This Row],[Ventas publicidad]]/TableDailySummary[[#This Row],[Inversión publicidad]],0)</f>
        <v>0.84766774814943546</v>
      </c>
      <c r="AE108" s="14">
        <f>IFERROR(TableDailySummary[[#This Row],[Ventas primer cliente]]/TableDailySummary[[#This Row],[Inversión publicidad]],0)</f>
        <v>1.8440048664331981</v>
      </c>
      <c r="AF108" s="14"/>
      <c r="AG108" s="12"/>
      <c r="AM108" s="12">
        <f>_xlfn.XLOOKUP(TableDailySummary[[#This Row],[Fecha]],SummaryDaily[day],SummaryDaily[net_sales_with_cost_recorded],0)</f>
        <v>967226.91</v>
      </c>
      <c r="AN108" s="12">
        <f>_xlfn.XLOOKUP(TableDailySummary[[#This Row],[Fecha]],SummaryDaily[day],SummaryDaily[cost_of_goods_sold],0)</f>
        <v>251400</v>
      </c>
      <c r="AO108" s="12">
        <f>_xlfn.XLOOKUP(TableDailySummary[[#This Row],[Fecha]],SummaryDaily[day],SummaryDaily[gross_profit],0)</f>
        <v>715826.91</v>
      </c>
      <c r="AP108" s="18">
        <f>IFERROR(TableDailySummary[[#This Row],[Utilidad bruta]]/TableDailySummary[[#This Row],[Ventas netas con costo registrado]],0)</f>
        <v>0.74008167328595109</v>
      </c>
    </row>
    <row r="109" spans="2:42" x14ac:dyDescent="0.2">
      <c r="B109" s="15" cm="1">
        <f t="array" ref="B109">MIN(SummaryDaily[day]) + (ROW(TableDailySummary[#This Row]) - ROW(TableDailySummary[[#Headers],[Dia]]) - 1)</f>
        <v>45880</v>
      </c>
      <c r="C109" s="6">
        <f>TableDailySummary[[#This Row],[Dia]]</f>
        <v>45880</v>
      </c>
      <c r="D109" s="12">
        <f>_xlfn.XLOOKUP(TableDailySummary[[#This Row],[Fecha]],SummaryDaily[day],SummaryDaily[net_sales],0)</f>
        <v>2174405.0499999998</v>
      </c>
      <c r="E109" s="12">
        <f>_xlfn.XLOOKUP(TableDailySummary[[#This Row],[Fecha]],SummaryDaily[day],SummaryDaily[orders],0)</f>
        <v>21</v>
      </c>
      <c r="F109" s="12">
        <f>_xlfn.XLOOKUP(TableDailySummary[[#This Row],[Fecha]],SummaryDaily[day],SummaryDaily[average_order_value],0)</f>
        <v>103543.09699999999</v>
      </c>
      <c r="G109" s="24">
        <f>_xlfn.XLOOKUP(TableDailySummary[[#This Row],[Fecha]],SummaryDaily[day],SummaryDaily[Total site_conversion_rate],0)</f>
        <v>8.3916083916083916E-3</v>
      </c>
      <c r="H109" s="12">
        <f>TableDailySummary[[#This Row],[Órden promedio totales]]*TableDailySummary[[#This Row],[CR totales]]</f>
        <v>868.89312167832168</v>
      </c>
      <c r="I109" s="12">
        <f>_xlfn.XLOOKUP(TableDailySummary[[#This Row],[Fecha]],SummaryDaily[day],SummaryDaily[new_net_sales],0)</f>
        <v>1314285.72</v>
      </c>
      <c r="J109" s="12">
        <f>_xlfn.XLOOKUP(TableDailySummary[[#This Row],[Fecha]],SummaryDaily[day],SummaryDaily[new_orders],0)</f>
        <v>8</v>
      </c>
      <c r="K109" s="12">
        <f>_xlfn.XLOOKUP(TableDailySummary[[#This Row],[Fecha]],SummaryDaily[day],SummaryDaily[new_average_order_value],0)</f>
        <v>164285.715</v>
      </c>
      <c r="L109" s="12">
        <f>_xlfn.XLOOKUP(TableDailySummary[[#This Row],[Fecha]],SummaryDaily[day],SummaryDaily[Online Store_net_sales],0)</f>
        <v>1120169.76</v>
      </c>
      <c r="M109" s="12">
        <f>_xlfn.XLOOKUP(TableDailySummary[[#This Row],[Fecha]],SummaryDaily[day],SummaryDaily[Online Store_orders],0)</f>
        <v>11</v>
      </c>
      <c r="N109" s="12">
        <f>_xlfn.XLOOKUP(TableDailySummary[[#This Row],[Fecha]],SummaryDaily[day],SummaryDaily[Online Store_average_order_value],0)</f>
        <v>101833.614</v>
      </c>
      <c r="O109" s="12">
        <f>_xlfn.XLOOKUP(TableDailySummary[[#This Row],[Fecha]],SummaryDaily[day],SummaryDaily[Tienda 81_net_sales],0)</f>
        <v>545831.93000000005</v>
      </c>
      <c r="P109" s="12">
        <f>_xlfn.XLOOKUP(TableDailySummary[[#This Row],[Fecha]],SummaryDaily[day],SummaryDaily[Tienda 81_orders],0)</f>
        <v>6</v>
      </c>
      <c r="Q109" s="12">
        <f>_xlfn.XLOOKUP(TableDailySummary[[#This Row],[Fecha]],SummaryDaily[day],SummaryDaily[Tienda 81_average_order_value],0)</f>
        <v>90971.987999999998</v>
      </c>
      <c r="R109" s="12">
        <f>_xlfn.XLOOKUP(TableDailySummary[[#This Row],[Fecha]],SummaryDaily[day],SummaryDaily[Rappi_net_sales],0)</f>
        <v>415966.39</v>
      </c>
      <c r="S109" s="12">
        <f>_xlfn.XLOOKUP(TableDailySummary[[#This Row],[Fecha]],SummaryDaily[day],SummaryDaily[Rappi_orders],0)</f>
        <v>3</v>
      </c>
      <c r="T109" s="12">
        <f>_xlfn.XLOOKUP(TableDailySummary[[#This Row],[Fecha]],SummaryDaily[day],SummaryDaily[Rappi_average_order_value],0)</f>
        <v>138655.46299999999</v>
      </c>
      <c r="U109" s="12">
        <f>_xlfn.XLOOKUP(TableDailySummary[[#This Row],[Fecha]],SummaryDaily[day],SummaryDaily[Corporativo no tienda_net_sales],0)</f>
        <v>0</v>
      </c>
      <c r="V109" s="12">
        <f>_xlfn.XLOOKUP(TableDailySummary[[#This Row],[Fecha]],SummaryDaily[day],SummaryDaily[Corporativo no tienda_orders],0)</f>
        <v>0</v>
      </c>
      <c r="W109" s="12">
        <f>_xlfn.XLOOKUP(TableDailySummary[[#This Row],[Fecha]],SummaryDaily[day],SummaryDaily[Corporativo no tienda_average_order_value],0)</f>
        <v>0</v>
      </c>
      <c r="X109" s="12">
        <f>_xlfn.XLOOKUP(TableDailySummary[[#This Row],[Fecha]],SummaryDaily[day],SummaryDaily[GoogleAdsOperation.Cost],0)</f>
        <v>98419.38</v>
      </c>
      <c r="Y109" s="12">
        <f>SUMIFS(SalesByUTMDaily[google],SalesByUTMDaily[day],TableDailySummary[[#This Row],[Fecha]])</f>
        <v>0</v>
      </c>
      <c r="Z109" s="12">
        <f>_xlfn.XLOOKUP(TableDailySummary[[#This Row],[Fecha]],SummaryDaily[day],SummaryDaily[MetaAdsOperation.spend],0)</f>
        <v>40143</v>
      </c>
      <c r="AA109" s="12">
        <f>SUMIFS(SalesByUTMDaily[facebook],SalesByUTMDaily[day],TableDailySummary[[#This Row],[Fecha]])</f>
        <v>0</v>
      </c>
      <c r="AB109" s="12">
        <f>TableDailySummary[[#This Row],[Inversión google ads]]+TableDailySummary[[#This Row],[Inversión meta ads]]</f>
        <v>138562.38</v>
      </c>
      <c r="AC109" s="12">
        <f>TableDailySummary[[#This Row],[Ventas google ads]]+TableDailySummary[[#This Row],[Ventas meta ads]]</f>
        <v>0</v>
      </c>
      <c r="AD109" s="14">
        <f>IFERROR(TableDailySummary[[#This Row],[Ventas publicidad]]/TableDailySummary[[#This Row],[Inversión publicidad]],0)</f>
        <v>0</v>
      </c>
      <c r="AE109" s="14">
        <f>IFERROR(TableDailySummary[[#This Row],[Ventas primer cliente]]/TableDailySummary[[#This Row],[Inversión publicidad]],0)</f>
        <v>9.4851554945866248</v>
      </c>
      <c r="AF109" s="14"/>
      <c r="AG109" s="12"/>
      <c r="AM109" s="12">
        <f>_xlfn.XLOOKUP(TableDailySummary[[#This Row],[Fecha]],SummaryDaily[day],SummaryDaily[net_sales_with_cost_recorded],0)</f>
        <v>2141630.2599999998</v>
      </c>
      <c r="AN109" s="12">
        <f>_xlfn.XLOOKUP(TableDailySummary[[#This Row],[Fecha]],SummaryDaily[day],SummaryDaily[cost_of_goods_sold],0)</f>
        <v>673089</v>
      </c>
      <c r="AO109" s="12">
        <f>_xlfn.XLOOKUP(TableDailySummary[[#This Row],[Fecha]],SummaryDaily[day],SummaryDaily[gross_profit],0)</f>
        <v>1468541.26</v>
      </c>
      <c r="AP109" s="18">
        <f>IFERROR(TableDailySummary[[#This Row],[Utilidad bruta]]/TableDailySummary[[#This Row],[Ventas netas con costo registrado]],0)</f>
        <v>0.6857118557897105</v>
      </c>
    </row>
    <row r="110" spans="2:42" x14ac:dyDescent="0.2">
      <c r="B110" s="15" cm="1">
        <f t="array" ref="B110">MIN(SummaryDaily[day]) + (ROW(TableDailySummary[#This Row]) - ROW(TableDailySummary[[#Headers],[Dia]]) - 1)</f>
        <v>45881</v>
      </c>
      <c r="C110" s="6">
        <f>TableDailySummary[[#This Row],[Dia]]</f>
        <v>45881</v>
      </c>
      <c r="D110" s="12">
        <f>_xlfn.XLOOKUP(TableDailySummary[[#This Row],[Fecha]],SummaryDaily[day],SummaryDaily[net_sales],0)</f>
        <v>3268068.09</v>
      </c>
      <c r="E110" s="12">
        <f>_xlfn.XLOOKUP(TableDailySummary[[#This Row],[Fecha]],SummaryDaily[day],SummaryDaily[orders],0)</f>
        <v>21</v>
      </c>
      <c r="F110" s="12">
        <f>_xlfn.XLOOKUP(TableDailySummary[[#This Row],[Fecha]],SummaryDaily[day],SummaryDaily[average_order_value],0)</f>
        <v>155622.29</v>
      </c>
      <c r="G110" s="24">
        <f>_xlfn.XLOOKUP(TableDailySummary[[#This Row],[Fecha]],SummaryDaily[day],SummaryDaily[Total site_conversion_rate],0)</f>
        <v>3.9267015706806281E-3</v>
      </c>
      <c r="H110" s="12">
        <f>TableDailySummary[[#This Row],[Órden promedio totales]]*TableDailySummary[[#This Row],[CR totales]]</f>
        <v>611.0822905759162</v>
      </c>
      <c r="I110" s="12">
        <f>_xlfn.XLOOKUP(TableDailySummary[[#This Row],[Fecha]],SummaryDaily[day],SummaryDaily[new_net_sales],0)</f>
        <v>1323495.81</v>
      </c>
      <c r="J110" s="12">
        <f>_xlfn.XLOOKUP(TableDailySummary[[#This Row],[Fecha]],SummaryDaily[day],SummaryDaily[new_orders],0)</f>
        <v>10</v>
      </c>
      <c r="K110" s="12">
        <f>_xlfn.XLOOKUP(TableDailySummary[[#This Row],[Fecha]],SummaryDaily[day],SummaryDaily[new_average_order_value],0)</f>
        <v>132349.58100000001</v>
      </c>
      <c r="L110" s="12">
        <f>_xlfn.XLOOKUP(TableDailySummary[[#This Row],[Fecha]],SummaryDaily[day],SummaryDaily[Online Store_net_sales],0)</f>
        <v>370622.69</v>
      </c>
      <c r="M110" s="12">
        <f>_xlfn.XLOOKUP(TableDailySummary[[#This Row],[Fecha]],SummaryDaily[day],SummaryDaily[Online Store_orders],0)</f>
        <v>6</v>
      </c>
      <c r="N110" s="12">
        <f>_xlfn.XLOOKUP(TableDailySummary[[#This Row],[Fecha]],SummaryDaily[day],SummaryDaily[Online Store_average_order_value],0)</f>
        <v>61770.447999999997</v>
      </c>
      <c r="O110" s="12">
        <f>_xlfn.XLOOKUP(TableDailySummary[[#This Row],[Fecha]],SummaryDaily[day],SummaryDaily[Tienda 81_net_sales],0)</f>
        <v>2813411.79</v>
      </c>
      <c r="P110" s="12">
        <f>_xlfn.XLOOKUP(TableDailySummary[[#This Row],[Fecha]],SummaryDaily[day],SummaryDaily[Tienda 81_orders],0)</f>
        <v>14</v>
      </c>
      <c r="Q110" s="12">
        <f>_xlfn.XLOOKUP(TableDailySummary[[#This Row],[Fecha]],SummaryDaily[day],SummaryDaily[Tienda 81_average_order_value],0)</f>
        <v>200957.98499999999</v>
      </c>
      <c r="R110" s="12">
        <f>_xlfn.XLOOKUP(TableDailySummary[[#This Row],[Fecha]],SummaryDaily[day],SummaryDaily[Rappi_net_sales],0)</f>
        <v>0</v>
      </c>
      <c r="S110" s="12">
        <f>_xlfn.XLOOKUP(TableDailySummary[[#This Row],[Fecha]],SummaryDaily[day],SummaryDaily[Rappi_orders],0)</f>
        <v>0</v>
      </c>
      <c r="T110" s="12">
        <f>_xlfn.XLOOKUP(TableDailySummary[[#This Row],[Fecha]],SummaryDaily[day],SummaryDaily[Rappi_average_order_value],0)</f>
        <v>0</v>
      </c>
      <c r="U110" s="12">
        <f>_xlfn.XLOOKUP(TableDailySummary[[#This Row],[Fecha]],SummaryDaily[day],SummaryDaily[Corporativo no tienda_net_sales],0)</f>
        <v>0</v>
      </c>
      <c r="V110" s="12">
        <f>_xlfn.XLOOKUP(TableDailySummary[[#This Row],[Fecha]],SummaryDaily[day],SummaryDaily[Corporativo no tienda_orders],0)</f>
        <v>0</v>
      </c>
      <c r="W110" s="12">
        <f>_xlfn.XLOOKUP(TableDailySummary[[#This Row],[Fecha]],SummaryDaily[day],SummaryDaily[Corporativo no tienda_average_order_value],0)</f>
        <v>0</v>
      </c>
      <c r="X110" s="12">
        <f>_xlfn.XLOOKUP(TableDailySummary[[#This Row],[Fecha]],SummaryDaily[day],SummaryDaily[GoogleAdsOperation.Cost],0)</f>
        <v>141773.60999999999</v>
      </c>
      <c r="Y110" s="12">
        <f>SUMIFS(SalesByUTMDaily[google],SalesByUTMDaily[day],TableDailySummary[[#This Row],[Fecha]])</f>
        <v>0</v>
      </c>
      <c r="Z110" s="12">
        <f>_xlfn.XLOOKUP(TableDailySummary[[#This Row],[Fecha]],SummaryDaily[day],SummaryDaily[MetaAdsOperation.spend],0)</f>
        <v>40793</v>
      </c>
      <c r="AA110" s="12">
        <f>SUMIFS(SalesByUTMDaily[facebook],SalesByUTMDaily[day],TableDailySummary[[#This Row],[Fecha]])</f>
        <v>0</v>
      </c>
      <c r="AB110" s="12">
        <f>TableDailySummary[[#This Row],[Inversión google ads]]+TableDailySummary[[#This Row],[Inversión meta ads]]</f>
        <v>182566.61</v>
      </c>
      <c r="AC110" s="12">
        <f>TableDailySummary[[#This Row],[Ventas google ads]]+TableDailySummary[[#This Row],[Ventas meta ads]]</f>
        <v>0</v>
      </c>
      <c r="AD110" s="14">
        <f>IFERROR(TableDailySummary[[#This Row],[Ventas publicidad]]/TableDailySummary[[#This Row],[Inversión publicidad]],0)</f>
        <v>0</v>
      </c>
      <c r="AE110" s="14">
        <f>IFERROR(TableDailySummary[[#This Row],[Ventas primer cliente]]/TableDailySummary[[#This Row],[Inversión publicidad]],0)</f>
        <v>7.2493859090662864</v>
      </c>
      <c r="AF110" s="14"/>
      <c r="AG110" s="12"/>
      <c r="AM110" s="12">
        <f>_xlfn.XLOOKUP(TableDailySummary[[#This Row],[Fecha]],SummaryDaily[day],SummaryDaily[net_sales_with_cost_recorded],0)</f>
        <v>3268067.25</v>
      </c>
      <c r="AN110" s="12">
        <f>_xlfn.XLOOKUP(TableDailySummary[[#This Row],[Fecha]],SummaryDaily[day],SummaryDaily[cost_of_goods_sold],0)</f>
        <v>989380</v>
      </c>
      <c r="AO110" s="12">
        <f>_xlfn.XLOOKUP(TableDailySummary[[#This Row],[Fecha]],SummaryDaily[day],SummaryDaily[gross_profit],0)</f>
        <v>2278687.25</v>
      </c>
      <c r="AP110" s="18">
        <f>IFERROR(TableDailySummary[[#This Row],[Utilidad bruta]]/TableDailySummary[[#This Row],[Ventas netas con costo registrado]],0)</f>
        <v>0.69725837190161866</v>
      </c>
    </row>
    <row r="111" spans="2:42" x14ac:dyDescent="0.2">
      <c r="B111" s="15" cm="1">
        <f t="array" ref="B111">MIN(SummaryDaily[day]) + (ROW(TableDailySummary[#This Row]) - ROW(TableDailySummary[[#Headers],[Dia]]) - 1)</f>
        <v>45882</v>
      </c>
      <c r="C111" s="6">
        <f>TableDailySummary[[#This Row],[Dia]]</f>
        <v>45882</v>
      </c>
      <c r="D111" s="12">
        <f>_xlfn.XLOOKUP(TableDailySummary[[#This Row],[Fecha]],SummaryDaily[day],SummaryDaily[net_sales],0)</f>
        <v>1152100.8600000001</v>
      </c>
      <c r="E111" s="12">
        <f>_xlfn.XLOOKUP(TableDailySummary[[#This Row],[Fecha]],SummaryDaily[day],SummaryDaily[orders],0)</f>
        <v>11</v>
      </c>
      <c r="F111" s="12">
        <f>_xlfn.XLOOKUP(TableDailySummary[[#This Row],[Fecha]],SummaryDaily[day],SummaryDaily[average_order_value],0)</f>
        <v>102215.433</v>
      </c>
      <c r="G111" s="24">
        <f>_xlfn.XLOOKUP(TableDailySummary[[#This Row],[Fecha]],SummaryDaily[day],SummaryDaily[Total site_conversion_rate],0)</f>
        <v>7.6726342710997444E-3</v>
      </c>
      <c r="H111" s="12">
        <f>TableDailySummary[[#This Row],[Órden promedio totales]]*TableDailySummary[[#This Row],[CR totales]]</f>
        <v>784.26163427109975</v>
      </c>
      <c r="I111" s="12">
        <f>_xlfn.XLOOKUP(TableDailySummary[[#This Row],[Fecha]],SummaryDaily[day],SummaryDaily[new_net_sales],0)</f>
        <v>562184.89</v>
      </c>
      <c r="J111" s="12">
        <f>_xlfn.XLOOKUP(TableDailySummary[[#This Row],[Fecha]],SummaryDaily[day],SummaryDaily[new_orders],0)</f>
        <v>5</v>
      </c>
      <c r="K111" s="12">
        <f>_xlfn.XLOOKUP(TableDailySummary[[#This Row],[Fecha]],SummaryDaily[day],SummaryDaily[new_average_order_value],0)</f>
        <v>112436.978</v>
      </c>
      <c r="L111" s="12">
        <f>_xlfn.XLOOKUP(TableDailySummary[[#This Row],[Fecha]],SummaryDaily[day],SummaryDaily[Online Store_net_sales],0)</f>
        <v>726890.77</v>
      </c>
      <c r="M111" s="12">
        <f>_xlfn.XLOOKUP(TableDailySummary[[#This Row],[Fecha]],SummaryDaily[day],SummaryDaily[Online Store_orders],0)</f>
        <v>6</v>
      </c>
      <c r="N111" s="12">
        <f>_xlfn.XLOOKUP(TableDailySummary[[#This Row],[Fecha]],SummaryDaily[day],SummaryDaily[Online Store_average_order_value],0)</f>
        <v>121148.461</v>
      </c>
      <c r="O111" s="12">
        <f>_xlfn.XLOOKUP(TableDailySummary[[#This Row],[Fecha]],SummaryDaily[day],SummaryDaily[Tienda 81_net_sales],0)</f>
        <v>323529.42</v>
      </c>
      <c r="P111" s="12">
        <f>_xlfn.XLOOKUP(TableDailySummary[[#This Row],[Fecha]],SummaryDaily[day],SummaryDaily[Tienda 81_orders],0)</f>
        <v>3</v>
      </c>
      <c r="Q111" s="12">
        <f>_xlfn.XLOOKUP(TableDailySummary[[#This Row],[Fecha]],SummaryDaily[day],SummaryDaily[Tienda 81_average_order_value],0)</f>
        <v>98599.442999999999</v>
      </c>
      <c r="R111" s="12">
        <f>_xlfn.XLOOKUP(TableDailySummary[[#This Row],[Fecha]],SummaryDaily[day],SummaryDaily[Rappi_net_sales],0)</f>
        <v>54621.85</v>
      </c>
      <c r="S111" s="12">
        <f>_xlfn.XLOOKUP(TableDailySummary[[#This Row],[Fecha]],SummaryDaily[day],SummaryDaily[Rappi_orders],0)</f>
        <v>1</v>
      </c>
      <c r="T111" s="12">
        <f>_xlfn.XLOOKUP(TableDailySummary[[#This Row],[Fecha]],SummaryDaily[day],SummaryDaily[Rappi_average_order_value],0)</f>
        <v>54621.85</v>
      </c>
      <c r="U111" s="12">
        <f>_xlfn.XLOOKUP(TableDailySummary[[#This Row],[Fecha]],SummaryDaily[day],SummaryDaily[Corporativo no tienda_net_sales],0)</f>
        <v>0</v>
      </c>
      <c r="V111" s="12">
        <f>_xlfn.XLOOKUP(TableDailySummary[[#This Row],[Fecha]],SummaryDaily[day],SummaryDaily[Corporativo no tienda_orders],0)</f>
        <v>0</v>
      </c>
      <c r="W111" s="12">
        <f>_xlfn.XLOOKUP(TableDailySummary[[#This Row],[Fecha]],SummaryDaily[day],SummaryDaily[Corporativo no tienda_average_order_value],0)</f>
        <v>0</v>
      </c>
      <c r="X111" s="12">
        <f>_xlfn.XLOOKUP(TableDailySummary[[#This Row],[Fecha]],SummaryDaily[day],SummaryDaily[GoogleAdsOperation.Cost],0)</f>
        <v>101427.16</v>
      </c>
      <c r="Y111" s="12">
        <f>SUMIFS(SalesByUTMDaily[google],SalesByUTMDaily[day],TableDailySummary[[#This Row],[Fecha]])</f>
        <v>0</v>
      </c>
      <c r="Z111" s="12">
        <f>_xlfn.XLOOKUP(TableDailySummary[[#This Row],[Fecha]],SummaryDaily[day],SummaryDaily[MetaAdsOperation.spend],0)</f>
        <v>38862</v>
      </c>
      <c r="AA111" s="12">
        <f>SUMIFS(SalesByUTMDaily[facebook],SalesByUTMDaily[day],TableDailySummary[[#This Row],[Fecha]])</f>
        <v>0</v>
      </c>
      <c r="AB111" s="12">
        <f>TableDailySummary[[#This Row],[Inversión google ads]]+TableDailySummary[[#This Row],[Inversión meta ads]]</f>
        <v>140289.16</v>
      </c>
      <c r="AC111" s="12">
        <f>TableDailySummary[[#This Row],[Ventas google ads]]+TableDailySummary[[#This Row],[Ventas meta ads]]</f>
        <v>0</v>
      </c>
      <c r="AD111" s="14">
        <f>IFERROR(TableDailySummary[[#This Row],[Ventas publicidad]]/TableDailySummary[[#This Row],[Inversión publicidad]],0)</f>
        <v>0</v>
      </c>
      <c r="AE111" s="14">
        <f>IFERROR(TableDailySummary[[#This Row],[Ventas primer cliente]]/TableDailySummary[[#This Row],[Inversión publicidad]],0)</f>
        <v>4.0073295042895687</v>
      </c>
      <c r="AF111" s="14"/>
      <c r="AG111" s="12"/>
      <c r="AM111" s="12">
        <f>_xlfn.XLOOKUP(TableDailySummary[[#This Row],[Fecha]],SummaryDaily[day],SummaryDaily[net_sales_with_cost_recorded],0)</f>
        <v>1152100.8600000001</v>
      </c>
      <c r="AN111" s="12">
        <f>_xlfn.XLOOKUP(TableDailySummary[[#This Row],[Fecha]],SummaryDaily[day],SummaryDaily[cost_of_goods_sold],0)</f>
        <v>349922</v>
      </c>
      <c r="AO111" s="12">
        <f>_xlfn.XLOOKUP(TableDailySummary[[#This Row],[Fecha]],SummaryDaily[day],SummaryDaily[gross_profit],0)</f>
        <v>802178.86</v>
      </c>
      <c r="AP111" s="18">
        <f>IFERROR(TableDailySummary[[#This Row],[Utilidad bruta]]/TableDailySummary[[#This Row],[Ventas netas con costo registrado]],0)</f>
        <v>0.69627485565803671</v>
      </c>
    </row>
    <row r="112" spans="2:42" x14ac:dyDescent="0.2">
      <c r="B112" s="15" cm="1">
        <f t="array" ref="B112">MIN(SummaryDaily[day]) + (ROW(TableDailySummary[#This Row]) - ROW(TableDailySummary[[#Headers],[Dia]]) - 1)</f>
        <v>45883</v>
      </c>
      <c r="C112" s="6">
        <f>TableDailySummary[[#This Row],[Dia]]</f>
        <v>45883</v>
      </c>
      <c r="D112" s="12">
        <f>_xlfn.XLOOKUP(TableDailySummary[[#This Row],[Fecha]],SummaryDaily[day],SummaryDaily[net_sales],0)</f>
        <v>3092445.37</v>
      </c>
      <c r="E112" s="12">
        <f>_xlfn.XLOOKUP(TableDailySummary[[#This Row],[Fecha]],SummaryDaily[day],SummaryDaily[orders],0)</f>
        <v>16</v>
      </c>
      <c r="F112" s="12">
        <f>_xlfn.XLOOKUP(TableDailySummary[[#This Row],[Fecha]],SummaryDaily[day],SummaryDaily[average_order_value],0)</f>
        <v>192017.33100000001</v>
      </c>
      <c r="G112" s="24">
        <f>_xlfn.XLOOKUP(TableDailySummary[[#This Row],[Fecha]],SummaryDaily[day],SummaryDaily[Total site_conversion_rate],0)</f>
        <v>4.6801872074882997E-3</v>
      </c>
      <c r="H112" s="12">
        <f>TableDailySummary[[#This Row],[Órden promedio totales]]*TableDailySummary[[#This Row],[CR totales]]</f>
        <v>898.67705616224657</v>
      </c>
      <c r="I112" s="12">
        <f>_xlfn.XLOOKUP(TableDailySummary[[#This Row],[Fecha]],SummaryDaily[day],SummaryDaily[new_net_sales],0)</f>
        <v>2412184.86</v>
      </c>
      <c r="J112" s="12">
        <f>_xlfn.XLOOKUP(TableDailySummary[[#This Row],[Fecha]],SummaryDaily[day],SummaryDaily[new_orders],0)</f>
        <v>9</v>
      </c>
      <c r="K112" s="12">
        <f>_xlfn.XLOOKUP(TableDailySummary[[#This Row],[Fecha]],SummaryDaily[day],SummaryDaily[new_average_order_value],0)</f>
        <v>269887.95400000003</v>
      </c>
      <c r="L112" s="12">
        <f>_xlfn.XLOOKUP(TableDailySummary[[#This Row],[Fecha]],SummaryDaily[day],SummaryDaily[Online Store_net_sales],0)</f>
        <v>189075.63</v>
      </c>
      <c r="M112" s="12">
        <f>_xlfn.XLOOKUP(TableDailySummary[[#This Row],[Fecha]],SummaryDaily[day],SummaryDaily[Online Store_orders],0)</f>
        <v>2</v>
      </c>
      <c r="N112" s="12">
        <f>_xlfn.XLOOKUP(TableDailySummary[[#This Row],[Fecha]],SummaryDaily[day],SummaryDaily[Online Store_average_order_value],0)</f>
        <v>94537.815000000002</v>
      </c>
      <c r="O112" s="12">
        <f>_xlfn.XLOOKUP(TableDailySummary[[#This Row],[Fecha]],SummaryDaily[day],SummaryDaily[Tienda 81_net_sales],0)</f>
        <v>2881521</v>
      </c>
      <c r="P112" s="12">
        <f>_xlfn.XLOOKUP(TableDailySummary[[#This Row],[Fecha]],SummaryDaily[day],SummaryDaily[Tienda 81_orders],0)</f>
        <v>13</v>
      </c>
      <c r="Q112" s="12">
        <f>_xlfn.XLOOKUP(TableDailySummary[[#This Row],[Fecha]],SummaryDaily[day],SummaryDaily[Tienda 81_average_order_value],0)</f>
        <v>220104.07199999999</v>
      </c>
      <c r="R112" s="12">
        <f>_xlfn.XLOOKUP(TableDailySummary[[#This Row],[Fecha]],SummaryDaily[day],SummaryDaily[Rappi_net_sales],0)</f>
        <v>21848.74</v>
      </c>
      <c r="S112" s="12">
        <f>_xlfn.XLOOKUP(TableDailySummary[[#This Row],[Fecha]],SummaryDaily[day],SummaryDaily[Rappi_orders],0)</f>
        <v>1</v>
      </c>
      <c r="T112" s="12">
        <f>_xlfn.XLOOKUP(TableDailySummary[[#This Row],[Fecha]],SummaryDaily[day],SummaryDaily[Rappi_average_order_value],0)</f>
        <v>21848.74</v>
      </c>
      <c r="U112" s="12">
        <f>_xlfn.XLOOKUP(TableDailySummary[[#This Row],[Fecha]],SummaryDaily[day],SummaryDaily[Corporativo no tienda_net_sales],0)</f>
        <v>0</v>
      </c>
      <c r="V112" s="12">
        <f>_xlfn.XLOOKUP(TableDailySummary[[#This Row],[Fecha]],SummaryDaily[day],SummaryDaily[Corporativo no tienda_orders],0)</f>
        <v>0</v>
      </c>
      <c r="W112" s="12">
        <f>_xlfn.XLOOKUP(TableDailySummary[[#This Row],[Fecha]],SummaryDaily[day],SummaryDaily[Corporativo no tienda_average_order_value],0)</f>
        <v>0</v>
      </c>
      <c r="X112" s="12">
        <f>_xlfn.XLOOKUP(TableDailySummary[[#This Row],[Fecha]],SummaryDaily[day],SummaryDaily[GoogleAdsOperation.Cost],0)</f>
        <v>100623.62</v>
      </c>
      <c r="Y112" s="12">
        <f>SUMIFS(SalesByUTMDaily[google],SalesByUTMDaily[day],TableDailySummary[[#This Row],[Fecha]])</f>
        <v>0</v>
      </c>
      <c r="Z112" s="12">
        <f>_xlfn.XLOOKUP(TableDailySummary[[#This Row],[Fecha]],SummaryDaily[day],SummaryDaily[MetaAdsOperation.spend],0)</f>
        <v>38163</v>
      </c>
      <c r="AA112" s="12">
        <f>SUMIFS(SalesByUTMDaily[facebook],SalesByUTMDaily[day],TableDailySummary[[#This Row],[Fecha]])</f>
        <v>0</v>
      </c>
      <c r="AB112" s="12">
        <f>TableDailySummary[[#This Row],[Inversión google ads]]+TableDailySummary[[#This Row],[Inversión meta ads]]</f>
        <v>138786.62</v>
      </c>
      <c r="AC112" s="12">
        <f>TableDailySummary[[#This Row],[Ventas google ads]]+TableDailySummary[[#This Row],[Ventas meta ads]]</f>
        <v>0</v>
      </c>
      <c r="AD112" s="14">
        <f>IFERROR(TableDailySummary[[#This Row],[Ventas publicidad]]/TableDailySummary[[#This Row],[Inversión publicidad]],0)</f>
        <v>0</v>
      </c>
      <c r="AE112" s="14">
        <f>IFERROR(TableDailySummary[[#This Row],[Ventas primer cliente]]/TableDailySummary[[#This Row],[Inversión publicidad]],0)</f>
        <v>17.38052890112894</v>
      </c>
      <c r="AF112" s="14"/>
      <c r="AG112" s="12"/>
      <c r="AM112" s="12">
        <f>_xlfn.XLOOKUP(TableDailySummary[[#This Row],[Fecha]],SummaryDaily[day],SummaryDaily[net_sales_with_cost_recorded],0)</f>
        <v>3092445.37</v>
      </c>
      <c r="AN112" s="12">
        <f>_xlfn.XLOOKUP(TableDailySummary[[#This Row],[Fecha]],SummaryDaily[day],SummaryDaily[cost_of_goods_sold],0)</f>
        <v>979792</v>
      </c>
      <c r="AO112" s="12">
        <f>_xlfn.XLOOKUP(TableDailySummary[[#This Row],[Fecha]],SummaryDaily[day],SummaryDaily[gross_profit],0)</f>
        <v>2112653.37</v>
      </c>
      <c r="AP112" s="18">
        <f>IFERROR(TableDailySummary[[#This Row],[Utilidad bruta]]/TableDailySummary[[#This Row],[Ventas netas con costo registrado]],0)</f>
        <v>0.68316594708348888</v>
      </c>
    </row>
    <row r="113" spans="2:42" x14ac:dyDescent="0.2">
      <c r="B113" s="15" cm="1">
        <f t="array" ref="B113">MIN(SummaryDaily[day]) + (ROW(TableDailySummary[#This Row]) - ROW(TableDailySummary[[#Headers],[Dia]]) - 1)</f>
        <v>45884</v>
      </c>
      <c r="C113" s="6">
        <f>TableDailySummary[[#This Row],[Dia]]</f>
        <v>45884</v>
      </c>
      <c r="D113" s="12">
        <f>_xlfn.XLOOKUP(TableDailySummary[[#This Row],[Fecha]],SummaryDaily[day],SummaryDaily[net_sales],0)</f>
        <v>1878655.48</v>
      </c>
      <c r="E113" s="12">
        <f>_xlfn.XLOOKUP(TableDailySummary[[#This Row],[Fecha]],SummaryDaily[day],SummaryDaily[orders],0)</f>
        <v>13</v>
      </c>
      <c r="F113" s="12">
        <f>_xlfn.XLOOKUP(TableDailySummary[[#This Row],[Fecha]],SummaryDaily[day],SummaryDaily[average_order_value],0)</f>
        <v>150006.465</v>
      </c>
      <c r="G113" s="24">
        <f>_xlfn.XLOOKUP(TableDailySummary[[#This Row],[Fecha]],SummaryDaily[day],SummaryDaily[Total site_conversion_rate],0)</f>
        <v>1.0084033613445379E-2</v>
      </c>
      <c r="H113" s="12">
        <f>TableDailySummary[[#This Row],[Órden promedio totales]]*TableDailySummary[[#This Row],[CR totales]]</f>
        <v>1512.6702352941177</v>
      </c>
      <c r="I113" s="12">
        <f>_xlfn.XLOOKUP(TableDailySummary[[#This Row],[Fecha]],SummaryDaily[day],SummaryDaily[new_net_sales],0)</f>
        <v>810084.04</v>
      </c>
      <c r="J113" s="12">
        <f>_xlfn.XLOOKUP(TableDailySummary[[#This Row],[Fecha]],SummaryDaily[day],SummaryDaily[new_orders],0)</f>
        <v>5</v>
      </c>
      <c r="K113" s="12">
        <f>_xlfn.XLOOKUP(TableDailySummary[[#This Row],[Fecha]],SummaryDaily[day],SummaryDaily[new_average_order_value],0)</f>
        <v>162016.80799999999</v>
      </c>
      <c r="L113" s="12">
        <f>_xlfn.XLOOKUP(TableDailySummary[[#This Row],[Fecha]],SummaryDaily[day],SummaryDaily[Online Store_net_sales],0)</f>
        <v>1299663.8700000001</v>
      </c>
      <c r="M113" s="12">
        <f>_xlfn.XLOOKUP(TableDailySummary[[#This Row],[Fecha]],SummaryDaily[day],SummaryDaily[Online Store_orders],0)</f>
        <v>8</v>
      </c>
      <c r="N113" s="12">
        <f>_xlfn.XLOOKUP(TableDailySummary[[#This Row],[Fecha]],SummaryDaily[day],SummaryDaily[Online Store_average_order_value],0)</f>
        <v>178214.28599999999</v>
      </c>
      <c r="O113" s="12">
        <f>_xlfn.XLOOKUP(TableDailySummary[[#This Row],[Fecha]],SummaryDaily[day],SummaryDaily[Tienda 81_net_sales],0)</f>
        <v>578991.61</v>
      </c>
      <c r="P113" s="12">
        <f>_xlfn.XLOOKUP(TableDailySummary[[#This Row],[Fecha]],SummaryDaily[day],SummaryDaily[Tienda 81_orders],0)</f>
        <v>5</v>
      </c>
      <c r="Q113" s="12">
        <f>_xlfn.XLOOKUP(TableDailySummary[[#This Row],[Fecha]],SummaryDaily[day],SummaryDaily[Tienda 81_average_order_value],0)</f>
        <v>104873.952</v>
      </c>
      <c r="R113" s="12">
        <f>_xlfn.XLOOKUP(TableDailySummary[[#This Row],[Fecha]],SummaryDaily[day],SummaryDaily[Rappi_net_sales],0)</f>
        <v>0</v>
      </c>
      <c r="S113" s="12">
        <f>_xlfn.XLOOKUP(TableDailySummary[[#This Row],[Fecha]],SummaryDaily[day],SummaryDaily[Rappi_orders],0)</f>
        <v>0</v>
      </c>
      <c r="T113" s="12">
        <f>_xlfn.XLOOKUP(TableDailySummary[[#This Row],[Fecha]],SummaryDaily[day],SummaryDaily[Rappi_average_order_value],0)</f>
        <v>0</v>
      </c>
      <c r="U113" s="12">
        <f>_xlfn.XLOOKUP(TableDailySummary[[#This Row],[Fecha]],SummaryDaily[day],SummaryDaily[Corporativo no tienda_net_sales],0)</f>
        <v>0</v>
      </c>
      <c r="V113" s="12">
        <f>_xlfn.XLOOKUP(TableDailySummary[[#This Row],[Fecha]],SummaryDaily[day],SummaryDaily[Corporativo no tienda_orders],0)</f>
        <v>0</v>
      </c>
      <c r="W113" s="12">
        <f>_xlfn.XLOOKUP(TableDailySummary[[#This Row],[Fecha]],SummaryDaily[day],SummaryDaily[Corporativo no tienda_average_order_value],0)</f>
        <v>0</v>
      </c>
      <c r="X113" s="12">
        <f>_xlfn.XLOOKUP(TableDailySummary[[#This Row],[Fecha]],SummaryDaily[day],SummaryDaily[GoogleAdsOperation.Cost],0)</f>
        <v>99161</v>
      </c>
      <c r="Y113" s="12">
        <f>SUMIFS(SalesByUTMDaily[google],SalesByUTMDaily[day],TableDailySummary[[#This Row],[Fecha]])</f>
        <v>0</v>
      </c>
      <c r="Z113" s="12">
        <f>_xlfn.XLOOKUP(TableDailySummary[[#This Row],[Fecha]],SummaryDaily[day],SummaryDaily[MetaAdsOperation.spend],0)</f>
        <v>38436</v>
      </c>
      <c r="AA113" s="12">
        <f>SUMIFS(SalesByUTMDaily[facebook],SalesByUTMDaily[day],TableDailySummary[[#This Row],[Fecha]])</f>
        <v>0</v>
      </c>
      <c r="AB113" s="12">
        <f>TableDailySummary[[#This Row],[Inversión google ads]]+TableDailySummary[[#This Row],[Inversión meta ads]]</f>
        <v>137597</v>
      </c>
      <c r="AC113" s="12">
        <f>TableDailySummary[[#This Row],[Ventas google ads]]+TableDailySummary[[#This Row],[Ventas meta ads]]</f>
        <v>0</v>
      </c>
      <c r="AD113" s="14">
        <f>IFERROR(TableDailySummary[[#This Row],[Ventas publicidad]]/TableDailySummary[[#This Row],[Inversión publicidad]],0)</f>
        <v>0</v>
      </c>
      <c r="AE113" s="14">
        <f>IFERROR(TableDailySummary[[#This Row],[Ventas primer cliente]]/TableDailySummary[[#This Row],[Inversión publicidad]],0)</f>
        <v>5.8873670210833087</v>
      </c>
      <c r="AF113" s="14"/>
      <c r="AG113" s="12"/>
      <c r="AM113" s="12">
        <f>_xlfn.XLOOKUP(TableDailySummary[[#This Row],[Fecha]],SummaryDaily[day],SummaryDaily[net_sales_with_cost_recorded],0)</f>
        <v>1878655.48</v>
      </c>
      <c r="AN113" s="12">
        <f>_xlfn.XLOOKUP(TableDailySummary[[#This Row],[Fecha]],SummaryDaily[day],SummaryDaily[cost_of_goods_sold],0)</f>
        <v>488037</v>
      </c>
      <c r="AO113" s="12">
        <f>_xlfn.XLOOKUP(TableDailySummary[[#This Row],[Fecha]],SummaryDaily[day],SummaryDaily[gross_profit],0)</f>
        <v>1390618.48</v>
      </c>
      <c r="AP113" s="18">
        <f>IFERROR(TableDailySummary[[#This Row],[Utilidad bruta]]/TableDailySummary[[#This Row],[Ventas netas con costo registrado]],0)</f>
        <v>0.74022006419186559</v>
      </c>
    </row>
    <row r="114" spans="2:42" x14ac:dyDescent="0.2">
      <c r="B114" s="15" cm="1">
        <f t="array" ref="B114">MIN(SummaryDaily[day]) + (ROW(TableDailySummary[#This Row]) - ROW(TableDailySummary[[#Headers],[Dia]]) - 1)</f>
        <v>45885</v>
      </c>
      <c r="C114" s="6">
        <f>TableDailySummary[[#This Row],[Dia]]</f>
        <v>45885</v>
      </c>
      <c r="D114" s="12">
        <f>_xlfn.XLOOKUP(TableDailySummary[[#This Row],[Fecha]],SummaryDaily[day],SummaryDaily[net_sales],0)</f>
        <v>4216058.83</v>
      </c>
      <c r="E114" s="12">
        <f>_xlfn.XLOOKUP(TableDailySummary[[#This Row],[Fecha]],SummaryDaily[day],SummaryDaily[orders],0)</f>
        <v>23</v>
      </c>
      <c r="F114" s="12">
        <f>_xlfn.XLOOKUP(TableDailySummary[[#This Row],[Fecha]],SummaryDaily[day],SummaryDaily[average_order_value],0)</f>
        <v>183306.905</v>
      </c>
      <c r="G114" s="24">
        <f>_xlfn.XLOOKUP(TableDailySummary[[#This Row],[Fecha]],SummaryDaily[day],SummaryDaily[Total site_conversion_rate],0)</f>
        <v>7.7760497667185074E-3</v>
      </c>
      <c r="H114" s="12">
        <f>TableDailySummary[[#This Row],[Órden promedio totales]]*TableDailySummary[[#This Row],[CR totales]]</f>
        <v>1425.4036158631416</v>
      </c>
      <c r="I114" s="12">
        <f>_xlfn.XLOOKUP(TableDailySummary[[#This Row],[Fecha]],SummaryDaily[day],SummaryDaily[new_net_sales],0)</f>
        <v>1124462.19</v>
      </c>
      <c r="J114" s="12">
        <f>_xlfn.XLOOKUP(TableDailySummary[[#This Row],[Fecha]],SummaryDaily[day],SummaryDaily[new_orders],0)</f>
        <v>10</v>
      </c>
      <c r="K114" s="12">
        <f>_xlfn.XLOOKUP(TableDailySummary[[#This Row],[Fecha]],SummaryDaily[day],SummaryDaily[new_average_order_value],0)</f>
        <v>112446.219</v>
      </c>
      <c r="L114" s="12">
        <f>_xlfn.XLOOKUP(TableDailySummary[[#This Row],[Fecha]],SummaryDaily[day],SummaryDaily[Online Store_net_sales],0)</f>
        <v>1972268.91</v>
      </c>
      <c r="M114" s="12">
        <f>_xlfn.XLOOKUP(TableDailySummary[[#This Row],[Fecha]],SummaryDaily[day],SummaryDaily[Online Store_orders],0)</f>
        <v>6</v>
      </c>
      <c r="N114" s="12">
        <f>_xlfn.XLOOKUP(TableDailySummary[[#This Row],[Fecha]],SummaryDaily[day],SummaryDaily[Online Store_average_order_value],0)</f>
        <v>328711.48499999999</v>
      </c>
      <c r="O114" s="12">
        <f>_xlfn.XLOOKUP(TableDailySummary[[#This Row],[Fecha]],SummaryDaily[day],SummaryDaily[Tienda 81_net_sales],0)</f>
        <v>2159756.2999999998</v>
      </c>
      <c r="P114" s="12">
        <f>_xlfn.XLOOKUP(TableDailySummary[[#This Row],[Fecha]],SummaryDaily[day],SummaryDaily[Tienda 81_orders],0)</f>
        <v>15</v>
      </c>
      <c r="Q114" s="12">
        <f>_xlfn.XLOOKUP(TableDailySummary[[#This Row],[Fecha]],SummaryDaily[day],SummaryDaily[Tienda 81_average_order_value],0)</f>
        <v>143983.753</v>
      </c>
      <c r="R114" s="12">
        <f>_xlfn.XLOOKUP(TableDailySummary[[#This Row],[Fecha]],SummaryDaily[day],SummaryDaily[Rappi_net_sales],0)</f>
        <v>84033.62</v>
      </c>
      <c r="S114" s="12">
        <f>_xlfn.XLOOKUP(TableDailySummary[[#This Row],[Fecha]],SummaryDaily[day],SummaryDaily[Rappi_orders],0)</f>
        <v>2</v>
      </c>
      <c r="T114" s="12">
        <f>_xlfn.XLOOKUP(TableDailySummary[[#This Row],[Fecha]],SummaryDaily[day],SummaryDaily[Rappi_average_order_value],0)</f>
        <v>42016.81</v>
      </c>
      <c r="U114" s="12">
        <f>_xlfn.XLOOKUP(TableDailySummary[[#This Row],[Fecha]],SummaryDaily[day],SummaryDaily[Corporativo no tienda_net_sales],0)</f>
        <v>0</v>
      </c>
      <c r="V114" s="12">
        <f>_xlfn.XLOOKUP(TableDailySummary[[#This Row],[Fecha]],SummaryDaily[day],SummaryDaily[Corporativo no tienda_orders],0)</f>
        <v>0</v>
      </c>
      <c r="W114" s="12">
        <f>_xlfn.XLOOKUP(TableDailySummary[[#This Row],[Fecha]],SummaryDaily[day],SummaryDaily[Corporativo no tienda_average_order_value],0)</f>
        <v>0</v>
      </c>
      <c r="X114" s="12">
        <f>_xlfn.XLOOKUP(TableDailySummary[[#This Row],[Fecha]],SummaryDaily[day],SummaryDaily[GoogleAdsOperation.Cost],0)</f>
        <v>91213.84</v>
      </c>
      <c r="Y114" s="12">
        <f>SUMIFS(SalesByUTMDaily[google],SalesByUTMDaily[day],TableDailySummary[[#This Row],[Fecha]])</f>
        <v>0</v>
      </c>
      <c r="Z114" s="12">
        <f>_xlfn.XLOOKUP(TableDailySummary[[#This Row],[Fecha]],SummaryDaily[day],SummaryDaily[MetaAdsOperation.spend],0)</f>
        <v>40622</v>
      </c>
      <c r="AA114" s="12">
        <f>SUMIFS(SalesByUTMDaily[facebook],SalesByUTMDaily[day],TableDailySummary[[#This Row],[Fecha]])</f>
        <v>0</v>
      </c>
      <c r="AB114" s="12">
        <f>TableDailySummary[[#This Row],[Inversión google ads]]+TableDailySummary[[#This Row],[Inversión meta ads]]</f>
        <v>131835.84</v>
      </c>
      <c r="AC114" s="12">
        <f>TableDailySummary[[#This Row],[Ventas google ads]]+TableDailySummary[[#This Row],[Ventas meta ads]]</f>
        <v>0</v>
      </c>
      <c r="AD114" s="14">
        <f>IFERROR(TableDailySummary[[#This Row],[Ventas publicidad]]/TableDailySummary[[#This Row],[Inversión publicidad]],0)</f>
        <v>0</v>
      </c>
      <c r="AE114" s="14">
        <f>IFERROR(TableDailySummary[[#This Row],[Ventas primer cliente]]/TableDailySummary[[#This Row],[Inversión publicidad]],0)</f>
        <v>8.529260252750694</v>
      </c>
      <c r="AF114" s="14"/>
      <c r="AG114" s="12"/>
      <c r="AM114" s="12">
        <f>_xlfn.XLOOKUP(TableDailySummary[[#This Row],[Fecha]],SummaryDaily[day],SummaryDaily[net_sales_with_cost_recorded],0)</f>
        <v>3963957.99</v>
      </c>
      <c r="AN114" s="12">
        <f>_xlfn.XLOOKUP(TableDailySummary[[#This Row],[Fecha]],SummaryDaily[day],SummaryDaily[cost_of_goods_sold],0)</f>
        <v>1459485</v>
      </c>
      <c r="AO114" s="12">
        <f>_xlfn.XLOOKUP(TableDailySummary[[#This Row],[Fecha]],SummaryDaily[day],SummaryDaily[gross_profit],0)</f>
        <v>2504472.9900000002</v>
      </c>
      <c r="AP114" s="18">
        <f>IFERROR(TableDailySummary[[#This Row],[Utilidad bruta]]/TableDailySummary[[#This Row],[Ventas netas con costo registrado]],0)</f>
        <v>0.63181118375071377</v>
      </c>
    </row>
    <row r="115" spans="2:42" x14ac:dyDescent="0.2">
      <c r="B115" s="15" cm="1">
        <f t="array" ref="B115">MIN(SummaryDaily[day]) + (ROW(TableDailySummary[#This Row]) - ROW(TableDailySummary[[#Headers],[Dia]]) - 1)</f>
        <v>45886</v>
      </c>
      <c r="C115" s="6">
        <f>TableDailySummary[[#This Row],[Dia]]</f>
        <v>45886</v>
      </c>
      <c r="D115" s="12">
        <f>_xlfn.XLOOKUP(TableDailySummary[[#This Row],[Fecha]],SummaryDaily[day],SummaryDaily[net_sales],0)</f>
        <v>1276344.55</v>
      </c>
      <c r="E115" s="12">
        <f>_xlfn.XLOOKUP(TableDailySummary[[#This Row],[Fecha]],SummaryDaily[day],SummaryDaily[orders],0)</f>
        <v>7</v>
      </c>
      <c r="F115" s="12">
        <f>_xlfn.XLOOKUP(TableDailySummary[[#This Row],[Fecha]],SummaryDaily[day],SummaryDaily[average_order_value],0)</f>
        <v>182334.935</v>
      </c>
      <c r="G115" s="24">
        <f>_xlfn.XLOOKUP(TableDailySummary[[#This Row],[Fecha]],SummaryDaily[day],SummaryDaily[Total site_conversion_rate],0)</f>
        <v>2.0202020202020202E-3</v>
      </c>
      <c r="H115" s="12">
        <f>TableDailySummary[[#This Row],[Órden promedio totales]]*TableDailySummary[[#This Row],[CR totales]]</f>
        <v>368.35340404040403</v>
      </c>
      <c r="I115" s="12">
        <f>_xlfn.XLOOKUP(TableDailySummary[[#This Row],[Fecha]],SummaryDaily[day],SummaryDaily[new_net_sales],0)</f>
        <v>54621.85</v>
      </c>
      <c r="J115" s="12">
        <f>_xlfn.XLOOKUP(TableDailySummary[[#This Row],[Fecha]],SummaryDaily[day],SummaryDaily[new_orders],0)</f>
        <v>1</v>
      </c>
      <c r="K115" s="12">
        <f>_xlfn.XLOOKUP(TableDailySummary[[#This Row],[Fecha]],SummaryDaily[day],SummaryDaily[new_average_order_value],0)</f>
        <v>54621.85</v>
      </c>
      <c r="L115" s="12">
        <f>_xlfn.XLOOKUP(TableDailySummary[[#This Row],[Fecha]],SummaryDaily[day],SummaryDaily[Online Store_net_sales],0)</f>
        <v>46218.49</v>
      </c>
      <c r="M115" s="12">
        <f>_xlfn.XLOOKUP(TableDailySummary[[#This Row],[Fecha]],SummaryDaily[day],SummaryDaily[Online Store_orders],0)</f>
        <v>1</v>
      </c>
      <c r="N115" s="12">
        <f>_xlfn.XLOOKUP(TableDailySummary[[#This Row],[Fecha]],SummaryDaily[day],SummaryDaily[Online Store_average_order_value],0)</f>
        <v>46218.49</v>
      </c>
      <c r="O115" s="12">
        <f>_xlfn.XLOOKUP(TableDailySummary[[#This Row],[Fecha]],SummaryDaily[day],SummaryDaily[Tienda 81_net_sales],0)</f>
        <v>1230126.06</v>
      </c>
      <c r="P115" s="12">
        <f>_xlfn.XLOOKUP(TableDailySummary[[#This Row],[Fecha]],SummaryDaily[day],SummaryDaily[Tienda 81_orders],0)</f>
        <v>6</v>
      </c>
      <c r="Q115" s="12">
        <f>_xlfn.XLOOKUP(TableDailySummary[[#This Row],[Fecha]],SummaryDaily[day],SummaryDaily[Tienda 81_average_order_value],0)</f>
        <v>205021.01</v>
      </c>
      <c r="R115" s="12">
        <f>_xlfn.XLOOKUP(TableDailySummary[[#This Row],[Fecha]],SummaryDaily[day],SummaryDaily[Rappi_net_sales],0)</f>
        <v>0</v>
      </c>
      <c r="S115" s="12">
        <f>_xlfn.XLOOKUP(TableDailySummary[[#This Row],[Fecha]],SummaryDaily[day],SummaryDaily[Rappi_orders],0)</f>
        <v>0</v>
      </c>
      <c r="T115" s="12">
        <f>_xlfn.XLOOKUP(TableDailySummary[[#This Row],[Fecha]],SummaryDaily[day],SummaryDaily[Rappi_average_order_value],0)</f>
        <v>0</v>
      </c>
      <c r="U115" s="12">
        <f>_xlfn.XLOOKUP(TableDailySummary[[#This Row],[Fecha]],SummaryDaily[day],SummaryDaily[Corporativo no tienda_net_sales],0)</f>
        <v>0</v>
      </c>
      <c r="V115" s="12">
        <f>_xlfn.XLOOKUP(TableDailySummary[[#This Row],[Fecha]],SummaryDaily[day],SummaryDaily[Corporativo no tienda_orders],0)</f>
        <v>0</v>
      </c>
      <c r="W115" s="12">
        <f>_xlfn.XLOOKUP(TableDailySummary[[#This Row],[Fecha]],SummaryDaily[day],SummaryDaily[Corporativo no tienda_average_order_value],0)</f>
        <v>0</v>
      </c>
      <c r="X115" s="12">
        <f>_xlfn.XLOOKUP(TableDailySummary[[#This Row],[Fecha]],SummaryDaily[day],SummaryDaily[GoogleAdsOperation.Cost],0)</f>
        <v>58596.86</v>
      </c>
      <c r="Y115" s="12">
        <f>SUMIFS(SalesByUTMDaily[google],SalesByUTMDaily[day],TableDailySummary[[#This Row],[Fecha]])</f>
        <v>0</v>
      </c>
      <c r="Z115" s="12">
        <f>_xlfn.XLOOKUP(TableDailySummary[[#This Row],[Fecha]],SummaryDaily[day],SummaryDaily[MetaAdsOperation.spend],0)</f>
        <v>41515</v>
      </c>
      <c r="AA115" s="12">
        <f>SUMIFS(SalesByUTMDaily[facebook],SalesByUTMDaily[day],TableDailySummary[[#This Row],[Fecha]])</f>
        <v>0</v>
      </c>
      <c r="AB115" s="12">
        <f>TableDailySummary[[#This Row],[Inversión google ads]]+TableDailySummary[[#This Row],[Inversión meta ads]]</f>
        <v>100111.86</v>
      </c>
      <c r="AC115" s="12">
        <f>TableDailySummary[[#This Row],[Ventas google ads]]+TableDailySummary[[#This Row],[Ventas meta ads]]</f>
        <v>0</v>
      </c>
      <c r="AD115" s="14">
        <f>IFERROR(TableDailySummary[[#This Row],[Ventas publicidad]]/TableDailySummary[[#This Row],[Inversión publicidad]],0)</f>
        <v>0</v>
      </c>
      <c r="AE115" s="14">
        <f>IFERROR(TableDailySummary[[#This Row],[Ventas primer cliente]]/TableDailySummary[[#This Row],[Inversión publicidad]],0)</f>
        <v>0.54560818268684652</v>
      </c>
      <c r="AF115" s="14"/>
      <c r="AG115" s="12"/>
      <c r="AM115" s="12">
        <f>_xlfn.XLOOKUP(TableDailySummary[[#This Row],[Fecha]],SummaryDaily[day],SummaryDaily[net_sales_with_cost_recorded],0)</f>
        <v>1276344.55</v>
      </c>
      <c r="AN115" s="12">
        <f>_xlfn.XLOOKUP(TableDailySummary[[#This Row],[Fecha]],SummaryDaily[day],SummaryDaily[cost_of_goods_sold],0)</f>
        <v>265130</v>
      </c>
      <c r="AO115" s="12">
        <f>_xlfn.XLOOKUP(TableDailySummary[[#This Row],[Fecha]],SummaryDaily[day],SummaryDaily[gross_profit],0)</f>
        <v>1011214.55</v>
      </c>
      <c r="AP115" s="18">
        <f>IFERROR(TableDailySummary[[#This Row],[Utilidad bruta]]/TableDailySummary[[#This Row],[Ventas netas con costo registrado]],0)</f>
        <v>0.79227395925340072</v>
      </c>
    </row>
    <row r="116" spans="2:42" x14ac:dyDescent="0.2">
      <c r="B116" s="15" cm="1">
        <f t="array" ref="B116">MIN(SummaryDaily[day]) + (ROW(TableDailySummary[#This Row]) - ROW(TableDailySummary[[#Headers],[Dia]]) - 1)</f>
        <v>45887</v>
      </c>
      <c r="C116" s="6">
        <f>TableDailySummary[[#This Row],[Dia]]</f>
        <v>45887</v>
      </c>
      <c r="D116" s="12">
        <f>_xlfn.XLOOKUP(TableDailySummary[[#This Row],[Fecha]],SummaryDaily[day],SummaryDaily[net_sales],0)</f>
        <v>766067.23</v>
      </c>
      <c r="E116" s="12">
        <f>_xlfn.XLOOKUP(TableDailySummary[[#This Row],[Fecha]],SummaryDaily[day],SummaryDaily[orders],0)</f>
        <v>8</v>
      </c>
      <c r="F116" s="12">
        <f>_xlfn.XLOOKUP(TableDailySummary[[#This Row],[Fecha]],SummaryDaily[day],SummaryDaily[average_order_value],0)</f>
        <v>95758.403000000006</v>
      </c>
      <c r="G116" s="24">
        <f>_xlfn.XLOOKUP(TableDailySummary[[#This Row],[Fecha]],SummaryDaily[day],SummaryDaily[Total site_conversion_rate],0)</f>
        <v>2.2172949002217295E-3</v>
      </c>
      <c r="H116" s="12">
        <f>TableDailySummary[[#This Row],[Órden promedio totales]]*TableDailySummary[[#This Row],[CR totales]]</f>
        <v>212.32461862527717</v>
      </c>
      <c r="I116" s="12">
        <f>_xlfn.XLOOKUP(TableDailySummary[[#This Row],[Fecha]],SummaryDaily[day],SummaryDaily[new_net_sales],0)</f>
        <v>488756.31</v>
      </c>
      <c r="J116" s="12">
        <f>_xlfn.XLOOKUP(TableDailySummary[[#This Row],[Fecha]],SummaryDaily[day],SummaryDaily[new_orders],0)</f>
        <v>5</v>
      </c>
      <c r="K116" s="12">
        <f>_xlfn.XLOOKUP(TableDailySummary[[#This Row],[Fecha]],SummaryDaily[day],SummaryDaily[new_average_order_value],0)</f>
        <v>97751.262000000002</v>
      </c>
      <c r="L116" s="12">
        <f>_xlfn.XLOOKUP(TableDailySummary[[#This Row],[Fecha]],SummaryDaily[day],SummaryDaily[Online Store_net_sales],0)</f>
        <v>218487.39</v>
      </c>
      <c r="M116" s="12">
        <f>_xlfn.XLOOKUP(TableDailySummary[[#This Row],[Fecha]],SummaryDaily[day],SummaryDaily[Online Store_orders],0)</f>
        <v>2</v>
      </c>
      <c r="N116" s="12">
        <f>_xlfn.XLOOKUP(TableDailySummary[[#This Row],[Fecha]],SummaryDaily[day],SummaryDaily[Online Store_average_order_value],0)</f>
        <v>109243.69500000001</v>
      </c>
      <c r="O116" s="12">
        <f>_xlfn.XLOOKUP(TableDailySummary[[#This Row],[Fecha]],SummaryDaily[day],SummaryDaily[Tienda 81_net_sales],0)</f>
        <v>547579.84</v>
      </c>
      <c r="P116" s="12">
        <f>_xlfn.XLOOKUP(TableDailySummary[[#This Row],[Fecha]],SummaryDaily[day],SummaryDaily[Tienda 81_orders],0)</f>
        <v>6</v>
      </c>
      <c r="Q116" s="12">
        <f>_xlfn.XLOOKUP(TableDailySummary[[#This Row],[Fecha]],SummaryDaily[day],SummaryDaily[Tienda 81_average_order_value],0)</f>
        <v>91263.305999999997</v>
      </c>
      <c r="R116" s="12">
        <f>_xlfn.XLOOKUP(TableDailySummary[[#This Row],[Fecha]],SummaryDaily[day],SummaryDaily[Rappi_net_sales],0)</f>
        <v>0</v>
      </c>
      <c r="S116" s="12">
        <f>_xlfn.XLOOKUP(TableDailySummary[[#This Row],[Fecha]],SummaryDaily[day],SummaryDaily[Rappi_orders],0)</f>
        <v>0</v>
      </c>
      <c r="T116" s="12">
        <f>_xlfn.XLOOKUP(TableDailySummary[[#This Row],[Fecha]],SummaryDaily[day],SummaryDaily[Rappi_average_order_value],0)</f>
        <v>0</v>
      </c>
      <c r="U116" s="12">
        <f>_xlfn.XLOOKUP(TableDailySummary[[#This Row],[Fecha]],SummaryDaily[day],SummaryDaily[Corporativo no tienda_net_sales],0)</f>
        <v>0</v>
      </c>
      <c r="V116" s="12">
        <f>_xlfn.XLOOKUP(TableDailySummary[[#This Row],[Fecha]],SummaryDaily[day],SummaryDaily[Corporativo no tienda_orders],0)</f>
        <v>0</v>
      </c>
      <c r="W116" s="12">
        <f>_xlfn.XLOOKUP(TableDailySummary[[#This Row],[Fecha]],SummaryDaily[day],SummaryDaily[Corporativo no tienda_average_order_value],0)</f>
        <v>0</v>
      </c>
      <c r="X116" s="12">
        <f>_xlfn.XLOOKUP(TableDailySummary[[#This Row],[Fecha]],SummaryDaily[day],SummaryDaily[GoogleAdsOperation.Cost],0)</f>
        <v>143745.18</v>
      </c>
      <c r="Y116" s="12">
        <f>SUMIFS(SalesByUTMDaily[google],SalesByUTMDaily[day],TableDailySummary[[#This Row],[Fecha]])</f>
        <v>0</v>
      </c>
      <c r="Z116" s="12">
        <f>_xlfn.XLOOKUP(TableDailySummary[[#This Row],[Fecha]],SummaryDaily[day],SummaryDaily[MetaAdsOperation.spend],0)</f>
        <v>39625</v>
      </c>
      <c r="AA116" s="12">
        <f>SUMIFS(SalesByUTMDaily[facebook],SalesByUTMDaily[day],TableDailySummary[[#This Row],[Fecha]])</f>
        <v>0</v>
      </c>
      <c r="AB116" s="12">
        <f>TableDailySummary[[#This Row],[Inversión google ads]]+TableDailySummary[[#This Row],[Inversión meta ads]]</f>
        <v>183370.18</v>
      </c>
      <c r="AC116" s="12">
        <f>TableDailySummary[[#This Row],[Ventas google ads]]+TableDailySummary[[#This Row],[Ventas meta ads]]</f>
        <v>0</v>
      </c>
      <c r="AD116" s="14">
        <f>IFERROR(TableDailySummary[[#This Row],[Ventas publicidad]]/TableDailySummary[[#This Row],[Inversión publicidad]],0)</f>
        <v>0</v>
      </c>
      <c r="AE116" s="14">
        <f>IFERROR(TableDailySummary[[#This Row],[Ventas primer cliente]]/TableDailySummary[[#This Row],[Inversión publicidad]],0)</f>
        <v>2.6654078105829422</v>
      </c>
      <c r="AF116" s="14"/>
      <c r="AG116" s="12"/>
      <c r="AM116" s="12">
        <f>_xlfn.XLOOKUP(TableDailySummary[[#This Row],[Fecha]],SummaryDaily[day],SummaryDaily[net_sales_with_cost_recorded],0)</f>
        <v>766067.23</v>
      </c>
      <c r="AN116" s="12">
        <f>_xlfn.XLOOKUP(TableDailySummary[[#This Row],[Fecha]],SummaryDaily[day],SummaryDaily[cost_of_goods_sold],0)</f>
        <v>258839</v>
      </c>
      <c r="AO116" s="12">
        <f>_xlfn.XLOOKUP(TableDailySummary[[#This Row],[Fecha]],SummaryDaily[day],SummaryDaily[gross_profit],0)</f>
        <v>507228.23</v>
      </c>
      <c r="AP116" s="18">
        <f>IFERROR(TableDailySummary[[#This Row],[Utilidad bruta]]/TableDailySummary[[#This Row],[Ventas netas con costo registrado]],0)</f>
        <v>0.66211973327719553</v>
      </c>
    </row>
    <row r="117" spans="2:42" x14ac:dyDescent="0.2">
      <c r="B117" s="15" cm="1">
        <f t="array" ref="B117">MIN(SummaryDaily[day]) + (ROW(TableDailySummary[#This Row]) - ROW(TableDailySummary[[#Headers],[Dia]]) - 1)</f>
        <v>45888</v>
      </c>
      <c r="C117" s="6">
        <f>TableDailySummary[[#This Row],[Dia]]</f>
        <v>45888</v>
      </c>
      <c r="D117" s="12">
        <f>_xlfn.XLOOKUP(TableDailySummary[[#This Row],[Fecha]],SummaryDaily[day],SummaryDaily[net_sales],0)</f>
        <v>3872109.26</v>
      </c>
      <c r="E117" s="12">
        <f>_xlfn.XLOOKUP(TableDailySummary[[#This Row],[Fecha]],SummaryDaily[day],SummaryDaily[orders],0)</f>
        <v>23</v>
      </c>
      <c r="F117" s="12">
        <f>_xlfn.XLOOKUP(TableDailySummary[[#This Row],[Fecha]],SummaryDaily[day],SummaryDaily[average_order_value],0)</f>
        <v>167092.07199999999</v>
      </c>
      <c r="G117" s="24">
        <f>_xlfn.XLOOKUP(TableDailySummary[[#This Row],[Fecha]],SummaryDaily[day],SummaryDaily[Total site_conversion_rate],0)</f>
        <v>1.3182674199623353E-2</v>
      </c>
      <c r="H117" s="12">
        <f>TableDailySummary[[#This Row],[Órden promedio totales]]*TableDailySummary[[#This Row],[CR totales]]</f>
        <v>2202.7203465160073</v>
      </c>
      <c r="I117" s="12">
        <f>_xlfn.XLOOKUP(TableDailySummary[[#This Row],[Fecha]],SummaryDaily[day],SummaryDaily[new_net_sales],0)</f>
        <v>1981352.96</v>
      </c>
      <c r="J117" s="12">
        <f>_xlfn.XLOOKUP(TableDailySummary[[#This Row],[Fecha]],SummaryDaily[day],SummaryDaily[new_orders],0)</f>
        <v>14</v>
      </c>
      <c r="K117" s="12">
        <f>_xlfn.XLOOKUP(TableDailySummary[[#This Row],[Fecha]],SummaryDaily[day],SummaryDaily[new_average_order_value],0)</f>
        <v>139454.38200000001</v>
      </c>
      <c r="L117" s="12">
        <f>_xlfn.XLOOKUP(TableDailySummary[[#This Row],[Fecha]],SummaryDaily[day],SummaryDaily[Online Store_net_sales],0)</f>
        <v>1696638.66</v>
      </c>
      <c r="M117" s="12">
        <f>_xlfn.XLOOKUP(TableDailySummary[[#This Row],[Fecha]],SummaryDaily[day],SummaryDaily[Online Store_orders],0)</f>
        <v>9</v>
      </c>
      <c r="N117" s="12">
        <f>_xlfn.XLOOKUP(TableDailySummary[[#This Row],[Fecha]],SummaryDaily[day],SummaryDaily[Online Store_average_order_value],0)</f>
        <v>188515.40599999999</v>
      </c>
      <c r="O117" s="12">
        <f>_xlfn.XLOOKUP(TableDailySummary[[#This Row],[Fecha]],SummaryDaily[day],SummaryDaily[Tienda 81_net_sales],0)</f>
        <v>1608243.71</v>
      </c>
      <c r="P117" s="12">
        <f>_xlfn.XLOOKUP(TableDailySummary[[#This Row],[Fecha]],SummaryDaily[day],SummaryDaily[Tienda 81_orders],0)</f>
        <v>12</v>
      </c>
      <c r="Q117" s="12">
        <f>_xlfn.XLOOKUP(TableDailySummary[[#This Row],[Fecha]],SummaryDaily[day],SummaryDaily[Tienda 81_average_order_value],0)</f>
        <v>131604.342</v>
      </c>
      <c r="R117" s="12">
        <f>_xlfn.XLOOKUP(TableDailySummary[[#This Row],[Fecha]],SummaryDaily[day],SummaryDaily[Rappi_net_sales],0)</f>
        <v>0</v>
      </c>
      <c r="S117" s="12">
        <f>_xlfn.XLOOKUP(TableDailySummary[[#This Row],[Fecha]],SummaryDaily[day],SummaryDaily[Rappi_orders],0)</f>
        <v>0</v>
      </c>
      <c r="T117" s="12">
        <f>_xlfn.XLOOKUP(TableDailySummary[[#This Row],[Fecha]],SummaryDaily[day],SummaryDaily[Rappi_average_order_value],0)</f>
        <v>0</v>
      </c>
      <c r="U117" s="12">
        <f>_xlfn.XLOOKUP(TableDailySummary[[#This Row],[Fecha]],SummaryDaily[day],SummaryDaily[Corporativo no tienda_net_sales],0)</f>
        <v>0</v>
      </c>
      <c r="V117" s="12">
        <f>_xlfn.XLOOKUP(TableDailySummary[[#This Row],[Fecha]],SummaryDaily[day],SummaryDaily[Corporativo no tienda_orders],0)</f>
        <v>0</v>
      </c>
      <c r="W117" s="12">
        <f>_xlfn.XLOOKUP(TableDailySummary[[#This Row],[Fecha]],SummaryDaily[day],SummaryDaily[Corporativo no tienda_average_order_value],0)</f>
        <v>0</v>
      </c>
      <c r="X117" s="12">
        <f>_xlfn.XLOOKUP(TableDailySummary[[#This Row],[Fecha]],SummaryDaily[day],SummaryDaily[GoogleAdsOperation.Cost],0)</f>
        <v>79744.95</v>
      </c>
      <c r="Y117" s="12">
        <f>SUMIFS(SalesByUTMDaily[google],SalesByUTMDaily[day],TableDailySummary[[#This Row],[Fecha]])</f>
        <v>0</v>
      </c>
      <c r="Z117" s="12">
        <f>_xlfn.XLOOKUP(TableDailySummary[[#This Row],[Fecha]],SummaryDaily[day],SummaryDaily[MetaAdsOperation.spend],0)</f>
        <v>38235</v>
      </c>
      <c r="AA117" s="12">
        <f>SUMIFS(SalesByUTMDaily[facebook],SalesByUTMDaily[day],TableDailySummary[[#This Row],[Fecha]])</f>
        <v>0</v>
      </c>
      <c r="AB117" s="12">
        <f>TableDailySummary[[#This Row],[Inversión google ads]]+TableDailySummary[[#This Row],[Inversión meta ads]]</f>
        <v>117979.95</v>
      </c>
      <c r="AC117" s="12">
        <f>TableDailySummary[[#This Row],[Ventas google ads]]+TableDailySummary[[#This Row],[Ventas meta ads]]</f>
        <v>0</v>
      </c>
      <c r="AD117" s="14">
        <f>IFERROR(TableDailySummary[[#This Row],[Ventas publicidad]]/TableDailySummary[[#This Row],[Inversión publicidad]],0)</f>
        <v>0</v>
      </c>
      <c r="AE117" s="14">
        <f>IFERROR(TableDailySummary[[#This Row],[Ventas primer cliente]]/TableDailySummary[[#This Row],[Inversión publicidad]],0)</f>
        <v>16.793980333098972</v>
      </c>
      <c r="AF117" s="14"/>
      <c r="AG117" s="12"/>
      <c r="AM117" s="12">
        <f>_xlfn.XLOOKUP(TableDailySummary[[#This Row],[Fecha]],SummaryDaily[day],SummaryDaily[net_sales_with_cost_recorded],0)</f>
        <v>3872109.26</v>
      </c>
      <c r="AN117" s="12">
        <f>_xlfn.XLOOKUP(TableDailySummary[[#This Row],[Fecha]],SummaryDaily[day],SummaryDaily[cost_of_goods_sold],0)</f>
        <v>1050395</v>
      </c>
      <c r="AO117" s="12">
        <f>_xlfn.XLOOKUP(TableDailySummary[[#This Row],[Fecha]],SummaryDaily[day],SummaryDaily[gross_profit],0)</f>
        <v>2821714.26</v>
      </c>
      <c r="AP117" s="18">
        <f>IFERROR(TableDailySummary[[#This Row],[Utilidad bruta]]/TableDailySummary[[#This Row],[Ventas netas con costo registrado]],0)</f>
        <v>0.72872795433463566</v>
      </c>
    </row>
    <row r="118" spans="2:42" x14ac:dyDescent="0.2">
      <c r="B118" s="15" cm="1">
        <f t="array" ref="B118">MIN(SummaryDaily[day]) + (ROW(TableDailySummary[#This Row]) - ROW(TableDailySummary[[#Headers],[Dia]]) - 1)</f>
        <v>45889</v>
      </c>
      <c r="C118" s="6">
        <f>TableDailySummary[[#This Row],[Dia]]</f>
        <v>45889</v>
      </c>
      <c r="D118" s="12">
        <f>_xlfn.XLOOKUP(TableDailySummary[[#This Row],[Fecha]],SummaryDaily[day],SummaryDaily[net_sales],0)</f>
        <v>1966552.63</v>
      </c>
      <c r="E118" s="12">
        <f>_xlfn.XLOOKUP(TableDailySummary[[#This Row],[Fecha]],SummaryDaily[day],SummaryDaily[orders],0)</f>
        <v>18</v>
      </c>
      <c r="F118" s="12">
        <f>_xlfn.XLOOKUP(TableDailySummary[[#This Row],[Fecha]],SummaryDaily[day],SummaryDaily[average_order_value],0)</f>
        <v>109243.698</v>
      </c>
      <c r="G118" s="24">
        <f>_xlfn.XLOOKUP(TableDailySummary[[#This Row],[Fecha]],SummaryDaily[day],SummaryDaily[Total site_conversion_rate],0)</f>
        <v>1.2178619756427604E-2</v>
      </c>
      <c r="H118" s="12">
        <f>TableDailySummary[[#This Row],[Órden promedio totales]]*TableDailySummary[[#This Row],[CR totales]]</f>
        <v>1330.4374587280108</v>
      </c>
      <c r="I118" s="12">
        <f>_xlfn.XLOOKUP(TableDailySummary[[#This Row],[Fecha]],SummaryDaily[day],SummaryDaily[new_net_sales],0)</f>
        <v>1378151.27</v>
      </c>
      <c r="J118" s="12">
        <f>_xlfn.XLOOKUP(TableDailySummary[[#This Row],[Fecha]],SummaryDaily[day],SummaryDaily[new_orders],0)</f>
        <v>10</v>
      </c>
      <c r="K118" s="12">
        <f>_xlfn.XLOOKUP(TableDailySummary[[#This Row],[Fecha]],SummaryDaily[day],SummaryDaily[new_average_order_value],0)</f>
        <v>137815.12700000001</v>
      </c>
      <c r="L118" s="12">
        <f>_xlfn.XLOOKUP(TableDailySummary[[#This Row],[Fecha]],SummaryDaily[day],SummaryDaily[Online Store_net_sales],0)</f>
        <v>890922.36</v>
      </c>
      <c r="M118" s="12">
        <f>_xlfn.XLOOKUP(TableDailySummary[[#This Row],[Fecha]],SummaryDaily[day],SummaryDaily[Online Store_orders],0)</f>
        <v>7</v>
      </c>
      <c r="N118" s="12">
        <f>_xlfn.XLOOKUP(TableDailySummary[[#This Row],[Fecha]],SummaryDaily[day],SummaryDaily[Online Store_average_order_value],0)</f>
        <v>127250.901</v>
      </c>
      <c r="O118" s="12">
        <f>_xlfn.XLOOKUP(TableDailySummary[[#This Row],[Fecha]],SummaryDaily[day],SummaryDaily[Tienda 81_net_sales],0)</f>
        <v>1029411.78</v>
      </c>
      <c r="P118" s="12">
        <f>_xlfn.XLOOKUP(TableDailySummary[[#This Row],[Fecha]],SummaryDaily[day],SummaryDaily[Tienda 81_orders],0)</f>
        <v>10</v>
      </c>
      <c r="Q118" s="12">
        <f>_xlfn.XLOOKUP(TableDailySummary[[#This Row],[Fecha]],SummaryDaily[day],SummaryDaily[Tienda 81_average_order_value],0)</f>
        <v>102941.178</v>
      </c>
      <c r="R118" s="12">
        <f>_xlfn.XLOOKUP(TableDailySummary[[#This Row],[Fecha]],SummaryDaily[day],SummaryDaily[Rappi_net_sales],0)</f>
        <v>46218.49</v>
      </c>
      <c r="S118" s="12">
        <f>_xlfn.XLOOKUP(TableDailySummary[[#This Row],[Fecha]],SummaryDaily[day],SummaryDaily[Rappi_orders],0)</f>
        <v>1</v>
      </c>
      <c r="T118" s="12">
        <f>_xlfn.XLOOKUP(TableDailySummary[[#This Row],[Fecha]],SummaryDaily[day],SummaryDaily[Rappi_average_order_value],0)</f>
        <v>46218.49</v>
      </c>
      <c r="U118" s="12">
        <f>_xlfn.XLOOKUP(TableDailySummary[[#This Row],[Fecha]],SummaryDaily[day],SummaryDaily[Corporativo no tienda_net_sales],0)</f>
        <v>0</v>
      </c>
      <c r="V118" s="12">
        <f>_xlfn.XLOOKUP(TableDailySummary[[#This Row],[Fecha]],SummaryDaily[day],SummaryDaily[Corporativo no tienda_orders],0)</f>
        <v>0</v>
      </c>
      <c r="W118" s="12">
        <f>_xlfn.XLOOKUP(TableDailySummary[[#This Row],[Fecha]],SummaryDaily[day],SummaryDaily[Corporativo no tienda_average_order_value],0)</f>
        <v>0</v>
      </c>
      <c r="X118" s="12">
        <f>_xlfn.XLOOKUP(TableDailySummary[[#This Row],[Fecha]],SummaryDaily[day],SummaryDaily[GoogleAdsOperation.Cost],0)</f>
        <v>110693.85</v>
      </c>
      <c r="Y118" s="12">
        <f>SUMIFS(SalesByUTMDaily[google],SalesByUTMDaily[day],TableDailySummary[[#This Row],[Fecha]])</f>
        <v>0</v>
      </c>
      <c r="Z118" s="12">
        <f>_xlfn.XLOOKUP(TableDailySummary[[#This Row],[Fecha]],SummaryDaily[day],SummaryDaily[MetaAdsOperation.spend],0)</f>
        <v>39226</v>
      </c>
      <c r="AA118" s="12">
        <f>SUMIFS(SalesByUTMDaily[facebook],SalesByUTMDaily[day],TableDailySummary[[#This Row],[Fecha]])</f>
        <v>0</v>
      </c>
      <c r="AB118" s="12">
        <f>TableDailySummary[[#This Row],[Inversión google ads]]+TableDailySummary[[#This Row],[Inversión meta ads]]</f>
        <v>149919.85</v>
      </c>
      <c r="AC118" s="12">
        <f>TableDailySummary[[#This Row],[Ventas google ads]]+TableDailySummary[[#This Row],[Ventas meta ads]]</f>
        <v>0</v>
      </c>
      <c r="AD118" s="14">
        <f>IFERROR(TableDailySummary[[#This Row],[Ventas publicidad]]/TableDailySummary[[#This Row],[Inversión publicidad]],0)</f>
        <v>0</v>
      </c>
      <c r="AE118" s="14">
        <f>IFERROR(TableDailySummary[[#This Row],[Ventas primer cliente]]/TableDailySummary[[#This Row],[Inversión publicidad]],0)</f>
        <v>9.1925870390078437</v>
      </c>
      <c r="AF118" s="14"/>
      <c r="AG118" s="12"/>
      <c r="AM118" s="12">
        <f>_xlfn.XLOOKUP(TableDailySummary[[#This Row],[Fecha]],SummaryDaily[day],SummaryDaily[net_sales_with_cost_recorded],0)</f>
        <v>1965512.63</v>
      </c>
      <c r="AN118" s="12">
        <f>_xlfn.XLOOKUP(TableDailySummary[[#This Row],[Fecha]],SummaryDaily[day],SummaryDaily[cost_of_goods_sold],0)</f>
        <v>483348</v>
      </c>
      <c r="AO118" s="12">
        <f>_xlfn.XLOOKUP(TableDailySummary[[#This Row],[Fecha]],SummaryDaily[day],SummaryDaily[gross_profit],0)</f>
        <v>1482164.63</v>
      </c>
      <c r="AP118" s="18">
        <f>IFERROR(TableDailySummary[[#This Row],[Utilidad bruta]]/TableDailySummary[[#This Row],[Ventas netas con costo registrado]],0)</f>
        <v>0.75408552831329301</v>
      </c>
    </row>
    <row r="119" spans="2:42" x14ac:dyDescent="0.2">
      <c r="B119" s="15" cm="1">
        <f t="array" ref="B119">MIN(SummaryDaily[day]) + (ROW(TableDailySummary[#This Row]) - ROW(TableDailySummary[[#Headers],[Dia]]) - 1)</f>
        <v>45890</v>
      </c>
      <c r="C119" s="6">
        <f>TableDailySummary[[#This Row],[Dia]]</f>
        <v>45890</v>
      </c>
      <c r="D119" s="12">
        <f>_xlfn.XLOOKUP(TableDailySummary[[#This Row],[Fecha]],SummaryDaily[day],SummaryDaily[net_sales],0)</f>
        <v>3349201.7</v>
      </c>
      <c r="E119" s="12">
        <f>_xlfn.XLOOKUP(TableDailySummary[[#This Row],[Fecha]],SummaryDaily[day],SummaryDaily[orders],0)</f>
        <v>20</v>
      </c>
      <c r="F119" s="12">
        <f>_xlfn.XLOOKUP(TableDailySummary[[#This Row],[Fecha]],SummaryDaily[day],SummaryDaily[average_order_value],0)</f>
        <v>167460.08499999999</v>
      </c>
      <c r="G119" s="24">
        <f>_xlfn.XLOOKUP(TableDailySummary[[#This Row],[Fecha]],SummaryDaily[day],SummaryDaily[Total site_conversion_rate],0)</f>
        <v>6.3492063492063492E-3</v>
      </c>
      <c r="H119" s="12">
        <f>TableDailySummary[[#This Row],[Órden promedio totales]]*TableDailySummary[[#This Row],[CR totales]]</f>
        <v>1063.2386349206349</v>
      </c>
      <c r="I119" s="12">
        <f>_xlfn.XLOOKUP(TableDailySummary[[#This Row],[Fecha]],SummaryDaily[day],SummaryDaily[new_net_sales],0)</f>
        <v>1169747.9099999999</v>
      </c>
      <c r="J119" s="12">
        <f>_xlfn.XLOOKUP(TableDailySummary[[#This Row],[Fecha]],SummaryDaily[day],SummaryDaily[new_orders],0)</f>
        <v>9</v>
      </c>
      <c r="K119" s="12">
        <f>_xlfn.XLOOKUP(TableDailySummary[[#This Row],[Fecha]],SummaryDaily[day],SummaryDaily[new_average_order_value],0)</f>
        <v>129971.99</v>
      </c>
      <c r="L119" s="12">
        <f>_xlfn.XLOOKUP(TableDailySummary[[#This Row],[Fecha]],SummaryDaily[day],SummaryDaily[Online Store_net_sales],0)</f>
        <v>2015126.05</v>
      </c>
      <c r="M119" s="12">
        <f>_xlfn.XLOOKUP(TableDailySummary[[#This Row],[Fecha]],SummaryDaily[day],SummaryDaily[Online Store_orders],0)</f>
        <v>5</v>
      </c>
      <c r="N119" s="12">
        <f>_xlfn.XLOOKUP(TableDailySummary[[#This Row],[Fecha]],SummaryDaily[day],SummaryDaily[Online Store_average_order_value],0)</f>
        <v>403025.21</v>
      </c>
      <c r="O119" s="12">
        <f>_xlfn.XLOOKUP(TableDailySummary[[#This Row],[Fecha]],SummaryDaily[day],SummaryDaily[Tienda 81_net_sales],0)</f>
        <v>1241638.67</v>
      </c>
      <c r="P119" s="12">
        <f>_xlfn.XLOOKUP(TableDailySummary[[#This Row],[Fecha]],SummaryDaily[day],SummaryDaily[Tienda 81_orders],0)</f>
        <v>13</v>
      </c>
      <c r="Q119" s="12">
        <f>_xlfn.XLOOKUP(TableDailySummary[[#This Row],[Fecha]],SummaryDaily[day],SummaryDaily[Tienda 81_average_order_value],0)</f>
        <v>95510.665999999997</v>
      </c>
      <c r="R119" s="12">
        <f>_xlfn.XLOOKUP(TableDailySummary[[#This Row],[Fecha]],SummaryDaily[day],SummaryDaily[Rappi_net_sales],0)</f>
        <v>92436.98</v>
      </c>
      <c r="S119" s="12">
        <f>_xlfn.XLOOKUP(TableDailySummary[[#This Row],[Fecha]],SummaryDaily[day],SummaryDaily[Rappi_orders],0)</f>
        <v>2</v>
      </c>
      <c r="T119" s="12">
        <f>_xlfn.XLOOKUP(TableDailySummary[[#This Row],[Fecha]],SummaryDaily[day],SummaryDaily[Rappi_average_order_value],0)</f>
        <v>46218.49</v>
      </c>
      <c r="U119" s="12">
        <f>_xlfn.XLOOKUP(TableDailySummary[[#This Row],[Fecha]],SummaryDaily[day],SummaryDaily[Corporativo no tienda_net_sales],0)</f>
        <v>0</v>
      </c>
      <c r="V119" s="12">
        <f>_xlfn.XLOOKUP(TableDailySummary[[#This Row],[Fecha]],SummaryDaily[day],SummaryDaily[Corporativo no tienda_orders],0)</f>
        <v>0</v>
      </c>
      <c r="W119" s="12">
        <f>_xlfn.XLOOKUP(TableDailySummary[[#This Row],[Fecha]],SummaryDaily[day],SummaryDaily[Corporativo no tienda_average_order_value],0)</f>
        <v>0</v>
      </c>
      <c r="X119" s="12">
        <f>_xlfn.XLOOKUP(TableDailySummary[[#This Row],[Fecha]],SummaryDaily[day],SummaryDaily[GoogleAdsOperation.Cost],0)</f>
        <v>90709.96</v>
      </c>
      <c r="Y119" s="12">
        <f>SUMIFS(SalesByUTMDaily[google],SalesByUTMDaily[day],TableDailySummary[[#This Row],[Fecha]])</f>
        <v>0</v>
      </c>
      <c r="Z119" s="12">
        <f>_xlfn.XLOOKUP(TableDailySummary[[#This Row],[Fecha]],SummaryDaily[day],SummaryDaily[MetaAdsOperation.spend],0)</f>
        <v>39878</v>
      </c>
      <c r="AA119" s="12">
        <f>SUMIFS(SalesByUTMDaily[facebook],SalesByUTMDaily[day],TableDailySummary[[#This Row],[Fecha]])</f>
        <v>0</v>
      </c>
      <c r="AB119" s="12">
        <f>TableDailySummary[[#This Row],[Inversión google ads]]+TableDailySummary[[#This Row],[Inversión meta ads]]</f>
        <v>130587.96</v>
      </c>
      <c r="AC119" s="12">
        <f>TableDailySummary[[#This Row],[Ventas google ads]]+TableDailySummary[[#This Row],[Ventas meta ads]]</f>
        <v>0</v>
      </c>
      <c r="AD119" s="14">
        <f>IFERROR(TableDailySummary[[#This Row],[Ventas publicidad]]/TableDailySummary[[#This Row],[Inversión publicidad]],0)</f>
        <v>0</v>
      </c>
      <c r="AE119" s="14">
        <f>IFERROR(TableDailySummary[[#This Row],[Ventas primer cliente]]/TableDailySummary[[#This Row],[Inversión publicidad]],0)</f>
        <v>8.9575479240199467</v>
      </c>
      <c r="AF119" s="14"/>
      <c r="AG119" s="12"/>
      <c r="AM119" s="12">
        <f>_xlfn.XLOOKUP(TableDailySummary[[#This Row],[Fecha]],SummaryDaily[day],SummaryDaily[net_sales_with_cost_recorded],0)</f>
        <v>3099201.7</v>
      </c>
      <c r="AN119" s="12">
        <f>_xlfn.XLOOKUP(TableDailySummary[[#This Row],[Fecha]],SummaryDaily[day],SummaryDaily[cost_of_goods_sold],0)</f>
        <v>836677</v>
      </c>
      <c r="AO119" s="12">
        <f>_xlfn.XLOOKUP(TableDailySummary[[#This Row],[Fecha]],SummaryDaily[day],SummaryDaily[gross_profit],0)</f>
        <v>2262524.7000000002</v>
      </c>
      <c r="AP119" s="18">
        <f>IFERROR(TableDailySummary[[#This Row],[Utilidad bruta]]/TableDailySummary[[#This Row],[Ventas netas con costo registrado]],0)</f>
        <v>0.73003467312243664</v>
      </c>
    </row>
    <row r="120" spans="2:42" x14ac:dyDescent="0.2">
      <c r="B120" s="15" cm="1">
        <f t="array" ref="B120">MIN(SummaryDaily[day]) + (ROW(TableDailySummary[#This Row]) - ROW(TableDailySummary[[#Headers],[Dia]]) - 1)</f>
        <v>45891</v>
      </c>
      <c r="C120" s="6">
        <f>TableDailySummary[[#This Row],[Dia]]</f>
        <v>45891</v>
      </c>
      <c r="D120" s="12">
        <f>_xlfn.XLOOKUP(TableDailySummary[[#This Row],[Fecha]],SummaryDaily[day],SummaryDaily[net_sales],0)</f>
        <v>2768764.72</v>
      </c>
      <c r="E120" s="12">
        <f>_xlfn.XLOOKUP(TableDailySummary[[#This Row],[Fecha]],SummaryDaily[day],SummaryDaily[orders],0)</f>
        <v>17</v>
      </c>
      <c r="F120" s="12">
        <f>_xlfn.XLOOKUP(TableDailySummary[[#This Row],[Fecha]],SummaryDaily[day],SummaryDaily[average_order_value],0)</f>
        <v>161879.88200000001</v>
      </c>
      <c r="G120" s="24">
        <f>_xlfn.XLOOKUP(TableDailySummary[[#This Row],[Fecha]],SummaryDaily[day],SummaryDaily[Total site_conversion_rate],0)</f>
        <v>9.1743119266055051E-3</v>
      </c>
      <c r="H120" s="12">
        <f>TableDailySummary[[#This Row],[Órden promedio totales]]*TableDailySummary[[#This Row],[CR totales]]</f>
        <v>1485.136532110092</v>
      </c>
      <c r="I120" s="12">
        <f>_xlfn.XLOOKUP(TableDailySummary[[#This Row],[Fecha]],SummaryDaily[day],SummaryDaily[new_net_sales],0)</f>
        <v>1466092.45</v>
      </c>
      <c r="J120" s="12">
        <f>_xlfn.XLOOKUP(TableDailySummary[[#This Row],[Fecha]],SummaryDaily[day],SummaryDaily[new_orders],0)</f>
        <v>12</v>
      </c>
      <c r="K120" s="12">
        <f>_xlfn.XLOOKUP(TableDailySummary[[#This Row],[Fecha]],SummaryDaily[day],SummaryDaily[new_average_order_value],0)</f>
        <v>122174.37</v>
      </c>
      <c r="L120" s="12">
        <f>_xlfn.XLOOKUP(TableDailySummary[[#This Row],[Fecha]],SummaryDaily[day],SummaryDaily[Online Store_net_sales],0)</f>
        <v>215697.48</v>
      </c>
      <c r="M120" s="12">
        <f>_xlfn.XLOOKUP(TableDailySummary[[#This Row],[Fecha]],SummaryDaily[day],SummaryDaily[Online Store_orders],0)</f>
        <v>3</v>
      </c>
      <c r="N120" s="12">
        <f>_xlfn.XLOOKUP(TableDailySummary[[#This Row],[Fecha]],SummaryDaily[day],SummaryDaily[Online Store_average_order_value],0)</f>
        <v>71899.16</v>
      </c>
      <c r="O120" s="12">
        <f>_xlfn.XLOOKUP(TableDailySummary[[#This Row],[Fecha]],SummaryDaily[day],SummaryDaily[Tienda 81_net_sales],0)</f>
        <v>2553067.2400000002</v>
      </c>
      <c r="P120" s="12">
        <f>_xlfn.XLOOKUP(TableDailySummary[[#This Row],[Fecha]],SummaryDaily[day],SummaryDaily[Tienda 81_orders],0)</f>
        <v>14</v>
      </c>
      <c r="Q120" s="12">
        <f>_xlfn.XLOOKUP(TableDailySummary[[#This Row],[Fecha]],SummaryDaily[day],SummaryDaily[Tienda 81_average_order_value],0)</f>
        <v>181161.465</v>
      </c>
      <c r="R120" s="12">
        <f>_xlfn.XLOOKUP(TableDailySummary[[#This Row],[Fecha]],SummaryDaily[day],SummaryDaily[Rappi_net_sales],0)</f>
        <v>0</v>
      </c>
      <c r="S120" s="12">
        <f>_xlfn.XLOOKUP(TableDailySummary[[#This Row],[Fecha]],SummaryDaily[day],SummaryDaily[Rappi_orders],0)</f>
        <v>0</v>
      </c>
      <c r="T120" s="12">
        <f>_xlfn.XLOOKUP(TableDailySummary[[#This Row],[Fecha]],SummaryDaily[day],SummaryDaily[Rappi_average_order_value],0)</f>
        <v>0</v>
      </c>
      <c r="U120" s="12">
        <f>_xlfn.XLOOKUP(TableDailySummary[[#This Row],[Fecha]],SummaryDaily[day],SummaryDaily[Corporativo no tienda_net_sales],0)</f>
        <v>0</v>
      </c>
      <c r="V120" s="12">
        <f>_xlfn.XLOOKUP(TableDailySummary[[#This Row],[Fecha]],SummaryDaily[day],SummaryDaily[Corporativo no tienda_orders],0)</f>
        <v>0</v>
      </c>
      <c r="W120" s="12">
        <f>_xlfn.XLOOKUP(TableDailySummary[[#This Row],[Fecha]],SummaryDaily[day],SummaryDaily[Corporativo no tienda_average_order_value],0)</f>
        <v>0</v>
      </c>
      <c r="X120" s="12">
        <f>_xlfn.XLOOKUP(TableDailySummary[[#This Row],[Fecha]],SummaryDaily[day],SummaryDaily[GoogleAdsOperation.Cost],0)</f>
        <v>374.86</v>
      </c>
      <c r="Y120" s="12">
        <f>SUMIFS(SalesByUTMDaily[google],SalesByUTMDaily[day],TableDailySummary[[#This Row],[Fecha]])</f>
        <v>0</v>
      </c>
      <c r="Z120" s="12">
        <f>_xlfn.XLOOKUP(TableDailySummary[[#This Row],[Fecha]],SummaryDaily[day],SummaryDaily[MetaAdsOperation.spend],0)</f>
        <v>22758</v>
      </c>
      <c r="AA120" s="12">
        <f>SUMIFS(SalesByUTMDaily[facebook],SalesByUTMDaily[day],TableDailySummary[[#This Row],[Fecha]])</f>
        <v>0</v>
      </c>
      <c r="AB120" s="12">
        <f>TableDailySummary[[#This Row],[Inversión google ads]]+TableDailySummary[[#This Row],[Inversión meta ads]]</f>
        <v>23132.86</v>
      </c>
      <c r="AC120" s="12">
        <f>TableDailySummary[[#This Row],[Ventas google ads]]+TableDailySummary[[#This Row],[Ventas meta ads]]</f>
        <v>0</v>
      </c>
      <c r="AD120" s="14">
        <f>IFERROR(TableDailySummary[[#This Row],[Ventas publicidad]]/TableDailySummary[[#This Row],[Inversión publicidad]],0)</f>
        <v>0</v>
      </c>
      <c r="AE120" s="14">
        <f>IFERROR(TableDailySummary[[#This Row],[Ventas primer cliente]]/TableDailySummary[[#This Row],[Inversión publicidad]],0)</f>
        <v>63.377051086636065</v>
      </c>
      <c r="AF120" s="14"/>
      <c r="AG120" s="12"/>
      <c r="AM120" s="12">
        <f>_xlfn.XLOOKUP(TableDailySummary[[#This Row],[Fecha]],SummaryDaily[day],SummaryDaily[net_sales_with_cost_recorded],0)</f>
        <v>2768764.72</v>
      </c>
      <c r="AN120" s="12">
        <f>_xlfn.XLOOKUP(TableDailySummary[[#This Row],[Fecha]],SummaryDaily[day],SummaryDaily[cost_of_goods_sold],0)</f>
        <v>835183</v>
      </c>
      <c r="AO120" s="12">
        <f>_xlfn.XLOOKUP(TableDailySummary[[#This Row],[Fecha]],SummaryDaily[day],SummaryDaily[gross_profit],0)</f>
        <v>1933581.72</v>
      </c>
      <c r="AP120" s="18">
        <f>IFERROR(TableDailySummary[[#This Row],[Utilidad bruta]]/TableDailySummary[[#This Row],[Ventas netas con costo registrado]],0)</f>
        <v>0.69835537343888132</v>
      </c>
    </row>
    <row r="121" spans="2:42" x14ac:dyDescent="0.2">
      <c r="B121" s="15" cm="1">
        <f t="array" ref="B121">MIN(SummaryDaily[day]) + (ROW(TableDailySummary[#This Row]) - ROW(TableDailySummary[[#Headers],[Dia]]) - 1)</f>
        <v>45892</v>
      </c>
      <c r="C121" s="6">
        <f>TableDailySummary[[#This Row],[Dia]]</f>
        <v>45892</v>
      </c>
      <c r="D121" s="12">
        <f>_xlfn.XLOOKUP(TableDailySummary[[#This Row],[Fecha]],SummaryDaily[day],SummaryDaily[net_sales],0)</f>
        <v>2356008.41</v>
      </c>
      <c r="E121" s="12">
        <f>_xlfn.XLOOKUP(TableDailySummary[[#This Row],[Fecha]],SummaryDaily[day],SummaryDaily[orders],0)</f>
        <v>18</v>
      </c>
      <c r="F121" s="12">
        <f>_xlfn.XLOOKUP(TableDailySummary[[#This Row],[Fecha]],SummaryDaily[day],SummaryDaily[average_order_value],0)</f>
        <v>126454.24800000001</v>
      </c>
      <c r="G121" s="24">
        <f>_xlfn.XLOOKUP(TableDailySummary[[#This Row],[Fecha]],SummaryDaily[day],SummaryDaily[Total site_conversion_rate],0)</f>
        <v>2.3809523809523808E-2</v>
      </c>
      <c r="H121" s="12">
        <f>TableDailySummary[[#This Row],[Órden promedio totales]]*TableDailySummary[[#This Row],[CR totales]]</f>
        <v>3010.8154285714286</v>
      </c>
      <c r="I121" s="12">
        <f>_xlfn.XLOOKUP(TableDailySummary[[#This Row],[Fecha]],SummaryDaily[day],SummaryDaily[new_net_sales],0)</f>
        <v>1025756.31</v>
      </c>
      <c r="J121" s="12">
        <f>_xlfn.XLOOKUP(TableDailySummary[[#This Row],[Fecha]],SummaryDaily[day],SummaryDaily[new_orders],0)</f>
        <v>5</v>
      </c>
      <c r="K121" s="12">
        <f>_xlfn.XLOOKUP(TableDailySummary[[#This Row],[Fecha]],SummaryDaily[day],SummaryDaily[new_average_order_value],0)</f>
        <v>205151.26199999999</v>
      </c>
      <c r="L121" s="12">
        <f>_xlfn.XLOOKUP(TableDailySummary[[#This Row],[Fecha]],SummaryDaily[day],SummaryDaily[Online Store_net_sales],0)</f>
        <v>340336.14</v>
      </c>
      <c r="M121" s="12">
        <f>_xlfn.XLOOKUP(TableDailySummary[[#This Row],[Fecha]],SummaryDaily[day],SummaryDaily[Online Store_orders],0)</f>
        <v>3</v>
      </c>
      <c r="N121" s="12">
        <f>_xlfn.XLOOKUP(TableDailySummary[[#This Row],[Fecha]],SummaryDaily[day],SummaryDaily[Online Store_average_order_value],0)</f>
        <v>113445.38</v>
      </c>
      <c r="O121" s="12">
        <f>_xlfn.XLOOKUP(TableDailySummary[[#This Row],[Fecha]],SummaryDaily[day],SummaryDaily[Tienda 81_net_sales],0)</f>
        <v>2015672.27</v>
      </c>
      <c r="P121" s="12">
        <f>_xlfn.XLOOKUP(TableDailySummary[[#This Row],[Fecha]],SummaryDaily[day],SummaryDaily[Tienda 81_orders],0)</f>
        <v>15</v>
      </c>
      <c r="Q121" s="12">
        <f>_xlfn.XLOOKUP(TableDailySummary[[#This Row],[Fecha]],SummaryDaily[day],SummaryDaily[Tienda 81_average_order_value],0)</f>
        <v>129056.022</v>
      </c>
      <c r="R121" s="12">
        <f>_xlfn.XLOOKUP(TableDailySummary[[#This Row],[Fecha]],SummaryDaily[day],SummaryDaily[Rappi_net_sales],0)</f>
        <v>0</v>
      </c>
      <c r="S121" s="12">
        <f>_xlfn.XLOOKUP(TableDailySummary[[#This Row],[Fecha]],SummaryDaily[day],SummaryDaily[Rappi_orders],0)</f>
        <v>0</v>
      </c>
      <c r="T121" s="12">
        <f>_xlfn.XLOOKUP(TableDailySummary[[#This Row],[Fecha]],SummaryDaily[day],SummaryDaily[Rappi_average_order_value],0)</f>
        <v>0</v>
      </c>
      <c r="U121" s="12">
        <f>_xlfn.XLOOKUP(TableDailySummary[[#This Row],[Fecha]],SummaryDaily[day],SummaryDaily[Corporativo no tienda_net_sales],0)</f>
        <v>0</v>
      </c>
      <c r="V121" s="12">
        <f>_xlfn.XLOOKUP(TableDailySummary[[#This Row],[Fecha]],SummaryDaily[day],SummaryDaily[Corporativo no tienda_orders],0)</f>
        <v>0</v>
      </c>
      <c r="W121" s="12">
        <f>_xlfn.XLOOKUP(TableDailySummary[[#This Row],[Fecha]],SummaryDaily[day],SummaryDaily[Corporativo no tienda_average_order_value],0)</f>
        <v>0</v>
      </c>
      <c r="X121" s="12">
        <f>_xlfn.XLOOKUP(TableDailySummary[[#This Row],[Fecha]],SummaryDaily[day],SummaryDaily[GoogleAdsOperation.Cost],0)</f>
        <v>328.24</v>
      </c>
      <c r="Y121" s="12">
        <f>SUMIFS(SalesByUTMDaily[google],SalesByUTMDaily[day],TableDailySummary[[#This Row],[Fecha]])</f>
        <v>0</v>
      </c>
      <c r="Z121" s="12">
        <f>_xlfn.XLOOKUP(TableDailySummary[[#This Row],[Fecha]],SummaryDaily[day],SummaryDaily[MetaAdsOperation.spend],0)</f>
        <v>19059</v>
      </c>
      <c r="AA121" s="12">
        <f>SUMIFS(SalesByUTMDaily[facebook],SalesByUTMDaily[day],TableDailySummary[[#This Row],[Fecha]])</f>
        <v>0</v>
      </c>
      <c r="AB121" s="12">
        <f>TableDailySummary[[#This Row],[Inversión google ads]]+TableDailySummary[[#This Row],[Inversión meta ads]]</f>
        <v>19387.240000000002</v>
      </c>
      <c r="AC121" s="12">
        <f>TableDailySummary[[#This Row],[Ventas google ads]]+TableDailySummary[[#This Row],[Ventas meta ads]]</f>
        <v>0</v>
      </c>
      <c r="AD121" s="14">
        <f>IFERROR(TableDailySummary[[#This Row],[Ventas publicidad]]/TableDailySummary[[#This Row],[Inversión publicidad]],0)</f>
        <v>0</v>
      </c>
      <c r="AE121" s="14">
        <f>IFERROR(TableDailySummary[[#This Row],[Ventas primer cliente]]/TableDailySummary[[#This Row],[Inversión publicidad]],0)</f>
        <v>52.908836430559482</v>
      </c>
      <c r="AF121" s="14"/>
      <c r="AG121" s="12"/>
      <c r="AM121" s="12">
        <f>_xlfn.XLOOKUP(TableDailySummary[[#This Row],[Fecha]],SummaryDaily[day],SummaryDaily[net_sales_with_cost_recorded],0)</f>
        <v>2356008.41</v>
      </c>
      <c r="AN121" s="12">
        <f>_xlfn.XLOOKUP(TableDailySummary[[#This Row],[Fecha]],SummaryDaily[day],SummaryDaily[cost_of_goods_sold],0)</f>
        <v>744187</v>
      </c>
      <c r="AO121" s="12">
        <f>_xlfn.XLOOKUP(TableDailySummary[[#This Row],[Fecha]],SummaryDaily[day],SummaryDaily[gross_profit],0)</f>
        <v>1611821.41</v>
      </c>
      <c r="AP121" s="18">
        <f>IFERROR(TableDailySummary[[#This Row],[Utilidad bruta]]/TableDailySummary[[#This Row],[Ventas netas con costo registrado]],0)</f>
        <v>0.68413228202356025</v>
      </c>
    </row>
    <row r="122" spans="2:42" x14ac:dyDescent="0.2">
      <c r="B122" s="15" cm="1">
        <f t="array" ref="B122">MIN(SummaryDaily[day]) + (ROW(TableDailySummary[#This Row]) - ROW(TableDailySummary[[#Headers],[Dia]]) - 1)</f>
        <v>45893</v>
      </c>
      <c r="C122" s="6">
        <f>TableDailySummary[[#This Row],[Dia]]</f>
        <v>45893</v>
      </c>
      <c r="D122" s="12">
        <f>_xlfn.XLOOKUP(TableDailySummary[[#This Row],[Fecha]],SummaryDaily[day],SummaryDaily[net_sales],0)</f>
        <v>2605689.0499999998</v>
      </c>
      <c r="E122" s="12">
        <f>_xlfn.XLOOKUP(TableDailySummary[[#This Row],[Fecha]],SummaryDaily[day],SummaryDaily[orders],0)</f>
        <v>20</v>
      </c>
      <c r="F122" s="12">
        <f>_xlfn.XLOOKUP(TableDailySummary[[#This Row],[Fecha]],SummaryDaily[day],SummaryDaily[average_order_value],0)</f>
        <v>130284.452</v>
      </c>
      <c r="G122" s="24">
        <f>_xlfn.XLOOKUP(TableDailySummary[[#This Row],[Fecha]],SummaryDaily[day],SummaryDaily[Total site_conversion_rate],0)</f>
        <v>2.8571428571428571E-2</v>
      </c>
      <c r="H122" s="12">
        <f>TableDailySummary[[#This Row],[Órden promedio totales]]*TableDailySummary[[#This Row],[CR totales]]</f>
        <v>3722.4129142857141</v>
      </c>
      <c r="I122" s="12">
        <f>_xlfn.XLOOKUP(TableDailySummary[[#This Row],[Fecha]],SummaryDaily[day],SummaryDaily[new_net_sales],0)</f>
        <v>1977957.96</v>
      </c>
      <c r="J122" s="12">
        <f>_xlfn.XLOOKUP(TableDailySummary[[#This Row],[Fecha]],SummaryDaily[day],SummaryDaily[new_orders],0)</f>
        <v>12</v>
      </c>
      <c r="K122" s="12">
        <f>_xlfn.XLOOKUP(TableDailySummary[[#This Row],[Fecha]],SummaryDaily[day],SummaryDaily[new_average_order_value],0)</f>
        <v>164829.82999999999</v>
      </c>
      <c r="L122" s="12">
        <f>_xlfn.XLOOKUP(TableDailySummary[[#This Row],[Fecha]],SummaryDaily[day],SummaryDaily[Online Store_net_sales],0)</f>
        <v>235294.12</v>
      </c>
      <c r="M122" s="12">
        <f>_xlfn.XLOOKUP(TableDailySummary[[#This Row],[Fecha]],SummaryDaily[day],SummaryDaily[Online Store_orders],0)</f>
        <v>2</v>
      </c>
      <c r="N122" s="12">
        <f>_xlfn.XLOOKUP(TableDailySummary[[#This Row],[Fecha]],SummaryDaily[day],SummaryDaily[Online Store_average_order_value],0)</f>
        <v>117647.06</v>
      </c>
      <c r="O122" s="12">
        <f>_xlfn.XLOOKUP(TableDailySummary[[#This Row],[Fecha]],SummaryDaily[day],SummaryDaily[Tienda 81_net_sales],0)</f>
        <v>2290563</v>
      </c>
      <c r="P122" s="12">
        <f>_xlfn.XLOOKUP(TableDailySummary[[#This Row],[Fecha]],SummaryDaily[day],SummaryDaily[Tienda 81_orders],0)</f>
        <v>17</v>
      </c>
      <c r="Q122" s="12">
        <f>_xlfn.XLOOKUP(TableDailySummary[[#This Row],[Fecha]],SummaryDaily[day],SummaryDaily[Tienda 81_average_order_value],0)</f>
        <v>134739</v>
      </c>
      <c r="R122" s="12">
        <f>_xlfn.XLOOKUP(TableDailySummary[[#This Row],[Fecha]],SummaryDaily[day],SummaryDaily[Rappi_net_sales],0)</f>
        <v>0</v>
      </c>
      <c r="S122" s="12">
        <f>_xlfn.XLOOKUP(TableDailySummary[[#This Row],[Fecha]],SummaryDaily[day],SummaryDaily[Rappi_orders],0)</f>
        <v>0</v>
      </c>
      <c r="T122" s="12">
        <f>_xlfn.XLOOKUP(TableDailySummary[[#This Row],[Fecha]],SummaryDaily[day],SummaryDaily[Rappi_average_order_value],0)</f>
        <v>0</v>
      </c>
      <c r="U122" s="12">
        <f>_xlfn.XLOOKUP(TableDailySummary[[#This Row],[Fecha]],SummaryDaily[day],SummaryDaily[Corporativo no tienda_net_sales],0)</f>
        <v>0</v>
      </c>
      <c r="V122" s="12">
        <f>_xlfn.XLOOKUP(TableDailySummary[[#This Row],[Fecha]],SummaryDaily[day],SummaryDaily[Corporativo no tienda_orders],0)</f>
        <v>0</v>
      </c>
      <c r="W122" s="12">
        <f>_xlfn.XLOOKUP(TableDailySummary[[#This Row],[Fecha]],SummaryDaily[day],SummaryDaily[Corporativo no tienda_average_order_value],0)</f>
        <v>0</v>
      </c>
      <c r="X122" s="12">
        <f>_xlfn.XLOOKUP(TableDailySummary[[#This Row],[Fecha]],SummaryDaily[day],SummaryDaily[GoogleAdsOperation.Cost],0)</f>
        <v>3107.91</v>
      </c>
      <c r="Y122" s="12">
        <f>SUMIFS(SalesByUTMDaily[google],SalesByUTMDaily[day],TableDailySummary[[#This Row],[Fecha]])</f>
        <v>0</v>
      </c>
      <c r="Z122" s="12">
        <f>_xlfn.XLOOKUP(TableDailySummary[[#This Row],[Fecha]],SummaryDaily[day],SummaryDaily[MetaAdsOperation.spend],0)</f>
        <v>19248</v>
      </c>
      <c r="AA122" s="12">
        <f>SUMIFS(SalesByUTMDaily[facebook],SalesByUTMDaily[day],TableDailySummary[[#This Row],[Fecha]])</f>
        <v>0</v>
      </c>
      <c r="AB122" s="12">
        <f>TableDailySummary[[#This Row],[Inversión google ads]]+TableDailySummary[[#This Row],[Inversión meta ads]]</f>
        <v>22355.91</v>
      </c>
      <c r="AC122" s="12">
        <f>TableDailySummary[[#This Row],[Ventas google ads]]+TableDailySummary[[#This Row],[Ventas meta ads]]</f>
        <v>0</v>
      </c>
      <c r="AD122" s="14">
        <f>IFERROR(TableDailySummary[[#This Row],[Ventas publicidad]]/TableDailySummary[[#This Row],[Inversión publicidad]],0)</f>
        <v>0</v>
      </c>
      <c r="AE122" s="14">
        <f>IFERROR(TableDailySummary[[#This Row],[Ventas primer cliente]]/TableDailySummary[[#This Row],[Inversión publicidad]],0)</f>
        <v>88.475841958569347</v>
      </c>
      <c r="AF122" s="14"/>
      <c r="AG122" s="12"/>
      <c r="AM122" s="12">
        <f>_xlfn.XLOOKUP(TableDailySummary[[#This Row],[Fecha]],SummaryDaily[day],SummaryDaily[net_sales_with_cost_recorded],0)</f>
        <v>2509689.0499999998</v>
      </c>
      <c r="AN122" s="12">
        <f>_xlfn.XLOOKUP(TableDailySummary[[#This Row],[Fecha]],SummaryDaily[day],SummaryDaily[cost_of_goods_sold],0)</f>
        <v>804180</v>
      </c>
      <c r="AO122" s="12">
        <f>_xlfn.XLOOKUP(TableDailySummary[[#This Row],[Fecha]],SummaryDaily[day],SummaryDaily[gross_profit],0)</f>
        <v>1705509.05</v>
      </c>
      <c r="AP122" s="18">
        <f>IFERROR(TableDailySummary[[#This Row],[Utilidad bruta]]/TableDailySummary[[#This Row],[Ventas netas con costo registrado]],0)</f>
        <v>0.67956986543811082</v>
      </c>
    </row>
    <row r="123" spans="2:42" x14ac:dyDescent="0.2">
      <c r="B123" s="15" cm="1">
        <f t="array" ref="B123">MIN(SummaryDaily[day]) + (ROW(TableDailySummary[#This Row]) - ROW(TableDailySummary[[#Headers],[Dia]]) - 1)</f>
        <v>45894</v>
      </c>
      <c r="C123" s="6">
        <f>TableDailySummary[[#This Row],[Dia]]</f>
        <v>45894</v>
      </c>
      <c r="D123" s="12">
        <f>_xlfn.XLOOKUP(TableDailySummary[[#This Row],[Fecha]],SummaryDaily[day],SummaryDaily[net_sales],0)</f>
        <v>3088236.31</v>
      </c>
      <c r="E123" s="12">
        <f>_xlfn.XLOOKUP(TableDailySummary[[#This Row],[Fecha]],SummaryDaily[day],SummaryDaily[orders],0)</f>
        <v>22</v>
      </c>
      <c r="F123" s="12">
        <f>_xlfn.XLOOKUP(TableDailySummary[[#This Row],[Fecha]],SummaryDaily[day],SummaryDaily[average_order_value],0)</f>
        <v>140374.37700000001</v>
      </c>
      <c r="G123" s="24">
        <f>_xlfn.XLOOKUP(TableDailySummary[[#This Row],[Fecha]],SummaryDaily[day],SummaryDaily[Total site_conversion_rate],0)</f>
        <v>3.007518796992481E-2</v>
      </c>
      <c r="H123" s="12">
        <f>TableDailySummary[[#This Row],[Órden promedio totales]]*TableDailySummary[[#This Row],[CR totales]]</f>
        <v>4221.7857744360899</v>
      </c>
      <c r="I123" s="12">
        <f>_xlfn.XLOOKUP(TableDailySummary[[#This Row],[Fecha]],SummaryDaily[day],SummaryDaily[new_net_sales],0)</f>
        <v>1590336.15</v>
      </c>
      <c r="J123" s="12">
        <f>_xlfn.XLOOKUP(TableDailySummary[[#This Row],[Fecha]],SummaryDaily[day],SummaryDaily[new_orders],0)</f>
        <v>11</v>
      </c>
      <c r="K123" s="12">
        <f>_xlfn.XLOOKUP(TableDailySummary[[#This Row],[Fecha]],SummaryDaily[day],SummaryDaily[new_average_order_value],0)</f>
        <v>144576.01300000001</v>
      </c>
      <c r="L123" s="12">
        <f>_xlfn.XLOOKUP(TableDailySummary[[#This Row],[Fecha]],SummaryDaily[day],SummaryDaily[Online Store_net_sales],0)</f>
        <v>638656.46</v>
      </c>
      <c r="M123" s="12">
        <f>_xlfn.XLOOKUP(TableDailySummary[[#This Row],[Fecha]],SummaryDaily[day],SummaryDaily[Online Store_orders],0)</f>
        <v>5</v>
      </c>
      <c r="N123" s="12">
        <f>_xlfn.XLOOKUP(TableDailySummary[[#This Row],[Fecha]],SummaryDaily[day],SummaryDaily[Online Store_average_order_value],0)</f>
        <v>127731.292</v>
      </c>
      <c r="O123" s="12">
        <f>_xlfn.XLOOKUP(TableDailySummary[[#This Row],[Fecha]],SummaryDaily[day],SummaryDaily[Tienda 81_net_sales],0)</f>
        <v>2214285.73</v>
      </c>
      <c r="P123" s="12">
        <f>_xlfn.XLOOKUP(TableDailySummary[[#This Row],[Fecha]],SummaryDaily[day],SummaryDaily[Tienda 81_orders],0)</f>
        <v>16</v>
      </c>
      <c r="Q123" s="12">
        <f>_xlfn.XLOOKUP(TableDailySummary[[#This Row],[Fecha]],SummaryDaily[day],SummaryDaily[Tienda 81_average_order_value],0)</f>
        <v>138392.85800000001</v>
      </c>
      <c r="R123" s="12">
        <f>_xlfn.XLOOKUP(TableDailySummary[[#This Row],[Fecha]],SummaryDaily[day],SummaryDaily[Rappi_net_sales],0)</f>
        <v>0</v>
      </c>
      <c r="S123" s="12">
        <f>_xlfn.XLOOKUP(TableDailySummary[[#This Row],[Fecha]],SummaryDaily[day],SummaryDaily[Rappi_orders],0)</f>
        <v>0</v>
      </c>
      <c r="T123" s="12">
        <f>_xlfn.XLOOKUP(TableDailySummary[[#This Row],[Fecha]],SummaryDaily[day],SummaryDaily[Rappi_average_order_value],0)</f>
        <v>0</v>
      </c>
      <c r="U123" s="12">
        <f>_xlfn.XLOOKUP(TableDailySummary[[#This Row],[Fecha]],SummaryDaily[day],SummaryDaily[Corporativo no tienda_net_sales],0)</f>
        <v>0</v>
      </c>
      <c r="V123" s="12">
        <f>_xlfn.XLOOKUP(TableDailySummary[[#This Row],[Fecha]],SummaryDaily[day],SummaryDaily[Corporativo no tienda_orders],0)</f>
        <v>0</v>
      </c>
      <c r="W123" s="12">
        <f>_xlfn.XLOOKUP(TableDailySummary[[#This Row],[Fecha]],SummaryDaily[day],SummaryDaily[Corporativo no tienda_average_order_value],0)</f>
        <v>0</v>
      </c>
      <c r="X123" s="12">
        <f>_xlfn.XLOOKUP(TableDailySummary[[#This Row],[Fecha]],SummaryDaily[day],SummaryDaily[GoogleAdsOperation.Cost],0)</f>
        <v>3381.76</v>
      </c>
      <c r="Y123" s="12">
        <f>SUMIFS(SalesByUTMDaily[google],SalesByUTMDaily[day],TableDailySummary[[#This Row],[Fecha]])</f>
        <v>430001</v>
      </c>
      <c r="Z123" s="12">
        <f>_xlfn.XLOOKUP(TableDailySummary[[#This Row],[Fecha]],SummaryDaily[day],SummaryDaily[MetaAdsOperation.spend],0)</f>
        <v>19463</v>
      </c>
      <c r="AA123" s="12">
        <f>SUMIFS(SalesByUTMDaily[facebook],SalesByUTMDaily[day],TableDailySummary[[#This Row],[Fecha]])</f>
        <v>0</v>
      </c>
      <c r="AB123" s="12">
        <f>TableDailySummary[[#This Row],[Inversión google ads]]+TableDailySummary[[#This Row],[Inversión meta ads]]</f>
        <v>22844.760000000002</v>
      </c>
      <c r="AC123" s="12">
        <f>TableDailySummary[[#This Row],[Ventas google ads]]+TableDailySummary[[#This Row],[Ventas meta ads]]</f>
        <v>430001</v>
      </c>
      <c r="AD123" s="14">
        <f>IFERROR(TableDailySummary[[#This Row],[Ventas publicidad]]/TableDailySummary[[#This Row],[Inversión publicidad]],0)</f>
        <v>18.822740969920453</v>
      </c>
      <c r="AE123" s="14">
        <f>IFERROR(TableDailySummary[[#This Row],[Ventas primer cliente]]/TableDailySummary[[#This Row],[Inversión publicidad]],0)</f>
        <v>69.614920445651421</v>
      </c>
      <c r="AF123" s="14"/>
      <c r="AG123" s="12"/>
      <c r="AM123" s="12">
        <f>_xlfn.XLOOKUP(TableDailySummary[[#This Row],[Fecha]],SummaryDaily[day],SummaryDaily[net_sales_with_cost_recorded],0)</f>
        <v>3043697.49</v>
      </c>
      <c r="AN123" s="12">
        <f>_xlfn.XLOOKUP(TableDailySummary[[#This Row],[Fecha]],SummaryDaily[day],SummaryDaily[cost_of_goods_sold],0)</f>
        <v>1039140</v>
      </c>
      <c r="AO123" s="12">
        <f>_xlfn.XLOOKUP(TableDailySummary[[#This Row],[Fecha]],SummaryDaily[day],SummaryDaily[gross_profit],0)</f>
        <v>2004557.49</v>
      </c>
      <c r="AP123" s="18">
        <f>IFERROR(TableDailySummary[[#This Row],[Utilidad bruta]]/TableDailySummary[[#This Row],[Ventas netas con costo registrado]],0)</f>
        <v>0.65859287809840783</v>
      </c>
    </row>
    <row r="124" spans="2:42" x14ac:dyDescent="0.2">
      <c r="B124" s="15" cm="1">
        <f t="array" ref="B124">MIN(SummaryDaily[day]) + (ROW(TableDailySummary[#This Row]) - ROW(TableDailySummary[[#Headers],[Dia]]) - 1)</f>
        <v>45895</v>
      </c>
      <c r="C124" s="6">
        <f>TableDailySummary[[#This Row],[Dia]]</f>
        <v>45895</v>
      </c>
      <c r="D124" s="12">
        <f>_xlfn.XLOOKUP(TableDailySummary[[#This Row],[Fecha]],SummaryDaily[day],SummaryDaily[net_sales],0)</f>
        <v>2647479</v>
      </c>
      <c r="E124" s="12">
        <f>_xlfn.XLOOKUP(TableDailySummary[[#This Row],[Fecha]],SummaryDaily[day],SummaryDaily[orders],0)</f>
        <v>19</v>
      </c>
      <c r="F124" s="12">
        <f>_xlfn.XLOOKUP(TableDailySummary[[#This Row],[Fecha]],SummaryDaily[day],SummaryDaily[average_order_value],0)</f>
        <v>140667.84599999999</v>
      </c>
      <c r="G124" s="24">
        <f>_xlfn.XLOOKUP(TableDailySummary[[#This Row],[Fecha]],SummaryDaily[day],SummaryDaily[Total site_conversion_rate],0)</f>
        <v>2.4630541871921183E-2</v>
      </c>
      <c r="H124" s="12">
        <f>TableDailySummary[[#This Row],[Órden promedio totales]]*TableDailySummary[[#This Row],[CR totales]]</f>
        <v>3464.7252709359605</v>
      </c>
      <c r="I124" s="12">
        <f>_xlfn.XLOOKUP(TableDailySummary[[#This Row],[Fecha]],SummaryDaily[day],SummaryDaily[new_net_sales],0)</f>
        <v>776050.42</v>
      </c>
      <c r="J124" s="12">
        <f>_xlfn.XLOOKUP(TableDailySummary[[#This Row],[Fecha]],SummaryDaily[day],SummaryDaily[new_orders],0)</f>
        <v>9</v>
      </c>
      <c r="K124" s="12">
        <f>_xlfn.XLOOKUP(TableDailySummary[[#This Row],[Fecha]],SummaryDaily[day],SummaryDaily[new_average_order_value],0)</f>
        <v>86227.823999999993</v>
      </c>
      <c r="L124" s="12">
        <f>_xlfn.XLOOKUP(TableDailySummary[[#This Row],[Fecha]],SummaryDaily[day],SummaryDaily[Online Store_net_sales],0)</f>
        <v>542016.81000000006</v>
      </c>
      <c r="M124" s="12">
        <f>_xlfn.XLOOKUP(TableDailySummary[[#This Row],[Fecha]],SummaryDaily[day],SummaryDaily[Online Store_orders],0)</f>
        <v>6</v>
      </c>
      <c r="N124" s="12">
        <f>_xlfn.XLOOKUP(TableDailySummary[[#This Row],[Fecha]],SummaryDaily[day],SummaryDaily[Online Store_average_order_value],0)</f>
        <v>90336.134999999995</v>
      </c>
      <c r="O124" s="12">
        <f>_xlfn.XLOOKUP(TableDailySummary[[#This Row],[Fecha]],SummaryDaily[day],SummaryDaily[Tienda 81_net_sales],0)</f>
        <v>2083613.45</v>
      </c>
      <c r="P124" s="12">
        <f>_xlfn.XLOOKUP(TableDailySummary[[#This Row],[Fecha]],SummaryDaily[day],SummaryDaily[Tienda 81_orders],0)</f>
        <v>12</v>
      </c>
      <c r="Q124" s="12">
        <f>_xlfn.XLOOKUP(TableDailySummary[[#This Row],[Fecha]],SummaryDaily[day],SummaryDaily[Tienda 81_average_order_value],0)</f>
        <v>175735.29399999999</v>
      </c>
      <c r="R124" s="12">
        <f>_xlfn.XLOOKUP(TableDailySummary[[#This Row],[Fecha]],SummaryDaily[day],SummaryDaily[Rappi_net_sales],0)</f>
        <v>21848.74</v>
      </c>
      <c r="S124" s="12">
        <f>_xlfn.XLOOKUP(TableDailySummary[[#This Row],[Fecha]],SummaryDaily[day],SummaryDaily[Rappi_orders],0)</f>
        <v>1</v>
      </c>
      <c r="T124" s="12">
        <f>_xlfn.XLOOKUP(TableDailySummary[[#This Row],[Fecha]],SummaryDaily[day],SummaryDaily[Rappi_average_order_value],0)</f>
        <v>21848.74</v>
      </c>
      <c r="U124" s="12">
        <f>_xlfn.XLOOKUP(TableDailySummary[[#This Row],[Fecha]],SummaryDaily[day],SummaryDaily[Corporativo no tienda_net_sales],0)</f>
        <v>0</v>
      </c>
      <c r="V124" s="12">
        <f>_xlfn.XLOOKUP(TableDailySummary[[#This Row],[Fecha]],SummaryDaily[day],SummaryDaily[Corporativo no tienda_orders],0)</f>
        <v>0</v>
      </c>
      <c r="W124" s="12">
        <f>_xlfn.XLOOKUP(TableDailySummary[[#This Row],[Fecha]],SummaryDaily[day],SummaryDaily[Corporativo no tienda_average_order_value],0)</f>
        <v>0</v>
      </c>
      <c r="X124" s="12">
        <f>_xlfn.XLOOKUP(TableDailySummary[[#This Row],[Fecha]],SummaryDaily[day],SummaryDaily[GoogleAdsOperation.Cost],0)</f>
        <v>2659.55</v>
      </c>
      <c r="Y124" s="12">
        <f>SUMIFS(SalesByUTMDaily[google],SalesByUTMDaily[day],TableDailySummary[[#This Row],[Fecha]])</f>
        <v>70000</v>
      </c>
      <c r="Z124" s="12">
        <f>_xlfn.XLOOKUP(TableDailySummary[[#This Row],[Fecha]],SummaryDaily[day],SummaryDaily[MetaAdsOperation.spend],0)</f>
        <v>23432</v>
      </c>
      <c r="AA124" s="12">
        <f>SUMIFS(SalesByUTMDaily[facebook],SalesByUTMDaily[day],TableDailySummary[[#This Row],[Fecha]])</f>
        <v>0</v>
      </c>
      <c r="AB124" s="12">
        <f>TableDailySummary[[#This Row],[Inversión google ads]]+TableDailySummary[[#This Row],[Inversión meta ads]]</f>
        <v>26091.55</v>
      </c>
      <c r="AC124" s="12">
        <f>TableDailySummary[[#This Row],[Ventas google ads]]+TableDailySummary[[#This Row],[Ventas meta ads]]</f>
        <v>70000</v>
      </c>
      <c r="AD124" s="14">
        <f>IFERROR(TableDailySummary[[#This Row],[Ventas publicidad]]/TableDailySummary[[#This Row],[Inversión publicidad]],0)</f>
        <v>2.6828609262385714</v>
      </c>
      <c r="AE124" s="14">
        <f>IFERROR(TableDailySummary[[#This Row],[Ventas primer cliente]]/TableDailySummary[[#This Row],[Inversión publicidad]],0)</f>
        <v>29.743362122986181</v>
      </c>
      <c r="AF124" s="14"/>
      <c r="AG124" s="12"/>
      <c r="AM124" s="12">
        <f>_xlfn.XLOOKUP(TableDailySummary[[#This Row],[Fecha]],SummaryDaily[day],SummaryDaily[net_sales_with_cost_recorded],0)</f>
        <v>2609663.87</v>
      </c>
      <c r="AN124" s="12">
        <f>_xlfn.XLOOKUP(TableDailySummary[[#This Row],[Fecha]],SummaryDaily[day],SummaryDaily[cost_of_goods_sold],0)</f>
        <v>644735</v>
      </c>
      <c r="AO124" s="12">
        <f>_xlfn.XLOOKUP(TableDailySummary[[#This Row],[Fecha]],SummaryDaily[day],SummaryDaily[gross_profit],0)</f>
        <v>1964928.87</v>
      </c>
      <c r="AP124" s="18">
        <f>IFERROR(TableDailySummary[[#This Row],[Utilidad bruta]]/TableDailySummary[[#This Row],[Ventas netas con costo registrado]],0)</f>
        <v>0.75294327847670284</v>
      </c>
    </row>
    <row r="125" spans="2:42" x14ac:dyDescent="0.2">
      <c r="B125" s="15" cm="1">
        <f t="array" ref="B125">MIN(SummaryDaily[day]) + (ROW(TableDailySummary[#This Row]) - ROW(TableDailySummary[[#Headers],[Dia]]) - 1)</f>
        <v>45896</v>
      </c>
      <c r="C125" s="6">
        <f>TableDailySummary[[#This Row],[Dia]]</f>
        <v>45896</v>
      </c>
      <c r="D125" s="12">
        <f>_xlfn.XLOOKUP(TableDailySummary[[#This Row],[Fecha]],SummaryDaily[day],SummaryDaily[net_sales],0)</f>
        <v>1873529.42</v>
      </c>
      <c r="E125" s="12">
        <f>_xlfn.XLOOKUP(TableDailySummary[[#This Row],[Fecha]],SummaryDaily[day],SummaryDaily[orders],0)</f>
        <v>16</v>
      </c>
      <c r="F125" s="12">
        <f>_xlfn.XLOOKUP(TableDailySummary[[#This Row],[Fecha]],SummaryDaily[day],SummaryDaily[average_order_value],0)</f>
        <v>105304.621</v>
      </c>
      <c r="G125" s="24">
        <f>_xlfn.XLOOKUP(TableDailySummary[[#This Row],[Fecha]],SummaryDaily[day],SummaryDaily[Total site_conversion_rate],0)</f>
        <v>2.1390374331550801E-2</v>
      </c>
      <c r="H125" s="12">
        <f>TableDailySummary[[#This Row],[Órden promedio totales]]*TableDailySummary[[#This Row],[CR totales]]</f>
        <v>2252.5052620320853</v>
      </c>
      <c r="I125" s="12">
        <f>_xlfn.XLOOKUP(TableDailySummary[[#This Row],[Fecha]],SummaryDaily[day],SummaryDaily[new_net_sales],0)</f>
        <v>760084.05</v>
      </c>
      <c r="J125" s="12">
        <f>_xlfn.XLOOKUP(TableDailySummary[[#This Row],[Fecha]],SummaryDaily[day],SummaryDaily[new_orders],0)</f>
        <v>6</v>
      </c>
      <c r="K125" s="12">
        <f>_xlfn.XLOOKUP(TableDailySummary[[#This Row],[Fecha]],SummaryDaily[day],SummaryDaily[new_average_order_value],0)</f>
        <v>101540.618</v>
      </c>
      <c r="L125" s="12">
        <f>_xlfn.XLOOKUP(TableDailySummary[[#This Row],[Fecha]],SummaryDaily[day],SummaryDaily[Online Store_net_sales],0)</f>
        <v>693277.31</v>
      </c>
      <c r="M125" s="12">
        <f>_xlfn.XLOOKUP(TableDailySummary[[#This Row],[Fecha]],SummaryDaily[day],SummaryDaily[Online Store_orders],0)</f>
        <v>6</v>
      </c>
      <c r="N125" s="12">
        <f>_xlfn.XLOOKUP(TableDailySummary[[#This Row],[Fecha]],SummaryDaily[day],SummaryDaily[Online Store_average_order_value],0)</f>
        <v>115546.21799999999</v>
      </c>
      <c r="O125" s="12">
        <f>_xlfn.XLOOKUP(TableDailySummary[[#This Row],[Fecha]],SummaryDaily[day],SummaryDaily[Tienda 81_net_sales],0)</f>
        <v>1100420.18</v>
      </c>
      <c r="P125" s="12">
        <f>_xlfn.XLOOKUP(TableDailySummary[[#This Row],[Fecha]],SummaryDaily[day],SummaryDaily[Tienda 81_orders],0)</f>
        <v>9</v>
      </c>
      <c r="Q125" s="12">
        <f>_xlfn.XLOOKUP(TableDailySummary[[#This Row],[Fecha]],SummaryDaily[day],SummaryDaily[Tienda 81_average_order_value],0)</f>
        <v>101307.19</v>
      </c>
      <c r="R125" s="12">
        <f>_xlfn.XLOOKUP(TableDailySummary[[#This Row],[Fecha]],SummaryDaily[day],SummaryDaily[Rappi_net_sales],0)</f>
        <v>0</v>
      </c>
      <c r="S125" s="12">
        <f>_xlfn.XLOOKUP(TableDailySummary[[#This Row],[Fecha]],SummaryDaily[day],SummaryDaily[Rappi_orders],0)</f>
        <v>0</v>
      </c>
      <c r="T125" s="12">
        <f>_xlfn.XLOOKUP(TableDailySummary[[#This Row],[Fecha]],SummaryDaily[day],SummaryDaily[Rappi_average_order_value],0)</f>
        <v>0</v>
      </c>
      <c r="U125" s="12">
        <f>_xlfn.XLOOKUP(TableDailySummary[[#This Row],[Fecha]],SummaryDaily[day],SummaryDaily[Corporativo no tienda_net_sales],0)</f>
        <v>0</v>
      </c>
      <c r="V125" s="12">
        <f>_xlfn.XLOOKUP(TableDailySummary[[#This Row],[Fecha]],SummaryDaily[day],SummaryDaily[Corporativo no tienda_orders],0)</f>
        <v>0</v>
      </c>
      <c r="W125" s="12">
        <f>_xlfn.XLOOKUP(TableDailySummary[[#This Row],[Fecha]],SummaryDaily[day],SummaryDaily[Corporativo no tienda_average_order_value],0)</f>
        <v>0</v>
      </c>
      <c r="X125" s="12">
        <f>_xlfn.XLOOKUP(TableDailySummary[[#This Row],[Fecha]],SummaryDaily[day],SummaryDaily[GoogleAdsOperation.Cost],0)</f>
        <v>3774.91</v>
      </c>
      <c r="Y125" s="12">
        <f>SUMIFS(SalesByUTMDaily[google],SalesByUTMDaily[day],TableDailySummary[[#This Row],[Fecha]])</f>
        <v>64000</v>
      </c>
      <c r="Z125" s="12">
        <f>_xlfn.XLOOKUP(TableDailySummary[[#This Row],[Fecha]],SummaryDaily[day],SummaryDaily[MetaAdsOperation.spend],0)</f>
        <v>34826</v>
      </c>
      <c r="AA125" s="12">
        <f>SUMIFS(SalesByUTMDaily[facebook],SalesByUTMDaily[day],TableDailySummary[[#This Row],[Fecha]])</f>
        <v>0</v>
      </c>
      <c r="AB125" s="12">
        <f>TableDailySummary[[#This Row],[Inversión google ads]]+TableDailySummary[[#This Row],[Inversión meta ads]]</f>
        <v>38600.910000000003</v>
      </c>
      <c r="AC125" s="12">
        <f>TableDailySummary[[#This Row],[Ventas google ads]]+TableDailySummary[[#This Row],[Ventas meta ads]]</f>
        <v>64000</v>
      </c>
      <c r="AD125" s="14">
        <f>IFERROR(TableDailySummary[[#This Row],[Ventas publicidad]]/TableDailySummary[[#This Row],[Inversión publicidad]],0)</f>
        <v>1.657992000706719</v>
      </c>
      <c r="AE125" s="14">
        <f>IFERROR(TableDailySummary[[#This Row],[Ventas primer cliente]]/TableDailySummary[[#This Row],[Inversión publicidad]],0)</f>
        <v>19.690832418199467</v>
      </c>
      <c r="AF125" s="14"/>
      <c r="AG125" s="12"/>
      <c r="AM125" s="12">
        <f>_xlfn.XLOOKUP(TableDailySummary[[#This Row],[Fecha]],SummaryDaily[day],SummaryDaily[net_sales_with_cost_recorded],0)</f>
        <v>1873529.42</v>
      </c>
      <c r="AN125" s="12">
        <f>_xlfn.XLOOKUP(TableDailySummary[[#This Row],[Fecha]],SummaryDaily[day],SummaryDaily[cost_of_goods_sold],0)</f>
        <v>478108</v>
      </c>
      <c r="AO125" s="12">
        <f>_xlfn.XLOOKUP(TableDailySummary[[#This Row],[Fecha]],SummaryDaily[day],SummaryDaily[gross_profit],0)</f>
        <v>1395421.42</v>
      </c>
      <c r="AP125" s="18">
        <f>IFERROR(TableDailySummary[[#This Row],[Utilidad bruta]]/TableDailySummary[[#This Row],[Ventas netas con costo registrado]],0)</f>
        <v>0.74480891791920723</v>
      </c>
    </row>
    <row r="126" spans="2:42" x14ac:dyDescent="0.2">
      <c r="B126" s="15" cm="1">
        <f t="array" ref="B126">MIN(SummaryDaily[day]) + (ROW(TableDailySummary[#This Row]) - ROW(TableDailySummary[[#Headers],[Dia]]) - 1)</f>
        <v>45897</v>
      </c>
      <c r="C126" s="6">
        <f>TableDailySummary[[#This Row],[Dia]]</f>
        <v>45897</v>
      </c>
      <c r="D126" s="12">
        <f>_xlfn.XLOOKUP(TableDailySummary[[#This Row],[Fecha]],SummaryDaily[day],SummaryDaily[net_sales],0)</f>
        <v>2715546.27</v>
      </c>
      <c r="E126" s="12">
        <f>_xlfn.XLOOKUP(TableDailySummary[[#This Row],[Fecha]],SummaryDaily[day],SummaryDaily[orders],0)</f>
        <v>23</v>
      </c>
      <c r="F126" s="12">
        <f>_xlfn.XLOOKUP(TableDailySummary[[#This Row],[Fecha]],SummaryDaily[day],SummaryDaily[average_order_value],0)</f>
        <v>115875.04700000001</v>
      </c>
      <c r="G126" s="24">
        <f>_xlfn.XLOOKUP(TableDailySummary[[#This Row],[Fecha]],SummaryDaily[day],SummaryDaily[Total site_conversion_rate],0)</f>
        <v>3.0864197530864196E-2</v>
      </c>
      <c r="H126" s="12">
        <f>TableDailySummary[[#This Row],[Órden promedio totales]]*TableDailySummary[[#This Row],[CR totales]]</f>
        <v>3576.3903395061729</v>
      </c>
      <c r="I126" s="12">
        <f>_xlfn.XLOOKUP(TableDailySummary[[#This Row],[Fecha]],SummaryDaily[day],SummaryDaily[new_net_sales],0)</f>
        <v>1123109.28</v>
      </c>
      <c r="J126" s="12">
        <f>_xlfn.XLOOKUP(TableDailySummary[[#This Row],[Fecha]],SummaryDaily[day],SummaryDaily[new_orders],0)</f>
        <v>13</v>
      </c>
      <c r="K126" s="12">
        <f>_xlfn.XLOOKUP(TableDailySummary[[#This Row],[Fecha]],SummaryDaily[day],SummaryDaily[new_average_order_value],0)</f>
        <v>86716.226999999999</v>
      </c>
      <c r="L126" s="12">
        <f>_xlfn.XLOOKUP(TableDailySummary[[#This Row],[Fecha]],SummaryDaily[day],SummaryDaily[Online Store_net_sales],0)</f>
        <v>1163865.56</v>
      </c>
      <c r="M126" s="12">
        <f>_xlfn.XLOOKUP(TableDailySummary[[#This Row],[Fecha]],SummaryDaily[day],SummaryDaily[Online Store_orders],0)</f>
        <v>6</v>
      </c>
      <c r="N126" s="12">
        <f>_xlfn.XLOOKUP(TableDailySummary[[#This Row],[Fecha]],SummaryDaily[day],SummaryDaily[Online Store_average_order_value],0)</f>
        <v>193977.59299999999</v>
      </c>
      <c r="O126" s="12">
        <f>_xlfn.XLOOKUP(TableDailySummary[[#This Row],[Fecha]],SummaryDaily[day],SummaryDaily[Tienda 81_net_sales],0)</f>
        <v>1466806.76</v>
      </c>
      <c r="P126" s="12">
        <f>_xlfn.XLOOKUP(TableDailySummary[[#This Row],[Fecha]],SummaryDaily[day],SummaryDaily[Tienda 81_orders],0)</f>
        <v>16</v>
      </c>
      <c r="Q126" s="12">
        <f>_xlfn.XLOOKUP(TableDailySummary[[#This Row],[Fecha]],SummaryDaily[day],SummaryDaily[Tienda 81_average_order_value],0)</f>
        <v>88524.160999999993</v>
      </c>
      <c r="R126" s="12">
        <f>_xlfn.XLOOKUP(TableDailySummary[[#This Row],[Fecha]],SummaryDaily[day],SummaryDaily[Rappi_net_sales],0)</f>
        <v>0</v>
      </c>
      <c r="S126" s="12">
        <f>_xlfn.XLOOKUP(TableDailySummary[[#This Row],[Fecha]],SummaryDaily[day],SummaryDaily[Rappi_orders],0)</f>
        <v>0</v>
      </c>
      <c r="T126" s="12">
        <f>_xlfn.XLOOKUP(TableDailySummary[[#This Row],[Fecha]],SummaryDaily[day],SummaryDaily[Rappi_average_order_value],0)</f>
        <v>0</v>
      </c>
      <c r="U126" s="12">
        <f>_xlfn.XLOOKUP(TableDailySummary[[#This Row],[Fecha]],SummaryDaily[day],SummaryDaily[Corporativo no tienda_net_sales],0)</f>
        <v>0</v>
      </c>
      <c r="V126" s="12">
        <f>_xlfn.XLOOKUP(TableDailySummary[[#This Row],[Fecha]],SummaryDaily[day],SummaryDaily[Corporativo no tienda_orders],0)</f>
        <v>0</v>
      </c>
      <c r="W126" s="12">
        <f>_xlfn.XLOOKUP(TableDailySummary[[#This Row],[Fecha]],SummaryDaily[day],SummaryDaily[Corporativo no tienda_average_order_value],0)</f>
        <v>0</v>
      </c>
      <c r="X126" s="12">
        <f>_xlfn.XLOOKUP(TableDailySummary[[#This Row],[Fecha]],SummaryDaily[day],SummaryDaily[GoogleAdsOperation.Cost],0)</f>
        <v>4024.42</v>
      </c>
      <c r="Y126" s="12">
        <f>SUMIFS(SalesByUTMDaily[google],SalesByUTMDaily[day],TableDailySummary[[#This Row],[Fecha]])</f>
        <v>0</v>
      </c>
      <c r="Z126" s="12">
        <f>_xlfn.XLOOKUP(TableDailySummary[[#This Row],[Fecha]],SummaryDaily[day],SummaryDaily[MetaAdsOperation.spend],0)</f>
        <v>45865</v>
      </c>
      <c r="AA126" s="12">
        <f>SUMIFS(SalesByUTMDaily[facebook],SalesByUTMDaily[day],TableDailySummary[[#This Row],[Fecha]])</f>
        <v>0</v>
      </c>
      <c r="AB126" s="12">
        <f>TableDailySummary[[#This Row],[Inversión google ads]]+TableDailySummary[[#This Row],[Inversión meta ads]]</f>
        <v>49889.42</v>
      </c>
      <c r="AC126" s="12">
        <f>TableDailySummary[[#This Row],[Ventas google ads]]+TableDailySummary[[#This Row],[Ventas meta ads]]</f>
        <v>0</v>
      </c>
      <c r="AD126" s="14">
        <f>IFERROR(TableDailySummary[[#This Row],[Ventas publicidad]]/TableDailySummary[[#This Row],[Inversión publicidad]],0)</f>
        <v>0</v>
      </c>
      <c r="AE126" s="14">
        <f>IFERROR(TableDailySummary[[#This Row],[Ventas primer cliente]]/TableDailySummary[[#This Row],[Inversión publicidad]],0)</f>
        <v>22.511973079662983</v>
      </c>
      <c r="AF126" s="14"/>
      <c r="AG126" s="12"/>
      <c r="AM126" s="12">
        <f>_xlfn.XLOOKUP(TableDailySummary[[#This Row],[Fecha]],SummaryDaily[day],SummaryDaily[net_sales_with_cost_recorded],0)</f>
        <v>2546638.7000000002</v>
      </c>
      <c r="AN126" s="12">
        <f>_xlfn.XLOOKUP(TableDailySummary[[#This Row],[Fecha]],SummaryDaily[day],SummaryDaily[cost_of_goods_sold],0)</f>
        <v>753979</v>
      </c>
      <c r="AO126" s="12">
        <f>_xlfn.XLOOKUP(TableDailySummary[[#This Row],[Fecha]],SummaryDaily[day],SummaryDaily[gross_profit],0)</f>
        <v>1792659.7</v>
      </c>
      <c r="AP126" s="18">
        <f>IFERROR(TableDailySummary[[#This Row],[Utilidad bruta]]/TableDailySummary[[#This Row],[Ventas netas con costo registrado]],0)</f>
        <v>0.70393169631797392</v>
      </c>
    </row>
    <row r="127" spans="2:42" x14ac:dyDescent="0.2">
      <c r="B127" s="15" cm="1">
        <f t="array" ref="B127">MIN(SummaryDaily[day]) + (ROW(TableDailySummary[#This Row]) - ROW(TableDailySummary[[#Headers],[Dia]]) - 1)</f>
        <v>45898</v>
      </c>
      <c r="C127" s="6">
        <f>TableDailySummary[[#This Row],[Dia]]</f>
        <v>45898</v>
      </c>
      <c r="D127" s="12">
        <f>_xlfn.XLOOKUP(TableDailySummary[[#This Row],[Fecha]],SummaryDaily[day],SummaryDaily[net_sales],0)</f>
        <v>3592016.82</v>
      </c>
      <c r="E127" s="12">
        <f>_xlfn.XLOOKUP(TableDailySummary[[#This Row],[Fecha]],SummaryDaily[day],SummaryDaily[orders],0)</f>
        <v>21</v>
      </c>
      <c r="F127" s="12">
        <f>_xlfn.XLOOKUP(TableDailySummary[[#This Row],[Fecha]],SummaryDaily[day],SummaryDaily[average_order_value],0)</f>
        <v>169247.69899999999</v>
      </c>
      <c r="G127" s="24">
        <f>_xlfn.XLOOKUP(TableDailySummary[[#This Row],[Fecha]],SummaryDaily[day],SummaryDaily[Total site_conversion_rate],0)</f>
        <v>2.3952095808383235E-2</v>
      </c>
      <c r="H127" s="12">
        <f>TableDailySummary[[#This Row],[Órden promedio totales]]*TableDailySummary[[#This Row],[CR totales]]</f>
        <v>4053.8371017964073</v>
      </c>
      <c r="I127" s="12">
        <f>_xlfn.XLOOKUP(TableDailySummary[[#This Row],[Fecha]],SummaryDaily[day],SummaryDaily[new_net_sales],0)</f>
        <v>2476890.7599999998</v>
      </c>
      <c r="J127" s="12">
        <f>_xlfn.XLOOKUP(TableDailySummary[[#This Row],[Fecha]],SummaryDaily[day],SummaryDaily[new_orders],0)</f>
        <v>15</v>
      </c>
      <c r="K127" s="12">
        <f>_xlfn.XLOOKUP(TableDailySummary[[#This Row],[Fecha]],SummaryDaily[day],SummaryDaily[new_average_order_value],0)</f>
        <v>162605.04199999999</v>
      </c>
      <c r="L127" s="12">
        <f>_xlfn.XLOOKUP(TableDailySummary[[#This Row],[Fecha]],SummaryDaily[day],SummaryDaily[Online Store_net_sales],0)</f>
        <v>1184873.95</v>
      </c>
      <c r="M127" s="12">
        <f>_xlfn.XLOOKUP(TableDailySummary[[#This Row],[Fecha]],SummaryDaily[day],SummaryDaily[Online Store_orders],0)</f>
        <v>5</v>
      </c>
      <c r="N127" s="12">
        <f>_xlfn.XLOOKUP(TableDailySummary[[#This Row],[Fecha]],SummaryDaily[day],SummaryDaily[Online Store_average_order_value],0)</f>
        <v>236974.79</v>
      </c>
      <c r="O127" s="12">
        <f>_xlfn.XLOOKUP(TableDailySummary[[#This Row],[Fecha]],SummaryDaily[day],SummaryDaily[Tienda 81_net_sales],0)</f>
        <v>2407142.87</v>
      </c>
      <c r="P127" s="12">
        <f>_xlfn.XLOOKUP(TableDailySummary[[#This Row],[Fecha]],SummaryDaily[day],SummaryDaily[Tienda 81_orders],0)</f>
        <v>16</v>
      </c>
      <c r="Q127" s="12">
        <f>_xlfn.XLOOKUP(TableDailySummary[[#This Row],[Fecha]],SummaryDaily[day],SummaryDaily[Tienda 81_average_order_value],0)</f>
        <v>148082.98300000001</v>
      </c>
      <c r="R127" s="12">
        <f>_xlfn.XLOOKUP(TableDailySummary[[#This Row],[Fecha]],SummaryDaily[day],SummaryDaily[Rappi_net_sales],0)</f>
        <v>0</v>
      </c>
      <c r="S127" s="12">
        <f>_xlfn.XLOOKUP(TableDailySummary[[#This Row],[Fecha]],SummaryDaily[day],SummaryDaily[Rappi_orders],0)</f>
        <v>0</v>
      </c>
      <c r="T127" s="12">
        <f>_xlfn.XLOOKUP(TableDailySummary[[#This Row],[Fecha]],SummaryDaily[day],SummaryDaily[Rappi_average_order_value],0)</f>
        <v>0</v>
      </c>
      <c r="U127" s="12">
        <f>_xlfn.XLOOKUP(TableDailySummary[[#This Row],[Fecha]],SummaryDaily[day],SummaryDaily[Corporativo no tienda_net_sales],0)</f>
        <v>0</v>
      </c>
      <c r="V127" s="12">
        <f>_xlfn.XLOOKUP(TableDailySummary[[#This Row],[Fecha]],SummaryDaily[day],SummaryDaily[Corporativo no tienda_orders],0)</f>
        <v>0</v>
      </c>
      <c r="W127" s="12">
        <f>_xlfn.XLOOKUP(TableDailySummary[[#This Row],[Fecha]],SummaryDaily[day],SummaryDaily[Corporativo no tienda_average_order_value],0)</f>
        <v>0</v>
      </c>
      <c r="X127" s="12">
        <f>_xlfn.XLOOKUP(TableDailySummary[[#This Row],[Fecha]],SummaryDaily[day],SummaryDaily[GoogleAdsOperation.Cost],0)</f>
        <v>3621.09</v>
      </c>
      <c r="Y127" s="12">
        <f>SUMIFS(SalesByUTMDaily[google],SalesByUTMDaily[day],TableDailySummary[[#This Row],[Fecha]])</f>
        <v>0</v>
      </c>
      <c r="Z127" s="12">
        <f>_xlfn.XLOOKUP(TableDailySummary[[#This Row],[Fecha]],SummaryDaily[day],SummaryDaily[MetaAdsOperation.spend],0)</f>
        <v>53749</v>
      </c>
      <c r="AA127" s="12">
        <f>SUMIFS(SalesByUTMDaily[facebook],SalesByUTMDaily[day],TableDailySummary[[#This Row],[Fecha]])</f>
        <v>264000</v>
      </c>
      <c r="AB127" s="12">
        <f>TableDailySummary[[#This Row],[Inversión google ads]]+TableDailySummary[[#This Row],[Inversión meta ads]]</f>
        <v>57370.09</v>
      </c>
      <c r="AC127" s="12">
        <f>TableDailySummary[[#This Row],[Ventas google ads]]+TableDailySummary[[#This Row],[Ventas meta ads]]</f>
        <v>264000</v>
      </c>
      <c r="AD127" s="14">
        <f>IFERROR(TableDailySummary[[#This Row],[Ventas publicidad]]/TableDailySummary[[#This Row],[Inversión publicidad]],0)</f>
        <v>4.6017009908821827</v>
      </c>
      <c r="AE127" s="14">
        <f>IFERROR(TableDailySummary[[#This Row],[Ventas primer cliente]]/TableDailySummary[[#This Row],[Inversión publicidad]],0)</f>
        <v>43.173904032571677</v>
      </c>
      <c r="AF127" s="14"/>
      <c r="AG127" s="12"/>
      <c r="AM127" s="12">
        <f>_xlfn.XLOOKUP(TableDailySummary[[#This Row],[Fecha]],SummaryDaily[day],SummaryDaily[net_sales_with_cost_recorded],0)</f>
        <v>3592016.82</v>
      </c>
      <c r="AN127" s="12">
        <f>_xlfn.XLOOKUP(TableDailySummary[[#This Row],[Fecha]],SummaryDaily[day],SummaryDaily[cost_of_goods_sold],0)</f>
        <v>882971</v>
      </c>
      <c r="AO127" s="12">
        <f>_xlfn.XLOOKUP(TableDailySummary[[#This Row],[Fecha]],SummaryDaily[day],SummaryDaily[gross_profit],0)</f>
        <v>2709045.82</v>
      </c>
      <c r="AP127" s="18">
        <f>IFERROR(TableDailySummary[[#This Row],[Utilidad bruta]]/TableDailySummary[[#This Row],[Ventas netas con costo registrado]],0)</f>
        <v>0.75418517110395933</v>
      </c>
    </row>
    <row r="128" spans="2:42" x14ac:dyDescent="0.2">
      <c r="B128" s="15" cm="1">
        <f t="array" ref="B128">MIN(SummaryDaily[day]) + (ROW(TableDailySummary[#This Row]) - ROW(TableDailySummary[[#Headers],[Dia]]) - 1)</f>
        <v>45899</v>
      </c>
      <c r="C128" s="6">
        <f>TableDailySummary[[#This Row],[Dia]]</f>
        <v>45899</v>
      </c>
      <c r="D128" s="12">
        <f>_xlfn.XLOOKUP(TableDailySummary[[#This Row],[Fecha]],SummaryDaily[day],SummaryDaily[net_sales],0)</f>
        <v>1595050.42</v>
      </c>
      <c r="E128" s="12">
        <f>_xlfn.XLOOKUP(TableDailySummary[[#This Row],[Fecha]],SummaryDaily[day],SummaryDaily[orders],0)</f>
        <v>15</v>
      </c>
      <c r="F128" s="12">
        <f>_xlfn.XLOOKUP(TableDailySummary[[#This Row],[Fecha]],SummaryDaily[day],SummaryDaily[average_order_value],0)</f>
        <v>106336.694</v>
      </c>
      <c r="G128" s="24">
        <f>_xlfn.XLOOKUP(TableDailySummary[[#This Row],[Fecha]],SummaryDaily[day],SummaryDaily[Total site_conversion_rate],0)</f>
        <v>0</v>
      </c>
      <c r="H128" s="12">
        <f>TableDailySummary[[#This Row],[Órden promedio totales]]*TableDailySummary[[#This Row],[CR totales]]</f>
        <v>0</v>
      </c>
      <c r="I128" s="12">
        <f>_xlfn.XLOOKUP(TableDailySummary[[#This Row],[Fecha]],SummaryDaily[day],SummaryDaily[new_net_sales],0)</f>
        <v>904201.68</v>
      </c>
      <c r="J128" s="12">
        <f>_xlfn.XLOOKUP(TableDailySummary[[#This Row],[Fecha]],SummaryDaily[day],SummaryDaily[new_orders],0)</f>
        <v>9</v>
      </c>
      <c r="K128" s="12">
        <f>_xlfn.XLOOKUP(TableDailySummary[[#This Row],[Fecha]],SummaryDaily[day],SummaryDaily[new_average_order_value],0)</f>
        <v>100466.853</v>
      </c>
      <c r="L128" s="12">
        <f>_xlfn.XLOOKUP(TableDailySummary[[#This Row],[Fecha]],SummaryDaily[day],SummaryDaily[Online Store_net_sales],0)</f>
        <v>0</v>
      </c>
      <c r="M128" s="12">
        <f>_xlfn.XLOOKUP(TableDailySummary[[#This Row],[Fecha]],SummaryDaily[day],SummaryDaily[Online Store_orders],0)</f>
        <v>0</v>
      </c>
      <c r="N128" s="12">
        <f>_xlfn.XLOOKUP(TableDailySummary[[#This Row],[Fecha]],SummaryDaily[day],SummaryDaily[Online Store_average_order_value],0)</f>
        <v>0</v>
      </c>
      <c r="O128" s="12">
        <f>_xlfn.XLOOKUP(TableDailySummary[[#This Row],[Fecha]],SummaryDaily[day],SummaryDaily[Tienda 81_net_sales],0)</f>
        <v>1595050.42</v>
      </c>
      <c r="P128" s="12">
        <f>_xlfn.XLOOKUP(TableDailySummary[[#This Row],[Fecha]],SummaryDaily[day],SummaryDaily[Tienda 81_orders],0)</f>
        <v>15</v>
      </c>
      <c r="Q128" s="12">
        <f>_xlfn.XLOOKUP(TableDailySummary[[#This Row],[Fecha]],SummaryDaily[day],SummaryDaily[Tienda 81_average_order_value],0)</f>
        <v>106336.694</v>
      </c>
      <c r="R128" s="12">
        <f>_xlfn.XLOOKUP(TableDailySummary[[#This Row],[Fecha]],SummaryDaily[day],SummaryDaily[Rappi_net_sales],0)</f>
        <v>0</v>
      </c>
      <c r="S128" s="12">
        <f>_xlfn.XLOOKUP(TableDailySummary[[#This Row],[Fecha]],SummaryDaily[day],SummaryDaily[Rappi_orders],0)</f>
        <v>0</v>
      </c>
      <c r="T128" s="12">
        <f>_xlfn.XLOOKUP(TableDailySummary[[#This Row],[Fecha]],SummaryDaily[day],SummaryDaily[Rappi_average_order_value],0)</f>
        <v>0</v>
      </c>
      <c r="U128" s="12">
        <f>_xlfn.XLOOKUP(TableDailySummary[[#This Row],[Fecha]],SummaryDaily[day],SummaryDaily[Corporativo no tienda_net_sales],0)</f>
        <v>0</v>
      </c>
      <c r="V128" s="12">
        <f>_xlfn.XLOOKUP(TableDailySummary[[#This Row],[Fecha]],SummaryDaily[day],SummaryDaily[Corporativo no tienda_orders],0)</f>
        <v>0</v>
      </c>
      <c r="W128" s="12">
        <f>_xlfn.XLOOKUP(TableDailySummary[[#This Row],[Fecha]],SummaryDaily[day],SummaryDaily[Corporativo no tienda_average_order_value],0)</f>
        <v>0</v>
      </c>
      <c r="X128" s="12">
        <f>_xlfn.XLOOKUP(TableDailySummary[[#This Row],[Fecha]],SummaryDaily[day],SummaryDaily[GoogleAdsOperation.Cost],0)</f>
        <v>437.31</v>
      </c>
      <c r="Y128" s="12">
        <f>SUMIFS(SalesByUTMDaily[google],SalesByUTMDaily[day],TableDailySummary[[#This Row],[Fecha]])</f>
        <v>0</v>
      </c>
      <c r="Z128" s="12">
        <f>_xlfn.XLOOKUP(TableDailySummary[[#This Row],[Fecha]],SummaryDaily[day],SummaryDaily[MetaAdsOperation.spend],0)</f>
        <v>49827</v>
      </c>
      <c r="AA128" s="12">
        <f>SUMIFS(SalesByUTMDaily[facebook],SalesByUTMDaily[day],TableDailySummary[[#This Row],[Fecha]])</f>
        <v>0</v>
      </c>
      <c r="AB128" s="12">
        <f>TableDailySummary[[#This Row],[Inversión google ads]]+TableDailySummary[[#This Row],[Inversión meta ads]]</f>
        <v>50264.31</v>
      </c>
      <c r="AC128" s="12">
        <f>TableDailySummary[[#This Row],[Ventas google ads]]+TableDailySummary[[#This Row],[Ventas meta ads]]</f>
        <v>0</v>
      </c>
      <c r="AD128" s="14">
        <f>IFERROR(TableDailySummary[[#This Row],[Ventas publicidad]]/TableDailySummary[[#This Row],[Inversión publicidad]],0)</f>
        <v>0</v>
      </c>
      <c r="AE128" s="14">
        <f>IFERROR(TableDailySummary[[#This Row],[Ventas primer cliente]]/TableDailySummary[[#This Row],[Inversión publicidad]],0)</f>
        <v>17.988940462924887</v>
      </c>
      <c r="AF128" s="14"/>
      <c r="AG128" s="12"/>
      <c r="AM128" s="12">
        <f>_xlfn.XLOOKUP(TableDailySummary[[#This Row],[Fecha]],SummaryDaily[day],SummaryDaily[net_sales_with_cost_recorded],0)</f>
        <v>1595050.42</v>
      </c>
      <c r="AN128" s="12">
        <f>_xlfn.XLOOKUP(TableDailySummary[[#This Row],[Fecha]],SummaryDaily[day],SummaryDaily[cost_of_goods_sold],0)</f>
        <v>663284</v>
      </c>
      <c r="AO128" s="12">
        <f>_xlfn.XLOOKUP(TableDailySummary[[#This Row],[Fecha]],SummaryDaily[day],SummaryDaily[gross_profit],0)</f>
        <v>931766.42</v>
      </c>
      <c r="AP128" s="18">
        <f>IFERROR(TableDailySummary[[#This Row],[Utilidad bruta]]/TableDailySummary[[#This Row],[Ventas netas con costo registrado]],0)</f>
        <v>0.58416110758429829</v>
      </c>
    </row>
    <row r="129" spans="2:42" x14ac:dyDescent="0.2">
      <c r="B129" s="15" cm="1">
        <f t="array" ref="B129">MIN(SummaryDaily[day]) + (ROW(TableDailySummary[#This Row]) - ROW(TableDailySummary[[#Headers],[Dia]]) - 1)</f>
        <v>45900</v>
      </c>
      <c r="C129" s="6">
        <f>TableDailySummary[[#This Row],[Dia]]</f>
        <v>45900</v>
      </c>
      <c r="D129" s="12">
        <f>_xlfn.XLOOKUP(TableDailySummary[[#This Row],[Fecha]],SummaryDaily[day],SummaryDaily[net_sales],0)</f>
        <v>2110344.5499999998</v>
      </c>
      <c r="E129" s="12">
        <f>_xlfn.XLOOKUP(TableDailySummary[[#This Row],[Fecha]],SummaryDaily[day],SummaryDaily[orders],0)</f>
        <v>17</v>
      </c>
      <c r="F129" s="12">
        <f>_xlfn.XLOOKUP(TableDailySummary[[#This Row],[Fecha]],SummaryDaily[day],SummaryDaily[average_order_value],0)</f>
        <v>124137.914</v>
      </c>
      <c r="G129" s="24">
        <f>_xlfn.XLOOKUP(TableDailySummary[[#This Row],[Fecha]],SummaryDaily[day],SummaryDaily[Total site_conversion_rate],0)</f>
        <v>4.9645390070921988E-2</v>
      </c>
      <c r="H129" s="12">
        <f>TableDailySummary[[#This Row],[Órden promedio totales]]*TableDailySummary[[#This Row],[CR totales]]</f>
        <v>6162.8751631205678</v>
      </c>
      <c r="I129" s="12">
        <f>_xlfn.XLOOKUP(TableDailySummary[[#This Row],[Fecha]],SummaryDaily[day],SummaryDaily[new_net_sales],0)</f>
        <v>1317907.57</v>
      </c>
      <c r="J129" s="12">
        <f>_xlfn.XLOOKUP(TableDailySummary[[#This Row],[Fecha]],SummaryDaily[day],SummaryDaily[new_orders],0)</f>
        <v>11</v>
      </c>
      <c r="K129" s="12">
        <f>_xlfn.XLOOKUP(TableDailySummary[[#This Row],[Fecha]],SummaryDaily[day],SummaryDaily[new_average_order_value],0)</f>
        <v>119809.77899999999</v>
      </c>
      <c r="L129" s="12">
        <f>_xlfn.XLOOKUP(TableDailySummary[[#This Row],[Fecha]],SummaryDaily[day],SummaryDaily[Online Store_net_sales],0)</f>
        <v>634453.79</v>
      </c>
      <c r="M129" s="12">
        <f>_xlfn.XLOOKUP(TableDailySummary[[#This Row],[Fecha]],SummaryDaily[day],SummaryDaily[Online Store_orders],0)</f>
        <v>5</v>
      </c>
      <c r="N129" s="12">
        <f>_xlfn.XLOOKUP(TableDailySummary[[#This Row],[Fecha]],SummaryDaily[day],SummaryDaily[Online Store_average_order_value],0)</f>
        <v>126890.758</v>
      </c>
      <c r="O129" s="12">
        <f>_xlfn.XLOOKUP(TableDailySummary[[#This Row],[Fecha]],SummaryDaily[day],SummaryDaily[Tienda 81_net_sales],0)</f>
        <v>1429672.27</v>
      </c>
      <c r="P129" s="12">
        <f>_xlfn.XLOOKUP(TableDailySummary[[#This Row],[Fecha]],SummaryDaily[day],SummaryDaily[Tienda 81_orders],0)</f>
        <v>11</v>
      </c>
      <c r="Q129" s="12">
        <f>_xlfn.XLOOKUP(TableDailySummary[[#This Row],[Fecha]],SummaryDaily[day],SummaryDaily[Tienda 81_average_order_value],0)</f>
        <v>129970.20600000001</v>
      </c>
      <c r="R129" s="12">
        <f>_xlfn.XLOOKUP(TableDailySummary[[#This Row],[Fecha]],SummaryDaily[day],SummaryDaily[Rappi_net_sales],0)</f>
        <v>46218.49</v>
      </c>
      <c r="S129" s="12">
        <f>_xlfn.XLOOKUP(TableDailySummary[[#This Row],[Fecha]],SummaryDaily[day],SummaryDaily[Rappi_orders],0)</f>
        <v>1</v>
      </c>
      <c r="T129" s="12">
        <f>_xlfn.XLOOKUP(TableDailySummary[[#This Row],[Fecha]],SummaryDaily[day],SummaryDaily[Rappi_average_order_value],0)</f>
        <v>46218.49</v>
      </c>
      <c r="U129" s="12">
        <f>_xlfn.XLOOKUP(TableDailySummary[[#This Row],[Fecha]],SummaryDaily[day],SummaryDaily[Corporativo no tienda_net_sales],0)</f>
        <v>0</v>
      </c>
      <c r="V129" s="12">
        <f>_xlfn.XLOOKUP(TableDailySummary[[#This Row],[Fecha]],SummaryDaily[day],SummaryDaily[Corporativo no tienda_orders],0)</f>
        <v>0</v>
      </c>
      <c r="W129" s="12">
        <f>_xlfn.XLOOKUP(TableDailySummary[[#This Row],[Fecha]],SummaryDaily[day],SummaryDaily[Corporativo no tienda_average_order_value],0)</f>
        <v>0</v>
      </c>
      <c r="X129" s="12">
        <f>_xlfn.XLOOKUP(TableDailySummary[[#This Row],[Fecha]],SummaryDaily[day],SummaryDaily[GoogleAdsOperation.Cost],0)</f>
        <v>2122.64</v>
      </c>
      <c r="Y129" s="12">
        <f>SUMIFS(SalesByUTMDaily[google],SalesByUTMDaily[day],TableDailySummary[[#This Row],[Fecha]])</f>
        <v>309000</v>
      </c>
      <c r="Z129" s="12">
        <f>_xlfn.XLOOKUP(TableDailySummary[[#This Row],[Fecha]],SummaryDaily[day],SummaryDaily[MetaAdsOperation.spend],0)</f>
        <v>51823</v>
      </c>
      <c r="AA129" s="12">
        <f>SUMIFS(SalesByUTMDaily[facebook],SalesByUTMDaily[day],TableDailySummary[[#This Row],[Fecha]])</f>
        <v>0</v>
      </c>
      <c r="AB129" s="12">
        <f>TableDailySummary[[#This Row],[Inversión google ads]]+TableDailySummary[[#This Row],[Inversión meta ads]]</f>
        <v>53945.64</v>
      </c>
      <c r="AC129" s="12">
        <f>TableDailySummary[[#This Row],[Ventas google ads]]+TableDailySummary[[#This Row],[Ventas meta ads]]</f>
        <v>309000</v>
      </c>
      <c r="AD129" s="14">
        <f>IFERROR(TableDailySummary[[#This Row],[Ventas publicidad]]/TableDailySummary[[#This Row],[Inversión publicidad]],0)</f>
        <v>5.7279883972087458</v>
      </c>
      <c r="AE129" s="14">
        <f>IFERROR(TableDailySummary[[#This Row],[Ventas primer cliente]]/TableDailySummary[[#This Row],[Inversión publicidad]],0)</f>
        <v>24.43028889823163</v>
      </c>
      <c r="AF129" s="14"/>
      <c r="AG129" s="12"/>
      <c r="AM129" s="12">
        <f>_xlfn.XLOOKUP(TableDailySummary[[#This Row],[Fecha]],SummaryDaily[day],SummaryDaily[net_sales_with_cost_recorded],0)</f>
        <v>2110344.5499999998</v>
      </c>
      <c r="AN129" s="12">
        <f>_xlfn.XLOOKUP(TableDailySummary[[#This Row],[Fecha]],SummaryDaily[day],SummaryDaily[cost_of_goods_sold],0)</f>
        <v>769144</v>
      </c>
      <c r="AO129" s="12">
        <f>_xlfn.XLOOKUP(TableDailySummary[[#This Row],[Fecha]],SummaryDaily[day],SummaryDaily[gross_profit],0)</f>
        <v>1341200.55</v>
      </c>
      <c r="AP129" s="18">
        <f>IFERROR(TableDailySummary[[#This Row],[Utilidad bruta]]/TableDailySummary[[#This Row],[Ventas netas con costo registrado]],0)</f>
        <v>0.63553629192920191</v>
      </c>
    </row>
    <row r="130" spans="2:42" x14ac:dyDescent="0.2">
      <c r="B130" s="15" cm="1">
        <f t="array" ref="B130">MIN(SummaryDaily[day]) + (ROW(TableDailySummary[#This Row]) - ROW(TableDailySummary[[#Headers],[Dia]]) - 1)</f>
        <v>45901</v>
      </c>
      <c r="C130" s="6">
        <f>TableDailySummary[[#This Row],[Dia]]</f>
        <v>45901</v>
      </c>
      <c r="D130" s="12">
        <f>_xlfn.XLOOKUP(TableDailySummary[[#This Row],[Fecha]],SummaryDaily[day],SummaryDaily[net_sales],0)</f>
        <v>2463445.38</v>
      </c>
      <c r="E130" s="12">
        <f>_xlfn.XLOOKUP(TableDailySummary[[#This Row],[Fecha]],SummaryDaily[day],SummaryDaily[orders],0)</f>
        <v>17</v>
      </c>
      <c r="F130" s="12">
        <f>_xlfn.XLOOKUP(TableDailySummary[[#This Row],[Fecha]],SummaryDaily[day],SummaryDaily[average_order_value],0)</f>
        <v>145056.845</v>
      </c>
      <c r="G130" s="24">
        <f>_xlfn.XLOOKUP(TableDailySummary[[#This Row],[Fecha]],SummaryDaily[day],SummaryDaily[Total site_conversion_rate],0)</f>
        <v>2.1201413427561839E-2</v>
      </c>
      <c r="H130" s="12">
        <f>TableDailySummary[[#This Row],[Órden promedio totales]]*TableDailySummary[[#This Row],[CR totales]]</f>
        <v>3075.4101413427566</v>
      </c>
      <c r="I130" s="12">
        <f>_xlfn.XLOOKUP(TableDailySummary[[#This Row],[Fecha]],SummaryDaily[day],SummaryDaily[new_net_sales],0)</f>
        <v>1750840.33</v>
      </c>
      <c r="J130" s="12">
        <f>_xlfn.XLOOKUP(TableDailySummary[[#This Row],[Fecha]],SummaryDaily[day],SummaryDaily[new_orders],0)</f>
        <v>11</v>
      </c>
      <c r="K130" s="12">
        <f>_xlfn.XLOOKUP(TableDailySummary[[#This Row],[Fecha]],SummaryDaily[day],SummaryDaily[new_average_order_value],0)</f>
        <v>159014.514</v>
      </c>
      <c r="L130" s="12">
        <f>_xlfn.XLOOKUP(TableDailySummary[[#This Row],[Fecha]],SummaryDaily[day],SummaryDaily[Online Store_net_sales],0)</f>
        <v>773949.58</v>
      </c>
      <c r="M130" s="12">
        <f>_xlfn.XLOOKUP(TableDailySummary[[#This Row],[Fecha]],SummaryDaily[day],SummaryDaily[Online Store_orders],0)</f>
        <v>6</v>
      </c>
      <c r="N130" s="12">
        <f>_xlfn.XLOOKUP(TableDailySummary[[#This Row],[Fecha]],SummaryDaily[day],SummaryDaily[Online Store_average_order_value],0)</f>
        <v>128991.59600000001</v>
      </c>
      <c r="O130" s="12">
        <f>_xlfn.XLOOKUP(TableDailySummary[[#This Row],[Fecha]],SummaryDaily[day],SummaryDaily[Tienda 81_net_sales],0)</f>
        <v>1613865.55</v>
      </c>
      <c r="P130" s="12">
        <f>_xlfn.XLOOKUP(TableDailySummary[[#This Row],[Fecha]],SummaryDaily[day],SummaryDaily[Tienda 81_orders],0)</f>
        <v>10</v>
      </c>
      <c r="Q130" s="12">
        <f>_xlfn.XLOOKUP(TableDailySummary[[#This Row],[Fecha]],SummaryDaily[day],SummaryDaily[Tienda 81_average_order_value],0)</f>
        <v>161638.655</v>
      </c>
      <c r="R130" s="12">
        <f>_xlfn.XLOOKUP(TableDailySummary[[#This Row],[Fecha]],SummaryDaily[day],SummaryDaily[Rappi_net_sales],0)</f>
        <v>0</v>
      </c>
      <c r="S130" s="12">
        <f>_xlfn.XLOOKUP(TableDailySummary[[#This Row],[Fecha]],SummaryDaily[day],SummaryDaily[Rappi_orders],0)</f>
        <v>0</v>
      </c>
      <c r="T130" s="12">
        <f>_xlfn.XLOOKUP(TableDailySummary[[#This Row],[Fecha]],SummaryDaily[day],SummaryDaily[Rappi_average_order_value],0)</f>
        <v>0</v>
      </c>
      <c r="U130" s="12">
        <f>_xlfn.XLOOKUP(TableDailySummary[[#This Row],[Fecha]],SummaryDaily[day],SummaryDaily[Corporativo no tienda_net_sales],0)</f>
        <v>0</v>
      </c>
      <c r="V130" s="12">
        <f>_xlfn.XLOOKUP(TableDailySummary[[#This Row],[Fecha]],SummaryDaily[day],SummaryDaily[Corporativo no tienda_orders],0)</f>
        <v>0</v>
      </c>
      <c r="W130" s="12">
        <f>_xlfn.XLOOKUP(TableDailySummary[[#This Row],[Fecha]],SummaryDaily[day],SummaryDaily[Corporativo no tienda_average_order_value],0)</f>
        <v>0</v>
      </c>
      <c r="X130" s="12">
        <f>_xlfn.XLOOKUP(TableDailySummary[[#This Row],[Fecha]],SummaryDaily[day],SummaryDaily[GoogleAdsOperation.Cost],0)</f>
        <v>86196.98</v>
      </c>
      <c r="Y130" s="12">
        <f>SUMIFS(SalesByUTMDaily[google],SalesByUTMDaily[day],TableDailySummary[[#This Row],[Fecha]])</f>
        <v>84500</v>
      </c>
      <c r="Z130" s="12">
        <f>_xlfn.XLOOKUP(TableDailySummary[[#This Row],[Fecha]],SummaryDaily[day],SummaryDaily[MetaAdsOperation.spend],0)</f>
        <v>50437</v>
      </c>
      <c r="AA130" s="12">
        <f>SUMIFS(SalesByUTMDaily[facebook],SalesByUTMDaily[day],TableDailySummary[[#This Row],[Fecha]])</f>
        <v>0</v>
      </c>
      <c r="AB130" s="12">
        <f>TableDailySummary[[#This Row],[Inversión google ads]]+TableDailySummary[[#This Row],[Inversión meta ads]]</f>
        <v>136633.97999999998</v>
      </c>
      <c r="AC130" s="12">
        <f>TableDailySummary[[#This Row],[Ventas google ads]]+TableDailySummary[[#This Row],[Ventas meta ads]]</f>
        <v>84500</v>
      </c>
      <c r="AD130" s="14">
        <f>IFERROR(TableDailySummary[[#This Row],[Ventas publicidad]]/TableDailySummary[[#This Row],[Inversión publicidad]],0)</f>
        <v>0.61844059581664834</v>
      </c>
      <c r="AE130" s="14">
        <f>IFERROR(TableDailySummary[[#This Row],[Ventas primer cliente]]/TableDailySummary[[#This Row],[Inversión publicidad]],0)</f>
        <v>12.814091560532749</v>
      </c>
      <c r="AF130" s="14"/>
      <c r="AG130" s="12"/>
      <c r="AM130" s="12">
        <f>_xlfn.XLOOKUP(TableDailySummary[[#This Row],[Fecha]],SummaryDaily[day],SummaryDaily[net_sales_with_cost_recorded],0)</f>
        <v>2387815.13</v>
      </c>
      <c r="AN130" s="12">
        <f>_xlfn.XLOOKUP(TableDailySummary[[#This Row],[Fecha]],SummaryDaily[day],SummaryDaily[cost_of_goods_sold],0)</f>
        <v>709333</v>
      </c>
      <c r="AO130" s="12">
        <f>_xlfn.XLOOKUP(TableDailySummary[[#This Row],[Fecha]],SummaryDaily[day],SummaryDaily[gross_profit],0)</f>
        <v>1678482.13</v>
      </c>
      <c r="AP130" s="18">
        <f>IFERROR(TableDailySummary[[#This Row],[Utilidad bruta]]/TableDailySummary[[#This Row],[Ventas netas con costo registrado]],0)</f>
        <v>0.70293638268386383</v>
      </c>
    </row>
    <row r="131" spans="2:42" x14ac:dyDescent="0.2">
      <c r="B131" s="15" cm="1">
        <f t="array" ref="B131">MIN(SummaryDaily[day]) + (ROW(TableDailySummary[#This Row]) - ROW(TableDailySummary[[#Headers],[Dia]]) - 1)</f>
        <v>45902</v>
      </c>
      <c r="C131" s="6">
        <f>TableDailySummary[[#This Row],[Dia]]</f>
        <v>45902</v>
      </c>
      <c r="D131" s="12">
        <f>_xlfn.XLOOKUP(TableDailySummary[[#This Row],[Fecha]],SummaryDaily[day],SummaryDaily[net_sales],0)</f>
        <v>2713445.39</v>
      </c>
      <c r="E131" s="12">
        <f>_xlfn.XLOOKUP(TableDailySummary[[#This Row],[Fecha]],SummaryDaily[day],SummaryDaily[orders],0)</f>
        <v>16</v>
      </c>
      <c r="F131" s="12">
        <f>_xlfn.XLOOKUP(TableDailySummary[[#This Row],[Fecha]],SummaryDaily[day],SummaryDaily[average_order_value],0)</f>
        <v>169590.33600000001</v>
      </c>
      <c r="G131" s="24">
        <f>_xlfn.XLOOKUP(TableDailySummary[[#This Row],[Fecha]],SummaryDaily[day],SummaryDaily[Total site_conversion_rate],0)</f>
        <v>1.935483870967742E-2</v>
      </c>
      <c r="H131" s="12">
        <f>TableDailySummary[[#This Row],[Órden promedio totales]]*TableDailySummary[[#This Row],[CR totales]]</f>
        <v>3282.3936000000003</v>
      </c>
      <c r="I131" s="12">
        <f>_xlfn.XLOOKUP(TableDailySummary[[#This Row],[Fecha]],SummaryDaily[day],SummaryDaily[new_net_sales],0)</f>
        <v>992436.98</v>
      </c>
      <c r="J131" s="12">
        <f>_xlfn.XLOOKUP(TableDailySummary[[#This Row],[Fecha]],SummaryDaily[day],SummaryDaily[new_orders],0)</f>
        <v>7</v>
      </c>
      <c r="K131" s="12">
        <f>_xlfn.XLOOKUP(TableDailySummary[[#This Row],[Fecha]],SummaryDaily[day],SummaryDaily[new_average_order_value],0)</f>
        <v>141776.71100000001</v>
      </c>
      <c r="L131" s="12">
        <f>_xlfn.XLOOKUP(TableDailySummary[[#This Row],[Fecha]],SummaryDaily[day],SummaryDaily[Online Store_net_sales],0)</f>
        <v>987394.96</v>
      </c>
      <c r="M131" s="12">
        <f>_xlfn.XLOOKUP(TableDailySummary[[#This Row],[Fecha]],SummaryDaily[day],SummaryDaily[Online Store_orders],0)</f>
        <v>4</v>
      </c>
      <c r="N131" s="12">
        <f>_xlfn.XLOOKUP(TableDailySummary[[#This Row],[Fecha]],SummaryDaily[day],SummaryDaily[Online Store_average_order_value],0)</f>
        <v>246848.74</v>
      </c>
      <c r="O131" s="12">
        <f>_xlfn.XLOOKUP(TableDailySummary[[#This Row],[Fecha]],SummaryDaily[day],SummaryDaily[Tienda 81_net_sales],0)</f>
        <v>1726050.43</v>
      </c>
      <c r="P131" s="12">
        <f>_xlfn.XLOOKUP(TableDailySummary[[#This Row],[Fecha]],SummaryDaily[day],SummaryDaily[Tienda 81_orders],0)</f>
        <v>12</v>
      </c>
      <c r="Q131" s="12">
        <f>_xlfn.XLOOKUP(TableDailySummary[[#This Row],[Fecha]],SummaryDaily[day],SummaryDaily[Tienda 81_average_order_value],0)</f>
        <v>143837.535</v>
      </c>
      <c r="R131" s="12">
        <f>_xlfn.XLOOKUP(TableDailySummary[[#This Row],[Fecha]],SummaryDaily[day],SummaryDaily[Rappi_net_sales],0)</f>
        <v>0</v>
      </c>
      <c r="S131" s="12">
        <f>_xlfn.XLOOKUP(TableDailySummary[[#This Row],[Fecha]],SummaryDaily[day],SummaryDaily[Rappi_orders],0)</f>
        <v>0</v>
      </c>
      <c r="T131" s="12">
        <f>_xlfn.XLOOKUP(TableDailySummary[[#This Row],[Fecha]],SummaryDaily[day],SummaryDaily[Rappi_average_order_value],0)</f>
        <v>0</v>
      </c>
      <c r="U131" s="12">
        <f>_xlfn.XLOOKUP(TableDailySummary[[#This Row],[Fecha]],SummaryDaily[day],SummaryDaily[Corporativo no tienda_net_sales],0)</f>
        <v>0</v>
      </c>
      <c r="V131" s="12">
        <f>_xlfn.XLOOKUP(TableDailySummary[[#This Row],[Fecha]],SummaryDaily[day],SummaryDaily[Corporativo no tienda_orders],0)</f>
        <v>0</v>
      </c>
      <c r="W131" s="12">
        <f>_xlfn.XLOOKUP(TableDailySummary[[#This Row],[Fecha]],SummaryDaily[day],SummaryDaily[Corporativo no tienda_average_order_value],0)</f>
        <v>0</v>
      </c>
      <c r="X131" s="12">
        <f>_xlfn.XLOOKUP(TableDailySummary[[#This Row],[Fecha]],SummaryDaily[day],SummaryDaily[GoogleAdsOperation.Cost],0)</f>
        <v>25367.98</v>
      </c>
      <c r="Y131" s="12">
        <f>SUMIFS(SalesByUTMDaily[google],SalesByUTMDaily[day],TableDailySummary[[#This Row],[Fecha]])</f>
        <v>243000</v>
      </c>
      <c r="Z131" s="12">
        <f>_xlfn.XLOOKUP(TableDailySummary[[#This Row],[Fecha]],SummaryDaily[day],SummaryDaily[MetaAdsOperation.spend],0)</f>
        <v>53114</v>
      </c>
      <c r="AA131" s="12">
        <f>SUMIFS(SalesByUTMDaily[facebook],SalesByUTMDaily[day],TableDailySummary[[#This Row],[Fecha]])</f>
        <v>209000</v>
      </c>
      <c r="AB131" s="12">
        <f>TableDailySummary[[#This Row],[Inversión google ads]]+TableDailySummary[[#This Row],[Inversión meta ads]]</f>
        <v>78481.98</v>
      </c>
      <c r="AC131" s="12">
        <f>TableDailySummary[[#This Row],[Ventas google ads]]+TableDailySummary[[#This Row],[Ventas meta ads]]</f>
        <v>452000</v>
      </c>
      <c r="AD131" s="14">
        <f>IFERROR(TableDailySummary[[#This Row],[Ventas publicidad]]/TableDailySummary[[#This Row],[Inversión publicidad]],0)</f>
        <v>5.7592838508916318</v>
      </c>
      <c r="AE131" s="14">
        <f>IFERROR(TableDailySummary[[#This Row],[Ventas primer cliente]]/TableDailySummary[[#This Row],[Inversión publicidad]],0)</f>
        <v>12.645412106065622</v>
      </c>
      <c r="AF131" s="14"/>
      <c r="AG131" s="12"/>
      <c r="AM131" s="12">
        <f>_xlfn.XLOOKUP(TableDailySummary[[#This Row],[Fecha]],SummaryDaily[day],SummaryDaily[net_sales_with_cost_recorded],0)</f>
        <v>2625210.1</v>
      </c>
      <c r="AN131" s="12">
        <f>_xlfn.XLOOKUP(TableDailySummary[[#This Row],[Fecha]],SummaryDaily[day],SummaryDaily[cost_of_goods_sold],0)</f>
        <v>688400</v>
      </c>
      <c r="AO131" s="12">
        <f>_xlfn.XLOOKUP(TableDailySummary[[#This Row],[Fecha]],SummaryDaily[day],SummaryDaily[gross_profit],0)</f>
        <v>1936810.1</v>
      </c>
      <c r="AP131" s="18">
        <f>IFERROR(TableDailySummary[[#This Row],[Utilidad bruta]]/TableDailySummary[[#This Row],[Ventas netas con costo registrado]],0)</f>
        <v>0.73777336907244107</v>
      </c>
    </row>
    <row r="132" spans="2:42" x14ac:dyDescent="0.2">
      <c r="B132" s="15" cm="1">
        <f t="array" ref="B132">MIN(SummaryDaily[day]) + (ROW(TableDailySummary[#This Row]) - ROW(TableDailySummary[[#Headers],[Dia]]) - 1)</f>
        <v>45903</v>
      </c>
      <c r="C132" s="6">
        <f>TableDailySummary[[#This Row],[Dia]]</f>
        <v>45903</v>
      </c>
      <c r="D132" s="12">
        <f>_xlfn.XLOOKUP(TableDailySummary[[#This Row],[Fecha]],SummaryDaily[day],SummaryDaily[net_sales],0)</f>
        <v>2279705.9</v>
      </c>
      <c r="E132" s="12">
        <f>_xlfn.XLOOKUP(TableDailySummary[[#This Row],[Fecha]],SummaryDaily[day],SummaryDaily[orders],0)</f>
        <v>16</v>
      </c>
      <c r="F132" s="12">
        <f>_xlfn.XLOOKUP(TableDailySummary[[#This Row],[Fecha]],SummaryDaily[day],SummaryDaily[average_order_value],0)</f>
        <v>142481.61799999999</v>
      </c>
      <c r="G132" s="24">
        <f>_xlfn.XLOOKUP(TableDailySummary[[#This Row],[Fecha]],SummaryDaily[day],SummaryDaily[Total site_conversion_rate],0)</f>
        <v>1.9073569482288829E-2</v>
      </c>
      <c r="H132" s="12">
        <f>TableDailySummary[[#This Row],[Órden promedio totales]]*TableDailySummary[[#This Row],[CR totales]]</f>
        <v>2717.6330408719346</v>
      </c>
      <c r="I132" s="12">
        <f>_xlfn.XLOOKUP(TableDailySummary[[#This Row],[Fecha]],SummaryDaily[day],SummaryDaily[new_net_sales],0)</f>
        <v>1384747.92</v>
      </c>
      <c r="J132" s="12">
        <f>_xlfn.XLOOKUP(TableDailySummary[[#This Row],[Fecha]],SummaryDaily[day],SummaryDaily[new_orders],0)</f>
        <v>9</v>
      </c>
      <c r="K132" s="12">
        <f>_xlfn.XLOOKUP(TableDailySummary[[#This Row],[Fecha]],SummaryDaily[day],SummaryDaily[new_average_order_value],0)</f>
        <v>153860.88</v>
      </c>
      <c r="L132" s="12">
        <f>_xlfn.XLOOKUP(TableDailySummary[[#This Row],[Fecha]],SummaryDaily[day],SummaryDaily[Online Store_net_sales],0)</f>
        <v>689075.64</v>
      </c>
      <c r="M132" s="12">
        <f>_xlfn.XLOOKUP(TableDailySummary[[#This Row],[Fecha]],SummaryDaily[day],SummaryDaily[Online Store_orders],0)</f>
        <v>6</v>
      </c>
      <c r="N132" s="12">
        <f>_xlfn.XLOOKUP(TableDailySummary[[#This Row],[Fecha]],SummaryDaily[day],SummaryDaily[Online Store_average_order_value],0)</f>
        <v>114845.94</v>
      </c>
      <c r="O132" s="12">
        <f>_xlfn.XLOOKUP(TableDailySummary[[#This Row],[Fecha]],SummaryDaily[day],SummaryDaily[Tienda 81_net_sales],0)</f>
        <v>830126.05</v>
      </c>
      <c r="P132" s="12">
        <f>_xlfn.XLOOKUP(TableDailySummary[[#This Row],[Fecha]],SummaryDaily[day],SummaryDaily[Tienda 81_orders],0)</f>
        <v>7</v>
      </c>
      <c r="Q132" s="12">
        <f>_xlfn.XLOOKUP(TableDailySummary[[#This Row],[Fecha]],SummaryDaily[day],SummaryDaily[Tienda 81_average_order_value],0)</f>
        <v>118589.435</v>
      </c>
      <c r="R132" s="12">
        <f>_xlfn.XLOOKUP(TableDailySummary[[#This Row],[Fecha]],SummaryDaily[day],SummaryDaily[Rappi_net_sales],0)</f>
        <v>0</v>
      </c>
      <c r="S132" s="12">
        <f>_xlfn.XLOOKUP(TableDailySummary[[#This Row],[Fecha]],SummaryDaily[day],SummaryDaily[Rappi_orders],0)</f>
        <v>0</v>
      </c>
      <c r="T132" s="12">
        <f>_xlfn.XLOOKUP(TableDailySummary[[#This Row],[Fecha]],SummaryDaily[day],SummaryDaily[Rappi_average_order_value],0)</f>
        <v>0</v>
      </c>
      <c r="U132" s="12">
        <f>_xlfn.XLOOKUP(TableDailySummary[[#This Row],[Fecha]],SummaryDaily[day],SummaryDaily[Corporativo no tienda_net_sales],0)</f>
        <v>0</v>
      </c>
      <c r="V132" s="12">
        <f>_xlfn.XLOOKUP(TableDailySummary[[#This Row],[Fecha]],SummaryDaily[day],SummaryDaily[Corporativo no tienda_orders],0)</f>
        <v>0</v>
      </c>
      <c r="W132" s="12">
        <f>_xlfn.XLOOKUP(TableDailySummary[[#This Row],[Fecha]],SummaryDaily[day],SummaryDaily[Corporativo no tienda_average_order_value],0)</f>
        <v>0</v>
      </c>
      <c r="X132" s="12">
        <f>_xlfn.XLOOKUP(TableDailySummary[[#This Row],[Fecha]],SummaryDaily[day],SummaryDaily[GoogleAdsOperation.Cost],0)</f>
        <v>85115.58</v>
      </c>
      <c r="Y132" s="12">
        <f>SUMIFS(SalesByUTMDaily[google],SalesByUTMDaily[day],TableDailySummary[[#This Row],[Fecha]])</f>
        <v>283000</v>
      </c>
      <c r="Z132" s="12">
        <f>_xlfn.XLOOKUP(TableDailySummary[[#This Row],[Fecha]],SummaryDaily[day],SummaryDaily[MetaAdsOperation.spend],0)</f>
        <v>49046</v>
      </c>
      <c r="AA132" s="12">
        <f>SUMIFS(SalesByUTMDaily[facebook],SalesByUTMDaily[day],TableDailySummary[[#This Row],[Fecha]])</f>
        <v>0</v>
      </c>
      <c r="AB132" s="12">
        <f>TableDailySummary[[#This Row],[Inversión google ads]]+TableDailySummary[[#This Row],[Inversión meta ads]]</f>
        <v>134161.58000000002</v>
      </c>
      <c r="AC132" s="12">
        <f>TableDailySummary[[#This Row],[Ventas google ads]]+TableDailySummary[[#This Row],[Ventas meta ads]]</f>
        <v>283000</v>
      </c>
      <c r="AD132" s="14">
        <f>IFERROR(TableDailySummary[[#This Row],[Ventas publicidad]]/TableDailySummary[[#This Row],[Inversión publicidad]],0)</f>
        <v>2.1093967438367973</v>
      </c>
      <c r="AE132" s="14">
        <f>IFERROR(TableDailySummary[[#This Row],[Ventas primer cliente]]/TableDailySummary[[#This Row],[Inversión publicidad]],0)</f>
        <v>10.321493828561051</v>
      </c>
      <c r="AF132" s="14"/>
      <c r="AG132" s="12"/>
      <c r="AM132" s="12">
        <f>_xlfn.XLOOKUP(TableDailySummary[[#This Row],[Fecha]],SummaryDaily[day],SummaryDaily[net_sales_with_cost_recorded],0)</f>
        <v>2279705.9</v>
      </c>
      <c r="AN132" s="12">
        <f>_xlfn.XLOOKUP(TableDailySummary[[#This Row],[Fecha]],SummaryDaily[day],SummaryDaily[cost_of_goods_sold],0)</f>
        <v>695955</v>
      </c>
      <c r="AO132" s="12">
        <f>_xlfn.XLOOKUP(TableDailySummary[[#This Row],[Fecha]],SummaryDaily[day],SummaryDaily[gross_profit],0)</f>
        <v>1583750.9</v>
      </c>
      <c r="AP132" s="18">
        <f>IFERROR(TableDailySummary[[#This Row],[Utilidad bruta]]/TableDailySummary[[#This Row],[Ventas netas con costo registrado]],0)</f>
        <v>0.69471720014410632</v>
      </c>
    </row>
    <row r="133" spans="2:42" x14ac:dyDescent="0.2">
      <c r="B133" s="15" cm="1">
        <f t="array" ref="B133">MIN(SummaryDaily[day]) + (ROW(TableDailySummary[#This Row]) - ROW(TableDailySummary[[#Headers],[Dia]]) - 1)</f>
        <v>45904</v>
      </c>
      <c r="C133" s="6">
        <f>TableDailySummary[[#This Row],[Dia]]</f>
        <v>45904</v>
      </c>
      <c r="D133" s="12">
        <f>_xlfn.XLOOKUP(TableDailySummary[[#This Row],[Fecha]],SummaryDaily[day],SummaryDaily[net_sales],0)</f>
        <v>5410505.0700000003</v>
      </c>
      <c r="E133" s="12">
        <f>_xlfn.XLOOKUP(TableDailySummary[[#This Row],[Fecha]],SummaryDaily[day],SummaryDaily[orders],0)</f>
        <v>26</v>
      </c>
      <c r="F133" s="12">
        <f>_xlfn.XLOOKUP(TableDailySummary[[#This Row],[Fecha]],SummaryDaily[day],SummaryDaily[average_order_value],0)</f>
        <v>221671.00899999999</v>
      </c>
      <c r="G133" s="24">
        <f>_xlfn.XLOOKUP(TableDailySummary[[#This Row],[Fecha]],SummaryDaily[day],SummaryDaily[Total site_conversion_rate],0)</f>
        <v>2.0942408376963352E-2</v>
      </c>
      <c r="H133" s="12">
        <f>TableDailySummary[[#This Row],[Órden promedio totales]]*TableDailySummary[[#This Row],[CR totales]]</f>
        <v>4642.324795811518</v>
      </c>
      <c r="I133" s="12">
        <f>_xlfn.XLOOKUP(TableDailySummary[[#This Row],[Fecha]],SummaryDaily[day],SummaryDaily[new_net_sales],0)</f>
        <v>3543277.33</v>
      </c>
      <c r="J133" s="12">
        <f>_xlfn.XLOOKUP(TableDailySummary[[#This Row],[Fecha]],SummaryDaily[day],SummaryDaily[new_orders],0)</f>
        <v>16</v>
      </c>
      <c r="K133" s="12">
        <f>_xlfn.XLOOKUP(TableDailySummary[[#This Row],[Fecha]],SummaryDaily[day],SummaryDaily[new_average_order_value],0)</f>
        <v>243513.65599999999</v>
      </c>
      <c r="L133" s="12">
        <f>_xlfn.XLOOKUP(TableDailySummary[[#This Row],[Fecha]],SummaryDaily[day],SummaryDaily[Online Store_net_sales],0)</f>
        <v>2913446.23</v>
      </c>
      <c r="M133" s="12">
        <f>_xlfn.XLOOKUP(TableDailySummary[[#This Row],[Fecha]],SummaryDaily[day],SummaryDaily[Online Store_orders],0)</f>
        <v>11</v>
      </c>
      <c r="N133" s="12">
        <f>_xlfn.XLOOKUP(TableDailySummary[[#This Row],[Fecha]],SummaryDaily[day],SummaryDaily[Online Store_average_order_value],0)</f>
        <v>264858.74800000002</v>
      </c>
      <c r="O133" s="12">
        <f>_xlfn.XLOOKUP(TableDailySummary[[#This Row],[Fecha]],SummaryDaily[day],SummaryDaily[Tienda 81_net_sales],0)</f>
        <v>2316386.56</v>
      </c>
      <c r="P133" s="12">
        <f>_xlfn.XLOOKUP(TableDailySummary[[#This Row],[Fecha]],SummaryDaily[day],SummaryDaily[Tienda 81_orders],0)</f>
        <v>12</v>
      </c>
      <c r="Q133" s="12">
        <f>_xlfn.XLOOKUP(TableDailySummary[[#This Row],[Fecha]],SummaryDaily[day],SummaryDaily[Tienda 81_average_order_value],0)</f>
        <v>222443.97700000001</v>
      </c>
      <c r="R133" s="12">
        <f>_xlfn.XLOOKUP(TableDailySummary[[#This Row],[Fecha]],SummaryDaily[day],SummaryDaily[Rappi_net_sales],0)</f>
        <v>96638.66</v>
      </c>
      <c r="S133" s="12">
        <f>_xlfn.XLOOKUP(TableDailySummary[[#This Row],[Fecha]],SummaryDaily[day],SummaryDaily[Rappi_orders],0)</f>
        <v>1</v>
      </c>
      <c r="T133" s="12">
        <f>_xlfn.XLOOKUP(TableDailySummary[[#This Row],[Fecha]],SummaryDaily[day],SummaryDaily[Rappi_average_order_value],0)</f>
        <v>96638.66</v>
      </c>
      <c r="U133" s="12">
        <f>_xlfn.XLOOKUP(TableDailySummary[[#This Row],[Fecha]],SummaryDaily[day],SummaryDaily[Corporativo no tienda_net_sales],0)</f>
        <v>0</v>
      </c>
      <c r="V133" s="12">
        <f>_xlfn.XLOOKUP(TableDailySummary[[#This Row],[Fecha]],SummaryDaily[day],SummaryDaily[Corporativo no tienda_orders],0)</f>
        <v>0</v>
      </c>
      <c r="W133" s="12">
        <f>_xlfn.XLOOKUP(TableDailySummary[[#This Row],[Fecha]],SummaryDaily[day],SummaryDaily[Corporativo no tienda_average_order_value],0)</f>
        <v>0</v>
      </c>
      <c r="X133" s="12">
        <f>_xlfn.XLOOKUP(TableDailySummary[[#This Row],[Fecha]],SummaryDaily[day],SummaryDaily[GoogleAdsOperation.Cost],0)</f>
        <v>37587.43</v>
      </c>
      <c r="Y133" s="12">
        <f>SUMIFS(SalesByUTMDaily[google],SalesByUTMDaily[day],TableDailySummary[[#This Row],[Fecha]])</f>
        <v>0</v>
      </c>
      <c r="Z133" s="12">
        <f>_xlfn.XLOOKUP(TableDailySummary[[#This Row],[Fecha]],SummaryDaily[day],SummaryDaily[MetaAdsOperation.spend],0)</f>
        <v>46696</v>
      </c>
      <c r="AA133" s="12">
        <f>SUMIFS(SalesByUTMDaily[facebook],SalesByUTMDaily[day],TableDailySummary[[#This Row],[Fecha]])</f>
        <v>0</v>
      </c>
      <c r="AB133" s="12">
        <f>TableDailySummary[[#This Row],[Inversión google ads]]+TableDailySummary[[#This Row],[Inversión meta ads]]</f>
        <v>84283.43</v>
      </c>
      <c r="AC133" s="12">
        <f>TableDailySummary[[#This Row],[Ventas google ads]]+TableDailySummary[[#This Row],[Ventas meta ads]]</f>
        <v>0</v>
      </c>
      <c r="AD133" s="14">
        <f>IFERROR(TableDailySummary[[#This Row],[Ventas publicidad]]/TableDailySummary[[#This Row],[Inversión publicidad]],0)</f>
        <v>0</v>
      </c>
      <c r="AE133" s="14">
        <f>IFERROR(TableDailySummary[[#This Row],[Ventas primer cliente]]/TableDailySummary[[#This Row],[Inversión publicidad]],0)</f>
        <v>42.040022932146925</v>
      </c>
      <c r="AF133" s="14"/>
      <c r="AG133" s="12"/>
      <c r="AM133" s="12">
        <f>_xlfn.XLOOKUP(TableDailySummary[[#This Row],[Fecha]],SummaryDaily[day],SummaryDaily[net_sales_with_cost_recorded],0)</f>
        <v>5410504.2300000004</v>
      </c>
      <c r="AN133" s="12">
        <f>_xlfn.XLOOKUP(TableDailySummary[[#This Row],[Fecha]],SummaryDaily[day],SummaryDaily[cost_of_goods_sold],0)</f>
        <v>1721426</v>
      </c>
      <c r="AO133" s="12">
        <f>_xlfn.XLOOKUP(TableDailySummary[[#This Row],[Fecha]],SummaryDaily[day],SummaryDaily[gross_profit],0)</f>
        <v>3689078.23</v>
      </c>
      <c r="AP133" s="18">
        <f>IFERROR(TableDailySummary[[#This Row],[Utilidad bruta]]/TableDailySummary[[#This Row],[Ventas netas con costo registrado]],0)</f>
        <v>0.68183630825846331</v>
      </c>
    </row>
    <row r="134" spans="2:42" x14ac:dyDescent="0.2">
      <c r="B134" s="15" cm="1">
        <f t="array" ref="B134">MIN(SummaryDaily[day]) + (ROW(TableDailySummary[#This Row]) - ROW(TableDailySummary[[#Headers],[Dia]]) - 1)</f>
        <v>45905</v>
      </c>
      <c r="C134" s="6">
        <f>TableDailySummary[[#This Row],[Dia]]</f>
        <v>45905</v>
      </c>
      <c r="D134" s="12">
        <f>_xlfn.XLOOKUP(TableDailySummary[[#This Row],[Fecha]],SummaryDaily[day],SummaryDaily[net_sales],0)</f>
        <v>4166386.57</v>
      </c>
      <c r="E134" s="12">
        <f>_xlfn.XLOOKUP(TableDailySummary[[#This Row],[Fecha]],SummaryDaily[day],SummaryDaily[orders],0)</f>
        <v>18</v>
      </c>
      <c r="F134" s="12">
        <f>_xlfn.XLOOKUP(TableDailySummary[[#This Row],[Fecha]],SummaryDaily[day],SummaryDaily[average_order_value],0)</f>
        <v>231465.92</v>
      </c>
      <c r="G134" s="24">
        <f>_xlfn.XLOOKUP(TableDailySummary[[#This Row],[Fecha]],SummaryDaily[day],SummaryDaily[Total site_conversion_rate],0)</f>
        <v>1.4164305949008499E-2</v>
      </c>
      <c r="H134" s="12">
        <f>TableDailySummary[[#This Row],[Órden promedio totales]]*TableDailySummary[[#This Row],[CR totales]]</f>
        <v>3278.5541076487252</v>
      </c>
      <c r="I134" s="12">
        <f>_xlfn.XLOOKUP(TableDailySummary[[#This Row],[Fecha]],SummaryDaily[day],SummaryDaily[new_net_sales],0)</f>
        <v>3113445.38</v>
      </c>
      <c r="J134" s="12">
        <f>_xlfn.XLOOKUP(TableDailySummary[[#This Row],[Fecha]],SummaryDaily[day],SummaryDaily[new_orders],0)</f>
        <v>7</v>
      </c>
      <c r="K134" s="12">
        <f>_xlfn.XLOOKUP(TableDailySummary[[#This Row],[Fecha]],SummaryDaily[day],SummaryDaily[new_average_order_value],0)</f>
        <v>444777.91100000002</v>
      </c>
      <c r="L134" s="12">
        <f>_xlfn.XLOOKUP(TableDailySummary[[#This Row],[Fecha]],SummaryDaily[day],SummaryDaily[Online Store_net_sales],0)</f>
        <v>995798.32</v>
      </c>
      <c r="M134" s="12">
        <f>_xlfn.XLOOKUP(TableDailySummary[[#This Row],[Fecha]],SummaryDaily[day],SummaryDaily[Online Store_orders],0)</f>
        <v>5</v>
      </c>
      <c r="N134" s="12">
        <f>_xlfn.XLOOKUP(TableDailySummary[[#This Row],[Fecha]],SummaryDaily[day],SummaryDaily[Online Store_average_order_value],0)</f>
        <v>199159.66399999999</v>
      </c>
      <c r="O134" s="12">
        <f>_xlfn.XLOOKUP(TableDailySummary[[#This Row],[Fecha]],SummaryDaily[day],SummaryDaily[Tienda 81_net_sales],0)</f>
        <v>2905882.36</v>
      </c>
      <c r="P134" s="12">
        <f>_xlfn.XLOOKUP(TableDailySummary[[#This Row],[Fecha]],SummaryDaily[day],SummaryDaily[Tienda 81_orders],0)</f>
        <v>10</v>
      </c>
      <c r="Q134" s="12">
        <f>_xlfn.XLOOKUP(TableDailySummary[[#This Row],[Fecha]],SummaryDaily[day],SummaryDaily[Tienda 81_average_order_value],0)</f>
        <v>290588.23599999998</v>
      </c>
      <c r="R134" s="12">
        <f>_xlfn.XLOOKUP(TableDailySummary[[#This Row],[Fecha]],SummaryDaily[day],SummaryDaily[Rappi_net_sales],0)</f>
        <v>0</v>
      </c>
      <c r="S134" s="12">
        <f>_xlfn.XLOOKUP(TableDailySummary[[#This Row],[Fecha]],SummaryDaily[day],SummaryDaily[Rappi_orders],0)</f>
        <v>0</v>
      </c>
      <c r="T134" s="12">
        <f>_xlfn.XLOOKUP(TableDailySummary[[#This Row],[Fecha]],SummaryDaily[day],SummaryDaily[Rappi_average_order_value],0)</f>
        <v>0</v>
      </c>
      <c r="U134" s="12">
        <f>_xlfn.XLOOKUP(TableDailySummary[[#This Row],[Fecha]],SummaryDaily[day],SummaryDaily[Corporativo no tienda_net_sales],0)</f>
        <v>0</v>
      </c>
      <c r="V134" s="12">
        <f>_xlfn.XLOOKUP(TableDailySummary[[#This Row],[Fecha]],SummaryDaily[day],SummaryDaily[Corporativo no tienda_orders],0)</f>
        <v>0</v>
      </c>
      <c r="W134" s="12">
        <f>_xlfn.XLOOKUP(TableDailySummary[[#This Row],[Fecha]],SummaryDaily[day],SummaryDaily[Corporativo no tienda_average_order_value],0)</f>
        <v>0</v>
      </c>
      <c r="X134" s="12">
        <f>_xlfn.XLOOKUP(TableDailySummary[[#This Row],[Fecha]],SummaryDaily[day],SummaryDaily[GoogleAdsOperation.Cost],0)</f>
        <v>47967.7</v>
      </c>
      <c r="Y134" s="12">
        <f>SUMIFS(SalesByUTMDaily[google],SalesByUTMDaily[day],TableDailySummary[[#This Row],[Fecha]])</f>
        <v>639000</v>
      </c>
      <c r="Z134" s="12">
        <f>_xlfn.XLOOKUP(TableDailySummary[[#This Row],[Fecha]],SummaryDaily[day],SummaryDaily[MetaAdsOperation.spend],0)</f>
        <v>47162</v>
      </c>
      <c r="AA134" s="12">
        <f>SUMIFS(SalesByUTMDaily[facebook],SalesByUTMDaily[day],TableDailySummary[[#This Row],[Fecha]])</f>
        <v>0</v>
      </c>
      <c r="AB134" s="12">
        <f>TableDailySummary[[#This Row],[Inversión google ads]]+TableDailySummary[[#This Row],[Inversión meta ads]]</f>
        <v>95129.7</v>
      </c>
      <c r="AC134" s="12">
        <f>TableDailySummary[[#This Row],[Ventas google ads]]+TableDailySummary[[#This Row],[Ventas meta ads]]</f>
        <v>639000</v>
      </c>
      <c r="AD134" s="14">
        <f>IFERROR(TableDailySummary[[#This Row],[Ventas publicidad]]/TableDailySummary[[#This Row],[Inversión publicidad]],0)</f>
        <v>6.7171451187168678</v>
      </c>
      <c r="AE134" s="14">
        <f>IFERROR(TableDailySummary[[#This Row],[Ventas primer cliente]]/TableDailySummary[[#This Row],[Inversión publicidad]],0)</f>
        <v>32.728426348448487</v>
      </c>
      <c r="AF134" s="14"/>
      <c r="AG134" s="12"/>
      <c r="AM134" s="12">
        <f>_xlfn.XLOOKUP(TableDailySummary[[#This Row],[Fecha]],SummaryDaily[day],SummaryDaily[net_sales_with_cost_recorded],0)</f>
        <v>4166386.57</v>
      </c>
      <c r="AN134" s="12">
        <f>_xlfn.XLOOKUP(TableDailySummary[[#This Row],[Fecha]],SummaryDaily[day],SummaryDaily[cost_of_goods_sold],0)</f>
        <v>1480498</v>
      </c>
      <c r="AO134" s="12">
        <f>_xlfn.XLOOKUP(TableDailySummary[[#This Row],[Fecha]],SummaryDaily[day],SummaryDaily[gross_profit],0)</f>
        <v>2685888.57</v>
      </c>
      <c r="AP134" s="18">
        <f>IFERROR(TableDailySummary[[#This Row],[Utilidad bruta]]/TableDailySummary[[#This Row],[Ventas netas con costo registrado]],0)</f>
        <v>0.64465659267906095</v>
      </c>
    </row>
    <row r="135" spans="2:42" x14ac:dyDescent="0.2">
      <c r="B135" s="15" cm="1">
        <f t="array" ref="B135">MIN(SummaryDaily[day]) + (ROW(TableDailySummary[#This Row]) - ROW(TableDailySummary[[#Headers],[Dia]]) - 1)</f>
        <v>45906</v>
      </c>
      <c r="C135" s="6">
        <f>TableDailySummary[[#This Row],[Dia]]</f>
        <v>45906</v>
      </c>
      <c r="D135" s="12">
        <f>_xlfn.XLOOKUP(TableDailySummary[[#This Row],[Fecha]],SummaryDaily[day],SummaryDaily[net_sales],0)</f>
        <v>3213058.83</v>
      </c>
      <c r="E135" s="12">
        <f>_xlfn.XLOOKUP(TableDailySummary[[#This Row],[Fecha]],SummaryDaily[day],SummaryDaily[orders],0)</f>
        <v>22</v>
      </c>
      <c r="F135" s="12">
        <f>_xlfn.XLOOKUP(TableDailySummary[[#This Row],[Fecha]],SummaryDaily[day],SummaryDaily[average_order_value],0)</f>
        <v>137453.78099999999</v>
      </c>
      <c r="G135" s="24">
        <f>_xlfn.XLOOKUP(TableDailySummary[[#This Row],[Fecha]],SummaryDaily[day],SummaryDaily[Total site_conversion_rate],0)</f>
        <v>8.4566596194503175E-3</v>
      </c>
      <c r="H135" s="12">
        <f>TableDailySummary[[#This Row],[Órden promedio totales]]*TableDailySummary[[#This Row],[CR totales]]</f>
        <v>1162.3998393234672</v>
      </c>
      <c r="I135" s="12">
        <f>_xlfn.XLOOKUP(TableDailySummary[[#This Row],[Fecha]],SummaryDaily[day],SummaryDaily[new_net_sales],0)</f>
        <v>1680352.94</v>
      </c>
      <c r="J135" s="12">
        <f>_xlfn.XLOOKUP(TableDailySummary[[#This Row],[Fecha]],SummaryDaily[day],SummaryDaily[new_orders],0)</f>
        <v>11</v>
      </c>
      <c r="K135" s="12">
        <f>_xlfn.XLOOKUP(TableDailySummary[[#This Row],[Fecha]],SummaryDaily[day],SummaryDaily[new_average_order_value],0)</f>
        <v>152759.35800000001</v>
      </c>
      <c r="L135" s="12">
        <f>_xlfn.XLOOKUP(TableDailySummary[[#This Row],[Fecha]],SummaryDaily[day],SummaryDaily[Online Store_net_sales],0)</f>
        <v>830252.1</v>
      </c>
      <c r="M135" s="12">
        <f>_xlfn.XLOOKUP(TableDailySummary[[#This Row],[Fecha]],SummaryDaily[day],SummaryDaily[Online Store_orders],0)</f>
        <v>4</v>
      </c>
      <c r="N135" s="12">
        <f>_xlfn.XLOOKUP(TableDailySummary[[#This Row],[Fecha]],SummaryDaily[day],SummaryDaily[Online Store_average_order_value],0)</f>
        <v>207563.02499999999</v>
      </c>
      <c r="O135" s="12">
        <f>_xlfn.XLOOKUP(TableDailySummary[[#This Row],[Fecha]],SummaryDaily[day],SummaryDaily[Tienda 81_net_sales],0)</f>
        <v>2336588.2400000002</v>
      </c>
      <c r="P135" s="12">
        <f>_xlfn.XLOOKUP(TableDailySummary[[#This Row],[Fecha]],SummaryDaily[day],SummaryDaily[Tienda 81_orders],0)</f>
        <v>17</v>
      </c>
      <c r="Q135" s="12">
        <f>_xlfn.XLOOKUP(TableDailySummary[[#This Row],[Fecha]],SummaryDaily[day],SummaryDaily[Tienda 81_average_order_value],0)</f>
        <v>126324.27099999999</v>
      </c>
      <c r="R135" s="12">
        <f>_xlfn.XLOOKUP(TableDailySummary[[#This Row],[Fecha]],SummaryDaily[day],SummaryDaily[Rappi_net_sales],0)</f>
        <v>46218.49</v>
      </c>
      <c r="S135" s="12">
        <f>_xlfn.XLOOKUP(TableDailySummary[[#This Row],[Fecha]],SummaryDaily[day],SummaryDaily[Rappi_orders],0)</f>
        <v>1</v>
      </c>
      <c r="T135" s="12">
        <f>_xlfn.XLOOKUP(TableDailySummary[[#This Row],[Fecha]],SummaryDaily[day],SummaryDaily[Rappi_average_order_value],0)</f>
        <v>46218.49</v>
      </c>
      <c r="U135" s="12">
        <f>_xlfn.XLOOKUP(TableDailySummary[[#This Row],[Fecha]],SummaryDaily[day],SummaryDaily[Corporativo no tienda_net_sales],0)</f>
        <v>0</v>
      </c>
      <c r="V135" s="12">
        <f>_xlfn.XLOOKUP(TableDailySummary[[#This Row],[Fecha]],SummaryDaily[day],SummaryDaily[Corporativo no tienda_orders],0)</f>
        <v>0</v>
      </c>
      <c r="W135" s="12">
        <f>_xlfn.XLOOKUP(TableDailySummary[[#This Row],[Fecha]],SummaryDaily[day],SummaryDaily[Corporativo no tienda_average_order_value],0)</f>
        <v>0</v>
      </c>
      <c r="X135" s="12">
        <f>_xlfn.XLOOKUP(TableDailySummary[[#This Row],[Fecha]],SummaryDaily[day],SummaryDaily[GoogleAdsOperation.Cost],0)</f>
        <v>55944.79</v>
      </c>
      <c r="Y135" s="12">
        <f>SUMIFS(SalesByUTMDaily[google],SalesByUTMDaily[day],TableDailySummary[[#This Row],[Fecha]])</f>
        <v>124500</v>
      </c>
      <c r="Z135" s="12">
        <f>_xlfn.XLOOKUP(TableDailySummary[[#This Row],[Fecha]],SummaryDaily[day],SummaryDaily[MetaAdsOperation.spend],0)</f>
        <v>50501</v>
      </c>
      <c r="AA135" s="12">
        <f>SUMIFS(SalesByUTMDaily[facebook],SalesByUTMDaily[day],TableDailySummary[[#This Row],[Fecha]])</f>
        <v>0</v>
      </c>
      <c r="AB135" s="12">
        <f>TableDailySummary[[#This Row],[Inversión google ads]]+TableDailySummary[[#This Row],[Inversión meta ads]]</f>
        <v>106445.79000000001</v>
      </c>
      <c r="AC135" s="12">
        <f>TableDailySummary[[#This Row],[Ventas google ads]]+TableDailySummary[[#This Row],[Ventas meta ads]]</f>
        <v>124500</v>
      </c>
      <c r="AD135" s="14">
        <f>IFERROR(TableDailySummary[[#This Row],[Ventas publicidad]]/TableDailySummary[[#This Row],[Inversión publicidad]],0)</f>
        <v>1.1696094321813948</v>
      </c>
      <c r="AE135" s="14">
        <f>IFERROR(TableDailySummary[[#This Row],[Ventas primer cliente]]/TableDailySummary[[#This Row],[Inversión publicidad]],0)</f>
        <v>15.78599717283323</v>
      </c>
      <c r="AF135" s="14"/>
      <c r="AG135" s="12"/>
      <c r="AM135" s="12">
        <f>_xlfn.XLOOKUP(TableDailySummary[[#This Row],[Fecha]],SummaryDaily[day],SummaryDaily[net_sales_with_cost_recorded],0)</f>
        <v>3213058.83</v>
      </c>
      <c r="AN135" s="12">
        <f>_xlfn.XLOOKUP(TableDailySummary[[#This Row],[Fecha]],SummaryDaily[day],SummaryDaily[cost_of_goods_sold],0)</f>
        <v>963473</v>
      </c>
      <c r="AO135" s="12">
        <f>_xlfn.XLOOKUP(TableDailySummary[[#This Row],[Fecha]],SummaryDaily[day],SummaryDaily[gross_profit],0)</f>
        <v>2249585.83</v>
      </c>
      <c r="AP135" s="18">
        <f>IFERROR(TableDailySummary[[#This Row],[Utilidad bruta]]/TableDailySummary[[#This Row],[Ventas netas con costo registrado]],0)</f>
        <v>0.70013838806680051</v>
      </c>
    </row>
    <row r="136" spans="2:42" x14ac:dyDescent="0.2">
      <c r="B136" s="15" cm="1">
        <f t="array" ref="B136">MIN(SummaryDaily[day]) + (ROW(TableDailySummary[#This Row]) - ROW(TableDailySummary[[#Headers],[Dia]]) - 1)</f>
        <v>45907</v>
      </c>
      <c r="C136" s="6">
        <f>TableDailySummary[[#This Row],[Dia]]</f>
        <v>45907</v>
      </c>
      <c r="D136" s="12">
        <f>_xlfn.XLOOKUP(TableDailySummary[[#This Row],[Fecha]],SummaryDaily[day],SummaryDaily[net_sales],0)</f>
        <v>2050739.51</v>
      </c>
      <c r="E136" s="12">
        <f>_xlfn.XLOOKUP(TableDailySummary[[#This Row],[Fecha]],SummaryDaily[day],SummaryDaily[orders],0)</f>
        <v>11</v>
      </c>
      <c r="F136" s="12">
        <f>_xlfn.XLOOKUP(TableDailySummary[[#This Row],[Fecha]],SummaryDaily[day],SummaryDaily[average_order_value],0)</f>
        <v>186430.864</v>
      </c>
      <c r="G136" s="24">
        <f>_xlfn.XLOOKUP(TableDailySummary[[#This Row],[Fecha]],SummaryDaily[day],SummaryDaily[Total site_conversion_rate],0)</f>
        <v>6.7873303167420816E-3</v>
      </c>
      <c r="H136" s="12">
        <f>TableDailySummary[[#This Row],[Órden promedio totales]]*TableDailySummary[[#This Row],[CR totales]]</f>
        <v>1265.3678552036199</v>
      </c>
      <c r="I136" s="12">
        <f>_xlfn.XLOOKUP(TableDailySummary[[#This Row],[Fecha]],SummaryDaily[day],SummaryDaily[new_net_sales],0)</f>
        <v>1269226.8999999999</v>
      </c>
      <c r="J136" s="12">
        <f>_xlfn.XLOOKUP(TableDailySummary[[#This Row],[Fecha]],SummaryDaily[day],SummaryDaily[new_orders],0)</f>
        <v>7</v>
      </c>
      <c r="K136" s="12">
        <f>_xlfn.XLOOKUP(TableDailySummary[[#This Row],[Fecha]],SummaryDaily[day],SummaryDaily[new_average_order_value],0)</f>
        <v>181318.128</v>
      </c>
      <c r="L136" s="12">
        <f>_xlfn.XLOOKUP(TableDailySummary[[#This Row],[Fecha]],SummaryDaily[day],SummaryDaily[Online Store_net_sales],0)</f>
        <v>487394.96</v>
      </c>
      <c r="M136" s="12">
        <f>_xlfn.XLOOKUP(TableDailySummary[[#This Row],[Fecha]],SummaryDaily[day],SummaryDaily[Online Store_orders],0)</f>
        <v>3</v>
      </c>
      <c r="N136" s="12">
        <f>_xlfn.XLOOKUP(TableDailySummary[[#This Row],[Fecha]],SummaryDaily[day],SummaryDaily[Online Store_average_order_value],0)</f>
        <v>162464.986</v>
      </c>
      <c r="O136" s="12">
        <f>_xlfn.XLOOKUP(TableDailySummary[[#This Row],[Fecha]],SummaryDaily[day],SummaryDaily[Tienda 81_net_sales],0)</f>
        <v>1563344.55</v>
      </c>
      <c r="P136" s="12">
        <f>_xlfn.XLOOKUP(TableDailySummary[[#This Row],[Fecha]],SummaryDaily[day],SummaryDaily[Tienda 81_orders],0)</f>
        <v>8</v>
      </c>
      <c r="Q136" s="12">
        <f>_xlfn.XLOOKUP(TableDailySummary[[#This Row],[Fecha]],SummaryDaily[day],SummaryDaily[Tienda 81_average_order_value],0)</f>
        <v>195418.068</v>
      </c>
      <c r="R136" s="12">
        <f>_xlfn.XLOOKUP(TableDailySummary[[#This Row],[Fecha]],SummaryDaily[day],SummaryDaily[Rappi_net_sales],0)</f>
        <v>0</v>
      </c>
      <c r="S136" s="12">
        <f>_xlfn.XLOOKUP(TableDailySummary[[#This Row],[Fecha]],SummaryDaily[day],SummaryDaily[Rappi_orders],0)</f>
        <v>0</v>
      </c>
      <c r="T136" s="12">
        <f>_xlfn.XLOOKUP(TableDailySummary[[#This Row],[Fecha]],SummaryDaily[day],SummaryDaily[Rappi_average_order_value],0)</f>
        <v>0</v>
      </c>
      <c r="U136" s="12">
        <f>_xlfn.XLOOKUP(TableDailySummary[[#This Row],[Fecha]],SummaryDaily[day],SummaryDaily[Corporativo no tienda_net_sales],0)</f>
        <v>0</v>
      </c>
      <c r="V136" s="12">
        <f>_xlfn.XLOOKUP(TableDailySummary[[#This Row],[Fecha]],SummaryDaily[day],SummaryDaily[Corporativo no tienda_orders],0)</f>
        <v>0</v>
      </c>
      <c r="W136" s="12">
        <f>_xlfn.XLOOKUP(TableDailySummary[[#This Row],[Fecha]],SummaryDaily[day],SummaryDaily[Corporativo no tienda_average_order_value],0)</f>
        <v>0</v>
      </c>
      <c r="X136" s="12">
        <f>_xlfn.XLOOKUP(TableDailySummary[[#This Row],[Fecha]],SummaryDaily[day],SummaryDaily[GoogleAdsOperation.Cost],0)</f>
        <v>44579.15</v>
      </c>
      <c r="Y136" s="12">
        <f>SUMIFS(SalesByUTMDaily[google],SalesByUTMDaily[day],TableDailySummary[[#This Row],[Fecha]])</f>
        <v>0</v>
      </c>
      <c r="Z136" s="12">
        <f>_xlfn.XLOOKUP(TableDailySummary[[#This Row],[Fecha]],SummaryDaily[day],SummaryDaily[MetaAdsOperation.spend],0)</f>
        <v>53274</v>
      </c>
      <c r="AA136" s="12">
        <f>SUMIFS(SalesByUTMDaily[facebook],SalesByUTMDaily[day],TableDailySummary[[#This Row],[Fecha]])</f>
        <v>0</v>
      </c>
      <c r="AB136" s="12">
        <f>TableDailySummary[[#This Row],[Inversión google ads]]+TableDailySummary[[#This Row],[Inversión meta ads]]</f>
        <v>97853.15</v>
      </c>
      <c r="AC136" s="12">
        <f>TableDailySummary[[#This Row],[Ventas google ads]]+TableDailySummary[[#This Row],[Ventas meta ads]]</f>
        <v>0</v>
      </c>
      <c r="AD136" s="14">
        <f>IFERROR(TableDailySummary[[#This Row],[Ventas publicidad]]/TableDailySummary[[#This Row],[Inversión publicidad]],0)</f>
        <v>0</v>
      </c>
      <c r="AE136" s="14">
        <f>IFERROR(TableDailySummary[[#This Row],[Ventas primer cliente]]/TableDailySummary[[#This Row],[Inversión publicidad]],0)</f>
        <v>12.970731141511541</v>
      </c>
      <c r="AF136" s="14"/>
      <c r="AG136" s="12"/>
      <c r="AM136" s="12">
        <f>_xlfn.XLOOKUP(TableDailySummary[[#This Row],[Fecha]],SummaryDaily[day],SummaryDaily[net_sales_with_cost_recorded],0)</f>
        <v>1924689.09</v>
      </c>
      <c r="AN136" s="12">
        <f>_xlfn.XLOOKUP(TableDailySummary[[#This Row],[Fecha]],SummaryDaily[day],SummaryDaily[cost_of_goods_sold],0)</f>
        <v>646771</v>
      </c>
      <c r="AO136" s="12">
        <f>_xlfn.XLOOKUP(TableDailySummary[[#This Row],[Fecha]],SummaryDaily[day],SummaryDaily[gross_profit],0)</f>
        <v>1277918.0900000001</v>
      </c>
      <c r="AP136" s="18">
        <f>IFERROR(TableDailySummary[[#This Row],[Utilidad bruta]]/TableDailySummary[[#This Row],[Ventas netas con costo registrado]],0)</f>
        <v>0.663960790675028</v>
      </c>
    </row>
    <row r="137" spans="2:42" x14ac:dyDescent="0.2">
      <c r="B137" s="15" cm="1">
        <f t="array" ref="B137">MIN(SummaryDaily[day]) + (ROW(TableDailySummary[#This Row]) - ROW(TableDailySummary[[#Headers],[Dia]]) - 1)</f>
        <v>45908</v>
      </c>
      <c r="C137" s="6">
        <f>TableDailySummary[[#This Row],[Dia]]</f>
        <v>45908</v>
      </c>
      <c r="D137" s="12">
        <f>_xlfn.XLOOKUP(TableDailySummary[[#This Row],[Fecha]],SummaryDaily[day],SummaryDaily[net_sales],0)</f>
        <v>3502521</v>
      </c>
      <c r="E137" s="12">
        <f>_xlfn.XLOOKUP(TableDailySummary[[#This Row],[Fecha]],SummaryDaily[day],SummaryDaily[orders],0)</f>
        <v>19</v>
      </c>
      <c r="F137" s="12">
        <f>_xlfn.XLOOKUP(TableDailySummary[[#This Row],[Fecha]],SummaryDaily[day],SummaryDaily[average_order_value],0)</f>
        <v>184343.21</v>
      </c>
      <c r="G137" s="24">
        <f>_xlfn.XLOOKUP(TableDailySummary[[#This Row],[Fecha]],SummaryDaily[day],SummaryDaily[Total site_conversion_rate],0)</f>
        <v>1.0380622837370242E-2</v>
      </c>
      <c r="H137" s="12">
        <f>TableDailySummary[[#This Row],[Órden promedio totales]]*TableDailySummary[[#This Row],[CR totales]]</f>
        <v>1913.5973356401382</v>
      </c>
      <c r="I137" s="12">
        <f>_xlfn.XLOOKUP(TableDailySummary[[#This Row],[Fecha]],SummaryDaily[day],SummaryDaily[new_net_sales],0)</f>
        <v>1657983.21</v>
      </c>
      <c r="J137" s="12">
        <f>_xlfn.XLOOKUP(TableDailySummary[[#This Row],[Fecha]],SummaryDaily[day],SummaryDaily[new_orders],0)</f>
        <v>10</v>
      </c>
      <c r="K137" s="12">
        <f>_xlfn.XLOOKUP(TableDailySummary[[#This Row],[Fecha]],SummaryDaily[day],SummaryDaily[new_average_order_value],0)</f>
        <v>165798.321</v>
      </c>
      <c r="L137" s="12">
        <f>_xlfn.XLOOKUP(TableDailySummary[[#This Row],[Fecha]],SummaryDaily[day],SummaryDaily[Online Store_net_sales],0)</f>
        <v>1429411.76</v>
      </c>
      <c r="M137" s="12">
        <f>_xlfn.XLOOKUP(TableDailySummary[[#This Row],[Fecha]],SummaryDaily[day],SummaryDaily[Online Store_orders],0)</f>
        <v>6</v>
      </c>
      <c r="N137" s="12">
        <f>_xlfn.XLOOKUP(TableDailySummary[[#This Row],[Fecha]],SummaryDaily[day],SummaryDaily[Online Store_average_order_value],0)</f>
        <v>238235.29300000001</v>
      </c>
      <c r="O137" s="12">
        <f>_xlfn.XLOOKUP(TableDailySummary[[#This Row],[Fecha]],SummaryDaily[day],SummaryDaily[Tienda 81_net_sales],0)</f>
        <v>1489075.62</v>
      </c>
      <c r="P137" s="12">
        <f>_xlfn.XLOOKUP(TableDailySummary[[#This Row],[Fecha]],SummaryDaily[day],SummaryDaily[Tienda 81_orders],0)</f>
        <v>10</v>
      </c>
      <c r="Q137" s="12">
        <f>_xlfn.XLOOKUP(TableDailySummary[[#This Row],[Fecha]],SummaryDaily[day],SummaryDaily[Tienda 81_average_order_value],0)</f>
        <v>148907.56200000001</v>
      </c>
      <c r="R137" s="12">
        <f>_xlfn.XLOOKUP(TableDailySummary[[#This Row],[Fecha]],SummaryDaily[day],SummaryDaily[Rappi_net_sales],0)</f>
        <v>46218.49</v>
      </c>
      <c r="S137" s="12">
        <f>_xlfn.XLOOKUP(TableDailySummary[[#This Row],[Fecha]],SummaryDaily[day],SummaryDaily[Rappi_orders],0)</f>
        <v>1</v>
      </c>
      <c r="T137" s="12">
        <f>_xlfn.XLOOKUP(TableDailySummary[[#This Row],[Fecha]],SummaryDaily[day],SummaryDaily[Rappi_average_order_value],0)</f>
        <v>46218.49</v>
      </c>
      <c r="U137" s="12">
        <f>_xlfn.XLOOKUP(TableDailySummary[[#This Row],[Fecha]],SummaryDaily[day],SummaryDaily[Corporativo no tienda_net_sales],0)</f>
        <v>0</v>
      </c>
      <c r="V137" s="12">
        <f>_xlfn.XLOOKUP(TableDailySummary[[#This Row],[Fecha]],SummaryDaily[day],SummaryDaily[Corporativo no tienda_orders],0)</f>
        <v>0</v>
      </c>
      <c r="W137" s="12">
        <f>_xlfn.XLOOKUP(TableDailySummary[[#This Row],[Fecha]],SummaryDaily[day],SummaryDaily[Corporativo no tienda_average_order_value],0)</f>
        <v>0</v>
      </c>
      <c r="X137" s="12">
        <f>_xlfn.XLOOKUP(TableDailySummary[[#This Row],[Fecha]],SummaryDaily[day],SummaryDaily[GoogleAdsOperation.Cost],0)</f>
        <v>53816.88</v>
      </c>
      <c r="Y137" s="12">
        <f>SUMIFS(SalesByUTMDaily[google],SalesByUTMDaily[day],TableDailySummary[[#This Row],[Fecha]])</f>
        <v>240000</v>
      </c>
      <c r="Z137" s="12">
        <f>_xlfn.XLOOKUP(TableDailySummary[[#This Row],[Fecha]],SummaryDaily[day],SummaryDaily[MetaAdsOperation.spend],0)</f>
        <v>47071</v>
      </c>
      <c r="AA137" s="12">
        <f>SUMIFS(SalesByUTMDaily[facebook],SalesByUTMDaily[day],TableDailySummary[[#This Row],[Fecha]])</f>
        <v>0</v>
      </c>
      <c r="AB137" s="12">
        <f>TableDailySummary[[#This Row],[Inversión google ads]]+TableDailySummary[[#This Row],[Inversión meta ads]]</f>
        <v>100887.88</v>
      </c>
      <c r="AC137" s="12">
        <f>TableDailySummary[[#This Row],[Ventas google ads]]+TableDailySummary[[#This Row],[Ventas meta ads]]</f>
        <v>240000</v>
      </c>
      <c r="AD137" s="14">
        <f>IFERROR(TableDailySummary[[#This Row],[Ventas publicidad]]/TableDailySummary[[#This Row],[Inversión publicidad]],0)</f>
        <v>2.3788784143348041</v>
      </c>
      <c r="AE137" s="14">
        <f>IFERROR(TableDailySummary[[#This Row],[Ventas primer cliente]]/TableDailySummary[[#This Row],[Inversión publicidad]],0)</f>
        <v>16.433918623327202</v>
      </c>
      <c r="AF137" s="14"/>
      <c r="AG137" s="12"/>
      <c r="AM137" s="12">
        <f>_xlfn.XLOOKUP(TableDailySummary[[#This Row],[Fecha]],SummaryDaily[day],SummaryDaily[net_sales_with_cost_recorded],0)</f>
        <v>3330252.12</v>
      </c>
      <c r="AN137" s="12">
        <f>_xlfn.XLOOKUP(TableDailySummary[[#This Row],[Fecha]],SummaryDaily[day],SummaryDaily[cost_of_goods_sold],0)</f>
        <v>971980</v>
      </c>
      <c r="AO137" s="12">
        <f>_xlfn.XLOOKUP(TableDailySummary[[#This Row],[Fecha]],SummaryDaily[day],SummaryDaily[gross_profit],0)</f>
        <v>2358272.12</v>
      </c>
      <c r="AP137" s="18">
        <f>IFERROR(TableDailySummary[[#This Row],[Utilidad bruta]]/TableDailySummary[[#This Row],[Ventas netas con costo registrado]],0)</f>
        <v>0.70813621162111895</v>
      </c>
    </row>
    <row r="138" spans="2:42" x14ac:dyDescent="0.2">
      <c r="B138" s="15" cm="1">
        <f t="array" ref="B138">MIN(SummaryDaily[day]) + (ROW(TableDailySummary[#This Row]) - ROW(TableDailySummary[[#Headers],[Dia]]) - 1)</f>
        <v>45909</v>
      </c>
      <c r="C138" s="6">
        <f>TableDailySummary[[#This Row],[Dia]]</f>
        <v>45909</v>
      </c>
      <c r="D138" s="12">
        <f>_xlfn.XLOOKUP(TableDailySummary[[#This Row],[Fecha]],SummaryDaily[day],SummaryDaily[net_sales],0)</f>
        <v>3723530.25</v>
      </c>
      <c r="E138" s="12">
        <f>_xlfn.XLOOKUP(TableDailySummary[[#This Row],[Fecha]],SummaryDaily[day],SummaryDaily[orders],0)</f>
        <v>33</v>
      </c>
      <c r="F138" s="12">
        <f>_xlfn.XLOOKUP(TableDailySummary[[#This Row],[Fecha]],SummaryDaily[day],SummaryDaily[average_order_value],0)</f>
        <v>112579.602</v>
      </c>
      <c r="G138" s="24">
        <f>_xlfn.XLOOKUP(TableDailySummary[[#This Row],[Fecha]],SummaryDaily[day],SummaryDaily[Total site_conversion_rate],0)</f>
        <v>1.2422360248447204E-2</v>
      </c>
      <c r="H138" s="12">
        <f>TableDailySummary[[#This Row],[Órden promedio totales]]*TableDailySummary[[#This Row],[CR totales]]</f>
        <v>1398.5043726708072</v>
      </c>
      <c r="I138" s="12">
        <f>_xlfn.XLOOKUP(TableDailySummary[[#This Row],[Fecha]],SummaryDaily[day],SummaryDaily[new_net_sales],0)</f>
        <v>1388235.3</v>
      </c>
      <c r="J138" s="12">
        <f>_xlfn.XLOOKUP(TableDailySummary[[#This Row],[Fecha]],SummaryDaily[day],SummaryDaily[new_orders],0)</f>
        <v>14</v>
      </c>
      <c r="K138" s="12">
        <f>_xlfn.XLOOKUP(TableDailySummary[[#This Row],[Fecha]],SummaryDaily[day],SummaryDaily[new_average_order_value],0)</f>
        <v>99159.664000000004</v>
      </c>
      <c r="L138" s="12">
        <f>_xlfn.XLOOKUP(TableDailySummary[[#This Row],[Fecha]],SummaryDaily[day],SummaryDaily[Online Store_net_sales],0)</f>
        <v>972269.75</v>
      </c>
      <c r="M138" s="12">
        <f>_xlfn.XLOOKUP(TableDailySummary[[#This Row],[Fecha]],SummaryDaily[day],SummaryDaily[Online Store_orders],0)</f>
        <v>12</v>
      </c>
      <c r="N138" s="12">
        <f>_xlfn.XLOOKUP(TableDailySummary[[#This Row],[Fecha]],SummaryDaily[day],SummaryDaily[Online Store_average_order_value],0)</f>
        <v>82072.899000000005</v>
      </c>
      <c r="O138" s="12">
        <f>_xlfn.XLOOKUP(TableDailySummary[[#This Row],[Fecha]],SummaryDaily[day],SummaryDaily[Tienda 81_net_sales],0)</f>
        <v>2523529.41</v>
      </c>
      <c r="P138" s="12">
        <f>_xlfn.XLOOKUP(TableDailySummary[[#This Row],[Fecha]],SummaryDaily[day],SummaryDaily[Tienda 81_orders],0)</f>
        <v>18</v>
      </c>
      <c r="Q138" s="12">
        <f>_xlfn.XLOOKUP(TableDailySummary[[#This Row],[Fecha]],SummaryDaily[day],SummaryDaily[Tienda 81_average_order_value],0)</f>
        <v>139028.94500000001</v>
      </c>
      <c r="R138" s="12">
        <f>_xlfn.XLOOKUP(TableDailySummary[[#This Row],[Fecha]],SummaryDaily[day],SummaryDaily[Rappi_net_sales],0)</f>
        <v>205882.35</v>
      </c>
      <c r="S138" s="12">
        <f>_xlfn.XLOOKUP(TableDailySummary[[#This Row],[Fecha]],SummaryDaily[day],SummaryDaily[Rappi_orders],0)</f>
        <v>2</v>
      </c>
      <c r="T138" s="12">
        <f>_xlfn.XLOOKUP(TableDailySummary[[#This Row],[Fecha]],SummaryDaily[day],SummaryDaily[Rappi_average_order_value],0)</f>
        <v>102941.175</v>
      </c>
      <c r="U138" s="12">
        <f>_xlfn.XLOOKUP(TableDailySummary[[#This Row],[Fecha]],SummaryDaily[day],SummaryDaily[Corporativo no tienda_net_sales],0)</f>
        <v>0</v>
      </c>
      <c r="V138" s="12">
        <f>_xlfn.XLOOKUP(TableDailySummary[[#This Row],[Fecha]],SummaryDaily[day],SummaryDaily[Corporativo no tienda_orders],0)</f>
        <v>0</v>
      </c>
      <c r="W138" s="12">
        <f>_xlfn.XLOOKUP(TableDailySummary[[#This Row],[Fecha]],SummaryDaily[day],SummaryDaily[Corporativo no tienda_average_order_value],0)</f>
        <v>0</v>
      </c>
      <c r="X138" s="12">
        <f>_xlfn.XLOOKUP(TableDailySummary[[#This Row],[Fecha]],SummaryDaily[day],SummaryDaily[GoogleAdsOperation.Cost],0)</f>
        <v>56438.400000000001</v>
      </c>
      <c r="Y138" s="12">
        <f>SUMIFS(SalesByUTMDaily[google],SalesByUTMDaily[day],TableDailySummary[[#This Row],[Fecha]])</f>
        <v>0</v>
      </c>
      <c r="Z138" s="12">
        <f>_xlfn.XLOOKUP(TableDailySummary[[#This Row],[Fecha]],SummaryDaily[day],SummaryDaily[MetaAdsOperation.spend],0)</f>
        <v>55240</v>
      </c>
      <c r="AA138" s="12">
        <f>SUMIFS(SalesByUTMDaily[facebook],SalesByUTMDaily[day],TableDailySummary[[#This Row],[Fecha]])</f>
        <v>55000</v>
      </c>
      <c r="AB138" s="12">
        <f>TableDailySummary[[#This Row],[Inversión google ads]]+TableDailySummary[[#This Row],[Inversión meta ads]]</f>
        <v>111678.39999999999</v>
      </c>
      <c r="AC138" s="12">
        <f>TableDailySummary[[#This Row],[Ventas google ads]]+TableDailySummary[[#This Row],[Ventas meta ads]]</f>
        <v>55000</v>
      </c>
      <c r="AD138" s="14">
        <f>IFERROR(TableDailySummary[[#This Row],[Ventas publicidad]]/TableDailySummary[[#This Row],[Inversión publicidad]],0)</f>
        <v>0.49248556569578361</v>
      </c>
      <c r="AE138" s="14">
        <f>IFERROR(TableDailySummary[[#This Row],[Ventas primer cliente]]/TableDailySummary[[#This Row],[Inversión publicidad]],0)</f>
        <v>12.430651764351927</v>
      </c>
      <c r="AF138" s="14"/>
      <c r="AG138" s="12"/>
      <c r="AM138" s="12">
        <f>_xlfn.XLOOKUP(TableDailySummary[[#This Row],[Fecha]],SummaryDaily[day],SummaryDaily[net_sales_with_cost_recorded],0)</f>
        <v>3702521.01</v>
      </c>
      <c r="AN138" s="12">
        <f>_xlfn.XLOOKUP(TableDailySummary[[#This Row],[Fecha]],SummaryDaily[day],SummaryDaily[cost_of_goods_sold],0)</f>
        <v>1086636</v>
      </c>
      <c r="AO138" s="12">
        <f>_xlfn.XLOOKUP(TableDailySummary[[#This Row],[Fecha]],SummaryDaily[day],SummaryDaily[gross_profit],0)</f>
        <v>2615885.0099999998</v>
      </c>
      <c r="AP138" s="18">
        <f>IFERROR(TableDailySummary[[#This Row],[Utilidad bruta]]/TableDailySummary[[#This Row],[Ventas netas con costo registrado]],0)</f>
        <v>0.70651456208752206</v>
      </c>
    </row>
    <row r="139" spans="2:42" x14ac:dyDescent="0.2">
      <c r="B139" s="15" cm="1">
        <f t="array" ref="B139">MIN(SummaryDaily[day]) + (ROW(TableDailySummary[#This Row]) - ROW(TableDailySummary[[#Headers],[Dia]]) - 1)</f>
        <v>45910</v>
      </c>
      <c r="C139" s="6">
        <f>TableDailySummary[[#This Row],[Dia]]</f>
        <v>45910</v>
      </c>
      <c r="D139" s="12">
        <f>_xlfn.XLOOKUP(TableDailySummary[[#This Row],[Fecha]],SummaryDaily[day],SummaryDaily[net_sales],0)</f>
        <v>2155336.14</v>
      </c>
      <c r="E139" s="12">
        <f>_xlfn.XLOOKUP(TableDailySummary[[#This Row],[Fecha]],SummaryDaily[day],SummaryDaily[orders],0)</f>
        <v>15</v>
      </c>
      <c r="F139" s="12">
        <f>_xlfn.XLOOKUP(TableDailySummary[[#This Row],[Fecha]],SummaryDaily[day],SummaryDaily[average_order_value],0)</f>
        <v>136966.386</v>
      </c>
      <c r="G139" s="24">
        <f>_xlfn.XLOOKUP(TableDailySummary[[#This Row],[Fecha]],SummaryDaily[day],SummaryDaily[Total site_conversion_rate],0)</f>
        <v>6.9686411149825784E-3</v>
      </c>
      <c r="H139" s="12">
        <f>TableDailySummary[[#This Row],[Órden promedio totales]]*TableDailySummary[[#This Row],[CR totales]]</f>
        <v>954.4695888501742</v>
      </c>
      <c r="I139" s="12">
        <f>_xlfn.XLOOKUP(TableDailySummary[[#This Row],[Fecha]],SummaryDaily[day],SummaryDaily[new_net_sales],0)</f>
        <v>1029411.77</v>
      </c>
      <c r="J139" s="12">
        <f>_xlfn.XLOOKUP(TableDailySummary[[#This Row],[Fecha]],SummaryDaily[day],SummaryDaily[new_orders],0)</f>
        <v>7</v>
      </c>
      <c r="K139" s="12">
        <f>_xlfn.XLOOKUP(TableDailySummary[[#This Row],[Fecha]],SummaryDaily[day],SummaryDaily[new_average_order_value],0)</f>
        <v>132653.06099999999</v>
      </c>
      <c r="L139" s="12">
        <f>_xlfn.XLOOKUP(TableDailySummary[[#This Row],[Fecha]],SummaryDaily[day],SummaryDaily[Online Store_net_sales],0)</f>
        <v>457983.19</v>
      </c>
      <c r="M139" s="12">
        <f>_xlfn.XLOOKUP(TableDailySummary[[#This Row],[Fecha]],SummaryDaily[day],SummaryDaily[Online Store_orders],0)</f>
        <v>4</v>
      </c>
      <c r="N139" s="12">
        <f>_xlfn.XLOOKUP(TableDailySummary[[#This Row],[Fecha]],SummaryDaily[day],SummaryDaily[Online Store_average_order_value],0)</f>
        <v>114495.79700000001</v>
      </c>
      <c r="O139" s="12">
        <f>_xlfn.XLOOKUP(TableDailySummary[[#This Row],[Fecha]],SummaryDaily[day],SummaryDaily[Tienda 81_net_sales],0)</f>
        <v>1302394.97</v>
      </c>
      <c r="P139" s="12">
        <f>_xlfn.XLOOKUP(TableDailySummary[[#This Row],[Fecha]],SummaryDaily[day],SummaryDaily[Tienda 81_orders],0)</f>
        <v>8</v>
      </c>
      <c r="Q139" s="12">
        <f>_xlfn.XLOOKUP(TableDailySummary[[#This Row],[Fecha]],SummaryDaily[day],SummaryDaily[Tienda 81_average_order_value],0)</f>
        <v>150194.32800000001</v>
      </c>
      <c r="R139" s="12">
        <f>_xlfn.XLOOKUP(TableDailySummary[[#This Row],[Fecha]],SummaryDaily[day],SummaryDaily[Rappi_net_sales],0)</f>
        <v>243697.48</v>
      </c>
      <c r="S139" s="12">
        <f>_xlfn.XLOOKUP(TableDailySummary[[#This Row],[Fecha]],SummaryDaily[day],SummaryDaily[Rappi_orders],0)</f>
        <v>2</v>
      </c>
      <c r="T139" s="12">
        <f>_xlfn.XLOOKUP(TableDailySummary[[#This Row],[Fecha]],SummaryDaily[day],SummaryDaily[Rappi_average_order_value],0)</f>
        <v>121848.74</v>
      </c>
      <c r="U139" s="12">
        <f>_xlfn.XLOOKUP(TableDailySummary[[#This Row],[Fecha]],SummaryDaily[day],SummaryDaily[Corporativo no tienda_net_sales],0)</f>
        <v>0</v>
      </c>
      <c r="V139" s="12">
        <f>_xlfn.XLOOKUP(TableDailySummary[[#This Row],[Fecha]],SummaryDaily[day],SummaryDaily[Corporativo no tienda_orders],0)</f>
        <v>0</v>
      </c>
      <c r="W139" s="12">
        <f>_xlfn.XLOOKUP(TableDailySummary[[#This Row],[Fecha]],SummaryDaily[day],SummaryDaily[Corporativo no tienda_average_order_value],0)</f>
        <v>0</v>
      </c>
      <c r="X139" s="12">
        <f>_xlfn.XLOOKUP(TableDailySummary[[#This Row],[Fecha]],SummaryDaily[day],SummaryDaily[GoogleAdsOperation.Cost],0)</f>
        <v>55041.7</v>
      </c>
      <c r="Y139" s="12">
        <f>SUMIFS(SalesByUTMDaily[google],SalesByUTMDaily[day],TableDailySummary[[#This Row],[Fecha]])</f>
        <v>250000</v>
      </c>
      <c r="Z139" s="12">
        <f>_xlfn.XLOOKUP(TableDailySummary[[#This Row],[Fecha]],SummaryDaily[day],SummaryDaily[MetaAdsOperation.spend],0)</f>
        <v>51935</v>
      </c>
      <c r="AA139" s="12">
        <f>SUMIFS(SalesByUTMDaily[facebook],SalesByUTMDaily[day],TableDailySummary[[#This Row],[Fecha]])</f>
        <v>0</v>
      </c>
      <c r="AB139" s="12">
        <f>TableDailySummary[[#This Row],[Inversión google ads]]+TableDailySummary[[#This Row],[Inversión meta ads]]</f>
        <v>106976.7</v>
      </c>
      <c r="AC139" s="12">
        <f>TableDailySummary[[#This Row],[Ventas google ads]]+TableDailySummary[[#This Row],[Ventas meta ads]]</f>
        <v>250000</v>
      </c>
      <c r="AD139" s="14">
        <f>IFERROR(TableDailySummary[[#This Row],[Ventas publicidad]]/TableDailySummary[[#This Row],[Inversión publicidad]],0)</f>
        <v>2.3369574870041796</v>
      </c>
      <c r="AE139" s="14">
        <f>IFERROR(TableDailySummary[[#This Row],[Ventas primer cliente]]/TableDailySummary[[#This Row],[Inversión publicidad]],0)</f>
        <v>9.622766172446898</v>
      </c>
      <c r="AF139" s="14"/>
      <c r="AG139" s="12"/>
      <c r="AM139" s="12">
        <f>_xlfn.XLOOKUP(TableDailySummary[[#This Row],[Fecha]],SummaryDaily[day],SummaryDaily[net_sales_with_cost_recorded],0)</f>
        <v>2155336.14</v>
      </c>
      <c r="AN139" s="12">
        <f>_xlfn.XLOOKUP(TableDailySummary[[#This Row],[Fecha]],SummaryDaily[day],SummaryDaily[cost_of_goods_sold],0)</f>
        <v>605989</v>
      </c>
      <c r="AO139" s="12">
        <f>_xlfn.XLOOKUP(TableDailySummary[[#This Row],[Fecha]],SummaryDaily[day],SummaryDaily[gross_profit],0)</f>
        <v>1549347.14</v>
      </c>
      <c r="AP139" s="18">
        <f>IFERROR(TableDailySummary[[#This Row],[Utilidad bruta]]/TableDailySummary[[#This Row],[Ventas netas con costo registrado]],0)</f>
        <v>0.71884246324566325</v>
      </c>
    </row>
    <row r="140" spans="2:42" x14ac:dyDescent="0.2">
      <c r="B140" s="15" cm="1">
        <f t="array" ref="B140">MIN(SummaryDaily[day]) + (ROW(TableDailySummary[#This Row]) - ROW(TableDailySummary[[#Headers],[Dia]]) - 1)</f>
        <v>45911</v>
      </c>
      <c r="C140" s="6">
        <f>TableDailySummary[[#This Row],[Dia]]</f>
        <v>45911</v>
      </c>
      <c r="D140" s="12">
        <f>_xlfn.XLOOKUP(TableDailySummary[[#This Row],[Fecha]],SummaryDaily[day],SummaryDaily[net_sales],0)</f>
        <v>5140344.54</v>
      </c>
      <c r="E140" s="12">
        <f>_xlfn.XLOOKUP(TableDailySummary[[#This Row],[Fecha]],SummaryDaily[day],SummaryDaily[orders],0)</f>
        <v>46</v>
      </c>
      <c r="F140" s="12">
        <f>_xlfn.XLOOKUP(TableDailySummary[[#This Row],[Fecha]],SummaryDaily[day],SummaryDaily[average_order_value],0)</f>
        <v>111929.30100000001</v>
      </c>
      <c r="G140" s="24">
        <f>_xlfn.XLOOKUP(TableDailySummary[[#This Row],[Fecha]],SummaryDaily[day],SummaryDaily[Total site_conversion_rate],0)</f>
        <v>1.2195121951219513E-2</v>
      </c>
      <c r="H140" s="12">
        <f>TableDailySummary[[#This Row],[Órden promedio totales]]*TableDailySummary[[#This Row],[CR totales]]</f>
        <v>1364.9914756097562</v>
      </c>
      <c r="I140" s="12">
        <f>_xlfn.XLOOKUP(TableDailySummary[[#This Row],[Fecha]],SummaryDaily[day],SummaryDaily[new_net_sales],0)</f>
        <v>2722689.09</v>
      </c>
      <c r="J140" s="12">
        <f>_xlfn.XLOOKUP(TableDailySummary[[#This Row],[Fecha]],SummaryDaily[day],SummaryDaily[new_orders],0)</f>
        <v>23</v>
      </c>
      <c r="K140" s="12">
        <f>_xlfn.XLOOKUP(TableDailySummary[[#This Row],[Fecha]],SummaryDaily[day],SummaryDaily[new_average_order_value],0)</f>
        <v>118743.149</v>
      </c>
      <c r="L140" s="12">
        <f>_xlfn.XLOOKUP(TableDailySummary[[#This Row],[Fecha]],SummaryDaily[day],SummaryDaily[Online Store_net_sales],0)</f>
        <v>819327.75</v>
      </c>
      <c r="M140" s="12">
        <f>_xlfn.XLOOKUP(TableDailySummary[[#This Row],[Fecha]],SummaryDaily[day],SummaryDaily[Online Store_orders],0)</f>
        <v>7</v>
      </c>
      <c r="N140" s="12">
        <f>_xlfn.XLOOKUP(TableDailySummary[[#This Row],[Fecha]],SummaryDaily[day],SummaryDaily[Online Store_average_order_value],0)</f>
        <v>118247.3</v>
      </c>
      <c r="O140" s="12">
        <f>_xlfn.XLOOKUP(TableDailySummary[[#This Row],[Fecha]],SummaryDaily[day],SummaryDaily[Tienda 81_net_sales],0)</f>
        <v>764294.11</v>
      </c>
      <c r="P140" s="12">
        <f>_xlfn.XLOOKUP(TableDailySummary[[#This Row],[Fecha]],SummaryDaily[day],SummaryDaily[Tienda 81_orders],0)</f>
        <v>10</v>
      </c>
      <c r="Q140" s="12">
        <f>_xlfn.XLOOKUP(TableDailySummary[[#This Row],[Fecha]],SummaryDaily[day],SummaryDaily[Tienda 81_average_order_value],0)</f>
        <v>76429.410999999993</v>
      </c>
      <c r="R140" s="12">
        <f>_xlfn.XLOOKUP(TableDailySummary[[#This Row],[Fecha]],SummaryDaily[day],SummaryDaily[Rappi_net_sales],0)</f>
        <v>0</v>
      </c>
      <c r="S140" s="12">
        <f>_xlfn.XLOOKUP(TableDailySummary[[#This Row],[Fecha]],SummaryDaily[day],SummaryDaily[Rappi_orders],0)</f>
        <v>0</v>
      </c>
      <c r="T140" s="12">
        <f>_xlfn.XLOOKUP(TableDailySummary[[#This Row],[Fecha]],SummaryDaily[day],SummaryDaily[Rappi_average_order_value],0)</f>
        <v>0</v>
      </c>
      <c r="U140" s="12">
        <f>_xlfn.XLOOKUP(TableDailySummary[[#This Row],[Fecha]],SummaryDaily[day],SummaryDaily[Corporativo no tienda_net_sales],0)</f>
        <v>0</v>
      </c>
      <c r="V140" s="12">
        <f>_xlfn.XLOOKUP(TableDailySummary[[#This Row],[Fecha]],SummaryDaily[day],SummaryDaily[Corporativo no tienda_orders],0)</f>
        <v>0</v>
      </c>
      <c r="W140" s="12">
        <f>_xlfn.XLOOKUP(TableDailySummary[[#This Row],[Fecha]],SummaryDaily[day],SummaryDaily[Corporativo no tienda_average_order_value],0)</f>
        <v>0</v>
      </c>
      <c r="X140" s="12">
        <f>_xlfn.XLOOKUP(TableDailySummary[[#This Row],[Fecha]],SummaryDaily[day],SummaryDaily[GoogleAdsOperation.Cost],0)</f>
        <v>46326.94</v>
      </c>
      <c r="Y140" s="12">
        <f>SUMIFS(SalesByUTMDaily[google],SalesByUTMDaily[day],TableDailySummary[[#This Row],[Fecha]])</f>
        <v>55000</v>
      </c>
      <c r="Z140" s="12">
        <f>_xlfn.XLOOKUP(TableDailySummary[[#This Row],[Fecha]],SummaryDaily[day],SummaryDaily[MetaAdsOperation.spend],0)</f>
        <v>44686</v>
      </c>
      <c r="AA140" s="12">
        <f>SUMIFS(SalesByUTMDaily[facebook],SalesByUTMDaily[day],TableDailySummary[[#This Row],[Fecha]])</f>
        <v>0</v>
      </c>
      <c r="AB140" s="12">
        <f>TableDailySummary[[#This Row],[Inversión google ads]]+TableDailySummary[[#This Row],[Inversión meta ads]]</f>
        <v>91012.94</v>
      </c>
      <c r="AC140" s="12">
        <f>TableDailySummary[[#This Row],[Ventas google ads]]+TableDailySummary[[#This Row],[Ventas meta ads]]</f>
        <v>55000</v>
      </c>
      <c r="AD140" s="14">
        <f>IFERROR(TableDailySummary[[#This Row],[Ventas publicidad]]/TableDailySummary[[#This Row],[Inversión publicidad]],0)</f>
        <v>0.60430967288827275</v>
      </c>
      <c r="AE140" s="14">
        <f>IFERROR(TableDailySummary[[#This Row],[Ventas primer cliente]]/TableDailySummary[[#This Row],[Inversión publicidad]],0)</f>
        <v>29.915406424624891</v>
      </c>
      <c r="AF140" s="14"/>
      <c r="AG140" s="12"/>
      <c r="AM140" s="12">
        <f>_xlfn.XLOOKUP(TableDailySummary[[#This Row],[Fecha]],SummaryDaily[day],SummaryDaily[net_sales_with_cost_recorded],0)</f>
        <v>5140344.54</v>
      </c>
      <c r="AN140" s="12">
        <f>_xlfn.XLOOKUP(TableDailySummary[[#This Row],[Fecha]],SummaryDaily[day],SummaryDaily[cost_of_goods_sold],0)</f>
        <v>1414721.12</v>
      </c>
      <c r="AO140" s="12">
        <f>_xlfn.XLOOKUP(TableDailySummary[[#This Row],[Fecha]],SummaryDaily[day],SummaryDaily[gross_profit],0)</f>
        <v>3725623.42</v>
      </c>
      <c r="AP140" s="18">
        <f>IFERROR(TableDailySummary[[#This Row],[Utilidad bruta]]/TableDailySummary[[#This Row],[Ventas netas con costo registrado]],0)</f>
        <v>0.7247808762639868</v>
      </c>
    </row>
    <row r="141" spans="2:42" x14ac:dyDescent="0.2">
      <c r="B141" s="15" cm="1">
        <f t="array" ref="B141">MIN(SummaryDaily[day]) + (ROW(TableDailySummary[#This Row]) - ROW(TableDailySummary[[#Headers],[Dia]]) - 1)</f>
        <v>45912</v>
      </c>
      <c r="C141" s="6">
        <f>TableDailySummary[[#This Row],[Dia]]</f>
        <v>45912</v>
      </c>
      <c r="D141" s="12">
        <f>_xlfn.XLOOKUP(TableDailySummary[[#This Row],[Fecha]],SummaryDaily[day],SummaryDaily[net_sales],0)</f>
        <v>5783016.8399999999</v>
      </c>
      <c r="E141" s="12">
        <f>_xlfn.XLOOKUP(TableDailySummary[[#This Row],[Fecha]],SummaryDaily[day],SummaryDaily[orders],0)</f>
        <v>57</v>
      </c>
      <c r="F141" s="12">
        <f>_xlfn.XLOOKUP(TableDailySummary[[#This Row],[Fecha]],SummaryDaily[day],SummaryDaily[average_order_value],0)</f>
        <v>101456.435</v>
      </c>
      <c r="G141" s="24">
        <f>_xlfn.XLOOKUP(TableDailySummary[[#This Row],[Fecha]],SummaryDaily[day],SummaryDaily[Total site_conversion_rate],0)</f>
        <v>9.1074681238615673E-3</v>
      </c>
      <c r="H141" s="12">
        <f>TableDailySummary[[#This Row],[Órden promedio totales]]*TableDailySummary[[#This Row],[CR totales]]</f>
        <v>924.01124772313301</v>
      </c>
      <c r="I141" s="12">
        <f>_xlfn.XLOOKUP(TableDailySummary[[#This Row],[Fecha]],SummaryDaily[day],SummaryDaily[new_net_sales],0)</f>
        <v>3490756.32</v>
      </c>
      <c r="J141" s="12">
        <f>_xlfn.XLOOKUP(TableDailySummary[[#This Row],[Fecha]],SummaryDaily[day],SummaryDaily[new_orders],0)</f>
        <v>34</v>
      </c>
      <c r="K141" s="12">
        <f>_xlfn.XLOOKUP(TableDailySummary[[#This Row],[Fecha]],SummaryDaily[day],SummaryDaily[new_average_order_value],0)</f>
        <v>102669.303</v>
      </c>
      <c r="L141" s="12">
        <f>_xlfn.XLOOKUP(TableDailySummary[[#This Row],[Fecha]],SummaryDaily[day],SummaryDaily[Online Store_net_sales],0)</f>
        <v>579831.93000000005</v>
      </c>
      <c r="M141" s="12">
        <f>_xlfn.XLOOKUP(TableDailySummary[[#This Row],[Fecha]],SummaryDaily[day],SummaryDaily[Online Store_orders],0)</f>
        <v>5</v>
      </c>
      <c r="N141" s="12">
        <f>_xlfn.XLOOKUP(TableDailySummary[[#This Row],[Fecha]],SummaryDaily[day],SummaryDaily[Online Store_average_order_value],0)</f>
        <v>115966.386</v>
      </c>
      <c r="O141" s="12">
        <f>_xlfn.XLOOKUP(TableDailySummary[[#This Row],[Fecha]],SummaryDaily[day],SummaryDaily[Tienda 81_net_sales],0)</f>
        <v>1521672.27</v>
      </c>
      <c r="P141" s="12">
        <f>_xlfn.XLOOKUP(TableDailySummary[[#This Row],[Fecha]],SummaryDaily[day],SummaryDaily[Tienda 81_orders],0)</f>
        <v>11</v>
      </c>
      <c r="Q141" s="12">
        <f>_xlfn.XLOOKUP(TableDailySummary[[#This Row],[Fecha]],SummaryDaily[day],SummaryDaily[Tienda 81_average_order_value],0)</f>
        <v>138333.842</v>
      </c>
      <c r="R141" s="12">
        <f>_xlfn.XLOOKUP(TableDailySummary[[#This Row],[Fecha]],SummaryDaily[day],SummaryDaily[Rappi_net_sales],0)</f>
        <v>21848.74</v>
      </c>
      <c r="S141" s="12">
        <f>_xlfn.XLOOKUP(TableDailySummary[[#This Row],[Fecha]],SummaryDaily[day],SummaryDaily[Rappi_orders],0)</f>
        <v>1</v>
      </c>
      <c r="T141" s="12">
        <f>_xlfn.XLOOKUP(TableDailySummary[[#This Row],[Fecha]],SummaryDaily[day],SummaryDaily[Rappi_average_order_value],0)</f>
        <v>21848.74</v>
      </c>
      <c r="U141" s="12">
        <f>_xlfn.XLOOKUP(TableDailySummary[[#This Row],[Fecha]],SummaryDaily[day],SummaryDaily[Corporativo no tienda_net_sales],0)</f>
        <v>0</v>
      </c>
      <c r="V141" s="12">
        <f>_xlfn.XLOOKUP(TableDailySummary[[#This Row],[Fecha]],SummaryDaily[day],SummaryDaily[Corporativo no tienda_orders],0)</f>
        <v>0</v>
      </c>
      <c r="W141" s="12">
        <f>_xlfn.XLOOKUP(TableDailySummary[[#This Row],[Fecha]],SummaryDaily[day],SummaryDaily[Corporativo no tienda_average_order_value],0)</f>
        <v>0</v>
      </c>
      <c r="X141" s="12">
        <f>_xlfn.XLOOKUP(TableDailySummary[[#This Row],[Fecha]],SummaryDaily[day],SummaryDaily[GoogleAdsOperation.Cost],0)</f>
        <v>54186.32</v>
      </c>
      <c r="Y141" s="12">
        <f>SUMIFS(SalesByUTMDaily[google],SalesByUTMDaily[day],TableDailySummary[[#This Row],[Fecha]])</f>
        <v>0</v>
      </c>
      <c r="Z141" s="12">
        <f>_xlfn.XLOOKUP(TableDailySummary[[#This Row],[Fecha]],SummaryDaily[day],SummaryDaily[MetaAdsOperation.spend],0)</f>
        <v>48282</v>
      </c>
      <c r="AA141" s="12">
        <f>SUMIFS(SalesByUTMDaily[facebook],SalesByUTMDaily[day],TableDailySummary[[#This Row],[Fecha]])</f>
        <v>0</v>
      </c>
      <c r="AB141" s="12">
        <f>TableDailySummary[[#This Row],[Inversión google ads]]+TableDailySummary[[#This Row],[Inversión meta ads]]</f>
        <v>102468.32</v>
      </c>
      <c r="AC141" s="12">
        <f>TableDailySummary[[#This Row],[Ventas google ads]]+TableDailySummary[[#This Row],[Ventas meta ads]]</f>
        <v>0</v>
      </c>
      <c r="AD141" s="14">
        <f>IFERROR(TableDailySummary[[#This Row],[Ventas publicidad]]/TableDailySummary[[#This Row],[Inversión publicidad]],0)</f>
        <v>0</v>
      </c>
      <c r="AE141" s="14">
        <f>IFERROR(TableDailySummary[[#This Row],[Ventas primer cliente]]/TableDailySummary[[#This Row],[Inversión publicidad]],0)</f>
        <v>34.066688318887238</v>
      </c>
      <c r="AF141" s="14"/>
      <c r="AG141" s="12"/>
      <c r="AM141" s="12">
        <f>_xlfn.XLOOKUP(TableDailySummary[[#This Row],[Fecha]],SummaryDaily[day],SummaryDaily[net_sales_with_cost_recorded],0)</f>
        <v>5705016.8399999999</v>
      </c>
      <c r="AN141" s="12">
        <f>_xlfn.XLOOKUP(TableDailySummary[[#This Row],[Fecha]],SummaryDaily[day],SummaryDaily[cost_of_goods_sold],0)</f>
        <v>1767129</v>
      </c>
      <c r="AO141" s="12">
        <f>_xlfn.XLOOKUP(TableDailySummary[[#This Row],[Fecha]],SummaryDaily[day],SummaryDaily[gross_profit],0)</f>
        <v>3937887.84</v>
      </c>
      <c r="AP141" s="18">
        <f>IFERROR(TableDailySummary[[#This Row],[Utilidad bruta]]/TableDailySummary[[#This Row],[Ventas netas con costo registrado]],0)</f>
        <v>0.69024999407363707</v>
      </c>
    </row>
    <row r="142" spans="2:42" x14ac:dyDescent="0.2">
      <c r="B142" s="15" cm="1">
        <f t="array" ref="B142">MIN(SummaryDaily[day]) + (ROW(TableDailySummary[#This Row]) - ROW(TableDailySummary[[#Headers],[Dia]]) - 1)</f>
        <v>45913</v>
      </c>
      <c r="C142" s="6">
        <f>TableDailySummary[[#This Row],[Dia]]</f>
        <v>45913</v>
      </c>
      <c r="D142" s="12">
        <f>_xlfn.XLOOKUP(TableDailySummary[[#This Row],[Fecha]],SummaryDaily[day],SummaryDaily[net_sales],0)</f>
        <v>7896420.2300000004</v>
      </c>
      <c r="E142" s="12">
        <f>_xlfn.XLOOKUP(TableDailySummary[[#This Row],[Fecha]],SummaryDaily[day],SummaryDaily[orders],0)</f>
        <v>86</v>
      </c>
      <c r="F142" s="12">
        <f>_xlfn.XLOOKUP(TableDailySummary[[#This Row],[Fecha]],SummaryDaily[day],SummaryDaily[average_order_value],0)</f>
        <v>92255.619000000006</v>
      </c>
      <c r="G142" s="24">
        <f>_xlfn.XLOOKUP(TableDailySummary[[#This Row],[Fecha]],SummaryDaily[day],SummaryDaily[Total site_conversion_rate],0)</f>
        <v>1.7241379310344827E-3</v>
      </c>
      <c r="H142" s="12">
        <f>TableDailySummary[[#This Row],[Órden promedio totales]]*TableDailySummary[[#This Row],[CR totales]]</f>
        <v>159.06141206896552</v>
      </c>
      <c r="I142" s="12">
        <f>_xlfn.XLOOKUP(TableDailySummary[[#This Row],[Fecha]],SummaryDaily[day],SummaryDaily[new_net_sales],0)</f>
        <v>6100319.3799999999</v>
      </c>
      <c r="J142" s="12">
        <f>_xlfn.XLOOKUP(TableDailySummary[[#This Row],[Fecha]],SummaryDaily[day],SummaryDaily[new_orders],0)</f>
        <v>66</v>
      </c>
      <c r="K142" s="12">
        <f>_xlfn.XLOOKUP(TableDailySummary[[#This Row],[Fecha]],SummaryDaily[day],SummaryDaily[new_average_order_value],0)</f>
        <v>92998.217999999993</v>
      </c>
      <c r="L142" s="12">
        <f>_xlfn.XLOOKUP(TableDailySummary[[#This Row],[Fecha]],SummaryDaily[day],SummaryDaily[Online Store_net_sales],0)</f>
        <v>155462.18</v>
      </c>
      <c r="M142" s="12">
        <f>_xlfn.XLOOKUP(TableDailySummary[[#This Row],[Fecha]],SummaryDaily[day],SummaryDaily[Online Store_orders],0)</f>
        <v>1</v>
      </c>
      <c r="N142" s="12">
        <f>_xlfn.XLOOKUP(TableDailySummary[[#This Row],[Fecha]],SummaryDaily[day],SummaryDaily[Online Store_average_order_value],0)</f>
        <v>155462.18</v>
      </c>
      <c r="O142" s="12">
        <f>_xlfn.XLOOKUP(TableDailySummary[[#This Row],[Fecha]],SummaryDaily[day],SummaryDaily[Tienda 81_net_sales],0)</f>
        <v>1375411.76</v>
      </c>
      <c r="P142" s="12">
        <f>_xlfn.XLOOKUP(TableDailySummary[[#This Row],[Fecha]],SummaryDaily[day],SummaryDaily[Tienda 81_orders],0)</f>
        <v>15</v>
      </c>
      <c r="Q142" s="12">
        <f>_xlfn.XLOOKUP(TableDailySummary[[#This Row],[Fecha]],SummaryDaily[day],SummaryDaily[Tienda 81_average_order_value],0)</f>
        <v>91694.116999999998</v>
      </c>
      <c r="R142" s="12">
        <f>_xlfn.XLOOKUP(TableDailySummary[[#This Row],[Fecha]],SummaryDaily[day],SummaryDaily[Rappi_net_sales],0)</f>
        <v>42016.81</v>
      </c>
      <c r="S142" s="12">
        <f>_xlfn.XLOOKUP(TableDailySummary[[#This Row],[Fecha]],SummaryDaily[day],SummaryDaily[Rappi_orders],0)</f>
        <v>1</v>
      </c>
      <c r="T142" s="12">
        <f>_xlfn.XLOOKUP(TableDailySummary[[#This Row],[Fecha]],SummaryDaily[day],SummaryDaily[Rappi_average_order_value],0)</f>
        <v>42016.81</v>
      </c>
      <c r="U142" s="12">
        <f>_xlfn.XLOOKUP(TableDailySummary[[#This Row],[Fecha]],SummaryDaily[day],SummaryDaily[Corporativo no tienda_net_sales],0)</f>
        <v>0</v>
      </c>
      <c r="V142" s="12">
        <f>_xlfn.XLOOKUP(TableDailySummary[[#This Row],[Fecha]],SummaryDaily[day],SummaryDaily[Corporativo no tienda_orders],0)</f>
        <v>0</v>
      </c>
      <c r="W142" s="12">
        <f>_xlfn.XLOOKUP(TableDailySummary[[#This Row],[Fecha]],SummaryDaily[day],SummaryDaily[Corporativo no tienda_average_order_value],0)</f>
        <v>0</v>
      </c>
      <c r="X142" s="12">
        <f>_xlfn.XLOOKUP(TableDailySummary[[#This Row],[Fecha]],SummaryDaily[day],SummaryDaily[GoogleAdsOperation.Cost],0)</f>
        <v>48763.72</v>
      </c>
      <c r="Y142" s="12">
        <f>SUMIFS(SalesByUTMDaily[google],SalesByUTMDaily[day],TableDailySummary[[#This Row],[Fecha]])</f>
        <v>0</v>
      </c>
      <c r="Z142" s="12">
        <f>_xlfn.XLOOKUP(TableDailySummary[[#This Row],[Fecha]],SummaryDaily[day],SummaryDaily[MetaAdsOperation.spend],0)</f>
        <v>48957</v>
      </c>
      <c r="AA142" s="12">
        <f>SUMIFS(SalesByUTMDaily[facebook],SalesByUTMDaily[day],TableDailySummary[[#This Row],[Fecha]])</f>
        <v>0</v>
      </c>
      <c r="AB142" s="12">
        <f>TableDailySummary[[#This Row],[Inversión google ads]]+TableDailySummary[[#This Row],[Inversión meta ads]]</f>
        <v>97720.72</v>
      </c>
      <c r="AC142" s="12">
        <f>TableDailySummary[[#This Row],[Ventas google ads]]+TableDailySummary[[#This Row],[Ventas meta ads]]</f>
        <v>0</v>
      </c>
      <c r="AD142" s="14">
        <f>IFERROR(TableDailySummary[[#This Row],[Ventas publicidad]]/TableDailySummary[[#This Row],[Inversión publicidad]],0)</f>
        <v>0</v>
      </c>
      <c r="AE142" s="14">
        <f>IFERROR(TableDailySummary[[#This Row],[Ventas primer cliente]]/TableDailySummary[[#This Row],[Inversión publicidad]],0)</f>
        <v>62.426058465389936</v>
      </c>
      <c r="AF142" s="14"/>
      <c r="AG142" s="12"/>
      <c r="AM142" s="12">
        <f>_xlfn.XLOOKUP(TableDailySummary[[#This Row],[Fecha]],SummaryDaily[day],SummaryDaily[net_sales_with_cost_recorded],0)</f>
        <v>7796420.2300000004</v>
      </c>
      <c r="AN142" s="12">
        <f>_xlfn.XLOOKUP(TableDailySummary[[#This Row],[Fecha]],SummaryDaily[day],SummaryDaily[cost_of_goods_sold],0)</f>
        <v>2276328</v>
      </c>
      <c r="AO142" s="12">
        <f>_xlfn.XLOOKUP(TableDailySummary[[#This Row],[Fecha]],SummaryDaily[day],SummaryDaily[gross_profit],0)</f>
        <v>5520092.2300000004</v>
      </c>
      <c r="AP142" s="18">
        <f>IFERROR(TableDailySummary[[#This Row],[Utilidad bruta]]/TableDailySummary[[#This Row],[Ventas netas con costo registrado]],0)</f>
        <v>0.70802907836587969</v>
      </c>
    </row>
    <row r="143" spans="2:42" x14ac:dyDescent="0.2">
      <c r="B143" s="15" cm="1">
        <f t="array" ref="B143">MIN(SummaryDaily[day]) + (ROW(TableDailySummary[#This Row]) - ROW(TableDailySummary[[#Headers],[Dia]]) - 1)</f>
        <v>45914</v>
      </c>
      <c r="C143" s="6">
        <f>TableDailySummary[[#This Row],[Dia]]</f>
        <v>45914</v>
      </c>
      <c r="D143" s="12">
        <f>_xlfn.XLOOKUP(TableDailySummary[[#This Row],[Fecha]],SummaryDaily[day],SummaryDaily[net_sales],0)</f>
        <v>8315546.2999999998</v>
      </c>
      <c r="E143" s="12">
        <f>_xlfn.XLOOKUP(TableDailySummary[[#This Row],[Fecha]],SummaryDaily[day],SummaryDaily[orders],0)</f>
        <v>78</v>
      </c>
      <c r="F143" s="12">
        <f>_xlfn.XLOOKUP(TableDailySummary[[#This Row],[Fecha]],SummaryDaily[day],SummaryDaily[average_order_value],0)</f>
        <v>106609.567</v>
      </c>
      <c r="G143" s="24">
        <f>_xlfn.XLOOKUP(TableDailySummary[[#This Row],[Fecha]],SummaryDaily[day],SummaryDaily[Total site_conversion_rate],0)</f>
        <v>7.832898172323759E-3</v>
      </c>
      <c r="H143" s="12">
        <f>TableDailySummary[[#This Row],[Órden promedio totales]]*TableDailySummary[[#This Row],[CR totales]]</f>
        <v>835.06188250652735</v>
      </c>
      <c r="I143" s="12">
        <f>_xlfn.XLOOKUP(TableDailySummary[[#This Row],[Fecha]],SummaryDaily[day],SummaryDaily[new_net_sales],0)</f>
        <v>7245798.4000000004</v>
      </c>
      <c r="J143" s="12">
        <f>_xlfn.XLOOKUP(TableDailySummary[[#This Row],[Fecha]],SummaryDaily[day],SummaryDaily[new_orders],0)</f>
        <v>62</v>
      </c>
      <c r="K143" s="12">
        <f>_xlfn.XLOOKUP(TableDailySummary[[#This Row],[Fecha]],SummaryDaily[day],SummaryDaily[new_average_order_value],0)</f>
        <v>116867.716</v>
      </c>
      <c r="L143" s="12">
        <f>_xlfn.XLOOKUP(TableDailySummary[[#This Row],[Fecha]],SummaryDaily[day],SummaryDaily[Online Store_net_sales],0)</f>
        <v>651260.51</v>
      </c>
      <c r="M143" s="12">
        <f>_xlfn.XLOOKUP(TableDailySummary[[#This Row],[Fecha]],SummaryDaily[day],SummaryDaily[Online Store_orders],0)</f>
        <v>4</v>
      </c>
      <c r="N143" s="12">
        <f>_xlfn.XLOOKUP(TableDailySummary[[#This Row],[Fecha]],SummaryDaily[day],SummaryDaily[Online Store_average_order_value],0)</f>
        <v>162815.12700000001</v>
      </c>
      <c r="O143" s="12">
        <f>_xlfn.XLOOKUP(TableDailySummary[[#This Row],[Fecha]],SummaryDaily[day],SummaryDaily[Tienda 81_net_sales],0)</f>
        <v>472689.08</v>
      </c>
      <c r="P143" s="12">
        <f>_xlfn.XLOOKUP(TableDailySummary[[#This Row],[Fecha]],SummaryDaily[day],SummaryDaily[Tienda 81_orders],0)</f>
        <v>6</v>
      </c>
      <c r="Q143" s="12">
        <f>_xlfn.XLOOKUP(TableDailySummary[[#This Row],[Fecha]],SummaryDaily[day],SummaryDaily[Tienda 81_average_order_value],0)</f>
        <v>78781.513000000006</v>
      </c>
      <c r="R143" s="12">
        <f>_xlfn.XLOOKUP(TableDailySummary[[#This Row],[Fecha]],SummaryDaily[day],SummaryDaily[Rappi_net_sales],0)</f>
        <v>46218.49</v>
      </c>
      <c r="S143" s="12">
        <f>_xlfn.XLOOKUP(TableDailySummary[[#This Row],[Fecha]],SummaryDaily[day],SummaryDaily[Rappi_orders],0)</f>
        <v>1</v>
      </c>
      <c r="T143" s="12">
        <f>_xlfn.XLOOKUP(TableDailySummary[[#This Row],[Fecha]],SummaryDaily[day],SummaryDaily[Rappi_average_order_value],0)</f>
        <v>46218.49</v>
      </c>
      <c r="U143" s="12">
        <f>_xlfn.XLOOKUP(TableDailySummary[[#This Row],[Fecha]],SummaryDaily[day],SummaryDaily[Corporativo no tienda_net_sales],0)</f>
        <v>0</v>
      </c>
      <c r="V143" s="12">
        <f>_xlfn.XLOOKUP(TableDailySummary[[#This Row],[Fecha]],SummaryDaily[day],SummaryDaily[Corporativo no tienda_orders],0)</f>
        <v>0</v>
      </c>
      <c r="W143" s="12">
        <f>_xlfn.XLOOKUP(TableDailySummary[[#This Row],[Fecha]],SummaryDaily[day],SummaryDaily[Corporativo no tienda_average_order_value],0)</f>
        <v>0</v>
      </c>
      <c r="X143" s="12">
        <f>_xlfn.XLOOKUP(TableDailySummary[[#This Row],[Fecha]],SummaryDaily[day],SummaryDaily[GoogleAdsOperation.Cost],0)</f>
        <v>60043.97</v>
      </c>
      <c r="Y143" s="12">
        <f>SUMIFS(SalesByUTMDaily[google],SalesByUTMDaily[day],TableDailySummary[[#This Row],[Fecha]])</f>
        <v>109000</v>
      </c>
      <c r="Z143" s="12">
        <f>_xlfn.XLOOKUP(TableDailySummary[[#This Row],[Fecha]],SummaryDaily[day],SummaryDaily[MetaAdsOperation.spend],0)</f>
        <v>55772</v>
      </c>
      <c r="AA143" s="12">
        <f>SUMIFS(SalesByUTMDaily[facebook],SalesByUTMDaily[day],TableDailySummary[[#This Row],[Fecha]])</f>
        <v>0</v>
      </c>
      <c r="AB143" s="12">
        <f>TableDailySummary[[#This Row],[Inversión google ads]]+TableDailySummary[[#This Row],[Inversión meta ads]]</f>
        <v>115815.97</v>
      </c>
      <c r="AC143" s="12">
        <f>TableDailySummary[[#This Row],[Ventas google ads]]+TableDailySummary[[#This Row],[Ventas meta ads]]</f>
        <v>109000</v>
      </c>
      <c r="AD143" s="14">
        <f>IFERROR(TableDailySummary[[#This Row],[Ventas publicidad]]/TableDailySummary[[#This Row],[Inversión publicidad]],0)</f>
        <v>0.94114827169344606</v>
      </c>
      <c r="AE143" s="14">
        <f>IFERROR(TableDailySummary[[#This Row],[Ventas primer cliente]]/TableDailySummary[[#This Row],[Inversión publicidad]],0)</f>
        <v>62.563033405496668</v>
      </c>
      <c r="AF143" s="14"/>
      <c r="AG143" s="12"/>
      <c r="AM143" s="12">
        <f>_xlfn.XLOOKUP(TableDailySummary[[#This Row],[Fecha]],SummaryDaily[day],SummaryDaily[net_sales_with_cost_recorded],0)</f>
        <v>8300420.2400000002</v>
      </c>
      <c r="AN143" s="12">
        <f>_xlfn.XLOOKUP(TableDailySummary[[#This Row],[Fecha]],SummaryDaily[day],SummaryDaily[cost_of_goods_sold],0)</f>
        <v>1995286</v>
      </c>
      <c r="AO143" s="12">
        <f>_xlfn.XLOOKUP(TableDailySummary[[#This Row],[Fecha]],SummaryDaily[day],SummaryDaily[gross_profit],0)</f>
        <v>6305134.2400000002</v>
      </c>
      <c r="AP143" s="18">
        <f>IFERROR(TableDailySummary[[#This Row],[Utilidad bruta]]/TableDailySummary[[#This Row],[Ventas netas con costo registrado]],0)</f>
        <v>0.75961626733250798</v>
      </c>
    </row>
    <row r="144" spans="2:42" x14ac:dyDescent="0.2">
      <c r="B144" s="15" cm="1">
        <f t="array" ref="B144">MIN(SummaryDaily[day]) + (ROW(TableDailySummary[#This Row]) - ROW(TableDailySummary[[#Headers],[Dia]]) - 1)</f>
        <v>45915</v>
      </c>
      <c r="C144" s="6">
        <f>TableDailySummary[[#This Row],[Dia]]</f>
        <v>45915</v>
      </c>
      <c r="D144" s="12">
        <f>_xlfn.XLOOKUP(TableDailySummary[[#This Row],[Fecha]],SummaryDaily[day],SummaryDaily[net_sales],0)</f>
        <v>1368193.27</v>
      </c>
      <c r="E144" s="12">
        <f>_xlfn.XLOOKUP(TableDailySummary[[#This Row],[Fecha]],SummaryDaily[day],SummaryDaily[orders],0)</f>
        <v>12</v>
      </c>
      <c r="F144" s="12">
        <f>_xlfn.XLOOKUP(TableDailySummary[[#This Row],[Fecha]],SummaryDaily[day],SummaryDaily[average_order_value],0)</f>
        <v>114145.658</v>
      </c>
      <c r="G144" s="24">
        <f>_xlfn.XLOOKUP(TableDailySummary[[#This Row],[Fecha]],SummaryDaily[day],SummaryDaily[Total site_conversion_rate],0)</f>
        <v>2.8985507246376812E-3</v>
      </c>
      <c r="H144" s="12">
        <f>TableDailySummary[[#This Row],[Órden promedio totales]]*TableDailySummary[[#This Row],[CR totales]]</f>
        <v>330.85697971014491</v>
      </c>
      <c r="I144" s="12">
        <f>_xlfn.XLOOKUP(TableDailySummary[[#This Row],[Fecha]],SummaryDaily[day],SummaryDaily[new_net_sales],0)</f>
        <v>942983.19</v>
      </c>
      <c r="J144" s="12">
        <f>_xlfn.XLOOKUP(TableDailySummary[[#This Row],[Fecha]],SummaryDaily[day],SummaryDaily[new_orders],0)</f>
        <v>9</v>
      </c>
      <c r="K144" s="12">
        <f>_xlfn.XLOOKUP(TableDailySummary[[#This Row],[Fecha]],SummaryDaily[day],SummaryDaily[new_average_order_value],0)</f>
        <v>104108.31</v>
      </c>
      <c r="L144" s="12">
        <f>_xlfn.XLOOKUP(TableDailySummary[[#This Row],[Fecha]],SummaryDaily[day],SummaryDaily[Online Store_net_sales],0)</f>
        <v>248865.54</v>
      </c>
      <c r="M144" s="12">
        <f>_xlfn.XLOOKUP(TableDailySummary[[#This Row],[Fecha]],SummaryDaily[day],SummaryDaily[Online Store_orders],0)</f>
        <v>3</v>
      </c>
      <c r="N144" s="12">
        <f>_xlfn.XLOOKUP(TableDailySummary[[#This Row],[Fecha]],SummaryDaily[day],SummaryDaily[Online Store_average_order_value],0)</f>
        <v>78431.37</v>
      </c>
      <c r="O144" s="12">
        <f>_xlfn.XLOOKUP(TableDailySummary[[#This Row],[Fecha]],SummaryDaily[day],SummaryDaily[Tienda 81_net_sales],0)</f>
        <v>1008403.37</v>
      </c>
      <c r="P144" s="12">
        <f>_xlfn.XLOOKUP(TableDailySummary[[#This Row],[Fecha]],SummaryDaily[day],SummaryDaily[Tienda 81_orders],0)</f>
        <v>7</v>
      </c>
      <c r="Q144" s="12">
        <f>_xlfn.XLOOKUP(TableDailySummary[[#This Row],[Fecha]],SummaryDaily[day],SummaryDaily[Tienda 81_average_order_value],0)</f>
        <v>144057.62400000001</v>
      </c>
      <c r="R144" s="12">
        <f>_xlfn.XLOOKUP(TableDailySummary[[#This Row],[Fecha]],SummaryDaily[day],SummaryDaily[Rappi_net_sales],0)</f>
        <v>46218.49</v>
      </c>
      <c r="S144" s="12">
        <f>_xlfn.XLOOKUP(TableDailySummary[[#This Row],[Fecha]],SummaryDaily[day],SummaryDaily[Rappi_orders],0)</f>
        <v>1</v>
      </c>
      <c r="T144" s="12">
        <f>_xlfn.XLOOKUP(TableDailySummary[[#This Row],[Fecha]],SummaryDaily[day],SummaryDaily[Rappi_average_order_value],0)</f>
        <v>46218.49</v>
      </c>
      <c r="U144" s="12">
        <f>_xlfn.XLOOKUP(TableDailySummary[[#This Row],[Fecha]],SummaryDaily[day],SummaryDaily[Corporativo no tienda_net_sales],0)</f>
        <v>0</v>
      </c>
      <c r="V144" s="12">
        <f>_xlfn.XLOOKUP(TableDailySummary[[#This Row],[Fecha]],SummaryDaily[day],SummaryDaily[Corporativo no tienda_orders],0)</f>
        <v>0</v>
      </c>
      <c r="W144" s="12">
        <f>_xlfn.XLOOKUP(TableDailySummary[[#This Row],[Fecha]],SummaryDaily[day],SummaryDaily[Corporativo no tienda_average_order_value],0)</f>
        <v>0</v>
      </c>
      <c r="X144" s="12">
        <f>_xlfn.XLOOKUP(TableDailySummary[[#This Row],[Fecha]],SummaryDaily[day],SummaryDaily[GoogleAdsOperation.Cost],0)</f>
        <v>52936.09</v>
      </c>
      <c r="Y144" s="12">
        <f>SUMIFS(SalesByUTMDaily[google],SalesByUTMDaily[day],TableDailySummary[[#This Row],[Fecha]])</f>
        <v>0</v>
      </c>
      <c r="Z144" s="12">
        <f>_xlfn.XLOOKUP(TableDailySummary[[#This Row],[Fecha]],SummaryDaily[day],SummaryDaily[MetaAdsOperation.spend],0)</f>
        <v>49358</v>
      </c>
      <c r="AA144" s="12">
        <f>SUMIFS(SalesByUTMDaily[facebook],SalesByUTMDaily[day],TableDailySummary[[#This Row],[Fecha]])</f>
        <v>0</v>
      </c>
      <c r="AB144" s="12">
        <f>TableDailySummary[[#This Row],[Inversión google ads]]+TableDailySummary[[#This Row],[Inversión meta ads]]</f>
        <v>102294.09</v>
      </c>
      <c r="AC144" s="12">
        <f>TableDailySummary[[#This Row],[Ventas google ads]]+TableDailySummary[[#This Row],[Ventas meta ads]]</f>
        <v>0</v>
      </c>
      <c r="AD144" s="14">
        <f>IFERROR(TableDailySummary[[#This Row],[Ventas publicidad]]/TableDailySummary[[#This Row],[Inversión publicidad]],0)</f>
        <v>0</v>
      </c>
      <c r="AE144" s="14">
        <f>IFERROR(TableDailySummary[[#This Row],[Ventas primer cliente]]/TableDailySummary[[#This Row],[Inversión publicidad]],0)</f>
        <v>9.2183545501015747</v>
      </c>
      <c r="AF144" s="14"/>
      <c r="AG144" s="12"/>
      <c r="AM144" s="12">
        <f>_xlfn.XLOOKUP(TableDailySummary[[#This Row],[Fecha]],SummaryDaily[day],SummaryDaily[net_sales_with_cost_recorded],0)</f>
        <v>1214285.72</v>
      </c>
      <c r="AN144" s="12">
        <f>_xlfn.XLOOKUP(TableDailySummary[[#This Row],[Fecha]],SummaryDaily[day],SummaryDaily[cost_of_goods_sold],0)</f>
        <v>362489</v>
      </c>
      <c r="AO144" s="12">
        <f>_xlfn.XLOOKUP(TableDailySummary[[#This Row],[Fecha]],SummaryDaily[day],SummaryDaily[gross_profit],0)</f>
        <v>851796.72</v>
      </c>
      <c r="AP144" s="18">
        <f>IFERROR(TableDailySummary[[#This Row],[Utilidad bruta]]/TableDailySummary[[#This Row],[Ventas netas con costo registrado]],0)</f>
        <v>0.7014796484636252</v>
      </c>
    </row>
    <row r="145" spans="2:42" x14ac:dyDescent="0.2">
      <c r="B145" s="15" cm="1">
        <f t="array" ref="B145">MIN(SummaryDaily[day]) + (ROW(TableDailySummary[#This Row]) - ROW(TableDailySummary[[#Headers],[Dia]]) - 1)</f>
        <v>45916</v>
      </c>
      <c r="C145" s="6">
        <f>TableDailySummary[[#This Row],[Dia]]</f>
        <v>45916</v>
      </c>
      <c r="D145" s="12">
        <f>_xlfn.XLOOKUP(TableDailySummary[[#This Row],[Fecha]],SummaryDaily[day],SummaryDaily[net_sales],0)</f>
        <v>2736815.14</v>
      </c>
      <c r="E145" s="12">
        <f>_xlfn.XLOOKUP(TableDailySummary[[#This Row],[Fecha]],SummaryDaily[day],SummaryDaily[orders],0)</f>
        <v>24</v>
      </c>
      <c r="F145" s="12">
        <f>_xlfn.XLOOKUP(TableDailySummary[[#This Row],[Fecha]],SummaryDaily[day],SummaryDaily[average_order_value],0)</f>
        <v>114033.96400000001</v>
      </c>
      <c r="G145" s="24">
        <f>_xlfn.XLOOKUP(TableDailySummary[[#This Row],[Fecha]],SummaryDaily[day],SummaryDaily[Total site_conversion_rate],0)</f>
        <v>1.4571948998178506E-2</v>
      </c>
      <c r="H145" s="12">
        <f>TableDailySummary[[#This Row],[Órden promedio totales]]*TableDailySummary[[#This Row],[CR totales]]</f>
        <v>1661.6971074681239</v>
      </c>
      <c r="I145" s="12">
        <f>_xlfn.XLOOKUP(TableDailySummary[[#This Row],[Fecha]],SummaryDaily[day],SummaryDaily[new_net_sales],0)</f>
        <v>1722949.57</v>
      </c>
      <c r="J145" s="12">
        <f>_xlfn.XLOOKUP(TableDailySummary[[#This Row],[Fecha]],SummaryDaily[day],SummaryDaily[new_orders],0)</f>
        <v>16</v>
      </c>
      <c r="K145" s="12">
        <f>_xlfn.XLOOKUP(TableDailySummary[[#This Row],[Fecha]],SummaryDaily[day],SummaryDaily[new_average_order_value],0)</f>
        <v>107684.348</v>
      </c>
      <c r="L145" s="12">
        <f>_xlfn.XLOOKUP(TableDailySummary[[#This Row],[Fecha]],SummaryDaily[day],SummaryDaily[Online Store_net_sales],0)</f>
        <v>1121848.74</v>
      </c>
      <c r="M145" s="12">
        <f>_xlfn.XLOOKUP(TableDailySummary[[#This Row],[Fecha]],SummaryDaily[day],SummaryDaily[Online Store_orders],0)</f>
        <v>8</v>
      </c>
      <c r="N145" s="12">
        <f>_xlfn.XLOOKUP(TableDailySummary[[#This Row],[Fecha]],SummaryDaily[day],SummaryDaily[Online Store_average_order_value],0)</f>
        <v>140231.092</v>
      </c>
      <c r="O145" s="12">
        <f>_xlfn.XLOOKUP(TableDailySummary[[#This Row],[Fecha]],SummaryDaily[day],SummaryDaily[Tienda 81_net_sales],0)</f>
        <v>1614966.4</v>
      </c>
      <c r="P145" s="12">
        <f>_xlfn.XLOOKUP(TableDailySummary[[#This Row],[Fecha]],SummaryDaily[day],SummaryDaily[Tienda 81_orders],0)</f>
        <v>16</v>
      </c>
      <c r="Q145" s="12">
        <f>_xlfn.XLOOKUP(TableDailySummary[[#This Row],[Fecha]],SummaryDaily[day],SummaryDaily[Tienda 81_average_order_value],0)</f>
        <v>100935.4</v>
      </c>
      <c r="R145" s="12">
        <f>_xlfn.XLOOKUP(TableDailySummary[[#This Row],[Fecha]],SummaryDaily[day],SummaryDaily[Rappi_net_sales],0)</f>
        <v>0</v>
      </c>
      <c r="S145" s="12">
        <f>_xlfn.XLOOKUP(TableDailySummary[[#This Row],[Fecha]],SummaryDaily[day],SummaryDaily[Rappi_orders],0)</f>
        <v>0</v>
      </c>
      <c r="T145" s="12">
        <f>_xlfn.XLOOKUP(TableDailySummary[[#This Row],[Fecha]],SummaryDaily[day],SummaryDaily[Rappi_average_order_value],0)</f>
        <v>0</v>
      </c>
      <c r="U145" s="12">
        <f>_xlfn.XLOOKUP(TableDailySummary[[#This Row],[Fecha]],SummaryDaily[day],SummaryDaily[Corporativo no tienda_net_sales],0)</f>
        <v>0</v>
      </c>
      <c r="V145" s="12">
        <f>_xlfn.XLOOKUP(TableDailySummary[[#This Row],[Fecha]],SummaryDaily[day],SummaryDaily[Corporativo no tienda_orders],0)</f>
        <v>0</v>
      </c>
      <c r="W145" s="12">
        <f>_xlfn.XLOOKUP(TableDailySummary[[#This Row],[Fecha]],SummaryDaily[day],SummaryDaily[Corporativo no tienda_average_order_value],0)</f>
        <v>0</v>
      </c>
      <c r="X145" s="12">
        <f>_xlfn.XLOOKUP(TableDailySummary[[#This Row],[Fecha]],SummaryDaily[day],SummaryDaily[GoogleAdsOperation.Cost],0)</f>
        <v>49591.55</v>
      </c>
      <c r="Y145" s="12">
        <f>SUMIFS(SalesByUTMDaily[google],SalesByUTMDaily[day],TableDailySummary[[#This Row],[Fecha]])</f>
        <v>263000</v>
      </c>
      <c r="Z145" s="12">
        <f>_xlfn.XLOOKUP(TableDailySummary[[#This Row],[Fecha]],SummaryDaily[day],SummaryDaily[MetaAdsOperation.spend],0)</f>
        <v>52334</v>
      </c>
      <c r="AA145" s="12">
        <f>SUMIFS(SalesByUTMDaily[facebook],SalesByUTMDaily[day],TableDailySummary[[#This Row],[Fecha]])</f>
        <v>0</v>
      </c>
      <c r="AB145" s="12">
        <f>TableDailySummary[[#This Row],[Inversión google ads]]+TableDailySummary[[#This Row],[Inversión meta ads]]</f>
        <v>101925.55</v>
      </c>
      <c r="AC145" s="12">
        <f>TableDailySummary[[#This Row],[Ventas google ads]]+TableDailySummary[[#This Row],[Ventas meta ads]]</f>
        <v>263000</v>
      </c>
      <c r="AD145" s="14">
        <f>IFERROR(TableDailySummary[[#This Row],[Ventas publicidad]]/TableDailySummary[[#This Row],[Inversión publicidad]],0)</f>
        <v>2.5803147493440064</v>
      </c>
      <c r="AE145" s="14">
        <f>IFERROR(TableDailySummary[[#This Row],[Ventas primer cliente]]/TableDailySummary[[#This Row],[Inversión publicidad]],0)</f>
        <v>16.90400071424682</v>
      </c>
      <c r="AF145" s="14"/>
      <c r="AG145" s="12"/>
      <c r="AM145" s="12">
        <f>_xlfn.XLOOKUP(TableDailySummary[[#This Row],[Fecha]],SummaryDaily[day],SummaryDaily[net_sales_with_cost_recorded],0)</f>
        <v>2732193.29</v>
      </c>
      <c r="AN145" s="12">
        <f>_xlfn.XLOOKUP(TableDailySummary[[#This Row],[Fecha]],SummaryDaily[day],SummaryDaily[cost_of_goods_sold],0)</f>
        <v>831684</v>
      </c>
      <c r="AO145" s="12">
        <f>_xlfn.XLOOKUP(TableDailySummary[[#This Row],[Fecha]],SummaryDaily[day],SummaryDaily[gross_profit],0)</f>
        <v>1900509.29</v>
      </c>
      <c r="AP145" s="18">
        <f>IFERROR(TableDailySummary[[#This Row],[Utilidad bruta]]/TableDailySummary[[#This Row],[Ventas netas con costo registrado]],0)</f>
        <v>0.6955984032886634</v>
      </c>
    </row>
    <row r="146" spans="2:42" x14ac:dyDescent="0.2">
      <c r="B146" s="15" cm="1">
        <f t="array" ref="B146">MIN(SummaryDaily[day]) + (ROW(TableDailySummary[#This Row]) - ROW(TableDailySummary[[#Headers],[Dia]]) - 1)</f>
        <v>45917</v>
      </c>
      <c r="C146" s="6">
        <f>TableDailySummary[[#This Row],[Dia]]</f>
        <v>45917</v>
      </c>
      <c r="D146" s="12">
        <f>_xlfn.XLOOKUP(TableDailySummary[[#This Row],[Fecha]],SummaryDaily[day],SummaryDaily[net_sales],0)</f>
        <v>1035294.12</v>
      </c>
      <c r="E146" s="12">
        <f>_xlfn.XLOOKUP(TableDailySummary[[#This Row],[Fecha]],SummaryDaily[day],SummaryDaily[orders],0)</f>
        <v>7</v>
      </c>
      <c r="F146" s="12">
        <f>_xlfn.XLOOKUP(TableDailySummary[[#This Row],[Fecha]],SummaryDaily[day],SummaryDaily[average_order_value],0)</f>
        <v>103481.39200000001</v>
      </c>
      <c r="G146" s="24">
        <f>_xlfn.XLOOKUP(TableDailySummary[[#This Row],[Fecha]],SummaryDaily[day],SummaryDaily[Total site_conversion_rate],0)</f>
        <v>4.2194092827004216E-3</v>
      </c>
      <c r="H146" s="12">
        <f>TableDailySummary[[#This Row],[Órden promedio totales]]*TableDailySummary[[#This Row],[CR totales]]</f>
        <v>436.63034599156117</v>
      </c>
      <c r="I146" s="12">
        <f>_xlfn.XLOOKUP(TableDailySummary[[#This Row],[Fecha]],SummaryDaily[day],SummaryDaily[new_net_sales],0)</f>
        <v>885714.29</v>
      </c>
      <c r="J146" s="12">
        <f>_xlfn.XLOOKUP(TableDailySummary[[#This Row],[Fecha]],SummaryDaily[day],SummaryDaily[new_orders],0)</f>
        <v>5</v>
      </c>
      <c r="K146" s="12">
        <f>_xlfn.XLOOKUP(TableDailySummary[[#This Row],[Fecha]],SummaryDaily[day],SummaryDaily[new_average_order_value],0)</f>
        <v>114957.984</v>
      </c>
      <c r="L146" s="12">
        <f>_xlfn.XLOOKUP(TableDailySummary[[#This Row],[Fecha]],SummaryDaily[day],SummaryDaily[Online Store_net_sales],0)</f>
        <v>109243.7</v>
      </c>
      <c r="M146" s="12">
        <f>_xlfn.XLOOKUP(TableDailySummary[[#This Row],[Fecha]],SummaryDaily[day],SummaryDaily[Online Store_orders],0)</f>
        <v>1</v>
      </c>
      <c r="N146" s="12">
        <f>_xlfn.XLOOKUP(TableDailySummary[[#This Row],[Fecha]],SummaryDaily[day],SummaryDaily[Online Store_average_order_value],0)</f>
        <v>109243.7</v>
      </c>
      <c r="O146" s="12">
        <f>_xlfn.XLOOKUP(TableDailySummary[[#This Row],[Fecha]],SummaryDaily[day],SummaryDaily[Tienda 81_net_sales],0)</f>
        <v>833613.45</v>
      </c>
      <c r="P146" s="12">
        <f>_xlfn.XLOOKUP(TableDailySummary[[#This Row],[Fecha]],SummaryDaily[day],SummaryDaily[Tienda 81_orders],0)</f>
        <v>5</v>
      </c>
      <c r="Q146" s="12">
        <f>_xlfn.XLOOKUP(TableDailySummary[[#This Row],[Fecha]],SummaryDaily[day],SummaryDaily[Tienda 81_average_order_value],0)</f>
        <v>104537.81600000001</v>
      </c>
      <c r="R146" s="12">
        <f>_xlfn.XLOOKUP(TableDailySummary[[#This Row],[Fecha]],SummaryDaily[day],SummaryDaily[Rappi_net_sales],0)</f>
        <v>92436.97</v>
      </c>
      <c r="S146" s="12">
        <f>_xlfn.XLOOKUP(TableDailySummary[[#This Row],[Fecha]],SummaryDaily[day],SummaryDaily[Rappi_orders],0)</f>
        <v>1</v>
      </c>
      <c r="T146" s="12">
        <f>_xlfn.XLOOKUP(TableDailySummary[[#This Row],[Fecha]],SummaryDaily[day],SummaryDaily[Rappi_average_order_value],0)</f>
        <v>92436.97</v>
      </c>
      <c r="U146" s="12">
        <f>_xlfn.XLOOKUP(TableDailySummary[[#This Row],[Fecha]],SummaryDaily[day],SummaryDaily[Corporativo no tienda_net_sales],0)</f>
        <v>0</v>
      </c>
      <c r="V146" s="12">
        <f>_xlfn.XLOOKUP(TableDailySummary[[#This Row],[Fecha]],SummaryDaily[day],SummaryDaily[Corporativo no tienda_orders],0)</f>
        <v>0</v>
      </c>
      <c r="W146" s="12">
        <f>_xlfn.XLOOKUP(TableDailySummary[[#This Row],[Fecha]],SummaryDaily[day],SummaryDaily[Corporativo no tienda_average_order_value],0)</f>
        <v>0</v>
      </c>
      <c r="X146" s="12">
        <f>_xlfn.XLOOKUP(TableDailySummary[[#This Row],[Fecha]],SummaryDaily[day],SummaryDaily[GoogleAdsOperation.Cost],0)</f>
        <v>40083.760000000002</v>
      </c>
      <c r="Y146" s="12">
        <f>SUMIFS(SalesByUTMDaily[google],SalesByUTMDaily[day],TableDailySummary[[#This Row],[Fecha]])</f>
        <v>0</v>
      </c>
      <c r="Z146" s="12">
        <f>_xlfn.XLOOKUP(TableDailySummary[[#This Row],[Fecha]],SummaryDaily[day],SummaryDaily[MetaAdsOperation.spend],0)</f>
        <v>47777</v>
      </c>
      <c r="AA146" s="12">
        <f>SUMIFS(SalesByUTMDaily[facebook],SalesByUTMDaily[day],TableDailySummary[[#This Row],[Fecha]])</f>
        <v>0</v>
      </c>
      <c r="AB146" s="12">
        <f>TableDailySummary[[#This Row],[Inversión google ads]]+TableDailySummary[[#This Row],[Inversión meta ads]]</f>
        <v>87860.760000000009</v>
      </c>
      <c r="AC146" s="12">
        <f>TableDailySummary[[#This Row],[Ventas google ads]]+TableDailySummary[[#This Row],[Ventas meta ads]]</f>
        <v>0</v>
      </c>
      <c r="AD146" s="14">
        <f>IFERROR(TableDailySummary[[#This Row],[Ventas publicidad]]/TableDailySummary[[#This Row],[Inversión publicidad]],0)</f>
        <v>0</v>
      </c>
      <c r="AE146" s="14">
        <f>IFERROR(TableDailySummary[[#This Row],[Ventas primer cliente]]/TableDailySummary[[#This Row],[Inversión publicidad]],0)</f>
        <v>10.080885824342971</v>
      </c>
      <c r="AF146" s="14"/>
      <c r="AG146" s="12"/>
      <c r="AM146" s="12">
        <f>_xlfn.XLOOKUP(TableDailySummary[[#This Row],[Fecha]],SummaryDaily[day],SummaryDaily[net_sales_with_cost_recorded],0)</f>
        <v>1035294.12</v>
      </c>
      <c r="AN146" s="12">
        <f>_xlfn.XLOOKUP(TableDailySummary[[#This Row],[Fecha]],SummaryDaily[day],SummaryDaily[cost_of_goods_sold],0)</f>
        <v>319680</v>
      </c>
      <c r="AO146" s="12">
        <f>_xlfn.XLOOKUP(TableDailySummary[[#This Row],[Fecha]],SummaryDaily[day],SummaryDaily[gross_profit],0)</f>
        <v>715614.12</v>
      </c>
      <c r="AP146" s="18">
        <f>IFERROR(TableDailySummary[[#This Row],[Utilidad bruta]]/TableDailySummary[[#This Row],[Ventas netas con costo registrado]],0)</f>
        <v>0.6912181825199587</v>
      </c>
    </row>
    <row r="147" spans="2:42" x14ac:dyDescent="0.2">
      <c r="B147" s="15" cm="1">
        <f t="array" ref="B147">MIN(SummaryDaily[day]) + (ROW(TableDailySummary[#This Row]) - ROW(TableDailySummary[[#Headers],[Dia]]) - 1)</f>
        <v>45918</v>
      </c>
      <c r="C147" s="6">
        <f>TableDailySummary[[#This Row],[Dia]]</f>
        <v>45918</v>
      </c>
      <c r="D147" s="12">
        <f>_xlfn.XLOOKUP(TableDailySummary[[#This Row],[Fecha]],SummaryDaily[day],SummaryDaily[net_sales],0)</f>
        <v>3134462.18</v>
      </c>
      <c r="E147" s="12">
        <f>_xlfn.XLOOKUP(TableDailySummary[[#This Row],[Fecha]],SummaryDaily[day],SummaryDaily[orders],0)</f>
        <v>20</v>
      </c>
      <c r="F147" s="12">
        <f>_xlfn.XLOOKUP(TableDailySummary[[#This Row],[Fecha]],SummaryDaily[day],SummaryDaily[average_order_value],0)</f>
        <v>152521.42800000001</v>
      </c>
      <c r="G147" s="24">
        <f>_xlfn.XLOOKUP(TableDailySummary[[#This Row],[Fecha]],SummaryDaily[day],SummaryDaily[Total site_conversion_rate],0)</f>
        <v>7.1942446043165471E-3</v>
      </c>
      <c r="H147" s="12">
        <f>TableDailySummary[[#This Row],[Órden promedio totales]]*TableDailySummary[[#This Row],[CR totales]]</f>
        <v>1097.2764604316549</v>
      </c>
      <c r="I147" s="12">
        <f>_xlfn.XLOOKUP(TableDailySummary[[#This Row],[Fecha]],SummaryDaily[day],SummaryDaily[new_net_sales],0)</f>
        <v>1079840.33</v>
      </c>
      <c r="J147" s="12">
        <f>_xlfn.XLOOKUP(TableDailySummary[[#This Row],[Fecha]],SummaryDaily[day],SummaryDaily[new_orders],0)</f>
        <v>7</v>
      </c>
      <c r="K147" s="12">
        <f>_xlfn.XLOOKUP(TableDailySummary[[#This Row],[Fecha]],SummaryDaily[day],SummaryDaily[new_average_order_value],0)</f>
        <v>142258.10200000001</v>
      </c>
      <c r="L147" s="12">
        <f>_xlfn.XLOOKUP(TableDailySummary[[#This Row],[Fecha]],SummaryDaily[day],SummaryDaily[Online Store_net_sales],0)</f>
        <v>256302.52</v>
      </c>
      <c r="M147" s="12">
        <f>_xlfn.XLOOKUP(TableDailySummary[[#This Row],[Fecha]],SummaryDaily[day],SummaryDaily[Online Store_orders],0)</f>
        <v>3</v>
      </c>
      <c r="N147" s="12">
        <f>_xlfn.XLOOKUP(TableDailySummary[[#This Row],[Fecha]],SummaryDaily[day],SummaryDaily[Online Store_average_order_value],0)</f>
        <v>85434.172999999995</v>
      </c>
      <c r="O147" s="12">
        <f>_xlfn.XLOOKUP(TableDailySummary[[#This Row],[Fecha]],SummaryDaily[day],SummaryDaily[Tienda 81_net_sales],0)</f>
        <v>2529420.16</v>
      </c>
      <c r="P147" s="12">
        <f>_xlfn.XLOOKUP(TableDailySummary[[#This Row],[Fecha]],SummaryDaily[day],SummaryDaily[Tienda 81_orders],0)</f>
        <v>15</v>
      </c>
      <c r="Q147" s="12">
        <f>_xlfn.XLOOKUP(TableDailySummary[[#This Row],[Fecha]],SummaryDaily[day],SummaryDaily[Tienda 81_average_order_value],0)</f>
        <v>163025.76999999999</v>
      </c>
      <c r="R147" s="12">
        <f>_xlfn.XLOOKUP(TableDailySummary[[#This Row],[Fecha]],SummaryDaily[day],SummaryDaily[Rappi_net_sales],0)</f>
        <v>54621.85</v>
      </c>
      <c r="S147" s="12">
        <f>_xlfn.XLOOKUP(TableDailySummary[[#This Row],[Fecha]],SummaryDaily[day],SummaryDaily[Rappi_orders],0)</f>
        <v>1</v>
      </c>
      <c r="T147" s="12">
        <f>_xlfn.XLOOKUP(TableDailySummary[[#This Row],[Fecha]],SummaryDaily[day],SummaryDaily[Rappi_average_order_value],0)</f>
        <v>54621.85</v>
      </c>
      <c r="U147" s="12">
        <f>_xlfn.XLOOKUP(TableDailySummary[[#This Row],[Fecha]],SummaryDaily[day],SummaryDaily[Corporativo no tienda_net_sales],0)</f>
        <v>0</v>
      </c>
      <c r="V147" s="12">
        <f>_xlfn.XLOOKUP(TableDailySummary[[#This Row],[Fecha]],SummaryDaily[day],SummaryDaily[Corporativo no tienda_orders],0)</f>
        <v>0</v>
      </c>
      <c r="W147" s="12">
        <f>_xlfn.XLOOKUP(TableDailySummary[[#This Row],[Fecha]],SummaryDaily[day],SummaryDaily[Corporativo no tienda_average_order_value],0)</f>
        <v>0</v>
      </c>
      <c r="X147" s="12">
        <f>_xlfn.XLOOKUP(TableDailySummary[[#This Row],[Fecha]],SummaryDaily[day],SummaryDaily[GoogleAdsOperation.Cost],0)</f>
        <v>59410.720000000001</v>
      </c>
      <c r="Y147" s="12">
        <f>SUMIFS(SalesByUTMDaily[google],SalesByUTMDaily[day],TableDailySummary[[#This Row],[Fecha]])</f>
        <v>0</v>
      </c>
      <c r="Z147" s="12">
        <f>_xlfn.XLOOKUP(TableDailySummary[[#This Row],[Fecha]],SummaryDaily[day],SummaryDaily[MetaAdsOperation.spend],0)</f>
        <v>42012</v>
      </c>
      <c r="AA147" s="12">
        <f>SUMIFS(SalesByUTMDaily[facebook],SalesByUTMDaily[day],TableDailySummary[[#This Row],[Fecha]])</f>
        <v>0</v>
      </c>
      <c r="AB147" s="12">
        <f>TableDailySummary[[#This Row],[Inversión google ads]]+TableDailySummary[[#This Row],[Inversión meta ads]]</f>
        <v>101422.72</v>
      </c>
      <c r="AC147" s="12">
        <f>TableDailySummary[[#This Row],[Ventas google ads]]+TableDailySummary[[#This Row],[Ventas meta ads]]</f>
        <v>0</v>
      </c>
      <c r="AD147" s="14">
        <f>IFERROR(TableDailySummary[[#This Row],[Ventas publicidad]]/TableDailySummary[[#This Row],[Inversión publicidad]],0)</f>
        <v>0</v>
      </c>
      <c r="AE147" s="14">
        <f>IFERROR(TableDailySummary[[#This Row],[Ventas primer cliente]]/TableDailySummary[[#This Row],[Inversión publicidad]],0)</f>
        <v>10.646927335413604</v>
      </c>
      <c r="AF147" s="14"/>
      <c r="AG147" s="12"/>
      <c r="AM147" s="12">
        <f>_xlfn.XLOOKUP(TableDailySummary[[#This Row],[Fecha]],SummaryDaily[day],SummaryDaily[net_sales_with_cost_recorded],0)</f>
        <v>2857151.26</v>
      </c>
      <c r="AN147" s="12">
        <f>_xlfn.XLOOKUP(TableDailySummary[[#This Row],[Fecha]],SummaryDaily[day],SummaryDaily[cost_of_goods_sold],0)</f>
        <v>876654</v>
      </c>
      <c r="AO147" s="12">
        <f>_xlfn.XLOOKUP(TableDailySummary[[#This Row],[Fecha]],SummaryDaily[day],SummaryDaily[gross_profit],0)</f>
        <v>1980497.26</v>
      </c>
      <c r="AP147" s="18">
        <f>IFERROR(TableDailySummary[[#This Row],[Utilidad bruta]]/TableDailySummary[[#This Row],[Ventas netas con costo registrado]],0)</f>
        <v>0.69317200238114107</v>
      </c>
    </row>
    <row r="148" spans="2:42" x14ac:dyDescent="0.2">
      <c r="B148" s="15" cm="1">
        <f t="array" ref="B148">MIN(SummaryDaily[day]) + (ROW(TableDailySummary[#This Row]) - ROW(TableDailySummary[[#Headers],[Dia]]) - 1)</f>
        <v>45919</v>
      </c>
      <c r="C148" s="6">
        <f>TableDailySummary[[#This Row],[Dia]]</f>
        <v>45919</v>
      </c>
      <c r="D148" s="12">
        <f>_xlfn.XLOOKUP(TableDailySummary[[#This Row],[Fecha]],SummaryDaily[day],SummaryDaily[net_sales],0)</f>
        <v>4389075.63</v>
      </c>
      <c r="E148" s="12">
        <f>_xlfn.XLOOKUP(TableDailySummary[[#This Row],[Fecha]],SummaryDaily[day],SummaryDaily[orders],0)</f>
        <v>27</v>
      </c>
      <c r="F148" s="12">
        <f>_xlfn.XLOOKUP(TableDailySummary[[#This Row],[Fecha]],SummaryDaily[day],SummaryDaily[average_order_value],0)</f>
        <v>162558.356</v>
      </c>
      <c r="G148" s="24">
        <f>_xlfn.XLOOKUP(TableDailySummary[[#This Row],[Fecha]],SummaryDaily[day],SummaryDaily[Total site_conversion_rate],0)</f>
        <v>1.8140589569160998E-2</v>
      </c>
      <c r="H148" s="12">
        <f>TableDailySummary[[#This Row],[Órden promedio totales]]*TableDailySummary[[#This Row],[CR totales]]</f>
        <v>2948.9044172335603</v>
      </c>
      <c r="I148" s="12">
        <f>_xlfn.XLOOKUP(TableDailySummary[[#This Row],[Fecha]],SummaryDaily[day],SummaryDaily[new_net_sales],0)</f>
        <v>2747899.16</v>
      </c>
      <c r="J148" s="12">
        <f>_xlfn.XLOOKUP(TableDailySummary[[#This Row],[Fecha]],SummaryDaily[day],SummaryDaily[new_orders],0)</f>
        <v>17</v>
      </c>
      <c r="K148" s="12">
        <f>_xlfn.XLOOKUP(TableDailySummary[[#This Row],[Fecha]],SummaryDaily[day],SummaryDaily[new_average_order_value],0)</f>
        <v>161641.12700000001</v>
      </c>
      <c r="L148" s="12">
        <f>_xlfn.XLOOKUP(TableDailySummary[[#This Row],[Fecha]],SummaryDaily[day],SummaryDaily[Online Store_net_sales],0)</f>
        <v>1376890.75</v>
      </c>
      <c r="M148" s="12">
        <f>_xlfn.XLOOKUP(TableDailySummary[[#This Row],[Fecha]],SummaryDaily[day],SummaryDaily[Online Store_orders],0)</f>
        <v>7</v>
      </c>
      <c r="N148" s="12">
        <f>_xlfn.XLOOKUP(TableDailySummary[[#This Row],[Fecha]],SummaryDaily[day],SummaryDaily[Online Store_average_order_value],0)</f>
        <v>196698.67800000001</v>
      </c>
      <c r="O148" s="12">
        <f>_xlfn.XLOOKUP(TableDailySummary[[#This Row],[Fecha]],SummaryDaily[day],SummaryDaily[Tienda 81_net_sales],0)</f>
        <v>2717226.89</v>
      </c>
      <c r="P148" s="12">
        <f>_xlfn.XLOOKUP(TableDailySummary[[#This Row],[Fecha]],SummaryDaily[day],SummaryDaily[Tienda 81_orders],0)</f>
        <v>17</v>
      </c>
      <c r="Q148" s="12">
        <f>_xlfn.XLOOKUP(TableDailySummary[[#This Row],[Fecha]],SummaryDaily[day],SummaryDaily[Tienda 81_average_order_value],0)</f>
        <v>159836.875</v>
      </c>
      <c r="R148" s="12">
        <f>_xlfn.XLOOKUP(TableDailySummary[[#This Row],[Fecha]],SummaryDaily[day],SummaryDaily[Rappi_net_sales],0)</f>
        <v>46218.49</v>
      </c>
      <c r="S148" s="12">
        <f>_xlfn.XLOOKUP(TableDailySummary[[#This Row],[Fecha]],SummaryDaily[day],SummaryDaily[Rappi_orders],0)</f>
        <v>1</v>
      </c>
      <c r="T148" s="12">
        <f>_xlfn.XLOOKUP(TableDailySummary[[#This Row],[Fecha]],SummaryDaily[day],SummaryDaily[Rappi_average_order_value],0)</f>
        <v>46218.49</v>
      </c>
      <c r="U148" s="12">
        <f>_xlfn.XLOOKUP(TableDailySummary[[#This Row],[Fecha]],SummaryDaily[day],SummaryDaily[Corporativo no tienda_net_sales],0)</f>
        <v>0</v>
      </c>
      <c r="V148" s="12">
        <f>_xlfn.XLOOKUP(TableDailySummary[[#This Row],[Fecha]],SummaryDaily[day],SummaryDaily[Corporativo no tienda_orders],0)</f>
        <v>0</v>
      </c>
      <c r="W148" s="12">
        <f>_xlfn.XLOOKUP(TableDailySummary[[#This Row],[Fecha]],SummaryDaily[day],SummaryDaily[Corporativo no tienda_average_order_value],0)</f>
        <v>0</v>
      </c>
      <c r="X148" s="12">
        <f>_xlfn.XLOOKUP(TableDailySummary[[#This Row],[Fecha]],SummaryDaily[day],SummaryDaily[GoogleAdsOperation.Cost],0)</f>
        <v>38170.639999999999</v>
      </c>
      <c r="Y148" s="12">
        <f>SUMIFS(SalesByUTMDaily[google],SalesByUTMDaily[day],TableDailySummary[[#This Row],[Fecha]])</f>
        <v>85500</v>
      </c>
      <c r="Z148" s="12">
        <f>_xlfn.XLOOKUP(TableDailySummary[[#This Row],[Fecha]],SummaryDaily[day],SummaryDaily[MetaAdsOperation.spend],0)</f>
        <v>48960</v>
      </c>
      <c r="AA148" s="12">
        <f>SUMIFS(SalesByUTMDaily[facebook],SalesByUTMDaily[day],TableDailySummary[[#This Row],[Fecha]])</f>
        <v>0</v>
      </c>
      <c r="AB148" s="12">
        <f>TableDailySummary[[#This Row],[Inversión google ads]]+TableDailySummary[[#This Row],[Inversión meta ads]]</f>
        <v>87130.64</v>
      </c>
      <c r="AC148" s="12">
        <f>TableDailySummary[[#This Row],[Ventas google ads]]+TableDailySummary[[#This Row],[Ventas meta ads]]</f>
        <v>85500</v>
      </c>
      <c r="AD148" s="14">
        <f>IFERROR(TableDailySummary[[#This Row],[Ventas publicidad]]/TableDailySummary[[#This Row],[Inversión publicidad]],0)</f>
        <v>0.98128511393925255</v>
      </c>
      <c r="AE148" s="14">
        <f>IFERROR(TableDailySummary[[#This Row],[Ventas primer cliente]]/TableDailySummary[[#This Row],[Inversión publicidad]],0)</f>
        <v>31.537690529990371</v>
      </c>
      <c r="AF148" s="14"/>
      <c r="AG148" s="12"/>
      <c r="AM148" s="12">
        <f>_xlfn.XLOOKUP(TableDailySummary[[#This Row],[Fecha]],SummaryDaily[day],SummaryDaily[net_sales_with_cost_recorded],0)</f>
        <v>4313445.38</v>
      </c>
      <c r="AN148" s="12">
        <f>_xlfn.XLOOKUP(TableDailySummary[[#This Row],[Fecha]],SummaryDaily[day],SummaryDaily[cost_of_goods_sold],0)</f>
        <v>1288865</v>
      </c>
      <c r="AO148" s="12">
        <f>_xlfn.XLOOKUP(TableDailySummary[[#This Row],[Fecha]],SummaryDaily[day],SummaryDaily[gross_profit],0)</f>
        <v>3024580.38</v>
      </c>
      <c r="AP148" s="18">
        <f>IFERROR(TableDailySummary[[#This Row],[Utilidad bruta]]/TableDailySummary[[#This Row],[Ventas netas con costo registrado]],0)</f>
        <v>0.70119825650835066</v>
      </c>
    </row>
    <row r="149" spans="2:42" x14ac:dyDescent="0.2">
      <c r="B149" s="15" cm="1">
        <f t="array" ref="B149">MIN(SummaryDaily[day]) + (ROW(TableDailySummary[#This Row]) - ROW(TableDailySummary[[#Headers],[Dia]]) - 1)</f>
        <v>45920</v>
      </c>
      <c r="C149" s="6">
        <f>TableDailySummary[[#This Row],[Dia]]</f>
        <v>45920</v>
      </c>
      <c r="D149" s="12">
        <f>_xlfn.XLOOKUP(TableDailySummary[[#This Row],[Fecha]],SummaryDaily[day],SummaryDaily[net_sales],0)</f>
        <v>3600882.8</v>
      </c>
      <c r="E149" s="12">
        <f>_xlfn.XLOOKUP(TableDailySummary[[#This Row],[Fecha]],SummaryDaily[day],SummaryDaily[orders],0)</f>
        <v>21</v>
      </c>
      <c r="F149" s="12">
        <f>_xlfn.XLOOKUP(TableDailySummary[[#This Row],[Fecha]],SummaryDaily[day],SummaryDaily[average_order_value],0)</f>
        <v>171470.609</v>
      </c>
      <c r="G149" s="24">
        <f>_xlfn.XLOOKUP(TableDailySummary[[#This Row],[Fecha]],SummaryDaily[day],SummaryDaily[Total site_conversion_rate],0)</f>
        <v>1.0660980810234541E-2</v>
      </c>
      <c r="H149" s="12">
        <f>TableDailySummary[[#This Row],[Órden promedio totales]]*TableDailySummary[[#This Row],[CR totales]]</f>
        <v>1828.0448720682302</v>
      </c>
      <c r="I149" s="12">
        <f>_xlfn.XLOOKUP(TableDailySummary[[#This Row],[Fecha]],SummaryDaily[day],SummaryDaily[new_net_sales],0)</f>
        <v>1748413.76</v>
      </c>
      <c r="J149" s="12">
        <f>_xlfn.XLOOKUP(TableDailySummary[[#This Row],[Fecha]],SummaryDaily[day],SummaryDaily[new_orders],0)</f>
        <v>12</v>
      </c>
      <c r="K149" s="12">
        <f>_xlfn.XLOOKUP(TableDailySummary[[#This Row],[Fecha]],SummaryDaily[day],SummaryDaily[new_average_order_value],0)</f>
        <v>145701.14600000001</v>
      </c>
      <c r="L149" s="12">
        <f>_xlfn.XLOOKUP(TableDailySummary[[#This Row],[Fecha]],SummaryDaily[day],SummaryDaily[Online Store_net_sales],0)</f>
        <v>848741.5</v>
      </c>
      <c r="M149" s="12">
        <f>_xlfn.XLOOKUP(TableDailySummary[[#This Row],[Fecha]],SummaryDaily[day],SummaryDaily[Online Store_orders],0)</f>
        <v>4</v>
      </c>
      <c r="N149" s="12">
        <f>_xlfn.XLOOKUP(TableDailySummary[[#This Row],[Fecha]],SummaryDaily[day],SummaryDaily[Online Store_average_order_value],0)</f>
        <v>212185.375</v>
      </c>
      <c r="O149" s="12">
        <f>_xlfn.XLOOKUP(TableDailySummary[[#This Row],[Fecha]],SummaryDaily[day],SummaryDaily[Tienda 81_net_sales],0)</f>
        <v>2521048.87</v>
      </c>
      <c r="P149" s="12">
        <f>_xlfn.XLOOKUP(TableDailySummary[[#This Row],[Fecha]],SummaryDaily[day],SummaryDaily[Tienda 81_orders],0)</f>
        <v>15</v>
      </c>
      <c r="Q149" s="12">
        <f>_xlfn.XLOOKUP(TableDailySummary[[#This Row],[Fecha]],SummaryDaily[day],SummaryDaily[Tienda 81_average_order_value],0)</f>
        <v>168069.924</v>
      </c>
      <c r="R149" s="12">
        <f>_xlfn.XLOOKUP(TableDailySummary[[#This Row],[Fecha]],SummaryDaily[day],SummaryDaily[Rappi_net_sales],0)</f>
        <v>138655.46</v>
      </c>
      <c r="S149" s="12">
        <f>_xlfn.XLOOKUP(TableDailySummary[[#This Row],[Fecha]],SummaryDaily[day],SummaryDaily[Rappi_orders],0)</f>
        <v>1</v>
      </c>
      <c r="T149" s="12">
        <f>_xlfn.XLOOKUP(TableDailySummary[[#This Row],[Fecha]],SummaryDaily[day],SummaryDaily[Rappi_average_order_value],0)</f>
        <v>138655.46</v>
      </c>
      <c r="U149" s="12">
        <f>_xlfn.XLOOKUP(TableDailySummary[[#This Row],[Fecha]],SummaryDaily[day],SummaryDaily[Corporativo no tienda_net_sales],0)</f>
        <v>0</v>
      </c>
      <c r="V149" s="12">
        <f>_xlfn.XLOOKUP(TableDailySummary[[#This Row],[Fecha]],SummaryDaily[day],SummaryDaily[Corporativo no tienda_orders],0)</f>
        <v>0</v>
      </c>
      <c r="W149" s="12">
        <f>_xlfn.XLOOKUP(TableDailySummary[[#This Row],[Fecha]],SummaryDaily[day],SummaryDaily[Corporativo no tienda_average_order_value],0)</f>
        <v>0</v>
      </c>
      <c r="X149" s="12">
        <f>_xlfn.XLOOKUP(TableDailySummary[[#This Row],[Fecha]],SummaryDaily[day],SummaryDaily[GoogleAdsOperation.Cost],0)</f>
        <v>51515.63</v>
      </c>
      <c r="Y149" s="12">
        <f>SUMIFS(SalesByUTMDaily[google],SalesByUTMDaily[day],TableDailySummary[[#This Row],[Fecha]])</f>
        <v>0</v>
      </c>
      <c r="Z149" s="12">
        <f>_xlfn.XLOOKUP(TableDailySummary[[#This Row],[Fecha]],SummaryDaily[day],SummaryDaily[MetaAdsOperation.spend],0)</f>
        <v>53413</v>
      </c>
      <c r="AA149" s="12">
        <f>SUMIFS(SalesByUTMDaily[facebook],SalesByUTMDaily[day],TableDailySummary[[#This Row],[Fecha]])</f>
        <v>0</v>
      </c>
      <c r="AB149" s="12">
        <f>TableDailySummary[[#This Row],[Inversión google ads]]+TableDailySummary[[#This Row],[Inversión meta ads]]</f>
        <v>104928.63</v>
      </c>
      <c r="AC149" s="12">
        <f>TableDailySummary[[#This Row],[Ventas google ads]]+TableDailySummary[[#This Row],[Ventas meta ads]]</f>
        <v>0</v>
      </c>
      <c r="AD149" s="14">
        <f>IFERROR(TableDailySummary[[#This Row],[Ventas publicidad]]/TableDailySummary[[#This Row],[Inversión publicidad]],0)</f>
        <v>0</v>
      </c>
      <c r="AE149" s="14">
        <f>IFERROR(TableDailySummary[[#This Row],[Ventas primer cliente]]/TableDailySummary[[#This Row],[Inversión publicidad]],0)</f>
        <v>16.662885620445056</v>
      </c>
      <c r="AF149" s="14"/>
      <c r="AG149" s="12"/>
      <c r="AM149" s="12">
        <f>_xlfn.XLOOKUP(TableDailySummary[[#This Row],[Fecha]],SummaryDaily[day],SummaryDaily[net_sales_with_cost_recorded],0)</f>
        <v>3524830.38</v>
      </c>
      <c r="AN149" s="12">
        <f>_xlfn.XLOOKUP(TableDailySummary[[#This Row],[Fecha]],SummaryDaily[day],SummaryDaily[cost_of_goods_sold],0)</f>
        <v>1322546</v>
      </c>
      <c r="AO149" s="12">
        <f>_xlfn.XLOOKUP(TableDailySummary[[#This Row],[Fecha]],SummaryDaily[day],SummaryDaily[gross_profit],0)</f>
        <v>2202284.38</v>
      </c>
      <c r="AP149" s="18">
        <f>IFERROR(TableDailySummary[[#This Row],[Utilidad bruta]]/TableDailySummary[[#This Row],[Ventas netas con costo registrado]],0)</f>
        <v>0.62479159068074075</v>
      </c>
    </row>
    <row r="150" spans="2:42" x14ac:dyDescent="0.2">
      <c r="B150" s="15" cm="1">
        <f t="array" ref="B150">MIN(SummaryDaily[day]) + (ROW(TableDailySummary[#This Row]) - ROW(TableDailySummary[[#Headers],[Dia]]) - 1)</f>
        <v>45921</v>
      </c>
      <c r="C150" s="6">
        <f>TableDailySummary[[#This Row],[Dia]]</f>
        <v>45921</v>
      </c>
      <c r="D150" s="12">
        <f>_xlfn.XLOOKUP(TableDailySummary[[#This Row],[Fecha]],SummaryDaily[day],SummaryDaily[net_sales],0)</f>
        <v>1897857.15</v>
      </c>
      <c r="E150" s="12">
        <f>_xlfn.XLOOKUP(TableDailySummary[[#This Row],[Fecha]],SummaryDaily[day],SummaryDaily[orders],0)</f>
        <v>15</v>
      </c>
      <c r="F150" s="12">
        <f>_xlfn.XLOOKUP(TableDailySummary[[#This Row],[Fecha]],SummaryDaily[day],SummaryDaily[average_order_value],0)</f>
        <v>118960.784</v>
      </c>
      <c r="G150" s="24">
        <f>_xlfn.XLOOKUP(TableDailySummary[[#This Row],[Fecha]],SummaryDaily[day],SummaryDaily[Total site_conversion_rate],0)</f>
        <v>9.2592592592592587E-3</v>
      </c>
      <c r="H150" s="12">
        <f>TableDailySummary[[#This Row],[Órden promedio totales]]*TableDailySummary[[#This Row],[CR totales]]</f>
        <v>1101.4887407407407</v>
      </c>
      <c r="I150" s="12">
        <f>_xlfn.XLOOKUP(TableDailySummary[[#This Row],[Fecha]],SummaryDaily[day],SummaryDaily[new_net_sales],0)</f>
        <v>1174789.9099999999</v>
      </c>
      <c r="J150" s="12">
        <f>_xlfn.XLOOKUP(TableDailySummary[[#This Row],[Fecha]],SummaryDaily[day],SummaryDaily[new_orders],0)</f>
        <v>8</v>
      </c>
      <c r="K150" s="12">
        <f>_xlfn.XLOOKUP(TableDailySummary[[#This Row],[Fecha]],SummaryDaily[day],SummaryDaily[new_average_order_value],0)</f>
        <v>137920.16699999999</v>
      </c>
      <c r="L150" s="12">
        <f>_xlfn.XLOOKUP(TableDailySummary[[#This Row],[Fecha]],SummaryDaily[day],SummaryDaily[Online Store_net_sales],0)</f>
        <v>781512.61</v>
      </c>
      <c r="M150" s="12">
        <f>_xlfn.XLOOKUP(TableDailySummary[[#This Row],[Fecha]],SummaryDaily[day],SummaryDaily[Online Store_orders],0)</f>
        <v>4</v>
      </c>
      <c r="N150" s="12">
        <f>_xlfn.XLOOKUP(TableDailySummary[[#This Row],[Fecha]],SummaryDaily[day],SummaryDaily[Online Store_average_order_value],0)</f>
        <v>195378.152</v>
      </c>
      <c r="O150" s="12">
        <f>_xlfn.XLOOKUP(TableDailySummary[[#This Row],[Fecha]],SummaryDaily[day],SummaryDaily[Tienda 81_net_sales],0)</f>
        <v>1032310.93</v>
      </c>
      <c r="P150" s="12">
        <f>_xlfn.XLOOKUP(TableDailySummary[[#This Row],[Fecha]],SummaryDaily[day],SummaryDaily[Tienda 81_orders],0)</f>
        <v>10</v>
      </c>
      <c r="Q150" s="12">
        <f>_xlfn.XLOOKUP(TableDailySummary[[#This Row],[Fecha]],SummaryDaily[day],SummaryDaily[Tienda 81_average_order_value],0)</f>
        <v>91886.554999999993</v>
      </c>
      <c r="R150" s="12">
        <f>_xlfn.XLOOKUP(TableDailySummary[[#This Row],[Fecha]],SummaryDaily[day],SummaryDaily[Rappi_net_sales],0)</f>
        <v>84033.61</v>
      </c>
      <c r="S150" s="12">
        <f>_xlfn.XLOOKUP(TableDailySummary[[#This Row],[Fecha]],SummaryDaily[day],SummaryDaily[Rappi_orders],0)</f>
        <v>1</v>
      </c>
      <c r="T150" s="12">
        <f>_xlfn.XLOOKUP(TableDailySummary[[#This Row],[Fecha]],SummaryDaily[day],SummaryDaily[Rappi_average_order_value],0)</f>
        <v>84033.61</v>
      </c>
      <c r="U150" s="12">
        <f>_xlfn.XLOOKUP(TableDailySummary[[#This Row],[Fecha]],SummaryDaily[day],SummaryDaily[Corporativo no tienda_net_sales],0)</f>
        <v>0</v>
      </c>
      <c r="V150" s="12">
        <f>_xlfn.XLOOKUP(TableDailySummary[[#This Row],[Fecha]],SummaryDaily[day],SummaryDaily[Corporativo no tienda_orders],0)</f>
        <v>0</v>
      </c>
      <c r="W150" s="12">
        <f>_xlfn.XLOOKUP(TableDailySummary[[#This Row],[Fecha]],SummaryDaily[day],SummaryDaily[Corporativo no tienda_average_order_value],0)</f>
        <v>0</v>
      </c>
      <c r="X150" s="12">
        <f>_xlfn.XLOOKUP(TableDailySummary[[#This Row],[Fecha]],SummaryDaily[day],SummaryDaily[GoogleAdsOperation.Cost],0)</f>
        <v>35490.959999999999</v>
      </c>
      <c r="Y150" s="12">
        <f>SUMIFS(SalesByUTMDaily[google],SalesByUTMDaily[day],TableDailySummary[[#This Row],[Fecha]])</f>
        <v>0</v>
      </c>
      <c r="Z150" s="12">
        <f>_xlfn.XLOOKUP(TableDailySummary[[#This Row],[Fecha]],SummaryDaily[day],SummaryDaily[MetaAdsOperation.spend],0)</f>
        <v>57207</v>
      </c>
      <c r="AA150" s="12">
        <f>SUMIFS(SalesByUTMDaily[facebook],SalesByUTMDaily[day],TableDailySummary[[#This Row],[Fecha]])</f>
        <v>0</v>
      </c>
      <c r="AB150" s="12">
        <f>TableDailySummary[[#This Row],[Inversión google ads]]+TableDailySummary[[#This Row],[Inversión meta ads]]</f>
        <v>92697.959999999992</v>
      </c>
      <c r="AC150" s="12">
        <f>TableDailySummary[[#This Row],[Ventas google ads]]+TableDailySummary[[#This Row],[Ventas meta ads]]</f>
        <v>0</v>
      </c>
      <c r="AD150" s="14">
        <f>IFERROR(TableDailySummary[[#This Row],[Ventas publicidad]]/TableDailySummary[[#This Row],[Inversión publicidad]],0)</f>
        <v>0</v>
      </c>
      <c r="AE150" s="14">
        <f>IFERROR(TableDailySummary[[#This Row],[Ventas primer cliente]]/TableDailySummary[[#This Row],[Inversión publicidad]],0)</f>
        <v>12.67330920766757</v>
      </c>
      <c r="AF150" s="14"/>
      <c r="AG150" s="12"/>
      <c r="AM150" s="12">
        <f>_xlfn.XLOOKUP(TableDailySummary[[#This Row],[Fecha]],SummaryDaily[day],SummaryDaily[net_sales_with_cost_recorded],0)</f>
        <v>1816806.73</v>
      </c>
      <c r="AN150" s="12">
        <f>_xlfn.XLOOKUP(TableDailySummary[[#This Row],[Fecha]],SummaryDaily[day],SummaryDaily[cost_of_goods_sold],0)</f>
        <v>640243</v>
      </c>
      <c r="AO150" s="12">
        <f>_xlfn.XLOOKUP(TableDailySummary[[#This Row],[Fecha]],SummaryDaily[day],SummaryDaily[gross_profit],0)</f>
        <v>1176563.73</v>
      </c>
      <c r="AP150" s="18">
        <f>IFERROR(TableDailySummary[[#This Row],[Utilidad bruta]]/TableDailySummary[[#This Row],[Ventas netas con costo registrado]],0)</f>
        <v>0.64759983028024115</v>
      </c>
    </row>
    <row r="151" spans="2:42" x14ac:dyDescent="0.2">
      <c r="B151" s="15" cm="1">
        <f t="array" ref="B151">MIN(SummaryDaily[day]) + (ROW(TableDailySummary[#This Row]) - ROW(TableDailySummary[[#Headers],[Dia]]) - 1)</f>
        <v>45922</v>
      </c>
      <c r="C151" s="6">
        <f>TableDailySummary[[#This Row],[Dia]]</f>
        <v>45922</v>
      </c>
      <c r="D151" s="12">
        <f>_xlfn.XLOOKUP(TableDailySummary[[#This Row],[Fecha]],SummaryDaily[day],SummaryDaily[net_sales],0)</f>
        <v>2608823.5299999998</v>
      </c>
      <c r="E151" s="12">
        <f>_xlfn.XLOOKUP(TableDailySummary[[#This Row],[Fecha]],SummaryDaily[day],SummaryDaily[orders],0)</f>
        <v>17</v>
      </c>
      <c r="F151" s="12">
        <f>_xlfn.XLOOKUP(TableDailySummary[[#This Row],[Fecha]],SummaryDaily[day],SummaryDaily[average_order_value],0)</f>
        <v>153954.522</v>
      </c>
      <c r="G151" s="24">
        <f>_xlfn.XLOOKUP(TableDailySummary[[#This Row],[Fecha]],SummaryDaily[day],SummaryDaily[Total site_conversion_rate],0)</f>
        <v>8.291873963515755E-3</v>
      </c>
      <c r="H151" s="12">
        <f>TableDailySummary[[#This Row],[Órden promedio totales]]*TableDailySummary[[#This Row],[CR totales]]</f>
        <v>1276.5714925373134</v>
      </c>
      <c r="I151" s="12">
        <f>_xlfn.XLOOKUP(TableDailySummary[[#This Row],[Fecha]],SummaryDaily[day],SummaryDaily[new_net_sales],0)</f>
        <v>1390336.13</v>
      </c>
      <c r="J151" s="12">
        <f>_xlfn.XLOOKUP(TableDailySummary[[#This Row],[Fecha]],SummaryDaily[day],SummaryDaily[new_orders],0)</f>
        <v>10</v>
      </c>
      <c r="K151" s="12">
        <f>_xlfn.XLOOKUP(TableDailySummary[[#This Row],[Fecha]],SummaryDaily[day],SummaryDaily[new_average_order_value],0)</f>
        <v>139873.94899999999</v>
      </c>
      <c r="L151" s="12">
        <f>_xlfn.XLOOKUP(TableDailySummary[[#This Row],[Fecha]],SummaryDaily[day],SummaryDaily[Online Store_net_sales],0)</f>
        <v>592016.81000000006</v>
      </c>
      <c r="M151" s="12">
        <f>_xlfn.XLOOKUP(TableDailySummary[[#This Row],[Fecha]],SummaryDaily[day],SummaryDaily[Online Store_orders],0)</f>
        <v>6</v>
      </c>
      <c r="N151" s="12">
        <f>_xlfn.XLOOKUP(TableDailySummary[[#This Row],[Fecha]],SummaryDaily[day],SummaryDaily[Online Store_average_order_value],0)</f>
        <v>98669.467999999993</v>
      </c>
      <c r="O151" s="12">
        <f>_xlfn.XLOOKUP(TableDailySummary[[#This Row],[Fecha]],SummaryDaily[day],SummaryDaily[Tienda 81_net_sales],0)</f>
        <v>1970588.23</v>
      </c>
      <c r="P151" s="12">
        <f>_xlfn.XLOOKUP(TableDailySummary[[#This Row],[Fecha]],SummaryDaily[day],SummaryDaily[Tienda 81_orders],0)</f>
        <v>10</v>
      </c>
      <c r="Q151" s="12">
        <f>_xlfn.XLOOKUP(TableDailySummary[[#This Row],[Fecha]],SummaryDaily[day],SummaryDaily[Tienda 81_average_order_value],0)</f>
        <v>197899.15900000001</v>
      </c>
      <c r="R151" s="12">
        <f>_xlfn.XLOOKUP(TableDailySummary[[#This Row],[Fecha]],SummaryDaily[day],SummaryDaily[Rappi_net_sales],0)</f>
        <v>46218.49</v>
      </c>
      <c r="S151" s="12">
        <f>_xlfn.XLOOKUP(TableDailySummary[[#This Row],[Fecha]],SummaryDaily[day],SummaryDaily[Rappi_orders],0)</f>
        <v>1</v>
      </c>
      <c r="T151" s="12">
        <f>_xlfn.XLOOKUP(TableDailySummary[[#This Row],[Fecha]],SummaryDaily[day],SummaryDaily[Rappi_average_order_value],0)</f>
        <v>46218.49</v>
      </c>
      <c r="U151" s="12">
        <f>_xlfn.XLOOKUP(TableDailySummary[[#This Row],[Fecha]],SummaryDaily[day],SummaryDaily[Corporativo no tienda_net_sales],0)</f>
        <v>0</v>
      </c>
      <c r="V151" s="12">
        <f>_xlfn.XLOOKUP(TableDailySummary[[#This Row],[Fecha]],SummaryDaily[day],SummaryDaily[Corporativo no tienda_orders],0)</f>
        <v>0</v>
      </c>
      <c r="W151" s="12">
        <f>_xlfn.XLOOKUP(TableDailySummary[[#This Row],[Fecha]],SummaryDaily[day],SummaryDaily[Corporativo no tienda_average_order_value],0)</f>
        <v>0</v>
      </c>
      <c r="X151" s="12">
        <f>_xlfn.XLOOKUP(TableDailySummary[[#This Row],[Fecha]],SummaryDaily[day],SummaryDaily[GoogleAdsOperation.Cost],0)</f>
        <v>72090.039999999994</v>
      </c>
      <c r="Y151" s="12">
        <f>SUMIFS(SalesByUTMDaily[google],SalesByUTMDaily[day],TableDailySummary[[#This Row],[Fecha]])</f>
        <v>214000</v>
      </c>
      <c r="Z151" s="12">
        <f>_xlfn.XLOOKUP(TableDailySummary[[#This Row],[Fecha]],SummaryDaily[day],SummaryDaily[MetaAdsOperation.spend],0)</f>
        <v>51324</v>
      </c>
      <c r="AA151" s="12">
        <f>SUMIFS(SalesByUTMDaily[facebook],SalesByUTMDaily[day],TableDailySummary[[#This Row],[Fecha]])</f>
        <v>0</v>
      </c>
      <c r="AB151" s="12">
        <f>TableDailySummary[[#This Row],[Inversión google ads]]+TableDailySummary[[#This Row],[Inversión meta ads]]</f>
        <v>123414.04</v>
      </c>
      <c r="AC151" s="12">
        <f>TableDailySummary[[#This Row],[Ventas google ads]]+TableDailySummary[[#This Row],[Ventas meta ads]]</f>
        <v>214000</v>
      </c>
      <c r="AD151" s="14">
        <f>IFERROR(TableDailySummary[[#This Row],[Ventas publicidad]]/TableDailySummary[[#This Row],[Inversión publicidad]],0)</f>
        <v>1.7340004427373095</v>
      </c>
      <c r="AE151" s="14">
        <f>IFERROR(TableDailySummary[[#This Row],[Ventas primer cliente]]/TableDailySummary[[#This Row],[Inversión publicidad]],0)</f>
        <v>11.265623668101295</v>
      </c>
      <c r="AF151" s="14"/>
      <c r="AG151" s="12"/>
      <c r="AM151" s="12">
        <f>_xlfn.XLOOKUP(TableDailySummary[[#This Row],[Fecha]],SummaryDaily[day],SummaryDaily[net_sales_with_cost_recorded],0)</f>
        <v>2680252.1</v>
      </c>
      <c r="AN151" s="12">
        <f>_xlfn.XLOOKUP(TableDailySummary[[#This Row],[Fecha]],SummaryDaily[day],SummaryDaily[cost_of_goods_sold],0)</f>
        <v>925066</v>
      </c>
      <c r="AO151" s="12">
        <f>_xlfn.XLOOKUP(TableDailySummary[[#This Row],[Fecha]],SummaryDaily[day],SummaryDaily[gross_profit],0)</f>
        <v>1755186.1</v>
      </c>
      <c r="AP151" s="18">
        <f>IFERROR(TableDailySummary[[#This Row],[Utilidad bruta]]/TableDailySummary[[#This Row],[Ventas netas con costo registrado]],0)</f>
        <v>0.65485858587705237</v>
      </c>
    </row>
    <row r="152" spans="2:42" x14ac:dyDescent="0.2">
      <c r="B152" s="15" cm="1">
        <f t="array" ref="B152">MIN(SummaryDaily[day]) + (ROW(TableDailySummary[#This Row]) - ROW(TableDailySummary[[#Headers],[Dia]]) - 1)</f>
        <v>45923</v>
      </c>
      <c r="C152" s="6">
        <f>TableDailySummary[[#This Row],[Dia]]</f>
        <v>45923</v>
      </c>
      <c r="D152" s="12">
        <f>_xlfn.XLOOKUP(TableDailySummary[[#This Row],[Fecha]],SummaryDaily[day],SummaryDaily[net_sales],0)</f>
        <v>2579033.63</v>
      </c>
      <c r="E152" s="12">
        <f>_xlfn.XLOOKUP(TableDailySummary[[#This Row],[Fecha]],SummaryDaily[day],SummaryDaily[orders],0)</f>
        <v>19</v>
      </c>
      <c r="F152" s="12">
        <f>_xlfn.XLOOKUP(TableDailySummary[[#This Row],[Fecha]],SummaryDaily[day],SummaryDaily[average_order_value],0)</f>
        <v>162759.84099999999</v>
      </c>
      <c r="G152" s="24">
        <f>_xlfn.XLOOKUP(TableDailySummary[[#This Row],[Fecha]],SummaryDaily[day],SummaryDaily[Total site_conversion_rate],0)</f>
        <v>9.7799511002444987E-3</v>
      </c>
      <c r="H152" s="12">
        <f>TableDailySummary[[#This Row],[Órden promedio totales]]*TableDailySummary[[#This Row],[CR totales]]</f>
        <v>1591.7832860635694</v>
      </c>
      <c r="I152" s="12">
        <f>_xlfn.XLOOKUP(TableDailySummary[[#This Row],[Fecha]],SummaryDaily[day],SummaryDaily[new_net_sales],0)</f>
        <v>1200882.3600000001</v>
      </c>
      <c r="J152" s="12">
        <f>_xlfn.XLOOKUP(TableDailySummary[[#This Row],[Fecha]],SummaryDaily[day],SummaryDaily[new_orders],0)</f>
        <v>10</v>
      </c>
      <c r="K152" s="12">
        <f>_xlfn.XLOOKUP(TableDailySummary[[#This Row],[Fecha]],SummaryDaily[day],SummaryDaily[new_average_order_value],0)</f>
        <v>171428.57199999999</v>
      </c>
      <c r="L152" s="12">
        <f>_xlfn.XLOOKUP(TableDailySummary[[#This Row],[Fecha]],SummaryDaily[day],SummaryDaily[Online Store_net_sales],0)</f>
        <v>546218.49</v>
      </c>
      <c r="M152" s="12">
        <f>_xlfn.XLOOKUP(TableDailySummary[[#This Row],[Fecha]],SummaryDaily[day],SummaryDaily[Online Store_orders],0)</f>
        <v>3</v>
      </c>
      <c r="N152" s="12">
        <f>_xlfn.XLOOKUP(TableDailySummary[[#This Row],[Fecha]],SummaryDaily[day],SummaryDaily[Online Store_average_order_value],0)</f>
        <v>182072.83</v>
      </c>
      <c r="O152" s="12">
        <f>_xlfn.XLOOKUP(TableDailySummary[[#This Row],[Fecha]],SummaryDaily[day],SummaryDaily[Tienda 81_net_sales],0)</f>
        <v>1898361.36</v>
      </c>
      <c r="P152" s="12">
        <f>_xlfn.XLOOKUP(TableDailySummary[[#This Row],[Fecha]],SummaryDaily[day],SummaryDaily[Tienda 81_orders],0)</f>
        <v>15</v>
      </c>
      <c r="Q152" s="12">
        <f>_xlfn.XLOOKUP(TableDailySummary[[#This Row],[Fecha]],SummaryDaily[day],SummaryDaily[Tienda 81_average_order_value],0)</f>
        <v>160784.31400000001</v>
      </c>
      <c r="R152" s="12">
        <f>_xlfn.XLOOKUP(TableDailySummary[[#This Row],[Fecha]],SummaryDaily[day],SummaryDaily[Rappi_net_sales],0)</f>
        <v>0</v>
      </c>
      <c r="S152" s="12">
        <f>_xlfn.XLOOKUP(TableDailySummary[[#This Row],[Fecha]],SummaryDaily[day],SummaryDaily[Rappi_orders],0)</f>
        <v>0</v>
      </c>
      <c r="T152" s="12">
        <f>_xlfn.XLOOKUP(TableDailySummary[[#This Row],[Fecha]],SummaryDaily[day],SummaryDaily[Rappi_average_order_value],0)</f>
        <v>0</v>
      </c>
      <c r="U152" s="12">
        <f>_xlfn.XLOOKUP(TableDailySummary[[#This Row],[Fecha]],SummaryDaily[day],SummaryDaily[Corporativo no tienda_net_sales],0)</f>
        <v>0</v>
      </c>
      <c r="V152" s="12">
        <f>_xlfn.XLOOKUP(TableDailySummary[[#This Row],[Fecha]],SummaryDaily[day],SummaryDaily[Corporativo no tienda_orders],0)</f>
        <v>0</v>
      </c>
      <c r="W152" s="12">
        <f>_xlfn.XLOOKUP(TableDailySummary[[#This Row],[Fecha]],SummaryDaily[day],SummaryDaily[Corporativo no tienda_average_order_value],0)</f>
        <v>0</v>
      </c>
      <c r="X152" s="12">
        <f>_xlfn.XLOOKUP(TableDailySummary[[#This Row],[Fecha]],SummaryDaily[day],SummaryDaily[GoogleAdsOperation.Cost],0)</f>
        <v>25996.11</v>
      </c>
      <c r="Y152" s="12">
        <f>SUMIFS(SalesByUTMDaily[google],SalesByUTMDaily[day],TableDailySummary[[#This Row],[Fecha]])</f>
        <v>0</v>
      </c>
      <c r="Z152" s="12">
        <f>_xlfn.XLOOKUP(TableDailySummary[[#This Row],[Fecha]],SummaryDaily[day],SummaryDaily[MetaAdsOperation.spend],0)</f>
        <v>48383</v>
      </c>
      <c r="AA152" s="12">
        <f>SUMIFS(SalesByUTMDaily[facebook],SalesByUTMDaily[day],TableDailySummary[[#This Row],[Fecha]])</f>
        <v>0</v>
      </c>
      <c r="AB152" s="12">
        <f>TableDailySummary[[#This Row],[Inversión google ads]]+TableDailySummary[[#This Row],[Inversión meta ads]]</f>
        <v>74379.11</v>
      </c>
      <c r="AC152" s="12">
        <f>TableDailySummary[[#This Row],[Ventas google ads]]+TableDailySummary[[#This Row],[Ventas meta ads]]</f>
        <v>0</v>
      </c>
      <c r="AD152" s="14">
        <f>IFERROR(TableDailySummary[[#This Row],[Ventas publicidad]]/TableDailySummary[[#This Row],[Inversión publicidad]],0)</f>
        <v>0</v>
      </c>
      <c r="AE152" s="14">
        <f>IFERROR(TableDailySummary[[#This Row],[Ventas primer cliente]]/TableDailySummary[[#This Row],[Inversión publicidad]],0)</f>
        <v>16.145425241038783</v>
      </c>
      <c r="AF152" s="14"/>
      <c r="AG152" s="12"/>
      <c r="AM152" s="12">
        <f>_xlfn.XLOOKUP(TableDailySummary[[#This Row],[Fecha]],SummaryDaily[day],SummaryDaily[net_sales_with_cost_recorded],0)</f>
        <v>2584033.63</v>
      </c>
      <c r="AN152" s="12">
        <f>_xlfn.XLOOKUP(TableDailySummary[[#This Row],[Fecha]],SummaryDaily[day],SummaryDaily[cost_of_goods_sold],0)</f>
        <v>804756</v>
      </c>
      <c r="AO152" s="12">
        <f>_xlfn.XLOOKUP(TableDailySummary[[#This Row],[Fecha]],SummaryDaily[day],SummaryDaily[gross_profit],0)</f>
        <v>1779277.63</v>
      </c>
      <c r="AP152" s="18">
        <f>IFERROR(TableDailySummary[[#This Row],[Utilidad bruta]]/TableDailySummary[[#This Row],[Ventas netas con costo registrado]],0)</f>
        <v>0.68856597272691067</v>
      </c>
    </row>
    <row r="153" spans="2:42" x14ac:dyDescent="0.2">
      <c r="B153" s="15" cm="1">
        <f t="array" ref="B153">MIN(SummaryDaily[day]) + (ROW(TableDailySummary[#This Row]) - ROW(TableDailySummary[[#Headers],[Dia]]) - 1)</f>
        <v>45924</v>
      </c>
      <c r="C153" s="6">
        <f>TableDailySummary[[#This Row],[Dia]]</f>
        <v>45924</v>
      </c>
      <c r="D153" s="12">
        <f>_xlfn.XLOOKUP(TableDailySummary[[#This Row],[Fecha]],SummaryDaily[day],SummaryDaily[net_sales],0)</f>
        <v>3522932.77</v>
      </c>
      <c r="E153" s="12">
        <f>_xlfn.XLOOKUP(TableDailySummary[[#This Row],[Fecha]],SummaryDaily[day],SummaryDaily[orders],0)</f>
        <v>18</v>
      </c>
      <c r="F153" s="12">
        <f>_xlfn.XLOOKUP(TableDailySummary[[#This Row],[Fecha]],SummaryDaily[day],SummaryDaily[average_order_value],0)</f>
        <v>183580.29800000001</v>
      </c>
      <c r="G153" s="24">
        <f>_xlfn.XLOOKUP(TableDailySummary[[#This Row],[Fecha]],SummaryDaily[day],SummaryDaily[Total site_conversion_rate],0)</f>
        <v>4.3196544276457886E-3</v>
      </c>
      <c r="H153" s="12">
        <f>TableDailySummary[[#This Row],[Órden promedio totales]]*TableDailySummary[[#This Row],[CR totales]]</f>
        <v>793.00344708423336</v>
      </c>
      <c r="I153" s="12">
        <f>_xlfn.XLOOKUP(TableDailySummary[[#This Row],[Fecha]],SummaryDaily[day],SummaryDaily[new_net_sales],0)</f>
        <v>1512605.04</v>
      </c>
      <c r="J153" s="12">
        <f>_xlfn.XLOOKUP(TableDailySummary[[#This Row],[Fecha]],SummaryDaily[day],SummaryDaily[new_orders],0)</f>
        <v>9</v>
      </c>
      <c r="K153" s="12">
        <f>_xlfn.XLOOKUP(TableDailySummary[[#This Row],[Fecha]],SummaryDaily[day],SummaryDaily[new_average_order_value],0)</f>
        <v>143790.85</v>
      </c>
      <c r="L153" s="12">
        <f>_xlfn.XLOOKUP(TableDailySummary[[#This Row],[Fecha]],SummaryDaily[day],SummaryDaily[Online Store_net_sales],0)</f>
        <v>1166512.6100000001</v>
      </c>
      <c r="M153" s="12">
        <f>_xlfn.XLOOKUP(TableDailySummary[[#This Row],[Fecha]],SummaryDaily[day],SummaryDaily[Online Store_orders],0)</f>
        <v>3</v>
      </c>
      <c r="N153" s="12">
        <f>_xlfn.XLOOKUP(TableDailySummary[[#This Row],[Fecha]],SummaryDaily[day],SummaryDaily[Online Store_average_order_value],0)</f>
        <v>388837.53600000002</v>
      </c>
      <c r="O153" s="12">
        <f>_xlfn.XLOOKUP(TableDailySummary[[#This Row],[Fecha]],SummaryDaily[day],SummaryDaily[Tienda 81_net_sales],0)</f>
        <v>2356420.16</v>
      </c>
      <c r="P153" s="12">
        <f>_xlfn.XLOOKUP(TableDailySummary[[#This Row],[Fecha]],SummaryDaily[day],SummaryDaily[Tienda 81_orders],0)</f>
        <v>15</v>
      </c>
      <c r="Q153" s="12">
        <f>_xlfn.XLOOKUP(TableDailySummary[[#This Row],[Fecha]],SummaryDaily[day],SummaryDaily[Tienda 81_average_order_value],0)</f>
        <v>142528.851</v>
      </c>
      <c r="R153" s="12">
        <f>_xlfn.XLOOKUP(TableDailySummary[[#This Row],[Fecha]],SummaryDaily[day],SummaryDaily[Rappi_net_sales],0)</f>
        <v>0</v>
      </c>
      <c r="S153" s="12">
        <f>_xlfn.XLOOKUP(TableDailySummary[[#This Row],[Fecha]],SummaryDaily[day],SummaryDaily[Rappi_orders],0)</f>
        <v>0</v>
      </c>
      <c r="T153" s="12">
        <f>_xlfn.XLOOKUP(TableDailySummary[[#This Row],[Fecha]],SummaryDaily[day],SummaryDaily[Rappi_average_order_value],0)</f>
        <v>0</v>
      </c>
      <c r="U153" s="12">
        <f>_xlfn.XLOOKUP(TableDailySummary[[#This Row],[Fecha]],SummaryDaily[day],SummaryDaily[Corporativo no tienda_net_sales],0)</f>
        <v>0</v>
      </c>
      <c r="V153" s="12">
        <f>_xlfn.XLOOKUP(TableDailySummary[[#This Row],[Fecha]],SummaryDaily[day],SummaryDaily[Corporativo no tienda_orders],0)</f>
        <v>0</v>
      </c>
      <c r="W153" s="12">
        <f>_xlfn.XLOOKUP(TableDailySummary[[#This Row],[Fecha]],SummaryDaily[day],SummaryDaily[Corporativo no tienda_average_order_value],0)</f>
        <v>0</v>
      </c>
      <c r="X153" s="12">
        <f>_xlfn.XLOOKUP(TableDailySummary[[#This Row],[Fecha]],SummaryDaily[day],SummaryDaily[GoogleAdsOperation.Cost],0)</f>
        <v>65745.97</v>
      </c>
      <c r="Y153" s="12">
        <f>SUMIFS(SalesByUTMDaily[google],SalesByUTMDaily[day],TableDailySummary[[#This Row],[Fecha]])</f>
        <v>0</v>
      </c>
      <c r="Z153" s="12">
        <f>_xlfn.XLOOKUP(TableDailySummary[[#This Row],[Fecha]],SummaryDaily[day],SummaryDaily[MetaAdsOperation.spend],0)</f>
        <v>47723</v>
      </c>
      <c r="AA153" s="12">
        <f>SUMIFS(SalesByUTMDaily[facebook],SalesByUTMDaily[day],TableDailySummary[[#This Row],[Fecha]])</f>
        <v>0</v>
      </c>
      <c r="AB153" s="12">
        <f>TableDailySummary[[#This Row],[Inversión google ads]]+TableDailySummary[[#This Row],[Inversión meta ads]]</f>
        <v>113468.97</v>
      </c>
      <c r="AC153" s="12">
        <f>TableDailySummary[[#This Row],[Ventas google ads]]+TableDailySummary[[#This Row],[Ventas meta ads]]</f>
        <v>0</v>
      </c>
      <c r="AD153" s="14">
        <f>IFERROR(TableDailySummary[[#This Row],[Ventas publicidad]]/TableDailySummary[[#This Row],[Inversión publicidad]],0)</f>
        <v>0</v>
      </c>
      <c r="AE153" s="14">
        <f>IFERROR(TableDailySummary[[#This Row],[Ventas primer cliente]]/TableDailySummary[[#This Row],[Inversión publicidad]],0)</f>
        <v>13.330561121688159</v>
      </c>
      <c r="AF153" s="14"/>
      <c r="AG153" s="12"/>
      <c r="AM153" s="12">
        <f>_xlfn.XLOOKUP(TableDailySummary[[#This Row],[Fecha]],SummaryDaily[day],SummaryDaily[net_sales_with_cost_recorded],0)</f>
        <v>3366932.77</v>
      </c>
      <c r="AN153" s="12">
        <f>_xlfn.XLOOKUP(TableDailySummary[[#This Row],[Fecha]],SummaryDaily[day],SummaryDaily[cost_of_goods_sold],0)</f>
        <v>1155047</v>
      </c>
      <c r="AO153" s="12">
        <f>_xlfn.XLOOKUP(TableDailySummary[[#This Row],[Fecha]],SummaryDaily[day],SummaryDaily[gross_profit],0)</f>
        <v>2211885.77</v>
      </c>
      <c r="AP153" s="18">
        <f>IFERROR(TableDailySummary[[#This Row],[Utilidad bruta]]/TableDailySummary[[#This Row],[Ventas netas con costo registrado]],0)</f>
        <v>0.65694384803531436</v>
      </c>
    </row>
    <row r="154" spans="2:42" x14ac:dyDescent="0.2">
      <c r="B154" s="15" cm="1">
        <f t="array" ref="B154">MIN(SummaryDaily[day]) + (ROW(TableDailySummary[#This Row]) - ROW(TableDailySummary[[#Headers],[Dia]]) - 1)</f>
        <v>45925</v>
      </c>
      <c r="C154" s="6">
        <f>TableDailySummary[[#This Row],[Dia]]</f>
        <v>45925</v>
      </c>
      <c r="D154" s="12">
        <f>_xlfn.XLOOKUP(TableDailySummary[[#This Row],[Fecha]],SummaryDaily[day],SummaryDaily[net_sales],0)</f>
        <v>3506403.39</v>
      </c>
      <c r="E154" s="12">
        <f>_xlfn.XLOOKUP(TableDailySummary[[#This Row],[Fecha]],SummaryDaily[day],SummaryDaily[orders],0)</f>
        <v>24</v>
      </c>
      <c r="F154" s="12">
        <f>_xlfn.XLOOKUP(TableDailySummary[[#This Row],[Fecha]],SummaryDaily[day],SummaryDaily[average_order_value],0)</f>
        <v>149601.541</v>
      </c>
      <c r="G154" s="24">
        <f>_xlfn.XLOOKUP(TableDailySummary[[#This Row],[Fecha]],SummaryDaily[day],SummaryDaily[Total site_conversion_rate],0)</f>
        <v>1.0135135135135136E-2</v>
      </c>
      <c r="H154" s="12">
        <f>TableDailySummary[[#This Row],[Órden promedio totales]]*TableDailySummary[[#This Row],[CR totales]]</f>
        <v>1516.2318344594596</v>
      </c>
      <c r="I154" s="12">
        <f>_xlfn.XLOOKUP(TableDailySummary[[#This Row],[Fecha]],SummaryDaily[day],SummaryDaily[new_net_sales],0)</f>
        <v>2471109.27</v>
      </c>
      <c r="J154" s="12">
        <f>_xlfn.XLOOKUP(TableDailySummary[[#This Row],[Fecha]],SummaryDaily[day],SummaryDaily[new_orders],0)</f>
        <v>14</v>
      </c>
      <c r="K154" s="12">
        <f>_xlfn.XLOOKUP(TableDailySummary[[#This Row],[Fecha]],SummaryDaily[day],SummaryDaily[new_average_order_value],0)</f>
        <v>182510.20499999999</v>
      </c>
      <c r="L154" s="12">
        <f>_xlfn.XLOOKUP(TableDailySummary[[#This Row],[Fecha]],SummaryDaily[day],SummaryDaily[Online Store_net_sales],0)</f>
        <v>382352.95</v>
      </c>
      <c r="M154" s="12">
        <f>_xlfn.XLOOKUP(TableDailySummary[[#This Row],[Fecha]],SummaryDaily[day],SummaryDaily[Online Store_orders],0)</f>
        <v>3</v>
      </c>
      <c r="N154" s="12">
        <f>_xlfn.XLOOKUP(TableDailySummary[[#This Row],[Fecha]],SummaryDaily[day],SummaryDaily[Online Store_average_order_value],0)</f>
        <v>127450.98299999999</v>
      </c>
      <c r="O154" s="12">
        <f>_xlfn.XLOOKUP(TableDailySummary[[#This Row],[Fecha]],SummaryDaily[day],SummaryDaily[Tienda 81_net_sales],0)</f>
        <v>3052621.87</v>
      </c>
      <c r="P154" s="12">
        <f>_xlfn.XLOOKUP(TableDailySummary[[#This Row],[Fecha]],SummaryDaily[day],SummaryDaily[Tienda 81_orders],0)</f>
        <v>20</v>
      </c>
      <c r="Q154" s="12">
        <f>_xlfn.XLOOKUP(TableDailySummary[[#This Row],[Fecha]],SummaryDaily[day],SummaryDaily[Tienda 81_average_order_value],0)</f>
        <v>156832.774</v>
      </c>
      <c r="R154" s="12">
        <f>_xlfn.XLOOKUP(TableDailySummary[[#This Row],[Fecha]],SummaryDaily[day],SummaryDaily[Rappi_net_sales],0)</f>
        <v>71428.570000000007</v>
      </c>
      <c r="S154" s="12">
        <f>_xlfn.XLOOKUP(TableDailySummary[[#This Row],[Fecha]],SummaryDaily[day],SummaryDaily[Rappi_orders],0)</f>
        <v>1</v>
      </c>
      <c r="T154" s="12">
        <f>_xlfn.XLOOKUP(TableDailySummary[[#This Row],[Fecha]],SummaryDaily[day],SummaryDaily[Rappi_average_order_value],0)</f>
        <v>71428.570000000007</v>
      </c>
      <c r="U154" s="12">
        <f>_xlfn.XLOOKUP(TableDailySummary[[#This Row],[Fecha]],SummaryDaily[day],SummaryDaily[Corporativo no tienda_net_sales],0)</f>
        <v>0</v>
      </c>
      <c r="V154" s="12">
        <f>_xlfn.XLOOKUP(TableDailySummary[[#This Row],[Fecha]],SummaryDaily[day],SummaryDaily[Corporativo no tienda_orders],0)</f>
        <v>0</v>
      </c>
      <c r="W154" s="12">
        <f>_xlfn.XLOOKUP(TableDailySummary[[#This Row],[Fecha]],SummaryDaily[day],SummaryDaily[Corporativo no tienda_average_order_value],0)</f>
        <v>0</v>
      </c>
      <c r="X154" s="12">
        <f>_xlfn.XLOOKUP(TableDailySummary[[#This Row],[Fecha]],SummaryDaily[day],SummaryDaily[GoogleAdsOperation.Cost],0)</f>
        <v>23737.37</v>
      </c>
      <c r="Y154" s="12">
        <f>SUMIFS(SalesByUTMDaily[google],SalesByUTMDaily[day],TableDailySummary[[#This Row],[Fecha]])</f>
        <v>120000</v>
      </c>
      <c r="Z154" s="12">
        <f>_xlfn.XLOOKUP(TableDailySummary[[#This Row],[Fecha]],SummaryDaily[day],SummaryDaily[MetaAdsOperation.spend],0)</f>
        <v>48645</v>
      </c>
      <c r="AA154" s="12">
        <f>SUMIFS(SalesByUTMDaily[facebook],SalesByUTMDaily[day],TableDailySummary[[#This Row],[Fecha]])</f>
        <v>0</v>
      </c>
      <c r="AB154" s="12">
        <f>TableDailySummary[[#This Row],[Inversión google ads]]+TableDailySummary[[#This Row],[Inversión meta ads]]</f>
        <v>72382.37</v>
      </c>
      <c r="AC154" s="12">
        <f>TableDailySummary[[#This Row],[Ventas google ads]]+TableDailySummary[[#This Row],[Ventas meta ads]]</f>
        <v>120000</v>
      </c>
      <c r="AD154" s="14">
        <f>IFERROR(TableDailySummary[[#This Row],[Ventas publicidad]]/TableDailySummary[[#This Row],[Inversión publicidad]],0)</f>
        <v>1.6578622667370522</v>
      </c>
      <c r="AE154" s="14">
        <f>IFERROR(TableDailySummary[[#This Row],[Ventas primer cliente]]/TableDailySummary[[#This Row],[Inversión publicidad]],0)</f>
        <v>34.139656797642857</v>
      </c>
      <c r="AF154" s="14"/>
      <c r="AG154" s="12"/>
      <c r="AM154" s="12">
        <f>_xlfn.XLOOKUP(TableDailySummary[[#This Row],[Fecha]],SummaryDaily[day],SummaryDaily[net_sales_with_cost_recorded],0)</f>
        <v>3506403.39</v>
      </c>
      <c r="AN154" s="12">
        <f>_xlfn.XLOOKUP(TableDailySummary[[#This Row],[Fecha]],SummaryDaily[day],SummaryDaily[cost_of_goods_sold],0)</f>
        <v>1133878</v>
      </c>
      <c r="AO154" s="12">
        <f>_xlfn.XLOOKUP(TableDailySummary[[#This Row],[Fecha]],SummaryDaily[day],SummaryDaily[gross_profit],0)</f>
        <v>2372525.39</v>
      </c>
      <c r="AP154" s="18">
        <f>IFERROR(TableDailySummary[[#This Row],[Utilidad bruta]]/TableDailySummary[[#This Row],[Ventas netas con costo registrado]],0)</f>
        <v>0.67662648192910857</v>
      </c>
    </row>
    <row r="155" spans="2:42" x14ac:dyDescent="0.2">
      <c r="B155" s="15" cm="1">
        <f t="array" ref="B155">MIN(SummaryDaily[day]) + (ROW(TableDailySummary[#This Row]) - ROW(TableDailySummary[[#Headers],[Dia]]) - 1)</f>
        <v>45926</v>
      </c>
      <c r="C155" s="6">
        <f>TableDailySummary[[#This Row],[Dia]]</f>
        <v>45926</v>
      </c>
      <c r="D155" s="12">
        <f>_xlfn.XLOOKUP(TableDailySummary[[#This Row],[Fecha]],SummaryDaily[day],SummaryDaily[net_sales],0)</f>
        <v>2812185.74</v>
      </c>
      <c r="E155" s="12">
        <f>_xlfn.XLOOKUP(TableDailySummary[[#This Row],[Fecha]],SummaryDaily[day],SummaryDaily[orders],0)</f>
        <v>21</v>
      </c>
      <c r="F155" s="12">
        <f>_xlfn.XLOOKUP(TableDailySummary[[#This Row],[Fecha]],SummaryDaily[day],SummaryDaily[average_order_value],0)</f>
        <v>144317.76800000001</v>
      </c>
      <c r="G155" s="24">
        <f>_xlfn.XLOOKUP(TableDailySummary[[#This Row],[Fecha]],SummaryDaily[day],SummaryDaily[Total site_conversion_rate],0)</f>
        <v>1.1093502377179081E-2</v>
      </c>
      <c r="H155" s="12">
        <f>TableDailySummary[[#This Row],[Órden promedio totales]]*TableDailySummary[[#This Row],[CR totales]]</f>
        <v>1600.9895023771792</v>
      </c>
      <c r="I155" s="12">
        <f>_xlfn.XLOOKUP(TableDailySummary[[#This Row],[Fecha]],SummaryDaily[day],SummaryDaily[new_net_sales],0)</f>
        <v>1279831.95</v>
      </c>
      <c r="J155" s="12">
        <f>_xlfn.XLOOKUP(TableDailySummary[[#This Row],[Fecha]],SummaryDaily[day],SummaryDaily[new_orders],0)</f>
        <v>11</v>
      </c>
      <c r="K155" s="12">
        <f>_xlfn.XLOOKUP(TableDailySummary[[#This Row],[Fecha]],SummaryDaily[day],SummaryDaily[new_average_order_value],0)</f>
        <v>136210.84899999999</v>
      </c>
      <c r="L155" s="12">
        <f>_xlfn.XLOOKUP(TableDailySummary[[#This Row],[Fecha]],SummaryDaily[day],SummaryDaily[Online Store_net_sales],0)</f>
        <v>1113446.23</v>
      </c>
      <c r="M155" s="12">
        <f>_xlfn.XLOOKUP(TableDailySummary[[#This Row],[Fecha]],SummaryDaily[day],SummaryDaily[Online Store_orders],0)</f>
        <v>8</v>
      </c>
      <c r="N155" s="12">
        <f>_xlfn.XLOOKUP(TableDailySummary[[#This Row],[Fecha]],SummaryDaily[day],SummaryDaily[Online Store_average_order_value],0)</f>
        <v>139180.77799999999</v>
      </c>
      <c r="O155" s="12">
        <f>_xlfn.XLOOKUP(TableDailySummary[[#This Row],[Fecha]],SummaryDaily[day],SummaryDaily[Tienda 81_net_sales],0)</f>
        <v>1698739.51</v>
      </c>
      <c r="P155" s="12">
        <f>_xlfn.XLOOKUP(TableDailySummary[[#This Row],[Fecha]],SummaryDaily[day],SummaryDaily[Tienda 81_orders],0)</f>
        <v>13</v>
      </c>
      <c r="Q155" s="12">
        <f>_xlfn.XLOOKUP(TableDailySummary[[#This Row],[Fecha]],SummaryDaily[day],SummaryDaily[Tienda 81_average_order_value],0)</f>
        <v>147478.992</v>
      </c>
      <c r="R155" s="12">
        <f>_xlfn.XLOOKUP(TableDailySummary[[#This Row],[Fecha]],SummaryDaily[day],SummaryDaily[Rappi_net_sales],0)</f>
        <v>0</v>
      </c>
      <c r="S155" s="12">
        <f>_xlfn.XLOOKUP(TableDailySummary[[#This Row],[Fecha]],SummaryDaily[day],SummaryDaily[Rappi_orders],0)</f>
        <v>0</v>
      </c>
      <c r="T155" s="12">
        <f>_xlfn.XLOOKUP(TableDailySummary[[#This Row],[Fecha]],SummaryDaily[day],SummaryDaily[Rappi_average_order_value],0)</f>
        <v>0</v>
      </c>
      <c r="U155" s="12">
        <f>_xlfn.XLOOKUP(TableDailySummary[[#This Row],[Fecha]],SummaryDaily[day],SummaryDaily[Corporativo no tienda_net_sales],0)</f>
        <v>0</v>
      </c>
      <c r="V155" s="12">
        <f>_xlfn.XLOOKUP(TableDailySummary[[#This Row],[Fecha]],SummaryDaily[day],SummaryDaily[Corporativo no tienda_orders],0)</f>
        <v>0</v>
      </c>
      <c r="W155" s="12">
        <f>_xlfn.XLOOKUP(TableDailySummary[[#This Row],[Fecha]],SummaryDaily[day],SummaryDaily[Corporativo no tienda_average_order_value],0)</f>
        <v>0</v>
      </c>
      <c r="X155" s="12">
        <f>_xlfn.XLOOKUP(TableDailySummary[[#This Row],[Fecha]],SummaryDaily[day],SummaryDaily[GoogleAdsOperation.Cost],0)</f>
        <v>78296.5</v>
      </c>
      <c r="Y155" s="12">
        <f>SUMIFS(SalesByUTMDaily[google],SalesByUTMDaily[day],TableDailySummary[[#This Row],[Fecha]])</f>
        <v>0</v>
      </c>
      <c r="Z155" s="12">
        <f>_xlfn.XLOOKUP(TableDailySummary[[#This Row],[Fecha]],SummaryDaily[day],SummaryDaily[MetaAdsOperation.spend],0)</f>
        <v>47178</v>
      </c>
      <c r="AA155" s="12">
        <f>SUMIFS(SalesByUTMDaily[facebook],SalesByUTMDaily[day],TableDailySummary[[#This Row],[Fecha]])</f>
        <v>0</v>
      </c>
      <c r="AB155" s="12">
        <f>TableDailySummary[[#This Row],[Inversión google ads]]+TableDailySummary[[#This Row],[Inversión meta ads]]</f>
        <v>125474.5</v>
      </c>
      <c r="AC155" s="12">
        <f>TableDailySummary[[#This Row],[Ventas google ads]]+TableDailySummary[[#This Row],[Ventas meta ads]]</f>
        <v>0</v>
      </c>
      <c r="AD155" s="14">
        <f>IFERROR(TableDailySummary[[#This Row],[Ventas publicidad]]/TableDailySummary[[#This Row],[Inversión publicidad]],0)</f>
        <v>0</v>
      </c>
      <c r="AE155" s="14">
        <f>IFERROR(TableDailySummary[[#This Row],[Ventas primer cliente]]/TableDailySummary[[#This Row],[Inversión publicidad]],0)</f>
        <v>10.199936640512615</v>
      </c>
      <c r="AF155" s="14"/>
      <c r="AG155" s="12"/>
      <c r="AM155" s="12">
        <f>_xlfn.XLOOKUP(TableDailySummary[[#This Row],[Fecha]],SummaryDaily[day],SummaryDaily[net_sales_with_cost_recorded],0)</f>
        <v>2812185.74</v>
      </c>
      <c r="AN155" s="12">
        <f>_xlfn.XLOOKUP(TableDailySummary[[#This Row],[Fecha]],SummaryDaily[day],SummaryDaily[cost_of_goods_sold],0)</f>
        <v>796221</v>
      </c>
      <c r="AO155" s="12">
        <f>_xlfn.XLOOKUP(TableDailySummary[[#This Row],[Fecha]],SummaryDaily[day],SummaryDaily[gross_profit],0)</f>
        <v>2015964.74</v>
      </c>
      <c r="AP155" s="18">
        <f>IFERROR(TableDailySummary[[#This Row],[Utilidad bruta]]/TableDailySummary[[#This Row],[Ventas netas con costo registrado]],0)</f>
        <v>0.71686756366241999</v>
      </c>
    </row>
    <row r="156" spans="2:42" x14ac:dyDescent="0.2">
      <c r="B156" s="15" cm="1">
        <f t="array" ref="B156">MIN(SummaryDaily[day]) + (ROW(TableDailySummary[#This Row]) - ROW(TableDailySummary[[#Headers],[Dia]]) - 1)</f>
        <v>45927</v>
      </c>
      <c r="C156" s="6">
        <f>TableDailySummary[[#This Row],[Dia]]</f>
        <v>45927</v>
      </c>
      <c r="D156" s="12">
        <f>_xlfn.XLOOKUP(TableDailySummary[[#This Row],[Fecha]],SummaryDaily[day],SummaryDaily[net_sales],0)</f>
        <v>4275268.91</v>
      </c>
      <c r="E156" s="12">
        <f>_xlfn.XLOOKUP(TableDailySummary[[#This Row],[Fecha]],SummaryDaily[day],SummaryDaily[orders],0)</f>
        <v>30</v>
      </c>
      <c r="F156" s="12">
        <f>_xlfn.XLOOKUP(TableDailySummary[[#This Row],[Fecha]],SummaryDaily[day],SummaryDaily[average_order_value],0)</f>
        <v>142508.96299999999</v>
      </c>
      <c r="G156" s="24">
        <f>_xlfn.XLOOKUP(TableDailySummary[[#This Row],[Fecha]],SummaryDaily[day],SummaryDaily[Total site_conversion_rate],0)</f>
        <v>1.1441647597254004E-2</v>
      </c>
      <c r="H156" s="12">
        <f>TableDailySummary[[#This Row],[Órden promedio totales]]*TableDailySummary[[#This Row],[CR totales]]</f>
        <v>1630.5373340961096</v>
      </c>
      <c r="I156" s="12">
        <f>_xlfn.XLOOKUP(TableDailySummary[[#This Row],[Fecha]],SummaryDaily[day],SummaryDaily[new_net_sales],0)</f>
        <v>3479470.59</v>
      </c>
      <c r="J156" s="12">
        <f>_xlfn.XLOOKUP(TableDailySummary[[#This Row],[Fecha]],SummaryDaily[day],SummaryDaily[new_orders],0)</f>
        <v>23</v>
      </c>
      <c r="K156" s="12">
        <f>_xlfn.XLOOKUP(TableDailySummary[[#This Row],[Fecha]],SummaryDaily[day],SummaryDaily[new_average_order_value],0)</f>
        <v>151281.32999999999</v>
      </c>
      <c r="L156" s="12">
        <f>_xlfn.XLOOKUP(TableDailySummary[[#This Row],[Fecha]],SummaryDaily[day],SummaryDaily[Online Store_net_sales],0)</f>
        <v>584033.62</v>
      </c>
      <c r="M156" s="12">
        <f>_xlfn.XLOOKUP(TableDailySummary[[#This Row],[Fecha]],SummaryDaily[day],SummaryDaily[Online Store_orders],0)</f>
        <v>5</v>
      </c>
      <c r="N156" s="12">
        <f>_xlfn.XLOOKUP(TableDailySummary[[#This Row],[Fecha]],SummaryDaily[day],SummaryDaily[Online Store_average_order_value],0)</f>
        <v>116806.724</v>
      </c>
      <c r="O156" s="12">
        <f>_xlfn.XLOOKUP(TableDailySummary[[#This Row],[Fecha]],SummaryDaily[day],SummaryDaily[Tienda 81_net_sales],0)</f>
        <v>3645016.8</v>
      </c>
      <c r="P156" s="12">
        <f>_xlfn.XLOOKUP(TableDailySummary[[#This Row],[Fecha]],SummaryDaily[day],SummaryDaily[Tienda 81_orders],0)</f>
        <v>24</v>
      </c>
      <c r="Q156" s="12">
        <f>_xlfn.XLOOKUP(TableDailySummary[[#This Row],[Fecha]],SummaryDaily[day],SummaryDaily[Tienda 81_average_order_value],0)</f>
        <v>151875.70000000001</v>
      </c>
      <c r="R156" s="12">
        <f>_xlfn.XLOOKUP(TableDailySummary[[#This Row],[Fecha]],SummaryDaily[day],SummaryDaily[Rappi_net_sales],0)</f>
        <v>46218.49</v>
      </c>
      <c r="S156" s="12">
        <f>_xlfn.XLOOKUP(TableDailySummary[[#This Row],[Fecha]],SummaryDaily[day],SummaryDaily[Rappi_orders],0)</f>
        <v>1</v>
      </c>
      <c r="T156" s="12">
        <f>_xlfn.XLOOKUP(TableDailySummary[[#This Row],[Fecha]],SummaryDaily[day],SummaryDaily[Rappi_average_order_value],0)</f>
        <v>46218.49</v>
      </c>
      <c r="U156" s="12">
        <f>_xlfn.XLOOKUP(TableDailySummary[[#This Row],[Fecha]],SummaryDaily[day],SummaryDaily[Corporativo no tienda_net_sales],0)</f>
        <v>0</v>
      </c>
      <c r="V156" s="12">
        <f>_xlfn.XLOOKUP(TableDailySummary[[#This Row],[Fecha]],SummaryDaily[day],SummaryDaily[Corporativo no tienda_orders],0)</f>
        <v>0</v>
      </c>
      <c r="W156" s="12">
        <f>_xlfn.XLOOKUP(TableDailySummary[[#This Row],[Fecha]],SummaryDaily[day],SummaryDaily[Corporativo no tienda_average_order_value],0)</f>
        <v>0</v>
      </c>
      <c r="X156" s="12">
        <f>_xlfn.XLOOKUP(TableDailySummary[[#This Row],[Fecha]],SummaryDaily[day],SummaryDaily[GoogleAdsOperation.Cost],0)</f>
        <v>44659.86</v>
      </c>
      <c r="Y156" s="12">
        <f>SUMIFS(SalesByUTMDaily[google],SalesByUTMDaily[day],TableDailySummary[[#This Row],[Fecha]])</f>
        <v>69000</v>
      </c>
      <c r="Z156" s="12">
        <f>_xlfn.XLOOKUP(TableDailySummary[[#This Row],[Fecha]],SummaryDaily[day],SummaryDaily[MetaAdsOperation.spend],0)</f>
        <v>48614</v>
      </c>
      <c r="AA156" s="12">
        <f>SUMIFS(SalesByUTMDaily[facebook],SalesByUTMDaily[day],TableDailySummary[[#This Row],[Fecha]])</f>
        <v>214500</v>
      </c>
      <c r="AB156" s="12">
        <f>TableDailySummary[[#This Row],[Inversión google ads]]+TableDailySummary[[#This Row],[Inversión meta ads]]</f>
        <v>93273.86</v>
      </c>
      <c r="AC156" s="12">
        <f>TableDailySummary[[#This Row],[Ventas google ads]]+TableDailySummary[[#This Row],[Ventas meta ads]]</f>
        <v>283500</v>
      </c>
      <c r="AD156" s="14">
        <f>IFERROR(TableDailySummary[[#This Row],[Ventas publicidad]]/TableDailySummary[[#This Row],[Inversión publicidad]],0)</f>
        <v>3.0394367725319826</v>
      </c>
      <c r="AE156" s="14">
        <f>IFERROR(TableDailySummary[[#This Row],[Ventas primer cliente]]/TableDailySummary[[#This Row],[Inversión publicidad]],0)</f>
        <v>37.30381255798784</v>
      </c>
      <c r="AF156" s="14"/>
      <c r="AG156" s="12"/>
      <c r="AM156" s="12">
        <f>_xlfn.XLOOKUP(TableDailySummary[[#This Row],[Fecha]],SummaryDaily[day],SummaryDaily[net_sales_with_cost_recorded],0)</f>
        <v>4082831.93</v>
      </c>
      <c r="AN156" s="12">
        <f>_xlfn.XLOOKUP(TableDailySummary[[#This Row],[Fecha]],SummaryDaily[day],SummaryDaily[cost_of_goods_sold],0)</f>
        <v>1255875</v>
      </c>
      <c r="AO156" s="12">
        <f>_xlfn.XLOOKUP(TableDailySummary[[#This Row],[Fecha]],SummaryDaily[day],SummaryDaily[gross_profit],0)</f>
        <v>2826956.93</v>
      </c>
      <c r="AP156" s="18">
        <f>IFERROR(TableDailySummary[[#This Row],[Utilidad bruta]]/TableDailySummary[[#This Row],[Ventas netas con costo registrado]],0)</f>
        <v>0.69240100461348164</v>
      </c>
    </row>
    <row r="157" spans="2:42" x14ac:dyDescent="0.2">
      <c r="B157" s="15" cm="1">
        <f t="array" ref="B157">MIN(SummaryDaily[day]) + (ROW(TableDailySummary[#This Row]) - ROW(TableDailySummary[[#Headers],[Dia]]) - 1)</f>
        <v>45928</v>
      </c>
      <c r="C157" s="6">
        <f>TableDailySummary[[#This Row],[Dia]]</f>
        <v>45928</v>
      </c>
      <c r="D157" s="12">
        <f>_xlfn.XLOOKUP(TableDailySummary[[#This Row],[Fecha]],SummaryDaily[day],SummaryDaily[net_sales],0)</f>
        <v>2200420.1800000002</v>
      </c>
      <c r="E157" s="12">
        <f>_xlfn.XLOOKUP(TableDailySummary[[#This Row],[Fecha]],SummaryDaily[day],SummaryDaily[orders],0)</f>
        <v>16</v>
      </c>
      <c r="F157" s="12">
        <f>_xlfn.XLOOKUP(TableDailySummary[[#This Row],[Fecha]],SummaryDaily[day],SummaryDaily[average_order_value],0)</f>
        <v>137526.261</v>
      </c>
      <c r="G157" s="24">
        <f>_xlfn.XLOOKUP(TableDailySummary[[#This Row],[Fecha]],SummaryDaily[day],SummaryDaily[Total site_conversion_rate],0)</f>
        <v>1.2315270935960592E-2</v>
      </c>
      <c r="H157" s="12">
        <f>TableDailySummary[[#This Row],[Órden promedio totales]]*TableDailySummary[[#This Row],[CR totales]]</f>
        <v>1693.6731650246306</v>
      </c>
      <c r="I157" s="12">
        <f>_xlfn.XLOOKUP(TableDailySummary[[#This Row],[Fecha]],SummaryDaily[day],SummaryDaily[new_net_sales],0)</f>
        <v>1885294.13</v>
      </c>
      <c r="J157" s="12">
        <f>_xlfn.XLOOKUP(TableDailySummary[[#This Row],[Fecha]],SummaryDaily[day],SummaryDaily[new_orders],0)</f>
        <v>13</v>
      </c>
      <c r="K157" s="12">
        <f>_xlfn.XLOOKUP(TableDailySummary[[#This Row],[Fecha]],SummaryDaily[day],SummaryDaily[new_average_order_value],0)</f>
        <v>145022.625</v>
      </c>
      <c r="L157" s="12">
        <f>_xlfn.XLOOKUP(TableDailySummary[[#This Row],[Fecha]],SummaryDaily[day],SummaryDaily[Online Store_net_sales],0)</f>
        <v>533613.44999999995</v>
      </c>
      <c r="M157" s="12">
        <f>_xlfn.XLOOKUP(TableDailySummary[[#This Row],[Fecha]],SummaryDaily[day],SummaryDaily[Online Store_orders],0)</f>
        <v>4</v>
      </c>
      <c r="N157" s="12">
        <f>_xlfn.XLOOKUP(TableDailySummary[[#This Row],[Fecha]],SummaryDaily[day],SummaryDaily[Online Store_average_order_value],0)</f>
        <v>133403.36199999999</v>
      </c>
      <c r="O157" s="12">
        <f>_xlfn.XLOOKUP(TableDailySummary[[#This Row],[Fecha]],SummaryDaily[day],SummaryDaily[Tienda 81_net_sales],0)</f>
        <v>1666806.73</v>
      </c>
      <c r="P157" s="12">
        <f>_xlfn.XLOOKUP(TableDailySummary[[#This Row],[Fecha]],SummaryDaily[day],SummaryDaily[Tienda 81_orders],0)</f>
        <v>12</v>
      </c>
      <c r="Q157" s="12">
        <f>_xlfn.XLOOKUP(TableDailySummary[[#This Row],[Fecha]],SummaryDaily[day],SummaryDaily[Tienda 81_average_order_value],0)</f>
        <v>138900.56</v>
      </c>
      <c r="R157" s="12">
        <f>_xlfn.XLOOKUP(TableDailySummary[[#This Row],[Fecha]],SummaryDaily[day],SummaryDaily[Rappi_net_sales],0)</f>
        <v>0</v>
      </c>
      <c r="S157" s="12">
        <f>_xlfn.XLOOKUP(TableDailySummary[[#This Row],[Fecha]],SummaryDaily[day],SummaryDaily[Rappi_orders],0)</f>
        <v>0</v>
      </c>
      <c r="T157" s="12">
        <f>_xlfn.XLOOKUP(TableDailySummary[[#This Row],[Fecha]],SummaryDaily[day],SummaryDaily[Rappi_average_order_value],0)</f>
        <v>0</v>
      </c>
      <c r="U157" s="12">
        <f>_xlfn.XLOOKUP(TableDailySummary[[#This Row],[Fecha]],SummaryDaily[day],SummaryDaily[Corporativo no tienda_net_sales],0)</f>
        <v>0</v>
      </c>
      <c r="V157" s="12">
        <f>_xlfn.XLOOKUP(TableDailySummary[[#This Row],[Fecha]],SummaryDaily[day],SummaryDaily[Corporativo no tienda_orders],0)</f>
        <v>0</v>
      </c>
      <c r="W157" s="12">
        <f>_xlfn.XLOOKUP(TableDailySummary[[#This Row],[Fecha]],SummaryDaily[day],SummaryDaily[Corporativo no tienda_average_order_value],0)</f>
        <v>0</v>
      </c>
      <c r="X157" s="12">
        <f>_xlfn.XLOOKUP(TableDailySummary[[#This Row],[Fecha]],SummaryDaily[day],SummaryDaily[GoogleAdsOperation.Cost],0)</f>
        <v>32790.39</v>
      </c>
      <c r="Y157" s="12">
        <f>SUMIFS(SalesByUTMDaily[google],SalesByUTMDaily[day],TableDailySummary[[#This Row],[Fecha]])</f>
        <v>249500</v>
      </c>
      <c r="Z157" s="12">
        <f>_xlfn.XLOOKUP(TableDailySummary[[#This Row],[Fecha]],SummaryDaily[day],SummaryDaily[MetaAdsOperation.spend],0)</f>
        <v>52896</v>
      </c>
      <c r="AA157" s="12">
        <f>SUMIFS(SalesByUTMDaily[facebook],SalesByUTMDaily[day],TableDailySummary[[#This Row],[Fecha]])</f>
        <v>0</v>
      </c>
      <c r="AB157" s="12">
        <f>TableDailySummary[[#This Row],[Inversión google ads]]+TableDailySummary[[#This Row],[Inversión meta ads]]</f>
        <v>85686.39</v>
      </c>
      <c r="AC157" s="12">
        <f>TableDailySummary[[#This Row],[Ventas google ads]]+TableDailySummary[[#This Row],[Ventas meta ads]]</f>
        <v>249500</v>
      </c>
      <c r="AD157" s="14">
        <f>IFERROR(TableDailySummary[[#This Row],[Ventas publicidad]]/TableDailySummary[[#This Row],[Inversión publicidad]],0)</f>
        <v>2.9117809724508175</v>
      </c>
      <c r="AE157" s="14">
        <f>IFERROR(TableDailySummary[[#This Row],[Ventas primer cliente]]/TableDailySummary[[#This Row],[Inversión publicidad]],0)</f>
        <v>22.002258818465801</v>
      </c>
      <c r="AF157" s="14"/>
      <c r="AG157" s="12"/>
      <c r="AM157" s="12">
        <f>_xlfn.XLOOKUP(TableDailySummary[[#This Row],[Fecha]],SummaryDaily[day],SummaryDaily[net_sales_with_cost_recorded],0)</f>
        <v>2124789.92</v>
      </c>
      <c r="AN157" s="12">
        <f>_xlfn.XLOOKUP(TableDailySummary[[#This Row],[Fecha]],SummaryDaily[day],SummaryDaily[cost_of_goods_sold],0)</f>
        <v>601053</v>
      </c>
      <c r="AO157" s="12">
        <f>_xlfn.XLOOKUP(TableDailySummary[[#This Row],[Fecha]],SummaryDaily[day],SummaryDaily[gross_profit],0)</f>
        <v>1523736.92</v>
      </c>
      <c r="AP157" s="18">
        <f>IFERROR(TableDailySummary[[#This Row],[Utilidad bruta]]/TableDailySummary[[#This Row],[Ventas netas con costo registrado]],0)</f>
        <v>0.7171235639144975</v>
      </c>
    </row>
    <row r="158" spans="2:42" x14ac:dyDescent="0.2">
      <c r="B158" s="15" cm="1">
        <f t="array" ref="B158">MIN(SummaryDaily[day]) + (ROW(TableDailySummary[#This Row]) - ROW(TableDailySummary[[#Headers],[Dia]]) - 1)</f>
        <v>45929</v>
      </c>
      <c r="C158" s="6">
        <f>TableDailySummary[[#This Row],[Dia]]</f>
        <v>45929</v>
      </c>
      <c r="D158" s="12">
        <f>_xlfn.XLOOKUP(TableDailySummary[[#This Row],[Fecha]],SummaryDaily[day],SummaryDaily[net_sales],0)</f>
        <v>8102100.8399999999</v>
      </c>
      <c r="E158" s="12">
        <f>_xlfn.XLOOKUP(TableDailySummary[[#This Row],[Fecha]],SummaryDaily[day],SummaryDaily[orders],0)</f>
        <v>20</v>
      </c>
      <c r="F158" s="12">
        <f>_xlfn.XLOOKUP(TableDailySummary[[#This Row],[Fecha]],SummaryDaily[day],SummaryDaily[average_order_value],0)</f>
        <v>528865.54599999997</v>
      </c>
      <c r="G158" s="24">
        <f>_xlfn.XLOOKUP(TableDailySummary[[#This Row],[Fecha]],SummaryDaily[day],SummaryDaily[Total site_conversion_rate],0)</f>
        <v>1.2131715771230503E-2</v>
      </c>
      <c r="H158" s="12">
        <f>TableDailySummary[[#This Row],[Órden promedio totales]]*TableDailySummary[[#This Row],[CR totales]]</f>
        <v>6416.0464852686309</v>
      </c>
      <c r="I158" s="12">
        <f>_xlfn.XLOOKUP(TableDailySummary[[#This Row],[Fecha]],SummaryDaily[day],SummaryDaily[new_net_sales],0)</f>
        <v>-709243.7</v>
      </c>
      <c r="J158" s="12">
        <f>_xlfn.XLOOKUP(TableDailySummary[[#This Row],[Fecha]],SummaryDaily[day],SummaryDaily[new_orders],0)</f>
        <v>9</v>
      </c>
      <c r="K158" s="12">
        <f>_xlfn.XLOOKUP(TableDailySummary[[#This Row],[Fecha]],SummaryDaily[day],SummaryDaily[new_average_order_value],0)</f>
        <v>144724.55600000001</v>
      </c>
      <c r="L158" s="12">
        <f>_xlfn.XLOOKUP(TableDailySummary[[#This Row],[Fecha]],SummaryDaily[day],SummaryDaily[Online Store_net_sales],0)</f>
        <v>5835294.1200000001</v>
      </c>
      <c r="M158" s="12">
        <f>_xlfn.XLOOKUP(TableDailySummary[[#This Row],[Fecha]],SummaryDaily[day],SummaryDaily[Online Store_orders],0)</f>
        <v>6</v>
      </c>
      <c r="N158" s="12">
        <f>_xlfn.XLOOKUP(TableDailySummary[[#This Row],[Fecha]],SummaryDaily[day],SummaryDaily[Online Store_average_order_value],0)</f>
        <v>972549.02</v>
      </c>
      <c r="O158" s="12">
        <f>_xlfn.XLOOKUP(TableDailySummary[[#This Row],[Fecha]],SummaryDaily[day],SummaryDaily[Tienda 81_net_sales],0)</f>
        <v>2220588.23</v>
      </c>
      <c r="P158" s="12">
        <f>_xlfn.XLOOKUP(TableDailySummary[[#This Row],[Fecha]],SummaryDaily[day],SummaryDaily[Tienda 81_orders],0)</f>
        <v>13</v>
      </c>
      <c r="Q158" s="12">
        <f>_xlfn.XLOOKUP(TableDailySummary[[#This Row],[Fecha]],SummaryDaily[day],SummaryDaily[Tienda 81_average_order_value],0)</f>
        <v>361215.255</v>
      </c>
      <c r="R158" s="12">
        <f>_xlfn.XLOOKUP(TableDailySummary[[#This Row],[Fecha]],SummaryDaily[day],SummaryDaily[Rappi_net_sales],0)</f>
        <v>46218.49</v>
      </c>
      <c r="S158" s="12">
        <f>_xlfn.XLOOKUP(TableDailySummary[[#This Row],[Fecha]],SummaryDaily[day],SummaryDaily[Rappi_orders],0)</f>
        <v>1</v>
      </c>
      <c r="T158" s="12">
        <f>_xlfn.XLOOKUP(TableDailySummary[[#This Row],[Fecha]],SummaryDaily[day],SummaryDaily[Rappi_average_order_value],0)</f>
        <v>46218.49</v>
      </c>
      <c r="U158" s="12">
        <f>_xlfn.XLOOKUP(TableDailySummary[[#This Row],[Fecha]],SummaryDaily[day],SummaryDaily[Corporativo no tienda_net_sales],0)</f>
        <v>0</v>
      </c>
      <c r="V158" s="12">
        <f>_xlfn.XLOOKUP(TableDailySummary[[#This Row],[Fecha]],SummaryDaily[day],SummaryDaily[Corporativo no tienda_orders],0)</f>
        <v>0</v>
      </c>
      <c r="W158" s="12">
        <f>_xlfn.XLOOKUP(TableDailySummary[[#This Row],[Fecha]],SummaryDaily[day],SummaryDaily[Corporativo no tienda_average_order_value],0)</f>
        <v>0</v>
      </c>
      <c r="X158" s="12">
        <f>_xlfn.XLOOKUP(TableDailySummary[[#This Row],[Fecha]],SummaryDaily[day],SummaryDaily[GoogleAdsOperation.Cost],0)</f>
        <v>60094.77</v>
      </c>
      <c r="Y158" s="12">
        <f>SUMIFS(SalesByUTMDaily[google],SalesByUTMDaily[day],TableDailySummary[[#This Row],[Fecha]])</f>
        <v>574000</v>
      </c>
      <c r="Z158" s="12">
        <f>_xlfn.XLOOKUP(TableDailySummary[[#This Row],[Fecha]],SummaryDaily[day],SummaryDaily[MetaAdsOperation.spend],0)</f>
        <v>52598</v>
      </c>
      <c r="AA158" s="12">
        <f>SUMIFS(SalesByUTMDaily[facebook],SalesByUTMDaily[day],TableDailySummary[[#This Row],[Fecha]])</f>
        <v>163500</v>
      </c>
      <c r="AB158" s="12">
        <f>TableDailySummary[[#This Row],[Inversión google ads]]+TableDailySummary[[#This Row],[Inversión meta ads]]</f>
        <v>112692.76999999999</v>
      </c>
      <c r="AC158" s="12">
        <f>TableDailySummary[[#This Row],[Ventas google ads]]+TableDailySummary[[#This Row],[Ventas meta ads]]</f>
        <v>737500</v>
      </c>
      <c r="AD158" s="14">
        <f>IFERROR(TableDailySummary[[#This Row],[Ventas publicidad]]/TableDailySummary[[#This Row],[Inversión publicidad]],0)</f>
        <v>6.5443417532464601</v>
      </c>
      <c r="AE158" s="14">
        <f>IFERROR(TableDailySummary[[#This Row],[Ventas primer cliente]]/TableDailySummary[[#This Row],[Inversión publicidad]],0)</f>
        <v>-6.2936042835756014</v>
      </c>
      <c r="AF158" s="14"/>
      <c r="AG158" s="12"/>
      <c r="AM158" s="12">
        <f>_xlfn.XLOOKUP(TableDailySummary[[#This Row],[Fecha]],SummaryDaily[day],SummaryDaily[net_sales_with_cost_recorded],0)</f>
        <v>8109663.8700000001</v>
      </c>
      <c r="AN158" s="12">
        <f>_xlfn.XLOOKUP(TableDailySummary[[#This Row],[Fecha]],SummaryDaily[day],SummaryDaily[cost_of_goods_sold],0)</f>
        <v>2275429</v>
      </c>
      <c r="AO158" s="12">
        <f>_xlfn.XLOOKUP(TableDailySummary[[#This Row],[Fecha]],SummaryDaily[day],SummaryDaily[gross_profit],0)</f>
        <v>5834234.8700000001</v>
      </c>
      <c r="AP158" s="18">
        <f>IFERROR(TableDailySummary[[#This Row],[Utilidad bruta]]/TableDailySummary[[#This Row],[Ventas netas con costo registrado]],0)</f>
        <v>0.71941759406114569</v>
      </c>
    </row>
    <row r="159" spans="2:42" x14ac:dyDescent="0.2">
      <c r="B159" s="15" cm="1">
        <f t="array" ref="B159">MIN(SummaryDaily[day]) + (ROW(TableDailySummary[#This Row]) - ROW(TableDailySummary[[#Headers],[Dia]]) - 1)</f>
        <v>45930</v>
      </c>
      <c r="C159" s="6">
        <f>TableDailySummary[[#This Row],[Dia]]</f>
        <v>45930</v>
      </c>
      <c r="D159" s="12">
        <f>_xlfn.XLOOKUP(TableDailySummary[[#This Row],[Fecha]],SummaryDaily[day],SummaryDaily[net_sales],0)</f>
        <v>3720756.31</v>
      </c>
      <c r="E159" s="12">
        <f>_xlfn.XLOOKUP(TableDailySummary[[#This Row],[Fecha]],SummaryDaily[day],SummaryDaily[orders],0)</f>
        <v>21</v>
      </c>
      <c r="F159" s="12">
        <f>_xlfn.XLOOKUP(TableDailySummary[[#This Row],[Fecha]],SummaryDaily[day],SummaryDaily[average_order_value],0)</f>
        <v>176950.78</v>
      </c>
      <c r="G159" s="24">
        <f>_xlfn.XLOOKUP(TableDailySummary[[#This Row],[Fecha]],SummaryDaily[day],SummaryDaily[Total site_conversion_rate],0)</f>
        <v>4.0080160320641279E-3</v>
      </c>
      <c r="H159" s="12">
        <f>TableDailySummary[[#This Row],[Órden promedio totales]]*TableDailySummary[[#This Row],[CR totales]]</f>
        <v>709.22156312625248</v>
      </c>
      <c r="I159" s="12">
        <f>_xlfn.XLOOKUP(TableDailySummary[[#This Row],[Fecha]],SummaryDaily[day],SummaryDaily[new_net_sales],0)</f>
        <v>1345966.39</v>
      </c>
      <c r="J159" s="12">
        <f>_xlfn.XLOOKUP(TableDailySummary[[#This Row],[Fecha]],SummaryDaily[day],SummaryDaily[new_orders],0)</f>
        <v>9</v>
      </c>
      <c r="K159" s="12">
        <f>_xlfn.XLOOKUP(TableDailySummary[[#This Row],[Fecha]],SummaryDaily[day],SummaryDaily[new_average_order_value],0)</f>
        <v>149019.60699999999</v>
      </c>
      <c r="L159" s="12">
        <f>_xlfn.XLOOKUP(TableDailySummary[[#This Row],[Fecha]],SummaryDaily[day],SummaryDaily[Online Store_net_sales],0)</f>
        <v>1628571.43</v>
      </c>
      <c r="M159" s="12">
        <f>_xlfn.XLOOKUP(TableDailySummary[[#This Row],[Fecha]],SummaryDaily[day],SummaryDaily[Online Store_orders],0)</f>
        <v>5</v>
      </c>
      <c r="N159" s="12">
        <f>_xlfn.XLOOKUP(TableDailySummary[[#This Row],[Fecha]],SummaryDaily[day],SummaryDaily[Online Store_average_order_value],0)</f>
        <v>325714.28600000002</v>
      </c>
      <c r="O159" s="12">
        <f>_xlfn.XLOOKUP(TableDailySummary[[#This Row],[Fecha]],SummaryDaily[day],SummaryDaily[Tienda 81_net_sales],0)</f>
        <v>1697226.89</v>
      </c>
      <c r="P159" s="12">
        <f>_xlfn.XLOOKUP(TableDailySummary[[#This Row],[Fecha]],SummaryDaily[day],SummaryDaily[Tienda 81_orders],0)</f>
        <v>12</v>
      </c>
      <c r="Q159" s="12">
        <f>_xlfn.XLOOKUP(TableDailySummary[[#This Row],[Fecha]],SummaryDaily[day],SummaryDaily[Tienda 81_average_order_value],0)</f>
        <v>141036.41399999999</v>
      </c>
      <c r="R159" s="12">
        <f>_xlfn.XLOOKUP(TableDailySummary[[#This Row],[Fecha]],SummaryDaily[day],SummaryDaily[Rappi_net_sales],0)</f>
        <v>319327.74</v>
      </c>
      <c r="S159" s="12">
        <f>_xlfn.XLOOKUP(TableDailySummary[[#This Row],[Fecha]],SummaryDaily[day],SummaryDaily[Rappi_orders],0)</f>
        <v>3</v>
      </c>
      <c r="T159" s="12">
        <f>_xlfn.XLOOKUP(TableDailySummary[[#This Row],[Fecha]],SummaryDaily[day],SummaryDaily[Rappi_average_order_value],0)</f>
        <v>106442.58</v>
      </c>
      <c r="U159" s="12">
        <f>_xlfn.XLOOKUP(TableDailySummary[[#This Row],[Fecha]],SummaryDaily[day],SummaryDaily[Corporativo no tienda_net_sales],0)</f>
        <v>0</v>
      </c>
      <c r="V159" s="12">
        <f>_xlfn.XLOOKUP(TableDailySummary[[#This Row],[Fecha]],SummaryDaily[day],SummaryDaily[Corporativo no tienda_orders],0)</f>
        <v>0</v>
      </c>
      <c r="W159" s="12">
        <f>_xlfn.XLOOKUP(TableDailySummary[[#This Row],[Fecha]],SummaryDaily[day],SummaryDaily[Corporativo no tienda_average_order_value],0)</f>
        <v>0</v>
      </c>
      <c r="X159" s="12">
        <f>_xlfn.XLOOKUP(TableDailySummary[[#This Row],[Fecha]],SummaryDaily[day],SummaryDaily[GoogleAdsOperation.Cost],0)</f>
        <v>37734.959999999999</v>
      </c>
      <c r="Y159" s="12">
        <f>SUMIFS(SalesByUTMDaily[google],SalesByUTMDaily[day],TableDailySummary[[#This Row],[Fecha]])</f>
        <v>374000</v>
      </c>
      <c r="Z159" s="12">
        <f>_xlfn.XLOOKUP(TableDailySummary[[#This Row],[Fecha]],SummaryDaily[day],SummaryDaily[MetaAdsOperation.spend],0)</f>
        <v>50863</v>
      </c>
      <c r="AA159" s="12">
        <f>SUMIFS(SalesByUTMDaily[facebook],SalesByUTMDaily[day],TableDailySummary[[#This Row],[Fecha]])</f>
        <v>0</v>
      </c>
      <c r="AB159" s="12">
        <f>TableDailySummary[[#This Row],[Inversión google ads]]+TableDailySummary[[#This Row],[Inversión meta ads]]</f>
        <v>88597.959999999992</v>
      </c>
      <c r="AC159" s="12">
        <f>TableDailySummary[[#This Row],[Ventas google ads]]+TableDailySummary[[#This Row],[Ventas meta ads]]</f>
        <v>374000</v>
      </c>
      <c r="AD159" s="14">
        <f>IFERROR(TableDailySummary[[#This Row],[Ventas publicidad]]/TableDailySummary[[#This Row],[Inversión publicidad]],0)</f>
        <v>4.2213161567151207</v>
      </c>
      <c r="AE159" s="14">
        <f>IFERROR(TableDailySummary[[#This Row],[Ventas primer cliente]]/TableDailySummary[[#This Row],[Inversión publicidad]],0)</f>
        <v>15.191844033429213</v>
      </c>
      <c r="AF159" s="14"/>
      <c r="AG159" s="12"/>
      <c r="AM159" s="12">
        <f>_xlfn.XLOOKUP(TableDailySummary[[#This Row],[Fecha]],SummaryDaily[day],SummaryDaily[net_sales_with_cost_recorded],0)</f>
        <v>3594705.89</v>
      </c>
      <c r="AN159" s="12">
        <f>_xlfn.XLOOKUP(TableDailySummary[[#This Row],[Fecha]],SummaryDaily[day],SummaryDaily[cost_of_goods_sold],0)</f>
        <v>1104118</v>
      </c>
      <c r="AO159" s="12">
        <f>_xlfn.XLOOKUP(TableDailySummary[[#This Row],[Fecha]],SummaryDaily[day],SummaryDaily[gross_profit],0)</f>
        <v>2490587.89</v>
      </c>
      <c r="AP159" s="18">
        <f>IFERROR(TableDailySummary[[#This Row],[Utilidad bruta]]/TableDailySummary[[#This Row],[Ventas netas con costo registrado]],0)</f>
        <v>0.69284886336000084</v>
      </c>
    </row>
    <row r="160" spans="2:42" x14ac:dyDescent="0.2">
      <c r="B160" s="15" cm="1">
        <f t="array" ref="B160">MIN(SummaryDaily[day]) + (ROW(TableDailySummary[#This Row]) - ROW(TableDailySummary[[#Headers],[Dia]]) - 1)</f>
        <v>45931</v>
      </c>
      <c r="C160" s="6">
        <f>TableDailySummary[[#This Row],[Dia]]</f>
        <v>45931</v>
      </c>
      <c r="D160" s="12">
        <f>_xlfn.XLOOKUP(TableDailySummary[[#This Row],[Fecha]],SummaryDaily[day],SummaryDaily[net_sales],0)</f>
        <v>3900136.15</v>
      </c>
      <c r="E160" s="12">
        <f>_xlfn.XLOOKUP(TableDailySummary[[#This Row],[Fecha]],SummaryDaily[day],SummaryDaily[orders],0)</f>
        <v>20</v>
      </c>
      <c r="F160" s="12">
        <f>_xlfn.XLOOKUP(TableDailySummary[[#This Row],[Fecha]],SummaryDaily[day],SummaryDaily[average_order_value],0)</f>
        <v>191015.21100000001</v>
      </c>
      <c r="G160" s="24">
        <f>_xlfn.XLOOKUP(TableDailySummary[[#This Row],[Fecha]],SummaryDaily[day],SummaryDaily[Total site_conversion_rate],0)</f>
        <v>0</v>
      </c>
      <c r="H160" s="12">
        <f>TableDailySummary[[#This Row],[Órden promedio totales]]*TableDailySummary[[#This Row],[CR totales]]</f>
        <v>0</v>
      </c>
      <c r="I160" s="12">
        <f>_xlfn.XLOOKUP(TableDailySummary[[#This Row],[Fecha]],SummaryDaily[day],SummaryDaily[new_net_sales],0)</f>
        <v>2823035.3</v>
      </c>
      <c r="J160" s="12">
        <f>_xlfn.XLOOKUP(TableDailySummary[[#This Row],[Fecha]],SummaryDaily[day],SummaryDaily[new_orders],0)</f>
        <v>9</v>
      </c>
      <c r="K160" s="12">
        <f>_xlfn.XLOOKUP(TableDailySummary[[#This Row],[Fecha]],SummaryDaily[day],SummaryDaily[new_average_order_value],0)</f>
        <v>308535.201</v>
      </c>
      <c r="L160" s="12">
        <f>_xlfn.XLOOKUP(TableDailySummary[[#This Row],[Fecha]],SummaryDaily[day],SummaryDaily[Online Store_net_sales],0)</f>
        <v>907563.03</v>
      </c>
      <c r="M160" s="12">
        <f>_xlfn.XLOOKUP(TableDailySummary[[#This Row],[Fecha]],SummaryDaily[day],SummaryDaily[Online Store_orders],0)</f>
        <v>1</v>
      </c>
      <c r="N160" s="12">
        <f>_xlfn.XLOOKUP(TableDailySummary[[#This Row],[Fecha]],SummaryDaily[day],SummaryDaily[Online Store_average_order_value],0)</f>
        <v>907563.03</v>
      </c>
      <c r="O160" s="12">
        <f>_xlfn.XLOOKUP(TableDailySummary[[#This Row],[Fecha]],SummaryDaily[day],SummaryDaily[Tienda 81_net_sales],0)</f>
        <v>1823823.54</v>
      </c>
      <c r="P160" s="12">
        <f>_xlfn.XLOOKUP(TableDailySummary[[#This Row],[Fecha]],SummaryDaily[day],SummaryDaily[Tienda 81_orders],0)</f>
        <v>18</v>
      </c>
      <c r="Q160" s="12">
        <f>_xlfn.XLOOKUP(TableDailySummary[[#This Row],[Fecha]],SummaryDaily[day],SummaryDaily[Tienda 81_average_order_value],0)</f>
        <v>96888.422000000006</v>
      </c>
      <c r="R160" s="12">
        <f>_xlfn.XLOOKUP(TableDailySummary[[#This Row],[Fecha]],SummaryDaily[day],SummaryDaily[Rappi_net_sales],0)</f>
        <v>0</v>
      </c>
      <c r="S160" s="12">
        <f>_xlfn.XLOOKUP(TableDailySummary[[#This Row],[Fecha]],SummaryDaily[day],SummaryDaily[Rappi_orders],0)</f>
        <v>0</v>
      </c>
      <c r="T160" s="12">
        <f>_xlfn.XLOOKUP(TableDailySummary[[#This Row],[Fecha]],SummaryDaily[day],SummaryDaily[Rappi_average_order_value],0)</f>
        <v>0</v>
      </c>
      <c r="U160" s="12">
        <f>_xlfn.XLOOKUP(TableDailySummary[[#This Row],[Fecha]],SummaryDaily[day],SummaryDaily[Corporativo no tienda_net_sales],0)</f>
        <v>1168749.58</v>
      </c>
      <c r="V160" s="12">
        <f>_xlfn.XLOOKUP(TableDailySummary[[#This Row],[Fecha]],SummaryDaily[day],SummaryDaily[Corporativo no tienda_orders],0)</f>
        <v>1</v>
      </c>
      <c r="W160" s="12">
        <f>_xlfn.XLOOKUP(TableDailySummary[[#This Row],[Fecha]],SummaryDaily[day],SummaryDaily[Corporativo no tienda_average_order_value],0)</f>
        <v>1168749.58</v>
      </c>
      <c r="X160" s="12">
        <f>_xlfn.XLOOKUP(TableDailySummary[[#This Row],[Fecha]],SummaryDaily[day],SummaryDaily[GoogleAdsOperation.Cost],0)</f>
        <v>39470.25</v>
      </c>
      <c r="Y160" s="12">
        <f>SUMIFS(SalesByUTMDaily[google],SalesByUTMDaily[day],TableDailySummary[[#This Row],[Fecha]])</f>
        <v>0</v>
      </c>
      <c r="Z160" s="12">
        <f>_xlfn.XLOOKUP(TableDailySummary[[#This Row],[Fecha]],SummaryDaily[day],SummaryDaily[MetaAdsOperation.spend],0)</f>
        <v>48995</v>
      </c>
      <c r="AA160" s="12">
        <f>SUMIFS(SalesByUTMDaily[facebook],SalesByUTMDaily[day],TableDailySummary[[#This Row],[Fecha]])</f>
        <v>0</v>
      </c>
      <c r="AB160" s="12">
        <f>TableDailySummary[[#This Row],[Inversión google ads]]+TableDailySummary[[#This Row],[Inversión meta ads]]</f>
        <v>88465.25</v>
      </c>
      <c r="AC160" s="12">
        <f>TableDailySummary[[#This Row],[Ventas google ads]]+TableDailySummary[[#This Row],[Ventas meta ads]]</f>
        <v>0</v>
      </c>
      <c r="AD160" s="14">
        <f>IFERROR(TableDailySummary[[#This Row],[Ventas publicidad]]/TableDailySummary[[#This Row],[Inversión publicidad]],0)</f>
        <v>0</v>
      </c>
      <c r="AE160" s="14">
        <f>IFERROR(TableDailySummary[[#This Row],[Ventas primer cliente]]/TableDailySummary[[#This Row],[Inversión publicidad]],0)</f>
        <v>31.911234072135667</v>
      </c>
      <c r="AF160" s="14"/>
      <c r="AG160" s="12"/>
      <c r="AM160" s="12">
        <f>_xlfn.XLOOKUP(TableDailySummary[[#This Row],[Fecha]],SummaryDaily[day],SummaryDaily[net_sales_with_cost_recorded],0)</f>
        <v>3900136.15</v>
      </c>
      <c r="AN160" s="12">
        <f>_xlfn.XLOOKUP(TableDailySummary[[#This Row],[Fecha]],SummaryDaily[day],SummaryDaily[cost_of_goods_sold],0)</f>
        <v>1088932</v>
      </c>
      <c r="AO160" s="12">
        <f>_xlfn.XLOOKUP(TableDailySummary[[#This Row],[Fecha]],SummaryDaily[day],SummaryDaily[gross_profit],0)</f>
        <v>2811204.15</v>
      </c>
      <c r="AP160" s="18">
        <f>IFERROR(TableDailySummary[[#This Row],[Utilidad bruta]]/TableDailySummary[[#This Row],[Ventas netas con costo registrado]],0)</f>
        <v>0.72079641373545378</v>
      </c>
    </row>
    <row r="161" spans="2:42" x14ac:dyDescent="0.2">
      <c r="B161" s="15" cm="1">
        <f t="array" ref="B161">MIN(SummaryDaily[day]) + (ROW(TableDailySummary[#This Row]) - ROW(TableDailySummary[[#Headers],[Dia]]) - 1)</f>
        <v>45932</v>
      </c>
      <c r="C161" s="6">
        <f>TableDailySummary[[#This Row],[Dia]]</f>
        <v>45932</v>
      </c>
      <c r="D161" s="12">
        <f>_xlfn.XLOOKUP(TableDailySummary[[#This Row],[Fecha]],SummaryDaily[day],SummaryDaily[net_sales],0)</f>
        <v>1175630.25</v>
      </c>
      <c r="E161" s="12">
        <f>_xlfn.XLOOKUP(TableDailySummary[[#This Row],[Fecha]],SummaryDaily[day],SummaryDaily[orders],0)</f>
        <v>11</v>
      </c>
      <c r="F161" s="12">
        <f>_xlfn.XLOOKUP(TableDailySummary[[#This Row],[Fecha]],SummaryDaily[day],SummaryDaily[average_order_value],0)</f>
        <v>106875.477</v>
      </c>
      <c r="G161" s="24">
        <f>_xlfn.XLOOKUP(TableDailySummary[[#This Row],[Fecha]],SummaryDaily[day],SummaryDaily[Total site_conversion_rate],0)</f>
        <v>0</v>
      </c>
      <c r="H161" s="12">
        <f>TableDailySummary[[#This Row],[Órden promedio totales]]*TableDailySummary[[#This Row],[CR totales]]</f>
        <v>0</v>
      </c>
      <c r="I161" s="12">
        <f>_xlfn.XLOOKUP(TableDailySummary[[#This Row],[Fecha]],SummaryDaily[day],SummaryDaily[new_net_sales],0)</f>
        <v>346218.48</v>
      </c>
      <c r="J161" s="12">
        <f>_xlfn.XLOOKUP(TableDailySummary[[#This Row],[Fecha]],SummaryDaily[day],SummaryDaily[new_orders],0)</f>
        <v>4</v>
      </c>
      <c r="K161" s="12">
        <f>_xlfn.XLOOKUP(TableDailySummary[[#This Row],[Fecha]],SummaryDaily[day],SummaryDaily[new_average_order_value],0)</f>
        <v>86554.62</v>
      </c>
      <c r="L161" s="12">
        <f>_xlfn.XLOOKUP(TableDailySummary[[#This Row],[Fecha]],SummaryDaily[day],SummaryDaily[Online Store_net_sales],0)</f>
        <v>0</v>
      </c>
      <c r="M161" s="12">
        <f>_xlfn.XLOOKUP(TableDailySummary[[#This Row],[Fecha]],SummaryDaily[day],SummaryDaily[Online Store_orders],0)</f>
        <v>0</v>
      </c>
      <c r="N161" s="12">
        <f>_xlfn.XLOOKUP(TableDailySummary[[#This Row],[Fecha]],SummaryDaily[day],SummaryDaily[Online Store_average_order_value],0)</f>
        <v>0</v>
      </c>
      <c r="O161" s="12">
        <f>_xlfn.XLOOKUP(TableDailySummary[[#This Row],[Fecha]],SummaryDaily[day],SummaryDaily[Tienda 81_net_sales],0)</f>
        <v>1129411.76</v>
      </c>
      <c r="P161" s="12">
        <f>_xlfn.XLOOKUP(TableDailySummary[[#This Row],[Fecha]],SummaryDaily[day],SummaryDaily[Tienda 81_orders],0)</f>
        <v>10</v>
      </c>
      <c r="Q161" s="12">
        <f>_xlfn.XLOOKUP(TableDailySummary[[#This Row],[Fecha]],SummaryDaily[day],SummaryDaily[Tienda 81_average_order_value],0)</f>
        <v>112941.17600000001</v>
      </c>
      <c r="R161" s="12">
        <f>_xlfn.XLOOKUP(TableDailySummary[[#This Row],[Fecha]],SummaryDaily[day],SummaryDaily[Rappi_net_sales],0)</f>
        <v>0</v>
      </c>
      <c r="S161" s="12">
        <f>_xlfn.XLOOKUP(TableDailySummary[[#This Row],[Fecha]],SummaryDaily[day],SummaryDaily[Rappi_orders],0)</f>
        <v>0</v>
      </c>
      <c r="T161" s="12">
        <f>_xlfn.XLOOKUP(TableDailySummary[[#This Row],[Fecha]],SummaryDaily[day],SummaryDaily[Rappi_average_order_value],0)</f>
        <v>0</v>
      </c>
      <c r="U161" s="12">
        <f>_xlfn.XLOOKUP(TableDailySummary[[#This Row],[Fecha]],SummaryDaily[day],SummaryDaily[Corporativo no tienda_net_sales],0)</f>
        <v>0</v>
      </c>
      <c r="V161" s="12">
        <f>_xlfn.XLOOKUP(TableDailySummary[[#This Row],[Fecha]],SummaryDaily[day],SummaryDaily[Corporativo no tienda_orders],0)</f>
        <v>0</v>
      </c>
      <c r="W161" s="12">
        <f>_xlfn.XLOOKUP(TableDailySummary[[#This Row],[Fecha]],SummaryDaily[day],SummaryDaily[Corporativo no tienda_average_order_value],0)</f>
        <v>0</v>
      </c>
      <c r="X161" s="12">
        <f>_xlfn.XLOOKUP(TableDailySummary[[#This Row],[Fecha]],SummaryDaily[day],SummaryDaily[GoogleAdsOperation.Cost],0)</f>
        <v>27868.5</v>
      </c>
      <c r="Y161" s="12">
        <f>SUMIFS(SalesByUTMDaily[google],SalesByUTMDaily[day],TableDailySummary[[#This Row],[Fecha]])</f>
        <v>0</v>
      </c>
      <c r="Z161" s="12">
        <f>_xlfn.XLOOKUP(TableDailySummary[[#This Row],[Fecha]],SummaryDaily[day],SummaryDaily[MetaAdsOperation.spend],0)</f>
        <v>48799</v>
      </c>
      <c r="AA161" s="12">
        <f>SUMIFS(SalesByUTMDaily[facebook],SalesByUTMDaily[day],TableDailySummary[[#This Row],[Fecha]])</f>
        <v>0</v>
      </c>
      <c r="AB161" s="12">
        <f>TableDailySummary[[#This Row],[Inversión google ads]]+TableDailySummary[[#This Row],[Inversión meta ads]]</f>
        <v>76667.5</v>
      </c>
      <c r="AC161" s="12">
        <f>TableDailySummary[[#This Row],[Ventas google ads]]+TableDailySummary[[#This Row],[Ventas meta ads]]</f>
        <v>0</v>
      </c>
      <c r="AD161" s="14">
        <f>IFERROR(TableDailySummary[[#This Row],[Ventas publicidad]]/TableDailySummary[[#This Row],[Inversión publicidad]],0)</f>
        <v>0</v>
      </c>
      <c r="AE161" s="14">
        <f>IFERROR(TableDailySummary[[#This Row],[Ventas primer cliente]]/TableDailySummary[[#This Row],[Inversión publicidad]],0)</f>
        <v>4.5158441321289979</v>
      </c>
      <c r="AF161" s="14"/>
      <c r="AG161" s="12"/>
      <c r="AM161" s="12">
        <f>_xlfn.XLOOKUP(TableDailySummary[[#This Row],[Fecha]],SummaryDaily[day],SummaryDaily[net_sales_with_cost_recorded],0)</f>
        <v>1175630.25</v>
      </c>
      <c r="AN161" s="12">
        <f>_xlfn.XLOOKUP(TableDailySummary[[#This Row],[Fecha]],SummaryDaily[day],SummaryDaily[cost_of_goods_sold],0)</f>
        <v>314764</v>
      </c>
      <c r="AO161" s="12">
        <f>_xlfn.XLOOKUP(TableDailySummary[[#This Row],[Fecha]],SummaryDaily[day],SummaryDaily[gross_profit],0)</f>
        <v>860866.25</v>
      </c>
      <c r="AP161" s="18">
        <f>IFERROR(TableDailySummary[[#This Row],[Utilidad bruta]]/TableDailySummary[[#This Row],[Ventas netas con costo registrado]],0)</f>
        <v>0.73225935620489524</v>
      </c>
    </row>
    <row r="162" spans="2:42" x14ac:dyDescent="0.2">
      <c r="B162" s="15" cm="1">
        <f t="array" ref="B162">MIN(SummaryDaily[day]) + (ROW(TableDailySummary[#This Row]) - ROW(TableDailySummary[[#Headers],[Dia]]) - 1)</f>
        <v>45933</v>
      </c>
      <c r="C162" s="6">
        <f>TableDailySummary[[#This Row],[Dia]]</f>
        <v>45933</v>
      </c>
      <c r="D162" s="12">
        <f>_xlfn.XLOOKUP(TableDailySummary[[#This Row],[Fecha]],SummaryDaily[day],SummaryDaily[net_sales],0)</f>
        <v>2462184.88</v>
      </c>
      <c r="E162" s="12">
        <f>_xlfn.XLOOKUP(TableDailySummary[[#This Row],[Fecha]],SummaryDaily[day],SummaryDaily[orders],0)</f>
        <v>19</v>
      </c>
      <c r="F162" s="12">
        <f>_xlfn.XLOOKUP(TableDailySummary[[#This Row],[Fecha]],SummaryDaily[day],SummaryDaily[average_order_value],0)</f>
        <v>129588.677</v>
      </c>
      <c r="G162" s="24">
        <f>_xlfn.XLOOKUP(TableDailySummary[[#This Row],[Fecha]],SummaryDaily[day],SummaryDaily[Total site_conversion_rate],0)</f>
        <v>7.8616352201257862E-3</v>
      </c>
      <c r="H162" s="12">
        <f>TableDailySummary[[#This Row],[Órden promedio totales]]*TableDailySummary[[#This Row],[CR totales]]</f>
        <v>1018.7789072327043</v>
      </c>
      <c r="I162" s="12">
        <f>_xlfn.XLOOKUP(TableDailySummary[[#This Row],[Fecha]],SummaryDaily[day],SummaryDaily[new_net_sales],0)</f>
        <v>1205882.3600000001</v>
      </c>
      <c r="J162" s="12">
        <f>_xlfn.XLOOKUP(TableDailySummary[[#This Row],[Fecha]],SummaryDaily[day],SummaryDaily[new_orders],0)</f>
        <v>9</v>
      </c>
      <c r="K162" s="12">
        <f>_xlfn.XLOOKUP(TableDailySummary[[#This Row],[Fecha]],SummaryDaily[day],SummaryDaily[new_average_order_value],0)</f>
        <v>133986.92800000001</v>
      </c>
      <c r="L162" s="12">
        <f>_xlfn.XLOOKUP(TableDailySummary[[#This Row],[Fecha]],SummaryDaily[day],SummaryDaily[Online Store_net_sales],0)</f>
        <v>315126.05</v>
      </c>
      <c r="M162" s="12">
        <f>_xlfn.XLOOKUP(TableDailySummary[[#This Row],[Fecha]],SummaryDaily[day],SummaryDaily[Online Store_orders],0)</f>
        <v>2</v>
      </c>
      <c r="N162" s="12">
        <f>_xlfn.XLOOKUP(TableDailySummary[[#This Row],[Fecha]],SummaryDaily[day],SummaryDaily[Online Store_average_order_value],0)</f>
        <v>157563.02499999999</v>
      </c>
      <c r="O162" s="12">
        <f>_xlfn.XLOOKUP(TableDailySummary[[#This Row],[Fecha]],SummaryDaily[day],SummaryDaily[Tienda 81_net_sales],0)</f>
        <v>2092436.98</v>
      </c>
      <c r="P162" s="12">
        <f>_xlfn.XLOOKUP(TableDailySummary[[#This Row],[Fecha]],SummaryDaily[day],SummaryDaily[Tienda 81_orders],0)</f>
        <v>16</v>
      </c>
      <c r="Q162" s="12">
        <f>_xlfn.XLOOKUP(TableDailySummary[[#This Row],[Fecha]],SummaryDaily[day],SummaryDaily[Tienda 81_average_order_value],0)</f>
        <v>130777.311</v>
      </c>
      <c r="R162" s="12">
        <f>_xlfn.XLOOKUP(TableDailySummary[[#This Row],[Fecha]],SummaryDaily[day],SummaryDaily[Rappi_net_sales],0)</f>
        <v>54621.85</v>
      </c>
      <c r="S162" s="12">
        <f>_xlfn.XLOOKUP(TableDailySummary[[#This Row],[Fecha]],SummaryDaily[day],SummaryDaily[Rappi_orders],0)</f>
        <v>1</v>
      </c>
      <c r="T162" s="12">
        <f>_xlfn.XLOOKUP(TableDailySummary[[#This Row],[Fecha]],SummaryDaily[day],SummaryDaily[Rappi_average_order_value],0)</f>
        <v>54621.85</v>
      </c>
      <c r="U162" s="12">
        <f>_xlfn.XLOOKUP(TableDailySummary[[#This Row],[Fecha]],SummaryDaily[day],SummaryDaily[Corporativo no tienda_net_sales],0)</f>
        <v>0</v>
      </c>
      <c r="V162" s="12">
        <f>_xlfn.XLOOKUP(TableDailySummary[[#This Row],[Fecha]],SummaryDaily[day],SummaryDaily[Corporativo no tienda_orders],0)</f>
        <v>0</v>
      </c>
      <c r="W162" s="12">
        <f>_xlfn.XLOOKUP(TableDailySummary[[#This Row],[Fecha]],SummaryDaily[day],SummaryDaily[Corporativo no tienda_average_order_value],0)</f>
        <v>0</v>
      </c>
      <c r="X162" s="12">
        <f>_xlfn.XLOOKUP(TableDailySummary[[#This Row],[Fecha]],SummaryDaily[day],SummaryDaily[GoogleAdsOperation.Cost],0)</f>
        <v>75244.67</v>
      </c>
      <c r="Y162" s="12">
        <f>SUMIFS(SalesByUTMDaily[google],SalesByUTMDaily[day],TableDailySummary[[#This Row],[Fecha]])</f>
        <v>409000</v>
      </c>
      <c r="Z162" s="12">
        <f>_xlfn.XLOOKUP(TableDailySummary[[#This Row],[Fecha]],SummaryDaily[day],SummaryDaily[MetaAdsOperation.spend],0)</f>
        <v>51306</v>
      </c>
      <c r="AA162" s="12">
        <f>SUMIFS(SalesByUTMDaily[facebook],SalesByUTMDaily[day],TableDailySummary[[#This Row],[Fecha]])</f>
        <v>174000</v>
      </c>
      <c r="AB162" s="12">
        <f>TableDailySummary[[#This Row],[Inversión google ads]]+TableDailySummary[[#This Row],[Inversión meta ads]]</f>
        <v>126550.67</v>
      </c>
      <c r="AC162" s="12">
        <f>TableDailySummary[[#This Row],[Ventas google ads]]+TableDailySummary[[#This Row],[Ventas meta ads]]</f>
        <v>583000</v>
      </c>
      <c r="AD162" s="14">
        <f>IFERROR(TableDailySummary[[#This Row],[Ventas publicidad]]/TableDailySummary[[#This Row],[Inversión publicidad]],0)</f>
        <v>4.6068503627835398</v>
      </c>
      <c r="AE162" s="14">
        <f>IFERROR(TableDailySummary[[#This Row],[Ventas primer cliente]]/TableDailySummary[[#This Row],[Inversión publicidad]],0)</f>
        <v>9.5288500645630734</v>
      </c>
      <c r="AF162" s="14"/>
      <c r="AG162" s="12"/>
      <c r="AM162" s="12">
        <f>_xlfn.XLOOKUP(TableDailySummary[[#This Row],[Fecha]],SummaryDaily[day],SummaryDaily[net_sales_with_cost_recorded],0)</f>
        <v>2302521.0099999998</v>
      </c>
      <c r="AN162" s="12">
        <f>_xlfn.XLOOKUP(TableDailySummary[[#This Row],[Fecha]],SummaryDaily[day],SummaryDaily[cost_of_goods_sold],0)</f>
        <v>739085</v>
      </c>
      <c r="AO162" s="12">
        <f>_xlfn.XLOOKUP(TableDailySummary[[#This Row],[Fecha]],SummaryDaily[day],SummaryDaily[gross_profit],0)</f>
        <v>1563436.01</v>
      </c>
      <c r="AP162" s="18">
        <f>IFERROR(TableDailySummary[[#This Row],[Utilidad bruta]]/TableDailySummary[[#This Row],[Ventas netas con costo registrado]],0)</f>
        <v>0.67901052941966433</v>
      </c>
    </row>
    <row r="163" spans="2:42" x14ac:dyDescent="0.2">
      <c r="B163" s="15" cm="1">
        <f t="array" ref="B163">MIN(SummaryDaily[day]) + (ROW(TableDailySummary[#This Row]) - ROW(TableDailySummary[[#Headers],[Dia]]) - 1)</f>
        <v>45934</v>
      </c>
      <c r="C163" s="6">
        <f>TableDailySummary[[#This Row],[Dia]]</f>
        <v>45934</v>
      </c>
      <c r="D163" s="12">
        <f>_xlfn.XLOOKUP(TableDailySummary[[#This Row],[Fecha]],SummaryDaily[day],SummaryDaily[net_sales],0)</f>
        <v>2150420.1800000002</v>
      </c>
      <c r="E163" s="12">
        <f>_xlfn.XLOOKUP(TableDailySummary[[#This Row],[Fecha]],SummaryDaily[day],SummaryDaily[orders],0)</f>
        <v>11</v>
      </c>
      <c r="F163" s="12">
        <f>_xlfn.XLOOKUP(TableDailySummary[[#This Row],[Fecha]],SummaryDaily[day],SummaryDaily[average_order_value],0)</f>
        <v>191291.06200000001</v>
      </c>
      <c r="G163" s="24">
        <f>_xlfn.XLOOKUP(TableDailySummary[[#This Row],[Fecha]],SummaryDaily[day],SummaryDaily[Total site_conversion_rate],0)</f>
        <v>1.7825311942959001E-3</v>
      </c>
      <c r="H163" s="12">
        <f>TableDailySummary[[#This Row],[Órden promedio totales]]*TableDailySummary[[#This Row],[CR totales]]</f>
        <v>340.98228520499106</v>
      </c>
      <c r="I163" s="12">
        <f>_xlfn.XLOOKUP(TableDailySummary[[#This Row],[Fecha]],SummaryDaily[day],SummaryDaily[new_net_sales],0)</f>
        <v>331932.78000000003</v>
      </c>
      <c r="J163" s="12">
        <f>_xlfn.XLOOKUP(TableDailySummary[[#This Row],[Fecha]],SummaryDaily[day],SummaryDaily[new_orders],0)</f>
        <v>4</v>
      </c>
      <c r="K163" s="12">
        <f>_xlfn.XLOOKUP(TableDailySummary[[#This Row],[Fecha]],SummaryDaily[day],SummaryDaily[new_average_order_value],0)</f>
        <v>82983.195000000007</v>
      </c>
      <c r="L163" s="12">
        <f>_xlfn.XLOOKUP(TableDailySummary[[#This Row],[Fecha]],SummaryDaily[day],SummaryDaily[Online Store_net_sales],0)</f>
        <v>0</v>
      </c>
      <c r="M163" s="12">
        <f>_xlfn.XLOOKUP(TableDailySummary[[#This Row],[Fecha]],SummaryDaily[day],SummaryDaily[Online Store_orders],0)</f>
        <v>0</v>
      </c>
      <c r="N163" s="12">
        <f>_xlfn.XLOOKUP(TableDailySummary[[#This Row],[Fecha]],SummaryDaily[day],SummaryDaily[Online Store_average_order_value],0)</f>
        <v>0</v>
      </c>
      <c r="O163" s="12">
        <f>_xlfn.XLOOKUP(TableDailySummary[[#This Row],[Fecha]],SummaryDaily[day],SummaryDaily[Tienda 81_net_sales],0)</f>
        <v>2150420.1800000002</v>
      </c>
      <c r="P163" s="12">
        <f>_xlfn.XLOOKUP(TableDailySummary[[#This Row],[Fecha]],SummaryDaily[day],SummaryDaily[Tienda 81_orders],0)</f>
        <v>11</v>
      </c>
      <c r="Q163" s="12">
        <f>_xlfn.XLOOKUP(TableDailySummary[[#This Row],[Fecha]],SummaryDaily[day],SummaryDaily[Tienda 81_average_order_value],0)</f>
        <v>191291.06200000001</v>
      </c>
      <c r="R163" s="12">
        <f>_xlfn.XLOOKUP(TableDailySummary[[#This Row],[Fecha]],SummaryDaily[day],SummaryDaily[Rappi_net_sales],0)</f>
        <v>0</v>
      </c>
      <c r="S163" s="12">
        <f>_xlfn.XLOOKUP(TableDailySummary[[#This Row],[Fecha]],SummaryDaily[day],SummaryDaily[Rappi_orders],0)</f>
        <v>0</v>
      </c>
      <c r="T163" s="12">
        <f>_xlfn.XLOOKUP(TableDailySummary[[#This Row],[Fecha]],SummaryDaily[day],SummaryDaily[Rappi_average_order_value],0)</f>
        <v>0</v>
      </c>
      <c r="U163" s="12">
        <f>_xlfn.XLOOKUP(TableDailySummary[[#This Row],[Fecha]],SummaryDaily[day],SummaryDaily[Corporativo no tienda_net_sales],0)</f>
        <v>0</v>
      </c>
      <c r="V163" s="12">
        <f>_xlfn.XLOOKUP(TableDailySummary[[#This Row],[Fecha]],SummaryDaily[day],SummaryDaily[Corporativo no tienda_orders],0)</f>
        <v>0</v>
      </c>
      <c r="W163" s="12">
        <f>_xlfn.XLOOKUP(TableDailySummary[[#This Row],[Fecha]],SummaryDaily[day],SummaryDaily[Corporativo no tienda_average_order_value],0)</f>
        <v>0</v>
      </c>
      <c r="X163" s="12">
        <f>_xlfn.XLOOKUP(TableDailySummary[[#This Row],[Fecha]],SummaryDaily[day],SummaryDaily[GoogleAdsOperation.Cost],0)</f>
        <v>45695.69</v>
      </c>
      <c r="Y163" s="12">
        <f>SUMIFS(SalesByUTMDaily[google],SalesByUTMDaily[day],TableDailySummary[[#This Row],[Fecha]])</f>
        <v>0</v>
      </c>
      <c r="Z163" s="12">
        <f>_xlfn.XLOOKUP(TableDailySummary[[#This Row],[Fecha]],SummaryDaily[day],SummaryDaily[MetaAdsOperation.spend],0)</f>
        <v>51644</v>
      </c>
      <c r="AA163" s="12">
        <f>SUMIFS(SalesByUTMDaily[facebook],SalesByUTMDaily[day],TableDailySummary[[#This Row],[Fecha]])</f>
        <v>0</v>
      </c>
      <c r="AB163" s="12">
        <f>TableDailySummary[[#This Row],[Inversión google ads]]+TableDailySummary[[#This Row],[Inversión meta ads]]</f>
        <v>97339.69</v>
      </c>
      <c r="AC163" s="12">
        <f>TableDailySummary[[#This Row],[Ventas google ads]]+TableDailySummary[[#This Row],[Ventas meta ads]]</f>
        <v>0</v>
      </c>
      <c r="AD163" s="14">
        <f>IFERROR(TableDailySummary[[#This Row],[Ventas publicidad]]/TableDailySummary[[#This Row],[Inversión publicidad]],0)</f>
        <v>0</v>
      </c>
      <c r="AE163" s="14">
        <f>IFERROR(TableDailySummary[[#This Row],[Ventas primer cliente]]/TableDailySummary[[#This Row],[Inversión publicidad]],0)</f>
        <v>3.4100455836668475</v>
      </c>
      <c r="AF163" s="14"/>
      <c r="AG163" s="12"/>
      <c r="AM163" s="12">
        <f>_xlfn.XLOOKUP(TableDailySummary[[#This Row],[Fecha]],SummaryDaily[day],SummaryDaily[net_sales_with_cost_recorded],0)</f>
        <v>2121008.42</v>
      </c>
      <c r="AN163" s="12">
        <f>_xlfn.XLOOKUP(TableDailySummary[[#This Row],[Fecha]],SummaryDaily[day],SummaryDaily[cost_of_goods_sold],0)</f>
        <v>573397</v>
      </c>
      <c r="AO163" s="12">
        <f>_xlfn.XLOOKUP(TableDailySummary[[#This Row],[Fecha]],SummaryDaily[day],SummaryDaily[gross_profit],0)</f>
        <v>1547611.42</v>
      </c>
      <c r="AP163" s="18">
        <f>IFERROR(TableDailySummary[[#This Row],[Utilidad bruta]]/TableDailySummary[[#This Row],[Ventas netas con costo registrado]],0)</f>
        <v>0.72965831036163453</v>
      </c>
    </row>
    <row r="164" spans="2:42" x14ac:dyDescent="0.2">
      <c r="B164" s="15" cm="1">
        <f t="array" ref="B164">MIN(SummaryDaily[day]) + (ROW(TableDailySummary[#This Row]) - ROW(TableDailySummary[[#Headers],[Dia]]) - 1)</f>
        <v>45935</v>
      </c>
      <c r="C164" s="6">
        <f>TableDailySummary[[#This Row],[Dia]]</f>
        <v>45935</v>
      </c>
      <c r="D164" s="12">
        <f>_xlfn.XLOOKUP(TableDailySummary[[#This Row],[Fecha]],SummaryDaily[day],SummaryDaily[net_sales],0)</f>
        <v>1881218.48</v>
      </c>
      <c r="E164" s="12">
        <f>_xlfn.XLOOKUP(TableDailySummary[[#This Row],[Fecha]],SummaryDaily[day],SummaryDaily[orders],0)</f>
        <v>14</v>
      </c>
      <c r="F164" s="12">
        <f>_xlfn.XLOOKUP(TableDailySummary[[#This Row],[Fecha]],SummaryDaily[day],SummaryDaily[average_order_value],0)</f>
        <v>134372.74799999999</v>
      </c>
      <c r="G164" s="24">
        <f>_xlfn.XLOOKUP(TableDailySummary[[#This Row],[Fecha]],SummaryDaily[day],SummaryDaily[Total site_conversion_rate],0)</f>
        <v>8.6805555555555559E-3</v>
      </c>
      <c r="H164" s="12">
        <f>TableDailySummary[[#This Row],[Órden promedio totales]]*TableDailySummary[[#This Row],[CR totales]]</f>
        <v>1166.4301041666668</v>
      </c>
      <c r="I164" s="12">
        <f>_xlfn.XLOOKUP(TableDailySummary[[#This Row],[Fecha]],SummaryDaily[day],SummaryDaily[new_net_sales],0)</f>
        <v>1039201.67</v>
      </c>
      <c r="J164" s="12">
        <f>_xlfn.XLOOKUP(TableDailySummary[[#This Row],[Fecha]],SummaryDaily[day],SummaryDaily[new_orders],0)</f>
        <v>7</v>
      </c>
      <c r="K164" s="12">
        <f>_xlfn.XLOOKUP(TableDailySummary[[#This Row],[Fecha]],SummaryDaily[day],SummaryDaily[new_average_order_value],0)</f>
        <v>148457.38099999999</v>
      </c>
      <c r="L164" s="12">
        <f>_xlfn.XLOOKUP(TableDailySummary[[#This Row],[Fecha]],SummaryDaily[day],SummaryDaily[Online Store_net_sales],0)</f>
        <v>525210.07999999996</v>
      </c>
      <c r="M164" s="12">
        <f>_xlfn.XLOOKUP(TableDailySummary[[#This Row],[Fecha]],SummaryDaily[day],SummaryDaily[Online Store_orders],0)</f>
        <v>3</v>
      </c>
      <c r="N164" s="12">
        <f>_xlfn.XLOOKUP(TableDailySummary[[#This Row],[Fecha]],SummaryDaily[day],SummaryDaily[Online Store_average_order_value],0)</f>
        <v>175070.02600000001</v>
      </c>
      <c r="O164" s="12">
        <f>_xlfn.XLOOKUP(TableDailySummary[[#This Row],[Fecha]],SummaryDaily[day],SummaryDaily[Tienda 81_net_sales],0)</f>
        <v>1356008.4</v>
      </c>
      <c r="P164" s="12">
        <f>_xlfn.XLOOKUP(TableDailySummary[[#This Row],[Fecha]],SummaryDaily[day],SummaryDaily[Tienda 81_orders],0)</f>
        <v>11</v>
      </c>
      <c r="Q164" s="12">
        <f>_xlfn.XLOOKUP(TableDailySummary[[#This Row],[Fecha]],SummaryDaily[day],SummaryDaily[Tienda 81_average_order_value],0)</f>
        <v>123273.49</v>
      </c>
      <c r="R164" s="12">
        <f>_xlfn.XLOOKUP(TableDailySummary[[#This Row],[Fecha]],SummaryDaily[day],SummaryDaily[Rappi_net_sales],0)</f>
        <v>0</v>
      </c>
      <c r="S164" s="12">
        <f>_xlfn.XLOOKUP(TableDailySummary[[#This Row],[Fecha]],SummaryDaily[day],SummaryDaily[Rappi_orders],0)</f>
        <v>0</v>
      </c>
      <c r="T164" s="12">
        <f>_xlfn.XLOOKUP(TableDailySummary[[#This Row],[Fecha]],SummaryDaily[day],SummaryDaily[Rappi_average_order_value],0)</f>
        <v>0</v>
      </c>
      <c r="U164" s="12">
        <f>_xlfn.XLOOKUP(TableDailySummary[[#This Row],[Fecha]],SummaryDaily[day],SummaryDaily[Corporativo no tienda_net_sales],0)</f>
        <v>0</v>
      </c>
      <c r="V164" s="12">
        <f>_xlfn.XLOOKUP(TableDailySummary[[#This Row],[Fecha]],SummaryDaily[day],SummaryDaily[Corporativo no tienda_orders],0)</f>
        <v>0</v>
      </c>
      <c r="W164" s="12">
        <f>_xlfn.XLOOKUP(TableDailySummary[[#This Row],[Fecha]],SummaryDaily[day],SummaryDaily[Corporativo no tienda_average_order_value],0)</f>
        <v>0</v>
      </c>
      <c r="X164" s="12">
        <f>_xlfn.XLOOKUP(TableDailySummary[[#This Row],[Fecha]],SummaryDaily[day],SummaryDaily[GoogleAdsOperation.Cost],0)</f>
        <v>43303.17</v>
      </c>
      <c r="Y164" s="12">
        <f>SUMIFS(SalesByUTMDaily[google],SalesByUTMDaily[day],TableDailySummary[[#This Row],[Fecha]])</f>
        <v>0</v>
      </c>
      <c r="Z164" s="12">
        <f>_xlfn.XLOOKUP(TableDailySummary[[#This Row],[Fecha]],SummaryDaily[day],SummaryDaily[MetaAdsOperation.spend],0)</f>
        <v>54223</v>
      </c>
      <c r="AA164" s="12">
        <f>SUMIFS(SalesByUTMDaily[facebook],SalesByUTMDaily[day],TableDailySummary[[#This Row],[Fecha]])</f>
        <v>0</v>
      </c>
      <c r="AB164" s="12">
        <f>TableDailySummary[[#This Row],[Inversión google ads]]+TableDailySummary[[#This Row],[Inversión meta ads]]</f>
        <v>97526.17</v>
      </c>
      <c r="AC164" s="12">
        <f>TableDailySummary[[#This Row],[Ventas google ads]]+TableDailySummary[[#This Row],[Ventas meta ads]]</f>
        <v>0</v>
      </c>
      <c r="AD164" s="14">
        <f>IFERROR(TableDailySummary[[#This Row],[Ventas publicidad]]/TableDailySummary[[#This Row],[Inversión publicidad]],0)</f>
        <v>0</v>
      </c>
      <c r="AE164" s="14">
        <f>IFERROR(TableDailySummary[[#This Row],[Ventas primer cliente]]/TableDailySummary[[#This Row],[Inversión publicidad]],0)</f>
        <v>10.65561858934889</v>
      </c>
      <c r="AF164" s="14"/>
      <c r="AG164" s="12"/>
      <c r="AM164" s="12">
        <f>_xlfn.XLOOKUP(TableDailySummary[[#This Row],[Fecha]],SummaryDaily[day],SummaryDaily[net_sales_with_cost_recorded],0)</f>
        <v>1881218.48</v>
      </c>
      <c r="AN164" s="12">
        <f>_xlfn.XLOOKUP(TableDailySummary[[#This Row],[Fecha]],SummaryDaily[day],SummaryDaily[cost_of_goods_sold],0)</f>
        <v>550722</v>
      </c>
      <c r="AO164" s="12">
        <f>_xlfn.XLOOKUP(TableDailySummary[[#This Row],[Fecha]],SummaryDaily[day],SummaryDaily[gross_profit],0)</f>
        <v>1330496.48</v>
      </c>
      <c r="AP164" s="18">
        <f>IFERROR(TableDailySummary[[#This Row],[Utilidad bruta]]/TableDailySummary[[#This Row],[Ventas netas con costo registrado]],0)</f>
        <v>0.70725250370706538</v>
      </c>
    </row>
    <row r="165" spans="2:42" x14ac:dyDescent="0.2">
      <c r="B165" s="15" cm="1">
        <f t="array" ref="B165">MIN(SummaryDaily[day]) + (ROW(TableDailySummary[#This Row]) - ROW(TableDailySummary[[#Headers],[Dia]]) - 1)</f>
        <v>45936</v>
      </c>
      <c r="C165" s="6">
        <f>TableDailySummary[[#This Row],[Dia]]</f>
        <v>45936</v>
      </c>
      <c r="D165" s="12">
        <f>_xlfn.XLOOKUP(TableDailySummary[[#This Row],[Fecha]],SummaryDaily[day],SummaryDaily[net_sales],0)</f>
        <v>3794538.81</v>
      </c>
      <c r="E165" s="12">
        <f>_xlfn.XLOOKUP(TableDailySummary[[#This Row],[Fecha]],SummaryDaily[day],SummaryDaily[orders],0)</f>
        <v>20</v>
      </c>
      <c r="F165" s="12">
        <f>_xlfn.XLOOKUP(TableDailySummary[[#This Row],[Fecha]],SummaryDaily[day],SummaryDaily[average_order_value],0)</f>
        <v>189726.94</v>
      </c>
      <c r="G165" s="24">
        <f>_xlfn.XLOOKUP(TableDailySummary[[#This Row],[Fecha]],SummaryDaily[day],SummaryDaily[Total site_conversion_rate],0)</f>
        <v>8.5763293310463125E-3</v>
      </c>
      <c r="H165" s="12">
        <f>TableDailySummary[[#This Row],[Órden promedio totales]]*TableDailySummary[[#This Row],[CR totales]]</f>
        <v>1627.160720411664</v>
      </c>
      <c r="I165" s="12">
        <f>_xlfn.XLOOKUP(TableDailySummary[[#This Row],[Fecha]],SummaryDaily[day],SummaryDaily[new_net_sales],0)</f>
        <v>1239495.79</v>
      </c>
      <c r="J165" s="12">
        <f>_xlfn.XLOOKUP(TableDailySummary[[#This Row],[Fecha]],SummaryDaily[day],SummaryDaily[new_orders],0)</f>
        <v>13</v>
      </c>
      <c r="K165" s="12">
        <f>_xlfn.XLOOKUP(TableDailySummary[[#This Row],[Fecha]],SummaryDaily[day],SummaryDaily[new_average_order_value],0)</f>
        <v>95345.83</v>
      </c>
      <c r="L165" s="12">
        <f>_xlfn.XLOOKUP(TableDailySummary[[#This Row],[Fecha]],SummaryDaily[day],SummaryDaily[Online Store_net_sales],0)</f>
        <v>487394.96</v>
      </c>
      <c r="M165" s="12">
        <f>_xlfn.XLOOKUP(TableDailySummary[[#This Row],[Fecha]],SummaryDaily[day],SummaryDaily[Online Store_orders],0)</f>
        <v>4</v>
      </c>
      <c r="N165" s="12">
        <f>_xlfn.XLOOKUP(TableDailySummary[[#This Row],[Fecha]],SummaryDaily[day],SummaryDaily[Online Store_average_order_value],0)</f>
        <v>121848.74</v>
      </c>
      <c r="O165" s="12">
        <f>_xlfn.XLOOKUP(TableDailySummary[[#This Row],[Fecha]],SummaryDaily[day],SummaryDaily[Tienda 81_net_sales],0)</f>
        <v>1645379.14</v>
      </c>
      <c r="P165" s="12">
        <f>_xlfn.XLOOKUP(TableDailySummary[[#This Row],[Fecha]],SummaryDaily[day],SummaryDaily[Tienda 81_orders],0)</f>
        <v>14</v>
      </c>
      <c r="Q165" s="12">
        <f>_xlfn.XLOOKUP(TableDailySummary[[#This Row],[Fecha]],SummaryDaily[day],SummaryDaily[Tienda 81_average_order_value],0)</f>
        <v>117527.08100000001</v>
      </c>
      <c r="R165" s="12">
        <f>_xlfn.XLOOKUP(TableDailySummary[[#This Row],[Fecha]],SummaryDaily[day],SummaryDaily[Rappi_net_sales],0)</f>
        <v>54621.85</v>
      </c>
      <c r="S165" s="12">
        <f>_xlfn.XLOOKUP(TableDailySummary[[#This Row],[Fecha]],SummaryDaily[day],SummaryDaily[Rappi_orders],0)</f>
        <v>1</v>
      </c>
      <c r="T165" s="12">
        <f>_xlfn.XLOOKUP(TableDailySummary[[#This Row],[Fecha]],SummaryDaily[day],SummaryDaily[Rappi_average_order_value],0)</f>
        <v>54621.85</v>
      </c>
      <c r="U165" s="12">
        <f>_xlfn.XLOOKUP(TableDailySummary[[#This Row],[Fecha]],SummaryDaily[day],SummaryDaily[Corporativo no tienda_net_sales],0)</f>
        <v>1607142.86</v>
      </c>
      <c r="V165" s="12">
        <f>_xlfn.XLOOKUP(TableDailySummary[[#This Row],[Fecha]],SummaryDaily[day],SummaryDaily[Corporativo no tienda_orders],0)</f>
        <v>1</v>
      </c>
      <c r="W165" s="12">
        <f>_xlfn.XLOOKUP(TableDailySummary[[#This Row],[Fecha]],SummaryDaily[day],SummaryDaily[Corporativo no tienda_average_order_value],0)</f>
        <v>1607142.86</v>
      </c>
      <c r="X165" s="12">
        <f>_xlfn.XLOOKUP(TableDailySummary[[#This Row],[Fecha]],SummaryDaily[day],SummaryDaily[GoogleAdsOperation.Cost],0)</f>
        <v>46592.35</v>
      </c>
      <c r="Y165" s="12">
        <f>SUMIFS(SalesByUTMDaily[google],SalesByUTMDaily[day],TableDailySummary[[#This Row],[Fecha]])</f>
        <v>0</v>
      </c>
      <c r="Z165" s="12">
        <f>_xlfn.XLOOKUP(TableDailySummary[[#This Row],[Fecha]],SummaryDaily[day],SummaryDaily[MetaAdsOperation.spend],0)</f>
        <v>51071</v>
      </c>
      <c r="AA165" s="12">
        <f>SUMIFS(SalesByUTMDaily[facebook],SalesByUTMDaily[day],TableDailySummary[[#This Row],[Fecha]])</f>
        <v>0</v>
      </c>
      <c r="AB165" s="12">
        <f>TableDailySummary[[#This Row],[Inversión google ads]]+TableDailySummary[[#This Row],[Inversión meta ads]]</f>
        <v>97663.35</v>
      </c>
      <c r="AC165" s="12">
        <f>TableDailySummary[[#This Row],[Ventas google ads]]+TableDailySummary[[#This Row],[Ventas meta ads]]</f>
        <v>0</v>
      </c>
      <c r="AD165" s="14">
        <f>IFERROR(TableDailySummary[[#This Row],[Ventas publicidad]]/TableDailySummary[[#This Row],[Inversión publicidad]],0)</f>
        <v>0</v>
      </c>
      <c r="AE165" s="14">
        <f>IFERROR(TableDailySummary[[#This Row],[Ventas primer cliente]]/TableDailySummary[[#This Row],[Inversión publicidad]],0)</f>
        <v>12.691514165754093</v>
      </c>
      <c r="AF165" s="14"/>
      <c r="AG165" s="12"/>
      <c r="AM165" s="12">
        <f>_xlfn.XLOOKUP(TableDailySummary[[#This Row],[Fecha]],SummaryDaily[day],SummaryDaily[net_sales_with_cost_recorded],0)</f>
        <v>2187394.9500000002</v>
      </c>
      <c r="AN165" s="12">
        <f>_xlfn.XLOOKUP(TableDailySummary[[#This Row],[Fecha]],SummaryDaily[day],SummaryDaily[cost_of_goods_sold],0)</f>
        <v>689534</v>
      </c>
      <c r="AO165" s="12">
        <f>_xlfn.XLOOKUP(TableDailySummary[[#This Row],[Fecha]],SummaryDaily[day],SummaryDaily[gross_profit],0)</f>
        <v>1497860.95</v>
      </c>
      <c r="AP165" s="18">
        <f>IFERROR(TableDailySummary[[#This Row],[Utilidad bruta]]/TableDailySummary[[#This Row],[Ventas netas con costo registrado]],0)</f>
        <v>0.6847693188648899</v>
      </c>
    </row>
    <row r="166" spans="2:42" x14ac:dyDescent="0.2">
      <c r="B166" s="15" cm="1">
        <f t="array" ref="B166">MIN(SummaryDaily[day]) + (ROW(TableDailySummary[#This Row]) - ROW(TableDailySummary[[#Headers],[Dia]]) - 1)</f>
        <v>45937</v>
      </c>
      <c r="C166" s="6">
        <f>TableDailySummary[[#This Row],[Dia]]</f>
        <v>45937</v>
      </c>
      <c r="D166" s="12">
        <f>_xlfn.XLOOKUP(TableDailySummary[[#This Row],[Fecha]],SummaryDaily[day],SummaryDaily[net_sales],0)</f>
        <v>1426050.42</v>
      </c>
      <c r="E166" s="12">
        <f>_xlfn.XLOOKUP(TableDailySummary[[#This Row],[Fecha]],SummaryDaily[day],SummaryDaily[orders],0)</f>
        <v>12</v>
      </c>
      <c r="F166" s="12">
        <f>_xlfn.XLOOKUP(TableDailySummary[[#This Row],[Fecha]],SummaryDaily[day],SummaryDaily[average_order_value],0)</f>
        <v>116176.47</v>
      </c>
      <c r="G166" s="24">
        <f>_xlfn.XLOOKUP(TableDailySummary[[#This Row],[Fecha]],SummaryDaily[day],SummaryDaily[Total site_conversion_rate],0)</f>
        <v>5.1107325383304937E-3</v>
      </c>
      <c r="H166" s="12">
        <f>TableDailySummary[[#This Row],[Órden promedio totales]]*TableDailySummary[[#This Row],[CR totales]]</f>
        <v>593.7468654173764</v>
      </c>
      <c r="I166" s="12">
        <f>_xlfn.XLOOKUP(TableDailySummary[[#This Row],[Fecha]],SummaryDaily[day],SummaryDaily[new_net_sales],0)</f>
        <v>835294.12</v>
      </c>
      <c r="J166" s="12">
        <f>_xlfn.XLOOKUP(TableDailySummary[[#This Row],[Fecha]],SummaryDaily[day],SummaryDaily[new_orders],0)</f>
        <v>6</v>
      </c>
      <c r="K166" s="12">
        <f>_xlfn.XLOOKUP(TableDailySummary[[#This Row],[Fecha]],SummaryDaily[day],SummaryDaily[new_average_order_value],0)</f>
        <v>139215.68599999999</v>
      </c>
      <c r="L166" s="12">
        <f>_xlfn.XLOOKUP(TableDailySummary[[#This Row],[Fecha]],SummaryDaily[day],SummaryDaily[Online Store_net_sales],0)</f>
        <v>340336.14</v>
      </c>
      <c r="M166" s="12">
        <f>_xlfn.XLOOKUP(TableDailySummary[[#This Row],[Fecha]],SummaryDaily[day],SummaryDaily[Online Store_orders],0)</f>
        <v>3</v>
      </c>
      <c r="N166" s="12">
        <f>_xlfn.XLOOKUP(TableDailySummary[[#This Row],[Fecha]],SummaryDaily[day],SummaryDaily[Online Store_average_order_value],0)</f>
        <v>113445.38</v>
      </c>
      <c r="O166" s="12">
        <f>_xlfn.XLOOKUP(TableDailySummary[[#This Row],[Fecha]],SummaryDaily[day],SummaryDaily[Tienda 81_net_sales],0)</f>
        <v>799999.99</v>
      </c>
      <c r="P166" s="12">
        <f>_xlfn.XLOOKUP(TableDailySummary[[#This Row],[Fecha]],SummaryDaily[day],SummaryDaily[Tienda 81_orders],0)</f>
        <v>7</v>
      </c>
      <c r="Q166" s="12">
        <f>_xlfn.XLOOKUP(TableDailySummary[[#This Row],[Fecha]],SummaryDaily[day],SummaryDaily[Tienda 81_average_order_value],0)</f>
        <v>109723.88800000001</v>
      </c>
      <c r="R166" s="12">
        <f>_xlfn.XLOOKUP(TableDailySummary[[#This Row],[Fecha]],SummaryDaily[day],SummaryDaily[Rappi_net_sales],0)</f>
        <v>121848.74</v>
      </c>
      <c r="S166" s="12">
        <f>_xlfn.XLOOKUP(TableDailySummary[[#This Row],[Fecha]],SummaryDaily[day],SummaryDaily[Rappi_orders],0)</f>
        <v>1</v>
      </c>
      <c r="T166" s="12">
        <f>_xlfn.XLOOKUP(TableDailySummary[[#This Row],[Fecha]],SummaryDaily[day],SummaryDaily[Rappi_average_order_value],0)</f>
        <v>121848.74</v>
      </c>
      <c r="U166" s="12">
        <f>_xlfn.XLOOKUP(TableDailySummary[[#This Row],[Fecha]],SummaryDaily[day],SummaryDaily[Corporativo no tienda_net_sales],0)</f>
        <v>0</v>
      </c>
      <c r="V166" s="12">
        <f>_xlfn.XLOOKUP(TableDailySummary[[#This Row],[Fecha]],SummaryDaily[day],SummaryDaily[Corporativo no tienda_orders],0)</f>
        <v>0</v>
      </c>
      <c r="W166" s="12">
        <f>_xlfn.XLOOKUP(TableDailySummary[[#This Row],[Fecha]],SummaryDaily[day],SummaryDaily[Corporativo no tienda_average_order_value],0)</f>
        <v>0</v>
      </c>
      <c r="X166" s="12">
        <f>_xlfn.XLOOKUP(TableDailySummary[[#This Row],[Fecha]],SummaryDaily[day],SummaryDaily[GoogleAdsOperation.Cost],0)</f>
        <v>55168.1</v>
      </c>
      <c r="Y166" s="12">
        <f>SUMIFS(SalesByUTMDaily[google],SalesByUTMDaily[day],TableDailySummary[[#This Row],[Fecha]])</f>
        <v>144500</v>
      </c>
      <c r="Z166" s="12">
        <f>_xlfn.XLOOKUP(TableDailySummary[[#This Row],[Fecha]],SummaryDaily[day],SummaryDaily[MetaAdsOperation.spend],0)</f>
        <v>54482</v>
      </c>
      <c r="AA166" s="12">
        <f>SUMIFS(SalesByUTMDaily[facebook],SalesByUTMDaily[day],TableDailySummary[[#This Row],[Fecha]])</f>
        <v>94000</v>
      </c>
      <c r="AB166" s="12">
        <f>TableDailySummary[[#This Row],[Inversión google ads]]+TableDailySummary[[#This Row],[Inversión meta ads]]</f>
        <v>109650.1</v>
      </c>
      <c r="AC166" s="12">
        <f>TableDailySummary[[#This Row],[Ventas google ads]]+TableDailySummary[[#This Row],[Ventas meta ads]]</f>
        <v>238500</v>
      </c>
      <c r="AD166" s="14">
        <f>IFERROR(TableDailySummary[[#This Row],[Ventas publicidad]]/TableDailySummary[[#This Row],[Inversión publicidad]],0)</f>
        <v>2.1751006155033146</v>
      </c>
      <c r="AE166" s="14">
        <f>IFERROR(TableDailySummary[[#This Row],[Ventas primer cliente]]/TableDailySummary[[#This Row],[Inversión publicidad]],0)</f>
        <v>7.6178144844373143</v>
      </c>
      <c r="AF166" s="14"/>
      <c r="AG166" s="12"/>
      <c r="AM166" s="12">
        <f>_xlfn.XLOOKUP(TableDailySummary[[#This Row],[Fecha]],SummaryDaily[day],SummaryDaily[net_sales_with_cost_recorded],0)</f>
        <v>1426050.42</v>
      </c>
      <c r="AN166" s="12">
        <f>_xlfn.XLOOKUP(TableDailySummary[[#This Row],[Fecha]],SummaryDaily[day],SummaryDaily[cost_of_goods_sold],0)</f>
        <v>403217</v>
      </c>
      <c r="AO166" s="12">
        <f>_xlfn.XLOOKUP(TableDailySummary[[#This Row],[Fecha]],SummaryDaily[day],SummaryDaily[gross_profit],0)</f>
        <v>1022833.42</v>
      </c>
      <c r="AP166" s="18">
        <f>IFERROR(TableDailySummary[[#This Row],[Utilidad bruta]]/TableDailySummary[[#This Row],[Ventas netas con costo registrado]],0)</f>
        <v>0.71724912783939299</v>
      </c>
    </row>
    <row r="167" spans="2:42" x14ac:dyDescent="0.2">
      <c r="B167" s="15" cm="1">
        <f t="array" ref="B167">MIN(SummaryDaily[day]) + (ROW(TableDailySummary[#This Row]) - ROW(TableDailySummary[[#Headers],[Dia]]) - 1)</f>
        <v>45938</v>
      </c>
      <c r="C167" s="6">
        <f>TableDailySummary[[#This Row],[Dia]]</f>
        <v>45938</v>
      </c>
      <c r="D167" s="12">
        <f>_xlfn.XLOOKUP(TableDailySummary[[#This Row],[Fecha]],SummaryDaily[day],SummaryDaily[net_sales],0)</f>
        <v>1377100.84</v>
      </c>
      <c r="E167" s="12">
        <f>_xlfn.XLOOKUP(TableDailySummary[[#This Row],[Fecha]],SummaryDaily[day],SummaryDaily[orders],0)</f>
        <v>14</v>
      </c>
      <c r="F167" s="12">
        <f>_xlfn.XLOOKUP(TableDailySummary[[#This Row],[Fecha]],SummaryDaily[day],SummaryDaily[average_order_value],0)</f>
        <v>96221.487999999998</v>
      </c>
      <c r="G167" s="24">
        <f>_xlfn.XLOOKUP(TableDailySummary[[#This Row],[Fecha]],SummaryDaily[day],SummaryDaily[Total site_conversion_rate],0)</f>
        <v>9.8039215686274508E-3</v>
      </c>
      <c r="H167" s="12">
        <f>TableDailySummary[[#This Row],[Órden promedio totales]]*TableDailySummary[[#This Row],[CR totales]]</f>
        <v>943.34792156862738</v>
      </c>
      <c r="I167" s="12">
        <f>_xlfn.XLOOKUP(TableDailySummary[[#This Row],[Fecha]],SummaryDaily[day],SummaryDaily[new_net_sales],0)</f>
        <v>641176.46</v>
      </c>
      <c r="J167" s="12">
        <f>_xlfn.XLOOKUP(TableDailySummary[[#This Row],[Fecha]],SummaryDaily[day],SummaryDaily[new_orders],0)</f>
        <v>7</v>
      </c>
      <c r="K167" s="12">
        <f>_xlfn.XLOOKUP(TableDailySummary[[#This Row],[Fecha]],SummaryDaily[day],SummaryDaily[new_average_order_value],0)</f>
        <v>91596.637000000002</v>
      </c>
      <c r="L167" s="12">
        <f>_xlfn.XLOOKUP(TableDailySummary[[#This Row],[Fecha]],SummaryDaily[day],SummaryDaily[Online Store_net_sales],0)</f>
        <v>700462.19</v>
      </c>
      <c r="M167" s="12">
        <f>_xlfn.XLOOKUP(TableDailySummary[[#This Row],[Fecha]],SummaryDaily[day],SummaryDaily[Online Store_orders],0)</f>
        <v>6</v>
      </c>
      <c r="N167" s="12">
        <f>_xlfn.XLOOKUP(TableDailySummary[[#This Row],[Fecha]],SummaryDaily[day],SummaryDaily[Online Store_average_order_value],0)</f>
        <v>116743.698</v>
      </c>
      <c r="O167" s="12">
        <f>_xlfn.XLOOKUP(TableDailySummary[[#This Row],[Fecha]],SummaryDaily[day],SummaryDaily[Tienda 81_net_sales],0)</f>
        <v>676638.65</v>
      </c>
      <c r="P167" s="12">
        <f>_xlfn.XLOOKUP(TableDailySummary[[#This Row],[Fecha]],SummaryDaily[day],SummaryDaily[Tienda 81_orders],0)</f>
        <v>8</v>
      </c>
      <c r="Q167" s="12">
        <f>_xlfn.XLOOKUP(TableDailySummary[[#This Row],[Fecha]],SummaryDaily[day],SummaryDaily[Tienda 81_average_order_value],0)</f>
        <v>80829.831000000006</v>
      </c>
      <c r="R167" s="12">
        <f>_xlfn.XLOOKUP(TableDailySummary[[#This Row],[Fecha]],SummaryDaily[day],SummaryDaily[Rappi_net_sales],0)</f>
        <v>0</v>
      </c>
      <c r="S167" s="12">
        <f>_xlfn.XLOOKUP(TableDailySummary[[#This Row],[Fecha]],SummaryDaily[day],SummaryDaily[Rappi_orders],0)</f>
        <v>0</v>
      </c>
      <c r="T167" s="12">
        <f>_xlfn.XLOOKUP(TableDailySummary[[#This Row],[Fecha]],SummaryDaily[day],SummaryDaily[Rappi_average_order_value],0)</f>
        <v>0</v>
      </c>
      <c r="U167" s="12">
        <f>_xlfn.XLOOKUP(TableDailySummary[[#This Row],[Fecha]],SummaryDaily[day],SummaryDaily[Corporativo no tienda_net_sales],0)</f>
        <v>0</v>
      </c>
      <c r="V167" s="12">
        <f>_xlfn.XLOOKUP(TableDailySummary[[#This Row],[Fecha]],SummaryDaily[day],SummaryDaily[Corporativo no tienda_orders],0)</f>
        <v>0</v>
      </c>
      <c r="W167" s="12">
        <f>_xlfn.XLOOKUP(TableDailySummary[[#This Row],[Fecha]],SummaryDaily[day],SummaryDaily[Corporativo no tienda_average_order_value],0)</f>
        <v>0</v>
      </c>
      <c r="X167" s="12">
        <f>_xlfn.XLOOKUP(TableDailySummary[[#This Row],[Fecha]],SummaryDaily[day],SummaryDaily[GoogleAdsOperation.Cost],0)</f>
        <v>43222.879999999997</v>
      </c>
      <c r="Y167" s="12">
        <f>SUMIFS(SalesByUTMDaily[google],SalesByUTMDaily[day],TableDailySummary[[#This Row],[Fecha]])</f>
        <v>253000</v>
      </c>
      <c r="Z167" s="12">
        <f>_xlfn.XLOOKUP(TableDailySummary[[#This Row],[Fecha]],SummaryDaily[day],SummaryDaily[MetaAdsOperation.spend],0)</f>
        <v>50010</v>
      </c>
      <c r="AA167" s="12">
        <f>SUMIFS(SalesByUTMDaily[facebook],SalesByUTMDaily[day],TableDailySummary[[#This Row],[Fecha]])</f>
        <v>0</v>
      </c>
      <c r="AB167" s="12">
        <f>TableDailySummary[[#This Row],[Inversión google ads]]+TableDailySummary[[#This Row],[Inversión meta ads]]</f>
        <v>93232.88</v>
      </c>
      <c r="AC167" s="12">
        <f>TableDailySummary[[#This Row],[Ventas google ads]]+TableDailySummary[[#This Row],[Ventas meta ads]]</f>
        <v>253000</v>
      </c>
      <c r="AD167" s="14">
        <f>IFERROR(TableDailySummary[[#This Row],[Ventas publicidad]]/TableDailySummary[[#This Row],[Inversión publicidad]],0)</f>
        <v>2.7136349322256268</v>
      </c>
      <c r="AE167" s="14">
        <f>IFERROR(TableDailySummary[[#This Row],[Ventas primer cliente]]/TableDailySummary[[#This Row],[Inversión publicidad]],0)</f>
        <v>6.8771495635445339</v>
      </c>
      <c r="AF167" s="14"/>
      <c r="AG167" s="12"/>
      <c r="AM167" s="12">
        <f>_xlfn.XLOOKUP(TableDailySummary[[#This Row],[Fecha]],SummaryDaily[day],SummaryDaily[net_sales_with_cost_recorded],0)</f>
        <v>1377100.84</v>
      </c>
      <c r="AN167" s="12">
        <f>_xlfn.XLOOKUP(TableDailySummary[[#This Row],[Fecha]],SummaryDaily[day],SummaryDaily[cost_of_goods_sold],0)</f>
        <v>413793</v>
      </c>
      <c r="AO167" s="12">
        <f>_xlfn.XLOOKUP(TableDailySummary[[#This Row],[Fecha]],SummaryDaily[day],SummaryDaily[gross_profit],0)</f>
        <v>963307.84</v>
      </c>
      <c r="AP167" s="18">
        <f>IFERROR(TableDailySummary[[#This Row],[Utilidad bruta]]/TableDailySummary[[#This Row],[Ventas netas con costo registrado]],0)</f>
        <v>0.6995187367687612</v>
      </c>
    </row>
    <row r="168" spans="2:42" x14ac:dyDescent="0.2">
      <c r="B168" s="15" cm="1">
        <f t="array" ref="B168">MIN(SummaryDaily[day]) + (ROW(TableDailySummary[#This Row]) - ROW(TableDailySummary[[#Headers],[Dia]]) - 1)</f>
        <v>45939</v>
      </c>
      <c r="C168" s="6">
        <f>TableDailySummary[[#This Row],[Dia]]</f>
        <v>45939</v>
      </c>
      <c r="D168" s="12">
        <f>_xlfn.XLOOKUP(TableDailySummary[[#This Row],[Fecha]],SummaryDaily[day],SummaryDaily[net_sales],0)</f>
        <v>2236303.37</v>
      </c>
      <c r="E168" s="12">
        <f>_xlfn.XLOOKUP(TableDailySummary[[#This Row],[Fecha]],SummaryDaily[day],SummaryDaily[orders],0)</f>
        <v>19</v>
      </c>
      <c r="F168" s="12">
        <f>_xlfn.XLOOKUP(TableDailySummary[[#This Row],[Fecha]],SummaryDaily[day],SummaryDaily[average_order_value],0)</f>
        <v>117700.177</v>
      </c>
      <c r="G168" s="24">
        <f>_xlfn.XLOOKUP(TableDailySummary[[#This Row],[Fecha]],SummaryDaily[day],SummaryDaily[Total site_conversion_rate],0)</f>
        <v>3.0627871362940277E-3</v>
      </c>
      <c r="H168" s="12">
        <f>TableDailySummary[[#This Row],[Órden promedio totales]]*TableDailySummary[[#This Row],[CR totales]]</f>
        <v>360.49058805513016</v>
      </c>
      <c r="I168" s="12">
        <f>_xlfn.XLOOKUP(TableDailySummary[[#This Row],[Fecha]],SummaryDaily[day],SummaryDaily[new_net_sales],0)</f>
        <v>611092.44999999995</v>
      </c>
      <c r="J168" s="12">
        <f>_xlfn.XLOOKUP(TableDailySummary[[#This Row],[Fecha]],SummaryDaily[day],SummaryDaily[new_orders],0)</f>
        <v>9</v>
      </c>
      <c r="K168" s="12">
        <f>_xlfn.XLOOKUP(TableDailySummary[[#This Row],[Fecha]],SummaryDaily[day],SummaryDaily[new_average_order_value],0)</f>
        <v>67899.160999999993</v>
      </c>
      <c r="L168" s="12">
        <f>_xlfn.XLOOKUP(TableDailySummary[[#This Row],[Fecha]],SummaryDaily[day],SummaryDaily[Online Store_net_sales],0)</f>
        <v>134454.62</v>
      </c>
      <c r="M168" s="12">
        <f>_xlfn.XLOOKUP(TableDailySummary[[#This Row],[Fecha]],SummaryDaily[day],SummaryDaily[Online Store_orders],0)</f>
        <v>3</v>
      </c>
      <c r="N168" s="12">
        <f>_xlfn.XLOOKUP(TableDailySummary[[#This Row],[Fecha]],SummaryDaily[day],SummaryDaily[Online Store_average_order_value],0)</f>
        <v>44818.205999999998</v>
      </c>
      <c r="O168" s="12">
        <f>_xlfn.XLOOKUP(TableDailySummary[[#This Row],[Fecha]],SummaryDaily[day],SummaryDaily[Tienda 81_net_sales],0)</f>
        <v>1950588.24</v>
      </c>
      <c r="P168" s="12">
        <f>_xlfn.XLOOKUP(TableDailySummary[[#This Row],[Fecha]],SummaryDaily[day],SummaryDaily[Tienda 81_orders],0)</f>
        <v>13</v>
      </c>
      <c r="Q168" s="12">
        <f>_xlfn.XLOOKUP(TableDailySummary[[#This Row],[Fecha]],SummaryDaily[day],SummaryDaily[Tienda 81_average_order_value],0)</f>
        <v>150045.24900000001</v>
      </c>
      <c r="R168" s="12">
        <f>_xlfn.XLOOKUP(TableDailySummary[[#This Row],[Fecha]],SummaryDaily[day],SummaryDaily[Rappi_net_sales],0)</f>
        <v>151260.51</v>
      </c>
      <c r="S168" s="12">
        <f>_xlfn.XLOOKUP(TableDailySummary[[#This Row],[Fecha]],SummaryDaily[day],SummaryDaily[Rappi_orders],0)</f>
        <v>3</v>
      </c>
      <c r="T168" s="12">
        <f>_xlfn.XLOOKUP(TableDailySummary[[#This Row],[Fecha]],SummaryDaily[day],SummaryDaily[Rappi_average_order_value],0)</f>
        <v>50420.17</v>
      </c>
      <c r="U168" s="12">
        <f>_xlfn.XLOOKUP(TableDailySummary[[#This Row],[Fecha]],SummaryDaily[day],SummaryDaily[Corporativo no tienda_net_sales],0)</f>
        <v>0</v>
      </c>
      <c r="V168" s="12">
        <f>_xlfn.XLOOKUP(TableDailySummary[[#This Row],[Fecha]],SummaryDaily[day],SummaryDaily[Corporativo no tienda_orders],0)</f>
        <v>0</v>
      </c>
      <c r="W168" s="12">
        <f>_xlfn.XLOOKUP(TableDailySummary[[#This Row],[Fecha]],SummaryDaily[day],SummaryDaily[Corporativo no tienda_average_order_value],0)</f>
        <v>0</v>
      </c>
      <c r="X168" s="12">
        <f>_xlfn.XLOOKUP(TableDailySummary[[#This Row],[Fecha]],SummaryDaily[day],SummaryDaily[GoogleAdsOperation.Cost],0)</f>
        <v>50614.65</v>
      </c>
      <c r="Y168" s="12">
        <f>SUMIFS(SalesByUTMDaily[google],SalesByUTMDaily[day],TableDailySummary[[#This Row],[Fecha]])</f>
        <v>0</v>
      </c>
      <c r="Z168" s="12">
        <f>_xlfn.XLOOKUP(TableDailySummary[[#This Row],[Fecha]],SummaryDaily[day],SummaryDaily[MetaAdsOperation.spend],0)</f>
        <v>49319</v>
      </c>
      <c r="AA168" s="12">
        <f>SUMIFS(SalesByUTMDaily[facebook],SalesByUTMDaily[day],TableDailySummary[[#This Row],[Fecha]])</f>
        <v>0</v>
      </c>
      <c r="AB168" s="12">
        <f>TableDailySummary[[#This Row],[Inversión google ads]]+TableDailySummary[[#This Row],[Inversión meta ads]]</f>
        <v>99933.65</v>
      </c>
      <c r="AC168" s="12">
        <f>TableDailySummary[[#This Row],[Ventas google ads]]+TableDailySummary[[#This Row],[Ventas meta ads]]</f>
        <v>0</v>
      </c>
      <c r="AD168" s="14">
        <f>IFERROR(TableDailySummary[[#This Row],[Ventas publicidad]]/TableDailySummary[[#This Row],[Inversión publicidad]],0)</f>
        <v>0</v>
      </c>
      <c r="AE168" s="14">
        <f>IFERROR(TableDailySummary[[#This Row],[Ventas primer cliente]]/TableDailySummary[[#This Row],[Inversión publicidad]],0)</f>
        <v>6.114981790417942</v>
      </c>
      <c r="AF168" s="14"/>
      <c r="AG168" s="12"/>
      <c r="AM168" s="12">
        <f>_xlfn.XLOOKUP(TableDailySummary[[#This Row],[Fecha]],SummaryDaily[day],SummaryDaily[net_sales_with_cost_recorded],0)</f>
        <v>2236302.5299999998</v>
      </c>
      <c r="AN168" s="12">
        <f>_xlfn.XLOOKUP(TableDailySummary[[#This Row],[Fecha]],SummaryDaily[day],SummaryDaily[cost_of_goods_sold],0)</f>
        <v>678608</v>
      </c>
      <c r="AO168" s="12">
        <f>_xlfn.XLOOKUP(TableDailySummary[[#This Row],[Fecha]],SummaryDaily[day],SummaryDaily[gross_profit],0)</f>
        <v>1557694.53</v>
      </c>
      <c r="AP168" s="18">
        <f>IFERROR(TableDailySummary[[#This Row],[Utilidad bruta]]/TableDailySummary[[#This Row],[Ventas netas con costo registrado]],0)</f>
        <v>0.69654910688671456</v>
      </c>
    </row>
    <row r="169" spans="2:42" x14ac:dyDescent="0.2">
      <c r="B169" s="15" cm="1">
        <f t="array" ref="B169">MIN(SummaryDaily[day]) + (ROW(TableDailySummary[#This Row]) - ROW(TableDailySummary[[#Headers],[Dia]]) - 1)</f>
        <v>45940</v>
      </c>
      <c r="C169" s="6">
        <f>TableDailySummary[[#This Row],[Dia]]</f>
        <v>45940</v>
      </c>
      <c r="D169" s="12">
        <f>_xlfn.XLOOKUP(TableDailySummary[[#This Row],[Fecha]],SummaryDaily[day],SummaryDaily[net_sales],0)</f>
        <v>4067621.85</v>
      </c>
      <c r="E169" s="12">
        <f>_xlfn.XLOOKUP(TableDailySummary[[#This Row],[Fecha]],SummaryDaily[day],SummaryDaily[orders],0)</f>
        <v>17</v>
      </c>
      <c r="F169" s="12">
        <f>_xlfn.XLOOKUP(TableDailySummary[[#This Row],[Fecha]],SummaryDaily[day],SummaryDaily[average_order_value],0)</f>
        <v>239271.87299999999</v>
      </c>
      <c r="G169" s="24">
        <f>_xlfn.XLOOKUP(TableDailySummary[[#This Row],[Fecha]],SummaryDaily[day],SummaryDaily[Total site_conversion_rate],0)</f>
        <v>4.4776119402985077E-3</v>
      </c>
      <c r="H169" s="12">
        <f>TableDailySummary[[#This Row],[Órden promedio totales]]*TableDailySummary[[#This Row],[CR totales]]</f>
        <v>1071.366595522388</v>
      </c>
      <c r="I169" s="12">
        <f>_xlfn.XLOOKUP(TableDailySummary[[#This Row],[Fecha]],SummaryDaily[day],SummaryDaily[new_net_sales],0)</f>
        <v>2557957.98</v>
      </c>
      <c r="J169" s="12">
        <f>_xlfn.XLOOKUP(TableDailySummary[[#This Row],[Fecha]],SummaryDaily[day],SummaryDaily[new_orders],0)</f>
        <v>11</v>
      </c>
      <c r="K169" s="12">
        <f>_xlfn.XLOOKUP(TableDailySummary[[#This Row],[Fecha]],SummaryDaily[day],SummaryDaily[new_average_order_value],0)</f>
        <v>232541.63399999999</v>
      </c>
      <c r="L169" s="12">
        <f>_xlfn.XLOOKUP(TableDailySummary[[#This Row],[Fecha]],SummaryDaily[day],SummaryDaily[Online Store_net_sales],0)</f>
        <v>1978991.6</v>
      </c>
      <c r="M169" s="12">
        <f>_xlfn.XLOOKUP(TableDailySummary[[#This Row],[Fecha]],SummaryDaily[day],SummaryDaily[Online Store_orders],0)</f>
        <v>3</v>
      </c>
      <c r="N169" s="12">
        <f>_xlfn.XLOOKUP(TableDailySummary[[#This Row],[Fecha]],SummaryDaily[day],SummaryDaily[Online Store_average_order_value],0)</f>
        <v>659663.86600000004</v>
      </c>
      <c r="O169" s="12">
        <f>_xlfn.XLOOKUP(TableDailySummary[[#This Row],[Fecha]],SummaryDaily[day],SummaryDaily[Tienda 81_net_sales],0)</f>
        <v>1937369.74</v>
      </c>
      <c r="P169" s="12">
        <f>_xlfn.XLOOKUP(TableDailySummary[[#This Row],[Fecha]],SummaryDaily[day],SummaryDaily[Tienda 81_orders],0)</f>
        <v>11</v>
      </c>
      <c r="Q169" s="12">
        <f>_xlfn.XLOOKUP(TableDailySummary[[#This Row],[Fecha]],SummaryDaily[day],SummaryDaily[Tienda 81_average_order_value],0)</f>
        <v>176124.52100000001</v>
      </c>
      <c r="R169" s="12">
        <f>_xlfn.XLOOKUP(TableDailySummary[[#This Row],[Fecha]],SummaryDaily[day],SummaryDaily[Rappi_net_sales],0)</f>
        <v>96638.66</v>
      </c>
      <c r="S169" s="12">
        <f>_xlfn.XLOOKUP(TableDailySummary[[#This Row],[Fecha]],SummaryDaily[day],SummaryDaily[Rappi_orders],0)</f>
        <v>2</v>
      </c>
      <c r="T169" s="12">
        <f>_xlfn.XLOOKUP(TableDailySummary[[#This Row],[Fecha]],SummaryDaily[day],SummaryDaily[Rappi_average_order_value],0)</f>
        <v>48319.33</v>
      </c>
      <c r="U169" s="12">
        <f>_xlfn.XLOOKUP(TableDailySummary[[#This Row],[Fecha]],SummaryDaily[day],SummaryDaily[Corporativo no tienda_net_sales],0)</f>
        <v>0</v>
      </c>
      <c r="V169" s="12">
        <f>_xlfn.XLOOKUP(TableDailySummary[[#This Row],[Fecha]],SummaryDaily[day],SummaryDaily[Corporativo no tienda_orders],0)</f>
        <v>0</v>
      </c>
      <c r="W169" s="12">
        <f>_xlfn.XLOOKUP(TableDailySummary[[#This Row],[Fecha]],SummaryDaily[day],SummaryDaily[Corporativo no tienda_average_order_value],0)</f>
        <v>0</v>
      </c>
      <c r="X169" s="12">
        <f>_xlfn.XLOOKUP(TableDailySummary[[#This Row],[Fecha]],SummaryDaily[day],SummaryDaily[GoogleAdsOperation.Cost],0)</f>
        <v>55775.13</v>
      </c>
      <c r="Y169" s="12">
        <f>SUMIFS(SalesByUTMDaily[google],SalesByUTMDaily[day],TableDailySummary[[#This Row],[Fecha]])</f>
        <v>0</v>
      </c>
      <c r="Z169" s="12">
        <f>_xlfn.XLOOKUP(TableDailySummary[[#This Row],[Fecha]],SummaryDaily[day],SummaryDaily[MetaAdsOperation.spend],0)</f>
        <v>49510</v>
      </c>
      <c r="AA169" s="12">
        <f>SUMIFS(SalesByUTMDaily[facebook],SalesByUTMDaily[day],TableDailySummary[[#This Row],[Fecha]])</f>
        <v>0</v>
      </c>
      <c r="AB169" s="12">
        <f>TableDailySummary[[#This Row],[Inversión google ads]]+TableDailySummary[[#This Row],[Inversión meta ads]]</f>
        <v>105285.13</v>
      </c>
      <c r="AC169" s="12">
        <f>TableDailySummary[[#This Row],[Ventas google ads]]+TableDailySummary[[#This Row],[Ventas meta ads]]</f>
        <v>0</v>
      </c>
      <c r="AD169" s="14">
        <f>IFERROR(TableDailySummary[[#This Row],[Ventas publicidad]]/TableDailySummary[[#This Row],[Inversión publicidad]],0)</f>
        <v>0</v>
      </c>
      <c r="AE169" s="14">
        <f>IFERROR(TableDailySummary[[#This Row],[Ventas primer cliente]]/TableDailySummary[[#This Row],[Inversión publicidad]],0)</f>
        <v>24.295529482653436</v>
      </c>
      <c r="AF169" s="14"/>
      <c r="AG169" s="12"/>
      <c r="AM169" s="12">
        <f>_xlfn.XLOOKUP(TableDailySummary[[#This Row],[Fecha]],SummaryDaily[day],SummaryDaily[net_sales_with_cost_recorded],0)</f>
        <v>4063000</v>
      </c>
      <c r="AN169" s="12">
        <f>_xlfn.XLOOKUP(TableDailySummary[[#This Row],[Fecha]],SummaryDaily[day],SummaryDaily[cost_of_goods_sold],0)</f>
        <v>1410816</v>
      </c>
      <c r="AO169" s="12">
        <f>_xlfn.XLOOKUP(TableDailySummary[[#This Row],[Fecha]],SummaryDaily[day],SummaryDaily[gross_profit],0)</f>
        <v>2652184</v>
      </c>
      <c r="AP169" s="18">
        <f>IFERROR(TableDailySummary[[#This Row],[Utilidad bruta]]/TableDailySummary[[#This Row],[Ventas netas con costo registrado]],0)</f>
        <v>0.65276495200590701</v>
      </c>
    </row>
    <row r="170" spans="2:42" x14ac:dyDescent="0.2">
      <c r="B170" s="15" cm="1">
        <f t="array" ref="B170">MIN(SummaryDaily[day]) + (ROW(TableDailySummary[#This Row]) - ROW(TableDailySummary[[#Headers],[Dia]]) - 1)</f>
        <v>45941</v>
      </c>
      <c r="C170" s="6">
        <f>TableDailySummary[[#This Row],[Dia]]</f>
        <v>45941</v>
      </c>
      <c r="D170" s="12">
        <f>_xlfn.XLOOKUP(TableDailySummary[[#This Row],[Fecha]],SummaryDaily[day],SummaryDaily[net_sales],0)</f>
        <v>1334873.95</v>
      </c>
      <c r="E170" s="12">
        <f>_xlfn.XLOOKUP(TableDailySummary[[#This Row],[Fecha]],SummaryDaily[day],SummaryDaily[orders],0)</f>
        <v>13</v>
      </c>
      <c r="F170" s="12">
        <f>_xlfn.XLOOKUP(TableDailySummary[[#This Row],[Fecha]],SummaryDaily[day],SummaryDaily[average_order_value],0)</f>
        <v>102682.611</v>
      </c>
      <c r="G170" s="24">
        <f>_xlfn.XLOOKUP(TableDailySummary[[#This Row],[Fecha]],SummaryDaily[day],SummaryDaily[Total site_conversion_rate],0)</f>
        <v>0</v>
      </c>
      <c r="H170" s="12">
        <f>TableDailySummary[[#This Row],[Órden promedio totales]]*TableDailySummary[[#This Row],[CR totales]]</f>
        <v>0</v>
      </c>
      <c r="I170" s="12">
        <f>_xlfn.XLOOKUP(TableDailySummary[[#This Row],[Fecha]],SummaryDaily[day],SummaryDaily[new_net_sales],0)</f>
        <v>1019159.67</v>
      </c>
      <c r="J170" s="12">
        <f>_xlfn.XLOOKUP(TableDailySummary[[#This Row],[Fecha]],SummaryDaily[day],SummaryDaily[new_orders],0)</f>
        <v>9</v>
      </c>
      <c r="K170" s="12">
        <f>_xlfn.XLOOKUP(TableDailySummary[[#This Row],[Fecha]],SummaryDaily[day],SummaryDaily[new_average_order_value],0)</f>
        <v>113239.963</v>
      </c>
      <c r="L170" s="12">
        <f>_xlfn.XLOOKUP(TableDailySummary[[#This Row],[Fecha]],SummaryDaily[day],SummaryDaily[Online Store_net_sales],0)</f>
        <v>0</v>
      </c>
      <c r="M170" s="12">
        <f>_xlfn.XLOOKUP(TableDailySummary[[#This Row],[Fecha]],SummaryDaily[day],SummaryDaily[Online Store_orders],0)</f>
        <v>0</v>
      </c>
      <c r="N170" s="12">
        <f>_xlfn.XLOOKUP(TableDailySummary[[#This Row],[Fecha]],SummaryDaily[day],SummaryDaily[Online Store_average_order_value],0)</f>
        <v>0</v>
      </c>
      <c r="O170" s="12">
        <f>_xlfn.XLOOKUP(TableDailySummary[[#This Row],[Fecha]],SummaryDaily[day],SummaryDaily[Tienda 81_net_sales],0)</f>
        <v>1334873.95</v>
      </c>
      <c r="P170" s="12">
        <f>_xlfn.XLOOKUP(TableDailySummary[[#This Row],[Fecha]],SummaryDaily[day],SummaryDaily[Tienda 81_orders],0)</f>
        <v>13</v>
      </c>
      <c r="Q170" s="12">
        <f>_xlfn.XLOOKUP(TableDailySummary[[#This Row],[Fecha]],SummaryDaily[day],SummaryDaily[Tienda 81_average_order_value],0)</f>
        <v>102682.611</v>
      </c>
      <c r="R170" s="12">
        <f>_xlfn.XLOOKUP(TableDailySummary[[#This Row],[Fecha]],SummaryDaily[day],SummaryDaily[Rappi_net_sales],0)</f>
        <v>0</v>
      </c>
      <c r="S170" s="12">
        <f>_xlfn.XLOOKUP(TableDailySummary[[#This Row],[Fecha]],SummaryDaily[day],SummaryDaily[Rappi_orders],0)</f>
        <v>0</v>
      </c>
      <c r="T170" s="12">
        <f>_xlfn.XLOOKUP(TableDailySummary[[#This Row],[Fecha]],SummaryDaily[day],SummaryDaily[Rappi_average_order_value],0)</f>
        <v>0</v>
      </c>
      <c r="U170" s="12">
        <f>_xlfn.XLOOKUP(TableDailySummary[[#This Row],[Fecha]],SummaryDaily[day],SummaryDaily[Corporativo no tienda_net_sales],0)</f>
        <v>0</v>
      </c>
      <c r="V170" s="12">
        <f>_xlfn.XLOOKUP(TableDailySummary[[#This Row],[Fecha]],SummaryDaily[day],SummaryDaily[Corporativo no tienda_orders],0)</f>
        <v>0</v>
      </c>
      <c r="W170" s="12">
        <f>_xlfn.XLOOKUP(TableDailySummary[[#This Row],[Fecha]],SummaryDaily[day],SummaryDaily[Corporativo no tienda_average_order_value],0)</f>
        <v>0</v>
      </c>
      <c r="X170" s="12">
        <f>_xlfn.XLOOKUP(TableDailySummary[[#This Row],[Fecha]],SummaryDaily[day],SummaryDaily[GoogleAdsOperation.Cost],0)</f>
        <v>39247.760000000002</v>
      </c>
      <c r="Y170" s="12">
        <f>SUMIFS(SalesByUTMDaily[google],SalesByUTMDaily[day],TableDailySummary[[#This Row],[Fecha]])</f>
        <v>0</v>
      </c>
      <c r="Z170" s="12">
        <f>_xlfn.XLOOKUP(TableDailySummary[[#This Row],[Fecha]],SummaryDaily[day],SummaryDaily[MetaAdsOperation.spend],0)</f>
        <v>54351</v>
      </c>
      <c r="AA170" s="12">
        <f>SUMIFS(SalesByUTMDaily[facebook],SalesByUTMDaily[day],TableDailySummary[[#This Row],[Fecha]])</f>
        <v>0</v>
      </c>
      <c r="AB170" s="12">
        <f>TableDailySummary[[#This Row],[Inversión google ads]]+TableDailySummary[[#This Row],[Inversión meta ads]]</f>
        <v>93598.760000000009</v>
      </c>
      <c r="AC170" s="12">
        <f>TableDailySummary[[#This Row],[Ventas google ads]]+TableDailySummary[[#This Row],[Ventas meta ads]]</f>
        <v>0</v>
      </c>
      <c r="AD170" s="14">
        <f>IFERROR(TableDailySummary[[#This Row],[Ventas publicidad]]/TableDailySummary[[#This Row],[Inversión publicidad]],0)</f>
        <v>0</v>
      </c>
      <c r="AE170" s="14">
        <f>IFERROR(TableDailySummary[[#This Row],[Ventas primer cliente]]/TableDailySummary[[#This Row],[Inversión publicidad]],0)</f>
        <v>10.88860226353426</v>
      </c>
      <c r="AF170" s="14"/>
      <c r="AG170" s="12"/>
      <c r="AM170" s="12">
        <f>_xlfn.XLOOKUP(TableDailySummary[[#This Row],[Fecha]],SummaryDaily[day],SummaryDaily[net_sales_with_cost_recorded],0)</f>
        <v>1334873.95</v>
      </c>
      <c r="AN170" s="12">
        <f>_xlfn.XLOOKUP(TableDailySummary[[#This Row],[Fecha]],SummaryDaily[day],SummaryDaily[cost_of_goods_sold],0)</f>
        <v>494453</v>
      </c>
      <c r="AO170" s="12">
        <f>_xlfn.XLOOKUP(TableDailySummary[[#This Row],[Fecha]],SummaryDaily[day],SummaryDaily[gross_profit],0)</f>
        <v>840420.95</v>
      </c>
      <c r="AP170" s="18">
        <f>IFERROR(TableDailySummary[[#This Row],[Utilidad bruta]]/TableDailySummary[[#This Row],[Ventas netas con costo registrado]],0)</f>
        <v>0.62958824689027748</v>
      </c>
    </row>
    <row r="171" spans="2:42" x14ac:dyDescent="0.2">
      <c r="B171" s="15" cm="1">
        <f t="array" ref="B171">MIN(SummaryDaily[day]) + (ROW(TableDailySummary[#This Row]) - ROW(TableDailySummary[[#Headers],[Dia]]) - 1)</f>
        <v>45942</v>
      </c>
      <c r="C171" s="6">
        <f>TableDailySummary[[#This Row],[Dia]]</f>
        <v>45942</v>
      </c>
      <c r="D171" s="12">
        <f>_xlfn.XLOOKUP(TableDailySummary[[#This Row],[Fecha]],SummaryDaily[day],SummaryDaily[net_sales],0)</f>
        <v>2751589.24</v>
      </c>
      <c r="E171" s="12">
        <f>_xlfn.XLOOKUP(TableDailySummary[[#This Row],[Fecha]],SummaryDaily[day],SummaryDaily[orders],0)</f>
        <v>22</v>
      </c>
      <c r="F171" s="12">
        <f>_xlfn.XLOOKUP(TableDailySummary[[#This Row],[Fecha]],SummaryDaily[day],SummaryDaily[average_order_value],0)</f>
        <v>125072.238</v>
      </c>
      <c r="G171" s="24">
        <f>_xlfn.XLOOKUP(TableDailySummary[[#This Row],[Fecha]],SummaryDaily[day],SummaryDaily[Total site_conversion_rate],0)</f>
        <v>1.1513157894736841E-2</v>
      </c>
      <c r="H171" s="12">
        <f>TableDailySummary[[#This Row],[Órden promedio totales]]*TableDailySummary[[#This Row],[CR totales]]</f>
        <v>1439.9764243421052</v>
      </c>
      <c r="I171" s="12">
        <f>_xlfn.XLOOKUP(TableDailySummary[[#This Row],[Fecha]],SummaryDaily[day],SummaryDaily[new_net_sales],0)</f>
        <v>1161605.04</v>
      </c>
      <c r="J171" s="12">
        <f>_xlfn.XLOOKUP(TableDailySummary[[#This Row],[Fecha]],SummaryDaily[day],SummaryDaily[new_orders],0)</f>
        <v>10</v>
      </c>
      <c r="K171" s="12">
        <f>_xlfn.XLOOKUP(TableDailySummary[[#This Row],[Fecha]],SummaryDaily[day],SummaryDaily[new_average_order_value],0)</f>
        <v>116160.504</v>
      </c>
      <c r="L171" s="12">
        <f>_xlfn.XLOOKUP(TableDailySummary[[#This Row],[Fecha]],SummaryDaily[day],SummaryDaily[Online Store_net_sales],0)</f>
        <v>1172269.9099999999</v>
      </c>
      <c r="M171" s="12">
        <f>_xlfn.XLOOKUP(TableDailySummary[[#This Row],[Fecha]],SummaryDaily[day],SummaryDaily[Online Store_orders],0)</f>
        <v>5</v>
      </c>
      <c r="N171" s="12">
        <f>_xlfn.XLOOKUP(TableDailySummary[[#This Row],[Fecha]],SummaryDaily[day],SummaryDaily[Online Store_average_order_value],0)</f>
        <v>234453.98199999999</v>
      </c>
      <c r="O171" s="12">
        <f>_xlfn.XLOOKUP(TableDailySummary[[#This Row],[Fecha]],SummaryDaily[day],SummaryDaily[Tienda 81_net_sales],0)</f>
        <v>1579319.33</v>
      </c>
      <c r="P171" s="12">
        <f>_xlfn.XLOOKUP(TableDailySummary[[#This Row],[Fecha]],SummaryDaily[day],SummaryDaily[Tienda 81_orders],0)</f>
        <v>17</v>
      </c>
      <c r="Q171" s="12">
        <f>_xlfn.XLOOKUP(TableDailySummary[[#This Row],[Fecha]],SummaryDaily[day],SummaryDaily[Tienda 81_average_order_value],0)</f>
        <v>92901.137000000002</v>
      </c>
      <c r="R171" s="12">
        <f>_xlfn.XLOOKUP(TableDailySummary[[#This Row],[Fecha]],SummaryDaily[day],SummaryDaily[Rappi_net_sales],0)</f>
        <v>0</v>
      </c>
      <c r="S171" s="12">
        <f>_xlfn.XLOOKUP(TableDailySummary[[#This Row],[Fecha]],SummaryDaily[day],SummaryDaily[Rappi_orders],0)</f>
        <v>0</v>
      </c>
      <c r="T171" s="12">
        <f>_xlfn.XLOOKUP(TableDailySummary[[#This Row],[Fecha]],SummaryDaily[day],SummaryDaily[Rappi_average_order_value],0)</f>
        <v>0</v>
      </c>
      <c r="U171" s="12">
        <f>_xlfn.XLOOKUP(TableDailySummary[[#This Row],[Fecha]],SummaryDaily[day],SummaryDaily[Corporativo no tienda_net_sales],0)</f>
        <v>0</v>
      </c>
      <c r="V171" s="12">
        <f>_xlfn.XLOOKUP(TableDailySummary[[#This Row],[Fecha]],SummaryDaily[day],SummaryDaily[Corporativo no tienda_orders],0)</f>
        <v>0</v>
      </c>
      <c r="W171" s="12">
        <f>_xlfn.XLOOKUP(TableDailySummary[[#This Row],[Fecha]],SummaryDaily[day],SummaryDaily[Corporativo no tienda_average_order_value],0)</f>
        <v>0</v>
      </c>
      <c r="X171" s="12">
        <f>_xlfn.XLOOKUP(TableDailySummary[[#This Row],[Fecha]],SummaryDaily[day],SummaryDaily[GoogleAdsOperation.Cost],0)</f>
        <v>57568.04</v>
      </c>
      <c r="Y171" s="12">
        <f>SUMIFS(SalesByUTMDaily[google],SalesByUTMDaily[day],TableDailySummary[[#This Row],[Fecha]])</f>
        <v>0</v>
      </c>
      <c r="Z171" s="12">
        <f>_xlfn.XLOOKUP(TableDailySummary[[#This Row],[Fecha]],SummaryDaily[day],SummaryDaily[MetaAdsOperation.spend],0)</f>
        <v>54686</v>
      </c>
      <c r="AA171" s="12">
        <f>SUMIFS(SalesByUTMDaily[facebook],SalesByUTMDaily[day],TableDailySummary[[#This Row],[Fecha]])</f>
        <v>129000</v>
      </c>
      <c r="AB171" s="12">
        <f>TableDailySummary[[#This Row],[Inversión google ads]]+TableDailySummary[[#This Row],[Inversión meta ads]]</f>
        <v>112254.04000000001</v>
      </c>
      <c r="AC171" s="12">
        <f>TableDailySummary[[#This Row],[Ventas google ads]]+TableDailySummary[[#This Row],[Ventas meta ads]]</f>
        <v>129000</v>
      </c>
      <c r="AD171" s="14">
        <f>IFERROR(TableDailySummary[[#This Row],[Ventas publicidad]]/TableDailySummary[[#This Row],[Inversión publicidad]],0)</f>
        <v>1.1491791297667326</v>
      </c>
      <c r="AE171" s="14">
        <f>IFERROR(TableDailySummary[[#This Row],[Ventas primer cliente]]/TableDailySummary[[#This Row],[Inversión publicidad]],0)</f>
        <v>10.34800208527016</v>
      </c>
      <c r="AF171" s="14"/>
      <c r="AG171" s="12"/>
      <c r="AM171" s="12">
        <f>_xlfn.XLOOKUP(TableDailySummary[[#This Row],[Fecha]],SummaryDaily[day],SummaryDaily[net_sales_with_cost_recorded],0)</f>
        <v>2722176.48</v>
      </c>
      <c r="AN171" s="12">
        <f>_xlfn.XLOOKUP(TableDailySummary[[#This Row],[Fecha]],SummaryDaily[day],SummaryDaily[cost_of_goods_sold],0)</f>
        <v>982358</v>
      </c>
      <c r="AO171" s="12">
        <f>_xlfn.XLOOKUP(TableDailySummary[[#This Row],[Fecha]],SummaryDaily[day],SummaryDaily[gross_profit],0)</f>
        <v>1739818.48</v>
      </c>
      <c r="AP171" s="18">
        <f>IFERROR(TableDailySummary[[#This Row],[Utilidad bruta]]/TableDailySummary[[#This Row],[Ventas netas con costo registrado]],0)</f>
        <v>0.63912773208590801</v>
      </c>
    </row>
    <row r="172" spans="2:42" x14ac:dyDescent="0.2">
      <c r="B172" s="15" cm="1">
        <f t="array" ref="B172">MIN(SummaryDaily[day]) + (ROW(TableDailySummary[#This Row]) - ROW(TableDailySummary[[#Headers],[Dia]]) - 1)</f>
        <v>45943</v>
      </c>
      <c r="C172" s="6">
        <f>TableDailySummary[[#This Row],[Dia]]</f>
        <v>45943</v>
      </c>
      <c r="D172" s="12">
        <f>_xlfn.XLOOKUP(TableDailySummary[[#This Row],[Fecha]],SummaryDaily[day],SummaryDaily[net_sales],0)</f>
        <v>1575210.09</v>
      </c>
      <c r="E172" s="12">
        <f>_xlfn.XLOOKUP(TableDailySummary[[#This Row],[Fecha]],SummaryDaily[day],SummaryDaily[orders],0)</f>
        <v>9</v>
      </c>
      <c r="F172" s="12">
        <f>_xlfn.XLOOKUP(TableDailySummary[[#This Row],[Fecha]],SummaryDaily[day],SummaryDaily[average_order_value],0)</f>
        <v>175023.34299999999</v>
      </c>
      <c r="G172" s="24">
        <f>_xlfn.XLOOKUP(TableDailySummary[[#This Row],[Fecha]],SummaryDaily[day],SummaryDaily[Total site_conversion_rate],0)</f>
        <v>1.937984496124031E-3</v>
      </c>
      <c r="H172" s="12">
        <f>TableDailySummary[[#This Row],[Órden promedio totales]]*TableDailySummary[[#This Row],[CR totales]]</f>
        <v>339.19252519379842</v>
      </c>
      <c r="I172" s="12">
        <f>_xlfn.XLOOKUP(TableDailySummary[[#This Row],[Fecha]],SummaryDaily[day],SummaryDaily[new_net_sales],0)</f>
        <v>978991.6</v>
      </c>
      <c r="J172" s="12">
        <f>_xlfn.XLOOKUP(TableDailySummary[[#This Row],[Fecha]],SummaryDaily[day],SummaryDaily[new_orders],0)</f>
        <v>6</v>
      </c>
      <c r="K172" s="12">
        <f>_xlfn.XLOOKUP(TableDailySummary[[#This Row],[Fecha]],SummaryDaily[day],SummaryDaily[new_average_order_value],0)</f>
        <v>163165.266</v>
      </c>
      <c r="L172" s="12">
        <f>_xlfn.XLOOKUP(TableDailySummary[[#This Row],[Fecha]],SummaryDaily[day],SummaryDaily[Online Store_net_sales],0)</f>
        <v>638235.29</v>
      </c>
      <c r="M172" s="12">
        <f>_xlfn.XLOOKUP(TableDailySummary[[#This Row],[Fecha]],SummaryDaily[day],SummaryDaily[Online Store_orders],0)</f>
        <v>3</v>
      </c>
      <c r="N172" s="12">
        <f>_xlfn.XLOOKUP(TableDailySummary[[#This Row],[Fecha]],SummaryDaily[day],SummaryDaily[Online Store_average_order_value],0)</f>
        <v>212745.09599999999</v>
      </c>
      <c r="O172" s="12">
        <f>_xlfn.XLOOKUP(TableDailySummary[[#This Row],[Fecha]],SummaryDaily[day],SummaryDaily[Tienda 81_net_sales],0)</f>
        <v>936974.8</v>
      </c>
      <c r="P172" s="12">
        <f>_xlfn.XLOOKUP(TableDailySummary[[#This Row],[Fecha]],SummaryDaily[day],SummaryDaily[Tienda 81_orders],0)</f>
        <v>6</v>
      </c>
      <c r="Q172" s="12">
        <f>_xlfn.XLOOKUP(TableDailySummary[[#This Row],[Fecha]],SummaryDaily[day],SummaryDaily[Tienda 81_average_order_value],0)</f>
        <v>156162.46599999999</v>
      </c>
      <c r="R172" s="12">
        <f>_xlfn.XLOOKUP(TableDailySummary[[#This Row],[Fecha]],SummaryDaily[day],SummaryDaily[Rappi_net_sales],0)</f>
        <v>0</v>
      </c>
      <c r="S172" s="12">
        <f>_xlfn.XLOOKUP(TableDailySummary[[#This Row],[Fecha]],SummaryDaily[day],SummaryDaily[Rappi_orders],0)</f>
        <v>0</v>
      </c>
      <c r="T172" s="12">
        <f>_xlfn.XLOOKUP(TableDailySummary[[#This Row],[Fecha]],SummaryDaily[day],SummaryDaily[Rappi_average_order_value],0)</f>
        <v>0</v>
      </c>
      <c r="U172" s="12">
        <f>_xlfn.XLOOKUP(TableDailySummary[[#This Row],[Fecha]],SummaryDaily[day],SummaryDaily[Corporativo no tienda_net_sales],0)</f>
        <v>0</v>
      </c>
      <c r="V172" s="12">
        <f>_xlfn.XLOOKUP(TableDailySummary[[#This Row],[Fecha]],SummaryDaily[day],SummaryDaily[Corporativo no tienda_orders],0)</f>
        <v>0</v>
      </c>
      <c r="W172" s="12">
        <f>_xlfn.XLOOKUP(TableDailySummary[[#This Row],[Fecha]],SummaryDaily[day],SummaryDaily[Corporativo no tienda_average_order_value],0)</f>
        <v>0</v>
      </c>
      <c r="X172" s="12">
        <f>_xlfn.XLOOKUP(TableDailySummary[[#This Row],[Fecha]],SummaryDaily[day],SummaryDaily[GoogleAdsOperation.Cost],0)</f>
        <v>43253.69</v>
      </c>
      <c r="Y172" s="12">
        <f>SUMIFS(SalesByUTMDaily[google],SalesByUTMDaily[day],TableDailySummary[[#This Row],[Fecha]])</f>
        <v>0</v>
      </c>
      <c r="Z172" s="12">
        <f>_xlfn.XLOOKUP(TableDailySummary[[#This Row],[Fecha]],SummaryDaily[day],SummaryDaily[MetaAdsOperation.spend],0)</f>
        <v>53470</v>
      </c>
      <c r="AA172" s="12">
        <f>SUMIFS(SalesByUTMDaily[facebook],SalesByUTMDaily[day],TableDailySummary[[#This Row],[Fecha]])</f>
        <v>0</v>
      </c>
      <c r="AB172" s="12">
        <f>TableDailySummary[[#This Row],[Inversión google ads]]+TableDailySummary[[#This Row],[Inversión meta ads]]</f>
        <v>96723.69</v>
      </c>
      <c r="AC172" s="12">
        <f>TableDailySummary[[#This Row],[Ventas google ads]]+TableDailySummary[[#This Row],[Ventas meta ads]]</f>
        <v>0</v>
      </c>
      <c r="AD172" s="14">
        <f>IFERROR(TableDailySummary[[#This Row],[Ventas publicidad]]/TableDailySummary[[#This Row],[Inversión publicidad]],0)</f>
        <v>0</v>
      </c>
      <c r="AE172" s="14">
        <f>IFERROR(TableDailySummary[[#This Row],[Ventas primer cliente]]/TableDailySummary[[#This Row],[Inversión publicidad]],0)</f>
        <v>10.121528655492774</v>
      </c>
      <c r="AF172" s="14"/>
      <c r="AG172" s="12"/>
      <c r="AM172" s="12">
        <f>_xlfn.XLOOKUP(TableDailySummary[[#This Row],[Fecha]],SummaryDaily[day],SummaryDaily[net_sales_with_cost_recorded],0)</f>
        <v>1377731.1</v>
      </c>
      <c r="AN172" s="12">
        <f>_xlfn.XLOOKUP(TableDailySummary[[#This Row],[Fecha]],SummaryDaily[day],SummaryDaily[cost_of_goods_sold],0)</f>
        <v>530380</v>
      </c>
      <c r="AO172" s="12">
        <f>_xlfn.XLOOKUP(TableDailySummary[[#This Row],[Fecha]],SummaryDaily[day],SummaryDaily[gross_profit],0)</f>
        <v>847351.1</v>
      </c>
      <c r="AP172" s="18">
        <f>IFERROR(TableDailySummary[[#This Row],[Utilidad bruta]]/TableDailySummary[[#This Row],[Ventas netas con costo registrado]],0)</f>
        <v>0.6150337319089334</v>
      </c>
    </row>
    <row r="173" spans="2:42" x14ac:dyDescent="0.2">
      <c r="B173" s="15" cm="1">
        <f t="array" ref="B173">MIN(SummaryDaily[day]) + (ROW(TableDailySummary[#This Row]) - ROW(TableDailySummary[[#Headers],[Dia]]) - 1)</f>
        <v>45944</v>
      </c>
      <c r="C173" s="6">
        <f>TableDailySummary[[#This Row],[Dia]]</f>
        <v>45944</v>
      </c>
      <c r="D173" s="12">
        <f>_xlfn.XLOOKUP(TableDailySummary[[#This Row],[Fecha]],SummaryDaily[day],SummaryDaily[net_sales],0)</f>
        <v>2179420.17</v>
      </c>
      <c r="E173" s="12">
        <f>_xlfn.XLOOKUP(TableDailySummary[[#This Row],[Fecha]],SummaryDaily[day],SummaryDaily[orders],0)</f>
        <v>14</v>
      </c>
      <c r="F173" s="12">
        <f>_xlfn.XLOOKUP(TableDailySummary[[#This Row],[Fecha]],SummaryDaily[day],SummaryDaily[average_order_value],0)</f>
        <v>155672.86900000001</v>
      </c>
      <c r="G173" s="24">
        <f>_xlfn.XLOOKUP(TableDailySummary[[#This Row],[Fecha]],SummaryDaily[day],SummaryDaily[Total site_conversion_rate],0)</f>
        <v>6.3091482649842269E-3</v>
      </c>
      <c r="H173" s="12">
        <f>TableDailySummary[[#This Row],[Órden promedio totales]]*TableDailySummary[[#This Row],[CR totales]]</f>
        <v>982.16321135646683</v>
      </c>
      <c r="I173" s="12">
        <f>_xlfn.XLOOKUP(TableDailySummary[[#This Row],[Fecha]],SummaryDaily[day],SummaryDaily[new_net_sales],0)</f>
        <v>1050588.24</v>
      </c>
      <c r="J173" s="12">
        <f>_xlfn.XLOOKUP(TableDailySummary[[#This Row],[Fecha]],SummaryDaily[day],SummaryDaily[new_orders],0)</f>
        <v>8</v>
      </c>
      <c r="K173" s="12">
        <f>_xlfn.XLOOKUP(TableDailySummary[[#This Row],[Fecha]],SummaryDaily[day],SummaryDaily[new_average_order_value],0)</f>
        <v>131323.53</v>
      </c>
      <c r="L173" s="12">
        <f>_xlfn.XLOOKUP(TableDailySummary[[#This Row],[Fecha]],SummaryDaily[day],SummaryDaily[Online Store_net_sales],0)</f>
        <v>907563.03</v>
      </c>
      <c r="M173" s="12">
        <f>_xlfn.XLOOKUP(TableDailySummary[[#This Row],[Fecha]],SummaryDaily[day],SummaryDaily[Online Store_orders],0)</f>
        <v>3</v>
      </c>
      <c r="N173" s="12">
        <f>_xlfn.XLOOKUP(TableDailySummary[[#This Row],[Fecha]],SummaryDaily[day],SummaryDaily[Online Store_average_order_value],0)</f>
        <v>302521.01</v>
      </c>
      <c r="O173" s="12">
        <f>_xlfn.XLOOKUP(TableDailySummary[[#This Row],[Fecha]],SummaryDaily[day],SummaryDaily[Tienda 81_net_sales],0)</f>
        <v>1271857.1399999999</v>
      </c>
      <c r="P173" s="12">
        <f>_xlfn.XLOOKUP(TableDailySummary[[#This Row],[Fecha]],SummaryDaily[day],SummaryDaily[Tienda 81_orders],0)</f>
        <v>11</v>
      </c>
      <c r="Q173" s="12">
        <f>_xlfn.XLOOKUP(TableDailySummary[[#This Row],[Fecha]],SummaryDaily[day],SummaryDaily[Tienda 81_average_order_value],0)</f>
        <v>115623.376</v>
      </c>
      <c r="R173" s="12">
        <f>_xlfn.XLOOKUP(TableDailySummary[[#This Row],[Fecha]],SummaryDaily[day],SummaryDaily[Rappi_net_sales],0)</f>
        <v>0</v>
      </c>
      <c r="S173" s="12">
        <f>_xlfn.XLOOKUP(TableDailySummary[[#This Row],[Fecha]],SummaryDaily[day],SummaryDaily[Rappi_orders],0)</f>
        <v>0</v>
      </c>
      <c r="T173" s="12">
        <f>_xlfn.XLOOKUP(TableDailySummary[[#This Row],[Fecha]],SummaryDaily[day],SummaryDaily[Rappi_average_order_value],0)</f>
        <v>0</v>
      </c>
      <c r="U173" s="12">
        <f>_xlfn.XLOOKUP(TableDailySummary[[#This Row],[Fecha]],SummaryDaily[day],SummaryDaily[Corporativo no tienda_net_sales],0)</f>
        <v>0</v>
      </c>
      <c r="V173" s="12">
        <f>_xlfn.XLOOKUP(TableDailySummary[[#This Row],[Fecha]],SummaryDaily[day],SummaryDaily[Corporativo no tienda_orders],0)</f>
        <v>0</v>
      </c>
      <c r="W173" s="12">
        <f>_xlfn.XLOOKUP(TableDailySummary[[#This Row],[Fecha]],SummaryDaily[day],SummaryDaily[Corporativo no tienda_average_order_value],0)</f>
        <v>0</v>
      </c>
      <c r="X173" s="12">
        <f>_xlfn.XLOOKUP(TableDailySummary[[#This Row],[Fecha]],SummaryDaily[day],SummaryDaily[GoogleAdsOperation.Cost],0)</f>
        <v>70130.77</v>
      </c>
      <c r="Y173" s="12">
        <f>SUMIFS(SalesByUTMDaily[google],SalesByUTMDaily[day],TableDailySummary[[#This Row],[Fecha]])</f>
        <v>0</v>
      </c>
      <c r="Z173" s="12">
        <f>_xlfn.XLOOKUP(TableDailySummary[[#This Row],[Fecha]],SummaryDaily[day],SummaryDaily[MetaAdsOperation.spend],0)</f>
        <v>50627</v>
      </c>
      <c r="AA173" s="12">
        <f>SUMIFS(SalesByUTMDaily[facebook],SalesByUTMDaily[day],TableDailySummary[[#This Row],[Fecha]])</f>
        <v>0</v>
      </c>
      <c r="AB173" s="12">
        <f>TableDailySummary[[#This Row],[Inversión google ads]]+TableDailySummary[[#This Row],[Inversión meta ads]]</f>
        <v>120757.77</v>
      </c>
      <c r="AC173" s="12">
        <f>TableDailySummary[[#This Row],[Ventas google ads]]+TableDailySummary[[#This Row],[Ventas meta ads]]</f>
        <v>0</v>
      </c>
      <c r="AD173" s="14">
        <f>IFERROR(TableDailySummary[[#This Row],[Ventas publicidad]]/TableDailySummary[[#This Row],[Inversión publicidad]],0)</f>
        <v>0</v>
      </c>
      <c r="AE173" s="14">
        <f>IFERROR(TableDailySummary[[#This Row],[Ventas primer cliente]]/TableDailySummary[[#This Row],[Inversión publicidad]],0)</f>
        <v>8.6999639029438853</v>
      </c>
      <c r="AF173" s="14"/>
      <c r="AG173" s="12"/>
      <c r="AM173" s="12">
        <f>_xlfn.XLOOKUP(TableDailySummary[[#This Row],[Fecha]],SummaryDaily[day],SummaryDaily[net_sales_with_cost_recorded],0)</f>
        <v>2174798.3199999998</v>
      </c>
      <c r="AN173" s="12">
        <f>_xlfn.XLOOKUP(TableDailySummary[[#This Row],[Fecha]],SummaryDaily[day],SummaryDaily[cost_of_goods_sold],0)</f>
        <v>869809</v>
      </c>
      <c r="AO173" s="12">
        <f>_xlfn.XLOOKUP(TableDailySummary[[#This Row],[Fecha]],SummaryDaily[day],SummaryDaily[gross_profit],0)</f>
        <v>1304989.32</v>
      </c>
      <c r="AP173" s="18">
        <f>IFERROR(TableDailySummary[[#This Row],[Utilidad bruta]]/TableDailySummary[[#This Row],[Ventas netas con costo registrado]],0)</f>
        <v>0.60005073022127409</v>
      </c>
    </row>
    <row r="174" spans="2:42" x14ac:dyDescent="0.2">
      <c r="B174" s="15" cm="1">
        <f t="array" ref="B174">MIN(SummaryDaily[day]) + (ROW(TableDailySummary[#This Row]) - ROW(TableDailySummary[[#Headers],[Dia]]) - 1)</f>
        <v>45945</v>
      </c>
      <c r="C174" s="6">
        <f>TableDailySummary[[#This Row],[Dia]]</f>
        <v>45945</v>
      </c>
      <c r="D174" s="12">
        <f>_xlfn.XLOOKUP(TableDailySummary[[#This Row],[Fecha]],SummaryDaily[day],SummaryDaily[net_sales],0)</f>
        <v>3356394.97</v>
      </c>
      <c r="E174" s="12">
        <f>_xlfn.XLOOKUP(TableDailySummary[[#This Row],[Fecha]],SummaryDaily[day],SummaryDaily[orders],0)</f>
        <v>22</v>
      </c>
      <c r="F174" s="12">
        <f>_xlfn.XLOOKUP(TableDailySummary[[#This Row],[Fecha]],SummaryDaily[day],SummaryDaily[average_order_value],0)</f>
        <v>151199.77100000001</v>
      </c>
      <c r="G174" s="24">
        <f>_xlfn.XLOOKUP(TableDailySummary[[#This Row],[Fecha]],SummaryDaily[day],SummaryDaily[Total site_conversion_rate],0)</f>
        <v>1.7167381974248927E-2</v>
      </c>
      <c r="H174" s="12">
        <f>TableDailySummary[[#This Row],[Órden promedio totales]]*TableDailySummary[[#This Row],[CR totales]]</f>
        <v>2595.7042231759656</v>
      </c>
      <c r="I174" s="12">
        <f>_xlfn.XLOOKUP(TableDailySummary[[#This Row],[Fecha]],SummaryDaily[day],SummaryDaily[new_net_sales],0)</f>
        <v>1700756.32</v>
      </c>
      <c r="J174" s="12">
        <f>_xlfn.XLOOKUP(TableDailySummary[[#This Row],[Fecha]],SummaryDaily[day],SummaryDaily[new_orders],0)</f>
        <v>11</v>
      </c>
      <c r="K174" s="12">
        <f>_xlfn.XLOOKUP(TableDailySummary[[#This Row],[Fecha]],SummaryDaily[day],SummaryDaily[new_average_order_value],0)</f>
        <v>151886.93799999999</v>
      </c>
      <c r="L174" s="12">
        <f>_xlfn.XLOOKUP(TableDailySummary[[#This Row],[Fecha]],SummaryDaily[day],SummaryDaily[Online Store_net_sales],0)</f>
        <v>1583369.75</v>
      </c>
      <c r="M174" s="12">
        <f>_xlfn.XLOOKUP(TableDailySummary[[#This Row],[Fecha]],SummaryDaily[day],SummaryDaily[Online Store_orders],0)</f>
        <v>8</v>
      </c>
      <c r="N174" s="12">
        <f>_xlfn.XLOOKUP(TableDailySummary[[#This Row],[Fecha]],SummaryDaily[day],SummaryDaily[Online Store_average_order_value],0)</f>
        <v>197921.21799999999</v>
      </c>
      <c r="O174" s="12">
        <f>_xlfn.XLOOKUP(TableDailySummary[[#This Row],[Fecha]],SummaryDaily[day],SummaryDaily[Tienda 81_net_sales],0)</f>
        <v>1773025.22</v>
      </c>
      <c r="P174" s="12">
        <f>_xlfn.XLOOKUP(TableDailySummary[[#This Row],[Fecha]],SummaryDaily[day],SummaryDaily[Tienda 81_orders],0)</f>
        <v>14</v>
      </c>
      <c r="Q174" s="12">
        <f>_xlfn.XLOOKUP(TableDailySummary[[#This Row],[Fecha]],SummaryDaily[day],SummaryDaily[Tienda 81_average_order_value],0)</f>
        <v>124501.80100000001</v>
      </c>
      <c r="R174" s="12">
        <f>_xlfn.XLOOKUP(TableDailySummary[[#This Row],[Fecha]],SummaryDaily[day],SummaryDaily[Rappi_net_sales],0)</f>
        <v>0</v>
      </c>
      <c r="S174" s="12">
        <f>_xlfn.XLOOKUP(TableDailySummary[[#This Row],[Fecha]],SummaryDaily[day],SummaryDaily[Rappi_orders],0)</f>
        <v>0</v>
      </c>
      <c r="T174" s="12">
        <f>_xlfn.XLOOKUP(TableDailySummary[[#This Row],[Fecha]],SummaryDaily[day],SummaryDaily[Rappi_average_order_value],0)</f>
        <v>0</v>
      </c>
      <c r="U174" s="12">
        <f>_xlfn.XLOOKUP(TableDailySummary[[#This Row],[Fecha]],SummaryDaily[day],SummaryDaily[Corporativo no tienda_net_sales],0)</f>
        <v>0</v>
      </c>
      <c r="V174" s="12">
        <f>_xlfn.XLOOKUP(TableDailySummary[[#This Row],[Fecha]],SummaryDaily[day],SummaryDaily[Corporativo no tienda_orders],0)</f>
        <v>0</v>
      </c>
      <c r="W174" s="12">
        <f>_xlfn.XLOOKUP(TableDailySummary[[#This Row],[Fecha]],SummaryDaily[day],SummaryDaily[Corporativo no tienda_average_order_value],0)</f>
        <v>0</v>
      </c>
      <c r="X174" s="12">
        <f>_xlfn.XLOOKUP(TableDailySummary[[#This Row],[Fecha]],SummaryDaily[day],SummaryDaily[GoogleAdsOperation.Cost],0)</f>
        <v>34160.99</v>
      </c>
      <c r="Y174" s="12">
        <f>SUMIFS(SalesByUTMDaily[google],SalesByUTMDaily[day],TableDailySummary[[#This Row],[Fecha]])</f>
        <v>0</v>
      </c>
      <c r="Z174" s="12">
        <f>_xlfn.XLOOKUP(TableDailySummary[[#This Row],[Fecha]],SummaryDaily[day],SummaryDaily[MetaAdsOperation.spend],0)</f>
        <v>55028</v>
      </c>
      <c r="AA174" s="12">
        <f>SUMIFS(SalesByUTMDaily[facebook],SalesByUTMDaily[day],TableDailySummary[[#This Row],[Fecha]])</f>
        <v>0</v>
      </c>
      <c r="AB174" s="12">
        <f>TableDailySummary[[#This Row],[Inversión google ads]]+TableDailySummary[[#This Row],[Inversión meta ads]]</f>
        <v>89188.989999999991</v>
      </c>
      <c r="AC174" s="12">
        <f>TableDailySummary[[#This Row],[Ventas google ads]]+TableDailySummary[[#This Row],[Ventas meta ads]]</f>
        <v>0</v>
      </c>
      <c r="AD174" s="14">
        <f>IFERROR(TableDailySummary[[#This Row],[Ventas publicidad]]/TableDailySummary[[#This Row],[Inversión publicidad]],0)</f>
        <v>0</v>
      </c>
      <c r="AE174" s="14">
        <f>IFERROR(TableDailySummary[[#This Row],[Ventas primer cliente]]/TableDailySummary[[#This Row],[Inversión publicidad]],0)</f>
        <v>19.069128599841754</v>
      </c>
      <c r="AF174" s="14"/>
      <c r="AG174" s="12"/>
      <c r="AM174" s="12">
        <f>_xlfn.XLOOKUP(TableDailySummary[[#This Row],[Fecha]],SummaryDaily[day],SummaryDaily[net_sales_with_cost_recorded],0)</f>
        <v>2878067.24</v>
      </c>
      <c r="AN174" s="12">
        <f>_xlfn.XLOOKUP(TableDailySummary[[#This Row],[Fecha]],SummaryDaily[day],SummaryDaily[cost_of_goods_sold],0)</f>
        <v>937734</v>
      </c>
      <c r="AO174" s="12">
        <f>_xlfn.XLOOKUP(TableDailySummary[[#This Row],[Fecha]],SummaryDaily[day],SummaryDaily[gross_profit],0)</f>
        <v>1940333.24</v>
      </c>
      <c r="AP174" s="18">
        <f>IFERROR(TableDailySummary[[#This Row],[Utilidad bruta]]/TableDailySummary[[#This Row],[Ventas netas con costo registrado]],0)</f>
        <v>0.67417925927262212</v>
      </c>
    </row>
    <row r="175" spans="2:42" x14ac:dyDescent="0.2">
      <c r="B175" s="15" cm="1">
        <f t="array" ref="B175">MIN(SummaryDaily[day]) + (ROW(TableDailySummary[#This Row]) - ROW(TableDailySummary[[#Headers],[Dia]]) - 1)</f>
        <v>45946</v>
      </c>
      <c r="C175" s="6">
        <f>TableDailySummary[[#This Row],[Dia]]</f>
        <v>45946</v>
      </c>
      <c r="D175" s="12">
        <f>_xlfn.XLOOKUP(TableDailySummary[[#This Row],[Fecha]],SummaryDaily[day],SummaryDaily[net_sales],0)</f>
        <v>6122268.9199999999</v>
      </c>
      <c r="E175" s="12">
        <f>_xlfn.XLOOKUP(TableDailySummary[[#This Row],[Fecha]],SummaryDaily[day],SummaryDaily[orders],0)</f>
        <v>15</v>
      </c>
      <c r="F175" s="12">
        <f>_xlfn.XLOOKUP(TableDailySummary[[#This Row],[Fecha]],SummaryDaily[day],SummaryDaily[average_order_value],0)</f>
        <v>408151.261</v>
      </c>
      <c r="G175" s="24">
        <f>_xlfn.XLOOKUP(TableDailySummary[[#This Row],[Fecha]],SummaryDaily[day],SummaryDaily[Total site_conversion_rate],0)</f>
        <v>1.1428571428571429E-2</v>
      </c>
      <c r="H175" s="12">
        <f>TableDailySummary[[#This Row],[Órden promedio totales]]*TableDailySummary[[#This Row],[CR totales]]</f>
        <v>4664.5858399999997</v>
      </c>
      <c r="I175" s="12">
        <f>_xlfn.XLOOKUP(TableDailySummary[[#This Row],[Fecha]],SummaryDaily[day],SummaryDaily[new_net_sales],0)</f>
        <v>4244117.66</v>
      </c>
      <c r="J175" s="12">
        <f>_xlfn.XLOOKUP(TableDailySummary[[#This Row],[Fecha]],SummaryDaily[day],SummaryDaily[new_orders],0)</f>
        <v>9</v>
      </c>
      <c r="K175" s="12">
        <f>_xlfn.XLOOKUP(TableDailySummary[[#This Row],[Fecha]],SummaryDaily[day],SummaryDaily[new_average_order_value],0)</f>
        <v>471568.62800000003</v>
      </c>
      <c r="L175" s="12">
        <f>_xlfn.XLOOKUP(TableDailySummary[[#This Row],[Fecha]],SummaryDaily[day],SummaryDaily[Online Store_net_sales],0)</f>
        <v>1790336.14</v>
      </c>
      <c r="M175" s="12">
        <f>_xlfn.XLOOKUP(TableDailySummary[[#This Row],[Fecha]],SummaryDaily[day],SummaryDaily[Online Store_orders],0)</f>
        <v>6</v>
      </c>
      <c r="N175" s="12">
        <f>_xlfn.XLOOKUP(TableDailySummary[[#This Row],[Fecha]],SummaryDaily[day],SummaryDaily[Online Store_average_order_value],0)</f>
        <v>298389.35600000003</v>
      </c>
      <c r="O175" s="12">
        <f>_xlfn.XLOOKUP(TableDailySummary[[#This Row],[Fecha]],SummaryDaily[day],SummaryDaily[Tienda 81_net_sales],0)</f>
        <v>1756302.53</v>
      </c>
      <c r="P175" s="12">
        <f>_xlfn.XLOOKUP(TableDailySummary[[#This Row],[Fecha]],SummaryDaily[day],SummaryDaily[Tienda 81_orders],0)</f>
        <v>7</v>
      </c>
      <c r="Q175" s="12">
        <f>_xlfn.XLOOKUP(TableDailySummary[[#This Row],[Fecha]],SummaryDaily[day],SummaryDaily[Tienda 81_average_order_value],0)</f>
        <v>250900.361</v>
      </c>
      <c r="R175" s="12">
        <f>_xlfn.XLOOKUP(TableDailySummary[[#This Row],[Fecha]],SummaryDaily[day],SummaryDaily[Rappi_net_sales],0)</f>
        <v>75630.25</v>
      </c>
      <c r="S175" s="12">
        <f>_xlfn.XLOOKUP(TableDailySummary[[#This Row],[Fecha]],SummaryDaily[day],SummaryDaily[Rappi_orders],0)</f>
        <v>1</v>
      </c>
      <c r="T175" s="12">
        <f>_xlfn.XLOOKUP(TableDailySummary[[#This Row],[Fecha]],SummaryDaily[day],SummaryDaily[Rappi_average_order_value],0)</f>
        <v>75630.25</v>
      </c>
      <c r="U175" s="12">
        <f>_xlfn.XLOOKUP(TableDailySummary[[#This Row],[Fecha]],SummaryDaily[day],SummaryDaily[Corporativo no tienda_net_sales],0)</f>
        <v>2500000</v>
      </c>
      <c r="V175" s="12">
        <f>_xlfn.XLOOKUP(TableDailySummary[[#This Row],[Fecha]],SummaryDaily[day],SummaryDaily[Corporativo no tienda_orders],0)</f>
        <v>1</v>
      </c>
      <c r="W175" s="12">
        <f>_xlfn.XLOOKUP(TableDailySummary[[#This Row],[Fecha]],SummaryDaily[day],SummaryDaily[Corporativo no tienda_average_order_value],0)</f>
        <v>2500000</v>
      </c>
      <c r="X175" s="12">
        <f>_xlfn.XLOOKUP(TableDailySummary[[#This Row],[Fecha]],SummaryDaily[day],SummaryDaily[GoogleAdsOperation.Cost],0)</f>
        <v>55073.61</v>
      </c>
      <c r="Y175" s="12">
        <f>SUMIFS(SalesByUTMDaily[google],SalesByUTMDaily[day],TableDailySummary[[#This Row],[Fecha]])</f>
        <v>788500</v>
      </c>
      <c r="Z175" s="12">
        <f>_xlfn.XLOOKUP(TableDailySummary[[#This Row],[Fecha]],SummaryDaily[day],SummaryDaily[MetaAdsOperation.spend],0)</f>
        <v>47397</v>
      </c>
      <c r="AA175" s="12">
        <f>SUMIFS(SalesByUTMDaily[facebook],SalesByUTMDaily[day],TableDailySummary[[#This Row],[Fecha]])</f>
        <v>0</v>
      </c>
      <c r="AB175" s="12">
        <f>TableDailySummary[[#This Row],[Inversión google ads]]+TableDailySummary[[#This Row],[Inversión meta ads]]</f>
        <v>102470.61</v>
      </c>
      <c r="AC175" s="12">
        <f>TableDailySummary[[#This Row],[Ventas google ads]]+TableDailySummary[[#This Row],[Ventas meta ads]]</f>
        <v>788500</v>
      </c>
      <c r="AD175" s="14">
        <f>IFERROR(TableDailySummary[[#This Row],[Ventas publicidad]]/TableDailySummary[[#This Row],[Inversión publicidad]],0)</f>
        <v>7.6948892955746047</v>
      </c>
      <c r="AE175" s="14">
        <f>IFERROR(TableDailySummary[[#This Row],[Ventas primer cliente]]/TableDailySummary[[#This Row],[Inversión publicidad]],0)</f>
        <v>41.417901776909495</v>
      </c>
      <c r="AF175" s="14"/>
      <c r="AG175" s="12"/>
      <c r="AM175" s="12">
        <f>_xlfn.XLOOKUP(TableDailySummary[[#This Row],[Fecha]],SummaryDaily[day],SummaryDaily[net_sales_with_cost_recorded],0)</f>
        <v>5702100.8499999996</v>
      </c>
      <c r="AN175" s="12">
        <f>_xlfn.XLOOKUP(TableDailySummary[[#This Row],[Fecha]],SummaryDaily[day],SummaryDaily[cost_of_goods_sold],0)</f>
        <v>1941438</v>
      </c>
      <c r="AO175" s="12">
        <f>_xlfn.XLOOKUP(TableDailySummary[[#This Row],[Fecha]],SummaryDaily[day],SummaryDaily[gross_profit],0)</f>
        <v>3760662.85</v>
      </c>
      <c r="AP175" s="18">
        <f>IFERROR(TableDailySummary[[#This Row],[Utilidad bruta]]/TableDailySummary[[#This Row],[Ventas netas con costo registrado]],0)</f>
        <v>0.65952233201908383</v>
      </c>
    </row>
    <row r="176" spans="2:42" x14ac:dyDescent="0.2">
      <c r="B176" s="15" cm="1">
        <f t="array" ref="B176">MIN(SummaryDaily[day]) + (ROW(TableDailySummary[#This Row]) - ROW(TableDailySummary[[#Headers],[Dia]]) - 1)</f>
        <v>45947</v>
      </c>
      <c r="C176" s="6">
        <f>TableDailySummary[[#This Row],[Dia]]</f>
        <v>45947</v>
      </c>
      <c r="D176" s="12">
        <f>_xlfn.XLOOKUP(TableDailySummary[[#This Row],[Fecha]],SummaryDaily[day],SummaryDaily[net_sales],0)</f>
        <v>1806731.09</v>
      </c>
      <c r="E176" s="12">
        <f>_xlfn.XLOOKUP(TableDailySummary[[#This Row],[Fecha]],SummaryDaily[day],SummaryDaily[orders],0)</f>
        <v>16</v>
      </c>
      <c r="F176" s="12">
        <f>_xlfn.XLOOKUP(TableDailySummary[[#This Row],[Fecha]],SummaryDaily[day],SummaryDaily[average_order_value],0)</f>
        <v>119748.424</v>
      </c>
      <c r="G176" s="24">
        <f>_xlfn.XLOOKUP(TableDailySummary[[#This Row],[Fecha]],SummaryDaily[day],SummaryDaily[Total site_conversion_rate],0)</f>
        <v>1.2903225806451613E-2</v>
      </c>
      <c r="H176" s="12">
        <f>TableDailySummary[[#This Row],[Órden promedio totales]]*TableDailySummary[[#This Row],[CR totales]]</f>
        <v>1545.1409548387096</v>
      </c>
      <c r="I176" s="12">
        <f>_xlfn.XLOOKUP(TableDailySummary[[#This Row],[Fecha]],SummaryDaily[day],SummaryDaily[new_net_sales],0)</f>
        <v>594957.99</v>
      </c>
      <c r="J176" s="12">
        <f>_xlfn.XLOOKUP(TableDailySummary[[#This Row],[Fecha]],SummaryDaily[day],SummaryDaily[new_orders],0)</f>
        <v>7</v>
      </c>
      <c r="K176" s="12">
        <f>_xlfn.XLOOKUP(TableDailySummary[[#This Row],[Fecha]],SummaryDaily[day],SummaryDaily[new_average_order_value],0)</f>
        <v>84993.998000000007</v>
      </c>
      <c r="L176" s="12">
        <f>_xlfn.XLOOKUP(TableDailySummary[[#This Row],[Fecha]],SummaryDaily[day],SummaryDaily[Online Store_net_sales],0)</f>
        <v>368067.23</v>
      </c>
      <c r="M176" s="12">
        <f>_xlfn.XLOOKUP(TableDailySummary[[#This Row],[Fecha]],SummaryDaily[day],SummaryDaily[Online Store_orders],0)</f>
        <v>6</v>
      </c>
      <c r="N176" s="12">
        <f>_xlfn.XLOOKUP(TableDailySummary[[#This Row],[Fecha]],SummaryDaily[day],SummaryDaily[Online Store_average_order_value],0)</f>
        <v>80952.380999999994</v>
      </c>
      <c r="O176" s="12">
        <f>_xlfn.XLOOKUP(TableDailySummary[[#This Row],[Fecha]],SummaryDaily[day],SummaryDaily[Tienda 81_net_sales],0)</f>
        <v>1396647.05</v>
      </c>
      <c r="P176" s="12">
        <f>_xlfn.XLOOKUP(TableDailySummary[[#This Row],[Fecha]],SummaryDaily[day],SummaryDaily[Tienda 81_orders],0)</f>
        <v>9</v>
      </c>
      <c r="Q176" s="12">
        <f>_xlfn.XLOOKUP(TableDailySummary[[#This Row],[Fecha]],SummaryDaily[day],SummaryDaily[Tienda 81_average_order_value],0)</f>
        <v>154249.29800000001</v>
      </c>
      <c r="R176" s="12">
        <f>_xlfn.XLOOKUP(TableDailySummary[[#This Row],[Fecha]],SummaryDaily[day],SummaryDaily[Rappi_net_sales],0)</f>
        <v>42016.81</v>
      </c>
      <c r="S176" s="12">
        <f>_xlfn.XLOOKUP(TableDailySummary[[#This Row],[Fecha]],SummaryDaily[day],SummaryDaily[Rappi_orders],0)</f>
        <v>1</v>
      </c>
      <c r="T176" s="12">
        <f>_xlfn.XLOOKUP(TableDailySummary[[#This Row],[Fecha]],SummaryDaily[day],SummaryDaily[Rappi_average_order_value],0)</f>
        <v>42016.81</v>
      </c>
      <c r="U176" s="12">
        <f>_xlfn.XLOOKUP(TableDailySummary[[#This Row],[Fecha]],SummaryDaily[day],SummaryDaily[Corporativo no tienda_net_sales],0)</f>
        <v>0</v>
      </c>
      <c r="V176" s="12">
        <f>_xlfn.XLOOKUP(TableDailySummary[[#This Row],[Fecha]],SummaryDaily[day],SummaryDaily[Corporativo no tienda_orders],0)</f>
        <v>0</v>
      </c>
      <c r="W176" s="12">
        <f>_xlfn.XLOOKUP(TableDailySummary[[#This Row],[Fecha]],SummaryDaily[day],SummaryDaily[Corporativo no tienda_average_order_value],0)</f>
        <v>0</v>
      </c>
      <c r="X176" s="12">
        <f>_xlfn.XLOOKUP(TableDailySummary[[#This Row],[Fecha]],SummaryDaily[day],SummaryDaily[GoogleAdsOperation.Cost],0)</f>
        <v>47030.879999999997</v>
      </c>
      <c r="Y176" s="12">
        <f>SUMIFS(SalesByUTMDaily[google],SalesByUTMDaily[day],TableDailySummary[[#This Row],[Fecha]])</f>
        <v>359500</v>
      </c>
      <c r="Z176" s="12">
        <f>_xlfn.XLOOKUP(TableDailySummary[[#This Row],[Fecha]],SummaryDaily[day],SummaryDaily[MetaAdsOperation.spend],0)</f>
        <v>48569</v>
      </c>
      <c r="AA176" s="12">
        <f>SUMIFS(SalesByUTMDaily[facebook],SalesByUTMDaily[day],TableDailySummary[[#This Row],[Fecha]])</f>
        <v>0</v>
      </c>
      <c r="AB176" s="12">
        <f>TableDailySummary[[#This Row],[Inversión google ads]]+TableDailySummary[[#This Row],[Inversión meta ads]]</f>
        <v>95599.88</v>
      </c>
      <c r="AC176" s="12">
        <f>TableDailySummary[[#This Row],[Ventas google ads]]+TableDailySummary[[#This Row],[Ventas meta ads]]</f>
        <v>359500</v>
      </c>
      <c r="AD176" s="14">
        <f>IFERROR(TableDailySummary[[#This Row],[Ventas publicidad]]/TableDailySummary[[#This Row],[Inversión publicidad]],0)</f>
        <v>3.7604649712949429</v>
      </c>
      <c r="AE176" s="14">
        <f>IFERROR(TableDailySummary[[#This Row],[Ventas primer cliente]]/TableDailySummary[[#This Row],[Inversión publicidad]],0)</f>
        <v>6.2234177490599354</v>
      </c>
      <c r="AF176" s="14"/>
      <c r="AG176" s="12"/>
      <c r="AM176" s="12">
        <f>_xlfn.XLOOKUP(TableDailySummary[[#This Row],[Fecha]],SummaryDaily[day],SummaryDaily[net_sales_with_cost_recorded],0)</f>
        <v>1647731.09</v>
      </c>
      <c r="AN176" s="12">
        <f>_xlfn.XLOOKUP(TableDailySummary[[#This Row],[Fecha]],SummaryDaily[day],SummaryDaily[cost_of_goods_sold],0)</f>
        <v>508152</v>
      </c>
      <c r="AO176" s="12">
        <f>_xlfn.XLOOKUP(TableDailySummary[[#This Row],[Fecha]],SummaryDaily[day],SummaryDaily[gross_profit],0)</f>
        <v>1139579.0900000001</v>
      </c>
      <c r="AP176" s="18">
        <f>IFERROR(TableDailySummary[[#This Row],[Utilidad bruta]]/TableDailySummary[[#This Row],[Ventas netas con costo registrado]],0)</f>
        <v>0.69160501790374063</v>
      </c>
    </row>
    <row r="177" spans="2:42" x14ac:dyDescent="0.2">
      <c r="B177" s="15" cm="1">
        <f t="array" ref="B177">MIN(SummaryDaily[day]) + (ROW(TableDailySummary[#This Row]) - ROW(TableDailySummary[[#Headers],[Dia]]) - 1)</f>
        <v>45948</v>
      </c>
      <c r="C177" s="6">
        <f>TableDailySummary[[#This Row],[Dia]]</f>
        <v>45948</v>
      </c>
      <c r="D177" s="12">
        <f>_xlfn.XLOOKUP(TableDailySummary[[#This Row],[Fecha]],SummaryDaily[day],SummaryDaily[net_sales],0)</f>
        <v>3946958</v>
      </c>
      <c r="E177" s="12">
        <f>_xlfn.XLOOKUP(TableDailySummary[[#This Row],[Fecha]],SummaryDaily[day],SummaryDaily[orders],0)</f>
        <v>25</v>
      </c>
      <c r="F177" s="12">
        <f>_xlfn.XLOOKUP(TableDailySummary[[#This Row],[Fecha]],SummaryDaily[day],SummaryDaily[average_order_value],0)</f>
        <v>153676.639</v>
      </c>
      <c r="G177" s="24">
        <f>_xlfn.XLOOKUP(TableDailySummary[[#This Row],[Fecha]],SummaryDaily[day],SummaryDaily[Total site_conversion_rate],0)</f>
        <v>1.8115942028985507E-3</v>
      </c>
      <c r="H177" s="12">
        <f>TableDailySummary[[#This Row],[Órden promedio totales]]*TableDailySummary[[#This Row],[CR totales]]</f>
        <v>278.39970833333331</v>
      </c>
      <c r="I177" s="12">
        <f>_xlfn.XLOOKUP(TableDailySummary[[#This Row],[Fecha]],SummaryDaily[day],SummaryDaily[new_net_sales],0)</f>
        <v>1895596.65</v>
      </c>
      <c r="J177" s="12">
        <f>_xlfn.XLOOKUP(TableDailySummary[[#This Row],[Fecha]],SummaryDaily[day],SummaryDaily[new_orders],0)</f>
        <v>12</v>
      </c>
      <c r="K177" s="12">
        <f>_xlfn.XLOOKUP(TableDailySummary[[#This Row],[Fecha]],SummaryDaily[day],SummaryDaily[new_average_order_value],0)</f>
        <v>157966.38699999999</v>
      </c>
      <c r="L177" s="12">
        <f>_xlfn.XLOOKUP(TableDailySummary[[#This Row],[Fecha]],SummaryDaily[day],SummaryDaily[Online Store_net_sales],0)</f>
        <v>0</v>
      </c>
      <c r="M177" s="12">
        <f>_xlfn.XLOOKUP(TableDailySummary[[#This Row],[Fecha]],SummaryDaily[day],SummaryDaily[Online Store_orders],0)</f>
        <v>0</v>
      </c>
      <c r="N177" s="12">
        <f>_xlfn.XLOOKUP(TableDailySummary[[#This Row],[Fecha]],SummaryDaily[day],SummaryDaily[Online Store_average_order_value],0)</f>
        <v>0</v>
      </c>
      <c r="O177" s="12">
        <f>_xlfn.XLOOKUP(TableDailySummary[[#This Row],[Fecha]],SummaryDaily[day],SummaryDaily[Tienda 81_net_sales],0)</f>
        <v>3703260.51</v>
      </c>
      <c r="P177" s="12">
        <f>_xlfn.XLOOKUP(TableDailySummary[[#This Row],[Fecha]],SummaryDaily[day],SummaryDaily[Tienda 81_orders],0)</f>
        <v>20</v>
      </c>
      <c r="Q177" s="12">
        <f>_xlfn.XLOOKUP(TableDailySummary[[#This Row],[Fecha]],SummaryDaily[day],SummaryDaily[Tienda 81_average_order_value],0)</f>
        <v>179910.924</v>
      </c>
      <c r="R177" s="12">
        <f>_xlfn.XLOOKUP(TableDailySummary[[#This Row],[Fecha]],SummaryDaily[day],SummaryDaily[Rappi_net_sales],0)</f>
        <v>243697.49</v>
      </c>
      <c r="S177" s="12">
        <f>_xlfn.XLOOKUP(TableDailySummary[[#This Row],[Fecha]],SummaryDaily[day],SummaryDaily[Rappi_orders],0)</f>
        <v>5</v>
      </c>
      <c r="T177" s="12">
        <f>_xlfn.XLOOKUP(TableDailySummary[[#This Row],[Fecha]],SummaryDaily[day],SummaryDaily[Rappi_average_order_value],0)</f>
        <v>48739.498</v>
      </c>
      <c r="U177" s="12">
        <f>_xlfn.XLOOKUP(TableDailySummary[[#This Row],[Fecha]],SummaryDaily[day],SummaryDaily[Corporativo no tienda_net_sales],0)</f>
        <v>0</v>
      </c>
      <c r="V177" s="12">
        <f>_xlfn.XLOOKUP(TableDailySummary[[#This Row],[Fecha]],SummaryDaily[day],SummaryDaily[Corporativo no tienda_orders],0)</f>
        <v>0</v>
      </c>
      <c r="W177" s="12">
        <f>_xlfn.XLOOKUP(TableDailySummary[[#This Row],[Fecha]],SummaryDaily[day],SummaryDaily[Corporativo no tienda_average_order_value],0)</f>
        <v>0</v>
      </c>
      <c r="X177" s="12">
        <f>_xlfn.XLOOKUP(TableDailySummary[[#This Row],[Fecha]],SummaryDaily[day],SummaryDaily[GoogleAdsOperation.Cost],0)</f>
        <v>63112.4</v>
      </c>
      <c r="Y177" s="12">
        <f>SUMIFS(SalesByUTMDaily[google],SalesByUTMDaily[day],TableDailySummary[[#This Row],[Fecha]])</f>
        <v>0</v>
      </c>
      <c r="Z177" s="12">
        <f>_xlfn.XLOOKUP(TableDailySummary[[#This Row],[Fecha]],SummaryDaily[day],SummaryDaily[MetaAdsOperation.spend],0)</f>
        <v>52985</v>
      </c>
      <c r="AA177" s="12">
        <f>SUMIFS(SalesByUTMDaily[facebook],SalesByUTMDaily[day],TableDailySummary[[#This Row],[Fecha]])</f>
        <v>0</v>
      </c>
      <c r="AB177" s="12">
        <f>TableDailySummary[[#This Row],[Inversión google ads]]+TableDailySummary[[#This Row],[Inversión meta ads]]</f>
        <v>116097.4</v>
      </c>
      <c r="AC177" s="12">
        <f>TableDailySummary[[#This Row],[Ventas google ads]]+TableDailySummary[[#This Row],[Ventas meta ads]]</f>
        <v>0</v>
      </c>
      <c r="AD177" s="14">
        <f>IFERROR(TableDailySummary[[#This Row],[Ventas publicidad]]/TableDailySummary[[#This Row],[Inversión publicidad]],0)</f>
        <v>0</v>
      </c>
      <c r="AE177" s="14">
        <f>IFERROR(TableDailySummary[[#This Row],[Ventas primer cliente]]/TableDailySummary[[#This Row],[Inversión publicidad]],0)</f>
        <v>16.327640842947389</v>
      </c>
      <c r="AF177" s="14"/>
      <c r="AG177" s="12"/>
      <c r="AM177" s="12">
        <f>_xlfn.XLOOKUP(TableDailySummary[[#This Row],[Fecha]],SummaryDaily[day],SummaryDaily[net_sales_with_cost_recorded],0)</f>
        <v>3714924.39</v>
      </c>
      <c r="AN177" s="12">
        <f>_xlfn.XLOOKUP(TableDailySummary[[#This Row],[Fecha]],SummaryDaily[day],SummaryDaily[cost_of_goods_sold],0)</f>
        <v>1164103</v>
      </c>
      <c r="AO177" s="12">
        <f>_xlfn.XLOOKUP(TableDailySummary[[#This Row],[Fecha]],SummaryDaily[day],SummaryDaily[gross_profit],0)</f>
        <v>2550821.39</v>
      </c>
      <c r="AP177" s="18">
        <f>IFERROR(TableDailySummary[[#This Row],[Utilidad bruta]]/TableDailySummary[[#This Row],[Ventas netas con costo registrado]],0)</f>
        <v>0.68664153619557244</v>
      </c>
    </row>
    <row r="178" spans="2:42" x14ac:dyDescent="0.2">
      <c r="B178" s="15" cm="1">
        <f t="array" ref="B178">MIN(SummaryDaily[day]) + (ROW(TableDailySummary[#This Row]) - ROW(TableDailySummary[[#Headers],[Dia]]) - 1)</f>
        <v>45949</v>
      </c>
      <c r="C178" s="6">
        <f>TableDailySummary[[#This Row],[Dia]]</f>
        <v>45949</v>
      </c>
      <c r="D178" s="12">
        <f>_xlfn.XLOOKUP(TableDailySummary[[#This Row],[Fecha]],SummaryDaily[day],SummaryDaily[net_sales],0)</f>
        <v>1483781.53</v>
      </c>
      <c r="E178" s="12">
        <f>_xlfn.XLOOKUP(TableDailySummary[[#This Row],[Fecha]],SummaryDaily[day],SummaryDaily[orders],0)</f>
        <v>13</v>
      </c>
      <c r="F178" s="12">
        <f>_xlfn.XLOOKUP(TableDailySummary[[#This Row],[Fecha]],SummaryDaily[day],SummaryDaily[average_order_value],0)</f>
        <v>114137.04</v>
      </c>
      <c r="G178" s="24">
        <f>_xlfn.XLOOKUP(TableDailySummary[[#This Row],[Fecha]],SummaryDaily[day],SummaryDaily[Total site_conversion_rate],0)</f>
        <v>7.2639225181598066E-3</v>
      </c>
      <c r="H178" s="12">
        <f>TableDailySummary[[#This Row],[Órden promedio totales]]*TableDailySummary[[#This Row],[CR totales]]</f>
        <v>829.08261501210654</v>
      </c>
      <c r="I178" s="12">
        <f>_xlfn.XLOOKUP(TableDailySummary[[#This Row],[Fecha]],SummaryDaily[day],SummaryDaily[new_net_sales],0)</f>
        <v>686302.54</v>
      </c>
      <c r="J178" s="12">
        <f>_xlfn.XLOOKUP(TableDailySummary[[#This Row],[Fecha]],SummaryDaily[day],SummaryDaily[new_orders],0)</f>
        <v>7</v>
      </c>
      <c r="K178" s="12">
        <f>_xlfn.XLOOKUP(TableDailySummary[[#This Row],[Fecha]],SummaryDaily[day],SummaryDaily[new_average_order_value],0)</f>
        <v>98043.22</v>
      </c>
      <c r="L178" s="12">
        <f>_xlfn.XLOOKUP(TableDailySummary[[#This Row],[Fecha]],SummaryDaily[day],SummaryDaily[Online Store_net_sales],0)</f>
        <v>641176.48</v>
      </c>
      <c r="M178" s="12">
        <f>_xlfn.XLOOKUP(TableDailySummary[[#This Row],[Fecha]],SummaryDaily[day],SummaryDaily[Online Store_orders],0)</f>
        <v>3</v>
      </c>
      <c r="N178" s="12">
        <f>_xlfn.XLOOKUP(TableDailySummary[[#This Row],[Fecha]],SummaryDaily[day],SummaryDaily[Online Store_average_order_value],0)</f>
        <v>213725.49299999999</v>
      </c>
      <c r="O178" s="12">
        <f>_xlfn.XLOOKUP(TableDailySummary[[#This Row],[Fecha]],SummaryDaily[day],SummaryDaily[Tienda 81_net_sales],0)</f>
        <v>842605.05</v>
      </c>
      <c r="P178" s="12">
        <f>_xlfn.XLOOKUP(TableDailySummary[[#This Row],[Fecha]],SummaryDaily[day],SummaryDaily[Tienda 81_orders],0)</f>
        <v>10</v>
      </c>
      <c r="Q178" s="12">
        <f>_xlfn.XLOOKUP(TableDailySummary[[#This Row],[Fecha]],SummaryDaily[day],SummaryDaily[Tienda 81_average_order_value],0)</f>
        <v>84260.505000000005</v>
      </c>
      <c r="R178" s="12">
        <f>_xlfn.XLOOKUP(TableDailySummary[[#This Row],[Fecha]],SummaryDaily[day],SummaryDaily[Rappi_net_sales],0)</f>
        <v>0</v>
      </c>
      <c r="S178" s="12">
        <f>_xlfn.XLOOKUP(TableDailySummary[[#This Row],[Fecha]],SummaryDaily[day],SummaryDaily[Rappi_orders],0)</f>
        <v>0</v>
      </c>
      <c r="T178" s="12">
        <f>_xlfn.XLOOKUP(TableDailySummary[[#This Row],[Fecha]],SummaryDaily[day],SummaryDaily[Rappi_average_order_value],0)</f>
        <v>0</v>
      </c>
      <c r="U178" s="12">
        <f>_xlfn.XLOOKUP(TableDailySummary[[#This Row],[Fecha]],SummaryDaily[day],SummaryDaily[Corporativo no tienda_net_sales],0)</f>
        <v>0</v>
      </c>
      <c r="V178" s="12">
        <f>_xlfn.XLOOKUP(TableDailySummary[[#This Row],[Fecha]],SummaryDaily[day],SummaryDaily[Corporativo no tienda_orders],0)</f>
        <v>0</v>
      </c>
      <c r="W178" s="12">
        <f>_xlfn.XLOOKUP(TableDailySummary[[#This Row],[Fecha]],SummaryDaily[day],SummaryDaily[Corporativo no tienda_average_order_value],0)</f>
        <v>0</v>
      </c>
      <c r="X178" s="12">
        <f>_xlfn.XLOOKUP(TableDailySummary[[#This Row],[Fecha]],SummaryDaily[day],SummaryDaily[GoogleAdsOperation.Cost],0)</f>
        <v>38147.81</v>
      </c>
      <c r="Y178" s="12">
        <f>SUMIFS(SalesByUTMDaily[google],SalesByUTMDaily[day],TableDailySummary[[#This Row],[Fecha]])</f>
        <v>790000</v>
      </c>
      <c r="Z178" s="12">
        <f>_xlfn.XLOOKUP(TableDailySummary[[#This Row],[Fecha]],SummaryDaily[day],SummaryDaily[MetaAdsOperation.spend],0)</f>
        <v>54262</v>
      </c>
      <c r="AA178" s="12">
        <f>SUMIFS(SalesByUTMDaily[facebook],SalesByUTMDaily[day],TableDailySummary[[#This Row],[Fecha]])</f>
        <v>0</v>
      </c>
      <c r="AB178" s="12">
        <f>TableDailySummary[[#This Row],[Inversión google ads]]+TableDailySummary[[#This Row],[Inversión meta ads]]</f>
        <v>92409.81</v>
      </c>
      <c r="AC178" s="12">
        <f>TableDailySummary[[#This Row],[Ventas google ads]]+TableDailySummary[[#This Row],[Ventas meta ads]]</f>
        <v>790000</v>
      </c>
      <c r="AD178" s="14">
        <f>IFERROR(TableDailySummary[[#This Row],[Ventas publicidad]]/TableDailySummary[[#This Row],[Inversión publicidad]],0)</f>
        <v>8.5488759256187201</v>
      </c>
      <c r="AE178" s="14">
        <f>IFERROR(TableDailySummary[[#This Row],[Ventas primer cliente]]/TableDailySummary[[#This Row],[Inversión publicidad]],0)</f>
        <v>7.4267281796164291</v>
      </c>
      <c r="AF178" s="14"/>
      <c r="AG178" s="12"/>
      <c r="AM178" s="12">
        <f>_xlfn.XLOOKUP(TableDailySummary[[#This Row],[Fecha]],SummaryDaily[day],SummaryDaily[net_sales_with_cost_recorded],0)</f>
        <v>1483781.53</v>
      </c>
      <c r="AN178" s="12">
        <f>_xlfn.XLOOKUP(TableDailySummary[[#This Row],[Fecha]],SummaryDaily[day],SummaryDaily[cost_of_goods_sold],0)</f>
        <v>533526</v>
      </c>
      <c r="AO178" s="12">
        <f>_xlfn.XLOOKUP(TableDailySummary[[#This Row],[Fecha]],SummaryDaily[day],SummaryDaily[gross_profit],0)</f>
        <v>950255.53</v>
      </c>
      <c r="AP178" s="18">
        <f>IFERROR(TableDailySummary[[#This Row],[Utilidad bruta]]/TableDailySummary[[#This Row],[Ventas netas con costo registrado]],0)</f>
        <v>0.64042819700013387</v>
      </c>
    </row>
    <row r="179" spans="2:42" x14ac:dyDescent="0.2">
      <c r="B179" s="15" cm="1">
        <f t="array" ref="B179">MIN(SummaryDaily[day]) + (ROW(TableDailySummary[#This Row]) - ROW(TableDailySummary[[#Headers],[Dia]]) - 1)</f>
        <v>45950</v>
      </c>
      <c r="C179" s="6">
        <f>TableDailySummary[[#This Row],[Dia]]</f>
        <v>45950</v>
      </c>
      <c r="D179" s="12">
        <f>_xlfn.XLOOKUP(TableDailySummary[[#This Row],[Fecha]],SummaryDaily[day],SummaryDaily[net_sales],0)</f>
        <v>2392436.9700000002</v>
      </c>
      <c r="E179" s="12">
        <f>_xlfn.XLOOKUP(TableDailySummary[[#This Row],[Fecha]],SummaryDaily[day],SummaryDaily[orders],0)</f>
        <v>17</v>
      </c>
      <c r="F179" s="12">
        <f>_xlfn.XLOOKUP(TableDailySummary[[#This Row],[Fecha]],SummaryDaily[day],SummaryDaily[average_order_value],0)</f>
        <v>162234.30499999999</v>
      </c>
      <c r="G179" s="24">
        <f>_xlfn.XLOOKUP(TableDailySummary[[#This Row],[Fecha]],SummaryDaily[day],SummaryDaily[Total site_conversion_rate],0)</f>
        <v>1.1986301369863013E-2</v>
      </c>
      <c r="H179" s="12">
        <f>TableDailySummary[[#This Row],[Órden promedio totales]]*TableDailySummary[[#This Row],[CR totales]]</f>
        <v>1944.5892722602737</v>
      </c>
      <c r="I179" s="12">
        <f>_xlfn.XLOOKUP(TableDailySummary[[#This Row],[Fecha]],SummaryDaily[day],SummaryDaily[new_net_sales],0)</f>
        <v>1032352.93</v>
      </c>
      <c r="J179" s="12">
        <f>_xlfn.XLOOKUP(TableDailySummary[[#This Row],[Fecha]],SummaryDaily[day],SummaryDaily[new_orders],0)</f>
        <v>8</v>
      </c>
      <c r="K179" s="12">
        <f>_xlfn.XLOOKUP(TableDailySummary[[#This Row],[Fecha]],SummaryDaily[day],SummaryDaily[new_average_order_value],0)</f>
        <v>129044.11599999999</v>
      </c>
      <c r="L179" s="12">
        <f>_xlfn.XLOOKUP(TableDailySummary[[#This Row],[Fecha]],SummaryDaily[day],SummaryDaily[Online Store_net_sales],0)</f>
        <v>1314705.8899999999</v>
      </c>
      <c r="M179" s="12">
        <f>_xlfn.XLOOKUP(TableDailySummary[[#This Row],[Fecha]],SummaryDaily[day],SummaryDaily[Online Store_orders],0)</f>
        <v>8</v>
      </c>
      <c r="N179" s="12">
        <f>_xlfn.XLOOKUP(TableDailySummary[[#This Row],[Fecha]],SummaryDaily[day],SummaryDaily[Online Store_average_order_value],0)</f>
        <v>210031.51300000001</v>
      </c>
      <c r="O179" s="12">
        <f>_xlfn.XLOOKUP(TableDailySummary[[#This Row],[Fecha]],SummaryDaily[day],SummaryDaily[Tienda 81_net_sales],0)</f>
        <v>1023109.23</v>
      </c>
      <c r="P179" s="12">
        <f>_xlfn.XLOOKUP(TableDailySummary[[#This Row],[Fecha]],SummaryDaily[day],SummaryDaily[Tienda 81_orders],0)</f>
        <v>8</v>
      </c>
      <c r="Q179" s="12">
        <f>_xlfn.XLOOKUP(TableDailySummary[[#This Row],[Fecha]],SummaryDaily[day],SummaryDaily[Tienda 81_average_order_value],0)</f>
        <v>127888.65300000001</v>
      </c>
      <c r="R179" s="12">
        <f>_xlfn.XLOOKUP(TableDailySummary[[#This Row],[Fecha]],SummaryDaily[day],SummaryDaily[Rappi_net_sales],0)</f>
        <v>0</v>
      </c>
      <c r="S179" s="12">
        <f>_xlfn.XLOOKUP(TableDailySummary[[#This Row],[Fecha]],SummaryDaily[day],SummaryDaily[Rappi_orders],0)</f>
        <v>0</v>
      </c>
      <c r="T179" s="12">
        <f>_xlfn.XLOOKUP(TableDailySummary[[#This Row],[Fecha]],SummaryDaily[day],SummaryDaily[Rappi_average_order_value],0)</f>
        <v>0</v>
      </c>
      <c r="U179" s="12">
        <f>_xlfn.XLOOKUP(TableDailySummary[[#This Row],[Fecha]],SummaryDaily[day],SummaryDaily[Corporativo no tienda_net_sales],0)</f>
        <v>0</v>
      </c>
      <c r="V179" s="12">
        <f>_xlfn.XLOOKUP(TableDailySummary[[#This Row],[Fecha]],SummaryDaily[day],SummaryDaily[Corporativo no tienda_orders],0)</f>
        <v>0</v>
      </c>
      <c r="W179" s="12">
        <f>_xlfn.XLOOKUP(TableDailySummary[[#This Row],[Fecha]],SummaryDaily[day],SummaryDaily[Corporativo no tienda_average_order_value],0)</f>
        <v>0</v>
      </c>
      <c r="X179" s="12">
        <f>_xlfn.XLOOKUP(TableDailySummary[[#This Row],[Fecha]],SummaryDaily[day],SummaryDaily[GoogleAdsOperation.Cost],0)</f>
        <v>59823.48</v>
      </c>
      <c r="Y179" s="12">
        <f>SUMIFS(SalesByUTMDaily[google],SalesByUTMDaily[day],TableDailySummary[[#This Row],[Fecha]])</f>
        <v>0</v>
      </c>
      <c r="Z179" s="12">
        <f>_xlfn.XLOOKUP(TableDailySummary[[#This Row],[Fecha]],SummaryDaily[day],SummaryDaily[MetaAdsOperation.spend],0)</f>
        <v>52633</v>
      </c>
      <c r="AA179" s="12">
        <f>SUMIFS(SalesByUTMDaily[facebook],SalesByUTMDaily[day],TableDailySummary[[#This Row],[Fecha]])</f>
        <v>0</v>
      </c>
      <c r="AB179" s="12">
        <f>TableDailySummary[[#This Row],[Inversión google ads]]+TableDailySummary[[#This Row],[Inversión meta ads]]</f>
        <v>112456.48000000001</v>
      </c>
      <c r="AC179" s="12">
        <f>TableDailySummary[[#This Row],[Ventas google ads]]+TableDailySummary[[#This Row],[Ventas meta ads]]</f>
        <v>0</v>
      </c>
      <c r="AD179" s="14">
        <f>IFERROR(TableDailySummary[[#This Row],[Ventas publicidad]]/TableDailySummary[[#This Row],[Inversión publicidad]],0)</f>
        <v>0</v>
      </c>
      <c r="AE179" s="14">
        <f>IFERROR(TableDailySummary[[#This Row],[Ventas primer cliente]]/TableDailySummary[[#This Row],[Inversión publicidad]],0)</f>
        <v>9.1800217292947455</v>
      </c>
      <c r="AF179" s="14"/>
      <c r="AG179" s="12"/>
      <c r="AM179" s="12">
        <f>_xlfn.XLOOKUP(TableDailySummary[[#This Row],[Fecha]],SummaryDaily[day],SummaryDaily[net_sales_with_cost_recorded],0)</f>
        <v>2392436.9700000002</v>
      </c>
      <c r="AN179" s="12">
        <f>_xlfn.XLOOKUP(TableDailySummary[[#This Row],[Fecha]],SummaryDaily[day],SummaryDaily[cost_of_goods_sold],0)</f>
        <v>772247</v>
      </c>
      <c r="AO179" s="12">
        <f>_xlfn.XLOOKUP(TableDailySummary[[#This Row],[Fecha]],SummaryDaily[day],SummaryDaily[gross_profit],0)</f>
        <v>1620189.97</v>
      </c>
      <c r="AP179" s="18">
        <f>IFERROR(TableDailySummary[[#This Row],[Utilidad bruta]]/TableDailySummary[[#This Row],[Ventas netas con costo registrado]],0)</f>
        <v>0.6772132308254708</v>
      </c>
    </row>
    <row r="180" spans="2:42" x14ac:dyDescent="0.2">
      <c r="B180" s="15" cm="1">
        <f t="array" ref="B180">MIN(SummaryDaily[day]) + (ROW(TableDailySummary[#This Row]) - ROW(TableDailySummary[[#Headers],[Dia]]) - 1)</f>
        <v>45951</v>
      </c>
      <c r="C180" s="6">
        <f>TableDailySummary[[#This Row],[Dia]]</f>
        <v>45951</v>
      </c>
      <c r="D180" s="12">
        <f>_xlfn.XLOOKUP(TableDailySummary[[#This Row],[Fecha]],SummaryDaily[day],SummaryDaily[net_sales],0)</f>
        <v>23616638.670000002</v>
      </c>
      <c r="E180" s="12">
        <f>_xlfn.XLOOKUP(TableDailySummary[[#This Row],[Fecha]],SummaryDaily[day],SummaryDaily[orders],0)</f>
        <v>24</v>
      </c>
      <c r="F180" s="12">
        <f>_xlfn.XLOOKUP(TableDailySummary[[#This Row],[Fecha]],SummaryDaily[day],SummaryDaily[average_order_value],0)</f>
        <v>984026.61</v>
      </c>
      <c r="G180" s="24">
        <f>_xlfn.XLOOKUP(TableDailySummary[[#This Row],[Fecha]],SummaryDaily[day],SummaryDaily[Total site_conversion_rate],0)</f>
        <v>1.3888888888888888E-2</v>
      </c>
      <c r="H180" s="12">
        <f>TableDailySummary[[#This Row],[Órden promedio totales]]*TableDailySummary[[#This Row],[CR totales]]</f>
        <v>13667.036249999999</v>
      </c>
      <c r="I180" s="12">
        <f>_xlfn.XLOOKUP(TableDailySummary[[#This Row],[Fecha]],SummaryDaily[day],SummaryDaily[new_net_sales],0)</f>
        <v>22751260.510000002</v>
      </c>
      <c r="J180" s="12">
        <f>_xlfn.XLOOKUP(TableDailySummary[[#This Row],[Fecha]],SummaryDaily[day],SummaryDaily[new_orders],0)</f>
        <v>15</v>
      </c>
      <c r="K180" s="12">
        <f>_xlfn.XLOOKUP(TableDailySummary[[#This Row],[Fecha]],SummaryDaily[day],SummaryDaily[new_average_order_value],0)</f>
        <v>1516750.7</v>
      </c>
      <c r="L180" s="12">
        <f>_xlfn.XLOOKUP(TableDailySummary[[#This Row],[Fecha]],SummaryDaily[day],SummaryDaily[Online Store_net_sales],0)</f>
        <v>1565378.15</v>
      </c>
      <c r="M180" s="12">
        <f>_xlfn.XLOOKUP(TableDailySummary[[#This Row],[Fecha]],SummaryDaily[day],SummaryDaily[Online Store_orders],0)</f>
        <v>11</v>
      </c>
      <c r="N180" s="12">
        <f>_xlfn.XLOOKUP(TableDailySummary[[#This Row],[Fecha]],SummaryDaily[day],SummaryDaily[Online Store_average_order_value],0)</f>
        <v>142307.10399999999</v>
      </c>
      <c r="O180" s="12">
        <f>_xlfn.XLOOKUP(TableDailySummary[[#This Row],[Fecha]],SummaryDaily[day],SummaryDaily[Tienda 81_net_sales],0)</f>
        <v>1013445.39</v>
      </c>
      <c r="P180" s="12">
        <f>_xlfn.XLOOKUP(TableDailySummary[[#This Row],[Fecha]],SummaryDaily[day],SummaryDaily[Tienda 81_orders],0)</f>
        <v>12</v>
      </c>
      <c r="Q180" s="12">
        <f>_xlfn.XLOOKUP(TableDailySummary[[#This Row],[Fecha]],SummaryDaily[day],SummaryDaily[Tienda 81_average_order_value],0)</f>
        <v>84453.781000000003</v>
      </c>
      <c r="R180" s="12">
        <f>_xlfn.XLOOKUP(TableDailySummary[[#This Row],[Fecha]],SummaryDaily[day],SummaryDaily[Rappi_net_sales],0)</f>
        <v>0</v>
      </c>
      <c r="S180" s="12">
        <f>_xlfn.XLOOKUP(TableDailySummary[[#This Row],[Fecha]],SummaryDaily[day],SummaryDaily[Rappi_orders],0)</f>
        <v>0</v>
      </c>
      <c r="T180" s="12">
        <f>_xlfn.XLOOKUP(TableDailySummary[[#This Row],[Fecha]],SummaryDaily[day],SummaryDaily[Rappi_average_order_value],0)</f>
        <v>0</v>
      </c>
      <c r="U180" s="12">
        <f>_xlfn.XLOOKUP(TableDailySummary[[#This Row],[Fecha]],SummaryDaily[day],SummaryDaily[Corporativo no tienda_net_sales],0)</f>
        <v>21037815.129999999</v>
      </c>
      <c r="V180" s="12">
        <f>_xlfn.XLOOKUP(TableDailySummary[[#This Row],[Fecha]],SummaryDaily[day],SummaryDaily[Corporativo no tienda_orders],0)</f>
        <v>1</v>
      </c>
      <c r="W180" s="12">
        <f>_xlfn.XLOOKUP(TableDailySummary[[#This Row],[Fecha]],SummaryDaily[day],SummaryDaily[Corporativo no tienda_average_order_value],0)</f>
        <v>21037815.129999999</v>
      </c>
      <c r="X180" s="12">
        <f>_xlfn.XLOOKUP(TableDailySummary[[#This Row],[Fecha]],SummaryDaily[day],SummaryDaily[GoogleAdsOperation.Cost],0)</f>
        <v>82254.84</v>
      </c>
      <c r="Y180" s="12">
        <f>SUMIFS(SalesByUTMDaily[google],SalesByUTMDaily[day],TableDailySummary[[#This Row],[Fecha]])</f>
        <v>254000</v>
      </c>
      <c r="Z180" s="12">
        <f>_xlfn.XLOOKUP(TableDailySummary[[#This Row],[Fecha]],SummaryDaily[day],SummaryDaily[MetaAdsOperation.spend],0)</f>
        <v>51560</v>
      </c>
      <c r="AA180" s="12">
        <f>SUMIFS(SalesByUTMDaily[facebook],SalesByUTMDaily[day],TableDailySummary[[#This Row],[Fecha]])</f>
        <v>0</v>
      </c>
      <c r="AB180" s="12">
        <f>TableDailySummary[[#This Row],[Inversión google ads]]+TableDailySummary[[#This Row],[Inversión meta ads]]</f>
        <v>133814.84</v>
      </c>
      <c r="AC180" s="12">
        <f>TableDailySummary[[#This Row],[Ventas google ads]]+TableDailySummary[[#This Row],[Ventas meta ads]]</f>
        <v>254000</v>
      </c>
      <c r="AD180" s="14">
        <f>IFERROR(TableDailySummary[[#This Row],[Ventas publicidad]]/TableDailySummary[[#This Row],[Inversión publicidad]],0)</f>
        <v>1.8981452281376265</v>
      </c>
      <c r="AE180" s="14">
        <f>IFERROR(TableDailySummary[[#This Row],[Ventas primer cliente]]/TableDailySummary[[#This Row],[Inversión publicidad]],0)</f>
        <v>170.02045894162413</v>
      </c>
      <c r="AF180" s="14"/>
      <c r="AG180" s="12"/>
      <c r="AM180" s="12">
        <f>_xlfn.XLOOKUP(TableDailySummary[[#This Row],[Fecha]],SummaryDaily[day],SummaryDaily[net_sales_with_cost_recorded],0)</f>
        <v>23571260.510000002</v>
      </c>
      <c r="AN180" s="12">
        <f>_xlfn.XLOOKUP(TableDailySummary[[#This Row],[Fecha]],SummaryDaily[day],SummaryDaily[cost_of_goods_sold],0)</f>
        <v>7654561</v>
      </c>
      <c r="AO180" s="12">
        <f>_xlfn.XLOOKUP(TableDailySummary[[#This Row],[Fecha]],SummaryDaily[day],SummaryDaily[gross_profit],0)</f>
        <v>15916699.51</v>
      </c>
      <c r="AP180" s="18">
        <f>IFERROR(TableDailySummary[[#This Row],[Utilidad bruta]]/TableDailySummary[[#This Row],[Ventas netas con costo registrado]],0)</f>
        <v>0.67525873311897811</v>
      </c>
    </row>
    <row r="181" spans="2:42" x14ac:dyDescent="0.2">
      <c r="B181" s="15" cm="1">
        <f t="array" ref="B181">MIN(SummaryDaily[day]) + (ROW(TableDailySummary[#This Row]) - ROW(TableDailySummary[[#Headers],[Dia]]) - 1)</f>
        <v>45952</v>
      </c>
      <c r="C181" s="6">
        <f>TableDailySummary[[#This Row],[Dia]]</f>
        <v>45952</v>
      </c>
      <c r="D181" s="12">
        <f>_xlfn.XLOOKUP(TableDailySummary[[#This Row],[Fecha]],SummaryDaily[day],SummaryDaily[net_sales],0)</f>
        <v>2852941.19</v>
      </c>
      <c r="E181" s="12">
        <f>_xlfn.XLOOKUP(TableDailySummary[[#This Row],[Fecha]],SummaryDaily[day],SummaryDaily[orders],0)</f>
        <v>13</v>
      </c>
      <c r="F181" s="12">
        <f>_xlfn.XLOOKUP(TableDailySummary[[#This Row],[Fecha]],SummaryDaily[day],SummaryDaily[average_order_value],0)</f>
        <v>219457.014</v>
      </c>
      <c r="G181" s="24">
        <f>_xlfn.XLOOKUP(TableDailySummary[[#This Row],[Fecha]],SummaryDaily[day],SummaryDaily[Total site_conversion_rate],0)</f>
        <v>7.8636959370904317E-3</v>
      </c>
      <c r="H181" s="12">
        <f>TableDailySummary[[#This Row],[Órden promedio totales]]*TableDailySummary[[#This Row],[CR totales]]</f>
        <v>1725.7432293577979</v>
      </c>
      <c r="I181" s="12">
        <f>_xlfn.XLOOKUP(TableDailySummary[[#This Row],[Fecha]],SummaryDaily[day],SummaryDaily[new_net_sales],0)</f>
        <v>365546.22</v>
      </c>
      <c r="J181" s="12">
        <f>_xlfn.XLOOKUP(TableDailySummary[[#This Row],[Fecha]],SummaryDaily[day],SummaryDaily[new_orders],0)</f>
        <v>5</v>
      </c>
      <c r="K181" s="12">
        <f>_xlfn.XLOOKUP(TableDailySummary[[#This Row],[Fecha]],SummaryDaily[day],SummaryDaily[new_average_order_value],0)</f>
        <v>73109.244000000006</v>
      </c>
      <c r="L181" s="12">
        <f>_xlfn.XLOOKUP(TableDailySummary[[#This Row],[Fecha]],SummaryDaily[day],SummaryDaily[Online Store_net_sales],0)</f>
        <v>899159.67</v>
      </c>
      <c r="M181" s="12">
        <f>_xlfn.XLOOKUP(TableDailySummary[[#This Row],[Fecha]],SummaryDaily[day],SummaryDaily[Online Store_orders],0)</f>
        <v>5</v>
      </c>
      <c r="N181" s="12">
        <f>_xlfn.XLOOKUP(TableDailySummary[[#This Row],[Fecha]],SummaryDaily[day],SummaryDaily[Online Store_average_order_value],0)</f>
        <v>179831.93400000001</v>
      </c>
      <c r="O181" s="12">
        <f>_xlfn.XLOOKUP(TableDailySummary[[#This Row],[Fecha]],SummaryDaily[day],SummaryDaily[Tienda 81_net_sales],0)</f>
        <v>1953781.52</v>
      </c>
      <c r="P181" s="12">
        <f>_xlfn.XLOOKUP(TableDailySummary[[#This Row],[Fecha]],SummaryDaily[day],SummaryDaily[Tienda 81_orders],0)</f>
        <v>8</v>
      </c>
      <c r="Q181" s="12">
        <f>_xlfn.XLOOKUP(TableDailySummary[[#This Row],[Fecha]],SummaryDaily[day],SummaryDaily[Tienda 81_average_order_value],0)</f>
        <v>244222.69</v>
      </c>
      <c r="R181" s="12">
        <f>_xlfn.XLOOKUP(TableDailySummary[[#This Row],[Fecha]],SummaryDaily[day],SummaryDaily[Rappi_net_sales],0)</f>
        <v>0</v>
      </c>
      <c r="S181" s="12">
        <f>_xlfn.XLOOKUP(TableDailySummary[[#This Row],[Fecha]],SummaryDaily[day],SummaryDaily[Rappi_orders],0)</f>
        <v>0</v>
      </c>
      <c r="T181" s="12">
        <f>_xlfn.XLOOKUP(TableDailySummary[[#This Row],[Fecha]],SummaryDaily[day],SummaryDaily[Rappi_average_order_value],0)</f>
        <v>0</v>
      </c>
      <c r="U181" s="12">
        <f>_xlfn.XLOOKUP(TableDailySummary[[#This Row],[Fecha]],SummaryDaily[day],SummaryDaily[Corporativo no tienda_net_sales],0)</f>
        <v>0</v>
      </c>
      <c r="V181" s="12">
        <f>_xlfn.XLOOKUP(TableDailySummary[[#This Row],[Fecha]],SummaryDaily[day],SummaryDaily[Corporativo no tienda_orders],0)</f>
        <v>0</v>
      </c>
      <c r="W181" s="12">
        <f>_xlfn.XLOOKUP(TableDailySummary[[#This Row],[Fecha]],SummaryDaily[day],SummaryDaily[Corporativo no tienda_average_order_value],0)</f>
        <v>0</v>
      </c>
      <c r="X181" s="12">
        <f>_xlfn.XLOOKUP(TableDailySummary[[#This Row],[Fecha]],SummaryDaily[day],SummaryDaily[GoogleAdsOperation.Cost],0)</f>
        <v>84209</v>
      </c>
      <c r="Y181" s="12">
        <f>SUMIFS(SalesByUTMDaily[google],SalesByUTMDaily[day],TableDailySummary[[#This Row],[Fecha]])</f>
        <v>398500</v>
      </c>
      <c r="Z181" s="12">
        <f>_xlfn.XLOOKUP(TableDailySummary[[#This Row],[Fecha]],SummaryDaily[day],SummaryDaily[MetaAdsOperation.spend],0)</f>
        <v>52830</v>
      </c>
      <c r="AA181" s="12">
        <f>SUMIFS(SalesByUTMDaily[facebook],SalesByUTMDaily[day],TableDailySummary[[#This Row],[Fecha]])</f>
        <v>0</v>
      </c>
      <c r="AB181" s="12">
        <f>TableDailySummary[[#This Row],[Inversión google ads]]+TableDailySummary[[#This Row],[Inversión meta ads]]</f>
        <v>137039</v>
      </c>
      <c r="AC181" s="12">
        <f>TableDailySummary[[#This Row],[Ventas google ads]]+TableDailySummary[[#This Row],[Ventas meta ads]]</f>
        <v>398500</v>
      </c>
      <c r="AD181" s="14">
        <f>IFERROR(TableDailySummary[[#This Row],[Ventas publicidad]]/TableDailySummary[[#This Row],[Inversión publicidad]],0)</f>
        <v>2.9079313188216491</v>
      </c>
      <c r="AE181" s="14">
        <f>IFERROR(TableDailySummary[[#This Row],[Ventas primer cliente]]/TableDailySummary[[#This Row],[Inversión publicidad]],0)</f>
        <v>2.6674612336634094</v>
      </c>
      <c r="AF181" s="14"/>
      <c r="AG181" s="12"/>
      <c r="AM181" s="12">
        <f>_xlfn.XLOOKUP(TableDailySummary[[#This Row],[Fecha]],SummaryDaily[day],SummaryDaily[net_sales_with_cost_recorded],0)</f>
        <v>2823529.43</v>
      </c>
      <c r="AN181" s="12">
        <f>_xlfn.XLOOKUP(TableDailySummary[[#This Row],[Fecha]],SummaryDaily[day],SummaryDaily[cost_of_goods_sold],0)</f>
        <v>816675</v>
      </c>
      <c r="AO181" s="12">
        <f>_xlfn.XLOOKUP(TableDailySummary[[#This Row],[Fecha]],SummaryDaily[day],SummaryDaily[gross_profit],0)</f>
        <v>2006854.43</v>
      </c>
      <c r="AP181" s="18">
        <f>IFERROR(TableDailySummary[[#This Row],[Utilidad bruta]]/TableDailySummary[[#This Row],[Ventas netas con costo registrado]],0)</f>
        <v>0.71076093936800222</v>
      </c>
    </row>
    <row r="182" spans="2:42" x14ac:dyDescent="0.2">
      <c r="B182" s="15" cm="1">
        <f t="array" ref="B182">MIN(SummaryDaily[day]) + (ROW(TableDailySummary[#This Row]) - ROW(TableDailySummary[[#Headers],[Dia]]) - 1)</f>
        <v>45953</v>
      </c>
      <c r="C182" s="6">
        <f>TableDailySummary[[#This Row],[Dia]]</f>
        <v>45953</v>
      </c>
      <c r="D182" s="12">
        <f>_xlfn.XLOOKUP(TableDailySummary[[#This Row],[Fecha]],SummaryDaily[day],SummaryDaily[net_sales],0)</f>
        <v>1305882.3700000001</v>
      </c>
      <c r="E182" s="12">
        <f>_xlfn.XLOOKUP(TableDailySummary[[#This Row],[Fecha]],SummaryDaily[day],SummaryDaily[orders],0)</f>
        <v>14</v>
      </c>
      <c r="F182" s="12">
        <f>_xlfn.XLOOKUP(TableDailySummary[[#This Row],[Fecha]],SummaryDaily[day],SummaryDaily[average_order_value],0)</f>
        <v>93277.312000000005</v>
      </c>
      <c r="G182" s="24">
        <f>_xlfn.XLOOKUP(TableDailySummary[[#This Row],[Fecha]],SummaryDaily[day],SummaryDaily[Total site_conversion_rate],0)</f>
        <v>7.246376811594203E-3</v>
      </c>
      <c r="H182" s="12">
        <f>TableDailySummary[[#This Row],[Órden promedio totales]]*TableDailySummary[[#This Row],[CR totales]]</f>
        <v>675.92255072463774</v>
      </c>
      <c r="I182" s="12">
        <f>_xlfn.XLOOKUP(TableDailySummary[[#This Row],[Fecha]],SummaryDaily[day],SummaryDaily[new_net_sales],0)</f>
        <v>439495.8</v>
      </c>
      <c r="J182" s="12">
        <f>_xlfn.XLOOKUP(TableDailySummary[[#This Row],[Fecha]],SummaryDaily[day],SummaryDaily[new_orders],0)</f>
        <v>7</v>
      </c>
      <c r="K182" s="12">
        <f>_xlfn.XLOOKUP(TableDailySummary[[#This Row],[Fecha]],SummaryDaily[day],SummaryDaily[new_average_order_value],0)</f>
        <v>62785.114000000001</v>
      </c>
      <c r="L182" s="12">
        <f>_xlfn.XLOOKUP(TableDailySummary[[#This Row],[Fecha]],SummaryDaily[day],SummaryDaily[Online Store_net_sales],0)</f>
        <v>411764.71</v>
      </c>
      <c r="M182" s="12">
        <f>_xlfn.XLOOKUP(TableDailySummary[[#This Row],[Fecha]],SummaryDaily[day],SummaryDaily[Online Store_orders],0)</f>
        <v>5</v>
      </c>
      <c r="N182" s="12">
        <f>_xlfn.XLOOKUP(TableDailySummary[[#This Row],[Fecha]],SummaryDaily[day],SummaryDaily[Online Store_average_order_value],0)</f>
        <v>82352.941999999995</v>
      </c>
      <c r="O182" s="12">
        <f>_xlfn.XLOOKUP(TableDailySummary[[#This Row],[Fecha]],SummaryDaily[day],SummaryDaily[Tienda 81_net_sales],0)</f>
        <v>852100.85</v>
      </c>
      <c r="P182" s="12">
        <f>_xlfn.XLOOKUP(TableDailySummary[[#This Row],[Fecha]],SummaryDaily[day],SummaryDaily[Tienda 81_orders],0)</f>
        <v>8</v>
      </c>
      <c r="Q182" s="12">
        <f>_xlfn.XLOOKUP(TableDailySummary[[#This Row],[Fecha]],SummaryDaily[day],SummaryDaily[Tienda 81_average_order_value],0)</f>
        <v>106512.606</v>
      </c>
      <c r="R182" s="12">
        <f>_xlfn.XLOOKUP(TableDailySummary[[#This Row],[Fecha]],SummaryDaily[day],SummaryDaily[Rappi_net_sales],0)</f>
        <v>42016.81</v>
      </c>
      <c r="S182" s="12">
        <f>_xlfn.XLOOKUP(TableDailySummary[[#This Row],[Fecha]],SummaryDaily[day],SummaryDaily[Rappi_orders],0)</f>
        <v>1</v>
      </c>
      <c r="T182" s="12">
        <f>_xlfn.XLOOKUP(TableDailySummary[[#This Row],[Fecha]],SummaryDaily[day],SummaryDaily[Rappi_average_order_value],0)</f>
        <v>42016.81</v>
      </c>
      <c r="U182" s="12">
        <f>_xlfn.XLOOKUP(TableDailySummary[[#This Row],[Fecha]],SummaryDaily[day],SummaryDaily[Corporativo no tienda_net_sales],0)</f>
        <v>0</v>
      </c>
      <c r="V182" s="12">
        <f>_xlfn.XLOOKUP(TableDailySummary[[#This Row],[Fecha]],SummaryDaily[day],SummaryDaily[Corporativo no tienda_orders],0)</f>
        <v>0</v>
      </c>
      <c r="W182" s="12">
        <f>_xlfn.XLOOKUP(TableDailySummary[[#This Row],[Fecha]],SummaryDaily[day],SummaryDaily[Corporativo no tienda_average_order_value],0)</f>
        <v>0</v>
      </c>
      <c r="X182" s="12">
        <f>_xlfn.XLOOKUP(TableDailySummary[[#This Row],[Fecha]],SummaryDaily[day],SummaryDaily[GoogleAdsOperation.Cost],0)</f>
        <v>84188.59</v>
      </c>
      <c r="Y182" s="12">
        <f>SUMIFS(SalesByUTMDaily[google],SalesByUTMDaily[day],TableDailySummary[[#This Row],[Fecha]])</f>
        <v>0</v>
      </c>
      <c r="Z182" s="12">
        <f>_xlfn.XLOOKUP(TableDailySummary[[#This Row],[Fecha]],SummaryDaily[day],SummaryDaily[MetaAdsOperation.spend],0)</f>
        <v>49067</v>
      </c>
      <c r="AA182" s="12">
        <f>SUMIFS(SalesByUTMDaily[facebook],SalesByUTMDaily[day],TableDailySummary[[#This Row],[Fecha]])</f>
        <v>79000</v>
      </c>
      <c r="AB182" s="12">
        <f>TableDailySummary[[#This Row],[Inversión google ads]]+TableDailySummary[[#This Row],[Inversión meta ads]]</f>
        <v>133255.59</v>
      </c>
      <c r="AC182" s="12">
        <f>TableDailySummary[[#This Row],[Ventas google ads]]+TableDailySummary[[#This Row],[Ventas meta ads]]</f>
        <v>79000</v>
      </c>
      <c r="AD182" s="14">
        <f>IFERROR(TableDailySummary[[#This Row],[Ventas publicidad]]/TableDailySummary[[#This Row],[Inversión publicidad]],0)</f>
        <v>0.59284567349107087</v>
      </c>
      <c r="AE182" s="14">
        <f>IFERROR(TableDailySummary[[#This Row],[Ventas primer cliente]]/TableDailySummary[[#This Row],[Inversión publicidad]],0)</f>
        <v>3.2981415638923663</v>
      </c>
      <c r="AF182" s="14"/>
      <c r="AG182" s="12"/>
      <c r="AM182" s="12">
        <f>_xlfn.XLOOKUP(TableDailySummary[[#This Row],[Fecha]],SummaryDaily[day],SummaryDaily[net_sales_with_cost_recorded],0)</f>
        <v>1283193.29</v>
      </c>
      <c r="AN182" s="12">
        <f>_xlfn.XLOOKUP(TableDailySummary[[#This Row],[Fecha]],SummaryDaily[day],SummaryDaily[cost_of_goods_sold],0)</f>
        <v>272951</v>
      </c>
      <c r="AO182" s="12">
        <f>_xlfn.XLOOKUP(TableDailySummary[[#This Row],[Fecha]],SummaryDaily[day],SummaryDaily[gross_profit],0)</f>
        <v>1010242.29</v>
      </c>
      <c r="AP182" s="18">
        <f>IFERROR(TableDailySummary[[#This Row],[Utilidad bruta]]/TableDailySummary[[#This Row],[Ventas netas con costo registrado]],0)</f>
        <v>0.78728769692989897</v>
      </c>
    </row>
    <row r="183" spans="2:42" x14ac:dyDescent="0.2">
      <c r="B183" s="15" cm="1">
        <f t="array" ref="B183">MIN(SummaryDaily[day]) + (ROW(TableDailySummary[#This Row]) - ROW(TableDailySummary[[#Headers],[Dia]]) - 1)</f>
        <v>45954</v>
      </c>
      <c r="C183" s="6">
        <f>TableDailySummary[[#This Row],[Dia]]</f>
        <v>45954</v>
      </c>
      <c r="D183" s="12">
        <f>_xlfn.XLOOKUP(TableDailySummary[[#This Row],[Fecha]],SummaryDaily[day],SummaryDaily[net_sales],0)</f>
        <v>2044411.79</v>
      </c>
      <c r="E183" s="12">
        <f>_xlfn.XLOOKUP(TableDailySummary[[#This Row],[Fecha]],SummaryDaily[day],SummaryDaily[orders],0)</f>
        <v>21</v>
      </c>
      <c r="F183" s="12">
        <f>_xlfn.XLOOKUP(TableDailySummary[[#This Row],[Fecha]],SummaryDaily[day],SummaryDaily[average_order_value],0)</f>
        <v>97352.941999999995</v>
      </c>
      <c r="G183" s="24">
        <f>_xlfn.XLOOKUP(TableDailySummary[[#This Row],[Fecha]],SummaryDaily[day],SummaryDaily[Total site_conversion_rate],0)</f>
        <v>3.8535645472061657E-3</v>
      </c>
      <c r="H183" s="12">
        <f>TableDailySummary[[#This Row],[Órden promedio totales]]*TableDailySummary[[#This Row],[CR totales]]</f>
        <v>375.15584585741811</v>
      </c>
      <c r="I183" s="12">
        <f>_xlfn.XLOOKUP(TableDailySummary[[#This Row],[Fecha]],SummaryDaily[day],SummaryDaily[new_net_sales],0)</f>
        <v>986428.58</v>
      </c>
      <c r="J183" s="12">
        <f>_xlfn.XLOOKUP(TableDailySummary[[#This Row],[Fecha]],SummaryDaily[day],SummaryDaily[new_orders],0)</f>
        <v>9</v>
      </c>
      <c r="K183" s="12">
        <f>_xlfn.XLOOKUP(TableDailySummary[[#This Row],[Fecha]],SummaryDaily[day],SummaryDaily[new_average_order_value],0)</f>
        <v>109603.175</v>
      </c>
      <c r="L183" s="12">
        <f>_xlfn.XLOOKUP(TableDailySummary[[#This Row],[Fecha]],SummaryDaily[day],SummaryDaily[Online Store_net_sales],0)</f>
        <v>336134.45</v>
      </c>
      <c r="M183" s="12">
        <f>_xlfn.XLOOKUP(TableDailySummary[[#This Row],[Fecha]],SummaryDaily[day],SummaryDaily[Online Store_orders],0)</f>
        <v>2</v>
      </c>
      <c r="N183" s="12">
        <f>_xlfn.XLOOKUP(TableDailySummary[[#This Row],[Fecha]],SummaryDaily[day],SummaryDaily[Online Store_average_order_value],0)</f>
        <v>168067.22500000001</v>
      </c>
      <c r="O183" s="12">
        <f>_xlfn.XLOOKUP(TableDailySummary[[#This Row],[Fecha]],SummaryDaily[day],SummaryDaily[Tienda 81_net_sales],0)</f>
        <v>1708277.34</v>
      </c>
      <c r="P183" s="12">
        <f>_xlfn.XLOOKUP(TableDailySummary[[#This Row],[Fecha]],SummaryDaily[day],SummaryDaily[Tienda 81_orders],0)</f>
        <v>19</v>
      </c>
      <c r="Q183" s="12">
        <f>_xlfn.XLOOKUP(TableDailySummary[[#This Row],[Fecha]],SummaryDaily[day],SummaryDaily[Tienda 81_average_order_value],0)</f>
        <v>89909.332999999999</v>
      </c>
      <c r="R183" s="12">
        <f>_xlfn.XLOOKUP(TableDailySummary[[#This Row],[Fecha]],SummaryDaily[day],SummaryDaily[Rappi_net_sales],0)</f>
        <v>0</v>
      </c>
      <c r="S183" s="12">
        <f>_xlfn.XLOOKUP(TableDailySummary[[#This Row],[Fecha]],SummaryDaily[day],SummaryDaily[Rappi_orders],0)</f>
        <v>0</v>
      </c>
      <c r="T183" s="12">
        <f>_xlfn.XLOOKUP(TableDailySummary[[#This Row],[Fecha]],SummaryDaily[day],SummaryDaily[Rappi_average_order_value],0)</f>
        <v>0</v>
      </c>
      <c r="U183" s="12">
        <f>_xlfn.XLOOKUP(TableDailySummary[[#This Row],[Fecha]],SummaryDaily[day],SummaryDaily[Corporativo no tienda_net_sales],0)</f>
        <v>0</v>
      </c>
      <c r="V183" s="12">
        <f>_xlfn.XLOOKUP(TableDailySummary[[#This Row],[Fecha]],SummaryDaily[day],SummaryDaily[Corporativo no tienda_orders],0)</f>
        <v>0</v>
      </c>
      <c r="W183" s="12">
        <f>_xlfn.XLOOKUP(TableDailySummary[[#This Row],[Fecha]],SummaryDaily[day],SummaryDaily[Corporativo no tienda_average_order_value],0)</f>
        <v>0</v>
      </c>
      <c r="X183" s="12">
        <f>_xlfn.XLOOKUP(TableDailySummary[[#This Row],[Fecha]],SummaryDaily[day],SummaryDaily[GoogleAdsOperation.Cost],0)</f>
        <v>51077.5</v>
      </c>
      <c r="Y183" s="12">
        <f>SUMIFS(SalesByUTMDaily[google],SalesByUTMDaily[day],TableDailySummary[[#This Row],[Fecha]])</f>
        <v>0</v>
      </c>
      <c r="Z183" s="12">
        <f>_xlfn.XLOOKUP(TableDailySummary[[#This Row],[Fecha]],SummaryDaily[day],SummaryDaily[MetaAdsOperation.spend],0)</f>
        <v>50109</v>
      </c>
      <c r="AA183" s="12">
        <f>SUMIFS(SalesByUTMDaily[facebook],SalesByUTMDaily[day],TableDailySummary[[#This Row],[Fecha]])</f>
        <v>0</v>
      </c>
      <c r="AB183" s="12">
        <f>TableDailySummary[[#This Row],[Inversión google ads]]+TableDailySummary[[#This Row],[Inversión meta ads]]</f>
        <v>101186.5</v>
      </c>
      <c r="AC183" s="12">
        <f>TableDailySummary[[#This Row],[Ventas google ads]]+TableDailySummary[[#This Row],[Ventas meta ads]]</f>
        <v>0</v>
      </c>
      <c r="AD183" s="14">
        <f>IFERROR(TableDailySummary[[#This Row],[Ventas publicidad]]/TableDailySummary[[#This Row],[Inversión publicidad]],0)</f>
        <v>0</v>
      </c>
      <c r="AE183" s="14">
        <f>IFERROR(TableDailySummary[[#This Row],[Ventas primer cliente]]/TableDailySummary[[#This Row],[Inversión publicidad]],0)</f>
        <v>9.748618442183492</v>
      </c>
      <c r="AF183" s="14"/>
      <c r="AG183" s="12"/>
      <c r="AM183" s="12">
        <f>_xlfn.XLOOKUP(TableDailySummary[[#This Row],[Fecha]],SummaryDaily[day],SummaryDaily[net_sales_with_cost_recorded],0)</f>
        <v>1966722.71</v>
      </c>
      <c r="AN183" s="12">
        <f>_xlfn.XLOOKUP(TableDailySummary[[#This Row],[Fecha]],SummaryDaily[day],SummaryDaily[cost_of_goods_sold],0)</f>
        <v>588605</v>
      </c>
      <c r="AO183" s="12">
        <f>_xlfn.XLOOKUP(TableDailySummary[[#This Row],[Fecha]],SummaryDaily[day],SummaryDaily[gross_profit],0)</f>
        <v>1378117.71</v>
      </c>
      <c r="AP183" s="18">
        <f>IFERROR(TableDailySummary[[#This Row],[Utilidad bruta]]/TableDailySummary[[#This Row],[Ventas netas con costo registrado]],0)</f>
        <v>0.70071785056064151</v>
      </c>
    </row>
    <row r="184" spans="2:42" x14ac:dyDescent="0.2">
      <c r="B184" s="15" cm="1">
        <f t="array" ref="B184">MIN(SummaryDaily[day]) + (ROW(TableDailySummary[#This Row]) - ROW(TableDailySummary[[#Headers],[Dia]]) - 1)</f>
        <v>45955</v>
      </c>
      <c r="C184" s="6">
        <f>TableDailySummary[[#This Row],[Dia]]</f>
        <v>45955</v>
      </c>
      <c r="D184" s="12">
        <f>_xlfn.XLOOKUP(TableDailySummary[[#This Row],[Fecha]],SummaryDaily[day],SummaryDaily[net_sales],0)</f>
        <v>3070588.26</v>
      </c>
      <c r="E184" s="12">
        <f>_xlfn.XLOOKUP(TableDailySummary[[#This Row],[Fecha]],SummaryDaily[day],SummaryDaily[orders],0)</f>
        <v>23</v>
      </c>
      <c r="F184" s="12">
        <f>_xlfn.XLOOKUP(TableDailySummary[[#This Row],[Fecha]],SummaryDaily[day],SummaryDaily[average_order_value],0)</f>
        <v>133503.837</v>
      </c>
      <c r="G184" s="24">
        <f>_xlfn.XLOOKUP(TableDailySummary[[#This Row],[Fecha]],SummaryDaily[day],SummaryDaily[Total site_conversion_rate],0)</f>
        <v>8.9126559714795012E-3</v>
      </c>
      <c r="H184" s="12">
        <f>TableDailySummary[[#This Row],[Órden promedio totales]]*TableDailySummary[[#This Row],[CR totales]]</f>
        <v>1189.8737700534759</v>
      </c>
      <c r="I184" s="12">
        <f>_xlfn.XLOOKUP(TableDailySummary[[#This Row],[Fecha]],SummaryDaily[day],SummaryDaily[new_net_sales],0)</f>
        <v>1973949.59</v>
      </c>
      <c r="J184" s="12">
        <f>_xlfn.XLOOKUP(TableDailySummary[[#This Row],[Fecha]],SummaryDaily[day],SummaryDaily[new_orders],0)</f>
        <v>10</v>
      </c>
      <c r="K184" s="12">
        <f>_xlfn.XLOOKUP(TableDailySummary[[#This Row],[Fecha]],SummaryDaily[day],SummaryDaily[new_average_order_value],0)</f>
        <v>197394.959</v>
      </c>
      <c r="L184" s="12">
        <f>_xlfn.XLOOKUP(TableDailySummary[[#This Row],[Fecha]],SummaryDaily[day],SummaryDaily[Online Store_net_sales],0)</f>
        <v>1089915.97</v>
      </c>
      <c r="M184" s="12">
        <f>_xlfn.XLOOKUP(TableDailySummary[[#This Row],[Fecha]],SummaryDaily[day],SummaryDaily[Online Store_orders],0)</f>
        <v>4</v>
      </c>
      <c r="N184" s="12">
        <f>_xlfn.XLOOKUP(TableDailySummary[[#This Row],[Fecha]],SummaryDaily[day],SummaryDaily[Online Store_average_order_value],0)</f>
        <v>272478.99200000003</v>
      </c>
      <c r="O184" s="12">
        <f>_xlfn.XLOOKUP(TableDailySummary[[#This Row],[Fecha]],SummaryDaily[day],SummaryDaily[Tienda 81_net_sales],0)</f>
        <v>1980672.29</v>
      </c>
      <c r="P184" s="12">
        <f>_xlfn.XLOOKUP(TableDailySummary[[#This Row],[Fecha]],SummaryDaily[day],SummaryDaily[Tienda 81_orders],0)</f>
        <v>19</v>
      </c>
      <c r="Q184" s="12">
        <f>_xlfn.XLOOKUP(TableDailySummary[[#This Row],[Fecha]],SummaryDaily[day],SummaryDaily[Tienda 81_average_order_value],0)</f>
        <v>104245.91</v>
      </c>
      <c r="R184" s="12">
        <f>_xlfn.XLOOKUP(TableDailySummary[[#This Row],[Fecha]],SummaryDaily[day],SummaryDaily[Rappi_net_sales],0)</f>
        <v>0</v>
      </c>
      <c r="S184" s="12">
        <f>_xlfn.XLOOKUP(TableDailySummary[[#This Row],[Fecha]],SummaryDaily[day],SummaryDaily[Rappi_orders],0)</f>
        <v>0</v>
      </c>
      <c r="T184" s="12">
        <f>_xlfn.XLOOKUP(TableDailySummary[[#This Row],[Fecha]],SummaryDaily[day],SummaryDaily[Rappi_average_order_value],0)</f>
        <v>0</v>
      </c>
      <c r="U184" s="12">
        <f>_xlfn.XLOOKUP(TableDailySummary[[#This Row],[Fecha]],SummaryDaily[day],SummaryDaily[Corporativo no tienda_net_sales],0)</f>
        <v>0</v>
      </c>
      <c r="V184" s="12">
        <f>_xlfn.XLOOKUP(TableDailySummary[[#This Row],[Fecha]],SummaryDaily[day],SummaryDaily[Corporativo no tienda_orders],0)</f>
        <v>0</v>
      </c>
      <c r="W184" s="12">
        <f>_xlfn.XLOOKUP(TableDailySummary[[#This Row],[Fecha]],SummaryDaily[day],SummaryDaily[Corporativo no tienda_average_order_value],0)</f>
        <v>0</v>
      </c>
      <c r="X184" s="12">
        <f>_xlfn.XLOOKUP(TableDailySummary[[#This Row],[Fecha]],SummaryDaily[day],SummaryDaily[GoogleAdsOperation.Cost],0)</f>
        <v>86075.1</v>
      </c>
      <c r="Y184" s="12">
        <f>SUMIFS(SalesByUTMDaily[google],SalesByUTMDaily[day],TableDailySummary[[#This Row],[Fecha]])</f>
        <v>0</v>
      </c>
      <c r="Z184" s="12">
        <f>_xlfn.XLOOKUP(TableDailySummary[[#This Row],[Fecha]],SummaryDaily[day],SummaryDaily[MetaAdsOperation.spend],0)</f>
        <v>52490</v>
      </c>
      <c r="AA184" s="12">
        <f>SUMIFS(SalesByUTMDaily[facebook],SalesByUTMDaily[day],TableDailySummary[[#This Row],[Fecha]])</f>
        <v>79500</v>
      </c>
      <c r="AB184" s="12">
        <f>TableDailySummary[[#This Row],[Inversión google ads]]+TableDailySummary[[#This Row],[Inversión meta ads]]</f>
        <v>138565.1</v>
      </c>
      <c r="AC184" s="12">
        <f>TableDailySummary[[#This Row],[Ventas google ads]]+TableDailySummary[[#This Row],[Ventas meta ads]]</f>
        <v>79500</v>
      </c>
      <c r="AD184" s="14">
        <f>IFERROR(TableDailySummary[[#This Row],[Ventas publicidad]]/TableDailySummary[[#This Row],[Inversión publicidad]],0)</f>
        <v>0.57373754285891609</v>
      </c>
      <c r="AE184" s="14">
        <f>IFERROR(TableDailySummary[[#This Row],[Ventas primer cliente]]/TableDailySummary[[#This Row],[Inversión publicidad]],0)</f>
        <v>14.245647641433521</v>
      </c>
      <c r="AF184" s="14"/>
      <c r="AG184" s="12"/>
      <c r="AM184" s="12">
        <f>_xlfn.XLOOKUP(TableDailySummary[[#This Row],[Fecha]],SummaryDaily[day],SummaryDaily[net_sales_with_cost_recorded],0)</f>
        <v>2989075.65</v>
      </c>
      <c r="AN184" s="12">
        <f>_xlfn.XLOOKUP(TableDailySummary[[#This Row],[Fecha]],SummaryDaily[day],SummaryDaily[cost_of_goods_sold],0)</f>
        <v>1088155</v>
      </c>
      <c r="AO184" s="12">
        <f>_xlfn.XLOOKUP(TableDailySummary[[#This Row],[Fecha]],SummaryDaily[day],SummaryDaily[gross_profit],0)</f>
        <v>1900920.65</v>
      </c>
      <c r="AP184" s="18">
        <f>IFERROR(TableDailySummary[[#This Row],[Utilidad bruta]]/TableDailySummary[[#This Row],[Ventas netas con costo registrado]],0)</f>
        <v>0.63595601871100182</v>
      </c>
    </row>
    <row r="185" spans="2:42" x14ac:dyDescent="0.2">
      <c r="B185" s="15" cm="1">
        <f t="array" ref="B185">MIN(SummaryDaily[day]) + (ROW(TableDailySummary[#This Row]) - ROW(TableDailySummary[[#Headers],[Dia]]) - 1)</f>
        <v>45956</v>
      </c>
      <c r="C185" s="6">
        <f>TableDailySummary[[#This Row],[Dia]]</f>
        <v>45956</v>
      </c>
      <c r="D185" s="12">
        <f>_xlfn.XLOOKUP(TableDailySummary[[#This Row],[Fecha]],SummaryDaily[day],SummaryDaily[net_sales],0)</f>
        <v>1874722.69</v>
      </c>
      <c r="E185" s="12">
        <f>_xlfn.XLOOKUP(TableDailySummary[[#This Row],[Fecha]],SummaryDaily[day],SummaryDaily[orders],0)</f>
        <v>13</v>
      </c>
      <c r="F185" s="12">
        <f>_xlfn.XLOOKUP(TableDailySummary[[#This Row],[Fecha]],SummaryDaily[day],SummaryDaily[average_order_value],0)</f>
        <v>144209.43700000001</v>
      </c>
      <c r="G185" s="24">
        <f>_xlfn.XLOOKUP(TableDailySummary[[#This Row],[Fecha]],SummaryDaily[day],SummaryDaily[Total site_conversion_rate],0)</f>
        <v>5.9347181008902079E-3</v>
      </c>
      <c r="H185" s="12">
        <f>TableDailySummary[[#This Row],[Órden promedio totales]]*TableDailySummary[[#This Row],[CR totales]]</f>
        <v>855.84235608308609</v>
      </c>
      <c r="I185" s="12">
        <f>_xlfn.XLOOKUP(TableDailySummary[[#This Row],[Fecha]],SummaryDaily[day],SummaryDaily[new_net_sales],0)</f>
        <v>1313537.82</v>
      </c>
      <c r="J185" s="12">
        <f>_xlfn.XLOOKUP(TableDailySummary[[#This Row],[Fecha]],SummaryDaily[day],SummaryDaily[new_orders],0)</f>
        <v>8</v>
      </c>
      <c r="K185" s="12">
        <f>_xlfn.XLOOKUP(TableDailySummary[[#This Row],[Fecha]],SummaryDaily[day],SummaryDaily[new_average_order_value],0)</f>
        <v>164192.22700000001</v>
      </c>
      <c r="L185" s="12">
        <f>_xlfn.XLOOKUP(TableDailySummary[[#This Row],[Fecha]],SummaryDaily[day],SummaryDaily[Online Store_net_sales],0)</f>
        <v>584033.62</v>
      </c>
      <c r="M185" s="12">
        <f>_xlfn.XLOOKUP(TableDailySummary[[#This Row],[Fecha]],SummaryDaily[day],SummaryDaily[Online Store_orders],0)</f>
        <v>4</v>
      </c>
      <c r="N185" s="12">
        <f>_xlfn.XLOOKUP(TableDailySummary[[#This Row],[Fecha]],SummaryDaily[day],SummaryDaily[Online Store_average_order_value],0)</f>
        <v>146008.405</v>
      </c>
      <c r="O185" s="12">
        <f>_xlfn.XLOOKUP(TableDailySummary[[#This Row],[Fecha]],SummaryDaily[day],SummaryDaily[Tienda 81_net_sales],0)</f>
        <v>1290689.07</v>
      </c>
      <c r="P185" s="12">
        <f>_xlfn.XLOOKUP(TableDailySummary[[#This Row],[Fecha]],SummaryDaily[day],SummaryDaily[Tienda 81_orders],0)</f>
        <v>9</v>
      </c>
      <c r="Q185" s="12">
        <f>_xlfn.XLOOKUP(TableDailySummary[[#This Row],[Fecha]],SummaryDaily[day],SummaryDaily[Tienda 81_average_order_value],0)</f>
        <v>143409.89600000001</v>
      </c>
      <c r="R185" s="12">
        <f>_xlfn.XLOOKUP(TableDailySummary[[#This Row],[Fecha]],SummaryDaily[day],SummaryDaily[Rappi_net_sales],0)</f>
        <v>0</v>
      </c>
      <c r="S185" s="12">
        <f>_xlfn.XLOOKUP(TableDailySummary[[#This Row],[Fecha]],SummaryDaily[day],SummaryDaily[Rappi_orders],0)</f>
        <v>0</v>
      </c>
      <c r="T185" s="12">
        <f>_xlfn.XLOOKUP(TableDailySummary[[#This Row],[Fecha]],SummaryDaily[day],SummaryDaily[Rappi_average_order_value],0)</f>
        <v>0</v>
      </c>
      <c r="U185" s="12">
        <f>_xlfn.XLOOKUP(TableDailySummary[[#This Row],[Fecha]],SummaryDaily[day],SummaryDaily[Corporativo no tienda_net_sales],0)</f>
        <v>0</v>
      </c>
      <c r="V185" s="12">
        <f>_xlfn.XLOOKUP(TableDailySummary[[#This Row],[Fecha]],SummaryDaily[day],SummaryDaily[Corporativo no tienda_orders],0)</f>
        <v>0</v>
      </c>
      <c r="W185" s="12">
        <f>_xlfn.XLOOKUP(TableDailySummary[[#This Row],[Fecha]],SummaryDaily[day],SummaryDaily[Corporativo no tienda_average_order_value],0)</f>
        <v>0</v>
      </c>
      <c r="X185" s="12">
        <f>_xlfn.XLOOKUP(TableDailySummary[[#This Row],[Fecha]],SummaryDaily[day],SummaryDaily[GoogleAdsOperation.Cost],0)</f>
        <v>79838.58</v>
      </c>
      <c r="Y185" s="12">
        <f>SUMIFS(SalesByUTMDaily[google],SalesByUTMDaily[day],TableDailySummary[[#This Row],[Fecha]])</f>
        <v>0</v>
      </c>
      <c r="Z185" s="12">
        <f>_xlfn.XLOOKUP(TableDailySummary[[#This Row],[Fecha]],SummaryDaily[day],SummaryDaily[MetaAdsOperation.spend],0)</f>
        <v>57184</v>
      </c>
      <c r="AA185" s="12">
        <f>SUMIFS(SalesByUTMDaily[facebook],SalesByUTMDaily[day],TableDailySummary[[#This Row],[Fecha]])</f>
        <v>129000</v>
      </c>
      <c r="AB185" s="12">
        <f>TableDailySummary[[#This Row],[Inversión google ads]]+TableDailySummary[[#This Row],[Inversión meta ads]]</f>
        <v>137022.58000000002</v>
      </c>
      <c r="AC185" s="12">
        <f>TableDailySummary[[#This Row],[Ventas google ads]]+TableDailySummary[[#This Row],[Ventas meta ads]]</f>
        <v>129000</v>
      </c>
      <c r="AD185" s="14">
        <f>IFERROR(TableDailySummary[[#This Row],[Ventas publicidad]]/TableDailySummary[[#This Row],[Inversión publicidad]],0)</f>
        <v>0.94145067185277043</v>
      </c>
      <c r="AE185" s="14">
        <f>IFERROR(TableDailySummary[[#This Row],[Ventas primer cliente]]/TableDailySummary[[#This Row],[Inversión publicidad]],0)</f>
        <v>9.5862873111862292</v>
      </c>
      <c r="AF185" s="14"/>
      <c r="AG185" s="12"/>
      <c r="AM185" s="12">
        <f>_xlfn.XLOOKUP(TableDailySummary[[#This Row],[Fecha]],SummaryDaily[day],SummaryDaily[net_sales_with_cost_recorded],0)</f>
        <v>1852033.61</v>
      </c>
      <c r="AN185" s="12">
        <f>_xlfn.XLOOKUP(TableDailySummary[[#This Row],[Fecha]],SummaryDaily[day],SummaryDaily[cost_of_goods_sold],0)</f>
        <v>722460</v>
      </c>
      <c r="AO185" s="12">
        <f>_xlfn.XLOOKUP(TableDailySummary[[#This Row],[Fecha]],SummaryDaily[day],SummaryDaily[gross_profit],0)</f>
        <v>1129573.6100000001</v>
      </c>
      <c r="AP185" s="18">
        <f>IFERROR(TableDailySummary[[#This Row],[Utilidad bruta]]/TableDailySummary[[#This Row],[Ventas netas con costo registrado]],0)</f>
        <v>0.60990988711052607</v>
      </c>
    </row>
    <row r="186" spans="2:42" x14ac:dyDescent="0.2">
      <c r="B186" s="15" cm="1">
        <f t="array" ref="B186">MIN(SummaryDaily[day]) + (ROW(TableDailySummary[#This Row]) - ROW(TableDailySummary[[#Headers],[Dia]]) - 1)</f>
        <v>45957</v>
      </c>
      <c r="C186" s="6">
        <f>TableDailySummary[[#This Row],[Dia]]</f>
        <v>45957</v>
      </c>
      <c r="D186" s="12">
        <f>_xlfn.XLOOKUP(TableDailySummary[[#This Row],[Fecha]],SummaryDaily[day],SummaryDaily[net_sales],0)</f>
        <v>2214487.39</v>
      </c>
      <c r="E186" s="12">
        <f>_xlfn.XLOOKUP(TableDailySummary[[#This Row],[Fecha]],SummaryDaily[day],SummaryDaily[orders],0)</f>
        <v>17</v>
      </c>
      <c r="F186" s="12">
        <f>_xlfn.XLOOKUP(TableDailySummary[[#This Row],[Fecha]],SummaryDaily[day],SummaryDaily[average_order_value],0)</f>
        <v>130708.848</v>
      </c>
      <c r="G186" s="24">
        <f>_xlfn.XLOOKUP(TableDailySummary[[#This Row],[Fecha]],SummaryDaily[day],SummaryDaily[Total site_conversion_rate],0)</f>
        <v>1.0463378176382661E-2</v>
      </c>
      <c r="H186" s="12">
        <f>TableDailySummary[[#This Row],[Órden promedio totales]]*TableDailySummary[[#This Row],[CR totales]]</f>
        <v>1367.6561076233183</v>
      </c>
      <c r="I186" s="12">
        <f>_xlfn.XLOOKUP(TableDailySummary[[#This Row],[Fecha]],SummaryDaily[day],SummaryDaily[new_net_sales],0)</f>
        <v>2011126.04</v>
      </c>
      <c r="J186" s="12">
        <f>_xlfn.XLOOKUP(TableDailySummary[[#This Row],[Fecha]],SummaryDaily[day],SummaryDaily[new_orders],0)</f>
        <v>13</v>
      </c>
      <c r="K186" s="12">
        <f>_xlfn.XLOOKUP(TableDailySummary[[#This Row],[Fecha]],SummaryDaily[day],SummaryDaily[new_average_order_value],0)</f>
        <v>155283.774</v>
      </c>
      <c r="L186" s="12">
        <f>_xlfn.XLOOKUP(TableDailySummary[[#This Row],[Fecha]],SummaryDaily[day],SummaryDaily[Online Store_net_sales],0)</f>
        <v>1337092.44</v>
      </c>
      <c r="M186" s="12">
        <f>_xlfn.XLOOKUP(TableDailySummary[[#This Row],[Fecha]],SummaryDaily[day],SummaryDaily[Online Store_orders],0)</f>
        <v>6</v>
      </c>
      <c r="N186" s="12">
        <f>_xlfn.XLOOKUP(TableDailySummary[[#This Row],[Fecha]],SummaryDaily[day],SummaryDaily[Online Store_average_order_value],0)</f>
        <v>222848.74</v>
      </c>
      <c r="O186" s="12">
        <f>_xlfn.XLOOKUP(TableDailySummary[[#This Row],[Fecha]],SummaryDaily[day],SummaryDaily[Tienda 81_net_sales],0)</f>
        <v>877394.95</v>
      </c>
      <c r="P186" s="12">
        <f>_xlfn.XLOOKUP(TableDailySummary[[#This Row],[Fecha]],SummaryDaily[day],SummaryDaily[Tienda 81_orders],0)</f>
        <v>11</v>
      </c>
      <c r="Q186" s="12">
        <f>_xlfn.XLOOKUP(TableDailySummary[[#This Row],[Fecha]],SummaryDaily[day],SummaryDaily[Tienda 81_average_order_value],0)</f>
        <v>80450.725000000006</v>
      </c>
      <c r="R186" s="12">
        <f>_xlfn.XLOOKUP(TableDailySummary[[#This Row],[Fecha]],SummaryDaily[day],SummaryDaily[Rappi_net_sales],0)</f>
        <v>0</v>
      </c>
      <c r="S186" s="12">
        <f>_xlfn.XLOOKUP(TableDailySummary[[#This Row],[Fecha]],SummaryDaily[day],SummaryDaily[Rappi_orders],0)</f>
        <v>0</v>
      </c>
      <c r="T186" s="12">
        <f>_xlfn.XLOOKUP(TableDailySummary[[#This Row],[Fecha]],SummaryDaily[day],SummaryDaily[Rappi_average_order_value],0)</f>
        <v>0</v>
      </c>
      <c r="U186" s="12">
        <f>_xlfn.XLOOKUP(TableDailySummary[[#This Row],[Fecha]],SummaryDaily[day],SummaryDaily[Corporativo no tienda_net_sales],0)</f>
        <v>0</v>
      </c>
      <c r="V186" s="12">
        <f>_xlfn.XLOOKUP(TableDailySummary[[#This Row],[Fecha]],SummaryDaily[day],SummaryDaily[Corporativo no tienda_orders],0)</f>
        <v>0</v>
      </c>
      <c r="W186" s="12">
        <f>_xlfn.XLOOKUP(TableDailySummary[[#This Row],[Fecha]],SummaryDaily[day],SummaryDaily[Corporativo no tienda_average_order_value],0)</f>
        <v>0</v>
      </c>
      <c r="X186" s="12">
        <f>_xlfn.XLOOKUP(TableDailySummary[[#This Row],[Fecha]],SummaryDaily[day],SummaryDaily[GoogleAdsOperation.Cost],0)</f>
        <v>86310.64</v>
      </c>
      <c r="Y186" s="12">
        <f>SUMIFS(SalesByUTMDaily[google],SalesByUTMDaily[day],TableDailySummary[[#This Row],[Fecha]])</f>
        <v>0</v>
      </c>
      <c r="Z186" s="12">
        <f>_xlfn.XLOOKUP(TableDailySummary[[#This Row],[Fecha]],SummaryDaily[day],SummaryDaily[MetaAdsOperation.spend],0)</f>
        <v>54244</v>
      </c>
      <c r="AA186" s="12">
        <f>SUMIFS(SalesByUTMDaily[facebook],SalesByUTMDaily[day],TableDailySummary[[#This Row],[Fecha]])</f>
        <v>0</v>
      </c>
      <c r="AB186" s="12">
        <f>TableDailySummary[[#This Row],[Inversión google ads]]+TableDailySummary[[#This Row],[Inversión meta ads]]</f>
        <v>140554.64000000001</v>
      </c>
      <c r="AC186" s="12">
        <f>TableDailySummary[[#This Row],[Ventas google ads]]+TableDailySummary[[#This Row],[Ventas meta ads]]</f>
        <v>0</v>
      </c>
      <c r="AD186" s="14">
        <f>IFERROR(TableDailySummary[[#This Row],[Ventas publicidad]]/TableDailySummary[[#This Row],[Inversión publicidad]],0)</f>
        <v>0</v>
      </c>
      <c r="AE186" s="14">
        <f>IFERROR(TableDailySummary[[#This Row],[Ventas primer cliente]]/TableDailySummary[[#This Row],[Inversión publicidad]],0)</f>
        <v>14.308499811888101</v>
      </c>
      <c r="AF186" s="14"/>
      <c r="AG186" s="12"/>
      <c r="AM186" s="12">
        <f>_xlfn.XLOOKUP(TableDailySummary[[#This Row],[Fecha]],SummaryDaily[day],SummaryDaily[net_sales_with_cost_recorded],0)</f>
        <v>2191798.31</v>
      </c>
      <c r="AN186" s="12">
        <f>_xlfn.XLOOKUP(TableDailySummary[[#This Row],[Fecha]],SummaryDaily[day],SummaryDaily[cost_of_goods_sold],0)</f>
        <v>652067</v>
      </c>
      <c r="AO186" s="12">
        <f>_xlfn.XLOOKUP(TableDailySummary[[#This Row],[Fecha]],SummaryDaily[day],SummaryDaily[gross_profit],0)</f>
        <v>1539731.31</v>
      </c>
      <c r="AP186" s="18">
        <f>IFERROR(TableDailySummary[[#This Row],[Utilidad bruta]]/TableDailySummary[[#This Row],[Ventas netas con costo registrado]],0)</f>
        <v>0.70249680500939893</v>
      </c>
    </row>
    <row r="187" spans="2:42" x14ac:dyDescent="0.2">
      <c r="B187" s="15" cm="1">
        <f t="array" ref="B187">MIN(SummaryDaily[day]) + (ROW(TableDailySummary[#This Row]) - ROW(TableDailySummary[[#Headers],[Dia]]) - 1)</f>
        <v>45958</v>
      </c>
      <c r="C187" s="6">
        <f>TableDailySummary[[#This Row],[Dia]]</f>
        <v>45958</v>
      </c>
      <c r="D187" s="12">
        <f>_xlfn.XLOOKUP(TableDailySummary[[#This Row],[Fecha]],SummaryDaily[day],SummaryDaily[net_sales],0)</f>
        <v>3731899.18</v>
      </c>
      <c r="E187" s="12">
        <f>_xlfn.XLOOKUP(TableDailySummary[[#This Row],[Fecha]],SummaryDaily[day],SummaryDaily[orders],0)</f>
        <v>17</v>
      </c>
      <c r="F187" s="12">
        <f>_xlfn.XLOOKUP(TableDailySummary[[#This Row],[Fecha]],SummaryDaily[day],SummaryDaily[average_order_value],0)</f>
        <v>219523.481</v>
      </c>
      <c r="G187" s="24">
        <f>_xlfn.XLOOKUP(TableDailySummary[[#This Row],[Fecha]],SummaryDaily[day],SummaryDaily[Total site_conversion_rate],0)</f>
        <v>9.9833610648918467E-3</v>
      </c>
      <c r="H187" s="12">
        <f>TableDailySummary[[#This Row],[Órden promedio totales]]*TableDailySummary[[#This Row],[CR totales]]</f>
        <v>2191.5821730449252</v>
      </c>
      <c r="I187" s="12">
        <f>_xlfn.XLOOKUP(TableDailySummary[[#This Row],[Fecha]],SummaryDaily[day],SummaryDaily[new_net_sales],0)</f>
        <v>2424243.71</v>
      </c>
      <c r="J187" s="12">
        <f>_xlfn.XLOOKUP(TableDailySummary[[#This Row],[Fecha]],SummaryDaily[day],SummaryDaily[new_orders],0)</f>
        <v>11</v>
      </c>
      <c r="K187" s="12">
        <f>_xlfn.XLOOKUP(TableDailySummary[[#This Row],[Fecha]],SummaryDaily[day],SummaryDaily[new_average_order_value],0)</f>
        <v>220385.791</v>
      </c>
      <c r="L187" s="12">
        <f>_xlfn.XLOOKUP(TableDailySummary[[#This Row],[Fecha]],SummaryDaily[day],SummaryDaily[Online Store_net_sales],0)</f>
        <v>1839075.64</v>
      </c>
      <c r="M187" s="12">
        <f>_xlfn.XLOOKUP(TableDailySummary[[#This Row],[Fecha]],SummaryDaily[day],SummaryDaily[Online Store_orders],0)</f>
        <v>7</v>
      </c>
      <c r="N187" s="12">
        <f>_xlfn.XLOOKUP(TableDailySummary[[#This Row],[Fecha]],SummaryDaily[day],SummaryDaily[Online Store_average_order_value],0)</f>
        <v>262725.09100000001</v>
      </c>
      <c r="O187" s="12">
        <f>_xlfn.XLOOKUP(TableDailySummary[[#This Row],[Fecha]],SummaryDaily[day],SummaryDaily[Tienda 81_net_sales],0)</f>
        <v>1838201.69</v>
      </c>
      <c r="P187" s="12">
        <f>_xlfn.XLOOKUP(TableDailySummary[[#This Row],[Fecha]],SummaryDaily[day],SummaryDaily[Tienda 81_orders],0)</f>
        <v>9</v>
      </c>
      <c r="Q187" s="12">
        <f>_xlfn.XLOOKUP(TableDailySummary[[#This Row],[Fecha]],SummaryDaily[day],SummaryDaily[Tienda 81_average_order_value],0)</f>
        <v>204244.63200000001</v>
      </c>
      <c r="R187" s="12">
        <f>_xlfn.XLOOKUP(TableDailySummary[[#This Row],[Fecha]],SummaryDaily[day],SummaryDaily[Rappi_net_sales],0)</f>
        <v>54621.85</v>
      </c>
      <c r="S187" s="12">
        <f>_xlfn.XLOOKUP(TableDailySummary[[#This Row],[Fecha]],SummaryDaily[day],SummaryDaily[Rappi_orders],0)</f>
        <v>1</v>
      </c>
      <c r="T187" s="12">
        <f>_xlfn.XLOOKUP(TableDailySummary[[#This Row],[Fecha]],SummaryDaily[day],SummaryDaily[Rappi_average_order_value],0)</f>
        <v>54621.85</v>
      </c>
      <c r="U187" s="12">
        <f>_xlfn.XLOOKUP(TableDailySummary[[#This Row],[Fecha]],SummaryDaily[day],SummaryDaily[Corporativo no tienda_net_sales],0)</f>
        <v>0</v>
      </c>
      <c r="V187" s="12">
        <f>_xlfn.XLOOKUP(TableDailySummary[[#This Row],[Fecha]],SummaryDaily[day],SummaryDaily[Corporativo no tienda_orders],0)</f>
        <v>0</v>
      </c>
      <c r="W187" s="12">
        <f>_xlfn.XLOOKUP(TableDailySummary[[#This Row],[Fecha]],SummaryDaily[day],SummaryDaily[Corporativo no tienda_average_order_value],0)</f>
        <v>0</v>
      </c>
      <c r="X187" s="12">
        <f>_xlfn.XLOOKUP(TableDailySummary[[#This Row],[Fecha]],SummaryDaily[day],SummaryDaily[GoogleAdsOperation.Cost],0)</f>
        <v>87078.65</v>
      </c>
      <c r="Y187" s="12">
        <f>SUMIFS(SalesByUTMDaily[google],SalesByUTMDaily[day],TableDailySummary[[#This Row],[Fecha]])</f>
        <v>0</v>
      </c>
      <c r="Z187" s="12">
        <f>_xlfn.XLOOKUP(TableDailySummary[[#This Row],[Fecha]],SummaryDaily[day],SummaryDaily[MetaAdsOperation.spend],0)</f>
        <v>51563</v>
      </c>
      <c r="AA187" s="12">
        <f>SUMIFS(SalesByUTMDaily[facebook],SalesByUTMDaily[day],TableDailySummary[[#This Row],[Fecha]])</f>
        <v>204000</v>
      </c>
      <c r="AB187" s="12">
        <f>TableDailySummary[[#This Row],[Inversión google ads]]+TableDailySummary[[#This Row],[Inversión meta ads]]</f>
        <v>138641.65</v>
      </c>
      <c r="AC187" s="12">
        <f>TableDailySummary[[#This Row],[Ventas google ads]]+TableDailySummary[[#This Row],[Ventas meta ads]]</f>
        <v>204000</v>
      </c>
      <c r="AD187" s="14">
        <f>IFERROR(TableDailySummary[[#This Row],[Ventas publicidad]]/TableDailySummary[[#This Row],[Inversión publicidad]],0)</f>
        <v>1.471419302929531</v>
      </c>
      <c r="AE187" s="14">
        <f>IFERROR(TableDailySummary[[#This Row],[Ventas primer cliente]]/TableDailySummary[[#This Row],[Inversión publicidad]],0)</f>
        <v>17.485681323036765</v>
      </c>
      <c r="AF187" s="14"/>
      <c r="AG187" s="12"/>
      <c r="AM187" s="12">
        <f>_xlfn.XLOOKUP(TableDailySummary[[#This Row],[Fecha]],SummaryDaily[day],SummaryDaily[net_sales_with_cost_recorded],0)</f>
        <v>3295792.81</v>
      </c>
      <c r="AN187" s="12">
        <f>_xlfn.XLOOKUP(TableDailySummary[[#This Row],[Fecha]],SummaryDaily[day],SummaryDaily[cost_of_goods_sold],0)</f>
        <v>1007602</v>
      </c>
      <c r="AO187" s="12">
        <f>_xlfn.XLOOKUP(TableDailySummary[[#This Row],[Fecha]],SummaryDaily[day],SummaryDaily[gross_profit],0)</f>
        <v>2288190.81</v>
      </c>
      <c r="AP187" s="18">
        <f>IFERROR(TableDailySummary[[#This Row],[Utilidad bruta]]/TableDailySummary[[#This Row],[Ventas netas con costo registrado]],0)</f>
        <v>0.69427629159734716</v>
      </c>
    </row>
    <row r="188" spans="2:42" x14ac:dyDescent="0.2">
      <c r="B188" s="15" cm="1">
        <f t="array" ref="B188">MIN(SummaryDaily[day]) + (ROW(TableDailySummary[#This Row]) - ROW(TableDailySummary[[#Headers],[Dia]]) - 1)</f>
        <v>45959</v>
      </c>
      <c r="C188" s="6">
        <f>TableDailySummary[[#This Row],[Dia]]</f>
        <v>45959</v>
      </c>
      <c r="D188" s="12">
        <f>_xlfn.XLOOKUP(TableDailySummary[[#This Row],[Fecha]],SummaryDaily[day],SummaryDaily[net_sales],0)</f>
        <v>6002655.46</v>
      </c>
      <c r="E188" s="12">
        <f>_xlfn.XLOOKUP(TableDailySummary[[#This Row],[Fecha]],SummaryDaily[day],SummaryDaily[orders],0)</f>
        <v>21</v>
      </c>
      <c r="F188" s="12">
        <f>_xlfn.XLOOKUP(TableDailySummary[[#This Row],[Fecha]],SummaryDaily[day],SummaryDaily[average_order_value],0)</f>
        <v>308849.94</v>
      </c>
      <c r="G188" s="24">
        <f>_xlfn.XLOOKUP(TableDailySummary[[#This Row],[Fecha]],SummaryDaily[day],SummaryDaily[Total site_conversion_rate],0)</f>
        <v>9.0090090090090089E-3</v>
      </c>
      <c r="H188" s="12">
        <f>TableDailySummary[[#This Row],[Órden promedio totales]]*TableDailySummary[[#This Row],[CR totales]]</f>
        <v>2782.4318918918921</v>
      </c>
      <c r="I188" s="12">
        <f>_xlfn.XLOOKUP(TableDailySummary[[#This Row],[Fecha]],SummaryDaily[day],SummaryDaily[new_net_sales],0)</f>
        <v>363025.21</v>
      </c>
      <c r="J188" s="12">
        <f>_xlfn.XLOOKUP(TableDailySummary[[#This Row],[Fecha]],SummaryDaily[day],SummaryDaily[new_orders],0)</f>
        <v>4</v>
      </c>
      <c r="K188" s="12">
        <f>_xlfn.XLOOKUP(TableDailySummary[[#This Row],[Fecha]],SummaryDaily[day],SummaryDaily[new_average_order_value],0)</f>
        <v>90756.301999999996</v>
      </c>
      <c r="L188" s="12">
        <f>_xlfn.XLOOKUP(TableDailySummary[[#This Row],[Fecha]],SummaryDaily[day],SummaryDaily[Online Store_net_sales],0)</f>
        <v>941176.47</v>
      </c>
      <c r="M188" s="12">
        <f>_xlfn.XLOOKUP(TableDailySummary[[#This Row],[Fecha]],SummaryDaily[day],SummaryDaily[Online Store_orders],0)</f>
        <v>7</v>
      </c>
      <c r="N188" s="12">
        <f>_xlfn.XLOOKUP(TableDailySummary[[#This Row],[Fecha]],SummaryDaily[day],SummaryDaily[Online Store_average_order_value],0)</f>
        <v>203481.39199999999</v>
      </c>
      <c r="O188" s="12">
        <f>_xlfn.XLOOKUP(TableDailySummary[[#This Row],[Fecha]],SummaryDaily[day],SummaryDaily[Tienda 81_net_sales],0)</f>
        <v>2843831.93</v>
      </c>
      <c r="P188" s="12">
        <f>_xlfn.XLOOKUP(TableDailySummary[[#This Row],[Fecha]],SummaryDaily[day],SummaryDaily[Tienda 81_orders],0)</f>
        <v>12</v>
      </c>
      <c r="Q188" s="12">
        <f>_xlfn.XLOOKUP(TableDailySummary[[#This Row],[Fecha]],SummaryDaily[day],SummaryDaily[Tienda 81_average_order_value],0)</f>
        <v>236985.99400000001</v>
      </c>
      <c r="R188" s="12">
        <f>_xlfn.XLOOKUP(TableDailySummary[[#This Row],[Fecha]],SummaryDaily[day],SummaryDaily[Rappi_net_sales],0)</f>
        <v>130252.1</v>
      </c>
      <c r="S188" s="12">
        <f>_xlfn.XLOOKUP(TableDailySummary[[#This Row],[Fecha]],SummaryDaily[day],SummaryDaily[Rappi_orders],0)</f>
        <v>1</v>
      </c>
      <c r="T188" s="12">
        <f>_xlfn.XLOOKUP(TableDailySummary[[#This Row],[Fecha]],SummaryDaily[day],SummaryDaily[Rappi_average_order_value],0)</f>
        <v>130252.1</v>
      </c>
      <c r="U188" s="12">
        <f>_xlfn.XLOOKUP(TableDailySummary[[#This Row],[Fecha]],SummaryDaily[day],SummaryDaily[Corporativo no tienda_net_sales],0)</f>
        <v>2087394.96</v>
      </c>
      <c r="V188" s="12">
        <f>_xlfn.XLOOKUP(TableDailySummary[[#This Row],[Fecha]],SummaryDaily[day],SummaryDaily[Corporativo no tienda_orders],0)</f>
        <v>1</v>
      </c>
      <c r="W188" s="12">
        <f>_xlfn.XLOOKUP(TableDailySummary[[#This Row],[Fecha]],SummaryDaily[day],SummaryDaily[Corporativo no tienda_average_order_value],0)</f>
        <v>2087394.96</v>
      </c>
      <c r="X188" s="12">
        <f>_xlfn.XLOOKUP(TableDailySummary[[#This Row],[Fecha]],SummaryDaily[day],SummaryDaily[GoogleAdsOperation.Cost],0)</f>
        <v>77205.56</v>
      </c>
      <c r="Y188" s="12">
        <f>SUMIFS(SalesByUTMDaily[google],SalesByUTMDaily[day],TableDailySummary[[#This Row],[Fecha]])</f>
        <v>0</v>
      </c>
      <c r="Z188" s="12">
        <f>_xlfn.XLOOKUP(TableDailySummary[[#This Row],[Fecha]],SummaryDaily[day],SummaryDaily[MetaAdsOperation.spend],0)</f>
        <v>47593</v>
      </c>
      <c r="AA188" s="12">
        <f>SUMIFS(SalesByUTMDaily[facebook],SalesByUTMDaily[day],TableDailySummary[[#This Row],[Fecha]])</f>
        <v>0</v>
      </c>
      <c r="AB188" s="12">
        <f>TableDailySummary[[#This Row],[Inversión google ads]]+TableDailySummary[[#This Row],[Inversión meta ads]]</f>
        <v>124798.56</v>
      </c>
      <c r="AC188" s="12">
        <f>TableDailySummary[[#This Row],[Ventas google ads]]+TableDailySummary[[#This Row],[Ventas meta ads]]</f>
        <v>0</v>
      </c>
      <c r="AD188" s="14">
        <f>IFERROR(TableDailySummary[[#This Row],[Ventas publicidad]]/TableDailySummary[[#This Row],[Inversión publicidad]],0)</f>
        <v>0</v>
      </c>
      <c r="AE188" s="14">
        <f>IFERROR(TableDailySummary[[#This Row],[Ventas primer cliente]]/TableDailySummary[[#This Row],[Inversión publicidad]],0)</f>
        <v>2.9088894134675916</v>
      </c>
      <c r="AF188" s="14"/>
      <c r="AG188" s="12"/>
      <c r="AM188" s="12">
        <f>_xlfn.XLOOKUP(TableDailySummary[[#This Row],[Fecha]],SummaryDaily[day],SummaryDaily[net_sales_with_cost_recorded],0)</f>
        <v>5820966.3799999999</v>
      </c>
      <c r="AN188" s="12">
        <f>_xlfn.XLOOKUP(TableDailySummary[[#This Row],[Fecha]],SummaryDaily[day],SummaryDaily[cost_of_goods_sold],0)</f>
        <v>1673369</v>
      </c>
      <c r="AO188" s="12">
        <f>_xlfn.XLOOKUP(TableDailySummary[[#This Row],[Fecha]],SummaryDaily[day],SummaryDaily[gross_profit],0)</f>
        <v>4147597.38</v>
      </c>
      <c r="AP188" s="18">
        <f>IFERROR(TableDailySummary[[#This Row],[Utilidad bruta]]/TableDailySummary[[#This Row],[Ventas netas con costo registrado]],0)</f>
        <v>0.71252728657745656</v>
      </c>
    </row>
    <row r="189" spans="2:42" x14ac:dyDescent="0.2">
      <c r="B189" s="15" cm="1">
        <f t="array" ref="B189">MIN(SummaryDaily[day]) + (ROW(TableDailySummary[#This Row]) - ROW(TableDailySummary[[#Headers],[Dia]]) - 1)</f>
        <v>45960</v>
      </c>
      <c r="C189" s="6">
        <f>TableDailySummary[[#This Row],[Dia]]</f>
        <v>45960</v>
      </c>
      <c r="D189" s="12">
        <f>_xlfn.XLOOKUP(TableDailySummary[[#This Row],[Fecha]],SummaryDaily[day],SummaryDaily[net_sales],0)</f>
        <v>1814882.34</v>
      </c>
      <c r="E189" s="12">
        <f>_xlfn.XLOOKUP(TableDailySummary[[#This Row],[Fecha]],SummaryDaily[day],SummaryDaily[orders],0)</f>
        <v>15</v>
      </c>
      <c r="F189" s="12">
        <f>_xlfn.XLOOKUP(TableDailySummary[[#This Row],[Fecha]],SummaryDaily[day],SummaryDaily[average_order_value],0)</f>
        <v>120992.156</v>
      </c>
      <c r="G189" s="24">
        <f>_xlfn.XLOOKUP(TableDailySummary[[#This Row],[Fecha]],SummaryDaily[day],SummaryDaily[Total site_conversion_rate],0)</f>
        <v>1.0889292196007259E-2</v>
      </c>
      <c r="H189" s="12">
        <f>TableDailySummary[[#This Row],[Órden promedio totales]]*TableDailySummary[[#This Row],[CR totales]]</f>
        <v>1317.5189401088928</v>
      </c>
      <c r="I189" s="12">
        <f>_xlfn.XLOOKUP(TableDailySummary[[#This Row],[Fecha]],SummaryDaily[day],SummaryDaily[new_net_sales],0)</f>
        <v>475470.59</v>
      </c>
      <c r="J189" s="12">
        <f>_xlfn.XLOOKUP(TableDailySummary[[#This Row],[Fecha]],SummaryDaily[day],SummaryDaily[new_orders],0)</f>
        <v>4</v>
      </c>
      <c r="K189" s="12">
        <f>_xlfn.XLOOKUP(TableDailySummary[[#This Row],[Fecha]],SummaryDaily[day],SummaryDaily[new_average_order_value],0)</f>
        <v>118867.647</v>
      </c>
      <c r="L189" s="12">
        <f>_xlfn.XLOOKUP(TableDailySummary[[#This Row],[Fecha]],SummaryDaily[day],SummaryDaily[Online Store_net_sales],0)</f>
        <v>960924.36</v>
      </c>
      <c r="M189" s="12">
        <f>_xlfn.XLOOKUP(TableDailySummary[[#This Row],[Fecha]],SummaryDaily[day],SummaryDaily[Online Store_orders],0)</f>
        <v>6</v>
      </c>
      <c r="N189" s="12">
        <f>_xlfn.XLOOKUP(TableDailySummary[[#This Row],[Fecha]],SummaryDaily[day],SummaryDaily[Online Store_average_order_value],0)</f>
        <v>160154.06</v>
      </c>
      <c r="O189" s="12">
        <f>_xlfn.XLOOKUP(TableDailySummary[[#This Row],[Fecha]],SummaryDaily[day],SummaryDaily[Tienda 81_net_sales],0)</f>
        <v>807739.49</v>
      </c>
      <c r="P189" s="12">
        <f>_xlfn.XLOOKUP(TableDailySummary[[#This Row],[Fecha]],SummaryDaily[day],SummaryDaily[Tienda 81_orders],0)</f>
        <v>8</v>
      </c>
      <c r="Q189" s="12">
        <f>_xlfn.XLOOKUP(TableDailySummary[[#This Row],[Fecha]],SummaryDaily[day],SummaryDaily[Tienda 81_average_order_value],0)</f>
        <v>100967.436</v>
      </c>
      <c r="R189" s="12">
        <f>_xlfn.XLOOKUP(TableDailySummary[[#This Row],[Fecha]],SummaryDaily[day],SummaryDaily[Rappi_net_sales],0)</f>
        <v>46218.49</v>
      </c>
      <c r="S189" s="12">
        <f>_xlfn.XLOOKUP(TableDailySummary[[#This Row],[Fecha]],SummaryDaily[day],SummaryDaily[Rappi_orders],0)</f>
        <v>1</v>
      </c>
      <c r="T189" s="12">
        <f>_xlfn.XLOOKUP(TableDailySummary[[#This Row],[Fecha]],SummaryDaily[day],SummaryDaily[Rappi_average_order_value],0)</f>
        <v>46218.49</v>
      </c>
      <c r="U189" s="12">
        <f>_xlfn.XLOOKUP(TableDailySummary[[#This Row],[Fecha]],SummaryDaily[day],SummaryDaily[Corporativo no tienda_net_sales],0)</f>
        <v>0</v>
      </c>
      <c r="V189" s="12">
        <f>_xlfn.XLOOKUP(TableDailySummary[[#This Row],[Fecha]],SummaryDaily[day],SummaryDaily[Corporativo no tienda_orders],0)</f>
        <v>0</v>
      </c>
      <c r="W189" s="12">
        <f>_xlfn.XLOOKUP(TableDailySummary[[#This Row],[Fecha]],SummaryDaily[day],SummaryDaily[Corporativo no tienda_average_order_value],0)</f>
        <v>0</v>
      </c>
      <c r="X189" s="12">
        <f>_xlfn.XLOOKUP(TableDailySummary[[#This Row],[Fecha]],SummaryDaily[day],SummaryDaily[GoogleAdsOperation.Cost],0)</f>
        <v>68826.16</v>
      </c>
      <c r="Y189" s="12">
        <f>SUMIFS(SalesByUTMDaily[google],SalesByUTMDaily[day],TableDailySummary[[#This Row],[Fecha]])</f>
        <v>0</v>
      </c>
      <c r="Z189" s="12">
        <f>_xlfn.XLOOKUP(TableDailySummary[[#This Row],[Fecha]],SummaryDaily[day],SummaryDaily[MetaAdsOperation.spend],0)</f>
        <v>47076</v>
      </c>
      <c r="AA189" s="12">
        <f>SUMIFS(SalesByUTMDaily[facebook],SalesByUTMDaily[day],TableDailySummary[[#This Row],[Fecha]])</f>
        <v>0</v>
      </c>
      <c r="AB189" s="12">
        <f>TableDailySummary[[#This Row],[Inversión google ads]]+TableDailySummary[[#This Row],[Inversión meta ads]]</f>
        <v>115902.16</v>
      </c>
      <c r="AC189" s="12">
        <f>TableDailySummary[[#This Row],[Ventas google ads]]+TableDailySummary[[#This Row],[Ventas meta ads]]</f>
        <v>0</v>
      </c>
      <c r="AD189" s="14">
        <f>IFERROR(TableDailySummary[[#This Row],[Ventas publicidad]]/TableDailySummary[[#This Row],[Inversión publicidad]],0)</f>
        <v>0</v>
      </c>
      <c r="AE189" s="14">
        <f>IFERROR(TableDailySummary[[#This Row],[Ventas primer cliente]]/TableDailySummary[[#This Row],[Inversión publicidad]],0)</f>
        <v>4.1023445119573267</v>
      </c>
      <c r="AF189" s="14"/>
      <c r="AG189" s="12"/>
      <c r="AM189" s="12">
        <f>_xlfn.XLOOKUP(TableDailySummary[[#This Row],[Fecha]],SummaryDaily[day],SummaryDaily[net_sales_with_cost_recorded],0)</f>
        <v>1792193.26</v>
      </c>
      <c r="AN189" s="12">
        <f>_xlfn.XLOOKUP(TableDailySummary[[#This Row],[Fecha]],SummaryDaily[day],SummaryDaily[cost_of_goods_sold],0)</f>
        <v>608892</v>
      </c>
      <c r="AO189" s="12">
        <f>_xlfn.XLOOKUP(TableDailySummary[[#This Row],[Fecha]],SummaryDaily[day],SummaryDaily[gross_profit],0)</f>
        <v>1183301.26</v>
      </c>
      <c r="AP189" s="18">
        <f>IFERROR(TableDailySummary[[#This Row],[Utilidad bruta]]/TableDailySummary[[#This Row],[Ventas netas con costo registrado]],0)</f>
        <v>0.6602531581889779</v>
      </c>
    </row>
    <row r="190" spans="2:42" x14ac:dyDescent="0.2">
      <c r="B190" s="15" cm="1">
        <f t="array" ref="B190">MIN(SummaryDaily[day]) + (ROW(TableDailySummary[#This Row]) - ROW(TableDailySummary[[#Headers],[Dia]]) - 1)</f>
        <v>45961</v>
      </c>
      <c r="C190" s="6">
        <f>TableDailySummary[[#This Row],[Dia]]</f>
        <v>45961</v>
      </c>
      <c r="D190" s="12">
        <f>_xlfn.XLOOKUP(TableDailySummary[[#This Row],[Fecha]],SummaryDaily[day],SummaryDaily[net_sales],0)</f>
        <v>3960403.36</v>
      </c>
      <c r="E190" s="12">
        <f>_xlfn.XLOOKUP(TableDailySummary[[#This Row],[Fecha]],SummaryDaily[day],SummaryDaily[orders],0)</f>
        <v>16</v>
      </c>
      <c r="F190" s="12">
        <f>_xlfn.XLOOKUP(TableDailySummary[[#This Row],[Fecha]],SummaryDaily[day],SummaryDaily[average_order_value],0)</f>
        <v>244899.15900000001</v>
      </c>
      <c r="G190" s="24">
        <f>_xlfn.XLOOKUP(TableDailySummary[[#This Row],[Fecha]],SummaryDaily[day],SummaryDaily[Total site_conversion_rate],0)</f>
        <v>6.2656641604010022E-3</v>
      </c>
      <c r="H190" s="12">
        <f>TableDailySummary[[#This Row],[Órden promedio totales]]*TableDailySummary[[#This Row],[CR totales]]</f>
        <v>1534.4558834586467</v>
      </c>
      <c r="I190" s="12">
        <f>_xlfn.XLOOKUP(TableDailySummary[[#This Row],[Fecha]],SummaryDaily[day],SummaryDaily[new_net_sales],0)</f>
        <v>606722.68999999994</v>
      </c>
      <c r="J190" s="12">
        <f>_xlfn.XLOOKUP(TableDailySummary[[#This Row],[Fecha]],SummaryDaily[day],SummaryDaily[new_orders],0)</f>
        <v>4</v>
      </c>
      <c r="K190" s="12">
        <f>_xlfn.XLOOKUP(TableDailySummary[[#This Row],[Fecha]],SummaryDaily[day],SummaryDaily[new_average_order_value],0)</f>
        <v>151680.67199999999</v>
      </c>
      <c r="L190" s="12">
        <f>_xlfn.XLOOKUP(TableDailySummary[[#This Row],[Fecha]],SummaryDaily[day],SummaryDaily[Online Store_net_sales],0)</f>
        <v>2568487.39</v>
      </c>
      <c r="M190" s="12">
        <f>_xlfn.XLOOKUP(TableDailySummary[[#This Row],[Fecha]],SummaryDaily[day],SummaryDaily[Online Store_orders],0)</f>
        <v>4</v>
      </c>
      <c r="N190" s="12">
        <f>_xlfn.XLOOKUP(TableDailySummary[[#This Row],[Fecha]],SummaryDaily[day],SummaryDaily[Online Store_average_order_value],0)</f>
        <v>642121.84699999995</v>
      </c>
      <c r="O190" s="12">
        <f>_xlfn.XLOOKUP(TableDailySummary[[#This Row],[Fecha]],SummaryDaily[day],SummaryDaily[Tienda 81_net_sales],0)</f>
        <v>1391915.97</v>
      </c>
      <c r="P190" s="12">
        <f>_xlfn.XLOOKUP(TableDailySummary[[#This Row],[Fecha]],SummaryDaily[day],SummaryDaily[Tienda 81_orders],0)</f>
        <v>12</v>
      </c>
      <c r="Q190" s="12">
        <f>_xlfn.XLOOKUP(TableDailySummary[[#This Row],[Fecha]],SummaryDaily[day],SummaryDaily[Tienda 81_average_order_value],0)</f>
        <v>112491.59600000001</v>
      </c>
      <c r="R190" s="12">
        <f>_xlfn.XLOOKUP(TableDailySummary[[#This Row],[Fecha]],SummaryDaily[day],SummaryDaily[Rappi_net_sales],0)</f>
        <v>0</v>
      </c>
      <c r="S190" s="12">
        <f>_xlfn.XLOOKUP(TableDailySummary[[#This Row],[Fecha]],SummaryDaily[day],SummaryDaily[Rappi_orders],0)</f>
        <v>0</v>
      </c>
      <c r="T190" s="12">
        <f>_xlfn.XLOOKUP(TableDailySummary[[#This Row],[Fecha]],SummaryDaily[day],SummaryDaily[Rappi_average_order_value],0)</f>
        <v>0</v>
      </c>
      <c r="U190" s="12">
        <f>_xlfn.XLOOKUP(TableDailySummary[[#This Row],[Fecha]],SummaryDaily[day],SummaryDaily[Corporativo no tienda_net_sales],0)</f>
        <v>0</v>
      </c>
      <c r="V190" s="12">
        <f>_xlfn.XLOOKUP(TableDailySummary[[#This Row],[Fecha]],SummaryDaily[day],SummaryDaily[Corporativo no tienda_orders],0)</f>
        <v>0</v>
      </c>
      <c r="W190" s="12">
        <f>_xlfn.XLOOKUP(TableDailySummary[[#This Row],[Fecha]],SummaryDaily[day],SummaryDaily[Corporativo no tienda_average_order_value],0)</f>
        <v>0</v>
      </c>
      <c r="X190" s="12">
        <f>_xlfn.XLOOKUP(TableDailySummary[[#This Row],[Fecha]],SummaryDaily[day],SummaryDaily[GoogleAdsOperation.Cost],0)</f>
        <v>82228.98</v>
      </c>
      <c r="Y190" s="12">
        <f>SUMIFS(SalesByUTMDaily[google],SalesByUTMDaily[day],TableDailySummary[[#This Row],[Fecha]])</f>
        <v>0</v>
      </c>
      <c r="Z190" s="12">
        <f>_xlfn.XLOOKUP(TableDailySummary[[#This Row],[Fecha]],SummaryDaily[day],SummaryDaily[MetaAdsOperation.spend],0)</f>
        <v>49660</v>
      </c>
      <c r="AA190" s="12">
        <f>SUMIFS(SalesByUTMDaily[facebook],SalesByUTMDaily[day],TableDailySummary[[#This Row],[Fecha]])</f>
        <v>254500</v>
      </c>
      <c r="AB190" s="12">
        <f>TableDailySummary[[#This Row],[Inversión google ads]]+TableDailySummary[[#This Row],[Inversión meta ads]]</f>
        <v>131888.97999999998</v>
      </c>
      <c r="AC190" s="12">
        <f>TableDailySummary[[#This Row],[Ventas google ads]]+TableDailySummary[[#This Row],[Ventas meta ads]]</f>
        <v>254500</v>
      </c>
      <c r="AD190" s="14">
        <f>IFERROR(TableDailySummary[[#This Row],[Ventas publicidad]]/TableDailySummary[[#This Row],[Inversión publicidad]],0)</f>
        <v>1.9296532583692743</v>
      </c>
      <c r="AE190" s="14">
        <f>IFERROR(TableDailySummary[[#This Row],[Ventas primer cliente]]/TableDailySummary[[#This Row],[Inversión publicidad]],0)</f>
        <v>4.6002531068175676</v>
      </c>
      <c r="AF190" s="14"/>
      <c r="AG190" s="12"/>
      <c r="AM190" s="12">
        <f>_xlfn.XLOOKUP(TableDailySummary[[#This Row],[Fecha]],SummaryDaily[day],SummaryDaily[net_sales_with_cost_recorded],0)</f>
        <v>3937714.28</v>
      </c>
      <c r="AN190" s="12">
        <f>_xlfn.XLOOKUP(TableDailySummary[[#This Row],[Fecha]],SummaryDaily[day],SummaryDaily[cost_of_goods_sold],0)</f>
        <v>1210749</v>
      </c>
      <c r="AO190" s="12">
        <f>_xlfn.XLOOKUP(TableDailySummary[[#This Row],[Fecha]],SummaryDaily[day],SummaryDaily[gross_profit],0)</f>
        <v>2726965.28</v>
      </c>
      <c r="AP190" s="18">
        <f>IFERROR(TableDailySummary[[#This Row],[Utilidad bruta]]/TableDailySummary[[#This Row],[Ventas netas con costo registrado]],0)</f>
        <v>0.69252492336747196</v>
      </c>
    </row>
    <row r="191" spans="2:42" x14ac:dyDescent="0.2">
      <c r="B191" s="15" cm="1">
        <f t="array" ref="B191">MIN(SummaryDaily[day]) + (ROW(TableDailySummary[#This Row]) - ROW(TableDailySummary[[#Headers],[Dia]]) - 1)</f>
        <v>45962</v>
      </c>
      <c r="C191" s="6">
        <f>TableDailySummary[[#This Row],[Dia]]</f>
        <v>45962</v>
      </c>
      <c r="D191" s="12">
        <f>_xlfn.XLOOKUP(TableDailySummary[[#This Row],[Fecha]],SummaryDaily[day],SummaryDaily[net_sales],0)</f>
        <v>4115058.83</v>
      </c>
      <c r="E191" s="12">
        <f>_xlfn.XLOOKUP(TableDailySummary[[#This Row],[Fecha]],SummaryDaily[day],SummaryDaily[orders],0)</f>
        <v>22</v>
      </c>
      <c r="F191" s="12">
        <f>_xlfn.XLOOKUP(TableDailySummary[[#This Row],[Fecha]],SummaryDaily[day],SummaryDaily[average_order_value],0)</f>
        <v>170187.93</v>
      </c>
      <c r="G191" s="24">
        <f>_xlfn.XLOOKUP(TableDailySummary[[#This Row],[Fecha]],SummaryDaily[day],SummaryDaily[Total site_conversion_rate],0)</f>
        <v>4.2735042735042739E-3</v>
      </c>
      <c r="H191" s="12">
        <f>TableDailySummary[[#This Row],[Órden promedio totales]]*TableDailySummary[[#This Row],[CR totales]]</f>
        <v>727.29884615384617</v>
      </c>
      <c r="I191" s="12">
        <f>_xlfn.XLOOKUP(TableDailySummary[[#This Row],[Fecha]],SummaryDaily[day],SummaryDaily[new_net_sales],0)</f>
        <v>1243697.48</v>
      </c>
      <c r="J191" s="12">
        <f>_xlfn.XLOOKUP(TableDailySummary[[#This Row],[Fecha]],SummaryDaily[day],SummaryDaily[new_orders],0)</f>
        <v>8</v>
      </c>
      <c r="K191" s="12">
        <f>_xlfn.XLOOKUP(TableDailySummary[[#This Row],[Fecha]],SummaryDaily[day],SummaryDaily[new_average_order_value],0)</f>
        <v>155462.185</v>
      </c>
      <c r="L191" s="12">
        <f>_xlfn.XLOOKUP(TableDailySummary[[#This Row],[Fecha]],SummaryDaily[day],SummaryDaily[Online Store_net_sales],0)</f>
        <v>920168.07</v>
      </c>
      <c r="M191" s="12">
        <f>_xlfn.XLOOKUP(TableDailySummary[[#This Row],[Fecha]],SummaryDaily[day],SummaryDaily[Online Store_orders],0)</f>
        <v>5</v>
      </c>
      <c r="N191" s="12">
        <f>_xlfn.XLOOKUP(TableDailySummary[[#This Row],[Fecha]],SummaryDaily[day],SummaryDaily[Online Store_average_order_value],0)</f>
        <v>184033.614</v>
      </c>
      <c r="O191" s="12">
        <f>_xlfn.XLOOKUP(TableDailySummary[[#This Row],[Fecha]],SummaryDaily[day],SummaryDaily[Tienda 81_net_sales],0)</f>
        <v>3064638.66</v>
      </c>
      <c r="P191" s="12">
        <f>_xlfn.XLOOKUP(TableDailySummary[[#This Row],[Fecha]],SummaryDaily[day],SummaryDaily[Tienda 81_orders],0)</f>
        <v>15</v>
      </c>
      <c r="Q191" s="12">
        <f>_xlfn.XLOOKUP(TableDailySummary[[#This Row],[Fecha]],SummaryDaily[day],SummaryDaily[Tienda 81_average_order_value],0)</f>
        <v>179580.95199999999</v>
      </c>
      <c r="R191" s="12">
        <f>_xlfn.XLOOKUP(TableDailySummary[[#This Row],[Fecha]],SummaryDaily[day],SummaryDaily[Rappi_net_sales],0)</f>
        <v>130252.1</v>
      </c>
      <c r="S191" s="12">
        <f>_xlfn.XLOOKUP(TableDailySummary[[#This Row],[Fecha]],SummaryDaily[day],SummaryDaily[Rappi_orders],0)</f>
        <v>2</v>
      </c>
      <c r="T191" s="12">
        <f>_xlfn.XLOOKUP(TableDailySummary[[#This Row],[Fecha]],SummaryDaily[day],SummaryDaily[Rappi_average_order_value],0)</f>
        <v>65126.05</v>
      </c>
      <c r="U191" s="12">
        <f>_xlfn.XLOOKUP(TableDailySummary[[#This Row],[Fecha]],SummaryDaily[day],SummaryDaily[Corporativo no tienda_net_sales],0)</f>
        <v>0</v>
      </c>
      <c r="V191" s="12">
        <f>_xlfn.XLOOKUP(TableDailySummary[[#This Row],[Fecha]],SummaryDaily[day],SummaryDaily[Corporativo no tienda_orders],0)</f>
        <v>0</v>
      </c>
      <c r="W191" s="12">
        <f>_xlfn.XLOOKUP(TableDailySummary[[#This Row],[Fecha]],SummaryDaily[day],SummaryDaily[Corporativo no tienda_average_order_value],0)</f>
        <v>0</v>
      </c>
      <c r="X191" s="12">
        <f>_xlfn.XLOOKUP(TableDailySummary[[#This Row],[Fecha]],SummaryDaily[day],SummaryDaily[GoogleAdsOperation.Cost],0)</f>
        <v>54546</v>
      </c>
      <c r="Y191" s="12">
        <f>SUMIFS(SalesByUTMDaily[google],SalesByUTMDaily[day],TableDailySummary[[#This Row],[Fecha]])</f>
        <v>0</v>
      </c>
      <c r="Z191" s="12">
        <f>_xlfn.XLOOKUP(TableDailySummary[[#This Row],[Fecha]],SummaryDaily[day],SummaryDaily[MetaAdsOperation.spend],0)</f>
        <v>55630</v>
      </c>
      <c r="AA191" s="12">
        <f>SUMIFS(SalesByUTMDaily[facebook],SalesByUTMDaily[day],TableDailySummary[[#This Row],[Fecha]])</f>
        <v>0</v>
      </c>
      <c r="AB191" s="12">
        <f>TableDailySummary[[#This Row],[Inversión google ads]]+TableDailySummary[[#This Row],[Inversión meta ads]]</f>
        <v>110176</v>
      </c>
      <c r="AC191" s="12">
        <f>TableDailySummary[[#This Row],[Ventas google ads]]+TableDailySummary[[#This Row],[Ventas meta ads]]</f>
        <v>0</v>
      </c>
      <c r="AD191" s="14">
        <f>IFERROR(TableDailySummary[[#This Row],[Ventas publicidad]]/TableDailySummary[[#This Row],[Inversión publicidad]],0)</f>
        <v>0</v>
      </c>
      <c r="AE191" s="14">
        <f>IFERROR(TableDailySummary[[#This Row],[Ventas primer cliente]]/TableDailySummary[[#This Row],[Inversión publicidad]],0)</f>
        <v>11.28827948010456</v>
      </c>
      <c r="AF191" s="14"/>
      <c r="AG191" s="12"/>
      <c r="AM191" s="12">
        <f>_xlfn.XLOOKUP(TableDailySummary[[#This Row],[Fecha]],SummaryDaily[day],SummaryDaily[net_sales_with_cost_recorded],0)</f>
        <v>4037058.83</v>
      </c>
      <c r="AN191" s="12">
        <f>_xlfn.XLOOKUP(TableDailySummary[[#This Row],[Fecha]],SummaryDaily[day],SummaryDaily[cost_of_goods_sold],0)</f>
        <v>1208009</v>
      </c>
      <c r="AO191" s="12">
        <f>_xlfn.XLOOKUP(TableDailySummary[[#This Row],[Fecha]],SummaryDaily[day],SummaryDaily[gross_profit],0)</f>
        <v>2829049.83</v>
      </c>
      <c r="AP191" s="18">
        <f>IFERROR(TableDailySummary[[#This Row],[Utilidad bruta]]/TableDailySummary[[#This Row],[Ventas netas con costo registrado]],0)</f>
        <v>0.70077002816429113</v>
      </c>
    </row>
    <row r="192" spans="2:42" x14ac:dyDescent="0.2">
      <c r="B192" s="15" cm="1">
        <f t="array" ref="B192">MIN(SummaryDaily[day]) + (ROW(TableDailySummary[#This Row]) - ROW(TableDailySummary[[#Headers],[Dia]]) - 1)</f>
        <v>45963</v>
      </c>
      <c r="C192" s="6">
        <f>TableDailySummary[[#This Row],[Dia]]</f>
        <v>45963</v>
      </c>
      <c r="D192" s="12">
        <f>_xlfn.XLOOKUP(TableDailySummary[[#This Row],[Fecha]],SummaryDaily[day],SummaryDaily[net_sales],0)</f>
        <v>2415176.48</v>
      </c>
      <c r="E192" s="12">
        <f>_xlfn.XLOOKUP(TableDailySummary[[#This Row],[Fecha]],SummaryDaily[day],SummaryDaily[orders],0)</f>
        <v>14</v>
      </c>
      <c r="F192" s="12">
        <f>_xlfn.XLOOKUP(TableDailySummary[[#This Row],[Fecha]],SummaryDaily[day],SummaryDaily[average_order_value],0)</f>
        <v>164709.484</v>
      </c>
      <c r="G192" s="24">
        <f>_xlfn.XLOOKUP(TableDailySummary[[#This Row],[Fecha]],SummaryDaily[day],SummaryDaily[Total site_conversion_rate],0)</f>
        <v>6.4850843060959796E-3</v>
      </c>
      <c r="H192" s="12">
        <f>TableDailySummary[[#This Row],[Órden promedio totales]]*TableDailySummary[[#This Row],[CR totales]]</f>
        <v>1068.1548897535667</v>
      </c>
      <c r="I192" s="12">
        <f>_xlfn.XLOOKUP(TableDailySummary[[#This Row],[Fecha]],SummaryDaily[day],SummaryDaily[new_net_sales],0)</f>
        <v>1682941.18</v>
      </c>
      <c r="J192" s="12">
        <f>_xlfn.XLOOKUP(TableDailySummary[[#This Row],[Fecha]],SummaryDaily[day],SummaryDaily[new_orders],0)</f>
        <v>6</v>
      </c>
      <c r="K192" s="12">
        <f>_xlfn.XLOOKUP(TableDailySummary[[#This Row],[Fecha]],SummaryDaily[day],SummaryDaily[new_average_order_value],0)</f>
        <v>280490.196</v>
      </c>
      <c r="L192" s="12">
        <f>_xlfn.XLOOKUP(TableDailySummary[[#This Row],[Fecha]],SummaryDaily[day],SummaryDaily[Online Store_net_sales],0)</f>
        <v>672268.91</v>
      </c>
      <c r="M192" s="12">
        <f>_xlfn.XLOOKUP(TableDailySummary[[#This Row],[Fecha]],SummaryDaily[day],SummaryDaily[Online Store_orders],0)</f>
        <v>6</v>
      </c>
      <c r="N192" s="12">
        <f>_xlfn.XLOOKUP(TableDailySummary[[#This Row],[Fecha]],SummaryDaily[day],SummaryDaily[Online Store_average_order_value],0)</f>
        <v>112044.818</v>
      </c>
      <c r="O192" s="12">
        <f>_xlfn.XLOOKUP(TableDailySummary[[#This Row],[Fecha]],SummaryDaily[day],SummaryDaily[Tienda 81_net_sales],0)</f>
        <v>1742907.57</v>
      </c>
      <c r="P192" s="12">
        <f>_xlfn.XLOOKUP(TableDailySummary[[#This Row],[Fecha]],SummaryDaily[day],SummaryDaily[Tienda 81_orders],0)</f>
        <v>8</v>
      </c>
      <c r="Q192" s="12">
        <f>_xlfn.XLOOKUP(TableDailySummary[[#This Row],[Fecha]],SummaryDaily[day],SummaryDaily[Tienda 81_average_order_value],0)</f>
        <v>204207.98300000001</v>
      </c>
      <c r="R192" s="12">
        <f>_xlfn.XLOOKUP(TableDailySummary[[#This Row],[Fecha]],SummaryDaily[day],SummaryDaily[Rappi_net_sales],0)</f>
        <v>0</v>
      </c>
      <c r="S192" s="12">
        <f>_xlfn.XLOOKUP(TableDailySummary[[#This Row],[Fecha]],SummaryDaily[day],SummaryDaily[Rappi_orders],0)</f>
        <v>0</v>
      </c>
      <c r="T192" s="12">
        <f>_xlfn.XLOOKUP(TableDailySummary[[#This Row],[Fecha]],SummaryDaily[day],SummaryDaily[Rappi_average_order_value],0)</f>
        <v>0</v>
      </c>
      <c r="U192" s="12">
        <f>_xlfn.XLOOKUP(TableDailySummary[[#This Row],[Fecha]],SummaryDaily[day],SummaryDaily[Corporativo no tienda_net_sales],0)</f>
        <v>0</v>
      </c>
      <c r="V192" s="12">
        <f>_xlfn.XLOOKUP(TableDailySummary[[#This Row],[Fecha]],SummaryDaily[day],SummaryDaily[Corporativo no tienda_orders],0)</f>
        <v>0</v>
      </c>
      <c r="W192" s="12">
        <f>_xlfn.XLOOKUP(TableDailySummary[[#This Row],[Fecha]],SummaryDaily[day],SummaryDaily[Corporativo no tienda_average_order_value],0)</f>
        <v>0</v>
      </c>
      <c r="X192" s="12">
        <f>_xlfn.XLOOKUP(TableDailySummary[[#This Row],[Fecha]],SummaryDaily[day],SummaryDaily[GoogleAdsOperation.Cost],0)</f>
        <v>58105.279999999999</v>
      </c>
      <c r="Y192" s="12">
        <f>SUMIFS(SalesByUTMDaily[google],SalesByUTMDaily[day],TableDailySummary[[#This Row],[Fecha]])</f>
        <v>0</v>
      </c>
      <c r="Z192" s="12">
        <f>_xlfn.XLOOKUP(TableDailySummary[[#This Row],[Fecha]],SummaryDaily[day],SummaryDaily[MetaAdsOperation.spend],0)</f>
        <v>55930</v>
      </c>
      <c r="AA192" s="12">
        <f>SUMIFS(SalesByUTMDaily[facebook],SalesByUTMDaily[day],TableDailySummary[[#This Row],[Fecha]])</f>
        <v>84500</v>
      </c>
      <c r="AB192" s="12">
        <f>TableDailySummary[[#This Row],[Inversión google ads]]+TableDailySummary[[#This Row],[Inversión meta ads]]</f>
        <v>114035.28</v>
      </c>
      <c r="AC192" s="12">
        <f>TableDailySummary[[#This Row],[Ventas google ads]]+TableDailySummary[[#This Row],[Ventas meta ads]]</f>
        <v>84500</v>
      </c>
      <c r="AD192" s="14">
        <f>IFERROR(TableDailySummary[[#This Row],[Ventas publicidad]]/TableDailySummary[[#This Row],[Inversión publicidad]],0)</f>
        <v>0.74099875056210673</v>
      </c>
      <c r="AE192" s="14">
        <f>IFERROR(TableDailySummary[[#This Row],[Ventas primer cliente]]/TableDailySummary[[#This Row],[Inversión publicidad]],0)</f>
        <v>14.758074694077131</v>
      </c>
      <c r="AF192" s="14"/>
      <c r="AG192" s="12"/>
      <c r="AM192" s="12">
        <f>_xlfn.XLOOKUP(TableDailySummary[[#This Row],[Fecha]],SummaryDaily[day],SummaryDaily[net_sales_with_cost_recorded],0)</f>
        <v>2311554.63</v>
      </c>
      <c r="AN192" s="12">
        <f>_xlfn.XLOOKUP(TableDailySummary[[#This Row],[Fecha]],SummaryDaily[day],SummaryDaily[cost_of_goods_sold],0)</f>
        <v>723327</v>
      </c>
      <c r="AO192" s="12">
        <f>_xlfn.XLOOKUP(TableDailySummary[[#This Row],[Fecha]],SummaryDaily[day],SummaryDaily[gross_profit],0)</f>
        <v>1588227.63</v>
      </c>
      <c r="AP192" s="18">
        <f>IFERROR(TableDailySummary[[#This Row],[Utilidad bruta]]/TableDailySummary[[#This Row],[Ventas netas con costo registrado]],0)</f>
        <v>0.6870820223703733</v>
      </c>
    </row>
    <row r="193" spans="2:42" x14ac:dyDescent="0.2">
      <c r="B193" s="15" cm="1">
        <f t="array" ref="B193">MIN(SummaryDaily[day]) + (ROW(TableDailySummary[#This Row]) - ROW(TableDailySummary[[#Headers],[Dia]]) - 1)</f>
        <v>45964</v>
      </c>
      <c r="C193" s="6">
        <f>TableDailySummary[[#This Row],[Dia]]</f>
        <v>45964</v>
      </c>
      <c r="D193" s="12">
        <f>_xlfn.XLOOKUP(TableDailySummary[[#This Row],[Fecha]],SummaryDaily[day],SummaryDaily[net_sales],0)</f>
        <v>1711765.55</v>
      </c>
      <c r="E193" s="12">
        <f>_xlfn.XLOOKUP(TableDailySummary[[#This Row],[Fecha]],SummaryDaily[day],SummaryDaily[orders],0)</f>
        <v>9</v>
      </c>
      <c r="F193" s="12">
        <f>_xlfn.XLOOKUP(TableDailySummary[[#This Row],[Fecha]],SummaryDaily[day],SummaryDaily[average_order_value],0)</f>
        <v>187861.905</v>
      </c>
      <c r="G193" s="24">
        <f>_xlfn.XLOOKUP(TableDailySummary[[#This Row],[Fecha]],SummaryDaily[day],SummaryDaily[Total site_conversion_rate],0)</f>
        <v>8.9171974522292991E-3</v>
      </c>
      <c r="H193" s="12">
        <f>TableDailySummary[[#This Row],[Órden promedio totales]]*TableDailySummary[[#This Row],[CR totales]]</f>
        <v>1675.2017006369426</v>
      </c>
      <c r="I193" s="12">
        <f>_xlfn.XLOOKUP(TableDailySummary[[#This Row],[Fecha]],SummaryDaily[day],SummaryDaily[new_net_sales],0)</f>
        <v>810924.37</v>
      </c>
      <c r="J193" s="12">
        <f>_xlfn.XLOOKUP(TableDailySummary[[#This Row],[Fecha]],SummaryDaily[day],SummaryDaily[new_orders],0)</f>
        <v>6</v>
      </c>
      <c r="K193" s="12">
        <f>_xlfn.XLOOKUP(TableDailySummary[[#This Row],[Fecha]],SummaryDaily[day],SummaryDaily[new_average_order_value],0)</f>
        <v>131652.66099999999</v>
      </c>
      <c r="L193" s="12">
        <f>_xlfn.XLOOKUP(TableDailySummary[[#This Row],[Fecha]],SummaryDaily[day],SummaryDaily[Online Store_net_sales],0)</f>
        <v>1018488.24</v>
      </c>
      <c r="M193" s="12">
        <f>_xlfn.XLOOKUP(TableDailySummary[[#This Row],[Fecha]],SummaryDaily[day],SummaryDaily[Online Store_orders],0)</f>
        <v>4</v>
      </c>
      <c r="N193" s="12">
        <f>_xlfn.XLOOKUP(TableDailySummary[[#This Row],[Fecha]],SummaryDaily[day],SummaryDaily[Online Store_average_order_value],0)</f>
        <v>254622.06</v>
      </c>
      <c r="O193" s="12">
        <f>_xlfn.XLOOKUP(TableDailySummary[[#This Row],[Fecha]],SummaryDaily[day],SummaryDaily[Tienda 81_net_sales],0)</f>
        <v>693277.31</v>
      </c>
      <c r="P193" s="12">
        <f>_xlfn.XLOOKUP(TableDailySummary[[#This Row],[Fecha]],SummaryDaily[day],SummaryDaily[Tienda 81_orders],0)</f>
        <v>5</v>
      </c>
      <c r="Q193" s="12">
        <f>_xlfn.XLOOKUP(TableDailySummary[[#This Row],[Fecha]],SummaryDaily[day],SummaryDaily[Tienda 81_average_order_value],0)</f>
        <v>134453.78200000001</v>
      </c>
      <c r="R193" s="12">
        <f>_xlfn.XLOOKUP(TableDailySummary[[#This Row],[Fecha]],SummaryDaily[day],SummaryDaily[Rappi_net_sales],0)</f>
        <v>0</v>
      </c>
      <c r="S193" s="12">
        <f>_xlfn.XLOOKUP(TableDailySummary[[#This Row],[Fecha]],SummaryDaily[day],SummaryDaily[Rappi_orders],0)</f>
        <v>0</v>
      </c>
      <c r="T193" s="12">
        <f>_xlfn.XLOOKUP(TableDailySummary[[#This Row],[Fecha]],SummaryDaily[day],SummaryDaily[Rappi_average_order_value],0)</f>
        <v>0</v>
      </c>
      <c r="U193" s="12">
        <f>_xlfn.XLOOKUP(TableDailySummary[[#This Row],[Fecha]],SummaryDaily[day],SummaryDaily[Corporativo no tienda_net_sales],0)</f>
        <v>0</v>
      </c>
      <c r="V193" s="12">
        <f>_xlfn.XLOOKUP(TableDailySummary[[#This Row],[Fecha]],SummaryDaily[day],SummaryDaily[Corporativo no tienda_orders],0)</f>
        <v>0</v>
      </c>
      <c r="W193" s="12">
        <f>_xlfn.XLOOKUP(TableDailySummary[[#This Row],[Fecha]],SummaryDaily[day],SummaryDaily[Corporativo no tienda_average_order_value],0)</f>
        <v>0</v>
      </c>
      <c r="X193" s="12">
        <f>_xlfn.XLOOKUP(TableDailySummary[[#This Row],[Fecha]],SummaryDaily[day],SummaryDaily[GoogleAdsOperation.Cost],0)</f>
        <v>97501.43</v>
      </c>
      <c r="Y193" s="12">
        <f>SUMIFS(SalesByUTMDaily[google],SalesByUTMDaily[day],TableDailySummary[[#This Row],[Fecha]])</f>
        <v>0</v>
      </c>
      <c r="Z193" s="12">
        <f>_xlfn.XLOOKUP(TableDailySummary[[#This Row],[Fecha]],SummaryDaily[day],SummaryDaily[MetaAdsOperation.spend],0)</f>
        <v>52914</v>
      </c>
      <c r="AA193" s="12">
        <f>SUMIFS(SalesByUTMDaily[facebook],SalesByUTMDaily[day],TableDailySummary[[#This Row],[Fecha]])</f>
        <v>539000</v>
      </c>
      <c r="AB193" s="12">
        <f>TableDailySummary[[#This Row],[Inversión google ads]]+TableDailySummary[[#This Row],[Inversión meta ads]]</f>
        <v>150415.43</v>
      </c>
      <c r="AC193" s="12">
        <f>TableDailySummary[[#This Row],[Ventas google ads]]+TableDailySummary[[#This Row],[Ventas meta ads]]</f>
        <v>539000</v>
      </c>
      <c r="AD193" s="14">
        <f>IFERROR(TableDailySummary[[#This Row],[Ventas publicidad]]/TableDailySummary[[#This Row],[Inversión publicidad]],0)</f>
        <v>3.5834089627639933</v>
      </c>
      <c r="AE193" s="14">
        <f>IFERROR(TableDailySummary[[#This Row],[Ventas primer cliente]]/TableDailySummary[[#This Row],[Inversión publicidad]],0)</f>
        <v>5.3912312719512885</v>
      </c>
      <c r="AF193" s="14"/>
      <c r="AG193" s="12"/>
      <c r="AM193" s="12">
        <f>_xlfn.XLOOKUP(TableDailySummary[[#This Row],[Fecha]],SummaryDaily[day],SummaryDaily[net_sales_with_cost_recorded],0)</f>
        <v>1711764.7</v>
      </c>
      <c r="AN193" s="12">
        <f>_xlfn.XLOOKUP(TableDailySummary[[#This Row],[Fecha]],SummaryDaily[day],SummaryDaily[cost_of_goods_sold],0)</f>
        <v>444397</v>
      </c>
      <c r="AO193" s="12">
        <f>_xlfn.XLOOKUP(TableDailySummary[[#This Row],[Fecha]],SummaryDaily[day],SummaryDaily[gross_profit],0)</f>
        <v>1267367.7</v>
      </c>
      <c r="AP193" s="18">
        <f>IFERROR(TableDailySummary[[#This Row],[Utilidad bruta]]/TableDailySummary[[#This Row],[Ventas netas con costo registrado]],0)</f>
        <v>0.74038663141026329</v>
      </c>
    </row>
    <row r="194" spans="2:42" x14ac:dyDescent="0.2">
      <c r="B194" s="15" cm="1">
        <f t="array" ref="B194">MIN(SummaryDaily[day]) + (ROW(TableDailySummary[#This Row]) - ROW(TableDailySummary[[#Headers],[Dia]]) - 1)</f>
        <v>45965</v>
      </c>
      <c r="C194" s="6">
        <f>TableDailySummary[[#This Row],[Dia]]</f>
        <v>45965</v>
      </c>
      <c r="D194" s="12">
        <f>_xlfn.XLOOKUP(TableDailySummary[[#This Row],[Fecha]],SummaryDaily[day],SummaryDaily[net_sales],0)</f>
        <v>3099420.16</v>
      </c>
      <c r="E194" s="12">
        <f>_xlfn.XLOOKUP(TableDailySummary[[#This Row],[Fecha]],SummaryDaily[day],SummaryDaily[orders],0)</f>
        <v>15</v>
      </c>
      <c r="F194" s="12">
        <f>_xlfn.XLOOKUP(TableDailySummary[[#This Row],[Fecha]],SummaryDaily[day],SummaryDaily[average_order_value],0)</f>
        <v>202314.28599999999</v>
      </c>
      <c r="G194" s="24">
        <f>_xlfn.XLOOKUP(TableDailySummary[[#This Row],[Fecha]],SummaryDaily[day],SummaryDaily[Total site_conversion_rate],0)</f>
        <v>1.4492753623188406E-2</v>
      </c>
      <c r="H194" s="12">
        <f>TableDailySummary[[#This Row],[Órden promedio totales]]*TableDailySummary[[#This Row],[CR totales]]</f>
        <v>2932.0911014492754</v>
      </c>
      <c r="I194" s="12">
        <f>_xlfn.XLOOKUP(TableDailySummary[[#This Row],[Fecha]],SummaryDaily[day],SummaryDaily[new_net_sales],0)</f>
        <v>1099420.17</v>
      </c>
      <c r="J194" s="12">
        <f>_xlfn.XLOOKUP(TableDailySummary[[#This Row],[Fecha]],SummaryDaily[day],SummaryDaily[new_orders],0)</f>
        <v>8</v>
      </c>
      <c r="K194" s="12">
        <f>_xlfn.XLOOKUP(TableDailySummary[[#This Row],[Fecha]],SummaryDaily[day],SummaryDaily[new_average_order_value],0)</f>
        <v>128393.908</v>
      </c>
      <c r="L194" s="12">
        <f>_xlfn.XLOOKUP(TableDailySummary[[#This Row],[Fecha]],SummaryDaily[day],SummaryDaily[Online Store_net_sales],0)</f>
        <v>2420168.08</v>
      </c>
      <c r="M194" s="12">
        <f>_xlfn.XLOOKUP(TableDailySummary[[#This Row],[Fecha]],SummaryDaily[day],SummaryDaily[Online Store_orders],0)</f>
        <v>8</v>
      </c>
      <c r="N194" s="12">
        <f>_xlfn.XLOOKUP(TableDailySummary[[#This Row],[Fecha]],SummaryDaily[day],SummaryDaily[Online Store_average_order_value],0)</f>
        <v>302521.01</v>
      </c>
      <c r="O194" s="12">
        <f>_xlfn.XLOOKUP(TableDailySummary[[#This Row],[Fecha]],SummaryDaily[day],SummaryDaily[Tienda 81_net_sales],0)</f>
        <v>679252.08</v>
      </c>
      <c r="P194" s="12">
        <f>_xlfn.XLOOKUP(TableDailySummary[[#This Row],[Fecha]],SummaryDaily[day],SummaryDaily[Tienda 81_orders],0)</f>
        <v>7</v>
      </c>
      <c r="Q194" s="12">
        <f>_xlfn.XLOOKUP(TableDailySummary[[#This Row],[Fecha]],SummaryDaily[day],SummaryDaily[Tienda 81_average_order_value],0)</f>
        <v>87792.315000000002</v>
      </c>
      <c r="R194" s="12">
        <f>_xlfn.XLOOKUP(TableDailySummary[[#This Row],[Fecha]],SummaryDaily[day],SummaryDaily[Rappi_net_sales],0)</f>
        <v>0</v>
      </c>
      <c r="S194" s="12">
        <f>_xlfn.XLOOKUP(TableDailySummary[[#This Row],[Fecha]],SummaryDaily[day],SummaryDaily[Rappi_orders],0)</f>
        <v>0</v>
      </c>
      <c r="T194" s="12">
        <f>_xlfn.XLOOKUP(TableDailySummary[[#This Row],[Fecha]],SummaryDaily[day],SummaryDaily[Rappi_average_order_value],0)</f>
        <v>0</v>
      </c>
      <c r="U194" s="12">
        <f>_xlfn.XLOOKUP(TableDailySummary[[#This Row],[Fecha]],SummaryDaily[day],SummaryDaily[Corporativo no tienda_net_sales],0)</f>
        <v>0</v>
      </c>
      <c r="V194" s="12">
        <f>_xlfn.XLOOKUP(TableDailySummary[[#This Row],[Fecha]],SummaryDaily[day],SummaryDaily[Corporativo no tienda_orders],0)</f>
        <v>0</v>
      </c>
      <c r="W194" s="12">
        <f>_xlfn.XLOOKUP(TableDailySummary[[#This Row],[Fecha]],SummaryDaily[day],SummaryDaily[Corporativo no tienda_average_order_value],0)</f>
        <v>0</v>
      </c>
      <c r="X194" s="12">
        <f>_xlfn.XLOOKUP(TableDailySummary[[#This Row],[Fecha]],SummaryDaily[day],SummaryDaily[GoogleAdsOperation.Cost],0)</f>
        <v>52466.6</v>
      </c>
      <c r="Y194" s="12">
        <f>SUMIFS(SalesByUTMDaily[google],SalesByUTMDaily[day],TableDailySummary[[#This Row],[Fecha]])</f>
        <v>0</v>
      </c>
      <c r="Z194" s="12">
        <f>_xlfn.XLOOKUP(TableDailySummary[[#This Row],[Fecha]],SummaryDaily[day],SummaryDaily[MetaAdsOperation.spend],0)</f>
        <v>50019</v>
      </c>
      <c r="AA194" s="12">
        <f>SUMIFS(SalesByUTMDaily[facebook],SalesByUTMDaily[day],TableDailySummary[[#This Row],[Fecha]])</f>
        <v>129000</v>
      </c>
      <c r="AB194" s="12">
        <f>TableDailySummary[[#This Row],[Inversión google ads]]+TableDailySummary[[#This Row],[Inversión meta ads]]</f>
        <v>102485.6</v>
      </c>
      <c r="AC194" s="12">
        <f>TableDailySummary[[#This Row],[Ventas google ads]]+TableDailySummary[[#This Row],[Ventas meta ads]]</f>
        <v>129000</v>
      </c>
      <c r="AD194" s="14">
        <f>IFERROR(TableDailySummary[[#This Row],[Ventas publicidad]]/TableDailySummary[[#This Row],[Inversión publicidad]],0)</f>
        <v>1.2587134192510947</v>
      </c>
      <c r="AE194" s="14">
        <f>IFERROR(TableDailySummary[[#This Row],[Ventas primer cliente]]/TableDailySummary[[#This Row],[Inversión publicidad]],0)</f>
        <v>10.727557530033486</v>
      </c>
      <c r="AF194" s="14"/>
      <c r="AG194" s="12"/>
      <c r="AM194" s="12">
        <f>_xlfn.XLOOKUP(TableDailySummary[[#This Row],[Fecha]],SummaryDaily[day],SummaryDaily[net_sales_with_cost_recorded],0)</f>
        <v>3049000</v>
      </c>
      <c r="AN194" s="12">
        <f>_xlfn.XLOOKUP(TableDailySummary[[#This Row],[Fecha]],SummaryDaily[day],SummaryDaily[cost_of_goods_sold],0)</f>
        <v>1128413</v>
      </c>
      <c r="AO194" s="12">
        <f>_xlfn.XLOOKUP(TableDailySummary[[#This Row],[Fecha]],SummaryDaily[day],SummaryDaily[gross_profit],0)</f>
        <v>1920587</v>
      </c>
      <c r="AP194" s="18">
        <f>IFERROR(TableDailySummary[[#This Row],[Utilidad bruta]]/TableDailySummary[[#This Row],[Ventas netas con costo registrado]],0)</f>
        <v>0.62990718268284684</v>
      </c>
    </row>
    <row r="195" spans="2:42" x14ac:dyDescent="0.2">
      <c r="B195" s="15" cm="1">
        <f t="array" ref="B195">MIN(SummaryDaily[day]) + (ROW(TableDailySummary[#This Row]) - ROW(TableDailySummary[[#Headers],[Dia]]) - 1)</f>
        <v>45966</v>
      </c>
      <c r="C195" s="6">
        <f>TableDailySummary[[#This Row],[Dia]]</f>
        <v>45966</v>
      </c>
      <c r="D195" s="12">
        <f>_xlfn.XLOOKUP(TableDailySummary[[#This Row],[Fecha]],SummaryDaily[day],SummaryDaily[net_sales],0)</f>
        <v>4800294.12</v>
      </c>
      <c r="E195" s="12">
        <f>_xlfn.XLOOKUP(TableDailySummary[[#This Row],[Fecha]],SummaryDaily[day],SummaryDaily[orders],0)</f>
        <v>19</v>
      </c>
      <c r="F195" s="12">
        <f>_xlfn.XLOOKUP(TableDailySummary[[#This Row],[Fecha]],SummaryDaily[day],SummaryDaily[average_order_value],0)</f>
        <v>237167.182</v>
      </c>
      <c r="G195" s="24">
        <f>_xlfn.XLOOKUP(TableDailySummary[[#This Row],[Fecha]],SummaryDaily[day],SummaryDaily[Total site_conversion_rate],0)</f>
        <v>1.1641443538998836E-2</v>
      </c>
      <c r="H195" s="12">
        <f>TableDailySummary[[#This Row],[Órden promedio totales]]*TableDailySummary[[#This Row],[CR totales]]</f>
        <v>2760.9683585564612</v>
      </c>
      <c r="I195" s="12">
        <f>_xlfn.XLOOKUP(TableDailySummary[[#This Row],[Fecha]],SummaryDaily[day],SummaryDaily[new_net_sales],0)</f>
        <v>3405336.13</v>
      </c>
      <c r="J195" s="12">
        <f>_xlfn.XLOOKUP(TableDailySummary[[#This Row],[Fecha]],SummaryDaily[day],SummaryDaily[new_orders],0)</f>
        <v>11</v>
      </c>
      <c r="K195" s="12">
        <f>_xlfn.XLOOKUP(TableDailySummary[[#This Row],[Fecha]],SummaryDaily[day],SummaryDaily[new_average_order_value],0)</f>
        <v>309576.011</v>
      </c>
      <c r="L195" s="12">
        <f>_xlfn.XLOOKUP(TableDailySummary[[#This Row],[Fecha]],SummaryDaily[day],SummaryDaily[Online Store_net_sales],0)</f>
        <v>1411764.71</v>
      </c>
      <c r="M195" s="12">
        <f>_xlfn.XLOOKUP(TableDailySummary[[#This Row],[Fecha]],SummaryDaily[day],SummaryDaily[Online Store_orders],0)</f>
        <v>9</v>
      </c>
      <c r="N195" s="12">
        <f>_xlfn.XLOOKUP(TableDailySummary[[#This Row],[Fecha]],SummaryDaily[day],SummaryDaily[Online Store_average_order_value],0)</f>
        <v>156862.745</v>
      </c>
      <c r="O195" s="12">
        <f>_xlfn.XLOOKUP(TableDailySummary[[#This Row],[Fecha]],SummaryDaily[day],SummaryDaily[Tienda 81_net_sales],0)</f>
        <v>1888529.41</v>
      </c>
      <c r="P195" s="12">
        <f>_xlfn.XLOOKUP(TableDailySummary[[#This Row],[Fecha]],SummaryDaily[day],SummaryDaily[Tienda 81_orders],0)</f>
        <v>9</v>
      </c>
      <c r="Q195" s="12">
        <f>_xlfn.XLOOKUP(TableDailySummary[[#This Row],[Fecha]],SummaryDaily[day],SummaryDaily[Tienda 81_average_order_value],0)</f>
        <v>177156.86199999999</v>
      </c>
      <c r="R195" s="12">
        <f>_xlfn.XLOOKUP(TableDailySummary[[#This Row],[Fecha]],SummaryDaily[day],SummaryDaily[Rappi_net_sales],0)</f>
        <v>0</v>
      </c>
      <c r="S195" s="12">
        <f>_xlfn.XLOOKUP(TableDailySummary[[#This Row],[Fecha]],SummaryDaily[day],SummaryDaily[Rappi_orders],0)</f>
        <v>0</v>
      </c>
      <c r="T195" s="12">
        <f>_xlfn.XLOOKUP(TableDailySummary[[#This Row],[Fecha]],SummaryDaily[day],SummaryDaily[Rappi_average_order_value],0)</f>
        <v>0</v>
      </c>
      <c r="U195" s="12">
        <f>_xlfn.XLOOKUP(TableDailySummary[[#This Row],[Fecha]],SummaryDaily[day],SummaryDaily[Corporativo no tienda_net_sales],0)</f>
        <v>1500000</v>
      </c>
      <c r="V195" s="12">
        <f>_xlfn.XLOOKUP(TableDailySummary[[#This Row],[Fecha]],SummaryDaily[day],SummaryDaily[Corporativo no tienda_orders],0)</f>
        <v>1</v>
      </c>
      <c r="W195" s="12">
        <f>_xlfn.XLOOKUP(TableDailySummary[[#This Row],[Fecha]],SummaryDaily[day],SummaryDaily[Corporativo no tienda_average_order_value],0)</f>
        <v>1500000</v>
      </c>
      <c r="X195" s="12">
        <f>_xlfn.XLOOKUP(TableDailySummary[[#This Row],[Fecha]],SummaryDaily[day],SummaryDaily[GoogleAdsOperation.Cost],0)</f>
        <v>91914.51</v>
      </c>
      <c r="Y195" s="12">
        <f>SUMIFS(SalesByUTMDaily[google],SalesByUTMDaily[day],TableDailySummary[[#This Row],[Fecha]])</f>
        <v>0</v>
      </c>
      <c r="Z195" s="12">
        <f>_xlfn.XLOOKUP(TableDailySummary[[#This Row],[Fecha]],SummaryDaily[day],SummaryDaily[MetaAdsOperation.spend],0)</f>
        <v>51961</v>
      </c>
      <c r="AA195" s="12">
        <f>SUMIFS(SalesByUTMDaily[facebook],SalesByUTMDaily[day],TableDailySummary[[#This Row],[Fecha]])</f>
        <v>0</v>
      </c>
      <c r="AB195" s="12">
        <f>TableDailySummary[[#This Row],[Inversión google ads]]+TableDailySummary[[#This Row],[Inversión meta ads]]</f>
        <v>143875.51</v>
      </c>
      <c r="AC195" s="12">
        <f>TableDailySummary[[#This Row],[Ventas google ads]]+TableDailySummary[[#This Row],[Ventas meta ads]]</f>
        <v>0</v>
      </c>
      <c r="AD195" s="14">
        <f>IFERROR(TableDailySummary[[#This Row],[Ventas publicidad]]/TableDailySummary[[#This Row],[Inversión publicidad]],0)</f>
        <v>0</v>
      </c>
      <c r="AE195" s="14">
        <f>IFERROR(TableDailySummary[[#This Row],[Ventas primer cliente]]/TableDailySummary[[#This Row],[Inversión publicidad]],0)</f>
        <v>23.668629428316187</v>
      </c>
      <c r="AF195" s="14"/>
      <c r="AG195" s="12"/>
      <c r="AM195" s="12">
        <f>_xlfn.XLOOKUP(TableDailySummary[[#This Row],[Fecha]],SummaryDaily[day],SummaryDaily[net_sales_with_cost_recorded],0)</f>
        <v>4800294.12</v>
      </c>
      <c r="AN195" s="12">
        <f>_xlfn.XLOOKUP(TableDailySummary[[#This Row],[Fecha]],SummaryDaily[day],SummaryDaily[cost_of_goods_sold],0)</f>
        <v>1557637</v>
      </c>
      <c r="AO195" s="12">
        <f>_xlfn.XLOOKUP(TableDailySummary[[#This Row],[Fecha]],SummaryDaily[day],SummaryDaily[gross_profit],0)</f>
        <v>3242657.12</v>
      </c>
      <c r="AP195" s="18">
        <f>IFERROR(TableDailySummary[[#This Row],[Utilidad bruta]]/TableDailySummary[[#This Row],[Ventas netas con costo registrado]],0)</f>
        <v>0.67551217465816449</v>
      </c>
    </row>
    <row r="196" spans="2:42" x14ac:dyDescent="0.2">
      <c r="B196" s="15" cm="1">
        <f t="array" ref="B196">MIN(SummaryDaily[day]) + (ROW(TableDailySummary[#This Row]) - ROW(TableDailySummary[[#Headers],[Dia]]) - 1)</f>
        <v>45967</v>
      </c>
      <c r="C196" s="6">
        <f>TableDailySummary[[#This Row],[Dia]]</f>
        <v>45967</v>
      </c>
      <c r="D196" s="12">
        <f>_xlfn.XLOOKUP(TableDailySummary[[#This Row],[Fecha]],SummaryDaily[day],SummaryDaily[net_sales],0)</f>
        <v>2190966.4</v>
      </c>
      <c r="E196" s="12">
        <f>_xlfn.XLOOKUP(TableDailySummary[[#This Row],[Fecha]],SummaryDaily[day],SummaryDaily[orders],0)</f>
        <v>17</v>
      </c>
      <c r="F196" s="12">
        <f>_xlfn.XLOOKUP(TableDailySummary[[#This Row],[Fecha]],SummaryDaily[day],SummaryDaily[average_order_value],0)</f>
        <v>122355.413</v>
      </c>
      <c r="G196" s="24">
        <f>_xlfn.XLOOKUP(TableDailySummary[[#This Row],[Fecha]],SummaryDaily[day],SummaryDaily[Total site_conversion_rate],0)</f>
        <v>7.0671378091872791E-3</v>
      </c>
      <c r="H196" s="12">
        <f>TableDailySummary[[#This Row],[Órden promedio totales]]*TableDailySummary[[#This Row],[CR totales]]</f>
        <v>864.70256537102478</v>
      </c>
      <c r="I196" s="12">
        <f>_xlfn.XLOOKUP(TableDailySummary[[#This Row],[Fecha]],SummaryDaily[day],SummaryDaily[new_net_sales],0)</f>
        <v>448949.59</v>
      </c>
      <c r="J196" s="12">
        <f>_xlfn.XLOOKUP(TableDailySummary[[#This Row],[Fecha]],SummaryDaily[day],SummaryDaily[new_orders],0)</f>
        <v>5</v>
      </c>
      <c r="K196" s="12">
        <f>_xlfn.XLOOKUP(TableDailySummary[[#This Row],[Fecha]],SummaryDaily[day],SummaryDaily[new_average_order_value],0)</f>
        <v>89789.918000000005</v>
      </c>
      <c r="L196" s="12">
        <f>_xlfn.XLOOKUP(TableDailySummary[[#This Row],[Fecha]],SummaryDaily[day],SummaryDaily[Online Store_net_sales],0)</f>
        <v>271428.58</v>
      </c>
      <c r="M196" s="12">
        <f>_xlfn.XLOOKUP(TableDailySummary[[#This Row],[Fecha]],SummaryDaily[day],SummaryDaily[Online Store_orders],0)</f>
        <v>4</v>
      </c>
      <c r="N196" s="12">
        <f>_xlfn.XLOOKUP(TableDailySummary[[#This Row],[Fecha]],SummaryDaily[day],SummaryDaily[Online Store_average_order_value],0)</f>
        <v>67857.145000000004</v>
      </c>
      <c r="O196" s="12">
        <f>_xlfn.XLOOKUP(TableDailySummary[[#This Row],[Fecha]],SummaryDaily[day],SummaryDaily[Tienda 81_net_sales],0)</f>
        <v>1877521.01</v>
      </c>
      <c r="P196" s="12">
        <f>_xlfn.XLOOKUP(TableDailySummary[[#This Row],[Fecha]],SummaryDaily[day],SummaryDaily[Tienda 81_orders],0)</f>
        <v>12</v>
      </c>
      <c r="Q196" s="12">
        <f>_xlfn.XLOOKUP(TableDailySummary[[#This Row],[Fecha]],SummaryDaily[day],SummaryDaily[Tienda 81_average_order_value],0)</f>
        <v>147216.386</v>
      </c>
      <c r="R196" s="12">
        <f>_xlfn.XLOOKUP(TableDailySummary[[#This Row],[Fecha]],SummaryDaily[day],SummaryDaily[Rappi_net_sales],0)</f>
        <v>42016.81</v>
      </c>
      <c r="S196" s="12">
        <f>_xlfn.XLOOKUP(TableDailySummary[[#This Row],[Fecha]],SummaryDaily[day],SummaryDaily[Rappi_orders],0)</f>
        <v>1</v>
      </c>
      <c r="T196" s="12">
        <f>_xlfn.XLOOKUP(TableDailySummary[[#This Row],[Fecha]],SummaryDaily[day],SummaryDaily[Rappi_average_order_value],0)</f>
        <v>42016.81</v>
      </c>
      <c r="U196" s="12">
        <f>_xlfn.XLOOKUP(TableDailySummary[[#This Row],[Fecha]],SummaryDaily[day],SummaryDaily[Corporativo no tienda_net_sales],0)</f>
        <v>0</v>
      </c>
      <c r="V196" s="12">
        <f>_xlfn.XLOOKUP(TableDailySummary[[#This Row],[Fecha]],SummaryDaily[day],SummaryDaily[Corporativo no tienda_orders],0)</f>
        <v>0</v>
      </c>
      <c r="W196" s="12">
        <f>_xlfn.XLOOKUP(TableDailySummary[[#This Row],[Fecha]],SummaryDaily[day],SummaryDaily[Corporativo no tienda_average_order_value],0)</f>
        <v>0</v>
      </c>
      <c r="X196" s="12">
        <f>_xlfn.XLOOKUP(TableDailySummary[[#This Row],[Fecha]],SummaryDaily[day],SummaryDaily[GoogleAdsOperation.Cost],0)</f>
        <v>51970.25</v>
      </c>
      <c r="Y196" s="12">
        <f>SUMIFS(SalesByUTMDaily[google],SalesByUTMDaily[day],TableDailySummary[[#This Row],[Fecha]])</f>
        <v>0</v>
      </c>
      <c r="Z196" s="12">
        <f>_xlfn.XLOOKUP(TableDailySummary[[#This Row],[Fecha]],SummaryDaily[day],SummaryDaily[MetaAdsOperation.spend],0)</f>
        <v>48663</v>
      </c>
      <c r="AA196" s="12">
        <f>SUMIFS(SalesByUTMDaily[facebook],SalesByUTMDaily[day],TableDailySummary[[#This Row],[Fecha]])</f>
        <v>45000</v>
      </c>
      <c r="AB196" s="12">
        <f>TableDailySummary[[#This Row],[Inversión google ads]]+TableDailySummary[[#This Row],[Inversión meta ads]]</f>
        <v>100633.25</v>
      </c>
      <c r="AC196" s="12">
        <f>TableDailySummary[[#This Row],[Ventas google ads]]+TableDailySummary[[#This Row],[Ventas meta ads]]</f>
        <v>45000</v>
      </c>
      <c r="AD196" s="14">
        <f>IFERROR(TableDailySummary[[#This Row],[Ventas publicidad]]/TableDailySummary[[#This Row],[Inversión publicidad]],0)</f>
        <v>0.44716830669783597</v>
      </c>
      <c r="AE196" s="14">
        <f>IFERROR(TableDailySummary[[#This Row],[Ventas primer cliente]]/TableDailySummary[[#This Row],[Inversión publicidad]],0)</f>
        <v>4.4612450656219496</v>
      </c>
      <c r="AF196" s="14"/>
      <c r="AG196" s="12"/>
      <c r="AM196" s="12">
        <f>_xlfn.XLOOKUP(TableDailySummary[[#This Row],[Fecha]],SummaryDaily[day],SummaryDaily[net_sales_with_cost_recorded],0)</f>
        <v>2115966.4</v>
      </c>
      <c r="AN196" s="12">
        <f>_xlfn.XLOOKUP(TableDailySummary[[#This Row],[Fecha]],SummaryDaily[day],SummaryDaily[cost_of_goods_sold],0)</f>
        <v>634026</v>
      </c>
      <c r="AO196" s="12">
        <f>_xlfn.XLOOKUP(TableDailySummary[[#This Row],[Fecha]],SummaryDaily[day],SummaryDaily[gross_profit],0)</f>
        <v>1481940.4</v>
      </c>
      <c r="AP196" s="18">
        <f>IFERROR(TableDailySummary[[#This Row],[Utilidad bruta]]/TableDailySummary[[#This Row],[Ventas netas con costo registrado]],0)</f>
        <v>0.70036102652669718</v>
      </c>
    </row>
    <row r="197" spans="2:42" x14ac:dyDescent="0.2">
      <c r="B197" s="15" cm="1">
        <f t="array" ref="B197">MIN(SummaryDaily[day]) + (ROW(TableDailySummary[#This Row]) - ROW(TableDailySummary[[#Headers],[Dia]]) - 1)</f>
        <v>45968</v>
      </c>
      <c r="C197" s="6">
        <f>TableDailySummary[[#This Row],[Dia]]</f>
        <v>45968</v>
      </c>
      <c r="D197" s="12">
        <f>_xlfn.XLOOKUP(TableDailySummary[[#This Row],[Fecha]],SummaryDaily[day],SummaryDaily[net_sales],0)</f>
        <v>3946638.66</v>
      </c>
      <c r="E197" s="12">
        <f>_xlfn.XLOOKUP(TableDailySummary[[#This Row],[Fecha]],SummaryDaily[day],SummaryDaily[orders],0)</f>
        <v>23</v>
      </c>
      <c r="F197" s="12">
        <f>_xlfn.XLOOKUP(TableDailySummary[[#This Row],[Fecha]],SummaryDaily[day],SummaryDaily[average_order_value],0)</f>
        <v>167793.204</v>
      </c>
      <c r="G197" s="24">
        <f>_xlfn.XLOOKUP(TableDailySummary[[#This Row],[Fecha]],SummaryDaily[day],SummaryDaily[Total site_conversion_rate],0)</f>
        <v>1.2158054711246201E-2</v>
      </c>
      <c r="H197" s="12">
        <f>TableDailySummary[[#This Row],[Órden promedio totales]]*TableDailySummary[[#This Row],[CR totales]]</f>
        <v>2040.0389544072948</v>
      </c>
      <c r="I197" s="12">
        <f>_xlfn.XLOOKUP(TableDailySummary[[#This Row],[Fecha]],SummaryDaily[day],SummaryDaily[new_net_sales],0)</f>
        <v>2786974.79</v>
      </c>
      <c r="J197" s="12">
        <f>_xlfn.XLOOKUP(TableDailySummary[[#This Row],[Fecha]],SummaryDaily[day],SummaryDaily[new_orders],0)</f>
        <v>16</v>
      </c>
      <c r="K197" s="12">
        <f>_xlfn.XLOOKUP(TableDailySummary[[#This Row],[Fecha]],SummaryDaily[day],SummaryDaily[new_average_order_value],0)</f>
        <v>174185.924</v>
      </c>
      <c r="L197" s="12">
        <f>_xlfn.XLOOKUP(TableDailySummary[[#This Row],[Fecha]],SummaryDaily[day],SummaryDaily[Online Store_net_sales],0)</f>
        <v>1396638.65</v>
      </c>
      <c r="M197" s="12">
        <f>_xlfn.XLOOKUP(TableDailySummary[[#This Row],[Fecha]],SummaryDaily[day],SummaryDaily[Online Store_orders],0)</f>
        <v>6</v>
      </c>
      <c r="N197" s="12">
        <f>_xlfn.XLOOKUP(TableDailySummary[[#This Row],[Fecha]],SummaryDaily[day],SummaryDaily[Online Store_average_order_value],0)</f>
        <v>232773.10800000001</v>
      </c>
      <c r="O197" s="12">
        <f>_xlfn.XLOOKUP(TableDailySummary[[#This Row],[Fecha]],SummaryDaily[day],SummaryDaily[Tienda 81_net_sales],0)</f>
        <v>2453361.35</v>
      </c>
      <c r="P197" s="12">
        <f>_xlfn.XLOOKUP(TableDailySummary[[#This Row],[Fecha]],SummaryDaily[day],SummaryDaily[Tienda 81_orders],0)</f>
        <v>15</v>
      </c>
      <c r="Q197" s="12">
        <f>_xlfn.XLOOKUP(TableDailySummary[[#This Row],[Fecha]],SummaryDaily[day],SummaryDaily[Tienda 81_average_order_value],0)</f>
        <v>157731.092</v>
      </c>
      <c r="R197" s="12">
        <f>_xlfn.XLOOKUP(TableDailySummary[[#This Row],[Fecha]],SummaryDaily[day],SummaryDaily[Rappi_net_sales],0)</f>
        <v>96638.66</v>
      </c>
      <c r="S197" s="12">
        <f>_xlfn.XLOOKUP(TableDailySummary[[#This Row],[Fecha]],SummaryDaily[day],SummaryDaily[Rappi_orders],0)</f>
        <v>2</v>
      </c>
      <c r="T197" s="12">
        <f>_xlfn.XLOOKUP(TableDailySummary[[#This Row],[Fecha]],SummaryDaily[day],SummaryDaily[Rappi_average_order_value],0)</f>
        <v>48319.33</v>
      </c>
      <c r="U197" s="12">
        <f>_xlfn.XLOOKUP(TableDailySummary[[#This Row],[Fecha]],SummaryDaily[day],SummaryDaily[Corporativo no tienda_net_sales],0)</f>
        <v>0</v>
      </c>
      <c r="V197" s="12">
        <f>_xlfn.XLOOKUP(TableDailySummary[[#This Row],[Fecha]],SummaryDaily[day],SummaryDaily[Corporativo no tienda_orders],0)</f>
        <v>0</v>
      </c>
      <c r="W197" s="12">
        <f>_xlfn.XLOOKUP(TableDailySummary[[#This Row],[Fecha]],SummaryDaily[day],SummaryDaily[Corporativo no tienda_average_order_value],0)</f>
        <v>0</v>
      </c>
      <c r="X197" s="12">
        <f>_xlfn.XLOOKUP(TableDailySummary[[#This Row],[Fecha]],SummaryDaily[day],SummaryDaily[GoogleAdsOperation.Cost],0)</f>
        <v>93254.33</v>
      </c>
      <c r="Y197" s="12">
        <f>SUMIFS(SalesByUTMDaily[google],SalesByUTMDaily[day],TableDailySummary[[#This Row],[Fecha]])</f>
        <v>0</v>
      </c>
      <c r="Z197" s="12">
        <f>_xlfn.XLOOKUP(TableDailySummary[[#This Row],[Fecha]],SummaryDaily[day],SummaryDaily[MetaAdsOperation.spend],0)</f>
        <v>48617</v>
      </c>
      <c r="AA197" s="12">
        <f>SUMIFS(SalesByUTMDaily[facebook],SalesByUTMDaily[day],TableDailySummary[[#This Row],[Fecha]])</f>
        <v>0</v>
      </c>
      <c r="AB197" s="12">
        <f>TableDailySummary[[#This Row],[Inversión google ads]]+TableDailySummary[[#This Row],[Inversión meta ads]]</f>
        <v>141871.33000000002</v>
      </c>
      <c r="AC197" s="12">
        <f>TableDailySummary[[#This Row],[Ventas google ads]]+TableDailySummary[[#This Row],[Ventas meta ads]]</f>
        <v>0</v>
      </c>
      <c r="AD197" s="14">
        <f>IFERROR(TableDailySummary[[#This Row],[Ventas publicidad]]/TableDailySummary[[#This Row],[Inversión publicidad]],0)</f>
        <v>0</v>
      </c>
      <c r="AE197" s="14">
        <f>IFERROR(TableDailySummary[[#This Row],[Ventas primer cliente]]/TableDailySummary[[#This Row],[Inversión publicidad]],0)</f>
        <v>19.644383329598728</v>
      </c>
      <c r="AF197" s="14"/>
      <c r="AG197" s="12"/>
      <c r="AM197" s="12">
        <f>_xlfn.XLOOKUP(TableDailySummary[[#This Row],[Fecha]],SummaryDaily[day],SummaryDaily[net_sales_with_cost_recorded],0)</f>
        <v>3511344.55</v>
      </c>
      <c r="AN197" s="12">
        <f>_xlfn.XLOOKUP(TableDailySummary[[#This Row],[Fecha]],SummaryDaily[day],SummaryDaily[cost_of_goods_sold],0)</f>
        <v>1081736</v>
      </c>
      <c r="AO197" s="12">
        <f>_xlfn.XLOOKUP(TableDailySummary[[#This Row],[Fecha]],SummaryDaily[day],SummaryDaily[gross_profit],0)</f>
        <v>2429608.5499999998</v>
      </c>
      <c r="AP197" s="18">
        <f>IFERROR(TableDailySummary[[#This Row],[Utilidad bruta]]/TableDailySummary[[#This Row],[Ventas netas con costo registrado]],0)</f>
        <v>0.69193111510518102</v>
      </c>
    </row>
    <row r="198" spans="2:42" x14ac:dyDescent="0.2">
      <c r="B198" s="15" cm="1">
        <f t="array" ref="B198">MIN(SummaryDaily[day]) + (ROW(TableDailySummary[#This Row]) - ROW(TableDailySummary[[#Headers],[Dia]]) - 1)</f>
        <v>45969</v>
      </c>
      <c r="C198" s="6">
        <f>TableDailySummary[[#This Row],[Dia]]</f>
        <v>45969</v>
      </c>
      <c r="D198" s="12">
        <f>_xlfn.XLOOKUP(TableDailySummary[[#This Row],[Fecha]],SummaryDaily[day],SummaryDaily[net_sales],0)</f>
        <v>7296596.6500000004</v>
      </c>
      <c r="E198" s="12">
        <f>_xlfn.XLOOKUP(TableDailySummary[[#This Row],[Fecha]],SummaryDaily[day],SummaryDaily[orders],0)</f>
        <v>19</v>
      </c>
      <c r="F198" s="12">
        <f>_xlfn.XLOOKUP(TableDailySummary[[#This Row],[Fecha]],SummaryDaily[day],SummaryDaily[average_order_value],0)</f>
        <v>353040.69</v>
      </c>
      <c r="G198" s="24">
        <f>_xlfn.XLOOKUP(TableDailySummary[[#This Row],[Fecha]],SummaryDaily[day],SummaryDaily[Total site_conversion_rate],0)</f>
        <v>8.7912087912087912E-3</v>
      </c>
      <c r="H198" s="12">
        <f>TableDailySummary[[#This Row],[Órden promedio totales]]*TableDailySummary[[#This Row],[CR totales]]</f>
        <v>3103.6544175824174</v>
      </c>
      <c r="I198" s="12">
        <f>_xlfn.XLOOKUP(TableDailySummary[[#This Row],[Fecha]],SummaryDaily[day],SummaryDaily[new_net_sales],0)</f>
        <v>5768277.3200000003</v>
      </c>
      <c r="J198" s="12">
        <f>_xlfn.XLOOKUP(TableDailySummary[[#This Row],[Fecha]],SummaryDaily[day],SummaryDaily[new_orders],0)</f>
        <v>12</v>
      </c>
      <c r="K198" s="12">
        <f>_xlfn.XLOOKUP(TableDailySummary[[#This Row],[Fecha]],SummaryDaily[day],SummaryDaily[new_average_order_value],0)</f>
        <v>463883.054</v>
      </c>
      <c r="L198" s="12">
        <f>_xlfn.XLOOKUP(TableDailySummary[[#This Row],[Fecha]],SummaryDaily[day],SummaryDaily[Online Store_net_sales],0)</f>
        <v>668067.23</v>
      </c>
      <c r="M198" s="12">
        <f>_xlfn.XLOOKUP(TableDailySummary[[#This Row],[Fecha]],SummaryDaily[day],SummaryDaily[Online Store_orders],0)</f>
        <v>4</v>
      </c>
      <c r="N198" s="12">
        <f>_xlfn.XLOOKUP(TableDailySummary[[#This Row],[Fecha]],SummaryDaily[day],SummaryDaily[Online Store_average_order_value],0)</f>
        <v>167016.807</v>
      </c>
      <c r="O198" s="12">
        <f>_xlfn.XLOOKUP(TableDailySummary[[#This Row],[Fecha]],SummaryDaily[day],SummaryDaily[Tienda 81_net_sales],0)</f>
        <v>6456260.5099999998</v>
      </c>
      <c r="P198" s="12">
        <f>_xlfn.XLOOKUP(TableDailySummary[[#This Row],[Fecha]],SummaryDaily[day],SummaryDaily[Tienda 81_orders],0)</f>
        <v>13</v>
      </c>
      <c r="Q198" s="12">
        <f>_xlfn.XLOOKUP(TableDailySummary[[#This Row],[Fecha]],SummaryDaily[day],SummaryDaily[Tienda 81_average_order_value],0)</f>
        <v>451341.30599999998</v>
      </c>
      <c r="R198" s="12">
        <f>_xlfn.XLOOKUP(TableDailySummary[[#This Row],[Fecha]],SummaryDaily[day],SummaryDaily[Rappi_net_sales],0)</f>
        <v>42016.81</v>
      </c>
      <c r="S198" s="12">
        <f>_xlfn.XLOOKUP(TableDailySummary[[#This Row],[Fecha]],SummaryDaily[day],SummaryDaily[Rappi_orders],0)</f>
        <v>1</v>
      </c>
      <c r="T198" s="12">
        <f>_xlfn.XLOOKUP(TableDailySummary[[#This Row],[Fecha]],SummaryDaily[day],SummaryDaily[Rappi_average_order_value],0)</f>
        <v>42016.81</v>
      </c>
      <c r="U198" s="12">
        <f>_xlfn.XLOOKUP(TableDailySummary[[#This Row],[Fecha]],SummaryDaily[day],SummaryDaily[Corporativo no tienda_net_sales],0)</f>
        <v>0</v>
      </c>
      <c r="V198" s="12">
        <f>_xlfn.XLOOKUP(TableDailySummary[[#This Row],[Fecha]],SummaryDaily[day],SummaryDaily[Corporativo no tienda_orders],0)</f>
        <v>0</v>
      </c>
      <c r="W198" s="12">
        <f>_xlfn.XLOOKUP(TableDailySummary[[#This Row],[Fecha]],SummaryDaily[day],SummaryDaily[Corporativo no tienda_average_order_value],0)</f>
        <v>0</v>
      </c>
      <c r="X198" s="12">
        <f>_xlfn.XLOOKUP(TableDailySummary[[#This Row],[Fecha]],SummaryDaily[day],SummaryDaily[GoogleAdsOperation.Cost],0)</f>
        <v>55264.93</v>
      </c>
      <c r="Y198" s="12">
        <f>SUMIFS(SalesByUTMDaily[google],SalesByUTMDaily[day],TableDailySummary[[#This Row],[Fecha]])</f>
        <v>0</v>
      </c>
      <c r="Z198" s="12">
        <f>_xlfn.XLOOKUP(TableDailySummary[[#This Row],[Fecha]],SummaryDaily[day],SummaryDaily[MetaAdsOperation.spend],0)</f>
        <v>53869</v>
      </c>
      <c r="AA198" s="12">
        <f>SUMIFS(SalesByUTMDaily[facebook],SalesByUTMDaily[day],TableDailySummary[[#This Row],[Fecha]])</f>
        <v>110000</v>
      </c>
      <c r="AB198" s="12">
        <f>TableDailySummary[[#This Row],[Inversión google ads]]+TableDailySummary[[#This Row],[Inversión meta ads]]</f>
        <v>109133.93</v>
      </c>
      <c r="AC198" s="12">
        <f>TableDailySummary[[#This Row],[Ventas google ads]]+TableDailySummary[[#This Row],[Ventas meta ads]]</f>
        <v>110000</v>
      </c>
      <c r="AD198" s="14">
        <f>IFERROR(TableDailySummary[[#This Row],[Ventas publicidad]]/TableDailySummary[[#This Row],[Inversión publicidad]],0)</f>
        <v>1.0079358454332215</v>
      </c>
      <c r="AE198" s="14">
        <f>IFERROR(TableDailySummary[[#This Row],[Ventas primer cliente]]/TableDailySummary[[#This Row],[Inversión publicidad]],0)</f>
        <v>52.855031611158886</v>
      </c>
      <c r="AF198" s="14"/>
      <c r="AG198" s="12"/>
      <c r="AM198" s="12">
        <f>_xlfn.XLOOKUP(TableDailySummary[[#This Row],[Fecha]],SummaryDaily[day],SummaryDaily[net_sales_with_cost_recorded],0)</f>
        <v>7246176.4800000004</v>
      </c>
      <c r="AN198" s="12">
        <f>_xlfn.XLOOKUP(TableDailySummary[[#This Row],[Fecha]],SummaryDaily[day],SummaryDaily[cost_of_goods_sold],0)</f>
        <v>2300259</v>
      </c>
      <c r="AO198" s="12">
        <f>_xlfn.XLOOKUP(TableDailySummary[[#This Row],[Fecha]],SummaryDaily[day],SummaryDaily[gross_profit],0)</f>
        <v>4945917.4800000004</v>
      </c>
      <c r="AP198" s="18">
        <f>IFERROR(TableDailySummary[[#This Row],[Utilidad bruta]]/TableDailySummary[[#This Row],[Ventas netas con costo registrado]],0)</f>
        <v>0.68255548200504224</v>
      </c>
    </row>
    <row r="199" spans="2:42" x14ac:dyDescent="0.2">
      <c r="B199" s="15" cm="1">
        <f t="array" ref="B199">MIN(SummaryDaily[day]) + (ROW(TableDailySummary[#This Row]) - ROW(TableDailySummary[[#Headers],[Dia]]) - 1)</f>
        <v>45970</v>
      </c>
      <c r="C199" s="6">
        <f>TableDailySummary[[#This Row],[Dia]]</f>
        <v>45970</v>
      </c>
      <c r="D199" s="12">
        <f>_xlfn.XLOOKUP(TableDailySummary[[#This Row],[Fecha]],SummaryDaily[day],SummaryDaily[net_sales],0)</f>
        <v>2524630.2599999998</v>
      </c>
      <c r="E199" s="12">
        <f>_xlfn.XLOOKUP(TableDailySummary[[#This Row],[Fecha]],SummaryDaily[day],SummaryDaily[orders],0)</f>
        <v>11</v>
      </c>
      <c r="F199" s="12">
        <f>_xlfn.XLOOKUP(TableDailySummary[[#This Row],[Fecha]],SummaryDaily[day],SummaryDaily[average_order_value],0)</f>
        <v>327453.78100000002</v>
      </c>
      <c r="G199" s="24">
        <f>_xlfn.XLOOKUP(TableDailySummary[[#This Row],[Fecha]],SummaryDaily[day],SummaryDaily[Total site_conversion_rate],0)</f>
        <v>4.0000000000000001E-3</v>
      </c>
      <c r="H199" s="12">
        <f>TableDailySummary[[#This Row],[Órden promedio totales]]*TableDailySummary[[#This Row],[CR totales]]</f>
        <v>1309.8151240000002</v>
      </c>
      <c r="I199" s="12">
        <f>_xlfn.XLOOKUP(TableDailySummary[[#This Row],[Fecha]],SummaryDaily[day],SummaryDaily[new_net_sales],0)</f>
        <v>1238235.29</v>
      </c>
      <c r="J199" s="12">
        <f>_xlfn.XLOOKUP(TableDailySummary[[#This Row],[Fecha]],SummaryDaily[day],SummaryDaily[new_orders],0)</f>
        <v>6</v>
      </c>
      <c r="K199" s="12">
        <f>_xlfn.XLOOKUP(TableDailySummary[[#This Row],[Fecha]],SummaryDaily[day],SummaryDaily[new_average_order_value],0)</f>
        <v>385932.77100000001</v>
      </c>
      <c r="L199" s="12">
        <f>_xlfn.XLOOKUP(TableDailySummary[[#This Row],[Fecha]],SummaryDaily[day],SummaryDaily[Online Store_net_sales],0)</f>
        <v>277310.93</v>
      </c>
      <c r="M199" s="12">
        <f>_xlfn.XLOOKUP(TableDailySummary[[#This Row],[Fecha]],SummaryDaily[day],SummaryDaily[Online Store_orders],0)</f>
        <v>3</v>
      </c>
      <c r="N199" s="12">
        <f>_xlfn.XLOOKUP(TableDailySummary[[#This Row],[Fecha]],SummaryDaily[day],SummaryDaily[Online Store_average_order_value],0)</f>
        <v>441473.39</v>
      </c>
      <c r="O199" s="12">
        <f>_xlfn.XLOOKUP(TableDailySummary[[#This Row],[Fecha]],SummaryDaily[day],SummaryDaily[Tienda 81_net_sales],0)</f>
        <v>2247319.33</v>
      </c>
      <c r="P199" s="12">
        <f>_xlfn.XLOOKUP(TableDailySummary[[#This Row],[Fecha]],SummaryDaily[day],SummaryDaily[Tienda 81_orders],0)</f>
        <v>8</v>
      </c>
      <c r="Q199" s="12">
        <f>_xlfn.XLOOKUP(TableDailySummary[[#This Row],[Fecha]],SummaryDaily[day],SummaryDaily[Tienda 81_average_order_value],0)</f>
        <v>284696.42800000001</v>
      </c>
      <c r="R199" s="12">
        <f>_xlfn.XLOOKUP(TableDailySummary[[#This Row],[Fecha]],SummaryDaily[day],SummaryDaily[Rappi_net_sales],0)</f>
        <v>0</v>
      </c>
      <c r="S199" s="12">
        <f>_xlfn.XLOOKUP(TableDailySummary[[#This Row],[Fecha]],SummaryDaily[day],SummaryDaily[Rappi_orders],0)</f>
        <v>0</v>
      </c>
      <c r="T199" s="12">
        <f>_xlfn.XLOOKUP(TableDailySummary[[#This Row],[Fecha]],SummaryDaily[day],SummaryDaily[Rappi_average_order_value],0)</f>
        <v>0</v>
      </c>
      <c r="U199" s="12">
        <f>_xlfn.XLOOKUP(TableDailySummary[[#This Row],[Fecha]],SummaryDaily[day],SummaryDaily[Corporativo no tienda_net_sales],0)</f>
        <v>0</v>
      </c>
      <c r="V199" s="12">
        <f>_xlfn.XLOOKUP(TableDailySummary[[#This Row],[Fecha]],SummaryDaily[day],SummaryDaily[Corporativo no tienda_orders],0)</f>
        <v>0</v>
      </c>
      <c r="W199" s="12">
        <f>_xlfn.XLOOKUP(TableDailySummary[[#This Row],[Fecha]],SummaryDaily[day],SummaryDaily[Corporativo no tienda_average_order_value],0)</f>
        <v>0</v>
      </c>
      <c r="X199" s="12">
        <f>_xlfn.XLOOKUP(TableDailySummary[[#This Row],[Fecha]],SummaryDaily[day],SummaryDaily[GoogleAdsOperation.Cost],0)</f>
        <v>65626.09</v>
      </c>
      <c r="Y199" s="12">
        <f>SUMIFS(SalesByUTMDaily[google],SalesByUTMDaily[day],TableDailySummary[[#This Row],[Fecha]])</f>
        <v>0</v>
      </c>
      <c r="Z199" s="12">
        <f>_xlfn.XLOOKUP(TableDailySummary[[#This Row],[Fecha]],SummaryDaily[day],SummaryDaily[MetaAdsOperation.spend],0)</f>
        <v>63695</v>
      </c>
      <c r="AA199" s="12">
        <f>SUMIFS(SalesByUTMDaily[facebook],SalesByUTMDaily[day],TableDailySummary[[#This Row],[Fecha]])</f>
        <v>0</v>
      </c>
      <c r="AB199" s="12">
        <f>TableDailySummary[[#This Row],[Inversión google ads]]+TableDailySummary[[#This Row],[Inversión meta ads]]</f>
        <v>129321.09</v>
      </c>
      <c r="AC199" s="12">
        <f>TableDailySummary[[#This Row],[Ventas google ads]]+TableDailySummary[[#This Row],[Ventas meta ads]]</f>
        <v>0</v>
      </c>
      <c r="AD199" s="14">
        <f>IFERROR(TableDailySummary[[#This Row],[Ventas publicidad]]/TableDailySummary[[#This Row],[Inversión publicidad]],0)</f>
        <v>0</v>
      </c>
      <c r="AE199" s="14">
        <f>IFERROR(TableDailySummary[[#This Row],[Ventas primer cliente]]/TableDailySummary[[#This Row],[Inversión publicidad]],0)</f>
        <v>9.5748906075567408</v>
      </c>
      <c r="AF199" s="14"/>
      <c r="AG199" s="12"/>
      <c r="AM199" s="12">
        <f>_xlfn.XLOOKUP(TableDailySummary[[#This Row],[Fecha]],SummaryDaily[day],SummaryDaily[net_sales_with_cost_recorded],0)</f>
        <v>2402941.1800000002</v>
      </c>
      <c r="AN199" s="12">
        <f>_xlfn.XLOOKUP(TableDailySummary[[#This Row],[Fecha]],SummaryDaily[day],SummaryDaily[cost_of_goods_sold],0)</f>
        <v>870633</v>
      </c>
      <c r="AO199" s="12">
        <f>_xlfn.XLOOKUP(TableDailySummary[[#This Row],[Fecha]],SummaryDaily[day],SummaryDaily[gross_profit],0)</f>
        <v>1532308.18</v>
      </c>
      <c r="AP199" s="18">
        <f>IFERROR(TableDailySummary[[#This Row],[Utilidad bruta]]/TableDailySummary[[#This Row],[Ventas netas con costo registrado]],0)</f>
        <v>0.63768026981001669</v>
      </c>
    </row>
    <row r="200" spans="2:42" x14ac:dyDescent="0.2">
      <c r="B200" s="15" cm="1">
        <f t="array" ref="B200">MIN(SummaryDaily[day]) + (ROW(TableDailySummary[#This Row]) - ROW(TableDailySummary[[#Headers],[Dia]]) - 1)</f>
        <v>45971</v>
      </c>
      <c r="C200" s="6">
        <f>TableDailySummary[[#This Row],[Dia]]</f>
        <v>45971</v>
      </c>
      <c r="D200" s="12">
        <f>_xlfn.XLOOKUP(TableDailySummary[[#This Row],[Fecha]],SummaryDaily[day],SummaryDaily[net_sales],0)</f>
        <v>5978781.5</v>
      </c>
      <c r="E200" s="12">
        <f>_xlfn.XLOOKUP(TableDailySummary[[#This Row],[Fecha]],SummaryDaily[day],SummaryDaily[orders],0)</f>
        <v>26</v>
      </c>
      <c r="F200" s="12">
        <f>_xlfn.XLOOKUP(TableDailySummary[[#This Row],[Fecha]],SummaryDaily[day],SummaryDaily[average_order_value],0)</f>
        <v>235447.64</v>
      </c>
      <c r="G200" s="24">
        <f>_xlfn.XLOOKUP(TableDailySummary[[#This Row],[Fecha]],SummaryDaily[day],SummaryDaily[Total site_conversion_rate],0)</f>
        <v>1.1272141706924315E-2</v>
      </c>
      <c r="H200" s="12">
        <f>TableDailySummary[[#This Row],[Órden promedio totales]]*TableDailySummary[[#This Row],[CR totales]]</f>
        <v>2653.9991626409019</v>
      </c>
      <c r="I200" s="12">
        <f>_xlfn.XLOOKUP(TableDailySummary[[#This Row],[Fecha]],SummaryDaily[day],SummaryDaily[new_net_sales],0)</f>
        <v>3615966.38</v>
      </c>
      <c r="J200" s="12">
        <f>_xlfn.XLOOKUP(TableDailySummary[[#This Row],[Fecha]],SummaryDaily[day],SummaryDaily[new_orders],0)</f>
        <v>13</v>
      </c>
      <c r="K200" s="12">
        <f>_xlfn.XLOOKUP(TableDailySummary[[#This Row],[Fecha]],SummaryDaily[day],SummaryDaily[new_average_order_value],0)</f>
        <v>289140.27</v>
      </c>
      <c r="L200" s="12">
        <f>_xlfn.XLOOKUP(TableDailySummary[[#This Row],[Fecha]],SummaryDaily[day],SummaryDaily[Online Store_net_sales],0)</f>
        <v>1235924.3500000001</v>
      </c>
      <c r="M200" s="12">
        <f>_xlfn.XLOOKUP(TableDailySummary[[#This Row],[Fecha]],SummaryDaily[day],SummaryDaily[Online Store_orders],0)</f>
        <v>8</v>
      </c>
      <c r="N200" s="12">
        <f>_xlfn.XLOOKUP(TableDailySummary[[#This Row],[Fecha]],SummaryDaily[day],SummaryDaily[Online Store_average_order_value],0)</f>
        <v>172347.68599999999</v>
      </c>
      <c r="O200" s="12">
        <f>_xlfn.XLOOKUP(TableDailySummary[[#This Row],[Fecha]],SummaryDaily[day],SummaryDaily[Tienda 81_net_sales],0)</f>
        <v>4190756.31</v>
      </c>
      <c r="P200" s="12">
        <f>_xlfn.XLOOKUP(TableDailySummary[[#This Row],[Fecha]],SummaryDaily[day],SummaryDaily[Tienda 81_orders],0)</f>
        <v>17</v>
      </c>
      <c r="Q200" s="12">
        <f>_xlfn.XLOOKUP(TableDailySummary[[#This Row],[Fecha]],SummaryDaily[day],SummaryDaily[Tienda 81_average_order_value],0)</f>
        <v>246515.07699999999</v>
      </c>
      <c r="R200" s="12">
        <f>_xlfn.XLOOKUP(TableDailySummary[[#This Row],[Fecha]],SummaryDaily[day],SummaryDaily[Rappi_net_sales],0)</f>
        <v>0</v>
      </c>
      <c r="S200" s="12">
        <f>_xlfn.XLOOKUP(TableDailySummary[[#This Row],[Fecha]],SummaryDaily[day],SummaryDaily[Rappi_orders],0)</f>
        <v>0</v>
      </c>
      <c r="T200" s="12">
        <f>_xlfn.XLOOKUP(TableDailySummary[[#This Row],[Fecha]],SummaryDaily[day],SummaryDaily[Rappi_average_order_value],0)</f>
        <v>0</v>
      </c>
      <c r="U200" s="12">
        <f>_xlfn.XLOOKUP(TableDailySummary[[#This Row],[Fecha]],SummaryDaily[day],SummaryDaily[Corporativo no tienda_net_sales],0)</f>
        <v>552100.84</v>
      </c>
      <c r="V200" s="12">
        <f>_xlfn.XLOOKUP(TableDailySummary[[#This Row],[Fecha]],SummaryDaily[day],SummaryDaily[Corporativo no tienda_orders],0)</f>
        <v>1</v>
      </c>
      <c r="W200" s="12">
        <f>_xlfn.XLOOKUP(TableDailySummary[[#This Row],[Fecha]],SummaryDaily[day],SummaryDaily[Corporativo no tienda_average_order_value],0)</f>
        <v>552100.84</v>
      </c>
      <c r="X200" s="12">
        <f>_xlfn.XLOOKUP(TableDailySummary[[#This Row],[Fecha]],SummaryDaily[day],SummaryDaily[GoogleAdsOperation.Cost],0)</f>
        <v>83448.62</v>
      </c>
      <c r="Y200" s="12">
        <f>SUMIFS(SalesByUTMDaily[google],SalesByUTMDaily[day],TableDailySummary[[#This Row],[Fecha]])</f>
        <v>84500</v>
      </c>
      <c r="Z200" s="12">
        <f>_xlfn.XLOOKUP(TableDailySummary[[#This Row],[Fecha]],SummaryDaily[day],SummaryDaily[MetaAdsOperation.spend],0)</f>
        <v>46561</v>
      </c>
      <c r="AA200" s="12">
        <f>SUMIFS(SalesByUTMDaily[facebook],SalesByUTMDaily[day],TableDailySummary[[#This Row],[Fecha]])</f>
        <v>0</v>
      </c>
      <c r="AB200" s="12">
        <f>TableDailySummary[[#This Row],[Inversión google ads]]+TableDailySummary[[#This Row],[Inversión meta ads]]</f>
        <v>130009.62</v>
      </c>
      <c r="AC200" s="12">
        <f>TableDailySummary[[#This Row],[Ventas google ads]]+TableDailySummary[[#This Row],[Ventas meta ads]]</f>
        <v>84500</v>
      </c>
      <c r="AD200" s="14">
        <f>IFERROR(TableDailySummary[[#This Row],[Ventas publicidad]]/TableDailySummary[[#This Row],[Inversión publicidad]],0)</f>
        <v>0.64995190355913668</v>
      </c>
      <c r="AE200" s="14">
        <f>IFERROR(TableDailySummary[[#This Row],[Ventas primer cliente]]/TableDailySummary[[#This Row],[Inversión publicidad]],0)</f>
        <v>27.813067832980359</v>
      </c>
      <c r="AF200" s="14"/>
      <c r="AG200" s="12"/>
      <c r="AM200" s="12">
        <f>_xlfn.XLOOKUP(TableDailySummary[[#This Row],[Fecha]],SummaryDaily[day],SummaryDaily[net_sales_with_cost_recorded],0)</f>
        <v>5895588.2000000002</v>
      </c>
      <c r="AN200" s="12">
        <f>_xlfn.XLOOKUP(TableDailySummary[[#This Row],[Fecha]],SummaryDaily[day],SummaryDaily[cost_of_goods_sold],0)</f>
        <v>1622944</v>
      </c>
      <c r="AO200" s="12">
        <f>_xlfn.XLOOKUP(TableDailySummary[[#This Row],[Fecha]],SummaryDaily[day],SummaryDaily[gross_profit],0)</f>
        <v>4272644.2</v>
      </c>
      <c r="AP200" s="18">
        <f>IFERROR(TableDailySummary[[#This Row],[Utilidad bruta]]/TableDailySummary[[#This Row],[Ventas netas con costo registrado]],0)</f>
        <v>0.72471890082146506</v>
      </c>
    </row>
    <row r="201" spans="2:42" x14ac:dyDescent="0.2">
      <c r="B201" s="15" cm="1">
        <f t="array" ref="B201">MIN(SummaryDaily[day]) + (ROW(TableDailySummary[#This Row]) - ROW(TableDailySummary[[#Headers],[Dia]]) - 1)</f>
        <v>45972</v>
      </c>
      <c r="C201" s="6">
        <f>TableDailySummary[[#This Row],[Dia]]</f>
        <v>45972</v>
      </c>
      <c r="D201" s="12">
        <f>_xlfn.XLOOKUP(TableDailySummary[[#This Row],[Fecha]],SummaryDaily[day],SummaryDaily[net_sales],0)</f>
        <v>6828428.5599999996</v>
      </c>
      <c r="E201" s="12">
        <f>_xlfn.XLOOKUP(TableDailySummary[[#This Row],[Fecha]],SummaryDaily[day],SummaryDaily[orders],0)</f>
        <v>38</v>
      </c>
      <c r="F201" s="12">
        <f>_xlfn.XLOOKUP(TableDailySummary[[#This Row],[Fecha]],SummaryDaily[day],SummaryDaily[average_order_value],0)</f>
        <v>180093.54199999999</v>
      </c>
      <c r="G201" s="24">
        <f>_xlfn.XLOOKUP(TableDailySummary[[#This Row],[Fecha]],SummaryDaily[day],SummaryDaily[Total site_conversion_rate],0)</f>
        <v>1.4652014652014652E-2</v>
      </c>
      <c r="H201" s="12">
        <f>TableDailySummary[[#This Row],[Órden promedio totales]]*TableDailySummary[[#This Row],[CR totales]]</f>
        <v>2638.7332161172158</v>
      </c>
      <c r="I201" s="12">
        <f>_xlfn.XLOOKUP(TableDailySummary[[#This Row],[Fecha]],SummaryDaily[day],SummaryDaily[new_net_sales],0)</f>
        <v>2742084.03</v>
      </c>
      <c r="J201" s="12">
        <f>_xlfn.XLOOKUP(TableDailySummary[[#This Row],[Fecha]],SummaryDaily[day],SummaryDaily[new_orders],0)</f>
        <v>16</v>
      </c>
      <c r="K201" s="12">
        <f>_xlfn.XLOOKUP(TableDailySummary[[#This Row],[Fecha]],SummaryDaily[day],SummaryDaily[new_average_order_value],0)</f>
        <v>172325.63</v>
      </c>
      <c r="L201" s="12">
        <f>_xlfn.XLOOKUP(TableDailySummary[[#This Row],[Fecha]],SummaryDaily[day],SummaryDaily[Online Store_net_sales],0)</f>
        <v>3703151.26</v>
      </c>
      <c r="M201" s="12">
        <f>_xlfn.XLOOKUP(TableDailySummary[[#This Row],[Fecha]],SummaryDaily[day],SummaryDaily[Online Store_orders],0)</f>
        <v>10</v>
      </c>
      <c r="N201" s="12">
        <f>_xlfn.XLOOKUP(TableDailySummary[[#This Row],[Fecha]],SummaryDaily[day],SummaryDaily[Online Store_average_order_value],0)</f>
        <v>370315.12599999999</v>
      </c>
      <c r="O201" s="12">
        <f>_xlfn.XLOOKUP(TableDailySummary[[#This Row],[Fecha]],SummaryDaily[day],SummaryDaily[Tienda 81_net_sales],0)</f>
        <v>2944605.03</v>
      </c>
      <c r="P201" s="12">
        <f>_xlfn.XLOOKUP(TableDailySummary[[#This Row],[Fecha]],SummaryDaily[day],SummaryDaily[Tienda 81_orders],0)</f>
        <v>25</v>
      </c>
      <c r="Q201" s="12">
        <f>_xlfn.XLOOKUP(TableDailySummary[[#This Row],[Fecha]],SummaryDaily[day],SummaryDaily[Tienda 81_average_order_value],0)</f>
        <v>118389.243</v>
      </c>
      <c r="R201" s="12">
        <f>_xlfn.XLOOKUP(TableDailySummary[[#This Row],[Fecha]],SummaryDaily[day],SummaryDaily[Rappi_net_sales],0)</f>
        <v>180672.27</v>
      </c>
      <c r="S201" s="12">
        <f>_xlfn.XLOOKUP(TableDailySummary[[#This Row],[Fecha]],SummaryDaily[day],SummaryDaily[Rappi_orders],0)</f>
        <v>3</v>
      </c>
      <c r="T201" s="12">
        <f>_xlfn.XLOOKUP(TableDailySummary[[#This Row],[Fecha]],SummaryDaily[day],SummaryDaily[Rappi_average_order_value],0)</f>
        <v>60224.09</v>
      </c>
      <c r="U201" s="12">
        <f>_xlfn.XLOOKUP(TableDailySummary[[#This Row],[Fecha]],SummaryDaily[day],SummaryDaily[Corporativo no tienda_net_sales],0)</f>
        <v>0</v>
      </c>
      <c r="V201" s="12">
        <f>_xlfn.XLOOKUP(TableDailySummary[[#This Row],[Fecha]],SummaryDaily[day],SummaryDaily[Corporativo no tienda_orders],0)</f>
        <v>0</v>
      </c>
      <c r="W201" s="12">
        <f>_xlfn.XLOOKUP(TableDailySummary[[#This Row],[Fecha]],SummaryDaily[day],SummaryDaily[Corporativo no tienda_average_order_value],0)</f>
        <v>0</v>
      </c>
      <c r="X201" s="12">
        <f>_xlfn.XLOOKUP(TableDailySummary[[#This Row],[Fecha]],SummaryDaily[day],SummaryDaily[GoogleAdsOperation.Cost],0)</f>
        <v>67602.679999999993</v>
      </c>
      <c r="Y201" s="12">
        <f>SUMIFS(SalesByUTMDaily[google],SalesByUTMDaily[day],TableDailySummary[[#This Row],[Fecha]])</f>
        <v>55000</v>
      </c>
      <c r="Z201" s="12">
        <f>_xlfn.XLOOKUP(TableDailySummary[[#This Row],[Fecha]],SummaryDaily[day],SummaryDaily[MetaAdsOperation.spend],0)</f>
        <v>53458</v>
      </c>
      <c r="AA201" s="12">
        <f>SUMIFS(SalesByUTMDaily[facebook],SalesByUTMDaily[day],TableDailySummary[[#This Row],[Fecha]])</f>
        <v>0</v>
      </c>
      <c r="AB201" s="12">
        <f>TableDailySummary[[#This Row],[Inversión google ads]]+TableDailySummary[[#This Row],[Inversión meta ads]]</f>
        <v>121060.68</v>
      </c>
      <c r="AC201" s="12">
        <f>TableDailySummary[[#This Row],[Ventas google ads]]+TableDailySummary[[#This Row],[Ventas meta ads]]</f>
        <v>55000</v>
      </c>
      <c r="AD201" s="14">
        <f>IFERROR(TableDailySummary[[#This Row],[Ventas publicidad]]/TableDailySummary[[#This Row],[Inversión publicidad]],0)</f>
        <v>0.4543176198911158</v>
      </c>
      <c r="AE201" s="14">
        <f>IFERROR(TableDailySummary[[#This Row],[Ventas primer cliente]]/TableDailySummary[[#This Row],[Inversión publicidad]],0)</f>
        <v>22.650492546382523</v>
      </c>
      <c r="AF201" s="14"/>
      <c r="AG201" s="12"/>
      <c r="AM201" s="12">
        <f>_xlfn.XLOOKUP(TableDailySummary[[#This Row],[Fecha]],SummaryDaily[day],SummaryDaily[net_sales_with_cost_recorded],0)</f>
        <v>6503151.25</v>
      </c>
      <c r="AN201" s="12">
        <f>_xlfn.XLOOKUP(TableDailySummary[[#This Row],[Fecha]],SummaryDaily[day],SummaryDaily[cost_of_goods_sold],0)</f>
        <v>1893451</v>
      </c>
      <c r="AO201" s="12">
        <f>_xlfn.XLOOKUP(TableDailySummary[[#This Row],[Fecha]],SummaryDaily[day],SummaryDaily[gross_profit],0)</f>
        <v>4609700.25</v>
      </c>
      <c r="AP201" s="18">
        <f>IFERROR(TableDailySummary[[#This Row],[Utilidad bruta]]/TableDailySummary[[#This Row],[Ventas netas con costo registrado]],0)</f>
        <v>0.70884100227562752</v>
      </c>
    </row>
    <row r="202" spans="2:42" x14ac:dyDescent="0.2">
      <c r="B202" s="15" cm="1">
        <f t="array" ref="B202">MIN(SummaryDaily[day]) + (ROW(TableDailySummary[#This Row]) - ROW(TableDailySummary[[#Headers],[Dia]]) - 1)</f>
        <v>45973</v>
      </c>
      <c r="C202" s="6">
        <f>TableDailySummary[[#This Row],[Dia]]</f>
        <v>45973</v>
      </c>
      <c r="D202" s="12">
        <f>_xlfn.XLOOKUP(TableDailySummary[[#This Row],[Fecha]],SummaryDaily[day],SummaryDaily[net_sales],0)</f>
        <v>4911764.68</v>
      </c>
      <c r="E202" s="12">
        <f>_xlfn.XLOOKUP(TableDailySummary[[#This Row],[Fecha]],SummaryDaily[day],SummaryDaily[orders],0)</f>
        <v>18</v>
      </c>
      <c r="F202" s="12">
        <f>_xlfn.XLOOKUP(TableDailySummary[[#This Row],[Fecha]],SummaryDaily[day],SummaryDaily[average_order_value],0)</f>
        <v>262605.04100000003</v>
      </c>
      <c r="G202" s="24">
        <f>_xlfn.XLOOKUP(TableDailySummary[[#This Row],[Fecha]],SummaryDaily[day],SummaryDaily[Total site_conversion_rate],0)</f>
        <v>1.155115511551155E-2</v>
      </c>
      <c r="H202" s="12">
        <f>TableDailySummary[[#This Row],[Órden promedio totales]]*TableDailySummary[[#This Row],[CR totales]]</f>
        <v>3033.3915627062706</v>
      </c>
      <c r="I202" s="12">
        <f>_xlfn.XLOOKUP(TableDailySummary[[#This Row],[Fecha]],SummaryDaily[day],SummaryDaily[new_net_sales],0)</f>
        <v>3521008.39</v>
      </c>
      <c r="J202" s="12">
        <f>_xlfn.XLOOKUP(TableDailySummary[[#This Row],[Fecha]],SummaryDaily[day],SummaryDaily[new_orders],0)</f>
        <v>13</v>
      </c>
      <c r="K202" s="12">
        <f>_xlfn.XLOOKUP(TableDailySummary[[#This Row],[Fecha]],SummaryDaily[day],SummaryDaily[new_average_order_value],0)</f>
        <v>270846.799</v>
      </c>
      <c r="L202" s="12">
        <f>_xlfn.XLOOKUP(TableDailySummary[[#This Row],[Fecha]],SummaryDaily[day],SummaryDaily[Online Store_net_sales],0)</f>
        <v>365546.22</v>
      </c>
      <c r="M202" s="12">
        <f>_xlfn.XLOOKUP(TableDailySummary[[#This Row],[Fecha]],SummaryDaily[day],SummaryDaily[Online Store_orders],0)</f>
        <v>3</v>
      </c>
      <c r="N202" s="12">
        <f>_xlfn.XLOOKUP(TableDailySummary[[#This Row],[Fecha]],SummaryDaily[day],SummaryDaily[Online Store_average_order_value],0)</f>
        <v>121848.74</v>
      </c>
      <c r="O202" s="12">
        <f>_xlfn.XLOOKUP(TableDailySummary[[#This Row],[Fecha]],SummaryDaily[day],SummaryDaily[Tienda 81_net_sales],0)</f>
        <v>4546218.46</v>
      </c>
      <c r="P202" s="12">
        <f>_xlfn.XLOOKUP(TableDailySummary[[#This Row],[Fecha]],SummaryDaily[day],SummaryDaily[Tienda 81_orders],0)</f>
        <v>15</v>
      </c>
      <c r="Q202" s="12">
        <f>_xlfn.XLOOKUP(TableDailySummary[[#This Row],[Fecha]],SummaryDaily[day],SummaryDaily[Tienda 81_average_order_value],0)</f>
        <v>290756.30099999998</v>
      </c>
      <c r="R202" s="12">
        <f>_xlfn.XLOOKUP(TableDailySummary[[#This Row],[Fecha]],SummaryDaily[day],SummaryDaily[Rappi_net_sales],0)</f>
        <v>0</v>
      </c>
      <c r="S202" s="12">
        <f>_xlfn.XLOOKUP(TableDailySummary[[#This Row],[Fecha]],SummaryDaily[day],SummaryDaily[Rappi_orders],0)</f>
        <v>0</v>
      </c>
      <c r="T202" s="12">
        <f>_xlfn.XLOOKUP(TableDailySummary[[#This Row],[Fecha]],SummaryDaily[day],SummaryDaily[Rappi_average_order_value],0)</f>
        <v>0</v>
      </c>
      <c r="U202" s="12">
        <f>_xlfn.XLOOKUP(TableDailySummary[[#This Row],[Fecha]],SummaryDaily[day],SummaryDaily[Corporativo no tienda_net_sales],0)</f>
        <v>0</v>
      </c>
      <c r="V202" s="12">
        <f>_xlfn.XLOOKUP(TableDailySummary[[#This Row],[Fecha]],SummaryDaily[day],SummaryDaily[Corporativo no tienda_orders],0)</f>
        <v>0</v>
      </c>
      <c r="W202" s="12">
        <f>_xlfn.XLOOKUP(TableDailySummary[[#This Row],[Fecha]],SummaryDaily[day],SummaryDaily[Corporativo no tienda_average_order_value],0)</f>
        <v>0</v>
      </c>
      <c r="X202" s="12">
        <f>_xlfn.XLOOKUP(TableDailySummary[[#This Row],[Fecha]],SummaryDaily[day],SummaryDaily[GoogleAdsOperation.Cost],0)</f>
        <v>79499.7</v>
      </c>
      <c r="Y202" s="12">
        <f>SUMIFS(SalesByUTMDaily[google],SalesByUTMDaily[day],TableDailySummary[[#This Row],[Fecha]])</f>
        <v>0</v>
      </c>
      <c r="Z202" s="12">
        <f>_xlfn.XLOOKUP(TableDailySummary[[#This Row],[Fecha]],SummaryDaily[day],SummaryDaily[MetaAdsOperation.spend],0)</f>
        <v>50448</v>
      </c>
      <c r="AA202" s="12">
        <f>SUMIFS(SalesByUTMDaily[facebook],SalesByUTMDaily[day],TableDailySummary[[#This Row],[Fecha]])</f>
        <v>0</v>
      </c>
      <c r="AB202" s="12">
        <f>TableDailySummary[[#This Row],[Inversión google ads]]+TableDailySummary[[#This Row],[Inversión meta ads]]</f>
        <v>129947.7</v>
      </c>
      <c r="AC202" s="12">
        <f>TableDailySummary[[#This Row],[Ventas google ads]]+TableDailySummary[[#This Row],[Ventas meta ads]]</f>
        <v>0</v>
      </c>
      <c r="AD202" s="14">
        <f>IFERROR(TableDailySummary[[#This Row],[Ventas publicidad]]/TableDailySummary[[#This Row],[Inversión publicidad]],0)</f>
        <v>0</v>
      </c>
      <c r="AE202" s="14">
        <f>IFERROR(TableDailySummary[[#This Row],[Ventas primer cliente]]/TableDailySummary[[#This Row],[Inversión publicidad]],0)</f>
        <v>27.095580683613488</v>
      </c>
      <c r="AF202" s="14"/>
      <c r="AG202" s="12"/>
      <c r="AM202" s="12">
        <f>_xlfn.XLOOKUP(TableDailySummary[[#This Row],[Fecha]],SummaryDaily[day],SummaryDaily[net_sales_with_cost_recorded],0)</f>
        <v>4798319.3</v>
      </c>
      <c r="AN202" s="12">
        <f>_xlfn.XLOOKUP(TableDailySummary[[#This Row],[Fecha]],SummaryDaily[day],SummaryDaily[cost_of_goods_sold],0)</f>
        <v>1473056</v>
      </c>
      <c r="AO202" s="12">
        <f>_xlfn.XLOOKUP(TableDailySummary[[#This Row],[Fecha]],SummaryDaily[day],SummaryDaily[gross_profit],0)</f>
        <v>3325263.3</v>
      </c>
      <c r="AP202" s="18">
        <f>IFERROR(TableDailySummary[[#This Row],[Utilidad bruta]]/TableDailySummary[[#This Row],[Ventas netas con costo registrado]],0)</f>
        <v>0.69300584060756443</v>
      </c>
    </row>
    <row r="203" spans="2:42" x14ac:dyDescent="0.2">
      <c r="B203" s="15" cm="1">
        <f t="array" ref="B203">MIN(SummaryDaily[day]) + (ROW(TableDailySummary[#This Row]) - ROW(TableDailySummary[[#Headers],[Dia]]) - 1)</f>
        <v>45974</v>
      </c>
      <c r="C203" s="6">
        <f>TableDailySummary[[#This Row],[Dia]]</f>
        <v>45974</v>
      </c>
      <c r="D203" s="12">
        <f>_xlfn.XLOOKUP(TableDailySummary[[#This Row],[Fecha]],SummaryDaily[day],SummaryDaily[net_sales],0)</f>
        <v>4312857.1500000004</v>
      </c>
      <c r="E203" s="12">
        <f>_xlfn.XLOOKUP(TableDailySummary[[#This Row],[Fecha]],SummaryDaily[day],SummaryDaily[orders],0)</f>
        <v>19</v>
      </c>
      <c r="F203" s="12">
        <f>_xlfn.XLOOKUP(TableDailySummary[[#This Row],[Fecha]],SummaryDaily[day],SummaryDaily[average_order_value],0)</f>
        <v>223675.36499999999</v>
      </c>
      <c r="G203" s="24">
        <f>_xlfn.XLOOKUP(TableDailySummary[[#This Row],[Fecha]],SummaryDaily[day],SummaryDaily[Total site_conversion_rate],0)</f>
        <v>1.6556291390728478E-2</v>
      </c>
      <c r="H203" s="12">
        <f>TableDailySummary[[#This Row],[Órden promedio totales]]*TableDailySummary[[#This Row],[CR totales]]</f>
        <v>3703.2345198675498</v>
      </c>
      <c r="I203" s="12">
        <f>_xlfn.XLOOKUP(TableDailySummary[[#This Row],[Fecha]],SummaryDaily[day],SummaryDaily[new_net_sales],0)</f>
        <v>2109243.7000000002</v>
      </c>
      <c r="J203" s="12">
        <f>_xlfn.XLOOKUP(TableDailySummary[[#This Row],[Fecha]],SummaryDaily[day],SummaryDaily[new_orders],0)</f>
        <v>10</v>
      </c>
      <c r="K203" s="12">
        <f>_xlfn.XLOOKUP(TableDailySummary[[#This Row],[Fecha]],SummaryDaily[day],SummaryDaily[new_average_order_value],0)</f>
        <v>215126.05100000001</v>
      </c>
      <c r="L203" s="12">
        <f>_xlfn.XLOOKUP(TableDailySummary[[#This Row],[Fecha]],SummaryDaily[day],SummaryDaily[Online Store_net_sales],0)</f>
        <v>785714.28</v>
      </c>
      <c r="M203" s="12">
        <f>_xlfn.XLOOKUP(TableDailySummary[[#This Row],[Fecha]],SummaryDaily[day],SummaryDaily[Online Store_orders],0)</f>
        <v>7</v>
      </c>
      <c r="N203" s="12">
        <f>_xlfn.XLOOKUP(TableDailySummary[[#This Row],[Fecha]],SummaryDaily[day],SummaryDaily[Online Store_average_order_value],0)</f>
        <v>118247.298</v>
      </c>
      <c r="O203" s="12">
        <f>_xlfn.XLOOKUP(TableDailySummary[[#This Row],[Fecha]],SummaryDaily[day],SummaryDaily[Tienda 81_net_sales],0)</f>
        <v>3262436.98</v>
      </c>
      <c r="P203" s="12">
        <f>_xlfn.XLOOKUP(TableDailySummary[[#This Row],[Fecha]],SummaryDaily[day],SummaryDaily[Tienda 81_orders],0)</f>
        <v>10</v>
      </c>
      <c r="Q203" s="12">
        <f>_xlfn.XLOOKUP(TableDailySummary[[#This Row],[Fecha]],SummaryDaily[day],SummaryDaily[Tienda 81_average_order_value],0)</f>
        <v>320781.51299999998</v>
      </c>
      <c r="R203" s="12">
        <f>_xlfn.XLOOKUP(TableDailySummary[[#This Row],[Fecha]],SummaryDaily[day],SummaryDaily[Rappi_net_sales],0)</f>
        <v>46218.49</v>
      </c>
      <c r="S203" s="12">
        <f>_xlfn.XLOOKUP(TableDailySummary[[#This Row],[Fecha]],SummaryDaily[day],SummaryDaily[Rappi_orders],0)</f>
        <v>1</v>
      </c>
      <c r="T203" s="12">
        <f>_xlfn.XLOOKUP(TableDailySummary[[#This Row],[Fecha]],SummaryDaily[day],SummaryDaily[Rappi_average_order_value],0)</f>
        <v>46218.49</v>
      </c>
      <c r="U203" s="12">
        <f>_xlfn.XLOOKUP(TableDailySummary[[#This Row],[Fecha]],SummaryDaily[day],SummaryDaily[Corporativo no tienda_net_sales],0)</f>
        <v>0</v>
      </c>
      <c r="V203" s="12">
        <f>_xlfn.XLOOKUP(TableDailySummary[[#This Row],[Fecha]],SummaryDaily[day],SummaryDaily[Corporativo no tienda_orders],0)</f>
        <v>0</v>
      </c>
      <c r="W203" s="12">
        <f>_xlfn.XLOOKUP(TableDailySummary[[#This Row],[Fecha]],SummaryDaily[day],SummaryDaily[Corporativo no tienda_average_order_value],0)</f>
        <v>0</v>
      </c>
      <c r="X203" s="12">
        <f>_xlfn.XLOOKUP(TableDailySummary[[#This Row],[Fecha]],SummaryDaily[day],SummaryDaily[GoogleAdsOperation.Cost],0)</f>
        <v>68306.97</v>
      </c>
      <c r="Y203" s="12">
        <f>SUMIFS(SalesByUTMDaily[google],SalesByUTMDaily[day],TableDailySummary[[#This Row],[Fecha]])</f>
        <v>0</v>
      </c>
      <c r="Z203" s="12">
        <f>_xlfn.XLOOKUP(TableDailySummary[[#This Row],[Fecha]],SummaryDaily[day],SummaryDaily[MetaAdsOperation.spend],0)</f>
        <v>43652</v>
      </c>
      <c r="AA203" s="12">
        <f>SUMIFS(SalesByUTMDaily[facebook],SalesByUTMDaily[day],TableDailySummary[[#This Row],[Fecha]])</f>
        <v>0</v>
      </c>
      <c r="AB203" s="12">
        <f>TableDailySummary[[#This Row],[Inversión google ads]]+TableDailySummary[[#This Row],[Inversión meta ads]]</f>
        <v>111958.97</v>
      </c>
      <c r="AC203" s="12">
        <f>TableDailySummary[[#This Row],[Ventas google ads]]+TableDailySummary[[#This Row],[Ventas meta ads]]</f>
        <v>0</v>
      </c>
      <c r="AD203" s="14">
        <f>IFERROR(TableDailySummary[[#This Row],[Ventas publicidad]]/TableDailySummary[[#This Row],[Inversión publicidad]],0)</f>
        <v>0</v>
      </c>
      <c r="AE203" s="14">
        <f>IFERROR(TableDailySummary[[#This Row],[Ventas primer cliente]]/TableDailySummary[[#This Row],[Inversión publicidad]],0)</f>
        <v>18.839434660751166</v>
      </c>
      <c r="AF203" s="14"/>
      <c r="AG203" s="12"/>
      <c r="AM203" s="12">
        <f>_xlfn.XLOOKUP(TableDailySummary[[#This Row],[Fecha]],SummaryDaily[day],SummaryDaily[net_sales_with_cost_recorded],0)</f>
        <v>4291848.75</v>
      </c>
      <c r="AN203" s="12">
        <f>_xlfn.XLOOKUP(TableDailySummary[[#This Row],[Fecha]],SummaryDaily[day],SummaryDaily[cost_of_goods_sold],0)</f>
        <v>1264911</v>
      </c>
      <c r="AO203" s="12">
        <f>_xlfn.XLOOKUP(TableDailySummary[[#This Row],[Fecha]],SummaryDaily[day],SummaryDaily[gross_profit],0)</f>
        <v>3026937.75</v>
      </c>
      <c r="AP203" s="18">
        <f>IFERROR(TableDailySummary[[#This Row],[Utilidad bruta]]/TableDailySummary[[#This Row],[Ventas netas con costo registrado]],0)</f>
        <v>0.70527596062186493</v>
      </c>
    </row>
    <row r="204" spans="2:42" x14ac:dyDescent="0.2">
      <c r="B204" s="15" cm="1">
        <f t="array" ref="B204">MIN(SummaryDaily[day]) + (ROW(TableDailySummary[#This Row]) - ROW(TableDailySummary[[#Headers],[Dia]]) - 1)</f>
        <v>45975</v>
      </c>
      <c r="C204" s="6">
        <f>TableDailySummary[[#This Row],[Dia]]</f>
        <v>45975</v>
      </c>
      <c r="D204" s="12">
        <f>_xlfn.XLOOKUP(TableDailySummary[[#This Row],[Fecha]],SummaryDaily[day],SummaryDaily[net_sales],0)</f>
        <v>3600915.95</v>
      </c>
      <c r="E204" s="12">
        <f>_xlfn.XLOOKUP(TableDailySummary[[#This Row],[Fecha]],SummaryDaily[day],SummaryDaily[orders],0)</f>
        <v>29</v>
      </c>
      <c r="F204" s="12">
        <f>_xlfn.XLOOKUP(TableDailySummary[[#This Row],[Fecha]],SummaryDaily[day],SummaryDaily[average_order_value],0)</f>
        <v>124169.515</v>
      </c>
      <c r="G204" s="24">
        <f>_xlfn.XLOOKUP(TableDailySummary[[#This Row],[Fecha]],SummaryDaily[day],SummaryDaily[Total site_conversion_rate],0)</f>
        <v>7.0821529745042494E-3</v>
      </c>
      <c r="H204" s="12">
        <f>TableDailySummary[[#This Row],[Órden promedio totales]]*TableDailySummary[[#This Row],[CR totales]]</f>
        <v>879.38750000000005</v>
      </c>
      <c r="I204" s="12">
        <f>_xlfn.XLOOKUP(TableDailySummary[[#This Row],[Fecha]],SummaryDaily[day],SummaryDaily[new_net_sales],0)</f>
        <v>1519235.29</v>
      </c>
      <c r="J204" s="12">
        <f>_xlfn.XLOOKUP(TableDailySummary[[#This Row],[Fecha]],SummaryDaily[day],SummaryDaily[new_orders],0)</f>
        <v>14</v>
      </c>
      <c r="K204" s="12">
        <f>_xlfn.XLOOKUP(TableDailySummary[[#This Row],[Fecha]],SummaryDaily[day],SummaryDaily[new_average_order_value],0)</f>
        <v>108516.806</v>
      </c>
      <c r="L204" s="12">
        <f>_xlfn.XLOOKUP(TableDailySummary[[#This Row],[Fecha]],SummaryDaily[day],SummaryDaily[Online Store_net_sales],0)</f>
        <v>925529.41</v>
      </c>
      <c r="M204" s="12">
        <f>_xlfn.XLOOKUP(TableDailySummary[[#This Row],[Fecha]],SummaryDaily[day],SummaryDaily[Online Store_orders],0)</f>
        <v>8</v>
      </c>
      <c r="N204" s="12">
        <f>_xlfn.XLOOKUP(TableDailySummary[[#This Row],[Fecha]],SummaryDaily[day],SummaryDaily[Online Store_average_order_value],0)</f>
        <v>115691.17600000001</v>
      </c>
      <c r="O204" s="12">
        <f>_xlfn.XLOOKUP(TableDailySummary[[#This Row],[Fecha]],SummaryDaily[day],SummaryDaily[Tienda 81_net_sales],0)</f>
        <v>2629168.0499999998</v>
      </c>
      <c r="P204" s="12">
        <f>_xlfn.XLOOKUP(TableDailySummary[[#This Row],[Fecha]],SummaryDaily[day],SummaryDaily[Tienda 81_orders],0)</f>
        <v>20</v>
      </c>
      <c r="Q204" s="12">
        <f>_xlfn.XLOOKUP(TableDailySummary[[#This Row],[Fecha]],SummaryDaily[day],SummaryDaily[Tienda 81_average_order_value],0)</f>
        <v>131458.402</v>
      </c>
      <c r="R204" s="12">
        <f>_xlfn.XLOOKUP(TableDailySummary[[#This Row],[Fecha]],SummaryDaily[day],SummaryDaily[Rappi_net_sales],0)</f>
        <v>46218.49</v>
      </c>
      <c r="S204" s="12">
        <f>_xlfn.XLOOKUP(TableDailySummary[[#This Row],[Fecha]],SummaryDaily[day],SummaryDaily[Rappi_orders],0)</f>
        <v>1</v>
      </c>
      <c r="T204" s="12">
        <f>_xlfn.XLOOKUP(TableDailySummary[[#This Row],[Fecha]],SummaryDaily[day],SummaryDaily[Rappi_average_order_value],0)</f>
        <v>46218.49</v>
      </c>
      <c r="U204" s="12">
        <f>_xlfn.XLOOKUP(TableDailySummary[[#This Row],[Fecha]],SummaryDaily[day],SummaryDaily[Corporativo no tienda_net_sales],0)</f>
        <v>0</v>
      </c>
      <c r="V204" s="12">
        <f>_xlfn.XLOOKUP(TableDailySummary[[#This Row],[Fecha]],SummaryDaily[day],SummaryDaily[Corporativo no tienda_orders],0)</f>
        <v>0</v>
      </c>
      <c r="W204" s="12">
        <f>_xlfn.XLOOKUP(TableDailySummary[[#This Row],[Fecha]],SummaryDaily[day],SummaryDaily[Corporativo no tienda_average_order_value],0)</f>
        <v>0</v>
      </c>
      <c r="X204" s="12">
        <f>_xlfn.XLOOKUP(TableDailySummary[[#This Row],[Fecha]],SummaryDaily[day],SummaryDaily[GoogleAdsOperation.Cost],0)</f>
        <v>83390.44</v>
      </c>
      <c r="Y204" s="12">
        <f>SUMIFS(SalesByUTMDaily[google],SalesByUTMDaily[day],TableDailySummary[[#This Row],[Fecha]])</f>
        <v>149000</v>
      </c>
      <c r="Z204" s="12">
        <f>_xlfn.XLOOKUP(TableDailySummary[[#This Row],[Fecha]],SummaryDaily[day],SummaryDaily[MetaAdsOperation.spend],0)</f>
        <v>52531</v>
      </c>
      <c r="AA204" s="12">
        <f>SUMIFS(SalesByUTMDaily[facebook],SalesByUTMDaily[day],TableDailySummary[[#This Row],[Fecha]])</f>
        <v>0</v>
      </c>
      <c r="AB204" s="12">
        <f>TableDailySummary[[#This Row],[Inversión google ads]]+TableDailySummary[[#This Row],[Inversión meta ads]]</f>
        <v>135921.44</v>
      </c>
      <c r="AC204" s="12">
        <f>TableDailySummary[[#This Row],[Ventas google ads]]+TableDailySummary[[#This Row],[Ventas meta ads]]</f>
        <v>149000</v>
      </c>
      <c r="AD204" s="14">
        <f>IFERROR(TableDailySummary[[#This Row],[Ventas publicidad]]/TableDailySummary[[#This Row],[Inversión publicidad]],0)</f>
        <v>1.0962214643988468</v>
      </c>
      <c r="AE204" s="14">
        <f>IFERROR(TableDailySummary[[#This Row],[Ventas primer cliente]]/TableDailySummary[[#This Row],[Inversión publicidad]],0)</f>
        <v>11.177304257518166</v>
      </c>
      <c r="AF204" s="14"/>
      <c r="AG204" s="12"/>
      <c r="AM204" s="12">
        <f>_xlfn.XLOOKUP(TableDailySummary[[#This Row],[Fecha]],SummaryDaily[day],SummaryDaily[net_sales_with_cost_recorded],0)</f>
        <v>3406798.31</v>
      </c>
      <c r="AN204" s="12">
        <f>_xlfn.XLOOKUP(TableDailySummary[[#This Row],[Fecha]],SummaryDaily[day],SummaryDaily[cost_of_goods_sold],0)</f>
        <v>1079905</v>
      </c>
      <c r="AO204" s="12">
        <f>_xlfn.XLOOKUP(TableDailySummary[[#This Row],[Fecha]],SummaryDaily[day],SummaryDaily[gross_profit],0)</f>
        <v>2326893.31</v>
      </c>
      <c r="AP204" s="18">
        <f>IFERROR(TableDailySummary[[#This Row],[Utilidad bruta]]/TableDailySummary[[#This Row],[Ventas netas con costo registrado]],0)</f>
        <v>0.68301469540179505</v>
      </c>
    </row>
    <row r="205" spans="2:42" x14ac:dyDescent="0.2">
      <c r="B205" s="15" cm="1">
        <f t="array" ref="B205">MIN(SummaryDaily[day]) + (ROW(TableDailySummary[#This Row]) - ROW(TableDailySummary[[#Headers],[Dia]]) - 1)</f>
        <v>45976</v>
      </c>
      <c r="C205" s="6">
        <f>TableDailySummary[[#This Row],[Dia]]</f>
        <v>45976</v>
      </c>
      <c r="D205" s="12">
        <f>_xlfn.XLOOKUP(TableDailySummary[[#This Row],[Fecha]],SummaryDaily[day],SummaryDaily[net_sales],0)</f>
        <v>9912521.0099999998</v>
      </c>
      <c r="E205" s="12">
        <f>_xlfn.XLOOKUP(TableDailySummary[[#This Row],[Fecha]],SummaryDaily[day],SummaryDaily[orders],0)</f>
        <v>26</v>
      </c>
      <c r="F205" s="12">
        <f>_xlfn.XLOOKUP(TableDailySummary[[#This Row],[Fecha]],SummaryDaily[day],SummaryDaily[average_order_value],0)</f>
        <v>380184.22700000001</v>
      </c>
      <c r="G205" s="24">
        <f>_xlfn.XLOOKUP(TableDailySummary[[#This Row],[Fecha]],SummaryDaily[day],SummaryDaily[Total site_conversion_rate],0)</f>
        <v>9.46969696969697E-3</v>
      </c>
      <c r="H205" s="12">
        <f>TableDailySummary[[#This Row],[Órden promedio totales]]*TableDailySummary[[#This Row],[CR totales]]</f>
        <v>3600.2294223484851</v>
      </c>
      <c r="I205" s="12">
        <f>_xlfn.XLOOKUP(TableDailySummary[[#This Row],[Fecha]],SummaryDaily[day],SummaryDaily[new_net_sales],0)</f>
        <v>6205042.0099999998</v>
      </c>
      <c r="J205" s="12">
        <f>_xlfn.XLOOKUP(TableDailySummary[[#This Row],[Fecha]],SummaryDaily[day],SummaryDaily[new_orders],0)</f>
        <v>14</v>
      </c>
      <c r="K205" s="12">
        <f>_xlfn.XLOOKUP(TableDailySummary[[#This Row],[Fecha]],SummaryDaily[day],SummaryDaily[new_average_order_value],0)</f>
        <v>443217.28600000002</v>
      </c>
      <c r="L205" s="12">
        <f>_xlfn.XLOOKUP(TableDailySummary[[#This Row],[Fecha]],SummaryDaily[day],SummaryDaily[Online Store_net_sales],0)</f>
        <v>4308193.29</v>
      </c>
      <c r="M205" s="12">
        <f>_xlfn.XLOOKUP(TableDailySummary[[#This Row],[Fecha]],SummaryDaily[day],SummaryDaily[Online Store_orders],0)</f>
        <v>7</v>
      </c>
      <c r="N205" s="12">
        <f>_xlfn.XLOOKUP(TableDailySummary[[#This Row],[Fecha]],SummaryDaily[day],SummaryDaily[Online Store_average_order_value],0)</f>
        <v>615456.18400000001</v>
      </c>
      <c r="O205" s="12">
        <f>_xlfn.XLOOKUP(TableDailySummary[[#This Row],[Fecha]],SummaryDaily[day],SummaryDaily[Tienda 81_net_sales],0)</f>
        <v>5604327.7199999997</v>
      </c>
      <c r="P205" s="12">
        <f>_xlfn.XLOOKUP(TableDailySummary[[#This Row],[Fecha]],SummaryDaily[day],SummaryDaily[Tienda 81_orders],0)</f>
        <v>19</v>
      </c>
      <c r="Q205" s="12">
        <f>_xlfn.XLOOKUP(TableDailySummary[[#This Row],[Fecha]],SummaryDaily[day],SummaryDaily[Tienda 81_average_order_value],0)</f>
        <v>293505.08500000002</v>
      </c>
      <c r="R205" s="12">
        <f>_xlfn.XLOOKUP(TableDailySummary[[#This Row],[Fecha]],SummaryDaily[day],SummaryDaily[Rappi_net_sales],0)</f>
        <v>0</v>
      </c>
      <c r="S205" s="12">
        <f>_xlfn.XLOOKUP(TableDailySummary[[#This Row],[Fecha]],SummaryDaily[day],SummaryDaily[Rappi_orders],0)</f>
        <v>0</v>
      </c>
      <c r="T205" s="12">
        <f>_xlfn.XLOOKUP(TableDailySummary[[#This Row],[Fecha]],SummaryDaily[day],SummaryDaily[Rappi_average_order_value],0)</f>
        <v>0</v>
      </c>
      <c r="U205" s="12">
        <f>_xlfn.XLOOKUP(TableDailySummary[[#This Row],[Fecha]],SummaryDaily[day],SummaryDaily[Corporativo no tienda_net_sales],0)</f>
        <v>0</v>
      </c>
      <c r="V205" s="12">
        <f>_xlfn.XLOOKUP(TableDailySummary[[#This Row],[Fecha]],SummaryDaily[day],SummaryDaily[Corporativo no tienda_orders],0)</f>
        <v>0</v>
      </c>
      <c r="W205" s="12">
        <f>_xlfn.XLOOKUP(TableDailySummary[[#This Row],[Fecha]],SummaryDaily[day],SummaryDaily[Corporativo no tienda_average_order_value],0)</f>
        <v>0</v>
      </c>
      <c r="X205" s="12">
        <f>_xlfn.XLOOKUP(TableDailySummary[[#This Row],[Fecha]],SummaryDaily[day],SummaryDaily[GoogleAdsOperation.Cost],0)</f>
        <v>70999.33</v>
      </c>
      <c r="Y205" s="12">
        <f>SUMIFS(SalesByUTMDaily[google],SalesByUTMDaily[day],TableDailySummary[[#This Row],[Fecha]])</f>
        <v>0</v>
      </c>
      <c r="Z205" s="12">
        <f>_xlfn.XLOOKUP(TableDailySummary[[#This Row],[Fecha]],SummaryDaily[day],SummaryDaily[MetaAdsOperation.spend],0)</f>
        <v>51250</v>
      </c>
      <c r="AA205" s="12">
        <f>SUMIFS(SalesByUTMDaily[facebook],SalesByUTMDaily[day],TableDailySummary[[#This Row],[Fecha]])</f>
        <v>0</v>
      </c>
      <c r="AB205" s="12">
        <f>TableDailySummary[[#This Row],[Inversión google ads]]+TableDailySummary[[#This Row],[Inversión meta ads]]</f>
        <v>122249.33</v>
      </c>
      <c r="AC205" s="12">
        <f>TableDailySummary[[#This Row],[Ventas google ads]]+TableDailySummary[[#This Row],[Ventas meta ads]]</f>
        <v>0</v>
      </c>
      <c r="AD205" s="14">
        <f>IFERROR(TableDailySummary[[#This Row],[Ventas publicidad]]/TableDailySummary[[#This Row],[Inversión publicidad]],0)</f>
        <v>0</v>
      </c>
      <c r="AE205" s="14">
        <f>IFERROR(TableDailySummary[[#This Row],[Ventas primer cliente]]/TableDailySummary[[#This Row],[Inversión publicidad]],0)</f>
        <v>50.757268035743017</v>
      </c>
      <c r="AF205" s="14"/>
      <c r="AG205" s="12"/>
      <c r="AM205" s="12">
        <f>_xlfn.XLOOKUP(TableDailySummary[[#This Row],[Fecha]],SummaryDaily[day],SummaryDaily[net_sales_with_cost_recorded],0)</f>
        <v>9831008.4100000001</v>
      </c>
      <c r="AN205" s="12">
        <f>_xlfn.XLOOKUP(TableDailySummary[[#This Row],[Fecha]],SummaryDaily[day],SummaryDaily[cost_of_goods_sold],0)</f>
        <v>3182739</v>
      </c>
      <c r="AO205" s="12">
        <f>_xlfn.XLOOKUP(TableDailySummary[[#This Row],[Fecha]],SummaryDaily[day],SummaryDaily[gross_profit],0)</f>
        <v>6648269.4100000001</v>
      </c>
      <c r="AP205" s="18">
        <f>IFERROR(TableDailySummary[[#This Row],[Utilidad bruta]]/TableDailySummary[[#This Row],[Ventas netas con costo registrado]],0)</f>
        <v>0.67625508317513483</v>
      </c>
    </row>
    <row r="206" spans="2:42" x14ac:dyDescent="0.2">
      <c r="B206" s="15" cm="1">
        <f t="array" ref="B206">MIN(SummaryDaily[day]) + (ROW(TableDailySummary[#This Row]) - ROW(TableDailySummary[[#Headers],[Dia]]) - 1)</f>
        <v>45977</v>
      </c>
      <c r="C206" s="6">
        <f>TableDailySummary[[#This Row],[Dia]]</f>
        <v>45977</v>
      </c>
      <c r="D206" s="12">
        <f>_xlfn.XLOOKUP(TableDailySummary[[#This Row],[Fecha]],SummaryDaily[day],SummaryDaily[net_sales],0)</f>
        <v>2090722.7</v>
      </c>
      <c r="E206" s="12">
        <f>_xlfn.XLOOKUP(TableDailySummary[[#This Row],[Fecha]],SummaryDaily[day],SummaryDaily[orders],0)</f>
        <v>21</v>
      </c>
      <c r="F206" s="12">
        <f>_xlfn.XLOOKUP(TableDailySummary[[#This Row],[Fecha]],SummaryDaily[day],SummaryDaily[average_order_value],0)</f>
        <v>99558.222999999998</v>
      </c>
      <c r="G206" s="24">
        <f>_xlfn.XLOOKUP(TableDailySummary[[#This Row],[Fecha]],SummaryDaily[day],SummaryDaily[Total site_conversion_rate],0)</f>
        <v>1.0840108401084011E-2</v>
      </c>
      <c r="H206" s="12">
        <f>TableDailySummary[[#This Row],[Órden promedio totales]]*TableDailySummary[[#This Row],[CR totales]]</f>
        <v>1079.2219295392954</v>
      </c>
      <c r="I206" s="12">
        <f>_xlfn.XLOOKUP(TableDailySummary[[#This Row],[Fecha]],SummaryDaily[day],SummaryDaily[new_net_sales],0)</f>
        <v>591184.88</v>
      </c>
      <c r="J206" s="12">
        <f>_xlfn.XLOOKUP(TableDailySummary[[#This Row],[Fecha]],SummaryDaily[day],SummaryDaily[new_orders],0)</f>
        <v>6</v>
      </c>
      <c r="K206" s="12">
        <f>_xlfn.XLOOKUP(TableDailySummary[[#This Row],[Fecha]],SummaryDaily[day],SummaryDaily[new_average_order_value],0)</f>
        <v>98530.812999999995</v>
      </c>
      <c r="L206" s="12">
        <f>_xlfn.XLOOKUP(TableDailySummary[[#This Row],[Fecha]],SummaryDaily[day],SummaryDaily[Online Store_net_sales],0)</f>
        <v>588235.29</v>
      </c>
      <c r="M206" s="12">
        <f>_xlfn.XLOOKUP(TableDailySummary[[#This Row],[Fecha]],SummaryDaily[day],SummaryDaily[Online Store_orders],0)</f>
        <v>4</v>
      </c>
      <c r="N206" s="12">
        <f>_xlfn.XLOOKUP(TableDailySummary[[#This Row],[Fecha]],SummaryDaily[day],SummaryDaily[Online Store_average_order_value],0)</f>
        <v>147058.82199999999</v>
      </c>
      <c r="O206" s="12">
        <f>_xlfn.XLOOKUP(TableDailySummary[[#This Row],[Fecha]],SummaryDaily[day],SummaryDaily[Tienda 81_net_sales],0)</f>
        <v>1460470.6</v>
      </c>
      <c r="P206" s="12">
        <f>_xlfn.XLOOKUP(TableDailySummary[[#This Row],[Fecha]],SummaryDaily[day],SummaryDaily[Tienda 81_orders],0)</f>
        <v>16</v>
      </c>
      <c r="Q206" s="12">
        <f>_xlfn.XLOOKUP(TableDailySummary[[#This Row],[Fecha]],SummaryDaily[day],SummaryDaily[Tienda 81_average_order_value],0)</f>
        <v>91279.411999999997</v>
      </c>
      <c r="R206" s="12">
        <f>_xlfn.XLOOKUP(TableDailySummary[[#This Row],[Fecha]],SummaryDaily[day],SummaryDaily[Rappi_net_sales],0)</f>
        <v>42016.81</v>
      </c>
      <c r="S206" s="12">
        <f>_xlfn.XLOOKUP(TableDailySummary[[#This Row],[Fecha]],SummaryDaily[day],SummaryDaily[Rappi_orders],0)</f>
        <v>1</v>
      </c>
      <c r="T206" s="12">
        <f>_xlfn.XLOOKUP(TableDailySummary[[#This Row],[Fecha]],SummaryDaily[day],SummaryDaily[Rappi_average_order_value],0)</f>
        <v>42016.81</v>
      </c>
      <c r="U206" s="12">
        <f>_xlfn.XLOOKUP(TableDailySummary[[#This Row],[Fecha]],SummaryDaily[day],SummaryDaily[Corporativo no tienda_net_sales],0)</f>
        <v>0</v>
      </c>
      <c r="V206" s="12">
        <f>_xlfn.XLOOKUP(TableDailySummary[[#This Row],[Fecha]],SummaryDaily[day],SummaryDaily[Corporativo no tienda_orders],0)</f>
        <v>0</v>
      </c>
      <c r="W206" s="12">
        <f>_xlfn.XLOOKUP(TableDailySummary[[#This Row],[Fecha]],SummaryDaily[day],SummaryDaily[Corporativo no tienda_average_order_value],0)</f>
        <v>0</v>
      </c>
      <c r="X206" s="12">
        <f>_xlfn.XLOOKUP(TableDailySummary[[#This Row],[Fecha]],SummaryDaily[day],SummaryDaily[GoogleAdsOperation.Cost],0)</f>
        <v>52109.17</v>
      </c>
      <c r="Y206" s="12">
        <f>SUMIFS(SalesByUTMDaily[google],SalesByUTMDaily[day],TableDailySummary[[#This Row],[Fecha]])</f>
        <v>129000</v>
      </c>
      <c r="Z206" s="12">
        <f>_xlfn.XLOOKUP(TableDailySummary[[#This Row],[Fecha]],SummaryDaily[day],SummaryDaily[MetaAdsOperation.spend],0)</f>
        <v>60587</v>
      </c>
      <c r="AA206" s="12">
        <f>SUMIFS(SalesByUTMDaily[facebook],SalesByUTMDaily[day],TableDailySummary[[#This Row],[Fecha]])</f>
        <v>0</v>
      </c>
      <c r="AB206" s="12">
        <f>TableDailySummary[[#This Row],[Inversión google ads]]+TableDailySummary[[#This Row],[Inversión meta ads]]</f>
        <v>112696.17</v>
      </c>
      <c r="AC206" s="12">
        <f>TableDailySummary[[#This Row],[Ventas google ads]]+TableDailySummary[[#This Row],[Ventas meta ads]]</f>
        <v>129000</v>
      </c>
      <c r="AD206" s="14">
        <f>IFERROR(TableDailySummary[[#This Row],[Ventas publicidad]]/TableDailySummary[[#This Row],[Inversión publicidad]],0)</f>
        <v>1.1446706662702024</v>
      </c>
      <c r="AE206" s="14">
        <f>IFERROR(TableDailySummary[[#This Row],[Ventas primer cliente]]/TableDailySummary[[#This Row],[Inversión publicidad]],0)</f>
        <v>5.2458293835540291</v>
      </c>
      <c r="AF206" s="14"/>
      <c r="AG206" s="12"/>
      <c r="AM206" s="12">
        <f>_xlfn.XLOOKUP(TableDailySummary[[#This Row],[Fecha]],SummaryDaily[day],SummaryDaily[net_sales_with_cost_recorded],0)</f>
        <v>1891939.75</v>
      </c>
      <c r="AN206" s="12">
        <f>_xlfn.XLOOKUP(TableDailySummary[[#This Row],[Fecha]],SummaryDaily[day],SummaryDaily[cost_of_goods_sold],0)</f>
        <v>544596</v>
      </c>
      <c r="AO206" s="12">
        <f>_xlfn.XLOOKUP(TableDailySummary[[#This Row],[Fecha]],SummaryDaily[day],SummaryDaily[gross_profit],0)</f>
        <v>1347343.75</v>
      </c>
      <c r="AP206" s="18">
        <f>IFERROR(TableDailySummary[[#This Row],[Utilidad bruta]]/TableDailySummary[[#This Row],[Ventas netas con costo registrado]],0)</f>
        <v>0.71214939587796067</v>
      </c>
    </row>
    <row r="207" spans="2:42" x14ac:dyDescent="0.2">
      <c r="B207" s="15" cm="1">
        <f t="array" ref="B207">MIN(SummaryDaily[day]) + (ROW(TableDailySummary[#This Row]) - ROW(TableDailySummary[[#Headers],[Dia]]) - 1)</f>
        <v>45978</v>
      </c>
      <c r="C207" s="6">
        <f>TableDailySummary[[#This Row],[Dia]]</f>
        <v>45978</v>
      </c>
      <c r="D207" s="12">
        <f>_xlfn.XLOOKUP(TableDailySummary[[#This Row],[Fecha]],SummaryDaily[day],SummaryDaily[net_sales],0)</f>
        <v>2019504.19</v>
      </c>
      <c r="E207" s="12">
        <f>_xlfn.XLOOKUP(TableDailySummary[[#This Row],[Fecha]],SummaryDaily[day],SummaryDaily[orders],0)</f>
        <v>12</v>
      </c>
      <c r="F207" s="12">
        <f>_xlfn.XLOOKUP(TableDailySummary[[#This Row],[Fecha]],SummaryDaily[day],SummaryDaily[average_order_value],0)</f>
        <v>164440.476</v>
      </c>
      <c r="G207" s="24">
        <f>_xlfn.XLOOKUP(TableDailySummary[[#This Row],[Fecha]],SummaryDaily[day],SummaryDaily[Total site_conversion_rate],0)</f>
        <v>6.1349693251533744E-3</v>
      </c>
      <c r="H207" s="12">
        <f>TableDailySummary[[#This Row],[Órden promedio totales]]*TableDailySummary[[#This Row],[CR totales]]</f>
        <v>1008.8372760736196</v>
      </c>
      <c r="I207" s="12">
        <f>_xlfn.XLOOKUP(TableDailySummary[[#This Row],[Fecha]],SummaryDaily[day],SummaryDaily[new_net_sales],0)</f>
        <v>774378.15</v>
      </c>
      <c r="J207" s="12">
        <f>_xlfn.XLOOKUP(TableDailySummary[[#This Row],[Fecha]],SummaryDaily[day],SummaryDaily[new_orders],0)</f>
        <v>7</v>
      </c>
      <c r="K207" s="12">
        <f>_xlfn.XLOOKUP(TableDailySummary[[#This Row],[Fecha]],SummaryDaily[day],SummaryDaily[new_average_order_value],0)</f>
        <v>112786.315</v>
      </c>
      <c r="L207" s="12">
        <f>_xlfn.XLOOKUP(TableDailySummary[[#This Row],[Fecha]],SummaryDaily[day],SummaryDaily[Online Store_net_sales],0)</f>
        <v>294117.65000000002</v>
      </c>
      <c r="M207" s="12">
        <f>_xlfn.XLOOKUP(TableDailySummary[[#This Row],[Fecha]],SummaryDaily[day],SummaryDaily[Online Store_orders],0)</f>
        <v>3</v>
      </c>
      <c r="N207" s="12">
        <f>_xlfn.XLOOKUP(TableDailySummary[[#This Row],[Fecha]],SummaryDaily[day],SummaryDaily[Online Store_average_order_value],0)</f>
        <v>98039.216</v>
      </c>
      <c r="O207" s="12">
        <f>_xlfn.XLOOKUP(TableDailySummary[[#This Row],[Fecha]],SummaryDaily[day],SummaryDaily[Tienda 81_net_sales],0)</f>
        <v>1674966.37</v>
      </c>
      <c r="P207" s="12">
        <f>_xlfn.XLOOKUP(TableDailySummary[[#This Row],[Fecha]],SummaryDaily[day],SummaryDaily[Tienda 81_orders],0)</f>
        <v>8</v>
      </c>
      <c r="Q207" s="12">
        <f>_xlfn.XLOOKUP(TableDailySummary[[#This Row],[Fecha]],SummaryDaily[day],SummaryDaily[Tienda 81_average_order_value],0)</f>
        <v>203593.48699999999</v>
      </c>
      <c r="R207" s="12">
        <f>_xlfn.XLOOKUP(TableDailySummary[[#This Row],[Fecha]],SummaryDaily[day],SummaryDaily[Rappi_net_sales],0)</f>
        <v>50420.17</v>
      </c>
      <c r="S207" s="12">
        <f>_xlfn.XLOOKUP(TableDailySummary[[#This Row],[Fecha]],SummaryDaily[day],SummaryDaily[Rappi_orders],0)</f>
        <v>1</v>
      </c>
      <c r="T207" s="12">
        <f>_xlfn.XLOOKUP(TableDailySummary[[#This Row],[Fecha]],SummaryDaily[day],SummaryDaily[Rappi_average_order_value],0)</f>
        <v>50420.17</v>
      </c>
      <c r="U207" s="12">
        <f>_xlfn.XLOOKUP(TableDailySummary[[#This Row],[Fecha]],SummaryDaily[day],SummaryDaily[Corporativo no tienda_net_sales],0)</f>
        <v>0</v>
      </c>
      <c r="V207" s="12">
        <f>_xlfn.XLOOKUP(TableDailySummary[[#This Row],[Fecha]],SummaryDaily[day],SummaryDaily[Corporativo no tienda_orders],0)</f>
        <v>0</v>
      </c>
      <c r="W207" s="12">
        <f>_xlfn.XLOOKUP(TableDailySummary[[#This Row],[Fecha]],SummaryDaily[day],SummaryDaily[Corporativo no tienda_average_order_value],0)</f>
        <v>0</v>
      </c>
      <c r="X207" s="12">
        <f>_xlfn.XLOOKUP(TableDailySummary[[#This Row],[Fecha]],SummaryDaily[day],SummaryDaily[GoogleAdsOperation.Cost],0)</f>
        <v>103601.42</v>
      </c>
      <c r="Y207" s="12">
        <f>SUMIFS(SalesByUTMDaily[google],SalesByUTMDaily[day],TableDailySummary[[#This Row],[Fecha]])</f>
        <v>0</v>
      </c>
      <c r="Z207" s="12">
        <f>_xlfn.XLOOKUP(TableDailySummary[[#This Row],[Fecha]],SummaryDaily[day],SummaryDaily[MetaAdsOperation.spend],0)</f>
        <v>51140</v>
      </c>
      <c r="AA207" s="12">
        <f>SUMIFS(SalesByUTMDaily[facebook],SalesByUTMDaily[day],TableDailySummary[[#This Row],[Fecha]])</f>
        <v>0</v>
      </c>
      <c r="AB207" s="12">
        <f>TableDailySummary[[#This Row],[Inversión google ads]]+TableDailySummary[[#This Row],[Inversión meta ads]]</f>
        <v>154741.41999999998</v>
      </c>
      <c r="AC207" s="12">
        <f>TableDailySummary[[#This Row],[Ventas google ads]]+TableDailySummary[[#This Row],[Ventas meta ads]]</f>
        <v>0</v>
      </c>
      <c r="AD207" s="14">
        <f>IFERROR(TableDailySummary[[#This Row],[Ventas publicidad]]/TableDailySummary[[#This Row],[Inversión publicidad]],0)</f>
        <v>0</v>
      </c>
      <c r="AE207" s="14">
        <f>IFERROR(TableDailySummary[[#This Row],[Ventas primer cliente]]/TableDailySummary[[#This Row],[Inversión publicidad]],0)</f>
        <v>5.0043365893889309</v>
      </c>
      <c r="AF207" s="14"/>
      <c r="AG207" s="12"/>
      <c r="AM207" s="12">
        <f>_xlfn.XLOOKUP(TableDailySummary[[#This Row],[Fecha]],SummaryDaily[day],SummaryDaily[net_sales_with_cost_recorded],0)</f>
        <v>1882949.59</v>
      </c>
      <c r="AN207" s="12">
        <f>_xlfn.XLOOKUP(TableDailySummary[[#This Row],[Fecha]],SummaryDaily[day],SummaryDaily[cost_of_goods_sold],0)</f>
        <v>630873</v>
      </c>
      <c r="AO207" s="12">
        <f>_xlfn.XLOOKUP(TableDailySummary[[#This Row],[Fecha]],SummaryDaily[day],SummaryDaily[gross_profit],0)</f>
        <v>1252076.5900000001</v>
      </c>
      <c r="AP207" s="18">
        <f>IFERROR(TableDailySummary[[#This Row],[Utilidad bruta]]/TableDailySummary[[#This Row],[Ventas netas con costo registrado]],0)</f>
        <v>0.6649549178849764</v>
      </c>
    </row>
    <row r="208" spans="2:42" x14ac:dyDescent="0.2">
      <c r="B208" s="15" cm="1">
        <f t="array" ref="B208">MIN(SummaryDaily[day]) + (ROW(TableDailySummary[#This Row]) - ROW(TableDailySummary[[#Headers],[Dia]]) - 1)</f>
        <v>45979</v>
      </c>
      <c r="C208" s="6">
        <f>TableDailySummary[[#This Row],[Dia]]</f>
        <v>45979</v>
      </c>
      <c r="D208" s="12">
        <f>_xlfn.XLOOKUP(TableDailySummary[[#This Row],[Fecha]],SummaryDaily[day],SummaryDaily[net_sales],0)</f>
        <v>4052109.23</v>
      </c>
      <c r="E208" s="12">
        <f>_xlfn.XLOOKUP(TableDailySummary[[#This Row],[Fecha]],SummaryDaily[day],SummaryDaily[orders],0)</f>
        <v>24</v>
      </c>
      <c r="F208" s="12">
        <f>_xlfn.XLOOKUP(TableDailySummary[[#This Row],[Fecha]],SummaryDaily[day],SummaryDaily[average_order_value],0)</f>
        <v>168837.88399999999</v>
      </c>
      <c r="G208" s="24">
        <f>_xlfn.XLOOKUP(TableDailySummary[[#This Row],[Fecha]],SummaryDaily[day],SummaryDaily[Total site_conversion_rate],0)</f>
        <v>1.2544802867383513E-2</v>
      </c>
      <c r="H208" s="12">
        <f>TableDailySummary[[#This Row],[Órden promedio totales]]*TableDailySummary[[#This Row],[CR totales]]</f>
        <v>2118.037971326165</v>
      </c>
      <c r="I208" s="12">
        <f>_xlfn.XLOOKUP(TableDailySummary[[#This Row],[Fecha]],SummaryDaily[day],SummaryDaily[new_net_sales],0)</f>
        <v>1999168.06</v>
      </c>
      <c r="J208" s="12">
        <f>_xlfn.XLOOKUP(TableDailySummary[[#This Row],[Fecha]],SummaryDaily[day],SummaryDaily[new_orders],0)</f>
        <v>9</v>
      </c>
      <c r="K208" s="12">
        <f>_xlfn.XLOOKUP(TableDailySummary[[#This Row],[Fecha]],SummaryDaily[day],SummaryDaily[new_average_order_value],0)</f>
        <v>222129.78400000001</v>
      </c>
      <c r="L208" s="12">
        <f>_xlfn.XLOOKUP(TableDailySummary[[#This Row],[Fecha]],SummaryDaily[day],SummaryDaily[Online Store_net_sales],0)</f>
        <v>1916386.55</v>
      </c>
      <c r="M208" s="12">
        <f>_xlfn.XLOOKUP(TableDailySummary[[#This Row],[Fecha]],SummaryDaily[day],SummaryDaily[Online Store_orders],0)</f>
        <v>8</v>
      </c>
      <c r="N208" s="12">
        <f>_xlfn.XLOOKUP(TableDailySummary[[#This Row],[Fecha]],SummaryDaily[day],SummaryDaily[Online Store_average_order_value],0)</f>
        <v>239548.318</v>
      </c>
      <c r="O208" s="12">
        <f>_xlfn.XLOOKUP(TableDailySummary[[#This Row],[Fecha]],SummaryDaily[day],SummaryDaily[Tienda 81_net_sales],0)</f>
        <v>2135722.6800000002</v>
      </c>
      <c r="P208" s="12">
        <f>_xlfn.XLOOKUP(TableDailySummary[[#This Row],[Fecha]],SummaryDaily[day],SummaryDaily[Tienda 81_orders],0)</f>
        <v>16</v>
      </c>
      <c r="Q208" s="12">
        <f>_xlfn.XLOOKUP(TableDailySummary[[#This Row],[Fecha]],SummaryDaily[day],SummaryDaily[Tienda 81_average_order_value],0)</f>
        <v>133482.66699999999</v>
      </c>
      <c r="R208" s="12">
        <f>_xlfn.XLOOKUP(TableDailySummary[[#This Row],[Fecha]],SummaryDaily[day],SummaryDaily[Rappi_net_sales],0)</f>
        <v>0</v>
      </c>
      <c r="S208" s="12">
        <f>_xlfn.XLOOKUP(TableDailySummary[[#This Row],[Fecha]],SummaryDaily[day],SummaryDaily[Rappi_orders],0)</f>
        <v>0</v>
      </c>
      <c r="T208" s="12">
        <f>_xlfn.XLOOKUP(TableDailySummary[[#This Row],[Fecha]],SummaryDaily[day],SummaryDaily[Rappi_average_order_value],0)</f>
        <v>0</v>
      </c>
      <c r="U208" s="12">
        <f>_xlfn.XLOOKUP(TableDailySummary[[#This Row],[Fecha]],SummaryDaily[day],SummaryDaily[Corporativo no tienda_net_sales],0)</f>
        <v>0</v>
      </c>
      <c r="V208" s="12">
        <f>_xlfn.XLOOKUP(TableDailySummary[[#This Row],[Fecha]],SummaryDaily[day],SummaryDaily[Corporativo no tienda_orders],0)</f>
        <v>0</v>
      </c>
      <c r="W208" s="12">
        <f>_xlfn.XLOOKUP(TableDailySummary[[#This Row],[Fecha]],SummaryDaily[day],SummaryDaily[Corporativo no tienda_average_order_value],0)</f>
        <v>0</v>
      </c>
      <c r="X208" s="12">
        <f>_xlfn.XLOOKUP(TableDailySummary[[#This Row],[Fecha]],SummaryDaily[day],SummaryDaily[GoogleAdsOperation.Cost],0)</f>
        <v>71505.8</v>
      </c>
      <c r="Y208" s="12">
        <f>SUMIFS(SalesByUTMDaily[google],SalesByUTMDaily[day],TableDailySummary[[#This Row],[Fecha]])</f>
        <v>79000</v>
      </c>
      <c r="Z208" s="12">
        <f>_xlfn.XLOOKUP(TableDailySummary[[#This Row],[Fecha]],SummaryDaily[day],SummaryDaily[MetaAdsOperation.spend],0)</f>
        <v>51109</v>
      </c>
      <c r="AA208" s="12">
        <f>SUMIFS(SalesByUTMDaily[facebook],SalesByUTMDaily[day],TableDailySummary[[#This Row],[Fecha]])</f>
        <v>0</v>
      </c>
      <c r="AB208" s="12">
        <f>TableDailySummary[[#This Row],[Inversión google ads]]+TableDailySummary[[#This Row],[Inversión meta ads]]</f>
        <v>122614.8</v>
      </c>
      <c r="AC208" s="12">
        <f>TableDailySummary[[#This Row],[Ventas google ads]]+TableDailySummary[[#This Row],[Ventas meta ads]]</f>
        <v>79000</v>
      </c>
      <c r="AD208" s="14">
        <f>IFERROR(TableDailySummary[[#This Row],[Ventas publicidad]]/TableDailySummary[[#This Row],[Inversión publicidad]],0)</f>
        <v>0.64429416351044078</v>
      </c>
      <c r="AE208" s="14">
        <f>IFERROR(TableDailySummary[[#This Row],[Ventas primer cliente]]/TableDailySummary[[#This Row],[Inversión publicidad]],0)</f>
        <v>16.304459657398617</v>
      </c>
      <c r="AF208" s="14"/>
      <c r="AG208" s="12"/>
      <c r="AM208" s="12">
        <f>_xlfn.XLOOKUP(TableDailySummary[[#This Row],[Fecha]],SummaryDaily[day],SummaryDaily[net_sales_with_cost_recorded],0)</f>
        <v>3952949.58</v>
      </c>
      <c r="AN208" s="12">
        <f>_xlfn.XLOOKUP(TableDailySummary[[#This Row],[Fecha]],SummaryDaily[day],SummaryDaily[cost_of_goods_sold],0)</f>
        <v>1168210</v>
      </c>
      <c r="AO208" s="12">
        <f>_xlfn.XLOOKUP(TableDailySummary[[#This Row],[Fecha]],SummaryDaily[day],SummaryDaily[gross_profit],0)</f>
        <v>2784739.58</v>
      </c>
      <c r="AP208" s="18">
        <f>IFERROR(TableDailySummary[[#This Row],[Utilidad bruta]]/TableDailySummary[[#This Row],[Ventas netas con costo registrado]],0)</f>
        <v>0.70447131278613473</v>
      </c>
    </row>
    <row r="209" spans="2:42" x14ac:dyDescent="0.2">
      <c r="B209" s="15" cm="1">
        <f t="array" ref="B209">MIN(SummaryDaily[day]) + (ROW(TableDailySummary[#This Row]) - ROW(TableDailySummary[[#Headers],[Dia]]) - 1)</f>
        <v>45980</v>
      </c>
      <c r="C209" s="6">
        <f>TableDailySummary[[#This Row],[Dia]]</f>
        <v>45980</v>
      </c>
      <c r="D209" s="12">
        <f>_xlfn.XLOOKUP(TableDailySummary[[#This Row],[Fecha]],SummaryDaily[day],SummaryDaily[net_sales],0)</f>
        <v>5630485.2599999998</v>
      </c>
      <c r="E209" s="12">
        <f>_xlfn.XLOOKUP(TableDailySummary[[#This Row],[Fecha]],SummaryDaily[day],SummaryDaily[orders],0)</f>
        <v>23</v>
      </c>
      <c r="F209" s="12">
        <f>_xlfn.XLOOKUP(TableDailySummary[[#This Row],[Fecha]],SummaryDaily[day],SummaryDaily[average_order_value],0)</f>
        <v>245929.85</v>
      </c>
      <c r="G209" s="24">
        <f>_xlfn.XLOOKUP(TableDailySummary[[#This Row],[Fecha]],SummaryDaily[day],SummaryDaily[Total site_conversion_rate],0)</f>
        <v>1.8442622950819672E-2</v>
      </c>
      <c r="H209" s="12">
        <f>TableDailySummary[[#This Row],[Órden promedio totales]]*TableDailySummary[[#This Row],[CR totales]]</f>
        <v>4535.5914959016391</v>
      </c>
      <c r="I209" s="12">
        <f>_xlfn.XLOOKUP(TableDailySummary[[#This Row],[Fecha]],SummaryDaily[day],SummaryDaily[new_net_sales],0)</f>
        <v>2871747.9</v>
      </c>
      <c r="J209" s="12">
        <f>_xlfn.XLOOKUP(TableDailySummary[[#This Row],[Fecha]],SummaryDaily[day],SummaryDaily[new_orders],0)</f>
        <v>15</v>
      </c>
      <c r="K209" s="12">
        <f>_xlfn.XLOOKUP(TableDailySummary[[#This Row],[Fecha]],SummaryDaily[day],SummaryDaily[new_average_order_value],0)</f>
        <v>191954.06200000001</v>
      </c>
      <c r="L209" s="12">
        <f>_xlfn.XLOOKUP(TableDailySummary[[#This Row],[Fecha]],SummaryDaily[day],SummaryDaily[Online Store_net_sales],0)</f>
        <v>2466386.5499999998</v>
      </c>
      <c r="M209" s="12">
        <f>_xlfn.XLOOKUP(TableDailySummary[[#This Row],[Fecha]],SummaryDaily[day],SummaryDaily[Online Store_orders],0)</f>
        <v>8</v>
      </c>
      <c r="N209" s="12">
        <f>_xlfn.XLOOKUP(TableDailySummary[[#This Row],[Fecha]],SummaryDaily[day],SummaryDaily[Online Store_average_order_value],0)</f>
        <v>308298.31800000003</v>
      </c>
      <c r="O209" s="12">
        <f>_xlfn.XLOOKUP(TableDailySummary[[#This Row],[Fecha]],SummaryDaily[day],SummaryDaily[Tienda 81_net_sales],0)</f>
        <v>3164098.71</v>
      </c>
      <c r="P209" s="12">
        <f>_xlfn.XLOOKUP(TableDailySummary[[#This Row],[Fecha]],SummaryDaily[day],SummaryDaily[Tienda 81_orders],0)</f>
        <v>15</v>
      </c>
      <c r="Q209" s="12">
        <f>_xlfn.XLOOKUP(TableDailySummary[[#This Row],[Fecha]],SummaryDaily[day],SummaryDaily[Tienda 81_average_order_value],0)</f>
        <v>212666.66699999999</v>
      </c>
      <c r="R209" s="12">
        <f>_xlfn.XLOOKUP(TableDailySummary[[#This Row],[Fecha]],SummaryDaily[day],SummaryDaily[Rappi_net_sales],0)</f>
        <v>0</v>
      </c>
      <c r="S209" s="12">
        <f>_xlfn.XLOOKUP(TableDailySummary[[#This Row],[Fecha]],SummaryDaily[day],SummaryDaily[Rappi_orders],0)</f>
        <v>0</v>
      </c>
      <c r="T209" s="12">
        <f>_xlfn.XLOOKUP(TableDailySummary[[#This Row],[Fecha]],SummaryDaily[day],SummaryDaily[Rappi_average_order_value],0)</f>
        <v>0</v>
      </c>
      <c r="U209" s="12">
        <f>_xlfn.XLOOKUP(TableDailySummary[[#This Row],[Fecha]],SummaryDaily[day],SummaryDaily[Corporativo no tienda_net_sales],0)</f>
        <v>0</v>
      </c>
      <c r="V209" s="12">
        <f>_xlfn.XLOOKUP(TableDailySummary[[#This Row],[Fecha]],SummaryDaily[day],SummaryDaily[Corporativo no tienda_orders],0)</f>
        <v>0</v>
      </c>
      <c r="W209" s="12">
        <f>_xlfn.XLOOKUP(TableDailySummary[[#This Row],[Fecha]],SummaryDaily[day],SummaryDaily[Corporativo no tienda_average_order_value],0)</f>
        <v>0</v>
      </c>
      <c r="X209" s="12">
        <f>_xlfn.XLOOKUP(TableDailySummary[[#This Row],[Fecha]],SummaryDaily[day],SummaryDaily[GoogleAdsOperation.Cost],0)</f>
        <v>59265.39</v>
      </c>
      <c r="Y209" s="12">
        <f>SUMIFS(SalesByUTMDaily[google],SalesByUTMDaily[day],TableDailySummary[[#This Row],[Fecha]])</f>
        <v>0</v>
      </c>
      <c r="Z209" s="12">
        <f>_xlfn.XLOOKUP(TableDailySummary[[#This Row],[Fecha]],SummaryDaily[day],SummaryDaily[MetaAdsOperation.spend],0)</f>
        <v>50960</v>
      </c>
      <c r="AA209" s="12">
        <f>SUMIFS(SalesByUTMDaily[facebook],SalesByUTMDaily[day],TableDailySummary[[#This Row],[Fecha]])</f>
        <v>0</v>
      </c>
      <c r="AB209" s="12">
        <f>TableDailySummary[[#This Row],[Inversión google ads]]+TableDailySummary[[#This Row],[Inversión meta ads]]</f>
        <v>110225.39</v>
      </c>
      <c r="AC209" s="12">
        <f>TableDailySummary[[#This Row],[Ventas google ads]]+TableDailySummary[[#This Row],[Ventas meta ads]]</f>
        <v>0</v>
      </c>
      <c r="AD209" s="14">
        <f>IFERROR(TableDailySummary[[#This Row],[Ventas publicidad]]/TableDailySummary[[#This Row],[Inversión publicidad]],0)</f>
        <v>0</v>
      </c>
      <c r="AE209" s="14">
        <f>IFERROR(TableDailySummary[[#This Row],[Ventas primer cliente]]/TableDailySummary[[#This Row],[Inversión publicidad]],0)</f>
        <v>26.053415642258102</v>
      </c>
      <c r="AF209" s="14"/>
      <c r="AG209" s="12"/>
      <c r="AM209" s="12">
        <f>_xlfn.XLOOKUP(TableDailySummary[[#This Row],[Fecha]],SummaryDaily[day],SummaryDaily[net_sales_with_cost_recorded],0)</f>
        <v>5538199.5599999996</v>
      </c>
      <c r="AN209" s="12">
        <f>_xlfn.XLOOKUP(TableDailySummary[[#This Row],[Fecha]],SummaryDaily[day],SummaryDaily[cost_of_goods_sold],0)</f>
        <v>1662209</v>
      </c>
      <c r="AO209" s="12">
        <f>_xlfn.XLOOKUP(TableDailySummary[[#This Row],[Fecha]],SummaryDaily[day],SummaryDaily[gross_profit],0)</f>
        <v>3875990.56</v>
      </c>
      <c r="AP209" s="18">
        <f>IFERROR(TableDailySummary[[#This Row],[Utilidad bruta]]/TableDailySummary[[#This Row],[Ventas netas con costo registrado]],0)</f>
        <v>0.69986473365723212</v>
      </c>
    </row>
    <row r="210" spans="2:42" x14ac:dyDescent="0.2">
      <c r="B210" s="15" cm="1">
        <f t="array" ref="B210">MIN(SummaryDaily[day]) + (ROW(TableDailySummary[#This Row]) - ROW(TableDailySummary[[#Headers],[Dia]]) - 1)</f>
        <v>45981</v>
      </c>
      <c r="C210" s="6">
        <f>TableDailySummary[[#This Row],[Dia]]</f>
        <v>45981</v>
      </c>
      <c r="D210" s="12">
        <f>_xlfn.XLOOKUP(TableDailySummary[[#This Row],[Fecha]],SummaryDaily[day],SummaryDaily[net_sales],0)</f>
        <v>9068044.3599999994</v>
      </c>
      <c r="E210" s="12">
        <f>_xlfn.XLOOKUP(TableDailySummary[[#This Row],[Fecha]],SummaryDaily[day],SummaryDaily[orders],0)</f>
        <v>43</v>
      </c>
      <c r="F210" s="12">
        <f>_xlfn.XLOOKUP(TableDailySummary[[#This Row],[Fecha]],SummaryDaily[day],SummaryDaily[average_order_value],0)</f>
        <v>212093.024</v>
      </c>
      <c r="G210" s="24">
        <f>_xlfn.XLOOKUP(TableDailySummary[[#This Row],[Fecha]],SummaryDaily[day],SummaryDaily[Total site_conversion_rate],0)</f>
        <v>2.8368794326241134E-2</v>
      </c>
      <c r="H210" s="12">
        <f>TableDailySummary[[#This Row],[Órden promedio totales]]*TableDailySummary[[#This Row],[CR totales]]</f>
        <v>6016.8233758865244</v>
      </c>
      <c r="I210" s="12">
        <f>_xlfn.XLOOKUP(TableDailySummary[[#This Row],[Fecha]],SummaryDaily[day],SummaryDaily[new_net_sales],0)</f>
        <v>2717792.25</v>
      </c>
      <c r="J210" s="12">
        <f>_xlfn.XLOOKUP(TableDailySummary[[#This Row],[Fecha]],SummaryDaily[day],SummaryDaily[new_orders],0)</f>
        <v>16</v>
      </c>
      <c r="K210" s="12">
        <f>_xlfn.XLOOKUP(TableDailySummary[[#This Row],[Fecha]],SummaryDaily[day],SummaryDaily[new_average_order_value],0)</f>
        <v>173109.245</v>
      </c>
      <c r="L210" s="12">
        <f>_xlfn.XLOOKUP(TableDailySummary[[#This Row],[Fecha]],SummaryDaily[day],SummaryDaily[Online Store_net_sales],0)</f>
        <v>2681512.63</v>
      </c>
      <c r="M210" s="12">
        <f>_xlfn.XLOOKUP(TableDailySummary[[#This Row],[Fecha]],SummaryDaily[day],SummaryDaily[Online Store_orders],0)</f>
        <v>13</v>
      </c>
      <c r="N210" s="12">
        <f>_xlfn.XLOOKUP(TableDailySummary[[#This Row],[Fecha]],SummaryDaily[day],SummaryDaily[Online Store_average_order_value],0)</f>
        <v>206270.20199999999</v>
      </c>
      <c r="O210" s="12">
        <f>_xlfn.XLOOKUP(TableDailySummary[[#This Row],[Fecha]],SummaryDaily[day],SummaryDaily[Tienda 81_net_sales],0)</f>
        <v>5886531.7300000004</v>
      </c>
      <c r="P210" s="12">
        <f>_xlfn.XLOOKUP(TableDailySummary[[#This Row],[Fecha]],SummaryDaily[day],SummaryDaily[Tienda 81_orders],0)</f>
        <v>29</v>
      </c>
      <c r="Q210" s="12">
        <f>_xlfn.XLOOKUP(TableDailySummary[[#This Row],[Fecha]],SummaryDaily[day],SummaryDaily[Tienda 81_average_order_value],0)</f>
        <v>204775.427</v>
      </c>
      <c r="R210" s="12">
        <f>_xlfn.XLOOKUP(TableDailySummary[[#This Row],[Fecha]],SummaryDaily[day],SummaryDaily[Rappi_net_sales],0)</f>
        <v>500000</v>
      </c>
      <c r="S210" s="12">
        <f>_xlfn.XLOOKUP(TableDailySummary[[#This Row],[Fecha]],SummaryDaily[day],SummaryDaily[Rappi_orders],0)</f>
        <v>1</v>
      </c>
      <c r="T210" s="12">
        <f>_xlfn.XLOOKUP(TableDailySummary[[#This Row],[Fecha]],SummaryDaily[day],SummaryDaily[Rappi_average_order_value],0)</f>
        <v>500000</v>
      </c>
      <c r="U210" s="12">
        <f>_xlfn.XLOOKUP(TableDailySummary[[#This Row],[Fecha]],SummaryDaily[day],SummaryDaily[Corporativo no tienda_net_sales],0)</f>
        <v>0</v>
      </c>
      <c r="V210" s="12">
        <f>_xlfn.XLOOKUP(TableDailySummary[[#This Row],[Fecha]],SummaryDaily[day],SummaryDaily[Corporativo no tienda_orders],0)</f>
        <v>0</v>
      </c>
      <c r="W210" s="12">
        <f>_xlfn.XLOOKUP(TableDailySummary[[#This Row],[Fecha]],SummaryDaily[day],SummaryDaily[Corporativo no tienda_average_order_value],0)</f>
        <v>0</v>
      </c>
      <c r="X210" s="12">
        <f>_xlfn.XLOOKUP(TableDailySummary[[#This Row],[Fecha]],SummaryDaily[day],SummaryDaily[GoogleAdsOperation.Cost],0)</f>
        <v>63340.31</v>
      </c>
      <c r="Y210" s="12">
        <f>SUMIFS(SalesByUTMDaily[google],SalesByUTMDaily[day],TableDailySummary[[#This Row],[Fecha]])</f>
        <v>199000</v>
      </c>
      <c r="Z210" s="12">
        <f>_xlfn.XLOOKUP(TableDailySummary[[#This Row],[Fecha]],SummaryDaily[day],SummaryDaily[MetaAdsOperation.spend],0)</f>
        <v>49180</v>
      </c>
      <c r="AA210" s="12">
        <f>SUMIFS(SalesByUTMDaily[facebook],SalesByUTMDaily[day],TableDailySummary[[#This Row],[Fecha]])</f>
        <v>129000</v>
      </c>
      <c r="AB210" s="12">
        <f>TableDailySummary[[#This Row],[Inversión google ads]]+TableDailySummary[[#This Row],[Inversión meta ads]]</f>
        <v>112520.31</v>
      </c>
      <c r="AC210" s="12">
        <f>TableDailySummary[[#This Row],[Ventas google ads]]+TableDailySummary[[#This Row],[Ventas meta ads]]</f>
        <v>328000</v>
      </c>
      <c r="AD210" s="14">
        <f>IFERROR(TableDailySummary[[#This Row],[Ventas publicidad]]/TableDailySummary[[#This Row],[Inversión publicidad]],0)</f>
        <v>2.9150292956000565</v>
      </c>
      <c r="AE210" s="14">
        <f>IFERROR(TableDailySummary[[#This Row],[Ventas primer cliente]]/TableDailySummary[[#This Row],[Inversión publicidad]],0)</f>
        <v>24.153792768612174</v>
      </c>
      <c r="AF210" s="14"/>
      <c r="AG210" s="12"/>
      <c r="AM210" s="12">
        <f>_xlfn.XLOOKUP(TableDailySummary[[#This Row],[Fecha]],SummaryDaily[day],SummaryDaily[net_sales_with_cost_recorded],0)</f>
        <v>8475607.4000000004</v>
      </c>
      <c r="AN210" s="12">
        <f>_xlfn.XLOOKUP(TableDailySummary[[#This Row],[Fecha]],SummaryDaily[day],SummaryDaily[cost_of_goods_sold],0)</f>
        <v>2395480</v>
      </c>
      <c r="AO210" s="12">
        <f>_xlfn.XLOOKUP(TableDailySummary[[#This Row],[Fecha]],SummaryDaily[day],SummaryDaily[gross_profit],0)</f>
        <v>6080127.4000000004</v>
      </c>
      <c r="AP210" s="18">
        <f>IFERROR(TableDailySummary[[#This Row],[Utilidad bruta]]/TableDailySummary[[#This Row],[Ventas netas con costo registrado]],0)</f>
        <v>0.7173677487704303</v>
      </c>
    </row>
    <row r="211" spans="2:42" x14ac:dyDescent="0.2">
      <c r="B211" s="15" cm="1">
        <f t="array" ref="B211">MIN(SummaryDaily[day]) + (ROW(TableDailySummary[#This Row]) - ROW(TableDailySummary[[#Headers],[Dia]]) - 1)</f>
        <v>45982</v>
      </c>
      <c r="C211" s="6">
        <f>TableDailySummary[[#This Row],[Dia]]</f>
        <v>45982</v>
      </c>
      <c r="D211" s="12">
        <f>_xlfn.XLOOKUP(TableDailySummary[[#This Row],[Fecha]],SummaryDaily[day],SummaryDaily[net_sales],0)</f>
        <v>3457109.24</v>
      </c>
      <c r="E211" s="12">
        <f>_xlfn.XLOOKUP(TableDailySummary[[#This Row],[Fecha]],SummaryDaily[day],SummaryDaily[orders],0)</f>
        <v>18</v>
      </c>
      <c r="F211" s="12">
        <f>_xlfn.XLOOKUP(TableDailySummary[[#This Row],[Fecha]],SummaryDaily[day],SummaryDaily[average_order_value],0)</f>
        <v>192061.62400000001</v>
      </c>
      <c r="G211" s="24">
        <f>_xlfn.XLOOKUP(TableDailySummary[[#This Row],[Fecha]],SummaryDaily[day],SummaryDaily[Total site_conversion_rate],0)</f>
        <v>5.7061340941512127E-3</v>
      </c>
      <c r="H211" s="12">
        <f>TableDailySummary[[#This Row],[Órden promedio totales]]*TableDailySummary[[#This Row],[CR totales]]</f>
        <v>1095.9293808844509</v>
      </c>
      <c r="I211" s="12">
        <f>_xlfn.XLOOKUP(TableDailySummary[[#This Row],[Fecha]],SummaryDaily[day],SummaryDaily[new_net_sales],0)</f>
        <v>1340134.45</v>
      </c>
      <c r="J211" s="12">
        <f>_xlfn.XLOOKUP(TableDailySummary[[#This Row],[Fecha]],SummaryDaily[day],SummaryDaily[new_orders],0)</f>
        <v>10</v>
      </c>
      <c r="K211" s="12">
        <f>_xlfn.XLOOKUP(TableDailySummary[[#This Row],[Fecha]],SummaryDaily[day],SummaryDaily[new_average_order_value],0)</f>
        <v>134013.44500000001</v>
      </c>
      <c r="L211" s="12">
        <f>_xlfn.XLOOKUP(TableDailySummary[[#This Row],[Fecha]],SummaryDaily[day],SummaryDaily[Online Store_net_sales],0)</f>
        <v>2046016.8</v>
      </c>
      <c r="M211" s="12">
        <f>_xlfn.XLOOKUP(TableDailySummary[[#This Row],[Fecha]],SummaryDaily[day],SummaryDaily[Online Store_orders],0)</f>
        <v>13</v>
      </c>
      <c r="N211" s="12">
        <f>_xlfn.XLOOKUP(TableDailySummary[[#This Row],[Fecha]],SummaryDaily[day],SummaryDaily[Online Store_average_order_value],0)</f>
        <v>157385.90700000001</v>
      </c>
      <c r="O211" s="12">
        <f>_xlfn.XLOOKUP(TableDailySummary[[#This Row],[Fecha]],SummaryDaily[day],SummaryDaily[Tienda 81_net_sales],0)</f>
        <v>1411092.44</v>
      </c>
      <c r="P211" s="12">
        <f>_xlfn.XLOOKUP(TableDailySummary[[#This Row],[Fecha]],SummaryDaily[day],SummaryDaily[Tienda 81_orders],0)</f>
        <v>5</v>
      </c>
      <c r="Q211" s="12">
        <f>_xlfn.XLOOKUP(TableDailySummary[[#This Row],[Fecha]],SummaryDaily[day],SummaryDaily[Tienda 81_average_order_value],0)</f>
        <v>282218.48800000001</v>
      </c>
      <c r="R211" s="12">
        <f>_xlfn.XLOOKUP(TableDailySummary[[#This Row],[Fecha]],SummaryDaily[day],SummaryDaily[Rappi_net_sales],0)</f>
        <v>0</v>
      </c>
      <c r="S211" s="12">
        <f>_xlfn.XLOOKUP(TableDailySummary[[#This Row],[Fecha]],SummaryDaily[day],SummaryDaily[Rappi_orders],0)</f>
        <v>0</v>
      </c>
      <c r="T211" s="12">
        <f>_xlfn.XLOOKUP(TableDailySummary[[#This Row],[Fecha]],SummaryDaily[day],SummaryDaily[Rappi_average_order_value],0)</f>
        <v>0</v>
      </c>
      <c r="U211" s="12">
        <f>_xlfn.XLOOKUP(TableDailySummary[[#This Row],[Fecha]],SummaryDaily[day],SummaryDaily[Corporativo no tienda_net_sales],0)</f>
        <v>0</v>
      </c>
      <c r="V211" s="12">
        <f>_xlfn.XLOOKUP(TableDailySummary[[#This Row],[Fecha]],SummaryDaily[day],SummaryDaily[Corporativo no tienda_orders],0)</f>
        <v>0</v>
      </c>
      <c r="W211" s="12">
        <f>_xlfn.XLOOKUP(TableDailySummary[[#This Row],[Fecha]],SummaryDaily[day],SummaryDaily[Corporativo no tienda_average_order_value],0)</f>
        <v>0</v>
      </c>
      <c r="X211" s="12">
        <f>_xlfn.XLOOKUP(TableDailySummary[[#This Row],[Fecha]],SummaryDaily[day],SummaryDaily[GoogleAdsOperation.Cost],0)</f>
        <v>72353.679999999993</v>
      </c>
      <c r="Y211" s="12">
        <f>SUMIFS(SalesByUTMDaily[google],SalesByUTMDaily[day],TableDailySummary[[#This Row],[Fecha]])</f>
        <v>0</v>
      </c>
      <c r="Z211" s="12">
        <f>_xlfn.XLOOKUP(TableDailySummary[[#This Row],[Fecha]],SummaryDaily[day],SummaryDaily[MetaAdsOperation.spend],0)</f>
        <v>48158</v>
      </c>
      <c r="AA211" s="12">
        <f>SUMIFS(SalesByUTMDaily[facebook],SalesByUTMDaily[day],TableDailySummary[[#This Row],[Fecha]])</f>
        <v>0</v>
      </c>
      <c r="AB211" s="12">
        <f>TableDailySummary[[#This Row],[Inversión google ads]]+TableDailySummary[[#This Row],[Inversión meta ads]]</f>
        <v>120511.67999999999</v>
      </c>
      <c r="AC211" s="12">
        <f>TableDailySummary[[#This Row],[Ventas google ads]]+TableDailySummary[[#This Row],[Ventas meta ads]]</f>
        <v>0</v>
      </c>
      <c r="AD211" s="14">
        <f>IFERROR(TableDailySummary[[#This Row],[Ventas publicidad]]/TableDailySummary[[#This Row],[Inversión publicidad]],0)</f>
        <v>0</v>
      </c>
      <c r="AE211" s="14">
        <f>IFERROR(TableDailySummary[[#This Row],[Ventas primer cliente]]/TableDailySummary[[#This Row],[Inversión publicidad]],0)</f>
        <v>11.120369826393592</v>
      </c>
      <c r="AF211" s="14"/>
      <c r="AG211" s="12"/>
      <c r="AM211" s="12">
        <f>_xlfn.XLOOKUP(TableDailySummary[[#This Row],[Fecha]],SummaryDaily[day],SummaryDaily[net_sales_with_cost_recorded],0)</f>
        <v>3323697.48</v>
      </c>
      <c r="AN211" s="12">
        <f>_xlfn.XLOOKUP(TableDailySummary[[#This Row],[Fecha]],SummaryDaily[day],SummaryDaily[cost_of_goods_sold],0)</f>
        <v>1060717</v>
      </c>
      <c r="AO211" s="12">
        <f>_xlfn.XLOOKUP(TableDailySummary[[#This Row],[Fecha]],SummaryDaily[day],SummaryDaily[gross_profit],0)</f>
        <v>2262980.48</v>
      </c>
      <c r="AP211" s="18">
        <f>IFERROR(TableDailySummary[[#This Row],[Utilidad bruta]]/TableDailySummary[[#This Row],[Ventas netas con costo registrado]],0)</f>
        <v>0.6808623509261138</v>
      </c>
    </row>
    <row r="212" spans="2:42" x14ac:dyDescent="0.2">
      <c r="B212" s="15" cm="1">
        <f t="array" ref="B212">MIN(SummaryDaily[day]) + (ROW(TableDailySummary[#This Row]) - ROW(TableDailySummary[[#Headers],[Dia]]) - 1)</f>
        <v>45983</v>
      </c>
      <c r="C212" s="6">
        <f>TableDailySummary[[#This Row],[Dia]]</f>
        <v>45983</v>
      </c>
      <c r="D212" s="12">
        <f>_xlfn.XLOOKUP(TableDailySummary[[#This Row],[Fecha]],SummaryDaily[day],SummaryDaily[net_sales],0)</f>
        <v>3962025.23</v>
      </c>
      <c r="E212" s="12">
        <f>_xlfn.XLOOKUP(TableDailySummary[[#This Row],[Fecha]],SummaryDaily[day],SummaryDaily[orders],0)</f>
        <v>28</v>
      </c>
      <c r="F212" s="12">
        <f>_xlfn.XLOOKUP(TableDailySummary[[#This Row],[Fecha]],SummaryDaily[day],SummaryDaily[average_order_value],0)</f>
        <v>141500.90100000001</v>
      </c>
      <c r="G212" s="24">
        <f>_xlfn.XLOOKUP(TableDailySummary[[#This Row],[Fecha]],SummaryDaily[day],SummaryDaily[Total site_conversion_rate],0)</f>
        <v>8.5836909871244635E-3</v>
      </c>
      <c r="H212" s="12">
        <f>TableDailySummary[[#This Row],[Órden promedio totales]]*TableDailySummary[[#This Row],[CR totales]]</f>
        <v>1214.6000085836911</v>
      </c>
      <c r="I212" s="12">
        <f>_xlfn.XLOOKUP(TableDailySummary[[#This Row],[Fecha]],SummaryDaily[day],SummaryDaily[new_net_sales],0)</f>
        <v>2109243.7000000002</v>
      </c>
      <c r="J212" s="12">
        <f>_xlfn.XLOOKUP(TableDailySummary[[#This Row],[Fecha]],SummaryDaily[day],SummaryDaily[new_orders],0)</f>
        <v>15</v>
      </c>
      <c r="K212" s="12">
        <f>_xlfn.XLOOKUP(TableDailySummary[[#This Row],[Fecha]],SummaryDaily[day],SummaryDaily[new_average_order_value],0)</f>
        <v>140616.24600000001</v>
      </c>
      <c r="L212" s="12">
        <f>_xlfn.XLOOKUP(TableDailySummary[[#This Row],[Fecha]],SummaryDaily[day],SummaryDaily[Online Store_net_sales],0)</f>
        <v>592436.98</v>
      </c>
      <c r="M212" s="12">
        <f>_xlfn.XLOOKUP(TableDailySummary[[#This Row],[Fecha]],SummaryDaily[day],SummaryDaily[Online Store_orders],0)</f>
        <v>5</v>
      </c>
      <c r="N212" s="12">
        <f>_xlfn.XLOOKUP(TableDailySummary[[#This Row],[Fecha]],SummaryDaily[day],SummaryDaily[Online Store_average_order_value],0)</f>
        <v>118487.39599999999</v>
      </c>
      <c r="O212" s="12">
        <f>_xlfn.XLOOKUP(TableDailySummary[[#This Row],[Fecha]],SummaryDaily[day],SummaryDaily[Tienda 81_net_sales],0)</f>
        <v>3369588.25</v>
      </c>
      <c r="P212" s="12">
        <f>_xlfn.XLOOKUP(TableDailySummary[[#This Row],[Fecha]],SummaryDaily[day],SummaryDaily[Tienda 81_orders],0)</f>
        <v>23</v>
      </c>
      <c r="Q212" s="12">
        <f>_xlfn.XLOOKUP(TableDailySummary[[#This Row],[Fecha]],SummaryDaily[day],SummaryDaily[Tienda 81_average_order_value],0)</f>
        <v>146503.83600000001</v>
      </c>
      <c r="R212" s="12">
        <f>_xlfn.XLOOKUP(TableDailySummary[[#This Row],[Fecha]],SummaryDaily[day],SummaryDaily[Rappi_net_sales],0)</f>
        <v>0</v>
      </c>
      <c r="S212" s="12">
        <f>_xlfn.XLOOKUP(TableDailySummary[[#This Row],[Fecha]],SummaryDaily[day],SummaryDaily[Rappi_orders],0)</f>
        <v>0</v>
      </c>
      <c r="T212" s="12">
        <f>_xlfn.XLOOKUP(TableDailySummary[[#This Row],[Fecha]],SummaryDaily[day],SummaryDaily[Rappi_average_order_value],0)</f>
        <v>0</v>
      </c>
      <c r="U212" s="12">
        <f>_xlfn.XLOOKUP(TableDailySummary[[#This Row],[Fecha]],SummaryDaily[day],SummaryDaily[Corporativo no tienda_net_sales],0)</f>
        <v>0</v>
      </c>
      <c r="V212" s="12">
        <f>_xlfn.XLOOKUP(TableDailySummary[[#This Row],[Fecha]],SummaryDaily[day],SummaryDaily[Corporativo no tienda_orders],0)</f>
        <v>0</v>
      </c>
      <c r="W212" s="12">
        <f>_xlfn.XLOOKUP(TableDailySummary[[#This Row],[Fecha]],SummaryDaily[day],SummaryDaily[Corporativo no tienda_average_order_value],0)</f>
        <v>0</v>
      </c>
      <c r="X212" s="12">
        <f>_xlfn.XLOOKUP(TableDailySummary[[#This Row],[Fecha]],SummaryDaily[day],SummaryDaily[GoogleAdsOperation.Cost],0)</f>
        <v>62387.79</v>
      </c>
      <c r="Y212" s="12">
        <f>SUMIFS(SalesByUTMDaily[google],SalesByUTMDaily[day],TableDailySummary[[#This Row],[Fecha]])</f>
        <v>0</v>
      </c>
      <c r="Z212" s="12">
        <f>_xlfn.XLOOKUP(TableDailySummary[[#This Row],[Fecha]],SummaryDaily[day],SummaryDaily[MetaAdsOperation.spend],0)</f>
        <v>51165</v>
      </c>
      <c r="AA212" s="12">
        <f>SUMIFS(SalesByUTMDaily[facebook],SalesByUTMDaily[day],TableDailySummary[[#This Row],[Fecha]])</f>
        <v>84500</v>
      </c>
      <c r="AB212" s="12">
        <f>TableDailySummary[[#This Row],[Inversión google ads]]+TableDailySummary[[#This Row],[Inversión meta ads]]</f>
        <v>113552.79000000001</v>
      </c>
      <c r="AC212" s="12">
        <f>TableDailySummary[[#This Row],[Ventas google ads]]+TableDailySummary[[#This Row],[Ventas meta ads]]</f>
        <v>84500</v>
      </c>
      <c r="AD212" s="14">
        <f>IFERROR(TableDailySummary[[#This Row],[Ventas publicidad]]/TableDailySummary[[#This Row],[Inversión publicidad]],0)</f>
        <v>0.74414728162998012</v>
      </c>
      <c r="AE212" s="14">
        <f>IFERROR(TableDailySummary[[#This Row],[Ventas primer cliente]]/TableDailySummary[[#This Row],[Inversión publicidad]],0)</f>
        <v>18.575005510652797</v>
      </c>
      <c r="AF212" s="14"/>
      <c r="AG212" s="12"/>
      <c r="AM212" s="12">
        <f>_xlfn.XLOOKUP(TableDailySummary[[#This Row],[Fecha]],SummaryDaily[day],SummaryDaily[net_sales_with_cost_recorded],0)</f>
        <v>3638495.82</v>
      </c>
      <c r="AN212" s="12">
        <f>_xlfn.XLOOKUP(TableDailySummary[[#This Row],[Fecha]],SummaryDaily[day],SummaryDaily[cost_of_goods_sold],0)</f>
        <v>1016434</v>
      </c>
      <c r="AO212" s="12">
        <f>_xlfn.XLOOKUP(TableDailySummary[[#This Row],[Fecha]],SummaryDaily[day],SummaryDaily[gross_profit],0)</f>
        <v>2622061.8199999998</v>
      </c>
      <c r="AP212" s="18">
        <f>IFERROR(TableDailySummary[[#This Row],[Utilidad bruta]]/TableDailySummary[[#This Row],[Ventas netas con costo registrado]],0)</f>
        <v>0.72064445026626411</v>
      </c>
    </row>
    <row r="213" spans="2:42" x14ac:dyDescent="0.2">
      <c r="B213" s="15" cm="1">
        <f t="array" ref="B213">MIN(SummaryDaily[day]) + (ROW(TableDailySummary[#This Row]) - ROW(TableDailySummary[[#Headers],[Dia]]) - 1)</f>
        <v>45984</v>
      </c>
      <c r="C213" s="6">
        <f>TableDailySummary[[#This Row],[Dia]]</f>
        <v>45984</v>
      </c>
      <c r="D213" s="12">
        <f>_xlfn.XLOOKUP(TableDailySummary[[#This Row],[Fecha]],SummaryDaily[day],SummaryDaily[net_sales],0)</f>
        <v>5875478.9900000002</v>
      </c>
      <c r="E213" s="12">
        <f>_xlfn.XLOOKUP(TableDailySummary[[#This Row],[Fecha]],SummaryDaily[day],SummaryDaily[orders],0)</f>
        <v>26</v>
      </c>
      <c r="F213" s="12">
        <f>_xlfn.XLOOKUP(TableDailySummary[[#This Row],[Fecha]],SummaryDaily[day],SummaryDaily[average_order_value],0)</f>
        <v>217576.6</v>
      </c>
      <c r="G213" s="24">
        <f>_xlfn.XLOOKUP(TableDailySummary[[#This Row],[Fecha]],SummaryDaily[day],SummaryDaily[Total site_conversion_rate],0)</f>
        <v>5.8139534883720929E-3</v>
      </c>
      <c r="H213" s="12">
        <f>TableDailySummary[[#This Row],[Órden promedio totales]]*TableDailySummary[[#This Row],[CR totales]]</f>
        <v>1264.9802325581395</v>
      </c>
      <c r="I213" s="12">
        <f>_xlfn.XLOOKUP(TableDailySummary[[#This Row],[Fecha]],SummaryDaily[day],SummaryDaily[new_net_sales],0)</f>
        <v>3266470.58</v>
      </c>
      <c r="J213" s="12">
        <f>_xlfn.XLOOKUP(TableDailySummary[[#This Row],[Fecha]],SummaryDaily[day],SummaryDaily[new_orders],0)</f>
        <v>12</v>
      </c>
      <c r="K213" s="12">
        <f>_xlfn.XLOOKUP(TableDailySummary[[#This Row],[Fecha]],SummaryDaily[day],SummaryDaily[new_average_order_value],0)</f>
        <v>253998.59899999999</v>
      </c>
      <c r="L213" s="12">
        <f>_xlfn.XLOOKUP(TableDailySummary[[#This Row],[Fecha]],SummaryDaily[day],SummaryDaily[Online Store_net_sales],0)</f>
        <v>1092436.97</v>
      </c>
      <c r="M213" s="12">
        <f>_xlfn.XLOOKUP(TableDailySummary[[#This Row],[Fecha]],SummaryDaily[day],SummaryDaily[Online Store_orders],0)</f>
        <v>4</v>
      </c>
      <c r="N213" s="12">
        <f>_xlfn.XLOOKUP(TableDailySummary[[#This Row],[Fecha]],SummaryDaily[day],SummaryDaily[Online Store_average_order_value],0)</f>
        <v>218487.39499999999</v>
      </c>
      <c r="O213" s="12">
        <f>_xlfn.XLOOKUP(TableDailySummary[[#This Row],[Fecha]],SummaryDaily[day],SummaryDaily[Tienda 81_net_sales],0)</f>
        <v>4783042.0199999996</v>
      </c>
      <c r="P213" s="12">
        <f>_xlfn.XLOOKUP(TableDailySummary[[#This Row],[Fecha]],SummaryDaily[day],SummaryDaily[Tienda 81_orders],0)</f>
        <v>22</v>
      </c>
      <c r="Q213" s="12">
        <f>_xlfn.XLOOKUP(TableDailySummary[[#This Row],[Fecha]],SummaryDaily[day],SummaryDaily[Tienda 81_average_order_value],0)</f>
        <v>217411</v>
      </c>
      <c r="R213" s="12">
        <f>_xlfn.XLOOKUP(TableDailySummary[[#This Row],[Fecha]],SummaryDaily[day],SummaryDaily[Rappi_net_sales],0)</f>
        <v>0</v>
      </c>
      <c r="S213" s="12">
        <f>_xlfn.XLOOKUP(TableDailySummary[[#This Row],[Fecha]],SummaryDaily[day],SummaryDaily[Rappi_orders],0)</f>
        <v>0</v>
      </c>
      <c r="T213" s="12">
        <f>_xlfn.XLOOKUP(TableDailySummary[[#This Row],[Fecha]],SummaryDaily[day],SummaryDaily[Rappi_average_order_value],0)</f>
        <v>0</v>
      </c>
      <c r="U213" s="12">
        <f>_xlfn.XLOOKUP(TableDailySummary[[#This Row],[Fecha]],SummaryDaily[day],SummaryDaily[Corporativo no tienda_net_sales],0)</f>
        <v>0</v>
      </c>
      <c r="V213" s="12">
        <f>_xlfn.XLOOKUP(TableDailySummary[[#This Row],[Fecha]],SummaryDaily[day],SummaryDaily[Corporativo no tienda_orders],0)</f>
        <v>0</v>
      </c>
      <c r="W213" s="12">
        <f>_xlfn.XLOOKUP(TableDailySummary[[#This Row],[Fecha]],SummaryDaily[day],SummaryDaily[Corporativo no tienda_average_order_value],0)</f>
        <v>0</v>
      </c>
      <c r="X213" s="12">
        <f>_xlfn.XLOOKUP(TableDailySummary[[#This Row],[Fecha]],SummaryDaily[day],SummaryDaily[GoogleAdsOperation.Cost],0)</f>
        <v>68658.55</v>
      </c>
      <c r="Y213" s="12">
        <f>SUMIFS(SalesByUTMDaily[google],SalesByUTMDaily[day],TableDailySummary[[#This Row],[Fecha]])</f>
        <v>129000</v>
      </c>
      <c r="Z213" s="12">
        <f>_xlfn.XLOOKUP(TableDailySummary[[#This Row],[Fecha]],SummaryDaily[day],SummaryDaily[MetaAdsOperation.spend],0)</f>
        <v>56505</v>
      </c>
      <c r="AA213" s="12">
        <f>SUMIFS(SalesByUTMDaily[facebook],SalesByUTMDaily[day],TableDailySummary[[#This Row],[Fecha]])</f>
        <v>0</v>
      </c>
      <c r="AB213" s="12">
        <f>TableDailySummary[[#This Row],[Inversión google ads]]+TableDailySummary[[#This Row],[Inversión meta ads]]</f>
        <v>125163.55</v>
      </c>
      <c r="AC213" s="12">
        <f>TableDailySummary[[#This Row],[Ventas google ads]]+TableDailySummary[[#This Row],[Ventas meta ads]]</f>
        <v>129000</v>
      </c>
      <c r="AD213" s="14">
        <f>IFERROR(TableDailySummary[[#This Row],[Ventas publicidad]]/TableDailySummary[[#This Row],[Inversión publicidad]],0)</f>
        <v>1.0306514955831789</v>
      </c>
      <c r="AE213" s="14">
        <f>IFERROR(TableDailySummary[[#This Row],[Ventas primer cliente]]/TableDailySummary[[#This Row],[Inversión publicidad]],0)</f>
        <v>26.097618515933753</v>
      </c>
      <c r="AF213" s="14"/>
      <c r="AG213" s="12"/>
      <c r="AM213" s="12">
        <f>_xlfn.XLOOKUP(TableDailySummary[[#This Row],[Fecha]],SummaryDaily[day],SummaryDaily[net_sales_with_cost_recorded],0)</f>
        <v>5846067.2300000004</v>
      </c>
      <c r="AN213" s="12">
        <f>_xlfn.XLOOKUP(TableDailySummary[[#This Row],[Fecha]],SummaryDaily[day],SummaryDaily[cost_of_goods_sold],0)</f>
        <v>1992328</v>
      </c>
      <c r="AO213" s="12">
        <f>_xlfn.XLOOKUP(TableDailySummary[[#This Row],[Fecha]],SummaryDaily[day],SummaryDaily[gross_profit],0)</f>
        <v>3853739.23</v>
      </c>
      <c r="AP213" s="18">
        <f>IFERROR(TableDailySummary[[#This Row],[Utilidad bruta]]/TableDailySummary[[#This Row],[Ventas netas con costo registrado]],0)</f>
        <v>0.65920200339536628</v>
      </c>
    </row>
    <row r="214" spans="2:42" x14ac:dyDescent="0.2">
      <c r="B214" s="15" cm="1">
        <f t="array" ref="B214">MIN(SummaryDaily[day]) + (ROW(TableDailySummary[#This Row]) - ROW(TableDailySummary[[#Headers],[Dia]]) - 1)</f>
        <v>45985</v>
      </c>
      <c r="C214" s="6">
        <f>TableDailySummary[[#This Row],[Dia]]</f>
        <v>45985</v>
      </c>
      <c r="D214" s="12">
        <f>_xlfn.XLOOKUP(TableDailySummary[[#This Row],[Fecha]],SummaryDaily[day],SummaryDaily[net_sales],0)</f>
        <v>10732428.58</v>
      </c>
      <c r="E214" s="12">
        <f>_xlfn.XLOOKUP(TableDailySummary[[#This Row],[Fecha]],SummaryDaily[day],SummaryDaily[orders],0)</f>
        <v>42</v>
      </c>
      <c r="F214" s="12">
        <f>_xlfn.XLOOKUP(TableDailySummary[[#This Row],[Fecha]],SummaryDaily[day],SummaryDaily[average_order_value],0)</f>
        <v>255534.01300000001</v>
      </c>
      <c r="G214" s="24">
        <f>_xlfn.XLOOKUP(TableDailySummary[[#This Row],[Fecha]],SummaryDaily[day],SummaryDaily[Total site_conversion_rate],0)</f>
        <v>2.5848142164781908E-2</v>
      </c>
      <c r="H214" s="12">
        <f>TableDailySummary[[#This Row],[Órden promedio totales]]*TableDailySummary[[#This Row],[CR totales]]</f>
        <v>6605.0794959612285</v>
      </c>
      <c r="I214" s="12">
        <f>_xlfn.XLOOKUP(TableDailySummary[[#This Row],[Fecha]],SummaryDaily[day],SummaryDaily[new_net_sales],0)</f>
        <v>7585789.9299999997</v>
      </c>
      <c r="J214" s="12">
        <f>_xlfn.XLOOKUP(TableDailySummary[[#This Row],[Fecha]],SummaryDaily[day],SummaryDaily[new_orders],0)</f>
        <v>25</v>
      </c>
      <c r="K214" s="12">
        <f>_xlfn.XLOOKUP(TableDailySummary[[#This Row],[Fecha]],SummaryDaily[day],SummaryDaily[new_average_order_value],0)</f>
        <v>303431.59700000001</v>
      </c>
      <c r="L214" s="12">
        <f>_xlfn.XLOOKUP(TableDailySummary[[#This Row],[Fecha]],SummaryDaily[day],SummaryDaily[Online Store_net_sales],0)</f>
        <v>3213655.47</v>
      </c>
      <c r="M214" s="12">
        <f>_xlfn.XLOOKUP(TableDailySummary[[#This Row],[Fecha]],SummaryDaily[day],SummaryDaily[Online Store_orders],0)</f>
        <v>14</v>
      </c>
      <c r="N214" s="12">
        <f>_xlfn.XLOOKUP(TableDailySummary[[#This Row],[Fecha]],SummaryDaily[day],SummaryDaily[Online Store_average_order_value],0)</f>
        <v>229546.81899999999</v>
      </c>
      <c r="O214" s="12">
        <f>_xlfn.XLOOKUP(TableDailySummary[[#This Row],[Fecha]],SummaryDaily[day],SummaryDaily[Tienda 81_net_sales],0)</f>
        <v>7023815.1299999999</v>
      </c>
      <c r="P214" s="12">
        <f>_xlfn.XLOOKUP(TableDailySummary[[#This Row],[Fecha]],SummaryDaily[day],SummaryDaily[Tienda 81_orders],0)</f>
        <v>27</v>
      </c>
      <c r="Q214" s="12">
        <f>_xlfn.XLOOKUP(TableDailySummary[[#This Row],[Fecha]],SummaryDaily[day],SummaryDaily[Tienda 81_average_order_value],0)</f>
        <v>260141.30100000001</v>
      </c>
      <c r="R214" s="12">
        <f>_xlfn.XLOOKUP(TableDailySummary[[#This Row],[Fecha]],SummaryDaily[day],SummaryDaily[Rappi_net_sales],0)</f>
        <v>0</v>
      </c>
      <c r="S214" s="12">
        <f>_xlfn.XLOOKUP(TableDailySummary[[#This Row],[Fecha]],SummaryDaily[day],SummaryDaily[Rappi_orders],0)</f>
        <v>0</v>
      </c>
      <c r="T214" s="12">
        <f>_xlfn.XLOOKUP(TableDailySummary[[#This Row],[Fecha]],SummaryDaily[day],SummaryDaily[Rappi_average_order_value],0)</f>
        <v>0</v>
      </c>
      <c r="U214" s="12">
        <f>_xlfn.XLOOKUP(TableDailySummary[[#This Row],[Fecha]],SummaryDaily[day],SummaryDaily[Corporativo no tienda_net_sales],0)</f>
        <v>0</v>
      </c>
      <c r="V214" s="12">
        <f>_xlfn.XLOOKUP(TableDailySummary[[#This Row],[Fecha]],SummaryDaily[day],SummaryDaily[Corporativo no tienda_orders],0)</f>
        <v>0</v>
      </c>
      <c r="W214" s="12">
        <f>_xlfn.XLOOKUP(TableDailySummary[[#This Row],[Fecha]],SummaryDaily[day],SummaryDaily[Corporativo no tienda_average_order_value],0)</f>
        <v>0</v>
      </c>
      <c r="X214" s="12">
        <f>_xlfn.XLOOKUP(TableDailySummary[[#This Row],[Fecha]],SummaryDaily[day],SummaryDaily[GoogleAdsOperation.Cost],0)</f>
        <v>87322.65</v>
      </c>
      <c r="Y214" s="12">
        <f>SUMIFS(SalesByUTMDaily[google],SalesByUTMDaily[day],TableDailySummary[[#This Row],[Fecha]])</f>
        <v>179000</v>
      </c>
      <c r="Z214" s="12">
        <f>_xlfn.XLOOKUP(TableDailySummary[[#This Row],[Fecha]],SummaryDaily[day],SummaryDaily[MetaAdsOperation.spend],0)</f>
        <v>53127</v>
      </c>
      <c r="AA214" s="12">
        <f>SUMIFS(SalesByUTMDaily[facebook],SalesByUTMDaily[day],TableDailySummary[[#This Row],[Fecha]])</f>
        <v>79000</v>
      </c>
      <c r="AB214" s="12">
        <f>TableDailySummary[[#This Row],[Inversión google ads]]+TableDailySummary[[#This Row],[Inversión meta ads]]</f>
        <v>140449.65</v>
      </c>
      <c r="AC214" s="12">
        <f>TableDailySummary[[#This Row],[Ventas google ads]]+TableDailySummary[[#This Row],[Ventas meta ads]]</f>
        <v>258000</v>
      </c>
      <c r="AD214" s="14">
        <f>IFERROR(TableDailySummary[[#This Row],[Ventas publicidad]]/TableDailySummary[[#This Row],[Inversión publicidad]],0)</f>
        <v>1.8369572298684975</v>
      </c>
      <c r="AE214" s="14">
        <f>IFERROR(TableDailySummary[[#This Row],[Ventas primer cliente]]/TableDailySummary[[#This Row],[Inversión publicidad]],0)</f>
        <v>54.010742853399776</v>
      </c>
      <c r="AF214" s="14"/>
      <c r="AG214" s="12"/>
      <c r="AM214" s="12">
        <f>_xlfn.XLOOKUP(TableDailySummary[[#This Row],[Fecha]],SummaryDaily[day],SummaryDaily[net_sales_with_cost_recorded],0)</f>
        <v>10513941.189999999</v>
      </c>
      <c r="AN214" s="12">
        <f>_xlfn.XLOOKUP(TableDailySummary[[#This Row],[Fecha]],SummaryDaily[day],SummaryDaily[cost_of_goods_sold],0)</f>
        <v>3252421</v>
      </c>
      <c r="AO214" s="12">
        <f>_xlfn.XLOOKUP(TableDailySummary[[#This Row],[Fecha]],SummaryDaily[day],SummaryDaily[gross_profit],0)</f>
        <v>7261520.1900000004</v>
      </c>
      <c r="AP214" s="18">
        <f>IFERROR(TableDailySummary[[#This Row],[Utilidad bruta]]/TableDailySummary[[#This Row],[Ventas netas con costo registrado]],0)</f>
        <v>0.69065634463568848</v>
      </c>
    </row>
    <row r="215" spans="2:42" x14ac:dyDescent="0.2">
      <c r="B215" s="15" cm="1">
        <f t="array" ref="B215">MIN(SummaryDaily[day]) + (ROW(TableDailySummary[#This Row]) - ROW(TableDailySummary[[#Headers],[Dia]]) - 1)</f>
        <v>45986</v>
      </c>
      <c r="C215" s="6">
        <f>TableDailySummary[[#This Row],[Dia]]</f>
        <v>45986</v>
      </c>
      <c r="D215" s="12">
        <f>_xlfn.XLOOKUP(TableDailySummary[[#This Row],[Fecha]],SummaryDaily[day],SummaryDaily[net_sales],0)</f>
        <v>10030596.65</v>
      </c>
      <c r="E215" s="12">
        <f>_xlfn.XLOOKUP(TableDailySummary[[#This Row],[Fecha]],SummaryDaily[day],SummaryDaily[orders],0)</f>
        <v>29</v>
      </c>
      <c r="F215" s="12">
        <f>_xlfn.XLOOKUP(TableDailySummary[[#This Row],[Fecha]],SummaryDaily[day],SummaryDaily[average_order_value],0)</f>
        <v>345882.64299999998</v>
      </c>
      <c r="G215" s="24">
        <f>_xlfn.XLOOKUP(TableDailySummary[[#This Row],[Fecha]],SummaryDaily[day],SummaryDaily[Total site_conversion_rate],0)</f>
        <v>1.8556701030927835E-2</v>
      </c>
      <c r="H215" s="12">
        <f>TableDailySummary[[#This Row],[Órden promedio totales]]*TableDailySummary[[#This Row],[CR totales]]</f>
        <v>6418.440797938144</v>
      </c>
      <c r="I215" s="12">
        <f>_xlfn.XLOOKUP(TableDailySummary[[#This Row],[Fecha]],SummaryDaily[day],SummaryDaily[new_net_sales],0)</f>
        <v>4457991.6100000003</v>
      </c>
      <c r="J215" s="12">
        <f>_xlfn.XLOOKUP(TableDailySummary[[#This Row],[Fecha]],SummaryDaily[day],SummaryDaily[new_orders],0)</f>
        <v>14</v>
      </c>
      <c r="K215" s="12">
        <f>_xlfn.XLOOKUP(TableDailySummary[[#This Row],[Fecha]],SummaryDaily[day],SummaryDaily[new_average_order_value],0)</f>
        <v>318427.97200000001</v>
      </c>
      <c r="L215" s="12">
        <f>_xlfn.XLOOKUP(TableDailySummary[[#This Row],[Fecha]],SummaryDaily[day],SummaryDaily[Online Store_net_sales],0)</f>
        <v>1713991.6</v>
      </c>
      <c r="M215" s="12">
        <f>_xlfn.XLOOKUP(TableDailySummary[[#This Row],[Fecha]],SummaryDaily[day],SummaryDaily[Online Store_orders],0)</f>
        <v>9</v>
      </c>
      <c r="N215" s="12">
        <f>_xlfn.XLOOKUP(TableDailySummary[[#This Row],[Fecha]],SummaryDaily[day],SummaryDaily[Online Store_average_order_value],0)</f>
        <v>190443.511</v>
      </c>
      <c r="O215" s="12">
        <f>_xlfn.XLOOKUP(TableDailySummary[[#This Row],[Fecha]],SummaryDaily[day],SummaryDaily[Tienda 81_net_sales],0)</f>
        <v>8316605.0499999998</v>
      </c>
      <c r="P215" s="12">
        <f>_xlfn.XLOOKUP(TableDailySummary[[#This Row],[Fecha]],SummaryDaily[day],SummaryDaily[Tienda 81_orders],0)</f>
        <v>20</v>
      </c>
      <c r="Q215" s="12">
        <f>_xlfn.XLOOKUP(TableDailySummary[[#This Row],[Fecha]],SummaryDaily[day],SummaryDaily[Tienda 81_average_order_value],0)</f>
        <v>415830.25199999998</v>
      </c>
      <c r="R215" s="12">
        <f>_xlfn.XLOOKUP(TableDailySummary[[#This Row],[Fecha]],SummaryDaily[day],SummaryDaily[Rappi_net_sales],0)</f>
        <v>0</v>
      </c>
      <c r="S215" s="12">
        <f>_xlfn.XLOOKUP(TableDailySummary[[#This Row],[Fecha]],SummaryDaily[day],SummaryDaily[Rappi_orders],0)</f>
        <v>0</v>
      </c>
      <c r="T215" s="12">
        <f>_xlfn.XLOOKUP(TableDailySummary[[#This Row],[Fecha]],SummaryDaily[day],SummaryDaily[Rappi_average_order_value],0)</f>
        <v>0</v>
      </c>
      <c r="U215" s="12">
        <f>_xlfn.XLOOKUP(TableDailySummary[[#This Row],[Fecha]],SummaryDaily[day],SummaryDaily[Corporativo no tienda_net_sales],0)</f>
        <v>0</v>
      </c>
      <c r="V215" s="12">
        <f>_xlfn.XLOOKUP(TableDailySummary[[#This Row],[Fecha]],SummaryDaily[day],SummaryDaily[Corporativo no tienda_orders],0)</f>
        <v>0</v>
      </c>
      <c r="W215" s="12">
        <f>_xlfn.XLOOKUP(TableDailySummary[[#This Row],[Fecha]],SummaryDaily[day],SummaryDaily[Corporativo no tienda_average_order_value],0)</f>
        <v>0</v>
      </c>
      <c r="X215" s="12">
        <f>_xlfn.XLOOKUP(TableDailySummary[[#This Row],[Fecha]],SummaryDaily[day],SummaryDaily[GoogleAdsOperation.Cost],0)</f>
        <v>68499.59</v>
      </c>
      <c r="Y215" s="12">
        <f>SUMIFS(SalesByUTMDaily[google],SalesByUTMDaily[day],TableDailySummary[[#This Row],[Fecha]])</f>
        <v>139000</v>
      </c>
      <c r="Z215" s="12">
        <f>_xlfn.XLOOKUP(TableDailySummary[[#This Row],[Fecha]],SummaryDaily[day],SummaryDaily[MetaAdsOperation.spend],0)</f>
        <v>52572</v>
      </c>
      <c r="AA215" s="12">
        <f>SUMIFS(SalesByUTMDaily[facebook],SalesByUTMDaily[day],TableDailySummary[[#This Row],[Fecha]])</f>
        <v>523000</v>
      </c>
      <c r="AB215" s="12">
        <f>TableDailySummary[[#This Row],[Inversión google ads]]+TableDailySummary[[#This Row],[Inversión meta ads]]</f>
        <v>121071.59</v>
      </c>
      <c r="AC215" s="12">
        <f>TableDailySummary[[#This Row],[Ventas google ads]]+TableDailySummary[[#This Row],[Ventas meta ads]]</f>
        <v>662000</v>
      </c>
      <c r="AD215" s="14">
        <f>IFERROR(TableDailySummary[[#This Row],[Ventas publicidad]]/TableDailySummary[[#This Row],[Inversión publicidad]],0)</f>
        <v>5.4678393172171935</v>
      </c>
      <c r="AE215" s="14">
        <f>IFERROR(TableDailySummary[[#This Row],[Ventas primer cliente]]/TableDailySummary[[#This Row],[Inversión publicidad]],0)</f>
        <v>36.821120545290604</v>
      </c>
      <c r="AF215" s="14"/>
      <c r="AG215" s="12"/>
      <c r="AM215" s="12">
        <f>_xlfn.XLOOKUP(TableDailySummary[[#This Row],[Fecha]],SummaryDaily[day],SummaryDaily[net_sales_with_cost_recorded],0)</f>
        <v>9976596.6500000004</v>
      </c>
      <c r="AN215" s="12">
        <f>_xlfn.XLOOKUP(TableDailySummary[[#This Row],[Fecha]],SummaryDaily[day],SummaryDaily[cost_of_goods_sold],0)</f>
        <v>3182614</v>
      </c>
      <c r="AO215" s="12">
        <f>_xlfn.XLOOKUP(TableDailySummary[[#This Row],[Fecha]],SummaryDaily[day],SummaryDaily[gross_profit],0)</f>
        <v>6793982.6500000004</v>
      </c>
      <c r="AP215" s="18">
        <f>IFERROR(TableDailySummary[[#This Row],[Utilidad bruta]]/TableDailySummary[[#This Row],[Ventas netas con costo registrado]],0)</f>
        <v>0.68099201444612878</v>
      </c>
    </row>
    <row r="216" spans="2:42" x14ac:dyDescent="0.2">
      <c r="B216" s="15" cm="1">
        <f t="array" ref="B216">MIN(SummaryDaily[day]) + (ROW(TableDailySummary[#This Row]) - ROW(TableDailySummary[[#Headers],[Dia]]) - 1)</f>
        <v>45987</v>
      </c>
      <c r="C216" s="6">
        <f>TableDailySummary[[#This Row],[Dia]]</f>
        <v>45987</v>
      </c>
      <c r="D216" s="12">
        <f>_xlfn.XLOOKUP(TableDailySummary[[#This Row],[Fecha]],SummaryDaily[day],SummaryDaily[net_sales],0)</f>
        <v>9225630.25</v>
      </c>
      <c r="E216" s="12">
        <f>_xlfn.XLOOKUP(TableDailySummary[[#This Row],[Fecha]],SummaryDaily[day],SummaryDaily[orders],0)</f>
        <v>45</v>
      </c>
      <c r="F216" s="12">
        <f>_xlfn.XLOOKUP(TableDailySummary[[#This Row],[Fecha]],SummaryDaily[day],SummaryDaily[average_order_value],0)</f>
        <v>205014.005</v>
      </c>
      <c r="G216" s="24">
        <f>_xlfn.XLOOKUP(TableDailySummary[[#This Row],[Fecha]],SummaryDaily[day],SummaryDaily[Total site_conversion_rate],0)</f>
        <v>1.5130674002751032E-2</v>
      </c>
      <c r="H216" s="12">
        <f>TableDailySummary[[#This Row],[Órden promedio totales]]*TableDailySummary[[#This Row],[CR totales]]</f>
        <v>3102.00007565337</v>
      </c>
      <c r="I216" s="12">
        <f>_xlfn.XLOOKUP(TableDailySummary[[#This Row],[Fecha]],SummaryDaily[day],SummaryDaily[new_net_sales],0)</f>
        <v>6387815.1200000001</v>
      </c>
      <c r="J216" s="12">
        <f>_xlfn.XLOOKUP(TableDailySummary[[#This Row],[Fecha]],SummaryDaily[day],SummaryDaily[new_orders],0)</f>
        <v>24</v>
      </c>
      <c r="K216" s="12">
        <f>_xlfn.XLOOKUP(TableDailySummary[[#This Row],[Fecha]],SummaryDaily[day],SummaryDaily[new_average_order_value],0)</f>
        <v>266158.96299999999</v>
      </c>
      <c r="L216" s="12">
        <f>_xlfn.XLOOKUP(TableDailySummary[[#This Row],[Fecha]],SummaryDaily[day],SummaryDaily[Online Store_net_sales],0)</f>
        <v>1932773.11</v>
      </c>
      <c r="M216" s="12">
        <f>_xlfn.XLOOKUP(TableDailySummary[[#This Row],[Fecha]],SummaryDaily[day],SummaryDaily[Online Store_orders],0)</f>
        <v>12</v>
      </c>
      <c r="N216" s="12">
        <f>_xlfn.XLOOKUP(TableDailySummary[[#This Row],[Fecha]],SummaryDaily[day],SummaryDaily[Online Store_average_order_value],0)</f>
        <v>161064.42499999999</v>
      </c>
      <c r="O216" s="12">
        <f>_xlfn.XLOOKUP(TableDailySummary[[#This Row],[Fecha]],SummaryDaily[day],SummaryDaily[Tienda 81_net_sales],0)</f>
        <v>4860714.28</v>
      </c>
      <c r="P216" s="12">
        <f>_xlfn.XLOOKUP(TableDailySummary[[#This Row],[Fecha]],SummaryDaily[day],SummaryDaily[Tienda 81_orders],0)</f>
        <v>32</v>
      </c>
      <c r="Q216" s="12">
        <f>_xlfn.XLOOKUP(TableDailySummary[[#This Row],[Fecha]],SummaryDaily[day],SummaryDaily[Tienda 81_average_order_value],0)</f>
        <v>151897.321</v>
      </c>
      <c r="R216" s="12">
        <f>_xlfn.XLOOKUP(TableDailySummary[[#This Row],[Fecha]],SummaryDaily[day],SummaryDaily[Rappi_net_sales],0)</f>
        <v>0</v>
      </c>
      <c r="S216" s="12">
        <f>_xlfn.XLOOKUP(TableDailySummary[[#This Row],[Fecha]],SummaryDaily[day],SummaryDaily[Rappi_orders],0)</f>
        <v>0</v>
      </c>
      <c r="T216" s="12">
        <f>_xlfn.XLOOKUP(TableDailySummary[[#This Row],[Fecha]],SummaryDaily[day],SummaryDaily[Rappi_average_order_value],0)</f>
        <v>0</v>
      </c>
      <c r="U216" s="12">
        <f>_xlfn.XLOOKUP(TableDailySummary[[#This Row],[Fecha]],SummaryDaily[day],SummaryDaily[Corporativo no tienda_net_sales],0)</f>
        <v>2432142.86</v>
      </c>
      <c r="V216" s="12">
        <f>_xlfn.XLOOKUP(TableDailySummary[[#This Row],[Fecha]],SummaryDaily[day],SummaryDaily[Corporativo no tienda_orders],0)</f>
        <v>1</v>
      </c>
      <c r="W216" s="12">
        <f>_xlfn.XLOOKUP(TableDailySummary[[#This Row],[Fecha]],SummaryDaily[day],SummaryDaily[Corporativo no tienda_average_order_value],0)</f>
        <v>2432142.86</v>
      </c>
      <c r="X216" s="12">
        <f>_xlfn.XLOOKUP(TableDailySummary[[#This Row],[Fecha]],SummaryDaily[day],SummaryDaily[GoogleAdsOperation.Cost],0)</f>
        <v>81216.22</v>
      </c>
      <c r="Y216" s="12">
        <f>SUMIFS(SalesByUTMDaily[google],SalesByUTMDaily[day],TableDailySummary[[#This Row],[Fecha]])</f>
        <v>165000</v>
      </c>
      <c r="Z216" s="12">
        <f>_xlfn.XLOOKUP(TableDailySummary[[#This Row],[Fecha]],SummaryDaily[day],SummaryDaily[MetaAdsOperation.spend],0)</f>
        <v>48464</v>
      </c>
      <c r="AA216" s="12">
        <f>SUMIFS(SalesByUTMDaily[facebook],SalesByUTMDaily[day],TableDailySummary[[#This Row],[Fecha]])</f>
        <v>0</v>
      </c>
      <c r="AB216" s="12">
        <f>TableDailySummary[[#This Row],[Inversión google ads]]+TableDailySummary[[#This Row],[Inversión meta ads]]</f>
        <v>129680.22</v>
      </c>
      <c r="AC216" s="12">
        <f>TableDailySummary[[#This Row],[Ventas google ads]]+TableDailySummary[[#This Row],[Ventas meta ads]]</f>
        <v>165000</v>
      </c>
      <c r="AD216" s="14">
        <f>IFERROR(TableDailySummary[[#This Row],[Ventas publicidad]]/TableDailySummary[[#This Row],[Inversión publicidad]],0)</f>
        <v>1.2723605805110447</v>
      </c>
      <c r="AE216" s="14">
        <f>IFERROR(TableDailySummary[[#This Row],[Ventas primer cliente]]/TableDailySummary[[#This Row],[Inversión publicidad]],0)</f>
        <v>49.258206995638965</v>
      </c>
      <c r="AF216" s="14"/>
      <c r="AG216" s="12"/>
      <c r="AM216" s="12">
        <f>_xlfn.XLOOKUP(TableDailySummary[[#This Row],[Fecha]],SummaryDaily[day],SummaryDaily[net_sales_with_cost_recorded],0)</f>
        <v>8571218.4900000002</v>
      </c>
      <c r="AN216" s="12">
        <f>_xlfn.XLOOKUP(TableDailySummary[[#This Row],[Fecha]],SummaryDaily[day],SummaryDaily[cost_of_goods_sold],0)</f>
        <v>3017558</v>
      </c>
      <c r="AO216" s="12">
        <f>_xlfn.XLOOKUP(TableDailySummary[[#This Row],[Fecha]],SummaryDaily[day],SummaryDaily[gross_profit],0)</f>
        <v>5553660.4900000002</v>
      </c>
      <c r="AP216" s="18">
        <f>IFERROR(TableDailySummary[[#This Row],[Utilidad bruta]]/TableDailySummary[[#This Row],[Ventas netas con costo registrado]],0)</f>
        <v>0.64794293792410373</v>
      </c>
    </row>
    <row r="217" spans="2:42" x14ac:dyDescent="0.2">
      <c r="B217" s="15" cm="1">
        <f t="array" ref="B217">MIN(SummaryDaily[day]) + (ROW(TableDailySummary[#This Row]) - ROW(TableDailySummary[[#Headers],[Dia]]) - 1)</f>
        <v>45988</v>
      </c>
      <c r="C217" s="6">
        <f>TableDailySummary[[#This Row],[Dia]]</f>
        <v>45988</v>
      </c>
      <c r="D217" s="12">
        <f>_xlfn.XLOOKUP(TableDailySummary[[#This Row],[Fecha]],SummaryDaily[day],SummaryDaily[net_sales],0)</f>
        <v>5522690.0999999996</v>
      </c>
      <c r="E217" s="12">
        <f>_xlfn.XLOOKUP(TableDailySummary[[#This Row],[Fecha]],SummaryDaily[day],SummaryDaily[orders],0)</f>
        <v>35</v>
      </c>
      <c r="F217" s="12">
        <f>_xlfn.XLOOKUP(TableDailySummary[[#This Row],[Fecha]],SummaryDaily[day],SummaryDaily[average_order_value],0)</f>
        <v>157791.14499999999</v>
      </c>
      <c r="G217" s="24">
        <f>_xlfn.XLOOKUP(TableDailySummary[[#This Row],[Fecha]],SummaryDaily[day],SummaryDaily[Total site_conversion_rate],0)</f>
        <v>1.5151515151515152E-2</v>
      </c>
      <c r="H217" s="12">
        <f>TableDailySummary[[#This Row],[Órden promedio totales]]*TableDailySummary[[#This Row],[CR totales]]</f>
        <v>2390.7749242424243</v>
      </c>
      <c r="I217" s="12">
        <f>_xlfn.XLOOKUP(TableDailySummary[[#This Row],[Fecha]],SummaryDaily[day],SummaryDaily[new_net_sales],0)</f>
        <v>735294.13</v>
      </c>
      <c r="J217" s="12">
        <f>_xlfn.XLOOKUP(TableDailySummary[[#This Row],[Fecha]],SummaryDaily[day],SummaryDaily[new_orders],0)</f>
        <v>11</v>
      </c>
      <c r="K217" s="12">
        <f>_xlfn.XLOOKUP(TableDailySummary[[#This Row],[Fecha]],SummaryDaily[day],SummaryDaily[new_average_order_value],0)</f>
        <v>66844.92</v>
      </c>
      <c r="L217" s="12">
        <f>_xlfn.XLOOKUP(TableDailySummary[[#This Row],[Fecha]],SummaryDaily[day],SummaryDaily[Online Store_net_sales],0)</f>
        <v>1256303.53</v>
      </c>
      <c r="M217" s="12">
        <f>_xlfn.XLOOKUP(TableDailySummary[[#This Row],[Fecha]],SummaryDaily[day],SummaryDaily[Online Store_orders],0)</f>
        <v>6</v>
      </c>
      <c r="N217" s="12">
        <f>_xlfn.XLOOKUP(TableDailySummary[[#This Row],[Fecha]],SummaryDaily[day],SummaryDaily[Online Store_average_order_value],0)</f>
        <v>209383.921</v>
      </c>
      <c r="O217" s="12">
        <f>_xlfn.XLOOKUP(TableDailySummary[[#This Row],[Fecha]],SummaryDaily[day],SummaryDaily[Tienda 81_net_sales],0)</f>
        <v>4052100.86</v>
      </c>
      <c r="P217" s="12">
        <f>_xlfn.XLOOKUP(TableDailySummary[[#This Row],[Fecha]],SummaryDaily[day],SummaryDaily[Tienda 81_orders],0)</f>
        <v>26</v>
      </c>
      <c r="Q217" s="12">
        <f>_xlfn.XLOOKUP(TableDailySummary[[#This Row],[Fecha]],SummaryDaily[day],SummaryDaily[Tienda 81_average_order_value],0)</f>
        <v>155850.033</v>
      </c>
      <c r="R217" s="12">
        <f>_xlfn.XLOOKUP(TableDailySummary[[#This Row],[Fecha]],SummaryDaily[day],SummaryDaily[Rappi_net_sales],0)</f>
        <v>214285.71</v>
      </c>
      <c r="S217" s="12">
        <f>_xlfn.XLOOKUP(TableDailySummary[[#This Row],[Fecha]],SummaryDaily[day],SummaryDaily[Rappi_orders],0)</f>
        <v>3</v>
      </c>
      <c r="T217" s="12">
        <f>_xlfn.XLOOKUP(TableDailySummary[[#This Row],[Fecha]],SummaryDaily[day],SummaryDaily[Rappi_average_order_value],0)</f>
        <v>71428.570000000007</v>
      </c>
      <c r="U217" s="12">
        <f>_xlfn.XLOOKUP(TableDailySummary[[#This Row],[Fecha]],SummaryDaily[day],SummaryDaily[Corporativo no tienda_net_sales],0)</f>
        <v>0</v>
      </c>
      <c r="V217" s="12">
        <f>_xlfn.XLOOKUP(TableDailySummary[[#This Row],[Fecha]],SummaryDaily[day],SummaryDaily[Corporativo no tienda_orders],0)</f>
        <v>0</v>
      </c>
      <c r="W217" s="12">
        <f>_xlfn.XLOOKUP(TableDailySummary[[#This Row],[Fecha]],SummaryDaily[day],SummaryDaily[Corporativo no tienda_average_order_value],0)</f>
        <v>0</v>
      </c>
      <c r="X217" s="12">
        <f>_xlfn.XLOOKUP(TableDailySummary[[#This Row],[Fecha]],SummaryDaily[day],SummaryDaily[GoogleAdsOperation.Cost],0)</f>
        <v>51678.28</v>
      </c>
      <c r="Y217" s="12">
        <f>SUMIFS(SalesByUTMDaily[google],SalesByUTMDaily[day],TableDailySummary[[#This Row],[Fecha]])</f>
        <v>214001</v>
      </c>
      <c r="Z217" s="12">
        <f>_xlfn.XLOOKUP(TableDailySummary[[#This Row],[Fecha]],SummaryDaily[day],SummaryDaily[MetaAdsOperation.spend],0)</f>
        <v>49628</v>
      </c>
      <c r="AA217" s="12">
        <f>SUMIFS(SalesByUTMDaily[facebook],SalesByUTMDaily[day],TableDailySummary[[#This Row],[Fecha]])</f>
        <v>0</v>
      </c>
      <c r="AB217" s="12">
        <f>TableDailySummary[[#This Row],[Inversión google ads]]+TableDailySummary[[#This Row],[Inversión meta ads]]</f>
        <v>101306.28</v>
      </c>
      <c r="AC217" s="12">
        <f>TableDailySummary[[#This Row],[Ventas google ads]]+TableDailySummary[[#This Row],[Ventas meta ads]]</f>
        <v>214001</v>
      </c>
      <c r="AD217" s="14">
        <f>IFERROR(TableDailySummary[[#This Row],[Ventas publicidad]]/TableDailySummary[[#This Row],[Inversión publicidad]],0)</f>
        <v>2.1124159331484682</v>
      </c>
      <c r="AE217" s="14">
        <f>IFERROR(TableDailySummary[[#This Row],[Ventas primer cliente]]/TableDailySummary[[#This Row],[Inversión publicidad]],0)</f>
        <v>7.258129802022145</v>
      </c>
      <c r="AF217" s="14"/>
      <c r="AG217" s="12"/>
      <c r="AM217" s="12">
        <f>_xlfn.XLOOKUP(TableDailySummary[[#This Row],[Fecha]],SummaryDaily[day],SummaryDaily[net_sales_with_cost_recorded],0)</f>
        <v>5522689.0999999996</v>
      </c>
      <c r="AN217" s="12">
        <f>_xlfn.XLOOKUP(TableDailySummary[[#This Row],[Fecha]],SummaryDaily[day],SummaryDaily[cost_of_goods_sold],0)</f>
        <v>1846197</v>
      </c>
      <c r="AO217" s="12">
        <f>_xlfn.XLOOKUP(TableDailySummary[[#This Row],[Fecha]],SummaryDaily[day],SummaryDaily[gross_profit],0)</f>
        <v>3676492.1</v>
      </c>
      <c r="AP217" s="18">
        <f>IFERROR(TableDailySummary[[#This Row],[Utilidad bruta]]/TableDailySummary[[#This Row],[Ventas netas con costo registrado]],0)</f>
        <v>0.66570687457311339</v>
      </c>
    </row>
    <row r="218" spans="2:42" x14ac:dyDescent="0.2">
      <c r="B218" s="15" cm="1">
        <f t="array" ref="B218">MIN(SummaryDaily[day]) + (ROW(TableDailySummary[#This Row]) - ROW(TableDailySummary[[#Headers],[Dia]]) - 1)</f>
        <v>45989</v>
      </c>
      <c r="C218" s="6">
        <f>TableDailySummary[[#This Row],[Dia]]</f>
        <v>45989</v>
      </c>
      <c r="D218" s="12">
        <f>_xlfn.XLOOKUP(TableDailySummary[[#This Row],[Fecha]],SummaryDaily[day],SummaryDaily[net_sales],0)</f>
        <v>11659764.67</v>
      </c>
      <c r="E218" s="12">
        <f>_xlfn.XLOOKUP(TableDailySummary[[#This Row],[Fecha]],SummaryDaily[day],SummaryDaily[orders],0)</f>
        <v>48</v>
      </c>
      <c r="F218" s="12">
        <f>_xlfn.XLOOKUP(TableDailySummary[[#This Row],[Fecha]],SummaryDaily[day],SummaryDaily[average_order_value],0)</f>
        <v>234508.402</v>
      </c>
      <c r="G218" s="24">
        <f>_xlfn.XLOOKUP(TableDailySummary[[#This Row],[Fecha]],SummaryDaily[day],SummaryDaily[Total site_conversion_rate],0)</f>
        <v>2.1442495126705652E-2</v>
      </c>
      <c r="H218" s="12">
        <f>TableDailySummary[[#This Row],[Órden promedio totales]]*TableDailySummary[[#This Row],[CR totales]]</f>
        <v>5028.4452670565297</v>
      </c>
      <c r="I218" s="12">
        <f>_xlfn.XLOOKUP(TableDailySummary[[#This Row],[Fecha]],SummaryDaily[day],SummaryDaily[new_net_sales],0)</f>
        <v>5378672.2599999998</v>
      </c>
      <c r="J218" s="12">
        <f>_xlfn.XLOOKUP(TableDailySummary[[#This Row],[Fecha]],SummaryDaily[day],SummaryDaily[new_orders],0)</f>
        <v>25</v>
      </c>
      <c r="K218" s="12">
        <f>_xlfn.XLOOKUP(TableDailySummary[[#This Row],[Fecha]],SummaryDaily[day],SummaryDaily[new_average_order_value],0)</f>
        <v>194978.823</v>
      </c>
      <c r="L218" s="12">
        <f>_xlfn.XLOOKUP(TableDailySummary[[#This Row],[Fecha]],SummaryDaily[day],SummaryDaily[Online Store_net_sales],0)</f>
        <v>4075210.07</v>
      </c>
      <c r="M218" s="12">
        <f>_xlfn.XLOOKUP(TableDailySummary[[#This Row],[Fecha]],SummaryDaily[day],SummaryDaily[Online Store_orders],0)</f>
        <v>12</v>
      </c>
      <c r="N218" s="12">
        <f>_xlfn.XLOOKUP(TableDailySummary[[#This Row],[Fecha]],SummaryDaily[day],SummaryDaily[Online Store_average_order_value],0)</f>
        <v>348004.2</v>
      </c>
      <c r="O218" s="12">
        <f>_xlfn.XLOOKUP(TableDailySummary[[#This Row],[Fecha]],SummaryDaily[day],SummaryDaily[Tienda 81_net_sales],0)</f>
        <v>7584554.5999999996</v>
      </c>
      <c r="P218" s="12">
        <f>_xlfn.XLOOKUP(TableDailySummary[[#This Row],[Fecha]],SummaryDaily[day],SummaryDaily[Tienda 81_orders],0)</f>
        <v>36</v>
      </c>
      <c r="Q218" s="12">
        <f>_xlfn.XLOOKUP(TableDailySummary[[#This Row],[Fecha]],SummaryDaily[day],SummaryDaily[Tienda 81_average_order_value],0)</f>
        <v>196676.47</v>
      </c>
      <c r="R218" s="12">
        <f>_xlfn.XLOOKUP(TableDailySummary[[#This Row],[Fecha]],SummaryDaily[day],SummaryDaily[Rappi_net_sales],0)</f>
        <v>0</v>
      </c>
      <c r="S218" s="12">
        <f>_xlfn.XLOOKUP(TableDailySummary[[#This Row],[Fecha]],SummaryDaily[day],SummaryDaily[Rappi_orders],0)</f>
        <v>0</v>
      </c>
      <c r="T218" s="12">
        <f>_xlfn.XLOOKUP(TableDailySummary[[#This Row],[Fecha]],SummaryDaily[day],SummaryDaily[Rappi_average_order_value],0)</f>
        <v>0</v>
      </c>
      <c r="U218" s="12">
        <f>_xlfn.XLOOKUP(TableDailySummary[[#This Row],[Fecha]],SummaryDaily[day],SummaryDaily[Corporativo no tienda_net_sales],0)</f>
        <v>0</v>
      </c>
      <c r="V218" s="12">
        <f>_xlfn.XLOOKUP(TableDailySummary[[#This Row],[Fecha]],SummaryDaily[day],SummaryDaily[Corporativo no tienda_orders],0)</f>
        <v>0</v>
      </c>
      <c r="W218" s="12">
        <f>_xlfn.XLOOKUP(TableDailySummary[[#This Row],[Fecha]],SummaryDaily[day],SummaryDaily[Corporativo no tienda_average_order_value],0)</f>
        <v>0</v>
      </c>
      <c r="X218" s="12">
        <f>_xlfn.XLOOKUP(TableDailySummary[[#This Row],[Fecha]],SummaryDaily[day],SummaryDaily[GoogleAdsOperation.Cost],0)</f>
        <v>78106.86</v>
      </c>
      <c r="Y218" s="12">
        <f>SUMIFS(SalesByUTMDaily[google],SalesByUTMDaily[day],TableDailySummary[[#This Row],[Fecha]])</f>
        <v>694500</v>
      </c>
      <c r="Z218" s="12">
        <f>_xlfn.XLOOKUP(TableDailySummary[[#This Row],[Fecha]],SummaryDaily[day],SummaryDaily[MetaAdsOperation.spend],0)</f>
        <v>52419</v>
      </c>
      <c r="AA218" s="12">
        <f>SUMIFS(SalesByUTMDaily[facebook],SalesByUTMDaily[day],TableDailySummary[[#This Row],[Fecha]])</f>
        <v>0</v>
      </c>
      <c r="AB218" s="12">
        <f>TableDailySummary[[#This Row],[Inversión google ads]]+TableDailySummary[[#This Row],[Inversión meta ads]]</f>
        <v>130525.86</v>
      </c>
      <c r="AC218" s="12">
        <f>TableDailySummary[[#This Row],[Ventas google ads]]+TableDailySummary[[#This Row],[Ventas meta ads]]</f>
        <v>694500</v>
      </c>
      <c r="AD218" s="14">
        <f>IFERROR(TableDailySummary[[#This Row],[Ventas publicidad]]/TableDailySummary[[#This Row],[Inversión publicidad]],0)</f>
        <v>5.3207847088691853</v>
      </c>
      <c r="AE218" s="14">
        <f>IFERROR(TableDailySummary[[#This Row],[Ventas primer cliente]]/TableDailySummary[[#This Row],[Inversión publicidad]],0)</f>
        <v>41.207713628548397</v>
      </c>
      <c r="AF218" s="14"/>
      <c r="AG218" s="12"/>
      <c r="AM218" s="12">
        <f>_xlfn.XLOOKUP(TableDailySummary[[#This Row],[Fecha]],SummaryDaily[day],SummaryDaily[net_sales_with_cost_recorded],0)</f>
        <v>11600941.15</v>
      </c>
      <c r="AN218" s="12">
        <f>_xlfn.XLOOKUP(TableDailySummary[[#This Row],[Fecha]],SummaryDaily[day],SummaryDaily[cost_of_goods_sold],0)</f>
        <v>3584031</v>
      </c>
      <c r="AO218" s="12">
        <f>_xlfn.XLOOKUP(TableDailySummary[[#This Row],[Fecha]],SummaryDaily[day],SummaryDaily[gross_profit],0)</f>
        <v>8016910.1500000004</v>
      </c>
      <c r="AP218" s="18">
        <f>IFERROR(TableDailySummary[[#This Row],[Utilidad bruta]]/TableDailySummary[[#This Row],[Ventas netas con costo registrado]],0)</f>
        <v>0.69105687601906329</v>
      </c>
    </row>
    <row r="219" spans="2:42" x14ac:dyDescent="0.2">
      <c r="B219" s="15" cm="1">
        <f t="array" ref="B219">MIN(SummaryDaily[day]) + (ROW(TableDailySummary[#This Row]) - ROW(TableDailySummary[[#Headers],[Dia]]) - 1)</f>
        <v>45990</v>
      </c>
      <c r="C219" s="6">
        <f>TableDailySummary[[#This Row],[Dia]]</f>
        <v>45990</v>
      </c>
      <c r="D219" s="12">
        <f>_xlfn.XLOOKUP(TableDailySummary[[#This Row],[Fecha]],SummaryDaily[day],SummaryDaily[net_sales],0)</f>
        <v>6007563.0700000003</v>
      </c>
      <c r="E219" s="12">
        <f>_xlfn.XLOOKUP(TableDailySummary[[#This Row],[Fecha]],SummaryDaily[day],SummaryDaily[orders],0)</f>
        <v>41</v>
      </c>
      <c r="F219" s="12">
        <f>_xlfn.XLOOKUP(TableDailySummary[[#This Row],[Fecha]],SummaryDaily[day],SummaryDaily[average_order_value],0)</f>
        <v>146525.92800000001</v>
      </c>
      <c r="G219" s="24">
        <f>_xlfn.XLOOKUP(TableDailySummary[[#This Row],[Fecha]],SummaryDaily[day],SummaryDaily[Total site_conversion_rate],0)</f>
        <v>1.9108280254777069E-2</v>
      </c>
      <c r="H219" s="12">
        <f>TableDailySummary[[#This Row],[Órden promedio totales]]*TableDailySummary[[#This Row],[CR totales]]</f>
        <v>2799.8584968152868</v>
      </c>
      <c r="I219" s="12">
        <f>_xlfn.XLOOKUP(TableDailySummary[[#This Row],[Fecha]],SummaryDaily[day],SummaryDaily[new_net_sales],0)</f>
        <v>3150420.18</v>
      </c>
      <c r="J219" s="12">
        <f>_xlfn.XLOOKUP(TableDailySummary[[#This Row],[Fecha]],SummaryDaily[day],SummaryDaily[new_orders],0)</f>
        <v>20</v>
      </c>
      <c r="K219" s="12">
        <f>_xlfn.XLOOKUP(TableDailySummary[[#This Row],[Fecha]],SummaryDaily[day],SummaryDaily[new_average_order_value],0)</f>
        <v>157521.00899999999</v>
      </c>
      <c r="L219" s="12">
        <f>_xlfn.XLOOKUP(TableDailySummary[[#This Row],[Fecha]],SummaryDaily[day],SummaryDaily[Online Store_net_sales],0)</f>
        <v>1163865.55</v>
      </c>
      <c r="M219" s="12">
        <f>_xlfn.XLOOKUP(TableDailySummary[[#This Row],[Fecha]],SummaryDaily[day],SummaryDaily[Online Store_orders],0)</f>
        <v>9</v>
      </c>
      <c r="N219" s="12">
        <f>_xlfn.XLOOKUP(TableDailySummary[[#This Row],[Fecha]],SummaryDaily[day],SummaryDaily[Online Store_average_order_value],0)</f>
        <v>129318.394</v>
      </c>
      <c r="O219" s="12">
        <f>_xlfn.XLOOKUP(TableDailySummary[[#This Row],[Fecha]],SummaryDaily[day],SummaryDaily[Tienda 81_net_sales],0)</f>
        <v>4637815.16</v>
      </c>
      <c r="P219" s="12">
        <f>_xlfn.XLOOKUP(TableDailySummary[[#This Row],[Fecha]],SummaryDaily[day],SummaryDaily[Tienda 81_orders],0)</f>
        <v>30</v>
      </c>
      <c r="Q219" s="12">
        <f>_xlfn.XLOOKUP(TableDailySummary[[#This Row],[Fecha]],SummaryDaily[day],SummaryDaily[Tienda 81_average_order_value],0)</f>
        <v>154593.83799999999</v>
      </c>
      <c r="R219" s="12">
        <f>_xlfn.XLOOKUP(TableDailySummary[[#This Row],[Fecha]],SummaryDaily[day],SummaryDaily[Rappi_net_sales],0)</f>
        <v>205882.36</v>
      </c>
      <c r="S219" s="12">
        <f>_xlfn.XLOOKUP(TableDailySummary[[#This Row],[Fecha]],SummaryDaily[day],SummaryDaily[Rappi_orders],0)</f>
        <v>2</v>
      </c>
      <c r="T219" s="12">
        <f>_xlfn.XLOOKUP(TableDailySummary[[#This Row],[Fecha]],SummaryDaily[day],SummaryDaily[Rappi_average_order_value],0)</f>
        <v>102941.18</v>
      </c>
      <c r="U219" s="12">
        <f>_xlfn.XLOOKUP(TableDailySummary[[#This Row],[Fecha]],SummaryDaily[day],SummaryDaily[Corporativo no tienda_net_sales],0)</f>
        <v>0</v>
      </c>
      <c r="V219" s="12">
        <f>_xlfn.XLOOKUP(TableDailySummary[[#This Row],[Fecha]],SummaryDaily[day],SummaryDaily[Corporativo no tienda_orders],0)</f>
        <v>0</v>
      </c>
      <c r="W219" s="12">
        <f>_xlfn.XLOOKUP(TableDailySummary[[#This Row],[Fecha]],SummaryDaily[day],SummaryDaily[Corporativo no tienda_average_order_value],0)</f>
        <v>0</v>
      </c>
      <c r="X219" s="12">
        <f>_xlfn.XLOOKUP(TableDailySummary[[#This Row],[Fecha]],SummaryDaily[day],SummaryDaily[GoogleAdsOperation.Cost],0)</f>
        <v>56478.99</v>
      </c>
      <c r="Y219" s="12">
        <f>SUMIFS(SalesByUTMDaily[google],SalesByUTMDaily[day],TableDailySummary[[#This Row],[Fecha]])</f>
        <v>119000</v>
      </c>
      <c r="Z219" s="12">
        <f>_xlfn.XLOOKUP(TableDailySummary[[#This Row],[Fecha]],SummaryDaily[day],SummaryDaily[MetaAdsOperation.spend],0)</f>
        <v>50118</v>
      </c>
      <c r="AA219" s="12">
        <f>SUMIFS(SalesByUTMDaily[facebook],SalesByUTMDaily[day],TableDailySummary[[#This Row],[Fecha]])</f>
        <v>129000</v>
      </c>
      <c r="AB219" s="12">
        <f>TableDailySummary[[#This Row],[Inversión google ads]]+TableDailySummary[[#This Row],[Inversión meta ads]]</f>
        <v>106596.98999999999</v>
      </c>
      <c r="AC219" s="12">
        <f>TableDailySummary[[#This Row],[Ventas google ads]]+TableDailySummary[[#This Row],[Ventas meta ads]]</f>
        <v>248000</v>
      </c>
      <c r="AD219" s="14">
        <f>IFERROR(TableDailySummary[[#This Row],[Ventas publicidad]]/TableDailySummary[[#This Row],[Inversión publicidad]],0)</f>
        <v>2.3265197263074691</v>
      </c>
      <c r="AE219" s="14">
        <f>IFERROR(TableDailySummary[[#This Row],[Ventas primer cliente]]/TableDailySummary[[#This Row],[Inversión publicidad]],0)</f>
        <v>29.554494737609385</v>
      </c>
      <c r="AF219" s="14"/>
      <c r="AG219" s="12"/>
      <c r="AM219" s="12">
        <f>_xlfn.XLOOKUP(TableDailySummary[[#This Row],[Fecha]],SummaryDaily[day],SummaryDaily[net_sales_with_cost_recorded],0)</f>
        <v>5978151.3099999996</v>
      </c>
      <c r="AN219" s="12">
        <f>_xlfn.XLOOKUP(TableDailySummary[[#This Row],[Fecha]],SummaryDaily[day],SummaryDaily[cost_of_goods_sold],0)</f>
        <v>1948439</v>
      </c>
      <c r="AO219" s="12">
        <f>_xlfn.XLOOKUP(TableDailySummary[[#This Row],[Fecha]],SummaryDaily[day],SummaryDaily[gross_profit],0)</f>
        <v>4029712.31</v>
      </c>
      <c r="AP219" s="18">
        <f>IFERROR(TableDailySummary[[#This Row],[Utilidad bruta]]/TableDailySummary[[#This Row],[Ventas netas con costo registrado]],0)</f>
        <v>0.67407332150647759</v>
      </c>
    </row>
    <row r="220" spans="2:42" x14ac:dyDescent="0.2">
      <c r="B220" s="15" cm="1">
        <f t="array" ref="B220">MIN(SummaryDaily[day]) + (ROW(TableDailySummary[#This Row]) - ROW(TableDailySummary[[#Headers],[Dia]]) - 1)</f>
        <v>45991</v>
      </c>
      <c r="C220" s="6">
        <f>TableDailySummary[[#This Row],[Dia]]</f>
        <v>45991</v>
      </c>
      <c r="D220" s="12">
        <f>_xlfn.XLOOKUP(TableDailySummary[[#This Row],[Fecha]],SummaryDaily[day],SummaryDaily[net_sales],0)</f>
        <v>5568067.2199999997</v>
      </c>
      <c r="E220" s="12">
        <f>_xlfn.XLOOKUP(TableDailySummary[[#This Row],[Fecha]],SummaryDaily[day],SummaryDaily[orders],0)</f>
        <v>33</v>
      </c>
      <c r="F220" s="12">
        <f>_xlfn.XLOOKUP(TableDailySummary[[#This Row],[Fecha]],SummaryDaily[day],SummaryDaily[average_order_value],0)</f>
        <v>166182.83600000001</v>
      </c>
      <c r="G220" s="24">
        <f>_xlfn.XLOOKUP(TableDailySummary[[#This Row],[Fecha]],SummaryDaily[day],SummaryDaily[Total site_conversion_rate],0)</f>
        <v>2.4253731343283583E-2</v>
      </c>
      <c r="H220" s="12">
        <f>TableDailySummary[[#This Row],[Órden promedio totales]]*TableDailySummary[[#This Row],[CR totales]]</f>
        <v>4030.5538582089557</v>
      </c>
      <c r="I220" s="12">
        <f>_xlfn.XLOOKUP(TableDailySummary[[#This Row],[Fecha]],SummaryDaily[day],SummaryDaily[new_net_sales],0)</f>
        <v>3135294.11</v>
      </c>
      <c r="J220" s="12">
        <f>_xlfn.XLOOKUP(TableDailySummary[[#This Row],[Fecha]],SummaryDaily[day],SummaryDaily[new_orders],0)</f>
        <v>15</v>
      </c>
      <c r="K220" s="12">
        <f>_xlfn.XLOOKUP(TableDailySummary[[#This Row],[Fecha]],SummaryDaily[day],SummaryDaily[new_average_order_value],0)</f>
        <v>203417.36600000001</v>
      </c>
      <c r="L220" s="12">
        <f>_xlfn.XLOOKUP(TableDailySummary[[#This Row],[Fecha]],SummaryDaily[day],SummaryDaily[Online Store_net_sales],0)</f>
        <v>3193277.32</v>
      </c>
      <c r="M220" s="12">
        <f>_xlfn.XLOOKUP(TableDailySummary[[#This Row],[Fecha]],SummaryDaily[day],SummaryDaily[Online Store_orders],0)</f>
        <v>13</v>
      </c>
      <c r="N220" s="12">
        <f>_xlfn.XLOOKUP(TableDailySummary[[#This Row],[Fecha]],SummaryDaily[day],SummaryDaily[Online Store_average_order_value],0)</f>
        <v>245636.71599999999</v>
      </c>
      <c r="O220" s="12">
        <f>_xlfn.XLOOKUP(TableDailySummary[[#This Row],[Fecha]],SummaryDaily[day],SummaryDaily[Tienda 81_net_sales],0)</f>
        <v>2374789.9</v>
      </c>
      <c r="P220" s="12">
        <f>_xlfn.XLOOKUP(TableDailySummary[[#This Row],[Fecha]],SummaryDaily[day],SummaryDaily[Tienda 81_orders],0)</f>
        <v>20</v>
      </c>
      <c r="Q220" s="12">
        <f>_xlfn.XLOOKUP(TableDailySummary[[#This Row],[Fecha]],SummaryDaily[day],SummaryDaily[Tienda 81_average_order_value],0)</f>
        <v>114537.814</v>
      </c>
      <c r="R220" s="12">
        <f>_xlfn.XLOOKUP(TableDailySummary[[#This Row],[Fecha]],SummaryDaily[day],SummaryDaily[Rappi_net_sales],0)</f>
        <v>0</v>
      </c>
      <c r="S220" s="12">
        <f>_xlfn.XLOOKUP(TableDailySummary[[#This Row],[Fecha]],SummaryDaily[day],SummaryDaily[Rappi_orders],0)</f>
        <v>0</v>
      </c>
      <c r="T220" s="12">
        <f>_xlfn.XLOOKUP(TableDailySummary[[#This Row],[Fecha]],SummaryDaily[day],SummaryDaily[Rappi_average_order_value],0)</f>
        <v>0</v>
      </c>
      <c r="U220" s="12">
        <f>_xlfn.XLOOKUP(TableDailySummary[[#This Row],[Fecha]],SummaryDaily[day],SummaryDaily[Corporativo no tienda_net_sales],0)</f>
        <v>0</v>
      </c>
      <c r="V220" s="12">
        <f>_xlfn.XLOOKUP(TableDailySummary[[#This Row],[Fecha]],SummaryDaily[day],SummaryDaily[Corporativo no tienda_orders],0)</f>
        <v>0</v>
      </c>
      <c r="W220" s="12">
        <f>_xlfn.XLOOKUP(TableDailySummary[[#This Row],[Fecha]],SummaryDaily[day],SummaryDaily[Corporativo no tienda_average_order_value],0)</f>
        <v>0</v>
      </c>
      <c r="X220" s="12">
        <f>_xlfn.XLOOKUP(TableDailySummary[[#This Row],[Fecha]],SummaryDaily[day],SummaryDaily[GoogleAdsOperation.Cost],0)</f>
        <v>68959.839999999997</v>
      </c>
      <c r="Y220" s="12">
        <f>SUMIFS(SalesByUTMDaily[google],SalesByUTMDaily[day],TableDailySummary[[#This Row],[Fecha]])</f>
        <v>264000</v>
      </c>
      <c r="Z220" s="12">
        <f>_xlfn.XLOOKUP(TableDailySummary[[#This Row],[Fecha]],SummaryDaily[day],SummaryDaily[MetaAdsOperation.spend],0)</f>
        <v>57926</v>
      </c>
      <c r="AA220" s="12">
        <f>SUMIFS(SalesByUTMDaily[facebook],SalesByUTMDaily[day],TableDailySummary[[#This Row],[Fecha]])</f>
        <v>0</v>
      </c>
      <c r="AB220" s="12">
        <f>TableDailySummary[[#This Row],[Inversión google ads]]+TableDailySummary[[#This Row],[Inversión meta ads]]</f>
        <v>126885.84</v>
      </c>
      <c r="AC220" s="12">
        <f>TableDailySummary[[#This Row],[Ventas google ads]]+TableDailySummary[[#This Row],[Ventas meta ads]]</f>
        <v>264000</v>
      </c>
      <c r="AD220" s="14">
        <f>IFERROR(TableDailySummary[[#This Row],[Ventas publicidad]]/TableDailySummary[[#This Row],[Inversión publicidad]],0)</f>
        <v>2.0806104132659722</v>
      </c>
      <c r="AE220" s="14">
        <f>IFERROR(TableDailySummary[[#This Row],[Ventas primer cliente]]/TableDailySummary[[#This Row],[Inversión publicidad]],0)</f>
        <v>24.709566567869196</v>
      </c>
      <c r="AF220" s="14"/>
      <c r="AG220" s="12"/>
      <c r="AM220" s="12">
        <f>_xlfn.XLOOKUP(TableDailySummary[[#This Row],[Fecha]],SummaryDaily[day],SummaryDaily[net_sales_with_cost_recorded],0)</f>
        <v>5248319.32</v>
      </c>
      <c r="AN220" s="12">
        <f>_xlfn.XLOOKUP(TableDailySummary[[#This Row],[Fecha]],SummaryDaily[day],SummaryDaily[cost_of_goods_sold],0)</f>
        <v>1403996</v>
      </c>
      <c r="AO220" s="12">
        <f>_xlfn.XLOOKUP(TableDailySummary[[#This Row],[Fecha]],SummaryDaily[day],SummaryDaily[gross_profit],0)</f>
        <v>3844323.32</v>
      </c>
      <c r="AP220" s="18">
        <f>IFERROR(TableDailySummary[[#This Row],[Utilidad bruta]]/TableDailySummary[[#This Row],[Ventas netas con costo registrado]],0)</f>
        <v>0.73248655152331688</v>
      </c>
    </row>
    <row r="221" spans="2:42" x14ac:dyDescent="0.2">
      <c r="B221" s="15" cm="1">
        <f t="array" ref="B221">MIN(SummaryDaily[day]) + (ROW(TableDailySummary[#This Row]) - ROW(TableDailySummary[[#Headers],[Dia]]) - 1)</f>
        <v>45992</v>
      </c>
      <c r="C221" s="6">
        <f>TableDailySummary[[#This Row],[Dia]]</f>
        <v>45992</v>
      </c>
      <c r="D221" s="12">
        <f>_xlfn.XLOOKUP(TableDailySummary[[#This Row],[Fecha]],SummaryDaily[day],SummaryDaily[net_sales],0)</f>
        <v>8868991.5899999999</v>
      </c>
      <c r="E221" s="12">
        <f>_xlfn.XLOOKUP(TableDailySummary[[#This Row],[Fecha]],SummaryDaily[day],SummaryDaily[orders],0)</f>
        <v>33</v>
      </c>
      <c r="F221" s="12">
        <f>_xlfn.XLOOKUP(TableDailySummary[[#This Row],[Fecha]],SummaryDaily[day],SummaryDaily[average_order_value],0)</f>
        <v>273595.62</v>
      </c>
      <c r="G221" s="24">
        <f>_xlfn.XLOOKUP(TableDailySummary[[#This Row],[Fecha]],SummaryDaily[day],SummaryDaily[Total site_conversion_rate],0)</f>
        <v>2.4518388791593695E-2</v>
      </c>
      <c r="H221" s="12">
        <f>TableDailySummary[[#This Row],[Órden promedio totales]]*TableDailySummary[[#This Row],[CR totales]]</f>
        <v>6708.1237828371277</v>
      </c>
      <c r="I221" s="12">
        <f>_xlfn.XLOOKUP(TableDailySummary[[#This Row],[Fecha]],SummaryDaily[day],SummaryDaily[new_net_sales],0)</f>
        <v>4338235.28</v>
      </c>
      <c r="J221" s="12">
        <f>_xlfn.XLOOKUP(TableDailySummary[[#This Row],[Fecha]],SummaryDaily[day],SummaryDaily[new_orders],0)</f>
        <v>16</v>
      </c>
      <c r="K221" s="12">
        <f>_xlfn.XLOOKUP(TableDailySummary[[#This Row],[Fecha]],SummaryDaily[day],SummaryDaily[new_average_order_value],0)</f>
        <v>271139.70500000002</v>
      </c>
      <c r="L221" s="12">
        <f>_xlfn.XLOOKUP(TableDailySummary[[#This Row],[Fecha]],SummaryDaily[day],SummaryDaily[Online Store_net_sales],0)</f>
        <v>4149478.97</v>
      </c>
      <c r="M221" s="12">
        <f>_xlfn.XLOOKUP(TableDailySummary[[#This Row],[Fecha]],SummaryDaily[day],SummaryDaily[Online Store_orders],0)</f>
        <v>16</v>
      </c>
      <c r="N221" s="12">
        <f>_xlfn.XLOOKUP(TableDailySummary[[#This Row],[Fecha]],SummaryDaily[day],SummaryDaily[Online Store_average_order_value],0)</f>
        <v>269321.42700000003</v>
      </c>
      <c r="O221" s="12">
        <f>_xlfn.XLOOKUP(TableDailySummary[[#This Row],[Fecha]],SummaryDaily[day],SummaryDaily[Tienda 81_net_sales],0)</f>
        <v>4719512.62</v>
      </c>
      <c r="P221" s="12">
        <f>_xlfn.XLOOKUP(TableDailySummary[[#This Row],[Fecha]],SummaryDaily[day],SummaryDaily[Tienda 81_orders],0)</f>
        <v>17</v>
      </c>
      <c r="Q221" s="12">
        <f>_xlfn.XLOOKUP(TableDailySummary[[#This Row],[Fecha]],SummaryDaily[day],SummaryDaily[Tienda 81_average_order_value],0)</f>
        <v>277618.38900000002</v>
      </c>
      <c r="R221" s="12">
        <f>_xlfn.XLOOKUP(TableDailySummary[[#This Row],[Fecha]],SummaryDaily[day],SummaryDaily[Rappi_net_sales],0)</f>
        <v>0</v>
      </c>
      <c r="S221" s="12">
        <f>_xlfn.XLOOKUP(TableDailySummary[[#This Row],[Fecha]],SummaryDaily[day],SummaryDaily[Rappi_orders],0)</f>
        <v>0</v>
      </c>
      <c r="T221" s="12">
        <f>_xlfn.XLOOKUP(TableDailySummary[[#This Row],[Fecha]],SummaryDaily[day],SummaryDaily[Rappi_average_order_value],0)</f>
        <v>0</v>
      </c>
      <c r="U221" s="12">
        <f>_xlfn.XLOOKUP(TableDailySummary[[#This Row],[Fecha]],SummaryDaily[day],SummaryDaily[Corporativo no tienda_net_sales],0)</f>
        <v>0</v>
      </c>
      <c r="V221" s="12">
        <f>_xlfn.XLOOKUP(TableDailySummary[[#This Row],[Fecha]],SummaryDaily[day],SummaryDaily[Corporativo no tienda_orders],0)</f>
        <v>0</v>
      </c>
      <c r="W221" s="12">
        <f>_xlfn.XLOOKUP(TableDailySummary[[#This Row],[Fecha]],SummaryDaily[day],SummaryDaily[Corporativo no tienda_average_order_value],0)</f>
        <v>0</v>
      </c>
      <c r="X221" s="12">
        <f>_xlfn.XLOOKUP(TableDailySummary[[#This Row],[Fecha]],SummaryDaily[day],SummaryDaily[GoogleAdsOperation.Cost],0)</f>
        <v>57050.22</v>
      </c>
      <c r="Y221" s="12">
        <f>SUMIFS(SalesByUTMDaily[google],SalesByUTMDaily[day],TableDailySummary[[#This Row],[Fecha]])</f>
        <v>-199000</v>
      </c>
      <c r="Z221" s="12">
        <f>_xlfn.XLOOKUP(TableDailySummary[[#This Row],[Fecha]],SummaryDaily[day],SummaryDaily[MetaAdsOperation.spend],0)</f>
        <v>54858</v>
      </c>
      <c r="AA221" s="12">
        <f>SUMIFS(SalesByUTMDaily[facebook],SalesByUTMDaily[day],TableDailySummary[[#This Row],[Fecha]])</f>
        <v>179000</v>
      </c>
      <c r="AB221" s="12">
        <f>TableDailySummary[[#This Row],[Inversión google ads]]+TableDailySummary[[#This Row],[Inversión meta ads]]</f>
        <v>111908.22</v>
      </c>
      <c r="AC221" s="12">
        <f>TableDailySummary[[#This Row],[Ventas google ads]]+TableDailySummary[[#This Row],[Ventas meta ads]]</f>
        <v>-20000</v>
      </c>
      <c r="AD221" s="14">
        <f>IFERROR(TableDailySummary[[#This Row],[Ventas publicidad]]/TableDailySummary[[#This Row],[Inversión publicidad]],0)</f>
        <v>-0.17871788149253021</v>
      </c>
      <c r="AE221" s="14">
        <f>IFERROR(TableDailySummary[[#This Row],[Ventas primer cliente]]/TableDailySummary[[#This Row],[Inversión publicidad]],0)</f>
        <v>38.766010932887681</v>
      </c>
      <c r="AF221" s="14"/>
      <c r="AG221" s="12"/>
      <c r="AM221" s="12">
        <f>_xlfn.XLOOKUP(TableDailySummary[[#This Row],[Fecha]],SummaryDaily[day],SummaryDaily[net_sales_with_cost_recorded],0)</f>
        <v>8755546.2100000009</v>
      </c>
      <c r="AN221" s="12">
        <f>_xlfn.XLOOKUP(TableDailySummary[[#This Row],[Fecha]],SummaryDaily[day],SummaryDaily[cost_of_goods_sold],0)</f>
        <v>3048098</v>
      </c>
      <c r="AO221" s="12">
        <f>_xlfn.XLOOKUP(TableDailySummary[[#This Row],[Fecha]],SummaryDaily[day],SummaryDaily[gross_profit],0)</f>
        <v>5707448.21</v>
      </c>
      <c r="AP221" s="18">
        <f>IFERROR(TableDailySummary[[#This Row],[Utilidad bruta]]/TableDailySummary[[#This Row],[Ventas netas con costo registrado]],0)</f>
        <v>0.65186660810279695</v>
      </c>
    </row>
    <row r="222" spans="2:42" x14ac:dyDescent="0.2">
      <c r="B222" s="15" cm="1">
        <f t="array" ref="B222">MIN(SummaryDaily[day]) + (ROW(TableDailySummary[#This Row]) - ROW(TableDailySummary[[#Headers],[Dia]]) - 1)</f>
        <v>45993</v>
      </c>
      <c r="C222" s="6">
        <f>TableDailySummary[[#This Row],[Dia]]</f>
        <v>45993</v>
      </c>
      <c r="D222" s="12">
        <f>_xlfn.XLOOKUP(TableDailySummary[[#This Row],[Fecha]],SummaryDaily[day],SummaryDaily[net_sales],0)</f>
        <v>7393327.75</v>
      </c>
      <c r="E222" s="12">
        <f>_xlfn.XLOOKUP(TableDailySummary[[#This Row],[Fecha]],SummaryDaily[day],SummaryDaily[orders],0)</f>
        <v>46</v>
      </c>
      <c r="F222" s="12">
        <f>_xlfn.XLOOKUP(TableDailySummary[[#This Row],[Fecha]],SummaryDaily[day],SummaryDaily[average_order_value],0)</f>
        <v>160724.516</v>
      </c>
      <c r="G222" s="24">
        <f>_xlfn.XLOOKUP(TableDailySummary[[#This Row],[Fecha]],SummaryDaily[day],SummaryDaily[Total site_conversion_rate],0)</f>
        <v>2.4347826086956521E-2</v>
      </c>
      <c r="H222" s="12">
        <f>TableDailySummary[[#This Row],[Órden promedio totales]]*TableDailySummary[[#This Row],[CR totales]]</f>
        <v>3913.2925634782609</v>
      </c>
      <c r="I222" s="12">
        <f>_xlfn.XLOOKUP(TableDailySummary[[#This Row],[Fecha]],SummaryDaily[day],SummaryDaily[new_net_sales],0)</f>
        <v>3095966.4</v>
      </c>
      <c r="J222" s="12">
        <f>_xlfn.XLOOKUP(TableDailySummary[[#This Row],[Fecha]],SummaryDaily[day],SummaryDaily[new_orders],0)</f>
        <v>23</v>
      </c>
      <c r="K222" s="12">
        <f>_xlfn.XLOOKUP(TableDailySummary[[#This Row],[Fecha]],SummaryDaily[day],SummaryDaily[new_average_order_value],0)</f>
        <v>134607.234</v>
      </c>
      <c r="L222" s="12">
        <f>_xlfn.XLOOKUP(TableDailySummary[[#This Row],[Fecha]],SummaryDaily[day],SummaryDaily[Online Store_net_sales],0)</f>
        <v>2436974.79</v>
      </c>
      <c r="M222" s="12">
        <f>_xlfn.XLOOKUP(TableDailySummary[[#This Row],[Fecha]],SummaryDaily[day],SummaryDaily[Online Store_orders],0)</f>
        <v>13</v>
      </c>
      <c r="N222" s="12">
        <f>_xlfn.XLOOKUP(TableDailySummary[[#This Row],[Fecha]],SummaryDaily[day],SummaryDaily[Online Store_average_order_value],0)</f>
        <v>187459.59899999999</v>
      </c>
      <c r="O222" s="12">
        <f>_xlfn.XLOOKUP(TableDailySummary[[#This Row],[Fecha]],SummaryDaily[day],SummaryDaily[Tienda 81_net_sales],0)</f>
        <v>4956352.96</v>
      </c>
      <c r="P222" s="12">
        <f>_xlfn.XLOOKUP(TableDailySummary[[#This Row],[Fecha]],SummaryDaily[day],SummaryDaily[Tienda 81_orders],0)</f>
        <v>33</v>
      </c>
      <c r="Q222" s="12">
        <f>_xlfn.XLOOKUP(TableDailySummary[[#This Row],[Fecha]],SummaryDaily[day],SummaryDaily[Tienda 81_average_order_value],0)</f>
        <v>150192.51300000001</v>
      </c>
      <c r="R222" s="12">
        <f>_xlfn.XLOOKUP(TableDailySummary[[#This Row],[Fecha]],SummaryDaily[day],SummaryDaily[Rappi_net_sales],0)</f>
        <v>0</v>
      </c>
      <c r="S222" s="12">
        <f>_xlfn.XLOOKUP(TableDailySummary[[#This Row],[Fecha]],SummaryDaily[day],SummaryDaily[Rappi_orders],0)</f>
        <v>0</v>
      </c>
      <c r="T222" s="12">
        <f>_xlfn.XLOOKUP(TableDailySummary[[#This Row],[Fecha]],SummaryDaily[day],SummaryDaily[Rappi_average_order_value],0)</f>
        <v>0</v>
      </c>
      <c r="U222" s="12">
        <f>_xlfn.XLOOKUP(TableDailySummary[[#This Row],[Fecha]],SummaryDaily[day],SummaryDaily[Corporativo no tienda_net_sales],0)</f>
        <v>0</v>
      </c>
      <c r="V222" s="12">
        <f>_xlfn.XLOOKUP(TableDailySummary[[#This Row],[Fecha]],SummaryDaily[day],SummaryDaily[Corporativo no tienda_orders],0)</f>
        <v>0</v>
      </c>
      <c r="W222" s="12">
        <f>_xlfn.XLOOKUP(TableDailySummary[[#This Row],[Fecha]],SummaryDaily[day],SummaryDaily[Corporativo no tienda_average_order_value],0)</f>
        <v>0</v>
      </c>
      <c r="X222" s="12">
        <f>_xlfn.XLOOKUP(TableDailySummary[[#This Row],[Fecha]],SummaryDaily[day],SummaryDaily[GoogleAdsOperation.Cost],0)</f>
        <v>51712.29</v>
      </c>
      <c r="Y222" s="12">
        <f>SUMIFS(SalesByUTMDaily[google],SalesByUTMDaily[day],TableDailySummary[[#This Row],[Fecha]])</f>
        <v>0</v>
      </c>
      <c r="Z222" s="12">
        <f>_xlfn.XLOOKUP(TableDailySummary[[#This Row],[Fecha]],SummaryDaily[day],SummaryDaily[MetaAdsOperation.spend],0)</f>
        <v>52563</v>
      </c>
      <c r="AA222" s="12">
        <f>SUMIFS(SalesByUTMDaily[facebook],SalesByUTMDaily[day],TableDailySummary[[#This Row],[Fecha]])</f>
        <v>0</v>
      </c>
      <c r="AB222" s="12">
        <f>TableDailySummary[[#This Row],[Inversión google ads]]+TableDailySummary[[#This Row],[Inversión meta ads]]</f>
        <v>104275.29000000001</v>
      </c>
      <c r="AC222" s="12">
        <f>TableDailySummary[[#This Row],[Ventas google ads]]+TableDailySummary[[#This Row],[Ventas meta ads]]</f>
        <v>0</v>
      </c>
      <c r="AD222" s="14">
        <f>IFERROR(TableDailySummary[[#This Row],[Ventas publicidad]]/TableDailySummary[[#This Row],[Inversión publicidad]],0)</f>
        <v>0</v>
      </c>
      <c r="AE222" s="14">
        <f>IFERROR(TableDailySummary[[#This Row],[Ventas primer cliente]]/TableDailySummary[[#This Row],[Inversión publicidad]],0)</f>
        <v>29.690316852631142</v>
      </c>
      <c r="AF222" s="14"/>
      <c r="AG222" s="12"/>
      <c r="AM222" s="12">
        <f>_xlfn.XLOOKUP(TableDailySummary[[#This Row],[Fecha]],SummaryDaily[day],SummaryDaily[net_sales_with_cost_recorded],0)</f>
        <v>7033268.9400000004</v>
      </c>
      <c r="AN222" s="12">
        <f>_xlfn.XLOOKUP(TableDailySummary[[#This Row],[Fecha]],SummaryDaily[day],SummaryDaily[cost_of_goods_sold],0)</f>
        <v>2418958</v>
      </c>
      <c r="AO222" s="12">
        <f>_xlfn.XLOOKUP(TableDailySummary[[#This Row],[Fecha]],SummaryDaily[day],SummaryDaily[gross_profit],0)</f>
        <v>4614310.9400000004</v>
      </c>
      <c r="AP222" s="18">
        <f>IFERROR(TableDailySummary[[#This Row],[Utilidad bruta]]/TableDailySummary[[#This Row],[Ventas netas con costo registrado]],0)</f>
        <v>0.65606917343331395</v>
      </c>
    </row>
    <row r="223" spans="2:42" x14ac:dyDescent="0.2">
      <c r="B223" s="15" cm="1">
        <f t="array" ref="B223">MIN(SummaryDaily[day]) + (ROW(TableDailySummary[#This Row]) - ROW(TableDailySummary[[#Headers],[Dia]]) - 1)</f>
        <v>45994</v>
      </c>
      <c r="C223" s="6">
        <f>TableDailySummary[[#This Row],[Dia]]</f>
        <v>45994</v>
      </c>
      <c r="D223" s="12">
        <f>_xlfn.XLOOKUP(TableDailySummary[[#This Row],[Fecha]],SummaryDaily[day],SummaryDaily[net_sales],0)</f>
        <v>18421487.350000001</v>
      </c>
      <c r="E223" s="12">
        <f>_xlfn.XLOOKUP(TableDailySummary[[#This Row],[Fecha]],SummaryDaily[day],SummaryDaily[orders],0)</f>
        <v>79</v>
      </c>
      <c r="F223" s="12">
        <f>_xlfn.XLOOKUP(TableDailySummary[[#This Row],[Fecha]],SummaryDaily[day],SummaryDaily[average_order_value],0)</f>
        <v>233183.38399999999</v>
      </c>
      <c r="G223" s="24">
        <f>_xlfn.XLOOKUP(TableDailySummary[[#This Row],[Fecha]],SummaryDaily[day],SummaryDaily[Total site_conversion_rate],0)</f>
        <v>2.1126760563380281E-2</v>
      </c>
      <c r="H223" s="12">
        <f>TableDailySummary[[#This Row],[Órden promedio totales]]*TableDailySummary[[#This Row],[CR totales]]</f>
        <v>4926.4095211267604</v>
      </c>
      <c r="I223" s="12">
        <f>_xlfn.XLOOKUP(TableDailySummary[[#This Row],[Fecha]],SummaryDaily[day],SummaryDaily[new_net_sales],0)</f>
        <v>12126949.560000001</v>
      </c>
      <c r="J223" s="12">
        <f>_xlfn.XLOOKUP(TableDailySummary[[#This Row],[Fecha]],SummaryDaily[day],SummaryDaily[new_orders],0)</f>
        <v>38</v>
      </c>
      <c r="K223" s="12">
        <f>_xlfn.XLOOKUP(TableDailySummary[[#This Row],[Fecha]],SummaryDaily[day],SummaryDaily[new_average_order_value],0)</f>
        <v>319130.25099999999</v>
      </c>
      <c r="L223" s="12">
        <f>_xlfn.XLOOKUP(TableDailySummary[[#This Row],[Fecha]],SummaryDaily[day],SummaryDaily[Online Store_net_sales],0)</f>
        <v>5580512.5999999996</v>
      </c>
      <c r="M223" s="12">
        <f>_xlfn.XLOOKUP(TableDailySummary[[#This Row],[Fecha]],SummaryDaily[day],SummaryDaily[Online Store_orders],0)</f>
        <v>20</v>
      </c>
      <c r="N223" s="12">
        <f>_xlfn.XLOOKUP(TableDailySummary[[#This Row],[Fecha]],SummaryDaily[day],SummaryDaily[Online Store_average_order_value],0)</f>
        <v>279025.63</v>
      </c>
      <c r="O223" s="12">
        <f>_xlfn.XLOOKUP(TableDailySummary[[#This Row],[Fecha]],SummaryDaily[day],SummaryDaily[Tienda 81_net_sales],0)</f>
        <v>12840974.75</v>
      </c>
      <c r="P223" s="12">
        <f>_xlfn.XLOOKUP(TableDailySummary[[#This Row],[Fecha]],SummaryDaily[day],SummaryDaily[Tienda 81_orders],0)</f>
        <v>59</v>
      </c>
      <c r="Q223" s="12">
        <f>_xlfn.XLOOKUP(TableDailySummary[[#This Row],[Fecha]],SummaryDaily[day],SummaryDaily[Tienda 81_average_order_value],0)</f>
        <v>217643.639</v>
      </c>
      <c r="R223" s="12">
        <f>_xlfn.XLOOKUP(TableDailySummary[[#This Row],[Fecha]],SummaryDaily[day],SummaryDaily[Rappi_net_sales],0)</f>
        <v>0</v>
      </c>
      <c r="S223" s="12">
        <f>_xlfn.XLOOKUP(TableDailySummary[[#This Row],[Fecha]],SummaryDaily[day],SummaryDaily[Rappi_orders],0)</f>
        <v>0</v>
      </c>
      <c r="T223" s="12">
        <f>_xlfn.XLOOKUP(TableDailySummary[[#This Row],[Fecha]],SummaryDaily[day],SummaryDaily[Rappi_average_order_value],0)</f>
        <v>0</v>
      </c>
      <c r="U223" s="12">
        <f>_xlfn.XLOOKUP(TableDailySummary[[#This Row],[Fecha]],SummaryDaily[day],SummaryDaily[Corporativo no tienda_net_sales],0)</f>
        <v>0</v>
      </c>
      <c r="V223" s="12">
        <f>_xlfn.XLOOKUP(TableDailySummary[[#This Row],[Fecha]],SummaryDaily[day],SummaryDaily[Corporativo no tienda_orders],0)</f>
        <v>0</v>
      </c>
      <c r="W223" s="12">
        <f>_xlfn.XLOOKUP(TableDailySummary[[#This Row],[Fecha]],SummaryDaily[day],SummaryDaily[Corporativo no tienda_average_order_value],0)</f>
        <v>0</v>
      </c>
      <c r="X223" s="12">
        <f>_xlfn.XLOOKUP(TableDailySummary[[#This Row],[Fecha]],SummaryDaily[day],SummaryDaily[GoogleAdsOperation.Cost],0)</f>
        <v>81558.929999999993</v>
      </c>
      <c r="Y223" s="12">
        <f>SUMIFS(SalesByUTMDaily[google],SalesByUTMDaily[day],TableDailySummary[[#This Row],[Fecha]])</f>
        <v>0</v>
      </c>
      <c r="Z223" s="12">
        <f>_xlfn.XLOOKUP(TableDailySummary[[#This Row],[Fecha]],SummaryDaily[day],SummaryDaily[MetaAdsOperation.spend],0)</f>
        <v>46862</v>
      </c>
      <c r="AA223" s="12">
        <f>SUMIFS(SalesByUTMDaily[facebook],SalesByUTMDaily[day],TableDailySummary[[#This Row],[Fecha]])</f>
        <v>0</v>
      </c>
      <c r="AB223" s="12">
        <f>TableDailySummary[[#This Row],[Inversión google ads]]+TableDailySummary[[#This Row],[Inversión meta ads]]</f>
        <v>128420.93</v>
      </c>
      <c r="AC223" s="12">
        <f>TableDailySummary[[#This Row],[Ventas google ads]]+TableDailySummary[[#This Row],[Ventas meta ads]]</f>
        <v>0</v>
      </c>
      <c r="AD223" s="14">
        <f>IFERROR(TableDailySummary[[#This Row],[Ventas publicidad]]/TableDailySummary[[#This Row],[Inversión publicidad]],0)</f>
        <v>0</v>
      </c>
      <c r="AE223" s="14">
        <f>IFERROR(TableDailySummary[[#This Row],[Ventas primer cliente]]/TableDailySummary[[#This Row],[Inversión publicidad]],0)</f>
        <v>94.431254780665441</v>
      </c>
      <c r="AF223" s="14"/>
      <c r="AG223" s="12"/>
      <c r="AM223" s="12">
        <f>_xlfn.XLOOKUP(TableDailySummary[[#This Row],[Fecha]],SummaryDaily[day],SummaryDaily[net_sales_with_cost_recorded],0)</f>
        <v>17463285.710000001</v>
      </c>
      <c r="AN223" s="12">
        <f>_xlfn.XLOOKUP(TableDailySummary[[#This Row],[Fecha]],SummaryDaily[day],SummaryDaily[cost_of_goods_sold],0)</f>
        <v>5416387</v>
      </c>
      <c r="AO223" s="12">
        <f>_xlfn.XLOOKUP(TableDailySummary[[#This Row],[Fecha]],SummaryDaily[day],SummaryDaily[gross_profit],0)</f>
        <v>12046898.710000001</v>
      </c>
      <c r="AP223" s="18">
        <f>IFERROR(TableDailySummary[[#This Row],[Utilidad bruta]]/TableDailySummary[[#This Row],[Ventas netas con costo registrado]],0)</f>
        <v>0.68984147141918351</v>
      </c>
    </row>
    <row r="224" spans="2:42" x14ac:dyDescent="0.2">
      <c r="B224" s="15" cm="1">
        <f t="array" ref="B224">MIN(SummaryDaily[day]) + (ROW(TableDailySummary[#This Row]) - ROW(TableDailySummary[[#Headers],[Dia]]) - 1)</f>
        <v>45995</v>
      </c>
      <c r="C224" s="6">
        <f>TableDailySummary[[#This Row],[Dia]]</f>
        <v>45995</v>
      </c>
      <c r="D224" s="12">
        <f>_xlfn.XLOOKUP(TableDailySummary[[#This Row],[Fecha]],SummaryDaily[day],SummaryDaily[net_sales],0)</f>
        <v>10057142.890000001</v>
      </c>
      <c r="E224" s="12">
        <f>_xlfn.XLOOKUP(TableDailySummary[[#This Row],[Fecha]],SummaryDaily[day],SummaryDaily[orders],0)</f>
        <v>45</v>
      </c>
      <c r="F224" s="12">
        <f>_xlfn.XLOOKUP(TableDailySummary[[#This Row],[Fecha]],SummaryDaily[day],SummaryDaily[average_order_value],0)</f>
        <v>222651.728</v>
      </c>
      <c r="G224" s="24">
        <f>_xlfn.XLOOKUP(TableDailySummary[[#This Row],[Fecha]],SummaryDaily[day],SummaryDaily[Total site_conversion_rate],0)</f>
        <v>2.3219814241486069E-2</v>
      </c>
      <c r="H224" s="12">
        <f>TableDailySummary[[#This Row],[Órden promedio totales]]*TableDailySummary[[#This Row],[CR totales]]</f>
        <v>5169.9317647058824</v>
      </c>
      <c r="I224" s="12">
        <f>_xlfn.XLOOKUP(TableDailySummary[[#This Row],[Fecha]],SummaryDaily[day],SummaryDaily[new_net_sales],0)</f>
        <v>6178151.2699999996</v>
      </c>
      <c r="J224" s="12">
        <f>_xlfn.XLOOKUP(TableDailySummary[[#This Row],[Fecha]],SummaryDaily[day],SummaryDaily[new_orders],0)</f>
        <v>21</v>
      </c>
      <c r="K224" s="12">
        <f>_xlfn.XLOOKUP(TableDailySummary[[#This Row],[Fecha]],SummaryDaily[day],SummaryDaily[new_average_order_value],0)</f>
        <v>292396.95899999997</v>
      </c>
      <c r="L224" s="12">
        <f>_xlfn.XLOOKUP(TableDailySummary[[#This Row],[Fecha]],SummaryDaily[day],SummaryDaily[Online Store_net_sales],0)</f>
        <v>2325210.09</v>
      </c>
      <c r="M224" s="12">
        <f>_xlfn.XLOOKUP(TableDailySummary[[#This Row],[Fecha]],SummaryDaily[day],SummaryDaily[Online Store_orders],0)</f>
        <v>12</v>
      </c>
      <c r="N224" s="12">
        <f>_xlfn.XLOOKUP(TableDailySummary[[#This Row],[Fecha]],SummaryDaily[day],SummaryDaily[Online Store_average_order_value],0)</f>
        <v>193767.50700000001</v>
      </c>
      <c r="O224" s="12">
        <f>_xlfn.XLOOKUP(TableDailySummary[[#This Row],[Fecha]],SummaryDaily[day],SummaryDaily[Tienda 81_net_sales],0)</f>
        <v>7731932.7999999998</v>
      </c>
      <c r="P224" s="12">
        <f>_xlfn.XLOOKUP(TableDailySummary[[#This Row],[Fecha]],SummaryDaily[day],SummaryDaily[Tienda 81_orders],0)</f>
        <v>33</v>
      </c>
      <c r="Q224" s="12">
        <f>_xlfn.XLOOKUP(TableDailySummary[[#This Row],[Fecha]],SummaryDaily[day],SummaryDaily[Tienda 81_average_order_value],0)</f>
        <v>233155.08</v>
      </c>
      <c r="R224" s="12">
        <f>_xlfn.XLOOKUP(TableDailySummary[[#This Row],[Fecha]],SummaryDaily[day],SummaryDaily[Rappi_net_sales],0)</f>
        <v>0</v>
      </c>
      <c r="S224" s="12">
        <f>_xlfn.XLOOKUP(TableDailySummary[[#This Row],[Fecha]],SummaryDaily[day],SummaryDaily[Rappi_orders],0)</f>
        <v>0</v>
      </c>
      <c r="T224" s="12">
        <f>_xlfn.XLOOKUP(TableDailySummary[[#This Row],[Fecha]],SummaryDaily[day],SummaryDaily[Rappi_average_order_value],0)</f>
        <v>0</v>
      </c>
      <c r="U224" s="12">
        <f>_xlfn.XLOOKUP(TableDailySummary[[#This Row],[Fecha]],SummaryDaily[day],SummaryDaily[Corporativo no tienda_net_sales],0)</f>
        <v>0</v>
      </c>
      <c r="V224" s="12">
        <f>_xlfn.XLOOKUP(TableDailySummary[[#This Row],[Fecha]],SummaryDaily[day],SummaryDaily[Corporativo no tienda_orders],0)</f>
        <v>0</v>
      </c>
      <c r="W224" s="12">
        <f>_xlfn.XLOOKUP(TableDailySummary[[#This Row],[Fecha]],SummaryDaily[day],SummaryDaily[Corporativo no tienda_average_order_value],0)</f>
        <v>0</v>
      </c>
      <c r="X224" s="12">
        <f>_xlfn.XLOOKUP(TableDailySummary[[#This Row],[Fecha]],SummaryDaily[day],SummaryDaily[GoogleAdsOperation.Cost],0)</f>
        <v>56158.74</v>
      </c>
      <c r="Y224" s="12">
        <f>SUMIFS(SalesByUTMDaily[google],SalesByUTMDaily[day],TableDailySummary[[#This Row],[Fecha]])</f>
        <v>0</v>
      </c>
      <c r="Z224" s="12">
        <f>_xlfn.XLOOKUP(TableDailySummary[[#This Row],[Fecha]],SummaryDaily[day],SummaryDaily[MetaAdsOperation.spend],0)</f>
        <v>48848</v>
      </c>
      <c r="AA224" s="12">
        <f>SUMIFS(SalesByUTMDaily[facebook],SalesByUTMDaily[day],TableDailySummary[[#This Row],[Fecha]])</f>
        <v>0</v>
      </c>
      <c r="AB224" s="12">
        <f>TableDailySummary[[#This Row],[Inversión google ads]]+TableDailySummary[[#This Row],[Inversión meta ads]]</f>
        <v>105006.73999999999</v>
      </c>
      <c r="AC224" s="12">
        <f>TableDailySummary[[#This Row],[Ventas google ads]]+TableDailySummary[[#This Row],[Ventas meta ads]]</f>
        <v>0</v>
      </c>
      <c r="AD224" s="14">
        <f>IFERROR(TableDailySummary[[#This Row],[Ventas publicidad]]/TableDailySummary[[#This Row],[Inversión publicidad]],0)</f>
        <v>0</v>
      </c>
      <c r="AE224" s="14">
        <f>IFERROR(TableDailySummary[[#This Row],[Ventas primer cliente]]/TableDailySummary[[#This Row],[Inversión publicidad]],0)</f>
        <v>58.835759209361228</v>
      </c>
      <c r="AF224" s="14"/>
      <c r="AG224" s="12"/>
      <c r="AM224" s="12">
        <f>_xlfn.XLOOKUP(TableDailySummary[[#This Row],[Fecha]],SummaryDaily[day],SummaryDaily[net_sales_with_cost_recorded],0)</f>
        <v>9645378.1899999995</v>
      </c>
      <c r="AN224" s="12">
        <f>_xlfn.XLOOKUP(TableDailySummary[[#This Row],[Fecha]],SummaryDaily[day],SummaryDaily[cost_of_goods_sold],0)</f>
        <v>3001977</v>
      </c>
      <c r="AO224" s="12">
        <f>_xlfn.XLOOKUP(TableDailySummary[[#This Row],[Fecha]],SummaryDaily[day],SummaryDaily[gross_profit],0)</f>
        <v>6643401.1900000004</v>
      </c>
      <c r="AP224" s="18">
        <f>IFERROR(TableDailySummary[[#This Row],[Utilidad bruta]]/TableDailySummary[[#This Row],[Ventas netas con costo registrado]],0)</f>
        <v>0.68876523648265586</v>
      </c>
    </row>
    <row r="225" spans="2:42" x14ac:dyDescent="0.2">
      <c r="B225" s="15" cm="1">
        <f t="array" ref="B225">MIN(SummaryDaily[day]) + (ROW(TableDailySummary[#This Row]) - ROW(TableDailySummary[[#Headers],[Dia]]) - 1)</f>
        <v>45996</v>
      </c>
      <c r="C225" s="6">
        <f>TableDailySummary[[#This Row],[Dia]]</f>
        <v>45996</v>
      </c>
      <c r="D225" s="12">
        <f>_xlfn.XLOOKUP(TableDailySummary[[#This Row],[Fecha]],SummaryDaily[day],SummaryDaily[net_sales],0)</f>
        <v>7033832.9299999997</v>
      </c>
      <c r="E225" s="12">
        <f>_xlfn.XLOOKUP(TableDailySummary[[#This Row],[Fecha]],SummaryDaily[day],SummaryDaily[orders],0)</f>
        <v>37</v>
      </c>
      <c r="F225" s="12">
        <f>_xlfn.XLOOKUP(TableDailySummary[[#This Row],[Fecha]],SummaryDaily[day],SummaryDaily[average_order_value],0)</f>
        <v>190217.15100000001</v>
      </c>
      <c r="G225" s="24">
        <f>_xlfn.XLOOKUP(TableDailySummary[[#This Row],[Fecha]],SummaryDaily[day],SummaryDaily[Total site_conversion_rate],0)</f>
        <v>1.4705882352941176E-2</v>
      </c>
      <c r="H225" s="12">
        <f>TableDailySummary[[#This Row],[Órden promedio totales]]*TableDailySummary[[#This Row],[CR totales]]</f>
        <v>2797.3110441176473</v>
      </c>
      <c r="I225" s="12">
        <f>_xlfn.XLOOKUP(TableDailySummary[[#This Row],[Fecha]],SummaryDaily[day],SummaryDaily[new_net_sales],0)</f>
        <v>2138655.46</v>
      </c>
      <c r="J225" s="12">
        <f>_xlfn.XLOOKUP(TableDailySummary[[#This Row],[Fecha]],SummaryDaily[day],SummaryDaily[new_orders],0)</f>
        <v>15</v>
      </c>
      <c r="K225" s="12">
        <f>_xlfn.XLOOKUP(TableDailySummary[[#This Row],[Fecha]],SummaryDaily[day],SummaryDaily[new_average_order_value],0)</f>
        <v>142857.14199999999</v>
      </c>
      <c r="L225" s="12">
        <f>_xlfn.XLOOKUP(TableDailySummary[[#This Row],[Fecha]],SummaryDaily[day],SummaryDaily[Online Store_net_sales],0)</f>
        <v>1726891.75</v>
      </c>
      <c r="M225" s="12">
        <f>_xlfn.XLOOKUP(TableDailySummary[[#This Row],[Fecha]],SummaryDaily[day],SummaryDaily[Online Store_orders],0)</f>
        <v>11</v>
      </c>
      <c r="N225" s="12">
        <f>_xlfn.XLOOKUP(TableDailySummary[[#This Row],[Fecha]],SummaryDaily[day],SummaryDaily[Online Store_average_order_value],0)</f>
        <v>157372.13</v>
      </c>
      <c r="O225" s="12">
        <f>_xlfn.XLOOKUP(TableDailySummary[[#This Row],[Fecha]],SummaryDaily[day],SummaryDaily[Tienda 81_net_sales],0)</f>
        <v>5306941.18</v>
      </c>
      <c r="P225" s="12">
        <f>_xlfn.XLOOKUP(TableDailySummary[[#This Row],[Fecha]],SummaryDaily[day],SummaryDaily[Tienda 81_orders],0)</f>
        <v>26</v>
      </c>
      <c r="Q225" s="12">
        <f>_xlfn.XLOOKUP(TableDailySummary[[#This Row],[Fecha]],SummaryDaily[day],SummaryDaily[Tienda 81_average_order_value],0)</f>
        <v>204113.122</v>
      </c>
      <c r="R225" s="12">
        <f>_xlfn.XLOOKUP(TableDailySummary[[#This Row],[Fecha]],SummaryDaily[day],SummaryDaily[Rappi_net_sales],0)</f>
        <v>0</v>
      </c>
      <c r="S225" s="12">
        <f>_xlfn.XLOOKUP(TableDailySummary[[#This Row],[Fecha]],SummaryDaily[day],SummaryDaily[Rappi_orders],0)</f>
        <v>0</v>
      </c>
      <c r="T225" s="12">
        <f>_xlfn.XLOOKUP(TableDailySummary[[#This Row],[Fecha]],SummaryDaily[day],SummaryDaily[Rappi_average_order_value],0)</f>
        <v>0</v>
      </c>
      <c r="U225" s="12">
        <f>_xlfn.XLOOKUP(TableDailySummary[[#This Row],[Fecha]],SummaryDaily[day],SummaryDaily[Corporativo no tienda_net_sales],0)</f>
        <v>0</v>
      </c>
      <c r="V225" s="12">
        <f>_xlfn.XLOOKUP(TableDailySummary[[#This Row],[Fecha]],SummaryDaily[day],SummaryDaily[Corporativo no tienda_orders],0)</f>
        <v>0</v>
      </c>
      <c r="W225" s="12">
        <f>_xlfn.XLOOKUP(TableDailySummary[[#This Row],[Fecha]],SummaryDaily[day],SummaryDaily[Corporativo no tienda_average_order_value],0)</f>
        <v>0</v>
      </c>
      <c r="X225" s="12">
        <f>_xlfn.XLOOKUP(TableDailySummary[[#This Row],[Fecha]],SummaryDaily[day],SummaryDaily[GoogleAdsOperation.Cost],0)</f>
        <v>73674.38</v>
      </c>
      <c r="Y225" s="12">
        <f>SUMIFS(SalesByUTMDaily[google],SalesByUTMDaily[day],TableDailySummary[[#This Row],[Fecha]])</f>
        <v>0</v>
      </c>
      <c r="Z225" s="12">
        <f>_xlfn.XLOOKUP(TableDailySummary[[#This Row],[Fecha]],SummaryDaily[day],SummaryDaily[MetaAdsOperation.spend],0)</f>
        <v>49533</v>
      </c>
      <c r="AA225" s="12">
        <f>SUMIFS(SalesByUTMDaily[facebook],SalesByUTMDaily[day],TableDailySummary[[#This Row],[Fecha]])</f>
        <v>0</v>
      </c>
      <c r="AB225" s="12">
        <f>TableDailySummary[[#This Row],[Inversión google ads]]+TableDailySummary[[#This Row],[Inversión meta ads]]</f>
        <v>123207.38</v>
      </c>
      <c r="AC225" s="12">
        <f>TableDailySummary[[#This Row],[Ventas google ads]]+TableDailySummary[[#This Row],[Ventas meta ads]]</f>
        <v>0</v>
      </c>
      <c r="AD225" s="14">
        <f>IFERROR(TableDailySummary[[#This Row],[Ventas publicidad]]/TableDailySummary[[#This Row],[Inversión publicidad]],0)</f>
        <v>0</v>
      </c>
      <c r="AE225" s="14">
        <f>IFERROR(TableDailySummary[[#This Row],[Ventas primer cliente]]/TableDailySummary[[#This Row],[Inversión publicidad]],0)</f>
        <v>17.358176596239609</v>
      </c>
      <c r="AF225" s="14"/>
      <c r="AG225" s="12"/>
      <c r="AM225" s="12">
        <f>_xlfn.XLOOKUP(TableDailySummary[[#This Row],[Fecha]],SummaryDaily[day],SummaryDaily[net_sales_with_cost_recorded],0)</f>
        <v>5589075.6399999997</v>
      </c>
      <c r="AN225" s="12">
        <f>_xlfn.XLOOKUP(TableDailySummary[[#This Row],[Fecha]],SummaryDaily[day],SummaryDaily[cost_of_goods_sold],0)</f>
        <v>1797622</v>
      </c>
      <c r="AO225" s="12">
        <f>_xlfn.XLOOKUP(TableDailySummary[[#This Row],[Fecha]],SummaryDaily[day],SummaryDaily[gross_profit],0)</f>
        <v>3791453.64</v>
      </c>
      <c r="AP225" s="18">
        <f>IFERROR(TableDailySummary[[#This Row],[Utilidad bruta]]/TableDailySummary[[#This Row],[Ventas netas con costo registrado]],0)</f>
        <v>0.67836863986331741</v>
      </c>
    </row>
    <row r="226" spans="2:42" x14ac:dyDescent="0.2">
      <c r="B226" s="15" cm="1">
        <f t="array" ref="B226">MIN(SummaryDaily[day]) + (ROW(TableDailySummary[#This Row]) - ROW(TableDailySummary[[#Headers],[Dia]]) - 1)</f>
        <v>45997</v>
      </c>
      <c r="C226" s="6">
        <f>TableDailySummary[[#This Row],[Dia]]</f>
        <v>45997</v>
      </c>
      <c r="D226" s="12">
        <f>_xlfn.XLOOKUP(TableDailySummary[[#This Row],[Fecha]],SummaryDaily[day],SummaryDaily[net_sales],0)</f>
        <v>6894118.6600000001</v>
      </c>
      <c r="E226" s="12">
        <f>_xlfn.XLOOKUP(TableDailySummary[[#This Row],[Fecha]],SummaryDaily[day],SummaryDaily[orders],0)</f>
        <v>30</v>
      </c>
      <c r="F226" s="12">
        <f>_xlfn.XLOOKUP(TableDailySummary[[#This Row],[Fecha]],SummaryDaily[day],SummaryDaily[average_order_value],0)</f>
        <v>219159.69699999999</v>
      </c>
      <c r="G226" s="24">
        <f>_xlfn.XLOOKUP(TableDailySummary[[#This Row],[Fecha]],SummaryDaily[day],SummaryDaily[Total site_conversion_rate],0)</f>
        <v>1.8292682926829267E-2</v>
      </c>
      <c r="H226" s="12">
        <f>TableDailySummary[[#This Row],[Órden promedio totales]]*TableDailySummary[[#This Row],[CR totales]]</f>
        <v>4009.0188475609752</v>
      </c>
      <c r="I226" s="12">
        <f>_xlfn.XLOOKUP(TableDailySummary[[#This Row],[Fecha]],SummaryDaily[day],SummaryDaily[new_net_sales],0)</f>
        <v>4768068.22</v>
      </c>
      <c r="J226" s="12">
        <f>_xlfn.XLOOKUP(TableDailySummary[[#This Row],[Fecha]],SummaryDaily[day],SummaryDaily[new_orders],0)</f>
        <v>18</v>
      </c>
      <c r="K226" s="12">
        <f>_xlfn.XLOOKUP(TableDailySummary[[#This Row],[Fecha]],SummaryDaily[day],SummaryDaily[new_average_order_value],0)</f>
        <v>264892.67800000001</v>
      </c>
      <c r="L226" s="12">
        <f>_xlfn.XLOOKUP(TableDailySummary[[#This Row],[Fecha]],SummaryDaily[day],SummaryDaily[Online Store_net_sales],0)</f>
        <v>1029412.76</v>
      </c>
      <c r="M226" s="12">
        <f>_xlfn.XLOOKUP(TableDailySummary[[#This Row],[Fecha]],SummaryDaily[day],SummaryDaily[Online Store_orders],0)</f>
        <v>9</v>
      </c>
      <c r="N226" s="12">
        <f>_xlfn.XLOOKUP(TableDailySummary[[#This Row],[Fecha]],SummaryDaily[day],SummaryDaily[Online Store_average_order_value],0)</f>
        <v>114379.19500000001</v>
      </c>
      <c r="O226" s="12">
        <f>_xlfn.XLOOKUP(TableDailySummary[[#This Row],[Fecha]],SummaryDaily[day],SummaryDaily[Tienda 81_net_sales],0)</f>
        <v>5864705.9000000004</v>
      </c>
      <c r="P226" s="12">
        <f>_xlfn.XLOOKUP(TableDailySummary[[#This Row],[Fecha]],SummaryDaily[day],SummaryDaily[Tienda 81_orders],0)</f>
        <v>21</v>
      </c>
      <c r="Q226" s="12">
        <f>_xlfn.XLOOKUP(TableDailySummary[[#This Row],[Fecha]],SummaryDaily[day],SummaryDaily[Tienda 81_average_order_value],0)</f>
        <v>264065.62599999999</v>
      </c>
      <c r="R226" s="12">
        <f>_xlfn.XLOOKUP(TableDailySummary[[#This Row],[Fecha]],SummaryDaily[day],SummaryDaily[Rappi_net_sales],0)</f>
        <v>0</v>
      </c>
      <c r="S226" s="12">
        <f>_xlfn.XLOOKUP(TableDailySummary[[#This Row],[Fecha]],SummaryDaily[day],SummaryDaily[Rappi_orders],0)</f>
        <v>0</v>
      </c>
      <c r="T226" s="12">
        <f>_xlfn.XLOOKUP(TableDailySummary[[#This Row],[Fecha]],SummaryDaily[day],SummaryDaily[Rappi_average_order_value],0)</f>
        <v>0</v>
      </c>
      <c r="U226" s="12">
        <f>_xlfn.XLOOKUP(TableDailySummary[[#This Row],[Fecha]],SummaryDaily[day],SummaryDaily[Corporativo no tienda_net_sales],0)</f>
        <v>0</v>
      </c>
      <c r="V226" s="12">
        <f>_xlfn.XLOOKUP(TableDailySummary[[#This Row],[Fecha]],SummaryDaily[day],SummaryDaily[Corporativo no tienda_orders],0)</f>
        <v>0</v>
      </c>
      <c r="W226" s="12">
        <f>_xlfn.XLOOKUP(TableDailySummary[[#This Row],[Fecha]],SummaryDaily[day],SummaryDaily[Corporativo no tienda_average_order_value],0)</f>
        <v>0</v>
      </c>
      <c r="X226" s="12">
        <f>_xlfn.XLOOKUP(TableDailySummary[[#This Row],[Fecha]],SummaryDaily[day],SummaryDaily[GoogleAdsOperation.Cost],0)</f>
        <v>37174.839999999997</v>
      </c>
      <c r="Y226" s="12">
        <f>SUMIFS(SalesByUTMDaily[google],SalesByUTMDaily[day],TableDailySummary[[#This Row],[Fecha]])</f>
        <v>194000</v>
      </c>
      <c r="Z226" s="12">
        <f>_xlfn.XLOOKUP(TableDailySummary[[#This Row],[Fecha]],SummaryDaily[day],SummaryDaily[MetaAdsOperation.spend],0)</f>
        <v>52823</v>
      </c>
      <c r="AA226" s="12">
        <f>SUMIFS(SalesByUTMDaily[facebook],SalesByUTMDaily[day],TableDailySummary[[#This Row],[Fecha]])</f>
        <v>0</v>
      </c>
      <c r="AB226" s="12">
        <f>TableDailySummary[[#This Row],[Inversión google ads]]+TableDailySummary[[#This Row],[Inversión meta ads]]</f>
        <v>89997.84</v>
      </c>
      <c r="AC226" s="12">
        <f>TableDailySummary[[#This Row],[Ventas google ads]]+TableDailySummary[[#This Row],[Ventas meta ads]]</f>
        <v>194000</v>
      </c>
      <c r="AD226" s="14">
        <f>IFERROR(TableDailySummary[[#This Row],[Ventas publicidad]]/TableDailySummary[[#This Row],[Inversión publicidad]],0)</f>
        <v>2.1556072901305185</v>
      </c>
      <c r="AE226" s="14">
        <f>IFERROR(TableDailySummary[[#This Row],[Ventas primer cliente]]/TableDailySummary[[#This Row],[Inversión publicidad]],0)</f>
        <v>52.97980729315281</v>
      </c>
      <c r="AF226" s="14"/>
      <c r="AG226" s="12"/>
      <c r="AM226" s="12">
        <f>_xlfn.XLOOKUP(TableDailySummary[[#This Row],[Fecha]],SummaryDaily[day],SummaryDaily[net_sales_with_cost_recorded],0)</f>
        <v>6673949.5899999999</v>
      </c>
      <c r="AN226" s="12">
        <f>_xlfn.XLOOKUP(TableDailySummary[[#This Row],[Fecha]],SummaryDaily[day],SummaryDaily[cost_of_goods_sold],0)</f>
        <v>1863140</v>
      </c>
      <c r="AO226" s="12">
        <f>_xlfn.XLOOKUP(TableDailySummary[[#This Row],[Fecha]],SummaryDaily[day],SummaryDaily[gross_profit],0)</f>
        <v>4810809.59</v>
      </c>
      <c r="AP226" s="18">
        <f>IFERROR(TableDailySummary[[#This Row],[Utilidad bruta]]/TableDailySummary[[#This Row],[Ventas netas con costo registrado]],0)</f>
        <v>0.72083397171718822</v>
      </c>
    </row>
    <row r="227" spans="2:42" x14ac:dyDescent="0.2">
      <c r="B227" s="15" cm="1">
        <f t="array" ref="B227">MIN(SummaryDaily[day]) + (ROW(TableDailySummary[#This Row]) - ROW(TableDailySummary[[#Headers],[Dia]]) - 1)</f>
        <v>45998</v>
      </c>
      <c r="C227" s="6">
        <f>TableDailySummary[[#This Row],[Dia]]</f>
        <v>45998</v>
      </c>
      <c r="D227" s="12">
        <f>_xlfn.XLOOKUP(TableDailySummary[[#This Row],[Fecha]],SummaryDaily[day],SummaryDaily[net_sales],0)</f>
        <v>9900000.0099999998</v>
      </c>
      <c r="E227" s="12">
        <f>_xlfn.XLOOKUP(TableDailySummary[[#This Row],[Fecha]],SummaryDaily[day],SummaryDaily[orders],0)</f>
        <v>38</v>
      </c>
      <c r="F227" s="12">
        <f>_xlfn.XLOOKUP(TableDailySummary[[#This Row],[Fecha]],SummaryDaily[day],SummaryDaily[average_order_value],0)</f>
        <v>263069.43800000002</v>
      </c>
      <c r="G227" s="24">
        <f>_xlfn.XLOOKUP(TableDailySummary[[#This Row],[Fecha]],SummaryDaily[day],SummaryDaily[Total site_conversion_rate],0)</f>
        <v>1.7271157167530225E-2</v>
      </c>
      <c r="H227" s="12">
        <f>TableDailySummary[[#This Row],[Órden promedio totales]]*TableDailySummary[[#This Row],[CR totales]]</f>
        <v>4543.5136096718488</v>
      </c>
      <c r="I227" s="12">
        <f>_xlfn.XLOOKUP(TableDailySummary[[#This Row],[Fecha]],SummaryDaily[day],SummaryDaily[new_net_sales],0)</f>
        <v>7093277.3099999996</v>
      </c>
      <c r="J227" s="12">
        <f>_xlfn.XLOOKUP(TableDailySummary[[#This Row],[Fecha]],SummaryDaily[day],SummaryDaily[new_orders],0)</f>
        <v>18</v>
      </c>
      <c r="K227" s="12">
        <f>_xlfn.XLOOKUP(TableDailySummary[[#This Row],[Fecha]],SummaryDaily[day],SummaryDaily[new_average_order_value],0)</f>
        <v>393837.53499999997</v>
      </c>
      <c r="L227" s="12">
        <f>_xlfn.XLOOKUP(TableDailySummary[[#This Row],[Fecha]],SummaryDaily[day],SummaryDaily[Online Store_net_sales],0)</f>
        <v>3761344.54</v>
      </c>
      <c r="M227" s="12">
        <f>_xlfn.XLOOKUP(TableDailySummary[[#This Row],[Fecha]],SummaryDaily[day],SummaryDaily[Online Store_orders],0)</f>
        <v>18</v>
      </c>
      <c r="N227" s="12">
        <f>_xlfn.XLOOKUP(TableDailySummary[[#This Row],[Fecha]],SummaryDaily[day],SummaryDaily[Online Store_average_order_value],0)</f>
        <v>214332.4</v>
      </c>
      <c r="O227" s="12">
        <f>_xlfn.XLOOKUP(TableDailySummary[[#This Row],[Fecha]],SummaryDaily[day],SummaryDaily[Tienda 81_net_sales],0)</f>
        <v>6138655.4699999997</v>
      </c>
      <c r="P227" s="12">
        <f>_xlfn.XLOOKUP(TableDailySummary[[#This Row],[Fecha]],SummaryDaily[day],SummaryDaily[Tienda 81_orders],0)</f>
        <v>20</v>
      </c>
      <c r="Q227" s="12">
        <f>_xlfn.XLOOKUP(TableDailySummary[[#This Row],[Fecha]],SummaryDaily[day],SummaryDaily[Tienda 81_average_order_value],0)</f>
        <v>306932.77299999999</v>
      </c>
      <c r="R227" s="12">
        <f>_xlfn.XLOOKUP(TableDailySummary[[#This Row],[Fecha]],SummaryDaily[day],SummaryDaily[Rappi_net_sales],0)</f>
        <v>0</v>
      </c>
      <c r="S227" s="12">
        <f>_xlfn.XLOOKUP(TableDailySummary[[#This Row],[Fecha]],SummaryDaily[day],SummaryDaily[Rappi_orders],0)</f>
        <v>0</v>
      </c>
      <c r="T227" s="12">
        <f>_xlfn.XLOOKUP(TableDailySummary[[#This Row],[Fecha]],SummaryDaily[day],SummaryDaily[Rappi_average_order_value],0)</f>
        <v>0</v>
      </c>
      <c r="U227" s="12">
        <f>_xlfn.XLOOKUP(TableDailySummary[[#This Row],[Fecha]],SummaryDaily[day],SummaryDaily[Corporativo no tienda_net_sales],0)</f>
        <v>0</v>
      </c>
      <c r="V227" s="12">
        <f>_xlfn.XLOOKUP(TableDailySummary[[#This Row],[Fecha]],SummaryDaily[day],SummaryDaily[Corporativo no tienda_orders],0)</f>
        <v>0</v>
      </c>
      <c r="W227" s="12">
        <f>_xlfn.XLOOKUP(TableDailySummary[[#This Row],[Fecha]],SummaryDaily[day],SummaryDaily[Corporativo no tienda_average_order_value],0)</f>
        <v>0</v>
      </c>
      <c r="X227" s="12">
        <f>_xlfn.XLOOKUP(TableDailySummary[[#This Row],[Fecha]],SummaryDaily[day],SummaryDaily[GoogleAdsOperation.Cost],0)</f>
        <v>43249.25</v>
      </c>
      <c r="Y227" s="12">
        <f>SUMIFS(SalesByUTMDaily[google],SalesByUTMDaily[day],TableDailySummary[[#This Row],[Fecha]])</f>
        <v>79000</v>
      </c>
      <c r="Z227" s="12">
        <f>_xlfn.XLOOKUP(TableDailySummary[[#This Row],[Fecha]],SummaryDaily[day],SummaryDaily[MetaAdsOperation.spend],0)</f>
        <v>54219</v>
      </c>
      <c r="AA227" s="12">
        <f>SUMIFS(SalesByUTMDaily[facebook],SalesByUTMDaily[day],TableDailySummary[[#This Row],[Fecha]])</f>
        <v>0</v>
      </c>
      <c r="AB227" s="12">
        <f>TableDailySummary[[#This Row],[Inversión google ads]]+TableDailySummary[[#This Row],[Inversión meta ads]]</f>
        <v>97468.25</v>
      </c>
      <c r="AC227" s="12">
        <f>TableDailySummary[[#This Row],[Ventas google ads]]+TableDailySummary[[#This Row],[Ventas meta ads]]</f>
        <v>79000</v>
      </c>
      <c r="AD227" s="14">
        <f>IFERROR(TableDailySummary[[#This Row],[Ventas publicidad]]/TableDailySummary[[#This Row],[Inversión publicidad]],0)</f>
        <v>0.81052034893414004</v>
      </c>
      <c r="AE227" s="14">
        <f>IFERROR(TableDailySummary[[#This Row],[Ventas primer cliente]]/TableDailySummary[[#This Row],[Inversión publicidad]],0)</f>
        <v>72.775260764402759</v>
      </c>
      <c r="AF227" s="14"/>
      <c r="AG227" s="12"/>
      <c r="AM227" s="12">
        <f>_xlfn.XLOOKUP(TableDailySummary[[#This Row],[Fecha]],SummaryDaily[day],SummaryDaily[net_sales_with_cost_recorded],0)</f>
        <v>9341176.5</v>
      </c>
      <c r="AN227" s="12">
        <f>_xlfn.XLOOKUP(TableDailySummary[[#This Row],[Fecha]],SummaryDaily[day],SummaryDaily[cost_of_goods_sold],0)</f>
        <v>3523832</v>
      </c>
      <c r="AO227" s="12">
        <f>_xlfn.XLOOKUP(TableDailySummary[[#This Row],[Fecha]],SummaryDaily[day],SummaryDaily[gross_profit],0)</f>
        <v>5817344.5</v>
      </c>
      <c r="AP227" s="18">
        <f>IFERROR(TableDailySummary[[#This Row],[Utilidad bruta]]/TableDailySummary[[#This Row],[Ventas netas con costo registrado]],0)</f>
        <v>0.62276357801396853</v>
      </c>
    </row>
    <row r="228" spans="2:42" x14ac:dyDescent="0.2">
      <c r="B228" s="15" cm="1">
        <f t="array" ref="B228">MIN(SummaryDaily[day]) + (ROW(TableDailySummary[#This Row]) - ROW(TableDailySummary[[#Headers],[Dia]]) - 1)</f>
        <v>45999</v>
      </c>
      <c r="C228" s="6">
        <f>TableDailySummary[[#This Row],[Dia]]</f>
        <v>45999</v>
      </c>
      <c r="D228" s="12">
        <f>_xlfn.XLOOKUP(TableDailySummary[[#This Row],[Fecha]],SummaryDaily[day],SummaryDaily[net_sales],0)</f>
        <v>8049159.6500000004</v>
      </c>
      <c r="E228" s="12">
        <f>_xlfn.XLOOKUP(TableDailySummary[[#This Row],[Fecha]],SummaryDaily[day],SummaryDaily[orders],0)</f>
        <v>39</v>
      </c>
      <c r="F228" s="12">
        <f>_xlfn.XLOOKUP(TableDailySummary[[#This Row],[Fecha]],SummaryDaily[day],SummaryDaily[average_order_value],0)</f>
        <v>202639.51699999999</v>
      </c>
      <c r="G228" s="24">
        <f>_xlfn.XLOOKUP(TableDailySummary[[#This Row],[Fecha]],SummaryDaily[day],SummaryDaily[Total site_conversion_rate],0)</f>
        <v>2.1999999999999999E-2</v>
      </c>
      <c r="H228" s="12">
        <f>TableDailySummary[[#This Row],[Órden promedio totales]]*TableDailySummary[[#This Row],[CR totales]]</f>
        <v>4458.0693739999997</v>
      </c>
      <c r="I228" s="12">
        <f>_xlfn.XLOOKUP(TableDailySummary[[#This Row],[Fecha]],SummaryDaily[day],SummaryDaily[new_net_sales],0)</f>
        <v>3728151.26</v>
      </c>
      <c r="J228" s="12">
        <f>_xlfn.XLOOKUP(TableDailySummary[[#This Row],[Fecha]],SummaryDaily[day],SummaryDaily[new_orders],0)</f>
        <v>18</v>
      </c>
      <c r="K228" s="12">
        <f>_xlfn.XLOOKUP(TableDailySummary[[#This Row],[Fecha]],SummaryDaily[day],SummaryDaily[new_average_order_value],0)</f>
        <v>205065.359</v>
      </c>
      <c r="L228" s="12">
        <f>_xlfn.XLOOKUP(TableDailySummary[[#This Row],[Fecha]],SummaryDaily[day],SummaryDaily[Online Store_net_sales],0)</f>
        <v>3184033.6</v>
      </c>
      <c r="M228" s="12">
        <f>_xlfn.XLOOKUP(TableDailySummary[[#This Row],[Fecha]],SummaryDaily[day],SummaryDaily[Online Store_orders],0)</f>
        <v>15</v>
      </c>
      <c r="N228" s="12">
        <f>_xlfn.XLOOKUP(TableDailySummary[[#This Row],[Fecha]],SummaryDaily[day],SummaryDaily[Online Store_average_order_value],0)</f>
        <v>209803.92</v>
      </c>
      <c r="O228" s="12">
        <f>_xlfn.XLOOKUP(TableDailySummary[[#This Row],[Fecha]],SummaryDaily[day],SummaryDaily[Tienda 81_net_sales],0)</f>
        <v>4056302.52</v>
      </c>
      <c r="P228" s="12">
        <f>_xlfn.XLOOKUP(TableDailySummary[[#This Row],[Fecha]],SummaryDaily[day],SummaryDaily[Tienda 81_orders],0)</f>
        <v>23</v>
      </c>
      <c r="Q228" s="12">
        <f>_xlfn.XLOOKUP(TableDailySummary[[#This Row],[Fecha]],SummaryDaily[day],SummaryDaily[Tienda 81_average_order_value],0)</f>
        <v>171611.253</v>
      </c>
      <c r="R228" s="12">
        <f>_xlfn.XLOOKUP(TableDailySummary[[#This Row],[Fecha]],SummaryDaily[day],SummaryDaily[Rappi_net_sales],0)</f>
        <v>0</v>
      </c>
      <c r="S228" s="12">
        <f>_xlfn.XLOOKUP(TableDailySummary[[#This Row],[Fecha]],SummaryDaily[day],SummaryDaily[Rappi_orders],0)</f>
        <v>0</v>
      </c>
      <c r="T228" s="12">
        <f>_xlfn.XLOOKUP(TableDailySummary[[#This Row],[Fecha]],SummaryDaily[day],SummaryDaily[Rappi_average_order_value],0)</f>
        <v>0</v>
      </c>
      <c r="U228" s="12">
        <f>_xlfn.XLOOKUP(TableDailySummary[[#This Row],[Fecha]],SummaryDaily[day],SummaryDaily[Corporativo no tienda_net_sales],0)</f>
        <v>808823.53</v>
      </c>
      <c r="V228" s="12">
        <f>_xlfn.XLOOKUP(TableDailySummary[[#This Row],[Fecha]],SummaryDaily[day],SummaryDaily[Corporativo no tienda_orders],0)</f>
        <v>1</v>
      </c>
      <c r="W228" s="12">
        <f>_xlfn.XLOOKUP(TableDailySummary[[#This Row],[Fecha]],SummaryDaily[day],SummaryDaily[Corporativo no tienda_average_order_value],0)</f>
        <v>808823.53</v>
      </c>
      <c r="X228" s="12">
        <f>_xlfn.XLOOKUP(TableDailySummary[[#This Row],[Fecha]],SummaryDaily[day],SummaryDaily[GoogleAdsOperation.Cost],0)</f>
        <v>49928.21</v>
      </c>
      <c r="Y228" s="12">
        <f>SUMIFS(SalesByUTMDaily[google],SalesByUTMDaily[day],TableDailySummary[[#This Row],[Fecha]])</f>
        <v>1186000</v>
      </c>
      <c r="Z228" s="12">
        <f>_xlfn.XLOOKUP(TableDailySummary[[#This Row],[Fecha]],SummaryDaily[day],SummaryDaily[MetaAdsOperation.spend],0)</f>
        <v>57844</v>
      </c>
      <c r="AA228" s="12">
        <f>SUMIFS(SalesByUTMDaily[facebook],SalesByUTMDaily[day],TableDailySummary[[#This Row],[Fecha]])</f>
        <v>249000</v>
      </c>
      <c r="AB228" s="12">
        <f>TableDailySummary[[#This Row],[Inversión google ads]]+TableDailySummary[[#This Row],[Inversión meta ads]]</f>
        <v>107772.20999999999</v>
      </c>
      <c r="AC228" s="12">
        <f>TableDailySummary[[#This Row],[Ventas google ads]]+TableDailySummary[[#This Row],[Ventas meta ads]]</f>
        <v>1435000</v>
      </c>
      <c r="AD228" s="14">
        <f>IFERROR(TableDailySummary[[#This Row],[Ventas publicidad]]/TableDailySummary[[#This Row],[Inversión publicidad]],0)</f>
        <v>13.315120846088245</v>
      </c>
      <c r="AE228" s="14">
        <f>IFERROR(TableDailySummary[[#This Row],[Ventas primer cliente]]/TableDailySummary[[#This Row],[Inversión publicidad]],0)</f>
        <v>34.592881226060037</v>
      </c>
      <c r="AF228" s="14"/>
      <c r="AG228" s="12"/>
      <c r="AM228" s="12">
        <f>_xlfn.XLOOKUP(TableDailySummary[[#This Row],[Fecha]],SummaryDaily[day],SummaryDaily[net_sales_with_cost_recorded],0)</f>
        <v>7931512.5999999996</v>
      </c>
      <c r="AN228" s="12">
        <f>_xlfn.XLOOKUP(TableDailySummary[[#This Row],[Fecha]],SummaryDaily[day],SummaryDaily[cost_of_goods_sold],0)</f>
        <v>2565014</v>
      </c>
      <c r="AO228" s="12">
        <f>_xlfn.XLOOKUP(TableDailySummary[[#This Row],[Fecha]],SummaryDaily[day],SummaryDaily[gross_profit],0)</f>
        <v>5366498.5999999996</v>
      </c>
      <c r="AP228" s="18">
        <f>IFERROR(TableDailySummary[[#This Row],[Utilidad bruta]]/TableDailySummary[[#This Row],[Ventas netas con costo registrado]],0)</f>
        <v>0.6766046869798833</v>
      </c>
    </row>
    <row r="229" spans="2:42" x14ac:dyDescent="0.2">
      <c r="B229" s="15" cm="1">
        <f t="array" ref="B229">MIN(SummaryDaily[day]) + (ROW(TableDailySummary[#This Row]) - ROW(TableDailySummary[[#Headers],[Dia]]) - 1)</f>
        <v>46000</v>
      </c>
      <c r="C229" s="6">
        <f>TableDailySummary[[#This Row],[Dia]]</f>
        <v>46000</v>
      </c>
      <c r="D229" s="12">
        <f>_xlfn.XLOOKUP(TableDailySummary[[#This Row],[Fecha]],SummaryDaily[day],SummaryDaily[net_sales],0)</f>
        <v>9622487.3800000008</v>
      </c>
      <c r="E229" s="12">
        <f>_xlfn.XLOOKUP(TableDailySummary[[#This Row],[Fecha]],SummaryDaily[day],SummaryDaily[orders],0)</f>
        <v>62</v>
      </c>
      <c r="F229" s="12">
        <f>_xlfn.XLOOKUP(TableDailySummary[[#This Row],[Fecha]],SummaryDaily[day],SummaryDaily[average_order_value],0)</f>
        <v>154455.94899999999</v>
      </c>
      <c r="G229" s="24">
        <f>_xlfn.XLOOKUP(TableDailySummary[[#This Row],[Fecha]],SummaryDaily[day],SummaryDaily[Total site_conversion_rate],0)</f>
        <v>2.6627218934911243E-2</v>
      </c>
      <c r="H229" s="12">
        <f>TableDailySummary[[#This Row],[Órden promedio totales]]*TableDailySummary[[#This Row],[CR totales]]</f>
        <v>4112.7323698224855</v>
      </c>
      <c r="I229" s="12">
        <f>_xlfn.XLOOKUP(TableDailySummary[[#This Row],[Fecha]],SummaryDaily[day],SummaryDaily[new_net_sales],0)</f>
        <v>5043243.6900000004</v>
      </c>
      <c r="J229" s="12">
        <f>_xlfn.XLOOKUP(TableDailySummary[[#This Row],[Fecha]],SummaryDaily[day],SummaryDaily[new_orders],0)</f>
        <v>34</v>
      </c>
      <c r="K229" s="12">
        <f>_xlfn.XLOOKUP(TableDailySummary[[#This Row],[Fecha]],SummaryDaily[day],SummaryDaily[new_average_order_value],0)</f>
        <v>148330.696</v>
      </c>
      <c r="L229" s="12">
        <f>_xlfn.XLOOKUP(TableDailySummary[[#This Row],[Fecha]],SummaryDaily[day],SummaryDaily[Online Store_net_sales],0)</f>
        <v>3567226.9</v>
      </c>
      <c r="M229" s="12">
        <f>_xlfn.XLOOKUP(TableDailySummary[[#This Row],[Fecha]],SummaryDaily[day],SummaryDaily[Online Store_orders],0)</f>
        <v>20</v>
      </c>
      <c r="N229" s="12">
        <f>_xlfn.XLOOKUP(TableDailySummary[[#This Row],[Fecha]],SummaryDaily[day],SummaryDaily[Online Store_average_order_value],0)</f>
        <v>178361.345</v>
      </c>
      <c r="O229" s="12">
        <f>_xlfn.XLOOKUP(TableDailySummary[[#This Row],[Fecha]],SummaryDaily[day],SummaryDaily[Tienda 81_net_sales],0)</f>
        <v>6055260.4800000004</v>
      </c>
      <c r="P229" s="12">
        <f>_xlfn.XLOOKUP(TableDailySummary[[#This Row],[Fecha]],SummaryDaily[day],SummaryDaily[Tienda 81_orders],0)</f>
        <v>42</v>
      </c>
      <c r="Q229" s="12">
        <f>_xlfn.XLOOKUP(TableDailySummary[[#This Row],[Fecha]],SummaryDaily[day],SummaryDaily[Tienda 81_average_order_value],0)</f>
        <v>143072.42800000001</v>
      </c>
      <c r="R229" s="12">
        <f>_xlfn.XLOOKUP(TableDailySummary[[#This Row],[Fecha]],SummaryDaily[day],SummaryDaily[Rappi_net_sales],0)</f>
        <v>0</v>
      </c>
      <c r="S229" s="12">
        <f>_xlfn.XLOOKUP(TableDailySummary[[#This Row],[Fecha]],SummaryDaily[day],SummaryDaily[Rappi_orders],0)</f>
        <v>0</v>
      </c>
      <c r="T229" s="12">
        <f>_xlfn.XLOOKUP(TableDailySummary[[#This Row],[Fecha]],SummaryDaily[day],SummaryDaily[Rappi_average_order_value],0)</f>
        <v>0</v>
      </c>
      <c r="U229" s="12">
        <f>_xlfn.XLOOKUP(TableDailySummary[[#This Row],[Fecha]],SummaryDaily[day],SummaryDaily[Corporativo no tienda_net_sales],0)</f>
        <v>0</v>
      </c>
      <c r="V229" s="12">
        <f>_xlfn.XLOOKUP(TableDailySummary[[#This Row],[Fecha]],SummaryDaily[day],SummaryDaily[Corporativo no tienda_orders],0)</f>
        <v>0</v>
      </c>
      <c r="W229" s="12">
        <f>_xlfn.XLOOKUP(TableDailySummary[[#This Row],[Fecha]],SummaryDaily[day],SummaryDaily[Corporativo no tienda_average_order_value],0)</f>
        <v>0</v>
      </c>
      <c r="X229" s="12">
        <f>_xlfn.XLOOKUP(TableDailySummary[[#This Row],[Fecha]],SummaryDaily[day],SummaryDaily[GoogleAdsOperation.Cost],0)</f>
        <v>75081.820000000007</v>
      </c>
      <c r="Y229" s="12">
        <f>SUMIFS(SalesByUTMDaily[google],SalesByUTMDaily[day],TableDailySummary[[#This Row],[Fecha]])</f>
        <v>854500</v>
      </c>
      <c r="Z229" s="12">
        <f>_xlfn.XLOOKUP(TableDailySummary[[#This Row],[Fecha]],SummaryDaily[day],SummaryDaily[MetaAdsOperation.spend],0)</f>
        <v>52424</v>
      </c>
      <c r="AA229" s="12">
        <f>SUMIFS(SalesByUTMDaily[facebook],SalesByUTMDaily[day],TableDailySummary[[#This Row],[Fecha]])</f>
        <v>0</v>
      </c>
      <c r="AB229" s="12">
        <f>TableDailySummary[[#This Row],[Inversión google ads]]+TableDailySummary[[#This Row],[Inversión meta ads]]</f>
        <v>127505.82</v>
      </c>
      <c r="AC229" s="12">
        <f>TableDailySummary[[#This Row],[Ventas google ads]]+TableDailySummary[[#This Row],[Ventas meta ads]]</f>
        <v>854500</v>
      </c>
      <c r="AD229" s="14">
        <f>IFERROR(TableDailySummary[[#This Row],[Ventas publicidad]]/TableDailySummary[[#This Row],[Inversión publicidad]],0)</f>
        <v>6.7016548734795007</v>
      </c>
      <c r="AE229" s="14">
        <f>IFERROR(TableDailySummary[[#This Row],[Ventas primer cliente]]/TableDailySummary[[#This Row],[Inversión publicidad]],0)</f>
        <v>39.553046990325619</v>
      </c>
      <c r="AF229" s="14"/>
      <c r="AG229" s="12"/>
      <c r="AM229" s="12">
        <f>_xlfn.XLOOKUP(TableDailySummary[[#This Row],[Fecha]],SummaryDaily[day],SummaryDaily[net_sales_with_cost_recorded],0)</f>
        <v>9534252.0999999996</v>
      </c>
      <c r="AN229" s="12">
        <f>_xlfn.XLOOKUP(TableDailySummary[[#This Row],[Fecha]],SummaryDaily[day],SummaryDaily[cost_of_goods_sold],0)</f>
        <v>3046918</v>
      </c>
      <c r="AO229" s="12">
        <f>_xlfn.XLOOKUP(TableDailySummary[[#This Row],[Fecha]],SummaryDaily[day],SummaryDaily[gross_profit],0)</f>
        <v>6487334.0999999996</v>
      </c>
      <c r="AP229" s="18">
        <f>IFERROR(TableDailySummary[[#This Row],[Utilidad bruta]]/TableDailySummary[[#This Row],[Ventas netas con costo registrado]],0)</f>
        <v>0.68042401563935984</v>
      </c>
    </row>
    <row r="230" spans="2:42" x14ac:dyDescent="0.2">
      <c r="B230" s="15" cm="1">
        <f t="array" ref="B230">MIN(SummaryDaily[day]) + (ROW(TableDailySummary[#This Row]) - ROW(TableDailySummary[[#Headers],[Dia]]) - 1)</f>
        <v>46001</v>
      </c>
      <c r="C230" s="6">
        <f>TableDailySummary[[#This Row],[Dia]]</f>
        <v>46001</v>
      </c>
      <c r="D230" s="12">
        <f>_xlfn.XLOOKUP(TableDailySummary[[#This Row],[Fecha]],SummaryDaily[day],SummaryDaily[net_sales],0)</f>
        <v>14647378.17</v>
      </c>
      <c r="E230" s="12">
        <f>_xlfn.XLOOKUP(TableDailySummary[[#This Row],[Fecha]],SummaryDaily[day],SummaryDaily[orders],0)</f>
        <v>81</v>
      </c>
      <c r="F230" s="12">
        <f>_xlfn.XLOOKUP(TableDailySummary[[#This Row],[Fecha]],SummaryDaily[day],SummaryDaily[average_order_value],0)</f>
        <v>183373.58600000001</v>
      </c>
      <c r="G230" s="24">
        <f>_xlfn.XLOOKUP(TableDailySummary[[#This Row],[Fecha]],SummaryDaily[day],SummaryDaily[Total site_conversion_rate],0)</f>
        <v>2.6615969581749048E-2</v>
      </c>
      <c r="H230" s="12">
        <f>TableDailySummary[[#This Row],[Órden promedio totales]]*TableDailySummary[[#This Row],[CR totales]]</f>
        <v>4880.6657870722438</v>
      </c>
      <c r="I230" s="12">
        <f>_xlfn.XLOOKUP(TableDailySummary[[#This Row],[Fecha]],SummaryDaily[day],SummaryDaily[new_net_sales],0)</f>
        <v>10933747.93</v>
      </c>
      <c r="J230" s="12">
        <f>_xlfn.XLOOKUP(TableDailySummary[[#This Row],[Fecha]],SummaryDaily[day],SummaryDaily[new_orders],0)</f>
        <v>57</v>
      </c>
      <c r="K230" s="12">
        <f>_xlfn.XLOOKUP(TableDailySummary[[#This Row],[Fecha]],SummaryDaily[day],SummaryDaily[new_average_order_value],0)</f>
        <v>191820.139</v>
      </c>
      <c r="L230" s="12">
        <f>_xlfn.XLOOKUP(TableDailySummary[[#This Row],[Fecha]],SummaryDaily[day],SummaryDaily[Online Store_net_sales],0)</f>
        <v>4054621.87</v>
      </c>
      <c r="M230" s="12">
        <f>_xlfn.XLOOKUP(TableDailySummary[[#This Row],[Fecha]],SummaryDaily[day],SummaryDaily[Online Store_orders],0)</f>
        <v>27</v>
      </c>
      <c r="N230" s="12">
        <f>_xlfn.XLOOKUP(TableDailySummary[[#This Row],[Fecha]],SummaryDaily[day],SummaryDaily[Online Store_average_order_value],0)</f>
        <v>150171.18</v>
      </c>
      <c r="O230" s="12">
        <f>_xlfn.XLOOKUP(TableDailySummary[[#This Row],[Fecha]],SummaryDaily[day],SummaryDaily[Tienda 81_net_sales],0)</f>
        <v>9363470.5800000001</v>
      </c>
      <c r="P230" s="12">
        <f>_xlfn.XLOOKUP(TableDailySummary[[#This Row],[Fecha]],SummaryDaily[day],SummaryDaily[Tienda 81_orders],0)</f>
        <v>42</v>
      </c>
      <c r="Q230" s="12">
        <f>_xlfn.XLOOKUP(TableDailySummary[[#This Row],[Fecha]],SummaryDaily[day],SummaryDaily[Tienda 81_average_order_value],0)</f>
        <v>227841.736</v>
      </c>
      <c r="R230" s="12">
        <f>_xlfn.XLOOKUP(TableDailySummary[[#This Row],[Fecha]],SummaryDaily[day],SummaryDaily[Rappi_net_sales],0)</f>
        <v>0</v>
      </c>
      <c r="S230" s="12">
        <f>_xlfn.XLOOKUP(TableDailySummary[[#This Row],[Fecha]],SummaryDaily[day],SummaryDaily[Rappi_orders],0)</f>
        <v>0</v>
      </c>
      <c r="T230" s="12">
        <f>_xlfn.XLOOKUP(TableDailySummary[[#This Row],[Fecha]],SummaryDaily[day],SummaryDaily[Rappi_average_order_value],0)</f>
        <v>0</v>
      </c>
      <c r="U230" s="12">
        <f>_xlfn.XLOOKUP(TableDailySummary[[#This Row],[Fecha]],SummaryDaily[day],SummaryDaily[Corporativo no tienda_net_sales],0)</f>
        <v>0</v>
      </c>
      <c r="V230" s="12">
        <f>_xlfn.XLOOKUP(TableDailySummary[[#This Row],[Fecha]],SummaryDaily[day],SummaryDaily[Corporativo no tienda_orders],0)</f>
        <v>0</v>
      </c>
      <c r="W230" s="12">
        <f>_xlfn.XLOOKUP(TableDailySummary[[#This Row],[Fecha]],SummaryDaily[day],SummaryDaily[Corporativo no tienda_average_order_value],0)</f>
        <v>0</v>
      </c>
      <c r="X230" s="12">
        <f>_xlfn.XLOOKUP(TableDailySummary[[#This Row],[Fecha]],SummaryDaily[day],SummaryDaily[GoogleAdsOperation.Cost],0)</f>
        <v>45623.8</v>
      </c>
      <c r="Y230" s="12">
        <f>SUMIFS(SalesByUTMDaily[google],SalesByUTMDaily[day],TableDailySummary[[#This Row],[Fecha]])</f>
        <v>373000</v>
      </c>
      <c r="Z230" s="12">
        <f>_xlfn.XLOOKUP(TableDailySummary[[#This Row],[Fecha]],SummaryDaily[day],SummaryDaily[MetaAdsOperation.spend],0)</f>
        <v>45870</v>
      </c>
      <c r="AA230" s="12">
        <f>SUMIFS(SalesByUTMDaily[facebook],SalesByUTMDaily[day],TableDailySummary[[#This Row],[Fecha]])</f>
        <v>0</v>
      </c>
      <c r="AB230" s="12">
        <f>TableDailySummary[[#This Row],[Inversión google ads]]+TableDailySummary[[#This Row],[Inversión meta ads]]</f>
        <v>91493.8</v>
      </c>
      <c r="AC230" s="12">
        <f>TableDailySummary[[#This Row],[Ventas google ads]]+TableDailySummary[[#This Row],[Ventas meta ads]]</f>
        <v>373000</v>
      </c>
      <c r="AD230" s="14">
        <f>IFERROR(TableDailySummary[[#This Row],[Ventas publicidad]]/TableDailySummary[[#This Row],[Inversión publicidad]],0)</f>
        <v>4.0767789730014492</v>
      </c>
      <c r="AE230" s="14">
        <f>IFERROR(TableDailySummary[[#This Row],[Ventas primer cliente]]/TableDailySummary[[#This Row],[Inversión publicidad]],0)</f>
        <v>119.50261034080997</v>
      </c>
      <c r="AF230" s="14"/>
      <c r="AG230" s="12"/>
      <c r="AM230" s="12">
        <f>_xlfn.XLOOKUP(TableDailySummary[[#This Row],[Fecha]],SummaryDaily[day],SummaryDaily[net_sales_with_cost_recorded],0)</f>
        <v>14302243.73</v>
      </c>
      <c r="AN230" s="12">
        <f>_xlfn.XLOOKUP(TableDailySummary[[#This Row],[Fecha]],SummaryDaily[day],SummaryDaily[cost_of_goods_sold],0)</f>
        <v>4356913</v>
      </c>
      <c r="AO230" s="12">
        <f>_xlfn.XLOOKUP(TableDailySummary[[#This Row],[Fecha]],SummaryDaily[day],SummaryDaily[gross_profit],0)</f>
        <v>9945330.7300000004</v>
      </c>
      <c r="AP230" s="18">
        <f>IFERROR(TableDailySummary[[#This Row],[Utilidad bruta]]/TableDailySummary[[#This Row],[Ventas netas con costo registrado]],0)</f>
        <v>0.69536856718075246</v>
      </c>
    </row>
    <row r="231" spans="2:42" x14ac:dyDescent="0.2">
      <c r="B231" s="15" cm="1">
        <f t="array" ref="B231">MIN(SummaryDaily[day]) + (ROW(TableDailySummary[#This Row]) - ROW(TableDailySummary[[#Headers],[Dia]]) - 1)</f>
        <v>46002</v>
      </c>
      <c r="C231" s="6">
        <f>TableDailySummary[[#This Row],[Dia]]</f>
        <v>46002</v>
      </c>
      <c r="D231" s="12">
        <f>_xlfn.XLOOKUP(TableDailySummary[[#This Row],[Fecha]],SummaryDaily[day],SummaryDaily[net_sales],0)</f>
        <v>14731925.460000001</v>
      </c>
      <c r="E231" s="12">
        <f>_xlfn.XLOOKUP(TableDailySummary[[#This Row],[Fecha]],SummaryDaily[day],SummaryDaily[orders],0)</f>
        <v>119</v>
      </c>
      <c r="F231" s="12">
        <f>_xlfn.XLOOKUP(TableDailySummary[[#This Row],[Fecha]],SummaryDaily[day],SummaryDaily[average_order_value],0)</f>
        <v>123871.13400000001</v>
      </c>
      <c r="G231" s="24">
        <f>_xlfn.XLOOKUP(TableDailySummary[[#This Row],[Fecha]],SummaryDaily[day],SummaryDaily[Total site_conversion_rate],0)</f>
        <v>2.5139664804469275E-2</v>
      </c>
      <c r="H231" s="12">
        <f>TableDailySummary[[#This Row],[Órden promedio totales]]*TableDailySummary[[#This Row],[CR totales]]</f>
        <v>3114.0787877094976</v>
      </c>
      <c r="I231" s="12">
        <f>_xlfn.XLOOKUP(TableDailySummary[[#This Row],[Fecha]],SummaryDaily[day],SummaryDaily[new_net_sales],0)</f>
        <v>7632244.7400000002</v>
      </c>
      <c r="J231" s="12">
        <f>_xlfn.XLOOKUP(TableDailySummary[[#This Row],[Fecha]],SummaryDaily[day],SummaryDaily[new_orders],0)</f>
        <v>70</v>
      </c>
      <c r="K231" s="12">
        <f>_xlfn.XLOOKUP(TableDailySummary[[#This Row],[Fecha]],SummaryDaily[day],SummaryDaily[new_average_order_value],0)</f>
        <v>109156.917</v>
      </c>
      <c r="L231" s="12">
        <f>_xlfn.XLOOKUP(TableDailySummary[[#This Row],[Fecha]],SummaryDaily[day],SummaryDaily[Online Store_net_sales],0)</f>
        <v>8451261.5500000007</v>
      </c>
      <c r="M231" s="12">
        <f>_xlfn.XLOOKUP(TableDailySummary[[#This Row],[Fecha]],SummaryDaily[day],SummaryDaily[Online Store_orders],0)</f>
        <v>74</v>
      </c>
      <c r="N231" s="12">
        <f>_xlfn.XLOOKUP(TableDailySummary[[#This Row],[Fecha]],SummaryDaily[day],SummaryDaily[Online Store_average_order_value],0)</f>
        <v>114206.23699999999</v>
      </c>
      <c r="O231" s="12">
        <f>_xlfn.XLOOKUP(TableDailySummary[[#This Row],[Fecha]],SummaryDaily[day],SummaryDaily[Tienda 81_net_sales],0)</f>
        <v>5881840.3799999999</v>
      </c>
      <c r="P231" s="12">
        <f>_xlfn.XLOOKUP(TableDailySummary[[#This Row],[Fecha]],SummaryDaily[day],SummaryDaily[Tienda 81_orders],0)</f>
        <v>42</v>
      </c>
      <c r="Q231" s="12">
        <f>_xlfn.XLOOKUP(TableDailySummary[[#This Row],[Fecha]],SummaryDaily[day],SummaryDaily[Tienda 81_average_order_value],0)</f>
        <v>140043.818</v>
      </c>
      <c r="R231" s="12">
        <f>_xlfn.XLOOKUP(TableDailySummary[[#This Row],[Fecha]],SummaryDaily[day],SummaryDaily[Rappi_net_sales],0)</f>
        <v>0</v>
      </c>
      <c r="S231" s="12">
        <f>_xlfn.XLOOKUP(TableDailySummary[[#This Row],[Fecha]],SummaryDaily[day],SummaryDaily[Rappi_orders],0)</f>
        <v>0</v>
      </c>
      <c r="T231" s="12">
        <f>_xlfn.XLOOKUP(TableDailySummary[[#This Row],[Fecha]],SummaryDaily[day],SummaryDaily[Rappi_average_order_value],0)</f>
        <v>0</v>
      </c>
      <c r="U231" s="12">
        <f>_xlfn.XLOOKUP(TableDailySummary[[#This Row],[Fecha]],SummaryDaily[day],SummaryDaily[Corporativo no tienda_net_sales],0)</f>
        <v>0</v>
      </c>
      <c r="V231" s="12">
        <f>_xlfn.XLOOKUP(TableDailySummary[[#This Row],[Fecha]],SummaryDaily[day],SummaryDaily[Corporativo no tienda_orders],0)</f>
        <v>0</v>
      </c>
      <c r="W231" s="12">
        <f>_xlfn.XLOOKUP(TableDailySummary[[#This Row],[Fecha]],SummaryDaily[day],SummaryDaily[Corporativo no tienda_average_order_value],0)</f>
        <v>0</v>
      </c>
      <c r="X231" s="12">
        <f>_xlfn.XLOOKUP(TableDailySummary[[#This Row],[Fecha]],SummaryDaily[day],SummaryDaily[GoogleAdsOperation.Cost],0)</f>
        <v>71321.960000000006</v>
      </c>
      <c r="Y231" s="12">
        <f>SUMIFS(SalesByUTMDaily[google],SalesByUTMDaily[day],TableDailySummary[[#This Row],[Fecha]])</f>
        <v>423500</v>
      </c>
      <c r="Z231" s="12">
        <f>_xlfn.XLOOKUP(TableDailySummary[[#This Row],[Fecha]],SummaryDaily[day],SummaryDaily[MetaAdsOperation.spend],0)</f>
        <v>48021</v>
      </c>
      <c r="AA231" s="12">
        <f>SUMIFS(SalesByUTMDaily[facebook],SalesByUTMDaily[day],TableDailySummary[[#This Row],[Fecha]])</f>
        <v>70000</v>
      </c>
      <c r="AB231" s="12">
        <f>TableDailySummary[[#This Row],[Inversión google ads]]+TableDailySummary[[#This Row],[Inversión meta ads]]</f>
        <v>119342.96</v>
      </c>
      <c r="AC231" s="12">
        <f>TableDailySummary[[#This Row],[Ventas google ads]]+TableDailySummary[[#This Row],[Ventas meta ads]]</f>
        <v>493500</v>
      </c>
      <c r="AD231" s="14">
        <f>IFERROR(TableDailySummary[[#This Row],[Ventas publicidad]]/TableDailySummary[[#This Row],[Inversión publicidad]],0)</f>
        <v>4.1351412768712956</v>
      </c>
      <c r="AE231" s="14">
        <f>IFERROR(TableDailySummary[[#This Row],[Ventas primer cliente]]/TableDailySummary[[#This Row],[Inversión publicidad]],0)</f>
        <v>63.952199107513337</v>
      </c>
      <c r="AF231" s="14"/>
      <c r="AG231" s="12"/>
      <c r="AM231" s="12">
        <f>_xlfn.XLOOKUP(TableDailySummary[[#This Row],[Fecha]],SummaryDaily[day],SummaryDaily[net_sales_with_cost_recorded],0)</f>
        <v>14557050.539999999</v>
      </c>
      <c r="AN231" s="12">
        <f>_xlfn.XLOOKUP(TableDailySummary[[#This Row],[Fecha]],SummaryDaily[day],SummaryDaily[cost_of_goods_sold],0)</f>
        <v>4427725</v>
      </c>
      <c r="AO231" s="12">
        <f>_xlfn.XLOOKUP(TableDailySummary[[#This Row],[Fecha]],SummaryDaily[day],SummaryDaily[gross_profit],0)</f>
        <v>10129325.539999999</v>
      </c>
      <c r="AP231" s="18">
        <f>IFERROR(TableDailySummary[[#This Row],[Utilidad bruta]]/TableDailySummary[[#This Row],[Ventas netas con costo registrado]],0)</f>
        <v>0.69583639296755506</v>
      </c>
    </row>
    <row r="232" spans="2:42" x14ac:dyDescent="0.2">
      <c r="B232" s="15" cm="1">
        <f t="array" ref="B232">MIN(SummaryDaily[day]) + (ROW(TableDailySummary[#This Row]) - ROW(TableDailySummary[[#Headers],[Dia]]) - 1)</f>
        <v>46003</v>
      </c>
      <c r="C232" s="6">
        <f>TableDailySummary[[#This Row],[Dia]]</f>
        <v>46003</v>
      </c>
      <c r="D232" s="12">
        <f>_xlfn.XLOOKUP(TableDailySummary[[#This Row],[Fecha]],SummaryDaily[day],SummaryDaily[net_sales],0)</f>
        <v>18237169.16</v>
      </c>
      <c r="E232" s="12">
        <f>_xlfn.XLOOKUP(TableDailySummary[[#This Row],[Fecha]],SummaryDaily[day],SummaryDaily[orders],0)</f>
        <v>107</v>
      </c>
      <c r="F232" s="12">
        <f>_xlfn.XLOOKUP(TableDailySummary[[#This Row],[Fecha]],SummaryDaily[day],SummaryDaily[average_order_value],0)</f>
        <v>170833.51300000001</v>
      </c>
      <c r="G232" s="24">
        <f>_xlfn.XLOOKUP(TableDailySummary[[#This Row],[Fecha]],SummaryDaily[day],SummaryDaily[Total site_conversion_rate],0)</f>
        <v>2.4456521739130436E-2</v>
      </c>
      <c r="H232" s="12">
        <f>TableDailySummary[[#This Row],[Órden promedio totales]]*TableDailySummary[[#This Row],[CR totales]]</f>
        <v>4177.9935244565222</v>
      </c>
      <c r="I232" s="12">
        <f>_xlfn.XLOOKUP(TableDailySummary[[#This Row],[Fecha]],SummaryDaily[day],SummaryDaily[new_net_sales],0)</f>
        <v>12387100.890000001</v>
      </c>
      <c r="J232" s="12">
        <f>_xlfn.XLOOKUP(TableDailySummary[[#This Row],[Fecha]],SummaryDaily[day],SummaryDaily[new_orders],0)</f>
        <v>60</v>
      </c>
      <c r="K232" s="12">
        <f>_xlfn.XLOOKUP(TableDailySummary[[#This Row],[Fecha]],SummaryDaily[day],SummaryDaily[new_average_order_value],0)</f>
        <v>207151.96100000001</v>
      </c>
      <c r="L232" s="12">
        <f>_xlfn.XLOOKUP(TableDailySummary[[#This Row],[Fecha]],SummaryDaily[day],SummaryDaily[Online Store_net_sales],0)</f>
        <v>10614706.939999999</v>
      </c>
      <c r="M232" s="12">
        <f>_xlfn.XLOOKUP(TableDailySummary[[#This Row],[Fecha]],SummaryDaily[day],SummaryDaily[Online Store_orders],0)</f>
        <v>74</v>
      </c>
      <c r="N232" s="12">
        <f>_xlfn.XLOOKUP(TableDailySummary[[#This Row],[Fecha]],SummaryDaily[day],SummaryDaily[Online Store_average_order_value],0)</f>
        <v>144009.78</v>
      </c>
      <c r="O232" s="12">
        <f>_xlfn.XLOOKUP(TableDailySummary[[#This Row],[Fecha]],SummaryDaily[day],SummaryDaily[Tienda 81_net_sales],0)</f>
        <v>4596411.8</v>
      </c>
      <c r="P232" s="12">
        <f>_xlfn.XLOOKUP(TableDailySummary[[#This Row],[Fecha]],SummaryDaily[day],SummaryDaily[Tienda 81_orders],0)</f>
        <v>29</v>
      </c>
      <c r="Q232" s="12">
        <f>_xlfn.XLOOKUP(TableDailySummary[[#This Row],[Fecha]],SummaryDaily[day],SummaryDaily[Tienda 81_average_order_value],0)</f>
        <v>158496.95800000001</v>
      </c>
      <c r="R232" s="12">
        <f>_xlfn.XLOOKUP(TableDailySummary[[#This Row],[Fecha]],SummaryDaily[day],SummaryDaily[Rappi_net_sales],0)</f>
        <v>0</v>
      </c>
      <c r="S232" s="12">
        <f>_xlfn.XLOOKUP(TableDailySummary[[#This Row],[Fecha]],SummaryDaily[day],SummaryDaily[Rappi_orders],0)</f>
        <v>0</v>
      </c>
      <c r="T232" s="12">
        <f>_xlfn.XLOOKUP(TableDailySummary[[#This Row],[Fecha]],SummaryDaily[day],SummaryDaily[Rappi_average_order_value],0)</f>
        <v>0</v>
      </c>
      <c r="U232" s="12">
        <f>_xlfn.XLOOKUP(TableDailySummary[[#This Row],[Fecha]],SummaryDaily[day],SummaryDaily[Corporativo no tienda_net_sales],0)</f>
        <v>2682352.94</v>
      </c>
      <c r="V232" s="12">
        <f>_xlfn.XLOOKUP(TableDailySummary[[#This Row],[Fecha]],SummaryDaily[day],SummaryDaily[Corporativo no tienda_orders],0)</f>
        <v>1</v>
      </c>
      <c r="W232" s="12">
        <f>_xlfn.XLOOKUP(TableDailySummary[[#This Row],[Fecha]],SummaryDaily[day],SummaryDaily[Corporativo no tienda_average_order_value],0)</f>
        <v>2682352.94</v>
      </c>
      <c r="X232" s="12">
        <f>_xlfn.XLOOKUP(TableDailySummary[[#This Row],[Fecha]],SummaryDaily[day],SummaryDaily[GoogleAdsOperation.Cost],0)</f>
        <v>31776.21</v>
      </c>
      <c r="Y232" s="12">
        <f>SUMIFS(SalesByUTMDaily[google],SalesByUTMDaily[day],TableDailySummary[[#This Row],[Fecha]])</f>
        <v>583501</v>
      </c>
      <c r="Z232" s="12">
        <f>_xlfn.XLOOKUP(TableDailySummary[[#This Row],[Fecha]],SummaryDaily[day],SummaryDaily[MetaAdsOperation.spend],0)</f>
        <v>51390</v>
      </c>
      <c r="AA232" s="12">
        <f>SUMIFS(SalesByUTMDaily[facebook],SalesByUTMDaily[day],TableDailySummary[[#This Row],[Fecha]])</f>
        <v>413500</v>
      </c>
      <c r="AB232" s="12">
        <f>TableDailySummary[[#This Row],[Inversión google ads]]+TableDailySummary[[#This Row],[Inversión meta ads]]</f>
        <v>83166.209999999992</v>
      </c>
      <c r="AC232" s="12">
        <f>TableDailySummary[[#This Row],[Ventas google ads]]+TableDailySummary[[#This Row],[Ventas meta ads]]</f>
        <v>997001</v>
      </c>
      <c r="AD232" s="14">
        <f>IFERROR(TableDailySummary[[#This Row],[Ventas publicidad]]/TableDailySummary[[#This Row],[Inversión publicidad]],0)</f>
        <v>11.988053802139115</v>
      </c>
      <c r="AE232" s="14">
        <f>IFERROR(TableDailySummary[[#This Row],[Ventas primer cliente]]/TableDailySummary[[#This Row],[Inversión publicidad]],0)</f>
        <v>148.94391472209691</v>
      </c>
      <c r="AF232" s="14"/>
      <c r="AG232" s="12"/>
      <c r="AM232" s="12">
        <f>_xlfn.XLOOKUP(TableDailySummary[[#This Row],[Fecha]],SummaryDaily[day],SummaryDaily[net_sales_with_cost_recorded],0)</f>
        <v>17950613.57</v>
      </c>
      <c r="AN232" s="12">
        <f>_xlfn.XLOOKUP(TableDailySummary[[#This Row],[Fecha]],SummaryDaily[day],SummaryDaily[cost_of_goods_sold],0)</f>
        <v>5673593</v>
      </c>
      <c r="AO232" s="12">
        <f>_xlfn.XLOOKUP(TableDailySummary[[#This Row],[Fecha]],SummaryDaily[day],SummaryDaily[gross_profit],0)</f>
        <v>12277020.57</v>
      </c>
      <c r="AP232" s="18">
        <f>IFERROR(TableDailySummary[[#This Row],[Utilidad bruta]]/TableDailySummary[[#This Row],[Ventas netas con costo registrado]],0)</f>
        <v>0.68393319939313924</v>
      </c>
    </row>
    <row r="233" spans="2:42" x14ac:dyDescent="0.2">
      <c r="B233" s="15" cm="1">
        <f t="array" ref="B233">MIN(SummaryDaily[day]) + (ROW(TableDailySummary[#This Row]) - ROW(TableDailySummary[[#Headers],[Dia]]) - 1)</f>
        <v>46004</v>
      </c>
      <c r="C233" s="6">
        <f>TableDailySummary[[#This Row],[Dia]]</f>
        <v>46004</v>
      </c>
      <c r="D233" s="12">
        <f>_xlfn.XLOOKUP(TableDailySummary[[#This Row],[Fecha]],SummaryDaily[day],SummaryDaily[net_sales],0)</f>
        <v>18100170.109999999</v>
      </c>
      <c r="E233" s="12">
        <f>_xlfn.XLOOKUP(TableDailySummary[[#This Row],[Fecha]],SummaryDaily[day],SummaryDaily[orders],0)</f>
        <v>141</v>
      </c>
      <c r="F233" s="12">
        <f>_xlfn.XLOOKUP(TableDailySummary[[#This Row],[Fecha]],SummaryDaily[day],SummaryDaily[average_order_value],0)</f>
        <v>128623.29300000001</v>
      </c>
      <c r="G233" s="24">
        <f>_xlfn.XLOOKUP(TableDailySummary[[#This Row],[Fecha]],SummaryDaily[day],SummaryDaily[Total site_conversion_rate],0)</f>
        <v>3.4608378870673952E-2</v>
      </c>
      <c r="H233" s="12">
        <f>TableDailySummary[[#This Row],[Órden promedio totales]]*TableDailySummary[[#This Row],[CR totales]]</f>
        <v>4451.4436557377048</v>
      </c>
      <c r="I233" s="12">
        <f>_xlfn.XLOOKUP(TableDailySummary[[#This Row],[Fecha]],SummaryDaily[day],SummaryDaily[new_net_sales],0)</f>
        <v>10277228.91</v>
      </c>
      <c r="J233" s="12">
        <f>_xlfn.XLOOKUP(TableDailySummary[[#This Row],[Fecha]],SummaryDaily[day],SummaryDaily[new_orders],0)</f>
        <v>79</v>
      </c>
      <c r="K233" s="12">
        <f>_xlfn.XLOOKUP(TableDailySummary[[#This Row],[Fecha]],SummaryDaily[day],SummaryDaily[new_average_order_value],0)</f>
        <v>130543.584</v>
      </c>
      <c r="L233" s="12">
        <f>_xlfn.XLOOKUP(TableDailySummary[[#This Row],[Fecha]],SummaryDaily[day],SummaryDaily[Online Store_net_sales],0)</f>
        <v>12328741.550000001</v>
      </c>
      <c r="M233" s="12">
        <f>_xlfn.XLOOKUP(TableDailySummary[[#This Row],[Fecha]],SummaryDaily[day],SummaryDaily[Online Store_orders],0)</f>
        <v>108</v>
      </c>
      <c r="N233" s="12">
        <f>_xlfn.XLOOKUP(TableDailySummary[[#This Row],[Fecha]],SummaryDaily[day],SummaryDaily[Online Store_average_order_value],0)</f>
        <v>114155.014</v>
      </c>
      <c r="O233" s="12">
        <f>_xlfn.XLOOKUP(TableDailySummary[[#This Row],[Fecha]],SummaryDaily[day],SummaryDaily[Tienda 81_net_sales],0)</f>
        <v>5771428.5599999996</v>
      </c>
      <c r="P233" s="12">
        <f>_xlfn.XLOOKUP(TableDailySummary[[#This Row],[Fecha]],SummaryDaily[day],SummaryDaily[Tienda 81_orders],0)</f>
        <v>33</v>
      </c>
      <c r="Q233" s="12">
        <f>_xlfn.XLOOKUP(TableDailySummary[[#This Row],[Fecha]],SummaryDaily[day],SummaryDaily[Tienda 81_average_order_value],0)</f>
        <v>175974.02499999999</v>
      </c>
      <c r="R233" s="12">
        <f>_xlfn.XLOOKUP(TableDailySummary[[#This Row],[Fecha]],SummaryDaily[day],SummaryDaily[Rappi_net_sales],0)</f>
        <v>0</v>
      </c>
      <c r="S233" s="12">
        <f>_xlfn.XLOOKUP(TableDailySummary[[#This Row],[Fecha]],SummaryDaily[day],SummaryDaily[Rappi_orders],0)</f>
        <v>0</v>
      </c>
      <c r="T233" s="12">
        <f>_xlfn.XLOOKUP(TableDailySummary[[#This Row],[Fecha]],SummaryDaily[day],SummaryDaily[Rappi_average_order_value],0)</f>
        <v>0</v>
      </c>
      <c r="U233" s="12">
        <f>_xlfn.XLOOKUP(TableDailySummary[[#This Row],[Fecha]],SummaryDaily[day],SummaryDaily[Corporativo no tienda_net_sales],0)</f>
        <v>0</v>
      </c>
      <c r="V233" s="12">
        <f>_xlfn.XLOOKUP(TableDailySummary[[#This Row],[Fecha]],SummaryDaily[day],SummaryDaily[Corporativo no tienda_orders],0)</f>
        <v>0</v>
      </c>
      <c r="W233" s="12">
        <f>_xlfn.XLOOKUP(TableDailySummary[[#This Row],[Fecha]],SummaryDaily[day],SummaryDaily[Corporativo no tienda_average_order_value],0)</f>
        <v>0</v>
      </c>
      <c r="X233" s="12">
        <f>_xlfn.XLOOKUP(TableDailySummary[[#This Row],[Fecha]],SummaryDaily[day],SummaryDaily[GoogleAdsOperation.Cost],0)</f>
        <v>56539.35</v>
      </c>
      <c r="Y233" s="12">
        <f>SUMIFS(SalesByUTMDaily[google],SalesByUTMDaily[day],TableDailySummary[[#This Row],[Fecha]])</f>
        <v>389000</v>
      </c>
      <c r="Z233" s="12">
        <f>_xlfn.XLOOKUP(TableDailySummary[[#This Row],[Fecha]],SummaryDaily[day],SummaryDaily[MetaAdsOperation.spend],0)</f>
        <v>52371</v>
      </c>
      <c r="AA233" s="12">
        <f>SUMIFS(SalesByUTMDaily[facebook],SalesByUTMDaily[day],TableDailySummary[[#This Row],[Fecha]])</f>
        <v>313500</v>
      </c>
      <c r="AB233" s="12">
        <f>TableDailySummary[[#This Row],[Inversión google ads]]+TableDailySummary[[#This Row],[Inversión meta ads]]</f>
        <v>108910.35</v>
      </c>
      <c r="AC233" s="12">
        <f>TableDailySummary[[#This Row],[Ventas google ads]]+TableDailySummary[[#This Row],[Ventas meta ads]]</f>
        <v>702500</v>
      </c>
      <c r="AD233" s="14">
        <f>IFERROR(TableDailySummary[[#This Row],[Ventas publicidad]]/TableDailySummary[[#This Row],[Inversión publicidad]],0)</f>
        <v>6.4502593187883424</v>
      </c>
      <c r="AE233" s="14">
        <f>IFERROR(TableDailySummary[[#This Row],[Ventas primer cliente]]/TableDailySummary[[#This Row],[Inversión publicidad]],0)</f>
        <v>94.364116082631256</v>
      </c>
      <c r="AF233" s="14"/>
      <c r="AG233" s="12"/>
      <c r="AM233" s="12">
        <f>_xlfn.XLOOKUP(TableDailySummary[[#This Row],[Fecha]],SummaryDaily[day],SummaryDaily[net_sales_with_cost_recorded],0)</f>
        <v>17949411.84</v>
      </c>
      <c r="AN233" s="12">
        <f>_xlfn.XLOOKUP(TableDailySummary[[#This Row],[Fecha]],SummaryDaily[day],SummaryDaily[cost_of_goods_sold],0)</f>
        <v>5433650</v>
      </c>
      <c r="AO233" s="12">
        <f>_xlfn.XLOOKUP(TableDailySummary[[#This Row],[Fecha]],SummaryDaily[day],SummaryDaily[gross_profit],0)</f>
        <v>12515761.84</v>
      </c>
      <c r="AP233" s="18">
        <f>IFERROR(TableDailySummary[[#This Row],[Utilidad bruta]]/TableDailySummary[[#This Row],[Ventas netas con costo registrado]],0)</f>
        <v>0.69727977448869993</v>
      </c>
    </row>
    <row r="234" spans="2:42" x14ac:dyDescent="0.2">
      <c r="B234" s="15" cm="1">
        <f t="array" ref="B234">MIN(SummaryDaily[day]) + (ROW(TableDailySummary[#This Row]) - ROW(TableDailySummary[[#Headers],[Dia]]) - 1)</f>
        <v>46005</v>
      </c>
      <c r="C234" s="6">
        <f>TableDailySummary[[#This Row],[Dia]]</f>
        <v>46005</v>
      </c>
      <c r="D234" s="12">
        <f>_xlfn.XLOOKUP(TableDailySummary[[#This Row],[Fecha]],SummaryDaily[day],SummaryDaily[net_sales],0)</f>
        <v>17183277.350000001</v>
      </c>
      <c r="E234" s="12">
        <f>_xlfn.XLOOKUP(TableDailySummary[[#This Row],[Fecha]],SummaryDaily[day],SummaryDaily[orders],0)</f>
        <v>149</v>
      </c>
      <c r="F234" s="12">
        <f>_xlfn.XLOOKUP(TableDailySummary[[#This Row],[Fecha]],SummaryDaily[day],SummaryDaily[average_order_value],0)</f>
        <v>115679.318</v>
      </c>
      <c r="G234" s="24">
        <f>_xlfn.XLOOKUP(TableDailySummary[[#This Row],[Fecha]],SummaryDaily[day],SummaryDaily[Total site_conversion_rate],0)</f>
        <v>2.3112480739599383E-2</v>
      </c>
      <c r="H234" s="12">
        <f>TableDailySummary[[#This Row],[Órden promedio totales]]*TableDailySummary[[#This Row],[CR totales]]</f>
        <v>2673.6360092449922</v>
      </c>
      <c r="I234" s="12">
        <f>_xlfn.XLOOKUP(TableDailySummary[[#This Row],[Fecha]],SummaryDaily[day],SummaryDaily[new_net_sales],0)</f>
        <v>8431638.6799999997</v>
      </c>
      <c r="J234" s="12">
        <f>_xlfn.XLOOKUP(TableDailySummary[[#This Row],[Fecha]],SummaryDaily[day],SummaryDaily[new_orders],0)</f>
        <v>73</v>
      </c>
      <c r="K234" s="12">
        <f>_xlfn.XLOOKUP(TableDailySummary[[#This Row],[Fecha]],SummaryDaily[day],SummaryDaily[new_average_order_value],0)</f>
        <v>115916.31200000001</v>
      </c>
      <c r="L234" s="12">
        <f>_xlfn.XLOOKUP(TableDailySummary[[#This Row],[Fecha]],SummaryDaily[day],SummaryDaily[Online Store_net_sales],0)</f>
        <v>4906554.6500000004</v>
      </c>
      <c r="M234" s="12">
        <f>_xlfn.XLOOKUP(TableDailySummary[[#This Row],[Fecha]],SummaryDaily[day],SummaryDaily[Online Store_orders],0)</f>
        <v>42</v>
      </c>
      <c r="N234" s="12">
        <f>_xlfn.XLOOKUP(TableDailySummary[[#This Row],[Fecha]],SummaryDaily[day],SummaryDaily[Online Store_average_order_value],0)</f>
        <v>118083.23299999999</v>
      </c>
      <c r="O234" s="12">
        <f>_xlfn.XLOOKUP(TableDailySummary[[#This Row],[Fecha]],SummaryDaily[day],SummaryDaily[Tienda 81_net_sales],0)</f>
        <v>5107394.95</v>
      </c>
      <c r="P234" s="12">
        <f>_xlfn.XLOOKUP(TableDailySummary[[#This Row],[Fecha]],SummaryDaily[day],SummaryDaily[Tienda 81_orders],0)</f>
        <v>39</v>
      </c>
      <c r="Q234" s="12">
        <f>_xlfn.XLOOKUP(TableDailySummary[[#This Row],[Fecha]],SummaryDaily[day],SummaryDaily[Tienda 81_average_order_value],0)</f>
        <v>130958.844</v>
      </c>
      <c r="R234" s="12">
        <f>_xlfn.XLOOKUP(TableDailySummary[[#This Row],[Fecha]],SummaryDaily[day],SummaryDaily[Rappi_net_sales],0)</f>
        <v>0</v>
      </c>
      <c r="S234" s="12">
        <f>_xlfn.XLOOKUP(TableDailySummary[[#This Row],[Fecha]],SummaryDaily[day],SummaryDaily[Rappi_orders],0)</f>
        <v>0</v>
      </c>
      <c r="T234" s="12">
        <f>_xlfn.XLOOKUP(TableDailySummary[[#This Row],[Fecha]],SummaryDaily[day],SummaryDaily[Rappi_average_order_value],0)</f>
        <v>0</v>
      </c>
      <c r="U234" s="12">
        <f>_xlfn.XLOOKUP(TableDailySummary[[#This Row],[Fecha]],SummaryDaily[day],SummaryDaily[Corporativo no tienda_net_sales],0)</f>
        <v>0</v>
      </c>
      <c r="V234" s="12">
        <f>_xlfn.XLOOKUP(TableDailySummary[[#This Row],[Fecha]],SummaryDaily[day],SummaryDaily[Corporativo no tienda_orders],0)</f>
        <v>0</v>
      </c>
      <c r="W234" s="12">
        <f>_xlfn.XLOOKUP(TableDailySummary[[#This Row],[Fecha]],SummaryDaily[day],SummaryDaily[Corporativo no tienda_average_order_value],0)</f>
        <v>0</v>
      </c>
      <c r="X234" s="12">
        <f>_xlfn.XLOOKUP(TableDailySummary[[#This Row],[Fecha]],SummaryDaily[day],SummaryDaily[GoogleAdsOperation.Cost],0)</f>
        <v>67973.7</v>
      </c>
      <c r="Y234" s="12">
        <f>SUMIFS(SalesByUTMDaily[google],SalesByUTMDaily[day],TableDailySummary[[#This Row],[Fecha]])</f>
        <v>289000</v>
      </c>
      <c r="Z234" s="12">
        <f>_xlfn.XLOOKUP(TableDailySummary[[#This Row],[Fecha]],SummaryDaily[day],SummaryDaily[MetaAdsOperation.spend],0)</f>
        <v>60111</v>
      </c>
      <c r="AA234" s="12">
        <f>SUMIFS(SalesByUTMDaily[facebook],SalesByUTMDaily[day],TableDailySummary[[#This Row],[Fecha]])</f>
        <v>0</v>
      </c>
      <c r="AB234" s="12">
        <f>TableDailySummary[[#This Row],[Inversión google ads]]+TableDailySummary[[#This Row],[Inversión meta ads]]</f>
        <v>128084.7</v>
      </c>
      <c r="AC234" s="12">
        <f>TableDailySummary[[#This Row],[Ventas google ads]]+TableDailySummary[[#This Row],[Ventas meta ads]]</f>
        <v>289000</v>
      </c>
      <c r="AD234" s="14">
        <f>IFERROR(TableDailySummary[[#This Row],[Ventas publicidad]]/TableDailySummary[[#This Row],[Inversión publicidad]],0)</f>
        <v>2.2563194511132085</v>
      </c>
      <c r="AE234" s="14">
        <f>IFERROR(TableDailySummary[[#This Row],[Ventas primer cliente]]/TableDailySummary[[#This Row],[Inversión publicidad]],0)</f>
        <v>65.828617157240487</v>
      </c>
      <c r="AF234" s="14"/>
      <c r="AG234" s="12"/>
      <c r="AM234" s="12">
        <f>_xlfn.XLOOKUP(TableDailySummary[[#This Row],[Fecha]],SummaryDaily[day],SummaryDaily[net_sales_with_cost_recorded],0)</f>
        <v>16903025.27</v>
      </c>
      <c r="AN234" s="12">
        <f>_xlfn.XLOOKUP(TableDailySummary[[#This Row],[Fecha]],SummaryDaily[day],SummaryDaily[cost_of_goods_sold],0)</f>
        <v>4992943</v>
      </c>
      <c r="AO234" s="12">
        <f>_xlfn.XLOOKUP(TableDailySummary[[#This Row],[Fecha]],SummaryDaily[day],SummaryDaily[gross_profit],0)</f>
        <v>11910082.27</v>
      </c>
      <c r="AP234" s="18">
        <f>IFERROR(TableDailySummary[[#This Row],[Utilidad bruta]]/TableDailySummary[[#This Row],[Ventas netas con costo registrado]],0)</f>
        <v>0.70461246313926851</v>
      </c>
    </row>
    <row r="235" spans="2:42" x14ac:dyDescent="0.2">
      <c r="B235" s="15" cm="1">
        <f t="array" ref="B235">MIN(SummaryDaily[day]) + (ROW(TableDailySummary[#This Row]) - ROW(TableDailySummary[[#Headers],[Dia]]) - 1)</f>
        <v>46006</v>
      </c>
      <c r="C235" s="6">
        <f>TableDailySummary[[#This Row],[Dia]]</f>
        <v>46006</v>
      </c>
      <c r="D235" s="12">
        <f>_xlfn.XLOOKUP(TableDailySummary[[#This Row],[Fecha]],SummaryDaily[day],SummaryDaily[net_sales],0)</f>
        <v>8116159.7000000002</v>
      </c>
      <c r="E235" s="12">
        <f>_xlfn.XLOOKUP(TableDailySummary[[#This Row],[Fecha]],SummaryDaily[day],SummaryDaily[orders],0)</f>
        <v>53</v>
      </c>
      <c r="F235" s="12">
        <f>_xlfn.XLOOKUP(TableDailySummary[[#This Row],[Fecha]],SummaryDaily[day],SummaryDaily[average_order_value],0)</f>
        <v>153705.88200000001</v>
      </c>
      <c r="G235" s="24">
        <f>_xlfn.XLOOKUP(TableDailySummary[[#This Row],[Fecha]],SummaryDaily[day],SummaryDaily[Total site_conversion_rate],0)</f>
        <v>1.0610079575596816E-2</v>
      </c>
      <c r="H235" s="12">
        <f>TableDailySummary[[#This Row],[Órden promedio totales]]*TableDailySummary[[#This Row],[CR totales]]</f>
        <v>1630.8316392572945</v>
      </c>
      <c r="I235" s="12">
        <f>_xlfn.XLOOKUP(TableDailySummary[[#This Row],[Fecha]],SummaryDaily[day],SummaryDaily[new_net_sales],0)</f>
        <v>3091176.48</v>
      </c>
      <c r="J235" s="12">
        <f>_xlfn.XLOOKUP(TableDailySummary[[#This Row],[Fecha]],SummaryDaily[day],SummaryDaily[new_orders],0)</f>
        <v>21</v>
      </c>
      <c r="K235" s="12">
        <f>_xlfn.XLOOKUP(TableDailySummary[[#This Row],[Fecha]],SummaryDaily[day],SummaryDaily[new_average_order_value],0)</f>
        <v>148279.31099999999</v>
      </c>
      <c r="L235" s="12">
        <f>_xlfn.XLOOKUP(TableDailySummary[[#This Row],[Fecha]],SummaryDaily[day],SummaryDaily[Online Store_net_sales],0)</f>
        <v>1858823.54</v>
      </c>
      <c r="M235" s="12">
        <f>_xlfn.XLOOKUP(TableDailySummary[[#This Row],[Fecha]],SummaryDaily[day],SummaryDaily[Online Store_orders],0)</f>
        <v>10</v>
      </c>
      <c r="N235" s="12">
        <f>_xlfn.XLOOKUP(TableDailySummary[[#This Row],[Fecha]],SummaryDaily[day],SummaryDaily[Online Store_average_order_value],0)</f>
        <v>188151.261</v>
      </c>
      <c r="O235" s="12">
        <f>_xlfn.XLOOKUP(TableDailySummary[[#This Row],[Fecha]],SummaryDaily[day],SummaryDaily[Tienda 81_net_sales],0)</f>
        <v>6264899.1799999997</v>
      </c>
      <c r="P235" s="12">
        <f>_xlfn.XLOOKUP(TableDailySummary[[#This Row],[Fecha]],SummaryDaily[day],SummaryDaily[Tienda 81_orders],0)</f>
        <v>43</v>
      </c>
      <c r="Q235" s="12">
        <f>_xlfn.XLOOKUP(TableDailySummary[[#This Row],[Fecha]],SummaryDaily[day],SummaryDaily[Tienda 81_average_order_value],0)</f>
        <v>145695.329</v>
      </c>
      <c r="R235" s="12">
        <f>_xlfn.XLOOKUP(TableDailySummary[[#This Row],[Fecha]],SummaryDaily[day],SummaryDaily[Rappi_net_sales],0)</f>
        <v>0</v>
      </c>
      <c r="S235" s="12">
        <f>_xlfn.XLOOKUP(TableDailySummary[[#This Row],[Fecha]],SummaryDaily[day],SummaryDaily[Rappi_orders],0)</f>
        <v>0</v>
      </c>
      <c r="T235" s="12">
        <f>_xlfn.XLOOKUP(TableDailySummary[[#This Row],[Fecha]],SummaryDaily[day],SummaryDaily[Rappi_average_order_value],0)</f>
        <v>0</v>
      </c>
      <c r="U235" s="12">
        <f>_xlfn.XLOOKUP(TableDailySummary[[#This Row],[Fecha]],SummaryDaily[day],SummaryDaily[Corporativo no tienda_net_sales],0)</f>
        <v>0</v>
      </c>
      <c r="V235" s="12">
        <f>_xlfn.XLOOKUP(TableDailySummary[[#This Row],[Fecha]],SummaryDaily[day],SummaryDaily[Corporativo no tienda_orders],0)</f>
        <v>0</v>
      </c>
      <c r="W235" s="12">
        <f>_xlfn.XLOOKUP(TableDailySummary[[#This Row],[Fecha]],SummaryDaily[day],SummaryDaily[Corporativo no tienda_average_order_value],0)</f>
        <v>0</v>
      </c>
      <c r="X235" s="12">
        <f>_xlfn.XLOOKUP(TableDailySummary[[#This Row],[Fecha]],SummaryDaily[day],SummaryDaily[GoogleAdsOperation.Cost],0)</f>
        <v>57312.71</v>
      </c>
      <c r="Y235" s="12">
        <f>SUMIFS(SalesByUTMDaily[google],SalesByUTMDaily[day],TableDailySummary[[#This Row],[Fecha]])</f>
        <v>155000</v>
      </c>
      <c r="Z235" s="12">
        <f>_xlfn.XLOOKUP(TableDailySummary[[#This Row],[Fecha]],SummaryDaily[day],SummaryDaily[MetaAdsOperation.spend],0)</f>
        <v>51596</v>
      </c>
      <c r="AA235" s="12">
        <f>SUMIFS(SalesByUTMDaily[facebook],SalesByUTMDaily[day],TableDailySummary[[#This Row],[Fecha]])</f>
        <v>0</v>
      </c>
      <c r="AB235" s="12">
        <f>TableDailySummary[[#This Row],[Inversión google ads]]+TableDailySummary[[#This Row],[Inversión meta ads]]</f>
        <v>108908.70999999999</v>
      </c>
      <c r="AC235" s="12">
        <f>TableDailySummary[[#This Row],[Ventas google ads]]+TableDailySummary[[#This Row],[Ventas meta ads]]</f>
        <v>155000</v>
      </c>
      <c r="AD235" s="14">
        <f>IFERROR(TableDailySummary[[#This Row],[Ventas publicidad]]/TableDailySummary[[#This Row],[Inversión publicidad]],0)</f>
        <v>1.4232103199092159</v>
      </c>
      <c r="AE235" s="14">
        <f>IFERROR(TableDailySummary[[#This Row],[Ventas primer cliente]]/TableDailySummary[[#This Row],[Inversión publicidad]],0)</f>
        <v>28.383188819333185</v>
      </c>
      <c r="AF235" s="14"/>
      <c r="AG235" s="12"/>
      <c r="AM235" s="12">
        <f>_xlfn.XLOOKUP(TableDailySummary[[#This Row],[Fecha]],SummaryDaily[day],SummaryDaily[net_sales_with_cost_recorded],0)</f>
        <v>8018000.0300000003</v>
      </c>
      <c r="AN235" s="12">
        <f>_xlfn.XLOOKUP(TableDailySummary[[#This Row],[Fecha]],SummaryDaily[day],SummaryDaily[cost_of_goods_sold],0)</f>
        <v>2429876</v>
      </c>
      <c r="AO235" s="12">
        <f>_xlfn.XLOOKUP(TableDailySummary[[#This Row],[Fecha]],SummaryDaily[day],SummaryDaily[gross_profit],0)</f>
        <v>5588124.0300000003</v>
      </c>
      <c r="AP235" s="18">
        <f>IFERROR(TableDailySummary[[#This Row],[Utilidad bruta]]/TableDailySummary[[#This Row],[Ventas netas con costo registrado]],0)</f>
        <v>0.69694736955494874</v>
      </c>
    </row>
    <row r="236" spans="2:42" x14ac:dyDescent="0.2">
      <c r="B236" s="15" cm="1">
        <f t="array" ref="B236">MIN(SummaryDaily[day]) + (ROW(TableDailySummary[#This Row]) - ROW(TableDailySummary[[#Headers],[Dia]]) - 1)</f>
        <v>46007</v>
      </c>
      <c r="C236" s="6">
        <f>TableDailySummary[[#This Row],[Dia]]</f>
        <v>46007</v>
      </c>
      <c r="D236" s="12">
        <f>_xlfn.XLOOKUP(TableDailySummary[[#This Row],[Fecha]],SummaryDaily[day],SummaryDaily[net_sales],0)</f>
        <v>7801806.7699999996</v>
      </c>
      <c r="E236" s="12">
        <f>_xlfn.XLOOKUP(TableDailySummary[[#This Row],[Fecha]],SummaryDaily[day],SummaryDaily[orders],0)</f>
        <v>50</v>
      </c>
      <c r="F236" s="12">
        <f>_xlfn.XLOOKUP(TableDailySummary[[#This Row],[Fecha]],SummaryDaily[day],SummaryDaily[average_order_value],0)</f>
        <v>161950.42000000001</v>
      </c>
      <c r="G236" s="24">
        <f>_xlfn.XLOOKUP(TableDailySummary[[#This Row],[Fecha]],SummaryDaily[day],SummaryDaily[Total site_conversion_rate],0)</f>
        <v>1.7937219730941704E-2</v>
      </c>
      <c r="H236" s="12">
        <f>TableDailySummary[[#This Row],[Órden promedio totales]]*TableDailySummary[[#This Row],[CR totales]]</f>
        <v>2904.9402690582961</v>
      </c>
      <c r="I236" s="12">
        <f>_xlfn.XLOOKUP(TableDailySummary[[#This Row],[Fecha]],SummaryDaily[day],SummaryDaily[new_net_sales],0)</f>
        <v>4032815.17</v>
      </c>
      <c r="J236" s="12">
        <f>_xlfn.XLOOKUP(TableDailySummary[[#This Row],[Fecha]],SummaryDaily[day],SummaryDaily[new_orders],0)</f>
        <v>20</v>
      </c>
      <c r="K236" s="12">
        <f>_xlfn.XLOOKUP(TableDailySummary[[#This Row],[Fecha]],SummaryDaily[day],SummaryDaily[new_average_order_value],0)</f>
        <v>215670.16800000001</v>
      </c>
      <c r="L236" s="12">
        <f>_xlfn.XLOOKUP(TableDailySummary[[#This Row],[Fecha]],SummaryDaily[day],SummaryDaily[Online Store_net_sales],0)</f>
        <v>2108277.34</v>
      </c>
      <c r="M236" s="12">
        <f>_xlfn.XLOOKUP(TableDailySummary[[#This Row],[Fecha]],SummaryDaily[day],SummaryDaily[Online Store_orders],0)</f>
        <v>8</v>
      </c>
      <c r="N236" s="12">
        <f>_xlfn.XLOOKUP(TableDailySummary[[#This Row],[Fecha]],SummaryDaily[day],SummaryDaily[Online Store_average_order_value],0)</f>
        <v>289049.36800000002</v>
      </c>
      <c r="O236" s="12">
        <f>_xlfn.XLOOKUP(TableDailySummary[[#This Row],[Fecha]],SummaryDaily[day],SummaryDaily[Tienda 81_net_sales],0)</f>
        <v>5701092.4500000002</v>
      </c>
      <c r="P236" s="12">
        <f>_xlfn.XLOOKUP(TableDailySummary[[#This Row],[Fecha]],SummaryDaily[day],SummaryDaily[Tienda 81_orders],0)</f>
        <v>42</v>
      </c>
      <c r="Q236" s="12">
        <f>_xlfn.XLOOKUP(TableDailySummary[[#This Row],[Fecha]],SummaryDaily[day],SummaryDaily[Tienda 81_average_order_value],0)</f>
        <v>137741.09599999999</v>
      </c>
      <c r="R236" s="12">
        <f>_xlfn.XLOOKUP(TableDailySummary[[#This Row],[Fecha]],SummaryDaily[day],SummaryDaily[Rappi_net_sales],0)</f>
        <v>0</v>
      </c>
      <c r="S236" s="12">
        <f>_xlfn.XLOOKUP(TableDailySummary[[#This Row],[Fecha]],SummaryDaily[day],SummaryDaily[Rappi_orders],0)</f>
        <v>0</v>
      </c>
      <c r="T236" s="12">
        <f>_xlfn.XLOOKUP(TableDailySummary[[#This Row],[Fecha]],SummaryDaily[day],SummaryDaily[Rappi_average_order_value],0)</f>
        <v>0</v>
      </c>
      <c r="U236" s="12">
        <f>_xlfn.XLOOKUP(TableDailySummary[[#This Row],[Fecha]],SummaryDaily[day],SummaryDaily[Corporativo no tienda_net_sales],0)</f>
        <v>0</v>
      </c>
      <c r="V236" s="12">
        <f>_xlfn.XLOOKUP(TableDailySummary[[#This Row],[Fecha]],SummaryDaily[day],SummaryDaily[Corporativo no tienda_orders],0)</f>
        <v>0</v>
      </c>
      <c r="W236" s="12">
        <f>_xlfn.XLOOKUP(TableDailySummary[[#This Row],[Fecha]],SummaryDaily[day],SummaryDaily[Corporativo no tienda_average_order_value],0)</f>
        <v>0</v>
      </c>
      <c r="X236" s="12">
        <f>_xlfn.XLOOKUP(TableDailySummary[[#This Row],[Fecha]],SummaryDaily[day],SummaryDaily[GoogleAdsOperation.Cost],0)</f>
        <v>38901.29</v>
      </c>
      <c r="Y236" s="12">
        <f>SUMIFS(SalesByUTMDaily[google],SalesByUTMDaily[day],TableDailySummary[[#This Row],[Fecha]])</f>
        <v>219000</v>
      </c>
      <c r="Z236" s="12">
        <f>_xlfn.XLOOKUP(TableDailySummary[[#This Row],[Fecha]],SummaryDaily[day],SummaryDaily[MetaAdsOperation.spend],0)</f>
        <v>49598</v>
      </c>
      <c r="AA236" s="12">
        <f>SUMIFS(SalesByUTMDaily[facebook],SalesByUTMDaily[day],TableDailySummary[[#This Row],[Fecha]])</f>
        <v>0</v>
      </c>
      <c r="AB236" s="12">
        <f>TableDailySummary[[#This Row],[Inversión google ads]]+TableDailySummary[[#This Row],[Inversión meta ads]]</f>
        <v>88499.290000000008</v>
      </c>
      <c r="AC236" s="12">
        <f>TableDailySummary[[#This Row],[Ventas google ads]]+TableDailySummary[[#This Row],[Ventas meta ads]]</f>
        <v>219000</v>
      </c>
      <c r="AD236" s="14">
        <f>IFERROR(TableDailySummary[[#This Row],[Ventas publicidad]]/TableDailySummary[[#This Row],[Inversión publicidad]],0)</f>
        <v>2.4745961238785079</v>
      </c>
      <c r="AE236" s="14">
        <f>IFERROR(TableDailySummary[[#This Row],[Ventas primer cliente]]/TableDailySummary[[#This Row],[Inversión publicidad]],0)</f>
        <v>45.568898575344498</v>
      </c>
      <c r="AF236" s="14"/>
      <c r="AG236" s="12"/>
      <c r="AM236" s="12">
        <f>_xlfn.XLOOKUP(TableDailySummary[[#This Row],[Fecha]],SummaryDaily[day],SummaryDaily[net_sales_with_cost_recorded],0)</f>
        <v>7636596.6399999997</v>
      </c>
      <c r="AN236" s="12">
        <f>_xlfn.XLOOKUP(TableDailySummary[[#This Row],[Fecha]],SummaryDaily[day],SummaryDaily[cost_of_goods_sold],0)</f>
        <v>2285564</v>
      </c>
      <c r="AO236" s="12">
        <f>_xlfn.XLOOKUP(TableDailySummary[[#This Row],[Fecha]],SummaryDaily[day],SummaryDaily[gross_profit],0)</f>
        <v>5351032.6399999997</v>
      </c>
      <c r="AP236" s="18">
        <f>IFERROR(TableDailySummary[[#This Row],[Utilidad bruta]]/TableDailySummary[[#This Row],[Ventas netas con costo registrado]],0)</f>
        <v>0.70070908445938296</v>
      </c>
    </row>
    <row r="237" spans="2:42" x14ac:dyDescent="0.2">
      <c r="B237" s="15" cm="1">
        <f t="array" ref="B237">MIN(SummaryDaily[day]) + (ROW(TableDailySummary[#This Row]) - ROW(TableDailySummary[[#Headers],[Dia]]) - 1)</f>
        <v>46008</v>
      </c>
      <c r="C237" s="6">
        <f>TableDailySummary[[#This Row],[Dia]]</f>
        <v>46008</v>
      </c>
      <c r="D237" s="12">
        <f>_xlfn.XLOOKUP(TableDailySummary[[#This Row],[Fecha]],SummaryDaily[day],SummaryDaily[net_sales],0)</f>
        <v>9710974.8200000003</v>
      </c>
      <c r="E237" s="12">
        <f>_xlfn.XLOOKUP(TableDailySummary[[#This Row],[Fecha]],SummaryDaily[day],SummaryDaily[orders],0)</f>
        <v>53</v>
      </c>
      <c r="F237" s="12">
        <f>_xlfn.XLOOKUP(TableDailySummary[[#This Row],[Fecha]],SummaryDaily[day],SummaryDaily[average_order_value],0)</f>
        <v>184430.94899999999</v>
      </c>
      <c r="G237" s="24">
        <f>_xlfn.XLOOKUP(TableDailySummary[[#This Row],[Fecha]],SummaryDaily[day],SummaryDaily[Total site_conversion_rate],0)</f>
        <v>8.9686098654708519E-3</v>
      </c>
      <c r="H237" s="12">
        <f>TableDailySummary[[#This Row],[Órden promedio totales]]*TableDailySummary[[#This Row],[CR totales]]</f>
        <v>1654.0892286995515</v>
      </c>
      <c r="I237" s="12">
        <f>_xlfn.XLOOKUP(TableDailySummary[[#This Row],[Fecha]],SummaryDaily[day],SummaryDaily[new_net_sales],0)</f>
        <v>4224042.03</v>
      </c>
      <c r="J237" s="12">
        <f>_xlfn.XLOOKUP(TableDailySummary[[#This Row],[Fecha]],SummaryDaily[day],SummaryDaily[new_orders],0)</f>
        <v>21</v>
      </c>
      <c r="K237" s="12">
        <f>_xlfn.XLOOKUP(TableDailySummary[[#This Row],[Fecha]],SummaryDaily[day],SummaryDaily[new_average_order_value],0)</f>
        <v>203885.954</v>
      </c>
      <c r="L237" s="12">
        <f>_xlfn.XLOOKUP(TableDailySummary[[#This Row],[Fecha]],SummaryDaily[day],SummaryDaily[Online Store_net_sales],0)</f>
        <v>4141302.53</v>
      </c>
      <c r="M237" s="12">
        <f>_xlfn.XLOOKUP(TableDailySummary[[#This Row],[Fecha]],SummaryDaily[day],SummaryDaily[Online Store_orders],0)</f>
        <v>23</v>
      </c>
      <c r="N237" s="12">
        <f>_xlfn.XLOOKUP(TableDailySummary[[#This Row],[Fecha]],SummaryDaily[day],SummaryDaily[Online Store_average_order_value],0)</f>
        <v>182102.66699999999</v>
      </c>
      <c r="O237" s="12">
        <f>_xlfn.XLOOKUP(TableDailySummary[[#This Row],[Fecha]],SummaryDaily[day],SummaryDaily[Tienda 81_net_sales],0)</f>
        <v>5599924.3700000001</v>
      </c>
      <c r="P237" s="12">
        <f>_xlfn.XLOOKUP(TableDailySummary[[#This Row],[Fecha]],SummaryDaily[day],SummaryDaily[Tienda 81_orders],0)</f>
        <v>30</v>
      </c>
      <c r="Q237" s="12">
        <f>_xlfn.XLOOKUP(TableDailySummary[[#This Row],[Fecha]],SummaryDaily[day],SummaryDaily[Tienda 81_average_order_value],0)</f>
        <v>186215.96599999999</v>
      </c>
      <c r="R237" s="12">
        <f>_xlfn.XLOOKUP(TableDailySummary[[#This Row],[Fecha]],SummaryDaily[day],SummaryDaily[Rappi_net_sales],0)</f>
        <v>0</v>
      </c>
      <c r="S237" s="12">
        <f>_xlfn.XLOOKUP(TableDailySummary[[#This Row],[Fecha]],SummaryDaily[day],SummaryDaily[Rappi_orders],0)</f>
        <v>0</v>
      </c>
      <c r="T237" s="12">
        <f>_xlfn.XLOOKUP(TableDailySummary[[#This Row],[Fecha]],SummaryDaily[day],SummaryDaily[Rappi_average_order_value],0)</f>
        <v>0</v>
      </c>
      <c r="U237" s="12">
        <f>_xlfn.XLOOKUP(TableDailySummary[[#This Row],[Fecha]],SummaryDaily[day],SummaryDaily[Corporativo no tienda_net_sales],0)</f>
        <v>0</v>
      </c>
      <c r="V237" s="12">
        <f>_xlfn.XLOOKUP(TableDailySummary[[#This Row],[Fecha]],SummaryDaily[day],SummaryDaily[Corporativo no tienda_orders],0)</f>
        <v>0</v>
      </c>
      <c r="W237" s="12">
        <f>_xlfn.XLOOKUP(TableDailySummary[[#This Row],[Fecha]],SummaryDaily[day],SummaryDaily[Corporativo no tienda_average_order_value],0)</f>
        <v>0</v>
      </c>
      <c r="X237" s="12">
        <f>_xlfn.XLOOKUP(TableDailySummary[[#This Row],[Fecha]],SummaryDaily[day],SummaryDaily[GoogleAdsOperation.Cost],0)</f>
        <v>61698.79</v>
      </c>
      <c r="Y237" s="12">
        <f>SUMIFS(SalesByUTMDaily[google],SalesByUTMDaily[day],TableDailySummary[[#This Row],[Fecha]])</f>
        <v>382000</v>
      </c>
      <c r="Z237" s="12">
        <f>_xlfn.XLOOKUP(TableDailySummary[[#This Row],[Fecha]],SummaryDaily[day],SummaryDaily[MetaAdsOperation.spend],0)</f>
        <v>50574</v>
      </c>
      <c r="AA237" s="12">
        <f>SUMIFS(SalesByUTMDaily[facebook],SalesByUTMDaily[day],TableDailySummary[[#This Row],[Fecha]])</f>
        <v>0</v>
      </c>
      <c r="AB237" s="12">
        <f>TableDailySummary[[#This Row],[Inversión google ads]]+TableDailySummary[[#This Row],[Inversión meta ads]]</f>
        <v>112272.79000000001</v>
      </c>
      <c r="AC237" s="12">
        <f>TableDailySummary[[#This Row],[Ventas google ads]]+TableDailySummary[[#This Row],[Ventas meta ads]]</f>
        <v>382000</v>
      </c>
      <c r="AD237" s="14">
        <f>IFERROR(TableDailySummary[[#This Row],[Ventas publicidad]]/TableDailySummary[[#This Row],[Inversión publicidad]],0)</f>
        <v>3.4024272488463141</v>
      </c>
      <c r="AE237" s="14">
        <f>IFERROR(TableDailySummary[[#This Row],[Ventas primer cliente]]/TableDailySummary[[#This Row],[Inversión publicidad]],0)</f>
        <v>37.623025400900787</v>
      </c>
      <c r="AF237" s="14"/>
      <c r="AG237" s="12"/>
      <c r="AM237" s="12">
        <f>_xlfn.XLOOKUP(TableDailySummary[[#This Row],[Fecha]],SummaryDaily[day],SummaryDaily[net_sales_with_cost_recorded],0)</f>
        <v>9208294.1300000008</v>
      </c>
      <c r="AN237" s="12">
        <f>_xlfn.XLOOKUP(TableDailySummary[[#This Row],[Fecha]],SummaryDaily[day],SummaryDaily[cost_of_goods_sold],0)</f>
        <v>2955718</v>
      </c>
      <c r="AO237" s="12">
        <f>_xlfn.XLOOKUP(TableDailySummary[[#This Row],[Fecha]],SummaryDaily[day],SummaryDaily[gross_profit],0)</f>
        <v>6252576.1299999999</v>
      </c>
      <c r="AP237" s="18">
        <f>IFERROR(TableDailySummary[[#This Row],[Utilidad bruta]]/TableDailySummary[[#This Row],[Ventas netas con costo registrado]],0)</f>
        <v>0.67901568322296835</v>
      </c>
    </row>
    <row r="238" spans="2:42" x14ac:dyDescent="0.2">
      <c r="B238" s="15" cm="1">
        <f t="array" ref="B238">MIN(SummaryDaily[day]) + (ROW(TableDailySummary[#This Row]) - ROW(TableDailySummary[[#Headers],[Dia]]) - 1)</f>
        <v>46009</v>
      </c>
      <c r="C238" s="6">
        <f>TableDailySummary[[#This Row],[Dia]]</f>
        <v>46009</v>
      </c>
      <c r="D238" s="12">
        <f>_xlfn.XLOOKUP(TableDailySummary[[#This Row],[Fecha]],SummaryDaily[day],SummaryDaily[net_sales],0)</f>
        <v>8072865.5599999996</v>
      </c>
      <c r="E238" s="12">
        <f>_xlfn.XLOOKUP(TableDailySummary[[#This Row],[Fecha]],SummaryDaily[day],SummaryDaily[orders],0)</f>
        <v>42</v>
      </c>
      <c r="F238" s="12">
        <f>_xlfn.XLOOKUP(TableDailySummary[[#This Row],[Fecha]],SummaryDaily[day],SummaryDaily[average_order_value],0)</f>
        <v>194872.149</v>
      </c>
      <c r="G238" s="24">
        <f>_xlfn.XLOOKUP(TableDailySummary[[#This Row],[Fecha]],SummaryDaily[day],SummaryDaily[Total site_conversion_rate],0)</f>
        <v>1.1976047904191617E-2</v>
      </c>
      <c r="H238" s="12">
        <f>TableDailySummary[[#This Row],[Órden promedio totales]]*TableDailySummary[[#This Row],[CR totales]]</f>
        <v>2333.7981916167669</v>
      </c>
      <c r="I238" s="12">
        <f>_xlfn.XLOOKUP(TableDailySummary[[#This Row],[Fecha]],SummaryDaily[day],SummaryDaily[new_net_sales],0)</f>
        <v>3456848.75</v>
      </c>
      <c r="J238" s="12">
        <f>_xlfn.XLOOKUP(TableDailySummary[[#This Row],[Fecha]],SummaryDaily[day],SummaryDaily[new_orders],0)</f>
        <v>17</v>
      </c>
      <c r="K238" s="12">
        <f>_xlfn.XLOOKUP(TableDailySummary[[#This Row],[Fecha]],SummaryDaily[day],SummaryDaily[new_average_order_value],0)</f>
        <v>205321.30499999999</v>
      </c>
      <c r="L238" s="12">
        <f>_xlfn.XLOOKUP(TableDailySummary[[#This Row],[Fecha]],SummaryDaily[day],SummaryDaily[Online Store_net_sales],0)</f>
        <v>2081512.61</v>
      </c>
      <c r="M238" s="12">
        <f>_xlfn.XLOOKUP(TableDailySummary[[#This Row],[Fecha]],SummaryDaily[day],SummaryDaily[Online Store_orders],0)</f>
        <v>7</v>
      </c>
      <c r="N238" s="12">
        <f>_xlfn.XLOOKUP(TableDailySummary[[#This Row],[Fecha]],SummaryDaily[day],SummaryDaily[Online Store_average_order_value],0)</f>
        <v>312124.84999999998</v>
      </c>
      <c r="O238" s="12">
        <f>_xlfn.XLOOKUP(TableDailySummary[[#This Row],[Fecha]],SummaryDaily[day],SummaryDaily[Tienda 81_net_sales],0)</f>
        <v>5991352.9500000002</v>
      </c>
      <c r="P238" s="12">
        <f>_xlfn.XLOOKUP(TableDailySummary[[#This Row],[Fecha]],SummaryDaily[day],SummaryDaily[Tienda 81_orders],0)</f>
        <v>35</v>
      </c>
      <c r="Q238" s="12">
        <f>_xlfn.XLOOKUP(TableDailySummary[[#This Row],[Fecha]],SummaryDaily[day],SummaryDaily[Tienda 81_average_order_value],0)</f>
        <v>171421.60800000001</v>
      </c>
      <c r="R238" s="12">
        <f>_xlfn.XLOOKUP(TableDailySummary[[#This Row],[Fecha]],SummaryDaily[day],SummaryDaily[Rappi_net_sales],0)</f>
        <v>0</v>
      </c>
      <c r="S238" s="12">
        <f>_xlfn.XLOOKUP(TableDailySummary[[#This Row],[Fecha]],SummaryDaily[day],SummaryDaily[Rappi_orders],0)</f>
        <v>0</v>
      </c>
      <c r="T238" s="12">
        <f>_xlfn.XLOOKUP(TableDailySummary[[#This Row],[Fecha]],SummaryDaily[day],SummaryDaily[Rappi_average_order_value],0)</f>
        <v>0</v>
      </c>
      <c r="U238" s="12">
        <f>_xlfn.XLOOKUP(TableDailySummary[[#This Row],[Fecha]],SummaryDaily[day],SummaryDaily[Corporativo no tienda_net_sales],0)</f>
        <v>0</v>
      </c>
      <c r="V238" s="12">
        <f>_xlfn.XLOOKUP(TableDailySummary[[#This Row],[Fecha]],SummaryDaily[day],SummaryDaily[Corporativo no tienda_orders],0)</f>
        <v>0</v>
      </c>
      <c r="W238" s="12">
        <f>_xlfn.XLOOKUP(TableDailySummary[[#This Row],[Fecha]],SummaryDaily[day],SummaryDaily[Corporativo no tienda_average_order_value],0)</f>
        <v>0</v>
      </c>
      <c r="X238" s="12">
        <f>_xlfn.XLOOKUP(TableDailySummary[[#This Row],[Fecha]],SummaryDaily[day],SummaryDaily[GoogleAdsOperation.Cost],0)</f>
        <v>38539.79</v>
      </c>
      <c r="Y238" s="12">
        <f>SUMIFS(SalesByUTMDaily[google],SalesByUTMDaily[day],TableDailySummary[[#This Row],[Fecha]])</f>
        <v>1527000</v>
      </c>
      <c r="Z238" s="12">
        <f>_xlfn.XLOOKUP(TableDailySummary[[#This Row],[Fecha]],SummaryDaily[day],SummaryDaily[MetaAdsOperation.spend],0)</f>
        <v>50838</v>
      </c>
      <c r="AA238" s="12">
        <f>SUMIFS(SalesByUTMDaily[facebook],SalesByUTMDaily[day],TableDailySummary[[#This Row],[Fecha]])</f>
        <v>0</v>
      </c>
      <c r="AB238" s="12">
        <f>TableDailySummary[[#This Row],[Inversión google ads]]+TableDailySummary[[#This Row],[Inversión meta ads]]</f>
        <v>89377.790000000008</v>
      </c>
      <c r="AC238" s="12">
        <f>TableDailySummary[[#This Row],[Ventas google ads]]+TableDailySummary[[#This Row],[Ventas meta ads]]</f>
        <v>1527000</v>
      </c>
      <c r="AD238" s="14">
        <f>IFERROR(TableDailySummary[[#This Row],[Ventas publicidad]]/TableDailySummary[[#This Row],[Inversión publicidad]],0)</f>
        <v>17.084781353398867</v>
      </c>
      <c r="AE238" s="14">
        <f>IFERROR(TableDailySummary[[#This Row],[Ventas primer cliente]]/TableDailySummary[[#This Row],[Inversión publicidad]],0)</f>
        <v>38.676820606103597</v>
      </c>
      <c r="AF238" s="14"/>
      <c r="AG238" s="12"/>
      <c r="AM238" s="12">
        <f>_xlfn.XLOOKUP(TableDailySummary[[#This Row],[Fecha]],SummaryDaily[day],SummaryDaily[net_sales_with_cost_recorded],0)</f>
        <v>7566983.2199999997</v>
      </c>
      <c r="AN238" s="12">
        <f>_xlfn.XLOOKUP(TableDailySummary[[#This Row],[Fecha]],SummaryDaily[day],SummaryDaily[cost_of_goods_sold],0)</f>
        <v>2167982</v>
      </c>
      <c r="AO238" s="12">
        <f>_xlfn.XLOOKUP(TableDailySummary[[#This Row],[Fecha]],SummaryDaily[day],SummaryDaily[gross_profit],0)</f>
        <v>5399001.2199999997</v>
      </c>
      <c r="AP238" s="18">
        <f>IFERROR(TableDailySummary[[#This Row],[Utilidad bruta]]/TableDailySummary[[#This Row],[Ventas netas con costo registrado]],0)</f>
        <v>0.71349454109137034</v>
      </c>
    </row>
    <row r="239" spans="2:42" x14ac:dyDescent="0.2">
      <c r="B239" s="15" cm="1">
        <f t="array" ref="B239">MIN(SummaryDaily[day]) + (ROW(TableDailySummary[#This Row]) - ROW(TableDailySummary[[#Headers],[Dia]]) - 1)</f>
        <v>46010</v>
      </c>
      <c r="C239" s="6">
        <f>TableDailySummary[[#This Row],[Dia]]</f>
        <v>46010</v>
      </c>
      <c r="D239" s="12">
        <f>_xlfn.XLOOKUP(TableDailySummary[[#This Row],[Fecha]],SummaryDaily[day],SummaryDaily[net_sales],0)</f>
        <v>4817352.93</v>
      </c>
      <c r="E239" s="12">
        <f>_xlfn.XLOOKUP(TableDailySummary[[#This Row],[Fecha]],SummaryDaily[day],SummaryDaily[orders],0)</f>
        <v>46</v>
      </c>
      <c r="F239" s="12">
        <f>_xlfn.XLOOKUP(TableDailySummary[[#This Row],[Fecha]],SummaryDaily[day],SummaryDaily[average_order_value],0)</f>
        <v>104725.06299999999</v>
      </c>
      <c r="G239" s="24">
        <f>_xlfn.XLOOKUP(TableDailySummary[[#This Row],[Fecha]],SummaryDaily[day],SummaryDaily[Total site_conversion_rate],0)</f>
        <v>5.1194539249146756E-3</v>
      </c>
      <c r="H239" s="12">
        <f>TableDailySummary[[#This Row],[Órden promedio totales]]*TableDailySummary[[#This Row],[CR totales]]</f>
        <v>536.13513481228665</v>
      </c>
      <c r="I239" s="12">
        <f>_xlfn.XLOOKUP(TableDailySummary[[#This Row],[Fecha]],SummaryDaily[day],SummaryDaily[new_net_sales],0)</f>
        <v>2262184.87</v>
      </c>
      <c r="J239" s="12">
        <f>_xlfn.XLOOKUP(TableDailySummary[[#This Row],[Fecha]],SummaryDaily[day],SummaryDaily[new_orders],0)</f>
        <v>18</v>
      </c>
      <c r="K239" s="12">
        <f>_xlfn.XLOOKUP(TableDailySummary[[#This Row],[Fecha]],SummaryDaily[day],SummaryDaily[new_average_order_value],0)</f>
        <v>125676.93700000001</v>
      </c>
      <c r="L239" s="12">
        <f>_xlfn.XLOOKUP(TableDailySummary[[#This Row],[Fecha]],SummaryDaily[day],SummaryDaily[Online Store_net_sales],0)</f>
        <v>546218.49</v>
      </c>
      <c r="M239" s="12">
        <f>_xlfn.XLOOKUP(TableDailySummary[[#This Row],[Fecha]],SummaryDaily[day],SummaryDaily[Online Store_orders],0)</f>
        <v>3</v>
      </c>
      <c r="N239" s="12">
        <f>_xlfn.XLOOKUP(TableDailySummary[[#This Row],[Fecha]],SummaryDaily[day],SummaryDaily[Online Store_average_order_value],0)</f>
        <v>182072.83</v>
      </c>
      <c r="O239" s="12">
        <f>_xlfn.XLOOKUP(TableDailySummary[[#This Row],[Fecha]],SummaryDaily[day],SummaryDaily[Tienda 81_net_sales],0)</f>
        <v>4271134.4400000004</v>
      </c>
      <c r="P239" s="12">
        <f>_xlfn.XLOOKUP(TableDailySummary[[#This Row],[Fecha]],SummaryDaily[day],SummaryDaily[Tienda 81_orders],0)</f>
        <v>43</v>
      </c>
      <c r="Q239" s="12">
        <f>_xlfn.XLOOKUP(TableDailySummary[[#This Row],[Fecha]],SummaryDaily[day],SummaryDaily[Tienda 81_average_order_value],0)</f>
        <v>99328.706999999995</v>
      </c>
      <c r="R239" s="12">
        <f>_xlfn.XLOOKUP(TableDailySummary[[#This Row],[Fecha]],SummaryDaily[day],SummaryDaily[Rappi_net_sales],0)</f>
        <v>0</v>
      </c>
      <c r="S239" s="12">
        <f>_xlfn.XLOOKUP(TableDailySummary[[#This Row],[Fecha]],SummaryDaily[day],SummaryDaily[Rappi_orders],0)</f>
        <v>0</v>
      </c>
      <c r="T239" s="12">
        <f>_xlfn.XLOOKUP(TableDailySummary[[#This Row],[Fecha]],SummaryDaily[day],SummaryDaily[Rappi_average_order_value],0)</f>
        <v>0</v>
      </c>
      <c r="U239" s="12">
        <f>_xlfn.XLOOKUP(TableDailySummary[[#This Row],[Fecha]],SummaryDaily[day],SummaryDaily[Corporativo no tienda_net_sales],0)</f>
        <v>0</v>
      </c>
      <c r="V239" s="12">
        <f>_xlfn.XLOOKUP(TableDailySummary[[#This Row],[Fecha]],SummaryDaily[day],SummaryDaily[Corporativo no tienda_orders],0)</f>
        <v>0</v>
      </c>
      <c r="W239" s="12">
        <f>_xlfn.XLOOKUP(TableDailySummary[[#This Row],[Fecha]],SummaryDaily[day],SummaryDaily[Corporativo no tienda_average_order_value],0)</f>
        <v>0</v>
      </c>
      <c r="X239" s="12">
        <f>_xlfn.XLOOKUP(TableDailySummary[[#This Row],[Fecha]],SummaryDaily[day],SummaryDaily[GoogleAdsOperation.Cost],0)</f>
        <v>70009.25</v>
      </c>
      <c r="Y239" s="12">
        <f>SUMIFS(SalesByUTMDaily[google],SalesByUTMDaily[day],TableDailySummary[[#This Row],[Fecha]])</f>
        <v>0</v>
      </c>
      <c r="Z239" s="12">
        <f>_xlfn.XLOOKUP(TableDailySummary[[#This Row],[Fecha]],SummaryDaily[day],SummaryDaily[MetaAdsOperation.spend],0)</f>
        <v>50382</v>
      </c>
      <c r="AA239" s="12">
        <f>SUMIFS(SalesByUTMDaily[facebook],SalesByUTMDaily[day],TableDailySummary[[#This Row],[Fecha]])</f>
        <v>140000</v>
      </c>
      <c r="AB239" s="12">
        <f>TableDailySummary[[#This Row],[Inversión google ads]]+TableDailySummary[[#This Row],[Inversión meta ads]]</f>
        <v>120391.25</v>
      </c>
      <c r="AC239" s="12">
        <f>TableDailySummary[[#This Row],[Ventas google ads]]+TableDailySummary[[#This Row],[Ventas meta ads]]</f>
        <v>140000</v>
      </c>
      <c r="AD239" s="14">
        <f>IFERROR(TableDailySummary[[#This Row],[Ventas publicidad]]/TableDailySummary[[#This Row],[Inversión publicidad]],0)</f>
        <v>1.1628752089541392</v>
      </c>
      <c r="AE239" s="14">
        <f>IFERROR(TableDailySummary[[#This Row],[Ventas primer cliente]]/TableDailySummary[[#This Row],[Inversión publicidad]],0)</f>
        <v>18.790276452815302</v>
      </c>
      <c r="AF239" s="14"/>
      <c r="AG239" s="12"/>
      <c r="AM239" s="12">
        <f>_xlfn.XLOOKUP(TableDailySummary[[#This Row],[Fecha]],SummaryDaily[day],SummaryDaily[net_sales_with_cost_recorded],0)</f>
        <v>4462731.0999999996</v>
      </c>
      <c r="AN239" s="12">
        <f>_xlfn.XLOOKUP(TableDailySummary[[#This Row],[Fecha]],SummaryDaily[day],SummaryDaily[cost_of_goods_sold],0)</f>
        <v>1279913</v>
      </c>
      <c r="AO239" s="12">
        <f>_xlfn.XLOOKUP(TableDailySummary[[#This Row],[Fecha]],SummaryDaily[day],SummaryDaily[gross_profit],0)</f>
        <v>3182818.1</v>
      </c>
      <c r="AP239" s="18">
        <f>IFERROR(TableDailySummary[[#This Row],[Utilidad bruta]]/TableDailySummary[[#This Row],[Ventas netas con costo registrado]],0)</f>
        <v>0.71319961446926528</v>
      </c>
    </row>
    <row r="240" spans="2:42" x14ac:dyDescent="0.2">
      <c r="B240" s="15" cm="1">
        <f t="array" ref="B240">MIN(SummaryDaily[day]) + (ROW(TableDailySummary[#This Row]) - ROW(TableDailySummary[[#Headers],[Dia]]) - 1)</f>
        <v>46011</v>
      </c>
      <c r="C240" s="6">
        <f>TableDailySummary[[#This Row],[Dia]]</f>
        <v>46011</v>
      </c>
      <c r="D240" s="12">
        <f>_xlfn.XLOOKUP(TableDailySummary[[#This Row],[Fecha]],SummaryDaily[day],SummaryDaily[net_sales],0)</f>
        <v>7496806.7300000004</v>
      </c>
      <c r="E240" s="12">
        <f>_xlfn.XLOOKUP(TableDailySummary[[#This Row],[Fecha]],SummaryDaily[day],SummaryDaily[orders],0)</f>
        <v>45</v>
      </c>
      <c r="F240" s="12">
        <f>_xlfn.XLOOKUP(TableDailySummary[[#This Row],[Fecha]],SummaryDaily[day],SummaryDaily[average_order_value],0)</f>
        <v>166595.70499999999</v>
      </c>
      <c r="G240" s="24">
        <f>_xlfn.XLOOKUP(TableDailySummary[[#This Row],[Fecha]],SummaryDaily[day],SummaryDaily[Total site_conversion_rate],0)</f>
        <v>4.434589800443459E-3</v>
      </c>
      <c r="H240" s="12">
        <f>TableDailySummary[[#This Row],[Órden promedio totales]]*TableDailySummary[[#This Row],[CR totales]]</f>
        <v>738.78361419068733</v>
      </c>
      <c r="I240" s="12">
        <f>_xlfn.XLOOKUP(TableDailySummary[[#This Row],[Fecha]],SummaryDaily[day],SummaryDaily[new_net_sales],0)</f>
        <v>1992983.19</v>
      </c>
      <c r="J240" s="12">
        <f>_xlfn.XLOOKUP(TableDailySummary[[#This Row],[Fecha]],SummaryDaily[day],SummaryDaily[new_orders],0)</f>
        <v>13</v>
      </c>
      <c r="K240" s="12">
        <f>_xlfn.XLOOKUP(TableDailySummary[[#This Row],[Fecha]],SummaryDaily[day],SummaryDaily[new_average_order_value],0)</f>
        <v>153306.399</v>
      </c>
      <c r="L240" s="12">
        <f>_xlfn.XLOOKUP(TableDailySummary[[#This Row],[Fecha]],SummaryDaily[day],SummaryDaily[Online Store_net_sales],0)</f>
        <v>382352.94</v>
      </c>
      <c r="M240" s="12">
        <f>_xlfn.XLOOKUP(TableDailySummary[[#This Row],[Fecha]],SummaryDaily[day],SummaryDaily[Online Store_orders],0)</f>
        <v>3</v>
      </c>
      <c r="N240" s="12">
        <f>_xlfn.XLOOKUP(TableDailySummary[[#This Row],[Fecha]],SummaryDaily[day],SummaryDaily[Online Store_average_order_value],0)</f>
        <v>127450.98</v>
      </c>
      <c r="O240" s="12">
        <f>_xlfn.XLOOKUP(TableDailySummary[[#This Row],[Fecha]],SummaryDaily[day],SummaryDaily[Tienda 81_net_sales],0)</f>
        <v>7114453.79</v>
      </c>
      <c r="P240" s="12">
        <f>_xlfn.XLOOKUP(TableDailySummary[[#This Row],[Fecha]],SummaryDaily[day],SummaryDaily[Tienda 81_orders],0)</f>
        <v>42</v>
      </c>
      <c r="Q240" s="12">
        <f>_xlfn.XLOOKUP(TableDailySummary[[#This Row],[Fecha]],SummaryDaily[day],SummaryDaily[Tienda 81_average_order_value],0)</f>
        <v>169391.75599999999</v>
      </c>
      <c r="R240" s="12">
        <f>_xlfn.XLOOKUP(TableDailySummary[[#This Row],[Fecha]],SummaryDaily[day],SummaryDaily[Rappi_net_sales],0)</f>
        <v>0</v>
      </c>
      <c r="S240" s="12">
        <f>_xlfn.XLOOKUP(TableDailySummary[[#This Row],[Fecha]],SummaryDaily[day],SummaryDaily[Rappi_orders],0)</f>
        <v>0</v>
      </c>
      <c r="T240" s="12">
        <f>_xlfn.XLOOKUP(TableDailySummary[[#This Row],[Fecha]],SummaryDaily[day],SummaryDaily[Rappi_average_order_value],0)</f>
        <v>0</v>
      </c>
      <c r="U240" s="12">
        <f>_xlfn.XLOOKUP(TableDailySummary[[#This Row],[Fecha]],SummaryDaily[day],SummaryDaily[Corporativo no tienda_net_sales],0)</f>
        <v>0</v>
      </c>
      <c r="V240" s="12">
        <f>_xlfn.XLOOKUP(TableDailySummary[[#This Row],[Fecha]],SummaryDaily[day],SummaryDaily[Corporativo no tienda_orders],0)</f>
        <v>0</v>
      </c>
      <c r="W240" s="12">
        <f>_xlfn.XLOOKUP(TableDailySummary[[#This Row],[Fecha]],SummaryDaily[day],SummaryDaily[Corporativo no tienda_average_order_value],0)</f>
        <v>0</v>
      </c>
      <c r="X240" s="12">
        <f>_xlfn.XLOOKUP(TableDailySummary[[#This Row],[Fecha]],SummaryDaily[day],SummaryDaily[GoogleAdsOperation.Cost],0)</f>
        <v>49194.45</v>
      </c>
      <c r="Y240" s="12">
        <f>SUMIFS(SalesByUTMDaily[google],SalesByUTMDaily[day],TableDailySummary[[#This Row],[Fecha]])</f>
        <v>0</v>
      </c>
      <c r="Z240" s="12">
        <f>_xlfn.XLOOKUP(TableDailySummary[[#This Row],[Fecha]],SummaryDaily[day],SummaryDaily[MetaAdsOperation.spend],0)</f>
        <v>50066</v>
      </c>
      <c r="AA240" s="12">
        <f>SUMIFS(SalesByUTMDaily[facebook],SalesByUTMDaily[day],TableDailySummary[[#This Row],[Fecha]])</f>
        <v>0</v>
      </c>
      <c r="AB240" s="12">
        <f>TableDailySummary[[#This Row],[Inversión google ads]]+TableDailySummary[[#This Row],[Inversión meta ads]]</f>
        <v>99260.45</v>
      </c>
      <c r="AC240" s="12">
        <f>TableDailySummary[[#This Row],[Ventas google ads]]+TableDailySummary[[#This Row],[Ventas meta ads]]</f>
        <v>0</v>
      </c>
      <c r="AD240" s="14">
        <f>IFERROR(TableDailySummary[[#This Row],[Ventas publicidad]]/TableDailySummary[[#This Row],[Inversión publicidad]],0)</f>
        <v>0</v>
      </c>
      <c r="AE240" s="14">
        <f>IFERROR(TableDailySummary[[#This Row],[Ventas primer cliente]]/TableDailySummary[[#This Row],[Inversión publicidad]],0)</f>
        <v>20.078321123871593</v>
      </c>
      <c r="AF240" s="14"/>
      <c r="AG240" s="12"/>
      <c r="AM240" s="12">
        <f>_xlfn.XLOOKUP(TableDailySummary[[#This Row],[Fecha]],SummaryDaily[day],SummaryDaily[net_sales_with_cost_recorded],0)</f>
        <v>6851848.7599999998</v>
      </c>
      <c r="AN240" s="12">
        <f>_xlfn.XLOOKUP(TableDailySummary[[#This Row],[Fecha]],SummaryDaily[day],SummaryDaily[cost_of_goods_sold],0)</f>
        <v>2145496</v>
      </c>
      <c r="AO240" s="12">
        <f>_xlfn.XLOOKUP(TableDailySummary[[#This Row],[Fecha]],SummaryDaily[day],SummaryDaily[gross_profit],0)</f>
        <v>4706352.76</v>
      </c>
      <c r="AP240" s="18">
        <f>IFERROR(TableDailySummary[[#This Row],[Utilidad bruta]]/TableDailySummary[[#This Row],[Ventas netas con costo registrado]],0)</f>
        <v>0.68687341546050118</v>
      </c>
    </row>
    <row r="241" spans="2:42" x14ac:dyDescent="0.2">
      <c r="B241" s="15" cm="1">
        <f t="array" ref="B241">MIN(SummaryDaily[day]) + (ROW(TableDailySummary[#This Row]) - ROW(TableDailySummary[[#Headers],[Dia]]) - 1)</f>
        <v>46012</v>
      </c>
      <c r="C241" s="6">
        <f>TableDailySummary[[#This Row],[Dia]]</f>
        <v>46012</v>
      </c>
      <c r="D241" s="12">
        <f>_xlfn.XLOOKUP(TableDailySummary[[#This Row],[Fecha]],SummaryDaily[day],SummaryDaily[net_sales],0)</f>
        <v>7030243.7199999997</v>
      </c>
      <c r="E241" s="12">
        <f>_xlfn.XLOOKUP(TableDailySummary[[#This Row],[Fecha]],SummaryDaily[day],SummaryDaily[orders],0)</f>
        <v>40</v>
      </c>
      <c r="F241" s="12">
        <f>_xlfn.XLOOKUP(TableDailySummary[[#This Row],[Fecha]],SummaryDaily[day],SummaryDaily[average_order_value],0)</f>
        <v>184746.008</v>
      </c>
      <c r="G241" s="24">
        <f>_xlfn.XLOOKUP(TableDailySummary[[#This Row],[Fecha]],SummaryDaily[day],SummaryDaily[Total site_conversion_rate],0)</f>
        <v>6.0483870967741934E-3</v>
      </c>
      <c r="H241" s="12">
        <f>TableDailySummary[[#This Row],[Órden promedio totales]]*TableDailySummary[[#This Row],[CR totales]]</f>
        <v>1117.4153709677419</v>
      </c>
      <c r="I241" s="12">
        <f>_xlfn.XLOOKUP(TableDailySummary[[#This Row],[Fecha]],SummaryDaily[day],SummaryDaily[new_net_sales],0)</f>
        <v>4794378.16</v>
      </c>
      <c r="J241" s="12">
        <f>_xlfn.XLOOKUP(TableDailySummary[[#This Row],[Fecha]],SummaryDaily[day],SummaryDaily[new_orders],0)</f>
        <v>25</v>
      </c>
      <c r="K241" s="12">
        <f>_xlfn.XLOOKUP(TableDailySummary[[#This Row],[Fecha]],SummaryDaily[day],SummaryDaily[new_average_order_value],0)</f>
        <v>191775.12599999999</v>
      </c>
      <c r="L241" s="12">
        <f>_xlfn.XLOOKUP(TableDailySummary[[#This Row],[Fecha]],SummaryDaily[day],SummaryDaily[Online Store_net_sales],0)</f>
        <v>630252.11</v>
      </c>
      <c r="M241" s="12">
        <f>_xlfn.XLOOKUP(TableDailySummary[[#This Row],[Fecha]],SummaryDaily[day],SummaryDaily[Online Store_orders],0)</f>
        <v>3</v>
      </c>
      <c r="N241" s="12">
        <f>_xlfn.XLOOKUP(TableDailySummary[[#This Row],[Fecha]],SummaryDaily[day],SummaryDaily[Online Store_average_order_value],0)</f>
        <v>210084.03599999999</v>
      </c>
      <c r="O241" s="12">
        <f>_xlfn.XLOOKUP(TableDailySummary[[#This Row],[Fecha]],SummaryDaily[day],SummaryDaily[Tienda 81_net_sales],0)</f>
        <v>6399991.6100000003</v>
      </c>
      <c r="P241" s="12">
        <f>_xlfn.XLOOKUP(TableDailySummary[[#This Row],[Fecha]],SummaryDaily[day],SummaryDaily[Tienda 81_orders],0)</f>
        <v>37</v>
      </c>
      <c r="Q241" s="12">
        <f>_xlfn.XLOOKUP(TableDailySummary[[#This Row],[Fecha]],SummaryDaily[day],SummaryDaily[Tienda 81_average_order_value],0)</f>
        <v>182691.57399999999</v>
      </c>
      <c r="R241" s="12">
        <f>_xlfn.XLOOKUP(TableDailySummary[[#This Row],[Fecha]],SummaryDaily[day],SummaryDaily[Rappi_net_sales],0)</f>
        <v>0</v>
      </c>
      <c r="S241" s="12">
        <f>_xlfn.XLOOKUP(TableDailySummary[[#This Row],[Fecha]],SummaryDaily[day],SummaryDaily[Rappi_orders],0)</f>
        <v>0</v>
      </c>
      <c r="T241" s="12">
        <f>_xlfn.XLOOKUP(TableDailySummary[[#This Row],[Fecha]],SummaryDaily[day],SummaryDaily[Rappi_average_order_value],0)</f>
        <v>0</v>
      </c>
      <c r="U241" s="12">
        <f>_xlfn.XLOOKUP(TableDailySummary[[#This Row],[Fecha]],SummaryDaily[day],SummaryDaily[Corporativo no tienda_net_sales],0)</f>
        <v>0</v>
      </c>
      <c r="V241" s="12">
        <f>_xlfn.XLOOKUP(TableDailySummary[[#This Row],[Fecha]],SummaryDaily[day],SummaryDaily[Corporativo no tienda_orders],0)</f>
        <v>0</v>
      </c>
      <c r="W241" s="12">
        <f>_xlfn.XLOOKUP(TableDailySummary[[#This Row],[Fecha]],SummaryDaily[day],SummaryDaily[Corporativo no tienda_average_order_value],0)</f>
        <v>0</v>
      </c>
      <c r="X241" s="12">
        <f>_xlfn.XLOOKUP(TableDailySummary[[#This Row],[Fecha]],SummaryDaily[day],SummaryDaily[GoogleAdsOperation.Cost],0)</f>
        <v>44829.440000000002</v>
      </c>
      <c r="Y241" s="12">
        <f>SUMIFS(SalesByUTMDaily[google],SalesByUTMDaily[day],TableDailySummary[[#This Row],[Fecha]])</f>
        <v>0</v>
      </c>
      <c r="Z241" s="12">
        <f>_xlfn.XLOOKUP(TableDailySummary[[#This Row],[Fecha]],SummaryDaily[day],SummaryDaily[MetaAdsOperation.spend],0)</f>
        <v>52847</v>
      </c>
      <c r="AA241" s="12">
        <f>SUMIFS(SalesByUTMDaily[facebook],SalesByUTMDaily[day],TableDailySummary[[#This Row],[Fecha]])</f>
        <v>0</v>
      </c>
      <c r="AB241" s="12">
        <f>TableDailySummary[[#This Row],[Inversión google ads]]+TableDailySummary[[#This Row],[Inversión meta ads]]</f>
        <v>97676.44</v>
      </c>
      <c r="AC241" s="12">
        <f>TableDailySummary[[#This Row],[Ventas google ads]]+TableDailySummary[[#This Row],[Ventas meta ads]]</f>
        <v>0</v>
      </c>
      <c r="AD241" s="14">
        <f>IFERROR(TableDailySummary[[#This Row],[Ventas publicidad]]/TableDailySummary[[#This Row],[Inversión publicidad]],0)</f>
        <v>0</v>
      </c>
      <c r="AE241" s="14">
        <f>IFERROR(TableDailySummary[[#This Row],[Ventas primer cliente]]/TableDailySummary[[#This Row],[Inversión publicidad]],0)</f>
        <v>49.084284398571448</v>
      </c>
      <c r="AF241" s="14"/>
      <c r="AG241" s="12"/>
      <c r="AM241" s="12">
        <f>_xlfn.XLOOKUP(TableDailySummary[[#This Row],[Fecha]],SummaryDaily[day],SummaryDaily[net_sales_with_cost_recorded],0)</f>
        <v>6600285.75</v>
      </c>
      <c r="AN241" s="12">
        <f>_xlfn.XLOOKUP(TableDailySummary[[#This Row],[Fecha]],SummaryDaily[day],SummaryDaily[cost_of_goods_sold],0)</f>
        <v>2143306</v>
      </c>
      <c r="AO241" s="12">
        <f>_xlfn.XLOOKUP(TableDailySummary[[#This Row],[Fecha]],SummaryDaily[day],SummaryDaily[gross_profit],0)</f>
        <v>4456979.75</v>
      </c>
      <c r="AP241" s="18">
        <f>IFERROR(TableDailySummary[[#This Row],[Utilidad bruta]]/TableDailySummary[[#This Row],[Ventas netas con costo registrado]],0)</f>
        <v>0.67527072596819004</v>
      </c>
    </row>
    <row r="242" spans="2:42" x14ac:dyDescent="0.2">
      <c r="B242" s="15" cm="1">
        <f t="array" ref="B242">MIN(SummaryDaily[day]) + (ROW(TableDailySummary[#This Row]) - ROW(TableDailySummary[[#Headers],[Dia]]) - 1)</f>
        <v>46013</v>
      </c>
      <c r="C242" s="6">
        <f>TableDailySummary[[#This Row],[Dia]]</f>
        <v>46013</v>
      </c>
      <c r="D242" s="12">
        <f>_xlfn.XLOOKUP(TableDailySummary[[#This Row],[Fecha]],SummaryDaily[day],SummaryDaily[net_sales],0)</f>
        <v>13102142.789999999</v>
      </c>
      <c r="E242" s="12">
        <f>_xlfn.XLOOKUP(TableDailySummary[[#This Row],[Fecha]],SummaryDaily[day],SummaryDaily[orders],0)</f>
        <v>55</v>
      </c>
      <c r="F242" s="12">
        <f>_xlfn.XLOOKUP(TableDailySummary[[#This Row],[Fecha]],SummaryDaily[day],SummaryDaily[average_order_value],0)</f>
        <v>241772.95499999999</v>
      </c>
      <c r="G242" s="24">
        <f>_xlfn.XLOOKUP(TableDailySummary[[#This Row],[Fecha]],SummaryDaily[day],SummaryDaily[Total site_conversion_rate],0)</f>
        <v>8.389261744966443E-3</v>
      </c>
      <c r="H242" s="12">
        <f>TableDailySummary[[#This Row],[Órden promedio totales]]*TableDailySummary[[#This Row],[CR totales]]</f>
        <v>2028.2966023489932</v>
      </c>
      <c r="I242" s="12">
        <f>_xlfn.XLOOKUP(TableDailySummary[[#This Row],[Fecha]],SummaryDaily[day],SummaryDaily[new_net_sales],0)</f>
        <v>2544126.02</v>
      </c>
      <c r="J242" s="12">
        <f>_xlfn.XLOOKUP(TableDailySummary[[#This Row],[Fecha]],SummaryDaily[day],SummaryDaily[new_orders],0)</f>
        <v>21</v>
      </c>
      <c r="K242" s="12">
        <f>_xlfn.XLOOKUP(TableDailySummary[[#This Row],[Fecha]],SummaryDaily[day],SummaryDaily[new_average_order_value],0)</f>
        <v>130452.18</v>
      </c>
      <c r="L242" s="12">
        <f>_xlfn.XLOOKUP(TableDailySummary[[#This Row],[Fecha]],SummaryDaily[day],SummaryDaily[Online Store_net_sales],0)</f>
        <v>399159.67</v>
      </c>
      <c r="M242" s="12">
        <f>_xlfn.XLOOKUP(TableDailySummary[[#This Row],[Fecha]],SummaryDaily[day],SummaryDaily[Online Store_orders],0)</f>
        <v>4</v>
      </c>
      <c r="N242" s="12">
        <f>_xlfn.XLOOKUP(TableDailySummary[[#This Row],[Fecha]],SummaryDaily[day],SummaryDaily[Online Store_average_order_value],0)</f>
        <v>99789.917000000001</v>
      </c>
      <c r="O242" s="12">
        <f>_xlfn.XLOOKUP(TableDailySummary[[#This Row],[Fecha]],SummaryDaily[day],SummaryDaily[Tienda 81_net_sales],0)</f>
        <v>6431966.3200000003</v>
      </c>
      <c r="P242" s="12">
        <f>_xlfn.XLOOKUP(TableDailySummary[[#This Row],[Fecha]],SummaryDaily[day],SummaryDaily[Tienda 81_orders],0)</f>
        <v>50</v>
      </c>
      <c r="Q242" s="12">
        <f>_xlfn.XLOOKUP(TableDailySummary[[#This Row],[Fecha]],SummaryDaily[day],SummaryDaily[Tienda 81_average_order_value],0)</f>
        <v>130235.965</v>
      </c>
      <c r="R242" s="12">
        <f>_xlfn.XLOOKUP(TableDailySummary[[#This Row],[Fecha]],SummaryDaily[day],SummaryDaily[Rappi_net_sales],0)</f>
        <v>0</v>
      </c>
      <c r="S242" s="12">
        <f>_xlfn.XLOOKUP(TableDailySummary[[#This Row],[Fecha]],SummaryDaily[day],SummaryDaily[Rappi_orders],0)</f>
        <v>0</v>
      </c>
      <c r="T242" s="12">
        <f>_xlfn.XLOOKUP(TableDailySummary[[#This Row],[Fecha]],SummaryDaily[day],SummaryDaily[Rappi_average_order_value],0)</f>
        <v>0</v>
      </c>
      <c r="U242" s="12">
        <f>_xlfn.XLOOKUP(TableDailySummary[[#This Row],[Fecha]],SummaryDaily[day],SummaryDaily[Corporativo no tienda_net_sales],0)</f>
        <v>6271016.7999999998</v>
      </c>
      <c r="V242" s="12">
        <f>_xlfn.XLOOKUP(TableDailySummary[[#This Row],[Fecha]],SummaryDaily[day],SummaryDaily[Corporativo no tienda_orders],0)</f>
        <v>1</v>
      </c>
      <c r="W242" s="12">
        <f>_xlfn.XLOOKUP(TableDailySummary[[#This Row],[Fecha]],SummaryDaily[day],SummaryDaily[Corporativo no tienda_average_order_value],0)</f>
        <v>6386554.6200000001</v>
      </c>
      <c r="X242" s="12">
        <f>_xlfn.XLOOKUP(TableDailySummary[[#This Row],[Fecha]],SummaryDaily[day],SummaryDaily[GoogleAdsOperation.Cost],0)</f>
        <v>57737.7</v>
      </c>
      <c r="Y242" s="12">
        <f>SUMIFS(SalesByUTMDaily[google],SalesByUTMDaily[day],TableDailySummary[[#This Row],[Fecha]])</f>
        <v>0</v>
      </c>
      <c r="Z242" s="12">
        <f>_xlfn.XLOOKUP(TableDailySummary[[#This Row],[Fecha]],SummaryDaily[day],SummaryDaily[MetaAdsOperation.spend],0)</f>
        <v>53923</v>
      </c>
      <c r="AA242" s="12">
        <f>SUMIFS(SalesByUTMDaily[facebook],SalesByUTMDaily[day],TableDailySummary[[#This Row],[Fecha]])</f>
        <v>0</v>
      </c>
      <c r="AB242" s="12">
        <f>TableDailySummary[[#This Row],[Inversión google ads]]+TableDailySummary[[#This Row],[Inversión meta ads]]</f>
        <v>111660.7</v>
      </c>
      <c r="AC242" s="12">
        <f>TableDailySummary[[#This Row],[Ventas google ads]]+TableDailySummary[[#This Row],[Ventas meta ads]]</f>
        <v>0</v>
      </c>
      <c r="AD242" s="14">
        <f>IFERROR(TableDailySummary[[#This Row],[Ventas publicidad]]/TableDailySummary[[#This Row],[Inversión publicidad]],0)</f>
        <v>0</v>
      </c>
      <c r="AE242" s="14">
        <f>IFERROR(TableDailySummary[[#This Row],[Ventas primer cliente]]/TableDailySummary[[#This Row],[Inversión publicidad]],0)</f>
        <v>22.784435526555001</v>
      </c>
      <c r="AF242" s="14"/>
      <c r="AG242" s="12"/>
      <c r="AM242" s="12">
        <f>_xlfn.XLOOKUP(TableDailySummary[[#This Row],[Fecha]],SummaryDaily[day],SummaryDaily[net_sales_with_cost_recorded],0)</f>
        <v>12841638.609999999</v>
      </c>
      <c r="AN242" s="12">
        <f>_xlfn.XLOOKUP(TableDailySummary[[#This Row],[Fecha]],SummaryDaily[day],SummaryDaily[cost_of_goods_sold],0)</f>
        <v>3822906</v>
      </c>
      <c r="AO242" s="12">
        <f>_xlfn.XLOOKUP(TableDailySummary[[#This Row],[Fecha]],SummaryDaily[day],SummaryDaily[gross_profit],0)</f>
        <v>9018732.6099999994</v>
      </c>
      <c r="AP242" s="18">
        <f>IFERROR(TableDailySummary[[#This Row],[Utilidad bruta]]/TableDailySummary[[#This Row],[Ventas netas con costo registrado]],0)</f>
        <v>0.70230387911531489</v>
      </c>
    </row>
    <row r="243" spans="2:42" x14ac:dyDescent="0.2">
      <c r="B243" s="15" cm="1">
        <f t="array" ref="B243">MIN(SummaryDaily[day]) + (ROW(TableDailySummary[#This Row]) - ROW(TableDailySummary[[#Headers],[Dia]]) - 1)</f>
        <v>46014</v>
      </c>
      <c r="C243" s="6">
        <f>TableDailySummary[[#This Row],[Dia]]</f>
        <v>46014</v>
      </c>
      <c r="D243" s="12">
        <f>_xlfn.XLOOKUP(TableDailySummary[[#This Row],[Fecha]],SummaryDaily[day],SummaryDaily[net_sales],0)</f>
        <v>8986436.9299999997</v>
      </c>
      <c r="E243" s="12">
        <f>_xlfn.XLOOKUP(TableDailySummary[[#This Row],[Fecha]],SummaryDaily[day],SummaryDaily[orders],0)</f>
        <v>68</v>
      </c>
      <c r="F243" s="12">
        <f>_xlfn.XLOOKUP(TableDailySummary[[#This Row],[Fecha]],SummaryDaily[day],SummaryDaily[average_order_value],0)</f>
        <v>132153.484</v>
      </c>
      <c r="G243" s="24">
        <f>_xlfn.XLOOKUP(TableDailySummary[[#This Row],[Fecha]],SummaryDaily[day],SummaryDaily[Total site_conversion_rate],0)</f>
        <v>1.015228426395939E-2</v>
      </c>
      <c r="H243" s="12">
        <f>TableDailySummary[[#This Row],[Órden promedio totales]]*TableDailySummary[[#This Row],[CR totales]]</f>
        <v>1341.659736040609</v>
      </c>
      <c r="I243" s="12">
        <f>_xlfn.XLOOKUP(TableDailySummary[[#This Row],[Fecha]],SummaryDaily[day],SummaryDaily[new_net_sales],0)</f>
        <v>5843327.7000000002</v>
      </c>
      <c r="J243" s="12">
        <f>_xlfn.XLOOKUP(TableDailySummary[[#This Row],[Fecha]],SummaryDaily[day],SummaryDaily[new_orders],0)</f>
        <v>41</v>
      </c>
      <c r="K243" s="12">
        <f>_xlfn.XLOOKUP(TableDailySummary[[#This Row],[Fecha]],SummaryDaily[day],SummaryDaily[new_average_order_value],0)</f>
        <v>142520.18700000001</v>
      </c>
      <c r="L243" s="12">
        <f>_xlfn.XLOOKUP(TableDailySummary[[#This Row],[Fecha]],SummaryDaily[day],SummaryDaily[Online Store_net_sales],0)</f>
        <v>743697.48</v>
      </c>
      <c r="M243" s="12">
        <f>_xlfn.XLOOKUP(TableDailySummary[[#This Row],[Fecha]],SummaryDaily[day],SummaryDaily[Online Store_orders],0)</f>
        <v>4</v>
      </c>
      <c r="N243" s="12">
        <f>_xlfn.XLOOKUP(TableDailySummary[[#This Row],[Fecha]],SummaryDaily[day],SummaryDaily[Online Store_average_order_value],0)</f>
        <v>185924.37</v>
      </c>
      <c r="O243" s="12">
        <f>_xlfn.XLOOKUP(TableDailySummary[[#This Row],[Fecha]],SummaryDaily[day],SummaryDaily[Tienda 81_net_sales],0)</f>
        <v>8242739.4500000002</v>
      </c>
      <c r="P243" s="12">
        <f>_xlfn.XLOOKUP(TableDailySummary[[#This Row],[Fecha]],SummaryDaily[day],SummaryDaily[Tienda 81_orders],0)</f>
        <v>64</v>
      </c>
      <c r="Q243" s="12">
        <f>_xlfn.XLOOKUP(TableDailySummary[[#This Row],[Fecha]],SummaryDaily[day],SummaryDaily[Tienda 81_average_order_value],0)</f>
        <v>128792.803</v>
      </c>
      <c r="R243" s="12">
        <f>_xlfn.XLOOKUP(TableDailySummary[[#This Row],[Fecha]],SummaryDaily[day],SummaryDaily[Rappi_net_sales],0)</f>
        <v>0</v>
      </c>
      <c r="S243" s="12">
        <f>_xlfn.XLOOKUP(TableDailySummary[[#This Row],[Fecha]],SummaryDaily[day],SummaryDaily[Rappi_orders],0)</f>
        <v>0</v>
      </c>
      <c r="T243" s="12">
        <f>_xlfn.XLOOKUP(TableDailySummary[[#This Row],[Fecha]],SummaryDaily[day],SummaryDaily[Rappi_average_order_value],0)</f>
        <v>0</v>
      </c>
      <c r="U243" s="12">
        <f>_xlfn.XLOOKUP(TableDailySummary[[#This Row],[Fecha]],SummaryDaily[day],SummaryDaily[Corporativo no tienda_net_sales],0)</f>
        <v>0</v>
      </c>
      <c r="V243" s="12">
        <f>_xlfn.XLOOKUP(TableDailySummary[[#This Row],[Fecha]],SummaryDaily[day],SummaryDaily[Corporativo no tienda_orders],0)</f>
        <v>0</v>
      </c>
      <c r="W243" s="12">
        <f>_xlfn.XLOOKUP(TableDailySummary[[#This Row],[Fecha]],SummaryDaily[day],SummaryDaily[Corporativo no tienda_average_order_value],0)</f>
        <v>0</v>
      </c>
      <c r="X243" s="12">
        <f>_xlfn.XLOOKUP(TableDailySummary[[#This Row],[Fecha]],SummaryDaily[day],SummaryDaily[GoogleAdsOperation.Cost],0)</f>
        <v>36752.33</v>
      </c>
      <c r="Y243" s="12">
        <f>SUMIFS(SalesByUTMDaily[google],SalesByUTMDaily[day],TableDailySummary[[#This Row],[Fecha]])</f>
        <v>323000</v>
      </c>
      <c r="Z243" s="12">
        <f>_xlfn.XLOOKUP(TableDailySummary[[#This Row],[Fecha]],SummaryDaily[day],SummaryDaily[MetaAdsOperation.spend],0)</f>
        <v>53047</v>
      </c>
      <c r="AA243" s="12">
        <f>SUMIFS(SalesByUTMDaily[facebook],SalesByUTMDaily[day],TableDailySummary[[#This Row],[Fecha]])</f>
        <v>392000</v>
      </c>
      <c r="AB243" s="12">
        <f>TableDailySummary[[#This Row],[Inversión google ads]]+TableDailySummary[[#This Row],[Inversión meta ads]]</f>
        <v>89799.33</v>
      </c>
      <c r="AC243" s="12">
        <f>TableDailySummary[[#This Row],[Ventas google ads]]+TableDailySummary[[#This Row],[Ventas meta ads]]</f>
        <v>715000</v>
      </c>
      <c r="AD243" s="14">
        <f>IFERROR(TableDailySummary[[#This Row],[Ventas publicidad]]/TableDailySummary[[#This Row],[Inversión publicidad]],0)</f>
        <v>7.9621974907830602</v>
      </c>
      <c r="AE243" s="14">
        <f>IFERROR(TableDailySummary[[#This Row],[Ventas primer cliente]]/TableDailySummary[[#This Row],[Inversión publicidad]],0)</f>
        <v>65.070949861207211</v>
      </c>
      <c r="AF243" s="14"/>
      <c r="AG243" s="12"/>
      <c r="AM243" s="12">
        <f>_xlfn.XLOOKUP(TableDailySummary[[#This Row],[Fecha]],SummaryDaily[day],SummaryDaily[net_sales_with_cost_recorded],0)</f>
        <v>8670680.6300000008</v>
      </c>
      <c r="AN243" s="12">
        <f>_xlfn.XLOOKUP(TableDailySummary[[#This Row],[Fecha]],SummaryDaily[day],SummaryDaily[cost_of_goods_sold],0)</f>
        <v>2849163</v>
      </c>
      <c r="AO243" s="12">
        <f>_xlfn.XLOOKUP(TableDailySummary[[#This Row],[Fecha]],SummaryDaily[day],SummaryDaily[gross_profit],0)</f>
        <v>5821517.6299999999</v>
      </c>
      <c r="AP243" s="18">
        <f>IFERROR(TableDailySummary[[#This Row],[Utilidad bruta]]/TableDailySummary[[#This Row],[Ventas netas con costo registrado]],0)</f>
        <v>0.67140261283040703</v>
      </c>
    </row>
    <row r="244" spans="2:42" x14ac:dyDescent="0.2">
      <c r="B244" s="15" cm="1">
        <f t="array" ref="B244">MIN(SummaryDaily[day]) + (ROW(TableDailySummary[#This Row]) - ROW(TableDailySummary[[#Headers],[Dia]]) - 1)</f>
        <v>46015</v>
      </c>
      <c r="C244" s="6">
        <f>TableDailySummary[[#This Row],[Dia]]</f>
        <v>46015</v>
      </c>
      <c r="D244" s="12">
        <f>_xlfn.XLOOKUP(TableDailySummary[[#This Row],[Fecha]],SummaryDaily[day],SummaryDaily[net_sales],0)</f>
        <v>4247277.29</v>
      </c>
      <c r="E244" s="12">
        <f>_xlfn.XLOOKUP(TableDailySummary[[#This Row],[Fecha]],SummaryDaily[day],SummaryDaily[orders],0)</f>
        <v>36</v>
      </c>
      <c r="F244" s="12">
        <f>_xlfn.XLOOKUP(TableDailySummary[[#This Row],[Fecha]],SummaryDaily[day],SummaryDaily[average_order_value],0)</f>
        <v>117979.924</v>
      </c>
      <c r="G244" s="24">
        <f>_xlfn.XLOOKUP(TableDailySummary[[#This Row],[Fecha]],SummaryDaily[day],SummaryDaily[Total site_conversion_rate],0)</f>
        <v>3.205128205128205E-3</v>
      </c>
      <c r="H244" s="12">
        <f>TableDailySummary[[#This Row],[Órden promedio totales]]*TableDailySummary[[#This Row],[CR totales]]</f>
        <v>378.14078205128203</v>
      </c>
      <c r="I244" s="12">
        <f>_xlfn.XLOOKUP(TableDailySummary[[#This Row],[Fecha]],SummaryDaily[day],SummaryDaily[new_net_sales],0)</f>
        <v>870806.71</v>
      </c>
      <c r="J244" s="12">
        <f>_xlfn.XLOOKUP(TableDailySummary[[#This Row],[Fecha]],SummaryDaily[day],SummaryDaily[new_orders],0)</f>
        <v>11</v>
      </c>
      <c r="K244" s="12">
        <f>_xlfn.XLOOKUP(TableDailySummary[[#This Row],[Fecha]],SummaryDaily[day],SummaryDaily[new_average_order_value],0)</f>
        <v>79164.245999999999</v>
      </c>
      <c r="L244" s="12">
        <f>_xlfn.XLOOKUP(TableDailySummary[[#This Row],[Fecha]],SummaryDaily[day],SummaryDaily[Online Store_net_sales],0)</f>
        <v>336134.45</v>
      </c>
      <c r="M244" s="12">
        <f>_xlfn.XLOOKUP(TableDailySummary[[#This Row],[Fecha]],SummaryDaily[day],SummaryDaily[Online Store_orders],0)</f>
        <v>2</v>
      </c>
      <c r="N244" s="12">
        <f>_xlfn.XLOOKUP(TableDailySummary[[#This Row],[Fecha]],SummaryDaily[day],SummaryDaily[Online Store_average_order_value],0)</f>
        <v>168067.22500000001</v>
      </c>
      <c r="O244" s="12">
        <f>_xlfn.XLOOKUP(TableDailySummary[[#This Row],[Fecha]],SummaryDaily[day],SummaryDaily[Tienda 81_net_sales],0)</f>
        <v>3911142.84</v>
      </c>
      <c r="P244" s="12">
        <f>_xlfn.XLOOKUP(TableDailySummary[[#This Row],[Fecha]],SummaryDaily[day],SummaryDaily[Tienda 81_orders],0)</f>
        <v>34</v>
      </c>
      <c r="Q244" s="12">
        <f>_xlfn.XLOOKUP(TableDailySummary[[#This Row],[Fecha]],SummaryDaily[day],SummaryDaily[Tienda 81_average_order_value],0)</f>
        <v>115033.61199999999</v>
      </c>
      <c r="R244" s="12">
        <f>_xlfn.XLOOKUP(TableDailySummary[[#This Row],[Fecha]],SummaryDaily[day],SummaryDaily[Rappi_net_sales],0)</f>
        <v>0</v>
      </c>
      <c r="S244" s="12">
        <f>_xlfn.XLOOKUP(TableDailySummary[[#This Row],[Fecha]],SummaryDaily[day],SummaryDaily[Rappi_orders],0)</f>
        <v>0</v>
      </c>
      <c r="T244" s="12">
        <f>_xlfn.XLOOKUP(TableDailySummary[[#This Row],[Fecha]],SummaryDaily[day],SummaryDaily[Rappi_average_order_value],0)</f>
        <v>0</v>
      </c>
      <c r="U244" s="12">
        <f>_xlfn.XLOOKUP(TableDailySummary[[#This Row],[Fecha]],SummaryDaily[day],SummaryDaily[Corporativo no tienda_net_sales],0)</f>
        <v>0</v>
      </c>
      <c r="V244" s="12">
        <f>_xlfn.XLOOKUP(TableDailySummary[[#This Row],[Fecha]],SummaryDaily[day],SummaryDaily[Corporativo no tienda_orders],0)</f>
        <v>0</v>
      </c>
      <c r="W244" s="12">
        <f>_xlfn.XLOOKUP(TableDailySummary[[#This Row],[Fecha]],SummaryDaily[day],SummaryDaily[Corporativo no tienda_average_order_value],0)</f>
        <v>0</v>
      </c>
      <c r="X244" s="12">
        <f>_xlfn.XLOOKUP(TableDailySummary[[#This Row],[Fecha]],SummaryDaily[day],SummaryDaily[GoogleAdsOperation.Cost],0)</f>
        <v>65800.100000000006</v>
      </c>
      <c r="Y244" s="12">
        <f>SUMIFS(SalesByUTMDaily[google],SalesByUTMDaily[day],TableDailySummary[[#This Row],[Fecha]])</f>
        <v>0</v>
      </c>
      <c r="Z244" s="12">
        <f>_xlfn.XLOOKUP(TableDailySummary[[#This Row],[Fecha]],SummaryDaily[day],SummaryDaily[MetaAdsOperation.spend],0)</f>
        <v>50219</v>
      </c>
      <c r="AA244" s="12">
        <f>SUMIFS(SalesByUTMDaily[facebook],SalesByUTMDaily[day],TableDailySummary[[#This Row],[Fecha]])</f>
        <v>0</v>
      </c>
      <c r="AB244" s="12">
        <f>TableDailySummary[[#This Row],[Inversión google ads]]+TableDailySummary[[#This Row],[Inversión meta ads]]</f>
        <v>116019.1</v>
      </c>
      <c r="AC244" s="12">
        <f>TableDailySummary[[#This Row],[Ventas google ads]]+TableDailySummary[[#This Row],[Ventas meta ads]]</f>
        <v>0</v>
      </c>
      <c r="AD244" s="14">
        <f>IFERROR(TableDailySummary[[#This Row],[Ventas publicidad]]/TableDailySummary[[#This Row],[Inversión publicidad]],0)</f>
        <v>0</v>
      </c>
      <c r="AE244" s="14">
        <f>IFERROR(TableDailySummary[[#This Row],[Ventas primer cliente]]/TableDailySummary[[#This Row],[Inversión publicidad]],0)</f>
        <v>7.5057185411712375</v>
      </c>
      <c r="AF244" s="14"/>
      <c r="AG244" s="12"/>
      <c r="AM244" s="12">
        <f>_xlfn.XLOOKUP(TableDailySummary[[#This Row],[Fecha]],SummaryDaily[day],SummaryDaily[net_sales_with_cost_recorded],0)</f>
        <v>4097478.97</v>
      </c>
      <c r="AN244" s="12">
        <f>_xlfn.XLOOKUP(TableDailySummary[[#This Row],[Fecha]],SummaryDaily[day],SummaryDaily[cost_of_goods_sold],0)</f>
        <v>1384703</v>
      </c>
      <c r="AO244" s="12">
        <f>_xlfn.XLOOKUP(TableDailySummary[[#This Row],[Fecha]],SummaryDaily[day],SummaryDaily[gross_profit],0)</f>
        <v>2712775.97</v>
      </c>
      <c r="AP244" s="18">
        <f>IFERROR(TableDailySummary[[#This Row],[Utilidad bruta]]/TableDailySummary[[#This Row],[Ventas netas con costo registrado]],0)</f>
        <v>0.6620597664714799</v>
      </c>
    </row>
    <row r="245" spans="2:42" x14ac:dyDescent="0.2">
      <c r="B245" s="15" cm="1">
        <f t="array" ref="B245">MIN(SummaryDaily[day]) + (ROW(TableDailySummary[#This Row]) - ROW(TableDailySummary[[#Headers],[Dia]]) - 1)</f>
        <v>46016</v>
      </c>
      <c r="C245" s="6">
        <f>TableDailySummary[[#This Row],[Dia]]</f>
        <v>46016</v>
      </c>
      <c r="D245" s="12">
        <f>_xlfn.XLOOKUP(TableDailySummary[[#This Row],[Fecha]],SummaryDaily[day],SummaryDaily[net_sales],0)</f>
        <v>407563.03</v>
      </c>
      <c r="E245" s="12">
        <f>_xlfn.XLOOKUP(TableDailySummary[[#This Row],[Fecha]],SummaryDaily[day],SummaryDaily[orders],0)</f>
        <v>3</v>
      </c>
      <c r="F245" s="12">
        <f>_xlfn.XLOOKUP(TableDailySummary[[#This Row],[Fecha]],SummaryDaily[day],SummaryDaily[average_order_value],0)</f>
        <v>135854.34299999999</v>
      </c>
      <c r="G245" s="24">
        <f>_xlfn.XLOOKUP(TableDailySummary[[#This Row],[Fecha]],SummaryDaily[day],SummaryDaily[Total site_conversion_rate],0)</f>
        <v>7.2992700729927005E-3</v>
      </c>
      <c r="H245" s="12">
        <f>TableDailySummary[[#This Row],[Órden promedio totales]]*TableDailySummary[[#This Row],[CR totales]]</f>
        <v>991.63754014598533</v>
      </c>
      <c r="I245" s="12">
        <f>_xlfn.XLOOKUP(TableDailySummary[[#This Row],[Fecha]],SummaryDaily[day],SummaryDaily[new_net_sales],0)</f>
        <v>201680.68</v>
      </c>
      <c r="J245" s="12">
        <f>_xlfn.XLOOKUP(TableDailySummary[[#This Row],[Fecha]],SummaryDaily[day],SummaryDaily[new_orders],0)</f>
        <v>2</v>
      </c>
      <c r="K245" s="12">
        <f>_xlfn.XLOOKUP(TableDailySummary[[#This Row],[Fecha]],SummaryDaily[day],SummaryDaily[new_average_order_value],0)</f>
        <v>100840.34</v>
      </c>
      <c r="L245" s="12">
        <f>_xlfn.XLOOKUP(TableDailySummary[[#This Row],[Fecha]],SummaryDaily[day],SummaryDaily[Online Store_net_sales],0)</f>
        <v>407563.03</v>
      </c>
      <c r="M245" s="12">
        <f>_xlfn.XLOOKUP(TableDailySummary[[#This Row],[Fecha]],SummaryDaily[day],SummaryDaily[Online Store_orders],0)</f>
        <v>3</v>
      </c>
      <c r="N245" s="12">
        <f>_xlfn.XLOOKUP(TableDailySummary[[#This Row],[Fecha]],SummaryDaily[day],SummaryDaily[Online Store_average_order_value],0)</f>
        <v>135854.34299999999</v>
      </c>
      <c r="O245" s="12">
        <f>_xlfn.XLOOKUP(TableDailySummary[[#This Row],[Fecha]],SummaryDaily[day],SummaryDaily[Tienda 81_net_sales],0)</f>
        <v>0</v>
      </c>
      <c r="P245" s="12">
        <f>_xlfn.XLOOKUP(TableDailySummary[[#This Row],[Fecha]],SummaryDaily[day],SummaryDaily[Tienda 81_orders],0)</f>
        <v>0</v>
      </c>
      <c r="Q245" s="12">
        <f>_xlfn.XLOOKUP(TableDailySummary[[#This Row],[Fecha]],SummaryDaily[day],SummaryDaily[Tienda 81_average_order_value],0)</f>
        <v>0</v>
      </c>
      <c r="R245" s="12">
        <f>_xlfn.XLOOKUP(TableDailySummary[[#This Row],[Fecha]],SummaryDaily[day],SummaryDaily[Rappi_net_sales],0)</f>
        <v>0</v>
      </c>
      <c r="S245" s="12">
        <f>_xlfn.XLOOKUP(TableDailySummary[[#This Row],[Fecha]],SummaryDaily[day],SummaryDaily[Rappi_orders],0)</f>
        <v>0</v>
      </c>
      <c r="T245" s="12">
        <f>_xlfn.XLOOKUP(TableDailySummary[[#This Row],[Fecha]],SummaryDaily[day],SummaryDaily[Rappi_average_order_value],0)</f>
        <v>0</v>
      </c>
      <c r="U245" s="12">
        <f>_xlfn.XLOOKUP(TableDailySummary[[#This Row],[Fecha]],SummaryDaily[day],SummaryDaily[Corporativo no tienda_net_sales],0)</f>
        <v>0</v>
      </c>
      <c r="V245" s="12">
        <f>_xlfn.XLOOKUP(TableDailySummary[[#This Row],[Fecha]],SummaryDaily[day],SummaryDaily[Corporativo no tienda_orders],0)</f>
        <v>0</v>
      </c>
      <c r="W245" s="12">
        <f>_xlfn.XLOOKUP(TableDailySummary[[#This Row],[Fecha]],SummaryDaily[day],SummaryDaily[Corporativo no tienda_average_order_value],0)</f>
        <v>0</v>
      </c>
      <c r="X245" s="12">
        <f>_xlfn.XLOOKUP(TableDailySummary[[#This Row],[Fecha]],SummaryDaily[day],SummaryDaily[GoogleAdsOperation.Cost],0)</f>
        <v>36804.730000000003</v>
      </c>
      <c r="Y245" s="12">
        <f>SUMIFS(SalesByUTMDaily[google],SalesByUTMDaily[day],TableDailySummary[[#This Row],[Fecha]])</f>
        <v>0</v>
      </c>
      <c r="Z245" s="12">
        <f>_xlfn.XLOOKUP(TableDailySummary[[#This Row],[Fecha]],SummaryDaily[day],SummaryDaily[MetaAdsOperation.spend],0)</f>
        <v>50059</v>
      </c>
      <c r="AA245" s="12">
        <f>SUMIFS(SalesByUTMDaily[facebook],SalesByUTMDaily[day],TableDailySummary[[#This Row],[Fecha]])</f>
        <v>0</v>
      </c>
      <c r="AB245" s="12">
        <f>TableDailySummary[[#This Row],[Inversión google ads]]+TableDailySummary[[#This Row],[Inversión meta ads]]</f>
        <v>86863.73000000001</v>
      </c>
      <c r="AC245" s="12">
        <f>TableDailySummary[[#This Row],[Ventas google ads]]+TableDailySummary[[#This Row],[Ventas meta ads]]</f>
        <v>0</v>
      </c>
      <c r="AD245" s="14">
        <f>IFERROR(TableDailySummary[[#This Row],[Ventas publicidad]]/TableDailySummary[[#This Row],[Inversión publicidad]],0)</f>
        <v>0</v>
      </c>
      <c r="AE245" s="14">
        <f>IFERROR(TableDailySummary[[#This Row],[Ventas primer cliente]]/TableDailySummary[[#This Row],[Inversión publicidad]],0)</f>
        <v>2.3218054301835758</v>
      </c>
      <c r="AF245" s="14"/>
      <c r="AG245" s="12"/>
      <c r="AM245" s="12">
        <f>_xlfn.XLOOKUP(TableDailySummary[[#This Row],[Fecha]],SummaryDaily[day],SummaryDaily[net_sales_with_cost_recorded],0)</f>
        <v>407563.03</v>
      </c>
      <c r="AN245" s="12">
        <f>_xlfn.XLOOKUP(TableDailySummary[[#This Row],[Fecha]],SummaryDaily[day],SummaryDaily[cost_of_goods_sold],0)</f>
        <v>126794</v>
      </c>
      <c r="AO245" s="12">
        <f>_xlfn.XLOOKUP(TableDailySummary[[#This Row],[Fecha]],SummaryDaily[day],SummaryDaily[gross_profit],0)</f>
        <v>280769.03000000003</v>
      </c>
      <c r="AP245" s="18">
        <f>IFERROR(TableDailySummary[[#This Row],[Utilidad bruta]]/TableDailySummary[[#This Row],[Ventas netas con costo registrado]],0)</f>
        <v>0.68889719953254835</v>
      </c>
    </row>
    <row r="246" spans="2:42" x14ac:dyDescent="0.2">
      <c r="B246" s="15" cm="1">
        <f t="array" ref="B246">MIN(SummaryDaily[day]) + (ROW(TableDailySummary[#This Row]) - ROW(TableDailySummary[[#Headers],[Dia]]) - 1)</f>
        <v>46017</v>
      </c>
      <c r="C246" s="6">
        <f>TableDailySummary[[#This Row],[Dia]]</f>
        <v>46017</v>
      </c>
      <c r="D246" s="12">
        <f>_xlfn.XLOOKUP(TableDailySummary[[#This Row],[Fecha]],SummaryDaily[day],SummaryDaily[net_sales],0)</f>
        <v>10939915.98</v>
      </c>
      <c r="E246" s="12">
        <f>_xlfn.XLOOKUP(TableDailySummary[[#This Row],[Fecha]],SummaryDaily[day],SummaryDaily[orders],0)</f>
        <v>23</v>
      </c>
      <c r="F246" s="12">
        <f>_xlfn.XLOOKUP(TableDailySummary[[#This Row],[Fecha]],SummaryDaily[day],SummaryDaily[average_order_value],0)</f>
        <v>475648.52</v>
      </c>
      <c r="G246" s="24">
        <f>_xlfn.XLOOKUP(TableDailySummary[[#This Row],[Fecha]],SummaryDaily[day],SummaryDaily[Total site_conversion_rate],0)</f>
        <v>7.3664825046040518E-3</v>
      </c>
      <c r="H246" s="12">
        <f>TableDailySummary[[#This Row],[Órden promedio totales]]*TableDailySummary[[#This Row],[CR totales]]</f>
        <v>3503.8565009208105</v>
      </c>
      <c r="I246" s="12">
        <f>_xlfn.XLOOKUP(TableDailySummary[[#This Row],[Fecha]],SummaryDaily[day],SummaryDaily[new_net_sales],0)</f>
        <v>8118487.4000000004</v>
      </c>
      <c r="J246" s="12">
        <f>_xlfn.XLOOKUP(TableDailySummary[[#This Row],[Fecha]],SummaryDaily[day],SummaryDaily[new_orders],0)</f>
        <v>15</v>
      </c>
      <c r="K246" s="12">
        <f>_xlfn.XLOOKUP(TableDailySummary[[#This Row],[Fecha]],SummaryDaily[day],SummaryDaily[new_average_order_value],0)</f>
        <v>541232.49300000002</v>
      </c>
      <c r="L246" s="12">
        <f>_xlfn.XLOOKUP(TableDailySummary[[#This Row],[Fecha]],SummaryDaily[day],SummaryDaily[Online Store_net_sales],0)</f>
        <v>1434873.96</v>
      </c>
      <c r="M246" s="12">
        <f>_xlfn.XLOOKUP(TableDailySummary[[#This Row],[Fecha]],SummaryDaily[day],SummaryDaily[Online Store_orders],0)</f>
        <v>15</v>
      </c>
      <c r="N246" s="12">
        <f>_xlfn.XLOOKUP(TableDailySummary[[#This Row],[Fecha]],SummaryDaily[day],SummaryDaily[Online Store_average_order_value],0)</f>
        <v>95658.263999999996</v>
      </c>
      <c r="O246" s="12">
        <f>_xlfn.XLOOKUP(TableDailySummary[[#This Row],[Fecha]],SummaryDaily[day],SummaryDaily[Tienda 81_net_sales],0)</f>
        <v>589075.63</v>
      </c>
      <c r="P246" s="12">
        <f>_xlfn.XLOOKUP(TableDailySummary[[#This Row],[Fecha]],SummaryDaily[day],SummaryDaily[Tienda 81_orders],0)</f>
        <v>6</v>
      </c>
      <c r="Q246" s="12">
        <f>_xlfn.XLOOKUP(TableDailySummary[[#This Row],[Fecha]],SummaryDaily[day],SummaryDaily[Tienda 81_average_order_value],0)</f>
        <v>98179.270999999993</v>
      </c>
      <c r="R246" s="12">
        <f>_xlfn.XLOOKUP(TableDailySummary[[#This Row],[Fecha]],SummaryDaily[day],SummaryDaily[Rappi_net_sales],0)</f>
        <v>2109243.7000000002</v>
      </c>
      <c r="S246" s="12">
        <f>_xlfn.XLOOKUP(TableDailySummary[[#This Row],[Fecha]],SummaryDaily[day],SummaryDaily[Rappi_orders],0)</f>
        <v>1</v>
      </c>
      <c r="T246" s="12">
        <f>_xlfn.XLOOKUP(TableDailySummary[[#This Row],[Fecha]],SummaryDaily[day],SummaryDaily[Rappi_average_order_value],0)</f>
        <v>2109243.7000000002</v>
      </c>
      <c r="U246" s="12">
        <f>_xlfn.XLOOKUP(TableDailySummary[[#This Row],[Fecha]],SummaryDaily[day],SummaryDaily[Corporativo no tienda_net_sales],0)</f>
        <v>6806722.6900000004</v>
      </c>
      <c r="V246" s="12">
        <f>_xlfn.XLOOKUP(TableDailySummary[[#This Row],[Fecha]],SummaryDaily[day],SummaryDaily[Corporativo no tienda_orders],0)</f>
        <v>1</v>
      </c>
      <c r="W246" s="12">
        <f>_xlfn.XLOOKUP(TableDailySummary[[#This Row],[Fecha]],SummaryDaily[day],SummaryDaily[Corporativo no tienda_average_order_value],0)</f>
        <v>6806722.6900000004</v>
      </c>
      <c r="X246" s="12">
        <f>_xlfn.XLOOKUP(TableDailySummary[[#This Row],[Fecha]],SummaryDaily[day],SummaryDaily[GoogleAdsOperation.Cost],0)</f>
        <v>63866.06</v>
      </c>
      <c r="Y246" s="12">
        <f>SUMIFS(SalesByUTMDaily[google],SalesByUTMDaily[day],TableDailySummary[[#This Row],[Fecha]])</f>
        <v>0</v>
      </c>
      <c r="Z246" s="12">
        <f>_xlfn.XLOOKUP(TableDailySummary[[#This Row],[Fecha]],SummaryDaily[day],SummaryDaily[MetaAdsOperation.spend],0)</f>
        <v>49415</v>
      </c>
      <c r="AA246" s="12">
        <f>SUMIFS(SalesByUTMDaily[facebook],SalesByUTMDaily[day],TableDailySummary[[#This Row],[Fecha]])</f>
        <v>101000</v>
      </c>
      <c r="AB246" s="12">
        <f>TableDailySummary[[#This Row],[Inversión google ads]]+TableDailySummary[[#This Row],[Inversión meta ads]]</f>
        <v>113281.06</v>
      </c>
      <c r="AC246" s="12">
        <f>TableDailySummary[[#This Row],[Ventas google ads]]+TableDailySummary[[#This Row],[Ventas meta ads]]</f>
        <v>101000</v>
      </c>
      <c r="AD246" s="14">
        <f>IFERROR(TableDailySummary[[#This Row],[Ventas publicidad]]/TableDailySummary[[#This Row],[Inversión publicidad]],0)</f>
        <v>0.89158770230433937</v>
      </c>
      <c r="AE246" s="14">
        <f>IFERROR(TableDailySummary[[#This Row],[Ventas primer cliente]]/TableDailySummary[[#This Row],[Inversión publicidad]],0)</f>
        <v>71.666767595571585</v>
      </c>
      <c r="AF246" s="14"/>
      <c r="AG246" s="12"/>
      <c r="AM246" s="12">
        <f>_xlfn.XLOOKUP(TableDailySummary[[#This Row],[Fecha]],SummaryDaily[day],SummaryDaily[net_sales_with_cost_recorded],0)</f>
        <v>10939915.98</v>
      </c>
      <c r="AN246" s="12">
        <f>_xlfn.XLOOKUP(TableDailySummary[[#This Row],[Fecha]],SummaryDaily[day],SummaryDaily[cost_of_goods_sold],0)</f>
        <v>3123613</v>
      </c>
      <c r="AO246" s="12">
        <f>_xlfn.XLOOKUP(TableDailySummary[[#This Row],[Fecha]],SummaryDaily[day],SummaryDaily[gross_profit],0)</f>
        <v>7816302.9800000004</v>
      </c>
      <c r="AP246" s="18">
        <f>IFERROR(TableDailySummary[[#This Row],[Utilidad bruta]]/TableDailySummary[[#This Row],[Ventas netas con costo registrado]],0)</f>
        <v>0.71447559508587744</v>
      </c>
    </row>
    <row r="247" spans="2:42" x14ac:dyDescent="0.2">
      <c r="B247" s="15" cm="1">
        <f t="array" ref="B247">MIN(SummaryDaily[day]) + (ROW(TableDailySummary[#This Row]) - ROW(TableDailySummary[[#Headers],[Dia]]) - 1)</f>
        <v>46018</v>
      </c>
      <c r="C247" s="6">
        <f>TableDailySummary[[#This Row],[Dia]]</f>
        <v>46018</v>
      </c>
      <c r="D247" s="12">
        <f>_xlfn.XLOOKUP(TableDailySummary[[#This Row],[Fecha]],SummaryDaily[day],SummaryDaily[net_sales],0)</f>
        <v>1596899.14</v>
      </c>
      <c r="E247" s="12">
        <f>_xlfn.XLOOKUP(TableDailySummary[[#This Row],[Fecha]],SummaryDaily[day],SummaryDaily[orders],0)</f>
        <v>11</v>
      </c>
      <c r="F247" s="12">
        <f>_xlfn.XLOOKUP(TableDailySummary[[#This Row],[Fecha]],SummaryDaily[day],SummaryDaily[average_order_value],0)</f>
        <v>145172.649</v>
      </c>
      <c r="G247" s="24">
        <f>_xlfn.XLOOKUP(TableDailySummary[[#This Row],[Fecha]],SummaryDaily[day],SummaryDaily[Total site_conversion_rate],0)</f>
        <v>2.4509803921568627E-3</v>
      </c>
      <c r="H247" s="12">
        <f>TableDailySummary[[#This Row],[Órden promedio totales]]*TableDailySummary[[#This Row],[CR totales]]</f>
        <v>355.81531617647062</v>
      </c>
      <c r="I247" s="12">
        <f>_xlfn.XLOOKUP(TableDailySummary[[#This Row],[Fecha]],SummaryDaily[day],SummaryDaily[new_net_sales],0)</f>
        <v>306722.69</v>
      </c>
      <c r="J247" s="12">
        <f>_xlfn.XLOOKUP(TableDailySummary[[#This Row],[Fecha]],SummaryDaily[day],SummaryDaily[new_orders],0)</f>
        <v>3</v>
      </c>
      <c r="K247" s="12">
        <f>_xlfn.XLOOKUP(TableDailySummary[[#This Row],[Fecha]],SummaryDaily[day],SummaryDaily[new_average_order_value],0)</f>
        <v>102240.89599999999</v>
      </c>
      <c r="L247" s="12">
        <f>_xlfn.XLOOKUP(TableDailySummary[[#This Row],[Fecha]],SummaryDaily[day],SummaryDaily[Online Store_net_sales],0)</f>
        <v>218487.39</v>
      </c>
      <c r="M247" s="12">
        <f>_xlfn.XLOOKUP(TableDailySummary[[#This Row],[Fecha]],SummaryDaily[day],SummaryDaily[Online Store_orders],0)</f>
        <v>1</v>
      </c>
      <c r="N247" s="12">
        <f>_xlfn.XLOOKUP(TableDailySummary[[#This Row],[Fecha]],SummaryDaily[day],SummaryDaily[Online Store_average_order_value],0)</f>
        <v>218487.39</v>
      </c>
      <c r="O247" s="12">
        <f>_xlfn.XLOOKUP(TableDailySummary[[#This Row],[Fecha]],SummaryDaily[day],SummaryDaily[Tienda 81_net_sales],0)</f>
        <v>1378411.75</v>
      </c>
      <c r="P247" s="12">
        <f>_xlfn.XLOOKUP(TableDailySummary[[#This Row],[Fecha]],SummaryDaily[day],SummaryDaily[Tienda 81_orders],0)</f>
        <v>10</v>
      </c>
      <c r="Q247" s="12">
        <f>_xlfn.XLOOKUP(TableDailySummary[[#This Row],[Fecha]],SummaryDaily[day],SummaryDaily[Tienda 81_average_order_value],0)</f>
        <v>137841.17499999999</v>
      </c>
      <c r="R247" s="12">
        <f>_xlfn.XLOOKUP(TableDailySummary[[#This Row],[Fecha]],SummaryDaily[day],SummaryDaily[Rappi_net_sales],0)</f>
        <v>0</v>
      </c>
      <c r="S247" s="12">
        <f>_xlfn.XLOOKUP(TableDailySummary[[#This Row],[Fecha]],SummaryDaily[day],SummaryDaily[Rappi_orders],0)</f>
        <v>0</v>
      </c>
      <c r="T247" s="12">
        <f>_xlfn.XLOOKUP(TableDailySummary[[#This Row],[Fecha]],SummaryDaily[day],SummaryDaily[Rappi_average_order_value],0)</f>
        <v>0</v>
      </c>
      <c r="U247" s="12">
        <f>_xlfn.XLOOKUP(TableDailySummary[[#This Row],[Fecha]],SummaryDaily[day],SummaryDaily[Corporativo no tienda_net_sales],0)</f>
        <v>0</v>
      </c>
      <c r="V247" s="12">
        <f>_xlfn.XLOOKUP(TableDailySummary[[#This Row],[Fecha]],SummaryDaily[day],SummaryDaily[Corporativo no tienda_orders],0)</f>
        <v>0</v>
      </c>
      <c r="W247" s="12">
        <f>_xlfn.XLOOKUP(TableDailySummary[[#This Row],[Fecha]],SummaryDaily[day],SummaryDaily[Corporativo no tienda_average_order_value],0)</f>
        <v>0</v>
      </c>
      <c r="X247" s="12">
        <f>_xlfn.XLOOKUP(TableDailySummary[[#This Row],[Fecha]],SummaryDaily[day],SummaryDaily[GoogleAdsOperation.Cost],0)</f>
        <v>41781.269999999997</v>
      </c>
      <c r="Y247" s="12">
        <f>SUMIFS(SalesByUTMDaily[google],SalesByUTMDaily[day],TableDailySummary[[#This Row],[Fecha]])</f>
        <v>0</v>
      </c>
      <c r="Z247" s="12">
        <f>_xlfn.XLOOKUP(TableDailySummary[[#This Row],[Fecha]],SummaryDaily[day],SummaryDaily[MetaAdsOperation.spend],0)</f>
        <v>53692</v>
      </c>
      <c r="AA247" s="12">
        <f>SUMIFS(SalesByUTMDaily[facebook],SalesByUTMDaily[day],TableDailySummary[[#This Row],[Fecha]])</f>
        <v>0</v>
      </c>
      <c r="AB247" s="12">
        <f>TableDailySummary[[#This Row],[Inversión google ads]]+TableDailySummary[[#This Row],[Inversión meta ads]]</f>
        <v>95473.26999999999</v>
      </c>
      <c r="AC247" s="12">
        <f>TableDailySummary[[#This Row],[Ventas google ads]]+TableDailySummary[[#This Row],[Ventas meta ads]]</f>
        <v>0</v>
      </c>
      <c r="AD247" s="14">
        <f>IFERROR(TableDailySummary[[#This Row],[Ventas publicidad]]/TableDailySummary[[#This Row],[Inversión publicidad]],0)</f>
        <v>0</v>
      </c>
      <c r="AE247" s="14">
        <f>IFERROR(TableDailySummary[[#This Row],[Ventas primer cliente]]/TableDailySummary[[#This Row],[Inversión publicidad]],0)</f>
        <v>3.2126551232612024</v>
      </c>
      <c r="AF247" s="14"/>
      <c r="AG247" s="12"/>
      <c r="AM247" s="12">
        <f>_xlfn.XLOOKUP(TableDailySummary[[#This Row],[Fecha]],SummaryDaily[day],SummaryDaily[net_sales_with_cost_recorded],0)</f>
        <v>1464966.37</v>
      </c>
      <c r="AN247" s="12">
        <f>_xlfn.XLOOKUP(TableDailySummary[[#This Row],[Fecha]],SummaryDaily[day],SummaryDaily[cost_of_goods_sold],0)</f>
        <v>335784</v>
      </c>
      <c r="AO247" s="12">
        <f>_xlfn.XLOOKUP(TableDailySummary[[#This Row],[Fecha]],SummaryDaily[day],SummaryDaily[gross_profit],0)</f>
        <v>1129182.3700000001</v>
      </c>
      <c r="AP247" s="18">
        <f>IFERROR(TableDailySummary[[#This Row],[Utilidad bruta]]/TableDailySummary[[#This Row],[Ventas netas con costo registrado]],0)</f>
        <v>0.77079064279134268</v>
      </c>
    </row>
    <row r="248" spans="2:42" x14ac:dyDescent="0.2">
      <c r="B248" s="15" cm="1">
        <f t="array" ref="B248">MIN(SummaryDaily[day]) + (ROW(TableDailySummary[#This Row]) - ROW(TableDailySummary[[#Headers],[Dia]]) - 1)</f>
        <v>46019</v>
      </c>
      <c r="C248" s="6">
        <f>TableDailySummary[[#This Row],[Dia]]</f>
        <v>46019</v>
      </c>
      <c r="D248" s="12">
        <f>_xlfn.XLOOKUP(TableDailySummary[[#This Row],[Fecha]],SummaryDaily[day],SummaryDaily[net_sales],0)</f>
        <v>567226.89</v>
      </c>
      <c r="E248" s="12">
        <f>_xlfn.XLOOKUP(TableDailySummary[[#This Row],[Fecha]],SummaryDaily[day],SummaryDaily[orders],0)</f>
        <v>5</v>
      </c>
      <c r="F248" s="12">
        <f>_xlfn.XLOOKUP(TableDailySummary[[#This Row],[Fecha]],SummaryDaily[day],SummaryDaily[average_order_value],0)</f>
        <v>113445.378</v>
      </c>
      <c r="G248" s="24">
        <f>_xlfn.XLOOKUP(TableDailySummary[[#This Row],[Fecha]],SummaryDaily[day],SummaryDaily[Total site_conversion_rate],0)</f>
        <v>7.9617834394904458E-3</v>
      </c>
      <c r="H248" s="12">
        <f>TableDailySummary[[#This Row],[Órden promedio totales]]*TableDailySummary[[#This Row],[CR totales]]</f>
        <v>903.22753184713372</v>
      </c>
      <c r="I248" s="12">
        <f>_xlfn.XLOOKUP(TableDailySummary[[#This Row],[Fecha]],SummaryDaily[day],SummaryDaily[new_net_sales],0)</f>
        <v>373949.58</v>
      </c>
      <c r="J248" s="12">
        <f>_xlfn.XLOOKUP(TableDailySummary[[#This Row],[Fecha]],SummaryDaily[day],SummaryDaily[new_orders],0)</f>
        <v>3</v>
      </c>
      <c r="K248" s="12">
        <f>_xlfn.XLOOKUP(TableDailySummary[[#This Row],[Fecha]],SummaryDaily[day],SummaryDaily[new_average_order_value],0)</f>
        <v>124649.86</v>
      </c>
      <c r="L248" s="12">
        <f>_xlfn.XLOOKUP(TableDailySummary[[#This Row],[Fecha]],SummaryDaily[day],SummaryDaily[Online Store_net_sales],0)</f>
        <v>567226.89</v>
      </c>
      <c r="M248" s="12">
        <f>_xlfn.XLOOKUP(TableDailySummary[[#This Row],[Fecha]],SummaryDaily[day],SummaryDaily[Online Store_orders],0)</f>
        <v>5</v>
      </c>
      <c r="N248" s="12">
        <f>_xlfn.XLOOKUP(TableDailySummary[[#This Row],[Fecha]],SummaryDaily[day],SummaryDaily[Online Store_average_order_value],0)</f>
        <v>113445.378</v>
      </c>
      <c r="O248" s="12">
        <f>_xlfn.XLOOKUP(TableDailySummary[[#This Row],[Fecha]],SummaryDaily[day],SummaryDaily[Tienda 81_net_sales],0)</f>
        <v>0</v>
      </c>
      <c r="P248" s="12">
        <f>_xlfn.XLOOKUP(TableDailySummary[[#This Row],[Fecha]],SummaryDaily[day],SummaryDaily[Tienda 81_orders],0)</f>
        <v>0</v>
      </c>
      <c r="Q248" s="12">
        <f>_xlfn.XLOOKUP(TableDailySummary[[#This Row],[Fecha]],SummaryDaily[day],SummaryDaily[Tienda 81_average_order_value],0)</f>
        <v>0</v>
      </c>
      <c r="R248" s="12">
        <f>_xlfn.XLOOKUP(TableDailySummary[[#This Row],[Fecha]],SummaryDaily[day],SummaryDaily[Rappi_net_sales],0)</f>
        <v>0</v>
      </c>
      <c r="S248" s="12">
        <f>_xlfn.XLOOKUP(TableDailySummary[[#This Row],[Fecha]],SummaryDaily[day],SummaryDaily[Rappi_orders],0)</f>
        <v>0</v>
      </c>
      <c r="T248" s="12">
        <f>_xlfn.XLOOKUP(TableDailySummary[[#This Row],[Fecha]],SummaryDaily[day],SummaryDaily[Rappi_average_order_value],0)</f>
        <v>0</v>
      </c>
      <c r="U248" s="12">
        <f>_xlfn.XLOOKUP(TableDailySummary[[#This Row],[Fecha]],SummaryDaily[day],SummaryDaily[Corporativo no tienda_net_sales],0)</f>
        <v>0</v>
      </c>
      <c r="V248" s="12">
        <f>_xlfn.XLOOKUP(TableDailySummary[[#This Row],[Fecha]],SummaryDaily[day],SummaryDaily[Corporativo no tienda_orders],0)</f>
        <v>0</v>
      </c>
      <c r="W248" s="12">
        <f>_xlfn.XLOOKUP(TableDailySummary[[#This Row],[Fecha]],SummaryDaily[day],SummaryDaily[Corporativo no tienda_average_order_value],0)</f>
        <v>0</v>
      </c>
      <c r="X248" s="12">
        <f>_xlfn.XLOOKUP(TableDailySummary[[#This Row],[Fecha]],SummaryDaily[day],SummaryDaily[GoogleAdsOperation.Cost],0)</f>
        <v>58993.07</v>
      </c>
      <c r="Y248" s="12">
        <f>SUMIFS(SalesByUTMDaily[google],SalesByUTMDaily[day],TableDailySummary[[#This Row],[Fecha]])</f>
        <v>0</v>
      </c>
      <c r="Z248" s="12">
        <f>_xlfn.XLOOKUP(TableDailySummary[[#This Row],[Fecha]],SummaryDaily[day],SummaryDaily[MetaAdsOperation.spend],0)</f>
        <v>55693</v>
      </c>
      <c r="AA248" s="12">
        <f>SUMIFS(SalesByUTMDaily[facebook],SalesByUTMDaily[day],TableDailySummary[[#This Row],[Fecha]])</f>
        <v>358000</v>
      </c>
      <c r="AB248" s="12">
        <f>TableDailySummary[[#This Row],[Inversión google ads]]+TableDailySummary[[#This Row],[Inversión meta ads]]</f>
        <v>114686.07</v>
      </c>
      <c r="AC248" s="12">
        <f>TableDailySummary[[#This Row],[Ventas google ads]]+TableDailySummary[[#This Row],[Ventas meta ads]]</f>
        <v>358000</v>
      </c>
      <c r="AD248" s="14">
        <f>IFERROR(TableDailySummary[[#This Row],[Ventas publicidad]]/TableDailySummary[[#This Row],[Inversión publicidad]],0)</f>
        <v>3.1215648073039732</v>
      </c>
      <c r="AE248" s="14">
        <f>IFERROR(TableDailySummary[[#This Row],[Ventas primer cliente]]/TableDailySummary[[#This Row],[Inversión publicidad]],0)</f>
        <v>3.2606364486986084</v>
      </c>
      <c r="AF248" s="14"/>
      <c r="AG248" s="12"/>
      <c r="AM248" s="12">
        <f>_xlfn.XLOOKUP(TableDailySummary[[#This Row],[Fecha]],SummaryDaily[day],SummaryDaily[net_sales_with_cost_recorded],0)</f>
        <v>567226.89</v>
      </c>
      <c r="AN248" s="12">
        <f>_xlfn.XLOOKUP(TableDailySummary[[#This Row],[Fecha]],SummaryDaily[day],SummaryDaily[cost_of_goods_sold],0)</f>
        <v>207069</v>
      </c>
      <c r="AO248" s="12">
        <f>_xlfn.XLOOKUP(TableDailySummary[[#This Row],[Fecha]],SummaryDaily[day],SummaryDaily[gross_profit],0)</f>
        <v>360157.89</v>
      </c>
      <c r="AP248" s="18">
        <f>IFERROR(TableDailySummary[[#This Row],[Utilidad bruta]]/TableDailySummary[[#This Row],[Ventas netas con costo registrado]],0)</f>
        <v>0.63494502173548228</v>
      </c>
    </row>
    <row r="249" spans="2:42" x14ac:dyDescent="0.2">
      <c r="B249" s="15" cm="1">
        <f t="array" ref="B249">MIN(SummaryDaily[day]) + (ROW(TableDailySummary[#This Row]) - ROW(TableDailySummary[[#Headers],[Dia]]) - 1)</f>
        <v>46020</v>
      </c>
      <c r="C249" s="6">
        <f>TableDailySummary[[#This Row],[Dia]]</f>
        <v>46020</v>
      </c>
      <c r="D249" s="12">
        <f>_xlfn.XLOOKUP(TableDailySummary[[#This Row],[Fecha]],SummaryDaily[day],SummaryDaily[net_sales],0)</f>
        <v>3332268.9</v>
      </c>
      <c r="E249" s="12">
        <f>_xlfn.XLOOKUP(TableDailySummary[[#This Row],[Fecha]],SummaryDaily[day],SummaryDaily[orders],0)</f>
        <v>14</v>
      </c>
      <c r="F249" s="12">
        <f>_xlfn.XLOOKUP(TableDailySummary[[#This Row],[Fecha]],SummaryDaily[day],SummaryDaily[average_order_value],0)</f>
        <v>238019.20699999999</v>
      </c>
      <c r="G249" s="24">
        <f>_xlfn.XLOOKUP(TableDailySummary[[#This Row],[Fecha]],SummaryDaily[day],SummaryDaily[Total site_conversion_rate],0)</f>
        <v>7.104795737122558E-3</v>
      </c>
      <c r="H249" s="12">
        <f>TableDailySummary[[#This Row],[Órden promedio totales]]*TableDailySummary[[#This Row],[CR totales]]</f>
        <v>1691.0778472468917</v>
      </c>
      <c r="I249" s="12">
        <f>_xlfn.XLOOKUP(TableDailySummary[[#This Row],[Fecha]],SummaryDaily[day],SummaryDaily[new_net_sales],0)</f>
        <v>2098823.5299999998</v>
      </c>
      <c r="J249" s="12">
        <f>_xlfn.XLOOKUP(TableDailySummary[[#This Row],[Fecha]],SummaryDaily[day],SummaryDaily[new_orders],0)</f>
        <v>8</v>
      </c>
      <c r="K249" s="12">
        <f>_xlfn.XLOOKUP(TableDailySummary[[#This Row],[Fecha]],SummaryDaily[day],SummaryDaily[new_average_order_value],0)</f>
        <v>262352.94099999999</v>
      </c>
      <c r="L249" s="12">
        <f>_xlfn.XLOOKUP(TableDailySummary[[#This Row],[Fecha]],SummaryDaily[day],SummaryDaily[Online Store_net_sales],0)</f>
        <v>1699495.8</v>
      </c>
      <c r="M249" s="12">
        <f>_xlfn.XLOOKUP(TableDailySummary[[#This Row],[Fecha]],SummaryDaily[day],SummaryDaily[Online Store_orders],0)</f>
        <v>6</v>
      </c>
      <c r="N249" s="12">
        <f>_xlfn.XLOOKUP(TableDailySummary[[#This Row],[Fecha]],SummaryDaily[day],SummaryDaily[Online Store_average_order_value],0)</f>
        <v>283249.3</v>
      </c>
      <c r="O249" s="12">
        <f>_xlfn.XLOOKUP(TableDailySummary[[#This Row],[Fecha]],SummaryDaily[day],SummaryDaily[Tienda 81_net_sales],0)</f>
        <v>771428.56</v>
      </c>
      <c r="P249" s="12">
        <f>_xlfn.XLOOKUP(TableDailySummary[[#This Row],[Fecha]],SummaryDaily[day],SummaryDaily[Tienda 81_orders],0)</f>
        <v>7</v>
      </c>
      <c r="Q249" s="12">
        <f>_xlfn.XLOOKUP(TableDailySummary[[#This Row],[Fecha]],SummaryDaily[day],SummaryDaily[Tienda 81_average_order_value],0)</f>
        <v>110204.08</v>
      </c>
      <c r="R249" s="12">
        <f>_xlfn.XLOOKUP(TableDailySummary[[#This Row],[Fecha]],SummaryDaily[day],SummaryDaily[Rappi_net_sales],0)</f>
        <v>0</v>
      </c>
      <c r="S249" s="12">
        <f>_xlfn.XLOOKUP(TableDailySummary[[#This Row],[Fecha]],SummaryDaily[day],SummaryDaily[Rappi_orders],0)</f>
        <v>0</v>
      </c>
      <c r="T249" s="12">
        <f>_xlfn.XLOOKUP(TableDailySummary[[#This Row],[Fecha]],SummaryDaily[day],SummaryDaily[Rappi_average_order_value],0)</f>
        <v>0</v>
      </c>
      <c r="U249" s="12">
        <f>_xlfn.XLOOKUP(TableDailySummary[[#This Row],[Fecha]],SummaryDaily[day],SummaryDaily[Corporativo no tienda_net_sales],0)</f>
        <v>861344.54</v>
      </c>
      <c r="V249" s="12">
        <f>_xlfn.XLOOKUP(TableDailySummary[[#This Row],[Fecha]],SummaryDaily[day],SummaryDaily[Corporativo no tienda_orders],0)</f>
        <v>1</v>
      </c>
      <c r="W249" s="12">
        <f>_xlfn.XLOOKUP(TableDailySummary[[#This Row],[Fecha]],SummaryDaily[day],SummaryDaily[Corporativo no tienda_average_order_value],0)</f>
        <v>861344.54</v>
      </c>
      <c r="X249" s="12">
        <f>_xlfn.XLOOKUP(TableDailySummary[[#This Row],[Fecha]],SummaryDaily[day],SummaryDaily[GoogleAdsOperation.Cost],0)</f>
        <v>50405.81</v>
      </c>
      <c r="Y249" s="12">
        <f>SUMIFS(SalesByUTMDaily[google],SalesByUTMDaily[day],TableDailySummary[[#This Row],[Fecha]])</f>
        <v>0</v>
      </c>
      <c r="Z249" s="12">
        <f>_xlfn.XLOOKUP(TableDailySummary[[#This Row],[Fecha]],SummaryDaily[day],SummaryDaily[MetaAdsOperation.spend],0)</f>
        <v>52819</v>
      </c>
      <c r="AA249" s="12">
        <f>SUMIFS(SalesByUTMDaily[facebook],SalesByUTMDaily[day],TableDailySummary[[#This Row],[Fecha]])</f>
        <v>0</v>
      </c>
      <c r="AB249" s="12">
        <f>TableDailySummary[[#This Row],[Inversión google ads]]+TableDailySummary[[#This Row],[Inversión meta ads]]</f>
        <v>103224.81</v>
      </c>
      <c r="AC249" s="12">
        <f>TableDailySummary[[#This Row],[Ventas google ads]]+TableDailySummary[[#This Row],[Ventas meta ads]]</f>
        <v>0</v>
      </c>
      <c r="AD249" s="14">
        <f>IFERROR(TableDailySummary[[#This Row],[Ventas publicidad]]/TableDailySummary[[#This Row],[Inversión publicidad]],0)</f>
        <v>0</v>
      </c>
      <c r="AE249" s="14">
        <f>IFERROR(TableDailySummary[[#This Row],[Ventas primer cliente]]/TableDailySummary[[#This Row],[Inversión publicidad]],0)</f>
        <v>20.332549219514185</v>
      </c>
      <c r="AF249" s="14"/>
      <c r="AG249" s="12"/>
      <c r="AM249" s="12">
        <f>_xlfn.XLOOKUP(TableDailySummary[[#This Row],[Fecha]],SummaryDaily[day],SummaryDaily[net_sales_with_cost_recorded],0)</f>
        <v>3332268.9</v>
      </c>
      <c r="AN249" s="12">
        <f>_xlfn.XLOOKUP(TableDailySummary[[#This Row],[Fecha]],SummaryDaily[day],SummaryDaily[cost_of_goods_sold],0)</f>
        <v>1006515</v>
      </c>
      <c r="AO249" s="12">
        <f>_xlfn.XLOOKUP(TableDailySummary[[#This Row],[Fecha]],SummaryDaily[day],SummaryDaily[gross_profit],0)</f>
        <v>2325753.9</v>
      </c>
      <c r="AP249" s="18">
        <f>IFERROR(TableDailySummary[[#This Row],[Utilidad bruta]]/TableDailySummary[[#This Row],[Ventas netas con costo registrado]],0)</f>
        <v>0.6979490460688812</v>
      </c>
    </row>
    <row r="250" spans="2:42" x14ac:dyDescent="0.2">
      <c r="B250" s="15" cm="1">
        <f t="array" ref="B250">MIN(SummaryDaily[day]) + (ROW(TableDailySummary[#This Row]) - ROW(TableDailySummary[[#Headers],[Dia]]) - 1)</f>
        <v>46021</v>
      </c>
      <c r="C250" s="6">
        <f>TableDailySummary[[#This Row],[Dia]]</f>
        <v>46021</v>
      </c>
      <c r="D250" s="12">
        <f>_xlfn.XLOOKUP(TableDailySummary[[#This Row],[Fecha]],SummaryDaily[day],SummaryDaily[net_sales],0)</f>
        <v>8255588.25</v>
      </c>
      <c r="E250" s="12">
        <f>_xlfn.XLOOKUP(TableDailySummary[[#This Row],[Fecha]],SummaryDaily[day],SummaryDaily[orders],0)</f>
        <v>15</v>
      </c>
      <c r="F250" s="12">
        <f>_xlfn.XLOOKUP(TableDailySummary[[#This Row],[Fecha]],SummaryDaily[day],SummaryDaily[average_order_value],0)</f>
        <v>550372.55000000005</v>
      </c>
      <c r="G250" s="24">
        <f>_xlfn.XLOOKUP(TableDailySummary[[#This Row],[Fecha]],SummaryDaily[day],SummaryDaily[Total site_conversion_rate],0)</f>
        <v>1.0438413361169102E-2</v>
      </c>
      <c r="H250" s="12">
        <f>TableDailySummary[[#This Row],[Órden promedio totales]]*TableDailySummary[[#This Row],[CR totales]]</f>
        <v>5745.0161795407103</v>
      </c>
      <c r="I250" s="12">
        <f>_xlfn.XLOOKUP(TableDailySummary[[#This Row],[Fecha]],SummaryDaily[day],SummaryDaily[new_net_sales],0)</f>
        <v>1015126.05</v>
      </c>
      <c r="J250" s="12">
        <f>_xlfn.XLOOKUP(TableDailySummary[[#This Row],[Fecha]],SummaryDaily[day],SummaryDaily[new_orders],0)</f>
        <v>5</v>
      </c>
      <c r="K250" s="12">
        <f>_xlfn.XLOOKUP(TableDailySummary[[#This Row],[Fecha]],SummaryDaily[day],SummaryDaily[new_average_order_value],0)</f>
        <v>203025.21</v>
      </c>
      <c r="L250" s="12">
        <f>_xlfn.XLOOKUP(TableDailySummary[[#This Row],[Fecha]],SummaryDaily[day],SummaryDaily[Online Store_net_sales],0)</f>
        <v>1197479</v>
      </c>
      <c r="M250" s="12">
        <f>_xlfn.XLOOKUP(TableDailySummary[[#This Row],[Fecha]],SummaryDaily[day],SummaryDaily[Online Store_orders],0)</f>
        <v>5</v>
      </c>
      <c r="N250" s="12">
        <f>_xlfn.XLOOKUP(TableDailySummary[[#This Row],[Fecha]],SummaryDaily[day],SummaryDaily[Online Store_average_order_value],0)</f>
        <v>239495.8</v>
      </c>
      <c r="O250" s="12">
        <f>_xlfn.XLOOKUP(TableDailySummary[[#This Row],[Fecha]],SummaryDaily[day],SummaryDaily[Tienda 81_net_sales],0)</f>
        <v>671554.63</v>
      </c>
      <c r="P250" s="12">
        <f>_xlfn.XLOOKUP(TableDailySummary[[#This Row],[Fecha]],SummaryDaily[day],SummaryDaily[Tienda 81_orders],0)</f>
        <v>9</v>
      </c>
      <c r="Q250" s="12">
        <f>_xlfn.XLOOKUP(TableDailySummary[[#This Row],[Fecha]],SummaryDaily[day],SummaryDaily[Tienda 81_average_order_value],0)</f>
        <v>74617.180999999997</v>
      </c>
      <c r="R250" s="12">
        <f>_xlfn.XLOOKUP(TableDailySummary[[#This Row],[Fecha]],SummaryDaily[day],SummaryDaily[Rappi_net_sales],0)</f>
        <v>0</v>
      </c>
      <c r="S250" s="12">
        <f>_xlfn.XLOOKUP(TableDailySummary[[#This Row],[Fecha]],SummaryDaily[day],SummaryDaily[Rappi_orders],0)</f>
        <v>0</v>
      </c>
      <c r="T250" s="12">
        <f>_xlfn.XLOOKUP(TableDailySummary[[#This Row],[Fecha]],SummaryDaily[day],SummaryDaily[Rappi_average_order_value],0)</f>
        <v>0</v>
      </c>
      <c r="U250" s="12">
        <f>_xlfn.XLOOKUP(TableDailySummary[[#This Row],[Fecha]],SummaryDaily[day],SummaryDaily[Corporativo no tienda_net_sales],0)</f>
        <v>6386554.6200000001</v>
      </c>
      <c r="V250" s="12">
        <f>_xlfn.XLOOKUP(TableDailySummary[[#This Row],[Fecha]],SummaryDaily[day],SummaryDaily[Corporativo no tienda_orders],0)</f>
        <v>1</v>
      </c>
      <c r="W250" s="12">
        <f>_xlfn.XLOOKUP(TableDailySummary[[#This Row],[Fecha]],SummaryDaily[day],SummaryDaily[Corporativo no tienda_average_order_value],0)</f>
        <v>6386554.6200000001</v>
      </c>
      <c r="X250" s="12">
        <f>_xlfn.XLOOKUP(TableDailySummary[[#This Row],[Fecha]],SummaryDaily[day],SummaryDaily[GoogleAdsOperation.Cost],0)</f>
        <v>44128.35</v>
      </c>
      <c r="Y250" s="12">
        <f>SUMIFS(SalesByUTMDaily[google],SalesByUTMDaily[day],TableDailySummary[[#This Row],[Fecha]])</f>
        <v>132000</v>
      </c>
      <c r="Z250" s="12">
        <f>_xlfn.XLOOKUP(TableDailySummary[[#This Row],[Fecha]],SummaryDaily[day],SummaryDaily[MetaAdsOperation.spend],0)</f>
        <v>50477</v>
      </c>
      <c r="AA250" s="12">
        <f>SUMIFS(SalesByUTMDaily[facebook],SalesByUTMDaily[day],TableDailySummary[[#This Row],[Fecha]])</f>
        <v>0</v>
      </c>
      <c r="AB250" s="12">
        <f>TableDailySummary[[#This Row],[Inversión google ads]]+TableDailySummary[[#This Row],[Inversión meta ads]]</f>
        <v>94605.35</v>
      </c>
      <c r="AC250" s="12">
        <f>TableDailySummary[[#This Row],[Ventas google ads]]+TableDailySummary[[#This Row],[Ventas meta ads]]</f>
        <v>132000</v>
      </c>
      <c r="AD250" s="14">
        <f>IFERROR(TableDailySummary[[#This Row],[Ventas publicidad]]/TableDailySummary[[#This Row],[Inversión publicidad]],0)</f>
        <v>1.3952699292376169</v>
      </c>
      <c r="AE250" s="14">
        <f>IFERROR(TableDailySummary[[#This Row],[Ventas primer cliente]]/TableDailySummary[[#This Row],[Inversión publicidad]],0)</f>
        <v>10.730112514778497</v>
      </c>
      <c r="AF250" s="14"/>
      <c r="AG250" s="12"/>
      <c r="AM250" s="12">
        <f>_xlfn.XLOOKUP(TableDailySummary[[#This Row],[Fecha]],SummaryDaily[day],SummaryDaily[net_sales_with_cost_recorded],0)</f>
        <v>8255588.25</v>
      </c>
      <c r="AN250" s="12">
        <f>_xlfn.XLOOKUP(TableDailySummary[[#This Row],[Fecha]],SummaryDaily[day],SummaryDaily[cost_of_goods_sold],0)</f>
        <v>2186285</v>
      </c>
      <c r="AO250" s="12">
        <f>_xlfn.XLOOKUP(TableDailySummary[[#This Row],[Fecha]],SummaryDaily[day],SummaryDaily[gross_profit],0)</f>
        <v>6069303.25</v>
      </c>
      <c r="AP250" s="18">
        <f>IFERROR(TableDailySummary[[#This Row],[Utilidad bruta]]/TableDailySummary[[#This Row],[Ventas netas con costo registrado]],0)</f>
        <v>0.73517514030571962</v>
      </c>
    </row>
    <row r="251" spans="2:42" x14ac:dyDescent="0.2">
      <c r="B251" s="15" cm="1">
        <f t="array" ref="B251">MIN(SummaryDaily[day]) + (ROW(TableDailySummary[#This Row]) - ROW(TableDailySummary[[#Headers],[Dia]]) - 1)</f>
        <v>46022</v>
      </c>
      <c r="C251" s="6">
        <f>TableDailySummary[[#This Row],[Dia]]</f>
        <v>46022</v>
      </c>
      <c r="D251" s="12">
        <f>_xlfn.XLOOKUP(TableDailySummary[[#This Row],[Fecha]],SummaryDaily[day],SummaryDaily[net_sales],0)</f>
        <v>20894873.949999999</v>
      </c>
      <c r="E251" s="12">
        <f>_xlfn.XLOOKUP(TableDailySummary[[#This Row],[Fecha]],SummaryDaily[day],SummaryDaily[orders],0)</f>
        <v>11</v>
      </c>
      <c r="F251" s="12">
        <f>_xlfn.XLOOKUP(TableDailySummary[[#This Row],[Fecha]],SummaryDaily[day],SummaryDaily[average_order_value],0)</f>
        <v>1899533.9950000001</v>
      </c>
      <c r="G251" s="24">
        <f>_xlfn.XLOOKUP(TableDailySummary[[#This Row],[Fecha]],SummaryDaily[day],SummaryDaily[Total site_conversion_rate],0)</f>
        <v>5.3667262969588547E-3</v>
      </c>
      <c r="H251" s="12">
        <f>TableDailySummary[[#This Row],[Órden promedio totales]]*TableDailySummary[[#This Row],[CR totales]]</f>
        <v>10194.279042933811</v>
      </c>
      <c r="I251" s="12">
        <f>_xlfn.XLOOKUP(TableDailySummary[[#This Row],[Fecha]],SummaryDaily[day],SummaryDaily[new_net_sales],0)</f>
        <v>18088151.260000002</v>
      </c>
      <c r="J251" s="12">
        <f>_xlfn.XLOOKUP(TableDailySummary[[#This Row],[Fecha]],SummaryDaily[day],SummaryDaily[new_orders],0)</f>
        <v>7</v>
      </c>
      <c r="K251" s="12">
        <f>_xlfn.XLOOKUP(TableDailySummary[[#This Row],[Fecha]],SummaryDaily[day],SummaryDaily[new_average_order_value],0)</f>
        <v>2584021.608</v>
      </c>
      <c r="L251" s="12">
        <f>_xlfn.XLOOKUP(TableDailySummary[[#This Row],[Fecha]],SummaryDaily[day],SummaryDaily[Online Store_net_sales],0)</f>
        <v>529411.76</v>
      </c>
      <c r="M251" s="12">
        <f>_xlfn.XLOOKUP(TableDailySummary[[#This Row],[Fecha]],SummaryDaily[day],SummaryDaily[Online Store_orders],0)</f>
        <v>3</v>
      </c>
      <c r="N251" s="12">
        <f>_xlfn.XLOOKUP(TableDailySummary[[#This Row],[Fecha]],SummaryDaily[day],SummaryDaily[Online Store_average_order_value],0)</f>
        <v>176470.58600000001</v>
      </c>
      <c r="O251" s="12">
        <f>_xlfn.XLOOKUP(TableDailySummary[[#This Row],[Fecha]],SummaryDaily[day],SummaryDaily[Tienda 81_net_sales],0)</f>
        <v>58823.53</v>
      </c>
      <c r="P251" s="12">
        <f>_xlfn.XLOOKUP(TableDailySummary[[#This Row],[Fecha]],SummaryDaily[day],SummaryDaily[Tienda 81_orders],0)</f>
        <v>1</v>
      </c>
      <c r="Q251" s="12">
        <f>_xlfn.XLOOKUP(TableDailySummary[[#This Row],[Fecha]],SummaryDaily[day],SummaryDaily[Tienda 81_average_order_value],0)</f>
        <v>58823.53</v>
      </c>
      <c r="R251" s="12">
        <f>_xlfn.XLOOKUP(TableDailySummary[[#This Row],[Fecha]],SummaryDaily[day],SummaryDaily[Rappi_net_sales],0)</f>
        <v>134453.78</v>
      </c>
      <c r="S251" s="12">
        <f>_xlfn.XLOOKUP(TableDailySummary[[#This Row],[Fecha]],SummaryDaily[day],SummaryDaily[Rappi_orders],0)</f>
        <v>1</v>
      </c>
      <c r="T251" s="12">
        <f>_xlfn.XLOOKUP(TableDailySummary[[#This Row],[Fecha]],SummaryDaily[day],SummaryDaily[Rappi_average_order_value],0)</f>
        <v>134453.78</v>
      </c>
      <c r="U251" s="12">
        <f>_xlfn.XLOOKUP(TableDailySummary[[#This Row],[Fecha]],SummaryDaily[day],SummaryDaily[Corporativo no tienda_net_sales],0)</f>
        <v>20172184.879999999</v>
      </c>
      <c r="V251" s="12">
        <f>_xlfn.XLOOKUP(TableDailySummary[[#This Row],[Fecha]],SummaryDaily[day],SummaryDaily[Corporativo no tienda_orders],0)</f>
        <v>6</v>
      </c>
      <c r="W251" s="12">
        <f>_xlfn.XLOOKUP(TableDailySummary[[#This Row],[Fecha]],SummaryDaily[day],SummaryDaily[Corporativo no tienda_average_order_value],0)</f>
        <v>3362030.8130000001</v>
      </c>
      <c r="X251" s="12">
        <f>_xlfn.XLOOKUP(TableDailySummary[[#This Row],[Fecha]],SummaryDaily[day],SummaryDaily[GoogleAdsOperation.Cost],0)</f>
        <v>43103.05</v>
      </c>
      <c r="Y251" s="12">
        <f>SUMIFS(SalesByUTMDaily[google],SalesByUTMDaily[day],TableDailySummary[[#This Row],[Fecha]])</f>
        <v>0</v>
      </c>
      <c r="Z251" s="12">
        <f>_xlfn.XLOOKUP(TableDailySummary[[#This Row],[Fecha]],SummaryDaily[day],SummaryDaily[MetaAdsOperation.spend],0)</f>
        <v>54880</v>
      </c>
      <c r="AA251" s="12">
        <f>SUMIFS(SalesByUTMDaily[facebook],SalesByUTMDaily[day],TableDailySummary[[#This Row],[Fecha]])</f>
        <v>0</v>
      </c>
      <c r="AB251" s="12">
        <f>TableDailySummary[[#This Row],[Inversión google ads]]+TableDailySummary[[#This Row],[Inversión meta ads]]</f>
        <v>97983.05</v>
      </c>
      <c r="AC251" s="12">
        <f>TableDailySummary[[#This Row],[Ventas google ads]]+TableDailySummary[[#This Row],[Ventas meta ads]]</f>
        <v>0</v>
      </c>
      <c r="AD251" s="14">
        <f>IFERROR(TableDailySummary[[#This Row],[Ventas publicidad]]/TableDailySummary[[#This Row],[Inversión publicidad]],0)</f>
        <v>0</v>
      </c>
      <c r="AE251" s="14">
        <f>IFERROR(TableDailySummary[[#This Row],[Ventas primer cliente]]/TableDailySummary[[#This Row],[Inversión publicidad]],0)</f>
        <v>184.60490115382203</v>
      </c>
      <c r="AF251" s="14"/>
      <c r="AG251" s="12"/>
      <c r="AM251" s="12">
        <f>_xlfn.XLOOKUP(TableDailySummary[[#This Row],[Fecha]],SummaryDaily[day],SummaryDaily[net_sales_with_cost_recorded],0)</f>
        <v>17213034.809999999</v>
      </c>
      <c r="AN251" s="12">
        <f>_xlfn.XLOOKUP(TableDailySummary[[#This Row],[Fecha]],SummaryDaily[day],SummaryDaily[cost_of_goods_sold],0)</f>
        <v>5783740</v>
      </c>
      <c r="AO251" s="12">
        <f>_xlfn.XLOOKUP(TableDailySummary[[#This Row],[Fecha]],SummaryDaily[day],SummaryDaily[gross_profit],0)</f>
        <v>11429294.810000001</v>
      </c>
      <c r="AP251" s="18">
        <f>IFERROR(TableDailySummary[[#This Row],[Utilidad bruta]]/TableDailySummary[[#This Row],[Ventas netas con costo registrado]],0)</f>
        <v>0.66399068706699493</v>
      </c>
    </row>
    <row r="252" spans="2:42" x14ac:dyDescent="0.2">
      <c r="B252" s="15" cm="1">
        <f t="array" ref="B252">MIN(SummaryDaily[day]) + (ROW(TableDailySummary[#This Row]) - ROW(TableDailySummary[[#Headers],[Dia]]) - 1)</f>
        <v>46023</v>
      </c>
      <c r="C252" s="6">
        <f>TableDailySummary[[#This Row],[Dia]]</f>
        <v>46023</v>
      </c>
      <c r="D252" s="12">
        <f>_xlfn.XLOOKUP(TableDailySummary[[#This Row],[Fecha]],SummaryDaily[day],SummaryDaily[net_sales],0)</f>
        <v>100840.34</v>
      </c>
      <c r="E252" s="12">
        <f>_xlfn.XLOOKUP(TableDailySummary[[#This Row],[Fecha]],SummaryDaily[day],SummaryDaily[orders],0)</f>
        <v>1</v>
      </c>
      <c r="F252" s="12">
        <f>_xlfn.XLOOKUP(TableDailySummary[[#This Row],[Fecha]],SummaryDaily[day],SummaryDaily[average_order_value],0)</f>
        <v>100840.34</v>
      </c>
      <c r="G252" s="24">
        <f>_xlfn.XLOOKUP(TableDailySummary[[#This Row],[Fecha]],SummaryDaily[day],SummaryDaily[Total site_conversion_rate],0)</f>
        <v>1.2422360248447205E-3</v>
      </c>
      <c r="H252" s="12">
        <f>TableDailySummary[[#This Row],[Órden promedio totales]]*TableDailySummary[[#This Row],[CR totales]]</f>
        <v>125.26750310559007</v>
      </c>
      <c r="I252" s="12">
        <f>_xlfn.XLOOKUP(TableDailySummary[[#This Row],[Fecha]],SummaryDaily[day],SummaryDaily[new_net_sales],0)</f>
        <v>100840.34</v>
      </c>
      <c r="J252" s="12">
        <f>_xlfn.XLOOKUP(TableDailySummary[[#This Row],[Fecha]],SummaryDaily[day],SummaryDaily[new_orders],0)</f>
        <v>1</v>
      </c>
      <c r="K252" s="12">
        <f>_xlfn.XLOOKUP(TableDailySummary[[#This Row],[Fecha]],SummaryDaily[day],SummaryDaily[new_average_order_value],0)</f>
        <v>100840.34</v>
      </c>
      <c r="L252" s="12">
        <f>_xlfn.XLOOKUP(TableDailySummary[[#This Row],[Fecha]],SummaryDaily[day],SummaryDaily[Online Store_net_sales],0)</f>
        <v>100840.34</v>
      </c>
      <c r="M252" s="12">
        <f>_xlfn.XLOOKUP(TableDailySummary[[#This Row],[Fecha]],SummaryDaily[day],SummaryDaily[Online Store_orders],0)</f>
        <v>1</v>
      </c>
      <c r="N252" s="12">
        <f>_xlfn.XLOOKUP(TableDailySummary[[#This Row],[Fecha]],SummaryDaily[day],SummaryDaily[Online Store_average_order_value],0)</f>
        <v>100840.34</v>
      </c>
      <c r="O252" s="12">
        <f>_xlfn.XLOOKUP(TableDailySummary[[#This Row],[Fecha]],SummaryDaily[day],SummaryDaily[Tienda 81_net_sales],0)</f>
        <v>0</v>
      </c>
      <c r="P252" s="12">
        <f>_xlfn.XLOOKUP(TableDailySummary[[#This Row],[Fecha]],SummaryDaily[day],SummaryDaily[Tienda 81_orders],0)</f>
        <v>0</v>
      </c>
      <c r="Q252" s="12">
        <f>_xlfn.XLOOKUP(TableDailySummary[[#This Row],[Fecha]],SummaryDaily[day],SummaryDaily[Tienda 81_average_order_value],0)</f>
        <v>0</v>
      </c>
      <c r="R252" s="12">
        <f>_xlfn.XLOOKUP(TableDailySummary[[#This Row],[Fecha]],SummaryDaily[day],SummaryDaily[Rappi_net_sales],0)</f>
        <v>0</v>
      </c>
      <c r="S252" s="12">
        <f>_xlfn.XLOOKUP(TableDailySummary[[#This Row],[Fecha]],SummaryDaily[day],SummaryDaily[Rappi_orders],0)</f>
        <v>0</v>
      </c>
      <c r="T252" s="12">
        <f>_xlfn.XLOOKUP(TableDailySummary[[#This Row],[Fecha]],SummaryDaily[day],SummaryDaily[Rappi_average_order_value],0)</f>
        <v>0</v>
      </c>
      <c r="U252" s="12">
        <f>_xlfn.XLOOKUP(TableDailySummary[[#This Row],[Fecha]],SummaryDaily[day],SummaryDaily[Corporativo no tienda_net_sales],0)</f>
        <v>0</v>
      </c>
      <c r="V252" s="12">
        <f>_xlfn.XLOOKUP(TableDailySummary[[#This Row],[Fecha]],SummaryDaily[day],SummaryDaily[Corporativo no tienda_orders],0)</f>
        <v>0</v>
      </c>
      <c r="W252" s="12">
        <f>_xlfn.XLOOKUP(TableDailySummary[[#This Row],[Fecha]],SummaryDaily[day],SummaryDaily[Corporativo no tienda_average_order_value],0)</f>
        <v>0</v>
      </c>
      <c r="X252" s="12">
        <f>_xlfn.XLOOKUP(TableDailySummary[[#This Row],[Fecha]],SummaryDaily[day],SummaryDaily[GoogleAdsOperation.Cost],0)</f>
        <v>46996.639999999999</v>
      </c>
      <c r="Y252" s="12">
        <f>SUMIFS(SalesByUTMDaily[google],SalesByUTMDaily[day],TableDailySummary[[#This Row],[Fecha]])</f>
        <v>0</v>
      </c>
      <c r="Z252" s="12">
        <f>_xlfn.XLOOKUP(TableDailySummary[[#This Row],[Fecha]],SummaryDaily[day],SummaryDaily[MetaAdsOperation.spend],0)</f>
        <v>50072</v>
      </c>
      <c r="AA252" s="12">
        <f>SUMIFS(SalesByUTMDaily[facebook],SalesByUTMDaily[day],TableDailySummary[[#This Row],[Fecha]])</f>
        <v>132000</v>
      </c>
      <c r="AB252" s="12">
        <f>TableDailySummary[[#This Row],[Inversión google ads]]+TableDailySummary[[#This Row],[Inversión meta ads]]</f>
        <v>97068.64</v>
      </c>
      <c r="AC252" s="12">
        <f>TableDailySummary[[#This Row],[Ventas google ads]]+TableDailySummary[[#This Row],[Ventas meta ads]]</f>
        <v>132000</v>
      </c>
      <c r="AD252" s="14">
        <f>IFERROR(TableDailySummary[[#This Row],[Ventas publicidad]]/TableDailySummary[[#This Row],[Inversión publicidad]],0)</f>
        <v>1.3598624643345163</v>
      </c>
      <c r="AE252" s="14">
        <f>IFERROR(TableDailySummary[[#This Row],[Ventas primer cliente]]/TableDailySummary[[#This Row],[Inversión publicidad]],0)</f>
        <v>1.0388560095206856</v>
      </c>
      <c r="AF252" s="14"/>
      <c r="AG252" s="12"/>
      <c r="AM252" s="12">
        <f>_xlfn.XLOOKUP(TableDailySummary[[#This Row],[Fecha]],SummaryDaily[day],SummaryDaily[net_sales_with_cost_recorded],0)</f>
        <v>100840.34</v>
      </c>
      <c r="AN252" s="12">
        <f>_xlfn.XLOOKUP(TableDailySummary[[#This Row],[Fecha]],SummaryDaily[day],SummaryDaily[cost_of_goods_sold],0)</f>
        <v>41720</v>
      </c>
      <c r="AO252" s="12">
        <f>_xlfn.XLOOKUP(TableDailySummary[[#This Row],[Fecha]],SummaryDaily[day],SummaryDaily[gross_profit],0)</f>
        <v>59120.34</v>
      </c>
      <c r="AP252" s="18">
        <f>IFERROR(TableDailySummary[[#This Row],[Utilidad bruta]]/TableDailySummary[[#This Row],[Ventas netas con costo registrado]],0)</f>
        <v>0.58627668252606047</v>
      </c>
    </row>
    <row r="253" spans="2:42" x14ac:dyDescent="0.2">
      <c r="B253" s="15" cm="1">
        <f t="array" ref="B253">MIN(SummaryDaily[day]) + (ROW(TableDailySummary[#This Row]) - ROW(TableDailySummary[[#Headers],[Dia]]) - 1)</f>
        <v>46024</v>
      </c>
      <c r="C253" s="6">
        <f>TableDailySummary[[#This Row],[Dia]]</f>
        <v>46024</v>
      </c>
      <c r="D253" s="12">
        <f>_xlfn.XLOOKUP(TableDailySummary[[#This Row],[Fecha]],SummaryDaily[day],SummaryDaily[net_sales],0)</f>
        <v>462184.88</v>
      </c>
      <c r="E253" s="12">
        <f>_xlfn.XLOOKUP(TableDailySummary[[#This Row],[Fecha]],SummaryDaily[day],SummaryDaily[orders],0)</f>
        <v>3</v>
      </c>
      <c r="F253" s="12">
        <f>_xlfn.XLOOKUP(TableDailySummary[[#This Row],[Fecha]],SummaryDaily[day],SummaryDaily[average_order_value],0)</f>
        <v>154061.62599999999</v>
      </c>
      <c r="G253" s="24">
        <f>_xlfn.XLOOKUP(TableDailySummary[[#This Row],[Fecha]],SummaryDaily[day],SummaryDaily[Total site_conversion_rate],0)</f>
        <v>4.8622366288492711E-3</v>
      </c>
      <c r="H253" s="12">
        <f>TableDailySummary[[#This Row],[Órden promedio totales]]*TableDailySummary[[#This Row],[CR totales]]</f>
        <v>749.0840810372772</v>
      </c>
      <c r="I253" s="12">
        <f>_xlfn.XLOOKUP(TableDailySummary[[#This Row],[Fecha]],SummaryDaily[day],SummaryDaily[new_net_sales],0)</f>
        <v>285714.28999999998</v>
      </c>
      <c r="J253" s="12">
        <f>_xlfn.XLOOKUP(TableDailySummary[[#This Row],[Fecha]],SummaryDaily[day],SummaryDaily[new_orders],0)</f>
        <v>1</v>
      </c>
      <c r="K253" s="12">
        <f>_xlfn.XLOOKUP(TableDailySummary[[#This Row],[Fecha]],SummaryDaily[day],SummaryDaily[new_average_order_value],0)</f>
        <v>285714.28999999998</v>
      </c>
      <c r="L253" s="12">
        <f>_xlfn.XLOOKUP(TableDailySummary[[#This Row],[Fecha]],SummaryDaily[day],SummaryDaily[Online Store_net_sales],0)</f>
        <v>462184.88</v>
      </c>
      <c r="M253" s="12">
        <f>_xlfn.XLOOKUP(TableDailySummary[[#This Row],[Fecha]],SummaryDaily[day],SummaryDaily[Online Store_orders],0)</f>
        <v>3</v>
      </c>
      <c r="N253" s="12">
        <f>_xlfn.XLOOKUP(TableDailySummary[[#This Row],[Fecha]],SummaryDaily[day],SummaryDaily[Online Store_average_order_value],0)</f>
        <v>154061.62599999999</v>
      </c>
      <c r="O253" s="12">
        <f>_xlfn.XLOOKUP(TableDailySummary[[#This Row],[Fecha]],SummaryDaily[day],SummaryDaily[Tienda 81_net_sales],0)</f>
        <v>0</v>
      </c>
      <c r="P253" s="12">
        <f>_xlfn.XLOOKUP(TableDailySummary[[#This Row],[Fecha]],SummaryDaily[day],SummaryDaily[Tienda 81_orders],0)</f>
        <v>0</v>
      </c>
      <c r="Q253" s="12">
        <f>_xlfn.XLOOKUP(TableDailySummary[[#This Row],[Fecha]],SummaryDaily[day],SummaryDaily[Tienda 81_average_order_value],0)</f>
        <v>0</v>
      </c>
      <c r="R253" s="12">
        <f>_xlfn.XLOOKUP(TableDailySummary[[#This Row],[Fecha]],SummaryDaily[day],SummaryDaily[Rappi_net_sales],0)</f>
        <v>0</v>
      </c>
      <c r="S253" s="12">
        <f>_xlfn.XLOOKUP(TableDailySummary[[#This Row],[Fecha]],SummaryDaily[day],SummaryDaily[Rappi_orders],0)</f>
        <v>0</v>
      </c>
      <c r="T253" s="12">
        <f>_xlfn.XLOOKUP(TableDailySummary[[#This Row],[Fecha]],SummaryDaily[day],SummaryDaily[Rappi_average_order_value],0)</f>
        <v>0</v>
      </c>
      <c r="U253" s="12">
        <f>_xlfn.XLOOKUP(TableDailySummary[[#This Row],[Fecha]],SummaryDaily[day],SummaryDaily[Corporativo no tienda_net_sales],0)</f>
        <v>0</v>
      </c>
      <c r="V253" s="12">
        <f>_xlfn.XLOOKUP(TableDailySummary[[#This Row],[Fecha]],SummaryDaily[day],SummaryDaily[Corporativo no tienda_orders],0)</f>
        <v>0</v>
      </c>
      <c r="W253" s="12">
        <f>_xlfn.XLOOKUP(TableDailySummary[[#This Row],[Fecha]],SummaryDaily[day],SummaryDaily[Corporativo no tienda_average_order_value],0)</f>
        <v>0</v>
      </c>
      <c r="X253" s="12">
        <f>_xlfn.XLOOKUP(TableDailySummary[[#This Row],[Fecha]],SummaryDaily[day],SummaryDaily[GoogleAdsOperation.Cost],0)</f>
        <v>52997.09</v>
      </c>
      <c r="Y253" s="12">
        <f>SUMIFS(SalesByUTMDaily[google],SalesByUTMDaily[day],TableDailySummary[[#This Row],[Fecha]])</f>
        <v>0</v>
      </c>
      <c r="Z253" s="12">
        <f>_xlfn.XLOOKUP(TableDailySummary[[#This Row],[Fecha]],SummaryDaily[day],SummaryDaily[MetaAdsOperation.spend],0)</f>
        <v>49328</v>
      </c>
      <c r="AA253" s="12">
        <f>SUMIFS(SalesByUTMDaily[facebook],SalesByUTMDaily[day],TableDailySummary[[#This Row],[Fecha]])</f>
        <v>0</v>
      </c>
      <c r="AB253" s="12">
        <f>TableDailySummary[[#This Row],[Inversión google ads]]+TableDailySummary[[#This Row],[Inversión meta ads]]</f>
        <v>102325.09</v>
      </c>
      <c r="AC253" s="12">
        <f>TableDailySummary[[#This Row],[Ventas google ads]]+TableDailySummary[[#This Row],[Ventas meta ads]]</f>
        <v>0</v>
      </c>
      <c r="AD253" s="14">
        <f>IFERROR(TableDailySummary[[#This Row],[Ventas publicidad]]/TableDailySummary[[#This Row],[Inversión publicidad]],0)</f>
        <v>0</v>
      </c>
      <c r="AE253" s="14">
        <f>IFERROR(TableDailySummary[[#This Row],[Ventas primer cliente]]/TableDailySummary[[#This Row],[Inversión publicidad]],0)</f>
        <v>2.7922212430988331</v>
      </c>
      <c r="AF253" s="14"/>
      <c r="AG253" s="12"/>
      <c r="AM253" s="12">
        <f>_xlfn.XLOOKUP(TableDailySummary[[#This Row],[Fecha]],SummaryDaily[day],SummaryDaily[net_sales_with_cost_recorded],0)</f>
        <v>462184.88</v>
      </c>
      <c r="AN253" s="12">
        <f>_xlfn.XLOOKUP(TableDailySummary[[#This Row],[Fecha]],SummaryDaily[day],SummaryDaily[cost_of_goods_sold],0)</f>
        <v>134383</v>
      </c>
      <c r="AO253" s="12">
        <f>_xlfn.XLOOKUP(TableDailySummary[[#This Row],[Fecha]],SummaryDaily[day],SummaryDaily[gross_profit],0)</f>
        <v>327801.88</v>
      </c>
      <c r="AP253" s="18">
        <f>IFERROR(TableDailySummary[[#This Row],[Utilidad bruta]]/TableDailySummary[[#This Row],[Ventas netas con costo registrado]],0)</f>
        <v>0.70924405835171411</v>
      </c>
    </row>
    <row r="254" spans="2:42" x14ac:dyDescent="0.2">
      <c r="B254" s="15" cm="1">
        <f t="array" ref="B254">MIN(SummaryDaily[day]) + (ROW(TableDailySummary[#This Row]) - ROW(TableDailySummary[[#Headers],[Dia]]) - 1)</f>
        <v>46025</v>
      </c>
      <c r="C254" s="6">
        <f>TableDailySummary[[#This Row],[Dia]]</f>
        <v>46025</v>
      </c>
      <c r="D254" s="12">
        <f>_xlfn.XLOOKUP(TableDailySummary[[#This Row],[Fecha]],SummaryDaily[day],SummaryDaily[net_sales],0)</f>
        <v>636974.80000000005</v>
      </c>
      <c r="E254" s="12">
        <f>_xlfn.XLOOKUP(TableDailySummary[[#This Row],[Fecha]],SummaryDaily[day],SummaryDaily[orders],0)</f>
        <v>6</v>
      </c>
      <c r="F254" s="12">
        <f>_xlfn.XLOOKUP(TableDailySummary[[#This Row],[Fecha]],SummaryDaily[day],SummaryDaily[average_order_value],0)</f>
        <v>106162.466</v>
      </c>
      <c r="G254" s="24">
        <f>_xlfn.XLOOKUP(TableDailySummary[[#This Row],[Fecha]],SummaryDaily[day],SummaryDaily[Total site_conversion_rate],0)</f>
        <v>8.5324232081911266E-3</v>
      </c>
      <c r="H254" s="12">
        <f>TableDailySummary[[#This Row],[Órden promedio totales]]*TableDailySummary[[#This Row],[CR totales]]</f>
        <v>905.82308873720137</v>
      </c>
      <c r="I254" s="12">
        <f>_xlfn.XLOOKUP(TableDailySummary[[#This Row],[Fecha]],SummaryDaily[day],SummaryDaily[new_net_sales],0)</f>
        <v>411764.71</v>
      </c>
      <c r="J254" s="12">
        <f>_xlfn.XLOOKUP(TableDailySummary[[#This Row],[Fecha]],SummaryDaily[day],SummaryDaily[new_orders],0)</f>
        <v>4</v>
      </c>
      <c r="K254" s="12">
        <f>_xlfn.XLOOKUP(TableDailySummary[[#This Row],[Fecha]],SummaryDaily[day],SummaryDaily[new_average_order_value],0)</f>
        <v>102941.177</v>
      </c>
      <c r="L254" s="12">
        <f>_xlfn.XLOOKUP(TableDailySummary[[#This Row],[Fecha]],SummaryDaily[day],SummaryDaily[Online Store_net_sales],0)</f>
        <v>578151.27</v>
      </c>
      <c r="M254" s="12">
        <f>_xlfn.XLOOKUP(TableDailySummary[[#This Row],[Fecha]],SummaryDaily[day],SummaryDaily[Online Store_orders],0)</f>
        <v>5</v>
      </c>
      <c r="N254" s="12">
        <f>_xlfn.XLOOKUP(TableDailySummary[[#This Row],[Fecha]],SummaryDaily[day],SummaryDaily[Online Store_average_order_value],0)</f>
        <v>115630.254</v>
      </c>
      <c r="O254" s="12">
        <f>_xlfn.XLOOKUP(TableDailySummary[[#This Row],[Fecha]],SummaryDaily[day],SummaryDaily[Tienda 81_net_sales],0)</f>
        <v>58823.53</v>
      </c>
      <c r="P254" s="12">
        <f>_xlfn.XLOOKUP(TableDailySummary[[#This Row],[Fecha]],SummaryDaily[day],SummaryDaily[Tienda 81_orders],0)</f>
        <v>1</v>
      </c>
      <c r="Q254" s="12">
        <f>_xlfn.XLOOKUP(TableDailySummary[[#This Row],[Fecha]],SummaryDaily[day],SummaryDaily[Tienda 81_average_order_value],0)</f>
        <v>58823.53</v>
      </c>
      <c r="R254" s="12">
        <f>_xlfn.XLOOKUP(TableDailySummary[[#This Row],[Fecha]],SummaryDaily[day],SummaryDaily[Rappi_net_sales],0)</f>
        <v>0</v>
      </c>
      <c r="S254" s="12">
        <f>_xlfn.XLOOKUP(TableDailySummary[[#This Row],[Fecha]],SummaryDaily[day],SummaryDaily[Rappi_orders],0)</f>
        <v>0</v>
      </c>
      <c r="T254" s="12">
        <f>_xlfn.XLOOKUP(TableDailySummary[[#This Row],[Fecha]],SummaryDaily[day],SummaryDaily[Rappi_average_order_value],0)</f>
        <v>0</v>
      </c>
      <c r="U254" s="12">
        <f>_xlfn.XLOOKUP(TableDailySummary[[#This Row],[Fecha]],SummaryDaily[day],SummaryDaily[Corporativo no tienda_net_sales],0)</f>
        <v>0</v>
      </c>
      <c r="V254" s="12">
        <f>_xlfn.XLOOKUP(TableDailySummary[[#This Row],[Fecha]],SummaryDaily[day],SummaryDaily[Corporativo no tienda_orders],0)</f>
        <v>0</v>
      </c>
      <c r="W254" s="12">
        <f>_xlfn.XLOOKUP(TableDailySummary[[#This Row],[Fecha]],SummaryDaily[day],SummaryDaily[Corporativo no tienda_average_order_value],0)</f>
        <v>0</v>
      </c>
      <c r="X254" s="12">
        <f>_xlfn.XLOOKUP(TableDailySummary[[#This Row],[Fecha]],SummaryDaily[day],SummaryDaily[GoogleAdsOperation.Cost],0)</f>
        <v>42529.24</v>
      </c>
      <c r="Y254" s="12">
        <f>SUMIFS(SalesByUTMDaily[google],SalesByUTMDaily[day],TableDailySummary[[#This Row],[Fecha]])</f>
        <v>0</v>
      </c>
      <c r="Z254" s="12">
        <f>_xlfn.XLOOKUP(TableDailySummary[[#This Row],[Fecha]],SummaryDaily[day],SummaryDaily[MetaAdsOperation.spend],0)</f>
        <v>48747</v>
      </c>
      <c r="AA254" s="12">
        <f>SUMIFS(SalesByUTMDaily[facebook],SalesByUTMDaily[day],TableDailySummary[[#This Row],[Fecha]])</f>
        <v>456000</v>
      </c>
      <c r="AB254" s="12">
        <f>TableDailySummary[[#This Row],[Inversión google ads]]+TableDailySummary[[#This Row],[Inversión meta ads]]</f>
        <v>91276.239999999991</v>
      </c>
      <c r="AC254" s="12">
        <f>TableDailySummary[[#This Row],[Ventas google ads]]+TableDailySummary[[#This Row],[Ventas meta ads]]</f>
        <v>456000</v>
      </c>
      <c r="AD254" s="14">
        <f>IFERROR(TableDailySummary[[#This Row],[Ventas publicidad]]/TableDailySummary[[#This Row],[Inversión publicidad]],0)</f>
        <v>4.9958236667066922</v>
      </c>
      <c r="AE254" s="14">
        <f>IFERROR(TableDailySummary[[#This Row],[Ventas primer cliente]]/TableDailySummary[[#This Row],[Inversión publicidad]],0)</f>
        <v>4.5111927266066179</v>
      </c>
      <c r="AF254" s="14"/>
      <c r="AG254" s="12"/>
      <c r="AM254" s="12">
        <f>_xlfn.XLOOKUP(TableDailySummary[[#This Row],[Fecha]],SummaryDaily[day],SummaryDaily[net_sales_with_cost_recorded],0)</f>
        <v>636974.80000000005</v>
      </c>
      <c r="AN254" s="12">
        <f>_xlfn.XLOOKUP(TableDailySummary[[#This Row],[Fecha]],SummaryDaily[day],SummaryDaily[cost_of_goods_sold],0)</f>
        <v>216998</v>
      </c>
      <c r="AO254" s="12">
        <f>_xlfn.XLOOKUP(TableDailySummary[[#This Row],[Fecha]],SummaryDaily[day],SummaryDaily[gross_profit],0)</f>
        <v>419976.8</v>
      </c>
      <c r="AP254" s="18">
        <f>IFERROR(TableDailySummary[[#This Row],[Utilidad bruta]]/TableDailySummary[[#This Row],[Ventas netas con costo registrado]],0)</f>
        <v>0.65933032201587871</v>
      </c>
    </row>
    <row r="255" spans="2:42" x14ac:dyDescent="0.2">
      <c r="B255" s="15" cm="1">
        <f t="array" ref="B255">MIN(SummaryDaily[day]) + (ROW(TableDailySummary[#This Row]) - ROW(TableDailySummary[[#Headers],[Dia]]) - 1)</f>
        <v>46026</v>
      </c>
      <c r="C255" s="6">
        <f>TableDailySummary[[#This Row],[Dia]]</f>
        <v>46026</v>
      </c>
      <c r="D255" s="12">
        <f>_xlfn.XLOOKUP(TableDailySummary[[#This Row],[Fecha]],SummaryDaily[day],SummaryDaily[net_sales],0)</f>
        <v>344537.82</v>
      </c>
      <c r="E255" s="12">
        <f>_xlfn.XLOOKUP(TableDailySummary[[#This Row],[Fecha]],SummaryDaily[day],SummaryDaily[orders],0)</f>
        <v>3</v>
      </c>
      <c r="F255" s="12">
        <f>_xlfn.XLOOKUP(TableDailySummary[[#This Row],[Fecha]],SummaryDaily[day],SummaryDaily[average_order_value],0)</f>
        <v>114845.94</v>
      </c>
      <c r="G255" s="24">
        <f>_xlfn.XLOOKUP(TableDailySummary[[#This Row],[Fecha]],SummaryDaily[day],SummaryDaily[Total site_conversion_rate],0)</f>
        <v>5.5045871559633031E-3</v>
      </c>
      <c r="H255" s="12">
        <f>TableDailySummary[[#This Row],[Órden promedio totales]]*TableDailySummary[[#This Row],[CR totales]]</f>
        <v>632.17948623853215</v>
      </c>
      <c r="I255" s="12">
        <f>_xlfn.XLOOKUP(TableDailySummary[[#This Row],[Fecha]],SummaryDaily[day],SummaryDaily[new_net_sales],0)</f>
        <v>289915.96999999997</v>
      </c>
      <c r="J255" s="12">
        <f>_xlfn.XLOOKUP(TableDailySummary[[#This Row],[Fecha]],SummaryDaily[day],SummaryDaily[new_orders],0)</f>
        <v>2</v>
      </c>
      <c r="K255" s="12">
        <f>_xlfn.XLOOKUP(TableDailySummary[[#This Row],[Fecha]],SummaryDaily[day],SummaryDaily[new_average_order_value],0)</f>
        <v>144957.98499999999</v>
      </c>
      <c r="L255" s="12">
        <f>_xlfn.XLOOKUP(TableDailySummary[[#This Row],[Fecha]],SummaryDaily[day],SummaryDaily[Online Store_net_sales],0)</f>
        <v>344537.82</v>
      </c>
      <c r="M255" s="12">
        <f>_xlfn.XLOOKUP(TableDailySummary[[#This Row],[Fecha]],SummaryDaily[day],SummaryDaily[Online Store_orders],0)</f>
        <v>3</v>
      </c>
      <c r="N255" s="12">
        <f>_xlfn.XLOOKUP(TableDailySummary[[#This Row],[Fecha]],SummaryDaily[day],SummaryDaily[Online Store_average_order_value],0)</f>
        <v>114845.94</v>
      </c>
      <c r="O255" s="12">
        <f>_xlfn.XLOOKUP(TableDailySummary[[#This Row],[Fecha]],SummaryDaily[day],SummaryDaily[Tienda 81_net_sales],0)</f>
        <v>0</v>
      </c>
      <c r="P255" s="12">
        <f>_xlfn.XLOOKUP(TableDailySummary[[#This Row],[Fecha]],SummaryDaily[day],SummaryDaily[Tienda 81_orders],0)</f>
        <v>0</v>
      </c>
      <c r="Q255" s="12">
        <f>_xlfn.XLOOKUP(TableDailySummary[[#This Row],[Fecha]],SummaryDaily[day],SummaryDaily[Tienda 81_average_order_value],0)</f>
        <v>0</v>
      </c>
      <c r="R255" s="12">
        <f>_xlfn.XLOOKUP(TableDailySummary[[#This Row],[Fecha]],SummaryDaily[day],SummaryDaily[Rappi_net_sales],0)</f>
        <v>0</v>
      </c>
      <c r="S255" s="12">
        <f>_xlfn.XLOOKUP(TableDailySummary[[#This Row],[Fecha]],SummaryDaily[day],SummaryDaily[Rappi_orders],0)</f>
        <v>0</v>
      </c>
      <c r="T255" s="12">
        <f>_xlfn.XLOOKUP(TableDailySummary[[#This Row],[Fecha]],SummaryDaily[day],SummaryDaily[Rappi_average_order_value],0)</f>
        <v>0</v>
      </c>
      <c r="U255" s="12">
        <f>_xlfn.XLOOKUP(TableDailySummary[[#This Row],[Fecha]],SummaryDaily[day],SummaryDaily[Corporativo no tienda_net_sales],0)</f>
        <v>0</v>
      </c>
      <c r="V255" s="12">
        <f>_xlfn.XLOOKUP(TableDailySummary[[#This Row],[Fecha]],SummaryDaily[day],SummaryDaily[Corporativo no tienda_orders],0)</f>
        <v>0</v>
      </c>
      <c r="W255" s="12">
        <f>_xlfn.XLOOKUP(TableDailySummary[[#This Row],[Fecha]],SummaryDaily[day],SummaryDaily[Corporativo no tienda_average_order_value],0)</f>
        <v>0</v>
      </c>
      <c r="X255" s="12">
        <f>_xlfn.XLOOKUP(TableDailySummary[[#This Row],[Fecha]],SummaryDaily[day],SummaryDaily[GoogleAdsOperation.Cost],0)</f>
        <v>48758.42</v>
      </c>
      <c r="Y255" s="12">
        <f>SUMIFS(SalesByUTMDaily[google],SalesByUTMDaily[day],TableDailySummary[[#This Row],[Fecha]])</f>
        <v>0</v>
      </c>
      <c r="Z255" s="12">
        <f>_xlfn.XLOOKUP(TableDailySummary[[#This Row],[Fecha]],SummaryDaily[day],SummaryDaily[MetaAdsOperation.spend],0)</f>
        <v>56644</v>
      </c>
      <c r="AA255" s="12">
        <f>SUMIFS(SalesByUTMDaily[facebook],SalesByUTMDaily[day],TableDailySummary[[#This Row],[Fecha]])</f>
        <v>0</v>
      </c>
      <c r="AB255" s="12">
        <f>TableDailySummary[[#This Row],[Inversión google ads]]+TableDailySummary[[#This Row],[Inversión meta ads]]</f>
        <v>105402.42</v>
      </c>
      <c r="AC255" s="12">
        <f>TableDailySummary[[#This Row],[Ventas google ads]]+TableDailySummary[[#This Row],[Ventas meta ads]]</f>
        <v>0</v>
      </c>
      <c r="AD255" s="14">
        <f>IFERROR(TableDailySummary[[#This Row],[Ventas publicidad]]/TableDailySummary[[#This Row],[Inversión publicidad]],0)</f>
        <v>0</v>
      </c>
      <c r="AE255" s="14">
        <f>IFERROR(TableDailySummary[[#This Row],[Ventas primer cliente]]/TableDailySummary[[#This Row],[Inversión publicidad]],0)</f>
        <v>2.7505627479900365</v>
      </c>
      <c r="AF255" s="14"/>
      <c r="AG255" s="12"/>
      <c r="AM255" s="12">
        <f>_xlfn.XLOOKUP(TableDailySummary[[#This Row],[Fecha]],SummaryDaily[day],SummaryDaily[net_sales_with_cost_recorded],0)</f>
        <v>344537.82</v>
      </c>
      <c r="AN255" s="12">
        <f>_xlfn.XLOOKUP(TableDailySummary[[#This Row],[Fecha]],SummaryDaily[day],SummaryDaily[cost_of_goods_sold],0)</f>
        <v>136786</v>
      </c>
      <c r="AO255" s="12">
        <f>_xlfn.XLOOKUP(TableDailySummary[[#This Row],[Fecha]],SummaryDaily[day],SummaryDaily[gross_profit],0)</f>
        <v>207751.82</v>
      </c>
      <c r="AP255" s="18">
        <f>IFERROR(TableDailySummary[[#This Row],[Utilidad bruta]]/TableDailySummary[[#This Row],[Ventas netas con costo registrado]],0)</f>
        <v>0.60298698122603789</v>
      </c>
    </row>
    <row r="256" spans="2:42" x14ac:dyDescent="0.2">
      <c r="B256" s="15" cm="1">
        <f t="array" ref="B256">MIN(SummaryDaily[day]) + (ROW(TableDailySummary[#This Row]) - ROW(TableDailySummary[[#Headers],[Dia]]) - 1)</f>
        <v>46027</v>
      </c>
      <c r="C256" s="6">
        <f>TableDailySummary[[#This Row],[Dia]]</f>
        <v>46027</v>
      </c>
      <c r="D256" s="12">
        <f>_xlfn.XLOOKUP(TableDailySummary[[#This Row],[Fecha]],SummaryDaily[day],SummaryDaily[net_sales],0)</f>
        <v>1796218.5</v>
      </c>
      <c r="E256" s="12">
        <f>_xlfn.XLOOKUP(TableDailySummary[[#This Row],[Fecha]],SummaryDaily[day],SummaryDaily[orders],0)</f>
        <v>13</v>
      </c>
      <c r="F256" s="12">
        <f>_xlfn.XLOOKUP(TableDailySummary[[#This Row],[Fecha]],SummaryDaily[day],SummaryDaily[average_order_value],0)</f>
        <v>138170.65299999999</v>
      </c>
      <c r="G256" s="24">
        <f>_xlfn.XLOOKUP(TableDailySummary[[#This Row],[Fecha]],SummaryDaily[day],SummaryDaily[Total site_conversion_rate],0)</f>
        <v>7.5075075075075074E-3</v>
      </c>
      <c r="H256" s="12">
        <f>TableDailySummary[[#This Row],[Órden promedio totales]]*TableDailySummary[[#This Row],[CR totales]]</f>
        <v>1037.3172147147147</v>
      </c>
      <c r="I256" s="12">
        <f>_xlfn.XLOOKUP(TableDailySummary[[#This Row],[Fecha]],SummaryDaily[day],SummaryDaily[new_net_sales],0)</f>
        <v>521008.41</v>
      </c>
      <c r="J256" s="12">
        <f>_xlfn.XLOOKUP(TableDailySummary[[#This Row],[Fecha]],SummaryDaily[day],SummaryDaily[new_orders],0)</f>
        <v>6</v>
      </c>
      <c r="K256" s="12">
        <f>_xlfn.XLOOKUP(TableDailySummary[[#This Row],[Fecha]],SummaryDaily[day],SummaryDaily[new_average_order_value],0)</f>
        <v>86834.735000000001</v>
      </c>
      <c r="L256" s="12">
        <f>_xlfn.XLOOKUP(TableDailySummary[[#This Row],[Fecha]],SummaryDaily[day],SummaryDaily[Online Store_net_sales],0)</f>
        <v>1208403.3700000001</v>
      </c>
      <c r="M256" s="12">
        <f>_xlfn.XLOOKUP(TableDailySummary[[#This Row],[Fecha]],SummaryDaily[day],SummaryDaily[Online Store_orders],0)</f>
        <v>6</v>
      </c>
      <c r="N256" s="12">
        <f>_xlfn.XLOOKUP(TableDailySummary[[#This Row],[Fecha]],SummaryDaily[day],SummaryDaily[Online Store_average_order_value],0)</f>
        <v>201400.56099999999</v>
      </c>
      <c r="O256" s="12">
        <f>_xlfn.XLOOKUP(TableDailySummary[[#This Row],[Fecha]],SummaryDaily[day],SummaryDaily[Tienda 81_net_sales],0)</f>
        <v>587815.13</v>
      </c>
      <c r="P256" s="12">
        <f>_xlfn.XLOOKUP(TableDailySummary[[#This Row],[Fecha]],SummaryDaily[day],SummaryDaily[Tienda 81_orders],0)</f>
        <v>7</v>
      </c>
      <c r="Q256" s="12">
        <f>_xlfn.XLOOKUP(TableDailySummary[[#This Row],[Fecha]],SummaryDaily[day],SummaryDaily[Tienda 81_average_order_value],0)</f>
        <v>83973.59</v>
      </c>
      <c r="R256" s="12">
        <f>_xlfn.XLOOKUP(TableDailySummary[[#This Row],[Fecha]],SummaryDaily[day],SummaryDaily[Rappi_net_sales],0)</f>
        <v>0</v>
      </c>
      <c r="S256" s="12">
        <f>_xlfn.XLOOKUP(TableDailySummary[[#This Row],[Fecha]],SummaryDaily[day],SummaryDaily[Rappi_orders],0)</f>
        <v>0</v>
      </c>
      <c r="T256" s="12">
        <f>_xlfn.XLOOKUP(TableDailySummary[[#This Row],[Fecha]],SummaryDaily[day],SummaryDaily[Rappi_average_order_value],0)</f>
        <v>0</v>
      </c>
      <c r="U256" s="12">
        <f>_xlfn.XLOOKUP(TableDailySummary[[#This Row],[Fecha]],SummaryDaily[day],SummaryDaily[Corporativo no tienda_net_sales],0)</f>
        <v>0</v>
      </c>
      <c r="V256" s="12">
        <f>_xlfn.XLOOKUP(TableDailySummary[[#This Row],[Fecha]],SummaryDaily[day],SummaryDaily[Corporativo no tienda_orders],0)</f>
        <v>0</v>
      </c>
      <c r="W256" s="12">
        <f>_xlfn.XLOOKUP(TableDailySummary[[#This Row],[Fecha]],SummaryDaily[day],SummaryDaily[Corporativo no tienda_average_order_value],0)</f>
        <v>0</v>
      </c>
      <c r="X256" s="12">
        <f>_xlfn.XLOOKUP(TableDailySummary[[#This Row],[Fecha]],SummaryDaily[day],SummaryDaily[GoogleAdsOperation.Cost],0)</f>
        <v>59497.03</v>
      </c>
      <c r="Y256" s="12">
        <f>SUMIFS(SalesByUTMDaily[google],SalesByUTMDaily[day],TableDailySummary[[#This Row],[Fecha]])</f>
        <v>0</v>
      </c>
      <c r="Z256" s="12">
        <f>_xlfn.XLOOKUP(TableDailySummary[[#This Row],[Fecha]],SummaryDaily[day],SummaryDaily[MetaAdsOperation.spend],0)</f>
        <v>50335</v>
      </c>
      <c r="AA256" s="12">
        <f>SUMIFS(SalesByUTMDaily[facebook],SalesByUTMDaily[day],TableDailySummary[[#This Row],[Fecha]])</f>
        <v>0</v>
      </c>
      <c r="AB256" s="12">
        <f>TableDailySummary[[#This Row],[Inversión google ads]]+TableDailySummary[[#This Row],[Inversión meta ads]]</f>
        <v>109832.03</v>
      </c>
      <c r="AC256" s="12">
        <f>TableDailySummary[[#This Row],[Ventas google ads]]+TableDailySummary[[#This Row],[Ventas meta ads]]</f>
        <v>0</v>
      </c>
      <c r="AD256" s="14">
        <f>IFERROR(TableDailySummary[[#This Row],[Ventas publicidad]]/TableDailySummary[[#This Row],[Inversión publicidad]],0)</f>
        <v>0</v>
      </c>
      <c r="AE256" s="14">
        <f>IFERROR(TableDailySummary[[#This Row],[Ventas primer cliente]]/TableDailySummary[[#This Row],[Inversión publicidad]],0)</f>
        <v>4.7436836959127495</v>
      </c>
      <c r="AF256" s="14"/>
      <c r="AG256" s="12"/>
      <c r="AM256" s="12">
        <f>_xlfn.XLOOKUP(TableDailySummary[[#This Row],[Fecha]],SummaryDaily[day],SummaryDaily[net_sales_with_cost_recorded],0)</f>
        <v>1796218.5</v>
      </c>
      <c r="AN256" s="12">
        <f>_xlfn.XLOOKUP(TableDailySummary[[#This Row],[Fecha]],SummaryDaily[day],SummaryDaily[cost_of_goods_sold],0)</f>
        <v>626672</v>
      </c>
      <c r="AO256" s="12">
        <f>_xlfn.XLOOKUP(TableDailySummary[[#This Row],[Fecha]],SummaryDaily[day],SummaryDaily[gross_profit],0)</f>
        <v>1169546.5</v>
      </c>
      <c r="AP256" s="18">
        <f>IFERROR(TableDailySummary[[#This Row],[Utilidad bruta]]/TableDailySummary[[#This Row],[Ventas netas con costo registrado]],0)</f>
        <v>0.65111594162959574</v>
      </c>
    </row>
    <row r="257" spans="2:42" x14ac:dyDescent="0.2">
      <c r="B257" s="15" cm="1">
        <f t="array" ref="B257">MIN(SummaryDaily[day]) + (ROW(TableDailySummary[#This Row]) - ROW(TableDailySummary[[#Headers],[Dia]]) - 1)</f>
        <v>46028</v>
      </c>
      <c r="C257" s="6">
        <f>TableDailySummary[[#This Row],[Dia]]</f>
        <v>46028</v>
      </c>
      <c r="D257" s="12">
        <f>_xlfn.XLOOKUP(TableDailySummary[[#This Row],[Fecha]],SummaryDaily[day],SummaryDaily[net_sales],0)</f>
        <v>1344117.66</v>
      </c>
      <c r="E257" s="12">
        <f>_xlfn.XLOOKUP(TableDailySummary[[#This Row],[Fecha]],SummaryDaily[day],SummaryDaily[orders],0)</f>
        <v>11</v>
      </c>
      <c r="F257" s="12">
        <f>_xlfn.XLOOKUP(TableDailySummary[[#This Row],[Fecha]],SummaryDaily[day],SummaryDaily[average_order_value],0)</f>
        <v>122192.514</v>
      </c>
      <c r="G257" s="24">
        <f>_xlfn.XLOOKUP(TableDailySummary[[#This Row],[Fecha]],SummaryDaily[day],SummaryDaily[Total site_conversion_rate],0)</f>
        <v>4.4910179640718561E-3</v>
      </c>
      <c r="H257" s="12">
        <f>TableDailySummary[[#This Row],[Órden promedio totales]]*TableDailySummary[[#This Row],[CR totales]]</f>
        <v>548.76877544910178</v>
      </c>
      <c r="I257" s="12">
        <f>_xlfn.XLOOKUP(TableDailySummary[[#This Row],[Fecha]],SummaryDaily[day],SummaryDaily[new_net_sales],0)</f>
        <v>558823.53</v>
      </c>
      <c r="J257" s="12">
        <f>_xlfn.XLOOKUP(TableDailySummary[[#This Row],[Fecha]],SummaryDaily[day],SummaryDaily[new_orders],0)</f>
        <v>3</v>
      </c>
      <c r="K257" s="12">
        <f>_xlfn.XLOOKUP(TableDailySummary[[#This Row],[Fecha]],SummaryDaily[day],SummaryDaily[new_average_order_value],0)</f>
        <v>186274.51</v>
      </c>
      <c r="L257" s="12">
        <f>_xlfn.XLOOKUP(TableDailySummary[[#This Row],[Fecha]],SummaryDaily[day],SummaryDaily[Online Store_net_sales],0)</f>
        <v>302521.02</v>
      </c>
      <c r="M257" s="12">
        <f>_xlfn.XLOOKUP(TableDailySummary[[#This Row],[Fecha]],SummaryDaily[day],SummaryDaily[Online Store_orders],0)</f>
        <v>3</v>
      </c>
      <c r="N257" s="12">
        <f>_xlfn.XLOOKUP(TableDailySummary[[#This Row],[Fecha]],SummaryDaily[day],SummaryDaily[Online Store_average_order_value],0)</f>
        <v>100840.34</v>
      </c>
      <c r="O257" s="12">
        <f>_xlfn.XLOOKUP(TableDailySummary[[#This Row],[Fecha]],SummaryDaily[day],SummaryDaily[Tienda 81_net_sales],0)</f>
        <v>995378.15</v>
      </c>
      <c r="P257" s="12">
        <f>_xlfn.XLOOKUP(TableDailySummary[[#This Row],[Fecha]],SummaryDaily[day],SummaryDaily[Tienda 81_orders],0)</f>
        <v>7</v>
      </c>
      <c r="Q257" s="12">
        <f>_xlfn.XLOOKUP(TableDailySummary[[#This Row],[Fecha]],SummaryDaily[day],SummaryDaily[Tienda 81_average_order_value],0)</f>
        <v>142196.878</v>
      </c>
      <c r="R257" s="12">
        <f>_xlfn.XLOOKUP(TableDailySummary[[#This Row],[Fecha]],SummaryDaily[day],SummaryDaily[Rappi_net_sales],0)</f>
        <v>46218.49</v>
      </c>
      <c r="S257" s="12">
        <f>_xlfn.XLOOKUP(TableDailySummary[[#This Row],[Fecha]],SummaryDaily[day],SummaryDaily[Rappi_orders],0)</f>
        <v>1</v>
      </c>
      <c r="T257" s="12">
        <f>_xlfn.XLOOKUP(TableDailySummary[[#This Row],[Fecha]],SummaryDaily[day],SummaryDaily[Rappi_average_order_value],0)</f>
        <v>46218.49</v>
      </c>
      <c r="U257" s="12">
        <f>_xlfn.XLOOKUP(TableDailySummary[[#This Row],[Fecha]],SummaryDaily[day],SummaryDaily[Corporativo no tienda_net_sales],0)</f>
        <v>0</v>
      </c>
      <c r="V257" s="12">
        <f>_xlfn.XLOOKUP(TableDailySummary[[#This Row],[Fecha]],SummaryDaily[day],SummaryDaily[Corporativo no tienda_orders],0)</f>
        <v>0</v>
      </c>
      <c r="W257" s="12">
        <f>_xlfn.XLOOKUP(TableDailySummary[[#This Row],[Fecha]],SummaryDaily[day],SummaryDaily[Corporativo no tienda_average_order_value],0)</f>
        <v>0</v>
      </c>
      <c r="X257" s="12">
        <f>_xlfn.XLOOKUP(TableDailySummary[[#This Row],[Fecha]],SummaryDaily[day],SummaryDaily[GoogleAdsOperation.Cost],0)</f>
        <v>41845.129999999997</v>
      </c>
      <c r="Y257" s="12">
        <f>SUMIFS(SalesByUTMDaily[google],SalesByUTMDaily[day],TableDailySummary[[#This Row],[Fecha]])</f>
        <v>0</v>
      </c>
      <c r="Z257" s="12">
        <f>_xlfn.XLOOKUP(TableDailySummary[[#This Row],[Fecha]],SummaryDaily[day],SummaryDaily[MetaAdsOperation.spend],0)</f>
        <v>52313</v>
      </c>
      <c r="AA257" s="12">
        <f>SUMIFS(SalesByUTMDaily[facebook],SalesByUTMDaily[day],TableDailySummary[[#This Row],[Fecha]])</f>
        <v>132000</v>
      </c>
      <c r="AB257" s="12">
        <f>TableDailySummary[[#This Row],[Inversión google ads]]+TableDailySummary[[#This Row],[Inversión meta ads]]</f>
        <v>94158.13</v>
      </c>
      <c r="AC257" s="12">
        <f>TableDailySummary[[#This Row],[Ventas google ads]]+TableDailySummary[[#This Row],[Ventas meta ads]]</f>
        <v>132000</v>
      </c>
      <c r="AD257" s="14">
        <f>IFERROR(TableDailySummary[[#This Row],[Ventas publicidad]]/TableDailySummary[[#This Row],[Inversión publicidad]],0)</f>
        <v>1.4018970002908935</v>
      </c>
      <c r="AE257" s="14">
        <f>IFERROR(TableDailySummary[[#This Row],[Ventas primer cliente]]/TableDailySummary[[#This Row],[Inversión publicidad]],0)</f>
        <v>5.934947199992183</v>
      </c>
      <c r="AF257" s="14"/>
      <c r="AG257" s="12"/>
      <c r="AM257" s="12">
        <f>_xlfn.XLOOKUP(TableDailySummary[[#This Row],[Fecha]],SummaryDaily[day],SummaryDaily[net_sales_with_cost_recorded],0)</f>
        <v>1314705.8999999999</v>
      </c>
      <c r="AN257" s="12">
        <f>_xlfn.XLOOKUP(TableDailySummary[[#This Row],[Fecha]],SummaryDaily[day],SummaryDaily[cost_of_goods_sold],0)</f>
        <v>408448</v>
      </c>
      <c r="AO257" s="12">
        <f>_xlfn.XLOOKUP(TableDailySummary[[#This Row],[Fecha]],SummaryDaily[day],SummaryDaily[gross_profit],0)</f>
        <v>906257.9</v>
      </c>
      <c r="AP257" s="18">
        <f>IFERROR(TableDailySummary[[#This Row],[Utilidad bruta]]/TableDailySummary[[#This Row],[Ventas netas con costo registrado]],0)</f>
        <v>0.68932367307395526</v>
      </c>
    </row>
    <row r="258" spans="2:42" x14ac:dyDescent="0.2">
      <c r="B258" s="15" cm="1">
        <f t="array" ref="B258">MIN(SummaryDaily[day]) + (ROW(TableDailySummary[#This Row]) - ROW(TableDailySummary[[#Headers],[Dia]]) - 1)</f>
        <v>46029</v>
      </c>
      <c r="C258" s="6">
        <f>TableDailySummary[[#This Row],[Dia]]</f>
        <v>46029</v>
      </c>
      <c r="D258" s="12">
        <f>_xlfn.XLOOKUP(TableDailySummary[[#This Row],[Fecha]],SummaryDaily[day],SummaryDaily[net_sales],0)</f>
        <v>3423529.44</v>
      </c>
      <c r="E258" s="12">
        <f>_xlfn.XLOOKUP(TableDailySummary[[#This Row],[Fecha]],SummaryDaily[day],SummaryDaily[orders],0)</f>
        <v>21</v>
      </c>
      <c r="F258" s="12">
        <f>_xlfn.XLOOKUP(TableDailySummary[[#This Row],[Fecha]],SummaryDaily[day],SummaryDaily[average_order_value],0)</f>
        <v>173829.533</v>
      </c>
      <c r="G258" s="24">
        <f>_xlfn.XLOOKUP(TableDailySummary[[#This Row],[Fecha]],SummaryDaily[day],SummaryDaily[Total site_conversion_rate],0)</f>
        <v>1.0810810810810811E-2</v>
      </c>
      <c r="H258" s="12">
        <f>TableDailySummary[[#This Row],[Órden promedio totales]]*TableDailySummary[[#This Row],[CR totales]]</f>
        <v>1879.2381945945947</v>
      </c>
      <c r="I258" s="12">
        <f>_xlfn.XLOOKUP(TableDailySummary[[#This Row],[Fecha]],SummaryDaily[day],SummaryDaily[new_net_sales],0)</f>
        <v>2224369.77</v>
      </c>
      <c r="J258" s="12">
        <f>_xlfn.XLOOKUP(TableDailySummary[[#This Row],[Fecha]],SummaryDaily[day],SummaryDaily[new_orders],0)</f>
        <v>12</v>
      </c>
      <c r="K258" s="12">
        <f>_xlfn.XLOOKUP(TableDailySummary[[#This Row],[Fecha]],SummaryDaily[day],SummaryDaily[new_average_order_value],0)</f>
        <v>204271.71</v>
      </c>
      <c r="L258" s="12">
        <f>_xlfn.XLOOKUP(TableDailySummary[[#This Row],[Fecha]],SummaryDaily[day],SummaryDaily[Online Store_net_sales],0)</f>
        <v>1563025.22</v>
      </c>
      <c r="M258" s="12">
        <f>_xlfn.XLOOKUP(TableDailySummary[[#This Row],[Fecha]],SummaryDaily[day],SummaryDaily[Online Store_orders],0)</f>
        <v>6</v>
      </c>
      <c r="N258" s="12">
        <f>_xlfn.XLOOKUP(TableDailySummary[[#This Row],[Fecha]],SummaryDaily[day],SummaryDaily[Online Store_average_order_value],0)</f>
        <v>260504.20300000001</v>
      </c>
      <c r="O258" s="12">
        <f>_xlfn.XLOOKUP(TableDailySummary[[#This Row],[Fecha]],SummaryDaily[day],SummaryDaily[Tienda 81_net_sales],0)</f>
        <v>1860504.22</v>
      </c>
      <c r="P258" s="12">
        <f>_xlfn.XLOOKUP(TableDailySummary[[#This Row],[Fecha]],SummaryDaily[day],SummaryDaily[Tienda 81_orders],0)</f>
        <v>15</v>
      </c>
      <c r="Q258" s="12">
        <f>_xlfn.XLOOKUP(TableDailySummary[[#This Row],[Fecha]],SummaryDaily[day],SummaryDaily[Tienda 81_average_order_value],0)</f>
        <v>139159.66500000001</v>
      </c>
      <c r="R258" s="12">
        <f>_xlfn.XLOOKUP(TableDailySummary[[#This Row],[Fecha]],SummaryDaily[day],SummaryDaily[Rappi_net_sales],0)</f>
        <v>0</v>
      </c>
      <c r="S258" s="12">
        <f>_xlfn.XLOOKUP(TableDailySummary[[#This Row],[Fecha]],SummaryDaily[day],SummaryDaily[Rappi_orders],0)</f>
        <v>0</v>
      </c>
      <c r="T258" s="12">
        <f>_xlfn.XLOOKUP(TableDailySummary[[#This Row],[Fecha]],SummaryDaily[day],SummaryDaily[Rappi_average_order_value],0)</f>
        <v>0</v>
      </c>
      <c r="U258" s="12">
        <f>_xlfn.XLOOKUP(TableDailySummary[[#This Row],[Fecha]],SummaryDaily[day],SummaryDaily[Corporativo no tienda_net_sales],0)</f>
        <v>0</v>
      </c>
      <c r="V258" s="12">
        <f>_xlfn.XLOOKUP(TableDailySummary[[#This Row],[Fecha]],SummaryDaily[day],SummaryDaily[Corporativo no tienda_orders],0)</f>
        <v>0</v>
      </c>
      <c r="W258" s="12">
        <f>_xlfn.XLOOKUP(TableDailySummary[[#This Row],[Fecha]],SummaryDaily[day],SummaryDaily[Corporativo no tienda_average_order_value],0)</f>
        <v>0</v>
      </c>
      <c r="X258" s="12">
        <f>_xlfn.XLOOKUP(TableDailySummary[[#This Row],[Fecha]],SummaryDaily[day],SummaryDaily[GoogleAdsOperation.Cost],0)</f>
        <v>43985.61</v>
      </c>
      <c r="Y258" s="12">
        <f>SUMIFS(SalesByUTMDaily[google],SalesByUTMDaily[day],TableDailySummary[[#This Row],[Fecha]])</f>
        <v>252000</v>
      </c>
      <c r="Z258" s="12">
        <f>_xlfn.XLOOKUP(TableDailySummary[[#This Row],[Fecha]],SummaryDaily[day],SummaryDaily[MetaAdsOperation.spend],0)</f>
        <v>51858</v>
      </c>
      <c r="AA258" s="12">
        <f>SUMIFS(SalesByUTMDaily[facebook],SalesByUTMDaily[day],TableDailySummary[[#This Row],[Fecha]])</f>
        <v>0</v>
      </c>
      <c r="AB258" s="12">
        <f>TableDailySummary[[#This Row],[Inversión google ads]]+TableDailySummary[[#This Row],[Inversión meta ads]]</f>
        <v>95843.61</v>
      </c>
      <c r="AC258" s="12">
        <f>TableDailySummary[[#This Row],[Ventas google ads]]+TableDailySummary[[#This Row],[Ventas meta ads]]</f>
        <v>252000</v>
      </c>
      <c r="AD258" s="14">
        <f>IFERROR(TableDailySummary[[#This Row],[Ventas publicidad]]/TableDailySummary[[#This Row],[Inversión publicidad]],0)</f>
        <v>2.6292832667717754</v>
      </c>
      <c r="AE258" s="14">
        <f>IFERROR(TableDailySummary[[#This Row],[Ventas primer cliente]]/TableDailySummary[[#This Row],[Inversión publicidad]],0)</f>
        <v>23.20832625148406</v>
      </c>
      <c r="AF258" s="14"/>
      <c r="AG258" s="12"/>
      <c r="AM258" s="12">
        <f>_xlfn.XLOOKUP(TableDailySummary[[#This Row],[Fecha]],SummaryDaily[day],SummaryDaily[net_sales_with_cost_recorded],0)</f>
        <v>3148739.52</v>
      </c>
      <c r="AN258" s="12">
        <f>_xlfn.XLOOKUP(TableDailySummary[[#This Row],[Fecha]],SummaryDaily[day],SummaryDaily[cost_of_goods_sold],0)</f>
        <v>997028</v>
      </c>
      <c r="AO258" s="12">
        <f>_xlfn.XLOOKUP(TableDailySummary[[#This Row],[Fecha]],SummaryDaily[day],SummaryDaily[gross_profit],0)</f>
        <v>2151711.52</v>
      </c>
      <c r="AP258" s="18">
        <f>IFERROR(TableDailySummary[[#This Row],[Utilidad bruta]]/TableDailySummary[[#This Row],[Ventas netas con costo registrado]],0)</f>
        <v>0.68335646894030788</v>
      </c>
    </row>
    <row r="259" spans="2:42" x14ac:dyDescent="0.2">
      <c r="B259" s="15" cm="1">
        <f t="array" ref="B259">MIN(SummaryDaily[day]) + (ROW(TableDailySummary[#This Row]) - ROW(TableDailySummary[[#Headers],[Dia]]) - 1)</f>
        <v>46030</v>
      </c>
      <c r="C259" s="6">
        <f>TableDailySummary[[#This Row],[Dia]]</f>
        <v>46030</v>
      </c>
      <c r="D259" s="12">
        <f>_xlfn.XLOOKUP(TableDailySummary[[#This Row],[Fecha]],SummaryDaily[day],SummaryDaily[net_sales],0)</f>
        <v>3188655.48</v>
      </c>
      <c r="E259" s="12">
        <f>_xlfn.XLOOKUP(TableDailySummary[[#This Row],[Fecha]],SummaryDaily[day],SummaryDaily[orders],0)</f>
        <v>24</v>
      </c>
      <c r="F259" s="12">
        <f>_xlfn.XLOOKUP(TableDailySummary[[#This Row],[Fecha]],SummaryDaily[day],SummaryDaily[average_order_value],0)</f>
        <v>134786.41500000001</v>
      </c>
      <c r="G259" s="24">
        <f>_xlfn.XLOOKUP(TableDailySummary[[#This Row],[Fecha]],SummaryDaily[day],SummaryDaily[Total site_conversion_rate],0)</f>
        <v>1.078167115902965E-2</v>
      </c>
      <c r="H259" s="12">
        <f>TableDailySummary[[#This Row],[Órden promedio totales]]*TableDailySummary[[#This Row],[CR totales]]</f>
        <v>1453.2228032345015</v>
      </c>
      <c r="I259" s="12">
        <f>_xlfn.XLOOKUP(TableDailySummary[[#This Row],[Fecha]],SummaryDaily[day],SummaryDaily[new_net_sales],0)</f>
        <v>1868487.41</v>
      </c>
      <c r="J259" s="12">
        <f>_xlfn.XLOOKUP(TableDailySummary[[#This Row],[Fecha]],SummaryDaily[day],SummaryDaily[new_orders],0)</f>
        <v>13</v>
      </c>
      <c r="K259" s="12">
        <f>_xlfn.XLOOKUP(TableDailySummary[[#This Row],[Fecha]],SummaryDaily[day],SummaryDaily[new_average_order_value],0)</f>
        <v>147285.06899999999</v>
      </c>
      <c r="L259" s="12">
        <f>_xlfn.XLOOKUP(TableDailySummary[[#This Row],[Fecha]],SummaryDaily[day],SummaryDaily[Online Store_net_sales],0)</f>
        <v>1012605.05</v>
      </c>
      <c r="M259" s="12">
        <f>_xlfn.XLOOKUP(TableDailySummary[[#This Row],[Fecha]],SummaryDaily[day],SummaryDaily[Online Store_orders],0)</f>
        <v>10</v>
      </c>
      <c r="N259" s="12">
        <f>_xlfn.XLOOKUP(TableDailySummary[[#This Row],[Fecha]],SummaryDaily[day],SummaryDaily[Online Store_average_order_value],0)</f>
        <v>105882.35400000001</v>
      </c>
      <c r="O259" s="12">
        <f>_xlfn.XLOOKUP(TableDailySummary[[#This Row],[Fecha]],SummaryDaily[day],SummaryDaily[Tienda 81_net_sales],0)</f>
        <v>2176050.4300000002</v>
      </c>
      <c r="P259" s="12">
        <f>_xlfn.XLOOKUP(TableDailySummary[[#This Row],[Fecha]],SummaryDaily[day],SummaryDaily[Tienda 81_orders],0)</f>
        <v>14</v>
      </c>
      <c r="Q259" s="12">
        <f>_xlfn.XLOOKUP(TableDailySummary[[#This Row],[Fecha]],SummaryDaily[day],SummaryDaily[Tienda 81_average_order_value],0)</f>
        <v>155432.17300000001</v>
      </c>
      <c r="R259" s="12">
        <f>_xlfn.XLOOKUP(TableDailySummary[[#This Row],[Fecha]],SummaryDaily[day],SummaryDaily[Rappi_net_sales],0)</f>
        <v>0</v>
      </c>
      <c r="S259" s="12">
        <f>_xlfn.XLOOKUP(TableDailySummary[[#This Row],[Fecha]],SummaryDaily[day],SummaryDaily[Rappi_orders],0)</f>
        <v>0</v>
      </c>
      <c r="T259" s="12">
        <f>_xlfn.XLOOKUP(TableDailySummary[[#This Row],[Fecha]],SummaryDaily[day],SummaryDaily[Rappi_average_order_value],0)</f>
        <v>0</v>
      </c>
      <c r="U259" s="12">
        <f>_xlfn.XLOOKUP(TableDailySummary[[#This Row],[Fecha]],SummaryDaily[day],SummaryDaily[Corporativo no tienda_net_sales],0)</f>
        <v>0</v>
      </c>
      <c r="V259" s="12">
        <f>_xlfn.XLOOKUP(TableDailySummary[[#This Row],[Fecha]],SummaryDaily[day],SummaryDaily[Corporativo no tienda_orders],0)</f>
        <v>0</v>
      </c>
      <c r="W259" s="12">
        <f>_xlfn.XLOOKUP(TableDailySummary[[#This Row],[Fecha]],SummaryDaily[day],SummaryDaily[Corporativo no tienda_average_order_value],0)</f>
        <v>0</v>
      </c>
      <c r="X259" s="12">
        <f>_xlfn.XLOOKUP(TableDailySummary[[#This Row],[Fecha]],SummaryDaily[day],SummaryDaily[GoogleAdsOperation.Cost],0)</f>
        <v>60705.279999999999</v>
      </c>
      <c r="Y259" s="12">
        <f>SUMIFS(SalesByUTMDaily[google],SalesByUTMDaily[day],TableDailySummary[[#This Row],[Fecha]])</f>
        <v>0</v>
      </c>
      <c r="Z259" s="12">
        <f>_xlfn.XLOOKUP(TableDailySummary[[#This Row],[Fecha]],SummaryDaily[day],SummaryDaily[MetaAdsOperation.spend],0)</f>
        <v>50668</v>
      </c>
      <c r="AA259" s="12">
        <f>SUMIFS(SalesByUTMDaily[facebook],SalesByUTMDaily[day],TableDailySummary[[#This Row],[Fecha]])</f>
        <v>136000</v>
      </c>
      <c r="AB259" s="12">
        <f>TableDailySummary[[#This Row],[Inversión google ads]]+TableDailySummary[[#This Row],[Inversión meta ads]]</f>
        <v>111373.28</v>
      </c>
      <c r="AC259" s="12">
        <f>TableDailySummary[[#This Row],[Ventas google ads]]+TableDailySummary[[#This Row],[Ventas meta ads]]</f>
        <v>136000</v>
      </c>
      <c r="AD259" s="14">
        <f>IFERROR(TableDailySummary[[#This Row],[Ventas publicidad]]/TableDailySummary[[#This Row],[Inversión publicidad]],0)</f>
        <v>1.2211187458966819</v>
      </c>
      <c r="AE259" s="14">
        <f>IFERROR(TableDailySummary[[#This Row],[Ventas primer cliente]]/TableDailySummary[[#This Row],[Inversión publicidad]],0)</f>
        <v>16.77680149134514</v>
      </c>
      <c r="AF259" s="14"/>
      <c r="AG259" s="12"/>
      <c r="AM259" s="12">
        <f>_xlfn.XLOOKUP(TableDailySummary[[#This Row],[Fecha]],SummaryDaily[day],SummaryDaily[net_sales_with_cost_recorded],0)</f>
        <v>2986974.82</v>
      </c>
      <c r="AN259" s="12">
        <f>_xlfn.XLOOKUP(TableDailySummary[[#This Row],[Fecha]],SummaryDaily[day],SummaryDaily[cost_of_goods_sold],0)</f>
        <v>789475</v>
      </c>
      <c r="AO259" s="12">
        <f>_xlfn.XLOOKUP(TableDailySummary[[#This Row],[Fecha]],SummaryDaily[day],SummaryDaily[gross_profit],0)</f>
        <v>2197499.8199999998</v>
      </c>
      <c r="AP259" s="18">
        <f>IFERROR(TableDailySummary[[#This Row],[Utilidad bruta]]/TableDailySummary[[#This Row],[Ventas netas con costo registrado]],0)</f>
        <v>0.73569412279143354</v>
      </c>
    </row>
    <row r="260" spans="2:42" x14ac:dyDescent="0.2">
      <c r="B260" s="15" cm="1">
        <f t="array" ref="B260">MIN(SummaryDaily[day]) + (ROW(TableDailySummary[#This Row]) - ROW(TableDailySummary[[#Headers],[Dia]]) - 1)</f>
        <v>46031</v>
      </c>
      <c r="C260" s="6">
        <f>TableDailySummary[[#This Row],[Dia]]</f>
        <v>46031</v>
      </c>
      <c r="D260" s="12">
        <f>_xlfn.XLOOKUP(TableDailySummary[[#This Row],[Fecha]],SummaryDaily[day],SummaryDaily[net_sales],0)</f>
        <v>2108907.54</v>
      </c>
      <c r="E260" s="12">
        <f>_xlfn.XLOOKUP(TableDailySummary[[#This Row],[Fecha]],SummaryDaily[day],SummaryDaily[orders],0)</f>
        <v>15</v>
      </c>
      <c r="F260" s="12">
        <f>_xlfn.XLOOKUP(TableDailySummary[[#This Row],[Fecha]],SummaryDaily[day],SummaryDaily[average_order_value],0)</f>
        <v>140593.83600000001</v>
      </c>
      <c r="G260" s="24">
        <f>_xlfn.XLOOKUP(TableDailySummary[[#This Row],[Fecha]],SummaryDaily[day],SummaryDaily[Total site_conversion_rate],0)</f>
        <v>8.6393088552915772E-3</v>
      </c>
      <c r="H260" s="12">
        <f>TableDailySummary[[#This Row],[Órden promedio totales]]*TableDailySummary[[#This Row],[CR totales]]</f>
        <v>1214.6335723542118</v>
      </c>
      <c r="I260" s="12">
        <f>_xlfn.XLOOKUP(TableDailySummary[[#This Row],[Fecha]],SummaryDaily[day],SummaryDaily[new_net_sales],0)</f>
        <v>869747.89</v>
      </c>
      <c r="J260" s="12">
        <f>_xlfn.XLOOKUP(TableDailySummary[[#This Row],[Fecha]],SummaryDaily[day],SummaryDaily[new_orders],0)</f>
        <v>8</v>
      </c>
      <c r="K260" s="12">
        <f>_xlfn.XLOOKUP(TableDailySummary[[#This Row],[Fecha]],SummaryDaily[day],SummaryDaily[new_average_order_value],0)</f>
        <v>108718.486</v>
      </c>
      <c r="L260" s="12">
        <f>_xlfn.XLOOKUP(TableDailySummary[[#This Row],[Fecha]],SummaryDaily[day],SummaryDaily[Online Store_net_sales],0)</f>
        <v>856806.71</v>
      </c>
      <c r="M260" s="12">
        <f>_xlfn.XLOOKUP(TableDailySummary[[#This Row],[Fecha]],SummaryDaily[day],SummaryDaily[Online Store_orders],0)</f>
        <v>6</v>
      </c>
      <c r="N260" s="12">
        <f>_xlfn.XLOOKUP(TableDailySummary[[#This Row],[Fecha]],SummaryDaily[day],SummaryDaily[Online Store_average_order_value],0)</f>
        <v>142801.11799999999</v>
      </c>
      <c r="O260" s="12">
        <f>_xlfn.XLOOKUP(TableDailySummary[[#This Row],[Fecha]],SummaryDaily[day],SummaryDaily[Tienda 81_net_sales],0)</f>
        <v>1252100.83</v>
      </c>
      <c r="P260" s="12">
        <f>_xlfn.XLOOKUP(TableDailySummary[[#This Row],[Fecha]],SummaryDaily[day],SummaryDaily[Tienda 81_orders],0)</f>
        <v>9</v>
      </c>
      <c r="Q260" s="12">
        <f>_xlfn.XLOOKUP(TableDailySummary[[#This Row],[Fecha]],SummaryDaily[day],SummaryDaily[Tienda 81_average_order_value],0)</f>
        <v>139122.31400000001</v>
      </c>
      <c r="R260" s="12">
        <f>_xlfn.XLOOKUP(TableDailySummary[[#This Row],[Fecha]],SummaryDaily[day],SummaryDaily[Rappi_net_sales],0)</f>
        <v>0</v>
      </c>
      <c r="S260" s="12">
        <f>_xlfn.XLOOKUP(TableDailySummary[[#This Row],[Fecha]],SummaryDaily[day],SummaryDaily[Rappi_orders],0)</f>
        <v>0</v>
      </c>
      <c r="T260" s="12">
        <f>_xlfn.XLOOKUP(TableDailySummary[[#This Row],[Fecha]],SummaryDaily[day],SummaryDaily[Rappi_average_order_value],0)</f>
        <v>0</v>
      </c>
      <c r="U260" s="12">
        <f>_xlfn.XLOOKUP(TableDailySummary[[#This Row],[Fecha]],SummaryDaily[day],SummaryDaily[Corporativo no tienda_net_sales],0)</f>
        <v>0</v>
      </c>
      <c r="V260" s="12">
        <f>_xlfn.XLOOKUP(TableDailySummary[[#This Row],[Fecha]],SummaryDaily[day],SummaryDaily[Corporativo no tienda_orders],0)</f>
        <v>0</v>
      </c>
      <c r="W260" s="12">
        <f>_xlfn.XLOOKUP(TableDailySummary[[#This Row],[Fecha]],SummaryDaily[day],SummaryDaily[Corporativo no tienda_average_order_value],0)</f>
        <v>0</v>
      </c>
      <c r="X260" s="12">
        <f>_xlfn.XLOOKUP(TableDailySummary[[#This Row],[Fecha]],SummaryDaily[day],SummaryDaily[GoogleAdsOperation.Cost],0)</f>
        <v>47544.45</v>
      </c>
      <c r="Y260" s="12">
        <f>SUMIFS(SalesByUTMDaily[google],SalesByUTMDaily[day],TableDailySummary[[#This Row],[Fecha]])</f>
        <v>0</v>
      </c>
      <c r="Z260" s="12">
        <f>_xlfn.XLOOKUP(TableDailySummary[[#This Row],[Fecha]],SummaryDaily[day],SummaryDaily[MetaAdsOperation.spend],0)</f>
        <v>49890</v>
      </c>
      <c r="AA260" s="12">
        <f>SUMIFS(SalesByUTMDaily[facebook],SalesByUTMDaily[day],TableDailySummary[[#This Row],[Fecha]])</f>
        <v>86000</v>
      </c>
      <c r="AB260" s="12">
        <f>TableDailySummary[[#This Row],[Inversión google ads]]+TableDailySummary[[#This Row],[Inversión meta ads]]</f>
        <v>97434.45</v>
      </c>
      <c r="AC260" s="12">
        <f>TableDailySummary[[#This Row],[Ventas google ads]]+TableDailySummary[[#This Row],[Ventas meta ads]]</f>
        <v>86000</v>
      </c>
      <c r="AD260" s="14">
        <f>IFERROR(TableDailySummary[[#This Row],[Ventas publicidad]]/TableDailySummary[[#This Row],[Inversión publicidad]],0)</f>
        <v>0.88264469086652619</v>
      </c>
      <c r="AE260" s="14">
        <f>IFERROR(TableDailySummary[[#This Row],[Ventas primer cliente]]/TableDailySummary[[#This Row],[Inversión publicidad]],0)</f>
        <v>8.9264925290798072</v>
      </c>
      <c r="AF260" s="14"/>
      <c r="AG260" s="12"/>
      <c r="AM260" s="12">
        <f>_xlfn.XLOOKUP(TableDailySummary[[#This Row],[Fecha]],SummaryDaily[day],SummaryDaily[net_sales_with_cost_recorded],0)</f>
        <v>2079495.78</v>
      </c>
      <c r="AN260" s="12">
        <f>_xlfn.XLOOKUP(TableDailySummary[[#This Row],[Fecha]],SummaryDaily[day],SummaryDaily[cost_of_goods_sold],0)</f>
        <v>673404</v>
      </c>
      <c r="AO260" s="12">
        <f>_xlfn.XLOOKUP(TableDailySummary[[#This Row],[Fecha]],SummaryDaily[day],SummaryDaily[gross_profit],0)</f>
        <v>1406091.78</v>
      </c>
      <c r="AP260" s="18">
        <f>IFERROR(TableDailySummary[[#This Row],[Utilidad bruta]]/TableDailySummary[[#This Row],[Ventas netas con costo registrado]],0)</f>
        <v>0.67616957606906036</v>
      </c>
    </row>
    <row r="261" spans="2:42" x14ac:dyDescent="0.2">
      <c r="B261" s="15" cm="1">
        <f t="array" ref="B261">MIN(SummaryDaily[day]) + (ROW(TableDailySummary[#This Row]) - ROW(TableDailySummary[[#Headers],[Dia]]) - 1)</f>
        <v>46032</v>
      </c>
      <c r="C261" s="6">
        <f>TableDailySummary[[#This Row],[Dia]]</f>
        <v>46032</v>
      </c>
      <c r="D261" s="12">
        <f>_xlfn.XLOOKUP(TableDailySummary[[#This Row],[Fecha]],SummaryDaily[day],SummaryDaily[net_sales],0)</f>
        <v>2158403.37</v>
      </c>
      <c r="E261" s="12">
        <f>_xlfn.XLOOKUP(TableDailySummary[[#This Row],[Fecha]],SummaryDaily[day],SummaryDaily[orders],0)</f>
        <v>16</v>
      </c>
      <c r="F261" s="12">
        <f>_xlfn.XLOOKUP(TableDailySummary[[#This Row],[Fecha]],SummaryDaily[day],SummaryDaily[average_order_value],0)</f>
        <v>629385.50399999996</v>
      </c>
      <c r="G261" s="24">
        <f>_xlfn.XLOOKUP(TableDailySummary[[#This Row],[Fecha]],SummaryDaily[day],SummaryDaily[Total site_conversion_rate],0)</f>
        <v>4.1493775933609959E-3</v>
      </c>
      <c r="H261" s="12">
        <f>TableDailySummary[[#This Row],[Órden promedio totales]]*TableDailySummary[[#This Row],[CR totales]]</f>
        <v>2611.5581078838172</v>
      </c>
      <c r="I261" s="12">
        <f>_xlfn.XLOOKUP(TableDailySummary[[#This Row],[Fecha]],SummaryDaily[day],SummaryDaily[new_net_sales],0)</f>
        <v>1594117.65</v>
      </c>
      <c r="J261" s="12">
        <f>_xlfn.XLOOKUP(TableDailySummary[[#This Row],[Fecha]],SummaryDaily[day],SummaryDaily[new_orders],0)</f>
        <v>9</v>
      </c>
      <c r="K261" s="12">
        <f>_xlfn.XLOOKUP(TableDailySummary[[#This Row],[Fecha]],SummaryDaily[day],SummaryDaily[new_average_order_value],0)</f>
        <v>1062278.2439999999</v>
      </c>
      <c r="L261" s="12">
        <f>_xlfn.XLOOKUP(TableDailySummary[[#This Row],[Fecha]],SummaryDaily[day],SummaryDaily[Online Store_net_sales],0)</f>
        <v>1180672.28</v>
      </c>
      <c r="M261" s="12">
        <f>_xlfn.XLOOKUP(TableDailySummary[[#This Row],[Fecha]],SummaryDaily[day],SummaryDaily[Online Store_orders],0)</f>
        <v>6</v>
      </c>
      <c r="N261" s="12">
        <f>_xlfn.XLOOKUP(TableDailySummary[[#This Row],[Fecha]],SummaryDaily[day],SummaryDaily[Online Store_average_order_value],0)</f>
        <v>1515406.1629999999</v>
      </c>
      <c r="O261" s="12">
        <f>_xlfn.XLOOKUP(TableDailySummary[[#This Row],[Fecha]],SummaryDaily[day],SummaryDaily[Tienda 81_net_sales],0)</f>
        <v>977731.09</v>
      </c>
      <c r="P261" s="12">
        <f>_xlfn.XLOOKUP(TableDailySummary[[#This Row],[Fecha]],SummaryDaily[day],SummaryDaily[Tienda 81_orders],0)</f>
        <v>10</v>
      </c>
      <c r="Q261" s="12">
        <f>_xlfn.XLOOKUP(TableDailySummary[[#This Row],[Fecha]],SummaryDaily[day],SummaryDaily[Tienda 81_average_order_value],0)</f>
        <v>97773.108999999997</v>
      </c>
      <c r="R261" s="12">
        <f>_xlfn.XLOOKUP(TableDailySummary[[#This Row],[Fecha]],SummaryDaily[day],SummaryDaily[Rappi_net_sales],0)</f>
        <v>0</v>
      </c>
      <c r="S261" s="12">
        <f>_xlfn.XLOOKUP(TableDailySummary[[#This Row],[Fecha]],SummaryDaily[day],SummaryDaily[Rappi_orders],0)</f>
        <v>0</v>
      </c>
      <c r="T261" s="12">
        <f>_xlfn.XLOOKUP(TableDailySummary[[#This Row],[Fecha]],SummaryDaily[day],SummaryDaily[Rappi_average_order_value],0)</f>
        <v>0</v>
      </c>
      <c r="U261" s="12">
        <f>_xlfn.XLOOKUP(TableDailySummary[[#This Row],[Fecha]],SummaryDaily[day],SummaryDaily[Corporativo no tienda_net_sales],0)</f>
        <v>0</v>
      </c>
      <c r="V261" s="12">
        <f>_xlfn.XLOOKUP(TableDailySummary[[#This Row],[Fecha]],SummaryDaily[day],SummaryDaily[Corporativo no tienda_orders],0)</f>
        <v>0</v>
      </c>
      <c r="W261" s="12">
        <f>_xlfn.XLOOKUP(TableDailySummary[[#This Row],[Fecha]],SummaryDaily[day],SummaryDaily[Corporativo no tienda_average_order_value],0)</f>
        <v>0</v>
      </c>
      <c r="X261" s="12">
        <f>_xlfn.XLOOKUP(TableDailySummary[[#This Row],[Fecha]],SummaryDaily[day],SummaryDaily[GoogleAdsOperation.Cost],0)</f>
        <v>51520.17</v>
      </c>
      <c r="Y261" s="12">
        <f>SUMIFS(SalesByUTMDaily[google],SalesByUTMDaily[day],TableDailySummary[[#This Row],[Fecha]])</f>
        <v>0</v>
      </c>
      <c r="Z261" s="12">
        <f>_xlfn.XLOOKUP(TableDailySummary[[#This Row],[Fecha]],SummaryDaily[day],SummaryDaily[MetaAdsOperation.spend],0)</f>
        <v>50456</v>
      </c>
      <c r="AA261" s="12">
        <f>SUMIFS(SalesByUTMDaily[facebook],SalesByUTMDaily[day],TableDailySummary[[#This Row],[Fecha]])</f>
        <v>224000</v>
      </c>
      <c r="AB261" s="12">
        <f>TableDailySummary[[#This Row],[Inversión google ads]]+TableDailySummary[[#This Row],[Inversión meta ads]]</f>
        <v>101976.17</v>
      </c>
      <c r="AC261" s="12">
        <f>TableDailySummary[[#This Row],[Ventas google ads]]+TableDailySummary[[#This Row],[Ventas meta ads]]</f>
        <v>224000</v>
      </c>
      <c r="AD261" s="14">
        <f>IFERROR(TableDailySummary[[#This Row],[Ventas publicidad]]/TableDailySummary[[#This Row],[Inversión publicidad]],0)</f>
        <v>2.1965916154725167</v>
      </c>
      <c r="AE261" s="14">
        <f>IFERROR(TableDailySummary[[#This Row],[Ventas primer cliente]]/TableDailySummary[[#This Row],[Inversión publicidad]],0)</f>
        <v>15.632256536012285</v>
      </c>
      <c r="AF261" s="14"/>
      <c r="AG261" s="12"/>
      <c r="AM261" s="12">
        <f>_xlfn.XLOOKUP(TableDailySummary[[#This Row],[Fecha]],SummaryDaily[day],SummaryDaily[net_sales_with_cost_recorded],0)</f>
        <v>2099579.85</v>
      </c>
      <c r="AN261" s="12">
        <f>_xlfn.XLOOKUP(TableDailySummary[[#This Row],[Fecha]],SummaryDaily[day],SummaryDaily[cost_of_goods_sold],0)</f>
        <v>667083</v>
      </c>
      <c r="AO261" s="12">
        <f>_xlfn.XLOOKUP(TableDailySummary[[#This Row],[Fecha]],SummaryDaily[day],SummaryDaily[gross_profit],0)</f>
        <v>1432496.85</v>
      </c>
      <c r="AP261" s="18">
        <f>IFERROR(TableDailySummary[[#This Row],[Utilidad bruta]]/TableDailySummary[[#This Row],[Ventas netas con costo registrado]],0)</f>
        <v>0.68227786144927993</v>
      </c>
    </row>
    <row r="262" spans="2:42" x14ac:dyDescent="0.2">
      <c r="B262" s="15" cm="1">
        <f t="array" ref="B262">MIN(SummaryDaily[day]) + (ROW(TableDailySummary[#This Row]) - ROW(TableDailySummary[[#Headers],[Dia]]) - 1)</f>
        <v>46033</v>
      </c>
      <c r="C262" s="6">
        <f>TableDailySummary[[#This Row],[Dia]]</f>
        <v>46033</v>
      </c>
      <c r="D262" s="12">
        <f>_xlfn.XLOOKUP(TableDailySummary[[#This Row],[Fecha]],SummaryDaily[day],SummaryDaily[net_sales],0)</f>
        <v>327310.93</v>
      </c>
      <c r="E262" s="12">
        <f>_xlfn.XLOOKUP(TableDailySummary[[#This Row],[Fecha]],SummaryDaily[day],SummaryDaily[orders],0)</f>
        <v>4</v>
      </c>
      <c r="F262" s="12">
        <f>_xlfn.XLOOKUP(TableDailySummary[[#This Row],[Fecha]],SummaryDaily[day],SummaryDaily[average_order_value],0)</f>
        <v>81827.732000000004</v>
      </c>
      <c r="G262" s="24">
        <f>_xlfn.XLOOKUP(TableDailySummary[[#This Row],[Fecha]],SummaryDaily[day],SummaryDaily[Total site_conversion_rate],0)</f>
        <v>1.968503937007874E-3</v>
      </c>
      <c r="H262" s="12">
        <f>TableDailySummary[[#This Row],[Órden promedio totales]]*TableDailySummary[[#This Row],[CR totales]]</f>
        <v>161.07821259842521</v>
      </c>
      <c r="I262" s="12">
        <f>_xlfn.XLOOKUP(TableDailySummary[[#This Row],[Fecha]],SummaryDaily[day],SummaryDaily[new_net_sales],0)</f>
        <v>108823.53</v>
      </c>
      <c r="J262" s="12">
        <f>_xlfn.XLOOKUP(TableDailySummary[[#This Row],[Fecha]],SummaryDaily[day],SummaryDaily[new_orders],0)</f>
        <v>2</v>
      </c>
      <c r="K262" s="12">
        <f>_xlfn.XLOOKUP(TableDailySummary[[#This Row],[Fecha]],SummaryDaily[day],SummaryDaily[new_average_order_value],0)</f>
        <v>54411.764999999999</v>
      </c>
      <c r="L262" s="12">
        <f>_xlfn.XLOOKUP(TableDailySummary[[#This Row],[Fecha]],SummaryDaily[day],SummaryDaily[Online Store_net_sales],0)</f>
        <v>117647.06</v>
      </c>
      <c r="M262" s="12">
        <f>_xlfn.XLOOKUP(TableDailySummary[[#This Row],[Fecha]],SummaryDaily[day],SummaryDaily[Online Store_orders],0)</f>
        <v>1</v>
      </c>
      <c r="N262" s="12">
        <f>_xlfn.XLOOKUP(TableDailySummary[[#This Row],[Fecha]],SummaryDaily[day],SummaryDaily[Online Store_average_order_value],0)</f>
        <v>117647.06</v>
      </c>
      <c r="O262" s="12">
        <f>_xlfn.XLOOKUP(TableDailySummary[[#This Row],[Fecha]],SummaryDaily[day],SummaryDaily[Tienda 81_net_sales],0)</f>
        <v>209663.87</v>
      </c>
      <c r="P262" s="12">
        <f>_xlfn.XLOOKUP(TableDailySummary[[#This Row],[Fecha]],SummaryDaily[day],SummaryDaily[Tienda 81_orders],0)</f>
        <v>3</v>
      </c>
      <c r="Q262" s="12">
        <f>_xlfn.XLOOKUP(TableDailySummary[[#This Row],[Fecha]],SummaryDaily[day],SummaryDaily[Tienda 81_average_order_value],0)</f>
        <v>69887.956000000006</v>
      </c>
      <c r="R262" s="12">
        <f>_xlfn.XLOOKUP(TableDailySummary[[#This Row],[Fecha]],SummaryDaily[day],SummaryDaily[Rappi_net_sales],0)</f>
        <v>0</v>
      </c>
      <c r="S262" s="12">
        <f>_xlfn.XLOOKUP(TableDailySummary[[#This Row],[Fecha]],SummaryDaily[day],SummaryDaily[Rappi_orders],0)</f>
        <v>0</v>
      </c>
      <c r="T262" s="12">
        <f>_xlfn.XLOOKUP(TableDailySummary[[#This Row],[Fecha]],SummaryDaily[day],SummaryDaily[Rappi_average_order_value],0)</f>
        <v>0</v>
      </c>
      <c r="U262" s="12">
        <f>_xlfn.XLOOKUP(TableDailySummary[[#This Row],[Fecha]],SummaryDaily[day],SummaryDaily[Corporativo no tienda_net_sales],0)</f>
        <v>0</v>
      </c>
      <c r="V262" s="12">
        <f>_xlfn.XLOOKUP(TableDailySummary[[#This Row],[Fecha]],SummaryDaily[day],SummaryDaily[Corporativo no tienda_orders],0)</f>
        <v>0</v>
      </c>
      <c r="W262" s="12">
        <f>_xlfn.XLOOKUP(TableDailySummary[[#This Row],[Fecha]],SummaryDaily[day],SummaryDaily[Corporativo no tienda_average_order_value],0)</f>
        <v>0</v>
      </c>
      <c r="X262" s="12">
        <f>_xlfn.XLOOKUP(TableDailySummary[[#This Row],[Fecha]],SummaryDaily[day],SummaryDaily[GoogleAdsOperation.Cost],0)</f>
        <v>49984.45</v>
      </c>
      <c r="Y262" s="12">
        <f>SUMIFS(SalesByUTMDaily[google],SalesByUTMDaily[day],TableDailySummary[[#This Row],[Fecha]])</f>
        <v>0</v>
      </c>
      <c r="Z262" s="12">
        <f>_xlfn.XLOOKUP(TableDailySummary[[#This Row],[Fecha]],SummaryDaily[day],SummaryDaily[MetaAdsOperation.spend],0)</f>
        <v>54123</v>
      </c>
      <c r="AA262" s="12">
        <f>SUMIFS(SalesByUTMDaily[facebook],SalesByUTMDaily[day],TableDailySummary[[#This Row],[Fecha]])</f>
        <v>0</v>
      </c>
      <c r="AB262" s="12">
        <f>TableDailySummary[[#This Row],[Inversión google ads]]+TableDailySummary[[#This Row],[Inversión meta ads]]</f>
        <v>104107.45</v>
      </c>
      <c r="AC262" s="12">
        <f>TableDailySummary[[#This Row],[Ventas google ads]]+TableDailySummary[[#This Row],[Ventas meta ads]]</f>
        <v>0</v>
      </c>
      <c r="AD262" s="14">
        <f>IFERROR(TableDailySummary[[#This Row],[Ventas publicidad]]/TableDailySummary[[#This Row],[Inversión publicidad]],0)</f>
        <v>0</v>
      </c>
      <c r="AE262" s="14">
        <f>IFERROR(TableDailySummary[[#This Row],[Ventas primer cliente]]/TableDailySummary[[#This Row],[Inversión publicidad]],0)</f>
        <v>1.0453001202123384</v>
      </c>
      <c r="AF262" s="14"/>
      <c r="AG262" s="12"/>
      <c r="AM262" s="12">
        <f>_xlfn.XLOOKUP(TableDailySummary[[#This Row],[Fecha]],SummaryDaily[day],SummaryDaily[net_sales_with_cost_recorded],0)</f>
        <v>297899.15999999997</v>
      </c>
      <c r="AN262" s="12">
        <f>_xlfn.XLOOKUP(TableDailySummary[[#This Row],[Fecha]],SummaryDaily[day],SummaryDaily[cost_of_goods_sold],0)</f>
        <v>98269</v>
      </c>
      <c r="AO262" s="12">
        <f>_xlfn.XLOOKUP(TableDailySummary[[#This Row],[Fecha]],SummaryDaily[day],SummaryDaily[gross_profit],0)</f>
        <v>199630.16</v>
      </c>
      <c r="AP262" s="18">
        <f>IFERROR(TableDailySummary[[#This Row],[Utilidad bruta]]/TableDailySummary[[#This Row],[Ventas netas con costo registrado]],0)</f>
        <v>0.67012662942721968</v>
      </c>
    </row>
    <row r="263" spans="2:42" x14ac:dyDescent="0.2">
      <c r="B263" s="15" cm="1">
        <f t="array" ref="B263">MIN(SummaryDaily[day]) + (ROW(TableDailySummary[#This Row]) - ROW(TableDailySummary[[#Headers],[Dia]]) - 1)</f>
        <v>46034</v>
      </c>
      <c r="C263" s="6">
        <f>TableDailySummary[[#This Row],[Dia]]</f>
        <v>46034</v>
      </c>
      <c r="D263" s="12">
        <f>_xlfn.XLOOKUP(TableDailySummary[[#This Row],[Fecha]],SummaryDaily[day],SummaryDaily[net_sales],0)</f>
        <v>365546.22</v>
      </c>
      <c r="E263" s="12">
        <f>_xlfn.XLOOKUP(TableDailySummary[[#This Row],[Fecha]],SummaryDaily[day],SummaryDaily[orders],0)</f>
        <v>3</v>
      </c>
      <c r="F263" s="12">
        <f>_xlfn.XLOOKUP(TableDailySummary[[#This Row],[Fecha]],SummaryDaily[day],SummaryDaily[average_order_value],0)</f>
        <v>121848.74</v>
      </c>
      <c r="G263" s="24">
        <f>_xlfn.XLOOKUP(TableDailySummary[[#This Row],[Fecha]],SummaryDaily[day],SummaryDaily[Total site_conversion_rate],0)</f>
        <v>3.189792663476874E-3</v>
      </c>
      <c r="H263" s="12">
        <f>TableDailySummary[[#This Row],[Órden promedio totales]]*TableDailySummary[[#This Row],[CR totales]]</f>
        <v>388.67221690590111</v>
      </c>
      <c r="I263" s="12">
        <f>_xlfn.XLOOKUP(TableDailySummary[[#This Row],[Fecha]],SummaryDaily[day],SummaryDaily[new_net_sales],0)</f>
        <v>130252.1</v>
      </c>
      <c r="J263" s="12">
        <f>_xlfn.XLOOKUP(TableDailySummary[[#This Row],[Fecha]],SummaryDaily[day],SummaryDaily[new_orders],0)</f>
        <v>2</v>
      </c>
      <c r="K263" s="12">
        <f>_xlfn.XLOOKUP(TableDailySummary[[#This Row],[Fecha]],SummaryDaily[day],SummaryDaily[new_average_order_value],0)</f>
        <v>65126.05</v>
      </c>
      <c r="L263" s="12">
        <f>_xlfn.XLOOKUP(TableDailySummary[[#This Row],[Fecha]],SummaryDaily[day],SummaryDaily[Online Store_net_sales],0)</f>
        <v>365546.22</v>
      </c>
      <c r="M263" s="12">
        <f>_xlfn.XLOOKUP(TableDailySummary[[#This Row],[Fecha]],SummaryDaily[day],SummaryDaily[Online Store_orders],0)</f>
        <v>3</v>
      </c>
      <c r="N263" s="12">
        <f>_xlfn.XLOOKUP(TableDailySummary[[#This Row],[Fecha]],SummaryDaily[day],SummaryDaily[Online Store_average_order_value],0)</f>
        <v>121848.74</v>
      </c>
      <c r="O263" s="12">
        <f>_xlfn.XLOOKUP(TableDailySummary[[#This Row],[Fecha]],SummaryDaily[day],SummaryDaily[Tienda 81_net_sales],0)</f>
        <v>0</v>
      </c>
      <c r="P263" s="12">
        <f>_xlfn.XLOOKUP(TableDailySummary[[#This Row],[Fecha]],SummaryDaily[day],SummaryDaily[Tienda 81_orders],0)</f>
        <v>0</v>
      </c>
      <c r="Q263" s="12">
        <f>_xlfn.XLOOKUP(TableDailySummary[[#This Row],[Fecha]],SummaryDaily[day],SummaryDaily[Tienda 81_average_order_value],0)</f>
        <v>0</v>
      </c>
      <c r="R263" s="12">
        <f>_xlfn.XLOOKUP(TableDailySummary[[#This Row],[Fecha]],SummaryDaily[day],SummaryDaily[Rappi_net_sales],0)</f>
        <v>0</v>
      </c>
      <c r="S263" s="12">
        <f>_xlfn.XLOOKUP(TableDailySummary[[#This Row],[Fecha]],SummaryDaily[day],SummaryDaily[Rappi_orders],0)</f>
        <v>0</v>
      </c>
      <c r="T263" s="12">
        <f>_xlfn.XLOOKUP(TableDailySummary[[#This Row],[Fecha]],SummaryDaily[day],SummaryDaily[Rappi_average_order_value],0)</f>
        <v>0</v>
      </c>
      <c r="U263" s="12">
        <f>_xlfn.XLOOKUP(TableDailySummary[[#This Row],[Fecha]],SummaryDaily[day],SummaryDaily[Corporativo no tienda_net_sales],0)</f>
        <v>0</v>
      </c>
      <c r="V263" s="12">
        <f>_xlfn.XLOOKUP(TableDailySummary[[#This Row],[Fecha]],SummaryDaily[day],SummaryDaily[Corporativo no tienda_orders],0)</f>
        <v>0</v>
      </c>
      <c r="W263" s="12">
        <f>_xlfn.XLOOKUP(TableDailySummary[[#This Row],[Fecha]],SummaryDaily[day],SummaryDaily[Corporativo no tienda_average_order_value],0)</f>
        <v>0</v>
      </c>
      <c r="X263" s="12">
        <f>_xlfn.XLOOKUP(TableDailySummary[[#This Row],[Fecha]],SummaryDaily[day],SummaryDaily[GoogleAdsOperation.Cost],0)</f>
        <v>50704.94</v>
      </c>
      <c r="Y263" s="12">
        <f>SUMIFS(SalesByUTMDaily[google],SalesByUTMDaily[day],TableDailySummary[[#This Row],[Fecha]])</f>
        <v>0</v>
      </c>
      <c r="Z263" s="12">
        <f>_xlfn.XLOOKUP(TableDailySummary[[#This Row],[Fecha]],SummaryDaily[day],SummaryDaily[MetaAdsOperation.spend],0)</f>
        <v>54283</v>
      </c>
      <c r="AA263" s="12">
        <f>SUMIFS(SalesByUTMDaily[facebook],SalesByUTMDaily[day],TableDailySummary[[#This Row],[Fecha]])</f>
        <v>0</v>
      </c>
      <c r="AB263" s="12">
        <f>TableDailySummary[[#This Row],[Inversión google ads]]+TableDailySummary[[#This Row],[Inversión meta ads]]</f>
        <v>104987.94</v>
      </c>
      <c r="AC263" s="12">
        <f>TableDailySummary[[#This Row],[Ventas google ads]]+TableDailySummary[[#This Row],[Ventas meta ads]]</f>
        <v>0</v>
      </c>
      <c r="AD263" s="14">
        <f>IFERROR(TableDailySummary[[#This Row],[Ventas publicidad]]/TableDailySummary[[#This Row],[Inversión publicidad]],0)</f>
        <v>0</v>
      </c>
      <c r="AE263" s="14">
        <f>IFERROR(TableDailySummary[[#This Row],[Ventas primer cliente]]/TableDailySummary[[#This Row],[Inversión publicidad]],0)</f>
        <v>1.2406386866910619</v>
      </c>
      <c r="AF263" s="14"/>
      <c r="AG263" s="12"/>
      <c r="AM263" s="12">
        <f>_xlfn.XLOOKUP(TableDailySummary[[#This Row],[Fecha]],SummaryDaily[day],SummaryDaily[net_sales_with_cost_recorded],0)</f>
        <v>365546.22</v>
      </c>
      <c r="AN263" s="12">
        <f>_xlfn.XLOOKUP(TableDailySummary[[#This Row],[Fecha]],SummaryDaily[day],SummaryDaily[cost_of_goods_sold],0)</f>
        <v>59952</v>
      </c>
      <c r="AO263" s="12">
        <f>_xlfn.XLOOKUP(TableDailySummary[[#This Row],[Fecha]],SummaryDaily[day],SummaryDaily[gross_profit],0)</f>
        <v>305594.21999999997</v>
      </c>
      <c r="AP263" s="18">
        <f>IFERROR(TableDailySummary[[#This Row],[Utilidad bruta]]/TableDailySummary[[#This Row],[Ventas netas con costo registrado]],0)</f>
        <v>0.83599337998899292</v>
      </c>
    </row>
    <row r="264" spans="2:42" x14ac:dyDescent="0.2">
      <c r="B264" s="15" cm="1">
        <f t="array" ref="B264">MIN(SummaryDaily[day]) + (ROW(TableDailySummary[#This Row]) - ROW(TableDailySummary[[#Headers],[Dia]]) - 1)</f>
        <v>46035</v>
      </c>
      <c r="C264" s="6">
        <f>TableDailySummary[[#This Row],[Dia]]</f>
        <v>46035</v>
      </c>
      <c r="D264" s="12">
        <f>_xlfn.XLOOKUP(TableDailySummary[[#This Row],[Fecha]],SummaryDaily[day],SummaryDaily[net_sales],0)</f>
        <v>2559243.6800000002</v>
      </c>
      <c r="E264" s="12">
        <f>_xlfn.XLOOKUP(TableDailySummary[[#This Row],[Fecha]],SummaryDaily[day],SummaryDaily[orders],0)</f>
        <v>18</v>
      </c>
      <c r="F264" s="12">
        <f>_xlfn.XLOOKUP(TableDailySummary[[#This Row],[Fecha]],SummaryDaily[day],SummaryDaily[average_order_value],0)</f>
        <v>142180.204</v>
      </c>
      <c r="G264" s="24">
        <f>_xlfn.XLOOKUP(TableDailySummary[[#This Row],[Fecha]],SummaryDaily[day],SummaryDaily[Total site_conversion_rate],0)</f>
        <v>5.5762081784386614E-3</v>
      </c>
      <c r="H264" s="12">
        <f>TableDailySummary[[#This Row],[Órden promedio totales]]*TableDailySummary[[#This Row],[CR totales]]</f>
        <v>792.8264163568773</v>
      </c>
      <c r="I264" s="12">
        <f>_xlfn.XLOOKUP(TableDailySummary[[#This Row],[Fecha]],SummaryDaily[day],SummaryDaily[new_net_sales],0)</f>
        <v>845378.15</v>
      </c>
      <c r="J264" s="12">
        <f>_xlfn.XLOOKUP(TableDailySummary[[#This Row],[Fecha]],SummaryDaily[day],SummaryDaily[new_orders],0)</f>
        <v>6</v>
      </c>
      <c r="K264" s="12">
        <f>_xlfn.XLOOKUP(TableDailySummary[[#This Row],[Fecha]],SummaryDaily[day],SummaryDaily[new_average_order_value],0)</f>
        <v>140896.35800000001</v>
      </c>
      <c r="L264" s="12">
        <f>_xlfn.XLOOKUP(TableDailySummary[[#This Row],[Fecha]],SummaryDaily[day],SummaryDaily[Online Store_net_sales],0)</f>
        <v>361344.54</v>
      </c>
      <c r="M264" s="12">
        <f>_xlfn.XLOOKUP(TableDailySummary[[#This Row],[Fecha]],SummaryDaily[day],SummaryDaily[Online Store_orders],0)</f>
        <v>3</v>
      </c>
      <c r="N264" s="12">
        <f>_xlfn.XLOOKUP(TableDailySummary[[#This Row],[Fecha]],SummaryDaily[day],SummaryDaily[Online Store_average_order_value],0)</f>
        <v>120448.18</v>
      </c>
      <c r="O264" s="12">
        <f>_xlfn.XLOOKUP(TableDailySummary[[#This Row],[Fecha]],SummaryDaily[day],SummaryDaily[Tienda 81_net_sales],0)</f>
        <v>2197899.14</v>
      </c>
      <c r="P264" s="12">
        <f>_xlfn.XLOOKUP(TableDailySummary[[#This Row],[Fecha]],SummaryDaily[day],SummaryDaily[Tienda 81_orders],0)</f>
        <v>15</v>
      </c>
      <c r="Q264" s="12">
        <f>_xlfn.XLOOKUP(TableDailySummary[[#This Row],[Fecha]],SummaryDaily[day],SummaryDaily[Tienda 81_average_order_value],0)</f>
        <v>146526.609</v>
      </c>
      <c r="R264" s="12">
        <f>_xlfn.XLOOKUP(TableDailySummary[[#This Row],[Fecha]],SummaryDaily[day],SummaryDaily[Rappi_net_sales],0)</f>
        <v>0</v>
      </c>
      <c r="S264" s="12">
        <f>_xlfn.XLOOKUP(TableDailySummary[[#This Row],[Fecha]],SummaryDaily[day],SummaryDaily[Rappi_orders],0)</f>
        <v>0</v>
      </c>
      <c r="T264" s="12">
        <f>_xlfn.XLOOKUP(TableDailySummary[[#This Row],[Fecha]],SummaryDaily[day],SummaryDaily[Rappi_average_order_value],0)</f>
        <v>0</v>
      </c>
      <c r="U264" s="12">
        <f>_xlfn.XLOOKUP(TableDailySummary[[#This Row],[Fecha]],SummaryDaily[day],SummaryDaily[Corporativo no tienda_net_sales],0)</f>
        <v>0</v>
      </c>
      <c r="V264" s="12">
        <f>_xlfn.XLOOKUP(TableDailySummary[[#This Row],[Fecha]],SummaryDaily[day],SummaryDaily[Corporativo no tienda_orders],0)</f>
        <v>0</v>
      </c>
      <c r="W264" s="12">
        <f>_xlfn.XLOOKUP(TableDailySummary[[#This Row],[Fecha]],SummaryDaily[day],SummaryDaily[Corporativo no tienda_average_order_value],0)</f>
        <v>0</v>
      </c>
      <c r="X264" s="12">
        <f>_xlfn.XLOOKUP(TableDailySummary[[#This Row],[Fecha]],SummaryDaily[day],SummaryDaily[GoogleAdsOperation.Cost],0)</f>
        <v>53576.86</v>
      </c>
      <c r="Y264" s="12">
        <f>SUMIFS(SalesByUTMDaily[google],SalesByUTMDaily[day],TableDailySummary[[#This Row],[Fecha]])</f>
        <v>192000</v>
      </c>
      <c r="Z264" s="12">
        <f>_xlfn.XLOOKUP(TableDailySummary[[#This Row],[Fecha]],SummaryDaily[day],SummaryDaily[MetaAdsOperation.spend],0)</f>
        <v>52033</v>
      </c>
      <c r="AA264" s="12">
        <f>SUMIFS(SalesByUTMDaily[facebook],SalesByUTMDaily[day],TableDailySummary[[#This Row],[Fecha]])</f>
        <v>130000</v>
      </c>
      <c r="AB264" s="12">
        <f>TableDailySummary[[#This Row],[Inversión google ads]]+TableDailySummary[[#This Row],[Inversión meta ads]]</f>
        <v>105609.86</v>
      </c>
      <c r="AC264" s="12">
        <f>TableDailySummary[[#This Row],[Ventas google ads]]+TableDailySummary[[#This Row],[Ventas meta ads]]</f>
        <v>322000</v>
      </c>
      <c r="AD264" s="14">
        <f>IFERROR(TableDailySummary[[#This Row],[Ventas publicidad]]/TableDailySummary[[#This Row],[Inversión publicidad]],0)</f>
        <v>3.0489577393625935</v>
      </c>
      <c r="AE264" s="14">
        <f>IFERROR(TableDailySummary[[#This Row],[Ventas primer cliente]]/TableDailySummary[[#This Row],[Inversión publicidad]],0)</f>
        <v>8.0047274941941975</v>
      </c>
      <c r="AF264" s="14"/>
      <c r="AG264" s="12"/>
      <c r="AM264" s="12">
        <f>_xlfn.XLOOKUP(TableDailySummary[[#This Row],[Fecha]],SummaryDaily[day],SummaryDaily[net_sales_with_cost_recorded],0)</f>
        <v>2439075.63</v>
      </c>
      <c r="AN264" s="12">
        <f>_xlfn.XLOOKUP(TableDailySummary[[#This Row],[Fecha]],SummaryDaily[day],SummaryDaily[cost_of_goods_sold],0)</f>
        <v>612162</v>
      </c>
      <c r="AO264" s="12">
        <f>_xlfn.XLOOKUP(TableDailySummary[[#This Row],[Fecha]],SummaryDaily[day],SummaryDaily[gross_profit],0)</f>
        <v>1826913.63</v>
      </c>
      <c r="AP264" s="18">
        <f>IFERROR(TableDailySummary[[#This Row],[Utilidad bruta]]/TableDailySummary[[#This Row],[Ventas netas con costo registrado]],0)</f>
        <v>0.74901885268723711</v>
      </c>
    </row>
    <row r="265" spans="2:42" x14ac:dyDescent="0.2">
      <c r="B265" s="15" cm="1">
        <f t="array" ref="B265">MIN(SummaryDaily[day]) + (ROW(TableDailySummary[#This Row]) - ROW(TableDailySummary[[#Headers],[Dia]]) - 1)</f>
        <v>46036</v>
      </c>
      <c r="C265" s="6">
        <f>TableDailySummary[[#This Row],[Dia]]</f>
        <v>46036</v>
      </c>
      <c r="D265" s="12">
        <f>_xlfn.XLOOKUP(TableDailySummary[[#This Row],[Fecha]],SummaryDaily[day],SummaryDaily[net_sales],0)</f>
        <v>4877823.5199999996</v>
      </c>
      <c r="E265" s="12">
        <f>_xlfn.XLOOKUP(TableDailySummary[[#This Row],[Fecha]],SummaryDaily[day],SummaryDaily[orders],0)</f>
        <v>21</v>
      </c>
      <c r="F265" s="12">
        <f>_xlfn.XLOOKUP(TableDailySummary[[#This Row],[Fecha]],SummaryDaily[day],SummaryDaily[average_order_value],0)</f>
        <v>232277.31</v>
      </c>
      <c r="G265" s="24">
        <f>_xlfn.XLOOKUP(TableDailySummary[[#This Row],[Fecha]],SummaryDaily[day],SummaryDaily[Total site_conversion_rate],0)</f>
        <v>8.4317032040472171E-3</v>
      </c>
      <c r="H265" s="12">
        <f>TableDailySummary[[#This Row],[Órden promedio totales]]*TableDailySummary[[#This Row],[CR totales]]</f>
        <v>1958.4933389544688</v>
      </c>
      <c r="I265" s="12">
        <f>_xlfn.XLOOKUP(TableDailySummary[[#This Row],[Fecha]],SummaryDaily[day],SummaryDaily[new_net_sales],0)</f>
        <v>2458915.9700000002</v>
      </c>
      <c r="J265" s="12">
        <f>_xlfn.XLOOKUP(TableDailySummary[[#This Row],[Fecha]],SummaryDaily[day],SummaryDaily[new_orders],0)</f>
        <v>12</v>
      </c>
      <c r="K265" s="12">
        <f>_xlfn.XLOOKUP(TableDailySummary[[#This Row],[Fecha]],SummaryDaily[day],SummaryDaily[new_average_order_value],0)</f>
        <v>204909.66399999999</v>
      </c>
      <c r="L265" s="12">
        <f>_xlfn.XLOOKUP(TableDailySummary[[#This Row],[Fecha]],SummaryDaily[day],SummaryDaily[Online Store_net_sales],0)</f>
        <v>1407563.02</v>
      </c>
      <c r="M265" s="12">
        <f>_xlfn.XLOOKUP(TableDailySummary[[#This Row],[Fecha]],SummaryDaily[day],SummaryDaily[Online Store_orders],0)</f>
        <v>5</v>
      </c>
      <c r="N265" s="12">
        <f>_xlfn.XLOOKUP(TableDailySummary[[#This Row],[Fecha]],SummaryDaily[day],SummaryDaily[Online Store_average_order_value],0)</f>
        <v>281512.60399999999</v>
      </c>
      <c r="O265" s="12">
        <f>_xlfn.XLOOKUP(TableDailySummary[[#This Row],[Fecha]],SummaryDaily[day],SummaryDaily[Tienda 81_net_sales],0)</f>
        <v>2440848.73</v>
      </c>
      <c r="P265" s="12">
        <f>_xlfn.XLOOKUP(TableDailySummary[[#This Row],[Fecha]],SummaryDaily[day],SummaryDaily[Tienda 81_orders],0)</f>
        <v>14</v>
      </c>
      <c r="Q265" s="12">
        <f>_xlfn.XLOOKUP(TableDailySummary[[#This Row],[Fecha]],SummaryDaily[day],SummaryDaily[Tienda 81_average_order_value],0)</f>
        <v>174346.337</v>
      </c>
      <c r="R265" s="12">
        <f>_xlfn.XLOOKUP(TableDailySummary[[#This Row],[Fecha]],SummaryDaily[day],SummaryDaily[Rappi_net_sales],0)</f>
        <v>46218.49</v>
      </c>
      <c r="S265" s="12">
        <f>_xlfn.XLOOKUP(TableDailySummary[[#This Row],[Fecha]],SummaryDaily[day],SummaryDaily[Rappi_orders],0)</f>
        <v>1</v>
      </c>
      <c r="T265" s="12">
        <f>_xlfn.XLOOKUP(TableDailySummary[[#This Row],[Fecha]],SummaryDaily[day],SummaryDaily[Rappi_average_order_value],0)</f>
        <v>46218.49</v>
      </c>
      <c r="U265" s="12">
        <f>_xlfn.XLOOKUP(TableDailySummary[[#This Row],[Fecha]],SummaryDaily[day],SummaryDaily[Corporativo no tienda_net_sales],0)</f>
        <v>983193.28</v>
      </c>
      <c r="V265" s="12">
        <f>_xlfn.XLOOKUP(TableDailySummary[[#This Row],[Fecha]],SummaryDaily[day],SummaryDaily[Corporativo no tienda_orders],0)</f>
        <v>1</v>
      </c>
      <c r="W265" s="12">
        <f>_xlfn.XLOOKUP(TableDailySummary[[#This Row],[Fecha]],SummaryDaily[day],SummaryDaily[Corporativo no tienda_average_order_value],0)</f>
        <v>983193.28</v>
      </c>
      <c r="X265" s="12">
        <f>_xlfn.XLOOKUP(TableDailySummary[[#This Row],[Fecha]],SummaryDaily[day],SummaryDaily[GoogleAdsOperation.Cost],0)</f>
        <v>58669.89</v>
      </c>
      <c r="Y265" s="12">
        <f>SUMIFS(SalesByUTMDaily[google],SalesByUTMDaily[day],TableDailySummary[[#This Row],[Fecha]])</f>
        <v>65000</v>
      </c>
      <c r="Z265" s="12">
        <f>_xlfn.XLOOKUP(TableDailySummary[[#This Row],[Fecha]],SummaryDaily[day],SummaryDaily[MetaAdsOperation.spend],0)</f>
        <v>53264</v>
      </c>
      <c r="AA265" s="12">
        <f>SUMIFS(SalesByUTMDaily[facebook],SalesByUTMDaily[day],TableDailySummary[[#This Row],[Fecha]])</f>
        <v>136000</v>
      </c>
      <c r="AB265" s="12">
        <f>TableDailySummary[[#This Row],[Inversión google ads]]+TableDailySummary[[#This Row],[Inversión meta ads]]</f>
        <v>111933.89</v>
      </c>
      <c r="AC265" s="12">
        <f>TableDailySummary[[#This Row],[Ventas google ads]]+TableDailySummary[[#This Row],[Ventas meta ads]]</f>
        <v>201000</v>
      </c>
      <c r="AD265" s="14">
        <f>IFERROR(TableDailySummary[[#This Row],[Ventas publicidad]]/TableDailySummary[[#This Row],[Inversión publicidad]],0)</f>
        <v>1.7957028027883244</v>
      </c>
      <c r="AE265" s="14">
        <f>IFERROR(TableDailySummary[[#This Row],[Ventas primer cliente]]/TableDailySummary[[#This Row],[Inversión publicidad]],0)</f>
        <v>21.967573627611799</v>
      </c>
      <c r="AF265" s="14"/>
      <c r="AG265" s="12"/>
      <c r="AM265" s="12">
        <f>_xlfn.XLOOKUP(TableDailySummary[[#This Row],[Fecha]],SummaryDaily[day],SummaryDaily[net_sales_with_cost_recorded],0)</f>
        <v>4108915.96</v>
      </c>
      <c r="AN265" s="12">
        <f>_xlfn.XLOOKUP(TableDailySummary[[#This Row],[Fecha]],SummaryDaily[day],SummaryDaily[cost_of_goods_sold],0)</f>
        <v>1144323</v>
      </c>
      <c r="AO265" s="12">
        <f>_xlfn.XLOOKUP(TableDailySummary[[#This Row],[Fecha]],SummaryDaily[day],SummaryDaily[gross_profit],0)</f>
        <v>2964592.96</v>
      </c>
      <c r="AP265" s="18">
        <f>IFERROR(TableDailySummary[[#This Row],[Utilidad bruta]]/TableDailySummary[[#This Row],[Ventas netas con costo registrado]],0)</f>
        <v>0.72150245681831859</v>
      </c>
    </row>
    <row r="266" spans="2:42" x14ac:dyDescent="0.2">
      <c r="B266" s="15" cm="1">
        <f t="array" ref="B266">MIN(SummaryDaily[day]) + (ROW(TableDailySummary[#This Row]) - ROW(TableDailySummary[[#Headers],[Dia]]) - 1)</f>
        <v>46037</v>
      </c>
      <c r="C266" s="6">
        <f>TableDailySummary[[#This Row],[Dia]]</f>
        <v>46037</v>
      </c>
      <c r="D266" s="12">
        <f>_xlfn.XLOOKUP(TableDailySummary[[#This Row],[Fecha]],SummaryDaily[day],SummaryDaily[net_sales],0)</f>
        <v>1492957.98</v>
      </c>
      <c r="E266" s="12">
        <f>_xlfn.XLOOKUP(TableDailySummary[[#This Row],[Fecha]],SummaryDaily[day],SummaryDaily[orders],0)</f>
        <v>20</v>
      </c>
      <c r="F266" s="12">
        <f>_xlfn.XLOOKUP(TableDailySummary[[#This Row],[Fecha]],SummaryDaily[day],SummaryDaily[average_order_value],0)</f>
        <v>74647.899000000005</v>
      </c>
      <c r="G266" s="24">
        <f>_xlfn.XLOOKUP(TableDailySummary[[#This Row],[Fecha]],SummaryDaily[day],SummaryDaily[Total site_conversion_rate],0)</f>
        <v>2.304147465437788E-3</v>
      </c>
      <c r="H266" s="12">
        <f>TableDailySummary[[#This Row],[Órden promedio totales]]*TableDailySummary[[#This Row],[CR totales]]</f>
        <v>171.99976728110599</v>
      </c>
      <c r="I266" s="12">
        <f>_xlfn.XLOOKUP(TableDailySummary[[#This Row],[Fecha]],SummaryDaily[day],SummaryDaily[new_net_sales],0)</f>
        <v>517647.04</v>
      </c>
      <c r="J266" s="12">
        <f>_xlfn.XLOOKUP(TableDailySummary[[#This Row],[Fecha]],SummaryDaily[day],SummaryDaily[new_orders],0)</f>
        <v>7</v>
      </c>
      <c r="K266" s="12">
        <f>_xlfn.XLOOKUP(TableDailySummary[[#This Row],[Fecha]],SummaryDaily[day],SummaryDaily[new_average_order_value],0)</f>
        <v>73949.577000000005</v>
      </c>
      <c r="L266" s="12">
        <f>_xlfn.XLOOKUP(TableDailySummary[[#This Row],[Fecha]],SummaryDaily[day],SummaryDaily[Online Store_net_sales],0)</f>
        <v>100840.34</v>
      </c>
      <c r="M266" s="12">
        <f>_xlfn.XLOOKUP(TableDailySummary[[#This Row],[Fecha]],SummaryDaily[day],SummaryDaily[Online Store_orders],0)</f>
        <v>1</v>
      </c>
      <c r="N266" s="12">
        <f>_xlfn.XLOOKUP(TableDailySummary[[#This Row],[Fecha]],SummaryDaily[day],SummaryDaily[Online Store_average_order_value],0)</f>
        <v>100840.34</v>
      </c>
      <c r="O266" s="12">
        <f>_xlfn.XLOOKUP(TableDailySummary[[#This Row],[Fecha]],SummaryDaily[day],SummaryDaily[Tienda 81_net_sales],0)</f>
        <v>1169428.57</v>
      </c>
      <c r="P266" s="12">
        <f>_xlfn.XLOOKUP(TableDailySummary[[#This Row],[Fecha]],SummaryDaily[day],SummaryDaily[Tienda 81_orders],0)</f>
        <v>16</v>
      </c>
      <c r="Q266" s="12">
        <f>_xlfn.XLOOKUP(TableDailySummary[[#This Row],[Fecha]],SummaryDaily[day],SummaryDaily[Tienda 81_average_order_value],0)</f>
        <v>73089.285000000003</v>
      </c>
      <c r="R266" s="12">
        <f>_xlfn.XLOOKUP(TableDailySummary[[#This Row],[Fecha]],SummaryDaily[day],SummaryDaily[Rappi_net_sales],0)</f>
        <v>222689.07</v>
      </c>
      <c r="S266" s="12">
        <f>_xlfn.XLOOKUP(TableDailySummary[[#This Row],[Fecha]],SummaryDaily[day],SummaryDaily[Rappi_orders],0)</f>
        <v>3</v>
      </c>
      <c r="T266" s="12">
        <f>_xlfn.XLOOKUP(TableDailySummary[[#This Row],[Fecha]],SummaryDaily[day],SummaryDaily[Rappi_average_order_value],0)</f>
        <v>74229.69</v>
      </c>
      <c r="U266" s="12">
        <f>_xlfn.XLOOKUP(TableDailySummary[[#This Row],[Fecha]],SummaryDaily[day],SummaryDaily[Corporativo no tienda_net_sales],0)</f>
        <v>0</v>
      </c>
      <c r="V266" s="12">
        <f>_xlfn.XLOOKUP(TableDailySummary[[#This Row],[Fecha]],SummaryDaily[day],SummaryDaily[Corporativo no tienda_orders],0)</f>
        <v>0</v>
      </c>
      <c r="W266" s="12">
        <f>_xlfn.XLOOKUP(TableDailySummary[[#This Row],[Fecha]],SummaryDaily[day],SummaryDaily[Corporativo no tienda_average_order_value],0)</f>
        <v>0</v>
      </c>
      <c r="X266" s="12">
        <f>_xlfn.XLOOKUP(TableDailySummary[[#This Row],[Fecha]],SummaryDaily[day],SummaryDaily[GoogleAdsOperation.Cost],0)</f>
        <v>41251.99</v>
      </c>
      <c r="Y266" s="12">
        <f>SUMIFS(SalesByUTMDaily[google],SalesByUTMDaily[day],TableDailySummary[[#This Row],[Fecha]])</f>
        <v>0</v>
      </c>
      <c r="Z266" s="12">
        <f>_xlfn.XLOOKUP(TableDailySummary[[#This Row],[Fecha]],SummaryDaily[day],SummaryDaily[MetaAdsOperation.spend],0)</f>
        <v>48031</v>
      </c>
      <c r="AA266" s="12">
        <f>SUMIFS(SalesByUTMDaily[facebook],SalesByUTMDaily[day],TableDailySummary[[#This Row],[Fecha]])</f>
        <v>0</v>
      </c>
      <c r="AB266" s="12">
        <f>TableDailySummary[[#This Row],[Inversión google ads]]+TableDailySummary[[#This Row],[Inversión meta ads]]</f>
        <v>89282.989999999991</v>
      </c>
      <c r="AC266" s="12">
        <f>TableDailySummary[[#This Row],[Ventas google ads]]+TableDailySummary[[#This Row],[Ventas meta ads]]</f>
        <v>0</v>
      </c>
      <c r="AD266" s="14">
        <f>IFERROR(TableDailySummary[[#This Row],[Ventas publicidad]]/TableDailySummary[[#This Row],[Inversión publicidad]],0)</f>
        <v>0</v>
      </c>
      <c r="AE266" s="14">
        <f>IFERROR(TableDailySummary[[#This Row],[Ventas primer cliente]]/TableDailySummary[[#This Row],[Inversión publicidad]],0)</f>
        <v>5.7978237511982966</v>
      </c>
      <c r="AF266" s="14"/>
      <c r="AG266" s="12"/>
      <c r="AM266" s="12">
        <f>_xlfn.XLOOKUP(TableDailySummary[[#This Row],[Fecha]],SummaryDaily[day],SummaryDaily[net_sales_with_cost_recorded],0)</f>
        <v>1089075.6299999999</v>
      </c>
      <c r="AN266" s="12">
        <f>_xlfn.XLOOKUP(TableDailySummary[[#This Row],[Fecha]],SummaryDaily[day],SummaryDaily[cost_of_goods_sold],0)</f>
        <v>268453</v>
      </c>
      <c r="AO266" s="12">
        <f>_xlfn.XLOOKUP(TableDailySummary[[#This Row],[Fecha]],SummaryDaily[day],SummaryDaily[gross_profit],0)</f>
        <v>820622.63</v>
      </c>
      <c r="AP266" s="18">
        <f>IFERROR(TableDailySummary[[#This Row],[Utilidad bruta]]/TableDailySummary[[#This Row],[Ventas netas con costo registrado]],0)</f>
        <v>0.75350380395528649</v>
      </c>
    </row>
    <row r="267" spans="2:42" x14ac:dyDescent="0.2">
      <c r="B267" s="15" cm="1">
        <f t="array" ref="B267">MIN(SummaryDaily[day]) + (ROW(TableDailySummary[#This Row]) - ROW(TableDailySummary[[#Headers],[Dia]]) - 1)</f>
        <v>46038</v>
      </c>
      <c r="C267" s="6">
        <f>TableDailySummary[[#This Row],[Dia]]</f>
        <v>46038</v>
      </c>
      <c r="D267" s="12">
        <f>_xlfn.XLOOKUP(TableDailySummary[[#This Row],[Fecha]],SummaryDaily[day],SummaryDaily[net_sales],0)</f>
        <v>2060504.2</v>
      </c>
      <c r="E267" s="12">
        <f>_xlfn.XLOOKUP(TableDailySummary[[#This Row],[Fecha]],SummaryDaily[day],SummaryDaily[orders],0)</f>
        <v>16</v>
      </c>
      <c r="F267" s="12">
        <f>_xlfn.XLOOKUP(TableDailySummary[[#This Row],[Fecha]],SummaryDaily[day],SummaryDaily[average_order_value],0)</f>
        <v>128781.512</v>
      </c>
      <c r="G267" s="24">
        <f>_xlfn.XLOOKUP(TableDailySummary[[#This Row],[Fecha]],SummaryDaily[day],SummaryDaily[Total site_conversion_rate],0)</f>
        <v>8.8028169014084511E-3</v>
      </c>
      <c r="H267" s="12">
        <f>TableDailySummary[[#This Row],[Órden promedio totales]]*TableDailySummary[[#This Row],[CR totales]]</f>
        <v>1133.6400704225352</v>
      </c>
      <c r="I267" s="12">
        <f>_xlfn.XLOOKUP(TableDailySummary[[#This Row],[Fecha]],SummaryDaily[day],SummaryDaily[new_net_sales],0)</f>
        <v>1067226.8899999999</v>
      </c>
      <c r="J267" s="12">
        <f>_xlfn.XLOOKUP(TableDailySummary[[#This Row],[Fecha]],SummaryDaily[day],SummaryDaily[new_orders],0)</f>
        <v>7</v>
      </c>
      <c r="K267" s="12">
        <f>_xlfn.XLOOKUP(TableDailySummary[[#This Row],[Fecha]],SummaryDaily[day],SummaryDaily[new_average_order_value],0)</f>
        <v>152460.984</v>
      </c>
      <c r="L267" s="12">
        <f>_xlfn.XLOOKUP(TableDailySummary[[#This Row],[Fecha]],SummaryDaily[day],SummaryDaily[Online Store_net_sales],0)</f>
        <v>689075.63</v>
      </c>
      <c r="M267" s="12">
        <f>_xlfn.XLOOKUP(TableDailySummary[[#This Row],[Fecha]],SummaryDaily[day],SummaryDaily[Online Store_orders],0)</f>
        <v>5</v>
      </c>
      <c r="N267" s="12">
        <f>_xlfn.XLOOKUP(TableDailySummary[[#This Row],[Fecha]],SummaryDaily[day],SummaryDaily[Online Store_average_order_value],0)</f>
        <v>137815.12599999999</v>
      </c>
      <c r="O267" s="12">
        <f>_xlfn.XLOOKUP(TableDailySummary[[#This Row],[Fecha]],SummaryDaily[day],SummaryDaily[Tienda 81_net_sales],0)</f>
        <v>1371428.57</v>
      </c>
      <c r="P267" s="12">
        <f>_xlfn.XLOOKUP(TableDailySummary[[#This Row],[Fecha]],SummaryDaily[day],SummaryDaily[Tienda 81_orders],0)</f>
        <v>11</v>
      </c>
      <c r="Q267" s="12">
        <f>_xlfn.XLOOKUP(TableDailySummary[[#This Row],[Fecha]],SummaryDaily[day],SummaryDaily[Tienda 81_average_order_value],0)</f>
        <v>124675.32399999999</v>
      </c>
      <c r="R267" s="12">
        <f>_xlfn.XLOOKUP(TableDailySummary[[#This Row],[Fecha]],SummaryDaily[day],SummaryDaily[Rappi_net_sales],0)</f>
        <v>0</v>
      </c>
      <c r="S267" s="12">
        <f>_xlfn.XLOOKUP(TableDailySummary[[#This Row],[Fecha]],SummaryDaily[day],SummaryDaily[Rappi_orders],0)</f>
        <v>0</v>
      </c>
      <c r="T267" s="12">
        <f>_xlfn.XLOOKUP(TableDailySummary[[#This Row],[Fecha]],SummaryDaily[day],SummaryDaily[Rappi_average_order_value],0)</f>
        <v>0</v>
      </c>
      <c r="U267" s="12">
        <f>_xlfn.XLOOKUP(TableDailySummary[[#This Row],[Fecha]],SummaryDaily[day],SummaryDaily[Corporativo no tienda_net_sales],0)</f>
        <v>0</v>
      </c>
      <c r="V267" s="12">
        <f>_xlfn.XLOOKUP(TableDailySummary[[#This Row],[Fecha]],SummaryDaily[day],SummaryDaily[Corporativo no tienda_orders],0)</f>
        <v>0</v>
      </c>
      <c r="W267" s="12">
        <f>_xlfn.XLOOKUP(TableDailySummary[[#This Row],[Fecha]],SummaryDaily[day],SummaryDaily[Corporativo no tienda_average_order_value],0)</f>
        <v>0</v>
      </c>
      <c r="X267" s="12">
        <f>_xlfn.XLOOKUP(TableDailySummary[[#This Row],[Fecha]],SummaryDaily[day],SummaryDaily[GoogleAdsOperation.Cost],0)</f>
        <v>59598.69</v>
      </c>
      <c r="Y267" s="12">
        <f>SUMIFS(SalesByUTMDaily[google],SalesByUTMDaily[day],TableDailySummary[[#This Row],[Fecha]])</f>
        <v>0</v>
      </c>
      <c r="Z267" s="12">
        <f>_xlfn.XLOOKUP(TableDailySummary[[#This Row],[Fecha]],SummaryDaily[day],SummaryDaily[MetaAdsOperation.spend],0)</f>
        <v>50137</v>
      </c>
      <c r="AA267" s="12">
        <f>SUMIFS(SalesByUTMDaily[facebook],SalesByUTMDaily[day],TableDailySummary[[#This Row],[Fecha]])</f>
        <v>0</v>
      </c>
      <c r="AB267" s="12">
        <f>TableDailySummary[[#This Row],[Inversión google ads]]+TableDailySummary[[#This Row],[Inversión meta ads]]</f>
        <v>109735.69</v>
      </c>
      <c r="AC267" s="12">
        <f>TableDailySummary[[#This Row],[Ventas google ads]]+TableDailySummary[[#This Row],[Ventas meta ads]]</f>
        <v>0</v>
      </c>
      <c r="AD267" s="14">
        <f>IFERROR(TableDailySummary[[#This Row],[Ventas publicidad]]/TableDailySummary[[#This Row],[Inversión publicidad]],0)</f>
        <v>0</v>
      </c>
      <c r="AE267" s="14">
        <f>IFERROR(TableDailySummary[[#This Row],[Ventas primer cliente]]/TableDailySummary[[#This Row],[Inversión publicidad]],0)</f>
        <v>9.7254310789862437</v>
      </c>
      <c r="AF267" s="14"/>
      <c r="AG267" s="12"/>
      <c r="AM267" s="12">
        <f>_xlfn.XLOOKUP(TableDailySummary[[#This Row],[Fecha]],SummaryDaily[day],SummaryDaily[net_sales_with_cost_recorded],0)</f>
        <v>1909243.71</v>
      </c>
      <c r="AN267" s="12">
        <f>_xlfn.XLOOKUP(TableDailySummary[[#This Row],[Fecha]],SummaryDaily[day],SummaryDaily[cost_of_goods_sold],0)</f>
        <v>579609</v>
      </c>
      <c r="AO267" s="12">
        <f>_xlfn.XLOOKUP(TableDailySummary[[#This Row],[Fecha]],SummaryDaily[day],SummaryDaily[gross_profit],0)</f>
        <v>1329634.71</v>
      </c>
      <c r="AP267" s="18">
        <f>IFERROR(TableDailySummary[[#This Row],[Utilidad bruta]]/TableDailySummary[[#This Row],[Ventas netas con costo registrado]],0)</f>
        <v>0.69641958385710745</v>
      </c>
    </row>
    <row r="268" spans="2:42" x14ac:dyDescent="0.2">
      <c r="B268" s="15" cm="1">
        <f t="array" ref="B268">MIN(SummaryDaily[day]) + (ROW(TableDailySummary[#This Row]) - ROW(TableDailySummary[[#Headers],[Dia]]) - 1)</f>
        <v>46039</v>
      </c>
      <c r="C268" s="6">
        <f>TableDailySummary[[#This Row],[Dia]]</f>
        <v>46039</v>
      </c>
      <c r="D268" s="12">
        <f>_xlfn.XLOOKUP(TableDailySummary[[#This Row],[Fecha]],SummaryDaily[day],SummaryDaily[net_sales],0)</f>
        <v>4574747.8899999997</v>
      </c>
      <c r="E268" s="12">
        <f>_xlfn.XLOOKUP(TableDailySummary[[#This Row],[Fecha]],SummaryDaily[day],SummaryDaily[orders],0)</f>
        <v>28</v>
      </c>
      <c r="F268" s="12">
        <f>_xlfn.XLOOKUP(TableDailySummary[[#This Row],[Fecha]],SummaryDaily[day],SummaryDaily[average_order_value],0)</f>
        <v>163383.853</v>
      </c>
      <c r="G268" s="24">
        <f>_xlfn.XLOOKUP(TableDailySummary[[#This Row],[Fecha]],SummaryDaily[day],SummaryDaily[Total site_conversion_rate],0)</f>
        <v>1.0135135135135136E-2</v>
      </c>
      <c r="H268" s="12">
        <f>TableDailySummary[[#This Row],[Órden promedio totales]]*TableDailySummary[[#This Row],[CR totales]]</f>
        <v>1655.9174290540541</v>
      </c>
      <c r="I268" s="12">
        <f>_xlfn.XLOOKUP(TableDailySummary[[#This Row],[Fecha]],SummaryDaily[day],SummaryDaily[new_net_sales],0)</f>
        <v>1121848.74</v>
      </c>
      <c r="J268" s="12">
        <f>_xlfn.XLOOKUP(TableDailySummary[[#This Row],[Fecha]],SummaryDaily[day],SummaryDaily[new_orders],0)</f>
        <v>6</v>
      </c>
      <c r="K268" s="12">
        <f>_xlfn.XLOOKUP(TableDailySummary[[#This Row],[Fecha]],SummaryDaily[day],SummaryDaily[new_average_order_value],0)</f>
        <v>186974.79</v>
      </c>
      <c r="L268" s="12">
        <f>_xlfn.XLOOKUP(TableDailySummary[[#This Row],[Fecha]],SummaryDaily[day],SummaryDaily[Online Store_net_sales],0)</f>
        <v>1008403.36</v>
      </c>
      <c r="M268" s="12">
        <f>_xlfn.XLOOKUP(TableDailySummary[[#This Row],[Fecha]],SummaryDaily[day],SummaryDaily[Online Store_orders],0)</f>
        <v>6</v>
      </c>
      <c r="N268" s="12">
        <f>_xlfn.XLOOKUP(TableDailySummary[[#This Row],[Fecha]],SummaryDaily[day],SummaryDaily[Online Store_average_order_value],0)</f>
        <v>168067.226</v>
      </c>
      <c r="O268" s="12">
        <f>_xlfn.XLOOKUP(TableDailySummary[[#This Row],[Fecha]],SummaryDaily[day],SummaryDaily[Tienda 81_net_sales],0)</f>
        <v>3566344.53</v>
      </c>
      <c r="P268" s="12">
        <f>_xlfn.XLOOKUP(TableDailySummary[[#This Row],[Fecha]],SummaryDaily[day],SummaryDaily[Tienda 81_orders],0)</f>
        <v>22</v>
      </c>
      <c r="Q268" s="12">
        <f>_xlfn.XLOOKUP(TableDailySummary[[#This Row],[Fecha]],SummaryDaily[day],SummaryDaily[Tienda 81_average_order_value],0)</f>
        <v>162106.56899999999</v>
      </c>
      <c r="R268" s="12">
        <f>_xlfn.XLOOKUP(TableDailySummary[[#This Row],[Fecha]],SummaryDaily[day],SummaryDaily[Rappi_net_sales],0)</f>
        <v>0</v>
      </c>
      <c r="S268" s="12">
        <f>_xlfn.XLOOKUP(TableDailySummary[[#This Row],[Fecha]],SummaryDaily[day],SummaryDaily[Rappi_orders],0)</f>
        <v>0</v>
      </c>
      <c r="T268" s="12">
        <f>_xlfn.XLOOKUP(TableDailySummary[[#This Row],[Fecha]],SummaryDaily[day],SummaryDaily[Rappi_average_order_value],0)</f>
        <v>0</v>
      </c>
      <c r="U268" s="12">
        <f>_xlfn.XLOOKUP(TableDailySummary[[#This Row],[Fecha]],SummaryDaily[day],SummaryDaily[Corporativo no tienda_net_sales],0)</f>
        <v>0</v>
      </c>
      <c r="V268" s="12">
        <f>_xlfn.XLOOKUP(TableDailySummary[[#This Row],[Fecha]],SummaryDaily[day],SummaryDaily[Corporativo no tienda_orders],0)</f>
        <v>0</v>
      </c>
      <c r="W268" s="12">
        <f>_xlfn.XLOOKUP(TableDailySummary[[#This Row],[Fecha]],SummaryDaily[day],SummaryDaily[Corporativo no tienda_average_order_value],0)</f>
        <v>0</v>
      </c>
      <c r="X268" s="12">
        <f>_xlfn.XLOOKUP(TableDailySummary[[#This Row],[Fecha]],SummaryDaily[day],SummaryDaily[GoogleAdsOperation.Cost],0)</f>
        <v>33266.1</v>
      </c>
      <c r="Y268" s="12">
        <f>SUMIFS(SalesByUTMDaily[google],SalesByUTMDaily[day],TableDailySummary[[#This Row],[Fecha]])</f>
        <v>0</v>
      </c>
      <c r="Z268" s="12">
        <f>_xlfn.XLOOKUP(TableDailySummary[[#This Row],[Fecha]],SummaryDaily[day],SummaryDaily[MetaAdsOperation.spend],0)</f>
        <v>49593</v>
      </c>
      <c r="AA268" s="12">
        <f>SUMIFS(SalesByUTMDaily[facebook],SalesByUTMDaily[day],TableDailySummary[[#This Row],[Fecha]])</f>
        <v>86000</v>
      </c>
      <c r="AB268" s="12">
        <f>TableDailySummary[[#This Row],[Inversión google ads]]+TableDailySummary[[#This Row],[Inversión meta ads]]</f>
        <v>82859.100000000006</v>
      </c>
      <c r="AC268" s="12">
        <f>TableDailySummary[[#This Row],[Ventas google ads]]+TableDailySummary[[#This Row],[Ventas meta ads]]</f>
        <v>86000</v>
      </c>
      <c r="AD268" s="14">
        <f>IFERROR(TableDailySummary[[#This Row],[Ventas publicidad]]/TableDailySummary[[#This Row],[Inversión publicidad]],0)</f>
        <v>1.037906518414996</v>
      </c>
      <c r="AE268" s="14">
        <f>IFERROR(TableDailySummary[[#This Row],[Ventas primer cliente]]/TableDailySummary[[#This Row],[Inversión publicidad]],0)</f>
        <v>13.539233952577327</v>
      </c>
      <c r="AF268" s="14"/>
      <c r="AG268" s="12"/>
      <c r="AM268" s="12">
        <f>_xlfn.XLOOKUP(TableDailySummary[[#This Row],[Fecha]],SummaryDaily[day],SummaryDaily[net_sales_with_cost_recorded],0)</f>
        <v>4256224.74</v>
      </c>
      <c r="AN268" s="12">
        <f>_xlfn.XLOOKUP(TableDailySummary[[#This Row],[Fecha]],SummaryDaily[day],SummaryDaily[cost_of_goods_sold],0)</f>
        <v>1272755</v>
      </c>
      <c r="AO268" s="12">
        <f>_xlfn.XLOOKUP(TableDailySummary[[#This Row],[Fecha]],SummaryDaily[day],SummaryDaily[gross_profit],0)</f>
        <v>2983469.74</v>
      </c>
      <c r="AP268" s="18">
        <f>IFERROR(TableDailySummary[[#This Row],[Utilidad bruta]]/TableDailySummary[[#This Row],[Ventas netas con costo registrado]],0)</f>
        <v>0.70096621354632704</v>
      </c>
    </row>
    <row r="269" spans="2:42" x14ac:dyDescent="0.2">
      <c r="B269" s="15" cm="1">
        <f t="array" ref="B269">MIN(SummaryDaily[day]) + (ROW(TableDailySummary[#This Row]) - ROW(TableDailySummary[[#Headers],[Dia]]) - 1)</f>
        <v>46040</v>
      </c>
      <c r="C269" s="6">
        <f>TableDailySummary[[#This Row],[Dia]]</f>
        <v>46040</v>
      </c>
      <c r="D269" s="12">
        <f>_xlfn.XLOOKUP(TableDailySummary[[#This Row],[Fecha]],SummaryDaily[day],SummaryDaily[net_sales],0)</f>
        <v>1347521.02</v>
      </c>
      <c r="E269" s="12">
        <f>_xlfn.XLOOKUP(TableDailySummary[[#This Row],[Fecha]],SummaryDaily[day],SummaryDaily[orders],0)</f>
        <v>10</v>
      </c>
      <c r="F269" s="12">
        <f>_xlfn.XLOOKUP(TableDailySummary[[#This Row],[Fecha]],SummaryDaily[day],SummaryDaily[average_order_value],0)</f>
        <v>134752.10200000001</v>
      </c>
      <c r="G269" s="24">
        <f>_xlfn.XLOOKUP(TableDailySummary[[#This Row],[Fecha]],SummaryDaily[day],SummaryDaily[Total site_conversion_rate],0)</f>
        <v>5.016722408026756E-3</v>
      </c>
      <c r="H269" s="12">
        <f>TableDailySummary[[#This Row],[Órden promedio totales]]*TableDailySummary[[#This Row],[CR totales]]</f>
        <v>676.01388963210707</v>
      </c>
      <c r="I269" s="12">
        <f>_xlfn.XLOOKUP(TableDailySummary[[#This Row],[Fecha]],SummaryDaily[day],SummaryDaily[new_net_sales],0)</f>
        <v>986176.48</v>
      </c>
      <c r="J269" s="12">
        <f>_xlfn.XLOOKUP(TableDailySummary[[#This Row],[Fecha]],SummaryDaily[day],SummaryDaily[new_orders],0)</f>
        <v>7</v>
      </c>
      <c r="K269" s="12">
        <f>_xlfn.XLOOKUP(TableDailySummary[[#This Row],[Fecha]],SummaryDaily[day],SummaryDaily[new_average_order_value],0)</f>
        <v>140882.35399999999</v>
      </c>
      <c r="L269" s="12">
        <f>_xlfn.XLOOKUP(TableDailySummary[[#This Row],[Fecha]],SummaryDaily[day],SummaryDaily[Online Store_net_sales],0)</f>
        <v>397941.18</v>
      </c>
      <c r="M269" s="12">
        <f>_xlfn.XLOOKUP(TableDailySummary[[#This Row],[Fecha]],SummaryDaily[day],SummaryDaily[Online Store_orders],0)</f>
        <v>3</v>
      </c>
      <c r="N269" s="12">
        <f>_xlfn.XLOOKUP(TableDailySummary[[#This Row],[Fecha]],SummaryDaily[day],SummaryDaily[Online Store_average_order_value],0)</f>
        <v>132647.06</v>
      </c>
      <c r="O269" s="12">
        <f>_xlfn.XLOOKUP(TableDailySummary[[#This Row],[Fecha]],SummaryDaily[day],SummaryDaily[Tienda 81_net_sales],0)</f>
        <v>949579.84</v>
      </c>
      <c r="P269" s="12">
        <f>_xlfn.XLOOKUP(TableDailySummary[[#This Row],[Fecha]],SummaryDaily[day],SummaryDaily[Tienda 81_orders],0)</f>
        <v>7</v>
      </c>
      <c r="Q269" s="12">
        <f>_xlfn.XLOOKUP(TableDailySummary[[#This Row],[Fecha]],SummaryDaily[day],SummaryDaily[Tienda 81_average_order_value],0)</f>
        <v>135654.26199999999</v>
      </c>
      <c r="R269" s="12">
        <f>_xlfn.XLOOKUP(TableDailySummary[[#This Row],[Fecha]],SummaryDaily[day],SummaryDaily[Rappi_net_sales],0)</f>
        <v>0</v>
      </c>
      <c r="S269" s="12">
        <f>_xlfn.XLOOKUP(TableDailySummary[[#This Row],[Fecha]],SummaryDaily[day],SummaryDaily[Rappi_orders],0)</f>
        <v>0</v>
      </c>
      <c r="T269" s="12">
        <f>_xlfn.XLOOKUP(TableDailySummary[[#This Row],[Fecha]],SummaryDaily[day],SummaryDaily[Rappi_average_order_value],0)</f>
        <v>0</v>
      </c>
      <c r="U269" s="12">
        <f>_xlfn.XLOOKUP(TableDailySummary[[#This Row],[Fecha]],SummaryDaily[day],SummaryDaily[Corporativo no tienda_net_sales],0)</f>
        <v>0</v>
      </c>
      <c r="V269" s="12">
        <f>_xlfn.XLOOKUP(TableDailySummary[[#This Row],[Fecha]],SummaryDaily[day],SummaryDaily[Corporativo no tienda_orders],0)</f>
        <v>0</v>
      </c>
      <c r="W269" s="12">
        <f>_xlfn.XLOOKUP(TableDailySummary[[#This Row],[Fecha]],SummaryDaily[day],SummaryDaily[Corporativo no tienda_average_order_value],0)</f>
        <v>0</v>
      </c>
      <c r="X269" s="12">
        <f>_xlfn.XLOOKUP(TableDailySummary[[#This Row],[Fecha]],SummaryDaily[day],SummaryDaily[GoogleAdsOperation.Cost],0)</f>
        <v>64951.73</v>
      </c>
      <c r="Y269" s="12">
        <f>SUMIFS(SalesByUTMDaily[google],SalesByUTMDaily[day],TableDailySummary[[#This Row],[Fecha]])</f>
        <v>0</v>
      </c>
      <c r="Z269" s="12">
        <f>_xlfn.XLOOKUP(TableDailySummary[[#This Row],[Fecha]],SummaryDaily[day],SummaryDaily[MetaAdsOperation.spend],0)</f>
        <v>54117</v>
      </c>
      <c r="AA269" s="12">
        <f>SUMIFS(SalesByUTMDaily[facebook],SalesByUTMDaily[day],TableDailySummary[[#This Row],[Fecha]])</f>
        <v>0</v>
      </c>
      <c r="AB269" s="12">
        <f>TableDailySummary[[#This Row],[Inversión google ads]]+TableDailySummary[[#This Row],[Inversión meta ads]]</f>
        <v>119068.73000000001</v>
      </c>
      <c r="AC269" s="12">
        <f>TableDailySummary[[#This Row],[Ventas google ads]]+TableDailySummary[[#This Row],[Ventas meta ads]]</f>
        <v>0</v>
      </c>
      <c r="AD269" s="14">
        <f>IFERROR(TableDailySummary[[#This Row],[Ventas publicidad]]/TableDailySummary[[#This Row],[Inversión publicidad]],0)</f>
        <v>0</v>
      </c>
      <c r="AE269" s="14">
        <f>IFERROR(TableDailySummary[[#This Row],[Ventas primer cliente]]/TableDailySummary[[#This Row],[Inversión publicidad]],0)</f>
        <v>8.2824136950146343</v>
      </c>
      <c r="AF269" s="14"/>
      <c r="AG269" s="12"/>
      <c r="AM269" s="12">
        <f>_xlfn.XLOOKUP(TableDailySummary[[#This Row],[Fecha]],SummaryDaily[day],SummaryDaily[net_sales_with_cost_recorded],0)</f>
        <v>1318109.26</v>
      </c>
      <c r="AN269" s="12">
        <f>_xlfn.XLOOKUP(TableDailySummary[[#This Row],[Fecha]],SummaryDaily[day],SummaryDaily[cost_of_goods_sold],0)</f>
        <v>424853</v>
      </c>
      <c r="AO269" s="12">
        <f>_xlfn.XLOOKUP(TableDailySummary[[#This Row],[Fecha]],SummaryDaily[day],SummaryDaily[gross_profit],0)</f>
        <v>893256.26</v>
      </c>
      <c r="AP269" s="18">
        <f>IFERROR(TableDailySummary[[#This Row],[Utilidad bruta]]/TableDailySummary[[#This Row],[Ventas netas con costo registrado]],0)</f>
        <v>0.67767998231041937</v>
      </c>
    </row>
    <row r="270" spans="2:42" x14ac:dyDescent="0.2">
      <c r="B270" s="15" cm="1">
        <f t="array" ref="B270">MIN(SummaryDaily[day]) + (ROW(TableDailySummary[#This Row]) - ROW(TableDailySummary[[#Headers],[Dia]]) - 1)</f>
        <v>46041</v>
      </c>
      <c r="C270" s="6">
        <f>TableDailySummary[[#This Row],[Dia]]</f>
        <v>46041</v>
      </c>
      <c r="D270" s="12">
        <f>_xlfn.XLOOKUP(TableDailySummary[[#This Row],[Fecha]],SummaryDaily[day],SummaryDaily[net_sales],0)</f>
        <v>2591025.23</v>
      </c>
      <c r="E270" s="12">
        <f>_xlfn.XLOOKUP(TableDailySummary[[#This Row],[Fecha]],SummaryDaily[day],SummaryDaily[orders],0)</f>
        <v>17</v>
      </c>
      <c r="F270" s="12">
        <f>_xlfn.XLOOKUP(TableDailySummary[[#This Row],[Fecha]],SummaryDaily[day],SummaryDaily[average_order_value],0)</f>
        <v>152413.24799999999</v>
      </c>
      <c r="G270" s="24">
        <f>_xlfn.XLOOKUP(TableDailySummary[[#This Row],[Fecha]],SummaryDaily[day],SummaryDaily[Total site_conversion_rate],0)</f>
        <v>9.2378752886836026E-3</v>
      </c>
      <c r="H270" s="12">
        <f>TableDailySummary[[#This Row],[Órden promedio totales]]*TableDailySummary[[#This Row],[CR totales]]</f>
        <v>1407.9745773672055</v>
      </c>
      <c r="I270" s="12">
        <f>_xlfn.XLOOKUP(TableDailySummary[[#This Row],[Fecha]],SummaryDaily[day],SummaryDaily[new_net_sales],0)</f>
        <v>823840.34</v>
      </c>
      <c r="J270" s="12">
        <f>_xlfn.XLOOKUP(TableDailySummary[[#This Row],[Fecha]],SummaryDaily[day],SummaryDaily[new_orders],0)</f>
        <v>6</v>
      </c>
      <c r="K270" s="12">
        <f>_xlfn.XLOOKUP(TableDailySummary[[#This Row],[Fecha]],SummaryDaily[day],SummaryDaily[new_average_order_value],0)</f>
        <v>137306.723</v>
      </c>
      <c r="L270" s="12">
        <f>_xlfn.XLOOKUP(TableDailySummary[[#This Row],[Fecha]],SummaryDaily[day],SummaryDaily[Online Store_net_sales],0)</f>
        <v>596638.66</v>
      </c>
      <c r="M270" s="12">
        <f>_xlfn.XLOOKUP(TableDailySummary[[#This Row],[Fecha]],SummaryDaily[day],SummaryDaily[Online Store_orders],0)</f>
        <v>4</v>
      </c>
      <c r="N270" s="12">
        <f>_xlfn.XLOOKUP(TableDailySummary[[#This Row],[Fecha]],SummaryDaily[day],SummaryDaily[Online Store_average_order_value],0)</f>
        <v>149159.66500000001</v>
      </c>
      <c r="O270" s="12">
        <f>_xlfn.XLOOKUP(TableDailySummary[[#This Row],[Fecha]],SummaryDaily[day],SummaryDaily[Tienda 81_net_sales],0)</f>
        <v>1708672.28</v>
      </c>
      <c r="P270" s="12">
        <f>_xlfn.XLOOKUP(TableDailySummary[[#This Row],[Fecha]],SummaryDaily[day],SummaryDaily[Tienda 81_orders],0)</f>
        <v>12</v>
      </c>
      <c r="Q270" s="12">
        <f>_xlfn.XLOOKUP(TableDailySummary[[#This Row],[Fecha]],SummaryDaily[day],SummaryDaily[Tienda 81_average_order_value],0)</f>
        <v>142389.356</v>
      </c>
      <c r="R270" s="12">
        <f>_xlfn.XLOOKUP(TableDailySummary[[#This Row],[Fecha]],SummaryDaily[day],SummaryDaily[Rappi_net_sales],0)</f>
        <v>0</v>
      </c>
      <c r="S270" s="12">
        <f>_xlfn.XLOOKUP(TableDailySummary[[#This Row],[Fecha]],SummaryDaily[day],SummaryDaily[Rappi_orders],0)</f>
        <v>0</v>
      </c>
      <c r="T270" s="12">
        <f>_xlfn.XLOOKUP(TableDailySummary[[#This Row],[Fecha]],SummaryDaily[day],SummaryDaily[Rappi_average_order_value],0)</f>
        <v>0</v>
      </c>
      <c r="U270" s="12">
        <f>_xlfn.XLOOKUP(TableDailySummary[[#This Row],[Fecha]],SummaryDaily[day],SummaryDaily[Corporativo no tienda_net_sales],0)</f>
        <v>285714.28999999998</v>
      </c>
      <c r="V270" s="12">
        <f>_xlfn.XLOOKUP(TableDailySummary[[#This Row],[Fecha]],SummaryDaily[day],SummaryDaily[Corporativo no tienda_orders],0)</f>
        <v>1</v>
      </c>
      <c r="W270" s="12">
        <f>_xlfn.XLOOKUP(TableDailySummary[[#This Row],[Fecha]],SummaryDaily[day],SummaryDaily[Corporativo no tienda_average_order_value],0)</f>
        <v>285714.28999999998</v>
      </c>
      <c r="X270" s="12">
        <f>_xlfn.XLOOKUP(TableDailySummary[[#This Row],[Fecha]],SummaryDaily[day],SummaryDaily[GoogleAdsOperation.Cost],0)</f>
        <v>44812.02</v>
      </c>
      <c r="Y270" s="12">
        <f>SUMIFS(SalesByUTMDaily[google],SalesByUTMDaily[day],TableDailySummary[[#This Row],[Fecha]])</f>
        <v>0</v>
      </c>
      <c r="Z270" s="12">
        <f>_xlfn.XLOOKUP(TableDailySummary[[#This Row],[Fecha]],SummaryDaily[day],SummaryDaily[MetaAdsOperation.spend],0)</f>
        <v>52804</v>
      </c>
      <c r="AA270" s="12">
        <f>SUMIFS(SalesByUTMDaily[facebook],SalesByUTMDaily[day],TableDailySummary[[#This Row],[Fecha]])</f>
        <v>0</v>
      </c>
      <c r="AB270" s="12">
        <f>TableDailySummary[[#This Row],[Inversión google ads]]+TableDailySummary[[#This Row],[Inversión meta ads]]</f>
        <v>97616.01999999999</v>
      </c>
      <c r="AC270" s="12">
        <f>TableDailySummary[[#This Row],[Ventas google ads]]+TableDailySummary[[#This Row],[Ventas meta ads]]</f>
        <v>0</v>
      </c>
      <c r="AD270" s="14">
        <f>IFERROR(TableDailySummary[[#This Row],[Ventas publicidad]]/TableDailySummary[[#This Row],[Inversión publicidad]],0)</f>
        <v>0</v>
      </c>
      <c r="AE270" s="14">
        <f>IFERROR(TableDailySummary[[#This Row],[Ventas primer cliente]]/TableDailySummary[[#This Row],[Inversión publicidad]],0)</f>
        <v>8.4396018194554543</v>
      </c>
      <c r="AF270" s="14"/>
      <c r="AG270" s="12"/>
      <c r="AM270" s="12">
        <f>_xlfn.XLOOKUP(TableDailySummary[[#This Row],[Fecha]],SummaryDaily[day],SummaryDaily[net_sales_with_cost_recorded],0)</f>
        <v>2561613.4700000002</v>
      </c>
      <c r="AN270" s="12">
        <f>_xlfn.XLOOKUP(TableDailySummary[[#This Row],[Fecha]],SummaryDaily[day],SummaryDaily[cost_of_goods_sold],0)</f>
        <v>924834</v>
      </c>
      <c r="AO270" s="12">
        <f>_xlfn.XLOOKUP(TableDailySummary[[#This Row],[Fecha]],SummaryDaily[day],SummaryDaily[gross_profit],0)</f>
        <v>1636779.47</v>
      </c>
      <c r="AP270" s="18">
        <f>IFERROR(TableDailySummary[[#This Row],[Utilidad bruta]]/TableDailySummary[[#This Row],[Ventas netas con costo registrado]],0)</f>
        <v>0.63896426575239695</v>
      </c>
    </row>
    <row r="271" spans="2:42" x14ac:dyDescent="0.2">
      <c r="B271" s="15" cm="1">
        <f t="array" ref="B271">MIN(SummaryDaily[day]) + (ROW(TableDailySummary[#This Row]) - ROW(TableDailySummary[[#Headers],[Dia]]) - 1)</f>
        <v>46042</v>
      </c>
      <c r="C271" s="6">
        <f>TableDailySummary[[#This Row],[Dia]]</f>
        <v>46042</v>
      </c>
      <c r="D271" s="12">
        <f>_xlfn.XLOOKUP(TableDailySummary[[#This Row],[Fecha]],SummaryDaily[day],SummaryDaily[net_sales],0)</f>
        <v>1355462.19</v>
      </c>
      <c r="E271" s="12">
        <f>_xlfn.XLOOKUP(TableDailySummary[[#This Row],[Fecha]],SummaryDaily[day],SummaryDaily[orders],0)</f>
        <v>9</v>
      </c>
      <c r="F271" s="12">
        <f>_xlfn.XLOOKUP(TableDailySummary[[#This Row],[Fecha]],SummaryDaily[day],SummaryDaily[average_order_value],0)</f>
        <v>150606.91</v>
      </c>
      <c r="G271" s="24">
        <f>_xlfn.XLOOKUP(TableDailySummary[[#This Row],[Fecha]],SummaryDaily[day],SummaryDaily[Total site_conversion_rate],0)</f>
        <v>3.4305317324185248E-3</v>
      </c>
      <c r="H271" s="12">
        <f>TableDailySummary[[#This Row],[Órden promedio totales]]*TableDailySummary[[#This Row],[CR totales]]</f>
        <v>516.66178387650086</v>
      </c>
      <c r="I271" s="12">
        <f>_xlfn.XLOOKUP(TableDailySummary[[#This Row],[Fecha]],SummaryDaily[day],SummaryDaily[new_net_sales],0)</f>
        <v>1115966.3899999999</v>
      </c>
      <c r="J271" s="12">
        <f>_xlfn.XLOOKUP(TableDailySummary[[#This Row],[Fecha]],SummaryDaily[day],SummaryDaily[new_orders],0)</f>
        <v>6</v>
      </c>
      <c r="K271" s="12">
        <f>_xlfn.XLOOKUP(TableDailySummary[[#This Row],[Fecha]],SummaryDaily[day],SummaryDaily[new_average_order_value],0)</f>
        <v>185994.39799999999</v>
      </c>
      <c r="L271" s="12">
        <f>_xlfn.XLOOKUP(TableDailySummary[[#This Row],[Fecha]],SummaryDaily[day],SummaryDaily[Online Store_net_sales],0)</f>
        <v>857142.86</v>
      </c>
      <c r="M271" s="12">
        <f>_xlfn.XLOOKUP(TableDailySummary[[#This Row],[Fecha]],SummaryDaily[day],SummaryDaily[Online Store_orders],0)</f>
        <v>4</v>
      </c>
      <c r="N271" s="12">
        <f>_xlfn.XLOOKUP(TableDailySummary[[#This Row],[Fecha]],SummaryDaily[day],SummaryDaily[Online Store_average_order_value],0)</f>
        <v>214285.715</v>
      </c>
      <c r="O271" s="12">
        <f>_xlfn.XLOOKUP(TableDailySummary[[#This Row],[Fecha]],SummaryDaily[day],SummaryDaily[Tienda 81_net_sales],0)</f>
        <v>498319.33</v>
      </c>
      <c r="P271" s="12">
        <f>_xlfn.XLOOKUP(TableDailySummary[[#This Row],[Fecha]],SummaryDaily[day],SummaryDaily[Tienda 81_orders],0)</f>
        <v>5</v>
      </c>
      <c r="Q271" s="12">
        <f>_xlfn.XLOOKUP(TableDailySummary[[#This Row],[Fecha]],SummaryDaily[day],SummaryDaily[Tienda 81_average_order_value],0)</f>
        <v>99663.865999999995</v>
      </c>
      <c r="R271" s="12">
        <f>_xlfn.XLOOKUP(TableDailySummary[[#This Row],[Fecha]],SummaryDaily[day],SummaryDaily[Rappi_net_sales],0)</f>
        <v>0</v>
      </c>
      <c r="S271" s="12">
        <f>_xlfn.XLOOKUP(TableDailySummary[[#This Row],[Fecha]],SummaryDaily[day],SummaryDaily[Rappi_orders],0)</f>
        <v>0</v>
      </c>
      <c r="T271" s="12">
        <f>_xlfn.XLOOKUP(TableDailySummary[[#This Row],[Fecha]],SummaryDaily[day],SummaryDaily[Rappi_average_order_value],0)</f>
        <v>0</v>
      </c>
      <c r="U271" s="12">
        <f>_xlfn.XLOOKUP(TableDailySummary[[#This Row],[Fecha]],SummaryDaily[day],SummaryDaily[Corporativo no tienda_net_sales],0)</f>
        <v>0</v>
      </c>
      <c r="V271" s="12">
        <f>_xlfn.XLOOKUP(TableDailySummary[[#This Row],[Fecha]],SummaryDaily[day],SummaryDaily[Corporativo no tienda_orders],0)</f>
        <v>0</v>
      </c>
      <c r="W271" s="12">
        <f>_xlfn.XLOOKUP(TableDailySummary[[#This Row],[Fecha]],SummaryDaily[day],SummaryDaily[Corporativo no tienda_average_order_value],0)</f>
        <v>0</v>
      </c>
      <c r="X271" s="12">
        <f>_xlfn.XLOOKUP(TableDailySummary[[#This Row],[Fecha]],SummaryDaily[day],SummaryDaily[GoogleAdsOperation.Cost],0)</f>
        <v>55088.43</v>
      </c>
      <c r="Y271" s="12">
        <f>SUMIFS(SalesByUTMDaily[google],SalesByUTMDaily[day],TableDailySummary[[#This Row],[Fecha]])</f>
        <v>122000</v>
      </c>
      <c r="Z271" s="12">
        <f>_xlfn.XLOOKUP(TableDailySummary[[#This Row],[Fecha]],SummaryDaily[day],SummaryDaily[MetaAdsOperation.spend],0)</f>
        <v>52499</v>
      </c>
      <c r="AA271" s="12">
        <f>SUMIFS(SalesByUTMDaily[facebook],SalesByUTMDaily[day],TableDailySummary[[#This Row],[Fecha]])</f>
        <v>0</v>
      </c>
      <c r="AB271" s="12">
        <f>TableDailySummary[[#This Row],[Inversión google ads]]+TableDailySummary[[#This Row],[Inversión meta ads]]</f>
        <v>107587.43</v>
      </c>
      <c r="AC271" s="12">
        <f>TableDailySummary[[#This Row],[Ventas google ads]]+TableDailySummary[[#This Row],[Ventas meta ads]]</f>
        <v>122000</v>
      </c>
      <c r="AD271" s="14">
        <f>IFERROR(TableDailySummary[[#This Row],[Ventas publicidad]]/TableDailySummary[[#This Row],[Inversión publicidad]],0)</f>
        <v>1.1339614674316507</v>
      </c>
      <c r="AE271" s="14">
        <f>IFERROR(TableDailySummary[[#This Row],[Ventas primer cliente]]/TableDailySummary[[#This Row],[Inversión publicidad]],0)</f>
        <v>10.372646600072146</v>
      </c>
      <c r="AF271" s="14"/>
      <c r="AG271" s="12"/>
      <c r="AM271" s="12">
        <f>_xlfn.XLOOKUP(TableDailySummary[[#This Row],[Fecha]],SummaryDaily[day],SummaryDaily[net_sales_with_cost_recorded],0)</f>
        <v>1267226.8999999999</v>
      </c>
      <c r="AN271" s="12">
        <f>_xlfn.XLOOKUP(TableDailySummary[[#This Row],[Fecha]],SummaryDaily[day],SummaryDaily[cost_of_goods_sold],0)</f>
        <v>368166</v>
      </c>
      <c r="AO271" s="12">
        <f>_xlfn.XLOOKUP(TableDailySummary[[#This Row],[Fecha]],SummaryDaily[day],SummaryDaily[gross_profit],0)</f>
        <v>899060.9</v>
      </c>
      <c r="AP271" s="18">
        <f>IFERROR(TableDailySummary[[#This Row],[Utilidad bruta]]/TableDailySummary[[#This Row],[Ventas netas con costo registrado]],0)</f>
        <v>0.70947112944019741</v>
      </c>
    </row>
    <row r="272" spans="2:42" x14ac:dyDescent="0.2">
      <c r="B272" s="15" cm="1">
        <f t="array" ref="B272">MIN(SummaryDaily[day]) + (ROW(TableDailySummary[#This Row]) - ROW(TableDailySummary[[#Headers],[Dia]]) - 1)</f>
        <v>46043</v>
      </c>
      <c r="C272" s="6">
        <f>TableDailySummary[[#This Row],[Dia]]</f>
        <v>46043</v>
      </c>
      <c r="D272" s="12">
        <f>_xlfn.XLOOKUP(TableDailySummary[[#This Row],[Fecha]],SummaryDaily[day],SummaryDaily[net_sales],0)</f>
        <v>4260924.38</v>
      </c>
      <c r="E272" s="12">
        <f>_xlfn.XLOOKUP(TableDailySummary[[#This Row],[Fecha]],SummaryDaily[day],SummaryDaily[orders],0)</f>
        <v>27</v>
      </c>
      <c r="F272" s="12">
        <f>_xlfn.XLOOKUP(TableDailySummary[[#This Row],[Fecha]],SummaryDaily[day],SummaryDaily[average_order_value],0)</f>
        <v>153454.715</v>
      </c>
      <c r="G272" s="24">
        <f>_xlfn.XLOOKUP(TableDailySummary[[#This Row],[Fecha]],SummaryDaily[day],SummaryDaily[Total site_conversion_rate],0)</f>
        <v>1.7857142857142856E-2</v>
      </c>
      <c r="H272" s="12">
        <f>TableDailySummary[[#This Row],[Órden promedio totales]]*TableDailySummary[[#This Row],[CR totales]]</f>
        <v>2740.2627678571425</v>
      </c>
      <c r="I272" s="12">
        <f>_xlfn.XLOOKUP(TableDailySummary[[#This Row],[Fecha]],SummaryDaily[day],SummaryDaily[new_net_sales],0)</f>
        <v>1193697.48</v>
      </c>
      <c r="J272" s="12">
        <f>_xlfn.XLOOKUP(TableDailySummary[[#This Row],[Fecha]],SummaryDaily[day],SummaryDaily[new_orders],0)</f>
        <v>9</v>
      </c>
      <c r="K272" s="12">
        <f>_xlfn.XLOOKUP(TableDailySummary[[#This Row],[Fecha]],SummaryDaily[day],SummaryDaily[new_average_order_value],0)</f>
        <v>132633.05300000001</v>
      </c>
      <c r="L272" s="12">
        <f>_xlfn.XLOOKUP(TableDailySummary[[#This Row],[Fecha]],SummaryDaily[day],SummaryDaily[Online Store_net_sales],0)</f>
        <v>1373949.59</v>
      </c>
      <c r="M272" s="12">
        <f>_xlfn.XLOOKUP(TableDailySummary[[#This Row],[Fecha]],SummaryDaily[day],SummaryDaily[Online Store_orders],0)</f>
        <v>8</v>
      </c>
      <c r="N272" s="12">
        <f>_xlfn.XLOOKUP(TableDailySummary[[#This Row],[Fecha]],SummaryDaily[day],SummaryDaily[Online Store_average_order_value],0)</f>
        <v>171743.698</v>
      </c>
      <c r="O272" s="12">
        <f>_xlfn.XLOOKUP(TableDailySummary[[#This Row],[Fecha]],SummaryDaily[day],SummaryDaily[Tienda 81_net_sales],0)</f>
        <v>2886974.79</v>
      </c>
      <c r="P272" s="12">
        <f>_xlfn.XLOOKUP(TableDailySummary[[#This Row],[Fecha]],SummaryDaily[day],SummaryDaily[Tienda 81_orders],0)</f>
        <v>19</v>
      </c>
      <c r="Q272" s="12">
        <f>_xlfn.XLOOKUP(TableDailySummary[[#This Row],[Fecha]],SummaryDaily[day],SummaryDaily[Tienda 81_average_order_value],0)</f>
        <v>145754.09099999999</v>
      </c>
      <c r="R272" s="12">
        <f>_xlfn.XLOOKUP(TableDailySummary[[#This Row],[Fecha]],SummaryDaily[day],SummaryDaily[Rappi_net_sales],0)</f>
        <v>0</v>
      </c>
      <c r="S272" s="12">
        <f>_xlfn.XLOOKUP(TableDailySummary[[#This Row],[Fecha]],SummaryDaily[day],SummaryDaily[Rappi_orders],0)</f>
        <v>0</v>
      </c>
      <c r="T272" s="12">
        <f>_xlfn.XLOOKUP(TableDailySummary[[#This Row],[Fecha]],SummaryDaily[day],SummaryDaily[Rappi_average_order_value],0)</f>
        <v>0</v>
      </c>
      <c r="U272" s="12">
        <f>_xlfn.XLOOKUP(TableDailySummary[[#This Row],[Fecha]],SummaryDaily[day],SummaryDaily[Corporativo no tienda_net_sales],0)</f>
        <v>0</v>
      </c>
      <c r="V272" s="12">
        <f>_xlfn.XLOOKUP(TableDailySummary[[#This Row],[Fecha]],SummaryDaily[day],SummaryDaily[Corporativo no tienda_orders],0)</f>
        <v>0</v>
      </c>
      <c r="W272" s="12">
        <f>_xlfn.XLOOKUP(TableDailySummary[[#This Row],[Fecha]],SummaryDaily[day],SummaryDaily[Corporativo no tienda_average_order_value],0)</f>
        <v>0</v>
      </c>
      <c r="X272" s="12">
        <f>_xlfn.XLOOKUP(TableDailySummary[[#This Row],[Fecha]],SummaryDaily[day],SummaryDaily[GoogleAdsOperation.Cost],0)</f>
        <v>39840.89</v>
      </c>
      <c r="Y272" s="12">
        <f>SUMIFS(SalesByUTMDaily[google],SalesByUTMDaily[day],TableDailySummary[[#This Row],[Fecha]])</f>
        <v>0</v>
      </c>
      <c r="Z272" s="12">
        <f>_xlfn.XLOOKUP(TableDailySummary[[#This Row],[Fecha]],SummaryDaily[day],SummaryDaily[MetaAdsOperation.spend],0)</f>
        <v>49123</v>
      </c>
      <c r="AA272" s="12">
        <f>SUMIFS(SalesByUTMDaily[facebook],SalesByUTMDaily[day],TableDailySummary[[#This Row],[Fecha]])</f>
        <v>156000</v>
      </c>
      <c r="AB272" s="12">
        <f>TableDailySummary[[#This Row],[Inversión google ads]]+TableDailySummary[[#This Row],[Inversión meta ads]]</f>
        <v>88963.89</v>
      </c>
      <c r="AC272" s="12">
        <f>TableDailySummary[[#This Row],[Ventas google ads]]+TableDailySummary[[#This Row],[Ventas meta ads]]</f>
        <v>156000</v>
      </c>
      <c r="AD272" s="14">
        <f>IFERROR(TableDailySummary[[#This Row],[Ventas publicidad]]/TableDailySummary[[#This Row],[Inversión publicidad]],0)</f>
        <v>1.7535204452053523</v>
      </c>
      <c r="AE272" s="14">
        <f>IFERROR(TableDailySummary[[#This Row],[Ventas primer cliente]]/TableDailySummary[[#This Row],[Inversión publicidad]],0)</f>
        <v>13.417775234423765</v>
      </c>
      <c r="AF272" s="14"/>
      <c r="AG272" s="12"/>
      <c r="AM272" s="12">
        <f>_xlfn.XLOOKUP(TableDailySummary[[#This Row],[Fecha]],SummaryDaily[day],SummaryDaily[net_sales_with_cost_recorded],0)</f>
        <v>3634873.97</v>
      </c>
      <c r="AN272" s="12">
        <f>_xlfn.XLOOKUP(TableDailySummary[[#This Row],[Fecha]],SummaryDaily[day],SummaryDaily[cost_of_goods_sold],0)</f>
        <v>922530</v>
      </c>
      <c r="AO272" s="12">
        <f>_xlfn.XLOOKUP(TableDailySummary[[#This Row],[Fecha]],SummaryDaily[day],SummaryDaily[gross_profit],0)</f>
        <v>2712343.97</v>
      </c>
      <c r="AP272" s="18">
        <f>IFERROR(TableDailySummary[[#This Row],[Utilidad bruta]]/TableDailySummary[[#This Row],[Ventas netas con costo registrado]],0)</f>
        <v>0.74620027885038342</v>
      </c>
    </row>
    <row r="273" spans="2:42" x14ac:dyDescent="0.2">
      <c r="B273" s="15" cm="1">
        <f t="array" ref="B273">MIN(SummaryDaily[day]) + (ROW(TableDailySummary[#This Row]) - ROW(TableDailySummary[[#Headers],[Dia]]) - 1)</f>
        <v>46044</v>
      </c>
      <c r="C273" s="6">
        <f>TableDailySummary[[#This Row],[Dia]]</f>
        <v>46044</v>
      </c>
      <c r="D273" s="12">
        <f>_xlfn.XLOOKUP(TableDailySummary[[#This Row],[Fecha]],SummaryDaily[day],SummaryDaily[net_sales],0)</f>
        <v>2996638.66</v>
      </c>
      <c r="E273" s="12">
        <f>_xlfn.XLOOKUP(TableDailySummary[[#This Row],[Fecha]],SummaryDaily[day],SummaryDaily[orders],0)</f>
        <v>18</v>
      </c>
      <c r="F273" s="12">
        <f>_xlfn.XLOOKUP(TableDailySummary[[#This Row],[Fecha]],SummaryDaily[day],SummaryDaily[average_order_value],0)</f>
        <v>124463.118</v>
      </c>
      <c r="G273" s="24">
        <f>_xlfn.XLOOKUP(TableDailySummary[[#This Row],[Fecha]],SummaryDaily[day],SummaryDaily[Total site_conversion_rate],0)</f>
        <v>1.0118043844856661E-2</v>
      </c>
      <c r="H273" s="12">
        <f>TableDailySummary[[#This Row],[Órden promedio totales]]*TableDailySummary[[#This Row],[CR totales]]</f>
        <v>1259.3232849915682</v>
      </c>
      <c r="I273" s="12">
        <f>_xlfn.XLOOKUP(TableDailySummary[[#This Row],[Fecha]],SummaryDaily[day],SummaryDaily[new_net_sales],0)</f>
        <v>1815126.05</v>
      </c>
      <c r="J273" s="12">
        <f>_xlfn.XLOOKUP(TableDailySummary[[#This Row],[Fecha]],SummaryDaily[day],SummaryDaily[new_orders],0)</f>
        <v>6</v>
      </c>
      <c r="K273" s="12">
        <f>_xlfn.XLOOKUP(TableDailySummary[[#This Row],[Fecha]],SummaryDaily[day],SummaryDaily[new_average_order_value],0)</f>
        <v>176470.58799999999</v>
      </c>
      <c r="L273" s="12">
        <f>_xlfn.XLOOKUP(TableDailySummary[[#This Row],[Fecha]],SummaryDaily[day],SummaryDaily[Online Store_net_sales],0)</f>
        <v>618487.4</v>
      </c>
      <c r="M273" s="12">
        <f>_xlfn.XLOOKUP(TableDailySummary[[#This Row],[Fecha]],SummaryDaily[day],SummaryDaily[Online Store_orders],0)</f>
        <v>6</v>
      </c>
      <c r="N273" s="12">
        <f>_xlfn.XLOOKUP(TableDailySummary[[#This Row],[Fecha]],SummaryDaily[day],SummaryDaily[Online Store_average_order_value],0)</f>
        <v>103081.23299999999</v>
      </c>
      <c r="O273" s="12">
        <f>_xlfn.XLOOKUP(TableDailySummary[[#This Row],[Fecha]],SummaryDaily[day],SummaryDaily[Tienda 81_net_sales],0)</f>
        <v>1621848.74</v>
      </c>
      <c r="P273" s="12">
        <f>_xlfn.XLOOKUP(TableDailySummary[[#This Row],[Fecha]],SummaryDaily[day],SummaryDaily[Tienda 81_orders],0)</f>
        <v>12</v>
      </c>
      <c r="Q273" s="12">
        <f>_xlfn.XLOOKUP(TableDailySummary[[#This Row],[Fecha]],SummaryDaily[day],SummaryDaily[Tienda 81_average_order_value],0)</f>
        <v>135154.06099999999</v>
      </c>
      <c r="R273" s="12">
        <f>_xlfn.XLOOKUP(TableDailySummary[[#This Row],[Fecha]],SummaryDaily[day],SummaryDaily[Rappi_net_sales],0)</f>
        <v>0</v>
      </c>
      <c r="S273" s="12">
        <f>_xlfn.XLOOKUP(TableDailySummary[[#This Row],[Fecha]],SummaryDaily[day],SummaryDaily[Rappi_orders],0)</f>
        <v>0</v>
      </c>
      <c r="T273" s="12">
        <f>_xlfn.XLOOKUP(TableDailySummary[[#This Row],[Fecha]],SummaryDaily[day],SummaryDaily[Rappi_average_order_value],0)</f>
        <v>0</v>
      </c>
      <c r="U273" s="12">
        <f>_xlfn.XLOOKUP(TableDailySummary[[#This Row],[Fecha]],SummaryDaily[day],SummaryDaily[Corporativo no tienda_net_sales],0)</f>
        <v>756302.52</v>
      </c>
      <c r="V273" s="12">
        <f>_xlfn.XLOOKUP(TableDailySummary[[#This Row],[Fecha]],SummaryDaily[day],SummaryDaily[Corporativo no tienda_orders],0)</f>
        <v>0</v>
      </c>
      <c r="W273" s="12">
        <f>_xlfn.XLOOKUP(TableDailySummary[[#This Row],[Fecha]],SummaryDaily[day],SummaryDaily[Corporativo no tienda_average_order_value],0)</f>
        <v>0</v>
      </c>
      <c r="X273" s="12">
        <f>_xlfn.XLOOKUP(TableDailySummary[[#This Row],[Fecha]],SummaryDaily[day],SummaryDaily[GoogleAdsOperation.Cost],0)</f>
        <v>54396.04</v>
      </c>
      <c r="Y273" s="12">
        <f>SUMIFS(SalesByUTMDaily[google],SalesByUTMDaily[day],TableDailySummary[[#This Row],[Fecha]])</f>
        <v>0</v>
      </c>
      <c r="Z273" s="12">
        <f>_xlfn.XLOOKUP(TableDailySummary[[#This Row],[Fecha]],SummaryDaily[day],SummaryDaily[MetaAdsOperation.spend],0)</f>
        <v>49107</v>
      </c>
      <c r="AA273" s="12">
        <f>SUMIFS(SalesByUTMDaily[facebook],SalesByUTMDaily[day],TableDailySummary[[#This Row],[Fecha]])</f>
        <v>214000</v>
      </c>
      <c r="AB273" s="12">
        <f>TableDailySummary[[#This Row],[Inversión google ads]]+TableDailySummary[[#This Row],[Inversión meta ads]]</f>
        <v>103503.04000000001</v>
      </c>
      <c r="AC273" s="12">
        <f>TableDailySummary[[#This Row],[Ventas google ads]]+TableDailySummary[[#This Row],[Ventas meta ads]]</f>
        <v>214000</v>
      </c>
      <c r="AD273" s="14">
        <f>IFERROR(TableDailySummary[[#This Row],[Ventas publicidad]]/TableDailySummary[[#This Row],[Inversión publicidad]],0)</f>
        <v>2.0675721215531446</v>
      </c>
      <c r="AE273" s="14">
        <f>IFERROR(TableDailySummary[[#This Row],[Ventas primer cliente]]/TableDailySummary[[#This Row],[Inversión publicidad]],0)</f>
        <v>17.536934663948035</v>
      </c>
      <c r="AF273" s="14"/>
      <c r="AG273" s="12"/>
      <c r="AM273" s="12">
        <f>_xlfn.XLOOKUP(TableDailySummary[[#This Row],[Fecha]],SummaryDaily[day],SummaryDaily[net_sales_with_cost_recorded],0)</f>
        <v>2951638.66</v>
      </c>
      <c r="AN273" s="12">
        <f>_xlfn.XLOOKUP(TableDailySummary[[#This Row],[Fecha]],SummaryDaily[day],SummaryDaily[cost_of_goods_sold],0)</f>
        <v>1216182</v>
      </c>
      <c r="AO273" s="12">
        <f>_xlfn.XLOOKUP(TableDailySummary[[#This Row],[Fecha]],SummaryDaily[day],SummaryDaily[gross_profit],0)</f>
        <v>1735456.66</v>
      </c>
      <c r="AP273" s="18">
        <f>IFERROR(TableDailySummary[[#This Row],[Utilidad bruta]]/TableDailySummary[[#This Row],[Ventas netas con costo registrado]],0)</f>
        <v>0.58796379228885687</v>
      </c>
    </row>
    <row r="274" spans="2:42" x14ac:dyDescent="0.2">
      <c r="B274" s="15" cm="1">
        <f t="array" ref="B274">MIN(SummaryDaily[day]) + (ROW(TableDailySummary[#This Row]) - ROW(TableDailySummary[[#Headers],[Dia]]) - 1)</f>
        <v>46045</v>
      </c>
      <c r="C274" s="6">
        <f>TableDailySummary[[#This Row],[Dia]]</f>
        <v>46045</v>
      </c>
      <c r="D274" s="12">
        <f>_xlfn.XLOOKUP(TableDailySummary[[#This Row],[Fecha]],SummaryDaily[day],SummaryDaily[net_sales],0)</f>
        <v>1336134.46</v>
      </c>
      <c r="E274" s="12">
        <f>_xlfn.XLOOKUP(TableDailySummary[[#This Row],[Fecha]],SummaryDaily[day],SummaryDaily[orders],0)</f>
        <v>12</v>
      </c>
      <c r="F274" s="12">
        <f>_xlfn.XLOOKUP(TableDailySummary[[#This Row],[Fecha]],SummaryDaily[day],SummaryDaily[average_order_value],0)</f>
        <v>111344.538</v>
      </c>
      <c r="G274" s="24">
        <f>_xlfn.XLOOKUP(TableDailySummary[[#This Row],[Fecha]],SummaryDaily[day],SummaryDaily[Total site_conversion_rate],0)</f>
        <v>2.2522522522522522E-3</v>
      </c>
      <c r="H274" s="12">
        <f>TableDailySummary[[#This Row],[Órden promedio totales]]*TableDailySummary[[#This Row],[CR totales]]</f>
        <v>250.77598648648649</v>
      </c>
      <c r="I274" s="12">
        <f>_xlfn.XLOOKUP(TableDailySummary[[#This Row],[Fecha]],SummaryDaily[day],SummaryDaily[new_net_sales],0)</f>
        <v>256302.53</v>
      </c>
      <c r="J274" s="12">
        <f>_xlfn.XLOOKUP(TableDailySummary[[#This Row],[Fecha]],SummaryDaily[day],SummaryDaily[new_orders],0)</f>
        <v>4</v>
      </c>
      <c r="K274" s="12">
        <f>_xlfn.XLOOKUP(TableDailySummary[[#This Row],[Fecha]],SummaryDaily[day],SummaryDaily[new_average_order_value],0)</f>
        <v>64075.631999999998</v>
      </c>
      <c r="L274" s="12">
        <f>_xlfn.XLOOKUP(TableDailySummary[[#This Row],[Fecha]],SummaryDaily[day],SummaryDaily[Online Store_net_sales],0)</f>
        <v>785714.28</v>
      </c>
      <c r="M274" s="12">
        <f>_xlfn.XLOOKUP(TableDailySummary[[#This Row],[Fecha]],SummaryDaily[day],SummaryDaily[Online Store_orders],0)</f>
        <v>4</v>
      </c>
      <c r="N274" s="12">
        <f>_xlfn.XLOOKUP(TableDailySummary[[#This Row],[Fecha]],SummaryDaily[day],SummaryDaily[Online Store_average_order_value],0)</f>
        <v>196428.57</v>
      </c>
      <c r="O274" s="12">
        <f>_xlfn.XLOOKUP(TableDailySummary[[#This Row],[Fecha]],SummaryDaily[day],SummaryDaily[Tienda 81_net_sales],0)</f>
        <v>550420.18000000005</v>
      </c>
      <c r="P274" s="12">
        <f>_xlfn.XLOOKUP(TableDailySummary[[#This Row],[Fecha]],SummaryDaily[day],SummaryDaily[Tienda 81_orders],0)</f>
        <v>8</v>
      </c>
      <c r="Q274" s="12">
        <f>_xlfn.XLOOKUP(TableDailySummary[[#This Row],[Fecha]],SummaryDaily[day],SummaryDaily[Tienda 81_average_order_value],0)</f>
        <v>68802.521999999997</v>
      </c>
      <c r="R274" s="12">
        <f>_xlfn.XLOOKUP(TableDailySummary[[#This Row],[Fecha]],SummaryDaily[day],SummaryDaily[Rappi_net_sales],0)</f>
        <v>0</v>
      </c>
      <c r="S274" s="12">
        <f>_xlfn.XLOOKUP(TableDailySummary[[#This Row],[Fecha]],SummaryDaily[day],SummaryDaily[Rappi_orders],0)</f>
        <v>0</v>
      </c>
      <c r="T274" s="12">
        <f>_xlfn.XLOOKUP(TableDailySummary[[#This Row],[Fecha]],SummaryDaily[day],SummaryDaily[Rappi_average_order_value],0)</f>
        <v>0</v>
      </c>
      <c r="U274" s="12">
        <f>_xlfn.XLOOKUP(TableDailySummary[[#This Row],[Fecha]],SummaryDaily[day],SummaryDaily[Corporativo no tienda_net_sales],0)</f>
        <v>0</v>
      </c>
      <c r="V274" s="12">
        <f>_xlfn.XLOOKUP(TableDailySummary[[#This Row],[Fecha]],SummaryDaily[day],SummaryDaily[Corporativo no tienda_orders],0)</f>
        <v>0</v>
      </c>
      <c r="W274" s="12">
        <f>_xlfn.XLOOKUP(TableDailySummary[[#This Row],[Fecha]],SummaryDaily[day],SummaryDaily[Corporativo no tienda_average_order_value],0)</f>
        <v>0</v>
      </c>
      <c r="X274" s="12">
        <f>_xlfn.XLOOKUP(TableDailySummary[[#This Row],[Fecha]],SummaryDaily[day],SummaryDaily[GoogleAdsOperation.Cost],0)</f>
        <v>48910.31</v>
      </c>
      <c r="Y274" s="12">
        <f>SUMIFS(SalesByUTMDaily[google],SalesByUTMDaily[day],TableDailySummary[[#This Row],[Fecha]])</f>
        <v>0</v>
      </c>
      <c r="Z274" s="12">
        <f>_xlfn.XLOOKUP(TableDailySummary[[#This Row],[Fecha]],SummaryDaily[day],SummaryDaily[MetaAdsOperation.spend],0)</f>
        <v>54714</v>
      </c>
      <c r="AA274" s="12">
        <f>SUMIFS(SalesByUTMDaily[facebook],SalesByUTMDaily[day],TableDailySummary[[#This Row],[Fecha]])</f>
        <v>0</v>
      </c>
      <c r="AB274" s="12">
        <f>TableDailySummary[[#This Row],[Inversión google ads]]+TableDailySummary[[#This Row],[Inversión meta ads]]</f>
        <v>103624.31</v>
      </c>
      <c r="AC274" s="12">
        <f>TableDailySummary[[#This Row],[Ventas google ads]]+TableDailySummary[[#This Row],[Ventas meta ads]]</f>
        <v>0</v>
      </c>
      <c r="AD274" s="14">
        <f>IFERROR(TableDailySummary[[#This Row],[Ventas publicidad]]/TableDailySummary[[#This Row],[Inversión publicidad]],0)</f>
        <v>0</v>
      </c>
      <c r="AE274" s="14">
        <f>IFERROR(TableDailySummary[[#This Row],[Ventas primer cliente]]/TableDailySummary[[#This Row],[Inversión publicidad]],0)</f>
        <v>2.4733822594331389</v>
      </c>
      <c r="AF274" s="14"/>
      <c r="AG274" s="12"/>
      <c r="AM274" s="12">
        <f>_xlfn.XLOOKUP(TableDailySummary[[#This Row],[Fecha]],SummaryDaily[day],SummaryDaily[net_sales_with_cost_recorded],0)</f>
        <v>1306722.7</v>
      </c>
      <c r="AN274" s="12">
        <f>_xlfn.XLOOKUP(TableDailySummary[[#This Row],[Fecha]],SummaryDaily[day],SummaryDaily[cost_of_goods_sold],0)</f>
        <v>310755</v>
      </c>
      <c r="AO274" s="12">
        <f>_xlfn.XLOOKUP(TableDailySummary[[#This Row],[Fecha]],SummaryDaily[day],SummaryDaily[gross_profit],0)</f>
        <v>995967.7</v>
      </c>
      <c r="AP274" s="18">
        <f>IFERROR(TableDailySummary[[#This Row],[Utilidad bruta]]/TableDailySummary[[#This Row],[Ventas netas con costo registrado]],0)</f>
        <v>0.76218749394955787</v>
      </c>
    </row>
    <row r="275" spans="2:42" x14ac:dyDescent="0.2">
      <c r="B275" s="15" cm="1">
        <f t="array" ref="B275">MIN(SummaryDaily[day]) + (ROW(TableDailySummary[#This Row]) - ROW(TableDailySummary[[#Headers],[Dia]]) - 1)</f>
        <v>46046</v>
      </c>
      <c r="C275" s="6">
        <f>TableDailySummary[[#This Row],[Dia]]</f>
        <v>46046</v>
      </c>
      <c r="D275" s="12">
        <f>_xlfn.XLOOKUP(TableDailySummary[[#This Row],[Fecha]],SummaryDaily[day],SummaryDaily[net_sales],0)</f>
        <v>1625210.08</v>
      </c>
      <c r="E275" s="12">
        <f>_xlfn.XLOOKUP(TableDailySummary[[#This Row],[Fecha]],SummaryDaily[day],SummaryDaily[orders],0)</f>
        <v>17</v>
      </c>
      <c r="F275" s="12">
        <f>_xlfn.XLOOKUP(TableDailySummary[[#This Row],[Fecha]],SummaryDaily[day],SummaryDaily[average_order_value],0)</f>
        <v>95600.592000000004</v>
      </c>
      <c r="G275" s="24">
        <f>_xlfn.XLOOKUP(TableDailySummary[[#This Row],[Fecha]],SummaryDaily[day],SummaryDaily[Total site_conversion_rate],0)</f>
        <v>0</v>
      </c>
      <c r="H275" s="12">
        <f>TableDailySummary[[#This Row],[Órden promedio totales]]*TableDailySummary[[#This Row],[CR totales]]</f>
        <v>0</v>
      </c>
      <c r="I275" s="12">
        <f>_xlfn.XLOOKUP(TableDailySummary[[#This Row],[Fecha]],SummaryDaily[day],SummaryDaily[new_net_sales],0)</f>
        <v>415966.39</v>
      </c>
      <c r="J275" s="12">
        <f>_xlfn.XLOOKUP(TableDailySummary[[#This Row],[Fecha]],SummaryDaily[day],SummaryDaily[new_orders],0)</f>
        <v>5</v>
      </c>
      <c r="K275" s="12">
        <f>_xlfn.XLOOKUP(TableDailySummary[[#This Row],[Fecha]],SummaryDaily[day],SummaryDaily[new_average_order_value],0)</f>
        <v>83193.278000000006</v>
      </c>
      <c r="L275" s="12">
        <f>_xlfn.XLOOKUP(TableDailySummary[[#This Row],[Fecha]],SummaryDaily[day],SummaryDaily[Online Store_net_sales],0)</f>
        <v>0</v>
      </c>
      <c r="M275" s="12">
        <f>_xlfn.XLOOKUP(TableDailySummary[[#This Row],[Fecha]],SummaryDaily[day],SummaryDaily[Online Store_orders],0)</f>
        <v>0</v>
      </c>
      <c r="N275" s="12">
        <f>_xlfn.XLOOKUP(TableDailySummary[[#This Row],[Fecha]],SummaryDaily[day],SummaryDaily[Online Store_average_order_value],0)</f>
        <v>0</v>
      </c>
      <c r="O275" s="12">
        <f>_xlfn.XLOOKUP(TableDailySummary[[#This Row],[Fecha]],SummaryDaily[day],SummaryDaily[Tienda 81_net_sales],0)</f>
        <v>1625210.08</v>
      </c>
      <c r="P275" s="12">
        <f>_xlfn.XLOOKUP(TableDailySummary[[#This Row],[Fecha]],SummaryDaily[day],SummaryDaily[Tienda 81_orders],0)</f>
        <v>17</v>
      </c>
      <c r="Q275" s="12">
        <f>_xlfn.XLOOKUP(TableDailySummary[[#This Row],[Fecha]],SummaryDaily[day],SummaryDaily[Tienda 81_average_order_value],0)</f>
        <v>95600.592000000004</v>
      </c>
      <c r="R275" s="12">
        <f>_xlfn.XLOOKUP(TableDailySummary[[#This Row],[Fecha]],SummaryDaily[day],SummaryDaily[Rappi_net_sales],0)</f>
        <v>0</v>
      </c>
      <c r="S275" s="12">
        <f>_xlfn.XLOOKUP(TableDailySummary[[#This Row],[Fecha]],SummaryDaily[day],SummaryDaily[Rappi_orders],0)</f>
        <v>0</v>
      </c>
      <c r="T275" s="12">
        <f>_xlfn.XLOOKUP(TableDailySummary[[#This Row],[Fecha]],SummaryDaily[day],SummaryDaily[Rappi_average_order_value],0)</f>
        <v>0</v>
      </c>
      <c r="U275" s="12">
        <f>_xlfn.XLOOKUP(TableDailySummary[[#This Row],[Fecha]],SummaryDaily[day],SummaryDaily[Corporativo no tienda_net_sales],0)</f>
        <v>0</v>
      </c>
      <c r="V275" s="12">
        <f>_xlfn.XLOOKUP(TableDailySummary[[#This Row],[Fecha]],SummaryDaily[day],SummaryDaily[Corporativo no tienda_orders],0)</f>
        <v>0</v>
      </c>
      <c r="W275" s="12">
        <f>_xlfn.XLOOKUP(TableDailySummary[[#This Row],[Fecha]],SummaryDaily[day],SummaryDaily[Corporativo no tienda_average_order_value],0)</f>
        <v>0</v>
      </c>
      <c r="X275" s="12">
        <f>_xlfn.XLOOKUP(TableDailySummary[[#This Row],[Fecha]],SummaryDaily[day],SummaryDaily[GoogleAdsOperation.Cost],0)</f>
        <v>40408.89</v>
      </c>
      <c r="Y275" s="12">
        <f>SUMIFS(SalesByUTMDaily[google],SalesByUTMDaily[day],TableDailySummary[[#This Row],[Fecha]])</f>
        <v>0</v>
      </c>
      <c r="Z275" s="12">
        <f>_xlfn.XLOOKUP(TableDailySummary[[#This Row],[Fecha]],SummaryDaily[day],SummaryDaily[MetaAdsOperation.spend],0)</f>
        <v>49908</v>
      </c>
      <c r="AA275" s="12">
        <f>SUMIFS(SalesByUTMDaily[facebook],SalesByUTMDaily[day],TableDailySummary[[#This Row],[Fecha]])</f>
        <v>0</v>
      </c>
      <c r="AB275" s="12">
        <f>TableDailySummary[[#This Row],[Inversión google ads]]+TableDailySummary[[#This Row],[Inversión meta ads]]</f>
        <v>90316.89</v>
      </c>
      <c r="AC275" s="12">
        <f>TableDailySummary[[#This Row],[Ventas google ads]]+TableDailySummary[[#This Row],[Ventas meta ads]]</f>
        <v>0</v>
      </c>
      <c r="AD275" s="14">
        <f>IFERROR(TableDailySummary[[#This Row],[Ventas publicidad]]/TableDailySummary[[#This Row],[Inversión publicidad]],0)</f>
        <v>0</v>
      </c>
      <c r="AE275" s="14">
        <f>IFERROR(TableDailySummary[[#This Row],[Ventas primer cliente]]/TableDailySummary[[#This Row],[Inversión publicidad]],0)</f>
        <v>4.6056323462865034</v>
      </c>
      <c r="AF275" s="14"/>
      <c r="AG275" s="12"/>
      <c r="AM275" s="12">
        <f>_xlfn.XLOOKUP(TableDailySummary[[#This Row],[Fecha]],SummaryDaily[day],SummaryDaily[net_sales_with_cost_recorded],0)</f>
        <v>1504201.68</v>
      </c>
      <c r="AN275" s="12">
        <f>_xlfn.XLOOKUP(TableDailySummary[[#This Row],[Fecha]],SummaryDaily[day],SummaryDaily[cost_of_goods_sold],0)</f>
        <v>459870</v>
      </c>
      <c r="AO275" s="12">
        <f>_xlfn.XLOOKUP(TableDailySummary[[#This Row],[Fecha]],SummaryDaily[day],SummaryDaily[gross_profit],0)</f>
        <v>1044331.68</v>
      </c>
      <c r="AP275" s="18">
        <f>IFERROR(TableDailySummary[[#This Row],[Utilidad bruta]]/TableDailySummary[[#This Row],[Ventas netas con costo registrado]],0)</f>
        <v>0.69427636857844766</v>
      </c>
    </row>
    <row r="276" spans="2:42" x14ac:dyDescent="0.2">
      <c r="B276" s="15" cm="1">
        <f t="array" ref="B276">MIN(SummaryDaily[day]) + (ROW(TableDailySummary[#This Row]) - ROW(TableDailySummary[[#Headers],[Dia]]) - 1)</f>
        <v>46047</v>
      </c>
      <c r="C276" s="6">
        <f>TableDailySummary[[#This Row],[Dia]]</f>
        <v>46047</v>
      </c>
      <c r="D276" s="12">
        <f>_xlfn.XLOOKUP(TableDailySummary[[#This Row],[Fecha]],SummaryDaily[day],SummaryDaily[net_sales],0)</f>
        <v>1170428.57</v>
      </c>
      <c r="E276" s="12">
        <f>_xlfn.XLOOKUP(TableDailySummary[[#This Row],[Fecha]],SummaryDaily[day],SummaryDaily[orders],0)</f>
        <v>13</v>
      </c>
      <c r="F276" s="12">
        <f>_xlfn.XLOOKUP(TableDailySummary[[#This Row],[Fecha]],SummaryDaily[day],SummaryDaily[average_order_value],0)</f>
        <v>90032.966</v>
      </c>
      <c r="G276" s="24">
        <f>_xlfn.XLOOKUP(TableDailySummary[[#This Row],[Fecha]],SummaryDaily[day],SummaryDaily[Total site_conversion_rate],0)</f>
        <v>5.4446460980036296E-3</v>
      </c>
      <c r="H276" s="12">
        <f>TableDailySummary[[#This Row],[Órden promedio totales]]*TableDailySummary[[#This Row],[CR totales]]</f>
        <v>490.19763702359347</v>
      </c>
      <c r="I276" s="12">
        <f>_xlfn.XLOOKUP(TableDailySummary[[#This Row],[Fecha]],SummaryDaily[day],SummaryDaily[new_net_sales],0)</f>
        <v>487394.96</v>
      </c>
      <c r="J276" s="12">
        <f>_xlfn.XLOOKUP(TableDailySummary[[#This Row],[Fecha]],SummaryDaily[day],SummaryDaily[new_orders],0)</f>
        <v>5</v>
      </c>
      <c r="K276" s="12">
        <f>_xlfn.XLOOKUP(TableDailySummary[[#This Row],[Fecha]],SummaryDaily[day],SummaryDaily[new_average_order_value],0)</f>
        <v>97478.991999999998</v>
      </c>
      <c r="L276" s="12">
        <f>_xlfn.XLOOKUP(TableDailySummary[[#This Row],[Fecha]],SummaryDaily[day],SummaryDaily[Online Store_net_sales],0)</f>
        <v>315126.05</v>
      </c>
      <c r="M276" s="12">
        <f>_xlfn.XLOOKUP(TableDailySummary[[#This Row],[Fecha]],SummaryDaily[day],SummaryDaily[Online Store_orders],0)</f>
        <v>3</v>
      </c>
      <c r="N276" s="12">
        <f>_xlfn.XLOOKUP(TableDailySummary[[#This Row],[Fecha]],SummaryDaily[day],SummaryDaily[Online Store_average_order_value],0)</f>
        <v>105042.016</v>
      </c>
      <c r="O276" s="12">
        <f>_xlfn.XLOOKUP(TableDailySummary[[#This Row],[Fecha]],SummaryDaily[day],SummaryDaily[Tienda 81_net_sales],0)</f>
        <v>855302.52</v>
      </c>
      <c r="P276" s="12">
        <f>_xlfn.XLOOKUP(TableDailySummary[[#This Row],[Fecha]],SummaryDaily[day],SummaryDaily[Tienda 81_orders],0)</f>
        <v>10</v>
      </c>
      <c r="Q276" s="12">
        <f>_xlfn.XLOOKUP(TableDailySummary[[#This Row],[Fecha]],SummaryDaily[day],SummaryDaily[Tienda 81_average_order_value],0)</f>
        <v>85530.251999999993</v>
      </c>
      <c r="R276" s="12">
        <f>_xlfn.XLOOKUP(TableDailySummary[[#This Row],[Fecha]],SummaryDaily[day],SummaryDaily[Rappi_net_sales],0)</f>
        <v>0</v>
      </c>
      <c r="S276" s="12">
        <f>_xlfn.XLOOKUP(TableDailySummary[[#This Row],[Fecha]],SummaryDaily[day],SummaryDaily[Rappi_orders],0)</f>
        <v>0</v>
      </c>
      <c r="T276" s="12">
        <f>_xlfn.XLOOKUP(TableDailySummary[[#This Row],[Fecha]],SummaryDaily[day],SummaryDaily[Rappi_average_order_value],0)</f>
        <v>0</v>
      </c>
      <c r="U276" s="12">
        <f>_xlfn.XLOOKUP(TableDailySummary[[#This Row],[Fecha]],SummaryDaily[day],SummaryDaily[Corporativo no tienda_net_sales],0)</f>
        <v>0</v>
      </c>
      <c r="V276" s="12">
        <f>_xlfn.XLOOKUP(TableDailySummary[[#This Row],[Fecha]],SummaryDaily[day],SummaryDaily[Corporativo no tienda_orders],0)</f>
        <v>0</v>
      </c>
      <c r="W276" s="12">
        <f>_xlfn.XLOOKUP(TableDailySummary[[#This Row],[Fecha]],SummaryDaily[day],SummaryDaily[Corporativo no tienda_average_order_value],0)</f>
        <v>0</v>
      </c>
      <c r="X276" s="12">
        <f>_xlfn.XLOOKUP(TableDailySummary[[#This Row],[Fecha]],SummaryDaily[day],SummaryDaily[GoogleAdsOperation.Cost],0)</f>
        <v>49288.35</v>
      </c>
      <c r="Y276" s="12">
        <f>SUMIFS(SalesByUTMDaily[google],SalesByUTMDaily[day],TableDailySummary[[#This Row],[Fecha]])</f>
        <v>0</v>
      </c>
      <c r="Z276" s="12">
        <f>_xlfn.XLOOKUP(TableDailySummary[[#This Row],[Fecha]],SummaryDaily[day],SummaryDaily[MetaAdsOperation.spend],0)</f>
        <v>54202</v>
      </c>
      <c r="AA276" s="12">
        <f>SUMIFS(SalesByUTMDaily[facebook],SalesByUTMDaily[day],TableDailySummary[[#This Row],[Fecha]])</f>
        <v>0</v>
      </c>
      <c r="AB276" s="12">
        <f>TableDailySummary[[#This Row],[Inversión google ads]]+TableDailySummary[[#This Row],[Inversión meta ads]]</f>
        <v>103490.35</v>
      </c>
      <c r="AC276" s="12">
        <f>TableDailySummary[[#This Row],[Ventas google ads]]+TableDailySummary[[#This Row],[Ventas meta ads]]</f>
        <v>0</v>
      </c>
      <c r="AD276" s="14">
        <f>IFERROR(TableDailySummary[[#This Row],[Ventas publicidad]]/TableDailySummary[[#This Row],[Inversión publicidad]],0)</f>
        <v>0</v>
      </c>
      <c r="AE276" s="14">
        <f>IFERROR(TableDailySummary[[#This Row],[Ventas primer cliente]]/TableDailySummary[[#This Row],[Inversión publicidad]],0)</f>
        <v>4.7095691530659618</v>
      </c>
      <c r="AF276" s="14"/>
      <c r="AG276" s="12"/>
      <c r="AM276" s="12">
        <f>_xlfn.XLOOKUP(TableDailySummary[[#This Row],[Fecha]],SummaryDaily[day],SummaryDaily[net_sales_with_cost_recorded],0)</f>
        <v>882352.94</v>
      </c>
      <c r="AN276" s="12">
        <f>_xlfn.XLOOKUP(TableDailySummary[[#This Row],[Fecha]],SummaryDaily[day],SummaryDaily[cost_of_goods_sold],0)</f>
        <v>263495</v>
      </c>
      <c r="AO276" s="12">
        <f>_xlfn.XLOOKUP(TableDailySummary[[#This Row],[Fecha]],SummaryDaily[day],SummaryDaily[gross_profit],0)</f>
        <v>618857.93999999994</v>
      </c>
      <c r="AP276" s="18">
        <f>IFERROR(TableDailySummary[[#This Row],[Utilidad bruta]]/TableDailySummary[[#This Row],[Ventas netas con costo registrado]],0)</f>
        <v>0.7013723329351631</v>
      </c>
    </row>
    <row r="277" spans="2:42" x14ac:dyDescent="0.2">
      <c r="B277" s="15" cm="1">
        <f t="array" ref="B277">MIN(SummaryDaily[day]) + (ROW(TableDailySummary[#This Row]) - ROW(TableDailySummary[[#Headers],[Dia]]) - 1)</f>
        <v>46048</v>
      </c>
      <c r="C277" s="6">
        <f>TableDailySummary[[#This Row],[Dia]]</f>
        <v>46048</v>
      </c>
      <c r="D277" s="12">
        <f>_xlfn.XLOOKUP(TableDailySummary[[#This Row],[Fecha]],SummaryDaily[day],SummaryDaily[net_sales],0)</f>
        <v>3139103.44</v>
      </c>
      <c r="E277" s="12">
        <f>_xlfn.XLOOKUP(TableDailySummary[[#This Row],[Fecha]],SummaryDaily[day],SummaryDaily[orders],0)</f>
        <v>17</v>
      </c>
      <c r="F277" s="12">
        <f>_xlfn.XLOOKUP(TableDailySummary[[#This Row],[Fecha]],SummaryDaily[day],SummaryDaily[average_order_value],0)</f>
        <v>196214.685</v>
      </c>
      <c r="G277" s="24">
        <f>_xlfn.XLOOKUP(TableDailySummary[[#This Row],[Fecha]],SummaryDaily[day],SummaryDaily[Total site_conversion_rate],0)</f>
        <v>1.2195121951219513E-2</v>
      </c>
      <c r="H277" s="12">
        <f>TableDailySummary[[#This Row],[Órden promedio totales]]*TableDailySummary[[#This Row],[CR totales]]</f>
        <v>2392.8620121951221</v>
      </c>
      <c r="I277" s="12">
        <f>_xlfn.XLOOKUP(TableDailySummary[[#This Row],[Fecha]],SummaryDaily[day],SummaryDaily[new_net_sales],0)</f>
        <v>839495.81</v>
      </c>
      <c r="J277" s="12">
        <f>_xlfn.XLOOKUP(TableDailySummary[[#This Row],[Fecha]],SummaryDaily[day],SummaryDaily[new_orders],0)</f>
        <v>7</v>
      </c>
      <c r="K277" s="12">
        <f>_xlfn.XLOOKUP(TableDailySummary[[#This Row],[Fecha]],SummaryDaily[day],SummaryDaily[new_average_order_value],0)</f>
        <v>119927.97199999999</v>
      </c>
      <c r="L277" s="12">
        <f>_xlfn.XLOOKUP(TableDailySummary[[#This Row],[Fecha]],SummaryDaily[day],SummaryDaily[Online Store_net_sales],0)</f>
        <v>1319327.74</v>
      </c>
      <c r="M277" s="12">
        <f>_xlfn.XLOOKUP(TableDailySummary[[#This Row],[Fecha]],SummaryDaily[day],SummaryDaily[Online Store_orders],0)</f>
        <v>8</v>
      </c>
      <c r="N277" s="12">
        <f>_xlfn.XLOOKUP(TableDailySummary[[#This Row],[Fecha]],SummaryDaily[day],SummaryDaily[Online Store_average_order_value],0)</f>
        <v>196428.57199999999</v>
      </c>
      <c r="O277" s="12">
        <f>_xlfn.XLOOKUP(TableDailySummary[[#This Row],[Fecha]],SummaryDaily[day],SummaryDaily[Tienda 81_net_sales],0)</f>
        <v>1819775.7</v>
      </c>
      <c r="P277" s="12">
        <f>_xlfn.XLOOKUP(TableDailySummary[[#This Row],[Fecha]],SummaryDaily[day],SummaryDaily[Tienda 81_orders],0)</f>
        <v>9</v>
      </c>
      <c r="Q277" s="12">
        <f>_xlfn.XLOOKUP(TableDailySummary[[#This Row],[Fecha]],SummaryDaily[day],SummaryDaily[Tienda 81_average_order_value],0)</f>
        <v>196024.56400000001</v>
      </c>
      <c r="R277" s="12">
        <f>_xlfn.XLOOKUP(TableDailySummary[[#This Row],[Fecha]],SummaryDaily[day],SummaryDaily[Rappi_net_sales],0)</f>
        <v>0</v>
      </c>
      <c r="S277" s="12">
        <f>_xlfn.XLOOKUP(TableDailySummary[[#This Row],[Fecha]],SummaryDaily[day],SummaryDaily[Rappi_orders],0)</f>
        <v>0</v>
      </c>
      <c r="T277" s="12">
        <f>_xlfn.XLOOKUP(TableDailySummary[[#This Row],[Fecha]],SummaryDaily[day],SummaryDaily[Rappi_average_order_value],0)</f>
        <v>0</v>
      </c>
      <c r="U277" s="12">
        <f>_xlfn.XLOOKUP(TableDailySummary[[#This Row],[Fecha]],SummaryDaily[day],SummaryDaily[Corporativo no tienda_net_sales],0)</f>
        <v>0</v>
      </c>
      <c r="V277" s="12">
        <f>_xlfn.XLOOKUP(TableDailySummary[[#This Row],[Fecha]],SummaryDaily[day],SummaryDaily[Corporativo no tienda_orders],0)</f>
        <v>0</v>
      </c>
      <c r="W277" s="12">
        <f>_xlfn.XLOOKUP(TableDailySummary[[#This Row],[Fecha]],SummaryDaily[day],SummaryDaily[Corporativo no tienda_average_order_value],0)</f>
        <v>0</v>
      </c>
      <c r="X277" s="12">
        <f>_xlfn.XLOOKUP(TableDailySummary[[#This Row],[Fecha]],SummaryDaily[day],SummaryDaily[GoogleAdsOperation.Cost],0)</f>
        <v>55286.23</v>
      </c>
      <c r="Y277" s="12">
        <f>SUMIFS(SalesByUTMDaily[google],SalesByUTMDaily[day],TableDailySummary[[#This Row],[Fecha]])</f>
        <v>491000</v>
      </c>
      <c r="Z277" s="12">
        <f>_xlfn.XLOOKUP(TableDailySummary[[#This Row],[Fecha]],SummaryDaily[day],SummaryDaily[MetaAdsOperation.spend],0)</f>
        <v>57531</v>
      </c>
      <c r="AA277" s="12">
        <f>SUMIFS(SalesByUTMDaily[facebook],SalesByUTMDaily[day],TableDailySummary[[#This Row],[Fecha]])</f>
        <v>0</v>
      </c>
      <c r="AB277" s="12">
        <f>TableDailySummary[[#This Row],[Inversión google ads]]+TableDailySummary[[#This Row],[Inversión meta ads]]</f>
        <v>112817.23000000001</v>
      </c>
      <c r="AC277" s="12">
        <f>TableDailySummary[[#This Row],[Ventas google ads]]+TableDailySummary[[#This Row],[Ventas meta ads]]</f>
        <v>491000</v>
      </c>
      <c r="AD277" s="14">
        <f>IFERROR(TableDailySummary[[#This Row],[Ventas publicidad]]/TableDailySummary[[#This Row],[Inversión publicidad]],0)</f>
        <v>4.3521720928620562</v>
      </c>
      <c r="AE277" s="14">
        <f>IFERROR(TableDailySummary[[#This Row],[Ventas primer cliente]]/TableDailySummary[[#This Row],[Inversión publicidad]],0)</f>
        <v>7.4412021107059623</v>
      </c>
      <c r="AF277" s="14"/>
      <c r="AG277" s="12"/>
      <c r="AM277" s="12">
        <f>_xlfn.XLOOKUP(TableDailySummary[[#This Row],[Fecha]],SummaryDaily[day],SummaryDaily[net_sales_with_cost_recorded],0)</f>
        <v>3139103.44</v>
      </c>
      <c r="AN277" s="12">
        <f>_xlfn.XLOOKUP(TableDailySummary[[#This Row],[Fecha]],SummaryDaily[day],SummaryDaily[cost_of_goods_sold],0)</f>
        <v>900126</v>
      </c>
      <c r="AO277" s="12">
        <f>_xlfn.XLOOKUP(TableDailySummary[[#This Row],[Fecha]],SummaryDaily[day],SummaryDaily[gross_profit],0)</f>
        <v>2238977.44</v>
      </c>
      <c r="AP277" s="18">
        <f>IFERROR(TableDailySummary[[#This Row],[Utilidad bruta]]/TableDailySummary[[#This Row],[Ventas netas con costo registrado]],0)</f>
        <v>0.71325379452930671</v>
      </c>
    </row>
    <row r="278" spans="2:42" x14ac:dyDescent="0.2">
      <c r="B278" s="15" cm="1">
        <f t="array" ref="B278">MIN(SummaryDaily[day]) + (ROW(TableDailySummary[#This Row]) - ROW(TableDailySummary[[#Headers],[Dia]]) - 1)</f>
        <v>46049</v>
      </c>
      <c r="C278" s="6">
        <f>TableDailySummary[[#This Row],[Dia]]</f>
        <v>46049</v>
      </c>
      <c r="D278" s="12">
        <f>_xlfn.XLOOKUP(TableDailySummary[[#This Row],[Fecha]],SummaryDaily[day],SummaryDaily[net_sales],0)</f>
        <v>2087235.31</v>
      </c>
      <c r="E278" s="12">
        <f>_xlfn.XLOOKUP(TableDailySummary[[#This Row],[Fecha]],SummaryDaily[day],SummaryDaily[orders],0)</f>
        <v>13</v>
      </c>
      <c r="F278" s="12">
        <f>_xlfn.XLOOKUP(TableDailySummary[[#This Row],[Fecha]],SummaryDaily[day],SummaryDaily[average_order_value],0)</f>
        <v>160556.56200000001</v>
      </c>
      <c r="G278" s="24">
        <f>_xlfn.XLOOKUP(TableDailySummary[[#This Row],[Fecha]],SummaryDaily[day],SummaryDaily[Total site_conversion_rate],0)</f>
        <v>1.8518518518518517E-2</v>
      </c>
      <c r="H278" s="12">
        <f>TableDailySummary[[#This Row],[Órden promedio totales]]*TableDailySummary[[#This Row],[CR totales]]</f>
        <v>2973.2696666666666</v>
      </c>
      <c r="I278" s="12">
        <f>_xlfn.XLOOKUP(TableDailySummary[[#This Row],[Fecha]],SummaryDaily[day],SummaryDaily[new_net_sales],0)</f>
        <v>682352.95</v>
      </c>
      <c r="J278" s="12">
        <f>_xlfn.XLOOKUP(TableDailySummary[[#This Row],[Fecha]],SummaryDaily[day],SummaryDaily[new_orders],0)</f>
        <v>4</v>
      </c>
      <c r="K278" s="12">
        <f>_xlfn.XLOOKUP(TableDailySummary[[#This Row],[Fecha]],SummaryDaily[day],SummaryDaily[new_average_order_value],0)</f>
        <v>170588.23699999999</v>
      </c>
      <c r="L278" s="12">
        <f>_xlfn.XLOOKUP(TableDailySummary[[#This Row],[Fecha]],SummaryDaily[day],SummaryDaily[Online Store_net_sales],0)</f>
        <v>1297479</v>
      </c>
      <c r="M278" s="12">
        <f>_xlfn.XLOOKUP(TableDailySummary[[#This Row],[Fecha]],SummaryDaily[day],SummaryDaily[Online Store_orders],0)</f>
        <v>8</v>
      </c>
      <c r="N278" s="12">
        <f>_xlfn.XLOOKUP(TableDailySummary[[#This Row],[Fecha]],SummaryDaily[day],SummaryDaily[Online Store_average_order_value],0)</f>
        <v>162184.875</v>
      </c>
      <c r="O278" s="12">
        <f>_xlfn.XLOOKUP(TableDailySummary[[#This Row],[Fecha]],SummaryDaily[day],SummaryDaily[Tienda 81_net_sales],0)</f>
        <v>789756.31</v>
      </c>
      <c r="P278" s="12">
        <f>_xlfn.XLOOKUP(TableDailySummary[[#This Row],[Fecha]],SummaryDaily[day],SummaryDaily[Tienda 81_orders],0)</f>
        <v>5</v>
      </c>
      <c r="Q278" s="12">
        <f>_xlfn.XLOOKUP(TableDailySummary[[#This Row],[Fecha]],SummaryDaily[day],SummaryDaily[Tienda 81_average_order_value],0)</f>
        <v>157951.26199999999</v>
      </c>
      <c r="R278" s="12">
        <f>_xlfn.XLOOKUP(TableDailySummary[[#This Row],[Fecha]],SummaryDaily[day],SummaryDaily[Rappi_net_sales],0)</f>
        <v>0</v>
      </c>
      <c r="S278" s="12">
        <f>_xlfn.XLOOKUP(TableDailySummary[[#This Row],[Fecha]],SummaryDaily[day],SummaryDaily[Rappi_orders],0)</f>
        <v>0</v>
      </c>
      <c r="T278" s="12">
        <f>_xlfn.XLOOKUP(TableDailySummary[[#This Row],[Fecha]],SummaryDaily[day],SummaryDaily[Rappi_average_order_value],0)</f>
        <v>0</v>
      </c>
      <c r="U278" s="12">
        <f>_xlfn.XLOOKUP(TableDailySummary[[#This Row],[Fecha]],SummaryDaily[day],SummaryDaily[Corporativo no tienda_net_sales],0)</f>
        <v>0</v>
      </c>
      <c r="V278" s="12">
        <f>_xlfn.XLOOKUP(TableDailySummary[[#This Row],[Fecha]],SummaryDaily[day],SummaryDaily[Corporativo no tienda_orders],0)</f>
        <v>0</v>
      </c>
      <c r="W278" s="12">
        <f>_xlfn.XLOOKUP(TableDailySummary[[#This Row],[Fecha]],SummaryDaily[day],SummaryDaily[Corporativo no tienda_average_order_value],0)</f>
        <v>0</v>
      </c>
      <c r="X278" s="12">
        <f>_xlfn.XLOOKUP(TableDailySummary[[#This Row],[Fecha]],SummaryDaily[day],SummaryDaily[GoogleAdsOperation.Cost],0)</f>
        <v>36364.400000000001</v>
      </c>
      <c r="Y278" s="12">
        <f>SUMIFS(SalesByUTMDaily[google],SalesByUTMDaily[day],TableDailySummary[[#This Row],[Fecha]])</f>
        <v>0</v>
      </c>
      <c r="Z278" s="12">
        <f>_xlfn.XLOOKUP(TableDailySummary[[#This Row],[Fecha]],SummaryDaily[day],SummaryDaily[MetaAdsOperation.spend],0)</f>
        <v>50133</v>
      </c>
      <c r="AA278" s="12">
        <f>SUMIFS(SalesByUTMDaily[facebook],SalesByUTMDaily[day],TableDailySummary[[#This Row],[Fecha]])</f>
        <v>0</v>
      </c>
      <c r="AB278" s="12">
        <f>TableDailySummary[[#This Row],[Inversión google ads]]+TableDailySummary[[#This Row],[Inversión meta ads]]</f>
        <v>86497.4</v>
      </c>
      <c r="AC278" s="12">
        <f>TableDailySummary[[#This Row],[Ventas google ads]]+TableDailySummary[[#This Row],[Ventas meta ads]]</f>
        <v>0</v>
      </c>
      <c r="AD278" s="14">
        <f>IFERROR(TableDailySummary[[#This Row],[Ventas publicidad]]/TableDailySummary[[#This Row],[Inversión publicidad]],0)</f>
        <v>0</v>
      </c>
      <c r="AE278" s="14">
        <f>IFERROR(TableDailySummary[[#This Row],[Ventas primer cliente]]/TableDailySummary[[#This Row],[Inversión publicidad]],0)</f>
        <v>7.8887105277152836</v>
      </c>
      <c r="AF278" s="14"/>
      <c r="AG278" s="12"/>
      <c r="AM278" s="12">
        <f>_xlfn.XLOOKUP(TableDailySummary[[#This Row],[Fecha]],SummaryDaily[day],SummaryDaily[net_sales_with_cost_recorded],0)</f>
        <v>2087235.31</v>
      </c>
      <c r="AN278" s="12">
        <f>_xlfn.XLOOKUP(TableDailySummary[[#This Row],[Fecha]],SummaryDaily[day],SummaryDaily[cost_of_goods_sold],0)</f>
        <v>593363</v>
      </c>
      <c r="AO278" s="12">
        <f>_xlfn.XLOOKUP(TableDailySummary[[#This Row],[Fecha]],SummaryDaily[day],SummaryDaily[gross_profit],0)</f>
        <v>1493872.31</v>
      </c>
      <c r="AP278" s="18">
        <f>IFERROR(TableDailySummary[[#This Row],[Utilidad bruta]]/TableDailySummary[[#This Row],[Ventas netas con costo registrado]],0)</f>
        <v>0.71571820524634566</v>
      </c>
    </row>
    <row r="279" spans="2:42" x14ac:dyDescent="0.2">
      <c r="B279" s="15" cm="1">
        <f t="array" ref="B279">MIN(SummaryDaily[day]) + (ROW(TableDailySummary[#This Row]) - ROW(TableDailySummary[[#Headers],[Dia]]) - 1)</f>
        <v>46050</v>
      </c>
      <c r="C279" s="6">
        <f>TableDailySummary[[#This Row],[Dia]]</f>
        <v>46050</v>
      </c>
      <c r="D279" s="12">
        <f>_xlfn.XLOOKUP(TableDailySummary[[#This Row],[Fecha]],SummaryDaily[day],SummaryDaily[net_sales],0)</f>
        <v>2692310.93</v>
      </c>
      <c r="E279" s="12">
        <f>_xlfn.XLOOKUP(TableDailySummary[[#This Row],[Fecha]],SummaryDaily[day],SummaryDaily[orders],0)</f>
        <v>16</v>
      </c>
      <c r="F279" s="12">
        <f>_xlfn.XLOOKUP(TableDailySummary[[#This Row],[Fecha]],SummaryDaily[day],SummaryDaily[average_order_value],0)</f>
        <v>168269.43299999999</v>
      </c>
      <c r="G279" s="24">
        <f>_xlfn.XLOOKUP(TableDailySummary[[#This Row],[Fecha]],SummaryDaily[day],SummaryDaily[Total site_conversion_rate],0)</f>
        <v>8.350730688935281E-3</v>
      </c>
      <c r="H279" s="12">
        <f>TableDailySummary[[#This Row],[Órden promedio totales]]*TableDailySummary[[#This Row],[CR totales]]</f>
        <v>1405.1727181628389</v>
      </c>
      <c r="I279" s="12">
        <f>_xlfn.XLOOKUP(TableDailySummary[[#This Row],[Fecha]],SummaryDaily[day],SummaryDaily[new_net_sales],0)</f>
        <v>963739.49</v>
      </c>
      <c r="J279" s="12">
        <f>_xlfn.XLOOKUP(TableDailySummary[[#This Row],[Fecha]],SummaryDaily[day],SummaryDaily[new_orders],0)</f>
        <v>4</v>
      </c>
      <c r="K279" s="12">
        <f>_xlfn.XLOOKUP(TableDailySummary[[#This Row],[Fecha]],SummaryDaily[day],SummaryDaily[new_average_order_value],0)</f>
        <v>240934.872</v>
      </c>
      <c r="L279" s="12">
        <f>_xlfn.XLOOKUP(TableDailySummary[[#This Row],[Fecha]],SummaryDaily[day],SummaryDaily[Online Store_net_sales],0)</f>
        <v>763025.21</v>
      </c>
      <c r="M279" s="12">
        <f>_xlfn.XLOOKUP(TableDailySummary[[#This Row],[Fecha]],SummaryDaily[day],SummaryDaily[Online Store_orders],0)</f>
        <v>5</v>
      </c>
      <c r="N279" s="12">
        <f>_xlfn.XLOOKUP(TableDailySummary[[#This Row],[Fecha]],SummaryDaily[day],SummaryDaily[Online Store_average_order_value],0)</f>
        <v>152605.04199999999</v>
      </c>
      <c r="O279" s="12">
        <f>_xlfn.XLOOKUP(TableDailySummary[[#This Row],[Fecha]],SummaryDaily[day],SummaryDaily[Tienda 81_net_sales],0)</f>
        <v>1929285.72</v>
      </c>
      <c r="P279" s="12">
        <f>_xlfn.XLOOKUP(TableDailySummary[[#This Row],[Fecha]],SummaryDaily[day],SummaryDaily[Tienda 81_orders],0)</f>
        <v>11</v>
      </c>
      <c r="Q279" s="12">
        <f>_xlfn.XLOOKUP(TableDailySummary[[#This Row],[Fecha]],SummaryDaily[day],SummaryDaily[Tienda 81_average_order_value],0)</f>
        <v>175389.61</v>
      </c>
      <c r="R279" s="12">
        <f>_xlfn.XLOOKUP(TableDailySummary[[#This Row],[Fecha]],SummaryDaily[day],SummaryDaily[Rappi_net_sales],0)</f>
        <v>0</v>
      </c>
      <c r="S279" s="12">
        <f>_xlfn.XLOOKUP(TableDailySummary[[#This Row],[Fecha]],SummaryDaily[day],SummaryDaily[Rappi_orders],0)</f>
        <v>0</v>
      </c>
      <c r="T279" s="12">
        <f>_xlfn.XLOOKUP(TableDailySummary[[#This Row],[Fecha]],SummaryDaily[day],SummaryDaily[Rappi_average_order_value],0)</f>
        <v>0</v>
      </c>
      <c r="U279" s="12">
        <f>_xlfn.XLOOKUP(TableDailySummary[[#This Row],[Fecha]],SummaryDaily[day],SummaryDaily[Corporativo no tienda_net_sales],0)</f>
        <v>0</v>
      </c>
      <c r="V279" s="12">
        <f>_xlfn.XLOOKUP(TableDailySummary[[#This Row],[Fecha]],SummaryDaily[day],SummaryDaily[Corporativo no tienda_orders],0)</f>
        <v>0</v>
      </c>
      <c r="W279" s="12">
        <f>_xlfn.XLOOKUP(TableDailySummary[[#This Row],[Fecha]],SummaryDaily[day],SummaryDaily[Corporativo no tienda_average_order_value],0)</f>
        <v>0</v>
      </c>
      <c r="X279" s="12">
        <f>_xlfn.XLOOKUP(TableDailySummary[[#This Row],[Fecha]],SummaryDaily[day],SummaryDaily[GoogleAdsOperation.Cost],0)</f>
        <v>44973.04</v>
      </c>
      <c r="Y279" s="12">
        <f>SUMIFS(SalesByUTMDaily[google],SalesByUTMDaily[day],TableDailySummary[[#This Row],[Fecha]])</f>
        <v>0</v>
      </c>
      <c r="Z279" s="12">
        <f>_xlfn.XLOOKUP(TableDailySummary[[#This Row],[Fecha]],SummaryDaily[day],SummaryDaily[MetaAdsOperation.spend],0)</f>
        <v>52259</v>
      </c>
      <c r="AA279" s="12">
        <f>SUMIFS(SalesByUTMDaily[facebook],SalesByUTMDaily[day],TableDailySummary[[#This Row],[Fecha]])</f>
        <v>274000</v>
      </c>
      <c r="AB279" s="12">
        <f>TableDailySummary[[#This Row],[Inversión google ads]]+TableDailySummary[[#This Row],[Inversión meta ads]]</f>
        <v>97232.040000000008</v>
      </c>
      <c r="AC279" s="12">
        <f>TableDailySummary[[#This Row],[Ventas google ads]]+TableDailySummary[[#This Row],[Ventas meta ads]]</f>
        <v>274000</v>
      </c>
      <c r="AD279" s="14">
        <f>IFERROR(TableDailySummary[[#This Row],[Ventas publicidad]]/TableDailySummary[[#This Row],[Inversión publicidad]],0)</f>
        <v>2.8180011444787127</v>
      </c>
      <c r="AE279" s="14">
        <f>IFERROR(TableDailySummary[[#This Row],[Ventas primer cliente]]/TableDailySummary[[#This Row],[Inversión publicidad]],0)</f>
        <v>9.9117481233552223</v>
      </c>
      <c r="AF279" s="14"/>
      <c r="AG279" s="12"/>
      <c r="AM279" s="12">
        <f>_xlfn.XLOOKUP(TableDailySummary[[#This Row],[Fecha]],SummaryDaily[day],SummaryDaily[net_sales_with_cost_recorded],0)</f>
        <v>2692310.93</v>
      </c>
      <c r="AN279" s="12">
        <f>_xlfn.XLOOKUP(TableDailySummary[[#This Row],[Fecha]],SummaryDaily[day],SummaryDaily[cost_of_goods_sold],0)</f>
        <v>741903</v>
      </c>
      <c r="AO279" s="12">
        <f>_xlfn.XLOOKUP(TableDailySummary[[#This Row],[Fecha]],SummaryDaily[day],SummaryDaily[gross_profit],0)</f>
        <v>1950407.93</v>
      </c>
      <c r="AP279" s="18">
        <f>IFERROR(TableDailySummary[[#This Row],[Utilidad bruta]]/TableDailySummary[[#This Row],[Ventas netas con costo registrado]],0)</f>
        <v>0.72443635995638878</v>
      </c>
    </row>
    <row r="280" spans="2:42" x14ac:dyDescent="0.2">
      <c r="B280" s="15" cm="1">
        <f t="array" ref="B280">MIN(SummaryDaily[day]) + (ROW(TableDailySummary[#This Row]) - ROW(TableDailySummary[[#Headers],[Dia]]) - 1)</f>
        <v>46051</v>
      </c>
      <c r="C280" s="6">
        <f>TableDailySummary[[#This Row],[Dia]]</f>
        <v>46051</v>
      </c>
      <c r="D280" s="12">
        <f>_xlfn.XLOOKUP(TableDailySummary[[#This Row],[Fecha]],SummaryDaily[day],SummaryDaily[net_sales],0)</f>
        <v>974789.93</v>
      </c>
      <c r="E280" s="12">
        <f>_xlfn.XLOOKUP(TableDailySummary[[#This Row],[Fecha]],SummaryDaily[day],SummaryDaily[orders],0)</f>
        <v>9</v>
      </c>
      <c r="F280" s="12">
        <f>_xlfn.XLOOKUP(TableDailySummary[[#This Row],[Fecha]],SummaryDaily[day],SummaryDaily[average_order_value],0)</f>
        <v>108309.992</v>
      </c>
      <c r="G280" s="24">
        <f>_xlfn.XLOOKUP(TableDailySummary[[#This Row],[Fecha]],SummaryDaily[day],SummaryDaily[Total site_conversion_rate],0)</f>
        <v>9.876543209876543E-3</v>
      </c>
      <c r="H280" s="12">
        <f>TableDailySummary[[#This Row],[Órden promedio totales]]*TableDailySummary[[#This Row],[CR totales]]</f>
        <v>1069.7283160493828</v>
      </c>
      <c r="I280" s="12">
        <f>_xlfn.XLOOKUP(TableDailySummary[[#This Row],[Fecha]],SummaryDaily[day],SummaryDaily[new_net_sales],0)</f>
        <v>403361.35</v>
      </c>
      <c r="J280" s="12">
        <f>_xlfn.XLOOKUP(TableDailySummary[[#This Row],[Fecha]],SummaryDaily[day],SummaryDaily[new_orders],0)</f>
        <v>3</v>
      </c>
      <c r="K280" s="12">
        <f>_xlfn.XLOOKUP(TableDailySummary[[#This Row],[Fecha]],SummaryDaily[day],SummaryDaily[new_average_order_value],0)</f>
        <v>134453.783</v>
      </c>
      <c r="L280" s="12">
        <f>_xlfn.XLOOKUP(TableDailySummary[[#This Row],[Fecha]],SummaryDaily[day],SummaryDaily[Online Store_net_sales],0)</f>
        <v>457983.2</v>
      </c>
      <c r="M280" s="12">
        <f>_xlfn.XLOOKUP(TableDailySummary[[#This Row],[Fecha]],SummaryDaily[day],SummaryDaily[Online Store_orders],0)</f>
        <v>4</v>
      </c>
      <c r="N280" s="12">
        <f>_xlfn.XLOOKUP(TableDailySummary[[#This Row],[Fecha]],SummaryDaily[day],SummaryDaily[Online Store_average_order_value],0)</f>
        <v>114495.8</v>
      </c>
      <c r="O280" s="12">
        <f>_xlfn.XLOOKUP(TableDailySummary[[#This Row],[Fecha]],SummaryDaily[day],SummaryDaily[Tienda 81_net_sales],0)</f>
        <v>516806.73</v>
      </c>
      <c r="P280" s="12">
        <f>_xlfn.XLOOKUP(TableDailySummary[[#This Row],[Fecha]],SummaryDaily[day],SummaryDaily[Tienda 81_orders],0)</f>
        <v>5</v>
      </c>
      <c r="Q280" s="12">
        <f>_xlfn.XLOOKUP(TableDailySummary[[#This Row],[Fecha]],SummaryDaily[day],SummaryDaily[Tienda 81_average_order_value],0)</f>
        <v>103361.34600000001</v>
      </c>
      <c r="R280" s="12">
        <f>_xlfn.XLOOKUP(TableDailySummary[[#This Row],[Fecha]],SummaryDaily[day],SummaryDaily[Rappi_net_sales],0)</f>
        <v>0</v>
      </c>
      <c r="S280" s="12">
        <f>_xlfn.XLOOKUP(TableDailySummary[[#This Row],[Fecha]],SummaryDaily[day],SummaryDaily[Rappi_orders],0)</f>
        <v>0</v>
      </c>
      <c r="T280" s="12">
        <f>_xlfn.XLOOKUP(TableDailySummary[[#This Row],[Fecha]],SummaryDaily[day],SummaryDaily[Rappi_average_order_value],0)</f>
        <v>0</v>
      </c>
      <c r="U280" s="12">
        <f>_xlfn.XLOOKUP(TableDailySummary[[#This Row],[Fecha]],SummaryDaily[day],SummaryDaily[Corporativo no tienda_net_sales],0)</f>
        <v>0</v>
      </c>
      <c r="V280" s="12">
        <f>_xlfn.XLOOKUP(TableDailySummary[[#This Row],[Fecha]],SummaryDaily[day],SummaryDaily[Corporativo no tienda_orders],0)</f>
        <v>0</v>
      </c>
      <c r="W280" s="12">
        <f>_xlfn.XLOOKUP(TableDailySummary[[#This Row],[Fecha]],SummaryDaily[day],SummaryDaily[Corporativo no tienda_average_order_value],0)</f>
        <v>0</v>
      </c>
      <c r="X280" s="12">
        <f>_xlfn.XLOOKUP(TableDailySummary[[#This Row],[Fecha]],SummaryDaily[day],SummaryDaily[GoogleAdsOperation.Cost],0)</f>
        <v>48828.6</v>
      </c>
      <c r="Y280" s="12">
        <f>SUMIFS(SalesByUTMDaily[google],SalesByUTMDaily[day],TableDailySummary[[#This Row],[Fecha]])</f>
        <v>136000</v>
      </c>
      <c r="Z280" s="12">
        <f>_xlfn.XLOOKUP(TableDailySummary[[#This Row],[Fecha]],SummaryDaily[day],SummaryDaily[MetaAdsOperation.spend],0)</f>
        <v>46495</v>
      </c>
      <c r="AA280" s="12">
        <f>SUMIFS(SalesByUTMDaily[facebook],SalesByUTMDaily[day],TableDailySummary[[#This Row],[Fecha]])</f>
        <v>0</v>
      </c>
      <c r="AB280" s="12">
        <f>TableDailySummary[[#This Row],[Inversión google ads]]+TableDailySummary[[#This Row],[Inversión meta ads]]</f>
        <v>95323.6</v>
      </c>
      <c r="AC280" s="12">
        <f>TableDailySummary[[#This Row],[Ventas google ads]]+TableDailySummary[[#This Row],[Ventas meta ads]]</f>
        <v>136000</v>
      </c>
      <c r="AD280" s="14">
        <f>IFERROR(TableDailySummary[[#This Row],[Ventas publicidad]]/TableDailySummary[[#This Row],[Inversión publicidad]],0)</f>
        <v>1.4267190915995618</v>
      </c>
      <c r="AE280" s="14">
        <f>IFERROR(TableDailySummary[[#This Row],[Ventas primer cliente]]/TableDailySummary[[#This Row],[Inversión publicidad]],0)</f>
        <v>4.2314951386645063</v>
      </c>
      <c r="AF280" s="14"/>
      <c r="AG280" s="12"/>
      <c r="AM280" s="12">
        <f>_xlfn.XLOOKUP(TableDailySummary[[#This Row],[Fecha]],SummaryDaily[day],SummaryDaily[net_sales_with_cost_recorded],0)</f>
        <v>974789.93</v>
      </c>
      <c r="AN280" s="12">
        <f>_xlfn.XLOOKUP(TableDailySummary[[#This Row],[Fecha]],SummaryDaily[day],SummaryDaily[cost_of_goods_sold],0)</f>
        <v>244305</v>
      </c>
      <c r="AO280" s="12">
        <f>_xlfn.XLOOKUP(TableDailySummary[[#This Row],[Fecha]],SummaryDaily[day],SummaryDaily[gross_profit],0)</f>
        <v>730484.93</v>
      </c>
      <c r="AP280" s="18">
        <f>IFERROR(TableDailySummary[[#This Row],[Utilidad bruta]]/TableDailySummary[[#This Row],[Ventas netas con costo registrado]],0)</f>
        <v>0.74937677084948962</v>
      </c>
    </row>
    <row r="281" spans="2:42" x14ac:dyDescent="0.2">
      <c r="B281" s="15" cm="1">
        <f t="array" ref="B281">MIN(SummaryDaily[day]) + (ROW(TableDailySummary[#This Row]) - ROW(TableDailySummary[[#Headers],[Dia]]) - 1)</f>
        <v>46052</v>
      </c>
      <c r="C281" s="6">
        <f>TableDailySummary[[#This Row],[Dia]]</f>
        <v>46052</v>
      </c>
      <c r="D281" s="12">
        <f>_xlfn.XLOOKUP(TableDailySummary[[#This Row],[Fecha]],SummaryDaily[day],SummaryDaily[net_sales],0)</f>
        <v>2589369.75</v>
      </c>
      <c r="E281" s="12">
        <f>_xlfn.XLOOKUP(TableDailySummary[[#This Row],[Fecha]],SummaryDaily[day],SummaryDaily[orders],0)</f>
        <v>18</v>
      </c>
      <c r="F281" s="12">
        <f>_xlfn.XLOOKUP(TableDailySummary[[#This Row],[Fecha]],SummaryDaily[day],SummaryDaily[average_order_value],0)</f>
        <v>143853.875</v>
      </c>
      <c r="G281" s="24">
        <f>_xlfn.XLOOKUP(TableDailySummary[[#This Row],[Fecha]],SummaryDaily[day],SummaryDaily[Total site_conversion_rate],0)</f>
        <v>3.4423407917383822E-3</v>
      </c>
      <c r="H281" s="12">
        <f>TableDailySummary[[#This Row],[Órden promedio totales]]*TableDailySummary[[#This Row],[CR totales]]</f>
        <v>495.19406196213424</v>
      </c>
      <c r="I281" s="12">
        <f>_xlfn.XLOOKUP(TableDailySummary[[#This Row],[Fecha]],SummaryDaily[day],SummaryDaily[new_net_sales],0)</f>
        <v>991596.64</v>
      </c>
      <c r="J281" s="12">
        <f>_xlfn.XLOOKUP(TableDailySummary[[#This Row],[Fecha]],SummaryDaily[day],SummaryDaily[new_orders],0)</f>
        <v>5</v>
      </c>
      <c r="K281" s="12">
        <f>_xlfn.XLOOKUP(TableDailySummary[[#This Row],[Fecha]],SummaryDaily[day],SummaryDaily[new_average_order_value],0)</f>
        <v>198319.32800000001</v>
      </c>
      <c r="L281" s="12">
        <f>_xlfn.XLOOKUP(TableDailySummary[[#This Row],[Fecha]],SummaryDaily[day],SummaryDaily[Online Store_net_sales],0)</f>
        <v>268907.56</v>
      </c>
      <c r="M281" s="12">
        <f>_xlfn.XLOOKUP(TableDailySummary[[#This Row],[Fecha]],SummaryDaily[day],SummaryDaily[Online Store_orders],0)</f>
        <v>3</v>
      </c>
      <c r="N281" s="12">
        <f>_xlfn.XLOOKUP(TableDailySummary[[#This Row],[Fecha]],SummaryDaily[day],SummaryDaily[Online Store_average_order_value],0)</f>
        <v>89635.853000000003</v>
      </c>
      <c r="O281" s="12">
        <f>_xlfn.XLOOKUP(TableDailySummary[[#This Row],[Fecha]],SummaryDaily[day],SummaryDaily[Tienda 81_net_sales],0)</f>
        <v>2320462.19</v>
      </c>
      <c r="P281" s="12">
        <f>_xlfn.XLOOKUP(TableDailySummary[[#This Row],[Fecha]],SummaryDaily[day],SummaryDaily[Tienda 81_orders],0)</f>
        <v>15</v>
      </c>
      <c r="Q281" s="12">
        <f>_xlfn.XLOOKUP(TableDailySummary[[#This Row],[Fecha]],SummaryDaily[day],SummaryDaily[Tienda 81_average_order_value],0)</f>
        <v>154697.47899999999</v>
      </c>
      <c r="R281" s="12">
        <f>_xlfn.XLOOKUP(TableDailySummary[[#This Row],[Fecha]],SummaryDaily[day],SummaryDaily[Rappi_net_sales],0)</f>
        <v>0</v>
      </c>
      <c r="S281" s="12">
        <f>_xlfn.XLOOKUP(TableDailySummary[[#This Row],[Fecha]],SummaryDaily[day],SummaryDaily[Rappi_orders],0)</f>
        <v>0</v>
      </c>
      <c r="T281" s="12">
        <f>_xlfn.XLOOKUP(TableDailySummary[[#This Row],[Fecha]],SummaryDaily[day],SummaryDaily[Rappi_average_order_value],0)</f>
        <v>0</v>
      </c>
      <c r="U281" s="12">
        <f>_xlfn.XLOOKUP(TableDailySummary[[#This Row],[Fecha]],SummaryDaily[day],SummaryDaily[Corporativo no tienda_net_sales],0)</f>
        <v>0</v>
      </c>
      <c r="V281" s="12">
        <f>_xlfn.XLOOKUP(TableDailySummary[[#This Row],[Fecha]],SummaryDaily[day],SummaryDaily[Corporativo no tienda_orders],0)</f>
        <v>0</v>
      </c>
      <c r="W281" s="12">
        <f>_xlfn.XLOOKUP(TableDailySummary[[#This Row],[Fecha]],SummaryDaily[day],SummaryDaily[Corporativo no tienda_average_order_value],0)</f>
        <v>0</v>
      </c>
      <c r="X281" s="12">
        <f>_xlfn.XLOOKUP(TableDailySummary[[#This Row],[Fecha]],SummaryDaily[day],SummaryDaily[GoogleAdsOperation.Cost],0)</f>
        <v>50820.800000000003</v>
      </c>
      <c r="Y281" s="12">
        <f>SUMIFS(SalesByUTMDaily[google],SalesByUTMDaily[day],TableDailySummary[[#This Row],[Fecha]])</f>
        <v>0</v>
      </c>
      <c r="Z281" s="12">
        <f>_xlfn.XLOOKUP(TableDailySummary[[#This Row],[Fecha]],SummaryDaily[day],SummaryDaily[MetaAdsOperation.spend],0)</f>
        <v>52245</v>
      </c>
      <c r="AA281" s="12">
        <f>SUMIFS(SalesByUTMDaily[facebook],SalesByUTMDaily[day],TableDailySummary[[#This Row],[Fecha]])</f>
        <v>86000</v>
      </c>
      <c r="AB281" s="12">
        <f>TableDailySummary[[#This Row],[Inversión google ads]]+TableDailySummary[[#This Row],[Inversión meta ads]]</f>
        <v>103065.8</v>
      </c>
      <c r="AC281" s="12">
        <f>TableDailySummary[[#This Row],[Ventas google ads]]+TableDailySummary[[#This Row],[Ventas meta ads]]</f>
        <v>86000</v>
      </c>
      <c r="AD281" s="14">
        <f>IFERROR(TableDailySummary[[#This Row],[Ventas publicidad]]/TableDailySummary[[#This Row],[Inversión publicidad]],0)</f>
        <v>0.83441840067219186</v>
      </c>
      <c r="AE281" s="14">
        <f>IFERROR(TableDailySummary[[#This Row],[Ventas primer cliente]]/TableDailySummary[[#This Row],[Inversión publicidad]],0)</f>
        <v>9.6210056100083641</v>
      </c>
      <c r="AF281" s="14"/>
      <c r="AG281" s="12"/>
      <c r="AM281" s="12">
        <f>_xlfn.XLOOKUP(TableDailySummary[[#This Row],[Fecha]],SummaryDaily[day],SummaryDaily[net_sales_with_cost_recorded],0)</f>
        <v>2589369.75</v>
      </c>
      <c r="AN281" s="12">
        <f>_xlfn.XLOOKUP(TableDailySummary[[#This Row],[Fecha]],SummaryDaily[day],SummaryDaily[cost_of_goods_sold],0)</f>
        <v>1072348</v>
      </c>
      <c r="AO281" s="12">
        <f>_xlfn.XLOOKUP(TableDailySummary[[#This Row],[Fecha]],SummaryDaily[day],SummaryDaily[gross_profit],0)</f>
        <v>1517021.75</v>
      </c>
      <c r="AP281" s="18">
        <f>IFERROR(TableDailySummary[[#This Row],[Utilidad bruta]]/TableDailySummary[[#This Row],[Ventas netas con costo registrado]],0)</f>
        <v>0.58586524771133974</v>
      </c>
    </row>
    <row r="282" spans="2:42" x14ac:dyDescent="0.2">
      <c r="B282" s="15" cm="1">
        <f t="array" ref="B282">MIN(SummaryDaily[day]) + (ROW(TableDailySummary[#This Row]) - ROW(TableDailySummary[[#Headers],[Dia]]) - 1)</f>
        <v>46053</v>
      </c>
      <c r="C282" s="6">
        <f>TableDailySummary[[#This Row],[Dia]]</f>
        <v>46053</v>
      </c>
      <c r="D282" s="12">
        <f>_xlfn.XLOOKUP(TableDailySummary[[#This Row],[Fecha]],SummaryDaily[day],SummaryDaily[net_sales],0)</f>
        <v>1964764.71</v>
      </c>
      <c r="E282" s="12">
        <f>_xlfn.XLOOKUP(TableDailySummary[[#This Row],[Fecha]],SummaryDaily[day],SummaryDaily[orders],0)</f>
        <v>15</v>
      </c>
      <c r="F282" s="12">
        <f>_xlfn.XLOOKUP(TableDailySummary[[#This Row],[Fecha]],SummaryDaily[day],SummaryDaily[average_order_value],0)</f>
        <v>130984.314</v>
      </c>
      <c r="G282" s="24">
        <f>_xlfn.XLOOKUP(TableDailySummary[[#This Row],[Fecha]],SummaryDaily[day],SummaryDaily[Total site_conversion_rate],0)</f>
        <v>2.0964360587002098E-3</v>
      </c>
      <c r="H282" s="12">
        <f>TableDailySummary[[#This Row],[Órden promedio totales]]*TableDailySummary[[#This Row],[CR totales]]</f>
        <v>274.60023899371072</v>
      </c>
      <c r="I282" s="12">
        <f>_xlfn.XLOOKUP(TableDailySummary[[#This Row],[Fecha]],SummaryDaily[day],SummaryDaily[new_net_sales],0)</f>
        <v>794537.82</v>
      </c>
      <c r="J282" s="12">
        <f>_xlfn.XLOOKUP(TableDailySummary[[#This Row],[Fecha]],SummaryDaily[day],SummaryDaily[new_orders],0)</f>
        <v>7</v>
      </c>
      <c r="K282" s="12">
        <f>_xlfn.XLOOKUP(TableDailySummary[[#This Row],[Fecha]],SummaryDaily[day],SummaryDaily[new_average_order_value],0)</f>
        <v>113505.402</v>
      </c>
      <c r="L282" s="12">
        <f>_xlfn.XLOOKUP(TableDailySummary[[#This Row],[Fecha]],SummaryDaily[day],SummaryDaily[Online Store_net_sales],0)</f>
        <v>950798.32</v>
      </c>
      <c r="M282" s="12">
        <f>_xlfn.XLOOKUP(TableDailySummary[[#This Row],[Fecha]],SummaryDaily[day],SummaryDaily[Online Store_orders],0)</f>
        <v>5</v>
      </c>
      <c r="N282" s="12">
        <f>_xlfn.XLOOKUP(TableDailySummary[[#This Row],[Fecha]],SummaryDaily[day],SummaryDaily[Online Store_average_order_value],0)</f>
        <v>190159.66399999999</v>
      </c>
      <c r="O282" s="12">
        <f>_xlfn.XLOOKUP(TableDailySummary[[#This Row],[Fecha]],SummaryDaily[day],SummaryDaily[Tienda 81_net_sales],0)</f>
        <v>1013966.39</v>
      </c>
      <c r="P282" s="12">
        <f>_xlfn.XLOOKUP(TableDailySummary[[#This Row],[Fecha]],SummaryDaily[day],SummaryDaily[Tienda 81_orders],0)</f>
        <v>10</v>
      </c>
      <c r="Q282" s="12">
        <f>_xlfn.XLOOKUP(TableDailySummary[[#This Row],[Fecha]],SummaryDaily[day],SummaryDaily[Tienda 81_average_order_value],0)</f>
        <v>101396.639</v>
      </c>
      <c r="R282" s="12">
        <f>_xlfn.XLOOKUP(TableDailySummary[[#This Row],[Fecha]],SummaryDaily[day],SummaryDaily[Rappi_net_sales],0)</f>
        <v>0</v>
      </c>
      <c r="S282" s="12">
        <f>_xlfn.XLOOKUP(TableDailySummary[[#This Row],[Fecha]],SummaryDaily[day],SummaryDaily[Rappi_orders],0)</f>
        <v>0</v>
      </c>
      <c r="T282" s="12">
        <f>_xlfn.XLOOKUP(TableDailySummary[[#This Row],[Fecha]],SummaryDaily[day],SummaryDaily[Rappi_average_order_value],0)</f>
        <v>0</v>
      </c>
      <c r="U282" s="12">
        <f>_xlfn.XLOOKUP(TableDailySummary[[#This Row],[Fecha]],SummaryDaily[day],SummaryDaily[Corporativo no tienda_net_sales],0)</f>
        <v>0</v>
      </c>
      <c r="V282" s="12">
        <f>_xlfn.XLOOKUP(TableDailySummary[[#This Row],[Fecha]],SummaryDaily[day],SummaryDaily[Corporativo no tienda_orders],0)</f>
        <v>0</v>
      </c>
      <c r="W282" s="12">
        <f>_xlfn.XLOOKUP(TableDailySummary[[#This Row],[Fecha]],SummaryDaily[day],SummaryDaily[Corporativo no tienda_average_order_value],0)</f>
        <v>0</v>
      </c>
      <c r="X282" s="12">
        <f>_xlfn.XLOOKUP(TableDailySummary[[#This Row],[Fecha]],SummaryDaily[day],SummaryDaily[GoogleAdsOperation.Cost],0)</f>
        <v>42163.39</v>
      </c>
      <c r="Y282" s="12">
        <f>SUMIFS(SalesByUTMDaily[google],SalesByUTMDaily[day],TableDailySummary[[#This Row],[Fecha]])</f>
        <v>0</v>
      </c>
      <c r="Z282" s="12">
        <f>_xlfn.XLOOKUP(TableDailySummary[[#This Row],[Fecha]],SummaryDaily[day],SummaryDaily[MetaAdsOperation.spend],0)</f>
        <v>49102</v>
      </c>
      <c r="AA282" s="12">
        <f>SUMIFS(SalesByUTMDaily[facebook],SalesByUTMDaily[day],TableDailySummary[[#This Row],[Fecha]])</f>
        <v>0</v>
      </c>
      <c r="AB282" s="12">
        <f>TableDailySummary[[#This Row],[Inversión google ads]]+TableDailySummary[[#This Row],[Inversión meta ads]]</f>
        <v>91265.39</v>
      </c>
      <c r="AC282" s="12">
        <f>TableDailySummary[[#This Row],[Ventas google ads]]+TableDailySummary[[#This Row],[Ventas meta ads]]</f>
        <v>0</v>
      </c>
      <c r="AD282" s="14">
        <f>IFERROR(TableDailySummary[[#This Row],[Ventas publicidad]]/TableDailySummary[[#This Row],[Inversión publicidad]],0)</f>
        <v>0</v>
      </c>
      <c r="AE282" s="14">
        <f>IFERROR(TableDailySummary[[#This Row],[Ventas primer cliente]]/TableDailySummary[[#This Row],[Inversión publicidad]],0)</f>
        <v>8.7057954828221291</v>
      </c>
      <c r="AF282" s="14"/>
      <c r="AG282" s="12"/>
      <c r="AM282" s="12">
        <f>_xlfn.XLOOKUP(TableDailySummary[[#This Row],[Fecha]],SummaryDaily[day],SummaryDaily[net_sales_with_cost_recorded],0)</f>
        <v>1964764.71</v>
      </c>
      <c r="AN282" s="12">
        <f>_xlfn.XLOOKUP(TableDailySummary[[#This Row],[Fecha]],SummaryDaily[day],SummaryDaily[cost_of_goods_sold],0)</f>
        <v>584141</v>
      </c>
      <c r="AO282" s="12">
        <f>_xlfn.XLOOKUP(TableDailySummary[[#This Row],[Fecha]],SummaryDaily[day],SummaryDaily[gross_profit],0)</f>
        <v>1380623.71</v>
      </c>
      <c r="AP282" s="18">
        <f>IFERROR(TableDailySummary[[#This Row],[Utilidad bruta]]/TableDailySummary[[#This Row],[Ventas netas con costo registrado]],0)</f>
        <v>0.70269162662230433</v>
      </c>
    </row>
    <row r="283" spans="2:42" x14ac:dyDescent="0.2">
      <c r="B283" s="15" cm="1">
        <f t="array" ref="B283">MIN(SummaryDaily[day]) + (ROW(TableDailySummary[#This Row]) - ROW(TableDailySummary[[#Headers],[Dia]]) - 1)</f>
        <v>46054</v>
      </c>
      <c r="C283" s="6">
        <f>TableDailySummary[[#This Row],[Dia]]</f>
        <v>46054</v>
      </c>
      <c r="D283" s="12">
        <f>_xlfn.XLOOKUP(TableDailySummary[[#This Row],[Fecha]],SummaryDaily[day],SummaryDaily[net_sales],0)</f>
        <v>449579.84</v>
      </c>
      <c r="E283" s="12">
        <f>_xlfn.XLOOKUP(TableDailySummary[[#This Row],[Fecha]],SummaryDaily[day],SummaryDaily[orders],0)</f>
        <v>4</v>
      </c>
      <c r="F283" s="12">
        <f>_xlfn.XLOOKUP(TableDailySummary[[#This Row],[Fecha]],SummaryDaily[day],SummaryDaily[average_order_value],0)</f>
        <v>112394.96</v>
      </c>
      <c r="G283" s="24">
        <f>_xlfn.XLOOKUP(TableDailySummary[[#This Row],[Fecha]],SummaryDaily[day],SummaryDaily[Total site_conversion_rate],0)</f>
        <v>6.9444444444444441E-3</v>
      </c>
      <c r="H283" s="12">
        <f>TableDailySummary[[#This Row],[Órden promedio totales]]*TableDailySummary[[#This Row],[CR totales]]</f>
        <v>780.52055555555557</v>
      </c>
      <c r="I283" s="12">
        <f>_xlfn.XLOOKUP(TableDailySummary[[#This Row],[Fecha]],SummaryDaily[day],SummaryDaily[new_net_sales],0)</f>
        <v>210084.04</v>
      </c>
      <c r="J283" s="12">
        <f>_xlfn.XLOOKUP(TableDailySummary[[#This Row],[Fecha]],SummaryDaily[day],SummaryDaily[new_orders],0)</f>
        <v>3</v>
      </c>
      <c r="K283" s="12">
        <f>_xlfn.XLOOKUP(TableDailySummary[[#This Row],[Fecha]],SummaryDaily[day],SummaryDaily[new_average_order_value],0)</f>
        <v>70028.013000000006</v>
      </c>
      <c r="L283" s="12">
        <f>_xlfn.XLOOKUP(TableDailySummary[[#This Row],[Fecha]],SummaryDaily[day],SummaryDaily[Online Store_net_sales],0)</f>
        <v>449579.84</v>
      </c>
      <c r="M283" s="12">
        <f>_xlfn.XLOOKUP(TableDailySummary[[#This Row],[Fecha]],SummaryDaily[day],SummaryDaily[Online Store_orders],0)</f>
        <v>4</v>
      </c>
      <c r="N283" s="12">
        <f>_xlfn.XLOOKUP(TableDailySummary[[#This Row],[Fecha]],SummaryDaily[day],SummaryDaily[Online Store_average_order_value],0)</f>
        <v>112394.96</v>
      </c>
      <c r="O283" s="12">
        <f>_xlfn.XLOOKUP(TableDailySummary[[#This Row],[Fecha]],SummaryDaily[day],SummaryDaily[Tienda 81_net_sales],0)</f>
        <v>0</v>
      </c>
      <c r="P283" s="12">
        <f>_xlfn.XLOOKUP(TableDailySummary[[#This Row],[Fecha]],SummaryDaily[day],SummaryDaily[Tienda 81_orders],0)</f>
        <v>0</v>
      </c>
      <c r="Q283" s="12">
        <f>_xlfn.XLOOKUP(TableDailySummary[[#This Row],[Fecha]],SummaryDaily[day],SummaryDaily[Tienda 81_average_order_value],0)</f>
        <v>0</v>
      </c>
      <c r="R283" s="12">
        <f>_xlfn.XLOOKUP(TableDailySummary[[#This Row],[Fecha]],SummaryDaily[day],SummaryDaily[Rappi_net_sales],0)</f>
        <v>0</v>
      </c>
      <c r="S283" s="12">
        <f>_xlfn.XLOOKUP(TableDailySummary[[#This Row],[Fecha]],SummaryDaily[day],SummaryDaily[Rappi_orders],0)</f>
        <v>0</v>
      </c>
      <c r="T283" s="12">
        <f>_xlfn.XLOOKUP(TableDailySummary[[#This Row],[Fecha]],SummaryDaily[day],SummaryDaily[Rappi_average_order_value],0)</f>
        <v>0</v>
      </c>
      <c r="U283" s="12">
        <f>_xlfn.XLOOKUP(TableDailySummary[[#This Row],[Fecha]],SummaryDaily[day],SummaryDaily[Corporativo no tienda_net_sales],0)</f>
        <v>0</v>
      </c>
      <c r="V283" s="12">
        <f>_xlfn.XLOOKUP(TableDailySummary[[#This Row],[Fecha]],SummaryDaily[day],SummaryDaily[Corporativo no tienda_orders],0)</f>
        <v>0</v>
      </c>
      <c r="W283" s="12">
        <f>_xlfn.XLOOKUP(TableDailySummary[[#This Row],[Fecha]],SummaryDaily[day],SummaryDaily[Corporativo no tienda_average_order_value],0)</f>
        <v>0</v>
      </c>
      <c r="X283" s="12">
        <f>_xlfn.XLOOKUP(TableDailySummary[[#This Row],[Fecha]],SummaryDaily[day],SummaryDaily[GoogleAdsOperation.Cost],0)</f>
        <v>54198.49</v>
      </c>
      <c r="Y283" s="12">
        <f>SUMIFS(SalesByUTMDaily[google],SalesByUTMDaily[day],TableDailySummary[[#This Row],[Fecha]])</f>
        <v>91000</v>
      </c>
      <c r="Z283" s="12">
        <f>_xlfn.XLOOKUP(TableDailySummary[[#This Row],[Fecha]],SummaryDaily[day],SummaryDaily[MetaAdsOperation.spend],0)</f>
        <v>57053</v>
      </c>
      <c r="AA283" s="12">
        <f>SUMIFS(SalesByUTMDaily[facebook],SalesByUTMDaily[day],TableDailySummary[[#This Row],[Fecha]])</f>
        <v>0</v>
      </c>
      <c r="AB283" s="12">
        <f>TableDailySummary[[#This Row],[Inversión google ads]]+TableDailySummary[[#This Row],[Inversión meta ads]]</f>
        <v>111251.48999999999</v>
      </c>
      <c r="AC283" s="12">
        <f>TableDailySummary[[#This Row],[Ventas google ads]]+TableDailySummary[[#This Row],[Ventas meta ads]]</f>
        <v>91000</v>
      </c>
      <c r="AD283" s="14">
        <f>IFERROR(TableDailySummary[[#This Row],[Ventas publicidad]]/TableDailySummary[[#This Row],[Inversión publicidad]],0)</f>
        <v>0.81796657285219287</v>
      </c>
      <c r="AE283" s="14">
        <f>IFERROR(TableDailySummary[[#This Row],[Ventas primer cliente]]/TableDailySummary[[#This Row],[Inversión publicidad]],0)</f>
        <v>1.8883705737334398</v>
      </c>
      <c r="AF283" s="14"/>
      <c r="AG283" s="12"/>
      <c r="AM283" s="12">
        <f>_xlfn.XLOOKUP(TableDailySummary[[#This Row],[Fecha]],SummaryDaily[day],SummaryDaily[net_sales_with_cost_recorded],0)</f>
        <v>449579.84</v>
      </c>
      <c r="AN283" s="12">
        <f>_xlfn.XLOOKUP(TableDailySummary[[#This Row],[Fecha]],SummaryDaily[day],SummaryDaily[cost_of_goods_sold],0)</f>
        <v>213250</v>
      </c>
      <c r="AO283" s="12">
        <f>_xlfn.XLOOKUP(TableDailySummary[[#This Row],[Fecha]],SummaryDaily[day],SummaryDaily[gross_profit],0)</f>
        <v>236329.84</v>
      </c>
      <c r="AP283" s="18">
        <f>IFERROR(TableDailySummary[[#This Row],[Utilidad bruta]]/TableDailySummary[[#This Row],[Ventas netas con costo registrado]],0)</f>
        <v>0.52566823281043917</v>
      </c>
    </row>
    <row r="284" spans="2:42" x14ac:dyDescent="0.2">
      <c r="B284" s="15" cm="1">
        <f t="array" ref="B284">MIN(SummaryDaily[day]) + (ROW(TableDailySummary[#This Row]) - ROW(TableDailySummary[[#Headers],[Dia]]) - 1)</f>
        <v>46055</v>
      </c>
      <c r="C284" s="6">
        <f>TableDailySummary[[#This Row],[Dia]]</f>
        <v>46055</v>
      </c>
      <c r="D284" s="12">
        <f>_xlfn.XLOOKUP(TableDailySummary[[#This Row],[Fecha]],SummaryDaily[day],SummaryDaily[net_sales],0)</f>
        <v>1892857.15</v>
      </c>
      <c r="E284" s="12">
        <f>_xlfn.XLOOKUP(TableDailySummary[[#This Row],[Fecha]],SummaryDaily[day],SummaryDaily[orders],0)</f>
        <v>20</v>
      </c>
      <c r="F284" s="12">
        <f>_xlfn.XLOOKUP(TableDailySummary[[#This Row],[Fecha]],SummaryDaily[day],SummaryDaily[average_order_value],0)</f>
        <v>94642.857000000004</v>
      </c>
      <c r="G284" s="24">
        <f>_xlfn.XLOOKUP(TableDailySummary[[#This Row],[Fecha]],SummaryDaily[day],SummaryDaily[Total site_conversion_rate],0)</f>
        <v>7.619047619047619E-3</v>
      </c>
      <c r="H284" s="12">
        <f>TableDailySummary[[#This Row],[Órden promedio totales]]*TableDailySummary[[#This Row],[CR totales]]</f>
        <v>721.08843428571436</v>
      </c>
      <c r="I284" s="12">
        <f>_xlfn.XLOOKUP(TableDailySummary[[#This Row],[Fecha]],SummaryDaily[day],SummaryDaily[new_net_sales],0)</f>
        <v>1445378.16</v>
      </c>
      <c r="J284" s="12">
        <f>_xlfn.XLOOKUP(TableDailySummary[[#This Row],[Fecha]],SummaryDaily[day],SummaryDaily[new_orders],0)</f>
        <v>13</v>
      </c>
      <c r="K284" s="12">
        <f>_xlfn.XLOOKUP(TableDailySummary[[#This Row],[Fecha]],SummaryDaily[day],SummaryDaily[new_average_order_value],0)</f>
        <v>111182.935</v>
      </c>
      <c r="L284" s="12">
        <f>_xlfn.XLOOKUP(TableDailySummary[[#This Row],[Fecha]],SummaryDaily[day],SummaryDaily[Online Store_net_sales],0)</f>
        <v>525210.09</v>
      </c>
      <c r="M284" s="12">
        <f>_xlfn.XLOOKUP(TableDailySummary[[#This Row],[Fecha]],SummaryDaily[day],SummaryDaily[Online Store_orders],0)</f>
        <v>4</v>
      </c>
      <c r="N284" s="12">
        <f>_xlfn.XLOOKUP(TableDailySummary[[#This Row],[Fecha]],SummaryDaily[day],SummaryDaily[Online Store_average_order_value],0)</f>
        <v>131302.522</v>
      </c>
      <c r="O284" s="12">
        <f>_xlfn.XLOOKUP(TableDailySummary[[#This Row],[Fecha]],SummaryDaily[day],SummaryDaily[Tienda 81_net_sales],0)</f>
        <v>1367647.06</v>
      </c>
      <c r="P284" s="12">
        <f>_xlfn.XLOOKUP(TableDailySummary[[#This Row],[Fecha]],SummaryDaily[day],SummaryDaily[Tienda 81_orders],0)</f>
        <v>16</v>
      </c>
      <c r="Q284" s="12">
        <f>_xlfn.XLOOKUP(TableDailySummary[[#This Row],[Fecha]],SummaryDaily[day],SummaryDaily[Tienda 81_average_order_value],0)</f>
        <v>85477.941000000006</v>
      </c>
      <c r="R284" s="12">
        <f>_xlfn.XLOOKUP(TableDailySummary[[#This Row],[Fecha]],SummaryDaily[day],SummaryDaily[Rappi_net_sales],0)</f>
        <v>0</v>
      </c>
      <c r="S284" s="12">
        <f>_xlfn.XLOOKUP(TableDailySummary[[#This Row],[Fecha]],SummaryDaily[day],SummaryDaily[Rappi_orders],0)</f>
        <v>0</v>
      </c>
      <c r="T284" s="12">
        <f>_xlfn.XLOOKUP(TableDailySummary[[#This Row],[Fecha]],SummaryDaily[day],SummaryDaily[Rappi_average_order_value],0)</f>
        <v>0</v>
      </c>
      <c r="U284" s="12">
        <f>_xlfn.XLOOKUP(TableDailySummary[[#This Row],[Fecha]],SummaryDaily[day],SummaryDaily[Corporativo no tienda_net_sales],0)</f>
        <v>0</v>
      </c>
      <c r="V284" s="12">
        <f>_xlfn.XLOOKUP(TableDailySummary[[#This Row],[Fecha]],SummaryDaily[day],SummaryDaily[Corporativo no tienda_orders],0)</f>
        <v>0</v>
      </c>
      <c r="W284" s="12">
        <f>_xlfn.XLOOKUP(TableDailySummary[[#This Row],[Fecha]],SummaryDaily[day],SummaryDaily[Corporativo no tienda_average_order_value],0)</f>
        <v>0</v>
      </c>
      <c r="X284" s="12">
        <f>_xlfn.XLOOKUP(TableDailySummary[[#This Row],[Fecha]],SummaryDaily[day],SummaryDaily[GoogleAdsOperation.Cost],0)</f>
        <v>69217.009999999995</v>
      </c>
      <c r="Y284" s="12">
        <f>SUMIFS(SalesByUTMDaily[google],SalesByUTMDaily[day],TableDailySummary[[#This Row],[Fecha]])</f>
        <v>82000</v>
      </c>
      <c r="Z284" s="12">
        <f>_xlfn.XLOOKUP(TableDailySummary[[#This Row],[Fecha]],SummaryDaily[day],SummaryDaily[MetaAdsOperation.spend],0)</f>
        <v>52104</v>
      </c>
      <c r="AA284" s="12">
        <f>SUMIFS(SalesByUTMDaily[facebook],SalesByUTMDaily[day],TableDailySummary[[#This Row],[Fecha]])</f>
        <v>0</v>
      </c>
      <c r="AB284" s="12">
        <f>TableDailySummary[[#This Row],[Inversión google ads]]+TableDailySummary[[#This Row],[Inversión meta ads]]</f>
        <v>121321.01</v>
      </c>
      <c r="AC284" s="12">
        <f>TableDailySummary[[#This Row],[Ventas google ads]]+TableDailySummary[[#This Row],[Ventas meta ads]]</f>
        <v>82000</v>
      </c>
      <c r="AD284" s="14">
        <f>IFERROR(TableDailySummary[[#This Row],[Ventas publicidad]]/TableDailySummary[[#This Row],[Inversión publicidad]],0)</f>
        <v>0.67589282351012414</v>
      </c>
      <c r="AE284" s="14">
        <f>IFERROR(TableDailySummary[[#This Row],[Ventas primer cliente]]/TableDailySummary[[#This Row],[Inversión publicidad]],0)</f>
        <v>11.913667385393511</v>
      </c>
      <c r="AF284" s="14"/>
      <c r="AG284" s="12"/>
      <c r="AM284" s="12">
        <f>_xlfn.XLOOKUP(TableDailySummary[[#This Row],[Fecha]],SummaryDaily[day],SummaryDaily[net_sales_with_cost_recorded],0)</f>
        <v>1834033.62</v>
      </c>
      <c r="AN284" s="12">
        <f>_xlfn.XLOOKUP(TableDailySummary[[#This Row],[Fecha]],SummaryDaily[day],SummaryDaily[cost_of_goods_sold],0)</f>
        <v>538695</v>
      </c>
      <c r="AO284" s="12">
        <f>_xlfn.XLOOKUP(TableDailySummary[[#This Row],[Fecha]],SummaryDaily[day],SummaryDaily[gross_profit],0)</f>
        <v>1295338.6200000001</v>
      </c>
      <c r="AP284" s="18">
        <f>IFERROR(TableDailySummary[[#This Row],[Utilidad bruta]]/TableDailySummary[[#This Row],[Ventas netas con costo registrado]],0)</f>
        <v>0.7062785577507571</v>
      </c>
    </row>
    <row r="285" spans="2:42" x14ac:dyDescent="0.2">
      <c r="B285" s="15" cm="1">
        <f t="array" ref="B285">MIN(SummaryDaily[day]) + (ROW(TableDailySummary[#This Row]) - ROW(TableDailySummary[[#Headers],[Dia]]) - 1)</f>
        <v>46056</v>
      </c>
      <c r="C285" s="6">
        <f>TableDailySummary[[#This Row],[Dia]]</f>
        <v>46056</v>
      </c>
      <c r="D285" s="12">
        <f>_xlfn.XLOOKUP(TableDailySummary[[#This Row],[Fecha]],SummaryDaily[day],SummaryDaily[net_sales],0)</f>
        <v>2607067.2200000002</v>
      </c>
      <c r="E285" s="12">
        <f>_xlfn.XLOOKUP(TableDailySummary[[#This Row],[Fecha]],SummaryDaily[day],SummaryDaily[orders],0)</f>
        <v>19</v>
      </c>
      <c r="F285" s="12">
        <f>_xlfn.XLOOKUP(TableDailySummary[[#This Row],[Fecha]],SummaryDaily[day],SummaryDaily[average_order_value],0)</f>
        <v>137214.06400000001</v>
      </c>
      <c r="G285" s="24">
        <f>_xlfn.XLOOKUP(TableDailySummary[[#This Row],[Fecha]],SummaryDaily[day],SummaryDaily[Total site_conversion_rate],0)</f>
        <v>1.384083044982699E-2</v>
      </c>
      <c r="H285" s="12">
        <f>TableDailySummary[[#This Row],[Órden promedio totales]]*TableDailySummary[[#This Row],[CR totales]]</f>
        <v>1899.1565951557095</v>
      </c>
      <c r="I285" s="12">
        <f>_xlfn.XLOOKUP(TableDailySummary[[#This Row],[Fecha]],SummaryDaily[day],SummaryDaily[new_net_sales],0)</f>
        <v>1052100.8400000001</v>
      </c>
      <c r="J285" s="12">
        <f>_xlfn.XLOOKUP(TableDailySummary[[#This Row],[Fecha]],SummaryDaily[day],SummaryDaily[new_orders],0)</f>
        <v>7</v>
      </c>
      <c r="K285" s="12">
        <f>_xlfn.XLOOKUP(TableDailySummary[[#This Row],[Fecha]],SummaryDaily[day],SummaryDaily[new_average_order_value],0)</f>
        <v>150300.12</v>
      </c>
      <c r="L285" s="12">
        <f>_xlfn.XLOOKUP(TableDailySummary[[#This Row],[Fecha]],SummaryDaily[day],SummaryDaily[Online Store_net_sales],0)</f>
        <v>835294.12</v>
      </c>
      <c r="M285" s="12">
        <f>_xlfn.XLOOKUP(TableDailySummary[[#This Row],[Fecha]],SummaryDaily[day],SummaryDaily[Online Store_orders],0)</f>
        <v>7</v>
      </c>
      <c r="N285" s="12">
        <f>_xlfn.XLOOKUP(TableDailySummary[[#This Row],[Fecha]],SummaryDaily[day],SummaryDaily[Online Store_average_order_value],0)</f>
        <v>119327.731</v>
      </c>
      <c r="O285" s="12">
        <f>_xlfn.XLOOKUP(TableDailySummary[[#This Row],[Fecha]],SummaryDaily[day],SummaryDaily[Tienda 81_net_sales],0)</f>
        <v>1771773.1</v>
      </c>
      <c r="P285" s="12">
        <f>_xlfn.XLOOKUP(TableDailySummary[[#This Row],[Fecha]],SummaryDaily[day],SummaryDaily[Tienda 81_orders],0)</f>
        <v>12</v>
      </c>
      <c r="Q285" s="12">
        <f>_xlfn.XLOOKUP(TableDailySummary[[#This Row],[Fecha]],SummaryDaily[day],SummaryDaily[Tienda 81_average_order_value],0)</f>
        <v>147647.758</v>
      </c>
      <c r="R285" s="12">
        <f>_xlfn.XLOOKUP(TableDailySummary[[#This Row],[Fecha]],SummaryDaily[day],SummaryDaily[Rappi_net_sales],0)</f>
        <v>0</v>
      </c>
      <c r="S285" s="12">
        <f>_xlfn.XLOOKUP(TableDailySummary[[#This Row],[Fecha]],SummaryDaily[day],SummaryDaily[Rappi_orders],0)</f>
        <v>0</v>
      </c>
      <c r="T285" s="12">
        <f>_xlfn.XLOOKUP(TableDailySummary[[#This Row],[Fecha]],SummaryDaily[day],SummaryDaily[Rappi_average_order_value],0)</f>
        <v>0</v>
      </c>
      <c r="U285" s="12">
        <f>_xlfn.XLOOKUP(TableDailySummary[[#This Row],[Fecha]],SummaryDaily[day],SummaryDaily[Corporativo no tienda_net_sales],0)</f>
        <v>0</v>
      </c>
      <c r="V285" s="12">
        <f>_xlfn.XLOOKUP(TableDailySummary[[#This Row],[Fecha]],SummaryDaily[day],SummaryDaily[Corporativo no tienda_orders],0)</f>
        <v>0</v>
      </c>
      <c r="W285" s="12">
        <f>_xlfn.XLOOKUP(TableDailySummary[[#This Row],[Fecha]],SummaryDaily[day],SummaryDaily[Corporativo no tienda_average_order_value],0)</f>
        <v>0</v>
      </c>
      <c r="X285" s="12">
        <f>_xlfn.XLOOKUP(TableDailySummary[[#This Row],[Fecha]],SummaryDaily[day],SummaryDaily[GoogleAdsOperation.Cost],0)</f>
        <v>24641.56</v>
      </c>
      <c r="Y285" s="12">
        <f>SUMIFS(SalesByUTMDaily[google],SalesByUTMDaily[day],TableDailySummary[[#This Row],[Fecha]])</f>
        <v>136000</v>
      </c>
      <c r="Z285" s="12">
        <f>_xlfn.XLOOKUP(TableDailySummary[[#This Row],[Fecha]],SummaryDaily[day],SummaryDaily[MetaAdsOperation.spend],0)</f>
        <v>52445</v>
      </c>
      <c r="AA285" s="12">
        <f>SUMIFS(SalesByUTMDaily[facebook],SalesByUTMDaily[day],TableDailySummary[[#This Row],[Fecha]])</f>
        <v>0</v>
      </c>
      <c r="AB285" s="12">
        <f>TableDailySummary[[#This Row],[Inversión google ads]]+TableDailySummary[[#This Row],[Inversión meta ads]]</f>
        <v>77086.559999999998</v>
      </c>
      <c r="AC285" s="12">
        <f>TableDailySummary[[#This Row],[Ventas google ads]]+TableDailySummary[[#This Row],[Ventas meta ads]]</f>
        <v>136000</v>
      </c>
      <c r="AD285" s="14">
        <f>IFERROR(TableDailySummary[[#This Row],[Ventas publicidad]]/TableDailySummary[[#This Row],[Inversión publicidad]],0)</f>
        <v>1.7642504737531419</v>
      </c>
      <c r="AE285" s="14">
        <f>IFERROR(TableDailySummary[[#This Row],[Ventas primer cliente]]/TableDailySummary[[#This Row],[Inversión publicidad]],0)</f>
        <v>13.648304451515285</v>
      </c>
      <c r="AF285" s="14"/>
      <c r="AG285" s="12"/>
      <c r="AM285" s="12">
        <f>_xlfn.XLOOKUP(TableDailySummary[[#This Row],[Fecha]],SummaryDaily[day],SummaryDaily[net_sales_with_cost_recorded],0)</f>
        <v>2577655.46</v>
      </c>
      <c r="AN285" s="12">
        <f>_xlfn.XLOOKUP(TableDailySummary[[#This Row],[Fecha]],SummaryDaily[day],SummaryDaily[cost_of_goods_sold],0)</f>
        <v>782412</v>
      </c>
      <c r="AO285" s="12">
        <f>_xlfn.XLOOKUP(TableDailySummary[[#This Row],[Fecha]],SummaryDaily[day],SummaryDaily[gross_profit],0)</f>
        <v>1795243.46</v>
      </c>
      <c r="AP285" s="18">
        <f>IFERROR(TableDailySummary[[#This Row],[Utilidad bruta]]/TableDailySummary[[#This Row],[Ventas netas con costo registrado]],0)</f>
        <v>0.69646370038919014</v>
      </c>
    </row>
    <row r="286" spans="2:42" x14ac:dyDescent="0.2">
      <c r="B286" s="15" cm="1">
        <f t="array" ref="B286">MIN(SummaryDaily[day]) + (ROW(TableDailySummary[#This Row]) - ROW(TableDailySummary[[#Headers],[Dia]]) - 1)</f>
        <v>46057</v>
      </c>
      <c r="C286" s="6">
        <f>TableDailySummary[[#This Row],[Dia]]</f>
        <v>46057</v>
      </c>
      <c r="D286" s="12">
        <f>_xlfn.XLOOKUP(TableDailySummary[[#This Row],[Fecha]],SummaryDaily[day],SummaryDaily[net_sales],0)</f>
        <v>1924369.76</v>
      </c>
      <c r="E286" s="12">
        <f>_xlfn.XLOOKUP(TableDailySummary[[#This Row],[Fecha]],SummaryDaily[day],SummaryDaily[orders],0)</f>
        <v>15</v>
      </c>
      <c r="F286" s="12">
        <f>_xlfn.XLOOKUP(TableDailySummary[[#This Row],[Fecha]],SummaryDaily[day],SummaryDaily[average_order_value],0)</f>
        <v>128291.317</v>
      </c>
      <c r="G286" s="24">
        <f>_xlfn.XLOOKUP(TableDailySummary[[#This Row],[Fecha]],SummaryDaily[day],SummaryDaily[Total site_conversion_rate],0)</f>
        <v>4.7619047619047616E-2</v>
      </c>
      <c r="H286" s="12">
        <f>TableDailySummary[[#This Row],[Órden promedio totales]]*TableDailySummary[[#This Row],[CR totales]]</f>
        <v>6109.1103333333331</v>
      </c>
      <c r="I286" s="12">
        <f>_xlfn.XLOOKUP(TableDailySummary[[#This Row],[Fecha]],SummaryDaily[day],SummaryDaily[new_net_sales],0)</f>
        <v>1302521.02</v>
      </c>
      <c r="J286" s="12">
        <f>_xlfn.XLOOKUP(TableDailySummary[[#This Row],[Fecha]],SummaryDaily[day],SummaryDaily[new_orders],0)</f>
        <v>9</v>
      </c>
      <c r="K286" s="12">
        <f>_xlfn.XLOOKUP(TableDailySummary[[#This Row],[Fecha]],SummaryDaily[day],SummaryDaily[new_average_order_value],0)</f>
        <v>144724.557</v>
      </c>
      <c r="L286" s="12">
        <f>_xlfn.XLOOKUP(TableDailySummary[[#This Row],[Fecha]],SummaryDaily[day],SummaryDaily[Online Store_net_sales],0)</f>
        <v>1126050.43</v>
      </c>
      <c r="M286" s="12">
        <f>_xlfn.XLOOKUP(TableDailySummary[[#This Row],[Fecha]],SummaryDaily[day],SummaryDaily[Online Store_orders],0)</f>
        <v>7</v>
      </c>
      <c r="N286" s="12">
        <f>_xlfn.XLOOKUP(TableDailySummary[[#This Row],[Fecha]],SummaryDaily[day],SummaryDaily[Online Store_average_order_value],0)</f>
        <v>160864.34700000001</v>
      </c>
      <c r="O286" s="12">
        <f>_xlfn.XLOOKUP(TableDailySummary[[#This Row],[Fecha]],SummaryDaily[day],SummaryDaily[Tienda 81_net_sales],0)</f>
        <v>798319.33</v>
      </c>
      <c r="P286" s="12">
        <f>_xlfn.XLOOKUP(TableDailySummary[[#This Row],[Fecha]],SummaryDaily[day],SummaryDaily[Tienda 81_orders],0)</f>
        <v>8</v>
      </c>
      <c r="Q286" s="12">
        <f>_xlfn.XLOOKUP(TableDailySummary[[#This Row],[Fecha]],SummaryDaily[day],SummaryDaily[Tienda 81_average_order_value],0)</f>
        <v>99789.915999999997</v>
      </c>
      <c r="R286" s="12">
        <f>_xlfn.XLOOKUP(TableDailySummary[[#This Row],[Fecha]],SummaryDaily[day],SummaryDaily[Rappi_net_sales],0)</f>
        <v>0</v>
      </c>
      <c r="S286" s="12">
        <f>_xlfn.XLOOKUP(TableDailySummary[[#This Row],[Fecha]],SummaryDaily[day],SummaryDaily[Rappi_orders],0)</f>
        <v>0</v>
      </c>
      <c r="T286" s="12">
        <f>_xlfn.XLOOKUP(TableDailySummary[[#This Row],[Fecha]],SummaryDaily[day],SummaryDaily[Rappi_average_order_value],0)</f>
        <v>0</v>
      </c>
      <c r="U286" s="12">
        <f>_xlfn.XLOOKUP(TableDailySummary[[#This Row],[Fecha]],SummaryDaily[day],SummaryDaily[Corporativo no tienda_net_sales],0)</f>
        <v>0</v>
      </c>
      <c r="V286" s="12">
        <f>_xlfn.XLOOKUP(TableDailySummary[[#This Row],[Fecha]],SummaryDaily[day],SummaryDaily[Corporativo no tienda_orders],0)</f>
        <v>0</v>
      </c>
      <c r="W286" s="12">
        <f>_xlfn.XLOOKUP(TableDailySummary[[#This Row],[Fecha]],SummaryDaily[day],SummaryDaily[Corporativo no tienda_average_order_value],0)</f>
        <v>0</v>
      </c>
      <c r="X286" s="12">
        <f>_xlfn.XLOOKUP(TableDailySummary[[#This Row],[Fecha]],SummaryDaily[day],SummaryDaily[GoogleAdsOperation.Cost],0)</f>
        <v>31188.35</v>
      </c>
      <c r="Y286" s="12">
        <f>SUMIFS(SalesByUTMDaily[google],SalesByUTMDaily[day],TableDailySummary[[#This Row],[Fecha]])</f>
        <v>268000</v>
      </c>
      <c r="Z286" s="12">
        <f>_xlfn.XLOOKUP(TableDailySummary[[#This Row],[Fecha]],SummaryDaily[day],SummaryDaily[MetaAdsOperation.spend],0)</f>
        <v>50108</v>
      </c>
      <c r="AA286" s="12">
        <f>SUMIFS(SalesByUTMDaily[facebook],SalesByUTMDaily[day],TableDailySummary[[#This Row],[Fecha]])</f>
        <v>0</v>
      </c>
      <c r="AB286" s="12">
        <f>TableDailySummary[[#This Row],[Inversión google ads]]+TableDailySummary[[#This Row],[Inversión meta ads]]</f>
        <v>81296.350000000006</v>
      </c>
      <c r="AC286" s="12">
        <f>TableDailySummary[[#This Row],[Ventas google ads]]+TableDailySummary[[#This Row],[Ventas meta ads]]</f>
        <v>268000</v>
      </c>
      <c r="AD286" s="14">
        <f>IFERROR(TableDailySummary[[#This Row],[Ventas publicidad]]/TableDailySummary[[#This Row],[Inversión publicidad]],0)</f>
        <v>3.2965809658121179</v>
      </c>
      <c r="AE286" s="14">
        <f>IFERROR(TableDailySummary[[#This Row],[Ventas primer cliente]]/TableDailySummary[[#This Row],[Inversión publicidad]],0)</f>
        <v>16.021888067545468</v>
      </c>
      <c r="AF286" s="14"/>
      <c r="AG286" s="12"/>
      <c r="AM286" s="12">
        <f>_xlfn.XLOOKUP(TableDailySummary[[#This Row],[Fecha]],SummaryDaily[day],SummaryDaily[net_sales_with_cost_recorded],0)</f>
        <v>1924369.76</v>
      </c>
      <c r="AN286" s="12">
        <f>_xlfn.XLOOKUP(TableDailySummary[[#This Row],[Fecha]],SummaryDaily[day],SummaryDaily[cost_of_goods_sold],0)</f>
        <v>509380</v>
      </c>
      <c r="AO286" s="12">
        <f>_xlfn.XLOOKUP(TableDailySummary[[#This Row],[Fecha]],SummaryDaily[day],SummaryDaily[gross_profit],0)</f>
        <v>1414989.76</v>
      </c>
      <c r="AP286" s="18">
        <f>IFERROR(TableDailySummary[[#This Row],[Utilidad bruta]]/TableDailySummary[[#This Row],[Ventas netas con costo registrado]],0)</f>
        <v>0.735300351009465</v>
      </c>
    </row>
    <row r="287" spans="2:42" x14ac:dyDescent="0.2">
      <c r="B287" s="15" cm="1">
        <f t="array" ref="B287">MIN(SummaryDaily[day]) + (ROW(TableDailySummary[#This Row]) - ROW(TableDailySummary[[#Headers],[Dia]]) - 1)</f>
        <v>46058</v>
      </c>
      <c r="C287" s="6">
        <f>TableDailySummary[[#This Row],[Dia]]</f>
        <v>46058</v>
      </c>
      <c r="D287" s="12">
        <f>_xlfn.XLOOKUP(TableDailySummary[[#This Row],[Fecha]],SummaryDaily[day],SummaryDaily[net_sales],0)</f>
        <v>2133958</v>
      </c>
      <c r="E287" s="12">
        <f>_xlfn.XLOOKUP(TableDailySummary[[#This Row],[Fecha]],SummaryDaily[day],SummaryDaily[orders],0)</f>
        <v>21</v>
      </c>
      <c r="F287" s="12">
        <f>_xlfn.XLOOKUP(TableDailySummary[[#This Row],[Fecha]],SummaryDaily[day],SummaryDaily[average_order_value],0)</f>
        <v>101617.04700000001</v>
      </c>
      <c r="G287" s="24">
        <f>_xlfn.XLOOKUP(TableDailySummary[[#This Row],[Fecha]],SummaryDaily[day],SummaryDaily[Total site_conversion_rate],0)</f>
        <v>2.0512820512820513E-2</v>
      </c>
      <c r="H287" s="12">
        <f>TableDailySummary[[#This Row],[Órden promedio totales]]*TableDailySummary[[#This Row],[CR totales]]</f>
        <v>2084.4522461538463</v>
      </c>
      <c r="I287" s="12">
        <f>_xlfn.XLOOKUP(TableDailySummary[[#This Row],[Fecha]],SummaryDaily[day],SummaryDaily[new_net_sales],0)</f>
        <v>873949.58</v>
      </c>
      <c r="J287" s="12">
        <f>_xlfn.XLOOKUP(TableDailySummary[[#This Row],[Fecha]],SummaryDaily[day],SummaryDaily[new_orders],0)</f>
        <v>9</v>
      </c>
      <c r="K287" s="12">
        <f>_xlfn.XLOOKUP(TableDailySummary[[#This Row],[Fecha]],SummaryDaily[day],SummaryDaily[new_average_order_value],0)</f>
        <v>97105.508000000002</v>
      </c>
      <c r="L287" s="12">
        <f>_xlfn.XLOOKUP(TableDailySummary[[#This Row],[Fecha]],SummaryDaily[day],SummaryDaily[Online Store_net_sales],0)</f>
        <v>785714.28</v>
      </c>
      <c r="M287" s="12">
        <f>_xlfn.XLOOKUP(TableDailySummary[[#This Row],[Fecha]],SummaryDaily[day],SummaryDaily[Online Store_orders],0)</f>
        <v>4</v>
      </c>
      <c r="N287" s="12">
        <f>_xlfn.XLOOKUP(TableDailySummary[[#This Row],[Fecha]],SummaryDaily[day],SummaryDaily[Online Store_average_order_value],0)</f>
        <v>196428.57</v>
      </c>
      <c r="O287" s="12">
        <f>_xlfn.XLOOKUP(TableDailySummary[[#This Row],[Fecha]],SummaryDaily[day],SummaryDaily[Tienda 81_net_sales],0)</f>
        <v>1348243.72</v>
      </c>
      <c r="P287" s="12">
        <f>_xlfn.XLOOKUP(TableDailySummary[[#This Row],[Fecha]],SummaryDaily[day],SummaryDaily[Tienda 81_orders],0)</f>
        <v>17</v>
      </c>
      <c r="Q287" s="12">
        <f>_xlfn.XLOOKUP(TableDailySummary[[#This Row],[Fecha]],SummaryDaily[day],SummaryDaily[Tienda 81_average_order_value],0)</f>
        <v>79308.453999999998</v>
      </c>
      <c r="R287" s="12">
        <f>_xlfn.XLOOKUP(TableDailySummary[[#This Row],[Fecha]],SummaryDaily[day],SummaryDaily[Rappi_net_sales],0)</f>
        <v>0</v>
      </c>
      <c r="S287" s="12">
        <f>_xlfn.XLOOKUP(TableDailySummary[[#This Row],[Fecha]],SummaryDaily[day],SummaryDaily[Rappi_orders],0)</f>
        <v>0</v>
      </c>
      <c r="T287" s="12">
        <f>_xlfn.XLOOKUP(TableDailySummary[[#This Row],[Fecha]],SummaryDaily[day],SummaryDaily[Rappi_average_order_value],0)</f>
        <v>0</v>
      </c>
      <c r="U287" s="12">
        <f>_xlfn.XLOOKUP(TableDailySummary[[#This Row],[Fecha]],SummaryDaily[day],SummaryDaily[Corporativo no tienda_net_sales],0)</f>
        <v>0</v>
      </c>
      <c r="V287" s="12">
        <f>_xlfn.XLOOKUP(TableDailySummary[[#This Row],[Fecha]],SummaryDaily[day],SummaryDaily[Corporativo no tienda_orders],0)</f>
        <v>0</v>
      </c>
      <c r="W287" s="12">
        <f>_xlfn.XLOOKUP(TableDailySummary[[#This Row],[Fecha]],SummaryDaily[day],SummaryDaily[Corporativo no tienda_average_order_value],0)</f>
        <v>0</v>
      </c>
      <c r="X287" s="12">
        <f>_xlfn.XLOOKUP(TableDailySummary[[#This Row],[Fecha]],SummaryDaily[day],SummaryDaily[GoogleAdsOperation.Cost],0)</f>
        <v>20075.669999999998</v>
      </c>
      <c r="Y287" s="12">
        <f>SUMIFS(SalesByUTMDaily[google],SalesByUTMDaily[day],TableDailySummary[[#This Row],[Fecha]])</f>
        <v>0</v>
      </c>
      <c r="Z287" s="12">
        <f>_xlfn.XLOOKUP(TableDailySummary[[#This Row],[Fecha]],SummaryDaily[day],SummaryDaily[MetaAdsOperation.spend],0)</f>
        <v>47483</v>
      </c>
      <c r="AA287" s="12">
        <f>SUMIFS(SalesByUTMDaily[facebook],SalesByUTMDaily[day],TableDailySummary[[#This Row],[Fecha]])</f>
        <v>0</v>
      </c>
      <c r="AB287" s="12">
        <f>TableDailySummary[[#This Row],[Inversión google ads]]+TableDailySummary[[#This Row],[Inversión meta ads]]</f>
        <v>67558.67</v>
      </c>
      <c r="AC287" s="12">
        <f>TableDailySummary[[#This Row],[Ventas google ads]]+TableDailySummary[[#This Row],[Ventas meta ads]]</f>
        <v>0</v>
      </c>
      <c r="AD287" s="14">
        <f>IFERROR(TableDailySummary[[#This Row],[Ventas publicidad]]/TableDailySummary[[#This Row],[Inversión publicidad]],0)</f>
        <v>0</v>
      </c>
      <c r="AE287" s="14">
        <f>IFERROR(TableDailySummary[[#This Row],[Ventas primer cliente]]/TableDailySummary[[#This Row],[Inversión publicidad]],0)</f>
        <v>12.936157268933801</v>
      </c>
      <c r="AF287" s="14"/>
      <c r="AG287" s="12"/>
      <c r="AM287" s="12">
        <f>_xlfn.XLOOKUP(TableDailySummary[[#This Row],[Fecha]],SummaryDaily[day],SummaryDaily[net_sales_with_cost_recorded],0)</f>
        <v>1993958</v>
      </c>
      <c r="AN287" s="12">
        <f>_xlfn.XLOOKUP(TableDailySummary[[#This Row],[Fecha]],SummaryDaily[day],SummaryDaily[cost_of_goods_sold],0)</f>
        <v>525891</v>
      </c>
      <c r="AO287" s="12">
        <f>_xlfn.XLOOKUP(TableDailySummary[[#This Row],[Fecha]],SummaryDaily[day],SummaryDaily[gross_profit],0)</f>
        <v>1468067</v>
      </c>
      <c r="AP287" s="18">
        <f>IFERROR(TableDailySummary[[#This Row],[Utilidad bruta]]/TableDailySummary[[#This Row],[Ventas netas con costo registrado]],0)</f>
        <v>0.73625773461627575</v>
      </c>
    </row>
    <row r="288" spans="2:42" x14ac:dyDescent="0.2">
      <c r="B288" s="15" cm="1">
        <f t="array" ref="B288">MIN(SummaryDaily[day]) + (ROW(TableDailySummary[#This Row]) - ROW(TableDailySummary[[#Headers],[Dia]]) - 1)</f>
        <v>46059</v>
      </c>
      <c r="C288" s="6">
        <f>TableDailySummary[[#This Row],[Dia]]</f>
        <v>46059</v>
      </c>
      <c r="D288" s="12">
        <f>_xlfn.XLOOKUP(TableDailySummary[[#This Row],[Fecha]],SummaryDaily[day],SummaryDaily[net_sales],0)</f>
        <v>2042277.29</v>
      </c>
      <c r="E288" s="12">
        <f>_xlfn.XLOOKUP(TableDailySummary[[#This Row],[Fecha]],SummaryDaily[day],SummaryDaily[orders],0)</f>
        <v>18</v>
      </c>
      <c r="F288" s="12">
        <f>_xlfn.XLOOKUP(TableDailySummary[[#This Row],[Fecha]],SummaryDaily[day],SummaryDaily[average_order_value],0)</f>
        <v>113459.849</v>
      </c>
      <c r="G288" s="24">
        <f>_xlfn.XLOOKUP(TableDailySummary[[#This Row],[Fecha]],SummaryDaily[day],SummaryDaily[Total site_conversion_rate],0)</f>
        <v>1.7543859649122806E-2</v>
      </c>
      <c r="H288" s="12">
        <f>TableDailySummary[[#This Row],[Órden promedio totales]]*TableDailySummary[[#This Row],[CR totales]]</f>
        <v>1990.5236666666665</v>
      </c>
      <c r="I288" s="12">
        <f>_xlfn.XLOOKUP(TableDailySummary[[#This Row],[Fecha]],SummaryDaily[day],SummaryDaily[new_net_sales],0)</f>
        <v>873949.58</v>
      </c>
      <c r="J288" s="12">
        <f>_xlfn.XLOOKUP(TableDailySummary[[#This Row],[Fecha]],SummaryDaily[day],SummaryDaily[new_orders],0)</f>
        <v>6</v>
      </c>
      <c r="K288" s="12">
        <f>_xlfn.XLOOKUP(TableDailySummary[[#This Row],[Fecha]],SummaryDaily[day],SummaryDaily[new_average_order_value],0)</f>
        <v>145658.26300000001</v>
      </c>
      <c r="L288" s="12">
        <f>_xlfn.XLOOKUP(TableDailySummary[[#This Row],[Fecha]],SummaryDaily[day],SummaryDaily[Online Store_net_sales],0)</f>
        <v>798319.32</v>
      </c>
      <c r="M288" s="12">
        <f>_xlfn.XLOOKUP(TableDailySummary[[#This Row],[Fecha]],SummaryDaily[day],SummaryDaily[Online Store_orders],0)</f>
        <v>5</v>
      </c>
      <c r="N288" s="12">
        <f>_xlfn.XLOOKUP(TableDailySummary[[#This Row],[Fecha]],SummaryDaily[day],SummaryDaily[Online Store_average_order_value],0)</f>
        <v>159663.864</v>
      </c>
      <c r="O288" s="12">
        <f>_xlfn.XLOOKUP(TableDailySummary[[#This Row],[Fecha]],SummaryDaily[day],SummaryDaily[Tienda 81_net_sales],0)</f>
        <v>1243957.97</v>
      </c>
      <c r="P288" s="12">
        <f>_xlfn.XLOOKUP(TableDailySummary[[#This Row],[Fecha]],SummaryDaily[day],SummaryDaily[Tienda 81_orders],0)</f>
        <v>13</v>
      </c>
      <c r="Q288" s="12">
        <f>_xlfn.XLOOKUP(TableDailySummary[[#This Row],[Fecha]],SummaryDaily[day],SummaryDaily[Tienda 81_average_order_value],0)</f>
        <v>95689.073999999993</v>
      </c>
      <c r="R288" s="12">
        <f>_xlfn.XLOOKUP(TableDailySummary[[#This Row],[Fecha]],SummaryDaily[day],SummaryDaily[Rappi_net_sales],0)</f>
        <v>0</v>
      </c>
      <c r="S288" s="12">
        <f>_xlfn.XLOOKUP(TableDailySummary[[#This Row],[Fecha]],SummaryDaily[day],SummaryDaily[Rappi_orders],0)</f>
        <v>0</v>
      </c>
      <c r="T288" s="12">
        <f>_xlfn.XLOOKUP(TableDailySummary[[#This Row],[Fecha]],SummaryDaily[day],SummaryDaily[Rappi_average_order_value],0)</f>
        <v>0</v>
      </c>
      <c r="U288" s="12">
        <f>_xlfn.XLOOKUP(TableDailySummary[[#This Row],[Fecha]],SummaryDaily[day],SummaryDaily[Corporativo no tienda_net_sales],0)</f>
        <v>0</v>
      </c>
      <c r="V288" s="12">
        <f>_xlfn.XLOOKUP(TableDailySummary[[#This Row],[Fecha]],SummaryDaily[day],SummaryDaily[Corporativo no tienda_orders],0)</f>
        <v>0</v>
      </c>
      <c r="W288" s="12">
        <f>_xlfn.XLOOKUP(TableDailySummary[[#This Row],[Fecha]],SummaryDaily[day],SummaryDaily[Corporativo no tienda_average_order_value],0)</f>
        <v>0</v>
      </c>
      <c r="X288" s="12">
        <f>_xlfn.XLOOKUP(TableDailySummary[[#This Row],[Fecha]],SummaryDaily[day],SummaryDaily[GoogleAdsOperation.Cost],0)</f>
        <v>32712.46</v>
      </c>
      <c r="Y288" s="12">
        <f>SUMIFS(SalesByUTMDaily[google],SalesByUTMDaily[day],TableDailySummary[[#This Row],[Fecha]])</f>
        <v>0</v>
      </c>
      <c r="Z288" s="12">
        <f>_xlfn.XLOOKUP(TableDailySummary[[#This Row],[Fecha]],SummaryDaily[day],SummaryDaily[MetaAdsOperation.spend],0)</f>
        <v>52459</v>
      </c>
      <c r="AA288" s="12">
        <f>SUMIFS(SalesByUTMDaily[facebook],SalesByUTMDaily[day],TableDailySummary[[#This Row],[Fecha]])</f>
        <v>0</v>
      </c>
      <c r="AB288" s="12">
        <f>TableDailySummary[[#This Row],[Inversión google ads]]+TableDailySummary[[#This Row],[Inversión meta ads]]</f>
        <v>85171.459999999992</v>
      </c>
      <c r="AC288" s="12">
        <f>TableDailySummary[[#This Row],[Ventas google ads]]+TableDailySummary[[#This Row],[Ventas meta ads]]</f>
        <v>0</v>
      </c>
      <c r="AD288" s="14">
        <f>IFERROR(TableDailySummary[[#This Row],[Ventas publicidad]]/TableDailySummary[[#This Row],[Inversión publicidad]],0)</f>
        <v>0</v>
      </c>
      <c r="AE288" s="14">
        <f>IFERROR(TableDailySummary[[#This Row],[Ventas primer cliente]]/TableDailySummary[[#This Row],[Inversión publicidad]],0)</f>
        <v>10.261061393100459</v>
      </c>
      <c r="AF288" s="14"/>
      <c r="AG288" s="12"/>
      <c r="AM288" s="12">
        <f>_xlfn.XLOOKUP(TableDailySummary[[#This Row],[Fecha]],SummaryDaily[day],SummaryDaily[net_sales_with_cost_recorded],0)</f>
        <v>1996058.8</v>
      </c>
      <c r="AN288" s="12">
        <f>_xlfn.XLOOKUP(TableDailySummary[[#This Row],[Fecha]],SummaryDaily[day],SummaryDaily[cost_of_goods_sold],0)</f>
        <v>491791</v>
      </c>
      <c r="AO288" s="12">
        <f>_xlfn.XLOOKUP(TableDailySummary[[#This Row],[Fecha]],SummaryDaily[day],SummaryDaily[gross_profit],0)</f>
        <v>1504267.8</v>
      </c>
      <c r="AP288" s="18">
        <f>IFERROR(TableDailySummary[[#This Row],[Utilidad bruta]]/TableDailySummary[[#This Row],[Ventas netas con costo registrado]],0)</f>
        <v>0.75361898156507212</v>
      </c>
    </row>
    <row r="289" spans="2:42" x14ac:dyDescent="0.2">
      <c r="B289" s="15" cm="1">
        <f t="array" ref="B289">MIN(SummaryDaily[day]) + (ROW(TableDailySummary[#This Row]) - ROW(TableDailySummary[[#Headers],[Dia]]) - 1)</f>
        <v>46060</v>
      </c>
      <c r="C289" s="6">
        <f>TableDailySummary[[#This Row],[Dia]]</f>
        <v>46060</v>
      </c>
      <c r="D289" s="12">
        <f>_xlfn.XLOOKUP(TableDailySummary[[#This Row],[Fecha]],SummaryDaily[day],SummaryDaily[net_sales],0)</f>
        <v>1902941.18</v>
      </c>
      <c r="E289" s="12">
        <f>_xlfn.XLOOKUP(TableDailySummary[[#This Row],[Fecha]],SummaryDaily[day],SummaryDaily[orders],0)</f>
        <v>16</v>
      </c>
      <c r="F289" s="12">
        <f>_xlfn.XLOOKUP(TableDailySummary[[#This Row],[Fecha]],SummaryDaily[day],SummaryDaily[average_order_value],0)</f>
        <v>118933.823</v>
      </c>
      <c r="G289" s="24">
        <f>_xlfn.XLOOKUP(TableDailySummary[[#This Row],[Fecha]],SummaryDaily[day],SummaryDaily[Total site_conversion_rate],0)</f>
        <v>1.7142857142857144E-2</v>
      </c>
      <c r="H289" s="12">
        <f>TableDailySummary[[#This Row],[Órden promedio totales]]*TableDailySummary[[#This Row],[CR totales]]</f>
        <v>2038.8655371428574</v>
      </c>
      <c r="I289" s="12">
        <f>_xlfn.XLOOKUP(TableDailySummary[[#This Row],[Fecha]],SummaryDaily[day],SummaryDaily[new_net_sales],0)</f>
        <v>512605.04</v>
      </c>
      <c r="J289" s="12">
        <f>_xlfn.XLOOKUP(TableDailySummary[[#This Row],[Fecha]],SummaryDaily[day],SummaryDaily[new_orders],0)</f>
        <v>5</v>
      </c>
      <c r="K289" s="12">
        <f>_xlfn.XLOOKUP(TableDailySummary[[#This Row],[Fecha]],SummaryDaily[day],SummaryDaily[new_average_order_value],0)</f>
        <v>102521.008</v>
      </c>
      <c r="L289" s="12">
        <f>_xlfn.XLOOKUP(TableDailySummary[[#This Row],[Fecha]],SummaryDaily[day],SummaryDaily[Online Store_net_sales],0)</f>
        <v>394957.98</v>
      </c>
      <c r="M289" s="12">
        <f>_xlfn.XLOOKUP(TableDailySummary[[#This Row],[Fecha]],SummaryDaily[day],SummaryDaily[Online Store_orders],0)</f>
        <v>3</v>
      </c>
      <c r="N289" s="12">
        <f>_xlfn.XLOOKUP(TableDailySummary[[#This Row],[Fecha]],SummaryDaily[day],SummaryDaily[Online Store_average_order_value],0)</f>
        <v>131652.66</v>
      </c>
      <c r="O289" s="12">
        <f>_xlfn.XLOOKUP(TableDailySummary[[#This Row],[Fecha]],SummaryDaily[day],SummaryDaily[Tienda 81_net_sales],0)</f>
        <v>1507983.2</v>
      </c>
      <c r="P289" s="12">
        <f>_xlfn.XLOOKUP(TableDailySummary[[#This Row],[Fecha]],SummaryDaily[day],SummaryDaily[Tienda 81_orders],0)</f>
        <v>13</v>
      </c>
      <c r="Q289" s="12">
        <f>_xlfn.XLOOKUP(TableDailySummary[[#This Row],[Fecha]],SummaryDaily[day],SummaryDaily[Tienda 81_average_order_value],0)</f>
        <v>115998.70699999999</v>
      </c>
      <c r="R289" s="12">
        <f>_xlfn.XLOOKUP(TableDailySummary[[#This Row],[Fecha]],SummaryDaily[day],SummaryDaily[Rappi_net_sales],0)</f>
        <v>0</v>
      </c>
      <c r="S289" s="12">
        <f>_xlfn.XLOOKUP(TableDailySummary[[#This Row],[Fecha]],SummaryDaily[day],SummaryDaily[Rappi_orders],0)</f>
        <v>0</v>
      </c>
      <c r="T289" s="12">
        <f>_xlfn.XLOOKUP(TableDailySummary[[#This Row],[Fecha]],SummaryDaily[day],SummaryDaily[Rappi_average_order_value],0)</f>
        <v>0</v>
      </c>
      <c r="U289" s="12">
        <f>_xlfn.XLOOKUP(TableDailySummary[[#This Row],[Fecha]],SummaryDaily[day],SummaryDaily[Corporativo no tienda_net_sales],0)</f>
        <v>0</v>
      </c>
      <c r="V289" s="12">
        <f>_xlfn.XLOOKUP(TableDailySummary[[#This Row],[Fecha]],SummaryDaily[day],SummaryDaily[Corporativo no tienda_orders],0)</f>
        <v>0</v>
      </c>
      <c r="W289" s="12">
        <f>_xlfn.XLOOKUP(TableDailySummary[[#This Row],[Fecha]],SummaryDaily[day],SummaryDaily[Corporativo no tienda_average_order_value],0)</f>
        <v>0</v>
      </c>
      <c r="X289" s="12">
        <f>_xlfn.XLOOKUP(TableDailySummary[[#This Row],[Fecha]],SummaryDaily[day],SummaryDaily[GoogleAdsOperation.Cost],0)</f>
        <v>22324.76</v>
      </c>
      <c r="Y289" s="12">
        <f>SUMIFS(SalesByUTMDaily[google],SalesByUTMDaily[day],TableDailySummary[[#This Row],[Fecha]])</f>
        <v>0</v>
      </c>
      <c r="Z289" s="12">
        <f>_xlfn.XLOOKUP(TableDailySummary[[#This Row],[Fecha]],SummaryDaily[day],SummaryDaily[MetaAdsOperation.spend],0)</f>
        <v>49917</v>
      </c>
      <c r="AA289" s="12">
        <f>SUMIFS(SalesByUTMDaily[facebook],SalesByUTMDaily[day],TableDailySummary[[#This Row],[Fecha]])</f>
        <v>0</v>
      </c>
      <c r="AB289" s="12">
        <f>TableDailySummary[[#This Row],[Inversión google ads]]+TableDailySummary[[#This Row],[Inversión meta ads]]</f>
        <v>72241.759999999995</v>
      </c>
      <c r="AC289" s="12">
        <f>TableDailySummary[[#This Row],[Ventas google ads]]+TableDailySummary[[#This Row],[Ventas meta ads]]</f>
        <v>0</v>
      </c>
      <c r="AD289" s="14">
        <f>IFERROR(TableDailySummary[[#This Row],[Ventas publicidad]]/TableDailySummary[[#This Row],[Inversión publicidad]],0)</f>
        <v>0</v>
      </c>
      <c r="AE289" s="14">
        <f>IFERROR(TableDailySummary[[#This Row],[Ventas primer cliente]]/TableDailySummary[[#This Row],[Inversión publicidad]],0)</f>
        <v>7.0956886986142091</v>
      </c>
      <c r="AF289" s="14"/>
      <c r="AG289" s="12"/>
      <c r="AM289" s="12">
        <f>_xlfn.XLOOKUP(TableDailySummary[[#This Row],[Fecha]],SummaryDaily[day],SummaryDaily[net_sales_with_cost_recorded],0)</f>
        <v>1902941.18</v>
      </c>
      <c r="AN289" s="12">
        <f>_xlfn.XLOOKUP(TableDailySummary[[#This Row],[Fecha]],SummaryDaily[day],SummaryDaily[cost_of_goods_sold],0)</f>
        <v>471929</v>
      </c>
      <c r="AO289" s="12">
        <f>_xlfn.XLOOKUP(TableDailySummary[[#This Row],[Fecha]],SummaryDaily[day],SummaryDaily[gross_profit],0)</f>
        <v>1431012.18</v>
      </c>
      <c r="AP289" s="18">
        <f>IFERROR(TableDailySummary[[#This Row],[Utilidad bruta]]/TableDailySummary[[#This Row],[Ventas netas con costo registrado]],0)</f>
        <v>0.75200021684327623</v>
      </c>
    </row>
    <row r="290" spans="2:42" x14ac:dyDescent="0.2">
      <c r="B290" s="15" cm="1">
        <f t="array" ref="B290">MIN(SummaryDaily[day]) + (ROW(TableDailySummary[#This Row]) - ROW(TableDailySummary[[#Headers],[Dia]]) - 1)</f>
        <v>46061</v>
      </c>
      <c r="C290" s="6">
        <f>TableDailySummary[[#This Row],[Dia]]</f>
        <v>46061</v>
      </c>
      <c r="D290" s="12">
        <f>_xlfn.XLOOKUP(TableDailySummary[[#This Row],[Fecha]],SummaryDaily[day],SummaryDaily[net_sales],0)</f>
        <v>226890.76</v>
      </c>
      <c r="E290" s="12">
        <f>_xlfn.XLOOKUP(TableDailySummary[[#This Row],[Fecha]],SummaryDaily[day],SummaryDaily[orders],0)</f>
        <v>3</v>
      </c>
      <c r="F290" s="12">
        <f>_xlfn.XLOOKUP(TableDailySummary[[#This Row],[Fecha]],SummaryDaily[day],SummaryDaily[average_order_value],0)</f>
        <v>75630.252999999997</v>
      </c>
      <c r="G290" s="24">
        <f>_xlfn.XLOOKUP(TableDailySummary[[#This Row],[Fecha]],SummaryDaily[day],SummaryDaily[Total site_conversion_rate],0)</f>
        <v>1.7241379310344827E-2</v>
      </c>
      <c r="H290" s="12">
        <f>TableDailySummary[[#This Row],[Órden promedio totales]]*TableDailySummary[[#This Row],[CR totales]]</f>
        <v>1303.9698793103448</v>
      </c>
      <c r="I290" s="12">
        <f>_xlfn.XLOOKUP(TableDailySummary[[#This Row],[Fecha]],SummaryDaily[day],SummaryDaily[new_net_sales],0)</f>
        <v>0</v>
      </c>
      <c r="J290" s="12">
        <f>_xlfn.XLOOKUP(TableDailySummary[[#This Row],[Fecha]],SummaryDaily[day],SummaryDaily[new_orders],0)</f>
        <v>0</v>
      </c>
      <c r="K290" s="12">
        <f>_xlfn.XLOOKUP(TableDailySummary[[#This Row],[Fecha]],SummaryDaily[day],SummaryDaily[new_average_order_value],0)</f>
        <v>0</v>
      </c>
      <c r="L290" s="12">
        <f>_xlfn.XLOOKUP(TableDailySummary[[#This Row],[Fecha]],SummaryDaily[day],SummaryDaily[Online Store_net_sales],0)</f>
        <v>226890.76</v>
      </c>
      <c r="M290" s="12">
        <f>_xlfn.XLOOKUP(TableDailySummary[[#This Row],[Fecha]],SummaryDaily[day],SummaryDaily[Online Store_orders],0)</f>
        <v>3</v>
      </c>
      <c r="N290" s="12">
        <f>_xlfn.XLOOKUP(TableDailySummary[[#This Row],[Fecha]],SummaryDaily[day],SummaryDaily[Online Store_average_order_value],0)</f>
        <v>75630.252999999997</v>
      </c>
      <c r="O290" s="12">
        <f>_xlfn.XLOOKUP(TableDailySummary[[#This Row],[Fecha]],SummaryDaily[day],SummaryDaily[Tienda 81_net_sales],0)</f>
        <v>0</v>
      </c>
      <c r="P290" s="12">
        <f>_xlfn.XLOOKUP(TableDailySummary[[#This Row],[Fecha]],SummaryDaily[day],SummaryDaily[Tienda 81_orders],0)</f>
        <v>0</v>
      </c>
      <c r="Q290" s="12">
        <f>_xlfn.XLOOKUP(TableDailySummary[[#This Row],[Fecha]],SummaryDaily[day],SummaryDaily[Tienda 81_average_order_value],0)</f>
        <v>0</v>
      </c>
      <c r="R290" s="12">
        <f>_xlfn.XLOOKUP(TableDailySummary[[#This Row],[Fecha]],SummaryDaily[day],SummaryDaily[Rappi_net_sales],0)</f>
        <v>0</v>
      </c>
      <c r="S290" s="12">
        <f>_xlfn.XLOOKUP(TableDailySummary[[#This Row],[Fecha]],SummaryDaily[day],SummaryDaily[Rappi_orders],0)</f>
        <v>0</v>
      </c>
      <c r="T290" s="12">
        <f>_xlfn.XLOOKUP(TableDailySummary[[#This Row],[Fecha]],SummaryDaily[day],SummaryDaily[Rappi_average_order_value],0)</f>
        <v>0</v>
      </c>
      <c r="U290" s="12">
        <f>_xlfn.XLOOKUP(TableDailySummary[[#This Row],[Fecha]],SummaryDaily[day],SummaryDaily[Corporativo no tienda_net_sales],0)</f>
        <v>0</v>
      </c>
      <c r="V290" s="12">
        <f>_xlfn.XLOOKUP(TableDailySummary[[#This Row],[Fecha]],SummaryDaily[day],SummaryDaily[Corporativo no tienda_orders],0)</f>
        <v>0</v>
      </c>
      <c r="W290" s="12">
        <f>_xlfn.XLOOKUP(TableDailySummary[[#This Row],[Fecha]],SummaryDaily[day],SummaryDaily[Corporativo no tienda_average_order_value],0)</f>
        <v>0</v>
      </c>
      <c r="X290" s="12">
        <f>_xlfn.XLOOKUP(TableDailySummary[[#This Row],[Fecha]],SummaryDaily[day],SummaryDaily[GoogleAdsOperation.Cost],0)</f>
        <v>22046.48</v>
      </c>
      <c r="Y290" s="12">
        <f>SUMIFS(SalesByUTMDaily[google],SalesByUTMDaily[day],TableDailySummary[[#This Row],[Fecha]])</f>
        <v>91000</v>
      </c>
      <c r="Z290" s="12">
        <f>_xlfn.XLOOKUP(TableDailySummary[[#This Row],[Fecha]],SummaryDaily[day],SummaryDaily[MetaAdsOperation.spend],0)</f>
        <v>53919</v>
      </c>
      <c r="AA290" s="12">
        <f>SUMIFS(SalesByUTMDaily[facebook],SalesByUTMDaily[day],TableDailySummary[[#This Row],[Fecha]])</f>
        <v>0</v>
      </c>
      <c r="AB290" s="12">
        <f>TableDailySummary[[#This Row],[Inversión google ads]]+TableDailySummary[[#This Row],[Inversión meta ads]]</f>
        <v>75965.48</v>
      </c>
      <c r="AC290" s="12">
        <f>TableDailySummary[[#This Row],[Ventas google ads]]+TableDailySummary[[#This Row],[Ventas meta ads]]</f>
        <v>91000</v>
      </c>
      <c r="AD290" s="14">
        <f>IFERROR(TableDailySummary[[#This Row],[Ventas publicidad]]/TableDailySummary[[#This Row],[Inversión publicidad]],0)</f>
        <v>1.1979125255313334</v>
      </c>
      <c r="AE290" s="14">
        <f>IFERROR(TableDailySummary[[#This Row],[Ventas primer cliente]]/TableDailySummary[[#This Row],[Inversión publicidad]],0)</f>
        <v>0</v>
      </c>
      <c r="AF290" s="14"/>
      <c r="AG290" s="12"/>
      <c r="AM290" s="12">
        <f>_xlfn.XLOOKUP(TableDailySummary[[#This Row],[Fecha]],SummaryDaily[day],SummaryDaily[net_sales_with_cost_recorded],0)</f>
        <v>226890.76</v>
      </c>
      <c r="AN290" s="12">
        <f>_xlfn.XLOOKUP(TableDailySummary[[#This Row],[Fecha]],SummaryDaily[day],SummaryDaily[cost_of_goods_sold],0)</f>
        <v>67098</v>
      </c>
      <c r="AO290" s="12">
        <f>_xlfn.XLOOKUP(TableDailySummary[[#This Row],[Fecha]],SummaryDaily[day],SummaryDaily[gross_profit],0)</f>
        <v>159792.76</v>
      </c>
      <c r="AP290" s="18">
        <f>IFERROR(TableDailySummary[[#This Row],[Utilidad bruta]]/TableDailySummary[[#This Row],[Ventas netas con costo registrado]],0)</f>
        <v>0.70427178259705248</v>
      </c>
    </row>
    <row r="291" spans="2:42" x14ac:dyDescent="0.2">
      <c r="B291" s="15" cm="1">
        <f t="array" ref="B291">MIN(SummaryDaily[day]) + (ROW(TableDailySummary[#This Row]) - ROW(TableDailySummary[[#Headers],[Dia]]) - 1)</f>
        <v>46062</v>
      </c>
      <c r="C291" s="6">
        <f>TableDailySummary[[#This Row],[Dia]]</f>
        <v>46062</v>
      </c>
      <c r="D291" s="12">
        <f>_xlfn.XLOOKUP(TableDailySummary[[#This Row],[Fecha]],SummaryDaily[day],SummaryDaily[net_sales],0)</f>
        <v>1989915.98</v>
      </c>
      <c r="E291" s="12">
        <f>_xlfn.XLOOKUP(TableDailySummary[[#This Row],[Fecha]],SummaryDaily[day],SummaryDaily[orders],0)</f>
        <v>18</v>
      </c>
      <c r="F291" s="12">
        <f>_xlfn.XLOOKUP(TableDailySummary[[#This Row],[Fecha]],SummaryDaily[day],SummaryDaily[average_order_value],0)</f>
        <v>110550.887</v>
      </c>
      <c r="G291" s="24">
        <f>_xlfn.XLOOKUP(TableDailySummary[[#This Row],[Fecha]],SummaryDaily[day],SummaryDaily[Total site_conversion_rate],0)</f>
        <v>3.3707865168539325E-2</v>
      </c>
      <c r="H291" s="12">
        <f>TableDailySummary[[#This Row],[Órden promedio totales]]*TableDailySummary[[#This Row],[CR totales]]</f>
        <v>3726.434393258427</v>
      </c>
      <c r="I291" s="12">
        <f>_xlfn.XLOOKUP(TableDailySummary[[#This Row],[Fecha]],SummaryDaily[day],SummaryDaily[new_net_sales],0)</f>
        <v>1149579.8400000001</v>
      </c>
      <c r="J291" s="12">
        <f>_xlfn.XLOOKUP(TableDailySummary[[#This Row],[Fecha]],SummaryDaily[day],SummaryDaily[new_orders],0)</f>
        <v>10</v>
      </c>
      <c r="K291" s="12">
        <f>_xlfn.XLOOKUP(TableDailySummary[[#This Row],[Fecha]],SummaryDaily[day],SummaryDaily[new_average_order_value],0)</f>
        <v>114957.984</v>
      </c>
      <c r="L291" s="12">
        <f>_xlfn.XLOOKUP(TableDailySummary[[#This Row],[Fecha]],SummaryDaily[day],SummaryDaily[Online Store_net_sales],0)</f>
        <v>592436.98</v>
      </c>
      <c r="M291" s="12">
        <f>_xlfn.XLOOKUP(TableDailySummary[[#This Row],[Fecha]],SummaryDaily[day],SummaryDaily[Online Store_orders],0)</f>
        <v>6</v>
      </c>
      <c r="N291" s="12">
        <f>_xlfn.XLOOKUP(TableDailySummary[[#This Row],[Fecha]],SummaryDaily[day],SummaryDaily[Online Store_average_order_value],0)</f>
        <v>98739.495999999999</v>
      </c>
      <c r="O291" s="12">
        <f>_xlfn.XLOOKUP(TableDailySummary[[#This Row],[Fecha]],SummaryDaily[day],SummaryDaily[Tienda 81_net_sales],0)</f>
        <v>1397479</v>
      </c>
      <c r="P291" s="12">
        <f>_xlfn.XLOOKUP(TableDailySummary[[#This Row],[Fecha]],SummaryDaily[day],SummaryDaily[Tienda 81_orders],0)</f>
        <v>12</v>
      </c>
      <c r="Q291" s="12">
        <f>_xlfn.XLOOKUP(TableDailySummary[[#This Row],[Fecha]],SummaryDaily[day],SummaryDaily[Tienda 81_average_order_value],0)</f>
        <v>116456.583</v>
      </c>
      <c r="R291" s="12">
        <f>_xlfn.XLOOKUP(TableDailySummary[[#This Row],[Fecha]],SummaryDaily[day],SummaryDaily[Rappi_net_sales],0)</f>
        <v>0</v>
      </c>
      <c r="S291" s="12">
        <f>_xlfn.XLOOKUP(TableDailySummary[[#This Row],[Fecha]],SummaryDaily[day],SummaryDaily[Rappi_orders],0)</f>
        <v>0</v>
      </c>
      <c r="T291" s="12">
        <f>_xlfn.XLOOKUP(TableDailySummary[[#This Row],[Fecha]],SummaryDaily[day],SummaryDaily[Rappi_average_order_value],0)</f>
        <v>0</v>
      </c>
      <c r="U291" s="12">
        <f>_xlfn.XLOOKUP(TableDailySummary[[#This Row],[Fecha]],SummaryDaily[day],SummaryDaily[Corporativo no tienda_net_sales],0)</f>
        <v>0</v>
      </c>
      <c r="V291" s="12">
        <f>_xlfn.XLOOKUP(TableDailySummary[[#This Row],[Fecha]],SummaryDaily[day],SummaryDaily[Corporativo no tienda_orders],0)</f>
        <v>0</v>
      </c>
      <c r="W291" s="12">
        <f>_xlfn.XLOOKUP(TableDailySummary[[#This Row],[Fecha]],SummaryDaily[day],SummaryDaily[Corporativo no tienda_average_order_value],0)</f>
        <v>0</v>
      </c>
      <c r="X291" s="12">
        <f>_xlfn.XLOOKUP(TableDailySummary[[#This Row],[Fecha]],SummaryDaily[day],SummaryDaily[GoogleAdsOperation.Cost],0)</f>
        <v>24583.08</v>
      </c>
      <c r="Y291" s="12">
        <f>SUMIFS(SalesByUTMDaily[google],SalesByUTMDaily[day],TableDailySummary[[#This Row],[Fecha]])</f>
        <v>368000</v>
      </c>
      <c r="Z291" s="12">
        <f>_xlfn.XLOOKUP(TableDailySummary[[#This Row],[Fecha]],SummaryDaily[day],SummaryDaily[MetaAdsOperation.spend],0)</f>
        <v>51836</v>
      </c>
      <c r="AA291" s="12">
        <f>SUMIFS(SalesByUTMDaily[facebook],SalesByUTMDaily[day],TableDailySummary[[#This Row],[Fecha]])</f>
        <v>0</v>
      </c>
      <c r="AB291" s="12">
        <f>TableDailySummary[[#This Row],[Inversión google ads]]+TableDailySummary[[#This Row],[Inversión meta ads]]</f>
        <v>76419.08</v>
      </c>
      <c r="AC291" s="12">
        <f>TableDailySummary[[#This Row],[Ventas google ads]]+TableDailySummary[[#This Row],[Ventas meta ads]]</f>
        <v>368000</v>
      </c>
      <c r="AD291" s="14">
        <f>IFERROR(TableDailySummary[[#This Row],[Ventas publicidad]]/TableDailySummary[[#This Row],[Inversión publicidad]],0)</f>
        <v>4.8155512994922214</v>
      </c>
      <c r="AE291" s="14">
        <f>IFERROR(TableDailySummary[[#This Row],[Ventas primer cliente]]/TableDailySummary[[#This Row],[Inversión publicidad]],0)</f>
        <v>15.043099707559945</v>
      </c>
      <c r="AF291" s="14"/>
      <c r="AG291" s="12"/>
      <c r="AM291" s="12">
        <f>_xlfn.XLOOKUP(TableDailySummary[[#This Row],[Fecha]],SummaryDaily[day],SummaryDaily[net_sales_with_cost_recorded],0)</f>
        <v>1989915.98</v>
      </c>
      <c r="AN291" s="12">
        <f>_xlfn.XLOOKUP(TableDailySummary[[#This Row],[Fecha]],SummaryDaily[day],SummaryDaily[cost_of_goods_sold],0)</f>
        <v>518108</v>
      </c>
      <c r="AO291" s="12">
        <f>_xlfn.XLOOKUP(TableDailySummary[[#This Row],[Fecha]],SummaryDaily[day],SummaryDaily[gross_profit],0)</f>
        <v>1471807.98</v>
      </c>
      <c r="AP291" s="18">
        <f>IFERROR(TableDailySummary[[#This Row],[Utilidad bruta]]/TableDailySummary[[#This Row],[Ventas netas con costo registrado]],0)</f>
        <v>0.7396332281325767</v>
      </c>
    </row>
    <row r="292" spans="2:42" x14ac:dyDescent="0.2">
      <c r="B292" s="15" cm="1">
        <f t="array" ref="B292">MIN(SummaryDaily[day]) + (ROW(TableDailySummary[#This Row]) - ROW(TableDailySummary[[#Headers],[Dia]]) - 1)</f>
        <v>46063</v>
      </c>
      <c r="C292" s="6">
        <f>TableDailySummary[[#This Row],[Dia]]</f>
        <v>46063</v>
      </c>
      <c r="D292" s="12">
        <f>_xlfn.XLOOKUP(TableDailySummary[[#This Row],[Fecha]],SummaryDaily[day],SummaryDaily[net_sales],0)</f>
        <v>2683613.4500000002</v>
      </c>
      <c r="E292" s="12">
        <f>_xlfn.XLOOKUP(TableDailySummary[[#This Row],[Fecha]],SummaryDaily[day],SummaryDaily[orders],0)</f>
        <v>19</v>
      </c>
      <c r="F292" s="12">
        <f>_xlfn.XLOOKUP(TableDailySummary[[#This Row],[Fecha]],SummaryDaily[day],SummaryDaily[average_order_value],0)</f>
        <v>141242.81299999999</v>
      </c>
      <c r="G292" s="24">
        <f>_xlfn.XLOOKUP(TableDailySummary[[#This Row],[Fecha]],SummaryDaily[day],SummaryDaily[Total site_conversion_rate],0)</f>
        <v>2.4844720496894408E-2</v>
      </c>
      <c r="H292" s="12">
        <f>TableDailySummary[[#This Row],[Órden promedio totales]]*TableDailySummary[[#This Row],[CR totales]]</f>
        <v>3509.138211180124</v>
      </c>
      <c r="I292" s="12">
        <f>_xlfn.XLOOKUP(TableDailySummary[[#This Row],[Fecha]],SummaryDaily[day],SummaryDaily[new_net_sales],0)</f>
        <v>584033.61</v>
      </c>
      <c r="J292" s="12">
        <f>_xlfn.XLOOKUP(TableDailySummary[[#This Row],[Fecha]],SummaryDaily[day],SummaryDaily[new_orders],0)</f>
        <v>4</v>
      </c>
      <c r="K292" s="12">
        <f>_xlfn.XLOOKUP(TableDailySummary[[#This Row],[Fecha]],SummaryDaily[day],SummaryDaily[new_average_order_value],0)</f>
        <v>146008.402</v>
      </c>
      <c r="L292" s="12">
        <f>_xlfn.XLOOKUP(TableDailySummary[[#This Row],[Fecha]],SummaryDaily[day],SummaryDaily[Online Store_net_sales],0)</f>
        <v>344537.81</v>
      </c>
      <c r="M292" s="12">
        <f>_xlfn.XLOOKUP(TableDailySummary[[#This Row],[Fecha]],SummaryDaily[day],SummaryDaily[Online Store_orders],0)</f>
        <v>3</v>
      </c>
      <c r="N292" s="12">
        <f>_xlfn.XLOOKUP(TableDailySummary[[#This Row],[Fecha]],SummaryDaily[day],SummaryDaily[Online Store_average_order_value],0)</f>
        <v>114845.936</v>
      </c>
      <c r="O292" s="12">
        <f>_xlfn.XLOOKUP(TableDailySummary[[#This Row],[Fecha]],SummaryDaily[day],SummaryDaily[Tienda 81_net_sales],0)</f>
        <v>2339075.64</v>
      </c>
      <c r="P292" s="12">
        <f>_xlfn.XLOOKUP(TableDailySummary[[#This Row],[Fecha]],SummaryDaily[day],SummaryDaily[Tienda 81_orders],0)</f>
        <v>16</v>
      </c>
      <c r="Q292" s="12">
        <f>_xlfn.XLOOKUP(TableDailySummary[[#This Row],[Fecha]],SummaryDaily[day],SummaryDaily[Tienda 81_average_order_value],0)</f>
        <v>146192.22700000001</v>
      </c>
      <c r="R292" s="12">
        <f>_xlfn.XLOOKUP(TableDailySummary[[#This Row],[Fecha]],SummaryDaily[day],SummaryDaily[Rappi_net_sales],0)</f>
        <v>0</v>
      </c>
      <c r="S292" s="12">
        <f>_xlfn.XLOOKUP(TableDailySummary[[#This Row],[Fecha]],SummaryDaily[day],SummaryDaily[Rappi_orders],0)</f>
        <v>0</v>
      </c>
      <c r="T292" s="12">
        <f>_xlfn.XLOOKUP(TableDailySummary[[#This Row],[Fecha]],SummaryDaily[day],SummaryDaily[Rappi_average_order_value],0)</f>
        <v>0</v>
      </c>
      <c r="U292" s="12">
        <f>_xlfn.XLOOKUP(TableDailySummary[[#This Row],[Fecha]],SummaryDaily[day],SummaryDaily[Corporativo no tienda_net_sales],0)</f>
        <v>0</v>
      </c>
      <c r="V292" s="12">
        <f>_xlfn.XLOOKUP(TableDailySummary[[#This Row],[Fecha]],SummaryDaily[day],SummaryDaily[Corporativo no tienda_orders],0)</f>
        <v>0</v>
      </c>
      <c r="W292" s="12">
        <f>_xlfn.XLOOKUP(TableDailySummary[[#This Row],[Fecha]],SummaryDaily[day],SummaryDaily[Corporativo no tienda_average_order_value],0)</f>
        <v>0</v>
      </c>
      <c r="X292" s="12">
        <f>_xlfn.XLOOKUP(TableDailySummary[[#This Row],[Fecha]],SummaryDaily[day],SummaryDaily[GoogleAdsOperation.Cost],0)</f>
        <v>23433.55</v>
      </c>
      <c r="Y292" s="12">
        <f>SUMIFS(SalesByUTMDaily[google],SalesByUTMDaily[day],TableDailySummary[[#This Row],[Fecha]])</f>
        <v>252000</v>
      </c>
      <c r="Z292" s="12">
        <f>_xlfn.XLOOKUP(TableDailySummary[[#This Row],[Fecha]],SummaryDaily[day],SummaryDaily[MetaAdsOperation.spend],0)</f>
        <v>52150</v>
      </c>
      <c r="AA292" s="12">
        <f>SUMIFS(SalesByUTMDaily[facebook],SalesByUTMDaily[day],TableDailySummary[[#This Row],[Fecha]])</f>
        <v>0</v>
      </c>
      <c r="AB292" s="12">
        <f>TableDailySummary[[#This Row],[Inversión google ads]]+TableDailySummary[[#This Row],[Inversión meta ads]]</f>
        <v>75583.55</v>
      </c>
      <c r="AC292" s="12">
        <f>TableDailySummary[[#This Row],[Ventas google ads]]+TableDailySummary[[#This Row],[Ventas meta ads]]</f>
        <v>252000</v>
      </c>
      <c r="AD292" s="14">
        <f>IFERROR(TableDailySummary[[#This Row],[Ventas publicidad]]/TableDailySummary[[#This Row],[Inversión publicidad]],0)</f>
        <v>3.3340587998314448</v>
      </c>
      <c r="AE292" s="14">
        <f>IFERROR(TableDailySummary[[#This Row],[Ventas primer cliente]]/TableDailySummary[[#This Row],[Inversión publicidad]],0)</f>
        <v>7.7269936381659763</v>
      </c>
      <c r="AF292" s="14"/>
      <c r="AG292" s="12"/>
      <c r="AM292" s="12">
        <f>_xlfn.XLOOKUP(TableDailySummary[[#This Row],[Fecha]],SummaryDaily[day],SummaryDaily[net_sales_with_cost_recorded],0)</f>
        <v>2518067.23</v>
      </c>
      <c r="AN292" s="12">
        <f>_xlfn.XLOOKUP(TableDailySummary[[#This Row],[Fecha]],SummaryDaily[day],SummaryDaily[cost_of_goods_sold],0)</f>
        <v>785922</v>
      </c>
      <c r="AO292" s="12">
        <f>_xlfn.XLOOKUP(TableDailySummary[[#This Row],[Fecha]],SummaryDaily[day],SummaryDaily[gross_profit],0)</f>
        <v>1732145.23</v>
      </c>
      <c r="AP292" s="18">
        <f>IFERROR(TableDailySummary[[#This Row],[Utilidad bruta]]/TableDailySummary[[#This Row],[Ventas netas con costo registrado]],0)</f>
        <v>0.68788680832798887</v>
      </c>
    </row>
    <row r="293" spans="2:42" x14ac:dyDescent="0.2">
      <c r="B293" s="15" cm="1">
        <f t="array" ref="B293">MIN(SummaryDaily[day]) + (ROW(TableDailySummary[#This Row]) - ROW(TableDailySummary[[#Headers],[Dia]]) - 1)</f>
        <v>46064</v>
      </c>
      <c r="C293" s="6">
        <f>TableDailySummary[[#This Row],[Dia]]</f>
        <v>46064</v>
      </c>
      <c r="D293" s="12">
        <f>_xlfn.XLOOKUP(TableDailySummary[[#This Row],[Fecha]],SummaryDaily[day],SummaryDaily[net_sales],0)</f>
        <v>2758672.29</v>
      </c>
      <c r="E293" s="12">
        <f>_xlfn.XLOOKUP(TableDailySummary[[#This Row],[Fecha]],SummaryDaily[day],SummaryDaily[orders],0)</f>
        <v>17</v>
      </c>
      <c r="F293" s="12">
        <f>_xlfn.XLOOKUP(TableDailySummary[[#This Row],[Fecha]],SummaryDaily[day],SummaryDaily[average_order_value],0)</f>
        <v>162274.84</v>
      </c>
      <c r="G293" s="24">
        <f>_xlfn.XLOOKUP(TableDailySummary[[#This Row],[Fecha]],SummaryDaily[day],SummaryDaily[Total site_conversion_rate],0)</f>
        <v>1.4851485148514851E-2</v>
      </c>
      <c r="H293" s="12">
        <f>TableDailySummary[[#This Row],[Órden promedio totales]]*TableDailySummary[[#This Row],[CR totales]]</f>
        <v>2410.0223762376236</v>
      </c>
      <c r="I293" s="12">
        <f>_xlfn.XLOOKUP(TableDailySummary[[#This Row],[Fecha]],SummaryDaily[day],SummaryDaily[new_net_sales],0)</f>
        <v>1684873.96</v>
      </c>
      <c r="J293" s="12">
        <f>_xlfn.XLOOKUP(TableDailySummary[[#This Row],[Fecha]],SummaryDaily[day],SummaryDaily[new_orders],0)</f>
        <v>8</v>
      </c>
      <c r="K293" s="12">
        <f>_xlfn.XLOOKUP(TableDailySummary[[#This Row],[Fecha]],SummaryDaily[day],SummaryDaily[new_average_order_value],0)</f>
        <v>210609.245</v>
      </c>
      <c r="L293" s="12">
        <f>_xlfn.XLOOKUP(TableDailySummary[[#This Row],[Fecha]],SummaryDaily[day],SummaryDaily[Online Store_net_sales],0)</f>
        <v>226890.76</v>
      </c>
      <c r="M293" s="12">
        <f>_xlfn.XLOOKUP(TableDailySummary[[#This Row],[Fecha]],SummaryDaily[day],SummaryDaily[Online Store_orders],0)</f>
        <v>2</v>
      </c>
      <c r="N293" s="12">
        <f>_xlfn.XLOOKUP(TableDailySummary[[#This Row],[Fecha]],SummaryDaily[day],SummaryDaily[Online Store_average_order_value],0)</f>
        <v>113445.38</v>
      </c>
      <c r="O293" s="12">
        <f>_xlfn.XLOOKUP(TableDailySummary[[#This Row],[Fecha]],SummaryDaily[day],SummaryDaily[Tienda 81_net_sales],0)</f>
        <v>2531781.5299999998</v>
      </c>
      <c r="P293" s="12">
        <f>_xlfn.XLOOKUP(TableDailySummary[[#This Row],[Fecha]],SummaryDaily[day],SummaryDaily[Tienda 81_orders],0)</f>
        <v>15</v>
      </c>
      <c r="Q293" s="12">
        <f>_xlfn.XLOOKUP(TableDailySummary[[#This Row],[Fecha]],SummaryDaily[day],SummaryDaily[Tienda 81_average_order_value],0)</f>
        <v>168785.435</v>
      </c>
      <c r="R293" s="12">
        <f>_xlfn.XLOOKUP(TableDailySummary[[#This Row],[Fecha]],SummaryDaily[day],SummaryDaily[Rappi_net_sales],0)</f>
        <v>0</v>
      </c>
      <c r="S293" s="12">
        <f>_xlfn.XLOOKUP(TableDailySummary[[#This Row],[Fecha]],SummaryDaily[day],SummaryDaily[Rappi_orders],0)</f>
        <v>0</v>
      </c>
      <c r="T293" s="12">
        <f>_xlfn.XLOOKUP(TableDailySummary[[#This Row],[Fecha]],SummaryDaily[day],SummaryDaily[Rappi_average_order_value],0)</f>
        <v>0</v>
      </c>
      <c r="U293" s="12">
        <f>_xlfn.XLOOKUP(TableDailySummary[[#This Row],[Fecha]],SummaryDaily[day],SummaryDaily[Corporativo no tienda_net_sales],0)</f>
        <v>0</v>
      </c>
      <c r="V293" s="12">
        <f>_xlfn.XLOOKUP(TableDailySummary[[#This Row],[Fecha]],SummaryDaily[day],SummaryDaily[Corporativo no tienda_orders],0)</f>
        <v>0</v>
      </c>
      <c r="W293" s="12">
        <f>_xlfn.XLOOKUP(TableDailySummary[[#This Row],[Fecha]],SummaryDaily[day],SummaryDaily[Corporativo no tienda_average_order_value],0)</f>
        <v>0</v>
      </c>
      <c r="X293" s="12">
        <f>_xlfn.XLOOKUP(TableDailySummary[[#This Row],[Fecha]],SummaryDaily[day],SummaryDaily[GoogleAdsOperation.Cost],0)</f>
        <v>19941.580000000002</v>
      </c>
      <c r="Y293" s="12">
        <f>SUMIFS(SalesByUTMDaily[google],SalesByUTMDaily[day],TableDailySummary[[#This Row],[Fecha]])</f>
        <v>136000</v>
      </c>
      <c r="Z293" s="12">
        <f>_xlfn.XLOOKUP(TableDailySummary[[#This Row],[Fecha]],SummaryDaily[day],SummaryDaily[MetaAdsOperation.spend],0)</f>
        <v>52507</v>
      </c>
      <c r="AA293" s="12">
        <f>SUMIFS(SalesByUTMDaily[facebook],SalesByUTMDaily[day],TableDailySummary[[#This Row],[Fecha]])</f>
        <v>0</v>
      </c>
      <c r="AB293" s="12">
        <f>TableDailySummary[[#This Row],[Inversión google ads]]+TableDailySummary[[#This Row],[Inversión meta ads]]</f>
        <v>72448.58</v>
      </c>
      <c r="AC293" s="12">
        <f>TableDailySummary[[#This Row],[Ventas google ads]]+TableDailySummary[[#This Row],[Ventas meta ads]]</f>
        <v>136000</v>
      </c>
      <c r="AD293" s="14">
        <f>IFERROR(TableDailySummary[[#This Row],[Ventas publicidad]]/TableDailySummary[[#This Row],[Inversión publicidad]],0)</f>
        <v>1.8771934522388154</v>
      </c>
      <c r="AE293" s="14">
        <f>IFERROR(TableDailySummary[[#This Row],[Ventas primer cliente]]/TableDailySummary[[#This Row],[Inversión publicidad]],0)</f>
        <v>23.256135040880029</v>
      </c>
      <c r="AF293" s="14"/>
      <c r="AG293" s="12"/>
      <c r="AM293" s="12">
        <f>_xlfn.XLOOKUP(TableDailySummary[[#This Row],[Fecha]],SummaryDaily[day],SummaryDaily[net_sales_with_cost_recorded],0)</f>
        <v>2758672.29</v>
      </c>
      <c r="AN293" s="12">
        <f>_xlfn.XLOOKUP(TableDailySummary[[#This Row],[Fecha]],SummaryDaily[day],SummaryDaily[cost_of_goods_sold],0)</f>
        <v>658947</v>
      </c>
      <c r="AO293" s="12">
        <f>_xlfn.XLOOKUP(TableDailySummary[[#This Row],[Fecha]],SummaryDaily[day],SummaryDaily[gross_profit],0)</f>
        <v>2099725.29</v>
      </c>
      <c r="AP293" s="18">
        <f>IFERROR(TableDailySummary[[#This Row],[Utilidad bruta]]/TableDailySummary[[#This Row],[Ventas netas con costo registrado]],0)</f>
        <v>0.76113618047760212</v>
      </c>
    </row>
    <row r="294" spans="2:42" x14ac:dyDescent="0.2">
      <c r="B294" s="15" cm="1">
        <f t="array" ref="B294">MIN(SummaryDaily[day]) + (ROW(TableDailySummary[#This Row]) - ROW(TableDailySummary[[#Headers],[Dia]]) - 1)</f>
        <v>46065</v>
      </c>
      <c r="C294" s="6">
        <f>TableDailySummary[[#This Row],[Dia]]</f>
        <v>46065</v>
      </c>
      <c r="D294" s="12">
        <f>_xlfn.XLOOKUP(TableDailySummary[[#This Row],[Fecha]],SummaryDaily[day],SummaryDaily[net_sales],0)</f>
        <v>3189966.38</v>
      </c>
      <c r="E294" s="12">
        <f>_xlfn.XLOOKUP(TableDailySummary[[#This Row],[Fecha]],SummaryDaily[day],SummaryDaily[orders],0)</f>
        <v>21</v>
      </c>
      <c r="F294" s="12">
        <f>_xlfn.XLOOKUP(TableDailySummary[[#This Row],[Fecha]],SummaryDaily[day],SummaryDaily[average_order_value],0)</f>
        <v>158583.43299999999</v>
      </c>
      <c r="G294" s="24">
        <f>_xlfn.XLOOKUP(TableDailySummary[[#This Row],[Fecha]],SummaryDaily[day],SummaryDaily[Total site_conversion_rate],0)</f>
        <v>1.3274336283185841E-2</v>
      </c>
      <c r="H294" s="12">
        <f>TableDailySummary[[#This Row],[Órden promedio totales]]*TableDailySummary[[#This Row],[CR totales]]</f>
        <v>2105.0898185840706</v>
      </c>
      <c r="I294" s="12">
        <f>_xlfn.XLOOKUP(TableDailySummary[[#This Row],[Fecha]],SummaryDaily[day],SummaryDaily[new_net_sales],0)</f>
        <v>1268907.56</v>
      </c>
      <c r="J294" s="12">
        <f>_xlfn.XLOOKUP(TableDailySummary[[#This Row],[Fecha]],SummaryDaily[day],SummaryDaily[new_orders],0)</f>
        <v>7</v>
      </c>
      <c r="K294" s="12">
        <f>_xlfn.XLOOKUP(TableDailySummary[[#This Row],[Fecha]],SummaryDaily[day],SummaryDaily[new_average_order_value],0)</f>
        <v>203481.39199999999</v>
      </c>
      <c r="L294" s="12">
        <f>_xlfn.XLOOKUP(TableDailySummary[[#This Row],[Fecha]],SummaryDaily[day],SummaryDaily[Online Store_net_sales],0)</f>
        <v>1348739.49</v>
      </c>
      <c r="M294" s="12">
        <f>_xlfn.XLOOKUP(TableDailySummary[[#This Row],[Fecha]],SummaryDaily[day],SummaryDaily[Online Store_orders],0)</f>
        <v>6</v>
      </c>
      <c r="N294" s="12">
        <f>_xlfn.XLOOKUP(TableDailySummary[[#This Row],[Fecha]],SummaryDaily[day],SummaryDaily[Online Store_average_order_value],0)</f>
        <v>224789.91500000001</v>
      </c>
      <c r="O294" s="12">
        <f>_xlfn.XLOOKUP(TableDailySummary[[#This Row],[Fecha]],SummaryDaily[day],SummaryDaily[Tienda 81_net_sales],0)</f>
        <v>1841226.89</v>
      </c>
      <c r="P294" s="12">
        <f>_xlfn.XLOOKUP(TableDailySummary[[#This Row],[Fecha]],SummaryDaily[day],SummaryDaily[Tienda 81_orders],0)</f>
        <v>15</v>
      </c>
      <c r="Q294" s="12">
        <f>_xlfn.XLOOKUP(TableDailySummary[[#This Row],[Fecha]],SummaryDaily[day],SummaryDaily[Tienda 81_average_order_value],0)</f>
        <v>132100.84099999999</v>
      </c>
      <c r="R294" s="12">
        <f>_xlfn.XLOOKUP(TableDailySummary[[#This Row],[Fecha]],SummaryDaily[day],SummaryDaily[Rappi_net_sales],0)</f>
        <v>0</v>
      </c>
      <c r="S294" s="12">
        <f>_xlfn.XLOOKUP(TableDailySummary[[#This Row],[Fecha]],SummaryDaily[day],SummaryDaily[Rappi_orders],0)</f>
        <v>0</v>
      </c>
      <c r="T294" s="12">
        <f>_xlfn.XLOOKUP(TableDailySummary[[#This Row],[Fecha]],SummaryDaily[day],SummaryDaily[Rappi_average_order_value],0)</f>
        <v>0</v>
      </c>
      <c r="U294" s="12">
        <f>_xlfn.XLOOKUP(TableDailySummary[[#This Row],[Fecha]],SummaryDaily[day],SummaryDaily[Corporativo no tienda_net_sales],0)</f>
        <v>0</v>
      </c>
      <c r="V294" s="12">
        <f>_xlfn.XLOOKUP(TableDailySummary[[#This Row],[Fecha]],SummaryDaily[day],SummaryDaily[Corporativo no tienda_orders],0)</f>
        <v>0</v>
      </c>
      <c r="W294" s="12">
        <f>_xlfn.XLOOKUP(TableDailySummary[[#This Row],[Fecha]],SummaryDaily[day],SummaryDaily[Corporativo no tienda_average_order_value],0)</f>
        <v>0</v>
      </c>
      <c r="X294" s="12">
        <f>_xlfn.XLOOKUP(TableDailySummary[[#This Row],[Fecha]],SummaryDaily[day],SummaryDaily[GoogleAdsOperation.Cost],0)</f>
        <v>32290.84</v>
      </c>
      <c r="Y294" s="12">
        <f>SUMIFS(SalesByUTMDaily[google],SalesByUTMDaily[day],TableDailySummary[[#This Row],[Fecha]])</f>
        <v>252000</v>
      </c>
      <c r="Z294" s="12">
        <f>_xlfn.XLOOKUP(TableDailySummary[[#This Row],[Fecha]],SummaryDaily[day],SummaryDaily[MetaAdsOperation.spend],0)</f>
        <v>47973</v>
      </c>
      <c r="AA294" s="12">
        <f>SUMIFS(SalesByUTMDaily[facebook],SalesByUTMDaily[day],TableDailySummary[[#This Row],[Fecha]])</f>
        <v>77000</v>
      </c>
      <c r="AB294" s="12">
        <f>TableDailySummary[[#This Row],[Inversión google ads]]+TableDailySummary[[#This Row],[Inversión meta ads]]</f>
        <v>80263.839999999997</v>
      </c>
      <c r="AC294" s="12">
        <f>TableDailySummary[[#This Row],[Ventas google ads]]+TableDailySummary[[#This Row],[Ventas meta ads]]</f>
        <v>329000</v>
      </c>
      <c r="AD294" s="14">
        <f>IFERROR(TableDailySummary[[#This Row],[Ventas publicidad]]/TableDailySummary[[#This Row],[Inversión publicidad]],0)</f>
        <v>4.0989815588190153</v>
      </c>
      <c r="AE294" s="14">
        <f>IFERROR(TableDailySummary[[#This Row],[Ventas primer cliente]]/TableDailySummary[[#This Row],[Inversión publicidad]],0)</f>
        <v>15.809205739471226</v>
      </c>
      <c r="AF294" s="14"/>
      <c r="AG294" s="12"/>
      <c r="AM294" s="12">
        <f>_xlfn.XLOOKUP(TableDailySummary[[#This Row],[Fecha]],SummaryDaily[day],SummaryDaily[net_sales_with_cost_recorded],0)</f>
        <v>3189966.38</v>
      </c>
      <c r="AN294" s="12">
        <f>_xlfn.XLOOKUP(TableDailySummary[[#This Row],[Fecha]],SummaryDaily[day],SummaryDaily[cost_of_goods_sold],0)</f>
        <v>748151</v>
      </c>
      <c r="AO294" s="12">
        <f>_xlfn.XLOOKUP(TableDailySummary[[#This Row],[Fecha]],SummaryDaily[day],SummaryDaily[gross_profit],0)</f>
        <v>2441815.38</v>
      </c>
      <c r="AP294" s="18">
        <f>IFERROR(TableDailySummary[[#This Row],[Utilidad bruta]]/TableDailySummary[[#This Row],[Ventas netas con costo registrado]],0)</f>
        <v>0.76546743417402408</v>
      </c>
    </row>
    <row r="295" spans="2:42" x14ac:dyDescent="0.2">
      <c r="B295" s="15" cm="1">
        <f t="array" ref="B295">MIN(SummaryDaily[day]) + (ROW(TableDailySummary[#This Row]) - ROW(TableDailySummary[[#Headers],[Dia]]) - 1)</f>
        <v>46066</v>
      </c>
      <c r="C295" s="6">
        <f>TableDailySummary[[#This Row],[Dia]]</f>
        <v>46066</v>
      </c>
      <c r="D295" s="12">
        <f>_xlfn.XLOOKUP(TableDailySummary[[#This Row],[Fecha]],SummaryDaily[day],SummaryDaily[net_sales],0)</f>
        <v>1514579.83</v>
      </c>
      <c r="E295" s="12">
        <f>_xlfn.XLOOKUP(TableDailySummary[[#This Row],[Fecha]],SummaryDaily[day],SummaryDaily[orders],0)</f>
        <v>16</v>
      </c>
      <c r="F295" s="12">
        <f>_xlfn.XLOOKUP(TableDailySummary[[#This Row],[Fecha]],SummaryDaily[day],SummaryDaily[average_order_value],0)</f>
        <v>94661.239000000001</v>
      </c>
      <c r="G295" s="24">
        <f>_xlfn.XLOOKUP(TableDailySummary[[#This Row],[Fecha]],SummaryDaily[day],SummaryDaily[Total site_conversion_rate],0)</f>
        <v>1.3157894736842105E-2</v>
      </c>
      <c r="H295" s="12">
        <f>TableDailySummary[[#This Row],[Órden promedio totales]]*TableDailySummary[[#This Row],[CR totales]]</f>
        <v>1245.5426184210526</v>
      </c>
      <c r="I295" s="12">
        <f>_xlfn.XLOOKUP(TableDailySummary[[#This Row],[Fecha]],SummaryDaily[day],SummaryDaily[new_net_sales],0)</f>
        <v>653235.30000000005</v>
      </c>
      <c r="J295" s="12">
        <f>_xlfn.XLOOKUP(TableDailySummary[[#This Row],[Fecha]],SummaryDaily[day],SummaryDaily[new_orders],0)</f>
        <v>5</v>
      </c>
      <c r="K295" s="12">
        <f>_xlfn.XLOOKUP(TableDailySummary[[#This Row],[Fecha]],SummaryDaily[day],SummaryDaily[new_average_order_value],0)</f>
        <v>130647.06</v>
      </c>
      <c r="L295" s="12">
        <f>_xlfn.XLOOKUP(TableDailySummary[[#This Row],[Fecha]],SummaryDaily[day],SummaryDaily[Online Store_net_sales],0)</f>
        <v>607016.81000000006</v>
      </c>
      <c r="M295" s="12">
        <f>_xlfn.XLOOKUP(TableDailySummary[[#This Row],[Fecha]],SummaryDaily[day],SummaryDaily[Online Store_orders],0)</f>
        <v>4</v>
      </c>
      <c r="N295" s="12">
        <f>_xlfn.XLOOKUP(TableDailySummary[[#This Row],[Fecha]],SummaryDaily[day],SummaryDaily[Online Store_average_order_value],0)</f>
        <v>151754.20199999999</v>
      </c>
      <c r="O295" s="12">
        <f>_xlfn.XLOOKUP(TableDailySummary[[#This Row],[Fecha]],SummaryDaily[day],SummaryDaily[Tienda 81_net_sales],0)</f>
        <v>907563.02</v>
      </c>
      <c r="P295" s="12">
        <f>_xlfn.XLOOKUP(TableDailySummary[[#This Row],[Fecha]],SummaryDaily[day],SummaryDaily[Tienda 81_orders],0)</f>
        <v>12</v>
      </c>
      <c r="Q295" s="12">
        <f>_xlfn.XLOOKUP(TableDailySummary[[#This Row],[Fecha]],SummaryDaily[day],SummaryDaily[Tienda 81_average_order_value],0)</f>
        <v>75630.251000000004</v>
      </c>
      <c r="R295" s="12">
        <f>_xlfn.XLOOKUP(TableDailySummary[[#This Row],[Fecha]],SummaryDaily[day],SummaryDaily[Rappi_net_sales],0)</f>
        <v>0</v>
      </c>
      <c r="S295" s="12">
        <f>_xlfn.XLOOKUP(TableDailySummary[[#This Row],[Fecha]],SummaryDaily[day],SummaryDaily[Rappi_orders],0)</f>
        <v>0</v>
      </c>
      <c r="T295" s="12">
        <f>_xlfn.XLOOKUP(TableDailySummary[[#This Row],[Fecha]],SummaryDaily[day],SummaryDaily[Rappi_average_order_value],0)</f>
        <v>0</v>
      </c>
      <c r="U295" s="12">
        <f>_xlfn.XLOOKUP(TableDailySummary[[#This Row],[Fecha]],SummaryDaily[day],SummaryDaily[Corporativo no tienda_net_sales],0)</f>
        <v>0</v>
      </c>
      <c r="V295" s="12">
        <f>_xlfn.XLOOKUP(TableDailySummary[[#This Row],[Fecha]],SummaryDaily[day],SummaryDaily[Corporativo no tienda_orders],0)</f>
        <v>0</v>
      </c>
      <c r="W295" s="12">
        <f>_xlfn.XLOOKUP(TableDailySummary[[#This Row],[Fecha]],SummaryDaily[day],SummaryDaily[Corporativo no tienda_average_order_value],0)</f>
        <v>0</v>
      </c>
      <c r="X295" s="12">
        <f>_xlfn.XLOOKUP(TableDailySummary[[#This Row],[Fecha]],SummaryDaily[day],SummaryDaily[GoogleAdsOperation.Cost],0)</f>
        <v>32588.61</v>
      </c>
      <c r="Y295" s="12">
        <f>SUMIFS(SalesByUTMDaily[google],SalesByUTMDaily[day],TableDailySummary[[#This Row],[Fecha]])</f>
        <v>0</v>
      </c>
      <c r="Z295" s="12">
        <f>_xlfn.XLOOKUP(TableDailySummary[[#This Row],[Fecha]],SummaryDaily[day],SummaryDaily[MetaAdsOperation.spend],0)</f>
        <v>48475</v>
      </c>
      <c r="AA295" s="12">
        <f>SUMIFS(SalesByUTMDaily[facebook],SalesByUTMDaily[day],TableDailySummary[[#This Row],[Fecha]])</f>
        <v>0</v>
      </c>
      <c r="AB295" s="12">
        <f>TableDailySummary[[#This Row],[Inversión google ads]]+TableDailySummary[[#This Row],[Inversión meta ads]]</f>
        <v>81063.61</v>
      </c>
      <c r="AC295" s="12">
        <f>TableDailySummary[[#This Row],[Ventas google ads]]+TableDailySummary[[#This Row],[Ventas meta ads]]</f>
        <v>0</v>
      </c>
      <c r="AD295" s="14">
        <f>IFERROR(TableDailySummary[[#This Row],[Ventas publicidad]]/TableDailySummary[[#This Row],[Inversión publicidad]],0)</f>
        <v>0</v>
      </c>
      <c r="AE295" s="14">
        <f>IFERROR(TableDailySummary[[#This Row],[Ventas primer cliente]]/TableDailySummary[[#This Row],[Inversión publicidad]],0)</f>
        <v>8.0583050767169144</v>
      </c>
      <c r="AF295" s="14"/>
      <c r="AG295" s="12"/>
      <c r="AM295" s="12">
        <f>_xlfn.XLOOKUP(TableDailySummary[[#This Row],[Fecha]],SummaryDaily[day],SummaryDaily[net_sales_with_cost_recorded],0)</f>
        <v>1514579.83</v>
      </c>
      <c r="AN295" s="12">
        <f>_xlfn.XLOOKUP(TableDailySummary[[#This Row],[Fecha]],SummaryDaily[day],SummaryDaily[cost_of_goods_sold],0)</f>
        <v>450617</v>
      </c>
      <c r="AO295" s="12">
        <f>_xlfn.XLOOKUP(TableDailySummary[[#This Row],[Fecha]],SummaryDaily[day],SummaryDaily[gross_profit],0)</f>
        <v>1063962.83</v>
      </c>
      <c r="AP295" s="18">
        <f>IFERROR(TableDailySummary[[#This Row],[Utilidad bruta]]/TableDailySummary[[#This Row],[Ventas netas con costo registrado]],0)</f>
        <v>0.7024805222713153</v>
      </c>
    </row>
    <row r="296" spans="2:42" x14ac:dyDescent="0.2">
      <c r="B296" s="15" cm="1">
        <f t="array" ref="B296">MIN(SummaryDaily[day]) + (ROW(TableDailySummary[#This Row]) - ROW(TableDailySummary[[#Headers],[Dia]]) - 1)</f>
        <v>46067</v>
      </c>
      <c r="C296" s="6">
        <f>TableDailySummary[[#This Row],[Dia]]</f>
        <v>46067</v>
      </c>
      <c r="D296" s="12">
        <f>_xlfn.XLOOKUP(TableDailySummary[[#This Row],[Fecha]],SummaryDaily[day],SummaryDaily[net_sales],0)</f>
        <v>5093697.49</v>
      </c>
      <c r="E296" s="12">
        <f>_xlfn.XLOOKUP(TableDailySummary[[#This Row],[Fecha]],SummaryDaily[day],SummaryDaily[orders],0)</f>
        <v>37</v>
      </c>
      <c r="F296" s="12">
        <f>_xlfn.XLOOKUP(TableDailySummary[[#This Row],[Fecha]],SummaryDaily[day],SummaryDaily[average_order_value],0)</f>
        <v>137667.49900000001</v>
      </c>
      <c r="G296" s="24">
        <f>_xlfn.XLOOKUP(TableDailySummary[[#This Row],[Fecha]],SummaryDaily[day],SummaryDaily[Total site_conversion_rate],0)</f>
        <v>2.1052631578947368E-2</v>
      </c>
      <c r="H296" s="12">
        <f>TableDailySummary[[#This Row],[Órden promedio totales]]*TableDailySummary[[#This Row],[CR totales]]</f>
        <v>2898.2631368421053</v>
      </c>
      <c r="I296" s="12">
        <f>_xlfn.XLOOKUP(TableDailySummary[[#This Row],[Fecha]],SummaryDaily[day],SummaryDaily[new_net_sales],0)</f>
        <v>2704621.86</v>
      </c>
      <c r="J296" s="12">
        <f>_xlfn.XLOOKUP(TableDailySummary[[#This Row],[Fecha]],SummaryDaily[day],SummaryDaily[new_orders],0)</f>
        <v>17</v>
      </c>
      <c r="K296" s="12">
        <f>_xlfn.XLOOKUP(TableDailySummary[[#This Row],[Fecha]],SummaryDaily[day],SummaryDaily[new_average_order_value],0)</f>
        <v>159095.40299999999</v>
      </c>
      <c r="L296" s="12">
        <f>_xlfn.XLOOKUP(TableDailySummary[[#This Row],[Fecha]],SummaryDaily[day],SummaryDaily[Online Store_net_sales],0)</f>
        <v>638655.44999999995</v>
      </c>
      <c r="M296" s="12">
        <f>_xlfn.XLOOKUP(TableDailySummary[[#This Row],[Fecha]],SummaryDaily[day],SummaryDaily[Online Store_orders],0)</f>
        <v>4</v>
      </c>
      <c r="N296" s="12">
        <f>_xlfn.XLOOKUP(TableDailySummary[[#This Row],[Fecha]],SummaryDaily[day],SummaryDaily[Online Store_average_order_value],0)</f>
        <v>159663.86199999999</v>
      </c>
      <c r="O296" s="12">
        <f>_xlfn.XLOOKUP(TableDailySummary[[#This Row],[Fecha]],SummaryDaily[day],SummaryDaily[Tienda 81_net_sales],0)</f>
        <v>3707142.88</v>
      </c>
      <c r="P296" s="12">
        <f>_xlfn.XLOOKUP(TableDailySummary[[#This Row],[Fecha]],SummaryDaily[day],SummaryDaily[Tienda 81_orders],0)</f>
        <v>31</v>
      </c>
      <c r="Q296" s="12">
        <f>_xlfn.XLOOKUP(TableDailySummary[[#This Row],[Fecha]],SummaryDaily[day],SummaryDaily[Tienda 81_average_order_value],0)</f>
        <v>119585.254</v>
      </c>
      <c r="R296" s="12">
        <f>_xlfn.XLOOKUP(TableDailySummary[[#This Row],[Fecha]],SummaryDaily[day],SummaryDaily[Rappi_net_sales],0)</f>
        <v>747899.16</v>
      </c>
      <c r="S296" s="12">
        <f>_xlfn.XLOOKUP(TableDailySummary[[#This Row],[Fecha]],SummaryDaily[day],SummaryDaily[Rappi_orders],0)</f>
        <v>2</v>
      </c>
      <c r="T296" s="12">
        <f>_xlfn.XLOOKUP(TableDailySummary[[#This Row],[Fecha]],SummaryDaily[day],SummaryDaily[Rappi_average_order_value],0)</f>
        <v>373949.58</v>
      </c>
      <c r="U296" s="12">
        <f>_xlfn.XLOOKUP(TableDailySummary[[#This Row],[Fecha]],SummaryDaily[day],SummaryDaily[Corporativo no tienda_net_sales],0)</f>
        <v>0</v>
      </c>
      <c r="V296" s="12">
        <f>_xlfn.XLOOKUP(TableDailySummary[[#This Row],[Fecha]],SummaryDaily[day],SummaryDaily[Corporativo no tienda_orders],0)</f>
        <v>0</v>
      </c>
      <c r="W296" s="12">
        <f>_xlfn.XLOOKUP(TableDailySummary[[#This Row],[Fecha]],SummaryDaily[day],SummaryDaily[Corporativo no tienda_average_order_value],0)</f>
        <v>0</v>
      </c>
      <c r="X296" s="12">
        <f>_xlfn.XLOOKUP(TableDailySummary[[#This Row],[Fecha]],SummaryDaily[day],SummaryDaily[GoogleAdsOperation.Cost],0)</f>
        <v>27527.25</v>
      </c>
      <c r="Y296" s="12">
        <f>SUMIFS(SalesByUTMDaily[google],SalesByUTMDaily[day],TableDailySummary[[#This Row],[Fecha]])</f>
        <v>0</v>
      </c>
      <c r="Z296" s="12">
        <f>_xlfn.XLOOKUP(TableDailySummary[[#This Row],[Fecha]],SummaryDaily[day],SummaryDaily[MetaAdsOperation.spend],0)</f>
        <v>55300</v>
      </c>
      <c r="AA296" s="12">
        <f>SUMIFS(SalesByUTMDaily[facebook],SalesByUTMDaily[day],TableDailySummary[[#This Row],[Fecha]])</f>
        <v>0</v>
      </c>
      <c r="AB296" s="12">
        <f>TableDailySummary[[#This Row],[Inversión google ads]]+TableDailySummary[[#This Row],[Inversión meta ads]]</f>
        <v>82827.25</v>
      </c>
      <c r="AC296" s="12">
        <f>TableDailySummary[[#This Row],[Ventas google ads]]+TableDailySummary[[#This Row],[Ventas meta ads]]</f>
        <v>0</v>
      </c>
      <c r="AD296" s="14">
        <f>IFERROR(TableDailySummary[[#This Row],[Ventas publicidad]]/TableDailySummary[[#This Row],[Inversión publicidad]],0)</f>
        <v>0</v>
      </c>
      <c r="AE296" s="14">
        <f>IFERROR(TableDailySummary[[#This Row],[Ventas primer cliente]]/TableDailySummary[[#This Row],[Inversión publicidad]],0)</f>
        <v>32.653768657054286</v>
      </c>
      <c r="AF296" s="14"/>
      <c r="AG296" s="12"/>
      <c r="AM296" s="12">
        <f>_xlfn.XLOOKUP(TableDailySummary[[#This Row],[Fecha]],SummaryDaily[day],SummaryDaily[net_sales_with_cost_recorded],0)</f>
        <v>5093697.49</v>
      </c>
      <c r="AN296" s="12">
        <f>_xlfn.XLOOKUP(TableDailySummary[[#This Row],[Fecha]],SummaryDaily[day],SummaryDaily[cost_of_goods_sold],0)</f>
        <v>1205705</v>
      </c>
      <c r="AO296" s="12">
        <f>_xlfn.XLOOKUP(TableDailySummary[[#This Row],[Fecha]],SummaryDaily[day],SummaryDaily[gross_profit],0)</f>
        <v>3887992.49</v>
      </c>
      <c r="AP296" s="18">
        <f>IFERROR(TableDailySummary[[#This Row],[Utilidad bruta]]/TableDailySummary[[#This Row],[Ventas netas con costo registrado]],0)</f>
        <v>0.76329473778781476</v>
      </c>
    </row>
    <row r="297" spans="2:42" x14ac:dyDescent="0.2">
      <c r="B297" s="15" cm="1">
        <f t="array" ref="B297">MIN(SummaryDaily[day]) + (ROW(TableDailySummary[#This Row]) - ROW(TableDailySummary[[#Headers],[Dia]]) - 1)</f>
        <v>46068</v>
      </c>
      <c r="C297" s="6">
        <f>TableDailySummary[[#This Row],[Dia]]</f>
        <v>46068</v>
      </c>
      <c r="D297" s="12">
        <f>_xlfn.XLOOKUP(TableDailySummary[[#This Row],[Fecha]],SummaryDaily[day],SummaryDaily[net_sales],0)</f>
        <v>260504.2</v>
      </c>
      <c r="E297" s="12">
        <f>_xlfn.XLOOKUP(TableDailySummary[[#This Row],[Fecha]],SummaryDaily[day],SummaryDaily[orders],0)</f>
        <v>3</v>
      </c>
      <c r="F297" s="12">
        <f>_xlfn.XLOOKUP(TableDailySummary[[#This Row],[Fecha]],SummaryDaily[day],SummaryDaily[average_order_value],0)</f>
        <v>86834.732999999993</v>
      </c>
      <c r="G297" s="24">
        <f>_xlfn.XLOOKUP(TableDailySummary[[#This Row],[Fecha]],SummaryDaily[day],SummaryDaily[Total site_conversion_rate],0)</f>
        <v>1.8518518518518517E-2</v>
      </c>
      <c r="H297" s="12">
        <f>TableDailySummary[[#This Row],[Órden promedio totales]]*TableDailySummary[[#This Row],[CR totales]]</f>
        <v>1608.0506111111108</v>
      </c>
      <c r="I297" s="12">
        <f>_xlfn.XLOOKUP(TableDailySummary[[#This Row],[Fecha]],SummaryDaily[day],SummaryDaily[new_net_sales],0)</f>
        <v>63025.21</v>
      </c>
      <c r="J297" s="12">
        <f>_xlfn.XLOOKUP(TableDailySummary[[#This Row],[Fecha]],SummaryDaily[day],SummaryDaily[new_orders],0)</f>
        <v>1</v>
      </c>
      <c r="K297" s="12">
        <f>_xlfn.XLOOKUP(TableDailySummary[[#This Row],[Fecha]],SummaryDaily[day],SummaryDaily[new_average_order_value],0)</f>
        <v>63025.21</v>
      </c>
      <c r="L297" s="12">
        <f>_xlfn.XLOOKUP(TableDailySummary[[#This Row],[Fecha]],SummaryDaily[day],SummaryDaily[Online Store_net_sales],0)</f>
        <v>260504.2</v>
      </c>
      <c r="M297" s="12">
        <f>_xlfn.XLOOKUP(TableDailySummary[[#This Row],[Fecha]],SummaryDaily[day],SummaryDaily[Online Store_orders],0)</f>
        <v>3</v>
      </c>
      <c r="N297" s="12">
        <f>_xlfn.XLOOKUP(TableDailySummary[[#This Row],[Fecha]],SummaryDaily[day],SummaryDaily[Online Store_average_order_value],0)</f>
        <v>86834.732999999993</v>
      </c>
      <c r="O297" s="12">
        <f>_xlfn.XLOOKUP(TableDailySummary[[#This Row],[Fecha]],SummaryDaily[day],SummaryDaily[Tienda 81_net_sales],0)</f>
        <v>0</v>
      </c>
      <c r="P297" s="12">
        <f>_xlfn.XLOOKUP(TableDailySummary[[#This Row],[Fecha]],SummaryDaily[day],SummaryDaily[Tienda 81_orders],0)</f>
        <v>0</v>
      </c>
      <c r="Q297" s="12">
        <f>_xlfn.XLOOKUP(TableDailySummary[[#This Row],[Fecha]],SummaryDaily[day],SummaryDaily[Tienda 81_average_order_value],0)</f>
        <v>0</v>
      </c>
      <c r="R297" s="12">
        <f>_xlfn.XLOOKUP(TableDailySummary[[#This Row],[Fecha]],SummaryDaily[day],SummaryDaily[Rappi_net_sales],0)</f>
        <v>0</v>
      </c>
      <c r="S297" s="12">
        <f>_xlfn.XLOOKUP(TableDailySummary[[#This Row],[Fecha]],SummaryDaily[day],SummaryDaily[Rappi_orders],0)</f>
        <v>0</v>
      </c>
      <c r="T297" s="12">
        <f>_xlfn.XLOOKUP(TableDailySummary[[#This Row],[Fecha]],SummaryDaily[day],SummaryDaily[Rappi_average_order_value],0)</f>
        <v>0</v>
      </c>
      <c r="U297" s="12">
        <f>_xlfn.XLOOKUP(TableDailySummary[[#This Row],[Fecha]],SummaryDaily[day],SummaryDaily[Corporativo no tienda_net_sales],0)</f>
        <v>0</v>
      </c>
      <c r="V297" s="12">
        <f>_xlfn.XLOOKUP(TableDailySummary[[#This Row],[Fecha]],SummaryDaily[day],SummaryDaily[Corporativo no tienda_orders],0)</f>
        <v>0</v>
      </c>
      <c r="W297" s="12">
        <f>_xlfn.XLOOKUP(TableDailySummary[[#This Row],[Fecha]],SummaryDaily[day],SummaryDaily[Corporativo no tienda_average_order_value],0)</f>
        <v>0</v>
      </c>
      <c r="X297" s="12">
        <f>_xlfn.XLOOKUP(TableDailySummary[[#This Row],[Fecha]],SummaryDaily[day],SummaryDaily[GoogleAdsOperation.Cost],0)</f>
        <v>24299.09</v>
      </c>
      <c r="Y297" s="12">
        <f>SUMIFS(SalesByUTMDaily[google],SalesByUTMDaily[day],TableDailySummary[[#This Row],[Fecha]])</f>
        <v>87000</v>
      </c>
      <c r="Z297" s="12">
        <f>_xlfn.XLOOKUP(TableDailySummary[[#This Row],[Fecha]],SummaryDaily[day],SummaryDaily[MetaAdsOperation.spend],0)</f>
        <v>53881</v>
      </c>
      <c r="AA297" s="12">
        <f>SUMIFS(SalesByUTMDaily[facebook],SalesByUTMDaily[day],TableDailySummary[[#This Row],[Fecha]])</f>
        <v>0</v>
      </c>
      <c r="AB297" s="12">
        <f>TableDailySummary[[#This Row],[Inversión google ads]]+TableDailySummary[[#This Row],[Inversión meta ads]]</f>
        <v>78180.09</v>
      </c>
      <c r="AC297" s="12">
        <f>TableDailySummary[[#This Row],[Ventas google ads]]+TableDailySummary[[#This Row],[Ventas meta ads]]</f>
        <v>87000</v>
      </c>
      <c r="AD297" s="14">
        <f>IFERROR(TableDailySummary[[#This Row],[Ventas publicidad]]/TableDailySummary[[#This Row],[Inversión publicidad]],0)</f>
        <v>1.1128152960683468</v>
      </c>
      <c r="AE297" s="14">
        <f>IFERROR(TableDailySummary[[#This Row],[Ventas primer cliente]]/TableDailySummary[[#This Row],[Inversión publicidad]],0)</f>
        <v>0.8061542267347096</v>
      </c>
      <c r="AF297" s="14"/>
      <c r="AG297" s="12"/>
      <c r="AM297" s="12">
        <f>_xlfn.XLOOKUP(TableDailySummary[[#This Row],[Fecha]],SummaryDaily[day],SummaryDaily[net_sales_with_cost_recorded],0)</f>
        <v>260504.2</v>
      </c>
      <c r="AN297" s="12">
        <f>_xlfn.XLOOKUP(TableDailySummary[[#This Row],[Fecha]],SummaryDaily[day],SummaryDaily[cost_of_goods_sold],0)</f>
        <v>96507</v>
      </c>
      <c r="AO297" s="12">
        <f>_xlfn.XLOOKUP(TableDailySummary[[#This Row],[Fecha]],SummaryDaily[day],SummaryDaily[gross_profit],0)</f>
        <v>163997.20000000001</v>
      </c>
      <c r="AP297" s="18">
        <f>IFERROR(TableDailySummary[[#This Row],[Utilidad bruta]]/TableDailySummary[[#This Row],[Ventas netas con costo registrado]],0)</f>
        <v>0.6295376427712106</v>
      </c>
    </row>
    <row r="298" spans="2:42" x14ac:dyDescent="0.2">
      <c r="B298" s="15" cm="1">
        <f t="array" ref="B298">MIN(SummaryDaily[day]) + (ROW(TableDailySummary[#This Row]) - ROW(TableDailySummary[[#Headers],[Dia]]) - 1)</f>
        <v>46069</v>
      </c>
      <c r="C298" s="6">
        <f>TableDailySummary[[#This Row],[Dia]]</f>
        <v>46069</v>
      </c>
      <c r="D298" s="12">
        <f>_xlfn.XLOOKUP(TableDailySummary[[#This Row],[Fecha]],SummaryDaily[day],SummaryDaily[net_sales],0)</f>
        <v>2815722.69</v>
      </c>
      <c r="E298" s="12">
        <f>_xlfn.XLOOKUP(TableDailySummary[[#This Row],[Fecha]],SummaryDaily[day],SummaryDaily[orders],0)</f>
        <v>22</v>
      </c>
      <c r="F298" s="12">
        <f>_xlfn.XLOOKUP(TableDailySummary[[#This Row],[Fecha]],SummaryDaily[day],SummaryDaily[average_order_value],0)</f>
        <v>127987.395</v>
      </c>
      <c r="G298" s="24">
        <f>_xlfn.XLOOKUP(TableDailySummary[[#This Row],[Fecha]],SummaryDaily[day],SummaryDaily[Total site_conversion_rate],0)</f>
        <v>1.2259194395796848E-2</v>
      </c>
      <c r="H298" s="12">
        <f>TableDailySummary[[#This Row],[Órden promedio totales]]*TableDailySummary[[#This Row],[CR totales]]</f>
        <v>1569.0223555166376</v>
      </c>
      <c r="I298" s="12">
        <f>_xlfn.XLOOKUP(TableDailySummary[[#This Row],[Fecha]],SummaryDaily[day],SummaryDaily[new_net_sales],0)</f>
        <v>944369.74</v>
      </c>
      <c r="J298" s="12">
        <f>_xlfn.XLOOKUP(TableDailySummary[[#This Row],[Fecha]],SummaryDaily[day],SummaryDaily[new_orders],0)</f>
        <v>8</v>
      </c>
      <c r="K298" s="12">
        <f>_xlfn.XLOOKUP(TableDailySummary[[#This Row],[Fecha]],SummaryDaily[day],SummaryDaily[new_average_order_value],0)</f>
        <v>118046.217</v>
      </c>
      <c r="L298" s="12">
        <f>_xlfn.XLOOKUP(TableDailySummary[[#This Row],[Fecha]],SummaryDaily[day],SummaryDaily[Online Store_net_sales],0)</f>
        <v>882352.95</v>
      </c>
      <c r="M298" s="12">
        <f>_xlfn.XLOOKUP(TableDailySummary[[#This Row],[Fecha]],SummaryDaily[day],SummaryDaily[Online Store_orders],0)</f>
        <v>5</v>
      </c>
      <c r="N298" s="12">
        <f>_xlfn.XLOOKUP(TableDailySummary[[#This Row],[Fecha]],SummaryDaily[day],SummaryDaily[Online Store_average_order_value],0)</f>
        <v>176470.59</v>
      </c>
      <c r="O298" s="12">
        <f>_xlfn.XLOOKUP(TableDailySummary[[#This Row],[Fecha]],SummaryDaily[day],SummaryDaily[Tienda 81_net_sales],0)</f>
        <v>1933369.74</v>
      </c>
      <c r="P298" s="12">
        <f>_xlfn.XLOOKUP(TableDailySummary[[#This Row],[Fecha]],SummaryDaily[day],SummaryDaily[Tienda 81_orders],0)</f>
        <v>17</v>
      </c>
      <c r="Q298" s="12">
        <f>_xlfn.XLOOKUP(TableDailySummary[[#This Row],[Fecha]],SummaryDaily[day],SummaryDaily[Tienda 81_average_order_value],0)</f>
        <v>113727.63099999999</v>
      </c>
      <c r="R298" s="12">
        <f>_xlfn.XLOOKUP(TableDailySummary[[#This Row],[Fecha]],SummaryDaily[day],SummaryDaily[Rappi_net_sales],0)</f>
        <v>0</v>
      </c>
      <c r="S298" s="12">
        <f>_xlfn.XLOOKUP(TableDailySummary[[#This Row],[Fecha]],SummaryDaily[day],SummaryDaily[Rappi_orders],0)</f>
        <v>0</v>
      </c>
      <c r="T298" s="12">
        <f>_xlfn.XLOOKUP(TableDailySummary[[#This Row],[Fecha]],SummaryDaily[day],SummaryDaily[Rappi_average_order_value],0)</f>
        <v>0</v>
      </c>
      <c r="U298" s="12">
        <f>_xlfn.XLOOKUP(TableDailySummary[[#This Row],[Fecha]],SummaryDaily[day],SummaryDaily[Corporativo no tienda_net_sales],0)</f>
        <v>0</v>
      </c>
      <c r="V298" s="12">
        <f>_xlfn.XLOOKUP(TableDailySummary[[#This Row],[Fecha]],SummaryDaily[day],SummaryDaily[Corporativo no tienda_orders],0)</f>
        <v>0</v>
      </c>
      <c r="W298" s="12">
        <f>_xlfn.XLOOKUP(TableDailySummary[[#This Row],[Fecha]],SummaryDaily[day],SummaryDaily[Corporativo no tienda_average_order_value],0)</f>
        <v>0</v>
      </c>
      <c r="X298" s="12">
        <f>_xlfn.XLOOKUP(TableDailySummary[[#This Row],[Fecha]],SummaryDaily[day],SummaryDaily[GoogleAdsOperation.Cost],0)</f>
        <v>72894.92</v>
      </c>
      <c r="Y298" s="12">
        <f>SUMIFS(SalesByUTMDaily[google],SalesByUTMDaily[day],TableDailySummary[[#This Row],[Fecha]])</f>
        <v>0</v>
      </c>
      <c r="Z298" s="12">
        <f>_xlfn.XLOOKUP(TableDailySummary[[#This Row],[Fecha]],SummaryDaily[day],SummaryDaily[MetaAdsOperation.spend],0)</f>
        <v>50967</v>
      </c>
      <c r="AA298" s="12">
        <f>SUMIFS(SalesByUTMDaily[facebook],SalesByUTMDaily[day],TableDailySummary[[#This Row],[Fecha]])</f>
        <v>182000</v>
      </c>
      <c r="AB298" s="12">
        <f>TableDailySummary[[#This Row],[Inversión google ads]]+TableDailySummary[[#This Row],[Inversión meta ads]]</f>
        <v>123861.92</v>
      </c>
      <c r="AC298" s="12">
        <f>TableDailySummary[[#This Row],[Ventas google ads]]+TableDailySummary[[#This Row],[Ventas meta ads]]</f>
        <v>182000</v>
      </c>
      <c r="AD298" s="14">
        <f>IFERROR(TableDailySummary[[#This Row],[Ventas publicidad]]/TableDailySummary[[#This Row],[Inversión publicidad]],0)</f>
        <v>1.4693781591630422</v>
      </c>
      <c r="AE298" s="14">
        <f>IFERROR(TableDailySummary[[#This Row],[Ventas primer cliente]]/TableDailySummary[[#This Row],[Inversión publicidad]],0)</f>
        <v>7.624375110607037</v>
      </c>
      <c r="AF298" s="14"/>
      <c r="AG298" s="12"/>
      <c r="AM298" s="12">
        <f>_xlfn.XLOOKUP(TableDailySummary[[#This Row],[Fecha]],SummaryDaily[day],SummaryDaily[net_sales_with_cost_recorded],0)</f>
        <v>2815722.69</v>
      </c>
      <c r="AN298" s="12">
        <f>_xlfn.XLOOKUP(TableDailySummary[[#This Row],[Fecha]],SummaryDaily[day],SummaryDaily[cost_of_goods_sold],0)</f>
        <v>825327</v>
      </c>
      <c r="AO298" s="12">
        <f>_xlfn.XLOOKUP(TableDailySummary[[#This Row],[Fecha]],SummaryDaily[day],SummaryDaily[gross_profit],0)</f>
        <v>1990395.69</v>
      </c>
      <c r="AP298" s="18">
        <f>IFERROR(TableDailySummary[[#This Row],[Utilidad bruta]]/TableDailySummary[[#This Row],[Ventas netas con costo registrado]],0)</f>
        <v>0.70688626300766855</v>
      </c>
    </row>
    <row r="299" spans="2:42" x14ac:dyDescent="0.2">
      <c r="B299" s="15" cm="1">
        <f t="array" ref="B299">MIN(SummaryDaily[day]) + (ROW(TableDailySummary[#This Row]) - ROW(TableDailySummary[[#Headers],[Dia]]) - 1)</f>
        <v>46070</v>
      </c>
      <c r="C299" s="6">
        <f>TableDailySummary[[#This Row],[Dia]]</f>
        <v>46070</v>
      </c>
      <c r="D299" s="12">
        <f>_xlfn.XLOOKUP(TableDailySummary[[#This Row],[Fecha]],SummaryDaily[day],SummaryDaily[net_sales],0)</f>
        <v>4225806.7300000004</v>
      </c>
      <c r="E299" s="12">
        <f>_xlfn.XLOOKUP(TableDailySummary[[#This Row],[Fecha]],SummaryDaily[day],SummaryDaily[orders],0)</f>
        <v>28</v>
      </c>
      <c r="F299" s="12">
        <f>_xlfn.XLOOKUP(TableDailySummary[[#This Row],[Fecha]],SummaryDaily[day],SummaryDaily[average_order_value],0)</f>
        <v>185421.66800000001</v>
      </c>
      <c r="G299" s="24">
        <f>_xlfn.XLOOKUP(TableDailySummary[[#This Row],[Fecha]],SummaryDaily[day],SummaryDaily[Total site_conversion_rate],0)</f>
        <v>4.1666666666666664E-2</v>
      </c>
      <c r="H299" s="12">
        <f>TableDailySummary[[#This Row],[Órden promedio totales]]*TableDailySummary[[#This Row],[CR totales]]</f>
        <v>7725.9028333333335</v>
      </c>
      <c r="I299" s="12">
        <f>_xlfn.XLOOKUP(TableDailySummary[[#This Row],[Fecha]],SummaryDaily[day],SummaryDaily[new_net_sales],0)</f>
        <v>1690512.61</v>
      </c>
      <c r="J299" s="12">
        <f>_xlfn.XLOOKUP(TableDailySummary[[#This Row],[Fecha]],SummaryDaily[day],SummaryDaily[new_orders],0)</f>
        <v>13</v>
      </c>
      <c r="K299" s="12">
        <f>_xlfn.XLOOKUP(TableDailySummary[[#This Row],[Fecha]],SummaryDaily[day],SummaryDaily[new_average_order_value],0)</f>
        <v>204347.12299999999</v>
      </c>
      <c r="L299" s="12">
        <f>_xlfn.XLOOKUP(TableDailySummary[[#This Row],[Fecha]],SummaryDaily[day],SummaryDaily[Online Store_net_sales],0)</f>
        <v>951016.81</v>
      </c>
      <c r="M299" s="12">
        <f>_xlfn.XLOOKUP(TableDailySummary[[#This Row],[Fecha]],SummaryDaily[day],SummaryDaily[Online Store_orders],0)</f>
        <v>9</v>
      </c>
      <c r="N299" s="12">
        <f>_xlfn.XLOOKUP(TableDailySummary[[#This Row],[Fecha]],SummaryDaily[day],SummaryDaily[Online Store_average_order_value],0)</f>
        <v>213001.867</v>
      </c>
      <c r="O299" s="12">
        <f>_xlfn.XLOOKUP(TableDailySummary[[#This Row],[Fecha]],SummaryDaily[day],SummaryDaily[Tienda 81_net_sales],0)</f>
        <v>2124369.75</v>
      </c>
      <c r="P299" s="12">
        <f>_xlfn.XLOOKUP(TableDailySummary[[#This Row],[Fecha]],SummaryDaily[day],SummaryDaily[Tienda 81_orders],0)</f>
        <v>15</v>
      </c>
      <c r="Q299" s="12">
        <f>_xlfn.XLOOKUP(TableDailySummary[[#This Row],[Fecha]],SummaryDaily[day],SummaryDaily[Tienda 81_average_order_value],0)</f>
        <v>141624.65</v>
      </c>
      <c r="R299" s="12">
        <f>_xlfn.XLOOKUP(TableDailySummary[[#This Row],[Fecha]],SummaryDaily[day],SummaryDaily[Rappi_net_sales],0)</f>
        <v>172268.91</v>
      </c>
      <c r="S299" s="12">
        <f>_xlfn.XLOOKUP(TableDailySummary[[#This Row],[Fecha]],SummaryDaily[day],SummaryDaily[Rappi_orders],0)</f>
        <v>3</v>
      </c>
      <c r="T299" s="12">
        <f>_xlfn.XLOOKUP(TableDailySummary[[#This Row],[Fecha]],SummaryDaily[day],SummaryDaily[Rappi_average_order_value],0)</f>
        <v>57422.97</v>
      </c>
      <c r="U299" s="12">
        <f>_xlfn.XLOOKUP(TableDailySummary[[#This Row],[Fecha]],SummaryDaily[day],SummaryDaily[Corporativo no tienda_net_sales],0)</f>
        <v>978151.26</v>
      </c>
      <c r="V299" s="12">
        <f>_xlfn.XLOOKUP(TableDailySummary[[#This Row],[Fecha]],SummaryDaily[day],SummaryDaily[Corporativo no tienda_orders],0)</f>
        <v>1</v>
      </c>
      <c r="W299" s="12">
        <f>_xlfn.XLOOKUP(TableDailySummary[[#This Row],[Fecha]],SummaryDaily[day],SummaryDaily[Corporativo no tienda_average_order_value],0)</f>
        <v>978151.26</v>
      </c>
      <c r="X299" s="12">
        <f>_xlfn.XLOOKUP(TableDailySummary[[#This Row],[Fecha]],SummaryDaily[day],SummaryDaily[GoogleAdsOperation.Cost],0)</f>
        <v>17897.990000000002</v>
      </c>
      <c r="Y299" s="12">
        <f>SUMIFS(SalesByUTMDaily[google],SalesByUTMDaily[day],TableDailySummary[[#This Row],[Fecha]])</f>
        <v>620250</v>
      </c>
      <c r="Z299" s="12">
        <f>_xlfn.XLOOKUP(TableDailySummary[[#This Row],[Fecha]],SummaryDaily[day],SummaryDaily[MetaAdsOperation.spend],0)</f>
        <v>51844</v>
      </c>
      <c r="AA299" s="12">
        <f>SUMIFS(SalesByUTMDaily[facebook],SalesByUTMDaily[day],TableDailySummary[[#This Row],[Fecha]])</f>
        <v>0</v>
      </c>
      <c r="AB299" s="12">
        <f>TableDailySummary[[#This Row],[Inversión google ads]]+TableDailySummary[[#This Row],[Inversión meta ads]]</f>
        <v>69741.990000000005</v>
      </c>
      <c r="AC299" s="12">
        <f>TableDailySummary[[#This Row],[Ventas google ads]]+TableDailySummary[[#This Row],[Ventas meta ads]]</f>
        <v>620250</v>
      </c>
      <c r="AD299" s="14">
        <f>IFERROR(TableDailySummary[[#This Row],[Ventas publicidad]]/TableDailySummary[[#This Row],[Inversión publicidad]],0)</f>
        <v>8.8934944357050885</v>
      </c>
      <c r="AE299" s="14">
        <f>IFERROR(TableDailySummary[[#This Row],[Ventas primer cliente]]/TableDailySummary[[#This Row],[Inversión publicidad]],0)</f>
        <v>24.239523563924688</v>
      </c>
      <c r="AF299" s="14"/>
      <c r="AG299" s="12"/>
      <c r="AM299" s="12">
        <f>_xlfn.XLOOKUP(TableDailySummary[[#This Row],[Fecha]],SummaryDaily[day],SummaryDaily[net_sales_with_cost_recorded],0)</f>
        <v>5191806.7300000004</v>
      </c>
      <c r="AN299" s="12">
        <f>_xlfn.XLOOKUP(TableDailySummary[[#This Row],[Fecha]],SummaryDaily[day],SummaryDaily[cost_of_goods_sold],0)</f>
        <v>1598547</v>
      </c>
      <c r="AO299" s="12">
        <f>_xlfn.XLOOKUP(TableDailySummary[[#This Row],[Fecha]],SummaryDaily[day],SummaryDaily[gross_profit],0)</f>
        <v>3593259.73</v>
      </c>
      <c r="AP299" s="18">
        <f>IFERROR(TableDailySummary[[#This Row],[Utilidad bruta]]/TableDailySummary[[#This Row],[Ventas netas con costo registrado]],0)</f>
        <v>0.69210198238638976</v>
      </c>
    </row>
    <row r="300" spans="2:42" x14ac:dyDescent="0.2">
      <c r="B300" s="15" cm="1">
        <f t="array" ref="B300">MIN(SummaryDaily[day]) + (ROW(TableDailySummary[#This Row]) - ROW(TableDailySummary[[#Headers],[Dia]]) - 1)</f>
        <v>46071</v>
      </c>
      <c r="C300" s="6">
        <f>TableDailySummary[[#This Row],[Dia]]</f>
        <v>46071</v>
      </c>
      <c r="D300" s="12">
        <f>_xlfn.XLOOKUP(TableDailySummary[[#This Row],[Fecha]],SummaryDaily[day],SummaryDaily[net_sales],0)</f>
        <v>3528865.57</v>
      </c>
      <c r="E300" s="12">
        <f>_xlfn.XLOOKUP(TableDailySummary[[#This Row],[Fecha]],SummaryDaily[day],SummaryDaily[orders],0)</f>
        <v>17</v>
      </c>
      <c r="F300" s="12">
        <f>_xlfn.XLOOKUP(TableDailySummary[[#This Row],[Fecha]],SummaryDaily[day],SummaryDaily[average_order_value],0)</f>
        <v>200113.69399999999</v>
      </c>
      <c r="G300" s="24">
        <f>_xlfn.XLOOKUP(TableDailySummary[[#This Row],[Fecha]],SummaryDaily[day],SummaryDaily[Total site_conversion_rate],0)</f>
        <v>2.3529411764705882E-2</v>
      </c>
      <c r="H300" s="12">
        <f>TableDailySummary[[#This Row],[Órden promedio totales]]*TableDailySummary[[#This Row],[CR totales]]</f>
        <v>4708.5575058823524</v>
      </c>
      <c r="I300" s="12">
        <f>_xlfn.XLOOKUP(TableDailySummary[[#This Row],[Fecha]],SummaryDaily[day],SummaryDaily[new_net_sales],0)</f>
        <v>2771176.48</v>
      </c>
      <c r="J300" s="12">
        <f>_xlfn.XLOOKUP(TableDailySummary[[#This Row],[Fecha]],SummaryDaily[day],SummaryDaily[new_orders],0)</f>
        <v>10</v>
      </c>
      <c r="K300" s="12">
        <f>_xlfn.XLOOKUP(TableDailySummary[[#This Row],[Fecha]],SummaryDaily[day],SummaryDaily[new_average_order_value],0)</f>
        <v>264424.37099999998</v>
      </c>
      <c r="L300" s="12">
        <f>_xlfn.XLOOKUP(TableDailySummary[[#This Row],[Fecha]],SummaryDaily[day],SummaryDaily[Online Store_net_sales],0)</f>
        <v>668949.57999999996</v>
      </c>
      <c r="M300" s="12">
        <f>_xlfn.XLOOKUP(TableDailySummary[[#This Row],[Fecha]],SummaryDaily[day],SummaryDaily[Online Store_orders],0)</f>
        <v>4</v>
      </c>
      <c r="N300" s="12">
        <f>_xlfn.XLOOKUP(TableDailySummary[[#This Row],[Fecha]],SummaryDaily[day],SummaryDaily[Online Store_average_order_value],0)</f>
        <v>135504.20199999999</v>
      </c>
      <c r="O300" s="12">
        <f>_xlfn.XLOOKUP(TableDailySummary[[#This Row],[Fecha]],SummaryDaily[day],SummaryDaily[Tienda 81_net_sales],0)</f>
        <v>2859915.99</v>
      </c>
      <c r="P300" s="12">
        <f>_xlfn.XLOOKUP(TableDailySummary[[#This Row],[Fecha]],SummaryDaily[day],SummaryDaily[Tienda 81_orders],0)</f>
        <v>13</v>
      </c>
      <c r="Q300" s="12">
        <f>_xlfn.XLOOKUP(TableDailySummary[[#This Row],[Fecha]],SummaryDaily[day],SummaryDaily[Tienda 81_average_order_value],0)</f>
        <v>219993.53700000001</v>
      </c>
      <c r="R300" s="12">
        <f>_xlfn.XLOOKUP(TableDailySummary[[#This Row],[Fecha]],SummaryDaily[day],SummaryDaily[Rappi_net_sales],0)</f>
        <v>0</v>
      </c>
      <c r="S300" s="12">
        <f>_xlfn.XLOOKUP(TableDailySummary[[#This Row],[Fecha]],SummaryDaily[day],SummaryDaily[Rappi_orders],0)</f>
        <v>0</v>
      </c>
      <c r="T300" s="12">
        <f>_xlfn.XLOOKUP(TableDailySummary[[#This Row],[Fecha]],SummaryDaily[day],SummaryDaily[Rappi_average_order_value],0)</f>
        <v>0</v>
      </c>
      <c r="U300" s="12">
        <f>_xlfn.XLOOKUP(TableDailySummary[[#This Row],[Fecha]],SummaryDaily[day],SummaryDaily[Corporativo no tienda_net_sales],0)</f>
        <v>0</v>
      </c>
      <c r="V300" s="12">
        <f>_xlfn.XLOOKUP(TableDailySummary[[#This Row],[Fecha]],SummaryDaily[day],SummaryDaily[Corporativo no tienda_orders],0)</f>
        <v>0</v>
      </c>
      <c r="W300" s="12">
        <f>_xlfn.XLOOKUP(TableDailySummary[[#This Row],[Fecha]],SummaryDaily[day],SummaryDaily[Corporativo no tienda_average_order_value],0)</f>
        <v>0</v>
      </c>
      <c r="X300" s="12">
        <f>_xlfn.XLOOKUP(TableDailySummary[[#This Row],[Fecha]],SummaryDaily[day],SummaryDaily[GoogleAdsOperation.Cost],0)</f>
        <v>28364.799999999999</v>
      </c>
      <c r="Y300" s="12">
        <f>SUMIFS(SalesByUTMDaily[google],SalesByUTMDaily[day],TableDailySummary[[#This Row],[Fecha]])</f>
        <v>376050</v>
      </c>
      <c r="Z300" s="12">
        <f>_xlfn.XLOOKUP(TableDailySummary[[#This Row],[Fecha]],SummaryDaily[day],SummaryDaily[MetaAdsOperation.spend],0)</f>
        <v>54247</v>
      </c>
      <c r="AA300" s="12">
        <f>SUMIFS(SalesByUTMDaily[facebook],SalesByUTMDaily[day],TableDailySummary[[#This Row],[Fecha]])</f>
        <v>147000</v>
      </c>
      <c r="AB300" s="12">
        <f>TableDailySummary[[#This Row],[Inversión google ads]]+TableDailySummary[[#This Row],[Inversión meta ads]]</f>
        <v>82611.8</v>
      </c>
      <c r="AC300" s="12">
        <f>TableDailySummary[[#This Row],[Ventas google ads]]+TableDailySummary[[#This Row],[Ventas meta ads]]</f>
        <v>523050</v>
      </c>
      <c r="AD300" s="14">
        <f>IFERROR(TableDailySummary[[#This Row],[Ventas publicidad]]/TableDailySummary[[#This Row],[Inversión publicidad]],0)</f>
        <v>6.3314199666391477</v>
      </c>
      <c r="AE300" s="14">
        <f>IFERROR(TableDailySummary[[#This Row],[Ventas primer cliente]]/TableDailySummary[[#This Row],[Inversión publicidad]],0)</f>
        <v>33.544559978114506</v>
      </c>
      <c r="AF300" s="14"/>
      <c r="AG300" s="12"/>
      <c r="AM300" s="12">
        <f>_xlfn.XLOOKUP(TableDailySummary[[#This Row],[Fecha]],SummaryDaily[day],SummaryDaily[net_sales_with_cost_recorded],0)</f>
        <v>3528865.57</v>
      </c>
      <c r="AN300" s="12">
        <f>_xlfn.XLOOKUP(TableDailySummary[[#This Row],[Fecha]],SummaryDaily[day],SummaryDaily[cost_of_goods_sold],0)</f>
        <v>1440869</v>
      </c>
      <c r="AO300" s="12">
        <f>_xlfn.XLOOKUP(TableDailySummary[[#This Row],[Fecha]],SummaryDaily[day],SummaryDaily[gross_profit],0)</f>
        <v>2087996.57</v>
      </c>
      <c r="AP300" s="18">
        <f>IFERROR(TableDailySummary[[#This Row],[Utilidad bruta]]/TableDailySummary[[#This Row],[Ventas netas con costo registrado]],0)</f>
        <v>0.59169059534336421</v>
      </c>
    </row>
    <row r="301" spans="2:42" x14ac:dyDescent="0.2">
      <c r="B301" s="15" cm="1">
        <f t="array" ref="B301">MIN(SummaryDaily[day]) + (ROW(TableDailySummary[#This Row]) - ROW(TableDailySummary[[#Headers],[Dia]]) - 1)</f>
        <v>46072</v>
      </c>
      <c r="C301" s="6">
        <f>TableDailySummary[[#This Row],[Dia]]</f>
        <v>46072</v>
      </c>
      <c r="D301" s="12">
        <f>_xlfn.XLOOKUP(TableDailySummary[[#This Row],[Fecha]],SummaryDaily[day],SummaryDaily[net_sales],0)</f>
        <v>4148873.93</v>
      </c>
      <c r="E301" s="12">
        <f>_xlfn.XLOOKUP(TableDailySummary[[#This Row],[Fecha]],SummaryDaily[day],SummaryDaily[orders],0)</f>
        <v>21</v>
      </c>
      <c r="F301" s="12">
        <f>_xlfn.XLOOKUP(TableDailySummary[[#This Row],[Fecha]],SummaryDaily[day],SummaryDaily[average_order_value],0)</f>
        <v>197565.42499999999</v>
      </c>
      <c r="G301" s="24">
        <f>_xlfn.XLOOKUP(TableDailySummary[[#This Row],[Fecha]],SummaryDaily[day],SummaryDaily[Total site_conversion_rate],0)</f>
        <v>2.2857142857142857E-2</v>
      </c>
      <c r="H301" s="12">
        <f>TableDailySummary[[#This Row],[Órden promedio totales]]*TableDailySummary[[#This Row],[CR totales]]</f>
        <v>4515.7811428571422</v>
      </c>
      <c r="I301" s="12">
        <f>_xlfn.XLOOKUP(TableDailySummary[[#This Row],[Fecha]],SummaryDaily[day],SummaryDaily[new_net_sales],0)</f>
        <v>1899957.98</v>
      </c>
      <c r="J301" s="12">
        <f>_xlfn.XLOOKUP(TableDailySummary[[#This Row],[Fecha]],SummaryDaily[day],SummaryDaily[new_orders],0)</f>
        <v>8</v>
      </c>
      <c r="K301" s="12">
        <f>_xlfn.XLOOKUP(TableDailySummary[[#This Row],[Fecha]],SummaryDaily[day],SummaryDaily[new_average_order_value],0)</f>
        <v>237494.747</v>
      </c>
      <c r="L301" s="12">
        <f>_xlfn.XLOOKUP(TableDailySummary[[#This Row],[Fecha]],SummaryDaily[day],SummaryDaily[Online Store_net_sales],0)</f>
        <v>789915.96</v>
      </c>
      <c r="M301" s="12">
        <f>_xlfn.XLOOKUP(TableDailySummary[[#This Row],[Fecha]],SummaryDaily[day],SummaryDaily[Online Store_orders],0)</f>
        <v>4</v>
      </c>
      <c r="N301" s="12">
        <f>_xlfn.XLOOKUP(TableDailySummary[[#This Row],[Fecha]],SummaryDaily[day],SummaryDaily[Online Store_average_order_value],0)</f>
        <v>197478.99</v>
      </c>
      <c r="O301" s="12">
        <f>_xlfn.XLOOKUP(TableDailySummary[[#This Row],[Fecha]],SummaryDaily[day],SummaryDaily[Tienda 81_net_sales],0)</f>
        <v>3358957.97</v>
      </c>
      <c r="P301" s="12">
        <f>_xlfn.XLOOKUP(TableDailySummary[[#This Row],[Fecha]],SummaryDaily[day],SummaryDaily[Tienda 81_orders],0)</f>
        <v>17</v>
      </c>
      <c r="Q301" s="12">
        <f>_xlfn.XLOOKUP(TableDailySummary[[#This Row],[Fecha]],SummaryDaily[day],SummaryDaily[Tienda 81_average_order_value],0)</f>
        <v>197585.76199999999</v>
      </c>
      <c r="R301" s="12">
        <f>_xlfn.XLOOKUP(TableDailySummary[[#This Row],[Fecha]],SummaryDaily[day],SummaryDaily[Rappi_net_sales],0)</f>
        <v>0</v>
      </c>
      <c r="S301" s="12">
        <f>_xlfn.XLOOKUP(TableDailySummary[[#This Row],[Fecha]],SummaryDaily[day],SummaryDaily[Rappi_orders],0)</f>
        <v>0</v>
      </c>
      <c r="T301" s="12">
        <f>_xlfn.XLOOKUP(TableDailySummary[[#This Row],[Fecha]],SummaryDaily[day],SummaryDaily[Rappi_average_order_value],0)</f>
        <v>0</v>
      </c>
      <c r="U301" s="12">
        <f>_xlfn.XLOOKUP(TableDailySummary[[#This Row],[Fecha]],SummaryDaily[day],SummaryDaily[Corporativo no tienda_net_sales],0)</f>
        <v>0</v>
      </c>
      <c r="V301" s="12">
        <f>_xlfn.XLOOKUP(TableDailySummary[[#This Row],[Fecha]],SummaryDaily[day],SummaryDaily[Corporativo no tienda_orders],0)</f>
        <v>0</v>
      </c>
      <c r="W301" s="12">
        <f>_xlfn.XLOOKUP(TableDailySummary[[#This Row],[Fecha]],SummaryDaily[day],SummaryDaily[Corporativo no tienda_average_order_value],0)</f>
        <v>0</v>
      </c>
      <c r="X301" s="12">
        <f>_xlfn.XLOOKUP(TableDailySummary[[#This Row],[Fecha]],SummaryDaily[day],SummaryDaily[GoogleAdsOperation.Cost],0)</f>
        <v>26237.73</v>
      </c>
      <c r="Y301" s="12">
        <f>SUMIFS(SalesByUTMDaily[google],SalesByUTMDaily[day],TableDailySummary[[#This Row],[Fecha]])</f>
        <v>311000</v>
      </c>
      <c r="Z301" s="12">
        <f>_xlfn.XLOOKUP(TableDailySummary[[#This Row],[Fecha]],SummaryDaily[day],SummaryDaily[MetaAdsOperation.spend],0)</f>
        <v>46557</v>
      </c>
      <c r="AA301" s="12">
        <f>SUMIFS(SalesByUTMDaily[facebook],SalesByUTMDaily[day],TableDailySummary[[#This Row],[Fecha]])</f>
        <v>122000</v>
      </c>
      <c r="AB301" s="12">
        <f>TableDailySummary[[#This Row],[Inversión google ads]]+TableDailySummary[[#This Row],[Inversión meta ads]]</f>
        <v>72794.73</v>
      </c>
      <c r="AC301" s="12">
        <f>TableDailySummary[[#This Row],[Ventas google ads]]+TableDailySummary[[#This Row],[Ventas meta ads]]</f>
        <v>433000</v>
      </c>
      <c r="AD301" s="14">
        <f>IFERROR(TableDailySummary[[#This Row],[Ventas publicidad]]/TableDailySummary[[#This Row],[Inversión publicidad]],0)</f>
        <v>5.9482327910275927</v>
      </c>
      <c r="AE301" s="14">
        <f>IFERROR(TableDailySummary[[#This Row],[Ventas primer cliente]]/TableDailySummary[[#This Row],[Inversión publicidad]],0)</f>
        <v>26.100213298407731</v>
      </c>
      <c r="AF301" s="14"/>
      <c r="AG301" s="12"/>
      <c r="AM301" s="12">
        <f>_xlfn.XLOOKUP(TableDailySummary[[#This Row],[Fecha]],SummaryDaily[day],SummaryDaily[net_sales_with_cost_recorded],0)</f>
        <v>4148873.93</v>
      </c>
      <c r="AN301" s="12">
        <f>_xlfn.XLOOKUP(TableDailySummary[[#This Row],[Fecha]],SummaryDaily[day],SummaryDaily[cost_of_goods_sold],0)</f>
        <v>1329526</v>
      </c>
      <c r="AO301" s="12">
        <f>_xlfn.XLOOKUP(TableDailySummary[[#This Row],[Fecha]],SummaryDaily[day],SummaryDaily[gross_profit],0)</f>
        <v>2819347.93</v>
      </c>
      <c r="AP301" s="18">
        <f>IFERROR(TableDailySummary[[#This Row],[Utilidad bruta]]/TableDailySummary[[#This Row],[Ventas netas con costo registrado]],0)</f>
        <v>0.67954533629321445</v>
      </c>
    </row>
    <row r="302" spans="2:42" x14ac:dyDescent="0.2">
      <c r="B302" s="15" cm="1">
        <f t="array" ref="B302">MIN(SummaryDaily[day]) + (ROW(TableDailySummary[#This Row]) - ROW(TableDailySummary[[#Headers],[Dia]]) - 1)</f>
        <v>46073</v>
      </c>
      <c r="C302" s="6">
        <f>TableDailySummary[[#This Row],[Dia]]</f>
        <v>46073</v>
      </c>
      <c r="D302" s="12">
        <f>_xlfn.XLOOKUP(TableDailySummary[[#This Row],[Fecha]],SummaryDaily[day],SummaryDaily[net_sales],0)</f>
        <v>1614436.97</v>
      </c>
      <c r="E302" s="12">
        <f>_xlfn.XLOOKUP(TableDailySummary[[#This Row],[Fecha]],SummaryDaily[day],SummaryDaily[orders],0)</f>
        <v>17</v>
      </c>
      <c r="F302" s="12">
        <f>_xlfn.XLOOKUP(TableDailySummary[[#This Row],[Fecha]],SummaryDaily[day],SummaryDaily[average_order_value],0)</f>
        <v>94966.88</v>
      </c>
      <c r="G302" s="24">
        <f>_xlfn.XLOOKUP(TableDailySummary[[#This Row],[Fecha]],SummaryDaily[day],SummaryDaily[Total site_conversion_rate],0)</f>
        <v>0</v>
      </c>
      <c r="H302" s="12">
        <f>TableDailySummary[[#This Row],[Órden promedio totales]]*TableDailySummary[[#This Row],[CR totales]]</f>
        <v>0</v>
      </c>
      <c r="I302" s="12">
        <f>_xlfn.XLOOKUP(TableDailySummary[[#This Row],[Fecha]],SummaryDaily[day],SummaryDaily[new_net_sales],0)</f>
        <v>974369.74</v>
      </c>
      <c r="J302" s="12">
        <f>_xlfn.XLOOKUP(TableDailySummary[[#This Row],[Fecha]],SummaryDaily[day],SummaryDaily[new_orders],0)</f>
        <v>8</v>
      </c>
      <c r="K302" s="12">
        <f>_xlfn.XLOOKUP(TableDailySummary[[#This Row],[Fecha]],SummaryDaily[day],SummaryDaily[new_average_order_value],0)</f>
        <v>121796.217</v>
      </c>
      <c r="L302" s="12">
        <f>_xlfn.XLOOKUP(TableDailySummary[[#This Row],[Fecha]],SummaryDaily[day],SummaryDaily[Online Store_net_sales],0)</f>
        <v>0</v>
      </c>
      <c r="M302" s="12">
        <f>_xlfn.XLOOKUP(TableDailySummary[[#This Row],[Fecha]],SummaryDaily[day],SummaryDaily[Online Store_orders],0)</f>
        <v>0</v>
      </c>
      <c r="N302" s="12">
        <f>_xlfn.XLOOKUP(TableDailySummary[[#This Row],[Fecha]],SummaryDaily[day],SummaryDaily[Online Store_average_order_value],0)</f>
        <v>0</v>
      </c>
      <c r="O302" s="12">
        <f>_xlfn.XLOOKUP(TableDailySummary[[#This Row],[Fecha]],SummaryDaily[day],SummaryDaily[Tienda 81_net_sales],0)</f>
        <v>1614436.97</v>
      </c>
      <c r="P302" s="12">
        <f>_xlfn.XLOOKUP(TableDailySummary[[#This Row],[Fecha]],SummaryDaily[day],SummaryDaily[Tienda 81_orders],0)</f>
        <v>17</v>
      </c>
      <c r="Q302" s="12">
        <f>_xlfn.XLOOKUP(TableDailySummary[[#This Row],[Fecha]],SummaryDaily[day],SummaryDaily[Tienda 81_average_order_value],0)</f>
        <v>94966.88</v>
      </c>
      <c r="R302" s="12">
        <f>_xlfn.XLOOKUP(TableDailySummary[[#This Row],[Fecha]],SummaryDaily[day],SummaryDaily[Rappi_net_sales],0)</f>
        <v>0</v>
      </c>
      <c r="S302" s="12">
        <f>_xlfn.XLOOKUP(TableDailySummary[[#This Row],[Fecha]],SummaryDaily[day],SummaryDaily[Rappi_orders],0)</f>
        <v>0</v>
      </c>
      <c r="T302" s="12">
        <f>_xlfn.XLOOKUP(TableDailySummary[[#This Row],[Fecha]],SummaryDaily[day],SummaryDaily[Rappi_average_order_value],0)</f>
        <v>0</v>
      </c>
      <c r="U302" s="12">
        <f>_xlfn.XLOOKUP(TableDailySummary[[#This Row],[Fecha]],SummaryDaily[day],SummaryDaily[Corporativo no tienda_net_sales],0)</f>
        <v>0</v>
      </c>
      <c r="V302" s="12">
        <f>_xlfn.XLOOKUP(TableDailySummary[[#This Row],[Fecha]],SummaryDaily[day],SummaryDaily[Corporativo no tienda_orders],0)</f>
        <v>0</v>
      </c>
      <c r="W302" s="12">
        <f>_xlfn.XLOOKUP(TableDailySummary[[#This Row],[Fecha]],SummaryDaily[day],SummaryDaily[Corporativo no tienda_average_order_value],0)</f>
        <v>0</v>
      </c>
      <c r="X302" s="12">
        <f>_xlfn.XLOOKUP(TableDailySummary[[#This Row],[Fecha]],SummaryDaily[day],SummaryDaily[GoogleAdsOperation.Cost],0)</f>
        <v>19579.8</v>
      </c>
      <c r="Y302" s="12">
        <f>SUMIFS(SalesByUTMDaily[google],SalesByUTMDaily[day],TableDailySummary[[#This Row],[Fecha]])</f>
        <v>0</v>
      </c>
      <c r="Z302" s="12">
        <f>_xlfn.XLOOKUP(TableDailySummary[[#This Row],[Fecha]],SummaryDaily[day],SummaryDaily[MetaAdsOperation.spend],0)</f>
        <v>58321</v>
      </c>
      <c r="AA302" s="12">
        <f>SUMIFS(SalesByUTMDaily[facebook],SalesByUTMDaily[day],TableDailySummary[[#This Row],[Fecha]])</f>
        <v>0</v>
      </c>
      <c r="AB302" s="12">
        <f>TableDailySummary[[#This Row],[Inversión google ads]]+TableDailySummary[[#This Row],[Inversión meta ads]]</f>
        <v>77900.800000000003</v>
      </c>
      <c r="AC302" s="12">
        <f>TableDailySummary[[#This Row],[Ventas google ads]]+TableDailySummary[[#This Row],[Ventas meta ads]]</f>
        <v>0</v>
      </c>
      <c r="AD302" s="14">
        <f>IFERROR(TableDailySummary[[#This Row],[Ventas publicidad]]/TableDailySummary[[#This Row],[Inversión publicidad]],0)</f>
        <v>0</v>
      </c>
      <c r="AE302" s="14">
        <f>IFERROR(TableDailySummary[[#This Row],[Ventas primer cliente]]/TableDailySummary[[#This Row],[Inversión publicidad]],0)</f>
        <v>12.507827133996056</v>
      </c>
      <c r="AF302" s="14"/>
      <c r="AG302" s="12"/>
      <c r="AM302" s="12">
        <f>_xlfn.XLOOKUP(TableDailySummary[[#This Row],[Fecha]],SummaryDaily[day],SummaryDaily[net_sales_with_cost_recorded],0)</f>
        <v>1614436.97</v>
      </c>
      <c r="AN302" s="12">
        <f>_xlfn.XLOOKUP(TableDailySummary[[#This Row],[Fecha]],SummaryDaily[day],SummaryDaily[cost_of_goods_sold],0)</f>
        <v>472759</v>
      </c>
      <c r="AO302" s="12">
        <f>_xlfn.XLOOKUP(TableDailySummary[[#This Row],[Fecha]],SummaryDaily[day],SummaryDaily[gross_profit],0)</f>
        <v>1141677.97</v>
      </c>
      <c r="AP302" s="18">
        <f>IFERROR(TableDailySummary[[#This Row],[Utilidad bruta]]/TableDailySummary[[#This Row],[Ventas netas con costo registrado]],0)</f>
        <v>0.7071678803292023</v>
      </c>
    </row>
    <row r="303" spans="2:42" x14ac:dyDescent="0.2">
      <c r="B303" s="15" cm="1">
        <f t="array" ref="B303">MIN(SummaryDaily[day]) + (ROW(TableDailySummary[#This Row]) - ROW(TableDailySummary[[#Headers],[Dia]]) - 1)</f>
        <v>46074</v>
      </c>
      <c r="C303" s="6">
        <f>TableDailySummary[[#This Row],[Dia]]</f>
        <v>46074</v>
      </c>
      <c r="D303" s="12">
        <f>_xlfn.XLOOKUP(TableDailySummary[[#This Row],[Fecha]],SummaryDaily[day],SummaryDaily[net_sales],0)</f>
        <v>3032512.62</v>
      </c>
      <c r="E303" s="12">
        <f>_xlfn.XLOOKUP(TableDailySummary[[#This Row],[Fecha]],SummaryDaily[day],SummaryDaily[orders],0)</f>
        <v>24</v>
      </c>
      <c r="F303" s="12">
        <f>_xlfn.XLOOKUP(TableDailySummary[[#This Row],[Fecha]],SummaryDaily[day],SummaryDaily[average_order_value],0)</f>
        <v>126354.692</v>
      </c>
      <c r="G303" s="24">
        <f>_xlfn.XLOOKUP(TableDailySummary[[#This Row],[Fecha]],SummaryDaily[day],SummaryDaily[Total site_conversion_rate],0)</f>
        <v>2.8409090909090908E-2</v>
      </c>
      <c r="H303" s="12">
        <f>TableDailySummary[[#This Row],[Órden promedio totales]]*TableDailySummary[[#This Row],[CR totales]]</f>
        <v>3589.6219318181816</v>
      </c>
      <c r="I303" s="12">
        <f>_xlfn.XLOOKUP(TableDailySummary[[#This Row],[Fecha]],SummaryDaily[day],SummaryDaily[new_net_sales],0)</f>
        <v>851680.67</v>
      </c>
      <c r="J303" s="12">
        <f>_xlfn.XLOOKUP(TableDailySummary[[#This Row],[Fecha]],SummaryDaily[day],SummaryDaily[new_orders],0)</f>
        <v>11</v>
      </c>
      <c r="K303" s="12">
        <f>_xlfn.XLOOKUP(TableDailySummary[[#This Row],[Fecha]],SummaryDaily[day],SummaryDaily[new_average_order_value],0)</f>
        <v>77425.514999999999</v>
      </c>
      <c r="L303" s="12">
        <f>_xlfn.XLOOKUP(TableDailySummary[[#This Row],[Fecha]],SummaryDaily[day],SummaryDaily[Online Store_net_sales],0)</f>
        <v>554621.85</v>
      </c>
      <c r="M303" s="12">
        <f>_xlfn.XLOOKUP(TableDailySummary[[#This Row],[Fecha]],SummaryDaily[day],SummaryDaily[Online Store_orders],0)</f>
        <v>6</v>
      </c>
      <c r="N303" s="12">
        <f>_xlfn.XLOOKUP(TableDailySummary[[#This Row],[Fecha]],SummaryDaily[day],SummaryDaily[Online Store_average_order_value],0)</f>
        <v>92436.975000000006</v>
      </c>
      <c r="O303" s="12">
        <f>_xlfn.XLOOKUP(TableDailySummary[[#This Row],[Fecha]],SummaryDaily[day],SummaryDaily[Tienda 81_net_sales],0)</f>
        <v>2381252.11</v>
      </c>
      <c r="P303" s="12">
        <f>_xlfn.XLOOKUP(TableDailySummary[[#This Row],[Fecha]],SummaryDaily[day],SummaryDaily[Tienda 81_orders],0)</f>
        <v>17</v>
      </c>
      <c r="Q303" s="12">
        <f>_xlfn.XLOOKUP(TableDailySummary[[#This Row],[Fecha]],SummaryDaily[day],SummaryDaily[Tienda 81_average_order_value],0)</f>
        <v>140073.65299999999</v>
      </c>
      <c r="R303" s="12">
        <f>_xlfn.XLOOKUP(TableDailySummary[[#This Row],[Fecha]],SummaryDaily[day],SummaryDaily[Rappi_net_sales],0)</f>
        <v>96638.66</v>
      </c>
      <c r="S303" s="12">
        <f>_xlfn.XLOOKUP(TableDailySummary[[#This Row],[Fecha]],SummaryDaily[day],SummaryDaily[Rappi_orders],0)</f>
        <v>1</v>
      </c>
      <c r="T303" s="12">
        <f>_xlfn.XLOOKUP(TableDailySummary[[#This Row],[Fecha]],SummaryDaily[day],SummaryDaily[Rappi_average_order_value],0)</f>
        <v>96638.66</v>
      </c>
      <c r="U303" s="12">
        <f>_xlfn.XLOOKUP(TableDailySummary[[#This Row],[Fecha]],SummaryDaily[day],SummaryDaily[Corporativo no tienda_net_sales],0)</f>
        <v>0</v>
      </c>
      <c r="V303" s="12">
        <f>_xlfn.XLOOKUP(TableDailySummary[[#This Row],[Fecha]],SummaryDaily[day],SummaryDaily[Corporativo no tienda_orders],0)</f>
        <v>0</v>
      </c>
      <c r="W303" s="12">
        <f>_xlfn.XLOOKUP(TableDailySummary[[#This Row],[Fecha]],SummaryDaily[day],SummaryDaily[Corporativo no tienda_average_order_value],0)</f>
        <v>0</v>
      </c>
      <c r="X303" s="12">
        <f>_xlfn.XLOOKUP(TableDailySummary[[#This Row],[Fecha]],SummaryDaily[day],SummaryDaily[GoogleAdsOperation.Cost],0)</f>
        <v>40984.28</v>
      </c>
      <c r="Y303" s="12">
        <f>SUMIFS(SalesByUTMDaily[google],SalesByUTMDaily[day],TableDailySummary[[#This Row],[Fecha]])</f>
        <v>159000</v>
      </c>
      <c r="Z303" s="12">
        <f>_xlfn.XLOOKUP(TableDailySummary[[#This Row],[Fecha]],SummaryDaily[day],SummaryDaily[MetaAdsOperation.spend],0)</f>
        <v>45036</v>
      </c>
      <c r="AA303" s="12">
        <f>SUMIFS(SalesByUTMDaily[facebook],SalesByUTMDaily[day],TableDailySummary[[#This Row],[Fecha]])</f>
        <v>0</v>
      </c>
      <c r="AB303" s="12">
        <f>TableDailySummary[[#This Row],[Inversión google ads]]+TableDailySummary[[#This Row],[Inversión meta ads]]</f>
        <v>86020.28</v>
      </c>
      <c r="AC303" s="12">
        <f>TableDailySummary[[#This Row],[Ventas google ads]]+TableDailySummary[[#This Row],[Ventas meta ads]]</f>
        <v>159000</v>
      </c>
      <c r="AD303" s="14">
        <f>IFERROR(TableDailySummary[[#This Row],[Ventas publicidad]]/TableDailySummary[[#This Row],[Inversión publicidad]],0)</f>
        <v>1.8484013304769527</v>
      </c>
      <c r="AE303" s="14">
        <f>IFERROR(TableDailySummary[[#This Row],[Ventas primer cliente]]/TableDailySummary[[#This Row],[Inversión publicidad]],0)</f>
        <v>9.9009288274811489</v>
      </c>
      <c r="AF303" s="14"/>
      <c r="AG303" s="12"/>
      <c r="AM303" s="12">
        <f>_xlfn.XLOOKUP(TableDailySummary[[#This Row],[Fecha]],SummaryDaily[day],SummaryDaily[net_sales_with_cost_recorded],0)</f>
        <v>3032512.62</v>
      </c>
      <c r="AN303" s="12">
        <f>_xlfn.XLOOKUP(TableDailySummary[[#This Row],[Fecha]],SummaryDaily[day],SummaryDaily[cost_of_goods_sold],0)</f>
        <v>955607</v>
      </c>
      <c r="AO303" s="12">
        <f>_xlfn.XLOOKUP(TableDailySummary[[#This Row],[Fecha]],SummaryDaily[day],SummaryDaily[gross_profit],0)</f>
        <v>2076905.62</v>
      </c>
      <c r="AP303" s="18">
        <f>IFERROR(TableDailySummary[[#This Row],[Utilidad bruta]]/TableDailySummary[[#This Row],[Ventas netas con costo registrado]],0)</f>
        <v>0.68487946473904537</v>
      </c>
    </row>
    <row r="304" spans="2:42" x14ac:dyDescent="0.2">
      <c r="B304" s="15" cm="1">
        <f t="array" ref="B304">MIN(SummaryDaily[day]) + (ROW(TableDailySummary[#This Row]) - ROW(TableDailySummary[[#Headers],[Dia]]) - 1)</f>
        <v>46075</v>
      </c>
      <c r="C304" s="6">
        <f>TableDailySummary[[#This Row],[Dia]]</f>
        <v>46075</v>
      </c>
      <c r="D304" s="12">
        <f>_xlfn.XLOOKUP(TableDailySummary[[#This Row],[Fecha]],SummaryDaily[day],SummaryDaily[net_sales],0)</f>
        <v>504201.68</v>
      </c>
      <c r="E304" s="12">
        <f>_xlfn.XLOOKUP(TableDailySummary[[#This Row],[Fecha]],SummaryDaily[day],SummaryDaily[orders],0)</f>
        <v>5</v>
      </c>
      <c r="F304" s="12">
        <f>_xlfn.XLOOKUP(TableDailySummary[[#This Row],[Fecha]],SummaryDaily[day],SummaryDaily[average_order_value],0)</f>
        <v>100840.336</v>
      </c>
      <c r="G304" s="24">
        <f>_xlfn.XLOOKUP(TableDailySummary[[#This Row],[Fecha]],SummaryDaily[day],SummaryDaily[Total site_conversion_rate],0)</f>
        <v>1.8404907975460124E-2</v>
      </c>
      <c r="H304" s="12">
        <f>TableDailySummary[[#This Row],[Órden promedio totales]]*TableDailySummary[[#This Row],[CR totales]]</f>
        <v>1855.9571042944785</v>
      </c>
      <c r="I304" s="12">
        <f>_xlfn.XLOOKUP(TableDailySummary[[#This Row],[Fecha]],SummaryDaily[day],SummaryDaily[new_net_sales],0)</f>
        <v>126050.42</v>
      </c>
      <c r="J304" s="12">
        <f>_xlfn.XLOOKUP(TableDailySummary[[#This Row],[Fecha]],SummaryDaily[day],SummaryDaily[new_orders],0)</f>
        <v>2</v>
      </c>
      <c r="K304" s="12">
        <f>_xlfn.XLOOKUP(TableDailySummary[[#This Row],[Fecha]],SummaryDaily[day],SummaryDaily[new_average_order_value],0)</f>
        <v>63025.21</v>
      </c>
      <c r="L304" s="12">
        <f>_xlfn.XLOOKUP(TableDailySummary[[#This Row],[Fecha]],SummaryDaily[day],SummaryDaily[Online Store_net_sales],0)</f>
        <v>504201.68</v>
      </c>
      <c r="M304" s="12">
        <f>_xlfn.XLOOKUP(TableDailySummary[[#This Row],[Fecha]],SummaryDaily[day],SummaryDaily[Online Store_orders],0)</f>
        <v>5</v>
      </c>
      <c r="N304" s="12">
        <f>_xlfn.XLOOKUP(TableDailySummary[[#This Row],[Fecha]],SummaryDaily[day],SummaryDaily[Online Store_average_order_value],0)</f>
        <v>100840.336</v>
      </c>
      <c r="O304" s="12">
        <f>_xlfn.XLOOKUP(TableDailySummary[[#This Row],[Fecha]],SummaryDaily[day],SummaryDaily[Tienda 81_net_sales],0)</f>
        <v>0</v>
      </c>
      <c r="P304" s="12">
        <f>_xlfn.XLOOKUP(TableDailySummary[[#This Row],[Fecha]],SummaryDaily[day],SummaryDaily[Tienda 81_orders],0)</f>
        <v>0</v>
      </c>
      <c r="Q304" s="12">
        <f>_xlfn.XLOOKUP(TableDailySummary[[#This Row],[Fecha]],SummaryDaily[day],SummaryDaily[Tienda 81_average_order_value],0)</f>
        <v>0</v>
      </c>
      <c r="R304" s="12">
        <f>_xlfn.XLOOKUP(TableDailySummary[[#This Row],[Fecha]],SummaryDaily[day],SummaryDaily[Rappi_net_sales],0)</f>
        <v>0</v>
      </c>
      <c r="S304" s="12">
        <f>_xlfn.XLOOKUP(TableDailySummary[[#This Row],[Fecha]],SummaryDaily[day],SummaryDaily[Rappi_orders],0)</f>
        <v>0</v>
      </c>
      <c r="T304" s="12">
        <f>_xlfn.XLOOKUP(TableDailySummary[[#This Row],[Fecha]],SummaryDaily[day],SummaryDaily[Rappi_average_order_value],0)</f>
        <v>0</v>
      </c>
      <c r="U304" s="12">
        <f>_xlfn.XLOOKUP(TableDailySummary[[#This Row],[Fecha]],SummaryDaily[day],SummaryDaily[Corporativo no tienda_net_sales],0)</f>
        <v>0</v>
      </c>
      <c r="V304" s="12">
        <f>_xlfn.XLOOKUP(TableDailySummary[[#This Row],[Fecha]],SummaryDaily[day],SummaryDaily[Corporativo no tienda_orders],0)</f>
        <v>0</v>
      </c>
      <c r="W304" s="12">
        <f>_xlfn.XLOOKUP(TableDailySummary[[#This Row],[Fecha]],SummaryDaily[day],SummaryDaily[Corporativo no tienda_average_order_value],0)</f>
        <v>0</v>
      </c>
      <c r="X304" s="12">
        <f>_xlfn.XLOOKUP(TableDailySummary[[#This Row],[Fecha]],SummaryDaily[day],SummaryDaily[GoogleAdsOperation.Cost],0)</f>
        <v>20267.16</v>
      </c>
      <c r="Y304" s="12">
        <f>SUMIFS(SalesByUTMDaily[google],SalesByUTMDaily[day],TableDailySummary[[#This Row],[Fecha]])</f>
        <v>323000</v>
      </c>
      <c r="Z304" s="12">
        <f>_xlfn.XLOOKUP(TableDailySummary[[#This Row],[Fecha]],SummaryDaily[day],SummaryDaily[MetaAdsOperation.spend],0)</f>
        <v>54037</v>
      </c>
      <c r="AA304" s="12">
        <f>SUMIFS(SalesByUTMDaily[facebook],SalesByUTMDaily[day],TableDailySummary[[#This Row],[Fecha]])</f>
        <v>87000</v>
      </c>
      <c r="AB304" s="12">
        <f>TableDailySummary[[#This Row],[Inversión google ads]]+TableDailySummary[[#This Row],[Inversión meta ads]]</f>
        <v>74304.160000000003</v>
      </c>
      <c r="AC304" s="12">
        <f>TableDailySummary[[#This Row],[Ventas google ads]]+TableDailySummary[[#This Row],[Ventas meta ads]]</f>
        <v>410000</v>
      </c>
      <c r="AD304" s="14">
        <f>IFERROR(TableDailySummary[[#This Row],[Ventas publicidad]]/TableDailySummary[[#This Row],[Inversión publicidad]],0)</f>
        <v>5.5178606419882819</v>
      </c>
      <c r="AE304" s="14">
        <f>IFERROR(TableDailySummary[[#This Row],[Ventas primer cliente]]/TableDailySummary[[#This Row],[Inversión publicidad]],0)</f>
        <v>1.696411344936811</v>
      </c>
      <c r="AF304" s="14"/>
      <c r="AG304" s="12"/>
      <c r="AM304" s="12">
        <f>_xlfn.XLOOKUP(TableDailySummary[[#This Row],[Fecha]],SummaryDaily[day],SummaryDaily[net_sales_with_cost_recorded],0)</f>
        <v>504201.68</v>
      </c>
      <c r="AN304" s="12">
        <f>_xlfn.XLOOKUP(TableDailySummary[[#This Row],[Fecha]],SummaryDaily[day],SummaryDaily[cost_of_goods_sold],0)</f>
        <v>91851</v>
      </c>
      <c r="AO304" s="12">
        <f>_xlfn.XLOOKUP(TableDailySummary[[#This Row],[Fecha]],SummaryDaily[day],SummaryDaily[gross_profit],0)</f>
        <v>412350.68</v>
      </c>
      <c r="AP304" s="18">
        <f>IFERROR(TableDailySummary[[#This Row],[Utilidad bruta]]/TableDailySummary[[#This Row],[Ventas netas con costo registrado]],0)</f>
        <v>0.81782884975710513</v>
      </c>
    </row>
    <row r="305" spans="2:42" x14ac:dyDescent="0.2">
      <c r="B305" s="15" cm="1">
        <f t="array" ref="B305">MIN(SummaryDaily[day]) + (ROW(TableDailySummary[#This Row]) - ROW(TableDailySummary[[#Headers],[Dia]]) - 1)</f>
        <v>46076</v>
      </c>
      <c r="C305" s="6">
        <f>TableDailySummary[[#This Row],[Dia]]</f>
        <v>46076</v>
      </c>
      <c r="D305" s="12">
        <f>_xlfn.XLOOKUP(TableDailySummary[[#This Row],[Fecha]],SummaryDaily[day],SummaryDaily[net_sales],0)</f>
        <v>3671218.5</v>
      </c>
      <c r="E305" s="12">
        <f>_xlfn.XLOOKUP(TableDailySummary[[#This Row],[Fecha]],SummaryDaily[day],SummaryDaily[orders],0)</f>
        <v>9</v>
      </c>
      <c r="F305" s="12">
        <f>_xlfn.XLOOKUP(TableDailySummary[[#This Row],[Fecha]],SummaryDaily[day],SummaryDaily[average_order_value],0)</f>
        <v>407913.16600000003</v>
      </c>
      <c r="G305" s="24">
        <f>_xlfn.XLOOKUP(TableDailySummary[[#This Row],[Fecha]],SummaryDaily[day],SummaryDaily[Total site_conversion_rate],0)</f>
        <v>9.5693779904306216E-3</v>
      </c>
      <c r="H305" s="12">
        <f>TableDailySummary[[#This Row],[Órden promedio totales]]*TableDailySummary[[#This Row],[CR totales]]</f>
        <v>3903.475272727273</v>
      </c>
      <c r="I305" s="12">
        <f>_xlfn.XLOOKUP(TableDailySummary[[#This Row],[Fecha]],SummaryDaily[day],SummaryDaily[new_net_sales],0)</f>
        <v>319327.74</v>
      </c>
      <c r="J305" s="12">
        <f>_xlfn.XLOOKUP(TableDailySummary[[#This Row],[Fecha]],SummaryDaily[day],SummaryDaily[new_orders],0)</f>
        <v>3</v>
      </c>
      <c r="K305" s="12">
        <f>_xlfn.XLOOKUP(TableDailySummary[[#This Row],[Fecha]],SummaryDaily[day],SummaryDaily[new_average_order_value],0)</f>
        <v>106442.58</v>
      </c>
      <c r="L305" s="12">
        <f>_xlfn.XLOOKUP(TableDailySummary[[#This Row],[Fecha]],SummaryDaily[day],SummaryDaily[Online Store_net_sales],0)</f>
        <v>617647.06000000006</v>
      </c>
      <c r="M305" s="12">
        <f>_xlfn.XLOOKUP(TableDailySummary[[#This Row],[Fecha]],SummaryDaily[day],SummaryDaily[Online Store_orders],0)</f>
        <v>2</v>
      </c>
      <c r="N305" s="12">
        <f>_xlfn.XLOOKUP(TableDailySummary[[#This Row],[Fecha]],SummaryDaily[day],SummaryDaily[Online Store_average_order_value],0)</f>
        <v>308823.53000000003</v>
      </c>
      <c r="O305" s="12">
        <f>_xlfn.XLOOKUP(TableDailySummary[[#This Row],[Fecha]],SummaryDaily[day],SummaryDaily[Tienda 81_net_sales],0)</f>
        <v>3053571.44</v>
      </c>
      <c r="P305" s="12">
        <f>_xlfn.XLOOKUP(TableDailySummary[[#This Row],[Fecha]],SummaryDaily[day],SummaryDaily[Tienda 81_orders],0)</f>
        <v>7</v>
      </c>
      <c r="Q305" s="12">
        <f>_xlfn.XLOOKUP(TableDailySummary[[#This Row],[Fecha]],SummaryDaily[day],SummaryDaily[Tienda 81_average_order_value],0)</f>
        <v>436224.49099999998</v>
      </c>
      <c r="R305" s="12">
        <f>_xlfn.XLOOKUP(TableDailySummary[[#This Row],[Fecha]],SummaryDaily[day],SummaryDaily[Rappi_net_sales],0)</f>
        <v>0</v>
      </c>
      <c r="S305" s="12">
        <f>_xlfn.XLOOKUP(TableDailySummary[[#This Row],[Fecha]],SummaryDaily[day],SummaryDaily[Rappi_orders],0)</f>
        <v>0</v>
      </c>
      <c r="T305" s="12">
        <f>_xlfn.XLOOKUP(TableDailySummary[[#This Row],[Fecha]],SummaryDaily[day],SummaryDaily[Rappi_average_order_value],0)</f>
        <v>0</v>
      </c>
      <c r="U305" s="12">
        <f>_xlfn.XLOOKUP(TableDailySummary[[#This Row],[Fecha]],SummaryDaily[day],SummaryDaily[Corporativo no tienda_net_sales],0)</f>
        <v>0</v>
      </c>
      <c r="V305" s="12">
        <f>_xlfn.XLOOKUP(TableDailySummary[[#This Row],[Fecha]],SummaryDaily[day],SummaryDaily[Corporativo no tienda_orders],0)</f>
        <v>0</v>
      </c>
      <c r="W305" s="12">
        <f>_xlfn.XLOOKUP(TableDailySummary[[#This Row],[Fecha]],SummaryDaily[day],SummaryDaily[Corporativo no tienda_average_order_value],0)</f>
        <v>0</v>
      </c>
      <c r="X305" s="12">
        <f>_xlfn.XLOOKUP(TableDailySummary[[#This Row],[Fecha]],SummaryDaily[day],SummaryDaily[GoogleAdsOperation.Cost],0)</f>
        <v>25901.01</v>
      </c>
      <c r="Y305" s="12">
        <f>SUMIFS(SalesByUTMDaily[google],SalesByUTMDaily[day],TableDailySummary[[#This Row],[Fecha]])</f>
        <v>0</v>
      </c>
      <c r="Z305" s="12">
        <f>_xlfn.XLOOKUP(TableDailySummary[[#This Row],[Fecha]],SummaryDaily[day],SummaryDaily[MetaAdsOperation.spend],0)</f>
        <v>50320</v>
      </c>
      <c r="AA305" s="12">
        <f>SUMIFS(SalesByUTMDaily[facebook],SalesByUTMDaily[day],TableDailySummary[[#This Row],[Fecha]])</f>
        <v>0</v>
      </c>
      <c r="AB305" s="12">
        <f>TableDailySummary[[#This Row],[Inversión google ads]]+TableDailySummary[[#This Row],[Inversión meta ads]]</f>
        <v>76221.009999999995</v>
      </c>
      <c r="AC305" s="12">
        <f>TableDailySummary[[#This Row],[Ventas google ads]]+TableDailySummary[[#This Row],[Ventas meta ads]]</f>
        <v>0</v>
      </c>
      <c r="AD305" s="14">
        <f>IFERROR(TableDailySummary[[#This Row],[Ventas publicidad]]/TableDailySummary[[#This Row],[Inversión publicidad]],0)</f>
        <v>0</v>
      </c>
      <c r="AE305" s="14">
        <f>IFERROR(TableDailySummary[[#This Row],[Ventas primer cliente]]/TableDailySummary[[#This Row],[Inversión publicidad]],0)</f>
        <v>4.1894976201443672</v>
      </c>
      <c r="AF305" s="14"/>
      <c r="AG305" s="12"/>
      <c r="AM305" s="12">
        <f>_xlfn.XLOOKUP(TableDailySummary[[#This Row],[Fecha]],SummaryDaily[day],SummaryDaily[net_sales_with_cost_recorded],0)</f>
        <v>3671218.5</v>
      </c>
      <c r="AN305" s="12">
        <f>_xlfn.XLOOKUP(TableDailySummary[[#This Row],[Fecha]],SummaryDaily[day],SummaryDaily[cost_of_goods_sold],0)</f>
        <v>688665</v>
      </c>
      <c r="AO305" s="12">
        <f>_xlfn.XLOOKUP(TableDailySummary[[#This Row],[Fecha]],SummaryDaily[day],SummaryDaily[gross_profit],0)</f>
        <v>2982553.5</v>
      </c>
      <c r="AP305" s="18">
        <f>IFERROR(TableDailySummary[[#This Row],[Utilidad bruta]]/TableDailySummary[[#This Row],[Ventas netas con costo registrado]],0)</f>
        <v>0.81241514227496947</v>
      </c>
    </row>
    <row r="306" spans="2:42" x14ac:dyDescent="0.2">
      <c r="B306" s="15" cm="1">
        <f t="array" ref="B306">MIN(SummaryDaily[day]) + (ROW(TableDailySummary[#This Row]) - ROW(TableDailySummary[[#Headers],[Dia]]) - 1)</f>
        <v>46077</v>
      </c>
      <c r="C306" s="6">
        <f>TableDailySummary[[#This Row],[Dia]]</f>
        <v>46077</v>
      </c>
      <c r="D306" s="12">
        <f>_xlfn.XLOOKUP(TableDailySummary[[#This Row],[Fecha]],SummaryDaily[day],SummaryDaily[net_sales],0)</f>
        <v>2148983.1800000002</v>
      </c>
      <c r="E306" s="12">
        <f>_xlfn.XLOOKUP(TableDailySummary[[#This Row],[Fecha]],SummaryDaily[day],SummaryDaily[orders],0)</f>
        <v>19</v>
      </c>
      <c r="F306" s="12">
        <f>_xlfn.XLOOKUP(TableDailySummary[[#This Row],[Fecha]],SummaryDaily[day],SummaryDaily[average_order_value],0)</f>
        <v>113104.37699999999</v>
      </c>
      <c r="G306" s="24">
        <f>_xlfn.XLOOKUP(TableDailySummary[[#This Row],[Fecha]],SummaryDaily[day],SummaryDaily[Total site_conversion_rate],0)</f>
        <v>1.4851485148514851E-2</v>
      </c>
      <c r="H306" s="12">
        <f>TableDailySummary[[#This Row],[Órden promedio totales]]*TableDailySummary[[#This Row],[CR totales]]</f>
        <v>1679.7679752475246</v>
      </c>
      <c r="I306" s="12">
        <f>_xlfn.XLOOKUP(TableDailySummary[[#This Row],[Fecha]],SummaryDaily[day],SummaryDaily[new_net_sales],0)</f>
        <v>1438361.34</v>
      </c>
      <c r="J306" s="12">
        <f>_xlfn.XLOOKUP(TableDailySummary[[#This Row],[Fecha]],SummaryDaily[day],SummaryDaily[new_orders],0)</f>
        <v>11</v>
      </c>
      <c r="K306" s="12">
        <f>_xlfn.XLOOKUP(TableDailySummary[[#This Row],[Fecha]],SummaryDaily[day],SummaryDaily[new_average_order_value],0)</f>
        <v>130760.121</v>
      </c>
      <c r="L306" s="12">
        <f>_xlfn.XLOOKUP(TableDailySummary[[#This Row],[Fecha]],SummaryDaily[day],SummaryDaily[Online Store_net_sales],0)</f>
        <v>386554.62</v>
      </c>
      <c r="M306" s="12">
        <f>_xlfn.XLOOKUP(TableDailySummary[[#This Row],[Fecha]],SummaryDaily[day],SummaryDaily[Online Store_orders],0)</f>
        <v>3</v>
      </c>
      <c r="N306" s="12">
        <f>_xlfn.XLOOKUP(TableDailySummary[[#This Row],[Fecha]],SummaryDaily[day],SummaryDaily[Online Store_average_order_value],0)</f>
        <v>128851.54</v>
      </c>
      <c r="O306" s="12">
        <f>_xlfn.XLOOKUP(TableDailySummary[[#This Row],[Fecha]],SummaryDaily[day],SummaryDaily[Tienda 81_net_sales],0)</f>
        <v>1762428.56</v>
      </c>
      <c r="P306" s="12">
        <f>_xlfn.XLOOKUP(TableDailySummary[[#This Row],[Fecha]],SummaryDaily[day],SummaryDaily[Tienda 81_orders],0)</f>
        <v>16</v>
      </c>
      <c r="Q306" s="12">
        <f>_xlfn.XLOOKUP(TableDailySummary[[#This Row],[Fecha]],SummaryDaily[day],SummaryDaily[Tienda 81_average_order_value],0)</f>
        <v>110151.785</v>
      </c>
      <c r="R306" s="12">
        <f>_xlfn.XLOOKUP(TableDailySummary[[#This Row],[Fecha]],SummaryDaily[day],SummaryDaily[Rappi_net_sales],0)</f>
        <v>0</v>
      </c>
      <c r="S306" s="12">
        <f>_xlfn.XLOOKUP(TableDailySummary[[#This Row],[Fecha]],SummaryDaily[day],SummaryDaily[Rappi_orders],0)</f>
        <v>0</v>
      </c>
      <c r="T306" s="12">
        <f>_xlfn.XLOOKUP(TableDailySummary[[#This Row],[Fecha]],SummaryDaily[day],SummaryDaily[Rappi_average_order_value],0)</f>
        <v>0</v>
      </c>
      <c r="U306" s="12">
        <f>_xlfn.XLOOKUP(TableDailySummary[[#This Row],[Fecha]],SummaryDaily[day],SummaryDaily[Corporativo no tienda_net_sales],0)</f>
        <v>0</v>
      </c>
      <c r="V306" s="12">
        <f>_xlfn.XLOOKUP(TableDailySummary[[#This Row],[Fecha]],SummaryDaily[day],SummaryDaily[Corporativo no tienda_orders],0)</f>
        <v>0</v>
      </c>
      <c r="W306" s="12">
        <f>_xlfn.XLOOKUP(TableDailySummary[[#This Row],[Fecha]],SummaryDaily[day],SummaryDaily[Corporativo no tienda_average_order_value],0)</f>
        <v>0</v>
      </c>
      <c r="X306" s="12">
        <f>_xlfn.XLOOKUP(TableDailySummary[[#This Row],[Fecha]],SummaryDaily[day],SummaryDaily[GoogleAdsOperation.Cost],0)</f>
        <v>23650.62</v>
      </c>
      <c r="Y306" s="12">
        <f>SUMIFS(SalesByUTMDaily[google],SalesByUTMDaily[day],TableDailySummary[[#This Row],[Fecha]])</f>
        <v>106000</v>
      </c>
      <c r="Z306" s="12">
        <f>_xlfn.XLOOKUP(TableDailySummary[[#This Row],[Fecha]],SummaryDaily[day],SummaryDaily[MetaAdsOperation.spend],0)</f>
        <v>51145</v>
      </c>
      <c r="AA306" s="12">
        <f>SUMIFS(SalesByUTMDaily[facebook],SalesByUTMDaily[day],TableDailySummary[[#This Row],[Fecha]])</f>
        <v>0</v>
      </c>
      <c r="AB306" s="12">
        <f>TableDailySummary[[#This Row],[Inversión google ads]]+TableDailySummary[[#This Row],[Inversión meta ads]]</f>
        <v>74795.62</v>
      </c>
      <c r="AC306" s="12">
        <f>TableDailySummary[[#This Row],[Ventas google ads]]+TableDailySummary[[#This Row],[Ventas meta ads]]</f>
        <v>106000</v>
      </c>
      <c r="AD306" s="14">
        <f>IFERROR(TableDailySummary[[#This Row],[Ventas publicidad]]/TableDailySummary[[#This Row],[Inversión publicidad]],0)</f>
        <v>1.4171952849645475</v>
      </c>
      <c r="AE306" s="14">
        <f>IFERROR(TableDailySummary[[#This Row],[Ventas primer cliente]]/TableDailySummary[[#This Row],[Inversión publicidad]],0)</f>
        <v>19.230555746446118</v>
      </c>
      <c r="AF306" s="14"/>
      <c r="AG306" s="12"/>
      <c r="AM306" s="12">
        <f>_xlfn.XLOOKUP(TableDailySummary[[#This Row],[Fecha]],SummaryDaily[day],SummaryDaily[net_sales_with_cost_recorded],0)</f>
        <v>2006126.04</v>
      </c>
      <c r="AN306" s="12">
        <f>_xlfn.XLOOKUP(TableDailySummary[[#This Row],[Fecha]],SummaryDaily[day],SummaryDaily[cost_of_goods_sold],0)</f>
        <v>620380</v>
      </c>
      <c r="AO306" s="12">
        <f>_xlfn.XLOOKUP(TableDailySummary[[#This Row],[Fecha]],SummaryDaily[day],SummaryDaily[gross_profit],0)</f>
        <v>1385746.04</v>
      </c>
      <c r="AP306" s="18">
        <f>IFERROR(TableDailySummary[[#This Row],[Utilidad bruta]]/TableDailySummary[[#This Row],[Ventas netas con costo registrado]],0)</f>
        <v>0.69075721682970626</v>
      </c>
    </row>
    <row r="307" spans="2:42" x14ac:dyDescent="0.2">
      <c r="B307" s="15" cm="1">
        <f t="array" ref="B307">MIN(SummaryDaily[day]) + (ROW(TableDailySummary[#This Row]) - ROW(TableDailySummary[[#Headers],[Dia]]) - 1)</f>
        <v>46078</v>
      </c>
      <c r="C307" s="6">
        <f>TableDailySummary[[#This Row],[Dia]]</f>
        <v>46078</v>
      </c>
      <c r="D307" s="12">
        <f>_xlfn.XLOOKUP(TableDailySummary[[#This Row],[Fecha]],SummaryDaily[day],SummaryDaily[net_sales],0)</f>
        <v>4462185.7300000004</v>
      </c>
      <c r="E307" s="12">
        <f>_xlfn.XLOOKUP(TableDailySummary[[#This Row],[Fecha]],SummaryDaily[day],SummaryDaily[orders],0)</f>
        <v>25</v>
      </c>
      <c r="F307" s="12">
        <f>_xlfn.XLOOKUP(TableDailySummary[[#This Row],[Fecha]],SummaryDaily[day],SummaryDaily[average_order_value],0)</f>
        <v>176638.68900000001</v>
      </c>
      <c r="G307" s="24">
        <f>_xlfn.XLOOKUP(TableDailySummary[[#This Row],[Fecha]],SummaryDaily[day],SummaryDaily[Total site_conversion_rate],0)</f>
        <v>1.8072289156626505E-2</v>
      </c>
      <c r="H307" s="12">
        <f>TableDailySummary[[#This Row],[Órden promedio totales]]*TableDailySummary[[#This Row],[CR totales]]</f>
        <v>3192.2654638554218</v>
      </c>
      <c r="I307" s="12">
        <f>_xlfn.XLOOKUP(TableDailySummary[[#This Row],[Fecha]],SummaryDaily[day],SummaryDaily[new_net_sales],0)</f>
        <v>2886555.47</v>
      </c>
      <c r="J307" s="12">
        <f>_xlfn.XLOOKUP(TableDailySummary[[#This Row],[Fecha]],SummaryDaily[day],SummaryDaily[new_orders],0)</f>
        <v>13</v>
      </c>
      <c r="K307" s="12">
        <f>_xlfn.XLOOKUP(TableDailySummary[[#This Row],[Fecha]],SummaryDaily[day],SummaryDaily[new_average_order_value],0)</f>
        <v>223012.34599999999</v>
      </c>
      <c r="L307" s="12">
        <f>_xlfn.XLOOKUP(TableDailySummary[[#This Row],[Fecha]],SummaryDaily[day],SummaryDaily[Online Store_net_sales],0)</f>
        <v>445378.15</v>
      </c>
      <c r="M307" s="12">
        <f>_xlfn.XLOOKUP(TableDailySummary[[#This Row],[Fecha]],SummaryDaily[day],SummaryDaily[Online Store_orders],0)</f>
        <v>3</v>
      </c>
      <c r="N307" s="12">
        <f>_xlfn.XLOOKUP(TableDailySummary[[#This Row],[Fecha]],SummaryDaily[day],SummaryDaily[Online Store_average_order_value],0)</f>
        <v>148459.383</v>
      </c>
      <c r="O307" s="12">
        <f>_xlfn.XLOOKUP(TableDailySummary[[#This Row],[Fecha]],SummaryDaily[day],SummaryDaily[Tienda 81_net_sales],0)</f>
        <v>4016807.58</v>
      </c>
      <c r="P307" s="12">
        <f>_xlfn.XLOOKUP(TableDailySummary[[#This Row],[Fecha]],SummaryDaily[day],SummaryDaily[Tienda 81_orders],0)</f>
        <v>22</v>
      </c>
      <c r="Q307" s="12">
        <f>_xlfn.XLOOKUP(TableDailySummary[[#This Row],[Fecha]],SummaryDaily[day],SummaryDaily[Tienda 81_average_order_value],0)</f>
        <v>180481.32199999999</v>
      </c>
      <c r="R307" s="12">
        <f>_xlfn.XLOOKUP(TableDailySummary[[#This Row],[Fecha]],SummaryDaily[day],SummaryDaily[Rappi_net_sales],0)</f>
        <v>0</v>
      </c>
      <c r="S307" s="12">
        <f>_xlfn.XLOOKUP(TableDailySummary[[#This Row],[Fecha]],SummaryDaily[day],SummaryDaily[Rappi_orders],0)</f>
        <v>0</v>
      </c>
      <c r="T307" s="12">
        <f>_xlfn.XLOOKUP(TableDailySummary[[#This Row],[Fecha]],SummaryDaily[day],SummaryDaily[Rappi_average_order_value],0)</f>
        <v>0</v>
      </c>
      <c r="U307" s="12">
        <f>_xlfn.XLOOKUP(TableDailySummary[[#This Row],[Fecha]],SummaryDaily[day],SummaryDaily[Corporativo no tienda_net_sales],0)</f>
        <v>0</v>
      </c>
      <c r="V307" s="12">
        <f>_xlfn.XLOOKUP(TableDailySummary[[#This Row],[Fecha]],SummaryDaily[day],SummaryDaily[Corporativo no tienda_orders],0)</f>
        <v>0</v>
      </c>
      <c r="W307" s="12">
        <f>_xlfn.XLOOKUP(TableDailySummary[[#This Row],[Fecha]],SummaryDaily[day],SummaryDaily[Corporativo no tienda_average_order_value],0)</f>
        <v>0</v>
      </c>
      <c r="X307" s="12">
        <f>_xlfn.XLOOKUP(TableDailySummary[[#This Row],[Fecha]],SummaryDaily[day],SummaryDaily[GoogleAdsOperation.Cost],0)</f>
        <v>22129.39</v>
      </c>
      <c r="Y307" s="12">
        <f>SUMIFS(SalesByUTMDaily[google],SalesByUTMDaily[day],TableDailySummary[[#This Row],[Fecha]])</f>
        <v>0</v>
      </c>
      <c r="Z307" s="12">
        <f>_xlfn.XLOOKUP(TableDailySummary[[#This Row],[Fecha]],SummaryDaily[day],SummaryDaily[MetaAdsOperation.spend],0)</f>
        <v>47441</v>
      </c>
      <c r="AA307" s="12">
        <f>SUMIFS(SalesByUTMDaily[facebook],SalesByUTMDaily[day],TableDailySummary[[#This Row],[Fecha]])</f>
        <v>0</v>
      </c>
      <c r="AB307" s="12">
        <f>TableDailySummary[[#This Row],[Inversión google ads]]+TableDailySummary[[#This Row],[Inversión meta ads]]</f>
        <v>69570.39</v>
      </c>
      <c r="AC307" s="12">
        <f>TableDailySummary[[#This Row],[Ventas google ads]]+TableDailySummary[[#This Row],[Ventas meta ads]]</f>
        <v>0</v>
      </c>
      <c r="AD307" s="14">
        <f>IFERROR(TableDailySummary[[#This Row],[Ventas publicidad]]/TableDailySummary[[#This Row],[Inversión publicidad]],0)</f>
        <v>0</v>
      </c>
      <c r="AE307" s="14">
        <f>IFERROR(TableDailySummary[[#This Row],[Ventas primer cliente]]/TableDailySummary[[#This Row],[Inversión publicidad]],0)</f>
        <v>41.491149754946036</v>
      </c>
      <c r="AF307" s="14"/>
      <c r="AG307" s="12"/>
      <c r="AM307" s="12">
        <f>_xlfn.XLOOKUP(TableDailySummary[[#This Row],[Fecha]],SummaryDaily[day],SummaryDaily[net_sales_with_cost_recorded],0)</f>
        <v>3453781.53</v>
      </c>
      <c r="AN307" s="12">
        <f>_xlfn.XLOOKUP(TableDailySummary[[#This Row],[Fecha]],SummaryDaily[day],SummaryDaily[cost_of_goods_sold],0)</f>
        <v>824483</v>
      </c>
      <c r="AO307" s="12">
        <f>_xlfn.XLOOKUP(TableDailySummary[[#This Row],[Fecha]],SummaryDaily[day],SummaryDaily[gross_profit],0)</f>
        <v>2629298.5299999998</v>
      </c>
      <c r="AP307" s="18">
        <f>IFERROR(TableDailySummary[[#This Row],[Utilidad bruta]]/TableDailySummary[[#This Row],[Ventas netas con costo registrado]],0)</f>
        <v>0.76128107906118769</v>
      </c>
    </row>
    <row r="308" spans="2:42" x14ac:dyDescent="0.2">
      <c r="B308" s="15" cm="1">
        <f t="array" ref="B308">MIN(SummaryDaily[day]) + (ROW(TableDailySummary[#This Row]) - ROW(TableDailySummary[[#Headers],[Dia]]) - 1)</f>
        <v>46079</v>
      </c>
      <c r="C308" s="6">
        <f>TableDailySummary[[#This Row],[Dia]]</f>
        <v>46079</v>
      </c>
      <c r="D308" s="12">
        <f>_xlfn.XLOOKUP(TableDailySummary[[#This Row],[Fecha]],SummaryDaily[day],SummaryDaily[net_sales],0)</f>
        <v>3315672.28</v>
      </c>
      <c r="E308" s="12">
        <f>_xlfn.XLOOKUP(TableDailySummary[[#This Row],[Fecha]],SummaryDaily[day],SummaryDaily[orders],0)</f>
        <v>17</v>
      </c>
      <c r="F308" s="12">
        <f>_xlfn.XLOOKUP(TableDailySummary[[#This Row],[Fecha]],SummaryDaily[day],SummaryDaily[average_order_value],0)</f>
        <v>195039.54500000001</v>
      </c>
      <c r="G308" s="24">
        <f>_xlfn.XLOOKUP(TableDailySummary[[#This Row],[Fecha]],SummaryDaily[day],SummaryDaily[Total site_conversion_rate],0)</f>
        <v>2.8735632183908046E-2</v>
      </c>
      <c r="H308" s="12">
        <f>TableDailySummary[[#This Row],[Órden promedio totales]]*TableDailySummary[[#This Row],[CR totales]]</f>
        <v>5604.5846264367819</v>
      </c>
      <c r="I308" s="12">
        <f>_xlfn.XLOOKUP(TableDailySummary[[#This Row],[Fecha]],SummaryDaily[day],SummaryDaily[new_net_sales],0)</f>
        <v>2172268.9</v>
      </c>
      <c r="J308" s="12">
        <f>_xlfn.XLOOKUP(TableDailySummary[[#This Row],[Fecha]],SummaryDaily[day],SummaryDaily[new_orders],0)</f>
        <v>7</v>
      </c>
      <c r="K308" s="12">
        <f>_xlfn.XLOOKUP(TableDailySummary[[#This Row],[Fecha]],SummaryDaily[day],SummaryDaily[new_average_order_value],0)</f>
        <v>310324.12800000003</v>
      </c>
      <c r="L308" s="12">
        <f>_xlfn.XLOOKUP(TableDailySummary[[#This Row],[Fecha]],SummaryDaily[day],SummaryDaily[Online Store_net_sales],0)</f>
        <v>336134.45</v>
      </c>
      <c r="M308" s="12">
        <f>_xlfn.XLOOKUP(TableDailySummary[[#This Row],[Fecha]],SummaryDaily[day],SummaryDaily[Online Store_orders],0)</f>
        <v>4</v>
      </c>
      <c r="N308" s="12">
        <f>_xlfn.XLOOKUP(TableDailySummary[[#This Row],[Fecha]],SummaryDaily[day],SummaryDaily[Online Store_average_order_value],0)</f>
        <v>84033.611999999994</v>
      </c>
      <c r="O308" s="12">
        <f>_xlfn.XLOOKUP(TableDailySummary[[#This Row],[Fecha]],SummaryDaily[day],SummaryDaily[Tienda 81_net_sales],0)</f>
        <v>2223235.31</v>
      </c>
      <c r="P308" s="12">
        <f>_xlfn.XLOOKUP(TableDailySummary[[#This Row],[Fecha]],SummaryDaily[day],SummaryDaily[Tienda 81_orders],0)</f>
        <v>12</v>
      </c>
      <c r="Q308" s="12">
        <f>_xlfn.XLOOKUP(TableDailySummary[[#This Row],[Fecha]],SummaryDaily[day],SummaryDaily[Tienda 81_average_order_value],0)</f>
        <v>185269.609</v>
      </c>
      <c r="R308" s="12">
        <f>_xlfn.XLOOKUP(TableDailySummary[[#This Row],[Fecha]],SummaryDaily[day],SummaryDaily[Rappi_net_sales],0)</f>
        <v>0</v>
      </c>
      <c r="S308" s="12">
        <f>_xlfn.XLOOKUP(TableDailySummary[[#This Row],[Fecha]],SummaryDaily[day],SummaryDaily[Rappi_orders],0)</f>
        <v>0</v>
      </c>
      <c r="T308" s="12">
        <f>_xlfn.XLOOKUP(TableDailySummary[[#This Row],[Fecha]],SummaryDaily[day],SummaryDaily[Rappi_average_order_value],0)</f>
        <v>0</v>
      </c>
      <c r="U308" s="12">
        <f>_xlfn.XLOOKUP(TableDailySummary[[#This Row],[Fecha]],SummaryDaily[day],SummaryDaily[Corporativo no tienda_net_sales],0)</f>
        <v>756302.52</v>
      </c>
      <c r="V308" s="12">
        <f>_xlfn.XLOOKUP(TableDailySummary[[#This Row],[Fecha]],SummaryDaily[day],SummaryDaily[Corporativo no tienda_orders],0)</f>
        <v>1</v>
      </c>
      <c r="W308" s="12">
        <f>_xlfn.XLOOKUP(TableDailySummary[[#This Row],[Fecha]],SummaryDaily[day],SummaryDaily[Corporativo no tienda_average_order_value],0)</f>
        <v>756302.52</v>
      </c>
      <c r="X308" s="12">
        <f>_xlfn.XLOOKUP(TableDailySummary[[#This Row],[Fecha]],SummaryDaily[day],SummaryDaily[GoogleAdsOperation.Cost],0)</f>
        <v>27270.03</v>
      </c>
      <c r="Y308" s="12">
        <f>SUMIFS(SalesByUTMDaily[google],SalesByUTMDaily[day],TableDailySummary[[#This Row],[Fecha]])</f>
        <v>102000</v>
      </c>
      <c r="Z308" s="12">
        <f>_xlfn.XLOOKUP(TableDailySummary[[#This Row],[Fecha]],SummaryDaily[day],SummaryDaily[MetaAdsOperation.spend],0)</f>
        <v>48989</v>
      </c>
      <c r="AA308" s="12">
        <f>SUMIFS(SalesByUTMDaily[facebook],SalesByUTMDaily[day],TableDailySummary[[#This Row],[Fecha]])</f>
        <v>0</v>
      </c>
      <c r="AB308" s="12">
        <f>TableDailySummary[[#This Row],[Inversión google ads]]+TableDailySummary[[#This Row],[Inversión meta ads]]</f>
        <v>76259.03</v>
      </c>
      <c r="AC308" s="12">
        <f>TableDailySummary[[#This Row],[Ventas google ads]]+TableDailySummary[[#This Row],[Ventas meta ads]]</f>
        <v>102000</v>
      </c>
      <c r="AD308" s="14">
        <f>IFERROR(TableDailySummary[[#This Row],[Ventas publicidad]]/TableDailySummary[[#This Row],[Inversión publicidad]],0)</f>
        <v>1.3375465174419345</v>
      </c>
      <c r="AE308" s="14">
        <f>IFERROR(TableDailySummary[[#This Row],[Ventas primer cliente]]/TableDailySummary[[#This Row],[Inversión publicidad]],0)</f>
        <v>28.485399040611977</v>
      </c>
      <c r="AF308" s="14"/>
      <c r="AG308" s="12"/>
      <c r="AM308" s="12">
        <f>_xlfn.XLOOKUP(TableDailySummary[[#This Row],[Fecha]],SummaryDaily[day],SummaryDaily[net_sales_with_cost_recorded],0)</f>
        <v>3315672.28</v>
      </c>
      <c r="AN308" s="12">
        <f>_xlfn.XLOOKUP(TableDailySummary[[#This Row],[Fecha]],SummaryDaily[day],SummaryDaily[cost_of_goods_sold],0)</f>
        <v>962607</v>
      </c>
      <c r="AO308" s="12">
        <f>_xlfn.XLOOKUP(TableDailySummary[[#This Row],[Fecha]],SummaryDaily[day],SummaryDaily[gross_profit],0)</f>
        <v>2353065.2799999998</v>
      </c>
      <c r="AP308" s="18">
        <f>IFERROR(TableDailySummary[[#This Row],[Utilidad bruta]]/TableDailySummary[[#This Row],[Ventas netas con costo registrado]],0)</f>
        <v>0.70967969126309427</v>
      </c>
    </row>
    <row r="309" spans="2:42" x14ac:dyDescent="0.2">
      <c r="B309" s="15" cm="1">
        <f t="array" ref="B309">MIN(SummaryDaily[day]) + (ROW(TableDailySummary[#This Row]) - ROW(TableDailySummary[[#Headers],[Dia]]) - 1)</f>
        <v>46080</v>
      </c>
      <c r="C309" s="6">
        <f>TableDailySummary[[#This Row],[Dia]]</f>
        <v>46080</v>
      </c>
      <c r="D309" s="12">
        <f>_xlfn.XLOOKUP(TableDailySummary[[#This Row],[Fecha]],SummaryDaily[day],SummaryDaily[net_sales],0)</f>
        <v>3432352.97</v>
      </c>
      <c r="E309" s="12">
        <f>_xlfn.XLOOKUP(TableDailySummary[[#This Row],[Fecha]],SummaryDaily[day],SummaryDaily[orders],0)</f>
        <v>28</v>
      </c>
      <c r="F309" s="12">
        <f>_xlfn.XLOOKUP(TableDailySummary[[#This Row],[Fecha]],SummaryDaily[day],SummaryDaily[average_order_value],0)</f>
        <v>122584.034</v>
      </c>
      <c r="G309" s="24">
        <f>_xlfn.XLOOKUP(TableDailySummary[[#This Row],[Fecha]],SummaryDaily[day],SummaryDaily[Total site_conversion_rate],0)</f>
        <v>1.2468827930174564E-2</v>
      </c>
      <c r="H309" s="12">
        <f>TableDailySummary[[#This Row],[Órden promedio totales]]*TableDailySummary[[#This Row],[CR totales]]</f>
        <v>1528.4792269326683</v>
      </c>
      <c r="I309" s="12">
        <f>_xlfn.XLOOKUP(TableDailySummary[[#This Row],[Fecha]],SummaryDaily[day],SummaryDaily[new_net_sales],0)</f>
        <v>1407563.03</v>
      </c>
      <c r="J309" s="12">
        <f>_xlfn.XLOOKUP(TableDailySummary[[#This Row],[Fecha]],SummaryDaily[day],SummaryDaily[new_orders],0)</f>
        <v>11</v>
      </c>
      <c r="K309" s="12">
        <f>_xlfn.XLOOKUP(TableDailySummary[[#This Row],[Fecha]],SummaryDaily[day],SummaryDaily[new_average_order_value],0)</f>
        <v>127960.27499999999</v>
      </c>
      <c r="L309" s="12">
        <f>_xlfn.XLOOKUP(TableDailySummary[[#This Row],[Fecha]],SummaryDaily[day],SummaryDaily[Online Store_net_sales],0)</f>
        <v>1000000</v>
      </c>
      <c r="M309" s="12">
        <f>_xlfn.XLOOKUP(TableDailySummary[[#This Row],[Fecha]],SummaryDaily[day],SummaryDaily[Online Store_orders],0)</f>
        <v>6</v>
      </c>
      <c r="N309" s="12">
        <f>_xlfn.XLOOKUP(TableDailySummary[[#This Row],[Fecha]],SummaryDaily[day],SummaryDaily[Online Store_average_order_value],0)</f>
        <v>166666.666</v>
      </c>
      <c r="O309" s="12">
        <f>_xlfn.XLOOKUP(TableDailySummary[[#This Row],[Fecha]],SummaryDaily[day],SummaryDaily[Tienda 81_net_sales],0)</f>
        <v>1940756.32</v>
      </c>
      <c r="P309" s="12">
        <f>_xlfn.XLOOKUP(TableDailySummary[[#This Row],[Fecha]],SummaryDaily[day],SummaryDaily[Tienda 81_orders],0)</f>
        <v>17</v>
      </c>
      <c r="Q309" s="12">
        <f>_xlfn.XLOOKUP(TableDailySummary[[#This Row],[Fecha]],SummaryDaily[day],SummaryDaily[Tienda 81_average_order_value],0)</f>
        <v>114162.136</v>
      </c>
      <c r="R309" s="12">
        <f>_xlfn.XLOOKUP(TableDailySummary[[#This Row],[Fecha]],SummaryDaily[day],SummaryDaily[Rappi_net_sales],0)</f>
        <v>491596.65</v>
      </c>
      <c r="S309" s="12">
        <f>_xlfn.XLOOKUP(TableDailySummary[[#This Row],[Fecha]],SummaryDaily[day],SummaryDaily[Rappi_orders],0)</f>
        <v>5</v>
      </c>
      <c r="T309" s="12">
        <f>_xlfn.XLOOKUP(TableDailySummary[[#This Row],[Fecha]],SummaryDaily[day],SummaryDaily[Rappi_average_order_value],0)</f>
        <v>98319.33</v>
      </c>
      <c r="U309" s="12">
        <f>_xlfn.XLOOKUP(TableDailySummary[[#This Row],[Fecha]],SummaryDaily[day],SummaryDaily[Corporativo no tienda_net_sales],0)</f>
        <v>0</v>
      </c>
      <c r="V309" s="12">
        <f>_xlfn.XLOOKUP(TableDailySummary[[#This Row],[Fecha]],SummaryDaily[day],SummaryDaily[Corporativo no tienda_orders],0)</f>
        <v>0</v>
      </c>
      <c r="W309" s="12">
        <f>_xlfn.XLOOKUP(TableDailySummary[[#This Row],[Fecha]],SummaryDaily[day],SummaryDaily[Corporativo no tienda_average_order_value],0)</f>
        <v>0</v>
      </c>
      <c r="X309" s="12">
        <f>_xlfn.XLOOKUP(TableDailySummary[[#This Row],[Fecha]],SummaryDaily[day],SummaryDaily[GoogleAdsOperation.Cost],0)</f>
        <v>63105.72</v>
      </c>
      <c r="Y309" s="12">
        <f>SUMIFS(SalesByUTMDaily[google],SalesByUTMDaily[day],TableDailySummary[[#This Row],[Fecha]])</f>
        <v>362000</v>
      </c>
      <c r="Z309" s="12">
        <f>_xlfn.XLOOKUP(TableDailySummary[[#This Row],[Fecha]],SummaryDaily[day],SummaryDaily[MetaAdsOperation.spend],0)</f>
        <v>54629</v>
      </c>
      <c r="AA309" s="12">
        <f>SUMIFS(SalesByUTMDaily[facebook],SalesByUTMDaily[day],TableDailySummary[[#This Row],[Fecha]])</f>
        <v>0</v>
      </c>
      <c r="AB309" s="12">
        <f>TableDailySummary[[#This Row],[Inversión google ads]]+TableDailySummary[[#This Row],[Inversión meta ads]]</f>
        <v>117734.72</v>
      </c>
      <c r="AC309" s="12">
        <f>TableDailySummary[[#This Row],[Ventas google ads]]+TableDailySummary[[#This Row],[Ventas meta ads]]</f>
        <v>362000</v>
      </c>
      <c r="AD309" s="14">
        <f>IFERROR(TableDailySummary[[#This Row],[Ventas publicidad]]/TableDailySummary[[#This Row],[Inversión publicidad]],0)</f>
        <v>3.07470897285015</v>
      </c>
      <c r="AE309" s="14">
        <f>IFERROR(TableDailySummary[[#This Row],[Ventas primer cliente]]/TableDailySummary[[#This Row],[Inversión publicidad]],0)</f>
        <v>11.95537756406946</v>
      </c>
      <c r="AF309" s="14"/>
      <c r="AG309" s="12"/>
      <c r="AM309" s="12">
        <f>_xlfn.XLOOKUP(TableDailySummary[[#This Row],[Fecha]],SummaryDaily[day],SummaryDaily[net_sales_with_cost_recorded],0)</f>
        <v>3432352.97</v>
      </c>
      <c r="AN309" s="12">
        <f>_xlfn.XLOOKUP(TableDailySummary[[#This Row],[Fecha]],SummaryDaily[day],SummaryDaily[cost_of_goods_sold],0)</f>
        <v>900713</v>
      </c>
      <c r="AO309" s="12">
        <f>_xlfn.XLOOKUP(TableDailySummary[[#This Row],[Fecha]],SummaryDaily[day],SummaryDaily[gross_profit],0)</f>
        <v>2531639.9700000002</v>
      </c>
      <c r="AP309" s="18">
        <f>IFERROR(TableDailySummary[[#This Row],[Utilidad bruta]]/TableDailySummary[[#This Row],[Ventas netas con costo registrado]],0)</f>
        <v>0.73758147606829605</v>
      </c>
    </row>
    <row r="310" spans="2:42" x14ac:dyDescent="0.2">
      <c r="B310" s="15" cm="1">
        <f t="array" ref="B310">MIN(SummaryDaily[day]) + (ROW(TableDailySummary[#This Row]) - ROW(TableDailySummary[[#Headers],[Dia]]) - 1)</f>
        <v>46081</v>
      </c>
      <c r="C310" s="6">
        <f>TableDailySummary[[#This Row],[Dia]]</f>
        <v>46081</v>
      </c>
      <c r="D310" s="12">
        <f>_xlfn.XLOOKUP(TableDailySummary[[#This Row],[Fecha]],SummaryDaily[day],SummaryDaily[net_sales],0)</f>
        <v>16630037.83</v>
      </c>
      <c r="E310" s="12">
        <f>_xlfn.XLOOKUP(TableDailySummary[[#This Row],[Fecha]],SummaryDaily[day],SummaryDaily[orders],0)</f>
        <v>32</v>
      </c>
      <c r="F310" s="12">
        <f>_xlfn.XLOOKUP(TableDailySummary[[#This Row],[Fecha]],SummaryDaily[day],SummaryDaily[average_order_value],0)</f>
        <v>519688.68199999997</v>
      </c>
      <c r="G310" s="24">
        <f>_xlfn.XLOOKUP(TableDailySummary[[#This Row],[Fecha]],SummaryDaily[day],SummaryDaily[Total site_conversion_rate],0)</f>
        <v>6.993006993006993E-3</v>
      </c>
      <c r="H310" s="12">
        <f>TableDailySummary[[#This Row],[Órden promedio totales]]*TableDailySummary[[#This Row],[CR totales]]</f>
        <v>3634.1865874125874</v>
      </c>
      <c r="I310" s="12">
        <f>_xlfn.XLOOKUP(TableDailySummary[[#This Row],[Fecha]],SummaryDaily[day],SummaryDaily[new_net_sales],0)</f>
        <v>2463235.31</v>
      </c>
      <c r="J310" s="12">
        <f>_xlfn.XLOOKUP(TableDailySummary[[#This Row],[Fecha]],SummaryDaily[day],SummaryDaily[new_orders],0)</f>
        <v>9</v>
      </c>
      <c r="K310" s="12">
        <f>_xlfn.XLOOKUP(TableDailySummary[[#This Row],[Fecha]],SummaryDaily[day],SummaryDaily[new_average_order_value],0)</f>
        <v>273692.81199999998</v>
      </c>
      <c r="L310" s="12">
        <f>_xlfn.XLOOKUP(TableDailySummary[[#This Row],[Fecha]],SummaryDaily[day],SummaryDaily[Online Store_net_sales],0)</f>
        <v>172268.91</v>
      </c>
      <c r="M310" s="12">
        <f>_xlfn.XLOOKUP(TableDailySummary[[#This Row],[Fecha]],SummaryDaily[day],SummaryDaily[Online Store_orders],0)</f>
        <v>2</v>
      </c>
      <c r="N310" s="12">
        <f>_xlfn.XLOOKUP(TableDailySummary[[#This Row],[Fecha]],SummaryDaily[day],SummaryDaily[Online Store_average_order_value],0)</f>
        <v>86134.455000000002</v>
      </c>
      <c r="O310" s="12">
        <f>_xlfn.XLOOKUP(TableDailySummary[[#This Row],[Fecha]],SummaryDaily[day],SummaryDaily[Tienda 81_net_sales],0)</f>
        <v>2963411.78</v>
      </c>
      <c r="P310" s="12">
        <f>_xlfn.XLOOKUP(TableDailySummary[[#This Row],[Fecha]],SummaryDaily[day],SummaryDaily[Tienda 81_orders],0)</f>
        <v>26</v>
      </c>
      <c r="Q310" s="12">
        <f>_xlfn.XLOOKUP(TableDailySummary[[#This Row],[Fecha]],SummaryDaily[day],SummaryDaily[Tienda 81_average_order_value],0)</f>
        <v>113977.376</v>
      </c>
      <c r="R310" s="12">
        <f>_xlfn.XLOOKUP(TableDailySummary[[#This Row],[Fecha]],SummaryDaily[day],SummaryDaily[Rappi_net_sales],0)</f>
        <v>33613.449999999997</v>
      </c>
      <c r="S310" s="12">
        <f>_xlfn.XLOOKUP(TableDailySummary[[#This Row],[Fecha]],SummaryDaily[day],SummaryDaily[Rappi_orders],0)</f>
        <v>1</v>
      </c>
      <c r="T310" s="12">
        <f>_xlfn.XLOOKUP(TableDailySummary[[#This Row],[Fecha]],SummaryDaily[day],SummaryDaily[Rappi_average_order_value],0)</f>
        <v>33613.449999999997</v>
      </c>
      <c r="U310" s="12">
        <f>_xlfn.XLOOKUP(TableDailySummary[[#This Row],[Fecha]],SummaryDaily[day],SummaryDaily[Corporativo no tienda_net_sales],0)</f>
        <v>13460743.689999999</v>
      </c>
      <c r="V310" s="12">
        <f>_xlfn.XLOOKUP(TableDailySummary[[#This Row],[Fecha]],SummaryDaily[day],SummaryDaily[Corporativo no tienda_orders],0)</f>
        <v>3</v>
      </c>
      <c r="W310" s="12">
        <f>_xlfn.XLOOKUP(TableDailySummary[[#This Row],[Fecha]],SummaryDaily[day],SummaryDaily[Corporativo no tienda_average_order_value],0)</f>
        <v>4486914.5630000001</v>
      </c>
      <c r="X310" s="12">
        <f>_xlfn.XLOOKUP(TableDailySummary[[#This Row],[Fecha]],SummaryDaily[day],SummaryDaily[GoogleAdsOperation.Cost],0)</f>
        <v>77871.87</v>
      </c>
      <c r="Y310" s="12">
        <f>SUMIFS(SalesByUTMDaily[google],SalesByUTMDaily[day],TableDailySummary[[#This Row],[Fecha]])</f>
        <v>0</v>
      </c>
      <c r="Z310" s="12">
        <f>_xlfn.XLOOKUP(TableDailySummary[[#This Row],[Fecha]],SummaryDaily[day],SummaryDaily[MetaAdsOperation.spend],0)</f>
        <v>56309</v>
      </c>
      <c r="AA310" s="12">
        <f>SUMIFS(SalesByUTMDaily[facebook],SalesByUTMDaily[day],TableDailySummary[[#This Row],[Fecha]])</f>
        <v>0</v>
      </c>
      <c r="AB310" s="12">
        <f>TableDailySummary[[#This Row],[Inversión google ads]]+TableDailySummary[[#This Row],[Inversión meta ads]]</f>
        <v>134180.87</v>
      </c>
      <c r="AC310" s="12">
        <f>TableDailySummary[[#This Row],[Ventas google ads]]+TableDailySummary[[#This Row],[Ventas meta ads]]</f>
        <v>0</v>
      </c>
      <c r="AD310" s="14">
        <f>IFERROR(TableDailySummary[[#This Row],[Ventas publicidad]]/TableDailySummary[[#This Row],[Inversión publicidad]],0)</f>
        <v>0</v>
      </c>
      <c r="AE310" s="14">
        <f>IFERROR(TableDailySummary[[#This Row],[Ventas primer cliente]]/TableDailySummary[[#This Row],[Inversión publicidad]],0)</f>
        <v>18.357574444106675</v>
      </c>
      <c r="AF310" s="14"/>
      <c r="AG310" s="12"/>
      <c r="AM310" s="12">
        <f>_xlfn.XLOOKUP(TableDailySummary[[#This Row],[Fecha]],SummaryDaily[day],SummaryDaily[net_sales_with_cost_recorded],0)</f>
        <v>16344323.550000001</v>
      </c>
      <c r="AN310" s="12">
        <f>_xlfn.XLOOKUP(TableDailySummary[[#This Row],[Fecha]],SummaryDaily[day],SummaryDaily[cost_of_goods_sold],0)</f>
        <v>6504475</v>
      </c>
      <c r="AO310" s="12">
        <f>_xlfn.XLOOKUP(TableDailySummary[[#This Row],[Fecha]],SummaryDaily[day],SummaryDaily[gross_profit],0)</f>
        <v>9839848.5500000007</v>
      </c>
      <c r="AP310" s="18">
        <f>IFERROR(TableDailySummary[[#This Row],[Utilidad bruta]]/TableDailySummary[[#This Row],[Ventas netas con costo registrado]],0)</f>
        <v>0.60203461586515161</v>
      </c>
    </row>
    <row r="311" spans="2:42" x14ac:dyDescent="0.2">
      <c r="B311" s="15" cm="1">
        <f t="array" ref="B311">MIN(SummaryDaily[day]) + (ROW(TableDailySummary[#This Row]) - ROW(TableDailySummary[[#Headers],[Dia]]) - 1)</f>
        <v>46082</v>
      </c>
      <c r="C311" s="6">
        <f>TableDailySummary[[#This Row],[Dia]]</f>
        <v>46082</v>
      </c>
      <c r="D311" s="12">
        <f>_xlfn.XLOOKUP(TableDailySummary[[#This Row],[Fecha]],SummaryDaily[day],SummaryDaily[net_sales],0)</f>
        <v>1092436.95</v>
      </c>
      <c r="E311" s="12">
        <f>_xlfn.XLOOKUP(TableDailySummary[[#This Row],[Fecha]],SummaryDaily[day],SummaryDaily[orders],0)</f>
        <v>14</v>
      </c>
      <c r="F311" s="12">
        <f>_xlfn.XLOOKUP(TableDailySummary[[#This Row],[Fecha]],SummaryDaily[day],SummaryDaily[average_order_value],0)</f>
        <v>78031.210000000006</v>
      </c>
      <c r="G311" s="24">
        <f>_xlfn.XLOOKUP(TableDailySummary[[#This Row],[Fecha]],SummaryDaily[day],SummaryDaily[Total site_conversion_rate],0)</f>
        <v>0</v>
      </c>
      <c r="H311" s="12">
        <f>TableDailySummary[[#This Row],[Órden promedio totales]]*TableDailySummary[[#This Row],[CR totales]]</f>
        <v>0</v>
      </c>
      <c r="I311" s="12">
        <f>_xlfn.XLOOKUP(TableDailySummary[[#This Row],[Fecha]],SummaryDaily[day],SummaryDaily[new_net_sales],0)</f>
        <v>428571.42</v>
      </c>
      <c r="J311" s="12">
        <f>_xlfn.XLOOKUP(TableDailySummary[[#This Row],[Fecha]],SummaryDaily[day],SummaryDaily[new_orders],0)</f>
        <v>6</v>
      </c>
      <c r="K311" s="12">
        <f>_xlfn.XLOOKUP(TableDailySummary[[#This Row],[Fecha]],SummaryDaily[day],SummaryDaily[new_average_order_value],0)</f>
        <v>71428.570000000007</v>
      </c>
      <c r="L311" s="12">
        <f>_xlfn.XLOOKUP(TableDailySummary[[#This Row],[Fecha]],SummaryDaily[day],SummaryDaily[Online Store_net_sales],0)</f>
        <v>0</v>
      </c>
      <c r="M311" s="12">
        <f>_xlfn.XLOOKUP(TableDailySummary[[#This Row],[Fecha]],SummaryDaily[day],SummaryDaily[Online Store_orders],0)</f>
        <v>0</v>
      </c>
      <c r="N311" s="12">
        <f>_xlfn.XLOOKUP(TableDailySummary[[#This Row],[Fecha]],SummaryDaily[day],SummaryDaily[Online Store_average_order_value],0)</f>
        <v>0</v>
      </c>
      <c r="O311" s="12">
        <f>_xlfn.XLOOKUP(TableDailySummary[[#This Row],[Fecha]],SummaryDaily[day],SummaryDaily[Tienda 81_net_sales],0)</f>
        <v>1092436.95</v>
      </c>
      <c r="P311" s="12">
        <f>_xlfn.XLOOKUP(TableDailySummary[[#This Row],[Fecha]],SummaryDaily[day],SummaryDaily[Tienda 81_orders],0)</f>
        <v>14</v>
      </c>
      <c r="Q311" s="12">
        <f>_xlfn.XLOOKUP(TableDailySummary[[#This Row],[Fecha]],SummaryDaily[day],SummaryDaily[Tienda 81_average_order_value],0)</f>
        <v>78031.210000000006</v>
      </c>
      <c r="R311" s="12">
        <f>_xlfn.XLOOKUP(TableDailySummary[[#This Row],[Fecha]],SummaryDaily[day],SummaryDaily[Rappi_net_sales],0)</f>
        <v>0</v>
      </c>
      <c r="S311" s="12">
        <f>_xlfn.XLOOKUP(TableDailySummary[[#This Row],[Fecha]],SummaryDaily[day],SummaryDaily[Rappi_orders],0)</f>
        <v>0</v>
      </c>
      <c r="T311" s="12">
        <f>_xlfn.XLOOKUP(TableDailySummary[[#This Row],[Fecha]],SummaryDaily[day],SummaryDaily[Rappi_average_order_value],0)</f>
        <v>0</v>
      </c>
      <c r="U311" s="12">
        <f>_xlfn.XLOOKUP(TableDailySummary[[#This Row],[Fecha]],SummaryDaily[day],SummaryDaily[Corporativo no tienda_net_sales],0)</f>
        <v>0</v>
      </c>
      <c r="V311" s="12">
        <f>_xlfn.XLOOKUP(TableDailySummary[[#This Row],[Fecha]],SummaryDaily[day],SummaryDaily[Corporativo no tienda_orders],0)</f>
        <v>0</v>
      </c>
      <c r="W311" s="12">
        <f>_xlfn.XLOOKUP(TableDailySummary[[#This Row],[Fecha]],SummaryDaily[day],SummaryDaily[Corporativo no tienda_average_order_value],0)</f>
        <v>0</v>
      </c>
      <c r="X311" s="12">
        <f>_xlfn.XLOOKUP(TableDailySummary[[#This Row],[Fecha]],SummaryDaily[day],SummaryDaily[GoogleAdsOperation.Cost],0)</f>
        <v>42955.93</v>
      </c>
      <c r="Y311" s="12">
        <f>SUMIFS(SalesByUTMDaily[google],SalesByUTMDaily[day],TableDailySummary[[#This Row],[Fecha]])</f>
        <v>0</v>
      </c>
      <c r="Z311" s="12">
        <f>_xlfn.XLOOKUP(TableDailySummary[[#This Row],[Fecha]],SummaryDaily[day],SummaryDaily[MetaAdsOperation.spend],0)</f>
        <v>61431</v>
      </c>
      <c r="AA311" s="12">
        <f>SUMIFS(SalesByUTMDaily[facebook],SalesByUTMDaily[day],TableDailySummary[[#This Row],[Fecha]])</f>
        <v>0</v>
      </c>
      <c r="AB311" s="12">
        <f>TableDailySummary[[#This Row],[Inversión google ads]]+TableDailySummary[[#This Row],[Inversión meta ads]]</f>
        <v>104386.93</v>
      </c>
      <c r="AC311" s="12">
        <f>TableDailySummary[[#This Row],[Ventas google ads]]+TableDailySummary[[#This Row],[Ventas meta ads]]</f>
        <v>0</v>
      </c>
      <c r="AD311" s="14">
        <f>IFERROR(TableDailySummary[[#This Row],[Ventas publicidad]]/TableDailySummary[[#This Row],[Inversión publicidad]],0)</f>
        <v>0</v>
      </c>
      <c r="AE311" s="14">
        <f>IFERROR(TableDailySummary[[#This Row],[Ventas primer cliente]]/TableDailySummary[[#This Row],[Inversión publicidad]],0)</f>
        <v>4.1056042169263911</v>
      </c>
      <c r="AF311" s="14"/>
      <c r="AG311" s="12"/>
      <c r="AM311" s="12">
        <f>_xlfn.XLOOKUP(TableDailySummary[[#This Row],[Fecha]],SummaryDaily[day],SummaryDaily[net_sales_with_cost_recorded],0)</f>
        <v>1092436.95</v>
      </c>
      <c r="AN311" s="12">
        <f>_xlfn.XLOOKUP(TableDailySummary[[#This Row],[Fecha]],SummaryDaily[day],SummaryDaily[cost_of_goods_sold],0)</f>
        <v>312819</v>
      </c>
      <c r="AO311" s="12">
        <f>_xlfn.XLOOKUP(TableDailySummary[[#This Row],[Fecha]],SummaryDaily[day],SummaryDaily[gross_profit],0)</f>
        <v>779617.95</v>
      </c>
      <c r="AP311" s="18">
        <f>IFERROR(TableDailySummary[[#This Row],[Utilidad bruta]]/TableDailySummary[[#This Row],[Ventas netas con costo registrado]],0)</f>
        <v>0.71365029350206433</v>
      </c>
    </row>
    <row r="312" spans="2:42" x14ac:dyDescent="0.2">
      <c r="B312" s="15" cm="1">
        <f t="array" ref="B312">MIN(SummaryDaily[day]) + (ROW(TableDailySummary[#This Row]) - ROW(TableDailySummary[[#Headers],[Dia]]) - 1)</f>
        <v>46083</v>
      </c>
      <c r="C312" s="6">
        <f>TableDailySummary[[#This Row],[Dia]]</f>
        <v>46083</v>
      </c>
      <c r="D312" s="12">
        <f>_xlfn.XLOOKUP(TableDailySummary[[#This Row],[Fecha]],SummaryDaily[day],SummaryDaily[net_sales],0)</f>
        <v>4017907.59</v>
      </c>
      <c r="E312" s="12">
        <f>_xlfn.XLOOKUP(TableDailySummary[[#This Row],[Fecha]],SummaryDaily[day],SummaryDaily[orders],0)</f>
        <v>28</v>
      </c>
      <c r="F312" s="12">
        <f>_xlfn.XLOOKUP(TableDailySummary[[#This Row],[Fecha]],SummaryDaily[day],SummaryDaily[average_order_value],0)</f>
        <v>143496.69899999999</v>
      </c>
      <c r="G312" s="24">
        <f>_xlfn.XLOOKUP(TableDailySummary[[#This Row],[Fecha]],SummaryDaily[day],SummaryDaily[Total site_conversion_rate],0)</f>
        <v>1.2562814070351759E-2</v>
      </c>
      <c r="H312" s="12">
        <f>TableDailySummary[[#This Row],[Órden promedio totales]]*TableDailySummary[[#This Row],[CR totales]]</f>
        <v>1802.7223492462313</v>
      </c>
      <c r="I312" s="12">
        <f>_xlfn.XLOOKUP(TableDailySummary[[#This Row],[Fecha]],SummaryDaily[day],SummaryDaily[new_net_sales],0)</f>
        <v>1142857.1599999999</v>
      </c>
      <c r="J312" s="12">
        <f>_xlfn.XLOOKUP(TableDailySummary[[#This Row],[Fecha]],SummaryDaily[day],SummaryDaily[new_orders],0)</f>
        <v>8</v>
      </c>
      <c r="K312" s="12">
        <f>_xlfn.XLOOKUP(TableDailySummary[[#This Row],[Fecha]],SummaryDaily[day],SummaryDaily[new_average_order_value],0)</f>
        <v>142857.14499999999</v>
      </c>
      <c r="L312" s="12">
        <f>_xlfn.XLOOKUP(TableDailySummary[[#This Row],[Fecha]],SummaryDaily[day],SummaryDaily[Online Store_net_sales],0)</f>
        <v>857142.87</v>
      </c>
      <c r="M312" s="12">
        <f>_xlfn.XLOOKUP(TableDailySummary[[#This Row],[Fecha]],SummaryDaily[day],SummaryDaily[Online Store_orders],0)</f>
        <v>5</v>
      </c>
      <c r="N312" s="12">
        <f>_xlfn.XLOOKUP(TableDailySummary[[#This Row],[Fecha]],SummaryDaily[day],SummaryDaily[Online Store_average_order_value],0)</f>
        <v>171428.57399999999</v>
      </c>
      <c r="O312" s="12">
        <f>_xlfn.XLOOKUP(TableDailySummary[[#This Row],[Fecha]],SummaryDaily[day],SummaryDaily[Tienda 81_net_sales],0)</f>
        <v>3051521.02</v>
      </c>
      <c r="P312" s="12">
        <f>_xlfn.XLOOKUP(TableDailySummary[[#This Row],[Fecha]],SummaryDaily[day],SummaryDaily[Tienda 81_orders],0)</f>
        <v>22</v>
      </c>
      <c r="Q312" s="12">
        <f>_xlfn.XLOOKUP(TableDailySummary[[#This Row],[Fecha]],SummaryDaily[day],SummaryDaily[Tienda 81_average_order_value],0)</f>
        <v>138705.5</v>
      </c>
      <c r="R312" s="12">
        <f>_xlfn.XLOOKUP(TableDailySummary[[#This Row],[Fecha]],SummaryDaily[day],SummaryDaily[Rappi_net_sales],0)</f>
        <v>109243.7</v>
      </c>
      <c r="S312" s="12">
        <f>_xlfn.XLOOKUP(TableDailySummary[[#This Row],[Fecha]],SummaryDaily[day],SummaryDaily[Rappi_orders],0)</f>
        <v>1</v>
      </c>
      <c r="T312" s="12">
        <f>_xlfn.XLOOKUP(TableDailySummary[[#This Row],[Fecha]],SummaryDaily[day],SummaryDaily[Rappi_average_order_value],0)</f>
        <v>109243.7</v>
      </c>
      <c r="U312" s="12">
        <f>_xlfn.XLOOKUP(TableDailySummary[[#This Row],[Fecha]],SummaryDaily[day],SummaryDaily[Corporativo no tienda_net_sales],0)</f>
        <v>0</v>
      </c>
      <c r="V312" s="12">
        <f>_xlfn.XLOOKUP(TableDailySummary[[#This Row],[Fecha]],SummaryDaily[day],SummaryDaily[Corporativo no tienda_orders],0)</f>
        <v>0</v>
      </c>
      <c r="W312" s="12">
        <f>_xlfn.XLOOKUP(TableDailySummary[[#This Row],[Fecha]],SummaryDaily[day],SummaryDaily[Corporativo no tienda_average_order_value],0)</f>
        <v>0</v>
      </c>
      <c r="X312" s="12">
        <f>_xlfn.XLOOKUP(TableDailySummary[[#This Row],[Fecha]],SummaryDaily[day],SummaryDaily[GoogleAdsOperation.Cost],0)</f>
        <v>46008.11</v>
      </c>
      <c r="Y312" s="12">
        <f>SUMIFS(SalesByUTMDaily[google],SalesByUTMDaily[day],TableDailySummary[[#This Row],[Fecha]])</f>
        <v>287000</v>
      </c>
      <c r="Z312" s="12">
        <f>_xlfn.XLOOKUP(TableDailySummary[[#This Row],[Fecha]],SummaryDaily[day],SummaryDaily[MetaAdsOperation.spend],0)</f>
        <v>52034</v>
      </c>
      <c r="AA312" s="12">
        <f>SUMIFS(SalesByUTMDaily[facebook],SalesByUTMDaily[day],TableDailySummary[[#This Row],[Fecha]])</f>
        <v>0</v>
      </c>
      <c r="AB312" s="12">
        <f>TableDailySummary[[#This Row],[Inversión google ads]]+TableDailySummary[[#This Row],[Inversión meta ads]]</f>
        <v>98042.11</v>
      </c>
      <c r="AC312" s="12">
        <f>TableDailySummary[[#This Row],[Ventas google ads]]+TableDailySummary[[#This Row],[Ventas meta ads]]</f>
        <v>287000</v>
      </c>
      <c r="AD312" s="14">
        <f>IFERROR(TableDailySummary[[#This Row],[Ventas publicidad]]/TableDailySummary[[#This Row],[Inversión publicidad]],0)</f>
        <v>2.9273135798484957</v>
      </c>
      <c r="AE312" s="14">
        <f>IFERROR(TableDailySummary[[#This Row],[Ventas primer cliente]]/TableDailySummary[[#This Row],[Inversión publicidad]],0)</f>
        <v>11.656798899982874</v>
      </c>
      <c r="AF312" s="14"/>
      <c r="AG312" s="12"/>
      <c r="AM312" s="12">
        <f>_xlfn.XLOOKUP(TableDailySummary[[#This Row],[Fecha]],SummaryDaily[day],SummaryDaily[net_sales_with_cost_recorded],0)</f>
        <v>4017907.59</v>
      </c>
      <c r="AN312" s="12">
        <f>_xlfn.XLOOKUP(TableDailySummary[[#This Row],[Fecha]],SummaryDaily[day],SummaryDaily[cost_of_goods_sold],0)</f>
        <v>1045598</v>
      </c>
      <c r="AO312" s="12">
        <f>_xlfn.XLOOKUP(TableDailySummary[[#This Row],[Fecha]],SummaryDaily[day],SummaryDaily[gross_profit],0)</f>
        <v>2972309.59</v>
      </c>
      <c r="AP312" s="18">
        <f>IFERROR(TableDailySummary[[#This Row],[Utilidad bruta]]/TableDailySummary[[#This Row],[Ventas netas con costo registrado]],0)</f>
        <v>0.73976554299000186</v>
      </c>
    </row>
    <row r="313" spans="2:42" x14ac:dyDescent="0.2">
      <c r="B313" s="15" cm="1">
        <f t="array" ref="B313">MIN(SummaryDaily[day]) + (ROW(TableDailySummary[#This Row]) - ROW(TableDailySummary[[#Headers],[Dia]]) - 1)</f>
        <v>46084</v>
      </c>
      <c r="C313" s="6">
        <f>TableDailySummary[[#This Row],[Dia]]</f>
        <v>46084</v>
      </c>
      <c r="D313" s="12">
        <f>_xlfn.XLOOKUP(TableDailySummary[[#This Row],[Fecha]],SummaryDaily[day],SummaryDaily[net_sales],0)</f>
        <v>2540042.0099999998</v>
      </c>
      <c r="E313" s="12">
        <f>_xlfn.XLOOKUP(TableDailySummary[[#This Row],[Fecha]],SummaryDaily[day],SummaryDaily[orders],0)</f>
        <v>16</v>
      </c>
      <c r="F313" s="12">
        <f>_xlfn.XLOOKUP(TableDailySummary[[#This Row],[Fecha]],SummaryDaily[day],SummaryDaily[average_order_value],0)</f>
        <v>158752.625</v>
      </c>
      <c r="G313" s="24">
        <f>_xlfn.XLOOKUP(TableDailySummary[[#This Row],[Fecha]],SummaryDaily[day],SummaryDaily[Total site_conversion_rate],0)</f>
        <v>9.3632958801498131E-3</v>
      </c>
      <c r="H313" s="12">
        <f>TableDailySummary[[#This Row],[Órden promedio totales]]*TableDailySummary[[#This Row],[CR totales]]</f>
        <v>1486.4477996254682</v>
      </c>
      <c r="I313" s="12">
        <f>_xlfn.XLOOKUP(TableDailySummary[[#This Row],[Fecha]],SummaryDaily[day],SummaryDaily[new_net_sales],0)</f>
        <v>954621.84</v>
      </c>
      <c r="J313" s="12">
        <f>_xlfn.XLOOKUP(TableDailySummary[[#This Row],[Fecha]],SummaryDaily[day],SummaryDaily[new_orders],0)</f>
        <v>5</v>
      </c>
      <c r="K313" s="12">
        <f>_xlfn.XLOOKUP(TableDailySummary[[#This Row],[Fecha]],SummaryDaily[day],SummaryDaily[new_average_order_value],0)</f>
        <v>190924.36799999999</v>
      </c>
      <c r="L313" s="12">
        <f>_xlfn.XLOOKUP(TableDailySummary[[#This Row],[Fecha]],SummaryDaily[day],SummaryDaily[Online Store_net_sales],0)</f>
        <v>1142857.1399999999</v>
      </c>
      <c r="M313" s="12">
        <f>_xlfn.XLOOKUP(TableDailySummary[[#This Row],[Fecha]],SummaryDaily[day],SummaryDaily[Online Store_orders],0)</f>
        <v>6</v>
      </c>
      <c r="N313" s="12">
        <f>_xlfn.XLOOKUP(TableDailySummary[[#This Row],[Fecha]],SummaryDaily[day],SummaryDaily[Online Store_average_order_value],0)</f>
        <v>190476.19</v>
      </c>
      <c r="O313" s="12">
        <f>_xlfn.XLOOKUP(TableDailySummary[[#This Row],[Fecha]],SummaryDaily[day],SummaryDaily[Tienda 81_net_sales],0)</f>
        <v>1397184.87</v>
      </c>
      <c r="P313" s="12">
        <f>_xlfn.XLOOKUP(TableDailySummary[[#This Row],[Fecha]],SummaryDaily[day],SummaryDaily[Tienda 81_orders],0)</f>
        <v>10</v>
      </c>
      <c r="Q313" s="12">
        <f>_xlfn.XLOOKUP(TableDailySummary[[#This Row],[Fecha]],SummaryDaily[day],SummaryDaily[Tienda 81_average_order_value],0)</f>
        <v>139718.48699999999</v>
      </c>
      <c r="R313" s="12">
        <f>_xlfn.XLOOKUP(TableDailySummary[[#This Row],[Fecha]],SummaryDaily[day],SummaryDaily[Rappi_net_sales],0)</f>
        <v>0</v>
      </c>
      <c r="S313" s="12">
        <f>_xlfn.XLOOKUP(TableDailySummary[[#This Row],[Fecha]],SummaryDaily[day],SummaryDaily[Rappi_orders],0)</f>
        <v>0</v>
      </c>
      <c r="T313" s="12">
        <f>_xlfn.XLOOKUP(TableDailySummary[[#This Row],[Fecha]],SummaryDaily[day],SummaryDaily[Rappi_average_order_value],0)</f>
        <v>0</v>
      </c>
      <c r="U313" s="12">
        <f>_xlfn.XLOOKUP(TableDailySummary[[#This Row],[Fecha]],SummaryDaily[day],SummaryDaily[Corporativo no tienda_net_sales],0)</f>
        <v>0</v>
      </c>
      <c r="V313" s="12">
        <f>_xlfn.XLOOKUP(TableDailySummary[[#This Row],[Fecha]],SummaryDaily[day],SummaryDaily[Corporativo no tienda_orders],0)</f>
        <v>0</v>
      </c>
      <c r="W313" s="12">
        <f>_xlfn.XLOOKUP(TableDailySummary[[#This Row],[Fecha]],SummaryDaily[day],SummaryDaily[Corporativo no tienda_average_order_value],0)</f>
        <v>0</v>
      </c>
      <c r="X313" s="12">
        <f>_xlfn.XLOOKUP(TableDailySummary[[#This Row],[Fecha]],SummaryDaily[day],SummaryDaily[GoogleAdsOperation.Cost],0)</f>
        <v>41299.81</v>
      </c>
      <c r="Y313" s="12">
        <f>SUMIFS(SalesByUTMDaily[google],SalesByUTMDaily[day],TableDailySummary[[#This Row],[Fecha]])</f>
        <v>67000</v>
      </c>
      <c r="Z313" s="12">
        <f>_xlfn.XLOOKUP(TableDailySummary[[#This Row],[Fecha]],SummaryDaily[day],SummaryDaily[MetaAdsOperation.spend],0)</f>
        <v>51619</v>
      </c>
      <c r="AA313" s="12">
        <f>SUMIFS(SalesByUTMDaily[facebook],SalesByUTMDaily[day],TableDailySummary[[#This Row],[Fecha]])</f>
        <v>75000</v>
      </c>
      <c r="AB313" s="12">
        <f>TableDailySummary[[#This Row],[Inversión google ads]]+TableDailySummary[[#This Row],[Inversión meta ads]]</f>
        <v>92918.81</v>
      </c>
      <c r="AC313" s="12">
        <f>TableDailySummary[[#This Row],[Ventas google ads]]+TableDailySummary[[#This Row],[Ventas meta ads]]</f>
        <v>142000</v>
      </c>
      <c r="AD313" s="14">
        <f>IFERROR(TableDailySummary[[#This Row],[Ventas publicidad]]/TableDailySummary[[#This Row],[Inversión publicidad]],0)</f>
        <v>1.5282158693164496</v>
      </c>
      <c r="AE313" s="14">
        <f>IFERROR(TableDailySummary[[#This Row],[Ventas primer cliente]]/TableDailySummary[[#This Row],[Inversión publicidad]],0)</f>
        <v>10.273720035803299</v>
      </c>
      <c r="AF313" s="14"/>
      <c r="AG313" s="12"/>
      <c r="AM313" s="12">
        <f>_xlfn.XLOOKUP(TableDailySummary[[#This Row],[Fecha]],SummaryDaily[day],SummaryDaily[net_sales_with_cost_recorded],0)</f>
        <v>2540042.0099999998</v>
      </c>
      <c r="AN313" s="12">
        <f>_xlfn.XLOOKUP(TableDailySummary[[#This Row],[Fecha]],SummaryDaily[day],SummaryDaily[cost_of_goods_sold],0)</f>
        <v>765429</v>
      </c>
      <c r="AO313" s="12">
        <f>_xlfn.XLOOKUP(TableDailySummary[[#This Row],[Fecha]],SummaryDaily[day],SummaryDaily[gross_profit],0)</f>
        <v>1774613.01</v>
      </c>
      <c r="AP313" s="18">
        <f>IFERROR(TableDailySummary[[#This Row],[Utilidad bruta]]/TableDailySummary[[#This Row],[Ventas netas con costo registrado]],0)</f>
        <v>0.69865498405674009</v>
      </c>
    </row>
    <row r="314" spans="2:42" x14ac:dyDescent="0.2">
      <c r="B314" s="15" cm="1">
        <f t="array" ref="B314">MIN(SummaryDaily[day]) + (ROW(TableDailySummary[#This Row]) - ROW(TableDailySummary[[#Headers],[Dia]]) - 1)</f>
        <v>46085</v>
      </c>
      <c r="C314" s="6">
        <f>TableDailySummary[[#This Row],[Dia]]</f>
        <v>46085</v>
      </c>
      <c r="D314" s="12">
        <f>_xlfn.XLOOKUP(TableDailySummary[[#This Row],[Fecha]],SummaryDaily[day],SummaryDaily[net_sales],0)</f>
        <v>4054907.57</v>
      </c>
      <c r="E314" s="12">
        <f>_xlfn.XLOOKUP(TableDailySummary[[#This Row],[Fecha]],SummaryDaily[day],SummaryDaily[orders],0)</f>
        <v>22</v>
      </c>
      <c r="F314" s="12">
        <f>_xlfn.XLOOKUP(TableDailySummary[[#This Row],[Fecha]],SummaryDaily[day],SummaryDaily[average_order_value],0)</f>
        <v>184313.98</v>
      </c>
      <c r="G314" s="24">
        <f>_xlfn.XLOOKUP(TableDailySummary[[#This Row],[Fecha]],SummaryDaily[day],SummaryDaily[Total site_conversion_rate],0)</f>
        <v>9.9378881987577643E-3</v>
      </c>
      <c r="H314" s="12">
        <f>TableDailySummary[[#This Row],[Órden promedio totales]]*TableDailySummary[[#This Row],[CR totales]]</f>
        <v>1831.6917267080746</v>
      </c>
      <c r="I314" s="12">
        <f>_xlfn.XLOOKUP(TableDailySummary[[#This Row],[Fecha]],SummaryDaily[day],SummaryDaily[new_net_sales],0)</f>
        <v>903100.84</v>
      </c>
      <c r="J314" s="12">
        <f>_xlfn.XLOOKUP(TableDailySummary[[#This Row],[Fecha]],SummaryDaily[day],SummaryDaily[new_orders],0)</f>
        <v>6</v>
      </c>
      <c r="K314" s="12">
        <f>_xlfn.XLOOKUP(TableDailySummary[[#This Row],[Fecha]],SummaryDaily[day],SummaryDaily[new_average_order_value],0)</f>
        <v>150516.80600000001</v>
      </c>
      <c r="L314" s="12">
        <f>_xlfn.XLOOKUP(TableDailySummary[[#This Row],[Fecha]],SummaryDaily[day],SummaryDaily[Online Store_net_sales],0)</f>
        <v>1684033.62</v>
      </c>
      <c r="M314" s="12">
        <f>_xlfn.XLOOKUP(TableDailySummary[[#This Row],[Fecha]],SummaryDaily[day],SummaryDaily[Online Store_orders],0)</f>
        <v>8</v>
      </c>
      <c r="N314" s="12">
        <f>_xlfn.XLOOKUP(TableDailySummary[[#This Row],[Fecha]],SummaryDaily[day],SummaryDaily[Online Store_average_order_value],0)</f>
        <v>210504.20199999999</v>
      </c>
      <c r="O314" s="12">
        <f>_xlfn.XLOOKUP(TableDailySummary[[#This Row],[Fecha]],SummaryDaily[day],SummaryDaily[Tienda 81_net_sales],0)</f>
        <v>2370873.9500000002</v>
      </c>
      <c r="P314" s="12">
        <f>_xlfn.XLOOKUP(TableDailySummary[[#This Row],[Fecha]],SummaryDaily[day],SummaryDaily[Tienda 81_orders],0)</f>
        <v>14</v>
      </c>
      <c r="Q314" s="12">
        <f>_xlfn.XLOOKUP(TableDailySummary[[#This Row],[Fecha]],SummaryDaily[day],SummaryDaily[Tienda 81_average_order_value],0)</f>
        <v>169348.139</v>
      </c>
      <c r="R314" s="12">
        <f>_xlfn.XLOOKUP(TableDailySummary[[#This Row],[Fecha]],SummaryDaily[day],SummaryDaily[Rappi_net_sales],0)</f>
        <v>0</v>
      </c>
      <c r="S314" s="12">
        <f>_xlfn.XLOOKUP(TableDailySummary[[#This Row],[Fecha]],SummaryDaily[day],SummaryDaily[Rappi_orders],0)</f>
        <v>0</v>
      </c>
      <c r="T314" s="12">
        <f>_xlfn.XLOOKUP(TableDailySummary[[#This Row],[Fecha]],SummaryDaily[day],SummaryDaily[Rappi_average_order_value],0)</f>
        <v>0</v>
      </c>
      <c r="U314" s="12">
        <f>_xlfn.XLOOKUP(TableDailySummary[[#This Row],[Fecha]],SummaryDaily[day],SummaryDaily[Corporativo no tienda_net_sales],0)</f>
        <v>0</v>
      </c>
      <c r="V314" s="12">
        <f>_xlfn.XLOOKUP(TableDailySummary[[#This Row],[Fecha]],SummaryDaily[day],SummaryDaily[Corporativo no tienda_orders],0)</f>
        <v>0</v>
      </c>
      <c r="W314" s="12">
        <f>_xlfn.XLOOKUP(TableDailySummary[[#This Row],[Fecha]],SummaryDaily[day],SummaryDaily[Corporativo no tienda_average_order_value],0)</f>
        <v>0</v>
      </c>
      <c r="X314" s="12">
        <f>_xlfn.XLOOKUP(TableDailySummary[[#This Row],[Fecha]],SummaryDaily[day],SummaryDaily[GoogleAdsOperation.Cost],0)</f>
        <v>52746.12</v>
      </c>
      <c r="Y314" s="12">
        <f>SUMIFS(SalesByUTMDaily[google],SalesByUTMDaily[day],TableDailySummary[[#This Row],[Fecha]])</f>
        <v>0</v>
      </c>
      <c r="Z314" s="12">
        <f>_xlfn.XLOOKUP(TableDailySummary[[#This Row],[Fecha]],SummaryDaily[day],SummaryDaily[MetaAdsOperation.spend],0)</f>
        <v>52071</v>
      </c>
      <c r="AA314" s="12">
        <f>SUMIFS(SalesByUTMDaily[facebook],SalesByUTMDaily[day],TableDailySummary[[#This Row],[Fecha]])</f>
        <v>0</v>
      </c>
      <c r="AB314" s="12">
        <f>TableDailySummary[[#This Row],[Inversión google ads]]+TableDailySummary[[#This Row],[Inversión meta ads]]</f>
        <v>104817.12</v>
      </c>
      <c r="AC314" s="12">
        <f>TableDailySummary[[#This Row],[Ventas google ads]]+TableDailySummary[[#This Row],[Ventas meta ads]]</f>
        <v>0</v>
      </c>
      <c r="AD314" s="14">
        <f>IFERROR(TableDailySummary[[#This Row],[Ventas publicidad]]/TableDailySummary[[#This Row],[Inversión publicidad]],0)</f>
        <v>0</v>
      </c>
      <c r="AE314" s="14">
        <f>IFERROR(TableDailySummary[[#This Row],[Ventas primer cliente]]/TableDailySummary[[#This Row],[Inversión publicidad]],0)</f>
        <v>8.6159669336459537</v>
      </c>
      <c r="AF314" s="14"/>
      <c r="AG314" s="12"/>
      <c r="AM314" s="12">
        <f>_xlfn.XLOOKUP(TableDailySummary[[#This Row],[Fecha]],SummaryDaily[day],SummaryDaily[net_sales_with_cost_recorded],0)</f>
        <v>3895243.7</v>
      </c>
      <c r="AN314" s="12">
        <f>_xlfn.XLOOKUP(TableDailySummary[[#This Row],[Fecha]],SummaryDaily[day],SummaryDaily[cost_of_goods_sold],0)</f>
        <v>1096062</v>
      </c>
      <c r="AO314" s="12">
        <f>_xlfn.XLOOKUP(TableDailySummary[[#This Row],[Fecha]],SummaryDaily[day],SummaryDaily[gross_profit],0)</f>
        <v>2799181.7</v>
      </c>
      <c r="AP314" s="18">
        <f>IFERROR(TableDailySummary[[#This Row],[Utilidad bruta]]/TableDailySummary[[#This Row],[Ventas netas con costo registrado]],0)</f>
        <v>0.71861529485305375</v>
      </c>
    </row>
    <row r="315" spans="2:42" x14ac:dyDescent="0.2">
      <c r="B315" s="15" cm="1">
        <f t="array" ref="B315">MIN(SummaryDaily[day]) + (ROW(TableDailySummary[#This Row]) - ROW(TableDailySummary[[#Headers],[Dia]]) - 1)</f>
        <v>46086</v>
      </c>
      <c r="C315" s="6">
        <f>TableDailySummary[[#This Row],[Dia]]</f>
        <v>46086</v>
      </c>
      <c r="D315" s="12">
        <f>_xlfn.XLOOKUP(TableDailySummary[[#This Row],[Fecha]],SummaryDaily[day],SummaryDaily[net_sales],0)</f>
        <v>9805256.2899999991</v>
      </c>
      <c r="E315" s="12">
        <f>_xlfn.XLOOKUP(TableDailySummary[[#This Row],[Fecha]],SummaryDaily[day],SummaryDaily[orders],0)</f>
        <v>29</v>
      </c>
      <c r="F315" s="12">
        <f>_xlfn.XLOOKUP(TableDailySummary[[#This Row],[Fecha]],SummaryDaily[day],SummaryDaily[average_order_value],0)</f>
        <v>338112.28499999997</v>
      </c>
      <c r="G315" s="24">
        <f>_xlfn.XLOOKUP(TableDailySummary[[#This Row],[Fecha]],SummaryDaily[day],SummaryDaily[Total site_conversion_rate],0)</f>
        <v>8.2372322899505763E-3</v>
      </c>
      <c r="H315" s="12">
        <f>TableDailySummary[[#This Row],[Órden promedio totales]]*TableDailySummary[[#This Row],[CR totales]]</f>
        <v>2785.1094316309718</v>
      </c>
      <c r="I315" s="12">
        <f>_xlfn.XLOOKUP(TableDailySummary[[#This Row],[Fecha]],SummaryDaily[day],SummaryDaily[new_net_sales],0)</f>
        <v>5119222.68</v>
      </c>
      <c r="J315" s="12">
        <f>_xlfn.XLOOKUP(TableDailySummary[[#This Row],[Fecha]],SummaryDaily[day],SummaryDaily[new_orders],0)</f>
        <v>11</v>
      </c>
      <c r="K315" s="12">
        <f>_xlfn.XLOOKUP(TableDailySummary[[#This Row],[Fecha]],SummaryDaily[day],SummaryDaily[new_average_order_value],0)</f>
        <v>465383.88</v>
      </c>
      <c r="L315" s="12">
        <f>_xlfn.XLOOKUP(TableDailySummary[[#This Row],[Fecha]],SummaryDaily[day],SummaryDaily[Online Store_net_sales],0)</f>
        <v>705882.35</v>
      </c>
      <c r="M315" s="12">
        <f>_xlfn.XLOOKUP(TableDailySummary[[#This Row],[Fecha]],SummaryDaily[day],SummaryDaily[Online Store_orders],0)</f>
        <v>4</v>
      </c>
      <c r="N315" s="12">
        <f>_xlfn.XLOOKUP(TableDailySummary[[#This Row],[Fecha]],SummaryDaily[day],SummaryDaily[Online Store_average_order_value],0)</f>
        <v>176470.587</v>
      </c>
      <c r="O315" s="12">
        <f>_xlfn.XLOOKUP(TableDailySummary[[#This Row],[Fecha]],SummaryDaily[day],SummaryDaily[Tienda 81_net_sales],0)</f>
        <v>2852941.16</v>
      </c>
      <c r="P315" s="12">
        <f>_xlfn.XLOOKUP(TableDailySummary[[#This Row],[Fecha]],SummaryDaily[day],SummaryDaily[Tienda 81_orders],0)</f>
        <v>20</v>
      </c>
      <c r="Q315" s="12">
        <f>_xlfn.XLOOKUP(TableDailySummary[[#This Row],[Fecha]],SummaryDaily[day],SummaryDaily[Tienda 81_average_order_value],0)</f>
        <v>142647.05799999999</v>
      </c>
      <c r="R315" s="12">
        <f>_xlfn.XLOOKUP(TableDailySummary[[#This Row],[Fecha]],SummaryDaily[day],SummaryDaily[Rappi_net_sales],0)</f>
        <v>37815.129999999997</v>
      </c>
      <c r="S315" s="12">
        <f>_xlfn.XLOOKUP(TableDailySummary[[#This Row],[Fecha]],SummaryDaily[day],SummaryDaily[Rappi_orders],0)</f>
        <v>1</v>
      </c>
      <c r="T315" s="12">
        <f>_xlfn.XLOOKUP(TableDailySummary[[#This Row],[Fecha]],SummaryDaily[day],SummaryDaily[Rappi_average_order_value],0)</f>
        <v>37815.129999999997</v>
      </c>
      <c r="U315" s="12">
        <f>_xlfn.XLOOKUP(TableDailySummary[[#This Row],[Fecha]],SummaryDaily[day],SummaryDaily[Corporativo no tienda_net_sales],0)</f>
        <v>6208617.6500000004</v>
      </c>
      <c r="V315" s="12">
        <f>_xlfn.XLOOKUP(TableDailySummary[[#This Row],[Fecha]],SummaryDaily[day],SummaryDaily[Corporativo no tienda_orders],0)</f>
        <v>4</v>
      </c>
      <c r="W315" s="12">
        <f>_xlfn.XLOOKUP(TableDailySummary[[#This Row],[Fecha]],SummaryDaily[day],SummaryDaily[Corporativo no tienda_average_order_value],0)</f>
        <v>1552154.412</v>
      </c>
      <c r="X315" s="12">
        <f>_xlfn.XLOOKUP(TableDailySummary[[#This Row],[Fecha]],SummaryDaily[day],SummaryDaily[GoogleAdsOperation.Cost],0)</f>
        <v>57351.24</v>
      </c>
      <c r="Y315" s="12">
        <f>SUMIFS(SalesByUTMDaily[google],SalesByUTMDaily[day],TableDailySummary[[#This Row],[Fecha]])</f>
        <v>262000</v>
      </c>
      <c r="Z315" s="12">
        <f>_xlfn.XLOOKUP(TableDailySummary[[#This Row],[Fecha]],SummaryDaily[day],SummaryDaily[MetaAdsOperation.spend],0)</f>
        <v>48544</v>
      </c>
      <c r="AA315" s="12">
        <f>SUMIFS(SalesByUTMDaily[facebook],SalesByUTMDaily[day],TableDailySummary[[#This Row],[Fecha]])</f>
        <v>0</v>
      </c>
      <c r="AB315" s="12">
        <f>TableDailySummary[[#This Row],[Inversión google ads]]+TableDailySummary[[#This Row],[Inversión meta ads]]</f>
        <v>105895.23999999999</v>
      </c>
      <c r="AC315" s="12">
        <f>TableDailySummary[[#This Row],[Ventas google ads]]+TableDailySummary[[#This Row],[Ventas meta ads]]</f>
        <v>262000</v>
      </c>
      <c r="AD315" s="14">
        <f>IFERROR(TableDailySummary[[#This Row],[Ventas publicidad]]/TableDailySummary[[#This Row],[Inversión publicidad]],0)</f>
        <v>2.4741433137126845</v>
      </c>
      <c r="AE315" s="14">
        <f>IFERROR(TableDailySummary[[#This Row],[Ventas primer cliente]]/TableDailySummary[[#This Row],[Inversión publicidad]],0)</f>
        <v>48.342330401253164</v>
      </c>
      <c r="AF315" s="14"/>
      <c r="AG315" s="12"/>
      <c r="AM315" s="12">
        <f>_xlfn.XLOOKUP(TableDailySummary[[#This Row],[Fecha]],SummaryDaily[day],SummaryDaily[net_sales_with_cost_recorded],0)</f>
        <v>9775844.5299999993</v>
      </c>
      <c r="AN315" s="12">
        <f>_xlfn.XLOOKUP(TableDailySummary[[#This Row],[Fecha]],SummaryDaily[day],SummaryDaily[cost_of_goods_sold],0)</f>
        <v>4366585</v>
      </c>
      <c r="AO315" s="12">
        <f>_xlfn.XLOOKUP(TableDailySummary[[#This Row],[Fecha]],SummaryDaily[day],SummaryDaily[gross_profit],0)</f>
        <v>5409259.5300000003</v>
      </c>
      <c r="AP315" s="18">
        <f>IFERROR(TableDailySummary[[#This Row],[Utilidad bruta]]/TableDailySummary[[#This Row],[Ventas netas con costo registrado]],0)</f>
        <v>0.55332912807687629</v>
      </c>
    </row>
    <row r="316" spans="2:42" x14ac:dyDescent="0.2">
      <c r="B316" s="15" cm="1">
        <f t="array" ref="B316">MIN(SummaryDaily[day]) + (ROW(TableDailySummary[#This Row]) - ROW(TableDailySummary[[#Headers],[Dia]]) - 1)</f>
        <v>46087</v>
      </c>
      <c r="C316" s="6">
        <f>TableDailySummary[[#This Row],[Dia]]</f>
        <v>46087</v>
      </c>
      <c r="D316" s="12">
        <f>_xlfn.XLOOKUP(TableDailySummary[[#This Row],[Fecha]],SummaryDaily[day],SummaryDaily[net_sales],0)</f>
        <v>2841680.68</v>
      </c>
      <c r="E316" s="12">
        <f>_xlfn.XLOOKUP(TableDailySummary[[#This Row],[Fecha]],SummaryDaily[day],SummaryDaily[orders],0)</f>
        <v>25</v>
      </c>
      <c r="F316" s="12">
        <f>_xlfn.XLOOKUP(TableDailySummary[[#This Row],[Fecha]],SummaryDaily[day],SummaryDaily[average_order_value],0)</f>
        <v>113667.227</v>
      </c>
      <c r="G316" s="24">
        <f>_xlfn.XLOOKUP(TableDailySummary[[#This Row],[Fecha]],SummaryDaily[day],SummaryDaily[Total site_conversion_rate],0)</f>
        <v>5.8651026392961877E-3</v>
      </c>
      <c r="H316" s="12">
        <f>TableDailySummary[[#This Row],[Órden promedio totales]]*TableDailySummary[[#This Row],[CR totales]]</f>
        <v>666.66995307917887</v>
      </c>
      <c r="I316" s="12">
        <f>_xlfn.XLOOKUP(TableDailySummary[[#This Row],[Fecha]],SummaryDaily[day],SummaryDaily[new_net_sales],0)</f>
        <v>1934117.65</v>
      </c>
      <c r="J316" s="12">
        <f>_xlfn.XLOOKUP(TableDailySummary[[#This Row],[Fecha]],SummaryDaily[day],SummaryDaily[new_orders],0)</f>
        <v>15</v>
      </c>
      <c r="K316" s="12">
        <f>_xlfn.XLOOKUP(TableDailySummary[[#This Row],[Fecha]],SummaryDaily[day],SummaryDaily[new_average_order_value],0)</f>
        <v>128941.17600000001</v>
      </c>
      <c r="L316" s="12">
        <f>_xlfn.XLOOKUP(TableDailySummary[[#This Row],[Fecha]],SummaryDaily[day],SummaryDaily[Online Store_net_sales],0)</f>
        <v>508403.36</v>
      </c>
      <c r="M316" s="12">
        <f>_xlfn.XLOOKUP(TableDailySummary[[#This Row],[Fecha]],SummaryDaily[day],SummaryDaily[Online Store_orders],0)</f>
        <v>4</v>
      </c>
      <c r="N316" s="12">
        <f>_xlfn.XLOOKUP(TableDailySummary[[#This Row],[Fecha]],SummaryDaily[day],SummaryDaily[Online Store_average_order_value],0)</f>
        <v>127100.84</v>
      </c>
      <c r="O316" s="12">
        <f>_xlfn.XLOOKUP(TableDailySummary[[#This Row],[Fecha]],SummaryDaily[day],SummaryDaily[Tienda 81_net_sales],0)</f>
        <v>2333277.3199999998</v>
      </c>
      <c r="P316" s="12">
        <f>_xlfn.XLOOKUP(TableDailySummary[[#This Row],[Fecha]],SummaryDaily[day],SummaryDaily[Tienda 81_orders],0)</f>
        <v>21</v>
      </c>
      <c r="Q316" s="12">
        <f>_xlfn.XLOOKUP(TableDailySummary[[#This Row],[Fecha]],SummaryDaily[day],SummaryDaily[Tienda 81_average_order_value],0)</f>
        <v>111108.443</v>
      </c>
      <c r="R316" s="12">
        <f>_xlfn.XLOOKUP(TableDailySummary[[#This Row],[Fecha]],SummaryDaily[day],SummaryDaily[Rappi_net_sales],0)</f>
        <v>0</v>
      </c>
      <c r="S316" s="12">
        <f>_xlfn.XLOOKUP(TableDailySummary[[#This Row],[Fecha]],SummaryDaily[day],SummaryDaily[Rappi_orders],0)</f>
        <v>0</v>
      </c>
      <c r="T316" s="12">
        <f>_xlfn.XLOOKUP(TableDailySummary[[#This Row],[Fecha]],SummaryDaily[day],SummaryDaily[Rappi_average_order_value],0)</f>
        <v>0</v>
      </c>
      <c r="U316" s="12">
        <f>_xlfn.XLOOKUP(TableDailySummary[[#This Row],[Fecha]],SummaryDaily[day],SummaryDaily[Corporativo no tienda_net_sales],0)</f>
        <v>0</v>
      </c>
      <c r="V316" s="12">
        <f>_xlfn.XLOOKUP(TableDailySummary[[#This Row],[Fecha]],SummaryDaily[day],SummaryDaily[Corporativo no tienda_orders],0)</f>
        <v>0</v>
      </c>
      <c r="W316" s="12">
        <f>_xlfn.XLOOKUP(TableDailySummary[[#This Row],[Fecha]],SummaryDaily[day],SummaryDaily[Corporativo no tienda_average_order_value],0)</f>
        <v>0</v>
      </c>
      <c r="X316" s="12">
        <f>_xlfn.XLOOKUP(TableDailySummary[[#This Row],[Fecha]],SummaryDaily[day],SummaryDaily[GoogleAdsOperation.Cost],0)</f>
        <v>55294.58</v>
      </c>
      <c r="Y316" s="12">
        <f>SUMIFS(SalesByUTMDaily[google],SalesByUTMDaily[day],TableDailySummary[[#This Row],[Fecha]])</f>
        <v>0</v>
      </c>
      <c r="Z316" s="12">
        <f>_xlfn.XLOOKUP(TableDailySummary[[#This Row],[Fecha]],SummaryDaily[day],SummaryDaily[MetaAdsOperation.spend],0)</f>
        <v>45305</v>
      </c>
      <c r="AA316" s="12">
        <f>SUMIFS(SalesByUTMDaily[facebook],SalesByUTMDaily[day],TableDailySummary[[#This Row],[Fecha]])</f>
        <v>91000</v>
      </c>
      <c r="AB316" s="12">
        <f>TableDailySummary[[#This Row],[Inversión google ads]]+TableDailySummary[[#This Row],[Inversión meta ads]]</f>
        <v>100599.58</v>
      </c>
      <c r="AC316" s="12">
        <f>TableDailySummary[[#This Row],[Ventas google ads]]+TableDailySummary[[#This Row],[Ventas meta ads]]</f>
        <v>91000</v>
      </c>
      <c r="AD316" s="14">
        <f>IFERROR(TableDailySummary[[#This Row],[Ventas publicidad]]/TableDailySummary[[#This Row],[Inversión publicidad]],0)</f>
        <v>0.90457634117359131</v>
      </c>
      <c r="AE316" s="14">
        <f>IFERROR(TableDailySummary[[#This Row],[Ventas primer cliente]]/TableDailySummary[[#This Row],[Inversión publicidad]],0)</f>
        <v>19.22590183776115</v>
      </c>
      <c r="AF316" s="14"/>
      <c r="AG316" s="12"/>
      <c r="AM316" s="12">
        <f>_xlfn.XLOOKUP(TableDailySummary[[#This Row],[Fecha]],SummaryDaily[day],SummaryDaily[net_sales_with_cost_recorded],0)</f>
        <v>2673613.4500000002</v>
      </c>
      <c r="AN316" s="12">
        <f>_xlfn.XLOOKUP(TableDailySummary[[#This Row],[Fecha]],SummaryDaily[day],SummaryDaily[cost_of_goods_sold],0)</f>
        <v>762396</v>
      </c>
      <c r="AO316" s="12">
        <f>_xlfn.XLOOKUP(TableDailySummary[[#This Row],[Fecha]],SummaryDaily[day],SummaryDaily[gross_profit],0)</f>
        <v>1911217.45</v>
      </c>
      <c r="AP316" s="18">
        <f>IFERROR(TableDailySummary[[#This Row],[Utilidad bruta]]/TableDailySummary[[#This Row],[Ventas netas con costo registrado]],0)</f>
        <v>0.7148443429621435</v>
      </c>
    </row>
    <row r="317" spans="2:42" x14ac:dyDescent="0.2">
      <c r="B317" s="15" cm="1">
        <f t="array" ref="B317">MIN(SummaryDaily[day]) + (ROW(TableDailySummary[#This Row]) - ROW(TableDailySummary[[#Headers],[Dia]]) - 1)</f>
        <v>46088</v>
      </c>
      <c r="C317" s="6">
        <f>TableDailySummary[[#This Row],[Dia]]</f>
        <v>46088</v>
      </c>
      <c r="D317" s="12">
        <f>_xlfn.XLOOKUP(TableDailySummary[[#This Row],[Fecha]],SummaryDaily[day],SummaryDaily[net_sales],0)</f>
        <v>3641285.73</v>
      </c>
      <c r="E317" s="12">
        <f>_xlfn.XLOOKUP(TableDailySummary[[#This Row],[Fecha]],SummaryDaily[day],SummaryDaily[orders],0)</f>
        <v>30</v>
      </c>
      <c r="F317" s="12">
        <f>_xlfn.XLOOKUP(TableDailySummary[[#This Row],[Fecha]],SummaryDaily[day],SummaryDaily[average_order_value],0)</f>
        <v>121376.19100000001</v>
      </c>
      <c r="G317" s="24">
        <f>_xlfn.XLOOKUP(TableDailySummary[[#This Row],[Fecha]],SummaryDaily[day],SummaryDaily[Total site_conversion_rate],0)</f>
        <v>1.9342359767891683E-3</v>
      </c>
      <c r="H317" s="12">
        <f>TableDailySummary[[#This Row],[Órden promedio totales]]*TableDailySummary[[#This Row],[CR totales]]</f>
        <v>234.77019535783367</v>
      </c>
      <c r="I317" s="12">
        <f>_xlfn.XLOOKUP(TableDailySummary[[#This Row],[Fecha]],SummaryDaily[day],SummaryDaily[new_net_sales],0)</f>
        <v>1379084.04</v>
      </c>
      <c r="J317" s="12">
        <f>_xlfn.XLOOKUP(TableDailySummary[[#This Row],[Fecha]],SummaryDaily[day],SummaryDaily[new_orders],0)</f>
        <v>9</v>
      </c>
      <c r="K317" s="12">
        <f>_xlfn.XLOOKUP(TableDailySummary[[#This Row],[Fecha]],SummaryDaily[day],SummaryDaily[new_average_order_value],0)</f>
        <v>153231.56</v>
      </c>
      <c r="L317" s="12">
        <f>_xlfn.XLOOKUP(TableDailySummary[[#This Row],[Fecha]],SummaryDaily[day],SummaryDaily[Online Store_net_sales],0)</f>
        <v>277310.93</v>
      </c>
      <c r="M317" s="12">
        <f>_xlfn.XLOOKUP(TableDailySummary[[#This Row],[Fecha]],SummaryDaily[day],SummaryDaily[Online Store_orders],0)</f>
        <v>2</v>
      </c>
      <c r="N317" s="12">
        <f>_xlfn.XLOOKUP(TableDailySummary[[#This Row],[Fecha]],SummaryDaily[day],SummaryDaily[Online Store_average_order_value],0)</f>
        <v>138655.465</v>
      </c>
      <c r="O317" s="12">
        <f>_xlfn.XLOOKUP(TableDailySummary[[#This Row],[Fecha]],SummaryDaily[day],SummaryDaily[Tienda 81_net_sales],0)</f>
        <v>3237924.37</v>
      </c>
      <c r="P317" s="12">
        <f>_xlfn.XLOOKUP(TableDailySummary[[#This Row],[Fecha]],SummaryDaily[day],SummaryDaily[Tienda 81_orders],0)</f>
        <v>25</v>
      </c>
      <c r="Q317" s="12">
        <f>_xlfn.XLOOKUP(TableDailySummary[[#This Row],[Fecha]],SummaryDaily[day],SummaryDaily[Tienda 81_average_order_value],0)</f>
        <v>129516.974</v>
      </c>
      <c r="R317" s="12">
        <f>_xlfn.XLOOKUP(TableDailySummary[[#This Row],[Fecha]],SummaryDaily[day],SummaryDaily[Rappi_net_sales],0)</f>
        <v>126050.43</v>
      </c>
      <c r="S317" s="12">
        <f>_xlfn.XLOOKUP(TableDailySummary[[#This Row],[Fecha]],SummaryDaily[day],SummaryDaily[Rappi_orders],0)</f>
        <v>3</v>
      </c>
      <c r="T317" s="12">
        <f>_xlfn.XLOOKUP(TableDailySummary[[#This Row],[Fecha]],SummaryDaily[day],SummaryDaily[Rappi_average_order_value],0)</f>
        <v>42016.81</v>
      </c>
      <c r="U317" s="12">
        <f>_xlfn.XLOOKUP(TableDailySummary[[#This Row],[Fecha]],SummaryDaily[day],SummaryDaily[Corporativo no tienda_net_sales],0)</f>
        <v>0</v>
      </c>
      <c r="V317" s="12">
        <f>_xlfn.XLOOKUP(TableDailySummary[[#This Row],[Fecha]],SummaryDaily[day],SummaryDaily[Corporativo no tienda_orders],0)</f>
        <v>0</v>
      </c>
      <c r="W317" s="12">
        <f>_xlfn.XLOOKUP(TableDailySummary[[#This Row],[Fecha]],SummaryDaily[day],SummaryDaily[Corporativo no tienda_average_order_value],0)</f>
        <v>0</v>
      </c>
      <c r="X317" s="12">
        <f>_xlfn.XLOOKUP(TableDailySummary[[#This Row],[Fecha]],SummaryDaily[day],SummaryDaily[GoogleAdsOperation.Cost],0)</f>
        <v>57312.800000000003</v>
      </c>
      <c r="Y317" s="12">
        <f>SUMIFS(SalesByUTMDaily[google],SalesByUTMDaily[day],TableDailySummary[[#This Row],[Fecha]])</f>
        <v>0</v>
      </c>
      <c r="Z317" s="12">
        <f>_xlfn.XLOOKUP(TableDailySummary[[#This Row],[Fecha]],SummaryDaily[day],SummaryDaily[MetaAdsOperation.spend],0)</f>
        <v>51233</v>
      </c>
      <c r="AA317" s="12">
        <f>SUMIFS(SalesByUTMDaily[facebook],SalesByUTMDaily[day],TableDailySummary[[#This Row],[Fecha]])</f>
        <v>0</v>
      </c>
      <c r="AB317" s="12">
        <f>TableDailySummary[[#This Row],[Inversión google ads]]+TableDailySummary[[#This Row],[Inversión meta ads]]</f>
        <v>108545.8</v>
      </c>
      <c r="AC317" s="12">
        <f>TableDailySummary[[#This Row],[Ventas google ads]]+TableDailySummary[[#This Row],[Ventas meta ads]]</f>
        <v>0</v>
      </c>
      <c r="AD317" s="14">
        <f>IFERROR(TableDailySummary[[#This Row],[Ventas publicidad]]/TableDailySummary[[#This Row],[Inversión publicidad]],0)</f>
        <v>0</v>
      </c>
      <c r="AE317" s="14">
        <f>IFERROR(TableDailySummary[[#This Row],[Ventas primer cliente]]/TableDailySummary[[#This Row],[Inversión publicidad]],0)</f>
        <v>12.705088911777333</v>
      </c>
      <c r="AF317" s="14"/>
      <c r="AG317" s="12"/>
      <c r="AM317" s="12">
        <f>_xlfn.XLOOKUP(TableDailySummary[[#This Row],[Fecha]],SummaryDaily[day],SummaryDaily[net_sales_with_cost_recorded],0)</f>
        <v>3641285.73</v>
      </c>
      <c r="AN317" s="12">
        <f>_xlfn.XLOOKUP(TableDailySummary[[#This Row],[Fecha]],SummaryDaily[day],SummaryDaily[cost_of_goods_sold],0)</f>
        <v>1049441</v>
      </c>
      <c r="AO317" s="12">
        <f>_xlfn.XLOOKUP(TableDailySummary[[#This Row],[Fecha]],SummaryDaily[day],SummaryDaily[gross_profit],0)</f>
        <v>2591844.73</v>
      </c>
      <c r="AP317" s="18">
        <f>IFERROR(TableDailySummary[[#This Row],[Utilidad bruta]]/TableDailySummary[[#This Row],[Ventas netas con costo registrado]],0)</f>
        <v>0.71179383387746398</v>
      </c>
    </row>
    <row r="318" spans="2:42" x14ac:dyDescent="0.2">
      <c r="B318" s="15" cm="1">
        <f t="array" ref="B318">MIN(SummaryDaily[day]) + (ROW(TableDailySummary[#This Row]) - ROW(TableDailySummary[[#Headers],[Dia]]) - 1)</f>
        <v>46089</v>
      </c>
      <c r="C318" s="6">
        <f>TableDailySummary[[#This Row],[Dia]]</f>
        <v>46089</v>
      </c>
      <c r="D318" s="12">
        <f>_xlfn.XLOOKUP(TableDailySummary[[#This Row],[Fecha]],SummaryDaily[day],SummaryDaily[net_sales],0)</f>
        <v>1990142.85</v>
      </c>
      <c r="E318" s="12">
        <f>_xlfn.XLOOKUP(TableDailySummary[[#This Row],[Fecha]],SummaryDaily[day],SummaryDaily[orders],0)</f>
        <v>13</v>
      </c>
      <c r="F318" s="12">
        <f>_xlfn.XLOOKUP(TableDailySummary[[#This Row],[Fecha]],SummaryDaily[day],SummaryDaily[average_order_value],0)</f>
        <v>153087.91099999999</v>
      </c>
      <c r="G318" s="24">
        <f>_xlfn.XLOOKUP(TableDailySummary[[#This Row],[Fecha]],SummaryDaily[day],SummaryDaily[Total site_conversion_rate],0)</f>
        <v>6.2500000000000003E-3</v>
      </c>
      <c r="H318" s="12">
        <f>TableDailySummary[[#This Row],[Órden promedio totales]]*TableDailySummary[[#This Row],[CR totales]]</f>
        <v>956.79944375000002</v>
      </c>
      <c r="I318" s="12">
        <f>_xlfn.XLOOKUP(TableDailySummary[[#This Row],[Fecha]],SummaryDaily[day],SummaryDaily[new_net_sales],0)</f>
        <v>361344.54</v>
      </c>
      <c r="J318" s="12">
        <f>_xlfn.XLOOKUP(TableDailySummary[[#This Row],[Fecha]],SummaryDaily[day],SummaryDaily[new_orders],0)</f>
        <v>2</v>
      </c>
      <c r="K318" s="12">
        <f>_xlfn.XLOOKUP(TableDailySummary[[#This Row],[Fecha]],SummaryDaily[day],SummaryDaily[new_average_order_value],0)</f>
        <v>180672.27</v>
      </c>
      <c r="L318" s="12">
        <f>_xlfn.XLOOKUP(TableDailySummary[[#This Row],[Fecha]],SummaryDaily[day],SummaryDaily[Online Store_net_sales],0)</f>
        <v>549579.82999999996</v>
      </c>
      <c r="M318" s="12">
        <f>_xlfn.XLOOKUP(TableDailySummary[[#This Row],[Fecha]],SummaryDaily[day],SummaryDaily[Online Store_orders],0)</f>
        <v>3</v>
      </c>
      <c r="N318" s="12">
        <f>_xlfn.XLOOKUP(TableDailySummary[[#This Row],[Fecha]],SummaryDaily[day],SummaryDaily[Online Store_average_order_value],0)</f>
        <v>183193.27600000001</v>
      </c>
      <c r="O318" s="12">
        <f>_xlfn.XLOOKUP(TableDailySummary[[#This Row],[Fecha]],SummaryDaily[day],SummaryDaily[Tienda 81_net_sales],0)</f>
        <v>1440563.02</v>
      </c>
      <c r="P318" s="12">
        <f>_xlfn.XLOOKUP(TableDailySummary[[#This Row],[Fecha]],SummaryDaily[day],SummaryDaily[Tienda 81_orders],0)</f>
        <v>10</v>
      </c>
      <c r="Q318" s="12">
        <f>_xlfn.XLOOKUP(TableDailySummary[[#This Row],[Fecha]],SummaryDaily[day],SummaryDaily[Tienda 81_average_order_value],0)</f>
        <v>144056.302</v>
      </c>
      <c r="R318" s="12">
        <f>_xlfn.XLOOKUP(TableDailySummary[[#This Row],[Fecha]],SummaryDaily[day],SummaryDaily[Rappi_net_sales],0)</f>
        <v>0</v>
      </c>
      <c r="S318" s="12">
        <f>_xlfn.XLOOKUP(TableDailySummary[[#This Row],[Fecha]],SummaryDaily[day],SummaryDaily[Rappi_orders],0)</f>
        <v>0</v>
      </c>
      <c r="T318" s="12">
        <f>_xlfn.XLOOKUP(TableDailySummary[[#This Row],[Fecha]],SummaryDaily[day],SummaryDaily[Rappi_average_order_value],0)</f>
        <v>0</v>
      </c>
      <c r="U318" s="12">
        <f>_xlfn.XLOOKUP(TableDailySummary[[#This Row],[Fecha]],SummaryDaily[day],SummaryDaily[Corporativo no tienda_net_sales],0)</f>
        <v>0</v>
      </c>
      <c r="V318" s="12">
        <f>_xlfn.XLOOKUP(TableDailySummary[[#This Row],[Fecha]],SummaryDaily[day],SummaryDaily[Corporativo no tienda_orders],0)</f>
        <v>0</v>
      </c>
      <c r="W318" s="12">
        <f>_xlfn.XLOOKUP(TableDailySummary[[#This Row],[Fecha]],SummaryDaily[day],SummaryDaily[Corporativo no tienda_average_order_value],0)</f>
        <v>0</v>
      </c>
      <c r="X318" s="12">
        <f>_xlfn.XLOOKUP(TableDailySummary[[#This Row],[Fecha]],SummaryDaily[day],SummaryDaily[GoogleAdsOperation.Cost],0)</f>
        <v>40785.01</v>
      </c>
      <c r="Y318" s="12">
        <f>SUMIFS(SalesByUTMDaily[google],SalesByUTMDaily[day],TableDailySummary[[#This Row],[Fecha]])</f>
        <v>0</v>
      </c>
      <c r="Z318" s="12">
        <f>_xlfn.XLOOKUP(TableDailySummary[[#This Row],[Fecha]],SummaryDaily[day],SummaryDaily[MetaAdsOperation.spend],0)</f>
        <v>58204</v>
      </c>
      <c r="AA318" s="12">
        <f>SUMIFS(SalesByUTMDaily[facebook],SalesByUTMDaily[day],TableDailySummary[[#This Row],[Fecha]])</f>
        <v>0</v>
      </c>
      <c r="AB318" s="12">
        <f>TableDailySummary[[#This Row],[Inversión google ads]]+TableDailySummary[[#This Row],[Inversión meta ads]]</f>
        <v>98989.010000000009</v>
      </c>
      <c r="AC318" s="12">
        <f>TableDailySummary[[#This Row],[Ventas google ads]]+TableDailySummary[[#This Row],[Ventas meta ads]]</f>
        <v>0</v>
      </c>
      <c r="AD318" s="14">
        <f>IFERROR(TableDailySummary[[#This Row],[Ventas publicidad]]/TableDailySummary[[#This Row],[Inversión publicidad]],0)</f>
        <v>0</v>
      </c>
      <c r="AE318" s="14">
        <f>IFERROR(TableDailySummary[[#This Row],[Ventas primer cliente]]/TableDailySummary[[#This Row],[Inversión publicidad]],0)</f>
        <v>3.650350074215309</v>
      </c>
      <c r="AF318" s="14"/>
      <c r="AG318" s="12"/>
      <c r="AM318" s="12">
        <f>_xlfn.XLOOKUP(TableDailySummary[[#This Row],[Fecha]],SummaryDaily[day],SummaryDaily[net_sales_with_cost_recorded],0)</f>
        <v>1990142.85</v>
      </c>
      <c r="AN318" s="12">
        <f>_xlfn.XLOOKUP(TableDailySummary[[#This Row],[Fecha]],SummaryDaily[day],SummaryDaily[cost_of_goods_sold],0)</f>
        <v>508273</v>
      </c>
      <c r="AO318" s="12">
        <f>_xlfn.XLOOKUP(TableDailySummary[[#This Row],[Fecha]],SummaryDaily[day],SummaryDaily[gross_profit],0)</f>
        <v>1481869.85</v>
      </c>
      <c r="AP318" s="18">
        <f>IFERROR(TableDailySummary[[#This Row],[Utilidad bruta]]/TableDailySummary[[#This Row],[Ventas netas con costo registrado]],0)</f>
        <v>0.744604765431788</v>
      </c>
    </row>
    <row r="319" spans="2:42" x14ac:dyDescent="0.2">
      <c r="B319" s="15" cm="1">
        <f t="array" ref="B319">MIN(SummaryDaily[day]) + (ROW(TableDailySummary[#This Row]) - ROW(TableDailySummary[[#Headers],[Dia]]) - 1)</f>
        <v>46090</v>
      </c>
      <c r="C319" s="6">
        <f>TableDailySummary[[#This Row],[Dia]]</f>
        <v>46090</v>
      </c>
      <c r="D319" s="12">
        <f>_xlfn.XLOOKUP(TableDailySummary[[#This Row],[Fecha]],SummaryDaily[day],SummaryDaily[net_sales],0)</f>
        <v>2016806.73</v>
      </c>
      <c r="E319" s="12">
        <f>_xlfn.XLOOKUP(TableDailySummary[[#This Row],[Fecha]],SummaryDaily[day],SummaryDaily[orders],0)</f>
        <v>15</v>
      </c>
      <c r="F319" s="12">
        <f>_xlfn.XLOOKUP(TableDailySummary[[#This Row],[Fecha]],SummaryDaily[day],SummaryDaily[average_order_value],0)</f>
        <v>135854.342</v>
      </c>
      <c r="G319" s="24">
        <f>_xlfn.XLOOKUP(TableDailySummary[[#This Row],[Fecha]],SummaryDaily[day],SummaryDaily[Total site_conversion_rate],0)</f>
        <v>2.881844380403458E-3</v>
      </c>
      <c r="H319" s="12">
        <f>TableDailySummary[[#This Row],[Órden promedio totales]]*TableDailySummary[[#This Row],[CR totales]]</f>
        <v>391.51107204610952</v>
      </c>
      <c r="I319" s="12">
        <f>_xlfn.XLOOKUP(TableDailySummary[[#This Row],[Fecha]],SummaryDaily[day],SummaryDaily[new_net_sales],0)</f>
        <v>420168.07</v>
      </c>
      <c r="J319" s="12">
        <f>_xlfn.XLOOKUP(TableDailySummary[[#This Row],[Fecha]],SummaryDaily[day],SummaryDaily[new_orders],0)</f>
        <v>5</v>
      </c>
      <c r="K319" s="12">
        <f>_xlfn.XLOOKUP(TableDailySummary[[#This Row],[Fecha]],SummaryDaily[day],SummaryDaily[new_average_order_value],0)</f>
        <v>84033.614000000001</v>
      </c>
      <c r="L319" s="12">
        <f>_xlfn.XLOOKUP(TableDailySummary[[#This Row],[Fecha]],SummaryDaily[day],SummaryDaily[Online Store_net_sales],0)</f>
        <v>857142.86</v>
      </c>
      <c r="M319" s="12">
        <f>_xlfn.XLOOKUP(TableDailySummary[[#This Row],[Fecha]],SummaryDaily[day],SummaryDaily[Online Store_orders],0)</f>
        <v>4</v>
      </c>
      <c r="N319" s="12">
        <f>_xlfn.XLOOKUP(TableDailySummary[[#This Row],[Fecha]],SummaryDaily[day],SummaryDaily[Online Store_average_order_value],0)</f>
        <v>214285.715</v>
      </c>
      <c r="O319" s="12">
        <f>_xlfn.XLOOKUP(TableDailySummary[[#This Row],[Fecha]],SummaryDaily[day],SummaryDaily[Tienda 81_net_sales],0)</f>
        <v>983193.29</v>
      </c>
      <c r="P319" s="12">
        <f>_xlfn.XLOOKUP(TableDailySummary[[#This Row],[Fecha]],SummaryDaily[day],SummaryDaily[Tienda 81_orders],0)</f>
        <v>9</v>
      </c>
      <c r="Q319" s="12">
        <f>_xlfn.XLOOKUP(TableDailySummary[[#This Row],[Fecha]],SummaryDaily[day],SummaryDaily[Tienda 81_average_order_value],0)</f>
        <v>109243.698</v>
      </c>
      <c r="R319" s="12">
        <f>_xlfn.XLOOKUP(TableDailySummary[[#This Row],[Fecha]],SummaryDaily[day],SummaryDaily[Rappi_net_sales],0)</f>
        <v>176470.58</v>
      </c>
      <c r="S319" s="12">
        <f>_xlfn.XLOOKUP(TableDailySummary[[#This Row],[Fecha]],SummaryDaily[day],SummaryDaily[Rappi_orders],0)</f>
        <v>2</v>
      </c>
      <c r="T319" s="12">
        <f>_xlfn.XLOOKUP(TableDailySummary[[#This Row],[Fecha]],SummaryDaily[day],SummaryDaily[Rappi_average_order_value],0)</f>
        <v>98739.494999999995</v>
      </c>
      <c r="U319" s="12">
        <f>_xlfn.XLOOKUP(TableDailySummary[[#This Row],[Fecha]],SummaryDaily[day],SummaryDaily[Corporativo no tienda_net_sales],0)</f>
        <v>0</v>
      </c>
      <c r="V319" s="12">
        <f>_xlfn.XLOOKUP(TableDailySummary[[#This Row],[Fecha]],SummaryDaily[day],SummaryDaily[Corporativo no tienda_orders],0)</f>
        <v>0</v>
      </c>
      <c r="W319" s="12">
        <f>_xlfn.XLOOKUP(TableDailySummary[[#This Row],[Fecha]],SummaryDaily[day],SummaryDaily[Corporativo no tienda_average_order_value],0)</f>
        <v>0</v>
      </c>
      <c r="X319" s="12">
        <f>_xlfn.XLOOKUP(TableDailySummary[[#This Row],[Fecha]],SummaryDaily[day],SummaryDaily[GoogleAdsOperation.Cost],0)</f>
        <v>57640.89</v>
      </c>
      <c r="Y319" s="12">
        <f>SUMIFS(SalesByUTMDaily[google],SalesByUTMDaily[day],TableDailySummary[[#This Row],[Fecha]])</f>
        <v>0</v>
      </c>
      <c r="Z319" s="12">
        <f>_xlfn.XLOOKUP(TableDailySummary[[#This Row],[Fecha]],SummaryDaily[day],SummaryDaily[MetaAdsOperation.spend],0)</f>
        <v>48738</v>
      </c>
      <c r="AA319" s="12">
        <f>SUMIFS(SalesByUTMDaily[facebook],SalesByUTMDaily[day],TableDailySummary[[#This Row],[Fecha]])</f>
        <v>0</v>
      </c>
      <c r="AB319" s="12">
        <f>TableDailySummary[[#This Row],[Inversión google ads]]+TableDailySummary[[#This Row],[Inversión meta ads]]</f>
        <v>106378.89</v>
      </c>
      <c r="AC319" s="12">
        <f>TableDailySummary[[#This Row],[Ventas google ads]]+TableDailySummary[[#This Row],[Ventas meta ads]]</f>
        <v>0</v>
      </c>
      <c r="AD319" s="14">
        <f>IFERROR(TableDailySummary[[#This Row],[Ventas publicidad]]/TableDailySummary[[#This Row],[Inversión publicidad]],0)</f>
        <v>0</v>
      </c>
      <c r="AE319" s="14">
        <f>IFERROR(TableDailySummary[[#This Row],[Ventas primer cliente]]/TableDailySummary[[#This Row],[Inversión publicidad]],0)</f>
        <v>3.9497316619866969</v>
      </c>
      <c r="AF319" s="14"/>
      <c r="AG319" s="12"/>
      <c r="AM319" s="12">
        <f>_xlfn.XLOOKUP(TableDailySummary[[#This Row],[Fecha]],SummaryDaily[day],SummaryDaily[net_sales_with_cost_recorded],0)</f>
        <v>2016806.73</v>
      </c>
      <c r="AN319" s="12">
        <f>_xlfn.XLOOKUP(TableDailySummary[[#This Row],[Fecha]],SummaryDaily[day],SummaryDaily[cost_of_goods_sold],0)</f>
        <v>643793</v>
      </c>
      <c r="AO319" s="12">
        <f>_xlfn.XLOOKUP(TableDailySummary[[#This Row],[Fecha]],SummaryDaily[day],SummaryDaily[gross_profit],0)</f>
        <v>1373013.73</v>
      </c>
      <c r="AP319" s="18">
        <f>IFERROR(TableDailySummary[[#This Row],[Utilidad bruta]]/TableDailySummary[[#This Row],[Ventas netas con costo registrado]],0)</f>
        <v>0.68078597199048418</v>
      </c>
    </row>
    <row r="320" spans="2:42" x14ac:dyDescent="0.2">
      <c r="B320" s="15" cm="1">
        <f t="array" ref="B320">MIN(SummaryDaily[day]) + (ROW(TableDailySummary[#This Row]) - ROW(TableDailySummary[[#Headers],[Dia]]) - 1)</f>
        <v>46091</v>
      </c>
      <c r="C320" s="6">
        <f>TableDailySummary[[#This Row],[Dia]]</f>
        <v>46091</v>
      </c>
      <c r="D320" s="12">
        <f>_xlfn.XLOOKUP(TableDailySummary[[#This Row],[Fecha]],SummaryDaily[day],SummaryDaily[net_sales],0)</f>
        <v>1946764.7</v>
      </c>
      <c r="E320" s="12">
        <f>_xlfn.XLOOKUP(TableDailySummary[[#This Row],[Fecha]],SummaryDaily[day],SummaryDaily[orders],0)</f>
        <v>12</v>
      </c>
      <c r="F320" s="12">
        <f>_xlfn.XLOOKUP(TableDailySummary[[#This Row],[Fecha]],SummaryDaily[day],SummaryDaily[average_order_value],0)</f>
        <v>162230.391</v>
      </c>
      <c r="G320" s="24">
        <f>_xlfn.XLOOKUP(TableDailySummary[[#This Row],[Fecha]],SummaryDaily[day],SummaryDaily[Total site_conversion_rate],0)</f>
        <v>1.5590200445434299E-2</v>
      </c>
      <c r="H320" s="12">
        <f>TableDailySummary[[#This Row],[Órden promedio totales]]*TableDailySummary[[#This Row],[CR totales]]</f>
        <v>2529.2043140311807</v>
      </c>
      <c r="I320" s="12">
        <f>_xlfn.XLOOKUP(TableDailySummary[[#This Row],[Fecha]],SummaryDaily[day],SummaryDaily[new_net_sales],0)</f>
        <v>373949.58</v>
      </c>
      <c r="J320" s="12">
        <f>_xlfn.XLOOKUP(TableDailySummary[[#This Row],[Fecha]],SummaryDaily[day],SummaryDaily[new_orders],0)</f>
        <v>3</v>
      </c>
      <c r="K320" s="12">
        <f>_xlfn.XLOOKUP(TableDailySummary[[#This Row],[Fecha]],SummaryDaily[day],SummaryDaily[new_average_order_value],0)</f>
        <v>124649.86</v>
      </c>
      <c r="L320" s="12">
        <f>_xlfn.XLOOKUP(TableDailySummary[[#This Row],[Fecha]],SummaryDaily[day],SummaryDaily[Online Store_net_sales],0)</f>
        <v>1466386.55</v>
      </c>
      <c r="M320" s="12">
        <f>_xlfn.XLOOKUP(TableDailySummary[[#This Row],[Fecha]],SummaryDaily[day],SummaryDaily[Online Store_orders],0)</f>
        <v>7</v>
      </c>
      <c r="N320" s="12">
        <f>_xlfn.XLOOKUP(TableDailySummary[[#This Row],[Fecha]],SummaryDaily[day],SummaryDaily[Online Store_average_order_value],0)</f>
        <v>209483.79199999999</v>
      </c>
      <c r="O320" s="12">
        <f>_xlfn.XLOOKUP(TableDailySummary[[#This Row],[Fecha]],SummaryDaily[day],SummaryDaily[Tienda 81_net_sales],0)</f>
        <v>438361.34</v>
      </c>
      <c r="P320" s="12">
        <f>_xlfn.XLOOKUP(TableDailySummary[[#This Row],[Fecha]],SummaryDaily[day],SummaryDaily[Tienda 81_orders],0)</f>
        <v>4</v>
      </c>
      <c r="Q320" s="12">
        <f>_xlfn.XLOOKUP(TableDailySummary[[#This Row],[Fecha]],SummaryDaily[day],SummaryDaily[Tienda 81_average_order_value],0)</f>
        <v>109590.33500000001</v>
      </c>
      <c r="R320" s="12">
        <f>_xlfn.XLOOKUP(TableDailySummary[[#This Row],[Fecha]],SummaryDaily[day],SummaryDaily[Rappi_net_sales],0)</f>
        <v>42016.81</v>
      </c>
      <c r="S320" s="12">
        <f>_xlfn.XLOOKUP(TableDailySummary[[#This Row],[Fecha]],SummaryDaily[day],SummaryDaily[Rappi_orders],0)</f>
        <v>1</v>
      </c>
      <c r="T320" s="12">
        <f>_xlfn.XLOOKUP(TableDailySummary[[#This Row],[Fecha]],SummaryDaily[day],SummaryDaily[Rappi_average_order_value],0)</f>
        <v>42016.81</v>
      </c>
      <c r="U320" s="12">
        <f>_xlfn.XLOOKUP(TableDailySummary[[#This Row],[Fecha]],SummaryDaily[day],SummaryDaily[Corporativo no tienda_net_sales],0)</f>
        <v>0</v>
      </c>
      <c r="V320" s="12">
        <f>_xlfn.XLOOKUP(TableDailySummary[[#This Row],[Fecha]],SummaryDaily[day],SummaryDaily[Corporativo no tienda_orders],0)</f>
        <v>0</v>
      </c>
      <c r="W320" s="12">
        <f>_xlfn.XLOOKUP(TableDailySummary[[#This Row],[Fecha]],SummaryDaily[day],SummaryDaily[Corporativo no tienda_average_order_value],0)</f>
        <v>0</v>
      </c>
      <c r="X320" s="12">
        <f>_xlfn.XLOOKUP(TableDailySummary[[#This Row],[Fecha]],SummaryDaily[day],SummaryDaily[GoogleAdsOperation.Cost],0)</f>
        <v>34939.19</v>
      </c>
      <c r="Y320" s="12">
        <f>SUMIFS(SalesByUTMDaily[google],SalesByUTMDaily[day],TableDailySummary[[#This Row],[Fecha]])</f>
        <v>321000</v>
      </c>
      <c r="Z320" s="12">
        <f>_xlfn.XLOOKUP(TableDailySummary[[#This Row],[Fecha]],SummaryDaily[day],SummaryDaily[MetaAdsOperation.spend],0)</f>
        <v>47536</v>
      </c>
      <c r="AA320" s="12">
        <f>SUMIFS(SalesByUTMDaily[facebook],SalesByUTMDaily[day],TableDailySummary[[#This Row],[Fecha]])</f>
        <v>0</v>
      </c>
      <c r="AB320" s="12">
        <f>TableDailySummary[[#This Row],[Inversión google ads]]+TableDailySummary[[#This Row],[Inversión meta ads]]</f>
        <v>82475.19</v>
      </c>
      <c r="AC320" s="12">
        <f>TableDailySummary[[#This Row],[Ventas google ads]]+TableDailySummary[[#This Row],[Ventas meta ads]]</f>
        <v>321000</v>
      </c>
      <c r="AD320" s="14">
        <f>IFERROR(TableDailySummary[[#This Row],[Ventas publicidad]]/TableDailySummary[[#This Row],[Inversión publicidad]],0)</f>
        <v>3.8920795453760095</v>
      </c>
      <c r="AE320" s="14">
        <f>IFERROR(TableDailySummary[[#This Row],[Ventas primer cliente]]/TableDailySummary[[#This Row],[Inversión publicidad]],0)</f>
        <v>4.5340857050465724</v>
      </c>
      <c r="AF320" s="14"/>
      <c r="AG320" s="12"/>
      <c r="AM320" s="12">
        <f>_xlfn.XLOOKUP(TableDailySummary[[#This Row],[Fecha]],SummaryDaily[day],SummaryDaily[net_sales_with_cost_recorded],0)</f>
        <v>1946764.7</v>
      </c>
      <c r="AN320" s="12">
        <f>_xlfn.XLOOKUP(TableDailySummary[[#This Row],[Fecha]],SummaryDaily[day],SummaryDaily[cost_of_goods_sold],0)</f>
        <v>611237</v>
      </c>
      <c r="AO320" s="12">
        <f>_xlfn.XLOOKUP(TableDailySummary[[#This Row],[Fecha]],SummaryDaily[day],SummaryDaily[gross_profit],0)</f>
        <v>1335527.7</v>
      </c>
      <c r="AP320" s="18">
        <f>IFERROR(TableDailySummary[[#This Row],[Utilidad bruta]]/TableDailySummary[[#This Row],[Ventas netas con costo registrado]],0)</f>
        <v>0.68602420210310988</v>
      </c>
    </row>
    <row r="321" spans="2:42" x14ac:dyDescent="0.2">
      <c r="B321" s="15" cm="1">
        <f t="array" ref="B321">MIN(SummaryDaily[day]) + (ROW(TableDailySummary[#This Row]) - ROW(TableDailySummary[[#Headers],[Dia]]) - 1)</f>
        <v>46092</v>
      </c>
      <c r="C321" s="6">
        <f>TableDailySummary[[#This Row],[Dia]]</f>
        <v>46092</v>
      </c>
      <c r="D321" s="12">
        <f>_xlfn.XLOOKUP(TableDailySummary[[#This Row],[Fecha]],SummaryDaily[day],SummaryDaily[net_sales],0)</f>
        <v>27256848.760000002</v>
      </c>
      <c r="E321" s="12">
        <f>_xlfn.XLOOKUP(TableDailySummary[[#This Row],[Fecha]],SummaryDaily[day],SummaryDaily[orders],0)</f>
        <v>33</v>
      </c>
      <c r="F321" s="12">
        <f>_xlfn.XLOOKUP(TableDailySummary[[#This Row],[Fecha]],SummaryDaily[day],SummaryDaily[average_order_value],0)</f>
        <v>825965.11300000001</v>
      </c>
      <c r="G321" s="24">
        <f>_xlfn.XLOOKUP(TableDailySummary[[#This Row],[Fecha]],SummaryDaily[day],SummaryDaily[Total site_conversion_rate],0)</f>
        <v>1.020408163265306E-2</v>
      </c>
      <c r="H321" s="12">
        <f>TableDailySummary[[#This Row],[Órden promedio totales]]*TableDailySummary[[#This Row],[CR totales]]</f>
        <v>8428.215438775509</v>
      </c>
      <c r="I321" s="12">
        <f>_xlfn.XLOOKUP(TableDailySummary[[#This Row],[Fecha]],SummaryDaily[day],SummaryDaily[new_net_sales],0)</f>
        <v>24881512.609999999</v>
      </c>
      <c r="J321" s="12">
        <f>_xlfn.XLOOKUP(TableDailySummary[[#This Row],[Fecha]],SummaryDaily[day],SummaryDaily[new_orders],0)</f>
        <v>18</v>
      </c>
      <c r="K321" s="12">
        <f>_xlfn.XLOOKUP(TableDailySummary[[#This Row],[Fecha]],SummaryDaily[day],SummaryDaily[new_average_order_value],0)</f>
        <v>1382306.2560000001</v>
      </c>
      <c r="L321" s="12">
        <f>_xlfn.XLOOKUP(TableDailySummary[[#This Row],[Fecha]],SummaryDaily[day],SummaryDaily[Online Store_net_sales],0)</f>
        <v>1201680.68</v>
      </c>
      <c r="M321" s="12">
        <f>_xlfn.XLOOKUP(TableDailySummary[[#This Row],[Fecha]],SummaryDaily[day],SummaryDaily[Online Store_orders],0)</f>
        <v>7</v>
      </c>
      <c r="N321" s="12">
        <f>_xlfn.XLOOKUP(TableDailySummary[[#This Row],[Fecha]],SummaryDaily[day],SummaryDaily[Online Store_average_order_value],0)</f>
        <v>171668.66800000001</v>
      </c>
      <c r="O321" s="12">
        <f>_xlfn.XLOOKUP(TableDailySummary[[#This Row],[Fecha]],SummaryDaily[day],SummaryDaily[Tienda 81_net_sales],0)</f>
        <v>2735840.35</v>
      </c>
      <c r="P321" s="12">
        <f>_xlfn.XLOOKUP(TableDailySummary[[#This Row],[Fecha]],SummaryDaily[day],SummaryDaily[Tienda 81_orders],0)</f>
        <v>25</v>
      </c>
      <c r="Q321" s="12">
        <f>_xlfn.XLOOKUP(TableDailySummary[[#This Row],[Fecha]],SummaryDaily[day],SummaryDaily[Tienda 81_average_order_value],0)</f>
        <v>109433.614</v>
      </c>
      <c r="R321" s="12">
        <f>_xlfn.XLOOKUP(TableDailySummary[[#This Row],[Fecha]],SummaryDaily[day],SummaryDaily[Rappi_net_sales],0)</f>
        <v>0</v>
      </c>
      <c r="S321" s="12">
        <f>_xlfn.XLOOKUP(TableDailySummary[[#This Row],[Fecha]],SummaryDaily[day],SummaryDaily[Rappi_orders],0)</f>
        <v>0</v>
      </c>
      <c r="T321" s="12">
        <f>_xlfn.XLOOKUP(TableDailySummary[[#This Row],[Fecha]],SummaryDaily[day],SummaryDaily[Rappi_average_order_value],0)</f>
        <v>0</v>
      </c>
      <c r="U321" s="12">
        <f>_xlfn.XLOOKUP(TableDailySummary[[#This Row],[Fecha]],SummaryDaily[day],SummaryDaily[Corporativo no tienda_net_sales],0)</f>
        <v>23319327.73</v>
      </c>
      <c r="V321" s="12">
        <f>_xlfn.XLOOKUP(TableDailySummary[[#This Row],[Fecha]],SummaryDaily[day],SummaryDaily[Corporativo no tienda_orders],0)</f>
        <v>1</v>
      </c>
      <c r="W321" s="12">
        <f>_xlfn.XLOOKUP(TableDailySummary[[#This Row],[Fecha]],SummaryDaily[day],SummaryDaily[Corporativo no tienda_average_order_value],0)</f>
        <v>23319327.73</v>
      </c>
      <c r="X321" s="12">
        <f>_xlfn.XLOOKUP(TableDailySummary[[#This Row],[Fecha]],SummaryDaily[day],SummaryDaily[GoogleAdsOperation.Cost],0)</f>
        <v>55168.7</v>
      </c>
      <c r="Y321" s="12">
        <f>SUMIFS(SalesByUTMDaily[google],SalesByUTMDaily[day],TableDailySummary[[#This Row],[Fecha]])</f>
        <v>77000</v>
      </c>
      <c r="Z321" s="12">
        <f>_xlfn.XLOOKUP(TableDailySummary[[#This Row],[Fecha]],SummaryDaily[day],SummaryDaily[MetaAdsOperation.spend],0)</f>
        <v>48107</v>
      </c>
      <c r="AA321" s="12">
        <f>SUMIFS(SalesByUTMDaily[facebook],SalesByUTMDaily[day],TableDailySummary[[#This Row],[Fecha]])</f>
        <v>0</v>
      </c>
      <c r="AB321" s="12">
        <f>TableDailySummary[[#This Row],[Inversión google ads]]+TableDailySummary[[#This Row],[Inversión meta ads]]</f>
        <v>103275.7</v>
      </c>
      <c r="AC321" s="12">
        <f>TableDailySummary[[#This Row],[Ventas google ads]]+TableDailySummary[[#This Row],[Ventas meta ads]]</f>
        <v>77000</v>
      </c>
      <c r="AD321" s="14">
        <f>IFERROR(TableDailySummary[[#This Row],[Ventas publicidad]]/TableDailySummary[[#This Row],[Inversión publicidad]],0)</f>
        <v>0.74557712995409375</v>
      </c>
      <c r="AE321" s="14">
        <f>IFERROR(TableDailySummary[[#This Row],[Ventas primer cliente]]/TableDailySummary[[#This Row],[Inversión publicidad]],0)</f>
        <v>240.92320468416094</v>
      </c>
      <c r="AF321" s="14"/>
      <c r="AG321" s="12"/>
      <c r="AM321" s="12">
        <f>_xlfn.XLOOKUP(TableDailySummary[[#This Row],[Fecha]],SummaryDaily[day],SummaryDaily[net_sales_with_cost_recorded],0)</f>
        <v>27227437</v>
      </c>
      <c r="AN321" s="12">
        <f>_xlfn.XLOOKUP(TableDailySummary[[#This Row],[Fecha]],SummaryDaily[day],SummaryDaily[cost_of_goods_sold],0)</f>
        <v>16863349</v>
      </c>
      <c r="AO321" s="12">
        <f>_xlfn.XLOOKUP(TableDailySummary[[#This Row],[Fecha]],SummaryDaily[day],SummaryDaily[gross_profit],0)</f>
        <v>10364088</v>
      </c>
      <c r="AP321" s="18">
        <f>IFERROR(TableDailySummary[[#This Row],[Utilidad bruta]]/TableDailySummary[[#This Row],[Ventas netas con costo registrado]],0)</f>
        <v>0.3806486816955999</v>
      </c>
    </row>
    <row r="322" spans="2:42" x14ac:dyDescent="0.2">
      <c r="B322" s="15" cm="1">
        <f t="array" ref="B322">MIN(SummaryDaily[day]) + (ROW(TableDailySummary[#This Row]) - ROW(TableDailySummary[[#Headers],[Dia]]) - 1)</f>
        <v>46093</v>
      </c>
      <c r="C322" s="6">
        <f>TableDailySummary[[#This Row],[Dia]]</f>
        <v>46093</v>
      </c>
      <c r="D322" s="12">
        <f>_xlfn.XLOOKUP(TableDailySummary[[#This Row],[Fecha]],SummaryDaily[day],SummaryDaily[net_sales],0)</f>
        <v>5805823.5099999998</v>
      </c>
      <c r="E322" s="12">
        <f>_xlfn.XLOOKUP(TableDailySummary[[#This Row],[Fecha]],SummaryDaily[day],SummaryDaily[orders],0)</f>
        <v>35</v>
      </c>
      <c r="F322" s="12">
        <f>_xlfn.XLOOKUP(TableDailySummary[[#This Row],[Fecha]],SummaryDaily[day],SummaryDaily[average_order_value],0)</f>
        <v>165880.671</v>
      </c>
      <c r="G322" s="24">
        <f>_xlfn.XLOOKUP(TableDailySummary[[#This Row],[Fecha]],SummaryDaily[day],SummaryDaily[Total site_conversion_rate],0)</f>
        <v>1.0810810810810811E-2</v>
      </c>
      <c r="H322" s="12">
        <f>TableDailySummary[[#This Row],[Órden promedio totales]]*TableDailySummary[[#This Row],[CR totales]]</f>
        <v>1793.3045513513514</v>
      </c>
      <c r="I322" s="12">
        <f>_xlfn.XLOOKUP(TableDailySummary[[#This Row],[Fecha]],SummaryDaily[day],SummaryDaily[new_net_sales],0)</f>
        <v>2736226.89</v>
      </c>
      <c r="J322" s="12">
        <f>_xlfn.XLOOKUP(TableDailySummary[[#This Row],[Fecha]],SummaryDaily[day],SummaryDaily[new_orders],0)</f>
        <v>16</v>
      </c>
      <c r="K322" s="12">
        <f>_xlfn.XLOOKUP(TableDailySummary[[#This Row],[Fecha]],SummaryDaily[day],SummaryDaily[new_average_order_value],0)</f>
        <v>171014.18</v>
      </c>
      <c r="L322" s="12">
        <f>_xlfn.XLOOKUP(TableDailySummary[[#This Row],[Fecha]],SummaryDaily[day],SummaryDaily[Online Store_net_sales],0)</f>
        <v>1201680.67</v>
      </c>
      <c r="M322" s="12">
        <f>_xlfn.XLOOKUP(TableDailySummary[[#This Row],[Fecha]],SummaryDaily[day],SummaryDaily[Online Store_orders],0)</f>
        <v>10</v>
      </c>
      <c r="N322" s="12">
        <f>_xlfn.XLOOKUP(TableDailySummary[[#This Row],[Fecha]],SummaryDaily[day],SummaryDaily[Online Store_average_order_value],0)</f>
        <v>120168.067</v>
      </c>
      <c r="O322" s="12">
        <f>_xlfn.XLOOKUP(TableDailySummary[[#This Row],[Fecha]],SummaryDaily[day],SummaryDaily[Tienda 81_net_sales],0)</f>
        <v>3452882.34</v>
      </c>
      <c r="P322" s="12">
        <f>_xlfn.XLOOKUP(TableDailySummary[[#This Row],[Fecha]],SummaryDaily[day],SummaryDaily[Tienda 81_orders],0)</f>
        <v>22</v>
      </c>
      <c r="Q322" s="12">
        <f>_xlfn.XLOOKUP(TableDailySummary[[#This Row],[Fecha]],SummaryDaily[day],SummaryDaily[Tienda 81_average_order_value],0)</f>
        <v>156949.19699999999</v>
      </c>
      <c r="R322" s="12">
        <f>_xlfn.XLOOKUP(TableDailySummary[[#This Row],[Fecha]],SummaryDaily[day],SummaryDaily[Rappi_net_sales],0)</f>
        <v>142857.14000000001</v>
      </c>
      <c r="S322" s="12">
        <f>_xlfn.XLOOKUP(TableDailySummary[[#This Row],[Fecha]],SummaryDaily[day],SummaryDaily[Rappi_orders],0)</f>
        <v>2</v>
      </c>
      <c r="T322" s="12">
        <f>_xlfn.XLOOKUP(TableDailySummary[[#This Row],[Fecha]],SummaryDaily[day],SummaryDaily[Rappi_average_order_value],0)</f>
        <v>71428.570000000007</v>
      </c>
      <c r="U322" s="12">
        <f>_xlfn.XLOOKUP(TableDailySummary[[#This Row],[Fecha]],SummaryDaily[day],SummaryDaily[Corporativo no tienda_net_sales],0)</f>
        <v>1008403.36</v>
      </c>
      <c r="V322" s="12">
        <f>_xlfn.XLOOKUP(TableDailySummary[[#This Row],[Fecha]],SummaryDaily[day],SummaryDaily[Corporativo no tienda_orders],0)</f>
        <v>1</v>
      </c>
      <c r="W322" s="12">
        <f>_xlfn.XLOOKUP(TableDailySummary[[#This Row],[Fecha]],SummaryDaily[day],SummaryDaily[Corporativo no tienda_average_order_value],0)</f>
        <v>1008403.36</v>
      </c>
      <c r="X322" s="12">
        <f>_xlfn.XLOOKUP(TableDailySummary[[#This Row],[Fecha]],SummaryDaily[day],SummaryDaily[GoogleAdsOperation.Cost],0)</f>
        <v>66415.350000000006</v>
      </c>
      <c r="Y322" s="12">
        <f>SUMIFS(SalesByUTMDaily[google],SalesByUTMDaily[day],TableDailySummary[[#This Row],[Fecha]])</f>
        <v>0</v>
      </c>
      <c r="Z322" s="12">
        <f>_xlfn.XLOOKUP(TableDailySummary[[#This Row],[Fecha]],SummaryDaily[day],SummaryDaily[MetaAdsOperation.spend],0)</f>
        <v>51762</v>
      </c>
      <c r="AA322" s="12">
        <f>SUMIFS(SalesByUTMDaily[facebook],SalesByUTMDaily[day],TableDailySummary[[#This Row],[Fecha]])</f>
        <v>0</v>
      </c>
      <c r="AB322" s="12">
        <f>TableDailySummary[[#This Row],[Inversión google ads]]+TableDailySummary[[#This Row],[Inversión meta ads]]</f>
        <v>118177.35</v>
      </c>
      <c r="AC322" s="12">
        <f>TableDailySummary[[#This Row],[Ventas google ads]]+TableDailySummary[[#This Row],[Ventas meta ads]]</f>
        <v>0</v>
      </c>
      <c r="AD322" s="14">
        <f>IFERROR(TableDailySummary[[#This Row],[Ventas publicidad]]/TableDailySummary[[#This Row],[Inversión publicidad]],0)</f>
        <v>0</v>
      </c>
      <c r="AE322" s="14">
        <f>IFERROR(TableDailySummary[[#This Row],[Ventas primer cliente]]/TableDailySummary[[#This Row],[Inversión publicidad]],0)</f>
        <v>23.1535644520714</v>
      </c>
      <c r="AF322" s="14"/>
      <c r="AG322" s="12"/>
      <c r="AM322" s="12">
        <f>_xlfn.XLOOKUP(TableDailySummary[[#This Row],[Fecha]],SummaryDaily[day],SummaryDaily[net_sales_with_cost_recorded],0)</f>
        <v>5805823.5099999998</v>
      </c>
      <c r="AN322" s="12">
        <f>_xlfn.XLOOKUP(TableDailySummary[[#This Row],[Fecha]],SummaryDaily[day],SummaryDaily[cost_of_goods_sold],0)</f>
        <v>1896282</v>
      </c>
      <c r="AO322" s="12">
        <f>_xlfn.XLOOKUP(TableDailySummary[[#This Row],[Fecha]],SummaryDaily[day],SummaryDaily[gross_profit],0)</f>
        <v>3909541.51</v>
      </c>
      <c r="AP322" s="18">
        <f>IFERROR(TableDailySummary[[#This Row],[Utilidad bruta]]/TableDailySummary[[#This Row],[Ventas netas con costo registrado]],0)</f>
        <v>0.67338276874351632</v>
      </c>
    </row>
    <row r="323" spans="2:42" x14ac:dyDescent="0.2">
      <c r="B323" s="15" cm="1">
        <f t="array" ref="B323">MIN(SummaryDaily[day]) + (ROW(TableDailySummary[#This Row]) - ROW(TableDailySummary[[#Headers],[Dia]]) - 1)</f>
        <v>46094</v>
      </c>
      <c r="C323" s="6">
        <f>TableDailySummary[[#This Row],[Dia]]</f>
        <v>46094</v>
      </c>
      <c r="D323" s="12">
        <f>_xlfn.XLOOKUP(TableDailySummary[[#This Row],[Fecha]],SummaryDaily[day],SummaryDaily[net_sales],0)</f>
        <v>1582613.46</v>
      </c>
      <c r="E323" s="12">
        <f>_xlfn.XLOOKUP(TableDailySummary[[#This Row],[Fecha]],SummaryDaily[day],SummaryDaily[orders],0)</f>
        <v>16</v>
      </c>
      <c r="F323" s="12">
        <f>_xlfn.XLOOKUP(TableDailySummary[[#This Row],[Fecha]],SummaryDaily[day],SummaryDaily[average_order_value],0)</f>
        <v>98913.341</v>
      </c>
      <c r="G323" s="24">
        <f>_xlfn.XLOOKUP(TableDailySummary[[#This Row],[Fecha]],SummaryDaily[day],SummaryDaily[Total site_conversion_rate],0)</f>
        <v>8.4985835694051E-3</v>
      </c>
      <c r="H323" s="12">
        <f>TableDailySummary[[#This Row],[Órden promedio totales]]*TableDailySummary[[#This Row],[CR totales]]</f>
        <v>840.62329461756383</v>
      </c>
      <c r="I323" s="12">
        <f>_xlfn.XLOOKUP(TableDailySummary[[#This Row],[Fecha]],SummaryDaily[day],SummaryDaily[new_net_sales],0)</f>
        <v>453781.51</v>
      </c>
      <c r="J323" s="12">
        <f>_xlfn.XLOOKUP(TableDailySummary[[#This Row],[Fecha]],SummaryDaily[day],SummaryDaily[new_orders],0)</f>
        <v>4</v>
      </c>
      <c r="K323" s="12">
        <f>_xlfn.XLOOKUP(TableDailySummary[[#This Row],[Fecha]],SummaryDaily[day],SummaryDaily[new_average_order_value],0)</f>
        <v>113445.37699999999</v>
      </c>
      <c r="L323" s="12">
        <f>_xlfn.XLOOKUP(TableDailySummary[[#This Row],[Fecha]],SummaryDaily[day],SummaryDaily[Online Store_net_sales],0)</f>
        <v>487394.95</v>
      </c>
      <c r="M323" s="12">
        <f>_xlfn.XLOOKUP(TableDailySummary[[#This Row],[Fecha]],SummaryDaily[day],SummaryDaily[Online Store_orders],0)</f>
        <v>3</v>
      </c>
      <c r="N323" s="12">
        <f>_xlfn.XLOOKUP(TableDailySummary[[#This Row],[Fecha]],SummaryDaily[day],SummaryDaily[Online Store_average_order_value],0)</f>
        <v>162464.98300000001</v>
      </c>
      <c r="O323" s="12">
        <f>_xlfn.XLOOKUP(TableDailySummary[[#This Row],[Fecha]],SummaryDaily[day],SummaryDaily[Tienda 81_net_sales],0)</f>
        <v>1053201.7</v>
      </c>
      <c r="P323" s="12">
        <f>_xlfn.XLOOKUP(TableDailySummary[[#This Row],[Fecha]],SummaryDaily[day],SummaryDaily[Tienda 81_orders],0)</f>
        <v>12</v>
      </c>
      <c r="Q323" s="12">
        <f>_xlfn.XLOOKUP(TableDailySummary[[#This Row],[Fecha]],SummaryDaily[day],SummaryDaily[Tienda 81_average_order_value],0)</f>
        <v>87766.808000000005</v>
      </c>
      <c r="R323" s="12">
        <f>_xlfn.XLOOKUP(TableDailySummary[[#This Row],[Fecha]],SummaryDaily[day],SummaryDaily[Rappi_net_sales],0)</f>
        <v>42016.81</v>
      </c>
      <c r="S323" s="12">
        <f>_xlfn.XLOOKUP(TableDailySummary[[#This Row],[Fecha]],SummaryDaily[day],SummaryDaily[Rappi_orders],0)</f>
        <v>1</v>
      </c>
      <c r="T323" s="12">
        <f>_xlfn.XLOOKUP(TableDailySummary[[#This Row],[Fecha]],SummaryDaily[day],SummaryDaily[Rappi_average_order_value],0)</f>
        <v>42016.81</v>
      </c>
      <c r="U323" s="12">
        <f>_xlfn.XLOOKUP(TableDailySummary[[#This Row],[Fecha]],SummaryDaily[day],SummaryDaily[Corporativo no tienda_net_sales],0)</f>
        <v>0</v>
      </c>
      <c r="V323" s="12">
        <f>_xlfn.XLOOKUP(TableDailySummary[[#This Row],[Fecha]],SummaryDaily[day],SummaryDaily[Corporativo no tienda_orders],0)</f>
        <v>0</v>
      </c>
      <c r="W323" s="12">
        <f>_xlfn.XLOOKUP(TableDailySummary[[#This Row],[Fecha]],SummaryDaily[day],SummaryDaily[Corporativo no tienda_average_order_value],0)</f>
        <v>0</v>
      </c>
      <c r="X323" s="12">
        <f>_xlfn.XLOOKUP(TableDailySummary[[#This Row],[Fecha]],SummaryDaily[day],SummaryDaily[GoogleAdsOperation.Cost],0)</f>
        <v>40099.629999999997</v>
      </c>
      <c r="Y323" s="12">
        <f>SUMIFS(SalesByUTMDaily[google],SalesByUTMDaily[day],TableDailySummary[[#This Row],[Fecha]])</f>
        <v>0</v>
      </c>
      <c r="Z323" s="12">
        <f>_xlfn.XLOOKUP(TableDailySummary[[#This Row],[Fecha]],SummaryDaily[day],SummaryDaily[MetaAdsOperation.spend],0)</f>
        <v>54340</v>
      </c>
      <c r="AA323" s="12">
        <f>SUMIFS(SalesByUTMDaily[facebook],SalesByUTMDaily[day],TableDailySummary[[#This Row],[Fecha]])</f>
        <v>0</v>
      </c>
      <c r="AB323" s="12">
        <f>TableDailySummary[[#This Row],[Inversión google ads]]+TableDailySummary[[#This Row],[Inversión meta ads]]</f>
        <v>94439.63</v>
      </c>
      <c r="AC323" s="12">
        <f>TableDailySummary[[#This Row],[Ventas google ads]]+TableDailySummary[[#This Row],[Ventas meta ads]]</f>
        <v>0</v>
      </c>
      <c r="AD323" s="14">
        <f>IFERROR(TableDailySummary[[#This Row],[Ventas publicidad]]/TableDailySummary[[#This Row],[Inversión publicidad]],0)</f>
        <v>0</v>
      </c>
      <c r="AE323" s="14">
        <f>IFERROR(TableDailySummary[[#This Row],[Ventas primer cliente]]/TableDailySummary[[#This Row],[Inversión publicidad]],0)</f>
        <v>4.8049903414488178</v>
      </c>
      <c r="AF323" s="14"/>
      <c r="AG323" s="12"/>
      <c r="AM323" s="12">
        <f>_xlfn.XLOOKUP(TableDailySummary[[#This Row],[Fecha]],SummaryDaily[day],SummaryDaily[net_sales_with_cost_recorded],0)</f>
        <v>1582613.46</v>
      </c>
      <c r="AN323" s="12">
        <f>_xlfn.XLOOKUP(TableDailySummary[[#This Row],[Fecha]],SummaryDaily[day],SummaryDaily[cost_of_goods_sold],0)</f>
        <v>362470</v>
      </c>
      <c r="AO323" s="12">
        <f>_xlfn.XLOOKUP(TableDailySummary[[#This Row],[Fecha]],SummaryDaily[day],SummaryDaily[gross_profit],0)</f>
        <v>1220143.46</v>
      </c>
      <c r="AP323" s="18">
        <f>IFERROR(TableDailySummary[[#This Row],[Utilidad bruta]]/TableDailySummary[[#This Row],[Ventas netas con costo registrado]],0)</f>
        <v>0.77096744773041426</v>
      </c>
    </row>
    <row r="324" spans="2:42" x14ac:dyDescent="0.2">
      <c r="B324" s="15" cm="1">
        <f t="array" ref="B324">MIN(SummaryDaily[day]) + (ROW(TableDailySummary[#This Row]) - ROW(TableDailySummary[[#Headers],[Dia]]) - 1)</f>
        <v>46095</v>
      </c>
      <c r="C324" s="6">
        <f>TableDailySummary[[#This Row],[Dia]]</f>
        <v>46095</v>
      </c>
      <c r="D324" s="12">
        <f>_xlfn.XLOOKUP(TableDailySummary[[#This Row],[Fecha]],SummaryDaily[day],SummaryDaily[net_sales],0)</f>
        <v>4582058.83</v>
      </c>
      <c r="E324" s="12">
        <f>_xlfn.XLOOKUP(TableDailySummary[[#This Row],[Fecha]],SummaryDaily[day],SummaryDaily[orders],0)</f>
        <v>32</v>
      </c>
      <c r="F324" s="12">
        <f>_xlfn.XLOOKUP(TableDailySummary[[#This Row],[Fecha]],SummaryDaily[day],SummaryDaily[average_order_value],0)</f>
        <v>143189.33799999999</v>
      </c>
      <c r="G324" s="24">
        <f>_xlfn.XLOOKUP(TableDailySummary[[#This Row],[Fecha]],SummaryDaily[day],SummaryDaily[Total site_conversion_rate],0)</f>
        <v>7.8247261345852897E-3</v>
      </c>
      <c r="H324" s="12">
        <f>TableDailySummary[[#This Row],[Órden promedio totales]]*TableDailySummary[[#This Row],[CR totales]]</f>
        <v>1120.4173552425664</v>
      </c>
      <c r="I324" s="12">
        <f>_xlfn.XLOOKUP(TableDailySummary[[#This Row],[Fecha]],SummaryDaily[day],SummaryDaily[new_net_sales],0)</f>
        <v>1743697.48</v>
      </c>
      <c r="J324" s="12">
        <f>_xlfn.XLOOKUP(TableDailySummary[[#This Row],[Fecha]],SummaryDaily[day],SummaryDaily[new_orders],0)</f>
        <v>8</v>
      </c>
      <c r="K324" s="12">
        <f>_xlfn.XLOOKUP(TableDailySummary[[#This Row],[Fecha]],SummaryDaily[day],SummaryDaily[new_average_order_value],0)</f>
        <v>217962.185</v>
      </c>
      <c r="L324" s="12">
        <f>_xlfn.XLOOKUP(TableDailySummary[[#This Row],[Fecha]],SummaryDaily[day],SummaryDaily[Online Store_net_sales],0)</f>
        <v>915966.39</v>
      </c>
      <c r="M324" s="12">
        <f>_xlfn.XLOOKUP(TableDailySummary[[#This Row],[Fecha]],SummaryDaily[day],SummaryDaily[Online Store_orders],0)</f>
        <v>5</v>
      </c>
      <c r="N324" s="12">
        <f>_xlfn.XLOOKUP(TableDailySummary[[#This Row],[Fecha]],SummaryDaily[day],SummaryDaily[Online Store_average_order_value],0)</f>
        <v>183193.27799999999</v>
      </c>
      <c r="O324" s="12">
        <f>_xlfn.XLOOKUP(TableDailySummary[[#This Row],[Fecha]],SummaryDaily[day],SummaryDaily[Tienda 81_net_sales],0)</f>
        <v>3544243.7</v>
      </c>
      <c r="P324" s="12">
        <f>_xlfn.XLOOKUP(TableDailySummary[[#This Row],[Fecha]],SummaryDaily[day],SummaryDaily[Tienda 81_orders],0)</f>
        <v>25</v>
      </c>
      <c r="Q324" s="12">
        <f>_xlfn.XLOOKUP(TableDailySummary[[#This Row],[Fecha]],SummaryDaily[day],SummaryDaily[Tienda 81_average_order_value],0)</f>
        <v>141769.74799999999</v>
      </c>
      <c r="R324" s="12">
        <f>_xlfn.XLOOKUP(TableDailySummary[[#This Row],[Fecha]],SummaryDaily[day],SummaryDaily[Rappi_net_sales],0)</f>
        <v>121848.74</v>
      </c>
      <c r="S324" s="12">
        <f>_xlfn.XLOOKUP(TableDailySummary[[#This Row],[Fecha]],SummaryDaily[day],SummaryDaily[Rappi_orders],0)</f>
        <v>2</v>
      </c>
      <c r="T324" s="12">
        <f>_xlfn.XLOOKUP(TableDailySummary[[#This Row],[Fecha]],SummaryDaily[day],SummaryDaily[Rappi_average_order_value],0)</f>
        <v>60924.37</v>
      </c>
      <c r="U324" s="12">
        <f>_xlfn.XLOOKUP(TableDailySummary[[#This Row],[Fecha]],SummaryDaily[day],SummaryDaily[Corporativo no tienda_net_sales],0)</f>
        <v>0</v>
      </c>
      <c r="V324" s="12">
        <f>_xlfn.XLOOKUP(TableDailySummary[[#This Row],[Fecha]],SummaryDaily[day],SummaryDaily[Corporativo no tienda_orders],0)</f>
        <v>0</v>
      </c>
      <c r="W324" s="12">
        <f>_xlfn.XLOOKUP(TableDailySummary[[#This Row],[Fecha]],SummaryDaily[day],SummaryDaily[Corporativo no tienda_average_order_value],0)</f>
        <v>0</v>
      </c>
      <c r="X324" s="12">
        <f>_xlfn.XLOOKUP(TableDailySummary[[#This Row],[Fecha]],SummaryDaily[day],SummaryDaily[GoogleAdsOperation.Cost],0)</f>
        <v>55743.360000000001</v>
      </c>
      <c r="Y324" s="12">
        <f>SUMIFS(SalesByUTMDaily[google],SalesByUTMDaily[day],TableDailySummary[[#This Row],[Fecha]])</f>
        <v>82000</v>
      </c>
      <c r="Z324" s="12">
        <f>_xlfn.XLOOKUP(TableDailySummary[[#This Row],[Fecha]],SummaryDaily[day],SummaryDaily[MetaAdsOperation.spend],0)</f>
        <v>54154</v>
      </c>
      <c r="AA324" s="12">
        <f>SUMIFS(SalesByUTMDaily[facebook],SalesByUTMDaily[day],TableDailySummary[[#This Row],[Fecha]])</f>
        <v>0</v>
      </c>
      <c r="AB324" s="12">
        <f>TableDailySummary[[#This Row],[Inversión google ads]]+TableDailySummary[[#This Row],[Inversión meta ads]]</f>
        <v>109897.36</v>
      </c>
      <c r="AC324" s="12">
        <f>TableDailySummary[[#This Row],[Ventas google ads]]+TableDailySummary[[#This Row],[Ventas meta ads]]</f>
        <v>82000</v>
      </c>
      <c r="AD324" s="14">
        <f>IFERROR(TableDailySummary[[#This Row],[Ventas publicidad]]/TableDailySummary[[#This Row],[Inversión publicidad]],0)</f>
        <v>0.74615077195666935</v>
      </c>
      <c r="AE324" s="14">
        <f>IFERROR(TableDailySummary[[#This Row],[Ventas primer cliente]]/TableDailySummary[[#This Row],[Inversión publicidad]],0)</f>
        <v>15.866600253181696</v>
      </c>
      <c r="AF324" s="14"/>
      <c r="AG324" s="12"/>
      <c r="AM324" s="12">
        <f>_xlfn.XLOOKUP(TableDailySummary[[#This Row],[Fecha]],SummaryDaily[day],SummaryDaily[net_sales_with_cost_recorded],0)</f>
        <v>4213991.5999999996</v>
      </c>
      <c r="AN324" s="12">
        <f>_xlfn.XLOOKUP(TableDailySummary[[#This Row],[Fecha]],SummaryDaily[day],SummaryDaily[cost_of_goods_sold],0)</f>
        <v>1308058</v>
      </c>
      <c r="AO324" s="12">
        <f>_xlfn.XLOOKUP(TableDailySummary[[#This Row],[Fecha]],SummaryDaily[day],SummaryDaily[gross_profit],0)</f>
        <v>2905933.6</v>
      </c>
      <c r="AP324" s="18">
        <f>IFERROR(TableDailySummary[[#This Row],[Utilidad bruta]]/TableDailySummary[[#This Row],[Ventas netas con costo registrado]],0)</f>
        <v>0.68959169258904085</v>
      </c>
    </row>
    <row r="325" spans="2:42" x14ac:dyDescent="0.2">
      <c r="B325" s="15" cm="1">
        <f t="array" ref="B325">MIN(SummaryDaily[day]) + (ROW(TableDailySummary[#This Row]) - ROW(TableDailySummary[[#Headers],[Dia]]) - 1)</f>
        <v>46096</v>
      </c>
      <c r="C325" s="6">
        <f>TableDailySummary[[#This Row],[Dia]]</f>
        <v>46096</v>
      </c>
      <c r="D325" s="12">
        <f>_xlfn.XLOOKUP(TableDailySummary[[#This Row],[Fecha]],SummaryDaily[day],SummaryDaily[net_sales],0)</f>
        <v>1773109.25</v>
      </c>
      <c r="E325" s="12">
        <f>_xlfn.XLOOKUP(TableDailySummary[[#This Row],[Fecha]],SummaryDaily[day],SummaryDaily[orders],0)</f>
        <v>11</v>
      </c>
      <c r="F325" s="12">
        <f>_xlfn.XLOOKUP(TableDailySummary[[#This Row],[Fecha]],SummaryDaily[day],SummaryDaily[average_order_value],0)</f>
        <v>161191.75</v>
      </c>
      <c r="G325" s="24">
        <f>_xlfn.XLOOKUP(TableDailySummary[[#This Row],[Fecha]],SummaryDaily[day],SummaryDaily[Total site_conversion_rate],0)</f>
        <v>9.2307692307692316E-3</v>
      </c>
      <c r="H325" s="12">
        <f>TableDailySummary[[#This Row],[Órden promedio totales]]*TableDailySummary[[#This Row],[CR totales]]</f>
        <v>1487.9238461538464</v>
      </c>
      <c r="I325" s="12">
        <f>_xlfn.XLOOKUP(TableDailySummary[[#This Row],[Fecha]],SummaryDaily[day],SummaryDaily[new_net_sales],0)</f>
        <v>302521.01</v>
      </c>
      <c r="J325" s="12">
        <f>_xlfn.XLOOKUP(TableDailySummary[[#This Row],[Fecha]],SummaryDaily[day],SummaryDaily[new_orders],0)</f>
        <v>2</v>
      </c>
      <c r="K325" s="12">
        <f>_xlfn.XLOOKUP(TableDailySummary[[#This Row],[Fecha]],SummaryDaily[day],SummaryDaily[new_average_order_value],0)</f>
        <v>151260.505</v>
      </c>
      <c r="L325" s="12">
        <f>_xlfn.XLOOKUP(TableDailySummary[[#This Row],[Fecha]],SummaryDaily[day],SummaryDaily[Online Store_net_sales],0)</f>
        <v>357142.86</v>
      </c>
      <c r="M325" s="12">
        <f>_xlfn.XLOOKUP(TableDailySummary[[#This Row],[Fecha]],SummaryDaily[day],SummaryDaily[Online Store_orders],0)</f>
        <v>3</v>
      </c>
      <c r="N325" s="12">
        <f>_xlfn.XLOOKUP(TableDailySummary[[#This Row],[Fecha]],SummaryDaily[day],SummaryDaily[Online Store_average_order_value],0)</f>
        <v>119047.62</v>
      </c>
      <c r="O325" s="12">
        <f>_xlfn.XLOOKUP(TableDailySummary[[#This Row],[Fecha]],SummaryDaily[day],SummaryDaily[Tienda 81_net_sales],0)</f>
        <v>1415966.39</v>
      </c>
      <c r="P325" s="12">
        <f>_xlfn.XLOOKUP(TableDailySummary[[#This Row],[Fecha]],SummaryDaily[day],SummaryDaily[Tienda 81_orders],0)</f>
        <v>8</v>
      </c>
      <c r="Q325" s="12">
        <f>_xlfn.XLOOKUP(TableDailySummary[[#This Row],[Fecha]],SummaryDaily[day],SummaryDaily[Tienda 81_average_order_value],0)</f>
        <v>176995.79800000001</v>
      </c>
      <c r="R325" s="12">
        <f>_xlfn.XLOOKUP(TableDailySummary[[#This Row],[Fecha]],SummaryDaily[day],SummaryDaily[Rappi_net_sales],0)</f>
        <v>0</v>
      </c>
      <c r="S325" s="12">
        <f>_xlfn.XLOOKUP(TableDailySummary[[#This Row],[Fecha]],SummaryDaily[day],SummaryDaily[Rappi_orders],0)</f>
        <v>0</v>
      </c>
      <c r="T325" s="12">
        <f>_xlfn.XLOOKUP(TableDailySummary[[#This Row],[Fecha]],SummaryDaily[day],SummaryDaily[Rappi_average_order_value],0)</f>
        <v>0</v>
      </c>
      <c r="U325" s="12">
        <f>_xlfn.XLOOKUP(TableDailySummary[[#This Row],[Fecha]],SummaryDaily[day],SummaryDaily[Corporativo no tienda_net_sales],0)</f>
        <v>0</v>
      </c>
      <c r="V325" s="12">
        <f>_xlfn.XLOOKUP(TableDailySummary[[#This Row],[Fecha]],SummaryDaily[day],SummaryDaily[Corporativo no tienda_orders],0)</f>
        <v>0</v>
      </c>
      <c r="W325" s="12">
        <f>_xlfn.XLOOKUP(TableDailySummary[[#This Row],[Fecha]],SummaryDaily[day],SummaryDaily[Corporativo no tienda_average_order_value],0)</f>
        <v>0</v>
      </c>
      <c r="X325" s="12">
        <f>_xlfn.XLOOKUP(TableDailySummary[[#This Row],[Fecha]],SummaryDaily[day],SummaryDaily[GoogleAdsOperation.Cost],0)</f>
        <v>26709.279999999999</v>
      </c>
      <c r="Y325" s="12">
        <f>SUMIFS(SalesByUTMDaily[google],SalesByUTMDaily[day],TableDailySummary[[#This Row],[Fecha]])</f>
        <v>0</v>
      </c>
      <c r="Z325" s="12">
        <f>_xlfn.XLOOKUP(TableDailySummary[[#This Row],[Fecha]],SummaryDaily[day],SummaryDaily[MetaAdsOperation.spend],0)</f>
        <v>73344</v>
      </c>
      <c r="AA325" s="12">
        <f>SUMIFS(SalesByUTMDaily[facebook],SalesByUTMDaily[day],TableDailySummary[[#This Row],[Fecha]])</f>
        <v>0</v>
      </c>
      <c r="AB325" s="12">
        <f>TableDailySummary[[#This Row],[Inversión google ads]]+TableDailySummary[[#This Row],[Inversión meta ads]]</f>
        <v>100053.28</v>
      </c>
      <c r="AC325" s="12">
        <f>TableDailySummary[[#This Row],[Ventas google ads]]+TableDailySummary[[#This Row],[Ventas meta ads]]</f>
        <v>0</v>
      </c>
      <c r="AD325" s="14">
        <f>IFERROR(TableDailySummary[[#This Row],[Ventas publicidad]]/TableDailySummary[[#This Row],[Inversión publicidad]],0)</f>
        <v>0</v>
      </c>
      <c r="AE325" s="14">
        <f>IFERROR(TableDailySummary[[#This Row],[Ventas primer cliente]]/TableDailySummary[[#This Row],[Inversión publicidad]],0)</f>
        <v>3.023599126385462</v>
      </c>
      <c r="AF325" s="14"/>
      <c r="AG325" s="12"/>
      <c r="AM325" s="12">
        <f>_xlfn.XLOOKUP(TableDailySummary[[#This Row],[Fecha]],SummaryDaily[day],SummaryDaily[net_sales_with_cost_recorded],0)</f>
        <v>1773109.25</v>
      </c>
      <c r="AN325" s="12">
        <f>_xlfn.XLOOKUP(TableDailySummary[[#This Row],[Fecha]],SummaryDaily[day],SummaryDaily[cost_of_goods_sold],0)</f>
        <v>358635</v>
      </c>
      <c r="AO325" s="12">
        <f>_xlfn.XLOOKUP(TableDailySummary[[#This Row],[Fecha]],SummaryDaily[day],SummaryDaily[gross_profit],0)</f>
        <v>1414474.25</v>
      </c>
      <c r="AP325" s="18">
        <f>IFERROR(TableDailySummary[[#This Row],[Utilidad bruta]]/TableDailySummary[[#This Row],[Ventas netas con costo registrado]],0)</f>
        <v>0.79773665948671801</v>
      </c>
    </row>
    <row r="326" spans="2:42" x14ac:dyDescent="0.2">
      <c r="B326" s="15" cm="1">
        <f t="array" ref="B326">MIN(SummaryDaily[day]) + (ROW(TableDailySummary[#This Row]) - ROW(TableDailySummary[[#Headers],[Dia]]) - 1)</f>
        <v>46097</v>
      </c>
      <c r="C326" s="6">
        <f>TableDailySummary[[#This Row],[Dia]]</f>
        <v>46097</v>
      </c>
      <c r="D326" s="12">
        <f>_xlfn.XLOOKUP(TableDailySummary[[#This Row],[Fecha]],SummaryDaily[day],SummaryDaily[net_sales],0)</f>
        <v>1961739.5</v>
      </c>
      <c r="E326" s="12">
        <f>_xlfn.XLOOKUP(TableDailySummary[[#This Row],[Fecha]],SummaryDaily[day],SummaryDaily[orders],0)</f>
        <v>20</v>
      </c>
      <c r="F326" s="12">
        <f>_xlfn.XLOOKUP(TableDailySummary[[#This Row],[Fecha]],SummaryDaily[day],SummaryDaily[average_order_value],0)</f>
        <v>98086.975000000006</v>
      </c>
      <c r="G326" s="24">
        <f>_xlfn.XLOOKUP(TableDailySummary[[#This Row],[Fecha]],SummaryDaily[day],SummaryDaily[Total site_conversion_rate],0)</f>
        <v>7.7220077220077222E-3</v>
      </c>
      <c r="H326" s="12">
        <f>TableDailySummary[[#This Row],[Órden promedio totales]]*TableDailySummary[[#This Row],[CR totales]]</f>
        <v>757.4283783783784</v>
      </c>
      <c r="I326" s="12">
        <f>_xlfn.XLOOKUP(TableDailySummary[[#This Row],[Fecha]],SummaryDaily[day],SummaryDaily[new_net_sales],0)</f>
        <v>915521.01</v>
      </c>
      <c r="J326" s="12">
        <f>_xlfn.XLOOKUP(TableDailySummary[[#This Row],[Fecha]],SummaryDaily[day],SummaryDaily[new_orders],0)</f>
        <v>8</v>
      </c>
      <c r="K326" s="12">
        <f>_xlfn.XLOOKUP(TableDailySummary[[#This Row],[Fecha]],SummaryDaily[day],SummaryDaily[new_average_order_value],0)</f>
        <v>114440.126</v>
      </c>
      <c r="L326" s="12">
        <f>_xlfn.XLOOKUP(TableDailySummary[[#This Row],[Fecha]],SummaryDaily[day],SummaryDaily[Online Store_net_sales],0)</f>
        <v>613445.38</v>
      </c>
      <c r="M326" s="12">
        <f>_xlfn.XLOOKUP(TableDailySummary[[#This Row],[Fecha]],SummaryDaily[day],SummaryDaily[Online Store_orders],0)</f>
        <v>5</v>
      </c>
      <c r="N326" s="12">
        <f>_xlfn.XLOOKUP(TableDailySummary[[#This Row],[Fecha]],SummaryDaily[day],SummaryDaily[Online Store_average_order_value],0)</f>
        <v>122689.076</v>
      </c>
      <c r="O326" s="12">
        <f>_xlfn.XLOOKUP(TableDailySummary[[#This Row],[Fecha]],SummaryDaily[day],SummaryDaily[Tienda 81_net_sales],0)</f>
        <v>1348294.12</v>
      </c>
      <c r="P326" s="12">
        <f>_xlfn.XLOOKUP(TableDailySummary[[#This Row],[Fecha]],SummaryDaily[day],SummaryDaily[Tienda 81_orders],0)</f>
        <v>15</v>
      </c>
      <c r="Q326" s="12">
        <f>_xlfn.XLOOKUP(TableDailySummary[[#This Row],[Fecha]],SummaryDaily[day],SummaryDaily[Tienda 81_average_order_value],0)</f>
        <v>89886.274000000005</v>
      </c>
      <c r="R326" s="12">
        <f>_xlfn.XLOOKUP(TableDailySummary[[#This Row],[Fecha]],SummaryDaily[day],SummaryDaily[Rappi_net_sales],0)</f>
        <v>0</v>
      </c>
      <c r="S326" s="12">
        <f>_xlfn.XLOOKUP(TableDailySummary[[#This Row],[Fecha]],SummaryDaily[day],SummaryDaily[Rappi_orders],0)</f>
        <v>0</v>
      </c>
      <c r="T326" s="12">
        <f>_xlfn.XLOOKUP(TableDailySummary[[#This Row],[Fecha]],SummaryDaily[day],SummaryDaily[Rappi_average_order_value],0)</f>
        <v>0</v>
      </c>
      <c r="U326" s="12">
        <f>_xlfn.XLOOKUP(TableDailySummary[[#This Row],[Fecha]],SummaryDaily[day],SummaryDaily[Corporativo no tienda_net_sales],0)</f>
        <v>0</v>
      </c>
      <c r="V326" s="12">
        <f>_xlfn.XLOOKUP(TableDailySummary[[#This Row],[Fecha]],SummaryDaily[day],SummaryDaily[Corporativo no tienda_orders],0)</f>
        <v>0</v>
      </c>
      <c r="W326" s="12">
        <f>_xlfn.XLOOKUP(TableDailySummary[[#This Row],[Fecha]],SummaryDaily[day],SummaryDaily[Corporativo no tienda_average_order_value],0)</f>
        <v>0</v>
      </c>
      <c r="X326" s="12">
        <f>_xlfn.XLOOKUP(TableDailySummary[[#This Row],[Fecha]],SummaryDaily[day],SummaryDaily[GoogleAdsOperation.Cost],0)</f>
        <v>60000.07</v>
      </c>
      <c r="Y326" s="12">
        <f>SUMIFS(SalesByUTMDaily[google],SalesByUTMDaily[day],TableDailySummary[[#This Row],[Fecha]])</f>
        <v>357000</v>
      </c>
      <c r="Z326" s="12">
        <f>_xlfn.XLOOKUP(TableDailySummary[[#This Row],[Fecha]],SummaryDaily[day],SummaryDaily[MetaAdsOperation.spend],0)</f>
        <v>59282</v>
      </c>
      <c r="AA326" s="12">
        <f>SUMIFS(SalesByUTMDaily[facebook],SalesByUTMDaily[day],TableDailySummary[[#This Row],[Fecha]])</f>
        <v>241000</v>
      </c>
      <c r="AB326" s="12">
        <f>TableDailySummary[[#This Row],[Inversión google ads]]+TableDailySummary[[#This Row],[Inversión meta ads]]</f>
        <v>119282.07</v>
      </c>
      <c r="AC326" s="12">
        <f>TableDailySummary[[#This Row],[Ventas google ads]]+TableDailySummary[[#This Row],[Ventas meta ads]]</f>
        <v>598000</v>
      </c>
      <c r="AD326" s="14">
        <f>IFERROR(TableDailySummary[[#This Row],[Ventas publicidad]]/TableDailySummary[[#This Row],[Inversión publicidad]],0)</f>
        <v>5.0133268143317764</v>
      </c>
      <c r="AE326" s="14">
        <f>IFERROR(TableDailySummary[[#This Row],[Ventas primer cliente]]/TableDailySummary[[#This Row],[Inversión publicidad]],0)</f>
        <v>7.6752609172526931</v>
      </c>
      <c r="AF326" s="14"/>
      <c r="AG326" s="12"/>
      <c r="AM326" s="12">
        <f>_xlfn.XLOOKUP(TableDailySummary[[#This Row],[Fecha]],SummaryDaily[day],SummaryDaily[net_sales_with_cost_recorded],0)</f>
        <v>1961739.5</v>
      </c>
      <c r="AN326" s="12">
        <f>_xlfn.XLOOKUP(TableDailySummary[[#This Row],[Fecha]],SummaryDaily[day],SummaryDaily[cost_of_goods_sold],0)</f>
        <v>605495</v>
      </c>
      <c r="AO326" s="12">
        <f>_xlfn.XLOOKUP(TableDailySummary[[#This Row],[Fecha]],SummaryDaily[day],SummaryDaily[gross_profit],0)</f>
        <v>1356244.5</v>
      </c>
      <c r="AP326" s="18">
        <f>IFERROR(TableDailySummary[[#This Row],[Utilidad bruta]]/TableDailySummary[[#This Row],[Ventas netas con costo registrado]],0)</f>
        <v>0.69134790832319992</v>
      </c>
    </row>
    <row r="327" spans="2:42" x14ac:dyDescent="0.2">
      <c r="B327" s="15" cm="1">
        <f t="array" ref="B327">MIN(SummaryDaily[day]) + (ROW(TableDailySummary[#This Row]) - ROW(TableDailySummary[[#Headers],[Dia]]) - 1)</f>
        <v>46098</v>
      </c>
      <c r="C327" s="6">
        <f>TableDailySummary[[#This Row],[Dia]]</f>
        <v>46098</v>
      </c>
      <c r="D327" s="12">
        <f>_xlfn.XLOOKUP(TableDailySummary[[#This Row],[Fecha]],SummaryDaily[day],SummaryDaily[net_sales],0)</f>
        <v>4205714.29</v>
      </c>
      <c r="E327" s="12">
        <f>_xlfn.XLOOKUP(TableDailySummary[[#This Row],[Fecha]],SummaryDaily[day],SummaryDaily[orders],0)</f>
        <v>28</v>
      </c>
      <c r="F327" s="12">
        <f>_xlfn.XLOOKUP(TableDailySummary[[#This Row],[Fecha]],SummaryDaily[day],SummaryDaily[average_order_value],0)</f>
        <v>150204.08100000001</v>
      </c>
      <c r="G327" s="24">
        <f>_xlfn.XLOOKUP(TableDailySummary[[#This Row],[Fecha]],SummaryDaily[day],SummaryDaily[Total site_conversion_rate],0)</f>
        <v>2.7950310559006212E-2</v>
      </c>
      <c r="H327" s="12">
        <f>TableDailySummary[[#This Row],[Órden promedio totales]]*TableDailySummary[[#This Row],[CR totales]]</f>
        <v>4198.2507111801242</v>
      </c>
      <c r="I327" s="12">
        <f>_xlfn.XLOOKUP(TableDailySummary[[#This Row],[Fecha]],SummaryDaily[day],SummaryDaily[new_net_sales],0)</f>
        <v>1827731.09</v>
      </c>
      <c r="J327" s="12">
        <f>_xlfn.XLOOKUP(TableDailySummary[[#This Row],[Fecha]],SummaryDaily[day],SummaryDaily[new_orders],0)</f>
        <v>14</v>
      </c>
      <c r="K327" s="12">
        <f>_xlfn.XLOOKUP(TableDailySummary[[#This Row],[Fecha]],SummaryDaily[day],SummaryDaily[new_average_order_value],0)</f>
        <v>130552.22</v>
      </c>
      <c r="L327" s="12">
        <f>_xlfn.XLOOKUP(TableDailySummary[[#This Row],[Fecha]],SummaryDaily[day],SummaryDaily[Online Store_net_sales],0)</f>
        <v>1781512.61</v>
      </c>
      <c r="M327" s="12">
        <f>_xlfn.XLOOKUP(TableDailySummary[[#This Row],[Fecha]],SummaryDaily[day],SummaryDaily[Online Store_orders],0)</f>
        <v>10</v>
      </c>
      <c r="N327" s="12">
        <f>_xlfn.XLOOKUP(TableDailySummary[[#This Row],[Fecha]],SummaryDaily[day],SummaryDaily[Online Store_average_order_value],0)</f>
        <v>178151.261</v>
      </c>
      <c r="O327" s="12">
        <f>_xlfn.XLOOKUP(TableDailySummary[[#This Row],[Fecha]],SummaryDaily[day],SummaryDaily[Tienda 81_net_sales],0)</f>
        <v>2424201.6800000002</v>
      </c>
      <c r="P327" s="12">
        <f>_xlfn.XLOOKUP(TableDailySummary[[#This Row],[Fecha]],SummaryDaily[day],SummaryDaily[Tienda 81_orders],0)</f>
        <v>18</v>
      </c>
      <c r="Q327" s="12">
        <f>_xlfn.XLOOKUP(TableDailySummary[[#This Row],[Fecha]],SummaryDaily[day],SummaryDaily[Tienda 81_average_order_value],0)</f>
        <v>134677.87100000001</v>
      </c>
      <c r="R327" s="12">
        <f>_xlfn.XLOOKUP(TableDailySummary[[#This Row],[Fecha]],SummaryDaily[day],SummaryDaily[Rappi_net_sales],0)</f>
        <v>0</v>
      </c>
      <c r="S327" s="12">
        <f>_xlfn.XLOOKUP(TableDailySummary[[#This Row],[Fecha]],SummaryDaily[day],SummaryDaily[Rappi_orders],0)</f>
        <v>0</v>
      </c>
      <c r="T327" s="12">
        <f>_xlfn.XLOOKUP(TableDailySummary[[#This Row],[Fecha]],SummaryDaily[day],SummaryDaily[Rappi_average_order_value],0)</f>
        <v>0</v>
      </c>
      <c r="U327" s="12">
        <f>_xlfn.XLOOKUP(TableDailySummary[[#This Row],[Fecha]],SummaryDaily[day],SummaryDaily[Corporativo no tienda_net_sales],0)</f>
        <v>0</v>
      </c>
      <c r="V327" s="12">
        <f>_xlfn.XLOOKUP(TableDailySummary[[#This Row],[Fecha]],SummaryDaily[day],SummaryDaily[Corporativo no tienda_orders],0)</f>
        <v>0</v>
      </c>
      <c r="W327" s="12">
        <f>_xlfn.XLOOKUP(TableDailySummary[[#This Row],[Fecha]],SummaryDaily[day],SummaryDaily[Corporativo no tienda_average_order_value],0)</f>
        <v>0</v>
      </c>
      <c r="X327" s="12">
        <f>_xlfn.XLOOKUP(TableDailySummary[[#This Row],[Fecha]],SummaryDaily[day],SummaryDaily[GoogleAdsOperation.Cost],0)</f>
        <v>39689.61</v>
      </c>
      <c r="Y327" s="12">
        <f>SUMIFS(SalesByUTMDaily[google],SalesByUTMDaily[day],TableDailySummary[[#This Row],[Fecha]])</f>
        <v>924000</v>
      </c>
      <c r="Z327" s="12">
        <f>_xlfn.XLOOKUP(TableDailySummary[[#This Row],[Fecha]],SummaryDaily[day],SummaryDaily[MetaAdsOperation.spend],0)</f>
        <v>43479</v>
      </c>
      <c r="AA327" s="12">
        <f>SUMIFS(SalesByUTMDaily[facebook],SalesByUTMDaily[day],TableDailySummary[[#This Row],[Fecha]])</f>
        <v>0</v>
      </c>
      <c r="AB327" s="12">
        <f>TableDailySummary[[#This Row],[Inversión google ads]]+TableDailySummary[[#This Row],[Inversión meta ads]]</f>
        <v>83168.61</v>
      </c>
      <c r="AC327" s="12">
        <f>TableDailySummary[[#This Row],[Ventas google ads]]+TableDailySummary[[#This Row],[Ventas meta ads]]</f>
        <v>924000</v>
      </c>
      <c r="AD327" s="14">
        <f>IFERROR(TableDailySummary[[#This Row],[Ventas publicidad]]/TableDailySummary[[#This Row],[Inversión publicidad]],0)</f>
        <v>11.109960837388048</v>
      </c>
      <c r="AE327" s="14">
        <f>IFERROR(TableDailySummary[[#This Row],[Ventas primer cliente]]/TableDailySummary[[#This Row],[Inversión publicidad]],0)</f>
        <v>21.976213020753864</v>
      </c>
      <c r="AF327" s="14"/>
      <c r="AG327" s="12"/>
      <c r="AM327" s="12">
        <f>_xlfn.XLOOKUP(TableDailySummary[[#This Row],[Fecha]],SummaryDaily[day],SummaryDaily[net_sales_with_cost_recorded],0)</f>
        <v>4037647.07</v>
      </c>
      <c r="AN327" s="12">
        <f>_xlfn.XLOOKUP(TableDailySummary[[#This Row],[Fecha]],SummaryDaily[day],SummaryDaily[cost_of_goods_sold],0)</f>
        <v>1320946</v>
      </c>
      <c r="AO327" s="12">
        <f>_xlfn.XLOOKUP(TableDailySummary[[#This Row],[Fecha]],SummaryDaily[day],SummaryDaily[gross_profit],0)</f>
        <v>2716701.07</v>
      </c>
      <c r="AP327" s="18">
        <f>IFERROR(TableDailySummary[[#This Row],[Utilidad bruta]]/TableDailySummary[[#This Row],[Ventas netas con costo registrado]],0)</f>
        <v>0.67284262911072112</v>
      </c>
    </row>
    <row r="328" spans="2:42" x14ac:dyDescent="0.2">
      <c r="B328" s="15" cm="1">
        <f t="array" ref="B328">MIN(SummaryDaily[day]) + (ROW(TableDailySummary[#This Row]) - ROW(TableDailySummary[[#Headers],[Dia]]) - 1)</f>
        <v>46099</v>
      </c>
      <c r="C328" s="6">
        <f>TableDailySummary[[#This Row],[Dia]]</f>
        <v>46099</v>
      </c>
      <c r="D328" s="12">
        <f>_xlfn.XLOOKUP(TableDailySummary[[#This Row],[Fecha]],SummaryDaily[day],SummaryDaily[net_sales],0)</f>
        <v>1706722.68</v>
      </c>
      <c r="E328" s="12">
        <f>_xlfn.XLOOKUP(TableDailySummary[[#This Row],[Fecha]],SummaryDaily[day],SummaryDaily[orders],0)</f>
        <v>13</v>
      </c>
      <c r="F328" s="12">
        <f>_xlfn.XLOOKUP(TableDailySummary[[#This Row],[Fecha]],SummaryDaily[day],SummaryDaily[average_order_value],0)</f>
        <v>131286.35999999999</v>
      </c>
      <c r="G328" s="24">
        <f>_xlfn.XLOOKUP(TableDailySummary[[#This Row],[Fecha]],SummaryDaily[day],SummaryDaily[Total site_conversion_rate],0)</f>
        <v>2.9542097488921715E-3</v>
      </c>
      <c r="H328" s="12">
        <f>TableDailySummary[[#This Row],[Órden promedio totales]]*TableDailySummary[[#This Row],[CR totales]]</f>
        <v>387.84744460856717</v>
      </c>
      <c r="I328" s="12">
        <f>_xlfn.XLOOKUP(TableDailySummary[[#This Row],[Fecha]],SummaryDaily[day],SummaryDaily[new_net_sales],0)</f>
        <v>789915.96</v>
      </c>
      <c r="J328" s="12">
        <f>_xlfn.XLOOKUP(TableDailySummary[[#This Row],[Fecha]],SummaryDaily[day],SummaryDaily[new_orders],0)</f>
        <v>4</v>
      </c>
      <c r="K328" s="12">
        <f>_xlfn.XLOOKUP(TableDailySummary[[#This Row],[Fecha]],SummaryDaily[day],SummaryDaily[new_average_order_value],0)</f>
        <v>197478.99</v>
      </c>
      <c r="L328" s="12">
        <f>_xlfn.XLOOKUP(TableDailySummary[[#This Row],[Fecha]],SummaryDaily[day],SummaryDaily[Online Store_net_sales],0)</f>
        <v>201680.67</v>
      </c>
      <c r="M328" s="12">
        <f>_xlfn.XLOOKUP(TableDailySummary[[#This Row],[Fecha]],SummaryDaily[day],SummaryDaily[Online Store_orders],0)</f>
        <v>1</v>
      </c>
      <c r="N328" s="12">
        <f>_xlfn.XLOOKUP(TableDailySummary[[#This Row],[Fecha]],SummaryDaily[day],SummaryDaily[Online Store_average_order_value],0)</f>
        <v>201680.67</v>
      </c>
      <c r="O328" s="12">
        <f>_xlfn.XLOOKUP(TableDailySummary[[#This Row],[Fecha]],SummaryDaily[day],SummaryDaily[Tienda 81_net_sales],0)</f>
        <v>1421008.4</v>
      </c>
      <c r="P328" s="12">
        <f>_xlfn.XLOOKUP(TableDailySummary[[#This Row],[Fecha]],SummaryDaily[day],SummaryDaily[Tienda 81_orders],0)</f>
        <v>11</v>
      </c>
      <c r="Q328" s="12">
        <f>_xlfn.XLOOKUP(TableDailySummary[[#This Row],[Fecha]],SummaryDaily[day],SummaryDaily[Tienda 81_average_order_value],0)</f>
        <v>129182.58100000001</v>
      </c>
      <c r="R328" s="12">
        <f>_xlfn.XLOOKUP(TableDailySummary[[#This Row],[Fecha]],SummaryDaily[day],SummaryDaily[Rappi_net_sales],0)</f>
        <v>84033.61</v>
      </c>
      <c r="S328" s="12">
        <f>_xlfn.XLOOKUP(TableDailySummary[[#This Row],[Fecha]],SummaryDaily[day],SummaryDaily[Rappi_orders],0)</f>
        <v>1</v>
      </c>
      <c r="T328" s="12">
        <f>_xlfn.XLOOKUP(TableDailySummary[[#This Row],[Fecha]],SummaryDaily[day],SummaryDaily[Rappi_average_order_value],0)</f>
        <v>84033.61</v>
      </c>
      <c r="U328" s="12">
        <f>_xlfn.XLOOKUP(TableDailySummary[[#This Row],[Fecha]],SummaryDaily[day],SummaryDaily[Corporativo no tienda_net_sales],0)</f>
        <v>0</v>
      </c>
      <c r="V328" s="12">
        <f>_xlfn.XLOOKUP(TableDailySummary[[#This Row],[Fecha]],SummaryDaily[day],SummaryDaily[Corporativo no tienda_orders],0)</f>
        <v>0</v>
      </c>
      <c r="W328" s="12">
        <f>_xlfn.XLOOKUP(TableDailySummary[[#This Row],[Fecha]],SummaryDaily[day],SummaryDaily[Corporativo no tienda_average_order_value],0)</f>
        <v>0</v>
      </c>
      <c r="X328" s="12">
        <f>_xlfn.XLOOKUP(TableDailySummary[[#This Row],[Fecha]],SummaryDaily[day],SummaryDaily[GoogleAdsOperation.Cost],0)</f>
        <v>69477.09</v>
      </c>
      <c r="Y328" s="12">
        <f>SUMIFS(SalesByUTMDaily[google],SalesByUTMDaily[day],TableDailySummary[[#This Row],[Fecha]])</f>
        <v>252000</v>
      </c>
      <c r="Z328" s="12">
        <f>_xlfn.XLOOKUP(TableDailySummary[[#This Row],[Fecha]],SummaryDaily[day],SummaryDaily[MetaAdsOperation.spend],0)</f>
        <v>46177</v>
      </c>
      <c r="AA328" s="12">
        <f>SUMIFS(SalesByUTMDaily[facebook],SalesByUTMDaily[day],TableDailySummary[[#This Row],[Fecha]])</f>
        <v>0</v>
      </c>
      <c r="AB328" s="12">
        <f>TableDailySummary[[#This Row],[Inversión google ads]]+TableDailySummary[[#This Row],[Inversión meta ads]]</f>
        <v>115654.09</v>
      </c>
      <c r="AC328" s="12">
        <f>TableDailySummary[[#This Row],[Ventas google ads]]+TableDailySummary[[#This Row],[Ventas meta ads]]</f>
        <v>252000</v>
      </c>
      <c r="AD328" s="14">
        <f>IFERROR(TableDailySummary[[#This Row],[Ventas publicidad]]/TableDailySummary[[#This Row],[Inversión publicidad]],0)</f>
        <v>2.1789112689399919</v>
      </c>
      <c r="AE328" s="14">
        <f>IFERROR(TableDailySummary[[#This Row],[Ventas primer cliente]]/TableDailySummary[[#This Row],[Inversión publicidad]],0)</f>
        <v>6.82998724904584</v>
      </c>
      <c r="AF328" s="14"/>
      <c r="AG328" s="12"/>
      <c r="AM328" s="12">
        <f>_xlfn.XLOOKUP(TableDailySummary[[#This Row],[Fecha]],SummaryDaily[day],SummaryDaily[net_sales_with_cost_recorded],0)</f>
        <v>1706722.68</v>
      </c>
      <c r="AN328" s="12">
        <f>_xlfn.XLOOKUP(TableDailySummary[[#This Row],[Fecha]],SummaryDaily[day],SummaryDaily[cost_of_goods_sold],0)</f>
        <v>452636</v>
      </c>
      <c r="AO328" s="12">
        <f>_xlfn.XLOOKUP(TableDailySummary[[#This Row],[Fecha]],SummaryDaily[day],SummaryDaily[gross_profit],0)</f>
        <v>1254086.68</v>
      </c>
      <c r="AP328" s="18">
        <f>IFERROR(TableDailySummary[[#This Row],[Utilidad bruta]]/TableDailySummary[[#This Row],[Ventas netas con costo registrado]],0)</f>
        <v>0.73479229794965872</v>
      </c>
    </row>
    <row r="329" spans="2:42" x14ac:dyDescent="0.2">
      <c r="B329" s="15" cm="1">
        <f t="array" ref="B329">MIN(SummaryDaily[day]) + (ROW(TableDailySummary[#This Row]) - ROW(TableDailySummary[[#Headers],[Dia]]) - 1)</f>
        <v>46100</v>
      </c>
      <c r="C329" s="6">
        <f>TableDailySummary[[#This Row],[Dia]]</f>
        <v>46100</v>
      </c>
      <c r="D329" s="12">
        <f>_xlfn.XLOOKUP(TableDailySummary[[#This Row],[Fecha]],SummaryDaily[day],SummaryDaily[net_sales],0)</f>
        <v>6106260.4800000004</v>
      </c>
      <c r="E329" s="12">
        <f>_xlfn.XLOOKUP(TableDailySummary[[#This Row],[Fecha]],SummaryDaily[day],SummaryDaily[orders],0)</f>
        <v>27</v>
      </c>
      <c r="F329" s="12">
        <f>_xlfn.XLOOKUP(TableDailySummary[[#This Row],[Fecha]],SummaryDaily[day],SummaryDaily[average_order_value],0)</f>
        <v>226157.79500000001</v>
      </c>
      <c r="G329" s="24">
        <f>_xlfn.XLOOKUP(TableDailySummary[[#This Row],[Fecha]],SummaryDaily[day],SummaryDaily[Total site_conversion_rate],0)</f>
        <v>7.8125E-3</v>
      </c>
      <c r="H329" s="12">
        <f>TableDailySummary[[#This Row],[Órden promedio totales]]*TableDailySummary[[#This Row],[CR totales]]</f>
        <v>1766.8577734375001</v>
      </c>
      <c r="I329" s="12">
        <f>_xlfn.XLOOKUP(TableDailySummary[[#This Row],[Fecha]],SummaryDaily[day],SummaryDaily[new_net_sales],0)</f>
        <v>3519705.87</v>
      </c>
      <c r="J329" s="12">
        <f>_xlfn.XLOOKUP(TableDailySummary[[#This Row],[Fecha]],SummaryDaily[day],SummaryDaily[new_orders],0)</f>
        <v>10</v>
      </c>
      <c r="K329" s="12">
        <f>_xlfn.XLOOKUP(TableDailySummary[[#This Row],[Fecha]],SummaryDaily[day],SummaryDaily[new_average_order_value],0)</f>
        <v>351970.587</v>
      </c>
      <c r="L329" s="12">
        <f>_xlfn.XLOOKUP(TableDailySummary[[#This Row],[Fecha]],SummaryDaily[day],SummaryDaily[Online Store_net_sales],0)</f>
        <v>361344.54</v>
      </c>
      <c r="M329" s="12">
        <f>_xlfn.XLOOKUP(TableDailySummary[[#This Row],[Fecha]],SummaryDaily[day],SummaryDaily[Online Store_orders],0)</f>
        <v>4</v>
      </c>
      <c r="N329" s="12">
        <f>_xlfn.XLOOKUP(TableDailySummary[[#This Row],[Fecha]],SummaryDaily[day],SummaryDaily[Online Store_average_order_value],0)</f>
        <v>90336.134999999995</v>
      </c>
      <c r="O329" s="12">
        <f>_xlfn.XLOOKUP(TableDailySummary[[#This Row],[Fecha]],SummaryDaily[day],SummaryDaily[Tienda 81_net_sales],0)</f>
        <v>5711302.4900000002</v>
      </c>
      <c r="P329" s="12">
        <f>_xlfn.XLOOKUP(TableDailySummary[[#This Row],[Fecha]],SummaryDaily[day],SummaryDaily[Tienda 81_orders],0)</f>
        <v>22</v>
      </c>
      <c r="Q329" s="12">
        <f>_xlfn.XLOOKUP(TableDailySummary[[#This Row],[Fecha]],SummaryDaily[day],SummaryDaily[Tienda 81_average_order_value],0)</f>
        <v>259604.658</v>
      </c>
      <c r="R329" s="12">
        <f>_xlfn.XLOOKUP(TableDailySummary[[#This Row],[Fecha]],SummaryDaily[day],SummaryDaily[Rappi_net_sales],0)</f>
        <v>33613.449999999997</v>
      </c>
      <c r="S329" s="12">
        <f>_xlfn.XLOOKUP(TableDailySummary[[#This Row],[Fecha]],SummaryDaily[day],SummaryDaily[Rappi_orders],0)</f>
        <v>1</v>
      </c>
      <c r="T329" s="12">
        <f>_xlfn.XLOOKUP(TableDailySummary[[#This Row],[Fecha]],SummaryDaily[day],SummaryDaily[Rappi_average_order_value],0)</f>
        <v>33613.449999999997</v>
      </c>
      <c r="U329" s="12">
        <f>_xlfn.XLOOKUP(TableDailySummary[[#This Row],[Fecha]],SummaryDaily[day],SummaryDaily[Corporativo no tienda_net_sales],0)</f>
        <v>0</v>
      </c>
      <c r="V329" s="12">
        <f>_xlfn.XLOOKUP(TableDailySummary[[#This Row],[Fecha]],SummaryDaily[day],SummaryDaily[Corporativo no tienda_orders],0)</f>
        <v>0</v>
      </c>
      <c r="W329" s="12">
        <f>_xlfn.XLOOKUP(TableDailySummary[[#This Row],[Fecha]],SummaryDaily[day],SummaryDaily[Corporativo no tienda_average_order_value],0)</f>
        <v>0</v>
      </c>
      <c r="X329" s="12">
        <f>_xlfn.XLOOKUP(TableDailySummary[[#This Row],[Fecha]],SummaryDaily[day],SummaryDaily[GoogleAdsOperation.Cost],0)</f>
        <v>62938.93</v>
      </c>
      <c r="Y329" s="12">
        <f>SUMIFS(SalesByUTMDaily[google],SalesByUTMDaily[day],TableDailySummary[[#This Row],[Fecha]])</f>
        <v>0</v>
      </c>
      <c r="Z329" s="12">
        <f>_xlfn.XLOOKUP(TableDailySummary[[#This Row],[Fecha]],SummaryDaily[day],SummaryDaily[MetaAdsOperation.spend],0)</f>
        <v>41795</v>
      </c>
      <c r="AA329" s="12">
        <f>SUMIFS(SalesByUTMDaily[facebook],SalesByUTMDaily[day],TableDailySummary[[#This Row],[Fecha]])</f>
        <v>0</v>
      </c>
      <c r="AB329" s="12">
        <f>TableDailySummary[[#This Row],[Inversión google ads]]+TableDailySummary[[#This Row],[Inversión meta ads]]</f>
        <v>104733.93</v>
      </c>
      <c r="AC329" s="12">
        <f>TableDailySummary[[#This Row],[Ventas google ads]]+TableDailySummary[[#This Row],[Ventas meta ads]]</f>
        <v>0</v>
      </c>
      <c r="AD329" s="14">
        <f>IFERROR(TableDailySummary[[#This Row],[Ventas publicidad]]/TableDailySummary[[#This Row],[Inversión publicidad]],0)</f>
        <v>0</v>
      </c>
      <c r="AE329" s="14">
        <f>IFERROR(TableDailySummary[[#This Row],[Ventas primer cliente]]/TableDailySummary[[#This Row],[Inversión publicidad]],0)</f>
        <v>33.606166311146737</v>
      </c>
      <c r="AF329" s="14"/>
      <c r="AG329" s="12"/>
      <c r="AM329" s="12">
        <f>_xlfn.XLOOKUP(TableDailySummary[[#This Row],[Fecha]],SummaryDaily[day],SummaryDaily[net_sales_with_cost_recorded],0)</f>
        <v>5741974.7800000003</v>
      </c>
      <c r="AN329" s="12">
        <f>_xlfn.XLOOKUP(TableDailySummary[[#This Row],[Fecha]],SummaryDaily[day],SummaryDaily[cost_of_goods_sold],0)</f>
        <v>1850331</v>
      </c>
      <c r="AO329" s="12">
        <f>_xlfn.XLOOKUP(TableDailySummary[[#This Row],[Fecha]],SummaryDaily[day],SummaryDaily[gross_profit],0)</f>
        <v>3891643.78</v>
      </c>
      <c r="AP329" s="18">
        <f>IFERROR(TableDailySummary[[#This Row],[Utilidad bruta]]/TableDailySummary[[#This Row],[Ventas netas con costo registrado]],0)</f>
        <v>0.67775354805720678</v>
      </c>
    </row>
    <row r="330" spans="2:42" x14ac:dyDescent="0.2">
      <c r="B330" s="15" cm="1">
        <f t="array" ref="B330">MIN(SummaryDaily[day]) + (ROW(TableDailySummary[#This Row]) - ROW(TableDailySummary[[#Headers],[Dia]]) - 1)</f>
        <v>46101</v>
      </c>
      <c r="C330" s="6">
        <f>TableDailySummary[[#This Row],[Dia]]</f>
        <v>46101</v>
      </c>
      <c r="D330" s="12">
        <f>_xlfn.XLOOKUP(TableDailySummary[[#This Row],[Fecha]],SummaryDaily[day],SummaryDaily[net_sales],0)</f>
        <v>2449579.8199999998</v>
      </c>
      <c r="E330" s="12">
        <f>_xlfn.XLOOKUP(TableDailySummary[[#This Row],[Fecha]],SummaryDaily[day],SummaryDaily[orders],0)</f>
        <v>19</v>
      </c>
      <c r="F330" s="12">
        <f>_xlfn.XLOOKUP(TableDailySummary[[#This Row],[Fecha]],SummaryDaily[day],SummaryDaily[average_order_value],0)</f>
        <v>128925.253</v>
      </c>
      <c r="G330" s="24">
        <f>_xlfn.XLOOKUP(TableDailySummary[[#This Row],[Fecha]],SummaryDaily[day],SummaryDaily[Total site_conversion_rate],0)</f>
        <v>5.6074766355140183E-3</v>
      </c>
      <c r="H330" s="12">
        <f>TableDailySummary[[#This Row],[Órden promedio totales]]*TableDailySummary[[#This Row],[CR totales]]</f>
        <v>722.9453439252336</v>
      </c>
      <c r="I330" s="12">
        <f>_xlfn.XLOOKUP(TableDailySummary[[#This Row],[Fecha]],SummaryDaily[day],SummaryDaily[new_net_sales],0)</f>
        <v>1558823.52</v>
      </c>
      <c r="J330" s="12">
        <f>_xlfn.XLOOKUP(TableDailySummary[[#This Row],[Fecha]],SummaryDaily[day],SummaryDaily[new_orders],0)</f>
        <v>12</v>
      </c>
      <c r="K330" s="12">
        <f>_xlfn.XLOOKUP(TableDailySummary[[#This Row],[Fecha]],SummaryDaily[day],SummaryDaily[new_average_order_value],0)</f>
        <v>129901.96</v>
      </c>
      <c r="L330" s="12">
        <f>_xlfn.XLOOKUP(TableDailySummary[[#This Row],[Fecha]],SummaryDaily[day],SummaryDaily[Online Store_net_sales],0)</f>
        <v>752100.84</v>
      </c>
      <c r="M330" s="12">
        <f>_xlfn.XLOOKUP(TableDailySummary[[#This Row],[Fecha]],SummaryDaily[day],SummaryDaily[Online Store_orders],0)</f>
        <v>4</v>
      </c>
      <c r="N330" s="12">
        <f>_xlfn.XLOOKUP(TableDailySummary[[#This Row],[Fecha]],SummaryDaily[day],SummaryDaily[Online Store_average_order_value],0)</f>
        <v>188025.21</v>
      </c>
      <c r="O330" s="12">
        <f>_xlfn.XLOOKUP(TableDailySummary[[#This Row],[Fecha]],SummaryDaily[day],SummaryDaily[Tienda 81_net_sales],0)</f>
        <v>1697478.98</v>
      </c>
      <c r="P330" s="12">
        <f>_xlfn.XLOOKUP(TableDailySummary[[#This Row],[Fecha]],SummaryDaily[day],SummaryDaily[Tienda 81_orders],0)</f>
        <v>15</v>
      </c>
      <c r="Q330" s="12">
        <f>_xlfn.XLOOKUP(TableDailySummary[[#This Row],[Fecha]],SummaryDaily[day],SummaryDaily[Tienda 81_average_order_value],0)</f>
        <v>113165.265</v>
      </c>
      <c r="R330" s="12">
        <f>_xlfn.XLOOKUP(TableDailySummary[[#This Row],[Fecha]],SummaryDaily[day],SummaryDaily[Rappi_net_sales],0)</f>
        <v>0</v>
      </c>
      <c r="S330" s="12">
        <f>_xlfn.XLOOKUP(TableDailySummary[[#This Row],[Fecha]],SummaryDaily[day],SummaryDaily[Rappi_orders],0)</f>
        <v>0</v>
      </c>
      <c r="T330" s="12">
        <f>_xlfn.XLOOKUP(TableDailySummary[[#This Row],[Fecha]],SummaryDaily[day],SummaryDaily[Rappi_average_order_value],0)</f>
        <v>0</v>
      </c>
      <c r="U330" s="12">
        <f>_xlfn.XLOOKUP(TableDailySummary[[#This Row],[Fecha]],SummaryDaily[day],SummaryDaily[Corporativo no tienda_net_sales],0)</f>
        <v>0</v>
      </c>
      <c r="V330" s="12">
        <f>_xlfn.XLOOKUP(TableDailySummary[[#This Row],[Fecha]],SummaryDaily[day],SummaryDaily[Corporativo no tienda_orders],0)</f>
        <v>0</v>
      </c>
      <c r="W330" s="12">
        <f>_xlfn.XLOOKUP(TableDailySummary[[#This Row],[Fecha]],SummaryDaily[day],SummaryDaily[Corporativo no tienda_average_order_value],0)</f>
        <v>0</v>
      </c>
      <c r="X330" s="12">
        <f>_xlfn.XLOOKUP(TableDailySummary[[#This Row],[Fecha]],SummaryDaily[day],SummaryDaily[GoogleAdsOperation.Cost],0)</f>
        <v>47515.31</v>
      </c>
      <c r="Y330" s="12">
        <f>SUMIFS(SalesByUTMDaily[google],SalesByUTMDaily[day],TableDailySummary[[#This Row],[Fecha]])</f>
        <v>0</v>
      </c>
      <c r="Z330" s="12">
        <f>_xlfn.XLOOKUP(TableDailySummary[[#This Row],[Fecha]],SummaryDaily[day],SummaryDaily[MetaAdsOperation.spend],0)</f>
        <v>46813</v>
      </c>
      <c r="AA330" s="12">
        <f>SUMIFS(SalesByUTMDaily[facebook],SalesByUTMDaily[day],TableDailySummary[[#This Row],[Fecha]])</f>
        <v>91000</v>
      </c>
      <c r="AB330" s="12">
        <f>TableDailySummary[[#This Row],[Inversión google ads]]+TableDailySummary[[#This Row],[Inversión meta ads]]</f>
        <v>94328.31</v>
      </c>
      <c r="AC330" s="12">
        <f>TableDailySummary[[#This Row],[Ventas google ads]]+TableDailySummary[[#This Row],[Ventas meta ads]]</f>
        <v>91000</v>
      </c>
      <c r="AD330" s="14">
        <f>IFERROR(TableDailySummary[[#This Row],[Ventas publicidad]]/TableDailySummary[[#This Row],[Inversión publicidad]],0)</f>
        <v>0.96471568291640131</v>
      </c>
      <c r="AE330" s="14">
        <f>IFERROR(TableDailySummary[[#This Row],[Ventas primer cliente]]/TableDailySummary[[#This Row],[Inversión publicidad]],0)</f>
        <v>16.525510952120314</v>
      </c>
      <c r="AF330" s="14"/>
      <c r="AG330" s="12"/>
      <c r="AM330" s="12">
        <f>_xlfn.XLOOKUP(TableDailySummary[[#This Row],[Fecha]],SummaryDaily[day],SummaryDaily[net_sales_with_cost_recorded],0)</f>
        <v>2449579.8199999998</v>
      </c>
      <c r="AN330" s="12">
        <f>_xlfn.XLOOKUP(TableDailySummary[[#This Row],[Fecha]],SummaryDaily[day],SummaryDaily[cost_of_goods_sold],0)</f>
        <v>708347</v>
      </c>
      <c r="AO330" s="12">
        <f>_xlfn.XLOOKUP(TableDailySummary[[#This Row],[Fecha]],SummaryDaily[day],SummaryDaily[gross_profit],0)</f>
        <v>1741232.82</v>
      </c>
      <c r="AP330" s="18">
        <f>IFERROR(TableDailySummary[[#This Row],[Utilidad bruta]]/TableDailySummary[[#This Row],[Ventas netas con costo registrado]],0)</f>
        <v>0.71082918212479407</v>
      </c>
    </row>
    <row r="331" spans="2:42" x14ac:dyDescent="0.2">
      <c r="B331" s="15" cm="1">
        <f t="array" ref="B331">MIN(SummaryDaily[day]) + (ROW(TableDailySummary[#This Row]) - ROW(TableDailySummary[[#Headers],[Dia]]) - 1)</f>
        <v>46102</v>
      </c>
      <c r="C331" s="6">
        <f>TableDailySummary[[#This Row],[Dia]]</f>
        <v>46102</v>
      </c>
      <c r="D331" s="12">
        <f>_xlfn.XLOOKUP(TableDailySummary[[#This Row],[Fecha]],SummaryDaily[day],SummaryDaily[net_sales],0)</f>
        <v>3053806.75</v>
      </c>
      <c r="E331" s="12">
        <f>_xlfn.XLOOKUP(TableDailySummary[[#This Row],[Fecha]],SummaryDaily[day],SummaryDaily[orders],0)</f>
        <v>20</v>
      </c>
      <c r="F331" s="12">
        <f>_xlfn.XLOOKUP(TableDailySummary[[#This Row],[Fecha]],SummaryDaily[day],SummaryDaily[average_order_value],0)</f>
        <v>147018.068</v>
      </c>
      <c r="G331" s="24">
        <f>_xlfn.XLOOKUP(TableDailySummary[[#This Row],[Fecha]],SummaryDaily[day],SummaryDaily[Total site_conversion_rate],0)</f>
        <v>2.4937655860349127E-3</v>
      </c>
      <c r="H331" s="12">
        <f>TableDailySummary[[#This Row],[Órden promedio totales]]*TableDailySummary[[#This Row],[CR totales]]</f>
        <v>366.62859850374065</v>
      </c>
      <c r="I331" s="12">
        <f>_xlfn.XLOOKUP(TableDailySummary[[#This Row],[Fecha]],SummaryDaily[day],SummaryDaily[new_net_sales],0)</f>
        <v>1749285.73</v>
      </c>
      <c r="J331" s="12">
        <f>_xlfn.XLOOKUP(TableDailySummary[[#This Row],[Fecha]],SummaryDaily[day],SummaryDaily[new_orders],0)</f>
        <v>9</v>
      </c>
      <c r="K331" s="12">
        <f>_xlfn.XLOOKUP(TableDailySummary[[#This Row],[Fecha]],SummaryDaily[day],SummaryDaily[new_average_order_value],0)</f>
        <v>181760.038</v>
      </c>
      <c r="L331" s="12">
        <f>_xlfn.XLOOKUP(TableDailySummary[[#This Row],[Fecha]],SummaryDaily[day],SummaryDaily[Online Store_net_sales],0)</f>
        <v>189075.63</v>
      </c>
      <c r="M331" s="12">
        <f>_xlfn.XLOOKUP(TableDailySummary[[#This Row],[Fecha]],SummaryDaily[day],SummaryDaily[Online Store_orders],0)</f>
        <v>1</v>
      </c>
      <c r="N331" s="12">
        <f>_xlfn.XLOOKUP(TableDailySummary[[#This Row],[Fecha]],SummaryDaily[day],SummaryDaily[Online Store_average_order_value],0)</f>
        <v>189075.63</v>
      </c>
      <c r="O331" s="12">
        <f>_xlfn.XLOOKUP(TableDailySummary[[#This Row],[Fecha]],SummaryDaily[day],SummaryDaily[Tienda 81_net_sales],0)</f>
        <v>2864731.12</v>
      </c>
      <c r="P331" s="12">
        <f>_xlfn.XLOOKUP(TableDailySummary[[#This Row],[Fecha]],SummaryDaily[day],SummaryDaily[Tienda 81_orders],0)</f>
        <v>19</v>
      </c>
      <c r="Q331" s="12">
        <f>_xlfn.XLOOKUP(TableDailySummary[[#This Row],[Fecha]],SummaryDaily[day],SummaryDaily[Tienda 81_average_order_value],0)</f>
        <v>144804.51199999999</v>
      </c>
      <c r="R331" s="12">
        <f>_xlfn.XLOOKUP(TableDailySummary[[#This Row],[Fecha]],SummaryDaily[day],SummaryDaily[Rappi_net_sales],0)</f>
        <v>0</v>
      </c>
      <c r="S331" s="12">
        <f>_xlfn.XLOOKUP(TableDailySummary[[#This Row],[Fecha]],SummaryDaily[day],SummaryDaily[Rappi_orders],0)</f>
        <v>0</v>
      </c>
      <c r="T331" s="12">
        <f>_xlfn.XLOOKUP(TableDailySummary[[#This Row],[Fecha]],SummaryDaily[day],SummaryDaily[Rappi_average_order_value],0)</f>
        <v>0</v>
      </c>
      <c r="U331" s="12">
        <f>_xlfn.XLOOKUP(TableDailySummary[[#This Row],[Fecha]],SummaryDaily[day],SummaryDaily[Corporativo no tienda_net_sales],0)</f>
        <v>0</v>
      </c>
      <c r="V331" s="12">
        <f>_xlfn.XLOOKUP(TableDailySummary[[#This Row],[Fecha]],SummaryDaily[day],SummaryDaily[Corporativo no tienda_orders],0)</f>
        <v>0</v>
      </c>
      <c r="W331" s="12">
        <f>_xlfn.XLOOKUP(TableDailySummary[[#This Row],[Fecha]],SummaryDaily[day],SummaryDaily[Corporativo no tienda_average_order_value],0)</f>
        <v>0</v>
      </c>
      <c r="X331" s="12">
        <f>_xlfn.XLOOKUP(TableDailySummary[[#This Row],[Fecha]],SummaryDaily[day],SummaryDaily[GoogleAdsOperation.Cost],0)</f>
        <v>33841.75</v>
      </c>
      <c r="Y331" s="12">
        <f>SUMIFS(SalesByUTMDaily[google],SalesByUTMDaily[day],TableDailySummary[[#This Row],[Fecha]])</f>
        <v>0</v>
      </c>
      <c r="Z331" s="12">
        <f>_xlfn.XLOOKUP(TableDailySummary[[#This Row],[Fecha]],SummaryDaily[day],SummaryDaily[MetaAdsOperation.spend],0)</f>
        <v>51790</v>
      </c>
      <c r="AA331" s="12">
        <f>SUMIFS(SalesByUTMDaily[facebook],SalesByUTMDaily[day],TableDailySummary[[#This Row],[Fecha]])</f>
        <v>241000</v>
      </c>
      <c r="AB331" s="12">
        <f>TableDailySummary[[#This Row],[Inversión google ads]]+TableDailySummary[[#This Row],[Inversión meta ads]]</f>
        <v>85631.75</v>
      </c>
      <c r="AC331" s="12">
        <f>TableDailySummary[[#This Row],[Ventas google ads]]+TableDailySummary[[#This Row],[Ventas meta ads]]</f>
        <v>241000</v>
      </c>
      <c r="AD331" s="14">
        <f>IFERROR(TableDailySummary[[#This Row],[Ventas publicidad]]/TableDailySummary[[#This Row],[Inversión publicidad]],0)</f>
        <v>2.8143766768751077</v>
      </c>
      <c r="AE331" s="14">
        <f>IFERROR(TableDailySummary[[#This Row],[Ventas primer cliente]]/TableDailySummary[[#This Row],[Inversión publicidad]],0)</f>
        <v>20.42800398216783</v>
      </c>
      <c r="AF331" s="14"/>
      <c r="AG331" s="12"/>
      <c r="AM331" s="12">
        <f>_xlfn.XLOOKUP(TableDailySummary[[#This Row],[Fecha]],SummaryDaily[day],SummaryDaily[net_sales_with_cost_recorded],0)</f>
        <v>2969773.14</v>
      </c>
      <c r="AN331" s="12">
        <f>_xlfn.XLOOKUP(TableDailySummary[[#This Row],[Fecha]],SummaryDaily[day],SummaryDaily[cost_of_goods_sold],0)</f>
        <v>1003244</v>
      </c>
      <c r="AO331" s="12">
        <f>_xlfn.XLOOKUP(TableDailySummary[[#This Row],[Fecha]],SummaryDaily[day],SummaryDaily[gross_profit],0)</f>
        <v>1966529.14</v>
      </c>
      <c r="AP331" s="18">
        <f>IFERROR(TableDailySummary[[#This Row],[Utilidad bruta]]/TableDailySummary[[#This Row],[Ventas netas con costo registrado]],0)</f>
        <v>0.66218160354160915</v>
      </c>
    </row>
    <row r="332" spans="2:42" x14ac:dyDescent="0.2">
      <c r="B332" s="15" cm="1">
        <f t="array" ref="B332">MIN(SummaryDaily[day]) + (ROW(TableDailySummary[#This Row]) - ROW(TableDailySummary[[#Headers],[Dia]]) - 1)</f>
        <v>46103</v>
      </c>
      <c r="C332" s="6">
        <f>TableDailySummary[[#This Row],[Dia]]</f>
        <v>46103</v>
      </c>
      <c r="D332" s="12">
        <f>_xlfn.XLOOKUP(TableDailySummary[[#This Row],[Fecha]],SummaryDaily[day],SummaryDaily[net_sales],0)</f>
        <v>508991.6</v>
      </c>
      <c r="E332" s="12">
        <f>_xlfn.XLOOKUP(TableDailySummary[[#This Row],[Fecha]],SummaryDaily[day],SummaryDaily[orders],0)</f>
        <v>9</v>
      </c>
      <c r="F332" s="12">
        <f>_xlfn.XLOOKUP(TableDailySummary[[#This Row],[Fecha]],SummaryDaily[day],SummaryDaily[average_order_value],0)</f>
        <v>56554.622000000003</v>
      </c>
      <c r="G332" s="24">
        <f>_xlfn.XLOOKUP(TableDailySummary[[#This Row],[Fecha]],SummaryDaily[day],SummaryDaily[Total site_conversion_rate],0)</f>
        <v>1.8796992481203006E-3</v>
      </c>
      <c r="H332" s="12">
        <f>TableDailySummary[[#This Row],[Órden promedio totales]]*TableDailySummary[[#This Row],[CR totales]]</f>
        <v>106.30568045112781</v>
      </c>
      <c r="I332" s="12">
        <f>_xlfn.XLOOKUP(TableDailySummary[[#This Row],[Fecha]],SummaryDaily[day],SummaryDaily[new_net_sales],0)</f>
        <v>134453.78</v>
      </c>
      <c r="J332" s="12">
        <f>_xlfn.XLOOKUP(TableDailySummary[[#This Row],[Fecha]],SummaryDaily[day],SummaryDaily[new_orders],0)</f>
        <v>2</v>
      </c>
      <c r="K332" s="12">
        <f>_xlfn.XLOOKUP(TableDailySummary[[#This Row],[Fecha]],SummaryDaily[day],SummaryDaily[new_average_order_value],0)</f>
        <v>67226.89</v>
      </c>
      <c r="L332" s="12">
        <f>_xlfn.XLOOKUP(TableDailySummary[[#This Row],[Fecha]],SummaryDaily[day],SummaryDaily[Online Store_net_sales],0)</f>
        <v>54621.85</v>
      </c>
      <c r="M332" s="12">
        <f>_xlfn.XLOOKUP(TableDailySummary[[#This Row],[Fecha]],SummaryDaily[day],SummaryDaily[Online Store_orders],0)</f>
        <v>1</v>
      </c>
      <c r="N332" s="12">
        <f>_xlfn.XLOOKUP(TableDailySummary[[#This Row],[Fecha]],SummaryDaily[day],SummaryDaily[Online Store_average_order_value],0)</f>
        <v>54621.85</v>
      </c>
      <c r="O332" s="12">
        <f>_xlfn.XLOOKUP(TableDailySummary[[#This Row],[Fecha]],SummaryDaily[day],SummaryDaily[Tienda 81_net_sales],0)</f>
        <v>454369.75</v>
      </c>
      <c r="P332" s="12">
        <f>_xlfn.XLOOKUP(TableDailySummary[[#This Row],[Fecha]],SummaryDaily[day],SummaryDaily[Tienda 81_orders],0)</f>
        <v>8</v>
      </c>
      <c r="Q332" s="12">
        <f>_xlfn.XLOOKUP(TableDailySummary[[#This Row],[Fecha]],SummaryDaily[day],SummaryDaily[Tienda 81_average_order_value],0)</f>
        <v>56796.218000000001</v>
      </c>
      <c r="R332" s="12">
        <f>_xlfn.XLOOKUP(TableDailySummary[[#This Row],[Fecha]],SummaryDaily[day],SummaryDaily[Rappi_net_sales],0)</f>
        <v>0</v>
      </c>
      <c r="S332" s="12">
        <f>_xlfn.XLOOKUP(TableDailySummary[[#This Row],[Fecha]],SummaryDaily[day],SummaryDaily[Rappi_orders],0)</f>
        <v>0</v>
      </c>
      <c r="T332" s="12">
        <f>_xlfn.XLOOKUP(TableDailySummary[[#This Row],[Fecha]],SummaryDaily[day],SummaryDaily[Rappi_average_order_value],0)</f>
        <v>0</v>
      </c>
      <c r="U332" s="12">
        <f>_xlfn.XLOOKUP(TableDailySummary[[#This Row],[Fecha]],SummaryDaily[day],SummaryDaily[Corporativo no tienda_net_sales],0)</f>
        <v>0</v>
      </c>
      <c r="V332" s="12">
        <f>_xlfn.XLOOKUP(TableDailySummary[[#This Row],[Fecha]],SummaryDaily[day],SummaryDaily[Corporativo no tienda_orders],0)</f>
        <v>0</v>
      </c>
      <c r="W332" s="12">
        <f>_xlfn.XLOOKUP(TableDailySummary[[#This Row],[Fecha]],SummaryDaily[day],SummaryDaily[Corporativo no tienda_average_order_value],0)</f>
        <v>0</v>
      </c>
      <c r="X332" s="12">
        <f>_xlfn.XLOOKUP(TableDailySummary[[#This Row],[Fecha]],SummaryDaily[day],SummaryDaily[GoogleAdsOperation.Cost],0)</f>
        <v>33682.28</v>
      </c>
      <c r="Y332" s="12">
        <f>SUMIFS(SalesByUTMDaily[google],SalesByUTMDaily[day],TableDailySummary[[#This Row],[Fecha]])</f>
        <v>0</v>
      </c>
      <c r="Z332" s="12">
        <f>_xlfn.XLOOKUP(TableDailySummary[[#This Row],[Fecha]],SummaryDaily[day],SummaryDaily[MetaAdsOperation.spend],0)</f>
        <v>55245</v>
      </c>
      <c r="AA332" s="12">
        <f>SUMIFS(SalesByUTMDaily[facebook],SalesByUTMDaily[day],TableDailySummary[[#This Row],[Fecha]])</f>
        <v>0</v>
      </c>
      <c r="AB332" s="12">
        <f>TableDailySummary[[#This Row],[Inversión google ads]]+TableDailySummary[[#This Row],[Inversión meta ads]]</f>
        <v>88927.28</v>
      </c>
      <c r="AC332" s="12">
        <f>TableDailySummary[[#This Row],[Ventas google ads]]+TableDailySummary[[#This Row],[Ventas meta ads]]</f>
        <v>0</v>
      </c>
      <c r="AD332" s="14">
        <f>IFERROR(TableDailySummary[[#This Row],[Ventas publicidad]]/TableDailySummary[[#This Row],[Inversión publicidad]],0)</f>
        <v>0</v>
      </c>
      <c r="AE332" s="14">
        <f>IFERROR(TableDailySummary[[#This Row],[Ventas primer cliente]]/TableDailySummary[[#This Row],[Inversión publicidad]],0)</f>
        <v>1.5119520129256174</v>
      </c>
      <c r="AF332" s="14"/>
      <c r="AG332" s="12"/>
      <c r="AM332" s="12">
        <f>_xlfn.XLOOKUP(TableDailySummary[[#This Row],[Fecha]],SummaryDaily[day],SummaryDaily[net_sales_with_cost_recorded],0)</f>
        <v>508991.6</v>
      </c>
      <c r="AN332" s="12">
        <f>_xlfn.XLOOKUP(TableDailySummary[[#This Row],[Fecha]],SummaryDaily[day],SummaryDaily[cost_of_goods_sold],0)</f>
        <v>171693</v>
      </c>
      <c r="AO332" s="12">
        <f>_xlfn.XLOOKUP(TableDailySummary[[#This Row],[Fecha]],SummaryDaily[day],SummaryDaily[gross_profit],0)</f>
        <v>337298.6</v>
      </c>
      <c r="AP332" s="18">
        <f>IFERROR(TableDailySummary[[#This Row],[Utilidad bruta]]/TableDailySummary[[#This Row],[Ventas netas con costo registrado]],0)</f>
        <v>0.66268009138068285</v>
      </c>
    </row>
    <row r="333" spans="2:42" x14ac:dyDescent="0.2">
      <c r="B333" s="15" cm="1">
        <f t="array" ref="B333">MIN(SummaryDaily[day]) + (ROW(TableDailySummary[#This Row]) - ROW(TableDailySummary[[#Headers],[Dia]]) - 1)</f>
        <v>46104</v>
      </c>
      <c r="C333" s="6">
        <f>TableDailySummary[[#This Row],[Dia]]</f>
        <v>46104</v>
      </c>
      <c r="D333" s="12">
        <f>_xlfn.XLOOKUP(TableDailySummary[[#This Row],[Fecha]],SummaryDaily[day],SummaryDaily[net_sales],0)</f>
        <v>1256302.52</v>
      </c>
      <c r="E333" s="12">
        <f>_xlfn.XLOOKUP(TableDailySummary[[#This Row],[Fecha]],SummaryDaily[day],SummaryDaily[orders],0)</f>
        <v>8</v>
      </c>
      <c r="F333" s="12">
        <f>_xlfn.XLOOKUP(TableDailySummary[[#This Row],[Fecha]],SummaryDaily[day],SummaryDaily[average_order_value],0)</f>
        <v>157037.815</v>
      </c>
      <c r="G333" s="24">
        <f>_xlfn.XLOOKUP(TableDailySummary[[#This Row],[Fecha]],SummaryDaily[day],SummaryDaily[Total site_conversion_rate],0)</f>
        <v>2.3255813953488372E-3</v>
      </c>
      <c r="H333" s="12">
        <f>TableDailySummary[[#This Row],[Órden promedio totales]]*TableDailySummary[[#This Row],[CR totales]]</f>
        <v>365.20422093023257</v>
      </c>
      <c r="I333" s="12">
        <f>_xlfn.XLOOKUP(TableDailySummary[[#This Row],[Fecha]],SummaryDaily[day],SummaryDaily[new_net_sales],0)</f>
        <v>319327.73</v>
      </c>
      <c r="J333" s="12">
        <f>_xlfn.XLOOKUP(TableDailySummary[[#This Row],[Fecha]],SummaryDaily[day],SummaryDaily[new_orders],0)</f>
        <v>2</v>
      </c>
      <c r="K333" s="12">
        <f>_xlfn.XLOOKUP(TableDailySummary[[#This Row],[Fecha]],SummaryDaily[day],SummaryDaily[new_average_order_value],0)</f>
        <v>159663.86499999999</v>
      </c>
      <c r="L333" s="12">
        <f>_xlfn.XLOOKUP(TableDailySummary[[#This Row],[Fecha]],SummaryDaily[day],SummaryDaily[Online Store_net_sales],0)</f>
        <v>575630.25</v>
      </c>
      <c r="M333" s="12">
        <f>_xlfn.XLOOKUP(TableDailySummary[[#This Row],[Fecha]],SummaryDaily[day],SummaryDaily[Online Store_orders],0)</f>
        <v>2</v>
      </c>
      <c r="N333" s="12">
        <f>_xlfn.XLOOKUP(TableDailySummary[[#This Row],[Fecha]],SummaryDaily[day],SummaryDaily[Online Store_average_order_value],0)</f>
        <v>287815.125</v>
      </c>
      <c r="O333" s="12">
        <f>_xlfn.XLOOKUP(TableDailySummary[[#This Row],[Fecha]],SummaryDaily[day],SummaryDaily[Tienda 81_net_sales],0)</f>
        <v>680672.27</v>
      </c>
      <c r="P333" s="12">
        <f>_xlfn.XLOOKUP(TableDailySummary[[#This Row],[Fecha]],SummaryDaily[day],SummaryDaily[Tienda 81_orders],0)</f>
        <v>6</v>
      </c>
      <c r="Q333" s="12">
        <f>_xlfn.XLOOKUP(TableDailySummary[[#This Row],[Fecha]],SummaryDaily[day],SummaryDaily[Tienda 81_average_order_value],0)</f>
        <v>113445.378</v>
      </c>
      <c r="R333" s="12">
        <f>_xlfn.XLOOKUP(TableDailySummary[[#This Row],[Fecha]],SummaryDaily[day],SummaryDaily[Rappi_net_sales],0)</f>
        <v>0</v>
      </c>
      <c r="S333" s="12">
        <f>_xlfn.XLOOKUP(TableDailySummary[[#This Row],[Fecha]],SummaryDaily[day],SummaryDaily[Rappi_orders],0)</f>
        <v>0</v>
      </c>
      <c r="T333" s="12">
        <f>_xlfn.XLOOKUP(TableDailySummary[[#This Row],[Fecha]],SummaryDaily[day],SummaryDaily[Rappi_average_order_value],0)</f>
        <v>0</v>
      </c>
      <c r="U333" s="12">
        <f>_xlfn.XLOOKUP(TableDailySummary[[#This Row],[Fecha]],SummaryDaily[day],SummaryDaily[Corporativo no tienda_net_sales],0)</f>
        <v>0</v>
      </c>
      <c r="V333" s="12">
        <f>_xlfn.XLOOKUP(TableDailySummary[[#This Row],[Fecha]],SummaryDaily[day],SummaryDaily[Corporativo no tienda_orders],0)</f>
        <v>0</v>
      </c>
      <c r="W333" s="12">
        <f>_xlfn.XLOOKUP(TableDailySummary[[#This Row],[Fecha]],SummaryDaily[day],SummaryDaily[Corporativo no tienda_average_order_value],0)</f>
        <v>0</v>
      </c>
      <c r="X333" s="12">
        <f>_xlfn.XLOOKUP(TableDailySummary[[#This Row],[Fecha]],SummaryDaily[day],SummaryDaily[GoogleAdsOperation.Cost],0)</f>
        <v>42625.69</v>
      </c>
      <c r="Y333" s="12">
        <f>SUMIFS(SalesByUTMDaily[google],SalesByUTMDaily[day],TableDailySummary[[#This Row],[Fecha]])</f>
        <v>0</v>
      </c>
      <c r="Z333" s="12">
        <f>_xlfn.XLOOKUP(TableDailySummary[[#This Row],[Fecha]],SummaryDaily[day],SummaryDaily[MetaAdsOperation.spend],0)</f>
        <v>56030</v>
      </c>
      <c r="AA333" s="12">
        <f>SUMIFS(SalesByUTMDaily[facebook],SalesByUTMDaily[day],TableDailySummary[[#This Row],[Fecha]])</f>
        <v>0</v>
      </c>
      <c r="AB333" s="12">
        <f>TableDailySummary[[#This Row],[Inversión google ads]]+TableDailySummary[[#This Row],[Inversión meta ads]]</f>
        <v>98655.69</v>
      </c>
      <c r="AC333" s="12">
        <f>TableDailySummary[[#This Row],[Ventas google ads]]+TableDailySummary[[#This Row],[Ventas meta ads]]</f>
        <v>0</v>
      </c>
      <c r="AD333" s="14">
        <f>IFERROR(TableDailySummary[[#This Row],[Ventas publicidad]]/TableDailySummary[[#This Row],[Inversión publicidad]],0)</f>
        <v>0</v>
      </c>
      <c r="AE333" s="14">
        <f>IFERROR(TableDailySummary[[#This Row],[Ventas primer cliente]]/TableDailySummary[[#This Row],[Inversión publicidad]],0)</f>
        <v>3.2367897888099506</v>
      </c>
      <c r="AF333" s="14"/>
      <c r="AG333" s="12"/>
      <c r="AM333" s="12">
        <f>_xlfn.XLOOKUP(TableDailySummary[[#This Row],[Fecha]],SummaryDaily[day],SummaryDaily[net_sales_with_cost_recorded],0)</f>
        <v>1256302.52</v>
      </c>
      <c r="AN333" s="12">
        <f>_xlfn.XLOOKUP(TableDailySummary[[#This Row],[Fecha]],SummaryDaily[day],SummaryDaily[cost_of_goods_sold],0)</f>
        <v>313285</v>
      </c>
      <c r="AO333" s="12">
        <f>_xlfn.XLOOKUP(TableDailySummary[[#This Row],[Fecha]],SummaryDaily[day],SummaryDaily[gross_profit],0)</f>
        <v>943017.52</v>
      </c>
      <c r="AP333" s="18">
        <f>IFERROR(TableDailySummary[[#This Row],[Utilidad bruta]]/TableDailySummary[[#This Row],[Ventas netas con costo registrado]],0)</f>
        <v>0.75062933090351514</v>
      </c>
    </row>
    <row r="334" spans="2:42" x14ac:dyDescent="0.2">
      <c r="B334" s="15" cm="1">
        <f t="array" ref="B334">MIN(SummaryDaily[day]) + (ROW(TableDailySummary[#This Row]) - ROW(TableDailySummary[[#Headers],[Dia]]) - 1)</f>
        <v>46105</v>
      </c>
      <c r="C334" s="6">
        <f>TableDailySummary[[#This Row],[Dia]]</f>
        <v>46105</v>
      </c>
      <c r="D334" s="12">
        <f>_xlfn.XLOOKUP(TableDailySummary[[#This Row],[Fecha]],SummaryDaily[day],SummaryDaily[net_sales],0)</f>
        <v>1857983.21</v>
      </c>
      <c r="E334" s="12">
        <f>_xlfn.XLOOKUP(TableDailySummary[[#This Row],[Fecha]],SummaryDaily[day],SummaryDaily[orders],0)</f>
        <v>13</v>
      </c>
      <c r="F334" s="12">
        <f>_xlfn.XLOOKUP(TableDailySummary[[#This Row],[Fecha]],SummaryDaily[day],SummaryDaily[average_order_value],0)</f>
        <v>142921.785</v>
      </c>
      <c r="G334" s="24">
        <f>_xlfn.XLOOKUP(TableDailySummary[[#This Row],[Fecha]],SummaryDaily[day],SummaryDaily[Total site_conversion_rate],0)</f>
        <v>4.5248868778280547E-3</v>
      </c>
      <c r="H334" s="12">
        <f>TableDailySummary[[#This Row],[Órden promedio totales]]*TableDailySummary[[#This Row],[CR totales]]</f>
        <v>646.70490950226247</v>
      </c>
      <c r="I334" s="12">
        <f>_xlfn.XLOOKUP(TableDailySummary[[#This Row],[Fecha]],SummaryDaily[day],SummaryDaily[new_net_sales],0)</f>
        <v>603361.35</v>
      </c>
      <c r="J334" s="12">
        <f>_xlfn.XLOOKUP(TableDailySummary[[#This Row],[Fecha]],SummaryDaily[day],SummaryDaily[new_orders],0)</f>
        <v>3</v>
      </c>
      <c r="K334" s="12">
        <f>_xlfn.XLOOKUP(TableDailySummary[[#This Row],[Fecha]],SummaryDaily[day],SummaryDaily[new_average_order_value],0)</f>
        <v>201120.45</v>
      </c>
      <c r="L334" s="12">
        <f>_xlfn.XLOOKUP(TableDailySummary[[#This Row],[Fecha]],SummaryDaily[day],SummaryDaily[Online Store_net_sales],0)</f>
        <v>603361.35</v>
      </c>
      <c r="M334" s="12">
        <f>_xlfn.XLOOKUP(TableDailySummary[[#This Row],[Fecha]],SummaryDaily[day],SummaryDaily[Online Store_orders],0)</f>
        <v>3</v>
      </c>
      <c r="N334" s="12">
        <f>_xlfn.XLOOKUP(TableDailySummary[[#This Row],[Fecha]],SummaryDaily[day],SummaryDaily[Online Store_average_order_value],0)</f>
        <v>201120.45</v>
      </c>
      <c r="O334" s="12">
        <f>_xlfn.XLOOKUP(TableDailySummary[[#This Row],[Fecha]],SummaryDaily[day],SummaryDaily[Tienda 81_net_sales],0)</f>
        <v>1254621.8600000001</v>
      </c>
      <c r="P334" s="12">
        <f>_xlfn.XLOOKUP(TableDailySummary[[#This Row],[Fecha]],SummaryDaily[day],SummaryDaily[Tienda 81_orders],0)</f>
        <v>10</v>
      </c>
      <c r="Q334" s="12">
        <f>_xlfn.XLOOKUP(TableDailySummary[[#This Row],[Fecha]],SummaryDaily[day],SummaryDaily[Tienda 81_average_order_value],0)</f>
        <v>125462.186</v>
      </c>
      <c r="R334" s="12">
        <f>_xlfn.XLOOKUP(TableDailySummary[[#This Row],[Fecha]],SummaryDaily[day],SummaryDaily[Rappi_net_sales],0)</f>
        <v>0</v>
      </c>
      <c r="S334" s="12">
        <f>_xlfn.XLOOKUP(TableDailySummary[[#This Row],[Fecha]],SummaryDaily[day],SummaryDaily[Rappi_orders],0)</f>
        <v>0</v>
      </c>
      <c r="T334" s="12">
        <f>_xlfn.XLOOKUP(TableDailySummary[[#This Row],[Fecha]],SummaryDaily[day],SummaryDaily[Rappi_average_order_value],0)</f>
        <v>0</v>
      </c>
      <c r="U334" s="12">
        <f>_xlfn.XLOOKUP(TableDailySummary[[#This Row],[Fecha]],SummaryDaily[day],SummaryDaily[Corporativo no tienda_net_sales],0)</f>
        <v>0</v>
      </c>
      <c r="V334" s="12">
        <f>_xlfn.XLOOKUP(TableDailySummary[[#This Row],[Fecha]],SummaryDaily[day],SummaryDaily[Corporativo no tienda_orders],0)</f>
        <v>0</v>
      </c>
      <c r="W334" s="12">
        <f>_xlfn.XLOOKUP(TableDailySummary[[#This Row],[Fecha]],SummaryDaily[day],SummaryDaily[Corporativo no tienda_average_order_value],0)</f>
        <v>0</v>
      </c>
      <c r="X334" s="12">
        <f>_xlfn.XLOOKUP(TableDailySummary[[#This Row],[Fecha]],SummaryDaily[day],SummaryDaily[GoogleAdsOperation.Cost],0)</f>
        <v>59101.39</v>
      </c>
      <c r="Y334" s="12">
        <f>SUMIFS(SalesByUTMDaily[google],SalesByUTMDaily[day],TableDailySummary[[#This Row],[Fecha]])</f>
        <v>166000</v>
      </c>
      <c r="Z334" s="12">
        <f>_xlfn.XLOOKUP(TableDailySummary[[#This Row],[Fecha]],SummaryDaily[day],SummaryDaily[MetaAdsOperation.spend],0)</f>
        <v>52339</v>
      </c>
      <c r="AA334" s="12">
        <f>SUMIFS(SalesByUTMDaily[facebook],SalesByUTMDaily[day],TableDailySummary[[#This Row],[Fecha]])</f>
        <v>0</v>
      </c>
      <c r="AB334" s="12">
        <f>TableDailySummary[[#This Row],[Inversión google ads]]+TableDailySummary[[#This Row],[Inversión meta ads]]</f>
        <v>111440.39</v>
      </c>
      <c r="AC334" s="12">
        <f>TableDailySummary[[#This Row],[Ventas google ads]]+TableDailySummary[[#This Row],[Ventas meta ads]]</f>
        <v>166000</v>
      </c>
      <c r="AD334" s="14">
        <f>IFERROR(TableDailySummary[[#This Row],[Ventas publicidad]]/TableDailySummary[[#This Row],[Inversión publicidad]],0)</f>
        <v>1.4895855981839259</v>
      </c>
      <c r="AE334" s="14">
        <f>IFERROR(TableDailySummary[[#This Row],[Ventas primer cliente]]/TableDailySummary[[#This Row],[Inversión publicidad]],0)</f>
        <v>5.4142070931374162</v>
      </c>
      <c r="AF334" s="14"/>
      <c r="AG334" s="12"/>
      <c r="AM334" s="12">
        <f>_xlfn.XLOOKUP(TableDailySummary[[#This Row],[Fecha]],SummaryDaily[day],SummaryDaily[net_sales_with_cost_recorded],0)</f>
        <v>1786554.64</v>
      </c>
      <c r="AN334" s="12">
        <f>_xlfn.XLOOKUP(TableDailySummary[[#This Row],[Fecha]],SummaryDaily[day],SummaryDaily[cost_of_goods_sold],0)</f>
        <v>544861</v>
      </c>
      <c r="AO334" s="12">
        <f>_xlfn.XLOOKUP(TableDailySummary[[#This Row],[Fecha]],SummaryDaily[day],SummaryDaily[gross_profit],0)</f>
        <v>1241693.6399999999</v>
      </c>
      <c r="AP334" s="18">
        <f>IFERROR(TableDailySummary[[#This Row],[Utilidad bruta]]/TableDailySummary[[#This Row],[Ventas netas con costo registrado]],0)</f>
        <v>0.69502136245886104</v>
      </c>
    </row>
    <row r="335" spans="2:42" x14ac:dyDescent="0.2">
      <c r="B335" s="15" cm="1">
        <f t="array" ref="B335">MIN(SummaryDaily[day]) + (ROW(TableDailySummary[#This Row]) - ROW(TableDailySummary[[#Headers],[Dia]]) - 1)</f>
        <v>46106</v>
      </c>
      <c r="C335" s="6">
        <f>TableDailySummary[[#This Row],[Dia]]</f>
        <v>46106</v>
      </c>
      <c r="D335" s="12">
        <f>_xlfn.XLOOKUP(TableDailySummary[[#This Row],[Fecha]],SummaryDaily[day],SummaryDaily[net_sales],0)</f>
        <v>2927579.82</v>
      </c>
      <c r="E335" s="12">
        <f>_xlfn.XLOOKUP(TableDailySummary[[#This Row],[Fecha]],SummaryDaily[day],SummaryDaily[orders],0)</f>
        <v>20</v>
      </c>
      <c r="F335" s="12">
        <f>_xlfn.XLOOKUP(TableDailySummary[[#This Row],[Fecha]],SummaryDaily[day],SummaryDaily[average_order_value],0)</f>
        <v>146378.99100000001</v>
      </c>
      <c r="G335" s="24">
        <f>_xlfn.XLOOKUP(TableDailySummary[[#This Row],[Fecha]],SummaryDaily[day],SummaryDaily[Total site_conversion_rate],0)</f>
        <v>8.9686098654708519E-3</v>
      </c>
      <c r="H335" s="12">
        <f>TableDailySummary[[#This Row],[Órden promedio totales]]*TableDailySummary[[#This Row],[CR totales]]</f>
        <v>1312.816062780269</v>
      </c>
      <c r="I335" s="12">
        <f>_xlfn.XLOOKUP(TableDailySummary[[#This Row],[Fecha]],SummaryDaily[day],SummaryDaily[new_net_sales],0)</f>
        <v>882352.93</v>
      </c>
      <c r="J335" s="12">
        <f>_xlfn.XLOOKUP(TableDailySummary[[#This Row],[Fecha]],SummaryDaily[day],SummaryDaily[new_orders],0)</f>
        <v>9</v>
      </c>
      <c r="K335" s="12">
        <f>_xlfn.XLOOKUP(TableDailySummary[[#This Row],[Fecha]],SummaryDaily[day],SummaryDaily[new_average_order_value],0)</f>
        <v>98039.214000000007</v>
      </c>
      <c r="L335" s="12">
        <f>_xlfn.XLOOKUP(TableDailySummary[[#This Row],[Fecha]],SummaryDaily[day],SummaryDaily[Online Store_net_sales],0)</f>
        <v>647058.81999999995</v>
      </c>
      <c r="M335" s="12">
        <f>_xlfn.XLOOKUP(TableDailySummary[[#This Row],[Fecha]],SummaryDaily[day],SummaryDaily[Online Store_orders],0)</f>
        <v>6</v>
      </c>
      <c r="N335" s="12">
        <f>_xlfn.XLOOKUP(TableDailySummary[[#This Row],[Fecha]],SummaryDaily[day],SummaryDaily[Online Store_average_order_value],0)</f>
        <v>107843.136</v>
      </c>
      <c r="O335" s="12">
        <f>_xlfn.XLOOKUP(TableDailySummary[[#This Row],[Fecha]],SummaryDaily[day],SummaryDaily[Tienda 81_net_sales],0)</f>
        <v>2280521</v>
      </c>
      <c r="P335" s="12">
        <f>_xlfn.XLOOKUP(TableDailySummary[[#This Row],[Fecha]],SummaryDaily[day],SummaryDaily[Tienda 81_orders],0)</f>
        <v>14</v>
      </c>
      <c r="Q335" s="12">
        <f>_xlfn.XLOOKUP(TableDailySummary[[#This Row],[Fecha]],SummaryDaily[day],SummaryDaily[Tienda 81_average_order_value],0)</f>
        <v>162894.35699999999</v>
      </c>
      <c r="R335" s="12">
        <f>_xlfn.XLOOKUP(TableDailySummary[[#This Row],[Fecha]],SummaryDaily[day],SummaryDaily[Rappi_net_sales],0)</f>
        <v>0</v>
      </c>
      <c r="S335" s="12">
        <f>_xlfn.XLOOKUP(TableDailySummary[[#This Row],[Fecha]],SummaryDaily[day],SummaryDaily[Rappi_orders],0)</f>
        <v>0</v>
      </c>
      <c r="T335" s="12">
        <f>_xlfn.XLOOKUP(TableDailySummary[[#This Row],[Fecha]],SummaryDaily[day],SummaryDaily[Rappi_average_order_value],0)</f>
        <v>0</v>
      </c>
      <c r="U335" s="12">
        <f>_xlfn.XLOOKUP(TableDailySummary[[#This Row],[Fecha]],SummaryDaily[day],SummaryDaily[Corporativo no tienda_net_sales],0)</f>
        <v>0</v>
      </c>
      <c r="V335" s="12">
        <f>_xlfn.XLOOKUP(TableDailySummary[[#This Row],[Fecha]],SummaryDaily[day],SummaryDaily[Corporativo no tienda_orders],0)</f>
        <v>0</v>
      </c>
      <c r="W335" s="12">
        <f>_xlfn.XLOOKUP(TableDailySummary[[#This Row],[Fecha]],SummaryDaily[day],SummaryDaily[Corporativo no tienda_average_order_value],0)</f>
        <v>0</v>
      </c>
      <c r="X335" s="12">
        <f>_xlfn.XLOOKUP(TableDailySummary[[#This Row],[Fecha]],SummaryDaily[day],SummaryDaily[GoogleAdsOperation.Cost],0)</f>
        <v>36918.18</v>
      </c>
      <c r="Y335" s="12">
        <f>SUMIFS(SalesByUTMDaily[google],SalesByUTMDaily[day],TableDailySummary[[#This Row],[Fecha]])</f>
        <v>70000</v>
      </c>
      <c r="Z335" s="12">
        <f>_xlfn.XLOOKUP(TableDailySummary[[#This Row],[Fecha]],SummaryDaily[day],SummaryDaily[MetaAdsOperation.spend],0)</f>
        <v>52724</v>
      </c>
      <c r="AA335" s="12">
        <f>SUMIFS(SalesByUTMDaily[facebook],SalesByUTMDaily[day],TableDailySummary[[#This Row],[Fecha]])</f>
        <v>0</v>
      </c>
      <c r="AB335" s="12">
        <f>TableDailySummary[[#This Row],[Inversión google ads]]+TableDailySummary[[#This Row],[Inversión meta ads]]</f>
        <v>89642.18</v>
      </c>
      <c r="AC335" s="12">
        <f>TableDailySummary[[#This Row],[Ventas google ads]]+TableDailySummary[[#This Row],[Ventas meta ads]]</f>
        <v>70000</v>
      </c>
      <c r="AD335" s="14">
        <f>IFERROR(TableDailySummary[[#This Row],[Ventas publicidad]]/TableDailySummary[[#This Row],[Inversión publicidad]],0)</f>
        <v>0.78088239264149983</v>
      </c>
      <c r="AE335" s="14">
        <f>IFERROR(TableDailySummary[[#This Row],[Ventas primer cliente]]/TableDailySummary[[#This Row],[Inversión publicidad]],0)</f>
        <v>9.8430552447519695</v>
      </c>
      <c r="AF335" s="14"/>
      <c r="AG335" s="12"/>
      <c r="AM335" s="12">
        <f>_xlfn.XLOOKUP(TableDailySummary[[#This Row],[Fecha]],SummaryDaily[day],SummaryDaily[net_sales_with_cost_recorded],0)</f>
        <v>2767915.95</v>
      </c>
      <c r="AN335" s="12">
        <f>_xlfn.XLOOKUP(TableDailySummary[[#This Row],[Fecha]],SummaryDaily[day],SummaryDaily[cost_of_goods_sold],0)</f>
        <v>750999</v>
      </c>
      <c r="AO335" s="12">
        <f>_xlfn.XLOOKUP(TableDailySummary[[#This Row],[Fecha]],SummaryDaily[day],SummaryDaily[gross_profit],0)</f>
        <v>2016916.95</v>
      </c>
      <c r="AP335" s="18">
        <f>IFERROR(TableDailySummary[[#This Row],[Utilidad bruta]]/TableDailySummary[[#This Row],[Ventas netas con costo registrado]],0)</f>
        <v>0.72867709368125855</v>
      </c>
    </row>
    <row r="336" spans="2:42" x14ac:dyDescent="0.2">
      <c r="B336" s="15" cm="1">
        <f t="array" ref="B336">MIN(SummaryDaily[day]) + (ROW(TableDailySummary[#This Row]) - ROW(TableDailySummary[[#Headers],[Dia]]) - 1)</f>
        <v>46107</v>
      </c>
      <c r="C336" s="6">
        <f>TableDailySummary[[#This Row],[Dia]]</f>
        <v>46107</v>
      </c>
      <c r="D336" s="12">
        <f>_xlfn.XLOOKUP(TableDailySummary[[#This Row],[Fecha]],SummaryDaily[day],SummaryDaily[net_sales],0)</f>
        <v>2190462.2000000002</v>
      </c>
      <c r="E336" s="12">
        <f>_xlfn.XLOOKUP(TableDailySummary[[#This Row],[Fecha]],SummaryDaily[day],SummaryDaily[orders],0)</f>
        <v>20</v>
      </c>
      <c r="F336" s="12">
        <f>_xlfn.XLOOKUP(TableDailySummary[[#This Row],[Fecha]],SummaryDaily[day],SummaryDaily[average_order_value],0)</f>
        <v>109523.11</v>
      </c>
      <c r="G336" s="24">
        <f>_xlfn.XLOOKUP(TableDailySummary[[#This Row],[Fecha]],SummaryDaily[day],SummaryDaily[Total site_conversion_rate],0)</f>
        <v>1.2987012987012987E-3</v>
      </c>
      <c r="H336" s="12">
        <f>TableDailySummary[[#This Row],[Órden promedio totales]]*TableDailySummary[[#This Row],[CR totales]]</f>
        <v>142.23780519480519</v>
      </c>
      <c r="I336" s="12">
        <f>_xlfn.XLOOKUP(TableDailySummary[[#This Row],[Fecha]],SummaryDaily[day],SummaryDaily[new_net_sales],0)</f>
        <v>598025.21</v>
      </c>
      <c r="J336" s="12">
        <f>_xlfn.XLOOKUP(TableDailySummary[[#This Row],[Fecha]],SummaryDaily[day],SummaryDaily[new_orders],0)</f>
        <v>4</v>
      </c>
      <c r="K336" s="12">
        <f>_xlfn.XLOOKUP(TableDailySummary[[#This Row],[Fecha]],SummaryDaily[day],SummaryDaily[new_average_order_value],0)</f>
        <v>149506.302</v>
      </c>
      <c r="L336" s="12">
        <f>_xlfn.XLOOKUP(TableDailySummary[[#This Row],[Fecha]],SummaryDaily[day],SummaryDaily[Online Store_net_sales],0)</f>
        <v>453781.51</v>
      </c>
      <c r="M336" s="12">
        <f>_xlfn.XLOOKUP(TableDailySummary[[#This Row],[Fecha]],SummaryDaily[day],SummaryDaily[Online Store_orders],0)</f>
        <v>1</v>
      </c>
      <c r="N336" s="12">
        <f>_xlfn.XLOOKUP(TableDailySummary[[#This Row],[Fecha]],SummaryDaily[day],SummaryDaily[Online Store_average_order_value],0)</f>
        <v>453781.51</v>
      </c>
      <c r="O336" s="12">
        <f>_xlfn.XLOOKUP(TableDailySummary[[#This Row],[Fecha]],SummaryDaily[day],SummaryDaily[Tienda 81_net_sales],0)</f>
        <v>1606428.59</v>
      </c>
      <c r="P336" s="12">
        <f>_xlfn.XLOOKUP(TableDailySummary[[#This Row],[Fecha]],SummaryDaily[day],SummaryDaily[Tienda 81_orders],0)</f>
        <v>18</v>
      </c>
      <c r="Q336" s="12">
        <f>_xlfn.XLOOKUP(TableDailySummary[[#This Row],[Fecha]],SummaryDaily[day],SummaryDaily[Tienda 81_average_order_value],0)</f>
        <v>89246.032000000007</v>
      </c>
      <c r="R336" s="12">
        <f>_xlfn.XLOOKUP(TableDailySummary[[#This Row],[Fecha]],SummaryDaily[day],SummaryDaily[Rappi_net_sales],0)</f>
        <v>130252.1</v>
      </c>
      <c r="S336" s="12">
        <f>_xlfn.XLOOKUP(TableDailySummary[[#This Row],[Fecha]],SummaryDaily[day],SummaryDaily[Rappi_orders],0)</f>
        <v>1</v>
      </c>
      <c r="T336" s="12">
        <f>_xlfn.XLOOKUP(TableDailySummary[[#This Row],[Fecha]],SummaryDaily[day],SummaryDaily[Rappi_average_order_value],0)</f>
        <v>130252.1</v>
      </c>
      <c r="U336" s="12">
        <f>_xlfn.XLOOKUP(TableDailySummary[[#This Row],[Fecha]],SummaryDaily[day],SummaryDaily[Corporativo no tienda_net_sales],0)</f>
        <v>0</v>
      </c>
      <c r="V336" s="12">
        <f>_xlfn.XLOOKUP(TableDailySummary[[#This Row],[Fecha]],SummaryDaily[day],SummaryDaily[Corporativo no tienda_orders],0)</f>
        <v>0</v>
      </c>
      <c r="W336" s="12">
        <f>_xlfn.XLOOKUP(TableDailySummary[[#This Row],[Fecha]],SummaryDaily[day],SummaryDaily[Corporativo no tienda_average_order_value],0)</f>
        <v>0</v>
      </c>
      <c r="X336" s="12">
        <f>_xlfn.XLOOKUP(TableDailySummary[[#This Row],[Fecha]],SummaryDaily[day],SummaryDaily[GoogleAdsOperation.Cost],0)</f>
        <v>61517.66</v>
      </c>
      <c r="Y336" s="12">
        <f>SUMIFS(SalesByUTMDaily[google],SalesByUTMDaily[day],TableDailySummary[[#This Row],[Fecha]])</f>
        <v>0</v>
      </c>
      <c r="Z336" s="12">
        <f>_xlfn.XLOOKUP(TableDailySummary[[#This Row],[Fecha]],SummaryDaily[day],SummaryDaily[MetaAdsOperation.spend],0)</f>
        <v>47546</v>
      </c>
      <c r="AA336" s="12">
        <f>SUMIFS(SalesByUTMDaily[facebook],SalesByUTMDaily[day],TableDailySummary[[#This Row],[Fecha]])</f>
        <v>0</v>
      </c>
      <c r="AB336" s="12">
        <f>TableDailySummary[[#This Row],[Inversión google ads]]+TableDailySummary[[#This Row],[Inversión meta ads]]</f>
        <v>109063.66</v>
      </c>
      <c r="AC336" s="12">
        <f>TableDailySummary[[#This Row],[Ventas google ads]]+TableDailySummary[[#This Row],[Ventas meta ads]]</f>
        <v>0</v>
      </c>
      <c r="AD336" s="14">
        <f>IFERROR(TableDailySummary[[#This Row],[Ventas publicidad]]/TableDailySummary[[#This Row],[Inversión publicidad]],0)</f>
        <v>0</v>
      </c>
      <c r="AE336" s="14">
        <f>IFERROR(TableDailySummary[[#This Row],[Ventas primer cliente]]/TableDailySummary[[#This Row],[Inversión publicidad]],0)</f>
        <v>5.4832673871388504</v>
      </c>
      <c r="AF336" s="14"/>
      <c r="AG336" s="12"/>
      <c r="AM336" s="12">
        <f>_xlfn.XLOOKUP(TableDailySummary[[#This Row],[Fecha]],SummaryDaily[day],SummaryDaily[net_sales_with_cost_recorded],0)</f>
        <v>2190462.2000000002</v>
      </c>
      <c r="AN336" s="12">
        <f>_xlfn.XLOOKUP(TableDailySummary[[#This Row],[Fecha]],SummaryDaily[day],SummaryDaily[cost_of_goods_sold],0)</f>
        <v>504534</v>
      </c>
      <c r="AO336" s="12">
        <f>_xlfn.XLOOKUP(TableDailySummary[[#This Row],[Fecha]],SummaryDaily[day],SummaryDaily[gross_profit],0)</f>
        <v>1685928.2</v>
      </c>
      <c r="AP336" s="18">
        <f>IFERROR(TableDailySummary[[#This Row],[Utilidad bruta]]/TableDailySummary[[#This Row],[Ventas netas con costo registrado]],0)</f>
        <v>0.76966778974775274</v>
      </c>
    </row>
    <row r="337" spans="2:42" x14ac:dyDescent="0.2">
      <c r="B337" s="15" cm="1">
        <f t="array" ref="B337">MIN(SummaryDaily[day]) + (ROW(TableDailySummary[#This Row]) - ROW(TableDailySummary[[#Headers],[Dia]]) - 1)</f>
        <v>46108</v>
      </c>
      <c r="C337" s="6">
        <f>TableDailySummary[[#This Row],[Dia]]</f>
        <v>46108</v>
      </c>
      <c r="D337" s="12">
        <f>_xlfn.XLOOKUP(TableDailySummary[[#This Row],[Fecha]],SummaryDaily[day],SummaryDaily[net_sales],0)</f>
        <v>2785672.27</v>
      </c>
      <c r="E337" s="12">
        <f>_xlfn.XLOOKUP(TableDailySummary[[#This Row],[Fecha]],SummaryDaily[day],SummaryDaily[orders],0)</f>
        <v>22</v>
      </c>
      <c r="F337" s="12">
        <f>_xlfn.XLOOKUP(TableDailySummary[[#This Row],[Fecha]],SummaryDaily[day],SummaryDaily[average_order_value],0)</f>
        <v>126621.466</v>
      </c>
      <c r="G337" s="24">
        <f>_xlfn.XLOOKUP(TableDailySummary[[#This Row],[Fecha]],SummaryDaily[day],SummaryDaily[Total site_conversion_rate],0)</f>
        <v>9.8039215686274508E-3</v>
      </c>
      <c r="H337" s="12">
        <f>TableDailySummary[[#This Row],[Órden promedio totales]]*TableDailySummary[[#This Row],[CR totales]]</f>
        <v>1241.3869215686275</v>
      </c>
      <c r="I337" s="12">
        <f>_xlfn.XLOOKUP(TableDailySummary[[#This Row],[Fecha]],SummaryDaily[day],SummaryDaily[new_net_sales],0)</f>
        <v>1186260.5</v>
      </c>
      <c r="J337" s="12">
        <f>_xlfn.XLOOKUP(TableDailySummary[[#This Row],[Fecha]],SummaryDaily[day],SummaryDaily[new_orders],0)</f>
        <v>9</v>
      </c>
      <c r="K337" s="12">
        <f>_xlfn.XLOOKUP(TableDailySummary[[#This Row],[Fecha]],SummaryDaily[day],SummaryDaily[new_average_order_value],0)</f>
        <v>131806.72200000001</v>
      </c>
      <c r="L337" s="12">
        <f>_xlfn.XLOOKUP(TableDailySummary[[#This Row],[Fecha]],SummaryDaily[day],SummaryDaily[Online Store_net_sales],0)</f>
        <v>1008403.36</v>
      </c>
      <c r="M337" s="12">
        <f>_xlfn.XLOOKUP(TableDailySummary[[#This Row],[Fecha]],SummaryDaily[day],SummaryDaily[Online Store_orders],0)</f>
        <v>7</v>
      </c>
      <c r="N337" s="12">
        <f>_xlfn.XLOOKUP(TableDailySummary[[#This Row],[Fecha]],SummaryDaily[day],SummaryDaily[Online Store_average_order_value],0)</f>
        <v>144057.622</v>
      </c>
      <c r="O337" s="12">
        <f>_xlfn.XLOOKUP(TableDailySummary[[#This Row],[Fecha]],SummaryDaily[day],SummaryDaily[Tienda 81_net_sales],0)</f>
        <v>1777268.91</v>
      </c>
      <c r="P337" s="12">
        <f>_xlfn.XLOOKUP(TableDailySummary[[#This Row],[Fecha]],SummaryDaily[day],SummaryDaily[Tienda 81_orders],0)</f>
        <v>15</v>
      </c>
      <c r="Q337" s="12">
        <f>_xlfn.XLOOKUP(TableDailySummary[[#This Row],[Fecha]],SummaryDaily[day],SummaryDaily[Tienda 81_average_order_value],0)</f>
        <v>118484.594</v>
      </c>
      <c r="R337" s="12">
        <f>_xlfn.XLOOKUP(TableDailySummary[[#This Row],[Fecha]],SummaryDaily[day],SummaryDaily[Rappi_net_sales],0)</f>
        <v>0</v>
      </c>
      <c r="S337" s="12">
        <f>_xlfn.XLOOKUP(TableDailySummary[[#This Row],[Fecha]],SummaryDaily[day],SummaryDaily[Rappi_orders],0)</f>
        <v>0</v>
      </c>
      <c r="T337" s="12">
        <f>_xlfn.XLOOKUP(TableDailySummary[[#This Row],[Fecha]],SummaryDaily[day],SummaryDaily[Rappi_average_order_value],0)</f>
        <v>0</v>
      </c>
      <c r="U337" s="12">
        <f>_xlfn.XLOOKUP(TableDailySummary[[#This Row],[Fecha]],SummaryDaily[day],SummaryDaily[Corporativo no tienda_net_sales],0)</f>
        <v>0</v>
      </c>
      <c r="V337" s="12">
        <f>_xlfn.XLOOKUP(TableDailySummary[[#This Row],[Fecha]],SummaryDaily[day],SummaryDaily[Corporativo no tienda_orders],0)</f>
        <v>0</v>
      </c>
      <c r="W337" s="12">
        <f>_xlfn.XLOOKUP(TableDailySummary[[#This Row],[Fecha]],SummaryDaily[day],SummaryDaily[Corporativo no tienda_average_order_value],0)</f>
        <v>0</v>
      </c>
      <c r="X337" s="12">
        <f>_xlfn.XLOOKUP(TableDailySummary[[#This Row],[Fecha]],SummaryDaily[day],SummaryDaily[GoogleAdsOperation.Cost],0)</f>
        <v>54098.02</v>
      </c>
      <c r="Y337" s="12">
        <f>SUMIFS(SalesByUTMDaily[google],SalesByUTMDaily[day],TableDailySummary[[#This Row],[Fecha]])</f>
        <v>0</v>
      </c>
      <c r="Z337" s="12">
        <f>_xlfn.XLOOKUP(TableDailySummary[[#This Row],[Fecha]],SummaryDaily[day],SummaryDaily[MetaAdsOperation.spend],0)</f>
        <v>47899</v>
      </c>
      <c r="AA337" s="12">
        <f>SUMIFS(SalesByUTMDaily[facebook],SalesByUTMDaily[day],TableDailySummary[[#This Row],[Fecha]])</f>
        <v>0</v>
      </c>
      <c r="AB337" s="12">
        <f>TableDailySummary[[#This Row],[Inversión google ads]]+TableDailySummary[[#This Row],[Inversión meta ads]]</f>
        <v>101997.01999999999</v>
      </c>
      <c r="AC337" s="12">
        <f>TableDailySummary[[#This Row],[Ventas google ads]]+TableDailySummary[[#This Row],[Ventas meta ads]]</f>
        <v>0</v>
      </c>
      <c r="AD337" s="14">
        <f>IFERROR(TableDailySummary[[#This Row],[Ventas publicidad]]/TableDailySummary[[#This Row],[Inversión publicidad]],0)</f>
        <v>0</v>
      </c>
      <c r="AE337" s="14">
        <f>IFERROR(TableDailySummary[[#This Row],[Ventas primer cliente]]/TableDailySummary[[#This Row],[Inversión publicidad]],0)</f>
        <v>11.630344690462527</v>
      </c>
      <c r="AF337" s="14"/>
      <c r="AG337" s="12"/>
      <c r="AM337" s="12">
        <f>_xlfn.XLOOKUP(TableDailySummary[[#This Row],[Fecha]],SummaryDaily[day],SummaryDaily[net_sales_with_cost_recorded],0)</f>
        <v>2785672.27</v>
      </c>
      <c r="AN337" s="12">
        <f>_xlfn.XLOOKUP(TableDailySummary[[#This Row],[Fecha]],SummaryDaily[day],SummaryDaily[cost_of_goods_sold],0)</f>
        <v>798919</v>
      </c>
      <c r="AO337" s="12">
        <f>_xlfn.XLOOKUP(TableDailySummary[[#This Row],[Fecha]],SummaryDaily[day],SummaryDaily[gross_profit],0)</f>
        <v>1986753.27</v>
      </c>
      <c r="AP337" s="18">
        <f>IFERROR(TableDailySummary[[#This Row],[Utilidad bruta]]/TableDailySummary[[#This Row],[Ventas netas con costo registrado]],0)</f>
        <v>0.71320423848710679</v>
      </c>
    </row>
    <row r="338" spans="2:42" x14ac:dyDescent="0.2">
      <c r="B338" s="15" cm="1">
        <f t="array" ref="B338">MIN(SummaryDaily[day]) + (ROW(TableDailySummary[#This Row]) - ROW(TableDailySummary[[#Headers],[Dia]]) - 1)</f>
        <v>46109</v>
      </c>
      <c r="C338" s="6">
        <f>TableDailySummary[[#This Row],[Dia]]</f>
        <v>46109</v>
      </c>
      <c r="D338" s="12">
        <f>_xlfn.XLOOKUP(TableDailySummary[[#This Row],[Fecha]],SummaryDaily[day],SummaryDaily[net_sales],0)</f>
        <v>5549226.8899999997</v>
      </c>
      <c r="E338" s="12">
        <f>_xlfn.XLOOKUP(TableDailySummary[[#This Row],[Fecha]],SummaryDaily[day],SummaryDaily[orders],0)</f>
        <v>29</v>
      </c>
      <c r="F338" s="12">
        <f>_xlfn.XLOOKUP(TableDailySummary[[#This Row],[Fecha]],SummaryDaily[day],SummaryDaily[average_order_value],0)</f>
        <v>195264.56099999999</v>
      </c>
      <c r="G338" s="24">
        <f>_xlfn.XLOOKUP(TableDailySummary[[#This Row],[Fecha]],SummaryDaily[day],SummaryDaily[Total site_conversion_rate],0)</f>
        <v>3.4071550255536627E-3</v>
      </c>
      <c r="H338" s="12">
        <f>TableDailySummary[[#This Row],[Órden promedio totales]]*TableDailySummary[[#This Row],[CR totales]]</f>
        <v>665.29663032367966</v>
      </c>
      <c r="I338" s="12">
        <f>_xlfn.XLOOKUP(TableDailySummary[[#This Row],[Fecha]],SummaryDaily[day],SummaryDaily[new_net_sales],0)</f>
        <v>1726890.76</v>
      </c>
      <c r="J338" s="12">
        <f>_xlfn.XLOOKUP(TableDailySummary[[#This Row],[Fecha]],SummaryDaily[day],SummaryDaily[new_orders],0)</f>
        <v>5</v>
      </c>
      <c r="K338" s="12">
        <f>_xlfn.XLOOKUP(TableDailySummary[[#This Row],[Fecha]],SummaryDaily[day],SummaryDaily[new_average_order_value],0)</f>
        <v>345378.152</v>
      </c>
      <c r="L338" s="12">
        <f>_xlfn.XLOOKUP(TableDailySummary[[#This Row],[Fecha]],SummaryDaily[day],SummaryDaily[Online Store_net_sales],0)</f>
        <v>1357142.86</v>
      </c>
      <c r="M338" s="12">
        <f>_xlfn.XLOOKUP(TableDailySummary[[#This Row],[Fecha]],SummaryDaily[day],SummaryDaily[Online Store_orders],0)</f>
        <v>2</v>
      </c>
      <c r="N338" s="12">
        <f>_xlfn.XLOOKUP(TableDailySummary[[#This Row],[Fecha]],SummaryDaily[day],SummaryDaily[Online Store_average_order_value],0)</f>
        <v>678571.43</v>
      </c>
      <c r="O338" s="12">
        <f>_xlfn.XLOOKUP(TableDailySummary[[#This Row],[Fecha]],SummaryDaily[day],SummaryDaily[Tienda 81_net_sales],0)</f>
        <v>4192084.03</v>
      </c>
      <c r="P338" s="12">
        <f>_xlfn.XLOOKUP(TableDailySummary[[#This Row],[Fecha]],SummaryDaily[day],SummaryDaily[Tienda 81_orders],0)</f>
        <v>27</v>
      </c>
      <c r="Q338" s="12">
        <f>_xlfn.XLOOKUP(TableDailySummary[[#This Row],[Fecha]],SummaryDaily[day],SummaryDaily[Tienda 81_average_order_value],0)</f>
        <v>159464.052</v>
      </c>
      <c r="R338" s="12">
        <f>_xlfn.XLOOKUP(TableDailySummary[[#This Row],[Fecha]],SummaryDaily[day],SummaryDaily[Rappi_net_sales],0)</f>
        <v>0</v>
      </c>
      <c r="S338" s="12">
        <f>_xlfn.XLOOKUP(TableDailySummary[[#This Row],[Fecha]],SummaryDaily[day],SummaryDaily[Rappi_orders],0)</f>
        <v>0</v>
      </c>
      <c r="T338" s="12">
        <f>_xlfn.XLOOKUP(TableDailySummary[[#This Row],[Fecha]],SummaryDaily[day],SummaryDaily[Rappi_average_order_value],0)</f>
        <v>0</v>
      </c>
      <c r="U338" s="12">
        <f>_xlfn.XLOOKUP(TableDailySummary[[#This Row],[Fecha]],SummaryDaily[day],SummaryDaily[Corporativo no tienda_net_sales],0)</f>
        <v>0</v>
      </c>
      <c r="V338" s="12">
        <f>_xlfn.XLOOKUP(TableDailySummary[[#This Row],[Fecha]],SummaryDaily[day],SummaryDaily[Corporativo no tienda_orders],0)</f>
        <v>0</v>
      </c>
      <c r="W338" s="12">
        <f>_xlfn.XLOOKUP(TableDailySummary[[#This Row],[Fecha]],SummaryDaily[day],SummaryDaily[Corporativo no tienda_average_order_value],0)</f>
        <v>0</v>
      </c>
      <c r="X338" s="12">
        <f>_xlfn.XLOOKUP(TableDailySummary[[#This Row],[Fecha]],SummaryDaily[day],SummaryDaily[GoogleAdsOperation.Cost],0)</f>
        <v>47914.7</v>
      </c>
      <c r="Y338" s="12">
        <f>SUMIFS(SalesByUTMDaily[google],SalesByUTMDaily[day],TableDailySummary[[#This Row],[Fecha]])</f>
        <v>0</v>
      </c>
      <c r="Z338" s="12">
        <f>_xlfn.XLOOKUP(TableDailySummary[[#This Row],[Fecha]],SummaryDaily[day],SummaryDaily[MetaAdsOperation.spend],0)</f>
        <v>51414</v>
      </c>
      <c r="AA338" s="12">
        <f>SUMIFS(SalesByUTMDaily[facebook],SalesByUTMDaily[day],TableDailySummary[[#This Row],[Fecha]])</f>
        <v>0</v>
      </c>
      <c r="AB338" s="12">
        <f>TableDailySummary[[#This Row],[Inversión google ads]]+TableDailySummary[[#This Row],[Inversión meta ads]]</f>
        <v>99328.7</v>
      </c>
      <c r="AC338" s="12">
        <f>TableDailySummary[[#This Row],[Ventas google ads]]+TableDailySummary[[#This Row],[Ventas meta ads]]</f>
        <v>0</v>
      </c>
      <c r="AD338" s="14">
        <f>IFERROR(TableDailySummary[[#This Row],[Ventas publicidad]]/TableDailySummary[[#This Row],[Inversión publicidad]],0)</f>
        <v>0</v>
      </c>
      <c r="AE338" s="14">
        <f>IFERROR(TableDailySummary[[#This Row],[Ventas primer cliente]]/TableDailySummary[[#This Row],[Inversión publicidad]],0)</f>
        <v>17.385617248589785</v>
      </c>
      <c r="AF338" s="14"/>
      <c r="AG338" s="12"/>
      <c r="AM338" s="12">
        <f>_xlfn.XLOOKUP(TableDailySummary[[#This Row],[Fecha]],SummaryDaily[day],SummaryDaily[net_sales_with_cost_recorded],0)</f>
        <v>5477798.3200000003</v>
      </c>
      <c r="AN338" s="12">
        <f>_xlfn.XLOOKUP(TableDailySummary[[#This Row],[Fecha]],SummaryDaily[day],SummaryDaily[cost_of_goods_sold],0)</f>
        <v>1552848</v>
      </c>
      <c r="AO338" s="12">
        <f>_xlfn.XLOOKUP(TableDailySummary[[#This Row],[Fecha]],SummaryDaily[day],SummaryDaily[gross_profit],0)</f>
        <v>3924950.32</v>
      </c>
      <c r="AP338" s="18">
        <f>IFERROR(TableDailySummary[[#This Row],[Utilidad bruta]]/TableDailySummary[[#This Row],[Ventas netas con costo registrado]],0)</f>
        <v>0.71651968376959152</v>
      </c>
    </row>
    <row r="339" spans="2:42" x14ac:dyDescent="0.2">
      <c r="B339" s="15" cm="1">
        <f t="array" ref="B339">MIN(SummaryDaily[day]) + (ROW(TableDailySummary[#This Row]) - ROW(TableDailySummary[[#Headers],[Dia]]) - 1)</f>
        <v>46110</v>
      </c>
      <c r="C339" s="6">
        <f>TableDailySummary[[#This Row],[Dia]]</f>
        <v>46110</v>
      </c>
      <c r="D339" s="12">
        <f>_xlfn.XLOOKUP(TableDailySummary[[#This Row],[Fecha]],SummaryDaily[day],SummaryDaily[net_sales],0)</f>
        <v>2288235.29</v>
      </c>
      <c r="E339" s="12">
        <f>_xlfn.XLOOKUP(TableDailySummary[[#This Row],[Fecha]],SummaryDaily[day],SummaryDaily[orders],0)</f>
        <v>10</v>
      </c>
      <c r="F339" s="12">
        <f>_xlfn.XLOOKUP(TableDailySummary[[#This Row],[Fecha]],SummaryDaily[day],SummaryDaily[average_order_value],0)</f>
        <v>228823.52900000001</v>
      </c>
      <c r="G339" s="24">
        <f>_xlfn.XLOOKUP(TableDailySummary[[#This Row],[Fecha]],SummaryDaily[day],SummaryDaily[Total site_conversion_rate],0)</f>
        <v>0</v>
      </c>
      <c r="H339" s="12">
        <f>TableDailySummary[[#This Row],[Órden promedio totales]]*TableDailySummary[[#This Row],[CR totales]]</f>
        <v>0</v>
      </c>
      <c r="I339" s="12">
        <f>_xlfn.XLOOKUP(TableDailySummary[[#This Row],[Fecha]],SummaryDaily[day],SummaryDaily[new_net_sales],0)</f>
        <v>512605.04</v>
      </c>
      <c r="J339" s="12">
        <f>_xlfn.XLOOKUP(TableDailySummary[[#This Row],[Fecha]],SummaryDaily[day],SummaryDaily[new_orders],0)</f>
        <v>1</v>
      </c>
      <c r="K339" s="12">
        <f>_xlfn.XLOOKUP(TableDailySummary[[#This Row],[Fecha]],SummaryDaily[day],SummaryDaily[new_average_order_value],0)</f>
        <v>512605.04</v>
      </c>
      <c r="L339" s="12">
        <f>_xlfn.XLOOKUP(TableDailySummary[[#This Row],[Fecha]],SummaryDaily[day],SummaryDaily[Online Store_net_sales],0)</f>
        <v>15126.05</v>
      </c>
      <c r="M339" s="12">
        <f>_xlfn.XLOOKUP(TableDailySummary[[#This Row],[Fecha]],SummaryDaily[day],SummaryDaily[Online Store_orders],0)</f>
        <v>1</v>
      </c>
      <c r="N339" s="12">
        <f>_xlfn.XLOOKUP(TableDailySummary[[#This Row],[Fecha]],SummaryDaily[day],SummaryDaily[Online Store_average_order_value],0)</f>
        <v>15126.05</v>
      </c>
      <c r="O339" s="12">
        <f>_xlfn.XLOOKUP(TableDailySummary[[#This Row],[Fecha]],SummaryDaily[day],SummaryDaily[Tienda 81_net_sales],0)</f>
        <v>2273109.2400000002</v>
      </c>
      <c r="P339" s="12">
        <f>_xlfn.XLOOKUP(TableDailySummary[[#This Row],[Fecha]],SummaryDaily[day],SummaryDaily[Tienda 81_orders],0)</f>
        <v>9</v>
      </c>
      <c r="Q339" s="12">
        <f>_xlfn.XLOOKUP(TableDailySummary[[#This Row],[Fecha]],SummaryDaily[day],SummaryDaily[Tienda 81_average_order_value],0)</f>
        <v>252567.693</v>
      </c>
      <c r="R339" s="12">
        <f>_xlfn.XLOOKUP(TableDailySummary[[#This Row],[Fecha]],SummaryDaily[day],SummaryDaily[Rappi_net_sales],0)</f>
        <v>0</v>
      </c>
      <c r="S339" s="12">
        <f>_xlfn.XLOOKUP(TableDailySummary[[#This Row],[Fecha]],SummaryDaily[day],SummaryDaily[Rappi_orders],0)</f>
        <v>0</v>
      </c>
      <c r="T339" s="12">
        <f>_xlfn.XLOOKUP(TableDailySummary[[#This Row],[Fecha]],SummaryDaily[day],SummaryDaily[Rappi_average_order_value],0)</f>
        <v>0</v>
      </c>
      <c r="U339" s="12">
        <f>_xlfn.XLOOKUP(TableDailySummary[[#This Row],[Fecha]],SummaryDaily[day],SummaryDaily[Corporativo no tienda_net_sales],0)</f>
        <v>0</v>
      </c>
      <c r="V339" s="12">
        <f>_xlfn.XLOOKUP(TableDailySummary[[#This Row],[Fecha]],SummaryDaily[day],SummaryDaily[Corporativo no tienda_orders],0)</f>
        <v>0</v>
      </c>
      <c r="W339" s="12">
        <f>_xlfn.XLOOKUP(TableDailySummary[[#This Row],[Fecha]],SummaryDaily[day],SummaryDaily[Corporativo no tienda_average_order_value],0)</f>
        <v>0</v>
      </c>
      <c r="X339" s="12">
        <f>_xlfn.XLOOKUP(TableDailySummary[[#This Row],[Fecha]],SummaryDaily[day],SummaryDaily[GoogleAdsOperation.Cost],0)</f>
        <v>37351.1</v>
      </c>
      <c r="Y339" s="12">
        <f>SUMIFS(SalesByUTMDaily[google],SalesByUTMDaily[day],TableDailySummary[[#This Row],[Fecha]])</f>
        <v>0</v>
      </c>
      <c r="Z339" s="12">
        <f>_xlfn.XLOOKUP(TableDailySummary[[#This Row],[Fecha]],SummaryDaily[day],SummaryDaily[MetaAdsOperation.spend],0)</f>
        <v>53996</v>
      </c>
      <c r="AA339" s="12">
        <f>SUMIFS(SalesByUTMDaily[facebook],SalesByUTMDaily[day],TableDailySummary[[#This Row],[Fecha]])</f>
        <v>0</v>
      </c>
      <c r="AB339" s="12">
        <f>TableDailySummary[[#This Row],[Inversión google ads]]+TableDailySummary[[#This Row],[Inversión meta ads]]</f>
        <v>91347.1</v>
      </c>
      <c r="AC339" s="12">
        <f>TableDailySummary[[#This Row],[Ventas google ads]]+TableDailySummary[[#This Row],[Ventas meta ads]]</f>
        <v>0</v>
      </c>
      <c r="AD339" s="14">
        <f>IFERROR(TableDailySummary[[#This Row],[Ventas publicidad]]/TableDailySummary[[#This Row],[Inversión publicidad]],0)</f>
        <v>0</v>
      </c>
      <c r="AE339" s="14">
        <f>IFERROR(TableDailySummary[[#This Row],[Ventas primer cliente]]/TableDailySummary[[#This Row],[Inversión publicidad]],0)</f>
        <v>5.6116181028188077</v>
      </c>
      <c r="AF339" s="14"/>
      <c r="AG339" s="12"/>
      <c r="AM339" s="12">
        <f>_xlfn.XLOOKUP(TableDailySummary[[#This Row],[Fecha]],SummaryDaily[day],SummaryDaily[net_sales_with_cost_recorded],0)</f>
        <v>2288235.29</v>
      </c>
      <c r="AN339" s="12">
        <f>_xlfn.XLOOKUP(TableDailySummary[[#This Row],[Fecha]],SummaryDaily[day],SummaryDaily[cost_of_goods_sold],0)</f>
        <v>658555</v>
      </c>
      <c r="AO339" s="12">
        <f>_xlfn.XLOOKUP(TableDailySummary[[#This Row],[Fecha]],SummaryDaily[day],SummaryDaily[gross_profit],0)</f>
        <v>1629680.29</v>
      </c>
      <c r="AP339" s="18">
        <f>IFERROR(TableDailySummary[[#This Row],[Utilidad bruta]]/TableDailySummary[[#This Row],[Ventas netas con costo registrado]],0)</f>
        <v>0.71219961387799413</v>
      </c>
    </row>
    <row r="340" spans="2:42" x14ac:dyDescent="0.2">
      <c r="B340" s="15" cm="1">
        <f t="array" ref="B340">MIN(SummaryDaily[day]) + (ROW(TableDailySummary[#This Row]) - ROW(TableDailySummary[[#Headers],[Dia]]) - 1)</f>
        <v>46111</v>
      </c>
      <c r="C340" s="6">
        <f>TableDailySummary[[#This Row],[Dia]]</f>
        <v>46111</v>
      </c>
      <c r="D340" s="12">
        <f>_xlfn.XLOOKUP(TableDailySummary[[#This Row],[Fecha]],SummaryDaily[day],SummaryDaily[net_sales],0)</f>
        <v>2382352.94</v>
      </c>
      <c r="E340" s="12">
        <f>_xlfn.XLOOKUP(TableDailySummary[[#This Row],[Fecha]],SummaryDaily[day],SummaryDaily[orders],0)</f>
        <v>10</v>
      </c>
      <c r="F340" s="12">
        <f>_xlfn.XLOOKUP(TableDailySummary[[#This Row],[Fecha]],SummaryDaily[day],SummaryDaily[average_order_value],0)</f>
        <v>238235.29399999999</v>
      </c>
      <c r="G340" s="24">
        <f>_xlfn.XLOOKUP(TableDailySummary[[#This Row],[Fecha]],SummaryDaily[day],SummaryDaily[Total site_conversion_rate],0)</f>
        <v>7.619047619047619E-3</v>
      </c>
      <c r="H340" s="12">
        <f>TableDailySummary[[#This Row],[Órden promedio totales]]*TableDailySummary[[#This Row],[CR totales]]</f>
        <v>1815.1260495238096</v>
      </c>
      <c r="I340" s="12">
        <f>_xlfn.XLOOKUP(TableDailySummary[[#This Row],[Fecha]],SummaryDaily[day],SummaryDaily[new_net_sales],0)</f>
        <v>138655.46</v>
      </c>
      <c r="J340" s="12">
        <f>_xlfn.XLOOKUP(TableDailySummary[[#This Row],[Fecha]],SummaryDaily[day],SummaryDaily[new_orders],0)</f>
        <v>2</v>
      </c>
      <c r="K340" s="12">
        <f>_xlfn.XLOOKUP(TableDailySummary[[#This Row],[Fecha]],SummaryDaily[day],SummaryDaily[new_average_order_value],0)</f>
        <v>69327.73</v>
      </c>
      <c r="L340" s="12">
        <f>_xlfn.XLOOKUP(TableDailySummary[[#This Row],[Fecha]],SummaryDaily[day],SummaryDaily[Online Store_net_sales],0)</f>
        <v>407563.03</v>
      </c>
      <c r="M340" s="12">
        <f>_xlfn.XLOOKUP(TableDailySummary[[#This Row],[Fecha]],SummaryDaily[day],SummaryDaily[Online Store_orders],0)</f>
        <v>3</v>
      </c>
      <c r="N340" s="12">
        <f>_xlfn.XLOOKUP(TableDailySummary[[#This Row],[Fecha]],SummaryDaily[day],SummaryDaily[Online Store_average_order_value],0)</f>
        <v>135854.34299999999</v>
      </c>
      <c r="O340" s="12">
        <f>_xlfn.XLOOKUP(TableDailySummary[[#This Row],[Fecha]],SummaryDaily[day],SummaryDaily[Tienda 81_net_sales],0)</f>
        <v>1974789.91</v>
      </c>
      <c r="P340" s="12">
        <f>_xlfn.XLOOKUP(TableDailySummary[[#This Row],[Fecha]],SummaryDaily[day],SummaryDaily[Tienda 81_orders],0)</f>
        <v>7</v>
      </c>
      <c r="Q340" s="12">
        <f>_xlfn.XLOOKUP(TableDailySummary[[#This Row],[Fecha]],SummaryDaily[day],SummaryDaily[Tienda 81_average_order_value],0)</f>
        <v>282112.84399999998</v>
      </c>
      <c r="R340" s="12">
        <f>_xlfn.XLOOKUP(TableDailySummary[[#This Row],[Fecha]],SummaryDaily[day],SummaryDaily[Rappi_net_sales],0)</f>
        <v>0</v>
      </c>
      <c r="S340" s="12">
        <f>_xlfn.XLOOKUP(TableDailySummary[[#This Row],[Fecha]],SummaryDaily[day],SummaryDaily[Rappi_orders],0)</f>
        <v>0</v>
      </c>
      <c r="T340" s="12">
        <f>_xlfn.XLOOKUP(TableDailySummary[[#This Row],[Fecha]],SummaryDaily[day],SummaryDaily[Rappi_average_order_value],0)</f>
        <v>0</v>
      </c>
      <c r="U340" s="12">
        <f>_xlfn.XLOOKUP(TableDailySummary[[#This Row],[Fecha]],SummaryDaily[day],SummaryDaily[Corporativo no tienda_net_sales],0)</f>
        <v>0</v>
      </c>
      <c r="V340" s="12">
        <f>_xlfn.XLOOKUP(TableDailySummary[[#This Row],[Fecha]],SummaryDaily[day],SummaryDaily[Corporativo no tienda_orders],0)</f>
        <v>0</v>
      </c>
      <c r="W340" s="12">
        <f>_xlfn.XLOOKUP(TableDailySummary[[#This Row],[Fecha]],SummaryDaily[day],SummaryDaily[Corporativo no tienda_average_order_value],0)</f>
        <v>0</v>
      </c>
      <c r="X340" s="12">
        <f>_xlfn.XLOOKUP(TableDailySummary[[#This Row],[Fecha]],SummaryDaily[day],SummaryDaily[GoogleAdsOperation.Cost],0)</f>
        <v>55574.55</v>
      </c>
      <c r="Y340" s="12">
        <f>SUMIFS(SalesByUTMDaily[google],SalesByUTMDaily[day],TableDailySummary[[#This Row],[Fecha]])</f>
        <v>0</v>
      </c>
      <c r="Z340" s="12">
        <f>_xlfn.XLOOKUP(TableDailySummary[[#This Row],[Fecha]],SummaryDaily[day],SummaryDaily[MetaAdsOperation.spend],0)</f>
        <v>50356</v>
      </c>
      <c r="AA340" s="12">
        <f>SUMIFS(SalesByUTMDaily[facebook],SalesByUTMDaily[day],TableDailySummary[[#This Row],[Fecha]])</f>
        <v>0</v>
      </c>
      <c r="AB340" s="12">
        <f>TableDailySummary[[#This Row],[Inversión google ads]]+TableDailySummary[[#This Row],[Inversión meta ads]]</f>
        <v>105930.55</v>
      </c>
      <c r="AC340" s="12">
        <f>TableDailySummary[[#This Row],[Ventas google ads]]+TableDailySummary[[#This Row],[Ventas meta ads]]</f>
        <v>0</v>
      </c>
      <c r="AD340" s="14">
        <f>IFERROR(TableDailySummary[[#This Row],[Ventas publicidad]]/TableDailySummary[[#This Row],[Inversión publicidad]],0)</f>
        <v>0</v>
      </c>
      <c r="AE340" s="14">
        <f>IFERROR(TableDailySummary[[#This Row],[Ventas primer cliente]]/TableDailySummary[[#This Row],[Inversión publicidad]],0)</f>
        <v>1.3089279721477891</v>
      </c>
      <c r="AF340" s="14"/>
      <c r="AG340" s="12"/>
      <c r="AM340" s="12">
        <f>_xlfn.XLOOKUP(TableDailySummary[[#This Row],[Fecha]],SummaryDaily[day],SummaryDaily[net_sales_with_cost_recorded],0)</f>
        <v>2382352.94</v>
      </c>
      <c r="AN340" s="12">
        <f>_xlfn.XLOOKUP(TableDailySummary[[#This Row],[Fecha]],SummaryDaily[day],SummaryDaily[cost_of_goods_sold],0)</f>
        <v>648284</v>
      </c>
      <c r="AO340" s="12">
        <f>_xlfn.XLOOKUP(TableDailySummary[[#This Row],[Fecha]],SummaryDaily[day],SummaryDaily[gross_profit],0)</f>
        <v>1734068.94</v>
      </c>
      <c r="AP340" s="18">
        <f>IFERROR(TableDailySummary[[#This Row],[Utilidad bruta]]/TableDailySummary[[#This Row],[Ventas netas con costo registrado]],0)</f>
        <v>0.7278807899890769</v>
      </c>
    </row>
    <row r="341" spans="2:42" x14ac:dyDescent="0.2">
      <c r="B341" s="15" cm="1">
        <f t="array" ref="B341">MIN(SummaryDaily[day]) + (ROW(TableDailySummary[#This Row]) - ROW(TableDailySummary[[#Headers],[Dia]]) - 1)</f>
        <v>46112</v>
      </c>
      <c r="C341" s="6">
        <f>TableDailySummary[[#This Row],[Dia]]</f>
        <v>46112</v>
      </c>
      <c r="D341" s="12">
        <f>_xlfn.XLOOKUP(TableDailySummary[[#This Row],[Fecha]],SummaryDaily[day],SummaryDaily[net_sales],0)</f>
        <v>2520327.73</v>
      </c>
      <c r="E341" s="12">
        <f>_xlfn.XLOOKUP(TableDailySummary[[#This Row],[Fecha]],SummaryDaily[day],SummaryDaily[orders],0)</f>
        <v>14</v>
      </c>
      <c r="F341" s="12">
        <f>_xlfn.XLOOKUP(TableDailySummary[[#This Row],[Fecha]],SummaryDaily[day],SummaryDaily[average_order_value],0)</f>
        <v>180023.40900000001</v>
      </c>
      <c r="G341" s="24">
        <f>_xlfn.XLOOKUP(TableDailySummary[[#This Row],[Fecha]],SummaryDaily[day],SummaryDaily[Total site_conversion_rate],0)</f>
        <v>9.5057034220532317E-3</v>
      </c>
      <c r="H341" s="12">
        <f>TableDailySummary[[#This Row],[Órden promedio totales]]*TableDailySummary[[#This Row],[CR totales]]</f>
        <v>1711.2491349809886</v>
      </c>
      <c r="I341" s="12">
        <f>_xlfn.XLOOKUP(TableDailySummary[[#This Row],[Fecha]],SummaryDaily[day],SummaryDaily[new_net_sales],0)</f>
        <v>684873.95</v>
      </c>
      <c r="J341" s="12">
        <f>_xlfn.XLOOKUP(TableDailySummary[[#This Row],[Fecha]],SummaryDaily[day],SummaryDaily[new_orders],0)</f>
        <v>5</v>
      </c>
      <c r="K341" s="12">
        <f>_xlfn.XLOOKUP(TableDailySummary[[#This Row],[Fecha]],SummaryDaily[day],SummaryDaily[new_average_order_value],0)</f>
        <v>136974.79</v>
      </c>
      <c r="L341" s="12">
        <f>_xlfn.XLOOKUP(TableDailySummary[[#This Row],[Fecha]],SummaryDaily[day],SummaryDaily[Online Store_net_sales],0)</f>
        <v>474789.91</v>
      </c>
      <c r="M341" s="12">
        <f>_xlfn.XLOOKUP(TableDailySummary[[#This Row],[Fecha]],SummaryDaily[day],SummaryDaily[Online Store_orders],0)</f>
        <v>4</v>
      </c>
      <c r="N341" s="12">
        <f>_xlfn.XLOOKUP(TableDailySummary[[#This Row],[Fecha]],SummaryDaily[day],SummaryDaily[Online Store_average_order_value],0)</f>
        <v>118697.477</v>
      </c>
      <c r="O341" s="12">
        <f>_xlfn.XLOOKUP(TableDailySummary[[#This Row],[Fecha]],SummaryDaily[day],SummaryDaily[Tienda 81_net_sales],0)</f>
        <v>1300873.95</v>
      </c>
      <c r="P341" s="12">
        <f>_xlfn.XLOOKUP(TableDailySummary[[#This Row],[Fecha]],SummaryDaily[day],SummaryDaily[Tienda 81_orders],0)</f>
        <v>9</v>
      </c>
      <c r="Q341" s="12">
        <f>_xlfn.XLOOKUP(TableDailySummary[[#This Row],[Fecha]],SummaryDaily[day],SummaryDaily[Tienda 81_average_order_value],0)</f>
        <v>144541.54999999999</v>
      </c>
      <c r="R341" s="12">
        <f>_xlfn.XLOOKUP(TableDailySummary[[#This Row],[Fecha]],SummaryDaily[day],SummaryDaily[Rappi_net_sales],0)</f>
        <v>0</v>
      </c>
      <c r="S341" s="12">
        <f>_xlfn.XLOOKUP(TableDailySummary[[#This Row],[Fecha]],SummaryDaily[day],SummaryDaily[Rappi_orders],0)</f>
        <v>0</v>
      </c>
      <c r="T341" s="12">
        <f>_xlfn.XLOOKUP(TableDailySummary[[#This Row],[Fecha]],SummaryDaily[day],SummaryDaily[Rappi_average_order_value],0)</f>
        <v>0</v>
      </c>
      <c r="U341" s="12">
        <f>_xlfn.XLOOKUP(TableDailySummary[[#This Row],[Fecha]],SummaryDaily[day],SummaryDaily[Corporativo no tienda_net_sales],0)</f>
        <v>744663.87</v>
      </c>
      <c r="V341" s="12">
        <f>_xlfn.XLOOKUP(TableDailySummary[[#This Row],[Fecha]],SummaryDaily[day],SummaryDaily[Corporativo no tienda_orders],0)</f>
        <v>1</v>
      </c>
      <c r="W341" s="12">
        <f>_xlfn.XLOOKUP(TableDailySummary[[#This Row],[Fecha]],SummaryDaily[day],SummaryDaily[Corporativo no tienda_average_order_value],0)</f>
        <v>744663.87</v>
      </c>
      <c r="X341" s="12">
        <f>_xlfn.XLOOKUP(TableDailySummary[[#This Row],[Fecha]],SummaryDaily[day],SummaryDaily[GoogleAdsOperation.Cost],0)</f>
        <v>45753.16</v>
      </c>
      <c r="Y341" s="12">
        <f>SUMIFS(SalesByUTMDaily[google],SalesByUTMDaily[day],TableDailySummary[[#This Row],[Fecha]])</f>
        <v>112000</v>
      </c>
      <c r="Z341" s="12">
        <f>_xlfn.XLOOKUP(TableDailySummary[[#This Row],[Fecha]],SummaryDaily[day],SummaryDaily[MetaAdsOperation.spend],0)</f>
        <v>55942</v>
      </c>
      <c r="AA341" s="12">
        <f>SUMIFS(SalesByUTMDaily[facebook],SalesByUTMDaily[day],TableDailySummary[[#This Row],[Fecha]])</f>
        <v>0</v>
      </c>
      <c r="AB341" s="12">
        <f>TableDailySummary[[#This Row],[Inversión google ads]]+TableDailySummary[[#This Row],[Inversión meta ads]]</f>
        <v>101695.16</v>
      </c>
      <c r="AC341" s="12">
        <f>TableDailySummary[[#This Row],[Ventas google ads]]+TableDailySummary[[#This Row],[Ventas meta ads]]</f>
        <v>112000</v>
      </c>
      <c r="AD341" s="14">
        <f>IFERROR(TableDailySummary[[#This Row],[Ventas publicidad]]/TableDailySummary[[#This Row],[Inversión publicidad]],0)</f>
        <v>1.10133068279749</v>
      </c>
      <c r="AE341" s="14">
        <f>IFERROR(TableDailySummary[[#This Row],[Ventas primer cliente]]/TableDailySummary[[#This Row],[Inversión publicidad]],0)</f>
        <v>6.7345776337831609</v>
      </c>
      <c r="AF341" s="14"/>
      <c r="AG341" s="12"/>
      <c r="AM341" s="12">
        <f>_xlfn.XLOOKUP(TableDailySummary[[#This Row],[Fecha]],SummaryDaily[day],SummaryDaily[net_sales_with_cost_recorded],0)</f>
        <v>2520327.73</v>
      </c>
      <c r="AN341" s="12">
        <f>_xlfn.XLOOKUP(TableDailySummary[[#This Row],[Fecha]],SummaryDaily[day],SummaryDaily[cost_of_goods_sold],0)</f>
        <v>470874</v>
      </c>
      <c r="AO341" s="12">
        <f>_xlfn.XLOOKUP(TableDailySummary[[#This Row],[Fecha]],SummaryDaily[day],SummaryDaily[gross_profit],0)</f>
        <v>2049453.73</v>
      </c>
      <c r="AP341" s="18">
        <f>IFERROR(TableDailySummary[[#This Row],[Utilidad bruta]]/TableDailySummary[[#This Row],[Ventas netas con costo registrado]],0)</f>
        <v>0.81316953569367745</v>
      </c>
    </row>
    <row r="342" spans="2:42" x14ac:dyDescent="0.2">
      <c r="B342" s="15" cm="1">
        <f t="array" ref="B342">MIN(SummaryDaily[day]) + (ROW(TableDailySummary[#This Row]) - ROW(TableDailySummary[[#Headers],[Dia]]) - 1)</f>
        <v>46113</v>
      </c>
      <c r="C342" s="6">
        <f>TableDailySummary[[#This Row],[Dia]]</f>
        <v>46113</v>
      </c>
      <c r="D342" s="12">
        <f>_xlfn.XLOOKUP(TableDailySummary[[#This Row],[Fecha]],SummaryDaily[day],SummaryDaily[net_sales],0)</f>
        <v>1685386.57</v>
      </c>
      <c r="E342" s="12">
        <f>_xlfn.XLOOKUP(TableDailySummary[[#This Row],[Fecha]],SummaryDaily[day],SummaryDaily[orders],0)</f>
        <v>17</v>
      </c>
      <c r="F342" s="12">
        <f>_xlfn.XLOOKUP(TableDailySummary[[#This Row],[Fecha]],SummaryDaily[day],SummaryDaily[average_order_value],0)</f>
        <v>99140.385999999999</v>
      </c>
      <c r="G342" s="24">
        <f>_xlfn.XLOOKUP(TableDailySummary[[#This Row],[Fecha]],SummaryDaily[day],SummaryDaily[Total site_conversion_rate],0)</f>
        <v>1.7636684303350969E-3</v>
      </c>
      <c r="H342" s="12">
        <f>TableDailySummary[[#This Row],[Órden promedio totales]]*TableDailySummary[[#This Row],[CR totales]]</f>
        <v>174.85076895943561</v>
      </c>
      <c r="I342" s="12">
        <f>_xlfn.XLOOKUP(TableDailySummary[[#This Row],[Fecha]],SummaryDaily[day],SummaryDaily[new_net_sales],0)</f>
        <v>134453.78</v>
      </c>
      <c r="J342" s="12">
        <f>_xlfn.XLOOKUP(TableDailySummary[[#This Row],[Fecha]],SummaryDaily[day],SummaryDaily[new_orders],0)</f>
        <v>2</v>
      </c>
      <c r="K342" s="12">
        <f>_xlfn.XLOOKUP(TableDailySummary[[#This Row],[Fecha]],SummaryDaily[day],SummaryDaily[new_average_order_value],0)</f>
        <v>67226.89</v>
      </c>
      <c r="L342" s="12">
        <f>_xlfn.XLOOKUP(TableDailySummary[[#This Row],[Fecha]],SummaryDaily[day],SummaryDaily[Online Store_net_sales],0)</f>
        <v>210084.03</v>
      </c>
      <c r="M342" s="12">
        <f>_xlfn.XLOOKUP(TableDailySummary[[#This Row],[Fecha]],SummaryDaily[day],SummaryDaily[Online Store_orders],0)</f>
        <v>1</v>
      </c>
      <c r="N342" s="12">
        <f>_xlfn.XLOOKUP(TableDailySummary[[#This Row],[Fecha]],SummaryDaily[day],SummaryDaily[Online Store_average_order_value],0)</f>
        <v>210084.03</v>
      </c>
      <c r="O342" s="12">
        <f>_xlfn.XLOOKUP(TableDailySummary[[#This Row],[Fecha]],SummaryDaily[day],SummaryDaily[Tienda 81_net_sales],0)</f>
        <v>1475302.54</v>
      </c>
      <c r="P342" s="12">
        <f>_xlfn.XLOOKUP(TableDailySummary[[#This Row],[Fecha]],SummaryDaily[day],SummaryDaily[Tienda 81_orders],0)</f>
        <v>16</v>
      </c>
      <c r="Q342" s="12">
        <f>_xlfn.XLOOKUP(TableDailySummary[[#This Row],[Fecha]],SummaryDaily[day],SummaryDaily[Tienda 81_average_order_value],0)</f>
        <v>92206.407999999996</v>
      </c>
      <c r="R342" s="12">
        <f>_xlfn.XLOOKUP(TableDailySummary[[#This Row],[Fecha]],SummaryDaily[day],SummaryDaily[Rappi_net_sales],0)</f>
        <v>0</v>
      </c>
      <c r="S342" s="12">
        <f>_xlfn.XLOOKUP(TableDailySummary[[#This Row],[Fecha]],SummaryDaily[day],SummaryDaily[Rappi_orders],0)</f>
        <v>0</v>
      </c>
      <c r="T342" s="12">
        <f>_xlfn.XLOOKUP(TableDailySummary[[#This Row],[Fecha]],SummaryDaily[day],SummaryDaily[Rappi_average_order_value],0)</f>
        <v>0</v>
      </c>
      <c r="U342" s="12">
        <f>_xlfn.XLOOKUP(TableDailySummary[[#This Row],[Fecha]],SummaryDaily[day],SummaryDaily[Corporativo no tienda_net_sales],0)</f>
        <v>0</v>
      </c>
      <c r="V342" s="12">
        <f>_xlfn.XLOOKUP(TableDailySummary[[#This Row],[Fecha]],SummaryDaily[day],SummaryDaily[Corporativo no tienda_orders],0)</f>
        <v>0</v>
      </c>
      <c r="W342" s="12">
        <f>_xlfn.XLOOKUP(TableDailySummary[[#This Row],[Fecha]],SummaryDaily[day],SummaryDaily[Corporativo no tienda_average_order_value],0)</f>
        <v>0</v>
      </c>
      <c r="X342" s="12">
        <f>_xlfn.XLOOKUP(TableDailySummary[[#This Row],[Fecha]],SummaryDaily[day],SummaryDaily[GoogleAdsOperation.Cost],0)</f>
        <v>49164.6</v>
      </c>
      <c r="Y342" s="12">
        <f>SUMIFS(SalesByUTMDaily[google],SalesByUTMDaily[day],TableDailySummary[[#This Row],[Fecha]])</f>
        <v>0</v>
      </c>
      <c r="Z342" s="12">
        <f>_xlfn.XLOOKUP(TableDailySummary[[#This Row],[Fecha]],SummaryDaily[day],SummaryDaily[MetaAdsOperation.spend],0)</f>
        <v>57783</v>
      </c>
      <c r="AA342" s="12">
        <f>SUMIFS(SalesByUTMDaily[facebook],SalesByUTMDaily[day],TableDailySummary[[#This Row],[Fecha]])</f>
        <v>0</v>
      </c>
      <c r="AB342" s="12">
        <f>TableDailySummary[[#This Row],[Inversión google ads]]+TableDailySummary[[#This Row],[Inversión meta ads]]</f>
        <v>106947.6</v>
      </c>
      <c r="AC342" s="12">
        <f>TableDailySummary[[#This Row],[Ventas google ads]]+TableDailySummary[[#This Row],[Ventas meta ads]]</f>
        <v>0</v>
      </c>
      <c r="AD342" s="14">
        <f>IFERROR(TableDailySummary[[#This Row],[Ventas publicidad]]/TableDailySummary[[#This Row],[Inversión publicidad]],0)</f>
        <v>0</v>
      </c>
      <c r="AE342" s="14">
        <f>IFERROR(TableDailySummary[[#This Row],[Ventas primer cliente]]/TableDailySummary[[#This Row],[Inversión publicidad]],0)</f>
        <v>1.2571930552906283</v>
      </c>
      <c r="AF342" s="14"/>
      <c r="AG342" s="12"/>
      <c r="AM342" s="12">
        <f>_xlfn.XLOOKUP(TableDailySummary[[#This Row],[Fecha]],SummaryDaily[day],SummaryDaily[net_sales_with_cost_recorded],0)</f>
        <v>1685386.57</v>
      </c>
      <c r="AN342" s="12">
        <f>_xlfn.XLOOKUP(TableDailySummary[[#This Row],[Fecha]],SummaryDaily[day],SummaryDaily[cost_of_goods_sold],0)</f>
        <v>469452</v>
      </c>
      <c r="AO342" s="12">
        <f>_xlfn.XLOOKUP(TableDailySummary[[#This Row],[Fecha]],SummaryDaily[day],SummaryDaily[gross_profit],0)</f>
        <v>1215934.57</v>
      </c>
      <c r="AP342" s="18">
        <f>IFERROR(TableDailySummary[[#This Row],[Utilidad bruta]]/TableDailySummary[[#This Row],[Ventas netas con costo registrado]],0)</f>
        <v>0.72145737461287596</v>
      </c>
    </row>
    <row r="343" spans="2:42" x14ac:dyDescent="0.2">
      <c r="B343" s="15" cm="1">
        <f t="array" ref="B343">MIN(SummaryDaily[day]) + (ROW(TableDailySummary[#This Row]) - ROW(TableDailySummary[[#Headers],[Dia]]) - 1)</f>
        <v>46114</v>
      </c>
      <c r="C343" s="6">
        <f>TableDailySummary[[#This Row],[Dia]]</f>
        <v>46114</v>
      </c>
      <c r="D343" s="12">
        <f>_xlfn.XLOOKUP(TableDailySummary[[#This Row],[Fecha]],SummaryDaily[day],SummaryDaily[net_sales],0)</f>
        <v>1144798.32</v>
      </c>
      <c r="E343" s="12">
        <f>_xlfn.XLOOKUP(TableDailySummary[[#This Row],[Fecha]],SummaryDaily[day],SummaryDaily[orders],0)</f>
        <v>13</v>
      </c>
      <c r="F343" s="12">
        <f>_xlfn.XLOOKUP(TableDailySummary[[#This Row],[Fecha]],SummaryDaily[day],SummaryDaily[average_order_value],0)</f>
        <v>88061.409</v>
      </c>
      <c r="G343" s="24">
        <f>_xlfn.XLOOKUP(TableDailySummary[[#This Row],[Fecha]],SummaryDaily[day],SummaryDaily[Total site_conversion_rate],0)</f>
        <v>6.8965517241379309E-3</v>
      </c>
      <c r="H343" s="12">
        <f>TableDailySummary[[#This Row],[Órden promedio totales]]*TableDailySummary[[#This Row],[CR totales]]</f>
        <v>607.32006206896551</v>
      </c>
      <c r="I343" s="12">
        <f>_xlfn.XLOOKUP(TableDailySummary[[#This Row],[Fecha]],SummaryDaily[day],SummaryDaily[new_net_sales],0)</f>
        <v>474789.92</v>
      </c>
      <c r="J343" s="12">
        <f>_xlfn.XLOOKUP(TableDailySummary[[#This Row],[Fecha]],SummaryDaily[day],SummaryDaily[new_orders],0)</f>
        <v>4</v>
      </c>
      <c r="K343" s="12">
        <f>_xlfn.XLOOKUP(TableDailySummary[[#This Row],[Fecha]],SummaryDaily[day],SummaryDaily[new_average_order_value],0)</f>
        <v>118697.48</v>
      </c>
      <c r="L343" s="12">
        <f>_xlfn.XLOOKUP(TableDailySummary[[#This Row],[Fecha]],SummaryDaily[day],SummaryDaily[Online Store_net_sales],0)</f>
        <v>319327.73</v>
      </c>
      <c r="M343" s="12">
        <f>_xlfn.XLOOKUP(TableDailySummary[[#This Row],[Fecha]],SummaryDaily[day],SummaryDaily[Online Store_orders],0)</f>
        <v>3</v>
      </c>
      <c r="N343" s="12">
        <f>_xlfn.XLOOKUP(TableDailySummary[[#This Row],[Fecha]],SummaryDaily[day],SummaryDaily[Online Store_average_order_value],0)</f>
        <v>106442.576</v>
      </c>
      <c r="O343" s="12">
        <f>_xlfn.XLOOKUP(TableDailySummary[[#This Row],[Fecha]],SummaryDaily[day],SummaryDaily[Tienda 81_net_sales],0)</f>
        <v>825470.59</v>
      </c>
      <c r="P343" s="12">
        <f>_xlfn.XLOOKUP(TableDailySummary[[#This Row],[Fecha]],SummaryDaily[day],SummaryDaily[Tienda 81_orders],0)</f>
        <v>10</v>
      </c>
      <c r="Q343" s="12">
        <f>_xlfn.XLOOKUP(TableDailySummary[[#This Row],[Fecha]],SummaryDaily[day],SummaryDaily[Tienda 81_average_order_value],0)</f>
        <v>82547.058999999994</v>
      </c>
      <c r="R343" s="12">
        <f>_xlfn.XLOOKUP(TableDailySummary[[#This Row],[Fecha]],SummaryDaily[day],SummaryDaily[Rappi_net_sales],0)</f>
        <v>0</v>
      </c>
      <c r="S343" s="12">
        <f>_xlfn.XLOOKUP(TableDailySummary[[#This Row],[Fecha]],SummaryDaily[day],SummaryDaily[Rappi_orders],0)</f>
        <v>0</v>
      </c>
      <c r="T343" s="12">
        <f>_xlfn.XLOOKUP(TableDailySummary[[#This Row],[Fecha]],SummaryDaily[day],SummaryDaily[Rappi_average_order_value],0)</f>
        <v>0</v>
      </c>
      <c r="U343" s="12">
        <f>_xlfn.XLOOKUP(TableDailySummary[[#This Row],[Fecha]],SummaryDaily[day],SummaryDaily[Corporativo no tienda_net_sales],0)</f>
        <v>0</v>
      </c>
      <c r="V343" s="12">
        <f>_xlfn.XLOOKUP(TableDailySummary[[#This Row],[Fecha]],SummaryDaily[day],SummaryDaily[Corporativo no tienda_orders],0)</f>
        <v>0</v>
      </c>
      <c r="W343" s="12">
        <f>_xlfn.XLOOKUP(TableDailySummary[[#This Row],[Fecha]],SummaryDaily[day],SummaryDaily[Corporativo no tienda_average_order_value],0)</f>
        <v>0</v>
      </c>
      <c r="X343" s="12">
        <f>_xlfn.XLOOKUP(TableDailySummary[[#This Row],[Fecha]],SummaryDaily[day],SummaryDaily[GoogleAdsOperation.Cost],0)</f>
        <v>40333.03</v>
      </c>
      <c r="Y343" s="12">
        <f>SUMIFS(SalesByUTMDaily[google],SalesByUTMDaily[day],TableDailySummary[[#This Row],[Fecha]])</f>
        <v>142000</v>
      </c>
      <c r="Z343" s="12">
        <f>_xlfn.XLOOKUP(TableDailySummary[[#This Row],[Fecha]],SummaryDaily[day],SummaryDaily[MetaAdsOperation.spend],0)</f>
        <v>46287</v>
      </c>
      <c r="AA343" s="12">
        <f>SUMIFS(SalesByUTMDaily[facebook],SalesByUTMDaily[day],TableDailySummary[[#This Row],[Fecha]])</f>
        <v>0</v>
      </c>
      <c r="AB343" s="12">
        <f>TableDailySummary[[#This Row],[Inversión google ads]]+TableDailySummary[[#This Row],[Inversión meta ads]]</f>
        <v>86620.03</v>
      </c>
      <c r="AC343" s="12">
        <f>TableDailySummary[[#This Row],[Ventas google ads]]+TableDailySummary[[#This Row],[Ventas meta ads]]</f>
        <v>142000</v>
      </c>
      <c r="AD343" s="14">
        <f>IFERROR(TableDailySummary[[#This Row],[Ventas publicidad]]/TableDailySummary[[#This Row],[Inversión publicidad]],0)</f>
        <v>1.6393436945242341</v>
      </c>
      <c r="AE343" s="14">
        <f>IFERROR(TableDailySummary[[#This Row],[Ventas primer cliente]]/TableDailySummary[[#This Row],[Inversión publicidad]],0)</f>
        <v>5.481294799828631</v>
      </c>
      <c r="AF343" s="14"/>
      <c r="AG343" s="12"/>
      <c r="AM343" s="12">
        <f>_xlfn.XLOOKUP(TableDailySummary[[#This Row],[Fecha]],SummaryDaily[day],SummaryDaily[net_sales_with_cost_recorded],0)</f>
        <v>1144798.32</v>
      </c>
      <c r="AN343" s="12">
        <f>_xlfn.XLOOKUP(TableDailySummary[[#This Row],[Fecha]],SummaryDaily[day],SummaryDaily[cost_of_goods_sold],0)</f>
        <v>390300</v>
      </c>
      <c r="AO343" s="12">
        <f>_xlfn.XLOOKUP(TableDailySummary[[#This Row],[Fecha]],SummaryDaily[day],SummaryDaily[gross_profit],0)</f>
        <v>754498.32</v>
      </c>
      <c r="AP343" s="18">
        <f>IFERROR(TableDailySummary[[#This Row],[Utilidad bruta]]/TableDailySummary[[#This Row],[Ventas netas con costo registrado]],0)</f>
        <v>0.65906658563230591</v>
      </c>
    </row>
    <row r="344" spans="2:42" x14ac:dyDescent="0.2">
      <c r="B344" s="15" cm="1">
        <f t="array" ref="B344">MIN(SummaryDaily[day]) + (ROW(TableDailySummary[#This Row]) - ROW(TableDailySummary[[#Headers],[Dia]]) - 1)</f>
        <v>46115</v>
      </c>
      <c r="C344" s="6">
        <f>TableDailySummary[[#This Row],[Dia]]</f>
        <v>46115</v>
      </c>
      <c r="D344" s="12">
        <f>_xlfn.XLOOKUP(TableDailySummary[[#This Row],[Fecha]],SummaryDaily[day],SummaryDaily[net_sales],0)</f>
        <v>0</v>
      </c>
      <c r="E344" s="12">
        <f>_xlfn.XLOOKUP(TableDailySummary[[#This Row],[Fecha]],SummaryDaily[day],SummaryDaily[orders],0)</f>
        <v>0</v>
      </c>
      <c r="F344" s="12">
        <f>_xlfn.XLOOKUP(TableDailySummary[[#This Row],[Fecha]],SummaryDaily[day],SummaryDaily[average_order_value],0)</f>
        <v>0</v>
      </c>
      <c r="G344" s="24">
        <f>_xlfn.XLOOKUP(TableDailySummary[[#This Row],[Fecha]],SummaryDaily[day],SummaryDaily[Total site_conversion_rate],0)</f>
        <v>0</v>
      </c>
      <c r="H344" s="12">
        <f>TableDailySummary[[#This Row],[Órden promedio totales]]*TableDailySummary[[#This Row],[CR totales]]</f>
        <v>0</v>
      </c>
      <c r="I344" s="12">
        <f>_xlfn.XLOOKUP(TableDailySummary[[#This Row],[Fecha]],SummaryDaily[day],SummaryDaily[new_net_sales],0)</f>
        <v>0</v>
      </c>
      <c r="J344" s="12">
        <f>_xlfn.XLOOKUP(TableDailySummary[[#This Row],[Fecha]],SummaryDaily[day],SummaryDaily[new_orders],0)</f>
        <v>0</v>
      </c>
      <c r="K344" s="12">
        <f>_xlfn.XLOOKUP(TableDailySummary[[#This Row],[Fecha]],SummaryDaily[day],SummaryDaily[new_average_order_value],0)</f>
        <v>0</v>
      </c>
      <c r="L344" s="12">
        <f>_xlfn.XLOOKUP(TableDailySummary[[#This Row],[Fecha]],SummaryDaily[day],SummaryDaily[Online Store_net_sales],0)</f>
        <v>0</v>
      </c>
      <c r="M344" s="12">
        <f>_xlfn.XLOOKUP(TableDailySummary[[#This Row],[Fecha]],SummaryDaily[day],SummaryDaily[Online Store_orders],0)</f>
        <v>0</v>
      </c>
      <c r="N344" s="12">
        <f>_xlfn.XLOOKUP(TableDailySummary[[#This Row],[Fecha]],SummaryDaily[day],SummaryDaily[Online Store_average_order_value],0)</f>
        <v>0</v>
      </c>
      <c r="O344" s="12">
        <f>_xlfn.XLOOKUP(TableDailySummary[[#This Row],[Fecha]],SummaryDaily[day],SummaryDaily[Tienda 81_net_sales],0)</f>
        <v>0</v>
      </c>
      <c r="P344" s="12">
        <f>_xlfn.XLOOKUP(TableDailySummary[[#This Row],[Fecha]],SummaryDaily[day],SummaryDaily[Tienda 81_orders],0)</f>
        <v>0</v>
      </c>
      <c r="Q344" s="12">
        <f>_xlfn.XLOOKUP(TableDailySummary[[#This Row],[Fecha]],SummaryDaily[day],SummaryDaily[Tienda 81_average_order_value],0)</f>
        <v>0</v>
      </c>
      <c r="R344" s="12">
        <f>_xlfn.XLOOKUP(TableDailySummary[[#This Row],[Fecha]],SummaryDaily[day],SummaryDaily[Rappi_net_sales],0)</f>
        <v>0</v>
      </c>
      <c r="S344" s="12">
        <f>_xlfn.XLOOKUP(TableDailySummary[[#This Row],[Fecha]],SummaryDaily[day],SummaryDaily[Rappi_orders],0)</f>
        <v>0</v>
      </c>
      <c r="T344" s="12">
        <f>_xlfn.XLOOKUP(TableDailySummary[[#This Row],[Fecha]],SummaryDaily[day],SummaryDaily[Rappi_average_order_value],0)</f>
        <v>0</v>
      </c>
      <c r="U344" s="12">
        <f>_xlfn.XLOOKUP(TableDailySummary[[#This Row],[Fecha]],SummaryDaily[day],SummaryDaily[Corporativo no tienda_net_sales],0)</f>
        <v>0</v>
      </c>
      <c r="V344" s="12">
        <f>_xlfn.XLOOKUP(TableDailySummary[[#This Row],[Fecha]],SummaryDaily[day],SummaryDaily[Corporativo no tienda_orders],0)</f>
        <v>0</v>
      </c>
      <c r="W344" s="12">
        <f>_xlfn.XLOOKUP(TableDailySummary[[#This Row],[Fecha]],SummaryDaily[day],SummaryDaily[Corporativo no tienda_average_order_value],0)</f>
        <v>0</v>
      </c>
      <c r="X344" s="12">
        <f>_xlfn.XLOOKUP(TableDailySummary[[#This Row],[Fecha]],SummaryDaily[day],SummaryDaily[GoogleAdsOperation.Cost],0)</f>
        <v>0</v>
      </c>
      <c r="Y344" s="12">
        <f>SUMIFS(SalesByUTMDaily[google],SalesByUTMDaily[day],TableDailySummary[[#This Row],[Fecha]])</f>
        <v>0</v>
      </c>
      <c r="Z344" s="12">
        <f>_xlfn.XLOOKUP(TableDailySummary[[#This Row],[Fecha]],SummaryDaily[day],SummaryDaily[MetaAdsOperation.spend],0)</f>
        <v>0</v>
      </c>
      <c r="AA344" s="12">
        <f>SUMIFS(SalesByUTMDaily[facebook],SalesByUTMDaily[day],TableDailySummary[[#This Row],[Fecha]])</f>
        <v>0</v>
      </c>
      <c r="AB344" s="12">
        <f>TableDailySummary[[#This Row],[Inversión google ads]]+TableDailySummary[[#This Row],[Inversión meta ads]]</f>
        <v>0</v>
      </c>
      <c r="AC344" s="12">
        <f>TableDailySummary[[#This Row],[Ventas google ads]]+TableDailySummary[[#This Row],[Ventas meta ads]]</f>
        <v>0</v>
      </c>
      <c r="AD344" s="14">
        <f>IFERROR(TableDailySummary[[#This Row],[Ventas publicidad]]/TableDailySummary[[#This Row],[Inversión publicidad]],0)</f>
        <v>0</v>
      </c>
      <c r="AE344" s="14">
        <f>IFERROR(TableDailySummary[[#This Row],[Ventas primer cliente]]/TableDailySummary[[#This Row],[Inversión publicidad]],0)</f>
        <v>0</v>
      </c>
      <c r="AF344" s="14"/>
      <c r="AG344" s="12"/>
      <c r="AM344" s="12">
        <f>_xlfn.XLOOKUP(TableDailySummary[[#This Row],[Fecha]],SummaryDaily[day],SummaryDaily[net_sales_with_cost_recorded],0)</f>
        <v>0</v>
      </c>
      <c r="AN344" s="12">
        <f>_xlfn.XLOOKUP(TableDailySummary[[#This Row],[Fecha]],SummaryDaily[day],SummaryDaily[cost_of_goods_sold],0)</f>
        <v>0</v>
      </c>
      <c r="AO344" s="12">
        <f>_xlfn.XLOOKUP(TableDailySummary[[#This Row],[Fecha]],SummaryDaily[day],SummaryDaily[gross_profit],0)</f>
        <v>0</v>
      </c>
      <c r="AP344" s="18">
        <f>IFERROR(TableDailySummary[[#This Row],[Utilidad bruta]]/TableDailySummary[[#This Row],[Ventas netas con costo registrado]],0)</f>
        <v>0</v>
      </c>
    </row>
    <row r="345" spans="2:42" x14ac:dyDescent="0.2">
      <c r="B345" s="15" cm="1">
        <f t="array" ref="B345">MIN(SummaryDaily[day]) + (ROW(TableDailySummary[#This Row]) - ROW(TableDailySummary[[#Headers],[Dia]]) - 1)</f>
        <v>46116</v>
      </c>
      <c r="C345" s="6">
        <f>TableDailySummary[[#This Row],[Dia]]</f>
        <v>46116</v>
      </c>
      <c r="D345" s="12">
        <f>_xlfn.XLOOKUP(TableDailySummary[[#This Row],[Fecha]],SummaryDaily[day],SummaryDaily[net_sales],0)</f>
        <v>571100.84</v>
      </c>
      <c r="E345" s="12">
        <f>_xlfn.XLOOKUP(TableDailySummary[[#This Row],[Fecha]],SummaryDaily[day],SummaryDaily[orders],0)</f>
        <v>8</v>
      </c>
      <c r="F345" s="12">
        <f>_xlfn.XLOOKUP(TableDailySummary[[#This Row],[Fecha]],SummaryDaily[day],SummaryDaily[average_order_value],0)</f>
        <v>73488.445999999996</v>
      </c>
      <c r="G345" s="24">
        <f>_xlfn.XLOOKUP(TableDailySummary[[#This Row],[Fecha]],SummaryDaily[day],SummaryDaily[Total site_conversion_rate],0)</f>
        <v>2.911208151382824E-3</v>
      </c>
      <c r="H345" s="12">
        <f>TableDailySummary[[#This Row],[Órden promedio totales]]*TableDailySummary[[#This Row],[CR totales]]</f>
        <v>213.94016302765647</v>
      </c>
      <c r="I345" s="12">
        <f>_xlfn.XLOOKUP(TableDailySummary[[#This Row],[Fecha]],SummaryDaily[day],SummaryDaily[new_net_sales],0)</f>
        <v>197478.99</v>
      </c>
      <c r="J345" s="12">
        <f>_xlfn.XLOOKUP(TableDailySummary[[#This Row],[Fecha]],SummaryDaily[day],SummaryDaily[new_orders],0)</f>
        <v>2</v>
      </c>
      <c r="K345" s="12">
        <f>_xlfn.XLOOKUP(TableDailySummary[[#This Row],[Fecha]],SummaryDaily[day],SummaryDaily[new_average_order_value],0)</f>
        <v>98739.494999999995</v>
      </c>
      <c r="L345" s="12">
        <f>_xlfn.XLOOKUP(TableDailySummary[[#This Row],[Fecha]],SummaryDaily[day],SummaryDaily[Online Store_net_sales],0)</f>
        <v>197478.99</v>
      </c>
      <c r="M345" s="12">
        <f>_xlfn.XLOOKUP(TableDailySummary[[#This Row],[Fecha]],SummaryDaily[day],SummaryDaily[Online Store_orders],0)</f>
        <v>2</v>
      </c>
      <c r="N345" s="12">
        <f>_xlfn.XLOOKUP(TableDailySummary[[#This Row],[Fecha]],SummaryDaily[day],SummaryDaily[Online Store_average_order_value],0)</f>
        <v>98739.494999999995</v>
      </c>
      <c r="O345" s="12">
        <f>_xlfn.XLOOKUP(TableDailySummary[[#This Row],[Fecha]],SummaryDaily[day],SummaryDaily[Tienda 81_net_sales],0)</f>
        <v>373621.85</v>
      </c>
      <c r="P345" s="12">
        <f>_xlfn.XLOOKUP(TableDailySummary[[#This Row],[Fecha]],SummaryDaily[day],SummaryDaily[Tienda 81_orders],0)</f>
        <v>6</v>
      </c>
      <c r="Q345" s="12">
        <f>_xlfn.XLOOKUP(TableDailySummary[[#This Row],[Fecha]],SummaryDaily[day],SummaryDaily[Tienda 81_average_order_value],0)</f>
        <v>65071.43</v>
      </c>
      <c r="R345" s="12">
        <f>_xlfn.XLOOKUP(TableDailySummary[[#This Row],[Fecha]],SummaryDaily[day],SummaryDaily[Rappi_net_sales],0)</f>
        <v>0</v>
      </c>
      <c r="S345" s="12">
        <f>_xlfn.XLOOKUP(TableDailySummary[[#This Row],[Fecha]],SummaryDaily[day],SummaryDaily[Rappi_orders],0)</f>
        <v>0</v>
      </c>
      <c r="T345" s="12">
        <f>_xlfn.XLOOKUP(TableDailySummary[[#This Row],[Fecha]],SummaryDaily[day],SummaryDaily[Rappi_average_order_value],0)</f>
        <v>0</v>
      </c>
      <c r="U345" s="12">
        <f>_xlfn.XLOOKUP(TableDailySummary[[#This Row],[Fecha]],SummaryDaily[day],SummaryDaily[Corporativo no tienda_net_sales],0)</f>
        <v>0</v>
      </c>
      <c r="V345" s="12">
        <f>_xlfn.XLOOKUP(TableDailySummary[[#This Row],[Fecha]],SummaryDaily[day],SummaryDaily[Corporativo no tienda_orders],0)</f>
        <v>0</v>
      </c>
      <c r="W345" s="12">
        <f>_xlfn.XLOOKUP(TableDailySummary[[#This Row],[Fecha]],SummaryDaily[day],SummaryDaily[Corporativo no tienda_average_order_value],0)</f>
        <v>0</v>
      </c>
      <c r="X345" s="12">
        <f>_xlfn.XLOOKUP(TableDailySummary[[#This Row],[Fecha]],SummaryDaily[day],SummaryDaily[GoogleAdsOperation.Cost],0)</f>
        <v>62561.17</v>
      </c>
      <c r="Y345" s="12">
        <f>SUMIFS(SalesByUTMDaily[google],SalesByUTMDaily[day],TableDailySummary[[#This Row],[Fecha]])</f>
        <v>0</v>
      </c>
      <c r="Z345" s="12">
        <f>_xlfn.XLOOKUP(TableDailySummary[[#This Row],[Fecha]],SummaryDaily[day],SummaryDaily[MetaAdsOperation.spend],0)</f>
        <v>52061</v>
      </c>
      <c r="AA345" s="12">
        <f>SUMIFS(SalesByUTMDaily[facebook],SalesByUTMDaily[day],TableDailySummary[[#This Row],[Fecha]])</f>
        <v>0</v>
      </c>
      <c r="AB345" s="12">
        <f>TableDailySummary[[#This Row],[Inversión google ads]]+TableDailySummary[[#This Row],[Inversión meta ads]]</f>
        <v>114622.17</v>
      </c>
      <c r="AC345" s="12">
        <f>TableDailySummary[[#This Row],[Ventas google ads]]+TableDailySummary[[#This Row],[Ventas meta ads]]</f>
        <v>0</v>
      </c>
      <c r="AD345" s="14">
        <f>IFERROR(TableDailySummary[[#This Row],[Ventas publicidad]]/TableDailySummary[[#This Row],[Inversión publicidad]],0)</f>
        <v>0</v>
      </c>
      <c r="AE345" s="14">
        <f>IFERROR(TableDailySummary[[#This Row],[Ventas primer cliente]]/TableDailySummary[[#This Row],[Inversión publicidad]],0)</f>
        <v>1.7228690575304935</v>
      </c>
      <c r="AF345" s="14"/>
      <c r="AG345" s="12"/>
      <c r="AM345" s="12">
        <f>_xlfn.XLOOKUP(TableDailySummary[[#This Row],[Fecha]],SummaryDaily[day],SummaryDaily[net_sales_with_cost_recorded],0)</f>
        <v>571100.84</v>
      </c>
      <c r="AN345" s="12">
        <f>_xlfn.XLOOKUP(TableDailySummary[[#This Row],[Fecha]],SummaryDaily[day],SummaryDaily[cost_of_goods_sold],0)</f>
        <v>179120</v>
      </c>
      <c r="AO345" s="12">
        <f>_xlfn.XLOOKUP(TableDailySummary[[#This Row],[Fecha]],SummaryDaily[day],SummaryDaily[gross_profit],0)</f>
        <v>391980.84</v>
      </c>
      <c r="AP345" s="18">
        <f>IFERROR(TableDailySummary[[#This Row],[Utilidad bruta]]/TableDailySummary[[#This Row],[Ventas netas con costo registrado]],0)</f>
        <v>0.68636011811854458</v>
      </c>
    </row>
    <row r="346" spans="2:42" x14ac:dyDescent="0.2">
      <c r="B346" s="15" cm="1">
        <f t="array" ref="B346">MIN(SummaryDaily[day]) + (ROW(TableDailySummary[#This Row]) - ROW(TableDailySummary[[#Headers],[Dia]]) - 1)</f>
        <v>46117</v>
      </c>
      <c r="C346" s="6">
        <f>TableDailySummary[[#This Row],[Dia]]</f>
        <v>46117</v>
      </c>
      <c r="D346" s="12">
        <f>_xlfn.XLOOKUP(TableDailySummary[[#This Row],[Fecha]],SummaryDaily[day],SummaryDaily[net_sales],0)</f>
        <v>701680.67</v>
      </c>
      <c r="E346" s="12">
        <f>_xlfn.XLOOKUP(TableDailySummary[[#This Row],[Fecha]],SummaryDaily[day],SummaryDaily[orders],0)</f>
        <v>3</v>
      </c>
      <c r="F346" s="12">
        <f>_xlfn.XLOOKUP(TableDailySummary[[#This Row],[Fecha]],SummaryDaily[day],SummaryDaily[average_order_value],0)</f>
        <v>233893.55600000001</v>
      </c>
      <c r="G346" s="24">
        <f>_xlfn.XLOOKUP(TableDailySummary[[#This Row],[Fecha]],SummaryDaily[day],SummaryDaily[Total site_conversion_rate],0)</f>
        <v>5.1724137931034482E-3</v>
      </c>
      <c r="H346" s="12">
        <f>TableDailySummary[[#This Row],[Órden promedio totales]]*TableDailySummary[[#This Row],[CR totales]]</f>
        <v>1209.7942551724138</v>
      </c>
      <c r="I346" s="12">
        <f>_xlfn.XLOOKUP(TableDailySummary[[#This Row],[Fecha]],SummaryDaily[day],SummaryDaily[new_net_sales],0)</f>
        <v>0</v>
      </c>
      <c r="J346" s="12">
        <f>_xlfn.XLOOKUP(TableDailySummary[[#This Row],[Fecha]],SummaryDaily[day],SummaryDaily[new_orders],0)</f>
        <v>0</v>
      </c>
      <c r="K346" s="12">
        <f>_xlfn.XLOOKUP(TableDailySummary[[#This Row],[Fecha]],SummaryDaily[day],SummaryDaily[new_average_order_value],0)</f>
        <v>0</v>
      </c>
      <c r="L346" s="12">
        <f>_xlfn.XLOOKUP(TableDailySummary[[#This Row],[Fecha]],SummaryDaily[day],SummaryDaily[Online Store_net_sales],0)</f>
        <v>701680.67</v>
      </c>
      <c r="M346" s="12">
        <f>_xlfn.XLOOKUP(TableDailySummary[[#This Row],[Fecha]],SummaryDaily[day],SummaryDaily[Online Store_orders],0)</f>
        <v>3</v>
      </c>
      <c r="N346" s="12">
        <f>_xlfn.XLOOKUP(TableDailySummary[[#This Row],[Fecha]],SummaryDaily[day],SummaryDaily[Online Store_average_order_value],0)</f>
        <v>233893.55600000001</v>
      </c>
      <c r="O346" s="12">
        <f>_xlfn.XLOOKUP(TableDailySummary[[#This Row],[Fecha]],SummaryDaily[day],SummaryDaily[Tienda 81_net_sales],0)</f>
        <v>0</v>
      </c>
      <c r="P346" s="12">
        <f>_xlfn.XLOOKUP(TableDailySummary[[#This Row],[Fecha]],SummaryDaily[day],SummaryDaily[Tienda 81_orders],0)</f>
        <v>0</v>
      </c>
      <c r="Q346" s="12">
        <f>_xlfn.XLOOKUP(TableDailySummary[[#This Row],[Fecha]],SummaryDaily[day],SummaryDaily[Tienda 81_average_order_value],0)</f>
        <v>0</v>
      </c>
      <c r="R346" s="12">
        <f>_xlfn.XLOOKUP(TableDailySummary[[#This Row],[Fecha]],SummaryDaily[day],SummaryDaily[Rappi_net_sales],0)</f>
        <v>0</v>
      </c>
      <c r="S346" s="12">
        <f>_xlfn.XLOOKUP(TableDailySummary[[#This Row],[Fecha]],SummaryDaily[day],SummaryDaily[Rappi_orders],0)</f>
        <v>0</v>
      </c>
      <c r="T346" s="12">
        <f>_xlfn.XLOOKUP(TableDailySummary[[#This Row],[Fecha]],SummaryDaily[day],SummaryDaily[Rappi_average_order_value],0)</f>
        <v>0</v>
      </c>
      <c r="U346" s="12">
        <f>_xlfn.XLOOKUP(TableDailySummary[[#This Row],[Fecha]],SummaryDaily[day],SummaryDaily[Corporativo no tienda_net_sales],0)</f>
        <v>0</v>
      </c>
      <c r="V346" s="12">
        <f>_xlfn.XLOOKUP(TableDailySummary[[#This Row],[Fecha]],SummaryDaily[day],SummaryDaily[Corporativo no tienda_orders],0)</f>
        <v>0</v>
      </c>
      <c r="W346" s="12">
        <f>_xlfn.XLOOKUP(TableDailySummary[[#This Row],[Fecha]],SummaryDaily[day],SummaryDaily[Corporativo no tienda_average_order_value],0)</f>
        <v>0</v>
      </c>
      <c r="X346" s="12">
        <f>_xlfn.XLOOKUP(TableDailySummary[[#This Row],[Fecha]],SummaryDaily[day],SummaryDaily[GoogleAdsOperation.Cost],0)</f>
        <v>48401.04</v>
      </c>
      <c r="Y346" s="12">
        <f>SUMIFS(SalesByUTMDaily[google],SalesByUTMDaily[day],TableDailySummary[[#This Row],[Fecha]])</f>
        <v>0</v>
      </c>
      <c r="Z346" s="12">
        <f>_xlfn.XLOOKUP(TableDailySummary[[#This Row],[Fecha]],SummaryDaily[day],SummaryDaily[MetaAdsOperation.spend],0)</f>
        <v>56390</v>
      </c>
      <c r="AA346" s="12">
        <f>SUMIFS(SalesByUTMDaily[facebook],SalesByUTMDaily[day],TableDailySummary[[#This Row],[Fecha]])</f>
        <v>0</v>
      </c>
      <c r="AB346" s="12">
        <f>TableDailySummary[[#This Row],[Inversión google ads]]+TableDailySummary[[#This Row],[Inversión meta ads]]</f>
        <v>104791.04000000001</v>
      </c>
      <c r="AC346" s="12">
        <f>TableDailySummary[[#This Row],[Ventas google ads]]+TableDailySummary[[#This Row],[Ventas meta ads]]</f>
        <v>0</v>
      </c>
      <c r="AD346" s="14">
        <f>IFERROR(TableDailySummary[[#This Row],[Ventas publicidad]]/TableDailySummary[[#This Row],[Inversión publicidad]],0)</f>
        <v>0</v>
      </c>
      <c r="AE346" s="14">
        <f>IFERROR(TableDailySummary[[#This Row],[Ventas primer cliente]]/TableDailySummary[[#This Row],[Inversión publicidad]],0)</f>
        <v>0</v>
      </c>
      <c r="AF346" s="14"/>
      <c r="AG346" s="12"/>
      <c r="AM346" s="12">
        <f>_xlfn.XLOOKUP(TableDailySummary[[#This Row],[Fecha]],SummaryDaily[day],SummaryDaily[net_sales_with_cost_recorded],0)</f>
        <v>701680.67</v>
      </c>
      <c r="AN346" s="12">
        <f>_xlfn.XLOOKUP(TableDailySummary[[#This Row],[Fecha]],SummaryDaily[day],SummaryDaily[cost_of_goods_sold],0)</f>
        <v>219239</v>
      </c>
      <c r="AO346" s="12">
        <f>_xlfn.XLOOKUP(TableDailySummary[[#This Row],[Fecha]],SummaryDaily[day],SummaryDaily[gross_profit],0)</f>
        <v>482441.67</v>
      </c>
      <c r="AP346" s="18">
        <f>IFERROR(TableDailySummary[[#This Row],[Utilidad bruta]]/TableDailySummary[[#This Row],[Ventas netas con costo registrado]],0)</f>
        <v>0.68755160378010693</v>
      </c>
    </row>
    <row r="347" spans="2:42" x14ac:dyDescent="0.2">
      <c r="B347" s="15" cm="1">
        <f t="array" ref="B347">MIN(SummaryDaily[day]) + (ROW(TableDailySummary[#This Row]) - ROW(TableDailySummary[[#Headers],[Dia]]) - 1)</f>
        <v>46118</v>
      </c>
      <c r="C347" s="6">
        <f>TableDailySummary[[#This Row],[Dia]]</f>
        <v>46118</v>
      </c>
      <c r="D347" s="12">
        <f>_xlfn.XLOOKUP(TableDailySummary[[#This Row],[Fecha]],SummaryDaily[day],SummaryDaily[net_sales],0)</f>
        <v>2044798.36</v>
      </c>
      <c r="E347" s="12">
        <f>_xlfn.XLOOKUP(TableDailySummary[[#This Row],[Fecha]],SummaryDaily[day],SummaryDaily[orders],0)</f>
        <v>19</v>
      </c>
      <c r="F347" s="12">
        <f>_xlfn.XLOOKUP(TableDailySummary[[#This Row],[Fecha]],SummaryDaily[day],SummaryDaily[average_order_value],0)</f>
        <v>105188.414</v>
      </c>
      <c r="G347" s="24">
        <f>_xlfn.XLOOKUP(TableDailySummary[[#This Row],[Fecha]],SummaryDaily[day],SummaryDaily[Total site_conversion_rate],0)</f>
        <v>6.3391442155309036E-3</v>
      </c>
      <c r="H347" s="12">
        <f>TableDailySummary[[#This Row],[Órden promedio totales]]*TableDailySummary[[#This Row],[CR totales]]</f>
        <v>666.8045261489699</v>
      </c>
      <c r="I347" s="12">
        <f>_xlfn.XLOOKUP(TableDailySummary[[#This Row],[Fecha]],SummaryDaily[day],SummaryDaily[new_net_sales],0)</f>
        <v>609243.69999999995</v>
      </c>
      <c r="J347" s="12">
        <f>_xlfn.XLOOKUP(TableDailySummary[[#This Row],[Fecha]],SummaryDaily[day],SummaryDaily[new_orders],0)</f>
        <v>5</v>
      </c>
      <c r="K347" s="12">
        <f>_xlfn.XLOOKUP(TableDailySummary[[#This Row],[Fecha]],SummaryDaily[day],SummaryDaily[new_average_order_value],0)</f>
        <v>117647.06</v>
      </c>
      <c r="L347" s="12">
        <f>_xlfn.XLOOKUP(TableDailySummary[[#This Row],[Fecha]],SummaryDaily[day],SummaryDaily[Online Store_net_sales],0)</f>
        <v>588235.30000000005</v>
      </c>
      <c r="M347" s="12">
        <f>_xlfn.XLOOKUP(TableDailySummary[[#This Row],[Fecha]],SummaryDaily[day],SummaryDaily[Online Store_orders],0)</f>
        <v>5</v>
      </c>
      <c r="N347" s="12">
        <f>_xlfn.XLOOKUP(TableDailySummary[[#This Row],[Fecha]],SummaryDaily[day],SummaryDaily[Online Store_average_order_value],0)</f>
        <v>113445.38</v>
      </c>
      <c r="O347" s="12">
        <f>_xlfn.XLOOKUP(TableDailySummary[[#This Row],[Fecha]],SummaryDaily[day],SummaryDaily[Tienda 81_net_sales],0)</f>
        <v>1456563.06</v>
      </c>
      <c r="P347" s="12">
        <f>_xlfn.XLOOKUP(TableDailySummary[[#This Row],[Fecha]],SummaryDaily[day],SummaryDaily[Tienda 81_orders],0)</f>
        <v>14</v>
      </c>
      <c r="Q347" s="12">
        <f>_xlfn.XLOOKUP(TableDailySummary[[#This Row],[Fecha]],SummaryDaily[day],SummaryDaily[Tienda 81_average_order_value],0)</f>
        <v>102239.497</v>
      </c>
      <c r="R347" s="12">
        <f>_xlfn.XLOOKUP(TableDailySummary[[#This Row],[Fecha]],SummaryDaily[day],SummaryDaily[Rappi_net_sales],0)</f>
        <v>0</v>
      </c>
      <c r="S347" s="12">
        <f>_xlfn.XLOOKUP(TableDailySummary[[#This Row],[Fecha]],SummaryDaily[day],SummaryDaily[Rappi_orders],0)</f>
        <v>0</v>
      </c>
      <c r="T347" s="12">
        <f>_xlfn.XLOOKUP(TableDailySummary[[#This Row],[Fecha]],SummaryDaily[day],SummaryDaily[Rappi_average_order_value],0)</f>
        <v>0</v>
      </c>
      <c r="U347" s="12">
        <f>_xlfn.XLOOKUP(TableDailySummary[[#This Row],[Fecha]],SummaryDaily[day],SummaryDaily[Corporativo no tienda_net_sales],0)</f>
        <v>0</v>
      </c>
      <c r="V347" s="12">
        <f>_xlfn.XLOOKUP(TableDailySummary[[#This Row],[Fecha]],SummaryDaily[day],SummaryDaily[Corporativo no tienda_orders],0)</f>
        <v>0</v>
      </c>
      <c r="W347" s="12">
        <f>_xlfn.XLOOKUP(TableDailySummary[[#This Row],[Fecha]],SummaryDaily[day],SummaryDaily[Corporativo no tienda_average_order_value],0)</f>
        <v>0</v>
      </c>
      <c r="X347" s="12">
        <f>_xlfn.XLOOKUP(TableDailySummary[[#This Row],[Fecha]],SummaryDaily[day],SummaryDaily[GoogleAdsOperation.Cost],0)</f>
        <v>45748.73</v>
      </c>
      <c r="Y347" s="12">
        <f>SUMIFS(SalesByUTMDaily[google],SalesByUTMDaily[day],TableDailySummary[[#This Row],[Fecha]])</f>
        <v>0</v>
      </c>
      <c r="Z347" s="12">
        <f>_xlfn.XLOOKUP(TableDailySummary[[#This Row],[Fecha]],SummaryDaily[day],SummaryDaily[MetaAdsOperation.spend],0)</f>
        <v>56637</v>
      </c>
      <c r="AA347" s="12">
        <f>SUMIFS(SalesByUTMDaily[facebook],SalesByUTMDaily[day],TableDailySummary[[#This Row],[Fecha]])</f>
        <v>75000</v>
      </c>
      <c r="AB347" s="12">
        <f>TableDailySummary[[#This Row],[Inversión google ads]]+TableDailySummary[[#This Row],[Inversión meta ads]]</f>
        <v>102385.73000000001</v>
      </c>
      <c r="AC347" s="12">
        <f>TableDailySummary[[#This Row],[Ventas google ads]]+TableDailySummary[[#This Row],[Ventas meta ads]]</f>
        <v>75000</v>
      </c>
      <c r="AD347" s="14">
        <f>IFERROR(TableDailySummary[[#This Row],[Ventas publicidad]]/TableDailySummary[[#This Row],[Inversión publicidad]],0)</f>
        <v>0.73252395621928945</v>
      </c>
      <c r="AE347" s="14">
        <f>IFERROR(TableDailySummary[[#This Row],[Ventas primer cliente]]/TableDailySummary[[#This Row],[Inversión publicidad]],0)</f>
        <v>5.9504747390090387</v>
      </c>
      <c r="AF347" s="14"/>
      <c r="AG347" s="12"/>
      <c r="AM347" s="12">
        <f>_xlfn.XLOOKUP(TableDailySummary[[#This Row],[Fecha]],SummaryDaily[day],SummaryDaily[net_sales_with_cost_recorded],0)</f>
        <v>2044798.36</v>
      </c>
      <c r="AN347" s="12">
        <f>_xlfn.XLOOKUP(TableDailySummary[[#This Row],[Fecha]],SummaryDaily[day],SummaryDaily[cost_of_goods_sold],0)</f>
        <v>727912</v>
      </c>
      <c r="AO347" s="12">
        <f>_xlfn.XLOOKUP(TableDailySummary[[#This Row],[Fecha]],SummaryDaily[day],SummaryDaily[gross_profit],0)</f>
        <v>1316886.3600000001</v>
      </c>
      <c r="AP347" s="18">
        <f>IFERROR(TableDailySummary[[#This Row],[Utilidad bruta]]/TableDailySummary[[#This Row],[Ventas netas con costo registrado]],0)</f>
        <v>0.64401771136005803</v>
      </c>
    </row>
    <row r="348" spans="2:42" x14ac:dyDescent="0.2">
      <c r="B348" s="15" cm="1">
        <f t="array" ref="B348">MIN(SummaryDaily[day]) + (ROW(TableDailySummary[#This Row]) - ROW(TableDailySummary[[#Headers],[Dia]]) - 1)</f>
        <v>46119</v>
      </c>
      <c r="C348" s="6">
        <f>TableDailySummary[[#This Row],[Dia]]</f>
        <v>46119</v>
      </c>
      <c r="D348" s="12">
        <f>_xlfn.XLOOKUP(TableDailySummary[[#This Row],[Fecha]],SummaryDaily[day],SummaryDaily[net_sales],0)</f>
        <v>3118487.4</v>
      </c>
      <c r="E348" s="12">
        <f>_xlfn.XLOOKUP(TableDailySummary[[#This Row],[Fecha]],SummaryDaily[day],SummaryDaily[orders],0)</f>
        <v>21</v>
      </c>
      <c r="F348" s="12">
        <f>_xlfn.XLOOKUP(TableDailySummary[[#This Row],[Fecha]],SummaryDaily[day],SummaryDaily[average_order_value],0)</f>
        <v>148499.4</v>
      </c>
      <c r="G348" s="24">
        <f>_xlfn.XLOOKUP(TableDailySummary[[#This Row],[Fecha]],SummaryDaily[day],SummaryDaily[Total site_conversion_rate],0)</f>
        <v>6.5445026178010471E-3</v>
      </c>
      <c r="H348" s="12">
        <f>TableDailySummary[[#This Row],[Órden promedio totales]]*TableDailySummary[[#This Row],[CR totales]]</f>
        <v>971.8547120418848</v>
      </c>
      <c r="I348" s="12">
        <f>_xlfn.XLOOKUP(TableDailySummary[[#This Row],[Fecha]],SummaryDaily[day],SummaryDaily[new_net_sales],0)</f>
        <v>1662184.88</v>
      </c>
      <c r="J348" s="12">
        <f>_xlfn.XLOOKUP(TableDailySummary[[#This Row],[Fecha]],SummaryDaily[day],SummaryDaily[new_orders],0)</f>
        <v>8</v>
      </c>
      <c r="K348" s="12">
        <f>_xlfn.XLOOKUP(TableDailySummary[[#This Row],[Fecha]],SummaryDaily[day],SummaryDaily[new_average_order_value],0)</f>
        <v>207773.11</v>
      </c>
      <c r="L348" s="12">
        <f>_xlfn.XLOOKUP(TableDailySummary[[#This Row],[Fecha]],SummaryDaily[day],SummaryDaily[Online Store_net_sales],0)</f>
        <v>802521.01</v>
      </c>
      <c r="M348" s="12">
        <f>_xlfn.XLOOKUP(TableDailySummary[[#This Row],[Fecha]],SummaryDaily[day],SummaryDaily[Online Store_orders],0)</f>
        <v>7</v>
      </c>
      <c r="N348" s="12">
        <f>_xlfn.XLOOKUP(TableDailySummary[[#This Row],[Fecha]],SummaryDaily[day],SummaryDaily[Online Store_average_order_value],0)</f>
        <v>114645.85799999999</v>
      </c>
      <c r="O348" s="12">
        <f>_xlfn.XLOOKUP(TableDailySummary[[#This Row],[Fecha]],SummaryDaily[day],SummaryDaily[Tienda 81_net_sales],0)</f>
        <v>1975630.25</v>
      </c>
      <c r="P348" s="12">
        <f>_xlfn.XLOOKUP(TableDailySummary[[#This Row],[Fecha]],SummaryDaily[day],SummaryDaily[Tienda 81_orders],0)</f>
        <v>12</v>
      </c>
      <c r="Q348" s="12">
        <f>_xlfn.XLOOKUP(TableDailySummary[[#This Row],[Fecha]],SummaryDaily[day],SummaryDaily[Tienda 81_average_order_value],0)</f>
        <v>164635.85399999999</v>
      </c>
      <c r="R348" s="12">
        <f>_xlfn.XLOOKUP(TableDailySummary[[#This Row],[Fecha]],SummaryDaily[day],SummaryDaily[Rappi_net_sales],0)</f>
        <v>46218.49</v>
      </c>
      <c r="S348" s="12">
        <f>_xlfn.XLOOKUP(TableDailySummary[[#This Row],[Fecha]],SummaryDaily[day],SummaryDaily[Rappi_orders],0)</f>
        <v>1</v>
      </c>
      <c r="T348" s="12">
        <f>_xlfn.XLOOKUP(TableDailySummary[[#This Row],[Fecha]],SummaryDaily[day],SummaryDaily[Rappi_average_order_value],0)</f>
        <v>46218.49</v>
      </c>
      <c r="U348" s="12">
        <f>_xlfn.XLOOKUP(TableDailySummary[[#This Row],[Fecha]],SummaryDaily[day],SummaryDaily[Corporativo no tienda_net_sales],0)</f>
        <v>294117.65000000002</v>
      </c>
      <c r="V348" s="12">
        <f>_xlfn.XLOOKUP(TableDailySummary[[#This Row],[Fecha]],SummaryDaily[day],SummaryDaily[Corporativo no tienda_orders],0)</f>
        <v>1</v>
      </c>
      <c r="W348" s="12">
        <f>_xlfn.XLOOKUP(TableDailySummary[[#This Row],[Fecha]],SummaryDaily[day],SummaryDaily[Corporativo no tienda_average_order_value],0)</f>
        <v>294117.65000000002</v>
      </c>
      <c r="X348" s="12">
        <f>_xlfn.XLOOKUP(TableDailySummary[[#This Row],[Fecha]],SummaryDaily[day],SummaryDaily[GoogleAdsOperation.Cost],0)</f>
        <v>52079.15</v>
      </c>
      <c r="Y348" s="12">
        <f>SUMIFS(SalesByUTMDaily[google],SalesByUTMDaily[day],TableDailySummary[[#This Row],[Fecha]])</f>
        <v>165000</v>
      </c>
      <c r="Z348" s="12">
        <f>_xlfn.XLOOKUP(TableDailySummary[[#This Row],[Fecha]],SummaryDaily[day],SummaryDaily[MetaAdsOperation.spend],0)</f>
        <v>54135</v>
      </c>
      <c r="AA348" s="12">
        <f>SUMIFS(SalesByUTMDaily[facebook],SalesByUTMDaily[day],TableDailySummary[[#This Row],[Fecha]])</f>
        <v>0</v>
      </c>
      <c r="AB348" s="12">
        <f>TableDailySummary[[#This Row],[Inversión google ads]]+TableDailySummary[[#This Row],[Inversión meta ads]]</f>
        <v>106214.15</v>
      </c>
      <c r="AC348" s="12">
        <f>TableDailySummary[[#This Row],[Ventas google ads]]+TableDailySummary[[#This Row],[Ventas meta ads]]</f>
        <v>165000</v>
      </c>
      <c r="AD348" s="14">
        <f>IFERROR(TableDailySummary[[#This Row],[Ventas publicidad]]/TableDailySummary[[#This Row],[Inversión publicidad]],0)</f>
        <v>1.5534653339503259</v>
      </c>
      <c r="AE348" s="14">
        <f>IFERROR(TableDailySummary[[#This Row],[Ventas primer cliente]]/TableDailySummary[[#This Row],[Inversión publicidad]],0)</f>
        <v>15.649373270887166</v>
      </c>
      <c r="AF348" s="14"/>
      <c r="AG348" s="12"/>
      <c r="AM348" s="12">
        <f>_xlfn.XLOOKUP(TableDailySummary[[#This Row],[Fecha]],SummaryDaily[day],SummaryDaily[net_sales_with_cost_recorded],0)</f>
        <v>3118487.4</v>
      </c>
      <c r="AN348" s="12">
        <f>_xlfn.XLOOKUP(TableDailySummary[[#This Row],[Fecha]],SummaryDaily[day],SummaryDaily[cost_of_goods_sold],0)</f>
        <v>977460</v>
      </c>
      <c r="AO348" s="12">
        <f>_xlfn.XLOOKUP(TableDailySummary[[#This Row],[Fecha]],SummaryDaily[day],SummaryDaily[gross_profit],0)</f>
        <v>2141027.4</v>
      </c>
      <c r="AP348" s="18">
        <f>IFERROR(TableDailySummary[[#This Row],[Utilidad bruta]]/TableDailySummary[[#This Row],[Ventas netas con costo registrado]],0)</f>
        <v>0.6865595801349077</v>
      </c>
    </row>
    <row r="349" spans="2:42" x14ac:dyDescent="0.2">
      <c r="B349" s="15" cm="1">
        <f t="array" ref="B349">MIN(SummaryDaily[day]) + (ROW(TableDailySummary[#This Row]) - ROW(TableDailySummary[[#Headers],[Dia]]) - 1)</f>
        <v>46120</v>
      </c>
      <c r="C349" s="6">
        <f>TableDailySummary[[#This Row],[Dia]]</f>
        <v>46120</v>
      </c>
      <c r="D349" s="12">
        <f>_xlfn.XLOOKUP(TableDailySummary[[#This Row],[Fecha]],SummaryDaily[day],SummaryDaily[net_sales],0)</f>
        <v>2226890.7599999998</v>
      </c>
      <c r="E349" s="12">
        <f>_xlfn.XLOOKUP(TableDailySummary[[#This Row],[Fecha]],SummaryDaily[day],SummaryDaily[orders],0)</f>
        <v>22</v>
      </c>
      <c r="F349" s="12">
        <f>_xlfn.XLOOKUP(TableDailySummary[[#This Row],[Fecha]],SummaryDaily[day],SummaryDaily[average_order_value],0)</f>
        <v>101222.307</v>
      </c>
      <c r="G349" s="24">
        <f>_xlfn.XLOOKUP(TableDailySummary[[#This Row],[Fecha]],SummaryDaily[day],SummaryDaily[Total site_conversion_rate],0)</f>
        <v>6.3191153238546603E-3</v>
      </c>
      <c r="H349" s="12">
        <f>TableDailySummary[[#This Row],[Órden promedio totales]]*TableDailySummary[[#This Row],[CR totales]]</f>
        <v>639.63543127962089</v>
      </c>
      <c r="I349" s="12">
        <f>_xlfn.XLOOKUP(TableDailySummary[[#This Row],[Fecha]],SummaryDaily[day],SummaryDaily[new_net_sales],0)</f>
        <v>550420.18000000005</v>
      </c>
      <c r="J349" s="12">
        <f>_xlfn.XLOOKUP(TableDailySummary[[#This Row],[Fecha]],SummaryDaily[day],SummaryDaily[new_orders],0)</f>
        <v>6</v>
      </c>
      <c r="K349" s="12">
        <f>_xlfn.XLOOKUP(TableDailySummary[[#This Row],[Fecha]],SummaryDaily[day],SummaryDaily[new_average_order_value],0)</f>
        <v>91736.695999999996</v>
      </c>
      <c r="L349" s="12">
        <f>_xlfn.XLOOKUP(TableDailySummary[[#This Row],[Fecha]],SummaryDaily[day],SummaryDaily[Online Store_net_sales],0)</f>
        <v>100840.34</v>
      </c>
      <c r="M349" s="12">
        <f>_xlfn.XLOOKUP(TableDailySummary[[#This Row],[Fecha]],SummaryDaily[day],SummaryDaily[Online Store_orders],0)</f>
        <v>1</v>
      </c>
      <c r="N349" s="12">
        <f>_xlfn.XLOOKUP(TableDailySummary[[#This Row],[Fecha]],SummaryDaily[day],SummaryDaily[Online Store_average_order_value],0)</f>
        <v>100840.34</v>
      </c>
      <c r="O349" s="12">
        <f>_xlfn.XLOOKUP(TableDailySummary[[#This Row],[Fecha]],SummaryDaily[day],SummaryDaily[Tienda 81_net_sales],0)</f>
        <v>1991596.63</v>
      </c>
      <c r="P349" s="12">
        <f>_xlfn.XLOOKUP(TableDailySummary[[#This Row],[Fecha]],SummaryDaily[day],SummaryDaily[Tienda 81_orders],0)</f>
        <v>18</v>
      </c>
      <c r="Q349" s="12">
        <f>_xlfn.XLOOKUP(TableDailySummary[[#This Row],[Fecha]],SummaryDaily[day],SummaryDaily[Tienda 81_average_order_value],0)</f>
        <v>110644.257</v>
      </c>
      <c r="R349" s="12">
        <f>_xlfn.XLOOKUP(TableDailySummary[[#This Row],[Fecha]],SummaryDaily[day],SummaryDaily[Rappi_net_sales],0)</f>
        <v>134453.79</v>
      </c>
      <c r="S349" s="12">
        <f>_xlfn.XLOOKUP(TableDailySummary[[#This Row],[Fecha]],SummaryDaily[day],SummaryDaily[Rappi_orders],0)</f>
        <v>3</v>
      </c>
      <c r="T349" s="12">
        <f>_xlfn.XLOOKUP(TableDailySummary[[#This Row],[Fecha]],SummaryDaily[day],SummaryDaily[Rappi_average_order_value],0)</f>
        <v>44817.93</v>
      </c>
      <c r="U349" s="12">
        <f>_xlfn.XLOOKUP(TableDailySummary[[#This Row],[Fecha]],SummaryDaily[day],SummaryDaily[Corporativo no tienda_net_sales],0)</f>
        <v>0</v>
      </c>
      <c r="V349" s="12">
        <f>_xlfn.XLOOKUP(TableDailySummary[[#This Row],[Fecha]],SummaryDaily[day],SummaryDaily[Corporativo no tienda_orders],0)</f>
        <v>0</v>
      </c>
      <c r="W349" s="12">
        <f>_xlfn.XLOOKUP(TableDailySummary[[#This Row],[Fecha]],SummaryDaily[day],SummaryDaily[Corporativo no tienda_average_order_value],0)</f>
        <v>0</v>
      </c>
      <c r="X349" s="12">
        <f>_xlfn.XLOOKUP(TableDailySummary[[#This Row],[Fecha]],SummaryDaily[day],SummaryDaily[GoogleAdsOperation.Cost],0)</f>
        <v>59636.89</v>
      </c>
      <c r="Y349" s="12">
        <f>SUMIFS(SalesByUTMDaily[google],SalesByUTMDaily[day],TableDailySummary[[#This Row],[Fecha]])</f>
        <v>132000</v>
      </c>
      <c r="Z349" s="12">
        <f>_xlfn.XLOOKUP(TableDailySummary[[#This Row],[Fecha]],SummaryDaily[day],SummaryDaily[MetaAdsOperation.spend],0)</f>
        <v>48790</v>
      </c>
      <c r="AA349" s="12">
        <f>SUMIFS(SalesByUTMDaily[facebook],SalesByUTMDaily[day],TableDailySummary[[#This Row],[Fecha]])</f>
        <v>0</v>
      </c>
      <c r="AB349" s="12">
        <f>TableDailySummary[[#This Row],[Inversión google ads]]+TableDailySummary[[#This Row],[Inversión meta ads]]</f>
        <v>108426.89</v>
      </c>
      <c r="AC349" s="12">
        <f>TableDailySummary[[#This Row],[Ventas google ads]]+TableDailySummary[[#This Row],[Ventas meta ads]]</f>
        <v>132000</v>
      </c>
      <c r="AD349" s="14">
        <f>IFERROR(TableDailySummary[[#This Row],[Ventas publicidad]]/TableDailySummary[[#This Row],[Inversión publicidad]],0)</f>
        <v>1.2174101830274759</v>
      </c>
      <c r="AE349" s="14">
        <f>IFERROR(TableDailySummary[[#This Row],[Ventas primer cliente]]/TableDailySummary[[#This Row],[Inversión publicidad]],0)</f>
        <v>5.0764176672410324</v>
      </c>
      <c r="AF349" s="14"/>
      <c r="AG349" s="12"/>
      <c r="AM349" s="12">
        <f>_xlfn.XLOOKUP(TableDailySummary[[#This Row],[Fecha]],SummaryDaily[day],SummaryDaily[net_sales_with_cost_recorded],0)</f>
        <v>2226890.7599999998</v>
      </c>
      <c r="AN349" s="12">
        <f>_xlfn.XLOOKUP(TableDailySummary[[#This Row],[Fecha]],SummaryDaily[day],SummaryDaily[cost_of_goods_sold],0)</f>
        <v>596534</v>
      </c>
      <c r="AO349" s="12">
        <f>_xlfn.XLOOKUP(TableDailySummary[[#This Row],[Fecha]],SummaryDaily[day],SummaryDaily[gross_profit],0)</f>
        <v>1630356.76</v>
      </c>
      <c r="AP349" s="18">
        <f>IFERROR(TableDailySummary[[#This Row],[Utilidad bruta]]/TableDailySummary[[#This Row],[Ventas netas con costo registrado]],0)</f>
        <v>0.73212246836930617</v>
      </c>
    </row>
    <row r="350" spans="2:42" x14ac:dyDescent="0.2">
      <c r="B350" s="15" cm="1">
        <f t="array" ref="B350">MIN(SummaryDaily[day]) + (ROW(TableDailySummary[#This Row]) - ROW(TableDailySummary[[#Headers],[Dia]]) - 1)</f>
        <v>46121</v>
      </c>
      <c r="C350" s="6">
        <f>TableDailySummary[[#This Row],[Dia]]</f>
        <v>46121</v>
      </c>
      <c r="D350" s="12">
        <f>_xlfn.XLOOKUP(TableDailySummary[[#This Row],[Fecha]],SummaryDaily[day],SummaryDaily[net_sales],0)</f>
        <v>4597697.49</v>
      </c>
      <c r="E350" s="12">
        <f>_xlfn.XLOOKUP(TableDailySummary[[#This Row],[Fecha]],SummaryDaily[day],SummaryDaily[orders],0)</f>
        <v>31</v>
      </c>
      <c r="F350" s="12">
        <f>_xlfn.XLOOKUP(TableDailySummary[[#This Row],[Fecha]],SummaryDaily[day],SummaryDaily[average_order_value],0)</f>
        <v>148312.82199999999</v>
      </c>
      <c r="G350" s="24">
        <f>_xlfn.XLOOKUP(TableDailySummary[[#This Row],[Fecha]],SummaryDaily[day],SummaryDaily[Total site_conversion_rate],0)</f>
        <v>1.4687882496940025E-2</v>
      </c>
      <c r="H350" s="12">
        <f>TableDailySummary[[#This Row],[Órden promedio totales]]*TableDailySummary[[#This Row],[CR totales]]</f>
        <v>2178.4013023255811</v>
      </c>
      <c r="I350" s="12">
        <f>_xlfn.XLOOKUP(TableDailySummary[[#This Row],[Fecha]],SummaryDaily[day],SummaryDaily[new_net_sales],0)</f>
        <v>1372857.15</v>
      </c>
      <c r="J350" s="12">
        <f>_xlfn.XLOOKUP(TableDailySummary[[#This Row],[Fecha]],SummaryDaily[day],SummaryDaily[new_orders],0)</f>
        <v>13</v>
      </c>
      <c r="K350" s="12">
        <f>_xlfn.XLOOKUP(TableDailySummary[[#This Row],[Fecha]],SummaryDaily[day],SummaryDaily[new_average_order_value],0)</f>
        <v>105604.39599999999</v>
      </c>
      <c r="L350" s="12">
        <f>_xlfn.XLOOKUP(TableDailySummary[[#This Row],[Fecha]],SummaryDaily[day],SummaryDaily[Online Store_net_sales],0)</f>
        <v>865546.22</v>
      </c>
      <c r="M350" s="12">
        <f>_xlfn.XLOOKUP(TableDailySummary[[#This Row],[Fecha]],SummaryDaily[day],SummaryDaily[Online Store_orders],0)</f>
        <v>8</v>
      </c>
      <c r="N350" s="12">
        <f>_xlfn.XLOOKUP(TableDailySummary[[#This Row],[Fecha]],SummaryDaily[day],SummaryDaily[Online Store_average_order_value],0)</f>
        <v>108193.277</v>
      </c>
      <c r="O350" s="12">
        <f>_xlfn.XLOOKUP(TableDailySummary[[#This Row],[Fecha]],SummaryDaily[day],SummaryDaily[Tienda 81_net_sales],0)</f>
        <v>3732151.27</v>
      </c>
      <c r="P350" s="12">
        <f>_xlfn.XLOOKUP(TableDailySummary[[#This Row],[Fecha]],SummaryDaily[day],SummaryDaily[Tienda 81_orders],0)</f>
        <v>23</v>
      </c>
      <c r="Q350" s="12">
        <f>_xlfn.XLOOKUP(TableDailySummary[[#This Row],[Fecha]],SummaryDaily[day],SummaryDaily[Tienda 81_average_order_value],0)</f>
        <v>162267.446</v>
      </c>
      <c r="R350" s="12">
        <f>_xlfn.XLOOKUP(TableDailySummary[[#This Row],[Fecha]],SummaryDaily[day],SummaryDaily[Rappi_net_sales],0)</f>
        <v>0</v>
      </c>
      <c r="S350" s="12">
        <f>_xlfn.XLOOKUP(TableDailySummary[[#This Row],[Fecha]],SummaryDaily[day],SummaryDaily[Rappi_orders],0)</f>
        <v>0</v>
      </c>
      <c r="T350" s="12">
        <f>_xlfn.XLOOKUP(TableDailySummary[[#This Row],[Fecha]],SummaryDaily[day],SummaryDaily[Rappi_average_order_value],0)</f>
        <v>0</v>
      </c>
      <c r="U350" s="12">
        <f>_xlfn.XLOOKUP(TableDailySummary[[#This Row],[Fecha]],SummaryDaily[day],SummaryDaily[Corporativo no tienda_net_sales],0)</f>
        <v>0</v>
      </c>
      <c r="V350" s="12">
        <f>_xlfn.XLOOKUP(TableDailySummary[[#This Row],[Fecha]],SummaryDaily[day],SummaryDaily[Corporativo no tienda_orders],0)</f>
        <v>0</v>
      </c>
      <c r="W350" s="12">
        <f>_xlfn.XLOOKUP(TableDailySummary[[#This Row],[Fecha]],SummaryDaily[day],SummaryDaily[Corporativo no tienda_average_order_value],0)</f>
        <v>0</v>
      </c>
      <c r="X350" s="12">
        <f>_xlfn.XLOOKUP(TableDailySummary[[#This Row],[Fecha]],SummaryDaily[day],SummaryDaily[GoogleAdsOperation.Cost],0)</f>
        <v>48073.95</v>
      </c>
      <c r="Y350" s="12">
        <f>SUMIFS(SalesByUTMDaily[google],SalesByUTMDaily[day],TableDailySummary[[#This Row],[Fecha]])</f>
        <v>804000</v>
      </c>
      <c r="Z350" s="12">
        <f>_xlfn.XLOOKUP(TableDailySummary[[#This Row],[Fecha]],SummaryDaily[day],SummaryDaily[MetaAdsOperation.spend],0)</f>
        <v>61511</v>
      </c>
      <c r="AA350" s="12">
        <f>SUMIFS(SalesByUTMDaily[facebook],SalesByUTMDaily[day],TableDailySummary[[#This Row],[Fecha]])</f>
        <v>0</v>
      </c>
      <c r="AB350" s="12">
        <f>TableDailySummary[[#This Row],[Inversión google ads]]+TableDailySummary[[#This Row],[Inversión meta ads]]</f>
        <v>109584.95</v>
      </c>
      <c r="AC350" s="12">
        <f>TableDailySummary[[#This Row],[Ventas google ads]]+TableDailySummary[[#This Row],[Ventas meta ads]]</f>
        <v>804000</v>
      </c>
      <c r="AD350" s="14">
        <f>IFERROR(TableDailySummary[[#This Row],[Ventas publicidad]]/TableDailySummary[[#This Row],[Inversión publicidad]],0)</f>
        <v>7.3367738909403162</v>
      </c>
      <c r="AE350" s="14">
        <f>IFERROR(TableDailySummary[[#This Row],[Ventas primer cliente]]/TableDailySummary[[#This Row],[Inversión publicidad]],0)</f>
        <v>12.527789171779519</v>
      </c>
      <c r="AF350" s="14"/>
      <c r="AG350" s="12"/>
      <c r="AM350" s="12">
        <f>_xlfn.XLOOKUP(TableDailySummary[[#This Row],[Fecha]],SummaryDaily[day],SummaryDaily[net_sales_with_cost_recorded],0)</f>
        <v>4568285.7300000004</v>
      </c>
      <c r="AN350" s="12">
        <f>_xlfn.XLOOKUP(TableDailySummary[[#This Row],[Fecha]],SummaryDaily[day],SummaryDaily[cost_of_goods_sold],0)</f>
        <v>1540221</v>
      </c>
      <c r="AO350" s="12">
        <f>_xlfn.XLOOKUP(TableDailySummary[[#This Row],[Fecha]],SummaryDaily[day],SummaryDaily[gross_profit],0)</f>
        <v>3028064.73</v>
      </c>
      <c r="AP350" s="18">
        <f>IFERROR(TableDailySummary[[#This Row],[Utilidad bruta]]/TableDailySummary[[#This Row],[Ventas netas con costo registrado]],0)</f>
        <v>0.66284486325245673</v>
      </c>
    </row>
    <row r="351" spans="2:42" x14ac:dyDescent="0.2">
      <c r="B351" s="15" cm="1">
        <f t="array" ref="B351">MIN(SummaryDaily[day]) + (ROW(TableDailySummary[#This Row]) - ROW(TableDailySummary[[#Headers],[Dia]]) - 1)</f>
        <v>46122</v>
      </c>
      <c r="C351" s="6">
        <f>TableDailySummary[[#This Row],[Dia]]</f>
        <v>46122</v>
      </c>
      <c r="D351" s="12">
        <f>_xlfn.XLOOKUP(TableDailySummary[[#This Row],[Fecha]],SummaryDaily[day],SummaryDaily[net_sales],0)</f>
        <v>6506008.3799999999</v>
      </c>
      <c r="E351" s="12">
        <f>_xlfn.XLOOKUP(TableDailySummary[[#This Row],[Fecha]],SummaryDaily[day],SummaryDaily[orders],0)</f>
        <v>36</v>
      </c>
      <c r="F351" s="12">
        <f>_xlfn.XLOOKUP(TableDailySummary[[#This Row],[Fecha]],SummaryDaily[day],SummaryDaily[average_order_value],0)</f>
        <v>180722.45499999999</v>
      </c>
      <c r="G351" s="24">
        <f>_xlfn.XLOOKUP(TableDailySummary[[#This Row],[Fecha]],SummaryDaily[day],SummaryDaily[Total site_conversion_rate],0)</f>
        <v>8.0256821829855531E-3</v>
      </c>
      <c r="H351" s="12">
        <f>TableDailySummary[[#This Row],[Órden promedio totales]]*TableDailySummary[[#This Row],[CR totales]]</f>
        <v>1450.4209871589082</v>
      </c>
      <c r="I351" s="12">
        <f>_xlfn.XLOOKUP(TableDailySummary[[#This Row],[Fecha]],SummaryDaily[day],SummaryDaily[new_net_sales],0)</f>
        <v>1210084.02</v>
      </c>
      <c r="J351" s="12">
        <f>_xlfn.XLOOKUP(TableDailySummary[[#This Row],[Fecha]],SummaryDaily[day],SummaryDaily[new_orders],0)</f>
        <v>11</v>
      </c>
      <c r="K351" s="12">
        <f>_xlfn.XLOOKUP(TableDailySummary[[#This Row],[Fecha]],SummaryDaily[day],SummaryDaily[new_average_order_value],0)</f>
        <v>110007.63800000001</v>
      </c>
      <c r="L351" s="12">
        <f>_xlfn.XLOOKUP(TableDailySummary[[#This Row],[Fecha]],SummaryDaily[day],SummaryDaily[Online Store_net_sales],0)</f>
        <v>903361.34</v>
      </c>
      <c r="M351" s="12">
        <f>_xlfn.XLOOKUP(TableDailySummary[[#This Row],[Fecha]],SummaryDaily[day],SummaryDaily[Online Store_orders],0)</f>
        <v>5</v>
      </c>
      <c r="N351" s="12">
        <f>_xlfn.XLOOKUP(TableDailySummary[[#This Row],[Fecha]],SummaryDaily[day],SummaryDaily[Online Store_average_order_value],0)</f>
        <v>180672.26800000001</v>
      </c>
      <c r="O351" s="12">
        <f>_xlfn.XLOOKUP(TableDailySummary[[#This Row],[Fecha]],SummaryDaily[day],SummaryDaily[Tienda 81_net_sales],0)</f>
        <v>5552226.8700000001</v>
      </c>
      <c r="P351" s="12">
        <f>_xlfn.XLOOKUP(TableDailySummary[[#This Row],[Fecha]],SummaryDaily[day],SummaryDaily[Tienda 81_orders],0)</f>
        <v>30</v>
      </c>
      <c r="Q351" s="12">
        <f>_xlfn.XLOOKUP(TableDailySummary[[#This Row],[Fecha]],SummaryDaily[day],SummaryDaily[Tienda 81_average_order_value],0)</f>
        <v>185074.22899999999</v>
      </c>
      <c r="R351" s="12">
        <f>_xlfn.XLOOKUP(TableDailySummary[[#This Row],[Fecha]],SummaryDaily[day],SummaryDaily[Rappi_net_sales],0)</f>
        <v>50420.17</v>
      </c>
      <c r="S351" s="12">
        <f>_xlfn.XLOOKUP(TableDailySummary[[#This Row],[Fecha]],SummaryDaily[day],SummaryDaily[Rappi_orders],0)</f>
        <v>1</v>
      </c>
      <c r="T351" s="12">
        <f>_xlfn.XLOOKUP(TableDailySummary[[#This Row],[Fecha]],SummaryDaily[day],SummaryDaily[Rappi_average_order_value],0)</f>
        <v>50420.17</v>
      </c>
      <c r="U351" s="12">
        <f>_xlfn.XLOOKUP(TableDailySummary[[#This Row],[Fecha]],SummaryDaily[day],SummaryDaily[Corporativo no tienda_net_sales],0)</f>
        <v>0</v>
      </c>
      <c r="V351" s="12">
        <f>_xlfn.XLOOKUP(TableDailySummary[[#This Row],[Fecha]],SummaryDaily[day],SummaryDaily[Corporativo no tienda_orders],0)</f>
        <v>0</v>
      </c>
      <c r="W351" s="12">
        <f>_xlfn.XLOOKUP(TableDailySummary[[#This Row],[Fecha]],SummaryDaily[day],SummaryDaily[Corporativo no tienda_average_order_value],0)</f>
        <v>0</v>
      </c>
      <c r="X351" s="12">
        <f>_xlfn.XLOOKUP(TableDailySummary[[#This Row],[Fecha]],SummaryDaily[day],SummaryDaily[GoogleAdsOperation.Cost],0)</f>
        <v>49629.599999999999</v>
      </c>
      <c r="Y351" s="12">
        <f>SUMIFS(SalesByUTMDaily[google],SalesByUTMDaily[day],TableDailySummary[[#This Row],[Fecha]])</f>
        <v>0</v>
      </c>
      <c r="Z351" s="12">
        <f>_xlfn.XLOOKUP(TableDailySummary[[#This Row],[Fecha]],SummaryDaily[day],SummaryDaily[MetaAdsOperation.spend],0)</f>
        <v>78438</v>
      </c>
      <c r="AA351" s="12">
        <f>SUMIFS(SalesByUTMDaily[facebook],SalesByUTMDaily[day],TableDailySummary[[#This Row],[Fecha]])</f>
        <v>72000</v>
      </c>
      <c r="AB351" s="12">
        <f>TableDailySummary[[#This Row],[Inversión google ads]]+TableDailySummary[[#This Row],[Inversión meta ads]]</f>
        <v>128067.6</v>
      </c>
      <c r="AC351" s="12">
        <f>TableDailySummary[[#This Row],[Ventas google ads]]+TableDailySummary[[#This Row],[Ventas meta ads]]</f>
        <v>72000</v>
      </c>
      <c r="AD351" s="14">
        <f>IFERROR(TableDailySummary[[#This Row],[Ventas publicidad]]/TableDailySummary[[#This Row],[Inversión publicidad]],0)</f>
        <v>0.56220308649494488</v>
      </c>
      <c r="AE351" s="14">
        <f>IFERROR(TableDailySummary[[#This Row],[Ventas primer cliente]]/TableDailySummary[[#This Row],[Inversión publicidad]],0)</f>
        <v>9.4487912633640363</v>
      </c>
      <c r="AF351" s="14"/>
      <c r="AG351" s="12"/>
      <c r="AM351" s="12">
        <f>_xlfn.XLOOKUP(TableDailySummary[[#This Row],[Fecha]],SummaryDaily[day],SummaryDaily[net_sales_with_cost_recorded],0)</f>
        <v>6506008.3799999999</v>
      </c>
      <c r="AN351" s="12">
        <f>_xlfn.XLOOKUP(TableDailySummary[[#This Row],[Fecha]],SummaryDaily[day],SummaryDaily[cost_of_goods_sold],0)</f>
        <v>1782412</v>
      </c>
      <c r="AO351" s="12">
        <f>_xlfn.XLOOKUP(TableDailySummary[[#This Row],[Fecha]],SummaryDaily[day],SummaryDaily[gross_profit],0)</f>
        <v>4723596.38</v>
      </c>
      <c r="AP351" s="18">
        <f>IFERROR(TableDailySummary[[#This Row],[Utilidad bruta]]/TableDailySummary[[#This Row],[Ventas netas con costo registrado]],0)</f>
        <v>0.72603601226840109</v>
      </c>
    </row>
    <row r="352" spans="2:42" x14ac:dyDescent="0.2">
      <c r="B352" s="15" cm="1">
        <f t="array" ref="B352">MIN(SummaryDaily[day]) + (ROW(TableDailySummary[#This Row]) - ROW(TableDailySummary[[#Headers],[Dia]]) - 1)</f>
        <v>46123</v>
      </c>
      <c r="C352" s="6">
        <f>TableDailySummary[[#This Row],[Dia]]</f>
        <v>46123</v>
      </c>
      <c r="D352" s="12">
        <f>_xlfn.XLOOKUP(TableDailySummary[[#This Row],[Fecha]],SummaryDaily[day],SummaryDaily[net_sales],0)</f>
        <v>3184033.62</v>
      </c>
      <c r="E352" s="12">
        <f>_xlfn.XLOOKUP(TableDailySummary[[#This Row],[Fecha]],SummaryDaily[day],SummaryDaily[orders],0)</f>
        <v>27</v>
      </c>
      <c r="F352" s="12">
        <f>_xlfn.XLOOKUP(TableDailySummary[[#This Row],[Fecha]],SummaryDaily[day],SummaryDaily[average_order_value],0)</f>
        <v>120261.43799999999</v>
      </c>
      <c r="G352" s="24">
        <f>_xlfn.XLOOKUP(TableDailySummary[[#This Row],[Fecha]],SummaryDaily[day],SummaryDaily[Total site_conversion_rate],0)</f>
        <v>3.2840722495894909E-3</v>
      </c>
      <c r="H352" s="12">
        <f>TableDailySummary[[#This Row],[Órden promedio totales]]*TableDailySummary[[#This Row],[CR totales]]</f>
        <v>394.94725123152705</v>
      </c>
      <c r="I352" s="12">
        <f>_xlfn.XLOOKUP(TableDailySummary[[#This Row],[Fecha]],SummaryDaily[day],SummaryDaily[new_net_sales],0)</f>
        <v>1584873.96</v>
      </c>
      <c r="J352" s="12">
        <f>_xlfn.XLOOKUP(TableDailySummary[[#This Row],[Fecha]],SummaryDaily[day],SummaryDaily[new_orders],0)</f>
        <v>12</v>
      </c>
      <c r="K352" s="12">
        <f>_xlfn.XLOOKUP(TableDailySummary[[#This Row],[Fecha]],SummaryDaily[day],SummaryDaily[new_average_order_value],0)</f>
        <v>132072.82999999999</v>
      </c>
      <c r="L352" s="12">
        <f>_xlfn.XLOOKUP(TableDailySummary[[#This Row],[Fecha]],SummaryDaily[day],SummaryDaily[Online Store_net_sales],0)</f>
        <v>390756.3</v>
      </c>
      <c r="M352" s="12">
        <f>_xlfn.XLOOKUP(TableDailySummary[[#This Row],[Fecha]],SummaryDaily[day],SummaryDaily[Online Store_orders],0)</f>
        <v>3</v>
      </c>
      <c r="N352" s="12">
        <f>_xlfn.XLOOKUP(TableDailySummary[[#This Row],[Fecha]],SummaryDaily[day],SummaryDaily[Online Store_average_order_value],0)</f>
        <v>151260.503</v>
      </c>
      <c r="O352" s="12">
        <f>_xlfn.XLOOKUP(TableDailySummary[[#This Row],[Fecha]],SummaryDaily[day],SummaryDaily[Tienda 81_net_sales],0)</f>
        <v>2700840.34</v>
      </c>
      <c r="P352" s="12">
        <f>_xlfn.XLOOKUP(TableDailySummary[[#This Row],[Fecha]],SummaryDaily[day],SummaryDaily[Tienda 81_orders],0)</f>
        <v>22</v>
      </c>
      <c r="Q352" s="12">
        <f>_xlfn.XLOOKUP(TableDailySummary[[#This Row],[Fecha]],SummaryDaily[day],SummaryDaily[Tienda 81_average_order_value],0)</f>
        <v>122765.47</v>
      </c>
      <c r="R352" s="12">
        <f>_xlfn.XLOOKUP(TableDailySummary[[#This Row],[Fecha]],SummaryDaily[day],SummaryDaily[Rappi_net_sales],0)</f>
        <v>92436.98</v>
      </c>
      <c r="S352" s="12">
        <f>_xlfn.XLOOKUP(TableDailySummary[[#This Row],[Fecha]],SummaryDaily[day],SummaryDaily[Rappi_orders],0)</f>
        <v>2</v>
      </c>
      <c r="T352" s="12">
        <f>_xlfn.XLOOKUP(TableDailySummary[[#This Row],[Fecha]],SummaryDaily[day],SummaryDaily[Rappi_average_order_value],0)</f>
        <v>46218.49</v>
      </c>
      <c r="U352" s="12">
        <f>_xlfn.XLOOKUP(TableDailySummary[[#This Row],[Fecha]],SummaryDaily[day],SummaryDaily[Corporativo no tienda_net_sales],0)</f>
        <v>0</v>
      </c>
      <c r="V352" s="12">
        <f>_xlfn.XLOOKUP(TableDailySummary[[#This Row],[Fecha]],SummaryDaily[day],SummaryDaily[Corporativo no tienda_orders],0)</f>
        <v>0</v>
      </c>
      <c r="W352" s="12">
        <f>_xlfn.XLOOKUP(TableDailySummary[[#This Row],[Fecha]],SummaryDaily[day],SummaryDaily[Corporativo no tienda_average_order_value],0)</f>
        <v>0</v>
      </c>
      <c r="X352" s="12">
        <f>_xlfn.XLOOKUP(TableDailySummary[[#This Row],[Fecha]],SummaryDaily[day],SummaryDaily[GoogleAdsOperation.Cost],0)</f>
        <v>62945.94</v>
      </c>
      <c r="Y352" s="12">
        <f>SUMIFS(SalesByUTMDaily[google],SalesByUTMDaily[day],TableDailySummary[[#This Row],[Fecha]])</f>
        <v>0</v>
      </c>
      <c r="Z352" s="12">
        <f>_xlfn.XLOOKUP(TableDailySummary[[#This Row],[Fecha]],SummaryDaily[day],SummaryDaily[MetaAdsOperation.spend],0)</f>
        <v>73995</v>
      </c>
      <c r="AA352" s="12">
        <f>SUMIFS(SalesByUTMDaily[facebook],SalesByUTMDaily[day],TableDailySummary[[#This Row],[Fecha]])</f>
        <v>0</v>
      </c>
      <c r="AB352" s="12">
        <f>TableDailySummary[[#This Row],[Inversión google ads]]+TableDailySummary[[#This Row],[Inversión meta ads]]</f>
        <v>136940.94</v>
      </c>
      <c r="AC352" s="12">
        <f>TableDailySummary[[#This Row],[Ventas google ads]]+TableDailySummary[[#This Row],[Ventas meta ads]]</f>
        <v>0</v>
      </c>
      <c r="AD352" s="14">
        <f>IFERROR(TableDailySummary[[#This Row],[Ventas publicidad]]/TableDailySummary[[#This Row],[Inversión publicidad]],0)</f>
        <v>0</v>
      </c>
      <c r="AE352" s="14">
        <f>IFERROR(TableDailySummary[[#This Row],[Ventas primer cliente]]/TableDailySummary[[#This Row],[Inversión publicidad]],0)</f>
        <v>11.573412304603721</v>
      </c>
      <c r="AF352" s="14"/>
      <c r="AG352" s="12"/>
      <c r="AM352" s="12">
        <f>_xlfn.XLOOKUP(TableDailySummary[[#This Row],[Fecha]],SummaryDaily[day],SummaryDaily[net_sales_with_cost_recorded],0)</f>
        <v>3184033.62</v>
      </c>
      <c r="AN352" s="12">
        <f>_xlfn.XLOOKUP(TableDailySummary[[#This Row],[Fecha]],SummaryDaily[day],SummaryDaily[cost_of_goods_sold],0)</f>
        <v>1108729</v>
      </c>
      <c r="AO352" s="12">
        <f>_xlfn.XLOOKUP(TableDailySummary[[#This Row],[Fecha]],SummaryDaily[day],SummaryDaily[gross_profit],0)</f>
        <v>2075304.62</v>
      </c>
      <c r="AP352" s="18">
        <f>IFERROR(TableDailySummary[[#This Row],[Utilidad bruta]]/TableDailySummary[[#This Row],[Ventas netas con costo registrado]],0)</f>
        <v>0.6517847697851884</v>
      </c>
    </row>
    <row r="353" spans="2:42" x14ac:dyDescent="0.2">
      <c r="B353" s="15" cm="1">
        <f t="array" ref="B353">MIN(SummaryDaily[day]) + (ROW(TableDailySummary[#This Row]) - ROW(TableDailySummary[[#Headers],[Dia]]) - 1)</f>
        <v>46124</v>
      </c>
      <c r="C353" s="6">
        <f>TableDailySummary[[#This Row],[Dia]]</f>
        <v>46124</v>
      </c>
      <c r="D353" s="12">
        <f>_xlfn.XLOOKUP(TableDailySummary[[#This Row],[Fecha]],SummaryDaily[day],SummaryDaily[net_sales],0)</f>
        <v>2642823.5299999998</v>
      </c>
      <c r="E353" s="12">
        <f>_xlfn.XLOOKUP(TableDailySummary[[#This Row],[Fecha]],SummaryDaily[day],SummaryDaily[orders],0)</f>
        <v>18</v>
      </c>
      <c r="F353" s="12">
        <f>_xlfn.XLOOKUP(TableDailySummary[[#This Row],[Fecha]],SummaryDaily[day],SummaryDaily[average_order_value],0)</f>
        <v>146823.52900000001</v>
      </c>
      <c r="G353" s="24">
        <f>_xlfn.XLOOKUP(TableDailySummary[[#This Row],[Fecha]],SummaryDaily[day],SummaryDaily[Total site_conversion_rate],0)</f>
        <v>8.8495575221238937E-3</v>
      </c>
      <c r="H353" s="12">
        <f>TableDailySummary[[#This Row],[Órden promedio totales]]*TableDailySummary[[#This Row],[CR totales]]</f>
        <v>1299.3232654867256</v>
      </c>
      <c r="I353" s="12">
        <f>_xlfn.XLOOKUP(TableDailySummary[[#This Row],[Fecha]],SummaryDaily[day],SummaryDaily[new_net_sales],0)</f>
        <v>1470588.24</v>
      </c>
      <c r="J353" s="12">
        <f>_xlfn.XLOOKUP(TableDailySummary[[#This Row],[Fecha]],SummaryDaily[day],SummaryDaily[new_orders],0)</f>
        <v>7</v>
      </c>
      <c r="K353" s="12">
        <f>_xlfn.XLOOKUP(TableDailySummary[[#This Row],[Fecha]],SummaryDaily[day],SummaryDaily[new_average_order_value],0)</f>
        <v>210084.03400000001</v>
      </c>
      <c r="L353" s="12">
        <f>_xlfn.XLOOKUP(TableDailySummary[[#This Row],[Fecha]],SummaryDaily[day],SummaryDaily[Online Store_net_sales],0)</f>
        <v>621848.75</v>
      </c>
      <c r="M353" s="12">
        <f>_xlfn.XLOOKUP(TableDailySummary[[#This Row],[Fecha]],SummaryDaily[day],SummaryDaily[Online Store_orders],0)</f>
        <v>5</v>
      </c>
      <c r="N353" s="12">
        <f>_xlfn.XLOOKUP(TableDailySummary[[#This Row],[Fecha]],SummaryDaily[day],SummaryDaily[Online Store_average_order_value],0)</f>
        <v>124369.75</v>
      </c>
      <c r="O353" s="12">
        <f>_xlfn.XLOOKUP(TableDailySummary[[#This Row],[Fecha]],SummaryDaily[day],SummaryDaily[Tienda 81_net_sales],0)</f>
        <v>2020974.78</v>
      </c>
      <c r="P353" s="12">
        <f>_xlfn.XLOOKUP(TableDailySummary[[#This Row],[Fecha]],SummaryDaily[day],SummaryDaily[Tienda 81_orders],0)</f>
        <v>13</v>
      </c>
      <c r="Q353" s="12">
        <f>_xlfn.XLOOKUP(TableDailySummary[[#This Row],[Fecha]],SummaryDaily[day],SummaryDaily[Tienda 81_average_order_value],0)</f>
        <v>155459.598</v>
      </c>
      <c r="R353" s="12">
        <f>_xlfn.XLOOKUP(TableDailySummary[[#This Row],[Fecha]],SummaryDaily[day],SummaryDaily[Rappi_net_sales],0)</f>
        <v>0</v>
      </c>
      <c r="S353" s="12">
        <f>_xlfn.XLOOKUP(TableDailySummary[[#This Row],[Fecha]],SummaryDaily[day],SummaryDaily[Rappi_orders],0)</f>
        <v>0</v>
      </c>
      <c r="T353" s="12">
        <f>_xlfn.XLOOKUP(TableDailySummary[[#This Row],[Fecha]],SummaryDaily[day],SummaryDaily[Rappi_average_order_value],0)</f>
        <v>0</v>
      </c>
      <c r="U353" s="12">
        <f>_xlfn.XLOOKUP(TableDailySummary[[#This Row],[Fecha]],SummaryDaily[day],SummaryDaily[Corporativo no tienda_net_sales],0)</f>
        <v>0</v>
      </c>
      <c r="V353" s="12">
        <f>_xlfn.XLOOKUP(TableDailySummary[[#This Row],[Fecha]],SummaryDaily[day],SummaryDaily[Corporativo no tienda_orders],0)</f>
        <v>0</v>
      </c>
      <c r="W353" s="12">
        <f>_xlfn.XLOOKUP(TableDailySummary[[#This Row],[Fecha]],SummaryDaily[day],SummaryDaily[Corporativo no tienda_average_order_value],0)</f>
        <v>0</v>
      </c>
      <c r="X353" s="12">
        <f>_xlfn.XLOOKUP(TableDailySummary[[#This Row],[Fecha]],SummaryDaily[day],SummaryDaily[GoogleAdsOperation.Cost],0)</f>
        <v>49079.839999999997</v>
      </c>
      <c r="Y353" s="12">
        <f>SUMIFS(SalesByUTMDaily[google],SalesByUTMDaily[day],TableDailySummary[[#This Row],[Fecha]])</f>
        <v>0</v>
      </c>
      <c r="Z353" s="12">
        <f>_xlfn.XLOOKUP(TableDailySummary[[#This Row],[Fecha]],SummaryDaily[day],SummaryDaily[MetaAdsOperation.spend],0)</f>
        <v>75184</v>
      </c>
      <c r="AA353" s="12">
        <f>SUMIFS(SalesByUTMDaily[facebook],SalesByUTMDaily[day],TableDailySummary[[#This Row],[Fecha]])</f>
        <v>0</v>
      </c>
      <c r="AB353" s="12">
        <f>TableDailySummary[[#This Row],[Inversión google ads]]+TableDailySummary[[#This Row],[Inversión meta ads]]</f>
        <v>124263.84</v>
      </c>
      <c r="AC353" s="12">
        <f>TableDailySummary[[#This Row],[Ventas google ads]]+TableDailySummary[[#This Row],[Ventas meta ads]]</f>
        <v>0</v>
      </c>
      <c r="AD353" s="14">
        <f>IFERROR(TableDailySummary[[#This Row],[Ventas publicidad]]/TableDailySummary[[#This Row],[Inversión publicidad]],0)</f>
        <v>0</v>
      </c>
      <c r="AE353" s="14">
        <f>IFERROR(TableDailySummary[[#This Row],[Ventas primer cliente]]/TableDailySummary[[#This Row],[Inversión publicidad]],0)</f>
        <v>11.834402027170576</v>
      </c>
      <c r="AF353" s="14"/>
      <c r="AG353" s="12"/>
      <c r="AM353" s="12">
        <f>_xlfn.XLOOKUP(TableDailySummary[[#This Row],[Fecha]],SummaryDaily[day],SummaryDaily[net_sales_with_cost_recorded],0)</f>
        <v>2642823.5299999998</v>
      </c>
      <c r="AN353" s="12">
        <f>_xlfn.XLOOKUP(TableDailySummary[[#This Row],[Fecha]],SummaryDaily[day],SummaryDaily[cost_of_goods_sold],0)</f>
        <v>774824</v>
      </c>
      <c r="AO353" s="12">
        <f>_xlfn.XLOOKUP(TableDailySummary[[#This Row],[Fecha]],SummaryDaily[day],SummaryDaily[gross_profit],0)</f>
        <v>1867999.53</v>
      </c>
      <c r="AP353" s="18">
        <f>IFERROR(TableDailySummary[[#This Row],[Utilidad bruta]]/TableDailySummary[[#This Row],[Ventas netas con costo registrado]],0)</f>
        <v>0.70681962257237818</v>
      </c>
    </row>
    <row r="354" spans="2:42" x14ac:dyDescent="0.2">
      <c r="B354" s="15" cm="1">
        <f t="array" ref="B354">MIN(SummaryDaily[day]) + (ROW(TableDailySummary[#This Row]) - ROW(TableDailySummary[[#Headers],[Dia]]) - 1)</f>
        <v>46125</v>
      </c>
      <c r="C354" s="6">
        <f>TableDailySummary[[#This Row],[Dia]]</f>
        <v>46125</v>
      </c>
      <c r="D354" s="12">
        <f>_xlfn.XLOOKUP(TableDailySummary[[#This Row],[Fecha]],SummaryDaily[day],SummaryDaily[net_sales],0)</f>
        <v>4674495.79</v>
      </c>
      <c r="E354" s="12">
        <f>_xlfn.XLOOKUP(TableDailySummary[[#This Row],[Fecha]],SummaryDaily[day],SummaryDaily[orders],0)</f>
        <v>33</v>
      </c>
      <c r="F354" s="12">
        <f>_xlfn.XLOOKUP(TableDailySummary[[#This Row],[Fecha]],SummaryDaily[day],SummaryDaily[average_order_value],0)</f>
        <v>139868.856</v>
      </c>
      <c r="G354" s="24">
        <f>_xlfn.XLOOKUP(TableDailySummary[[#This Row],[Fecha]],SummaryDaily[day],SummaryDaily[Total site_conversion_rate],0)</f>
        <v>9.7629009762900971E-3</v>
      </c>
      <c r="H354" s="12">
        <f>TableDailySummary[[#This Row],[Órden promedio totales]]*TableDailySummary[[#This Row],[CR totales]]</f>
        <v>1365.525790794979</v>
      </c>
      <c r="I354" s="12">
        <f>_xlfn.XLOOKUP(TableDailySummary[[#This Row],[Fecha]],SummaryDaily[day],SummaryDaily[new_net_sales],0)</f>
        <v>1218487.4099999999</v>
      </c>
      <c r="J354" s="12">
        <f>_xlfn.XLOOKUP(TableDailySummary[[#This Row],[Fecha]],SummaryDaily[day],SummaryDaily[new_orders],0)</f>
        <v>10</v>
      </c>
      <c r="K354" s="12">
        <f>_xlfn.XLOOKUP(TableDailySummary[[#This Row],[Fecha]],SummaryDaily[day],SummaryDaily[new_average_order_value],0)</f>
        <v>115966.387</v>
      </c>
      <c r="L354" s="12">
        <f>_xlfn.XLOOKUP(TableDailySummary[[#This Row],[Fecha]],SummaryDaily[day],SummaryDaily[Online Store_net_sales],0)</f>
        <v>967773.11</v>
      </c>
      <c r="M354" s="12">
        <f>_xlfn.XLOOKUP(TableDailySummary[[#This Row],[Fecha]],SummaryDaily[day],SummaryDaily[Online Store_orders],0)</f>
        <v>8</v>
      </c>
      <c r="N354" s="12">
        <f>_xlfn.XLOOKUP(TableDailySummary[[#This Row],[Fecha]],SummaryDaily[day],SummaryDaily[Online Store_average_order_value],0)</f>
        <v>120971.63800000001</v>
      </c>
      <c r="O354" s="12">
        <f>_xlfn.XLOOKUP(TableDailySummary[[#This Row],[Fecha]],SummaryDaily[day],SummaryDaily[Tienda 81_net_sales],0)</f>
        <v>3622689.07</v>
      </c>
      <c r="P354" s="12">
        <f>_xlfn.XLOOKUP(TableDailySummary[[#This Row],[Fecha]],SummaryDaily[day],SummaryDaily[Tienda 81_orders],0)</f>
        <v>24</v>
      </c>
      <c r="Q354" s="12">
        <f>_xlfn.XLOOKUP(TableDailySummary[[#This Row],[Fecha]],SummaryDaily[day],SummaryDaily[Tienda 81_average_order_value],0)</f>
        <v>148494.397</v>
      </c>
      <c r="R354" s="12">
        <f>_xlfn.XLOOKUP(TableDailySummary[[#This Row],[Fecha]],SummaryDaily[day],SummaryDaily[Rappi_net_sales],0)</f>
        <v>84033.61</v>
      </c>
      <c r="S354" s="12">
        <f>_xlfn.XLOOKUP(TableDailySummary[[#This Row],[Fecha]],SummaryDaily[day],SummaryDaily[Rappi_orders],0)</f>
        <v>1</v>
      </c>
      <c r="T354" s="12">
        <f>_xlfn.XLOOKUP(TableDailySummary[[#This Row],[Fecha]],SummaryDaily[day],SummaryDaily[Rappi_average_order_value],0)</f>
        <v>84033.61</v>
      </c>
      <c r="U354" s="12">
        <f>_xlfn.XLOOKUP(TableDailySummary[[#This Row],[Fecha]],SummaryDaily[day],SummaryDaily[Corporativo no tienda_net_sales],0)</f>
        <v>0</v>
      </c>
      <c r="V354" s="12">
        <f>_xlfn.XLOOKUP(TableDailySummary[[#This Row],[Fecha]],SummaryDaily[day],SummaryDaily[Corporativo no tienda_orders],0)</f>
        <v>0</v>
      </c>
      <c r="W354" s="12">
        <f>_xlfn.XLOOKUP(TableDailySummary[[#This Row],[Fecha]],SummaryDaily[day],SummaryDaily[Corporativo no tienda_average_order_value],0)</f>
        <v>0</v>
      </c>
      <c r="X354" s="12">
        <f>_xlfn.XLOOKUP(TableDailySummary[[#This Row],[Fecha]],SummaryDaily[day],SummaryDaily[GoogleAdsOperation.Cost],0)</f>
        <v>53192.3</v>
      </c>
      <c r="Y354" s="12">
        <f>SUMIFS(SalesByUTMDaily[google],SalesByUTMDaily[day],TableDailySummary[[#This Row],[Fecha]])</f>
        <v>0</v>
      </c>
      <c r="Z354" s="12">
        <f>_xlfn.XLOOKUP(TableDailySummary[[#This Row],[Fecha]],SummaryDaily[day],SummaryDaily[MetaAdsOperation.spend],0)</f>
        <v>85745</v>
      </c>
      <c r="AA354" s="12">
        <f>SUMIFS(SalesByUTMDaily[facebook],SalesByUTMDaily[day],TableDailySummary[[#This Row],[Fecha]])</f>
        <v>0</v>
      </c>
      <c r="AB354" s="12">
        <f>TableDailySummary[[#This Row],[Inversión google ads]]+TableDailySummary[[#This Row],[Inversión meta ads]]</f>
        <v>138937.29999999999</v>
      </c>
      <c r="AC354" s="12">
        <f>TableDailySummary[[#This Row],[Ventas google ads]]+TableDailySummary[[#This Row],[Ventas meta ads]]</f>
        <v>0</v>
      </c>
      <c r="AD354" s="14">
        <f>IFERROR(TableDailySummary[[#This Row],[Ventas publicidad]]/TableDailySummary[[#This Row],[Inversión publicidad]],0)</f>
        <v>0</v>
      </c>
      <c r="AE354" s="14">
        <f>IFERROR(TableDailySummary[[#This Row],[Ventas primer cliente]]/TableDailySummary[[#This Row],[Inversión publicidad]],0)</f>
        <v>8.7700524625136662</v>
      </c>
      <c r="AF354" s="14"/>
      <c r="AG354" s="12"/>
      <c r="AM354" s="12">
        <f>_xlfn.XLOOKUP(TableDailySummary[[#This Row],[Fecha]],SummaryDaily[day],SummaryDaily[net_sales_with_cost_recorded],0)</f>
        <v>4531638.6399999997</v>
      </c>
      <c r="AN354" s="12">
        <f>_xlfn.XLOOKUP(TableDailySummary[[#This Row],[Fecha]],SummaryDaily[day],SummaryDaily[cost_of_goods_sold],0)</f>
        <v>1371002</v>
      </c>
      <c r="AO354" s="12">
        <f>_xlfn.XLOOKUP(TableDailySummary[[#This Row],[Fecha]],SummaryDaily[day],SummaryDaily[gross_profit],0)</f>
        <v>3160636.64</v>
      </c>
      <c r="AP354" s="18">
        <f>IFERROR(TableDailySummary[[#This Row],[Utilidad bruta]]/TableDailySummary[[#This Row],[Ventas netas con costo registrado]],0)</f>
        <v>0.69745998988127622</v>
      </c>
    </row>
    <row r="355" spans="2:42" x14ac:dyDescent="0.2">
      <c r="B355" s="15" cm="1">
        <f t="array" ref="B355">MIN(SummaryDaily[day]) + (ROW(TableDailySummary[#This Row]) - ROW(TableDailySummary[[#Headers],[Dia]]) - 1)</f>
        <v>46126</v>
      </c>
      <c r="C355" s="6">
        <f>TableDailySummary[[#This Row],[Dia]]</f>
        <v>46126</v>
      </c>
      <c r="D355" s="12">
        <f>_xlfn.XLOOKUP(TableDailySummary[[#This Row],[Fecha]],SummaryDaily[day],SummaryDaily[net_sales],0)</f>
        <v>2512605.0499999998</v>
      </c>
      <c r="E355" s="12">
        <f>_xlfn.XLOOKUP(TableDailySummary[[#This Row],[Fecha]],SummaryDaily[day],SummaryDaily[orders],0)</f>
        <v>25</v>
      </c>
      <c r="F355" s="12">
        <f>_xlfn.XLOOKUP(TableDailySummary[[#This Row],[Fecha]],SummaryDaily[day],SummaryDaily[average_order_value],0)</f>
        <v>100504.202</v>
      </c>
      <c r="G355" s="24">
        <f>_xlfn.XLOOKUP(TableDailySummary[[#This Row],[Fecha]],SummaryDaily[day],SummaryDaily[Total site_conversion_rate],0)</f>
        <v>5.5096418732782371E-3</v>
      </c>
      <c r="H355" s="12">
        <f>TableDailySummary[[#This Row],[Órden promedio totales]]*TableDailySummary[[#This Row],[CR totales]]</f>
        <v>553.74215977961433</v>
      </c>
      <c r="I355" s="12">
        <f>_xlfn.XLOOKUP(TableDailySummary[[#This Row],[Fecha]],SummaryDaily[day],SummaryDaily[new_net_sales],0)</f>
        <v>1525210.1</v>
      </c>
      <c r="J355" s="12">
        <f>_xlfn.XLOOKUP(TableDailySummary[[#This Row],[Fecha]],SummaryDaily[day],SummaryDaily[new_orders],0)</f>
        <v>12</v>
      </c>
      <c r="K355" s="12">
        <f>_xlfn.XLOOKUP(TableDailySummary[[#This Row],[Fecha]],SummaryDaily[day],SummaryDaily[new_average_order_value],0)</f>
        <v>127100.841</v>
      </c>
      <c r="L355" s="12">
        <f>_xlfn.XLOOKUP(TableDailySummary[[#This Row],[Fecha]],SummaryDaily[day],SummaryDaily[Online Store_net_sales],0)</f>
        <v>138655.47</v>
      </c>
      <c r="M355" s="12">
        <f>_xlfn.XLOOKUP(TableDailySummary[[#This Row],[Fecha]],SummaryDaily[day],SummaryDaily[Online Store_orders],0)</f>
        <v>2</v>
      </c>
      <c r="N355" s="12">
        <f>_xlfn.XLOOKUP(TableDailySummary[[#This Row],[Fecha]],SummaryDaily[day],SummaryDaily[Online Store_average_order_value],0)</f>
        <v>69327.735000000001</v>
      </c>
      <c r="O355" s="12">
        <f>_xlfn.XLOOKUP(TableDailySummary[[#This Row],[Fecha]],SummaryDaily[day],SummaryDaily[Tienda 81_net_sales],0)</f>
        <v>2176470.59</v>
      </c>
      <c r="P355" s="12">
        <f>_xlfn.XLOOKUP(TableDailySummary[[#This Row],[Fecha]],SummaryDaily[day],SummaryDaily[Tienda 81_orders],0)</f>
        <v>19</v>
      </c>
      <c r="Q355" s="12">
        <f>_xlfn.XLOOKUP(TableDailySummary[[#This Row],[Fecha]],SummaryDaily[day],SummaryDaily[Tienda 81_average_order_value],0)</f>
        <v>114551.083</v>
      </c>
      <c r="R355" s="12">
        <f>_xlfn.XLOOKUP(TableDailySummary[[#This Row],[Fecha]],SummaryDaily[day],SummaryDaily[Rappi_net_sales],0)</f>
        <v>197478.99</v>
      </c>
      <c r="S355" s="12">
        <f>_xlfn.XLOOKUP(TableDailySummary[[#This Row],[Fecha]],SummaryDaily[day],SummaryDaily[Rappi_orders],0)</f>
        <v>4</v>
      </c>
      <c r="T355" s="12">
        <f>_xlfn.XLOOKUP(TableDailySummary[[#This Row],[Fecha]],SummaryDaily[day],SummaryDaily[Rappi_average_order_value],0)</f>
        <v>49369.747000000003</v>
      </c>
      <c r="U355" s="12">
        <f>_xlfn.XLOOKUP(TableDailySummary[[#This Row],[Fecha]],SummaryDaily[day],SummaryDaily[Corporativo no tienda_net_sales],0)</f>
        <v>0</v>
      </c>
      <c r="V355" s="12">
        <f>_xlfn.XLOOKUP(TableDailySummary[[#This Row],[Fecha]],SummaryDaily[day],SummaryDaily[Corporativo no tienda_orders],0)</f>
        <v>0</v>
      </c>
      <c r="W355" s="12">
        <f>_xlfn.XLOOKUP(TableDailySummary[[#This Row],[Fecha]],SummaryDaily[day],SummaryDaily[Corporativo no tienda_average_order_value],0)</f>
        <v>0</v>
      </c>
      <c r="X355" s="12">
        <f>_xlfn.XLOOKUP(TableDailySummary[[#This Row],[Fecha]],SummaryDaily[day],SummaryDaily[GoogleAdsOperation.Cost],0)</f>
        <v>46282.33</v>
      </c>
      <c r="Y355" s="12">
        <f>SUMIFS(SalesByUTMDaily[google],SalesByUTMDaily[day],TableDailySummary[[#This Row],[Fecha]])</f>
        <v>0</v>
      </c>
      <c r="Z355" s="12">
        <f>_xlfn.XLOOKUP(TableDailySummary[[#This Row],[Fecha]],SummaryDaily[day],SummaryDaily[MetaAdsOperation.spend],0)</f>
        <v>87582</v>
      </c>
      <c r="AA355" s="12">
        <f>SUMIFS(SalesByUTMDaily[facebook],SalesByUTMDaily[day],TableDailySummary[[#This Row],[Fecha]])</f>
        <v>0</v>
      </c>
      <c r="AB355" s="12">
        <f>TableDailySummary[[#This Row],[Inversión google ads]]+TableDailySummary[[#This Row],[Inversión meta ads]]</f>
        <v>133864.33000000002</v>
      </c>
      <c r="AC355" s="12">
        <f>TableDailySummary[[#This Row],[Ventas google ads]]+TableDailySummary[[#This Row],[Ventas meta ads]]</f>
        <v>0</v>
      </c>
      <c r="AD355" s="14">
        <f>IFERROR(TableDailySummary[[#This Row],[Ventas publicidad]]/TableDailySummary[[#This Row],[Inversión publicidad]],0)</f>
        <v>0</v>
      </c>
      <c r="AE355" s="14">
        <f>IFERROR(TableDailySummary[[#This Row],[Ventas primer cliente]]/TableDailySummary[[#This Row],[Inversión publicidad]],0)</f>
        <v>11.393700622114942</v>
      </c>
      <c r="AF355" s="14"/>
      <c r="AG355" s="12"/>
      <c r="AM355" s="12">
        <f>_xlfn.XLOOKUP(TableDailySummary[[#This Row],[Fecha]],SummaryDaily[day],SummaryDaily[net_sales_with_cost_recorded],0)</f>
        <v>2512605.0499999998</v>
      </c>
      <c r="AN355" s="12">
        <f>_xlfn.XLOOKUP(TableDailySummary[[#This Row],[Fecha]],SummaryDaily[day],SummaryDaily[cost_of_goods_sold],0)</f>
        <v>803079</v>
      </c>
      <c r="AO355" s="12">
        <f>_xlfn.XLOOKUP(TableDailySummary[[#This Row],[Fecha]],SummaryDaily[day],SummaryDaily[gross_profit],0)</f>
        <v>1709526.05</v>
      </c>
      <c r="AP355" s="18">
        <f>IFERROR(TableDailySummary[[#This Row],[Utilidad bruta]]/TableDailySummary[[#This Row],[Ventas netas con costo registrado]],0)</f>
        <v>0.68037993078140158</v>
      </c>
    </row>
    <row r="356" spans="2:42" x14ac:dyDescent="0.2">
      <c r="B356" s="15" cm="1">
        <f t="array" ref="B356">MIN(SummaryDaily[day]) + (ROW(TableDailySummary[#This Row]) - ROW(TableDailySummary[[#Headers],[Dia]]) - 1)</f>
        <v>46127</v>
      </c>
      <c r="C356" s="6">
        <f>TableDailySummary[[#This Row],[Dia]]</f>
        <v>46127</v>
      </c>
      <c r="D356" s="12">
        <f>_xlfn.XLOOKUP(TableDailySummary[[#This Row],[Fecha]],SummaryDaily[day],SummaryDaily[net_sales],0)</f>
        <v>4264705.8600000003</v>
      </c>
      <c r="E356" s="12">
        <f>_xlfn.XLOOKUP(TableDailySummary[[#This Row],[Fecha]],SummaryDaily[day],SummaryDaily[orders],0)</f>
        <v>30</v>
      </c>
      <c r="F356" s="12">
        <f>_xlfn.XLOOKUP(TableDailySummary[[#This Row],[Fecha]],SummaryDaily[day],SummaryDaily[average_order_value],0)</f>
        <v>142156.86199999999</v>
      </c>
      <c r="G356" s="24">
        <f>_xlfn.XLOOKUP(TableDailySummary[[#This Row],[Fecha]],SummaryDaily[day],SummaryDaily[Total site_conversion_rate],0)</f>
        <v>9.9833610648918467E-3</v>
      </c>
      <c r="H356" s="12">
        <f>TableDailySummary[[#This Row],[Órden promedio totales]]*TableDailySummary[[#This Row],[CR totales]]</f>
        <v>1419.2032811980032</v>
      </c>
      <c r="I356" s="12">
        <f>_xlfn.XLOOKUP(TableDailySummary[[#This Row],[Fecha]],SummaryDaily[day],SummaryDaily[new_net_sales],0)</f>
        <v>1777310.91</v>
      </c>
      <c r="J356" s="12">
        <f>_xlfn.XLOOKUP(TableDailySummary[[#This Row],[Fecha]],SummaryDaily[day],SummaryDaily[new_orders],0)</f>
        <v>11</v>
      </c>
      <c r="K356" s="12">
        <f>_xlfn.XLOOKUP(TableDailySummary[[#This Row],[Fecha]],SummaryDaily[day],SummaryDaily[new_average_order_value],0)</f>
        <v>161573.71900000001</v>
      </c>
      <c r="L356" s="12">
        <f>_xlfn.XLOOKUP(TableDailySummary[[#This Row],[Fecha]],SummaryDaily[day],SummaryDaily[Online Store_net_sales],0)</f>
        <v>1096638.6499999999</v>
      </c>
      <c r="M356" s="12">
        <f>_xlfn.XLOOKUP(TableDailySummary[[#This Row],[Fecha]],SummaryDaily[day],SummaryDaily[Online Store_orders],0)</f>
        <v>6</v>
      </c>
      <c r="N356" s="12">
        <f>_xlfn.XLOOKUP(TableDailySummary[[#This Row],[Fecha]],SummaryDaily[day],SummaryDaily[Online Store_average_order_value],0)</f>
        <v>182773.10800000001</v>
      </c>
      <c r="O356" s="12">
        <f>_xlfn.XLOOKUP(TableDailySummary[[#This Row],[Fecha]],SummaryDaily[day],SummaryDaily[Tienda 81_net_sales],0)</f>
        <v>2957983.18</v>
      </c>
      <c r="P356" s="12">
        <f>_xlfn.XLOOKUP(TableDailySummary[[#This Row],[Fecha]],SummaryDaily[day],SummaryDaily[Tienda 81_orders],0)</f>
        <v>21</v>
      </c>
      <c r="Q356" s="12">
        <f>_xlfn.XLOOKUP(TableDailySummary[[#This Row],[Fecha]],SummaryDaily[day],SummaryDaily[Tienda 81_average_order_value],0)</f>
        <v>140856.34099999999</v>
      </c>
      <c r="R356" s="12">
        <f>_xlfn.XLOOKUP(TableDailySummary[[#This Row],[Fecha]],SummaryDaily[day],SummaryDaily[Rappi_net_sales],0)</f>
        <v>210084.03</v>
      </c>
      <c r="S356" s="12">
        <f>_xlfn.XLOOKUP(TableDailySummary[[#This Row],[Fecha]],SummaryDaily[day],SummaryDaily[Rappi_orders],0)</f>
        <v>3</v>
      </c>
      <c r="T356" s="12">
        <f>_xlfn.XLOOKUP(TableDailySummary[[#This Row],[Fecha]],SummaryDaily[day],SummaryDaily[Rappi_average_order_value],0)</f>
        <v>70028.009999999995</v>
      </c>
      <c r="U356" s="12">
        <f>_xlfn.XLOOKUP(TableDailySummary[[#This Row],[Fecha]],SummaryDaily[day],SummaryDaily[Corporativo no tienda_net_sales],0)</f>
        <v>0</v>
      </c>
      <c r="V356" s="12">
        <f>_xlfn.XLOOKUP(TableDailySummary[[#This Row],[Fecha]],SummaryDaily[day],SummaryDaily[Corporativo no tienda_orders],0)</f>
        <v>0</v>
      </c>
      <c r="W356" s="12">
        <f>_xlfn.XLOOKUP(TableDailySummary[[#This Row],[Fecha]],SummaryDaily[day],SummaryDaily[Corporativo no tienda_average_order_value],0)</f>
        <v>0</v>
      </c>
      <c r="X356" s="12">
        <f>_xlfn.XLOOKUP(TableDailySummary[[#This Row],[Fecha]],SummaryDaily[day],SummaryDaily[GoogleAdsOperation.Cost],0)</f>
        <v>50500.72</v>
      </c>
      <c r="Y356" s="12">
        <f>SUMIFS(SalesByUTMDaily[google],SalesByUTMDaily[day],TableDailySummary[[#This Row],[Fecha]])</f>
        <v>75000</v>
      </c>
      <c r="Z356" s="12">
        <f>_xlfn.XLOOKUP(TableDailySummary[[#This Row],[Fecha]],SummaryDaily[day],SummaryDaily[MetaAdsOperation.spend],0)</f>
        <v>79438</v>
      </c>
      <c r="AA356" s="12">
        <f>SUMIFS(SalesByUTMDaily[facebook],SalesByUTMDaily[day],TableDailySummary[[#This Row],[Fecha]])</f>
        <v>0</v>
      </c>
      <c r="AB356" s="12">
        <f>TableDailySummary[[#This Row],[Inversión google ads]]+TableDailySummary[[#This Row],[Inversión meta ads]]</f>
        <v>129938.72</v>
      </c>
      <c r="AC356" s="12">
        <f>TableDailySummary[[#This Row],[Ventas google ads]]+TableDailySummary[[#This Row],[Ventas meta ads]]</f>
        <v>75000</v>
      </c>
      <c r="AD356" s="14">
        <f>IFERROR(TableDailySummary[[#This Row],[Ventas publicidad]]/TableDailySummary[[#This Row],[Inversión publicidad]],0)</f>
        <v>0.57719515784055742</v>
      </c>
      <c r="AE356" s="14">
        <f>IFERROR(TableDailySummary[[#This Row],[Ventas primer cliente]]/TableDailySummary[[#This Row],[Inversión publicidad]],0)</f>
        <v>13.678070016389263</v>
      </c>
      <c r="AF356" s="14"/>
      <c r="AG356" s="12"/>
      <c r="AM356" s="12">
        <f>_xlfn.XLOOKUP(TableDailySummary[[#This Row],[Fecha]],SummaryDaily[day],SummaryDaily[net_sales_with_cost_recorded],0)</f>
        <v>4205882.34</v>
      </c>
      <c r="AN356" s="12">
        <f>_xlfn.XLOOKUP(TableDailySummary[[#This Row],[Fecha]],SummaryDaily[day],SummaryDaily[cost_of_goods_sold],0)</f>
        <v>1225767</v>
      </c>
      <c r="AO356" s="12">
        <f>_xlfn.XLOOKUP(TableDailySummary[[#This Row],[Fecha]],SummaryDaily[day],SummaryDaily[gross_profit],0)</f>
        <v>2980115.34</v>
      </c>
      <c r="AP356" s="18">
        <f>IFERROR(TableDailySummary[[#This Row],[Utilidad bruta]]/TableDailySummary[[#This Row],[Ventas netas con costo registrado]],0)</f>
        <v>0.70855889420815321</v>
      </c>
    </row>
    <row r="357" spans="2:42" x14ac:dyDescent="0.2">
      <c r="B357" s="15" cm="1">
        <f t="array" ref="B357">MIN(SummaryDaily[day]) + (ROW(TableDailySummary[#This Row]) - ROW(TableDailySummary[[#Headers],[Dia]]) - 1)</f>
        <v>46128</v>
      </c>
      <c r="C357" s="6">
        <f>TableDailySummary[[#This Row],[Dia]]</f>
        <v>46128</v>
      </c>
      <c r="D357" s="12">
        <f>_xlfn.XLOOKUP(TableDailySummary[[#This Row],[Fecha]],SummaryDaily[day],SummaryDaily[net_sales],0)</f>
        <v>4634294.09</v>
      </c>
      <c r="E357" s="12">
        <f>_xlfn.XLOOKUP(TableDailySummary[[#This Row],[Fecha]],SummaryDaily[day],SummaryDaily[orders],0)</f>
        <v>24</v>
      </c>
      <c r="F357" s="12">
        <f>_xlfn.XLOOKUP(TableDailySummary[[#This Row],[Fecha]],SummaryDaily[day],SummaryDaily[average_order_value],0)</f>
        <v>191695.02600000001</v>
      </c>
      <c r="G357" s="24">
        <f>_xlfn.XLOOKUP(TableDailySummary[[#This Row],[Fecha]],SummaryDaily[day],SummaryDaily[Total site_conversion_rate],0)</f>
        <v>6.9348127600554789E-3</v>
      </c>
      <c r="H357" s="12">
        <f>TableDailySummary[[#This Row],[Órden promedio totales]]*TableDailySummary[[#This Row],[CR totales]]</f>
        <v>1329.3691123439669</v>
      </c>
      <c r="I357" s="12">
        <f>_xlfn.XLOOKUP(TableDailySummary[[#This Row],[Fecha]],SummaryDaily[day],SummaryDaily[new_net_sales],0)</f>
        <v>3321848.74</v>
      </c>
      <c r="J357" s="12">
        <f>_xlfn.XLOOKUP(TableDailySummary[[#This Row],[Fecha]],SummaryDaily[day],SummaryDaily[new_orders],0)</f>
        <v>9</v>
      </c>
      <c r="K357" s="12">
        <f>_xlfn.XLOOKUP(TableDailySummary[[#This Row],[Fecha]],SummaryDaily[day],SummaryDaily[new_average_order_value],0)</f>
        <v>365359.47600000002</v>
      </c>
      <c r="L357" s="12">
        <f>_xlfn.XLOOKUP(TableDailySummary[[#This Row],[Fecha]],SummaryDaily[day],SummaryDaily[Online Store_net_sales],0)</f>
        <v>752100.83</v>
      </c>
      <c r="M357" s="12">
        <f>_xlfn.XLOOKUP(TableDailySummary[[#This Row],[Fecha]],SummaryDaily[day],SummaryDaily[Online Store_orders],0)</f>
        <v>6</v>
      </c>
      <c r="N357" s="12">
        <f>_xlfn.XLOOKUP(TableDailySummary[[#This Row],[Fecha]],SummaryDaily[day],SummaryDaily[Online Store_average_order_value],0)</f>
        <v>125350.13800000001</v>
      </c>
      <c r="O357" s="12">
        <f>_xlfn.XLOOKUP(TableDailySummary[[#This Row],[Fecha]],SummaryDaily[day],SummaryDaily[Tienda 81_net_sales],0)</f>
        <v>3882193.26</v>
      </c>
      <c r="P357" s="12">
        <f>_xlfn.XLOOKUP(TableDailySummary[[#This Row],[Fecha]],SummaryDaily[day],SummaryDaily[Tienda 81_orders],0)</f>
        <v>18</v>
      </c>
      <c r="Q357" s="12">
        <f>_xlfn.XLOOKUP(TableDailySummary[[#This Row],[Fecha]],SummaryDaily[day],SummaryDaily[Tienda 81_average_order_value],0)</f>
        <v>213809.989</v>
      </c>
      <c r="R357" s="12">
        <f>_xlfn.XLOOKUP(TableDailySummary[[#This Row],[Fecha]],SummaryDaily[day],SummaryDaily[Rappi_net_sales],0)</f>
        <v>0</v>
      </c>
      <c r="S357" s="12">
        <f>_xlfn.XLOOKUP(TableDailySummary[[#This Row],[Fecha]],SummaryDaily[day],SummaryDaily[Rappi_orders],0)</f>
        <v>0</v>
      </c>
      <c r="T357" s="12">
        <f>_xlfn.XLOOKUP(TableDailySummary[[#This Row],[Fecha]],SummaryDaily[day],SummaryDaily[Rappi_average_order_value],0)</f>
        <v>0</v>
      </c>
      <c r="U357" s="12">
        <f>_xlfn.XLOOKUP(TableDailySummary[[#This Row],[Fecha]],SummaryDaily[day],SummaryDaily[Corporativo no tienda_net_sales],0)</f>
        <v>0</v>
      </c>
      <c r="V357" s="12">
        <f>_xlfn.XLOOKUP(TableDailySummary[[#This Row],[Fecha]],SummaryDaily[day],SummaryDaily[Corporativo no tienda_orders],0)</f>
        <v>0</v>
      </c>
      <c r="W357" s="12">
        <f>_xlfn.XLOOKUP(TableDailySummary[[#This Row],[Fecha]],SummaryDaily[day],SummaryDaily[Corporativo no tienda_average_order_value],0)</f>
        <v>0</v>
      </c>
      <c r="X357" s="12">
        <f>_xlfn.XLOOKUP(TableDailySummary[[#This Row],[Fecha]],SummaryDaily[day],SummaryDaily[GoogleAdsOperation.Cost],0)</f>
        <v>51250.65</v>
      </c>
      <c r="Y357" s="12">
        <f>SUMIFS(SalesByUTMDaily[google],SalesByUTMDaily[day],TableDailySummary[[#This Row],[Fecha]])</f>
        <v>0</v>
      </c>
      <c r="Z357" s="12">
        <f>_xlfn.XLOOKUP(TableDailySummary[[#This Row],[Fecha]],SummaryDaily[day],SummaryDaily[MetaAdsOperation.spend],0)</f>
        <v>76053</v>
      </c>
      <c r="AA357" s="12">
        <f>SUMIFS(SalesByUTMDaily[facebook],SalesByUTMDaily[day],TableDailySummary[[#This Row],[Fecha]])</f>
        <v>0</v>
      </c>
      <c r="AB357" s="12">
        <f>TableDailySummary[[#This Row],[Inversión google ads]]+TableDailySummary[[#This Row],[Inversión meta ads]]</f>
        <v>127303.65</v>
      </c>
      <c r="AC357" s="12">
        <f>TableDailySummary[[#This Row],[Ventas google ads]]+TableDailySummary[[#This Row],[Ventas meta ads]]</f>
        <v>0</v>
      </c>
      <c r="AD357" s="14">
        <f>IFERROR(TableDailySummary[[#This Row],[Ventas publicidad]]/TableDailySummary[[#This Row],[Inversión publicidad]],0)</f>
        <v>0</v>
      </c>
      <c r="AE357" s="14">
        <f>IFERROR(TableDailySummary[[#This Row],[Ventas primer cliente]]/TableDailySummary[[#This Row],[Inversión publicidad]],0)</f>
        <v>26.093900214172965</v>
      </c>
      <c r="AF357" s="14"/>
      <c r="AG357" s="12"/>
      <c r="AM357" s="12">
        <f>_xlfn.XLOOKUP(TableDailySummary[[#This Row],[Fecha]],SummaryDaily[day],SummaryDaily[net_sales_with_cost_recorded],0)</f>
        <v>4592277.28</v>
      </c>
      <c r="AN357" s="12">
        <f>_xlfn.XLOOKUP(TableDailySummary[[#This Row],[Fecha]],SummaryDaily[day],SummaryDaily[cost_of_goods_sold],0)</f>
        <v>1469776</v>
      </c>
      <c r="AO357" s="12">
        <f>_xlfn.XLOOKUP(TableDailySummary[[#This Row],[Fecha]],SummaryDaily[day],SummaryDaily[gross_profit],0)</f>
        <v>3122501.28</v>
      </c>
      <c r="AP357" s="18">
        <f>IFERROR(TableDailySummary[[#This Row],[Utilidad bruta]]/TableDailySummary[[#This Row],[Ventas netas con costo registrado]],0)</f>
        <v>0.67994615516770351</v>
      </c>
    </row>
    <row r="358" spans="2:42" x14ac:dyDescent="0.2">
      <c r="B358" s="15" cm="1">
        <f t="array" ref="B358">MIN(SummaryDaily[day]) + (ROW(TableDailySummary[#This Row]) - ROW(TableDailySummary[[#Headers],[Dia]]) - 1)</f>
        <v>46129</v>
      </c>
      <c r="C358" s="6">
        <f>TableDailySummary[[#This Row],[Dia]]</f>
        <v>46129</v>
      </c>
      <c r="D358" s="12">
        <f>_xlfn.XLOOKUP(TableDailySummary[[#This Row],[Fecha]],SummaryDaily[day],SummaryDaily[net_sales],0)</f>
        <v>3285655.46</v>
      </c>
      <c r="E358" s="12">
        <f>_xlfn.XLOOKUP(TableDailySummary[[#This Row],[Fecha]],SummaryDaily[day],SummaryDaily[orders],0)</f>
        <v>23</v>
      </c>
      <c r="F358" s="12">
        <f>_xlfn.XLOOKUP(TableDailySummary[[#This Row],[Fecha]],SummaryDaily[day],SummaryDaily[average_order_value],0)</f>
        <v>142854.58499999999</v>
      </c>
      <c r="G358" s="24">
        <f>_xlfn.XLOOKUP(TableDailySummary[[#This Row],[Fecha]],SummaryDaily[day],SummaryDaily[Total site_conversion_rate],0)</f>
        <v>9.0361445783132526E-3</v>
      </c>
      <c r="H358" s="12">
        <f>TableDailySummary[[#This Row],[Órden promedio totales]]*TableDailySummary[[#This Row],[CR totales]]</f>
        <v>1290.8546837349397</v>
      </c>
      <c r="I358" s="12">
        <f>_xlfn.XLOOKUP(TableDailySummary[[#This Row],[Fecha]],SummaryDaily[day],SummaryDaily[new_net_sales],0)</f>
        <v>2252100.85</v>
      </c>
      <c r="J358" s="12">
        <f>_xlfn.XLOOKUP(TableDailySummary[[#This Row],[Fecha]],SummaryDaily[day],SummaryDaily[new_orders],0)</f>
        <v>13</v>
      </c>
      <c r="K358" s="12">
        <f>_xlfn.XLOOKUP(TableDailySummary[[#This Row],[Fecha]],SummaryDaily[day],SummaryDaily[new_average_order_value],0)</f>
        <v>173238.52600000001</v>
      </c>
      <c r="L358" s="12">
        <f>_xlfn.XLOOKUP(TableDailySummary[[#This Row],[Fecha]],SummaryDaily[day],SummaryDaily[Online Store_net_sales],0)</f>
        <v>2155462.19</v>
      </c>
      <c r="M358" s="12">
        <f>_xlfn.XLOOKUP(TableDailySummary[[#This Row],[Fecha]],SummaryDaily[day],SummaryDaily[Online Store_orders],0)</f>
        <v>8</v>
      </c>
      <c r="N358" s="12">
        <f>_xlfn.XLOOKUP(TableDailySummary[[#This Row],[Fecha]],SummaryDaily[day],SummaryDaily[Online Store_average_order_value],0)</f>
        <v>269432.77299999999</v>
      </c>
      <c r="O358" s="12">
        <f>_xlfn.XLOOKUP(TableDailySummary[[#This Row],[Fecha]],SummaryDaily[day],SummaryDaily[Tienda 81_net_sales],0)</f>
        <v>558764.69999999995</v>
      </c>
      <c r="P358" s="12">
        <f>_xlfn.XLOOKUP(TableDailySummary[[#This Row],[Fecha]],SummaryDaily[day],SummaryDaily[Tienda 81_orders],0)</f>
        <v>8</v>
      </c>
      <c r="Q358" s="12">
        <f>_xlfn.XLOOKUP(TableDailySummary[[#This Row],[Fecha]],SummaryDaily[day],SummaryDaily[Tienda 81_average_order_value],0)</f>
        <v>69845.587</v>
      </c>
      <c r="R358" s="12">
        <f>_xlfn.XLOOKUP(TableDailySummary[[#This Row],[Fecha]],SummaryDaily[day],SummaryDaily[Rappi_net_sales],0)</f>
        <v>571428.56999999995</v>
      </c>
      <c r="S358" s="12">
        <f>_xlfn.XLOOKUP(TableDailySummary[[#This Row],[Fecha]],SummaryDaily[day],SummaryDaily[Rappi_orders],0)</f>
        <v>7</v>
      </c>
      <c r="T358" s="12">
        <f>_xlfn.XLOOKUP(TableDailySummary[[#This Row],[Fecha]],SummaryDaily[day],SummaryDaily[Rappi_average_order_value],0)</f>
        <v>81632.652000000002</v>
      </c>
      <c r="U358" s="12">
        <f>_xlfn.XLOOKUP(TableDailySummary[[#This Row],[Fecha]],SummaryDaily[day],SummaryDaily[Corporativo no tienda_net_sales],0)</f>
        <v>0</v>
      </c>
      <c r="V358" s="12">
        <f>_xlfn.XLOOKUP(TableDailySummary[[#This Row],[Fecha]],SummaryDaily[day],SummaryDaily[Corporativo no tienda_orders],0)</f>
        <v>0</v>
      </c>
      <c r="W358" s="12">
        <f>_xlfn.XLOOKUP(TableDailySummary[[#This Row],[Fecha]],SummaryDaily[day],SummaryDaily[Corporativo no tienda_average_order_value],0)</f>
        <v>0</v>
      </c>
      <c r="X358" s="12">
        <f>_xlfn.XLOOKUP(TableDailySummary[[#This Row],[Fecha]],SummaryDaily[day],SummaryDaily[GoogleAdsOperation.Cost],0)</f>
        <v>52413.89</v>
      </c>
      <c r="Y358" s="12">
        <f>SUMIFS(SalesByUTMDaily[google],SalesByUTMDaily[day],TableDailySummary[[#This Row],[Fecha]])</f>
        <v>0</v>
      </c>
      <c r="Z358" s="12">
        <f>_xlfn.XLOOKUP(TableDailySummary[[#This Row],[Fecha]],SummaryDaily[day],SummaryDaily[MetaAdsOperation.spend],0)</f>
        <v>78903</v>
      </c>
      <c r="AA358" s="12">
        <f>SUMIFS(SalesByUTMDaily[facebook],SalesByUTMDaily[day],TableDailySummary[[#This Row],[Fecha]])</f>
        <v>0</v>
      </c>
      <c r="AB358" s="12">
        <f>TableDailySummary[[#This Row],[Inversión google ads]]+TableDailySummary[[#This Row],[Inversión meta ads]]</f>
        <v>131316.89000000001</v>
      </c>
      <c r="AC358" s="12">
        <f>TableDailySummary[[#This Row],[Ventas google ads]]+TableDailySummary[[#This Row],[Ventas meta ads]]</f>
        <v>0</v>
      </c>
      <c r="AD358" s="14">
        <f>IFERROR(TableDailySummary[[#This Row],[Ventas publicidad]]/TableDailySummary[[#This Row],[Inversión publicidad]],0)</f>
        <v>0</v>
      </c>
      <c r="AE358" s="14">
        <f>IFERROR(TableDailySummary[[#This Row],[Ventas primer cliente]]/TableDailySummary[[#This Row],[Inversión publicidad]],0)</f>
        <v>17.150123262894816</v>
      </c>
      <c r="AF358" s="14"/>
      <c r="AG358" s="12"/>
      <c r="AM358" s="12">
        <f>_xlfn.XLOOKUP(TableDailySummary[[#This Row],[Fecha]],SummaryDaily[day],SummaryDaily[net_sales_with_cost_recorded],0)</f>
        <v>3285655.46</v>
      </c>
      <c r="AN358" s="12">
        <f>_xlfn.XLOOKUP(TableDailySummary[[#This Row],[Fecha]],SummaryDaily[day],SummaryDaily[cost_of_goods_sold],0)</f>
        <v>1135847</v>
      </c>
      <c r="AO358" s="12">
        <f>_xlfn.XLOOKUP(TableDailySummary[[#This Row],[Fecha]],SummaryDaily[day],SummaryDaily[gross_profit],0)</f>
        <v>2149808.46</v>
      </c>
      <c r="AP358" s="18">
        <f>IFERROR(TableDailySummary[[#This Row],[Utilidad bruta]]/TableDailySummary[[#This Row],[Ventas netas con costo registrado]],0)</f>
        <v>0.65430124557247404</v>
      </c>
    </row>
    <row r="359" spans="2:42" x14ac:dyDescent="0.2">
      <c r="B359" s="15" cm="1">
        <f t="array" ref="B359">MIN(SummaryDaily[day]) + (ROW(TableDailySummary[#This Row]) - ROW(TableDailySummary[[#Headers],[Dia]]) - 1)</f>
        <v>46130</v>
      </c>
      <c r="C359" s="6">
        <f>TableDailySummary[[#This Row],[Dia]]</f>
        <v>46130</v>
      </c>
      <c r="D359" s="12">
        <f>_xlfn.XLOOKUP(TableDailySummary[[#This Row],[Fecha]],SummaryDaily[day],SummaryDaily[net_sales],0)</f>
        <v>4315966.4000000004</v>
      </c>
      <c r="E359" s="12">
        <f>_xlfn.XLOOKUP(TableDailySummary[[#This Row],[Fecha]],SummaryDaily[day],SummaryDaily[orders],0)</f>
        <v>28</v>
      </c>
      <c r="F359" s="12">
        <f>_xlfn.XLOOKUP(TableDailySummary[[#This Row],[Fecha]],SummaryDaily[day],SummaryDaily[average_order_value],0)</f>
        <v>154141.65700000001</v>
      </c>
      <c r="G359" s="24">
        <f>_xlfn.XLOOKUP(TableDailySummary[[#This Row],[Fecha]],SummaryDaily[day],SummaryDaily[Total site_conversion_rate],0)</f>
        <v>5.008347245409015E-3</v>
      </c>
      <c r="H359" s="12">
        <f>TableDailySummary[[#This Row],[Órden promedio totales]]*TableDailySummary[[#This Row],[CR totales]]</f>
        <v>771.99494323873125</v>
      </c>
      <c r="I359" s="12">
        <f>_xlfn.XLOOKUP(TableDailySummary[[#This Row],[Fecha]],SummaryDaily[day],SummaryDaily[new_net_sales],0)</f>
        <v>2552184.87</v>
      </c>
      <c r="J359" s="12">
        <f>_xlfn.XLOOKUP(TableDailySummary[[#This Row],[Fecha]],SummaryDaily[day],SummaryDaily[new_orders],0)</f>
        <v>13</v>
      </c>
      <c r="K359" s="12">
        <f>_xlfn.XLOOKUP(TableDailySummary[[#This Row],[Fecha]],SummaryDaily[day],SummaryDaily[new_average_order_value],0)</f>
        <v>196321.913</v>
      </c>
      <c r="L359" s="12">
        <f>_xlfn.XLOOKUP(TableDailySummary[[#This Row],[Fecha]],SummaryDaily[day],SummaryDaily[Online Store_net_sales],0)</f>
        <v>668823.53</v>
      </c>
      <c r="M359" s="12">
        <f>_xlfn.XLOOKUP(TableDailySummary[[#This Row],[Fecha]],SummaryDaily[day],SummaryDaily[Online Store_orders],0)</f>
        <v>5</v>
      </c>
      <c r="N359" s="12">
        <f>_xlfn.XLOOKUP(TableDailySummary[[#This Row],[Fecha]],SummaryDaily[day],SummaryDaily[Online Store_average_order_value],0)</f>
        <v>133764.70600000001</v>
      </c>
      <c r="O359" s="12">
        <f>_xlfn.XLOOKUP(TableDailySummary[[#This Row],[Fecha]],SummaryDaily[day],SummaryDaily[Tienda 81_net_sales],0)</f>
        <v>3647142.87</v>
      </c>
      <c r="P359" s="12">
        <f>_xlfn.XLOOKUP(TableDailySummary[[#This Row],[Fecha]],SummaryDaily[day],SummaryDaily[Tienda 81_orders],0)</f>
        <v>23</v>
      </c>
      <c r="Q359" s="12">
        <f>_xlfn.XLOOKUP(TableDailySummary[[#This Row],[Fecha]],SummaryDaily[day],SummaryDaily[Tienda 81_average_order_value],0)</f>
        <v>158571.429</v>
      </c>
      <c r="R359" s="12">
        <f>_xlfn.XLOOKUP(TableDailySummary[[#This Row],[Fecha]],SummaryDaily[day],SummaryDaily[Rappi_net_sales],0)</f>
        <v>0</v>
      </c>
      <c r="S359" s="12">
        <f>_xlfn.XLOOKUP(TableDailySummary[[#This Row],[Fecha]],SummaryDaily[day],SummaryDaily[Rappi_orders],0)</f>
        <v>0</v>
      </c>
      <c r="T359" s="12">
        <f>_xlfn.XLOOKUP(TableDailySummary[[#This Row],[Fecha]],SummaryDaily[day],SummaryDaily[Rappi_average_order_value],0)</f>
        <v>0</v>
      </c>
      <c r="U359" s="12">
        <f>_xlfn.XLOOKUP(TableDailySummary[[#This Row],[Fecha]],SummaryDaily[day],SummaryDaily[Corporativo no tienda_net_sales],0)</f>
        <v>0</v>
      </c>
      <c r="V359" s="12">
        <f>_xlfn.XLOOKUP(TableDailySummary[[#This Row],[Fecha]],SummaryDaily[day],SummaryDaily[Corporativo no tienda_orders],0)</f>
        <v>0</v>
      </c>
      <c r="W359" s="12">
        <f>_xlfn.XLOOKUP(TableDailySummary[[#This Row],[Fecha]],SummaryDaily[day],SummaryDaily[Corporativo no tienda_average_order_value],0)</f>
        <v>0</v>
      </c>
      <c r="X359" s="12">
        <f>_xlfn.XLOOKUP(TableDailySummary[[#This Row],[Fecha]],SummaryDaily[day],SummaryDaily[GoogleAdsOperation.Cost],0)</f>
        <v>60324.1</v>
      </c>
      <c r="Y359" s="12">
        <f>SUMIFS(SalesByUTMDaily[google],SalesByUTMDaily[day],TableDailySummary[[#This Row],[Fecha]])</f>
        <v>0</v>
      </c>
      <c r="Z359" s="12">
        <f>_xlfn.XLOOKUP(TableDailySummary[[#This Row],[Fecha]],SummaryDaily[day],SummaryDaily[MetaAdsOperation.spend],0)</f>
        <v>85002</v>
      </c>
      <c r="AA359" s="12">
        <f>SUMIFS(SalesByUTMDaily[facebook],SalesByUTMDaily[day],TableDailySummary[[#This Row],[Fecha]])</f>
        <v>87000</v>
      </c>
      <c r="AB359" s="12">
        <f>TableDailySummary[[#This Row],[Inversión google ads]]+TableDailySummary[[#This Row],[Inversión meta ads]]</f>
        <v>145326.1</v>
      </c>
      <c r="AC359" s="12">
        <f>TableDailySummary[[#This Row],[Ventas google ads]]+TableDailySummary[[#This Row],[Ventas meta ads]]</f>
        <v>87000</v>
      </c>
      <c r="AD359" s="14">
        <f>IFERROR(TableDailySummary[[#This Row],[Ventas publicidad]]/TableDailySummary[[#This Row],[Inversión publicidad]],0)</f>
        <v>0.59865364858755588</v>
      </c>
      <c r="AE359" s="14">
        <f>IFERROR(TableDailySummary[[#This Row],[Ventas primer cliente]]/TableDailySummary[[#This Row],[Inversión publicidad]],0)</f>
        <v>17.561779129832839</v>
      </c>
      <c r="AF359" s="14"/>
      <c r="AG359" s="12"/>
      <c r="AM359" s="12">
        <f>_xlfn.XLOOKUP(TableDailySummary[[#This Row],[Fecha]],SummaryDaily[day],SummaryDaily[net_sales_with_cost_recorded],0)</f>
        <v>4315966.4000000004</v>
      </c>
      <c r="AN359" s="12">
        <f>_xlfn.XLOOKUP(TableDailySummary[[#This Row],[Fecha]],SummaryDaily[day],SummaryDaily[cost_of_goods_sold],0)</f>
        <v>1281506</v>
      </c>
      <c r="AO359" s="12">
        <f>_xlfn.XLOOKUP(TableDailySummary[[#This Row],[Fecha]],SummaryDaily[day],SummaryDaily[gross_profit],0)</f>
        <v>3034460.4</v>
      </c>
      <c r="AP359" s="18">
        <f>IFERROR(TableDailySummary[[#This Row],[Utilidad bruta]]/TableDailySummary[[#This Row],[Ventas netas con costo registrado]],0)</f>
        <v>0.70307785528636169</v>
      </c>
    </row>
    <row r="360" spans="2:42" x14ac:dyDescent="0.2">
      <c r="B360" s="15" cm="1">
        <f t="array" ref="B360">MIN(SummaryDaily[day]) + (ROW(TableDailySummary[#This Row]) - ROW(TableDailySummary[[#Headers],[Dia]]) - 1)</f>
        <v>46131</v>
      </c>
      <c r="C360" s="6">
        <f>TableDailySummary[[#This Row],[Dia]]</f>
        <v>46131</v>
      </c>
      <c r="D360" s="12">
        <f>_xlfn.XLOOKUP(TableDailySummary[[#This Row],[Fecha]],SummaryDaily[day],SummaryDaily[net_sales],0)</f>
        <v>1472268.9</v>
      </c>
      <c r="E360" s="12">
        <f>_xlfn.XLOOKUP(TableDailySummary[[#This Row],[Fecha]],SummaryDaily[day],SummaryDaily[orders],0)</f>
        <v>14</v>
      </c>
      <c r="F360" s="12">
        <f>_xlfn.XLOOKUP(TableDailySummary[[#This Row],[Fecha]],SummaryDaily[day],SummaryDaily[average_order_value],0)</f>
        <v>105162.064</v>
      </c>
      <c r="G360" s="24">
        <f>_xlfn.XLOOKUP(TableDailySummary[[#This Row],[Fecha]],SummaryDaily[day],SummaryDaily[Total site_conversion_rate],0)</f>
        <v>1.6286644951140066E-3</v>
      </c>
      <c r="H360" s="12">
        <f>TableDailySummary[[#This Row],[Órden promedio totales]]*TableDailySummary[[#This Row],[CR totales]]</f>
        <v>171.27371986970684</v>
      </c>
      <c r="I360" s="12">
        <f>_xlfn.XLOOKUP(TableDailySummary[[#This Row],[Fecha]],SummaryDaily[day],SummaryDaily[new_net_sales],0)</f>
        <v>600000</v>
      </c>
      <c r="J360" s="12">
        <f>_xlfn.XLOOKUP(TableDailySummary[[#This Row],[Fecha]],SummaryDaily[day],SummaryDaily[new_orders],0)</f>
        <v>5</v>
      </c>
      <c r="K360" s="12">
        <f>_xlfn.XLOOKUP(TableDailySummary[[#This Row],[Fecha]],SummaryDaily[day],SummaryDaily[new_average_order_value],0)</f>
        <v>120000</v>
      </c>
      <c r="L360" s="12">
        <f>_xlfn.XLOOKUP(TableDailySummary[[#This Row],[Fecha]],SummaryDaily[day],SummaryDaily[Online Store_net_sales],0)</f>
        <v>126050.42</v>
      </c>
      <c r="M360" s="12">
        <f>_xlfn.XLOOKUP(TableDailySummary[[#This Row],[Fecha]],SummaryDaily[day],SummaryDaily[Online Store_orders],0)</f>
        <v>2</v>
      </c>
      <c r="N360" s="12">
        <f>_xlfn.XLOOKUP(TableDailySummary[[#This Row],[Fecha]],SummaryDaily[day],SummaryDaily[Online Store_average_order_value],0)</f>
        <v>63025.21</v>
      </c>
      <c r="O360" s="12">
        <f>_xlfn.XLOOKUP(TableDailySummary[[#This Row],[Fecha]],SummaryDaily[day],SummaryDaily[Tienda 81_net_sales],0)</f>
        <v>1346218.48</v>
      </c>
      <c r="P360" s="12">
        <f>_xlfn.XLOOKUP(TableDailySummary[[#This Row],[Fecha]],SummaryDaily[day],SummaryDaily[Tienda 81_orders],0)</f>
        <v>12</v>
      </c>
      <c r="Q360" s="12">
        <f>_xlfn.XLOOKUP(TableDailySummary[[#This Row],[Fecha]],SummaryDaily[day],SummaryDaily[Tienda 81_average_order_value],0)</f>
        <v>112184.87300000001</v>
      </c>
      <c r="R360" s="12">
        <f>_xlfn.XLOOKUP(TableDailySummary[[#This Row],[Fecha]],SummaryDaily[day],SummaryDaily[Rappi_net_sales],0)</f>
        <v>0</v>
      </c>
      <c r="S360" s="12">
        <f>_xlfn.XLOOKUP(TableDailySummary[[#This Row],[Fecha]],SummaryDaily[day],SummaryDaily[Rappi_orders],0)</f>
        <v>0</v>
      </c>
      <c r="T360" s="12">
        <f>_xlfn.XLOOKUP(TableDailySummary[[#This Row],[Fecha]],SummaryDaily[day],SummaryDaily[Rappi_average_order_value],0)</f>
        <v>0</v>
      </c>
      <c r="U360" s="12">
        <f>_xlfn.XLOOKUP(TableDailySummary[[#This Row],[Fecha]],SummaryDaily[day],SummaryDaily[Corporativo no tienda_net_sales],0)</f>
        <v>0</v>
      </c>
      <c r="V360" s="12">
        <f>_xlfn.XLOOKUP(TableDailySummary[[#This Row],[Fecha]],SummaryDaily[day],SummaryDaily[Corporativo no tienda_orders],0)</f>
        <v>0</v>
      </c>
      <c r="W360" s="12">
        <f>_xlfn.XLOOKUP(TableDailySummary[[#This Row],[Fecha]],SummaryDaily[day],SummaryDaily[Corporativo no tienda_average_order_value],0)</f>
        <v>0</v>
      </c>
      <c r="X360" s="12">
        <f>_xlfn.XLOOKUP(TableDailySummary[[#This Row],[Fecha]],SummaryDaily[day],SummaryDaily[GoogleAdsOperation.Cost],0)</f>
        <v>50539.14</v>
      </c>
      <c r="Y360" s="12">
        <f>SUMIFS(SalesByUTMDaily[google],SalesByUTMDaily[day],TableDailySummary[[#This Row],[Fecha]])</f>
        <v>0</v>
      </c>
      <c r="Z360" s="12">
        <f>_xlfn.XLOOKUP(TableDailySummary[[#This Row],[Fecha]],SummaryDaily[day],SummaryDaily[MetaAdsOperation.spend],0)</f>
        <v>71161</v>
      </c>
      <c r="AA360" s="12">
        <f>SUMIFS(SalesByUTMDaily[facebook],SalesByUTMDaily[day],TableDailySummary[[#This Row],[Fecha]])</f>
        <v>0</v>
      </c>
      <c r="AB360" s="12">
        <f>TableDailySummary[[#This Row],[Inversión google ads]]+TableDailySummary[[#This Row],[Inversión meta ads]]</f>
        <v>121700.14</v>
      </c>
      <c r="AC360" s="12">
        <f>TableDailySummary[[#This Row],[Ventas google ads]]+TableDailySummary[[#This Row],[Ventas meta ads]]</f>
        <v>0</v>
      </c>
      <c r="AD360" s="14">
        <f>IFERROR(TableDailySummary[[#This Row],[Ventas publicidad]]/TableDailySummary[[#This Row],[Inversión publicidad]],0)</f>
        <v>0</v>
      </c>
      <c r="AE360" s="14">
        <f>IFERROR(TableDailySummary[[#This Row],[Ventas primer cliente]]/TableDailySummary[[#This Row],[Inversión publicidad]],0)</f>
        <v>4.9301504501145192</v>
      </c>
      <c r="AF360" s="14"/>
      <c r="AG360" s="12"/>
      <c r="AM360" s="12">
        <f>_xlfn.XLOOKUP(TableDailySummary[[#This Row],[Fecha]],SummaryDaily[day],SummaryDaily[net_sales_with_cost_recorded],0)</f>
        <v>1472268.9</v>
      </c>
      <c r="AN360" s="12">
        <f>_xlfn.XLOOKUP(TableDailySummary[[#This Row],[Fecha]],SummaryDaily[day],SummaryDaily[cost_of_goods_sold],0)</f>
        <v>537849</v>
      </c>
      <c r="AO360" s="12">
        <f>_xlfn.XLOOKUP(TableDailySummary[[#This Row],[Fecha]],SummaryDaily[day],SummaryDaily[gross_profit],0)</f>
        <v>934419.9</v>
      </c>
      <c r="AP360" s="18">
        <f>IFERROR(TableDailySummary[[#This Row],[Utilidad bruta]]/TableDailySummary[[#This Row],[Ventas netas con costo registrado]],0)</f>
        <v>0.63468018647952151</v>
      </c>
    </row>
    <row r="361" spans="2:42" x14ac:dyDescent="0.2">
      <c r="B361" s="15" cm="1">
        <f t="array" ref="B361">MIN(SummaryDaily[day]) + (ROW(TableDailySummary[#This Row]) - ROW(TableDailySummary[[#Headers],[Dia]]) - 1)</f>
        <v>46132</v>
      </c>
      <c r="C361" s="6">
        <f>TableDailySummary[[#This Row],[Dia]]</f>
        <v>46132</v>
      </c>
      <c r="D361" s="12">
        <f>_xlfn.XLOOKUP(TableDailySummary[[#This Row],[Fecha]],SummaryDaily[day],SummaryDaily[net_sales],0)</f>
        <v>4905378.1399999997</v>
      </c>
      <c r="E361" s="12">
        <f>_xlfn.XLOOKUP(TableDailySummary[[#This Row],[Fecha]],SummaryDaily[day],SummaryDaily[orders],0)</f>
        <v>30</v>
      </c>
      <c r="F361" s="12">
        <f>_xlfn.XLOOKUP(TableDailySummary[[#This Row],[Fecha]],SummaryDaily[day],SummaryDaily[average_order_value],0)</f>
        <v>160431.372</v>
      </c>
      <c r="G361" s="24">
        <f>_xlfn.XLOOKUP(TableDailySummary[[#This Row],[Fecha]],SummaryDaily[day],SummaryDaily[Total site_conversion_rate],0)</f>
        <v>6.8027210884353739E-3</v>
      </c>
      <c r="H361" s="12">
        <f>TableDailySummary[[#This Row],[Órden promedio totales]]*TableDailySummary[[#This Row],[CR totales]]</f>
        <v>1091.3698775510204</v>
      </c>
      <c r="I361" s="12">
        <f>_xlfn.XLOOKUP(TableDailySummary[[#This Row],[Fecha]],SummaryDaily[day],SummaryDaily[new_net_sales],0)</f>
        <v>920168.06</v>
      </c>
      <c r="J361" s="12">
        <f>_xlfn.XLOOKUP(TableDailySummary[[#This Row],[Fecha]],SummaryDaily[day],SummaryDaily[new_orders],0)</f>
        <v>7</v>
      </c>
      <c r="K361" s="12">
        <f>_xlfn.XLOOKUP(TableDailySummary[[#This Row],[Fecha]],SummaryDaily[day],SummaryDaily[new_average_order_value],0)</f>
        <v>118247.298</v>
      </c>
      <c r="L361" s="12">
        <f>_xlfn.XLOOKUP(TableDailySummary[[#This Row],[Fecha]],SummaryDaily[day],SummaryDaily[Online Store_net_sales],0)</f>
        <v>415966.38</v>
      </c>
      <c r="M361" s="12">
        <f>_xlfn.XLOOKUP(TableDailySummary[[#This Row],[Fecha]],SummaryDaily[day],SummaryDaily[Online Store_orders],0)</f>
        <v>3</v>
      </c>
      <c r="N361" s="12">
        <f>_xlfn.XLOOKUP(TableDailySummary[[#This Row],[Fecha]],SummaryDaily[day],SummaryDaily[Online Store_average_order_value],0)</f>
        <v>138655.46</v>
      </c>
      <c r="O361" s="12">
        <f>_xlfn.XLOOKUP(TableDailySummary[[#This Row],[Fecha]],SummaryDaily[day],SummaryDaily[Tienda 81_net_sales],0)</f>
        <v>4434789.91</v>
      </c>
      <c r="P361" s="12">
        <f>_xlfn.XLOOKUP(TableDailySummary[[#This Row],[Fecha]],SummaryDaily[day],SummaryDaily[Tienda 81_orders],0)</f>
        <v>26</v>
      </c>
      <c r="Q361" s="12">
        <f>_xlfn.XLOOKUP(TableDailySummary[[#This Row],[Fecha]],SummaryDaily[day],SummaryDaily[Tienda 81_average_order_value],0)</f>
        <v>167013.57399999999</v>
      </c>
      <c r="R361" s="12">
        <f>_xlfn.XLOOKUP(TableDailySummary[[#This Row],[Fecha]],SummaryDaily[day],SummaryDaily[Rappi_net_sales],0)</f>
        <v>54621.85</v>
      </c>
      <c r="S361" s="12">
        <f>_xlfn.XLOOKUP(TableDailySummary[[#This Row],[Fecha]],SummaryDaily[day],SummaryDaily[Rappi_orders],0)</f>
        <v>1</v>
      </c>
      <c r="T361" s="12">
        <f>_xlfn.XLOOKUP(TableDailySummary[[#This Row],[Fecha]],SummaryDaily[day],SummaryDaily[Rappi_average_order_value],0)</f>
        <v>54621.85</v>
      </c>
      <c r="U361" s="12">
        <f>_xlfn.XLOOKUP(TableDailySummary[[#This Row],[Fecha]],SummaryDaily[day],SummaryDaily[Corporativo no tienda_net_sales],0)</f>
        <v>0</v>
      </c>
      <c r="V361" s="12">
        <f>_xlfn.XLOOKUP(TableDailySummary[[#This Row],[Fecha]],SummaryDaily[day],SummaryDaily[Corporativo no tienda_orders],0)</f>
        <v>0</v>
      </c>
      <c r="W361" s="12">
        <f>_xlfn.XLOOKUP(TableDailySummary[[#This Row],[Fecha]],SummaryDaily[day],SummaryDaily[Corporativo no tienda_average_order_value],0)</f>
        <v>0</v>
      </c>
      <c r="X361" s="12">
        <f>_xlfn.XLOOKUP(TableDailySummary[[#This Row],[Fecha]],SummaryDaily[day],SummaryDaily[GoogleAdsOperation.Cost],0)</f>
        <v>40818.019999999997</v>
      </c>
      <c r="Y361" s="12">
        <f>SUMIFS(SalesByUTMDaily[google],SalesByUTMDaily[day],TableDailySummary[[#This Row],[Fecha]])</f>
        <v>0</v>
      </c>
      <c r="Z361" s="12">
        <f>_xlfn.XLOOKUP(TableDailySummary[[#This Row],[Fecha]],SummaryDaily[day],SummaryDaily[MetaAdsOperation.spend],0)</f>
        <v>79468</v>
      </c>
      <c r="AA361" s="12">
        <f>SUMIFS(SalesByUTMDaily[facebook],SalesByUTMDaily[day],TableDailySummary[[#This Row],[Fecha]])</f>
        <v>0</v>
      </c>
      <c r="AB361" s="12">
        <f>TableDailySummary[[#This Row],[Inversión google ads]]+TableDailySummary[[#This Row],[Inversión meta ads]]</f>
        <v>120286.01999999999</v>
      </c>
      <c r="AC361" s="12">
        <f>TableDailySummary[[#This Row],[Ventas google ads]]+TableDailySummary[[#This Row],[Ventas meta ads]]</f>
        <v>0</v>
      </c>
      <c r="AD361" s="14">
        <f>IFERROR(TableDailySummary[[#This Row],[Ventas publicidad]]/TableDailySummary[[#This Row],[Inversión publicidad]],0)</f>
        <v>0</v>
      </c>
      <c r="AE361" s="14">
        <f>IFERROR(TableDailySummary[[#This Row],[Ventas primer cliente]]/TableDailySummary[[#This Row],[Inversión publicidad]],0)</f>
        <v>7.6498337878333666</v>
      </c>
      <c r="AF361" s="14"/>
      <c r="AG361" s="12"/>
      <c r="AM361" s="12">
        <f>_xlfn.XLOOKUP(TableDailySummary[[#This Row],[Fecha]],SummaryDaily[day],SummaryDaily[net_sales_with_cost_recorded],0)</f>
        <v>4905378.1399999997</v>
      </c>
      <c r="AN361" s="12">
        <f>_xlfn.XLOOKUP(TableDailySummary[[#This Row],[Fecha]],SummaryDaily[day],SummaryDaily[cost_of_goods_sold],0)</f>
        <v>1298282</v>
      </c>
      <c r="AO361" s="12">
        <f>_xlfn.XLOOKUP(TableDailySummary[[#This Row],[Fecha]],SummaryDaily[day],SummaryDaily[gross_profit],0)</f>
        <v>3607096.14</v>
      </c>
      <c r="AP361" s="18">
        <f>IFERROR(TableDailySummary[[#This Row],[Utilidad bruta]]/TableDailySummary[[#This Row],[Ventas netas con costo registrado]],0)</f>
        <v>0.73533498071975356</v>
      </c>
    </row>
    <row r="362" spans="2:42" x14ac:dyDescent="0.2">
      <c r="B362" s="15" cm="1">
        <f t="array" ref="B362">MIN(SummaryDaily[day]) + (ROW(TableDailySummary[#This Row]) - ROW(TableDailySummary[[#Headers],[Dia]]) - 1)</f>
        <v>46133</v>
      </c>
      <c r="C362" s="6">
        <f>TableDailySummary[[#This Row],[Dia]]</f>
        <v>46133</v>
      </c>
      <c r="D362" s="12">
        <f>_xlfn.XLOOKUP(TableDailySummary[[#This Row],[Fecha]],SummaryDaily[day],SummaryDaily[net_sales],0)</f>
        <v>4394537.79</v>
      </c>
      <c r="E362" s="12">
        <f>_xlfn.XLOOKUP(TableDailySummary[[#This Row],[Fecha]],SummaryDaily[day],SummaryDaily[orders],0)</f>
        <v>26</v>
      </c>
      <c r="F362" s="12">
        <f>_xlfn.XLOOKUP(TableDailySummary[[#This Row],[Fecha]],SummaryDaily[day],SummaryDaily[average_order_value],0)</f>
        <v>167404.65299999999</v>
      </c>
      <c r="G362" s="24">
        <f>_xlfn.XLOOKUP(TableDailySummary[[#This Row],[Fecha]],SummaryDaily[day],SummaryDaily[Total site_conversion_rate],0)</f>
        <v>1.4362657091561939E-2</v>
      </c>
      <c r="H362" s="12">
        <f>TableDailySummary[[#This Row],[Órden promedio totales]]*TableDailySummary[[#This Row],[CR totales]]</f>
        <v>2404.3756265709158</v>
      </c>
      <c r="I362" s="12">
        <f>_xlfn.XLOOKUP(TableDailySummary[[#This Row],[Fecha]],SummaryDaily[day],SummaryDaily[new_net_sales],0)</f>
        <v>2208403.35</v>
      </c>
      <c r="J362" s="12">
        <f>_xlfn.XLOOKUP(TableDailySummary[[#This Row],[Fecha]],SummaryDaily[day],SummaryDaily[new_orders],0)</f>
        <v>12</v>
      </c>
      <c r="K362" s="12">
        <f>_xlfn.XLOOKUP(TableDailySummary[[#This Row],[Fecha]],SummaryDaily[day],SummaryDaily[new_average_order_value],0)</f>
        <v>180532.21100000001</v>
      </c>
      <c r="L362" s="12">
        <f>_xlfn.XLOOKUP(TableDailySummary[[#This Row],[Fecha]],SummaryDaily[day],SummaryDaily[Online Store_net_sales],0)</f>
        <v>1085294.1200000001</v>
      </c>
      <c r="M362" s="12">
        <f>_xlfn.XLOOKUP(TableDailySummary[[#This Row],[Fecha]],SummaryDaily[day],SummaryDaily[Online Store_orders],0)</f>
        <v>7</v>
      </c>
      <c r="N362" s="12">
        <f>_xlfn.XLOOKUP(TableDailySummary[[#This Row],[Fecha]],SummaryDaily[day],SummaryDaily[Online Store_average_order_value],0)</f>
        <v>155042.01699999999</v>
      </c>
      <c r="O362" s="12">
        <f>_xlfn.XLOOKUP(TableDailySummary[[#This Row],[Fecha]],SummaryDaily[day],SummaryDaily[Tienda 81_net_sales],0)</f>
        <v>3178991.57</v>
      </c>
      <c r="P362" s="12">
        <f>_xlfn.XLOOKUP(TableDailySummary[[#This Row],[Fecha]],SummaryDaily[day],SummaryDaily[Tienda 81_orders],0)</f>
        <v>17</v>
      </c>
      <c r="Q362" s="12">
        <f>_xlfn.XLOOKUP(TableDailySummary[[#This Row],[Fecha]],SummaryDaily[day],SummaryDaily[Tienda 81_average_order_value],0)</f>
        <v>184527.927</v>
      </c>
      <c r="R362" s="12">
        <f>_xlfn.XLOOKUP(TableDailySummary[[#This Row],[Fecha]],SummaryDaily[day],SummaryDaily[Rappi_net_sales],0)</f>
        <v>130252.1</v>
      </c>
      <c r="S362" s="12">
        <f>_xlfn.XLOOKUP(TableDailySummary[[#This Row],[Fecha]],SummaryDaily[day],SummaryDaily[Rappi_orders],0)</f>
        <v>2</v>
      </c>
      <c r="T362" s="12">
        <f>_xlfn.XLOOKUP(TableDailySummary[[#This Row],[Fecha]],SummaryDaily[day],SummaryDaily[Rappi_average_order_value],0)</f>
        <v>65126.05</v>
      </c>
      <c r="U362" s="12">
        <f>_xlfn.XLOOKUP(TableDailySummary[[#This Row],[Fecha]],SummaryDaily[day],SummaryDaily[Corporativo no tienda_net_sales],0)</f>
        <v>0</v>
      </c>
      <c r="V362" s="12">
        <f>_xlfn.XLOOKUP(TableDailySummary[[#This Row],[Fecha]],SummaryDaily[day],SummaryDaily[Corporativo no tienda_orders],0)</f>
        <v>0</v>
      </c>
      <c r="W362" s="12">
        <f>_xlfn.XLOOKUP(TableDailySummary[[#This Row],[Fecha]],SummaryDaily[day],SummaryDaily[Corporativo no tienda_average_order_value],0)</f>
        <v>0</v>
      </c>
      <c r="X362" s="12">
        <f>_xlfn.XLOOKUP(TableDailySummary[[#This Row],[Fecha]],SummaryDaily[day],SummaryDaily[GoogleAdsOperation.Cost],0)</f>
        <v>44081.49</v>
      </c>
      <c r="Y362" s="12">
        <f>SUMIFS(SalesByUTMDaily[google],SalesByUTMDaily[day],TableDailySummary[[#This Row],[Fecha]])</f>
        <v>357000</v>
      </c>
      <c r="Z362" s="12">
        <f>_xlfn.XLOOKUP(TableDailySummary[[#This Row],[Fecha]],SummaryDaily[day],SummaryDaily[MetaAdsOperation.spend],0)</f>
        <v>85551</v>
      </c>
      <c r="AA362" s="12">
        <f>SUMIFS(SalesByUTMDaily[facebook],SalesByUTMDaily[day],TableDailySummary[[#This Row],[Fecha]])</f>
        <v>0</v>
      </c>
      <c r="AB362" s="12">
        <f>TableDailySummary[[#This Row],[Inversión google ads]]+TableDailySummary[[#This Row],[Inversión meta ads]]</f>
        <v>129632.48999999999</v>
      </c>
      <c r="AC362" s="12">
        <f>TableDailySummary[[#This Row],[Ventas google ads]]+TableDailySummary[[#This Row],[Ventas meta ads]]</f>
        <v>357000</v>
      </c>
      <c r="AD362" s="14">
        <f>IFERROR(TableDailySummary[[#This Row],[Ventas publicidad]]/TableDailySummary[[#This Row],[Inversión publicidad]],0)</f>
        <v>2.7539392323637388</v>
      </c>
      <c r="AE362" s="14">
        <f>IFERROR(TableDailySummary[[#This Row],[Ventas primer cliente]]/TableDailySummary[[#This Row],[Inversión publicidad]],0)</f>
        <v>17.035878505458008</v>
      </c>
      <c r="AF362" s="14"/>
      <c r="AG362" s="12"/>
      <c r="AM362" s="12">
        <f>_xlfn.XLOOKUP(TableDailySummary[[#This Row],[Fecha]],SummaryDaily[day],SummaryDaily[net_sales_with_cost_recorded],0)</f>
        <v>4394537.79</v>
      </c>
      <c r="AN362" s="12">
        <f>_xlfn.XLOOKUP(TableDailySummary[[#This Row],[Fecha]],SummaryDaily[day],SummaryDaily[cost_of_goods_sold],0)</f>
        <v>1365625</v>
      </c>
      <c r="AO362" s="12">
        <f>_xlfn.XLOOKUP(TableDailySummary[[#This Row],[Fecha]],SummaryDaily[day],SummaryDaily[gross_profit],0)</f>
        <v>3028912.79</v>
      </c>
      <c r="AP362" s="18">
        <f>IFERROR(TableDailySummary[[#This Row],[Utilidad bruta]]/TableDailySummary[[#This Row],[Ventas netas con costo registrado]],0)</f>
        <v>0.68924490691431739</v>
      </c>
    </row>
    <row r="363" spans="2:42" x14ac:dyDescent="0.2">
      <c r="B363" s="15" cm="1">
        <f t="array" ref="B363">MIN(SummaryDaily[day]) + (ROW(TableDailySummary[#This Row]) - ROW(TableDailySummary[[#Headers],[Dia]]) - 1)</f>
        <v>46134</v>
      </c>
      <c r="C363" s="6">
        <f>TableDailySummary[[#This Row],[Dia]]</f>
        <v>46134</v>
      </c>
      <c r="D363" s="12">
        <f>_xlfn.XLOOKUP(TableDailySummary[[#This Row],[Fecha]],SummaryDaily[day],SummaryDaily[net_sales],0)</f>
        <v>2998705.9</v>
      </c>
      <c r="E363" s="12">
        <f>_xlfn.XLOOKUP(TableDailySummary[[#This Row],[Fecha]],SummaryDaily[day],SummaryDaily[orders],0)</f>
        <v>23</v>
      </c>
      <c r="F363" s="12">
        <f>_xlfn.XLOOKUP(TableDailySummary[[#This Row],[Fecha]],SummaryDaily[day],SummaryDaily[average_order_value],0)</f>
        <v>130378.51700000001</v>
      </c>
      <c r="G363" s="24">
        <f>_xlfn.XLOOKUP(TableDailySummary[[#This Row],[Fecha]],SummaryDaily[day],SummaryDaily[Total site_conversion_rate],0)</f>
        <v>8.6956521739130436E-3</v>
      </c>
      <c r="H363" s="12">
        <f>TableDailySummary[[#This Row],[Órden promedio totales]]*TableDailySummary[[#This Row],[CR totales]]</f>
        <v>1133.7262347826088</v>
      </c>
      <c r="I363" s="12">
        <f>_xlfn.XLOOKUP(TableDailySummary[[#This Row],[Fecha]],SummaryDaily[day],SummaryDaily[new_net_sales],0)</f>
        <v>957983.21</v>
      </c>
      <c r="J363" s="12">
        <f>_xlfn.XLOOKUP(TableDailySummary[[#This Row],[Fecha]],SummaryDaily[day],SummaryDaily[new_orders],0)</f>
        <v>6</v>
      </c>
      <c r="K363" s="12">
        <f>_xlfn.XLOOKUP(TableDailySummary[[#This Row],[Fecha]],SummaryDaily[day],SummaryDaily[new_average_order_value],0)</f>
        <v>159663.86799999999</v>
      </c>
      <c r="L363" s="12">
        <f>_xlfn.XLOOKUP(TableDailySummary[[#This Row],[Fecha]],SummaryDaily[day],SummaryDaily[Online Store_net_sales],0)</f>
        <v>890756.3</v>
      </c>
      <c r="M363" s="12">
        <f>_xlfn.XLOOKUP(TableDailySummary[[#This Row],[Fecha]],SummaryDaily[day],SummaryDaily[Online Store_orders],0)</f>
        <v>8</v>
      </c>
      <c r="N363" s="12">
        <f>_xlfn.XLOOKUP(TableDailySummary[[#This Row],[Fecha]],SummaryDaily[day],SummaryDaily[Online Store_average_order_value],0)</f>
        <v>111344.537</v>
      </c>
      <c r="O363" s="12">
        <f>_xlfn.XLOOKUP(TableDailySummary[[#This Row],[Fecha]],SummaryDaily[day],SummaryDaily[Tienda 81_net_sales],0)</f>
        <v>2107949.6</v>
      </c>
      <c r="P363" s="12">
        <f>_xlfn.XLOOKUP(TableDailySummary[[#This Row],[Fecha]],SummaryDaily[day],SummaryDaily[Tienda 81_orders],0)</f>
        <v>15</v>
      </c>
      <c r="Q363" s="12">
        <f>_xlfn.XLOOKUP(TableDailySummary[[#This Row],[Fecha]],SummaryDaily[day],SummaryDaily[Tienda 81_average_order_value],0)</f>
        <v>140529.973</v>
      </c>
      <c r="R363" s="12">
        <f>_xlfn.XLOOKUP(TableDailySummary[[#This Row],[Fecha]],SummaryDaily[day],SummaryDaily[Rappi_net_sales],0)</f>
        <v>0</v>
      </c>
      <c r="S363" s="12">
        <f>_xlfn.XLOOKUP(TableDailySummary[[#This Row],[Fecha]],SummaryDaily[day],SummaryDaily[Rappi_orders],0)</f>
        <v>0</v>
      </c>
      <c r="T363" s="12">
        <f>_xlfn.XLOOKUP(TableDailySummary[[#This Row],[Fecha]],SummaryDaily[day],SummaryDaily[Rappi_average_order_value],0)</f>
        <v>0</v>
      </c>
      <c r="U363" s="12">
        <f>_xlfn.XLOOKUP(TableDailySummary[[#This Row],[Fecha]],SummaryDaily[day],SummaryDaily[Corporativo no tienda_net_sales],0)</f>
        <v>0</v>
      </c>
      <c r="V363" s="12">
        <f>_xlfn.XLOOKUP(TableDailySummary[[#This Row],[Fecha]],SummaryDaily[day],SummaryDaily[Corporativo no tienda_orders],0)</f>
        <v>0</v>
      </c>
      <c r="W363" s="12">
        <f>_xlfn.XLOOKUP(TableDailySummary[[#This Row],[Fecha]],SummaryDaily[day],SummaryDaily[Corporativo no tienda_average_order_value],0)</f>
        <v>0</v>
      </c>
      <c r="X363" s="12">
        <f>_xlfn.XLOOKUP(TableDailySummary[[#This Row],[Fecha]],SummaryDaily[day],SummaryDaily[GoogleAdsOperation.Cost],0)</f>
        <v>49855.09</v>
      </c>
      <c r="Y363" s="12">
        <f>SUMIFS(SalesByUTMDaily[google],SalesByUTMDaily[day],TableDailySummary[[#This Row],[Fecha]])</f>
        <v>0</v>
      </c>
      <c r="Z363" s="12">
        <f>_xlfn.XLOOKUP(TableDailySummary[[#This Row],[Fecha]],SummaryDaily[day],SummaryDaily[MetaAdsOperation.spend],0)</f>
        <v>90011</v>
      </c>
      <c r="AA363" s="12">
        <f>SUMIFS(SalesByUTMDaily[facebook],SalesByUTMDaily[day],TableDailySummary[[#This Row],[Fecha]])</f>
        <v>0</v>
      </c>
      <c r="AB363" s="12">
        <f>TableDailySummary[[#This Row],[Inversión google ads]]+TableDailySummary[[#This Row],[Inversión meta ads]]</f>
        <v>139866.09</v>
      </c>
      <c r="AC363" s="12">
        <f>TableDailySummary[[#This Row],[Ventas google ads]]+TableDailySummary[[#This Row],[Ventas meta ads]]</f>
        <v>0</v>
      </c>
      <c r="AD363" s="14">
        <f>IFERROR(TableDailySummary[[#This Row],[Ventas publicidad]]/TableDailySummary[[#This Row],[Inversión publicidad]],0)</f>
        <v>0</v>
      </c>
      <c r="AE363" s="14">
        <f>IFERROR(TableDailySummary[[#This Row],[Ventas primer cliente]]/TableDailySummary[[#This Row],[Inversión publicidad]],0)</f>
        <v>6.8492885587921988</v>
      </c>
      <c r="AF363" s="14"/>
      <c r="AG363" s="12"/>
      <c r="AM363" s="12">
        <f>_xlfn.XLOOKUP(TableDailySummary[[#This Row],[Fecha]],SummaryDaily[day],SummaryDaily[net_sales_with_cost_recorded],0)</f>
        <v>2998705.9</v>
      </c>
      <c r="AN363" s="12">
        <f>_xlfn.XLOOKUP(TableDailySummary[[#This Row],[Fecha]],SummaryDaily[day],SummaryDaily[cost_of_goods_sold],0)</f>
        <v>992995</v>
      </c>
      <c r="AO363" s="12">
        <f>_xlfn.XLOOKUP(TableDailySummary[[#This Row],[Fecha]],SummaryDaily[day],SummaryDaily[gross_profit],0)</f>
        <v>2005710.9</v>
      </c>
      <c r="AP363" s="18">
        <f>IFERROR(TableDailySummary[[#This Row],[Utilidad bruta]]/TableDailySummary[[#This Row],[Ventas netas con costo registrado]],0)</f>
        <v>0.66885882340112113</v>
      </c>
    </row>
    <row r="364" spans="2:42" x14ac:dyDescent="0.2">
      <c r="B364" s="15" cm="1">
        <f t="array" ref="B364">MIN(SummaryDaily[day]) + (ROW(TableDailySummary[#This Row]) - ROW(TableDailySummary[[#Headers],[Dia]]) - 1)</f>
        <v>46135</v>
      </c>
      <c r="C364" s="6">
        <f>TableDailySummary[[#This Row],[Dia]]</f>
        <v>46135</v>
      </c>
      <c r="D364" s="12">
        <f>_xlfn.XLOOKUP(TableDailySummary[[#This Row],[Fecha]],SummaryDaily[day],SummaryDaily[net_sales],0)</f>
        <v>2939714.29</v>
      </c>
      <c r="E364" s="12">
        <f>_xlfn.XLOOKUP(TableDailySummary[[#This Row],[Fecha]],SummaryDaily[day],SummaryDaily[orders],0)</f>
        <v>19</v>
      </c>
      <c r="F364" s="12">
        <f>_xlfn.XLOOKUP(TableDailySummary[[#This Row],[Fecha]],SummaryDaily[day],SummaryDaily[average_order_value],0)</f>
        <v>154721.804</v>
      </c>
      <c r="G364" s="24">
        <f>_xlfn.XLOOKUP(TableDailySummary[[#This Row],[Fecha]],SummaryDaily[day],SummaryDaily[Total site_conversion_rate],0)</f>
        <v>8.7260034904013961E-3</v>
      </c>
      <c r="H364" s="12">
        <f>TableDailySummary[[#This Row],[Órden promedio totales]]*TableDailySummary[[#This Row],[CR totales]]</f>
        <v>1350.1030017452008</v>
      </c>
      <c r="I364" s="12">
        <f>_xlfn.XLOOKUP(TableDailySummary[[#This Row],[Fecha]],SummaryDaily[day],SummaryDaily[new_net_sales],0)</f>
        <v>776268.92</v>
      </c>
      <c r="J364" s="12">
        <f>_xlfn.XLOOKUP(TableDailySummary[[#This Row],[Fecha]],SummaryDaily[day],SummaryDaily[new_orders],0)</f>
        <v>8</v>
      </c>
      <c r="K364" s="12">
        <f>_xlfn.XLOOKUP(TableDailySummary[[#This Row],[Fecha]],SummaryDaily[day],SummaryDaily[new_average_order_value],0)</f>
        <v>97033.615000000005</v>
      </c>
      <c r="L364" s="12">
        <f>_xlfn.XLOOKUP(TableDailySummary[[#This Row],[Fecha]],SummaryDaily[day],SummaryDaily[Online Store_net_sales],0)</f>
        <v>781512.61</v>
      </c>
      <c r="M364" s="12">
        <f>_xlfn.XLOOKUP(TableDailySummary[[#This Row],[Fecha]],SummaryDaily[day],SummaryDaily[Online Store_orders],0)</f>
        <v>5</v>
      </c>
      <c r="N364" s="12">
        <f>_xlfn.XLOOKUP(TableDailySummary[[#This Row],[Fecha]],SummaryDaily[day],SummaryDaily[Online Store_average_order_value],0)</f>
        <v>156302.522</v>
      </c>
      <c r="O364" s="12">
        <f>_xlfn.XLOOKUP(TableDailySummary[[#This Row],[Fecha]],SummaryDaily[day],SummaryDaily[Tienda 81_net_sales],0)</f>
        <v>2111983.19</v>
      </c>
      <c r="P364" s="12">
        <f>_xlfn.XLOOKUP(TableDailySummary[[#This Row],[Fecha]],SummaryDaily[day],SummaryDaily[Tienda 81_orders],0)</f>
        <v>13</v>
      </c>
      <c r="Q364" s="12">
        <f>_xlfn.XLOOKUP(TableDailySummary[[#This Row],[Fecha]],SummaryDaily[day],SummaryDaily[Tienda 81_average_order_value],0)</f>
        <v>162460.245</v>
      </c>
      <c r="R364" s="12">
        <f>_xlfn.XLOOKUP(TableDailySummary[[#This Row],[Fecha]],SummaryDaily[day],SummaryDaily[Rappi_net_sales],0)</f>
        <v>46218.49</v>
      </c>
      <c r="S364" s="12">
        <f>_xlfn.XLOOKUP(TableDailySummary[[#This Row],[Fecha]],SummaryDaily[day],SummaryDaily[Rappi_orders],0)</f>
        <v>1</v>
      </c>
      <c r="T364" s="12">
        <f>_xlfn.XLOOKUP(TableDailySummary[[#This Row],[Fecha]],SummaryDaily[day],SummaryDaily[Rappi_average_order_value],0)</f>
        <v>46218.49</v>
      </c>
      <c r="U364" s="12">
        <f>_xlfn.XLOOKUP(TableDailySummary[[#This Row],[Fecha]],SummaryDaily[day],SummaryDaily[Corporativo no tienda_net_sales],0)</f>
        <v>0</v>
      </c>
      <c r="V364" s="12">
        <f>_xlfn.XLOOKUP(TableDailySummary[[#This Row],[Fecha]],SummaryDaily[day],SummaryDaily[Corporativo no tienda_orders],0)</f>
        <v>0</v>
      </c>
      <c r="W364" s="12">
        <f>_xlfn.XLOOKUP(TableDailySummary[[#This Row],[Fecha]],SummaryDaily[day],SummaryDaily[Corporativo no tienda_average_order_value],0)</f>
        <v>0</v>
      </c>
      <c r="X364" s="12">
        <f>_xlfn.XLOOKUP(TableDailySummary[[#This Row],[Fecha]],SummaryDaily[day],SummaryDaily[GoogleAdsOperation.Cost],0)</f>
        <v>35259.660000000003</v>
      </c>
      <c r="Y364" s="12">
        <f>SUMIFS(SalesByUTMDaily[google],SalesByUTMDaily[day],TableDailySummary[[#This Row],[Fecha]])</f>
        <v>0</v>
      </c>
      <c r="Z364" s="12">
        <f>_xlfn.XLOOKUP(TableDailySummary[[#This Row],[Fecha]],SummaryDaily[day],SummaryDaily[MetaAdsOperation.spend],0)</f>
        <v>90260</v>
      </c>
      <c r="AA364" s="12">
        <f>SUMIFS(SalesByUTMDaily[facebook],SalesByUTMDaily[day],TableDailySummary[[#This Row],[Fecha]])</f>
        <v>0</v>
      </c>
      <c r="AB364" s="12">
        <f>TableDailySummary[[#This Row],[Inversión google ads]]+TableDailySummary[[#This Row],[Inversión meta ads]]</f>
        <v>125519.66</v>
      </c>
      <c r="AC364" s="12">
        <f>TableDailySummary[[#This Row],[Ventas google ads]]+TableDailySummary[[#This Row],[Ventas meta ads]]</f>
        <v>0</v>
      </c>
      <c r="AD364" s="14">
        <f>IFERROR(TableDailySummary[[#This Row],[Ventas publicidad]]/TableDailySummary[[#This Row],[Inversión publicidad]],0)</f>
        <v>0</v>
      </c>
      <c r="AE364" s="14">
        <f>IFERROR(TableDailySummary[[#This Row],[Ventas primer cliente]]/TableDailySummary[[#This Row],[Inversión publicidad]],0)</f>
        <v>6.1844409075040518</v>
      </c>
      <c r="AF364" s="14"/>
      <c r="AG364" s="12"/>
      <c r="AM364" s="12">
        <f>_xlfn.XLOOKUP(TableDailySummary[[#This Row],[Fecha]],SummaryDaily[day],SummaryDaily[net_sales_with_cost_recorded],0)</f>
        <v>2939714.29</v>
      </c>
      <c r="AN364" s="12">
        <f>_xlfn.XLOOKUP(TableDailySummary[[#This Row],[Fecha]],SummaryDaily[day],SummaryDaily[cost_of_goods_sold],0)</f>
        <v>1009018</v>
      </c>
      <c r="AO364" s="12">
        <f>_xlfn.XLOOKUP(TableDailySummary[[#This Row],[Fecha]],SummaryDaily[day],SummaryDaily[gross_profit],0)</f>
        <v>1930696.29</v>
      </c>
      <c r="AP364" s="18">
        <f>IFERROR(TableDailySummary[[#This Row],[Utilidad bruta]]/TableDailySummary[[#This Row],[Ventas netas con costo registrado]],0)</f>
        <v>0.65676324279799314</v>
      </c>
    </row>
    <row r="365" spans="2:42" x14ac:dyDescent="0.2">
      <c r="B365" s="15" cm="1">
        <f t="array" ref="B365">MIN(SummaryDaily[day]) + (ROW(TableDailySummary[#This Row]) - ROW(TableDailySummary[[#Headers],[Dia]]) - 1)</f>
        <v>46136</v>
      </c>
      <c r="C365" s="6">
        <f>TableDailySummary[[#This Row],[Dia]]</f>
        <v>46136</v>
      </c>
      <c r="D365" s="12">
        <f>_xlfn.XLOOKUP(TableDailySummary[[#This Row],[Fecha]],SummaryDaily[day],SummaryDaily[net_sales],0)</f>
        <v>2739496.65</v>
      </c>
      <c r="E365" s="12">
        <f>_xlfn.XLOOKUP(TableDailySummary[[#This Row],[Fecha]],SummaryDaily[day],SummaryDaily[orders],0)</f>
        <v>22</v>
      </c>
      <c r="F365" s="12">
        <f>_xlfn.XLOOKUP(TableDailySummary[[#This Row],[Fecha]],SummaryDaily[day],SummaryDaily[average_order_value],0)</f>
        <v>124522.575</v>
      </c>
      <c r="G365" s="24">
        <f>_xlfn.XLOOKUP(TableDailySummary[[#This Row],[Fecha]],SummaryDaily[day],SummaryDaily[Total site_conversion_rate],0)</f>
        <v>4.5045045045045045E-3</v>
      </c>
      <c r="H365" s="12">
        <f>TableDailySummary[[#This Row],[Órden promedio totales]]*TableDailySummary[[#This Row],[CR totales]]</f>
        <v>560.91250000000002</v>
      </c>
      <c r="I365" s="12">
        <f>_xlfn.XLOOKUP(TableDailySummary[[#This Row],[Fecha]],SummaryDaily[day],SummaryDaily[new_net_sales],0)</f>
        <v>1508403.37</v>
      </c>
      <c r="J365" s="12">
        <f>_xlfn.XLOOKUP(TableDailySummary[[#This Row],[Fecha]],SummaryDaily[day],SummaryDaily[new_orders],0)</f>
        <v>9</v>
      </c>
      <c r="K365" s="12">
        <f>_xlfn.XLOOKUP(TableDailySummary[[#This Row],[Fecha]],SummaryDaily[day],SummaryDaily[new_average_order_value],0)</f>
        <v>167600.37400000001</v>
      </c>
      <c r="L365" s="12">
        <f>_xlfn.XLOOKUP(TableDailySummary[[#This Row],[Fecha]],SummaryDaily[day],SummaryDaily[Online Store_net_sales],0)</f>
        <v>542017.64</v>
      </c>
      <c r="M365" s="12">
        <f>_xlfn.XLOOKUP(TableDailySummary[[#This Row],[Fecha]],SummaryDaily[day],SummaryDaily[Online Store_orders],0)</f>
        <v>5</v>
      </c>
      <c r="N365" s="12">
        <f>_xlfn.XLOOKUP(TableDailySummary[[#This Row],[Fecha]],SummaryDaily[day],SummaryDaily[Online Store_average_order_value],0)</f>
        <v>108403.52800000001</v>
      </c>
      <c r="O365" s="12">
        <f>_xlfn.XLOOKUP(TableDailySummary[[#This Row],[Fecha]],SummaryDaily[day],SummaryDaily[Tienda 81_net_sales],0)</f>
        <v>2197479.0099999998</v>
      </c>
      <c r="P365" s="12">
        <f>_xlfn.XLOOKUP(TableDailySummary[[#This Row],[Fecha]],SummaryDaily[day],SummaryDaily[Tienda 81_orders],0)</f>
        <v>17</v>
      </c>
      <c r="Q365" s="12">
        <f>_xlfn.XLOOKUP(TableDailySummary[[#This Row],[Fecha]],SummaryDaily[day],SummaryDaily[Tienda 81_average_order_value],0)</f>
        <v>129263.47100000001</v>
      </c>
      <c r="R365" s="12">
        <f>_xlfn.XLOOKUP(TableDailySummary[[#This Row],[Fecha]],SummaryDaily[day],SummaryDaily[Rappi_net_sales],0)</f>
        <v>0</v>
      </c>
      <c r="S365" s="12">
        <f>_xlfn.XLOOKUP(TableDailySummary[[#This Row],[Fecha]],SummaryDaily[day],SummaryDaily[Rappi_orders],0)</f>
        <v>0</v>
      </c>
      <c r="T365" s="12">
        <f>_xlfn.XLOOKUP(TableDailySummary[[#This Row],[Fecha]],SummaryDaily[day],SummaryDaily[Rappi_average_order_value],0)</f>
        <v>0</v>
      </c>
      <c r="U365" s="12">
        <f>_xlfn.XLOOKUP(TableDailySummary[[#This Row],[Fecha]],SummaryDaily[day],SummaryDaily[Corporativo no tienda_net_sales],0)</f>
        <v>0</v>
      </c>
      <c r="V365" s="12">
        <f>_xlfn.XLOOKUP(TableDailySummary[[#This Row],[Fecha]],SummaryDaily[day],SummaryDaily[Corporativo no tienda_orders],0)</f>
        <v>0</v>
      </c>
      <c r="W365" s="12">
        <f>_xlfn.XLOOKUP(TableDailySummary[[#This Row],[Fecha]],SummaryDaily[day],SummaryDaily[Corporativo no tienda_average_order_value],0)</f>
        <v>0</v>
      </c>
      <c r="X365" s="12">
        <f>_xlfn.XLOOKUP(TableDailySummary[[#This Row],[Fecha]],SummaryDaily[day],SummaryDaily[GoogleAdsOperation.Cost],0)</f>
        <v>69189.48</v>
      </c>
      <c r="Y365" s="12">
        <f>SUMIFS(SalesByUTMDaily[google],SalesByUTMDaily[day],TableDailySummary[[#This Row],[Fecha]])</f>
        <v>0</v>
      </c>
      <c r="Z365" s="12">
        <f>_xlfn.XLOOKUP(TableDailySummary[[#This Row],[Fecha]],SummaryDaily[day],SummaryDaily[MetaAdsOperation.spend],0)</f>
        <v>120468</v>
      </c>
      <c r="AA365" s="12">
        <f>SUMIFS(SalesByUTMDaily[facebook],SalesByUTMDaily[day],TableDailySummary[[#This Row],[Fecha]])</f>
        <v>0</v>
      </c>
      <c r="AB365" s="12">
        <f>TableDailySummary[[#This Row],[Inversión google ads]]+TableDailySummary[[#This Row],[Inversión meta ads]]</f>
        <v>189657.47999999998</v>
      </c>
      <c r="AC365" s="12">
        <f>TableDailySummary[[#This Row],[Ventas google ads]]+TableDailySummary[[#This Row],[Ventas meta ads]]</f>
        <v>0</v>
      </c>
      <c r="AD365" s="14">
        <f>IFERROR(TableDailySummary[[#This Row],[Ventas publicidad]]/TableDailySummary[[#This Row],[Inversión publicidad]],0)</f>
        <v>0</v>
      </c>
      <c r="AE365" s="14">
        <f>IFERROR(TableDailySummary[[#This Row],[Ventas primer cliente]]/TableDailySummary[[#This Row],[Inversión publicidad]],0)</f>
        <v>7.953302817268268</v>
      </c>
      <c r="AF365" s="14"/>
      <c r="AG365" s="12"/>
      <c r="AM365" s="12">
        <f>_xlfn.XLOOKUP(TableDailySummary[[#This Row],[Fecha]],SummaryDaily[day],SummaryDaily[net_sales_with_cost_recorded],0)</f>
        <v>2739495.81</v>
      </c>
      <c r="AN365" s="12">
        <f>_xlfn.XLOOKUP(TableDailySummary[[#This Row],[Fecha]],SummaryDaily[day],SummaryDaily[cost_of_goods_sold],0)</f>
        <v>821179</v>
      </c>
      <c r="AO365" s="12">
        <f>_xlfn.XLOOKUP(TableDailySummary[[#This Row],[Fecha]],SummaryDaily[day],SummaryDaily[gross_profit],0)</f>
        <v>1918316.81</v>
      </c>
      <c r="AP365" s="18">
        <f>IFERROR(TableDailySummary[[#This Row],[Utilidad bruta]]/TableDailySummary[[#This Row],[Ventas netas con costo registrado]],0)</f>
        <v>0.70024447673822143</v>
      </c>
    </row>
    <row r="366" spans="2:42" x14ac:dyDescent="0.2">
      <c r="B366" s="15" cm="1">
        <f t="array" ref="B366">MIN(SummaryDaily[day]) + (ROW(TableDailySummary[#This Row]) - ROW(TableDailySummary[[#Headers],[Dia]]) - 1)</f>
        <v>46137</v>
      </c>
      <c r="C366" s="6">
        <f>TableDailySummary[[#This Row],[Dia]]</f>
        <v>46137</v>
      </c>
      <c r="D366" s="12">
        <f>_xlfn.XLOOKUP(TableDailySummary[[#This Row],[Fecha]],SummaryDaily[day],SummaryDaily[net_sales],0)</f>
        <v>4760621.8499999996</v>
      </c>
      <c r="E366" s="12">
        <f>_xlfn.XLOOKUP(TableDailySummary[[#This Row],[Fecha]],SummaryDaily[day],SummaryDaily[orders],0)</f>
        <v>38</v>
      </c>
      <c r="F366" s="12">
        <f>_xlfn.XLOOKUP(TableDailySummary[[#This Row],[Fecha]],SummaryDaily[day],SummaryDaily[average_order_value],0)</f>
        <v>125279.522</v>
      </c>
      <c r="G366" s="24">
        <f>_xlfn.XLOOKUP(TableDailySummary[[#This Row],[Fecha]],SummaryDaily[day],SummaryDaily[Total site_conversion_rate],0)</f>
        <v>1.0968921389396709E-2</v>
      </c>
      <c r="H366" s="12">
        <f>TableDailySummary[[#This Row],[Órden promedio totales]]*TableDailySummary[[#This Row],[CR totales]]</f>
        <v>1374.1812285191954</v>
      </c>
      <c r="I366" s="12">
        <f>_xlfn.XLOOKUP(TableDailySummary[[#This Row],[Fecha]],SummaryDaily[day],SummaryDaily[new_net_sales],0)</f>
        <v>963344.55</v>
      </c>
      <c r="J366" s="12">
        <f>_xlfn.XLOOKUP(TableDailySummary[[#This Row],[Fecha]],SummaryDaily[day],SummaryDaily[new_orders],0)</f>
        <v>11</v>
      </c>
      <c r="K366" s="12">
        <f>_xlfn.XLOOKUP(TableDailySummary[[#This Row],[Fecha]],SummaryDaily[day],SummaryDaily[new_average_order_value],0)</f>
        <v>87576.777000000002</v>
      </c>
      <c r="L366" s="12">
        <f>_xlfn.XLOOKUP(TableDailySummary[[#This Row],[Fecha]],SummaryDaily[day],SummaryDaily[Online Store_net_sales],0)</f>
        <v>865966.39</v>
      </c>
      <c r="M366" s="12">
        <f>_xlfn.XLOOKUP(TableDailySummary[[#This Row],[Fecha]],SummaryDaily[day],SummaryDaily[Online Store_orders],0)</f>
        <v>7</v>
      </c>
      <c r="N366" s="12">
        <f>_xlfn.XLOOKUP(TableDailySummary[[#This Row],[Fecha]],SummaryDaily[day],SummaryDaily[Online Store_average_order_value],0)</f>
        <v>123709.484</v>
      </c>
      <c r="O366" s="12">
        <f>_xlfn.XLOOKUP(TableDailySummary[[#This Row],[Fecha]],SummaryDaily[day],SummaryDaily[Tienda 81_net_sales],0)</f>
        <v>3840033.61</v>
      </c>
      <c r="P366" s="12">
        <f>_xlfn.XLOOKUP(TableDailySummary[[#This Row],[Fecha]],SummaryDaily[day],SummaryDaily[Tienda 81_orders],0)</f>
        <v>30</v>
      </c>
      <c r="Q366" s="12">
        <f>_xlfn.XLOOKUP(TableDailySummary[[#This Row],[Fecha]],SummaryDaily[day],SummaryDaily[Tienda 81_average_order_value],0)</f>
        <v>128001.12</v>
      </c>
      <c r="R366" s="12">
        <f>_xlfn.XLOOKUP(TableDailySummary[[#This Row],[Fecha]],SummaryDaily[day],SummaryDaily[Rappi_net_sales],0)</f>
        <v>54621.85</v>
      </c>
      <c r="S366" s="12">
        <f>_xlfn.XLOOKUP(TableDailySummary[[#This Row],[Fecha]],SummaryDaily[day],SummaryDaily[Rappi_orders],0)</f>
        <v>1</v>
      </c>
      <c r="T366" s="12">
        <f>_xlfn.XLOOKUP(TableDailySummary[[#This Row],[Fecha]],SummaryDaily[day],SummaryDaily[Rappi_average_order_value],0)</f>
        <v>54621.85</v>
      </c>
      <c r="U366" s="12">
        <f>_xlfn.XLOOKUP(TableDailySummary[[#This Row],[Fecha]],SummaryDaily[day],SummaryDaily[Corporativo no tienda_net_sales],0)</f>
        <v>0</v>
      </c>
      <c r="V366" s="12">
        <f>_xlfn.XLOOKUP(TableDailySummary[[#This Row],[Fecha]],SummaryDaily[day],SummaryDaily[Corporativo no tienda_orders],0)</f>
        <v>0</v>
      </c>
      <c r="W366" s="12">
        <f>_xlfn.XLOOKUP(TableDailySummary[[#This Row],[Fecha]],SummaryDaily[day],SummaryDaily[Corporativo no tienda_average_order_value],0)</f>
        <v>0</v>
      </c>
      <c r="X366" s="12">
        <f>_xlfn.XLOOKUP(TableDailySummary[[#This Row],[Fecha]],SummaryDaily[day],SummaryDaily[GoogleAdsOperation.Cost],0)</f>
        <v>39831.74</v>
      </c>
      <c r="Y366" s="12">
        <f>SUMIFS(SalesByUTMDaily[google],SalesByUTMDaily[day],TableDailySummary[[#This Row],[Fecha]])</f>
        <v>332000</v>
      </c>
      <c r="Z366" s="12">
        <f>_xlfn.XLOOKUP(TableDailySummary[[#This Row],[Fecha]],SummaryDaily[day],SummaryDaily[MetaAdsOperation.spend],0)</f>
        <v>123495</v>
      </c>
      <c r="AA366" s="12">
        <f>SUMIFS(SalesByUTMDaily[facebook],SalesByUTMDaily[day],TableDailySummary[[#This Row],[Fecha]])</f>
        <v>0</v>
      </c>
      <c r="AB366" s="12">
        <f>TableDailySummary[[#This Row],[Inversión google ads]]+TableDailySummary[[#This Row],[Inversión meta ads]]</f>
        <v>163326.74</v>
      </c>
      <c r="AC366" s="12">
        <f>TableDailySummary[[#This Row],[Ventas google ads]]+TableDailySummary[[#This Row],[Ventas meta ads]]</f>
        <v>332000</v>
      </c>
      <c r="AD366" s="14">
        <f>IFERROR(TableDailySummary[[#This Row],[Ventas publicidad]]/TableDailySummary[[#This Row],[Inversión publicidad]],0)</f>
        <v>2.0327351173482064</v>
      </c>
      <c r="AE366" s="14">
        <f>IFERROR(TableDailySummary[[#This Row],[Ventas primer cliente]]/TableDailySummary[[#This Row],[Inversión publicidad]],0)</f>
        <v>5.8982659544909799</v>
      </c>
      <c r="AF366" s="14"/>
      <c r="AG366" s="12"/>
      <c r="AM366" s="12">
        <f>_xlfn.XLOOKUP(TableDailySummary[[#This Row],[Fecha]],SummaryDaily[day],SummaryDaily[net_sales_with_cost_recorded],0)</f>
        <v>4425529.41</v>
      </c>
      <c r="AN366" s="12">
        <f>_xlfn.XLOOKUP(TableDailySummary[[#This Row],[Fecha]],SummaryDaily[day],SummaryDaily[cost_of_goods_sold],0)</f>
        <v>1314787</v>
      </c>
      <c r="AO366" s="12">
        <f>_xlfn.XLOOKUP(TableDailySummary[[#This Row],[Fecha]],SummaryDaily[day],SummaryDaily[gross_profit],0)</f>
        <v>3110742.41</v>
      </c>
      <c r="AP366" s="18">
        <f>IFERROR(TableDailySummary[[#This Row],[Utilidad bruta]]/TableDailySummary[[#This Row],[Ventas netas con costo registrado]],0)</f>
        <v>0.70290853857414537</v>
      </c>
    </row>
    <row r="367" spans="2:42" x14ac:dyDescent="0.2">
      <c r="B367" s="15" cm="1">
        <f t="array" ref="B367">MIN(SummaryDaily[day]) + (ROW(TableDailySummary[#This Row]) - ROW(TableDailySummary[[#Headers],[Dia]]) - 1)</f>
        <v>46138</v>
      </c>
      <c r="C367" s="6">
        <f>TableDailySummary[[#This Row],[Dia]]</f>
        <v>46138</v>
      </c>
      <c r="D367" s="12">
        <f>_xlfn.XLOOKUP(TableDailySummary[[#This Row],[Fecha]],SummaryDaily[day],SummaryDaily[net_sales],0)</f>
        <v>2071428.59</v>
      </c>
      <c r="E367" s="12">
        <f>_xlfn.XLOOKUP(TableDailySummary[[#This Row],[Fecha]],SummaryDaily[day],SummaryDaily[orders],0)</f>
        <v>18</v>
      </c>
      <c r="F367" s="12">
        <f>_xlfn.XLOOKUP(TableDailySummary[[#This Row],[Fecha]],SummaryDaily[day],SummaryDaily[average_order_value],0)</f>
        <v>115079.36599999999</v>
      </c>
      <c r="G367" s="24">
        <f>_xlfn.XLOOKUP(TableDailySummary[[#This Row],[Fecha]],SummaryDaily[day],SummaryDaily[Total site_conversion_rate],0)</f>
        <v>7.0546737213403876E-3</v>
      </c>
      <c r="H367" s="12">
        <f>TableDailySummary[[#This Row],[Órden promedio totales]]*TableDailySummary[[#This Row],[CR totales]]</f>
        <v>811.84737918871247</v>
      </c>
      <c r="I367" s="12">
        <f>_xlfn.XLOOKUP(TableDailySummary[[#This Row],[Fecha]],SummaryDaily[day],SummaryDaily[new_net_sales],0)</f>
        <v>1037815.13</v>
      </c>
      <c r="J367" s="12">
        <f>_xlfn.XLOOKUP(TableDailySummary[[#This Row],[Fecha]],SummaryDaily[day],SummaryDaily[new_orders],0)</f>
        <v>7</v>
      </c>
      <c r="K367" s="12">
        <f>_xlfn.XLOOKUP(TableDailySummary[[#This Row],[Fecha]],SummaryDaily[day],SummaryDaily[new_average_order_value],0)</f>
        <v>148259.304</v>
      </c>
      <c r="L367" s="12">
        <f>_xlfn.XLOOKUP(TableDailySummary[[#This Row],[Fecha]],SummaryDaily[day],SummaryDaily[Online Store_net_sales],0)</f>
        <v>735294.11</v>
      </c>
      <c r="M367" s="12">
        <f>_xlfn.XLOOKUP(TableDailySummary[[#This Row],[Fecha]],SummaryDaily[day],SummaryDaily[Online Store_orders],0)</f>
        <v>4</v>
      </c>
      <c r="N367" s="12">
        <f>_xlfn.XLOOKUP(TableDailySummary[[#This Row],[Fecha]],SummaryDaily[day],SummaryDaily[Online Store_average_order_value],0)</f>
        <v>183823.527</v>
      </c>
      <c r="O367" s="12">
        <f>_xlfn.XLOOKUP(TableDailySummary[[#This Row],[Fecha]],SummaryDaily[day],SummaryDaily[Tienda 81_net_sales],0)</f>
        <v>1235294.1399999999</v>
      </c>
      <c r="P367" s="12">
        <f>_xlfn.XLOOKUP(TableDailySummary[[#This Row],[Fecha]],SummaryDaily[day],SummaryDaily[Tienda 81_orders],0)</f>
        <v>13</v>
      </c>
      <c r="Q367" s="12">
        <f>_xlfn.XLOOKUP(TableDailySummary[[#This Row],[Fecha]],SummaryDaily[day],SummaryDaily[Tienda 81_average_order_value],0)</f>
        <v>95022.626000000004</v>
      </c>
      <c r="R367" s="12">
        <f>_xlfn.XLOOKUP(TableDailySummary[[#This Row],[Fecha]],SummaryDaily[day],SummaryDaily[Rappi_net_sales],0)</f>
        <v>100840.34</v>
      </c>
      <c r="S367" s="12">
        <f>_xlfn.XLOOKUP(TableDailySummary[[#This Row],[Fecha]],SummaryDaily[day],SummaryDaily[Rappi_orders],0)</f>
        <v>1</v>
      </c>
      <c r="T367" s="12">
        <f>_xlfn.XLOOKUP(TableDailySummary[[#This Row],[Fecha]],SummaryDaily[day],SummaryDaily[Rappi_average_order_value],0)</f>
        <v>100840.34</v>
      </c>
      <c r="U367" s="12">
        <f>_xlfn.XLOOKUP(TableDailySummary[[#This Row],[Fecha]],SummaryDaily[day],SummaryDaily[Corporativo no tienda_net_sales],0)</f>
        <v>0</v>
      </c>
      <c r="V367" s="12">
        <f>_xlfn.XLOOKUP(TableDailySummary[[#This Row],[Fecha]],SummaryDaily[day],SummaryDaily[Corporativo no tienda_orders],0)</f>
        <v>0</v>
      </c>
      <c r="W367" s="12">
        <f>_xlfn.XLOOKUP(TableDailySummary[[#This Row],[Fecha]],SummaryDaily[day],SummaryDaily[Corporativo no tienda_average_order_value],0)</f>
        <v>0</v>
      </c>
      <c r="X367" s="12">
        <f>_xlfn.XLOOKUP(TableDailySummary[[#This Row],[Fecha]],SummaryDaily[day],SummaryDaily[GoogleAdsOperation.Cost],0)</f>
        <v>36429.18</v>
      </c>
      <c r="Y367" s="12">
        <f>SUMIFS(SalesByUTMDaily[google],SalesByUTMDaily[day],TableDailySummary[[#This Row],[Fecha]])</f>
        <v>0</v>
      </c>
      <c r="Z367" s="12">
        <f>_xlfn.XLOOKUP(TableDailySummary[[#This Row],[Fecha]],SummaryDaily[day],SummaryDaily[MetaAdsOperation.spend],0)</f>
        <v>146103</v>
      </c>
      <c r="AA367" s="12">
        <f>SUMIFS(SalesByUTMDaily[facebook],SalesByUTMDaily[day],TableDailySummary[[#This Row],[Fecha]])</f>
        <v>346000</v>
      </c>
      <c r="AB367" s="12">
        <f>TableDailySummary[[#This Row],[Inversión google ads]]+TableDailySummary[[#This Row],[Inversión meta ads]]</f>
        <v>182532.18</v>
      </c>
      <c r="AC367" s="12">
        <f>TableDailySummary[[#This Row],[Ventas google ads]]+TableDailySummary[[#This Row],[Ventas meta ads]]</f>
        <v>346000</v>
      </c>
      <c r="AD367" s="14">
        <f>IFERROR(TableDailySummary[[#This Row],[Ventas publicidad]]/TableDailySummary[[#This Row],[Inversión publicidad]],0)</f>
        <v>1.8955561698764569</v>
      </c>
      <c r="AE367" s="14">
        <f>IFERROR(TableDailySummary[[#This Row],[Ventas primer cliente]]/TableDailySummary[[#This Row],[Inversión publicidad]],0)</f>
        <v>5.6856557019151364</v>
      </c>
      <c r="AF367" s="14"/>
      <c r="AG367" s="12"/>
      <c r="AM367" s="12">
        <f>_xlfn.XLOOKUP(TableDailySummary[[#This Row],[Fecha]],SummaryDaily[day],SummaryDaily[net_sales_with_cost_recorded],0)</f>
        <v>2071428.59</v>
      </c>
      <c r="AN367" s="12">
        <f>_xlfn.XLOOKUP(TableDailySummary[[#This Row],[Fecha]],SummaryDaily[day],SummaryDaily[cost_of_goods_sold],0)</f>
        <v>639616</v>
      </c>
      <c r="AO367" s="12">
        <f>_xlfn.XLOOKUP(TableDailySummary[[#This Row],[Fecha]],SummaryDaily[day],SummaryDaily[gross_profit],0)</f>
        <v>1431812.59</v>
      </c>
      <c r="AP367" s="18">
        <f>IFERROR(TableDailySummary[[#This Row],[Utilidad bruta]]/TableDailySummary[[#This Row],[Ventas netas con costo registrado]],0)</f>
        <v>0.6912198648373391</v>
      </c>
    </row>
    <row r="368" spans="2:42" x14ac:dyDescent="0.2">
      <c r="B368" s="15" cm="1">
        <f t="array" ref="B368">MIN(SummaryDaily[day]) + (ROW(TableDailySummary[#This Row]) - ROW(TableDailySummary[[#Headers],[Dia]]) - 1)</f>
        <v>46139</v>
      </c>
      <c r="C368" s="6">
        <f>TableDailySummary[[#This Row],[Dia]]</f>
        <v>46139</v>
      </c>
      <c r="D368" s="12">
        <f>_xlfn.XLOOKUP(TableDailySummary[[#This Row],[Fecha]],SummaryDaily[day],SummaryDaily[net_sales],0)</f>
        <v>5005974.8099999996</v>
      </c>
      <c r="E368" s="12">
        <f>_xlfn.XLOOKUP(TableDailySummary[[#This Row],[Fecha]],SummaryDaily[day],SummaryDaily[orders],0)</f>
        <v>22</v>
      </c>
      <c r="F368" s="12">
        <f>_xlfn.XLOOKUP(TableDailySummary[[#This Row],[Fecha]],SummaryDaily[day],SummaryDaily[average_order_value],0)</f>
        <v>227544.30900000001</v>
      </c>
      <c r="G368" s="24">
        <f>_xlfn.XLOOKUP(TableDailySummary[[#This Row],[Fecha]],SummaryDaily[day],SummaryDaily[Total site_conversion_rate],0)</f>
        <v>1.3303769401330377E-2</v>
      </c>
      <c r="H368" s="12">
        <f>TableDailySummary[[#This Row],[Órden promedio totales]]*TableDailySummary[[#This Row],[CR totales]]</f>
        <v>3027.1970155210643</v>
      </c>
      <c r="I368" s="12">
        <f>_xlfn.XLOOKUP(TableDailySummary[[#This Row],[Fecha]],SummaryDaily[day],SummaryDaily[new_net_sales],0)</f>
        <v>1260504.21</v>
      </c>
      <c r="J368" s="12">
        <f>_xlfn.XLOOKUP(TableDailySummary[[#This Row],[Fecha]],SummaryDaily[day],SummaryDaily[new_orders],0)</f>
        <v>5</v>
      </c>
      <c r="K368" s="12">
        <f>_xlfn.XLOOKUP(TableDailySummary[[#This Row],[Fecha]],SummaryDaily[day],SummaryDaily[new_average_order_value],0)</f>
        <v>252100.842</v>
      </c>
      <c r="L368" s="12">
        <f>_xlfn.XLOOKUP(TableDailySummary[[#This Row],[Fecha]],SummaryDaily[day],SummaryDaily[Online Store_net_sales],0)</f>
        <v>1710084.04</v>
      </c>
      <c r="M368" s="12">
        <f>_xlfn.XLOOKUP(TableDailySummary[[#This Row],[Fecha]],SummaryDaily[day],SummaryDaily[Online Store_orders],0)</f>
        <v>7</v>
      </c>
      <c r="N368" s="12">
        <f>_xlfn.XLOOKUP(TableDailySummary[[#This Row],[Fecha]],SummaryDaily[day],SummaryDaily[Online Store_average_order_value],0)</f>
        <v>244297.72</v>
      </c>
      <c r="O368" s="12">
        <f>_xlfn.XLOOKUP(TableDailySummary[[#This Row],[Fecha]],SummaryDaily[day],SummaryDaily[Tienda 81_net_sales],0)</f>
        <v>3295890.77</v>
      </c>
      <c r="P368" s="12">
        <f>_xlfn.XLOOKUP(TableDailySummary[[#This Row],[Fecha]],SummaryDaily[day],SummaryDaily[Tienda 81_orders],0)</f>
        <v>15</v>
      </c>
      <c r="Q368" s="12">
        <f>_xlfn.XLOOKUP(TableDailySummary[[#This Row],[Fecha]],SummaryDaily[day],SummaryDaily[Tienda 81_average_order_value],0)</f>
        <v>219726.05100000001</v>
      </c>
      <c r="R368" s="12">
        <f>_xlfn.XLOOKUP(TableDailySummary[[#This Row],[Fecha]],SummaryDaily[day],SummaryDaily[Rappi_net_sales],0)</f>
        <v>0</v>
      </c>
      <c r="S368" s="12">
        <f>_xlfn.XLOOKUP(TableDailySummary[[#This Row],[Fecha]],SummaryDaily[day],SummaryDaily[Rappi_orders],0)</f>
        <v>0</v>
      </c>
      <c r="T368" s="12">
        <f>_xlfn.XLOOKUP(TableDailySummary[[#This Row],[Fecha]],SummaryDaily[day],SummaryDaily[Rappi_average_order_value],0)</f>
        <v>0</v>
      </c>
      <c r="U368" s="12">
        <f>_xlfn.XLOOKUP(TableDailySummary[[#This Row],[Fecha]],SummaryDaily[day],SummaryDaily[Corporativo no tienda_net_sales],0)</f>
        <v>0</v>
      </c>
      <c r="V368" s="12">
        <f>_xlfn.XLOOKUP(TableDailySummary[[#This Row],[Fecha]],SummaryDaily[day],SummaryDaily[Corporativo no tienda_orders],0)</f>
        <v>0</v>
      </c>
      <c r="W368" s="12">
        <f>_xlfn.XLOOKUP(TableDailySummary[[#This Row],[Fecha]],SummaryDaily[day],SummaryDaily[Corporativo no tienda_average_order_value],0)</f>
        <v>0</v>
      </c>
      <c r="X368" s="12">
        <f>_xlfn.XLOOKUP(TableDailySummary[[#This Row],[Fecha]],SummaryDaily[day],SummaryDaily[GoogleAdsOperation.Cost],0)</f>
        <v>27592.61</v>
      </c>
      <c r="Y368" s="12">
        <f>SUMIFS(SalesByUTMDaily[google],SalesByUTMDaily[day],TableDailySummary[[#This Row],[Fecha]])</f>
        <v>0</v>
      </c>
      <c r="Z368" s="12">
        <f>_xlfn.XLOOKUP(TableDailySummary[[#This Row],[Fecha]],SummaryDaily[day],SummaryDaily[MetaAdsOperation.spend],0)</f>
        <v>124162</v>
      </c>
      <c r="AA368" s="12">
        <f>SUMIFS(SalesByUTMDaily[facebook],SalesByUTMDaily[day],TableDailySummary[[#This Row],[Fecha]])</f>
        <v>367000</v>
      </c>
      <c r="AB368" s="12">
        <f>TableDailySummary[[#This Row],[Inversión google ads]]+TableDailySummary[[#This Row],[Inversión meta ads]]</f>
        <v>151754.60999999999</v>
      </c>
      <c r="AC368" s="12">
        <f>TableDailySummary[[#This Row],[Ventas google ads]]+TableDailySummary[[#This Row],[Ventas meta ads]]</f>
        <v>367000</v>
      </c>
      <c r="AD368" s="14">
        <f>IFERROR(TableDailySummary[[#This Row],[Ventas publicidad]]/TableDailySummary[[#This Row],[Inversión publicidad]],0)</f>
        <v>2.4183779326374339</v>
      </c>
      <c r="AE368" s="14">
        <f>IFERROR(TableDailySummary[[#This Row],[Ventas primer cliente]]/TableDailySummary[[#This Row],[Inversión publicidad]],0)</f>
        <v>8.306200450846271</v>
      </c>
      <c r="AF368" s="14"/>
      <c r="AG368" s="12"/>
      <c r="AM368" s="12">
        <f>_xlfn.XLOOKUP(TableDailySummary[[#This Row],[Fecha]],SummaryDaily[day],SummaryDaily[net_sales_with_cost_recorded],0)</f>
        <v>4765546.24</v>
      </c>
      <c r="AN368" s="12">
        <f>_xlfn.XLOOKUP(TableDailySummary[[#This Row],[Fecha]],SummaryDaily[day],SummaryDaily[cost_of_goods_sold],0)</f>
        <v>1524333</v>
      </c>
      <c r="AO368" s="12">
        <f>_xlfn.XLOOKUP(TableDailySummary[[#This Row],[Fecha]],SummaryDaily[day],SummaryDaily[gross_profit],0)</f>
        <v>3241213.24</v>
      </c>
      <c r="AP368" s="18">
        <f>IFERROR(TableDailySummary[[#This Row],[Utilidad bruta]]/TableDailySummary[[#This Row],[Ventas netas con costo registrado]],0)</f>
        <v>0.68013467434113073</v>
      </c>
    </row>
    <row r="369" spans="2:42" x14ac:dyDescent="0.2">
      <c r="B369" s="15" cm="1">
        <f t="array" ref="B369">MIN(SummaryDaily[day]) + (ROW(TableDailySummary[#This Row]) - ROW(TableDailySummary[[#Headers],[Dia]]) - 1)</f>
        <v>46140</v>
      </c>
      <c r="C369" s="6">
        <f>TableDailySummary[[#This Row],[Dia]]</f>
        <v>46140</v>
      </c>
      <c r="D369" s="12">
        <f>_xlfn.XLOOKUP(TableDailySummary[[#This Row],[Fecha]],SummaryDaily[day],SummaryDaily[net_sales],0)</f>
        <v>3281512.57</v>
      </c>
      <c r="E369" s="12">
        <f>_xlfn.XLOOKUP(TableDailySummary[[#This Row],[Fecha]],SummaryDaily[day],SummaryDaily[orders],0)</f>
        <v>29</v>
      </c>
      <c r="F369" s="12">
        <f>_xlfn.XLOOKUP(TableDailySummary[[#This Row],[Fecha]],SummaryDaily[day],SummaryDaily[average_order_value],0)</f>
        <v>113155.605</v>
      </c>
      <c r="G369" s="24">
        <f>_xlfn.XLOOKUP(TableDailySummary[[#This Row],[Fecha]],SummaryDaily[day],SummaryDaily[Total site_conversion_rate],0)</f>
        <v>2.0289855072463767E-2</v>
      </c>
      <c r="H369" s="12">
        <f>TableDailySummary[[#This Row],[Órden promedio totales]]*TableDailySummary[[#This Row],[CR totales]]</f>
        <v>2295.9108260869561</v>
      </c>
      <c r="I369" s="12">
        <f>_xlfn.XLOOKUP(TableDailySummary[[#This Row],[Fecha]],SummaryDaily[day],SummaryDaily[new_net_sales],0)</f>
        <v>2315126.0299999998</v>
      </c>
      <c r="J369" s="12">
        <f>_xlfn.XLOOKUP(TableDailySummary[[#This Row],[Fecha]],SummaryDaily[day],SummaryDaily[new_orders],0)</f>
        <v>19</v>
      </c>
      <c r="K369" s="12">
        <f>_xlfn.XLOOKUP(TableDailySummary[[#This Row],[Fecha]],SummaryDaily[day],SummaryDaily[new_average_order_value],0)</f>
        <v>121848.738</v>
      </c>
      <c r="L369" s="12">
        <f>_xlfn.XLOOKUP(TableDailySummary[[#This Row],[Fecha]],SummaryDaily[day],SummaryDaily[Online Store_net_sales],0)</f>
        <v>995798.32</v>
      </c>
      <c r="M369" s="12">
        <f>_xlfn.XLOOKUP(TableDailySummary[[#This Row],[Fecha]],SummaryDaily[day],SummaryDaily[Online Store_orders],0)</f>
        <v>9</v>
      </c>
      <c r="N369" s="12">
        <f>_xlfn.XLOOKUP(TableDailySummary[[#This Row],[Fecha]],SummaryDaily[day],SummaryDaily[Online Store_average_order_value],0)</f>
        <v>110644.257</v>
      </c>
      <c r="O369" s="12">
        <f>_xlfn.XLOOKUP(TableDailySummary[[#This Row],[Fecha]],SummaryDaily[day],SummaryDaily[Tienda 81_net_sales],0)</f>
        <v>2285714.25</v>
      </c>
      <c r="P369" s="12">
        <f>_xlfn.XLOOKUP(TableDailySummary[[#This Row],[Fecha]],SummaryDaily[day],SummaryDaily[Tienda 81_orders],0)</f>
        <v>20</v>
      </c>
      <c r="Q369" s="12">
        <f>_xlfn.XLOOKUP(TableDailySummary[[#This Row],[Fecha]],SummaryDaily[day],SummaryDaily[Tienda 81_average_order_value],0)</f>
        <v>114285.712</v>
      </c>
      <c r="R369" s="12">
        <f>_xlfn.XLOOKUP(TableDailySummary[[#This Row],[Fecha]],SummaryDaily[day],SummaryDaily[Rappi_net_sales],0)</f>
        <v>0</v>
      </c>
      <c r="S369" s="12">
        <f>_xlfn.XLOOKUP(TableDailySummary[[#This Row],[Fecha]],SummaryDaily[day],SummaryDaily[Rappi_orders],0)</f>
        <v>0</v>
      </c>
      <c r="T369" s="12">
        <f>_xlfn.XLOOKUP(TableDailySummary[[#This Row],[Fecha]],SummaryDaily[day],SummaryDaily[Rappi_average_order_value],0)</f>
        <v>0</v>
      </c>
      <c r="U369" s="12">
        <f>_xlfn.XLOOKUP(TableDailySummary[[#This Row],[Fecha]],SummaryDaily[day],SummaryDaily[Corporativo no tienda_net_sales],0)</f>
        <v>0</v>
      </c>
      <c r="V369" s="12">
        <f>_xlfn.XLOOKUP(TableDailySummary[[#This Row],[Fecha]],SummaryDaily[day],SummaryDaily[Corporativo no tienda_orders],0)</f>
        <v>0</v>
      </c>
      <c r="W369" s="12">
        <f>_xlfn.XLOOKUP(TableDailySummary[[#This Row],[Fecha]],SummaryDaily[day],SummaryDaily[Corporativo no tienda_average_order_value],0)</f>
        <v>0</v>
      </c>
      <c r="X369" s="12">
        <f>_xlfn.XLOOKUP(TableDailySummary[[#This Row],[Fecha]],SummaryDaily[day],SummaryDaily[GoogleAdsOperation.Cost],0)</f>
        <v>21042.81</v>
      </c>
      <c r="Y369" s="12">
        <f>SUMIFS(SalesByUTMDaily[google],SalesByUTMDaily[day],TableDailySummary[[#This Row],[Fecha]])</f>
        <v>401000</v>
      </c>
      <c r="Z369" s="12">
        <f>_xlfn.XLOOKUP(TableDailySummary[[#This Row],[Fecha]],SummaryDaily[day],SummaryDaily[MetaAdsOperation.spend],0)</f>
        <v>120659</v>
      </c>
      <c r="AA369" s="12">
        <f>SUMIFS(SalesByUTMDaily[facebook],SalesByUTMDaily[day],TableDailySummary[[#This Row],[Fecha]])</f>
        <v>0</v>
      </c>
      <c r="AB369" s="12">
        <f>TableDailySummary[[#This Row],[Inversión google ads]]+TableDailySummary[[#This Row],[Inversión meta ads]]</f>
        <v>141701.81</v>
      </c>
      <c r="AC369" s="12">
        <f>TableDailySummary[[#This Row],[Ventas google ads]]+TableDailySummary[[#This Row],[Ventas meta ads]]</f>
        <v>401000</v>
      </c>
      <c r="AD369" s="14">
        <f>IFERROR(TableDailySummary[[#This Row],[Ventas publicidad]]/TableDailySummary[[#This Row],[Inversión publicidad]],0)</f>
        <v>2.8298862237539519</v>
      </c>
      <c r="AE369" s="14">
        <f>IFERROR(TableDailySummary[[#This Row],[Ventas primer cliente]]/TableDailySummary[[#This Row],[Inversión publicidad]],0)</f>
        <v>16.338013113593959</v>
      </c>
      <c r="AF369" s="14"/>
      <c r="AG369" s="12"/>
      <c r="AM369" s="12">
        <f>_xlfn.XLOOKUP(TableDailySummary[[#This Row],[Fecha]],SummaryDaily[day],SummaryDaily[net_sales_with_cost_recorded],0)</f>
        <v>3281512.57</v>
      </c>
      <c r="AN369" s="12">
        <f>_xlfn.XLOOKUP(TableDailySummary[[#This Row],[Fecha]],SummaryDaily[day],SummaryDaily[cost_of_goods_sold],0)</f>
        <v>1004580</v>
      </c>
      <c r="AO369" s="12">
        <f>_xlfn.XLOOKUP(TableDailySummary[[#This Row],[Fecha]],SummaryDaily[day],SummaryDaily[gross_profit],0)</f>
        <v>2276932.5699999998</v>
      </c>
      <c r="AP369" s="18">
        <f>IFERROR(TableDailySummary[[#This Row],[Utilidad bruta]]/TableDailySummary[[#This Row],[Ventas netas con costo registrado]],0)</f>
        <v>0.69386678290249548</v>
      </c>
    </row>
    <row r="370" spans="2:42" x14ac:dyDescent="0.2">
      <c r="B370" s="15" cm="1">
        <f t="array" ref="B370">MIN(SummaryDaily[day]) + (ROW(TableDailySummary[#This Row]) - ROW(TableDailySummary[[#Headers],[Dia]]) - 1)</f>
        <v>46141</v>
      </c>
      <c r="C370" s="6">
        <f>TableDailySummary[[#This Row],[Dia]]</f>
        <v>46141</v>
      </c>
      <c r="D370" s="12">
        <f>_xlfn.XLOOKUP(TableDailySummary[[#This Row],[Fecha]],SummaryDaily[day],SummaryDaily[net_sales],0)</f>
        <v>3366386.57</v>
      </c>
      <c r="E370" s="12">
        <f>_xlfn.XLOOKUP(TableDailySummary[[#This Row],[Fecha]],SummaryDaily[day],SummaryDaily[orders],0)</f>
        <v>25</v>
      </c>
      <c r="F370" s="12">
        <f>_xlfn.XLOOKUP(TableDailySummary[[#This Row],[Fecha]],SummaryDaily[day],SummaryDaily[average_order_value],0)</f>
        <v>134655.462</v>
      </c>
      <c r="G370" s="24">
        <f>_xlfn.XLOOKUP(TableDailySummary[[#This Row],[Fecha]],SummaryDaily[day],SummaryDaily[Total site_conversion_rate],0)</f>
        <v>2.4390243902439025E-2</v>
      </c>
      <c r="H370" s="12">
        <f>TableDailySummary[[#This Row],[Órden promedio totales]]*TableDailySummary[[#This Row],[CR totales]]</f>
        <v>3284.2795609756099</v>
      </c>
      <c r="I370" s="12">
        <f>_xlfn.XLOOKUP(TableDailySummary[[#This Row],[Fecha]],SummaryDaily[day],SummaryDaily[new_net_sales],0)</f>
        <v>651260.51</v>
      </c>
      <c r="J370" s="12">
        <f>_xlfn.XLOOKUP(TableDailySummary[[#This Row],[Fecha]],SummaryDaily[day],SummaryDaily[new_orders],0)</f>
        <v>6</v>
      </c>
      <c r="K370" s="12">
        <f>_xlfn.XLOOKUP(TableDailySummary[[#This Row],[Fecha]],SummaryDaily[day],SummaryDaily[new_average_order_value],0)</f>
        <v>108543.41800000001</v>
      </c>
      <c r="L370" s="12">
        <f>_xlfn.XLOOKUP(TableDailySummary[[#This Row],[Fecha]],SummaryDaily[day],SummaryDaily[Online Store_net_sales],0)</f>
        <v>1718487.41</v>
      </c>
      <c r="M370" s="12">
        <f>_xlfn.XLOOKUP(TableDailySummary[[#This Row],[Fecha]],SummaryDaily[day],SummaryDaily[Online Store_orders],0)</f>
        <v>9</v>
      </c>
      <c r="N370" s="12">
        <f>_xlfn.XLOOKUP(TableDailySummary[[#This Row],[Fecha]],SummaryDaily[day],SummaryDaily[Online Store_average_order_value],0)</f>
        <v>190943.04500000001</v>
      </c>
      <c r="O370" s="12">
        <f>_xlfn.XLOOKUP(TableDailySummary[[#This Row],[Fecha]],SummaryDaily[day],SummaryDaily[Tienda 81_net_sales],0)</f>
        <v>1647899.16</v>
      </c>
      <c r="P370" s="12">
        <f>_xlfn.XLOOKUP(TableDailySummary[[#This Row],[Fecha]],SummaryDaily[day],SummaryDaily[Tienda 81_orders],0)</f>
        <v>16</v>
      </c>
      <c r="Q370" s="12">
        <f>_xlfn.XLOOKUP(TableDailySummary[[#This Row],[Fecha]],SummaryDaily[day],SummaryDaily[Tienda 81_average_order_value],0)</f>
        <v>102993.697</v>
      </c>
      <c r="R370" s="12">
        <f>_xlfn.XLOOKUP(TableDailySummary[[#This Row],[Fecha]],SummaryDaily[day],SummaryDaily[Rappi_net_sales],0)</f>
        <v>0</v>
      </c>
      <c r="S370" s="12">
        <f>_xlfn.XLOOKUP(TableDailySummary[[#This Row],[Fecha]],SummaryDaily[day],SummaryDaily[Rappi_orders],0)</f>
        <v>0</v>
      </c>
      <c r="T370" s="12">
        <f>_xlfn.XLOOKUP(TableDailySummary[[#This Row],[Fecha]],SummaryDaily[day],SummaryDaily[Rappi_average_order_value],0)</f>
        <v>0</v>
      </c>
      <c r="U370" s="12">
        <f>_xlfn.XLOOKUP(TableDailySummary[[#This Row],[Fecha]],SummaryDaily[day],SummaryDaily[Corporativo no tienda_net_sales],0)</f>
        <v>0</v>
      </c>
      <c r="V370" s="12">
        <f>_xlfn.XLOOKUP(TableDailySummary[[#This Row],[Fecha]],SummaryDaily[day],SummaryDaily[Corporativo no tienda_orders],0)</f>
        <v>0</v>
      </c>
      <c r="W370" s="12">
        <f>_xlfn.XLOOKUP(TableDailySummary[[#This Row],[Fecha]],SummaryDaily[day],SummaryDaily[Corporativo no tienda_average_order_value],0)</f>
        <v>0</v>
      </c>
      <c r="X370" s="12">
        <f>_xlfn.XLOOKUP(TableDailySummary[[#This Row],[Fecha]],SummaryDaily[day],SummaryDaily[GoogleAdsOperation.Cost],0)</f>
        <v>15887.18</v>
      </c>
      <c r="Y370" s="12">
        <f>SUMIFS(SalesByUTMDaily[google],SalesByUTMDaily[day],TableDailySummary[[#This Row],[Fecha]])</f>
        <v>142000</v>
      </c>
      <c r="Z370" s="12">
        <f>_xlfn.XLOOKUP(TableDailySummary[[#This Row],[Fecha]],SummaryDaily[day],SummaryDaily[MetaAdsOperation.spend],0)</f>
        <v>113319</v>
      </c>
      <c r="AA370" s="12">
        <f>SUMIFS(SalesByUTMDaily[facebook],SalesByUTMDaily[day],TableDailySummary[[#This Row],[Fecha]])</f>
        <v>0</v>
      </c>
      <c r="AB370" s="12">
        <f>TableDailySummary[[#This Row],[Inversión google ads]]+TableDailySummary[[#This Row],[Inversión meta ads]]</f>
        <v>129206.18</v>
      </c>
      <c r="AC370" s="12">
        <f>TableDailySummary[[#This Row],[Ventas google ads]]+TableDailySummary[[#This Row],[Ventas meta ads]]</f>
        <v>142000</v>
      </c>
      <c r="AD370" s="14">
        <f>IFERROR(TableDailySummary[[#This Row],[Ventas publicidad]]/TableDailySummary[[#This Row],[Inversión publicidad]],0)</f>
        <v>1.0990186382725657</v>
      </c>
      <c r="AE370" s="14">
        <f>IFERROR(TableDailySummary[[#This Row],[Ventas primer cliente]]/TableDailySummary[[#This Row],[Inversión publicidad]],0)</f>
        <v>5.0404749215556102</v>
      </c>
      <c r="AF370" s="14"/>
      <c r="AG370" s="12"/>
      <c r="AM370" s="12">
        <f>_xlfn.XLOOKUP(TableDailySummary[[#This Row],[Fecha]],SummaryDaily[day],SummaryDaily[net_sales_with_cost_recorded],0)</f>
        <v>3366386.57</v>
      </c>
      <c r="AN370" s="12">
        <f>_xlfn.XLOOKUP(TableDailySummary[[#This Row],[Fecha]],SummaryDaily[day],SummaryDaily[cost_of_goods_sold],0)</f>
        <v>986494</v>
      </c>
      <c r="AO370" s="12">
        <f>_xlfn.XLOOKUP(TableDailySummary[[#This Row],[Fecha]],SummaryDaily[day],SummaryDaily[gross_profit],0)</f>
        <v>2379892.5699999998</v>
      </c>
      <c r="AP370" s="18">
        <f>IFERROR(TableDailySummary[[#This Row],[Utilidad bruta]]/TableDailySummary[[#This Row],[Ventas netas con costo registrado]],0)</f>
        <v>0.7069575999407578</v>
      </c>
    </row>
    <row r="371" spans="2:42" x14ac:dyDescent="0.2">
      <c r="B371" s="15" cm="1">
        <f t="array" ref="B371">MIN(SummaryDaily[day]) + (ROW(TableDailySummary[#This Row]) - ROW(TableDailySummary[[#Headers],[Dia]]) - 1)</f>
        <v>46142</v>
      </c>
      <c r="C371" s="6">
        <f>TableDailySummary[[#This Row],[Dia]]</f>
        <v>46142</v>
      </c>
      <c r="D371" s="12">
        <f>_xlfn.XLOOKUP(TableDailySummary[[#This Row],[Fecha]],SummaryDaily[day],SummaryDaily[net_sales],0)</f>
        <v>6648001.0199999996</v>
      </c>
      <c r="E371" s="12">
        <f>_xlfn.XLOOKUP(TableDailySummary[[#This Row],[Fecha]],SummaryDaily[day],SummaryDaily[orders],0)</f>
        <v>41</v>
      </c>
      <c r="F371" s="12">
        <f>_xlfn.XLOOKUP(TableDailySummary[[#This Row],[Fecha]],SummaryDaily[day],SummaryDaily[average_order_value],0)</f>
        <v>162392.318</v>
      </c>
      <c r="G371" s="24">
        <f>_xlfn.XLOOKUP(TableDailySummary[[#This Row],[Fecha]],SummaryDaily[day],SummaryDaily[Total site_conversion_rate],0)</f>
        <v>6.4935064935064939E-3</v>
      </c>
      <c r="H371" s="12">
        <f>TableDailySummary[[#This Row],[Órden promedio totales]]*TableDailySummary[[#This Row],[CR totales]]</f>
        <v>1054.4955714285716</v>
      </c>
      <c r="I371" s="12">
        <f>_xlfn.XLOOKUP(TableDailySummary[[#This Row],[Fecha]],SummaryDaily[day],SummaryDaily[new_net_sales],0)</f>
        <v>1630253.1</v>
      </c>
      <c r="J371" s="12">
        <f>_xlfn.XLOOKUP(TableDailySummary[[#This Row],[Fecha]],SummaryDaily[day],SummaryDaily[new_orders],0)</f>
        <v>14</v>
      </c>
      <c r="K371" s="12">
        <f>_xlfn.XLOOKUP(TableDailySummary[[#This Row],[Fecha]],SummaryDaily[day],SummaryDaily[new_average_order_value],0)</f>
        <v>117166.93700000001</v>
      </c>
      <c r="L371" s="12">
        <f>_xlfn.XLOOKUP(TableDailySummary[[#This Row],[Fecha]],SummaryDaily[day],SummaryDaily[Online Store_net_sales],0)</f>
        <v>575631.25</v>
      </c>
      <c r="M371" s="12">
        <f>_xlfn.XLOOKUP(TableDailySummary[[#This Row],[Fecha]],SummaryDaily[day],SummaryDaily[Online Store_orders],0)</f>
        <v>4</v>
      </c>
      <c r="N371" s="12">
        <f>_xlfn.XLOOKUP(TableDailySummary[[#This Row],[Fecha]],SummaryDaily[day],SummaryDaily[Online Store_average_order_value],0)</f>
        <v>143907.81200000001</v>
      </c>
      <c r="O371" s="12">
        <f>_xlfn.XLOOKUP(TableDailySummary[[#This Row],[Fecha]],SummaryDaily[day],SummaryDaily[Tienda 81_net_sales],0)</f>
        <v>2282453.77</v>
      </c>
      <c r="P371" s="12">
        <f>_xlfn.XLOOKUP(TableDailySummary[[#This Row],[Fecha]],SummaryDaily[day],SummaryDaily[Tienda 81_orders],0)</f>
        <v>15</v>
      </c>
      <c r="Q371" s="12">
        <f>_xlfn.XLOOKUP(TableDailySummary[[#This Row],[Fecha]],SummaryDaily[day],SummaryDaily[Tienda 81_average_order_value],0)</f>
        <v>152163.584</v>
      </c>
      <c r="R371" s="12">
        <f>_xlfn.XLOOKUP(TableDailySummary[[#This Row],[Fecha]],SummaryDaily[day],SummaryDaily[Rappi_net_sales],0)</f>
        <v>0</v>
      </c>
      <c r="S371" s="12">
        <f>_xlfn.XLOOKUP(TableDailySummary[[#This Row],[Fecha]],SummaryDaily[day],SummaryDaily[Rappi_orders],0)</f>
        <v>0</v>
      </c>
      <c r="T371" s="12">
        <f>_xlfn.XLOOKUP(TableDailySummary[[#This Row],[Fecha]],SummaryDaily[day],SummaryDaily[Rappi_average_order_value],0)</f>
        <v>0</v>
      </c>
      <c r="U371" s="12">
        <f>_xlfn.XLOOKUP(TableDailySummary[[#This Row],[Fecha]],SummaryDaily[day],SummaryDaily[Corporativo no tienda_net_sales],0)</f>
        <v>0</v>
      </c>
      <c r="V371" s="12">
        <f>_xlfn.XLOOKUP(TableDailySummary[[#This Row],[Fecha]],SummaryDaily[day],SummaryDaily[Corporativo no tienda_orders],0)</f>
        <v>0</v>
      </c>
      <c r="W371" s="12">
        <f>_xlfn.XLOOKUP(TableDailySummary[[#This Row],[Fecha]],SummaryDaily[day],SummaryDaily[Corporativo no tienda_average_order_value],0)</f>
        <v>0</v>
      </c>
      <c r="X371" s="12">
        <f>_xlfn.XLOOKUP(TableDailySummary[[#This Row],[Fecha]],SummaryDaily[day],SummaryDaily[GoogleAdsOperation.Cost],0)</f>
        <v>25869.95</v>
      </c>
      <c r="Y371" s="12">
        <f>SUMIFS(SalesByUTMDaily[google],SalesByUTMDaily[day],TableDailySummary[[#This Row],[Fecha]])</f>
        <v>0</v>
      </c>
      <c r="Z371" s="12">
        <f>_xlfn.XLOOKUP(TableDailySummary[[#This Row],[Fecha]],SummaryDaily[day],SummaryDaily[MetaAdsOperation.spend],0)</f>
        <v>128435</v>
      </c>
      <c r="AA371" s="12">
        <f>SUMIFS(SalesByUTMDaily[facebook],SalesByUTMDaily[day],TableDailySummary[[#This Row],[Fecha]])</f>
        <v>0</v>
      </c>
      <c r="AB371" s="12">
        <f>TableDailySummary[[#This Row],[Inversión google ads]]+TableDailySummary[[#This Row],[Inversión meta ads]]</f>
        <v>154304.95000000001</v>
      </c>
      <c r="AC371" s="12">
        <f>TableDailySummary[[#This Row],[Ventas google ads]]+TableDailySummary[[#This Row],[Ventas meta ads]]</f>
        <v>0</v>
      </c>
      <c r="AD371" s="14">
        <f>IFERROR(TableDailySummary[[#This Row],[Ventas publicidad]]/TableDailySummary[[#This Row],[Inversión publicidad]],0)</f>
        <v>0</v>
      </c>
      <c r="AE371" s="14">
        <f>IFERROR(TableDailySummary[[#This Row],[Ventas primer cliente]]/TableDailySummary[[#This Row],[Inversión publicidad]],0)</f>
        <v>10.565138059407685</v>
      </c>
      <c r="AF371" s="14"/>
      <c r="AG371" s="12"/>
      <c r="AM371" s="12">
        <f>_xlfn.XLOOKUP(TableDailySummary[[#This Row],[Fecha]],SummaryDaily[day],SummaryDaily[net_sales_with_cost_recorded],0)</f>
        <v>6257243.7199999997</v>
      </c>
      <c r="AN371" s="12">
        <f>_xlfn.XLOOKUP(TableDailySummary[[#This Row],[Fecha]],SummaryDaily[day],SummaryDaily[cost_of_goods_sold],0)</f>
        <v>1725692</v>
      </c>
      <c r="AO371" s="12">
        <f>_xlfn.XLOOKUP(TableDailySummary[[#This Row],[Fecha]],SummaryDaily[day],SummaryDaily[gross_profit],0)</f>
        <v>4531551.72</v>
      </c>
      <c r="AP371" s="18">
        <f>IFERROR(TableDailySummary[[#This Row],[Utilidad bruta]]/TableDailySummary[[#This Row],[Ventas netas con costo registrado]],0)</f>
        <v>0.72420892053730013</v>
      </c>
    </row>
    <row r="372" spans="2:42" x14ac:dyDescent="0.2">
      <c r="B372" s="15" cm="1">
        <f t="array" ref="B372">MIN(SummaryDaily[day]) + (ROW(TableDailySummary[#This Row]) - ROW(TableDailySummary[[#Headers],[Dia]]) - 1)</f>
        <v>46143</v>
      </c>
      <c r="C372" s="6">
        <f>TableDailySummary[[#This Row],[Dia]]</f>
        <v>46143</v>
      </c>
      <c r="D372" s="12">
        <f>_xlfn.XLOOKUP(TableDailySummary[[#This Row],[Fecha]],SummaryDaily[day],SummaryDaily[net_sales],0)</f>
        <v>10341277.4</v>
      </c>
      <c r="E372" s="12">
        <f>_xlfn.XLOOKUP(TableDailySummary[[#This Row],[Fecha]],SummaryDaily[day],SummaryDaily[orders],0)</f>
        <v>80</v>
      </c>
      <c r="F372" s="12">
        <f>_xlfn.XLOOKUP(TableDailySummary[[#This Row],[Fecha]],SummaryDaily[day],SummaryDaily[average_order_value],0)</f>
        <v>129213.446</v>
      </c>
      <c r="G372" s="24">
        <f>_xlfn.XLOOKUP(TableDailySummary[[#This Row],[Fecha]],SummaryDaily[day],SummaryDaily[Total site_conversion_rate],0)</f>
        <v>8.5653104925053538E-3</v>
      </c>
      <c r="H372" s="12">
        <f>TableDailySummary[[#This Row],[Órden promedio totales]]*TableDailySummary[[#This Row],[CR totales]]</f>
        <v>1106.753284796574</v>
      </c>
      <c r="I372" s="12">
        <f>_xlfn.XLOOKUP(TableDailySummary[[#This Row],[Fecha]],SummaryDaily[day],SummaryDaily[new_net_sales],0)</f>
        <v>8639596.7200000007</v>
      </c>
      <c r="J372" s="12">
        <f>_xlfn.XLOOKUP(TableDailySummary[[#This Row],[Fecha]],SummaryDaily[day],SummaryDaily[new_orders],0)</f>
        <v>59</v>
      </c>
      <c r="K372" s="12">
        <f>_xlfn.XLOOKUP(TableDailySummary[[#This Row],[Fecha]],SummaryDaily[day],SummaryDaily[new_average_order_value],0)</f>
        <v>145408.34700000001</v>
      </c>
      <c r="L372" s="12">
        <f>_xlfn.XLOOKUP(TableDailySummary[[#This Row],[Fecha]],SummaryDaily[day],SummaryDaily[Online Store_net_sales],0)</f>
        <v>1067226.8899999999</v>
      </c>
      <c r="M372" s="12">
        <f>_xlfn.XLOOKUP(TableDailySummary[[#This Row],[Fecha]],SummaryDaily[day],SummaryDaily[Online Store_orders],0)</f>
        <v>6</v>
      </c>
      <c r="N372" s="12">
        <f>_xlfn.XLOOKUP(TableDailySummary[[#This Row],[Fecha]],SummaryDaily[day],SummaryDaily[Online Store_average_order_value],0)</f>
        <v>162745.098</v>
      </c>
      <c r="O372" s="12">
        <f>_xlfn.XLOOKUP(TableDailySummary[[#This Row],[Fecha]],SummaryDaily[day],SummaryDaily[Tienda 81_net_sales],0)</f>
        <v>4068168.08</v>
      </c>
      <c r="P372" s="12">
        <f>_xlfn.XLOOKUP(TableDailySummary[[#This Row],[Fecha]],SummaryDaily[day],SummaryDaily[Tienda 81_orders],0)</f>
        <v>15</v>
      </c>
      <c r="Q372" s="12">
        <f>_xlfn.XLOOKUP(TableDailySummary[[#This Row],[Fecha]],SummaryDaily[day],SummaryDaily[Tienda 81_average_order_value],0)</f>
        <v>271211.20500000002</v>
      </c>
      <c r="R372" s="12">
        <f>_xlfn.XLOOKUP(TableDailySummary[[#This Row],[Fecha]],SummaryDaily[day],SummaryDaily[Rappi_net_sales],0)</f>
        <v>0</v>
      </c>
      <c r="S372" s="12">
        <f>_xlfn.XLOOKUP(TableDailySummary[[#This Row],[Fecha]],SummaryDaily[day],SummaryDaily[Rappi_orders],0)</f>
        <v>0</v>
      </c>
      <c r="T372" s="12">
        <f>_xlfn.XLOOKUP(TableDailySummary[[#This Row],[Fecha]],SummaryDaily[day],SummaryDaily[Rappi_average_order_value],0)</f>
        <v>0</v>
      </c>
      <c r="U372" s="12">
        <f>_xlfn.XLOOKUP(TableDailySummary[[#This Row],[Fecha]],SummaryDaily[day],SummaryDaily[Corporativo no tienda_net_sales],0)</f>
        <v>0</v>
      </c>
      <c r="V372" s="12">
        <f>_xlfn.XLOOKUP(TableDailySummary[[#This Row],[Fecha]],SummaryDaily[day],SummaryDaily[Corporativo no tienda_orders],0)</f>
        <v>0</v>
      </c>
      <c r="W372" s="12">
        <f>_xlfn.XLOOKUP(TableDailySummary[[#This Row],[Fecha]],SummaryDaily[day],SummaryDaily[Corporativo no tienda_average_order_value],0)</f>
        <v>0</v>
      </c>
      <c r="X372" s="12">
        <f>_xlfn.XLOOKUP(TableDailySummary[[#This Row],[Fecha]],SummaryDaily[day],SummaryDaily[GoogleAdsOperation.Cost],0)</f>
        <v>21305.96</v>
      </c>
      <c r="Y372" s="12">
        <f>SUMIFS(SalesByUTMDaily[google],SalesByUTMDaily[day],TableDailySummary[[#This Row],[Fecha]])</f>
        <v>414000</v>
      </c>
      <c r="Z372" s="12">
        <f>_xlfn.XLOOKUP(TableDailySummary[[#This Row],[Fecha]],SummaryDaily[day],SummaryDaily[MetaAdsOperation.spend],0)</f>
        <v>119912</v>
      </c>
      <c r="AA372" s="12">
        <f>SUMIFS(SalesByUTMDaily[facebook],SalesByUTMDaily[day],TableDailySummary[[#This Row],[Fecha]])</f>
        <v>232000</v>
      </c>
      <c r="AB372" s="12">
        <f>TableDailySummary[[#This Row],[Inversión google ads]]+TableDailySummary[[#This Row],[Inversión meta ads]]</f>
        <v>141217.96</v>
      </c>
      <c r="AC372" s="12">
        <f>TableDailySummary[[#This Row],[Ventas google ads]]+TableDailySummary[[#This Row],[Ventas meta ads]]</f>
        <v>646000</v>
      </c>
      <c r="AD372" s="14">
        <f>IFERROR(TableDailySummary[[#This Row],[Ventas publicidad]]/TableDailySummary[[#This Row],[Inversión publicidad]],0)</f>
        <v>4.5744889672673361</v>
      </c>
      <c r="AE372" s="14">
        <f>IFERROR(TableDailySummary[[#This Row],[Ventas primer cliente]]/TableDailySummary[[#This Row],[Inversión publicidad]],0)</f>
        <v>61.17916389671683</v>
      </c>
      <c r="AF372" s="14"/>
      <c r="AG372" s="12"/>
      <c r="AM372" s="12">
        <f>_xlfn.XLOOKUP(TableDailySummary[[#This Row],[Fecha]],SummaryDaily[day],SummaryDaily[net_sales_with_cost_recorded],0)</f>
        <v>10341277.4</v>
      </c>
      <c r="AN372" s="12">
        <f>_xlfn.XLOOKUP(TableDailySummary[[#This Row],[Fecha]],SummaryDaily[day],SummaryDaily[cost_of_goods_sold],0)</f>
        <v>3818840</v>
      </c>
      <c r="AO372" s="12">
        <f>_xlfn.XLOOKUP(TableDailySummary[[#This Row],[Fecha]],SummaryDaily[day],SummaryDaily[gross_profit],0)</f>
        <v>6522437.4000000004</v>
      </c>
      <c r="AP372" s="18">
        <f>IFERROR(TableDailySummary[[#This Row],[Utilidad bruta]]/TableDailySummary[[#This Row],[Ventas netas con costo registrado]],0)</f>
        <v>0.63071873499883102</v>
      </c>
    </row>
  </sheetData>
  <phoneticPr fontId="49" type="noConversion"/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8A8B-62C9-44F0-81F9-6E3516C624CF}">
  <sheetPr codeName="Sheet5"/>
  <dimension ref="B3:N535"/>
  <sheetViews>
    <sheetView showGridLines="0" zoomScaleNormal="100" workbookViewId="0">
      <selection activeCell="C24" sqref="C24"/>
    </sheetView>
  </sheetViews>
  <sheetFormatPr defaultRowHeight="12" x14ac:dyDescent="0.2"/>
  <cols>
    <col min="1" max="1" width="3.83203125" customWidth="1"/>
    <col min="2" max="2" width="21.33203125" bestFit="1" customWidth="1"/>
    <col min="3" max="3" width="23.1640625" customWidth="1"/>
    <col min="5" max="5" width="10.33203125" customWidth="1"/>
    <col min="6" max="6" width="13.83203125" customWidth="1"/>
    <col min="9" max="9" width="11.33203125" bestFit="1" customWidth="1"/>
    <col min="10" max="10" width="60.5" bestFit="1" customWidth="1"/>
    <col min="11" max="11" width="9" bestFit="1" customWidth="1"/>
    <col min="12" max="12" width="12.33203125" bestFit="1" customWidth="1"/>
    <col min="13" max="13" width="11.6640625" bestFit="1" customWidth="1"/>
    <col min="14" max="15" width="14" bestFit="1" customWidth="1"/>
  </cols>
  <sheetData>
    <row r="3" spans="2:9" ht="15" x14ac:dyDescent="0.2">
      <c r="B3" s="9" t="s">
        <v>49</v>
      </c>
    </row>
    <row r="6" spans="2:9" x14ac:dyDescent="0.2">
      <c r="B6" t="s">
        <v>36</v>
      </c>
      <c r="C6" s="10" t="s">
        <v>37</v>
      </c>
    </row>
    <row r="7" spans="2:9" x14ac:dyDescent="0.2">
      <c r="B7" t="s">
        <v>38</v>
      </c>
      <c r="C7" s="10" t="s">
        <v>39</v>
      </c>
    </row>
    <row r="8" spans="2:9" x14ac:dyDescent="0.2">
      <c r="B8" t="s">
        <v>40</v>
      </c>
      <c r="C8" s="10" t="s">
        <v>41</v>
      </c>
    </row>
    <row r="10" spans="2:9" x14ac:dyDescent="0.2">
      <c r="B10" t="s">
        <v>2073</v>
      </c>
      <c r="C10" s="36">
        <v>5</v>
      </c>
      <c r="E10" t="s">
        <v>2074</v>
      </c>
    </row>
    <row r="12" spans="2:9" x14ac:dyDescent="0.2">
      <c r="B12" t="s">
        <v>31</v>
      </c>
      <c r="C12" s="1">
        <f ca="1">I12*0+(ParamFechaFinReporte-180)*1</f>
        <v>45969</v>
      </c>
      <c r="H12" s="34" t="s">
        <v>107</v>
      </c>
      <c r="I12" s="5">
        <f>DATE(2021,12,5)</f>
        <v>44535</v>
      </c>
    </row>
    <row r="13" spans="2:9" x14ac:dyDescent="0.2">
      <c r="B13" t="s">
        <v>50</v>
      </c>
      <c r="C13" s="11">
        <f ca="1">TODAY()</f>
        <v>46149</v>
      </c>
    </row>
    <row r="14" spans="2:9" x14ac:dyDescent="0.2">
      <c r="B14" t="s">
        <v>1876</v>
      </c>
      <c r="C14" s="11">
        <f ca="1">EOMONTH(ParamFechaFinReporte-E14,-1)+1</f>
        <v>46082</v>
      </c>
      <c r="E14">
        <v>50</v>
      </c>
    </row>
    <row r="16" spans="2:9" x14ac:dyDescent="0.2">
      <c r="B16" t="s">
        <v>100</v>
      </c>
      <c r="C16" s="10" t="s">
        <v>101</v>
      </c>
    </row>
    <row r="17" spans="2:5" x14ac:dyDescent="0.2">
      <c r="B17" t="s">
        <v>102</v>
      </c>
      <c r="C17" s="10" t="s">
        <v>103</v>
      </c>
    </row>
    <row r="19" spans="2:5" x14ac:dyDescent="0.2">
      <c r="B19" t="s">
        <v>104</v>
      </c>
      <c r="C19" s="10" t="s">
        <v>105</v>
      </c>
      <c r="E19" t="s">
        <v>106</v>
      </c>
    </row>
    <row r="21" spans="2:5" x14ac:dyDescent="0.2">
      <c r="B21" t="s">
        <v>1514</v>
      </c>
      <c r="C21" s="33" t="s">
        <v>1059</v>
      </c>
    </row>
    <row r="23" spans="2:5" x14ac:dyDescent="0.2">
      <c r="B23" t="s">
        <v>2064</v>
      </c>
    </row>
    <row r="24" spans="2:5" x14ac:dyDescent="0.2">
      <c r="B24" t="s">
        <v>2065</v>
      </c>
      <c r="C24" s="33" t="s">
        <v>2067</v>
      </c>
    </row>
    <row r="25" spans="2:5" x14ac:dyDescent="0.2">
      <c r="B25" t="s">
        <v>94</v>
      </c>
      <c r="C25" s="33" t="s">
        <v>2066</v>
      </c>
    </row>
    <row r="26" spans="2:5" x14ac:dyDescent="0.2">
      <c r="B26" t="s">
        <v>91</v>
      </c>
      <c r="C26" s="33" t="s">
        <v>2075</v>
      </c>
    </row>
    <row r="28" spans="2:5" x14ac:dyDescent="0.2">
      <c r="B28" t="s">
        <v>714</v>
      </c>
      <c r="C28" t="s">
        <v>715</v>
      </c>
    </row>
    <row r="29" spans="2:5" x14ac:dyDescent="0.2">
      <c r="B29" t="s">
        <v>716</v>
      </c>
      <c r="C29" s="25" t="s">
        <v>717</v>
      </c>
    </row>
    <row r="30" spans="2:5" x14ac:dyDescent="0.2">
      <c r="B30" t="s">
        <v>718</v>
      </c>
      <c r="C30" t="s">
        <v>719</v>
      </c>
    </row>
    <row r="31" spans="2:5" x14ac:dyDescent="0.2">
      <c r="B31" t="s">
        <v>720</v>
      </c>
      <c r="C31" t="s">
        <v>721</v>
      </c>
    </row>
    <row r="32" spans="2:5" x14ac:dyDescent="0.2">
      <c r="B32" t="s">
        <v>722</v>
      </c>
      <c r="C32" s="25" t="s">
        <v>723</v>
      </c>
    </row>
    <row r="36" spans="2:14" x14ac:dyDescent="0.2">
      <c r="B36" t="s">
        <v>1046</v>
      </c>
      <c r="C36" t="s">
        <v>1047</v>
      </c>
      <c r="D36" t="s">
        <v>1136</v>
      </c>
      <c r="E36" t="s">
        <v>1048</v>
      </c>
      <c r="F36" t="s">
        <v>1055</v>
      </c>
      <c r="I36" t="s">
        <v>1046</v>
      </c>
      <c r="J36" t="s">
        <v>1047</v>
      </c>
      <c r="K36" t="s">
        <v>1228</v>
      </c>
      <c r="L36" t="s">
        <v>1055</v>
      </c>
      <c r="M36" t="s">
        <v>1500</v>
      </c>
      <c r="N36" t="s">
        <v>1048</v>
      </c>
    </row>
    <row r="37" spans="2:14" x14ac:dyDescent="0.2">
      <c r="B37" t="s">
        <v>726</v>
      </c>
      <c r="C37" t="s">
        <v>727</v>
      </c>
      <c r="D37" t="s">
        <v>1061</v>
      </c>
      <c r="E37" t="s">
        <v>1060</v>
      </c>
      <c r="I37" t="s">
        <v>1232</v>
      </c>
      <c r="J37" t="s">
        <v>1228</v>
      </c>
      <c r="K37" t="s">
        <v>1235</v>
      </c>
      <c r="L37" t="s">
        <v>1236</v>
      </c>
    </row>
    <row r="38" spans="2:14" x14ac:dyDescent="0.2">
      <c r="B38" t="s">
        <v>728</v>
      </c>
      <c r="C38" t="s">
        <v>729</v>
      </c>
      <c r="D38" t="s">
        <v>1062</v>
      </c>
      <c r="E38" t="s">
        <v>1060</v>
      </c>
      <c r="I38" t="s">
        <v>1237</v>
      </c>
      <c r="J38" t="s">
        <v>1238</v>
      </c>
      <c r="K38" t="s">
        <v>1235</v>
      </c>
      <c r="L38" t="s">
        <v>1240</v>
      </c>
    </row>
    <row r="39" spans="2:14" x14ac:dyDescent="0.2">
      <c r="B39" t="s">
        <v>730</v>
      </c>
      <c r="C39" t="s">
        <v>731</v>
      </c>
      <c r="D39" t="s">
        <v>1063</v>
      </c>
      <c r="E39" t="s">
        <v>1060</v>
      </c>
      <c r="I39" t="s">
        <v>1241</v>
      </c>
      <c r="J39" t="s">
        <v>1242</v>
      </c>
      <c r="K39" t="s">
        <v>1235</v>
      </c>
      <c r="L39" t="s">
        <v>1240</v>
      </c>
    </row>
    <row r="40" spans="2:14" x14ac:dyDescent="0.2">
      <c r="B40" t="s">
        <v>732</v>
      </c>
      <c r="C40" t="s">
        <v>733</v>
      </c>
      <c r="D40" t="s">
        <v>1064</v>
      </c>
      <c r="E40" t="s">
        <v>1060</v>
      </c>
      <c r="I40" t="s">
        <v>1244</v>
      </c>
      <c r="J40" t="s">
        <v>727</v>
      </c>
      <c r="K40" t="s">
        <v>1235</v>
      </c>
      <c r="L40" t="s">
        <v>1240</v>
      </c>
    </row>
    <row r="41" spans="2:14" x14ac:dyDescent="0.2">
      <c r="B41" t="s">
        <v>734</v>
      </c>
      <c r="C41" t="s">
        <v>735</v>
      </c>
      <c r="D41" t="s">
        <v>1065</v>
      </c>
      <c r="E41" t="s">
        <v>1060</v>
      </c>
      <c r="I41" t="s">
        <v>726</v>
      </c>
      <c r="J41" t="s">
        <v>727</v>
      </c>
      <c r="K41" t="s">
        <v>1235</v>
      </c>
      <c r="L41" t="s">
        <v>1247</v>
      </c>
    </row>
    <row r="42" spans="2:14" x14ac:dyDescent="0.2">
      <c r="B42" t="s">
        <v>736</v>
      </c>
      <c r="C42" t="s">
        <v>735</v>
      </c>
      <c r="D42" t="s">
        <v>1065</v>
      </c>
      <c r="E42" t="s">
        <v>1060</v>
      </c>
      <c r="I42" t="s">
        <v>1248</v>
      </c>
      <c r="J42" t="s">
        <v>1249</v>
      </c>
      <c r="K42" t="s">
        <v>1235</v>
      </c>
      <c r="L42" t="s">
        <v>1240</v>
      </c>
    </row>
    <row r="43" spans="2:14" x14ac:dyDescent="0.2">
      <c r="B43" t="s">
        <v>737</v>
      </c>
      <c r="C43" t="s">
        <v>738</v>
      </c>
      <c r="D43" t="s">
        <v>1066</v>
      </c>
      <c r="E43" t="s">
        <v>1060</v>
      </c>
      <c r="I43" t="s">
        <v>1629</v>
      </c>
      <c r="J43" t="s">
        <v>729</v>
      </c>
      <c r="K43" t="s">
        <v>1235</v>
      </c>
      <c r="L43" t="s">
        <v>1240</v>
      </c>
    </row>
    <row r="44" spans="2:14" x14ac:dyDescent="0.2">
      <c r="B44" t="s">
        <v>739</v>
      </c>
      <c r="C44" t="s">
        <v>740</v>
      </c>
      <c r="D44" t="s">
        <v>1067</v>
      </c>
      <c r="E44" t="s">
        <v>1060</v>
      </c>
      <c r="I44" t="s">
        <v>728</v>
      </c>
      <c r="J44" t="s">
        <v>729</v>
      </c>
      <c r="K44" t="s">
        <v>1235</v>
      </c>
      <c r="L44" t="s">
        <v>1247</v>
      </c>
    </row>
    <row r="45" spans="2:14" x14ac:dyDescent="0.2">
      <c r="B45" t="s">
        <v>741</v>
      </c>
      <c r="C45" t="s">
        <v>742</v>
      </c>
      <c r="D45" t="s">
        <v>1068</v>
      </c>
      <c r="E45" t="s">
        <v>1060</v>
      </c>
      <c r="I45" t="s">
        <v>1885</v>
      </c>
      <c r="J45" t="s">
        <v>1886</v>
      </c>
      <c r="K45" t="s">
        <v>1235</v>
      </c>
      <c r="L45" t="s">
        <v>1247</v>
      </c>
    </row>
    <row r="46" spans="2:14" x14ac:dyDescent="0.2">
      <c r="B46" t="s">
        <v>743</v>
      </c>
      <c r="C46" t="s">
        <v>744</v>
      </c>
      <c r="D46" t="s">
        <v>1069</v>
      </c>
      <c r="E46" t="s">
        <v>1060</v>
      </c>
      <c r="I46" t="s">
        <v>1250</v>
      </c>
      <c r="J46" t="s">
        <v>1251</v>
      </c>
      <c r="K46" t="s">
        <v>1235</v>
      </c>
      <c r="L46" t="s">
        <v>1240</v>
      </c>
    </row>
    <row r="47" spans="2:14" x14ac:dyDescent="0.2">
      <c r="B47" t="s">
        <v>745</v>
      </c>
      <c r="C47" t="s">
        <v>746</v>
      </c>
      <c r="D47" t="s">
        <v>1070</v>
      </c>
      <c r="E47" t="s">
        <v>1060</v>
      </c>
      <c r="I47" t="s">
        <v>730</v>
      </c>
      <c r="J47" t="s">
        <v>731</v>
      </c>
      <c r="K47" t="s">
        <v>1235</v>
      </c>
      <c r="L47" t="s">
        <v>1247</v>
      </c>
    </row>
    <row r="48" spans="2:14" x14ac:dyDescent="0.2">
      <c r="B48" t="s">
        <v>747</v>
      </c>
      <c r="C48" t="s">
        <v>748</v>
      </c>
      <c r="D48" t="s">
        <v>1071</v>
      </c>
      <c r="E48" t="s">
        <v>1060</v>
      </c>
      <c r="I48" t="s">
        <v>1252</v>
      </c>
      <c r="J48" t="s">
        <v>1253</v>
      </c>
      <c r="K48" t="s">
        <v>1235</v>
      </c>
      <c r="L48" t="s">
        <v>1240</v>
      </c>
    </row>
    <row r="49" spans="2:12" x14ac:dyDescent="0.2">
      <c r="B49" t="s">
        <v>749</v>
      </c>
      <c r="C49" t="s">
        <v>750</v>
      </c>
      <c r="D49" t="s">
        <v>1071</v>
      </c>
      <c r="E49" t="s">
        <v>1060</v>
      </c>
      <c r="I49" t="s">
        <v>1254</v>
      </c>
      <c r="J49" t="s">
        <v>1177</v>
      </c>
      <c r="K49" t="s">
        <v>1235</v>
      </c>
      <c r="L49" t="s">
        <v>1240</v>
      </c>
    </row>
    <row r="50" spans="2:12" x14ac:dyDescent="0.2">
      <c r="B50" t="s">
        <v>751</v>
      </c>
      <c r="C50" t="s">
        <v>752</v>
      </c>
      <c r="D50" t="s">
        <v>1071</v>
      </c>
      <c r="E50" t="s">
        <v>1060</v>
      </c>
      <c r="I50" t="s">
        <v>732</v>
      </c>
      <c r="J50" t="s">
        <v>733</v>
      </c>
      <c r="K50" t="s">
        <v>1235</v>
      </c>
      <c r="L50" t="s">
        <v>1247</v>
      </c>
    </row>
    <row r="51" spans="2:12" x14ac:dyDescent="0.2">
      <c r="B51" t="s">
        <v>753</v>
      </c>
      <c r="C51" t="s">
        <v>754</v>
      </c>
      <c r="D51" t="s">
        <v>1071</v>
      </c>
      <c r="E51" t="s">
        <v>1060</v>
      </c>
      <c r="I51" t="s">
        <v>734</v>
      </c>
      <c r="J51" t="s">
        <v>735</v>
      </c>
      <c r="K51" t="s">
        <v>1235</v>
      </c>
      <c r="L51" t="s">
        <v>1247</v>
      </c>
    </row>
    <row r="52" spans="2:12" x14ac:dyDescent="0.2">
      <c r="B52" t="s">
        <v>755</v>
      </c>
      <c r="C52" t="s">
        <v>756</v>
      </c>
      <c r="D52" t="s">
        <v>1071</v>
      </c>
      <c r="E52" t="s">
        <v>1060</v>
      </c>
      <c r="I52" t="s">
        <v>1255</v>
      </c>
      <c r="J52" t="s">
        <v>1256</v>
      </c>
      <c r="K52" t="s">
        <v>1235</v>
      </c>
      <c r="L52" t="s">
        <v>1240</v>
      </c>
    </row>
    <row r="53" spans="2:12" x14ac:dyDescent="0.2">
      <c r="B53" t="s">
        <v>757</v>
      </c>
      <c r="C53" t="s">
        <v>758</v>
      </c>
      <c r="D53" t="s">
        <v>1071</v>
      </c>
      <c r="E53" t="s">
        <v>1060</v>
      </c>
      <c r="I53" t="s">
        <v>736</v>
      </c>
      <c r="J53" t="s">
        <v>735</v>
      </c>
      <c r="K53" t="s">
        <v>1235</v>
      </c>
      <c r="L53" t="s">
        <v>1247</v>
      </c>
    </row>
    <row r="54" spans="2:12" x14ac:dyDescent="0.2">
      <c r="B54" t="s">
        <v>759</v>
      </c>
      <c r="C54" t="s">
        <v>760</v>
      </c>
      <c r="D54" t="s">
        <v>1071</v>
      </c>
      <c r="E54" t="s">
        <v>1060</v>
      </c>
      <c r="I54" t="s">
        <v>1257</v>
      </c>
      <c r="J54" t="s">
        <v>1258</v>
      </c>
      <c r="K54" t="s">
        <v>1235</v>
      </c>
      <c r="L54" t="s">
        <v>1240</v>
      </c>
    </row>
    <row r="55" spans="2:12" x14ac:dyDescent="0.2">
      <c r="B55" t="s">
        <v>761</v>
      </c>
      <c r="C55" t="s">
        <v>762</v>
      </c>
      <c r="D55" t="s">
        <v>1071</v>
      </c>
      <c r="E55" t="s">
        <v>1060</v>
      </c>
      <c r="I55" t="s">
        <v>1259</v>
      </c>
      <c r="J55" t="s">
        <v>1260</v>
      </c>
      <c r="K55" t="s">
        <v>1235</v>
      </c>
      <c r="L55" t="s">
        <v>1240</v>
      </c>
    </row>
    <row r="56" spans="2:12" x14ac:dyDescent="0.2">
      <c r="B56" t="s">
        <v>763</v>
      </c>
      <c r="C56" t="s">
        <v>764</v>
      </c>
      <c r="D56" t="s">
        <v>1071</v>
      </c>
      <c r="E56" t="s">
        <v>1060</v>
      </c>
      <c r="I56" t="s">
        <v>1261</v>
      </c>
      <c r="J56" t="s">
        <v>1262</v>
      </c>
      <c r="K56" t="s">
        <v>1235</v>
      </c>
      <c r="L56" t="s">
        <v>1240</v>
      </c>
    </row>
    <row r="57" spans="2:12" x14ac:dyDescent="0.2">
      <c r="B57" t="s">
        <v>765</v>
      </c>
      <c r="C57" t="s">
        <v>766</v>
      </c>
      <c r="D57" t="s">
        <v>1071</v>
      </c>
      <c r="E57" t="s">
        <v>1060</v>
      </c>
      <c r="I57" t="s">
        <v>737</v>
      </c>
      <c r="J57" t="s">
        <v>738</v>
      </c>
      <c r="K57" t="s">
        <v>1235</v>
      </c>
      <c r="L57" t="s">
        <v>1247</v>
      </c>
    </row>
    <row r="58" spans="2:12" x14ac:dyDescent="0.2">
      <c r="B58" t="s">
        <v>767</v>
      </c>
      <c r="C58" t="s">
        <v>768</v>
      </c>
      <c r="D58" t="s">
        <v>1071</v>
      </c>
      <c r="E58" t="s">
        <v>1060</v>
      </c>
      <c r="I58" t="s">
        <v>1263</v>
      </c>
      <c r="J58" t="s">
        <v>1264</v>
      </c>
      <c r="K58" t="s">
        <v>1235</v>
      </c>
      <c r="L58" t="s">
        <v>1240</v>
      </c>
    </row>
    <row r="59" spans="2:12" x14ac:dyDescent="0.2">
      <c r="B59" t="s">
        <v>769</v>
      </c>
      <c r="C59" t="s">
        <v>770</v>
      </c>
      <c r="D59" t="s">
        <v>1072</v>
      </c>
      <c r="E59" t="s">
        <v>1060</v>
      </c>
      <c r="I59" t="s">
        <v>1265</v>
      </c>
      <c r="J59" t="s">
        <v>740</v>
      </c>
      <c r="K59" t="s">
        <v>1235</v>
      </c>
      <c r="L59" t="s">
        <v>1240</v>
      </c>
    </row>
    <row r="60" spans="2:12" x14ac:dyDescent="0.2">
      <c r="B60" t="s">
        <v>771</v>
      </c>
      <c r="C60" t="s">
        <v>772</v>
      </c>
      <c r="D60" t="s">
        <v>1073</v>
      </c>
      <c r="E60" t="s">
        <v>1060</v>
      </c>
      <c r="I60" t="s">
        <v>1266</v>
      </c>
      <c r="J60" t="s">
        <v>740</v>
      </c>
      <c r="K60" t="s">
        <v>1235</v>
      </c>
      <c r="L60" t="s">
        <v>1240</v>
      </c>
    </row>
    <row r="61" spans="2:12" x14ac:dyDescent="0.2">
      <c r="B61" t="s">
        <v>773</v>
      </c>
      <c r="C61" t="s">
        <v>774</v>
      </c>
      <c r="D61" t="s">
        <v>1074</v>
      </c>
      <c r="E61" t="s">
        <v>1060</v>
      </c>
      <c r="I61" t="s">
        <v>739</v>
      </c>
      <c r="J61" t="s">
        <v>740</v>
      </c>
      <c r="K61" t="s">
        <v>1235</v>
      </c>
      <c r="L61" t="s">
        <v>1247</v>
      </c>
    </row>
    <row r="62" spans="2:12" x14ac:dyDescent="0.2">
      <c r="B62" t="s">
        <v>775</v>
      </c>
      <c r="C62" t="s">
        <v>776</v>
      </c>
      <c r="D62" t="s">
        <v>1075</v>
      </c>
      <c r="E62" t="s">
        <v>1060</v>
      </c>
      <c r="I62" t="s">
        <v>741</v>
      </c>
      <c r="J62" t="s">
        <v>742</v>
      </c>
      <c r="K62" t="s">
        <v>1235</v>
      </c>
      <c r="L62" t="s">
        <v>1247</v>
      </c>
    </row>
    <row r="63" spans="2:12" x14ac:dyDescent="0.2">
      <c r="B63" t="s">
        <v>777</v>
      </c>
      <c r="C63" t="s">
        <v>778</v>
      </c>
      <c r="D63" t="s">
        <v>1076</v>
      </c>
      <c r="E63" t="s">
        <v>1060</v>
      </c>
      <c r="I63" t="s">
        <v>1267</v>
      </c>
      <c r="J63" t="s">
        <v>1268</v>
      </c>
      <c r="K63" t="s">
        <v>1235</v>
      </c>
      <c r="L63" t="s">
        <v>1240</v>
      </c>
    </row>
    <row r="64" spans="2:12" x14ac:dyDescent="0.2">
      <c r="B64" t="s">
        <v>779</v>
      </c>
      <c r="C64" t="s">
        <v>780</v>
      </c>
      <c r="D64" t="s">
        <v>1077</v>
      </c>
      <c r="E64" t="s">
        <v>1060</v>
      </c>
      <c r="I64" t="s">
        <v>1269</v>
      </c>
      <c r="J64" t="s">
        <v>744</v>
      </c>
      <c r="K64" t="s">
        <v>1235</v>
      </c>
      <c r="L64" t="s">
        <v>1240</v>
      </c>
    </row>
    <row r="65" spans="2:12" x14ac:dyDescent="0.2">
      <c r="B65" t="s">
        <v>781</v>
      </c>
      <c r="C65" t="s">
        <v>782</v>
      </c>
      <c r="D65" t="s">
        <v>1078</v>
      </c>
      <c r="E65" t="s">
        <v>1060</v>
      </c>
      <c r="I65" t="s">
        <v>743</v>
      </c>
      <c r="J65" t="s">
        <v>744</v>
      </c>
      <c r="K65" t="s">
        <v>1235</v>
      </c>
      <c r="L65" t="s">
        <v>1247</v>
      </c>
    </row>
    <row r="66" spans="2:12" x14ac:dyDescent="0.2">
      <c r="B66" t="s">
        <v>783</v>
      </c>
      <c r="C66" t="s">
        <v>784</v>
      </c>
      <c r="D66" t="s">
        <v>1079</v>
      </c>
      <c r="E66" t="s">
        <v>1060</v>
      </c>
      <c r="I66" t="s">
        <v>1270</v>
      </c>
      <c r="J66" t="s">
        <v>746</v>
      </c>
      <c r="K66" t="s">
        <v>1235</v>
      </c>
      <c r="L66" t="s">
        <v>1240</v>
      </c>
    </row>
    <row r="67" spans="2:12" x14ac:dyDescent="0.2">
      <c r="B67" t="s">
        <v>785</v>
      </c>
      <c r="C67" t="s">
        <v>786</v>
      </c>
      <c r="D67" t="s">
        <v>1080</v>
      </c>
      <c r="E67" t="s">
        <v>1060</v>
      </c>
      <c r="I67" t="s">
        <v>745</v>
      </c>
      <c r="J67" t="s">
        <v>746</v>
      </c>
      <c r="K67" t="s">
        <v>1235</v>
      </c>
      <c r="L67" t="s">
        <v>1247</v>
      </c>
    </row>
    <row r="68" spans="2:12" x14ac:dyDescent="0.2">
      <c r="B68" t="s">
        <v>787</v>
      </c>
      <c r="C68" t="s">
        <v>788</v>
      </c>
      <c r="D68" t="s">
        <v>1081</v>
      </c>
      <c r="E68" t="s">
        <v>1060</v>
      </c>
      <c r="I68" t="s">
        <v>1271</v>
      </c>
      <c r="J68" t="s">
        <v>1272</v>
      </c>
      <c r="K68" t="s">
        <v>1235</v>
      </c>
      <c r="L68" t="s">
        <v>1240</v>
      </c>
    </row>
    <row r="69" spans="2:12" x14ac:dyDescent="0.2">
      <c r="B69" t="s">
        <v>789</v>
      </c>
      <c r="C69" t="s">
        <v>790</v>
      </c>
      <c r="D69" t="s">
        <v>1082</v>
      </c>
      <c r="E69" t="s">
        <v>1060</v>
      </c>
      <c r="I69" t="s">
        <v>1273</v>
      </c>
      <c r="J69" t="s">
        <v>748</v>
      </c>
      <c r="K69" t="s">
        <v>1235</v>
      </c>
      <c r="L69" t="s">
        <v>1240</v>
      </c>
    </row>
    <row r="70" spans="2:12" x14ac:dyDescent="0.2">
      <c r="B70" t="s">
        <v>791</v>
      </c>
      <c r="C70" t="s">
        <v>792</v>
      </c>
      <c r="D70" t="s">
        <v>1082</v>
      </c>
      <c r="E70" t="s">
        <v>1060</v>
      </c>
      <c r="I70" t="s">
        <v>747</v>
      </c>
      <c r="J70" t="s">
        <v>748</v>
      </c>
      <c r="K70" t="s">
        <v>1235</v>
      </c>
      <c r="L70" t="s">
        <v>1247</v>
      </c>
    </row>
    <row r="71" spans="2:12" x14ac:dyDescent="0.2">
      <c r="B71" t="s">
        <v>793</v>
      </c>
      <c r="C71" t="s">
        <v>794</v>
      </c>
      <c r="D71" t="s">
        <v>1083</v>
      </c>
      <c r="E71" t="s">
        <v>1060</v>
      </c>
      <c r="I71" t="s">
        <v>1274</v>
      </c>
      <c r="J71" t="s">
        <v>1275</v>
      </c>
      <c r="K71" t="s">
        <v>1235</v>
      </c>
      <c r="L71" t="s">
        <v>1240</v>
      </c>
    </row>
    <row r="72" spans="2:12" x14ac:dyDescent="0.2">
      <c r="B72" t="s">
        <v>795</v>
      </c>
      <c r="C72" t="s">
        <v>796</v>
      </c>
      <c r="D72" t="s">
        <v>1083</v>
      </c>
      <c r="E72" t="s">
        <v>1060</v>
      </c>
      <c r="I72" t="s">
        <v>749</v>
      </c>
      <c r="J72" t="s">
        <v>750</v>
      </c>
      <c r="K72" t="s">
        <v>1235</v>
      </c>
      <c r="L72" t="s">
        <v>1247</v>
      </c>
    </row>
    <row r="73" spans="2:12" x14ac:dyDescent="0.2">
      <c r="B73" t="s">
        <v>797</v>
      </c>
      <c r="C73" t="s">
        <v>798</v>
      </c>
      <c r="D73" t="s">
        <v>1083</v>
      </c>
      <c r="E73" t="s">
        <v>1060</v>
      </c>
      <c r="I73" t="s">
        <v>1887</v>
      </c>
      <c r="J73" t="s">
        <v>1888</v>
      </c>
      <c r="K73" t="s">
        <v>1235</v>
      </c>
      <c r="L73" t="s">
        <v>1247</v>
      </c>
    </row>
    <row r="74" spans="2:12" x14ac:dyDescent="0.2">
      <c r="B74" t="s">
        <v>799</v>
      </c>
      <c r="C74" t="s">
        <v>800</v>
      </c>
      <c r="D74" t="s">
        <v>1083</v>
      </c>
      <c r="E74" t="s">
        <v>1060</v>
      </c>
      <c r="I74" t="s">
        <v>751</v>
      </c>
      <c r="J74" t="s">
        <v>752</v>
      </c>
      <c r="K74" t="s">
        <v>1235</v>
      </c>
      <c r="L74" t="s">
        <v>1247</v>
      </c>
    </row>
    <row r="75" spans="2:12" x14ac:dyDescent="0.2">
      <c r="B75" t="s">
        <v>801</v>
      </c>
      <c r="C75" t="s">
        <v>802</v>
      </c>
      <c r="D75" t="s">
        <v>1083</v>
      </c>
      <c r="E75" t="s">
        <v>1060</v>
      </c>
      <c r="I75" t="s">
        <v>1889</v>
      </c>
      <c r="J75" t="s">
        <v>1890</v>
      </c>
      <c r="K75" t="s">
        <v>1235</v>
      </c>
      <c r="L75" t="s">
        <v>1247</v>
      </c>
    </row>
    <row r="76" spans="2:12" x14ac:dyDescent="0.2">
      <c r="B76" t="s">
        <v>803</v>
      </c>
      <c r="C76" t="s">
        <v>804</v>
      </c>
      <c r="D76" t="s">
        <v>1083</v>
      </c>
      <c r="E76" t="s">
        <v>1060</v>
      </c>
      <c r="I76" t="s">
        <v>1891</v>
      </c>
      <c r="J76" t="s">
        <v>1892</v>
      </c>
      <c r="K76" t="s">
        <v>1235</v>
      </c>
      <c r="L76" t="s">
        <v>1247</v>
      </c>
    </row>
    <row r="77" spans="2:12" x14ac:dyDescent="0.2">
      <c r="B77" t="s">
        <v>805</v>
      </c>
      <c r="C77" t="s">
        <v>768</v>
      </c>
      <c r="D77" t="s">
        <v>1083</v>
      </c>
      <c r="E77" t="s">
        <v>1060</v>
      </c>
      <c r="I77" t="s">
        <v>753</v>
      </c>
      <c r="J77" t="s">
        <v>754</v>
      </c>
      <c r="K77" t="s">
        <v>1235</v>
      </c>
      <c r="L77" t="s">
        <v>1247</v>
      </c>
    </row>
    <row r="78" spans="2:12" x14ac:dyDescent="0.2">
      <c r="B78" t="s">
        <v>806</v>
      </c>
      <c r="C78" t="s">
        <v>760</v>
      </c>
      <c r="D78" t="s">
        <v>1084</v>
      </c>
      <c r="E78" t="s">
        <v>1060</v>
      </c>
      <c r="I78" t="s">
        <v>755</v>
      </c>
      <c r="J78" t="s">
        <v>756</v>
      </c>
      <c r="K78" t="s">
        <v>1235</v>
      </c>
      <c r="L78" t="s">
        <v>1247</v>
      </c>
    </row>
    <row r="79" spans="2:12" x14ac:dyDescent="0.2">
      <c r="B79" t="s">
        <v>807</v>
      </c>
      <c r="C79" t="s">
        <v>808</v>
      </c>
      <c r="D79" t="s">
        <v>1084</v>
      </c>
      <c r="E79" t="s">
        <v>1060</v>
      </c>
      <c r="I79" t="s">
        <v>757</v>
      </c>
      <c r="J79" t="s">
        <v>758</v>
      </c>
      <c r="K79" t="s">
        <v>1235</v>
      </c>
      <c r="L79" t="s">
        <v>1247</v>
      </c>
    </row>
    <row r="80" spans="2:12" x14ac:dyDescent="0.2">
      <c r="B80" t="s">
        <v>809</v>
      </c>
      <c r="C80" t="s">
        <v>810</v>
      </c>
      <c r="D80" t="s">
        <v>1085</v>
      </c>
      <c r="E80" t="s">
        <v>1060</v>
      </c>
      <c r="I80" t="s">
        <v>1276</v>
      </c>
      <c r="J80" t="s">
        <v>1277</v>
      </c>
      <c r="K80" t="s">
        <v>1235</v>
      </c>
      <c r="L80" t="s">
        <v>1240</v>
      </c>
    </row>
    <row r="81" spans="2:12" x14ac:dyDescent="0.2">
      <c r="B81" t="s">
        <v>811</v>
      </c>
      <c r="C81" t="s">
        <v>812</v>
      </c>
      <c r="D81" t="s">
        <v>1085</v>
      </c>
      <c r="E81" t="s">
        <v>1060</v>
      </c>
      <c r="I81" t="s">
        <v>759</v>
      </c>
      <c r="J81" t="s">
        <v>760</v>
      </c>
      <c r="K81" t="s">
        <v>1235</v>
      </c>
      <c r="L81" t="s">
        <v>1247</v>
      </c>
    </row>
    <row r="82" spans="2:12" x14ac:dyDescent="0.2">
      <c r="B82" t="s">
        <v>813</v>
      </c>
      <c r="C82" t="s">
        <v>814</v>
      </c>
      <c r="D82" t="s">
        <v>1085</v>
      </c>
      <c r="E82" t="s">
        <v>1060</v>
      </c>
      <c r="I82" t="s">
        <v>1278</v>
      </c>
      <c r="J82" t="s">
        <v>1279</v>
      </c>
      <c r="K82" t="s">
        <v>1235</v>
      </c>
      <c r="L82" t="s">
        <v>1240</v>
      </c>
    </row>
    <row r="83" spans="2:12" x14ac:dyDescent="0.2">
      <c r="B83" t="s">
        <v>815</v>
      </c>
      <c r="C83" t="s">
        <v>816</v>
      </c>
      <c r="D83" t="s">
        <v>1085</v>
      </c>
      <c r="E83" t="s">
        <v>1060</v>
      </c>
      <c r="I83" t="s">
        <v>761</v>
      </c>
      <c r="J83" t="s">
        <v>762</v>
      </c>
      <c r="K83" t="s">
        <v>1235</v>
      </c>
      <c r="L83" t="s">
        <v>1247</v>
      </c>
    </row>
    <row r="84" spans="2:12" x14ac:dyDescent="0.2">
      <c r="B84" t="s">
        <v>817</v>
      </c>
      <c r="C84" t="s">
        <v>818</v>
      </c>
      <c r="D84" t="s">
        <v>1085</v>
      </c>
      <c r="E84" t="s">
        <v>1060</v>
      </c>
      <c r="I84" t="s">
        <v>1893</v>
      </c>
      <c r="J84" t="s">
        <v>1894</v>
      </c>
      <c r="K84" t="s">
        <v>1235</v>
      </c>
      <c r="L84" t="s">
        <v>1247</v>
      </c>
    </row>
    <row r="85" spans="2:12" x14ac:dyDescent="0.2">
      <c r="B85" t="s">
        <v>819</v>
      </c>
      <c r="C85" t="s">
        <v>820</v>
      </c>
      <c r="D85" t="s">
        <v>1085</v>
      </c>
      <c r="E85" t="s">
        <v>1060</v>
      </c>
      <c r="I85" t="s">
        <v>763</v>
      </c>
      <c r="J85" t="s">
        <v>764</v>
      </c>
      <c r="K85" t="s">
        <v>1235</v>
      </c>
      <c r="L85" t="s">
        <v>1247</v>
      </c>
    </row>
    <row r="86" spans="2:12" x14ac:dyDescent="0.2">
      <c r="B86" t="s">
        <v>821</v>
      </c>
      <c r="C86" t="s">
        <v>822</v>
      </c>
      <c r="D86" t="s">
        <v>1086</v>
      </c>
      <c r="E86" t="s">
        <v>1060</v>
      </c>
      <c r="I86" t="s">
        <v>1895</v>
      </c>
      <c r="J86" t="s">
        <v>1896</v>
      </c>
      <c r="K86" t="s">
        <v>1235</v>
      </c>
      <c r="L86" t="s">
        <v>1247</v>
      </c>
    </row>
    <row r="87" spans="2:12" x14ac:dyDescent="0.2">
      <c r="B87" t="s">
        <v>823</v>
      </c>
      <c r="C87" t="s">
        <v>824</v>
      </c>
      <c r="D87" t="s">
        <v>1086</v>
      </c>
      <c r="E87" t="s">
        <v>1060</v>
      </c>
      <c r="I87" t="s">
        <v>1897</v>
      </c>
      <c r="J87" t="s">
        <v>1898</v>
      </c>
      <c r="K87" t="s">
        <v>1235</v>
      </c>
      <c r="L87" t="s">
        <v>1247</v>
      </c>
    </row>
    <row r="88" spans="2:12" x14ac:dyDescent="0.2">
      <c r="B88" t="s">
        <v>825</v>
      </c>
      <c r="C88" t="s">
        <v>826</v>
      </c>
      <c r="D88" t="s">
        <v>1086</v>
      </c>
      <c r="E88" t="s">
        <v>1060</v>
      </c>
      <c r="I88" t="s">
        <v>765</v>
      </c>
      <c r="J88" t="s">
        <v>766</v>
      </c>
      <c r="K88" t="s">
        <v>1235</v>
      </c>
      <c r="L88" t="s">
        <v>1247</v>
      </c>
    </row>
    <row r="89" spans="2:12" x14ac:dyDescent="0.2">
      <c r="B89" t="s">
        <v>827</v>
      </c>
      <c r="C89" t="s">
        <v>828</v>
      </c>
      <c r="D89" t="s">
        <v>1086</v>
      </c>
      <c r="E89" t="s">
        <v>1060</v>
      </c>
      <c r="I89" t="s">
        <v>1899</v>
      </c>
      <c r="J89" t="s">
        <v>1900</v>
      </c>
      <c r="K89" t="s">
        <v>1235</v>
      </c>
      <c r="L89" t="s">
        <v>1247</v>
      </c>
    </row>
    <row r="90" spans="2:12" x14ac:dyDescent="0.2">
      <c r="B90" t="s">
        <v>829</v>
      </c>
      <c r="C90" t="s">
        <v>830</v>
      </c>
      <c r="D90" t="s">
        <v>1086</v>
      </c>
      <c r="E90" t="s">
        <v>1060</v>
      </c>
      <c r="I90" t="s">
        <v>1901</v>
      </c>
      <c r="J90" t="s">
        <v>1902</v>
      </c>
      <c r="K90" t="s">
        <v>1235</v>
      </c>
      <c r="L90" t="s">
        <v>1240</v>
      </c>
    </row>
    <row r="91" spans="2:12" x14ac:dyDescent="0.2">
      <c r="B91" t="s">
        <v>831</v>
      </c>
      <c r="C91" t="s">
        <v>832</v>
      </c>
      <c r="D91" t="s">
        <v>1087</v>
      </c>
      <c r="E91" t="s">
        <v>1060</v>
      </c>
      <c r="I91" t="s">
        <v>1903</v>
      </c>
      <c r="J91" t="s">
        <v>1904</v>
      </c>
      <c r="K91" t="s">
        <v>1235</v>
      </c>
      <c r="L91" t="s">
        <v>1247</v>
      </c>
    </row>
    <row r="92" spans="2:12" x14ac:dyDescent="0.2">
      <c r="B92" t="s">
        <v>833</v>
      </c>
      <c r="C92" t="s">
        <v>834</v>
      </c>
      <c r="D92" t="s">
        <v>1088</v>
      </c>
      <c r="E92" t="s">
        <v>1060</v>
      </c>
      <c r="I92" t="s">
        <v>1280</v>
      </c>
      <c r="J92" t="s">
        <v>1281</v>
      </c>
      <c r="K92" t="s">
        <v>1235</v>
      </c>
      <c r="L92" t="s">
        <v>1240</v>
      </c>
    </row>
    <row r="93" spans="2:12" x14ac:dyDescent="0.2">
      <c r="B93" t="s">
        <v>835</v>
      </c>
      <c r="C93" t="s">
        <v>836</v>
      </c>
      <c r="D93" t="s">
        <v>1089</v>
      </c>
      <c r="E93" t="s">
        <v>1060</v>
      </c>
      <c r="I93" t="s">
        <v>1905</v>
      </c>
      <c r="J93" t="s">
        <v>1281</v>
      </c>
      <c r="K93" t="s">
        <v>1235</v>
      </c>
      <c r="L93" t="s">
        <v>1247</v>
      </c>
    </row>
    <row r="94" spans="2:12" x14ac:dyDescent="0.2">
      <c r="B94" t="s">
        <v>837</v>
      </c>
      <c r="C94" t="s">
        <v>838</v>
      </c>
      <c r="D94" t="s">
        <v>1089</v>
      </c>
      <c r="E94" t="s">
        <v>1060</v>
      </c>
      <c r="I94" t="s">
        <v>1906</v>
      </c>
      <c r="J94" t="s">
        <v>1907</v>
      </c>
      <c r="K94" t="s">
        <v>1235</v>
      </c>
      <c r="L94" t="s">
        <v>1247</v>
      </c>
    </row>
    <row r="95" spans="2:12" x14ac:dyDescent="0.2">
      <c r="B95" t="s">
        <v>839</v>
      </c>
      <c r="C95" t="s">
        <v>840</v>
      </c>
      <c r="D95" t="s">
        <v>1089</v>
      </c>
      <c r="E95" t="s">
        <v>1060</v>
      </c>
      <c r="I95" t="s">
        <v>767</v>
      </c>
      <c r="J95" t="s">
        <v>768</v>
      </c>
      <c r="K95" t="s">
        <v>1235</v>
      </c>
      <c r="L95" t="s">
        <v>1247</v>
      </c>
    </row>
    <row r="96" spans="2:12" x14ac:dyDescent="0.2">
      <c r="B96" t="s">
        <v>841</v>
      </c>
      <c r="C96" t="s">
        <v>842</v>
      </c>
      <c r="D96" t="s">
        <v>1089</v>
      </c>
      <c r="E96" t="s">
        <v>1060</v>
      </c>
      <c r="I96" t="s">
        <v>1282</v>
      </c>
      <c r="J96" t="s">
        <v>1283</v>
      </c>
      <c r="K96" t="s">
        <v>1235</v>
      </c>
      <c r="L96" t="s">
        <v>1240</v>
      </c>
    </row>
    <row r="97" spans="2:12" x14ac:dyDescent="0.2">
      <c r="B97" t="s">
        <v>843</v>
      </c>
      <c r="C97" t="s">
        <v>844</v>
      </c>
      <c r="D97" t="s">
        <v>1089</v>
      </c>
      <c r="E97" t="s">
        <v>1060</v>
      </c>
      <c r="I97" t="s">
        <v>1284</v>
      </c>
      <c r="J97" t="s">
        <v>770</v>
      </c>
      <c r="K97" t="s">
        <v>1235</v>
      </c>
      <c r="L97" t="s">
        <v>1240</v>
      </c>
    </row>
    <row r="98" spans="2:12" x14ac:dyDescent="0.2">
      <c r="B98" t="s">
        <v>845</v>
      </c>
      <c r="C98" t="s">
        <v>846</v>
      </c>
      <c r="D98" t="s">
        <v>1089</v>
      </c>
      <c r="E98" t="s">
        <v>1060</v>
      </c>
      <c r="I98" t="s">
        <v>769</v>
      </c>
      <c r="J98" t="s">
        <v>770</v>
      </c>
      <c r="K98" t="s">
        <v>1235</v>
      </c>
      <c r="L98" t="s">
        <v>1247</v>
      </c>
    </row>
    <row r="99" spans="2:12" x14ac:dyDescent="0.2">
      <c r="B99" t="s">
        <v>847</v>
      </c>
      <c r="C99" t="s">
        <v>848</v>
      </c>
      <c r="D99" t="s">
        <v>1089</v>
      </c>
      <c r="E99" t="s">
        <v>1060</v>
      </c>
      <c r="I99" t="s">
        <v>1285</v>
      </c>
      <c r="J99" t="s">
        <v>772</v>
      </c>
      <c r="K99" t="s">
        <v>1235</v>
      </c>
      <c r="L99" t="s">
        <v>1240</v>
      </c>
    </row>
    <row r="100" spans="2:12" x14ac:dyDescent="0.2">
      <c r="B100" t="s">
        <v>849</v>
      </c>
      <c r="C100" t="s">
        <v>850</v>
      </c>
      <c r="D100" t="s">
        <v>1090</v>
      </c>
      <c r="E100" t="s">
        <v>1060</v>
      </c>
      <c r="I100" t="s">
        <v>771</v>
      </c>
      <c r="J100" t="s">
        <v>772</v>
      </c>
      <c r="K100" t="s">
        <v>1235</v>
      </c>
      <c r="L100" t="s">
        <v>1247</v>
      </c>
    </row>
    <row r="101" spans="2:12" x14ac:dyDescent="0.2">
      <c r="B101" t="s">
        <v>851</v>
      </c>
      <c r="C101" t="s">
        <v>852</v>
      </c>
      <c r="D101" t="s">
        <v>1090</v>
      </c>
      <c r="E101" t="s">
        <v>1060</v>
      </c>
      <c r="I101" t="s">
        <v>1908</v>
      </c>
      <c r="J101" t="s">
        <v>790</v>
      </c>
      <c r="K101" t="s">
        <v>1235</v>
      </c>
      <c r="L101" t="s">
        <v>1240</v>
      </c>
    </row>
    <row r="102" spans="2:12" x14ac:dyDescent="0.2">
      <c r="B102" t="s">
        <v>853</v>
      </c>
      <c r="C102" t="s">
        <v>854</v>
      </c>
      <c r="D102" t="s">
        <v>1091</v>
      </c>
      <c r="E102" t="s">
        <v>1060</v>
      </c>
      <c r="I102" t="s">
        <v>1909</v>
      </c>
      <c r="J102" t="s">
        <v>1910</v>
      </c>
      <c r="K102" t="s">
        <v>1235</v>
      </c>
      <c r="L102" t="s">
        <v>1247</v>
      </c>
    </row>
    <row r="103" spans="2:12" x14ac:dyDescent="0.2">
      <c r="B103" t="s">
        <v>855</v>
      </c>
      <c r="C103" t="s">
        <v>856</v>
      </c>
      <c r="D103" t="s">
        <v>1092</v>
      </c>
      <c r="E103" t="s">
        <v>1060</v>
      </c>
      <c r="I103" t="s">
        <v>1286</v>
      </c>
      <c r="J103" t="s">
        <v>1287</v>
      </c>
      <c r="K103" t="s">
        <v>1235</v>
      </c>
      <c r="L103" t="s">
        <v>1240</v>
      </c>
    </row>
    <row r="104" spans="2:12" x14ac:dyDescent="0.2">
      <c r="B104" t="s">
        <v>857</v>
      </c>
      <c r="C104" t="s">
        <v>858</v>
      </c>
      <c r="D104" t="s">
        <v>1093</v>
      </c>
      <c r="E104" t="s">
        <v>1060</v>
      </c>
      <c r="I104" t="s">
        <v>1288</v>
      </c>
      <c r="J104" t="s">
        <v>1289</v>
      </c>
      <c r="K104" t="s">
        <v>1235</v>
      </c>
      <c r="L104" t="s">
        <v>1240</v>
      </c>
    </row>
    <row r="105" spans="2:12" x14ac:dyDescent="0.2">
      <c r="B105" t="s">
        <v>859</v>
      </c>
      <c r="C105" t="s">
        <v>860</v>
      </c>
      <c r="D105" t="s">
        <v>1094</v>
      </c>
      <c r="E105" t="s">
        <v>1060</v>
      </c>
      <c r="I105" t="s">
        <v>1290</v>
      </c>
      <c r="J105" t="s">
        <v>1291</v>
      </c>
      <c r="K105" t="s">
        <v>1235</v>
      </c>
      <c r="L105" t="s">
        <v>1240</v>
      </c>
    </row>
    <row r="106" spans="2:12" x14ac:dyDescent="0.2">
      <c r="B106" t="s">
        <v>861</v>
      </c>
      <c r="C106" t="s">
        <v>862</v>
      </c>
      <c r="D106" t="s">
        <v>1094</v>
      </c>
      <c r="E106" t="s">
        <v>1060</v>
      </c>
      <c r="I106" t="s">
        <v>773</v>
      </c>
      <c r="J106" t="s">
        <v>774</v>
      </c>
      <c r="K106" t="s">
        <v>1235</v>
      </c>
      <c r="L106" t="s">
        <v>1247</v>
      </c>
    </row>
    <row r="107" spans="2:12" x14ac:dyDescent="0.2">
      <c r="B107" t="s">
        <v>863</v>
      </c>
      <c r="C107" t="s">
        <v>864</v>
      </c>
      <c r="D107" t="s">
        <v>1094</v>
      </c>
      <c r="E107" t="s">
        <v>1060</v>
      </c>
      <c r="I107" t="s">
        <v>775</v>
      </c>
      <c r="J107" t="s">
        <v>776</v>
      </c>
      <c r="K107" t="s">
        <v>1235</v>
      </c>
      <c r="L107" t="s">
        <v>1247</v>
      </c>
    </row>
    <row r="108" spans="2:12" x14ac:dyDescent="0.2">
      <c r="B108" t="s">
        <v>865</v>
      </c>
      <c r="C108" t="s">
        <v>866</v>
      </c>
      <c r="D108" t="s">
        <v>1094</v>
      </c>
      <c r="E108" t="s">
        <v>1060</v>
      </c>
      <c r="I108" t="s">
        <v>777</v>
      </c>
      <c r="J108" t="s">
        <v>778</v>
      </c>
      <c r="K108" t="s">
        <v>1235</v>
      </c>
      <c r="L108" t="s">
        <v>1247</v>
      </c>
    </row>
    <row r="109" spans="2:12" x14ac:dyDescent="0.2">
      <c r="B109" t="s">
        <v>867</v>
      </c>
      <c r="C109" t="s">
        <v>868</v>
      </c>
      <c r="D109" t="s">
        <v>1094</v>
      </c>
      <c r="E109" t="s">
        <v>1060</v>
      </c>
      <c r="I109" t="s">
        <v>1292</v>
      </c>
      <c r="J109" t="s">
        <v>1293</v>
      </c>
      <c r="K109" t="s">
        <v>1235</v>
      </c>
      <c r="L109" t="s">
        <v>1240</v>
      </c>
    </row>
    <row r="110" spans="2:12" x14ac:dyDescent="0.2">
      <c r="B110" t="s">
        <v>869</v>
      </c>
      <c r="C110" t="s">
        <v>870</v>
      </c>
      <c r="D110" t="s">
        <v>1094</v>
      </c>
      <c r="E110" t="s">
        <v>1060</v>
      </c>
      <c r="I110" t="s">
        <v>1294</v>
      </c>
      <c r="J110" t="s">
        <v>782</v>
      </c>
      <c r="K110" t="s">
        <v>1235</v>
      </c>
      <c r="L110" t="s">
        <v>1240</v>
      </c>
    </row>
    <row r="111" spans="2:12" x14ac:dyDescent="0.2">
      <c r="B111" t="s">
        <v>871</v>
      </c>
      <c r="C111" t="s">
        <v>872</v>
      </c>
      <c r="D111" t="s">
        <v>1094</v>
      </c>
      <c r="E111" t="s">
        <v>1060</v>
      </c>
      <c r="I111" t="s">
        <v>1295</v>
      </c>
      <c r="J111" t="s">
        <v>780</v>
      </c>
      <c r="K111" t="s">
        <v>1235</v>
      </c>
      <c r="L111" t="s">
        <v>1240</v>
      </c>
    </row>
    <row r="112" spans="2:12" x14ac:dyDescent="0.2">
      <c r="B112" t="s">
        <v>873</v>
      </c>
      <c r="C112" t="s">
        <v>874</v>
      </c>
      <c r="D112" t="s">
        <v>1094</v>
      </c>
      <c r="E112" t="s">
        <v>1060</v>
      </c>
      <c r="I112" t="s">
        <v>779</v>
      </c>
      <c r="J112" t="s">
        <v>780</v>
      </c>
      <c r="K112" t="s">
        <v>1235</v>
      </c>
      <c r="L112" t="s">
        <v>1247</v>
      </c>
    </row>
    <row r="113" spans="2:12" x14ac:dyDescent="0.2">
      <c r="B113" t="s">
        <v>875</v>
      </c>
      <c r="C113" t="s">
        <v>876</v>
      </c>
      <c r="D113" t="s">
        <v>1094</v>
      </c>
      <c r="E113" t="s">
        <v>1060</v>
      </c>
      <c r="I113" t="s">
        <v>1296</v>
      </c>
      <c r="J113" t="s">
        <v>1297</v>
      </c>
      <c r="K113" t="s">
        <v>1235</v>
      </c>
      <c r="L113" t="s">
        <v>1240</v>
      </c>
    </row>
    <row r="114" spans="2:12" x14ac:dyDescent="0.2">
      <c r="B114" t="s">
        <v>877</v>
      </c>
      <c r="C114" t="s">
        <v>878</v>
      </c>
      <c r="D114" t="s">
        <v>1094</v>
      </c>
      <c r="E114" t="s">
        <v>1060</v>
      </c>
      <c r="I114" t="s">
        <v>1298</v>
      </c>
      <c r="J114" t="s">
        <v>782</v>
      </c>
      <c r="K114" t="s">
        <v>1235</v>
      </c>
      <c r="L114" t="s">
        <v>1240</v>
      </c>
    </row>
    <row r="115" spans="2:12" x14ac:dyDescent="0.2">
      <c r="B115" t="s">
        <v>879</v>
      </c>
      <c r="C115" t="s">
        <v>880</v>
      </c>
      <c r="D115" t="s">
        <v>1094</v>
      </c>
      <c r="E115" t="s">
        <v>1060</v>
      </c>
      <c r="I115" t="s">
        <v>781</v>
      </c>
      <c r="J115" t="s">
        <v>782</v>
      </c>
      <c r="K115" t="s">
        <v>1235</v>
      </c>
      <c r="L115" t="s">
        <v>1247</v>
      </c>
    </row>
    <row r="116" spans="2:12" x14ac:dyDescent="0.2">
      <c r="B116" t="s">
        <v>881</v>
      </c>
      <c r="C116" t="s">
        <v>882</v>
      </c>
      <c r="D116" t="s">
        <v>1095</v>
      </c>
      <c r="E116" t="s">
        <v>1060</v>
      </c>
      <c r="I116" t="s">
        <v>1299</v>
      </c>
      <c r="J116" t="s">
        <v>1300</v>
      </c>
      <c r="K116" t="s">
        <v>1235</v>
      </c>
      <c r="L116" t="s">
        <v>1236</v>
      </c>
    </row>
    <row r="117" spans="2:12" x14ac:dyDescent="0.2">
      <c r="B117" t="s">
        <v>883</v>
      </c>
      <c r="C117" t="s">
        <v>884</v>
      </c>
      <c r="D117" t="s">
        <v>1096</v>
      </c>
      <c r="E117" t="s">
        <v>1060</v>
      </c>
      <c r="I117" t="s">
        <v>1911</v>
      </c>
      <c r="J117" t="s">
        <v>1912</v>
      </c>
      <c r="K117" t="s">
        <v>1235</v>
      </c>
      <c r="L117" t="s">
        <v>1240</v>
      </c>
    </row>
    <row r="118" spans="2:12" x14ac:dyDescent="0.2">
      <c r="B118" t="s">
        <v>885</v>
      </c>
      <c r="C118" t="s">
        <v>886</v>
      </c>
      <c r="D118" t="s">
        <v>1097</v>
      </c>
      <c r="E118" t="s">
        <v>1060</v>
      </c>
      <c r="I118" t="s">
        <v>1913</v>
      </c>
      <c r="J118" t="s">
        <v>784</v>
      </c>
      <c r="K118" t="s">
        <v>1235</v>
      </c>
      <c r="L118" t="s">
        <v>1240</v>
      </c>
    </row>
    <row r="119" spans="2:12" x14ac:dyDescent="0.2">
      <c r="B119" t="s">
        <v>887</v>
      </c>
      <c r="C119" t="s">
        <v>888</v>
      </c>
      <c r="D119" t="s">
        <v>1097</v>
      </c>
      <c r="E119" t="s">
        <v>1060</v>
      </c>
      <c r="I119" t="s">
        <v>1914</v>
      </c>
      <c r="J119" t="s">
        <v>784</v>
      </c>
      <c r="K119" t="s">
        <v>1235</v>
      </c>
      <c r="L119" t="s">
        <v>1240</v>
      </c>
    </row>
    <row r="120" spans="2:12" x14ac:dyDescent="0.2">
      <c r="B120" t="s">
        <v>889</v>
      </c>
      <c r="C120" t="s">
        <v>890</v>
      </c>
      <c r="D120" t="s">
        <v>1098</v>
      </c>
      <c r="E120" t="s">
        <v>1060</v>
      </c>
      <c r="I120" t="s">
        <v>783</v>
      </c>
      <c r="J120" t="s">
        <v>784</v>
      </c>
      <c r="K120" t="s">
        <v>1235</v>
      </c>
      <c r="L120" t="s">
        <v>1247</v>
      </c>
    </row>
    <row r="121" spans="2:12" x14ac:dyDescent="0.2">
      <c r="B121" t="s">
        <v>891</v>
      </c>
      <c r="C121" t="s">
        <v>774</v>
      </c>
      <c r="D121" t="s">
        <v>1099</v>
      </c>
      <c r="E121" t="s">
        <v>1060</v>
      </c>
      <c r="I121" t="s">
        <v>1915</v>
      </c>
      <c r="J121" t="s">
        <v>786</v>
      </c>
      <c r="K121" t="s">
        <v>1235</v>
      </c>
      <c r="L121" t="s">
        <v>1240</v>
      </c>
    </row>
    <row r="122" spans="2:12" x14ac:dyDescent="0.2">
      <c r="B122" t="s">
        <v>892</v>
      </c>
      <c r="C122" t="s">
        <v>776</v>
      </c>
      <c r="D122" t="s">
        <v>1100</v>
      </c>
      <c r="E122" t="s">
        <v>1060</v>
      </c>
      <c r="I122" t="s">
        <v>785</v>
      </c>
      <c r="J122" t="s">
        <v>786</v>
      </c>
      <c r="K122" t="s">
        <v>1235</v>
      </c>
      <c r="L122" t="s">
        <v>1247</v>
      </c>
    </row>
    <row r="123" spans="2:12" x14ac:dyDescent="0.2">
      <c r="B123" t="s">
        <v>893</v>
      </c>
      <c r="C123" t="s">
        <v>894</v>
      </c>
      <c r="D123" t="s">
        <v>1101</v>
      </c>
      <c r="E123" t="s">
        <v>1060</v>
      </c>
      <c r="I123" t="s">
        <v>1301</v>
      </c>
      <c r="J123" t="s">
        <v>1302</v>
      </c>
      <c r="K123" t="s">
        <v>1235</v>
      </c>
      <c r="L123" t="s">
        <v>1240</v>
      </c>
    </row>
    <row r="124" spans="2:12" x14ac:dyDescent="0.2">
      <c r="B124" t="s">
        <v>895</v>
      </c>
      <c r="C124" t="s">
        <v>896</v>
      </c>
      <c r="D124" t="s">
        <v>1102</v>
      </c>
      <c r="E124" t="s">
        <v>1060</v>
      </c>
      <c r="I124" t="s">
        <v>1303</v>
      </c>
      <c r="J124" t="s">
        <v>1304</v>
      </c>
      <c r="K124" t="s">
        <v>1235</v>
      </c>
      <c r="L124" t="s">
        <v>1240</v>
      </c>
    </row>
    <row r="125" spans="2:12" x14ac:dyDescent="0.2">
      <c r="B125" t="s">
        <v>897</v>
      </c>
      <c r="C125" t="s">
        <v>898</v>
      </c>
      <c r="D125" t="s">
        <v>1103</v>
      </c>
      <c r="E125" t="s">
        <v>1060</v>
      </c>
      <c r="I125" t="s">
        <v>1630</v>
      </c>
      <c r="J125" t="s">
        <v>788</v>
      </c>
      <c r="K125" t="s">
        <v>1235</v>
      </c>
      <c r="L125" t="s">
        <v>1240</v>
      </c>
    </row>
    <row r="126" spans="2:12" x14ac:dyDescent="0.2">
      <c r="B126" t="s">
        <v>899</v>
      </c>
      <c r="C126" t="s">
        <v>900</v>
      </c>
      <c r="D126" t="s">
        <v>1104</v>
      </c>
      <c r="E126" t="s">
        <v>1060</v>
      </c>
      <c r="I126" t="s">
        <v>787</v>
      </c>
      <c r="J126" t="s">
        <v>788</v>
      </c>
      <c r="K126" t="s">
        <v>1235</v>
      </c>
      <c r="L126" t="s">
        <v>1247</v>
      </c>
    </row>
    <row r="127" spans="2:12" x14ac:dyDescent="0.2">
      <c r="B127" t="s">
        <v>901</v>
      </c>
      <c r="C127" t="s">
        <v>902</v>
      </c>
      <c r="D127" t="s">
        <v>1104</v>
      </c>
      <c r="E127" t="s">
        <v>1060</v>
      </c>
      <c r="I127" t="s">
        <v>1916</v>
      </c>
      <c r="J127" t="s">
        <v>950</v>
      </c>
      <c r="K127" t="s">
        <v>1235</v>
      </c>
      <c r="L127" t="s">
        <v>1240</v>
      </c>
    </row>
    <row r="128" spans="2:12" x14ac:dyDescent="0.2">
      <c r="B128" t="s">
        <v>903</v>
      </c>
      <c r="C128" t="s">
        <v>904</v>
      </c>
      <c r="D128" t="s">
        <v>1104</v>
      </c>
      <c r="E128" t="s">
        <v>1060</v>
      </c>
      <c r="I128" t="s">
        <v>1917</v>
      </c>
      <c r="J128" t="s">
        <v>950</v>
      </c>
      <c r="K128" t="s">
        <v>1235</v>
      </c>
      <c r="L128" t="s">
        <v>1247</v>
      </c>
    </row>
    <row r="129" spans="2:12" x14ac:dyDescent="0.2">
      <c r="B129" t="s">
        <v>905</v>
      </c>
      <c r="C129" t="s">
        <v>906</v>
      </c>
      <c r="D129" t="s">
        <v>1100</v>
      </c>
      <c r="E129" t="s">
        <v>1060</v>
      </c>
      <c r="I129" t="s">
        <v>1918</v>
      </c>
      <c r="J129" t="s">
        <v>1919</v>
      </c>
      <c r="K129" t="s">
        <v>1235</v>
      </c>
      <c r="L129" t="s">
        <v>1240</v>
      </c>
    </row>
    <row r="130" spans="2:12" x14ac:dyDescent="0.2">
      <c r="B130" t="s">
        <v>907</v>
      </c>
      <c r="C130" t="s">
        <v>908</v>
      </c>
      <c r="D130" t="s">
        <v>1105</v>
      </c>
      <c r="E130" t="s">
        <v>1060</v>
      </c>
      <c r="I130" t="s">
        <v>1920</v>
      </c>
      <c r="J130" t="s">
        <v>1919</v>
      </c>
      <c r="K130" t="s">
        <v>1235</v>
      </c>
      <c r="L130" t="s">
        <v>1247</v>
      </c>
    </row>
    <row r="131" spans="2:12" x14ac:dyDescent="0.2">
      <c r="B131" t="s">
        <v>909</v>
      </c>
      <c r="C131" t="s">
        <v>910</v>
      </c>
      <c r="D131" t="s">
        <v>1106</v>
      </c>
      <c r="E131" t="s">
        <v>1060</v>
      </c>
      <c r="I131" t="s">
        <v>1921</v>
      </c>
      <c r="J131" t="s">
        <v>1922</v>
      </c>
      <c r="K131" t="s">
        <v>1235</v>
      </c>
      <c r="L131" t="s">
        <v>1240</v>
      </c>
    </row>
    <row r="132" spans="2:12" x14ac:dyDescent="0.2">
      <c r="B132" t="s">
        <v>911</v>
      </c>
      <c r="C132" t="s">
        <v>912</v>
      </c>
      <c r="D132" t="s">
        <v>1107</v>
      </c>
      <c r="E132" t="s">
        <v>1060</v>
      </c>
      <c r="I132" t="s">
        <v>1923</v>
      </c>
      <c r="J132" t="s">
        <v>1922</v>
      </c>
      <c r="K132" t="s">
        <v>1235</v>
      </c>
      <c r="L132" t="s">
        <v>1247</v>
      </c>
    </row>
    <row r="133" spans="2:12" x14ac:dyDescent="0.2">
      <c r="B133" t="s">
        <v>913</v>
      </c>
      <c r="C133" t="s">
        <v>914</v>
      </c>
      <c r="D133" t="s">
        <v>1108</v>
      </c>
      <c r="E133" t="s">
        <v>724</v>
      </c>
      <c r="F133" t="s">
        <v>1056</v>
      </c>
      <c r="I133" t="s">
        <v>1305</v>
      </c>
      <c r="J133" t="s">
        <v>790</v>
      </c>
      <c r="K133" t="s">
        <v>1235</v>
      </c>
      <c r="L133" t="s">
        <v>1240</v>
      </c>
    </row>
    <row r="134" spans="2:12" x14ac:dyDescent="0.2">
      <c r="B134" t="s">
        <v>915</v>
      </c>
      <c r="C134" t="s">
        <v>916</v>
      </c>
      <c r="D134" t="s">
        <v>1109</v>
      </c>
      <c r="E134" t="s">
        <v>724</v>
      </c>
      <c r="F134" t="s">
        <v>1056</v>
      </c>
      <c r="I134" t="s">
        <v>789</v>
      </c>
      <c r="J134" t="s">
        <v>790</v>
      </c>
      <c r="K134" t="s">
        <v>1235</v>
      </c>
      <c r="L134" t="s">
        <v>1247</v>
      </c>
    </row>
    <row r="135" spans="2:12" x14ac:dyDescent="0.2">
      <c r="B135" t="s">
        <v>917</v>
      </c>
      <c r="C135" t="s">
        <v>860</v>
      </c>
      <c r="D135" t="s">
        <v>1109</v>
      </c>
      <c r="E135" t="s">
        <v>724</v>
      </c>
      <c r="F135" t="s">
        <v>1056</v>
      </c>
      <c r="I135" t="s">
        <v>791</v>
      </c>
      <c r="J135" t="s">
        <v>792</v>
      </c>
      <c r="K135" t="s">
        <v>1235</v>
      </c>
      <c r="L135" t="s">
        <v>1247</v>
      </c>
    </row>
    <row r="136" spans="2:12" x14ac:dyDescent="0.2">
      <c r="B136" t="s">
        <v>918</v>
      </c>
      <c r="C136" t="s">
        <v>862</v>
      </c>
      <c r="D136" t="s">
        <v>1109</v>
      </c>
      <c r="E136" t="s">
        <v>724</v>
      </c>
      <c r="F136" t="s">
        <v>1056</v>
      </c>
      <c r="I136" t="s">
        <v>1306</v>
      </c>
      <c r="J136" t="s">
        <v>1307</v>
      </c>
      <c r="K136" t="s">
        <v>1235</v>
      </c>
      <c r="L136" t="s">
        <v>1240</v>
      </c>
    </row>
    <row r="137" spans="2:12" x14ac:dyDescent="0.2">
      <c r="B137" t="s">
        <v>919</v>
      </c>
      <c r="C137" t="s">
        <v>920</v>
      </c>
      <c r="D137" t="s">
        <v>1109</v>
      </c>
      <c r="E137" t="s">
        <v>724</v>
      </c>
      <c r="F137" t="s">
        <v>1056</v>
      </c>
      <c r="I137" t="s">
        <v>1924</v>
      </c>
      <c r="J137" t="s">
        <v>788</v>
      </c>
      <c r="K137" t="s">
        <v>1235</v>
      </c>
      <c r="L137" t="s">
        <v>1240</v>
      </c>
    </row>
    <row r="138" spans="2:12" x14ac:dyDescent="0.2">
      <c r="B138" t="s">
        <v>921</v>
      </c>
      <c r="C138" t="s">
        <v>864</v>
      </c>
      <c r="D138" t="s">
        <v>1109</v>
      </c>
      <c r="E138" t="s">
        <v>724</v>
      </c>
      <c r="F138" t="s">
        <v>1056</v>
      </c>
      <c r="I138" t="s">
        <v>1925</v>
      </c>
      <c r="J138" t="s">
        <v>788</v>
      </c>
      <c r="K138" t="s">
        <v>1235</v>
      </c>
      <c r="L138" t="s">
        <v>1247</v>
      </c>
    </row>
    <row r="139" spans="2:12" x14ac:dyDescent="0.2">
      <c r="B139" t="s">
        <v>922</v>
      </c>
      <c r="C139" t="s">
        <v>923</v>
      </c>
      <c r="D139" t="s">
        <v>1109</v>
      </c>
      <c r="E139" t="s">
        <v>724</v>
      </c>
      <c r="F139" t="s">
        <v>1056</v>
      </c>
      <c r="I139" t="s">
        <v>1926</v>
      </c>
      <c r="J139" t="s">
        <v>972</v>
      </c>
      <c r="K139" t="s">
        <v>1235</v>
      </c>
      <c r="L139" t="s">
        <v>1240</v>
      </c>
    </row>
    <row r="140" spans="2:12" x14ac:dyDescent="0.2">
      <c r="B140" t="s">
        <v>924</v>
      </c>
      <c r="C140" t="s">
        <v>925</v>
      </c>
      <c r="D140" t="s">
        <v>1110</v>
      </c>
      <c r="E140" t="s">
        <v>724</v>
      </c>
      <c r="F140" t="s">
        <v>1056</v>
      </c>
      <c r="I140" t="s">
        <v>1927</v>
      </c>
      <c r="J140" t="s">
        <v>972</v>
      </c>
      <c r="K140" t="s">
        <v>1235</v>
      </c>
      <c r="L140" t="s">
        <v>1247</v>
      </c>
    </row>
    <row r="141" spans="2:12" x14ac:dyDescent="0.2">
      <c r="B141" t="s">
        <v>926</v>
      </c>
      <c r="C141" t="s">
        <v>927</v>
      </c>
      <c r="D141" t="s">
        <v>1109</v>
      </c>
      <c r="E141" t="s">
        <v>724</v>
      </c>
      <c r="F141" t="s">
        <v>1056</v>
      </c>
      <c r="I141" t="s">
        <v>1308</v>
      </c>
      <c r="J141" t="s">
        <v>906</v>
      </c>
      <c r="K141" t="s">
        <v>1235</v>
      </c>
      <c r="L141" t="s">
        <v>1240</v>
      </c>
    </row>
    <row r="142" spans="2:12" x14ac:dyDescent="0.2">
      <c r="B142" t="s">
        <v>928</v>
      </c>
      <c r="C142" t="s">
        <v>822</v>
      </c>
      <c r="D142" t="s">
        <v>1109</v>
      </c>
      <c r="E142" t="s">
        <v>724</v>
      </c>
      <c r="F142" t="s">
        <v>1056</v>
      </c>
      <c r="I142" t="s">
        <v>1928</v>
      </c>
      <c r="J142" t="s">
        <v>1929</v>
      </c>
      <c r="K142" t="s">
        <v>1235</v>
      </c>
      <c r="L142" t="s">
        <v>1247</v>
      </c>
    </row>
    <row r="143" spans="2:12" x14ac:dyDescent="0.2">
      <c r="B143" t="s">
        <v>929</v>
      </c>
      <c r="C143" t="s">
        <v>930</v>
      </c>
      <c r="D143" t="s">
        <v>1109</v>
      </c>
      <c r="E143" t="s">
        <v>724</v>
      </c>
      <c r="F143" t="s">
        <v>1056</v>
      </c>
      <c r="I143" t="s">
        <v>1930</v>
      </c>
      <c r="J143" t="s">
        <v>1931</v>
      </c>
      <c r="K143" t="s">
        <v>1235</v>
      </c>
      <c r="L143" t="s">
        <v>1247</v>
      </c>
    </row>
    <row r="144" spans="2:12" x14ac:dyDescent="0.2">
      <c r="B144" t="s">
        <v>931</v>
      </c>
      <c r="C144" t="s">
        <v>932</v>
      </c>
      <c r="D144" t="s">
        <v>1109</v>
      </c>
      <c r="E144" t="s">
        <v>724</v>
      </c>
      <c r="F144" t="s">
        <v>1056</v>
      </c>
      <c r="I144" t="s">
        <v>793</v>
      </c>
      <c r="J144" t="s">
        <v>794</v>
      </c>
      <c r="K144" t="s">
        <v>1235</v>
      </c>
      <c r="L144" t="s">
        <v>1247</v>
      </c>
    </row>
    <row r="145" spans="2:12" x14ac:dyDescent="0.2">
      <c r="B145" t="s">
        <v>933</v>
      </c>
      <c r="C145" t="s">
        <v>934</v>
      </c>
      <c r="D145" t="s">
        <v>1109</v>
      </c>
      <c r="E145" t="s">
        <v>724</v>
      </c>
      <c r="F145" t="s">
        <v>1056</v>
      </c>
      <c r="I145" t="s">
        <v>795</v>
      </c>
      <c r="J145" t="s">
        <v>796</v>
      </c>
      <c r="K145" t="s">
        <v>1235</v>
      </c>
      <c r="L145" t="s">
        <v>1247</v>
      </c>
    </row>
    <row r="146" spans="2:12" x14ac:dyDescent="0.2">
      <c r="B146" t="s">
        <v>935</v>
      </c>
      <c r="C146" t="s">
        <v>936</v>
      </c>
      <c r="D146" t="s">
        <v>1109</v>
      </c>
      <c r="E146" t="s">
        <v>724</v>
      </c>
      <c r="F146" t="s">
        <v>1056</v>
      </c>
      <c r="I146" t="s">
        <v>1932</v>
      </c>
      <c r="J146" t="s">
        <v>1933</v>
      </c>
      <c r="K146" t="s">
        <v>1235</v>
      </c>
      <c r="L146" t="s">
        <v>1247</v>
      </c>
    </row>
    <row r="147" spans="2:12" x14ac:dyDescent="0.2">
      <c r="B147" t="s">
        <v>937</v>
      </c>
      <c r="C147" t="s">
        <v>938</v>
      </c>
      <c r="D147" t="s">
        <v>1109</v>
      </c>
      <c r="E147" t="s">
        <v>724</v>
      </c>
      <c r="F147" t="s">
        <v>1056</v>
      </c>
      <c r="I147" t="s">
        <v>1934</v>
      </c>
      <c r="J147" t="s">
        <v>1935</v>
      </c>
      <c r="K147" t="s">
        <v>1235</v>
      </c>
      <c r="L147" t="s">
        <v>1247</v>
      </c>
    </row>
    <row r="148" spans="2:12" x14ac:dyDescent="0.2">
      <c r="B148" t="s">
        <v>939</v>
      </c>
      <c r="C148" t="s">
        <v>940</v>
      </c>
      <c r="D148" t="s">
        <v>1111</v>
      </c>
      <c r="E148" t="s">
        <v>724</v>
      </c>
      <c r="F148" t="s">
        <v>1056</v>
      </c>
      <c r="I148" t="s">
        <v>1309</v>
      </c>
      <c r="J148" t="s">
        <v>1310</v>
      </c>
      <c r="K148" t="s">
        <v>1235</v>
      </c>
      <c r="L148" t="s">
        <v>1240</v>
      </c>
    </row>
    <row r="149" spans="2:12" x14ac:dyDescent="0.2">
      <c r="B149" t="s">
        <v>941</v>
      </c>
      <c r="C149" t="s">
        <v>942</v>
      </c>
      <c r="D149" t="s">
        <v>1112</v>
      </c>
      <c r="E149" t="s">
        <v>724</v>
      </c>
      <c r="F149" t="s">
        <v>1056</v>
      </c>
      <c r="I149" t="s">
        <v>797</v>
      </c>
      <c r="J149" t="s">
        <v>798</v>
      </c>
      <c r="K149" t="s">
        <v>1235</v>
      </c>
      <c r="L149" t="s">
        <v>1247</v>
      </c>
    </row>
    <row r="150" spans="2:12" x14ac:dyDescent="0.2">
      <c r="B150" t="s">
        <v>943</v>
      </c>
      <c r="C150" t="s">
        <v>944</v>
      </c>
      <c r="D150" t="s">
        <v>1113</v>
      </c>
      <c r="E150" t="s">
        <v>724</v>
      </c>
      <c r="F150" t="s">
        <v>1056</v>
      </c>
      <c r="I150" t="s">
        <v>799</v>
      </c>
      <c r="J150" t="s">
        <v>800</v>
      </c>
      <c r="K150" t="s">
        <v>1235</v>
      </c>
      <c r="L150" t="s">
        <v>1247</v>
      </c>
    </row>
    <row r="151" spans="2:12" x14ac:dyDescent="0.2">
      <c r="B151" t="s">
        <v>945</v>
      </c>
      <c r="C151" t="s">
        <v>946</v>
      </c>
      <c r="D151" t="s">
        <v>1114</v>
      </c>
      <c r="E151" t="s">
        <v>724</v>
      </c>
      <c r="F151" t="s">
        <v>1056</v>
      </c>
      <c r="I151" t="s">
        <v>1311</v>
      </c>
      <c r="J151" t="s">
        <v>1312</v>
      </c>
      <c r="K151" t="s">
        <v>1235</v>
      </c>
      <c r="L151" t="s">
        <v>1240</v>
      </c>
    </row>
    <row r="152" spans="2:12" x14ac:dyDescent="0.2">
      <c r="B152" t="s">
        <v>947</v>
      </c>
      <c r="C152" t="s">
        <v>948</v>
      </c>
      <c r="D152" t="s">
        <v>1115</v>
      </c>
      <c r="E152" t="s">
        <v>724</v>
      </c>
      <c r="F152" t="s">
        <v>1056</v>
      </c>
      <c r="I152" t="s">
        <v>801</v>
      </c>
      <c r="J152" t="s">
        <v>802</v>
      </c>
      <c r="K152" t="s">
        <v>1235</v>
      </c>
      <c r="L152" t="s">
        <v>1247</v>
      </c>
    </row>
    <row r="153" spans="2:12" x14ac:dyDescent="0.2">
      <c r="B153" t="s">
        <v>949</v>
      </c>
      <c r="C153" t="s">
        <v>950</v>
      </c>
      <c r="D153" t="s">
        <v>1116</v>
      </c>
      <c r="E153" t="s">
        <v>724</v>
      </c>
      <c r="F153" t="s">
        <v>1056</v>
      </c>
      <c r="I153" t="s">
        <v>1936</v>
      </c>
      <c r="J153" t="s">
        <v>1937</v>
      </c>
      <c r="K153" t="s">
        <v>1235</v>
      </c>
      <c r="L153" t="s">
        <v>1247</v>
      </c>
    </row>
    <row r="154" spans="2:12" x14ac:dyDescent="0.2">
      <c r="B154" t="s">
        <v>951</v>
      </c>
      <c r="C154" t="s">
        <v>952</v>
      </c>
      <c r="D154" t="s">
        <v>1116</v>
      </c>
      <c r="E154" t="s">
        <v>724</v>
      </c>
      <c r="F154" t="s">
        <v>1056</v>
      </c>
      <c r="I154" t="s">
        <v>1938</v>
      </c>
      <c r="J154" t="s">
        <v>1939</v>
      </c>
      <c r="K154" t="s">
        <v>1235</v>
      </c>
      <c r="L154" t="s">
        <v>1247</v>
      </c>
    </row>
    <row r="155" spans="2:12" x14ac:dyDescent="0.2">
      <c r="B155" t="s">
        <v>953</v>
      </c>
      <c r="C155" t="s">
        <v>954</v>
      </c>
      <c r="D155" t="s">
        <v>1116</v>
      </c>
      <c r="E155" t="s">
        <v>724</v>
      </c>
      <c r="F155" t="s">
        <v>1056</v>
      </c>
      <c r="I155" t="s">
        <v>1313</v>
      </c>
      <c r="J155" t="s">
        <v>1314</v>
      </c>
      <c r="K155" t="s">
        <v>1235</v>
      </c>
      <c r="L155" t="s">
        <v>1240</v>
      </c>
    </row>
    <row r="156" spans="2:12" x14ac:dyDescent="0.2">
      <c r="B156" t="s">
        <v>955</v>
      </c>
      <c r="C156" t="s">
        <v>956</v>
      </c>
      <c r="D156" t="s">
        <v>1116</v>
      </c>
      <c r="E156" t="s">
        <v>724</v>
      </c>
      <c r="F156" t="s">
        <v>1056</v>
      </c>
      <c r="I156" t="s">
        <v>803</v>
      </c>
      <c r="J156" t="s">
        <v>804</v>
      </c>
      <c r="K156" t="s">
        <v>1235</v>
      </c>
      <c r="L156" t="s">
        <v>1247</v>
      </c>
    </row>
    <row r="157" spans="2:12" x14ac:dyDescent="0.2">
      <c r="B157" t="s">
        <v>957</v>
      </c>
      <c r="C157" t="s">
        <v>958</v>
      </c>
      <c r="D157" t="s">
        <v>1116</v>
      </c>
      <c r="E157" t="s">
        <v>724</v>
      </c>
      <c r="F157" t="s">
        <v>1056</v>
      </c>
      <c r="I157" t="s">
        <v>1315</v>
      </c>
      <c r="J157" t="s">
        <v>1281</v>
      </c>
      <c r="K157" t="s">
        <v>1235</v>
      </c>
      <c r="L157" t="s">
        <v>1240</v>
      </c>
    </row>
    <row r="158" spans="2:12" x14ac:dyDescent="0.2">
      <c r="B158" t="s">
        <v>959</v>
      </c>
      <c r="C158" t="s">
        <v>960</v>
      </c>
      <c r="D158" t="s">
        <v>1117</v>
      </c>
      <c r="E158" t="s">
        <v>724</v>
      </c>
      <c r="F158" t="s">
        <v>1056</v>
      </c>
      <c r="I158" t="s">
        <v>1940</v>
      </c>
      <c r="J158" t="s">
        <v>1281</v>
      </c>
      <c r="K158" t="s">
        <v>1235</v>
      </c>
      <c r="L158" t="s">
        <v>1247</v>
      </c>
    </row>
    <row r="159" spans="2:12" x14ac:dyDescent="0.2">
      <c r="B159" t="s">
        <v>961</v>
      </c>
      <c r="C159" t="s">
        <v>962</v>
      </c>
      <c r="D159" t="s">
        <v>1117</v>
      </c>
      <c r="E159" t="s">
        <v>724</v>
      </c>
      <c r="F159" t="s">
        <v>1056</v>
      </c>
      <c r="I159" t="s">
        <v>1941</v>
      </c>
      <c r="J159" t="s">
        <v>1942</v>
      </c>
      <c r="K159" t="s">
        <v>1235</v>
      </c>
      <c r="L159" t="s">
        <v>1247</v>
      </c>
    </row>
    <row r="160" spans="2:12" x14ac:dyDescent="0.2">
      <c r="B160" t="s">
        <v>963</v>
      </c>
      <c r="C160" t="s">
        <v>964</v>
      </c>
      <c r="D160" t="s">
        <v>1117</v>
      </c>
      <c r="E160" t="s">
        <v>724</v>
      </c>
      <c r="F160" t="s">
        <v>1056</v>
      </c>
      <c r="I160" t="s">
        <v>805</v>
      </c>
      <c r="J160" t="s">
        <v>768</v>
      </c>
      <c r="K160" t="s">
        <v>1235</v>
      </c>
      <c r="L160" t="s">
        <v>1247</v>
      </c>
    </row>
    <row r="161" spans="2:12" x14ac:dyDescent="0.2">
      <c r="B161" t="s">
        <v>965</v>
      </c>
      <c r="C161" t="s">
        <v>966</v>
      </c>
      <c r="D161" t="s">
        <v>1118</v>
      </c>
      <c r="E161" t="s">
        <v>724</v>
      </c>
      <c r="F161" t="s">
        <v>1056</v>
      </c>
      <c r="I161" t="s">
        <v>1316</v>
      </c>
      <c r="J161" t="s">
        <v>1277</v>
      </c>
      <c r="K161" t="s">
        <v>1235</v>
      </c>
      <c r="L161" t="s">
        <v>1240</v>
      </c>
    </row>
    <row r="162" spans="2:12" x14ac:dyDescent="0.2">
      <c r="B162" t="s">
        <v>967</v>
      </c>
      <c r="C162" t="s">
        <v>968</v>
      </c>
      <c r="D162" t="s">
        <v>1118</v>
      </c>
      <c r="E162" t="s">
        <v>724</v>
      </c>
      <c r="F162" t="s">
        <v>1056</v>
      </c>
      <c r="I162" t="s">
        <v>1317</v>
      </c>
      <c r="J162" t="s">
        <v>1277</v>
      </c>
      <c r="K162" t="s">
        <v>1235</v>
      </c>
      <c r="L162" t="s">
        <v>1240</v>
      </c>
    </row>
    <row r="163" spans="2:12" x14ac:dyDescent="0.2">
      <c r="B163" t="s">
        <v>969</v>
      </c>
      <c r="C163" t="s">
        <v>970</v>
      </c>
      <c r="D163" t="s">
        <v>1119</v>
      </c>
      <c r="E163" t="s">
        <v>724</v>
      </c>
      <c r="F163" t="s">
        <v>1056</v>
      </c>
      <c r="I163" t="s">
        <v>806</v>
      </c>
      <c r="J163" t="s">
        <v>760</v>
      </c>
      <c r="K163" t="s">
        <v>1235</v>
      </c>
      <c r="L163" t="s">
        <v>1247</v>
      </c>
    </row>
    <row r="164" spans="2:12" x14ac:dyDescent="0.2">
      <c r="B164" t="s">
        <v>971</v>
      </c>
      <c r="C164" t="s">
        <v>972</v>
      </c>
      <c r="D164" t="s">
        <v>1120</v>
      </c>
      <c r="E164" t="s">
        <v>724</v>
      </c>
      <c r="F164" t="s">
        <v>1056</v>
      </c>
      <c r="I164" t="s">
        <v>1519</v>
      </c>
      <c r="J164" t="s">
        <v>1520</v>
      </c>
      <c r="K164" t="s">
        <v>1235</v>
      </c>
      <c r="L164" t="s">
        <v>1247</v>
      </c>
    </row>
    <row r="165" spans="2:12" x14ac:dyDescent="0.2">
      <c r="B165" t="s">
        <v>973</v>
      </c>
      <c r="C165" t="s">
        <v>974</v>
      </c>
      <c r="D165" t="s">
        <v>1120</v>
      </c>
      <c r="E165" t="s">
        <v>724</v>
      </c>
      <c r="F165" t="s">
        <v>1056</v>
      </c>
      <c r="I165" t="s">
        <v>807</v>
      </c>
      <c r="J165" t="s">
        <v>808</v>
      </c>
      <c r="K165" t="s">
        <v>1235</v>
      </c>
      <c r="L165" t="s">
        <v>1247</v>
      </c>
    </row>
    <row r="166" spans="2:12" x14ac:dyDescent="0.2">
      <c r="B166" t="s">
        <v>975</v>
      </c>
      <c r="C166" t="s">
        <v>976</v>
      </c>
      <c r="D166" t="s">
        <v>1120</v>
      </c>
      <c r="E166" t="s">
        <v>724</v>
      </c>
      <c r="F166" t="s">
        <v>1056</v>
      </c>
      <c r="I166" t="s">
        <v>1318</v>
      </c>
      <c r="J166" t="s">
        <v>1279</v>
      </c>
      <c r="K166" t="s">
        <v>1235</v>
      </c>
      <c r="L166" t="s">
        <v>1240</v>
      </c>
    </row>
    <row r="167" spans="2:12" x14ac:dyDescent="0.2">
      <c r="B167" t="s">
        <v>977</v>
      </c>
      <c r="C167" t="s">
        <v>978</v>
      </c>
      <c r="D167" t="s">
        <v>1120</v>
      </c>
      <c r="E167" t="s">
        <v>724</v>
      </c>
      <c r="F167" t="s">
        <v>1056</v>
      </c>
      <c r="I167" t="s">
        <v>1319</v>
      </c>
      <c r="J167" t="s">
        <v>1320</v>
      </c>
      <c r="K167" t="s">
        <v>1235</v>
      </c>
      <c r="L167" t="s">
        <v>1240</v>
      </c>
    </row>
    <row r="168" spans="2:12" x14ac:dyDescent="0.2">
      <c r="B168" t="s">
        <v>979</v>
      </c>
      <c r="C168" t="s">
        <v>980</v>
      </c>
      <c r="D168" t="s">
        <v>1120</v>
      </c>
      <c r="E168" t="s">
        <v>724</v>
      </c>
      <c r="F168" t="s">
        <v>1056</v>
      </c>
      <c r="I168" t="s">
        <v>809</v>
      </c>
      <c r="J168" t="s">
        <v>810</v>
      </c>
      <c r="K168" t="s">
        <v>1235</v>
      </c>
      <c r="L168" t="s">
        <v>1247</v>
      </c>
    </row>
    <row r="169" spans="2:12" x14ac:dyDescent="0.2">
      <c r="B169" t="s">
        <v>981</v>
      </c>
      <c r="C169" t="s">
        <v>982</v>
      </c>
      <c r="D169" t="s">
        <v>1121</v>
      </c>
      <c r="E169" t="s">
        <v>724</v>
      </c>
      <c r="F169" t="s">
        <v>1056</v>
      </c>
      <c r="I169" t="s">
        <v>1943</v>
      </c>
      <c r="J169" t="s">
        <v>1944</v>
      </c>
      <c r="K169" t="s">
        <v>1235</v>
      </c>
      <c r="L169" t="s">
        <v>1247</v>
      </c>
    </row>
    <row r="170" spans="2:12" x14ac:dyDescent="0.2">
      <c r="B170" t="s">
        <v>983</v>
      </c>
      <c r="C170" t="s">
        <v>914</v>
      </c>
      <c r="D170" t="s">
        <v>1122</v>
      </c>
      <c r="E170" t="s">
        <v>724</v>
      </c>
      <c r="F170" t="s">
        <v>1057</v>
      </c>
      <c r="I170" t="s">
        <v>811</v>
      </c>
      <c r="J170" t="s">
        <v>812</v>
      </c>
      <c r="K170" t="s">
        <v>1235</v>
      </c>
      <c r="L170" t="s">
        <v>1247</v>
      </c>
    </row>
    <row r="171" spans="2:12" x14ac:dyDescent="0.2">
      <c r="B171" t="s">
        <v>984</v>
      </c>
      <c r="C171" t="s">
        <v>985</v>
      </c>
      <c r="D171" t="s">
        <v>1123</v>
      </c>
      <c r="E171" t="s">
        <v>724</v>
      </c>
      <c r="F171" t="s">
        <v>1057</v>
      </c>
      <c r="I171" t="s">
        <v>813</v>
      </c>
      <c r="J171" t="s">
        <v>814</v>
      </c>
      <c r="K171" t="s">
        <v>1235</v>
      </c>
      <c r="L171" t="s">
        <v>1247</v>
      </c>
    </row>
    <row r="172" spans="2:12" x14ac:dyDescent="0.2">
      <c r="B172" t="s">
        <v>986</v>
      </c>
      <c r="C172" t="s">
        <v>972</v>
      </c>
      <c r="D172" t="s">
        <v>1123</v>
      </c>
      <c r="E172" t="s">
        <v>724</v>
      </c>
      <c r="F172" t="s">
        <v>1057</v>
      </c>
      <c r="I172" t="s">
        <v>815</v>
      </c>
      <c r="J172" t="s">
        <v>816</v>
      </c>
      <c r="K172" t="s">
        <v>1235</v>
      </c>
      <c r="L172" t="s">
        <v>1247</v>
      </c>
    </row>
    <row r="173" spans="2:12" x14ac:dyDescent="0.2">
      <c r="B173" t="s">
        <v>987</v>
      </c>
      <c r="C173" t="s">
        <v>916</v>
      </c>
      <c r="D173" t="s">
        <v>1123</v>
      </c>
      <c r="E173" t="s">
        <v>724</v>
      </c>
      <c r="F173" t="s">
        <v>1057</v>
      </c>
      <c r="I173" t="s">
        <v>1945</v>
      </c>
      <c r="J173" t="s">
        <v>1946</v>
      </c>
      <c r="K173" t="s">
        <v>1235</v>
      </c>
      <c r="L173" t="s">
        <v>1247</v>
      </c>
    </row>
    <row r="174" spans="2:12" x14ac:dyDescent="0.2">
      <c r="B174" t="s">
        <v>988</v>
      </c>
      <c r="C174" t="s">
        <v>860</v>
      </c>
      <c r="D174" t="s">
        <v>1123</v>
      </c>
      <c r="E174" t="s">
        <v>724</v>
      </c>
      <c r="F174" t="s">
        <v>1057</v>
      </c>
      <c r="I174" t="s">
        <v>817</v>
      </c>
      <c r="J174" t="s">
        <v>818</v>
      </c>
      <c r="K174" t="s">
        <v>1235</v>
      </c>
      <c r="L174" t="s">
        <v>1247</v>
      </c>
    </row>
    <row r="175" spans="2:12" x14ac:dyDescent="0.2">
      <c r="B175" t="s">
        <v>989</v>
      </c>
      <c r="C175" t="s">
        <v>862</v>
      </c>
      <c r="D175" t="s">
        <v>1123</v>
      </c>
      <c r="E175" t="s">
        <v>724</v>
      </c>
      <c r="F175" t="s">
        <v>1057</v>
      </c>
      <c r="I175" t="s">
        <v>819</v>
      </c>
      <c r="J175" t="s">
        <v>820</v>
      </c>
      <c r="K175" t="s">
        <v>1235</v>
      </c>
      <c r="L175" t="s">
        <v>1247</v>
      </c>
    </row>
    <row r="176" spans="2:12" x14ac:dyDescent="0.2">
      <c r="B176" t="s">
        <v>990</v>
      </c>
      <c r="C176" t="s">
        <v>920</v>
      </c>
      <c r="D176" t="s">
        <v>1123</v>
      </c>
      <c r="E176" t="s">
        <v>724</v>
      </c>
      <c r="F176" t="s">
        <v>1057</v>
      </c>
      <c r="I176" t="s">
        <v>1947</v>
      </c>
      <c r="J176" t="s">
        <v>1948</v>
      </c>
      <c r="K176" t="s">
        <v>1235</v>
      </c>
      <c r="L176" t="s">
        <v>1247</v>
      </c>
    </row>
    <row r="177" spans="2:12" x14ac:dyDescent="0.2">
      <c r="B177" t="s">
        <v>991</v>
      </c>
      <c r="C177" t="s">
        <v>864</v>
      </c>
      <c r="D177" t="s">
        <v>1123</v>
      </c>
      <c r="E177" t="s">
        <v>724</v>
      </c>
      <c r="F177" t="s">
        <v>1057</v>
      </c>
      <c r="I177" t="s">
        <v>1321</v>
      </c>
      <c r="J177" t="s">
        <v>1322</v>
      </c>
      <c r="K177" t="s">
        <v>1235</v>
      </c>
      <c r="L177" t="s">
        <v>1240</v>
      </c>
    </row>
    <row r="178" spans="2:12" x14ac:dyDescent="0.2">
      <c r="B178" t="s">
        <v>992</v>
      </c>
      <c r="C178" t="s">
        <v>993</v>
      </c>
      <c r="D178" t="s">
        <v>1123</v>
      </c>
      <c r="E178" t="s">
        <v>724</v>
      </c>
      <c r="F178" t="s">
        <v>1057</v>
      </c>
      <c r="I178" t="s">
        <v>1323</v>
      </c>
      <c r="J178" t="s">
        <v>822</v>
      </c>
      <c r="K178" t="s">
        <v>1235</v>
      </c>
      <c r="L178" t="s">
        <v>1240</v>
      </c>
    </row>
    <row r="179" spans="2:12" x14ac:dyDescent="0.2">
      <c r="B179" t="s">
        <v>994</v>
      </c>
      <c r="C179" t="s">
        <v>923</v>
      </c>
      <c r="D179" t="s">
        <v>1123</v>
      </c>
      <c r="E179" t="s">
        <v>724</v>
      </c>
      <c r="F179" t="s">
        <v>1057</v>
      </c>
      <c r="I179" t="s">
        <v>821</v>
      </c>
      <c r="J179" t="s">
        <v>822</v>
      </c>
      <c r="K179" t="s">
        <v>1235</v>
      </c>
      <c r="L179" t="s">
        <v>1247</v>
      </c>
    </row>
    <row r="180" spans="2:12" x14ac:dyDescent="0.2">
      <c r="B180" t="s">
        <v>995</v>
      </c>
      <c r="C180" t="s">
        <v>925</v>
      </c>
      <c r="D180" t="s">
        <v>1124</v>
      </c>
      <c r="E180" t="s">
        <v>725</v>
      </c>
      <c r="F180" t="s">
        <v>1057</v>
      </c>
      <c r="I180" t="s">
        <v>1324</v>
      </c>
      <c r="J180" t="s">
        <v>1325</v>
      </c>
      <c r="K180" t="s">
        <v>1235</v>
      </c>
      <c r="L180" t="s">
        <v>1240</v>
      </c>
    </row>
    <row r="181" spans="2:12" x14ac:dyDescent="0.2">
      <c r="B181" t="s">
        <v>996</v>
      </c>
      <c r="C181" t="s">
        <v>997</v>
      </c>
      <c r="D181" t="s">
        <v>1123</v>
      </c>
      <c r="E181" t="s">
        <v>724</v>
      </c>
      <c r="F181" t="s">
        <v>1057</v>
      </c>
      <c r="I181" t="s">
        <v>823</v>
      </c>
      <c r="J181" t="s">
        <v>824</v>
      </c>
      <c r="K181" t="s">
        <v>1235</v>
      </c>
      <c r="L181" t="s">
        <v>1247</v>
      </c>
    </row>
    <row r="182" spans="2:12" x14ac:dyDescent="0.2">
      <c r="B182" t="s">
        <v>998</v>
      </c>
      <c r="C182" t="s">
        <v>927</v>
      </c>
      <c r="D182" t="s">
        <v>1123</v>
      </c>
      <c r="E182" t="s">
        <v>724</v>
      </c>
      <c r="F182" t="s">
        <v>1057</v>
      </c>
      <c r="I182" t="s">
        <v>1326</v>
      </c>
      <c r="J182" t="s">
        <v>1327</v>
      </c>
      <c r="K182" t="s">
        <v>1235</v>
      </c>
      <c r="L182" t="s">
        <v>1240</v>
      </c>
    </row>
    <row r="183" spans="2:12" x14ac:dyDescent="0.2">
      <c r="B183" t="s">
        <v>999</v>
      </c>
      <c r="C183" t="s">
        <v>822</v>
      </c>
      <c r="D183" t="s">
        <v>1123</v>
      </c>
      <c r="E183" t="s">
        <v>724</v>
      </c>
      <c r="F183" t="s">
        <v>1057</v>
      </c>
      <c r="I183" t="s">
        <v>825</v>
      </c>
      <c r="J183" t="s">
        <v>826</v>
      </c>
      <c r="K183" t="s">
        <v>1235</v>
      </c>
      <c r="L183" t="s">
        <v>1247</v>
      </c>
    </row>
    <row r="184" spans="2:12" x14ac:dyDescent="0.2">
      <c r="B184" t="s">
        <v>1000</v>
      </c>
      <c r="C184" t="s">
        <v>930</v>
      </c>
      <c r="D184" t="s">
        <v>1123</v>
      </c>
      <c r="E184" t="s">
        <v>724</v>
      </c>
      <c r="F184" t="s">
        <v>1057</v>
      </c>
      <c r="I184" t="s">
        <v>827</v>
      </c>
      <c r="J184" t="s">
        <v>828</v>
      </c>
      <c r="K184" t="s">
        <v>1235</v>
      </c>
      <c r="L184" t="s">
        <v>1247</v>
      </c>
    </row>
    <row r="185" spans="2:12" x14ac:dyDescent="0.2">
      <c r="B185" t="s">
        <v>1001</v>
      </c>
      <c r="C185" t="s">
        <v>932</v>
      </c>
      <c r="D185" t="s">
        <v>1123</v>
      </c>
      <c r="E185" t="s">
        <v>724</v>
      </c>
      <c r="F185" t="s">
        <v>1057</v>
      </c>
      <c r="I185" t="s">
        <v>829</v>
      </c>
      <c r="J185" t="s">
        <v>830</v>
      </c>
      <c r="K185" t="s">
        <v>1235</v>
      </c>
      <c r="L185" t="s">
        <v>1247</v>
      </c>
    </row>
    <row r="186" spans="2:12" x14ac:dyDescent="0.2">
      <c r="B186" t="s">
        <v>1002</v>
      </c>
      <c r="C186" t="s">
        <v>934</v>
      </c>
      <c r="D186" t="s">
        <v>1123</v>
      </c>
      <c r="E186" t="s">
        <v>724</v>
      </c>
      <c r="F186" t="s">
        <v>1057</v>
      </c>
      <c r="I186" t="s">
        <v>1328</v>
      </c>
      <c r="J186" t="s">
        <v>1329</v>
      </c>
      <c r="K186" t="s">
        <v>1235</v>
      </c>
      <c r="L186" t="s">
        <v>1240</v>
      </c>
    </row>
    <row r="187" spans="2:12" x14ac:dyDescent="0.2">
      <c r="B187" t="s">
        <v>1003</v>
      </c>
      <c r="C187" t="s">
        <v>936</v>
      </c>
      <c r="D187" t="s">
        <v>1123</v>
      </c>
      <c r="E187" t="s">
        <v>724</v>
      </c>
      <c r="F187" t="s">
        <v>1057</v>
      </c>
      <c r="I187" t="s">
        <v>1330</v>
      </c>
      <c r="J187" t="s">
        <v>1331</v>
      </c>
      <c r="K187" t="s">
        <v>1235</v>
      </c>
      <c r="L187" t="s">
        <v>1240</v>
      </c>
    </row>
    <row r="188" spans="2:12" x14ac:dyDescent="0.2">
      <c r="B188" t="s">
        <v>1004</v>
      </c>
      <c r="C188" t="s">
        <v>948</v>
      </c>
      <c r="D188" t="s">
        <v>1125</v>
      </c>
      <c r="E188" t="s">
        <v>724</v>
      </c>
      <c r="F188" t="s">
        <v>1057</v>
      </c>
      <c r="I188" t="s">
        <v>831</v>
      </c>
      <c r="J188" t="s">
        <v>832</v>
      </c>
      <c r="K188" t="s">
        <v>1235</v>
      </c>
      <c r="L188" t="s">
        <v>1247</v>
      </c>
    </row>
    <row r="189" spans="2:12" x14ac:dyDescent="0.2">
      <c r="B189" t="s">
        <v>1005</v>
      </c>
      <c r="C189" t="s">
        <v>1006</v>
      </c>
      <c r="D189" t="s">
        <v>1125</v>
      </c>
      <c r="E189" t="s">
        <v>724</v>
      </c>
      <c r="F189" t="s">
        <v>1057</v>
      </c>
      <c r="I189" t="s">
        <v>1949</v>
      </c>
      <c r="J189" t="s">
        <v>1950</v>
      </c>
      <c r="K189" t="s">
        <v>1235</v>
      </c>
      <c r="L189" t="s">
        <v>1240</v>
      </c>
    </row>
    <row r="190" spans="2:12" x14ac:dyDescent="0.2">
      <c r="B190" t="s">
        <v>1007</v>
      </c>
      <c r="C190" t="s">
        <v>952</v>
      </c>
      <c r="D190" t="s">
        <v>1126</v>
      </c>
      <c r="E190" t="s">
        <v>724</v>
      </c>
      <c r="F190" t="s">
        <v>1057</v>
      </c>
      <c r="I190" t="s">
        <v>1951</v>
      </c>
      <c r="J190" t="s">
        <v>1950</v>
      </c>
      <c r="K190" t="s">
        <v>1235</v>
      </c>
      <c r="L190" t="s">
        <v>1247</v>
      </c>
    </row>
    <row r="191" spans="2:12" x14ac:dyDescent="0.2">
      <c r="B191" t="s">
        <v>1008</v>
      </c>
      <c r="C191" t="s">
        <v>954</v>
      </c>
      <c r="D191" t="s">
        <v>1126</v>
      </c>
      <c r="E191" t="s">
        <v>724</v>
      </c>
      <c r="F191" t="s">
        <v>1057</v>
      </c>
      <c r="I191" t="s">
        <v>1952</v>
      </c>
      <c r="J191" t="s">
        <v>790</v>
      </c>
      <c r="K191" t="s">
        <v>1235</v>
      </c>
      <c r="L191" t="s">
        <v>1240</v>
      </c>
    </row>
    <row r="192" spans="2:12" x14ac:dyDescent="0.2">
      <c r="B192" t="s">
        <v>1009</v>
      </c>
      <c r="C192" t="s">
        <v>1010</v>
      </c>
      <c r="D192" t="s">
        <v>1126</v>
      </c>
      <c r="E192" t="s">
        <v>724</v>
      </c>
      <c r="F192" t="s">
        <v>1057</v>
      </c>
      <c r="I192" t="s">
        <v>1953</v>
      </c>
      <c r="J192" t="s">
        <v>790</v>
      </c>
      <c r="K192" t="s">
        <v>1235</v>
      </c>
      <c r="L192" t="s">
        <v>1247</v>
      </c>
    </row>
    <row r="193" spans="2:12" x14ac:dyDescent="0.2">
      <c r="B193" t="s">
        <v>1011</v>
      </c>
      <c r="C193" t="s">
        <v>1012</v>
      </c>
      <c r="D193" t="s">
        <v>1126</v>
      </c>
      <c r="E193" t="s">
        <v>724</v>
      </c>
      <c r="F193" t="s">
        <v>1057</v>
      </c>
      <c r="I193" t="s">
        <v>1332</v>
      </c>
      <c r="J193" t="s">
        <v>1333</v>
      </c>
      <c r="K193" t="s">
        <v>1235</v>
      </c>
      <c r="L193" t="s">
        <v>1240</v>
      </c>
    </row>
    <row r="194" spans="2:12" x14ac:dyDescent="0.2">
      <c r="B194" t="s">
        <v>1013</v>
      </c>
      <c r="C194" t="s">
        <v>1014</v>
      </c>
      <c r="D194" t="s">
        <v>1126</v>
      </c>
      <c r="E194" t="s">
        <v>724</v>
      </c>
      <c r="F194" t="s">
        <v>1057</v>
      </c>
      <c r="I194" t="s">
        <v>1334</v>
      </c>
      <c r="J194" t="s">
        <v>1335</v>
      </c>
      <c r="K194" t="s">
        <v>1235</v>
      </c>
      <c r="L194" t="s">
        <v>1240</v>
      </c>
    </row>
    <row r="195" spans="2:12" x14ac:dyDescent="0.2">
      <c r="B195" t="s">
        <v>1015</v>
      </c>
      <c r="C195" t="s">
        <v>1016</v>
      </c>
      <c r="D195" t="s">
        <v>1126</v>
      </c>
      <c r="E195" t="s">
        <v>724</v>
      </c>
      <c r="F195" t="s">
        <v>1057</v>
      </c>
      <c r="I195" t="s">
        <v>1336</v>
      </c>
      <c r="J195" t="s">
        <v>834</v>
      </c>
      <c r="K195" t="s">
        <v>1235</v>
      </c>
      <c r="L195" t="s">
        <v>1240</v>
      </c>
    </row>
    <row r="196" spans="2:12" x14ac:dyDescent="0.2">
      <c r="B196" t="s">
        <v>1017</v>
      </c>
      <c r="C196" t="s">
        <v>1018</v>
      </c>
      <c r="D196" t="s">
        <v>1126</v>
      </c>
      <c r="E196" t="s">
        <v>724</v>
      </c>
      <c r="F196" t="s">
        <v>1057</v>
      </c>
      <c r="I196" t="s">
        <v>833</v>
      </c>
      <c r="J196" t="s">
        <v>834</v>
      </c>
      <c r="K196" t="s">
        <v>1235</v>
      </c>
      <c r="L196" t="s">
        <v>1247</v>
      </c>
    </row>
    <row r="197" spans="2:12" x14ac:dyDescent="0.2">
      <c r="B197" t="s">
        <v>1019</v>
      </c>
      <c r="C197" t="s">
        <v>972</v>
      </c>
      <c r="D197" t="s">
        <v>1127</v>
      </c>
      <c r="E197" t="s">
        <v>725</v>
      </c>
      <c r="F197" t="s">
        <v>1057</v>
      </c>
      <c r="I197" t="s">
        <v>1337</v>
      </c>
      <c r="J197" t="s">
        <v>1338</v>
      </c>
      <c r="K197" t="s">
        <v>1235</v>
      </c>
      <c r="L197" t="s">
        <v>1240</v>
      </c>
    </row>
    <row r="198" spans="2:12" x14ac:dyDescent="0.2">
      <c r="B198" t="s">
        <v>1020</v>
      </c>
      <c r="C198" t="s">
        <v>1021</v>
      </c>
      <c r="D198" t="s">
        <v>1127</v>
      </c>
      <c r="E198" t="s">
        <v>725</v>
      </c>
      <c r="F198" t="s">
        <v>1057</v>
      </c>
      <c r="I198" t="s">
        <v>1339</v>
      </c>
      <c r="J198" t="s">
        <v>836</v>
      </c>
      <c r="K198" t="s">
        <v>1235</v>
      </c>
      <c r="L198" t="s">
        <v>1240</v>
      </c>
    </row>
    <row r="199" spans="2:12" x14ac:dyDescent="0.2">
      <c r="B199" t="s">
        <v>1022</v>
      </c>
      <c r="C199" t="s">
        <v>1023</v>
      </c>
      <c r="D199" t="s">
        <v>1127</v>
      </c>
      <c r="E199" t="s">
        <v>725</v>
      </c>
      <c r="F199" t="s">
        <v>1057</v>
      </c>
      <c r="I199" t="s">
        <v>835</v>
      </c>
      <c r="J199" t="s">
        <v>836</v>
      </c>
      <c r="K199" t="s">
        <v>1235</v>
      </c>
      <c r="L199" t="s">
        <v>1247</v>
      </c>
    </row>
    <row r="200" spans="2:12" x14ac:dyDescent="0.2">
      <c r="B200" t="s">
        <v>1024</v>
      </c>
      <c r="C200" t="s">
        <v>1025</v>
      </c>
      <c r="D200" t="s">
        <v>1128</v>
      </c>
      <c r="E200" t="s">
        <v>724</v>
      </c>
      <c r="F200" t="s">
        <v>1058</v>
      </c>
      <c r="I200" t="s">
        <v>1340</v>
      </c>
      <c r="J200" t="s">
        <v>1341</v>
      </c>
      <c r="K200" t="s">
        <v>1235</v>
      </c>
      <c r="L200" t="s">
        <v>1240</v>
      </c>
    </row>
    <row r="201" spans="2:12" x14ac:dyDescent="0.2">
      <c r="B201" t="s">
        <v>1026</v>
      </c>
      <c r="C201" t="s">
        <v>972</v>
      </c>
      <c r="D201" t="s">
        <v>1128</v>
      </c>
      <c r="E201" t="s">
        <v>724</v>
      </c>
      <c r="F201" t="s">
        <v>1058</v>
      </c>
      <c r="I201" t="s">
        <v>837</v>
      </c>
      <c r="J201" t="s">
        <v>838</v>
      </c>
      <c r="K201" t="s">
        <v>1235</v>
      </c>
      <c r="L201" t="s">
        <v>1247</v>
      </c>
    </row>
    <row r="202" spans="2:12" x14ac:dyDescent="0.2">
      <c r="B202" t="s">
        <v>1027</v>
      </c>
      <c r="C202" t="s">
        <v>1028</v>
      </c>
      <c r="D202" t="s">
        <v>1128</v>
      </c>
      <c r="E202" t="s">
        <v>724</v>
      </c>
      <c r="F202" t="s">
        <v>1058</v>
      </c>
      <c r="I202" t="s">
        <v>839</v>
      </c>
      <c r="J202" t="s">
        <v>840</v>
      </c>
      <c r="K202" t="s">
        <v>1235</v>
      </c>
      <c r="L202" t="s">
        <v>1247</v>
      </c>
    </row>
    <row r="203" spans="2:12" x14ac:dyDescent="0.2">
      <c r="B203" t="s">
        <v>1029</v>
      </c>
      <c r="C203" t="s">
        <v>1030</v>
      </c>
      <c r="D203" t="s">
        <v>1129</v>
      </c>
      <c r="E203" t="s">
        <v>725</v>
      </c>
      <c r="F203" t="s">
        <v>1058</v>
      </c>
      <c r="I203" t="s">
        <v>1954</v>
      </c>
      <c r="J203" t="s">
        <v>1955</v>
      </c>
      <c r="K203" t="s">
        <v>1235</v>
      </c>
      <c r="L203" t="s">
        <v>1247</v>
      </c>
    </row>
    <row r="204" spans="2:12" x14ac:dyDescent="0.2">
      <c r="B204" t="s">
        <v>1031</v>
      </c>
      <c r="C204" t="s">
        <v>1032</v>
      </c>
      <c r="D204" t="s">
        <v>1128</v>
      </c>
      <c r="E204" t="s">
        <v>724</v>
      </c>
      <c r="F204" t="s">
        <v>1058</v>
      </c>
      <c r="I204" t="s">
        <v>1342</v>
      </c>
      <c r="J204" t="s">
        <v>842</v>
      </c>
      <c r="K204" t="s">
        <v>1235</v>
      </c>
      <c r="L204" t="s">
        <v>1240</v>
      </c>
    </row>
    <row r="205" spans="2:12" x14ac:dyDescent="0.2">
      <c r="B205" t="s">
        <v>1033</v>
      </c>
      <c r="C205" t="s">
        <v>1034</v>
      </c>
      <c r="D205" t="s">
        <v>1130</v>
      </c>
      <c r="E205" t="s">
        <v>724</v>
      </c>
      <c r="F205" t="s">
        <v>1058</v>
      </c>
      <c r="I205" t="s">
        <v>841</v>
      </c>
      <c r="J205" t="s">
        <v>842</v>
      </c>
      <c r="K205" t="s">
        <v>1235</v>
      </c>
      <c r="L205" t="s">
        <v>1247</v>
      </c>
    </row>
    <row r="206" spans="2:12" x14ac:dyDescent="0.2">
      <c r="B206" t="s">
        <v>1035</v>
      </c>
      <c r="C206" t="s">
        <v>1036</v>
      </c>
      <c r="D206" t="s">
        <v>1130</v>
      </c>
      <c r="E206" t="s">
        <v>724</v>
      </c>
      <c r="F206" t="s">
        <v>1058</v>
      </c>
      <c r="I206" t="s">
        <v>1343</v>
      </c>
      <c r="J206" t="s">
        <v>844</v>
      </c>
      <c r="K206" t="s">
        <v>1235</v>
      </c>
      <c r="L206" t="s">
        <v>1240</v>
      </c>
    </row>
    <row r="207" spans="2:12" x14ac:dyDescent="0.2">
      <c r="B207" t="s">
        <v>1037</v>
      </c>
      <c r="C207" t="s">
        <v>912</v>
      </c>
      <c r="D207" t="s">
        <v>1131</v>
      </c>
      <c r="E207" t="s">
        <v>724</v>
      </c>
      <c r="F207" t="s">
        <v>1058</v>
      </c>
      <c r="I207" t="s">
        <v>843</v>
      </c>
      <c r="J207" t="s">
        <v>844</v>
      </c>
      <c r="K207" t="s">
        <v>1235</v>
      </c>
      <c r="L207" t="s">
        <v>1247</v>
      </c>
    </row>
    <row r="208" spans="2:12" x14ac:dyDescent="0.2">
      <c r="B208" t="s">
        <v>1038</v>
      </c>
      <c r="C208" t="s">
        <v>1039</v>
      </c>
      <c r="D208" t="s">
        <v>1132</v>
      </c>
      <c r="E208" t="s">
        <v>724</v>
      </c>
      <c r="F208" t="s">
        <v>1137</v>
      </c>
      <c r="I208" t="s">
        <v>1521</v>
      </c>
      <c r="J208" t="s">
        <v>1522</v>
      </c>
      <c r="K208" t="s">
        <v>1235</v>
      </c>
      <c r="L208" t="s">
        <v>1247</v>
      </c>
    </row>
    <row r="209" spans="2:12" x14ac:dyDescent="0.2">
      <c r="B209" t="s">
        <v>1040</v>
      </c>
      <c r="C209" t="s">
        <v>890</v>
      </c>
      <c r="D209" t="s">
        <v>1133</v>
      </c>
      <c r="E209" t="s">
        <v>725</v>
      </c>
      <c r="F209" t="s">
        <v>1059</v>
      </c>
      <c r="I209" t="s">
        <v>1344</v>
      </c>
      <c r="J209" t="s">
        <v>1345</v>
      </c>
      <c r="K209" t="s">
        <v>1235</v>
      </c>
      <c r="L209" t="s">
        <v>1240</v>
      </c>
    </row>
    <row r="210" spans="2:12" x14ac:dyDescent="0.2">
      <c r="B210" t="s">
        <v>1041</v>
      </c>
      <c r="C210" t="s">
        <v>890</v>
      </c>
      <c r="D210" t="s">
        <v>1133</v>
      </c>
      <c r="E210" t="s">
        <v>725</v>
      </c>
      <c r="F210" t="s">
        <v>1059</v>
      </c>
      <c r="I210" t="s">
        <v>845</v>
      </c>
      <c r="J210" t="s">
        <v>846</v>
      </c>
      <c r="K210" t="s">
        <v>1235</v>
      </c>
      <c r="L210" t="s">
        <v>1247</v>
      </c>
    </row>
    <row r="211" spans="2:12" x14ac:dyDescent="0.2">
      <c r="B211" t="s">
        <v>1042</v>
      </c>
      <c r="C211" t="s">
        <v>774</v>
      </c>
      <c r="D211" t="s">
        <v>1134</v>
      </c>
      <c r="E211" t="s">
        <v>725</v>
      </c>
      <c r="F211" t="s">
        <v>1059</v>
      </c>
      <c r="I211" t="s">
        <v>1956</v>
      </c>
      <c r="J211" t="s">
        <v>1957</v>
      </c>
      <c r="K211" t="s">
        <v>1235</v>
      </c>
      <c r="L211" t="s">
        <v>1240</v>
      </c>
    </row>
    <row r="212" spans="2:12" x14ac:dyDescent="0.2">
      <c r="B212" t="s">
        <v>1043</v>
      </c>
      <c r="C212" t="s">
        <v>906</v>
      </c>
      <c r="D212" t="s">
        <v>1135</v>
      </c>
      <c r="E212" t="s">
        <v>725</v>
      </c>
      <c r="F212" t="s">
        <v>1059</v>
      </c>
      <c r="I212" t="s">
        <v>1958</v>
      </c>
      <c r="J212" t="s">
        <v>1957</v>
      </c>
      <c r="K212" t="s">
        <v>1235</v>
      </c>
      <c r="L212" t="s">
        <v>1247</v>
      </c>
    </row>
    <row r="213" spans="2:12" x14ac:dyDescent="0.2">
      <c r="B213" t="s">
        <v>1044</v>
      </c>
      <c r="C213" t="s">
        <v>1045</v>
      </c>
      <c r="D213" t="s">
        <v>1133</v>
      </c>
      <c r="E213" t="s">
        <v>725</v>
      </c>
      <c r="F213" t="s">
        <v>1059</v>
      </c>
      <c r="I213" t="s">
        <v>1346</v>
      </c>
      <c r="J213" t="s">
        <v>848</v>
      </c>
      <c r="K213" t="s">
        <v>1235</v>
      </c>
      <c r="L213" t="s">
        <v>1240</v>
      </c>
    </row>
    <row r="214" spans="2:12" x14ac:dyDescent="0.2">
      <c r="I214" t="s">
        <v>847</v>
      </c>
      <c r="J214" t="s">
        <v>848</v>
      </c>
      <c r="K214" t="s">
        <v>1235</v>
      </c>
      <c r="L214" t="s">
        <v>1247</v>
      </c>
    </row>
    <row r="215" spans="2:12" x14ac:dyDescent="0.2">
      <c r="I215" t="s">
        <v>1347</v>
      </c>
      <c r="J215" t="s">
        <v>1348</v>
      </c>
      <c r="K215" t="s">
        <v>1235</v>
      </c>
      <c r="L215" t="s">
        <v>1240</v>
      </c>
    </row>
    <row r="216" spans="2:12" x14ac:dyDescent="0.2">
      <c r="I216" t="s">
        <v>849</v>
      </c>
      <c r="J216" t="s">
        <v>850</v>
      </c>
      <c r="K216" t="s">
        <v>1235</v>
      </c>
      <c r="L216" t="s">
        <v>1247</v>
      </c>
    </row>
    <row r="217" spans="2:12" x14ac:dyDescent="0.2">
      <c r="I217" t="s">
        <v>1959</v>
      </c>
      <c r="J217" t="s">
        <v>1960</v>
      </c>
      <c r="K217" t="s">
        <v>1235</v>
      </c>
      <c r="L217" t="s">
        <v>1247</v>
      </c>
    </row>
    <row r="218" spans="2:12" x14ac:dyDescent="0.2">
      <c r="I218" t="s">
        <v>1961</v>
      </c>
      <c r="J218" t="s">
        <v>1962</v>
      </c>
      <c r="K218" t="s">
        <v>1235</v>
      </c>
      <c r="L218" t="s">
        <v>1247</v>
      </c>
    </row>
    <row r="219" spans="2:12" x14ac:dyDescent="0.2">
      <c r="I219" t="s">
        <v>851</v>
      </c>
      <c r="J219" t="s">
        <v>852</v>
      </c>
      <c r="K219" t="s">
        <v>1235</v>
      </c>
      <c r="L219" t="s">
        <v>1247</v>
      </c>
    </row>
    <row r="220" spans="2:12" x14ac:dyDescent="0.2">
      <c r="I220" t="s">
        <v>1349</v>
      </c>
      <c r="J220" t="s">
        <v>854</v>
      </c>
      <c r="K220" t="s">
        <v>1235</v>
      </c>
      <c r="L220" t="s">
        <v>1240</v>
      </c>
    </row>
    <row r="221" spans="2:12" x14ac:dyDescent="0.2">
      <c r="I221" t="s">
        <v>853</v>
      </c>
      <c r="J221" t="s">
        <v>854</v>
      </c>
      <c r="K221" t="s">
        <v>1235</v>
      </c>
      <c r="L221" t="s">
        <v>1247</v>
      </c>
    </row>
    <row r="222" spans="2:12" x14ac:dyDescent="0.2">
      <c r="I222" t="s">
        <v>1350</v>
      </c>
      <c r="J222" t="s">
        <v>790</v>
      </c>
      <c r="K222" t="s">
        <v>1235</v>
      </c>
      <c r="L222" t="s">
        <v>1240</v>
      </c>
    </row>
    <row r="223" spans="2:12" x14ac:dyDescent="0.2">
      <c r="I223" t="s">
        <v>1351</v>
      </c>
      <c r="J223" t="s">
        <v>1352</v>
      </c>
      <c r="K223" t="s">
        <v>1235</v>
      </c>
      <c r="L223" t="s">
        <v>1240</v>
      </c>
    </row>
    <row r="224" spans="2:12" x14ac:dyDescent="0.2">
      <c r="I224" t="s">
        <v>855</v>
      </c>
      <c r="J224" t="s">
        <v>856</v>
      </c>
      <c r="K224" t="s">
        <v>1235</v>
      </c>
      <c r="L224" t="s">
        <v>1247</v>
      </c>
    </row>
    <row r="225" spans="9:12" x14ac:dyDescent="0.2">
      <c r="I225" t="s">
        <v>1963</v>
      </c>
      <c r="J225" t="s">
        <v>1964</v>
      </c>
      <c r="K225" t="s">
        <v>1235</v>
      </c>
      <c r="L225" t="s">
        <v>1247</v>
      </c>
    </row>
    <row r="226" spans="9:12" x14ac:dyDescent="0.2">
      <c r="I226" t="s">
        <v>1965</v>
      </c>
      <c r="J226" t="s">
        <v>1966</v>
      </c>
      <c r="K226" t="s">
        <v>1235</v>
      </c>
      <c r="L226" t="s">
        <v>1247</v>
      </c>
    </row>
    <row r="227" spans="9:12" x14ac:dyDescent="0.2">
      <c r="I227" t="s">
        <v>1353</v>
      </c>
      <c r="J227" t="s">
        <v>1354</v>
      </c>
      <c r="K227" t="s">
        <v>1235</v>
      </c>
      <c r="L227" t="s">
        <v>1240</v>
      </c>
    </row>
    <row r="228" spans="9:12" x14ac:dyDescent="0.2">
      <c r="I228" t="s">
        <v>1355</v>
      </c>
      <c r="J228" t="s">
        <v>858</v>
      </c>
      <c r="K228" t="s">
        <v>1235</v>
      </c>
      <c r="L228" t="s">
        <v>1240</v>
      </c>
    </row>
    <row r="229" spans="9:12" x14ac:dyDescent="0.2">
      <c r="I229" t="s">
        <v>1356</v>
      </c>
      <c r="J229" t="s">
        <v>858</v>
      </c>
      <c r="K229" t="s">
        <v>1235</v>
      </c>
      <c r="L229" t="s">
        <v>1240</v>
      </c>
    </row>
    <row r="230" spans="9:12" x14ac:dyDescent="0.2">
      <c r="I230" t="s">
        <v>857</v>
      </c>
      <c r="J230" t="s">
        <v>858</v>
      </c>
      <c r="K230" t="s">
        <v>1235</v>
      </c>
      <c r="L230" t="s">
        <v>1247</v>
      </c>
    </row>
    <row r="231" spans="9:12" x14ac:dyDescent="0.2">
      <c r="I231" t="s">
        <v>1357</v>
      </c>
      <c r="J231" t="s">
        <v>1358</v>
      </c>
      <c r="K231" t="s">
        <v>1235</v>
      </c>
      <c r="L231" t="s">
        <v>1240</v>
      </c>
    </row>
    <row r="232" spans="9:12" x14ac:dyDescent="0.2">
      <c r="I232" t="s">
        <v>1359</v>
      </c>
      <c r="J232" t="s">
        <v>1358</v>
      </c>
      <c r="K232" t="s">
        <v>1235</v>
      </c>
      <c r="L232" t="s">
        <v>1240</v>
      </c>
    </row>
    <row r="233" spans="9:12" x14ac:dyDescent="0.2">
      <c r="I233" t="s">
        <v>1360</v>
      </c>
      <c r="J233" t="s">
        <v>860</v>
      </c>
      <c r="K233" t="s">
        <v>1235</v>
      </c>
      <c r="L233" t="s">
        <v>1240</v>
      </c>
    </row>
    <row r="234" spans="9:12" x14ac:dyDescent="0.2">
      <c r="I234" t="s">
        <v>859</v>
      </c>
      <c r="J234" t="s">
        <v>860</v>
      </c>
      <c r="K234" t="s">
        <v>1235</v>
      </c>
      <c r="L234" t="s">
        <v>1247</v>
      </c>
    </row>
    <row r="235" spans="9:12" x14ac:dyDescent="0.2">
      <c r="I235" t="s">
        <v>1362</v>
      </c>
      <c r="J235" t="s">
        <v>862</v>
      </c>
      <c r="K235" t="s">
        <v>1235</v>
      </c>
      <c r="L235" t="s">
        <v>1240</v>
      </c>
    </row>
    <row r="236" spans="9:12" x14ac:dyDescent="0.2">
      <c r="I236" t="s">
        <v>861</v>
      </c>
      <c r="J236" t="s">
        <v>862</v>
      </c>
      <c r="K236" t="s">
        <v>1235</v>
      </c>
      <c r="L236" t="s">
        <v>1247</v>
      </c>
    </row>
    <row r="237" spans="9:12" x14ac:dyDescent="0.2">
      <c r="I237" t="s">
        <v>1363</v>
      </c>
      <c r="J237" t="s">
        <v>864</v>
      </c>
      <c r="K237" t="s">
        <v>1235</v>
      </c>
      <c r="L237" t="s">
        <v>1240</v>
      </c>
    </row>
    <row r="238" spans="9:12" x14ac:dyDescent="0.2">
      <c r="I238" t="s">
        <v>863</v>
      </c>
      <c r="J238" t="s">
        <v>864</v>
      </c>
      <c r="K238" t="s">
        <v>1235</v>
      </c>
      <c r="L238" t="s">
        <v>1247</v>
      </c>
    </row>
    <row r="239" spans="9:12" x14ac:dyDescent="0.2">
      <c r="I239" t="s">
        <v>865</v>
      </c>
      <c r="J239" t="s">
        <v>866</v>
      </c>
      <c r="K239" t="s">
        <v>1235</v>
      </c>
      <c r="L239" t="s">
        <v>1247</v>
      </c>
    </row>
    <row r="240" spans="9:12" x14ac:dyDescent="0.2">
      <c r="I240" t="s">
        <v>1967</v>
      </c>
      <c r="J240" t="s">
        <v>1968</v>
      </c>
      <c r="K240" t="s">
        <v>1235</v>
      </c>
      <c r="L240" t="s">
        <v>1240</v>
      </c>
    </row>
    <row r="241" spans="9:12" x14ac:dyDescent="0.2">
      <c r="I241" t="s">
        <v>867</v>
      </c>
      <c r="J241" t="s">
        <v>868</v>
      </c>
      <c r="K241" t="s">
        <v>1235</v>
      </c>
      <c r="L241" t="s">
        <v>1247</v>
      </c>
    </row>
    <row r="242" spans="9:12" x14ac:dyDescent="0.2">
      <c r="I242" t="s">
        <v>1631</v>
      </c>
      <c r="J242" t="s">
        <v>1632</v>
      </c>
      <c r="K242" t="s">
        <v>1235</v>
      </c>
      <c r="L242" t="s">
        <v>1240</v>
      </c>
    </row>
    <row r="243" spans="9:12" x14ac:dyDescent="0.2">
      <c r="I243" t="s">
        <v>869</v>
      </c>
      <c r="J243" t="s">
        <v>870</v>
      </c>
      <c r="K243" t="s">
        <v>1235</v>
      </c>
      <c r="L243" t="s">
        <v>1247</v>
      </c>
    </row>
    <row r="244" spans="9:12" x14ac:dyDescent="0.2">
      <c r="I244" t="s">
        <v>871</v>
      </c>
      <c r="J244" t="s">
        <v>872</v>
      </c>
      <c r="K244" t="s">
        <v>1235</v>
      </c>
      <c r="L244" t="s">
        <v>1247</v>
      </c>
    </row>
    <row r="245" spans="9:12" x14ac:dyDescent="0.2">
      <c r="I245" t="s">
        <v>873</v>
      </c>
      <c r="J245" t="s">
        <v>874</v>
      </c>
      <c r="K245" t="s">
        <v>1235</v>
      </c>
      <c r="L245" t="s">
        <v>1247</v>
      </c>
    </row>
    <row r="246" spans="9:12" x14ac:dyDescent="0.2">
      <c r="I246" t="s">
        <v>1969</v>
      </c>
      <c r="J246" t="s">
        <v>1970</v>
      </c>
      <c r="K246" t="s">
        <v>1235</v>
      </c>
      <c r="L246" t="s">
        <v>1240</v>
      </c>
    </row>
    <row r="247" spans="9:12" x14ac:dyDescent="0.2">
      <c r="I247" t="s">
        <v>875</v>
      </c>
      <c r="J247" t="s">
        <v>876</v>
      </c>
      <c r="K247" t="s">
        <v>1235</v>
      </c>
      <c r="L247" t="s">
        <v>1247</v>
      </c>
    </row>
    <row r="248" spans="9:12" x14ac:dyDescent="0.2">
      <c r="I248" t="s">
        <v>1633</v>
      </c>
      <c r="J248" t="s">
        <v>1634</v>
      </c>
      <c r="K248" t="s">
        <v>1235</v>
      </c>
      <c r="L248" t="s">
        <v>1240</v>
      </c>
    </row>
    <row r="249" spans="9:12" x14ac:dyDescent="0.2">
      <c r="I249" t="s">
        <v>877</v>
      </c>
      <c r="J249" t="s">
        <v>878</v>
      </c>
      <c r="K249" t="s">
        <v>1235</v>
      </c>
      <c r="L249" t="s">
        <v>1247</v>
      </c>
    </row>
    <row r="250" spans="9:12" x14ac:dyDescent="0.2">
      <c r="I250" t="s">
        <v>879</v>
      </c>
      <c r="J250" t="s">
        <v>880</v>
      </c>
      <c r="K250" t="s">
        <v>1235</v>
      </c>
      <c r="L250" t="s">
        <v>1247</v>
      </c>
    </row>
    <row r="251" spans="9:12" x14ac:dyDescent="0.2">
      <c r="I251" t="s">
        <v>1971</v>
      </c>
      <c r="J251" t="s">
        <v>1972</v>
      </c>
      <c r="K251" t="s">
        <v>1235</v>
      </c>
      <c r="L251" t="s">
        <v>1240</v>
      </c>
    </row>
    <row r="252" spans="9:12" x14ac:dyDescent="0.2">
      <c r="I252" t="s">
        <v>1973</v>
      </c>
      <c r="J252" t="s">
        <v>1974</v>
      </c>
      <c r="K252" t="s">
        <v>1235</v>
      </c>
      <c r="L252" t="s">
        <v>1240</v>
      </c>
    </row>
    <row r="253" spans="9:12" x14ac:dyDescent="0.2">
      <c r="I253" t="s">
        <v>1975</v>
      </c>
      <c r="J253" t="s">
        <v>1976</v>
      </c>
      <c r="K253" t="s">
        <v>1235</v>
      </c>
      <c r="L253" t="s">
        <v>1247</v>
      </c>
    </row>
    <row r="254" spans="9:12" x14ac:dyDescent="0.2">
      <c r="I254" t="s">
        <v>1977</v>
      </c>
      <c r="J254" t="s">
        <v>1978</v>
      </c>
      <c r="K254" t="s">
        <v>1235</v>
      </c>
      <c r="L254" t="s">
        <v>1247</v>
      </c>
    </row>
    <row r="255" spans="9:12" x14ac:dyDescent="0.2">
      <c r="I255" t="s">
        <v>1364</v>
      </c>
      <c r="J255" t="s">
        <v>1365</v>
      </c>
      <c r="K255" t="s">
        <v>1235</v>
      </c>
      <c r="L255" t="s">
        <v>1240</v>
      </c>
    </row>
    <row r="256" spans="9:12" x14ac:dyDescent="0.2">
      <c r="I256" t="s">
        <v>1366</v>
      </c>
      <c r="J256" t="s">
        <v>1367</v>
      </c>
      <c r="K256" t="s">
        <v>1235</v>
      </c>
      <c r="L256" t="s">
        <v>1240</v>
      </c>
    </row>
    <row r="257" spans="9:12" x14ac:dyDescent="0.2">
      <c r="I257" t="s">
        <v>1368</v>
      </c>
      <c r="J257" t="s">
        <v>882</v>
      </c>
      <c r="K257" t="s">
        <v>1235</v>
      </c>
      <c r="L257" t="s">
        <v>1240</v>
      </c>
    </row>
    <row r="258" spans="9:12" x14ac:dyDescent="0.2">
      <c r="I258" t="s">
        <v>881</v>
      </c>
      <c r="J258" t="s">
        <v>882</v>
      </c>
      <c r="K258" t="s">
        <v>1235</v>
      </c>
      <c r="L258" t="s">
        <v>1247</v>
      </c>
    </row>
    <row r="259" spans="9:12" x14ac:dyDescent="0.2">
      <c r="I259" t="s">
        <v>1369</v>
      </c>
      <c r="J259" t="s">
        <v>1370</v>
      </c>
      <c r="K259" t="s">
        <v>1235</v>
      </c>
      <c r="L259" t="s">
        <v>1236</v>
      </c>
    </row>
    <row r="260" spans="9:12" x14ac:dyDescent="0.2">
      <c r="I260" t="s">
        <v>1371</v>
      </c>
      <c r="J260" t="s">
        <v>1372</v>
      </c>
      <c r="K260" t="s">
        <v>1235</v>
      </c>
      <c r="L260" t="s">
        <v>1240</v>
      </c>
    </row>
    <row r="261" spans="9:12" x14ac:dyDescent="0.2">
      <c r="I261" t="s">
        <v>1373</v>
      </c>
      <c r="J261" t="s">
        <v>1374</v>
      </c>
      <c r="K261" t="s">
        <v>1235</v>
      </c>
      <c r="L261" t="s">
        <v>1240</v>
      </c>
    </row>
    <row r="262" spans="9:12" x14ac:dyDescent="0.2">
      <c r="I262" t="s">
        <v>1375</v>
      </c>
      <c r="J262" t="s">
        <v>1374</v>
      </c>
      <c r="K262" t="s">
        <v>1235</v>
      </c>
      <c r="L262" t="s">
        <v>1240</v>
      </c>
    </row>
    <row r="263" spans="9:12" x14ac:dyDescent="0.2">
      <c r="I263" t="s">
        <v>883</v>
      </c>
      <c r="J263" t="s">
        <v>884</v>
      </c>
      <c r="K263" t="s">
        <v>1235</v>
      </c>
      <c r="L263" t="s">
        <v>1247</v>
      </c>
    </row>
    <row r="264" spans="9:12" x14ac:dyDescent="0.2">
      <c r="I264" t="s">
        <v>1376</v>
      </c>
      <c r="J264" t="s">
        <v>1377</v>
      </c>
      <c r="K264" t="s">
        <v>1235</v>
      </c>
      <c r="L264" t="s">
        <v>1240</v>
      </c>
    </row>
    <row r="265" spans="9:12" x14ac:dyDescent="0.2">
      <c r="I265" t="s">
        <v>1378</v>
      </c>
      <c r="J265" t="s">
        <v>886</v>
      </c>
      <c r="K265" t="s">
        <v>1235</v>
      </c>
      <c r="L265" t="s">
        <v>1240</v>
      </c>
    </row>
    <row r="266" spans="9:12" x14ac:dyDescent="0.2">
      <c r="I266" t="s">
        <v>885</v>
      </c>
      <c r="J266" t="s">
        <v>886</v>
      </c>
      <c r="K266" t="s">
        <v>1235</v>
      </c>
      <c r="L266" t="s">
        <v>1247</v>
      </c>
    </row>
    <row r="267" spans="9:12" x14ac:dyDescent="0.2">
      <c r="I267" t="s">
        <v>1379</v>
      </c>
      <c r="J267" t="s">
        <v>1380</v>
      </c>
      <c r="K267" t="s">
        <v>1235</v>
      </c>
      <c r="L267" t="s">
        <v>1240</v>
      </c>
    </row>
    <row r="268" spans="9:12" x14ac:dyDescent="0.2">
      <c r="I268" t="s">
        <v>1381</v>
      </c>
      <c r="J268" t="s">
        <v>1380</v>
      </c>
      <c r="K268" t="s">
        <v>1235</v>
      </c>
      <c r="L268" t="s">
        <v>1240</v>
      </c>
    </row>
    <row r="269" spans="9:12" x14ac:dyDescent="0.2">
      <c r="I269" t="s">
        <v>1382</v>
      </c>
      <c r="J269" t="s">
        <v>1380</v>
      </c>
      <c r="K269" t="s">
        <v>1235</v>
      </c>
      <c r="L269" t="s">
        <v>1240</v>
      </c>
    </row>
    <row r="270" spans="9:12" x14ac:dyDescent="0.2">
      <c r="I270" t="s">
        <v>887</v>
      </c>
      <c r="J270" t="s">
        <v>888</v>
      </c>
      <c r="K270" t="s">
        <v>1235</v>
      </c>
      <c r="L270" t="s">
        <v>1247</v>
      </c>
    </row>
    <row r="271" spans="9:12" x14ac:dyDescent="0.2">
      <c r="I271" t="s">
        <v>1383</v>
      </c>
      <c r="J271" t="s">
        <v>1384</v>
      </c>
      <c r="K271" t="s">
        <v>1235</v>
      </c>
      <c r="L271" t="s">
        <v>1236</v>
      </c>
    </row>
    <row r="272" spans="9:12" x14ac:dyDescent="0.2">
      <c r="I272" t="s">
        <v>1385</v>
      </c>
      <c r="J272" t="s">
        <v>1386</v>
      </c>
      <c r="K272" t="s">
        <v>1235</v>
      </c>
      <c r="L272" t="s">
        <v>1240</v>
      </c>
    </row>
    <row r="273" spans="9:13" x14ac:dyDescent="0.2">
      <c r="I273" t="s">
        <v>1387</v>
      </c>
      <c r="J273" t="s">
        <v>1388</v>
      </c>
      <c r="K273" t="s">
        <v>1235</v>
      </c>
      <c r="L273" t="s">
        <v>1240</v>
      </c>
    </row>
    <row r="274" spans="9:13" x14ac:dyDescent="0.2">
      <c r="I274" t="s">
        <v>1389</v>
      </c>
      <c r="J274" t="s">
        <v>1388</v>
      </c>
      <c r="K274" t="s">
        <v>1235</v>
      </c>
      <c r="L274" t="s">
        <v>1240</v>
      </c>
    </row>
    <row r="275" spans="9:13" x14ac:dyDescent="0.2">
      <c r="I275" t="s">
        <v>889</v>
      </c>
      <c r="J275" t="s">
        <v>890</v>
      </c>
      <c r="K275" t="s">
        <v>1235</v>
      </c>
      <c r="L275" t="s">
        <v>1247</v>
      </c>
      <c r="M275" t="s">
        <v>1057</v>
      </c>
    </row>
    <row r="276" spans="9:13" x14ac:dyDescent="0.2">
      <c r="I276" t="s">
        <v>891</v>
      </c>
      <c r="J276" t="s">
        <v>774</v>
      </c>
      <c r="K276" t="s">
        <v>1235</v>
      </c>
      <c r="L276" t="s">
        <v>1247</v>
      </c>
      <c r="M276" t="s">
        <v>1057</v>
      </c>
    </row>
    <row r="277" spans="9:13" x14ac:dyDescent="0.2">
      <c r="I277" t="s">
        <v>892</v>
      </c>
      <c r="J277" t="s">
        <v>776</v>
      </c>
      <c r="K277" t="s">
        <v>1235</v>
      </c>
      <c r="L277" t="s">
        <v>1247</v>
      </c>
      <c r="M277" t="s">
        <v>1057</v>
      </c>
    </row>
    <row r="278" spans="9:13" x14ac:dyDescent="0.2">
      <c r="I278" t="s">
        <v>893</v>
      </c>
      <c r="J278" t="s">
        <v>894</v>
      </c>
      <c r="K278" t="s">
        <v>1235</v>
      </c>
      <c r="L278" t="s">
        <v>1247</v>
      </c>
      <c r="M278" t="s">
        <v>1057</v>
      </c>
    </row>
    <row r="279" spans="9:13" x14ac:dyDescent="0.2">
      <c r="I279" t="s">
        <v>1390</v>
      </c>
      <c r="J279" t="s">
        <v>1391</v>
      </c>
      <c r="K279" t="s">
        <v>1235</v>
      </c>
      <c r="L279" t="s">
        <v>1240</v>
      </c>
    </row>
    <row r="280" spans="9:13" x14ac:dyDescent="0.2">
      <c r="I280" t="s">
        <v>895</v>
      </c>
      <c r="J280" t="s">
        <v>896</v>
      </c>
      <c r="K280" t="s">
        <v>1235</v>
      </c>
      <c r="L280" t="s">
        <v>1247</v>
      </c>
      <c r="M280" t="s">
        <v>1057</v>
      </c>
    </row>
    <row r="281" spans="9:13" x14ac:dyDescent="0.2">
      <c r="I281" t="s">
        <v>1392</v>
      </c>
      <c r="J281" t="s">
        <v>1393</v>
      </c>
      <c r="K281" t="s">
        <v>1235</v>
      </c>
      <c r="L281" t="s">
        <v>1240</v>
      </c>
    </row>
    <row r="282" spans="9:13" x14ac:dyDescent="0.2">
      <c r="I282" t="s">
        <v>1394</v>
      </c>
      <c r="J282" t="s">
        <v>1393</v>
      </c>
      <c r="K282" t="s">
        <v>1235</v>
      </c>
      <c r="L282" t="s">
        <v>1240</v>
      </c>
    </row>
    <row r="283" spans="9:13" x14ac:dyDescent="0.2">
      <c r="I283" t="s">
        <v>897</v>
      </c>
      <c r="J283" t="s">
        <v>898</v>
      </c>
      <c r="K283" t="s">
        <v>1235</v>
      </c>
      <c r="L283" t="s">
        <v>1247</v>
      </c>
      <c r="M283" t="s">
        <v>1057</v>
      </c>
    </row>
    <row r="284" spans="9:13" x14ac:dyDescent="0.2">
      <c r="I284" t="s">
        <v>1395</v>
      </c>
      <c r="J284" t="s">
        <v>900</v>
      </c>
      <c r="K284" t="s">
        <v>1235</v>
      </c>
      <c r="L284" t="s">
        <v>1240</v>
      </c>
    </row>
    <row r="285" spans="9:13" x14ac:dyDescent="0.2">
      <c r="I285" t="s">
        <v>1396</v>
      </c>
      <c r="J285" t="s">
        <v>1397</v>
      </c>
      <c r="K285" t="s">
        <v>1235</v>
      </c>
      <c r="L285" t="s">
        <v>1240</v>
      </c>
    </row>
    <row r="286" spans="9:13" x14ac:dyDescent="0.2">
      <c r="I286" t="s">
        <v>899</v>
      </c>
      <c r="J286" t="s">
        <v>900</v>
      </c>
      <c r="K286" t="s">
        <v>1235</v>
      </c>
      <c r="L286" t="s">
        <v>1247</v>
      </c>
      <c r="M286" t="s">
        <v>1057</v>
      </c>
    </row>
    <row r="287" spans="9:13" x14ac:dyDescent="0.2">
      <c r="I287" t="s">
        <v>901</v>
      </c>
      <c r="J287" t="s">
        <v>902</v>
      </c>
      <c r="K287" t="s">
        <v>1235</v>
      </c>
      <c r="L287" t="s">
        <v>1247</v>
      </c>
      <c r="M287" t="s">
        <v>1057</v>
      </c>
    </row>
    <row r="288" spans="9:13" x14ac:dyDescent="0.2">
      <c r="I288" t="s">
        <v>1635</v>
      </c>
      <c r="J288" t="s">
        <v>1636</v>
      </c>
      <c r="K288" t="s">
        <v>1235</v>
      </c>
      <c r="L288" t="s">
        <v>1240</v>
      </c>
    </row>
    <row r="289" spans="9:13" x14ac:dyDescent="0.2">
      <c r="I289" t="s">
        <v>903</v>
      </c>
      <c r="J289" t="s">
        <v>904</v>
      </c>
      <c r="K289" t="s">
        <v>1235</v>
      </c>
      <c r="L289" t="s">
        <v>1247</v>
      </c>
    </row>
    <row r="290" spans="9:13" x14ac:dyDescent="0.2">
      <c r="I290" t="s">
        <v>1637</v>
      </c>
      <c r="J290" t="s">
        <v>906</v>
      </c>
      <c r="K290" t="s">
        <v>1235</v>
      </c>
      <c r="L290" t="s">
        <v>1240</v>
      </c>
    </row>
    <row r="291" spans="9:13" x14ac:dyDescent="0.2">
      <c r="I291" t="s">
        <v>1638</v>
      </c>
      <c r="J291" t="s">
        <v>906</v>
      </c>
      <c r="K291" t="s">
        <v>1235</v>
      </c>
      <c r="L291" t="s">
        <v>1240</v>
      </c>
    </row>
    <row r="292" spans="9:13" x14ac:dyDescent="0.2">
      <c r="I292" t="s">
        <v>905</v>
      </c>
      <c r="J292" t="s">
        <v>906</v>
      </c>
      <c r="K292" t="s">
        <v>1235</v>
      </c>
      <c r="L292" t="s">
        <v>1247</v>
      </c>
    </row>
    <row r="293" spans="9:13" x14ac:dyDescent="0.2">
      <c r="I293" t="s">
        <v>1398</v>
      </c>
      <c r="J293" t="s">
        <v>1399</v>
      </c>
      <c r="K293" t="s">
        <v>1235</v>
      </c>
      <c r="L293" t="s">
        <v>1240</v>
      </c>
    </row>
    <row r="294" spans="9:13" x14ac:dyDescent="0.2">
      <c r="I294" t="s">
        <v>1400</v>
      </c>
      <c r="J294" t="s">
        <v>1401</v>
      </c>
      <c r="K294" t="s">
        <v>1235</v>
      </c>
      <c r="L294" t="s">
        <v>1240</v>
      </c>
    </row>
    <row r="295" spans="9:13" x14ac:dyDescent="0.2">
      <c r="I295" t="s">
        <v>1402</v>
      </c>
      <c r="J295" t="s">
        <v>908</v>
      </c>
      <c r="K295" t="s">
        <v>1235</v>
      </c>
      <c r="L295" t="s">
        <v>1240</v>
      </c>
    </row>
    <row r="296" spans="9:13" x14ac:dyDescent="0.2">
      <c r="I296" t="s">
        <v>907</v>
      </c>
      <c r="J296" t="s">
        <v>908</v>
      </c>
      <c r="K296" t="s">
        <v>1235</v>
      </c>
      <c r="L296" t="s">
        <v>1247</v>
      </c>
      <c r="M296" t="s">
        <v>1058</v>
      </c>
    </row>
    <row r="297" spans="9:13" x14ac:dyDescent="0.2">
      <c r="I297" t="s">
        <v>1979</v>
      </c>
      <c r="J297" t="s">
        <v>1980</v>
      </c>
      <c r="K297" t="s">
        <v>1235</v>
      </c>
      <c r="L297" t="s">
        <v>1240</v>
      </c>
    </row>
    <row r="298" spans="9:13" x14ac:dyDescent="0.2">
      <c r="I298" t="s">
        <v>1981</v>
      </c>
      <c r="J298" t="s">
        <v>1980</v>
      </c>
      <c r="K298" t="s">
        <v>1235</v>
      </c>
      <c r="L298" t="s">
        <v>1247</v>
      </c>
    </row>
    <row r="299" spans="9:13" x14ac:dyDescent="0.2">
      <c r="I299" t="s">
        <v>1639</v>
      </c>
      <c r="J299" t="s">
        <v>1640</v>
      </c>
      <c r="K299" t="s">
        <v>1235</v>
      </c>
      <c r="L299" t="s">
        <v>1240</v>
      </c>
    </row>
    <row r="300" spans="9:13" x14ac:dyDescent="0.2">
      <c r="I300" t="s">
        <v>909</v>
      </c>
      <c r="J300" t="s">
        <v>910</v>
      </c>
      <c r="K300" t="s">
        <v>1235</v>
      </c>
      <c r="L300" t="s">
        <v>1247</v>
      </c>
    </row>
    <row r="301" spans="9:13" x14ac:dyDescent="0.2">
      <c r="I301" t="s">
        <v>1403</v>
      </c>
      <c r="J301" t="s">
        <v>1404</v>
      </c>
      <c r="K301" t="s">
        <v>1235</v>
      </c>
      <c r="L301" t="s">
        <v>1240</v>
      </c>
    </row>
    <row r="302" spans="9:13" x14ac:dyDescent="0.2">
      <c r="I302" t="s">
        <v>1405</v>
      </c>
      <c r="J302" t="s">
        <v>912</v>
      </c>
      <c r="K302" t="s">
        <v>1235</v>
      </c>
      <c r="L302" t="s">
        <v>1240</v>
      </c>
    </row>
    <row r="303" spans="9:13" x14ac:dyDescent="0.2">
      <c r="I303" t="s">
        <v>911</v>
      </c>
      <c r="J303" t="s">
        <v>912</v>
      </c>
      <c r="K303" t="s">
        <v>1235</v>
      </c>
      <c r="L303" t="s">
        <v>1247</v>
      </c>
      <c r="M303" t="s">
        <v>1058</v>
      </c>
    </row>
    <row r="304" spans="9:13" x14ac:dyDescent="0.2">
      <c r="I304" t="s">
        <v>1406</v>
      </c>
      <c r="J304" t="s">
        <v>1407</v>
      </c>
      <c r="K304" t="s">
        <v>1235</v>
      </c>
      <c r="L304" t="s">
        <v>1236</v>
      </c>
    </row>
    <row r="305" spans="9:14" x14ac:dyDescent="0.2">
      <c r="I305" t="s">
        <v>1408</v>
      </c>
      <c r="J305" t="s">
        <v>1409</v>
      </c>
      <c r="K305" t="s">
        <v>1235</v>
      </c>
      <c r="L305" t="s">
        <v>1240</v>
      </c>
    </row>
    <row r="306" spans="9:14" x14ac:dyDescent="0.2">
      <c r="I306" t="s">
        <v>1410</v>
      </c>
      <c r="J306" t="s">
        <v>1411</v>
      </c>
      <c r="K306" t="s">
        <v>1235</v>
      </c>
      <c r="L306" t="s">
        <v>1240</v>
      </c>
    </row>
    <row r="307" spans="9:14" x14ac:dyDescent="0.2">
      <c r="I307" t="s">
        <v>1412</v>
      </c>
      <c r="J307" t="s">
        <v>914</v>
      </c>
      <c r="K307" t="s">
        <v>1235</v>
      </c>
      <c r="L307" t="s">
        <v>1240</v>
      </c>
    </row>
    <row r="308" spans="9:14" x14ac:dyDescent="0.2">
      <c r="I308" t="s">
        <v>913</v>
      </c>
      <c r="J308" t="s">
        <v>914</v>
      </c>
      <c r="K308" t="s">
        <v>1235</v>
      </c>
      <c r="L308" t="s">
        <v>1247</v>
      </c>
      <c r="M308" t="s">
        <v>1056</v>
      </c>
      <c r="N308" t="s">
        <v>1501</v>
      </c>
    </row>
    <row r="309" spans="9:14" x14ac:dyDescent="0.2">
      <c r="I309" t="s">
        <v>1413</v>
      </c>
      <c r="J309" t="s">
        <v>916</v>
      </c>
      <c r="K309" t="s">
        <v>1235</v>
      </c>
      <c r="L309" t="s">
        <v>1240</v>
      </c>
    </row>
    <row r="310" spans="9:14" x14ac:dyDescent="0.2">
      <c r="I310" t="s">
        <v>915</v>
      </c>
      <c r="J310" t="s">
        <v>916</v>
      </c>
      <c r="K310" t="s">
        <v>1235</v>
      </c>
      <c r="L310" t="s">
        <v>1247</v>
      </c>
      <c r="M310" t="s">
        <v>1056</v>
      </c>
      <c r="N310" t="s">
        <v>1501</v>
      </c>
    </row>
    <row r="311" spans="9:14" x14ac:dyDescent="0.2">
      <c r="I311" t="s">
        <v>1414</v>
      </c>
      <c r="J311" t="s">
        <v>860</v>
      </c>
      <c r="K311" t="s">
        <v>1235</v>
      </c>
      <c r="L311" t="s">
        <v>1240</v>
      </c>
    </row>
    <row r="312" spans="9:14" x14ac:dyDescent="0.2">
      <c r="I312" t="s">
        <v>917</v>
      </c>
      <c r="J312" t="s">
        <v>860</v>
      </c>
      <c r="K312" t="s">
        <v>1235</v>
      </c>
      <c r="L312" t="s">
        <v>1247</v>
      </c>
      <c r="M312" t="s">
        <v>1056</v>
      </c>
      <c r="N312" t="s">
        <v>1501</v>
      </c>
    </row>
    <row r="313" spans="9:14" x14ac:dyDescent="0.2">
      <c r="I313" t="s">
        <v>1415</v>
      </c>
      <c r="J313" t="s">
        <v>862</v>
      </c>
      <c r="K313" t="s">
        <v>1235</v>
      </c>
      <c r="L313" t="s">
        <v>1240</v>
      </c>
    </row>
    <row r="314" spans="9:14" x14ac:dyDescent="0.2">
      <c r="I314" t="s">
        <v>918</v>
      </c>
      <c r="J314" t="s">
        <v>862</v>
      </c>
      <c r="K314" t="s">
        <v>1235</v>
      </c>
      <c r="L314" t="s">
        <v>1247</v>
      </c>
      <c r="M314" t="s">
        <v>1056</v>
      </c>
      <c r="N314" t="s">
        <v>1501</v>
      </c>
    </row>
    <row r="315" spans="9:14" x14ac:dyDescent="0.2">
      <c r="I315" t="s">
        <v>1416</v>
      </c>
      <c r="J315" t="s">
        <v>920</v>
      </c>
      <c r="K315" t="s">
        <v>1235</v>
      </c>
      <c r="L315" t="s">
        <v>1240</v>
      </c>
    </row>
    <row r="316" spans="9:14" x14ac:dyDescent="0.2">
      <c r="I316" t="s">
        <v>919</v>
      </c>
      <c r="J316" t="s">
        <v>920</v>
      </c>
      <c r="K316" t="s">
        <v>1235</v>
      </c>
      <c r="L316" t="s">
        <v>1247</v>
      </c>
      <c r="M316" t="s">
        <v>1056</v>
      </c>
      <c r="N316" t="s">
        <v>1501</v>
      </c>
    </row>
    <row r="317" spans="9:14" x14ac:dyDescent="0.2">
      <c r="I317" t="s">
        <v>1417</v>
      </c>
      <c r="J317" t="s">
        <v>864</v>
      </c>
      <c r="K317" t="s">
        <v>1235</v>
      </c>
      <c r="L317" t="s">
        <v>1240</v>
      </c>
    </row>
    <row r="318" spans="9:14" x14ac:dyDescent="0.2">
      <c r="I318" t="s">
        <v>921</v>
      </c>
      <c r="J318" t="s">
        <v>864</v>
      </c>
      <c r="K318" t="s">
        <v>1235</v>
      </c>
      <c r="L318" t="s">
        <v>1247</v>
      </c>
      <c r="M318" t="s">
        <v>1056</v>
      </c>
      <c r="N318" t="s">
        <v>1501</v>
      </c>
    </row>
    <row r="319" spans="9:14" x14ac:dyDescent="0.2">
      <c r="I319" t="s">
        <v>1641</v>
      </c>
      <c r="J319" t="s">
        <v>1458</v>
      </c>
      <c r="K319" t="s">
        <v>1235</v>
      </c>
      <c r="L319" t="s">
        <v>1240</v>
      </c>
    </row>
    <row r="320" spans="9:14" x14ac:dyDescent="0.2">
      <c r="I320" t="s">
        <v>922</v>
      </c>
      <c r="J320" t="s">
        <v>923</v>
      </c>
      <c r="K320" t="s">
        <v>1235</v>
      </c>
      <c r="L320" t="s">
        <v>1247</v>
      </c>
    </row>
    <row r="321" spans="9:14" x14ac:dyDescent="0.2">
      <c r="I321" t="s">
        <v>1642</v>
      </c>
      <c r="J321" t="s">
        <v>925</v>
      </c>
      <c r="K321" t="s">
        <v>1235</v>
      </c>
      <c r="L321" t="s">
        <v>1240</v>
      </c>
    </row>
    <row r="322" spans="9:14" x14ac:dyDescent="0.2">
      <c r="I322" t="s">
        <v>924</v>
      </c>
      <c r="J322" t="s">
        <v>925</v>
      </c>
      <c r="K322" t="s">
        <v>1235</v>
      </c>
      <c r="L322" t="s">
        <v>1247</v>
      </c>
    </row>
    <row r="323" spans="9:14" x14ac:dyDescent="0.2">
      <c r="I323" t="s">
        <v>1418</v>
      </c>
      <c r="J323" t="s">
        <v>927</v>
      </c>
      <c r="K323" t="s">
        <v>1235</v>
      </c>
      <c r="L323" t="s">
        <v>1240</v>
      </c>
    </row>
    <row r="324" spans="9:14" x14ac:dyDescent="0.2">
      <c r="I324" t="s">
        <v>926</v>
      </c>
      <c r="J324" t="s">
        <v>927</v>
      </c>
      <c r="K324" t="s">
        <v>1235</v>
      </c>
      <c r="L324" t="s">
        <v>1247</v>
      </c>
      <c r="M324" t="s">
        <v>1056</v>
      </c>
      <c r="N324" t="s">
        <v>1501</v>
      </c>
    </row>
    <row r="325" spans="9:14" x14ac:dyDescent="0.2">
      <c r="I325" t="s">
        <v>1419</v>
      </c>
      <c r="J325" t="s">
        <v>822</v>
      </c>
      <c r="K325" t="s">
        <v>1235</v>
      </c>
      <c r="L325" t="s">
        <v>1240</v>
      </c>
    </row>
    <row r="326" spans="9:14" x14ac:dyDescent="0.2">
      <c r="I326" t="s">
        <v>928</v>
      </c>
      <c r="J326" t="s">
        <v>822</v>
      </c>
      <c r="K326" t="s">
        <v>1235</v>
      </c>
      <c r="L326" t="s">
        <v>1247</v>
      </c>
      <c r="M326" t="s">
        <v>1056</v>
      </c>
      <c r="N326" t="s">
        <v>1501</v>
      </c>
    </row>
    <row r="327" spans="9:14" x14ac:dyDescent="0.2">
      <c r="I327" t="s">
        <v>1420</v>
      </c>
      <c r="J327" t="s">
        <v>930</v>
      </c>
      <c r="K327" t="s">
        <v>1235</v>
      </c>
      <c r="L327" t="s">
        <v>1240</v>
      </c>
    </row>
    <row r="328" spans="9:14" x14ac:dyDescent="0.2">
      <c r="I328" t="s">
        <v>929</v>
      </c>
      <c r="J328" t="s">
        <v>930</v>
      </c>
      <c r="K328" t="s">
        <v>1235</v>
      </c>
      <c r="L328" t="s">
        <v>1247</v>
      </c>
      <c r="M328" t="s">
        <v>1056</v>
      </c>
      <c r="N328" t="s">
        <v>1501</v>
      </c>
    </row>
    <row r="329" spans="9:14" x14ac:dyDescent="0.2">
      <c r="I329" t="s">
        <v>1421</v>
      </c>
      <c r="J329" t="s">
        <v>932</v>
      </c>
      <c r="K329" t="s">
        <v>1235</v>
      </c>
      <c r="L329" t="s">
        <v>1240</v>
      </c>
    </row>
    <row r="330" spans="9:14" x14ac:dyDescent="0.2">
      <c r="I330" t="s">
        <v>931</v>
      </c>
      <c r="J330" t="s">
        <v>932</v>
      </c>
      <c r="K330" t="s">
        <v>1235</v>
      </c>
      <c r="L330" t="s">
        <v>1247</v>
      </c>
      <c r="M330" t="s">
        <v>1056</v>
      </c>
      <c r="N330" t="s">
        <v>1501</v>
      </c>
    </row>
    <row r="331" spans="9:14" x14ac:dyDescent="0.2">
      <c r="I331" t="s">
        <v>1643</v>
      </c>
      <c r="J331" t="s">
        <v>934</v>
      </c>
      <c r="K331" t="s">
        <v>1235</v>
      </c>
      <c r="L331" t="s">
        <v>1240</v>
      </c>
    </row>
    <row r="332" spans="9:14" x14ac:dyDescent="0.2">
      <c r="I332" t="s">
        <v>933</v>
      </c>
      <c r="J332" t="s">
        <v>934</v>
      </c>
      <c r="K332" t="s">
        <v>1235</v>
      </c>
      <c r="L332" t="s">
        <v>1247</v>
      </c>
    </row>
    <row r="333" spans="9:14" x14ac:dyDescent="0.2">
      <c r="I333" t="s">
        <v>1644</v>
      </c>
      <c r="J333" t="s">
        <v>936</v>
      </c>
      <c r="K333" t="s">
        <v>1235</v>
      </c>
      <c r="L333" t="s">
        <v>1240</v>
      </c>
    </row>
    <row r="334" spans="9:14" x14ac:dyDescent="0.2">
      <c r="I334" t="s">
        <v>935</v>
      </c>
      <c r="J334" t="s">
        <v>936</v>
      </c>
      <c r="K334" t="s">
        <v>1235</v>
      </c>
      <c r="L334" t="s">
        <v>1247</v>
      </c>
    </row>
    <row r="335" spans="9:14" x14ac:dyDescent="0.2">
      <c r="I335" t="s">
        <v>1422</v>
      </c>
      <c r="J335" t="s">
        <v>790</v>
      </c>
      <c r="K335" t="s">
        <v>1235</v>
      </c>
      <c r="L335" t="s">
        <v>1240</v>
      </c>
    </row>
    <row r="336" spans="9:14" x14ac:dyDescent="0.2">
      <c r="I336" t="s">
        <v>937</v>
      </c>
      <c r="J336" t="s">
        <v>938</v>
      </c>
      <c r="K336" t="s">
        <v>1235</v>
      </c>
      <c r="L336" t="s">
        <v>1247</v>
      </c>
      <c r="M336" t="s">
        <v>1056</v>
      </c>
      <c r="N336" t="s">
        <v>1501</v>
      </c>
    </row>
    <row r="337" spans="9:14" x14ac:dyDescent="0.2">
      <c r="I337" t="s">
        <v>1423</v>
      </c>
      <c r="J337" t="s">
        <v>788</v>
      </c>
      <c r="K337" t="s">
        <v>1235</v>
      </c>
      <c r="L337" t="s">
        <v>1240</v>
      </c>
    </row>
    <row r="338" spans="9:14" x14ac:dyDescent="0.2">
      <c r="I338" t="s">
        <v>1645</v>
      </c>
      <c r="J338" t="s">
        <v>1646</v>
      </c>
      <c r="K338" t="s">
        <v>1235</v>
      </c>
      <c r="L338" t="s">
        <v>1240</v>
      </c>
    </row>
    <row r="339" spans="9:14" x14ac:dyDescent="0.2">
      <c r="I339" t="s">
        <v>939</v>
      </c>
      <c r="J339" t="s">
        <v>940</v>
      </c>
      <c r="K339" t="s">
        <v>1235</v>
      </c>
      <c r="L339" t="s">
        <v>1247</v>
      </c>
    </row>
    <row r="340" spans="9:14" x14ac:dyDescent="0.2">
      <c r="I340" t="s">
        <v>1424</v>
      </c>
      <c r="J340" t="s">
        <v>1425</v>
      </c>
      <c r="K340" t="s">
        <v>1235</v>
      </c>
      <c r="L340" t="s">
        <v>1240</v>
      </c>
    </row>
    <row r="341" spans="9:14" x14ac:dyDescent="0.2">
      <c r="I341" t="s">
        <v>941</v>
      </c>
      <c r="J341" t="s">
        <v>942</v>
      </c>
      <c r="K341" t="s">
        <v>1235</v>
      </c>
      <c r="L341" t="s">
        <v>1247</v>
      </c>
      <c r="M341" t="s">
        <v>1056</v>
      </c>
      <c r="N341" t="s">
        <v>1501</v>
      </c>
    </row>
    <row r="342" spans="9:14" x14ac:dyDescent="0.2">
      <c r="I342" t="s">
        <v>1426</v>
      </c>
      <c r="J342" t="s">
        <v>944</v>
      </c>
      <c r="K342" t="s">
        <v>1235</v>
      </c>
      <c r="L342" t="s">
        <v>1240</v>
      </c>
    </row>
    <row r="343" spans="9:14" x14ac:dyDescent="0.2">
      <c r="I343" t="s">
        <v>943</v>
      </c>
      <c r="J343" t="s">
        <v>944</v>
      </c>
      <c r="K343" t="s">
        <v>1235</v>
      </c>
      <c r="L343" t="s">
        <v>1247</v>
      </c>
      <c r="M343" t="s">
        <v>1056</v>
      </c>
      <c r="N343" t="s">
        <v>1501</v>
      </c>
    </row>
    <row r="344" spans="9:14" x14ac:dyDescent="0.2">
      <c r="I344" t="s">
        <v>1647</v>
      </c>
      <c r="J344" t="s">
        <v>1648</v>
      </c>
      <c r="K344" t="s">
        <v>1235</v>
      </c>
      <c r="L344" t="s">
        <v>1240</v>
      </c>
    </row>
    <row r="345" spans="9:14" x14ac:dyDescent="0.2">
      <c r="I345" t="s">
        <v>1649</v>
      </c>
      <c r="J345" t="s">
        <v>1650</v>
      </c>
      <c r="K345" t="s">
        <v>1235</v>
      </c>
      <c r="L345" t="s">
        <v>1240</v>
      </c>
    </row>
    <row r="346" spans="9:14" x14ac:dyDescent="0.2">
      <c r="I346" t="s">
        <v>945</v>
      </c>
      <c r="J346" t="s">
        <v>946</v>
      </c>
      <c r="K346" t="s">
        <v>1235</v>
      </c>
      <c r="L346" t="s">
        <v>1247</v>
      </c>
    </row>
    <row r="347" spans="9:14" x14ac:dyDescent="0.2">
      <c r="I347" t="s">
        <v>1982</v>
      </c>
      <c r="J347" t="s">
        <v>1983</v>
      </c>
      <c r="K347" t="s">
        <v>1235</v>
      </c>
      <c r="L347" t="s">
        <v>1240</v>
      </c>
    </row>
    <row r="348" spans="9:14" x14ac:dyDescent="0.2">
      <c r="I348" t="s">
        <v>1984</v>
      </c>
      <c r="J348" t="s">
        <v>1983</v>
      </c>
      <c r="K348" t="s">
        <v>1235</v>
      </c>
      <c r="L348" t="s">
        <v>1247</v>
      </c>
    </row>
    <row r="349" spans="9:14" x14ac:dyDescent="0.2">
      <c r="I349" t="s">
        <v>1985</v>
      </c>
      <c r="J349" t="s">
        <v>1986</v>
      </c>
      <c r="K349" t="s">
        <v>1235</v>
      </c>
      <c r="L349" t="s">
        <v>1247</v>
      </c>
    </row>
    <row r="350" spans="9:14" x14ac:dyDescent="0.2">
      <c r="I350" t="s">
        <v>1987</v>
      </c>
      <c r="J350" t="s">
        <v>1988</v>
      </c>
      <c r="K350" t="s">
        <v>1235</v>
      </c>
      <c r="L350" t="s">
        <v>1240</v>
      </c>
    </row>
    <row r="351" spans="9:14" x14ac:dyDescent="0.2">
      <c r="I351" t="s">
        <v>1989</v>
      </c>
      <c r="J351" t="s">
        <v>1988</v>
      </c>
      <c r="K351" t="s">
        <v>1235</v>
      </c>
      <c r="L351" t="s">
        <v>1247</v>
      </c>
    </row>
    <row r="352" spans="9:14" x14ac:dyDescent="0.2">
      <c r="I352" t="s">
        <v>1427</v>
      </c>
      <c r="J352" t="s">
        <v>1310</v>
      </c>
      <c r="K352" t="s">
        <v>1235</v>
      </c>
      <c r="L352" t="s">
        <v>1240</v>
      </c>
    </row>
    <row r="353" spans="9:14" x14ac:dyDescent="0.2">
      <c r="I353" t="s">
        <v>1428</v>
      </c>
      <c r="J353" t="s">
        <v>948</v>
      </c>
      <c r="K353" t="s">
        <v>1235</v>
      </c>
      <c r="L353" t="s">
        <v>1240</v>
      </c>
    </row>
    <row r="354" spans="9:14" x14ac:dyDescent="0.2">
      <c r="I354" t="s">
        <v>947</v>
      </c>
      <c r="J354" t="s">
        <v>948</v>
      </c>
      <c r="K354" t="s">
        <v>1235</v>
      </c>
      <c r="L354" t="s">
        <v>1247</v>
      </c>
      <c r="M354" t="s">
        <v>1056</v>
      </c>
      <c r="N354" t="s">
        <v>1501</v>
      </c>
    </row>
    <row r="355" spans="9:14" x14ac:dyDescent="0.2">
      <c r="I355" t="s">
        <v>1990</v>
      </c>
      <c r="J355" t="s">
        <v>1991</v>
      </c>
      <c r="K355" t="s">
        <v>1235</v>
      </c>
      <c r="L355" t="s">
        <v>1240</v>
      </c>
    </row>
    <row r="356" spans="9:14" x14ac:dyDescent="0.2">
      <c r="I356" t="s">
        <v>1992</v>
      </c>
      <c r="J356" t="s">
        <v>1993</v>
      </c>
      <c r="K356" t="s">
        <v>1235</v>
      </c>
      <c r="L356" t="s">
        <v>1247</v>
      </c>
    </row>
    <row r="357" spans="9:14" x14ac:dyDescent="0.2">
      <c r="I357" t="s">
        <v>1994</v>
      </c>
      <c r="J357" t="s">
        <v>1995</v>
      </c>
      <c r="K357" t="s">
        <v>1235</v>
      </c>
      <c r="L357" t="s">
        <v>1240</v>
      </c>
    </row>
    <row r="358" spans="9:14" x14ac:dyDescent="0.2">
      <c r="I358" t="s">
        <v>1996</v>
      </c>
      <c r="J358" t="s">
        <v>1997</v>
      </c>
      <c r="K358" t="s">
        <v>1235</v>
      </c>
      <c r="L358" t="s">
        <v>1247</v>
      </c>
    </row>
    <row r="359" spans="9:14" x14ac:dyDescent="0.2">
      <c r="I359" t="s">
        <v>1998</v>
      </c>
      <c r="J359" t="s">
        <v>1999</v>
      </c>
      <c r="K359" t="s">
        <v>1235</v>
      </c>
      <c r="L359" t="s">
        <v>1240</v>
      </c>
    </row>
    <row r="360" spans="9:14" x14ac:dyDescent="0.2">
      <c r="I360" t="s">
        <v>2000</v>
      </c>
      <c r="J360" t="s">
        <v>2001</v>
      </c>
      <c r="K360" t="s">
        <v>1235</v>
      </c>
      <c r="L360" t="s">
        <v>1240</v>
      </c>
    </row>
    <row r="361" spans="9:14" x14ac:dyDescent="0.2">
      <c r="I361" t="s">
        <v>2002</v>
      </c>
      <c r="J361" t="s">
        <v>2003</v>
      </c>
      <c r="K361" t="s">
        <v>1235</v>
      </c>
      <c r="L361" t="s">
        <v>1247</v>
      </c>
    </row>
    <row r="362" spans="9:14" x14ac:dyDescent="0.2">
      <c r="I362" t="s">
        <v>1429</v>
      </c>
      <c r="J362" t="s">
        <v>906</v>
      </c>
      <c r="K362" t="s">
        <v>1235</v>
      </c>
      <c r="L362" t="s">
        <v>1240</v>
      </c>
    </row>
    <row r="363" spans="9:14" x14ac:dyDescent="0.2">
      <c r="I363" t="s">
        <v>1430</v>
      </c>
      <c r="J363" t="s">
        <v>1431</v>
      </c>
      <c r="K363" t="s">
        <v>1235</v>
      </c>
      <c r="L363" t="s">
        <v>1240</v>
      </c>
    </row>
    <row r="364" spans="9:14" x14ac:dyDescent="0.2">
      <c r="I364" t="s">
        <v>949</v>
      </c>
      <c r="J364" t="s">
        <v>950</v>
      </c>
      <c r="K364" t="s">
        <v>1235</v>
      </c>
      <c r="L364" t="s">
        <v>1247</v>
      </c>
      <c r="M364" t="s">
        <v>1056</v>
      </c>
      <c r="N364" t="s">
        <v>1501</v>
      </c>
    </row>
    <row r="365" spans="9:14" x14ac:dyDescent="0.2">
      <c r="I365" t="s">
        <v>1432</v>
      </c>
      <c r="J365" t="s">
        <v>952</v>
      </c>
      <c r="K365" t="s">
        <v>1235</v>
      </c>
      <c r="L365" t="s">
        <v>1240</v>
      </c>
    </row>
    <row r="366" spans="9:14" x14ac:dyDescent="0.2">
      <c r="I366" t="s">
        <v>951</v>
      </c>
      <c r="J366" t="s">
        <v>952</v>
      </c>
      <c r="K366" t="s">
        <v>1235</v>
      </c>
      <c r="L366" t="s">
        <v>1247</v>
      </c>
      <c r="M366" t="s">
        <v>1056</v>
      </c>
      <c r="N366" t="s">
        <v>1501</v>
      </c>
    </row>
    <row r="367" spans="9:14" x14ac:dyDescent="0.2">
      <c r="I367" t="s">
        <v>1433</v>
      </c>
      <c r="J367" t="s">
        <v>1434</v>
      </c>
      <c r="K367" t="s">
        <v>1235</v>
      </c>
      <c r="L367" t="s">
        <v>1240</v>
      </c>
    </row>
    <row r="368" spans="9:14" x14ac:dyDescent="0.2">
      <c r="I368" t="s">
        <v>2004</v>
      </c>
      <c r="J368" t="s">
        <v>2005</v>
      </c>
      <c r="K368" t="s">
        <v>1235</v>
      </c>
      <c r="L368" t="s">
        <v>1247</v>
      </c>
    </row>
    <row r="369" spans="9:14" x14ac:dyDescent="0.2">
      <c r="I369" t="s">
        <v>953</v>
      </c>
      <c r="J369" t="s">
        <v>954</v>
      </c>
      <c r="K369" t="s">
        <v>1235</v>
      </c>
      <c r="L369" t="s">
        <v>1247</v>
      </c>
      <c r="M369" t="s">
        <v>1056</v>
      </c>
      <c r="N369" t="s">
        <v>1501</v>
      </c>
    </row>
    <row r="370" spans="9:14" x14ac:dyDescent="0.2">
      <c r="I370" t="s">
        <v>2006</v>
      </c>
      <c r="J370" t="s">
        <v>2007</v>
      </c>
      <c r="K370" t="s">
        <v>1235</v>
      </c>
      <c r="L370" t="s">
        <v>1240</v>
      </c>
    </row>
    <row r="371" spans="9:14" x14ac:dyDescent="0.2">
      <c r="I371" t="s">
        <v>2008</v>
      </c>
      <c r="J371" t="s">
        <v>2009</v>
      </c>
      <c r="K371" t="s">
        <v>1235</v>
      </c>
      <c r="L371" t="s">
        <v>1247</v>
      </c>
    </row>
    <row r="372" spans="9:14" x14ac:dyDescent="0.2">
      <c r="I372" t="s">
        <v>1435</v>
      </c>
      <c r="J372" t="s">
        <v>1436</v>
      </c>
      <c r="K372" t="s">
        <v>1235</v>
      </c>
      <c r="L372" t="s">
        <v>1240</v>
      </c>
    </row>
    <row r="373" spans="9:14" x14ac:dyDescent="0.2">
      <c r="I373" t="s">
        <v>2010</v>
      </c>
      <c r="J373" t="s">
        <v>2011</v>
      </c>
      <c r="K373" t="s">
        <v>1235</v>
      </c>
      <c r="L373" t="s">
        <v>1247</v>
      </c>
    </row>
    <row r="374" spans="9:14" x14ac:dyDescent="0.2">
      <c r="I374" t="s">
        <v>955</v>
      </c>
      <c r="J374" t="s">
        <v>956</v>
      </c>
      <c r="K374" t="s">
        <v>1235</v>
      </c>
      <c r="L374" t="s">
        <v>1247</v>
      </c>
      <c r="M374" t="s">
        <v>1056</v>
      </c>
      <c r="N374" t="s">
        <v>1501</v>
      </c>
    </row>
    <row r="375" spans="9:14" x14ac:dyDescent="0.2">
      <c r="I375" t="s">
        <v>1651</v>
      </c>
      <c r="J375" t="s">
        <v>958</v>
      </c>
      <c r="K375" t="s">
        <v>1235</v>
      </c>
      <c r="L375" t="s">
        <v>1240</v>
      </c>
    </row>
    <row r="376" spans="9:14" x14ac:dyDescent="0.2">
      <c r="I376" t="s">
        <v>957</v>
      </c>
      <c r="J376" t="s">
        <v>958</v>
      </c>
      <c r="K376" t="s">
        <v>1235</v>
      </c>
      <c r="L376" t="s">
        <v>1247</v>
      </c>
    </row>
    <row r="377" spans="9:14" x14ac:dyDescent="0.2">
      <c r="I377" t="s">
        <v>2012</v>
      </c>
      <c r="J377" t="s">
        <v>2013</v>
      </c>
      <c r="K377" t="s">
        <v>1235</v>
      </c>
      <c r="L377" t="s">
        <v>1240</v>
      </c>
    </row>
    <row r="378" spans="9:14" x14ac:dyDescent="0.2">
      <c r="I378" t="s">
        <v>2014</v>
      </c>
      <c r="J378" t="s">
        <v>2015</v>
      </c>
      <c r="K378" t="s">
        <v>1235</v>
      </c>
      <c r="L378" t="s">
        <v>1247</v>
      </c>
    </row>
    <row r="379" spans="9:14" x14ac:dyDescent="0.2">
      <c r="I379" t="s">
        <v>2016</v>
      </c>
      <c r="J379" t="s">
        <v>2017</v>
      </c>
      <c r="K379" t="s">
        <v>1235</v>
      </c>
      <c r="L379" t="s">
        <v>1240</v>
      </c>
    </row>
    <row r="380" spans="9:14" x14ac:dyDescent="0.2">
      <c r="I380" t="s">
        <v>2018</v>
      </c>
      <c r="J380" t="s">
        <v>2019</v>
      </c>
      <c r="K380" t="s">
        <v>1235</v>
      </c>
      <c r="L380" t="s">
        <v>1247</v>
      </c>
    </row>
    <row r="381" spans="9:14" x14ac:dyDescent="0.2">
      <c r="I381" t="s">
        <v>2020</v>
      </c>
      <c r="J381" t="s">
        <v>2021</v>
      </c>
      <c r="K381" t="s">
        <v>1235</v>
      </c>
      <c r="L381" t="s">
        <v>1240</v>
      </c>
    </row>
    <row r="382" spans="9:14" x14ac:dyDescent="0.2">
      <c r="I382" t="s">
        <v>2022</v>
      </c>
      <c r="J382" t="s">
        <v>2021</v>
      </c>
      <c r="K382" t="s">
        <v>1235</v>
      </c>
      <c r="L382" t="s">
        <v>1247</v>
      </c>
    </row>
    <row r="383" spans="9:14" x14ac:dyDescent="0.2">
      <c r="I383" t="s">
        <v>1437</v>
      </c>
      <c r="J383" t="s">
        <v>1438</v>
      </c>
      <c r="K383" t="s">
        <v>1235</v>
      </c>
      <c r="L383" t="s">
        <v>1240</v>
      </c>
    </row>
    <row r="384" spans="9:14" x14ac:dyDescent="0.2">
      <c r="I384" t="s">
        <v>1652</v>
      </c>
      <c r="J384" t="s">
        <v>960</v>
      </c>
      <c r="K384" t="s">
        <v>1235</v>
      </c>
      <c r="L384" t="s">
        <v>1240</v>
      </c>
    </row>
    <row r="385" spans="9:14" x14ac:dyDescent="0.2">
      <c r="I385" t="s">
        <v>959</v>
      </c>
      <c r="J385" t="s">
        <v>960</v>
      </c>
      <c r="K385" t="s">
        <v>1235</v>
      </c>
      <c r="L385" t="s">
        <v>1247</v>
      </c>
    </row>
    <row r="386" spans="9:14" x14ac:dyDescent="0.2">
      <c r="I386" t="s">
        <v>1439</v>
      </c>
      <c r="J386" t="s">
        <v>962</v>
      </c>
      <c r="K386" t="s">
        <v>1235</v>
      </c>
      <c r="L386" t="s">
        <v>1240</v>
      </c>
    </row>
    <row r="387" spans="9:14" x14ac:dyDescent="0.2">
      <c r="I387" t="s">
        <v>961</v>
      </c>
      <c r="J387" t="s">
        <v>962</v>
      </c>
      <c r="K387" t="s">
        <v>1235</v>
      </c>
      <c r="L387" t="s">
        <v>1247</v>
      </c>
      <c r="M387" t="s">
        <v>1056</v>
      </c>
      <c r="N387" t="s">
        <v>1501</v>
      </c>
    </row>
    <row r="388" spans="9:14" x14ac:dyDescent="0.2">
      <c r="I388" t="s">
        <v>1653</v>
      </c>
      <c r="J388" t="s">
        <v>964</v>
      </c>
      <c r="K388" t="s">
        <v>1235</v>
      </c>
      <c r="L388" t="s">
        <v>1240</v>
      </c>
    </row>
    <row r="389" spans="9:14" x14ac:dyDescent="0.2">
      <c r="I389" t="s">
        <v>963</v>
      </c>
      <c r="J389" t="s">
        <v>964</v>
      </c>
      <c r="K389" t="s">
        <v>1235</v>
      </c>
      <c r="L389" t="s">
        <v>1247</v>
      </c>
    </row>
    <row r="390" spans="9:14" x14ac:dyDescent="0.2">
      <c r="I390" t="s">
        <v>1440</v>
      </c>
      <c r="J390" t="s">
        <v>1441</v>
      </c>
      <c r="K390" t="s">
        <v>1235</v>
      </c>
      <c r="L390" t="s">
        <v>1240</v>
      </c>
    </row>
    <row r="391" spans="9:14" x14ac:dyDescent="0.2">
      <c r="I391" t="s">
        <v>1442</v>
      </c>
      <c r="J391" t="s">
        <v>1443</v>
      </c>
      <c r="K391" t="s">
        <v>1235</v>
      </c>
      <c r="L391" t="s">
        <v>1240</v>
      </c>
    </row>
    <row r="392" spans="9:14" x14ac:dyDescent="0.2">
      <c r="I392" t="s">
        <v>965</v>
      </c>
      <c r="J392" t="s">
        <v>966</v>
      </c>
      <c r="K392" t="s">
        <v>1235</v>
      </c>
      <c r="L392" t="s">
        <v>1247</v>
      </c>
    </row>
    <row r="393" spans="9:14" x14ac:dyDescent="0.2">
      <c r="I393" t="s">
        <v>967</v>
      </c>
      <c r="J393" t="s">
        <v>968</v>
      </c>
      <c r="K393" t="s">
        <v>1235</v>
      </c>
      <c r="L393" t="s">
        <v>1247</v>
      </c>
      <c r="M393" t="s">
        <v>1056</v>
      </c>
      <c r="N393" t="s">
        <v>1501</v>
      </c>
    </row>
    <row r="394" spans="9:14" x14ac:dyDescent="0.2">
      <c r="I394" t="s">
        <v>2023</v>
      </c>
      <c r="J394" t="s">
        <v>1991</v>
      </c>
      <c r="K394" t="s">
        <v>1235</v>
      </c>
      <c r="L394" t="s">
        <v>1240</v>
      </c>
    </row>
    <row r="395" spans="9:14" x14ac:dyDescent="0.2">
      <c r="I395" t="s">
        <v>2024</v>
      </c>
      <c r="J395" t="s">
        <v>1991</v>
      </c>
      <c r="K395" t="s">
        <v>1235</v>
      </c>
      <c r="L395" t="s">
        <v>1247</v>
      </c>
    </row>
    <row r="396" spans="9:14" x14ac:dyDescent="0.2">
      <c r="I396" t="s">
        <v>2025</v>
      </c>
      <c r="J396" t="s">
        <v>782</v>
      </c>
      <c r="K396" t="s">
        <v>1235</v>
      </c>
      <c r="L396" t="s">
        <v>1240</v>
      </c>
    </row>
    <row r="397" spans="9:14" x14ac:dyDescent="0.2">
      <c r="I397" t="s">
        <v>2026</v>
      </c>
      <c r="J397" t="s">
        <v>2027</v>
      </c>
      <c r="K397" t="s">
        <v>1235</v>
      </c>
      <c r="L397" t="s">
        <v>1247</v>
      </c>
    </row>
    <row r="398" spans="9:14" x14ac:dyDescent="0.2">
      <c r="I398" t="s">
        <v>1654</v>
      </c>
      <c r="J398" t="s">
        <v>1655</v>
      </c>
      <c r="K398" t="s">
        <v>1235</v>
      </c>
      <c r="L398" t="s">
        <v>1240</v>
      </c>
    </row>
    <row r="399" spans="9:14" x14ac:dyDescent="0.2">
      <c r="I399" t="s">
        <v>1656</v>
      </c>
      <c r="J399" t="s">
        <v>1657</v>
      </c>
      <c r="K399" t="s">
        <v>1235</v>
      </c>
      <c r="L399" t="s">
        <v>1240</v>
      </c>
    </row>
    <row r="400" spans="9:14" x14ac:dyDescent="0.2">
      <c r="I400" t="s">
        <v>969</v>
      </c>
      <c r="J400" t="s">
        <v>970</v>
      </c>
      <c r="K400" t="s">
        <v>1235</v>
      </c>
      <c r="L400" t="s">
        <v>1247</v>
      </c>
    </row>
    <row r="401" spans="9:14" x14ac:dyDescent="0.2">
      <c r="I401" t="s">
        <v>2028</v>
      </c>
      <c r="J401" t="s">
        <v>2029</v>
      </c>
      <c r="K401" t="s">
        <v>1235</v>
      </c>
      <c r="L401" t="s">
        <v>1240</v>
      </c>
    </row>
    <row r="402" spans="9:14" x14ac:dyDescent="0.2">
      <c r="I402" t="s">
        <v>2030</v>
      </c>
      <c r="J402" t="s">
        <v>782</v>
      </c>
      <c r="K402" t="s">
        <v>1235</v>
      </c>
      <c r="L402" t="s">
        <v>1240</v>
      </c>
    </row>
    <row r="403" spans="9:14" x14ac:dyDescent="0.2">
      <c r="I403" t="s">
        <v>2031</v>
      </c>
      <c r="J403" t="s">
        <v>782</v>
      </c>
      <c r="K403" t="s">
        <v>1235</v>
      </c>
      <c r="L403" t="s">
        <v>1247</v>
      </c>
    </row>
    <row r="404" spans="9:14" x14ac:dyDescent="0.2">
      <c r="I404" t="s">
        <v>1444</v>
      </c>
      <c r="J404" t="s">
        <v>1404</v>
      </c>
      <c r="K404" t="s">
        <v>1235</v>
      </c>
      <c r="L404" t="s">
        <v>1240</v>
      </c>
    </row>
    <row r="405" spans="9:14" x14ac:dyDescent="0.2">
      <c r="I405" t="s">
        <v>1658</v>
      </c>
      <c r="J405" t="s">
        <v>972</v>
      </c>
      <c r="K405" t="s">
        <v>1235</v>
      </c>
      <c r="L405" t="s">
        <v>1240</v>
      </c>
    </row>
    <row r="406" spans="9:14" x14ac:dyDescent="0.2">
      <c r="I406" t="s">
        <v>971</v>
      </c>
      <c r="J406" t="s">
        <v>972</v>
      </c>
      <c r="K406" t="s">
        <v>1235</v>
      </c>
      <c r="L406" t="s">
        <v>1247</v>
      </c>
    </row>
    <row r="407" spans="9:14" x14ac:dyDescent="0.2">
      <c r="I407" t="s">
        <v>1445</v>
      </c>
      <c r="J407" t="s">
        <v>974</v>
      </c>
      <c r="K407" t="s">
        <v>1235</v>
      </c>
      <c r="L407" t="s">
        <v>1240</v>
      </c>
    </row>
    <row r="408" spans="9:14" x14ac:dyDescent="0.2">
      <c r="I408" t="s">
        <v>973</v>
      </c>
      <c r="J408" t="s">
        <v>974</v>
      </c>
      <c r="K408" t="s">
        <v>1235</v>
      </c>
      <c r="L408" t="s">
        <v>1247</v>
      </c>
      <c r="M408" t="s">
        <v>1056</v>
      </c>
      <c r="N408" t="s">
        <v>1501</v>
      </c>
    </row>
    <row r="409" spans="9:14" x14ac:dyDescent="0.2">
      <c r="I409" t="s">
        <v>1446</v>
      </c>
      <c r="J409" t="s">
        <v>976</v>
      </c>
      <c r="K409" t="s">
        <v>1235</v>
      </c>
      <c r="L409" t="s">
        <v>1240</v>
      </c>
    </row>
    <row r="410" spans="9:14" x14ac:dyDescent="0.2">
      <c r="I410" t="s">
        <v>975</v>
      </c>
      <c r="J410" t="s">
        <v>976</v>
      </c>
      <c r="K410" t="s">
        <v>1235</v>
      </c>
      <c r="L410" t="s">
        <v>1247</v>
      </c>
      <c r="M410" t="s">
        <v>1056</v>
      </c>
      <c r="N410" t="s">
        <v>1501</v>
      </c>
    </row>
    <row r="411" spans="9:14" x14ac:dyDescent="0.2">
      <c r="I411" t="s">
        <v>2032</v>
      </c>
      <c r="J411" t="s">
        <v>2033</v>
      </c>
      <c r="K411" t="s">
        <v>1235</v>
      </c>
      <c r="L411" t="s">
        <v>1240</v>
      </c>
    </row>
    <row r="412" spans="9:14" x14ac:dyDescent="0.2">
      <c r="I412" t="s">
        <v>2034</v>
      </c>
      <c r="J412" t="s">
        <v>2033</v>
      </c>
      <c r="K412" t="s">
        <v>1235</v>
      </c>
      <c r="L412" t="s">
        <v>1247</v>
      </c>
    </row>
    <row r="413" spans="9:14" x14ac:dyDescent="0.2">
      <c r="I413" t="s">
        <v>1447</v>
      </c>
      <c r="J413" t="s">
        <v>978</v>
      </c>
      <c r="K413" t="s">
        <v>1235</v>
      </c>
      <c r="L413" t="s">
        <v>1240</v>
      </c>
    </row>
    <row r="414" spans="9:14" x14ac:dyDescent="0.2">
      <c r="I414" t="s">
        <v>977</v>
      </c>
      <c r="J414" t="s">
        <v>978</v>
      </c>
      <c r="K414" t="s">
        <v>1235</v>
      </c>
      <c r="L414" t="s">
        <v>1247</v>
      </c>
      <c r="M414" t="s">
        <v>1056</v>
      </c>
      <c r="N414" t="s">
        <v>1501</v>
      </c>
    </row>
    <row r="415" spans="9:14" x14ac:dyDescent="0.2">
      <c r="I415" t="s">
        <v>2035</v>
      </c>
      <c r="J415" t="s">
        <v>2036</v>
      </c>
      <c r="K415" t="s">
        <v>1235</v>
      </c>
      <c r="L415" t="s">
        <v>1247</v>
      </c>
    </row>
    <row r="416" spans="9:14" x14ac:dyDescent="0.2">
      <c r="I416" t="s">
        <v>1659</v>
      </c>
      <c r="J416" t="s">
        <v>980</v>
      </c>
      <c r="K416" t="s">
        <v>1235</v>
      </c>
      <c r="L416" t="s">
        <v>1240</v>
      </c>
    </row>
    <row r="417" spans="9:14" x14ac:dyDescent="0.2">
      <c r="I417" t="s">
        <v>979</v>
      </c>
      <c r="J417" t="s">
        <v>980</v>
      </c>
      <c r="K417" t="s">
        <v>1235</v>
      </c>
      <c r="L417" t="s">
        <v>1247</v>
      </c>
    </row>
    <row r="418" spans="9:14" x14ac:dyDescent="0.2">
      <c r="I418" t="s">
        <v>1660</v>
      </c>
      <c r="J418" t="s">
        <v>790</v>
      </c>
      <c r="K418" t="s">
        <v>1235</v>
      </c>
      <c r="L418" t="s">
        <v>1240</v>
      </c>
    </row>
    <row r="419" spans="9:14" x14ac:dyDescent="0.2">
      <c r="I419" t="s">
        <v>981</v>
      </c>
      <c r="J419" t="s">
        <v>982</v>
      </c>
      <c r="K419" t="s">
        <v>1235</v>
      </c>
      <c r="L419" t="s">
        <v>1247</v>
      </c>
    </row>
    <row r="420" spans="9:14" x14ac:dyDescent="0.2">
      <c r="I420" t="s">
        <v>2037</v>
      </c>
      <c r="J420" t="s">
        <v>2038</v>
      </c>
      <c r="K420" t="s">
        <v>1235</v>
      </c>
      <c r="L420" t="s">
        <v>1240</v>
      </c>
    </row>
    <row r="421" spans="9:14" x14ac:dyDescent="0.2">
      <c r="I421" t="s">
        <v>2039</v>
      </c>
      <c r="J421" t="s">
        <v>2040</v>
      </c>
      <c r="K421" t="s">
        <v>1235</v>
      </c>
      <c r="L421" t="s">
        <v>1240</v>
      </c>
    </row>
    <row r="422" spans="9:14" x14ac:dyDescent="0.2">
      <c r="I422" t="s">
        <v>2041</v>
      </c>
      <c r="J422" t="s">
        <v>2042</v>
      </c>
      <c r="K422" t="s">
        <v>1235</v>
      </c>
      <c r="L422" t="s">
        <v>1247</v>
      </c>
    </row>
    <row r="423" spans="9:14" x14ac:dyDescent="0.2">
      <c r="I423" t="s">
        <v>2043</v>
      </c>
      <c r="J423" t="s">
        <v>2044</v>
      </c>
      <c r="K423" t="s">
        <v>1235</v>
      </c>
      <c r="L423" t="s">
        <v>1240</v>
      </c>
    </row>
    <row r="424" spans="9:14" x14ac:dyDescent="0.2">
      <c r="I424" t="s">
        <v>2045</v>
      </c>
      <c r="J424" t="s">
        <v>2044</v>
      </c>
      <c r="K424" t="s">
        <v>1235</v>
      </c>
      <c r="L424" t="s">
        <v>1247</v>
      </c>
    </row>
    <row r="425" spans="9:14" x14ac:dyDescent="0.2">
      <c r="I425" t="s">
        <v>1448</v>
      </c>
      <c r="J425" t="s">
        <v>3</v>
      </c>
      <c r="K425" t="s">
        <v>1235</v>
      </c>
      <c r="L425" t="s">
        <v>1240</v>
      </c>
    </row>
    <row r="426" spans="9:14" x14ac:dyDescent="0.2">
      <c r="I426" t="s">
        <v>1449</v>
      </c>
      <c r="J426" t="s">
        <v>1411</v>
      </c>
      <c r="K426" t="s">
        <v>1235</v>
      </c>
      <c r="L426" t="s">
        <v>1240</v>
      </c>
    </row>
    <row r="427" spans="9:14" x14ac:dyDescent="0.2">
      <c r="I427" t="s">
        <v>1450</v>
      </c>
      <c r="J427" t="s">
        <v>914</v>
      </c>
      <c r="K427" t="s">
        <v>1235</v>
      </c>
      <c r="L427" t="s">
        <v>1240</v>
      </c>
    </row>
    <row r="428" spans="9:14" x14ac:dyDescent="0.2">
      <c r="I428" t="s">
        <v>983</v>
      </c>
      <c r="J428" t="s">
        <v>914</v>
      </c>
      <c r="K428" t="s">
        <v>1235</v>
      </c>
      <c r="L428" t="s">
        <v>1247</v>
      </c>
      <c r="M428" t="s">
        <v>1057</v>
      </c>
      <c r="N428" t="s">
        <v>1501</v>
      </c>
    </row>
    <row r="429" spans="9:14" x14ac:dyDescent="0.2">
      <c r="I429" t="s">
        <v>1451</v>
      </c>
      <c r="J429" t="s">
        <v>985</v>
      </c>
      <c r="K429" t="s">
        <v>1235</v>
      </c>
      <c r="L429" t="s">
        <v>1240</v>
      </c>
    </row>
    <row r="430" spans="9:14" x14ac:dyDescent="0.2">
      <c r="I430" t="s">
        <v>984</v>
      </c>
      <c r="J430" t="s">
        <v>985</v>
      </c>
      <c r="K430" t="s">
        <v>1235</v>
      </c>
      <c r="L430" t="s">
        <v>1247</v>
      </c>
      <c r="M430" t="s">
        <v>1057</v>
      </c>
      <c r="N430" t="s">
        <v>1501</v>
      </c>
    </row>
    <row r="431" spans="9:14" x14ac:dyDescent="0.2">
      <c r="I431" t="s">
        <v>1452</v>
      </c>
      <c r="J431" t="s">
        <v>972</v>
      </c>
      <c r="K431" t="s">
        <v>1235</v>
      </c>
      <c r="L431" t="s">
        <v>1240</v>
      </c>
    </row>
    <row r="432" spans="9:14" x14ac:dyDescent="0.2">
      <c r="I432" t="s">
        <v>986</v>
      </c>
      <c r="J432" t="s">
        <v>972</v>
      </c>
      <c r="K432" t="s">
        <v>1235</v>
      </c>
      <c r="L432" t="s">
        <v>1247</v>
      </c>
      <c r="M432" t="s">
        <v>1057</v>
      </c>
      <c r="N432" t="s">
        <v>725</v>
      </c>
    </row>
    <row r="433" spans="9:14" x14ac:dyDescent="0.2">
      <c r="I433" t="s">
        <v>1661</v>
      </c>
      <c r="J433" t="s">
        <v>916</v>
      </c>
      <c r="K433" t="s">
        <v>1235</v>
      </c>
      <c r="L433" t="s">
        <v>1240</v>
      </c>
    </row>
    <row r="434" spans="9:14" x14ac:dyDescent="0.2">
      <c r="I434" t="s">
        <v>987</v>
      </c>
      <c r="J434" t="s">
        <v>916</v>
      </c>
      <c r="K434" t="s">
        <v>1235</v>
      </c>
      <c r="L434" t="s">
        <v>1247</v>
      </c>
    </row>
    <row r="435" spans="9:14" x14ac:dyDescent="0.2">
      <c r="I435" t="s">
        <v>1453</v>
      </c>
      <c r="J435" t="s">
        <v>860</v>
      </c>
      <c r="K435" t="s">
        <v>1235</v>
      </c>
      <c r="L435" t="s">
        <v>1240</v>
      </c>
    </row>
    <row r="436" spans="9:14" x14ac:dyDescent="0.2">
      <c r="I436" t="s">
        <v>988</v>
      </c>
      <c r="J436" t="s">
        <v>860</v>
      </c>
      <c r="K436" t="s">
        <v>1235</v>
      </c>
      <c r="L436" t="s">
        <v>1247</v>
      </c>
      <c r="M436" t="s">
        <v>1057</v>
      </c>
      <c r="N436" t="s">
        <v>1501</v>
      </c>
    </row>
    <row r="437" spans="9:14" x14ac:dyDescent="0.2">
      <c r="I437" t="s">
        <v>1454</v>
      </c>
      <c r="J437" t="s">
        <v>862</v>
      </c>
      <c r="K437" t="s">
        <v>1235</v>
      </c>
      <c r="L437" t="s">
        <v>1240</v>
      </c>
    </row>
    <row r="438" spans="9:14" x14ac:dyDescent="0.2">
      <c r="I438" t="s">
        <v>989</v>
      </c>
      <c r="J438" t="s">
        <v>862</v>
      </c>
      <c r="K438" t="s">
        <v>1235</v>
      </c>
      <c r="L438" t="s">
        <v>1247</v>
      </c>
      <c r="M438" t="s">
        <v>1057</v>
      </c>
      <c r="N438" t="s">
        <v>1501</v>
      </c>
    </row>
    <row r="439" spans="9:14" x14ac:dyDescent="0.2">
      <c r="I439" t="s">
        <v>1455</v>
      </c>
      <c r="J439" t="s">
        <v>920</v>
      </c>
      <c r="K439" t="s">
        <v>1235</v>
      </c>
      <c r="L439" t="s">
        <v>1240</v>
      </c>
    </row>
    <row r="440" spans="9:14" x14ac:dyDescent="0.2">
      <c r="I440" t="s">
        <v>990</v>
      </c>
      <c r="J440" t="s">
        <v>920</v>
      </c>
      <c r="K440" t="s">
        <v>1235</v>
      </c>
      <c r="L440" t="s">
        <v>1247</v>
      </c>
      <c r="M440" t="s">
        <v>1057</v>
      </c>
      <c r="N440" t="s">
        <v>1501</v>
      </c>
    </row>
    <row r="441" spans="9:14" x14ac:dyDescent="0.2">
      <c r="I441" t="s">
        <v>1456</v>
      </c>
      <c r="J441" t="s">
        <v>864</v>
      </c>
      <c r="K441" t="s">
        <v>1235</v>
      </c>
      <c r="L441" t="s">
        <v>1240</v>
      </c>
    </row>
    <row r="442" spans="9:14" x14ac:dyDescent="0.2">
      <c r="I442" t="s">
        <v>991</v>
      </c>
      <c r="J442" t="s">
        <v>864</v>
      </c>
      <c r="K442" t="s">
        <v>1235</v>
      </c>
      <c r="L442" t="s">
        <v>1247</v>
      </c>
      <c r="M442" t="s">
        <v>1057</v>
      </c>
      <c r="N442" t="s">
        <v>1501</v>
      </c>
    </row>
    <row r="443" spans="9:14" x14ac:dyDescent="0.2">
      <c r="I443" t="s">
        <v>1457</v>
      </c>
      <c r="J443" t="s">
        <v>1458</v>
      </c>
      <c r="K443" t="s">
        <v>1235</v>
      </c>
      <c r="L443" t="s">
        <v>1240</v>
      </c>
    </row>
    <row r="444" spans="9:14" x14ac:dyDescent="0.2">
      <c r="I444" t="s">
        <v>992</v>
      </c>
      <c r="J444" t="s">
        <v>993</v>
      </c>
      <c r="K444" t="s">
        <v>1235</v>
      </c>
      <c r="L444" t="s">
        <v>1247</v>
      </c>
      <c r="M444" t="s">
        <v>1057</v>
      </c>
      <c r="N444" t="s">
        <v>1501</v>
      </c>
    </row>
    <row r="445" spans="9:14" x14ac:dyDescent="0.2">
      <c r="I445" t="s">
        <v>994</v>
      </c>
      <c r="J445" t="s">
        <v>923</v>
      </c>
      <c r="K445" t="s">
        <v>1235</v>
      </c>
      <c r="L445" t="s">
        <v>1247</v>
      </c>
    </row>
    <row r="446" spans="9:14" x14ac:dyDescent="0.2">
      <c r="I446" t="s">
        <v>1662</v>
      </c>
      <c r="J446" t="s">
        <v>925</v>
      </c>
      <c r="K446" t="s">
        <v>1235</v>
      </c>
      <c r="L446" t="s">
        <v>1240</v>
      </c>
    </row>
    <row r="447" spans="9:14" x14ac:dyDescent="0.2">
      <c r="I447" t="s">
        <v>995</v>
      </c>
      <c r="J447" t="s">
        <v>925</v>
      </c>
      <c r="K447" t="s">
        <v>1235</v>
      </c>
      <c r="L447" t="s">
        <v>1247</v>
      </c>
    </row>
    <row r="448" spans="9:14" x14ac:dyDescent="0.2">
      <c r="I448" t="s">
        <v>1663</v>
      </c>
      <c r="J448" t="s">
        <v>997</v>
      </c>
      <c r="K448" t="s">
        <v>1235</v>
      </c>
      <c r="L448" t="s">
        <v>1240</v>
      </c>
    </row>
    <row r="449" spans="9:14" x14ac:dyDescent="0.2">
      <c r="I449" t="s">
        <v>996</v>
      </c>
      <c r="J449" t="s">
        <v>997</v>
      </c>
      <c r="K449" t="s">
        <v>1235</v>
      </c>
      <c r="L449" t="s">
        <v>1247</v>
      </c>
    </row>
    <row r="450" spans="9:14" x14ac:dyDescent="0.2">
      <c r="I450" t="s">
        <v>1459</v>
      </c>
      <c r="J450" t="s">
        <v>927</v>
      </c>
      <c r="K450" t="s">
        <v>1235</v>
      </c>
      <c r="L450" t="s">
        <v>1240</v>
      </c>
    </row>
    <row r="451" spans="9:14" x14ac:dyDescent="0.2">
      <c r="I451" t="s">
        <v>998</v>
      </c>
      <c r="J451" t="s">
        <v>927</v>
      </c>
      <c r="K451" t="s">
        <v>1235</v>
      </c>
      <c r="L451" t="s">
        <v>1247</v>
      </c>
      <c r="M451" t="s">
        <v>1057</v>
      </c>
      <c r="N451" t="s">
        <v>1501</v>
      </c>
    </row>
    <row r="452" spans="9:14" x14ac:dyDescent="0.2">
      <c r="I452" t="s">
        <v>1664</v>
      </c>
      <c r="J452" t="s">
        <v>822</v>
      </c>
      <c r="K452" t="s">
        <v>1235</v>
      </c>
      <c r="L452" t="s">
        <v>1240</v>
      </c>
    </row>
    <row r="453" spans="9:14" x14ac:dyDescent="0.2">
      <c r="I453" t="s">
        <v>999</v>
      </c>
      <c r="J453" t="s">
        <v>822</v>
      </c>
      <c r="K453" t="s">
        <v>1235</v>
      </c>
      <c r="L453" t="s">
        <v>1247</v>
      </c>
    </row>
    <row r="454" spans="9:14" x14ac:dyDescent="0.2">
      <c r="I454" t="s">
        <v>1460</v>
      </c>
      <c r="J454" t="s">
        <v>930</v>
      </c>
      <c r="K454" t="s">
        <v>1235</v>
      </c>
      <c r="L454" t="s">
        <v>1240</v>
      </c>
    </row>
    <row r="455" spans="9:14" x14ac:dyDescent="0.2">
      <c r="I455" t="s">
        <v>1000</v>
      </c>
      <c r="J455" t="s">
        <v>930</v>
      </c>
      <c r="K455" t="s">
        <v>1235</v>
      </c>
      <c r="L455" t="s">
        <v>1247</v>
      </c>
      <c r="M455" t="s">
        <v>1057</v>
      </c>
      <c r="N455" t="s">
        <v>1501</v>
      </c>
    </row>
    <row r="456" spans="9:14" x14ac:dyDescent="0.2">
      <c r="I456" t="s">
        <v>1461</v>
      </c>
      <c r="J456" t="s">
        <v>932</v>
      </c>
      <c r="K456" t="s">
        <v>1235</v>
      </c>
      <c r="L456" t="s">
        <v>1240</v>
      </c>
    </row>
    <row r="457" spans="9:14" x14ac:dyDescent="0.2">
      <c r="I457" t="s">
        <v>1001</v>
      </c>
      <c r="J457" t="s">
        <v>932</v>
      </c>
      <c r="K457" t="s">
        <v>1235</v>
      </c>
      <c r="L457" t="s">
        <v>1247</v>
      </c>
      <c r="M457" t="s">
        <v>1057</v>
      </c>
      <c r="N457" t="s">
        <v>1501</v>
      </c>
    </row>
    <row r="458" spans="9:14" x14ac:dyDescent="0.2">
      <c r="I458" t="s">
        <v>1665</v>
      </c>
      <c r="J458" t="s">
        <v>934</v>
      </c>
      <c r="K458" t="s">
        <v>1235</v>
      </c>
      <c r="L458" t="s">
        <v>1240</v>
      </c>
    </row>
    <row r="459" spans="9:14" x14ac:dyDescent="0.2">
      <c r="I459" t="s">
        <v>1002</v>
      </c>
      <c r="J459" t="s">
        <v>934</v>
      </c>
      <c r="K459" t="s">
        <v>1235</v>
      </c>
      <c r="L459" t="s">
        <v>1247</v>
      </c>
    </row>
    <row r="460" spans="9:14" x14ac:dyDescent="0.2">
      <c r="I460" t="s">
        <v>1666</v>
      </c>
      <c r="J460" t="s">
        <v>936</v>
      </c>
      <c r="K460" t="s">
        <v>1235</v>
      </c>
      <c r="L460" t="s">
        <v>1240</v>
      </c>
    </row>
    <row r="461" spans="9:14" x14ac:dyDescent="0.2">
      <c r="I461" t="s">
        <v>1003</v>
      </c>
      <c r="J461" t="s">
        <v>936</v>
      </c>
      <c r="K461" t="s">
        <v>1235</v>
      </c>
      <c r="L461" t="s">
        <v>1247</v>
      </c>
    </row>
    <row r="462" spans="9:14" x14ac:dyDescent="0.2">
      <c r="I462" t="s">
        <v>1462</v>
      </c>
      <c r="J462" t="s">
        <v>1463</v>
      </c>
      <c r="K462" t="s">
        <v>1235</v>
      </c>
      <c r="L462" t="s">
        <v>1240</v>
      </c>
    </row>
    <row r="463" spans="9:14" x14ac:dyDescent="0.2">
      <c r="I463" t="s">
        <v>1464</v>
      </c>
      <c r="J463" t="s">
        <v>948</v>
      </c>
      <c r="K463" t="s">
        <v>1235</v>
      </c>
      <c r="L463" t="s">
        <v>1240</v>
      </c>
    </row>
    <row r="464" spans="9:14" x14ac:dyDescent="0.2">
      <c r="I464" t="s">
        <v>1004</v>
      </c>
      <c r="J464" t="s">
        <v>948</v>
      </c>
      <c r="K464" t="s">
        <v>1235</v>
      </c>
      <c r="L464" t="s">
        <v>1247</v>
      </c>
      <c r="M464" t="s">
        <v>1057</v>
      </c>
      <c r="N464" t="s">
        <v>1501</v>
      </c>
    </row>
    <row r="465" spans="9:14" x14ac:dyDescent="0.2">
      <c r="I465" t="s">
        <v>1667</v>
      </c>
      <c r="J465" t="s">
        <v>1006</v>
      </c>
      <c r="K465" t="s">
        <v>1235</v>
      </c>
      <c r="L465" t="s">
        <v>1240</v>
      </c>
    </row>
    <row r="466" spans="9:14" x14ac:dyDescent="0.2">
      <c r="I466" t="s">
        <v>1005</v>
      </c>
      <c r="J466" t="s">
        <v>1006</v>
      </c>
      <c r="K466" t="s">
        <v>1235</v>
      </c>
      <c r="L466" t="s">
        <v>1247</v>
      </c>
    </row>
    <row r="467" spans="9:14" x14ac:dyDescent="0.2">
      <c r="I467" t="s">
        <v>1465</v>
      </c>
      <c r="J467" t="s">
        <v>906</v>
      </c>
      <c r="K467" t="s">
        <v>1235</v>
      </c>
      <c r="L467" t="s">
        <v>1240</v>
      </c>
    </row>
    <row r="468" spans="9:14" x14ac:dyDescent="0.2">
      <c r="I468" t="s">
        <v>1466</v>
      </c>
      <c r="J468" t="s">
        <v>952</v>
      </c>
      <c r="K468" t="s">
        <v>1235</v>
      </c>
      <c r="L468" t="s">
        <v>1240</v>
      </c>
    </row>
    <row r="469" spans="9:14" x14ac:dyDescent="0.2">
      <c r="I469" t="s">
        <v>1007</v>
      </c>
      <c r="J469" t="s">
        <v>952</v>
      </c>
      <c r="K469" t="s">
        <v>1235</v>
      </c>
      <c r="L469" t="s">
        <v>1247</v>
      </c>
      <c r="M469" t="s">
        <v>1057</v>
      </c>
      <c r="N469" t="s">
        <v>1501</v>
      </c>
    </row>
    <row r="470" spans="9:14" x14ac:dyDescent="0.2">
      <c r="I470" t="s">
        <v>1467</v>
      </c>
      <c r="J470" t="s">
        <v>1434</v>
      </c>
      <c r="K470" t="s">
        <v>1235</v>
      </c>
      <c r="L470" t="s">
        <v>1240</v>
      </c>
    </row>
    <row r="471" spans="9:14" x14ac:dyDescent="0.2">
      <c r="I471" t="s">
        <v>1008</v>
      </c>
      <c r="J471" t="s">
        <v>954</v>
      </c>
      <c r="K471" t="s">
        <v>1235</v>
      </c>
      <c r="L471" t="s">
        <v>1247</v>
      </c>
      <c r="M471" t="s">
        <v>1057</v>
      </c>
      <c r="N471" t="s">
        <v>1501</v>
      </c>
    </row>
    <row r="472" spans="9:14" x14ac:dyDescent="0.2">
      <c r="I472" t="s">
        <v>1009</v>
      </c>
      <c r="J472" t="s">
        <v>1010</v>
      </c>
      <c r="K472" t="s">
        <v>1235</v>
      </c>
      <c r="L472" t="s">
        <v>1247</v>
      </c>
    </row>
    <row r="473" spans="9:14" x14ac:dyDescent="0.2">
      <c r="I473" t="s">
        <v>1468</v>
      </c>
      <c r="J473" t="s">
        <v>1012</v>
      </c>
      <c r="K473" t="s">
        <v>1235</v>
      </c>
      <c r="L473" t="s">
        <v>1240</v>
      </c>
    </row>
    <row r="474" spans="9:14" x14ac:dyDescent="0.2">
      <c r="I474" t="s">
        <v>1011</v>
      </c>
      <c r="J474" t="s">
        <v>1012</v>
      </c>
      <c r="K474" t="s">
        <v>1235</v>
      </c>
      <c r="L474" t="s">
        <v>1247</v>
      </c>
      <c r="M474" t="s">
        <v>1057</v>
      </c>
      <c r="N474" t="s">
        <v>725</v>
      </c>
    </row>
    <row r="475" spans="9:14" x14ac:dyDescent="0.2">
      <c r="I475" t="s">
        <v>1469</v>
      </c>
      <c r="J475" t="s">
        <v>1470</v>
      </c>
      <c r="K475" t="s">
        <v>1235</v>
      </c>
      <c r="L475" t="s">
        <v>1240</v>
      </c>
    </row>
    <row r="476" spans="9:14" x14ac:dyDescent="0.2">
      <c r="I476" t="s">
        <v>1013</v>
      </c>
      <c r="J476" t="s">
        <v>1014</v>
      </c>
      <c r="K476" t="s">
        <v>1235</v>
      </c>
      <c r="L476" t="s">
        <v>1247</v>
      </c>
      <c r="M476" t="s">
        <v>1057</v>
      </c>
      <c r="N476" t="s">
        <v>1501</v>
      </c>
    </row>
    <row r="477" spans="9:14" x14ac:dyDescent="0.2">
      <c r="I477" t="s">
        <v>1668</v>
      </c>
      <c r="J477" t="s">
        <v>1016</v>
      </c>
      <c r="K477" t="s">
        <v>1235</v>
      </c>
      <c r="L477" t="s">
        <v>1240</v>
      </c>
    </row>
    <row r="478" spans="9:14" x14ac:dyDescent="0.2">
      <c r="I478" t="s">
        <v>1015</v>
      </c>
      <c r="J478" t="s">
        <v>1016</v>
      </c>
      <c r="K478" t="s">
        <v>1235</v>
      </c>
      <c r="L478" t="s">
        <v>1247</v>
      </c>
    </row>
    <row r="479" spans="9:14" x14ac:dyDescent="0.2">
      <c r="I479" t="s">
        <v>1471</v>
      </c>
      <c r="J479" t="s">
        <v>1018</v>
      </c>
      <c r="K479" t="s">
        <v>1235</v>
      </c>
      <c r="L479" t="s">
        <v>1240</v>
      </c>
    </row>
    <row r="480" spans="9:14" x14ac:dyDescent="0.2">
      <c r="I480" t="s">
        <v>1017</v>
      </c>
      <c r="J480" t="s">
        <v>1018</v>
      </c>
      <c r="K480" t="s">
        <v>1235</v>
      </c>
      <c r="L480" t="s">
        <v>1247</v>
      </c>
      <c r="M480" t="s">
        <v>1057</v>
      </c>
      <c r="N480" t="s">
        <v>1501</v>
      </c>
    </row>
    <row r="481" spans="9:14" x14ac:dyDescent="0.2">
      <c r="I481" t="s">
        <v>1472</v>
      </c>
      <c r="J481" t="s">
        <v>1404</v>
      </c>
      <c r="K481" t="s">
        <v>1235</v>
      </c>
      <c r="L481" t="s">
        <v>1240</v>
      </c>
    </row>
    <row r="482" spans="9:14" x14ac:dyDescent="0.2">
      <c r="I482" t="s">
        <v>1473</v>
      </c>
      <c r="J482" t="s">
        <v>972</v>
      </c>
      <c r="K482" t="s">
        <v>1235</v>
      </c>
      <c r="L482" t="s">
        <v>1240</v>
      </c>
    </row>
    <row r="483" spans="9:14" x14ac:dyDescent="0.2">
      <c r="I483" t="s">
        <v>1019</v>
      </c>
      <c r="J483" t="s">
        <v>972</v>
      </c>
      <c r="K483" t="s">
        <v>1235</v>
      </c>
      <c r="L483" t="s">
        <v>1247</v>
      </c>
      <c r="M483" t="s">
        <v>1057</v>
      </c>
      <c r="N483" t="s">
        <v>725</v>
      </c>
    </row>
    <row r="484" spans="9:14" x14ac:dyDescent="0.2">
      <c r="I484" t="s">
        <v>1474</v>
      </c>
      <c r="J484" t="s">
        <v>1021</v>
      </c>
      <c r="K484" t="s">
        <v>1235</v>
      </c>
      <c r="L484" t="s">
        <v>1240</v>
      </c>
    </row>
    <row r="485" spans="9:14" x14ac:dyDescent="0.2">
      <c r="I485" t="s">
        <v>1020</v>
      </c>
      <c r="J485" t="s">
        <v>1021</v>
      </c>
      <c r="K485" t="s">
        <v>1235</v>
      </c>
      <c r="L485" t="s">
        <v>1247</v>
      </c>
      <c r="M485" t="s">
        <v>1057</v>
      </c>
      <c r="N485" t="s">
        <v>725</v>
      </c>
    </row>
    <row r="486" spans="9:14" x14ac:dyDescent="0.2">
      <c r="I486" t="s">
        <v>1475</v>
      </c>
      <c r="J486" t="s">
        <v>1023</v>
      </c>
      <c r="K486" t="s">
        <v>1235</v>
      </c>
      <c r="L486" t="s">
        <v>1240</v>
      </c>
    </row>
    <row r="487" spans="9:14" x14ac:dyDescent="0.2">
      <c r="I487" t="s">
        <v>1022</v>
      </c>
      <c r="J487" t="s">
        <v>1023</v>
      </c>
      <c r="K487" t="s">
        <v>1235</v>
      </c>
      <c r="L487" t="s">
        <v>1247</v>
      </c>
      <c r="M487" t="s">
        <v>1057</v>
      </c>
      <c r="N487" t="s">
        <v>1501</v>
      </c>
    </row>
    <row r="488" spans="9:14" x14ac:dyDescent="0.2">
      <c r="I488" t="s">
        <v>1476</v>
      </c>
      <c r="J488" t="s">
        <v>1477</v>
      </c>
      <c r="K488" t="s">
        <v>1235</v>
      </c>
      <c r="L488" t="s">
        <v>1240</v>
      </c>
    </row>
    <row r="489" spans="9:14" x14ac:dyDescent="0.2">
      <c r="I489" t="s">
        <v>1478</v>
      </c>
      <c r="J489" t="s">
        <v>1401</v>
      </c>
      <c r="K489" t="s">
        <v>1235</v>
      </c>
      <c r="L489" t="s">
        <v>1240</v>
      </c>
    </row>
    <row r="490" spans="9:14" x14ac:dyDescent="0.2">
      <c r="I490" t="s">
        <v>1479</v>
      </c>
      <c r="J490" t="s">
        <v>1025</v>
      </c>
      <c r="K490" t="s">
        <v>1235</v>
      </c>
      <c r="L490" t="s">
        <v>1240</v>
      </c>
    </row>
    <row r="491" spans="9:14" x14ac:dyDescent="0.2">
      <c r="I491" t="s">
        <v>1024</v>
      </c>
      <c r="J491" t="s">
        <v>1025</v>
      </c>
      <c r="K491" t="s">
        <v>1235</v>
      </c>
      <c r="L491" t="s">
        <v>1247</v>
      </c>
      <c r="M491" t="s">
        <v>1058</v>
      </c>
      <c r="N491" t="s">
        <v>1501</v>
      </c>
    </row>
    <row r="492" spans="9:14" x14ac:dyDescent="0.2">
      <c r="I492" t="s">
        <v>1480</v>
      </c>
      <c r="J492" t="s">
        <v>972</v>
      </c>
      <c r="K492" t="s">
        <v>1235</v>
      </c>
      <c r="L492" t="s">
        <v>1240</v>
      </c>
    </row>
    <row r="493" spans="9:14" x14ac:dyDescent="0.2">
      <c r="I493" t="s">
        <v>1026</v>
      </c>
      <c r="J493" t="s">
        <v>972</v>
      </c>
      <c r="K493" t="s">
        <v>1235</v>
      </c>
      <c r="L493" t="s">
        <v>1247</v>
      </c>
      <c r="M493" t="s">
        <v>1058</v>
      </c>
      <c r="N493" t="s">
        <v>1501</v>
      </c>
    </row>
    <row r="494" spans="9:14" x14ac:dyDescent="0.2">
      <c r="I494" t="s">
        <v>1481</v>
      </c>
      <c r="J494" t="s">
        <v>908</v>
      </c>
      <c r="K494" t="s">
        <v>1235</v>
      </c>
      <c r="L494" t="s">
        <v>1240</v>
      </c>
    </row>
    <row r="495" spans="9:14" x14ac:dyDescent="0.2">
      <c r="I495" t="s">
        <v>1027</v>
      </c>
      <c r="J495" t="s">
        <v>1028</v>
      </c>
      <c r="K495" t="s">
        <v>1235</v>
      </c>
      <c r="L495" t="s">
        <v>1247</v>
      </c>
      <c r="M495" t="s">
        <v>1058</v>
      </c>
      <c r="N495" t="s">
        <v>1501</v>
      </c>
    </row>
    <row r="496" spans="9:14" x14ac:dyDescent="0.2">
      <c r="I496" t="s">
        <v>2046</v>
      </c>
      <c r="J496" t="s">
        <v>1980</v>
      </c>
      <c r="K496" t="s">
        <v>1235</v>
      </c>
      <c r="L496" t="s">
        <v>1240</v>
      </c>
    </row>
    <row r="497" spans="9:14" x14ac:dyDescent="0.2">
      <c r="I497" t="s">
        <v>2047</v>
      </c>
      <c r="J497" t="s">
        <v>1980</v>
      </c>
      <c r="K497" t="s">
        <v>1235</v>
      </c>
      <c r="L497" t="s">
        <v>1247</v>
      </c>
    </row>
    <row r="498" spans="9:14" x14ac:dyDescent="0.2">
      <c r="I498" t="s">
        <v>1482</v>
      </c>
      <c r="J498" t="s">
        <v>1030</v>
      </c>
      <c r="K498" t="s">
        <v>1235</v>
      </c>
      <c r="L498" t="s">
        <v>1240</v>
      </c>
    </row>
    <row r="499" spans="9:14" x14ac:dyDescent="0.2">
      <c r="I499" t="s">
        <v>1029</v>
      </c>
      <c r="J499" t="s">
        <v>1030</v>
      </c>
      <c r="K499" t="s">
        <v>1235</v>
      </c>
      <c r="L499" t="s">
        <v>1247</v>
      </c>
      <c r="M499" t="s">
        <v>1058</v>
      </c>
      <c r="N499" t="s">
        <v>1501</v>
      </c>
    </row>
    <row r="500" spans="9:14" x14ac:dyDescent="0.2">
      <c r="I500" t="s">
        <v>1483</v>
      </c>
      <c r="J500" t="s">
        <v>1484</v>
      </c>
      <c r="K500" t="s">
        <v>1235</v>
      </c>
      <c r="L500" t="s">
        <v>1240</v>
      </c>
    </row>
    <row r="501" spans="9:14" x14ac:dyDescent="0.2">
      <c r="I501" t="s">
        <v>1031</v>
      </c>
      <c r="J501" t="s">
        <v>1032</v>
      </c>
      <c r="K501" t="s">
        <v>1235</v>
      </c>
      <c r="L501" t="s">
        <v>1247</v>
      </c>
      <c r="M501" t="s">
        <v>1058</v>
      </c>
      <c r="N501" t="s">
        <v>1501</v>
      </c>
    </row>
    <row r="502" spans="9:14" x14ac:dyDescent="0.2">
      <c r="I502" t="s">
        <v>1485</v>
      </c>
      <c r="J502" t="s">
        <v>1486</v>
      </c>
      <c r="K502" t="s">
        <v>1235</v>
      </c>
      <c r="L502" t="s">
        <v>1240</v>
      </c>
    </row>
    <row r="503" spans="9:14" x14ac:dyDescent="0.2">
      <c r="I503" t="s">
        <v>2048</v>
      </c>
      <c r="J503" t="s">
        <v>2049</v>
      </c>
      <c r="K503" t="s">
        <v>1235</v>
      </c>
      <c r="L503" t="s">
        <v>1240</v>
      </c>
    </row>
    <row r="504" spans="9:14" x14ac:dyDescent="0.2">
      <c r="I504" t="s">
        <v>2050</v>
      </c>
      <c r="J504" t="s">
        <v>2049</v>
      </c>
      <c r="K504" t="s">
        <v>1235</v>
      </c>
      <c r="L504" t="s">
        <v>1247</v>
      </c>
    </row>
    <row r="505" spans="9:14" x14ac:dyDescent="0.2">
      <c r="I505" t="s">
        <v>1669</v>
      </c>
      <c r="J505" t="s">
        <v>1670</v>
      </c>
      <c r="K505" t="s">
        <v>1235</v>
      </c>
      <c r="L505" t="s">
        <v>1240</v>
      </c>
    </row>
    <row r="506" spans="9:14" x14ac:dyDescent="0.2">
      <c r="I506" t="s">
        <v>2051</v>
      </c>
      <c r="J506" t="s">
        <v>2052</v>
      </c>
      <c r="K506" t="s">
        <v>1235</v>
      </c>
      <c r="L506" t="s">
        <v>1247</v>
      </c>
    </row>
    <row r="507" spans="9:14" x14ac:dyDescent="0.2">
      <c r="I507" t="s">
        <v>1033</v>
      </c>
      <c r="J507" t="s">
        <v>1034</v>
      </c>
      <c r="K507" t="s">
        <v>1235</v>
      </c>
      <c r="L507" t="s">
        <v>1247</v>
      </c>
    </row>
    <row r="508" spans="9:14" x14ac:dyDescent="0.2">
      <c r="I508" t="s">
        <v>1487</v>
      </c>
      <c r="J508" t="s">
        <v>1036</v>
      </c>
      <c r="K508" t="s">
        <v>1235</v>
      </c>
      <c r="L508" t="s">
        <v>1240</v>
      </c>
    </row>
    <row r="509" spans="9:14" x14ac:dyDescent="0.2">
      <c r="I509" t="s">
        <v>1035</v>
      </c>
      <c r="J509" t="s">
        <v>1036</v>
      </c>
      <c r="K509" t="s">
        <v>1235</v>
      </c>
      <c r="L509" t="s">
        <v>1247</v>
      </c>
      <c r="M509" t="s">
        <v>1058</v>
      </c>
      <c r="N509" t="s">
        <v>1501</v>
      </c>
    </row>
    <row r="510" spans="9:14" x14ac:dyDescent="0.2">
      <c r="I510" t="s">
        <v>2053</v>
      </c>
      <c r="J510" t="s">
        <v>974</v>
      </c>
      <c r="K510" t="s">
        <v>1235</v>
      </c>
      <c r="L510" t="s">
        <v>1247</v>
      </c>
    </row>
    <row r="511" spans="9:14" x14ac:dyDescent="0.2">
      <c r="I511" t="s">
        <v>1488</v>
      </c>
      <c r="J511" t="s">
        <v>1489</v>
      </c>
      <c r="K511" t="s">
        <v>1235</v>
      </c>
      <c r="L511" t="s">
        <v>1240</v>
      </c>
    </row>
    <row r="512" spans="9:14" x14ac:dyDescent="0.2">
      <c r="I512" t="s">
        <v>2054</v>
      </c>
      <c r="J512" t="s">
        <v>2055</v>
      </c>
      <c r="K512" t="s">
        <v>1235</v>
      </c>
      <c r="L512" t="s">
        <v>1240</v>
      </c>
    </row>
    <row r="513" spans="9:14" x14ac:dyDescent="0.2">
      <c r="I513" t="s">
        <v>2056</v>
      </c>
      <c r="J513" t="s">
        <v>2052</v>
      </c>
      <c r="K513" t="s">
        <v>1235</v>
      </c>
      <c r="L513" t="s">
        <v>1240</v>
      </c>
    </row>
    <row r="514" spans="9:14" x14ac:dyDescent="0.2">
      <c r="I514" t="s">
        <v>2057</v>
      </c>
      <c r="J514" t="s">
        <v>2052</v>
      </c>
      <c r="K514" t="s">
        <v>1235</v>
      </c>
      <c r="L514" t="s">
        <v>1247</v>
      </c>
    </row>
    <row r="515" spans="9:14" x14ac:dyDescent="0.2">
      <c r="I515" t="s">
        <v>2058</v>
      </c>
      <c r="J515" t="s">
        <v>1034</v>
      </c>
      <c r="K515" t="s">
        <v>1235</v>
      </c>
      <c r="L515" t="s">
        <v>1240</v>
      </c>
    </row>
    <row r="516" spans="9:14" x14ac:dyDescent="0.2">
      <c r="I516" t="s">
        <v>2059</v>
      </c>
      <c r="J516" t="s">
        <v>1034</v>
      </c>
      <c r="K516" t="s">
        <v>1235</v>
      </c>
      <c r="L516" t="s">
        <v>1247</v>
      </c>
    </row>
    <row r="517" spans="9:14" x14ac:dyDescent="0.2">
      <c r="I517" t="s">
        <v>1490</v>
      </c>
      <c r="J517" t="s">
        <v>912</v>
      </c>
      <c r="K517" t="s">
        <v>1235</v>
      </c>
      <c r="L517" t="s">
        <v>1240</v>
      </c>
    </row>
    <row r="518" spans="9:14" x14ac:dyDescent="0.2">
      <c r="I518" t="s">
        <v>1037</v>
      </c>
      <c r="J518" t="s">
        <v>912</v>
      </c>
      <c r="K518" t="s">
        <v>1235</v>
      </c>
      <c r="L518" t="s">
        <v>1247</v>
      </c>
      <c r="M518" t="s">
        <v>1058</v>
      </c>
      <c r="N518" t="s">
        <v>1501</v>
      </c>
    </row>
    <row r="519" spans="9:14" x14ac:dyDescent="0.2">
      <c r="I519" t="s">
        <v>1671</v>
      </c>
      <c r="J519" t="s">
        <v>1039</v>
      </c>
      <c r="K519" t="s">
        <v>1235</v>
      </c>
      <c r="L519" t="s">
        <v>1240</v>
      </c>
    </row>
    <row r="520" spans="9:14" x14ac:dyDescent="0.2">
      <c r="I520" t="s">
        <v>1672</v>
      </c>
      <c r="J520" t="s">
        <v>1039</v>
      </c>
      <c r="K520" t="s">
        <v>1235</v>
      </c>
      <c r="L520" t="s">
        <v>1240</v>
      </c>
    </row>
    <row r="521" spans="9:14" x14ac:dyDescent="0.2">
      <c r="I521" t="s">
        <v>1673</v>
      </c>
      <c r="J521" t="s">
        <v>1039</v>
      </c>
      <c r="K521" t="s">
        <v>1235</v>
      </c>
      <c r="L521" t="s">
        <v>1240</v>
      </c>
    </row>
    <row r="522" spans="9:14" x14ac:dyDescent="0.2">
      <c r="I522" t="s">
        <v>1038</v>
      </c>
      <c r="J522" t="s">
        <v>1039</v>
      </c>
      <c r="K522" t="s">
        <v>1235</v>
      </c>
      <c r="L522" t="s">
        <v>1247</v>
      </c>
    </row>
    <row r="523" spans="9:14" x14ac:dyDescent="0.2">
      <c r="I523" t="s">
        <v>1491</v>
      </c>
      <c r="J523" t="s">
        <v>1492</v>
      </c>
      <c r="K523" t="s">
        <v>1235</v>
      </c>
      <c r="L523" t="s">
        <v>1236</v>
      </c>
    </row>
    <row r="524" spans="9:14" x14ac:dyDescent="0.2">
      <c r="I524" t="s">
        <v>1493</v>
      </c>
      <c r="J524" t="s">
        <v>1494</v>
      </c>
      <c r="K524" t="s">
        <v>1235</v>
      </c>
      <c r="L524" t="s">
        <v>1240</v>
      </c>
    </row>
    <row r="525" spans="9:14" x14ac:dyDescent="0.2">
      <c r="I525" t="s">
        <v>1495</v>
      </c>
      <c r="J525" t="s">
        <v>1496</v>
      </c>
      <c r="K525" t="s">
        <v>1235</v>
      </c>
      <c r="L525" t="s">
        <v>1240</v>
      </c>
    </row>
    <row r="526" spans="9:14" x14ac:dyDescent="0.2">
      <c r="I526" t="s">
        <v>1497</v>
      </c>
      <c r="J526" t="s">
        <v>1496</v>
      </c>
      <c r="K526" t="s">
        <v>1235</v>
      </c>
      <c r="L526" t="s">
        <v>1240</v>
      </c>
    </row>
    <row r="527" spans="9:14" x14ac:dyDescent="0.2">
      <c r="I527" t="s">
        <v>1040</v>
      </c>
      <c r="J527" t="s">
        <v>890</v>
      </c>
      <c r="K527" t="s">
        <v>1235</v>
      </c>
      <c r="L527" t="s">
        <v>1247</v>
      </c>
      <c r="M527" t="s">
        <v>1059</v>
      </c>
      <c r="N527" t="s">
        <v>725</v>
      </c>
    </row>
    <row r="528" spans="9:14" x14ac:dyDescent="0.2">
      <c r="I528" t="s">
        <v>2060</v>
      </c>
      <c r="J528" t="s">
        <v>2061</v>
      </c>
      <c r="K528" t="s">
        <v>1235</v>
      </c>
      <c r="L528" t="s">
        <v>1247</v>
      </c>
    </row>
    <row r="529" spans="9:14" x14ac:dyDescent="0.2">
      <c r="I529" t="s">
        <v>1498</v>
      </c>
      <c r="J529" t="s">
        <v>1496</v>
      </c>
      <c r="K529" t="s">
        <v>1235</v>
      </c>
      <c r="L529" t="s">
        <v>1240</v>
      </c>
    </row>
    <row r="530" spans="9:14" x14ac:dyDescent="0.2">
      <c r="I530" t="s">
        <v>1041</v>
      </c>
      <c r="J530" t="s">
        <v>890</v>
      </c>
      <c r="K530" t="s">
        <v>1235</v>
      </c>
      <c r="L530" t="s">
        <v>1247</v>
      </c>
      <c r="M530" t="s">
        <v>1059</v>
      </c>
      <c r="N530" t="s">
        <v>725</v>
      </c>
    </row>
    <row r="531" spans="9:14" x14ac:dyDescent="0.2">
      <c r="I531" t="s">
        <v>1042</v>
      </c>
      <c r="J531" t="s">
        <v>774</v>
      </c>
      <c r="K531" t="s">
        <v>1235</v>
      </c>
      <c r="L531" t="s">
        <v>1247</v>
      </c>
    </row>
    <row r="532" spans="9:14" x14ac:dyDescent="0.2">
      <c r="I532" t="s">
        <v>1043</v>
      </c>
      <c r="J532" t="s">
        <v>906</v>
      </c>
      <c r="K532" t="s">
        <v>1235</v>
      </c>
      <c r="L532" t="s">
        <v>1247</v>
      </c>
    </row>
    <row r="533" spans="9:14" x14ac:dyDescent="0.2">
      <c r="I533" t="s">
        <v>1674</v>
      </c>
      <c r="J533" t="s">
        <v>1675</v>
      </c>
      <c r="K533" t="s">
        <v>1235</v>
      </c>
      <c r="L533" t="s">
        <v>1240</v>
      </c>
    </row>
    <row r="534" spans="9:14" x14ac:dyDescent="0.2">
      <c r="I534" t="s">
        <v>1676</v>
      </c>
      <c r="J534" t="s">
        <v>1045</v>
      </c>
      <c r="K534" t="s">
        <v>1235</v>
      </c>
      <c r="L534" t="s">
        <v>1240</v>
      </c>
    </row>
    <row r="535" spans="9:14" x14ac:dyDescent="0.2">
      <c r="I535" t="s">
        <v>1044</v>
      </c>
      <c r="J535" t="s">
        <v>1045</v>
      </c>
      <c r="K535" t="s">
        <v>1235</v>
      </c>
      <c r="L535" t="s">
        <v>1247</v>
      </c>
    </row>
  </sheetData>
  <phoneticPr fontId="49" type="noConversion"/>
  <hyperlinks>
    <hyperlink ref="C19" r:id="rId1" xr:uid="{E789FCB7-7BE9-4600-8549-45EFB5AB51D5}"/>
    <hyperlink ref="C29" r:id="rId2" xr:uid="{FDA300FC-AFCD-4A6B-9AAA-A3D11A903B79}"/>
    <hyperlink ref="C32" r:id="rId3" xr:uid="{15D683CD-6FEB-43A4-B0B3-B2AA465A94F5}"/>
  </hyperlinks>
  <pageMargins left="0.7" right="0.7" top="0.75" bottom="0.75" header="0.3" footer="0.3"/>
  <legacyDrawing r:id="rId4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37CC-E1B1-40E4-9B86-28B49AFCB62E}">
  <sheetPr codeName="Sheet6"/>
  <dimension ref="B3:S1257"/>
  <sheetViews>
    <sheetView showGridLines="0" tabSelected="1" topLeftCell="A4" workbookViewId="0">
      <selection activeCell="B8" sqref="B8"/>
    </sheetView>
  </sheetViews>
  <sheetFormatPr defaultRowHeight="12" x14ac:dyDescent="0.2"/>
  <cols>
    <col min="1" max="1" width="3.83203125" customWidth="1"/>
    <col min="2" max="2" width="10" bestFit="1" customWidth="1"/>
    <col min="3" max="3" width="8.83203125" bestFit="1" customWidth="1"/>
    <col min="4" max="4" width="11.33203125" bestFit="1" customWidth="1"/>
    <col min="5" max="5" width="60.5" bestFit="1" customWidth="1"/>
    <col min="6" max="6" width="11.6640625" bestFit="1" customWidth="1"/>
    <col min="7" max="7" width="15" bestFit="1" customWidth="1"/>
    <col min="8" max="8" width="9" bestFit="1" customWidth="1"/>
    <col min="9" max="9" width="9.33203125" bestFit="1" customWidth="1"/>
    <col min="10" max="10" width="13.6640625" bestFit="1" customWidth="1"/>
    <col min="11" max="11" width="12.33203125" bestFit="1" customWidth="1"/>
    <col min="12" max="12" width="20.33203125" bestFit="1" customWidth="1"/>
    <col min="13" max="13" width="8.83203125" customWidth="1"/>
    <col min="14" max="14" width="10" bestFit="1" customWidth="1"/>
    <col min="15" max="15" width="11" bestFit="1" customWidth="1"/>
    <col min="16" max="16" width="66.33203125" bestFit="1" customWidth="1"/>
    <col min="17" max="17" width="45.33203125" bestFit="1" customWidth="1"/>
    <col min="18" max="18" width="13.1640625" bestFit="1" customWidth="1"/>
    <col min="19" max="19" width="15.6640625" bestFit="1" customWidth="1"/>
    <col min="20" max="20" width="13.1640625" bestFit="1" customWidth="1"/>
    <col min="21" max="21" width="15.6640625" bestFit="1" customWidth="1"/>
    <col min="22" max="22" width="20.5" bestFit="1" customWidth="1"/>
  </cols>
  <sheetData>
    <row r="3" spans="2:19" ht="15" x14ac:dyDescent="0.2">
      <c r="B3" s="9" t="s">
        <v>33</v>
      </c>
      <c r="D3" t="s">
        <v>1499</v>
      </c>
      <c r="N3" s="23" t="s">
        <v>1053</v>
      </c>
    </row>
    <row r="5" spans="2:19" x14ac:dyDescent="0.2">
      <c r="D5" t="s">
        <v>1046</v>
      </c>
      <c r="E5" t="s">
        <v>1047</v>
      </c>
      <c r="F5" t="s">
        <v>1226</v>
      </c>
      <c r="G5" t="s">
        <v>1227</v>
      </c>
      <c r="H5" t="s">
        <v>1228</v>
      </c>
      <c r="I5" t="s">
        <v>1229</v>
      </c>
      <c r="J5" t="s">
        <v>1230</v>
      </c>
      <c r="K5" t="s">
        <v>1055</v>
      </c>
      <c r="L5" t="s">
        <v>1231</v>
      </c>
      <c r="N5" t="s">
        <v>1049</v>
      </c>
      <c r="O5" t="s">
        <v>1502</v>
      </c>
      <c r="P5" t="s">
        <v>1138</v>
      </c>
      <c r="Q5" t="s">
        <v>1054</v>
      </c>
      <c r="R5" t="s">
        <v>1050</v>
      </c>
      <c r="S5" t="s">
        <v>1051</v>
      </c>
    </row>
    <row r="6" spans="2:19" x14ac:dyDescent="0.2">
      <c r="D6" t="s">
        <v>1232</v>
      </c>
      <c r="E6" t="s">
        <v>1228</v>
      </c>
      <c r="F6" t="s">
        <v>1233</v>
      </c>
      <c r="G6" t="s">
        <v>1234</v>
      </c>
      <c r="H6" t="s">
        <v>1235</v>
      </c>
      <c r="J6" t="b">
        <v>1</v>
      </c>
      <c r="K6" t="s">
        <v>1236</v>
      </c>
      <c r="L6" s="31">
        <v>46147.398392870367</v>
      </c>
      <c r="N6" s="5">
        <v>45962</v>
      </c>
      <c r="O6" s="13" t="s">
        <v>1058</v>
      </c>
      <c r="P6" s="13" t="s">
        <v>1194</v>
      </c>
      <c r="Q6" s="13" t="s">
        <v>912</v>
      </c>
      <c r="R6" s="12">
        <v>0</v>
      </c>
      <c r="S6" s="12"/>
    </row>
    <row r="7" spans="2:19" x14ac:dyDescent="0.2">
      <c r="D7" t="s">
        <v>1237</v>
      </c>
      <c r="E7" t="s">
        <v>1238</v>
      </c>
      <c r="F7" t="s">
        <v>1239</v>
      </c>
      <c r="G7" t="s">
        <v>1234</v>
      </c>
      <c r="H7" t="s">
        <v>1235</v>
      </c>
      <c r="I7" t="s">
        <v>1232</v>
      </c>
      <c r="J7" t="b">
        <v>1</v>
      </c>
      <c r="K7" t="s">
        <v>1240</v>
      </c>
      <c r="L7" s="31">
        <v>46147.398392870367</v>
      </c>
      <c r="N7" s="5">
        <v>45962</v>
      </c>
      <c r="O7" s="13" t="s">
        <v>1058</v>
      </c>
      <c r="P7" s="13" t="s">
        <v>1180</v>
      </c>
      <c r="Q7" s="13" t="s">
        <v>912</v>
      </c>
      <c r="R7" s="12">
        <v>0</v>
      </c>
      <c r="S7" s="12"/>
    </row>
    <row r="8" spans="2:19" x14ac:dyDescent="0.2">
      <c r="D8" t="s">
        <v>1241</v>
      </c>
      <c r="E8" t="s">
        <v>1242</v>
      </c>
      <c r="F8" t="s">
        <v>1243</v>
      </c>
      <c r="G8" t="s">
        <v>1234</v>
      </c>
      <c r="H8" t="s">
        <v>1235</v>
      </c>
      <c r="I8" t="s">
        <v>1237</v>
      </c>
      <c r="J8" t="b">
        <v>1</v>
      </c>
      <c r="K8" t="s">
        <v>1240</v>
      </c>
      <c r="L8" s="31">
        <v>46147.398392870367</v>
      </c>
      <c r="N8" s="5">
        <v>45962</v>
      </c>
      <c r="O8" s="13" t="s">
        <v>1058</v>
      </c>
      <c r="P8" s="13" t="s">
        <v>1183</v>
      </c>
      <c r="Q8" s="13" t="s">
        <v>912</v>
      </c>
      <c r="R8" s="12">
        <v>0</v>
      </c>
      <c r="S8" s="12"/>
    </row>
    <row r="9" spans="2:19" x14ac:dyDescent="0.2">
      <c r="D9" t="s">
        <v>1244</v>
      </c>
      <c r="E9" t="s">
        <v>727</v>
      </c>
      <c r="F9" t="s">
        <v>1245</v>
      </c>
      <c r="G9" t="s">
        <v>1234</v>
      </c>
      <c r="H9" t="s">
        <v>1235</v>
      </c>
      <c r="I9" t="s">
        <v>1241</v>
      </c>
      <c r="J9" t="b">
        <v>1</v>
      </c>
      <c r="K9" t="s">
        <v>1240</v>
      </c>
      <c r="L9" s="31">
        <v>46147.398392870367</v>
      </c>
      <c r="N9" s="5">
        <v>45962</v>
      </c>
      <c r="O9" s="13" t="s">
        <v>1058</v>
      </c>
      <c r="P9" s="13" t="s">
        <v>1190</v>
      </c>
      <c r="Q9" s="13" t="s">
        <v>912</v>
      </c>
      <c r="R9" s="12">
        <v>0.72</v>
      </c>
      <c r="S9" s="12"/>
    </row>
    <row r="10" spans="2:19" x14ac:dyDescent="0.2">
      <c r="D10" t="s">
        <v>726</v>
      </c>
      <c r="E10" t="s">
        <v>727</v>
      </c>
      <c r="F10" t="s">
        <v>1246</v>
      </c>
      <c r="G10" t="s">
        <v>1235</v>
      </c>
      <c r="H10" t="s">
        <v>1235</v>
      </c>
      <c r="I10" t="s">
        <v>1244</v>
      </c>
      <c r="J10" t="b">
        <v>0</v>
      </c>
      <c r="K10" t="s">
        <v>1247</v>
      </c>
      <c r="L10" s="31">
        <v>46147.398392870367</v>
      </c>
      <c r="N10" s="5">
        <v>45962</v>
      </c>
      <c r="O10" s="13" t="s">
        <v>1058</v>
      </c>
      <c r="P10" s="13" t="s">
        <v>1209</v>
      </c>
      <c r="Q10" s="13" t="s">
        <v>912</v>
      </c>
      <c r="R10" s="12">
        <v>0</v>
      </c>
      <c r="S10" s="12"/>
    </row>
    <row r="11" spans="2:19" x14ac:dyDescent="0.2">
      <c r="D11" t="s">
        <v>1248</v>
      </c>
      <c r="E11" t="s">
        <v>1249</v>
      </c>
      <c r="F11" t="s">
        <v>1243</v>
      </c>
      <c r="G11" t="s">
        <v>1234</v>
      </c>
      <c r="H11" t="s">
        <v>1235</v>
      </c>
      <c r="I11" t="s">
        <v>1237</v>
      </c>
      <c r="J11" t="b">
        <v>1</v>
      </c>
      <c r="K11" t="s">
        <v>1240</v>
      </c>
      <c r="L11" s="31">
        <v>46147.398392870367</v>
      </c>
      <c r="N11" s="5">
        <v>45962</v>
      </c>
      <c r="O11" s="13" t="s">
        <v>1058</v>
      </c>
      <c r="P11" s="13" t="s">
        <v>1181</v>
      </c>
      <c r="Q11" s="13" t="s">
        <v>912</v>
      </c>
      <c r="R11" s="12">
        <v>0</v>
      </c>
      <c r="S11" s="12"/>
    </row>
    <row r="12" spans="2:19" x14ac:dyDescent="0.2">
      <c r="D12" t="s">
        <v>1250</v>
      </c>
      <c r="E12" t="s">
        <v>1251</v>
      </c>
      <c r="F12" t="s">
        <v>1245</v>
      </c>
      <c r="G12" t="s">
        <v>1234</v>
      </c>
      <c r="H12" t="s">
        <v>1235</v>
      </c>
      <c r="I12" t="s">
        <v>1248</v>
      </c>
      <c r="J12" t="b">
        <v>1</v>
      </c>
      <c r="K12" t="s">
        <v>1240</v>
      </c>
      <c r="L12" s="31">
        <v>46147.398392870367</v>
      </c>
      <c r="N12" s="5">
        <v>45962</v>
      </c>
      <c r="O12" s="13" t="s">
        <v>1058</v>
      </c>
      <c r="P12" s="13" t="s">
        <v>1677</v>
      </c>
      <c r="Q12" s="13" t="s">
        <v>912</v>
      </c>
      <c r="R12" s="12">
        <v>0</v>
      </c>
      <c r="S12" s="12"/>
    </row>
    <row r="13" spans="2:19" x14ac:dyDescent="0.2">
      <c r="D13" t="s">
        <v>730</v>
      </c>
      <c r="E13" t="s">
        <v>731</v>
      </c>
      <c r="F13" t="s">
        <v>1246</v>
      </c>
      <c r="G13" t="s">
        <v>1235</v>
      </c>
      <c r="H13" t="s">
        <v>1235</v>
      </c>
      <c r="I13" t="s">
        <v>1250</v>
      </c>
      <c r="J13" t="b">
        <v>0</v>
      </c>
      <c r="K13" t="s">
        <v>1247</v>
      </c>
      <c r="L13" s="31">
        <v>46147.398392870367</v>
      </c>
      <c r="N13" s="5">
        <v>45962</v>
      </c>
      <c r="O13" s="13" t="s">
        <v>1057</v>
      </c>
      <c r="P13" s="13" t="s">
        <v>1678</v>
      </c>
      <c r="Q13" s="13" t="s">
        <v>1018</v>
      </c>
      <c r="R13" s="12">
        <v>0</v>
      </c>
      <c r="S13" s="12"/>
    </row>
    <row r="14" spans="2:19" x14ac:dyDescent="0.2">
      <c r="D14" t="s">
        <v>1252</v>
      </c>
      <c r="E14" t="s">
        <v>1253</v>
      </c>
      <c r="F14" t="s">
        <v>1243</v>
      </c>
      <c r="G14" t="s">
        <v>1234</v>
      </c>
      <c r="H14" t="s">
        <v>1235</v>
      </c>
      <c r="I14" t="s">
        <v>1237</v>
      </c>
      <c r="J14" t="b">
        <v>1</v>
      </c>
      <c r="K14" t="s">
        <v>1240</v>
      </c>
      <c r="L14" s="31">
        <v>46147.398392870367</v>
      </c>
      <c r="N14" s="5">
        <v>45962</v>
      </c>
      <c r="O14" s="13" t="s">
        <v>1057</v>
      </c>
      <c r="P14" s="13" t="s">
        <v>1186</v>
      </c>
      <c r="Q14" s="13" t="s">
        <v>1018</v>
      </c>
      <c r="R14" s="12">
        <v>0</v>
      </c>
      <c r="S14" s="12"/>
    </row>
    <row r="15" spans="2:19" x14ac:dyDescent="0.2">
      <c r="D15" t="s">
        <v>1254</v>
      </c>
      <c r="E15" t="s">
        <v>1177</v>
      </c>
      <c r="F15" t="s">
        <v>1245</v>
      </c>
      <c r="G15" t="s">
        <v>1234</v>
      </c>
      <c r="H15" t="s">
        <v>1235</v>
      </c>
      <c r="I15" t="s">
        <v>1252</v>
      </c>
      <c r="J15" t="b">
        <v>1</v>
      </c>
      <c r="K15" t="s">
        <v>1240</v>
      </c>
      <c r="L15" s="31">
        <v>46147.398392870367</v>
      </c>
      <c r="N15" s="5">
        <v>45962</v>
      </c>
      <c r="O15" s="13" t="s">
        <v>1057</v>
      </c>
      <c r="P15" s="13" t="s">
        <v>1792</v>
      </c>
      <c r="Q15" s="13" t="s">
        <v>1018</v>
      </c>
      <c r="R15" s="12">
        <v>0</v>
      </c>
      <c r="S15" s="12"/>
    </row>
    <row r="16" spans="2:19" x14ac:dyDescent="0.2">
      <c r="D16" t="s">
        <v>732</v>
      </c>
      <c r="E16" t="s">
        <v>733</v>
      </c>
      <c r="F16" t="s">
        <v>1246</v>
      </c>
      <c r="G16" t="s">
        <v>1235</v>
      </c>
      <c r="H16" t="s">
        <v>1235</v>
      </c>
      <c r="I16" t="s">
        <v>1254</v>
      </c>
      <c r="J16" t="b">
        <v>0</v>
      </c>
      <c r="K16" t="s">
        <v>1247</v>
      </c>
      <c r="L16" s="31">
        <v>46147.398392870367</v>
      </c>
      <c r="N16" s="5">
        <v>45962</v>
      </c>
      <c r="O16" s="13" t="s">
        <v>1057</v>
      </c>
      <c r="P16" s="13" t="s">
        <v>1679</v>
      </c>
      <c r="Q16" s="13" t="s">
        <v>1018</v>
      </c>
      <c r="R16" s="12">
        <v>0</v>
      </c>
      <c r="S16" s="12"/>
    </row>
    <row r="17" spans="4:19" x14ac:dyDescent="0.2">
      <c r="D17" t="s">
        <v>734</v>
      </c>
      <c r="E17" t="s">
        <v>735</v>
      </c>
      <c r="F17" t="s">
        <v>1246</v>
      </c>
      <c r="G17" t="s">
        <v>1235</v>
      </c>
      <c r="H17" t="s">
        <v>1235</v>
      </c>
      <c r="I17" t="s">
        <v>1254</v>
      </c>
      <c r="J17" t="b">
        <v>0</v>
      </c>
      <c r="K17" t="s">
        <v>1247</v>
      </c>
      <c r="L17" s="31">
        <v>46147.398392870367</v>
      </c>
      <c r="N17" s="5">
        <v>45962</v>
      </c>
      <c r="O17" s="13" t="s">
        <v>1057</v>
      </c>
      <c r="P17" s="13" t="s">
        <v>1185</v>
      </c>
      <c r="Q17" s="13" t="s">
        <v>1018</v>
      </c>
      <c r="R17" s="12">
        <v>0</v>
      </c>
      <c r="S17" s="12"/>
    </row>
    <row r="18" spans="4:19" x14ac:dyDescent="0.2">
      <c r="D18" t="s">
        <v>1255</v>
      </c>
      <c r="E18" t="s">
        <v>1256</v>
      </c>
      <c r="F18" t="s">
        <v>1245</v>
      </c>
      <c r="G18" t="s">
        <v>1234</v>
      </c>
      <c r="H18" t="s">
        <v>1235</v>
      </c>
      <c r="I18" t="s">
        <v>1252</v>
      </c>
      <c r="J18" t="b">
        <v>1</v>
      </c>
      <c r="K18" t="s">
        <v>1240</v>
      </c>
      <c r="L18" s="31">
        <v>46147.398392870367</v>
      </c>
      <c r="N18" s="5">
        <v>45962</v>
      </c>
      <c r="O18" s="13" t="s">
        <v>1056</v>
      </c>
      <c r="P18" s="13" t="s">
        <v>1166</v>
      </c>
      <c r="Q18" s="13" t="s">
        <v>930</v>
      </c>
      <c r="R18" s="12">
        <v>195900</v>
      </c>
      <c r="S18" s="12"/>
    </row>
    <row r="19" spans="4:19" x14ac:dyDescent="0.2">
      <c r="D19" t="s">
        <v>736</v>
      </c>
      <c r="E19" t="s">
        <v>735</v>
      </c>
      <c r="F19" t="s">
        <v>1246</v>
      </c>
      <c r="G19" t="s">
        <v>1235</v>
      </c>
      <c r="H19" t="s">
        <v>1235</v>
      </c>
      <c r="I19" t="s">
        <v>1255</v>
      </c>
      <c r="J19" t="b">
        <v>0</v>
      </c>
      <c r="K19" t="s">
        <v>1247</v>
      </c>
      <c r="L19" s="31">
        <v>46147.398392870367</v>
      </c>
      <c r="N19" s="5">
        <v>45962</v>
      </c>
      <c r="O19" s="13" t="s">
        <v>1056</v>
      </c>
      <c r="P19" s="13" t="s">
        <v>1145</v>
      </c>
      <c r="Q19" s="13" t="s">
        <v>930</v>
      </c>
      <c r="R19" s="12">
        <v>2370700</v>
      </c>
      <c r="S19" s="12"/>
    </row>
    <row r="20" spans="4:19" x14ac:dyDescent="0.2">
      <c r="D20" t="s">
        <v>1257</v>
      </c>
      <c r="E20" t="s">
        <v>1258</v>
      </c>
      <c r="F20" t="s">
        <v>1239</v>
      </c>
      <c r="G20" t="s">
        <v>1234</v>
      </c>
      <c r="H20" t="s">
        <v>1235</v>
      </c>
      <c r="I20" t="s">
        <v>1232</v>
      </c>
      <c r="J20" t="b">
        <v>1</v>
      </c>
      <c r="K20" t="s">
        <v>1240</v>
      </c>
      <c r="L20" s="31">
        <v>46147.398392870367</v>
      </c>
      <c r="N20" s="5">
        <v>45962</v>
      </c>
      <c r="O20" s="13" t="s">
        <v>1057</v>
      </c>
      <c r="P20" s="13" t="s">
        <v>1166</v>
      </c>
      <c r="Q20" s="13" t="s">
        <v>930</v>
      </c>
      <c r="R20" s="12">
        <v>-280900</v>
      </c>
      <c r="S20" s="12"/>
    </row>
    <row r="21" spans="4:19" x14ac:dyDescent="0.2">
      <c r="D21" t="s">
        <v>1259</v>
      </c>
      <c r="E21" t="s">
        <v>1260</v>
      </c>
      <c r="F21" t="s">
        <v>1243</v>
      </c>
      <c r="G21" t="s">
        <v>1234</v>
      </c>
      <c r="H21" t="s">
        <v>1235</v>
      </c>
      <c r="I21" t="s">
        <v>1257</v>
      </c>
      <c r="J21" t="b">
        <v>1</v>
      </c>
      <c r="K21" t="s">
        <v>1240</v>
      </c>
      <c r="L21" s="31">
        <v>46147.398392870367</v>
      </c>
      <c r="N21" s="5">
        <v>45962</v>
      </c>
      <c r="O21" s="13" t="s">
        <v>1057</v>
      </c>
      <c r="P21" s="13" t="s">
        <v>1212</v>
      </c>
      <c r="Q21" s="13" t="s">
        <v>930</v>
      </c>
      <c r="R21" s="12">
        <v>0</v>
      </c>
      <c r="S21" s="12"/>
    </row>
    <row r="22" spans="4:19" x14ac:dyDescent="0.2">
      <c r="D22" t="s">
        <v>1261</v>
      </c>
      <c r="E22" t="s">
        <v>1262</v>
      </c>
      <c r="F22" t="s">
        <v>1245</v>
      </c>
      <c r="G22" t="s">
        <v>1234</v>
      </c>
      <c r="H22" t="s">
        <v>1235</v>
      </c>
      <c r="I22" t="s">
        <v>1259</v>
      </c>
      <c r="J22" t="b">
        <v>1</v>
      </c>
      <c r="K22" t="s">
        <v>1240</v>
      </c>
      <c r="L22" s="31">
        <v>46147.398392870367</v>
      </c>
      <c r="N22" s="5">
        <v>45962</v>
      </c>
      <c r="O22" s="13" t="s">
        <v>1056</v>
      </c>
      <c r="P22" s="13" t="s">
        <v>1165</v>
      </c>
      <c r="Q22" s="13" t="s">
        <v>930</v>
      </c>
      <c r="R22" s="12">
        <v>2370700</v>
      </c>
      <c r="S22" s="12"/>
    </row>
    <row r="23" spans="4:19" x14ac:dyDescent="0.2">
      <c r="D23" t="s">
        <v>737</v>
      </c>
      <c r="E23" t="s">
        <v>738</v>
      </c>
      <c r="F23" t="s">
        <v>1246</v>
      </c>
      <c r="G23" t="s">
        <v>1235</v>
      </c>
      <c r="H23" t="s">
        <v>1235</v>
      </c>
      <c r="I23" t="s">
        <v>1261</v>
      </c>
      <c r="J23" t="b">
        <v>0</v>
      </c>
      <c r="K23" t="s">
        <v>1247</v>
      </c>
      <c r="L23" s="31">
        <v>46147.398392870367</v>
      </c>
      <c r="N23" s="5">
        <v>45962</v>
      </c>
      <c r="O23" s="13" t="s">
        <v>1056</v>
      </c>
      <c r="P23" s="13" t="s">
        <v>1144</v>
      </c>
      <c r="Q23" s="13" t="s">
        <v>927</v>
      </c>
      <c r="R23" s="12">
        <v>34800</v>
      </c>
      <c r="S23" s="12"/>
    </row>
    <row r="24" spans="4:19" x14ac:dyDescent="0.2">
      <c r="D24" t="s">
        <v>1263</v>
      </c>
      <c r="E24" t="s">
        <v>1264</v>
      </c>
      <c r="F24" t="s">
        <v>1239</v>
      </c>
      <c r="G24" t="s">
        <v>1234</v>
      </c>
      <c r="H24" t="s">
        <v>1235</v>
      </c>
      <c r="I24" t="s">
        <v>1232</v>
      </c>
      <c r="J24" t="b">
        <v>1</v>
      </c>
      <c r="K24" t="s">
        <v>1240</v>
      </c>
      <c r="L24" s="31">
        <v>46147.398392870367</v>
      </c>
      <c r="N24" s="5">
        <v>45962</v>
      </c>
      <c r="O24" s="13" t="s">
        <v>1057</v>
      </c>
      <c r="P24" s="13" t="s">
        <v>1144</v>
      </c>
      <c r="Q24" s="13" t="s">
        <v>927</v>
      </c>
      <c r="R24" s="12">
        <v>180100</v>
      </c>
      <c r="S24" s="12"/>
    </row>
    <row r="25" spans="4:19" x14ac:dyDescent="0.2">
      <c r="D25" t="s">
        <v>1265</v>
      </c>
      <c r="E25" t="s">
        <v>740</v>
      </c>
      <c r="F25" t="s">
        <v>1243</v>
      </c>
      <c r="G25" t="s">
        <v>1234</v>
      </c>
      <c r="H25" t="s">
        <v>1235</v>
      </c>
      <c r="I25" t="s">
        <v>1263</v>
      </c>
      <c r="J25" t="b">
        <v>1</v>
      </c>
      <c r="K25" t="s">
        <v>1240</v>
      </c>
      <c r="L25" s="31">
        <v>46147.398392870367</v>
      </c>
      <c r="N25" s="5">
        <v>45962</v>
      </c>
      <c r="O25" s="13" t="s">
        <v>1056</v>
      </c>
      <c r="P25" s="13" t="s">
        <v>1761</v>
      </c>
      <c r="Q25" s="13" t="s">
        <v>822</v>
      </c>
      <c r="R25" s="12">
        <v>0</v>
      </c>
      <c r="S25" s="12"/>
    </row>
    <row r="26" spans="4:19" x14ac:dyDescent="0.2">
      <c r="D26" t="s">
        <v>1266</v>
      </c>
      <c r="E26" t="s">
        <v>740</v>
      </c>
      <c r="F26" t="s">
        <v>1245</v>
      </c>
      <c r="G26" t="s">
        <v>1234</v>
      </c>
      <c r="H26" t="s">
        <v>1235</v>
      </c>
      <c r="I26" t="s">
        <v>1265</v>
      </c>
      <c r="J26" t="b">
        <v>1</v>
      </c>
      <c r="K26" t="s">
        <v>1240</v>
      </c>
      <c r="L26" s="31">
        <v>46147.398392870367</v>
      </c>
      <c r="N26" s="5">
        <v>45962</v>
      </c>
      <c r="O26" s="13" t="s">
        <v>1056</v>
      </c>
      <c r="P26" s="13" t="s">
        <v>1182</v>
      </c>
      <c r="Q26" s="13" t="s">
        <v>822</v>
      </c>
      <c r="R26" s="12">
        <v>1530000</v>
      </c>
      <c r="S26" s="12"/>
    </row>
    <row r="27" spans="4:19" x14ac:dyDescent="0.2">
      <c r="D27" t="s">
        <v>739</v>
      </c>
      <c r="E27" t="s">
        <v>740</v>
      </c>
      <c r="F27" t="s">
        <v>1246</v>
      </c>
      <c r="G27" t="s">
        <v>1235</v>
      </c>
      <c r="H27" t="s">
        <v>1235</v>
      </c>
      <c r="I27" t="s">
        <v>1266</v>
      </c>
      <c r="J27" t="b">
        <v>0</v>
      </c>
      <c r="K27" t="s">
        <v>1247</v>
      </c>
      <c r="L27" s="31">
        <v>46147.398392870367</v>
      </c>
      <c r="N27" s="5">
        <v>45962</v>
      </c>
      <c r="O27" s="13" t="s">
        <v>1056</v>
      </c>
      <c r="P27" s="13" t="s">
        <v>1184</v>
      </c>
      <c r="Q27" s="13" t="s">
        <v>822</v>
      </c>
      <c r="R27" s="12">
        <v>1530000</v>
      </c>
      <c r="S27" s="12"/>
    </row>
    <row r="28" spans="4:19" x14ac:dyDescent="0.2">
      <c r="D28" t="s">
        <v>1267</v>
      </c>
      <c r="E28" t="s">
        <v>1268</v>
      </c>
      <c r="F28" t="s">
        <v>1243</v>
      </c>
      <c r="G28" t="s">
        <v>1234</v>
      </c>
      <c r="H28" t="s">
        <v>1235</v>
      </c>
      <c r="I28" t="s">
        <v>1263</v>
      </c>
      <c r="J28" t="b">
        <v>1</v>
      </c>
      <c r="K28" t="s">
        <v>1240</v>
      </c>
      <c r="L28" s="31">
        <v>46147.398392870367</v>
      </c>
      <c r="N28" s="5">
        <v>45962</v>
      </c>
      <c r="O28" s="13" t="s">
        <v>1057</v>
      </c>
      <c r="P28" s="13" t="s">
        <v>1146</v>
      </c>
      <c r="Q28" s="13" t="s">
        <v>932</v>
      </c>
      <c r="R28" s="12">
        <v>1378100</v>
      </c>
      <c r="S28" s="12"/>
    </row>
    <row r="29" spans="4:19" x14ac:dyDescent="0.2">
      <c r="D29" t="s">
        <v>1269</v>
      </c>
      <c r="E29" t="s">
        <v>744</v>
      </c>
      <c r="F29" t="s">
        <v>1245</v>
      </c>
      <c r="G29" t="s">
        <v>1234</v>
      </c>
      <c r="H29" t="s">
        <v>1235</v>
      </c>
      <c r="I29" t="s">
        <v>1267</v>
      </c>
      <c r="J29" t="b">
        <v>1</v>
      </c>
      <c r="K29" t="s">
        <v>1240</v>
      </c>
      <c r="L29" s="31">
        <v>46147.398392870367</v>
      </c>
      <c r="N29" s="5">
        <v>45962</v>
      </c>
      <c r="O29" s="13" t="s">
        <v>1056</v>
      </c>
      <c r="P29" s="13" t="s">
        <v>1146</v>
      </c>
      <c r="Q29" s="13" t="s">
        <v>932</v>
      </c>
      <c r="R29" s="12">
        <v>265900</v>
      </c>
      <c r="S29" s="12"/>
    </row>
    <row r="30" spans="4:19" x14ac:dyDescent="0.2">
      <c r="D30" t="s">
        <v>743</v>
      </c>
      <c r="E30" t="s">
        <v>744</v>
      </c>
      <c r="F30" t="s">
        <v>1246</v>
      </c>
      <c r="G30" t="s">
        <v>1235</v>
      </c>
      <c r="H30" t="s">
        <v>1235</v>
      </c>
      <c r="I30" t="s">
        <v>1269</v>
      </c>
      <c r="J30" t="b">
        <v>0</v>
      </c>
      <c r="K30" t="s">
        <v>1247</v>
      </c>
      <c r="L30" s="31">
        <v>46147.398392870367</v>
      </c>
      <c r="N30" s="5">
        <v>45962</v>
      </c>
      <c r="O30" s="13" t="s">
        <v>1057</v>
      </c>
      <c r="P30" s="13" t="s">
        <v>1147</v>
      </c>
      <c r="Q30" s="13" t="s">
        <v>948</v>
      </c>
      <c r="R30" s="12">
        <v>2400000</v>
      </c>
      <c r="S30" s="12"/>
    </row>
    <row r="31" spans="4:19" x14ac:dyDescent="0.2">
      <c r="D31" t="s">
        <v>1270</v>
      </c>
      <c r="E31" t="s">
        <v>746</v>
      </c>
      <c r="F31" t="s">
        <v>1245</v>
      </c>
      <c r="G31" t="s">
        <v>1234</v>
      </c>
      <c r="H31" t="s">
        <v>1235</v>
      </c>
      <c r="I31" t="s">
        <v>1267</v>
      </c>
      <c r="J31" t="b">
        <v>1</v>
      </c>
      <c r="K31" t="s">
        <v>1240</v>
      </c>
      <c r="L31" s="31">
        <v>46147.398392870367</v>
      </c>
      <c r="N31" s="5">
        <v>45962</v>
      </c>
      <c r="O31" s="13" t="s">
        <v>1057</v>
      </c>
      <c r="P31" s="13" t="s">
        <v>1148</v>
      </c>
      <c r="Q31" s="13" t="s">
        <v>948</v>
      </c>
      <c r="R31" s="12">
        <v>6300000</v>
      </c>
      <c r="S31" s="12"/>
    </row>
    <row r="32" spans="4:19" x14ac:dyDescent="0.2">
      <c r="D32" t="s">
        <v>745</v>
      </c>
      <c r="E32" t="s">
        <v>746</v>
      </c>
      <c r="F32" t="s">
        <v>1246</v>
      </c>
      <c r="G32" t="s">
        <v>1235</v>
      </c>
      <c r="H32" t="s">
        <v>1235</v>
      </c>
      <c r="I32" t="s">
        <v>1270</v>
      </c>
      <c r="J32" t="b">
        <v>0</v>
      </c>
      <c r="K32" t="s">
        <v>1247</v>
      </c>
      <c r="L32" s="31">
        <v>46147.398392870367</v>
      </c>
      <c r="N32" s="5">
        <v>45962</v>
      </c>
      <c r="O32" s="13" t="s">
        <v>1056</v>
      </c>
      <c r="P32" s="13" t="s">
        <v>1680</v>
      </c>
      <c r="Q32" s="13" t="s">
        <v>944</v>
      </c>
      <c r="R32" s="12">
        <v>0</v>
      </c>
      <c r="S32" s="12"/>
    </row>
    <row r="33" spans="4:19" x14ac:dyDescent="0.2">
      <c r="D33" t="s">
        <v>1271</v>
      </c>
      <c r="E33" t="s">
        <v>1272</v>
      </c>
      <c r="F33" t="s">
        <v>1243</v>
      </c>
      <c r="G33" t="s">
        <v>1234</v>
      </c>
      <c r="H33" t="s">
        <v>1235</v>
      </c>
      <c r="I33" t="s">
        <v>1263</v>
      </c>
      <c r="J33" t="b">
        <v>1</v>
      </c>
      <c r="K33" t="s">
        <v>1240</v>
      </c>
      <c r="L33" s="31">
        <v>46147.398392870367</v>
      </c>
      <c r="N33" s="5">
        <v>45962</v>
      </c>
      <c r="O33" s="13" t="s">
        <v>1056</v>
      </c>
      <c r="P33" s="13" t="s">
        <v>1162</v>
      </c>
      <c r="Q33" s="13" t="s">
        <v>916</v>
      </c>
      <c r="R33" s="12">
        <v>200000</v>
      </c>
      <c r="S33" s="12"/>
    </row>
    <row r="34" spans="4:19" x14ac:dyDescent="0.2">
      <c r="D34" t="s">
        <v>1273</v>
      </c>
      <c r="E34" t="s">
        <v>748</v>
      </c>
      <c r="F34" t="s">
        <v>1245</v>
      </c>
      <c r="G34" t="s">
        <v>1234</v>
      </c>
      <c r="H34" t="s">
        <v>1235</v>
      </c>
      <c r="I34" t="s">
        <v>1271</v>
      </c>
      <c r="J34" t="b">
        <v>1</v>
      </c>
      <c r="K34" t="s">
        <v>1240</v>
      </c>
      <c r="L34" s="31">
        <v>46147.398392870367</v>
      </c>
      <c r="N34" s="5">
        <v>45962</v>
      </c>
      <c r="O34" s="13" t="s">
        <v>1056</v>
      </c>
      <c r="P34" s="13" t="s">
        <v>1163</v>
      </c>
      <c r="Q34" s="13" t="s">
        <v>916</v>
      </c>
      <c r="R34" s="12">
        <v>200000</v>
      </c>
      <c r="S34" s="12"/>
    </row>
    <row r="35" spans="4:19" x14ac:dyDescent="0.2">
      <c r="D35" t="s">
        <v>747</v>
      </c>
      <c r="E35" t="s">
        <v>748</v>
      </c>
      <c r="F35" t="s">
        <v>1246</v>
      </c>
      <c r="G35" t="s">
        <v>1235</v>
      </c>
      <c r="H35" t="s">
        <v>1235</v>
      </c>
      <c r="I35" t="s">
        <v>1273</v>
      </c>
      <c r="J35" t="b">
        <v>0</v>
      </c>
      <c r="K35" t="s">
        <v>1247</v>
      </c>
      <c r="L35" s="31">
        <v>46147.398392870367</v>
      </c>
      <c r="N35" s="5">
        <v>45962</v>
      </c>
      <c r="O35" s="13" t="s">
        <v>1056</v>
      </c>
      <c r="P35" s="13" t="s">
        <v>1164</v>
      </c>
      <c r="Q35" s="13" t="s">
        <v>916</v>
      </c>
      <c r="R35" s="12">
        <v>200000</v>
      </c>
      <c r="S35" s="12"/>
    </row>
    <row r="36" spans="4:19" x14ac:dyDescent="0.2">
      <c r="D36" t="s">
        <v>1274</v>
      </c>
      <c r="E36" t="s">
        <v>1275</v>
      </c>
      <c r="F36" t="s">
        <v>1245</v>
      </c>
      <c r="G36" t="s">
        <v>1234</v>
      </c>
      <c r="H36" t="s">
        <v>1235</v>
      </c>
      <c r="I36" t="s">
        <v>1271</v>
      </c>
      <c r="J36" t="b">
        <v>1</v>
      </c>
      <c r="K36" t="s">
        <v>1240</v>
      </c>
      <c r="L36" s="31">
        <v>46147.398392870367</v>
      </c>
      <c r="N36" s="5">
        <v>45962</v>
      </c>
      <c r="O36" s="13" t="s">
        <v>1057</v>
      </c>
      <c r="P36" s="13" t="s">
        <v>1681</v>
      </c>
      <c r="Q36" s="13" t="s">
        <v>993</v>
      </c>
      <c r="R36" s="12">
        <v>0</v>
      </c>
      <c r="S36" s="12"/>
    </row>
    <row r="37" spans="4:19" x14ac:dyDescent="0.2">
      <c r="D37" t="s">
        <v>749</v>
      </c>
      <c r="E37" t="s">
        <v>750</v>
      </c>
      <c r="F37" t="s">
        <v>1246</v>
      </c>
      <c r="G37" t="s">
        <v>1235</v>
      </c>
      <c r="H37" t="s">
        <v>1235</v>
      </c>
      <c r="I37" t="s">
        <v>1274</v>
      </c>
      <c r="J37" t="b">
        <v>0</v>
      </c>
      <c r="K37" t="s">
        <v>1247</v>
      </c>
      <c r="L37" s="31">
        <v>46147.398392870367</v>
      </c>
      <c r="N37" s="5">
        <v>45962</v>
      </c>
      <c r="O37" s="13" t="s">
        <v>1057</v>
      </c>
      <c r="P37" s="13" t="s">
        <v>1143</v>
      </c>
      <c r="Q37" s="13" t="s">
        <v>993</v>
      </c>
      <c r="R37" s="12">
        <v>60000</v>
      </c>
      <c r="S37" s="12"/>
    </row>
    <row r="38" spans="4:19" x14ac:dyDescent="0.2">
      <c r="D38" t="s">
        <v>751</v>
      </c>
      <c r="E38" t="s">
        <v>752</v>
      </c>
      <c r="F38" t="s">
        <v>1246</v>
      </c>
      <c r="G38" t="s">
        <v>1235</v>
      </c>
      <c r="H38" t="s">
        <v>1235</v>
      </c>
      <c r="I38" t="s">
        <v>1274</v>
      </c>
      <c r="J38" t="b">
        <v>0</v>
      </c>
      <c r="K38" t="s">
        <v>1247</v>
      </c>
      <c r="L38" s="31">
        <v>46147.398392870367</v>
      </c>
      <c r="N38" s="5">
        <v>45962</v>
      </c>
      <c r="O38" s="13" t="s">
        <v>1057</v>
      </c>
      <c r="P38" s="13" t="s">
        <v>1779</v>
      </c>
      <c r="Q38" s="13" t="s">
        <v>993</v>
      </c>
      <c r="R38" s="12">
        <v>86667</v>
      </c>
      <c r="S38" s="12"/>
    </row>
    <row r="39" spans="4:19" x14ac:dyDescent="0.2">
      <c r="D39" t="s">
        <v>753</v>
      </c>
      <c r="E39" t="s">
        <v>754</v>
      </c>
      <c r="F39" t="s">
        <v>1246</v>
      </c>
      <c r="G39" t="s">
        <v>1235</v>
      </c>
      <c r="H39" t="s">
        <v>1235</v>
      </c>
      <c r="I39" t="s">
        <v>1274</v>
      </c>
      <c r="J39" t="b">
        <v>0</v>
      </c>
      <c r="K39" t="s">
        <v>1247</v>
      </c>
      <c r="L39" s="31">
        <v>46147.398392870367</v>
      </c>
      <c r="N39" s="5">
        <v>45962</v>
      </c>
      <c r="O39" s="13" t="s">
        <v>1057</v>
      </c>
      <c r="P39" s="13" t="s">
        <v>1793</v>
      </c>
      <c r="Q39" s="13" t="s">
        <v>993</v>
      </c>
      <c r="R39" s="12">
        <v>200000</v>
      </c>
      <c r="S39" s="12"/>
    </row>
    <row r="40" spans="4:19" x14ac:dyDescent="0.2">
      <c r="D40" t="s">
        <v>755</v>
      </c>
      <c r="E40" t="s">
        <v>756</v>
      </c>
      <c r="F40" t="s">
        <v>1246</v>
      </c>
      <c r="G40" t="s">
        <v>1235</v>
      </c>
      <c r="H40" t="s">
        <v>1235</v>
      </c>
      <c r="I40" t="s">
        <v>1274</v>
      </c>
      <c r="J40" t="b">
        <v>0</v>
      </c>
      <c r="K40" t="s">
        <v>1247</v>
      </c>
      <c r="L40" s="31">
        <v>46147.398392870367</v>
      </c>
      <c r="N40" s="5">
        <v>45962</v>
      </c>
      <c r="O40" s="13" t="s">
        <v>1056</v>
      </c>
      <c r="P40" s="13" t="s">
        <v>1164</v>
      </c>
      <c r="Q40" s="13" t="s">
        <v>938</v>
      </c>
      <c r="R40" s="12">
        <v>338520</v>
      </c>
      <c r="S40" s="12"/>
    </row>
    <row r="41" spans="4:19" x14ac:dyDescent="0.2">
      <c r="D41" t="s">
        <v>757</v>
      </c>
      <c r="E41" t="s">
        <v>758</v>
      </c>
      <c r="F41" t="s">
        <v>1246</v>
      </c>
      <c r="G41" t="s">
        <v>1235</v>
      </c>
      <c r="H41" t="s">
        <v>1235</v>
      </c>
      <c r="I41" t="s">
        <v>1274</v>
      </c>
      <c r="J41" t="b">
        <v>0</v>
      </c>
      <c r="K41" t="s">
        <v>1247</v>
      </c>
      <c r="L41" s="31">
        <v>46147.398392870367</v>
      </c>
      <c r="N41" s="5">
        <v>45962</v>
      </c>
      <c r="O41" s="13" t="s">
        <v>1056</v>
      </c>
      <c r="P41" s="13" t="s">
        <v>1202</v>
      </c>
      <c r="Q41" s="13" t="s">
        <v>978</v>
      </c>
      <c r="R41" s="12">
        <v>339905</v>
      </c>
      <c r="S41" s="12"/>
    </row>
    <row r="42" spans="4:19" x14ac:dyDescent="0.2">
      <c r="D42" t="s">
        <v>1276</v>
      </c>
      <c r="E42" t="s">
        <v>1277</v>
      </c>
      <c r="F42" t="s">
        <v>1245</v>
      </c>
      <c r="G42" t="s">
        <v>1234</v>
      </c>
      <c r="H42" t="s">
        <v>1235</v>
      </c>
      <c r="I42" t="s">
        <v>1271</v>
      </c>
      <c r="J42" t="b">
        <v>1</v>
      </c>
      <c r="K42" t="s">
        <v>1240</v>
      </c>
      <c r="L42" s="31">
        <v>46147.398392870367</v>
      </c>
      <c r="N42" s="5">
        <v>45962</v>
      </c>
      <c r="O42" s="13" t="s">
        <v>1056</v>
      </c>
      <c r="P42" s="13" t="s">
        <v>1220</v>
      </c>
      <c r="Q42" s="13" t="s">
        <v>978</v>
      </c>
      <c r="R42" s="12">
        <v>0</v>
      </c>
      <c r="S42" s="12"/>
    </row>
    <row r="43" spans="4:19" x14ac:dyDescent="0.2">
      <c r="D43" t="s">
        <v>759</v>
      </c>
      <c r="E43" t="s">
        <v>760</v>
      </c>
      <c r="F43" t="s">
        <v>1246</v>
      </c>
      <c r="G43" t="s">
        <v>1235</v>
      </c>
      <c r="H43" t="s">
        <v>1235</v>
      </c>
      <c r="I43" t="s">
        <v>1276</v>
      </c>
      <c r="J43" t="b">
        <v>0</v>
      </c>
      <c r="K43" t="s">
        <v>1247</v>
      </c>
      <c r="L43" s="31">
        <v>46147.398392870367</v>
      </c>
      <c r="N43" s="5">
        <v>45962</v>
      </c>
      <c r="O43" s="13" t="s">
        <v>1056</v>
      </c>
      <c r="P43" s="13" t="s">
        <v>1762</v>
      </c>
      <c r="Q43" s="13" t="s">
        <v>978</v>
      </c>
      <c r="R43" s="12">
        <v>0</v>
      </c>
      <c r="S43" s="12"/>
    </row>
    <row r="44" spans="4:19" x14ac:dyDescent="0.2">
      <c r="D44" t="s">
        <v>1278</v>
      </c>
      <c r="E44" t="s">
        <v>1279</v>
      </c>
      <c r="F44" t="s">
        <v>1245</v>
      </c>
      <c r="G44" t="s">
        <v>1234</v>
      </c>
      <c r="H44" t="s">
        <v>1235</v>
      </c>
      <c r="I44" t="s">
        <v>1271</v>
      </c>
      <c r="J44" t="b">
        <v>1</v>
      </c>
      <c r="K44" t="s">
        <v>1240</v>
      </c>
      <c r="L44" s="31">
        <v>46147.398392870367</v>
      </c>
      <c r="N44" s="5">
        <v>45962</v>
      </c>
      <c r="O44" s="13" t="s">
        <v>1056</v>
      </c>
      <c r="P44" s="13" t="s">
        <v>1686</v>
      </c>
      <c r="Q44" s="13" t="s">
        <v>978</v>
      </c>
      <c r="R44" s="12">
        <v>0</v>
      </c>
      <c r="S44" s="12"/>
    </row>
    <row r="45" spans="4:19" x14ac:dyDescent="0.2">
      <c r="D45" t="s">
        <v>761</v>
      </c>
      <c r="E45" t="s">
        <v>762</v>
      </c>
      <c r="F45" t="s">
        <v>1246</v>
      </c>
      <c r="G45" t="s">
        <v>1235</v>
      </c>
      <c r="H45" t="s">
        <v>1235</v>
      </c>
      <c r="I45" t="s">
        <v>1278</v>
      </c>
      <c r="J45" t="b">
        <v>0</v>
      </c>
      <c r="K45" t="s">
        <v>1247</v>
      </c>
      <c r="L45" s="31">
        <v>46147.398392870367</v>
      </c>
      <c r="N45" s="5">
        <v>45962</v>
      </c>
      <c r="O45" s="13" t="s">
        <v>1056</v>
      </c>
      <c r="P45" s="13" t="s">
        <v>1794</v>
      </c>
      <c r="Q45" s="13" t="s">
        <v>978</v>
      </c>
      <c r="R45" s="12">
        <v>0</v>
      </c>
      <c r="S45" s="12"/>
    </row>
    <row r="46" spans="4:19" x14ac:dyDescent="0.2">
      <c r="D46" t="s">
        <v>763</v>
      </c>
      <c r="E46" t="s">
        <v>764</v>
      </c>
      <c r="F46" t="s">
        <v>1246</v>
      </c>
      <c r="G46" t="s">
        <v>1235</v>
      </c>
      <c r="H46" t="s">
        <v>1235</v>
      </c>
      <c r="I46" t="s">
        <v>1278</v>
      </c>
      <c r="J46" t="b">
        <v>0</v>
      </c>
      <c r="K46" t="s">
        <v>1247</v>
      </c>
      <c r="L46" s="31">
        <v>46147.398392870367</v>
      </c>
      <c r="N46" s="5">
        <v>45962</v>
      </c>
      <c r="O46" s="13" t="s">
        <v>1056</v>
      </c>
      <c r="P46" s="13" t="s">
        <v>1795</v>
      </c>
      <c r="Q46" s="13" t="s">
        <v>978</v>
      </c>
      <c r="R46" s="12">
        <v>0</v>
      </c>
      <c r="S46" s="12"/>
    </row>
    <row r="47" spans="4:19" x14ac:dyDescent="0.2">
      <c r="D47" t="s">
        <v>765</v>
      </c>
      <c r="E47" t="s">
        <v>766</v>
      </c>
      <c r="F47" t="s">
        <v>1246</v>
      </c>
      <c r="G47" t="s">
        <v>1235</v>
      </c>
      <c r="H47" t="s">
        <v>1235</v>
      </c>
      <c r="I47" t="s">
        <v>1278</v>
      </c>
      <c r="J47" t="b">
        <v>0</v>
      </c>
      <c r="K47" t="s">
        <v>1247</v>
      </c>
      <c r="L47" s="31">
        <v>46147.398392870367</v>
      </c>
      <c r="N47" s="5">
        <v>45962</v>
      </c>
      <c r="O47" s="13" t="s">
        <v>1056</v>
      </c>
      <c r="P47" s="13" t="s">
        <v>1197</v>
      </c>
      <c r="Q47" s="13" t="s">
        <v>978</v>
      </c>
      <c r="R47" s="12">
        <v>0</v>
      </c>
      <c r="S47" s="12"/>
    </row>
    <row r="48" spans="4:19" x14ac:dyDescent="0.2">
      <c r="D48" t="s">
        <v>1280</v>
      </c>
      <c r="E48" t="s">
        <v>1281</v>
      </c>
      <c r="F48" t="s">
        <v>1245</v>
      </c>
      <c r="G48" t="s">
        <v>1234</v>
      </c>
      <c r="H48" t="s">
        <v>1235</v>
      </c>
      <c r="I48" t="s">
        <v>1271</v>
      </c>
      <c r="J48" t="b">
        <v>1</v>
      </c>
      <c r="K48" t="s">
        <v>1240</v>
      </c>
      <c r="L48" s="31">
        <v>46147.398392870367</v>
      </c>
      <c r="N48" s="5">
        <v>45962</v>
      </c>
      <c r="O48" s="13" t="s">
        <v>1056</v>
      </c>
      <c r="P48" s="13" t="s">
        <v>1751</v>
      </c>
      <c r="Q48" s="13" t="s">
        <v>978</v>
      </c>
      <c r="R48" s="12">
        <v>0</v>
      </c>
      <c r="S48" s="12"/>
    </row>
    <row r="49" spans="4:19" x14ac:dyDescent="0.2">
      <c r="D49" t="s">
        <v>767</v>
      </c>
      <c r="E49" t="s">
        <v>768</v>
      </c>
      <c r="F49" t="s">
        <v>1246</v>
      </c>
      <c r="G49" t="s">
        <v>1235</v>
      </c>
      <c r="H49" t="s">
        <v>1235</v>
      </c>
      <c r="I49" t="s">
        <v>1280</v>
      </c>
      <c r="J49" t="b">
        <v>0</v>
      </c>
      <c r="K49" t="s">
        <v>1247</v>
      </c>
      <c r="L49" s="31">
        <v>46147.398392870367</v>
      </c>
      <c r="N49" s="5">
        <v>45962</v>
      </c>
      <c r="O49" s="13" t="s">
        <v>1056</v>
      </c>
      <c r="P49" s="13" t="s">
        <v>1683</v>
      </c>
      <c r="Q49" s="13" t="s">
        <v>978</v>
      </c>
      <c r="R49" s="12">
        <v>0</v>
      </c>
      <c r="S49" s="12"/>
    </row>
    <row r="50" spans="4:19" x14ac:dyDescent="0.2">
      <c r="D50" t="s">
        <v>1282</v>
      </c>
      <c r="E50" t="s">
        <v>1283</v>
      </c>
      <c r="F50" t="s">
        <v>1243</v>
      </c>
      <c r="G50" t="s">
        <v>1234</v>
      </c>
      <c r="H50" t="s">
        <v>1235</v>
      </c>
      <c r="I50" t="s">
        <v>1263</v>
      </c>
      <c r="J50" t="b">
        <v>1</v>
      </c>
      <c r="K50" t="s">
        <v>1240</v>
      </c>
      <c r="L50" s="31">
        <v>46147.398392870367</v>
      </c>
      <c r="N50" s="5">
        <v>45962</v>
      </c>
      <c r="O50" s="13" t="s">
        <v>1056</v>
      </c>
      <c r="P50" s="13" t="s">
        <v>1168</v>
      </c>
      <c r="Q50" s="13" t="s">
        <v>978</v>
      </c>
      <c r="R50" s="12">
        <v>0</v>
      </c>
      <c r="S50" s="12"/>
    </row>
    <row r="51" spans="4:19" x14ac:dyDescent="0.2">
      <c r="D51" t="s">
        <v>1284</v>
      </c>
      <c r="E51" t="s">
        <v>770</v>
      </c>
      <c r="F51" t="s">
        <v>1245</v>
      </c>
      <c r="G51" t="s">
        <v>1234</v>
      </c>
      <c r="H51" t="s">
        <v>1235</v>
      </c>
      <c r="I51" t="s">
        <v>1282</v>
      </c>
      <c r="J51" t="b">
        <v>1</v>
      </c>
      <c r="K51" t="s">
        <v>1240</v>
      </c>
      <c r="L51" s="31">
        <v>46147.398392870367</v>
      </c>
      <c r="N51" s="5">
        <v>45962</v>
      </c>
      <c r="O51" s="13" t="s">
        <v>1056</v>
      </c>
      <c r="P51" s="13" t="s">
        <v>1796</v>
      </c>
      <c r="Q51" s="13" t="s">
        <v>978</v>
      </c>
      <c r="R51" s="12">
        <v>0</v>
      </c>
      <c r="S51" s="12"/>
    </row>
    <row r="52" spans="4:19" x14ac:dyDescent="0.2">
      <c r="D52" t="s">
        <v>769</v>
      </c>
      <c r="E52" t="s">
        <v>770</v>
      </c>
      <c r="F52" t="s">
        <v>1246</v>
      </c>
      <c r="G52" t="s">
        <v>1235</v>
      </c>
      <c r="H52" t="s">
        <v>1235</v>
      </c>
      <c r="I52" t="s">
        <v>1284</v>
      </c>
      <c r="J52" t="b">
        <v>0</v>
      </c>
      <c r="K52" t="s">
        <v>1247</v>
      </c>
      <c r="L52" s="31">
        <v>46147.398392870367</v>
      </c>
      <c r="N52" s="5">
        <v>45962</v>
      </c>
      <c r="O52" s="13" t="s">
        <v>1056</v>
      </c>
      <c r="P52" s="13" t="s">
        <v>1685</v>
      </c>
      <c r="Q52" s="13" t="s">
        <v>978</v>
      </c>
      <c r="R52" s="12">
        <v>0</v>
      </c>
      <c r="S52" s="12"/>
    </row>
    <row r="53" spans="4:19" x14ac:dyDescent="0.2">
      <c r="D53" t="s">
        <v>1285</v>
      </c>
      <c r="E53" t="s">
        <v>772</v>
      </c>
      <c r="F53" t="s">
        <v>1245</v>
      </c>
      <c r="G53" t="s">
        <v>1234</v>
      </c>
      <c r="H53" t="s">
        <v>1235</v>
      </c>
      <c r="I53" t="s">
        <v>1282</v>
      </c>
      <c r="J53" t="b">
        <v>1</v>
      </c>
      <c r="K53" t="s">
        <v>1240</v>
      </c>
      <c r="L53" s="31">
        <v>46147.398392870367</v>
      </c>
      <c r="N53" s="5">
        <v>45962</v>
      </c>
      <c r="O53" s="13" t="s">
        <v>1056</v>
      </c>
      <c r="P53" s="13" t="s">
        <v>1198</v>
      </c>
      <c r="Q53" s="13" t="s">
        <v>978</v>
      </c>
      <c r="R53" s="12">
        <v>0</v>
      </c>
      <c r="S53" s="12"/>
    </row>
    <row r="54" spans="4:19" x14ac:dyDescent="0.2">
      <c r="D54" t="s">
        <v>771</v>
      </c>
      <c r="E54" t="s">
        <v>772</v>
      </c>
      <c r="F54" t="s">
        <v>1246</v>
      </c>
      <c r="G54" t="s">
        <v>1235</v>
      </c>
      <c r="H54" t="s">
        <v>1235</v>
      </c>
      <c r="I54" t="s">
        <v>1285</v>
      </c>
      <c r="J54" t="b">
        <v>0</v>
      </c>
      <c r="K54" t="s">
        <v>1247</v>
      </c>
      <c r="L54" s="31">
        <v>46147.398392870367</v>
      </c>
      <c r="N54" s="5">
        <v>45962</v>
      </c>
      <c r="O54" s="13" t="s">
        <v>1056</v>
      </c>
      <c r="P54" s="13" t="s">
        <v>1684</v>
      </c>
      <c r="Q54" s="13" t="s">
        <v>978</v>
      </c>
      <c r="R54" s="12">
        <v>0</v>
      </c>
      <c r="S54" s="12"/>
    </row>
    <row r="55" spans="4:19" x14ac:dyDescent="0.2">
      <c r="D55" t="s">
        <v>1286</v>
      </c>
      <c r="E55" t="s">
        <v>1287</v>
      </c>
      <c r="F55" t="s">
        <v>1239</v>
      </c>
      <c r="G55" t="s">
        <v>1234</v>
      </c>
      <c r="H55" t="s">
        <v>1235</v>
      </c>
      <c r="I55" t="s">
        <v>1232</v>
      </c>
      <c r="J55" t="b">
        <v>1</v>
      </c>
      <c r="K55" t="s">
        <v>1240</v>
      </c>
      <c r="L55" s="31">
        <v>46147.398392870367</v>
      </c>
      <c r="N55" s="5">
        <v>45962</v>
      </c>
      <c r="O55" s="13" t="s">
        <v>1056</v>
      </c>
      <c r="P55" s="13" t="s">
        <v>1682</v>
      </c>
      <c r="Q55" s="13" t="s">
        <v>978</v>
      </c>
      <c r="R55" s="12">
        <v>0</v>
      </c>
      <c r="S55" s="12"/>
    </row>
    <row r="56" spans="4:19" x14ac:dyDescent="0.2">
      <c r="D56" t="s">
        <v>1288</v>
      </c>
      <c r="E56" t="s">
        <v>1289</v>
      </c>
      <c r="F56" t="s">
        <v>1243</v>
      </c>
      <c r="G56" t="s">
        <v>1234</v>
      </c>
      <c r="H56" t="s">
        <v>1235</v>
      </c>
      <c r="I56" t="s">
        <v>1286</v>
      </c>
      <c r="J56" t="b">
        <v>1</v>
      </c>
      <c r="K56" t="s">
        <v>1240</v>
      </c>
      <c r="L56" s="31">
        <v>46147.398392870367</v>
      </c>
      <c r="N56" s="5">
        <v>45962</v>
      </c>
      <c r="O56" s="13" t="s">
        <v>1057</v>
      </c>
      <c r="P56" s="13" t="s">
        <v>1793</v>
      </c>
      <c r="Q56" s="13" t="s">
        <v>860</v>
      </c>
      <c r="R56" s="12">
        <v>269171</v>
      </c>
      <c r="S56" s="12"/>
    </row>
    <row r="57" spans="4:19" x14ac:dyDescent="0.2">
      <c r="D57" t="s">
        <v>1290</v>
      </c>
      <c r="E57" t="s">
        <v>1291</v>
      </c>
      <c r="F57" t="s">
        <v>1245</v>
      </c>
      <c r="G57" t="s">
        <v>1234</v>
      </c>
      <c r="H57" t="s">
        <v>1235</v>
      </c>
      <c r="I57" t="s">
        <v>1288</v>
      </c>
      <c r="J57" t="b">
        <v>1</v>
      </c>
      <c r="K57" t="s">
        <v>1240</v>
      </c>
      <c r="L57" s="31">
        <v>46147.398392870367</v>
      </c>
      <c r="N57" s="5">
        <v>45962</v>
      </c>
      <c r="O57" s="13" t="s">
        <v>1057</v>
      </c>
      <c r="P57" s="13" t="s">
        <v>1687</v>
      </c>
      <c r="Q57" s="13" t="s">
        <v>860</v>
      </c>
      <c r="R57" s="12">
        <v>0</v>
      </c>
      <c r="S57" s="12"/>
    </row>
    <row r="58" spans="4:19" x14ac:dyDescent="0.2">
      <c r="D58" t="s">
        <v>773</v>
      </c>
      <c r="E58" t="s">
        <v>774</v>
      </c>
      <c r="F58" t="s">
        <v>1246</v>
      </c>
      <c r="G58" t="s">
        <v>1235</v>
      </c>
      <c r="H58" t="s">
        <v>1235</v>
      </c>
      <c r="I58" t="s">
        <v>1290</v>
      </c>
      <c r="J58" t="b">
        <v>0</v>
      </c>
      <c r="K58" t="s">
        <v>1247</v>
      </c>
      <c r="L58" s="31">
        <v>46147.398392870367</v>
      </c>
      <c r="N58" s="5">
        <v>45962</v>
      </c>
      <c r="O58" s="13" t="s">
        <v>1057</v>
      </c>
      <c r="P58" s="13" t="s">
        <v>1681</v>
      </c>
      <c r="Q58" s="13" t="s">
        <v>860</v>
      </c>
      <c r="R58" s="12">
        <v>0</v>
      </c>
      <c r="S58" s="12"/>
    </row>
    <row r="59" spans="4:19" x14ac:dyDescent="0.2">
      <c r="D59" t="s">
        <v>775</v>
      </c>
      <c r="E59" t="s">
        <v>776</v>
      </c>
      <c r="F59" t="s">
        <v>1246</v>
      </c>
      <c r="G59" t="s">
        <v>1235</v>
      </c>
      <c r="H59" t="s">
        <v>1235</v>
      </c>
      <c r="I59" t="s">
        <v>1290</v>
      </c>
      <c r="J59" t="b">
        <v>0</v>
      </c>
      <c r="K59" t="s">
        <v>1247</v>
      </c>
      <c r="L59" s="31">
        <v>46147.398392870367</v>
      </c>
      <c r="N59" s="5">
        <v>45962</v>
      </c>
      <c r="O59" s="13" t="s">
        <v>1057</v>
      </c>
      <c r="P59" s="13" t="s">
        <v>1779</v>
      </c>
      <c r="Q59" s="13" t="s">
        <v>860</v>
      </c>
      <c r="R59" s="12">
        <v>-64630</v>
      </c>
      <c r="S59" s="12"/>
    </row>
    <row r="60" spans="4:19" x14ac:dyDescent="0.2">
      <c r="D60" t="s">
        <v>777</v>
      </c>
      <c r="E60" t="s">
        <v>778</v>
      </c>
      <c r="F60" t="s">
        <v>1246</v>
      </c>
      <c r="G60" t="s">
        <v>1235</v>
      </c>
      <c r="H60" t="s">
        <v>1235</v>
      </c>
      <c r="I60" t="s">
        <v>1290</v>
      </c>
      <c r="J60" t="b">
        <v>0</v>
      </c>
      <c r="K60" t="s">
        <v>1247</v>
      </c>
      <c r="L60" s="31">
        <v>46147.398392870367</v>
      </c>
      <c r="N60" s="5">
        <v>45962</v>
      </c>
      <c r="O60" s="13" t="s">
        <v>1056</v>
      </c>
      <c r="P60" s="13" t="s">
        <v>1164</v>
      </c>
      <c r="Q60" s="13" t="s">
        <v>860</v>
      </c>
      <c r="R60" s="12">
        <v>153189</v>
      </c>
      <c r="S60" s="12"/>
    </row>
    <row r="61" spans="4:19" x14ac:dyDescent="0.2">
      <c r="D61" t="s">
        <v>1292</v>
      </c>
      <c r="E61" t="s">
        <v>1293</v>
      </c>
      <c r="F61" t="s">
        <v>1239</v>
      </c>
      <c r="G61" t="s">
        <v>1234</v>
      </c>
      <c r="H61" t="s">
        <v>1235</v>
      </c>
      <c r="I61" t="s">
        <v>1232</v>
      </c>
      <c r="J61" t="b">
        <v>1</v>
      </c>
      <c r="K61" t="s">
        <v>1240</v>
      </c>
      <c r="L61" s="31">
        <v>46147.398392870367</v>
      </c>
      <c r="N61" s="5">
        <v>45962</v>
      </c>
      <c r="O61" s="13" t="s">
        <v>1056</v>
      </c>
      <c r="P61" s="13" t="s">
        <v>1162</v>
      </c>
      <c r="Q61" s="13" t="s">
        <v>860</v>
      </c>
      <c r="R61" s="12">
        <v>225556</v>
      </c>
      <c r="S61" s="12"/>
    </row>
    <row r="62" spans="4:19" x14ac:dyDescent="0.2">
      <c r="D62" t="s">
        <v>1294</v>
      </c>
      <c r="E62" t="s">
        <v>782</v>
      </c>
      <c r="F62" t="s">
        <v>1243</v>
      </c>
      <c r="G62" t="s">
        <v>1234</v>
      </c>
      <c r="H62" t="s">
        <v>1235</v>
      </c>
      <c r="I62" t="s">
        <v>1292</v>
      </c>
      <c r="J62" t="b">
        <v>1</v>
      </c>
      <c r="K62" t="s">
        <v>1240</v>
      </c>
      <c r="L62" s="31">
        <v>46147.398392870367</v>
      </c>
      <c r="N62" s="5">
        <v>45962</v>
      </c>
      <c r="O62" s="13" t="s">
        <v>1056</v>
      </c>
      <c r="P62" s="13" t="s">
        <v>1163</v>
      </c>
      <c r="Q62" s="13" t="s">
        <v>860</v>
      </c>
      <c r="R62" s="12">
        <v>225556</v>
      </c>
      <c r="S62" s="12"/>
    </row>
    <row r="63" spans="4:19" x14ac:dyDescent="0.2">
      <c r="D63" t="s">
        <v>1295</v>
      </c>
      <c r="E63" t="s">
        <v>780</v>
      </c>
      <c r="F63" t="s">
        <v>1245</v>
      </c>
      <c r="G63" t="s">
        <v>1234</v>
      </c>
      <c r="H63" t="s">
        <v>1235</v>
      </c>
      <c r="I63" t="s">
        <v>1294</v>
      </c>
      <c r="J63" t="b">
        <v>1</v>
      </c>
      <c r="K63" t="s">
        <v>1240</v>
      </c>
      <c r="L63" s="31">
        <v>46147.398392870367</v>
      </c>
      <c r="N63" s="5">
        <v>45962</v>
      </c>
      <c r="O63" s="13" t="s">
        <v>1057</v>
      </c>
      <c r="P63" s="13" t="s">
        <v>1688</v>
      </c>
      <c r="Q63" s="13" t="s">
        <v>972</v>
      </c>
      <c r="R63" s="12"/>
      <c r="S63" s="12">
        <v>325001</v>
      </c>
    </row>
    <row r="64" spans="4:19" x14ac:dyDescent="0.2">
      <c r="D64" t="s">
        <v>779</v>
      </c>
      <c r="E64" t="s">
        <v>780</v>
      </c>
      <c r="F64" t="s">
        <v>1246</v>
      </c>
      <c r="G64" t="s">
        <v>1235</v>
      </c>
      <c r="H64" t="s">
        <v>1235</v>
      </c>
      <c r="I64" t="s">
        <v>1295</v>
      </c>
      <c r="J64" t="b">
        <v>0</v>
      </c>
      <c r="K64" t="s">
        <v>1247</v>
      </c>
      <c r="L64" s="31">
        <v>46147.398392870367</v>
      </c>
      <c r="N64" s="5">
        <v>45962</v>
      </c>
      <c r="O64" s="13" t="s">
        <v>1058</v>
      </c>
      <c r="P64" s="13" t="s">
        <v>1161</v>
      </c>
      <c r="Q64" s="13" t="s">
        <v>972</v>
      </c>
      <c r="R64" s="12">
        <v>0</v>
      </c>
      <c r="S64" s="12"/>
    </row>
    <row r="65" spans="4:19" x14ac:dyDescent="0.2">
      <c r="D65" t="s">
        <v>1296</v>
      </c>
      <c r="E65" t="s">
        <v>1297</v>
      </c>
      <c r="F65" t="s">
        <v>1243</v>
      </c>
      <c r="G65" t="s">
        <v>1234</v>
      </c>
      <c r="H65" t="s">
        <v>1235</v>
      </c>
      <c r="I65" t="s">
        <v>1292</v>
      </c>
      <c r="J65" t="b">
        <v>1</v>
      </c>
      <c r="K65" t="s">
        <v>1240</v>
      </c>
      <c r="L65" s="31">
        <v>46147.398392870367</v>
      </c>
      <c r="N65" s="5">
        <v>45962</v>
      </c>
      <c r="O65" s="13" t="s">
        <v>1058</v>
      </c>
      <c r="P65" s="13" t="s">
        <v>1177</v>
      </c>
      <c r="Q65" s="13" t="s">
        <v>972</v>
      </c>
      <c r="R65" s="12">
        <v>0</v>
      </c>
      <c r="S65" s="12"/>
    </row>
    <row r="66" spans="4:19" x14ac:dyDescent="0.2">
      <c r="D66" t="s">
        <v>1298</v>
      </c>
      <c r="E66" t="s">
        <v>782</v>
      </c>
      <c r="F66" t="s">
        <v>1245</v>
      </c>
      <c r="G66" t="s">
        <v>1234</v>
      </c>
      <c r="H66" t="s">
        <v>1235</v>
      </c>
      <c r="I66" t="s">
        <v>1296</v>
      </c>
      <c r="J66" t="b">
        <v>1</v>
      </c>
      <c r="K66" t="s">
        <v>1240</v>
      </c>
      <c r="L66" s="31">
        <v>46147.398392870367</v>
      </c>
      <c r="N66" s="5">
        <v>45962</v>
      </c>
      <c r="O66" s="13" t="s">
        <v>1057</v>
      </c>
      <c r="P66" s="13" t="s">
        <v>1161</v>
      </c>
      <c r="Q66" s="13" t="s">
        <v>972</v>
      </c>
      <c r="R66" s="12"/>
      <c r="S66" s="12">
        <v>571623</v>
      </c>
    </row>
    <row r="67" spans="4:19" x14ac:dyDescent="0.2">
      <c r="D67" t="s">
        <v>781</v>
      </c>
      <c r="E67" t="s">
        <v>782</v>
      </c>
      <c r="F67" t="s">
        <v>1246</v>
      </c>
      <c r="G67" t="s">
        <v>1235</v>
      </c>
      <c r="H67" t="s">
        <v>1235</v>
      </c>
      <c r="I67" t="s">
        <v>1298</v>
      </c>
      <c r="J67" t="b">
        <v>0</v>
      </c>
      <c r="K67" t="s">
        <v>1247</v>
      </c>
      <c r="L67" s="31">
        <v>46147.398392870367</v>
      </c>
      <c r="N67" s="5">
        <v>45962</v>
      </c>
      <c r="O67" s="13" t="s">
        <v>1057</v>
      </c>
      <c r="P67" s="13" t="s">
        <v>1779</v>
      </c>
      <c r="Q67" s="13" t="s">
        <v>972</v>
      </c>
      <c r="R67" s="12"/>
      <c r="S67" s="12">
        <v>192857</v>
      </c>
    </row>
    <row r="68" spans="4:19" x14ac:dyDescent="0.2">
      <c r="D68" t="s">
        <v>1299</v>
      </c>
      <c r="E68" t="s">
        <v>1300</v>
      </c>
      <c r="F68" t="s">
        <v>1233</v>
      </c>
      <c r="G68" t="s">
        <v>1234</v>
      </c>
      <c r="H68" t="s">
        <v>1235</v>
      </c>
      <c r="J68" t="b">
        <v>1</v>
      </c>
      <c r="K68" t="s">
        <v>1236</v>
      </c>
      <c r="L68" s="31">
        <v>46147.398392870367</v>
      </c>
      <c r="N68" s="5">
        <v>45962</v>
      </c>
      <c r="O68" s="13" t="s">
        <v>1057</v>
      </c>
      <c r="P68" s="13" t="s">
        <v>1157</v>
      </c>
      <c r="Q68" s="13" t="s">
        <v>972</v>
      </c>
      <c r="R68" s="12"/>
      <c r="S68" s="12">
        <v>185544.35</v>
      </c>
    </row>
    <row r="69" spans="4:19" x14ac:dyDescent="0.2">
      <c r="D69" t="s">
        <v>1301</v>
      </c>
      <c r="E69" t="s">
        <v>1302</v>
      </c>
      <c r="F69" t="s">
        <v>1239</v>
      </c>
      <c r="G69" t="s">
        <v>1234</v>
      </c>
      <c r="H69" t="s">
        <v>1235</v>
      </c>
      <c r="I69" t="s">
        <v>1299</v>
      </c>
      <c r="J69" t="b">
        <v>1</v>
      </c>
      <c r="K69" t="s">
        <v>1240</v>
      </c>
      <c r="L69" s="31">
        <v>46147.398392870367</v>
      </c>
      <c r="N69" s="5">
        <v>45962</v>
      </c>
      <c r="O69" s="13" t="s">
        <v>1057</v>
      </c>
      <c r="P69" s="13" t="s">
        <v>1687</v>
      </c>
      <c r="Q69" s="13" t="s">
        <v>972</v>
      </c>
      <c r="R69" s="12"/>
      <c r="S69" s="12">
        <v>0</v>
      </c>
    </row>
    <row r="70" spans="4:19" x14ac:dyDescent="0.2">
      <c r="D70" t="s">
        <v>1303</v>
      </c>
      <c r="E70" t="s">
        <v>1304</v>
      </c>
      <c r="F70" t="s">
        <v>1243</v>
      </c>
      <c r="G70" t="s">
        <v>1234</v>
      </c>
      <c r="H70" t="s">
        <v>1235</v>
      </c>
      <c r="I70" t="s">
        <v>1301</v>
      </c>
      <c r="J70" t="b">
        <v>1</v>
      </c>
      <c r="K70" t="s">
        <v>1240</v>
      </c>
      <c r="L70" s="31">
        <v>46147.398392870367</v>
      </c>
      <c r="N70" s="5">
        <v>45962</v>
      </c>
      <c r="O70" s="13" t="s">
        <v>1057</v>
      </c>
      <c r="P70" s="13" t="s">
        <v>1793</v>
      </c>
      <c r="Q70" s="13" t="s">
        <v>972</v>
      </c>
      <c r="R70" s="12"/>
      <c r="S70" s="12">
        <v>300000</v>
      </c>
    </row>
    <row r="71" spans="4:19" x14ac:dyDescent="0.2">
      <c r="D71" t="s">
        <v>1630</v>
      </c>
      <c r="E71" t="s">
        <v>788</v>
      </c>
      <c r="F71" t="s">
        <v>1245</v>
      </c>
      <c r="G71" t="s">
        <v>1234</v>
      </c>
      <c r="H71" t="s">
        <v>1235</v>
      </c>
      <c r="I71" t="s">
        <v>1303</v>
      </c>
      <c r="J71" t="b">
        <v>1</v>
      </c>
      <c r="K71" t="s">
        <v>1240</v>
      </c>
      <c r="L71" s="31">
        <v>46147.398392870367</v>
      </c>
      <c r="N71" s="5">
        <v>45962</v>
      </c>
      <c r="O71" s="13" t="s">
        <v>1057</v>
      </c>
      <c r="P71" s="13" t="s">
        <v>1689</v>
      </c>
      <c r="Q71" s="13" t="s">
        <v>972</v>
      </c>
      <c r="R71" s="12"/>
      <c r="S71" s="12">
        <v>0</v>
      </c>
    </row>
    <row r="72" spans="4:19" x14ac:dyDescent="0.2">
      <c r="D72" t="s">
        <v>787</v>
      </c>
      <c r="E72" t="s">
        <v>788</v>
      </c>
      <c r="F72" t="s">
        <v>1246</v>
      </c>
      <c r="G72" t="s">
        <v>1235</v>
      </c>
      <c r="H72" t="s">
        <v>1235</v>
      </c>
      <c r="I72" t="s">
        <v>1630</v>
      </c>
      <c r="J72" t="b">
        <v>0</v>
      </c>
      <c r="K72" t="s">
        <v>1247</v>
      </c>
      <c r="L72" s="31">
        <v>46147.398392870367</v>
      </c>
      <c r="N72" s="5">
        <v>45962</v>
      </c>
      <c r="O72" s="13" t="s">
        <v>1058</v>
      </c>
      <c r="P72" s="13" t="s">
        <v>1726</v>
      </c>
      <c r="Q72" s="13" t="s">
        <v>1030</v>
      </c>
      <c r="R72" s="12">
        <v>0</v>
      </c>
      <c r="S72" s="12"/>
    </row>
    <row r="73" spans="4:19" x14ac:dyDescent="0.2">
      <c r="D73" t="s">
        <v>1305</v>
      </c>
      <c r="E73" t="s">
        <v>790</v>
      </c>
      <c r="F73" t="s">
        <v>1245</v>
      </c>
      <c r="G73" t="s">
        <v>1234</v>
      </c>
      <c r="H73" t="s">
        <v>1235</v>
      </c>
      <c r="I73" t="s">
        <v>1303</v>
      </c>
      <c r="J73" t="b">
        <v>1</v>
      </c>
      <c r="K73" t="s">
        <v>1240</v>
      </c>
      <c r="L73" s="31">
        <v>46147.398392870367</v>
      </c>
      <c r="N73" s="5">
        <v>45962</v>
      </c>
      <c r="O73" s="13" t="s">
        <v>1058</v>
      </c>
      <c r="P73" s="13" t="s">
        <v>1693</v>
      </c>
      <c r="Q73" s="13" t="s">
        <v>1030</v>
      </c>
      <c r="R73" s="12">
        <v>0</v>
      </c>
      <c r="S73" s="12"/>
    </row>
    <row r="74" spans="4:19" x14ac:dyDescent="0.2">
      <c r="D74" t="s">
        <v>789</v>
      </c>
      <c r="E74" t="s">
        <v>790</v>
      </c>
      <c r="F74" t="s">
        <v>1246</v>
      </c>
      <c r="G74" t="s">
        <v>1235</v>
      </c>
      <c r="H74" t="s">
        <v>1235</v>
      </c>
      <c r="I74" t="s">
        <v>1305</v>
      </c>
      <c r="J74" t="b">
        <v>0</v>
      </c>
      <c r="K74" t="s">
        <v>1247</v>
      </c>
      <c r="L74" s="31">
        <v>46147.398392870367</v>
      </c>
      <c r="N74" s="5">
        <v>45962</v>
      </c>
      <c r="O74" s="13" t="s">
        <v>1058</v>
      </c>
      <c r="P74" s="13" t="s">
        <v>1718</v>
      </c>
      <c r="Q74" s="13" t="s">
        <v>1030</v>
      </c>
      <c r="R74" s="12">
        <v>0</v>
      </c>
      <c r="S74" s="12"/>
    </row>
    <row r="75" spans="4:19" x14ac:dyDescent="0.2">
      <c r="D75" t="s">
        <v>791</v>
      </c>
      <c r="E75" t="s">
        <v>792</v>
      </c>
      <c r="F75" t="s">
        <v>1246</v>
      </c>
      <c r="G75" t="s">
        <v>1235</v>
      </c>
      <c r="H75" t="s">
        <v>1235</v>
      </c>
      <c r="I75" t="s">
        <v>1305</v>
      </c>
      <c r="J75" t="b">
        <v>0</v>
      </c>
      <c r="K75" t="s">
        <v>1247</v>
      </c>
      <c r="L75" s="31">
        <v>46147.398392870367</v>
      </c>
      <c r="N75" s="5">
        <v>45962</v>
      </c>
      <c r="O75" s="13" t="s">
        <v>1058</v>
      </c>
      <c r="P75" s="13" t="s">
        <v>1760</v>
      </c>
      <c r="Q75" s="13" t="s">
        <v>1030</v>
      </c>
      <c r="R75" s="12">
        <v>429201.7</v>
      </c>
      <c r="S75" s="12"/>
    </row>
    <row r="76" spans="4:19" x14ac:dyDescent="0.2">
      <c r="D76" t="s">
        <v>1306</v>
      </c>
      <c r="E76" t="s">
        <v>1307</v>
      </c>
      <c r="F76" t="s">
        <v>1243</v>
      </c>
      <c r="G76" t="s">
        <v>1234</v>
      </c>
      <c r="H76" t="s">
        <v>1235</v>
      </c>
      <c r="I76" t="s">
        <v>1301</v>
      </c>
      <c r="J76" t="b">
        <v>1</v>
      </c>
      <c r="K76" t="s">
        <v>1240</v>
      </c>
      <c r="L76" s="31">
        <v>46147.398392870367</v>
      </c>
      <c r="N76" s="5">
        <v>45962</v>
      </c>
      <c r="O76" s="13" t="s">
        <v>1058</v>
      </c>
      <c r="P76" s="13" t="s">
        <v>1746</v>
      </c>
      <c r="Q76" s="13" t="s">
        <v>1030</v>
      </c>
      <c r="R76" s="12">
        <v>0</v>
      </c>
      <c r="S76" s="12"/>
    </row>
    <row r="77" spans="4:19" x14ac:dyDescent="0.2">
      <c r="D77" t="s">
        <v>1308</v>
      </c>
      <c r="E77" t="s">
        <v>906</v>
      </c>
      <c r="F77" t="s">
        <v>1245</v>
      </c>
      <c r="G77" t="s">
        <v>1234</v>
      </c>
      <c r="H77" t="s">
        <v>1235</v>
      </c>
      <c r="I77" t="s">
        <v>1306</v>
      </c>
      <c r="J77" t="b">
        <v>1</v>
      </c>
      <c r="K77" t="s">
        <v>1240</v>
      </c>
      <c r="L77" s="31">
        <v>46147.398392870367</v>
      </c>
      <c r="N77" s="5">
        <v>45962</v>
      </c>
      <c r="O77" s="13" t="s">
        <v>1058</v>
      </c>
      <c r="P77" s="13" t="s">
        <v>1707</v>
      </c>
      <c r="Q77" s="13" t="s">
        <v>1030</v>
      </c>
      <c r="R77" s="12">
        <v>0</v>
      </c>
      <c r="S77" s="12"/>
    </row>
    <row r="78" spans="4:19" x14ac:dyDescent="0.2">
      <c r="D78" t="s">
        <v>793</v>
      </c>
      <c r="E78" t="s">
        <v>794</v>
      </c>
      <c r="F78" t="s">
        <v>1246</v>
      </c>
      <c r="G78" t="s">
        <v>1235</v>
      </c>
      <c r="H78" t="s">
        <v>1235</v>
      </c>
      <c r="I78" t="s">
        <v>1308</v>
      </c>
      <c r="J78" t="b">
        <v>0</v>
      </c>
      <c r="K78" t="s">
        <v>1247</v>
      </c>
      <c r="L78" s="31">
        <v>46147.398392870367</v>
      </c>
      <c r="N78" s="5">
        <v>45962</v>
      </c>
      <c r="O78" s="13" t="s">
        <v>1058</v>
      </c>
      <c r="P78" s="13" t="s">
        <v>1823</v>
      </c>
      <c r="Q78" s="13" t="s">
        <v>1030</v>
      </c>
      <c r="R78" s="12">
        <v>0</v>
      </c>
      <c r="S78" s="12"/>
    </row>
    <row r="79" spans="4:19" x14ac:dyDescent="0.2">
      <c r="D79" t="s">
        <v>795</v>
      </c>
      <c r="E79" t="s">
        <v>796</v>
      </c>
      <c r="F79" t="s">
        <v>1246</v>
      </c>
      <c r="G79" t="s">
        <v>1235</v>
      </c>
      <c r="H79" t="s">
        <v>1235</v>
      </c>
      <c r="I79" t="s">
        <v>1308</v>
      </c>
      <c r="J79" t="b">
        <v>0</v>
      </c>
      <c r="K79" t="s">
        <v>1247</v>
      </c>
      <c r="L79" s="31">
        <v>46147.398392870367</v>
      </c>
      <c r="N79" s="5">
        <v>45962</v>
      </c>
      <c r="O79" s="13" t="s">
        <v>1058</v>
      </c>
      <c r="P79" s="13" t="s">
        <v>1708</v>
      </c>
      <c r="Q79" s="13" t="s">
        <v>1030</v>
      </c>
      <c r="R79" s="12">
        <v>0</v>
      </c>
      <c r="S79" s="12"/>
    </row>
    <row r="80" spans="4:19" x14ac:dyDescent="0.2">
      <c r="D80" t="s">
        <v>1309</v>
      </c>
      <c r="E80" t="s">
        <v>1310</v>
      </c>
      <c r="F80" t="s">
        <v>1245</v>
      </c>
      <c r="G80" t="s">
        <v>1234</v>
      </c>
      <c r="H80" t="s">
        <v>1235</v>
      </c>
      <c r="I80" t="s">
        <v>1306</v>
      </c>
      <c r="J80" t="b">
        <v>1</v>
      </c>
      <c r="K80" t="s">
        <v>1240</v>
      </c>
      <c r="L80" s="31">
        <v>46147.398392870367</v>
      </c>
      <c r="N80" s="5">
        <v>45962</v>
      </c>
      <c r="O80" s="13" t="s">
        <v>1058</v>
      </c>
      <c r="P80" s="13" t="s">
        <v>1699</v>
      </c>
      <c r="Q80" s="13" t="s">
        <v>1030</v>
      </c>
      <c r="R80" s="12">
        <v>0</v>
      </c>
      <c r="S80" s="12"/>
    </row>
    <row r="81" spans="4:19" x14ac:dyDescent="0.2">
      <c r="D81" t="s">
        <v>799</v>
      </c>
      <c r="E81" t="s">
        <v>800</v>
      </c>
      <c r="F81" t="s">
        <v>1246</v>
      </c>
      <c r="G81" t="s">
        <v>1235</v>
      </c>
      <c r="H81" t="s">
        <v>1235</v>
      </c>
      <c r="I81" t="s">
        <v>1309</v>
      </c>
      <c r="J81" t="b">
        <v>0</v>
      </c>
      <c r="K81" t="s">
        <v>1247</v>
      </c>
      <c r="L81" s="31">
        <v>46147.398392870367</v>
      </c>
      <c r="N81" s="5">
        <v>45962</v>
      </c>
      <c r="O81" s="13" t="s">
        <v>1058</v>
      </c>
      <c r="P81" s="13" t="s">
        <v>1748</v>
      </c>
      <c r="Q81" s="13" t="s">
        <v>1030</v>
      </c>
      <c r="R81" s="12">
        <v>0</v>
      </c>
      <c r="S81" s="12"/>
    </row>
    <row r="82" spans="4:19" x14ac:dyDescent="0.2">
      <c r="D82" t="s">
        <v>1311</v>
      </c>
      <c r="E82" t="s">
        <v>1312</v>
      </c>
      <c r="F82" t="s">
        <v>1245</v>
      </c>
      <c r="G82" t="s">
        <v>1234</v>
      </c>
      <c r="H82" t="s">
        <v>1235</v>
      </c>
      <c r="I82" t="s">
        <v>1306</v>
      </c>
      <c r="J82" t="b">
        <v>1</v>
      </c>
      <c r="K82" t="s">
        <v>1240</v>
      </c>
      <c r="L82" s="31">
        <v>46147.398392870367</v>
      </c>
      <c r="N82" s="5">
        <v>45962</v>
      </c>
      <c r="O82" s="13" t="s">
        <v>1058</v>
      </c>
      <c r="P82" s="13" t="s">
        <v>1806</v>
      </c>
      <c r="Q82" s="13" t="s">
        <v>1030</v>
      </c>
      <c r="R82" s="12">
        <v>0</v>
      </c>
      <c r="S82" s="12"/>
    </row>
    <row r="83" spans="4:19" x14ac:dyDescent="0.2">
      <c r="D83" t="s">
        <v>801</v>
      </c>
      <c r="E83" t="s">
        <v>802</v>
      </c>
      <c r="F83" t="s">
        <v>1246</v>
      </c>
      <c r="G83" t="s">
        <v>1235</v>
      </c>
      <c r="H83" t="s">
        <v>1235</v>
      </c>
      <c r="I83" t="s">
        <v>1311</v>
      </c>
      <c r="J83" t="b">
        <v>0</v>
      </c>
      <c r="K83" t="s">
        <v>1247</v>
      </c>
      <c r="L83" s="31">
        <v>46147.398392870367</v>
      </c>
      <c r="N83" s="5">
        <v>45962</v>
      </c>
      <c r="O83" s="13" t="s">
        <v>1058</v>
      </c>
      <c r="P83" s="13" t="s">
        <v>1828</v>
      </c>
      <c r="Q83" s="13" t="s">
        <v>1030</v>
      </c>
      <c r="R83" s="12">
        <v>47899.16</v>
      </c>
      <c r="S83" s="12"/>
    </row>
    <row r="84" spans="4:19" x14ac:dyDescent="0.2">
      <c r="D84" t="s">
        <v>1313</v>
      </c>
      <c r="E84" t="s">
        <v>1314</v>
      </c>
      <c r="F84" t="s">
        <v>1245</v>
      </c>
      <c r="G84" t="s">
        <v>1234</v>
      </c>
      <c r="H84" t="s">
        <v>1235</v>
      </c>
      <c r="I84" t="s">
        <v>1306</v>
      </c>
      <c r="J84" t="b">
        <v>1</v>
      </c>
      <c r="K84" t="s">
        <v>1240</v>
      </c>
      <c r="L84" s="31">
        <v>46147.398392870367</v>
      </c>
      <c r="N84" s="5">
        <v>45962</v>
      </c>
      <c r="O84" s="13" t="s">
        <v>1058</v>
      </c>
      <c r="P84" s="13" t="s">
        <v>1825</v>
      </c>
      <c r="Q84" s="13" t="s">
        <v>1030</v>
      </c>
      <c r="R84" s="12">
        <v>0</v>
      </c>
      <c r="S84" s="12"/>
    </row>
    <row r="85" spans="4:19" x14ac:dyDescent="0.2">
      <c r="D85" t="s">
        <v>803</v>
      </c>
      <c r="E85" t="s">
        <v>804</v>
      </c>
      <c r="F85" t="s">
        <v>1246</v>
      </c>
      <c r="G85" t="s">
        <v>1235</v>
      </c>
      <c r="H85" t="s">
        <v>1235</v>
      </c>
      <c r="I85" t="s">
        <v>1313</v>
      </c>
      <c r="J85" t="b">
        <v>0</v>
      </c>
      <c r="K85" t="s">
        <v>1247</v>
      </c>
      <c r="L85" s="31">
        <v>46147.398392870367</v>
      </c>
      <c r="N85" s="5">
        <v>45962</v>
      </c>
      <c r="O85" s="13" t="s">
        <v>1058</v>
      </c>
      <c r="P85" s="13" t="s">
        <v>1724</v>
      </c>
      <c r="Q85" s="13" t="s">
        <v>1030</v>
      </c>
      <c r="R85" s="12">
        <v>0</v>
      </c>
      <c r="S85" s="12"/>
    </row>
    <row r="86" spans="4:19" x14ac:dyDescent="0.2">
      <c r="D86" t="s">
        <v>1315</v>
      </c>
      <c r="E86" t="s">
        <v>1281</v>
      </c>
      <c r="F86" t="s">
        <v>1245</v>
      </c>
      <c r="G86" t="s">
        <v>1234</v>
      </c>
      <c r="H86" t="s">
        <v>1235</v>
      </c>
      <c r="I86" t="s">
        <v>1306</v>
      </c>
      <c r="J86" t="b">
        <v>1</v>
      </c>
      <c r="K86" t="s">
        <v>1240</v>
      </c>
      <c r="L86" s="31">
        <v>46147.398392870367</v>
      </c>
      <c r="N86" s="5">
        <v>45962</v>
      </c>
      <c r="O86" s="13" t="s">
        <v>1058</v>
      </c>
      <c r="P86" s="13" t="s">
        <v>1824</v>
      </c>
      <c r="Q86" s="13" t="s">
        <v>1030</v>
      </c>
      <c r="R86" s="12">
        <v>0</v>
      </c>
      <c r="S86" s="12"/>
    </row>
    <row r="87" spans="4:19" x14ac:dyDescent="0.2">
      <c r="D87" t="s">
        <v>805</v>
      </c>
      <c r="E87" t="s">
        <v>768</v>
      </c>
      <c r="F87" t="s">
        <v>1246</v>
      </c>
      <c r="G87" t="s">
        <v>1235</v>
      </c>
      <c r="H87" t="s">
        <v>1235</v>
      </c>
      <c r="I87" t="s">
        <v>1315</v>
      </c>
      <c r="J87" t="b">
        <v>0</v>
      </c>
      <c r="K87" t="s">
        <v>1247</v>
      </c>
      <c r="L87" s="31">
        <v>46147.398392870367</v>
      </c>
      <c r="N87" s="5">
        <v>45962</v>
      </c>
      <c r="O87" s="13" t="s">
        <v>1058</v>
      </c>
      <c r="P87" s="13" t="s">
        <v>1732</v>
      </c>
      <c r="Q87" s="13" t="s">
        <v>1030</v>
      </c>
      <c r="R87" s="12">
        <v>0</v>
      </c>
      <c r="S87" s="12"/>
    </row>
    <row r="88" spans="4:19" x14ac:dyDescent="0.2">
      <c r="D88" t="s">
        <v>1316</v>
      </c>
      <c r="E88" t="s">
        <v>1277</v>
      </c>
      <c r="F88" t="s">
        <v>1243</v>
      </c>
      <c r="G88" t="s">
        <v>1234</v>
      </c>
      <c r="H88" t="s">
        <v>1235</v>
      </c>
      <c r="I88" t="s">
        <v>1301</v>
      </c>
      <c r="J88" t="b">
        <v>1</v>
      </c>
      <c r="K88" t="s">
        <v>1240</v>
      </c>
      <c r="L88" s="31">
        <v>46147.398392870367</v>
      </c>
      <c r="N88" s="5">
        <v>45962</v>
      </c>
      <c r="O88" s="13" t="s">
        <v>1058</v>
      </c>
      <c r="P88" s="13" t="s">
        <v>1771</v>
      </c>
      <c r="Q88" s="13" t="s">
        <v>1030</v>
      </c>
      <c r="R88" s="12">
        <v>0</v>
      </c>
      <c r="S88" s="12"/>
    </row>
    <row r="89" spans="4:19" x14ac:dyDescent="0.2">
      <c r="D89" t="s">
        <v>1317</v>
      </c>
      <c r="E89" t="s">
        <v>1277</v>
      </c>
      <c r="F89" t="s">
        <v>1245</v>
      </c>
      <c r="G89" t="s">
        <v>1234</v>
      </c>
      <c r="H89" t="s">
        <v>1235</v>
      </c>
      <c r="I89" t="s">
        <v>1316</v>
      </c>
      <c r="J89" t="b">
        <v>1</v>
      </c>
      <c r="K89" t="s">
        <v>1240</v>
      </c>
      <c r="L89" s="31">
        <v>46147.398392870367</v>
      </c>
      <c r="N89" s="5">
        <v>45962</v>
      </c>
      <c r="O89" s="13" t="s">
        <v>1058</v>
      </c>
      <c r="P89" s="13" t="s">
        <v>1209</v>
      </c>
      <c r="Q89" s="13" t="s">
        <v>1030</v>
      </c>
      <c r="R89" s="12">
        <v>283338.23</v>
      </c>
      <c r="S89" s="12"/>
    </row>
    <row r="90" spans="4:19" x14ac:dyDescent="0.2">
      <c r="D90" t="s">
        <v>806</v>
      </c>
      <c r="E90" t="s">
        <v>760</v>
      </c>
      <c r="F90" t="s">
        <v>1246</v>
      </c>
      <c r="G90" t="s">
        <v>1235</v>
      </c>
      <c r="H90" t="s">
        <v>1235</v>
      </c>
      <c r="I90" t="s">
        <v>1317</v>
      </c>
      <c r="J90" t="b">
        <v>0</v>
      </c>
      <c r="K90" t="s">
        <v>1247</v>
      </c>
      <c r="L90" s="31">
        <v>46147.398392870367</v>
      </c>
      <c r="N90" s="5">
        <v>45962</v>
      </c>
      <c r="O90" s="13" t="s">
        <v>1058</v>
      </c>
      <c r="P90" s="13" t="s">
        <v>1723</v>
      </c>
      <c r="Q90" s="13" t="s">
        <v>1030</v>
      </c>
      <c r="R90" s="12">
        <v>0</v>
      </c>
      <c r="S90" s="12"/>
    </row>
    <row r="91" spans="4:19" x14ac:dyDescent="0.2">
      <c r="D91" t="s">
        <v>1519</v>
      </c>
      <c r="E91" t="s">
        <v>1520</v>
      </c>
      <c r="F91" t="s">
        <v>1246</v>
      </c>
      <c r="G91" t="s">
        <v>1235</v>
      </c>
      <c r="H91" t="s">
        <v>1235</v>
      </c>
      <c r="I91" t="s">
        <v>1317</v>
      </c>
      <c r="J91" t="b">
        <v>0</v>
      </c>
      <c r="K91" t="s">
        <v>1247</v>
      </c>
      <c r="L91" s="31">
        <v>46147.398392870367</v>
      </c>
      <c r="N91" s="5">
        <v>45962</v>
      </c>
      <c r="O91" s="13" t="s">
        <v>1058</v>
      </c>
      <c r="P91" s="13" t="s">
        <v>1836</v>
      </c>
      <c r="Q91" s="13" t="s">
        <v>1030</v>
      </c>
      <c r="R91" s="12">
        <v>185294.12</v>
      </c>
      <c r="S91" s="12"/>
    </row>
    <row r="92" spans="4:19" x14ac:dyDescent="0.2">
      <c r="D92" t="s">
        <v>807</v>
      </c>
      <c r="E92" t="s">
        <v>808</v>
      </c>
      <c r="F92" t="s">
        <v>1246</v>
      </c>
      <c r="G92" t="s">
        <v>1235</v>
      </c>
      <c r="H92" t="s">
        <v>1235</v>
      </c>
      <c r="I92" t="s">
        <v>1317</v>
      </c>
      <c r="J92" t="b">
        <v>0</v>
      </c>
      <c r="K92" t="s">
        <v>1247</v>
      </c>
      <c r="L92" s="31">
        <v>46147.398392870367</v>
      </c>
      <c r="N92" s="5">
        <v>45962</v>
      </c>
      <c r="O92" s="13" t="s">
        <v>1058</v>
      </c>
      <c r="P92" s="13" t="s">
        <v>1703</v>
      </c>
      <c r="Q92" s="13" t="s">
        <v>1030</v>
      </c>
      <c r="R92" s="12">
        <v>0</v>
      </c>
      <c r="S92" s="12"/>
    </row>
    <row r="93" spans="4:19" x14ac:dyDescent="0.2">
      <c r="D93" t="s">
        <v>1318</v>
      </c>
      <c r="E93" t="s">
        <v>1279</v>
      </c>
      <c r="F93" t="s">
        <v>1243</v>
      </c>
      <c r="G93" t="s">
        <v>1234</v>
      </c>
      <c r="H93" t="s">
        <v>1235</v>
      </c>
      <c r="I93" t="s">
        <v>1301</v>
      </c>
      <c r="J93" t="b">
        <v>1</v>
      </c>
      <c r="K93" t="s">
        <v>1240</v>
      </c>
      <c r="L93" s="31">
        <v>46147.398392870367</v>
      </c>
      <c r="N93" s="5">
        <v>45962</v>
      </c>
      <c r="O93" s="13" t="s">
        <v>1058</v>
      </c>
      <c r="P93" s="13" t="s">
        <v>1807</v>
      </c>
      <c r="Q93" s="13" t="s">
        <v>1030</v>
      </c>
      <c r="R93" s="12">
        <v>0</v>
      </c>
      <c r="S93" s="12"/>
    </row>
    <row r="94" spans="4:19" x14ac:dyDescent="0.2">
      <c r="D94" t="s">
        <v>1319</v>
      </c>
      <c r="E94" t="s">
        <v>1320</v>
      </c>
      <c r="F94" t="s">
        <v>1245</v>
      </c>
      <c r="G94" t="s">
        <v>1234</v>
      </c>
      <c r="H94" t="s">
        <v>1235</v>
      </c>
      <c r="I94" t="s">
        <v>1318</v>
      </c>
      <c r="J94" t="b">
        <v>1</v>
      </c>
      <c r="K94" t="s">
        <v>1240</v>
      </c>
      <c r="L94" s="31">
        <v>46147.398392870367</v>
      </c>
      <c r="N94" s="5">
        <v>45962</v>
      </c>
      <c r="O94" s="13" t="s">
        <v>1058</v>
      </c>
      <c r="P94" s="13" t="s">
        <v>1720</v>
      </c>
      <c r="Q94" s="13" t="s">
        <v>1030</v>
      </c>
      <c r="R94" s="12">
        <v>0</v>
      </c>
      <c r="S94" s="12"/>
    </row>
    <row r="95" spans="4:19" x14ac:dyDescent="0.2">
      <c r="D95" t="s">
        <v>809</v>
      </c>
      <c r="E95" t="s">
        <v>810</v>
      </c>
      <c r="F95" t="s">
        <v>1246</v>
      </c>
      <c r="G95" t="s">
        <v>1235</v>
      </c>
      <c r="H95" t="s">
        <v>1235</v>
      </c>
      <c r="I95" t="s">
        <v>1319</v>
      </c>
      <c r="J95" t="b">
        <v>0</v>
      </c>
      <c r="K95" t="s">
        <v>1247</v>
      </c>
      <c r="L95" s="31">
        <v>46147.398392870367</v>
      </c>
      <c r="N95" s="5">
        <v>45962</v>
      </c>
      <c r="O95" s="13" t="s">
        <v>1058</v>
      </c>
      <c r="P95" s="13" t="s">
        <v>1782</v>
      </c>
      <c r="Q95" s="13" t="s">
        <v>1030</v>
      </c>
      <c r="R95" s="12">
        <v>0</v>
      </c>
      <c r="S95" s="12"/>
    </row>
    <row r="96" spans="4:19" x14ac:dyDescent="0.2">
      <c r="D96" t="s">
        <v>811</v>
      </c>
      <c r="E96" t="s">
        <v>812</v>
      </c>
      <c r="F96" t="s">
        <v>1246</v>
      </c>
      <c r="G96" t="s">
        <v>1235</v>
      </c>
      <c r="H96" t="s">
        <v>1235</v>
      </c>
      <c r="I96" t="s">
        <v>1319</v>
      </c>
      <c r="J96" t="b">
        <v>0</v>
      </c>
      <c r="K96" t="s">
        <v>1247</v>
      </c>
      <c r="L96" s="31">
        <v>46147.398392870367</v>
      </c>
      <c r="N96" s="5">
        <v>45962</v>
      </c>
      <c r="O96" s="13" t="s">
        <v>1058</v>
      </c>
      <c r="P96" s="13" t="s">
        <v>1804</v>
      </c>
      <c r="Q96" s="13" t="s">
        <v>1030</v>
      </c>
      <c r="R96" s="12">
        <v>0</v>
      </c>
      <c r="S96" s="12"/>
    </row>
    <row r="97" spans="4:19" x14ac:dyDescent="0.2">
      <c r="D97" t="s">
        <v>813</v>
      </c>
      <c r="E97" t="s">
        <v>814</v>
      </c>
      <c r="F97" t="s">
        <v>1246</v>
      </c>
      <c r="G97" t="s">
        <v>1235</v>
      </c>
      <c r="H97" t="s">
        <v>1235</v>
      </c>
      <c r="I97" t="s">
        <v>1319</v>
      </c>
      <c r="J97" t="b">
        <v>0</v>
      </c>
      <c r="K97" t="s">
        <v>1247</v>
      </c>
      <c r="L97" s="31">
        <v>46147.398392870367</v>
      </c>
      <c r="N97" s="5">
        <v>45962</v>
      </c>
      <c r="O97" s="13" t="s">
        <v>1058</v>
      </c>
      <c r="P97" s="13" t="s">
        <v>1805</v>
      </c>
      <c r="Q97" s="13" t="s">
        <v>1030</v>
      </c>
      <c r="R97" s="12">
        <v>0</v>
      </c>
      <c r="S97" s="12"/>
    </row>
    <row r="98" spans="4:19" x14ac:dyDescent="0.2">
      <c r="D98" t="s">
        <v>815</v>
      </c>
      <c r="E98" t="s">
        <v>816</v>
      </c>
      <c r="F98" t="s">
        <v>1246</v>
      </c>
      <c r="G98" t="s">
        <v>1235</v>
      </c>
      <c r="H98" t="s">
        <v>1235</v>
      </c>
      <c r="I98" t="s">
        <v>1319</v>
      </c>
      <c r="J98" t="b">
        <v>0</v>
      </c>
      <c r="K98" t="s">
        <v>1247</v>
      </c>
      <c r="L98" s="31">
        <v>46147.398392870367</v>
      </c>
      <c r="N98" s="5">
        <v>45962</v>
      </c>
      <c r="O98" s="13" t="s">
        <v>1058</v>
      </c>
      <c r="P98" s="13" t="s">
        <v>1712</v>
      </c>
      <c r="Q98" s="13" t="s">
        <v>1030</v>
      </c>
      <c r="R98" s="12">
        <v>0</v>
      </c>
      <c r="S98" s="12"/>
    </row>
    <row r="99" spans="4:19" x14ac:dyDescent="0.2">
      <c r="D99" t="s">
        <v>817</v>
      </c>
      <c r="E99" t="s">
        <v>818</v>
      </c>
      <c r="F99" t="s">
        <v>1246</v>
      </c>
      <c r="G99" t="s">
        <v>1235</v>
      </c>
      <c r="H99" t="s">
        <v>1235</v>
      </c>
      <c r="I99" t="s">
        <v>1319</v>
      </c>
      <c r="J99" t="b">
        <v>0</v>
      </c>
      <c r="K99" t="s">
        <v>1247</v>
      </c>
      <c r="L99" s="31">
        <v>46147.398392870367</v>
      </c>
      <c r="N99" s="5">
        <v>45962</v>
      </c>
      <c r="O99" s="13" t="s">
        <v>1058</v>
      </c>
      <c r="P99" s="13" t="s">
        <v>1715</v>
      </c>
      <c r="Q99" s="13" t="s">
        <v>1030</v>
      </c>
      <c r="R99" s="12">
        <v>0</v>
      </c>
      <c r="S99" s="12"/>
    </row>
    <row r="100" spans="4:19" x14ac:dyDescent="0.2">
      <c r="D100" t="s">
        <v>819</v>
      </c>
      <c r="E100" t="s">
        <v>820</v>
      </c>
      <c r="F100" t="s">
        <v>1246</v>
      </c>
      <c r="G100" t="s">
        <v>1235</v>
      </c>
      <c r="H100" t="s">
        <v>1235</v>
      </c>
      <c r="I100" t="s">
        <v>1319</v>
      </c>
      <c r="J100" t="b">
        <v>0</v>
      </c>
      <c r="K100" t="s">
        <v>1247</v>
      </c>
      <c r="L100" s="31">
        <v>46147.398392870367</v>
      </c>
      <c r="N100" s="5">
        <v>45962</v>
      </c>
      <c r="O100" s="13" t="s">
        <v>1058</v>
      </c>
      <c r="P100" s="13" t="s">
        <v>1695</v>
      </c>
      <c r="Q100" s="13" t="s">
        <v>1030</v>
      </c>
      <c r="R100" s="12">
        <v>0</v>
      </c>
      <c r="S100" s="12"/>
    </row>
    <row r="101" spans="4:19" x14ac:dyDescent="0.2">
      <c r="D101" t="s">
        <v>1321</v>
      </c>
      <c r="E101" t="s">
        <v>1322</v>
      </c>
      <c r="F101" t="s">
        <v>1243</v>
      </c>
      <c r="G101" t="s">
        <v>1234</v>
      </c>
      <c r="H101" t="s">
        <v>1235</v>
      </c>
      <c r="I101" t="s">
        <v>1301</v>
      </c>
      <c r="J101" t="b">
        <v>1</v>
      </c>
      <c r="K101" t="s">
        <v>1240</v>
      </c>
      <c r="L101" s="31">
        <v>46147.398392870367</v>
      </c>
      <c r="N101" s="5">
        <v>45962</v>
      </c>
      <c r="O101" s="13" t="s">
        <v>1058</v>
      </c>
      <c r="P101" s="13" t="s">
        <v>1834</v>
      </c>
      <c r="Q101" s="13" t="s">
        <v>1030</v>
      </c>
      <c r="R101" s="12">
        <v>214915.97</v>
      </c>
      <c r="S101" s="12"/>
    </row>
    <row r="102" spans="4:19" x14ac:dyDescent="0.2">
      <c r="D102" t="s">
        <v>1323</v>
      </c>
      <c r="E102" t="s">
        <v>822</v>
      </c>
      <c r="F102" t="s">
        <v>1245</v>
      </c>
      <c r="G102" t="s">
        <v>1234</v>
      </c>
      <c r="H102" t="s">
        <v>1235</v>
      </c>
      <c r="I102" t="s">
        <v>1321</v>
      </c>
      <c r="J102" t="b">
        <v>1</v>
      </c>
      <c r="K102" t="s">
        <v>1240</v>
      </c>
      <c r="L102" s="31">
        <v>46147.398392870367</v>
      </c>
      <c r="N102" s="5">
        <v>45962</v>
      </c>
      <c r="O102" s="13" t="s">
        <v>1058</v>
      </c>
      <c r="P102" s="13" t="s">
        <v>1831</v>
      </c>
      <c r="Q102" s="13" t="s">
        <v>1030</v>
      </c>
      <c r="R102" s="12">
        <v>22899.16</v>
      </c>
      <c r="S102" s="12"/>
    </row>
    <row r="103" spans="4:19" x14ac:dyDescent="0.2">
      <c r="D103" t="s">
        <v>821</v>
      </c>
      <c r="E103" t="s">
        <v>822</v>
      </c>
      <c r="F103" t="s">
        <v>1246</v>
      </c>
      <c r="G103" t="s">
        <v>1235</v>
      </c>
      <c r="H103" t="s">
        <v>1235</v>
      </c>
      <c r="I103" t="s">
        <v>1323</v>
      </c>
      <c r="J103" t="b">
        <v>0</v>
      </c>
      <c r="K103" t="s">
        <v>1247</v>
      </c>
      <c r="L103" s="31">
        <v>46147.398392870367</v>
      </c>
      <c r="N103" s="5">
        <v>45962</v>
      </c>
      <c r="O103" s="13" t="s">
        <v>1058</v>
      </c>
      <c r="P103" s="13" t="s">
        <v>1833</v>
      </c>
      <c r="Q103" s="13" t="s">
        <v>1030</v>
      </c>
      <c r="R103" s="12">
        <v>191806.72</v>
      </c>
      <c r="S103" s="12"/>
    </row>
    <row r="104" spans="4:19" x14ac:dyDescent="0.2">
      <c r="D104" t="s">
        <v>1324</v>
      </c>
      <c r="E104" t="s">
        <v>1325</v>
      </c>
      <c r="F104" t="s">
        <v>1245</v>
      </c>
      <c r="G104" t="s">
        <v>1234</v>
      </c>
      <c r="H104" t="s">
        <v>1235</v>
      </c>
      <c r="I104" t="s">
        <v>1321</v>
      </c>
      <c r="J104" t="b">
        <v>1</v>
      </c>
      <c r="K104" t="s">
        <v>1240</v>
      </c>
      <c r="L104" s="31">
        <v>46147.398392870367</v>
      </c>
      <c r="N104" s="5">
        <v>45962</v>
      </c>
      <c r="O104" s="13" t="s">
        <v>1058</v>
      </c>
      <c r="P104" s="13" t="s">
        <v>1739</v>
      </c>
      <c r="Q104" s="13" t="s">
        <v>1030</v>
      </c>
      <c r="R104" s="12">
        <v>0</v>
      </c>
      <c r="S104" s="12"/>
    </row>
    <row r="105" spans="4:19" x14ac:dyDescent="0.2">
      <c r="D105" t="s">
        <v>823</v>
      </c>
      <c r="E105" t="s">
        <v>824</v>
      </c>
      <c r="F105" t="s">
        <v>1246</v>
      </c>
      <c r="G105" t="s">
        <v>1235</v>
      </c>
      <c r="H105" t="s">
        <v>1235</v>
      </c>
      <c r="I105" t="s">
        <v>1324</v>
      </c>
      <c r="J105" t="b">
        <v>0</v>
      </c>
      <c r="K105" t="s">
        <v>1247</v>
      </c>
      <c r="L105" s="31">
        <v>46147.398392870367</v>
      </c>
      <c r="N105" s="5">
        <v>45962</v>
      </c>
      <c r="O105" s="13" t="s">
        <v>1058</v>
      </c>
      <c r="P105" s="13" t="s">
        <v>1736</v>
      </c>
      <c r="Q105" s="13" t="s">
        <v>1030</v>
      </c>
      <c r="R105" s="12">
        <v>0</v>
      </c>
      <c r="S105" s="12"/>
    </row>
    <row r="106" spans="4:19" x14ac:dyDescent="0.2">
      <c r="D106" t="s">
        <v>1326</v>
      </c>
      <c r="E106" t="s">
        <v>1327</v>
      </c>
      <c r="F106" t="s">
        <v>1245</v>
      </c>
      <c r="G106" t="s">
        <v>1234</v>
      </c>
      <c r="H106" t="s">
        <v>1235</v>
      </c>
      <c r="I106" t="s">
        <v>1321</v>
      </c>
      <c r="J106" t="b">
        <v>1</v>
      </c>
      <c r="K106" t="s">
        <v>1240</v>
      </c>
      <c r="L106" s="31">
        <v>46147.398392870367</v>
      </c>
      <c r="N106" s="5">
        <v>45962</v>
      </c>
      <c r="O106" s="13" t="s">
        <v>1058</v>
      </c>
      <c r="P106" s="13" t="s">
        <v>1730</v>
      </c>
      <c r="Q106" s="13" t="s">
        <v>1030</v>
      </c>
      <c r="R106" s="12">
        <v>0</v>
      </c>
      <c r="S106" s="12"/>
    </row>
    <row r="107" spans="4:19" x14ac:dyDescent="0.2">
      <c r="D107" t="s">
        <v>825</v>
      </c>
      <c r="E107" t="s">
        <v>826</v>
      </c>
      <c r="F107" t="s">
        <v>1246</v>
      </c>
      <c r="G107" t="s">
        <v>1235</v>
      </c>
      <c r="H107" t="s">
        <v>1235</v>
      </c>
      <c r="I107" t="s">
        <v>1326</v>
      </c>
      <c r="J107" t="b">
        <v>0</v>
      </c>
      <c r="K107" t="s">
        <v>1247</v>
      </c>
      <c r="L107" s="31">
        <v>46147.398392870367</v>
      </c>
      <c r="N107" s="5">
        <v>45962</v>
      </c>
      <c r="O107" s="13" t="s">
        <v>1058</v>
      </c>
      <c r="P107" s="13" t="s">
        <v>1728</v>
      </c>
      <c r="Q107" s="13" t="s">
        <v>1030</v>
      </c>
      <c r="R107" s="12">
        <v>0</v>
      </c>
      <c r="S107" s="12"/>
    </row>
    <row r="108" spans="4:19" x14ac:dyDescent="0.2">
      <c r="D108" t="s">
        <v>827</v>
      </c>
      <c r="E108" t="s">
        <v>828</v>
      </c>
      <c r="F108" t="s">
        <v>1246</v>
      </c>
      <c r="G108" t="s">
        <v>1235</v>
      </c>
      <c r="H108" t="s">
        <v>1235</v>
      </c>
      <c r="I108" t="s">
        <v>1326</v>
      </c>
      <c r="J108" t="b">
        <v>0</v>
      </c>
      <c r="K108" t="s">
        <v>1247</v>
      </c>
      <c r="L108" s="31">
        <v>46147.398392870367</v>
      </c>
      <c r="N108" s="5">
        <v>45962</v>
      </c>
      <c r="O108" s="13" t="s">
        <v>1058</v>
      </c>
      <c r="P108" s="13" t="s">
        <v>1764</v>
      </c>
      <c r="Q108" s="13" t="s">
        <v>1030</v>
      </c>
      <c r="R108" s="12">
        <v>0</v>
      </c>
      <c r="S108" s="12"/>
    </row>
    <row r="109" spans="4:19" x14ac:dyDescent="0.2">
      <c r="D109" t="s">
        <v>829</v>
      </c>
      <c r="E109" t="s">
        <v>830</v>
      </c>
      <c r="F109" t="s">
        <v>1246</v>
      </c>
      <c r="G109" t="s">
        <v>1235</v>
      </c>
      <c r="H109" t="s">
        <v>1235</v>
      </c>
      <c r="I109" t="s">
        <v>1326</v>
      </c>
      <c r="J109" t="b">
        <v>0</v>
      </c>
      <c r="K109" t="s">
        <v>1247</v>
      </c>
      <c r="L109" s="31">
        <v>46147.398392870367</v>
      </c>
      <c r="N109" s="5">
        <v>45962</v>
      </c>
      <c r="O109" s="13" t="s">
        <v>1058</v>
      </c>
      <c r="P109" s="13" t="s">
        <v>1781</v>
      </c>
      <c r="Q109" s="13" t="s">
        <v>1030</v>
      </c>
      <c r="R109" s="12">
        <v>0</v>
      </c>
      <c r="S109" s="12"/>
    </row>
    <row r="110" spans="4:19" x14ac:dyDescent="0.2">
      <c r="D110" t="s">
        <v>1328</v>
      </c>
      <c r="E110" t="s">
        <v>1329</v>
      </c>
      <c r="F110" t="s">
        <v>1243</v>
      </c>
      <c r="G110" t="s">
        <v>1234</v>
      </c>
      <c r="H110" t="s">
        <v>1235</v>
      </c>
      <c r="I110" t="s">
        <v>1301</v>
      </c>
      <c r="J110" t="b">
        <v>1</v>
      </c>
      <c r="K110" t="s">
        <v>1240</v>
      </c>
      <c r="L110" s="31">
        <v>46147.398392870367</v>
      </c>
      <c r="N110" s="5">
        <v>45962</v>
      </c>
      <c r="O110" s="13" t="s">
        <v>1058</v>
      </c>
      <c r="P110" s="13" t="s">
        <v>1772</v>
      </c>
      <c r="Q110" s="13" t="s">
        <v>1030</v>
      </c>
      <c r="R110" s="12">
        <v>0</v>
      </c>
      <c r="S110" s="12"/>
    </row>
    <row r="111" spans="4:19" x14ac:dyDescent="0.2">
      <c r="D111" t="s">
        <v>1330</v>
      </c>
      <c r="E111" t="s">
        <v>1331</v>
      </c>
      <c r="F111" t="s">
        <v>1245</v>
      </c>
      <c r="G111" t="s">
        <v>1234</v>
      </c>
      <c r="H111" t="s">
        <v>1235</v>
      </c>
      <c r="I111" t="s">
        <v>1328</v>
      </c>
      <c r="J111" t="b">
        <v>1</v>
      </c>
      <c r="K111" t="s">
        <v>1240</v>
      </c>
      <c r="L111" s="31">
        <v>46147.398392870367</v>
      </c>
      <c r="N111" s="5">
        <v>45962</v>
      </c>
      <c r="O111" s="13" t="s">
        <v>1058</v>
      </c>
      <c r="P111" s="13" t="s">
        <v>1696</v>
      </c>
      <c r="Q111" s="13" t="s">
        <v>1030</v>
      </c>
      <c r="R111" s="12">
        <v>0</v>
      </c>
      <c r="S111" s="12"/>
    </row>
    <row r="112" spans="4:19" x14ac:dyDescent="0.2">
      <c r="D112" t="s">
        <v>831</v>
      </c>
      <c r="E112" t="s">
        <v>832</v>
      </c>
      <c r="F112" t="s">
        <v>1246</v>
      </c>
      <c r="G112" t="s">
        <v>1235</v>
      </c>
      <c r="H112" t="s">
        <v>1235</v>
      </c>
      <c r="I112" t="s">
        <v>1330</v>
      </c>
      <c r="J112" t="b">
        <v>0</v>
      </c>
      <c r="K112" t="s">
        <v>1247</v>
      </c>
      <c r="L112" s="31">
        <v>46147.398392870367</v>
      </c>
      <c r="N112" s="5">
        <v>45962</v>
      </c>
      <c r="O112" s="13" t="s">
        <v>1058</v>
      </c>
      <c r="P112" s="13" t="s">
        <v>1717</v>
      </c>
      <c r="Q112" s="13" t="s">
        <v>1030</v>
      </c>
      <c r="R112" s="12">
        <v>0</v>
      </c>
      <c r="S112" s="12"/>
    </row>
    <row r="113" spans="4:19" x14ac:dyDescent="0.2">
      <c r="D113" t="s">
        <v>1332</v>
      </c>
      <c r="E113" t="s">
        <v>1333</v>
      </c>
      <c r="F113" t="s">
        <v>1239</v>
      </c>
      <c r="G113" t="s">
        <v>1234</v>
      </c>
      <c r="H113" t="s">
        <v>1235</v>
      </c>
      <c r="I113" t="s">
        <v>1299</v>
      </c>
      <c r="J113" t="b">
        <v>1</v>
      </c>
      <c r="K113" t="s">
        <v>1240</v>
      </c>
      <c r="L113" s="31">
        <v>46147.398392870367</v>
      </c>
      <c r="N113" s="5">
        <v>45962</v>
      </c>
      <c r="O113" s="13" t="s">
        <v>1058</v>
      </c>
      <c r="P113" s="13" t="s">
        <v>1691</v>
      </c>
      <c r="Q113" s="13" t="s">
        <v>1030</v>
      </c>
      <c r="R113" s="12">
        <v>0</v>
      </c>
      <c r="S113" s="12"/>
    </row>
    <row r="114" spans="4:19" x14ac:dyDescent="0.2">
      <c r="D114" t="s">
        <v>1334</v>
      </c>
      <c r="E114" t="s">
        <v>1335</v>
      </c>
      <c r="F114" t="s">
        <v>1243</v>
      </c>
      <c r="G114" t="s">
        <v>1234</v>
      </c>
      <c r="H114" t="s">
        <v>1235</v>
      </c>
      <c r="I114" t="s">
        <v>1332</v>
      </c>
      <c r="J114" t="b">
        <v>1</v>
      </c>
      <c r="K114" t="s">
        <v>1240</v>
      </c>
      <c r="L114" s="31">
        <v>46147.398392870367</v>
      </c>
      <c r="N114" s="5">
        <v>45962</v>
      </c>
      <c r="O114" s="13" t="s">
        <v>1058</v>
      </c>
      <c r="P114" s="13" t="s">
        <v>1719</v>
      </c>
      <c r="Q114" s="13" t="s">
        <v>1030</v>
      </c>
      <c r="R114" s="12">
        <v>0</v>
      </c>
      <c r="S114" s="12"/>
    </row>
    <row r="115" spans="4:19" x14ac:dyDescent="0.2">
      <c r="D115" t="s">
        <v>1336</v>
      </c>
      <c r="E115" t="s">
        <v>834</v>
      </c>
      <c r="F115" t="s">
        <v>1245</v>
      </c>
      <c r="G115" t="s">
        <v>1234</v>
      </c>
      <c r="H115" t="s">
        <v>1235</v>
      </c>
      <c r="I115" t="s">
        <v>1334</v>
      </c>
      <c r="J115" t="b">
        <v>1</v>
      </c>
      <c r="K115" t="s">
        <v>1240</v>
      </c>
      <c r="L115" s="31">
        <v>46147.398392870367</v>
      </c>
      <c r="N115" s="5">
        <v>45962</v>
      </c>
      <c r="O115" s="13" t="s">
        <v>1058</v>
      </c>
      <c r="P115" s="13" t="s">
        <v>1803</v>
      </c>
      <c r="Q115" s="13" t="s">
        <v>1030</v>
      </c>
      <c r="R115" s="12">
        <v>0</v>
      </c>
      <c r="S115" s="12"/>
    </row>
    <row r="116" spans="4:19" x14ac:dyDescent="0.2">
      <c r="D116" t="s">
        <v>833</v>
      </c>
      <c r="E116" t="s">
        <v>834</v>
      </c>
      <c r="F116" t="s">
        <v>1246</v>
      </c>
      <c r="G116" t="s">
        <v>1235</v>
      </c>
      <c r="H116" t="s">
        <v>1235</v>
      </c>
      <c r="I116" t="s">
        <v>1336</v>
      </c>
      <c r="J116" t="b">
        <v>0</v>
      </c>
      <c r="K116" t="s">
        <v>1247</v>
      </c>
      <c r="L116" s="31">
        <v>46147.398392870367</v>
      </c>
      <c r="N116" s="5">
        <v>45962</v>
      </c>
      <c r="O116" s="13" t="s">
        <v>1058</v>
      </c>
      <c r="P116" s="13" t="s">
        <v>1780</v>
      </c>
      <c r="Q116" s="13" t="s">
        <v>1030</v>
      </c>
      <c r="R116" s="12">
        <v>0</v>
      </c>
      <c r="S116" s="12"/>
    </row>
    <row r="117" spans="4:19" x14ac:dyDescent="0.2">
      <c r="D117" t="s">
        <v>1337</v>
      </c>
      <c r="E117" t="s">
        <v>1338</v>
      </c>
      <c r="F117" t="s">
        <v>1243</v>
      </c>
      <c r="G117" t="s">
        <v>1234</v>
      </c>
      <c r="H117" t="s">
        <v>1235</v>
      </c>
      <c r="I117" t="s">
        <v>1332</v>
      </c>
      <c r="J117" t="b">
        <v>1</v>
      </c>
      <c r="K117" t="s">
        <v>1240</v>
      </c>
      <c r="L117" s="31">
        <v>46147.398392870367</v>
      </c>
      <c r="N117" s="5">
        <v>45962</v>
      </c>
      <c r="O117" s="13" t="s">
        <v>1058</v>
      </c>
      <c r="P117" s="13" t="s">
        <v>1700</v>
      </c>
      <c r="Q117" s="13" t="s">
        <v>1030</v>
      </c>
      <c r="R117" s="12">
        <v>0</v>
      </c>
      <c r="S117" s="12"/>
    </row>
    <row r="118" spans="4:19" x14ac:dyDescent="0.2">
      <c r="D118" t="s">
        <v>1339</v>
      </c>
      <c r="E118" t="s">
        <v>836</v>
      </c>
      <c r="F118" t="s">
        <v>1245</v>
      </c>
      <c r="G118" t="s">
        <v>1234</v>
      </c>
      <c r="H118" t="s">
        <v>1235</v>
      </c>
      <c r="I118" t="s">
        <v>1337</v>
      </c>
      <c r="J118" t="b">
        <v>1</v>
      </c>
      <c r="K118" t="s">
        <v>1240</v>
      </c>
      <c r="L118" s="31">
        <v>46147.398392870367</v>
      </c>
      <c r="N118" s="5">
        <v>45962</v>
      </c>
      <c r="O118" s="13" t="s">
        <v>1058</v>
      </c>
      <c r="P118" s="13" t="s">
        <v>1747</v>
      </c>
      <c r="Q118" s="13" t="s">
        <v>1030</v>
      </c>
      <c r="R118" s="12">
        <v>0</v>
      </c>
      <c r="S118" s="12"/>
    </row>
    <row r="119" spans="4:19" x14ac:dyDescent="0.2">
      <c r="D119" t="s">
        <v>835</v>
      </c>
      <c r="E119" t="s">
        <v>836</v>
      </c>
      <c r="F119" t="s">
        <v>1246</v>
      </c>
      <c r="G119" t="s">
        <v>1235</v>
      </c>
      <c r="H119" t="s">
        <v>1235</v>
      </c>
      <c r="I119" t="s">
        <v>1339</v>
      </c>
      <c r="J119" t="b">
        <v>0</v>
      </c>
      <c r="K119" t="s">
        <v>1247</v>
      </c>
      <c r="L119" s="31">
        <v>46147.398392870367</v>
      </c>
      <c r="N119" s="5">
        <v>45962</v>
      </c>
      <c r="O119" s="13" t="s">
        <v>1058</v>
      </c>
      <c r="P119" s="13" t="s">
        <v>1705</v>
      </c>
      <c r="Q119" s="13" t="s">
        <v>1030</v>
      </c>
      <c r="R119" s="12">
        <v>0</v>
      </c>
      <c r="S119" s="12"/>
    </row>
    <row r="120" spans="4:19" x14ac:dyDescent="0.2">
      <c r="D120" t="s">
        <v>1340</v>
      </c>
      <c r="E120" t="s">
        <v>1341</v>
      </c>
      <c r="F120" t="s">
        <v>1245</v>
      </c>
      <c r="G120" t="s">
        <v>1234</v>
      </c>
      <c r="H120" t="s">
        <v>1235</v>
      </c>
      <c r="I120" t="s">
        <v>1337</v>
      </c>
      <c r="J120" t="b">
        <v>1</v>
      </c>
      <c r="K120" t="s">
        <v>1240</v>
      </c>
      <c r="L120" s="31">
        <v>46147.398392870367</v>
      </c>
      <c r="N120" s="5">
        <v>45962</v>
      </c>
      <c r="O120" s="13" t="s">
        <v>1058</v>
      </c>
      <c r="P120" s="13" t="s">
        <v>1798</v>
      </c>
      <c r="Q120" s="13" t="s">
        <v>1030</v>
      </c>
      <c r="R120" s="12">
        <v>0</v>
      </c>
      <c r="S120" s="12"/>
    </row>
    <row r="121" spans="4:19" x14ac:dyDescent="0.2">
      <c r="D121" t="s">
        <v>837</v>
      </c>
      <c r="E121" t="s">
        <v>838</v>
      </c>
      <c r="F121" t="s">
        <v>1246</v>
      </c>
      <c r="G121" t="s">
        <v>1235</v>
      </c>
      <c r="H121" t="s">
        <v>1235</v>
      </c>
      <c r="I121" t="s">
        <v>1340</v>
      </c>
      <c r="J121" t="b">
        <v>0</v>
      </c>
      <c r="K121" t="s">
        <v>1247</v>
      </c>
      <c r="L121" s="31">
        <v>46147.398392870367</v>
      </c>
      <c r="N121" s="5">
        <v>45962</v>
      </c>
      <c r="O121" s="13" t="s">
        <v>1058</v>
      </c>
      <c r="P121" s="13" t="s">
        <v>1822</v>
      </c>
      <c r="Q121" s="13" t="s">
        <v>1030</v>
      </c>
      <c r="R121" s="12">
        <v>0</v>
      </c>
      <c r="S121" s="12"/>
    </row>
    <row r="122" spans="4:19" x14ac:dyDescent="0.2">
      <c r="D122" t="s">
        <v>839</v>
      </c>
      <c r="E122" t="s">
        <v>840</v>
      </c>
      <c r="F122" t="s">
        <v>1246</v>
      </c>
      <c r="G122" t="s">
        <v>1235</v>
      </c>
      <c r="H122" t="s">
        <v>1235</v>
      </c>
      <c r="I122" t="s">
        <v>1340</v>
      </c>
      <c r="J122" t="b">
        <v>0</v>
      </c>
      <c r="K122" t="s">
        <v>1247</v>
      </c>
      <c r="L122" s="31">
        <v>46147.398392870367</v>
      </c>
      <c r="N122" s="5">
        <v>45962</v>
      </c>
      <c r="O122" s="13" t="s">
        <v>1058</v>
      </c>
      <c r="P122" s="13" t="s">
        <v>1832</v>
      </c>
      <c r="Q122" s="13" t="s">
        <v>1030</v>
      </c>
      <c r="R122" s="12">
        <v>16806.72</v>
      </c>
      <c r="S122" s="12"/>
    </row>
    <row r="123" spans="4:19" x14ac:dyDescent="0.2">
      <c r="D123" t="s">
        <v>1342</v>
      </c>
      <c r="E123" t="s">
        <v>842</v>
      </c>
      <c r="F123" t="s">
        <v>1245</v>
      </c>
      <c r="G123" t="s">
        <v>1234</v>
      </c>
      <c r="H123" t="s">
        <v>1235</v>
      </c>
      <c r="I123" t="s">
        <v>1337</v>
      </c>
      <c r="J123" t="b">
        <v>1</v>
      </c>
      <c r="K123" t="s">
        <v>1240</v>
      </c>
      <c r="L123" s="31">
        <v>46147.398392870367</v>
      </c>
      <c r="N123" s="5">
        <v>45962</v>
      </c>
      <c r="O123" s="13" t="s">
        <v>1058</v>
      </c>
      <c r="P123" s="13" t="s">
        <v>1819</v>
      </c>
      <c r="Q123" s="13" t="s">
        <v>1030</v>
      </c>
      <c r="R123" s="12">
        <v>0</v>
      </c>
      <c r="S123" s="12"/>
    </row>
    <row r="124" spans="4:19" x14ac:dyDescent="0.2">
      <c r="D124" t="s">
        <v>841</v>
      </c>
      <c r="E124" t="s">
        <v>842</v>
      </c>
      <c r="F124" t="s">
        <v>1246</v>
      </c>
      <c r="G124" t="s">
        <v>1235</v>
      </c>
      <c r="H124" t="s">
        <v>1235</v>
      </c>
      <c r="I124" t="s">
        <v>1342</v>
      </c>
      <c r="J124" t="b">
        <v>0</v>
      </c>
      <c r="K124" t="s">
        <v>1247</v>
      </c>
      <c r="L124" s="31">
        <v>46147.398392870367</v>
      </c>
      <c r="N124" s="5">
        <v>45962</v>
      </c>
      <c r="O124" s="13" t="s">
        <v>1058</v>
      </c>
      <c r="P124" s="13" t="s">
        <v>1820</v>
      </c>
      <c r="Q124" s="13" t="s">
        <v>1030</v>
      </c>
      <c r="R124" s="12">
        <v>0</v>
      </c>
      <c r="S124" s="12"/>
    </row>
    <row r="125" spans="4:19" x14ac:dyDescent="0.2">
      <c r="D125" t="s">
        <v>1343</v>
      </c>
      <c r="E125" t="s">
        <v>844</v>
      </c>
      <c r="F125" t="s">
        <v>1245</v>
      </c>
      <c r="G125" t="s">
        <v>1234</v>
      </c>
      <c r="H125" t="s">
        <v>1235</v>
      </c>
      <c r="I125" t="s">
        <v>1337</v>
      </c>
      <c r="J125" t="b">
        <v>1</v>
      </c>
      <c r="K125" t="s">
        <v>1240</v>
      </c>
      <c r="L125" s="31">
        <v>46147.398392870367</v>
      </c>
      <c r="N125" s="5">
        <v>45962</v>
      </c>
      <c r="O125" s="13" t="s">
        <v>1058</v>
      </c>
      <c r="P125" s="13" t="s">
        <v>1837</v>
      </c>
      <c r="Q125" s="13" t="s">
        <v>1030</v>
      </c>
      <c r="R125" s="12">
        <v>88235.29</v>
      </c>
      <c r="S125" s="12"/>
    </row>
    <row r="126" spans="4:19" x14ac:dyDescent="0.2">
      <c r="D126" t="s">
        <v>843</v>
      </c>
      <c r="E126" t="s">
        <v>844</v>
      </c>
      <c r="F126" t="s">
        <v>1246</v>
      </c>
      <c r="G126" t="s">
        <v>1235</v>
      </c>
      <c r="H126" t="s">
        <v>1235</v>
      </c>
      <c r="I126" t="s">
        <v>1343</v>
      </c>
      <c r="J126" t="b">
        <v>0</v>
      </c>
      <c r="K126" t="s">
        <v>1247</v>
      </c>
      <c r="L126" s="31">
        <v>46147.398392870367</v>
      </c>
      <c r="N126" s="5">
        <v>45962</v>
      </c>
      <c r="O126" s="13" t="s">
        <v>1058</v>
      </c>
      <c r="P126" s="13" t="s">
        <v>1785</v>
      </c>
      <c r="Q126" s="13" t="s">
        <v>1030</v>
      </c>
      <c r="R126" s="12">
        <v>0</v>
      </c>
      <c r="S126" s="12"/>
    </row>
    <row r="127" spans="4:19" x14ac:dyDescent="0.2">
      <c r="D127" t="s">
        <v>1521</v>
      </c>
      <c r="E127" t="s">
        <v>1522</v>
      </c>
      <c r="F127" t="s">
        <v>1246</v>
      </c>
      <c r="G127" t="s">
        <v>1235</v>
      </c>
      <c r="H127" t="s">
        <v>1235</v>
      </c>
      <c r="I127" t="s">
        <v>1343</v>
      </c>
      <c r="J127" t="b">
        <v>0</v>
      </c>
      <c r="K127" t="s">
        <v>1247</v>
      </c>
      <c r="L127" s="31">
        <v>46147.398392870367</v>
      </c>
      <c r="N127" s="5">
        <v>45962</v>
      </c>
      <c r="O127" s="13" t="s">
        <v>1058</v>
      </c>
      <c r="P127" s="13" t="s">
        <v>1704</v>
      </c>
      <c r="Q127" s="13" t="s">
        <v>1030</v>
      </c>
      <c r="R127" s="12">
        <v>0</v>
      </c>
      <c r="S127" s="12"/>
    </row>
    <row r="128" spans="4:19" x14ac:dyDescent="0.2">
      <c r="D128" t="s">
        <v>1344</v>
      </c>
      <c r="E128" t="s">
        <v>1345</v>
      </c>
      <c r="F128" t="s">
        <v>1245</v>
      </c>
      <c r="G128" t="s">
        <v>1234</v>
      </c>
      <c r="H128" t="s">
        <v>1235</v>
      </c>
      <c r="I128" t="s">
        <v>1337</v>
      </c>
      <c r="J128" t="b">
        <v>1</v>
      </c>
      <c r="K128" t="s">
        <v>1240</v>
      </c>
      <c r="L128" s="31">
        <v>46147.398392870367</v>
      </c>
      <c r="N128" s="5">
        <v>45962</v>
      </c>
      <c r="O128" s="13" t="s">
        <v>1058</v>
      </c>
      <c r="P128" s="13" t="s">
        <v>1692</v>
      </c>
      <c r="Q128" s="13" t="s">
        <v>1030</v>
      </c>
      <c r="R128" s="12">
        <v>0</v>
      </c>
      <c r="S128" s="12"/>
    </row>
    <row r="129" spans="4:19" x14ac:dyDescent="0.2">
      <c r="D129" t="s">
        <v>845</v>
      </c>
      <c r="E129" t="s">
        <v>846</v>
      </c>
      <c r="F129" t="s">
        <v>1246</v>
      </c>
      <c r="G129" t="s">
        <v>1235</v>
      </c>
      <c r="H129" t="s">
        <v>1235</v>
      </c>
      <c r="I129" t="s">
        <v>1344</v>
      </c>
      <c r="J129" t="b">
        <v>0</v>
      </c>
      <c r="K129" t="s">
        <v>1247</v>
      </c>
      <c r="L129" s="31">
        <v>46147.398392870367</v>
      </c>
      <c r="N129" s="5">
        <v>45962</v>
      </c>
      <c r="O129" s="13" t="s">
        <v>1058</v>
      </c>
      <c r="P129" s="13" t="s">
        <v>1786</v>
      </c>
      <c r="Q129" s="13" t="s">
        <v>1030</v>
      </c>
      <c r="R129" s="12">
        <v>0</v>
      </c>
      <c r="S129" s="12"/>
    </row>
    <row r="130" spans="4:19" x14ac:dyDescent="0.2">
      <c r="D130" t="s">
        <v>1346</v>
      </c>
      <c r="E130" t="s">
        <v>848</v>
      </c>
      <c r="F130" t="s">
        <v>1245</v>
      </c>
      <c r="G130" t="s">
        <v>1234</v>
      </c>
      <c r="H130" t="s">
        <v>1235</v>
      </c>
      <c r="I130" t="s">
        <v>1337</v>
      </c>
      <c r="J130" t="b">
        <v>1</v>
      </c>
      <c r="K130" t="s">
        <v>1240</v>
      </c>
      <c r="L130" s="31">
        <v>46147.398392870367</v>
      </c>
      <c r="N130" s="5">
        <v>45962</v>
      </c>
      <c r="O130" s="13" t="s">
        <v>1058</v>
      </c>
      <c r="P130" s="13" t="s">
        <v>1818</v>
      </c>
      <c r="Q130" s="13" t="s">
        <v>1030</v>
      </c>
      <c r="R130" s="12">
        <v>0</v>
      </c>
      <c r="S130" s="12"/>
    </row>
    <row r="131" spans="4:19" x14ac:dyDescent="0.2">
      <c r="D131" t="s">
        <v>847</v>
      </c>
      <c r="E131" t="s">
        <v>848</v>
      </c>
      <c r="F131" t="s">
        <v>1246</v>
      </c>
      <c r="G131" t="s">
        <v>1235</v>
      </c>
      <c r="H131" t="s">
        <v>1235</v>
      </c>
      <c r="I131" t="s">
        <v>1346</v>
      </c>
      <c r="J131" t="b">
        <v>0</v>
      </c>
      <c r="K131" t="s">
        <v>1247</v>
      </c>
      <c r="L131" s="31">
        <v>46147.398392870367</v>
      </c>
      <c r="N131" s="5">
        <v>45962</v>
      </c>
      <c r="O131" s="13" t="s">
        <v>1058</v>
      </c>
      <c r="P131" s="13" t="s">
        <v>1694</v>
      </c>
      <c r="Q131" s="13" t="s">
        <v>1030</v>
      </c>
      <c r="R131" s="12">
        <v>0</v>
      </c>
      <c r="S131" s="12"/>
    </row>
    <row r="132" spans="4:19" x14ac:dyDescent="0.2">
      <c r="D132" t="s">
        <v>1347</v>
      </c>
      <c r="E132" t="s">
        <v>1348</v>
      </c>
      <c r="F132" t="s">
        <v>1243</v>
      </c>
      <c r="G132" t="s">
        <v>1234</v>
      </c>
      <c r="H132" t="s">
        <v>1235</v>
      </c>
      <c r="I132" t="s">
        <v>1332</v>
      </c>
      <c r="J132" t="b">
        <v>1</v>
      </c>
      <c r="K132" t="s">
        <v>1240</v>
      </c>
      <c r="L132" s="31">
        <v>46147.398392870367</v>
      </c>
      <c r="N132" s="5">
        <v>45962</v>
      </c>
      <c r="O132" s="13" t="s">
        <v>1058</v>
      </c>
      <c r="P132" s="13" t="s">
        <v>1773</v>
      </c>
      <c r="Q132" s="13" t="s">
        <v>1030</v>
      </c>
      <c r="R132" s="12">
        <v>0</v>
      </c>
      <c r="S132" s="12"/>
    </row>
    <row r="133" spans="4:19" x14ac:dyDescent="0.2">
      <c r="D133" t="s">
        <v>849</v>
      </c>
      <c r="E133" t="s">
        <v>850</v>
      </c>
      <c r="F133" t="s">
        <v>1245</v>
      </c>
      <c r="G133" t="s">
        <v>1235</v>
      </c>
      <c r="H133" t="s">
        <v>1235</v>
      </c>
      <c r="I133" t="s">
        <v>1347</v>
      </c>
      <c r="J133" t="b">
        <v>0</v>
      </c>
      <c r="K133" t="s">
        <v>1247</v>
      </c>
      <c r="L133" s="31">
        <v>46147.398392870367</v>
      </c>
      <c r="N133" s="5">
        <v>45962</v>
      </c>
      <c r="O133" s="13" t="s">
        <v>1058</v>
      </c>
      <c r="P133" s="13" t="s">
        <v>1714</v>
      </c>
      <c r="Q133" s="13" t="s">
        <v>1030</v>
      </c>
      <c r="R133" s="12">
        <v>0</v>
      </c>
      <c r="S133" s="12"/>
    </row>
    <row r="134" spans="4:19" x14ac:dyDescent="0.2">
      <c r="D134" t="s">
        <v>851</v>
      </c>
      <c r="E134" t="s">
        <v>852</v>
      </c>
      <c r="F134" t="s">
        <v>1245</v>
      </c>
      <c r="G134" t="s">
        <v>1235</v>
      </c>
      <c r="H134" t="s">
        <v>1235</v>
      </c>
      <c r="I134" t="s">
        <v>1347</v>
      </c>
      <c r="J134" t="b">
        <v>0</v>
      </c>
      <c r="K134" t="s">
        <v>1247</v>
      </c>
      <c r="L134" s="31">
        <v>46147.398392870367</v>
      </c>
      <c r="N134" s="5">
        <v>45962</v>
      </c>
      <c r="O134" s="13" t="s">
        <v>1058</v>
      </c>
      <c r="P134" s="13" t="s">
        <v>1765</v>
      </c>
      <c r="Q134" s="13" t="s">
        <v>1030</v>
      </c>
      <c r="R134" s="12">
        <v>0</v>
      </c>
      <c r="S134" s="12"/>
    </row>
    <row r="135" spans="4:19" x14ac:dyDescent="0.2">
      <c r="D135" t="s">
        <v>1349</v>
      </c>
      <c r="E135" t="s">
        <v>854</v>
      </c>
      <c r="F135" t="s">
        <v>1243</v>
      </c>
      <c r="G135" t="s">
        <v>1234</v>
      </c>
      <c r="H135" t="s">
        <v>1235</v>
      </c>
      <c r="I135" t="s">
        <v>1332</v>
      </c>
      <c r="J135" t="b">
        <v>1</v>
      </c>
      <c r="K135" t="s">
        <v>1240</v>
      </c>
      <c r="L135" s="31">
        <v>46147.398392870367</v>
      </c>
      <c r="N135" s="5">
        <v>45962</v>
      </c>
      <c r="O135" s="13" t="s">
        <v>1058</v>
      </c>
      <c r="P135" s="13" t="s">
        <v>1698</v>
      </c>
      <c r="Q135" s="13" t="s">
        <v>1030</v>
      </c>
      <c r="R135" s="12">
        <v>0</v>
      </c>
      <c r="S135" s="12"/>
    </row>
    <row r="136" spans="4:19" x14ac:dyDescent="0.2">
      <c r="D136" t="s">
        <v>853</v>
      </c>
      <c r="E136" t="s">
        <v>854</v>
      </c>
      <c r="F136" t="s">
        <v>1245</v>
      </c>
      <c r="G136" t="s">
        <v>1235</v>
      </c>
      <c r="H136" t="s">
        <v>1235</v>
      </c>
      <c r="I136" t="s">
        <v>1349</v>
      </c>
      <c r="J136" t="b">
        <v>0</v>
      </c>
      <c r="K136" t="s">
        <v>1247</v>
      </c>
      <c r="L136" s="31">
        <v>46147.398392870367</v>
      </c>
      <c r="N136" s="5">
        <v>45962</v>
      </c>
      <c r="O136" s="13" t="s">
        <v>1058</v>
      </c>
      <c r="P136" s="13" t="s">
        <v>1701</v>
      </c>
      <c r="Q136" s="13" t="s">
        <v>1030</v>
      </c>
      <c r="R136" s="12">
        <v>0</v>
      </c>
      <c r="S136" s="12"/>
    </row>
    <row r="137" spans="4:19" x14ac:dyDescent="0.2">
      <c r="D137" t="s">
        <v>1350</v>
      </c>
      <c r="E137" t="s">
        <v>790</v>
      </c>
      <c r="F137" t="s">
        <v>1243</v>
      </c>
      <c r="G137" t="s">
        <v>1234</v>
      </c>
      <c r="H137" t="s">
        <v>1235</v>
      </c>
      <c r="I137" t="s">
        <v>1332</v>
      </c>
      <c r="J137" t="b">
        <v>1</v>
      </c>
      <c r="K137" t="s">
        <v>1240</v>
      </c>
      <c r="L137" s="31">
        <v>46147.398392870367</v>
      </c>
      <c r="N137" s="5">
        <v>45962</v>
      </c>
      <c r="O137" s="13" t="s">
        <v>1058</v>
      </c>
      <c r="P137" s="13" t="s">
        <v>1774</v>
      </c>
      <c r="Q137" s="13" t="s">
        <v>1030</v>
      </c>
      <c r="R137" s="12">
        <v>0</v>
      </c>
      <c r="S137" s="12"/>
    </row>
    <row r="138" spans="4:19" x14ac:dyDescent="0.2">
      <c r="D138" t="s">
        <v>1351</v>
      </c>
      <c r="E138" t="s">
        <v>1352</v>
      </c>
      <c r="F138" t="s">
        <v>1245</v>
      </c>
      <c r="G138" t="s">
        <v>1234</v>
      </c>
      <c r="H138" t="s">
        <v>1235</v>
      </c>
      <c r="I138" t="s">
        <v>1350</v>
      </c>
      <c r="J138" t="b">
        <v>1</v>
      </c>
      <c r="K138" t="s">
        <v>1240</v>
      </c>
      <c r="L138" s="31">
        <v>46147.398392870367</v>
      </c>
      <c r="N138" s="5">
        <v>45962</v>
      </c>
      <c r="O138" s="13" t="s">
        <v>1058</v>
      </c>
      <c r="P138" s="13" t="s">
        <v>1799</v>
      </c>
      <c r="Q138" s="13" t="s">
        <v>1030</v>
      </c>
      <c r="R138" s="12">
        <v>0</v>
      </c>
      <c r="S138" s="12"/>
    </row>
    <row r="139" spans="4:19" x14ac:dyDescent="0.2">
      <c r="D139" t="s">
        <v>855</v>
      </c>
      <c r="E139" t="s">
        <v>856</v>
      </c>
      <c r="F139" t="s">
        <v>1246</v>
      </c>
      <c r="G139" t="s">
        <v>1235</v>
      </c>
      <c r="H139" t="s">
        <v>1235</v>
      </c>
      <c r="I139" t="s">
        <v>1351</v>
      </c>
      <c r="J139" t="b">
        <v>0</v>
      </c>
      <c r="K139" t="s">
        <v>1247</v>
      </c>
      <c r="L139" s="31">
        <v>46147.398392870367</v>
      </c>
      <c r="N139" s="5">
        <v>45962</v>
      </c>
      <c r="O139" s="13" t="s">
        <v>1058</v>
      </c>
      <c r="P139" s="13" t="s">
        <v>1197</v>
      </c>
      <c r="Q139" s="13" t="s">
        <v>1030</v>
      </c>
      <c r="R139" s="12">
        <v>0</v>
      </c>
      <c r="S139" s="12"/>
    </row>
    <row r="140" spans="4:19" x14ac:dyDescent="0.2">
      <c r="D140" t="s">
        <v>1353</v>
      </c>
      <c r="E140" t="s">
        <v>1354</v>
      </c>
      <c r="F140" t="s">
        <v>1239</v>
      </c>
      <c r="G140" t="s">
        <v>1234</v>
      </c>
      <c r="H140" t="s">
        <v>1235</v>
      </c>
      <c r="I140" t="s">
        <v>1299</v>
      </c>
      <c r="J140" t="b">
        <v>1</v>
      </c>
      <c r="K140" t="s">
        <v>1240</v>
      </c>
      <c r="L140" s="31">
        <v>46147.398392870367</v>
      </c>
      <c r="N140" s="5">
        <v>45962</v>
      </c>
      <c r="O140" s="13" t="s">
        <v>1058</v>
      </c>
      <c r="P140" s="13" t="s">
        <v>1744</v>
      </c>
      <c r="Q140" s="13" t="s">
        <v>1030</v>
      </c>
      <c r="R140" s="12">
        <v>0</v>
      </c>
      <c r="S140" s="12"/>
    </row>
    <row r="141" spans="4:19" x14ac:dyDescent="0.2">
      <c r="D141" t="s">
        <v>1355</v>
      </c>
      <c r="E141" t="s">
        <v>858</v>
      </c>
      <c r="F141" t="s">
        <v>1243</v>
      </c>
      <c r="G141" t="s">
        <v>1234</v>
      </c>
      <c r="H141" t="s">
        <v>1235</v>
      </c>
      <c r="I141" t="s">
        <v>1353</v>
      </c>
      <c r="J141" t="b">
        <v>1</v>
      </c>
      <c r="K141" t="s">
        <v>1240</v>
      </c>
      <c r="L141" s="31">
        <v>46147.398392870367</v>
      </c>
      <c r="N141" s="5">
        <v>45962</v>
      </c>
      <c r="O141" s="13" t="s">
        <v>1058</v>
      </c>
      <c r="P141" s="13" t="s">
        <v>1770</v>
      </c>
      <c r="Q141" s="13" t="s">
        <v>1030</v>
      </c>
      <c r="R141" s="12">
        <v>0</v>
      </c>
      <c r="S141" s="12"/>
    </row>
    <row r="142" spans="4:19" x14ac:dyDescent="0.2">
      <c r="D142" t="s">
        <v>1356</v>
      </c>
      <c r="E142" t="s">
        <v>858</v>
      </c>
      <c r="F142" t="s">
        <v>1245</v>
      </c>
      <c r="G142" t="s">
        <v>1234</v>
      </c>
      <c r="H142" t="s">
        <v>1235</v>
      </c>
      <c r="I142" t="s">
        <v>1355</v>
      </c>
      <c r="J142" t="b">
        <v>1</v>
      </c>
      <c r="K142" t="s">
        <v>1240</v>
      </c>
      <c r="L142" s="31">
        <v>46147.398392870367</v>
      </c>
      <c r="N142" s="5">
        <v>45962</v>
      </c>
      <c r="O142" s="13" t="s">
        <v>1058</v>
      </c>
      <c r="P142" s="13" t="s">
        <v>1727</v>
      </c>
      <c r="Q142" s="13" t="s">
        <v>1030</v>
      </c>
      <c r="R142" s="12">
        <v>0</v>
      </c>
      <c r="S142" s="12"/>
    </row>
    <row r="143" spans="4:19" x14ac:dyDescent="0.2">
      <c r="D143" t="s">
        <v>857</v>
      </c>
      <c r="E143" t="s">
        <v>858</v>
      </c>
      <c r="F143" t="s">
        <v>1246</v>
      </c>
      <c r="G143" t="s">
        <v>1235</v>
      </c>
      <c r="H143" t="s">
        <v>1235</v>
      </c>
      <c r="I143" t="s">
        <v>1356</v>
      </c>
      <c r="J143" t="b">
        <v>0</v>
      </c>
      <c r="K143" t="s">
        <v>1247</v>
      </c>
      <c r="L143" s="31">
        <v>46147.398392870367</v>
      </c>
      <c r="N143" s="5">
        <v>45962</v>
      </c>
      <c r="O143" s="13" t="s">
        <v>1058</v>
      </c>
      <c r="P143" s="13" t="s">
        <v>1821</v>
      </c>
      <c r="Q143" s="13" t="s">
        <v>1030</v>
      </c>
      <c r="R143" s="12">
        <v>0</v>
      </c>
      <c r="S143" s="12"/>
    </row>
    <row r="144" spans="4:19" x14ac:dyDescent="0.2">
      <c r="D144" t="s">
        <v>1357</v>
      </c>
      <c r="E144" t="s">
        <v>1358</v>
      </c>
      <c r="F144" t="s">
        <v>1243</v>
      </c>
      <c r="G144" t="s">
        <v>1234</v>
      </c>
      <c r="H144" t="s">
        <v>1235</v>
      </c>
      <c r="I144" t="s">
        <v>1353</v>
      </c>
      <c r="J144" t="b">
        <v>1</v>
      </c>
      <c r="K144" t="s">
        <v>1240</v>
      </c>
      <c r="L144" s="31">
        <v>46147.398392870367</v>
      </c>
      <c r="N144" s="5">
        <v>45962</v>
      </c>
      <c r="O144" s="13" t="s">
        <v>1058</v>
      </c>
      <c r="P144" s="13" t="s">
        <v>1827</v>
      </c>
      <c r="Q144" s="13" t="s">
        <v>1030</v>
      </c>
      <c r="R144" s="12">
        <v>136134.45000000001</v>
      </c>
      <c r="S144" s="12"/>
    </row>
    <row r="145" spans="4:19" x14ac:dyDescent="0.2">
      <c r="D145" t="s">
        <v>1359</v>
      </c>
      <c r="E145" t="s">
        <v>1358</v>
      </c>
      <c r="F145" t="s">
        <v>1245</v>
      </c>
      <c r="G145" t="s">
        <v>1234</v>
      </c>
      <c r="H145" t="s">
        <v>1235</v>
      </c>
      <c r="I145" t="s">
        <v>1357</v>
      </c>
      <c r="J145" t="b">
        <v>1</v>
      </c>
      <c r="K145" t="s">
        <v>1240</v>
      </c>
      <c r="L145" s="31">
        <v>46147.398392870367</v>
      </c>
      <c r="N145" s="5">
        <v>45962</v>
      </c>
      <c r="O145" s="13" t="s">
        <v>1058</v>
      </c>
      <c r="P145" s="13" t="s">
        <v>1722</v>
      </c>
      <c r="Q145" s="13" t="s">
        <v>1030</v>
      </c>
      <c r="R145" s="12">
        <v>0</v>
      </c>
      <c r="S145" s="12"/>
    </row>
    <row r="146" spans="4:19" x14ac:dyDescent="0.2">
      <c r="D146" t="s">
        <v>1360</v>
      </c>
      <c r="E146" t="s">
        <v>860</v>
      </c>
      <c r="F146" t="s">
        <v>1246</v>
      </c>
      <c r="G146" t="s">
        <v>1234</v>
      </c>
      <c r="H146" t="s">
        <v>1235</v>
      </c>
      <c r="I146" t="s">
        <v>1359</v>
      </c>
      <c r="J146" t="b">
        <v>1</v>
      </c>
      <c r="K146" t="s">
        <v>1240</v>
      </c>
      <c r="L146" s="31">
        <v>46147.398392870367</v>
      </c>
      <c r="N146" s="5">
        <v>45962</v>
      </c>
      <c r="O146" s="13" t="s">
        <v>1058</v>
      </c>
      <c r="P146" s="13" t="s">
        <v>1731</v>
      </c>
      <c r="Q146" s="13" t="s">
        <v>1030</v>
      </c>
      <c r="R146" s="12">
        <v>0</v>
      </c>
      <c r="S146" s="12"/>
    </row>
    <row r="147" spans="4:19" x14ac:dyDescent="0.2">
      <c r="D147" t="s">
        <v>859</v>
      </c>
      <c r="E147" t="s">
        <v>860</v>
      </c>
      <c r="F147" t="s">
        <v>1361</v>
      </c>
      <c r="G147" t="s">
        <v>1235</v>
      </c>
      <c r="H147" t="s">
        <v>1235</v>
      </c>
      <c r="I147" t="s">
        <v>1360</v>
      </c>
      <c r="J147" t="b">
        <v>0</v>
      </c>
      <c r="K147" t="s">
        <v>1247</v>
      </c>
      <c r="L147" s="31">
        <v>46147.398392870367</v>
      </c>
      <c r="N147" s="5">
        <v>45962</v>
      </c>
      <c r="O147" s="13" t="s">
        <v>1058</v>
      </c>
      <c r="P147" s="13" t="s">
        <v>1725</v>
      </c>
      <c r="Q147" s="13" t="s">
        <v>1030</v>
      </c>
      <c r="R147" s="12">
        <v>0</v>
      </c>
      <c r="S147" s="12"/>
    </row>
    <row r="148" spans="4:19" x14ac:dyDescent="0.2">
      <c r="D148" t="s">
        <v>1362</v>
      </c>
      <c r="E148" t="s">
        <v>862</v>
      </c>
      <c r="F148" t="s">
        <v>1246</v>
      </c>
      <c r="G148" t="s">
        <v>1234</v>
      </c>
      <c r="H148" t="s">
        <v>1235</v>
      </c>
      <c r="I148" t="s">
        <v>1359</v>
      </c>
      <c r="J148" t="b">
        <v>1</v>
      </c>
      <c r="K148" t="s">
        <v>1240</v>
      </c>
      <c r="L148" s="31">
        <v>46147.398392870367</v>
      </c>
      <c r="N148" s="5">
        <v>45962</v>
      </c>
      <c r="O148" s="13" t="s">
        <v>1058</v>
      </c>
      <c r="P148" s="13" t="s">
        <v>1697</v>
      </c>
      <c r="Q148" s="13" t="s">
        <v>1030</v>
      </c>
      <c r="R148" s="12">
        <v>0</v>
      </c>
      <c r="S148" s="12"/>
    </row>
    <row r="149" spans="4:19" x14ac:dyDescent="0.2">
      <c r="D149" t="s">
        <v>861</v>
      </c>
      <c r="E149" t="s">
        <v>862</v>
      </c>
      <c r="F149" t="s">
        <v>1361</v>
      </c>
      <c r="G149" t="s">
        <v>1235</v>
      </c>
      <c r="H149" t="s">
        <v>1235</v>
      </c>
      <c r="I149" t="s">
        <v>1362</v>
      </c>
      <c r="J149" t="b">
        <v>0</v>
      </c>
      <c r="K149" t="s">
        <v>1247</v>
      </c>
      <c r="L149" s="31">
        <v>46147.398392870367</v>
      </c>
      <c r="N149" s="5">
        <v>45962</v>
      </c>
      <c r="O149" s="13" t="s">
        <v>1058</v>
      </c>
      <c r="P149" s="13" t="s">
        <v>1769</v>
      </c>
      <c r="Q149" s="13" t="s">
        <v>1030</v>
      </c>
      <c r="R149" s="12">
        <v>0</v>
      </c>
      <c r="S149" s="12"/>
    </row>
    <row r="150" spans="4:19" x14ac:dyDescent="0.2">
      <c r="D150" t="s">
        <v>1363</v>
      </c>
      <c r="E150" t="s">
        <v>864</v>
      </c>
      <c r="F150" t="s">
        <v>1246</v>
      </c>
      <c r="G150" t="s">
        <v>1234</v>
      </c>
      <c r="H150" t="s">
        <v>1235</v>
      </c>
      <c r="I150" t="s">
        <v>1359</v>
      </c>
      <c r="J150" t="b">
        <v>1</v>
      </c>
      <c r="K150" t="s">
        <v>1240</v>
      </c>
      <c r="L150" s="31">
        <v>46147.398392870367</v>
      </c>
      <c r="N150" s="5">
        <v>45962</v>
      </c>
      <c r="O150" s="13" t="s">
        <v>1058</v>
      </c>
      <c r="P150" s="13" t="s">
        <v>2080</v>
      </c>
      <c r="Q150" s="13" t="s">
        <v>1030</v>
      </c>
      <c r="R150" s="12">
        <v>0</v>
      </c>
      <c r="S150" s="12"/>
    </row>
    <row r="151" spans="4:19" x14ac:dyDescent="0.2">
      <c r="D151" t="s">
        <v>863</v>
      </c>
      <c r="E151" t="s">
        <v>864</v>
      </c>
      <c r="F151" t="s">
        <v>1361</v>
      </c>
      <c r="G151" t="s">
        <v>1235</v>
      </c>
      <c r="H151" t="s">
        <v>1235</v>
      </c>
      <c r="I151" t="s">
        <v>1363</v>
      </c>
      <c r="J151" t="b">
        <v>0</v>
      </c>
      <c r="K151" t="s">
        <v>1247</v>
      </c>
      <c r="L151" s="31">
        <v>46147.398392870367</v>
      </c>
      <c r="N151" s="5">
        <v>45962</v>
      </c>
      <c r="O151" s="13" t="s">
        <v>1058</v>
      </c>
      <c r="P151" s="13" t="s">
        <v>1743</v>
      </c>
      <c r="Q151" s="13" t="s">
        <v>1030</v>
      </c>
      <c r="R151" s="12">
        <v>0</v>
      </c>
      <c r="S151" s="12"/>
    </row>
    <row r="152" spans="4:19" x14ac:dyDescent="0.2">
      <c r="D152" t="s">
        <v>865</v>
      </c>
      <c r="E152" t="s">
        <v>866</v>
      </c>
      <c r="F152" t="s">
        <v>1246</v>
      </c>
      <c r="G152" t="s">
        <v>1235</v>
      </c>
      <c r="H152" t="s">
        <v>1235</v>
      </c>
      <c r="I152" t="s">
        <v>1359</v>
      </c>
      <c r="J152" t="b">
        <v>0</v>
      </c>
      <c r="K152" t="s">
        <v>1247</v>
      </c>
      <c r="L152" s="31">
        <v>46147.398392870367</v>
      </c>
      <c r="N152" s="5">
        <v>45962</v>
      </c>
      <c r="O152" s="13" t="s">
        <v>1058</v>
      </c>
      <c r="P152" s="13" t="s">
        <v>1749</v>
      </c>
      <c r="Q152" s="13" t="s">
        <v>1030</v>
      </c>
      <c r="R152" s="12">
        <v>0</v>
      </c>
      <c r="S152" s="12"/>
    </row>
    <row r="153" spans="4:19" x14ac:dyDescent="0.2">
      <c r="D153" t="s">
        <v>1631</v>
      </c>
      <c r="E153" t="s">
        <v>1632</v>
      </c>
      <c r="F153" t="s">
        <v>1246</v>
      </c>
      <c r="G153" t="s">
        <v>1234</v>
      </c>
      <c r="H153" t="s">
        <v>1235</v>
      </c>
      <c r="I153" t="s">
        <v>1359</v>
      </c>
      <c r="J153" t="b">
        <v>1</v>
      </c>
      <c r="K153" t="s">
        <v>1240</v>
      </c>
      <c r="L153" s="31">
        <v>46147.398392870367</v>
      </c>
      <c r="N153" s="5">
        <v>45962</v>
      </c>
      <c r="O153" s="13" t="s">
        <v>1058</v>
      </c>
      <c r="P153" s="13" t="s">
        <v>1713</v>
      </c>
      <c r="Q153" s="13" t="s">
        <v>1030</v>
      </c>
      <c r="R153" s="12">
        <v>0</v>
      </c>
      <c r="S153" s="12"/>
    </row>
    <row r="154" spans="4:19" x14ac:dyDescent="0.2">
      <c r="D154" t="s">
        <v>869</v>
      </c>
      <c r="E154" t="s">
        <v>870</v>
      </c>
      <c r="F154" t="s">
        <v>1361</v>
      </c>
      <c r="G154" t="s">
        <v>1235</v>
      </c>
      <c r="H154" t="s">
        <v>1235</v>
      </c>
      <c r="I154" t="s">
        <v>1631</v>
      </c>
      <c r="J154" t="b">
        <v>0</v>
      </c>
      <c r="K154" t="s">
        <v>1247</v>
      </c>
      <c r="L154" s="31">
        <v>46147.398392870367</v>
      </c>
      <c r="N154" s="5">
        <v>45962</v>
      </c>
      <c r="O154" s="13" t="s">
        <v>1058</v>
      </c>
      <c r="P154" s="13" t="s">
        <v>1830</v>
      </c>
      <c r="Q154" s="13" t="s">
        <v>1030</v>
      </c>
      <c r="R154" s="12">
        <v>216176.47</v>
      </c>
      <c r="S154" s="12"/>
    </row>
    <row r="155" spans="4:19" x14ac:dyDescent="0.2">
      <c r="D155" t="s">
        <v>871</v>
      </c>
      <c r="E155" t="s">
        <v>872</v>
      </c>
      <c r="F155" t="s">
        <v>1361</v>
      </c>
      <c r="G155" t="s">
        <v>1235</v>
      </c>
      <c r="H155" t="s">
        <v>1235</v>
      </c>
      <c r="I155" t="s">
        <v>1631</v>
      </c>
      <c r="J155" t="b">
        <v>0</v>
      </c>
      <c r="K155" t="s">
        <v>1247</v>
      </c>
      <c r="L155" s="31">
        <v>46147.398392870367</v>
      </c>
      <c r="N155" s="5">
        <v>45962</v>
      </c>
      <c r="O155" s="13" t="s">
        <v>1058</v>
      </c>
      <c r="P155" s="13" t="s">
        <v>1733</v>
      </c>
      <c r="Q155" s="13" t="s">
        <v>1030</v>
      </c>
      <c r="R155" s="12">
        <v>0</v>
      </c>
      <c r="S155" s="12"/>
    </row>
    <row r="156" spans="4:19" x14ac:dyDescent="0.2">
      <c r="D156" t="s">
        <v>873</v>
      </c>
      <c r="E156" t="s">
        <v>874</v>
      </c>
      <c r="F156" t="s">
        <v>1361</v>
      </c>
      <c r="G156" t="s">
        <v>1235</v>
      </c>
      <c r="H156" t="s">
        <v>1235</v>
      </c>
      <c r="I156" t="s">
        <v>1631</v>
      </c>
      <c r="J156" t="b">
        <v>0</v>
      </c>
      <c r="K156" t="s">
        <v>1247</v>
      </c>
      <c r="L156" s="31">
        <v>46147.398392870367</v>
      </c>
      <c r="N156" s="5">
        <v>45962</v>
      </c>
      <c r="O156" s="13" t="s">
        <v>1058</v>
      </c>
      <c r="P156" s="13" t="s">
        <v>1706</v>
      </c>
      <c r="Q156" s="13" t="s">
        <v>1030</v>
      </c>
      <c r="R156" s="12">
        <v>0</v>
      </c>
      <c r="S156" s="12"/>
    </row>
    <row r="157" spans="4:19" x14ac:dyDescent="0.2">
      <c r="D157" t="s">
        <v>1633</v>
      </c>
      <c r="E157" t="s">
        <v>1634</v>
      </c>
      <c r="F157" t="s">
        <v>1246</v>
      </c>
      <c r="G157" t="s">
        <v>1234</v>
      </c>
      <c r="H157" t="s">
        <v>1235</v>
      </c>
      <c r="I157" t="s">
        <v>1359</v>
      </c>
      <c r="J157" t="b">
        <v>1</v>
      </c>
      <c r="K157" t="s">
        <v>1240</v>
      </c>
      <c r="L157" s="31">
        <v>46147.398392870367</v>
      </c>
      <c r="N157" s="5">
        <v>45962</v>
      </c>
      <c r="O157" s="13" t="s">
        <v>1058</v>
      </c>
      <c r="P157" s="13" t="s">
        <v>1162</v>
      </c>
      <c r="Q157" s="13" t="s">
        <v>1030</v>
      </c>
      <c r="R157" s="12">
        <v>0</v>
      </c>
      <c r="S157" s="12"/>
    </row>
    <row r="158" spans="4:19" x14ac:dyDescent="0.2">
      <c r="D158" t="s">
        <v>877</v>
      </c>
      <c r="E158" t="s">
        <v>878</v>
      </c>
      <c r="F158" t="s">
        <v>1361</v>
      </c>
      <c r="G158" t="s">
        <v>1235</v>
      </c>
      <c r="H158" t="s">
        <v>1235</v>
      </c>
      <c r="I158" t="s">
        <v>1633</v>
      </c>
      <c r="J158" t="b">
        <v>0</v>
      </c>
      <c r="K158" t="s">
        <v>1247</v>
      </c>
      <c r="L158" s="31">
        <v>46147.398392870367</v>
      </c>
      <c r="N158" s="5">
        <v>45962</v>
      </c>
      <c r="O158" s="13" t="s">
        <v>1058</v>
      </c>
      <c r="P158" s="13" t="s">
        <v>1702</v>
      </c>
      <c r="Q158" s="13" t="s">
        <v>1030</v>
      </c>
      <c r="R158" s="12">
        <v>0</v>
      </c>
      <c r="S158" s="12"/>
    </row>
    <row r="159" spans="4:19" x14ac:dyDescent="0.2">
      <c r="D159" t="s">
        <v>879</v>
      </c>
      <c r="E159" t="s">
        <v>880</v>
      </c>
      <c r="F159" t="s">
        <v>1361</v>
      </c>
      <c r="G159" t="s">
        <v>1235</v>
      </c>
      <c r="H159" t="s">
        <v>1235</v>
      </c>
      <c r="I159" t="s">
        <v>1633</v>
      </c>
      <c r="J159" t="b">
        <v>0</v>
      </c>
      <c r="K159" t="s">
        <v>1247</v>
      </c>
      <c r="L159" s="31">
        <v>46147.398392870367</v>
      </c>
      <c r="N159" s="5">
        <v>45962</v>
      </c>
      <c r="O159" s="13" t="s">
        <v>1058</v>
      </c>
      <c r="P159" s="13" t="s">
        <v>1737</v>
      </c>
      <c r="Q159" s="13" t="s">
        <v>1030</v>
      </c>
      <c r="R159" s="12">
        <v>0</v>
      </c>
      <c r="S159" s="12"/>
    </row>
    <row r="160" spans="4:19" x14ac:dyDescent="0.2">
      <c r="D160" t="s">
        <v>1364</v>
      </c>
      <c r="E160" t="s">
        <v>1365</v>
      </c>
      <c r="F160" t="s">
        <v>1239</v>
      </c>
      <c r="G160" t="s">
        <v>1234</v>
      </c>
      <c r="H160" t="s">
        <v>1235</v>
      </c>
      <c r="I160" t="s">
        <v>1299</v>
      </c>
      <c r="J160" t="b">
        <v>1</v>
      </c>
      <c r="K160" t="s">
        <v>1240</v>
      </c>
      <c r="L160" s="31">
        <v>46147.398392870367</v>
      </c>
      <c r="N160" s="5">
        <v>45962</v>
      </c>
      <c r="O160" s="13" t="s">
        <v>1058</v>
      </c>
      <c r="P160" s="13" t="s">
        <v>1826</v>
      </c>
      <c r="Q160" s="13" t="s">
        <v>1030</v>
      </c>
      <c r="R160" s="12">
        <v>0</v>
      </c>
      <c r="S160" s="12"/>
    </row>
    <row r="161" spans="4:19" x14ac:dyDescent="0.2">
      <c r="D161" t="s">
        <v>1366</v>
      </c>
      <c r="E161" t="s">
        <v>1367</v>
      </c>
      <c r="F161" t="s">
        <v>1243</v>
      </c>
      <c r="G161" t="s">
        <v>1234</v>
      </c>
      <c r="H161" t="s">
        <v>1235</v>
      </c>
      <c r="I161" t="s">
        <v>1364</v>
      </c>
      <c r="J161" t="b">
        <v>1</v>
      </c>
      <c r="K161" t="s">
        <v>1240</v>
      </c>
      <c r="L161" s="31">
        <v>46147.398392870367</v>
      </c>
      <c r="N161" s="5">
        <v>45962</v>
      </c>
      <c r="O161" s="13" t="s">
        <v>1058</v>
      </c>
      <c r="P161" s="13" t="s">
        <v>1742</v>
      </c>
      <c r="Q161" s="13" t="s">
        <v>1030</v>
      </c>
      <c r="R161" s="12">
        <v>0</v>
      </c>
      <c r="S161" s="12"/>
    </row>
    <row r="162" spans="4:19" x14ac:dyDescent="0.2">
      <c r="D162" t="s">
        <v>1368</v>
      </c>
      <c r="E162" t="s">
        <v>882</v>
      </c>
      <c r="F162" t="s">
        <v>1245</v>
      </c>
      <c r="G162" t="s">
        <v>1234</v>
      </c>
      <c r="H162" t="s">
        <v>1235</v>
      </c>
      <c r="I162" t="s">
        <v>1366</v>
      </c>
      <c r="J162" t="b">
        <v>1</v>
      </c>
      <c r="K162" t="s">
        <v>1240</v>
      </c>
      <c r="L162" s="31">
        <v>46147.398392870367</v>
      </c>
      <c r="N162" s="5">
        <v>45962</v>
      </c>
      <c r="O162" s="13" t="s">
        <v>1058</v>
      </c>
      <c r="P162" s="13" t="s">
        <v>1784</v>
      </c>
      <c r="Q162" s="13" t="s">
        <v>1030</v>
      </c>
      <c r="R162" s="12">
        <v>0</v>
      </c>
      <c r="S162" s="12"/>
    </row>
    <row r="163" spans="4:19" x14ac:dyDescent="0.2">
      <c r="D163" t="s">
        <v>881</v>
      </c>
      <c r="E163" t="s">
        <v>882</v>
      </c>
      <c r="F163" t="s">
        <v>1246</v>
      </c>
      <c r="G163" t="s">
        <v>1235</v>
      </c>
      <c r="H163" t="s">
        <v>1235</v>
      </c>
      <c r="I163" t="s">
        <v>1368</v>
      </c>
      <c r="J163" t="b">
        <v>0</v>
      </c>
      <c r="K163" t="s">
        <v>1247</v>
      </c>
      <c r="L163" s="31">
        <v>46147.398392870367</v>
      </c>
      <c r="N163" s="5">
        <v>45962</v>
      </c>
      <c r="O163" s="13" t="s">
        <v>1058</v>
      </c>
      <c r="P163" s="13" t="s">
        <v>1797</v>
      </c>
      <c r="Q163" s="13" t="s">
        <v>1030</v>
      </c>
      <c r="R163" s="12">
        <v>0</v>
      </c>
      <c r="S163" s="12"/>
    </row>
    <row r="164" spans="4:19" x14ac:dyDescent="0.2">
      <c r="D164" t="s">
        <v>1369</v>
      </c>
      <c r="E164" t="s">
        <v>1370</v>
      </c>
      <c r="F164" t="s">
        <v>1233</v>
      </c>
      <c r="G164" t="s">
        <v>1234</v>
      </c>
      <c r="H164" t="s">
        <v>1235</v>
      </c>
      <c r="J164" t="b">
        <v>1</v>
      </c>
      <c r="K164" t="s">
        <v>1236</v>
      </c>
      <c r="L164" s="31">
        <v>46147.398392870367</v>
      </c>
      <c r="N164" s="5">
        <v>45962</v>
      </c>
      <c r="O164" s="13" t="s">
        <v>1058</v>
      </c>
      <c r="P164" s="13" t="s">
        <v>1709</v>
      </c>
      <c r="Q164" s="13" t="s">
        <v>1030</v>
      </c>
      <c r="R164" s="12">
        <v>0</v>
      </c>
      <c r="S164" s="12"/>
    </row>
    <row r="165" spans="4:19" x14ac:dyDescent="0.2">
      <c r="D165" t="s">
        <v>1371</v>
      </c>
      <c r="E165" t="s">
        <v>1372</v>
      </c>
      <c r="F165" t="s">
        <v>1239</v>
      </c>
      <c r="G165" t="s">
        <v>1234</v>
      </c>
      <c r="H165" t="s">
        <v>1235</v>
      </c>
      <c r="I165" t="s">
        <v>1369</v>
      </c>
      <c r="J165" t="b">
        <v>1</v>
      </c>
      <c r="K165" t="s">
        <v>1240</v>
      </c>
      <c r="L165" s="31">
        <v>46147.398392870367</v>
      </c>
      <c r="N165" s="5">
        <v>45962</v>
      </c>
      <c r="O165" s="13" t="s">
        <v>1058</v>
      </c>
      <c r="P165" s="13" t="s">
        <v>1835</v>
      </c>
      <c r="Q165" s="13" t="s">
        <v>1030</v>
      </c>
      <c r="R165" s="12">
        <v>95798.32</v>
      </c>
      <c r="S165" s="12"/>
    </row>
    <row r="166" spans="4:19" x14ac:dyDescent="0.2">
      <c r="D166" t="s">
        <v>1373</v>
      </c>
      <c r="E166" t="s">
        <v>1374</v>
      </c>
      <c r="F166" t="s">
        <v>1243</v>
      </c>
      <c r="G166" t="s">
        <v>1234</v>
      </c>
      <c r="H166" t="s">
        <v>1235</v>
      </c>
      <c r="I166" t="s">
        <v>1371</v>
      </c>
      <c r="J166" t="b">
        <v>1</v>
      </c>
      <c r="K166" t="s">
        <v>1240</v>
      </c>
      <c r="L166" s="31">
        <v>46147.398392870367</v>
      </c>
      <c r="N166" s="5">
        <v>45962</v>
      </c>
      <c r="O166" s="13" t="s">
        <v>1058</v>
      </c>
      <c r="P166" s="13" t="s">
        <v>1716</v>
      </c>
      <c r="Q166" s="13" t="s">
        <v>1030</v>
      </c>
      <c r="R166" s="12">
        <v>0</v>
      </c>
      <c r="S166" s="12"/>
    </row>
    <row r="167" spans="4:19" x14ac:dyDescent="0.2">
      <c r="D167" t="s">
        <v>1375</v>
      </c>
      <c r="E167" t="s">
        <v>1374</v>
      </c>
      <c r="F167" t="s">
        <v>1245</v>
      </c>
      <c r="G167" t="s">
        <v>1234</v>
      </c>
      <c r="H167" t="s">
        <v>1235</v>
      </c>
      <c r="I167" t="s">
        <v>1373</v>
      </c>
      <c r="J167" t="b">
        <v>1</v>
      </c>
      <c r="K167" t="s">
        <v>1240</v>
      </c>
      <c r="L167" s="31">
        <v>46147.398392870367</v>
      </c>
      <c r="N167" s="5">
        <v>45962</v>
      </c>
      <c r="O167" s="13" t="s">
        <v>1058</v>
      </c>
      <c r="P167" s="13" t="s">
        <v>1766</v>
      </c>
      <c r="Q167" s="13" t="s">
        <v>1030</v>
      </c>
      <c r="R167" s="12">
        <v>0</v>
      </c>
      <c r="S167" s="12"/>
    </row>
    <row r="168" spans="4:19" x14ac:dyDescent="0.2">
      <c r="D168" t="s">
        <v>883</v>
      </c>
      <c r="E168" t="s">
        <v>884</v>
      </c>
      <c r="F168" t="s">
        <v>1246</v>
      </c>
      <c r="G168" t="s">
        <v>1235</v>
      </c>
      <c r="H168" t="s">
        <v>1235</v>
      </c>
      <c r="I168" t="s">
        <v>1375</v>
      </c>
      <c r="J168" t="b">
        <v>0</v>
      </c>
      <c r="K168" t="s">
        <v>1247</v>
      </c>
      <c r="L168" s="31">
        <v>46147.398392870367</v>
      </c>
      <c r="N168" s="5">
        <v>45962</v>
      </c>
      <c r="O168" s="13" t="s">
        <v>1058</v>
      </c>
      <c r="P168" s="13" t="s">
        <v>1690</v>
      </c>
      <c r="Q168" s="13" t="s">
        <v>1030</v>
      </c>
      <c r="R168" s="12">
        <v>0</v>
      </c>
      <c r="S168" s="12"/>
    </row>
    <row r="169" spans="4:19" x14ac:dyDescent="0.2">
      <c r="D169" t="s">
        <v>1376</v>
      </c>
      <c r="E169" t="s">
        <v>1377</v>
      </c>
      <c r="F169" t="s">
        <v>1239</v>
      </c>
      <c r="G169" t="s">
        <v>1234</v>
      </c>
      <c r="H169" t="s">
        <v>1235</v>
      </c>
      <c r="I169" t="s">
        <v>1369</v>
      </c>
      <c r="J169" t="b">
        <v>1</v>
      </c>
      <c r="K169" t="s">
        <v>1240</v>
      </c>
      <c r="L169" s="31">
        <v>46147.398392870367</v>
      </c>
      <c r="N169" s="5">
        <v>45962</v>
      </c>
      <c r="O169" s="13" t="s">
        <v>1058</v>
      </c>
      <c r="P169" s="13" t="s">
        <v>1740</v>
      </c>
      <c r="Q169" s="13" t="s">
        <v>1030</v>
      </c>
      <c r="R169" s="12">
        <v>0</v>
      </c>
      <c r="S169" s="12"/>
    </row>
    <row r="170" spans="4:19" x14ac:dyDescent="0.2">
      <c r="D170" t="s">
        <v>1378</v>
      </c>
      <c r="E170" t="s">
        <v>886</v>
      </c>
      <c r="F170" t="s">
        <v>1243</v>
      </c>
      <c r="G170" t="s">
        <v>1234</v>
      </c>
      <c r="H170" t="s">
        <v>1235</v>
      </c>
      <c r="I170" t="s">
        <v>1376</v>
      </c>
      <c r="J170" t="b">
        <v>1</v>
      </c>
      <c r="K170" t="s">
        <v>1240</v>
      </c>
      <c r="L170" s="31">
        <v>46147.398392870367</v>
      </c>
      <c r="N170" s="5">
        <v>45962</v>
      </c>
      <c r="O170" s="13" t="s">
        <v>1058</v>
      </c>
      <c r="P170" s="13" t="s">
        <v>1783</v>
      </c>
      <c r="Q170" s="13" t="s">
        <v>1030</v>
      </c>
      <c r="R170" s="12">
        <v>0</v>
      </c>
      <c r="S170" s="12"/>
    </row>
    <row r="171" spans="4:19" x14ac:dyDescent="0.2">
      <c r="D171" t="s">
        <v>885</v>
      </c>
      <c r="E171" t="s">
        <v>886</v>
      </c>
      <c r="F171" t="s">
        <v>1245</v>
      </c>
      <c r="G171" t="s">
        <v>1235</v>
      </c>
      <c r="H171" t="s">
        <v>1235</v>
      </c>
      <c r="I171" t="s">
        <v>1378</v>
      </c>
      <c r="J171" t="b">
        <v>0</v>
      </c>
      <c r="K171" t="s">
        <v>1247</v>
      </c>
      <c r="L171" s="31">
        <v>46147.398392870367</v>
      </c>
      <c r="N171" s="5">
        <v>45962</v>
      </c>
      <c r="O171" s="13" t="s">
        <v>1058</v>
      </c>
      <c r="P171" s="13" t="s">
        <v>1800</v>
      </c>
      <c r="Q171" s="13" t="s">
        <v>1030</v>
      </c>
      <c r="R171" s="12">
        <v>0</v>
      </c>
      <c r="S171" s="12"/>
    </row>
    <row r="172" spans="4:19" x14ac:dyDescent="0.2">
      <c r="D172" t="s">
        <v>1379</v>
      </c>
      <c r="E172" t="s">
        <v>1380</v>
      </c>
      <c r="F172" t="s">
        <v>1239</v>
      </c>
      <c r="G172" t="s">
        <v>1234</v>
      </c>
      <c r="H172" t="s">
        <v>1235</v>
      </c>
      <c r="I172" t="s">
        <v>1369</v>
      </c>
      <c r="J172" t="b">
        <v>1</v>
      </c>
      <c r="K172" t="s">
        <v>1240</v>
      </c>
      <c r="L172" s="31">
        <v>46147.398392870367</v>
      </c>
      <c r="N172" s="5">
        <v>45962</v>
      </c>
      <c r="O172" s="13" t="s">
        <v>1058</v>
      </c>
      <c r="P172" s="13" t="s">
        <v>1829</v>
      </c>
      <c r="Q172" s="13" t="s">
        <v>1030</v>
      </c>
      <c r="R172" s="12">
        <v>162605.03</v>
      </c>
      <c r="S172" s="12"/>
    </row>
    <row r="173" spans="4:19" x14ac:dyDescent="0.2">
      <c r="D173" t="s">
        <v>1381</v>
      </c>
      <c r="E173" t="s">
        <v>1380</v>
      </c>
      <c r="F173" t="s">
        <v>1243</v>
      </c>
      <c r="G173" t="s">
        <v>1234</v>
      </c>
      <c r="H173" t="s">
        <v>1235</v>
      </c>
      <c r="I173" t="s">
        <v>1379</v>
      </c>
      <c r="J173" t="b">
        <v>1</v>
      </c>
      <c r="K173" t="s">
        <v>1240</v>
      </c>
      <c r="L173" s="31">
        <v>46147.398392870367</v>
      </c>
      <c r="N173" s="5">
        <v>45962</v>
      </c>
      <c r="O173" s="13" t="s">
        <v>1058</v>
      </c>
      <c r="P173" s="13" t="s">
        <v>1711</v>
      </c>
      <c r="Q173" s="13" t="s">
        <v>1030</v>
      </c>
      <c r="R173" s="12">
        <v>0</v>
      </c>
      <c r="S173" s="12"/>
    </row>
    <row r="174" spans="4:19" x14ac:dyDescent="0.2">
      <c r="D174" t="s">
        <v>1382</v>
      </c>
      <c r="E174" t="s">
        <v>1380</v>
      </c>
      <c r="F174" t="s">
        <v>1245</v>
      </c>
      <c r="G174" t="s">
        <v>1234</v>
      </c>
      <c r="H174" t="s">
        <v>1235</v>
      </c>
      <c r="I174" t="s">
        <v>1381</v>
      </c>
      <c r="J174" t="b">
        <v>1</v>
      </c>
      <c r="K174" t="s">
        <v>1240</v>
      </c>
      <c r="L174" s="31">
        <v>46147.398392870367</v>
      </c>
      <c r="N174" s="5">
        <v>45962</v>
      </c>
      <c r="O174" s="13" t="s">
        <v>1058</v>
      </c>
      <c r="P174" s="13" t="s">
        <v>1801</v>
      </c>
      <c r="Q174" s="13" t="s">
        <v>1030</v>
      </c>
      <c r="R174" s="12">
        <v>0</v>
      </c>
      <c r="S174" s="12"/>
    </row>
    <row r="175" spans="4:19" x14ac:dyDescent="0.2">
      <c r="D175" t="s">
        <v>887</v>
      </c>
      <c r="E175" t="s">
        <v>888</v>
      </c>
      <c r="F175" t="s">
        <v>1246</v>
      </c>
      <c r="G175" t="s">
        <v>1235</v>
      </c>
      <c r="H175" t="s">
        <v>1235</v>
      </c>
      <c r="I175" t="s">
        <v>1382</v>
      </c>
      <c r="J175" t="b">
        <v>0</v>
      </c>
      <c r="K175" t="s">
        <v>1247</v>
      </c>
      <c r="L175" s="31">
        <v>46147.398392870367</v>
      </c>
      <c r="N175" s="5">
        <v>45962</v>
      </c>
      <c r="O175" s="13" t="s">
        <v>1058</v>
      </c>
      <c r="P175" s="13" t="s">
        <v>1741</v>
      </c>
      <c r="Q175" s="13" t="s">
        <v>1030</v>
      </c>
      <c r="R175" s="12">
        <v>0</v>
      </c>
      <c r="S175" s="12"/>
    </row>
    <row r="176" spans="4:19" x14ac:dyDescent="0.2">
      <c r="D176" t="s">
        <v>1383</v>
      </c>
      <c r="E176" t="s">
        <v>1384</v>
      </c>
      <c r="F176" t="s">
        <v>1233</v>
      </c>
      <c r="G176" t="s">
        <v>1234</v>
      </c>
      <c r="H176" t="s">
        <v>1235</v>
      </c>
      <c r="J176" t="b">
        <v>1</v>
      </c>
      <c r="K176" t="s">
        <v>1236</v>
      </c>
      <c r="L176" s="31">
        <v>46147.398392870367</v>
      </c>
      <c r="N176" s="5">
        <v>45962</v>
      </c>
      <c r="O176" s="13" t="s">
        <v>1058</v>
      </c>
      <c r="P176" s="13" t="s">
        <v>1763</v>
      </c>
      <c r="Q176" s="13" t="s">
        <v>1030</v>
      </c>
      <c r="R176" s="12">
        <v>0</v>
      </c>
      <c r="S176" s="12"/>
    </row>
    <row r="177" spans="4:19" x14ac:dyDescent="0.2">
      <c r="D177" t="s">
        <v>1385</v>
      </c>
      <c r="E177" t="s">
        <v>1386</v>
      </c>
      <c r="F177" t="s">
        <v>1239</v>
      </c>
      <c r="G177" t="s">
        <v>1234</v>
      </c>
      <c r="H177" t="s">
        <v>1235</v>
      </c>
      <c r="I177" t="s">
        <v>1383</v>
      </c>
      <c r="J177" t="b">
        <v>1</v>
      </c>
      <c r="K177" t="s">
        <v>1240</v>
      </c>
      <c r="L177" s="31">
        <v>46147.398392870367</v>
      </c>
      <c r="N177" s="5">
        <v>45962</v>
      </c>
      <c r="O177" s="13" t="s">
        <v>1058</v>
      </c>
      <c r="P177" s="13" t="s">
        <v>1734</v>
      </c>
      <c r="Q177" s="13" t="s">
        <v>1030</v>
      </c>
      <c r="R177" s="12">
        <v>0</v>
      </c>
      <c r="S177" s="12"/>
    </row>
    <row r="178" spans="4:19" x14ac:dyDescent="0.2">
      <c r="D178" t="s">
        <v>1387</v>
      </c>
      <c r="E178" t="s">
        <v>1388</v>
      </c>
      <c r="F178" t="s">
        <v>1243</v>
      </c>
      <c r="G178" t="s">
        <v>1234</v>
      </c>
      <c r="H178" t="s">
        <v>1235</v>
      </c>
      <c r="I178" t="s">
        <v>1385</v>
      </c>
      <c r="J178" t="b">
        <v>1</v>
      </c>
      <c r="K178" t="s">
        <v>1240</v>
      </c>
      <c r="L178" s="31">
        <v>46147.398392870367</v>
      </c>
      <c r="N178" s="5">
        <v>45962</v>
      </c>
      <c r="O178" s="13" t="s">
        <v>1058</v>
      </c>
      <c r="P178" s="13" t="s">
        <v>1735</v>
      </c>
      <c r="Q178" s="13" t="s">
        <v>1030</v>
      </c>
      <c r="R178" s="12">
        <v>0</v>
      </c>
      <c r="S178" s="12"/>
    </row>
    <row r="179" spans="4:19" x14ac:dyDescent="0.2">
      <c r="D179" t="s">
        <v>1389</v>
      </c>
      <c r="E179" t="s">
        <v>1388</v>
      </c>
      <c r="F179" t="s">
        <v>1245</v>
      </c>
      <c r="G179" t="s">
        <v>1234</v>
      </c>
      <c r="H179" t="s">
        <v>1235</v>
      </c>
      <c r="I179" t="s">
        <v>1387</v>
      </c>
      <c r="J179" t="b">
        <v>1</v>
      </c>
      <c r="K179" t="s">
        <v>1240</v>
      </c>
      <c r="L179" s="31">
        <v>46147.398392870367</v>
      </c>
      <c r="N179" s="5">
        <v>45962</v>
      </c>
      <c r="O179" s="13" t="s">
        <v>1058</v>
      </c>
      <c r="P179" s="13" t="s">
        <v>1802</v>
      </c>
      <c r="Q179" s="13" t="s">
        <v>1030</v>
      </c>
      <c r="R179" s="12">
        <v>0</v>
      </c>
      <c r="S179" s="12"/>
    </row>
    <row r="180" spans="4:19" x14ac:dyDescent="0.2">
      <c r="D180" t="s">
        <v>889</v>
      </c>
      <c r="E180" t="s">
        <v>890</v>
      </c>
      <c r="F180" t="s">
        <v>1246</v>
      </c>
      <c r="G180" t="s">
        <v>1235</v>
      </c>
      <c r="H180" t="s">
        <v>1235</v>
      </c>
      <c r="I180" t="s">
        <v>1389</v>
      </c>
      <c r="J180" t="b">
        <v>0</v>
      </c>
      <c r="K180" t="s">
        <v>1247</v>
      </c>
      <c r="L180" s="31">
        <v>46147.398392870367</v>
      </c>
      <c r="N180" s="5">
        <v>45962</v>
      </c>
      <c r="O180" s="13" t="s">
        <v>1058</v>
      </c>
      <c r="P180" s="13" t="s">
        <v>1745</v>
      </c>
      <c r="Q180" s="13" t="s">
        <v>1030</v>
      </c>
      <c r="R180" s="12">
        <v>0</v>
      </c>
      <c r="S180" s="12"/>
    </row>
    <row r="181" spans="4:19" x14ac:dyDescent="0.2">
      <c r="D181" t="s">
        <v>891</v>
      </c>
      <c r="E181" t="s">
        <v>774</v>
      </c>
      <c r="F181" t="s">
        <v>1246</v>
      </c>
      <c r="G181" t="s">
        <v>1235</v>
      </c>
      <c r="H181" t="s">
        <v>1235</v>
      </c>
      <c r="I181" t="s">
        <v>1389</v>
      </c>
      <c r="J181" t="b">
        <v>0</v>
      </c>
      <c r="K181" t="s">
        <v>1247</v>
      </c>
      <c r="L181" s="31">
        <v>46147.398392870367</v>
      </c>
      <c r="N181" s="5">
        <v>45962</v>
      </c>
      <c r="O181" s="13" t="s">
        <v>1058</v>
      </c>
      <c r="P181" s="13" t="s">
        <v>1729</v>
      </c>
      <c r="Q181" s="13" t="s">
        <v>1030</v>
      </c>
      <c r="R181" s="12">
        <v>0</v>
      </c>
      <c r="S181" s="12"/>
    </row>
    <row r="182" spans="4:19" x14ac:dyDescent="0.2">
      <c r="D182" t="s">
        <v>892</v>
      </c>
      <c r="E182" t="s">
        <v>776</v>
      </c>
      <c r="F182" t="s">
        <v>1246</v>
      </c>
      <c r="G182" t="s">
        <v>1235</v>
      </c>
      <c r="H182" t="s">
        <v>1235</v>
      </c>
      <c r="I182" t="s">
        <v>1389</v>
      </c>
      <c r="J182" t="b">
        <v>0</v>
      </c>
      <c r="K182" t="s">
        <v>1247</v>
      </c>
      <c r="L182" s="31">
        <v>46147.398392870367</v>
      </c>
      <c r="N182" s="5">
        <v>45962</v>
      </c>
      <c r="O182" s="13" t="s">
        <v>1058</v>
      </c>
      <c r="P182" s="13" t="s">
        <v>1710</v>
      </c>
      <c r="Q182" s="13" t="s">
        <v>1030</v>
      </c>
      <c r="R182" s="12">
        <v>0</v>
      </c>
      <c r="S182" s="12"/>
    </row>
    <row r="183" spans="4:19" x14ac:dyDescent="0.2">
      <c r="D183" t="s">
        <v>893</v>
      </c>
      <c r="E183" t="s">
        <v>894</v>
      </c>
      <c r="F183" t="s">
        <v>1246</v>
      </c>
      <c r="G183" t="s">
        <v>1235</v>
      </c>
      <c r="H183" t="s">
        <v>1235</v>
      </c>
      <c r="I183" t="s">
        <v>1389</v>
      </c>
      <c r="J183" t="b">
        <v>0</v>
      </c>
      <c r="K183" t="s">
        <v>1247</v>
      </c>
      <c r="L183" s="31">
        <v>46147.398392870367</v>
      </c>
      <c r="N183" s="5">
        <v>45962</v>
      </c>
      <c r="O183" s="13" t="s">
        <v>1058</v>
      </c>
      <c r="P183" s="13" t="s">
        <v>1721</v>
      </c>
      <c r="Q183" s="13" t="s">
        <v>1030</v>
      </c>
      <c r="R183" s="12">
        <v>0</v>
      </c>
      <c r="S183" s="12"/>
    </row>
    <row r="184" spans="4:19" x14ac:dyDescent="0.2">
      <c r="D184" t="s">
        <v>1390</v>
      </c>
      <c r="E184" t="s">
        <v>1391</v>
      </c>
      <c r="F184" t="s">
        <v>1245</v>
      </c>
      <c r="G184" t="s">
        <v>1234</v>
      </c>
      <c r="H184" t="s">
        <v>1235</v>
      </c>
      <c r="I184" t="s">
        <v>1387</v>
      </c>
      <c r="J184" t="b">
        <v>1</v>
      </c>
      <c r="K184" t="s">
        <v>1240</v>
      </c>
      <c r="L184" s="31">
        <v>46147.398392870367</v>
      </c>
      <c r="N184" s="5">
        <v>45962</v>
      </c>
      <c r="O184" s="13" t="s">
        <v>1058</v>
      </c>
      <c r="P184" s="13" t="s">
        <v>1738</v>
      </c>
      <c r="Q184" s="13" t="s">
        <v>1030</v>
      </c>
      <c r="R184" s="12">
        <v>0</v>
      </c>
      <c r="S184" s="12"/>
    </row>
    <row r="185" spans="4:19" x14ac:dyDescent="0.2">
      <c r="D185" t="s">
        <v>895</v>
      </c>
      <c r="E185" t="s">
        <v>896</v>
      </c>
      <c r="F185" t="s">
        <v>1246</v>
      </c>
      <c r="G185" t="s">
        <v>1235</v>
      </c>
      <c r="H185" t="s">
        <v>1235</v>
      </c>
      <c r="I185" t="s">
        <v>1390</v>
      </c>
      <c r="J185" t="b">
        <v>0</v>
      </c>
      <c r="K185" t="s">
        <v>1247</v>
      </c>
      <c r="L185" s="31">
        <v>46147.398392870367</v>
      </c>
      <c r="N185" s="5">
        <v>45962</v>
      </c>
      <c r="O185" s="13" t="s">
        <v>1058</v>
      </c>
      <c r="P185" s="13" t="s">
        <v>1817</v>
      </c>
      <c r="Q185" s="13" t="s">
        <v>1030</v>
      </c>
      <c r="R185" s="12">
        <v>138655.49</v>
      </c>
      <c r="S185" s="12"/>
    </row>
    <row r="186" spans="4:19" x14ac:dyDescent="0.2">
      <c r="D186" t="s">
        <v>1392</v>
      </c>
      <c r="E186" t="s">
        <v>1393</v>
      </c>
      <c r="F186" t="s">
        <v>1243</v>
      </c>
      <c r="G186" t="s">
        <v>1234</v>
      </c>
      <c r="H186" t="s">
        <v>1235</v>
      </c>
      <c r="I186" t="s">
        <v>1385</v>
      </c>
      <c r="J186" t="b">
        <v>1</v>
      </c>
      <c r="K186" t="s">
        <v>1240</v>
      </c>
      <c r="L186" s="31">
        <v>46147.398392870367</v>
      </c>
      <c r="N186" s="5">
        <v>45962</v>
      </c>
      <c r="O186" s="13" t="s">
        <v>1056</v>
      </c>
      <c r="P186" s="13" t="s">
        <v>1838</v>
      </c>
      <c r="Q186" s="13" t="s">
        <v>974</v>
      </c>
      <c r="R186" s="12">
        <v>26891</v>
      </c>
      <c r="S186" s="12"/>
    </row>
    <row r="187" spans="4:19" x14ac:dyDescent="0.2">
      <c r="D187" t="s">
        <v>1394</v>
      </c>
      <c r="E187" t="s">
        <v>1393</v>
      </c>
      <c r="F187" t="s">
        <v>1245</v>
      </c>
      <c r="G187" t="s">
        <v>1234</v>
      </c>
      <c r="H187" t="s">
        <v>1235</v>
      </c>
      <c r="I187" t="s">
        <v>1392</v>
      </c>
      <c r="J187" t="b">
        <v>1</v>
      </c>
      <c r="K187" t="s">
        <v>1240</v>
      </c>
      <c r="L187" s="31">
        <v>46147.398392870367</v>
      </c>
      <c r="N187" s="5">
        <v>45962</v>
      </c>
      <c r="O187" s="13" t="s">
        <v>1056</v>
      </c>
      <c r="P187" s="13" t="s">
        <v>1786</v>
      </c>
      <c r="Q187" s="13" t="s">
        <v>974</v>
      </c>
      <c r="R187" s="12">
        <v>0</v>
      </c>
      <c r="S187" s="12"/>
    </row>
    <row r="188" spans="4:19" x14ac:dyDescent="0.2">
      <c r="D188" t="s">
        <v>897</v>
      </c>
      <c r="E188" t="s">
        <v>898</v>
      </c>
      <c r="F188" t="s">
        <v>1246</v>
      </c>
      <c r="G188" t="s">
        <v>1235</v>
      </c>
      <c r="H188" t="s">
        <v>1235</v>
      </c>
      <c r="I188" t="s">
        <v>1394</v>
      </c>
      <c r="J188" t="b">
        <v>0</v>
      </c>
      <c r="K188" t="s">
        <v>1247</v>
      </c>
      <c r="L188" s="31">
        <v>46147.398392870367</v>
      </c>
      <c r="N188" s="5">
        <v>45962</v>
      </c>
      <c r="O188" s="13" t="s">
        <v>1056</v>
      </c>
      <c r="P188" s="13" t="s">
        <v>1199</v>
      </c>
      <c r="Q188" s="13" t="s">
        <v>974</v>
      </c>
      <c r="R188" s="12">
        <v>199580</v>
      </c>
      <c r="S188" s="12"/>
    </row>
    <row r="189" spans="4:19" x14ac:dyDescent="0.2">
      <c r="D189" t="s">
        <v>1395</v>
      </c>
      <c r="E189" t="s">
        <v>900</v>
      </c>
      <c r="F189" t="s">
        <v>1243</v>
      </c>
      <c r="G189" t="s">
        <v>1234</v>
      </c>
      <c r="H189" t="s">
        <v>1235</v>
      </c>
      <c r="I189" t="s">
        <v>1385</v>
      </c>
      <c r="J189" t="b">
        <v>1</v>
      </c>
      <c r="K189" t="s">
        <v>1240</v>
      </c>
      <c r="L189" s="31">
        <v>46147.398392870367</v>
      </c>
      <c r="N189" s="5">
        <v>45962</v>
      </c>
      <c r="O189" s="13" t="s">
        <v>1056</v>
      </c>
      <c r="P189" s="13" t="s">
        <v>1775</v>
      </c>
      <c r="Q189" s="13" t="s">
        <v>974</v>
      </c>
      <c r="R189" s="12">
        <v>0</v>
      </c>
      <c r="S189" s="12"/>
    </row>
    <row r="190" spans="4:19" x14ac:dyDescent="0.2">
      <c r="D190" t="s">
        <v>1396</v>
      </c>
      <c r="E190" t="s">
        <v>1397</v>
      </c>
      <c r="F190" t="s">
        <v>1245</v>
      </c>
      <c r="G190" t="s">
        <v>1234</v>
      </c>
      <c r="H190" t="s">
        <v>1235</v>
      </c>
      <c r="I190" t="s">
        <v>1395</v>
      </c>
      <c r="J190" t="b">
        <v>1</v>
      </c>
      <c r="K190" t="s">
        <v>1240</v>
      </c>
      <c r="L190" s="31">
        <v>46147.398392870367</v>
      </c>
      <c r="N190" s="5">
        <v>45962</v>
      </c>
      <c r="O190" s="13" t="s">
        <v>1056</v>
      </c>
      <c r="P190" s="13" t="s">
        <v>1169</v>
      </c>
      <c r="Q190" s="13" t="s">
        <v>974</v>
      </c>
      <c r="R190" s="12">
        <v>48740</v>
      </c>
      <c r="S190" s="12"/>
    </row>
    <row r="191" spans="4:19" x14ac:dyDescent="0.2">
      <c r="D191" t="s">
        <v>899</v>
      </c>
      <c r="E191" t="s">
        <v>900</v>
      </c>
      <c r="F191" t="s">
        <v>1246</v>
      </c>
      <c r="G191" t="s">
        <v>1235</v>
      </c>
      <c r="H191" t="s">
        <v>1235</v>
      </c>
      <c r="I191" t="s">
        <v>1396</v>
      </c>
      <c r="J191" t="b">
        <v>0</v>
      </c>
      <c r="K191" t="s">
        <v>1247</v>
      </c>
      <c r="L191" s="31">
        <v>46147.398392870367</v>
      </c>
      <c r="N191" s="5">
        <v>45962</v>
      </c>
      <c r="O191" s="13" t="s">
        <v>1056</v>
      </c>
      <c r="P191" s="13" t="s">
        <v>1808</v>
      </c>
      <c r="Q191" s="13" t="s">
        <v>974</v>
      </c>
      <c r="R191" s="12">
        <v>0</v>
      </c>
      <c r="S191" s="12"/>
    </row>
    <row r="192" spans="4:19" x14ac:dyDescent="0.2">
      <c r="D192" t="s">
        <v>901</v>
      </c>
      <c r="E192" t="s">
        <v>902</v>
      </c>
      <c r="F192" t="s">
        <v>1246</v>
      </c>
      <c r="G192" t="s">
        <v>1235</v>
      </c>
      <c r="H192" t="s">
        <v>1235</v>
      </c>
      <c r="I192" t="s">
        <v>1396</v>
      </c>
      <c r="J192" t="b">
        <v>0</v>
      </c>
      <c r="K192" t="s">
        <v>1247</v>
      </c>
      <c r="L192" s="31">
        <v>46147.398392870367</v>
      </c>
      <c r="N192" s="5">
        <v>45962</v>
      </c>
      <c r="O192" s="13" t="s">
        <v>1056</v>
      </c>
      <c r="P192" s="13" t="s">
        <v>1750</v>
      </c>
      <c r="Q192" s="13" t="s">
        <v>974</v>
      </c>
      <c r="R192" s="12">
        <v>0</v>
      </c>
      <c r="S192" s="12"/>
    </row>
    <row r="193" spans="4:19" x14ac:dyDescent="0.2">
      <c r="D193" t="s">
        <v>1635</v>
      </c>
      <c r="E193" t="s">
        <v>1636</v>
      </c>
      <c r="F193" t="s">
        <v>1245</v>
      </c>
      <c r="G193" t="s">
        <v>1234</v>
      </c>
      <c r="H193" t="s">
        <v>1235</v>
      </c>
      <c r="I193" t="s">
        <v>1395</v>
      </c>
      <c r="J193" t="b">
        <v>1</v>
      </c>
      <c r="K193" t="s">
        <v>1240</v>
      </c>
      <c r="L193" s="31">
        <v>46147.398392870367</v>
      </c>
      <c r="N193" s="5">
        <v>45962</v>
      </c>
      <c r="O193" s="13" t="s">
        <v>1058</v>
      </c>
      <c r="P193" s="13" t="s">
        <v>1161</v>
      </c>
      <c r="Q193" s="13" t="s">
        <v>1032</v>
      </c>
      <c r="R193" s="12">
        <v>354570</v>
      </c>
      <c r="S193" s="12"/>
    </row>
    <row r="194" spans="4:19" x14ac:dyDescent="0.2">
      <c r="D194" t="s">
        <v>903</v>
      </c>
      <c r="E194" t="s">
        <v>904</v>
      </c>
      <c r="F194" t="s">
        <v>1246</v>
      </c>
      <c r="G194" t="s">
        <v>1235</v>
      </c>
      <c r="H194" t="s">
        <v>1235</v>
      </c>
      <c r="I194" t="s">
        <v>1635</v>
      </c>
      <c r="J194" t="b">
        <v>0</v>
      </c>
      <c r="K194" t="s">
        <v>1247</v>
      </c>
      <c r="L194" s="31">
        <v>46147.398392870367</v>
      </c>
      <c r="N194" s="5">
        <v>45962</v>
      </c>
      <c r="O194" s="13" t="s">
        <v>1058</v>
      </c>
      <c r="P194" s="13" t="s">
        <v>1177</v>
      </c>
      <c r="Q194" s="13" t="s">
        <v>1032</v>
      </c>
      <c r="R194" s="12">
        <v>29072</v>
      </c>
      <c r="S194" s="12"/>
    </row>
    <row r="195" spans="4:19" x14ac:dyDescent="0.2">
      <c r="D195" t="s">
        <v>1637</v>
      </c>
      <c r="E195" t="s">
        <v>906</v>
      </c>
      <c r="F195" t="s">
        <v>1243</v>
      </c>
      <c r="G195" t="s">
        <v>1234</v>
      </c>
      <c r="H195" t="s">
        <v>1235</v>
      </c>
      <c r="I195" t="s">
        <v>1385</v>
      </c>
      <c r="J195" t="b">
        <v>1</v>
      </c>
      <c r="K195" t="s">
        <v>1240</v>
      </c>
      <c r="L195" s="31">
        <v>46147.398392870367</v>
      </c>
      <c r="N195" s="5">
        <v>45962</v>
      </c>
      <c r="O195" s="13" t="s">
        <v>1058</v>
      </c>
      <c r="P195" s="13" t="s">
        <v>1177</v>
      </c>
      <c r="Q195" s="13" t="s">
        <v>1025</v>
      </c>
      <c r="R195" s="12">
        <v>90190</v>
      </c>
      <c r="S195" s="12"/>
    </row>
    <row r="196" spans="4:19" x14ac:dyDescent="0.2">
      <c r="D196" t="s">
        <v>1638</v>
      </c>
      <c r="E196" t="s">
        <v>906</v>
      </c>
      <c r="F196" t="s">
        <v>1245</v>
      </c>
      <c r="G196" t="s">
        <v>1234</v>
      </c>
      <c r="H196" t="s">
        <v>1235</v>
      </c>
      <c r="I196" t="s">
        <v>1637</v>
      </c>
      <c r="J196" t="b">
        <v>1</v>
      </c>
      <c r="K196" t="s">
        <v>1240</v>
      </c>
      <c r="L196" s="31">
        <v>46147.398392870367</v>
      </c>
      <c r="N196" s="5">
        <v>45962</v>
      </c>
      <c r="O196" s="13" t="s">
        <v>1056</v>
      </c>
      <c r="P196" s="13" t="s">
        <v>1172</v>
      </c>
      <c r="Q196" s="13" t="s">
        <v>942</v>
      </c>
      <c r="R196" s="12">
        <v>1000000</v>
      </c>
      <c r="S196" s="12"/>
    </row>
    <row r="197" spans="4:19" x14ac:dyDescent="0.2">
      <c r="D197" t="s">
        <v>905</v>
      </c>
      <c r="E197" t="s">
        <v>906</v>
      </c>
      <c r="F197" t="s">
        <v>1246</v>
      </c>
      <c r="G197" t="s">
        <v>1235</v>
      </c>
      <c r="H197" t="s">
        <v>1235</v>
      </c>
      <c r="I197" t="s">
        <v>1638</v>
      </c>
      <c r="J197" t="b">
        <v>0</v>
      </c>
      <c r="K197" t="s">
        <v>1247</v>
      </c>
      <c r="L197" s="31">
        <v>46147.398392870367</v>
      </c>
      <c r="N197" s="5">
        <v>45962</v>
      </c>
      <c r="O197" s="13" t="s">
        <v>1057</v>
      </c>
      <c r="P197" s="13" t="s">
        <v>1779</v>
      </c>
      <c r="Q197" s="13" t="s">
        <v>985</v>
      </c>
      <c r="R197" s="12">
        <v>232936</v>
      </c>
      <c r="S197" s="12"/>
    </row>
    <row r="198" spans="4:19" x14ac:dyDescent="0.2">
      <c r="D198" t="s">
        <v>1398</v>
      </c>
      <c r="E198" t="s">
        <v>1399</v>
      </c>
      <c r="F198" t="s">
        <v>1239</v>
      </c>
      <c r="G198" t="s">
        <v>1234</v>
      </c>
      <c r="H198" t="s">
        <v>1235</v>
      </c>
      <c r="I198" t="s">
        <v>1383</v>
      </c>
      <c r="J198" t="b">
        <v>1</v>
      </c>
      <c r="K198" t="s">
        <v>1240</v>
      </c>
      <c r="L198" s="31">
        <v>46147.398392870367</v>
      </c>
      <c r="N198" s="5">
        <v>45962</v>
      </c>
      <c r="O198" s="13" t="s">
        <v>1057</v>
      </c>
      <c r="P198" s="13" t="s">
        <v>1793</v>
      </c>
      <c r="Q198" s="13" t="s">
        <v>985</v>
      </c>
      <c r="R198" s="12">
        <v>267230</v>
      </c>
      <c r="S198" s="12"/>
    </row>
    <row r="199" spans="4:19" x14ac:dyDescent="0.2">
      <c r="D199" t="s">
        <v>1400</v>
      </c>
      <c r="E199" t="s">
        <v>1401</v>
      </c>
      <c r="F199" t="s">
        <v>1243</v>
      </c>
      <c r="G199" t="s">
        <v>1234</v>
      </c>
      <c r="H199" t="s">
        <v>1235</v>
      </c>
      <c r="I199" t="s">
        <v>1398</v>
      </c>
      <c r="J199" t="b">
        <v>1</v>
      </c>
      <c r="K199" t="s">
        <v>1240</v>
      </c>
      <c r="L199" s="31">
        <v>46147.398392870367</v>
      </c>
      <c r="N199" s="5">
        <v>45962</v>
      </c>
      <c r="O199" s="13" t="s">
        <v>1058</v>
      </c>
      <c r="P199" s="13" t="s">
        <v>1146</v>
      </c>
      <c r="Q199" s="13" t="s">
        <v>1028</v>
      </c>
      <c r="R199" s="12">
        <v>0</v>
      </c>
      <c r="S199" s="12"/>
    </row>
    <row r="200" spans="4:19" x14ac:dyDescent="0.2">
      <c r="D200" t="s">
        <v>1402</v>
      </c>
      <c r="E200" t="s">
        <v>908</v>
      </c>
      <c r="F200" t="s">
        <v>1245</v>
      </c>
      <c r="G200" t="s">
        <v>1234</v>
      </c>
      <c r="H200" t="s">
        <v>1235</v>
      </c>
      <c r="I200" t="s">
        <v>1400</v>
      </c>
      <c r="J200" t="b">
        <v>1</v>
      </c>
      <c r="K200" t="s">
        <v>1240</v>
      </c>
      <c r="L200" s="31">
        <v>46147.398392870367</v>
      </c>
      <c r="N200" s="5">
        <v>45962</v>
      </c>
      <c r="O200" s="13" t="s">
        <v>1058</v>
      </c>
      <c r="P200" s="13" t="s">
        <v>1761</v>
      </c>
      <c r="Q200" s="13" t="s">
        <v>1028</v>
      </c>
      <c r="R200" s="12">
        <v>0</v>
      </c>
      <c r="S200" s="12"/>
    </row>
    <row r="201" spans="4:19" x14ac:dyDescent="0.2">
      <c r="D201" t="s">
        <v>907</v>
      </c>
      <c r="E201" t="s">
        <v>908</v>
      </c>
      <c r="F201" t="s">
        <v>1246</v>
      </c>
      <c r="G201" t="s">
        <v>1235</v>
      </c>
      <c r="H201" t="s">
        <v>1235</v>
      </c>
      <c r="I201" t="s">
        <v>1402</v>
      </c>
      <c r="J201" t="b">
        <v>0</v>
      </c>
      <c r="K201" t="s">
        <v>1247</v>
      </c>
      <c r="L201" s="31">
        <v>46147.398392870367</v>
      </c>
      <c r="N201" s="5">
        <v>45962</v>
      </c>
      <c r="O201" s="13" t="s">
        <v>1058</v>
      </c>
      <c r="P201" s="13" t="s">
        <v>1144</v>
      </c>
      <c r="Q201" s="13" t="s">
        <v>1028</v>
      </c>
      <c r="R201" s="12">
        <v>0</v>
      </c>
      <c r="S201" s="12"/>
    </row>
    <row r="202" spans="4:19" x14ac:dyDescent="0.2">
      <c r="D202" t="s">
        <v>1639</v>
      </c>
      <c r="E202" t="s">
        <v>1640</v>
      </c>
      <c r="F202" t="s">
        <v>1243</v>
      </c>
      <c r="G202" t="s">
        <v>1234</v>
      </c>
      <c r="H202" t="s">
        <v>1235</v>
      </c>
      <c r="I202" t="s">
        <v>1398</v>
      </c>
      <c r="J202" t="b">
        <v>1</v>
      </c>
      <c r="K202" t="s">
        <v>1240</v>
      </c>
      <c r="L202" s="31">
        <v>46147.398392870367</v>
      </c>
      <c r="N202" s="5">
        <v>45962</v>
      </c>
      <c r="O202" s="13" t="s">
        <v>1058</v>
      </c>
      <c r="P202" s="13" t="s">
        <v>1181</v>
      </c>
      <c r="Q202" s="13" t="s">
        <v>1028</v>
      </c>
      <c r="R202" s="12">
        <v>0</v>
      </c>
      <c r="S202" s="12"/>
    </row>
    <row r="203" spans="4:19" x14ac:dyDescent="0.2">
      <c r="D203" t="s">
        <v>909</v>
      </c>
      <c r="E203" t="s">
        <v>910</v>
      </c>
      <c r="F203" t="s">
        <v>1245</v>
      </c>
      <c r="G203" t="s">
        <v>1235</v>
      </c>
      <c r="H203" t="s">
        <v>1235</v>
      </c>
      <c r="I203" t="s">
        <v>1639</v>
      </c>
      <c r="J203" t="b">
        <v>0</v>
      </c>
      <c r="K203" t="s">
        <v>1247</v>
      </c>
      <c r="L203" s="31">
        <v>46147.398392870367</v>
      </c>
      <c r="N203" s="5">
        <v>45962</v>
      </c>
      <c r="O203" s="13" t="s">
        <v>1058</v>
      </c>
      <c r="P203" s="13" t="s">
        <v>1180</v>
      </c>
      <c r="Q203" s="13" t="s">
        <v>1028</v>
      </c>
      <c r="R203" s="12">
        <v>239000</v>
      </c>
      <c r="S203" s="12"/>
    </row>
    <row r="204" spans="4:19" x14ac:dyDescent="0.2">
      <c r="D204" t="s">
        <v>1403</v>
      </c>
      <c r="E204" t="s">
        <v>1404</v>
      </c>
      <c r="F204" t="s">
        <v>1243</v>
      </c>
      <c r="G204" t="s">
        <v>1234</v>
      </c>
      <c r="H204" t="s">
        <v>1235</v>
      </c>
      <c r="I204" t="s">
        <v>1398</v>
      </c>
      <c r="J204" t="b">
        <v>1</v>
      </c>
      <c r="K204" t="s">
        <v>1240</v>
      </c>
      <c r="L204" s="31">
        <v>46147.398392870367</v>
      </c>
      <c r="N204" s="5">
        <v>45962</v>
      </c>
      <c r="O204" s="13" t="s">
        <v>1058</v>
      </c>
      <c r="P204" s="13" t="s">
        <v>1166</v>
      </c>
      <c r="Q204" s="13" t="s">
        <v>1028</v>
      </c>
      <c r="R204" s="12">
        <v>0</v>
      </c>
      <c r="S204" s="12"/>
    </row>
    <row r="205" spans="4:19" x14ac:dyDescent="0.2">
      <c r="D205" t="s">
        <v>1405</v>
      </c>
      <c r="E205" t="s">
        <v>912</v>
      </c>
      <c r="F205" t="s">
        <v>1245</v>
      </c>
      <c r="G205" t="s">
        <v>1234</v>
      </c>
      <c r="H205" t="s">
        <v>1235</v>
      </c>
      <c r="I205" t="s">
        <v>1403</v>
      </c>
      <c r="J205" t="b">
        <v>1</v>
      </c>
      <c r="K205" t="s">
        <v>1240</v>
      </c>
      <c r="L205" s="31">
        <v>46147.398392870367</v>
      </c>
      <c r="N205" s="5">
        <v>45962</v>
      </c>
      <c r="O205" s="13" t="s">
        <v>1058</v>
      </c>
      <c r="P205" s="13" t="s">
        <v>1677</v>
      </c>
      <c r="Q205" s="13" t="s">
        <v>1028</v>
      </c>
      <c r="R205" s="12">
        <v>0</v>
      </c>
      <c r="S205" s="12"/>
    </row>
    <row r="206" spans="4:19" x14ac:dyDescent="0.2">
      <c r="D206" t="s">
        <v>911</v>
      </c>
      <c r="E206" t="s">
        <v>912</v>
      </c>
      <c r="F206" t="s">
        <v>1246</v>
      </c>
      <c r="G206" t="s">
        <v>1235</v>
      </c>
      <c r="H206" t="s">
        <v>1235</v>
      </c>
      <c r="I206" t="s">
        <v>1405</v>
      </c>
      <c r="J206" t="b">
        <v>0</v>
      </c>
      <c r="K206" t="s">
        <v>1247</v>
      </c>
      <c r="L206" s="31">
        <v>46147.398392870367</v>
      </c>
      <c r="N206" s="5">
        <v>45962</v>
      </c>
      <c r="O206" s="13" t="s">
        <v>1057</v>
      </c>
      <c r="P206" s="13" t="s">
        <v>1793</v>
      </c>
      <c r="Q206" s="13" t="s">
        <v>862</v>
      </c>
      <c r="R206" s="12">
        <v>7125</v>
      </c>
      <c r="S206" s="12"/>
    </row>
    <row r="207" spans="4:19" x14ac:dyDescent="0.2">
      <c r="D207" t="s">
        <v>1406</v>
      </c>
      <c r="E207" t="s">
        <v>1407</v>
      </c>
      <c r="F207" t="s">
        <v>1233</v>
      </c>
      <c r="G207" t="s">
        <v>1234</v>
      </c>
      <c r="H207" t="s">
        <v>1235</v>
      </c>
      <c r="J207" t="b">
        <v>1</v>
      </c>
      <c r="K207" t="s">
        <v>1236</v>
      </c>
      <c r="L207" s="31">
        <v>46147.398392870367</v>
      </c>
      <c r="N207" s="5">
        <v>45962</v>
      </c>
      <c r="O207" s="13" t="s">
        <v>1057</v>
      </c>
      <c r="P207" s="13" t="s">
        <v>1687</v>
      </c>
      <c r="Q207" s="13" t="s">
        <v>862</v>
      </c>
      <c r="R207" s="12">
        <v>0</v>
      </c>
      <c r="S207" s="12"/>
    </row>
    <row r="208" spans="4:19" x14ac:dyDescent="0.2">
      <c r="D208" t="s">
        <v>1408</v>
      </c>
      <c r="E208" t="s">
        <v>1409</v>
      </c>
      <c r="F208" t="s">
        <v>1239</v>
      </c>
      <c r="G208" t="s">
        <v>1234</v>
      </c>
      <c r="H208" t="s">
        <v>1235</v>
      </c>
      <c r="I208" t="s">
        <v>1406</v>
      </c>
      <c r="J208" t="b">
        <v>1</v>
      </c>
      <c r="K208" t="s">
        <v>1240</v>
      </c>
      <c r="L208" s="31">
        <v>46147.398392870367</v>
      </c>
      <c r="N208" s="5">
        <v>45962</v>
      </c>
      <c r="O208" s="13" t="s">
        <v>1057</v>
      </c>
      <c r="P208" s="13" t="s">
        <v>1681</v>
      </c>
      <c r="Q208" s="13" t="s">
        <v>862</v>
      </c>
      <c r="R208" s="12">
        <v>0</v>
      </c>
      <c r="S208" s="12"/>
    </row>
    <row r="209" spans="4:19" x14ac:dyDescent="0.2">
      <c r="D209" t="s">
        <v>1410</v>
      </c>
      <c r="E209" t="s">
        <v>1411</v>
      </c>
      <c r="F209" t="s">
        <v>1243</v>
      </c>
      <c r="G209" t="s">
        <v>1234</v>
      </c>
      <c r="H209" t="s">
        <v>1235</v>
      </c>
      <c r="I209" t="s">
        <v>1408</v>
      </c>
      <c r="J209" t="b">
        <v>1</v>
      </c>
      <c r="K209" t="s">
        <v>1240</v>
      </c>
      <c r="L209" s="31">
        <v>46147.398392870367</v>
      </c>
      <c r="N209" s="5">
        <v>45962</v>
      </c>
      <c r="O209" s="13" t="s">
        <v>1057</v>
      </c>
      <c r="P209" s="13" t="s">
        <v>1779</v>
      </c>
      <c r="Q209" s="13" t="s">
        <v>862</v>
      </c>
      <c r="R209" s="12">
        <v>3141</v>
      </c>
      <c r="S209" s="12"/>
    </row>
    <row r="210" spans="4:19" x14ac:dyDescent="0.2">
      <c r="D210" t="s">
        <v>1412</v>
      </c>
      <c r="E210" t="s">
        <v>914</v>
      </c>
      <c r="F210" t="s">
        <v>1245</v>
      </c>
      <c r="G210" t="s">
        <v>1234</v>
      </c>
      <c r="H210" t="s">
        <v>1235</v>
      </c>
      <c r="I210" t="s">
        <v>1410</v>
      </c>
      <c r="J210" t="b">
        <v>1</v>
      </c>
      <c r="K210" t="s">
        <v>1240</v>
      </c>
      <c r="L210" s="31">
        <v>46147.398392870367</v>
      </c>
      <c r="N210" s="5">
        <v>45962</v>
      </c>
      <c r="O210" s="13" t="s">
        <v>1056</v>
      </c>
      <c r="P210" s="13" t="s">
        <v>1164</v>
      </c>
      <c r="Q210" s="13" t="s">
        <v>862</v>
      </c>
      <c r="R210" s="12">
        <v>28669</v>
      </c>
      <c r="S210" s="12"/>
    </row>
    <row r="211" spans="4:19" x14ac:dyDescent="0.2">
      <c r="D211" t="s">
        <v>913</v>
      </c>
      <c r="E211" t="s">
        <v>914</v>
      </c>
      <c r="F211" t="s">
        <v>1246</v>
      </c>
      <c r="G211" t="s">
        <v>1235</v>
      </c>
      <c r="H211" t="s">
        <v>1235</v>
      </c>
      <c r="I211" t="s">
        <v>1412</v>
      </c>
      <c r="J211" t="b">
        <v>0</v>
      </c>
      <c r="K211" t="s">
        <v>1247</v>
      </c>
      <c r="L211" s="31">
        <v>46147.398392870367</v>
      </c>
      <c r="N211" s="5">
        <v>45962</v>
      </c>
      <c r="O211" s="13" t="s">
        <v>1056</v>
      </c>
      <c r="P211" s="13" t="s">
        <v>1162</v>
      </c>
      <c r="Q211" s="13" t="s">
        <v>862</v>
      </c>
      <c r="R211" s="12">
        <v>2331</v>
      </c>
      <c r="S211" s="12"/>
    </row>
    <row r="212" spans="4:19" x14ac:dyDescent="0.2">
      <c r="D212" t="s">
        <v>1413</v>
      </c>
      <c r="E212" t="s">
        <v>916</v>
      </c>
      <c r="F212" t="s">
        <v>1245</v>
      </c>
      <c r="G212" t="s">
        <v>1234</v>
      </c>
      <c r="H212" t="s">
        <v>1235</v>
      </c>
      <c r="I212" t="s">
        <v>1410</v>
      </c>
      <c r="J212" t="b">
        <v>1</v>
      </c>
      <c r="K212" t="s">
        <v>1240</v>
      </c>
      <c r="L212" s="31">
        <v>46147.398392870367</v>
      </c>
      <c r="N212" s="5">
        <v>45962</v>
      </c>
      <c r="O212" s="13" t="s">
        <v>1056</v>
      </c>
      <c r="P212" s="13" t="s">
        <v>1163</v>
      </c>
      <c r="Q212" s="13" t="s">
        <v>862</v>
      </c>
      <c r="R212" s="12">
        <v>2331</v>
      </c>
      <c r="S212" s="12"/>
    </row>
    <row r="213" spans="4:19" x14ac:dyDescent="0.2">
      <c r="D213" t="s">
        <v>915</v>
      </c>
      <c r="E213" t="s">
        <v>916</v>
      </c>
      <c r="F213" t="s">
        <v>1246</v>
      </c>
      <c r="G213" t="s">
        <v>1235</v>
      </c>
      <c r="H213" t="s">
        <v>1235</v>
      </c>
      <c r="I213" t="s">
        <v>1413</v>
      </c>
      <c r="J213" t="b">
        <v>0</v>
      </c>
      <c r="K213" t="s">
        <v>1247</v>
      </c>
      <c r="L213" s="31">
        <v>46147.398392870367</v>
      </c>
      <c r="N213" s="5">
        <v>45962</v>
      </c>
      <c r="O213" s="13" t="s">
        <v>1057</v>
      </c>
      <c r="P213" s="13" t="s">
        <v>1147</v>
      </c>
      <c r="Q213" s="13" t="s">
        <v>954</v>
      </c>
      <c r="R213" s="12">
        <v>152617</v>
      </c>
      <c r="S213" s="12"/>
    </row>
    <row r="214" spans="4:19" x14ac:dyDescent="0.2">
      <c r="D214" t="s">
        <v>1414</v>
      </c>
      <c r="E214" t="s">
        <v>860</v>
      </c>
      <c r="F214" t="s">
        <v>1245</v>
      </c>
      <c r="G214" t="s">
        <v>1234</v>
      </c>
      <c r="H214" t="s">
        <v>1235</v>
      </c>
      <c r="I214" t="s">
        <v>1410</v>
      </c>
      <c r="J214" t="b">
        <v>1</v>
      </c>
      <c r="K214" t="s">
        <v>1240</v>
      </c>
      <c r="L214" s="31">
        <v>46147.398392870367</v>
      </c>
      <c r="N214" s="5">
        <v>45962</v>
      </c>
      <c r="O214" s="13" t="s">
        <v>1056</v>
      </c>
      <c r="P214" s="13" t="s">
        <v>1809</v>
      </c>
      <c r="Q214" s="13" t="s">
        <v>954</v>
      </c>
      <c r="R214" s="12">
        <v>0</v>
      </c>
      <c r="S214" s="12"/>
    </row>
    <row r="215" spans="4:19" x14ac:dyDescent="0.2">
      <c r="D215" t="s">
        <v>917</v>
      </c>
      <c r="E215" t="s">
        <v>860</v>
      </c>
      <c r="F215" t="s">
        <v>1246</v>
      </c>
      <c r="G215" t="s">
        <v>1235</v>
      </c>
      <c r="H215" t="s">
        <v>1235</v>
      </c>
      <c r="I215" t="s">
        <v>1414</v>
      </c>
      <c r="J215" t="b">
        <v>0</v>
      </c>
      <c r="K215" t="s">
        <v>1247</v>
      </c>
      <c r="L215" s="31">
        <v>46147.398392870367</v>
      </c>
      <c r="N215" s="5">
        <v>45962</v>
      </c>
      <c r="O215" s="13" t="s">
        <v>1057</v>
      </c>
      <c r="P215" s="13" t="s">
        <v>1215</v>
      </c>
      <c r="Q215" s="13" t="s">
        <v>954</v>
      </c>
      <c r="R215" s="12">
        <v>0</v>
      </c>
      <c r="S215" s="12"/>
    </row>
    <row r="216" spans="4:19" x14ac:dyDescent="0.2">
      <c r="D216" t="s">
        <v>1415</v>
      </c>
      <c r="E216" t="s">
        <v>862</v>
      </c>
      <c r="F216" t="s">
        <v>1245</v>
      </c>
      <c r="G216" t="s">
        <v>1234</v>
      </c>
      <c r="H216" t="s">
        <v>1235</v>
      </c>
      <c r="I216" t="s">
        <v>1410</v>
      </c>
      <c r="J216" t="b">
        <v>1</v>
      </c>
      <c r="K216" t="s">
        <v>1240</v>
      </c>
      <c r="L216" s="31">
        <v>46147.398392870367</v>
      </c>
      <c r="N216" s="5">
        <v>45962</v>
      </c>
      <c r="O216" s="13" t="s">
        <v>1057</v>
      </c>
      <c r="P216" s="13" t="s">
        <v>1188</v>
      </c>
      <c r="Q216" s="13" t="s">
        <v>1014</v>
      </c>
      <c r="R216" s="12">
        <v>0</v>
      </c>
      <c r="S216" s="12"/>
    </row>
    <row r="217" spans="4:19" x14ac:dyDescent="0.2">
      <c r="D217" t="s">
        <v>918</v>
      </c>
      <c r="E217" t="s">
        <v>862</v>
      </c>
      <c r="F217" t="s">
        <v>1246</v>
      </c>
      <c r="G217" t="s">
        <v>1235</v>
      </c>
      <c r="H217" t="s">
        <v>1235</v>
      </c>
      <c r="I217" t="s">
        <v>1415</v>
      </c>
      <c r="J217" t="b">
        <v>0</v>
      </c>
      <c r="K217" t="s">
        <v>1247</v>
      </c>
      <c r="L217" s="31">
        <v>46147.398392870367</v>
      </c>
      <c r="N217" s="5">
        <v>45962</v>
      </c>
      <c r="O217" s="13" t="s">
        <v>1057</v>
      </c>
      <c r="P217" s="13" t="s">
        <v>1152</v>
      </c>
      <c r="Q217" s="13" t="s">
        <v>1014</v>
      </c>
      <c r="R217" s="12">
        <v>1960539</v>
      </c>
      <c r="S217" s="12"/>
    </row>
    <row r="218" spans="4:19" x14ac:dyDescent="0.2">
      <c r="D218" t="s">
        <v>1416</v>
      </c>
      <c r="E218" t="s">
        <v>920</v>
      </c>
      <c r="F218" t="s">
        <v>1245</v>
      </c>
      <c r="G218" t="s">
        <v>1234</v>
      </c>
      <c r="H218" t="s">
        <v>1235</v>
      </c>
      <c r="I218" t="s">
        <v>1410</v>
      </c>
      <c r="J218" t="b">
        <v>1</v>
      </c>
      <c r="K218" t="s">
        <v>1240</v>
      </c>
      <c r="L218" s="31">
        <v>46147.398392870367</v>
      </c>
      <c r="N218" s="5">
        <v>45962</v>
      </c>
      <c r="O218" s="13" t="s">
        <v>1057</v>
      </c>
      <c r="P218" s="13" t="s">
        <v>1751</v>
      </c>
      <c r="Q218" s="13" t="s">
        <v>1014</v>
      </c>
      <c r="R218" s="12">
        <v>0</v>
      </c>
      <c r="S218" s="12"/>
    </row>
    <row r="219" spans="4:19" x14ac:dyDescent="0.2">
      <c r="D219" t="s">
        <v>919</v>
      </c>
      <c r="E219" t="s">
        <v>920</v>
      </c>
      <c r="F219" t="s">
        <v>1246</v>
      </c>
      <c r="G219" t="s">
        <v>1235</v>
      </c>
      <c r="H219" t="s">
        <v>1235</v>
      </c>
      <c r="I219" t="s">
        <v>1416</v>
      </c>
      <c r="J219" t="b">
        <v>0</v>
      </c>
      <c r="K219" t="s">
        <v>1247</v>
      </c>
      <c r="L219" s="31">
        <v>46147.398392870367</v>
      </c>
      <c r="N219" s="5">
        <v>45962</v>
      </c>
      <c r="O219" s="13" t="s">
        <v>1057</v>
      </c>
      <c r="P219" s="13" t="s">
        <v>1156</v>
      </c>
      <c r="Q219" s="13" t="s">
        <v>1014</v>
      </c>
      <c r="R219" s="12">
        <v>2247120</v>
      </c>
      <c r="S219" s="12"/>
    </row>
    <row r="220" spans="4:19" x14ac:dyDescent="0.2">
      <c r="D220" t="s">
        <v>1417</v>
      </c>
      <c r="E220" t="s">
        <v>864</v>
      </c>
      <c r="F220" t="s">
        <v>1245</v>
      </c>
      <c r="G220" t="s">
        <v>1234</v>
      </c>
      <c r="H220" t="s">
        <v>1235</v>
      </c>
      <c r="I220" t="s">
        <v>1410</v>
      </c>
      <c r="J220" t="b">
        <v>1</v>
      </c>
      <c r="K220" t="s">
        <v>1240</v>
      </c>
      <c r="L220" s="31">
        <v>46147.398392870367</v>
      </c>
      <c r="N220" s="5">
        <v>45962</v>
      </c>
      <c r="O220" s="13" t="s">
        <v>1057</v>
      </c>
      <c r="P220" s="13" t="s">
        <v>1839</v>
      </c>
      <c r="Q220" s="13" t="s">
        <v>1014</v>
      </c>
      <c r="R220" s="12">
        <v>58994460</v>
      </c>
      <c r="S220" s="12"/>
    </row>
    <row r="221" spans="4:19" x14ac:dyDescent="0.2">
      <c r="D221" t="s">
        <v>921</v>
      </c>
      <c r="E221" t="s">
        <v>864</v>
      </c>
      <c r="F221" t="s">
        <v>1246</v>
      </c>
      <c r="G221" t="s">
        <v>1235</v>
      </c>
      <c r="H221" t="s">
        <v>1235</v>
      </c>
      <c r="I221" t="s">
        <v>1417</v>
      </c>
      <c r="J221" t="b">
        <v>0</v>
      </c>
      <c r="K221" t="s">
        <v>1247</v>
      </c>
      <c r="L221" s="31">
        <v>46147.398392870367</v>
      </c>
      <c r="N221" s="5">
        <v>45962</v>
      </c>
      <c r="O221" s="13" t="s">
        <v>1057</v>
      </c>
      <c r="P221" s="13" t="s">
        <v>1192</v>
      </c>
      <c r="Q221" s="13" t="s">
        <v>1021</v>
      </c>
      <c r="R221" s="12"/>
      <c r="S221" s="12">
        <v>162412</v>
      </c>
    </row>
    <row r="222" spans="4:19" x14ac:dyDescent="0.2">
      <c r="D222" t="s">
        <v>1641</v>
      </c>
      <c r="E222" t="s">
        <v>1458</v>
      </c>
      <c r="F222" t="s">
        <v>1245</v>
      </c>
      <c r="G222" t="s">
        <v>1234</v>
      </c>
      <c r="H222" t="s">
        <v>1235</v>
      </c>
      <c r="I222" t="s">
        <v>1410</v>
      </c>
      <c r="J222" t="b">
        <v>1</v>
      </c>
      <c r="K222" t="s">
        <v>1240</v>
      </c>
      <c r="L222" s="31">
        <v>46147.398392870367</v>
      </c>
      <c r="N222" s="5">
        <v>45962</v>
      </c>
      <c r="O222" s="13" t="s">
        <v>1057</v>
      </c>
      <c r="P222" s="13" t="s">
        <v>1753</v>
      </c>
      <c r="Q222" s="13" t="s">
        <v>1021</v>
      </c>
      <c r="R222" s="12"/>
      <c r="S222" s="12">
        <v>0</v>
      </c>
    </row>
    <row r="223" spans="4:19" x14ac:dyDescent="0.2">
      <c r="D223" t="s">
        <v>922</v>
      </c>
      <c r="E223" t="s">
        <v>923</v>
      </c>
      <c r="F223" t="s">
        <v>1246</v>
      </c>
      <c r="G223" t="s">
        <v>1235</v>
      </c>
      <c r="H223" t="s">
        <v>1235</v>
      </c>
      <c r="I223" t="s">
        <v>1641</v>
      </c>
      <c r="J223" t="b">
        <v>0</v>
      </c>
      <c r="K223" t="s">
        <v>1247</v>
      </c>
      <c r="L223" s="31">
        <v>46147.398392870367</v>
      </c>
      <c r="N223" s="5">
        <v>45962</v>
      </c>
      <c r="O223" s="13" t="s">
        <v>1057</v>
      </c>
      <c r="P223" s="13" t="s">
        <v>1756</v>
      </c>
      <c r="Q223" s="13" t="s">
        <v>1021</v>
      </c>
      <c r="R223" s="12"/>
      <c r="S223" s="12">
        <v>0</v>
      </c>
    </row>
    <row r="224" spans="4:19" x14ac:dyDescent="0.2">
      <c r="D224" t="s">
        <v>1642</v>
      </c>
      <c r="E224" t="s">
        <v>925</v>
      </c>
      <c r="F224" t="s">
        <v>1245</v>
      </c>
      <c r="G224" t="s">
        <v>1234</v>
      </c>
      <c r="H224" t="s">
        <v>1235</v>
      </c>
      <c r="I224" t="s">
        <v>1410</v>
      </c>
      <c r="J224" t="b">
        <v>1</v>
      </c>
      <c r="K224" t="s">
        <v>1240</v>
      </c>
      <c r="L224" s="31">
        <v>46147.398392870367</v>
      </c>
      <c r="N224" s="5">
        <v>45962</v>
      </c>
      <c r="O224" s="13" t="s">
        <v>1057</v>
      </c>
      <c r="P224" s="13" t="s">
        <v>1159</v>
      </c>
      <c r="Q224" s="13" t="s">
        <v>1021</v>
      </c>
      <c r="R224" s="12"/>
      <c r="S224" s="12">
        <v>0</v>
      </c>
    </row>
    <row r="225" spans="4:19" x14ac:dyDescent="0.2">
      <c r="D225" t="s">
        <v>924</v>
      </c>
      <c r="E225" t="s">
        <v>925</v>
      </c>
      <c r="F225" t="s">
        <v>1246</v>
      </c>
      <c r="G225" t="s">
        <v>1235</v>
      </c>
      <c r="H225" t="s">
        <v>1235</v>
      </c>
      <c r="I225" t="s">
        <v>1642</v>
      </c>
      <c r="J225" t="b">
        <v>0</v>
      </c>
      <c r="K225" t="s">
        <v>1247</v>
      </c>
      <c r="L225" s="31">
        <v>46147.398392870367</v>
      </c>
      <c r="N225" s="5">
        <v>45962</v>
      </c>
      <c r="O225" s="13" t="s">
        <v>1057</v>
      </c>
      <c r="P225" s="13" t="s">
        <v>1755</v>
      </c>
      <c r="Q225" s="13" t="s">
        <v>1021</v>
      </c>
      <c r="R225" s="12"/>
      <c r="S225" s="12">
        <v>0</v>
      </c>
    </row>
    <row r="226" spans="4:19" x14ac:dyDescent="0.2">
      <c r="D226" t="s">
        <v>1418</v>
      </c>
      <c r="E226" t="s">
        <v>927</v>
      </c>
      <c r="F226" t="s">
        <v>1245</v>
      </c>
      <c r="G226" t="s">
        <v>1234</v>
      </c>
      <c r="H226" t="s">
        <v>1235</v>
      </c>
      <c r="I226" t="s">
        <v>1410</v>
      </c>
      <c r="J226" t="b">
        <v>1</v>
      </c>
      <c r="K226" t="s">
        <v>1240</v>
      </c>
      <c r="L226" s="31">
        <v>46147.398392870367</v>
      </c>
      <c r="N226" s="5">
        <v>45962</v>
      </c>
      <c r="O226" s="13" t="s">
        <v>1057</v>
      </c>
      <c r="P226" s="13" t="s">
        <v>1153</v>
      </c>
      <c r="Q226" s="13" t="s">
        <v>1021</v>
      </c>
      <c r="R226" s="12"/>
      <c r="S226" s="12">
        <v>0</v>
      </c>
    </row>
    <row r="227" spans="4:19" x14ac:dyDescent="0.2">
      <c r="D227" t="s">
        <v>926</v>
      </c>
      <c r="E227" t="s">
        <v>927</v>
      </c>
      <c r="F227" t="s">
        <v>1246</v>
      </c>
      <c r="G227" t="s">
        <v>1235</v>
      </c>
      <c r="H227" t="s">
        <v>1235</v>
      </c>
      <c r="I227" t="s">
        <v>1418</v>
      </c>
      <c r="J227" t="b">
        <v>0</v>
      </c>
      <c r="K227" t="s">
        <v>1247</v>
      </c>
      <c r="L227" s="31">
        <v>46147.398392870367</v>
      </c>
      <c r="N227" s="5">
        <v>45962</v>
      </c>
      <c r="O227" s="13" t="s">
        <v>1057</v>
      </c>
      <c r="P227" s="13" t="s">
        <v>1759</v>
      </c>
      <c r="Q227" s="13" t="s">
        <v>1021</v>
      </c>
      <c r="R227" s="12"/>
      <c r="S227" s="12">
        <v>0</v>
      </c>
    </row>
    <row r="228" spans="4:19" x14ac:dyDescent="0.2">
      <c r="D228" t="s">
        <v>1419</v>
      </c>
      <c r="E228" t="s">
        <v>822</v>
      </c>
      <c r="F228" t="s">
        <v>1245</v>
      </c>
      <c r="G228" t="s">
        <v>1234</v>
      </c>
      <c r="H228" t="s">
        <v>1235</v>
      </c>
      <c r="I228" t="s">
        <v>1410</v>
      </c>
      <c r="J228" t="b">
        <v>1</v>
      </c>
      <c r="K228" t="s">
        <v>1240</v>
      </c>
      <c r="L228" s="31">
        <v>46147.398392870367</v>
      </c>
      <c r="N228" s="5">
        <v>45962</v>
      </c>
      <c r="O228" s="13" t="s">
        <v>1057</v>
      </c>
      <c r="P228" s="13" t="s">
        <v>1191</v>
      </c>
      <c r="Q228" s="13" t="s">
        <v>1021</v>
      </c>
      <c r="R228" s="12"/>
      <c r="S228" s="12">
        <v>0</v>
      </c>
    </row>
    <row r="229" spans="4:19" x14ac:dyDescent="0.2">
      <c r="D229" t="s">
        <v>928</v>
      </c>
      <c r="E229" t="s">
        <v>822</v>
      </c>
      <c r="F229" t="s">
        <v>1246</v>
      </c>
      <c r="G229" t="s">
        <v>1235</v>
      </c>
      <c r="H229" t="s">
        <v>1235</v>
      </c>
      <c r="I229" t="s">
        <v>1419</v>
      </c>
      <c r="J229" t="b">
        <v>0</v>
      </c>
      <c r="K229" t="s">
        <v>1247</v>
      </c>
      <c r="L229" s="31">
        <v>46147.398392870367</v>
      </c>
      <c r="N229" s="5">
        <v>45962</v>
      </c>
      <c r="O229" s="13" t="s">
        <v>1057</v>
      </c>
      <c r="P229" s="13" t="s">
        <v>1754</v>
      </c>
      <c r="Q229" s="13" t="s">
        <v>1021</v>
      </c>
      <c r="R229" s="12"/>
      <c r="S229" s="12">
        <v>0</v>
      </c>
    </row>
    <row r="230" spans="4:19" x14ac:dyDescent="0.2">
      <c r="D230" t="s">
        <v>1420</v>
      </c>
      <c r="E230" t="s">
        <v>930</v>
      </c>
      <c r="F230" t="s">
        <v>1245</v>
      </c>
      <c r="G230" t="s">
        <v>1234</v>
      </c>
      <c r="H230" t="s">
        <v>1235</v>
      </c>
      <c r="I230" t="s">
        <v>1410</v>
      </c>
      <c r="J230" t="b">
        <v>1</v>
      </c>
      <c r="K230" t="s">
        <v>1240</v>
      </c>
      <c r="L230" s="31">
        <v>46147.398392870367</v>
      </c>
      <c r="N230" s="5">
        <v>45962</v>
      </c>
      <c r="O230" s="13" t="s">
        <v>1057</v>
      </c>
      <c r="P230" s="13" t="s">
        <v>1752</v>
      </c>
      <c r="Q230" s="13" t="s">
        <v>1021</v>
      </c>
      <c r="R230" s="12"/>
      <c r="S230" s="12">
        <v>0</v>
      </c>
    </row>
    <row r="231" spans="4:19" x14ac:dyDescent="0.2">
      <c r="D231" t="s">
        <v>929</v>
      </c>
      <c r="E231" t="s">
        <v>930</v>
      </c>
      <c r="F231" t="s">
        <v>1246</v>
      </c>
      <c r="G231" t="s">
        <v>1235</v>
      </c>
      <c r="H231" t="s">
        <v>1235</v>
      </c>
      <c r="I231" t="s">
        <v>1420</v>
      </c>
      <c r="J231" t="b">
        <v>0</v>
      </c>
      <c r="K231" t="s">
        <v>1247</v>
      </c>
      <c r="L231" s="31">
        <v>46147.398392870367</v>
      </c>
      <c r="N231" s="5">
        <v>45962</v>
      </c>
      <c r="O231" s="13" t="s">
        <v>1057</v>
      </c>
      <c r="P231" s="13" t="s">
        <v>1154</v>
      </c>
      <c r="Q231" s="13" t="s">
        <v>1021</v>
      </c>
      <c r="R231" s="12"/>
      <c r="S231" s="12">
        <v>489300</v>
      </c>
    </row>
    <row r="232" spans="4:19" x14ac:dyDescent="0.2">
      <c r="D232" t="s">
        <v>1421</v>
      </c>
      <c r="E232" t="s">
        <v>932</v>
      </c>
      <c r="F232" t="s">
        <v>1245</v>
      </c>
      <c r="G232" t="s">
        <v>1234</v>
      </c>
      <c r="H232" t="s">
        <v>1235</v>
      </c>
      <c r="I232" t="s">
        <v>1410</v>
      </c>
      <c r="J232" t="b">
        <v>1</v>
      </c>
      <c r="K232" t="s">
        <v>1240</v>
      </c>
      <c r="L232" s="31">
        <v>46147.398392870367</v>
      </c>
      <c r="N232" s="5">
        <v>45962</v>
      </c>
      <c r="O232" s="13" t="s">
        <v>1057</v>
      </c>
      <c r="P232" s="13" t="s">
        <v>1767</v>
      </c>
      <c r="Q232" s="13" t="s">
        <v>1021</v>
      </c>
      <c r="R232" s="12"/>
      <c r="S232" s="12">
        <v>0</v>
      </c>
    </row>
    <row r="233" spans="4:19" x14ac:dyDescent="0.2">
      <c r="D233" t="s">
        <v>931</v>
      </c>
      <c r="E233" t="s">
        <v>932</v>
      </c>
      <c r="F233" t="s">
        <v>1246</v>
      </c>
      <c r="G233" t="s">
        <v>1235</v>
      </c>
      <c r="H233" t="s">
        <v>1235</v>
      </c>
      <c r="I233" t="s">
        <v>1421</v>
      </c>
      <c r="J233" t="b">
        <v>0</v>
      </c>
      <c r="K233" t="s">
        <v>1247</v>
      </c>
      <c r="L233" s="31">
        <v>46147.398392870367</v>
      </c>
      <c r="N233" s="5">
        <v>45962</v>
      </c>
      <c r="O233" s="13" t="s">
        <v>1057</v>
      </c>
      <c r="P233" s="13" t="s">
        <v>1160</v>
      </c>
      <c r="Q233" s="13" t="s">
        <v>1021</v>
      </c>
      <c r="R233" s="12"/>
      <c r="S233" s="12">
        <v>0</v>
      </c>
    </row>
    <row r="234" spans="4:19" x14ac:dyDescent="0.2">
      <c r="D234" t="s">
        <v>1643</v>
      </c>
      <c r="E234" t="s">
        <v>934</v>
      </c>
      <c r="F234" t="s">
        <v>1245</v>
      </c>
      <c r="G234" t="s">
        <v>1234</v>
      </c>
      <c r="H234" t="s">
        <v>1235</v>
      </c>
      <c r="I234" t="s">
        <v>1410</v>
      </c>
      <c r="J234" t="b">
        <v>1</v>
      </c>
      <c r="K234" t="s">
        <v>1240</v>
      </c>
      <c r="L234" s="31">
        <v>46147.398392870367</v>
      </c>
      <c r="N234" s="5">
        <v>45962</v>
      </c>
      <c r="O234" s="13" t="s">
        <v>1057</v>
      </c>
      <c r="P234" s="13" t="s">
        <v>1158</v>
      </c>
      <c r="Q234" s="13" t="s">
        <v>1023</v>
      </c>
      <c r="R234" s="12">
        <v>0</v>
      </c>
      <c r="S234" s="12"/>
    </row>
    <row r="235" spans="4:19" x14ac:dyDescent="0.2">
      <c r="D235" t="s">
        <v>933</v>
      </c>
      <c r="E235" t="s">
        <v>934</v>
      </c>
      <c r="F235" t="s">
        <v>1246</v>
      </c>
      <c r="G235" t="s">
        <v>1235</v>
      </c>
      <c r="H235" t="s">
        <v>1235</v>
      </c>
      <c r="I235" t="s">
        <v>1643</v>
      </c>
      <c r="J235" t="b">
        <v>0</v>
      </c>
      <c r="K235" t="s">
        <v>1247</v>
      </c>
      <c r="L235" s="31">
        <v>46147.398392870367</v>
      </c>
      <c r="N235" s="5">
        <v>45962</v>
      </c>
      <c r="O235" s="13" t="s">
        <v>1057</v>
      </c>
      <c r="P235" s="13" t="s">
        <v>1768</v>
      </c>
      <c r="Q235" s="13" t="s">
        <v>1023</v>
      </c>
      <c r="R235" s="12">
        <v>0</v>
      </c>
      <c r="S235" s="12"/>
    </row>
    <row r="236" spans="4:19" x14ac:dyDescent="0.2">
      <c r="D236" t="s">
        <v>1644</v>
      </c>
      <c r="E236" t="s">
        <v>936</v>
      </c>
      <c r="F236" t="s">
        <v>1245</v>
      </c>
      <c r="G236" t="s">
        <v>1234</v>
      </c>
      <c r="H236" t="s">
        <v>1235</v>
      </c>
      <c r="I236" t="s">
        <v>1410</v>
      </c>
      <c r="J236" t="b">
        <v>1</v>
      </c>
      <c r="K236" t="s">
        <v>1240</v>
      </c>
      <c r="L236" s="31">
        <v>46147.398392870367</v>
      </c>
      <c r="N236" s="5">
        <v>45962</v>
      </c>
      <c r="O236" s="13" t="s">
        <v>1057</v>
      </c>
      <c r="P236" s="13" t="s">
        <v>1811</v>
      </c>
      <c r="Q236" s="13" t="s">
        <v>1023</v>
      </c>
      <c r="R236" s="12">
        <v>0</v>
      </c>
      <c r="S236" s="12"/>
    </row>
    <row r="237" spans="4:19" x14ac:dyDescent="0.2">
      <c r="D237" t="s">
        <v>935</v>
      </c>
      <c r="E237" t="s">
        <v>936</v>
      </c>
      <c r="F237" t="s">
        <v>1246</v>
      </c>
      <c r="G237" t="s">
        <v>1235</v>
      </c>
      <c r="H237" t="s">
        <v>1235</v>
      </c>
      <c r="I237" t="s">
        <v>1644</v>
      </c>
      <c r="J237" t="b">
        <v>0</v>
      </c>
      <c r="K237" t="s">
        <v>1247</v>
      </c>
      <c r="L237" s="31">
        <v>46147.398392870367</v>
      </c>
      <c r="N237" s="5">
        <v>45962</v>
      </c>
      <c r="O237" s="13" t="s">
        <v>1057</v>
      </c>
      <c r="P237" s="13" t="s">
        <v>1195</v>
      </c>
      <c r="Q237" s="13" t="s">
        <v>1023</v>
      </c>
      <c r="R237" s="12">
        <v>0</v>
      </c>
      <c r="S237" s="12"/>
    </row>
    <row r="238" spans="4:19" x14ac:dyDescent="0.2">
      <c r="D238" t="s">
        <v>1422</v>
      </c>
      <c r="E238" t="s">
        <v>790</v>
      </c>
      <c r="F238" t="s">
        <v>1245</v>
      </c>
      <c r="G238" t="s">
        <v>1234</v>
      </c>
      <c r="H238" t="s">
        <v>1235</v>
      </c>
      <c r="I238" t="s">
        <v>1410</v>
      </c>
      <c r="J238" t="b">
        <v>1</v>
      </c>
      <c r="K238" t="s">
        <v>1240</v>
      </c>
      <c r="L238" s="31">
        <v>46147.398392870367</v>
      </c>
      <c r="N238" s="5">
        <v>45962</v>
      </c>
      <c r="O238" s="13" t="s">
        <v>1057</v>
      </c>
      <c r="P238" s="13" t="s">
        <v>1840</v>
      </c>
      <c r="Q238" s="13" t="s">
        <v>1023</v>
      </c>
      <c r="R238" s="12">
        <v>97500</v>
      </c>
      <c r="S238" s="12"/>
    </row>
    <row r="239" spans="4:19" x14ac:dyDescent="0.2">
      <c r="D239" t="s">
        <v>937</v>
      </c>
      <c r="E239" t="s">
        <v>938</v>
      </c>
      <c r="F239" t="s">
        <v>1246</v>
      </c>
      <c r="G239" t="s">
        <v>1235</v>
      </c>
      <c r="H239" t="s">
        <v>1235</v>
      </c>
      <c r="I239" t="s">
        <v>1422</v>
      </c>
      <c r="J239" t="b">
        <v>0</v>
      </c>
      <c r="K239" t="s">
        <v>1247</v>
      </c>
      <c r="L239" s="31">
        <v>46147.398392870367</v>
      </c>
      <c r="N239" s="5">
        <v>45962</v>
      </c>
      <c r="O239" s="13" t="s">
        <v>1057</v>
      </c>
      <c r="P239" s="13" t="s">
        <v>1813</v>
      </c>
      <c r="Q239" s="13" t="s">
        <v>1023</v>
      </c>
      <c r="R239" s="12">
        <v>0</v>
      </c>
      <c r="S239" s="12"/>
    </row>
    <row r="240" spans="4:19" x14ac:dyDescent="0.2">
      <c r="D240" t="s">
        <v>1423</v>
      </c>
      <c r="E240" t="s">
        <v>788</v>
      </c>
      <c r="F240" t="s">
        <v>1243</v>
      </c>
      <c r="G240" t="s">
        <v>1234</v>
      </c>
      <c r="H240" t="s">
        <v>1235</v>
      </c>
      <c r="I240" t="s">
        <v>1408</v>
      </c>
      <c r="J240" t="b">
        <v>1</v>
      </c>
      <c r="K240" t="s">
        <v>1240</v>
      </c>
      <c r="L240" s="31">
        <v>46147.398392870367</v>
      </c>
      <c r="N240" s="5">
        <v>45962</v>
      </c>
      <c r="O240" s="13" t="s">
        <v>1057</v>
      </c>
      <c r="P240" s="13" t="s">
        <v>1788</v>
      </c>
      <c r="Q240" s="13" t="s">
        <v>1023</v>
      </c>
      <c r="R240" s="12">
        <v>0</v>
      </c>
      <c r="S240" s="12"/>
    </row>
    <row r="241" spans="4:19" x14ac:dyDescent="0.2">
      <c r="D241" t="s">
        <v>1645</v>
      </c>
      <c r="E241" t="s">
        <v>1646</v>
      </c>
      <c r="F241" t="s">
        <v>1245</v>
      </c>
      <c r="G241" t="s">
        <v>1234</v>
      </c>
      <c r="H241" t="s">
        <v>1235</v>
      </c>
      <c r="I241" t="s">
        <v>1423</v>
      </c>
      <c r="J241" t="b">
        <v>1</v>
      </c>
      <c r="K241" t="s">
        <v>1240</v>
      </c>
      <c r="L241" s="31">
        <v>46147.398392870367</v>
      </c>
      <c r="N241" s="5">
        <v>45962</v>
      </c>
      <c r="O241" s="13" t="s">
        <v>1057</v>
      </c>
      <c r="P241" s="13" t="s">
        <v>1194</v>
      </c>
      <c r="Q241" s="13" t="s">
        <v>1023</v>
      </c>
      <c r="R241" s="12">
        <v>0</v>
      </c>
      <c r="S241" s="12"/>
    </row>
    <row r="242" spans="4:19" x14ac:dyDescent="0.2">
      <c r="D242" t="s">
        <v>939</v>
      </c>
      <c r="E242" t="s">
        <v>940</v>
      </c>
      <c r="F242" t="s">
        <v>1246</v>
      </c>
      <c r="G242" t="s">
        <v>1235</v>
      </c>
      <c r="H242" t="s">
        <v>1235</v>
      </c>
      <c r="I242" t="s">
        <v>1645</v>
      </c>
      <c r="J242" t="b">
        <v>0</v>
      </c>
      <c r="K242" t="s">
        <v>1247</v>
      </c>
      <c r="L242" s="31">
        <v>46147.398392870367</v>
      </c>
      <c r="N242" s="5">
        <v>45962</v>
      </c>
      <c r="O242" s="13" t="s">
        <v>1057</v>
      </c>
      <c r="P242" s="13" t="s">
        <v>1193</v>
      </c>
      <c r="Q242" s="13" t="s">
        <v>1023</v>
      </c>
      <c r="R242" s="12">
        <v>1633608.48</v>
      </c>
      <c r="S242" s="12"/>
    </row>
    <row r="243" spans="4:19" x14ac:dyDescent="0.2">
      <c r="D243" t="s">
        <v>1424</v>
      </c>
      <c r="E243" t="s">
        <v>1425</v>
      </c>
      <c r="F243" t="s">
        <v>1245</v>
      </c>
      <c r="G243" t="s">
        <v>1234</v>
      </c>
      <c r="H243" t="s">
        <v>1235</v>
      </c>
      <c r="I243" t="s">
        <v>1423</v>
      </c>
      <c r="J243" t="b">
        <v>1</v>
      </c>
      <c r="K243" t="s">
        <v>1240</v>
      </c>
      <c r="L243" s="31">
        <v>46147.398392870367</v>
      </c>
      <c r="N243" s="5">
        <v>45962</v>
      </c>
      <c r="O243" s="13" t="s">
        <v>1057</v>
      </c>
      <c r="P243" s="13" t="s">
        <v>1757</v>
      </c>
      <c r="Q243" s="13" t="s">
        <v>1023</v>
      </c>
      <c r="R243" s="12">
        <v>0</v>
      </c>
      <c r="S243" s="12"/>
    </row>
    <row r="244" spans="4:19" x14ac:dyDescent="0.2">
      <c r="D244" t="s">
        <v>941</v>
      </c>
      <c r="E244" t="s">
        <v>942</v>
      </c>
      <c r="F244" t="s">
        <v>1246</v>
      </c>
      <c r="G244" t="s">
        <v>1235</v>
      </c>
      <c r="H244" t="s">
        <v>1235</v>
      </c>
      <c r="I244" t="s">
        <v>1424</v>
      </c>
      <c r="J244" t="b">
        <v>0</v>
      </c>
      <c r="K244" t="s">
        <v>1247</v>
      </c>
      <c r="L244" s="31">
        <v>46147.398392870367</v>
      </c>
      <c r="N244" s="5">
        <v>45962</v>
      </c>
      <c r="O244" s="13" t="s">
        <v>1057</v>
      </c>
      <c r="P244" s="13" t="s">
        <v>1787</v>
      </c>
      <c r="Q244" s="13" t="s">
        <v>1023</v>
      </c>
      <c r="R244" s="12">
        <v>0</v>
      </c>
      <c r="S244" s="12"/>
    </row>
    <row r="245" spans="4:19" x14ac:dyDescent="0.2">
      <c r="D245" t="s">
        <v>1426</v>
      </c>
      <c r="E245" t="s">
        <v>944</v>
      </c>
      <c r="F245" t="s">
        <v>1245</v>
      </c>
      <c r="G245" t="s">
        <v>1234</v>
      </c>
      <c r="H245" t="s">
        <v>1235</v>
      </c>
      <c r="I245" t="s">
        <v>1423</v>
      </c>
      <c r="J245" t="b">
        <v>1</v>
      </c>
      <c r="K245" t="s">
        <v>1240</v>
      </c>
      <c r="L245" s="31">
        <v>46147.398392870367</v>
      </c>
      <c r="N245" s="5">
        <v>45962</v>
      </c>
      <c r="O245" s="13" t="s">
        <v>1057</v>
      </c>
      <c r="P245" s="13" t="s">
        <v>1810</v>
      </c>
      <c r="Q245" s="13" t="s">
        <v>1023</v>
      </c>
      <c r="R245" s="12">
        <v>665500</v>
      </c>
      <c r="S245" s="12"/>
    </row>
    <row r="246" spans="4:19" x14ac:dyDescent="0.2">
      <c r="D246" t="s">
        <v>943</v>
      </c>
      <c r="E246" t="s">
        <v>944</v>
      </c>
      <c r="F246" t="s">
        <v>1246</v>
      </c>
      <c r="G246" t="s">
        <v>1235</v>
      </c>
      <c r="H246" t="s">
        <v>1235</v>
      </c>
      <c r="I246" t="s">
        <v>1426</v>
      </c>
      <c r="J246" t="b">
        <v>0</v>
      </c>
      <c r="K246" t="s">
        <v>1247</v>
      </c>
      <c r="L246" s="31">
        <v>46147.398392870367</v>
      </c>
      <c r="N246" s="5">
        <v>45962</v>
      </c>
      <c r="O246" s="13" t="s">
        <v>1057</v>
      </c>
      <c r="P246" s="13" t="s">
        <v>1210</v>
      </c>
      <c r="Q246" s="13" t="s">
        <v>1023</v>
      </c>
      <c r="R246" s="12">
        <v>0</v>
      </c>
      <c r="S246" s="12"/>
    </row>
    <row r="247" spans="4:19" x14ac:dyDescent="0.2">
      <c r="D247" t="s">
        <v>1647</v>
      </c>
      <c r="E247" t="s">
        <v>1648</v>
      </c>
      <c r="F247" t="s">
        <v>1243</v>
      </c>
      <c r="G247" t="s">
        <v>1234</v>
      </c>
      <c r="H247" t="s">
        <v>1235</v>
      </c>
      <c r="I247" t="s">
        <v>1408</v>
      </c>
      <c r="J247" t="b">
        <v>1</v>
      </c>
      <c r="K247" t="s">
        <v>1240</v>
      </c>
      <c r="L247" s="31">
        <v>46147.398392870367</v>
      </c>
      <c r="N247" s="5">
        <v>45962</v>
      </c>
      <c r="O247" s="13" t="s">
        <v>1057</v>
      </c>
      <c r="P247" s="13" t="s">
        <v>1789</v>
      </c>
      <c r="Q247" s="13" t="s">
        <v>1023</v>
      </c>
      <c r="R247" s="12">
        <v>845920</v>
      </c>
      <c r="S247" s="12"/>
    </row>
    <row r="248" spans="4:19" x14ac:dyDescent="0.2">
      <c r="D248" t="s">
        <v>1649</v>
      </c>
      <c r="E248" t="s">
        <v>1650</v>
      </c>
      <c r="F248" t="s">
        <v>1245</v>
      </c>
      <c r="G248" t="s">
        <v>1234</v>
      </c>
      <c r="H248" t="s">
        <v>1235</v>
      </c>
      <c r="I248" t="s">
        <v>1647</v>
      </c>
      <c r="J248" t="b">
        <v>1</v>
      </c>
      <c r="K248" t="s">
        <v>1240</v>
      </c>
      <c r="L248" s="31">
        <v>46147.398392870367</v>
      </c>
      <c r="N248" s="5">
        <v>45962</v>
      </c>
      <c r="O248" s="13" t="s">
        <v>1057</v>
      </c>
      <c r="P248" s="13" t="s">
        <v>1814</v>
      </c>
      <c r="Q248" s="13" t="s">
        <v>1023</v>
      </c>
      <c r="R248" s="12">
        <v>0</v>
      </c>
      <c r="S248" s="12"/>
    </row>
    <row r="249" spans="4:19" x14ac:dyDescent="0.2">
      <c r="D249" t="s">
        <v>945</v>
      </c>
      <c r="E249" t="s">
        <v>946</v>
      </c>
      <c r="F249" t="s">
        <v>1246</v>
      </c>
      <c r="G249" t="s">
        <v>1235</v>
      </c>
      <c r="H249" t="s">
        <v>1235</v>
      </c>
      <c r="I249" t="s">
        <v>1649</v>
      </c>
      <c r="J249" t="b">
        <v>0</v>
      </c>
      <c r="K249" t="s">
        <v>1247</v>
      </c>
      <c r="L249" s="31">
        <v>46147.398392870367</v>
      </c>
      <c r="N249" s="5">
        <v>45962</v>
      </c>
      <c r="O249" s="13" t="s">
        <v>1057</v>
      </c>
      <c r="P249" s="13" t="s">
        <v>1758</v>
      </c>
      <c r="Q249" s="13" t="s">
        <v>1023</v>
      </c>
      <c r="R249" s="12">
        <v>0</v>
      </c>
      <c r="S249" s="12"/>
    </row>
    <row r="250" spans="4:19" x14ac:dyDescent="0.2">
      <c r="D250" t="s">
        <v>1427</v>
      </c>
      <c r="E250" t="s">
        <v>1310</v>
      </c>
      <c r="F250" t="s">
        <v>1243</v>
      </c>
      <c r="G250" t="s">
        <v>1234</v>
      </c>
      <c r="H250" t="s">
        <v>1235</v>
      </c>
      <c r="I250" t="s">
        <v>1408</v>
      </c>
      <c r="J250" t="b">
        <v>1</v>
      </c>
      <c r="K250" t="s">
        <v>1240</v>
      </c>
      <c r="L250" s="31">
        <v>46147.398392870367</v>
      </c>
      <c r="N250" s="5">
        <v>45962</v>
      </c>
      <c r="O250" s="13" t="s">
        <v>1057</v>
      </c>
      <c r="P250" s="13" t="s">
        <v>1812</v>
      </c>
      <c r="Q250" s="13" t="s">
        <v>1023</v>
      </c>
      <c r="R250" s="12">
        <v>0</v>
      </c>
      <c r="S250" s="12"/>
    </row>
    <row r="251" spans="4:19" x14ac:dyDescent="0.2">
      <c r="D251" t="s">
        <v>1428</v>
      </c>
      <c r="E251" t="s">
        <v>948</v>
      </c>
      <c r="F251" t="s">
        <v>1245</v>
      </c>
      <c r="G251" t="s">
        <v>1234</v>
      </c>
      <c r="H251" t="s">
        <v>1235</v>
      </c>
      <c r="I251" t="s">
        <v>1427</v>
      </c>
      <c r="J251" t="b">
        <v>1</v>
      </c>
      <c r="K251" t="s">
        <v>1240</v>
      </c>
      <c r="L251" s="31">
        <v>46147.398392870367</v>
      </c>
      <c r="N251" s="5">
        <v>45962</v>
      </c>
      <c r="O251" s="13" t="s">
        <v>1057</v>
      </c>
      <c r="P251" s="13" t="s">
        <v>1841</v>
      </c>
      <c r="Q251" s="13" t="s">
        <v>1023</v>
      </c>
      <c r="R251" s="12">
        <v>365300</v>
      </c>
      <c r="S251" s="12"/>
    </row>
    <row r="252" spans="4:19" x14ac:dyDescent="0.2">
      <c r="D252" t="s">
        <v>947</v>
      </c>
      <c r="E252" t="s">
        <v>948</v>
      </c>
      <c r="F252" t="s">
        <v>1246</v>
      </c>
      <c r="G252" t="s">
        <v>1235</v>
      </c>
      <c r="H252" t="s">
        <v>1235</v>
      </c>
      <c r="I252" t="s">
        <v>1428</v>
      </c>
      <c r="J252" t="b">
        <v>0</v>
      </c>
      <c r="K252" t="s">
        <v>1247</v>
      </c>
      <c r="L252" s="31">
        <v>46147.398392870367</v>
      </c>
      <c r="N252" s="5">
        <v>45962</v>
      </c>
      <c r="O252" s="13" t="s">
        <v>1059</v>
      </c>
      <c r="P252" s="13" t="s">
        <v>1759</v>
      </c>
      <c r="Q252" s="13" t="s">
        <v>890</v>
      </c>
      <c r="R252" s="12"/>
      <c r="S252" s="12">
        <v>0</v>
      </c>
    </row>
    <row r="253" spans="4:19" x14ac:dyDescent="0.2">
      <c r="D253" t="s">
        <v>1429</v>
      </c>
      <c r="E253" t="s">
        <v>906</v>
      </c>
      <c r="F253" t="s">
        <v>1243</v>
      </c>
      <c r="G253" t="s">
        <v>1234</v>
      </c>
      <c r="H253" t="s">
        <v>1235</v>
      </c>
      <c r="I253" t="s">
        <v>1408</v>
      </c>
      <c r="J253" t="b">
        <v>1</v>
      </c>
      <c r="K253" t="s">
        <v>1240</v>
      </c>
      <c r="L253" s="31">
        <v>46147.398392870367</v>
      </c>
      <c r="N253" s="5">
        <v>45962</v>
      </c>
      <c r="O253" s="13" t="s">
        <v>1059</v>
      </c>
      <c r="P253" s="13" t="s">
        <v>1141</v>
      </c>
      <c r="Q253" s="13" t="s">
        <v>890</v>
      </c>
      <c r="R253" s="12"/>
      <c r="S253" s="12">
        <v>18454181</v>
      </c>
    </row>
    <row r="254" spans="4:19" x14ac:dyDescent="0.2">
      <c r="D254" t="s">
        <v>1430</v>
      </c>
      <c r="E254" t="s">
        <v>1431</v>
      </c>
      <c r="F254" t="s">
        <v>1245</v>
      </c>
      <c r="G254" t="s">
        <v>1234</v>
      </c>
      <c r="H254" t="s">
        <v>1235</v>
      </c>
      <c r="I254" t="s">
        <v>1429</v>
      </c>
      <c r="J254" t="b">
        <v>1</v>
      </c>
      <c r="K254" t="s">
        <v>1240</v>
      </c>
      <c r="L254" s="31">
        <v>46147.398392870367</v>
      </c>
      <c r="N254" s="5">
        <v>45962</v>
      </c>
      <c r="O254" s="13" t="s">
        <v>1056</v>
      </c>
      <c r="P254" s="13" t="s">
        <v>1162</v>
      </c>
      <c r="Q254" s="13" t="s">
        <v>920</v>
      </c>
      <c r="R254" s="12">
        <v>232500</v>
      </c>
      <c r="S254" s="12"/>
    </row>
    <row r="255" spans="4:19" x14ac:dyDescent="0.2">
      <c r="D255" t="s">
        <v>949</v>
      </c>
      <c r="E255" t="s">
        <v>950</v>
      </c>
      <c r="F255" t="s">
        <v>1246</v>
      </c>
      <c r="G255" t="s">
        <v>1235</v>
      </c>
      <c r="H255" t="s">
        <v>1235</v>
      </c>
      <c r="I255" t="s">
        <v>1430</v>
      </c>
      <c r="J255" t="b">
        <v>0</v>
      </c>
      <c r="K255" t="s">
        <v>1247</v>
      </c>
      <c r="L255" s="31">
        <v>46147.398392870367</v>
      </c>
      <c r="N255" s="5">
        <v>45962</v>
      </c>
      <c r="O255" s="13" t="s">
        <v>1057</v>
      </c>
      <c r="P255" s="13" t="s">
        <v>1793</v>
      </c>
      <c r="Q255" s="13" t="s">
        <v>920</v>
      </c>
      <c r="R255" s="12">
        <v>140843</v>
      </c>
      <c r="S255" s="12"/>
    </row>
    <row r="256" spans="4:19" x14ac:dyDescent="0.2">
      <c r="D256" t="s">
        <v>1432</v>
      </c>
      <c r="E256" t="s">
        <v>952</v>
      </c>
      <c r="F256" t="s">
        <v>1245</v>
      </c>
      <c r="G256" t="s">
        <v>1234</v>
      </c>
      <c r="H256" t="s">
        <v>1235</v>
      </c>
      <c r="I256" t="s">
        <v>1429</v>
      </c>
      <c r="J256" t="b">
        <v>1</v>
      </c>
      <c r="K256" t="s">
        <v>1240</v>
      </c>
      <c r="L256" s="31">
        <v>46147.398392870367</v>
      </c>
      <c r="N256" s="5">
        <v>45962</v>
      </c>
      <c r="O256" s="13" t="s">
        <v>1057</v>
      </c>
      <c r="P256" s="13" t="s">
        <v>1779</v>
      </c>
      <c r="Q256" s="13" t="s">
        <v>920</v>
      </c>
      <c r="R256" s="12">
        <v>42210</v>
      </c>
      <c r="S256" s="12"/>
    </row>
    <row r="257" spans="4:19" x14ac:dyDescent="0.2">
      <c r="D257" t="s">
        <v>951</v>
      </c>
      <c r="E257" t="s">
        <v>952</v>
      </c>
      <c r="F257" t="s">
        <v>1246</v>
      </c>
      <c r="G257" t="s">
        <v>1235</v>
      </c>
      <c r="H257" t="s">
        <v>1235</v>
      </c>
      <c r="I257" t="s">
        <v>1432</v>
      </c>
      <c r="J257" t="b">
        <v>0</v>
      </c>
      <c r="K257" t="s">
        <v>1247</v>
      </c>
      <c r="L257" s="31">
        <v>46147.398392870367</v>
      </c>
      <c r="N257" s="5">
        <v>45962</v>
      </c>
      <c r="O257" s="13" t="s">
        <v>1056</v>
      </c>
      <c r="P257" s="13" t="s">
        <v>1164</v>
      </c>
      <c r="Q257" s="13" t="s">
        <v>920</v>
      </c>
      <c r="R257" s="12">
        <v>153191</v>
      </c>
      <c r="S257" s="12"/>
    </row>
    <row r="258" spans="4:19" x14ac:dyDescent="0.2">
      <c r="D258" t="s">
        <v>1433</v>
      </c>
      <c r="E258" t="s">
        <v>1434</v>
      </c>
      <c r="F258" t="s">
        <v>1245</v>
      </c>
      <c r="G258" t="s">
        <v>1234</v>
      </c>
      <c r="H258" t="s">
        <v>1235</v>
      </c>
      <c r="I258" t="s">
        <v>1429</v>
      </c>
      <c r="J258" t="b">
        <v>1</v>
      </c>
      <c r="K258" t="s">
        <v>1240</v>
      </c>
      <c r="L258" s="31">
        <v>46147.398392870367</v>
      </c>
      <c r="N258" s="5">
        <v>45962</v>
      </c>
      <c r="O258" s="13" t="s">
        <v>1057</v>
      </c>
      <c r="P258" s="13" t="s">
        <v>1681</v>
      </c>
      <c r="Q258" s="13" t="s">
        <v>920</v>
      </c>
      <c r="R258" s="12">
        <v>0</v>
      </c>
      <c r="S258" s="12"/>
    </row>
    <row r="259" spans="4:19" x14ac:dyDescent="0.2">
      <c r="D259" t="s">
        <v>953</v>
      </c>
      <c r="E259" t="s">
        <v>954</v>
      </c>
      <c r="F259" t="s">
        <v>1246</v>
      </c>
      <c r="G259" t="s">
        <v>1235</v>
      </c>
      <c r="H259" t="s">
        <v>1235</v>
      </c>
      <c r="I259" t="s">
        <v>1433</v>
      </c>
      <c r="J259" t="b">
        <v>0</v>
      </c>
      <c r="K259" t="s">
        <v>1247</v>
      </c>
      <c r="L259" s="31">
        <v>46147.398392870367</v>
      </c>
      <c r="N259" s="5">
        <v>45962</v>
      </c>
      <c r="O259" s="13" t="s">
        <v>1056</v>
      </c>
      <c r="P259" s="13" t="s">
        <v>1163</v>
      </c>
      <c r="Q259" s="13" t="s">
        <v>920</v>
      </c>
      <c r="R259" s="12">
        <v>232500</v>
      </c>
      <c r="S259" s="12"/>
    </row>
    <row r="260" spans="4:19" x14ac:dyDescent="0.2">
      <c r="D260" t="s">
        <v>1435</v>
      </c>
      <c r="E260" t="s">
        <v>1436</v>
      </c>
      <c r="F260" t="s">
        <v>1245</v>
      </c>
      <c r="G260" t="s">
        <v>1234</v>
      </c>
      <c r="H260" t="s">
        <v>1235</v>
      </c>
      <c r="I260" t="s">
        <v>1429</v>
      </c>
      <c r="J260" t="b">
        <v>1</v>
      </c>
      <c r="K260" t="s">
        <v>1240</v>
      </c>
      <c r="L260" s="31">
        <v>46147.398392870367</v>
      </c>
      <c r="N260" s="5">
        <v>45962</v>
      </c>
      <c r="O260" s="13" t="s">
        <v>1057</v>
      </c>
      <c r="P260" s="13" t="s">
        <v>1687</v>
      </c>
      <c r="Q260" s="13" t="s">
        <v>920</v>
      </c>
      <c r="R260" s="12">
        <v>0</v>
      </c>
      <c r="S260" s="12"/>
    </row>
    <row r="261" spans="4:19" x14ac:dyDescent="0.2">
      <c r="D261" t="s">
        <v>955</v>
      </c>
      <c r="E261" t="s">
        <v>956</v>
      </c>
      <c r="F261" t="s">
        <v>1246</v>
      </c>
      <c r="G261" t="s">
        <v>1235</v>
      </c>
      <c r="H261" t="s">
        <v>1235</v>
      </c>
      <c r="I261" t="s">
        <v>1435</v>
      </c>
      <c r="J261" t="b">
        <v>0</v>
      </c>
      <c r="K261" t="s">
        <v>1247</v>
      </c>
      <c r="L261" s="31">
        <v>46147.398392870367</v>
      </c>
      <c r="N261" s="5">
        <v>45962</v>
      </c>
      <c r="O261" s="13" t="s">
        <v>1056</v>
      </c>
      <c r="P261" s="13" t="s">
        <v>1223</v>
      </c>
      <c r="Q261" s="13" t="s">
        <v>962</v>
      </c>
      <c r="R261" s="12">
        <v>0</v>
      </c>
      <c r="S261" s="12"/>
    </row>
    <row r="262" spans="4:19" x14ac:dyDescent="0.2">
      <c r="D262" t="s">
        <v>1651</v>
      </c>
      <c r="E262" t="s">
        <v>958</v>
      </c>
      <c r="F262" t="s">
        <v>1245</v>
      </c>
      <c r="G262" t="s">
        <v>1234</v>
      </c>
      <c r="H262" t="s">
        <v>1235</v>
      </c>
      <c r="I262" t="s">
        <v>1429</v>
      </c>
      <c r="J262" t="b">
        <v>1</v>
      </c>
      <c r="K262" t="s">
        <v>1240</v>
      </c>
      <c r="L262" s="31">
        <v>46147.398392870367</v>
      </c>
      <c r="N262" s="5">
        <v>45962</v>
      </c>
      <c r="O262" s="13" t="s">
        <v>1056</v>
      </c>
      <c r="P262" s="13" t="s">
        <v>1187</v>
      </c>
      <c r="Q262" s="13" t="s">
        <v>950</v>
      </c>
      <c r="R262" s="12">
        <v>0</v>
      </c>
      <c r="S262" s="12"/>
    </row>
    <row r="263" spans="4:19" x14ac:dyDescent="0.2">
      <c r="D263" t="s">
        <v>957</v>
      </c>
      <c r="E263" t="s">
        <v>958</v>
      </c>
      <c r="F263" t="s">
        <v>1246</v>
      </c>
      <c r="G263" t="s">
        <v>1235</v>
      </c>
      <c r="H263" t="s">
        <v>1235</v>
      </c>
      <c r="I263" t="s">
        <v>1651</v>
      </c>
      <c r="J263" t="b">
        <v>0</v>
      </c>
      <c r="K263" t="s">
        <v>1247</v>
      </c>
      <c r="L263" s="31">
        <v>46147.398392870367</v>
      </c>
      <c r="N263" s="5">
        <v>45962</v>
      </c>
      <c r="O263" s="13" t="s">
        <v>1056</v>
      </c>
      <c r="P263" s="13" t="s">
        <v>1760</v>
      </c>
      <c r="Q263" s="13" t="s">
        <v>950</v>
      </c>
      <c r="R263" s="12">
        <v>0</v>
      </c>
      <c r="S263" s="12"/>
    </row>
    <row r="264" spans="4:19" x14ac:dyDescent="0.2">
      <c r="D264" t="s">
        <v>1437</v>
      </c>
      <c r="E264" t="s">
        <v>1438</v>
      </c>
      <c r="F264" t="s">
        <v>1243</v>
      </c>
      <c r="G264" t="s">
        <v>1234</v>
      </c>
      <c r="H264" t="s">
        <v>1235</v>
      </c>
      <c r="I264" t="s">
        <v>1408</v>
      </c>
      <c r="J264" t="b">
        <v>1</v>
      </c>
      <c r="K264" t="s">
        <v>1240</v>
      </c>
      <c r="L264" s="31">
        <v>46147.398392870367</v>
      </c>
      <c r="N264" s="5">
        <v>45962</v>
      </c>
      <c r="O264" s="13" t="s">
        <v>1056</v>
      </c>
      <c r="P264" s="13" t="s">
        <v>1842</v>
      </c>
      <c r="Q264" s="13" t="s">
        <v>950</v>
      </c>
      <c r="R264" s="12">
        <v>89916</v>
      </c>
      <c r="S264" s="12"/>
    </row>
    <row r="265" spans="4:19" x14ac:dyDescent="0.2">
      <c r="D265" t="s">
        <v>1652</v>
      </c>
      <c r="E265" t="s">
        <v>960</v>
      </c>
      <c r="F265" t="s">
        <v>1245</v>
      </c>
      <c r="G265" t="s">
        <v>1234</v>
      </c>
      <c r="H265" t="s">
        <v>1235</v>
      </c>
      <c r="I265" t="s">
        <v>1437</v>
      </c>
      <c r="J265" t="b">
        <v>1</v>
      </c>
      <c r="K265" t="s">
        <v>1240</v>
      </c>
      <c r="L265" s="31">
        <v>46147.398392870367</v>
      </c>
      <c r="N265" s="5">
        <v>45962</v>
      </c>
      <c r="O265" s="13" t="s">
        <v>1056</v>
      </c>
      <c r="P265" s="13" t="s">
        <v>1215</v>
      </c>
      <c r="Q265" s="13" t="s">
        <v>950</v>
      </c>
      <c r="R265" s="12">
        <v>218500</v>
      </c>
      <c r="S265" s="12"/>
    </row>
    <row r="266" spans="4:19" x14ac:dyDescent="0.2">
      <c r="D266" t="s">
        <v>959</v>
      </c>
      <c r="E266" t="s">
        <v>960</v>
      </c>
      <c r="F266" t="s">
        <v>1246</v>
      </c>
      <c r="G266" t="s">
        <v>1235</v>
      </c>
      <c r="H266" t="s">
        <v>1235</v>
      </c>
      <c r="I266" t="s">
        <v>1652</v>
      </c>
      <c r="J266" t="b">
        <v>0</v>
      </c>
      <c r="K266" t="s">
        <v>1247</v>
      </c>
      <c r="L266" s="31">
        <v>46147.398392870367</v>
      </c>
      <c r="N266" s="5">
        <v>45962</v>
      </c>
      <c r="O266" s="13" t="s">
        <v>1057</v>
      </c>
      <c r="P266" s="13" t="s">
        <v>1174</v>
      </c>
      <c r="Q266" s="13" t="s">
        <v>952</v>
      </c>
      <c r="R266" s="12">
        <v>0</v>
      </c>
      <c r="S266" s="12"/>
    </row>
    <row r="267" spans="4:19" x14ac:dyDescent="0.2">
      <c r="D267" t="s">
        <v>1439</v>
      </c>
      <c r="E267" t="s">
        <v>962</v>
      </c>
      <c r="F267" t="s">
        <v>1245</v>
      </c>
      <c r="G267" t="s">
        <v>1234</v>
      </c>
      <c r="H267" t="s">
        <v>1235</v>
      </c>
      <c r="I267" t="s">
        <v>1437</v>
      </c>
      <c r="J267" t="b">
        <v>1</v>
      </c>
      <c r="K267" t="s">
        <v>1240</v>
      </c>
      <c r="L267" s="31">
        <v>46147.398392870367</v>
      </c>
      <c r="N267" s="5">
        <v>45962</v>
      </c>
      <c r="O267" s="13" t="s">
        <v>1056</v>
      </c>
      <c r="P267" s="13" t="s">
        <v>1790</v>
      </c>
      <c r="Q267" s="13" t="s">
        <v>952</v>
      </c>
      <c r="R267" s="12">
        <v>0</v>
      </c>
      <c r="S267" s="12"/>
    </row>
    <row r="268" spans="4:19" x14ac:dyDescent="0.2">
      <c r="D268" t="s">
        <v>961</v>
      </c>
      <c r="E268" t="s">
        <v>962</v>
      </c>
      <c r="F268" t="s">
        <v>1246</v>
      </c>
      <c r="G268" t="s">
        <v>1235</v>
      </c>
      <c r="H268" t="s">
        <v>1235</v>
      </c>
      <c r="I268" t="s">
        <v>1439</v>
      </c>
      <c r="J268" t="b">
        <v>0</v>
      </c>
      <c r="K268" t="s">
        <v>1247</v>
      </c>
      <c r="L268" s="31">
        <v>46147.398392870367</v>
      </c>
      <c r="N268" s="5">
        <v>45962</v>
      </c>
      <c r="O268" s="13" t="s">
        <v>1057</v>
      </c>
      <c r="P268" s="13" t="s">
        <v>1155</v>
      </c>
      <c r="Q268" s="13" t="s">
        <v>952</v>
      </c>
      <c r="R268" s="12">
        <v>965097</v>
      </c>
      <c r="S268" s="12"/>
    </row>
    <row r="269" spans="4:19" x14ac:dyDescent="0.2">
      <c r="D269" t="s">
        <v>1653</v>
      </c>
      <c r="E269" t="s">
        <v>964</v>
      </c>
      <c r="F269" t="s">
        <v>1245</v>
      </c>
      <c r="G269" t="s">
        <v>1234</v>
      </c>
      <c r="H269" t="s">
        <v>1235</v>
      </c>
      <c r="I269" t="s">
        <v>1437</v>
      </c>
      <c r="J269" t="b">
        <v>1</v>
      </c>
      <c r="K269" t="s">
        <v>1240</v>
      </c>
      <c r="L269" s="31">
        <v>46147.398392870367</v>
      </c>
      <c r="N269" s="5">
        <v>45962</v>
      </c>
      <c r="O269" s="13" t="s">
        <v>1056</v>
      </c>
      <c r="P269" s="13" t="s">
        <v>1173</v>
      </c>
      <c r="Q269" s="13" t="s">
        <v>952</v>
      </c>
      <c r="R269" s="12">
        <v>44749</v>
      </c>
      <c r="S269" s="12"/>
    </row>
    <row r="270" spans="4:19" x14ac:dyDescent="0.2">
      <c r="D270" t="s">
        <v>963</v>
      </c>
      <c r="E270" t="s">
        <v>964</v>
      </c>
      <c r="F270" t="s">
        <v>1246</v>
      </c>
      <c r="G270" t="s">
        <v>1235</v>
      </c>
      <c r="H270" t="s">
        <v>1235</v>
      </c>
      <c r="I270" t="s">
        <v>1653</v>
      </c>
      <c r="J270" t="b">
        <v>0</v>
      </c>
      <c r="K270" t="s">
        <v>1247</v>
      </c>
      <c r="L270" s="31">
        <v>46147.398392870367</v>
      </c>
      <c r="N270" s="5">
        <v>45962</v>
      </c>
      <c r="O270" s="13" t="s">
        <v>1057</v>
      </c>
      <c r="P270" s="13" t="s">
        <v>1151</v>
      </c>
      <c r="Q270" s="13" t="s">
        <v>952</v>
      </c>
      <c r="R270" s="12">
        <v>113548</v>
      </c>
      <c r="S270" s="12"/>
    </row>
    <row r="271" spans="4:19" x14ac:dyDescent="0.2">
      <c r="D271" t="s">
        <v>1440</v>
      </c>
      <c r="E271" t="s">
        <v>1441</v>
      </c>
      <c r="F271" t="s">
        <v>1243</v>
      </c>
      <c r="G271" t="s">
        <v>1234</v>
      </c>
      <c r="H271" t="s">
        <v>1235</v>
      </c>
      <c r="I271" t="s">
        <v>1408</v>
      </c>
      <c r="J271" t="b">
        <v>1</v>
      </c>
      <c r="K271" t="s">
        <v>1240</v>
      </c>
      <c r="L271" s="31">
        <v>46147.398392870367</v>
      </c>
      <c r="N271" s="5">
        <v>45962</v>
      </c>
      <c r="O271" s="13" t="s">
        <v>1056</v>
      </c>
      <c r="P271" s="13" t="s">
        <v>1174</v>
      </c>
      <c r="Q271" s="13" t="s">
        <v>952</v>
      </c>
      <c r="R271" s="12">
        <v>0</v>
      </c>
      <c r="S271" s="12"/>
    </row>
    <row r="272" spans="4:19" x14ac:dyDescent="0.2">
      <c r="D272" t="s">
        <v>1442</v>
      </c>
      <c r="E272" t="s">
        <v>1443</v>
      </c>
      <c r="F272" t="s">
        <v>1245</v>
      </c>
      <c r="G272" t="s">
        <v>1234</v>
      </c>
      <c r="H272" t="s">
        <v>1235</v>
      </c>
      <c r="I272" t="s">
        <v>1440</v>
      </c>
      <c r="J272" t="b">
        <v>1</v>
      </c>
      <c r="K272" t="s">
        <v>1240</v>
      </c>
      <c r="L272" s="31">
        <v>46147.398392870367</v>
      </c>
      <c r="N272" s="5">
        <v>45962</v>
      </c>
      <c r="O272" s="13" t="s">
        <v>1057</v>
      </c>
      <c r="P272" s="13" t="s">
        <v>1779</v>
      </c>
      <c r="Q272" s="13" t="s">
        <v>914</v>
      </c>
      <c r="R272" s="12">
        <v>616850</v>
      </c>
      <c r="S272" s="12"/>
    </row>
    <row r="273" spans="4:19" x14ac:dyDescent="0.2">
      <c r="D273" t="s">
        <v>967</v>
      </c>
      <c r="E273" t="s">
        <v>968</v>
      </c>
      <c r="F273" t="s">
        <v>1246</v>
      </c>
      <c r="G273" t="s">
        <v>1235</v>
      </c>
      <c r="H273" t="s">
        <v>1235</v>
      </c>
      <c r="I273" t="s">
        <v>1442</v>
      </c>
      <c r="J273" t="b">
        <v>0</v>
      </c>
      <c r="K273" t="s">
        <v>1247</v>
      </c>
      <c r="L273" s="31">
        <v>46147.398392870367</v>
      </c>
      <c r="N273" s="5">
        <v>45962</v>
      </c>
      <c r="O273" s="13" t="s">
        <v>1057</v>
      </c>
      <c r="P273" s="13" t="s">
        <v>1687</v>
      </c>
      <c r="Q273" s="13" t="s">
        <v>914</v>
      </c>
      <c r="R273" s="12">
        <v>0</v>
      </c>
      <c r="S273" s="12"/>
    </row>
    <row r="274" spans="4:19" x14ac:dyDescent="0.2">
      <c r="D274" t="s">
        <v>1654</v>
      </c>
      <c r="E274" t="s">
        <v>1655</v>
      </c>
      <c r="F274" t="s">
        <v>1243</v>
      </c>
      <c r="G274" t="s">
        <v>1234</v>
      </c>
      <c r="H274" t="s">
        <v>1235</v>
      </c>
      <c r="I274" t="s">
        <v>1408</v>
      </c>
      <c r="J274" t="b">
        <v>1</v>
      </c>
      <c r="K274" t="s">
        <v>1240</v>
      </c>
      <c r="L274" s="31">
        <v>46147.398392870367</v>
      </c>
      <c r="N274" s="5">
        <v>45962</v>
      </c>
      <c r="O274" s="13" t="s">
        <v>1057</v>
      </c>
      <c r="P274" s="13" t="s">
        <v>1681</v>
      </c>
      <c r="Q274" s="13" t="s">
        <v>914</v>
      </c>
      <c r="R274" s="12">
        <v>0</v>
      </c>
      <c r="S274" s="12"/>
    </row>
    <row r="275" spans="4:19" x14ac:dyDescent="0.2">
      <c r="D275" t="s">
        <v>1656</v>
      </c>
      <c r="E275" t="s">
        <v>1657</v>
      </c>
      <c r="F275" t="s">
        <v>1245</v>
      </c>
      <c r="G275" t="s">
        <v>1234</v>
      </c>
      <c r="H275" t="s">
        <v>1235</v>
      </c>
      <c r="I275" t="s">
        <v>1654</v>
      </c>
      <c r="J275" t="b">
        <v>1</v>
      </c>
      <c r="K275" t="s">
        <v>1240</v>
      </c>
      <c r="L275" s="31">
        <v>46147.398392870367</v>
      </c>
      <c r="N275" s="5">
        <v>45962</v>
      </c>
      <c r="O275" s="13" t="s">
        <v>1057</v>
      </c>
      <c r="P275" s="13" t="s">
        <v>1793</v>
      </c>
      <c r="Q275" s="13" t="s">
        <v>914</v>
      </c>
      <c r="R275" s="12">
        <v>1423500</v>
      </c>
      <c r="S275" s="12"/>
    </row>
    <row r="276" spans="4:19" x14ac:dyDescent="0.2">
      <c r="D276" t="s">
        <v>969</v>
      </c>
      <c r="E276" t="s">
        <v>970</v>
      </c>
      <c r="F276" t="s">
        <v>1246</v>
      </c>
      <c r="G276" t="s">
        <v>1235</v>
      </c>
      <c r="H276" t="s">
        <v>1235</v>
      </c>
      <c r="I276" t="s">
        <v>1656</v>
      </c>
      <c r="J276" t="b">
        <v>0</v>
      </c>
      <c r="K276" t="s">
        <v>1247</v>
      </c>
      <c r="L276" s="31">
        <v>46147.398392870367</v>
      </c>
      <c r="N276" s="5">
        <v>45962</v>
      </c>
      <c r="O276" s="13" t="s">
        <v>1056</v>
      </c>
      <c r="P276" s="13" t="s">
        <v>1163</v>
      </c>
      <c r="Q276" s="13" t="s">
        <v>914</v>
      </c>
      <c r="R276" s="12">
        <v>2500000</v>
      </c>
      <c r="S276" s="12"/>
    </row>
    <row r="277" spans="4:19" x14ac:dyDescent="0.2">
      <c r="D277" t="s">
        <v>1444</v>
      </c>
      <c r="E277" t="s">
        <v>1404</v>
      </c>
      <c r="F277" t="s">
        <v>1243</v>
      </c>
      <c r="G277" t="s">
        <v>1234</v>
      </c>
      <c r="H277" t="s">
        <v>1235</v>
      </c>
      <c r="I277" t="s">
        <v>1408</v>
      </c>
      <c r="J277" t="b">
        <v>1</v>
      </c>
      <c r="K277" t="s">
        <v>1240</v>
      </c>
      <c r="L277" s="31">
        <v>46147.398392870367</v>
      </c>
      <c r="N277" s="5">
        <v>45962</v>
      </c>
      <c r="O277" s="13" t="s">
        <v>1056</v>
      </c>
      <c r="P277" s="13" t="s">
        <v>1162</v>
      </c>
      <c r="Q277" s="13" t="s">
        <v>914</v>
      </c>
      <c r="R277" s="12">
        <v>2500000</v>
      </c>
      <c r="S277" s="12"/>
    </row>
    <row r="278" spans="4:19" x14ac:dyDescent="0.2">
      <c r="D278" t="s">
        <v>1445</v>
      </c>
      <c r="E278" t="s">
        <v>974</v>
      </c>
      <c r="F278" t="s">
        <v>1245</v>
      </c>
      <c r="G278" t="s">
        <v>1234</v>
      </c>
      <c r="H278" t="s">
        <v>1235</v>
      </c>
      <c r="I278" t="s">
        <v>1444</v>
      </c>
      <c r="J278" t="b">
        <v>1</v>
      </c>
      <c r="K278" t="s">
        <v>1240</v>
      </c>
      <c r="L278" s="31">
        <v>46147.398392870367</v>
      </c>
      <c r="N278" s="5">
        <v>45962</v>
      </c>
      <c r="O278" s="13" t="s">
        <v>1056</v>
      </c>
      <c r="P278" s="13" t="s">
        <v>1164</v>
      </c>
      <c r="Q278" s="13" t="s">
        <v>914</v>
      </c>
      <c r="R278" s="12">
        <v>1423500</v>
      </c>
      <c r="S278" s="12"/>
    </row>
    <row r="279" spans="4:19" x14ac:dyDescent="0.2">
      <c r="D279" t="s">
        <v>973</v>
      </c>
      <c r="E279" t="s">
        <v>974</v>
      </c>
      <c r="F279" t="s">
        <v>1246</v>
      </c>
      <c r="G279" t="s">
        <v>1235</v>
      </c>
      <c r="H279" t="s">
        <v>1235</v>
      </c>
      <c r="I279" t="s">
        <v>1445</v>
      </c>
      <c r="J279" t="b">
        <v>0</v>
      </c>
      <c r="K279" t="s">
        <v>1247</v>
      </c>
      <c r="L279" s="31">
        <v>46147.398392870367</v>
      </c>
      <c r="N279" s="5">
        <v>45962</v>
      </c>
      <c r="O279" s="13" t="s">
        <v>1057</v>
      </c>
      <c r="P279" s="13" t="s">
        <v>1143</v>
      </c>
      <c r="Q279" s="13" t="s">
        <v>914</v>
      </c>
      <c r="R279" s="12">
        <v>427050</v>
      </c>
      <c r="S279" s="12"/>
    </row>
    <row r="280" spans="4:19" x14ac:dyDescent="0.2">
      <c r="D280" t="s">
        <v>1446</v>
      </c>
      <c r="E280" t="s">
        <v>976</v>
      </c>
      <c r="F280" t="s">
        <v>1245</v>
      </c>
      <c r="G280" t="s">
        <v>1234</v>
      </c>
      <c r="H280" t="s">
        <v>1235</v>
      </c>
      <c r="I280" t="s">
        <v>1444</v>
      </c>
      <c r="J280" t="b">
        <v>1</v>
      </c>
      <c r="K280" t="s">
        <v>1240</v>
      </c>
      <c r="L280" s="31">
        <v>46147.398392870367</v>
      </c>
      <c r="N280" s="5">
        <v>45962</v>
      </c>
      <c r="O280" s="13" t="s">
        <v>1057</v>
      </c>
      <c r="P280" s="13" t="s">
        <v>1755</v>
      </c>
      <c r="Q280" s="13" t="s">
        <v>1012</v>
      </c>
      <c r="R280" s="12"/>
      <c r="S280" s="12">
        <v>0</v>
      </c>
    </row>
    <row r="281" spans="4:19" x14ac:dyDescent="0.2">
      <c r="D281" t="s">
        <v>975</v>
      </c>
      <c r="E281" t="s">
        <v>976</v>
      </c>
      <c r="F281" t="s">
        <v>1246</v>
      </c>
      <c r="G281" t="s">
        <v>1235</v>
      </c>
      <c r="H281" t="s">
        <v>1235</v>
      </c>
      <c r="I281" t="s">
        <v>1446</v>
      </c>
      <c r="J281" t="b">
        <v>0</v>
      </c>
      <c r="K281" t="s">
        <v>1247</v>
      </c>
      <c r="L281" s="31">
        <v>46147.398392870367</v>
      </c>
      <c r="N281" s="5">
        <v>45962</v>
      </c>
      <c r="O281" s="13" t="s">
        <v>1057</v>
      </c>
      <c r="P281" s="13" t="s">
        <v>1775</v>
      </c>
      <c r="Q281" s="13" t="s">
        <v>1012</v>
      </c>
      <c r="R281" s="12"/>
      <c r="S281" s="12">
        <v>0</v>
      </c>
    </row>
    <row r="282" spans="4:19" x14ac:dyDescent="0.2">
      <c r="D282" t="s">
        <v>1447</v>
      </c>
      <c r="E282" t="s">
        <v>978</v>
      </c>
      <c r="F282" t="s">
        <v>1245</v>
      </c>
      <c r="G282" t="s">
        <v>1234</v>
      </c>
      <c r="H282" t="s">
        <v>1235</v>
      </c>
      <c r="I282" t="s">
        <v>1444</v>
      </c>
      <c r="J282" t="b">
        <v>1</v>
      </c>
      <c r="K282" t="s">
        <v>1240</v>
      </c>
      <c r="L282" s="31">
        <v>46147.398392870367</v>
      </c>
      <c r="N282" s="5">
        <v>45962</v>
      </c>
      <c r="O282" s="13" t="s">
        <v>1057</v>
      </c>
      <c r="P282" s="13" t="s">
        <v>1214</v>
      </c>
      <c r="Q282" s="13" t="s">
        <v>1012</v>
      </c>
      <c r="R282" s="12"/>
      <c r="S282" s="12">
        <v>18300</v>
      </c>
    </row>
    <row r="283" spans="4:19" x14ac:dyDescent="0.2">
      <c r="D283" t="s">
        <v>977</v>
      </c>
      <c r="E283" t="s">
        <v>978</v>
      </c>
      <c r="F283" t="s">
        <v>1246</v>
      </c>
      <c r="G283" t="s">
        <v>1235</v>
      </c>
      <c r="H283" t="s">
        <v>1235</v>
      </c>
      <c r="I283" t="s">
        <v>1447</v>
      </c>
      <c r="J283" t="b">
        <v>0</v>
      </c>
      <c r="K283" t="s">
        <v>1247</v>
      </c>
      <c r="L283" s="31">
        <v>46147.398392870367</v>
      </c>
      <c r="N283" s="5">
        <v>45962</v>
      </c>
      <c r="O283" s="13" t="s">
        <v>1057</v>
      </c>
      <c r="P283" s="13" t="s">
        <v>1150</v>
      </c>
      <c r="Q283" s="13" t="s">
        <v>1012</v>
      </c>
      <c r="R283" s="12"/>
      <c r="S283" s="12">
        <v>889000</v>
      </c>
    </row>
    <row r="284" spans="4:19" x14ac:dyDescent="0.2">
      <c r="D284" t="s">
        <v>1659</v>
      </c>
      <c r="E284" t="s">
        <v>980</v>
      </c>
      <c r="F284" t="s">
        <v>1245</v>
      </c>
      <c r="G284" t="s">
        <v>1234</v>
      </c>
      <c r="H284" t="s">
        <v>1235</v>
      </c>
      <c r="I284" t="s">
        <v>1444</v>
      </c>
      <c r="J284" t="b">
        <v>1</v>
      </c>
      <c r="K284" t="s">
        <v>1240</v>
      </c>
      <c r="L284" s="31">
        <v>46147.398392870367</v>
      </c>
      <c r="N284" s="5">
        <v>45962</v>
      </c>
      <c r="O284" s="13" t="s">
        <v>1057</v>
      </c>
      <c r="P284" s="13" t="s">
        <v>1149</v>
      </c>
      <c r="Q284" s="13" t="s">
        <v>1012</v>
      </c>
      <c r="R284" s="12"/>
      <c r="S284" s="12">
        <v>254278</v>
      </c>
    </row>
    <row r="285" spans="4:19" x14ac:dyDescent="0.2">
      <c r="D285" t="s">
        <v>979</v>
      </c>
      <c r="E285" t="s">
        <v>980</v>
      </c>
      <c r="F285" t="s">
        <v>1246</v>
      </c>
      <c r="G285" t="s">
        <v>1235</v>
      </c>
      <c r="H285" t="s">
        <v>1235</v>
      </c>
      <c r="I285" t="s">
        <v>1659</v>
      </c>
      <c r="J285" t="b">
        <v>0</v>
      </c>
      <c r="K285" t="s">
        <v>1247</v>
      </c>
      <c r="L285" s="31">
        <v>46147.398392870367</v>
      </c>
      <c r="N285" s="5">
        <v>45962</v>
      </c>
      <c r="O285" s="13" t="s">
        <v>1057</v>
      </c>
      <c r="P285" s="13" t="s">
        <v>1153</v>
      </c>
      <c r="Q285" s="13" t="s">
        <v>1012</v>
      </c>
      <c r="R285" s="12"/>
      <c r="S285" s="12">
        <v>875003</v>
      </c>
    </row>
    <row r="286" spans="4:19" x14ac:dyDescent="0.2">
      <c r="D286" t="s">
        <v>1660</v>
      </c>
      <c r="E286" t="s">
        <v>790</v>
      </c>
      <c r="F286" t="s">
        <v>1245</v>
      </c>
      <c r="G286" t="s">
        <v>1234</v>
      </c>
      <c r="H286" t="s">
        <v>1235</v>
      </c>
      <c r="I286" t="s">
        <v>1444</v>
      </c>
      <c r="J286" t="b">
        <v>1</v>
      </c>
      <c r="K286" t="s">
        <v>1240</v>
      </c>
      <c r="L286" s="31">
        <v>46147.398392870367</v>
      </c>
      <c r="N286" s="5">
        <v>45962</v>
      </c>
      <c r="O286" s="13" t="s">
        <v>1056</v>
      </c>
      <c r="P286" s="13" t="s">
        <v>1162</v>
      </c>
      <c r="Q286" s="13" t="s">
        <v>864</v>
      </c>
      <c r="R286" s="12">
        <v>104170</v>
      </c>
      <c r="S286" s="12"/>
    </row>
    <row r="287" spans="4:19" x14ac:dyDescent="0.2">
      <c r="D287" t="s">
        <v>981</v>
      </c>
      <c r="E287" t="s">
        <v>982</v>
      </c>
      <c r="F287" t="s">
        <v>1246</v>
      </c>
      <c r="G287" t="s">
        <v>1235</v>
      </c>
      <c r="H287" t="s">
        <v>1235</v>
      </c>
      <c r="I287" t="s">
        <v>1660</v>
      </c>
      <c r="J287" t="b">
        <v>0</v>
      </c>
      <c r="K287" t="s">
        <v>1247</v>
      </c>
      <c r="L287" s="31">
        <v>46147.398392870367</v>
      </c>
      <c r="N287" s="5">
        <v>45962</v>
      </c>
      <c r="O287" s="13" t="s">
        <v>1057</v>
      </c>
      <c r="P287" s="13" t="s">
        <v>1779</v>
      </c>
      <c r="Q287" s="13" t="s">
        <v>864</v>
      </c>
      <c r="R287" s="12">
        <v>-155700</v>
      </c>
      <c r="S287" s="12"/>
    </row>
    <row r="288" spans="4:19" x14ac:dyDescent="0.2">
      <c r="D288" t="s">
        <v>1448</v>
      </c>
      <c r="E288" t="s">
        <v>3</v>
      </c>
      <c r="F288" t="s">
        <v>1239</v>
      </c>
      <c r="G288" t="s">
        <v>1234</v>
      </c>
      <c r="H288" t="s">
        <v>1235</v>
      </c>
      <c r="I288" t="s">
        <v>1406</v>
      </c>
      <c r="J288" t="b">
        <v>1</v>
      </c>
      <c r="K288" t="s">
        <v>1240</v>
      </c>
      <c r="L288" s="31">
        <v>46147.398392870367</v>
      </c>
      <c r="N288" s="5">
        <v>45962</v>
      </c>
      <c r="O288" s="13" t="s">
        <v>1057</v>
      </c>
      <c r="P288" s="13" t="s">
        <v>1793</v>
      </c>
      <c r="Q288" s="13" t="s">
        <v>864</v>
      </c>
      <c r="R288" s="12">
        <v>100180</v>
      </c>
      <c r="S288" s="12"/>
    </row>
    <row r="289" spans="4:19" x14ac:dyDescent="0.2">
      <c r="D289" t="s">
        <v>1449</v>
      </c>
      <c r="E289" t="s">
        <v>1411</v>
      </c>
      <c r="F289" t="s">
        <v>1243</v>
      </c>
      <c r="G289" t="s">
        <v>1234</v>
      </c>
      <c r="H289" t="s">
        <v>1235</v>
      </c>
      <c r="I289" t="s">
        <v>1448</v>
      </c>
      <c r="J289" t="b">
        <v>1</v>
      </c>
      <c r="K289" t="s">
        <v>1240</v>
      </c>
      <c r="L289" s="31">
        <v>46147.398392870367</v>
      </c>
      <c r="N289" s="5">
        <v>45962</v>
      </c>
      <c r="O289" s="13" t="s">
        <v>1056</v>
      </c>
      <c r="P289" s="13" t="s">
        <v>1163</v>
      </c>
      <c r="Q289" s="13" t="s">
        <v>864</v>
      </c>
      <c r="R289" s="12">
        <v>104170</v>
      </c>
      <c r="S289" s="12"/>
    </row>
    <row r="290" spans="4:19" x14ac:dyDescent="0.2">
      <c r="D290" t="s">
        <v>1450</v>
      </c>
      <c r="E290" t="s">
        <v>914</v>
      </c>
      <c r="F290" t="s">
        <v>1245</v>
      </c>
      <c r="G290" t="s">
        <v>1234</v>
      </c>
      <c r="H290" t="s">
        <v>1235</v>
      </c>
      <c r="I290" t="s">
        <v>1449</v>
      </c>
      <c r="J290" t="b">
        <v>1</v>
      </c>
      <c r="K290" t="s">
        <v>1240</v>
      </c>
      <c r="L290" s="31">
        <v>46147.398392870367</v>
      </c>
      <c r="N290" s="5">
        <v>45962</v>
      </c>
      <c r="O290" s="13" t="s">
        <v>1057</v>
      </c>
      <c r="P290" s="13" t="s">
        <v>1681</v>
      </c>
      <c r="Q290" s="13" t="s">
        <v>864</v>
      </c>
      <c r="R290" s="12">
        <v>0</v>
      </c>
      <c r="S290" s="12"/>
    </row>
    <row r="291" spans="4:19" x14ac:dyDescent="0.2">
      <c r="D291" t="s">
        <v>983</v>
      </c>
      <c r="E291" t="s">
        <v>914</v>
      </c>
      <c r="F291" t="s">
        <v>1246</v>
      </c>
      <c r="G291" t="s">
        <v>1235</v>
      </c>
      <c r="H291" t="s">
        <v>1235</v>
      </c>
      <c r="I291" t="s">
        <v>1450</v>
      </c>
      <c r="J291" t="b">
        <v>0</v>
      </c>
      <c r="K291" t="s">
        <v>1247</v>
      </c>
      <c r="L291" s="31">
        <v>46147.398392870367</v>
      </c>
      <c r="N291" s="5">
        <v>45962</v>
      </c>
      <c r="O291" s="13" t="s">
        <v>1057</v>
      </c>
      <c r="P291" s="13" t="s">
        <v>1687</v>
      </c>
      <c r="Q291" s="13" t="s">
        <v>864</v>
      </c>
      <c r="R291" s="12">
        <v>0</v>
      </c>
      <c r="S291" s="12"/>
    </row>
    <row r="292" spans="4:19" x14ac:dyDescent="0.2">
      <c r="D292" t="s">
        <v>1451</v>
      </c>
      <c r="E292" t="s">
        <v>985</v>
      </c>
      <c r="F292" t="s">
        <v>1245</v>
      </c>
      <c r="G292" t="s">
        <v>1234</v>
      </c>
      <c r="H292" t="s">
        <v>1235</v>
      </c>
      <c r="I292" t="s">
        <v>1449</v>
      </c>
      <c r="J292" t="b">
        <v>1</v>
      </c>
      <c r="K292" t="s">
        <v>1240</v>
      </c>
      <c r="L292" s="31">
        <v>46147.398392870367</v>
      </c>
      <c r="N292" s="5">
        <v>45962</v>
      </c>
      <c r="O292" s="13" t="s">
        <v>1056</v>
      </c>
      <c r="P292" s="13" t="s">
        <v>1164</v>
      </c>
      <c r="Q292" s="13" t="s">
        <v>864</v>
      </c>
      <c r="R292" s="12">
        <v>133270</v>
      </c>
      <c r="S292" s="12"/>
    </row>
    <row r="293" spans="4:19" x14ac:dyDescent="0.2">
      <c r="D293" t="s">
        <v>984</v>
      </c>
      <c r="E293" t="s">
        <v>985</v>
      </c>
      <c r="F293" t="s">
        <v>1246</v>
      </c>
      <c r="G293" t="s">
        <v>1235</v>
      </c>
      <c r="H293" t="s">
        <v>1235</v>
      </c>
      <c r="I293" t="s">
        <v>1451</v>
      </c>
      <c r="J293" t="b">
        <v>0</v>
      </c>
      <c r="K293" t="s">
        <v>1247</v>
      </c>
      <c r="L293" s="31">
        <v>46147.398392870367</v>
      </c>
      <c r="N293" s="5">
        <v>45962</v>
      </c>
      <c r="O293" s="13" t="s">
        <v>1056</v>
      </c>
      <c r="P293" s="13" t="s">
        <v>1171</v>
      </c>
      <c r="Q293" s="13" t="s">
        <v>976</v>
      </c>
      <c r="R293" s="12">
        <v>40588.28</v>
      </c>
      <c r="S293" s="12"/>
    </row>
    <row r="294" spans="4:19" x14ac:dyDescent="0.2">
      <c r="D294" t="s">
        <v>1452</v>
      </c>
      <c r="E294" t="s">
        <v>972</v>
      </c>
      <c r="F294" t="s">
        <v>1245</v>
      </c>
      <c r="G294" t="s">
        <v>1234</v>
      </c>
      <c r="H294" t="s">
        <v>1235</v>
      </c>
      <c r="I294" t="s">
        <v>1449</v>
      </c>
      <c r="J294" t="b">
        <v>1</v>
      </c>
      <c r="K294" t="s">
        <v>1240</v>
      </c>
      <c r="L294" s="31">
        <v>46147.398392870367</v>
      </c>
      <c r="N294" s="5">
        <v>45962</v>
      </c>
      <c r="O294" s="13" t="s">
        <v>1056</v>
      </c>
      <c r="P294" s="13" t="s">
        <v>1778</v>
      </c>
      <c r="Q294" s="13" t="s">
        <v>976</v>
      </c>
      <c r="R294" s="12">
        <v>0</v>
      </c>
      <c r="S294" s="12"/>
    </row>
    <row r="295" spans="4:19" x14ac:dyDescent="0.2">
      <c r="D295" t="s">
        <v>986</v>
      </c>
      <c r="E295" t="s">
        <v>972</v>
      </c>
      <c r="F295" t="s">
        <v>1246</v>
      </c>
      <c r="G295" t="s">
        <v>1235</v>
      </c>
      <c r="H295" t="s">
        <v>1235</v>
      </c>
      <c r="I295" t="s">
        <v>1452</v>
      </c>
      <c r="J295" t="b">
        <v>0</v>
      </c>
      <c r="K295" t="s">
        <v>1247</v>
      </c>
      <c r="L295" s="31">
        <v>46147.398392870367</v>
      </c>
      <c r="N295" s="5">
        <v>45962</v>
      </c>
      <c r="O295" s="13" t="s">
        <v>1056</v>
      </c>
      <c r="P295" s="13" t="s">
        <v>1200</v>
      </c>
      <c r="Q295" s="13" t="s">
        <v>976</v>
      </c>
      <c r="R295" s="12">
        <v>200959.54</v>
      </c>
      <c r="S295" s="12"/>
    </row>
    <row r="296" spans="4:19" x14ac:dyDescent="0.2">
      <c r="D296" t="s">
        <v>1661</v>
      </c>
      <c r="E296" t="s">
        <v>916</v>
      </c>
      <c r="F296" t="s">
        <v>1245</v>
      </c>
      <c r="G296" t="s">
        <v>1234</v>
      </c>
      <c r="H296" t="s">
        <v>1235</v>
      </c>
      <c r="I296" t="s">
        <v>1449</v>
      </c>
      <c r="J296" t="b">
        <v>1</v>
      </c>
      <c r="K296" t="s">
        <v>1240</v>
      </c>
      <c r="L296" s="31">
        <v>46147.398392870367</v>
      </c>
      <c r="N296" s="5">
        <v>45962</v>
      </c>
      <c r="O296" s="13" t="s">
        <v>1056</v>
      </c>
      <c r="P296" s="13" t="s">
        <v>1679</v>
      </c>
      <c r="Q296" s="13" t="s">
        <v>976</v>
      </c>
      <c r="R296" s="12">
        <v>1389583.42</v>
      </c>
      <c r="S296" s="12"/>
    </row>
    <row r="297" spans="4:19" x14ac:dyDescent="0.2">
      <c r="D297" t="s">
        <v>987</v>
      </c>
      <c r="E297" t="s">
        <v>916</v>
      </c>
      <c r="F297" t="s">
        <v>1246</v>
      </c>
      <c r="G297" t="s">
        <v>1235</v>
      </c>
      <c r="H297" t="s">
        <v>1235</v>
      </c>
      <c r="I297" t="s">
        <v>1661</v>
      </c>
      <c r="J297" t="b">
        <v>0</v>
      </c>
      <c r="K297" t="s">
        <v>1247</v>
      </c>
      <c r="L297" s="31">
        <v>46147.398392870367</v>
      </c>
      <c r="N297" s="5">
        <v>45962</v>
      </c>
      <c r="O297" s="13" t="s">
        <v>1056</v>
      </c>
      <c r="P297" s="13" t="s">
        <v>1170</v>
      </c>
      <c r="Q297" s="13" t="s">
        <v>976</v>
      </c>
      <c r="R297" s="12">
        <v>106134.54</v>
      </c>
      <c r="S297" s="12"/>
    </row>
    <row r="298" spans="4:19" x14ac:dyDescent="0.2">
      <c r="D298" t="s">
        <v>1453</v>
      </c>
      <c r="E298" t="s">
        <v>860</v>
      </c>
      <c r="F298" t="s">
        <v>1245</v>
      </c>
      <c r="G298" t="s">
        <v>1234</v>
      </c>
      <c r="H298" t="s">
        <v>1235</v>
      </c>
      <c r="I298" t="s">
        <v>1449</v>
      </c>
      <c r="J298" t="b">
        <v>1</v>
      </c>
      <c r="K298" t="s">
        <v>1240</v>
      </c>
      <c r="L298" s="31">
        <v>46147.398392870367</v>
      </c>
      <c r="N298" s="5">
        <v>45962</v>
      </c>
      <c r="O298" s="13" t="s">
        <v>1056</v>
      </c>
      <c r="P298" s="13" t="s">
        <v>1815</v>
      </c>
      <c r="Q298" s="13" t="s">
        <v>976</v>
      </c>
      <c r="R298" s="12">
        <v>0</v>
      </c>
      <c r="S298" s="12"/>
    </row>
    <row r="299" spans="4:19" x14ac:dyDescent="0.2">
      <c r="D299" t="s">
        <v>988</v>
      </c>
      <c r="E299" t="s">
        <v>860</v>
      </c>
      <c r="F299" t="s">
        <v>1246</v>
      </c>
      <c r="G299" t="s">
        <v>1235</v>
      </c>
      <c r="H299" t="s">
        <v>1235</v>
      </c>
      <c r="I299" t="s">
        <v>1453</v>
      </c>
      <c r="J299" t="b">
        <v>0</v>
      </c>
      <c r="K299" t="s">
        <v>1247</v>
      </c>
      <c r="L299" s="31">
        <v>46147.398392870367</v>
      </c>
      <c r="N299" s="5">
        <v>45962</v>
      </c>
      <c r="O299" s="13" t="s">
        <v>1056</v>
      </c>
      <c r="P299" s="13" t="s">
        <v>1185</v>
      </c>
      <c r="Q299" s="13" t="s">
        <v>976</v>
      </c>
      <c r="R299" s="12">
        <v>0</v>
      </c>
      <c r="S299" s="12"/>
    </row>
    <row r="300" spans="4:19" x14ac:dyDescent="0.2">
      <c r="D300" t="s">
        <v>1454</v>
      </c>
      <c r="E300" t="s">
        <v>862</v>
      </c>
      <c r="F300" t="s">
        <v>1245</v>
      </c>
      <c r="G300" t="s">
        <v>1234</v>
      </c>
      <c r="H300" t="s">
        <v>1235</v>
      </c>
      <c r="I300" t="s">
        <v>1449</v>
      </c>
      <c r="J300" t="b">
        <v>1</v>
      </c>
      <c r="K300" t="s">
        <v>1240</v>
      </c>
      <c r="L300" s="31">
        <v>46147.398392870367</v>
      </c>
      <c r="N300" s="5">
        <v>45962</v>
      </c>
      <c r="O300" s="13" t="s">
        <v>1056</v>
      </c>
      <c r="P300" s="13" t="s">
        <v>1776</v>
      </c>
      <c r="Q300" s="13" t="s">
        <v>976</v>
      </c>
      <c r="R300" s="12">
        <v>0</v>
      </c>
      <c r="S300" s="12"/>
    </row>
    <row r="301" spans="4:19" x14ac:dyDescent="0.2">
      <c r="D301" t="s">
        <v>989</v>
      </c>
      <c r="E301" t="s">
        <v>862</v>
      </c>
      <c r="F301" t="s">
        <v>1246</v>
      </c>
      <c r="G301" t="s">
        <v>1235</v>
      </c>
      <c r="H301" t="s">
        <v>1235</v>
      </c>
      <c r="I301" t="s">
        <v>1454</v>
      </c>
      <c r="J301" t="b">
        <v>0</v>
      </c>
      <c r="K301" t="s">
        <v>1247</v>
      </c>
      <c r="L301" s="31">
        <v>46147.398392870367</v>
      </c>
      <c r="N301" s="5">
        <v>45962</v>
      </c>
      <c r="O301" s="13" t="s">
        <v>1056</v>
      </c>
      <c r="P301" s="13" t="s">
        <v>1777</v>
      </c>
      <c r="Q301" s="13" t="s">
        <v>976</v>
      </c>
      <c r="R301" s="12">
        <v>0</v>
      </c>
      <c r="S301" s="12"/>
    </row>
    <row r="302" spans="4:19" x14ac:dyDescent="0.2">
      <c r="D302" t="s">
        <v>1455</v>
      </c>
      <c r="E302" t="s">
        <v>920</v>
      </c>
      <c r="F302" t="s">
        <v>1245</v>
      </c>
      <c r="G302" t="s">
        <v>1234</v>
      </c>
      <c r="H302" t="s">
        <v>1235</v>
      </c>
      <c r="I302" t="s">
        <v>1449</v>
      </c>
      <c r="J302" t="b">
        <v>1</v>
      </c>
      <c r="K302" t="s">
        <v>1240</v>
      </c>
      <c r="L302" s="31">
        <v>46147.398392870367</v>
      </c>
      <c r="N302" s="5">
        <v>45962</v>
      </c>
      <c r="O302" s="13" t="s">
        <v>1056</v>
      </c>
      <c r="P302" s="13" t="s">
        <v>1791</v>
      </c>
      <c r="Q302" s="13" t="s">
        <v>976</v>
      </c>
      <c r="R302" s="12">
        <v>0</v>
      </c>
      <c r="S302" s="12"/>
    </row>
    <row r="303" spans="4:19" x14ac:dyDescent="0.2">
      <c r="D303" t="s">
        <v>990</v>
      </c>
      <c r="E303" t="s">
        <v>920</v>
      </c>
      <c r="F303" t="s">
        <v>1246</v>
      </c>
      <c r="G303" t="s">
        <v>1235</v>
      </c>
      <c r="H303" t="s">
        <v>1235</v>
      </c>
      <c r="I303" t="s">
        <v>1455</v>
      </c>
      <c r="J303" t="b">
        <v>0</v>
      </c>
      <c r="K303" t="s">
        <v>1247</v>
      </c>
      <c r="L303" s="31">
        <v>46147.398392870367</v>
      </c>
      <c r="N303" s="5">
        <v>45962</v>
      </c>
      <c r="O303" s="13" t="s">
        <v>1056</v>
      </c>
      <c r="P303" s="13" t="s">
        <v>1757</v>
      </c>
      <c r="Q303" s="13" t="s">
        <v>976</v>
      </c>
      <c r="R303" s="12">
        <v>86975</v>
      </c>
      <c r="S303" s="12"/>
    </row>
    <row r="304" spans="4:19" x14ac:dyDescent="0.2">
      <c r="D304" t="s">
        <v>1456</v>
      </c>
      <c r="E304" t="s">
        <v>864</v>
      </c>
      <c r="F304" t="s">
        <v>1245</v>
      </c>
      <c r="G304" t="s">
        <v>1234</v>
      </c>
      <c r="H304" t="s">
        <v>1235</v>
      </c>
      <c r="I304" t="s">
        <v>1449</v>
      </c>
      <c r="J304" t="b">
        <v>1</v>
      </c>
      <c r="K304" t="s">
        <v>1240</v>
      </c>
      <c r="L304" s="31">
        <v>46147.398392870367</v>
      </c>
      <c r="N304" s="5">
        <v>45962</v>
      </c>
      <c r="O304" s="13" t="s">
        <v>1056</v>
      </c>
      <c r="P304" s="13" t="s">
        <v>1195</v>
      </c>
      <c r="Q304" s="13" t="s">
        <v>976</v>
      </c>
      <c r="R304" s="12">
        <v>0</v>
      </c>
      <c r="S304" s="12"/>
    </row>
    <row r="305" spans="4:19" x14ac:dyDescent="0.2">
      <c r="D305" t="s">
        <v>991</v>
      </c>
      <c r="E305" t="s">
        <v>864</v>
      </c>
      <c r="F305" t="s">
        <v>1246</v>
      </c>
      <c r="G305" t="s">
        <v>1235</v>
      </c>
      <c r="H305" t="s">
        <v>1235</v>
      </c>
      <c r="I305" t="s">
        <v>1456</v>
      </c>
      <c r="J305" t="b">
        <v>0</v>
      </c>
      <c r="K305" t="s">
        <v>1247</v>
      </c>
      <c r="L305" s="31">
        <v>46147.398392870367</v>
      </c>
      <c r="N305" s="5">
        <v>45962</v>
      </c>
      <c r="O305" s="13" t="s">
        <v>1056</v>
      </c>
      <c r="P305" s="13" t="s">
        <v>1158</v>
      </c>
      <c r="Q305" s="13" t="s">
        <v>976</v>
      </c>
      <c r="R305" s="12">
        <v>0</v>
      </c>
      <c r="S305" s="12"/>
    </row>
    <row r="306" spans="4:19" x14ac:dyDescent="0.2">
      <c r="D306" t="s">
        <v>1457</v>
      </c>
      <c r="E306" t="s">
        <v>1458</v>
      </c>
      <c r="F306" t="s">
        <v>1245</v>
      </c>
      <c r="G306" t="s">
        <v>1234</v>
      </c>
      <c r="H306" t="s">
        <v>1235</v>
      </c>
      <c r="I306" t="s">
        <v>1449</v>
      </c>
      <c r="J306" t="b">
        <v>1</v>
      </c>
      <c r="K306" t="s">
        <v>1240</v>
      </c>
      <c r="L306" s="31">
        <v>46147.398392870367</v>
      </c>
      <c r="N306" s="5">
        <v>45962</v>
      </c>
      <c r="O306" s="13" t="s">
        <v>1056</v>
      </c>
      <c r="P306" s="13" t="s">
        <v>1816</v>
      </c>
      <c r="Q306" s="13" t="s">
        <v>976</v>
      </c>
      <c r="R306" s="12">
        <v>0</v>
      </c>
      <c r="S306" s="12"/>
    </row>
    <row r="307" spans="4:19" x14ac:dyDescent="0.2">
      <c r="D307" t="s">
        <v>992</v>
      </c>
      <c r="E307" t="s">
        <v>993</v>
      </c>
      <c r="F307" t="s">
        <v>1246</v>
      </c>
      <c r="G307" t="s">
        <v>1235</v>
      </c>
      <c r="H307" t="s">
        <v>1235</v>
      </c>
      <c r="I307" t="s">
        <v>1457</v>
      </c>
      <c r="J307" t="b">
        <v>0</v>
      </c>
      <c r="K307" t="s">
        <v>1247</v>
      </c>
      <c r="L307" s="31">
        <v>46147.398392870367</v>
      </c>
      <c r="N307" s="5">
        <v>45992</v>
      </c>
      <c r="O307" s="13" t="s">
        <v>1058</v>
      </c>
      <c r="P307" s="13" t="s">
        <v>1183</v>
      </c>
      <c r="Q307" s="13" t="s">
        <v>912</v>
      </c>
      <c r="R307" s="12">
        <v>-278</v>
      </c>
      <c r="S307" s="12"/>
    </row>
    <row r="308" spans="4:19" x14ac:dyDescent="0.2">
      <c r="D308" t="s">
        <v>994</v>
      </c>
      <c r="E308" t="s">
        <v>923</v>
      </c>
      <c r="F308" t="s">
        <v>1246</v>
      </c>
      <c r="G308" t="s">
        <v>1235</v>
      </c>
      <c r="H308" t="s">
        <v>1235</v>
      </c>
      <c r="I308" t="s">
        <v>1457</v>
      </c>
      <c r="J308" t="b">
        <v>0</v>
      </c>
      <c r="K308" t="s">
        <v>1247</v>
      </c>
      <c r="L308" s="31">
        <v>46147.398392870367</v>
      </c>
      <c r="N308" s="5">
        <v>45992</v>
      </c>
      <c r="O308" s="13" t="s">
        <v>1058</v>
      </c>
      <c r="P308" s="13" t="s">
        <v>1677</v>
      </c>
      <c r="Q308" s="13" t="s">
        <v>912</v>
      </c>
      <c r="R308" s="12">
        <v>0</v>
      </c>
      <c r="S308" s="12"/>
    </row>
    <row r="309" spans="4:19" x14ac:dyDescent="0.2">
      <c r="D309" t="s">
        <v>1662</v>
      </c>
      <c r="E309" t="s">
        <v>925</v>
      </c>
      <c r="F309" t="s">
        <v>1245</v>
      </c>
      <c r="G309" t="s">
        <v>1234</v>
      </c>
      <c r="H309" t="s">
        <v>1235</v>
      </c>
      <c r="I309" t="s">
        <v>1449</v>
      </c>
      <c r="J309" t="b">
        <v>1</v>
      </c>
      <c r="K309" t="s">
        <v>1240</v>
      </c>
      <c r="L309" s="31">
        <v>46147.398392870367</v>
      </c>
      <c r="N309" s="5">
        <v>45992</v>
      </c>
      <c r="O309" s="13" t="s">
        <v>1058</v>
      </c>
      <c r="P309" s="13" t="s">
        <v>1180</v>
      </c>
      <c r="Q309" s="13" t="s">
        <v>912</v>
      </c>
      <c r="R309" s="12">
        <v>0</v>
      </c>
      <c r="S309" s="12"/>
    </row>
    <row r="310" spans="4:19" x14ac:dyDescent="0.2">
      <c r="D310" t="s">
        <v>995</v>
      </c>
      <c r="E310" t="s">
        <v>925</v>
      </c>
      <c r="F310" t="s">
        <v>1246</v>
      </c>
      <c r="G310" t="s">
        <v>1235</v>
      </c>
      <c r="H310" t="s">
        <v>1235</v>
      </c>
      <c r="I310" t="s">
        <v>1662</v>
      </c>
      <c r="J310" t="b">
        <v>0</v>
      </c>
      <c r="K310" t="s">
        <v>1247</v>
      </c>
      <c r="L310" s="31">
        <v>46147.398392870367</v>
      </c>
      <c r="N310" s="5">
        <v>45992</v>
      </c>
      <c r="O310" s="13" t="s">
        <v>1058</v>
      </c>
      <c r="P310" s="13" t="s">
        <v>1209</v>
      </c>
      <c r="Q310" s="13" t="s">
        <v>912</v>
      </c>
      <c r="R310" s="12">
        <v>0</v>
      </c>
      <c r="S310" s="12"/>
    </row>
    <row r="311" spans="4:19" x14ac:dyDescent="0.2">
      <c r="D311" t="s">
        <v>1663</v>
      </c>
      <c r="E311" t="s">
        <v>997</v>
      </c>
      <c r="F311" t="s">
        <v>1245</v>
      </c>
      <c r="G311" t="s">
        <v>1234</v>
      </c>
      <c r="H311" t="s">
        <v>1235</v>
      </c>
      <c r="I311" t="s">
        <v>1449</v>
      </c>
      <c r="J311" t="b">
        <v>1</v>
      </c>
      <c r="K311" t="s">
        <v>1240</v>
      </c>
      <c r="L311" s="31">
        <v>46147.398392870367</v>
      </c>
      <c r="N311" s="5">
        <v>45992</v>
      </c>
      <c r="O311" s="13" t="s">
        <v>1058</v>
      </c>
      <c r="P311" s="13" t="s">
        <v>1190</v>
      </c>
      <c r="Q311" s="13" t="s">
        <v>912</v>
      </c>
      <c r="R311" s="12">
        <v>0</v>
      </c>
      <c r="S311" s="12"/>
    </row>
    <row r="312" spans="4:19" x14ac:dyDescent="0.2">
      <c r="D312" t="s">
        <v>996</v>
      </c>
      <c r="E312" t="s">
        <v>997</v>
      </c>
      <c r="F312" t="s">
        <v>1246</v>
      </c>
      <c r="G312" t="s">
        <v>1235</v>
      </c>
      <c r="H312" t="s">
        <v>1235</v>
      </c>
      <c r="I312" t="s">
        <v>1663</v>
      </c>
      <c r="J312" t="b">
        <v>0</v>
      </c>
      <c r="K312" t="s">
        <v>1247</v>
      </c>
      <c r="L312" s="31">
        <v>46147.398392870367</v>
      </c>
      <c r="N312" s="5">
        <v>45992</v>
      </c>
      <c r="O312" s="13" t="s">
        <v>1058</v>
      </c>
      <c r="P312" s="13" t="s">
        <v>1181</v>
      </c>
      <c r="Q312" s="13" t="s">
        <v>912</v>
      </c>
      <c r="R312" s="12">
        <v>0</v>
      </c>
      <c r="S312" s="12"/>
    </row>
    <row r="313" spans="4:19" x14ac:dyDescent="0.2">
      <c r="D313" t="s">
        <v>1459</v>
      </c>
      <c r="E313" t="s">
        <v>927</v>
      </c>
      <c r="F313" t="s">
        <v>1245</v>
      </c>
      <c r="G313" t="s">
        <v>1234</v>
      </c>
      <c r="H313" t="s">
        <v>1235</v>
      </c>
      <c r="I313" t="s">
        <v>1449</v>
      </c>
      <c r="J313" t="b">
        <v>1</v>
      </c>
      <c r="K313" t="s">
        <v>1240</v>
      </c>
      <c r="L313" s="31">
        <v>46147.398392870367</v>
      </c>
      <c r="N313" s="5">
        <v>45992</v>
      </c>
      <c r="O313" s="13" t="s">
        <v>1058</v>
      </c>
      <c r="P313" s="13" t="s">
        <v>1194</v>
      </c>
      <c r="Q313" s="13" t="s">
        <v>912</v>
      </c>
      <c r="R313" s="12">
        <v>0</v>
      </c>
      <c r="S313" s="12"/>
    </row>
    <row r="314" spans="4:19" x14ac:dyDescent="0.2">
      <c r="D314" t="s">
        <v>998</v>
      </c>
      <c r="E314" t="s">
        <v>927</v>
      </c>
      <c r="F314" t="s">
        <v>1246</v>
      </c>
      <c r="G314" t="s">
        <v>1235</v>
      </c>
      <c r="H314" t="s">
        <v>1235</v>
      </c>
      <c r="I314" t="s">
        <v>1459</v>
      </c>
      <c r="J314" t="b">
        <v>0</v>
      </c>
      <c r="K314" t="s">
        <v>1247</v>
      </c>
      <c r="L314" s="31">
        <v>46147.398392870367</v>
      </c>
      <c r="N314" s="5">
        <v>45992</v>
      </c>
      <c r="O314" s="13" t="s">
        <v>1057</v>
      </c>
      <c r="P314" s="13" t="s">
        <v>1678</v>
      </c>
      <c r="Q314" s="13" t="s">
        <v>1018</v>
      </c>
      <c r="R314" s="12">
        <v>0</v>
      </c>
      <c r="S314" s="12"/>
    </row>
    <row r="315" spans="4:19" x14ac:dyDescent="0.2">
      <c r="D315" t="s">
        <v>1664</v>
      </c>
      <c r="E315" t="s">
        <v>822</v>
      </c>
      <c r="F315" t="s">
        <v>1245</v>
      </c>
      <c r="G315" t="s">
        <v>1234</v>
      </c>
      <c r="H315" t="s">
        <v>1235</v>
      </c>
      <c r="I315" t="s">
        <v>1449</v>
      </c>
      <c r="J315" t="b">
        <v>1</v>
      </c>
      <c r="K315" t="s">
        <v>1240</v>
      </c>
      <c r="L315" s="31">
        <v>46147.398392870367</v>
      </c>
      <c r="N315" s="5">
        <v>45992</v>
      </c>
      <c r="O315" s="13" t="s">
        <v>1057</v>
      </c>
      <c r="P315" s="13" t="s">
        <v>1679</v>
      </c>
      <c r="Q315" s="13" t="s">
        <v>1018</v>
      </c>
      <c r="R315" s="12">
        <v>3206347</v>
      </c>
      <c r="S315" s="12"/>
    </row>
    <row r="316" spans="4:19" x14ac:dyDescent="0.2">
      <c r="D316" t="s">
        <v>999</v>
      </c>
      <c r="E316" t="s">
        <v>822</v>
      </c>
      <c r="F316" t="s">
        <v>1246</v>
      </c>
      <c r="G316" t="s">
        <v>1235</v>
      </c>
      <c r="H316" t="s">
        <v>1235</v>
      </c>
      <c r="I316" t="s">
        <v>1664</v>
      </c>
      <c r="J316" t="b">
        <v>0</v>
      </c>
      <c r="K316" t="s">
        <v>1247</v>
      </c>
      <c r="L316" s="31">
        <v>46147.398392870367</v>
      </c>
      <c r="N316" s="5">
        <v>45992</v>
      </c>
      <c r="O316" s="13" t="s">
        <v>1057</v>
      </c>
      <c r="P316" s="13" t="s">
        <v>1792</v>
      </c>
      <c r="Q316" s="13" t="s">
        <v>1018</v>
      </c>
      <c r="R316" s="12">
        <v>0</v>
      </c>
      <c r="S316" s="12"/>
    </row>
    <row r="317" spans="4:19" x14ac:dyDescent="0.2">
      <c r="D317" t="s">
        <v>1460</v>
      </c>
      <c r="E317" t="s">
        <v>930</v>
      </c>
      <c r="F317" t="s">
        <v>1245</v>
      </c>
      <c r="G317" t="s">
        <v>1234</v>
      </c>
      <c r="H317" t="s">
        <v>1235</v>
      </c>
      <c r="I317" t="s">
        <v>1449</v>
      </c>
      <c r="J317" t="b">
        <v>1</v>
      </c>
      <c r="K317" t="s">
        <v>1240</v>
      </c>
      <c r="L317" s="31">
        <v>46147.398392870367</v>
      </c>
      <c r="N317" s="5">
        <v>45992</v>
      </c>
      <c r="O317" s="13" t="s">
        <v>1057</v>
      </c>
      <c r="P317" s="13" t="s">
        <v>1186</v>
      </c>
      <c r="Q317" s="13" t="s">
        <v>1018</v>
      </c>
      <c r="R317" s="12">
        <v>1224500</v>
      </c>
      <c r="S317" s="12"/>
    </row>
    <row r="318" spans="4:19" x14ac:dyDescent="0.2">
      <c r="D318" t="s">
        <v>1000</v>
      </c>
      <c r="E318" t="s">
        <v>930</v>
      </c>
      <c r="F318" t="s">
        <v>1246</v>
      </c>
      <c r="G318" t="s">
        <v>1235</v>
      </c>
      <c r="H318" t="s">
        <v>1235</v>
      </c>
      <c r="I318" t="s">
        <v>1460</v>
      </c>
      <c r="J318" t="b">
        <v>0</v>
      </c>
      <c r="K318" t="s">
        <v>1247</v>
      </c>
      <c r="L318" s="31">
        <v>46147.398392870367</v>
      </c>
      <c r="N318" s="5">
        <v>45992</v>
      </c>
      <c r="O318" s="13" t="s">
        <v>1057</v>
      </c>
      <c r="P318" s="13" t="s">
        <v>1185</v>
      </c>
      <c r="Q318" s="13" t="s">
        <v>1018</v>
      </c>
      <c r="R318" s="12">
        <v>1175000</v>
      </c>
      <c r="S318" s="12"/>
    </row>
    <row r="319" spans="4:19" x14ac:dyDescent="0.2">
      <c r="D319" t="s">
        <v>1461</v>
      </c>
      <c r="E319" t="s">
        <v>932</v>
      </c>
      <c r="F319" t="s">
        <v>1245</v>
      </c>
      <c r="G319" t="s">
        <v>1234</v>
      </c>
      <c r="H319" t="s">
        <v>1235</v>
      </c>
      <c r="I319" t="s">
        <v>1449</v>
      </c>
      <c r="J319" t="b">
        <v>1</v>
      </c>
      <c r="K319" t="s">
        <v>1240</v>
      </c>
      <c r="L319" s="31">
        <v>46147.398392870367</v>
      </c>
      <c r="N319" s="5">
        <v>45992</v>
      </c>
      <c r="O319" s="13" t="s">
        <v>1057</v>
      </c>
      <c r="P319" s="13" t="s">
        <v>1212</v>
      </c>
      <c r="Q319" s="13" t="s">
        <v>930</v>
      </c>
      <c r="R319" s="12">
        <v>0</v>
      </c>
      <c r="S319" s="12"/>
    </row>
    <row r="320" spans="4:19" x14ac:dyDescent="0.2">
      <c r="D320" t="s">
        <v>1001</v>
      </c>
      <c r="E320" t="s">
        <v>932</v>
      </c>
      <c r="F320" t="s">
        <v>1246</v>
      </c>
      <c r="G320" t="s">
        <v>1235</v>
      </c>
      <c r="H320" t="s">
        <v>1235</v>
      </c>
      <c r="I320" t="s">
        <v>1461</v>
      </c>
      <c r="J320" t="b">
        <v>0</v>
      </c>
      <c r="K320" t="s">
        <v>1247</v>
      </c>
      <c r="L320" s="31">
        <v>46147.398392870367</v>
      </c>
      <c r="N320" s="5">
        <v>45992</v>
      </c>
      <c r="O320" s="13" t="s">
        <v>1057</v>
      </c>
      <c r="P320" s="13" t="s">
        <v>1166</v>
      </c>
      <c r="Q320" s="13" t="s">
        <v>930</v>
      </c>
      <c r="R320" s="12">
        <v>0</v>
      </c>
      <c r="S320" s="12"/>
    </row>
    <row r="321" spans="4:19" x14ac:dyDescent="0.2">
      <c r="D321" t="s">
        <v>1665</v>
      </c>
      <c r="E321" t="s">
        <v>934</v>
      </c>
      <c r="F321" t="s">
        <v>1245</v>
      </c>
      <c r="G321" t="s">
        <v>1234</v>
      </c>
      <c r="H321" t="s">
        <v>1235</v>
      </c>
      <c r="I321" t="s">
        <v>1449</v>
      </c>
      <c r="J321" t="b">
        <v>1</v>
      </c>
      <c r="K321" t="s">
        <v>1240</v>
      </c>
      <c r="L321" s="31">
        <v>46147.398392870367</v>
      </c>
      <c r="N321" s="5">
        <v>45992</v>
      </c>
      <c r="O321" s="13" t="s">
        <v>1056</v>
      </c>
      <c r="P321" s="13" t="s">
        <v>1145</v>
      </c>
      <c r="Q321" s="13" t="s">
        <v>930</v>
      </c>
      <c r="R321" s="12">
        <v>-947800</v>
      </c>
      <c r="S321" s="12"/>
    </row>
    <row r="322" spans="4:19" x14ac:dyDescent="0.2">
      <c r="D322" t="s">
        <v>1002</v>
      </c>
      <c r="E322" t="s">
        <v>934</v>
      </c>
      <c r="F322" t="s">
        <v>1246</v>
      </c>
      <c r="G322" t="s">
        <v>1235</v>
      </c>
      <c r="H322" t="s">
        <v>1235</v>
      </c>
      <c r="I322" t="s">
        <v>1665</v>
      </c>
      <c r="J322" t="b">
        <v>0</v>
      </c>
      <c r="K322" t="s">
        <v>1247</v>
      </c>
      <c r="L322" s="31">
        <v>46147.398392870367</v>
      </c>
      <c r="N322" s="5">
        <v>45992</v>
      </c>
      <c r="O322" s="13" t="s">
        <v>1056</v>
      </c>
      <c r="P322" s="13" t="s">
        <v>1165</v>
      </c>
      <c r="Q322" s="13" t="s">
        <v>930</v>
      </c>
      <c r="R322" s="12">
        <v>2160000</v>
      </c>
      <c r="S322" s="12"/>
    </row>
    <row r="323" spans="4:19" x14ac:dyDescent="0.2">
      <c r="D323" t="s">
        <v>1666</v>
      </c>
      <c r="E323" t="s">
        <v>936</v>
      </c>
      <c r="F323" t="s">
        <v>1245</v>
      </c>
      <c r="G323" t="s">
        <v>1234</v>
      </c>
      <c r="H323" t="s">
        <v>1235</v>
      </c>
      <c r="I323" t="s">
        <v>1449</v>
      </c>
      <c r="J323" t="b">
        <v>1</v>
      </c>
      <c r="K323" t="s">
        <v>1240</v>
      </c>
      <c r="L323" s="31">
        <v>46147.398392870367</v>
      </c>
      <c r="N323" s="5">
        <v>45992</v>
      </c>
      <c r="O323" s="13" t="s">
        <v>1057</v>
      </c>
      <c r="P323" s="13" t="s">
        <v>1145</v>
      </c>
      <c r="Q323" s="13" t="s">
        <v>930</v>
      </c>
      <c r="R323" s="12">
        <v>237800</v>
      </c>
      <c r="S323" s="12"/>
    </row>
    <row r="324" spans="4:19" x14ac:dyDescent="0.2">
      <c r="D324" t="s">
        <v>1003</v>
      </c>
      <c r="E324" t="s">
        <v>936</v>
      </c>
      <c r="F324" t="s">
        <v>1246</v>
      </c>
      <c r="G324" t="s">
        <v>1235</v>
      </c>
      <c r="H324" t="s">
        <v>1235</v>
      </c>
      <c r="I324" t="s">
        <v>1666</v>
      </c>
      <c r="J324" t="b">
        <v>0</v>
      </c>
      <c r="K324" t="s">
        <v>1247</v>
      </c>
      <c r="L324" s="31">
        <v>46147.398392870367</v>
      </c>
      <c r="N324" s="5">
        <v>45992</v>
      </c>
      <c r="O324" s="13" t="s">
        <v>1056</v>
      </c>
      <c r="P324" s="13" t="s">
        <v>1166</v>
      </c>
      <c r="Q324" s="13" t="s">
        <v>930</v>
      </c>
      <c r="R324" s="12">
        <v>199600</v>
      </c>
      <c r="S324" s="12"/>
    </row>
    <row r="325" spans="4:19" x14ac:dyDescent="0.2">
      <c r="D325" t="s">
        <v>1462</v>
      </c>
      <c r="E325" t="s">
        <v>1463</v>
      </c>
      <c r="F325" t="s">
        <v>1243</v>
      </c>
      <c r="G325" t="s">
        <v>1234</v>
      </c>
      <c r="H325" t="s">
        <v>1235</v>
      </c>
      <c r="I325" t="s">
        <v>1448</v>
      </c>
      <c r="J325" t="b">
        <v>1</v>
      </c>
      <c r="K325" t="s">
        <v>1240</v>
      </c>
      <c r="L325" s="31">
        <v>46147.398392870367</v>
      </c>
      <c r="N325" s="5">
        <v>45992</v>
      </c>
      <c r="O325" s="13" t="s">
        <v>1056</v>
      </c>
      <c r="P325" s="13" t="s">
        <v>1144</v>
      </c>
      <c r="Q325" s="13" t="s">
        <v>927</v>
      </c>
      <c r="R325" s="12">
        <v>196600</v>
      </c>
      <c r="S325" s="12"/>
    </row>
    <row r="326" spans="4:19" x14ac:dyDescent="0.2">
      <c r="D326" t="s">
        <v>1464</v>
      </c>
      <c r="E326" t="s">
        <v>948</v>
      </c>
      <c r="F326" t="s">
        <v>1245</v>
      </c>
      <c r="G326" t="s">
        <v>1234</v>
      </c>
      <c r="H326" t="s">
        <v>1235</v>
      </c>
      <c r="I326" t="s">
        <v>1462</v>
      </c>
      <c r="J326" t="b">
        <v>1</v>
      </c>
      <c r="K326" t="s">
        <v>1240</v>
      </c>
      <c r="L326" s="31">
        <v>46147.398392870367</v>
      </c>
      <c r="N326" s="5">
        <v>45992</v>
      </c>
      <c r="O326" s="13" t="s">
        <v>1057</v>
      </c>
      <c r="P326" s="13" t="s">
        <v>1144</v>
      </c>
      <c r="Q326" s="13" t="s">
        <v>927</v>
      </c>
      <c r="R326" s="12">
        <v>10400</v>
      </c>
      <c r="S326" s="12"/>
    </row>
    <row r="327" spans="4:19" x14ac:dyDescent="0.2">
      <c r="D327" t="s">
        <v>1004</v>
      </c>
      <c r="E327" t="s">
        <v>948</v>
      </c>
      <c r="F327" t="s">
        <v>1246</v>
      </c>
      <c r="G327" t="s">
        <v>1235</v>
      </c>
      <c r="H327" t="s">
        <v>1235</v>
      </c>
      <c r="I327" t="s">
        <v>1464</v>
      </c>
      <c r="J327" t="b">
        <v>0</v>
      </c>
      <c r="K327" t="s">
        <v>1247</v>
      </c>
      <c r="L327" s="31">
        <v>46147.398392870367</v>
      </c>
      <c r="N327" s="5">
        <v>45992</v>
      </c>
      <c r="O327" s="13" t="s">
        <v>1056</v>
      </c>
      <c r="P327" s="13" t="s">
        <v>1761</v>
      </c>
      <c r="Q327" s="13" t="s">
        <v>822</v>
      </c>
      <c r="R327" s="12">
        <v>0</v>
      </c>
      <c r="S327" s="12"/>
    </row>
    <row r="328" spans="4:19" x14ac:dyDescent="0.2">
      <c r="D328" t="s">
        <v>1667</v>
      </c>
      <c r="E328" t="s">
        <v>1006</v>
      </c>
      <c r="F328" t="s">
        <v>1245</v>
      </c>
      <c r="G328" t="s">
        <v>1234</v>
      </c>
      <c r="H328" t="s">
        <v>1235</v>
      </c>
      <c r="I328" t="s">
        <v>1462</v>
      </c>
      <c r="J328" t="b">
        <v>1</v>
      </c>
      <c r="K328" t="s">
        <v>1240</v>
      </c>
      <c r="L328" s="31">
        <v>46147.398392870367</v>
      </c>
      <c r="N328" s="5">
        <v>45992</v>
      </c>
      <c r="O328" s="13" t="s">
        <v>1056</v>
      </c>
      <c r="P328" s="13" t="s">
        <v>1184</v>
      </c>
      <c r="Q328" s="13" t="s">
        <v>822</v>
      </c>
      <c r="R328" s="12">
        <v>1530000</v>
      </c>
      <c r="S328" s="12"/>
    </row>
    <row r="329" spans="4:19" x14ac:dyDescent="0.2">
      <c r="D329" t="s">
        <v>1005</v>
      </c>
      <c r="E329" t="s">
        <v>1006</v>
      </c>
      <c r="F329" t="s">
        <v>1246</v>
      </c>
      <c r="G329" t="s">
        <v>1235</v>
      </c>
      <c r="H329" t="s">
        <v>1235</v>
      </c>
      <c r="I329" t="s">
        <v>1667</v>
      </c>
      <c r="J329" t="b">
        <v>0</v>
      </c>
      <c r="K329" t="s">
        <v>1247</v>
      </c>
      <c r="L329" s="31">
        <v>46147.398392870367</v>
      </c>
      <c r="N329" s="5">
        <v>45992</v>
      </c>
      <c r="O329" s="13" t="s">
        <v>1056</v>
      </c>
      <c r="P329" s="13" t="s">
        <v>1182</v>
      </c>
      <c r="Q329" s="13" t="s">
        <v>822</v>
      </c>
      <c r="R329" s="12">
        <v>1530000</v>
      </c>
      <c r="S329" s="12"/>
    </row>
    <row r="330" spans="4:19" x14ac:dyDescent="0.2">
      <c r="D330" t="s">
        <v>1465</v>
      </c>
      <c r="E330" t="s">
        <v>906</v>
      </c>
      <c r="F330" t="s">
        <v>1243</v>
      </c>
      <c r="G330" t="s">
        <v>1234</v>
      </c>
      <c r="H330" t="s">
        <v>1235</v>
      </c>
      <c r="I330" t="s">
        <v>1448</v>
      </c>
      <c r="J330" t="b">
        <v>1</v>
      </c>
      <c r="K330" t="s">
        <v>1240</v>
      </c>
      <c r="L330" s="31">
        <v>46147.398392870367</v>
      </c>
      <c r="N330" s="5">
        <v>45992</v>
      </c>
      <c r="O330" s="13" t="s">
        <v>1056</v>
      </c>
      <c r="P330" s="13" t="s">
        <v>1181</v>
      </c>
      <c r="Q330" s="13" t="s">
        <v>822</v>
      </c>
      <c r="R330" s="12">
        <v>3800</v>
      </c>
      <c r="S330" s="12"/>
    </row>
    <row r="331" spans="4:19" x14ac:dyDescent="0.2">
      <c r="D331" t="s">
        <v>1466</v>
      </c>
      <c r="E331" t="s">
        <v>952</v>
      </c>
      <c r="F331" t="s">
        <v>1245</v>
      </c>
      <c r="G331" t="s">
        <v>1234</v>
      </c>
      <c r="H331" t="s">
        <v>1235</v>
      </c>
      <c r="I331" t="s">
        <v>1465</v>
      </c>
      <c r="J331" t="b">
        <v>1</v>
      </c>
      <c r="K331" t="s">
        <v>1240</v>
      </c>
      <c r="L331" s="31">
        <v>46147.398392870367</v>
      </c>
      <c r="N331" s="5">
        <v>45992</v>
      </c>
      <c r="O331" s="13" t="s">
        <v>1056</v>
      </c>
      <c r="P331" s="13" t="s">
        <v>1146</v>
      </c>
      <c r="Q331" s="13" t="s">
        <v>932</v>
      </c>
      <c r="R331" s="12">
        <v>1489700</v>
      </c>
      <c r="S331" s="12"/>
    </row>
    <row r="332" spans="4:19" x14ac:dyDescent="0.2">
      <c r="D332" t="s">
        <v>1007</v>
      </c>
      <c r="E332" t="s">
        <v>952</v>
      </c>
      <c r="F332" t="s">
        <v>1246</v>
      </c>
      <c r="G332" t="s">
        <v>1235</v>
      </c>
      <c r="H332" t="s">
        <v>1235</v>
      </c>
      <c r="I332" t="s">
        <v>1466</v>
      </c>
      <c r="J332" t="b">
        <v>0</v>
      </c>
      <c r="K332" t="s">
        <v>1247</v>
      </c>
      <c r="L332" s="31">
        <v>46147.398392870367</v>
      </c>
      <c r="N332" s="5">
        <v>45992</v>
      </c>
      <c r="O332" s="13" t="s">
        <v>1057</v>
      </c>
      <c r="P332" s="13" t="s">
        <v>1146</v>
      </c>
      <c r="Q332" s="13" t="s">
        <v>932</v>
      </c>
      <c r="R332" s="12">
        <v>79300</v>
      </c>
      <c r="S332" s="12"/>
    </row>
    <row r="333" spans="4:19" x14ac:dyDescent="0.2">
      <c r="D333" t="s">
        <v>1467</v>
      </c>
      <c r="E333" t="s">
        <v>1434</v>
      </c>
      <c r="F333" t="s">
        <v>1245</v>
      </c>
      <c r="G333" t="s">
        <v>1234</v>
      </c>
      <c r="H333" t="s">
        <v>1235</v>
      </c>
      <c r="I333" t="s">
        <v>1465</v>
      </c>
      <c r="J333" t="b">
        <v>1</v>
      </c>
      <c r="K333" t="s">
        <v>1240</v>
      </c>
      <c r="L333" s="31">
        <v>46147.398392870367</v>
      </c>
      <c r="N333" s="5">
        <v>45992</v>
      </c>
      <c r="O333" s="13" t="s">
        <v>1057</v>
      </c>
      <c r="P333" s="13" t="s">
        <v>1148</v>
      </c>
      <c r="Q333" s="13" t="s">
        <v>948</v>
      </c>
      <c r="R333" s="12">
        <v>6300000</v>
      </c>
      <c r="S333" s="12"/>
    </row>
    <row r="334" spans="4:19" x14ac:dyDescent="0.2">
      <c r="D334" t="s">
        <v>1008</v>
      </c>
      <c r="E334" t="s">
        <v>954</v>
      </c>
      <c r="F334" t="s">
        <v>1246</v>
      </c>
      <c r="G334" t="s">
        <v>1235</v>
      </c>
      <c r="H334" t="s">
        <v>1235</v>
      </c>
      <c r="I334" t="s">
        <v>1467</v>
      </c>
      <c r="J334" t="b">
        <v>0</v>
      </c>
      <c r="K334" t="s">
        <v>1247</v>
      </c>
      <c r="L334" s="31">
        <v>46147.398392870367</v>
      </c>
      <c r="N334" s="5">
        <v>45992</v>
      </c>
      <c r="O334" s="13" t="s">
        <v>1057</v>
      </c>
      <c r="P334" s="13" t="s">
        <v>1147</v>
      </c>
      <c r="Q334" s="13" t="s">
        <v>948</v>
      </c>
      <c r="R334" s="12">
        <v>2400000</v>
      </c>
      <c r="S334" s="12"/>
    </row>
    <row r="335" spans="4:19" x14ac:dyDescent="0.2">
      <c r="D335" t="s">
        <v>1009</v>
      </c>
      <c r="E335" t="s">
        <v>1010</v>
      </c>
      <c r="F335" t="s">
        <v>1246</v>
      </c>
      <c r="G335" t="s">
        <v>1235</v>
      </c>
      <c r="H335" t="s">
        <v>1235</v>
      </c>
      <c r="I335" t="s">
        <v>1467</v>
      </c>
      <c r="J335" t="b">
        <v>0</v>
      </c>
      <c r="K335" t="s">
        <v>1247</v>
      </c>
      <c r="L335" s="31">
        <v>46147.398392870367</v>
      </c>
      <c r="N335" s="5">
        <v>45992</v>
      </c>
      <c r="O335" s="13" t="s">
        <v>1056</v>
      </c>
      <c r="P335" s="13" t="s">
        <v>1204</v>
      </c>
      <c r="Q335" s="13" t="s">
        <v>944</v>
      </c>
      <c r="R335" s="12">
        <v>10000000</v>
      </c>
      <c r="S335" s="12"/>
    </row>
    <row r="336" spans="4:19" x14ac:dyDescent="0.2">
      <c r="D336" t="s">
        <v>1468</v>
      </c>
      <c r="E336" t="s">
        <v>1012</v>
      </c>
      <c r="F336" t="s">
        <v>1245</v>
      </c>
      <c r="G336" t="s">
        <v>1234</v>
      </c>
      <c r="H336" t="s">
        <v>1235</v>
      </c>
      <c r="I336" t="s">
        <v>1465</v>
      </c>
      <c r="J336" t="b">
        <v>1</v>
      </c>
      <c r="K336" t="s">
        <v>1240</v>
      </c>
      <c r="L336" s="31">
        <v>46147.398392870367</v>
      </c>
      <c r="N336" s="5">
        <v>45992</v>
      </c>
      <c r="O336" s="13" t="s">
        <v>1056</v>
      </c>
      <c r="P336" s="13" t="s">
        <v>1680</v>
      </c>
      <c r="Q336" s="13" t="s">
        <v>944</v>
      </c>
      <c r="R336" s="12">
        <v>0</v>
      </c>
      <c r="S336" s="12"/>
    </row>
    <row r="337" spans="4:19" x14ac:dyDescent="0.2">
      <c r="D337" t="s">
        <v>1011</v>
      </c>
      <c r="E337" t="s">
        <v>1012</v>
      </c>
      <c r="F337" t="s">
        <v>1246</v>
      </c>
      <c r="G337" t="s">
        <v>1235</v>
      </c>
      <c r="H337" t="s">
        <v>1235</v>
      </c>
      <c r="I337" t="s">
        <v>1468</v>
      </c>
      <c r="J337" t="b">
        <v>0</v>
      </c>
      <c r="K337" t="s">
        <v>1247</v>
      </c>
      <c r="L337" s="31">
        <v>46147.398392870367</v>
      </c>
      <c r="N337" s="5">
        <v>45992</v>
      </c>
      <c r="O337" s="13" t="s">
        <v>1056</v>
      </c>
      <c r="P337" s="13" t="s">
        <v>1163</v>
      </c>
      <c r="Q337" s="13" t="s">
        <v>916</v>
      </c>
      <c r="R337" s="12">
        <v>200000</v>
      </c>
      <c r="S337" s="12"/>
    </row>
    <row r="338" spans="4:19" x14ac:dyDescent="0.2">
      <c r="D338" t="s">
        <v>1469</v>
      </c>
      <c r="E338" t="s">
        <v>1470</v>
      </c>
      <c r="F338" t="s">
        <v>1245</v>
      </c>
      <c r="G338" t="s">
        <v>1234</v>
      </c>
      <c r="H338" t="s">
        <v>1235</v>
      </c>
      <c r="I338" t="s">
        <v>1465</v>
      </c>
      <c r="J338" t="b">
        <v>1</v>
      </c>
      <c r="K338" t="s">
        <v>1240</v>
      </c>
      <c r="L338" s="31">
        <v>46147.398392870367</v>
      </c>
      <c r="N338" s="5">
        <v>45992</v>
      </c>
      <c r="O338" s="13" t="s">
        <v>1056</v>
      </c>
      <c r="P338" s="13" t="s">
        <v>1162</v>
      </c>
      <c r="Q338" s="13" t="s">
        <v>916</v>
      </c>
      <c r="R338" s="12">
        <v>200000</v>
      </c>
      <c r="S338" s="12"/>
    </row>
    <row r="339" spans="4:19" x14ac:dyDescent="0.2">
      <c r="D339" t="s">
        <v>1013</v>
      </c>
      <c r="E339" t="s">
        <v>1014</v>
      </c>
      <c r="F339" t="s">
        <v>1246</v>
      </c>
      <c r="G339" t="s">
        <v>1235</v>
      </c>
      <c r="H339" t="s">
        <v>1235</v>
      </c>
      <c r="I339" t="s">
        <v>1469</v>
      </c>
      <c r="J339" t="b">
        <v>0</v>
      </c>
      <c r="K339" t="s">
        <v>1247</v>
      </c>
      <c r="L339" s="31">
        <v>46147.398392870367</v>
      </c>
      <c r="N339" s="5">
        <v>45992</v>
      </c>
      <c r="O339" s="13" t="s">
        <v>1056</v>
      </c>
      <c r="P339" s="13" t="s">
        <v>1164</v>
      </c>
      <c r="Q339" s="13" t="s">
        <v>916</v>
      </c>
      <c r="R339" s="12">
        <v>186666</v>
      </c>
      <c r="S339" s="12"/>
    </row>
    <row r="340" spans="4:19" x14ac:dyDescent="0.2">
      <c r="D340" t="s">
        <v>1668</v>
      </c>
      <c r="E340" t="s">
        <v>1016</v>
      </c>
      <c r="F340" t="s">
        <v>1245</v>
      </c>
      <c r="G340" t="s">
        <v>1234</v>
      </c>
      <c r="H340" t="s">
        <v>1235</v>
      </c>
      <c r="I340" t="s">
        <v>1465</v>
      </c>
      <c r="J340" t="b">
        <v>1</v>
      </c>
      <c r="K340" t="s">
        <v>1240</v>
      </c>
      <c r="L340" s="31">
        <v>46147.398392870367</v>
      </c>
      <c r="N340" s="5">
        <v>45992</v>
      </c>
      <c r="O340" s="13" t="s">
        <v>1057</v>
      </c>
      <c r="P340" s="13" t="s">
        <v>1779</v>
      </c>
      <c r="Q340" s="13" t="s">
        <v>993</v>
      </c>
      <c r="R340" s="12">
        <v>0</v>
      </c>
      <c r="S340" s="12"/>
    </row>
    <row r="341" spans="4:19" x14ac:dyDescent="0.2">
      <c r="D341" t="s">
        <v>1015</v>
      </c>
      <c r="E341" t="s">
        <v>1016</v>
      </c>
      <c r="F341" t="s">
        <v>1246</v>
      </c>
      <c r="G341" t="s">
        <v>1235</v>
      </c>
      <c r="H341" t="s">
        <v>1235</v>
      </c>
      <c r="I341" t="s">
        <v>1668</v>
      </c>
      <c r="J341" t="b">
        <v>0</v>
      </c>
      <c r="K341" t="s">
        <v>1247</v>
      </c>
      <c r="L341" s="31">
        <v>46147.398392870367</v>
      </c>
      <c r="N341" s="5">
        <v>45992</v>
      </c>
      <c r="O341" s="13" t="s">
        <v>1057</v>
      </c>
      <c r="P341" s="13" t="s">
        <v>1681</v>
      </c>
      <c r="Q341" s="13" t="s">
        <v>993</v>
      </c>
      <c r="R341" s="12">
        <v>0</v>
      </c>
      <c r="S341" s="12"/>
    </row>
    <row r="342" spans="4:19" x14ac:dyDescent="0.2">
      <c r="D342" t="s">
        <v>1471</v>
      </c>
      <c r="E342" t="s">
        <v>1018</v>
      </c>
      <c r="F342" t="s">
        <v>1245</v>
      </c>
      <c r="G342" t="s">
        <v>1234</v>
      </c>
      <c r="H342" t="s">
        <v>1235</v>
      </c>
      <c r="I342" t="s">
        <v>1465</v>
      </c>
      <c r="J342" t="b">
        <v>1</v>
      </c>
      <c r="K342" t="s">
        <v>1240</v>
      </c>
      <c r="L342" s="31">
        <v>46147.398392870367</v>
      </c>
      <c r="N342" s="5">
        <v>45992</v>
      </c>
      <c r="O342" s="13" t="s">
        <v>1057</v>
      </c>
      <c r="P342" s="13" t="s">
        <v>1793</v>
      </c>
      <c r="Q342" s="13" t="s">
        <v>993</v>
      </c>
      <c r="R342" s="12">
        <v>0</v>
      </c>
      <c r="S342" s="12"/>
    </row>
    <row r="343" spans="4:19" x14ac:dyDescent="0.2">
      <c r="D343" t="s">
        <v>1017</v>
      </c>
      <c r="E343" t="s">
        <v>1018</v>
      </c>
      <c r="F343" t="s">
        <v>1246</v>
      </c>
      <c r="G343" t="s">
        <v>1235</v>
      </c>
      <c r="H343" t="s">
        <v>1235</v>
      </c>
      <c r="I343" t="s">
        <v>1471</v>
      </c>
      <c r="J343" t="b">
        <v>0</v>
      </c>
      <c r="K343" t="s">
        <v>1247</v>
      </c>
      <c r="L343" s="31">
        <v>46147.398392870367</v>
      </c>
      <c r="N343" s="5">
        <v>45992</v>
      </c>
      <c r="O343" s="13" t="s">
        <v>1057</v>
      </c>
      <c r="P343" s="13" t="s">
        <v>1143</v>
      </c>
      <c r="Q343" s="13" t="s">
        <v>993</v>
      </c>
      <c r="R343" s="12">
        <v>200000</v>
      </c>
      <c r="S343" s="12"/>
    </row>
    <row r="344" spans="4:19" x14ac:dyDescent="0.2">
      <c r="D344" t="s">
        <v>1472</v>
      </c>
      <c r="E344" t="s">
        <v>1404</v>
      </c>
      <c r="F344" t="s">
        <v>1243</v>
      </c>
      <c r="G344" t="s">
        <v>1234</v>
      </c>
      <c r="H344" t="s">
        <v>1235</v>
      </c>
      <c r="I344" t="s">
        <v>1448</v>
      </c>
      <c r="J344" t="b">
        <v>1</v>
      </c>
      <c r="K344" t="s">
        <v>1240</v>
      </c>
      <c r="L344" s="31">
        <v>46147.398392870367</v>
      </c>
      <c r="N344" s="5">
        <v>45992</v>
      </c>
      <c r="O344" s="13" t="s">
        <v>1056</v>
      </c>
      <c r="P344" s="13" t="s">
        <v>1164</v>
      </c>
      <c r="Q344" s="13" t="s">
        <v>938</v>
      </c>
      <c r="R344" s="12">
        <v>338520</v>
      </c>
      <c r="S344" s="12"/>
    </row>
    <row r="345" spans="4:19" x14ac:dyDescent="0.2">
      <c r="D345" t="s">
        <v>1473</v>
      </c>
      <c r="E345" t="s">
        <v>972</v>
      </c>
      <c r="F345" t="s">
        <v>1245</v>
      </c>
      <c r="G345" t="s">
        <v>1234</v>
      </c>
      <c r="H345" t="s">
        <v>1235</v>
      </c>
      <c r="I345" t="s">
        <v>1472</v>
      </c>
      <c r="J345" t="b">
        <v>1</v>
      </c>
      <c r="K345" t="s">
        <v>1240</v>
      </c>
      <c r="L345" s="31">
        <v>46147.398392870367</v>
      </c>
      <c r="N345" s="5">
        <v>45992</v>
      </c>
      <c r="O345" s="13" t="s">
        <v>1056</v>
      </c>
      <c r="P345" s="13" t="s">
        <v>1794</v>
      </c>
      <c r="Q345" s="13" t="s">
        <v>978</v>
      </c>
      <c r="R345" s="12">
        <v>0</v>
      </c>
      <c r="S345" s="12"/>
    </row>
    <row r="346" spans="4:19" x14ac:dyDescent="0.2">
      <c r="D346" t="s">
        <v>1019</v>
      </c>
      <c r="E346" t="s">
        <v>972</v>
      </c>
      <c r="F346" t="s">
        <v>1246</v>
      </c>
      <c r="G346" t="s">
        <v>1235</v>
      </c>
      <c r="H346" t="s">
        <v>1235</v>
      </c>
      <c r="I346" t="s">
        <v>1473</v>
      </c>
      <c r="J346" t="b">
        <v>0</v>
      </c>
      <c r="K346" t="s">
        <v>1247</v>
      </c>
      <c r="L346" s="31">
        <v>46147.398392870367</v>
      </c>
      <c r="N346" s="5">
        <v>45992</v>
      </c>
      <c r="O346" s="13" t="s">
        <v>1056</v>
      </c>
      <c r="P346" s="13" t="s">
        <v>1683</v>
      </c>
      <c r="Q346" s="13" t="s">
        <v>978</v>
      </c>
      <c r="R346" s="12">
        <v>0</v>
      </c>
      <c r="S346" s="12"/>
    </row>
    <row r="347" spans="4:19" x14ac:dyDescent="0.2">
      <c r="D347" t="s">
        <v>1474</v>
      </c>
      <c r="E347" t="s">
        <v>1021</v>
      </c>
      <c r="F347" t="s">
        <v>1245</v>
      </c>
      <c r="G347" t="s">
        <v>1234</v>
      </c>
      <c r="H347" t="s">
        <v>1235</v>
      </c>
      <c r="I347" t="s">
        <v>1472</v>
      </c>
      <c r="J347" t="b">
        <v>1</v>
      </c>
      <c r="K347" t="s">
        <v>1240</v>
      </c>
      <c r="L347" s="31">
        <v>46147.398392870367</v>
      </c>
      <c r="N347" s="5">
        <v>45992</v>
      </c>
      <c r="O347" s="13" t="s">
        <v>1056</v>
      </c>
      <c r="P347" s="13" t="s">
        <v>1682</v>
      </c>
      <c r="Q347" s="13" t="s">
        <v>978</v>
      </c>
      <c r="R347" s="12">
        <v>0</v>
      </c>
      <c r="S347" s="12"/>
    </row>
    <row r="348" spans="4:19" x14ac:dyDescent="0.2">
      <c r="D348" t="s">
        <v>1020</v>
      </c>
      <c r="E348" t="s">
        <v>1021</v>
      </c>
      <c r="F348" t="s">
        <v>1246</v>
      </c>
      <c r="G348" t="s">
        <v>1235</v>
      </c>
      <c r="H348" t="s">
        <v>1235</v>
      </c>
      <c r="I348" t="s">
        <v>1474</v>
      </c>
      <c r="J348" t="b">
        <v>0</v>
      </c>
      <c r="K348" t="s">
        <v>1247</v>
      </c>
      <c r="L348" s="31">
        <v>46147.398392870367</v>
      </c>
      <c r="N348" s="5">
        <v>45992</v>
      </c>
      <c r="O348" s="13" t="s">
        <v>1056</v>
      </c>
      <c r="P348" s="13" t="s">
        <v>1796</v>
      </c>
      <c r="Q348" s="13" t="s">
        <v>978</v>
      </c>
      <c r="R348" s="12">
        <v>0</v>
      </c>
      <c r="S348" s="12"/>
    </row>
    <row r="349" spans="4:19" x14ac:dyDescent="0.2">
      <c r="D349" t="s">
        <v>1475</v>
      </c>
      <c r="E349" t="s">
        <v>1023</v>
      </c>
      <c r="F349" t="s">
        <v>1245</v>
      </c>
      <c r="G349" t="s">
        <v>1234</v>
      </c>
      <c r="H349" t="s">
        <v>1235</v>
      </c>
      <c r="I349" t="s">
        <v>1472</v>
      </c>
      <c r="J349" t="b">
        <v>1</v>
      </c>
      <c r="K349" t="s">
        <v>1240</v>
      </c>
      <c r="L349" s="31">
        <v>46147.398392870367</v>
      </c>
      <c r="N349" s="5">
        <v>45992</v>
      </c>
      <c r="O349" s="13" t="s">
        <v>1056</v>
      </c>
      <c r="P349" s="13" t="s">
        <v>1219</v>
      </c>
      <c r="Q349" s="13" t="s">
        <v>978</v>
      </c>
      <c r="R349" s="12">
        <v>396610</v>
      </c>
      <c r="S349" s="12"/>
    </row>
    <row r="350" spans="4:19" x14ac:dyDescent="0.2">
      <c r="D350" t="s">
        <v>1022</v>
      </c>
      <c r="E350" t="s">
        <v>1023</v>
      </c>
      <c r="F350" t="s">
        <v>1246</v>
      </c>
      <c r="G350" t="s">
        <v>1235</v>
      </c>
      <c r="H350" t="s">
        <v>1235</v>
      </c>
      <c r="I350" t="s">
        <v>1475</v>
      </c>
      <c r="J350" t="b">
        <v>0</v>
      </c>
      <c r="K350" t="s">
        <v>1247</v>
      </c>
      <c r="L350" s="31">
        <v>46147.398392870367</v>
      </c>
      <c r="N350" s="5">
        <v>45992</v>
      </c>
      <c r="O350" s="13" t="s">
        <v>1056</v>
      </c>
      <c r="P350" s="13" t="s">
        <v>1685</v>
      </c>
      <c r="Q350" s="13" t="s">
        <v>978</v>
      </c>
      <c r="R350" s="12">
        <v>0</v>
      </c>
      <c r="S350" s="12"/>
    </row>
    <row r="351" spans="4:19" x14ac:dyDescent="0.2">
      <c r="D351" t="s">
        <v>1476</v>
      </c>
      <c r="E351" t="s">
        <v>1477</v>
      </c>
      <c r="F351" t="s">
        <v>1239</v>
      </c>
      <c r="G351" t="s">
        <v>1234</v>
      </c>
      <c r="H351" t="s">
        <v>1235</v>
      </c>
      <c r="I351" t="s">
        <v>1406</v>
      </c>
      <c r="J351" t="b">
        <v>1</v>
      </c>
      <c r="K351" t="s">
        <v>1240</v>
      </c>
      <c r="L351" s="31">
        <v>46147.398392870367</v>
      </c>
      <c r="N351" s="5">
        <v>45992</v>
      </c>
      <c r="O351" s="13" t="s">
        <v>1056</v>
      </c>
      <c r="P351" s="13" t="s">
        <v>1198</v>
      </c>
      <c r="Q351" s="13" t="s">
        <v>978</v>
      </c>
      <c r="R351" s="12">
        <v>0</v>
      </c>
      <c r="S351" s="12"/>
    </row>
    <row r="352" spans="4:19" x14ac:dyDescent="0.2">
      <c r="D352" t="s">
        <v>1478</v>
      </c>
      <c r="E352" t="s">
        <v>1401</v>
      </c>
      <c r="F352" t="s">
        <v>1243</v>
      </c>
      <c r="G352" t="s">
        <v>1234</v>
      </c>
      <c r="H352" t="s">
        <v>1235</v>
      </c>
      <c r="I352" t="s">
        <v>1476</v>
      </c>
      <c r="J352" t="b">
        <v>1</v>
      </c>
      <c r="K352" t="s">
        <v>1240</v>
      </c>
      <c r="L352" s="31">
        <v>46147.398392870367</v>
      </c>
      <c r="N352" s="5">
        <v>45992</v>
      </c>
      <c r="O352" s="13" t="s">
        <v>1056</v>
      </c>
      <c r="P352" s="13" t="s">
        <v>1168</v>
      </c>
      <c r="Q352" s="13" t="s">
        <v>978</v>
      </c>
      <c r="R352" s="12">
        <v>0</v>
      </c>
      <c r="S352" s="12"/>
    </row>
    <row r="353" spans="4:19" x14ac:dyDescent="0.2">
      <c r="D353" t="s">
        <v>1479</v>
      </c>
      <c r="E353" t="s">
        <v>1025</v>
      </c>
      <c r="F353" t="s">
        <v>1245</v>
      </c>
      <c r="G353" t="s">
        <v>1234</v>
      </c>
      <c r="H353" t="s">
        <v>1235</v>
      </c>
      <c r="I353" t="s">
        <v>1478</v>
      </c>
      <c r="J353" t="b">
        <v>1</v>
      </c>
      <c r="K353" t="s">
        <v>1240</v>
      </c>
      <c r="L353" s="31">
        <v>46147.398392870367</v>
      </c>
      <c r="N353" s="5">
        <v>45992</v>
      </c>
      <c r="O353" s="13" t="s">
        <v>1056</v>
      </c>
      <c r="P353" s="13" t="s">
        <v>1751</v>
      </c>
      <c r="Q353" s="13" t="s">
        <v>978</v>
      </c>
      <c r="R353" s="12">
        <v>0</v>
      </c>
      <c r="S353" s="12"/>
    </row>
    <row r="354" spans="4:19" x14ac:dyDescent="0.2">
      <c r="D354" t="s">
        <v>1024</v>
      </c>
      <c r="E354" t="s">
        <v>1025</v>
      </c>
      <c r="F354" t="s">
        <v>1246</v>
      </c>
      <c r="G354" t="s">
        <v>1235</v>
      </c>
      <c r="H354" t="s">
        <v>1235</v>
      </c>
      <c r="I354" t="s">
        <v>1479</v>
      </c>
      <c r="J354" t="b">
        <v>0</v>
      </c>
      <c r="K354" t="s">
        <v>1247</v>
      </c>
      <c r="L354" s="31">
        <v>46147.398392870367</v>
      </c>
      <c r="N354" s="5">
        <v>45992</v>
      </c>
      <c r="O354" s="13" t="s">
        <v>1056</v>
      </c>
      <c r="P354" s="13" t="s">
        <v>1202</v>
      </c>
      <c r="Q354" s="13" t="s">
        <v>978</v>
      </c>
      <c r="R354" s="12">
        <v>0</v>
      </c>
      <c r="S354" s="12"/>
    </row>
    <row r="355" spans="4:19" x14ac:dyDescent="0.2">
      <c r="D355" t="s">
        <v>1480</v>
      </c>
      <c r="E355" t="s">
        <v>972</v>
      </c>
      <c r="F355" t="s">
        <v>1245</v>
      </c>
      <c r="G355" t="s">
        <v>1234</v>
      </c>
      <c r="H355" t="s">
        <v>1235</v>
      </c>
      <c r="I355" t="s">
        <v>1478</v>
      </c>
      <c r="J355" t="b">
        <v>1</v>
      </c>
      <c r="K355" t="s">
        <v>1240</v>
      </c>
      <c r="L355" s="31">
        <v>46147.398392870367</v>
      </c>
      <c r="N355" s="5">
        <v>45992</v>
      </c>
      <c r="O355" s="13" t="s">
        <v>1056</v>
      </c>
      <c r="P355" s="13" t="s">
        <v>1220</v>
      </c>
      <c r="Q355" s="13" t="s">
        <v>978</v>
      </c>
      <c r="R355" s="12">
        <v>243970</v>
      </c>
      <c r="S355" s="12"/>
    </row>
    <row r="356" spans="4:19" x14ac:dyDescent="0.2">
      <c r="D356" t="s">
        <v>1026</v>
      </c>
      <c r="E356" t="s">
        <v>972</v>
      </c>
      <c r="F356" t="s">
        <v>1246</v>
      </c>
      <c r="G356" t="s">
        <v>1235</v>
      </c>
      <c r="H356" t="s">
        <v>1235</v>
      </c>
      <c r="I356" t="s">
        <v>1480</v>
      </c>
      <c r="J356" t="b">
        <v>0</v>
      </c>
      <c r="K356" t="s">
        <v>1247</v>
      </c>
      <c r="L356" s="31">
        <v>46147.398392870367</v>
      </c>
      <c r="N356" s="5">
        <v>45992</v>
      </c>
      <c r="O356" s="13" t="s">
        <v>1056</v>
      </c>
      <c r="P356" s="13" t="s">
        <v>1684</v>
      </c>
      <c r="Q356" s="13" t="s">
        <v>978</v>
      </c>
      <c r="R356" s="12">
        <v>0</v>
      </c>
      <c r="S356" s="12"/>
    </row>
    <row r="357" spans="4:19" x14ac:dyDescent="0.2">
      <c r="D357" t="s">
        <v>1481</v>
      </c>
      <c r="E357" t="s">
        <v>908</v>
      </c>
      <c r="F357" t="s">
        <v>1245</v>
      </c>
      <c r="G357" t="s">
        <v>1234</v>
      </c>
      <c r="H357" t="s">
        <v>1235</v>
      </c>
      <c r="I357" t="s">
        <v>1478</v>
      </c>
      <c r="J357" t="b">
        <v>1</v>
      </c>
      <c r="K357" t="s">
        <v>1240</v>
      </c>
      <c r="L357" s="31">
        <v>46147.398392870367</v>
      </c>
      <c r="N357" s="5">
        <v>45992</v>
      </c>
      <c r="O357" s="13" t="s">
        <v>1056</v>
      </c>
      <c r="P357" s="13" t="s">
        <v>1762</v>
      </c>
      <c r="Q357" s="13" t="s">
        <v>978</v>
      </c>
      <c r="R357" s="12">
        <v>0</v>
      </c>
      <c r="S357" s="12"/>
    </row>
    <row r="358" spans="4:19" x14ac:dyDescent="0.2">
      <c r="D358" t="s">
        <v>1027</v>
      </c>
      <c r="E358" t="s">
        <v>1028</v>
      </c>
      <c r="F358" t="s">
        <v>1246</v>
      </c>
      <c r="G358" t="s">
        <v>1235</v>
      </c>
      <c r="H358" t="s">
        <v>1235</v>
      </c>
      <c r="I358" t="s">
        <v>1481</v>
      </c>
      <c r="J358" t="b">
        <v>0</v>
      </c>
      <c r="K358" t="s">
        <v>1247</v>
      </c>
      <c r="L358" s="31">
        <v>46147.398392870367</v>
      </c>
      <c r="N358" s="5">
        <v>45992</v>
      </c>
      <c r="O358" s="13" t="s">
        <v>1056</v>
      </c>
      <c r="P358" s="13" t="s">
        <v>1844</v>
      </c>
      <c r="Q358" s="13" t="s">
        <v>978</v>
      </c>
      <c r="R358" s="12">
        <v>8124</v>
      </c>
      <c r="S358" s="12"/>
    </row>
    <row r="359" spans="4:19" x14ac:dyDescent="0.2">
      <c r="D359" t="s">
        <v>1482</v>
      </c>
      <c r="E359" t="s">
        <v>1030</v>
      </c>
      <c r="F359" t="s">
        <v>1245</v>
      </c>
      <c r="G359" t="s">
        <v>1234</v>
      </c>
      <c r="H359" t="s">
        <v>1235</v>
      </c>
      <c r="I359" t="s">
        <v>1478</v>
      </c>
      <c r="J359" t="b">
        <v>1</v>
      </c>
      <c r="K359" t="s">
        <v>1240</v>
      </c>
      <c r="L359" s="31">
        <v>46147.398392870367</v>
      </c>
      <c r="N359" s="5">
        <v>45992</v>
      </c>
      <c r="O359" s="13" t="s">
        <v>1056</v>
      </c>
      <c r="P359" s="13" t="s">
        <v>1795</v>
      </c>
      <c r="Q359" s="13" t="s">
        <v>978</v>
      </c>
      <c r="R359" s="12">
        <v>0</v>
      </c>
      <c r="S359" s="12"/>
    </row>
    <row r="360" spans="4:19" x14ac:dyDescent="0.2">
      <c r="D360" t="s">
        <v>1029</v>
      </c>
      <c r="E360" t="s">
        <v>1030</v>
      </c>
      <c r="F360" t="s">
        <v>1246</v>
      </c>
      <c r="G360" t="s">
        <v>1235</v>
      </c>
      <c r="H360" t="s">
        <v>1235</v>
      </c>
      <c r="I360" t="s">
        <v>1482</v>
      </c>
      <c r="J360" t="b">
        <v>0</v>
      </c>
      <c r="K360" t="s">
        <v>1247</v>
      </c>
      <c r="L360" s="31">
        <v>46147.398392870367</v>
      </c>
      <c r="N360" s="5">
        <v>45992</v>
      </c>
      <c r="O360" s="13" t="s">
        <v>1056</v>
      </c>
      <c r="P360" s="13" t="s">
        <v>1843</v>
      </c>
      <c r="Q360" s="13" t="s">
        <v>978</v>
      </c>
      <c r="R360" s="12">
        <v>131600</v>
      </c>
      <c r="S360" s="12"/>
    </row>
    <row r="361" spans="4:19" x14ac:dyDescent="0.2">
      <c r="D361" t="s">
        <v>1483</v>
      </c>
      <c r="E361" t="s">
        <v>1484</v>
      </c>
      <c r="F361" t="s">
        <v>1245</v>
      </c>
      <c r="G361" t="s">
        <v>1234</v>
      </c>
      <c r="H361" t="s">
        <v>1235</v>
      </c>
      <c r="I361" t="s">
        <v>1478</v>
      </c>
      <c r="J361" t="b">
        <v>1</v>
      </c>
      <c r="K361" t="s">
        <v>1240</v>
      </c>
      <c r="L361" s="31">
        <v>46147.398392870367</v>
      </c>
      <c r="N361" s="5">
        <v>45992</v>
      </c>
      <c r="O361" s="13" t="s">
        <v>1056</v>
      </c>
      <c r="P361" s="13" t="s">
        <v>1686</v>
      </c>
      <c r="Q361" s="13" t="s">
        <v>978</v>
      </c>
      <c r="R361" s="12">
        <v>0</v>
      </c>
      <c r="S361" s="12"/>
    </row>
    <row r="362" spans="4:19" x14ac:dyDescent="0.2">
      <c r="D362" t="s">
        <v>1031</v>
      </c>
      <c r="E362" t="s">
        <v>1032</v>
      </c>
      <c r="F362" t="s">
        <v>1246</v>
      </c>
      <c r="G362" t="s">
        <v>1235</v>
      </c>
      <c r="H362" t="s">
        <v>1235</v>
      </c>
      <c r="I362" t="s">
        <v>1483</v>
      </c>
      <c r="J362" t="b">
        <v>0</v>
      </c>
      <c r="K362" t="s">
        <v>1247</v>
      </c>
      <c r="L362" s="31">
        <v>46147.398392870367</v>
      </c>
      <c r="N362" s="5">
        <v>45992</v>
      </c>
      <c r="O362" s="13" t="s">
        <v>1056</v>
      </c>
      <c r="P362" s="13" t="s">
        <v>1197</v>
      </c>
      <c r="Q362" s="13" t="s">
        <v>978</v>
      </c>
      <c r="R362" s="12">
        <v>421520</v>
      </c>
      <c r="S362" s="12"/>
    </row>
    <row r="363" spans="4:19" x14ac:dyDescent="0.2">
      <c r="D363" t="s">
        <v>1485</v>
      </c>
      <c r="E363" t="s">
        <v>1486</v>
      </c>
      <c r="F363" t="s">
        <v>1243</v>
      </c>
      <c r="G363" t="s">
        <v>1234</v>
      </c>
      <c r="H363" t="s">
        <v>1235</v>
      </c>
      <c r="I363" t="s">
        <v>1476</v>
      </c>
      <c r="J363" t="b">
        <v>1</v>
      </c>
      <c r="K363" t="s">
        <v>1240</v>
      </c>
      <c r="L363" s="31">
        <v>46147.398392870367</v>
      </c>
      <c r="N363" s="5">
        <v>45992</v>
      </c>
      <c r="O363" s="13" t="s">
        <v>1057</v>
      </c>
      <c r="P363" s="13" t="s">
        <v>1779</v>
      </c>
      <c r="Q363" s="13" t="s">
        <v>860</v>
      </c>
      <c r="R363" s="12">
        <v>0</v>
      </c>
      <c r="S363" s="12"/>
    </row>
    <row r="364" spans="4:19" x14ac:dyDescent="0.2">
      <c r="D364" t="s">
        <v>1669</v>
      </c>
      <c r="E364" t="s">
        <v>1670</v>
      </c>
      <c r="F364" t="s">
        <v>1245</v>
      </c>
      <c r="G364" t="s">
        <v>1234</v>
      </c>
      <c r="H364" t="s">
        <v>1235</v>
      </c>
      <c r="I364" t="s">
        <v>1485</v>
      </c>
      <c r="J364" t="b">
        <v>1</v>
      </c>
      <c r="K364" t="s">
        <v>1240</v>
      </c>
      <c r="L364" s="31">
        <v>46147.398392870367</v>
      </c>
      <c r="N364" s="5">
        <v>45992</v>
      </c>
      <c r="O364" s="13" t="s">
        <v>1056</v>
      </c>
      <c r="P364" s="13" t="s">
        <v>1162</v>
      </c>
      <c r="Q364" s="13" t="s">
        <v>860</v>
      </c>
      <c r="R364" s="12">
        <v>1623888</v>
      </c>
      <c r="S364" s="12"/>
    </row>
    <row r="365" spans="4:19" x14ac:dyDescent="0.2">
      <c r="D365" t="s">
        <v>1033</v>
      </c>
      <c r="E365" t="s">
        <v>1034</v>
      </c>
      <c r="F365" t="s">
        <v>1246</v>
      </c>
      <c r="G365" t="s">
        <v>1235</v>
      </c>
      <c r="H365" t="s">
        <v>1235</v>
      </c>
      <c r="I365" t="s">
        <v>1669</v>
      </c>
      <c r="J365" t="b">
        <v>0</v>
      </c>
      <c r="K365" t="s">
        <v>1247</v>
      </c>
      <c r="L365" s="31">
        <v>46147.398392870367</v>
      </c>
      <c r="N365" s="5">
        <v>45992</v>
      </c>
      <c r="O365" s="13" t="s">
        <v>1057</v>
      </c>
      <c r="P365" s="13" t="s">
        <v>1681</v>
      </c>
      <c r="Q365" s="13" t="s">
        <v>860</v>
      </c>
      <c r="R365" s="12">
        <v>0</v>
      </c>
      <c r="S365" s="12"/>
    </row>
    <row r="366" spans="4:19" x14ac:dyDescent="0.2">
      <c r="D366" t="s">
        <v>1487</v>
      </c>
      <c r="E366" t="s">
        <v>1036</v>
      </c>
      <c r="F366" t="s">
        <v>1245</v>
      </c>
      <c r="G366" t="s">
        <v>1234</v>
      </c>
      <c r="H366" t="s">
        <v>1235</v>
      </c>
      <c r="I366" t="s">
        <v>1485</v>
      </c>
      <c r="J366" t="b">
        <v>1</v>
      </c>
      <c r="K366" t="s">
        <v>1240</v>
      </c>
      <c r="L366" s="31">
        <v>46147.398392870367</v>
      </c>
      <c r="N366" s="5">
        <v>45992</v>
      </c>
      <c r="O366" s="13" t="s">
        <v>1056</v>
      </c>
      <c r="P366" s="13" t="s">
        <v>1163</v>
      </c>
      <c r="Q366" s="13" t="s">
        <v>860</v>
      </c>
      <c r="R366" s="12">
        <v>1623888</v>
      </c>
      <c r="S366" s="12"/>
    </row>
    <row r="367" spans="4:19" x14ac:dyDescent="0.2">
      <c r="D367" t="s">
        <v>1035</v>
      </c>
      <c r="E367" t="s">
        <v>1036</v>
      </c>
      <c r="F367" t="s">
        <v>1246</v>
      </c>
      <c r="G367" t="s">
        <v>1235</v>
      </c>
      <c r="H367" t="s">
        <v>1235</v>
      </c>
      <c r="I367" t="s">
        <v>1487</v>
      </c>
      <c r="J367" t="b">
        <v>0</v>
      </c>
      <c r="K367" t="s">
        <v>1247</v>
      </c>
      <c r="L367" s="31">
        <v>46147.398392870367</v>
      </c>
      <c r="N367" s="5">
        <v>45992</v>
      </c>
      <c r="O367" s="13" t="s">
        <v>1057</v>
      </c>
      <c r="P367" s="13" t="s">
        <v>1687</v>
      </c>
      <c r="Q367" s="13" t="s">
        <v>860</v>
      </c>
      <c r="R367" s="12">
        <v>0</v>
      </c>
      <c r="S367" s="12"/>
    </row>
    <row r="368" spans="4:19" x14ac:dyDescent="0.2">
      <c r="D368" t="s">
        <v>1488</v>
      </c>
      <c r="E368" t="s">
        <v>1489</v>
      </c>
      <c r="F368" t="s">
        <v>1243</v>
      </c>
      <c r="G368" t="s">
        <v>1234</v>
      </c>
      <c r="H368" t="s">
        <v>1235</v>
      </c>
      <c r="I368" t="s">
        <v>1476</v>
      </c>
      <c r="J368" t="b">
        <v>1</v>
      </c>
      <c r="K368" t="s">
        <v>1240</v>
      </c>
      <c r="L368" s="31">
        <v>46147.398392870367</v>
      </c>
      <c r="N368" s="5">
        <v>45992</v>
      </c>
      <c r="O368" s="13" t="s">
        <v>1057</v>
      </c>
      <c r="P368" s="13" t="s">
        <v>1793</v>
      </c>
      <c r="Q368" s="13" t="s">
        <v>860</v>
      </c>
      <c r="R368" s="12">
        <v>0</v>
      </c>
      <c r="S368" s="12"/>
    </row>
    <row r="369" spans="4:19" x14ac:dyDescent="0.2">
      <c r="D369" t="s">
        <v>1490</v>
      </c>
      <c r="E369" t="s">
        <v>912</v>
      </c>
      <c r="F369" t="s">
        <v>1245</v>
      </c>
      <c r="G369" t="s">
        <v>1234</v>
      </c>
      <c r="H369" t="s">
        <v>1235</v>
      </c>
      <c r="I369" t="s">
        <v>1488</v>
      </c>
      <c r="J369" t="b">
        <v>1</v>
      </c>
      <c r="K369" t="s">
        <v>1240</v>
      </c>
      <c r="L369" s="31">
        <v>46147.398392870367</v>
      </c>
      <c r="N369" s="5">
        <v>45992</v>
      </c>
      <c r="O369" s="13" t="s">
        <v>1057</v>
      </c>
      <c r="P369" s="13" t="s">
        <v>1143</v>
      </c>
      <c r="Q369" s="13" t="s">
        <v>860</v>
      </c>
      <c r="R369" s="12">
        <v>175879</v>
      </c>
      <c r="S369" s="12"/>
    </row>
    <row r="370" spans="4:19" x14ac:dyDescent="0.2">
      <c r="D370" t="s">
        <v>1037</v>
      </c>
      <c r="E370" t="s">
        <v>912</v>
      </c>
      <c r="F370" t="s">
        <v>1246</v>
      </c>
      <c r="G370" t="s">
        <v>1235</v>
      </c>
      <c r="H370" t="s">
        <v>1235</v>
      </c>
      <c r="I370" t="s">
        <v>1490</v>
      </c>
      <c r="J370" t="b">
        <v>0</v>
      </c>
      <c r="K370" t="s">
        <v>1247</v>
      </c>
      <c r="L370" s="31">
        <v>46147.398392870367</v>
      </c>
      <c r="N370" s="5">
        <v>45992</v>
      </c>
      <c r="O370" s="13" t="s">
        <v>1056</v>
      </c>
      <c r="P370" s="13" t="s">
        <v>1164</v>
      </c>
      <c r="Q370" s="13" t="s">
        <v>860</v>
      </c>
      <c r="R370" s="12">
        <v>524778</v>
      </c>
      <c r="S370" s="12"/>
    </row>
    <row r="371" spans="4:19" x14ac:dyDescent="0.2">
      <c r="D371" t="s">
        <v>1671</v>
      </c>
      <c r="E371" t="s">
        <v>1039</v>
      </c>
      <c r="F371" t="s">
        <v>1239</v>
      </c>
      <c r="G371" t="s">
        <v>1234</v>
      </c>
      <c r="H371" t="s">
        <v>1235</v>
      </c>
      <c r="I371" t="s">
        <v>1406</v>
      </c>
      <c r="J371" t="b">
        <v>1</v>
      </c>
      <c r="K371" t="s">
        <v>1240</v>
      </c>
      <c r="L371" s="31">
        <v>46147.398392870367</v>
      </c>
      <c r="N371" s="5">
        <v>45992</v>
      </c>
      <c r="O371" s="13" t="s">
        <v>1057</v>
      </c>
      <c r="P371" s="13" t="s">
        <v>1687</v>
      </c>
      <c r="Q371" s="13" t="s">
        <v>972</v>
      </c>
      <c r="R371" s="12"/>
      <c r="S371" s="12">
        <v>0</v>
      </c>
    </row>
    <row r="372" spans="4:19" x14ac:dyDescent="0.2">
      <c r="D372" t="s">
        <v>1672</v>
      </c>
      <c r="E372" t="s">
        <v>1039</v>
      </c>
      <c r="F372" t="s">
        <v>1243</v>
      </c>
      <c r="G372" t="s">
        <v>1234</v>
      </c>
      <c r="H372" t="s">
        <v>1235</v>
      </c>
      <c r="I372" t="s">
        <v>1671</v>
      </c>
      <c r="J372" t="b">
        <v>1</v>
      </c>
      <c r="K372" t="s">
        <v>1240</v>
      </c>
      <c r="L372" s="31">
        <v>46147.398392870367</v>
      </c>
      <c r="N372" s="5">
        <v>45992</v>
      </c>
      <c r="O372" s="13" t="s">
        <v>1057</v>
      </c>
      <c r="P372" s="13" t="s">
        <v>1161</v>
      </c>
      <c r="Q372" s="13" t="s">
        <v>972</v>
      </c>
      <c r="R372" s="12"/>
      <c r="S372" s="12">
        <v>1489960</v>
      </c>
    </row>
    <row r="373" spans="4:19" x14ac:dyDescent="0.2">
      <c r="D373" t="s">
        <v>1673</v>
      </c>
      <c r="E373" t="s">
        <v>1039</v>
      </c>
      <c r="F373" t="s">
        <v>1245</v>
      </c>
      <c r="G373" t="s">
        <v>1234</v>
      </c>
      <c r="H373" t="s">
        <v>1235</v>
      </c>
      <c r="I373" t="s">
        <v>1672</v>
      </c>
      <c r="J373" t="b">
        <v>1</v>
      </c>
      <c r="K373" t="s">
        <v>1240</v>
      </c>
      <c r="L373" s="31">
        <v>46147.398392870367</v>
      </c>
      <c r="N373" s="5">
        <v>45992</v>
      </c>
      <c r="O373" s="13" t="s">
        <v>1058</v>
      </c>
      <c r="P373" s="13" t="s">
        <v>1177</v>
      </c>
      <c r="Q373" s="13" t="s">
        <v>972</v>
      </c>
      <c r="R373" s="12">
        <v>0</v>
      </c>
      <c r="S373" s="12"/>
    </row>
    <row r="374" spans="4:19" x14ac:dyDescent="0.2">
      <c r="D374" t="s">
        <v>1038</v>
      </c>
      <c r="E374" t="s">
        <v>1039</v>
      </c>
      <c r="F374" t="s">
        <v>1246</v>
      </c>
      <c r="G374" t="s">
        <v>1235</v>
      </c>
      <c r="H374" t="s">
        <v>1235</v>
      </c>
      <c r="I374" t="s">
        <v>1673</v>
      </c>
      <c r="J374" t="b">
        <v>0</v>
      </c>
      <c r="K374" t="s">
        <v>1247</v>
      </c>
      <c r="L374" s="31">
        <v>46147.398392870367</v>
      </c>
      <c r="N374" s="5">
        <v>45992</v>
      </c>
      <c r="O374" s="13" t="s">
        <v>1057</v>
      </c>
      <c r="P374" s="13" t="s">
        <v>1688</v>
      </c>
      <c r="Q374" s="13" t="s">
        <v>972</v>
      </c>
      <c r="R374" s="12"/>
      <c r="S374" s="12">
        <v>0</v>
      </c>
    </row>
    <row r="375" spans="4:19" x14ac:dyDescent="0.2">
      <c r="D375" t="s">
        <v>1491</v>
      </c>
      <c r="E375" t="s">
        <v>1492</v>
      </c>
      <c r="F375" t="s">
        <v>1233</v>
      </c>
      <c r="G375" t="s">
        <v>1234</v>
      </c>
      <c r="H375" t="s">
        <v>1235</v>
      </c>
      <c r="J375" t="b">
        <v>1</v>
      </c>
      <c r="K375" t="s">
        <v>1236</v>
      </c>
      <c r="L375" s="31">
        <v>46147.398392870367</v>
      </c>
      <c r="N375" s="5">
        <v>45992</v>
      </c>
      <c r="O375" s="13" t="s">
        <v>1058</v>
      </c>
      <c r="P375" s="13" t="s">
        <v>1161</v>
      </c>
      <c r="Q375" s="13" t="s">
        <v>972</v>
      </c>
      <c r="R375" s="12">
        <v>0</v>
      </c>
      <c r="S375" s="12"/>
    </row>
    <row r="376" spans="4:19" x14ac:dyDescent="0.2">
      <c r="D376" t="s">
        <v>1493</v>
      </c>
      <c r="E376" t="s">
        <v>1494</v>
      </c>
      <c r="F376" t="s">
        <v>1239</v>
      </c>
      <c r="G376" t="s">
        <v>1234</v>
      </c>
      <c r="H376" t="s">
        <v>1235</v>
      </c>
      <c r="I376" t="s">
        <v>1491</v>
      </c>
      <c r="J376" t="b">
        <v>1</v>
      </c>
      <c r="K376" t="s">
        <v>1240</v>
      </c>
      <c r="L376" s="31">
        <v>46147.398392870367</v>
      </c>
      <c r="N376" s="5">
        <v>45992</v>
      </c>
      <c r="O376" s="13" t="s">
        <v>1057</v>
      </c>
      <c r="P376" s="13" t="s">
        <v>1689</v>
      </c>
      <c r="Q376" s="13" t="s">
        <v>972</v>
      </c>
      <c r="R376" s="12"/>
      <c r="S376" s="12">
        <v>0</v>
      </c>
    </row>
    <row r="377" spans="4:19" x14ac:dyDescent="0.2">
      <c r="D377" t="s">
        <v>1495</v>
      </c>
      <c r="E377" t="s">
        <v>1496</v>
      </c>
      <c r="F377" t="s">
        <v>1243</v>
      </c>
      <c r="G377" t="s">
        <v>1234</v>
      </c>
      <c r="H377" t="s">
        <v>1235</v>
      </c>
      <c r="I377" t="s">
        <v>1493</v>
      </c>
      <c r="J377" t="b">
        <v>1</v>
      </c>
      <c r="K377" t="s">
        <v>1240</v>
      </c>
      <c r="L377" s="31">
        <v>46147.398392870367</v>
      </c>
      <c r="N377" s="5">
        <v>45992</v>
      </c>
      <c r="O377" s="13" t="s">
        <v>1057</v>
      </c>
      <c r="P377" s="13" t="s">
        <v>1793</v>
      </c>
      <c r="Q377" s="13" t="s">
        <v>972</v>
      </c>
      <c r="R377" s="12"/>
      <c r="S377" s="12">
        <v>0</v>
      </c>
    </row>
    <row r="378" spans="4:19" x14ac:dyDescent="0.2">
      <c r="D378" t="s">
        <v>1497</v>
      </c>
      <c r="E378" t="s">
        <v>1496</v>
      </c>
      <c r="F378" t="s">
        <v>1245</v>
      </c>
      <c r="G378" t="s">
        <v>1234</v>
      </c>
      <c r="H378" t="s">
        <v>1235</v>
      </c>
      <c r="I378" t="s">
        <v>1495</v>
      </c>
      <c r="J378" t="b">
        <v>1</v>
      </c>
      <c r="K378" t="s">
        <v>1240</v>
      </c>
      <c r="L378" s="31">
        <v>46147.398392870367</v>
      </c>
      <c r="N378" s="5">
        <v>45992</v>
      </c>
      <c r="O378" s="13" t="s">
        <v>1057</v>
      </c>
      <c r="P378" s="13" t="s">
        <v>1779</v>
      </c>
      <c r="Q378" s="13" t="s">
        <v>972</v>
      </c>
      <c r="R378" s="12"/>
      <c r="S378" s="12">
        <v>0</v>
      </c>
    </row>
    <row r="379" spans="4:19" x14ac:dyDescent="0.2">
      <c r="D379" t="s">
        <v>1040</v>
      </c>
      <c r="E379" t="s">
        <v>890</v>
      </c>
      <c r="F379" t="s">
        <v>1246</v>
      </c>
      <c r="G379" t="s">
        <v>1235</v>
      </c>
      <c r="H379" t="s">
        <v>1235</v>
      </c>
      <c r="I379" t="s">
        <v>1497</v>
      </c>
      <c r="J379" t="b">
        <v>0</v>
      </c>
      <c r="K379" t="s">
        <v>1247</v>
      </c>
      <c r="L379" s="31">
        <v>46147.398392870367</v>
      </c>
      <c r="N379" s="5">
        <v>45992</v>
      </c>
      <c r="O379" s="13" t="s">
        <v>1057</v>
      </c>
      <c r="P379" s="13" t="s">
        <v>1143</v>
      </c>
      <c r="Q379" s="13" t="s">
        <v>972</v>
      </c>
      <c r="R379" s="12"/>
      <c r="S379" s="12">
        <v>372000</v>
      </c>
    </row>
    <row r="380" spans="4:19" x14ac:dyDescent="0.2">
      <c r="D380" t="s">
        <v>1498</v>
      </c>
      <c r="E380" t="s">
        <v>1496</v>
      </c>
      <c r="F380" t="s">
        <v>1245</v>
      </c>
      <c r="G380" t="s">
        <v>1234</v>
      </c>
      <c r="H380" t="s">
        <v>1235</v>
      </c>
      <c r="I380" t="s">
        <v>1495</v>
      </c>
      <c r="J380" t="b">
        <v>1</v>
      </c>
      <c r="K380" t="s">
        <v>1240</v>
      </c>
      <c r="L380" s="31">
        <v>46147.398392870367</v>
      </c>
      <c r="N380" s="5">
        <v>45992</v>
      </c>
      <c r="O380" s="13" t="s">
        <v>1057</v>
      </c>
      <c r="P380" s="13" t="s">
        <v>1157</v>
      </c>
      <c r="Q380" s="13" t="s">
        <v>972</v>
      </c>
      <c r="R380" s="12"/>
      <c r="S380" s="12">
        <v>453495</v>
      </c>
    </row>
    <row r="381" spans="4:19" x14ac:dyDescent="0.2">
      <c r="D381" t="s">
        <v>1041</v>
      </c>
      <c r="E381" t="s">
        <v>890</v>
      </c>
      <c r="F381" t="s">
        <v>1246</v>
      </c>
      <c r="G381" t="s">
        <v>1235</v>
      </c>
      <c r="H381" t="s">
        <v>1235</v>
      </c>
      <c r="I381" t="s">
        <v>1498</v>
      </c>
      <c r="J381" t="b">
        <v>0</v>
      </c>
      <c r="K381" t="s">
        <v>1247</v>
      </c>
      <c r="L381" s="31">
        <v>46147.398392870367</v>
      </c>
      <c r="N381" s="5">
        <v>45992</v>
      </c>
      <c r="O381" s="13" t="s">
        <v>1058</v>
      </c>
      <c r="P381" s="13" t="s">
        <v>1797</v>
      </c>
      <c r="Q381" s="13" t="s">
        <v>1030</v>
      </c>
      <c r="R381" s="12">
        <v>0</v>
      </c>
      <c r="S381" s="12"/>
    </row>
    <row r="382" spans="4:19" x14ac:dyDescent="0.2">
      <c r="D382" t="s">
        <v>1042</v>
      </c>
      <c r="E382" t="s">
        <v>774</v>
      </c>
      <c r="F382" t="s">
        <v>1246</v>
      </c>
      <c r="G382" t="s">
        <v>1235</v>
      </c>
      <c r="H382" t="s">
        <v>1235</v>
      </c>
      <c r="I382" t="s">
        <v>1498</v>
      </c>
      <c r="J382" t="b">
        <v>0</v>
      </c>
      <c r="K382" t="s">
        <v>1247</v>
      </c>
      <c r="L382" s="31">
        <v>46147.398392870367</v>
      </c>
      <c r="N382" s="5">
        <v>45992</v>
      </c>
      <c r="O382" s="13" t="s">
        <v>1058</v>
      </c>
      <c r="P382" s="13" t="s">
        <v>1821</v>
      </c>
      <c r="Q382" s="13" t="s">
        <v>1030</v>
      </c>
      <c r="R382" s="12">
        <v>0</v>
      </c>
      <c r="S382" s="12"/>
    </row>
    <row r="383" spans="4:19" x14ac:dyDescent="0.2">
      <c r="D383" t="s">
        <v>1043</v>
      </c>
      <c r="E383" t="s">
        <v>906</v>
      </c>
      <c r="F383" t="s">
        <v>1246</v>
      </c>
      <c r="G383" t="s">
        <v>1235</v>
      </c>
      <c r="H383" t="s">
        <v>1235</v>
      </c>
      <c r="I383" t="s">
        <v>1498</v>
      </c>
      <c r="J383" t="b">
        <v>0</v>
      </c>
      <c r="K383" t="s">
        <v>1247</v>
      </c>
      <c r="L383" s="31">
        <v>46147.398392870367</v>
      </c>
      <c r="N383" s="5">
        <v>45992</v>
      </c>
      <c r="O383" s="13" t="s">
        <v>1058</v>
      </c>
      <c r="P383" s="13" t="s">
        <v>1835</v>
      </c>
      <c r="Q383" s="13" t="s">
        <v>1030</v>
      </c>
      <c r="R383" s="12">
        <v>0</v>
      </c>
      <c r="S383" s="12"/>
    </row>
    <row r="384" spans="4:19" x14ac:dyDescent="0.2">
      <c r="N384" s="5">
        <v>45992</v>
      </c>
      <c r="O384" s="13" t="s">
        <v>1058</v>
      </c>
      <c r="P384" s="13" t="s">
        <v>1716</v>
      </c>
      <c r="Q384" s="13" t="s">
        <v>1030</v>
      </c>
      <c r="R384" s="12">
        <v>0</v>
      </c>
      <c r="S384" s="12"/>
    </row>
    <row r="385" spans="14:19" x14ac:dyDescent="0.2">
      <c r="N385" s="5">
        <v>45992</v>
      </c>
      <c r="O385" s="13" t="s">
        <v>1058</v>
      </c>
      <c r="P385" s="13" t="s">
        <v>1784</v>
      </c>
      <c r="Q385" s="13" t="s">
        <v>1030</v>
      </c>
      <c r="R385" s="12">
        <v>0</v>
      </c>
      <c r="S385" s="12"/>
    </row>
    <row r="386" spans="14:19" x14ac:dyDescent="0.2">
      <c r="N386" s="5">
        <v>45992</v>
      </c>
      <c r="O386" s="13" t="s">
        <v>1058</v>
      </c>
      <c r="P386" s="13" t="s">
        <v>1727</v>
      </c>
      <c r="Q386" s="13" t="s">
        <v>1030</v>
      </c>
      <c r="R386" s="12">
        <v>0</v>
      </c>
      <c r="S386" s="12"/>
    </row>
    <row r="387" spans="14:19" x14ac:dyDescent="0.2">
      <c r="N387" s="5">
        <v>45992</v>
      </c>
      <c r="O387" s="13" t="s">
        <v>1058</v>
      </c>
      <c r="P387" s="13" t="s">
        <v>1798</v>
      </c>
      <c r="Q387" s="13" t="s">
        <v>1030</v>
      </c>
      <c r="R387" s="12">
        <v>0</v>
      </c>
      <c r="S387" s="12"/>
    </row>
    <row r="388" spans="14:19" x14ac:dyDescent="0.2">
      <c r="N388" s="5">
        <v>45992</v>
      </c>
      <c r="O388" s="13" t="s">
        <v>1058</v>
      </c>
      <c r="P388" s="13" t="s">
        <v>1826</v>
      </c>
      <c r="Q388" s="13" t="s">
        <v>1030</v>
      </c>
      <c r="R388" s="12">
        <v>0</v>
      </c>
      <c r="S388" s="12"/>
    </row>
    <row r="389" spans="14:19" x14ac:dyDescent="0.2">
      <c r="N389" s="5">
        <v>45992</v>
      </c>
      <c r="O389" s="13" t="s">
        <v>1058</v>
      </c>
      <c r="P389" s="13" t="s">
        <v>1827</v>
      </c>
      <c r="Q389" s="13" t="s">
        <v>1030</v>
      </c>
      <c r="R389" s="12">
        <v>0</v>
      </c>
      <c r="S389" s="12"/>
    </row>
    <row r="390" spans="14:19" x14ac:dyDescent="0.2">
      <c r="N390" s="5">
        <v>45992</v>
      </c>
      <c r="O390" s="13" t="s">
        <v>1058</v>
      </c>
      <c r="P390" s="13" t="s">
        <v>1856</v>
      </c>
      <c r="Q390" s="13" t="s">
        <v>1030</v>
      </c>
      <c r="R390" s="12">
        <v>548949.59</v>
      </c>
      <c r="S390" s="12"/>
    </row>
    <row r="391" spans="14:19" x14ac:dyDescent="0.2">
      <c r="N391" s="5">
        <v>45992</v>
      </c>
      <c r="O391" s="13" t="s">
        <v>1058</v>
      </c>
      <c r="P391" s="13" t="s">
        <v>1857</v>
      </c>
      <c r="Q391" s="13" t="s">
        <v>1030</v>
      </c>
      <c r="R391" s="12">
        <v>127310.93</v>
      </c>
      <c r="S391" s="12"/>
    </row>
    <row r="392" spans="14:19" x14ac:dyDescent="0.2">
      <c r="N392" s="5">
        <v>45992</v>
      </c>
      <c r="O392" s="13" t="s">
        <v>1058</v>
      </c>
      <c r="P392" s="13" t="s">
        <v>1737</v>
      </c>
      <c r="Q392" s="13" t="s">
        <v>1030</v>
      </c>
      <c r="R392" s="12">
        <v>0</v>
      </c>
      <c r="S392" s="12"/>
    </row>
    <row r="393" spans="14:19" x14ac:dyDescent="0.2">
      <c r="N393" s="5">
        <v>45992</v>
      </c>
      <c r="O393" s="13" t="s">
        <v>1058</v>
      </c>
      <c r="P393" s="13" t="s">
        <v>1861</v>
      </c>
      <c r="Q393" s="13" t="s">
        <v>1030</v>
      </c>
      <c r="R393" s="12">
        <v>286134.45</v>
      </c>
      <c r="S393" s="12"/>
    </row>
    <row r="394" spans="14:19" x14ac:dyDescent="0.2">
      <c r="N394" s="5">
        <v>45992</v>
      </c>
      <c r="O394" s="13" t="s">
        <v>1058</v>
      </c>
      <c r="P394" s="13" t="s">
        <v>1766</v>
      </c>
      <c r="Q394" s="13" t="s">
        <v>1030</v>
      </c>
      <c r="R394" s="12">
        <v>0</v>
      </c>
      <c r="S394" s="12"/>
    </row>
    <row r="395" spans="14:19" x14ac:dyDescent="0.2">
      <c r="N395" s="5">
        <v>45992</v>
      </c>
      <c r="O395" s="13" t="s">
        <v>1058</v>
      </c>
      <c r="P395" s="13" t="s">
        <v>1709</v>
      </c>
      <c r="Q395" s="13" t="s">
        <v>1030</v>
      </c>
      <c r="R395" s="12">
        <v>0</v>
      </c>
      <c r="S395" s="12"/>
    </row>
    <row r="396" spans="14:19" x14ac:dyDescent="0.2">
      <c r="N396" s="5">
        <v>45992</v>
      </c>
      <c r="O396" s="13" t="s">
        <v>1058</v>
      </c>
      <c r="P396" s="13" t="s">
        <v>1837</v>
      </c>
      <c r="Q396" s="13" t="s">
        <v>1030</v>
      </c>
      <c r="R396" s="12">
        <v>0</v>
      </c>
      <c r="S396" s="12"/>
    </row>
    <row r="397" spans="14:19" x14ac:dyDescent="0.2">
      <c r="N397" s="5">
        <v>45992</v>
      </c>
      <c r="O397" s="13" t="s">
        <v>1058</v>
      </c>
      <c r="P397" s="13" t="s">
        <v>1690</v>
      </c>
      <c r="Q397" s="13" t="s">
        <v>1030</v>
      </c>
      <c r="R397" s="12">
        <v>0</v>
      </c>
      <c r="S397" s="12"/>
    </row>
    <row r="398" spans="14:19" x14ac:dyDescent="0.2">
      <c r="N398" s="5">
        <v>45992</v>
      </c>
      <c r="O398" s="13" t="s">
        <v>1058</v>
      </c>
      <c r="P398" s="13" t="s">
        <v>1724</v>
      </c>
      <c r="Q398" s="13" t="s">
        <v>1030</v>
      </c>
      <c r="R398" s="12">
        <v>0</v>
      </c>
      <c r="S398" s="12"/>
    </row>
    <row r="399" spans="14:19" x14ac:dyDescent="0.2">
      <c r="N399" s="5">
        <v>45992</v>
      </c>
      <c r="O399" s="13" t="s">
        <v>1058</v>
      </c>
      <c r="P399" s="13" t="s">
        <v>2080</v>
      </c>
      <c r="Q399" s="13" t="s">
        <v>1030</v>
      </c>
      <c r="R399" s="12">
        <v>0</v>
      </c>
      <c r="S399" s="12"/>
    </row>
    <row r="400" spans="14:19" x14ac:dyDescent="0.2">
      <c r="N400" s="5">
        <v>45992</v>
      </c>
      <c r="O400" s="13" t="s">
        <v>1058</v>
      </c>
      <c r="P400" s="13" t="s">
        <v>1849</v>
      </c>
      <c r="Q400" s="13" t="s">
        <v>1030</v>
      </c>
      <c r="R400" s="12">
        <v>73109.240000000005</v>
      </c>
      <c r="S400" s="12"/>
    </row>
    <row r="401" spans="14:19" x14ac:dyDescent="0.2">
      <c r="N401" s="5">
        <v>45992</v>
      </c>
      <c r="O401" s="13" t="s">
        <v>1058</v>
      </c>
      <c r="P401" s="13" t="s">
        <v>1828</v>
      </c>
      <c r="Q401" s="13" t="s">
        <v>1030</v>
      </c>
      <c r="R401" s="12">
        <v>0</v>
      </c>
      <c r="S401" s="12"/>
    </row>
    <row r="402" spans="14:19" x14ac:dyDescent="0.2">
      <c r="N402" s="5">
        <v>45992</v>
      </c>
      <c r="O402" s="13" t="s">
        <v>1058</v>
      </c>
      <c r="P402" s="13" t="s">
        <v>1769</v>
      </c>
      <c r="Q402" s="13" t="s">
        <v>1030</v>
      </c>
      <c r="R402" s="12">
        <v>0</v>
      </c>
      <c r="S402" s="12"/>
    </row>
    <row r="403" spans="14:19" x14ac:dyDescent="0.2">
      <c r="N403" s="5">
        <v>45992</v>
      </c>
      <c r="O403" s="13" t="s">
        <v>1058</v>
      </c>
      <c r="P403" s="13" t="s">
        <v>1697</v>
      </c>
      <c r="Q403" s="13" t="s">
        <v>1030</v>
      </c>
      <c r="R403" s="12">
        <v>0</v>
      </c>
      <c r="S403" s="12"/>
    </row>
    <row r="404" spans="14:19" x14ac:dyDescent="0.2">
      <c r="N404" s="5">
        <v>45992</v>
      </c>
      <c r="O404" s="13" t="s">
        <v>1058</v>
      </c>
      <c r="P404" s="13" t="s">
        <v>1715</v>
      </c>
      <c r="Q404" s="13" t="s">
        <v>1030</v>
      </c>
      <c r="R404" s="12">
        <v>0</v>
      </c>
      <c r="S404" s="12"/>
    </row>
    <row r="405" spans="14:19" x14ac:dyDescent="0.2">
      <c r="N405" s="5">
        <v>45992</v>
      </c>
      <c r="O405" s="13" t="s">
        <v>1058</v>
      </c>
      <c r="P405" s="13" t="s">
        <v>1848</v>
      </c>
      <c r="Q405" s="13" t="s">
        <v>1030</v>
      </c>
      <c r="R405" s="12">
        <v>172689.07</v>
      </c>
      <c r="S405" s="12"/>
    </row>
    <row r="406" spans="14:19" x14ac:dyDescent="0.2">
      <c r="N406" s="5">
        <v>45992</v>
      </c>
      <c r="O406" s="13" t="s">
        <v>1058</v>
      </c>
      <c r="P406" s="13" t="s">
        <v>1702</v>
      </c>
      <c r="Q406" s="13" t="s">
        <v>1030</v>
      </c>
      <c r="R406" s="12">
        <v>0</v>
      </c>
      <c r="S406" s="12"/>
    </row>
    <row r="407" spans="14:19" x14ac:dyDescent="0.2">
      <c r="N407" s="5">
        <v>45992</v>
      </c>
      <c r="O407" s="13" t="s">
        <v>1058</v>
      </c>
      <c r="P407" s="13" t="s">
        <v>1705</v>
      </c>
      <c r="Q407" s="13" t="s">
        <v>1030</v>
      </c>
      <c r="R407" s="12">
        <v>0</v>
      </c>
      <c r="S407" s="12"/>
    </row>
    <row r="408" spans="14:19" x14ac:dyDescent="0.2">
      <c r="N408" s="5">
        <v>45992</v>
      </c>
      <c r="O408" s="13" t="s">
        <v>1058</v>
      </c>
      <c r="P408" s="13" t="s">
        <v>1853</v>
      </c>
      <c r="Q408" s="13" t="s">
        <v>1030</v>
      </c>
      <c r="R408" s="12">
        <v>52941.18</v>
      </c>
      <c r="S408" s="12"/>
    </row>
    <row r="409" spans="14:19" x14ac:dyDescent="0.2">
      <c r="N409" s="5">
        <v>45992</v>
      </c>
      <c r="O409" s="13" t="s">
        <v>1058</v>
      </c>
      <c r="P409" s="13" t="s">
        <v>1822</v>
      </c>
      <c r="Q409" s="13" t="s">
        <v>1030</v>
      </c>
      <c r="R409" s="12">
        <v>0</v>
      </c>
      <c r="S409" s="12"/>
    </row>
    <row r="410" spans="14:19" x14ac:dyDescent="0.2">
      <c r="N410" s="5">
        <v>45992</v>
      </c>
      <c r="O410" s="13" t="s">
        <v>1058</v>
      </c>
      <c r="P410" s="13" t="s">
        <v>1733</v>
      </c>
      <c r="Q410" s="13" t="s">
        <v>1030</v>
      </c>
      <c r="R410" s="12">
        <v>0</v>
      </c>
      <c r="S410" s="12"/>
    </row>
    <row r="411" spans="14:19" x14ac:dyDescent="0.2">
      <c r="N411" s="5">
        <v>45992</v>
      </c>
      <c r="O411" s="13" t="s">
        <v>1058</v>
      </c>
      <c r="P411" s="13" t="s">
        <v>1725</v>
      </c>
      <c r="Q411" s="13" t="s">
        <v>1030</v>
      </c>
      <c r="R411" s="12">
        <v>0</v>
      </c>
      <c r="S411" s="12"/>
    </row>
    <row r="412" spans="14:19" x14ac:dyDescent="0.2">
      <c r="N412" s="5">
        <v>45992</v>
      </c>
      <c r="O412" s="13" t="s">
        <v>1058</v>
      </c>
      <c r="P412" s="13" t="s">
        <v>1740</v>
      </c>
      <c r="Q412" s="13" t="s">
        <v>1030</v>
      </c>
      <c r="R412" s="12">
        <v>0</v>
      </c>
      <c r="S412" s="12"/>
    </row>
    <row r="413" spans="14:19" x14ac:dyDescent="0.2">
      <c r="N413" s="5">
        <v>45992</v>
      </c>
      <c r="O413" s="13" t="s">
        <v>1058</v>
      </c>
      <c r="P413" s="13" t="s">
        <v>1731</v>
      </c>
      <c r="Q413" s="13" t="s">
        <v>1030</v>
      </c>
      <c r="R413" s="12">
        <v>0</v>
      </c>
      <c r="S413" s="12"/>
    </row>
    <row r="414" spans="14:19" x14ac:dyDescent="0.2">
      <c r="N414" s="5">
        <v>45992</v>
      </c>
      <c r="O414" s="13" t="s">
        <v>1058</v>
      </c>
      <c r="P414" s="13" t="s">
        <v>1722</v>
      </c>
      <c r="Q414" s="13" t="s">
        <v>1030</v>
      </c>
      <c r="R414" s="12">
        <v>0</v>
      </c>
      <c r="S414" s="12"/>
    </row>
    <row r="415" spans="14:19" x14ac:dyDescent="0.2">
      <c r="N415" s="5">
        <v>45992</v>
      </c>
      <c r="O415" s="13" t="s">
        <v>1058</v>
      </c>
      <c r="P415" s="13" t="s">
        <v>1162</v>
      </c>
      <c r="Q415" s="13" t="s">
        <v>1030</v>
      </c>
      <c r="R415" s="12">
        <v>0</v>
      </c>
      <c r="S415" s="12"/>
    </row>
    <row r="416" spans="14:19" x14ac:dyDescent="0.2">
      <c r="N416" s="5">
        <v>45992</v>
      </c>
      <c r="O416" s="13" t="s">
        <v>1058</v>
      </c>
      <c r="P416" s="13" t="s">
        <v>1714</v>
      </c>
      <c r="Q416" s="13" t="s">
        <v>1030</v>
      </c>
      <c r="R416" s="12">
        <v>0</v>
      </c>
      <c r="S416" s="12"/>
    </row>
    <row r="417" spans="14:19" x14ac:dyDescent="0.2">
      <c r="N417" s="5">
        <v>45992</v>
      </c>
      <c r="O417" s="13" t="s">
        <v>1058</v>
      </c>
      <c r="P417" s="13" t="s">
        <v>1770</v>
      </c>
      <c r="Q417" s="13" t="s">
        <v>1030</v>
      </c>
      <c r="R417" s="12">
        <v>0</v>
      </c>
      <c r="S417" s="12"/>
    </row>
    <row r="418" spans="14:19" x14ac:dyDescent="0.2">
      <c r="N418" s="5">
        <v>45992</v>
      </c>
      <c r="O418" s="13" t="s">
        <v>1058</v>
      </c>
      <c r="P418" s="13" t="s">
        <v>1800</v>
      </c>
      <c r="Q418" s="13" t="s">
        <v>1030</v>
      </c>
      <c r="R418" s="12">
        <v>0</v>
      </c>
      <c r="S418" s="12"/>
    </row>
    <row r="419" spans="14:19" x14ac:dyDescent="0.2">
      <c r="N419" s="5">
        <v>45992</v>
      </c>
      <c r="O419" s="13" t="s">
        <v>1058</v>
      </c>
      <c r="P419" s="13" t="s">
        <v>1744</v>
      </c>
      <c r="Q419" s="13" t="s">
        <v>1030</v>
      </c>
      <c r="R419" s="12">
        <v>0</v>
      </c>
      <c r="S419" s="12"/>
    </row>
    <row r="420" spans="14:19" x14ac:dyDescent="0.2">
      <c r="N420" s="5">
        <v>45992</v>
      </c>
      <c r="O420" s="13" t="s">
        <v>1058</v>
      </c>
      <c r="P420" s="13" t="s">
        <v>1713</v>
      </c>
      <c r="Q420" s="13" t="s">
        <v>1030</v>
      </c>
      <c r="R420" s="12">
        <v>0</v>
      </c>
      <c r="S420" s="12"/>
    </row>
    <row r="421" spans="14:19" x14ac:dyDescent="0.2">
      <c r="N421" s="5">
        <v>45992</v>
      </c>
      <c r="O421" s="13" t="s">
        <v>1058</v>
      </c>
      <c r="P421" s="13" t="s">
        <v>1801</v>
      </c>
      <c r="Q421" s="13" t="s">
        <v>1030</v>
      </c>
      <c r="R421" s="12">
        <v>0</v>
      </c>
      <c r="S421" s="12"/>
    </row>
    <row r="422" spans="14:19" x14ac:dyDescent="0.2">
      <c r="N422" s="5">
        <v>45992</v>
      </c>
      <c r="O422" s="13" t="s">
        <v>1058</v>
      </c>
      <c r="P422" s="13" t="s">
        <v>1711</v>
      </c>
      <c r="Q422" s="13" t="s">
        <v>1030</v>
      </c>
      <c r="R422" s="12">
        <v>0</v>
      </c>
      <c r="S422" s="12"/>
    </row>
    <row r="423" spans="14:19" x14ac:dyDescent="0.2">
      <c r="N423" s="5">
        <v>45992</v>
      </c>
      <c r="O423" s="13" t="s">
        <v>1058</v>
      </c>
      <c r="P423" s="13" t="s">
        <v>1829</v>
      </c>
      <c r="Q423" s="13" t="s">
        <v>1030</v>
      </c>
      <c r="R423" s="12">
        <v>0</v>
      </c>
      <c r="S423" s="12"/>
    </row>
    <row r="424" spans="14:19" x14ac:dyDescent="0.2">
      <c r="N424" s="5">
        <v>45992</v>
      </c>
      <c r="O424" s="13" t="s">
        <v>1058</v>
      </c>
      <c r="P424" s="13" t="s">
        <v>1830</v>
      </c>
      <c r="Q424" s="13" t="s">
        <v>1030</v>
      </c>
      <c r="R424" s="12">
        <v>0</v>
      </c>
      <c r="S424" s="12"/>
    </row>
    <row r="425" spans="14:19" x14ac:dyDescent="0.2">
      <c r="N425" s="5">
        <v>45992</v>
      </c>
      <c r="O425" s="13" t="s">
        <v>1058</v>
      </c>
      <c r="P425" s="13" t="s">
        <v>1706</v>
      </c>
      <c r="Q425" s="13" t="s">
        <v>1030</v>
      </c>
      <c r="R425" s="12">
        <v>0</v>
      </c>
      <c r="S425" s="12"/>
    </row>
    <row r="426" spans="14:19" x14ac:dyDescent="0.2">
      <c r="N426" s="5">
        <v>45992</v>
      </c>
      <c r="O426" s="13" t="s">
        <v>1058</v>
      </c>
      <c r="P426" s="13" t="s">
        <v>1773</v>
      </c>
      <c r="Q426" s="13" t="s">
        <v>1030</v>
      </c>
      <c r="R426" s="12">
        <v>0</v>
      </c>
      <c r="S426" s="12"/>
    </row>
    <row r="427" spans="14:19" x14ac:dyDescent="0.2">
      <c r="N427" s="5">
        <v>45992</v>
      </c>
      <c r="O427" s="13" t="s">
        <v>1058</v>
      </c>
      <c r="P427" s="13" t="s">
        <v>1749</v>
      </c>
      <c r="Q427" s="13" t="s">
        <v>1030</v>
      </c>
      <c r="R427" s="12">
        <v>0</v>
      </c>
      <c r="S427" s="12"/>
    </row>
    <row r="428" spans="14:19" x14ac:dyDescent="0.2">
      <c r="N428" s="5">
        <v>45992</v>
      </c>
      <c r="O428" s="13" t="s">
        <v>1058</v>
      </c>
      <c r="P428" s="13" t="s">
        <v>1694</v>
      </c>
      <c r="Q428" s="13" t="s">
        <v>1030</v>
      </c>
      <c r="R428" s="12">
        <v>0</v>
      </c>
      <c r="S428" s="12"/>
    </row>
    <row r="429" spans="14:19" x14ac:dyDescent="0.2">
      <c r="N429" s="5">
        <v>45992</v>
      </c>
      <c r="O429" s="13" t="s">
        <v>1058</v>
      </c>
      <c r="P429" s="13" t="s">
        <v>1743</v>
      </c>
      <c r="Q429" s="13" t="s">
        <v>1030</v>
      </c>
      <c r="R429" s="12">
        <v>0</v>
      </c>
      <c r="S429" s="12"/>
    </row>
    <row r="430" spans="14:19" x14ac:dyDescent="0.2">
      <c r="N430" s="5">
        <v>45992</v>
      </c>
      <c r="O430" s="13" t="s">
        <v>1058</v>
      </c>
      <c r="P430" s="13" t="s">
        <v>1818</v>
      </c>
      <c r="Q430" s="13" t="s">
        <v>1030</v>
      </c>
      <c r="R430" s="12">
        <v>0</v>
      </c>
      <c r="S430" s="12"/>
    </row>
    <row r="431" spans="14:19" x14ac:dyDescent="0.2">
      <c r="N431" s="5">
        <v>45992</v>
      </c>
      <c r="O431" s="13" t="s">
        <v>1058</v>
      </c>
      <c r="P431" s="13" t="s">
        <v>1832</v>
      </c>
      <c r="Q431" s="13" t="s">
        <v>1030</v>
      </c>
      <c r="R431" s="12">
        <v>0</v>
      </c>
      <c r="S431" s="12"/>
    </row>
    <row r="432" spans="14:19" x14ac:dyDescent="0.2">
      <c r="N432" s="5">
        <v>45992</v>
      </c>
      <c r="O432" s="13" t="s">
        <v>1058</v>
      </c>
      <c r="P432" s="13" t="s">
        <v>1786</v>
      </c>
      <c r="Q432" s="13" t="s">
        <v>1030</v>
      </c>
      <c r="R432" s="12">
        <v>0</v>
      </c>
      <c r="S432" s="12"/>
    </row>
    <row r="433" spans="14:19" x14ac:dyDescent="0.2">
      <c r="N433" s="5">
        <v>45992</v>
      </c>
      <c r="O433" s="13" t="s">
        <v>1058</v>
      </c>
      <c r="P433" s="13" t="s">
        <v>1819</v>
      </c>
      <c r="Q433" s="13" t="s">
        <v>1030</v>
      </c>
      <c r="R433" s="12">
        <v>0</v>
      </c>
      <c r="S433" s="12"/>
    </row>
    <row r="434" spans="14:19" x14ac:dyDescent="0.2">
      <c r="N434" s="5">
        <v>45992</v>
      </c>
      <c r="O434" s="13" t="s">
        <v>1058</v>
      </c>
      <c r="P434" s="13" t="s">
        <v>1692</v>
      </c>
      <c r="Q434" s="13" t="s">
        <v>1030</v>
      </c>
      <c r="R434" s="12">
        <v>0</v>
      </c>
      <c r="S434" s="12"/>
    </row>
    <row r="435" spans="14:19" x14ac:dyDescent="0.2">
      <c r="N435" s="5">
        <v>45992</v>
      </c>
      <c r="O435" s="13" t="s">
        <v>1058</v>
      </c>
      <c r="P435" s="13" t="s">
        <v>1704</v>
      </c>
      <c r="Q435" s="13" t="s">
        <v>1030</v>
      </c>
      <c r="R435" s="12">
        <v>0</v>
      </c>
      <c r="S435" s="12"/>
    </row>
    <row r="436" spans="14:19" x14ac:dyDescent="0.2">
      <c r="N436" s="5">
        <v>45992</v>
      </c>
      <c r="O436" s="13" t="s">
        <v>1058</v>
      </c>
      <c r="P436" s="13" t="s">
        <v>1820</v>
      </c>
      <c r="Q436" s="13" t="s">
        <v>1030</v>
      </c>
      <c r="R436" s="12">
        <v>0</v>
      </c>
      <c r="S436" s="12"/>
    </row>
    <row r="437" spans="14:19" x14ac:dyDescent="0.2">
      <c r="N437" s="5">
        <v>45992</v>
      </c>
      <c r="O437" s="13" t="s">
        <v>1058</v>
      </c>
      <c r="P437" s="13" t="s">
        <v>1741</v>
      </c>
      <c r="Q437" s="13" t="s">
        <v>1030</v>
      </c>
      <c r="R437" s="12">
        <v>0</v>
      </c>
      <c r="S437" s="12"/>
    </row>
    <row r="438" spans="14:19" x14ac:dyDescent="0.2">
      <c r="N438" s="5">
        <v>45992</v>
      </c>
      <c r="O438" s="13" t="s">
        <v>1058</v>
      </c>
      <c r="P438" s="13" t="s">
        <v>1765</v>
      </c>
      <c r="Q438" s="13" t="s">
        <v>1030</v>
      </c>
      <c r="R438" s="12">
        <v>0</v>
      </c>
      <c r="S438" s="12"/>
    </row>
    <row r="439" spans="14:19" x14ac:dyDescent="0.2">
      <c r="N439" s="5">
        <v>45992</v>
      </c>
      <c r="O439" s="13" t="s">
        <v>1058</v>
      </c>
      <c r="P439" s="13" t="s">
        <v>1698</v>
      </c>
      <c r="Q439" s="13" t="s">
        <v>1030</v>
      </c>
      <c r="R439" s="12">
        <v>0</v>
      </c>
      <c r="S439" s="12"/>
    </row>
    <row r="440" spans="14:19" x14ac:dyDescent="0.2">
      <c r="N440" s="5">
        <v>45992</v>
      </c>
      <c r="O440" s="13" t="s">
        <v>1058</v>
      </c>
      <c r="P440" s="13" t="s">
        <v>1763</v>
      </c>
      <c r="Q440" s="13" t="s">
        <v>1030</v>
      </c>
      <c r="R440" s="12">
        <v>0</v>
      </c>
      <c r="S440" s="12"/>
    </row>
    <row r="441" spans="14:19" x14ac:dyDescent="0.2">
      <c r="N441" s="5">
        <v>45992</v>
      </c>
      <c r="O441" s="13" t="s">
        <v>1058</v>
      </c>
      <c r="P441" s="13" t="s">
        <v>1785</v>
      </c>
      <c r="Q441" s="13" t="s">
        <v>1030</v>
      </c>
      <c r="R441" s="12">
        <v>0</v>
      </c>
      <c r="S441" s="12"/>
    </row>
    <row r="442" spans="14:19" x14ac:dyDescent="0.2">
      <c r="N442" s="5">
        <v>45992</v>
      </c>
      <c r="O442" s="13" t="s">
        <v>1058</v>
      </c>
      <c r="P442" s="13" t="s">
        <v>1197</v>
      </c>
      <c r="Q442" s="13" t="s">
        <v>1030</v>
      </c>
      <c r="R442" s="12">
        <v>0</v>
      </c>
      <c r="S442" s="12"/>
    </row>
    <row r="443" spans="14:19" x14ac:dyDescent="0.2">
      <c r="N443" s="5">
        <v>45992</v>
      </c>
      <c r="O443" s="13" t="s">
        <v>1058</v>
      </c>
      <c r="P443" s="13" t="s">
        <v>1783</v>
      </c>
      <c r="Q443" s="13" t="s">
        <v>1030</v>
      </c>
      <c r="R443" s="12">
        <v>0</v>
      </c>
      <c r="S443" s="12"/>
    </row>
    <row r="444" spans="14:19" x14ac:dyDescent="0.2">
      <c r="N444" s="5">
        <v>45992</v>
      </c>
      <c r="O444" s="13" t="s">
        <v>1058</v>
      </c>
      <c r="P444" s="13" t="s">
        <v>1799</v>
      </c>
      <c r="Q444" s="13" t="s">
        <v>1030</v>
      </c>
      <c r="R444" s="12">
        <v>0</v>
      </c>
      <c r="S444" s="12"/>
    </row>
    <row r="445" spans="14:19" x14ac:dyDescent="0.2">
      <c r="N445" s="5">
        <v>45992</v>
      </c>
      <c r="O445" s="13" t="s">
        <v>1058</v>
      </c>
      <c r="P445" s="13" t="s">
        <v>1817</v>
      </c>
      <c r="Q445" s="13" t="s">
        <v>1030</v>
      </c>
      <c r="R445" s="12">
        <v>0</v>
      </c>
      <c r="S445" s="12"/>
    </row>
    <row r="446" spans="14:19" x14ac:dyDescent="0.2">
      <c r="N446" s="5">
        <v>45992</v>
      </c>
      <c r="O446" s="13" t="s">
        <v>1058</v>
      </c>
      <c r="P446" s="13" t="s">
        <v>1732</v>
      </c>
      <c r="Q446" s="13" t="s">
        <v>1030</v>
      </c>
      <c r="R446" s="12">
        <v>0</v>
      </c>
      <c r="S446" s="12"/>
    </row>
    <row r="447" spans="14:19" x14ac:dyDescent="0.2">
      <c r="N447" s="5">
        <v>45992</v>
      </c>
      <c r="O447" s="13" t="s">
        <v>1058</v>
      </c>
      <c r="P447" s="13" t="s">
        <v>1721</v>
      </c>
      <c r="Q447" s="13" t="s">
        <v>1030</v>
      </c>
      <c r="R447" s="12">
        <v>0</v>
      </c>
      <c r="S447" s="12"/>
    </row>
    <row r="448" spans="14:19" x14ac:dyDescent="0.2">
      <c r="N448" s="5">
        <v>45992</v>
      </c>
      <c r="O448" s="13" t="s">
        <v>1058</v>
      </c>
      <c r="P448" s="13" t="s">
        <v>1710</v>
      </c>
      <c r="Q448" s="13" t="s">
        <v>1030</v>
      </c>
      <c r="R448" s="12">
        <v>0</v>
      </c>
      <c r="S448" s="12"/>
    </row>
    <row r="449" spans="14:19" x14ac:dyDescent="0.2">
      <c r="N449" s="5">
        <v>45992</v>
      </c>
      <c r="O449" s="13" t="s">
        <v>1058</v>
      </c>
      <c r="P449" s="13" t="s">
        <v>1855</v>
      </c>
      <c r="Q449" s="13" t="s">
        <v>1030</v>
      </c>
      <c r="R449" s="12">
        <v>67647.06</v>
      </c>
      <c r="S449" s="12"/>
    </row>
    <row r="450" spans="14:19" x14ac:dyDescent="0.2">
      <c r="N450" s="5">
        <v>45992</v>
      </c>
      <c r="O450" s="13" t="s">
        <v>1058</v>
      </c>
      <c r="P450" s="13" t="s">
        <v>1850</v>
      </c>
      <c r="Q450" s="13" t="s">
        <v>1030</v>
      </c>
      <c r="R450" s="12">
        <v>26050.44</v>
      </c>
      <c r="S450" s="12"/>
    </row>
    <row r="451" spans="14:19" x14ac:dyDescent="0.2">
      <c r="N451" s="5">
        <v>45992</v>
      </c>
      <c r="O451" s="13" t="s">
        <v>1058</v>
      </c>
      <c r="P451" s="13" t="s">
        <v>1774</v>
      </c>
      <c r="Q451" s="13" t="s">
        <v>1030</v>
      </c>
      <c r="R451" s="12">
        <v>0</v>
      </c>
      <c r="S451" s="12"/>
    </row>
    <row r="452" spans="14:19" x14ac:dyDescent="0.2">
      <c r="N452" s="5">
        <v>45992</v>
      </c>
      <c r="O452" s="13" t="s">
        <v>1058</v>
      </c>
      <c r="P452" s="13" t="s">
        <v>1745</v>
      </c>
      <c r="Q452" s="13" t="s">
        <v>1030</v>
      </c>
      <c r="R452" s="12">
        <v>0</v>
      </c>
      <c r="S452" s="12"/>
    </row>
    <row r="453" spans="14:19" x14ac:dyDescent="0.2">
      <c r="N453" s="5">
        <v>45992</v>
      </c>
      <c r="O453" s="13" t="s">
        <v>1058</v>
      </c>
      <c r="P453" s="13" t="s">
        <v>1862</v>
      </c>
      <c r="Q453" s="13" t="s">
        <v>1030</v>
      </c>
      <c r="R453" s="12">
        <v>37815.120000000003</v>
      </c>
      <c r="S453" s="12"/>
    </row>
    <row r="454" spans="14:19" x14ac:dyDescent="0.2">
      <c r="N454" s="5">
        <v>45992</v>
      </c>
      <c r="O454" s="13" t="s">
        <v>1058</v>
      </c>
      <c r="P454" s="13" t="s">
        <v>1802</v>
      </c>
      <c r="Q454" s="13" t="s">
        <v>1030</v>
      </c>
      <c r="R454" s="12">
        <v>0</v>
      </c>
      <c r="S454" s="12"/>
    </row>
    <row r="455" spans="14:19" x14ac:dyDescent="0.2">
      <c r="N455" s="5">
        <v>45992</v>
      </c>
      <c r="O455" s="13" t="s">
        <v>1058</v>
      </c>
      <c r="P455" s="13" t="s">
        <v>1854</v>
      </c>
      <c r="Q455" s="13" t="s">
        <v>1030</v>
      </c>
      <c r="R455" s="12">
        <v>176470.6</v>
      </c>
      <c r="S455" s="12"/>
    </row>
    <row r="456" spans="14:19" x14ac:dyDescent="0.2">
      <c r="N456" s="5">
        <v>45992</v>
      </c>
      <c r="O456" s="13" t="s">
        <v>1058</v>
      </c>
      <c r="P456" s="13" t="s">
        <v>1701</v>
      </c>
      <c r="Q456" s="13" t="s">
        <v>1030</v>
      </c>
      <c r="R456" s="12">
        <v>0</v>
      </c>
      <c r="S456" s="12"/>
    </row>
    <row r="457" spans="14:19" x14ac:dyDescent="0.2">
      <c r="N457" s="5">
        <v>45992</v>
      </c>
      <c r="O457" s="13" t="s">
        <v>1058</v>
      </c>
      <c r="P457" s="13" t="s">
        <v>1738</v>
      </c>
      <c r="Q457" s="13" t="s">
        <v>1030</v>
      </c>
      <c r="R457" s="12">
        <v>0</v>
      </c>
      <c r="S457" s="12"/>
    </row>
    <row r="458" spans="14:19" x14ac:dyDescent="0.2">
      <c r="N458" s="5">
        <v>45992</v>
      </c>
      <c r="O458" s="13" t="s">
        <v>1058</v>
      </c>
      <c r="P458" s="13" t="s">
        <v>1734</v>
      </c>
      <c r="Q458" s="13" t="s">
        <v>1030</v>
      </c>
      <c r="R458" s="12">
        <v>0</v>
      </c>
      <c r="S458" s="12"/>
    </row>
    <row r="459" spans="14:19" x14ac:dyDescent="0.2">
      <c r="N459" s="5">
        <v>45992</v>
      </c>
      <c r="O459" s="13" t="s">
        <v>1058</v>
      </c>
      <c r="P459" s="13" t="s">
        <v>1729</v>
      </c>
      <c r="Q459" s="13" t="s">
        <v>1030</v>
      </c>
      <c r="R459" s="12">
        <v>0</v>
      </c>
      <c r="S459" s="12"/>
    </row>
    <row r="460" spans="14:19" x14ac:dyDescent="0.2">
      <c r="N460" s="5">
        <v>45992</v>
      </c>
      <c r="O460" s="13" t="s">
        <v>1058</v>
      </c>
      <c r="P460" s="13" t="s">
        <v>1771</v>
      </c>
      <c r="Q460" s="13" t="s">
        <v>1030</v>
      </c>
      <c r="R460" s="12">
        <v>0</v>
      </c>
      <c r="S460" s="12"/>
    </row>
    <row r="461" spans="14:19" x14ac:dyDescent="0.2">
      <c r="N461" s="5">
        <v>45992</v>
      </c>
      <c r="O461" s="13" t="s">
        <v>1058</v>
      </c>
      <c r="P461" s="13" t="s">
        <v>1742</v>
      </c>
      <c r="Q461" s="13" t="s">
        <v>1030</v>
      </c>
      <c r="R461" s="12">
        <v>0</v>
      </c>
      <c r="S461" s="12"/>
    </row>
    <row r="462" spans="14:19" x14ac:dyDescent="0.2">
      <c r="N462" s="5">
        <v>45992</v>
      </c>
      <c r="O462" s="13" t="s">
        <v>1058</v>
      </c>
      <c r="P462" s="13" t="s">
        <v>1847</v>
      </c>
      <c r="Q462" s="13" t="s">
        <v>1030</v>
      </c>
      <c r="R462" s="12">
        <v>129831.94</v>
      </c>
      <c r="S462" s="12"/>
    </row>
    <row r="463" spans="14:19" x14ac:dyDescent="0.2">
      <c r="N463" s="5">
        <v>45992</v>
      </c>
      <c r="O463" s="13" t="s">
        <v>1058</v>
      </c>
      <c r="P463" s="13" t="s">
        <v>1723</v>
      </c>
      <c r="Q463" s="13" t="s">
        <v>1030</v>
      </c>
      <c r="R463" s="12">
        <v>0</v>
      </c>
      <c r="S463" s="12"/>
    </row>
    <row r="464" spans="14:19" x14ac:dyDescent="0.2">
      <c r="N464" s="5">
        <v>45992</v>
      </c>
      <c r="O464" s="13" t="s">
        <v>1058</v>
      </c>
      <c r="P464" s="13" t="s">
        <v>1695</v>
      </c>
      <c r="Q464" s="13" t="s">
        <v>1030</v>
      </c>
      <c r="R464" s="12">
        <v>0</v>
      </c>
      <c r="S464" s="12"/>
    </row>
    <row r="465" spans="14:19" x14ac:dyDescent="0.2">
      <c r="N465" s="5">
        <v>45992</v>
      </c>
      <c r="O465" s="13" t="s">
        <v>1058</v>
      </c>
      <c r="P465" s="13" t="s">
        <v>1864</v>
      </c>
      <c r="Q465" s="13" t="s">
        <v>1030</v>
      </c>
      <c r="R465" s="12">
        <v>284369.74</v>
      </c>
      <c r="S465" s="12"/>
    </row>
    <row r="466" spans="14:19" x14ac:dyDescent="0.2">
      <c r="N466" s="5">
        <v>45992</v>
      </c>
      <c r="O466" s="13" t="s">
        <v>1058</v>
      </c>
      <c r="P466" s="13" t="s">
        <v>1209</v>
      </c>
      <c r="Q466" s="13" t="s">
        <v>1030</v>
      </c>
      <c r="R466" s="12">
        <v>-15520038.25</v>
      </c>
      <c r="S466" s="12"/>
    </row>
    <row r="467" spans="14:19" x14ac:dyDescent="0.2">
      <c r="N467" s="5">
        <v>45992</v>
      </c>
      <c r="O467" s="13" t="s">
        <v>1058</v>
      </c>
      <c r="P467" s="13" t="s">
        <v>1863</v>
      </c>
      <c r="Q467" s="13" t="s">
        <v>1030</v>
      </c>
      <c r="R467" s="12">
        <v>80672.27</v>
      </c>
      <c r="S467" s="12"/>
    </row>
    <row r="468" spans="14:19" x14ac:dyDescent="0.2">
      <c r="N468" s="5">
        <v>45992</v>
      </c>
      <c r="O468" s="13" t="s">
        <v>1058</v>
      </c>
      <c r="P468" s="13" t="s">
        <v>1739</v>
      </c>
      <c r="Q468" s="13" t="s">
        <v>1030</v>
      </c>
      <c r="R468" s="12">
        <v>0</v>
      </c>
      <c r="S468" s="12"/>
    </row>
    <row r="469" spans="14:19" x14ac:dyDescent="0.2">
      <c r="N469" s="5">
        <v>45992</v>
      </c>
      <c r="O469" s="13" t="s">
        <v>1058</v>
      </c>
      <c r="P469" s="13" t="s">
        <v>1834</v>
      </c>
      <c r="Q469" s="13" t="s">
        <v>1030</v>
      </c>
      <c r="R469" s="12">
        <v>0</v>
      </c>
      <c r="S469" s="12"/>
    </row>
    <row r="470" spans="14:19" x14ac:dyDescent="0.2">
      <c r="N470" s="5">
        <v>45992</v>
      </c>
      <c r="O470" s="13" t="s">
        <v>1058</v>
      </c>
      <c r="P470" s="13" t="s">
        <v>1831</v>
      </c>
      <c r="Q470" s="13" t="s">
        <v>1030</v>
      </c>
      <c r="R470" s="12">
        <v>0</v>
      </c>
      <c r="S470" s="12"/>
    </row>
    <row r="471" spans="14:19" x14ac:dyDescent="0.2">
      <c r="N471" s="5">
        <v>45992</v>
      </c>
      <c r="O471" s="13" t="s">
        <v>1058</v>
      </c>
      <c r="P471" s="13" t="s">
        <v>1833</v>
      </c>
      <c r="Q471" s="13" t="s">
        <v>1030</v>
      </c>
      <c r="R471" s="12">
        <v>0</v>
      </c>
      <c r="S471" s="12"/>
    </row>
    <row r="472" spans="14:19" x14ac:dyDescent="0.2">
      <c r="N472" s="5">
        <v>45992</v>
      </c>
      <c r="O472" s="13" t="s">
        <v>1058</v>
      </c>
      <c r="P472" s="13" t="s">
        <v>1836</v>
      </c>
      <c r="Q472" s="13" t="s">
        <v>1030</v>
      </c>
      <c r="R472" s="12">
        <v>0</v>
      </c>
      <c r="S472" s="12"/>
    </row>
    <row r="473" spans="14:19" x14ac:dyDescent="0.2">
      <c r="N473" s="5">
        <v>45992</v>
      </c>
      <c r="O473" s="13" t="s">
        <v>1058</v>
      </c>
      <c r="P473" s="13" t="s">
        <v>1700</v>
      </c>
      <c r="Q473" s="13" t="s">
        <v>1030</v>
      </c>
      <c r="R473" s="12">
        <v>0</v>
      </c>
      <c r="S473" s="12"/>
    </row>
    <row r="474" spans="14:19" x14ac:dyDescent="0.2">
      <c r="N474" s="5">
        <v>45992</v>
      </c>
      <c r="O474" s="13" t="s">
        <v>1058</v>
      </c>
      <c r="P474" s="13" t="s">
        <v>1735</v>
      </c>
      <c r="Q474" s="13" t="s">
        <v>1030</v>
      </c>
      <c r="R474" s="12">
        <v>0</v>
      </c>
      <c r="S474" s="12"/>
    </row>
    <row r="475" spans="14:19" x14ac:dyDescent="0.2">
      <c r="N475" s="5">
        <v>45992</v>
      </c>
      <c r="O475" s="13" t="s">
        <v>1058</v>
      </c>
      <c r="P475" s="13" t="s">
        <v>1712</v>
      </c>
      <c r="Q475" s="13" t="s">
        <v>1030</v>
      </c>
      <c r="R475" s="12">
        <v>0</v>
      </c>
      <c r="S475" s="12"/>
    </row>
    <row r="476" spans="14:19" x14ac:dyDescent="0.2">
      <c r="N476" s="5">
        <v>45992</v>
      </c>
      <c r="O476" s="13" t="s">
        <v>1058</v>
      </c>
      <c r="P476" s="13" t="s">
        <v>1736</v>
      </c>
      <c r="Q476" s="13" t="s">
        <v>1030</v>
      </c>
      <c r="R476" s="12">
        <v>0</v>
      </c>
      <c r="S476" s="12"/>
    </row>
    <row r="477" spans="14:19" x14ac:dyDescent="0.2">
      <c r="N477" s="5">
        <v>45992</v>
      </c>
      <c r="O477" s="13" t="s">
        <v>1058</v>
      </c>
      <c r="P477" s="13" t="s">
        <v>1780</v>
      </c>
      <c r="Q477" s="13" t="s">
        <v>1030</v>
      </c>
      <c r="R477" s="12">
        <v>0</v>
      </c>
      <c r="S477" s="12"/>
    </row>
    <row r="478" spans="14:19" x14ac:dyDescent="0.2">
      <c r="N478" s="5">
        <v>45992</v>
      </c>
      <c r="O478" s="13" t="s">
        <v>1058</v>
      </c>
      <c r="P478" s="13" t="s">
        <v>1803</v>
      </c>
      <c r="Q478" s="13" t="s">
        <v>1030</v>
      </c>
      <c r="R478" s="12">
        <v>0</v>
      </c>
      <c r="S478" s="12"/>
    </row>
    <row r="479" spans="14:19" x14ac:dyDescent="0.2">
      <c r="N479" s="5">
        <v>45992</v>
      </c>
      <c r="O479" s="13" t="s">
        <v>1058</v>
      </c>
      <c r="P479" s="13" t="s">
        <v>1747</v>
      </c>
      <c r="Q479" s="13" t="s">
        <v>1030</v>
      </c>
      <c r="R479" s="12">
        <v>0</v>
      </c>
      <c r="S479" s="12"/>
    </row>
    <row r="480" spans="14:19" x14ac:dyDescent="0.2">
      <c r="N480" s="5">
        <v>45992</v>
      </c>
      <c r="O480" s="13" t="s">
        <v>1058</v>
      </c>
      <c r="P480" s="13" t="s">
        <v>1719</v>
      </c>
      <c r="Q480" s="13" t="s">
        <v>1030</v>
      </c>
      <c r="R480" s="12">
        <v>0</v>
      </c>
      <c r="S480" s="12"/>
    </row>
    <row r="481" spans="14:19" x14ac:dyDescent="0.2">
      <c r="N481" s="5">
        <v>45992</v>
      </c>
      <c r="O481" s="13" t="s">
        <v>1058</v>
      </c>
      <c r="P481" s="13" t="s">
        <v>1730</v>
      </c>
      <c r="Q481" s="13" t="s">
        <v>1030</v>
      </c>
      <c r="R481" s="12">
        <v>0</v>
      </c>
      <c r="S481" s="12"/>
    </row>
    <row r="482" spans="14:19" x14ac:dyDescent="0.2">
      <c r="N482" s="5">
        <v>45992</v>
      </c>
      <c r="O482" s="13" t="s">
        <v>1058</v>
      </c>
      <c r="P482" s="13" t="s">
        <v>1691</v>
      </c>
      <c r="Q482" s="13" t="s">
        <v>1030</v>
      </c>
      <c r="R482" s="12">
        <v>0</v>
      </c>
      <c r="S482" s="12"/>
    </row>
    <row r="483" spans="14:19" x14ac:dyDescent="0.2">
      <c r="N483" s="5">
        <v>45992</v>
      </c>
      <c r="O483" s="13" t="s">
        <v>1058</v>
      </c>
      <c r="P483" s="13" t="s">
        <v>1728</v>
      </c>
      <c r="Q483" s="13" t="s">
        <v>1030</v>
      </c>
      <c r="R483" s="12">
        <v>0</v>
      </c>
      <c r="S483" s="12"/>
    </row>
    <row r="484" spans="14:19" x14ac:dyDescent="0.2">
      <c r="N484" s="5">
        <v>45992</v>
      </c>
      <c r="O484" s="13" t="s">
        <v>1058</v>
      </c>
      <c r="P484" s="13" t="s">
        <v>1717</v>
      </c>
      <c r="Q484" s="13" t="s">
        <v>1030</v>
      </c>
      <c r="R484" s="12">
        <v>0</v>
      </c>
      <c r="S484" s="12"/>
    </row>
    <row r="485" spans="14:19" x14ac:dyDescent="0.2">
      <c r="N485" s="5">
        <v>45992</v>
      </c>
      <c r="O485" s="13" t="s">
        <v>1058</v>
      </c>
      <c r="P485" s="13" t="s">
        <v>1859</v>
      </c>
      <c r="Q485" s="13" t="s">
        <v>1030</v>
      </c>
      <c r="R485" s="12">
        <v>8403.36</v>
      </c>
      <c r="S485" s="12"/>
    </row>
    <row r="486" spans="14:19" x14ac:dyDescent="0.2">
      <c r="N486" s="5">
        <v>45992</v>
      </c>
      <c r="O486" s="13" t="s">
        <v>1058</v>
      </c>
      <c r="P486" s="13" t="s">
        <v>1696</v>
      </c>
      <c r="Q486" s="13" t="s">
        <v>1030</v>
      </c>
      <c r="R486" s="12">
        <v>0</v>
      </c>
      <c r="S486" s="12"/>
    </row>
    <row r="487" spans="14:19" x14ac:dyDescent="0.2">
      <c r="N487" s="5">
        <v>45992</v>
      </c>
      <c r="O487" s="13" t="s">
        <v>1058</v>
      </c>
      <c r="P487" s="13" t="s">
        <v>1764</v>
      </c>
      <c r="Q487" s="13" t="s">
        <v>1030</v>
      </c>
      <c r="R487" s="12">
        <v>0</v>
      </c>
      <c r="S487" s="12"/>
    </row>
    <row r="488" spans="14:19" x14ac:dyDescent="0.2">
      <c r="N488" s="5">
        <v>45992</v>
      </c>
      <c r="O488" s="13" t="s">
        <v>1058</v>
      </c>
      <c r="P488" s="13" t="s">
        <v>1781</v>
      </c>
      <c r="Q488" s="13" t="s">
        <v>1030</v>
      </c>
      <c r="R488" s="12">
        <v>0</v>
      </c>
      <c r="S488" s="12"/>
    </row>
    <row r="489" spans="14:19" x14ac:dyDescent="0.2">
      <c r="N489" s="5">
        <v>45992</v>
      </c>
      <c r="O489" s="13" t="s">
        <v>1058</v>
      </c>
      <c r="P489" s="13" t="s">
        <v>1860</v>
      </c>
      <c r="Q489" s="13" t="s">
        <v>1030</v>
      </c>
      <c r="R489" s="12">
        <v>25630.25</v>
      </c>
      <c r="S489" s="12"/>
    </row>
    <row r="490" spans="14:19" x14ac:dyDescent="0.2">
      <c r="N490" s="5">
        <v>45992</v>
      </c>
      <c r="O490" s="13" t="s">
        <v>1058</v>
      </c>
      <c r="P490" s="13" t="s">
        <v>1858</v>
      </c>
      <c r="Q490" s="13" t="s">
        <v>1030</v>
      </c>
      <c r="R490" s="12">
        <v>352310.93</v>
      </c>
      <c r="S490" s="12"/>
    </row>
    <row r="491" spans="14:19" x14ac:dyDescent="0.2">
      <c r="N491" s="5">
        <v>45992</v>
      </c>
      <c r="O491" s="13" t="s">
        <v>1058</v>
      </c>
      <c r="P491" s="13" t="s">
        <v>1805</v>
      </c>
      <c r="Q491" s="13" t="s">
        <v>1030</v>
      </c>
      <c r="R491" s="12">
        <v>0</v>
      </c>
      <c r="S491" s="12"/>
    </row>
    <row r="492" spans="14:19" x14ac:dyDescent="0.2">
      <c r="N492" s="5">
        <v>45992</v>
      </c>
      <c r="O492" s="13" t="s">
        <v>1058</v>
      </c>
      <c r="P492" s="13" t="s">
        <v>1806</v>
      </c>
      <c r="Q492" s="13" t="s">
        <v>1030</v>
      </c>
      <c r="R492" s="12">
        <v>0</v>
      </c>
      <c r="S492" s="12"/>
    </row>
    <row r="493" spans="14:19" x14ac:dyDescent="0.2">
      <c r="N493" s="5">
        <v>45992</v>
      </c>
      <c r="O493" s="13" t="s">
        <v>1058</v>
      </c>
      <c r="P493" s="13" t="s">
        <v>1726</v>
      </c>
      <c r="Q493" s="13" t="s">
        <v>1030</v>
      </c>
      <c r="R493" s="12">
        <v>0</v>
      </c>
      <c r="S493" s="12"/>
    </row>
    <row r="494" spans="14:19" x14ac:dyDescent="0.2">
      <c r="N494" s="5">
        <v>45992</v>
      </c>
      <c r="O494" s="13" t="s">
        <v>1058</v>
      </c>
      <c r="P494" s="13" t="s">
        <v>1824</v>
      </c>
      <c r="Q494" s="13" t="s">
        <v>1030</v>
      </c>
      <c r="R494" s="12">
        <v>0</v>
      </c>
      <c r="S494" s="12"/>
    </row>
    <row r="495" spans="14:19" x14ac:dyDescent="0.2">
      <c r="N495" s="5">
        <v>45992</v>
      </c>
      <c r="O495" s="13" t="s">
        <v>1058</v>
      </c>
      <c r="P495" s="13" t="s">
        <v>1825</v>
      </c>
      <c r="Q495" s="13" t="s">
        <v>1030</v>
      </c>
      <c r="R495" s="12">
        <v>0</v>
      </c>
      <c r="S495" s="12"/>
    </row>
    <row r="496" spans="14:19" x14ac:dyDescent="0.2">
      <c r="N496" s="5">
        <v>45992</v>
      </c>
      <c r="O496" s="13" t="s">
        <v>1058</v>
      </c>
      <c r="P496" s="13" t="s">
        <v>1748</v>
      </c>
      <c r="Q496" s="13" t="s">
        <v>1030</v>
      </c>
      <c r="R496" s="12">
        <v>0</v>
      </c>
      <c r="S496" s="12"/>
    </row>
    <row r="497" spans="14:19" x14ac:dyDescent="0.2">
      <c r="N497" s="5">
        <v>45992</v>
      </c>
      <c r="O497" s="13" t="s">
        <v>1058</v>
      </c>
      <c r="P497" s="13" t="s">
        <v>1851</v>
      </c>
      <c r="Q497" s="13" t="s">
        <v>1030</v>
      </c>
      <c r="R497" s="12">
        <v>452521</v>
      </c>
      <c r="S497" s="12"/>
    </row>
    <row r="498" spans="14:19" x14ac:dyDescent="0.2">
      <c r="N498" s="5">
        <v>45992</v>
      </c>
      <c r="O498" s="13" t="s">
        <v>1058</v>
      </c>
      <c r="P498" s="13" t="s">
        <v>1699</v>
      </c>
      <c r="Q498" s="13" t="s">
        <v>1030</v>
      </c>
      <c r="R498" s="12">
        <v>0</v>
      </c>
      <c r="S498" s="12"/>
    </row>
    <row r="499" spans="14:19" x14ac:dyDescent="0.2">
      <c r="N499" s="5">
        <v>45992</v>
      </c>
      <c r="O499" s="13" t="s">
        <v>1058</v>
      </c>
      <c r="P499" s="13" t="s">
        <v>1852</v>
      </c>
      <c r="Q499" s="13" t="s">
        <v>1030</v>
      </c>
      <c r="R499" s="12">
        <v>132352.95000000001</v>
      </c>
      <c r="S499" s="12"/>
    </row>
    <row r="500" spans="14:19" x14ac:dyDescent="0.2">
      <c r="N500" s="5">
        <v>45992</v>
      </c>
      <c r="O500" s="13" t="s">
        <v>1058</v>
      </c>
      <c r="P500" s="13" t="s">
        <v>1804</v>
      </c>
      <c r="Q500" s="13" t="s">
        <v>1030</v>
      </c>
      <c r="R500" s="12">
        <v>0</v>
      </c>
      <c r="S500" s="12"/>
    </row>
    <row r="501" spans="14:19" x14ac:dyDescent="0.2">
      <c r="N501" s="5">
        <v>45992</v>
      </c>
      <c r="O501" s="13" t="s">
        <v>1058</v>
      </c>
      <c r="P501" s="13" t="s">
        <v>1708</v>
      </c>
      <c r="Q501" s="13" t="s">
        <v>1030</v>
      </c>
      <c r="R501" s="12">
        <v>0</v>
      </c>
      <c r="S501" s="12"/>
    </row>
    <row r="502" spans="14:19" x14ac:dyDescent="0.2">
      <c r="N502" s="5">
        <v>45992</v>
      </c>
      <c r="O502" s="13" t="s">
        <v>1058</v>
      </c>
      <c r="P502" s="13" t="s">
        <v>1846</v>
      </c>
      <c r="Q502" s="13" t="s">
        <v>1030</v>
      </c>
      <c r="R502" s="12">
        <v>75630.25</v>
      </c>
      <c r="S502" s="12"/>
    </row>
    <row r="503" spans="14:19" x14ac:dyDescent="0.2">
      <c r="N503" s="5">
        <v>45992</v>
      </c>
      <c r="O503" s="13" t="s">
        <v>1058</v>
      </c>
      <c r="P503" s="13" t="s">
        <v>1823</v>
      </c>
      <c r="Q503" s="13" t="s">
        <v>1030</v>
      </c>
      <c r="R503" s="12">
        <v>0</v>
      </c>
      <c r="S503" s="12"/>
    </row>
    <row r="504" spans="14:19" x14ac:dyDescent="0.2">
      <c r="N504" s="5">
        <v>45992</v>
      </c>
      <c r="O504" s="13" t="s">
        <v>1058</v>
      </c>
      <c r="P504" s="13" t="s">
        <v>1845</v>
      </c>
      <c r="Q504" s="13" t="s">
        <v>1030</v>
      </c>
      <c r="R504" s="12">
        <v>211764.71</v>
      </c>
      <c r="S504" s="12"/>
    </row>
    <row r="505" spans="14:19" x14ac:dyDescent="0.2">
      <c r="N505" s="5">
        <v>45992</v>
      </c>
      <c r="O505" s="13" t="s">
        <v>1058</v>
      </c>
      <c r="P505" s="13" t="s">
        <v>1707</v>
      </c>
      <c r="Q505" s="13" t="s">
        <v>1030</v>
      </c>
      <c r="R505" s="12">
        <v>0</v>
      </c>
      <c r="S505" s="12"/>
    </row>
    <row r="506" spans="14:19" x14ac:dyDescent="0.2">
      <c r="N506" s="5">
        <v>45992</v>
      </c>
      <c r="O506" s="13" t="s">
        <v>1058</v>
      </c>
      <c r="P506" s="13" t="s">
        <v>1782</v>
      </c>
      <c r="Q506" s="13" t="s">
        <v>1030</v>
      </c>
      <c r="R506" s="12">
        <v>0</v>
      </c>
      <c r="S506" s="12"/>
    </row>
    <row r="507" spans="14:19" x14ac:dyDescent="0.2">
      <c r="N507" s="5">
        <v>45992</v>
      </c>
      <c r="O507" s="13" t="s">
        <v>1058</v>
      </c>
      <c r="P507" s="13" t="s">
        <v>1693</v>
      </c>
      <c r="Q507" s="13" t="s">
        <v>1030</v>
      </c>
      <c r="R507" s="12">
        <v>0</v>
      </c>
      <c r="S507" s="12"/>
    </row>
    <row r="508" spans="14:19" x14ac:dyDescent="0.2">
      <c r="N508" s="5">
        <v>45992</v>
      </c>
      <c r="O508" s="13" t="s">
        <v>1058</v>
      </c>
      <c r="P508" s="13" t="s">
        <v>1865</v>
      </c>
      <c r="Q508" s="13" t="s">
        <v>1030</v>
      </c>
      <c r="R508" s="12">
        <v>47899.16</v>
      </c>
      <c r="S508" s="12"/>
    </row>
    <row r="509" spans="14:19" x14ac:dyDescent="0.2">
      <c r="N509" s="5">
        <v>45992</v>
      </c>
      <c r="O509" s="13" t="s">
        <v>1058</v>
      </c>
      <c r="P509" s="13" t="s">
        <v>1720</v>
      </c>
      <c r="Q509" s="13" t="s">
        <v>1030</v>
      </c>
      <c r="R509" s="12">
        <v>0</v>
      </c>
      <c r="S509" s="12"/>
    </row>
    <row r="510" spans="14:19" x14ac:dyDescent="0.2">
      <c r="N510" s="5">
        <v>45992</v>
      </c>
      <c r="O510" s="13" t="s">
        <v>1058</v>
      </c>
      <c r="P510" s="13" t="s">
        <v>1703</v>
      </c>
      <c r="Q510" s="13" t="s">
        <v>1030</v>
      </c>
      <c r="R510" s="12">
        <v>0</v>
      </c>
      <c r="S510" s="12"/>
    </row>
    <row r="511" spans="14:19" x14ac:dyDescent="0.2">
      <c r="N511" s="5">
        <v>45992</v>
      </c>
      <c r="O511" s="13" t="s">
        <v>1058</v>
      </c>
      <c r="P511" s="13" t="s">
        <v>1718</v>
      </c>
      <c r="Q511" s="13" t="s">
        <v>1030</v>
      </c>
      <c r="R511" s="12">
        <v>0</v>
      </c>
      <c r="S511" s="12"/>
    </row>
    <row r="512" spans="14:19" x14ac:dyDescent="0.2">
      <c r="N512" s="5">
        <v>45992</v>
      </c>
      <c r="O512" s="13" t="s">
        <v>1058</v>
      </c>
      <c r="P512" s="13" t="s">
        <v>1760</v>
      </c>
      <c r="Q512" s="13" t="s">
        <v>1030</v>
      </c>
      <c r="R512" s="12">
        <v>0</v>
      </c>
      <c r="S512" s="12"/>
    </row>
    <row r="513" spans="14:19" x14ac:dyDescent="0.2">
      <c r="N513" s="5">
        <v>45992</v>
      </c>
      <c r="O513" s="13" t="s">
        <v>1058</v>
      </c>
      <c r="P513" s="13" t="s">
        <v>1807</v>
      </c>
      <c r="Q513" s="13" t="s">
        <v>1030</v>
      </c>
      <c r="R513" s="12">
        <v>0</v>
      </c>
      <c r="S513" s="12"/>
    </row>
    <row r="514" spans="14:19" x14ac:dyDescent="0.2">
      <c r="N514" s="5">
        <v>45992</v>
      </c>
      <c r="O514" s="13" t="s">
        <v>1058</v>
      </c>
      <c r="P514" s="13" t="s">
        <v>1746</v>
      </c>
      <c r="Q514" s="13" t="s">
        <v>1030</v>
      </c>
      <c r="R514" s="12">
        <v>0</v>
      </c>
      <c r="S514" s="12"/>
    </row>
    <row r="515" spans="14:19" x14ac:dyDescent="0.2">
      <c r="N515" s="5">
        <v>45992</v>
      </c>
      <c r="O515" s="13" t="s">
        <v>1058</v>
      </c>
      <c r="P515" s="13" t="s">
        <v>1772</v>
      </c>
      <c r="Q515" s="13" t="s">
        <v>1030</v>
      </c>
      <c r="R515" s="12">
        <v>0</v>
      </c>
      <c r="S515" s="12"/>
    </row>
    <row r="516" spans="14:19" x14ac:dyDescent="0.2">
      <c r="N516" s="5">
        <v>45992</v>
      </c>
      <c r="O516" s="13" t="s">
        <v>1056</v>
      </c>
      <c r="P516" s="13" t="s">
        <v>1775</v>
      </c>
      <c r="Q516" s="13" t="s">
        <v>974</v>
      </c>
      <c r="R516" s="12">
        <v>0</v>
      </c>
      <c r="S516" s="12"/>
    </row>
    <row r="517" spans="14:19" x14ac:dyDescent="0.2">
      <c r="N517" s="5">
        <v>45992</v>
      </c>
      <c r="O517" s="13" t="s">
        <v>1056</v>
      </c>
      <c r="P517" s="13" t="s">
        <v>1169</v>
      </c>
      <c r="Q517" s="13" t="s">
        <v>974</v>
      </c>
      <c r="R517" s="12">
        <v>0</v>
      </c>
      <c r="S517" s="12"/>
    </row>
    <row r="518" spans="14:19" x14ac:dyDescent="0.2">
      <c r="N518" s="5">
        <v>45992</v>
      </c>
      <c r="O518" s="13" t="s">
        <v>1056</v>
      </c>
      <c r="P518" s="13" t="s">
        <v>1199</v>
      </c>
      <c r="Q518" s="13" t="s">
        <v>974</v>
      </c>
      <c r="R518" s="12">
        <v>0</v>
      </c>
      <c r="S518" s="12"/>
    </row>
    <row r="519" spans="14:19" x14ac:dyDescent="0.2">
      <c r="N519" s="5">
        <v>45992</v>
      </c>
      <c r="O519" s="13" t="s">
        <v>1056</v>
      </c>
      <c r="P519" s="13" t="s">
        <v>1808</v>
      </c>
      <c r="Q519" s="13" t="s">
        <v>974</v>
      </c>
      <c r="R519" s="12">
        <v>498100</v>
      </c>
      <c r="S519" s="12"/>
    </row>
    <row r="520" spans="14:19" x14ac:dyDescent="0.2">
      <c r="N520" s="5">
        <v>45992</v>
      </c>
      <c r="O520" s="13" t="s">
        <v>1056</v>
      </c>
      <c r="P520" s="13" t="s">
        <v>1750</v>
      </c>
      <c r="Q520" s="13" t="s">
        <v>974</v>
      </c>
      <c r="R520" s="12">
        <v>0</v>
      </c>
      <c r="S520" s="12"/>
    </row>
    <row r="521" spans="14:19" x14ac:dyDescent="0.2">
      <c r="N521" s="5">
        <v>45992</v>
      </c>
      <c r="O521" s="13" t="s">
        <v>1056</v>
      </c>
      <c r="P521" s="13" t="s">
        <v>1838</v>
      </c>
      <c r="Q521" s="13" t="s">
        <v>974</v>
      </c>
      <c r="R521" s="12">
        <v>0</v>
      </c>
      <c r="S521" s="12"/>
    </row>
    <row r="522" spans="14:19" x14ac:dyDescent="0.2">
      <c r="N522" s="5">
        <v>45992</v>
      </c>
      <c r="O522" s="13" t="s">
        <v>1056</v>
      </c>
      <c r="P522" s="13" t="s">
        <v>1866</v>
      </c>
      <c r="Q522" s="13" t="s">
        <v>974</v>
      </c>
      <c r="R522" s="12">
        <v>184873</v>
      </c>
      <c r="S522" s="12"/>
    </row>
    <row r="523" spans="14:19" x14ac:dyDescent="0.2">
      <c r="N523" s="5">
        <v>45992</v>
      </c>
      <c r="O523" s="13" t="s">
        <v>1056</v>
      </c>
      <c r="P523" s="13" t="s">
        <v>1786</v>
      </c>
      <c r="Q523" s="13" t="s">
        <v>974</v>
      </c>
      <c r="R523" s="12">
        <v>0</v>
      </c>
      <c r="S523" s="12"/>
    </row>
    <row r="524" spans="14:19" x14ac:dyDescent="0.2">
      <c r="N524" s="5">
        <v>45992</v>
      </c>
      <c r="O524" s="13" t="s">
        <v>1058</v>
      </c>
      <c r="P524" s="13" t="s">
        <v>1177</v>
      </c>
      <c r="Q524" s="13" t="s">
        <v>1032</v>
      </c>
      <c r="R524" s="12">
        <v>36455.06</v>
      </c>
      <c r="S524" s="12"/>
    </row>
    <row r="525" spans="14:19" x14ac:dyDescent="0.2">
      <c r="N525" s="5">
        <v>45992</v>
      </c>
      <c r="O525" s="13" t="s">
        <v>1058</v>
      </c>
      <c r="P525" s="13" t="s">
        <v>1161</v>
      </c>
      <c r="Q525" s="13" t="s">
        <v>1032</v>
      </c>
      <c r="R525" s="12">
        <v>640503.33000000007</v>
      </c>
      <c r="S525" s="12"/>
    </row>
    <row r="526" spans="14:19" x14ac:dyDescent="0.2">
      <c r="N526" s="5">
        <v>45992</v>
      </c>
      <c r="O526" s="13" t="s">
        <v>1058</v>
      </c>
      <c r="P526" s="13" t="s">
        <v>1177</v>
      </c>
      <c r="Q526" s="13" t="s">
        <v>1025</v>
      </c>
      <c r="R526" s="12">
        <v>91039.87</v>
      </c>
      <c r="S526" s="12"/>
    </row>
    <row r="527" spans="14:19" x14ac:dyDescent="0.2">
      <c r="N527" s="5">
        <v>45992</v>
      </c>
      <c r="O527" s="13" t="s">
        <v>1056</v>
      </c>
      <c r="P527" s="13" t="s">
        <v>1172</v>
      </c>
      <c r="Q527" s="13" t="s">
        <v>942</v>
      </c>
      <c r="R527" s="12">
        <v>2000000</v>
      </c>
      <c r="S527" s="12"/>
    </row>
    <row r="528" spans="14:19" x14ac:dyDescent="0.2">
      <c r="N528" s="5">
        <v>45992</v>
      </c>
      <c r="O528" s="13" t="s">
        <v>1057</v>
      </c>
      <c r="P528" s="13" t="s">
        <v>1779</v>
      </c>
      <c r="Q528" s="13" t="s">
        <v>985</v>
      </c>
      <c r="R528" s="12">
        <v>0</v>
      </c>
      <c r="S528" s="12"/>
    </row>
    <row r="529" spans="14:19" x14ac:dyDescent="0.2">
      <c r="N529" s="5">
        <v>45992</v>
      </c>
      <c r="O529" s="13" t="s">
        <v>1057</v>
      </c>
      <c r="P529" s="13" t="s">
        <v>1143</v>
      </c>
      <c r="Q529" s="13" t="s">
        <v>985</v>
      </c>
      <c r="R529" s="12">
        <v>186349</v>
      </c>
      <c r="S529" s="12"/>
    </row>
    <row r="530" spans="14:19" x14ac:dyDescent="0.2">
      <c r="N530" s="5">
        <v>45992</v>
      </c>
      <c r="O530" s="13" t="s">
        <v>1057</v>
      </c>
      <c r="P530" s="13" t="s">
        <v>1793</v>
      </c>
      <c r="Q530" s="13" t="s">
        <v>985</v>
      </c>
      <c r="R530" s="12">
        <v>0</v>
      </c>
      <c r="S530" s="12"/>
    </row>
    <row r="531" spans="14:19" x14ac:dyDescent="0.2">
      <c r="N531" s="5">
        <v>45992</v>
      </c>
      <c r="O531" s="13" t="s">
        <v>1058</v>
      </c>
      <c r="P531" s="13" t="s">
        <v>1181</v>
      </c>
      <c r="Q531" s="13" t="s">
        <v>1028</v>
      </c>
      <c r="R531" s="12">
        <v>1000</v>
      </c>
      <c r="S531" s="12"/>
    </row>
    <row r="532" spans="14:19" x14ac:dyDescent="0.2">
      <c r="N532" s="5">
        <v>45992</v>
      </c>
      <c r="O532" s="13" t="s">
        <v>1058</v>
      </c>
      <c r="P532" s="13" t="s">
        <v>1761</v>
      </c>
      <c r="Q532" s="13" t="s">
        <v>1028</v>
      </c>
      <c r="R532" s="12">
        <v>0</v>
      </c>
      <c r="S532" s="12"/>
    </row>
    <row r="533" spans="14:19" x14ac:dyDescent="0.2">
      <c r="N533" s="5">
        <v>45992</v>
      </c>
      <c r="O533" s="13" t="s">
        <v>1058</v>
      </c>
      <c r="P533" s="13" t="s">
        <v>1166</v>
      </c>
      <c r="Q533" s="13" t="s">
        <v>1028</v>
      </c>
      <c r="R533" s="12">
        <v>2700</v>
      </c>
      <c r="S533" s="12"/>
    </row>
    <row r="534" spans="14:19" x14ac:dyDescent="0.2">
      <c r="N534" s="5">
        <v>45992</v>
      </c>
      <c r="O534" s="13" t="s">
        <v>1058</v>
      </c>
      <c r="P534" s="13" t="s">
        <v>1182</v>
      </c>
      <c r="Q534" s="13" t="s">
        <v>1028</v>
      </c>
      <c r="R534" s="12">
        <v>22700</v>
      </c>
      <c r="S534" s="12"/>
    </row>
    <row r="535" spans="14:19" x14ac:dyDescent="0.2">
      <c r="N535" s="5">
        <v>45992</v>
      </c>
      <c r="O535" s="13" t="s">
        <v>1058</v>
      </c>
      <c r="P535" s="13" t="s">
        <v>1677</v>
      </c>
      <c r="Q535" s="13" t="s">
        <v>1028</v>
      </c>
      <c r="R535" s="12">
        <v>0</v>
      </c>
      <c r="S535" s="12"/>
    </row>
    <row r="536" spans="14:19" x14ac:dyDescent="0.2">
      <c r="N536" s="5">
        <v>45992</v>
      </c>
      <c r="O536" s="13" t="s">
        <v>1058</v>
      </c>
      <c r="P536" s="13" t="s">
        <v>1146</v>
      </c>
      <c r="Q536" s="13" t="s">
        <v>1028</v>
      </c>
      <c r="R536" s="12">
        <v>33400</v>
      </c>
      <c r="S536" s="12"/>
    </row>
    <row r="537" spans="14:19" x14ac:dyDescent="0.2">
      <c r="N537" s="5">
        <v>45992</v>
      </c>
      <c r="O537" s="13" t="s">
        <v>1058</v>
      </c>
      <c r="P537" s="13" t="s">
        <v>1165</v>
      </c>
      <c r="Q537" s="13" t="s">
        <v>1028</v>
      </c>
      <c r="R537" s="12">
        <v>29000</v>
      </c>
      <c r="S537" s="12"/>
    </row>
    <row r="538" spans="14:19" x14ac:dyDescent="0.2">
      <c r="N538" s="5">
        <v>45992</v>
      </c>
      <c r="O538" s="13" t="s">
        <v>1058</v>
      </c>
      <c r="P538" s="13" t="s">
        <v>1144</v>
      </c>
      <c r="Q538" s="13" t="s">
        <v>1028</v>
      </c>
      <c r="R538" s="12">
        <v>2200</v>
      </c>
      <c r="S538" s="12"/>
    </row>
    <row r="539" spans="14:19" x14ac:dyDescent="0.2">
      <c r="N539" s="5">
        <v>45992</v>
      </c>
      <c r="O539" s="13" t="s">
        <v>1058</v>
      </c>
      <c r="P539" s="13" t="s">
        <v>1145</v>
      </c>
      <c r="Q539" s="13" t="s">
        <v>1028</v>
      </c>
      <c r="R539" s="12">
        <v>31300</v>
      </c>
      <c r="S539" s="12"/>
    </row>
    <row r="540" spans="14:19" x14ac:dyDescent="0.2">
      <c r="N540" s="5">
        <v>45992</v>
      </c>
      <c r="O540" s="13" t="s">
        <v>1058</v>
      </c>
      <c r="P540" s="13" t="s">
        <v>1180</v>
      </c>
      <c r="Q540" s="13" t="s">
        <v>1028</v>
      </c>
      <c r="R540" s="12">
        <v>0</v>
      </c>
      <c r="S540" s="12"/>
    </row>
    <row r="541" spans="14:19" x14ac:dyDescent="0.2">
      <c r="N541" s="5">
        <v>45992</v>
      </c>
      <c r="O541" s="13" t="s">
        <v>1058</v>
      </c>
      <c r="P541" s="13" t="s">
        <v>1212</v>
      </c>
      <c r="Q541" s="13" t="s">
        <v>1028</v>
      </c>
      <c r="R541" s="12">
        <v>3300</v>
      </c>
      <c r="S541" s="12"/>
    </row>
    <row r="542" spans="14:19" x14ac:dyDescent="0.2">
      <c r="N542" s="5">
        <v>45992</v>
      </c>
      <c r="O542" s="13" t="s">
        <v>1057</v>
      </c>
      <c r="P542" s="13" t="s">
        <v>1681</v>
      </c>
      <c r="Q542" s="13" t="s">
        <v>862</v>
      </c>
      <c r="R542" s="12">
        <v>0</v>
      </c>
      <c r="S542" s="12"/>
    </row>
    <row r="543" spans="14:19" x14ac:dyDescent="0.2">
      <c r="N543" s="5">
        <v>45992</v>
      </c>
      <c r="O543" s="13" t="s">
        <v>1057</v>
      </c>
      <c r="P543" s="13" t="s">
        <v>1687</v>
      </c>
      <c r="Q543" s="13" t="s">
        <v>862</v>
      </c>
      <c r="R543" s="12">
        <v>0</v>
      </c>
      <c r="S543" s="12"/>
    </row>
    <row r="544" spans="14:19" x14ac:dyDescent="0.2">
      <c r="N544" s="5">
        <v>45992</v>
      </c>
      <c r="O544" s="13" t="s">
        <v>1057</v>
      </c>
      <c r="P544" s="13" t="s">
        <v>1779</v>
      </c>
      <c r="Q544" s="13" t="s">
        <v>862</v>
      </c>
      <c r="R544" s="12">
        <v>0</v>
      </c>
      <c r="S544" s="12"/>
    </row>
    <row r="545" spans="14:19" x14ac:dyDescent="0.2">
      <c r="N545" s="5">
        <v>45992</v>
      </c>
      <c r="O545" s="13" t="s">
        <v>1056</v>
      </c>
      <c r="P545" s="13" t="s">
        <v>1164</v>
      </c>
      <c r="Q545" s="13" t="s">
        <v>862</v>
      </c>
      <c r="R545" s="12">
        <v>81011</v>
      </c>
      <c r="S545" s="12"/>
    </row>
    <row r="546" spans="14:19" x14ac:dyDescent="0.2">
      <c r="N546" s="5">
        <v>45992</v>
      </c>
      <c r="O546" s="13" t="s">
        <v>1057</v>
      </c>
      <c r="P546" s="13" t="s">
        <v>1793</v>
      </c>
      <c r="Q546" s="13" t="s">
        <v>862</v>
      </c>
      <c r="R546" s="12">
        <v>0</v>
      </c>
      <c r="S546" s="12"/>
    </row>
    <row r="547" spans="14:19" x14ac:dyDescent="0.2">
      <c r="N547" s="5">
        <v>45992</v>
      </c>
      <c r="O547" s="13" t="s">
        <v>1056</v>
      </c>
      <c r="P547" s="13" t="s">
        <v>1162</v>
      </c>
      <c r="Q547" s="13" t="s">
        <v>862</v>
      </c>
      <c r="R547" s="12">
        <v>57588</v>
      </c>
      <c r="S547" s="12"/>
    </row>
    <row r="548" spans="14:19" x14ac:dyDescent="0.2">
      <c r="N548" s="5">
        <v>45992</v>
      </c>
      <c r="O548" s="13" t="s">
        <v>1057</v>
      </c>
      <c r="P548" s="13" t="s">
        <v>1143</v>
      </c>
      <c r="Q548" s="13" t="s">
        <v>862</v>
      </c>
      <c r="R548" s="12">
        <v>2352</v>
      </c>
      <c r="S548" s="12"/>
    </row>
    <row r="549" spans="14:19" x14ac:dyDescent="0.2">
      <c r="N549" s="5">
        <v>45992</v>
      </c>
      <c r="O549" s="13" t="s">
        <v>1056</v>
      </c>
      <c r="P549" s="13" t="s">
        <v>1163</v>
      </c>
      <c r="Q549" s="13" t="s">
        <v>862</v>
      </c>
      <c r="R549" s="12">
        <v>57588</v>
      </c>
      <c r="S549" s="12"/>
    </row>
    <row r="550" spans="14:19" x14ac:dyDescent="0.2">
      <c r="N550" s="5">
        <v>45992</v>
      </c>
      <c r="O550" s="13" t="s">
        <v>1056</v>
      </c>
      <c r="P550" s="13" t="s">
        <v>1809</v>
      </c>
      <c r="Q550" s="13" t="s">
        <v>954</v>
      </c>
      <c r="R550" s="12">
        <v>0</v>
      </c>
      <c r="S550" s="12"/>
    </row>
    <row r="551" spans="14:19" x14ac:dyDescent="0.2">
      <c r="N551" s="5">
        <v>45992</v>
      </c>
      <c r="O551" s="13" t="s">
        <v>1057</v>
      </c>
      <c r="P551" s="13" t="s">
        <v>1147</v>
      </c>
      <c r="Q551" s="13" t="s">
        <v>954</v>
      </c>
      <c r="R551" s="12">
        <v>0</v>
      </c>
      <c r="S551" s="12"/>
    </row>
    <row r="552" spans="14:19" x14ac:dyDescent="0.2">
      <c r="N552" s="5">
        <v>45992</v>
      </c>
      <c r="O552" s="13" t="s">
        <v>1057</v>
      </c>
      <c r="P552" s="13" t="s">
        <v>1215</v>
      </c>
      <c r="Q552" s="13" t="s">
        <v>954</v>
      </c>
      <c r="R552" s="12">
        <v>0</v>
      </c>
      <c r="S552" s="12"/>
    </row>
    <row r="553" spans="14:19" x14ac:dyDescent="0.2">
      <c r="N553" s="5">
        <v>45992</v>
      </c>
      <c r="O553" s="13" t="s">
        <v>1057</v>
      </c>
      <c r="P553" s="13" t="s">
        <v>1751</v>
      </c>
      <c r="Q553" s="13" t="s">
        <v>1014</v>
      </c>
      <c r="R553" s="12">
        <v>0</v>
      </c>
      <c r="S553" s="12"/>
    </row>
    <row r="554" spans="14:19" x14ac:dyDescent="0.2">
      <c r="N554" s="5">
        <v>45992</v>
      </c>
      <c r="O554" s="13" t="s">
        <v>1057</v>
      </c>
      <c r="P554" s="13" t="s">
        <v>1188</v>
      </c>
      <c r="Q554" s="13" t="s">
        <v>1014</v>
      </c>
      <c r="R554" s="12">
        <v>0</v>
      </c>
      <c r="S554" s="12"/>
    </row>
    <row r="555" spans="14:19" x14ac:dyDescent="0.2">
      <c r="N555" s="5">
        <v>45992</v>
      </c>
      <c r="O555" s="13" t="s">
        <v>1057</v>
      </c>
      <c r="P555" s="13" t="s">
        <v>1156</v>
      </c>
      <c r="Q555" s="13" t="s">
        <v>1014</v>
      </c>
      <c r="R555" s="12">
        <v>2580984</v>
      </c>
      <c r="S555" s="12"/>
    </row>
    <row r="556" spans="14:19" x14ac:dyDescent="0.2">
      <c r="N556" s="5">
        <v>45992</v>
      </c>
      <c r="O556" s="13" t="s">
        <v>1057</v>
      </c>
      <c r="P556" s="13" t="s">
        <v>1839</v>
      </c>
      <c r="Q556" s="13" t="s">
        <v>1014</v>
      </c>
      <c r="R556" s="12">
        <v>0</v>
      </c>
      <c r="S556" s="12"/>
    </row>
    <row r="557" spans="14:19" x14ac:dyDescent="0.2">
      <c r="N557" s="5">
        <v>45992</v>
      </c>
      <c r="O557" s="13" t="s">
        <v>1057</v>
      </c>
      <c r="P557" s="13" t="s">
        <v>1152</v>
      </c>
      <c r="Q557" s="13" t="s">
        <v>1014</v>
      </c>
      <c r="R557" s="12">
        <v>1844459</v>
      </c>
      <c r="S557" s="12"/>
    </row>
    <row r="558" spans="14:19" x14ac:dyDescent="0.2">
      <c r="N558" s="5">
        <v>45992</v>
      </c>
      <c r="O558" s="13" t="s">
        <v>1057</v>
      </c>
      <c r="P558" s="13" t="s">
        <v>1759</v>
      </c>
      <c r="Q558" s="13" t="s">
        <v>1021</v>
      </c>
      <c r="R558" s="12"/>
      <c r="S558" s="12">
        <v>0</v>
      </c>
    </row>
    <row r="559" spans="14:19" x14ac:dyDescent="0.2">
      <c r="N559" s="5">
        <v>45992</v>
      </c>
      <c r="O559" s="13" t="s">
        <v>1057</v>
      </c>
      <c r="P559" s="13" t="s">
        <v>1153</v>
      </c>
      <c r="Q559" s="13" t="s">
        <v>1021</v>
      </c>
      <c r="R559" s="12"/>
      <c r="S559" s="12">
        <v>0</v>
      </c>
    </row>
    <row r="560" spans="14:19" x14ac:dyDescent="0.2">
      <c r="N560" s="5">
        <v>45992</v>
      </c>
      <c r="O560" s="13" t="s">
        <v>1057</v>
      </c>
      <c r="P560" s="13" t="s">
        <v>1755</v>
      </c>
      <c r="Q560" s="13" t="s">
        <v>1021</v>
      </c>
      <c r="R560" s="12"/>
      <c r="S560" s="12">
        <v>0</v>
      </c>
    </row>
    <row r="561" spans="14:19" x14ac:dyDescent="0.2">
      <c r="N561" s="5">
        <v>45992</v>
      </c>
      <c r="O561" s="13" t="s">
        <v>1057</v>
      </c>
      <c r="P561" s="13" t="s">
        <v>1159</v>
      </c>
      <c r="Q561" s="13" t="s">
        <v>1021</v>
      </c>
      <c r="R561" s="12"/>
      <c r="S561" s="12">
        <v>146218</v>
      </c>
    </row>
    <row r="562" spans="14:19" x14ac:dyDescent="0.2">
      <c r="N562" s="5">
        <v>45992</v>
      </c>
      <c r="O562" s="13" t="s">
        <v>1057</v>
      </c>
      <c r="P562" s="13" t="s">
        <v>1160</v>
      </c>
      <c r="Q562" s="13" t="s">
        <v>1021</v>
      </c>
      <c r="R562" s="12"/>
      <c r="S562" s="12">
        <v>0</v>
      </c>
    </row>
    <row r="563" spans="14:19" x14ac:dyDescent="0.2">
      <c r="N563" s="5">
        <v>45992</v>
      </c>
      <c r="O563" s="13" t="s">
        <v>1057</v>
      </c>
      <c r="P563" s="13" t="s">
        <v>1767</v>
      </c>
      <c r="Q563" s="13" t="s">
        <v>1021</v>
      </c>
      <c r="R563" s="12"/>
      <c r="S563" s="12">
        <v>0</v>
      </c>
    </row>
    <row r="564" spans="14:19" x14ac:dyDescent="0.2">
      <c r="N564" s="5">
        <v>45992</v>
      </c>
      <c r="O564" s="13" t="s">
        <v>1057</v>
      </c>
      <c r="P564" s="13" t="s">
        <v>1754</v>
      </c>
      <c r="Q564" s="13" t="s">
        <v>1021</v>
      </c>
      <c r="R564" s="12"/>
      <c r="S564" s="12">
        <v>0</v>
      </c>
    </row>
    <row r="565" spans="14:19" x14ac:dyDescent="0.2">
      <c r="N565" s="5">
        <v>45992</v>
      </c>
      <c r="O565" s="13" t="s">
        <v>1057</v>
      </c>
      <c r="P565" s="13" t="s">
        <v>1191</v>
      </c>
      <c r="Q565" s="13" t="s">
        <v>1021</v>
      </c>
      <c r="R565" s="12"/>
      <c r="S565" s="12">
        <v>1571800</v>
      </c>
    </row>
    <row r="566" spans="14:19" x14ac:dyDescent="0.2">
      <c r="N566" s="5">
        <v>45992</v>
      </c>
      <c r="O566" s="13" t="s">
        <v>1057</v>
      </c>
      <c r="P566" s="13" t="s">
        <v>1154</v>
      </c>
      <c r="Q566" s="13" t="s">
        <v>1021</v>
      </c>
      <c r="R566" s="12"/>
      <c r="S566" s="12">
        <v>572300</v>
      </c>
    </row>
    <row r="567" spans="14:19" x14ac:dyDescent="0.2">
      <c r="N567" s="5">
        <v>45992</v>
      </c>
      <c r="O567" s="13" t="s">
        <v>1057</v>
      </c>
      <c r="P567" s="13" t="s">
        <v>1756</v>
      </c>
      <c r="Q567" s="13" t="s">
        <v>1021</v>
      </c>
      <c r="R567" s="12"/>
      <c r="S567" s="12">
        <v>0</v>
      </c>
    </row>
    <row r="568" spans="14:19" x14ac:dyDescent="0.2">
      <c r="N568" s="5">
        <v>45992</v>
      </c>
      <c r="O568" s="13" t="s">
        <v>1057</v>
      </c>
      <c r="P568" s="13" t="s">
        <v>1192</v>
      </c>
      <c r="Q568" s="13" t="s">
        <v>1021</v>
      </c>
      <c r="R568" s="12"/>
      <c r="S568" s="12">
        <v>235116</v>
      </c>
    </row>
    <row r="569" spans="14:19" x14ac:dyDescent="0.2">
      <c r="N569" s="5">
        <v>45992</v>
      </c>
      <c r="O569" s="13" t="s">
        <v>1057</v>
      </c>
      <c r="P569" s="13" t="s">
        <v>1752</v>
      </c>
      <c r="Q569" s="13" t="s">
        <v>1021</v>
      </c>
      <c r="R569" s="12"/>
      <c r="S569" s="12">
        <v>1740000.4</v>
      </c>
    </row>
    <row r="570" spans="14:19" x14ac:dyDescent="0.2">
      <c r="N570" s="5">
        <v>45992</v>
      </c>
      <c r="O570" s="13" t="s">
        <v>1057</v>
      </c>
      <c r="P570" s="13" t="s">
        <v>1753</v>
      </c>
      <c r="Q570" s="13" t="s">
        <v>1021</v>
      </c>
      <c r="R570" s="12"/>
      <c r="S570" s="12">
        <v>0</v>
      </c>
    </row>
    <row r="571" spans="14:19" x14ac:dyDescent="0.2">
      <c r="N571" s="5">
        <v>45992</v>
      </c>
      <c r="O571" s="13" t="s">
        <v>1057</v>
      </c>
      <c r="P571" s="13" t="s">
        <v>1758</v>
      </c>
      <c r="Q571" s="13" t="s">
        <v>1023</v>
      </c>
      <c r="R571" s="12">
        <v>0</v>
      </c>
      <c r="S571" s="12"/>
    </row>
    <row r="572" spans="14:19" x14ac:dyDescent="0.2">
      <c r="N572" s="5">
        <v>45992</v>
      </c>
      <c r="O572" s="13" t="s">
        <v>1057</v>
      </c>
      <c r="P572" s="13" t="s">
        <v>1841</v>
      </c>
      <c r="Q572" s="13" t="s">
        <v>1023</v>
      </c>
      <c r="R572" s="12">
        <v>0</v>
      </c>
      <c r="S572" s="12"/>
    </row>
    <row r="573" spans="14:19" x14ac:dyDescent="0.2">
      <c r="N573" s="5">
        <v>45992</v>
      </c>
      <c r="O573" s="13" t="s">
        <v>1057</v>
      </c>
      <c r="P573" s="13" t="s">
        <v>1789</v>
      </c>
      <c r="Q573" s="13" t="s">
        <v>1023</v>
      </c>
      <c r="R573" s="12">
        <v>794117</v>
      </c>
      <c r="S573" s="12"/>
    </row>
    <row r="574" spans="14:19" x14ac:dyDescent="0.2">
      <c r="N574" s="5">
        <v>45992</v>
      </c>
      <c r="O574" s="13" t="s">
        <v>1057</v>
      </c>
      <c r="P574" s="13" t="s">
        <v>1776</v>
      </c>
      <c r="Q574" s="13" t="s">
        <v>1023</v>
      </c>
      <c r="R574" s="12">
        <v>9750</v>
      </c>
      <c r="S574" s="12"/>
    </row>
    <row r="575" spans="14:19" x14ac:dyDescent="0.2">
      <c r="N575" s="5">
        <v>45992</v>
      </c>
      <c r="O575" s="13" t="s">
        <v>1057</v>
      </c>
      <c r="P575" s="13" t="s">
        <v>1190</v>
      </c>
      <c r="Q575" s="13" t="s">
        <v>1023</v>
      </c>
      <c r="R575" s="12">
        <v>1248000</v>
      </c>
      <c r="S575" s="12"/>
    </row>
    <row r="576" spans="14:19" x14ac:dyDescent="0.2">
      <c r="N576" s="5">
        <v>45992</v>
      </c>
      <c r="O576" s="13" t="s">
        <v>1057</v>
      </c>
      <c r="P576" s="13" t="s">
        <v>1812</v>
      </c>
      <c r="Q576" s="13" t="s">
        <v>1023</v>
      </c>
      <c r="R576" s="12">
        <v>0</v>
      </c>
      <c r="S576" s="12"/>
    </row>
    <row r="577" spans="14:19" x14ac:dyDescent="0.2">
      <c r="N577" s="5">
        <v>45992</v>
      </c>
      <c r="O577" s="13" t="s">
        <v>1057</v>
      </c>
      <c r="P577" s="13" t="s">
        <v>1810</v>
      </c>
      <c r="Q577" s="13" t="s">
        <v>1023</v>
      </c>
      <c r="R577" s="12">
        <v>0</v>
      </c>
      <c r="S577" s="12"/>
    </row>
    <row r="578" spans="14:19" x14ac:dyDescent="0.2">
      <c r="N578" s="5">
        <v>45992</v>
      </c>
      <c r="O578" s="13" t="s">
        <v>1057</v>
      </c>
      <c r="P578" s="13" t="s">
        <v>1194</v>
      </c>
      <c r="Q578" s="13" t="s">
        <v>1023</v>
      </c>
      <c r="R578" s="12">
        <v>1533000</v>
      </c>
      <c r="S578" s="12"/>
    </row>
    <row r="579" spans="14:19" x14ac:dyDescent="0.2">
      <c r="N579" s="5">
        <v>45992</v>
      </c>
      <c r="O579" s="13" t="s">
        <v>1057</v>
      </c>
      <c r="P579" s="13" t="s">
        <v>1811</v>
      </c>
      <c r="Q579" s="13" t="s">
        <v>1023</v>
      </c>
      <c r="R579" s="12">
        <v>0</v>
      </c>
      <c r="S579" s="12"/>
    </row>
    <row r="580" spans="14:19" x14ac:dyDescent="0.2">
      <c r="N580" s="5">
        <v>45992</v>
      </c>
      <c r="O580" s="13" t="s">
        <v>1057</v>
      </c>
      <c r="P580" s="13" t="s">
        <v>1193</v>
      </c>
      <c r="Q580" s="13" t="s">
        <v>1023</v>
      </c>
      <c r="R580" s="12">
        <v>1512600</v>
      </c>
      <c r="S580" s="12"/>
    </row>
    <row r="581" spans="14:19" x14ac:dyDescent="0.2">
      <c r="N581" s="5">
        <v>45992</v>
      </c>
      <c r="O581" s="13" t="s">
        <v>1057</v>
      </c>
      <c r="P581" s="13" t="s">
        <v>1813</v>
      </c>
      <c r="Q581" s="13" t="s">
        <v>1023</v>
      </c>
      <c r="R581" s="12">
        <v>0</v>
      </c>
      <c r="S581" s="12"/>
    </row>
    <row r="582" spans="14:19" x14ac:dyDescent="0.2">
      <c r="N582" s="5">
        <v>45992</v>
      </c>
      <c r="O582" s="13" t="s">
        <v>1057</v>
      </c>
      <c r="P582" s="13" t="s">
        <v>1158</v>
      </c>
      <c r="Q582" s="13" t="s">
        <v>1023</v>
      </c>
      <c r="R582" s="12">
        <v>0</v>
      </c>
      <c r="S582" s="12"/>
    </row>
    <row r="583" spans="14:19" x14ac:dyDescent="0.2">
      <c r="N583" s="5">
        <v>45992</v>
      </c>
      <c r="O583" s="13" t="s">
        <v>1057</v>
      </c>
      <c r="P583" s="13" t="s">
        <v>1787</v>
      </c>
      <c r="Q583" s="13" t="s">
        <v>1023</v>
      </c>
      <c r="R583" s="12">
        <v>0</v>
      </c>
      <c r="S583" s="12"/>
    </row>
    <row r="584" spans="14:19" x14ac:dyDescent="0.2">
      <c r="N584" s="5">
        <v>45992</v>
      </c>
      <c r="O584" s="13" t="s">
        <v>1057</v>
      </c>
      <c r="P584" s="13" t="s">
        <v>1210</v>
      </c>
      <c r="Q584" s="13" t="s">
        <v>1023</v>
      </c>
      <c r="R584" s="12">
        <v>1571429</v>
      </c>
      <c r="S584" s="12"/>
    </row>
    <row r="585" spans="14:19" x14ac:dyDescent="0.2">
      <c r="N585" s="5">
        <v>45992</v>
      </c>
      <c r="O585" s="13" t="s">
        <v>1057</v>
      </c>
      <c r="P585" s="13" t="s">
        <v>1814</v>
      </c>
      <c r="Q585" s="13" t="s">
        <v>1023</v>
      </c>
      <c r="R585" s="12">
        <v>0</v>
      </c>
      <c r="S585" s="12"/>
    </row>
    <row r="586" spans="14:19" x14ac:dyDescent="0.2">
      <c r="N586" s="5">
        <v>45992</v>
      </c>
      <c r="O586" s="13" t="s">
        <v>1057</v>
      </c>
      <c r="P586" s="13" t="s">
        <v>1195</v>
      </c>
      <c r="Q586" s="13" t="s">
        <v>1023</v>
      </c>
      <c r="R586" s="12">
        <v>0</v>
      </c>
      <c r="S586" s="12"/>
    </row>
    <row r="587" spans="14:19" x14ac:dyDescent="0.2">
      <c r="N587" s="5">
        <v>45992</v>
      </c>
      <c r="O587" s="13" t="s">
        <v>1057</v>
      </c>
      <c r="P587" s="13" t="s">
        <v>1867</v>
      </c>
      <c r="Q587" s="13" t="s">
        <v>1023</v>
      </c>
      <c r="R587" s="12">
        <v>168100</v>
      </c>
      <c r="S587" s="12"/>
    </row>
    <row r="588" spans="14:19" x14ac:dyDescent="0.2">
      <c r="N588" s="5">
        <v>45992</v>
      </c>
      <c r="O588" s="13" t="s">
        <v>1057</v>
      </c>
      <c r="P588" s="13" t="s">
        <v>1768</v>
      </c>
      <c r="Q588" s="13" t="s">
        <v>1023</v>
      </c>
      <c r="R588" s="12">
        <v>0</v>
      </c>
      <c r="S588" s="12"/>
    </row>
    <row r="589" spans="14:19" x14ac:dyDescent="0.2">
      <c r="N589" s="5">
        <v>45992</v>
      </c>
      <c r="O589" s="13" t="s">
        <v>1057</v>
      </c>
      <c r="P589" s="13" t="s">
        <v>1788</v>
      </c>
      <c r="Q589" s="13" t="s">
        <v>1023</v>
      </c>
      <c r="R589" s="12">
        <v>0</v>
      </c>
      <c r="S589" s="12"/>
    </row>
    <row r="590" spans="14:19" x14ac:dyDescent="0.2">
      <c r="N590" s="5">
        <v>45992</v>
      </c>
      <c r="O590" s="13" t="s">
        <v>1057</v>
      </c>
      <c r="P590" s="13" t="s">
        <v>1840</v>
      </c>
      <c r="Q590" s="13" t="s">
        <v>1023</v>
      </c>
      <c r="R590" s="12">
        <v>0</v>
      </c>
      <c r="S590" s="12"/>
    </row>
    <row r="591" spans="14:19" x14ac:dyDescent="0.2">
      <c r="N591" s="5">
        <v>45992</v>
      </c>
      <c r="O591" s="13" t="s">
        <v>1057</v>
      </c>
      <c r="P591" s="13" t="s">
        <v>1757</v>
      </c>
      <c r="Q591" s="13" t="s">
        <v>1023</v>
      </c>
      <c r="R591" s="12">
        <v>0</v>
      </c>
      <c r="S591" s="12"/>
    </row>
    <row r="592" spans="14:19" x14ac:dyDescent="0.2">
      <c r="N592" s="5">
        <v>45992</v>
      </c>
      <c r="O592" s="13" t="s">
        <v>1059</v>
      </c>
      <c r="P592" s="13" t="s">
        <v>1759</v>
      </c>
      <c r="Q592" s="13" t="s">
        <v>890</v>
      </c>
      <c r="R592" s="12"/>
      <c r="S592" s="12">
        <v>0</v>
      </c>
    </row>
    <row r="593" spans="14:19" x14ac:dyDescent="0.2">
      <c r="N593" s="5">
        <v>45992</v>
      </c>
      <c r="O593" s="13" t="s">
        <v>1059</v>
      </c>
      <c r="P593" s="13" t="s">
        <v>1141</v>
      </c>
      <c r="Q593" s="13" t="s">
        <v>890</v>
      </c>
      <c r="R593" s="12"/>
      <c r="S593" s="12">
        <v>51054828</v>
      </c>
    </row>
    <row r="594" spans="14:19" x14ac:dyDescent="0.2">
      <c r="N594" s="5">
        <v>45992</v>
      </c>
      <c r="O594" s="13" t="s">
        <v>1057</v>
      </c>
      <c r="P594" s="13" t="s">
        <v>1793</v>
      </c>
      <c r="Q594" s="13" t="s">
        <v>920</v>
      </c>
      <c r="R594" s="12">
        <v>0</v>
      </c>
      <c r="S594" s="12"/>
    </row>
    <row r="595" spans="14:19" x14ac:dyDescent="0.2">
      <c r="N595" s="5">
        <v>45992</v>
      </c>
      <c r="O595" s="13" t="s">
        <v>1056</v>
      </c>
      <c r="P595" s="13" t="s">
        <v>1162</v>
      </c>
      <c r="Q595" s="13" t="s">
        <v>920</v>
      </c>
      <c r="R595" s="12">
        <v>1293333</v>
      </c>
      <c r="S595" s="12"/>
    </row>
    <row r="596" spans="14:19" x14ac:dyDescent="0.2">
      <c r="N596" s="5">
        <v>45992</v>
      </c>
      <c r="O596" s="13" t="s">
        <v>1057</v>
      </c>
      <c r="P596" s="13" t="s">
        <v>1681</v>
      </c>
      <c r="Q596" s="13" t="s">
        <v>920</v>
      </c>
      <c r="R596" s="12">
        <v>0</v>
      </c>
      <c r="S596" s="12"/>
    </row>
    <row r="597" spans="14:19" x14ac:dyDescent="0.2">
      <c r="N597" s="5">
        <v>45992</v>
      </c>
      <c r="O597" s="13" t="s">
        <v>1056</v>
      </c>
      <c r="P597" s="13" t="s">
        <v>1164</v>
      </c>
      <c r="Q597" s="13" t="s">
        <v>920</v>
      </c>
      <c r="R597" s="12">
        <v>64806</v>
      </c>
      <c r="S597" s="12"/>
    </row>
    <row r="598" spans="14:19" x14ac:dyDescent="0.2">
      <c r="N598" s="5">
        <v>45992</v>
      </c>
      <c r="O598" s="13" t="s">
        <v>1057</v>
      </c>
      <c r="P598" s="13" t="s">
        <v>1687</v>
      </c>
      <c r="Q598" s="13" t="s">
        <v>920</v>
      </c>
      <c r="R598" s="12">
        <v>0</v>
      </c>
      <c r="S598" s="12"/>
    </row>
    <row r="599" spans="14:19" x14ac:dyDescent="0.2">
      <c r="N599" s="5">
        <v>45992</v>
      </c>
      <c r="O599" s="13" t="s">
        <v>1056</v>
      </c>
      <c r="P599" s="13" t="s">
        <v>1163</v>
      </c>
      <c r="Q599" s="13" t="s">
        <v>920</v>
      </c>
      <c r="R599" s="12">
        <v>1293333</v>
      </c>
      <c r="S599" s="12"/>
    </row>
    <row r="600" spans="14:19" x14ac:dyDescent="0.2">
      <c r="N600" s="5">
        <v>45992</v>
      </c>
      <c r="O600" s="13" t="s">
        <v>1057</v>
      </c>
      <c r="P600" s="13" t="s">
        <v>1143</v>
      </c>
      <c r="Q600" s="13" t="s">
        <v>920</v>
      </c>
      <c r="R600" s="12">
        <v>175879</v>
      </c>
      <c r="S600" s="12"/>
    </row>
    <row r="601" spans="14:19" x14ac:dyDescent="0.2">
      <c r="N601" s="5">
        <v>45992</v>
      </c>
      <c r="O601" s="13" t="s">
        <v>1057</v>
      </c>
      <c r="P601" s="13" t="s">
        <v>1779</v>
      </c>
      <c r="Q601" s="13" t="s">
        <v>920</v>
      </c>
      <c r="R601" s="12">
        <v>0</v>
      </c>
      <c r="S601" s="12"/>
    </row>
    <row r="602" spans="14:19" x14ac:dyDescent="0.2">
      <c r="N602" s="5">
        <v>45992</v>
      </c>
      <c r="O602" s="13" t="s">
        <v>1056</v>
      </c>
      <c r="P602" s="13" t="s">
        <v>1223</v>
      </c>
      <c r="Q602" s="13" t="s">
        <v>962</v>
      </c>
      <c r="R602" s="12">
        <v>0</v>
      </c>
      <c r="S602" s="12"/>
    </row>
    <row r="603" spans="14:19" x14ac:dyDescent="0.2">
      <c r="N603" s="5">
        <v>45992</v>
      </c>
      <c r="O603" s="13" t="s">
        <v>1056</v>
      </c>
      <c r="P603" s="13" t="s">
        <v>1176</v>
      </c>
      <c r="Q603" s="13" t="s">
        <v>956</v>
      </c>
      <c r="R603" s="12">
        <v>75781</v>
      </c>
      <c r="S603" s="12"/>
    </row>
    <row r="604" spans="14:19" x14ac:dyDescent="0.2">
      <c r="N604" s="5">
        <v>45992</v>
      </c>
      <c r="O604" s="13" t="s">
        <v>1056</v>
      </c>
      <c r="P604" s="13" t="s">
        <v>1175</v>
      </c>
      <c r="Q604" s="13" t="s">
        <v>956</v>
      </c>
      <c r="R604" s="12">
        <v>61384</v>
      </c>
      <c r="S604" s="12"/>
    </row>
    <row r="605" spans="14:19" x14ac:dyDescent="0.2">
      <c r="N605" s="5">
        <v>45992</v>
      </c>
      <c r="O605" s="13" t="s">
        <v>1056</v>
      </c>
      <c r="P605" s="13" t="s">
        <v>1215</v>
      </c>
      <c r="Q605" s="13" t="s">
        <v>950</v>
      </c>
      <c r="R605" s="12">
        <v>0</v>
      </c>
      <c r="S605" s="12"/>
    </row>
    <row r="606" spans="14:19" x14ac:dyDescent="0.2">
      <c r="N606" s="5">
        <v>45992</v>
      </c>
      <c r="O606" s="13" t="s">
        <v>1056</v>
      </c>
      <c r="P606" s="13" t="s">
        <v>1842</v>
      </c>
      <c r="Q606" s="13" t="s">
        <v>950</v>
      </c>
      <c r="R606" s="12">
        <v>0</v>
      </c>
      <c r="S606" s="12"/>
    </row>
    <row r="607" spans="14:19" x14ac:dyDescent="0.2">
      <c r="N607" s="5">
        <v>45992</v>
      </c>
      <c r="O607" s="13" t="s">
        <v>1056</v>
      </c>
      <c r="P607" s="13" t="s">
        <v>1868</v>
      </c>
      <c r="Q607" s="13" t="s">
        <v>950</v>
      </c>
      <c r="R607" s="12">
        <v>150000</v>
      </c>
      <c r="S607" s="12"/>
    </row>
    <row r="608" spans="14:19" x14ac:dyDescent="0.2">
      <c r="N608" s="5">
        <v>45992</v>
      </c>
      <c r="O608" s="13" t="s">
        <v>1056</v>
      </c>
      <c r="P608" s="13" t="s">
        <v>1187</v>
      </c>
      <c r="Q608" s="13" t="s">
        <v>950</v>
      </c>
      <c r="R608" s="12">
        <v>0</v>
      </c>
      <c r="S608" s="12"/>
    </row>
    <row r="609" spans="14:19" x14ac:dyDescent="0.2">
      <c r="N609" s="5">
        <v>45992</v>
      </c>
      <c r="O609" s="13" t="s">
        <v>1056</v>
      </c>
      <c r="P609" s="13" t="s">
        <v>1760</v>
      </c>
      <c r="Q609" s="13" t="s">
        <v>950</v>
      </c>
      <c r="R609" s="12">
        <v>0</v>
      </c>
      <c r="S609" s="12"/>
    </row>
    <row r="610" spans="14:19" x14ac:dyDescent="0.2">
      <c r="N610" s="5">
        <v>45992</v>
      </c>
      <c r="O610" s="13" t="s">
        <v>1056</v>
      </c>
      <c r="P610" s="13" t="s">
        <v>1174</v>
      </c>
      <c r="Q610" s="13" t="s">
        <v>952</v>
      </c>
      <c r="R610" s="12">
        <v>76695</v>
      </c>
      <c r="S610" s="12"/>
    </row>
    <row r="611" spans="14:19" x14ac:dyDescent="0.2">
      <c r="N611" s="5">
        <v>45992</v>
      </c>
      <c r="O611" s="13" t="s">
        <v>1057</v>
      </c>
      <c r="P611" s="13" t="s">
        <v>1174</v>
      </c>
      <c r="Q611" s="13" t="s">
        <v>952</v>
      </c>
      <c r="R611" s="12">
        <v>0</v>
      </c>
      <c r="S611" s="12"/>
    </row>
    <row r="612" spans="14:19" x14ac:dyDescent="0.2">
      <c r="N612" s="5">
        <v>45992</v>
      </c>
      <c r="O612" s="13" t="s">
        <v>1056</v>
      </c>
      <c r="P612" s="13" t="s">
        <v>1173</v>
      </c>
      <c r="Q612" s="13" t="s">
        <v>952</v>
      </c>
      <c r="R612" s="12">
        <v>73055</v>
      </c>
      <c r="S612" s="12"/>
    </row>
    <row r="613" spans="14:19" x14ac:dyDescent="0.2">
      <c r="N613" s="5">
        <v>45992</v>
      </c>
      <c r="O613" s="13" t="s">
        <v>1056</v>
      </c>
      <c r="P613" s="13" t="s">
        <v>1790</v>
      </c>
      <c r="Q613" s="13" t="s">
        <v>952</v>
      </c>
      <c r="R613" s="12">
        <v>0</v>
      </c>
      <c r="S613" s="12"/>
    </row>
    <row r="614" spans="14:19" x14ac:dyDescent="0.2">
      <c r="N614" s="5">
        <v>45992</v>
      </c>
      <c r="O614" s="13" t="s">
        <v>1057</v>
      </c>
      <c r="P614" s="13" t="s">
        <v>1151</v>
      </c>
      <c r="Q614" s="13" t="s">
        <v>952</v>
      </c>
      <c r="R614" s="12">
        <v>75708</v>
      </c>
      <c r="S614" s="12"/>
    </row>
    <row r="615" spans="14:19" x14ac:dyDescent="0.2">
      <c r="N615" s="5">
        <v>45992</v>
      </c>
      <c r="O615" s="13" t="s">
        <v>1057</v>
      </c>
      <c r="P615" s="13" t="s">
        <v>1155</v>
      </c>
      <c r="Q615" s="13" t="s">
        <v>952</v>
      </c>
      <c r="R615" s="12">
        <v>1169852</v>
      </c>
      <c r="S615" s="12"/>
    </row>
    <row r="616" spans="14:19" x14ac:dyDescent="0.2">
      <c r="N616" s="5">
        <v>45992</v>
      </c>
      <c r="O616" s="13" t="s">
        <v>1057</v>
      </c>
      <c r="P616" s="13" t="s">
        <v>1793</v>
      </c>
      <c r="Q616" s="13" t="s">
        <v>914</v>
      </c>
      <c r="R616" s="12">
        <v>0</v>
      </c>
      <c r="S616" s="12"/>
    </row>
    <row r="617" spans="14:19" x14ac:dyDescent="0.2">
      <c r="N617" s="5">
        <v>45992</v>
      </c>
      <c r="O617" s="13" t="s">
        <v>1057</v>
      </c>
      <c r="P617" s="13" t="s">
        <v>1143</v>
      </c>
      <c r="Q617" s="13" t="s">
        <v>914</v>
      </c>
      <c r="R617" s="12">
        <v>1423500</v>
      </c>
      <c r="S617" s="12"/>
    </row>
    <row r="618" spans="14:19" x14ac:dyDescent="0.2">
      <c r="N618" s="5">
        <v>45992</v>
      </c>
      <c r="O618" s="13" t="s">
        <v>1056</v>
      </c>
      <c r="P618" s="13" t="s">
        <v>1162</v>
      </c>
      <c r="Q618" s="13" t="s">
        <v>914</v>
      </c>
      <c r="R618" s="12">
        <v>2500000</v>
      </c>
      <c r="S618" s="12"/>
    </row>
    <row r="619" spans="14:19" x14ac:dyDescent="0.2">
      <c r="N619" s="5">
        <v>45992</v>
      </c>
      <c r="O619" s="13" t="s">
        <v>1056</v>
      </c>
      <c r="P619" s="13" t="s">
        <v>1163</v>
      </c>
      <c r="Q619" s="13" t="s">
        <v>914</v>
      </c>
      <c r="R619" s="12">
        <v>2500000</v>
      </c>
      <c r="S619" s="12"/>
    </row>
    <row r="620" spans="14:19" x14ac:dyDescent="0.2">
      <c r="N620" s="5">
        <v>45992</v>
      </c>
      <c r="O620" s="13" t="s">
        <v>1056</v>
      </c>
      <c r="P620" s="13" t="s">
        <v>1164</v>
      </c>
      <c r="Q620" s="13" t="s">
        <v>914</v>
      </c>
      <c r="R620" s="12">
        <v>1328600</v>
      </c>
      <c r="S620" s="12"/>
    </row>
    <row r="621" spans="14:19" x14ac:dyDescent="0.2">
      <c r="N621" s="5">
        <v>45992</v>
      </c>
      <c r="O621" s="13" t="s">
        <v>1057</v>
      </c>
      <c r="P621" s="13" t="s">
        <v>1779</v>
      </c>
      <c r="Q621" s="13" t="s">
        <v>914</v>
      </c>
      <c r="R621" s="12">
        <v>0</v>
      </c>
      <c r="S621" s="12"/>
    </row>
    <row r="622" spans="14:19" x14ac:dyDescent="0.2">
      <c r="N622" s="5">
        <v>45992</v>
      </c>
      <c r="O622" s="13" t="s">
        <v>1057</v>
      </c>
      <c r="P622" s="13" t="s">
        <v>1687</v>
      </c>
      <c r="Q622" s="13" t="s">
        <v>914</v>
      </c>
      <c r="R622" s="12">
        <v>0</v>
      </c>
      <c r="S622" s="12"/>
    </row>
    <row r="623" spans="14:19" x14ac:dyDescent="0.2">
      <c r="N623" s="5">
        <v>45992</v>
      </c>
      <c r="O623" s="13" t="s">
        <v>1057</v>
      </c>
      <c r="P623" s="13" t="s">
        <v>1681</v>
      </c>
      <c r="Q623" s="13" t="s">
        <v>914</v>
      </c>
      <c r="R623" s="12">
        <v>0</v>
      </c>
      <c r="S623" s="12"/>
    </row>
    <row r="624" spans="14:19" x14ac:dyDescent="0.2">
      <c r="N624" s="5">
        <v>45992</v>
      </c>
      <c r="O624" s="13" t="s">
        <v>1057</v>
      </c>
      <c r="P624" s="13" t="s">
        <v>1149</v>
      </c>
      <c r="Q624" s="13" t="s">
        <v>1012</v>
      </c>
      <c r="R624" s="12"/>
      <c r="S624" s="12">
        <v>827565</v>
      </c>
    </row>
    <row r="625" spans="14:19" x14ac:dyDescent="0.2">
      <c r="N625" s="5">
        <v>45992</v>
      </c>
      <c r="O625" s="13" t="s">
        <v>1057</v>
      </c>
      <c r="P625" s="13" t="s">
        <v>1214</v>
      </c>
      <c r="Q625" s="13" t="s">
        <v>1012</v>
      </c>
      <c r="R625" s="12"/>
      <c r="S625" s="12">
        <v>28900</v>
      </c>
    </row>
    <row r="626" spans="14:19" x14ac:dyDescent="0.2">
      <c r="N626" s="5">
        <v>45992</v>
      </c>
      <c r="O626" s="13" t="s">
        <v>1057</v>
      </c>
      <c r="P626" s="13" t="s">
        <v>1775</v>
      </c>
      <c r="Q626" s="13" t="s">
        <v>1012</v>
      </c>
      <c r="R626" s="12"/>
      <c r="S626" s="12">
        <v>0</v>
      </c>
    </row>
    <row r="627" spans="14:19" x14ac:dyDescent="0.2">
      <c r="N627" s="5">
        <v>45992</v>
      </c>
      <c r="O627" s="13" t="s">
        <v>1057</v>
      </c>
      <c r="P627" s="13" t="s">
        <v>1150</v>
      </c>
      <c r="Q627" s="13" t="s">
        <v>1012</v>
      </c>
      <c r="R627" s="12"/>
      <c r="S627" s="12">
        <v>0</v>
      </c>
    </row>
    <row r="628" spans="14:19" x14ac:dyDescent="0.2">
      <c r="N628" s="5">
        <v>45992</v>
      </c>
      <c r="O628" s="13" t="s">
        <v>1057</v>
      </c>
      <c r="P628" s="13" t="s">
        <v>1753</v>
      </c>
      <c r="Q628" s="13" t="s">
        <v>1012</v>
      </c>
      <c r="R628" s="12"/>
      <c r="S628" s="12">
        <v>160084</v>
      </c>
    </row>
    <row r="629" spans="14:19" x14ac:dyDescent="0.2">
      <c r="N629" s="5">
        <v>45992</v>
      </c>
      <c r="O629" s="13" t="s">
        <v>1057</v>
      </c>
      <c r="P629" s="13" t="s">
        <v>1153</v>
      </c>
      <c r="Q629" s="13" t="s">
        <v>1012</v>
      </c>
      <c r="R629" s="12"/>
      <c r="S629" s="12">
        <v>1810396</v>
      </c>
    </row>
    <row r="630" spans="14:19" x14ac:dyDescent="0.2">
      <c r="N630" s="5">
        <v>45992</v>
      </c>
      <c r="O630" s="13" t="s">
        <v>1057</v>
      </c>
      <c r="P630" s="13" t="s">
        <v>1755</v>
      </c>
      <c r="Q630" s="13" t="s">
        <v>1012</v>
      </c>
      <c r="R630" s="12"/>
      <c r="S630" s="12">
        <v>0</v>
      </c>
    </row>
    <row r="631" spans="14:19" x14ac:dyDescent="0.2">
      <c r="N631" s="5">
        <v>45992</v>
      </c>
      <c r="O631" s="13" t="s">
        <v>1057</v>
      </c>
      <c r="P631" s="13" t="s">
        <v>1793</v>
      </c>
      <c r="Q631" s="13" t="s">
        <v>864</v>
      </c>
      <c r="R631" s="12">
        <v>0</v>
      </c>
      <c r="S631" s="12"/>
    </row>
    <row r="632" spans="14:19" x14ac:dyDescent="0.2">
      <c r="N632" s="5">
        <v>45992</v>
      </c>
      <c r="O632" s="13" t="s">
        <v>1056</v>
      </c>
      <c r="P632" s="13" t="s">
        <v>1164</v>
      </c>
      <c r="Q632" s="13" t="s">
        <v>864</v>
      </c>
      <c r="R632" s="12">
        <v>225851</v>
      </c>
      <c r="S632" s="12"/>
    </row>
    <row r="633" spans="14:19" x14ac:dyDescent="0.2">
      <c r="N633" s="5">
        <v>45992</v>
      </c>
      <c r="O633" s="13" t="s">
        <v>1057</v>
      </c>
      <c r="P633" s="13" t="s">
        <v>1687</v>
      </c>
      <c r="Q633" s="13" t="s">
        <v>864</v>
      </c>
      <c r="R633" s="12">
        <v>0</v>
      </c>
      <c r="S633" s="12"/>
    </row>
    <row r="634" spans="14:19" x14ac:dyDescent="0.2">
      <c r="N634" s="5">
        <v>45992</v>
      </c>
      <c r="O634" s="13" t="s">
        <v>1056</v>
      </c>
      <c r="P634" s="13" t="s">
        <v>1163</v>
      </c>
      <c r="Q634" s="13" t="s">
        <v>864</v>
      </c>
      <c r="R634" s="12">
        <v>104160</v>
      </c>
      <c r="S634" s="12"/>
    </row>
    <row r="635" spans="14:19" x14ac:dyDescent="0.2">
      <c r="N635" s="5">
        <v>45992</v>
      </c>
      <c r="O635" s="13" t="s">
        <v>1057</v>
      </c>
      <c r="P635" s="13" t="s">
        <v>1779</v>
      </c>
      <c r="Q635" s="13" t="s">
        <v>864</v>
      </c>
      <c r="R635" s="12">
        <v>0</v>
      </c>
      <c r="S635" s="12"/>
    </row>
    <row r="636" spans="14:19" x14ac:dyDescent="0.2">
      <c r="N636" s="5">
        <v>45992</v>
      </c>
      <c r="O636" s="13" t="s">
        <v>1057</v>
      </c>
      <c r="P636" s="13" t="s">
        <v>1681</v>
      </c>
      <c r="Q636" s="13" t="s">
        <v>864</v>
      </c>
      <c r="R636" s="12">
        <v>0</v>
      </c>
      <c r="S636" s="12"/>
    </row>
    <row r="637" spans="14:19" x14ac:dyDescent="0.2">
      <c r="N637" s="5">
        <v>45992</v>
      </c>
      <c r="O637" s="13" t="s">
        <v>1056</v>
      </c>
      <c r="P637" s="13" t="s">
        <v>1162</v>
      </c>
      <c r="Q637" s="13" t="s">
        <v>864</v>
      </c>
      <c r="R637" s="12">
        <v>104160</v>
      </c>
      <c r="S637" s="12"/>
    </row>
    <row r="638" spans="14:19" x14ac:dyDescent="0.2">
      <c r="N638" s="5">
        <v>45992</v>
      </c>
      <c r="O638" s="13" t="s">
        <v>1057</v>
      </c>
      <c r="P638" s="13" t="s">
        <v>1143</v>
      </c>
      <c r="Q638" s="13" t="s">
        <v>864</v>
      </c>
      <c r="R638" s="12">
        <v>77340</v>
      </c>
      <c r="S638" s="12"/>
    </row>
    <row r="639" spans="14:19" x14ac:dyDescent="0.2">
      <c r="N639" s="5">
        <v>45992</v>
      </c>
      <c r="O639" s="13" t="s">
        <v>1056</v>
      </c>
      <c r="P639" s="13" t="s">
        <v>1791</v>
      </c>
      <c r="Q639" s="13" t="s">
        <v>976</v>
      </c>
      <c r="R639" s="12">
        <v>0</v>
      </c>
      <c r="S639" s="12"/>
    </row>
    <row r="640" spans="14:19" x14ac:dyDescent="0.2">
      <c r="N640" s="5">
        <v>45992</v>
      </c>
      <c r="O640" s="13" t="s">
        <v>1056</v>
      </c>
      <c r="P640" s="13" t="s">
        <v>1170</v>
      </c>
      <c r="Q640" s="13" t="s">
        <v>976</v>
      </c>
      <c r="R640" s="12">
        <v>0</v>
      </c>
      <c r="S640" s="12"/>
    </row>
    <row r="641" spans="14:19" x14ac:dyDescent="0.2">
      <c r="N641" s="5">
        <v>45992</v>
      </c>
      <c r="O641" s="13" t="s">
        <v>1056</v>
      </c>
      <c r="P641" s="13" t="s">
        <v>1171</v>
      </c>
      <c r="Q641" s="13" t="s">
        <v>976</v>
      </c>
      <c r="R641" s="12">
        <v>88361</v>
      </c>
      <c r="S641" s="12"/>
    </row>
    <row r="642" spans="14:19" x14ac:dyDescent="0.2">
      <c r="N642" s="5">
        <v>45992</v>
      </c>
      <c r="O642" s="13" t="s">
        <v>1056</v>
      </c>
      <c r="P642" s="13" t="s">
        <v>1185</v>
      </c>
      <c r="Q642" s="13" t="s">
        <v>976</v>
      </c>
      <c r="R642" s="12">
        <v>0</v>
      </c>
      <c r="S642" s="12"/>
    </row>
    <row r="643" spans="14:19" x14ac:dyDescent="0.2">
      <c r="N643" s="5">
        <v>45992</v>
      </c>
      <c r="O643" s="13" t="s">
        <v>1056</v>
      </c>
      <c r="P643" s="13" t="s">
        <v>1195</v>
      </c>
      <c r="Q643" s="13" t="s">
        <v>976</v>
      </c>
      <c r="R643" s="12">
        <v>180628</v>
      </c>
      <c r="S643" s="12"/>
    </row>
    <row r="644" spans="14:19" x14ac:dyDescent="0.2">
      <c r="N644" s="5">
        <v>45992</v>
      </c>
      <c r="O644" s="13" t="s">
        <v>1056</v>
      </c>
      <c r="P644" s="13" t="s">
        <v>1816</v>
      </c>
      <c r="Q644" s="13" t="s">
        <v>976</v>
      </c>
      <c r="R644" s="12">
        <v>0</v>
      </c>
      <c r="S644" s="12"/>
    </row>
    <row r="645" spans="14:19" x14ac:dyDescent="0.2">
      <c r="N645" s="5">
        <v>45992</v>
      </c>
      <c r="O645" s="13" t="s">
        <v>1056</v>
      </c>
      <c r="P645" s="13" t="s">
        <v>1815</v>
      </c>
      <c r="Q645" s="13" t="s">
        <v>976</v>
      </c>
      <c r="R645" s="12">
        <v>0</v>
      </c>
      <c r="S645" s="12"/>
    </row>
    <row r="646" spans="14:19" x14ac:dyDescent="0.2">
      <c r="N646" s="5">
        <v>45992</v>
      </c>
      <c r="O646" s="13" t="s">
        <v>1056</v>
      </c>
      <c r="P646" s="13" t="s">
        <v>1778</v>
      </c>
      <c r="Q646" s="13" t="s">
        <v>976</v>
      </c>
      <c r="R646" s="12">
        <v>0</v>
      </c>
      <c r="S646" s="12"/>
    </row>
    <row r="647" spans="14:19" x14ac:dyDescent="0.2">
      <c r="N647" s="5">
        <v>45992</v>
      </c>
      <c r="O647" s="13" t="s">
        <v>1056</v>
      </c>
      <c r="P647" s="13" t="s">
        <v>1679</v>
      </c>
      <c r="Q647" s="13" t="s">
        <v>976</v>
      </c>
      <c r="R647" s="12">
        <v>0</v>
      </c>
      <c r="S647" s="12"/>
    </row>
    <row r="648" spans="14:19" x14ac:dyDescent="0.2">
      <c r="N648" s="5">
        <v>45992</v>
      </c>
      <c r="O648" s="13" t="s">
        <v>1056</v>
      </c>
      <c r="P648" s="13" t="s">
        <v>1757</v>
      </c>
      <c r="Q648" s="13" t="s">
        <v>976</v>
      </c>
      <c r="R648" s="12">
        <v>0</v>
      </c>
      <c r="S648" s="12"/>
    </row>
    <row r="649" spans="14:19" x14ac:dyDescent="0.2">
      <c r="N649" s="5">
        <v>45992</v>
      </c>
      <c r="O649" s="13" t="s">
        <v>1056</v>
      </c>
      <c r="P649" s="13" t="s">
        <v>1776</v>
      </c>
      <c r="Q649" s="13" t="s">
        <v>976</v>
      </c>
      <c r="R649" s="12">
        <v>0</v>
      </c>
      <c r="S649" s="12"/>
    </row>
    <row r="650" spans="14:19" x14ac:dyDescent="0.2">
      <c r="N650" s="5">
        <v>45992</v>
      </c>
      <c r="O650" s="13" t="s">
        <v>1056</v>
      </c>
      <c r="P650" s="13" t="s">
        <v>1200</v>
      </c>
      <c r="Q650" s="13" t="s">
        <v>976</v>
      </c>
      <c r="R650" s="12">
        <v>0</v>
      </c>
      <c r="S650" s="12"/>
    </row>
    <row r="651" spans="14:19" x14ac:dyDescent="0.2">
      <c r="N651" s="5">
        <v>45992</v>
      </c>
      <c r="O651" s="13" t="s">
        <v>1056</v>
      </c>
      <c r="P651" s="13" t="s">
        <v>1158</v>
      </c>
      <c r="Q651" s="13" t="s">
        <v>976</v>
      </c>
      <c r="R651" s="12">
        <v>1574652</v>
      </c>
      <c r="S651" s="12"/>
    </row>
    <row r="652" spans="14:19" x14ac:dyDescent="0.2">
      <c r="N652" s="5">
        <v>45992</v>
      </c>
      <c r="O652" s="13" t="s">
        <v>1056</v>
      </c>
      <c r="P652" s="13" t="s">
        <v>1777</v>
      </c>
      <c r="Q652" s="13" t="s">
        <v>976</v>
      </c>
      <c r="R652" s="12">
        <v>0</v>
      </c>
      <c r="S652" s="12"/>
    </row>
    <row r="653" spans="14:19" x14ac:dyDescent="0.2">
      <c r="N653" s="5">
        <v>46023</v>
      </c>
      <c r="O653" s="13" t="s">
        <v>1058</v>
      </c>
      <c r="P653" s="13" t="s">
        <v>1180</v>
      </c>
      <c r="Q653" s="13" t="s">
        <v>912</v>
      </c>
      <c r="R653" s="12">
        <v>2968</v>
      </c>
      <c r="S653" s="12"/>
    </row>
    <row r="654" spans="14:19" x14ac:dyDescent="0.2">
      <c r="N654" s="5">
        <v>46023</v>
      </c>
      <c r="O654" s="13" t="s">
        <v>1058</v>
      </c>
      <c r="P654" s="13" t="s">
        <v>1183</v>
      </c>
      <c r="Q654" s="13" t="s">
        <v>912</v>
      </c>
      <c r="R654" s="12">
        <v>774</v>
      </c>
      <c r="S654" s="12"/>
    </row>
    <row r="655" spans="14:19" x14ac:dyDescent="0.2">
      <c r="N655" s="5">
        <v>46023</v>
      </c>
      <c r="O655" s="13" t="s">
        <v>1056</v>
      </c>
      <c r="P655" s="13" t="s">
        <v>1145</v>
      </c>
      <c r="Q655" s="13" t="s">
        <v>930</v>
      </c>
      <c r="R655" s="12">
        <v>300000</v>
      </c>
      <c r="S655" s="12"/>
    </row>
    <row r="656" spans="14:19" x14ac:dyDescent="0.2">
      <c r="N656" s="5">
        <v>46023</v>
      </c>
      <c r="O656" s="13" t="s">
        <v>1057</v>
      </c>
      <c r="P656" s="13" t="s">
        <v>1145</v>
      </c>
      <c r="Q656" s="13" t="s">
        <v>930</v>
      </c>
      <c r="R656" s="12">
        <v>210100</v>
      </c>
      <c r="S656" s="12"/>
    </row>
    <row r="657" spans="14:19" x14ac:dyDescent="0.2">
      <c r="N657" s="5">
        <v>46023</v>
      </c>
      <c r="O657" s="13" t="s">
        <v>1056</v>
      </c>
      <c r="P657" s="13" t="s">
        <v>1166</v>
      </c>
      <c r="Q657" s="13" t="s">
        <v>930</v>
      </c>
      <c r="R657" s="12">
        <v>210100</v>
      </c>
      <c r="S657" s="12"/>
    </row>
    <row r="658" spans="14:19" x14ac:dyDescent="0.2">
      <c r="N658" s="5">
        <v>46023</v>
      </c>
      <c r="O658" s="13" t="s">
        <v>1056</v>
      </c>
      <c r="P658" s="13" t="s">
        <v>1165</v>
      </c>
      <c r="Q658" s="13" t="s">
        <v>930</v>
      </c>
      <c r="R658" s="12">
        <v>300000</v>
      </c>
      <c r="S658" s="12"/>
    </row>
    <row r="659" spans="14:19" x14ac:dyDescent="0.2">
      <c r="N659" s="5">
        <v>46023</v>
      </c>
      <c r="O659" s="13" t="s">
        <v>1057</v>
      </c>
      <c r="P659" s="13" t="s">
        <v>1144</v>
      </c>
      <c r="Q659" s="13" t="s">
        <v>927</v>
      </c>
      <c r="R659" s="12">
        <v>9200</v>
      </c>
      <c r="S659" s="12"/>
    </row>
    <row r="660" spans="14:19" x14ac:dyDescent="0.2">
      <c r="N660" s="5">
        <v>46023</v>
      </c>
      <c r="O660" s="13" t="s">
        <v>1056</v>
      </c>
      <c r="P660" s="13" t="s">
        <v>1144</v>
      </c>
      <c r="Q660" s="13" t="s">
        <v>927</v>
      </c>
      <c r="R660" s="12">
        <v>35400</v>
      </c>
      <c r="S660" s="12"/>
    </row>
    <row r="661" spans="14:19" x14ac:dyDescent="0.2">
      <c r="N661" s="5">
        <v>46023</v>
      </c>
      <c r="O661" s="13" t="s">
        <v>1057</v>
      </c>
      <c r="P661" s="13" t="s">
        <v>1146</v>
      </c>
      <c r="Q661" s="13" t="s">
        <v>932</v>
      </c>
      <c r="R661" s="12">
        <v>70100</v>
      </c>
      <c r="S661" s="12"/>
    </row>
    <row r="662" spans="14:19" x14ac:dyDescent="0.2">
      <c r="N662" s="5">
        <v>46023</v>
      </c>
      <c r="O662" s="13" t="s">
        <v>1056</v>
      </c>
      <c r="P662" s="13" t="s">
        <v>1146</v>
      </c>
      <c r="Q662" s="13" t="s">
        <v>932</v>
      </c>
      <c r="R662" s="12">
        <v>270100</v>
      </c>
      <c r="S662" s="12"/>
    </row>
    <row r="663" spans="14:19" x14ac:dyDescent="0.2">
      <c r="N663" s="5">
        <v>46023</v>
      </c>
      <c r="O663" s="13" t="s">
        <v>1057</v>
      </c>
      <c r="P663" s="13" t="s">
        <v>1147</v>
      </c>
      <c r="Q663" s="13" t="s">
        <v>948</v>
      </c>
      <c r="R663" s="12">
        <v>2400000</v>
      </c>
      <c r="S663" s="12"/>
    </row>
    <row r="664" spans="14:19" x14ac:dyDescent="0.2">
      <c r="N664" s="5">
        <v>46023</v>
      </c>
      <c r="O664" s="13" t="s">
        <v>1057</v>
      </c>
      <c r="P664" s="13" t="s">
        <v>1148</v>
      </c>
      <c r="Q664" s="13" t="s">
        <v>948</v>
      </c>
      <c r="R664" s="12">
        <v>6300000</v>
      </c>
      <c r="S664" s="12"/>
    </row>
    <row r="665" spans="14:19" x14ac:dyDescent="0.2">
      <c r="N665" s="5">
        <v>46023</v>
      </c>
      <c r="O665" s="13" t="s">
        <v>1056</v>
      </c>
      <c r="P665" s="13" t="s">
        <v>1164</v>
      </c>
      <c r="Q665" s="13" t="s">
        <v>916</v>
      </c>
      <c r="R665" s="12">
        <v>249095</v>
      </c>
      <c r="S665" s="12"/>
    </row>
    <row r="666" spans="14:19" x14ac:dyDescent="0.2">
      <c r="N666" s="5">
        <v>46023</v>
      </c>
      <c r="O666" s="13" t="s">
        <v>1056</v>
      </c>
      <c r="P666" s="13" t="s">
        <v>1162</v>
      </c>
      <c r="Q666" s="13" t="s">
        <v>916</v>
      </c>
      <c r="R666" s="12">
        <v>249095</v>
      </c>
      <c r="S666" s="12"/>
    </row>
    <row r="667" spans="14:19" x14ac:dyDescent="0.2">
      <c r="N667" s="5">
        <v>46023</v>
      </c>
      <c r="O667" s="13" t="s">
        <v>1056</v>
      </c>
      <c r="P667" s="13" t="s">
        <v>1163</v>
      </c>
      <c r="Q667" s="13" t="s">
        <v>916</v>
      </c>
      <c r="R667" s="12">
        <v>249095</v>
      </c>
      <c r="S667" s="12"/>
    </row>
    <row r="668" spans="14:19" x14ac:dyDescent="0.2">
      <c r="N668" s="5">
        <v>46023</v>
      </c>
      <c r="O668" s="13" t="s">
        <v>1057</v>
      </c>
      <c r="P668" s="13" t="s">
        <v>1143</v>
      </c>
      <c r="Q668" s="13" t="s">
        <v>993</v>
      </c>
      <c r="R668" s="12">
        <v>249095</v>
      </c>
      <c r="S668" s="12"/>
    </row>
    <row r="669" spans="14:19" x14ac:dyDescent="0.2">
      <c r="N669" s="5">
        <v>46023</v>
      </c>
      <c r="O669" s="13" t="s">
        <v>1056</v>
      </c>
      <c r="P669" s="13" t="s">
        <v>1164</v>
      </c>
      <c r="Q669" s="13" t="s">
        <v>938</v>
      </c>
      <c r="R669" s="12">
        <v>130400</v>
      </c>
      <c r="S669" s="12"/>
    </row>
    <row r="670" spans="14:19" x14ac:dyDescent="0.2">
      <c r="N670" s="5">
        <v>46023</v>
      </c>
      <c r="O670" s="13" t="s">
        <v>1056</v>
      </c>
      <c r="P670" s="13" t="s">
        <v>1167</v>
      </c>
      <c r="Q670" s="13" t="s">
        <v>978</v>
      </c>
      <c r="R670" s="12">
        <v>161700</v>
      </c>
      <c r="S670" s="12"/>
    </row>
    <row r="671" spans="14:19" x14ac:dyDescent="0.2">
      <c r="N671" s="5">
        <v>46023</v>
      </c>
      <c r="O671" s="13" t="s">
        <v>1056</v>
      </c>
      <c r="P671" s="13" t="s">
        <v>1168</v>
      </c>
      <c r="Q671" s="13" t="s">
        <v>978</v>
      </c>
      <c r="R671" s="12">
        <v>91200</v>
      </c>
      <c r="S671" s="12"/>
    </row>
    <row r="672" spans="14:19" x14ac:dyDescent="0.2">
      <c r="N672" s="5">
        <v>46023</v>
      </c>
      <c r="O672" s="13" t="s">
        <v>1056</v>
      </c>
      <c r="P672" s="13" t="s">
        <v>1162</v>
      </c>
      <c r="Q672" s="13" t="s">
        <v>860</v>
      </c>
      <c r="R672" s="12">
        <v>229091</v>
      </c>
      <c r="S672" s="12"/>
    </row>
    <row r="673" spans="14:19" x14ac:dyDescent="0.2">
      <c r="N673" s="5">
        <v>46023</v>
      </c>
      <c r="O673" s="13" t="s">
        <v>1056</v>
      </c>
      <c r="P673" s="13" t="s">
        <v>1164</v>
      </c>
      <c r="Q673" s="13" t="s">
        <v>860</v>
      </c>
      <c r="R673" s="12">
        <v>166667</v>
      </c>
      <c r="S673" s="12"/>
    </row>
    <row r="674" spans="14:19" x14ac:dyDescent="0.2">
      <c r="N674" s="5">
        <v>46023</v>
      </c>
      <c r="O674" s="13" t="s">
        <v>1057</v>
      </c>
      <c r="P674" s="13" t="s">
        <v>1143</v>
      </c>
      <c r="Q674" s="13" t="s">
        <v>860</v>
      </c>
      <c r="R674" s="12">
        <v>166667</v>
      </c>
      <c r="S674" s="12"/>
    </row>
    <row r="675" spans="14:19" x14ac:dyDescent="0.2">
      <c r="N675" s="5">
        <v>46023</v>
      </c>
      <c r="O675" s="13" t="s">
        <v>1056</v>
      </c>
      <c r="P675" s="13" t="s">
        <v>1163</v>
      </c>
      <c r="Q675" s="13" t="s">
        <v>860</v>
      </c>
      <c r="R675" s="12">
        <v>229091</v>
      </c>
      <c r="S675" s="12"/>
    </row>
    <row r="676" spans="14:19" x14ac:dyDescent="0.2">
      <c r="N676" s="5">
        <v>46023</v>
      </c>
      <c r="O676" s="13" t="s">
        <v>1057</v>
      </c>
      <c r="P676" s="13" t="s">
        <v>1161</v>
      </c>
      <c r="Q676" s="13" t="s">
        <v>972</v>
      </c>
      <c r="R676" s="12"/>
      <c r="S676" s="12">
        <v>1642868</v>
      </c>
    </row>
    <row r="677" spans="14:19" x14ac:dyDescent="0.2">
      <c r="N677" s="5">
        <v>46023</v>
      </c>
      <c r="O677" s="13" t="s">
        <v>1058</v>
      </c>
      <c r="P677" s="13" t="s">
        <v>1161</v>
      </c>
      <c r="Q677" s="13" t="s">
        <v>972</v>
      </c>
      <c r="R677" s="12">
        <v>9552</v>
      </c>
      <c r="S677" s="12"/>
    </row>
    <row r="678" spans="14:19" x14ac:dyDescent="0.2">
      <c r="N678" s="5">
        <v>46023</v>
      </c>
      <c r="O678" s="13" t="s">
        <v>1057</v>
      </c>
      <c r="P678" s="13" t="s">
        <v>1157</v>
      </c>
      <c r="Q678" s="13" t="s">
        <v>972</v>
      </c>
      <c r="R678" s="12"/>
      <c r="S678" s="12">
        <v>521003</v>
      </c>
    </row>
    <row r="679" spans="14:19" x14ac:dyDescent="0.2">
      <c r="N679" s="5">
        <v>46023</v>
      </c>
      <c r="O679" s="13" t="s">
        <v>1058</v>
      </c>
      <c r="P679" s="13" t="s">
        <v>1139</v>
      </c>
      <c r="Q679" s="13" t="s">
        <v>1030</v>
      </c>
      <c r="R679" s="12">
        <v>92428.57</v>
      </c>
      <c r="S679" s="12"/>
    </row>
    <row r="680" spans="14:19" x14ac:dyDescent="0.2">
      <c r="N680" s="5">
        <v>46023</v>
      </c>
      <c r="O680" s="13" t="s">
        <v>1058</v>
      </c>
      <c r="P680" s="13" t="s">
        <v>1140</v>
      </c>
      <c r="Q680" s="13" t="s">
        <v>1030</v>
      </c>
      <c r="R680" s="12">
        <v>27226.89</v>
      </c>
      <c r="S680" s="12"/>
    </row>
    <row r="681" spans="14:19" x14ac:dyDescent="0.2">
      <c r="N681" s="5">
        <v>46023</v>
      </c>
      <c r="O681" s="13" t="s">
        <v>1056</v>
      </c>
      <c r="P681" s="13" t="s">
        <v>1169</v>
      </c>
      <c r="Q681" s="13" t="s">
        <v>974</v>
      </c>
      <c r="R681" s="12">
        <v>48740</v>
      </c>
      <c r="S681" s="12"/>
    </row>
    <row r="682" spans="14:19" x14ac:dyDescent="0.2">
      <c r="N682" s="5">
        <v>46023</v>
      </c>
      <c r="O682" s="13" t="s">
        <v>1058</v>
      </c>
      <c r="P682" s="13" t="s">
        <v>1161</v>
      </c>
      <c r="Q682" s="13" t="s">
        <v>1032</v>
      </c>
      <c r="R682" s="12">
        <v>572776</v>
      </c>
      <c r="S682" s="12"/>
    </row>
    <row r="683" spans="14:19" x14ac:dyDescent="0.2">
      <c r="N683" s="5">
        <v>46023</v>
      </c>
      <c r="O683" s="13" t="s">
        <v>1058</v>
      </c>
      <c r="P683" s="13" t="s">
        <v>1177</v>
      </c>
      <c r="Q683" s="13" t="s">
        <v>1032</v>
      </c>
      <c r="R683" s="12">
        <v>118113</v>
      </c>
      <c r="S683" s="12"/>
    </row>
    <row r="684" spans="14:19" x14ac:dyDescent="0.2">
      <c r="N684" s="5">
        <v>46023</v>
      </c>
      <c r="O684" s="13" t="s">
        <v>1058</v>
      </c>
      <c r="P684" s="13" t="s">
        <v>1177</v>
      </c>
      <c r="Q684" s="13" t="s">
        <v>1025</v>
      </c>
      <c r="R684" s="12">
        <v>91053</v>
      </c>
      <c r="S684" s="12"/>
    </row>
    <row r="685" spans="14:19" x14ac:dyDescent="0.2">
      <c r="N685" s="5">
        <v>46023</v>
      </c>
      <c r="O685" s="13" t="s">
        <v>1056</v>
      </c>
      <c r="P685" s="13" t="s">
        <v>1172</v>
      </c>
      <c r="Q685" s="13" t="s">
        <v>942</v>
      </c>
      <c r="R685" s="12">
        <v>1700000</v>
      </c>
      <c r="S685" s="12"/>
    </row>
    <row r="686" spans="14:19" x14ac:dyDescent="0.2">
      <c r="N686" s="5">
        <v>46023</v>
      </c>
      <c r="O686" s="13" t="s">
        <v>1058</v>
      </c>
      <c r="P686" s="13" t="s">
        <v>1166</v>
      </c>
      <c r="Q686" s="13" t="s">
        <v>1028</v>
      </c>
      <c r="R686" s="12">
        <v>200</v>
      </c>
      <c r="S686" s="12"/>
    </row>
    <row r="687" spans="14:19" x14ac:dyDescent="0.2">
      <c r="N687" s="5">
        <v>46023</v>
      </c>
      <c r="O687" s="13" t="s">
        <v>1058</v>
      </c>
      <c r="P687" s="13" t="s">
        <v>1144</v>
      </c>
      <c r="Q687" s="13" t="s">
        <v>1028</v>
      </c>
      <c r="R687" s="12">
        <v>200</v>
      </c>
      <c r="S687" s="12"/>
    </row>
    <row r="688" spans="14:19" x14ac:dyDescent="0.2">
      <c r="N688" s="5">
        <v>46023</v>
      </c>
      <c r="O688" s="13" t="s">
        <v>1058</v>
      </c>
      <c r="P688" s="13" t="s">
        <v>1179</v>
      </c>
      <c r="Q688" s="13" t="s">
        <v>1028</v>
      </c>
      <c r="R688" s="12">
        <v>500</v>
      </c>
      <c r="S688" s="12"/>
    </row>
    <row r="689" spans="14:19" x14ac:dyDescent="0.2">
      <c r="N689" s="5">
        <v>46023</v>
      </c>
      <c r="O689" s="13" t="s">
        <v>1058</v>
      </c>
      <c r="P689" s="13" t="s">
        <v>1178</v>
      </c>
      <c r="Q689" s="13" t="s">
        <v>1028</v>
      </c>
      <c r="R689" s="12">
        <v>700</v>
      </c>
      <c r="S689" s="12"/>
    </row>
    <row r="690" spans="14:19" x14ac:dyDescent="0.2">
      <c r="N690" s="5">
        <v>46023</v>
      </c>
      <c r="O690" s="13" t="s">
        <v>1058</v>
      </c>
      <c r="P690" s="13" t="s">
        <v>1184</v>
      </c>
      <c r="Q690" s="13" t="s">
        <v>1028</v>
      </c>
      <c r="R690" s="12">
        <v>1400</v>
      </c>
      <c r="S690" s="12"/>
    </row>
    <row r="691" spans="14:19" x14ac:dyDescent="0.2">
      <c r="N691" s="5">
        <v>46023</v>
      </c>
      <c r="O691" s="13" t="s">
        <v>1058</v>
      </c>
      <c r="P691" s="13" t="s">
        <v>1165</v>
      </c>
      <c r="Q691" s="13" t="s">
        <v>1028</v>
      </c>
      <c r="R691" s="12">
        <v>2000</v>
      </c>
      <c r="S691" s="12"/>
    </row>
    <row r="692" spans="14:19" x14ac:dyDescent="0.2">
      <c r="N692" s="5">
        <v>46023</v>
      </c>
      <c r="O692" s="13" t="s">
        <v>1058</v>
      </c>
      <c r="P692" s="13" t="s">
        <v>1146</v>
      </c>
      <c r="Q692" s="13" t="s">
        <v>1028</v>
      </c>
      <c r="R692" s="12">
        <v>1100</v>
      </c>
      <c r="S692" s="12"/>
    </row>
    <row r="693" spans="14:19" x14ac:dyDescent="0.2">
      <c r="N693" s="5">
        <v>46023</v>
      </c>
      <c r="O693" s="13" t="s">
        <v>1058</v>
      </c>
      <c r="P693" s="13" t="s">
        <v>1182</v>
      </c>
      <c r="Q693" s="13" t="s">
        <v>1028</v>
      </c>
      <c r="R693" s="12">
        <v>1400</v>
      </c>
      <c r="S693" s="12"/>
    </row>
    <row r="694" spans="14:19" x14ac:dyDescent="0.2">
      <c r="N694" s="5">
        <v>46023</v>
      </c>
      <c r="O694" s="13" t="s">
        <v>1058</v>
      </c>
      <c r="P694" s="13" t="s">
        <v>1145</v>
      </c>
      <c r="Q694" s="13" t="s">
        <v>1028</v>
      </c>
      <c r="R694" s="12">
        <v>2200</v>
      </c>
      <c r="S694" s="12"/>
    </row>
    <row r="695" spans="14:19" x14ac:dyDescent="0.2">
      <c r="N695" s="5">
        <v>46023</v>
      </c>
      <c r="O695" s="13" t="s">
        <v>1058</v>
      </c>
      <c r="P695" s="13" t="s">
        <v>1180</v>
      </c>
      <c r="Q695" s="13" t="s">
        <v>1028</v>
      </c>
      <c r="R695" s="12">
        <v>99000</v>
      </c>
      <c r="S695" s="12"/>
    </row>
    <row r="696" spans="14:19" x14ac:dyDescent="0.2">
      <c r="N696" s="5">
        <v>46023</v>
      </c>
      <c r="O696" s="13" t="s">
        <v>1058</v>
      </c>
      <c r="P696" s="13" t="s">
        <v>1183</v>
      </c>
      <c r="Q696" s="13" t="s">
        <v>1028</v>
      </c>
      <c r="R696" s="12">
        <v>59000</v>
      </c>
      <c r="S696" s="12"/>
    </row>
    <row r="697" spans="14:19" x14ac:dyDescent="0.2">
      <c r="N697" s="5">
        <v>46023</v>
      </c>
      <c r="O697" s="13" t="s">
        <v>1058</v>
      </c>
      <c r="P697" s="13" t="s">
        <v>1181</v>
      </c>
      <c r="Q697" s="13" t="s">
        <v>1028</v>
      </c>
      <c r="R697" s="12">
        <v>100</v>
      </c>
      <c r="S697" s="12"/>
    </row>
    <row r="698" spans="14:19" x14ac:dyDescent="0.2">
      <c r="N698" s="5">
        <v>46023</v>
      </c>
      <c r="O698" s="13" t="s">
        <v>1056</v>
      </c>
      <c r="P698" s="13" t="s">
        <v>1163</v>
      </c>
      <c r="Q698" s="13" t="s">
        <v>862</v>
      </c>
      <c r="R698" s="12">
        <v>2290</v>
      </c>
      <c r="S698" s="12"/>
    </row>
    <row r="699" spans="14:19" x14ac:dyDescent="0.2">
      <c r="N699" s="5">
        <v>46023</v>
      </c>
      <c r="O699" s="13" t="s">
        <v>1057</v>
      </c>
      <c r="P699" s="13" t="s">
        <v>1143</v>
      </c>
      <c r="Q699" s="13" t="s">
        <v>862</v>
      </c>
      <c r="R699" s="12">
        <v>1670</v>
      </c>
      <c r="S699" s="12"/>
    </row>
    <row r="700" spans="14:19" x14ac:dyDescent="0.2">
      <c r="N700" s="5">
        <v>46023</v>
      </c>
      <c r="O700" s="13" t="s">
        <v>1056</v>
      </c>
      <c r="P700" s="13" t="s">
        <v>1164</v>
      </c>
      <c r="Q700" s="13" t="s">
        <v>862</v>
      </c>
      <c r="R700" s="12">
        <v>1670</v>
      </c>
      <c r="S700" s="12"/>
    </row>
    <row r="701" spans="14:19" x14ac:dyDescent="0.2">
      <c r="N701" s="5">
        <v>46023</v>
      </c>
      <c r="O701" s="13" t="s">
        <v>1056</v>
      </c>
      <c r="P701" s="13" t="s">
        <v>1162</v>
      </c>
      <c r="Q701" s="13" t="s">
        <v>862</v>
      </c>
      <c r="R701" s="12">
        <v>2290</v>
      </c>
      <c r="S701" s="12"/>
    </row>
    <row r="702" spans="14:19" x14ac:dyDescent="0.2">
      <c r="N702" s="5">
        <v>46023</v>
      </c>
      <c r="O702" s="13" t="s">
        <v>1057</v>
      </c>
      <c r="P702" s="13" t="s">
        <v>1156</v>
      </c>
      <c r="Q702" s="13" t="s">
        <v>1014</v>
      </c>
      <c r="R702" s="12">
        <v>2028365</v>
      </c>
      <c r="S702" s="12"/>
    </row>
    <row r="703" spans="14:19" x14ac:dyDescent="0.2">
      <c r="N703" s="5">
        <v>46023</v>
      </c>
      <c r="O703" s="13" t="s">
        <v>1057</v>
      </c>
      <c r="P703" s="13" t="s">
        <v>1152</v>
      </c>
      <c r="Q703" s="13" t="s">
        <v>1014</v>
      </c>
      <c r="R703" s="12">
        <v>1922058</v>
      </c>
      <c r="S703" s="12"/>
    </row>
    <row r="704" spans="14:19" x14ac:dyDescent="0.2">
      <c r="N704" s="5">
        <v>46023</v>
      </c>
      <c r="O704" s="13" t="s">
        <v>1057</v>
      </c>
      <c r="P704" s="13" t="s">
        <v>1160</v>
      </c>
      <c r="Q704" s="13" t="s">
        <v>1021</v>
      </c>
      <c r="R704" s="12"/>
      <c r="S704" s="12">
        <v>55042</v>
      </c>
    </row>
    <row r="705" spans="14:19" x14ac:dyDescent="0.2">
      <c r="N705" s="5">
        <v>46023</v>
      </c>
      <c r="O705" s="13" t="s">
        <v>1057</v>
      </c>
      <c r="P705" s="13" t="s">
        <v>1159</v>
      </c>
      <c r="Q705" s="13" t="s">
        <v>1021</v>
      </c>
      <c r="R705" s="12"/>
      <c r="S705" s="12">
        <v>25210</v>
      </c>
    </row>
    <row r="706" spans="14:19" x14ac:dyDescent="0.2">
      <c r="N706" s="5">
        <v>46023</v>
      </c>
      <c r="O706" s="13" t="s">
        <v>1057</v>
      </c>
      <c r="P706" s="13" t="s">
        <v>1158</v>
      </c>
      <c r="Q706" s="13" t="s">
        <v>1023</v>
      </c>
      <c r="R706" s="12">
        <v>0</v>
      </c>
      <c r="S706" s="12"/>
    </row>
    <row r="707" spans="14:19" x14ac:dyDescent="0.2">
      <c r="N707" s="5">
        <v>46023</v>
      </c>
      <c r="O707" s="13" t="s">
        <v>1059</v>
      </c>
      <c r="P707" s="13" t="s">
        <v>1142</v>
      </c>
      <c r="Q707" s="13" t="s">
        <v>890</v>
      </c>
      <c r="R707" s="12"/>
      <c r="S707" s="12">
        <v>250000</v>
      </c>
    </row>
    <row r="708" spans="14:19" x14ac:dyDescent="0.2">
      <c r="N708" s="5">
        <v>46023</v>
      </c>
      <c r="O708" s="13" t="s">
        <v>1059</v>
      </c>
      <c r="P708" s="13" t="s">
        <v>1141</v>
      </c>
      <c r="Q708" s="13" t="s">
        <v>890</v>
      </c>
      <c r="R708" s="12"/>
      <c r="S708" s="12">
        <v>12330714</v>
      </c>
    </row>
    <row r="709" spans="14:19" x14ac:dyDescent="0.2">
      <c r="N709" s="5">
        <v>46023</v>
      </c>
      <c r="O709" s="13" t="s">
        <v>1057</v>
      </c>
      <c r="P709" s="13" t="s">
        <v>1143</v>
      </c>
      <c r="Q709" s="13" t="s">
        <v>920</v>
      </c>
      <c r="R709" s="12">
        <v>166667</v>
      </c>
      <c r="S709" s="12"/>
    </row>
    <row r="710" spans="14:19" x14ac:dyDescent="0.2">
      <c r="N710" s="5">
        <v>46023</v>
      </c>
      <c r="O710" s="13" t="s">
        <v>1056</v>
      </c>
      <c r="P710" s="13" t="s">
        <v>1162</v>
      </c>
      <c r="Q710" s="13" t="s">
        <v>920</v>
      </c>
      <c r="R710" s="12">
        <v>229091</v>
      </c>
      <c r="S710" s="12"/>
    </row>
    <row r="711" spans="14:19" x14ac:dyDescent="0.2">
      <c r="N711" s="5">
        <v>46023</v>
      </c>
      <c r="O711" s="13" t="s">
        <v>1056</v>
      </c>
      <c r="P711" s="13" t="s">
        <v>1164</v>
      </c>
      <c r="Q711" s="13" t="s">
        <v>920</v>
      </c>
      <c r="R711" s="12">
        <v>166667</v>
      </c>
      <c r="S711" s="12"/>
    </row>
    <row r="712" spans="14:19" x14ac:dyDescent="0.2">
      <c r="N712" s="5">
        <v>46023</v>
      </c>
      <c r="O712" s="13" t="s">
        <v>1056</v>
      </c>
      <c r="P712" s="13" t="s">
        <v>1163</v>
      </c>
      <c r="Q712" s="13" t="s">
        <v>920</v>
      </c>
      <c r="R712" s="12">
        <v>229091</v>
      </c>
      <c r="S712" s="12"/>
    </row>
    <row r="713" spans="14:19" x14ac:dyDescent="0.2">
      <c r="N713" s="5">
        <v>46023</v>
      </c>
      <c r="O713" s="13" t="s">
        <v>1056</v>
      </c>
      <c r="P713" s="13" t="s">
        <v>1176</v>
      </c>
      <c r="Q713" s="13" t="s">
        <v>956</v>
      </c>
      <c r="R713" s="12">
        <v>76204</v>
      </c>
      <c r="S713" s="12"/>
    </row>
    <row r="714" spans="14:19" x14ac:dyDescent="0.2">
      <c r="N714" s="5">
        <v>46023</v>
      </c>
      <c r="O714" s="13" t="s">
        <v>1056</v>
      </c>
      <c r="P714" s="13" t="s">
        <v>1175</v>
      </c>
      <c r="Q714" s="13" t="s">
        <v>956</v>
      </c>
      <c r="R714" s="12">
        <v>46522</v>
      </c>
      <c r="S714" s="12"/>
    </row>
    <row r="715" spans="14:19" x14ac:dyDescent="0.2">
      <c r="N715" s="5">
        <v>46023</v>
      </c>
      <c r="O715" s="13" t="s">
        <v>1057</v>
      </c>
      <c r="P715" s="13" t="s">
        <v>1155</v>
      </c>
      <c r="Q715" s="13" t="s">
        <v>952</v>
      </c>
      <c r="R715" s="12">
        <v>1351965</v>
      </c>
      <c r="S715" s="12"/>
    </row>
    <row r="716" spans="14:19" x14ac:dyDescent="0.2">
      <c r="N716" s="5">
        <v>46023</v>
      </c>
      <c r="O716" s="13" t="s">
        <v>1056</v>
      </c>
      <c r="P716" s="13" t="s">
        <v>1173</v>
      </c>
      <c r="Q716" s="13" t="s">
        <v>952</v>
      </c>
      <c r="R716" s="12">
        <v>66823</v>
      </c>
      <c r="S716" s="12"/>
    </row>
    <row r="717" spans="14:19" x14ac:dyDescent="0.2">
      <c r="N717" s="5">
        <v>46023</v>
      </c>
      <c r="O717" s="13" t="s">
        <v>1056</v>
      </c>
      <c r="P717" s="13" t="s">
        <v>1174</v>
      </c>
      <c r="Q717" s="13" t="s">
        <v>952</v>
      </c>
      <c r="R717" s="12">
        <v>74078</v>
      </c>
      <c r="S717" s="12"/>
    </row>
    <row r="718" spans="14:19" x14ac:dyDescent="0.2">
      <c r="N718" s="5">
        <v>46023</v>
      </c>
      <c r="O718" s="13" t="s">
        <v>1057</v>
      </c>
      <c r="P718" s="13" t="s">
        <v>1151</v>
      </c>
      <c r="Q718" s="13" t="s">
        <v>952</v>
      </c>
      <c r="R718" s="12">
        <v>113548</v>
      </c>
      <c r="S718" s="12"/>
    </row>
    <row r="719" spans="14:19" x14ac:dyDescent="0.2">
      <c r="N719" s="5">
        <v>46023</v>
      </c>
      <c r="O719" s="13" t="s">
        <v>1056</v>
      </c>
      <c r="P719" s="13" t="s">
        <v>1163</v>
      </c>
      <c r="Q719" s="13" t="s">
        <v>914</v>
      </c>
      <c r="R719" s="12">
        <v>2500000</v>
      </c>
      <c r="S719" s="12"/>
    </row>
    <row r="720" spans="14:19" x14ac:dyDescent="0.2">
      <c r="N720" s="5">
        <v>46023</v>
      </c>
      <c r="O720" s="13" t="s">
        <v>1057</v>
      </c>
      <c r="P720" s="13" t="s">
        <v>1143</v>
      </c>
      <c r="Q720" s="13" t="s">
        <v>914</v>
      </c>
      <c r="R720" s="12">
        <v>1750905</v>
      </c>
      <c r="S720" s="12"/>
    </row>
    <row r="721" spans="14:19" x14ac:dyDescent="0.2">
      <c r="N721" s="5">
        <v>46023</v>
      </c>
      <c r="O721" s="13" t="s">
        <v>1056</v>
      </c>
      <c r="P721" s="13" t="s">
        <v>1164</v>
      </c>
      <c r="Q721" s="13" t="s">
        <v>914</v>
      </c>
      <c r="R721" s="12">
        <v>1750905</v>
      </c>
      <c r="S721" s="12"/>
    </row>
    <row r="722" spans="14:19" x14ac:dyDescent="0.2">
      <c r="N722" s="5">
        <v>46023</v>
      </c>
      <c r="O722" s="13" t="s">
        <v>1056</v>
      </c>
      <c r="P722" s="13" t="s">
        <v>1162</v>
      </c>
      <c r="Q722" s="13" t="s">
        <v>914</v>
      </c>
      <c r="R722" s="12">
        <v>2500000</v>
      </c>
      <c r="S722" s="12"/>
    </row>
    <row r="723" spans="14:19" x14ac:dyDescent="0.2">
      <c r="N723" s="5">
        <v>46023</v>
      </c>
      <c r="O723" s="13" t="s">
        <v>1057</v>
      </c>
      <c r="P723" s="13" t="s">
        <v>1149</v>
      </c>
      <c r="Q723" s="13" t="s">
        <v>1012</v>
      </c>
      <c r="R723" s="12"/>
      <c r="S723" s="12">
        <v>141906</v>
      </c>
    </row>
    <row r="724" spans="14:19" x14ac:dyDescent="0.2">
      <c r="N724" s="5">
        <v>46023</v>
      </c>
      <c r="O724" s="13" t="s">
        <v>1057</v>
      </c>
      <c r="P724" s="13" t="s">
        <v>1150</v>
      </c>
      <c r="Q724" s="13" t="s">
        <v>1012</v>
      </c>
      <c r="R724" s="12"/>
      <c r="S724" s="12">
        <v>1099000</v>
      </c>
    </row>
    <row r="725" spans="14:19" x14ac:dyDescent="0.2">
      <c r="N725" s="5">
        <v>46023</v>
      </c>
      <c r="O725" s="13" t="s">
        <v>1057</v>
      </c>
      <c r="P725" s="13" t="s">
        <v>1154</v>
      </c>
      <c r="Q725" s="13" t="s">
        <v>1012</v>
      </c>
      <c r="R725" s="12"/>
      <c r="S725" s="12">
        <v>344000</v>
      </c>
    </row>
    <row r="726" spans="14:19" x14ac:dyDescent="0.2">
      <c r="N726" s="5">
        <v>46023</v>
      </c>
      <c r="O726" s="13" t="s">
        <v>1057</v>
      </c>
      <c r="P726" s="13" t="s">
        <v>1153</v>
      </c>
      <c r="Q726" s="13" t="s">
        <v>1012</v>
      </c>
      <c r="R726" s="12"/>
      <c r="S726" s="12">
        <v>1085463</v>
      </c>
    </row>
    <row r="727" spans="14:19" x14ac:dyDescent="0.2">
      <c r="N727" s="5">
        <v>46023</v>
      </c>
      <c r="O727" s="13" t="s">
        <v>1057</v>
      </c>
      <c r="P727" s="13" t="s">
        <v>1143</v>
      </c>
      <c r="Q727" s="13" t="s">
        <v>864</v>
      </c>
      <c r="R727" s="12">
        <v>93080</v>
      </c>
      <c r="S727" s="12"/>
    </row>
    <row r="728" spans="14:19" x14ac:dyDescent="0.2">
      <c r="N728" s="5">
        <v>46023</v>
      </c>
      <c r="O728" s="13" t="s">
        <v>1056</v>
      </c>
      <c r="P728" s="13" t="s">
        <v>1164</v>
      </c>
      <c r="Q728" s="13" t="s">
        <v>864</v>
      </c>
      <c r="R728" s="12">
        <v>360135</v>
      </c>
      <c r="S728" s="12"/>
    </row>
    <row r="729" spans="14:19" x14ac:dyDescent="0.2">
      <c r="N729" s="5">
        <v>46023</v>
      </c>
      <c r="O729" s="13" t="s">
        <v>1056</v>
      </c>
      <c r="P729" s="13" t="s">
        <v>1163</v>
      </c>
      <c r="Q729" s="13" t="s">
        <v>864</v>
      </c>
      <c r="R729" s="12">
        <v>104170</v>
      </c>
      <c r="S729" s="12"/>
    </row>
    <row r="730" spans="14:19" x14ac:dyDescent="0.2">
      <c r="N730" s="5">
        <v>46023</v>
      </c>
      <c r="O730" s="13" t="s">
        <v>1056</v>
      </c>
      <c r="P730" s="13" t="s">
        <v>1162</v>
      </c>
      <c r="Q730" s="13" t="s">
        <v>864</v>
      </c>
      <c r="R730" s="12">
        <v>104170</v>
      </c>
      <c r="S730" s="12"/>
    </row>
    <row r="731" spans="14:19" x14ac:dyDescent="0.2">
      <c r="N731" s="5">
        <v>46023</v>
      </c>
      <c r="O731" s="13" t="s">
        <v>1056</v>
      </c>
      <c r="P731" s="13" t="s">
        <v>1170</v>
      </c>
      <c r="Q731" s="13" t="s">
        <v>976</v>
      </c>
      <c r="R731" s="12">
        <v>20756</v>
      </c>
      <c r="S731" s="12"/>
    </row>
    <row r="732" spans="14:19" x14ac:dyDescent="0.2">
      <c r="N732" s="5">
        <v>46023</v>
      </c>
      <c r="O732" s="13" t="s">
        <v>1056</v>
      </c>
      <c r="P732" s="13" t="s">
        <v>1171</v>
      </c>
      <c r="Q732" s="13" t="s">
        <v>976</v>
      </c>
      <c r="R732" s="12">
        <v>26176</v>
      </c>
      <c r="S732" s="12"/>
    </row>
    <row r="733" spans="14:19" x14ac:dyDescent="0.2">
      <c r="N733" s="5">
        <v>46054</v>
      </c>
      <c r="O733" s="13" t="s">
        <v>1056</v>
      </c>
      <c r="P733" s="13" t="s">
        <v>1207</v>
      </c>
      <c r="Q733" s="13" t="s">
        <v>968</v>
      </c>
      <c r="R733" s="12">
        <v>228151</v>
      </c>
      <c r="S733" s="12"/>
    </row>
    <row r="734" spans="14:19" x14ac:dyDescent="0.2">
      <c r="N734" s="5">
        <v>46054</v>
      </c>
      <c r="O734" s="13" t="s">
        <v>1058</v>
      </c>
      <c r="P734" s="13" t="s">
        <v>1205</v>
      </c>
      <c r="Q734" s="13" t="s">
        <v>912</v>
      </c>
      <c r="R734" s="12">
        <v>-2</v>
      </c>
      <c r="S734" s="12"/>
    </row>
    <row r="735" spans="14:19" x14ac:dyDescent="0.2">
      <c r="N735" s="5">
        <v>46054</v>
      </c>
      <c r="O735" s="13" t="s">
        <v>1058</v>
      </c>
      <c r="P735" s="13" t="s">
        <v>1183</v>
      </c>
      <c r="Q735" s="13" t="s">
        <v>912</v>
      </c>
      <c r="R735" s="12">
        <v>0</v>
      </c>
      <c r="S735" s="12"/>
    </row>
    <row r="736" spans="14:19" x14ac:dyDescent="0.2">
      <c r="N736" s="5">
        <v>46054</v>
      </c>
      <c r="O736" s="13" t="s">
        <v>1058</v>
      </c>
      <c r="P736" s="13" t="s">
        <v>1187</v>
      </c>
      <c r="Q736" s="13" t="s">
        <v>912</v>
      </c>
      <c r="R736" s="12">
        <v>0.26</v>
      </c>
      <c r="S736" s="12"/>
    </row>
    <row r="737" spans="14:19" x14ac:dyDescent="0.2">
      <c r="N737" s="5">
        <v>46054</v>
      </c>
      <c r="O737" s="13" t="s">
        <v>1058</v>
      </c>
      <c r="P737" s="13" t="s">
        <v>1180</v>
      </c>
      <c r="Q737" s="13" t="s">
        <v>912</v>
      </c>
      <c r="R737" s="12">
        <v>0</v>
      </c>
      <c r="S737" s="12"/>
    </row>
    <row r="738" spans="14:19" x14ac:dyDescent="0.2">
      <c r="N738" s="5">
        <v>46054</v>
      </c>
      <c r="O738" s="13" t="s">
        <v>1058</v>
      </c>
      <c r="P738" s="13" t="s">
        <v>1210</v>
      </c>
      <c r="Q738" s="13" t="s">
        <v>912</v>
      </c>
      <c r="R738" s="12">
        <v>0.27</v>
      </c>
      <c r="S738" s="12"/>
    </row>
    <row r="739" spans="14:19" x14ac:dyDescent="0.2">
      <c r="N739" s="5">
        <v>46054</v>
      </c>
      <c r="O739" s="13" t="s">
        <v>1057</v>
      </c>
      <c r="P739" s="13" t="s">
        <v>1186</v>
      </c>
      <c r="Q739" s="13" t="s">
        <v>1018</v>
      </c>
      <c r="R739" s="12">
        <v>0</v>
      </c>
      <c r="S739" s="12"/>
    </row>
    <row r="740" spans="14:19" x14ac:dyDescent="0.2">
      <c r="N740" s="5">
        <v>46054</v>
      </c>
      <c r="O740" s="13" t="s">
        <v>1057</v>
      </c>
      <c r="P740" s="13" t="s">
        <v>1145</v>
      </c>
      <c r="Q740" s="13" t="s">
        <v>930</v>
      </c>
      <c r="R740" s="12">
        <v>266800</v>
      </c>
      <c r="S740" s="12"/>
    </row>
    <row r="741" spans="14:19" x14ac:dyDescent="0.2">
      <c r="N741" s="5">
        <v>46054</v>
      </c>
      <c r="O741" s="13" t="s">
        <v>1056</v>
      </c>
      <c r="P741" s="13" t="s">
        <v>1145</v>
      </c>
      <c r="Q741" s="13" t="s">
        <v>930</v>
      </c>
      <c r="R741" s="12">
        <v>600000</v>
      </c>
      <c r="S741" s="12"/>
    </row>
    <row r="742" spans="14:19" x14ac:dyDescent="0.2">
      <c r="N742" s="5">
        <v>46054</v>
      </c>
      <c r="O742" s="13" t="s">
        <v>1056</v>
      </c>
      <c r="P742" s="13" t="s">
        <v>1166</v>
      </c>
      <c r="Q742" s="13" t="s">
        <v>930</v>
      </c>
      <c r="R742" s="12">
        <v>231000</v>
      </c>
      <c r="S742" s="12"/>
    </row>
    <row r="743" spans="14:19" x14ac:dyDescent="0.2">
      <c r="N743" s="5">
        <v>46054</v>
      </c>
      <c r="O743" s="13" t="s">
        <v>1056</v>
      </c>
      <c r="P743" s="13" t="s">
        <v>1165</v>
      </c>
      <c r="Q743" s="13" t="s">
        <v>930</v>
      </c>
      <c r="R743" s="12">
        <v>600000</v>
      </c>
      <c r="S743" s="12"/>
    </row>
    <row r="744" spans="14:19" x14ac:dyDescent="0.2">
      <c r="N744" s="5">
        <v>46054</v>
      </c>
      <c r="O744" s="13" t="s">
        <v>1057</v>
      </c>
      <c r="P744" s="13" t="s">
        <v>1144</v>
      </c>
      <c r="Q744" s="13" t="s">
        <v>927</v>
      </c>
      <c r="R744" s="12">
        <v>11700</v>
      </c>
      <c r="S744" s="12"/>
    </row>
    <row r="745" spans="14:19" x14ac:dyDescent="0.2">
      <c r="N745" s="5">
        <v>46054</v>
      </c>
      <c r="O745" s="13" t="s">
        <v>1056</v>
      </c>
      <c r="P745" s="13" t="s">
        <v>1144</v>
      </c>
      <c r="Q745" s="13" t="s">
        <v>927</v>
      </c>
      <c r="R745" s="12">
        <v>62100</v>
      </c>
      <c r="S745" s="12"/>
    </row>
    <row r="746" spans="14:19" x14ac:dyDescent="0.2">
      <c r="N746" s="5">
        <v>46054</v>
      </c>
      <c r="O746" s="13" t="s">
        <v>1056</v>
      </c>
      <c r="P746" s="13" t="s">
        <v>1181</v>
      </c>
      <c r="Q746" s="13" t="s">
        <v>822</v>
      </c>
      <c r="R746" s="12">
        <v>5200</v>
      </c>
      <c r="S746" s="12"/>
    </row>
    <row r="747" spans="14:19" x14ac:dyDescent="0.2">
      <c r="N747" s="5">
        <v>46054</v>
      </c>
      <c r="O747" s="13" t="s">
        <v>1057</v>
      </c>
      <c r="P747" s="13" t="s">
        <v>1146</v>
      </c>
      <c r="Q747" s="13" t="s">
        <v>932</v>
      </c>
      <c r="R747" s="12">
        <v>89000</v>
      </c>
      <c r="S747" s="12"/>
    </row>
    <row r="748" spans="14:19" x14ac:dyDescent="0.2">
      <c r="N748" s="5">
        <v>46054</v>
      </c>
      <c r="O748" s="13" t="s">
        <v>1056</v>
      </c>
      <c r="P748" s="13" t="s">
        <v>1146</v>
      </c>
      <c r="Q748" s="13" t="s">
        <v>932</v>
      </c>
      <c r="R748" s="12">
        <v>475300</v>
      </c>
      <c r="S748" s="12"/>
    </row>
    <row r="749" spans="14:19" x14ac:dyDescent="0.2">
      <c r="N749" s="5">
        <v>46054</v>
      </c>
      <c r="O749" s="13" t="s">
        <v>1057</v>
      </c>
      <c r="P749" s="13" t="s">
        <v>1147</v>
      </c>
      <c r="Q749" s="13" t="s">
        <v>948</v>
      </c>
      <c r="R749" s="12">
        <v>2400000</v>
      </c>
      <c r="S749" s="12"/>
    </row>
    <row r="750" spans="14:19" x14ac:dyDescent="0.2">
      <c r="N750" s="5">
        <v>46054</v>
      </c>
      <c r="O750" s="13" t="s">
        <v>1057</v>
      </c>
      <c r="P750" s="13" t="s">
        <v>1148</v>
      </c>
      <c r="Q750" s="13" t="s">
        <v>948</v>
      </c>
      <c r="R750" s="12">
        <v>6300000</v>
      </c>
      <c r="S750" s="12"/>
    </row>
    <row r="751" spans="14:19" x14ac:dyDescent="0.2">
      <c r="N751" s="5">
        <v>46054</v>
      </c>
      <c r="O751" s="13" t="s">
        <v>1056</v>
      </c>
      <c r="P751" s="13" t="s">
        <v>1204</v>
      </c>
      <c r="Q751" s="13" t="s">
        <v>944</v>
      </c>
      <c r="R751" s="12">
        <v>2400000</v>
      </c>
      <c r="S751" s="12"/>
    </row>
    <row r="752" spans="14:19" x14ac:dyDescent="0.2">
      <c r="N752" s="5">
        <v>46054</v>
      </c>
      <c r="O752" s="13" t="s">
        <v>1056</v>
      </c>
      <c r="P752" s="13" t="s">
        <v>1162</v>
      </c>
      <c r="Q752" s="13" t="s">
        <v>916</v>
      </c>
      <c r="R752" s="12">
        <v>0</v>
      </c>
      <c r="S752" s="12"/>
    </row>
    <row r="753" spans="14:19" x14ac:dyDescent="0.2">
      <c r="N753" s="5">
        <v>46054</v>
      </c>
      <c r="O753" s="13" t="s">
        <v>1056</v>
      </c>
      <c r="P753" s="13" t="s">
        <v>1164</v>
      </c>
      <c r="Q753" s="13" t="s">
        <v>916</v>
      </c>
      <c r="R753" s="12">
        <v>249095</v>
      </c>
      <c r="S753" s="12"/>
    </row>
    <row r="754" spans="14:19" x14ac:dyDescent="0.2">
      <c r="N754" s="5">
        <v>46054</v>
      </c>
      <c r="O754" s="13" t="s">
        <v>1056</v>
      </c>
      <c r="P754" s="13" t="s">
        <v>1163</v>
      </c>
      <c r="Q754" s="13" t="s">
        <v>916</v>
      </c>
      <c r="R754" s="12">
        <v>0</v>
      </c>
      <c r="S754" s="12"/>
    </row>
    <row r="755" spans="14:19" x14ac:dyDescent="0.2">
      <c r="N755" s="5">
        <v>46054</v>
      </c>
      <c r="O755" s="13" t="s">
        <v>1057</v>
      </c>
      <c r="P755" s="13" t="s">
        <v>1143</v>
      </c>
      <c r="Q755" s="13" t="s">
        <v>993</v>
      </c>
      <c r="R755" s="12">
        <v>249095</v>
      </c>
      <c r="S755" s="12"/>
    </row>
    <row r="756" spans="14:19" x14ac:dyDescent="0.2">
      <c r="N756" s="5">
        <v>46054</v>
      </c>
      <c r="O756" s="13" t="s">
        <v>1056</v>
      </c>
      <c r="P756" s="13" t="s">
        <v>1164</v>
      </c>
      <c r="Q756" s="13" t="s">
        <v>938</v>
      </c>
      <c r="R756" s="12">
        <v>130400</v>
      </c>
      <c r="S756" s="12"/>
    </row>
    <row r="757" spans="14:19" x14ac:dyDescent="0.2">
      <c r="N757" s="5">
        <v>46054</v>
      </c>
      <c r="O757" s="13" t="s">
        <v>1056</v>
      </c>
      <c r="P757" s="13" t="s">
        <v>1197</v>
      </c>
      <c r="Q757" s="13" t="s">
        <v>978</v>
      </c>
      <c r="R757" s="12">
        <v>232390</v>
      </c>
      <c r="S757" s="12"/>
    </row>
    <row r="758" spans="14:19" x14ac:dyDescent="0.2">
      <c r="N758" s="5">
        <v>46054</v>
      </c>
      <c r="O758" s="13" t="s">
        <v>1056</v>
      </c>
      <c r="P758" s="13" t="s">
        <v>1168</v>
      </c>
      <c r="Q758" s="13" t="s">
        <v>978</v>
      </c>
      <c r="R758" s="12">
        <v>0</v>
      </c>
      <c r="S758" s="12"/>
    </row>
    <row r="759" spans="14:19" x14ac:dyDescent="0.2">
      <c r="N759" s="5">
        <v>46054</v>
      </c>
      <c r="O759" s="13" t="s">
        <v>1056</v>
      </c>
      <c r="P759" s="13" t="s">
        <v>1198</v>
      </c>
      <c r="Q759" s="13" t="s">
        <v>978</v>
      </c>
      <c r="R759" s="12">
        <v>268754</v>
      </c>
      <c r="S759" s="12"/>
    </row>
    <row r="760" spans="14:19" x14ac:dyDescent="0.2">
      <c r="N760" s="5">
        <v>46054</v>
      </c>
      <c r="O760" s="13" t="s">
        <v>1056</v>
      </c>
      <c r="P760" s="13" t="s">
        <v>1201</v>
      </c>
      <c r="Q760" s="13" t="s">
        <v>978</v>
      </c>
      <c r="R760" s="12">
        <v>49887</v>
      </c>
      <c r="S760" s="12"/>
    </row>
    <row r="761" spans="14:19" x14ac:dyDescent="0.2">
      <c r="N761" s="5">
        <v>46054</v>
      </c>
      <c r="O761" s="13" t="s">
        <v>1056</v>
      </c>
      <c r="P761" s="13" t="s">
        <v>1167</v>
      </c>
      <c r="Q761" s="13" t="s">
        <v>978</v>
      </c>
      <c r="R761" s="12">
        <v>0</v>
      </c>
      <c r="S761" s="12"/>
    </row>
    <row r="762" spans="14:19" x14ac:dyDescent="0.2">
      <c r="N762" s="5">
        <v>46054</v>
      </c>
      <c r="O762" s="13" t="s">
        <v>1056</v>
      </c>
      <c r="P762" s="13" t="s">
        <v>1202</v>
      </c>
      <c r="Q762" s="13" t="s">
        <v>978</v>
      </c>
      <c r="R762" s="12">
        <v>414639</v>
      </c>
      <c r="S762" s="12"/>
    </row>
    <row r="763" spans="14:19" x14ac:dyDescent="0.2">
      <c r="N763" s="5">
        <v>46054</v>
      </c>
      <c r="O763" s="13" t="s">
        <v>1057</v>
      </c>
      <c r="P763" s="13" t="s">
        <v>1143</v>
      </c>
      <c r="Q763" s="13" t="s">
        <v>860</v>
      </c>
      <c r="R763" s="12">
        <v>206070</v>
      </c>
      <c r="S763" s="12"/>
    </row>
    <row r="764" spans="14:19" x14ac:dyDescent="0.2">
      <c r="N764" s="5">
        <v>46054</v>
      </c>
      <c r="O764" s="13" t="s">
        <v>1056</v>
      </c>
      <c r="P764" s="13" t="s">
        <v>1164</v>
      </c>
      <c r="Q764" s="13" t="s">
        <v>860</v>
      </c>
      <c r="R764" s="12">
        <v>166666</v>
      </c>
      <c r="S764" s="12"/>
    </row>
    <row r="765" spans="14:19" x14ac:dyDescent="0.2">
      <c r="N765" s="5">
        <v>46054</v>
      </c>
      <c r="O765" s="13" t="s">
        <v>1056</v>
      </c>
      <c r="P765" s="13" t="s">
        <v>1163</v>
      </c>
      <c r="Q765" s="13" t="s">
        <v>860</v>
      </c>
      <c r="R765" s="12">
        <v>604242</v>
      </c>
      <c r="S765" s="12"/>
    </row>
    <row r="766" spans="14:19" x14ac:dyDescent="0.2">
      <c r="N766" s="5">
        <v>46054</v>
      </c>
      <c r="O766" s="13" t="s">
        <v>1056</v>
      </c>
      <c r="P766" s="13" t="s">
        <v>1162</v>
      </c>
      <c r="Q766" s="13" t="s">
        <v>860</v>
      </c>
      <c r="R766" s="12">
        <v>604242</v>
      </c>
      <c r="S766" s="12"/>
    </row>
    <row r="767" spans="14:19" x14ac:dyDescent="0.2">
      <c r="N767" s="5">
        <v>46054</v>
      </c>
      <c r="O767" s="13" t="s">
        <v>1057</v>
      </c>
      <c r="P767" s="13" t="s">
        <v>1161</v>
      </c>
      <c r="Q767" s="13" t="s">
        <v>972</v>
      </c>
      <c r="R767" s="12"/>
      <c r="S767" s="12">
        <v>577744</v>
      </c>
    </row>
    <row r="768" spans="14:19" x14ac:dyDescent="0.2">
      <c r="N768" s="5">
        <v>46054</v>
      </c>
      <c r="O768" s="13" t="s">
        <v>1057</v>
      </c>
      <c r="P768" s="13" t="s">
        <v>1187</v>
      </c>
      <c r="Q768" s="13" t="s">
        <v>972</v>
      </c>
      <c r="R768" s="12"/>
      <c r="S768" s="12">
        <v>470420</v>
      </c>
    </row>
    <row r="769" spans="14:19" x14ac:dyDescent="0.2">
      <c r="N769" s="5">
        <v>46054</v>
      </c>
      <c r="O769" s="13" t="s">
        <v>1057</v>
      </c>
      <c r="P769" s="13" t="s">
        <v>1143</v>
      </c>
      <c r="Q769" s="13" t="s">
        <v>972</v>
      </c>
      <c r="R769" s="12"/>
      <c r="S769" s="12">
        <v>250000</v>
      </c>
    </row>
    <row r="770" spans="14:19" x14ac:dyDescent="0.2">
      <c r="N770" s="5">
        <v>46054</v>
      </c>
      <c r="O770" s="13" t="s">
        <v>1057</v>
      </c>
      <c r="P770" s="13" t="s">
        <v>1157</v>
      </c>
      <c r="Q770" s="13" t="s">
        <v>972</v>
      </c>
      <c r="R770" s="12"/>
      <c r="S770" s="12">
        <v>156618</v>
      </c>
    </row>
    <row r="771" spans="14:19" x14ac:dyDescent="0.2">
      <c r="N771" s="5">
        <v>46054</v>
      </c>
      <c r="O771" s="13" t="s">
        <v>1058</v>
      </c>
      <c r="P771" s="13" t="s">
        <v>1161</v>
      </c>
      <c r="Q771" s="13" t="s">
        <v>972</v>
      </c>
      <c r="R771" s="12">
        <v>1445115.68</v>
      </c>
      <c r="S771" s="12"/>
    </row>
    <row r="772" spans="14:19" x14ac:dyDescent="0.2">
      <c r="N772" s="5">
        <v>46054</v>
      </c>
      <c r="O772" s="13" t="s">
        <v>1058</v>
      </c>
      <c r="P772" s="13" t="s">
        <v>1209</v>
      </c>
      <c r="Q772" s="13" t="s">
        <v>1036</v>
      </c>
      <c r="R772" s="12">
        <v>131176</v>
      </c>
      <c r="S772" s="12"/>
    </row>
    <row r="773" spans="14:19" x14ac:dyDescent="0.2">
      <c r="N773" s="5">
        <v>46054</v>
      </c>
      <c r="O773" s="13" t="s">
        <v>1058</v>
      </c>
      <c r="P773" s="13" t="s">
        <v>1208</v>
      </c>
      <c r="Q773" s="13" t="s">
        <v>1036</v>
      </c>
      <c r="R773" s="12">
        <v>223000</v>
      </c>
      <c r="S773" s="12"/>
    </row>
    <row r="774" spans="14:19" x14ac:dyDescent="0.2">
      <c r="N774" s="5">
        <v>46054</v>
      </c>
      <c r="O774" s="13" t="s">
        <v>1058</v>
      </c>
      <c r="P774" s="13" t="s">
        <v>1139</v>
      </c>
      <c r="Q774" s="13" t="s">
        <v>1030</v>
      </c>
      <c r="R774" s="12">
        <v>0</v>
      </c>
      <c r="S774" s="12"/>
    </row>
    <row r="775" spans="14:19" x14ac:dyDescent="0.2">
      <c r="N775" s="5">
        <v>46054</v>
      </c>
      <c r="O775" s="13" t="s">
        <v>1058</v>
      </c>
      <c r="P775" s="13" t="s">
        <v>1140</v>
      </c>
      <c r="Q775" s="13" t="s">
        <v>1030</v>
      </c>
      <c r="R775" s="12">
        <v>0</v>
      </c>
      <c r="S775" s="12"/>
    </row>
    <row r="776" spans="14:19" x14ac:dyDescent="0.2">
      <c r="N776" s="5">
        <v>46054</v>
      </c>
      <c r="O776" s="13" t="s">
        <v>1056</v>
      </c>
      <c r="P776" s="13" t="s">
        <v>1169</v>
      </c>
      <c r="Q776" s="13" t="s">
        <v>974</v>
      </c>
      <c r="R776" s="12">
        <v>0</v>
      </c>
      <c r="S776" s="12"/>
    </row>
    <row r="777" spans="14:19" x14ac:dyDescent="0.2">
      <c r="N777" s="5">
        <v>46054</v>
      </c>
      <c r="O777" s="13" t="s">
        <v>1056</v>
      </c>
      <c r="P777" s="13" t="s">
        <v>1199</v>
      </c>
      <c r="Q777" s="13" t="s">
        <v>974</v>
      </c>
      <c r="R777" s="12">
        <v>178589</v>
      </c>
      <c r="S777" s="12"/>
    </row>
    <row r="778" spans="14:19" x14ac:dyDescent="0.2">
      <c r="N778" s="5">
        <v>46054</v>
      </c>
      <c r="O778" s="13" t="s">
        <v>1056</v>
      </c>
      <c r="P778" s="13" t="s">
        <v>1203</v>
      </c>
      <c r="Q778" s="13" t="s">
        <v>974</v>
      </c>
      <c r="R778" s="12">
        <v>46050</v>
      </c>
      <c r="S778" s="12"/>
    </row>
    <row r="779" spans="14:19" x14ac:dyDescent="0.2">
      <c r="N779" s="5">
        <v>46054</v>
      </c>
      <c r="O779" s="13" t="s">
        <v>1056</v>
      </c>
      <c r="P779" s="13" t="s">
        <v>1196</v>
      </c>
      <c r="Q779" s="13" t="s">
        <v>974</v>
      </c>
      <c r="R779" s="12">
        <v>439092</v>
      </c>
      <c r="S779" s="12"/>
    </row>
    <row r="780" spans="14:19" x14ac:dyDescent="0.2">
      <c r="N780" s="5">
        <v>46054</v>
      </c>
      <c r="O780" s="13" t="s">
        <v>1058</v>
      </c>
      <c r="P780" s="13" t="s">
        <v>1161</v>
      </c>
      <c r="Q780" s="13" t="s">
        <v>1032</v>
      </c>
      <c r="R780" s="12">
        <v>497901</v>
      </c>
      <c r="S780" s="12"/>
    </row>
    <row r="781" spans="14:19" x14ac:dyDescent="0.2">
      <c r="N781" s="5">
        <v>46054</v>
      </c>
      <c r="O781" s="13" t="s">
        <v>1058</v>
      </c>
      <c r="P781" s="13" t="s">
        <v>1177</v>
      </c>
      <c r="Q781" s="13" t="s">
        <v>1032</v>
      </c>
      <c r="R781" s="12">
        <v>23148</v>
      </c>
      <c r="S781" s="12"/>
    </row>
    <row r="782" spans="14:19" x14ac:dyDescent="0.2">
      <c r="N782" s="5">
        <v>46054</v>
      </c>
      <c r="O782" s="13" t="s">
        <v>1058</v>
      </c>
      <c r="P782" s="13" t="s">
        <v>1177</v>
      </c>
      <c r="Q782" s="13" t="s">
        <v>1025</v>
      </c>
      <c r="R782" s="12">
        <v>18050</v>
      </c>
      <c r="S782" s="12"/>
    </row>
    <row r="783" spans="14:19" x14ac:dyDescent="0.2">
      <c r="N783" s="5">
        <v>46054</v>
      </c>
      <c r="O783" s="13" t="s">
        <v>1058</v>
      </c>
      <c r="P783" s="13" t="s">
        <v>1161</v>
      </c>
      <c r="Q783" s="13" t="s">
        <v>1025</v>
      </c>
      <c r="R783" s="12">
        <v>23651</v>
      </c>
      <c r="S783" s="12"/>
    </row>
    <row r="784" spans="14:19" x14ac:dyDescent="0.2">
      <c r="N784" s="5">
        <v>46054</v>
      </c>
      <c r="O784" s="13" t="s">
        <v>1056</v>
      </c>
      <c r="P784" s="13" t="s">
        <v>1172</v>
      </c>
      <c r="Q784" s="13" t="s">
        <v>942</v>
      </c>
      <c r="R784" s="12">
        <v>2000000</v>
      </c>
      <c r="S784" s="12"/>
    </row>
    <row r="785" spans="14:19" x14ac:dyDescent="0.2">
      <c r="N785" s="5">
        <v>46054</v>
      </c>
      <c r="O785" s="13" t="s">
        <v>1057</v>
      </c>
      <c r="P785" s="13" t="s">
        <v>1143</v>
      </c>
      <c r="Q785" s="13" t="s">
        <v>985</v>
      </c>
      <c r="R785" s="12">
        <v>222842</v>
      </c>
      <c r="S785" s="12"/>
    </row>
    <row r="786" spans="14:19" x14ac:dyDescent="0.2">
      <c r="N786" s="5">
        <v>46054</v>
      </c>
      <c r="O786" s="13" t="s">
        <v>1058</v>
      </c>
      <c r="P786" s="13" t="s">
        <v>1145</v>
      </c>
      <c r="Q786" s="13" t="s">
        <v>1028</v>
      </c>
      <c r="R786" s="12">
        <v>0</v>
      </c>
      <c r="S786" s="12"/>
    </row>
    <row r="787" spans="14:19" x14ac:dyDescent="0.2">
      <c r="N787" s="5">
        <v>46054</v>
      </c>
      <c r="O787" s="13" t="s">
        <v>1058</v>
      </c>
      <c r="P787" s="13" t="s">
        <v>1165</v>
      </c>
      <c r="Q787" s="13" t="s">
        <v>1028</v>
      </c>
      <c r="R787" s="12">
        <v>0</v>
      </c>
      <c r="S787" s="12"/>
    </row>
    <row r="788" spans="14:19" x14ac:dyDescent="0.2">
      <c r="N788" s="5">
        <v>46054</v>
      </c>
      <c r="O788" s="13" t="s">
        <v>1058</v>
      </c>
      <c r="P788" s="13" t="s">
        <v>1166</v>
      </c>
      <c r="Q788" s="13" t="s">
        <v>1028</v>
      </c>
      <c r="R788" s="12">
        <v>0</v>
      </c>
      <c r="S788" s="12"/>
    </row>
    <row r="789" spans="14:19" x14ac:dyDescent="0.2">
      <c r="N789" s="5">
        <v>46054</v>
      </c>
      <c r="O789" s="13" t="s">
        <v>1058</v>
      </c>
      <c r="P789" s="13" t="s">
        <v>1146</v>
      </c>
      <c r="Q789" s="13" t="s">
        <v>1028</v>
      </c>
      <c r="R789" s="12">
        <v>0</v>
      </c>
      <c r="S789" s="12"/>
    </row>
    <row r="790" spans="14:19" x14ac:dyDescent="0.2">
      <c r="N790" s="5">
        <v>46054</v>
      </c>
      <c r="O790" s="13" t="s">
        <v>1058</v>
      </c>
      <c r="P790" s="13" t="s">
        <v>1183</v>
      </c>
      <c r="Q790" s="13" t="s">
        <v>1028</v>
      </c>
      <c r="R790" s="12">
        <v>0</v>
      </c>
      <c r="S790" s="12"/>
    </row>
    <row r="791" spans="14:19" x14ac:dyDescent="0.2">
      <c r="N791" s="5">
        <v>46054</v>
      </c>
      <c r="O791" s="13" t="s">
        <v>1058</v>
      </c>
      <c r="P791" s="13" t="s">
        <v>1184</v>
      </c>
      <c r="Q791" s="13" t="s">
        <v>1028</v>
      </c>
      <c r="R791" s="12">
        <v>0</v>
      </c>
      <c r="S791" s="12"/>
    </row>
    <row r="792" spans="14:19" x14ac:dyDescent="0.2">
      <c r="N792" s="5">
        <v>46054</v>
      </c>
      <c r="O792" s="13" t="s">
        <v>1058</v>
      </c>
      <c r="P792" s="13" t="s">
        <v>1178</v>
      </c>
      <c r="Q792" s="13" t="s">
        <v>1028</v>
      </c>
      <c r="R792" s="12">
        <v>0</v>
      </c>
      <c r="S792" s="12"/>
    </row>
    <row r="793" spans="14:19" x14ac:dyDescent="0.2">
      <c r="N793" s="5">
        <v>46054</v>
      </c>
      <c r="O793" s="13" t="s">
        <v>1058</v>
      </c>
      <c r="P793" s="13" t="s">
        <v>1179</v>
      </c>
      <c r="Q793" s="13" t="s">
        <v>1028</v>
      </c>
      <c r="R793" s="12">
        <v>0</v>
      </c>
      <c r="S793" s="12"/>
    </row>
    <row r="794" spans="14:19" x14ac:dyDescent="0.2">
      <c r="N794" s="5">
        <v>46054</v>
      </c>
      <c r="O794" s="13" t="s">
        <v>1058</v>
      </c>
      <c r="P794" s="13" t="s">
        <v>1144</v>
      </c>
      <c r="Q794" s="13" t="s">
        <v>1028</v>
      </c>
      <c r="R794" s="12">
        <v>0</v>
      </c>
      <c r="S794" s="12"/>
    </row>
    <row r="795" spans="14:19" x14ac:dyDescent="0.2">
      <c r="N795" s="5">
        <v>46054</v>
      </c>
      <c r="O795" s="13" t="s">
        <v>1058</v>
      </c>
      <c r="P795" s="13" t="s">
        <v>1180</v>
      </c>
      <c r="Q795" s="13" t="s">
        <v>1028</v>
      </c>
      <c r="R795" s="12">
        <v>0</v>
      </c>
      <c r="S795" s="12"/>
    </row>
    <row r="796" spans="14:19" x14ac:dyDescent="0.2">
      <c r="N796" s="5">
        <v>46054</v>
      </c>
      <c r="O796" s="13" t="s">
        <v>1058</v>
      </c>
      <c r="P796" s="13" t="s">
        <v>1182</v>
      </c>
      <c r="Q796" s="13" t="s">
        <v>1028</v>
      </c>
      <c r="R796" s="12">
        <v>0</v>
      </c>
      <c r="S796" s="12"/>
    </row>
    <row r="797" spans="14:19" x14ac:dyDescent="0.2">
      <c r="N797" s="5">
        <v>46054</v>
      </c>
      <c r="O797" s="13" t="s">
        <v>1058</v>
      </c>
      <c r="P797" s="13" t="s">
        <v>1181</v>
      </c>
      <c r="Q797" s="13" t="s">
        <v>1028</v>
      </c>
      <c r="R797" s="12">
        <v>0</v>
      </c>
      <c r="S797" s="12"/>
    </row>
    <row r="798" spans="14:19" x14ac:dyDescent="0.2">
      <c r="N798" s="5">
        <v>46054</v>
      </c>
      <c r="O798" s="13" t="s">
        <v>1056</v>
      </c>
      <c r="P798" s="13" t="s">
        <v>1163</v>
      </c>
      <c r="Q798" s="13" t="s">
        <v>862</v>
      </c>
      <c r="R798" s="12">
        <v>14380</v>
      </c>
      <c r="S798" s="12"/>
    </row>
    <row r="799" spans="14:19" x14ac:dyDescent="0.2">
      <c r="N799" s="5">
        <v>46054</v>
      </c>
      <c r="O799" s="13" t="s">
        <v>1057</v>
      </c>
      <c r="P799" s="13" t="s">
        <v>1143</v>
      </c>
      <c r="Q799" s="13" t="s">
        <v>862</v>
      </c>
      <c r="R799" s="12">
        <v>5780</v>
      </c>
      <c r="S799" s="12"/>
    </row>
    <row r="800" spans="14:19" x14ac:dyDescent="0.2">
      <c r="N800" s="5">
        <v>46054</v>
      </c>
      <c r="O800" s="13" t="s">
        <v>1056</v>
      </c>
      <c r="P800" s="13" t="s">
        <v>1162</v>
      </c>
      <c r="Q800" s="13" t="s">
        <v>862</v>
      </c>
      <c r="R800" s="12">
        <v>14380</v>
      </c>
      <c r="S800" s="12"/>
    </row>
    <row r="801" spans="14:19" x14ac:dyDescent="0.2">
      <c r="N801" s="5">
        <v>46054</v>
      </c>
      <c r="O801" s="13" t="s">
        <v>1056</v>
      </c>
      <c r="P801" s="13" t="s">
        <v>1164</v>
      </c>
      <c r="Q801" s="13" t="s">
        <v>862</v>
      </c>
      <c r="R801" s="12">
        <v>5000</v>
      </c>
      <c r="S801" s="12"/>
    </row>
    <row r="802" spans="14:19" x14ac:dyDescent="0.2">
      <c r="N802" s="5">
        <v>46054</v>
      </c>
      <c r="O802" s="13" t="s">
        <v>1057</v>
      </c>
      <c r="P802" s="13" t="s">
        <v>1147</v>
      </c>
      <c r="Q802" s="13" t="s">
        <v>954</v>
      </c>
      <c r="R802" s="12">
        <v>312534</v>
      </c>
      <c r="S802" s="12"/>
    </row>
    <row r="803" spans="14:19" x14ac:dyDescent="0.2">
      <c r="N803" s="5">
        <v>46054</v>
      </c>
      <c r="O803" s="13" t="s">
        <v>1056</v>
      </c>
      <c r="P803" s="13" t="s">
        <v>1206</v>
      </c>
      <c r="Q803" s="13" t="s">
        <v>954</v>
      </c>
      <c r="R803" s="12">
        <v>5200000</v>
      </c>
      <c r="S803" s="12"/>
    </row>
    <row r="804" spans="14:19" x14ac:dyDescent="0.2">
      <c r="N804" s="5">
        <v>46054</v>
      </c>
      <c r="O804" s="13" t="s">
        <v>1057</v>
      </c>
      <c r="P804" s="13" t="s">
        <v>1188</v>
      </c>
      <c r="Q804" s="13" t="s">
        <v>1014</v>
      </c>
      <c r="R804" s="12">
        <v>505734</v>
      </c>
      <c r="S804" s="12"/>
    </row>
    <row r="805" spans="14:19" x14ac:dyDescent="0.2">
      <c r="N805" s="5">
        <v>46054</v>
      </c>
      <c r="O805" s="13" t="s">
        <v>1057</v>
      </c>
      <c r="P805" s="13" t="s">
        <v>1156</v>
      </c>
      <c r="Q805" s="13" t="s">
        <v>1014</v>
      </c>
      <c r="R805" s="12">
        <v>365610</v>
      </c>
      <c r="S805" s="12"/>
    </row>
    <row r="806" spans="14:19" x14ac:dyDescent="0.2">
      <c r="N806" s="5">
        <v>46054</v>
      </c>
      <c r="O806" s="13" t="s">
        <v>1057</v>
      </c>
      <c r="P806" s="13" t="s">
        <v>1152</v>
      </c>
      <c r="Q806" s="13" t="s">
        <v>1014</v>
      </c>
      <c r="R806" s="12">
        <v>1169430</v>
      </c>
      <c r="S806" s="12"/>
    </row>
    <row r="807" spans="14:19" x14ac:dyDescent="0.2">
      <c r="N807" s="5">
        <v>46054</v>
      </c>
      <c r="O807" s="13" t="s">
        <v>1057</v>
      </c>
      <c r="P807" s="13" t="s">
        <v>1189</v>
      </c>
      <c r="Q807" s="13" t="s">
        <v>1021</v>
      </c>
      <c r="R807" s="12"/>
      <c r="S807" s="12">
        <v>251000</v>
      </c>
    </row>
    <row r="808" spans="14:19" x14ac:dyDescent="0.2">
      <c r="N808" s="5">
        <v>46054</v>
      </c>
      <c r="O808" s="13" t="s">
        <v>1057</v>
      </c>
      <c r="P808" s="13" t="s">
        <v>1191</v>
      </c>
      <c r="Q808" s="13" t="s">
        <v>1021</v>
      </c>
      <c r="R808" s="12"/>
      <c r="S808" s="12">
        <v>650000</v>
      </c>
    </row>
    <row r="809" spans="14:19" x14ac:dyDescent="0.2">
      <c r="N809" s="5">
        <v>46054</v>
      </c>
      <c r="O809" s="13" t="s">
        <v>1057</v>
      </c>
      <c r="P809" s="13" t="s">
        <v>1159</v>
      </c>
      <c r="Q809" s="13" t="s">
        <v>1021</v>
      </c>
      <c r="R809" s="12"/>
      <c r="S809" s="12">
        <v>0</v>
      </c>
    </row>
    <row r="810" spans="14:19" x14ac:dyDescent="0.2">
      <c r="N810" s="5">
        <v>46054</v>
      </c>
      <c r="O810" s="13" t="s">
        <v>1057</v>
      </c>
      <c r="P810" s="13" t="s">
        <v>1192</v>
      </c>
      <c r="Q810" s="13" t="s">
        <v>1021</v>
      </c>
      <c r="R810" s="12"/>
      <c r="S810" s="12">
        <v>198980</v>
      </c>
    </row>
    <row r="811" spans="14:19" x14ac:dyDescent="0.2">
      <c r="N811" s="5">
        <v>46054</v>
      </c>
      <c r="O811" s="13" t="s">
        <v>1057</v>
      </c>
      <c r="P811" s="13" t="s">
        <v>1160</v>
      </c>
      <c r="Q811" s="13" t="s">
        <v>1021</v>
      </c>
      <c r="R811" s="12"/>
      <c r="S811" s="12">
        <v>0</v>
      </c>
    </row>
    <row r="812" spans="14:19" x14ac:dyDescent="0.2">
      <c r="N812" s="5">
        <v>46054</v>
      </c>
      <c r="O812" s="13" t="s">
        <v>1057</v>
      </c>
      <c r="P812" s="13" t="s">
        <v>1158</v>
      </c>
      <c r="Q812" s="13" t="s">
        <v>1023</v>
      </c>
      <c r="R812" s="12">
        <v>0</v>
      </c>
      <c r="S812" s="12"/>
    </row>
    <row r="813" spans="14:19" x14ac:dyDescent="0.2">
      <c r="N813" s="5">
        <v>46054</v>
      </c>
      <c r="O813" s="13" t="s">
        <v>1057</v>
      </c>
      <c r="P813" s="13" t="s">
        <v>1190</v>
      </c>
      <c r="Q813" s="13" t="s">
        <v>1023</v>
      </c>
      <c r="R813" s="12">
        <v>3055500</v>
      </c>
      <c r="S813" s="12"/>
    </row>
    <row r="814" spans="14:19" x14ac:dyDescent="0.2">
      <c r="N814" s="5">
        <v>46054</v>
      </c>
      <c r="O814" s="13" t="s">
        <v>1059</v>
      </c>
      <c r="P814" s="13" t="s">
        <v>1142</v>
      </c>
      <c r="Q814" s="13" t="s">
        <v>890</v>
      </c>
      <c r="R814" s="12"/>
      <c r="S814" s="12">
        <v>0</v>
      </c>
    </row>
    <row r="815" spans="14:19" x14ac:dyDescent="0.2">
      <c r="N815" s="5">
        <v>46054</v>
      </c>
      <c r="O815" s="13" t="s">
        <v>1059</v>
      </c>
      <c r="P815" s="13" t="s">
        <v>1141</v>
      </c>
      <c r="Q815" s="13" t="s">
        <v>890</v>
      </c>
      <c r="R815" s="12"/>
      <c r="S815" s="12">
        <v>10985590</v>
      </c>
    </row>
    <row r="816" spans="14:19" x14ac:dyDescent="0.2">
      <c r="N816" s="5">
        <v>46054</v>
      </c>
      <c r="O816" s="13" t="s">
        <v>1059</v>
      </c>
      <c r="P816" s="13" t="s">
        <v>1185</v>
      </c>
      <c r="Q816" s="13" t="s">
        <v>890</v>
      </c>
      <c r="R816" s="12"/>
      <c r="S816" s="12">
        <v>100000</v>
      </c>
    </row>
    <row r="817" spans="14:19" x14ac:dyDescent="0.2">
      <c r="N817" s="5">
        <v>46054</v>
      </c>
      <c r="O817" s="13" t="s">
        <v>1059</v>
      </c>
      <c r="P817" s="13" t="s">
        <v>1187</v>
      </c>
      <c r="Q817" s="13" t="s">
        <v>890</v>
      </c>
      <c r="R817" s="12"/>
      <c r="S817" s="12">
        <v>400000</v>
      </c>
    </row>
    <row r="818" spans="14:19" x14ac:dyDescent="0.2">
      <c r="N818" s="5">
        <v>46054</v>
      </c>
      <c r="O818" s="13" t="s">
        <v>1059</v>
      </c>
      <c r="P818" s="13" t="s">
        <v>1186</v>
      </c>
      <c r="Q818" s="13" t="s">
        <v>890</v>
      </c>
      <c r="R818" s="12"/>
      <c r="S818" s="12">
        <v>1709600</v>
      </c>
    </row>
    <row r="819" spans="14:19" x14ac:dyDescent="0.2">
      <c r="N819" s="5">
        <v>46054</v>
      </c>
      <c r="O819" s="13" t="s">
        <v>1057</v>
      </c>
      <c r="P819" s="13" t="s">
        <v>1143</v>
      </c>
      <c r="Q819" s="13" t="s">
        <v>920</v>
      </c>
      <c r="R819" s="12">
        <v>206070</v>
      </c>
      <c r="S819" s="12"/>
    </row>
    <row r="820" spans="14:19" x14ac:dyDescent="0.2">
      <c r="N820" s="5">
        <v>46054</v>
      </c>
      <c r="O820" s="13" t="s">
        <v>1056</v>
      </c>
      <c r="P820" s="13" t="s">
        <v>1162</v>
      </c>
      <c r="Q820" s="13" t="s">
        <v>920</v>
      </c>
      <c r="R820" s="12">
        <v>604242</v>
      </c>
      <c r="S820" s="12"/>
    </row>
    <row r="821" spans="14:19" x14ac:dyDescent="0.2">
      <c r="N821" s="5">
        <v>46054</v>
      </c>
      <c r="O821" s="13" t="s">
        <v>1056</v>
      </c>
      <c r="P821" s="13" t="s">
        <v>1164</v>
      </c>
      <c r="Q821" s="13" t="s">
        <v>920</v>
      </c>
      <c r="R821" s="12">
        <v>166666</v>
      </c>
      <c r="S821" s="12"/>
    </row>
    <row r="822" spans="14:19" x14ac:dyDescent="0.2">
      <c r="N822" s="5">
        <v>46054</v>
      </c>
      <c r="O822" s="13" t="s">
        <v>1056</v>
      </c>
      <c r="P822" s="13" t="s">
        <v>1163</v>
      </c>
      <c r="Q822" s="13" t="s">
        <v>920</v>
      </c>
      <c r="R822" s="12">
        <v>604242</v>
      </c>
      <c r="S822" s="12"/>
    </row>
    <row r="823" spans="14:19" x14ac:dyDescent="0.2">
      <c r="N823" s="5">
        <v>46054</v>
      </c>
      <c r="O823" s="13" t="s">
        <v>1056</v>
      </c>
      <c r="P823" s="13" t="s">
        <v>1176</v>
      </c>
      <c r="Q823" s="13" t="s">
        <v>956</v>
      </c>
      <c r="R823" s="12">
        <v>82927</v>
      </c>
      <c r="S823" s="12"/>
    </row>
    <row r="824" spans="14:19" x14ac:dyDescent="0.2">
      <c r="N824" s="5">
        <v>46054</v>
      </c>
      <c r="O824" s="13" t="s">
        <v>1056</v>
      </c>
      <c r="P824" s="13" t="s">
        <v>1175</v>
      </c>
      <c r="Q824" s="13" t="s">
        <v>956</v>
      </c>
      <c r="R824" s="12">
        <v>67484</v>
      </c>
      <c r="S824" s="12"/>
    </row>
    <row r="825" spans="14:19" x14ac:dyDescent="0.2">
      <c r="N825" s="5">
        <v>46054</v>
      </c>
      <c r="O825" s="13" t="s">
        <v>1056</v>
      </c>
      <c r="P825" s="13" t="s">
        <v>1141</v>
      </c>
      <c r="Q825" s="13" t="s">
        <v>950</v>
      </c>
      <c r="R825" s="12">
        <v>95395</v>
      </c>
      <c r="S825" s="12"/>
    </row>
    <row r="826" spans="14:19" x14ac:dyDescent="0.2">
      <c r="N826" s="5">
        <v>46054</v>
      </c>
      <c r="O826" s="13" t="s">
        <v>1056</v>
      </c>
      <c r="P826" s="13" t="s">
        <v>1205</v>
      </c>
      <c r="Q826" s="13" t="s">
        <v>950</v>
      </c>
      <c r="R826" s="12">
        <v>118486</v>
      </c>
      <c r="S826" s="12"/>
    </row>
    <row r="827" spans="14:19" x14ac:dyDescent="0.2">
      <c r="N827" s="5">
        <v>46054</v>
      </c>
      <c r="O827" s="13" t="s">
        <v>1056</v>
      </c>
      <c r="P827" s="13" t="s">
        <v>1174</v>
      </c>
      <c r="Q827" s="13" t="s">
        <v>952</v>
      </c>
      <c r="R827" s="12">
        <v>73387</v>
      </c>
      <c r="S827" s="12"/>
    </row>
    <row r="828" spans="14:19" x14ac:dyDescent="0.2">
      <c r="N828" s="5">
        <v>46054</v>
      </c>
      <c r="O828" s="13" t="s">
        <v>1057</v>
      </c>
      <c r="P828" s="13" t="s">
        <v>1151</v>
      </c>
      <c r="Q828" s="13" t="s">
        <v>952</v>
      </c>
      <c r="R828" s="12">
        <v>113548</v>
      </c>
      <c r="S828" s="12"/>
    </row>
    <row r="829" spans="14:19" x14ac:dyDescent="0.2">
      <c r="N829" s="5">
        <v>46054</v>
      </c>
      <c r="O829" s="13" t="s">
        <v>1057</v>
      </c>
      <c r="P829" s="13" t="s">
        <v>1155</v>
      </c>
      <c r="Q829" s="13" t="s">
        <v>952</v>
      </c>
      <c r="R829" s="12">
        <v>92800</v>
      </c>
      <c r="S829" s="12"/>
    </row>
    <row r="830" spans="14:19" x14ac:dyDescent="0.2">
      <c r="N830" s="5">
        <v>46054</v>
      </c>
      <c r="O830" s="13" t="s">
        <v>1056</v>
      </c>
      <c r="P830" s="13" t="s">
        <v>1173</v>
      </c>
      <c r="Q830" s="13" t="s">
        <v>952</v>
      </c>
      <c r="R830" s="12">
        <v>66745</v>
      </c>
      <c r="S830" s="12"/>
    </row>
    <row r="831" spans="14:19" x14ac:dyDescent="0.2">
      <c r="N831" s="5">
        <v>46054</v>
      </c>
      <c r="O831" s="13" t="s">
        <v>1056</v>
      </c>
      <c r="P831" s="13" t="s">
        <v>1163</v>
      </c>
      <c r="Q831" s="13" t="s">
        <v>914</v>
      </c>
      <c r="R831" s="12">
        <v>5000000</v>
      </c>
      <c r="S831" s="12"/>
    </row>
    <row r="832" spans="14:19" x14ac:dyDescent="0.2">
      <c r="N832" s="5">
        <v>46054</v>
      </c>
      <c r="O832" s="13" t="s">
        <v>1056</v>
      </c>
      <c r="P832" s="13" t="s">
        <v>1162</v>
      </c>
      <c r="Q832" s="13" t="s">
        <v>914</v>
      </c>
      <c r="R832" s="12">
        <v>5000000</v>
      </c>
      <c r="S832" s="12"/>
    </row>
    <row r="833" spans="14:19" x14ac:dyDescent="0.2">
      <c r="N833" s="5">
        <v>46054</v>
      </c>
      <c r="O833" s="13" t="s">
        <v>1056</v>
      </c>
      <c r="P833" s="13" t="s">
        <v>1164</v>
      </c>
      <c r="Q833" s="13" t="s">
        <v>914</v>
      </c>
      <c r="R833" s="12">
        <v>1750905</v>
      </c>
      <c r="S833" s="12"/>
    </row>
    <row r="834" spans="14:19" x14ac:dyDescent="0.2">
      <c r="N834" s="5">
        <v>46054</v>
      </c>
      <c r="O834" s="13" t="s">
        <v>1057</v>
      </c>
      <c r="P834" s="13" t="s">
        <v>1143</v>
      </c>
      <c r="Q834" s="13" t="s">
        <v>914</v>
      </c>
      <c r="R834" s="12">
        <v>1750905</v>
      </c>
      <c r="S834" s="12"/>
    </row>
    <row r="835" spans="14:19" x14ac:dyDescent="0.2">
      <c r="N835" s="5">
        <v>46054</v>
      </c>
      <c r="O835" s="13" t="s">
        <v>1057</v>
      </c>
      <c r="P835" s="13" t="s">
        <v>1149</v>
      </c>
      <c r="Q835" s="13" t="s">
        <v>1012</v>
      </c>
      <c r="R835" s="12"/>
      <c r="S835" s="12">
        <v>242518</v>
      </c>
    </row>
    <row r="836" spans="14:19" x14ac:dyDescent="0.2">
      <c r="N836" s="5">
        <v>46054</v>
      </c>
      <c r="O836" s="13" t="s">
        <v>1057</v>
      </c>
      <c r="P836" s="13" t="s">
        <v>1150</v>
      </c>
      <c r="Q836" s="13" t="s">
        <v>1012</v>
      </c>
      <c r="R836" s="12"/>
      <c r="S836" s="12">
        <v>0</v>
      </c>
    </row>
    <row r="837" spans="14:19" x14ac:dyDescent="0.2">
      <c r="N837" s="5">
        <v>46054</v>
      </c>
      <c r="O837" s="13" t="s">
        <v>1057</v>
      </c>
      <c r="P837" s="13" t="s">
        <v>1153</v>
      </c>
      <c r="Q837" s="13" t="s">
        <v>1012</v>
      </c>
      <c r="R837" s="12"/>
      <c r="S837" s="12">
        <v>705908</v>
      </c>
    </row>
    <row r="838" spans="14:19" x14ac:dyDescent="0.2">
      <c r="N838" s="5">
        <v>46054</v>
      </c>
      <c r="O838" s="13" t="s">
        <v>1057</v>
      </c>
      <c r="P838" s="13" t="s">
        <v>1154</v>
      </c>
      <c r="Q838" s="13" t="s">
        <v>1012</v>
      </c>
      <c r="R838" s="12"/>
      <c r="S838" s="12">
        <v>217600</v>
      </c>
    </row>
    <row r="839" spans="14:19" x14ac:dyDescent="0.2">
      <c r="N839" s="5">
        <v>46054</v>
      </c>
      <c r="O839" s="13" t="s">
        <v>1057</v>
      </c>
      <c r="P839" s="13" t="s">
        <v>1141</v>
      </c>
      <c r="Q839" s="13" t="s">
        <v>1012</v>
      </c>
      <c r="R839" s="12"/>
      <c r="S839" s="12">
        <v>8044</v>
      </c>
    </row>
    <row r="840" spans="14:19" x14ac:dyDescent="0.2">
      <c r="N840" s="5">
        <v>46054</v>
      </c>
      <c r="O840" s="13" t="s">
        <v>1057</v>
      </c>
      <c r="P840" s="13" t="s">
        <v>1143</v>
      </c>
      <c r="Q840" s="13" t="s">
        <v>864</v>
      </c>
      <c r="R840" s="12">
        <v>67700</v>
      </c>
      <c r="S840" s="12"/>
    </row>
    <row r="841" spans="14:19" x14ac:dyDescent="0.2">
      <c r="N841" s="5">
        <v>46054</v>
      </c>
      <c r="O841" s="13" t="s">
        <v>1056</v>
      </c>
      <c r="P841" s="13" t="s">
        <v>1163</v>
      </c>
      <c r="Q841" s="13" t="s">
        <v>864</v>
      </c>
      <c r="R841" s="12">
        <v>625000</v>
      </c>
      <c r="S841" s="12"/>
    </row>
    <row r="842" spans="14:19" x14ac:dyDescent="0.2">
      <c r="N842" s="5">
        <v>46054</v>
      </c>
      <c r="O842" s="13" t="s">
        <v>1056</v>
      </c>
      <c r="P842" s="13" t="s">
        <v>1162</v>
      </c>
      <c r="Q842" s="13" t="s">
        <v>864</v>
      </c>
      <c r="R842" s="12">
        <v>625000</v>
      </c>
      <c r="S842" s="12"/>
    </row>
    <row r="843" spans="14:19" x14ac:dyDescent="0.2">
      <c r="N843" s="5">
        <v>46054</v>
      </c>
      <c r="O843" s="13" t="s">
        <v>1056</v>
      </c>
      <c r="P843" s="13" t="s">
        <v>1164</v>
      </c>
      <c r="Q843" s="13" t="s">
        <v>864</v>
      </c>
      <c r="R843" s="12">
        <v>67700</v>
      </c>
      <c r="S843" s="12"/>
    </row>
    <row r="844" spans="14:19" x14ac:dyDescent="0.2">
      <c r="N844" s="5">
        <v>46054</v>
      </c>
      <c r="O844" s="13" t="s">
        <v>1056</v>
      </c>
      <c r="P844" s="13" t="s">
        <v>1200</v>
      </c>
      <c r="Q844" s="13" t="s">
        <v>976</v>
      </c>
      <c r="R844" s="12">
        <v>33950</v>
      </c>
      <c r="S844" s="12"/>
    </row>
    <row r="845" spans="14:19" x14ac:dyDescent="0.2">
      <c r="N845" s="5">
        <v>46054</v>
      </c>
      <c r="O845" s="13" t="s">
        <v>1056</v>
      </c>
      <c r="P845" s="13" t="s">
        <v>1171</v>
      </c>
      <c r="Q845" s="13" t="s">
        <v>976</v>
      </c>
      <c r="R845" s="12">
        <v>0</v>
      </c>
      <c r="S845" s="12"/>
    </row>
    <row r="846" spans="14:19" x14ac:dyDescent="0.2">
      <c r="N846" s="5">
        <v>46054</v>
      </c>
      <c r="O846" s="13" t="s">
        <v>1056</v>
      </c>
      <c r="P846" s="13" t="s">
        <v>1195</v>
      </c>
      <c r="Q846" s="13" t="s">
        <v>976</v>
      </c>
      <c r="R846" s="12">
        <v>13931</v>
      </c>
      <c r="S846" s="12"/>
    </row>
    <row r="847" spans="14:19" x14ac:dyDescent="0.2">
      <c r="N847" s="5">
        <v>46054</v>
      </c>
      <c r="O847" s="13" t="s">
        <v>1056</v>
      </c>
      <c r="P847" s="13" t="s">
        <v>1170</v>
      </c>
      <c r="Q847" s="13" t="s">
        <v>976</v>
      </c>
      <c r="R847" s="12">
        <v>0</v>
      </c>
      <c r="S847" s="12"/>
    </row>
    <row r="848" spans="14:19" x14ac:dyDescent="0.2">
      <c r="N848" s="5">
        <v>46082</v>
      </c>
      <c r="O848" s="13" t="s">
        <v>1056</v>
      </c>
      <c r="P848" s="13" t="s">
        <v>1207</v>
      </c>
      <c r="Q848" s="13" t="s">
        <v>968</v>
      </c>
      <c r="R848" s="12">
        <v>0</v>
      </c>
      <c r="S848" s="12"/>
    </row>
    <row r="849" spans="14:19" x14ac:dyDescent="0.2">
      <c r="N849" s="5">
        <v>46082</v>
      </c>
      <c r="O849" s="13" t="s">
        <v>1056</v>
      </c>
      <c r="P849" s="13" t="s">
        <v>1224</v>
      </c>
      <c r="Q849" s="13" t="s">
        <v>968</v>
      </c>
      <c r="R849" s="12">
        <v>67647</v>
      </c>
      <c r="S849" s="12"/>
    </row>
    <row r="850" spans="14:19" x14ac:dyDescent="0.2">
      <c r="N850" s="5">
        <v>46082</v>
      </c>
      <c r="O850" s="13" t="s">
        <v>1056</v>
      </c>
      <c r="P850" s="13" t="s">
        <v>1225</v>
      </c>
      <c r="Q850" s="13" t="s">
        <v>968</v>
      </c>
      <c r="R850" s="12">
        <v>55495</v>
      </c>
      <c r="S850" s="12"/>
    </row>
    <row r="851" spans="14:19" x14ac:dyDescent="0.2">
      <c r="N851" s="5">
        <v>46082</v>
      </c>
      <c r="O851" s="13" t="s">
        <v>1058</v>
      </c>
      <c r="P851" s="13" t="s">
        <v>1180</v>
      </c>
      <c r="Q851" s="13" t="s">
        <v>912</v>
      </c>
      <c r="R851" s="12">
        <v>0</v>
      </c>
      <c r="S851" s="12"/>
    </row>
    <row r="852" spans="14:19" x14ac:dyDescent="0.2">
      <c r="N852" s="5">
        <v>46082</v>
      </c>
      <c r="O852" s="13" t="s">
        <v>1058</v>
      </c>
      <c r="P852" s="13" t="s">
        <v>1183</v>
      </c>
      <c r="Q852" s="13" t="s">
        <v>912</v>
      </c>
      <c r="R852" s="12">
        <v>0</v>
      </c>
      <c r="S852" s="12"/>
    </row>
    <row r="853" spans="14:19" x14ac:dyDescent="0.2">
      <c r="N853" s="5">
        <v>46082</v>
      </c>
      <c r="O853" s="13" t="s">
        <v>1058</v>
      </c>
      <c r="P853" s="13" t="s">
        <v>1205</v>
      </c>
      <c r="Q853" s="13" t="s">
        <v>912</v>
      </c>
      <c r="R853" s="12">
        <v>0</v>
      </c>
      <c r="S853" s="12"/>
    </row>
    <row r="854" spans="14:19" x14ac:dyDescent="0.2">
      <c r="N854" s="5">
        <v>46082</v>
      </c>
      <c r="O854" s="13" t="s">
        <v>1058</v>
      </c>
      <c r="P854" s="13" t="s">
        <v>1210</v>
      </c>
      <c r="Q854" s="13" t="s">
        <v>912</v>
      </c>
      <c r="R854" s="12">
        <v>0</v>
      </c>
      <c r="S854" s="12"/>
    </row>
    <row r="855" spans="14:19" x14ac:dyDescent="0.2">
      <c r="N855" s="5">
        <v>46082</v>
      </c>
      <c r="O855" s="13" t="s">
        <v>1058</v>
      </c>
      <c r="P855" s="13" t="s">
        <v>1187</v>
      </c>
      <c r="Q855" s="13" t="s">
        <v>912</v>
      </c>
      <c r="R855" s="12">
        <v>0</v>
      </c>
      <c r="S855" s="12"/>
    </row>
    <row r="856" spans="14:19" x14ac:dyDescent="0.2">
      <c r="N856" s="5">
        <v>46082</v>
      </c>
      <c r="O856" s="13" t="s">
        <v>1056</v>
      </c>
      <c r="P856" s="13" t="s">
        <v>1165</v>
      </c>
      <c r="Q856" s="13" t="s">
        <v>930</v>
      </c>
      <c r="R856" s="12">
        <v>600000</v>
      </c>
      <c r="S856" s="12"/>
    </row>
    <row r="857" spans="14:19" x14ac:dyDescent="0.2">
      <c r="N857" s="5">
        <v>46082</v>
      </c>
      <c r="O857" s="13" t="s">
        <v>1056</v>
      </c>
      <c r="P857" s="13" t="s">
        <v>1166</v>
      </c>
      <c r="Q857" s="13" t="s">
        <v>930</v>
      </c>
      <c r="R857" s="12">
        <v>239000</v>
      </c>
      <c r="S857" s="12"/>
    </row>
    <row r="858" spans="14:19" x14ac:dyDescent="0.2">
      <c r="N858" s="5">
        <v>46082</v>
      </c>
      <c r="O858" s="13" t="s">
        <v>1056</v>
      </c>
      <c r="P858" s="13" t="s">
        <v>1145</v>
      </c>
      <c r="Q858" s="13" t="s">
        <v>930</v>
      </c>
      <c r="R858" s="12">
        <v>600000</v>
      </c>
      <c r="S858" s="12"/>
    </row>
    <row r="859" spans="14:19" x14ac:dyDescent="0.2">
      <c r="N859" s="5">
        <v>46082</v>
      </c>
      <c r="O859" s="13" t="s">
        <v>1057</v>
      </c>
      <c r="P859" s="13" t="s">
        <v>1212</v>
      </c>
      <c r="Q859" s="13" t="s">
        <v>930</v>
      </c>
      <c r="R859" s="12">
        <v>209500</v>
      </c>
      <c r="S859" s="12"/>
    </row>
    <row r="860" spans="14:19" x14ac:dyDescent="0.2">
      <c r="N860" s="5">
        <v>46082</v>
      </c>
      <c r="O860" s="13" t="s">
        <v>1057</v>
      </c>
      <c r="P860" s="13" t="s">
        <v>1145</v>
      </c>
      <c r="Q860" s="13" t="s">
        <v>930</v>
      </c>
      <c r="R860" s="12">
        <v>326900</v>
      </c>
      <c r="S860" s="12"/>
    </row>
    <row r="861" spans="14:19" x14ac:dyDescent="0.2">
      <c r="N861" s="5">
        <v>46082</v>
      </c>
      <c r="O861" s="13" t="s">
        <v>1056</v>
      </c>
      <c r="P861" s="13" t="s">
        <v>1144</v>
      </c>
      <c r="Q861" s="13" t="s">
        <v>927</v>
      </c>
      <c r="R861" s="12">
        <v>62600</v>
      </c>
      <c r="S861" s="12"/>
    </row>
    <row r="862" spans="14:19" x14ac:dyDescent="0.2">
      <c r="N862" s="5">
        <v>46082</v>
      </c>
      <c r="O862" s="13" t="s">
        <v>1057</v>
      </c>
      <c r="P862" s="13" t="s">
        <v>1144</v>
      </c>
      <c r="Q862" s="13" t="s">
        <v>927</v>
      </c>
      <c r="R862" s="12">
        <v>23300</v>
      </c>
      <c r="S862" s="12"/>
    </row>
    <row r="863" spans="14:19" x14ac:dyDescent="0.2">
      <c r="N863" s="5">
        <v>46082</v>
      </c>
      <c r="O863" s="13" t="s">
        <v>1056</v>
      </c>
      <c r="P863" s="13" t="s">
        <v>1181</v>
      </c>
      <c r="Q863" s="13" t="s">
        <v>822</v>
      </c>
      <c r="R863" s="12">
        <v>0</v>
      </c>
      <c r="S863" s="12"/>
    </row>
    <row r="864" spans="14:19" x14ac:dyDescent="0.2">
      <c r="N864" s="5">
        <v>46082</v>
      </c>
      <c r="O864" s="13" t="s">
        <v>1056</v>
      </c>
      <c r="P864" s="13" t="s">
        <v>1146</v>
      </c>
      <c r="Q864" s="13" t="s">
        <v>932</v>
      </c>
      <c r="R864" s="12">
        <v>479700</v>
      </c>
      <c r="S864" s="12"/>
    </row>
    <row r="865" spans="14:19" x14ac:dyDescent="0.2">
      <c r="N865" s="5">
        <v>46082</v>
      </c>
      <c r="O865" s="13" t="s">
        <v>1057</v>
      </c>
      <c r="P865" s="13" t="s">
        <v>1146</v>
      </c>
      <c r="Q865" s="13" t="s">
        <v>932</v>
      </c>
      <c r="R865" s="12">
        <v>178800</v>
      </c>
      <c r="S865" s="12"/>
    </row>
    <row r="866" spans="14:19" x14ac:dyDescent="0.2">
      <c r="N866" s="5">
        <v>46082</v>
      </c>
      <c r="O866" s="13" t="s">
        <v>1056</v>
      </c>
      <c r="P866" s="13" t="s">
        <v>1221</v>
      </c>
      <c r="Q866" s="13" t="s">
        <v>948</v>
      </c>
      <c r="R866" s="12">
        <v>2500000</v>
      </c>
      <c r="S866" s="12"/>
    </row>
    <row r="867" spans="14:19" x14ac:dyDescent="0.2">
      <c r="N867" s="5">
        <v>46082</v>
      </c>
      <c r="O867" s="13" t="s">
        <v>1057</v>
      </c>
      <c r="P867" s="13" t="s">
        <v>1147</v>
      </c>
      <c r="Q867" s="13" t="s">
        <v>948</v>
      </c>
      <c r="R867" s="12">
        <v>0</v>
      </c>
      <c r="S867" s="12"/>
    </row>
    <row r="868" spans="14:19" x14ac:dyDescent="0.2">
      <c r="N868" s="5">
        <v>46082</v>
      </c>
      <c r="O868" s="13" t="s">
        <v>1057</v>
      </c>
      <c r="P868" s="13" t="s">
        <v>1148</v>
      </c>
      <c r="Q868" s="13" t="s">
        <v>948</v>
      </c>
      <c r="R868" s="12">
        <v>6300000</v>
      </c>
      <c r="S868" s="12"/>
    </row>
    <row r="869" spans="14:19" x14ac:dyDescent="0.2">
      <c r="N869" s="5">
        <v>46082</v>
      </c>
      <c r="O869" s="13" t="s">
        <v>1056</v>
      </c>
      <c r="P869" s="13" t="s">
        <v>1204</v>
      </c>
      <c r="Q869" s="13" t="s">
        <v>944</v>
      </c>
      <c r="R869" s="12">
        <v>2400000</v>
      </c>
      <c r="S869" s="12"/>
    </row>
    <row r="870" spans="14:19" x14ac:dyDescent="0.2">
      <c r="N870" s="5">
        <v>46082</v>
      </c>
      <c r="O870" s="13" t="s">
        <v>1056</v>
      </c>
      <c r="P870" s="13" t="s">
        <v>1164</v>
      </c>
      <c r="Q870" s="13" t="s">
        <v>916</v>
      </c>
      <c r="R870" s="12">
        <v>215882</v>
      </c>
      <c r="S870" s="12"/>
    </row>
    <row r="871" spans="14:19" x14ac:dyDescent="0.2">
      <c r="N871" s="5">
        <v>46082</v>
      </c>
      <c r="O871" s="13" t="s">
        <v>1056</v>
      </c>
      <c r="P871" s="13" t="s">
        <v>1162</v>
      </c>
      <c r="Q871" s="13" t="s">
        <v>916</v>
      </c>
      <c r="R871" s="12">
        <v>0</v>
      </c>
      <c r="S871" s="12"/>
    </row>
    <row r="872" spans="14:19" x14ac:dyDescent="0.2">
      <c r="N872" s="5">
        <v>46082</v>
      </c>
      <c r="O872" s="13" t="s">
        <v>1056</v>
      </c>
      <c r="P872" s="13" t="s">
        <v>1163</v>
      </c>
      <c r="Q872" s="13" t="s">
        <v>916</v>
      </c>
      <c r="R872" s="12">
        <v>0</v>
      </c>
      <c r="S872" s="12"/>
    </row>
    <row r="873" spans="14:19" x14ac:dyDescent="0.2">
      <c r="N873" s="5">
        <v>46082</v>
      </c>
      <c r="O873" s="13" t="s">
        <v>1057</v>
      </c>
      <c r="P873" s="13" t="s">
        <v>1143</v>
      </c>
      <c r="Q873" s="13" t="s">
        <v>993</v>
      </c>
      <c r="R873" s="12">
        <v>249095</v>
      </c>
      <c r="S873" s="12"/>
    </row>
    <row r="874" spans="14:19" x14ac:dyDescent="0.2">
      <c r="N874" s="5">
        <v>46082</v>
      </c>
      <c r="O874" s="13" t="s">
        <v>1057</v>
      </c>
      <c r="P874" s="13" t="s">
        <v>1211</v>
      </c>
      <c r="Q874" s="13" t="s">
        <v>993</v>
      </c>
      <c r="R874" s="12">
        <v>232489</v>
      </c>
      <c r="S874" s="12"/>
    </row>
    <row r="875" spans="14:19" x14ac:dyDescent="0.2">
      <c r="N875" s="5">
        <v>46082</v>
      </c>
      <c r="O875" s="13" t="s">
        <v>1056</v>
      </c>
      <c r="P875" s="13" t="s">
        <v>1164</v>
      </c>
      <c r="Q875" s="13" t="s">
        <v>938</v>
      </c>
      <c r="R875" s="12">
        <v>182200</v>
      </c>
      <c r="S875" s="12"/>
    </row>
    <row r="876" spans="14:19" x14ac:dyDescent="0.2">
      <c r="N876" s="5">
        <v>46082</v>
      </c>
      <c r="O876" s="13" t="s">
        <v>1056</v>
      </c>
      <c r="P876" s="13" t="s">
        <v>1202</v>
      </c>
      <c r="Q876" s="13" t="s">
        <v>978</v>
      </c>
      <c r="R876" s="12">
        <v>0</v>
      </c>
      <c r="S876" s="12"/>
    </row>
    <row r="877" spans="14:19" x14ac:dyDescent="0.2">
      <c r="N877" s="5">
        <v>46082</v>
      </c>
      <c r="O877" s="13" t="s">
        <v>1056</v>
      </c>
      <c r="P877" s="13" t="s">
        <v>1197</v>
      </c>
      <c r="Q877" s="13" t="s">
        <v>978</v>
      </c>
      <c r="R877" s="12">
        <v>368090</v>
      </c>
      <c r="S877" s="12"/>
    </row>
    <row r="878" spans="14:19" x14ac:dyDescent="0.2">
      <c r="N878" s="5">
        <v>46082</v>
      </c>
      <c r="O878" s="13" t="s">
        <v>1056</v>
      </c>
      <c r="P878" s="13" t="s">
        <v>1198</v>
      </c>
      <c r="Q878" s="13" t="s">
        <v>978</v>
      </c>
      <c r="R878" s="12">
        <v>0</v>
      </c>
      <c r="S878" s="12"/>
    </row>
    <row r="879" spans="14:19" x14ac:dyDescent="0.2">
      <c r="N879" s="5">
        <v>46082</v>
      </c>
      <c r="O879" s="13" t="s">
        <v>1056</v>
      </c>
      <c r="P879" s="13" t="s">
        <v>1167</v>
      </c>
      <c r="Q879" s="13" t="s">
        <v>978</v>
      </c>
      <c r="R879" s="12">
        <v>0</v>
      </c>
      <c r="S879" s="12"/>
    </row>
    <row r="880" spans="14:19" x14ac:dyDescent="0.2">
      <c r="N880" s="5">
        <v>46082</v>
      </c>
      <c r="O880" s="13" t="s">
        <v>1056</v>
      </c>
      <c r="P880" s="13" t="s">
        <v>1220</v>
      </c>
      <c r="Q880" s="13" t="s">
        <v>978</v>
      </c>
      <c r="R880" s="12">
        <v>266140</v>
      </c>
      <c r="S880" s="12"/>
    </row>
    <row r="881" spans="14:19" x14ac:dyDescent="0.2">
      <c r="N881" s="5">
        <v>46082</v>
      </c>
      <c r="O881" s="13" t="s">
        <v>1056</v>
      </c>
      <c r="P881" s="13" t="s">
        <v>1217</v>
      </c>
      <c r="Q881" s="13" t="s">
        <v>978</v>
      </c>
      <c r="R881" s="12">
        <v>1399390</v>
      </c>
      <c r="S881" s="12"/>
    </row>
    <row r="882" spans="14:19" x14ac:dyDescent="0.2">
      <c r="N882" s="5">
        <v>46082</v>
      </c>
      <c r="O882" s="13" t="s">
        <v>1056</v>
      </c>
      <c r="P882" s="13" t="s">
        <v>1201</v>
      </c>
      <c r="Q882" s="13" t="s">
        <v>978</v>
      </c>
      <c r="R882" s="12">
        <v>0</v>
      </c>
      <c r="S882" s="12"/>
    </row>
    <row r="883" spans="14:19" x14ac:dyDescent="0.2">
      <c r="N883" s="5">
        <v>46082</v>
      </c>
      <c r="O883" s="13" t="s">
        <v>1056</v>
      </c>
      <c r="P883" s="13" t="s">
        <v>1168</v>
      </c>
      <c r="Q883" s="13" t="s">
        <v>978</v>
      </c>
      <c r="R883" s="12">
        <v>0</v>
      </c>
      <c r="S883" s="12"/>
    </row>
    <row r="884" spans="14:19" x14ac:dyDescent="0.2">
      <c r="N884" s="5">
        <v>46082</v>
      </c>
      <c r="O884" s="13" t="s">
        <v>1056</v>
      </c>
      <c r="P884" s="13" t="s">
        <v>1219</v>
      </c>
      <c r="Q884" s="13" t="s">
        <v>978</v>
      </c>
      <c r="R884" s="12">
        <v>360554</v>
      </c>
      <c r="S884" s="12"/>
    </row>
    <row r="885" spans="14:19" x14ac:dyDescent="0.2">
      <c r="N885" s="5">
        <v>46082</v>
      </c>
      <c r="O885" s="13" t="s">
        <v>1056</v>
      </c>
      <c r="P885" s="13" t="s">
        <v>1164</v>
      </c>
      <c r="Q885" s="13" t="s">
        <v>860</v>
      </c>
      <c r="R885" s="12">
        <v>225623</v>
      </c>
      <c r="S885" s="12"/>
    </row>
    <row r="886" spans="14:19" x14ac:dyDescent="0.2">
      <c r="N886" s="5">
        <v>46082</v>
      </c>
      <c r="O886" s="13" t="s">
        <v>1057</v>
      </c>
      <c r="P886" s="13" t="s">
        <v>1211</v>
      </c>
      <c r="Q886" s="13" t="s">
        <v>860</v>
      </c>
      <c r="R886" s="12">
        <v>155556</v>
      </c>
      <c r="S886" s="12"/>
    </row>
    <row r="887" spans="14:19" x14ac:dyDescent="0.2">
      <c r="N887" s="5">
        <v>46082</v>
      </c>
      <c r="O887" s="13" t="s">
        <v>1056</v>
      </c>
      <c r="P887" s="13" t="s">
        <v>1163</v>
      </c>
      <c r="Q887" s="13" t="s">
        <v>860</v>
      </c>
      <c r="R887" s="12">
        <v>416667</v>
      </c>
      <c r="S887" s="12"/>
    </row>
    <row r="888" spans="14:19" x14ac:dyDescent="0.2">
      <c r="N888" s="5">
        <v>46082</v>
      </c>
      <c r="O888" s="13" t="s">
        <v>1056</v>
      </c>
      <c r="P888" s="13" t="s">
        <v>1162</v>
      </c>
      <c r="Q888" s="13" t="s">
        <v>860</v>
      </c>
      <c r="R888" s="12">
        <v>416667</v>
      </c>
      <c r="S888" s="12"/>
    </row>
    <row r="889" spans="14:19" x14ac:dyDescent="0.2">
      <c r="N889" s="5">
        <v>46082</v>
      </c>
      <c r="O889" s="13" t="s">
        <v>1057</v>
      </c>
      <c r="P889" s="13" t="s">
        <v>1143</v>
      </c>
      <c r="Q889" s="13" t="s">
        <v>860</v>
      </c>
      <c r="R889" s="12">
        <v>247798</v>
      </c>
      <c r="S889" s="12"/>
    </row>
    <row r="890" spans="14:19" x14ac:dyDescent="0.2">
      <c r="N890" s="5">
        <v>46082</v>
      </c>
      <c r="O890" s="13" t="s">
        <v>1057</v>
      </c>
      <c r="P890" s="13" t="s">
        <v>1161</v>
      </c>
      <c r="Q890" s="13" t="s">
        <v>972</v>
      </c>
      <c r="R890" s="12"/>
      <c r="S890" s="12">
        <v>1367748</v>
      </c>
    </row>
    <row r="891" spans="14:19" x14ac:dyDescent="0.2">
      <c r="N891" s="5">
        <v>46082</v>
      </c>
      <c r="O891" s="13" t="s">
        <v>1057</v>
      </c>
      <c r="P891" s="13" t="s">
        <v>1215</v>
      </c>
      <c r="Q891" s="13" t="s">
        <v>972</v>
      </c>
      <c r="R891" s="12"/>
      <c r="S891" s="12">
        <v>189916</v>
      </c>
    </row>
    <row r="892" spans="14:19" x14ac:dyDescent="0.2">
      <c r="N892" s="5">
        <v>46082</v>
      </c>
      <c r="O892" s="13" t="s">
        <v>1057</v>
      </c>
      <c r="P892" s="13" t="s">
        <v>1187</v>
      </c>
      <c r="Q892" s="13" t="s">
        <v>972</v>
      </c>
      <c r="R892" s="12"/>
      <c r="S892" s="12">
        <v>0</v>
      </c>
    </row>
    <row r="893" spans="14:19" x14ac:dyDescent="0.2">
      <c r="N893" s="5">
        <v>46082</v>
      </c>
      <c r="O893" s="13" t="s">
        <v>1058</v>
      </c>
      <c r="P893" s="13" t="s">
        <v>1161</v>
      </c>
      <c r="Q893" s="13" t="s">
        <v>972</v>
      </c>
      <c r="R893" s="12">
        <v>22254</v>
      </c>
      <c r="S893" s="12"/>
    </row>
    <row r="894" spans="14:19" x14ac:dyDescent="0.2">
      <c r="N894" s="5">
        <v>46082</v>
      </c>
      <c r="O894" s="13" t="s">
        <v>1057</v>
      </c>
      <c r="P894" s="13" t="s">
        <v>1157</v>
      </c>
      <c r="Q894" s="13" t="s">
        <v>972</v>
      </c>
      <c r="R894" s="12"/>
      <c r="S894" s="12">
        <v>432482</v>
      </c>
    </row>
    <row r="895" spans="14:19" x14ac:dyDescent="0.2">
      <c r="N895" s="5">
        <v>46082</v>
      </c>
      <c r="O895" s="13" t="s">
        <v>1057</v>
      </c>
      <c r="P895" s="13" t="s">
        <v>1143</v>
      </c>
      <c r="Q895" s="13" t="s">
        <v>972</v>
      </c>
      <c r="R895" s="12"/>
      <c r="S895" s="12">
        <v>126000</v>
      </c>
    </row>
    <row r="896" spans="14:19" x14ac:dyDescent="0.2">
      <c r="N896" s="5">
        <v>46082</v>
      </c>
      <c r="O896" s="13" t="s">
        <v>1058</v>
      </c>
      <c r="P896" s="13" t="s">
        <v>1209</v>
      </c>
      <c r="Q896" s="13" t="s">
        <v>1036</v>
      </c>
      <c r="R896" s="12">
        <v>0</v>
      </c>
      <c r="S896" s="12"/>
    </row>
    <row r="897" spans="14:19" x14ac:dyDescent="0.2">
      <c r="N897" s="5">
        <v>46082</v>
      </c>
      <c r="O897" s="13" t="s">
        <v>1058</v>
      </c>
      <c r="P897" s="13" t="s">
        <v>1208</v>
      </c>
      <c r="Q897" s="13" t="s">
        <v>1036</v>
      </c>
      <c r="R897" s="12">
        <v>0</v>
      </c>
      <c r="S897" s="12"/>
    </row>
    <row r="898" spans="14:19" x14ac:dyDescent="0.2">
      <c r="N898" s="5">
        <v>46082</v>
      </c>
      <c r="O898" s="13" t="s">
        <v>1058</v>
      </c>
      <c r="P898" s="13" t="s">
        <v>1140</v>
      </c>
      <c r="Q898" s="13" t="s">
        <v>1030</v>
      </c>
      <c r="R898" s="12">
        <v>0</v>
      </c>
      <c r="S898" s="12"/>
    </row>
    <row r="899" spans="14:19" x14ac:dyDescent="0.2">
      <c r="N899" s="5">
        <v>46082</v>
      </c>
      <c r="O899" s="13" t="s">
        <v>1058</v>
      </c>
      <c r="P899" s="13" t="s">
        <v>1139</v>
      </c>
      <c r="Q899" s="13" t="s">
        <v>1030</v>
      </c>
      <c r="R899" s="12">
        <v>0</v>
      </c>
      <c r="S899" s="12"/>
    </row>
    <row r="900" spans="14:19" x14ac:dyDescent="0.2">
      <c r="N900" s="5">
        <v>46082</v>
      </c>
      <c r="O900" s="13" t="s">
        <v>1056</v>
      </c>
      <c r="P900" s="13" t="s">
        <v>1199</v>
      </c>
      <c r="Q900" s="13" t="s">
        <v>974</v>
      </c>
      <c r="R900" s="12">
        <v>208403</v>
      </c>
      <c r="S900" s="12"/>
    </row>
    <row r="901" spans="14:19" x14ac:dyDescent="0.2">
      <c r="N901" s="5">
        <v>46082</v>
      </c>
      <c r="O901" s="13" t="s">
        <v>1056</v>
      </c>
      <c r="P901" s="13" t="s">
        <v>1203</v>
      </c>
      <c r="Q901" s="13" t="s">
        <v>974</v>
      </c>
      <c r="R901" s="12">
        <v>0</v>
      </c>
      <c r="S901" s="12"/>
    </row>
    <row r="902" spans="14:19" x14ac:dyDescent="0.2">
      <c r="N902" s="5">
        <v>46082</v>
      </c>
      <c r="O902" s="13" t="s">
        <v>1056</v>
      </c>
      <c r="P902" s="13" t="s">
        <v>1169</v>
      </c>
      <c r="Q902" s="13" t="s">
        <v>974</v>
      </c>
      <c r="R902" s="12">
        <v>102521</v>
      </c>
      <c r="S902" s="12"/>
    </row>
    <row r="903" spans="14:19" x14ac:dyDescent="0.2">
      <c r="N903" s="5">
        <v>46082</v>
      </c>
      <c r="O903" s="13" t="s">
        <v>1056</v>
      </c>
      <c r="P903" s="13" t="s">
        <v>1196</v>
      </c>
      <c r="Q903" s="13" t="s">
        <v>974</v>
      </c>
      <c r="R903" s="12">
        <v>0</v>
      </c>
      <c r="S903" s="12"/>
    </row>
    <row r="904" spans="14:19" x14ac:dyDescent="0.2">
      <c r="N904" s="5">
        <v>46082</v>
      </c>
      <c r="O904" s="13" t="s">
        <v>1058</v>
      </c>
      <c r="P904" s="13" t="s">
        <v>1177</v>
      </c>
      <c r="Q904" s="13" t="s">
        <v>1032</v>
      </c>
      <c r="R904" s="12">
        <v>48434</v>
      </c>
      <c r="S904" s="12"/>
    </row>
    <row r="905" spans="14:19" x14ac:dyDescent="0.2">
      <c r="N905" s="5">
        <v>46082</v>
      </c>
      <c r="O905" s="13" t="s">
        <v>1058</v>
      </c>
      <c r="P905" s="13" t="s">
        <v>1161</v>
      </c>
      <c r="Q905" s="13" t="s">
        <v>1032</v>
      </c>
      <c r="R905" s="12">
        <v>344065</v>
      </c>
      <c r="S905" s="12"/>
    </row>
    <row r="906" spans="14:19" x14ac:dyDescent="0.2">
      <c r="N906" s="5">
        <v>46082</v>
      </c>
      <c r="O906" s="13" t="s">
        <v>1058</v>
      </c>
      <c r="P906" s="13" t="s">
        <v>1161</v>
      </c>
      <c r="Q906" s="13" t="s">
        <v>1025</v>
      </c>
      <c r="R906" s="12">
        <v>2575</v>
      </c>
      <c r="S906" s="12"/>
    </row>
    <row r="907" spans="14:19" x14ac:dyDescent="0.2">
      <c r="N907" s="5">
        <v>46082</v>
      </c>
      <c r="O907" s="13" t="s">
        <v>1058</v>
      </c>
      <c r="P907" s="13" t="s">
        <v>1177</v>
      </c>
      <c r="Q907" s="13" t="s">
        <v>1025</v>
      </c>
      <c r="R907" s="12">
        <v>18050</v>
      </c>
      <c r="S907" s="12"/>
    </row>
    <row r="908" spans="14:19" x14ac:dyDescent="0.2">
      <c r="N908" s="5">
        <v>46082</v>
      </c>
      <c r="O908" s="13" t="s">
        <v>1056</v>
      </c>
      <c r="P908" s="13" t="s">
        <v>1172</v>
      </c>
      <c r="Q908" s="13" t="s">
        <v>942</v>
      </c>
      <c r="R908" s="12">
        <v>2000000</v>
      </c>
      <c r="S908" s="12"/>
    </row>
    <row r="909" spans="14:19" x14ac:dyDescent="0.2">
      <c r="N909" s="5">
        <v>46082</v>
      </c>
      <c r="O909" s="13" t="s">
        <v>1057</v>
      </c>
      <c r="P909" s="13" t="s">
        <v>1211</v>
      </c>
      <c r="Q909" s="13" t="s">
        <v>985</v>
      </c>
      <c r="R909" s="12">
        <v>111421</v>
      </c>
      <c r="S909" s="12"/>
    </row>
    <row r="910" spans="14:19" x14ac:dyDescent="0.2">
      <c r="N910" s="5">
        <v>46082</v>
      </c>
      <c r="O910" s="13" t="s">
        <v>1057</v>
      </c>
      <c r="P910" s="13" t="s">
        <v>1143</v>
      </c>
      <c r="Q910" s="13" t="s">
        <v>985</v>
      </c>
      <c r="R910" s="12">
        <v>847582</v>
      </c>
      <c r="S910" s="12"/>
    </row>
    <row r="911" spans="14:19" x14ac:dyDescent="0.2">
      <c r="N911" s="5">
        <v>46082</v>
      </c>
      <c r="O911" s="13" t="s">
        <v>1058</v>
      </c>
      <c r="P911" s="13" t="s">
        <v>1183</v>
      </c>
      <c r="Q911" s="13" t="s">
        <v>1028</v>
      </c>
      <c r="R911" s="12">
        <v>0</v>
      </c>
      <c r="S911" s="12"/>
    </row>
    <row r="912" spans="14:19" x14ac:dyDescent="0.2">
      <c r="N912" s="5">
        <v>46082</v>
      </c>
      <c r="O912" s="13" t="s">
        <v>1058</v>
      </c>
      <c r="P912" s="13" t="s">
        <v>1182</v>
      </c>
      <c r="Q912" s="13" t="s">
        <v>1028</v>
      </c>
      <c r="R912" s="12">
        <v>0</v>
      </c>
      <c r="S912" s="12"/>
    </row>
    <row r="913" spans="14:19" x14ac:dyDescent="0.2">
      <c r="N913" s="5">
        <v>46082</v>
      </c>
      <c r="O913" s="13" t="s">
        <v>1058</v>
      </c>
      <c r="P913" s="13" t="s">
        <v>1180</v>
      </c>
      <c r="Q913" s="13" t="s">
        <v>1028</v>
      </c>
      <c r="R913" s="12">
        <v>0</v>
      </c>
      <c r="S913" s="12"/>
    </row>
    <row r="914" spans="14:19" x14ac:dyDescent="0.2">
      <c r="N914" s="5">
        <v>46082</v>
      </c>
      <c r="O914" s="13" t="s">
        <v>1058</v>
      </c>
      <c r="P914" s="13" t="s">
        <v>1181</v>
      </c>
      <c r="Q914" s="13" t="s">
        <v>1028</v>
      </c>
      <c r="R914" s="12">
        <v>0</v>
      </c>
      <c r="S914" s="12"/>
    </row>
    <row r="915" spans="14:19" x14ac:dyDescent="0.2">
      <c r="N915" s="5">
        <v>46082</v>
      </c>
      <c r="O915" s="13" t="s">
        <v>1058</v>
      </c>
      <c r="P915" s="13" t="s">
        <v>1144</v>
      </c>
      <c r="Q915" s="13" t="s">
        <v>1028</v>
      </c>
      <c r="R915" s="12">
        <v>0</v>
      </c>
      <c r="S915" s="12"/>
    </row>
    <row r="916" spans="14:19" x14ac:dyDescent="0.2">
      <c r="N916" s="5">
        <v>46082</v>
      </c>
      <c r="O916" s="13" t="s">
        <v>1058</v>
      </c>
      <c r="P916" s="13" t="s">
        <v>1179</v>
      </c>
      <c r="Q916" s="13" t="s">
        <v>1028</v>
      </c>
      <c r="R916" s="12">
        <v>0</v>
      </c>
      <c r="S916" s="12"/>
    </row>
    <row r="917" spans="14:19" x14ac:dyDescent="0.2">
      <c r="N917" s="5">
        <v>46082</v>
      </c>
      <c r="O917" s="13" t="s">
        <v>1058</v>
      </c>
      <c r="P917" s="13" t="s">
        <v>1178</v>
      </c>
      <c r="Q917" s="13" t="s">
        <v>1028</v>
      </c>
      <c r="R917" s="12">
        <v>0</v>
      </c>
      <c r="S917" s="12"/>
    </row>
    <row r="918" spans="14:19" x14ac:dyDescent="0.2">
      <c r="N918" s="5">
        <v>46082</v>
      </c>
      <c r="O918" s="13" t="s">
        <v>1058</v>
      </c>
      <c r="P918" s="13" t="s">
        <v>1146</v>
      </c>
      <c r="Q918" s="13" t="s">
        <v>1028</v>
      </c>
      <c r="R918" s="12">
        <v>0</v>
      </c>
      <c r="S918" s="12"/>
    </row>
    <row r="919" spans="14:19" x14ac:dyDescent="0.2">
      <c r="N919" s="5">
        <v>46082</v>
      </c>
      <c r="O919" s="13" t="s">
        <v>1058</v>
      </c>
      <c r="P919" s="13" t="s">
        <v>1165</v>
      </c>
      <c r="Q919" s="13" t="s">
        <v>1028</v>
      </c>
      <c r="R919" s="12">
        <v>0</v>
      </c>
      <c r="S919" s="12"/>
    </row>
    <row r="920" spans="14:19" x14ac:dyDescent="0.2">
      <c r="N920" s="5">
        <v>46082</v>
      </c>
      <c r="O920" s="13" t="s">
        <v>1058</v>
      </c>
      <c r="P920" s="13" t="s">
        <v>1166</v>
      </c>
      <c r="Q920" s="13" t="s">
        <v>1028</v>
      </c>
      <c r="R920" s="12">
        <v>0</v>
      </c>
      <c r="S920" s="12"/>
    </row>
    <row r="921" spans="14:19" x14ac:dyDescent="0.2">
      <c r="N921" s="5">
        <v>46082</v>
      </c>
      <c r="O921" s="13" t="s">
        <v>1058</v>
      </c>
      <c r="P921" s="13" t="s">
        <v>1184</v>
      </c>
      <c r="Q921" s="13" t="s">
        <v>1028</v>
      </c>
      <c r="R921" s="12">
        <v>0</v>
      </c>
      <c r="S921" s="12"/>
    </row>
    <row r="922" spans="14:19" x14ac:dyDescent="0.2">
      <c r="N922" s="5">
        <v>46082</v>
      </c>
      <c r="O922" s="13" t="s">
        <v>1058</v>
      </c>
      <c r="P922" s="13" t="s">
        <v>1145</v>
      </c>
      <c r="Q922" s="13" t="s">
        <v>1028</v>
      </c>
      <c r="R922" s="12">
        <v>0</v>
      </c>
      <c r="S922" s="12"/>
    </row>
    <row r="923" spans="14:19" x14ac:dyDescent="0.2">
      <c r="N923" s="5">
        <v>46082</v>
      </c>
      <c r="O923" s="13" t="s">
        <v>1057</v>
      </c>
      <c r="P923" s="13" t="s">
        <v>1143</v>
      </c>
      <c r="Q923" s="13" t="s">
        <v>862</v>
      </c>
      <c r="R923" s="12">
        <v>11170</v>
      </c>
      <c r="S923" s="12"/>
    </row>
    <row r="924" spans="14:19" x14ac:dyDescent="0.2">
      <c r="N924" s="5">
        <v>46082</v>
      </c>
      <c r="O924" s="13" t="s">
        <v>1056</v>
      </c>
      <c r="P924" s="13" t="s">
        <v>1163</v>
      </c>
      <c r="Q924" s="13" t="s">
        <v>862</v>
      </c>
      <c r="R924" s="12">
        <v>20830</v>
      </c>
      <c r="S924" s="12"/>
    </row>
    <row r="925" spans="14:19" x14ac:dyDescent="0.2">
      <c r="N925" s="5">
        <v>46082</v>
      </c>
      <c r="O925" s="13" t="s">
        <v>1056</v>
      </c>
      <c r="P925" s="13" t="s">
        <v>1162</v>
      </c>
      <c r="Q925" s="13" t="s">
        <v>862</v>
      </c>
      <c r="R925" s="12">
        <v>20830</v>
      </c>
      <c r="S925" s="12"/>
    </row>
    <row r="926" spans="14:19" x14ac:dyDescent="0.2">
      <c r="N926" s="5">
        <v>46082</v>
      </c>
      <c r="O926" s="13" t="s">
        <v>1057</v>
      </c>
      <c r="P926" s="13" t="s">
        <v>1211</v>
      </c>
      <c r="Q926" s="13" t="s">
        <v>862</v>
      </c>
      <c r="R926" s="12">
        <v>1450</v>
      </c>
      <c r="S926" s="12"/>
    </row>
    <row r="927" spans="14:19" x14ac:dyDescent="0.2">
      <c r="N927" s="5">
        <v>46082</v>
      </c>
      <c r="O927" s="13" t="s">
        <v>1056</v>
      </c>
      <c r="P927" s="13" t="s">
        <v>1164</v>
      </c>
      <c r="Q927" s="13" t="s">
        <v>862</v>
      </c>
      <c r="R927" s="12">
        <v>10100</v>
      </c>
      <c r="S927" s="12"/>
    </row>
    <row r="928" spans="14:19" x14ac:dyDescent="0.2">
      <c r="N928" s="5">
        <v>46082</v>
      </c>
      <c r="O928" s="13" t="s">
        <v>1056</v>
      </c>
      <c r="P928" s="13" t="s">
        <v>1206</v>
      </c>
      <c r="Q928" s="13" t="s">
        <v>954</v>
      </c>
      <c r="R928" s="12">
        <v>0</v>
      </c>
      <c r="S928" s="12"/>
    </row>
    <row r="929" spans="14:19" x14ac:dyDescent="0.2">
      <c r="N929" s="5">
        <v>46082</v>
      </c>
      <c r="O929" s="13" t="s">
        <v>1057</v>
      </c>
      <c r="P929" s="13" t="s">
        <v>1147</v>
      </c>
      <c r="Q929" s="13" t="s">
        <v>954</v>
      </c>
      <c r="R929" s="12">
        <v>0</v>
      </c>
      <c r="S929" s="12"/>
    </row>
    <row r="930" spans="14:19" x14ac:dyDescent="0.2">
      <c r="N930" s="5">
        <v>46082</v>
      </c>
      <c r="O930" s="13" t="s">
        <v>1057</v>
      </c>
      <c r="P930" s="13" t="s">
        <v>1152</v>
      </c>
      <c r="Q930" s="13" t="s">
        <v>1014</v>
      </c>
      <c r="R930" s="12">
        <v>1738312.19</v>
      </c>
      <c r="S930" s="12"/>
    </row>
    <row r="931" spans="14:19" x14ac:dyDescent="0.2">
      <c r="N931" s="5">
        <v>46082</v>
      </c>
      <c r="O931" s="13" t="s">
        <v>1057</v>
      </c>
      <c r="P931" s="13" t="s">
        <v>1188</v>
      </c>
      <c r="Q931" s="13" t="s">
        <v>1014</v>
      </c>
      <c r="R931" s="12">
        <v>0</v>
      </c>
      <c r="S931" s="12"/>
    </row>
    <row r="932" spans="14:19" x14ac:dyDescent="0.2">
      <c r="N932" s="5">
        <v>46082</v>
      </c>
      <c r="O932" s="13" t="s">
        <v>1057</v>
      </c>
      <c r="P932" s="13" t="s">
        <v>1156</v>
      </c>
      <c r="Q932" s="13" t="s">
        <v>1014</v>
      </c>
      <c r="R932" s="12">
        <v>2662847.7599999998</v>
      </c>
      <c r="S932" s="12"/>
    </row>
    <row r="933" spans="14:19" x14ac:dyDescent="0.2">
      <c r="N933" s="5">
        <v>46082</v>
      </c>
      <c r="O933" s="13" t="s">
        <v>1057</v>
      </c>
      <c r="P933" s="13" t="s">
        <v>1191</v>
      </c>
      <c r="Q933" s="13" t="s">
        <v>1021</v>
      </c>
      <c r="R933" s="12"/>
      <c r="S933" s="12">
        <v>451684</v>
      </c>
    </row>
    <row r="934" spans="14:19" x14ac:dyDescent="0.2">
      <c r="N934" s="5">
        <v>46082</v>
      </c>
      <c r="O934" s="13" t="s">
        <v>1057</v>
      </c>
      <c r="P934" s="13" t="s">
        <v>1189</v>
      </c>
      <c r="Q934" s="13" t="s">
        <v>1021</v>
      </c>
      <c r="R934" s="12"/>
      <c r="S934" s="12">
        <v>763500</v>
      </c>
    </row>
    <row r="935" spans="14:19" x14ac:dyDescent="0.2">
      <c r="N935" s="5">
        <v>46082</v>
      </c>
      <c r="O935" s="13" t="s">
        <v>1057</v>
      </c>
      <c r="P935" s="13" t="s">
        <v>1159</v>
      </c>
      <c r="Q935" s="13" t="s">
        <v>1021</v>
      </c>
      <c r="R935" s="12"/>
      <c r="S935" s="12">
        <v>0</v>
      </c>
    </row>
    <row r="936" spans="14:19" x14ac:dyDescent="0.2">
      <c r="N936" s="5">
        <v>46082</v>
      </c>
      <c r="O936" s="13" t="s">
        <v>1057</v>
      </c>
      <c r="P936" s="13" t="s">
        <v>1192</v>
      </c>
      <c r="Q936" s="13" t="s">
        <v>1021</v>
      </c>
      <c r="R936" s="12"/>
      <c r="S936" s="12">
        <v>0</v>
      </c>
    </row>
    <row r="937" spans="14:19" x14ac:dyDescent="0.2">
      <c r="N937" s="5">
        <v>46082</v>
      </c>
      <c r="O937" s="13" t="s">
        <v>1057</v>
      </c>
      <c r="P937" s="13" t="s">
        <v>1160</v>
      </c>
      <c r="Q937" s="13" t="s">
        <v>1021</v>
      </c>
      <c r="R937" s="12"/>
      <c r="S937" s="12">
        <v>99580</v>
      </c>
    </row>
    <row r="938" spans="14:19" x14ac:dyDescent="0.2">
      <c r="N938" s="5">
        <v>46082</v>
      </c>
      <c r="O938" s="13" t="s">
        <v>1057</v>
      </c>
      <c r="P938" s="13" t="s">
        <v>1216</v>
      </c>
      <c r="Q938" s="13" t="s">
        <v>1023</v>
      </c>
      <c r="R938" s="12">
        <v>480000</v>
      </c>
      <c r="S938" s="12"/>
    </row>
    <row r="939" spans="14:19" x14ac:dyDescent="0.2">
      <c r="N939" s="5">
        <v>46082</v>
      </c>
      <c r="O939" s="13" t="s">
        <v>1057</v>
      </c>
      <c r="P939" s="13" t="s">
        <v>1190</v>
      </c>
      <c r="Q939" s="13" t="s">
        <v>1023</v>
      </c>
      <c r="R939" s="12">
        <v>0</v>
      </c>
      <c r="S939" s="12"/>
    </row>
    <row r="940" spans="14:19" x14ac:dyDescent="0.2">
      <c r="N940" s="5">
        <v>46082</v>
      </c>
      <c r="O940" s="13" t="s">
        <v>1057</v>
      </c>
      <c r="P940" s="13" t="s">
        <v>1215</v>
      </c>
      <c r="Q940" s="13" t="s">
        <v>1023</v>
      </c>
      <c r="R940" s="12">
        <v>392000</v>
      </c>
      <c r="S940" s="12"/>
    </row>
    <row r="941" spans="14:19" x14ac:dyDescent="0.2">
      <c r="N941" s="5">
        <v>46082</v>
      </c>
      <c r="O941" s="13" t="s">
        <v>1059</v>
      </c>
      <c r="P941" s="13" t="s">
        <v>1141</v>
      </c>
      <c r="Q941" s="13" t="s">
        <v>890</v>
      </c>
      <c r="R941" s="12"/>
      <c r="S941" s="12">
        <v>49218521</v>
      </c>
    </row>
    <row r="942" spans="14:19" x14ac:dyDescent="0.2">
      <c r="N942" s="5">
        <v>46082</v>
      </c>
      <c r="O942" s="13" t="s">
        <v>1059</v>
      </c>
      <c r="P942" s="13" t="s">
        <v>1187</v>
      </c>
      <c r="Q942" s="13" t="s">
        <v>890</v>
      </c>
      <c r="R942" s="12"/>
      <c r="S942" s="12">
        <v>0</v>
      </c>
    </row>
    <row r="943" spans="14:19" x14ac:dyDescent="0.2">
      <c r="N943" s="5">
        <v>46082</v>
      </c>
      <c r="O943" s="13" t="s">
        <v>1059</v>
      </c>
      <c r="P943" s="13" t="s">
        <v>1185</v>
      </c>
      <c r="Q943" s="13" t="s">
        <v>890</v>
      </c>
      <c r="R943" s="12"/>
      <c r="S943" s="12">
        <v>0</v>
      </c>
    </row>
    <row r="944" spans="14:19" x14ac:dyDescent="0.2">
      <c r="N944" s="5">
        <v>46082</v>
      </c>
      <c r="O944" s="13" t="s">
        <v>1059</v>
      </c>
      <c r="P944" s="13" t="s">
        <v>1186</v>
      </c>
      <c r="Q944" s="13" t="s">
        <v>890</v>
      </c>
      <c r="R944" s="12"/>
      <c r="S944" s="12">
        <v>0</v>
      </c>
    </row>
    <row r="945" spans="14:19" x14ac:dyDescent="0.2">
      <c r="N945" s="5">
        <v>46082</v>
      </c>
      <c r="O945" s="13" t="s">
        <v>1059</v>
      </c>
      <c r="P945" s="13" t="s">
        <v>1142</v>
      </c>
      <c r="Q945" s="13" t="s">
        <v>890</v>
      </c>
      <c r="R945" s="12"/>
      <c r="S945" s="12">
        <v>0</v>
      </c>
    </row>
    <row r="946" spans="14:19" x14ac:dyDescent="0.2">
      <c r="N946" s="5">
        <v>46082</v>
      </c>
      <c r="O946" s="13" t="s">
        <v>1056</v>
      </c>
      <c r="P946" s="13" t="s">
        <v>1164</v>
      </c>
      <c r="Q946" s="13" t="s">
        <v>920</v>
      </c>
      <c r="R946" s="12">
        <v>225623</v>
      </c>
      <c r="S946" s="12"/>
    </row>
    <row r="947" spans="14:19" x14ac:dyDescent="0.2">
      <c r="N947" s="5">
        <v>46082</v>
      </c>
      <c r="O947" s="13" t="s">
        <v>1056</v>
      </c>
      <c r="P947" s="13" t="s">
        <v>1163</v>
      </c>
      <c r="Q947" s="13" t="s">
        <v>920</v>
      </c>
      <c r="R947" s="12">
        <v>416667</v>
      </c>
      <c r="S947" s="12"/>
    </row>
    <row r="948" spans="14:19" x14ac:dyDescent="0.2">
      <c r="N948" s="5">
        <v>46082</v>
      </c>
      <c r="O948" s="13" t="s">
        <v>1057</v>
      </c>
      <c r="P948" s="13" t="s">
        <v>1143</v>
      </c>
      <c r="Q948" s="13" t="s">
        <v>920</v>
      </c>
      <c r="R948" s="12">
        <v>247798</v>
      </c>
      <c r="S948" s="12"/>
    </row>
    <row r="949" spans="14:19" x14ac:dyDescent="0.2">
      <c r="N949" s="5">
        <v>46082</v>
      </c>
      <c r="O949" s="13" t="s">
        <v>1056</v>
      </c>
      <c r="P949" s="13" t="s">
        <v>1162</v>
      </c>
      <c r="Q949" s="13" t="s">
        <v>920</v>
      </c>
      <c r="R949" s="12">
        <v>416667</v>
      </c>
      <c r="S949" s="12"/>
    </row>
    <row r="950" spans="14:19" x14ac:dyDescent="0.2">
      <c r="N950" s="5">
        <v>46082</v>
      </c>
      <c r="O950" s="13" t="s">
        <v>1057</v>
      </c>
      <c r="P950" s="13" t="s">
        <v>1211</v>
      </c>
      <c r="Q950" s="13" t="s">
        <v>920</v>
      </c>
      <c r="R950" s="12">
        <v>155556</v>
      </c>
      <c r="S950" s="12"/>
    </row>
    <row r="951" spans="14:19" x14ac:dyDescent="0.2">
      <c r="N951" s="5">
        <v>46082</v>
      </c>
      <c r="O951" s="13" t="s">
        <v>1056</v>
      </c>
      <c r="P951" s="13" t="s">
        <v>1223</v>
      </c>
      <c r="Q951" s="13" t="s">
        <v>962</v>
      </c>
      <c r="R951" s="12">
        <v>1570700</v>
      </c>
      <c r="S951" s="12"/>
    </row>
    <row r="952" spans="14:19" x14ac:dyDescent="0.2">
      <c r="N952" s="5">
        <v>46082</v>
      </c>
      <c r="O952" s="13" t="s">
        <v>1056</v>
      </c>
      <c r="P952" s="13" t="s">
        <v>1175</v>
      </c>
      <c r="Q952" s="13" t="s">
        <v>956</v>
      </c>
      <c r="R952" s="12">
        <v>99008</v>
      </c>
      <c r="S952" s="12"/>
    </row>
    <row r="953" spans="14:19" x14ac:dyDescent="0.2">
      <c r="N953" s="5">
        <v>46082</v>
      </c>
      <c r="O953" s="13" t="s">
        <v>1056</v>
      </c>
      <c r="P953" s="13" t="s">
        <v>1176</v>
      </c>
      <c r="Q953" s="13" t="s">
        <v>956</v>
      </c>
      <c r="R953" s="12">
        <v>165854</v>
      </c>
      <c r="S953" s="12"/>
    </row>
    <row r="954" spans="14:19" x14ac:dyDescent="0.2">
      <c r="N954" s="5">
        <v>46082</v>
      </c>
      <c r="O954" s="13" t="s">
        <v>1056</v>
      </c>
      <c r="P954" s="13" t="s">
        <v>1205</v>
      </c>
      <c r="Q954" s="13" t="s">
        <v>950</v>
      </c>
      <c r="R954" s="12">
        <v>0</v>
      </c>
      <c r="S954" s="12"/>
    </row>
    <row r="955" spans="14:19" x14ac:dyDescent="0.2">
      <c r="N955" s="5">
        <v>46082</v>
      </c>
      <c r="O955" s="13" t="s">
        <v>1056</v>
      </c>
      <c r="P955" s="13" t="s">
        <v>1141</v>
      </c>
      <c r="Q955" s="13" t="s">
        <v>950</v>
      </c>
      <c r="R955" s="12">
        <v>0</v>
      </c>
      <c r="S955" s="12"/>
    </row>
    <row r="956" spans="14:19" x14ac:dyDescent="0.2">
      <c r="N956" s="5">
        <v>46082</v>
      </c>
      <c r="O956" s="13" t="s">
        <v>1056</v>
      </c>
      <c r="P956" s="13" t="s">
        <v>1222</v>
      </c>
      <c r="Q956" s="13" t="s">
        <v>950</v>
      </c>
      <c r="R956" s="12">
        <v>165265.24</v>
      </c>
      <c r="S956" s="12"/>
    </row>
    <row r="957" spans="14:19" x14ac:dyDescent="0.2">
      <c r="N957" s="5">
        <v>46082</v>
      </c>
      <c r="O957" s="13" t="s">
        <v>1057</v>
      </c>
      <c r="P957" s="13" t="s">
        <v>1155</v>
      </c>
      <c r="Q957" s="13" t="s">
        <v>952</v>
      </c>
      <c r="R957" s="12">
        <v>1386698.21</v>
      </c>
      <c r="S957" s="12"/>
    </row>
    <row r="958" spans="14:19" x14ac:dyDescent="0.2">
      <c r="N958" s="5">
        <v>46082</v>
      </c>
      <c r="O958" s="13" t="s">
        <v>1057</v>
      </c>
      <c r="P958" s="13" t="s">
        <v>1151</v>
      </c>
      <c r="Q958" s="13" t="s">
        <v>952</v>
      </c>
      <c r="R958" s="12">
        <v>113520</v>
      </c>
      <c r="S958" s="12"/>
    </row>
    <row r="959" spans="14:19" x14ac:dyDescent="0.2">
      <c r="N959" s="5">
        <v>46082</v>
      </c>
      <c r="O959" s="13" t="s">
        <v>1056</v>
      </c>
      <c r="P959" s="13" t="s">
        <v>1174</v>
      </c>
      <c r="Q959" s="13" t="s">
        <v>952</v>
      </c>
      <c r="R959" s="12">
        <v>74042.289999999994</v>
      </c>
      <c r="S959" s="12"/>
    </row>
    <row r="960" spans="14:19" x14ac:dyDescent="0.2">
      <c r="N960" s="5">
        <v>46082</v>
      </c>
      <c r="O960" s="13" t="s">
        <v>1056</v>
      </c>
      <c r="P960" s="13" t="s">
        <v>1173</v>
      </c>
      <c r="Q960" s="13" t="s">
        <v>952</v>
      </c>
      <c r="R960" s="12">
        <v>66686.179999999993</v>
      </c>
      <c r="S960" s="12"/>
    </row>
    <row r="961" spans="14:19" x14ac:dyDescent="0.2">
      <c r="N961" s="5">
        <v>46082</v>
      </c>
      <c r="O961" s="13" t="s">
        <v>1056</v>
      </c>
      <c r="P961" s="13" t="s">
        <v>1164</v>
      </c>
      <c r="Q961" s="13" t="s">
        <v>914</v>
      </c>
      <c r="R961" s="12">
        <v>1517451</v>
      </c>
      <c r="S961" s="12"/>
    </row>
    <row r="962" spans="14:19" x14ac:dyDescent="0.2">
      <c r="N962" s="5">
        <v>46082</v>
      </c>
      <c r="O962" s="13" t="s">
        <v>1057</v>
      </c>
      <c r="P962" s="13" t="s">
        <v>1211</v>
      </c>
      <c r="Q962" s="13" t="s">
        <v>914</v>
      </c>
      <c r="R962" s="12">
        <v>1634178</v>
      </c>
      <c r="S962" s="12"/>
    </row>
    <row r="963" spans="14:19" x14ac:dyDescent="0.2">
      <c r="N963" s="5">
        <v>46082</v>
      </c>
      <c r="O963" s="13" t="s">
        <v>1057</v>
      </c>
      <c r="P963" s="13" t="s">
        <v>1143</v>
      </c>
      <c r="Q963" s="13" t="s">
        <v>914</v>
      </c>
      <c r="R963" s="12">
        <v>1750905</v>
      </c>
      <c r="S963" s="12"/>
    </row>
    <row r="964" spans="14:19" x14ac:dyDescent="0.2">
      <c r="N964" s="5">
        <v>46082</v>
      </c>
      <c r="O964" s="13" t="s">
        <v>1056</v>
      </c>
      <c r="P964" s="13" t="s">
        <v>1162</v>
      </c>
      <c r="Q964" s="13" t="s">
        <v>914</v>
      </c>
      <c r="R964" s="12">
        <v>5000000</v>
      </c>
      <c r="S964" s="12"/>
    </row>
    <row r="965" spans="14:19" x14ac:dyDescent="0.2">
      <c r="N965" s="5">
        <v>46082</v>
      </c>
      <c r="O965" s="13" t="s">
        <v>1056</v>
      </c>
      <c r="P965" s="13" t="s">
        <v>1163</v>
      </c>
      <c r="Q965" s="13" t="s">
        <v>914</v>
      </c>
      <c r="R965" s="12">
        <v>5000000</v>
      </c>
      <c r="S965" s="12"/>
    </row>
    <row r="966" spans="14:19" x14ac:dyDescent="0.2">
      <c r="N966" s="5">
        <v>46082</v>
      </c>
      <c r="O966" s="13" t="s">
        <v>1057</v>
      </c>
      <c r="P966" s="13" t="s">
        <v>1141</v>
      </c>
      <c r="Q966" s="13" t="s">
        <v>1012</v>
      </c>
      <c r="R966" s="12"/>
      <c r="S966" s="12">
        <v>0</v>
      </c>
    </row>
    <row r="967" spans="14:19" x14ac:dyDescent="0.2">
      <c r="N967" s="5">
        <v>46082</v>
      </c>
      <c r="O967" s="13" t="s">
        <v>1057</v>
      </c>
      <c r="P967" s="13" t="s">
        <v>1214</v>
      </c>
      <c r="Q967" s="13" t="s">
        <v>1012</v>
      </c>
      <c r="R967" s="12"/>
      <c r="S967" s="12">
        <v>14000</v>
      </c>
    </row>
    <row r="968" spans="14:19" x14ac:dyDescent="0.2">
      <c r="N968" s="5">
        <v>46082</v>
      </c>
      <c r="O968" s="13" t="s">
        <v>1057</v>
      </c>
      <c r="P968" s="13" t="s">
        <v>1213</v>
      </c>
      <c r="Q968" s="13" t="s">
        <v>1012</v>
      </c>
      <c r="R968" s="12"/>
      <c r="S968" s="12">
        <v>1244779</v>
      </c>
    </row>
    <row r="969" spans="14:19" x14ac:dyDescent="0.2">
      <c r="N969" s="5">
        <v>46082</v>
      </c>
      <c r="O969" s="13" t="s">
        <v>1057</v>
      </c>
      <c r="P969" s="13" t="s">
        <v>1154</v>
      </c>
      <c r="Q969" s="13" t="s">
        <v>1012</v>
      </c>
      <c r="R969" s="12"/>
      <c r="S969" s="12">
        <v>138600</v>
      </c>
    </row>
    <row r="970" spans="14:19" x14ac:dyDescent="0.2">
      <c r="N970" s="5">
        <v>46082</v>
      </c>
      <c r="O970" s="13" t="s">
        <v>1057</v>
      </c>
      <c r="P970" s="13" t="s">
        <v>1150</v>
      </c>
      <c r="Q970" s="13" t="s">
        <v>1012</v>
      </c>
      <c r="R970" s="12"/>
      <c r="S970" s="12">
        <v>1099000</v>
      </c>
    </row>
    <row r="971" spans="14:19" x14ac:dyDescent="0.2">
      <c r="N971" s="5">
        <v>46082</v>
      </c>
      <c r="O971" s="13" t="s">
        <v>1057</v>
      </c>
      <c r="P971" s="13" t="s">
        <v>1149</v>
      </c>
      <c r="Q971" s="13" t="s">
        <v>1012</v>
      </c>
      <c r="R971" s="12"/>
      <c r="S971" s="12">
        <v>193608</v>
      </c>
    </row>
    <row r="972" spans="14:19" x14ac:dyDescent="0.2">
      <c r="N972" s="5">
        <v>46082</v>
      </c>
      <c r="O972" s="13" t="s">
        <v>1057</v>
      </c>
      <c r="P972" s="13" t="s">
        <v>1153</v>
      </c>
      <c r="Q972" s="13" t="s">
        <v>1012</v>
      </c>
      <c r="R972" s="12"/>
      <c r="S972" s="12">
        <v>1454206</v>
      </c>
    </row>
    <row r="973" spans="14:19" x14ac:dyDescent="0.2">
      <c r="N973" s="5">
        <v>46082</v>
      </c>
      <c r="O973" s="13" t="s">
        <v>1056</v>
      </c>
      <c r="P973" s="13" t="s">
        <v>1162</v>
      </c>
      <c r="Q973" s="13" t="s">
        <v>864</v>
      </c>
      <c r="R973" s="12">
        <v>208330</v>
      </c>
      <c r="S973" s="12"/>
    </row>
    <row r="974" spans="14:19" x14ac:dyDescent="0.2">
      <c r="N974" s="5">
        <v>46082</v>
      </c>
      <c r="O974" s="13" t="s">
        <v>1057</v>
      </c>
      <c r="P974" s="13" t="s">
        <v>1143</v>
      </c>
      <c r="Q974" s="13" t="s">
        <v>864</v>
      </c>
      <c r="R974" s="12">
        <v>72960</v>
      </c>
      <c r="S974" s="12"/>
    </row>
    <row r="975" spans="14:19" x14ac:dyDescent="0.2">
      <c r="N975" s="5">
        <v>46082</v>
      </c>
      <c r="O975" s="13" t="s">
        <v>1057</v>
      </c>
      <c r="P975" s="13" t="s">
        <v>1211</v>
      </c>
      <c r="Q975" s="13" t="s">
        <v>864</v>
      </c>
      <c r="R975" s="12">
        <v>68290</v>
      </c>
      <c r="S975" s="12"/>
    </row>
    <row r="976" spans="14:19" x14ac:dyDescent="0.2">
      <c r="N976" s="5">
        <v>46082</v>
      </c>
      <c r="O976" s="13" t="s">
        <v>1056</v>
      </c>
      <c r="P976" s="13" t="s">
        <v>1164</v>
      </c>
      <c r="Q976" s="13" t="s">
        <v>864</v>
      </c>
      <c r="R976" s="12">
        <v>197268</v>
      </c>
      <c r="S976" s="12"/>
    </row>
    <row r="977" spans="14:19" x14ac:dyDescent="0.2">
      <c r="N977" s="5">
        <v>46082</v>
      </c>
      <c r="O977" s="13" t="s">
        <v>1056</v>
      </c>
      <c r="P977" s="13" t="s">
        <v>1163</v>
      </c>
      <c r="Q977" s="13" t="s">
        <v>864</v>
      </c>
      <c r="R977" s="12">
        <v>208330</v>
      </c>
      <c r="S977" s="12"/>
    </row>
    <row r="978" spans="14:19" x14ac:dyDescent="0.2">
      <c r="N978" s="5">
        <v>46082</v>
      </c>
      <c r="O978" s="13" t="s">
        <v>1056</v>
      </c>
      <c r="P978" s="13" t="s">
        <v>1195</v>
      </c>
      <c r="Q978" s="13" t="s">
        <v>976</v>
      </c>
      <c r="R978" s="12">
        <v>61176</v>
      </c>
      <c r="S978" s="12"/>
    </row>
    <row r="979" spans="14:19" x14ac:dyDescent="0.2">
      <c r="N979" s="5">
        <v>46082</v>
      </c>
      <c r="O979" s="13" t="s">
        <v>1056</v>
      </c>
      <c r="P979" s="13" t="s">
        <v>1170</v>
      </c>
      <c r="Q979" s="13" t="s">
        <v>976</v>
      </c>
      <c r="R979" s="12">
        <v>137451</v>
      </c>
      <c r="S979" s="12"/>
    </row>
    <row r="980" spans="14:19" x14ac:dyDescent="0.2">
      <c r="N980" s="5">
        <v>46082</v>
      </c>
      <c r="O980" s="13" t="s">
        <v>1056</v>
      </c>
      <c r="P980" s="13" t="s">
        <v>1171</v>
      </c>
      <c r="Q980" s="13" t="s">
        <v>976</v>
      </c>
      <c r="R980" s="12">
        <v>44538</v>
      </c>
      <c r="S980" s="12"/>
    </row>
    <row r="981" spans="14:19" x14ac:dyDescent="0.2">
      <c r="N981" s="5">
        <v>46082</v>
      </c>
      <c r="O981" s="13" t="s">
        <v>1056</v>
      </c>
      <c r="P981" s="13" t="s">
        <v>1200</v>
      </c>
      <c r="Q981" s="13" t="s">
        <v>976</v>
      </c>
      <c r="R981" s="12">
        <v>0</v>
      </c>
      <c r="S981" s="12"/>
    </row>
    <row r="982" spans="14:19" x14ac:dyDescent="0.2">
      <c r="N982" s="5">
        <v>46082</v>
      </c>
      <c r="O982" s="13" t="s">
        <v>1056</v>
      </c>
      <c r="P982" s="13" t="s">
        <v>1158</v>
      </c>
      <c r="Q982" s="13" t="s">
        <v>976</v>
      </c>
      <c r="R982" s="12">
        <v>0</v>
      </c>
      <c r="S982" s="12"/>
    </row>
    <row r="983" spans="14:19" x14ac:dyDescent="0.2">
      <c r="N983" s="5">
        <v>46082</v>
      </c>
      <c r="O983" s="13" t="s">
        <v>1056</v>
      </c>
      <c r="P983" s="13" t="s">
        <v>1218</v>
      </c>
      <c r="Q983" s="13" t="s">
        <v>976</v>
      </c>
      <c r="R983" s="12">
        <v>31613</v>
      </c>
      <c r="S983" s="12"/>
    </row>
    <row r="984" spans="14:19" x14ac:dyDescent="0.2">
      <c r="N984" s="5">
        <v>46113</v>
      </c>
      <c r="O984" s="13" t="s">
        <v>1056</v>
      </c>
      <c r="P984" s="13" t="s">
        <v>1224</v>
      </c>
      <c r="Q984" s="13" t="s">
        <v>968</v>
      </c>
      <c r="R984" s="12">
        <v>0</v>
      </c>
      <c r="S984" s="12"/>
    </row>
    <row r="985" spans="14:19" x14ac:dyDescent="0.2">
      <c r="N985" s="5">
        <v>46113</v>
      </c>
      <c r="O985" s="13" t="s">
        <v>1056</v>
      </c>
      <c r="P985" s="13" t="s">
        <v>1225</v>
      </c>
      <c r="Q985" s="13" t="s">
        <v>968</v>
      </c>
      <c r="R985" s="12">
        <v>0</v>
      </c>
      <c r="S985" s="12"/>
    </row>
    <row r="986" spans="14:19" x14ac:dyDescent="0.2">
      <c r="N986" s="5">
        <v>46113</v>
      </c>
      <c r="O986" s="13" t="s">
        <v>1056</v>
      </c>
      <c r="P986" s="13" t="s">
        <v>1207</v>
      </c>
      <c r="Q986" s="13" t="s">
        <v>968</v>
      </c>
      <c r="R986" s="12">
        <v>0</v>
      </c>
      <c r="S986" s="12"/>
    </row>
    <row r="987" spans="14:19" x14ac:dyDescent="0.2">
      <c r="N987" s="5">
        <v>46113</v>
      </c>
      <c r="O987" s="13" t="s">
        <v>1058</v>
      </c>
      <c r="P987" s="13" t="s">
        <v>1183</v>
      </c>
      <c r="Q987" s="13" t="s">
        <v>912</v>
      </c>
      <c r="R987" s="12">
        <v>0</v>
      </c>
      <c r="S987" s="12"/>
    </row>
    <row r="988" spans="14:19" x14ac:dyDescent="0.2">
      <c r="N988" s="5">
        <v>46113</v>
      </c>
      <c r="O988" s="13" t="s">
        <v>1058</v>
      </c>
      <c r="P988" s="13" t="s">
        <v>1180</v>
      </c>
      <c r="Q988" s="13" t="s">
        <v>912</v>
      </c>
      <c r="R988" s="12">
        <v>0</v>
      </c>
      <c r="S988" s="12"/>
    </row>
    <row r="989" spans="14:19" x14ac:dyDescent="0.2">
      <c r="N989" s="5">
        <v>46113</v>
      </c>
      <c r="O989" s="13" t="s">
        <v>1058</v>
      </c>
      <c r="P989" s="13" t="s">
        <v>1205</v>
      </c>
      <c r="Q989" s="13" t="s">
        <v>912</v>
      </c>
      <c r="R989" s="12">
        <v>0</v>
      </c>
      <c r="S989" s="12"/>
    </row>
    <row r="990" spans="14:19" x14ac:dyDescent="0.2">
      <c r="N990" s="5">
        <v>46113</v>
      </c>
      <c r="O990" s="13" t="s">
        <v>1058</v>
      </c>
      <c r="P990" s="13" t="s">
        <v>1187</v>
      </c>
      <c r="Q990" s="13" t="s">
        <v>912</v>
      </c>
      <c r="R990" s="12">
        <v>0</v>
      </c>
      <c r="S990" s="12"/>
    </row>
    <row r="991" spans="14:19" x14ac:dyDescent="0.2">
      <c r="N991" s="5">
        <v>46113</v>
      </c>
      <c r="O991" s="13" t="s">
        <v>1058</v>
      </c>
      <c r="P991" s="13" t="s">
        <v>1210</v>
      </c>
      <c r="Q991" s="13" t="s">
        <v>912</v>
      </c>
      <c r="R991" s="12">
        <v>0</v>
      </c>
      <c r="S991" s="12"/>
    </row>
    <row r="992" spans="14:19" x14ac:dyDescent="0.2">
      <c r="N992" s="5">
        <v>46113</v>
      </c>
      <c r="O992" s="13" t="s">
        <v>1056</v>
      </c>
      <c r="P992" s="13" t="s">
        <v>1165</v>
      </c>
      <c r="Q992" s="13" t="s">
        <v>930</v>
      </c>
      <c r="R992" s="12">
        <v>600000</v>
      </c>
      <c r="S992" s="12"/>
    </row>
    <row r="993" spans="14:19" x14ac:dyDescent="0.2">
      <c r="N993" s="5">
        <v>46113</v>
      </c>
      <c r="O993" s="13" t="s">
        <v>1056</v>
      </c>
      <c r="P993" s="13" t="s">
        <v>1166</v>
      </c>
      <c r="Q993" s="13" t="s">
        <v>930</v>
      </c>
      <c r="R993" s="12">
        <v>232000</v>
      </c>
      <c r="S993" s="12"/>
    </row>
    <row r="994" spans="14:19" x14ac:dyDescent="0.2">
      <c r="N994" s="5">
        <v>46113</v>
      </c>
      <c r="O994" s="13" t="s">
        <v>1056</v>
      </c>
      <c r="P994" s="13" t="s">
        <v>1145</v>
      </c>
      <c r="Q994" s="13" t="s">
        <v>930</v>
      </c>
      <c r="R994" s="12">
        <v>600000</v>
      </c>
      <c r="S994" s="12"/>
    </row>
    <row r="995" spans="14:19" x14ac:dyDescent="0.2">
      <c r="N995" s="5">
        <v>46113</v>
      </c>
      <c r="O995" s="13" t="s">
        <v>1057</v>
      </c>
      <c r="P995" s="13" t="s">
        <v>1212</v>
      </c>
      <c r="Q995" s="13" t="s">
        <v>930</v>
      </c>
      <c r="R995" s="12">
        <v>210100</v>
      </c>
      <c r="S995" s="12"/>
    </row>
    <row r="996" spans="14:19" x14ac:dyDescent="0.2">
      <c r="N996" s="5">
        <v>46113</v>
      </c>
      <c r="O996" s="13" t="s">
        <v>1057</v>
      </c>
      <c r="P996" s="13" t="s">
        <v>1145</v>
      </c>
      <c r="Q996" s="13" t="s">
        <v>930</v>
      </c>
      <c r="R996" s="12">
        <v>210100</v>
      </c>
      <c r="S996" s="12"/>
    </row>
    <row r="997" spans="14:19" x14ac:dyDescent="0.2">
      <c r="N997" s="5">
        <v>46113</v>
      </c>
      <c r="O997" s="13" t="s">
        <v>1056</v>
      </c>
      <c r="P997" s="13" t="s">
        <v>1144</v>
      </c>
      <c r="Q997" s="13" t="s">
        <v>927</v>
      </c>
      <c r="R997" s="12">
        <v>62300</v>
      </c>
      <c r="S997" s="12"/>
    </row>
    <row r="998" spans="14:19" x14ac:dyDescent="0.2">
      <c r="N998" s="5">
        <v>46113</v>
      </c>
      <c r="O998" s="13" t="s">
        <v>1057</v>
      </c>
      <c r="P998" s="13" t="s">
        <v>1144</v>
      </c>
      <c r="Q998" s="13" t="s">
        <v>927</v>
      </c>
      <c r="R998" s="12">
        <v>18200</v>
      </c>
      <c r="S998" s="12"/>
    </row>
    <row r="999" spans="14:19" x14ac:dyDescent="0.2">
      <c r="N999" s="5">
        <v>46113</v>
      </c>
      <c r="O999" s="13" t="s">
        <v>1056</v>
      </c>
      <c r="P999" s="13" t="s">
        <v>1181</v>
      </c>
      <c r="Q999" s="13" t="s">
        <v>822</v>
      </c>
      <c r="R999" s="12">
        <v>0</v>
      </c>
      <c r="S999" s="12"/>
    </row>
    <row r="1000" spans="14:19" x14ac:dyDescent="0.2">
      <c r="N1000" s="5">
        <v>46113</v>
      </c>
      <c r="O1000" s="13" t="s">
        <v>1056</v>
      </c>
      <c r="P1000" s="13" t="s">
        <v>1146</v>
      </c>
      <c r="Q1000" s="13" t="s">
        <v>932</v>
      </c>
      <c r="R1000" s="12">
        <v>477300</v>
      </c>
      <c r="S1000" s="12"/>
    </row>
    <row r="1001" spans="14:19" x14ac:dyDescent="0.2">
      <c r="N1001" s="5">
        <v>46113</v>
      </c>
      <c r="O1001" s="13" t="s">
        <v>1057</v>
      </c>
      <c r="P1001" s="13" t="s">
        <v>1146</v>
      </c>
      <c r="Q1001" s="13" t="s">
        <v>932</v>
      </c>
      <c r="R1001" s="12">
        <v>140000</v>
      </c>
      <c r="S1001" s="12"/>
    </row>
    <row r="1002" spans="14:19" x14ac:dyDescent="0.2">
      <c r="N1002" s="5">
        <v>46113</v>
      </c>
      <c r="O1002" s="13" t="s">
        <v>1057</v>
      </c>
      <c r="P1002" s="13" t="s">
        <v>1148</v>
      </c>
      <c r="Q1002" s="13" t="s">
        <v>948</v>
      </c>
      <c r="R1002" s="12">
        <v>0</v>
      </c>
      <c r="S1002" s="12"/>
    </row>
    <row r="1003" spans="14:19" x14ac:dyDescent="0.2">
      <c r="N1003" s="5">
        <v>46113</v>
      </c>
      <c r="O1003" s="13" t="s">
        <v>1056</v>
      </c>
      <c r="P1003" s="13" t="s">
        <v>1221</v>
      </c>
      <c r="Q1003" s="13" t="s">
        <v>948</v>
      </c>
      <c r="R1003" s="12">
        <v>0</v>
      </c>
      <c r="S1003" s="12"/>
    </row>
    <row r="1004" spans="14:19" x14ac:dyDescent="0.2">
      <c r="N1004" s="5">
        <v>46113</v>
      </c>
      <c r="O1004" s="13" t="s">
        <v>1057</v>
      </c>
      <c r="P1004" s="13" t="s">
        <v>1147</v>
      </c>
      <c r="Q1004" s="13" t="s">
        <v>948</v>
      </c>
      <c r="R1004" s="12">
        <v>0</v>
      </c>
      <c r="S1004" s="12"/>
    </row>
    <row r="1005" spans="14:19" x14ac:dyDescent="0.2">
      <c r="N1005" s="5">
        <v>46113</v>
      </c>
      <c r="O1005" s="13" t="s">
        <v>1056</v>
      </c>
      <c r="P1005" s="13" t="s">
        <v>1204</v>
      </c>
      <c r="Q1005" s="13" t="s">
        <v>944</v>
      </c>
      <c r="R1005" s="12">
        <v>2400000</v>
      </c>
      <c r="S1005" s="12"/>
    </row>
    <row r="1006" spans="14:19" x14ac:dyDescent="0.2">
      <c r="N1006" s="5">
        <v>46113</v>
      </c>
      <c r="O1006" s="13" t="s">
        <v>1056</v>
      </c>
      <c r="P1006" s="13" t="s">
        <v>1163</v>
      </c>
      <c r="Q1006" s="13" t="s">
        <v>916</v>
      </c>
      <c r="R1006" s="12">
        <v>0</v>
      </c>
      <c r="S1006" s="12"/>
    </row>
    <row r="1007" spans="14:19" x14ac:dyDescent="0.2">
      <c r="N1007" s="5">
        <v>46113</v>
      </c>
      <c r="O1007" s="13" t="s">
        <v>1056</v>
      </c>
      <c r="P1007" s="13" t="s">
        <v>1162</v>
      </c>
      <c r="Q1007" s="13" t="s">
        <v>916</v>
      </c>
      <c r="R1007" s="12">
        <v>0</v>
      </c>
      <c r="S1007" s="12"/>
    </row>
    <row r="1008" spans="14:19" x14ac:dyDescent="0.2">
      <c r="N1008" s="5">
        <v>46113</v>
      </c>
      <c r="O1008" s="13" t="s">
        <v>1056</v>
      </c>
      <c r="P1008" s="13" t="s">
        <v>1164</v>
      </c>
      <c r="Q1008" s="13" t="s">
        <v>916</v>
      </c>
      <c r="R1008" s="12">
        <v>166063</v>
      </c>
      <c r="S1008" s="12"/>
    </row>
    <row r="1009" spans="14:19" x14ac:dyDescent="0.2">
      <c r="N1009" s="5">
        <v>46113</v>
      </c>
      <c r="O1009" s="13" t="s">
        <v>1057</v>
      </c>
      <c r="P1009" s="13" t="s">
        <v>1143</v>
      </c>
      <c r="Q1009" s="13" t="s">
        <v>993</v>
      </c>
      <c r="R1009" s="12">
        <v>249095</v>
      </c>
      <c r="S1009" s="12"/>
    </row>
    <row r="1010" spans="14:19" x14ac:dyDescent="0.2">
      <c r="N1010" s="5">
        <v>46113</v>
      </c>
      <c r="O1010" s="13" t="s">
        <v>1057</v>
      </c>
      <c r="P1010" s="13" t="s">
        <v>1211</v>
      </c>
      <c r="Q1010" s="13" t="s">
        <v>993</v>
      </c>
      <c r="R1010" s="12">
        <v>249095</v>
      </c>
      <c r="S1010" s="12"/>
    </row>
    <row r="1011" spans="14:19" x14ac:dyDescent="0.2">
      <c r="N1011" s="5">
        <v>46113</v>
      </c>
      <c r="O1011" s="13" t="s">
        <v>1056</v>
      </c>
      <c r="P1011" s="13" t="s">
        <v>1164</v>
      </c>
      <c r="Q1011" s="13" t="s">
        <v>938</v>
      </c>
      <c r="R1011" s="12">
        <v>182200</v>
      </c>
      <c r="S1011" s="12"/>
    </row>
    <row r="1012" spans="14:19" x14ac:dyDescent="0.2">
      <c r="N1012" s="5">
        <v>46113</v>
      </c>
      <c r="O1012" s="13" t="s">
        <v>1056</v>
      </c>
      <c r="P1012" s="13" t="s">
        <v>1202</v>
      </c>
      <c r="Q1012" s="13" t="s">
        <v>978</v>
      </c>
      <c r="R1012" s="12">
        <v>0</v>
      </c>
      <c r="S1012" s="12"/>
    </row>
    <row r="1013" spans="14:19" x14ac:dyDescent="0.2">
      <c r="N1013" s="5">
        <v>46113</v>
      </c>
      <c r="O1013" s="13" t="s">
        <v>1056</v>
      </c>
      <c r="P1013" s="13" t="s">
        <v>1220</v>
      </c>
      <c r="Q1013" s="13" t="s">
        <v>978</v>
      </c>
      <c r="R1013" s="12">
        <v>0</v>
      </c>
      <c r="S1013" s="12"/>
    </row>
    <row r="1014" spans="14:19" x14ac:dyDescent="0.2">
      <c r="N1014" s="5">
        <v>46113</v>
      </c>
      <c r="O1014" s="13" t="s">
        <v>1056</v>
      </c>
      <c r="P1014" s="13" t="s">
        <v>1167</v>
      </c>
      <c r="Q1014" s="13" t="s">
        <v>978</v>
      </c>
      <c r="R1014" s="12">
        <v>0</v>
      </c>
      <c r="S1014" s="12"/>
    </row>
    <row r="1015" spans="14:19" x14ac:dyDescent="0.2">
      <c r="N1015" s="5">
        <v>46113</v>
      </c>
      <c r="O1015" s="13" t="s">
        <v>1056</v>
      </c>
      <c r="P1015" s="13" t="s">
        <v>1201</v>
      </c>
      <c r="Q1015" s="13" t="s">
        <v>978</v>
      </c>
      <c r="R1015" s="12">
        <v>0</v>
      </c>
      <c r="S1015" s="12"/>
    </row>
    <row r="1016" spans="14:19" x14ac:dyDescent="0.2">
      <c r="N1016" s="5">
        <v>46113</v>
      </c>
      <c r="O1016" s="13" t="s">
        <v>1056</v>
      </c>
      <c r="P1016" s="13" t="s">
        <v>1217</v>
      </c>
      <c r="Q1016" s="13" t="s">
        <v>978</v>
      </c>
      <c r="R1016" s="12">
        <v>0</v>
      </c>
      <c r="S1016" s="12"/>
    </row>
    <row r="1017" spans="14:19" x14ac:dyDescent="0.2">
      <c r="N1017" s="5">
        <v>46113</v>
      </c>
      <c r="O1017" s="13" t="s">
        <v>1056</v>
      </c>
      <c r="P1017" s="13" t="s">
        <v>1168</v>
      </c>
      <c r="Q1017" s="13" t="s">
        <v>978</v>
      </c>
      <c r="R1017" s="12">
        <v>0</v>
      </c>
      <c r="S1017" s="12"/>
    </row>
    <row r="1018" spans="14:19" x14ac:dyDescent="0.2">
      <c r="N1018" s="5">
        <v>46113</v>
      </c>
      <c r="O1018" s="13" t="s">
        <v>1056</v>
      </c>
      <c r="P1018" s="13" t="s">
        <v>1198</v>
      </c>
      <c r="Q1018" s="13" t="s">
        <v>978</v>
      </c>
      <c r="R1018" s="12">
        <v>0</v>
      </c>
      <c r="S1018" s="12"/>
    </row>
    <row r="1019" spans="14:19" x14ac:dyDescent="0.2">
      <c r="N1019" s="5">
        <v>46113</v>
      </c>
      <c r="O1019" s="13" t="s">
        <v>1056</v>
      </c>
      <c r="P1019" s="13" t="s">
        <v>1197</v>
      </c>
      <c r="Q1019" s="13" t="s">
        <v>978</v>
      </c>
      <c r="R1019" s="12">
        <v>0</v>
      </c>
      <c r="S1019" s="12"/>
    </row>
    <row r="1020" spans="14:19" x14ac:dyDescent="0.2">
      <c r="N1020" s="5">
        <v>46113</v>
      </c>
      <c r="O1020" s="13" t="s">
        <v>1056</v>
      </c>
      <c r="P1020" s="13" t="s">
        <v>1219</v>
      </c>
      <c r="Q1020" s="13" t="s">
        <v>978</v>
      </c>
      <c r="R1020" s="12">
        <v>0</v>
      </c>
      <c r="S1020" s="12"/>
    </row>
    <row r="1021" spans="14:19" x14ac:dyDescent="0.2">
      <c r="N1021" s="5">
        <v>46113</v>
      </c>
      <c r="O1021" s="13" t="s">
        <v>1056</v>
      </c>
      <c r="P1021" s="13" t="s">
        <v>1164</v>
      </c>
      <c r="Q1021" s="13" t="s">
        <v>860</v>
      </c>
      <c r="R1021" s="12">
        <v>159814</v>
      </c>
      <c r="S1021" s="12"/>
    </row>
    <row r="1022" spans="14:19" x14ac:dyDescent="0.2">
      <c r="N1022" s="5">
        <v>46113</v>
      </c>
      <c r="O1022" s="13" t="s">
        <v>1056</v>
      </c>
      <c r="P1022" s="13" t="s">
        <v>1162</v>
      </c>
      <c r="Q1022" s="13" t="s">
        <v>860</v>
      </c>
      <c r="R1022" s="12">
        <v>416670</v>
      </c>
      <c r="S1022" s="12"/>
    </row>
    <row r="1023" spans="14:19" x14ac:dyDescent="0.2">
      <c r="N1023" s="5">
        <v>46113</v>
      </c>
      <c r="O1023" s="13" t="s">
        <v>1057</v>
      </c>
      <c r="P1023" s="13" t="s">
        <v>1211</v>
      </c>
      <c r="Q1023" s="13" t="s">
        <v>860</v>
      </c>
      <c r="R1023" s="12">
        <v>175954</v>
      </c>
      <c r="S1023" s="12"/>
    </row>
    <row r="1024" spans="14:19" x14ac:dyDescent="0.2">
      <c r="N1024" s="5">
        <v>46113</v>
      </c>
      <c r="O1024" s="13" t="s">
        <v>1056</v>
      </c>
      <c r="P1024" s="13" t="s">
        <v>1163</v>
      </c>
      <c r="Q1024" s="13" t="s">
        <v>860</v>
      </c>
      <c r="R1024" s="12">
        <v>416670</v>
      </c>
      <c r="S1024" s="12"/>
    </row>
    <row r="1025" spans="14:19" x14ac:dyDescent="0.2">
      <c r="N1025" s="5">
        <v>46113</v>
      </c>
      <c r="O1025" s="13" t="s">
        <v>1057</v>
      </c>
      <c r="P1025" s="13" t="s">
        <v>1143</v>
      </c>
      <c r="Q1025" s="13" t="s">
        <v>860</v>
      </c>
      <c r="R1025" s="12">
        <v>166665</v>
      </c>
      <c r="S1025" s="12"/>
    </row>
    <row r="1026" spans="14:19" x14ac:dyDescent="0.2">
      <c r="N1026" s="5">
        <v>46113</v>
      </c>
      <c r="O1026" s="13" t="s">
        <v>1057</v>
      </c>
      <c r="P1026" s="13" t="s">
        <v>1143</v>
      </c>
      <c r="Q1026" s="13" t="s">
        <v>972</v>
      </c>
      <c r="R1026" s="12"/>
      <c r="S1026" s="12">
        <v>0</v>
      </c>
    </row>
    <row r="1027" spans="14:19" x14ac:dyDescent="0.2">
      <c r="N1027" s="5">
        <v>46113</v>
      </c>
      <c r="O1027" s="13" t="s">
        <v>1057</v>
      </c>
      <c r="P1027" s="13" t="s">
        <v>1157</v>
      </c>
      <c r="Q1027" s="13" t="s">
        <v>972</v>
      </c>
      <c r="R1027" s="12"/>
      <c r="S1027" s="12">
        <v>0</v>
      </c>
    </row>
    <row r="1028" spans="14:19" x14ac:dyDescent="0.2">
      <c r="N1028" s="5">
        <v>46113</v>
      </c>
      <c r="O1028" s="13" t="s">
        <v>1058</v>
      </c>
      <c r="P1028" s="13" t="s">
        <v>1161</v>
      </c>
      <c r="Q1028" s="13" t="s">
        <v>972</v>
      </c>
      <c r="R1028" s="12">
        <v>2062722</v>
      </c>
      <c r="S1028" s="12"/>
    </row>
    <row r="1029" spans="14:19" x14ac:dyDescent="0.2">
      <c r="N1029" s="5">
        <v>46113</v>
      </c>
      <c r="O1029" s="13" t="s">
        <v>1057</v>
      </c>
      <c r="P1029" s="13" t="s">
        <v>1161</v>
      </c>
      <c r="Q1029" s="13" t="s">
        <v>972</v>
      </c>
      <c r="R1029" s="12"/>
      <c r="S1029" s="12">
        <v>0</v>
      </c>
    </row>
    <row r="1030" spans="14:19" x14ac:dyDescent="0.2">
      <c r="N1030" s="5">
        <v>46113</v>
      </c>
      <c r="O1030" s="13" t="s">
        <v>1057</v>
      </c>
      <c r="P1030" s="13" t="s">
        <v>1215</v>
      </c>
      <c r="Q1030" s="13" t="s">
        <v>972</v>
      </c>
      <c r="R1030" s="12"/>
      <c r="S1030" s="12">
        <v>150420</v>
      </c>
    </row>
    <row r="1031" spans="14:19" x14ac:dyDescent="0.2">
      <c r="N1031" s="5">
        <v>46113</v>
      </c>
      <c r="O1031" s="13" t="s">
        <v>1057</v>
      </c>
      <c r="P1031" s="13" t="s">
        <v>1187</v>
      </c>
      <c r="Q1031" s="13" t="s">
        <v>972</v>
      </c>
      <c r="R1031" s="12"/>
      <c r="S1031" s="12">
        <v>0</v>
      </c>
    </row>
    <row r="1032" spans="14:19" x14ac:dyDescent="0.2">
      <c r="N1032" s="5">
        <v>46113</v>
      </c>
      <c r="O1032" s="13" t="s">
        <v>1058</v>
      </c>
      <c r="P1032" s="13" t="s">
        <v>1209</v>
      </c>
      <c r="Q1032" s="13" t="s">
        <v>1036</v>
      </c>
      <c r="R1032" s="12">
        <v>0</v>
      </c>
      <c r="S1032" s="12"/>
    </row>
    <row r="1033" spans="14:19" x14ac:dyDescent="0.2">
      <c r="N1033" s="5">
        <v>46113</v>
      </c>
      <c r="O1033" s="13" t="s">
        <v>1058</v>
      </c>
      <c r="P1033" s="13" t="s">
        <v>1208</v>
      </c>
      <c r="Q1033" s="13" t="s">
        <v>1036</v>
      </c>
      <c r="R1033" s="12">
        <v>0</v>
      </c>
      <c r="S1033" s="12"/>
    </row>
    <row r="1034" spans="14:19" x14ac:dyDescent="0.2">
      <c r="N1034" s="5">
        <v>46113</v>
      </c>
      <c r="O1034" s="13" t="s">
        <v>1058</v>
      </c>
      <c r="P1034" s="13" t="s">
        <v>1140</v>
      </c>
      <c r="Q1034" s="13" t="s">
        <v>1030</v>
      </c>
      <c r="R1034" s="12">
        <v>0</v>
      </c>
      <c r="S1034" s="12"/>
    </row>
    <row r="1035" spans="14:19" x14ac:dyDescent="0.2">
      <c r="N1035" s="5">
        <v>46113</v>
      </c>
      <c r="O1035" s="13" t="s">
        <v>1058</v>
      </c>
      <c r="P1035" s="13" t="s">
        <v>1139</v>
      </c>
      <c r="Q1035" s="13" t="s">
        <v>1030</v>
      </c>
      <c r="R1035" s="12">
        <v>0</v>
      </c>
      <c r="S1035" s="12"/>
    </row>
    <row r="1036" spans="14:19" x14ac:dyDescent="0.2">
      <c r="N1036" s="5">
        <v>46113</v>
      </c>
      <c r="O1036" s="13" t="s">
        <v>1056</v>
      </c>
      <c r="P1036" s="13" t="s">
        <v>1169</v>
      </c>
      <c r="Q1036" s="13" t="s">
        <v>974</v>
      </c>
      <c r="R1036" s="12">
        <v>0</v>
      </c>
      <c r="S1036" s="12"/>
    </row>
    <row r="1037" spans="14:19" x14ac:dyDescent="0.2">
      <c r="N1037" s="5">
        <v>46113</v>
      </c>
      <c r="O1037" s="13" t="s">
        <v>1056</v>
      </c>
      <c r="P1037" s="13" t="s">
        <v>1199</v>
      </c>
      <c r="Q1037" s="13" t="s">
        <v>974</v>
      </c>
      <c r="R1037" s="12">
        <v>0</v>
      </c>
      <c r="S1037" s="12"/>
    </row>
    <row r="1038" spans="14:19" x14ac:dyDescent="0.2">
      <c r="N1038" s="5">
        <v>46113</v>
      </c>
      <c r="O1038" s="13" t="s">
        <v>1056</v>
      </c>
      <c r="P1038" s="13" t="s">
        <v>1203</v>
      </c>
      <c r="Q1038" s="13" t="s">
        <v>974</v>
      </c>
      <c r="R1038" s="12">
        <v>0</v>
      </c>
      <c r="S1038" s="12"/>
    </row>
    <row r="1039" spans="14:19" x14ac:dyDescent="0.2">
      <c r="N1039" s="5">
        <v>46113</v>
      </c>
      <c r="O1039" s="13" t="s">
        <v>1056</v>
      </c>
      <c r="P1039" s="13" t="s">
        <v>1196</v>
      </c>
      <c r="Q1039" s="13" t="s">
        <v>974</v>
      </c>
      <c r="R1039" s="12">
        <v>0</v>
      </c>
      <c r="S1039" s="12"/>
    </row>
    <row r="1040" spans="14:19" x14ac:dyDescent="0.2">
      <c r="N1040" s="5">
        <v>46113</v>
      </c>
      <c r="O1040" s="13" t="s">
        <v>1058</v>
      </c>
      <c r="P1040" s="13" t="s">
        <v>1177</v>
      </c>
      <c r="Q1040" s="13" t="s">
        <v>1032</v>
      </c>
      <c r="R1040" s="12">
        <v>0</v>
      </c>
      <c r="S1040" s="12"/>
    </row>
    <row r="1041" spans="14:19" x14ac:dyDescent="0.2">
      <c r="N1041" s="5">
        <v>46113</v>
      </c>
      <c r="O1041" s="13" t="s">
        <v>1058</v>
      </c>
      <c r="P1041" s="13" t="s">
        <v>1161</v>
      </c>
      <c r="Q1041" s="13" t="s">
        <v>1032</v>
      </c>
      <c r="R1041" s="12">
        <v>0</v>
      </c>
      <c r="S1041" s="12"/>
    </row>
    <row r="1042" spans="14:19" x14ac:dyDescent="0.2">
      <c r="N1042" s="5">
        <v>46113</v>
      </c>
      <c r="O1042" s="13" t="s">
        <v>1058</v>
      </c>
      <c r="P1042" s="13" t="s">
        <v>1161</v>
      </c>
      <c r="Q1042" s="13" t="s">
        <v>1025</v>
      </c>
      <c r="R1042" s="12">
        <v>0</v>
      </c>
      <c r="S1042" s="12"/>
    </row>
    <row r="1043" spans="14:19" x14ac:dyDescent="0.2">
      <c r="N1043" s="5">
        <v>46113</v>
      </c>
      <c r="O1043" s="13" t="s">
        <v>1058</v>
      </c>
      <c r="P1043" s="13" t="s">
        <v>1177</v>
      </c>
      <c r="Q1043" s="13" t="s">
        <v>1025</v>
      </c>
      <c r="R1043" s="12">
        <v>0</v>
      </c>
      <c r="S1043" s="12"/>
    </row>
    <row r="1044" spans="14:19" x14ac:dyDescent="0.2">
      <c r="N1044" s="5">
        <v>46113</v>
      </c>
      <c r="O1044" s="13" t="s">
        <v>1056</v>
      </c>
      <c r="P1044" s="13" t="s">
        <v>1172</v>
      </c>
      <c r="Q1044" s="13" t="s">
        <v>942</v>
      </c>
      <c r="R1044" s="12">
        <v>2000000</v>
      </c>
      <c r="S1044" s="12"/>
    </row>
    <row r="1045" spans="14:19" x14ac:dyDescent="0.2">
      <c r="N1045" s="5">
        <v>46113</v>
      </c>
      <c r="O1045" s="13" t="s">
        <v>1057</v>
      </c>
      <c r="P1045" s="13" t="s">
        <v>1143</v>
      </c>
      <c r="Q1045" s="13" t="s">
        <v>985</v>
      </c>
      <c r="R1045" s="12">
        <v>0</v>
      </c>
      <c r="S1045" s="12"/>
    </row>
    <row r="1046" spans="14:19" x14ac:dyDescent="0.2">
      <c r="N1046" s="5">
        <v>46113</v>
      </c>
      <c r="O1046" s="13" t="s">
        <v>1057</v>
      </c>
      <c r="P1046" s="13" t="s">
        <v>1211</v>
      </c>
      <c r="Q1046" s="13" t="s">
        <v>985</v>
      </c>
      <c r="R1046" s="12">
        <v>0</v>
      </c>
      <c r="S1046" s="12"/>
    </row>
    <row r="1047" spans="14:19" x14ac:dyDescent="0.2">
      <c r="N1047" s="5">
        <v>46113</v>
      </c>
      <c r="O1047" s="13" t="s">
        <v>1058</v>
      </c>
      <c r="P1047" s="13" t="s">
        <v>1182</v>
      </c>
      <c r="Q1047" s="13" t="s">
        <v>1028</v>
      </c>
      <c r="R1047" s="12">
        <v>0</v>
      </c>
      <c r="S1047" s="12"/>
    </row>
    <row r="1048" spans="14:19" x14ac:dyDescent="0.2">
      <c r="N1048" s="5">
        <v>46113</v>
      </c>
      <c r="O1048" s="13" t="s">
        <v>1058</v>
      </c>
      <c r="P1048" s="13" t="s">
        <v>1178</v>
      </c>
      <c r="Q1048" s="13" t="s">
        <v>1028</v>
      </c>
      <c r="R1048" s="12">
        <v>0</v>
      </c>
      <c r="S1048" s="12"/>
    </row>
    <row r="1049" spans="14:19" x14ac:dyDescent="0.2">
      <c r="N1049" s="5">
        <v>46113</v>
      </c>
      <c r="O1049" s="13" t="s">
        <v>1058</v>
      </c>
      <c r="P1049" s="13" t="s">
        <v>1146</v>
      </c>
      <c r="Q1049" s="13" t="s">
        <v>1028</v>
      </c>
      <c r="R1049" s="12">
        <v>0</v>
      </c>
      <c r="S1049" s="12"/>
    </row>
    <row r="1050" spans="14:19" x14ac:dyDescent="0.2">
      <c r="N1050" s="5">
        <v>46113</v>
      </c>
      <c r="O1050" s="13" t="s">
        <v>1058</v>
      </c>
      <c r="P1050" s="13" t="s">
        <v>1166</v>
      </c>
      <c r="Q1050" s="13" t="s">
        <v>1028</v>
      </c>
      <c r="R1050" s="12">
        <v>0</v>
      </c>
      <c r="S1050" s="12"/>
    </row>
    <row r="1051" spans="14:19" x14ac:dyDescent="0.2">
      <c r="N1051" s="5">
        <v>46113</v>
      </c>
      <c r="O1051" s="13" t="s">
        <v>1058</v>
      </c>
      <c r="P1051" s="13" t="s">
        <v>1165</v>
      </c>
      <c r="Q1051" s="13" t="s">
        <v>1028</v>
      </c>
      <c r="R1051" s="12">
        <v>0</v>
      </c>
      <c r="S1051" s="12"/>
    </row>
    <row r="1052" spans="14:19" x14ac:dyDescent="0.2">
      <c r="N1052" s="5">
        <v>46113</v>
      </c>
      <c r="O1052" s="13" t="s">
        <v>1058</v>
      </c>
      <c r="P1052" s="13" t="s">
        <v>1183</v>
      </c>
      <c r="Q1052" s="13" t="s">
        <v>1028</v>
      </c>
      <c r="R1052" s="12">
        <v>0</v>
      </c>
      <c r="S1052" s="12"/>
    </row>
    <row r="1053" spans="14:19" x14ac:dyDescent="0.2">
      <c r="N1053" s="5">
        <v>46113</v>
      </c>
      <c r="O1053" s="13" t="s">
        <v>1058</v>
      </c>
      <c r="P1053" s="13" t="s">
        <v>1144</v>
      </c>
      <c r="Q1053" s="13" t="s">
        <v>1028</v>
      </c>
      <c r="R1053" s="12">
        <v>0</v>
      </c>
      <c r="S1053" s="12"/>
    </row>
    <row r="1054" spans="14:19" x14ac:dyDescent="0.2">
      <c r="N1054" s="5">
        <v>46113</v>
      </c>
      <c r="O1054" s="13" t="s">
        <v>1058</v>
      </c>
      <c r="P1054" s="13" t="s">
        <v>1145</v>
      </c>
      <c r="Q1054" s="13" t="s">
        <v>1028</v>
      </c>
      <c r="R1054" s="12">
        <v>0</v>
      </c>
      <c r="S1054" s="12"/>
    </row>
    <row r="1055" spans="14:19" x14ac:dyDescent="0.2">
      <c r="N1055" s="5">
        <v>46113</v>
      </c>
      <c r="O1055" s="13" t="s">
        <v>1058</v>
      </c>
      <c r="P1055" s="13" t="s">
        <v>1179</v>
      </c>
      <c r="Q1055" s="13" t="s">
        <v>1028</v>
      </c>
      <c r="R1055" s="12">
        <v>0</v>
      </c>
      <c r="S1055" s="12"/>
    </row>
    <row r="1056" spans="14:19" x14ac:dyDescent="0.2">
      <c r="N1056" s="5">
        <v>46113</v>
      </c>
      <c r="O1056" s="13" t="s">
        <v>1058</v>
      </c>
      <c r="P1056" s="13" t="s">
        <v>1184</v>
      </c>
      <c r="Q1056" s="13" t="s">
        <v>1028</v>
      </c>
      <c r="R1056" s="12">
        <v>0</v>
      </c>
      <c r="S1056" s="12"/>
    </row>
    <row r="1057" spans="14:19" x14ac:dyDescent="0.2">
      <c r="N1057" s="5">
        <v>46113</v>
      </c>
      <c r="O1057" s="13" t="s">
        <v>1058</v>
      </c>
      <c r="P1057" s="13" t="s">
        <v>1181</v>
      </c>
      <c r="Q1057" s="13" t="s">
        <v>1028</v>
      </c>
      <c r="R1057" s="12">
        <v>0</v>
      </c>
      <c r="S1057" s="12"/>
    </row>
    <row r="1058" spans="14:19" x14ac:dyDescent="0.2">
      <c r="N1058" s="5">
        <v>46113</v>
      </c>
      <c r="O1058" s="13" t="s">
        <v>1058</v>
      </c>
      <c r="P1058" s="13" t="s">
        <v>1180</v>
      </c>
      <c r="Q1058" s="13" t="s">
        <v>1028</v>
      </c>
      <c r="R1058" s="12">
        <v>0</v>
      </c>
      <c r="S1058" s="12"/>
    </row>
    <row r="1059" spans="14:19" x14ac:dyDescent="0.2">
      <c r="N1059" s="5">
        <v>46113</v>
      </c>
      <c r="O1059" s="13" t="s">
        <v>1057</v>
      </c>
      <c r="P1059" s="13" t="s">
        <v>1143</v>
      </c>
      <c r="Q1059" s="13" t="s">
        <v>862</v>
      </c>
      <c r="R1059" s="12">
        <v>12870</v>
      </c>
      <c r="S1059" s="12"/>
    </row>
    <row r="1060" spans="14:19" x14ac:dyDescent="0.2">
      <c r="N1060" s="5">
        <v>46113</v>
      </c>
      <c r="O1060" s="13" t="s">
        <v>1056</v>
      </c>
      <c r="P1060" s="13" t="s">
        <v>1163</v>
      </c>
      <c r="Q1060" s="13" t="s">
        <v>862</v>
      </c>
      <c r="R1060" s="12">
        <v>29170</v>
      </c>
      <c r="S1060" s="12"/>
    </row>
    <row r="1061" spans="14:19" x14ac:dyDescent="0.2">
      <c r="N1061" s="5">
        <v>46113</v>
      </c>
      <c r="O1061" s="13" t="s">
        <v>1056</v>
      </c>
      <c r="P1061" s="13" t="s">
        <v>1162</v>
      </c>
      <c r="Q1061" s="13" t="s">
        <v>862</v>
      </c>
      <c r="R1061" s="12">
        <v>29170</v>
      </c>
      <c r="S1061" s="12"/>
    </row>
    <row r="1062" spans="14:19" x14ac:dyDescent="0.2">
      <c r="N1062" s="5">
        <v>46113</v>
      </c>
      <c r="O1062" s="13" t="s">
        <v>1056</v>
      </c>
      <c r="P1062" s="13" t="s">
        <v>1164</v>
      </c>
      <c r="Q1062" s="13" t="s">
        <v>862</v>
      </c>
      <c r="R1062" s="12">
        <v>11980</v>
      </c>
      <c r="S1062" s="12"/>
    </row>
    <row r="1063" spans="14:19" x14ac:dyDescent="0.2">
      <c r="N1063" s="5">
        <v>46113</v>
      </c>
      <c r="O1063" s="13" t="s">
        <v>1057</v>
      </c>
      <c r="P1063" s="13" t="s">
        <v>1211</v>
      </c>
      <c r="Q1063" s="13" t="s">
        <v>862</v>
      </c>
      <c r="R1063" s="12">
        <v>4960</v>
      </c>
      <c r="S1063" s="12"/>
    </row>
    <row r="1064" spans="14:19" x14ac:dyDescent="0.2">
      <c r="N1064" s="5">
        <v>46113</v>
      </c>
      <c r="O1064" s="13" t="s">
        <v>1057</v>
      </c>
      <c r="P1064" s="13" t="s">
        <v>1147</v>
      </c>
      <c r="Q1064" s="13" t="s">
        <v>954</v>
      </c>
      <c r="R1064" s="12">
        <v>0</v>
      </c>
      <c r="S1064" s="12"/>
    </row>
    <row r="1065" spans="14:19" x14ac:dyDescent="0.2">
      <c r="N1065" s="5">
        <v>46113</v>
      </c>
      <c r="O1065" s="13" t="s">
        <v>1056</v>
      </c>
      <c r="P1065" s="13" t="s">
        <v>1206</v>
      </c>
      <c r="Q1065" s="13" t="s">
        <v>954</v>
      </c>
      <c r="R1065" s="12">
        <v>0</v>
      </c>
      <c r="S1065" s="12"/>
    </row>
    <row r="1066" spans="14:19" x14ac:dyDescent="0.2">
      <c r="N1066" s="5">
        <v>46113</v>
      </c>
      <c r="O1066" s="13" t="s">
        <v>1057</v>
      </c>
      <c r="P1066" s="13" t="s">
        <v>1152</v>
      </c>
      <c r="Q1066" s="13" t="s">
        <v>1014</v>
      </c>
      <c r="R1066" s="12">
        <v>1586973.86</v>
      </c>
      <c r="S1066" s="12"/>
    </row>
    <row r="1067" spans="14:19" x14ac:dyDescent="0.2">
      <c r="N1067" s="5">
        <v>46113</v>
      </c>
      <c r="O1067" s="13" t="s">
        <v>1057</v>
      </c>
      <c r="P1067" s="13" t="s">
        <v>1188</v>
      </c>
      <c r="Q1067" s="13" t="s">
        <v>1014</v>
      </c>
      <c r="R1067" s="12">
        <v>510018</v>
      </c>
      <c r="S1067" s="12"/>
    </row>
    <row r="1068" spans="14:19" x14ac:dyDescent="0.2">
      <c r="N1068" s="5">
        <v>46113</v>
      </c>
      <c r="O1068" s="13" t="s">
        <v>1057</v>
      </c>
      <c r="P1068" s="13" t="s">
        <v>1156</v>
      </c>
      <c r="Q1068" s="13" t="s">
        <v>1014</v>
      </c>
      <c r="R1068" s="12">
        <v>363241.48</v>
      </c>
      <c r="S1068" s="12"/>
    </row>
    <row r="1069" spans="14:19" x14ac:dyDescent="0.2">
      <c r="N1069" s="5">
        <v>46113</v>
      </c>
      <c r="O1069" s="13" t="s">
        <v>1057</v>
      </c>
      <c r="P1069" s="13" t="s">
        <v>1192</v>
      </c>
      <c r="Q1069" s="13" t="s">
        <v>1021</v>
      </c>
      <c r="R1069" s="12"/>
      <c r="S1069" s="12">
        <v>0</v>
      </c>
    </row>
    <row r="1070" spans="14:19" x14ac:dyDescent="0.2">
      <c r="N1070" s="5">
        <v>46113</v>
      </c>
      <c r="O1070" s="13" t="s">
        <v>1057</v>
      </c>
      <c r="P1070" s="13" t="s">
        <v>1189</v>
      </c>
      <c r="Q1070" s="13" t="s">
        <v>1021</v>
      </c>
      <c r="R1070" s="12"/>
      <c r="S1070" s="12">
        <v>0</v>
      </c>
    </row>
    <row r="1071" spans="14:19" x14ac:dyDescent="0.2">
      <c r="N1071" s="5">
        <v>46113</v>
      </c>
      <c r="O1071" s="13" t="s">
        <v>1057</v>
      </c>
      <c r="P1071" s="13" t="s">
        <v>1160</v>
      </c>
      <c r="Q1071" s="13" t="s">
        <v>1021</v>
      </c>
      <c r="R1071" s="12"/>
      <c r="S1071" s="12">
        <v>0</v>
      </c>
    </row>
    <row r="1072" spans="14:19" x14ac:dyDescent="0.2">
      <c r="N1072" s="5">
        <v>46113</v>
      </c>
      <c r="O1072" s="13" t="s">
        <v>1057</v>
      </c>
      <c r="P1072" s="13" t="s">
        <v>1159</v>
      </c>
      <c r="Q1072" s="13" t="s">
        <v>1021</v>
      </c>
      <c r="R1072" s="12"/>
      <c r="S1072" s="12">
        <v>0</v>
      </c>
    </row>
    <row r="1073" spans="14:19" x14ac:dyDescent="0.2">
      <c r="N1073" s="5">
        <v>46113</v>
      </c>
      <c r="O1073" s="13" t="s">
        <v>1057</v>
      </c>
      <c r="P1073" s="13" t="s">
        <v>1191</v>
      </c>
      <c r="Q1073" s="13" t="s">
        <v>1021</v>
      </c>
      <c r="R1073" s="12"/>
      <c r="S1073" s="12">
        <v>0</v>
      </c>
    </row>
    <row r="1074" spans="14:19" x14ac:dyDescent="0.2">
      <c r="N1074" s="5">
        <v>46113</v>
      </c>
      <c r="O1074" s="13" t="s">
        <v>1057</v>
      </c>
      <c r="P1074" s="13" t="s">
        <v>1216</v>
      </c>
      <c r="Q1074" s="13" t="s">
        <v>1023</v>
      </c>
      <c r="R1074" s="12">
        <v>120000</v>
      </c>
      <c r="S1074" s="12"/>
    </row>
    <row r="1075" spans="14:19" x14ac:dyDescent="0.2">
      <c r="N1075" s="5">
        <v>46113</v>
      </c>
      <c r="O1075" s="13" t="s">
        <v>1057</v>
      </c>
      <c r="P1075" s="13" t="s">
        <v>1190</v>
      </c>
      <c r="Q1075" s="13" t="s">
        <v>1023</v>
      </c>
      <c r="R1075" s="12">
        <v>432500</v>
      </c>
      <c r="S1075" s="12"/>
    </row>
    <row r="1076" spans="14:19" x14ac:dyDescent="0.2">
      <c r="N1076" s="5">
        <v>46113</v>
      </c>
      <c r="O1076" s="13" t="s">
        <v>1057</v>
      </c>
      <c r="P1076" s="13" t="s">
        <v>1215</v>
      </c>
      <c r="Q1076" s="13" t="s">
        <v>1023</v>
      </c>
      <c r="R1076" s="12">
        <v>0</v>
      </c>
      <c r="S1076" s="12"/>
    </row>
    <row r="1077" spans="14:19" x14ac:dyDescent="0.2">
      <c r="N1077" s="5">
        <v>46113</v>
      </c>
      <c r="O1077" s="13" t="s">
        <v>1059</v>
      </c>
      <c r="P1077" s="13" t="s">
        <v>1186</v>
      </c>
      <c r="Q1077" s="13" t="s">
        <v>890</v>
      </c>
      <c r="R1077" s="12"/>
      <c r="S1077" s="12">
        <v>260000</v>
      </c>
    </row>
    <row r="1078" spans="14:19" x14ac:dyDescent="0.2">
      <c r="N1078" s="5">
        <v>46113</v>
      </c>
      <c r="O1078" s="13" t="s">
        <v>1059</v>
      </c>
      <c r="P1078" s="13" t="s">
        <v>1142</v>
      </c>
      <c r="Q1078" s="13" t="s">
        <v>890</v>
      </c>
      <c r="R1078" s="12"/>
      <c r="S1078" s="12">
        <v>0</v>
      </c>
    </row>
    <row r="1079" spans="14:19" x14ac:dyDescent="0.2">
      <c r="N1079" s="5">
        <v>46113</v>
      </c>
      <c r="O1079" s="13" t="s">
        <v>1059</v>
      </c>
      <c r="P1079" s="13" t="s">
        <v>1185</v>
      </c>
      <c r="Q1079" s="13" t="s">
        <v>890</v>
      </c>
      <c r="R1079" s="12"/>
      <c r="S1079" s="12">
        <v>0</v>
      </c>
    </row>
    <row r="1080" spans="14:19" x14ac:dyDescent="0.2">
      <c r="N1080" s="5">
        <v>46113</v>
      </c>
      <c r="O1080" s="13" t="s">
        <v>1059</v>
      </c>
      <c r="P1080" s="13" t="s">
        <v>1187</v>
      </c>
      <c r="Q1080" s="13" t="s">
        <v>890</v>
      </c>
      <c r="R1080" s="12"/>
      <c r="S1080" s="12">
        <v>0</v>
      </c>
    </row>
    <row r="1081" spans="14:19" x14ac:dyDescent="0.2">
      <c r="N1081" s="5">
        <v>46113</v>
      </c>
      <c r="O1081" s="13" t="s">
        <v>1059</v>
      </c>
      <c r="P1081" s="13" t="s">
        <v>1141</v>
      </c>
      <c r="Q1081" s="13" t="s">
        <v>890</v>
      </c>
      <c r="R1081" s="12"/>
      <c r="S1081" s="12">
        <v>0</v>
      </c>
    </row>
    <row r="1082" spans="14:19" x14ac:dyDescent="0.2">
      <c r="N1082" s="5">
        <v>46113</v>
      </c>
      <c r="O1082" s="13" t="s">
        <v>1056</v>
      </c>
      <c r="P1082" s="13" t="s">
        <v>1164</v>
      </c>
      <c r="Q1082" s="13" t="s">
        <v>920</v>
      </c>
      <c r="R1082" s="12">
        <v>159811</v>
      </c>
      <c r="S1082" s="12"/>
    </row>
    <row r="1083" spans="14:19" x14ac:dyDescent="0.2">
      <c r="N1083" s="5">
        <v>46113</v>
      </c>
      <c r="O1083" s="13" t="s">
        <v>1057</v>
      </c>
      <c r="P1083" s="13" t="s">
        <v>1143</v>
      </c>
      <c r="Q1083" s="13" t="s">
        <v>920</v>
      </c>
      <c r="R1083" s="12">
        <v>166667</v>
      </c>
      <c r="S1083" s="12"/>
    </row>
    <row r="1084" spans="14:19" x14ac:dyDescent="0.2">
      <c r="N1084" s="5">
        <v>46113</v>
      </c>
      <c r="O1084" s="13" t="s">
        <v>1056</v>
      </c>
      <c r="P1084" s="13" t="s">
        <v>1163</v>
      </c>
      <c r="Q1084" s="13" t="s">
        <v>920</v>
      </c>
      <c r="R1084" s="12">
        <v>416667</v>
      </c>
      <c r="S1084" s="12"/>
    </row>
    <row r="1085" spans="14:19" x14ac:dyDescent="0.2">
      <c r="N1085" s="5">
        <v>46113</v>
      </c>
      <c r="O1085" s="13" t="s">
        <v>1056</v>
      </c>
      <c r="P1085" s="13" t="s">
        <v>1162</v>
      </c>
      <c r="Q1085" s="13" t="s">
        <v>920</v>
      </c>
      <c r="R1085" s="12">
        <v>416667</v>
      </c>
      <c r="S1085" s="12"/>
    </row>
    <row r="1086" spans="14:19" x14ac:dyDescent="0.2">
      <c r="N1086" s="5">
        <v>46113</v>
      </c>
      <c r="O1086" s="13" t="s">
        <v>1057</v>
      </c>
      <c r="P1086" s="13" t="s">
        <v>1211</v>
      </c>
      <c r="Q1086" s="13" t="s">
        <v>920</v>
      </c>
      <c r="R1086" s="12">
        <v>175951</v>
      </c>
      <c r="S1086" s="12"/>
    </row>
    <row r="1087" spans="14:19" x14ac:dyDescent="0.2">
      <c r="N1087" s="5">
        <v>46113</v>
      </c>
      <c r="O1087" s="13" t="s">
        <v>1056</v>
      </c>
      <c r="P1087" s="13" t="s">
        <v>1223</v>
      </c>
      <c r="Q1087" s="13" t="s">
        <v>962</v>
      </c>
      <c r="R1087" s="12">
        <v>0</v>
      </c>
      <c r="S1087" s="12"/>
    </row>
    <row r="1088" spans="14:19" x14ac:dyDescent="0.2">
      <c r="N1088" s="5">
        <v>46113</v>
      </c>
      <c r="O1088" s="13" t="s">
        <v>1056</v>
      </c>
      <c r="P1088" s="13" t="s">
        <v>1175</v>
      </c>
      <c r="Q1088" s="13" t="s">
        <v>956</v>
      </c>
      <c r="R1088" s="12">
        <v>0</v>
      </c>
      <c r="S1088" s="12"/>
    </row>
    <row r="1089" spans="14:19" x14ac:dyDescent="0.2">
      <c r="N1089" s="5">
        <v>46113</v>
      </c>
      <c r="O1089" s="13" t="s">
        <v>1056</v>
      </c>
      <c r="P1089" s="13" t="s">
        <v>1176</v>
      </c>
      <c r="Q1089" s="13" t="s">
        <v>956</v>
      </c>
      <c r="R1089" s="12">
        <v>0</v>
      </c>
      <c r="S1089" s="12"/>
    </row>
    <row r="1090" spans="14:19" x14ac:dyDescent="0.2">
      <c r="N1090" s="5">
        <v>46113</v>
      </c>
      <c r="O1090" s="13" t="s">
        <v>1056</v>
      </c>
      <c r="P1090" s="13" t="s">
        <v>1205</v>
      </c>
      <c r="Q1090" s="13" t="s">
        <v>950</v>
      </c>
      <c r="R1090" s="12">
        <v>0</v>
      </c>
      <c r="S1090" s="12"/>
    </row>
    <row r="1091" spans="14:19" x14ac:dyDescent="0.2">
      <c r="N1091" s="5">
        <v>46113</v>
      </c>
      <c r="O1091" s="13" t="s">
        <v>1056</v>
      </c>
      <c r="P1091" s="13" t="s">
        <v>1222</v>
      </c>
      <c r="Q1091" s="13" t="s">
        <v>950</v>
      </c>
      <c r="R1091" s="12">
        <v>4867.93</v>
      </c>
      <c r="S1091" s="12"/>
    </row>
    <row r="1092" spans="14:19" x14ac:dyDescent="0.2">
      <c r="N1092" s="5">
        <v>46113</v>
      </c>
      <c r="O1092" s="13" t="s">
        <v>1056</v>
      </c>
      <c r="P1092" s="13" t="s">
        <v>1141</v>
      </c>
      <c r="Q1092" s="13" t="s">
        <v>950</v>
      </c>
      <c r="R1092" s="12">
        <v>0</v>
      </c>
      <c r="S1092" s="12"/>
    </row>
    <row r="1093" spans="14:19" x14ac:dyDescent="0.2">
      <c r="N1093" s="5">
        <v>46113</v>
      </c>
      <c r="O1093" s="13" t="s">
        <v>1056</v>
      </c>
      <c r="P1093" s="13" t="s">
        <v>1173</v>
      </c>
      <c r="Q1093" s="13" t="s">
        <v>952</v>
      </c>
      <c r="R1093" s="12">
        <v>64892</v>
      </c>
      <c r="S1093" s="12"/>
    </row>
    <row r="1094" spans="14:19" x14ac:dyDescent="0.2">
      <c r="N1094" s="5">
        <v>46113</v>
      </c>
      <c r="O1094" s="13" t="s">
        <v>1057</v>
      </c>
      <c r="P1094" s="13" t="s">
        <v>1151</v>
      </c>
      <c r="Q1094" s="13" t="s">
        <v>952</v>
      </c>
      <c r="R1094" s="12">
        <v>113520</v>
      </c>
      <c r="S1094" s="12"/>
    </row>
    <row r="1095" spans="14:19" x14ac:dyDescent="0.2">
      <c r="N1095" s="5">
        <v>46113</v>
      </c>
      <c r="O1095" s="13" t="s">
        <v>1056</v>
      </c>
      <c r="P1095" s="13" t="s">
        <v>1174</v>
      </c>
      <c r="Q1095" s="13" t="s">
        <v>952</v>
      </c>
      <c r="R1095" s="12">
        <v>72388</v>
      </c>
      <c r="S1095" s="12"/>
    </row>
    <row r="1096" spans="14:19" x14ac:dyDescent="0.2">
      <c r="N1096" s="5">
        <v>46113</v>
      </c>
      <c r="O1096" s="13" t="s">
        <v>1057</v>
      </c>
      <c r="P1096" s="13" t="s">
        <v>1155</v>
      </c>
      <c r="Q1096" s="13" t="s">
        <v>952</v>
      </c>
      <c r="R1096" s="12">
        <v>640846.9</v>
      </c>
      <c r="S1096" s="12"/>
    </row>
    <row r="1097" spans="14:19" x14ac:dyDescent="0.2">
      <c r="N1097" s="5">
        <v>46113</v>
      </c>
      <c r="O1097" s="13" t="s">
        <v>1056</v>
      </c>
      <c r="P1097" s="13" t="s">
        <v>1524</v>
      </c>
      <c r="Q1097" s="13" t="s">
        <v>952</v>
      </c>
      <c r="R1097" s="12">
        <v>360089</v>
      </c>
      <c r="S1097" s="12"/>
    </row>
    <row r="1098" spans="14:19" x14ac:dyDescent="0.2">
      <c r="N1098" s="5">
        <v>46113</v>
      </c>
      <c r="O1098" s="13" t="s">
        <v>1056</v>
      </c>
      <c r="P1098" s="13" t="s">
        <v>1523</v>
      </c>
      <c r="Q1098" s="13" t="s">
        <v>952</v>
      </c>
      <c r="R1098" s="12">
        <v>173750</v>
      </c>
      <c r="S1098" s="12"/>
    </row>
    <row r="1099" spans="14:19" x14ac:dyDescent="0.2">
      <c r="N1099" s="5">
        <v>46113</v>
      </c>
      <c r="O1099" s="13" t="s">
        <v>1056</v>
      </c>
      <c r="P1099" s="13" t="s">
        <v>1163</v>
      </c>
      <c r="Q1099" s="13" t="s">
        <v>914</v>
      </c>
      <c r="R1099" s="12">
        <v>5000000</v>
      </c>
      <c r="S1099" s="12"/>
    </row>
    <row r="1100" spans="14:19" x14ac:dyDescent="0.2">
      <c r="N1100" s="5">
        <v>46113</v>
      </c>
      <c r="O1100" s="13" t="s">
        <v>1056</v>
      </c>
      <c r="P1100" s="13" t="s">
        <v>1164</v>
      </c>
      <c r="Q1100" s="13" t="s">
        <v>914</v>
      </c>
      <c r="R1100" s="12">
        <v>1167270</v>
      </c>
      <c r="S1100" s="12"/>
    </row>
    <row r="1101" spans="14:19" x14ac:dyDescent="0.2">
      <c r="N1101" s="5">
        <v>46113</v>
      </c>
      <c r="O1101" s="13" t="s">
        <v>1057</v>
      </c>
      <c r="P1101" s="13" t="s">
        <v>1143</v>
      </c>
      <c r="Q1101" s="13" t="s">
        <v>914</v>
      </c>
      <c r="R1101" s="12">
        <v>1750905</v>
      </c>
      <c r="S1101" s="12"/>
    </row>
    <row r="1102" spans="14:19" x14ac:dyDescent="0.2">
      <c r="N1102" s="5">
        <v>46113</v>
      </c>
      <c r="O1102" s="13" t="s">
        <v>1057</v>
      </c>
      <c r="P1102" s="13" t="s">
        <v>1211</v>
      </c>
      <c r="Q1102" s="13" t="s">
        <v>914</v>
      </c>
      <c r="R1102" s="12">
        <v>1750905</v>
      </c>
      <c r="S1102" s="12"/>
    </row>
    <row r="1103" spans="14:19" x14ac:dyDescent="0.2">
      <c r="N1103" s="5">
        <v>46113</v>
      </c>
      <c r="O1103" s="13" t="s">
        <v>1056</v>
      </c>
      <c r="P1103" s="13" t="s">
        <v>1162</v>
      </c>
      <c r="Q1103" s="13" t="s">
        <v>914</v>
      </c>
      <c r="R1103" s="12">
        <v>5000000</v>
      </c>
      <c r="S1103" s="12"/>
    </row>
    <row r="1104" spans="14:19" x14ac:dyDescent="0.2">
      <c r="N1104" s="5">
        <v>46113</v>
      </c>
      <c r="O1104" s="13" t="s">
        <v>1057</v>
      </c>
      <c r="P1104" s="13" t="s">
        <v>1141</v>
      </c>
      <c r="Q1104" s="13" t="s">
        <v>1012</v>
      </c>
      <c r="R1104" s="12"/>
      <c r="S1104" s="12">
        <v>0</v>
      </c>
    </row>
    <row r="1105" spans="14:19" x14ac:dyDescent="0.2">
      <c r="N1105" s="5">
        <v>46113</v>
      </c>
      <c r="O1105" s="13" t="s">
        <v>1057</v>
      </c>
      <c r="P1105" s="13" t="s">
        <v>1150</v>
      </c>
      <c r="Q1105" s="13" t="s">
        <v>1012</v>
      </c>
      <c r="R1105" s="12"/>
      <c r="S1105" s="12">
        <v>0</v>
      </c>
    </row>
    <row r="1106" spans="14:19" x14ac:dyDescent="0.2">
      <c r="N1106" s="5">
        <v>46113</v>
      </c>
      <c r="O1106" s="13" t="s">
        <v>1057</v>
      </c>
      <c r="P1106" s="13" t="s">
        <v>1214</v>
      </c>
      <c r="Q1106" s="13" t="s">
        <v>1012</v>
      </c>
      <c r="R1106" s="12"/>
      <c r="S1106" s="12">
        <v>0</v>
      </c>
    </row>
    <row r="1107" spans="14:19" x14ac:dyDescent="0.2">
      <c r="N1107" s="5">
        <v>46113</v>
      </c>
      <c r="O1107" s="13" t="s">
        <v>1057</v>
      </c>
      <c r="P1107" s="13" t="s">
        <v>1153</v>
      </c>
      <c r="Q1107" s="13" t="s">
        <v>1012</v>
      </c>
      <c r="R1107" s="12"/>
      <c r="S1107" s="12">
        <v>0</v>
      </c>
    </row>
    <row r="1108" spans="14:19" x14ac:dyDescent="0.2">
      <c r="N1108" s="5">
        <v>46113</v>
      </c>
      <c r="O1108" s="13" t="s">
        <v>1057</v>
      </c>
      <c r="P1108" s="13" t="s">
        <v>1154</v>
      </c>
      <c r="Q1108" s="13" t="s">
        <v>1012</v>
      </c>
      <c r="R1108" s="12"/>
      <c r="S1108" s="12">
        <v>0</v>
      </c>
    </row>
    <row r="1109" spans="14:19" x14ac:dyDescent="0.2">
      <c r="N1109" s="5">
        <v>46113</v>
      </c>
      <c r="O1109" s="13" t="s">
        <v>1057</v>
      </c>
      <c r="P1109" s="13" t="s">
        <v>1213</v>
      </c>
      <c r="Q1109" s="13" t="s">
        <v>1012</v>
      </c>
      <c r="R1109" s="12"/>
      <c r="S1109" s="12">
        <v>0</v>
      </c>
    </row>
    <row r="1110" spans="14:19" x14ac:dyDescent="0.2">
      <c r="N1110" s="5">
        <v>46113</v>
      </c>
      <c r="O1110" s="13" t="s">
        <v>1057</v>
      </c>
      <c r="P1110" s="13" t="s">
        <v>1149</v>
      </c>
      <c r="Q1110" s="13" t="s">
        <v>1012</v>
      </c>
      <c r="R1110" s="12"/>
      <c r="S1110" s="12">
        <v>0</v>
      </c>
    </row>
    <row r="1111" spans="14:19" x14ac:dyDescent="0.2">
      <c r="N1111" s="5">
        <v>46113</v>
      </c>
      <c r="O1111" s="13" t="s">
        <v>1057</v>
      </c>
      <c r="P1111" s="13" t="s">
        <v>1143</v>
      </c>
      <c r="Q1111" s="13" t="s">
        <v>864</v>
      </c>
      <c r="R1111" s="12">
        <v>72950</v>
      </c>
      <c r="S1111" s="12"/>
    </row>
    <row r="1112" spans="14:19" x14ac:dyDescent="0.2">
      <c r="N1112" s="5">
        <v>46113</v>
      </c>
      <c r="O1112" s="13" t="s">
        <v>1056</v>
      </c>
      <c r="P1112" s="13" t="s">
        <v>1164</v>
      </c>
      <c r="Q1112" s="13" t="s">
        <v>864</v>
      </c>
      <c r="R1112" s="12">
        <v>189678</v>
      </c>
      <c r="S1112" s="12"/>
    </row>
    <row r="1113" spans="14:19" x14ac:dyDescent="0.2">
      <c r="N1113" s="5">
        <v>46113</v>
      </c>
      <c r="O1113" s="13" t="s">
        <v>1057</v>
      </c>
      <c r="P1113" s="13" t="s">
        <v>1211</v>
      </c>
      <c r="Q1113" s="13" t="s">
        <v>864</v>
      </c>
      <c r="R1113" s="12">
        <v>72950</v>
      </c>
      <c r="S1113" s="12"/>
    </row>
    <row r="1114" spans="14:19" x14ac:dyDescent="0.2">
      <c r="N1114" s="5">
        <v>46113</v>
      </c>
      <c r="O1114" s="13" t="s">
        <v>1056</v>
      </c>
      <c r="P1114" s="13" t="s">
        <v>1163</v>
      </c>
      <c r="Q1114" s="13" t="s">
        <v>864</v>
      </c>
      <c r="R1114" s="12">
        <v>208330</v>
      </c>
      <c r="S1114" s="12"/>
    </row>
    <row r="1115" spans="14:19" x14ac:dyDescent="0.2">
      <c r="N1115" s="5">
        <v>46113</v>
      </c>
      <c r="O1115" s="13" t="s">
        <v>1056</v>
      </c>
      <c r="P1115" s="13" t="s">
        <v>1162</v>
      </c>
      <c r="Q1115" s="13" t="s">
        <v>864</v>
      </c>
      <c r="R1115" s="12">
        <v>208330</v>
      </c>
      <c r="S1115" s="12"/>
    </row>
    <row r="1116" spans="14:19" x14ac:dyDescent="0.2">
      <c r="N1116" s="5">
        <v>46113</v>
      </c>
      <c r="O1116" s="13" t="s">
        <v>1056</v>
      </c>
      <c r="P1116" s="13" t="s">
        <v>1200</v>
      </c>
      <c r="Q1116" s="13" t="s">
        <v>976</v>
      </c>
      <c r="R1116" s="12">
        <v>0</v>
      </c>
      <c r="S1116" s="12"/>
    </row>
    <row r="1117" spans="14:19" x14ac:dyDescent="0.2">
      <c r="N1117" s="5">
        <v>46113</v>
      </c>
      <c r="O1117" s="13" t="s">
        <v>1056</v>
      </c>
      <c r="P1117" s="13" t="s">
        <v>1171</v>
      </c>
      <c r="Q1117" s="13" t="s">
        <v>976</v>
      </c>
      <c r="R1117" s="12">
        <v>0</v>
      </c>
      <c r="S1117" s="12"/>
    </row>
    <row r="1118" spans="14:19" x14ac:dyDescent="0.2">
      <c r="N1118" s="5">
        <v>46113</v>
      </c>
      <c r="O1118" s="13" t="s">
        <v>1056</v>
      </c>
      <c r="P1118" s="13" t="s">
        <v>1218</v>
      </c>
      <c r="Q1118" s="13" t="s">
        <v>976</v>
      </c>
      <c r="R1118" s="12">
        <v>0</v>
      </c>
      <c r="S1118" s="12"/>
    </row>
    <row r="1119" spans="14:19" x14ac:dyDescent="0.2">
      <c r="N1119" s="5">
        <v>46113</v>
      </c>
      <c r="O1119" s="13" t="s">
        <v>1056</v>
      </c>
      <c r="P1119" s="13" t="s">
        <v>1170</v>
      </c>
      <c r="Q1119" s="13" t="s">
        <v>976</v>
      </c>
      <c r="R1119" s="12">
        <v>0</v>
      </c>
      <c r="S1119" s="12"/>
    </row>
    <row r="1120" spans="14:19" x14ac:dyDescent="0.2">
      <c r="N1120" s="5">
        <v>46113</v>
      </c>
      <c r="O1120" s="13" t="s">
        <v>1056</v>
      </c>
      <c r="P1120" s="13" t="s">
        <v>1195</v>
      </c>
      <c r="Q1120" s="13" t="s">
        <v>976</v>
      </c>
      <c r="R1120" s="12">
        <v>0</v>
      </c>
      <c r="S1120" s="12"/>
    </row>
    <row r="1121" spans="14:19" x14ac:dyDescent="0.2">
      <c r="N1121" s="5">
        <v>46143</v>
      </c>
      <c r="O1121" s="13" t="s">
        <v>1056</v>
      </c>
      <c r="P1121" s="13" t="s">
        <v>1207</v>
      </c>
      <c r="Q1121" s="13" t="s">
        <v>968</v>
      </c>
      <c r="R1121" s="12">
        <v>0</v>
      </c>
      <c r="S1121" s="12"/>
    </row>
    <row r="1122" spans="14:19" x14ac:dyDescent="0.2">
      <c r="N1122" s="5">
        <v>46143</v>
      </c>
      <c r="O1122" s="13" t="s">
        <v>1056</v>
      </c>
      <c r="P1122" s="13" t="s">
        <v>1225</v>
      </c>
      <c r="Q1122" s="13" t="s">
        <v>968</v>
      </c>
      <c r="R1122" s="12">
        <v>0</v>
      </c>
      <c r="S1122" s="12"/>
    </row>
    <row r="1123" spans="14:19" x14ac:dyDescent="0.2">
      <c r="N1123" s="5">
        <v>46143</v>
      </c>
      <c r="O1123" s="13" t="s">
        <v>1056</v>
      </c>
      <c r="P1123" s="13" t="s">
        <v>1224</v>
      </c>
      <c r="Q1123" s="13" t="s">
        <v>968</v>
      </c>
      <c r="R1123" s="12">
        <v>0</v>
      </c>
      <c r="S1123" s="12"/>
    </row>
    <row r="1124" spans="14:19" x14ac:dyDescent="0.2">
      <c r="N1124" s="5">
        <v>46143</v>
      </c>
      <c r="O1124" s="13" t="s">
        <v>1058</v>
      </c>
      <c r="P1124" s="13" t="s">
        <v>1183</v>
      </c>
      <c r="Q1124" s="13" t="s">
        <v>912</v>
      </c>
      <c r="R1124" s="12">
        <v>0</v>
      </c>
      <c r="S1124" s="12"/>
    </row>
    <row r="1125" spans="14:19" x14ac:dyDescent="0.2">
      <c r="N1125" s="5">
        <v>46143</v>
      </c>
      <c r="O1125" s="13" t="s">
        <v>1058</v>
      </c>
      <c r="P1125" s="13" t="s">
        <v>1187</v>
      </c>
      <c r="Q1125" s="13" t="s">
        <v>912</v>
      </c>
      <c r="R1125" s="12">
        <v>0</v>
      </c>
      <c r="S1125" s="12"/>
    </row>
    <row r="1126" spans="14:19" x14ac:dyDescent="0.2">
      <c r="N1126" s="5">
        <v>46143</v>
      </c>
      <c r="O1126" s="13" t="s">
        <v>1058</v>
      </c>
      <c r="P1126" s="13" t="s">
        <v>1210</v>
      </c>
      <c r="Q1126" s="13" t="s">
        <v>912</v>
      </c>
      <c r="R1126" s="12">
        <v>0</v>
      </c>
      <c r="S1126" s="12"/>
    </row>
    <row r="1127" spans="14:19" x14ac:dyDescent="0.2">
      <c r="N1127" s="5">
        <v>46143</v>
      </c>
      <c r="O1127" s="13" t="s">
        <v>1058</v>
      </c>
      <c r="P1127" s="13" t="s">
        <v>1180</v>
      </c>
      <c r="Q1127" s="13" t="s">
        <v>912</v>
      </c>
      <c r="R1127" s="12">
        <v>0</v>
      </c>
      <c r="S1127" s="12"/>
    </row>
    <row r="1128" spans="14:19" x14ac:dyDescent="0.2">
      <c r="N1128" s="5">
        <v>46143</v>
      </c>
      <c r="O1128" s="13" t="s">
        <v>1058</v>
      </c>
      <c r="P1128" s="13" t="s">
        <v>1205</v>
      </c>
      <c r="Q1128" s="13" t="s">
        <v>912</v>
      </c>
      <c r="R1128" s="12">
        <v>0</v>
      </c>
      <c r="S1128" s="12"/>
    </row>
    <row r="1129" spans="14:19" x14ac:dyDescent="0.2">
      <c r="N1129" s="5">
        <v>46143</v>
      </c>
      <c r="O1129" s="13" t="s">
        <v>1057</v>
      </c>
      <c r="P1129" s="13" t="s">
        <v>1145</v>
      </c>
      <c r="Q1129" s="13" t="s">
        <v>930</v>
      </c>
      <c r="R1129" s="12">
        <v>0</v>
      </c>
      <c r="S1129" s="12"/>
    </row>
    <row r="1130" spans="14:19" x14ac:dyDescent="0.2">
      <c r="N1130" s="5">
        <v>46143</v>
      </c>
      <c r="O1130" s="13" t="s">
        <v>1057</v>
      </c>
      <c r="P1130" s="13" t="s">
        <v>1212</v>
      </c>
      <c r="Q1130" s="13" t="s">
        <v>930</v>
      </c>
      <c r="R1130" s="12">
        <v>0</v>
      </c>
      <c r="S1130" s="12"/>
    </row>
    <row r="1131" spans="14:19" x14ac:dyDescent="0.2">
      <c r="N1131" s="5">
        <v>46143</v>
      </c>
      <c r="O1131" s="13" t="s">
        <v>1056</v>
      </c>
      <c r="P1131" s="13" t="s">
        <v>1165</v>
      </c>
      <c r="Q1131" s="13" t="s">
        <v>930</v>
      </c>
      <c r="R1131" s="12">
        <v>0</v>
      </c>
      <c r="S1131" s="12"/>
    </row>
    <row r="1132" spans="14:19" x14ac:dyDescent="0.2">
      <c r="N1132" s="5">
        <v>46143</v>
      </c>
      <c r="O1132" s="13" t="s">
        <v>1056</v>
      </c>
      <c r="P1132" s="13" t="s">
        <v>1166</v>
      </c>
      <c r="Q1132" s="13" t="s">
        <v>930</v>
      </c>
      <c r="R1132" s="12">
        <v>0</v>
      </c>
      <c r="S1132" s="12"/>
    </row>
    <row r="1133" spans="14:19" x14ac:dyDescent="0.2">
      <c r="N1133" s="5">
        <v>46143</v>
      </c>
      <c r="O1133" s="13" t="s">
        <v>1056</v>
      </c>
      <c r="P1133" s="13" t="s">
        <v>1145</v>
      </c>
      <c r="Q1133" s="13" t="s">
        <v>930</v>
      </c>
      <c r="R1133" s="12">
        <v>0</v>
      </c>
      <c r="S1133" s="12"/>
    </row>
    <row r="1134" spans="14:19" x14ac:dyDescent="0.2">
      <c r="N1134" s="5">
        <v>46143</v>
      </c>
      <c r="O1134" s="13" t="s">
        <v>1056</v>
      </c>
      <c r="P1134" s="13" t="s">
        <v>1144</v>
      </c>
      <c r="Q1134" s="13" t="s">
        <v>927</v>
      </c>
      <c r="R1134" s="12">
        <v>0</v>
      </c>
      <c r="S1134" s="12"/>
    </row>
    <row r="1135" spans="14:19" x14ac:dyDescent="0.2">
      <c r="N1135" s="5">
        <v>46143</v>
      </c>
      <c r="O1135" s="13" t="s">
        <v>1057</v>
      </c>
      <c r="P1135" s="13" t="s">
        <v>1144</v>
      </c>
      <c r="Q1135" s="13" t="s">
        <v>927</v>
      </c>
      <c r="R1135" s="12">
        <v>0</v>
      </c>
      <c r="S1135" s="12"/>
    </row>
    <row r="1136" spans="14:19" x14ac:dyDescent="0.2">
      <c r="N1136" s="5">
        <v>46143</v>
      </c>
      <c r="O1136" s="13" t="s">
        <v>1056</v>
      </c>
      <c r="P1136" s="13" t="s">
        <v>1181</v>
      </c>
      <c r="Q1136" s="13" t="s">
        <v>822</v>
      </c>
      <c r="R1136" s="12">
        <v>0</v>
      </c>
      <c r="S1136" s="12"/>
    </row>
    <row r="1137" spans="14:19" x14ac:dyDescent="0.2">
      <c r="N1137" s="5">
        <v>46143</v>
      </c>
      <c r="O1137" s="13" t="s">
        <v>1057</v>
      </c>
      <c r="P1137" s="13" t="s">
        <v>1146</v>
      </c>
      <c r="Q1137" s="13" t="s">
        <v>932</v>
      </c>
      <c r="R1137" s="12">
        <v>0</v>
      </c>
      <c r="S1137" s="12"/>
    </row>
    <row r="1138" spans="14:19" x14ac:dyDescent="0.2">
      <c r="N1138" s="5">
        <v>46143</v>
      </c>
      <c r="O1138" s="13" t="s">
        <v>1056</v>
      </c>
      <c r="P1138" s="13" t="s">
        <v>1146</v>
      </c>
      <c r="Q1138" s="13" t="s">
        <v>932</v>
      </c>
      <c r="R1138" s="12">
        <v>0</v>
      </c>
      <c r="S1138" s="12"/>
    </row>
    <row r="1139" spans="14:19" x14ac:dyDescent="0.2">
      <c r="N1139" s="5">
        <v>46143</v>
      </c>
      <c r="O1139" s="13" t="s">
        <v>1056</v>
      </c>
      <c r="P1139" s="13" t="s">
        <v>1221</v>
      </c>
      <c r="Q1139" s="13" t="s">
        <v>948</v>
      </c>
      <c r="R1139" s="12">
        <v>2500000</v>
      </c>
      <c r="S1139" s="12"/>
    </row>
    <row r="1140" spans="14:19" x14ac:dyDescent="0.2">
      <c r="N1140" s="5">
        <v>46143</v>
      </c>
      <c r="O1140" s="13" t="s">
        <v>1057</v>
      </c>
      <c r="P1140" s="13" t="s">
        <v>1147</v>
      </c>
      <c r="Q1140" s="13" t="s">
        <v>948</v>
      </c>
      <c r="R1140" s="12">
        <v>0</v>
      </c>
      <c r="S1140" s="12"/>
    </row>
    <row r="1141" spans="14:19" x14ac:dyDescent="0.2">
      <c r="N1141" s="5">
        <v>46143</v>
      </c>
      <c r="O1141" s="13" t="s">
        <v>1057</v>
      </c>
      <c r="P1141" s="13" t="s">
        <v>1148</v>
      </c>
      <c r="Q1141" s="13" t="s">
        <v>948</v>
      </c>
      <c r="R1141" s="12">
        <v>0</v>
      </c>
      <c r="S1141" s="12"/>
    </row>
    <row r="1142" spans="14:19" x14ac:dyDescent="0.2">
      <c r="N1142" s="5">
        <v>46143</v>
      </c>
      <c r="O1142" s="13" t="s">
        <v>1056</v>
      </c>
      <c r="P1142" s="13" t="s">
        <v>1204</v>
      </c>
      <c r="Q1142" s="13" t="s">
        <v>944</v>
      </c>
      <c r="R1142" s="12">
        <v>0</v>
      </c>
      <c r="S1142" s="12"/>
    </row>
    <row r="1143" spans="14:19" x14ac:dyDescent="0.2">
      <c r="N1143" s="5">
        <v>46143</v>
      </c>
      <c r="O1143" s="13" t="s">
        <v>1056</v>
      </c>
      <c r="P1143" s="13" t="s">
        <v>1162</v>
      </c>
      <c r="Q1143" s="13" t="s">
        <v>916</v>
      </c>
      <c r="R1143" s="12">
        <v>0</v>
      </c>
      <c r="S1143" s="12"/>
    </row>
    <row r="1144" spans="14:19" x14ac:dyDescent="0.2">
      <c r="N1144" s="5">
        <v>46143</v>
      </c>
      <c r="O1144" s="13" t="s">
        <v>1056</v>
      </c>
      <c r="P1144" s="13" t="s">
        <v>1163</v>
      </c>
      <c r="Q1144" s="13" t="s">
        <v>916</v>
      </c>
      <c r="R1144" s="12">
        <v>0</v>
      </c>
      <c r="S1144" s="12"/>
    </row>
    <row r="1145" spans="14:19" x14ac:dyDescent="0.2">
      <c r="N1145" s="5">
        <v>46143</v>
      </c>
      <c r="O1145" s="13" t="s">
        <v>1056</v>
      </c>
      <c r="P1145" s="13" t="s">
        <v>1164</v>
      </c>
      <c r="Q1145" s="13" t="s">
        <v>916</v>
      </c>
      <c r="R1145" s="12">
        <v>0</v>
      </c>
      <c r="S1145" s="12"/>
    </row>
    <row r="1146" spans="14:19" x14ac:dyDescent="0.2">
      <c r="N1146" s="5">
        <v>46143</v>
      </c>
      <c r="O1146" s="13" t="s">
        <v>1057</v>
      </c>
      <c r="P1146" s="13" t="s">
        <v>1211</v>
      </c>
      <c r="Q1146" s="13" t="s">
        <v>993</v>
      </c>
      <c r="R1146" s="12">
        <v>0</v>
      </c>
      <c r="S1146" s="12"/>
    </row>
    <row r="1147" spans="14:19" x14ac:dyDescent="0.2">
      <c r="N1147" s="5">
        <v>46143</v>
      </c>
      <c r="O1147" s="13" t="s">
        <v>1057</v>
      </c>
      <c r="P1147" s="13" t="s">
        <v>1143</v>
      </c>
      <c r="Q1147" s="13" t="s">
        <v>993</v>
      </c>
      <c r="R1147" s="12">
        <v>0</v>
      </c>
      <c r="S1147" s="12"/>
    </row>
    <row r="1148" spans="14:19" x14ac:dyDescent="0.2">
      <c r="N1148" s="5">
        <v>46143</v>
      </c>
      <c r="O1148" s="13" t="s">
        <v>1056</v>
      </c>
      <c r="P1148" s="13" t="s">
        <v>1164</v>
      </c>
      <c r="Q1148" s="13" t="s">
        <v>938</v>
      </c>
      <c r="R1148" s="12">
        <v>0</v>
      </c>
      <c r="S1148" s="12"/>
    </row>
    <row r="1149" spans="14:19" x14ac:dyDescent="0.2">
      <c r="N1149" s="5">
        <v>46143</v>
      </c>
      <c r="O1149" s="13" t="s">
        <v>1056</v>
      </c>
      <c r="P1149" s="13" t="s">
        <v>1198</v>
      </c>
      <c r="Q1149" s="13" t="s">
        <v>978</v>
      </c>
      <c r="R1149" s="12">
        <v>0</v>
      </c>
      <c r="S1149" s="12"/>
    </row>
    <row r="1150" spans="14:19" x14ac:dyDescent="0.2">
      <c r="N1150" s="5">
        <v>46143</v>
      </c>
      <c r="O1150" s="13" t="s">
        <v>1056</v>
      </c>
      <c r="P1150" s="13" t="s">
        <v>1219</v>
      </c>
      <c r="Q1150" s="13" t="s">
        <v>978</v>
      </c>
      <c r="R1150" s="12">
        <v>0</v>
      </c>
      <c r="S1150" s="12"/>
    </row>
    <row r="1151" spans="14:19" x14ac:dyDescent="0.2">
      <c r="N1151" s="5">
        <v>46143</v>
      </c>
      <c r="O1151" s="13" t="s">
        <v>1056</v>
      </c>
      <c r="P1151" s="13" t="s">
        <v>1220</v>
      </c>
      <c r="Q1151" s="13" t="s">
        <v>978</v>
      </c>
      <c r="R1151" s="12">
        <v>0</v>
      </c>
      <c r="S1151" s="12"/>
    </row>
    <row r="1152" spans="14:19" x14ac:dyDescent="0.2">
      <c r="N1152" s="5">
        <v>46143</v>
      </c>
      <c r="O1152" s="13" t="s">
        <v>1056</v>
      </c>
      <c r="P1152" s="13" t="s">
        <v>1167</v>
      </c>
      <c r="Q1152" s="13" t="s">
        <v>978</v>
      </c>
      <c r="R1152" s="12">
        <v>0</v>
      </c>
      <c r="S1152" s="12"/>
    </row>
    <row r="1153" spans="14:19" x14ac:dyDescent="0.2">
      <c r="N1153" s="5">
        <v>46143</v>
      </c>
      <c r="O1153" s="13" t="s">
        <v>1056</v>
      </c>
      <c r="P1153" s="13" t="s">
        <v>1202</v>
      </c>
      <c r="Q1153" s="13" t="s">
        <v>978</v>
      </c>
      <c r="R1153" s="12">
        <v>0</v>
      </c>
      <c r="S1153" s="12"/>
    </row>
    <row r="1154" spans="14:19" x14ac:dyDescent="0.2">
      <c r="N1154" s="5">
        <v>46143</v>
      </c>
      <c r="O1154" s="13" t="s">
        <v>1056</v>
      </c>
      <c r="P1154" s="13" t="s">
        <v>1197</v>
      </c>
      <c r="Q1154" s="13" t="s">
        <v>978</v>
      </c>
      <c r="R1154" s="12">
        <v>0</v>
      </c>
      <c r="S1154" s="12"/>
    </row>
    <row r="1155" spans="14:19" x14ac:dyDescent="0.2">
      <c r="N1155" s="5">
        <v>46143</v>
      </c>
      <c r="O1155" s="13" t="s">
        <v>1056</v>
      </c>
      <c r="P1155" s="13" t="s">
        <v>1201</v>
      </c>
      <c r="Q1155" s="13" t="s">
        <v>978</v>
      </c>
      <c r="R1155" s="12">
        <v>0</v>
      </c>
      <c r="S1155" s="12"/>
    </row>
    <row r="1156" spans="14:19" x14ac:dyDescent="0.2">
      <c r="N1156" s="5">
        <v>46143</v>
      </c>
      <c r="O1156" s="13" t="s">
        <v>1056</v>
      </c>
      <c r="P1156" s="13" t="s">
        <v>1168</v>
      </c>
      <c r="Q1156" s="13" t="s">
        <v>978</v>
      </c>
      <c r="R1156" s="12">
        <v>0</v>
      </c>
      <c r="S1156" s="12"/>
    </row>
    <row r="1157" spans="14:19" x14ac:dyDescent="0.2">
      <c r="N1157" s="5">
        <v>46143</v>
      </c>
      <c r="O1157" s="13" t="s">
        <v>1056</v>
      </c>
      <c r="P1157" s="13" t="s">
        <v>1217</v>
      </c>
      <c r="Q1157" s="13" t="s">
        <v>978</v>
      </c>
      <c r="R1157" s="12">
        <v>0</v>
      </c>
      <c r="S1157" s="12"/>
    </row>
    <row r="1158" spans="14:19" x14ac:dyDescent="0.2">
      <c r="N1158" s="5">
        <v>46143</v>
      </c>
      <c r="O1158" s="13" t="s">
        <v>1056</v>
      </c>
      <c r="P1158" s="13" t="s">
        <v>1164</v>
      </c>
      <c r="Q1158" s="13" t="s">
        <v>860</v>
      </c>
      <c r="R1158" s="12">
        <v>0</v>
      </c>
      <c r="S1158" s="12"/>
    </row>
    <row r="1159" spans="14:19" x14ac:dyDescent="0.2">
      <c r="N1159" s="5">
        <v>46143</v>
      </c>
      <c r="O1159" s="13" t="s">
        <v>1057</v>
      </c>
      <c r="P1159" s="13" t="s">
        <v>1143</v>
      </c>
      <c r="Q1159" s="13" t="s">
        <v>860</v>
      </c>
      <c r="R1159" s="12">
        <v>0</v>
      </c>
      <c r="S1159" s="12"/>
    </row>
    <row r="1160" spans="14:19" x14ac:dyDescent="0.2">
      <c r="N1160" s="5">
        <v>46143</v>
      </c>
      <c r="O1160" s="13" t="s">
        <v>1056</v>
      </c>
      <c r="P1160" s="13" t="s">
        <v>1163</v>
      </c>
      <c r="Q1160" s="13" t="s">
        <v>860</v>
      </c>
      <c r="R1160" s="12">
        <v>0</v>
      </c>
      <c r="S1160" s="12"/>
    </row>
    <row r="1161" spans="14:19" x14ac:dyDescent="0.2">
      <c r="N1161" s="5">
        <v>46143</v>
      </c>
      <c r="O1161" s="13" t="s">
        <v>1057</v>
      </c>
      <c r="P1161" s="13" t="s">
        <v>1211</v>
      </c>
      <c r="Q1161" s="13" t="s">
        <v>860</v>
      </c>
      <c r="R1161" s="12">
        <v>0</v>
      </c>
      <c r="S1161" s="12"/>
    </row>
    <row r="1162" spans="14:19" x14ac:dyDescent="0.2">
      <c r="N1162" s="5">
        <v>46143</v>
      </c>
      <c r="O1162" s="13" t="s">
        <v>1056</v>
      </c>
      <c r="P1162" s="13" t="s">
        <v>1162</v>
      </c>
      <c r="Q1162" s="13" t="s">
        <v>860</v>
      </c>
      <c r="R1162" s="12">
        <v>0</v>
      </c>
      <c r="S1162" s="12"/>
    </row>
    <row r="1163" spans="14:19" x14ac:dyDescent="0.2">
      <c r="N1163" s="5">
        <v>46143</v>
      </c>
      <c r="O1163" s="13" t="s">
        <v>1057</v>
      </c>
      <c r="P1163" s="13" t="s">
        <v>1157</v>
      </c>
      <c r="Q1163" s="13" t="s">
        <v>972</v>
      </c>
      <c r="R1163" s="12"/>
      <c r="S1163" s="12">
        <v>0</v>
      </c>
    </row>
    <row r="1164" spans="14:19" x14ac:dyDescent="0.2">
      <c r="N1164" s="5">
        <v>46143</v>
      </c>
      <c r="O1164" s="13" t="s">
        <v>1057</v>
      </c>
      <c r="P1164" s="13" t="s">
        <v>1187</v>
      </c>
      <c r="Q1164" s="13" t="s">
        <v>972</v>
      </c>
      <c r="R1164" s="12"/>
      <c r="S1164" s="12">
        <v>0</v>
      </c>
    </row>
    <row r="1165" spans="14:19" x14ac:dyDescent="0.2">
      <c r="N1165" s="5">
        <v>46143</v>
      </c>
      <c r="O1165" s="13" t="s">
        <v>1057</v>
      </c>
      <c r="P1165" s="13" t="s">
        <v>1143</v>
      </c>
      <c r="Q1165" s="13" t="s">
        <v>972</v>
      </c>
      <c r="R1165" s="12"/>
      <c r="S1165" s="12">
        <v>0</v>
      </c>
    </row>
    <row r="1166" spans="14:19" x14ac:dyDescent="0.2">
      <c r="N1166" s="5">
        <v>46143</v>
      </c>
      <c r="O1166" s="13" t="s">
        <v>1057</v>
      </c>
      <c r="P1166" s="13" t="s">
        <v>1161</v>
      </c>
      <c r="Q1166" s="13" t="s">
        <v>972</v>
      </c>
      <c r="R1166" s="12"/>
      <c r="S1166" s="12">
        <v>0</v>
      </c>
    </row>
    <row r="1167" spans="14:19" x14ac:dyDescent="0.2">
      <c r="N1167" s="5">
        <v>46143</v>
      </c>
      <c r="O1167" s="13" t="s">
        <v>1058</v>
      </c>
      <c r="P1167" s="13" t="s">
        <v>1161</v>
      </c>
      <c r="Q1167" s="13" t="s">
        <v>972</v>
      </c>
      <c r="R1167" s="12">
        <v>0</v>
      </c>
      <c r="S1167" s="12"/>
    </row>
    <row r="1168" spans="14:19" x14ac:dyDescent="0.2">
      <c r="N1168" s="5">
        <v>46143</v>
      </c>
      <c r="O1168" s="13" t="s">
        <v>1057</v>
      </c>
      <c r="P1168" s="13" t="s">
        <v>1215</v>
      </c>
      <c r="Q1168" s="13" t="s">
        <v>972</v>
      </c>
      <c r="R1168" s="12"/>
      <c r="S1168" s="12">
        <v>0</v>
      </c>
    </row>
    <row r="1169" spans="14:19" x14ac:dyDescent="0.2">
      <c r="N1169" s="5">
        <v>46143</v>
      </c>
      <c r="O1169" s="13" t="s">
        <v>1058</v>
      </c>
      <c r="P1169" s="13" t="s">
        <v>1208</v>
      </c>
      <c r="Q1169" s="13" t="s">
        <v>1036</v>
      </c>
      <c r="R1169" s="12">
        <v>0</v>
      </c>
      <c r="S1169" s="12"/>
    </row>
    <row r="1170" spans="14:19" x14ac:dyDescent="0.2">
      <c r="N1170" s="5">
        <v>46143</v>
      </c>
      <c r="O1170" s="13" t="s">
        <v>1058</v>
      </c>
      <c r="P1170" s="13" t="s">
        <v>1209</v>
      </c>
      <c r="Q1170" s="13" t="s">
        <v>1036</v>
      </c>
      <c r="R1170" s="12">
        <v>0</v>
      </c>
      <c r="S1170" s="12"/>
    </row>
    <row r="1171" spans="14:19" x14ac:dyDescent="0.2">
      <c r="N1171" s="5">
        <v>46143</v>
      </c>
      <c r="O1171" s="13" t="s">
        <v>1058</v>
      </c>
      <c r="P1171" s="13" t="s">
        <v>1139</v>
      </c>
      <c r="Q1171" s="13" t="s">
        <v>1030</v>
      </c>
      <c r="R1171" s="12">
        <v>0</v>
      </c>
      <c r="S1171" s="12"/>
    </row>
    <row r="1172" spans="14:19" x14ac:dyDescent="0.2">
      <c r="N1172" s="5">
        <v>46143</v>
      </c>
      <c r="O1172" s="13" t="s">
        <v>1058</v>
      </c>
      <c r="P1172" s="13" t="s">
        <v>1140</v>
      </c>
      <c r="Q1172" s="13" t="s">
        <v>1030</v>
      </c>
      <c r="R1172" s="12">
        <v>0</v>
      </c>
      <c r="S1172" s="12"/>
    </row>
    <row r="1173" spans="14:19" x14ac:dyDescent="0.2">
      <c r="N1173" s="5">
        <v>46143</v>
      </c>
      <c r="O1173" s="13" t="s">
        <v>1056</v>
      </c>
      <c r="P1173" s="13" t="s">
        <v>1196</v>
      </c>
      <c r="Q1173" s="13" t="s">
        <v>974</v>
      </c>
      <c r="R1173" s="12">
        <v>0</v>
      </c>
      <c r="S1173" s="12"/>
    </row>
    <row r="1174" spans="14:19" x14ac:dyDescent="0.2">
      <c r="N1174" s="5">
        <v>46143</v>
      </c>
      <c r="O1174" s="13" t="s">
        <v>1056</v>
      </c>
      <c r="P1174" s="13" t="s">
        <v>1169</v>
      </c>
      <c r="Q1174" s="13" t="s">
        <v>974</v>
      </c>
      <c r="R1174" s="12">
        <v>0</v>
      </c>
      <c r="S1174" s="12"/>
    </row>
    <row r="1175" spans="14:19" x14ac:dyDescent="0.2">
      <c r="N1175" s="5">
        <v>46143</v>
      </c>
      <c r="O1175" s="13" t="s">
        <v>1056</v>
      </c>
      <c r="P1175" s="13" t="s">
        <v>1203</v>
      </c>
      <c r="Q1175" s="13" t="s">
        <v>974</v>
      </c>
      <c r="R1175" s="12">
        <v>0</v>
      </c>
      <c r="S1175" s="12"/>
    </row>
    <row r="1176" spans="14:19" x14ac:dyDescent="0.2">
      <c r="N1176" s="5">
        <v>46143</v>
      </c>
      <c r="O1176" s="13" t="s">
        <v>1056</v>
      </c>
      <c r="P1176" s="13" t="s">
        <v>1199</v>
      </c>
      <c r="Q1176" s="13" t="s">
        <v>974</v>
      </c>
      <c r="R1176" s="12">
        <v>0</v>
      </c>
      <c r="S1176" s="12"/>
    </row>
    <row r="1177" spans="14:19" x14ac:dyDescent="0.2">
      <c r="N1177" s="5">
        <v>46143</v>
      </c>
      <c r="O1177" s="13" t="s">
        <v>1058</v>
      </c>
      <c r="P1177" s="13" t="s">
        <v>1177</v>
      </c>
      <c r="Q1177" s="13" t="s">
        <v>1032</v>
      </c>
      <c r="R1177" s="12">
        <v>0</v>
      </c>
      <c r="S1177" s="12"/>
    </row>
    <row r="1178" spans="14:19" x14ac:dyDescent="0.2">
      <c r="N1178" s="5">
        <v>46143</v>
      </c>
      <c r="O1178" s="13" t="s">
        <v>1058</v>
      </c>
      <c r="P1178" s="13" t="s">
        <v>1161</v>
      </c>
      <c r="Q1178" s="13" t="s">
        <v>1032</v>
      </c>
      <c r="R1178" s="12">
        <v>0</v>
      </c>
      <c r="S1178" s="12"/>
    </row>
    <row r="1179" spans="14:19" x14ac:dyDescent="0.2">
      <c r="N1179" s="5">
        <v>46143</v>
      </c>
      <c r="O1179" s="13" t="s">
        <v>1058</v>
      </c>
      <c r="P1179" s="13" t="s">
        <v>1161</v>
      </c>
      <c r="Q1179" s="13" t="s">
        <v>1025</v>
      </c>
      <c r="R1179" s="12">
        <v>0</v>
      </c>
      <c r="S1179" s="12"/>
    </row>
    <row r="1180" spans="14:19" x14ac:dyDescent="0.2">
      <c r="N1180" s="5">
        <v>46143</v>
      </c>
      <c r="O1180" s="13" t="s">
        <v>1058</v>
      </c>
      <c r="P1180" s="13" t="s">
        <v>1177</v>
      </c>
      <c r="Q1180" s="13" t="s">
        <v>1025</v>
      </c>
      <c r="R1180" s="12">
        <v>0</v>
      </c>
      <c r="S1180" s="12"/>
    </row>
    <row r="1181" spans="14:19" x14ac:dyDescent="0.2">
      <c r="N1181" s="5">
        <v>46143</v>
      </c>
      <c r="O1181" s="13" t="s">
        <v>1056</v>
      </c>
      <c r="P1181" s="13" t="s">
        <v>1172</v>
      </c>
      <c r="Q1181" s="13" t="s">
        <v>942</v>
      </c>
      <c r="R1181" s="12">
        <v>0</v>
      </c>
      <c r="S1181" s="12"/>
    </row>
    <row r="1182" spans="14:19" x14ac:dyDescent="0.2">
      <c r="N1182" s="5">
        <v>46143</v>
      </c>
      <c r="O1182" s="13" t="s">
        <v>1057</v>
      </c>
      <c r="P1182" s="13" t="s">
        <v>1143</v>
      </c>
      <c r="Q1182" s="13" t="s">
        <v>985</v>
      </c>
      <c r="R1182" s="12">
        <v>0</v>
      </c>
      <c r="S1182" s="12"/>
    </row>
    <row r="1183" spans="14:19" x14ac:dyDescent="0.2">
      <c r="N1183" s="5">
        <v>46143</v>
      </c>
      <c r="O1183" s="13" t="s">
        <v>1057</v>
      </c>
      <c r="P1183" s="13" t="s">
        <v>1211</v>
      </c>
      <c r="Q1183" s="13" t="s">
        <v>985</v>
      </c>
      <c r="R1183" s="12">
        <v>0</v>
      </c>
      <c r="S1183" s="12"/>
    </row>
    <row r="1184" spans="14:19" x14ac:dyDescent="0.2">
      <c r="N1184" s="5">
        <v>46143</v>
      </c>
      <c r="O1184" s="13" t="s">
        <v>1058</v>
      </c>
      <c r="P1184" s="13" t="s">
        <v>1144</v>
      </c>
      <c r="Q1184" s="13" t="s">
        <v>1028</v>
      </c>
      <c r="R1184" s="12">
        <v>0</v>
      </c>
      <c r="S1184" s="12"/>
    </row>
    <row r="1185" spans="14:19" x14ac:dyDescent="0.2">
      <c r="N1185" s="5">
        <v>46143</v>
      </c>
      <c r="O1185" s="13" t="s">
        <v>1058</v>
      </c>
      <c r="P1185" s="13" t="s">
        <v>1165</v>
      </c>
      <c r="Q1185" s="13" t="s">
        <v>1028</v>
      </c>
      <c r="R1185" s="12">
        <v>0</v>
      </c>
      <c r="S1185" s="12"/>
    </row>
    <row r="1186" spans="14:19" x14ac:dyDescent="0.2">
      <c r="N1186" s="5">
        <v>46143</v>
      </c>
      <c r="O1186" s="13" t="s">
        <v>1058</v>
      </c>
      <c r="P1186" s="13" t="s">
        <v>1181</v>
      </c>
      <c r="Q1186" s="13" t="s">
        <v>1028</v>
      </c>
      <c r="R1186" s="12">
        <v>0</v>
      </c>
      <c r="S1186" s="12"/>
    </row>
    <row r="1187" spans="14:19" x14ac:dyDescent="0.2">
      <c r="N1187" s="5">
        <v>46143</v>
      </c>
      <c r="O1187" s="13" t="s">
        <v>1058</v>
      </c>
      <c r="P1187" s="13" t="s">
        <v>1178</v>
      </c>
      <c r="Q1187" s="13" t="s">
        <v>1028</v>
      </c>
      <c r="R1187" s="12">
        <v>0</v>
      </c>
      <c r="S1187" s="12"/>
    </row>
    <row r="1188" spans="14:19" x14ac:dyDescent="0.2">
      <c r="N1188" s="5">
        <v>46143</v>
      </c>
      <c r="O1188" s="13" t="s">
        <v>1058</v>
      </c>
      <c r="P1188" s="13" t="s">
        <v>1182</v>
      </c>
      <c r="Q1188" s="13" t="s">
        <v>1028</v>
      </c>
      <c r="R1188" s="12">
        <v>0</v>
      </c>
      <c r="S1188" s="12"/>
    </row>
    <row r="1189" spans="14:19" x14ac:dyDescent="0.2">
      <c r="N1189" s="5">
        <v>46143</v>
      </c>
      <c r="O1189" s="13" t="s">
        <v>1058</v>
      </c>
      <c r="P1189" s="13" t="s">
        <v>1183</v>
      </c>
      <c r="Q1189" s="13" t="s">
        <v>1028</v>
      </c>
      <c r="R1189" s="12">
        <v>0</v>
      </c>
      <c r="S1189" s="12"/>
    </row>
    <row r="1190" spans="14:19" x14ac:dyDescent="0.2">
      <c r="N1190" s="5">
        <v>46143</v>
      </c>
      <c r="O1190" s="13" t="s">
        <v>1058</v>
      </c>
      <c r="P1190" s="13" t="s">
        <v>1166</v>
      </c>
      <c r="Q1190" s="13" t="s">
        <v>1028</v>
      </c>
      <c r="R1190" s="12">
        <v>0</v>
      </c>
      <c r="S1190" s="12"/>
    </row>
    <row r="1191" spans="14:19" x14ac:dyDescent="0.2">
      <c r="N1191" s="5">
        <v>46143</v>
      </c>
      <c r="O1191" s="13" t="s">
        <v>1058</v>
      </c>
      <c r="P1191" s="13" t="s">
        <v>1146</v>
      </c>
      <c r="Q1191" s="13" t="s">
        <v>1028</v>
      </c>
      <c r="R1191" s="12">
        <v>0</v>
      </c>
      <c r="S1191" s="12"/>
    </row>
    <row r="1192" spans="14:19" x14ac:dyDescent="0.2">
      <c r="N1192" s="5">
        <v>46143</v>
      </c>
      <c r="O1192" s="13" t="s">
        <v>1058</v>
      </c>
      <c r="P1192" s="13" t="s">
        <v>1184</v>
      </c>
      <c r="Q1192" s="13" t="s">
        <v>1028</v>
      </c>
      <c r="R1192" s="12">
        <v>0</v>
      </c>
      <c r="S1192" s="12"/>
    </row>
    <row r="1193" spans="14:19" x14ac:dyDescent="0.2">
      <c r="N1193" s="5">
        <v>46143</v>
      </c>
      <c r="O1193" s="13" t="s">
        <v>1058</v>
      </c>
      <c r="P1193" s="13" t="s">
        <v>1145</v>
      </c>
      <c r="Q1193" s="13" t="s">
        <v>1028</v>
      </c>
      <c r="R1193" s="12">
        <v>0</v>
      </c>
      <c r="S1193" s="12"/>
    </row>
    <row r="1194" spans="14:19" x14ac:dyDescent="0.2">
      <c r="N1194" s="5">
        <v>46143</v>
      </c>
      <c r="O1194" s="13" t="s">
        <v>1058</v>
      </c>
      <c r="P1194" s="13" t="s">
        <v>1180</v>
      </c>
      <c r="Q1194" s="13" t="s">
        <v>1028</v>
      </c>
      <c r="R1194" s="12">
        <v>0</v>
      </c>
      <c r="S1194" s="12"/>
    </row>
    <row r="1195" spans="14:19" x14ac:dyDescent="0.2">
      <c r="N1195" s="5">
        <v>46143</v>
      </c>
      <c r="O1195" s="13" t="s">
        <v>1058</v>
      </c>
      <c r="P1195" s="13" t="s">
        <v>1179</v>
      </c>
      <c r="Q1195" s="13" t="s">
        <v>1028</v>
      </c>
      <c r="R1195" s="12">
        <v>0</v>
      </c>
      <c r="S1195" s="12"/>
    </row>
    <row r="1196" spans="14:19" x14ac:dyDescent="0.2">
      <c r="N1196" s="5">
        <v>46143</v>
      </c>
      <c r="O1196" s="13" t="s">
        <v>1057</v>
      </c>
      <c r="P1196" s="13" t="s">
        <v>1143</v>
      </c>
      <c r="Q1196" s="13" t="s">
        <v>862</v>
      </c>
      <c r="R1196" s="12">
        <v>0</v>
      </c>
      <c r="S1196" s="12"/>
    </row>
    <row r="1197" spans="14:19" x14ac:dyDescent="0.2">
      <c r="N1197" s="5">
        <v>46143</v>
      </c>
      <c r="O1197" s="13" t="s">
        <v>1056</v>
      </c>
      <c r="P1197" s="13" t="s">
        <v>1164</v>
      </c>
      <c r="Q1197" s="13" t="s">
        <v>862</v>
      </c>
      <c r="R1197" s="12">
        <v>0</v>
      </c>
      <c r="S1197" s="12"/>
    </row>
    <row r="1198" spans="14:19" x14ac:dyDescent="0.2">
      <c r="N1198" s="5">
        <v>46143</v>
      </c>
      <c r="O1198" s="13" t="s">
        <v>1056</v>
      </c>
      <c r="P1198" s="13" t="s">
        <v>1162</v>
      </c>
      <c r="Q1198" s="13" t="s">
        <v>862</v>
      </c>
      <c r="R1198" s="12">
        <v>0</v>
      </c>
      <c r="S1198" s="12"/>
    </row>
    <row r="1199" spans="14:19" x14ac:dyDescent="0.2">
      <c r="N1199" s="5">
        <v>46143</v>
      </c>
      <c r="O1199" s="13" t="s">
        <v>1057</v>
      </c>
      <c r="P1199" s="13" t="s">
        <v>1211</v>
      </c>
      <c r="Q1199" s="13" t="s">
        <v>862</v>
      </c>
      <c r="R1199" s="12">
        <v>0</v>
      </c>
      <c r="S1199" s="12"/>
    </row>
    <row r="1200" spans="14:19" x14ac:dyDescent="0.2">
      <c r="N1200" s="5">
        <v>46143</v>
      </c>
      <c r="O1200" s="13" t="s">
        <v>1056</v>
      </c>
      <c r="P1200" s="13" t="s">
        <v>1163</v>
      </c>
      <c r="Q1200" s="13" t="s">
        <v>862</v>
      </c>
      <c r="R1200" s="12">
        <v>0</v>
      </c>
      <c r="S1200" s="12"/>
    </row>
    <row r="1201" spans="14:19" x14ac:dyDescent="0.2">
      <c r="N1201" s="5">
        <v>46143</v>
      </c>
      <c r="O1201" s="13" t="s">
        <v>1056</v>
      </c>
      <c r="P1201" s="13" t="s">
        <v>1206</v>
      </c>
      <c r="Q1201" s="13" t="s">
        <v>954</v>
      </c>
      <c r="R1201" s="12">
        <v>0</v>
      </c>
      <c r="S1201" s="12"/>
    </row>
    <row r="1202" spans="14:19" x14ac:dyDescent="0.2">
      <c r="N1202" s="5">
        <v>46143</v>
      </c>
      <c r="O1202" s="13" t="s">
        <v>1057</v>
      </c>
      <c r="P1202" s="13" t="s">
        <v>1147</v>
      </c>
      <c r="Q1202" s="13" t="s">
        <v>954</v>
      </c>
      <c r="R1202" s="12">
        <v>0</v>
      </c>
      <c r="S1202" s="12"/>
    </row>
    <row r="1203" spans="14:19" x14ac:dyDescent="0.2">
      <c r="N1203" s="5">
        <v>46143</v>
      </c>
      <c r="O1203" s="13" t="s">
        <v>1057</v>
      </c>
      <c r="P1203" s="13" t="s">
        <v>1188</v>
      </c>
      <c r="Q1203" s="13" t="s">
        <v>1014</v>
      </c>
      <c r="R1203" s="12">
        <v>0</v>
      </c>
      <c r="S1203" s="12"/>
    </row>
    <row r="1204" spans="14:19" x14ac:dyDescent="0.2">
      <c r="N1204" s="5">
        <v>46143</v>
      </c>
      <c r="O1204" s="13" t="s">
        <v>1057</v>
      </c>
      <c r="P1204" s="13" t="s">
        <v>1152</v>
      </c>
      <c r="Q1204" s="13" t="s">
        <v>1014</v>
      </c>
      <c r="R1204" s="12">
        <v>1179567</v>
      </c>
      <c r="S1204" s="12"/>
    </row>
    <row r="1205" spans="14:19" x14ac:dyDescent="0.2">
      <c r="N1205" s="5">
        <v>46143</v>
      </c>
      <c r="O1205" s="13" t="s">
        <v>1057</v>
      </c>
      <c r="P1205" s="13" t="s">
        <v>1156</v>
      </c>
      <c r="Q1205" s="13" t="s">
        <v>1014</v>
      </c>
      <c r="R1205" s="12">
        <v>61137</v>
      </c>
      <c r="S1205" s="12"/>
    </row>
    <row r="1206" spans="14:19" x14ac:dyDescent="0.2">
      <c r="N1206" s="5">
        <v>46143</v>
      </c>
      <c r="O1206" s="13" t="s">
        <v>1057</v>
      </c>
      <c r="P1206" s="13" t="s">
        <v>1189</v>
      </c>
      <c r="Q1206" s="13" t="s">
        <v>1021</v>
      </c>
      <c r="R1206" s="12"/>
      <c r="S1206" s="12">
        <v>0</v>
      </c>
    </row>
    <row r="1207" spans="14:19" x14ac:dyDescent="0.2">
      <c r="N1207" s="5">
        <v>46143</v>
      </c>
      <c r="O1207" s="13" t="s">
        <v>1057</v>
      </c>
      <c r="P1207" s="13" t="s">
        <v>1192</v>
      </c>
      <c r="Q1207" s="13" t="s">
        <v>1021</v>
      </c>
      <c r="R1207" s="12"/>
      <c r="S1207" s="12">
        <v>0</v>
      </c>
    </row>
    <row r="1208" spans="14:19" x14ac:dyDescent="0.2">
      <c r="N1208" s="5">
        <v>46143</v>
      </c>
      <c r="O1208" s="13" t="s">
        <v>1057</v>
      </c>
      <c r="P1208" s="13" t="s">
        <v>1159</v>
      </c>
      <c r="Q1208" s="13" t="s">
        <v>1021</v>
      </c>
      <c r="R1208" s="12"/>
      <c r="S1208" s="12">
        <v>0</v>
      </c>
    </row>
    <row r="1209" spans="14:19" x14ac:dyDescent="0.2">
      <c r="N1209" s="5">
        <v>46143</v>
      </c>
      <c r="O1209" s="13" t="s">
        <v>1057</v>
      </c>
      <c r="P1209" s="13" t="s">
        <v>1191</v>
      </c>
      <c r="Q1209" s="13" t="s">
        <v>1021</v>
      </c>
      <c r="R1209" s="12"/>
      <c r="S1209" s="12">
        <v>0</v>
      </c>
    </row>
    <row r="1210" spans="14:19" x14ac:dyDescent="0.2">
      <c r="N1210" s="5">
        <v>46143</v>
      </c>
      <c r="O1210" s="13" t="s">
        <v>1057</v>
      </c>
      <c r="P1210" s="13" t="s">
        <v>1160</v>
      </c>
      <c r="Q1210" s="13" t="s">
        <v>1021</v>
      </c>
      <c r="R1210" s="12"/>
      <c r="S1210" s="12">
        <v>0</v>
      </c>
    </row>
    <row r="1211" spans="14:19" x14ac:dyDescent="0.2">
      <c r="N1211" s="5">
        <v>46143</v>
      </c>
      <c r="O1211" s="13" t="s">
        <v>1057</v>
      </c>
      <c r="P1211" s="13" t="s">
        <v>1190</v>
      </c>
      <c r="Q1211" s="13" t="s">
        <v>1023</v>
      </c>
      <c r="R1211" s="12">
        <v>0</v>
      </c>
      <c r="S1211" s="12"/>
    </row>
    <row r="1212" spans="14:19" x14ac:dyDescent="0.2">
      <c r="N1212" s="5">
        <v>46143</v>
      </c>
      <c r="O1212" s="13" t="s">
        <v>1057</v>
      </c>
      <c r="P1212" s="13" t="s">
        <v>1215</v>
      </c>
      <c r="Q1212" s="13" t="s">
        <v>1023</v>
      </c>
      <c r="R1212" s="12">
        <v>0</v>
      </c>
      <c r="S1212" s="12"/>
    </row>
    <row r="1213" spans="14:19" x14ac:dyDescent="0.2">
      <c r="N1213" s="5">
        <v>46143</v>
      </c>
      <c r="O1213" s="13" t="s">
        <v>1057</v>
      </c>
      <c r="P1213" s="13" t="s">
        <v>1216</v>
      </c>
      <c r="Q1213" s="13" t="s">
        <v>1023</v>
      </c>
      <c r="R1213" s="12">
        <v>0</v>
      </c>
      <c r="S1213" s="12"/>
    </row>
    <row r="1214" spans="14:19" x14ac:dyDescent="0.2">
      <c r="N1214" s="5">
        <v>46143</v>
      </c>
      <c r="O1214" s="13" t="s">
        <v>1059</v>
      </c>
      <c r="P1214" s="13" t="s">
        <v>1185</v>
      </c>
      <c r="Q1214" s="13" t="s">
        <v>890</v>
      </c>
      <c r="R1214" s="12"/>
      <c r="S1214" s="12">
        <v>0</v>
      </c>
    </row>
    <row r="1215" spans="14:19" x14ac:dyDescent="0.2">
      <c r="N1215" s="5">
        <v>46143</v>
      </c>
      <c r="O1215" s="13" t="s">
        <v>1059</v>
      </c>
      <c r="P1215" s="13" t="s">
        <v>1186</v>
      </c>
      <c r="Q1215" s="13" t="s">
        <v>890</v>
      </c>
      <c r="R1215" s="12"/>
      <c r="S1215" s="12">
        <v>0</v>
      </c>
    </row>
    <row r="1216" spans="14:19" x14ac:dyDescent="0.2">
      <c r="N1216" s="5">
        <v>46143</v>
      </c>
      <c r="O1216" s="13" t="s">
        <v>1059</v>
      </c>
      <c r="P1216" s="13" t="s">
        <v>1187</v>
      </c>
      <c r="Q1216" s="13" t="s">
        <v>890</v>
      </c>
      <c r="R1216" s="12"/>
      <c r="S1216" s="12">
        <v>0</v>
      </c>
    </row>
    <row r="1217" spans="14:19" x14ac:dyDescent="0.2">
      <c r="N1217" s="5">
        <v>46143</v>
      </c>
      <c r="O1217" s="13" t="s">
        <v>1059</v>
      </c>
      <c r="P1217" s="13" t="s">
        <v>1141</v>
      </c>
      <c r="Q1217" s="13" t="s">
        <v>890</v>
      </c>
      <c r="R1217" s="12"/>
      <c r="S1217" s="12">
        <v>0</v>
      </c>
    </row>
    <row r="1218" spans="14:19" x14ac:dyDescent="0.2">
      <c r="N1218" s="5">
        <v>46143</v>
      </c>
      <c r="O1218" s="13" t="s">
        <v>1059</v>
      </c>
      <c r="P1218" s="13" t="s">
        <v>1142</v>
      </c>
      <c r="Q1218" s="13" t="s">
        <v>890</v>
      </c>
      <c r="R1218" s="12"/>
      <c r="S1218" s="12">
        <v>0</v>
      </c>
    </row>
    <row r="1219" spans="14:19" x14ac:dyDescent="0.2">
      <c r="N1219" s="5">
        <v>46143</v>
      </c>
      <c r="O1219" s="13" t="s">
        <v>1056</v>
      </c>
      <c r="P1219" s="13" t="s">
        <v>1162</v>
      </c>
      <c r="Q1219" s="13" t="s">
        <v>920</v>
      </c>
      <c r="R1219" s="12">
        <v>0</v>
      </c>
      <c r="S1219" s="12"/>
    </row>
    <row r="1220" spans="14:19" x14ac:dyDescent="0.2">
      <c r="N1220" s="5">
        <v>46143</v>
      </c>
      <c r="O1220" s="13" t="s">
        <v>1056</v>
      </c>
      <c r="P1220" s="13" t="s">
        <v>1163</v>
      </c>
      <c r="Q1220" s="13" t="s">
        <v>920</v>
      </c>
      <c r="R1220" s="12">
        <v>0</v>
      </c>
      <c r="S1220" s="12"/>
    </row>
    <row r="1221" spans="14:19" x14ac:dyDescent="0.2">
      <c r="N1221" s="5">
        <v>46143</v>
      </c>
      <c r="O1221" s="13" t="s">
        <v>1057</v>
      </c>
      <c r="P1221" s="13" t="s">
        <v>1143</v>
      </c>
      <c r="Q1221" s="13" t="s">
        <v>920</v>
      </c>
      <c r="R1221" s="12">
        <v>0</v>
      </c>
      <c r="S1221" s="12"/>
    </row>
    <row r="1222" spans="14:19" x14ac:dyDescent="0.2">
      <c r="N1222" s="5">
        <v>46143</v>
      </c>
      <c r="O1222" s="13" t="s">
        <v>1056</v>
      </c>
      <c r="P1222" s="13" t="s">
        <v>1164</v>
      </c>
      <c r="Q1222" s="13" t="s">
        <v>920</v>
      </c>
      <c r="R1222" s="12">
        <v>0</v>
      </c>
      <c r="S1222" s="12"/>
    </row>
    <row r="1223" spans="14:19" x14ac:dyDescent="0.2">
      <c r="N1223" s="5">
        <v>46143</v>
      </c>
      <c r="O1223" s="13" t="s">
        <v>1057</v>
      </c>
      <c r="P1223" s="13" t="s">
        <v>1211</v>
      </c>
      <c r="Q1223" s="13" t="s">
        <v>920</v>
      </c>
      <c r="R1223" s="12">
        <v>0</v>
      </c>
      <c r="S1223" s="12"/>
    </row>
    <row r="1224" spans="14:19" x14ac:dyDescent="0.2">
      <c r="N1224" s="5">
        <v>46143</v>
      </c>
      <c r="O1224" s="13" t="s">
        <v>1056</v>
      </c>
      <c r="P1224" s="13" t="s">
        <v>1223</v>
      </c>
      <c r="Q1224" s="13" t="s">
        <v>962</v>
      </c>
      <c r="R1224" s="12">
        <v>0</v>
      </c>
      <c r="S1224" s="12"/>
    </row>
    <row r="1225" spans="14:19" x14ac:dyDescent="0.2">
      <c r="N1225" s="5">
        <v>46143</v>
      </c>
      <c r="O1225" s="13" t="s">
        <v>1056</v>
      </c>
      <c r="P1225" s="13" t="s">
        <v>1176</v>
      </c>
      <c r="Q1225" s="13" t="s">
        <v>956</v>
      </c>
      <c r="R1225" s="12">
        <v>0</v>
      </c>
      <c r="S1225" s="12"/>
    </row>
    <row r="1226" spans="14:19" x14ac:dyDescent="0.2">
      <c r="N1226" s="5">
        <v>46143</v>
      </c>
      <c r="O1226" s="13" t="s">
        <v>1056</v>
      </c>
      <c r="P1226" s="13" t="s">
        <v>1175</v>
      </c>
      <c r="Q1226" s="13" t="s">
        <v>956</v>
      </c>
      <c r="R1226" s="12">
        <v>0</v>
      </c>
      <c r="S1226" s="12"/>
    </row>
    <row r="1227" spans="14:19" x14ac:dyDescent="0.2">
      <c r="N1227" s="5">
        <v>46143</v>
      </c>
      <c r="O1227" s="13" t="s">
        <v>1056</v>
      </c>
      <c r="P1227" s="13" t="s">
        <v>1141</v>
      </c>
      <c r="Q1227" s="13" t="s">
        <v>950</v>
      </c>
      <c r="R1227" s="12">
        <v>0</v>
      </c>
      <c r="S1227" s="12"/>
    </row>
    <row r="1228" spans="14:19" x14ac:dyDescent="0.2">
      <c r="N1228" s="5">
        <v>46143</v>
      </c>
      <c r="O1228" s="13" t="s">
        <v>1056</v>
      </c>
      <c r="P1228" s="13" t="s">
        <v>1205</v>
      </c>
      <c r="Q1228" s="13" t="s">
        <v>950</v>
      </c>
      <c r="R1228" s="12">
        <v>0</v>
      </c>
      <c r="S1228" s="12"/>
    </row>
    <row r="1229" spans="14:19" x14ac:dyDescent="0.2">
      <c r="N1229" s="5">
        <v>46143</v>
      </c>
      <c r="O1229" s="13" t="s">
        <v>1056</v>
      </c>
      <c r="P1229" s="13" t="s">
        <v>1222</v>
      </c>
      <c r="Q1229" s="13" t="s">
        <v>950</v>
      </c>
      <c r="R1229" s="12">
        <v>0</v>
      </c>
      <c r="S1229" s="12"/>
    </row>
    <row r="1230" spans="14:19" x14ac:dyDescent="0.2">
      <c r="N1230" s="5">
        <v>46143</v>
      </c>
      <c r="O1230" s="13" t="s">
        <v>1057</v>
      </c>
      <c r="P1230" s="13" t="s">
        <v>1155</v>
      </c>
      <c r="Q1230" s="13" t="s">
        <v>952</v>
      </c>
      <c r="R1230" s="12">
        <v>0</v>
      </c>
      <c r="S1230" s="12"/>
    </row>
    <row r="1231" spans="14:19" x14ac:dyDescent="0.2">
      <c r="N1231" s="5">
        <v>46143</v>
      </c>
      <c r="O1231" s="13" t="s">
        <v>1056</v>
      </c>
      <c r="P1231" s="13" t="s">
        <v>1523</v>
      </c>
      <c r="Q1231" s="13" t="s">
        <v>952</v>
      </c>
      <c r="R1231" s="12">
        <v>0</v>
      </c>
      <c r="S1231" s="12"/>
    </row>
    <row r="1232" spans="14:19" x14ac:dyDescent="0.2">
      <c r="N1232" s="5">
        <v>46143</v>
      </c>
      <c r="O1232" s="13" t="s">
        <v>1056</v>
      </c>
      <c r="P1232" s="13" t="s">
        <v>1174</v>
      </c>
      <c r="Q1232" s="13" t="s">
        <v>952</v>
      </c>
      <c r="R1232" s="12">
        <v>0</v>
      </c>
      <c r="S1232" s="12"/>
    </row>
    <row r="1233" spans="14:19" x14ac:dyDescent="0.2">
      <c r="N1233" s="5">
        <v>46143</v>
      </c>
      <c r="O1233" s="13" t="s">
        <v>1057</v>
      </c>
      <c r="P1233" s="13" t="s">
        <v>1151</v>
      </c>
      <c r="Q1233" s="13" t="s">
        <v>952</v>
      </c>
      <c r="R1233" s="12">
        <v>37840</v>
      </c>
      <c r="S1233" s="12"/>
    </row>
    <row r="1234" spans="14:19" x14ac:dyDescent="0.2">
      <c r="N1234" s="5">
        <v>46143</v>
      </c>
      <c r="O1234" s="13" t="s">
        <v>1056</v>
      </c>
      <c r="P1234" s="13" t="s">
        <v>1524</v>
      </c>
      <c r="Q1234" s="13" t="s">
        <v>952</v>
      </c>
      <c r="R1234" s="12">
        <v>0</v>
      </c>
      <c r="S1234" s="12"/>
    </row>
    <row r="1235" spans="14:19" x14ac:dyDescent="0.2">
      <c r="N1235" s="5">
        <v>46143</v>
      </c>
      <c r="O1235" s="13" t="s">
        <v>1056</v>
      </c>
      <c r="P1235" s="13" t="s">
        <v>1173</v>
      </c>
      <c r="Q1235" s="13" t="s">
        <v>952</v>
      </c>
      <c r="R1235" s="12">
        <v>0</v>
      </c>
      <c r="S1235" s="12"/>
    </row>
    <row r="1236" spans="14:19" x14ac:dyDescent="0.2">
      <c r="N1236" s="5">
        <v>46143</v>
      </c>
      <c r="O1236" s="13" t="s">
        <v>1056</v>
      </c>
      <c r="P1236" s="13" t="s">
        <v>1162</v>
      </c>
      <c r="Q1236" s="13" t="s">
        <v>914</v>
      </c>
      <c r="R1236" s="12">
        <v>0</v>
      </c>
      <c r="S1236" s="12"/>
    </row>
    <row r="1237" spans="14:19" x14ac:dyDescent="0.2">
      <c r="N1237" s="5">
        <v>46143</v>
      </c>
      <c r="O1237" s="13" t="s">
        <v>1057</v>
      </c>
      <c r="P1237" s="13" t="s">
        <v>1143</v>
      </c>
      <c r="Q1237" s="13" t="s">
        <v>914</v>
      </c>
      <c r="R1237" s="12">
        <v>0</v>
      </c>
      <c r="S1237" s="12"/>
    </row>
    <row r="1238" spans="14:19" x14ac:dyDescent="0.2">
      <c r="N1238" s="5">
        <v>46143</v>
      </c>
      <c r="O1238" s="13" t="s">
        <v>1057</v>
      </c>
      <c r="P1238" s="13" t="s">
        <v>1211</v>
      </c>
      <c r="Q1238" s="13" t="s">
        <v>914</v>
      </c>
      <c r="R1238" s="12">
        <v>0</v>
      </c>
      <c r="S1238" s="12"/>
    </row>
    <row r="1239" spans="14:19" x14ac:dyDescent="0.2">
      <c r="N1239" s="5">
        <v>46143</v>
      </c>
      <c r="O1239" s="13" t="s">
        <v>1056</v>
      </c>
      <c r="P1239" s="13" t="s">
        <v>1164</v>
      </c>
      <c r="Q1239" s="13" t="s">
        <v>914</v>
      </c>
      <c r="R1239" s="12">
        <v>0</v>
      </c>
      <c r="S1239" s="12"/>
    </row>
    <row r="1240" spans="14:19" x14ac:dyDescent="0.2">
      <c r="N1240" s="5">
        <v>46143</v>
      </c>
      <c r="O1240" s="13" t="s">
        <v>1056</v>
      </c>
      <c r="P1240" s="13" t="s">
        <v>1163</v>
      </c>
      <c r="Q1240" s="13" t="s">
        <v>914</v>
      </c>
      <c r="R1240" s="12">
        <v>0</v>
      </c>
      <c r="S1240" s="12"/>
    </row>
    <row r="1241" spans="14:19" x14ac:dyDescent="0.2">
      <c r="N1241" s="5">
        <v>46143</v>
      </c>
      <c r="O1241" s="13" t="s">
        <v>1057</v>
      </c>
      <c r="P1241" s="13" t="s">
        <v>1213</v>
      </c>
      <c r="Q1241" s="13" t="s">
        <v>1012</v>
      </c>
      <c r="R1241" s="12"/>
      <c r="S1241" s="12">
        <v>0</v>
      </c>
    </row>
    <row r="1242" spans="14:19" x14ac:dyDescent="0.2">
      <c r="N1242" s="5">
        <v>46143</v>
      </c>
      <c r="O1242" s="13" t="s">
        <v>1057</v>
      </c>
      <c r="P1242" s="13" t="s">
        <v>1150</v>
      </c>
      <c r="Q1242" s="13" t="s">
        <v>1012</v>
      </c>
      <c r="R1242" s="12"/>
      <c r="S1242" s="12">
        <v>0</v>
      </c>
    </row>
    <row r="1243" spans="14:19" x14ac:dyDescent="0.2">
      <c r="N1243" s="5">
        <v>46143</v>
      </c>
      <c r="O1243" s="13" t="s">
        <v>1057</v>
      </c>
      <c r="P1243" s="13" t="s">
        <v>1141</v>
      </c>
      <c r="Q1243" s="13" t="s">
        <v>1012</v>
      </c>
      <c r="R1243" s="12"/>
      <c r="S1243" s="12">
        <v>0</v>
      </c>
    </row>
    <row r="1244" spans="14:19" x14ac:dyDescent="0.2">
      <c r="N1244" s="5">
        <v>46143</v>
      </c>
      <c r="O1244" s="13" t="s">
        <v>1057</v>
      </c>
      <c r="P1244" s="13" t="s">
        <v>1153</v>
      </c>
      <c r="Q1244" s="13" t="s">
        <v>1012</v>
      </c>
      <c r="R1244" s="12"/>
      <c r="S1244" s="12">
        <v>0</v>
      </c>
    </row>
    <row r="1245" spans="14:19" x14ac:dyDescent="0.2">
      <c r="N1245" s="5">
        <v>46143</v>
      </c>
      <c r="O1245" s="13" t="s">
        <v>1057</v>
      </c>
      <c r="P1245" s="13" t="s">
        <v>1214</v>
      </c>
      <c r="Q1245" s="13" t="s">
        <v>1012</v>
      </c>
      <c r="R1245" s="12"/>
      <c r="S1245" s="12">
        <v>0</v>
      </c>
    </row>
    <row r="1246" spans="14:19" x14ac:dyDescent="0.2">
      <c r="N1246" s="5">
        <v>46143</v>
      </c>
      <c r="O1246" s="13" t="s">
        <v>1057</v>
      </c>
      <c r="P1246" s="13" t="s">
        <v>1149</v>
      </c>
      <c r="Q1246" s="13" t="s">
        <v>1012</v>
      </c>
      <c r="R1246" s="12"/>
      <c r="S1246" s="12">
        <v>0</v>
      </c>
    </row>
    <row r="1247" spans="14:19" x14ac:dyDescent="0.2">
      <c r="N1247" s="5">
        <v>46143</v>
      </c>
      <c r="O1247" s="13" t="s">
        <v>1057</v>
      </c>
      <c r="P1247" s="13" t="s">
        <v>1154</v>
      </c>
      <c r="Q1247" s="13" t="s">
        <v>1012</v>
      </c>
      <c r="R1247" s="12"/>
      <c r="S1247" s="12">
        <v>0</v>
      </c>
    </row>
    <row r="1248" spans="14:19" x14ac:dyDescent="0.2">
      <c r="N1248" s="5">
        <v>46143</v>
      </c>
      <c r="O1248" s="13" t="s">
        <v>1056</v>
      </c>
      <c r="P1248" s="13" t="s">
        <v>1163</v>
      </c>
      <c r="Q1248" s="13" t="s">
        <v>864</v>
      </c>
      <c r="R1248" s="12">
        <v>0</v>
      </c>
      <c r="S1248" s="12"/>
    </row>
    <row r="1249" spans="14:19" x14ac:dyDescent="0.2">
      <c r="N1249" s="5">
        <v>46143</v>
      </c>
      <c r="O1249" s="13" t="s">
        <v>1057</v>
      </c>
      <c r="P1249" s="13" t="s">
        <v>1143</v>
      </c>
      <c r="Q1249" s="13" t="s">
        <v>864</v>
      </c>
      <c r="R1249" s="12">
        <v>0</v>
      </c>
      <c r="S1249" s="12"/>
    </row>
    <row r="1250" spans="14:19" x14ac:dyDescent="0.2">
      <c r="N1250" s="5">
        <v>46143</v>
      </c>
      <c r="O1250" s="13" t="s">
        <v>1056</v>
      </c>
      <c r="P1250" s="13" t="s">
        <v>1162</v>
      </c>
      <c r="Q1250" s="13" t="s">
        <v>864</v>
      </c>
      <c r="R1250" s="12">
        <v>0</v>
      </c>
      <c r="S1250" s="12"/>
    </row>
    <row r="1251" spans="14:19" x14ac:dyDescent="0.2">
      <c r="N1251" s="5">
        <v>46143</v>
      </c>
      <c r="O1251" s="13" t="s">
        <v>1056</v>
      </c>
      <c r="P1251" s="13" t="s">
        <v>1164</v>
      </c>
      <c r="Q1251" s="13" t="s">
        <v>864</v>
      </c>
      <c r="R1251" s="12">
        <v>0</v>
      </c>
      <c r="S1251" s="12"/>
    </row>
    <row r="1252" spans="14:19" x14ac:dyDescent="0.2">
      <c r="N1252" s="5">
        <v>46143</v>
      </c>
      <c r="O1252" s="13" t="s">
        <v>1057</v>
      </c>
      <c r="P1252" s="13" t="s">
        <v>1211</v>
      </c>
      <c r="Q1252" s="13" t="s">
        <v>864</v>
      </c>
      <c r="R1252" s="12">
        <v>0</v>
      </c>
      <c r="S1252" s="12"/>
    </row>
    <row r="1253" spans="14:19" x14ac:dyDescent="0.2">
      <c r="N1253" s="5">
        <v>46143</v>
      </c>
      <c r="O1253" s="13" t="s">
        <v>1056</v>
      </c>
      <c r="P1253" s="13" t="s">
        <v>1200</v>
      </c>
      <c r="Q1253" s="13" t="s">
        <v>976</v>
      </c>
      <c r="R1253" s="12">
        <v>0</v>
      </c>
      <c r="S1253" s="12"/>
    </row>
    <row r="1254" spans="14:19" x14ac:dyDescent="0.2">
      <c r="N1254" s="5">
        <v>46143</v>
      </c>
      <c r="O1254" s="13" t="s">
        <v>1056</v>
      </c>
      <c r="P1254" s="13" t="s">
        <v>1171</v>
      </c>
      <c r="Q1254" s="13" t="s">
        <v>976</v>
      </c>
      <c r="R1254" s="12">
        <v>0</v>
      </c>
      <c r="S1254" s="12"/>
    </row>
    <row r="1255" spans="14:19" x14ac:dyDescent="0.2">
      <c r="N1255" s="5">
        <v>46143</v>
      </c>
      <c r="O1255" s="13" t="s">
        <v>1056</v>
      </c>
      <c r="P1255" s="13" t="s">
        <v>1195</v>
      </c>
      <c r="Q1255" s="13" t="s">
        <v>976</v>
      </c>
      <c r="R1255" s="12">
        <v>0</v>
      </c>
      <c r="S1255" s="12"/>
    </row>
    <row r="1256" spans="14:19" x14ac:dyDescent="0.2">
      <c r="N1256" s="5">
        <v>46143</v>
      </c>
      <c r="O1256" s="13" t="s">
        <v>1056</v>
      </c>
      <c r="P1256" s="13" t="s">
        <v>1218</v>
      </c>
      <c r="Q1256" s="13" t="s">
        <v>976</v>
      </c>
      <c r="R1256" s="12">
        <v>0</v>
      </c>
      <c r="S1256" s="12"/>
    </row>
    <row r="1257" spans="14:19" x14ac:dyDescent="0.2">
      <c r="N1257" s="5">
        <v>46143</v>
      </c>
      <c r="O1257" s="13" t="s">
        <v>1056</v>
      </c>
      <c r="P1257" s="13" t="s">
        <v>1170</v>
      </c>
      <c r="Q1257" s="13" t="s">
        <v>976</v>
      </c>
      <c r="R1257" s="12">
        <v>0</v>
      </c>
      <c r="S1257" s="12"/>
    </row>
  </sheetData>
  <phoneticPr fontId="49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4831-4CE0-486E-B4FD-63C9D857A81E}">
  <sheetPr codeName="Sheet7"/>
  <dimension ref="A5:CJ27"/>
  <sheetViews>
    <sheetView topLeftCell="K1" workbookViewId="0">
      <selection activeCell="B12" sqref="B12"/>
    </sheetView>
  </sheetViews>
  <sheetFormatPr defaultRowHeight="12" x14ac:dyDescent="0.2"/>
  <cols>
    <col min="1" max="1" width="9.1640625" bestFit="1" customWidth="1"/>
    <col min="2" max="2" width="11.6640625" bestFit="1" customWidth="1"/>
    <col min="3" max="3" width="10.83203125" bestFit="1" customWidth="1"/>
    <col min="4" max="4" width="27.5" bestFit="1" customWidth="1"/>
    <col min="5" max="5" width="21.6640625" bestFit="1" customWidth="1"/>
    <col min="6" max="6" width="18.83203125" bestFit="1" customWidth="1"/>
    <col min="7" max="7" width="13.33203125" bestFit="1" customWidth="1"/>
    <col min="8" max="8" width="11.83203125" bestFit="1" customWidth="1"/>
    <col min="9" max="9" width="16.6640625" bestFit="1" customWidth="1"/>
    <col min="10" max="10" width="12.1640625" bestFit="1" customWidth="1"/>
    <col min="11" max="11" width="18.1640625" bestFit="1" customWidth="1"/>
    <col min="12" max="12" width="13.33203125" bestFit="1" customWidth="1"/>
    <col min="13" max="13" width="12.1640625" bestFit="1" customWidth="1"/>
    <col min="14" max="14" width="12.83203125" bestFit="1" customWidth="1"/>
    <col min="15" max="15" width="32.1640625" bestFit="1" customWidth="1"/>
    <col min="16" max="16" width="29.5" bestFit="1" customWidth="1"/>
    <col min="17" max="17" width="20.33203125" bestFit="1" customWidth="1"/>
    <col min="18" max="18" width="13.6640625" bestFit="1" customWidth="1"/>
    <col min="19" max="19" width="22" bestFit="1" customWidth="1"/>
    <col min="20" max="20" width="16.6640625" bestFit="1" customWidth="1"/>
    <col min="21" max="21" width="20.1640625" bestFit="1" customWidth="1"/>
    <col min="22" max="22" width="20.33203125" bestFit="1" customWidth="1"/>
    <col min="23" max="23" width="14.33203125" bestFit="1" customWidth="1"/>
    <col min="24" max="24" width="21.1640625" bestFit="1" customWidth="1"/>
    <col min="25" max="25" width="17.6640625" bestFit="1" customWidth="1"/>
    <col min="26" max="26" width="20.5" bestFit="1" customWidth="1"/>
    <col min="27" max="27" width="30.5" bestFit="1" customWidth="1"/>
    <col min="28" max="28" width="29.1640625" bestFit="1" customWidth="1"/>
    <col min="29" max="29" width="22.5" bestFit="1" customWidth="1"/>
    <col min="30" max="30" width="17" bestFit="1" customWidth="1"/>
    <col min="31" max="31" width="13.5" bestFit="1" customWidth="1"/>
    <col min="32" max="32" width="16.33203125" bestFit="1" customWidth="1"/>
    <col min="33" max="33" width="26.33203125" bestFit="1" customWidth="1"/>
    <col min="34" max="34" width="25" bestFit="1" customWidth="1"/>
    <col min="35" max="35" width="18.33203125" bestFit="1" customWidth="1"/>
    <col min="36" max="36" width="21.1640625" bestFit="1" customWidth="1"/>
    <col min="37" max="37" width="17.6640625" bestFit="1" customWidth="1"/>
    <col min="38" max="38" width="20.5" bestFit="1" customWidth="1"/>
    <col min="39" max="39" width="30.5" bestFit="1" customWidth="1"/>
    <col min="40" max="40" width="29.1640625" bestFit="1" customWidth="1"/>
    <col min="41" max="41" width="22.5" bestFit="1" customWidth="1"/>
    <col min="42" max="42" width="17.5" bestFit="1" customWidth="1"/>
    <col min="43" max="43" width="14.6640625" bestFit="1" customWidth="1"/>
    <col min="44" max="44" width="27.5" bestFit="1" customWidth="1"/>
    <col min="45" max="45" width="26.1640625" bestFit="1" customWidth="1"/>
    <col min="46" max="46" width="23.1640625" bestFit="1" customWidth="1"/>
    <col min="47" max="47" width="20.5" bestFit="1" customWidth="1"/>
    <col min="48" max="48" width="33.33203125" bestFit="1" customWidth="1"/>
    <col min="49" max="49" width="31.83203125" bestFit="1" customWidth="1"/>
    <col min="50" max="50" width="21" bestFit="1" customWidth="1"/>
    <col min="51" max="51" width="18.1640625" bestFit="1" customWidth="1"/>
    <col min="52" max="52" width="31" bestFit="1" customWidth="1"/>
    <col min="53" max="53" width="29.6640625" bestFit="1" customWidth="1"/>
    <col min="54" max="54" width="31" bestFit="1" customWidth="1"/>
    <col min="55" max="55" width="28.1640625" bestFit="1" customWidth="1"/>
    <col min="56" max="56" width="41.1640625" bestFit="1" customWidth="1"/>
    <col min="57" max="57" width="39.6640625" bestFit="1" customWidth="1"/>
    <col min="58" max="58" width="17" bestFit="1" customWidth="1"/>
    <col min="59" max="59" width="14.1640625" bestFit="1" customWidth="1"/>
    <col min="60" max="60" width="27" bestFit="1" customWidth="1"/>
    <col min="61" max="61" width="25.6640625" bestFit="1" customWidth="1"/>
    <col min="62" max="62" width="19.33203125" bestFit="1" customWidth="1"/>
    <col min="63" max="63" width="42.6640625" bestFit="1" customWidth="1"/>
    <col min="64" max="64" width="26" bestFit="1" customWidth="1"/>
    <col min="65" max="65" width="16.5" bestFit="1" customWidth="1"/>
    <col min="66" max="66" width="39.6640625" bestFit="1" customWidth="1"/>
    <col min="67" max="67" width="23" bestFit="1" customWidth="1"/>
    <col min="68" max="68" width="17.1640625" bestFit="1" customWidth="1"/>
    <col min="69" max="69" width="40.33203125" bestFit="1" customWidth="1"/>
    <col min="70" max="70" width="23.6640625" bestFit="1" customWidth="1"/>
    <col min="71" max="71" width="15.1640625" bestFit="1" customWidth="1"/>
    <col min="72" max="72" width="38.5" bestFit="1" customWidth="1"/>
    <col min="73" max="73" width="21.83203125" bestFit="1" customWidth="1"/>
    <col min="74" max="74" width="16.5" bestFit="1" customWidth="1"/>
    <col min="75" max="75" width="39.6640625" bestFit="1" customWidth="1"/>
    <col min="76" max="76" width="23" bestFit="1" customWidth="1"/>
    <col min="77" max="77" width="19.5" bestFit="1" customWidth="1"/>
    <col min="78" max="78" width="42.83203125" bestFit="1" customWidth="1"/>
    <col min="79" max="79" width="26.1640625" bestFit="1" customWidth="1"/>
    <col min="80" max="80" width="16.5" bestFit="1" customWidth="1"/>
    <col min="81" max="81" width="39.6640625" bestFit="1" customWidth="1"/>
    <col min="82" max="82" width="23" bestFit="1" customWidth="1"/>
    <col min="83" max="83" width="25.33203125" bestFit="1" customWidth="1"/>
    <col min="84" max="84" width="31.83203125" bestFit="1" customWidth="1"/>
    <col min="85" max="85" width="26.5" bestFit="1" customWidth="1"/>
    <col min="86" max="86" width="25.1640625" bestFit="1" customWidth="1"/>
    <col min="87" max="87" width="24.83203125" bestFit="1" customWidth="1"/>
    <col min="88" max="88" width="30.33203125" bestFit="1" customWidth="1"/>
    <col min="90" max="90" width="11.6640625" bestFit="1" customWidth="1"/>
    <col min="91" max="92" width="10.83203125" bestFit="1" customWidth="1"/>
  </cols>
  <sheetData>
    <row r="5" spans="2:88" x14ac:dyDescent="0.2">
      <c r="B5" t="s">
        <v>1878</v>
      </c>
      <c r="C5" t="s">
        <v>61</v>
      </c>
      <c r="D5" t="s">
        <v>62</v>
      </c>
      <c r="E5" t="s">
        <v>63</v>
      </c>
      <c r="F5" t="s">
        <v>64</v>
      </c>
      <c r="G5" t="s">
        <v>43</v>
      </c>
      <c r="H5" t="s">
        <v>44</v>
      </c>
      <c r="I5" t="s">
        <v>51</v>
      </c>
      <c r="J5" t="s">
        <v>45</v>
      </c>
      <c r="K5" t="s">
        <v>52</v>
      </c>
      <c r="L5" t="s">
        <v>53</v>
      </c>
      <c r="M5" t="s">
        <v>48</v>
      </c>
      <c r="N5" t="s">
        <v>54</v>
      </c>
      <c r="O5" t="s">
        <v>47</v>
      </c>
      <c r="P5" t="s">
        <v>46</v>
      </c>
      <c r="Q5" t="s">
        <v>55</v>
      </c>
      <c r="R5" t="s">
        <v>56</v>
      </c>
      <c r="S5" t="s">
        <v>57</v>
      </c>
      <c r="T5" t="s">
        <v>58</v>
      </c>
      <c r="U5" t="s">
        <v>59</v>
      </c>
      <c r="V5" t="s">
        <v>60</v>
      </c>
      <c r="W5" t="s">
        <v>1875</v>
      </c>
      <c r="X5" t="s">
        <v>65</v>
      </c>
      <c r="Y5" t="s">
        <v>66</v>
      </c>
      <c r="Z5" t="s">
        <v>657</v>
      </c>
      <c r="AA5" t="s">
        <v>658</v>
      </c>
      <c r="AB5" t="s">
        <v>682</v>
      </c>
      <c r="AC5" t="s">
        <v>685</v>
      </c>
      <c r="AD5" t="s">
        <v>67</v>
      </c>
      <c r="AE5" t="s">
        <v>68</v>
      </c>
      <c r="AF5" t="s">
        <v>659</v>
      </c>
      <c r="AG5" t="s">
        <v>660</v>
      </c>
      <c r="AH5" t="s">
        <v>683</v>
      </c>
      <c r="AI5" t="s">
        <v>686</v>
      </c>
      <c r="AJ5" t="s">
        <v>69</v>
      </c>
      <c r="AK5" t="s">
        <v>70</v>
      </c>
      <c r="AL5" t="s">
        <v>661</v>
      </c>
      <c r="AM5" t="s">
        <v>662</v>
      </c>
      <c r="AN5" t="s">
        <v>684</v>
      </c>
      <c r="AO5" t="s">
        <v>687</v>
      </c>
      <c r="AP5" t="s">
        <v>115</v>
      </c>
      <c r="AQ5" t="s">
        <v>116</v>
      </c>
      <c r="AR5" t="s">
        <v>655</v>
      </c>
      <c r="AS5" t="s">
        <v>680</v>
      </c>
      <c r="AT5" t="s">
        <v>111</v>
      </c>
      <c r="AU5" t="s">
        <v>112</v>
      </c>
      <c r="AV5" t="s">
        <v>653</v>
      </c>
      <c r="AW5" t="s">
        <v>678</v>
      </c>
      <c r="AX5" t="s">
        <v>113</v>
      </c>
      <c r="AY5" t="s">
        <v>114</v>
      </c>
      <c r="AZ5" t="s">
        <v>654</v>
      </c>
      <c r="BA5" t="s">
        <v>679</v>
      </c>
      <c r="BB5" t="s">
        <v>117</v>
      </c>
      <c r="BC5" t="s">
        <v>118</v>
      </c>
      <c r="BD5" t="s">
        <v>656</v>
      </c>
      <c r="BE5" t="s">
        <v>681</v>
      </c>
      <c r="BF5" t="s">
        <v>1881</v>
      </c>
      <c r="BG5" t="s">
        <v>1882</v>
      </c>
      <c r="BH5" t="s">
        <v>1883</v>
      </c>
      <c r="BI5" t="s">
        <v>1884</v>
      </c>
      <c r="BJ5" t="s">
        <v>692</v>
      </c>
      <c r="BK5" t="s">
        <v>693</v>
      </c>
      <c r="BL5" t="s">
        <v>694</v>
      </c>
      <c r="BM5" t="s">
        <v>695</v>
      </c>
      <c r="BN5" t="s">
        <v>696</v>
      </c>
      <c r="BO5" t="s">
        <v>697</v>
      </c>
      <c r="BP5" t="s">
        <v>698</v>
      </c>
      <c r="BQ5" t="s">
        <v>699</v>
      </c>
      <c r="BR5" t="s">
        <v>700</v>
      </c>
      <c r="BS5" t="s">
        <v>701</v>
      </c>
      <c r="BT5" t="s">
        <v>702</v>
      </c>
      <c r="BU5" t="s">
        <v>703</v>
      </c>
      <c r="BV5" t="s">
        <v>704</v>
      </c>
      <c r="BW5" t="s">
        <v>705</v>
      </c>
      <c r="BX5" t="s">
        <v>706</v>
      </c>
      <c r="BY5" t="s">
        <v>707</v>
      </c>
      <c r="BZ5" t="s">
        <v>708</v>
      </c>
      <c r="CA5" t="s">
        <v>709</v>
      </c>
      <c r="CB5" t="s">
        <v>710</v>
      </c>
      <c r="CC5" t="s">
        <v>711</v>
      </c>
      <c r="CD5" t="s">
        <v>712</v>
      </c>
      <c r="CE5" t="s">
        <v>71</v>
      </c>
      <c r="CF5" t="s">
        <v>75</v>
      </c>
      <c r="CG5" t="s">
        <v>76</v>
      </c>
      <c r="CH5" t="s">
        <v>88</v>
      </c>
      <c r="CI5" t="s">
        <v>89</v>
      </c>
      <c r="CJ5" t="s">
        <v>90</v>
      </c>
    </row>
    <row r="6" spans="2:88" x14ac:dyDescent="0.2">
      <c r="B6" s="37">
        <v>46023</v>
      </c>
      <c r="W6" s="31"/>
    </row>
    <row r="7" spans="2:88" x14ac:dyDescent="0.2">
      <c r="B7" s="37">
        <v>46054</v>
      </c>
      <c r="W7" s="31"/>
    </row>
    <row r="8" spans="2:88" x14ac:dyDescent="0.2">
      <c r="B8" s="37">
        <v>46082</v>
      </c>
      <c r="W8" s="31"/>
    </row>
    <row r="9" spans="2:88" x14ac:dyDescent="0.2">
      <c r="B9" s="37">
        <v>46113</v>
      </c>
      <c r="W9" s="31"/>
    </row>
    <row r="11" spans="2:88" x14ac:dyDescent="0.2">
      <c r="B11" t="s">
        <v>2062</v>
      </c>
      <c r="C11" t="s">
        <v>2063</v>
      </c>
      <c r="E11" s="40" t="s">
        <v>42</v>
      </c>
      <c r="G11" s="40" t="s">
        <v>2076</v>
      </c>
    </row>
    <row r="12" spans="2:88" x14ac:dyDescent="0.2">
      <c r="B12" s="5">
        <v>46059</v>
      </c>
      <c r="C12" s="5">
        <v>46065</v>
      </c>
      <c r="E12" s="38">
        <v>46023</v>
      </c>
      <c r="G12" s="38">
        <v>46046</v>
      </c>
    </row>
    <row r="13" spans="2:88" x14ac:dyDescent="0.2">
      <c r="B13" s="5">
        <v>46066</v>
      </c>
      <c r="C13" s="5">
        <v>46072</v>
      </c>
      <c r="E13" s="39">
        <v>46054</v>
      </c>
      <c r="G13">
        <v>46053</v>
      </c>
    </row>
    <row r="14" spans="2:88" x14ac:dyDescent="0.2">
      <c r="B14" s="5">
        <v>46073</v>
      </c>
      <c r="C14" s="5">
        <v>46079</v>
      </c>
      <c r="E14" s="38">
        <v>46082</v>
      </c>
      <c r="G14">
        <v>46060</v>
      </c>
    </row>
    <row r="15" spans="2:88" x14ac:dyDescent="0.2">
      <c r="B15" s="5">
        <v>46080</v>
      </c>
      <c r="C15" s="5">
        <v>46086</v>
      </c>
      <c r="E15" s="41">
        <v>46113</v>
      </c>
      <c r="G15">
        <v>46067</v>
      </c>
    </row>
    <row r="16" spans="2:88" x14ac:dyDescent="0.2">
      <c r="B16" s="5">
        <v>46087</v>
      </c>
      <c r="C16" s="5">
        <v>46093</v>
      </c>
    </row>
    <row r="17" spans="1:3" x14ac:dyDescent="0.2">
      <c r="B17" s="5">
        <v>46094</v>
      </c>
      <c r="C17" s="5">
        <v>46100</v>
      </c>
    </row>
    <row r="18" spans="1:3" x14ac:dyDescent="0.2">
      <c r="B18" s="5">
        <v>46101</v>
      </c>
      <c r="C18" s="5">
        <v>46107</v>
      </c>
    </row>
    <row r="19" spans="1:3" x14ac:dyDescent="0.2">
      <c r="B19" s="5">
        <v>46108</v>
      </c>
      <c r="C19" s="5">
        <v>46114</v>
      </c>
    </row>
    <row r="20" spans="1:3" x14ac:dyDescent="0.2">
      <c r="B20" s="5">
        <v>46115</v>
      </c>
      <c r="C20" s="5">
        <v>46121</v>
      </c>
    </row>
    <row r="21" spans="1:3" x14ac:dyDescent="0.2">
      <c r="B21" s="5">
        <v>46122</v>
      </c>
      <c r="C21" s="5">
        <v>46128</v>
      </c>
    </row>
    <row r="22" spans="1:3" x14ac:dyDescent="0.2">
      <c r="B22" s="5">
        <v>46129</v>
      </c>
      <c r="C22" s="5">
        <v>46135</v>
      </c>
    </row>
    <row r="23" spans="1:3" x14ac:dyDescent="0.2">
      <c r="B23" s="5">
        <v>46136</v>
      </c>
      <c r="C23" s="5">
        <v>46142</v>
      </c>
    </row>
    <row r="24" spans="1:3" x14ac:dyDescent="0.2">
      <c r="A24" s="42">
        <v>46046</v>
      </c>
      <c r="B24" s="5">
        <v>46143</v>
      </c>
      <c r="C24" s="5">
        <v>46149</v>
      </c>
    </row>
    <row r="25" spans="1:3" x14ac:dyDescent="0.2">
      <c r="A25" s="43">
        <v>46053</v>
      </c>
    </row>
    <row r="26" spans="1:3" x14ac:dyDescent="0.2">
      <c r="A26" s="42">
        <v>46060</v>
      </c>
    </row>
    <row r="27" spans="1:3" x14ac:dyDescent="0.2">
      <c r="A27" s="43">
        <v>46067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6776-7CD8-48B7-A813-D24E87F5367F}">
  <sheetPr codeName="Sheet11"/>
  <dimension ref="A1:CI6"/>
  <sheetViews>
    <sheetView workbookViewId="0">
      <selection sqref="A1:CI4"/>
    </sheetView>
  </sheetViews>
  <sheetFormatPr defaultRowHeight="12" x14ac:dyDescent="0.2"/>
  <cols>
    <col min="1" max="1" width="9.1640625" bestFit="1" customWidth="1"/>
    <col min="2" max="2" width="9" bestFit="1" customWidth="1"/>
    <col min="3" max="3" width="27.5" bestFit="1" customWidth="1"/>
    <col min="4" max="4" width="21.6640625" bestFit="1" customWidth="1"/>
    <col min="5" max="5" width="18.83203125" bestFit="1" customWidth="1"/>
    <col min="6" max="6" width="13.33203125" bestFit="1" customWidth="1"/>
    <col min="7" max="7" width="11.83203125" bestFit="1" customWidth="1"/>
    <col min="8" max="8" width="16.6640625" bestFit="1" customWidth="1"/>
    <col min="9" max="9" width="12.1640625" bestFit="1" customWidth="1"/>
    <col min="10" max="10" width="18.1640625" bestFit="1" customWidth="1"/>
    <col min="11" max="11" width="13.33203125" bestFit="1" customWidth="1"/>
    <col min="12" max="12" width="12.1640625" bestFit="1" customWidth="1"/>
    <col min="13" max="13" width="12.83203125" bestFit="1" customWidth="1"/>
    <col min="14" max="14" width="32.1640625" bestFit="1" customWidth="1"/>
    <col min="15" max="15" width="29.5" bestFit="1" customWidth="1"/>
    <col min="16" max="16" width="20.33203125" bestFit="1" customWidth="1"/>
    <col min="17" max="17" width="13.6640625" bestFit="1" customWidth="1"/>
    <col min="18" max="18" width="22" bestFit="1" customWidth="1"/>
    <col min="19" max="19" width="16.6640625" bestFit="1" customWidth="1"/>
    <col min="20" max="20" width="20.1640625" bestFit="1" customWidth="1"/>
    <col min="21" max="21" width="20.33203125" bestFit="1" customWidth="1"/>
    <col min="22" max="22" width="14.33203125" bestFit="1" customWidth="1"/>
    <col min="23" max="23" width="21.1640625" bestFit="1" customWidth="1"/>
    <col min="24" max="24" width="17.6640625" bestFit="1" customWidth="1"/>
    <col min="25" max="25" width="20.5" bestFit="1" customWidth="1"/>
    <col min="26" max="26" width="30.5" bestFit="1" customWidth="1"/>
    <col min="27" max="27" width="29.1640625" bestFit="1" customWidth="1"/>
    <col min="28" max="28" width="22.5" bestFit="1" customWidth="1"/>
    <col min="29" max="29" width="17" bestFit="1" customWidth="1"/>
    <col min="30" max="30" width="13.5" bestFit="1" customWidth="1"/>
    <col min="31" max="31" width="16.33203125" bestFit="1" customWidth="1"/>
    <col min="32" max="32" width="26.33203125" bestFit="1" customWidth="1"/>
    <col min="33" max="33" width="25" bestFit="1" customWidth="1"/>
    <col min="34" max="34" width="18.33203125" bestFit="1" customWidth="1"/>
    <col min="35" max="35" width="21.1640625" bestFit="1" customWidth="1"/>
    <col min="36" max="36" width="17.6640625" bestFit="1" customWidth="1"/>
    <col min="37" max="37" width="20.5" bestFit="1" customWidth="1"/>
    <col min="38" max="38" width="30.5" bestFit="1" customWidth="1"/>
    <col min="39" max="39" width="29.1640625" bestFit="1" customWidth="1"/>
    <col min="40" max="40" width="22.5" bestFit="1" customWidth="1"/>
    <col min="41" max="41" width="17.5" bestFit="1" customWidth="1"/>
    <col min="42" max="42" width="14.6640625" bestFit="1" customWidth="1"/>
    <col min="43" max="43" width="27.5" bestFit="1" customWidth="1"/>
    <col min="44" max="44" width="26.1640625" bestFit="1" customWidth="1"/>
    <col min="45" max="45" width="23.1640625" bestFit="1" customWidth="1"/>
    <col min="46" max="46" width="20.5" bestFit="1" customWidth="1"/>
    <col min="47" max="47" width="33.33203125" bestFit="1" customWidth="1"/>
    <col min="48" max="48" width="31.83203125" bestFit="1" customWidth="1"/>
    <col min="49" max="49" width="21" bestFit="1" customWidth="1"/>
    <col min="50" max="50" width="18.1640625" bestFit="1" customWidth="1"/>
    <col min="51" max="51" width="31" bestFit="1" customWidth="1"/>
    <col min="52" max="52" width="29.6640625" bestFit="1" customWidth="1"/>
    <col min="53" max="53" width="31" bestFit="1" customWidth="1"/>
    <col min="54" max="54" width="28.1640625" bestFit="1" customWidth="1"/>
    <col min="55" max="55" width="41.1640625" bestFit="1" customWidth="1"/>
    <col min="56" max="56" width="39.6640625" bestFit="1" customWidth="1"/>
    <col min="57" max="57" width="17" bestFit="1" customWidth="1"/>
    <col min="58" max="58" width="14.1640625" bestFit="1" customWidth="1"/>
    <col min="59" max="59" width="27" bestFit="1" customWidth="1"/>
    <col min="60" max="60" width="25.6640625" bestFit="1" customWidth="1"/>
    <col min="61" max="61" width="19.33203125" bestFit="1" customWidth="1"/>
    <col min="62" max="62" width="42.6640625" bestFit="1" customWidth="1"/>
    <col min="63" max="63" width="26" bestFit="1" customWidth="1"/>
    <col min="64" max="64" width="16.5" bestFit="1" customWidth="1"/>
    <col min="65" max="65" width="39.6640625" bestFit="1" customWidth="1"/>
    <col min="66" max="66" width="23" bestFit="1" customWidth="1"/>
    <col min="67" max="67" width="17.1640625" bestFit="1" customWidth="1"/>
    <col min="68" max="68" width="40.33203125" bestFit="1" customWidth="1"/>
    <col min="69" max="69" width="23.6640625" bestFit="1" customWidth="1"/>
    <col min="70" max="70" width="15.1640625" bestFit="1" customWidth="1"/>
    <col min="71" max="71" width="38.5" bestFit="1" customWidth="1"/>
    <col min="72" max="72" width="21.83203125" bestFit="1" customWidth="1"/>
    <col min="73" max="73" width="16.5" bestFit="1" customWidth="1"/>
    <col min="74" max="74" width="39.6640625" bestFit="1" customWidth="1"/>
    <col min="75" max="75" width="23" bestFit="1" customWidth="1"/>
    <col min="76" max="76" width="19.5" bestFit="1" customWidth="1"/>
    <col min="77" max="77" width="42.83203125" bestFit="1" customWidth="1"/>
    <col min="78" max="78" width="26.1640625" bestFit="1" customWidth="1"/>
    <col min="79" max="79" width="16.5" bestFit="1" customWidth="1"/>
    <col min="80" max="80" width="39.6640625" bestFit="1" customWidth="1"/>
    <col min="81" max="81" width="23" bestFit="1" customWidth="1"/>
    <col min="82" max="82" width="25.33203125" bestFit="1" customWidth="1"/>
    <col min="83" max="83" width="31.83203125" bestFit="1" customWidth="1"/>
    <col min="84" max="84" width="26.5" bestFit="1" customWidth="1"/>
    <col min="85" max="85" width="25.1640625" bestFit="1" customWidth="1"/>
    <col min="86" max="86" width="24.83203125" bestFit="1" customWidth="1"/>
    <col min="87" max="87" width="30.33203125" bestFit="1" customWidth="1"/>
    <col min="88" max="88" width="25.1640625" bestFit="1" customWidth="1"/>
    <col min="89" max="89" width="24.83203125" bestFit="1" customWidth="1"/>
    <col min="90" max="90" width="30.33203125" customWidth="1"/>
  </cols>
  <sheetData>
    <row r="1" spans="1:87" x14ac:dyDescent="0.2">
      <c r="A1" t="s">
        <v>1878</v>
      </c>
      <c r="B1" t="s">
        <v>61</v>
      </c>
      <c r="C1" t="s">
        <v>62</v>
      </c>
      <c r="D1" t="s">
        <v>63</v>
      </c>
      <c r="E1" t="s">
        <v>64</v>
      </c>
      <c r="F1" t="s">
        <v>43</v>
      </c>
      <c r="G1" t="s">
        <v>44</v>
      </c>
      <c r="H1" t="s">
        <v>51</v>
      </c>
      <c r="I1" t="s">
        <v>45</v>
      </c>
      <c r="J1" t="s">
        <v>52</v>
      </c>
      <c r="K1" t="s">
        <v>53</v>
      </c>
      <c r="L1" t="s">
        <v>48</v>
      </c>
      <c r="M1" t="s">
        <v>54</v>
      </c>
      <c r="N1" t="s">
        <v>47</v>
      </c>
      <c r="O1" t="s">
        <v>46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1875</v>
      </c>
      <c r="W1" t="s">
        <v>65</v>
      </c>
      <c r="X1" t="s">
        <v>66</v>
      </c>
      <c r="Y1" t="s">
        <v>657</v>
      </c>
      <c r="Z1" t="s">
        <v>658</v>
      </c>
      <c r="AA1" t="s">
        <v>682</v>
      </c>
      <c r="AB1" t="s">
        <v>685</v>
      </c>
      <c r="AC1" t="s">
        <v>67</v>
      </c>
      <c r="AD1" t="s">
        <v>68</v>
      </c>
      <c r="AE1" t="s">
        <v>659</v>
      </c>
      <c r="AF1" t="s">
        <v>660</v>
      </c>
      <c r="AG1" t="s">
        <v>683</v>
      </c>
      <c r="AH1" t="s">
        <v>686</v>
      </c>
      <c r="AI1" t="s">
        <v>69</v>
      </c>
      <c r="AJ1" t="s">
        <v>70</v>
      </c>
      <c r="AK1" t="s">
        <v>661</v>
      </c>
      <c r="AL1" t="s">
        <v>662</v>
      </c>
      <c r="AM1" t="s">
        <v>684</v>
      </c>
      <c r="AN1" t="s">
        <v>687</v>
      </c>
      <c r="AO1" t="s">
        <v>115</v>
      </c>
      <c r="AP1" t="s">
        <v>116</v>
      </c>
      <c r="AQ1" t="s">
        <v>655</v>
      </c>
      <c r="AR1" t="s">
        <v>680</v>
      </c>
      <c r="AS1" t="s">
        <v>111</v>
      </c>
      <c r="AT1" t="s">
        <v>112</v>
      </c>
      <c r="AU1" t="s">
        <v>653</v>
      </c>
      <c r="AV1" t="s">
        <v>678</v>
      </c>
      <c r="AW1" t="s">
        <v>113</v>
      </c>
      <c r="AX1" t="s">
        <v>114</v>
      </c>
      <c r="AY1" t="s">
        <v>654</v>
      </c>
      <c r="AZ1" t="s">
        <v>679</v>
      </c>
      <c r="BA1" t="s">
        <v>117</v>
      </c>
      <c r="BB1" t="s">
        <v>118</v>
      </c>
      <c r="BC1" t="s">
        <v>656</v>
      </c>
      <c r="BD1" t="s">
        <v>681</v>
      </c>
      <c r="BE1" t="s">
        <v>1881</v>
      </c>
      <c r="BF1" t="s">
        <v>1882</v>
      </c>
      <c r="BG1" t="s">
        <v>1883</v>
      </c>
      <c r="BH1" t="s">
        <v>1884</v>
      </c>
      <c r="BI1" t="s">
        <v>692</v>
      </c>
      <c r="BJ1" t="s">
        <v>693</v>
      </c>
      <c r="BK1" t="s">
        <v>694</v>
      </c>
      <c r="BL1" t="s">
        <v>695</v>
      </c>
      <c r="BM1" t="s">
        <v>696</v>
      </c>
      <c r="BN1" t="s">
        <v>697</v>
      </c>
      <c r="BO1" t="s">
        <v>698</v>
      </c>
      <c r="BP1" t="s">
        <v>699</v>
      </c>
      <c r="BQ1" t="s">
        <v>700</v>
      </c>
      <c r="BR1" t="s">
        <v>701</v>
      </c>
      <c r="BS1" t="s">
        <v>702</v>
      </c>
      <c r="BT1" t="s">
        <v>703</v>
      </c>
      <c r="BU1" t="s">
        <v>704</v>
      </c>
      <c r="BV1" t="s">
        <v>705</v>
      </c>
      <c r="BW1" t="s">
        <v>706</v>
      </c>
      <c r="BX1" t="s">
        <v>707</v>
      </c>
      <c r="BY1" t="s">
        <v>708</v>
      </c>
      <c r="BZ1" t="s">
        <v>709</v>
      </c>
      <c r="CA1" t="s">
        <v>710</v>
      </c>
      <c r="CB1" t="s">
        <v>711</v>
      </c>
      <c r="CC1" t="s">
        <v>712</v>
      </c>
      <c r="CD1" t="s">
        <v>71</v>
      </c>
      <c r="CE1" t="s">
        <v>75</v>
      </c>
      <c r="CF1" t="s">
        <v>76</v>
      </c>
      <c r="CG1" t="s">
        <v>88</v>
      </c>
      <c r="CH1" t="s">
        <v>89</v>
      </c>
      <c r="CI1" t="s">
        <v>90</v>
      </c>
    </row>
    <row r="2" spans="1:87" x14ac:dyDescent="0.2">
      <c r="A2" s="5">
        <v>44682</v>
      </c>
      <c r="B2">
        <v>44</v>
      </c>
      <c r="C2">
        <v>3.1</v>
      </c>
      <c r="D2">
        <v>201072.72700000001</v>
      </c>
      <c r="E2">
        <v>-1</v>
      </c>
      <c r="F2">
        <v>8922200</v>
      </c>
      <c r="G2">
        <v>-75000</v>
      </c>
      <c r="H2">
        <v>-130000</v>
      </c>
      <c r="I2">
        <v>8717200</v>
      </c>
      <c r="J2">
        <v>315400</v>
      </c>
      <c r="K2">
        <v>0</v>
      </c>
      <c r="L2">
        <v>65250</v>
      </c>
      <c r="M2">
        <v>9097850</v>
      </c>
      <c r="N2">
        <v>7384200</v>
      </c>
      <c r="O2">
        <v>1333000</v>
      </c>
      <c r="P2">
        <v>1000263</v>
      </c>
      <c r="Q2">
        <v>332737</v>
      </c>
      <c r="R2">
        <v>0</v>
      </c>
      <c r="S2">
        <v>134</v>
      </c>
      <c r="T2">
        <v>0</v>
      </c>
      <c r="U2">
        <v>0</v>
      </c>
      <c r="V2" s="31">
        <v>46144.559395995369</v>
      </c>
      <c r="W2">
        <v>9</v>
      </c>
      <c r="X2">
        <v>11</v>
      </c>
      <c r="Y2">
        <v>2835000</v>
      </c>
      <c r="Z2">
        <v>257727.272</v>
      </c>
      <c r="AA2">
        <v>35221</v>
      </c>
      <c r="AB2">
        <v>-35221</v>
      </c>
      <c r="AC2">
        <v>33</v>
      </c>
      <c r="AD2">
        <v>33</v>
      </c>
      <c r="AE2">
        <v>5882200</v>
      </c>
      <c r="AF2">
        <v>182187.878</v>
      </c>
      <c r="AG2">
        <v>965042</v>
      </c>
      <c r="AH2">
        <v>367958</v>
      </c>
      <c r="AS2">
        <v>8717200</v>
      </c>
      <c r="AT2">
        <v>44</v>
      </c>
      <c r="AU2">
        <v>201072.72700000001</v>
      </c>
      <c r="AV2">
        <v>1000263</v>
      </c>
    </row>
    <row r="3" spans="1:87" x14ac:dyDescent="0.2">
      <c r="A3" s="5">
        <v>46054</v>
      </c>
      <c r="B3">
        <v>511</v>
      </c>
      <c r="C3">
        <v>2.9</v>
      </c>
      <c r="D3">
        <v>166604.49299999999</v>
      </c>
      <c r="E3">
        <v>-11</v>
      </c>
      <c r="F3">
        <v>93827689.849999994</v>
      </c>
      <c r="G3">
        <v>-6999214.0499999998</v>
      </c>
      <c r="H3">
        <v>-2626714.2999999998</v>
      </c>
      <c r="I3">
        <v>84201761.5</v>
      </c>
      <c r="J3">
        <v>1213000</v>
      </c>
      <c r="K3">
        <v>0</v>
      </c>
      <c r="L3">
        <v>15741074.5</v>
      </c>
      <c r="M3">
        <v>101155836</v>
      </c>
      <c r="N3">
        <v>1876975.62</v>
      </c>
      <c r="O3">
        <v>83290785.879999995</v>
      </c>
      <c r="P3">
        <v>25280212</v>
      </c>
      <c r="Q3">
        <v>58010573.880000003</v>
      </c>
      <c r="R3">
        <v>370000</v>
      </c>
      <c r="S3">
        <v>1500</v>
      </c>
      <c r="T3">
        <v>0</v>
      </c>
      <c r="U3">
        <v>370000</v>
      </c>
      <c r="V3" s="31">
        <v>46144.559395995369</v>
      </c>
      <c r="W3">
        <v>161</v>
      </c>
      <c r="X3">
        <v>278</v>
      </c>
      <c r="Y3">
        <v>48732298.390000001</v>
      </c>
      <c r="Z3">
        <v>175029.85</v>
      </c>
      <c r="AA3">
        <v>14716342</v>
      </c>
      <c r="AB3">
        <v>33631922.780000001</v>
      </c>
      <c r="AC3">
        <v>218</v>
      </c>
      <c r="AD3">
        <v>218</v>
      </c>
      <c r="AE3">
        <v>34324295.030000001</v>
      </c>
      <c r="AF3">
        <v>162070.777</v>
      </c>
      <c r="AG3">
        <v>10368265</v>
      </c>
      <c r="AH3">
        <v>23569088.02</v>
      </c>
      <c r="AI3">
        <v>1</v>
      </c>
      <c r="AJ3">
        <v>15</v>
      </c>
      <c r="AK3">
        <v>1145168.08</v>
      </c>
      <c r="AL3">
        <v>76344.538</v>
      </c>
      <c r="AM3">
        <v>195605</v>
      </c>
      <c r="AN3">
        <v>809563.08</v>
      </c>
      <c r="AO3">
        <v>1542016.83</v>
      </c>
      <c r="AP3">
        <v>12</v>
      </c>
      <c r="AQ3">
        <v>128501.402</v>
      </c>
      <c r="AR3">
        <v>280118</v>
      </c>
      <c r="AS3">
        <v>16469840.34</v>
      </c>
      <c r="AT3">
        <v>118</v>
      </c>
      <c r="AU3">
        <v>146685.65700000001</v>
      </c>
      <c r="AV3">
        <v>5333924</v>
      </c>
      <c r="AW3">
        <v>50994706.859999999</v>
      </c>
      <c r="AX3">
        <v>376</v>
      </c>
      <c r="AY3">
        <v>135874.399</v>
      </c>
      <c r="AZ3">
        <v>13432884</v>
      </c>
      <c r="BA3">
        <v>15195197.470000001</v>
      </c>
      <c r="BB3">
        <v>5</v>
      </c>
      <c r="BC3">
        <v>3039039.4939999999</v>
      </c>
      <c r="BD3">
        <v>6233286</v>
      </c>
      <c r="BI3">
        <v>1862</v>
      </c>
      <c r="BJ3">
        <v>1</v>
      </c>
      <c r="BK3">
        <v>5.3705692803437163E-4</v>
      </c>
      <c r="BL3">
        <v>2326</v>
      </c>
      <c r="BM3">
        <v>20</v>
      </c>
      <c r="BN3">
        <v>8.5984522785898538E-3</v>
      </c>
      <c r="BO3">
        <v>1034</v>
      </c>
      <c r="BP3">
        <v>27</v>
      </c>
      <c r="BQ3">
        <v>2.6112185686653772E-2</v>
      </c>
      <c r="BR3">
        <v>8</v>
      </c>
      <c r="BS3">
        <v>0</v>
      </c>
      <c r="BT3">
        <v>0</v>
      </c>
      <c r="BU3">
        <v>1634</v>
      </c>
      <c r="BV3">
        <v>64</v>
      </c>
      <c r="BW3">
        <v>3.9167686658506728E-2</v>
      </c>
      <c r="BX3">
        <v>6864</v>
      </c>
      <c r="BY3">
        <v>112</v>
      </c>
      <c r="BZ3">
        <v>1.6317016317016316E-2</v>
      </c>
      <c r="CD3">
        <v>927224.10000000021</v>
      </c>
      <c r="CE3">
        <v>46158</v>
      </c>
      <c r="CF3">
        <v>4876</v>
      </c>
      <c r="CG3">
        <v>1447452</v>
      </c>
      <c r="CH3">
        <v>3651</v>
      </c>
      <c r="CI3">
        <v>528702</v>
      </c>
    </row>
    <row r="4" spans="1:87" x14ac:dyDescent="0.2">
      <c r="A4" s="5">
        <v>46082</v>
      </c>
      <c r="B4">
        <v>613</v>
      </c>
      <c r="C4">
        <v>7.8</v>
      </c>
      <c r="D4">
        <v>193669.90400000001</v>
      </c>
      <c r="E4">
        <v>-1</v>
      </c>
      <c r="F4">
        <v>127678054.43000001</v>
      </c>
      <c r="G4">
        <v>-8865966.1500000004</v>
      </c>
      <c r="H4">
        <v>-113445.38</v>
      </c>
      <c r="I4">
        <v>118698642.90000001</v>
      </c>
      <c r="J4">
        <v>1474000</v>
      </c>
      <c r="K4">
        <v>0</v>
      </c>
      <c r="L4">
        <v>21940562.100000001</v>
      </c>
      <c r="M4">
        <v>142113205</v>
      </c>
      <c r="N4">
        <v>1673529.39</v>
      </c>
      <c r="O4">
        <v>117025113.51000001</v>
      </c>
      <c r="P4">
        <v>44306278</v>
      </c>
      <c r="Q4">
        <v>72718835.510000005</v>
      </c>
      <c r="R4">
        <v>815000</v>
      </c>
      <c r="S4">
        <v>4809</v>
      </c>
      <c r="T4">
        <v>0</v>
      </c>
      <c r="U4">
        <v>815000</v>
      </c>
      <c r="V4" s="31">
        <v>46144.559395995369</v>
      </c>
      <c r="W4">
        <v>203</v>
      </c>
      <c r="X4">
        <v>384</v>
      </c>
      <c r="Y4">
        <v>57084184.920000002</v>
      </c>
      <c r="Z4">
        <v>149006.87100000001</v>
      </c>
      <c r="AA4">
        <v>15856581</v>
      </c>
      <c r="AB4">
        <v>40283906.439999998</v>
      </c>
      <c r="AC4">
        <v>217</v>
      </c>
      <c r="AD4">
        <v>217</v>
      </c>
      <c r="AE4">
        <v>60282567.210000001</v>
      </c>
      <c r="AF4">
        <v>277277.05900000001</v>
      </c>
      <c r="AG4">
        <v>28026811</v>
      </c>
      <c r="AH4">
        <v>31525924.300000001</v>
      </c>
      <c r="AI4">
        <v>1</v>
      </c>
      <c r="AJ4">
        <v>12</v>
      </c>
      <c r="AK4">
        <v>1331890.77</v>
      </c>
      <c r="AL4">
        <v>110990.897</v>
      </c>
      <c r="AM4">
        <v>422886</v>
      </c>
      <c r="AN4">
        <v>909004.77</v>
      </c>
      <c r="AO4">
        <v>1046218.5</v>
      </c>
      <c r="AP4">
        <v>16</v>
      </c>
      <c r="AQ4">
        <v>66701.680999999997</v>
      </c>
      <c r="AR4">
        <v>222270</v>
      </c>
      <c r="AS4">
        <v>21709243.719999999</v>
      </c>
      <c r="AT4">
        <v>126</v>
      </c>
      <c r="AU4">
        <v>172295.58499999999</v>
      </c>
      <c r="AV4">
        <v>6495387</v>
      </c>
      <c r="AW4">
        <v>64662168.07</v>
      </c>
      <c r="AX4">
        <v>464</v>
      </c>
      <c r="AY4">
        <v>139358.12</v>
      </c>
      <c r="AZ4">
        <v>17906977</v>
      </c>
      <c r="BA4">
        <v>31281012.609999999</v>
      </c>
      <c r="BB4">
        <v>7</v>
      </c>
      <c r="BC4">
        <v>4468716.0870000003</v>
      </c>
      <c r="BD4">
        <v>19681644</v>
      </c>
      <c r="BI4">
        <v>9753</v>
      </c>
      <c r="BJ4">
        <v>10</v>
      </c>
      <c r="BK4">
        <v>1.0253255408592228E-3</v>
      </c>
      <c r="BL4">
        <v>2637</v>
      </c>
      <c r="BM4">
        <v>18</v>
      </c>
      <c r="BN4">
        <v>6.8259385665529011E-3</v>
      </c>
      <c r="BO4">
        <v>1124</v>
      </c>
      <c r="BP4">
        <v>25</v>
      </c>
      <c r="BQ4">
        <v>2.2241992882562279E-2</v>
      </c>
      <c r="BR4">
        <v>169</v>
      </c>
      <c r="BS4">
        <v>0</v>
      </c>
      <c r="BT4">
        <v>0</v>
      </c>
      <c r="BU4">
        <v>2705</v>
      </c>
      <c r="BV4">
        <v>59</v>
      </c>
      <c r="BW4">
        <v>2.1811460258780037E-2</v>
      </c>
      <c r="BX4">
        <v>16389</v>
      </c>
      <c r="BY4">
        <v>112</v>
      </c>
      <c r="BZ4">
        <v>6.8338519738849225E-3</v>
      </c>
      <c r="CA4">
        <v>1</v>
      </c>
      <c r="CB4">
        <v>0</v>
      </c>
      <c r="CC4">
        <v>0</v>
      </c>
      <c r="CD4">
        <v>1518469.4899999998</v>
      </c>
      <c r="CE4">
        <v>129913</v>
      </c>
      <c r="CF4">
        <v>12964</v>
      </c>
      <c r="CG4">
        <v>1611249</v>
      </c>
      <c r="CH4">
        <v>4204</v>
      </c>
      <c r="CI4">
        <v>577478</v>
      </c>
    </row>
    <row r="5" spans="1:87" x14ac:dyDescent="0.2">
      <c r="A5" s="5">
        <v>46113</v>
      </c>
      <c r="B5">
        <v>685</v>
      </c>
      <c r="C5">
        <v>2.2000000000000002</v>
      </c>
      <c r="D5">
        <v>140893.81299999999</v>
      </c>
      <c r="E5">
        <v>-21</v>
      </c>
      <c r="F5">
        <v>98986379.930000007</v>
      </c>
      <c r="G5">
        <v>-923949.48</v>
      </c>
      <c r="H5">
        <v>-1366974.78</v>
      </c>
      <c r="I5">
        <v>96695455.670000002</v>
      </c>
      <c r="J5">
        <v>1696012</v>
      </c>
      <c r="K5">
        <v>0</v>
      </c>
      <c r="L5">
        <v>17876046.329999998</v>
      </c>
      <c r="M5">
        <v>116267514</v>
      </c>
      <c r="N5">
        <v>1239388.3899999999</v>
      </c>
      <c r="O5">
        <v>95456067.280000001</v>
      </c>
      <c r="P5">
        <v>29273630</v>
      </c>
      <c r="Q5">
        <v>66182437.280000001</v>
      </c>
      <c r="R5">
        <v>270000</v>
      </c>
      <c r="S5">
        <v>1491</v>
      </c>
      <c r="T5">
        <v>0</v>
      </c>
      <c r="U5">
        <v>270000</v>
      </c>
      <c r="V5" s="31">
        <v>46144.559395995369</v>
      </c>
      <c r="W5">
        <v>254</v>
      </c>
      <c r="X5">
        <v>435</v>
      </c>
      <c r="Y5">
        <v>59792143.659999996</v>
      </c>
      <c r="Z5">
        <v>137433.88500000001</v>
      </c>
      <c r="AA5">
        <v>17612528</v>
      </c>
      <c r="AB5">
        <v>41242749.289999999</v>
      </c>
      <c r="AC5">
        <v>247</v>
      </c>
      <c r="AD5">
        <v>247</v>
      </c>
      <c r="AE5">
        <v>36743648.140000001</v>
      </c>
      <c r="AF5">
        <v>147796.894</v>
      </c>
      <c r="AG5">
        <v>11627963</v>
      </c>
      <c r="AH5">
        <v>24813163.120000001</v>
      </c>
      <c r="AI5">
        <v>1</v>
      </c>
      <c r="AJ5">
        <v>3</v>
      </c>
      <c r="AK5">
        <v>159663.87</v>
      </c>
      <c r="AL5">
        <v>74229.692999999999</v>
      </c>
      <c r="AM5">
        <v>33139</v>
      </c>
      <c r="AN5">
        <v>126524.87</v>
      </c>
      <c r="AO5">
        <v>1773109.26</v>
      </c>
      <c r="AP5">
        <v>28</v>
      </c>
      <c r="AQ5">
        <v>63325.33</v>
      </c>
      <c r="AR5">
        <v>352554</v>
      </c>
      <c r="AS5">
        <v>21923993.449999999</v>
      </c>
      <c r="AT5">
        <v>148</v>
      </c>
      <c r="AU5">
        <v>148418.98800000001</v>
      </c>
      <c r="AV5">
        <v>6721328</v>
      </c>
      <c r="AW5">
        <v>68914319.310000002</v>
      </c>
      <c r="AX5">
        <v>486</v>
      </c>
      <c r="AY5">
        <v>141314.86600000001</v>
      </c>
      <c r="AZ5">
        <v>21075871</v>
      </c>
      <c r="BA5">
        <v>294117.65000000002</v>
      </c>
      <c r="BB5">
        <v>1</v>
      </c>
      <c r="BC5">
        <v>294117.65000000002</v>
      </c>
      <c r="BD5">
        <v>250000</v>
      </c>
      <c r="BE5">
        <v>3789916</v>
      </c>
      <c r="BF5">
        <v>22</v>
      </c>
      <c r="BG5">
        <v>172727.274</v>
      </c>
      <c r="BH5">
        <v>873877</v>
      </c>
      <c r="BI5">
        <v>10454</v>
      </c>
      <c r="BJ5">
        <v>2</v>
      </c>
      <c r="BK5">
        <v>1.913143294432753E-4</v>
      </c>
      <c r="BL5">
        <v>3427</v>
      </c>
      <c r="BM5">
        <v>17</v>
      </c>
      <c r="BN5">
        <v>4.960606944849723E-3</v>
      </c>
      <c r="BO5">
        <v>1143</v>
      </c>
      <c r="BP5">
        <v>38</v>
      </c>
      <c r="BQ5">
        <v>3.3245844269466314E-2</v>
      </c>
      <c r="BR5">
        <v>231</v>
      </c>
      <c r="BS5">
        <v>0</v>
      </c>
      <c r="BT5">
        <v>0</v>
      </c>
      <c r="BU5">
        <v>3021</v>
      </c>
      <c r="BV5">
        <v>84</v>
      </c>
      <c r="BW5">
        <v>2.7805362462760674E-2</v>
      </c>
      <c r="BX5">
        <v>18276</v>
      </c>
      <c r="BY5">
        <v>141</v>
      </c>
      <c r="BZ5">
        <v>7.7150361129349971E-3</v>
      </c>
      <c r="CD5">
        <v>1395406.48</v>
      </c>
      <c r="CE5">
        <v>153001</v>
      </c>
      <c r="CF5">
        <v>14136</v>
      </c>
      <c r="CG5">
        <v>2493429</v>
      </c>
      <c r="CH5">
        <v>5362</v>
      </c>
      <c r="CI5">
        <v>611212</v>
      </c>
    </row>
    <row r="6" spans="1:87" x14ac:dyDescent="0.2">
      <c r="A6" s="5">
        <v>46143</v>
      </c>
      <c r="B6">
        <v>99</v>
      </c>
      <c r="C6">
        <v>3.5</v>
      </c>
      <c r="D6">
        <v>134633.054</v>
      </c>
      <c r="E6">
        <v>-10</v>
      </c>
      <c r="F6">
        <v>13587764.77</v>
      </c>
      <c r="G6">
        <v>-36403.35</v>
      </c>
      <c r="H6">
        <v>-218487.38</v>
      </c>
      <c r="I6">
        <v>13332874.039999999</v>
      </c>
      <c r="J6">
        <v>232000</v>
      </c>
      <c r="K6">
        <v>0</v>
      </c>
      <c r="L6">
        <v>2505125.96</v>
      </c>
      <c r="M6">
        <v>16070000</v>
      </c>
      <c r="N6">
        <v>0</v>
      </c>
      <c r="O6">
        <v>13332874.039999999</v>
      </c>
      <c r="P6">
        <v>4563570</v>
      </c>
      <c r="Q6">
        <v>8769304.0399999991</v>
      </c>
      <c r="R6">
        <v>0</v>
      </c>
      <c r="S6">
        <v>342</v>
      </c>
      <c r="T6">
        <v>0</v>
      </c>
      <c r="U6">
        <v>0</v>
      </c>
      <c r="V6" s="31">
        <v>46144.559395995369</v>
      </c>
      <c r="W6">
        <v>22</v>
      </c>
      <c r="X6">
        <v>27</v>
      </c>
      <c r="Y6">
        <v>2827731.1</v>
      </c>
      <c r="Z6">
        <v>106816.06</v>
      </c>
      <c r="AA6">
        <v>803216</v>
      </c>
      <c r="AB6">
        <v>2024515.1</v>
      </c>
      <c r="AC6">
        <v>68</v>
      </c>
      <c r="AD6">
        <v>68</v>
      </c>
      <c r="AE6">
        <v>10387495.880000001</v>
      </c>
      <c r="AF6">
        <v>151867.524</v>
      </c>
      <c r="AG6">
        <v>3738542</v>
      </c>
      <c r="AH6">
        <v>6648953.8799999999</v>
      </c>
      <c r="AI6">
        <v>1</v>
      </c>
      <c r="AJ6">
        <v>4</v>
      </c>
      <c r="AK6">
        <v>117647.06</v>
      </c>
      <c r="AL6">
        <v>29411.764999999999</v>
      </c>
      <c r="AM6">
        <v>21812</v>
      </c>
      <c r="AN6">
        <v>95835.06</v>
      </c>
      <c r="AS6">
        <v>2571428.5699999998</v>
      </c>
      <c r="AT6">
        <v>17</v>
      </c>
      <c r="AU6">
        <v>145921.89799999999</v>
      </c>
      <c r="AV6">
        <v>888733</v>
      </c>
      <c r="AW6">
        <v>4895899.17</v>
      </c>
      <c r="AX6">
        <v>20</v>
      </c>
      <c r="AY6">
        <v>244794.95800000001</v>
      </c>
      <c r="AZ6">
        <v>2346541</v>
      </c>
      <c r="BE6">
        <v>5865546.2999999998</v>
      </c>
      <c r="BF6">
        <v>62</v>
      </c>
      <c r="BG6">
        <v>96001.626999999993</v>
      </c>
      <c r="BH6">
        <v>1328296</v>
      </c>
      <c r="BI6">
        <v>110</v>
      </c>
      <c r="BJ6">
        <v>0</v>
      </c>
      <c r="BK6">
        <v>0</v>
      </c>
      <c r="BL6">
        <v>316</v>
      </c>
      <c r="BM6">
        <v>5</v>
      </c>
      <c r="BN6">
        <v>1.5822784810126583E-2</v>
      </c>
      <c r="BO6">
        <v>49</v>
      </c>
      <c r="BP6">
        <v>2</v>
      </c>
      <c r="BQ6">
        <v>4.0816326530612242E-2</v>
      </c>
      <c r="BR6">
        <v>1</v>
      </c>
      <c r="BS6">
        <v>0</v>
      </c>
      <c r="BT6">
        <v>0</v>
      </c>
      <c r="BU6">
        <v>144</v>
      </c>
      <c r="BV6">
        <v>5</v>
      </c>
      <c r="BW6">
        <v>3.4722222222222224E-2</v>
      </c>
      <c r="BX6">
        <v>620</v>
      </c>
      <c r="BY6">
        <v>12</v>
      </c>
      <c r="BZ6">
        <v>1.935483870967742E-2</v>
      </c>
      <c r="CD6">
        <v>21305.96</v>
      </c>
      <c r="CE6">
        <v>1355</v>
      </c>
      <c r="CF6">
        <v>135</v>
      </c>
      <c r="CG6">
        <v>166574</v>
      </c>
      <c r="CH6">
        <v>427</v>
      </c>
      <c r="CI6">
        <v>29978</v>
      </c>
    </row>
  </sheetData>
  <phoneticPr fontId="49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D2E5-971B-4602-A748-FA8F4336C1C8}">
  <sheetPr codeName="Sheet12"/>
  <dimension ref="A1:V6"/>
  <sheetViews>
    <sheetView workbookViewId="0">
      <selection activeCell="B3" sqref="B2:U8"/>
    </sheetView>
  </sheetViews>
  <sheetFormatPr defaultRowHeight="12" x14ac:dyDescent="0.2"/>
  <cols>
    <col min="1" max="1" width="9.83203125" bestFit="1" customWidth="1"/>
    <col min="2" max="2" width="9" bestFit="1" customWidth="1"/>
    <col min="3" max="3" width="27.5" bestFit="1" customWidth="1"/>
    <col min="4" max="4" width="21.6640625" bestFit="1" customWidth="1"/>
    <col min="5" max="5" width="18.83203125" bestFit="1" customWidth="1"/>
    <col min="6" max="6" width="13.33203125" bestFit="1" customWidth="1"/>
    <col min="7" max="7" width="11.5" bestFit="1" customWidth="1"/>
    <col min="8" max="8" width="16.6640625" bestFit="1" customWidth="1"/>
    <col min="9" max="9" width="12.5" bestFit="1" customWidth="1"/>
    <col min="10" max="10" width="18.1640625" bestFit="1" customWidth="1"/>
    <col min="11" max="11" width="13.33203125" bestFit="1" customWidth="1"/>
    <col min="12" max="12" width="11.5" bestFit="1" customWidth="1"/>
    <col min="13" max="13" width="12.83203125" bestFit="1" customWidth="1"/>
    <col min="14" max="14" width="32.1640625" bestFit="1" customWidth="1"/>
    <col min="15" max="15" width="29.5" bestFit="1" customWidth="1"/>
    <col min="16" max="16" width="20.33203125" bestFit="1" customWidth="1"/>
    <col min="17" max="17" width="13.6640625" bestFit="1" customWidth="1"/>
    <col min="18" max="18" width="22" bestFit="1" customWidth="1"/>
    <col min="19" max="19" width="16.6640625" bestFit="1" customWidth="1"/>
    <col min="20" max="20" width="20.1640625" bestFit="1" customWidth="1"/>
    <col min="21" max="21" width="20.33203125" bestFit="1" customWidth="1"/>
    <col min="22" max="22" width="14.33203125" bestFit="1" customWidth="1"/>
  </cols>
  <sheetData>
    <row r="1" spans="1:22" x14ac:dyDescent="0.2">
      <c r="A1" t="s">
        <v>1878</v>
      </c>
      <c r="B1" t="s">
        <v>61</v>
      </c>
      <c r="C1" t="s">
        <v>62</v>
      </c>
      <c r="D1" t="s">
        <v>63</v>
      </c>
      <c r="E1" t="s">
        <v>64</v>
      </c>
      <c r="F1" t="s">
        <v>43</v>
      </c>
      <c r="G1" t="s">
        <v>44</v>
      </c>
      <c r="H1" t="s">
        <v>51</v>
      </c>
      <c r="I1" t="s">
        <v>45</v>
      </c>
      <c r="J1" t="s">
        <v>52</v>
      </c>
      <c r="K1" t="s">
        <v>53</v>
      </c>
      <c r="L1" t="s">
        <v>48</v>
      </c>
      <c r="M1" t="s">
        <v>54</v>
      </c>
      <c r="N1" t="s">
        <v>47</v>
      </c>
      <c r="O1" t="s">
        <v>46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1875</v>
      </c>
    </row>
    <row r="2" spans="1:22" x14ac:dyDescent="0.2">
      <c r="A2" s="5">
        <v>45962</v>
      </c>
      <c r="B2" s="12">
        <v>773</v>
      </c>
      <c r="C2" s="12">
        <v>3.3</v>
      </c>
      <c r="D2" s="12">
        <v>208520.52100000001</v>
      </c>
      <c r="E2" s="12">
        <v>-49</v>
      </c>
      <c r="F2" s="12">
        <v>172439681.34999999</v>
      </c>
      <c r="G2" s="12">
        <v>-8212897.8700000001</v>
      </c>
      <c r="H2" s="12">
        <v>-1678747.78</v>
      </c>
      <c r="I2" s="12">
        <v>162548035.69999999</v>
      </c>
      <c r="J2" s="12">
        <v>2287501</v>
      </c>
      <c r="K2" s="12">
        <v>0</v>
      </c>
      <c r="L2" s="12">
        <v>30264916.350000001</v>
      </c>
      <c r="M2" s="12">
        <v>195100453.05000001</v>
      </c>
      <c r="N2" s="12">
        <v>4673456.97</v>
      </c>
      <c r="O2" s="12">
        <v>157874578.72999999</v>
      </c>
      <c r="P2" s="12">
        <v>49171546</v>
      </c>
      <c r="Q2" s="12">
        <v>108703032.73</v>
      </c>
      <c r="R2" s="12">
        <v>1800000</v>
      </c>
      <c r="S2" s="12">
        <v>2556</v>
      </c>
      <c r="T2" s="12">
        <v>0</v>
      </c>
      <c r="U2" s="12">
        <v>1800000</v>
      </c>
      <c r="V2" s="31">
        <v>46147.398052488425</v>
      </c>
    </row>
    <row r="3" spans="1:22" x14ac:dyDescent="0.2">
      <c r="A3" s="5">
        <v>45992</v>
      </c>
      <c r="B3" s="12">
        <v>1576</v>
      </c>
      <c r="C3" s="12">
        <v>3.3</v>
      </c>
      <c r="D3" s="12">
        <v>187582.26699999999</v>
      </c>
      <c r="E3" s="12">
        <v>-94</v>
      </c>
      <c r="F3" s="12">
        <v>304878039.5</v>
      </c>
      <c r="G3" s="12">
        <v>-6411041.6900000004</v>
      </c>
      <c r="H3" s="12">
        <v>-3950125.97</v>
      </c>
      <c r="I3" s="12">
        <v>294516871.83999997</v>
      </c>
      <c r="J3" s="12">
        <v>3336502</v>
      </c>
      <c r="K3" s="12">
        <v>0</v>
      </c>
      <c r="L3" s="12">
        <v>54562844.159999996</v>
      </c>
      <c r="M3" s="12">
        <v>352416218</v>
      </c>
      <c r="N3" s="12">
        <v>12751979.34</v>
      </c>
      <c r="O3" s="12">
        <v>281764892.5</v>
      </c>
      <c r="P3" s="12">
        <v>87801197</v>
      </c>
      <c r="Q3" s="12">
        <v>193963695.5</v>
      </c>
      <c r="R3" s="12">
        <v>1100000</v>
      </c>
      <c r="S3" s="12">
        <v>5103</v>
      </c>
      <c r="T3" s="12">
        <v>0</v>
      </c>
      <c r="U3" s="12">
        <v>1100000</v>
      </c>
      <c r="V3" s="31">
        <v>46147.398052488425</v>
      </c>
    </row>
    <row r="4" spans="1:22" x14ac:dyDescent="0.2">
      <c r="A4" s="5">
        <v>46082</v>
      </c>
      <c r="B4" s="12">
        <v>613</v>
      </c>
      <c r="C4" s="12">
        <v>7.8</v>
      </c>
      <c r="D4" s="12">
        <v>193669.90400000001</v>
      </c>
      <c r="E4" s="12">
        <v>-1</v>
      </c>
      <c r="F4" s="12">
        <v>127678054.43000001</v>
      </c>
      <c r="G4" s="12">
        <v>-8865966.1500000004</v>
      </c>
      <c r="H4" s="12">
        <v>-113445.38</v>
      </c>
      <c r="I4" s="12">
        <v>118698642.90000001</v>
      </c>
      <c r="J4" s="12">
        <v>1474000</v>
      </c>
      <c r="K4" s="12">
        <v>0</v>
      </c>
      <c r="L4" s="12">
        <v>21940562.100000001</v>
      </c>
      <c r="M4" s="12">
        <v>142113205</v>
      </c>
      <c r="N4" s="12">
        <v>1673529.39</v>
      </c>
      <c r="O4" s="12">
        <v>117025113.51000001</v>
      </c>
      <c r="P4" s="12">
        <v>44306278</v>
      </c>
      <c r="Q4" s="12">
        <v>72718835.510000005</v>
      </c>
      <c r="R4" s="12">
        <v>815000</v>
      </c>
      <c r="S4" s="12">
        <v>4809</v>
      </c>
      <c r="T4" s="12">
        <v>0</v>
      </c>
      <c r="U4" s="12">
        <v>815000</v>
      </c>
      <c r="V4" s="31">
        <v>46147.398052488425</v>
      </c>
    </row>
    <row r="5" spans="1:22" x14ac:dyDescent="0.2">
      <c r="A5" s="5">
        <v>46113</v>
      </c>
      <c r="B5" s="12">
        <v>685</v>
      </c>
      <c r="C5" s="12">
        <v>2.2000000000000002</v>
      </c>
      <c r="D5" s="12">
        <v>140893.81299999999</v>
      </c>
      <c r="E5" s="12">
        <v>-21</v>
      </c>
      <c r="F5" s="12">
        <v>98986379.930000007</v>
      </c>
      <c r="G5" s="12">
        <v>-923949.48</v>
      </c>
      <c r="H5" s="12">
        <v>-1366974.78</v>
      </c>
      <c r="I5" s="12">
        <v>96695455.670000002</v>
      </c>
      <c r="J5" s="12">
        <v>1696012</v>
      </c>
      <c r="K5" s="12">
        <v>0</v>
      </c>
      <c r="L5" s="12">
        <v>17876046.329999998</v>
      </c>
      <c r="M5" s="12">
        <v>116267514</v>
      </c>
      <c r="N5" s="12">
        <v>1239388.3899999999</v>
      </c>
      <c r="O5" s="12">
        <v>95456067.280000001</v>
      </c>
      <c r="P5" s="12">
        <v>29273630</v>
      </c>
      <c r="Q5" s="12">
        <v>66182437.280000001</v>
      </c>
      <c r="R5" s="12">
        <v>270000</v>
      </c>
      <c r="S5" s="12">
        <v>1491</v>
      </c>
      <c r="T5" s="12">
        <v>0</v>
      </c>
      <c r="U5" s="12">
        <v>270000</v>
      </c>
      <c r="V5" s="31">
        <v>46147.398052488425</v>
      </c>
    </row>
    <row r="6" spans="1:22" x14ac:dyDescent="0.2">
      <c r="A6" s="5">
        <v>46143</v>
      </c>
      <c r="B6" s="12">
        <v>258</v>
      </c>
      <c r="C6" s="12">
        <v>2.6</v>
      </c>
      <c r="D6" s="12">
        <v>124068.236</v>
      </c>
      <c r="E6" s="12">
        <v>-21</v>
      </c>
      <c r="F6" s="12">
        <v>32381302.530000001</v>
      </c>
      <c r="G6" s="12">
        <v>-149008.37</v>
      </c>
      <c r="H6" s="12">
        <v>-329411.71000000002</v>
      </c>
      <c r="I6" s="12">
        <v>31902882.449999999</v>
      </c>
      <c r="J6" s="12">
        <v>568000</v>
      </c>
      <c r="K6" s="12">
        <v>0</v>
      </c>
      <c r="L6" s="12">
        <v>6024117.5499999998</v>
      </c>
      <c r="M6" s="12">
        <v>38495000</v>
      </c>
      <c r="N6" s="12">
        <v>268907.57</v>
      </c>
      <c r="O6" s="12">
        <v>31633974.879999999</v>
      </c>
      <c r="P6" s="12">
        <v>9674074</v>
      </c>
      <c r="Q6" s="12">
        <v>21959900.879999999</v>
      </c>
      <c r="R6" s="12">
        <v>0</v>
      </c>
      <c r="S6" s="12">
        <v>655</v>
      </c>
      <c r="T6" s="12">
        <v>0</v>
      </c>
      <c r="U6" s="12">
        <v>0</v>
      </c>
      <c r="V6" s="31">
        <v>46147.398052488425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3218-E7F7-404E-A43B-78706E3C2E48}">
  <sheetPr codeName="Sheet9"/>
  <dimension ref="B5:CI369"/>
  <sheetViews>
    <sheetView workbookViewId="0">
      <selection activeCell="K17" sqref="K17"/>
    </sheetView>
  </sheetViews>
  <sheetFormatPr defaultRowHeight="12" x14ac:dyDescent="0.2"/>
  <cols>
    <col min="2" max="2" width="10.83203125" bestFit="1" customWidth="1"/>
    <col min="3" max="3" width="9" bestFit="1" customWidth="1"/>
    <col min="4" max="4" width="27.5" bestFit="1" customWidth="1"/>
    <col min="5" max="5" width="21.6640625" bestFit="1" customWidth="1"/>
    <col min="6" max="6" width="18.83203125" bestFit="1" customWidth="1"/>
    <col min="7" max="7" width="13.33203125" bestFit="1" customWidth="1"/>
    <col min="8" max="8" width="11.5" bestFit="1" customWidth="1"/>
    <col min="9" max="9" width="16.6640625" bestFit="1" customWidth="1"/>
    <col min="10" max="10" width="11.6640625" bestFit="1" customWidth="1"/>
    <col min="11" max="11" width="18.1640625" bestFit="1" customWidth="1"/>
    <col min="12" max="12" width="13.33203125" bestFit="1" customWidth="1"/>
    <col min="13" max="13" width="10.5" bestFit="1" customWidth="1"/>
    <col min="14" max="14" width="12.83203125" bestFit="1" customWidth="1"/>
    <col min="15" max="15" width="32.1640625" bestFit="1" customWidth="1"/>
    <col min="16" max="16" width="29.5" bestFit="1" customWidth="1"/>
    <col min="17" max="17" width="20.33203125" bestFit="1" customWidth="1"/>
    <col min="18" max="18" width="13.6640625" bestFit="1" customWidth="1"/>
    <col min="19" max="19" width="22" bestFit="1" customWidth="1"/>
    <col min="20" max="20" width="16.6640625" bestFit="1" customWidth="1"/>
    <col min="21" max="21" width="20.1640625" bestFit="1" customWidth="1"/>
    <col min="22" max="22" width="20.33203125" bestFit="1" customWidth="1"/>
    <col min="23" max="23" width="14.33203125" bestFit="1" customWidth="1"/>
    <col min="24" max="24" width="21.1640625" bestFit="1" customWidth="1"/>
    <col min="25" max="25" width="17.6640625" bestFit="1" customWidth="1"/>
    <col min="26" max="26" width="20.5" bestFit="1" customWidth="1"/>
    <col min="27" max="27" width="30.5" bestFit="1" customWidth="1"/>
    <col min="28" max="28" width="29.1640625" bestFit="1" customWidth="1"/>
    <col min="29" max="29" width="22.5" bestFit="1" customWidth="1"/>
    <col min="30" max="30" width="17" bestFit="1" customWidth="1"/>
    <col min="31" max="31" width="13.5" bestFit="1" customWidth="1"/>
    <col min="32" max="32" width="16.33203125" bestFit="1" customWidth="1"/>
    <col min="33" max="33" width="26.33203125" bestFit="1" customWidth="1"/>
    <col min="34" max="34" width="25" bestFit="1" customWidth="1"/>
    <col min="35" max="35" width="18.33203125" bestFit="1" customWidth="1"/>
    <col min="36" max="36" width="21.1640625" bestFit="1" customWidth="1"/>
    <col min="37" max="37" width="17.6640625" bestFit="1" customWidth="1"/>
    <col min="38" max="38" width="20.5" bestFit="1" customWidth="1"/>
    <col min="39" max="39" width="30.5" bestFit="1" customWidth="1"/>
    <col min="40" max="40" width="29.1640625" bestFit="1" customWidth="1"/>
    <col min="41" max="41" width="22.5" bestFit="1" customWidth="1"/>
    <col min="42" max="42" width="23.1640625" bestFit="1" customWidth="1"/>
    <col min="43" max="43" width="20.5" bestFit="1" customWidth="1"/>
    <col min="44" max="44" width="33.33203125" bestFit="1" customWidth="1"/>
    <col min="45" max="45" width="31.83203125" bestFit="1" customWidth="1"/>
    <col min="46" max="46" width="21" bestFit="1" customWidth="1"/>
    <col min="47" max="47" width="18.1640625" bestFit="1" customWidth="1"/>
    <col min="48" max="48" width="31" bestFit="1" customWidth="1"/>
    <col min="49" max="49" width="29.6640625" bestFit="1" customWidth="1"/>
    <col min="50" max="50" width="17.5" bestFit="1" customWidth="1"/>
    <col min="51" max="51" width="14.6640625" bestFit="1" customWidth="1"/>
    <col min="52" max="52" width="27.5" bestFit="1" customWidth="1"/>
    <col min="53" max="53" width="26.1640625" bestFit="1" customWidth="1"/>
    <col min="54" max="54" width="31" bestFit="1" customWidth="1"/>
    <col min="55" max="55" width="28.1640625" bestFit="1" customWidth="1"/>
    <col min="56" max="56" width="41.1640625" bestFit="1" customWidth="1"/>
    <col min="57" max="57" width="39.6640625" bestFit="1" customWidth="1"/>
    <col min="58" max="58" width="19.33203125" bestFit="1" customWidth="1"/>
    <col min="59" max="59" width="42.6640625" bestFit="1" customWidth="1"/>
    <col min="60" max="60" width="26" bestFit="1" customWidth="1"/>
    <col min="61" max="61" width="16.5" bestFit="1" customWidth="1"/>
    <col min="62" max="62" width="39.6640625" bestFit="1" customWidth="1"/>
    <col min="63" max="63" width="23" bestFit="1" customWidth="1"/>
    <col min="64" max="64" width="17.1640625" bestFit="1" customWidth="1"/>
    <col min="65" max="65" width="40.33203125" bestFit="1" customWidth="1"/>
    <col min="66" max="66" width="23.6640625" bestFit="1" customWidth="1"/>
    <col min="67" max="67" width="15.1640625" bestFit="1" customWidth="1"/>
    <col min="68" max="68" width="38.5" bestFit="1" customWidth="1"/>
    <col min="69" max="69" width="21.83203125" bestFit="1" customWidth="1"/>
    <col min="70" max="70" width="16.5" bestFit="1" customWidth="1"/>
    <col min="71" max="71" width="39.6640625" bestFit="1" customWidth="1"/>
    <col min="72" max="72" width="23" bestFit="1" customWidth="1"/>
    <col min="73" max="73" width="19.5" bestFit="1" customWidth="1"/>
    <col min="74" max="74" width="42.83203125" bestFit="1" customWidth="1"/>
    <col min="75" max="75" width="26.1640625" bestFit="1" customWidth="1"/>
    <col min="76" max="76" width="16.5" bestFit="1" customWidth="1"/>
    <col min="77" max="77" width="39.6640625" bestFit="1" customWidth="1"/>
    <col min="78" max="78" width="23" bestFit="1" customWidth="1"/>
    <col min="79" max="79" width="25.33203125" bestFit="1" customWidth="1"/>
    <col min="80" max="80" width="29" bestFit="1" customWidth="1"/>
    <col min="81" max="81" width="24" bestFit="1" customWidth="1"/>
    <col min="82" max="82" width="37.6640625" bestFit="1" customWidth="1"/>
    <col min="83" max="83" width="31.83203125" bestFit="1" customWidth="1"/>
    <col min="84" max="84" width="26.5" bestFit="1" customWidth="1"/>
    <col min="85" max="85" width="25.1640625" bestFit="1" customWidth="1"/>
    <col min="86" max="86" width="24.83203125" bestFit="1" customWidth="1"/>
    <col min="87" max="87" width="30.33203125" bestFit="1" customWidth="1"/>
  </cols>
  <sheetData>
    <row r="5" spans="2:87" x14ac:dyDescent="0.2">
      <c r="B5" t="s">
        <v>42</v>
      </c>
      <c r="C5" t="s">
        <v>61</v>
      </c>
      <c r="D5" t="s">
        <v>62</v>
      </c>
      <c r="E5" t="s">
        <v>63</v>
      </c>
      <c r="F5" t="s">
        <v>64</v>
      </c>
      <c r="G5" t="s">
        <v>43</v>
      </c>
      <c r="H5" t="s">
        <v>44</v>
      </c>
      <c r="I5" t="s">
        <v>51</v>
      </c>
      <c r="J5" t="s">
        <v>45</v>
      </c>
      <c r="K5" t="s">
        <v>52</v>
      </c>
      <c r="L5" t="s">
        <v>53</v>
      </c>
      <c r="M5" t="s">
        <v>48</v>
      </c>
      <c r="N5" t="s">
        <v>54</v>
      </c>
      <c r="O5" t="s">
        <v>47</v>
      </c>
      <c r="P5" t="s">
        <v>46</v>
      </c>
      <c r="Q5" t="s">
        <v>55</v>
      </c>
      <c r="R5" t="s">
        <v>56</v>
      </c>
      <c r="S5" t="s">
        <v>57</v>
      </c>
      <c r="T5" t="s">
        <v>58</v>
      </c>
      <c r="U5" t="s">
        <v>59</v>
      </c>
      <c r="V5" t="s">
        <v>60</v>
      </c>
      <c r="W5" t="s">
        <v>1875</v>
      </c>
      <c r="X5" t="s">
        <v>65</v>
      </c>
      <c r="Y5" t="s">
        <v>66</v>
      </c>
      <c r="Z5" t="s">
        <v>657</v>
      </c>
      <c r="AA5" t="s">
        <v>658</v>
      </c>
      <c r="AB5" t="s">
        <v>682</v>
      </c>
      <c r="AC5" t="s">
        <v>685</v>
      </c>
      <c r="AD5" t="s">
        <v>67</v>
      </c>
      <c r="AE5" t="s">
        <v>68</v>
      </c>
      <c r="AF5" t="s">
        <v>659</v>
      </c>
      <c r="AG5" t="s">
        <v>660</v>
      </c>
      <c r="AH5" t="s">
        <v>683</v>
      </c>
      <c r="AI5" t="s">
        <v>686</v>
      </c>
      <c r="AJ5" t="s">
        <v>69</v>
      </c>
      <c r="AK5" t="s">
        <v>70</v>
      </c>
      <c r="AL5" t="s">
        <v>661</v>
      </c>
      <c r="AM5" t="s">
        <v>662</v>
      </c>
      <c r="AN5" t="s">
        <v>684</v>
      </c>
      <c r="AO5" t="s">
        <v>687</v>
      </c>
      <c r="AP5" t="s">
        <v>111</v>
      </c>
      <c r="AQ5" t="s">
        <v>112</v>
      </c>
      <c r="AR5" t="s">
        <v>653</v>
      </c>
      <c r="AS5" t="s">
        <v>678</v>
      </c>
      <c r="AT5" t="s">
        <v>113</v>
      </c>
      <c r="AU5" t="s">
        <v>114</v>
      </c>
      <c r="AV5" t="s">
        <v>654</v>
      </c>
      <c r="AW5" t="s">
        <v>679</v>
      </c>
      <c r="AX5" t="s">
        <v>115</v>
      </c>
      <c r="AY5" t="s">
        <v>116</v>
      </c>
      <c r="AZ5" t="s">
        <v>655</v>
      </c>
      <c r="BA5" t="s">
        <v>680</v>
      </c>
      <c r="BB5" t="s">
        <v>117</v>
      </c>
      <c r="BC5" t="s">
        <v>118</v>
      </c>
      <c r="BD5" t="s">
        <v>656</v>
      </c>
      <c r="BE5" t="s">
        <v>681</v>
      </c>
      <c r="BF5" t="s">
        <v>692</v>
      </c>
      <c r="BG5" t="s">
        <v>693</v>
      </c>
      <c r="BH5" t="s">
        <v>694</v>
      </c>
      <c r="BI5" t="s">
        <v>695</v>
      </c>
      <c r="BJ5" t="s">
        <v>696</v>
      </c>
      <c r="BK5" t="s">
        <v>697</v>
      </c>
      <c r="BL5" t="s">
        <v>698</v>
      </c>
      <c r="BM5" t="s">
        <v>699</v>
      </c>
      <c r="BN5" t="s">
        <v>700</v>
      </c>
      <c r="BO5" t="s">
        <v>701</v>
      </c>
      <c r="BP5" t="s">
        <v>702</v>
      </c>
      <c r="BQ5" t="s">
        <v>703</v>
      </c>
      <c r="BR5" t="s">
        <v>704</v>
      </c>
      <c r="BS5" t="s">
        <v>705</v>
      </c>
      <c r="BT5" t="s">
        <v>706</v>
      </c>
      <c r="BU5" t="s">
        <v>707</v>
      </c>
      <c r="BV5" t="s">
        <v>708</v>
      </c>
      <c r="BW5" t="s">
        <v>709</v>
      </c>
      <c r="BX5" t="s">
        <v>710</v>
      </c>
      <c r="BY5" t="s">
        <v>711</v>
      </c>
      <c r="BZ5" t="s">
        <v>712</v>
      </c>
      <c r="CA5" t="s">
        <v>71</v>
      </c>
      <c r="CB5" t="s">
        <v>72</v>
      </c>
      <c r="CC5" t="s">
        <v>73</v>
      </c>
      <c r="CD5" t="s">
        <v>74</v>
      </c>
      <c r="CE5" t="s">
        <v>75</v>
      </c>
      <c r="CF5" t="s">
        <v>76</v>
      </c>
      <c r="CG5" t="s">
        <v>88</v>
      </c>
      <c r="CH5" t="s">
        <v>89</v>
      </c>
      <c r="CI5" t="s">
        <v>90</v>
      </c>
    </row>
    <row r="6" spans="2:87" x14ac:dyDescent="0.2">
      <c r="B6" s="5">
        <v>45779</v>
      </c>
      <c r="C6" s="12">
        <v>26</v>
      </c>
      <c r="D6" s="12">
        <v>2.2000000000000002</v>
      </c>
      <c r="E6" s="12">
        <v>170361.99</v>
      </c>
      <c r="F6" s="12">
        <v>0</v>
      </c>
      <c r="G6" s="12">
        <v>4499159.62</v>
      </c>
      <c r="H6" s="12">
        <v>-69747.86</v>
      </c>
      <c r="I6" s="12">
        <v>0</v>
      </c>
      <c r="J6" s="12">
        <v>4429411.76</v>
      </c>
      <c r="K6" s="12">
        <v>198500</v>
      </c>
      <c r="L6" s="12">
        <v>0</v>
      </c>
      <c r="M6" s="12">
        <v>841588.24</v>
      </c>
      <c r="N6" s="12">
        <v>5469500</v>
      </c>
      <c r="O6" s="12">
        <v>84033.61</v>
      </c>
      <c r="P6" s="12">
        <v>4345378.1500000004</v>
      </c>
      <c r="Q6" s="12">
        <v>1209141</v>
      </c>
      <c r="R6" s="12">
        <v>3136237.15</v>
      </c>
      <c r="S6" s="12">
        <v>0</v>
      </c>
      <c r="T6" s="12">
        <v>57</v>
      </c>
      <c r="U6" s="12">
        <v>0</v>
      </c>
      <c r="V6" s="12">
        <v>0</v>
      </c>
      <c r="W6" s="35">
        <v>46144.261731053244</v>
      </c>
      <c r="X6" s="12">
        <v>5</v>
      </c>
      <c r="Y6" s="12">
        <v>5</v>
      </c>
      <c r="Z6" s="12">
        <v>774789.91</v>
      </c>
      <c r="AA6" s="12">
        <v>154957.98199999999</v>
      </c>
      <c r="AB6" s="12">
        <v>204205</v>
      </c>
      <c r="AC6" s="12">
        <v>570584.91</v>
      </c>
      <c r="AD6" s="12">
        <v>21</v>
      </c>
      <c r="AE6" s="12">
        <v>21</v>
      </c>
      <c r="AF6" s="12">
        <v>3654621.85</v>
      </c>
      <c r="AG6" s="12">
        <v>174029.611</v>
      </c>
      <c r="AH6" s="12">
        <v>1004936</v>
      </c>
      <c r="AI6" s="12">
        <v>2565652.2400000002</v>
      </c>
      <c r="AJ6" s="12"/>
      <c r="AK6" s="12"/>
      <c r="AL6" s="12"/>
      <c r="AM6" s="12"/>
      <c r="AN6" s="12"/>
      <c r="AO6" s="12"/>
      <c r="AP6" s="12">
        <v>4429411.76</v>
      </c>
      <c r="AQ6" s="12">
        <v>26</v>
      </c>
      <c r="AR6" s="12">
        <v>170361.99</v>
      </c>
      <c r="AS6" s="12">
        <v>1209141</v>
      </c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185</v>
      </c>
      <c r="BG6" s="12">
        <v>1</v>
      </c>
      <c r="BH6" s="12">
        <v>5.4054054054054057E-3</v>
      </c>
      <c r="BI6" s="12">
        <v>26</v>
      </c>
      <c r="BJ6" s="12">
        <v>1</v>
      </c>
      <c r="BK6" s="12">
        <v>3.8461538461538464E-2</v>
      </c>
      <c r="BL6" s="12">
        <v>47</v>
      </c>
      <c r="BM6" s="12">
        <v>4</v>
      </c>
      <c r="BN6" s="12">
        <v>8.5106382978723402E-2</v>
      </c>
      <c r="BO6" s="12">
        <v>10</v>
      </c>
      <c r="BP6" s="12">
        <v>0</v>
      </c>
      <c r="BQ6" s="12">
        <v>0</v>
      </c>
      <c r="BR6" s="12">
        <v>70</v>
      </c>
      <c r="BS6" s="12">
        <v>7</v>
      </c>
      <c r="BT6" s="12">
        <v>0.1</v>
      </c>
      <c r="BU6" s="12">
        <v>338</v>
      </c>
      <c r="BV6" s="12">
        <v>13</v>
      </c>
      <c r="BW6" s="12">
        <v>3.8461538461538464E-2</v>
      </c>
      <c r="BX6" s="12"/>
      <c r="BY6" s="12"/>
      <c r="BZ6" s="12"/>
      <c r="CA6" s="12">
        <v>54342.879999999997</v>
      </c>
      <c r="CB6" s="13"/>
      <c r="CC6" s="13"/>
      <c r="CD6" s="13"/>
      <c r="CE6" s="12">
        <v>1494</v>
      </c>
      <c r="CF6" s="12">
        <v>184</v>
      </c>
      <c r="CG6" s="13">
        <v>19627</v>
      </c>
      <c r="CH6" s="13">
        <v>40</v>
      </c>
      <c r="CI6" s="13">
        <v>9828</v>
      </c>
    </row>
    <row r="7" spans="2:87" x14ac:dyDescent="0.2">
      <c r="B7" s="5">
        <v>45780</v>
      </c>
      <c r="C7" s="12">
        <v>54</v>
      </c>
      <c r="D7" s="12">
        <v>1.8</v>
      </c>
      <c r="E7" s="12">
        <v>99399.316000000006</v>
      </c>
      <c r="F7" s="12">
        <v>0</v>
      </c>
      <c r="G7" s="12">
        <v>5489075.6399999997</v>
      </c>
      <c r="H7" s="12">
        <v>-121512.55</v>
      </c>
      <c r="I7" s="12">
        <v>0</v>
      </c>
      <c r="J7" s="12">
        <v>5367563.09</v>
      </c>
      <c r="K7" s="12">
        <v>185000</v>
      </c>
      <c r="L7" s="12">
        <v>0</v>
      </c>
      <c r="M7" s="12">
        <v>1019836.91</v>
      </c>
      <c r="N7" s="12">
        <v>6572400</v>
      </c>
      <c r="O7" s="12">
        <v>461556.61</v>
      </c>
      <c r="P7" s="12">
        <v>4906006.4800000004</v>
      </c>
      <c r="Q7" s="12">
        <v>1299758</v>
      </c>
      <c r="R7" s="12">
        <v>3606248.48</v>
      </c>
      <c r="S7" s="12">
        <v>0</v>
      </c>
      <c r="T7" s="12">
        <v>98</v>
      </c>
      <c r="U7" s="12">
        <v>0</v>
      </c>
      <c r="V7" s="12">
        <v>0</v>
      </c>
      <c r="W7" s="35">
        <v>46144.261731053244</v>
      </c>
      <c r="X7" s="12">
        <v>14</v>
      </c>
      <c r="Y7" s="12">
        <v>19</v>
      </c>
      <c r="Z7" s="12">
        <v>1573949.61</v>
      </c>
      <c r="AA7" s="12">
        <v>82839.452999999994</v>
      </c>
      <c r="AB7" s="12">
        <v>351910</v>
      </c>
      <c r="AC7" s="12">
        <v>1095989.18</v>
      </c>
      <c r="AD7" s="12">
        <v>34</v>
      </c>
      <c r="AE7" s="12">
        <v>34</v>
      </c>
      <c r="AF7" s="12">
        <v>3692773.14</v>
      </c>
      <c r="AG7" s="12">
        <v>108610.974</v>
      </c>
      <c r="AH7" s="12">
        <v>928173</v>
      </c>
      <c r="AI7" s="12">
        <v>2429093.96</v>
      </c>
      <c r="AJ7" s="12">
        <v>1</v>
      </c>
      <c r="AK7" s="12">
        <v>1</v>
      </c>
      <c r="AL7" s="12">
        <v>100840.34</v>
      </c>
      <c r="AM7" s="12">
        <v>100840.34</v>
      </c>
      <c r="AN7" s="12">
        <v>19675</v>
      </c>
      <c r="AO7" s="12">
        <v>81165.34</v>
      </c>
      <c r="AP7" s="12">
        <v>5367563.09</v>
      </c>
      <c r="AQ7" s="12">
        <v>54</v>
      </c>
      <c r="AR7" s="12">
        <v>99399.316000000006</v>
      </c>
      <c r="AS7" s="12">
        <v>1299758</v>
      </c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>
        <v>359</v>
      </c>
      <c r="BG7" s="12">
        <v>1</v>
      </c>
      <c r="BH7" s="12">
        <v>2.7855153203342618E-3</v>
      </c>
      <c r="BI7" s="12">
        <v>29</v>
      </c>
      <c r="BJ7" s="12">
        <v>0</v>
      </c>
      <c r="BK7" s="12">
        <v>0</v>
      </c>
      <c r="BL7" s="12">
        <v>20</v>
      </c>
      <c r="BM7" s="12">
        <v>2</v>
      </c>
      <c r="BN7" s="12">
        <v>0.1</v>
      </c>
      <c r="BO7" s="12">
        <v>25</v>
      </c>
      <c r="BP7" s="12">
        <v>0</v>
      </c>
      <c r="BQ7" s="12">
        <v>0</v>
      </c>
      <c r="BR7" s="12">
        <v>60</v>
      </c>
      <c r="BS7" s="12">
        <v>3</v>
      </c>
      <c r="BT7" s="12">
        <v>0.05</v>
      </c>
      <c r="BU7" s="12">
        <v>493</v>
      </c>
      <c r="BV7" s="12">
        <v>6</v>
      </c>
      <c r="BW7" s="12">
        <v>1.2170385395537525E-2</v>
      </c>
      <c r="BX7" s="12"/>
      <c r="BY7" s="12"/>
      <c r="BZ7" s="12"/>
      <c r="CA7" s="12">
        <v>65890.23</v>
      </c>
      <c r="CB7" s="13"/>
      <c r="CC7" s="13"/>
      <c r="CD7" s="13"/>
      <c r="CE7" s="12">
        <v>2866</v>
      </c>
      <c r="CF7" s="12">
        <v>326</v>
      </c>
      <c r="CG7" s="13">
        <v>20211</v>
      </c>
      <c r="CH7" s="13">
        <v>46</v>
      </c>
      <c r="CI7" s="13">
        <v>9142</v>
      </c>
    </row>
    <row r="8" spans="2:87" x14ac:dyDescent="0.2">
      <c r="B8" s="5">
        <v>45781</v>
      </c>
      <c r="C8" s="12">
        <v>31</v>
      </c>
      <c r="D8" s="12">
        <v>3.5</v>
      </c>
      <c r="E8" s="12">
        <v>155226.37599999999</v>
      </c>
      <c r="F8" s="12">
        <v>-25</v>
      </c>
      <c r="G8" s="12">
        <v>5794118.4199999999</v>
      </c>
      <c r="H8" s="12">
        <v>-927478.89</v>
      </c>
      <c r="I8" s="12">
        <v>-831092.43</v>
      </c>
      <c r="J8" s="12">
        <v>4035547.1</v>
      </c>
      <c r="K8" s="12">
        <v>124500</v>
      </c>
      <c r="L8" s="12">
        <v>0</v>
      </c>
      <c r="M8" s="12">
        <v>766753.9</v>
      </c>
      <c r="N8" s="12">
        <v>4926801</v>
      </c>
      <c r="O8" s="12">
        <v>42016.81</v>
      </c>
      <c r="P8" s="12">
        <v>3993530.29</v>
      </c>
      <c r="Q8" s="12">
        <v>1122666</v>
      </c>
      <c r="R8" s="12">
        <v>2870864.29</v>
      </c>
      <c r="S8" s="12">
        <v>0</v>
      </c>
      <c r="T8" s="12">
        <v>86</v>
      </c>
      <c r="U8" s="12">
        <v>0</v>
      </c>
      <c r="V8" s="12">
        <v>0</v>
      </c>
      <c r="W8" s="35">
        <v>46144.261731053244</v>
      </c>
      <c r="X8" s="12">
        <v>9</v>
      </c>
      <c r="Y8" s="12">
        <v>14</v>
      </c>
      <c r="Z8" s="12">
        <v>1918740.37</v>
      </c>
      <c r="AA8" s="12">
        <v>192515.06700000001</v>
      </c>
      <c r="AB8" s="12">
        <v>600720</v>
      </c>
      <c r="AC8" s="12">
        <v>1276003.56</v>
      </c>
      <c r="AD8" s="12">
        <v>17</v>
      </c>
      <c r="AE8" s="12">
        <v>17</v>
      </c>
      <c r="AF8" s="12">
        <v>2116806.73</v>
      </c>
      <c r="AG8" s="12">
        <v>124518.042</v>
      </c>
      <c r="AH8" s="12">
        <v>521946</v>
      </c>
      <c r="AI8" s="12">
        <v>1594860.73</v>
      </c>
      <c r="AJ8" s="12"/>
      <c r="AK8" s="12"/>
      <c r="AL8" s="12"/>
      <c r="AM8" s="12"/>
      <c r="AN8" s="12"/>
      <c r="AO8" s="12"/>
      <c r="AP8" s="12">
        <v>4035547.1</v>
      </c>
      <c r="AQ8" s="12">
        <v>31</v>
      </c>
      <c r="AR8" s="12">
        <v>155226.37599999999</v>
      </c>
      <c r="AS8" s="12">
        <v>1122666</v>
      </c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>
        <v>217</v>
      </c>
      <c r="BG8" s="12">
        <v>1</v>
      </c>
      <c r="BH8" s="12">
        <v>4.608294930875576E-3</v>
      </c>
      <c r="BI8" s="12">
        <v>21</v>
      </c>
      <c r="BJ8" s="12">
        <v>0</v>
      </c>
      <c r="BK8" s="12">
        <v>0</v>
      </c>
      <c r="BL8" s="12">
        <v>27</v>
      </c>
      <c r="BM8" s="12">
        <v>0</v>
      </c>
      <c r="BN8" s="12">
        <v>0</v>
      </c>
      <c r="BO8" s="12">
        <v>16</v>
      </c>
      <c r="BP8" s="12">
        <v>0</v>
      </c>
      <c r="BQ8" s="12">
        <v>0</v>
      </c>
      <c r="BR8" s="12">
        <v>58</v>
      </c>
      <c r="BS8" s="12">
        <v>4</v>
      </c>
      <c r="BT8" s="12">
        <v>6.8965517241379309E-2</v>
      </c>
      <c r="BU8" s="12">
        <v>339</v>
      </c>
      <c r="BV8" s="12">
        <v>5</v>
      </c>
      <c r="BW8" s="12">
        <v>1.4749262536873156E-2</v>
      </c>
      <c r="BX8" s="12"/>
      <c r="BY8" s="12"/>
      <c r="BZ8" s="12"/>
      <c r="CA8" s="12">
        <v>27155.47</v>
      </c>
      <c r="CB8" s="13"/>
      <c r="CC8" s="13"/>
      <c r="CD8" s="13"/>
      <c r="CE8" s="12">
        <v>1865</v>
      </c>
      <c r="CF8" s="12">
        <v>186</v>
      </c>
      <c r="CG8" s="13">
        <v>22129</v>
      </c>
      <c r="CH8" s="13">
        <v>51</v>
      </c>
      <c r="CI8" s="13">
        <v>10518</v>
      </c>
    </row>
    <row r="9" spans="2:87" x14ac:dyDescent="0.2">
      <c r="B9" s="5">
        <v>45782</v>
      </c>
      <c r="C9" s="12">
        <v>29</v>
      </c>
      <c r="D9" s="12">
        <v>1.7</v>
      </c>
      <c r="E9" s="12">
        <v>135242.022</v>
      </c>
      <c r="F9" s="12">
        <v>0</v>
      </c>
      <c r="G9" s="12">
        <v>3943699.3</v>
      </c>
      <c r="H9" s="12">
        <v>-21680.65</v>
      </c>
      <c r="I9" s="12">
        <v>0</v>
      </c>
      <c r="J9" s="12">
        <v>3922018.65</v>
      </c>
      <c r="K9" s="12">
        <v>137000</v>
      </c>
      <c r="L9" s="12">
        <v>0</v>
      </c>
      <c r="M9" s="12">
        <v>745183.35</v>
      </c>
      <c r="N9" s="12">
        <v>4804202</v>
      </c>
      <c r="O9" s="12">
        <v>84034.61</v>
      </c>
      <c r="P9" s="12">
        <v>3837984.04</v>
      </c>
      <c r="Q9" s="12">
        <v>1058387</v>
      </c>
      <c r="R9" s="12">
        <v>2779597.04</v>
      </c>
      <c r="S9" s="12">
        <v>0</v>
      </c>
      <c r="T9" s="12">
        <v>48</v>
      </c>
      <c r="U9" s="12">
        <v>0</v>
      </c>
      <c r="V9" s="12">
        <v>0</v>
      </c>
      <c r="W9" s="35">
        <v>46144.261731053244</v>
      </c>
      <c r="X9" s="12">
        <v>12</v>
      </c>
      <c r="Y9" s="12">
        <v>13</v>
      </c>
      <c r="Z9" s="12">
        <v>1965548.06</v>
      </c>
      <c r="AA9" s="12">
        <v>151196.00399999999</v>
      </c>
      <c r="AB9" s="12">
        <v>536153</v>
      </c>
      <c r="AC9" s="12">
        <v>1429394.06</v>
      </c>
      <c r="AD9" s="12">
        <v>15</v>
      </c>
      <c r="AE9" s="12">
        <v>15</v>
      </c>
      <c r="AF9" s="12">
        <v>1897647.06</v>
      </c>
      <c r="AG9" s="12">
        <v>126509.804</v>
      </c>
      <c r="AH9" s="12">
        <v>489234</v>
      </c>
      <c r="AI9" s="12">
        <v>1324379.45</v>
      </c>
      <c r="AJ9" s="12">
        <v>1</v>
      </c>
      <c r="AK9" s="12">
        <v>1</v>
      </c>
      <c r="AL9" s="12">
        <v>58823.53</v>
      </c>
      <c r="AM9" s="12">
        <v>58823.53</v>
      </c>
      <c r="AN9" s="12">
        <v>33000</v>
      </c>
      <c r="AO9" s="12">
        <v>25823.53</v>
      </c>
      <c r="AP9" s="12">
        <v>3922018.65</v>
      </c>
      <c r="AQ9" s="12">
        <v>29</v>
      </c>
      <c r="AR9" s="12">
        <v>135242.022</v>
      </c>
      <c r="AS9" s="12">
        <v>1058387</v>
      </c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>
        <v>377</v>
      </c>
      <c r="BG9" s="12">
        <v>0</v>
      </c>
      <c r="BH9" s="12">
        <v>0</v>
      </c>
      <c r="BI9" s="12">
        <v>21</v>
      </c>
      <c r="BJ9" s="12">
        <v>0</v>
      </c>
      <c r="BK9" s="12">
        <v>0</v>
      </c>
      <c r="BL9" s="12">
        <v>42</v>
      </c>
      <c r="BM9" s="12">
        <v>6</v>
      </c>
      <c r="BN9" s="12">
        <v>0.14285714285714285</v>
      </c>
      <c r="BO9" s="12">
        <v>19</v>
      </c>
      <c r="BP9" s="12">
        <v>0</v>
      </c>
      <c r="BQ9" s="12">
        <v>0</v>
      </c>
      <c r="BR9" s="12">
        <v>92</v>
      </c>
      <c r="BS9" s="12">
        <v>5</v>
      </c>
      <c r="BT9" s="12">
        <v>5.434782608695652E-2</v>
      </c>
      <c r="BU9" s="12">
        <v>551</v>
      </c>
      <c r="BV9" s="12">
        <v>11</v>
      </c>
      <c r="BW9" s="12">
        <v>1.9963702359346643E-2</v>
      </c>
      <c r="BX9" s="12"/>
      <c r="BY9" s="12"/>
      <c r="BZ9" s="12"/>
      <c r="CA9" s="12">
        <v>52911.71</v>
      </c>
      <c r="CB9" s="13"/>
      <c r="CC9" s="13"/>
      <c r="CD9" s="13"/>
      <c r="CE9" s="12">
        <v>2689</v>
      </c>
      <c r="CF9" s="12">
        <v>306</v>
      </c>
      <c r="CG9" s="13">
        <v>18579</v>
      </c>
      <c r="CH9" s="13">
        <v>23</v>
      </c>
      <c r="CI9" s="13">
        <v>9638</v>
      </c>
    </row>
    <row r="10" spans="2:87" x14ac:dyDescent="0.2">
      <c r="B10" s="5">
        <v>45783</v>
      </c>
      <c r="C10" s="12">
        <v>37</v>
      </c>
      <c r="D10" s="12">
        <v>1.9</v>
      </c>
      <c r="E10" s="12">
        <v>144674.10800000001</v>
      </c>
      <c r="F10" s="12">
        <v>-1</v>
      </c>
      <c r="G10" s="12">
        <v>5357143.71</v>
      </c>
      <c r="H10" s="12">
        <v>-4201.68</v>
      </c>
      <c r="I10" s="12">
        <v>-70588.240000000005</v>
      </c>
      <c r="J10" s="12">
        <v>5282353.79</v>
      </c>
      <c r="K10" s="12">
        <v>142500</v>
      </c>
      <c r="L10" s="12">
        <v>0</v>
      </c>
      <c r="M10" s="12">
        <v>1003647.21</v>
      </c>
      <c r="N10" s="12">
        <v>6428501</v>
      </c>
      <c r="O10" s="12">
        <v>42017.65</v>
      </c>
      <c r="P10" s="12">
        <v>5240336.1399999997</v>
      </c>
      <c r="Q10" s="12">
        <v>1311981</v>
      </c>
      <c r="R10" s="12">
        <v>3928355.14</v>
      </c>
      <c r="S10" s="12">
        <v>0</v>
      </c>
      <c r="T10" s="12">
        <v>68</v>
      </c>
      <c r="U10" s="12">
        <v>0</v>
      </c>
      <c r="V10" s="12">
        <v>0</v>
      </c>
      <c r="W10" s="35">
        <v>46144.261731053244</v>
      </c>
      <c r="X10" s="12">
        <v>12</v>
      </c>
      <c r="Y10" s="12">
        <v>13</v>
      </c>
      <c r="Z10" s="12">
        <v>2447059.66</v>
      </c>
      <c r="AA10" s="12">
        <v>193665.223</v>
      </c>
      <c r="AB10" s="12">
        <v>578583</v>
      </c>
      <c r="AC10" s="12">
        <v>1826459.01</v>
      </c>
      <c r="AD10" s="12">
        <v>24</v>
      </c>
      <c r="AE10" s="12">
        <v>24</v>
      </c>
      <c r="AF10" s="12">
        <v>2835294.13</v>
      </c>
      <c r="AG10" s="12">
        <v>118137.255</v>
      </c>
      <c r="AH10" s="12">
        <v>733398</v>
      </c>
      <c r="AI10" s="12">
        <v>2101896.13</v>
      </c>
      <c r="AJ10" s="12"/>
      <c r="AK10" s="12"/>
      <c r="AL10" s="12"/>
      <c r="AM10" s="12"/>
      <c r="AN10" s="12"/>
      <c r="AO10" s="12"/>
      <c r="AP10" s="12">
        <v>5282353.79</v>
      </c>
      <c r="AQ10" s="12">
        <v>37</v>
      </c>
      <c r="AR10" s="12">
        <v>144674.10800000001</v>
      </c>
      <c r="AS10" s="12">
        <v>1311981</v>
      </c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>
        <v>473</v>
      </c>
      <c r="BG10" s="12">
        <v>0</v>
      </c>
      <c r="BH10" s="12">
        <v>0</v>
      </c>
      <c r="BI10" s="12">
        <v>17</v>
      </c>
      <c r="BJ10" s="12">
        <v>0</v>
      </c>
      <c r="BK10" s="12">
        <v>0</v>
      </c>
      <c r="BL10" s="12">
        <v>36</v>
      </c>
      <c r="BM10" s="12">
        <v>2</v>
      </c>
      <c r="BN10" s="12">
        <v>5.5555555555555552E-2</v>
      </c>
      <c r="BO10" s="12">
        <v>21</v>
      </c>
      <c r="BP10" s="12">
        <v>0</v>
      </c>
      <c r="BQ10" s="12">
        <v>0</v>
      </c>
      <c r="BR10" s="12">
        <v>144</v>
      </c>
      <c r="BS10" s="12">
        <v>7</v>
      </c>
      <c r="BT10" s="12">
        <v>4.8611111111111112E-2</v>
      </c>
      <c r="BU10" s="12">
        <v>691</v>
      </c>
      <c r="BV10" s="12">
        <v>9</v>
      </c>
      <c r="BW10" s="12">
        <v>1.3024602026049204E-2</v>
      </c>
      <c r="BX10" s="12"/>
      <c r="BY10" s="12"/>
      <c r="BZ10" s="12"/>
      <c r="CA10" s="12">
        <v>56722.16</v>
      </c>
      <c r="CB10" s="13"/>
      <c r="CC10" s="13"/>
      <c r="CD10" s="13"/>
      <c r="CE10" s="12">
        <v>3144</v>
      </c>
      <c r="CF10" s="12">
        <v>400</v>
      </c>
      <c r="CG10" s="13">
        <v>19221</v>
      </c>
      <c r="CH10" s="13">
        <v>22</v>
      </c>
      <c r="CI10" s="13">
        <v>8849</v>
      </c>
    </row>
    <row r="11" spans="2:87" x14ac:dyDescent="0.2">
      <c r="B11" s="5">
        <v>45784</v>
      </c>
      <c r="C11" s="12">
        <v>14</v>
      </c>
      <c r="D11" s="12">
        <v>1.4</v>
      </c>
      <c r="E11" s="12">
        <v>101260.503</v>
      </c>
      <c r="F11" s="12">
        <v>0</v>
      </c>
      <c r="G11" s="12">
        <v>1424369.73</v>
      </c>
      <c r="H11" s="12">
        <v>-6722.68</v>
      </c>
      <c r="I11" s="12">
        <v>0</v>
      </c>
      <c r="J11" s="12">
        <v>1417647.05</v>
      </c>
      <c r="K11" s="12">
        <v>65000</v>
      </c>
      <c r="L11" s="12">
        <v>0</v>
      </c>
      <c r="M11" s="12">
        <v>269352.95</v>
      </c>
      <c r="N11" s="12">
        <v>1752000</v>
      </c>
      <c r="O11" s="12">
        <v>42016.81</v>
      </c>
      <c r="P11" s="12">
        <v>1375630.24</v>
      </c>
      <c r="Q11" s="12">
        <v>292251</v>
      </c>
      <c r="R11" s="12">
        <v>1083379.24</v>
      </c>
      <c r="S11" s="12">
        <v>0</v>
      </c>
      <c r="T11" s="12">
        <v>20</v>
      </c>
      <c r="U11" s="12">
        <v>0</v>
      </c>
      <c r="V11" s="12">
        <v>0</v>
      </c>
      <c r="W11" s="35">
        <v>46144.261731053244</v>
      </c>
      <c r="X11" s="12">
        <v>4</v>
      </c>
      <c r="Y11" s="12">
        <v>4</v>
      </c>
      <c r="Z11" s="12">
        <v>498319.32</v>
      </c>
      <c r="AA11" s="12">
        <v>124579.83</v>
      </c>
      <c r="AB11" s="12">
        <v>127264</v>
      </c>
      <c r="AC11" s="12">
        <v>371055.32</v>
      </c>
      <c r="AD11" s="12">
        <v>10</v>
      </c>
      <c r="AE11" s="12">
        <v>10</v>
      </c>
      <c r="AF11" s="12">
        <v>919327.73</v>
      </c>
      <c r="AG11" s="12">
        <v>91932.773000000001</v>
      </c>
      <c r="AH11" s="12">
        <v>164987</v>
      </c>
      <c r="AI11" s="12">
        <v>712323.92</v>
      </c>
      <c r="AJ11" s="12"/>
      <c r="AK11" s="12"/>
      <c r="AL11" s="12"/>
      <c r="AM11" s="12"/>
      <c r="AN11" s="12"/>
      <c r="AO11" s="12"/>
      <c r="AP11" s="12">
        <v>1417647.05</v>
      </c>
      <c r="AQ11" s="12">
        <v>14</v>
      </c>
      <c r="AR11" s="12">
        <v>101260.503</v>
      </c>
      <c r="AS11" s="12">
        <v>292251</v>
      </c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>
        <v>198</v>
      </c>
      <c r="BG11" s="12">
        <v>0</v>
      </c>
      <c r="BH11" s="12">
        <v>0</v>
      </c>
      <c r="BI11" s="12">
        <v>21</v>
      </c>
      <c r="BJ11" s="12">
        <v>0</v>
      </c>
      <c r="BK11" s="12">
        <v>0</v>
      </c>
      <c r="BL11" s="12">
        <v>35</v>
      </c>
      <c r="BM11" s="12">
        <v>3</v>
      </c>
      <c r="BN11" s="12">
        <v>8.5714285714285715E-2</v>
      </c>
      <c r="BO11" s="12">
        <v>16</v>
      </c>
      <c r="BP11" s="12">
        <v>0</v>
      </c>
      <c r="BQ11" s="12">
        <v>0</v>
      </c>
      <c r="BR11" s="12">
        <v>75</v>
      </c>
      <c r="BS11" s="12">
        <v>5</v>
      </c>
      <c r="BT11" s="12">
        <v>6.6666666666666666E-2</v>
      </c>
      <c r="BU11" s="12">
        <v>345</v>
      </c>
      <c r="BV11" s="12">
        <v>8</v>
      </c>
      <c r="BW11" s="12">
        <v>2.318840579710145E-2</v>
      </c>
      <c r="BX11" s="12"/>
      <c r="BY11" s="12"/>
      <c r="BZ11" s="12"/>
      <c r="CA11" s="12">
        <v>61998.74</v>
      </c>
      <c r="CB11" s="13"/>
      <c r="CC11" s="13"/>
      <c r="CD11" s="13"/>
      <c r="CE11" s="12">
        <v>1351</v>
      </c>
      <c r="CF11" s="12">
        <v>180</v>
      </c>
      <c r="CG11" s="13">
        <v>20396</v>
      </c>
      <c r="CH11" s="13">
        <v>52</v>
      </c>
      <c r="CI11" s="13">
        <v>9046</v>
      </c>
    </row>
    <row r="12" spans="2:87" x14ac:dyDescent="0.2">
      <c r="B12" s="5">
        <v>45785</v>
      </c>
      <c r="C12" s="12">
        <v>14</v>
      </c>
      <c r="D12" s="12">
        <v>4.2</v>
      </c>
      <c r="E12" s="12">
        <v>325519.625</v>
      </c>
      <c r="F12" s="12">
        <v>-16</v>
      </c>
      <c r="G12" s="12">
        <v>4953781.45</v>
      </c>
      <c r="H12" s="12">
        <v>-396506.7</v>
      </c>
      <c r="I12" s="12">
        <v>-1313900.8400000001</v>
      </c>
      <c r="J12" s="12">
        <v>3243373.91</v>
      </c>
      <c r="K12" s="12">
        <v>41500</v>
      </c>
      <c r="L12" s="12">
        <v>0</v>
      </c>
      <c r="M12" s="12">
        <v>319168.09000000003</v>
      </c>
      <c r="N12" s="12">
        <v>3604042</v>
      </c>
      <c r="O12" s="12">
        <v>0</v>
      </c>
      <c r="P12" s="12">
        <v>3243373.91</v>
      </c>
      <c r="Q12" s="12">
        <v>741427</v>
      </c>
      <c r="R12" s="12">
        <v>2501946.91</v>
      </c>
      <c r="S12" s="12">
        <v>0</v>
      </c>
      <c r="T12" s="12">
        <v>43</v>
      </c>
      <c r="U12" s="12">
        <v>0</v>
      </c>
      <c r="V12" s="12">
        <v>0</v>
      </c>
      <c r="W12" s="35">
        <v>46144.261731053244</v>
      </c>
      <c r="X12" s="12">
        <v>6</v>
      </c>
      <c r="Y12" s="12">
        <v>6</v>
      </c>
      <c r="Z12" s="12">
        <v>995798.31</v>
      </c>
      <c r="AA12" s="12">
        <v>165966.38500000001</v>
      </c>
      <c r="AB12" s="12">
        <v>208961</v>
      </c>
      <c r="AC12" s="12">
        <v>786837.31</v>
      </c>
      <c r="AD12" s="12">
        <v>7</v>
      </c>
      <c r="AE12" s="12">
        <v>7</v>
      </c>
      <c r="AF12" s="12">
        <v>2247575.6</v>
      </c>
      <c r="AG12" s="12">
        <v>321082.228</v>
      </c>
      <c r="AH12" s="12">
        <v>532466</v>
      </c>
      <c r="AI12" s="12">
        <v>1715109.6</v>
      </c>
      <c r="AJ12" s="12">
        <v>1</v>
      </c>
      <c r="AK12" s="12">
        <v>1</v>
      </c>
      <c r="AL12" s="12">
        <v>0</v>
      </c>
      <c r="AM12" s="12">
        <v>1313900.8400000001</v>
      </c>
      <c r="AN12" s="12">
        <v>0</v>
      </c>
      <c r="AO12" s="12">
        <v>0</v>
      </c>
      <c r="AP12" s="12">
        <v>3243373.91</v>
      </c>
      <c r="AQ12" s="12">
        <v>14</v>
      </c>
      <c r="AR12" s="12">
        <v>325519.625</v>
      </c>
      <c r="AS12" s="12">
        <v>741427</v>
      </c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>
        <v>325</v>
      </c>
      <c r="BG12" s="12">
        <v>0</v>
      </c>
      <c r="BH12" s="12">
        <v>0</v>
      </c>
      <c r="BI12" s="12">
        <v>26</v>
      </c>
      <c r="BJ12" s="12">
        <v>1</v>
      </c>
      <c r="BK12" s="12">
        <v>3.8461538461538464E-2</v>
      </c>
      <c r="BL12" s="12">
        <v>23</v>
      </c>
      <c r="BM12" s="12">
        <v>2</v>
      </c>
      <c r="BN12" s="12">
        <v>8.6956521739130432E-2</v>
      </c>
      <c r="BO12" s="12">
        <v>20</v>
      </c>
      <c r="BP12" s="12">
        <v>0</v>
      </c>
      <c r="BQ12" s="12">
        <v>0</v>
      </c>
      <c r="BR12" s="12">
        <v>87</v>
      </c>
      <c r="BS12" s="12">
        <v>6</v>
      </c>
      <c r="BT12" s="12">
        <v>6.8965517241379309E-2</v>
      </c>
      <c r="BU12" s="12">
        <v>481</v>
      </c>
      <c r="BV12" s="12">
        <v>9</v>
      </c>
      <c r="BW12" s="12">
        <v>1.8711018711018712E-2</v>
      </c>
      <c r="BX12" s="12"/>
      <c r="BY12" s="12"/>
      <c r="BZ12" s="12"/>
      <c r="CA12" s="12">
        <v>61454.39</v>
      </c>
      <c r="CB12" s="13"/>
      <c r="CC12" s="13"/>
      <c r="CD12" s="13"/>
      <c r="CE12" s="12">
        <v>2639</v>
      </c>
      <c r="CF12" s="12">
        <v>294</v>
      </c>
      <c r="CG12" s="13">
        <v>20462</v>
      </c>
      <c r="CH12" s="13">
        <v>39</v>
      </c>
      <c r="CI12" s="13">
        <v>8512</v>
      </c>
    </row>
    <row r="13" spans="2:87" x14ac:dyDescent="0.2">
      <c r="B13" s="5">
        <v>45786</v>
      </c>
      <c r="C13" s="12">
        <v>16</v>
      </c>
      <c r="D13" s="12">
        <v>1.8</v>
      </c>
      <c r="E13" s="12">
        <v>125630.25199999999</v>
      </c>
      <c r="F13" s="12">
        <v>-4</v>
      </c>
      <c r="G13" s="12">
        <v>2358823.54</v>
      </c>
      <c r="H13" s="12">
        <v>0</v>
      </c>
      <c r="I13" s="12">
        <v>-184873.95</v>
      </c>
      <c r="J13" s="12">
        <v>2173949.59</v>
      </c>
      <c r="K13" s="12">
        <v>36000</v>
      </c>
      <c r="L13" s="12">
        <v>0</v>
      </c>
      <c r="M13" s="12">
        <v>413050.41</v>
      </c>
      <c r="N13" s="12">
        <v>2623000</v>
      </c>
      <c r="O13" s="12">
        <v>0</v>
      </c>
      <c r="P13" s="12">
        <v>2173949.59</v>
      </c>
      <c r="Q13" s="12">
        <v>488871</v>
      </c>
      <c r="R13" s="12">
        <v>1685078.59</v>
      </c>
      <c r="S13" s="12">
        <v>0</v>
      </c>
      <c r="T13" s="12">
        <v>32</v>
      </c>
      <c r="U13" s="12">
        <v>0</v>
      </c>
      <c r="V13" s="12">
        <v>0</v>
      </c>
      <c r="W13" s="35">
        <v>46144.261731053244</v>
      </c>
      <c r="X13" s="12">
        <v>10</v>
      </c>
      <c r="Y13" s="12">
        <v>12</v>
      </c>
      <c r="Z13" s="12">
        <v>1520168.08</v>
      </c>
      <c r="AA13" s="12">
        <v>113025.21</v>
      </c>
      <c r="AB13" s="12">
        <v>355276</v>
      </c>
      <c r="AC13" s="12">
        <v>1164892.08</v>
      </c>
      <c r="AD13" s="12">
        <v>4</v>
      </c>
      <c r="AE13" s="12">
        <v>4</v>
      </c>
      <c r="AF13" s="12">
        <v>653781.51</v>
      </c>
      <c r="AG13" s="12">
        <v>163445.37700000001</v>
      </c>
      <c r="AH13" s="12">
        <v>133595</v>
      </c>
      <c r="AI13" s="12">
        <v>520186.51</v>
      </c>
      <c r="AJ13" s="12"/>
      <c r="AK13" s="12"/>
      <c r="AL13" s="12"/>
      <c r="AM13" s="12"/>
      <c r="AN13" s="12"/>
      <c r="AO13" s="12"/>
      <c r="AP13" s="12">
        <v>2173949.59</v>
      </c>
      <c r="AQ13" s="12">
        <v>16</v>
      </c>
      <c r="AR13" s="12">
        <v>125630.25199999999</v>
      </c>
      <c r="AS13" s="12">
        <v>488871</v>
      </c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>
        <v>224</v>
      </c>
      <c r="BG13" s="12">
        <v>0</v>
      </c>
      <c r="BH13" s="12">
        <v>0</v>
      </c>
      <c r="BI13" s="12">
        <v>14</v>
      </c>
      <c r="BJ13" s="12">
        <v>0</v>
      </c>
      <c r="BK13" s="12">
        <v>0</v>
      </c>
      <c r="BL13" s="12">
        <v>27</v>
      </c>
      <c r="BM13" s="12">
        <v>1</v>
      </c>
      <c r="BN13" s="12">
        <v>3.7037037037037035E-2</v>
      </c>
      <c r="BO13" s="12">
        <v>15</v>
      </c>
      <c r="BP13" s="12">
        <v>0</v>
      </c>
      <c r="BQ13" s="12">
        <v>0</v>
      </c>
      <c r="BR13" s="12">
        <v>77</v>
      </c>
      <c r="BS13" s="12">
        <v>7</v>
      </c>
      <c r="BT13" s="12">
        <v>9.0909090909090912E-2</v>
      </c>
      <c r="BU13" s="12">
        <v>357</v>
      </c>
      <c r="BV13" s="12">
        <v>8</v>
      </c>
      <c r="BW13" s="12">
        <v>2.2408963585434174E-2</v>
      </c>
      <c r="BX13" s="12"/>
      <c r="BY13" s="12"/>
      <c r="BZ13" s="12"/>
      <c r="CA13" s="12">
        <v>26713.26</v>
      </c>
      <c r="CB13" s="13"/>
      <c r="CC13" s="13"/>
      <c r="CD13" s="13"/>
      <c r="CE13" s="12">
        <v>1496</v>
      </c>
      <c r="CF13" s="12">
        <v>189</v>
      </c>
      <c r="CG13" s="13">
        <v>15057</v>
      </c>
      <c r="CH13" s="13">
        <v>25</v>
      </c>
      <c r="CI13" s="13">
        <v>7442</v>
      </c>
    </row>
    <row r="14" spans="2:87" x14ac:dyDescent="0.2">
      <c r="B14" s="5">
        <v>45787</v>
      </c>
      <c r="C14" s="12">
        <v>10</v>
      </c>
      <c r="D14" s="12">
        <v>1.6</v>
      </c>
      <c r="E14" s="12">
        <v>75609.327000000005</v>
      </c>
      <c r="F14" s="12">
        <v>0</v>
      </c>
      <c r="G14" s="12">
        <v>794118.46</v>
      </c>
      <c r="H14" s="12">
        <v>-38025.19</v>
      </c>
      <c r="I14" s="12">
        <v>0</v>
      </c>
      <c r="J14" s="12">
        <v>756093.27</v>
      </c>
      <c r="K14" s="12">
        <v>79500</v>
      </c>
      <c r="L14" s="12">
        <v>0</v>
      </c>
      <c r="M14" s="12">
        <v>143657.73000000001</v>
      </c>
      <c r="N14" s="12">
        <v>979251</v>
      </c>
      <c r="O14" s="12">
        <v>0.84</v>
      </c>
      <c r="P14" s="12">
        <v>756092.43</v>
      </c>
      <c r="Q14" s="12">
        <v>212555</v>
      </c>
      <c r="R14" s="12">
        <v>543537.43000000005</v>
      </c>
      <c r="S14" s="12">
        <v>0</v>
      </c>
      <c r="T14" s="12">
        <v>16</v>
      </c>
      <c r="U14" s="12">
        <v>0</v>
      </c>
      <c r="V14" s="12">
        <v>0</v>
      </c>
      <c r="W14" s="35">
        <v>46144.261731053244</v>
      </c>
      <c r="X14" s="12">
        <v>7</v>
      </c>
      <c r="Y14" s="12">
        <v>7</v>
      </c>
      <c r="Z14" s="12">
        <v>520799.16</v>
      </c>
      <c r="AA14" s="12">
        <v>74399.88</v>
      </c>
      <c r="AB14" s="12">
        <v>153232</v>
      </c>
      <c r="AC14" s="12">
        <v>367566.32</v>
      </c>
      <c r="AD14" s="12">
        <v>3</v>
      </c>
      <c r="AE14" s="12">
        <v>3</v>
      </c>
      <c r="AF14" s="12">
        <v>235294.11</v>
      </c>
      <c r="AG14" s="12">
        <v>78431.37</v>
      </c>
      <c r="AH14" s="12">
        <v>59323</v>
      </c>
      <c r="AI14" s="12">
        <v>175971.11</v>
      </c>
      <c r="AJ14" s="12"/>
      <c r="AK14" s="12"/>
      <c r="AL14" s="12"/>
      <c r="AM14" s="12"/>
      <c r="AN14" s="12"/>
      <c r="AO14" s="12"/>
      <c r="AP14" s="12">
        <v>756093.27</v>
      </c>
      <c r="AQ14" s="12">
        <v>10</v>
      </c>
      <c r="AR14" s="12">
        <v>75609.327000000005</v>
      </c>
      <c r="AS14" s="12">
        <v>212555</v>
      </c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>
        <v>382</v>
      </c>
      <c r="BG14" s="12">
        <v>0</v>
      </c>
      <c r="BH14" s="12">
        <v>0</v>
      </c>
      <c r="BI14" s="12">
        <v>30</v>
      </c>
      <c r="BJ14" s="12">
        <v>2</v>
      </c>
      <c r="BK14" s="12">
        <v>6.6666666666666666E-2</v>
      </c>
      <c r="BL14" s="12">
        <v>21</v>
      </c>
      <c r="BM14" s="12">
        <v>0</v>
      </c>
      <c r="BN14" s="12">
        <v>0</v>
      </c>
      <c r="BO14" s="12">
        <v>20</v>
      </c>
      <c r="BP14" s="12">
        <v>0</v>
      </c>
      <c r="BQ14" s="12">
        <v>0</v>
      </c>
      <c r="BR14" s="12">
        <v>58</v>
      </c>
      <c r="BS14" s="12">
        <v>3</v>
      </c>
      <c r="BT14" s="12">
        <v>5.1724137931034482E-2</v>
      </c>
      <c r="BU14" s="12">
        <v>511</v>
      </c>
      <c r="BV14" s="12">
        <v>5</v>
      </c>
      <c r="BW14" s="12">
        <v>9.7847358121330719E-3</v>
      </c>
      <c r="BX14" s="12"/>
      <c r="BY14" s="12"/>
      <c r="BZ14" s="12"/>
      <c r="CA14" s="12">
        <v>75391.72</v>
      </c>
      <c r="CB14" s="13"/>
      <c r="CC14" s="13"/>
      <c r="CD14" s="13"/>
      <c r="CE14" s="12">
        <v>2974</v>
      </c>
      <c r="CF14" s="12">
        <v>334</v>
      </c>
      <c r="CG14" s="13">
        <v>23879</v>
      </c>
      <c r="CH14" s="13">
        <v>43</v>
      </c>
      <c r="CI14" s="13">
        <v>8354</v>
      </c>
    </row>
    <row r="15" spans="2:87" x14ac:dyDescent="0.2">
      <c r="B15" s="5">
        <v>45788</v>
      </c>
      <c r="C15" s="12">
        <v>2</v>
      </c>
      <c r="D15" s="12">
        <v>1.5</v>
      </c>
      <c r="E15" s="12">
        <v>100000</v>
      </c>
      <c r="F15" s="12">
        <v>0</v>
      </c>
      <c r="G15" s="12">
        <v>200000</v>
      </c>
      <c r="H15" s="12">
        <v>0</v>
      </c>
      <c r="I15" s="12">
        <v>0</v>
      </c>
      <c r="J15" s="12">
        <v>200000</v>
      </c>
      <c r="K15" s="12">
        <v>18000</v>
      </c>
      <c r="L15" s="12">
        <v>0</v>
      </c>
      <c r="M15" s="12">
        <v>38000</v>
      </c>
      <c r="N15" s="12">
        <v>256000</v>
      </c>
      <c r="O15" s="12">
        <v>0</v>
      </c>
      <c r="P15" s="12">
        <v>200000</v>
      </c>
      <c r="Q15" s="12">
        <v>61255</v>
      </c>
      <c r="R15" s="12">
        <v>138745</v>
      </c>
      <c r="S15" s="12">
        <v>0</v>
      </c>
      <c r="T15" s="12">
        <v>3</v>
      </c>
      <c r="U15" s="12">
        <v>0</v>
      </c>
      <c r="V15" s="12">
        <v>0</v>
      </c>
      <c r="W15" s="35">
        <v>46144.261731053244</v>
      </c>
      <c r="X15" s="12"/>
      <c r="Y15" s="12"/>
      <c r="Z15" s="12"/>
      <c r="AA15" s="12"/>
      <c r="AB15" s="12"/>
      <c r="AC15" s="12"/>
      <c r="AD15" s="12">
        <v>2</v>
      </c>
      <c r="AE15" s="12">
        <v>2</v>
      </c>
      <c r="AF15" s="12">
        <v>200000</v>
      </c>
      <c r="AG15" s="12">
        <v>100000</v>
      </c>
      <c r="AH15" s="12">
        <v>61255</v>
      </c>
      <c r="AI15" s="12">
        <v>138745</v>
      </c>
      <c r="AJ15" s="12"/>
      <c r="AK15" s="12"/>
      <c r="AL15" s="12"/>
      <c r="AM15" s="12"/>
      <c r="AN15" s="12"/>
      <c r="AO15" s="12"/>
      <c r="AP15" s="12">
        <v>200000</v>
      </c>
      <c r="AQ15" s="12">
        <v>2</v>
      </c>
      <c r="AR15" s="12">
        <v>100000</v>
      </c>
      <c r="AS15" s="12">
        <v>61255</v>
      </c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>
        <v>247</v>
      </c>
      <c r="BG15" s="12">
        <v>0</v>
      </c>
      <c r="BH15" s="12">
        <v>0</v>
      </c>
      <c r="BI15" s="12">
        <v>22</v>
      </c>
      <c r="BJ15" s="12">
        <v>0</v>
      </c>
      <c r="BK15" s="12">
        <v>0</v>
      </c>
      <c r="BL15" s="12">
        <v>26</v>
      </c>
      <c r="BM15" s="12">
        <v>1</v>
      </c>
      <c r="BN15" s="12">
        <v>3.8461538461538464E-2</v>
      </c>
      <c r="BO15" s="12">
        <v>34</v>
      </c>
      <c r="BP15" s="12">
        <v>0</v>
      </c>
      <c r="BQ15" s="12">
        <v>0</v>
      </c>
      <c r="BR15" s="12">
        <v>23</v>
      </c>
      <c r="BS15" s="12">
        <v>1</v>
      </c>
      <c r="BT15" s="12">
        <v>4.3478260869565216E-2</v>
      </c>
      <c r="BU15" s="12">
        <v>352</v>
      </c>
      <c r="BV15" s="12">
        <v>2</v>
      </c>
      <c r="BW15" s="12">
        <v>5.681818181818182E-3</v>
      </c>
      <c r="BX15" s="12"/>
      <c r="BY15" s="12"/>
      <c r="BZ15" s="12"/>
      <c r="CA15" s="12">
        <v>36767.47</v>
      </c>
      <c r="CB15" s="13"/>
      <c r="CC15" s="13"/>
      <c r="CD15" s="13"/>
      <c r="CE15" s="12">
        <v>1851</v>
      </c>
      <c r="CF15" s="12">
        <v>243</v>
      </c>
      <c r="CG15" s="13">
        <v>22348</v>
      </c>
      <c r="CH15" s="13">
        <v>44</v>
      </c>
      <c r="CI15" s="13">
        <v>10120</v>
      </c>
    </row>
    <row r="16" spans="2:87" x14ac:dyDescent="0.2">
      <c r="B16" s="5">
        <v>45789</v>
      </c>
      <c r="C16" s="12">
        <v>14</v>
      </c>
      <c r="D16" s="12">
        <v>2.2999999999999998</v>
      </c>
      <c r="E16" s="12">
        <v>126590.636</v>
      </c>
      <c r="F16" s="12">
        <v>0</v>
      </c>
      <c r="G16" s="12">
        <v>1772268.91</v>
      </c>
      <c r="H16" s="12">
        <v>0</v>
      </c>
      <c r="I16" s="12">
        <v>0</v>
      </c>
      <c r="J16" s="12">
        <v>1772268.91</v>
      </c>
      <c r="K16" s="12">
        <v>56000</v>
      </c>
      <c r="L16" s="12">
        <v>0</v>
      </c>
      <c r="M16" s="12">
        <v>336731.09</v>
      </c>
      <c r="N16" s="12">
        <v>2165000</v>
      </c>
      <c r="O16" s="12">
        <v>84033.61</v>
      </c>
      <c r="P16" s="12">
        <v>1688235.3</v>
      </c>
      <c r="Q16" s="12">
        <v>406970</v>
      </c>
      <c r="R16" s="12">
        <v>1281265.3</v>
      </c>
      <c r="S16" s="12">
        <v>0</v>
      </c>
      <c r="T16" s="12">
        <v>32</v>
      </c>
      <c r="U16" s="12">
        <v>0</v>
      </c>
      <c r="V16" s="12">
        <v>0</v>
      </c>
      <c r="W16" s="35">
        <v>46144.261731053244</v>
      </c>
      <c r="X16" s="12">
        <v>6</v>
      </c>
      <c r="Y16" s="12">
        <v>6</v>
      </c>
      <c r="Z16" s="12">
        <v>676470.59</v>
      </c>
      <c r="AA16" s="12">
        <v>112745.098</v>
      </c>
      <c r="AB16" s="12">
        <v>154420</v>
      </c>
      <c r="AC16" s="12">
        <v>438016.98</v>
      </c>
      <c r="AD16" s="12">
        <v>7</v>
      </c>
      <c r="AE16" s="12">
        <v>7</v>
      </c>
      <c r="AF16" s="12">
        <v>1049579.83</v>
      </c>
      <c r="AG16" s="12">
        <v>149939.97500000001</v>
      </c>
      <c r="AH16" s="12">
        <v>242695</v>
      </c>
      <c r="AI16" s="12">
        <v>806884.83</v>
      </c>
      <c r="AJ16" s="12">
        <v>1</v>
      </c>
      <c r="AK16" s="12">
        <v>1</v>
      </c>
      <c r="AL16" s="12">
        <v>46218.49</v>
      </c>
      <c r="AM16" s="12">
        <v>46218.49</v>
      </c>
      <c r="AN16" s="12">
        <v>9855</v>
      </c>
      <c r="AO16" s="12">
        <v>36363.49</v>
      </c>
      <c r="AP16" s="12">
        <v>1772268.91</v>
      </c>
      <c r="AQ16" s="12">
        <v>14</v>
      </c>
      <c r="AR16" s="12">
        <v>126590.636</v>
      </c>
      <c r="AS16" s="12">
        <v>406970</v>
      </c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>
        <v>262</v>
      </c>
      <c r="BG16" s="12">
        <v>1</v>
      </c>
      <c r="BH16" s="12">
        <v>3.8167938931297708E-3</v>
      </c>
      <c r="BI16" s="12">
        <v>14</v>
      </c>
      <c r="BJ16" s="12">
        <v>0</v>
      </c>
      <c r="BK16" s="12">
        <v>0</v>
      </c>
      <c r="BL16" s="12">
        <v>34</v>
      </c>
      <c r="BM16" s="12">
        <v>2</v>
      </c>
      <c r="BN16" s="12">
        <v>5.8823529411764705E-2</v>
      </c>
      <c r="BO16" s="12">
        <v>20</v>
      </c>
      <c r="BP16" s="12">
        <v>0</v>
      </c>
      <c r="BQ16" s="12">
        <v>0</v>
      </c>
      <c r="BR16" s="12">
        <v>62</v>
      </c>
      <c r="BS16" s="12">
        <v>3</v>
      </c>
      <c r="BT16" s="12">
        <v>4.8387096774193547E-2</v>
      </c>
      <c r="BU16" s="12">
        <v>392</v>
      </c>
      <c r="BV16" s="12">
        <v>6</v>
      </c>
      <c r="BW16" s="12">
        <v>1.5306122448979591E-2</v>
      </c>
      <c r="BX16" s="12"/>
      <c r="BY16" s="12"/>
      <c r="BZ16" s="12"/>
      <c r="CA16" s="12">
        <v>41330.35</v>
      </c>
      <c r="CB16" s="13"/>
      <c r="CC16" s="13"/>
      <c r="CD16" s="13"/>
      <c r="CE16" s="12">
        <v>2391</v>
      </c>
      <c r="CF16" s="12">
        <v>258</v>
      </c>
      <c r="CG16" s="13">
        <v>18385</v>
      </c>
      <c r="CH16" s="13">
        <v>32</v>
      </c>
      <c r="CI16" s="13">
        <v>8951</v>
      </c>
    </row>
    <row r="17" spans="2:87" x14ac:dyDescent="0.2">
      <c r="B17" s="5">
        <v>45790</v>
      </c>
      <c r="C17" s="12">
        <v>14</v>
      </c>
      <c r="D17" s="12">
        <v>11.8</v>
      </c>
      <c r="E17" s="12">
        <v>584994.05599999998</v>
      </c>
      <c r="F17" s="12">
        <v>-3</v>
      </c>
      <c r="G17" s="12">
        <v>10510084.83</v>
      </c>
      <c r="H17" s="12">
        <v>-2092436.95</v>
      </c>
      <c r="I17" s="12">
        <v>-227731.09</v>
      </c>
      <c r="J17" s="12">
        <v>8189916.79</v>
      </c>
      <c r="K17" s="12">
        <v>65000</v>
      </c>
      <c r="L17" s="12">
        <v>0</v>
      </c>
      <c r="M17" s="12">
        <v>1556084.21</v>
      </c>
      <c r="N17" s="12">
        <v>9811001</v>
      </c>
      <c r="O17" s="12">
        <v>0.84</v>
      </c>
      <c r="P17" s="12">
        <v>8189915.9500000002</v>
      </c>
      <c r="Q17" s="12">
        <v>2299168</v>
      </c>
      <c r="R17" s="12">
        <v>5890747.9500000002</v>
      </c>
      <c r="S17" s="12">
        <v>0</v>
      </c>
      <c r="T17" s="12">
        <v>165</v>
      </c>
      <c r="U17" s="12">
        <v>0</v>
      </c>
      <c r="V17" s="12">
        <v>0</v>
      </c>
      <c r="W17" s="35">
        <v>46144.261731053244</v>
      </c>
      <c r="X17" s="12">
        <v>7</v>
      </c>
      <c r="Y17" s="12">
        <v>7</v>
      </c>
      <c r="Z17" s="12">
        <v>1107563.8500000001</v>
      </c>
      <c r="AA17" s="12">
        <v>158223.40700000001</v>
      </c>
      <c r="AB17" s="12">
        <v>358415</v>
      </c>
      <c r="AC17" s="12">
        <v>749148.01</v>
      </c>
      <c r="AD17" s="12">
        <v>7</v>
      </c>
      <c r="AE17" s="12">
        <v>7</v>
      </c>
      <c r="AF17" s="12">
        <v>7082352.9400000004</v>
      </c>
      <c r="AG17" s="12">
        <v>1011764.705</v>
      </c>
      <c r="AH17" s="12">
        <v>1940753</v>
      </c>
      <c r="AI17" s="12">
        <v>5141599.9400000004</v>
      </c>
      <c r="AJ17" s="12"/>
      <c r="AK17" s="12"/>
      <c r="AL17" s="12"/>
      <c r="AM17" s="12"/>
      <c r="AN17" s="12"/>
      <c r="AO17" s="12"/>
      <c r="AP17" s="12">
        <v>8189916.79</v>
      </c>
      <c r="AQ17" s="12">
        <v>14</v>
      </c>
      <c r="AR17" s="12">
        <v>584994.05599999998</v>
      </c>
      <c r="AS17" s="12">
        <v>2299168</v>
      </c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>
        <v>273</v>
      </c>
      <c r="BG17" s="12">
        <v>0</v>
      </c>
      <c r="BH17" s="12">
        <v>0</v>
      </c>
      <c r="BI17" s="12">
        <v>21</v>
      </c>
      <c r="BJ17" s="12">
        <v>0</v>
      </c>
      <c r="BK17" s="12">
        <v>0</v>
      </c>
      <c r="BL17" s="12">
        <v>29</v>
      </c>
      <c r="BM17" s="12">
        <v>1</v>
      </c>
      <c r="BN17" s="12">
        <v>3.4482758620689655E-2</v>
      </c>
      <c r="BO17" s="12">
        <v>17</v>
      </c>
      <c r="BP17" s="12">
        <v>0</v>
      </c>
      <c r="BQ17" s="12">
        <v>0</v>
      </c>
      <c r="BR17" s="12">
        <v>135</v>
      </c>
      <c r="BS17" s="12">
        <v>4</v>
      </c>
      <c r="BT17" s="12">
        <v>2.9629629629629631E-2</v>
      </c>
      <c r="BU17" s="12">
        <v>475</v>
      </c>
      <c r="BV17" s="12">
        <v>5</v>
      </c>
      <c r="BW17" s="12">
        <v>1.0526315789473684E-2</v>
      </c>
      <c r="BX17" s="12"/>
      <c r="BY17" s="12"/>
      <c r="BZ17" s="12"/>
      <c r="CA17" s="12">
        <v>42081.83</v>
      </c>
      <c r="CB17" s="13"/>
      <c r="CC17" s="13"/>
      <c r="CD17" s="13"/>
      <c r="CE17" s="12">
        <v>2267</v>
      </c>
      <c r="CF17" s="12">
        <v>237</v>
      </c>
      <c r="CG17" s="13">
        <v>20669</v>
      </c>
      <c r="CH17" s="13">
        <v>49</v>
      </c>
      <c r="CI17" s="13">
        <v>8582</v>
      </c>
    </row>
    <row r="18" spans="2:87" x14ac:dyDescent="0.2">
      <c r="B18" s="5">
        <v>45791</v>
      </c>
      <c r="C18" s="12">
        <v>55</v>
      </c>
      <c r="D18" s="12">
        <v>2.6</v>
      </c>
      <c r="E18" s="12">
        <v>135706.49400000001</v>
      </c>
      <c r="F18" s="12">
        <v>-2</v>
      </c>
      <c r="G18" s="12">
        <v>7649781.5</v>
      </c>
      <c r="H18" s="12">
        <v>-185924.33</v>
      </c>
      <c r="I18" s="12">
        <v>-3361.34</v>
      </c>
      <c r="J18" s="12">
        <v>7460495.8300000001</v>
      </c>
      <c r="K18" s="12">
        <v>79500</v>
      </c>
      <c r="L18" s="12">
        <v>0</v>
      </c>
      <c r="M18" s="12">
        <v>1380254.17</v>
      </c>
      <c r="N18" s="12">
        <v>8920250</v>
      </c>
      <c r="O18" s="12">
        <v>214285.72</v>
      </c>
      <c r="P18" s="12">
        <v>7246210.1100000003</v>
      </c>
      <c r="Q18" s="12">
        <v>1859524</v>
      </c>
      <c r="R18" s="12">
        <v>5386686.1100000003</v>
      </c>
      <c r="S18" s="12">
        <v>0</v>
      </c>
      <c r="T18" s="12">
        <v>140</v>
      </c>
      <c r="U18" s="12">
        <v>0</v>
      </c>
      <c r="V18" s="12">
        <v>0</v>
      </c>
      <c r="W18" s="35">
        <v>46144.261731053244</v>
      </c>
      <c r="X18" s="12">
        <v>11</v>
      </c>
      <c r="Y18" s="12">
        <v>13</v>
      </c>
      <c r="Z18" s="12">
        <v>1284865.56</v>
      </c>
      <c r="AA18" s="12">
        <v>99094.376000000004</v>
      </c>
      <c r="AB18" s="12">
        <v>348270</v>
      </c>
      <c r="AC18" s="12">
        <v>936595.56</v>
      </c>
      <c r="AD18" s="12">
        <v>40</v>
      </c>
      <c r="AE18" s="12">
        <v>40</v>
      </c>
      <c r="AF18" s="12">
        <v>4902521.0199999996</v>
      </c>
      <c r="AG18" s="12">
        <v>122563.02499999999</v>
      </c>
      <c r="AH18" s="12">
        <v>1217595</v>
      </c>
      <c r="AI18" s="12">
        <v>3470640.3</v>
      </c>
      <c r="AJ18" s="12">
        <v>1</v>
      </c>
      <c r="AK18" s="12">
        <v>2</v>
      </c>
      <c r="AL18" s="12">
        <v>1273109.25</v>
      </c>
      <c r="AM18" s="12">
        <v>636554.625</v>
      </c>
      <c r="AN18" s="12">
        <v>293659</v>
      </c>
      <c r="AO18" s="12">
        <v>979450.25</v>
      </c>
      <c r="AP18" s="12">
        <v>7460495.8300000001</v>
      </c>
      <c r="AQ18" s="12">
        <v>55</v>
      </c>
      <c r="AR18" s="12">
        <v>135706.49400000001</v>
      </c>
      <c r="AS18" s="12">
        <v>1859524</v>
      </c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>
        <v>88</v>
      </c>
      <c r="BG18" s="12">
        <v>2</v>
      </c>
      <c r="BH18" s="12">
        <v>2.2727272727272728E-2</v>
      </c>
      <c r="BI18" s="12">
        <v>21</v>
      </c>
      <c r="BJ18" s="12">
        <v>1</v>
      </c>
      <c r="BK18" s="12">
        <v>4.7619047619047616E-2</v>
      </c>
      <c r="BL18" s="12">
        <v>41</v>
      </c>
      <c r="BM18" s="12">
        <v>2</v>
      </c>
      <c r="BN18" s="12">
        <v>4.878048780487805E-2</v>
      </c>
      <c r="BO18" s="12">
        <v>8</v>
      </c>
      <c r="BP18" s="12">
        <v>0</v>
      </c>
      <c r="BQ18" s="12">
        <v>0</v>
      </c>
      <c r="BR18" s="12">
        <v>81</v>
      </c>
      <c r="BS18" s="12">
        <v>7</v>
      </c>
      <c r="BT18" s="12">
        <v>8.6419753086419748E-2</v>
      </c>
      <c r="BU18" s="12">
        <v>239</v>
      </c>
      <c r="BV18" s="12">
        <v>12</v>
      </c>
      <c r="BW18" s="12">
        <v>5.0209205020920501E-2</v>
      </c>
      <c r="BX18" s="12"/>
      <c r="BY18" s="12"/>
      <c r="BZ18" s="12"/>
      <c r="CA18" s="12">
        <v>58238.559999999998</v>
      </c>
      <c r="CB18" s="13"/>
      <c r="CC18" s="13"/>
      <c r="CD18" s="13"/>
      <c r="CE18" s="12">
        <v>1037</v>
      </c>
      <c r="CF18" s="12">
        <v>93</v>
      </c>
      <c r="CG18" s="13">
        <v>18207</v>
      </c>
      <c r="CH18" s="13">
        <v>31</v>
      </c>
      <c r="CI18" s="13">
        <v>7980</v>
      </c>
    </row>
    <row r="19" spans="2:87" x14ac:dyDescent="0.2">
      <c r="B19" s="5">
        <v>45792</v>
      </c>
      <c r="C19" s="12">
        <v>35</v>
      </c>
      <c r="D19" s="12">
        <v>2.6</v>
      </c>
      <c r="E19" s="12">
        <v>153865.59400000001</v>
      </c>
      <c r="F19" s="12">
        <v>-2</v>
      </c>
      <c r="G19" s="12">
        <v>5649413.3799999999</v>
      </c>
      <c r="H19" s="12">
        <v>-114537.76</v>
      </c>
      <c r="I19" s="12">
        <v>-326050.42</v>
      </c>
      <c r="J19" s="12">
        <v>5208825.2</v>
      </c>
      <c r="K19" s="12">
        <v>112500</v>
      </c>
      <c r="L19" s="12">
        <v>0</v>
      </c>
      <c r="M19" s="12">
        <v>989676.8</v>
      </c>
      <c r="N19" s="12">
        <v>6311002</v>
      </c>
      <c r="O19" s="12">
        <v>126052.11</v>
      </c>
      <c r="P19" s="12">
        <v>5082773.09</v>
      </c>
      <c r="Q19" s="12">
        <v>1288710.1200000001</v>
      </c>
      <c r="R19" s="12">
        <v>3794062.97</v>
      </c>
      <c r="S19" s="12">
        <v>0</v>
      </c>
      <c r="T19" s="12">
        <v>91</v>
      </c>
      <c r="U19" s="12">
        <v>0</v>
      </c>
      <c r="V19" s="12">
        <v>0</v>
      </c>
      <c r="W19" s="35">
        <v>46144.261731053244</v>
      </c>
      <c r="X19" s="12">
        <v>12</v>
      </c>
      <c r="Y19" s="12">
        <v>15</v>
      </c>
      <c r="Z19" s="12">
        <v>1571850.43</v>
      </c>
      <c r="AA19" s="12">
        <v>116554.734</v>
      </c>
      <c r="AB19" s="12">
        <v>369966</v>
      </c>
      <c r="AC19" s="12">
        <v>1117849.1299999999</v>
      </c>
      <c r="AD19" s="12">
        <v>17</v>
      </c>
      <c r="AE19" s="12">
        <v>17</v>
      </c>
      <c r="AF19" s="12">
        <v>3103361.33</v>
      </c>
      <c r="AG19" s="12">
        <v>182550.666</v>
      </c>
      <c r="AH19" s="12">
        <v>798377.12</v>
      </c>
      <c r="AI19" s="12">
        <v>2262967.4</v>
      </c>
      <c r="AJ19" s="12">
        <v>1</v>
      </c>
      <c r="AK19" s="12">
        <v>3</v>
      </c>
      <c r="AL19" s="12">
        <v>533613.43999999994</v>
      </c>
      <c r="AM19" s="12">
        <v>177871.14600000001</v>
      </c>
      <c r="AN19" s="12">
        <v>120367</v>
      </c>
      <c r="AO19" s="12">
        <v>413246.44</v>
      </c>
      <c r="AP19" s="12">
        <v>5208825.2</v>
      </c>
      <c r="AQ19" s="12">
        <v>35</v>
      </c>
      <c r="AR19" s="12">
        <v>153865.59400000001</v>
      </c>
      <c r="AS19" s="12">
        <v>1288710.1200000001</v>
      </c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>
        <v>346</v>
      </c>
      <c r="BG19" s="12">
        <v>0</v>
      </c>
      <c r="BH19" s="12">
        <v>0</v>
      </c>
      <c r="BI19" s="12">
        <v>9</v>
      </c>
      <c r="BJ19" s="12">
        <v>0</v>
      </c>
      <c r="BK19" s="12">
        <v>0</v>
      </c>
      <c r="BL19" s="12">
        <v>38</v>
      </c>
      <c r="BM19" s="12">
        <v>1</v>
      </c>
      <c r="BN19" s="12">
        <v>2.6315789473684209E-2</v>
      </c>
      <c r="BO19" s="12">
        <v>41</v>
      </c>
      <c r="BP19" s="12">
        <v>0</v>
      </c>
      <c r="BQ19" s="12">
        <v>0</v>
      </c>
      <c r="BR19" s="12">
        <v>81</v>
      </c>
      <c r="BS19" s="12">
        <v>8</v>
      </c>
      <c r="BT19" s="12">
        <v>9.8765432098765427E-2</v>
      </c>
      <c r="BU19" s="12">
        <v>515</v>
      </c>
      <c r="BV19" s="12">
        <v>9</v>
      </c>
      <c r="BW19" s="12">
        <v>1.7475728155339806E-2</v>
      </c>
      <c r="BX19" s="12"/>
      <c r="BY19" s="12"/>
      <c r="BZ19" s="12"/>
      <c r="CA19" s="12">
        <v>59697.71</v>
      </c>
      <c r="CB19" s="13"/>
      <c r="CC19" s="13"/>
      <c r="CD19" s="13"/>
      <c r="CE19" s="12">
        <v>2480</v>
      </c>
      <c r="CF19" s="12">
        <v>320</v>
      </c>
      <c r="CG19" s="13">
        <v>18719</v>
      </c>
      <c r="CH19" s="13">
        <v>24</v>
      </c>
      <c r="CI19" s="13">
        <v>7930</v>
      </c>
    </row>
    <row r="20" spans="2:87" x14ac:dyDescent="0.2">
      <c r="B20" s="5">
        <v>45793</v>
      </c>
      <c r="C20" s="12">
        <v>11</v>
      </c>
      <c r="D20" s="12">
        <v>8.4</v>
      </c>
      <c r="E20" s="12">
        <v>232073.41399999999</v>
      </c>
      <c r="F20" s="12">
        <v>0</v>
      </c>
      <c r="G20" s="12">
        <v>3001547.06</v>
      </c>
      <c r="H20" s="12">
        <v>-448739.5</v>
      </c>
      <c r="I20" s="12">
        <v>0</v>
      </c>
      <c r="J20" s="12">
        <v>2552807.56</v>
      </c>
      <c r="K20" s="12">
        <v>27000</v>
      </c>
      <c r="L20" s="12">
        <v>0</v>
      </c>
      <c r="M20" s="12">
        <v>485033.44</v>
      </c>
      <c r="N20" s="12">
        <v>3064841</v>
      </c>
      <c r="O20" s="12">
        <v>42017.65</v>
      </c>
      <c r="P20" s="12">
        <v>2510789.91</v>
      </c>
      <c r="Q20" s="12">
        <v>966034</v>
      </c>
      <c r="R20" s="12">
        <v>1544755.91</v>
      </c>
      <c r="S20" s="12">
        <v>0</v>
      </c>
      <c r="T20" s="12">
        <v>92</v>
      </c>
      <c r="U20" s="12">
        <v>0</v>
      </c>
      <c r="V20" s="12">
        <v>0</v>
      </c>
      <c r="W20" s="35">
        <v>46144.261731053244</v>
      </c>
      <c r="X20" s="12">
        <v>8</v>
      </c>
      <c r="Y20" s="12">
        <v>8</v>
      </c>
      <c r="Z20" s="12">
        <v>2193143.69</v>
      </c>
      <c r="AA20" s="12">
        <v>274142.96100000001</v>
      </c>
      <c r="AB20" s="12">
        <v>911147</v>
      </c>
      <c r="AC20" s="12">
        <v>1281995.8500000001</v>
      </c>
      <c r="AD20" s="12">
        <v>3</v>
      </c>
      <c r="AE20" s="12">
        <v>3</v>
      </c>
      <c r="AF20" s="12">
        <v>359663.87</v>
      </c>
      <c r="AG20" s="12">
        <v>119887.95600000001</v>
      </c>
      <c r="AH20" s="12">
        <v>54887</v>
      </c>
      <c r="AI20" s="12">
        <v>262760.06</v>
      </c>
      <c r="AJ20" s="12"/>
      <c r="AK20" s="12"/>
      <c r="AL20" s="12"/>
      <c r="AM20" s="12"/>
      <c r="AN20" s="12"/>
      <c r="AO20" s="12"/>
      <c r="AP20" s="12">
        <v>2552807.56</v>
      </c>
      <c r="AQ20" s="12">
        <v>11</v>
      </c>
      <c r="AR20" s="12">
        <v>232073.41399999999</v>
      </c>
      <c r="AS20" s="12">
        <v>966034</v>
      </c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>
        <v>119</v>
      </c>
      <c r="BG20" s="12">
        <v>0</v>
      </c>
      <c r="BH20" s="12">
        <v>0</v>
      </c>
      <c r="BI20" s="12">
        <v>21</v>
      </c>
      <c r="BJ20" s="12">
        <v>0</v>
      </c>
      <c r="BK20" s="12">
        <v>0</v>
      </c>
      <c r="BL20" s="12">
        <v>35</v>
      </c>
      <c r="BM20" s="12">
        <v>1</v>
      </c>
      <c r="BN20" s="12">
        <v>2.8571428571428571E-2</v>
      </c>
      <c r="BO20" s="12">
        <v>22</v>
      </c>
      <c r="BP20" s="12">
        <v>0</v>
      </c>
      <c r="BQ20" s="12">
        <v>0</v>
      </c>
      <c r="BR20" s="12">
        <v>48</v>
      </c>
      <c r="BS20" s="12">
        <v>3</v>
      </c>
      <c r="BT20" s="12">
        <v>6.25E-2</v>
      </c>
      <c r="BU20" s="12">
        <v>245</v>
      </c>
      <c r="BV20" s="12">
        <v>4</v>
      </c>
      <c r="BW20" s="12">
        <v>1.6326530612244899E-2</v>
      </c>
      <c r="BX20" s="12"/>
      <c r="BY20" s="12"/>
      <c r="BZ20" s="12"/>
      <c r="CA20" s="12">
        <v>16573.68</v>
      </c>
      <c r="CB20" s="13"/>
      <c r="CC20" s="13"/>
      <c r="CD20" s="13"/>
      <c r="CE20" s="12">
        <v>1191</v>
      </c>
      <c r="CF20" s="12">
        <v>115</v>
      </c>
      <c r="CG20" s="13">
        <v>21149</v>
      </c>
      <c r="CH20" s="13">
        <v>41</v>
      </c>
      <c r="CI20" s="13">
        <v>7585</v>
      </c>
    </row>
    <row r="21" spans="2:87" x14ac:dyDescent="0.2">
      <c r="B21" s="5">
        <v>45794</v>
      </c>
      <c r="C21" s="12">
        <v>8</v>
      </c>
      <c r="D21" s="12">
        <v>1.8</v>
      </c>
      <c r="E21" s="12">
        <v>103361.34299999999</v>
      </c>
      <c r="F21" s="12">
        <v>0</v>
      </c>
      <c r="G21" s="12">
        <v>826890.75</v>
      </c>
      <c r="H21" s="12">
        <v>0</v>
      </c>
      <c r="I21" s="12">
        <v>0</v>
      </c>
      <c r="J21" s="12">
        <v>826890.75</v>
      </c>
      <c r="K21" s="12">
        <v>43500</v>
      </c>
      <c r="L21" s="12">
        <v>0</v>
      </c>
      <c r="M21" s="12">
        <v>157109.25</v>
      </c>
      <c r="N21" s="12">
        <v>1027500</v>
      </c>
      <c r="O21" s="12">
        <v>126050.42</v>
      </c>
      <c r="P21" s="12">
        <v>700840.33</v>
      </c>
      <c r="Q21" s="12">
        <v>171744</v>
      </c>
      <c r="R21" s="12">
        <v>529096.32999999996</v>
      </c>
      <c r="S21" s="12">
        <v>0</v>
      </c>
      <c r="T21" s="12">
        <v>14</v>
      </c>
      <c r="U21" s="12">
        <v>0</v>
      </c>
      <c r="V21" s="12">
        <v>0</v>
      </c>
      <c r="W21" s="35">
        <v>46144.261731053244</v>
      </c>
      <c r="X21" s="12">
        <v>4</v>
      </c>
      <c r="Y21" s="12">
        <v>4</v>
      </c>
      <c r="Z21" s="12">
        <v>401680.67</v>
      </c>
      <c r="AA21" s="12">
        <v>100420.167</v>
      </c>
      <c r="AB21" s="12">
        <v>77377</v>
      </c>
      <c r="AC21" s="12">
        <v>240270.06</v>
      </c>
      <c r="AD21" s="12">
        <v>4</v>
      </c>
      <c r="AE21" s="12">
        <v>4</v>
      </c>
      <c r="AF21" s="12">
        <v>425210.08</v>
      </c>
      <c r="AG21" s="12">
        <v>106302.52</v>
      </c>
      <c r="AH21" s="12">
        <v>94367</v>
      </c>
      <c r="AI21" s="12">
        <v>288826.27</v>
      </c>
      <c r="AJ21" s="12"/>
      <c r="AK21" s="12"/>
      <c r="AL21" s="12"/>
      <c r="AM21" s="12"/>
      <c r="AN21" s="12"/>
      <c r="AO21" s="12"/>
      <c r="AP21" s="12">
        <v>826890.75</v>
      </c>
      <c r="AQ21" s="12">
        <v>8</v>
      </c>
      <c r="AR21" s="12">
        <v>103361.34299999999</v>
      </c>
      <c r="AS21" s="12">
        <v>171744</v>
      </c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>
        <v>401</v>
      </c>
      <c r="BG21" s="12">
        <v>1</v>
      </c>
      <c r="BH21" s="12">
        <v>2.4937655860349127E-3</v>
      </c>
      <c r="BI21" s="12">
        <v>19</v>
      </c>
      <c r="BJ21" s="12">
        <v>0</v>
      </c>
      <c r="BK21" s="12">
        <v>0</v>
      </c>
      <c r="BL21" s="12">
        <v>26</v>
      </c>
      <c r="BM21" s="12">
        <v>1</v>
      </c>
      <c r="BN21" s="12">
        <v>3.8461538461538464E-2</v>
      </c>
      <c r="BO21" s="12">
        <v>48</v>
      </c>
      <c r="BP21" s="12">
        <v>0</v>
      </c>
      <c r="BQ21" s="12">
        <v>0</v>
      </c>
      <c r="BR21" s="12">
        <v>36</v>
      </c>
      <c r="BS21" s="12">
        <v>3</v>
      </c>
      <c r="BT21" s="12">
        <v>8.3333333333333329E-2</v>
      </c>
      <c r="BU21" s="12">
        <v>530</v>
      </c>
      <c r="BV21" s="12">
        <v>5</v>
      </c>
      <c r="BW21" s="12">
        <v>9.433962264150943E-3</v>
      </c>
      <c r="BX21" s="12"/>
      <c r="BY21" s="12"/>
      <c r="BZ21" s="12"/>
      <c r="CA21" s="12">
        <v>60697.62</v>
      </c>
      <c r="CB21" s="13"/>
      <c r="CC21" s="13"/>
      <c r="CD21" s="13"/>
      <c r="CE21" s="12">
        <v>3329</v>
      </c>
      <c r="CF21" s="12">
        <v>365</v>
      </c>
      <c r="CG21" s="13">
        <v>20510</v>
      </c>
      <c r="CH21" s="13">
        <v>47</v>
      </c>
      <c r="CI21" s="13">
        <v>8082</v>
      </c>
    </row>
    <row r="22" spans="2:87" x14ac:dyDescent="0.2">
      <c r="B22" s="5">
        <v>45795</v>
      </c>
      <c r="C22" s="12">
        <v>3</v>
      </c>
      <c r="D22" s="12">
        <v>2.7</v>
      </c>
      <c r="E22" s="12">
        <v>154061.62599999999</v>
      </c>
      <c r="F22" s="12">
        <v>0</v>
      </c>
      <c r="G22" s="12">
        <v>462184.88</v>
      </c>
      <c r="H22" s="12">
        <v>0</v>
      </c>
      <c r="I22" s="12">
        <v>0</v>
      </c>
      <c r="J22" s="12">
        <v>462184.88</v>
      </c>
      <c r="K22" s="12">
        <v>38000</v>
      </c>
      <c r="L22" s="12">
        <v>0</v>
      </c>
      <c r="M22" s="12">
        <v>87815.12</v>
      </c>
      <c r="N22" s="12">
        <v>588000</v>
      </c>
      <c r="O22" s="12">
        <v>0</v>
      </c>
      <c r="P22" s="12">
        <v>462184.88</v>
      </c>
      <c r="Q22" s="12">
        <v>122134</v>
      </c>
      <c r="R22" s="12">
        <v>340050.88</v>
      </c>
      <c r="S22" s="12">
        <v>0</v>
      </c>
      <c r="T22" s="12">
        <v>8</v>
      </c>
      <c r="U22" s="12">
        <v>0</v>
      </c>
      <c r="V22" s="12">
        <v>0</v>
      </c>
      <c r="W22" s="35">
        <v>46144.261731053244</v>
      </c>
      <c r="X22" s="12"/>
      <c r="Y22" s="12"/>
      <c r="Z22" s="12"/>
      <c r="AA22" s="12"/>
      <c r="AB22" s="12"/>
      <c r="AC22" s="12"/>
      <c r="AD22" s="12">
        <v>3</v>
      </c>
      <c r="AE22" s="12">
        <v>3</v>
      </c>
      <c r="AF22" s="12">
        <v>462184.88</v>
      </c>
      <c r="AG22" s="12">
        <v>154061.62599999999</v>
      </c>
      <c r="AH22" s="12">
        <v>122134</v>
      </c>
      <c r="AI22" s="12">
        <v>340050.88</v>
      </c>
      <c r="AJ22" s="12"/>
      <c r="AK22" s="12"/>
      <c r="AL22" s="12"/>
      <c r="AM22" s="12"/>
      <c r="AN22" s="12"/>
      <c r="AO22" s="12"/>
      <c r="AP22" s="12">
        <v>462184.88</v>
      </c>
      <c r="AQ22" s="12">
        <v>3</v>
      </c>
      <c r="AR22" s="12">
        <v>154061.62599999999</v>
      </c>
      <c r="AS22" s="12">
        <v>122134</v>
      </c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>
        <v>18</v>
      </c>
      <c r="BG22" s="12">
        <v>2</v>
      </c>
      <c r="BH22" s="12">
        <v>0.1111111111111111</v>
      </c>
      <c r="BI22" s="12">
        <v>26</v>
      </c>
      <c r="BJ22" s="12">
        <v>0</v>
      </c>
      <c r="BK22" s="12">
        <v>0</v>
      </c>
      <c r="BL22" s="12">
        <v>23</v>
      </c>
      <c r="BM22" s="12">
        <v>1</v>
      </c>
      <c r="BN22" s="12">
        <v>4.3478260869565216E-2</v>
      </c>
      <c r="BO22" s="12"/>
      <c r="BP22" s="12"/>
      <c r="BQ22" s="12"/>
      <c r="BR22" s="12">
        <v>35</v>
      </c>
      <c r="BS22" s="12">
        <v>0</v>
      </c>
      <c r="BT22" s="12">
        <v>0</v>
      </c>
      <c r="BU22" s="12">
        <v>102</v>
      </c>
      <c r="BV22" s="12">
        <v>3</v>
      </c>
      <c r="BW22" s="12">
        <v>2.9411764705882353E-2</v>
      </c>
      <c r="BX22" s="12"/>
      <c r="BY22" s="12"/>
      <c r="BZ22" s="12"/>
      <c r="CA22" s="12">
        <v>7353.99</v>
      </c>
      <c r="CB22" s="13"/>
      <c r="CC22" s="13"/>
      <c r="CD22" s="13"/>
      <c r="CE22" s="12">
        <v>400</v>
      </c>
      <c r="CF22" s="12">
        <v>18</v>
      </c>
      <c r="CG22" s="13">
        <v>25101</v>
      </c>
      <c r="CH22" s="13">
        <v>43</v>
      </c>
      <c r="CI22" s="13">
        <v>9016</v>
      </c>
    </row>
    <row r="23" spans="2:87" x14ac:dyDescent="0.2">
      <c r="B23" s="5">
        <v>45796</v>
      </c>
      <c r="C23" s="12">
        <v>11</v>
      </c>
      <c r="D23" s="12">
        <v>1.9</v>
      </c>
      <c r="E23" s="12">
        <v>149503.435</v>
      </c>
      <c r="F23" s="12">
        <v>-1</v>
      </c>
      <c r="G23" s="12">
        <v>1783193.25</v>
      </c>
      <c r="H23" s="12">
        <v>0</v>
      </c>
      <c r="I23" s="12">
        <v>-50420.17</v>
      </c>
      <c r="J23" s="12">
        <v>1732773.08</v>
      </c>
      <c r="K23" s="12">
        <v>56000</v>
      </c>
      <c r="L23" s="12">
        <v>0</v>
      </c>
      <c r="M23" s="12">
        <v>329226.92</v>
      </c>
      <c r="N23" s="12">
        <v>2118000</v>
      </c>
      <c r="O23" s="12">
        <v>0</v>
      </c>
      <c r="P23" s="12">
        <v>1732773.08</v>
      </c>
      <c r="Q23" s="12">
        <v>417373</v>
      </c>
      <c r="R23" s="12">
        <v>1315400.08</v>
      </c>
      <c r="S23" s="12">
        <v>0</v>
      </c>
      <c r="T23" s="12">
        <v>21</v>
      </c>
      <c r="U23" s="12">
        <v>0</v>
      </c>
      <c r="V23" s="12">
        <v>0</v>
      </c>
      <c r="W23" s="35">
        <v>46144.261731053244</v>
      </c>
      <c r="X23" s="12">
        <v>5</v>
      </c>
      <c r="Y23" s="12">
        <v>5</v>
      </c>
      <c r="Z23" s="12">
        <v>542016.80000000005</v>
      </c>
      <c r="AA23" s="12">
        <v>90756.301999999996</v>
      </c>
      <c r="AB23" s="12">
        <v>122084</v>
      </c>
      <c r="AC23" s="12">
        <v>419932.8</v>
      </c>
      <c r="AD23" s="12">
        <v>6</v>
      </c>
      <c r="AE23" s="12">
        <v>6</v>
      </c>
      <c r="AF23" s="12">
        <v>1190756.28</v>
      </c>
      <c r="AG23" s="12">
        <v>198459.38</v>
      </c>
      <c r="AH23" s="12">
        <v>295289</v>
      </c>
      <c r="AI23" s="12">
        <v>895467.28</v>
      </c>
      <c r="AJ23" s="12"/>
      <c r="AK23" s="12"/>
      <c r="AL23" s="12"/>
      <c r="AM23" s="12"/>
      <c r="AN23" s="12"/>
      <c r="AO23" s="12"/>
      <c r="AP23" s="12">
        <v>1732773.08</v>
      </c>
      <c r="AQ23" s="12">
        <v>11</v>
      </c>
      <c r="AR23" s="12">
        <v>149503.435</v>
      </c>
      <c r="AS23" s="12">
        <v>417373</v>
      </c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>
        <v>307</v>
      </c>
      <c r="BG23" s="12">
        <v>0</v>
      </c>
      <c r="BH23" s="12">
        <v>0</v>
      </c>
      <c r="BI23" s="12">
        <v>13</v>
      </c>
      <c r="BJ23" s="12">
        <v>0</v>
      </c>
      <c r="BK23" s="12">
        <v>0</v>
      </c>
      <c r="BL23" s="12">
        <v>40</v>
      </c>
      <c r="BM23" s="12">
        <v>3</v>
      </c>
      <c r="BN23" s="12">
        <v>7.4999999999999997E-2</v>
      </c>
      <c r="BO23" s="12">
        <v>32</v>
      </c>
      <c r="BP23" s="12">
        <v>0</v>
      </c>
      <c r="BQ23" s="12">
        <v>0</v>
      </c>
      <c r="BR23" s="12">
        <v>88</v>
      </c>
      <c r="BS23" s="12">
        <v>5</v>
      </c>
      <c r="BT23" s="12">
        <v>5.6818181818181816E-2</v>
      </c>
      <c r="BU23" s="12">
        <v>480</v>
      </c>
      <c r="BV23" s="12">
        <v>8</v>
      </c>
      <c r="BW23" s="12">
        <v>1.6666666666666666E-2</v>
      </c>
      <c r="BX23" s="12"/>
      <c r="BY23" s="12"/>
      <c r="BZ23" s="12"/>
      <c r="CA23" s="12">
        <v>64442.559999999998</v>
      </c>
      <c r="CB23" s="13"/>
      <c r="CC23" s="13"/>
      <c r="CD23" s="13"/>
      <c r="CE23" s="12">
        <v>2678</v>
      </c>
      <c r="CF23" s="12">
        <v>294</v>
      </c>
      <c r="CG23" s="13">
        <v>20116</v>
      </c>
      <c r="CH23" s="13">
        <v>36</v>
      </c>
      <c r="CI23" s="13">
        <v>8817</v>
      </c>
    </row>
    <row r="24" spans="2:87" x14ac:dyDescent="0.2">
      <c r="B24" s="5">
        <v>45797</v>
      </c>
      <c r="C24" s="12">
        <v>13</v>
      </c>
      <c r="D24" s="12">
        <v>1.8</v>
      </c>
      <c r="E24" s="12">
        <v>133354.88099999999</v>
      </c>
      <c r="F24" s="12">
        <v>-2</v>
      </c>
      <c r="G24" s="12">
        <v>1826050.43</v>
      </c>
      <c r="H24" s="12">
        <v>0</v>
      </c>
      <c r="I24" s="12">
        <v>-92436.98</v>
      </c>
      <c r="J24" s="12">
        <v>1733613.45</v>
      </c>
      <c r="K24" s="12">
        <v>47000</v>
      </c>
      <c r="L24" s="12">
        <v>0</v>
      </c>
      <c r="M24" s="12">
        <v>329386.55</v>
      </c>
      <c r="N24" s="12">
        <v>2110000</v>
      </c>
      <c r="O24" s="12">
        <v>0</v>
      </c>
      <c r="P24" s="12">
        <v>1733613.45</v>
      </c>
      <c r="Q24" s="12">
        <v>358096</v>
      </c>
      <c r="R24" s="12">
        <v>1375517.45</v>
      </c>
      <c r="S24" s="12">
        <v>0</v>
      </c>
      <c r="T24" s="12">
        <v>24</v>
      </c>
      <c r="U24" s="12">
        <v>0</v>
      </c>
      <c r="V24" s="12">
        <v>0</v>
      </c>
      <c r="W24" s="35">
        <v>46144.261731053244</v>
      </c>
      <c r="X24" s="12">
        <v>8</v>
      </c>
      <c r="Y24" s="12">
        <v>8</v>
      </c>
      <c r="Z24" s="12">
        <v>952100.85</v>
      </c>
      <c r="AA24" s="12">
        <v>119012.606</v>
      </c>
      <c r="AB24" s="12">
        <v>217353</v>
      </c>
      <c r="AC24" s="12">
        <v>734747.85</v>
      </c>
      <c r="AD24" s="12">
        <v>5</v>
      </c>
      <c r="AE24" s="12">
        <v>5</v>
      </c>
      <c r="AF24" s="12">
        <v>781512.6</v>
      </c>
      <c r="AG24" s="12">
        <v>156302.522</v>
      </c>
      <c r="AH24" s="12">
        <v>140743</v>
      </c>
      <c r="AI24" s="12">
        <v>640769.6</v>
      </c>
      <c r="AJ24" s="12"/>
      <c r="AK24" s="12"/>
      <c r="AL24" s="12"/>
      <c r="AM24" s="12"/>
      <c r="AN24" s="12"/>
      <c r="AO24" s="12"/>
      <c r="AP24" s="12">
        <v>1733613.45</v>
      </c>
      <c r="AQ24" s="12">
        <v>13</v>
      </c>
      <c r="AR24" s="12">
        <v>133354.88099999999</v>
      </c>
      <c r="AS24" s="12">
        <v>358096</v>
      </c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>
        <v>266</v>
      </c>
      <c r="BG24" s="12">
        <v>0</v>
      </c>
      <c r="BH24" s="12">
        <v>0</v>
      </c>
      <c r="BI24" s="12">
        <v>6</v>
      </c>
      <c r="BJ24" s="12">
        <v>0</v>
      </c>
      <c r="BK24" s="12">
        <v>0</v>
      </c>
      <c r="BL24" s="12">
        <v>29</v>
      </c>
      <c r="BM24" s="12">
        <v>3</v>
      </c>
      <c r="BN24" s="12">
        <v>0.10344827586206896</v>
      </c>
      <c r="BO24" s="12">
        <v>26</v>
      </c>
      <c r="BP24" s="12">
        <v>0</v>
      </c>
      <c r="BQ24" s="12">
        <v>0</v>
      </c>
      <c r="BR24" s="12">
        <v>53</v>
      </c>
      <c r="BS24" s="12">
        <v>5</v>
      </c>
      <c r="BT24" s="12">
        <v>9.4339622641509441E-2</v>
      </c>
      <c r="BU24" s="12">
        <v>380</v>
      </c>
      <c r="BV24" s="12">
        <v>8</v>
      </c>
      <c r="BW24" s="12">
        <v>2.1052631578947368E-2</v>
      </c>
      <c r="BX24" s="12"/>
      <c r="BY24" s="12"/>
      <c r="BZ24" s="12"/>
      <c r="CA24" s="12">
        <v>63646.81</v>
      </c>
      <c r="CB24" s="13"/>
      <c r="CC24" s="13"/>
      <c r="CD24" s="13"/>
      <c r="CE24" s="12">
        <v>2180</v>
      </c>
      <c r="CF24" s="12">
        <v>234</v>
      </c>
      <c r="CG24" s="13">
        <v>17115</v>
      </c>
      <c r="CH24" s="13">
        <v>23</v>
      </c>
      <c r="CI24" s="13">
        <v>7870</v>
      </c>
    </row>
    <row r="25" spans="2:87" x14ac:dyDescent="0.2">
      <c r="B25" s="5">
        <v>45798</v>
      </c>
      <c r="C25" s="12">
        <v>14</v>
      </c>
      <c r="D25" s="12">
        <v>1.9</v>
      </c>
      <c r="E25" s="12">
        <v>134886.08600000001</v>
      </c>
      <c r="F25" s="12">
        <v>0</v>
      </c>
      <c r="G25" s="12">
        <v>1888405.21</v>
      </c>
      <c r="H25" s="12">
        <v>0</v>
      </c>
      <c r="I25" s="12">
        <v>0</v>
      </c>
      <c r="J25" s="12">
        <v>1888405.21</v>
      </c>
      <c r="K25" s="12">
        <v>233000</v>
      </c>
      <c r="L25" s="12">
        <v>0</v>
      </c>
      <c r="M25" s="12">
        <v>358796.79</v>
      </c>
      <c r="N25" s="12">
        <v>2480202</v>
      </c>
      <c r="O25" s="12">
        <v>1.84</v>
      </c>
      <c r="P25" s="12">
        <v>1888403.37</v>
      </c>
      <c r="Q25" s="12">
        <v>513818</v>
      </c>
      <c r="R25" s="12">
        <v>1374585.37</v>
      </c>
      <c r="S25" s="12">
        <v>0</v>
      </c>
      <c r="T25" s="12">
        <v>27</v>
      </c>
      <c r="U25" s="12">
        <v>0</v>
      </c>
      <c r="V25" s="12">
        <v>0</v>
      </c>
      <c r="W25" s="35">
        <v>46144.261731053244</v>
      </c>
      <c r="X25" s="12">
        <v>6</v>
      </c>
      <c r="Y25" s="12">
        <v>6</v>
      </c>
      <c r="Z25" s="12">
        <v>449581.67</v>
      </c>
      <c r="AA25" s="12">
        <v>74930.278000000006</v>
      </c>
      <c r="AB25" s="12">
        <v>101263</v>
      </c>
      <c r="AC25" s="12">
        <v>348316.83</v>
      </c>
      <c r="AD25" s="12">
        <v>7</v>
      </c>
      <c r="AE25" s="12">
        <v>7</v>
      </c>
      <c r="AF25" s="12">
        <v>1337983.2</v>
      </c>
      <c r="AG25" s="12">
        <v>191140.45699999999</v>
      </c>
      <c r="AH25" s="12">
        <v>391662</v>
      </c>
      <c r="AI25" s="12">
        <v>946321.2</v>
      </c>
      <c r="AJ25" s="12">
        <v>1</v>
      </c>
      <c r="AK25" s="12">
        <v>1</v>
      </c>
      <c r="AL25" s="12">
        <v>100840.34</v>
      </c>
      <c r="AM25" s="12">
        <v>100840.34</v>
      </c>
      <c r="AN25" s="12">
        <v>20893</v>
      </c>
      <c r="AO25" s="12">
        <v>79947.34</v>
      </c>
      <c r="AP25" s="12">
        <v>1888405.21</v>
      </c>
      <c r="AQ25" s="12">
        <v>14</v>
      </c>
      <c r="AR25" s="12">
        <v>134886.08600000001</v>
      </c>
      <c r="AS25" s="12">
        <v>513818</v>
      </c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>
        <v>85</v>
      </c>
      <c r="BG25" s="12">
        <v>2</v>
      </c>
      <c r="BH25" s="12">
        <v>2.3529411764705882E-2</v>
      </c>
      <c r="BI25" s="12">
        <v>17</v>
      </c>
      <c r="BJ25" s="12">
        <v>0</v>
      </c>
      <c r="BK25" s="12">
        <v>0</v>
      </c>
      <c r="BL25" s="12">
        <v>26</v>
      </c>
      <c r="BM25" s="12">
        <v>0</v>
      </c>
      <c r="BN25" s="12">
        <v>0</v>
      </c>
      <c r="BO25" s="12">
        <v>6</v>
      </c>
      <c r="BP25" s="12">
        <v>0</v>
      </c>
      <c r="BQ25" s="12">
        <v>0</v>
      </c>
      <c r="BR25" s="12">
        <v>60</v>
      </c>
      <c r="BS25" s="12">
        <v>3</v>
      </c>
      <c r="BT25" s="12">
        <v>0.05</v>
      </c>
      <c r="BU25" s="12">
        <v>194</v>
      </c>
      <c r="BV25" s="12">
        <v>5</v>
      </c>
      <c r="BW25" s="12">
        <v>2.5773195876288658E-2</v>
      </c>
      <c r="BX25" s="12"/>
      <c r="BY25" s="12"/>
      <c r="BZ25" s="12"/>
      <c r="CA25" s="12">
        <v>28907.02</v>
      </c>
      <c r="CB25" s="13"/>
      <c r="CC25" s="13"/>
      <c r="CD25" s="13"/>
      <c r="CE25" s="12">
        <v>1035</v>
      </c>
      <c r="CF25" s="12">
        <v>70</v>
      </c>
      <c r="CG25" s="13">
        <v>18047</v>
      </c>
      <c r="CH25" s="13">
        <v>22</v>
      </c>
      <c r="CI25" s="13">
        <v>7486</v>
      </c>
    </row>
    <row r="26" spans="2:87" x14ac:dyDescent="0.2">
      <c r="B26" s="5">
        <v>45799</v>
      </c>
      <c r="C26" s="12">
        <v>12</v>
      </c>
      <c r="D26" s="12">
        <v>2.1</v>
      </c>
      <c r="E26" s="12">
        <v>131862.745</v>
      </c>
      <c r="F26" s="12">
        <v>0</v>
      </c>
      <c r="G26" s="12">
        <v>1599159.67</v>
      </c>
      <c r="H26" s="12">
        <v>-16806.72</v>
      </c>
      <c r="I26" s="12">
        <v>0</v>
      </c>
      <c r="J26" s="12">
        <v>1582352.95</v>
      </c>
      <c r="K26" s="12">
        <v>41500</v>
      </c>
      <c r="L26" s="12">
        <v>0</v>
      </c>
      <c r="M26" s="12">
        <v>300647.05</v>
      </c>
      <c r="N26" s="12">
        <v>1924500</v>
      </c>
      <c r="O26" s="12">
        <v>0</v>
      </c>
      <c r="P26" s="12">
        <v>1582352.95</v>
      </c>
      <c r="Q26" s="12">
        <v>424106</v>
      </c>
      <c r="R26" s="12">
        <v>1158246.95</v>
      </c>
      <c r="S26" s="12">
        <v>0</v>
      </c>
      <c r="T26" s="12">
        <v>25</v>
      </c>
      <c r="U26" s="12">
        <v>0</v>
      </c>
      <c r="V26" s="12">
        <v>0</v>
      </c>
      <c r="W26" s="35">
        <v>46144.261731053244</v>
      </c>
      <c r="X26" s="12">
        <v>6</v>
      </c>
      <c r="Y26" s="12">
        <v>6</v>
      </c>
      <c r="Z26" s="12">
        <v>1022689.08</v>
      </c>
      <c r="AA26" s="12">
        <v>170448.18</v>
      </c>
      <c r="AB26" s="12">
        <v>270057</v>
      </c>
      <c r="AC26" s="12">
        <v>752632.08</v>
      </c>
      <c r="AD26" s="12">
        <v>6</v>
      </c>
      <c r="AE26" s="12">
        <v>6</v>
      </c>
      <c r="AF26" s="12">
        <v>559663.87</v>
      </c>
      <c r="AG26" s="12">
        <v>93277.311000000002</v>
      </c>
      <c r="AH26" s="12">
        <v>154049</v>
      </c>
      <c r="AI26" s="12">
        <v>405614.87</v>
      </c>
      <c r="AJ26" s="12"/>
      <c r="AK26" s="12"/>
      <c r="AL26" s="12"/>
      <c r="AM26" s="12"/>
      <c r="AN26" s="12"/>
      <c r="AO26" s="12"/>
      <c r="AP26" s="12">
        <v>1582352.95</v>
      </c>
      <c r="AQ26" s="12">
        <v>12</v>
      </c>
      <c r="AR26" s="12">
        <v>131862.745</v>
      </c>
      <c r="AS26" s="12">
        <v>424106</v>
      </c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>
        <v>323</v>
      </c>
      <c r="BG26" s="12">
        <v>2</v>
      </c>
      <c r="BH26" s="12">
        <v>6.1919504643962852E-3</v>
      </c>
      <c r="BI26" s="12">
        <v>9</v>
      </c>
      <c r="BJ26" s="12">
        <v>0</v>
      </c>
      <c r="BK26" s="12">
        <v>0</v>
      </c>
      <c r="BL26" s="12">
        <v>30</v>
      </c>
      <c r="BM26" s="12">
        <v>2</v>
      </c>
      <c r="BN26" s="12">
        <v>6.6666666666666666E-2</v>
      </c>
      <c r="BO26" s="12">
        <v>66</v>
      </c>
      <c r="BP26" s="12">
        <v>0</v>
      </c>
      <c r="BQ26" s="12">
        <v>0</v>
      </c>
      <c r="BR26" s="12">
        <v>63</v>
      </c>
      <c r="BS26" s="12">
        <v>0</v>
      </c>
      <c r="BT26" s="12">
        <v>0</v>
      </c>
      <c r="BU26" s="12">
        <v>491</v>
      </c>
      <c r="BV26" s="12">
        <v>4</v>
      </c>
      <c r="BW26" s="12">
        <v>8.1466395112016286E-3</v>
      </c>
      <c r="BX26" s="12"/>
      <c r="BY26" s="12"/>
      <c r="BZ26" s="12"/>
      <c r="CA26" s="12">
        <v>109443.11</v>
      </c>
      <c r="CB26" s="13"/>
      <c r="CC26" s="13"/>
      <c r="CD26" s="13"/>
      <c r="CE26" s="12">
        <v>3068</v>
      </c>
      <c r="CF26" s="12">
        <v>326</v>
      </c>
      <c r="CG26" s="13">
        <v>18157</v>
      </c>
      <c r="CH26" s="13">
        <v>28</v>
      </c>
      <c r="CI26" s="13">
        <v>7468</v>
      </c>
    </row>
    <row r="27" spans="2:87" x14ac:dyDescent="0.2">
      <c r="B27" s="5">
        <v>45800</v>
      </c>
      <c r="C27" s="12">
        <v>9</v>
      </c>
      <c r="D27" s="12">
        <v>1.6</v>
      </c>
      <c r="E27" s="12">
        <v>80578.898000000001</v>
      </c>
      <c r="F27" s="12">
        <v>0</v>
      </c>
      <c r="G27" s="12">
        <v>725210.09</v>
      </c>
      <c r="H27" s="12">
        <v>0</v>
      </c>
      <c r="I27" s="12">
        <v>0</v>
      </c>
      <c r="J27" s="12">
        <v>725210.09</v>
      </c>
      <c r="K27" s="12">
        <v>0</v>
      </c>
      <c r="L27" s="12">
        <v>0</v>
      </c>
      <c r="M27" s="12">
        <v>137789.91</v>
      </c>
      <c r="N27" s="12">
        <v>863000</v>
      </c>
      <c r="O27" s="12">
        <v>0</v>
      </c>
      <c r="P27" s="12">
        <v>725210.09</v>
      </c>
      <c r="Q27" s="12">
        <v>142506</v>
      </c>
      <c r="R27" s="12">
        <v>582704.09</v>
      </c>
      <c r="S27" s="12">
        <v>0</v>
      </c>
      <c r="T27" s="12">
        <v>14</v>
      </c>
      <c r="U27" s="12">
        <v>0</v>
      </c>
      <c r="V27" s="12">
        <v>0</v>
      </c>
      <c r="W27" s="35">
        <v>46144.261731053244</v>
      </c>
      <c r="X27" s="12">
        <v>7</v>
      </c>
      <c r="Y27" s="12">
        <v>7</v>
      </c>
      <c r="Z27" s="12">
        <v>560504.19999999995</v>
      </c>
      <c r="AA27" s="12">
        <v>80072.028000000006</v>
      </c>
      <c r="AB27" s="12">
        <v>101489</v>
      </c>
      <c r="AC27" s="12">
        <v>459015.2</v>
      </c>
      <c r="AD27" s="12">
        <v>2</v>
      </c>
      <c r="AE27" s="12">
        <v>2</v>
      </c>
      <c r="AF27" s="12">
        <v>164705.89000000001</v>
      </c>
      <c r="AG27" s="12">
        <v>82352.945000000007</v>
      </c>
      <c r="AH27" s="12">
        <v>41017</v>
      </c>
      <c r="AI27" s="12">
        <v>123688.89</v>
      </c>
      <c r="AJ27" s="12"/>
      <c r="AK27" s="12"/>
      <c r="AL27" s="12"/>
      <c r="AM27" s="12"/>
      <c r="AN27" s="12"/>
      <c r="AO27" s="12"/>
      <c r="AP27" s="12">
        <v>725210.09</v>
      </c>
      <c r="AQ27" s="12">
        <v>9</v>
      </c>
      <c r="AR27" s="12">
        <v>80578.898000000001</v>
      </c>
      <c r="AS27" s="12">
        <v>142506</v>
      </c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>
        <v>174</v>
      </c>
      <c r="BG27" s="12">
        <v>0</v>
      </c>
      <c r="BH27" s="12">
        <v>0</v>
      </c>
      <c r="BI27" s="12">
        <v>16</v>
      </c>
      <c r="BJ27" s="12">
        <v>0</v>
      </c>
      <c r="BK27" s="12">
        <v>0</v>
      </c>
      <c r="BL27" s="12">
        <v>33</v>
      </c>
      <c r="BM27" s="12">
        <v>0</v>
      </c>
      <c r="BN27" s="12">
        <v>0</v>
      </c>
      <c r="BO27" s="12">
        <v>22</v>
      </c>
      <c r="BP27" s="12">
        <v>0</v>
      </c>
      <c r="BQ27" s="12">
        <v>0</v>
      </c>
      <c r="BR27" s="12">
        <v>36</v>
      </c>
      <c r="BS27" s="12">
        <v>2</v>
      </c>
      <c r="BT27" s="12">
        <v>5.5555555555555552E-2</v>
      </c>
      <c r="BU27" s="12">
        <v>281</v>
      </c>
      <c r="BV27" s="12">
        <v>2</v>
      </c>
      <c r="BW27" s="12">
        <v>7.1174377224199285E-3</v>
      </c>
      <c r="BX27" s="12"/>
      <c r="BY27" s="12"/>
      <c r="BZ27" s="12"/>
      <c r="CA27" s="12">
        <v>47372.95</v>
      </c>
      <c r="CB27" s="13"/>
      <c r="CC27" s="13"/>
      <c r="CD27" s="13"/>
      <c r="CE27" s="12">
        <v>1957</v>
      </c>
      <c r="CF27" s="12">
        <v>186</v>
      </c>
      <c r="CG27" s="13">
        <v>19350</v>
      </c>
      <c r="CH27" s="13">
        <v>35</v>
      </c>
      <c r="CI27" s="13">
        <v>7509</v>
      </c>
    </row>
    <row r="28" spans="2:87" x14ac:dyDescent="0.2">
      <c r="B28" s="5">
        <v>45801</v>
      </c>
      <c r="C28" s="12">
        <v>7</v>
      </c>
      <c r="D28" s="12">
        <v>2.4</v>
      </c>
      <c r="E28" s="12">
        <v>134213.68700000001</v>
      </c>
      <c r="F28" s="12">
        <v>0</v>
      </c>
      <c r="G28" s="12">
        <v>999495.81</v>
      </c>
      <c r="H28" s="12">
        <v>-60000</v>
      </c>
      <c r="I28" s="12">
        <v>0</v>
      </c>
      <c r="J28" s="12">
        <v>939495.81</v>
      </c>
      <c r="K28" s="12">
        <v>47000</v>
      </c>
      <c r="L28" s="12">
        <v>0</v>
      </c>
      <c r="M28" s="12">
        <v>178504.19</v>
      </c>
      <c r="N28" s="12">
        <v>1165000</v>
      </c>
      <c r="O28" s="12">
        <v>0</v>
      </c>
      <c r="P28" s="12">
        <v>939495.81</v>
      </c>
      <c r="Q28" s="12">
        <v>230460</v>
      </c>
      <c r="R28" s="12">
        <v>709035.81</v>
      </c>
      <c r="S28" s="12">
        <v>0</v>
      </c>
      <c r="T28" s="12">
        <v>17</v>
      </c>
      <c r="U28" s="12">
        <v>0</v>
      </c>
      <c r="V28" s="12">
        <v>0</v>
      </c>
      <c r="W28" s="35">
        <v>46144.261731053244</v>
      </c>
      <c r="X28" s="12">
        <v>3</v>
      </c>
      <c r="Y28" s="12">
        <v>3</v>
      </c>
      <c r="Z28" s="12">
        <v>281512.61</v>
      </c>
      <c r="AA28" s="12">
        <v>93837.535999999993</v>
      </c>
      <c r="AB28" s="12">
        <v>56570</v>
      </c>
      <c r="AC28" s="12">
        <v>224942.61</v>
      </c>
      <c r="AD28" s="12">
        <v>4</v>
      </c>
      <c r="AE28" s="12">
        <v>4</v>
      </c>
      <c r="AF28" s="12">
        <v>657983.19999999995</v>
      </c>
      <c r="AG28" s="12">
        <v>164495.79999999999</v>
      </c>
      <c r="AH28" s="12">
        <v>173890</v>
      </c>
      <c r="AI28" s="12">
        <v>484093.2</v>
      </c>
      <c r="AJ28" s="12"/>
      <c r="AK28" s="12"/>
      <c r="AL28" s="12"/>
      <c r="AM28" s="12"/>
      <c r="AN28" s="12"/>
      <c r="AO28" s="12"/>
      <c r="AP28" s="12">
        <v>939495.81</v>
      </c>
      <c r="AQ28" s="12">
        <v>7</v>
      </c>
      <c r="AR28" s="12">
        <v>134213.68700000001</v>
      </c>
      <c r="AS28" s="12">
        <v>230460</v>
      </c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>
        <v>146</v>
      </c>
      <c r="BG28" s="12">
        <v>0</v>
      </c>
      <c r="BH28" s="12">
        <v>0</v>
      </c>
      <c r="BI28" s="12">
        <v>21</v>
      </c>
      <c r="BJ28" s="12">
        <v>1</v>
      </c>
      <c r="BK28" s="12">
        <v>4.7619047619047616E-2</v>
      </c>
      <c r="BL28" s="12">
        <v>31</v>
      </c>
      <c r="BM28" s="12">
        <v>0</v>
      </c>
      <c r="BN28" s="12">
        <v>0</v>
      </c>
      <c r="BO28" s="12">
        <v>27</v>
      </c>
      <c r="BP28" s="12">
        <v>0</v>
      </c>
      <c r="BQ28" s="12">
        <v>0</v>
      </c>
      <c r="BR28" s="12">
        <v>42</v>
      </c>
      <c r="BS28" s="12">
        <v>4</v>
      </c>
      <c r="BT28" s="12">
        <v>9.5238095238095233E-2</v>
      </c>
      <c r="BU28" s="12">
        <v>267</v>
      </c>
      <c r="BV28" s="12">
        <v>5</v>
      </c>
      <c r="BW28" s="12">
        <v>1.8726591760299626E-2</v>
      </c>
      <c r="BX28" s="12"/>
      <c r="BY28" s="12"/>
      <c r="BZ28" s="12"/>
      <c r="CA28" s="12">
        <v>60445.77</v>
      </c>
      <c r="CB28" s="13"/>
      <c r="CC28" s="13"/>
      <c r="CD28" s="13"/>
      <c r="CE28" s="12">
        <v>2038</v>
      </c>
      <c r="CF28" s="12">
        <v>183</v>
      </c>
      <c r="CG28" s="13">
        <v>21545</v>
      </c>
      <c r="CH28" s="13">
        <v>34</v>
      </c>
      <c r="CI28" s="13">
        <v>7613</v>
      </c>
    </row>
    <row r="29" spans="2:87" x14ac:dyDescent="0.2">
      <c r="B29" s="5">
        <v>45802</v>
      </c>
      <c r="C29" s="12">
        <v>7</v>
      </c>
      <c r="D29" s="12">
        <v>3</v>
      </c>
      <c r="E29" s="12">
        <v>228211.28200000001</v>
      </c>
      <c r="F29" s="12">
        <v>0</v>
      </c>
      <c r="G29" s="12">
        <v>1597478.98</v>
      </c>
      <c r="H29" s="12">
        <v>0</v>
      </c>
      <c r="I29" s="12">
        <v>0</v>
      </c>
      <c r="J29" s="12">
        <v>1597478.98</v>
      </c>
      <c r="K29" s="12">
        <v>56000</v>
      </c>
      <c r="L29" s="12">
        <v>0</v>
      </c>
      <c r="M29" s="12">
        <v>303521.02</v>
      </c>
      <c r="N29" s="12">
        <v>1957000</v>
      </c>
      <c r="O29" s="12">
        <v>0</v>
      </c>
      <c r="P29" s="12">
        <v>1597478.98</v>
      </c>
      <c r="Q29" s="12">
        <v>439602</v>
      </c>
      <c r="R29" s="12">
        <v>1157876.98</v>
      </c>
      <c r="S29" s="12">
        <v>0</v>
      </c>
      <c r="T29" s="12">
        <v>21</v>
      </c>
      <c r="U29" s="12">
        <v>0</v>
      </c>
      <c r="V29" s="12">
        <v>0</v>
      </c>
      <c r="W29" s="35">
        <v>46144.261731053244</v>
      </c>
      <c r="X29" s="12">
        <v>2</v>
      </c>
      <c r="Y29" s="12">
        <v>2</v>
      </c>
      <c r="Z29" s="12">
        <v>242016.81</v>
      </c>
      <c r="AA29" s="12">
        <v>121008.405</v>
      </c>
      <c r="AB29" s="12">
        <v>79801</v>
      </c>
      <c r="AC29" s="12">
        <v>162215.81</v>
      </c>
      <c r="AD29" s="12">
        <v>5</v>
      </c>
      <c r="AE29" s="12">
        <v>5</v>
      </c>
      <c r="AF29" s="12">
        <v>1355462.17</v>
      </c>
      <c r="AG29" s="12">
        <v>271092.43400000001</v>
      </c>
      <c r="AH29" s="12">
        <v>359801</v>
      </c>
      <c r="AI29" s="12">
        <v>995661.17</v>
      </c>
      <c r="AJ29" s="12"/>
      <c r="AK29" s="12"/>
      <c r="AL29" s="12"/>
      <c r="AM29" s="12"/>
      <c r="AN29" s="12"/>
      <c r="AO29" s="12"/>
      <c r="AP29" s="12">
        <v>1597478.98</v>
      </c>
      <c r="AQ29" s="12">
        <v>7</v>
      </c>
      <c r="AR29" s="12">
        <v>228211.28200000001</v>
      </c>
      <c r="AS29" s="12">
        <v>439602</v>
      </c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>
        <v>299</v>
      </c>
      <c r="BG29" s="12">
        <v>2</v>
      </c>
      <c r="BH29" s="12">
        <v>6.688963210702341E-3</v>
      </c>
      <c r="BI29" s="12">
        <v>20</v>
      </c>
      <c r="BJ29" s="12">
        <v>1</v>
      </c>
      <c r="BK29" s="12">
        <v>0.05</v>
      </c>
      <c r="BL29" s="12">
        <v>33</v>
      </c>
      <c r="BM29" s="12">
        <v>2</v>
      </c>
      <c r="BN29" s="12">
        <v>6.0606060606060608E-2</v>
      </c>
      <c r="BO29" s="12">
        <v>51</v>
      </c>
      <c r="BP29" s="12">
        <v>0</v>
      </c>
      <c r="BQ29" s="12">
        <v>0</v>
      </c>
      <c r="BR29" s="12">
        <v>36</v>
      </c>
      <c r="BS29" s="12">
        <v>2</v>
      </c>
      <c r="BT29" s="12">
        <v>5.5555555555555552E-2</v>
      </c>
      <c r="BU29" s="12">
        <v>439</v>
      </c>
      <c r="BV29" s="12">
        <v>7</v>
      </c>
      <c r="BW29" s="12">
        <v>1.5945330296127564E-2</v>
      </c>
      <c r="BX29" s="12"/>
      <c r="BY29" s="12"/>
      <c r="BZ29" s="12"/>
      <c r="CA29" s="12">
        <v>81616.03</v>
      </c>
      <c r="CB29" s="13"/>
      <c r="CC29" s="13"/>
      <c r="CD29" s="13"/>
      <c r="CE29" s="12">
        <v>4275</v>
      </c>
      <c r="CF29" s="12">
        <v>332</v>
      </c>
      <c r="CG29" s="13">
        <v>16445</v>
      </c>
      <c r="CH29" s="13">
        <v>31</v>
      </c>
      <c r="CI29" s="13">
        <v>2268</v>
      </c>
    </row>
    <row r="30" spans="2:87" x14ac:dyDescent="0.2">
      <c r="B30" s="5">
        <v>45803</v>
      </c>
      <c r="C30" s="12">
        <v>4</v>
      </c>
      <c r="D30" s="12">
        <v>3.2</v>
      </c>
      <c r="E30" s="12">
        <v>204609.245</v>
      </c>
      <c r="F30" s="12">
        <v>-1</v>
      </c>
      <c r="G30" s="12">
        <v>1091899.1399999999</v>
      </c>
      <c r="H30" s="12">
        <v>-67579.81</v>
      </c>
      <c r="I30" s="12">
        <v>-151260.5</v>
      </c>
      <c r="J30" s="12">
        <v>873058.83</v>
      </c>
      <c r="K30" s="12">
        <v>18000</v>
      </c>
      <c r="L30" s="12">
        <v>0</v>
      </c>
      <c r="M30" s="12">
        <v>165881.17000000001</v>
      </c>
      <c r="N30" s="12">
        <v>1056940</v>
      </c>
      <c r="O30" s="12">
        <v>0</v>
      </c>
      <c r="P30" s="12">
        <v>873058.83</v>
      </c>
      <c r="Q30" s="12">
        <v>270790</v>
      </c>
      <c r="R30" s="12">
        <v>602268.82999999996</v>
      </c>
      <c r="S30" s="12">
        <v>0</v>
      </c>
      <c r="T30" s="12">
        <v>14</v>
      </c>
      <c r="U30" s="12">
        <v>0</v>
      </c>
      <c r="V30" s="12">
        <v>0</v>
      </c>
      <c r="W30" s="35">
        <v>46144.261731053244</v>
      </c>
      <c r="X30" s="12">
        <v>3</v>
      </c>
      <c r="Y30" s="12">
        <v>3</v>
      </c>
      <c r="Z30" s="12">
        <v>759613.45</v>
      </c>
      <c r="AA30" s="12">
        <v>253204.48300000001</v>
      </c>
      <c r="AB30" s="12">
        <v>227966</v>
      </c>
      <c r="AC30" s="12">
        <v>531647.44999999995</v>
      </c>
      <c r="AD30" s="12">
        <v>1</v>
      </c>
      <c r="AE30" s="12">
        <v>1</v>
      </c>
      <c r="AF30" s="12">
        <v>113445.38</v>
      </c>
      <c r="AG30" s="12">
        <v>58823.53</v>
      </c>
      <c r="AH30" s="12">
        <v>42824</v>
      </c>
      <c r="AI30" s="12">
        <v>70621.38</v>
      </c>
      <c r="AJ30" s="12"/>
      <c r="AK30" s="12"/>
      <c r="AL30" s="12"/>
      <c r="AM30" s="12"/>
      <c r="AN30" s="12"/>
      <c r="AO30" s="12"/>
      <c r="AP30" s="12">
        <v>873058.83</v>
      </c>
      <c r="AQ30" s="12">
        <v>4</v>
      </c>
      <c r="AR30" s="12">
        <v>204609.245</v>
      </c>
      <c r="AS30" s="12">
        <v>270790</v>
      </c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>
        <v>38</v>
      </c>
      <c r="BG30" s="12">
        <v>1</v>
      </c>
      <c r="BH30" s="12">
        <v>2.6315789473684209E-2</v>
      </c>
      <c r="BI30" s="12">
        <v>15</v>
      </c>
      <c r="BJ30" s="12">
        <v>0</v>
      </c>
      <c r="BK30" s="12">
        <v>0</v>
      </c>
      <c r="BL30" s="12">
        <v>37</v>
      </c>
      <c r="BM30" s="12">
        <v>0</v>
      </c>
      <c r="BN30" s="12">
        <v>0</v>
      </c>
      <c r="BO30" s="12">
        <v>3</v>
      </c>
      <c r="BP30" s="12">
        <v>0</v>
      </c>
      <c r="BQ30" s="12">
        <v>0</v>
      </c>
      <c r="BR30" s="12">
        <v>47</v>
      </c>
      <c r="BS30" s="12">
        <v>0</v>
      </c>
      <c r="BT30" s="12">
        <v>0</v>
      </c>
      <c r="BU30" s="12">
        <v>140</v>
      </c>
      <c r="BV30" s="12">
        <v>1</v>
      </c>
      <c r="BW30" s="12">
        <v>7.1428571428571426E-3</v>
      </c>
      <c r="BX30" s="12"/>
      <c r="BY30" s="12"/>
      <c r="BZ30" s="12"/>
      <c r="CA30" s="12">
        <v>56182.99</v>
      </c>
      <c r="CB30" s="13"/>
      <c r="CC30" s="13"/>
      <c r="CD30" s="13"/>
      <c r="CE30" s="12">
        <v>1003</v>
      </c>
      <c r="CF30" s="12">
        <v>50</v>
      </c>
      <c r="CG30" s="13">
        <v>16157</v>
      </c>
      <c r="CH30" s="13">
        <v>31</v>
      </c>
      <c r="CI30" s="13">
        <v>1601</v>
      </c>
    </row>
    <row r="31" spans="2:87" x14ac:dyDescent="0.2">
      <c r="B31" s="5">
        <v>45804</v>
      </c>
      <c r="C31" s="12">
        <v>33</v>
      </c>
      <c r="D31" s="12">
        <v>2.8</v>
      </c>
      <c r="E31" s="12">
        <v>209156.073</v>
      </c>
      <c r="F31" s="12">
        <v>-6</v>
      </c>
      <c r="G31" s="12">
        <v>7026052.8399999999</v>
      </c>
      <c r="H31" s="12">
        <v>-123902.43</v>
      </c>
      <c r="I31" s="12">
        <v>-541656.30000000005</v>
      </c>
      <c r="J31" s="12">
        <v>6360494.1100000003</v>
      </c>
      <c r="K31" s="12">
        <v>253174</v>
      </c>
      <c r="L31" s="12">
        <v>0</v>
      </c>
      <c r="M31" s="12">
        <v>1208493.8899999999</v>
      </c>
      <c r="N31" s="12">
        <v>7822162</v>
      </c>
      <c r="O31" s="12">
        <v>2.52</v>
      </c>
      <c r="P31" s="12">
        <v>6360491.5899999999</v>
      </c>
      <c r="Q31" s="12">
        <v>1553585</v>
      </c>
      <c r="R31" s="12">
        <v>4806906.59</v>
      </c>
      <c r="S31" s="12">
        <v>0</v>
      </c>
      <c r="T31" s="12">
        <v>85</v>
      </c>
      <c r="U31" s="12">
        <v>0</v>
      </c>
      <c r="V31" s="12">
        <v>0</v>
      </c>
      <c r="W31" s="35">
        <v>46144.261731053244</v>
      </c>
      <c r="X31" s="12">
        <v>12</v>
      </c>
      <c r="Y31" s="12">
        <v>14</v>
      </c>
      <c r="Z31" s="12">
        <v>2516795.7999999998</v>
      </c>
      <c r="AA31" s="12">
        <v>179771.128</v>
      </c>
      <c r="AB31" s="12">
        <v>617584</v>
      </c>
      <c r="AC31" s="12">
        <v>1899210.12</v>
      </c>
      <c r="AD31" s="12">
        <v>16</v>
      </c>
      <c r="AE31" s="12">
        <v>16</v>
      </c>
      <c r="AF31" s="12">
        <v>3650420.16</v>
      </c>
      <c r="AG31" s="12">
        <v>228151.26</v>
      </c>
      <c r="AH31" s="12">
        <v>892335</v>
      </c>
      <c r="AI31" s="12">
        <v>2758085.16</v>
      </c>
      <c r="AJ31" s="12">
        <v>1</v>
      </c>
      <c r="AK31" s="12">
        <v>3</v>
      </c>
      <c r="AL31" s="12">
        <v>193278.15</v>
      </c>
      <c r="AM31" s="12">
        <v>244978.15</v>
      </c>
      <c r="AN31" s="12">
        <v>43666</v>
      </c>
      <c r="AO31" s="12">
        <v>149611.31</v>
      </c>
      <c r="AP31" s="12">
        <v>6360494.1100000003</v>
      </c>
      <c r="AQ31" s="12">
        <v>33</v>
      </c>
      <c r="AR31" s="12">
        <v>209156.073</v>
      </c>
      <c r="AS31" s="12">
        <v>1553585</v>
      </c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>
        <v>352</v>
      </c>
      <c r="BG31" s="12">
        <v>2</v>
      </c>
      <c r="BH31" s="12">
        <v>5.681818181818182E-3</v>
      </c>
      <c r="BI31" s="12">
        <v>34</v>
      </c>
      <c r="BJ31" s="12">
        <v>1</v>
      </c>
      <c r="BK31" s="12">
        <v>2.9411764705882353E-2</v>
      </c>
      <c r="BL31" s="12">
        <v>26</v>
      </c>
      <c r="BM31" s="12">
        <v>1</v>
      </c>
      <c r="BN31" s="12">
        <v>3.8461538461538464E-2</v>
      </c>
      <c r="BO31" s="12">
        <v>34</v>
      </c>
      <c r="BP31" s="12">
        <v>0</v>
      </c>
      <c r="BQ31" s="12">
        <v>0</v>
      </c>
      <c r="BR31" s="12">
        <v>49</v>
      </c>
      <c r="BS31" s="12">
        <v>1</v>
      </c>
      <c r="BT31" s="12">
        <v>2.0408163265306121E-2</v>
      </c>
      <c r="BU31" s="12">
        <v>495</v>
      </c>
      <c r="BV31" s="12">
        <v>5</v>
      </c>
      <c r="BW31" s="12">
        <v>1.0101010101010102E-2</v>
      </c>
      <c r="BX31" s="12"/>
      <c r="BY31" s="12"/>
      <c r="BZ31" s="12"/>
      <c r="CA31" s="12">
        <v>47802.7</v>
      </c>
      <c r="CB31" s="13"/>
      <c r="CC31" s="13"/>
      <c r="CD31" s="13"/>
      <c r="CE31" s="12">
        <v>3521</v>
      </c>
      <c r="CF31" s="12">
        <v>355</v>
      </c>
      <c r="CG31" s="13">
        <v>15341</v>
      </c>
      <c r="CH31" s="13">
        <v>42</v>
      </c>
      <c r="CI31" s="13">
        <v>1464</v>
      </c>
    </row>
    <row r="32" spans="2:87" x14ac:dyDescent="0.2">
      <c r="B32" s="5">
        <v>45805</v>
      </c>
      <c r="C32" s="12">
        <v>15</v>
      </c>
      <c r="D32" s="12">
        <v>9.3000000000000007</v>
      </c>
      <c r="E32" s="12">
        <v>287338.935</v>
      </c>
      <c r="F32" s="12">
        <v>0</v>
      </c>
      <c r="G32" s="12">
        <v>4310084.03</v>
      </c>
      <c r="H32" s="12">
        <v>0</v>
      </c>
      <c r="I32" s="12">
        <v>0</v>
      </c>
      <c r="J32" s="12">
        <v>4310084.03</v>
      </c>
      <c r="K32" s="12">
        <v>157000</v>
      </c>
      <c r="L32" s="12">
        <v>0</v>
      </c>
      <c r="M32" s="12">
        <v>818915.97</v>
      </c>
      <c r="N32" s="12">
        <v>5286000</v>
      </c>
      <c r="O32" s="12">
        <v>0</v>
      </c>
      <c r="P32" s="12">
        <v>4310084.03</v>
      </c>
      <c r="Q32" s="12">
        <v>1052286</v>
      </c>
      <c r="R32" s="12">
        <v>3257798.03</v>
      </c>
      <c r="S32" s="12">
        <v>0</v>
      </c>
      <c r="T32" s="12">
        <v>139</v>
      </c>
      <c r="U32" s="12">
        <v>0</v>
      </c>
      <c r="V32" s="12">
        <v>0</v>
      </c>
      <c r="W32" s="35">
        <v>46144.261731053244</v>
      </c>
      <c r="X32" s="12">
        <v>10</v>
      </c>
      <c r="Y32" s="12">
        <v>11</v>
      </c>
      <c r="Z32" s="12">
        <v>1757142.86</v>
      </c>
      <c r="AA32" s="12">
        <v>159740.26</v>
      </c>
      <c r="AB32" s="12">
        <v>467332</v>
      </c>
      <c r="AC32" s="12">
        <v>1289810.8600000001</v>
      </c>
      <c r="AD32" s="12">
        <v>4</v>
      </c>
      <c r="AE32" s="12">
        <v>4</v>
      </c>
      <c r="AF32" s="12">
        <v>2552941.17</v>
      </c>
      <c r="AG32" s="12">
        <v>638235.29200000002</v>
      </c>
      <c r="AH32" s="12">
        <v>584954</v>
      </c>
      <c r="AI32" s="12">
        <v>1967987.17</v>
      </c>
      <c r="AJ32" s="12"/>
      <c r="AK32" s="12"/>
      <c r="AL32" s="12"/>
      <c r="AM32" s="12"/>
      <c r="AN32" s="12"/>
      <c r="AO32" s="12"/>
      <c r="AP32" s="12">
        <v>4310084.03</v>
      </c>
      <c r="AQ32" s="12">
        <v>15</v>
      </c>
      <c r="AR32" s="12">
        <v>287338.935</v>
      </c>
      <c r="AS32" s="12">
        <v>1052286</v>
      </c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>
        <v>106</v>
      </c>
      <c r="BG32" s="12">
        <v>0</v>
      </c>
      <c r="BH32" s="12">
        <v>0</v>
      </c>
      <c r="BI32" s="12">
        <v>15</v>
      </c>
      <c r="BJ32" s="12">
        <v>1</v>
      </c>
      <c r="BK32" s="12">
        <v>6.6666666666666666E-2</v>
      </c>
      <c r="BL32" s="12">
        <v>43</v>
      </c>
      <c r="BM32" s="12">
        <v>1</v>
      </c>
      <c r="BN32" s="12">
        <v>2.3255813953488372E-2</v>
      </c>
      <c r="BO32" s="12">
        <v>16</v>
      </c>
      <c r="BP32" s="12">
        <v>0</v>
      </c>
      <c r="BQ32" s="12">
        <v>0</v>
      </c>
      <c r="BR32" s="12">
        <v>140</v>
      </c>
      <c r="BS32" s="12">
        <v>8</v>
      </c>
      <c r="BT32" s="12">
        <v>5.7142857142857141E-2</v>
      </c>
      <c r="BU32" s="12">
        <v>320</v>
      </c>
      <c r="BV32" s="12">
        <v>10</v>
      </c>
      <c r="BW32" s="12">
        <v>3.125E-2</v>
      </c>
      <c r="BX32" s="12"/>
      <c r="BY32" s="12"/>
      <c r="BZ32" s="12"/>
      <c r="CA32" s="12">
        <v>49449.03</v>
      </c>
      <c r="CB32" s="13"/>
      <c r="CC32" s="13"/>
      <c r="CD32" s="13"/>
      <c r="CE32" s="12">
        <v>1485</v>
      </c>
      <c r="CF32" s="12">
        <v>141</v>
      </c>
      <c r="CG32" s="13">
        <v>12960</v>
      </c>
      <c r="CH32" s="13">
        <v>21</v>
      </c>
      <c r="CI32" s="13">
        <v>1160</v>
      </c>
    </row>
    <row r="33" spans="2:87" x14ac:dyDescent="0.2">
      <c r="B33" s="5">
        <v>45806</v>
      </c>
      <c r="C33" s="12">
        <v>10</v>
      </c>
      <c r="D33" s="12">
        <v>1.5</v>
      </c>
      <c r="E33" s="12">
        <v>113949.58</v>
      </c>
      <c r="F33" s="12">
        <v>0</v>
      </c>
      <c r="G33" s="12">
        <v>1139495.8</v>
      </c>
      <c r="H33" s="12">
        <v>0</v>
      </c>
      <c r="I33" s="12">
        <v>0</v>
      </c>
      <c r="J33" s="12">
        <v>1139495.8</v>
      </c>
      <c r="K33" s="12">
        <v>62500</v>
      </c>
      <c r="L33" s="12">
        <v>0</v>
      </c>
      <c r="M33" s="12">
        <v>216504.2</v>
      </c>
      <c r="N33" s="12">
        <v>1418500</v>
      </c>
      <c r="O33" s="12">
        <v>0</v>
      </c>
      <c r="P33" s="12">
        <v>1139495.8</v>
      </c>
      <c r="Q33" s="12">
        <v>393430</v>
      </c>
      <c r="R33" s="12">
        <v>746065.8</v>
      </c>
      <c r="S33" s="12">
        <v>0</v>
      </c>
      <c r="T33" s="12">
        <v>15</v>
      </c>
      <c r="U33" s="12">
        <v>0</v>
      </c>
      <c r="V33" s="12">
        <v>0</v>
      </c>
      <c r="W33" s="35">
        <v>46144.261731053244</v>
      </c>
      <c r="X33" s="12">
        <v>8</v>
      </c>
      <c r="Y33" s="12">
        <v>8</v>
      </c>
      <c r="Z33" s="12">
        <v>941176.47</v>
      </c>
      <c r="AA33" s="12">
        <v>117647.058</v>
      </c>
      <c r="AB33" s="12">
        <v>339963</v>
      </c>
      <c r="AC33" s="12">
        <v>601213.47</v>
      </c>
      <c r="AD33" s="12">
        <v>2</v>
      </c>
      <c r="AE33" s="12">
        <v>2</v>
      </c>
      <c r="AF33" s="12">
        <v>198319.33</v>
      </c>
      <c r="AG33" s="12">
        <v>99159.664999999994</v>
      </c>
      <c r="AH33" s="12">
        <v>53467</v>
      </c>
      <c r="AI33" s="12">
        <v>144852.32999999999</v>
      </c>
      <c r="AJ33" s="12"/>
      <c r="AK33" s="12"/>
      <c r="AL33" s="12"/>
      <c r="AM33" s="12"/>
      <c r="AN33" s="12"/>
      <c r="AO33" s="12"/>
      <c r="AP33" s="12">
        <v>1139495.8</v>
      </c>
      <c r="AQ33" s="12">
        <v>10</v>
      </c>
      <c r="AR33" s="12">
        <v>113949.58</v>
      </c>
      <c r="AS33" s="12">
        <v>393430</v>
      </c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>
        <v>309</v>
      </c>
      <c r="BG33" s="12">
        <v>0</v>
      </c>
      <c r="BH33" s="12">
        <v>0</v>
      </c>
      <c r="BI33" s="12">
        <v>23</v>
      </c>
      <c r="BJ33" s="12">
        <v>0</v>
      </c>
      <c r="BK33" s="12">
        <v>0</v>
      </c>
      <c r="BL33" s="12">
        <v>27</v>
      </c>
      <c r="BM33" s="12">
        <v>0</v>
      </c>
      <c r="BN33" s="12">
        <v>0</v>
      </c>
      <c r="BO33" s="12">
        <v>56</v>
      </c>
      <c r="BP33" s="12">
        <v>0</v>
      </c>
      <c r="BQ33" s="12">
        <v>0</v>
      </c>
      <c r="BR33" s="12">
        <v>70</v>
      </c>
      <c r="BS33" s="12">
        <v>5</v>
      </c>
      <c r="BT33" s="12">
        <v>7.1428571428571425E-2</v>
      </c>
      <c r="BU33" s="12">
        <v>485</v>
      </c>
      <c r="BV33" s="12">
        <v>5</v>
      </c>
      <c r="BW33" s="12">
        <v>1.0309278350515464E-2</v>
      </c>
      <c r="BX33" s="12"/>
      <c r="BY33" s="12"/>
      <c r="BZ33" s="12"/>
      <c r="CA33" s="12">
        <v>60651.06</v>
      </c>
      <c r="CB33" s="13"/>
      <c r="CC33" s="13"/>
      <c r="CD33" s="13"/>
      <c r="CE33" s="12">
        <v>3159</v>
      </c>
      <c r="CF33" s="12">
        <v>331</v>
      </c>
      <c r="CG33" s="13">
        <v>29142</v>
      </c>
      <c r="CH33" s="13">
        <v>31</v>
      </c>
      <c r="CI33" s="13">
        <v>2175</v>
      </c>
    </row>
    <row r="34" spans="2:87" x14ac:dyDescent="0.2">
      <c r="B34" s="5">
        <v>45807</v>
      </c>
      <c r="C34" s="12">
        <v>7</v>
      </c>
      <c r="D34" s="12">
        <v>4.7</v>
      </c>
      <c r="E34" s="12">
        <v>349099.641</v>
      </c>
      <c r="F34" s="12">
        <v>-5</v>
      </c>
      <c r="G34" s="12">
        <v>2443697.4900000002</v>
      </c>
      <c r="H34" s="12">
        <v>0</v>
      </c>
      <c r="I34" s="12">
        <v>-377080.24</v>
      </c>
      <c r="J34" s="12">
        <v>2066617.25</v>
      </c>
      <c r="K34" s="12">
        <v>62500</v>
      </c>
      <c r="L34" s="12">
        <v>0</v>
      </c>
      <c r="M34" s="12">
        <v>392657.26</v>
      </c>
      <c r="N34" s="12">
        <v>2521774.5099999998</v>
      </c>
      <c r="O34" s="12">
        <v>0</v>
      </c>
      <c r="P34" s="12">
        <v>2066617.25</v>
      </c>
      <c r="Q34" s="12">
        <v>674813</v>
      </c>
      <c r="R34" s="12">
        <v>1391804.25</v>
      </c>
      <c r="S34" s="12">
        <v>0</v>
      </c>
      <c r="T34" s="12">
        <v>28</v>
      </c>
      <c r="U34" s="12">
        <v>0</v>
      </c>
      <c r="V34" s="12">
        <v>0</v>
      </c>
      <c r="W34" s="35">
        <v>46144.261731053244</v>
      </c>
      <c r="X34" s="12">
        <v>5</v>
      </c>
      <c r="Y34" s="12">
        <v>5</v>
      </c>
      <c r="Z34" s="12">
        <v>2271428.58</v>
      </c>
      <c r="AA34" s="12">
        <v>454285.71600000001</v>
      </c>
      <c r="AB34" s="12">
        <v>693176</v>
      </c>
      <c r="AC34" s="12">
        <v>1578252.58</v>
      </c>
      <c r="AD34" s="12">
        <v>2</v>
      </c>
      <c r="AE34" s="12">
        <v>2</v>
      </c>
      <c r="AF34" s="12">
        <v>-204811.33</v>
      </c>
      <c r="AG34" s="12">
        <v>86134.455000000002</v>
      </c>
      <c r="AH34" s="12">
        <v>-18363</v>
      </c>
      <c r="AI34" s="12">
        <v>-186448.33</v>
      </c>
      <c r="AJ34" s="12"/>
      <c r="AK34" s="12"/>
      <c r="AL34" s="12"/>
      <c r="AM34" s="12"/>
      <c r="AN34" s="12"/>
      <c r="AO34" s="12"/>
      <c r="AP34" s="12">
        <v>2066617.25</v>
      </c>
      <c r="AQ34" s="12">
        <v>7</v>
      </c>
      <c r="AR34" s="12">
        <v>349099.641</v>
      </c>
      <c r="AS34" s="12">
        <v>674813</v>
      </c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>
        <v>11</v>
      </c>
      <c r="BG34" s="12">
        <v>0</v>
      </c>
      <c r="BH34" s="12">
        <v>0</v>
      </c>
      <c r="BI34" s="12">
        <v>37</v>
      </c>
      <c r="BJ34" s="12">
        <v>0</v>
      </c>
      <c r="BK34" s="12">
        <v>0</v>
      </c>
      <c r="BL34" s="12">
        <v>24</v>
      </c>
      <c r="BM34" s="12">
        <v>0</v>
      </c>
      <c r="BN34" s="12">
        <v>0</v>
      </c>
      <c r="BO34" s="12"/>
      <c r="BP34" s="12"/>
      <c r="BQ34" s="12"/>
      <c r="BR34" s="12">
        <v>43</v>
      </c>
      <c r="BS34" s="12">
        <v>3</v>
      </c>
      <c r="BT34" s="12">
        <v>6.9767441860465115E-2</v>
      </c>
      <c r="BU34" s="12">
        <v>115</v>
      </c>
      <c r="BV34" s="12">
        <v>3</v>
      </c>
      <c r="BW34" s="12">
        <v>2.6086956521739129E-2</v>
      </c>
      <c r="BX34" s="12"/>
      <c r="BY34" s="12"/>
      <c r="BZ34" s="12"/>
      <c r="CA34" s="12">
        <v>19382.919999999998</v>
      </c>
      <c r="CB34" s="13"/>
      <c r="CC34" s="13"/>
      <c r="CD34" s="13"/>
      <c r="CE34" s="12">
        <v>414</v>
      </c>
      <c r="CF34" s="12">
        <v>19</v>
      </c>
      <c r="CG34" s="13">
        <v>28264</v>
      </c>
      <c r="CH34" s="13">
        <v>50</v>
      </c>
      <c r="CI34" s="13">
        <v>1904</v>
      </c>
    </row>
    <row r="35" spans="2:87" x14ac:dyDescent="0.2">
      <c r="B35" s="5">
        <v>45808</v>
      </c>
      <c r="C35" s="12">
        <v>4</v>
      </c>
      <c r="D35" s="12">
        <v>1.5</v>
      </c>
      <c r="E35" s="12">
        <v>109453.78200000001</v>
      </c>
      <c r="F35" s="12">
        <v>0</v>
      </c>
      <c r="G35" s="12">
        <v>446218.49</v>
      </c>
      <c r="H35" s="12">
        <v>-8403.36</v>
      </c>
      <c r="I35" s="12">
        <v>0</v>
      </c>
      <c r="J35" s="12">
        <v>437815.13</v>
      </c>
      <c r="K35" s="12">
        <v>14500</v>
      </c>
      <c r="L35" s="12">
        <v>0</v>
      </c>
      <c r="M35" s="12">
        <v>83184.87</v>
      </c>
      <c r="N35" s="12">
        <v>535500</v>
      </c>
      <c r="O35" s="12">
        <v>0</v>
      </c>
      <c r="P35" s="12">
        <v>437815.13</v>
      </c>
      <c r="Q35" s="12">
        <v>113564</v>
      </c>
      <c r="R35" s="12">
        <v>324251.13</v>
      </c>
      <c r="S35" s="12">
        <v>0</v>
      </c>
      <c r="T35" s="12">
        <v>6</v>
      </c>
      <c r="U35" s="12">
        <v>0</v>
      </c>
      <c r="V35" s="12">
        <v>0</v>
      </c>
      <c r="W35" s="35">
        <v>46144.261731053244</v>
      </c>
      <c r="X35" s="12">
        <v>2</v>
      </c>
      <c r="Y35" s="12">
        <v>2</v>
      </c>
      <c r="Z35" s="12">
        <v>319327.73</v>
      </c>
      <c r="AA35" s="12">
        <v>159663.86499999999</v>
      </c>
      <c r="AB35" s="12">
        <v>82402</v>
      </c>
      <c r="AC35" s="12">
        <v>236925.73</v>
      </c>
      <c r="AD35" s="12">
        <v>2</v>
      </c>
      <c r="AE35" s="12">
        <v>2</v>
      </c>
      <c r="AF35" s="12">
        <v>118487.4</v>
      </c>
      <c r="AG35" s="12">
        <v>59243.7</v>
      </c>
      <c r="AH35" s="12">
        <v>31162</v>
      </c>
      <c r="AI35" s="12">
        <v>87325.4</v>
      </c>
      <c r="AJ35" s="12"/>
      <c r="AK35" s="12"/>
      <c r="AL35" s="12"/>
      <c r="AM35" s="12"/>
      <c r="AN35" s="12"/>
      <c r="AO35" s="12"/>
      <c r="AP35" s="12">
        <v>437815.13</v>
      </c>
      <c r="AQ35" s="12">
        <v>4</v>
      </c>
      <c r="AR35" s="12">
        <v>109453.78200000001</v>
      </c>
      <c r="AS35" s="12">
        <v>113564</v>
      </c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>
        <v>243</v>
      </c>
      <c r="BG35" s="12">
        <v>0</v>
      </c>
      <c r="BH35" s="12">
        <v>0</v>
      </c>
      <c r="BI35" s="12">
        <v>30</v>
      </c>
      <c r="BJ35" s="12">
        <v>0</v>
      </c>
      <c r="BK35" s="12">
        <v>0</v>
      </c>
      <c r="BL35" s="12">
        <v>32</v>
      </c>
      <c r="BM35" s="12">
        <v>1</v>
      </c>
      <c r="BN35" s="12">
        <v>3.125E-2</v>
      </c>
      <c r="BO35" s="12">
        <v>34</v>
      </c>
      <c r="BP35" s="12">
        <v>0</v>
      </c>
      <c r="BQ35" s="12">
        <v>0</v>
      </c>
      <c r="BR35" s="12">
        <v>22</v>
      </c>
      <c r="BS35" s="12">
        <v>0</v>
      </c>
      <c r="BT35" s="12">
        <v>0</v>
      </c>
      <c r="BU35" s="12">
        <v>361</v>
      </c>
      <c r="BV35" s="12">
        <v>1</v>
      </c>
      <c r="BW35" s="12">
        <v>2.7700831024930748E-3</v>
      </c>
      <c r="BX35" s="12"/>
      <c r="BY35" s="12"/>
      <c r="BZ35" s="12"/>
      <c r="CA35" s="12">
        <v>46911.21</v>
      </c>
      <c r="CB35" s="13"/>
      <c r="CC35" s="13"/>
      <c r="CD35" s="13"/>
      <c r="CE35" s="12">
        <v>2490</v>
      </c>
      <c r="CF35" s="12">
        <v>286</v>
      </c>
      <c r="CG35" s="13">
        <v>26572</v>
      </c>
      <c r="CH35" s="13">
        <v>56</v>
      </c>
      <c r="CI35" s="13">
        <v>1555</v>
      </c>
    </row>
    <row r="36" spans="2:87" x14ac:dyDescent="0.2">
      <c r="B36" s="5">
        <v>45809</v>
      </c>
      <c r="C36" s="12">
        <v>10</v>
      </c>
      <c r="D36" s="12">
        <v>2.1</v>
      </c>
      <c r="E36" s="12">
        <v>118487.39599999999</v>
      </c>
      <c r="F36" s="12">
        <v>0</v>
      </c>
      <c r="G36" s="12">
        <v>1184873.96</v>
      </c>
      <c r="H36" s="12">
        <v>0</v>
      </c>
      <c r="I36" s="12">
        <v>0</v>
      </c>
      <c r="J36" s="12">
        <v>1184873.96</v>
      </c>
      <c r="K36" s="12">
        <v>85000</v>
      </c>
      <c r="L36" s="12">
        <v>0</v>
      </c>
      <c r="M36" s="12">
        <v>225126.04</v>
      </c>
      <c r="N36" s="12">
        <v>1495000</v>
      </c>
      <c r="O36" s="12">
        <v>0</v>
      </c>
      <c r="P36" s="12">
        <v>1184873.96</v>
      </c>
      <c r="Q36" s="12">
        <v>321197</v>
      </c>
      <c r="R36" s="12">
        <v>863676.96</v>
      </c>
      <c r="S36" s="12">
        <v>0</v>
      </c>
      <c r="T36" s="12">
        <v>21</v>
      </c>
      <c r="U36" s="12">
        <v>0</v>
      </c>
      <c r="V36" s="12">
        <v>0</v>
      </c>
      <c r="W36" s="35">
        <v>46144.261731053244</v>
      </c>
      <c r="X36" s="12">
        <v>3</v>
      </c>
      <c r="Y36" s="12">
        <v>4</v>
      </c>
      <c r="Z36" s="12">
        <v>336134.46</v>
      </c>
      <c r="AA36" s="12">
        <v>84033.615000000005</v>
      </c>
      <c r="AB36" s="12">
        <v>96196</v>
      </c>
      <c r="AC36" s="12">
        <v>239938.46</v>
      </c>
      <c r="AD36" s="12">
        <v>6</v>
      </c>
      <c r="AE36" s="12">
        <v>6</v>
      </c>
      <c r="AF36" s="12">
        <v>848739.5</v>
      </c>
      <c r="AG36" s="12">
        <v>141456.58300000001</v>
      </c>
      <c r="AH36" s="12">
        <v>225001</v>
      </c>
      <c r="AI36" s="12">
        <v>623738.5</v>
      </c>
      <c r="AJ36" s="12"/>
      <c r="AK36" s="12"/>
      <c r="AL36" s="12"/>
      <c r="AM36" s="12"/>
      <c r="AN36" s="12"/>
      <c r="AO36" s="12"/>
      <c r="AP36" s="12">
        <v>1184873.96</v>
      </c>
      <c r="AQ36" s="12">
        <v>10</v>
      </c>
      <c r="AR36" s="12">
        <v>118487.39599999999</v>
      </c>
      <c r="AS36" s="12">
        <v>321197</v>
      </c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>
        <v>189</v>
      </c>
      <c r="BG36" s="12">
        <v>0</v>
      </c>
      <c r="BH36" s="12">
        <v>0</v>
      </c>
      <c r="BI36" s="12">
        <v>35</v>
      </c>
      <c r="BJ36" s="12">
        <v>5</v>
      </c>
      <c r="BK36" s="12">
        <v>0.14285714285714285</v>
      </c>
      <c r="BL36" s="12">
        <v>43</v>
      </c>
      <c r="BM36" s="12">
        <v>2</v>
      </c>
      <c r="BN36" s="12">
        <v>4.6511627906976744E-2</v>
      </c>
      <c r="BO36" s="12">
        <v>50</v>
      </c>
      <c r="BP36" s="12">
        <v>0</v>
      </c>
      <c r="BQ36" s="12">
        <v>0</v>
      </c>
      <c r="BR36" s="12">
        <v>30</v>
      </c>
      <c r="BS36" s="12">
        <v>2</v>
      </c>
      <c r="BT36" s="12">
        <v>6.6666666666666666E-2</v>
      </c>
      <c r="BU36" s="12">
        <v>347</v>
      </c>
      <c r="BV36" s="12">
        <v>9</v>
      </c>
      <c r="BW36" s="12">
        <v>2.5936599423631124E-2</v>
      </c>
      <c r="BX36" s="12"/>
      <c r="BY36" s="12"/>
      <c r="BZ36" s="12"/>
      <c r="CA36" s="12">
        <v>45483.4</v>
      </c>
      <c r="CB36" s="13"/>
      <c r="CC36" s="13"/>
      <c r="CD36" s="13"/>
      <c r="CE36" s="12">
        <v>2560</v>
      </c>
      <c r="CF36" s="12">
        <v>241</v>
      </c>
      <c r="CG36" s="13">
        <v>33971</v>
      </c>
      <c r="CH36" s="13">
        <v>72</v>
      </c>
      <c r="CI36" s="13">
        <v>3090</v>
      </c>
    </row>
    <row r="37" spans="2:87" x14ac:dyDescent="0.2">
      <c r="B37" s="5">
        <v>45810</v>
      </c>
      <c r="C37" s="12">
        <v>7</v>
      </c>
      <c r="D37" s="12">
        <v>1.7</v>
      </c>
      <c r="E37" s="12">
        <v>123649.461</v>
      </c>
      <c r="F37" s="12">
        <v>0</v>
      </c>
      <c r="G37" s="12">
        <v>865546.23</v>
      </c>
      <c r="H37" s="12">
        <v>0</v>
      </c>
      <c r="I37" s="12">
        <v>0</v>
      </c>
      <c r="J37" s="12">
        <v>865546.23</v>
      </c>
      <c r="K37" s="12">
        <v>59500</v>
      </c>
      <c r="L37" s="12">
        <v>0</v>
      </c>
      <c r="M37" s="12">
        <v>164453.76999999999</v>
      </c>
      <c r="N37" s="12">
        <v>1089500</v>
      </c>
      <c r="O37" s="12">
        <v>0</v>
      </c>
      <c r="P37" s="12">
        <v>865546.23</v>
      </c>
      <c r="Q37" s="12">
        <v>191003</v>
      </c>
      <c r="R37" s="12">
        <v>674543.23</v>
      </c>
      <c r="S37" s="12">
        <v>0</v>
      </c>
      <c r="T37" s="12">
        <v>12</v>
      </c>
      <c r="U37" s="12">
        <v>0</v>
      </c>
      <c r="V37" s="12">
        <v>0</v>
      </c>
      <c r="W37" s="35">
        <v>46144.261731053244</v>
      </c>
      <c r="X37" s="12">
        <v>2</v>
      </c>
      <c r="Y37" s="12">
        <v>2</v>
      </c>
      <c r="Z37" s="12">
        <v>243697.48</v>
      </c>
      <c r="AA37" s="12">
        <v>121848.74</v>
      </c>
      <c r="AB37" s="12">
        <v>55951</v>
      </c>
      <c r="AC37" s="12">
        <v>187746.48</v>
      </c>
      <c r="AD37" s="12">
        <v>5</v>
      </c>
      <c r="AE37" s="12">
        <v>5</v>
      </c>
      <c r="AF37" s="12">
        <v>621848.75</v>
      </c>
      <c r="AG37" s="12">
        <v>124369.75</v>
      </c>
      <c r="AH37" s="12">
        <v>135052</v>
      </c>
      <c r="AI37" s="12">
        <v>486796.75</v>
      </c>
      <c r="AJ37" s="12"/>
      <c r="AK37" s="12"/>
      <c r="AL37" s="12"/>
      <c r="AM37" s="12"/>
      <c r="AN37" s="12"/>
      <c r="AO37" s="12"/>
      <c r="AP37" s="12">
        <v>865546.23</v>
      </c>
      <c r="AQ37" s="12">
        <v>7</v>
      </c>
      <c r="AR37" s="12">
        <v>123649.461</v>
      </c>
      <c r="AS37" s="12">
        <v>191003</v>
      </c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>
        <v>231</v>
      </c>
      <c r="BG37" s="12">
        <v>2</v>
      </c>
      <c r="BH37" s="12">
        <v>8.658008658008658E-3</v>
      </c>
      <c r="BI37" s="12">
        <v>43</v>
      </c>
      <c r="BJ37" s="12">
        <v>0</v>
      </c>
      <c r="BK37" s="12">
        <v>0</v>
      </c>
      <c r="BL37" s="12">
        <v>41</v>
      </c>
      <c r="BM37" s="12">
        <v>2</v>
      </c>
      <c r="BN37" s="12">
        <v>4.878048780487805E-2</v>
      </c>
      <c r="BO37" s="12">
        <v>34</v>
      </c>
      <c r="BP37" s="12">
        <v>0</v>
      </c>
      <c r="BQ37" s="12">
        <v>0</v>
      </c>
      <c r="BR37" s="12">
        <v>57</v>
      </c>
      <c r="BS37" s="12">
        <v>2</v>
      </c>
      <c r="BT37" s="12">
        <v>3.5087719298245612E-2</v>
      </c>
      <c r="BU37" s="12">
        <v>407</v>
      </c>
      <c r="BV37" s="12">
        <v>6</v>
      </c>
      <c r="BW37" s="12">
        <v>1.4742014742014743E-2</v>
      </c>
      <c r="BX37" s="12">
        <v>1</v>
      </c>
      <c r="BY37" s="12">
        <v>0</v>
      </c>
      <c r="BZ37" s="12">
        <v>0</v>
      </c>
      <c r="CA37" s="12">
        <v>41397.24</v>
      </c>
      <c r="CB37" s="13"/>
      <c r="CC37" s="13"/>
      <c r="CD37" s="13"/>
      <c r="CE37" s="12">
        <v>3834</v>
      </c>
      <c r="CF37" s="12">
        <v>270</v>
      </c>
      <c r="CG37" s="13">
        <v>30340</v>
      </c>
      <c r="CH37" s="13">
        <v>68</v>
      </c>
      <c r="CI37" s="13">
        <v>2942</v>
      </c>
    </row>
    <row r="38" spans="2:87" x14ac:dyDescent="0.2">
      <c r="B38" s="5">
        <v>45811</v>
      </c>
      <c r="C38" s="12">
        <v>13</v>
      </c>
      <c r="D38" s="12">
        <v>1.5</v>
      </c>
      <c r="E38" s="12">
        <v>104525.016</v>
      </c>
      <c r="F38" s="12">
        <v>0</v>
      </c>
      <c r="G38" s="12">
        <v>1428825.21</v>
      </c>
      <c r="H38" s="12">
        <v>-70000</v>
      </c>
      <c r="I38" s="12">
        <v>0</v>
      </c>
      <c r="J38" s="12">
        <v>1358825.21</v>
      </c>
      <c r="K38" s="12">
        <v>122500</v>
      </c>
      <c r="L38" s="12">
        <v>0</v>
      </c>
      <c r="M38" s="12">
        <v>258176.79</v>
      </c>
      <c r="N38" s="12">
        <v>1739502</v>
      </c>
      <c r="O38" s="12">
        <v>0.84</v>
      </c>
      <c r="P38" s="12">
        <v>1358824.37</v>
      </c>
      <c r="Q38" s="12">
        <v>333271</v>
      </c>
      <c r="R38" s="12">
        <v>1025553.37</v>
      </c>
      <c r="S38" s="12">
        <v>0</v>
      </c>
      <c r="T38" s="12">
        <v>19</v>
      </c>
      <c r="U38" s="12">
        <v>0</v>
      </c>
      <c r="V38" s="12">
        <v>0</v>
      </c>
      <c r="W38" s="35">
        <v>46144.261731053244</v>
      </c>
      <c r="X38" s="12">
        <v>8</v>
      </c>
      <c r="Y38" s="12">
        <v>9</v>
      </c>
      <c r="Z38" s="12">
        <v>1021850.42</v>
      </c>
      <c r="AA38" s="12">
        <v>113538.935</v>
      </c>
      <c r="AB38" s="12">
        <v>233215</v>
      </c>
      <c r="AC38" s="12">
        <v>788634.58</v>
      </c>
      <c r="AD38" s="12">
        <v>4</v>
      </c>
      <c r="AE38" s="12">
        <v>4</v>
      </c>
      <c r="AF38" s="12">
        <v>336974.79</v>
      </c>
      <c r="AG38" s="12">
        <v>84243.697</v>
      </c>
      <c r="AH38" s="12">
        <v>100056</v>
      </c>
      <c r="AI38" s="12">
        <v>236918.79</v>
      </c>
      <c r="AJ38" s="12"/>
      <c r="AK38" s="12"/>
      <c r="AL38" s="12"/>
      <c r="AM38" s="12"/>
      <c r="AN38" s="12"/>
      <c r="AO38" s="12"/>
      <c r="AP38" s="12">
        <v>1358825.21</v>
      </c>
      <c r="AQ38" s="12">
        <v>13</v>
      </c>
      <c r="AR38" s="12">
        <v>104525.016</v>
      </c>
      <c r="AS38" s="12">
        <v>333271</v>
      </c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>
        <v>80</v>
      </c>
      <c r="BG38" s="12">
        <v>2</v>
      </c>
      <c r="BH38" s="12">
        <v>2.5000000000000001E-2</v>
      </c>
      <c r="BI38" s="12">
        <v>36</v>
      </c>
      <c r="BJ38" s="12">
        <v>0</v>
      </c>
      <c r="BK38" s="12">
        <v>0</v>
      </c>
      <c r="BL38" s="12">
        <v>37</v>
      </c>
      <c r="BM38" s="12">
        <v>2</v>
      </c>
      <c r="BN38" s="12">
        <v>5.4054054054054057E-2</v>
      </c>
      <c r="BO38" s="12">
        <v>46</v>
      </c>
      <c r="BP38" s="12">
        <v>0</v>
      </c>
      <c r="BQ38" s="12">
        <v>0</v>
      </c>
      <c r="BR38" s="12">
        <v>71</v>
      </c>
      <c r="BS38" s="12">
        <v>3</v>
      </c>
      <c r="BT38" s="12">
        <v>4.2253521126760563E-2</v>
      </c>
      <c r="BU38" s="12">
        <v>270</v>
      </c>
      <c r="BV38" s="12">
        <v>7</v>
      </c>
      <c r="BW38" s="12">
        <v>2.5925925925925925E-2</v>
      </c>
      <c r="BX38" s="12"/>
      <c r="BY38" s="12"/>
      <c r="BZ38" s="12"/>
      <c r="CA38" s="12">
        <v>24043.4</v>
      </c>
      <c r="CB38" s="13"/>
      <c r="CC38" s="13"/>
      <c r="CD38" s="13"/>
      <c r="CE38" s="12">
        <v>1358</v>
      </c>
      <c r="CF38" s="12">
        <v>126</v>
      </c>
      <c r="CG38" s="13">
        <v>27709</v>
      </c>
      <c r="CH38" s="13">
        <v>58</v>
      </c>
      <c r="CI38" s="13">
        <v>2555</v>
      </c>
    </row>
    <row r="39" spans="2:87" x14ac:dyDescent="0.2">
      <c r="B39" s="5">
        <v>45812</v>
      </c>
      <c r="C39" s="12">
        <v>16</v>
      </c>
      <c r="D39" s="12">
        <v>19.2</v>
      </c>
      <c r="E39" s="12">
        <v>321701.68099999998</v>
      </c>
      <c r="F39" s="12">
        <v>-3</v>
      </c>
      <c r="G39" s="12">
        <v>5428739.5099999998</v>
      </c>
      <c r="H39" s="12">
        <v>-58823.53</v>
      </c>
      <c r="I39" s="12">
        <v>-200000</v>
      </c>
      <c r="J39" s="12">
        <v>5169915.9800000004</v>
      </c>
      <c r="K39" s="12">
        <v>115000</v>
      </c>
      <c r="L39" s="12">
        <v>0</v>
      </c>
      <c r="M39" s="12">
        <v>982284.02</v>
      </c>
      <c r="N39" s="12">
        <v>6267200</v>
      </c>
      <c r="O39" s="12">
        <v>0</v>
      </c>
      <c r="P39" s="12">
        <v>5169915.9800000004</v>
      </c>
      <c r="Q39" s="12">
        <v>2071273</v>
      </c>
      <c r="R39" s="12">
        <v>3098642.98</v>
      </c>
      <c r="S39" s="12">
        <v>0</v>
      </c>
      <c r="T39" s="12">
        <v>307</v>
      </c>
      <c r="U39" s="12">
        <v>0</v>
      </c>
      <c r="V39" s="12">
        <v>0</v>
      </c>
      <c r="W39" s="35">
        <v>46144.261731053244</v>
      </c>
      <c r="X39" s="12">
        <v>7</v>
      </c>
      <c r="Y39" s="12">
        <v>7</v>
      </c>
      <c r="Z39" s="12">
        <v>823529.42</v>
      </c>
      <c r="AA39" s="12">
        <v>113805.522</v>
      </c>
      <c r="AB39" s="12">
        <v>281376</v>
      </c>
      <c r="AC39" s="12">
        <v>542153.42000000004</v>
      </c>
      <c r="AD39" s="12">
        <v>9</v>
      </c>
      <c r="AE39" s="12">
        <v>9</v>
      </c>
      <c r="AF39" s="12">
        <v>4346386.5599999996</v>
      </c>
      <c r="AG39" s="12">
        <v>483398.69300000003</v>
      </c>
      <c r="AH39" s="12">
        <v>1789897</v>
      </c>
      <c r="AI39" s="12">
        <v>2556489.56</v>
      </c>
      <c r="AJ39" s="12"/>
      <c r="AK39" s="12"/>
      <c r="AL39" s="12"/>
      <c r="AM39" s="12"/>
      <c r="AN39" s="12"/>
      <c r="AO39" s="12"/>
      <c r="AP39" s="12">
        <v>1899159.68</v>
      </c>
      <c r="AQ39" s="12">
        <v>15</v>
      </c>
      <c r="AR39" s="12">
        <v>125098.04</v>
      </c>
      <c r="AS39" s="12">
        <v>569393</v>
      </c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>
        <v>230</v>
      </c>
      <c r="BG39" s="12">
        <v>0</v>
      </c>
      <c r="BH39" s="12">
        <v>0</v>
      </c>
      <c r="BI39" s="12">
        <v>30</v>
      </c>
      <c r="BJ39" s="12">
        <v>1</v>
      </c>
      <c r="BK39" s="12">
        <v>3.3333333333333333E-2</v>
      </c>
      <c r="BL39" s="12">
        <v>30</v>
      </c>
      <c r="BM39" s="12">
        <v>0</v>
      </c>
      <c r="BN39" s="12">
        <v>0</v>
      </c>
      <c r="BO39" s="12">
        <v>103</v>
      </c>
      <c r="BP39" s="12">
        <v>0</v>
      </c>
      <c r="BQ39" s="12">
        <v>0</v>
      </c>
      <c r="BR39" s="12">
        <v>1395</v>
      </c>
      <c r="BS39" s="12">
        <v>5</v>
      </c>
      <c r="BT39" s="12">
        <v>3.5842293906810036E-3</v>
      </c>
      <c r="BU39" s="12">
        <v>1788</v>
      </c>
      <c r="BV39" s="12">
        <v>6</v>
      </c>
      <c r="BW39" s="12">
        <v>3.3557046979865771E-3</v>
      </c>
      <c r="BX39" s="12"/>
      <c r="BY39" s="12"/>
      <c r="BZ39" s="12"/>
      <c r="CA39" s="12">
        <v>33685.54</v>
      </c>
      <c r="CB39" s="13"/>
      <c r="CC39" s="13"/>
      <c r="CD39" s="13"/>
      <c r="CE39" s="12">
        <v>3821</v>
      </c>
      <c r="CF39" s="12">
        <v>332</v>
      </c>
      <c r="CG39" s="13">
        <v>28958</v>
      </c>
      <c r="CH39" s="13">
        <v>55</v>
      </c>
      <c r="CI39" s="13">
        <v>2719</v>
      </c>
    </row>
    <row r="40" spans="2:87" x14ac:dyDescent="0.2">
      <c r="B40" s="5">
        <v>45813</v>
      </c>
      <c r="C40" s="12">
        <v>15</v>
      </c>
      <c r="D40" s="12">
        <v>1.8</v>
      </c>
      <c r="E40" s="12">
        <v>135630.25200000001</v>
      </c>
      <c r="F40" s="12">
        <v>0</v>
      </c>
      <c r="G40" s="12">
        <v>2034453.78</v>
      </c>
      <c r="H40" s="12">
        <v>0</v>
      </c>
      <c r="I40" s="12">
        <v>0</v>
      </c>
      <c r="J40" s="12">
        <v>2034453.78</v>
      </c>
      <c r="K40" s="12">
        <v>109500</v>
      </c>
      <c r="L40" s="12">
        <v>0</v>
      </c>
      <c r="M40" s="12">
        <v>386546.22</v>
      </c>
      <c r="N40" s="12">
        <v>2530500</v>
      </c>
      <c r="O40" s="12">
        <v>0</v>
      </c>
      <c r="P40" s="12">
        <v>2034453.78</v>
      </c>
      <c r="Q40" s="12">
        <v>581398</v>
      </c>
      <c r="R40" s="12">
        <v>1453055.78</v>
      </c>
      <c r="S40" s="12">
        <v>0</v>
      </c>
      <c r="T40" s="12">
        <v>27</v>
      </c>
      <c r="U40" s="12">
        <v>0</v>
      </c>
      <c r="V40" s="12">
        <v>0</v>
      </c>
      <c r="W40" s="35">
        <v>46144.261731053244</v>
      </c>
      <c r="X40" s="12">
        <v>9</v>
      </c>
      <c r="Y40" s="12">
        <v>9</v>
      </c>
      <c r="Z40" s="12">
        <v>1546218.49</v>
      </c>
      <c r="AA40" s="12">
        <v>171802.054</v>
      </c>
      <c r="AB40" s="12">
        <v>453142</v>
      </c>
      <c r="AC40" s="12">
        <v>1093076.49</v>
      </c>
      <c r="AD40" s="12">
        <v>6</v>
      </c>
      <c r="AE40" s="12">
        <v>6</v>
      </c>
      <c r="AF40" s="12">
        <v>488235.29</v>
      </c>
      <c r="AG40" s="12">
        <v>81372.547999999995</v>
      </c>
      <c r="AH40" s="12">
        <v>128256</v>
      </c>
      <c r="AI40" s="12">
        <v>359979.29</v>
      </c>
      <c r="AJ40" s="12"/>
      <c r="AK40" s="12"/>
      <c r="AL40" s="12"/>
      <c r="AM40" s="12"/>
      <c r="AN40" s="12"/>
      <c r="AO40" s="12"/>
      <c r="AP40" s="12">
        <v>2034453.78</v>
      </c>
      <c r="AQ40" s="12">
        <v>15</v>
      </c>
      <c r="AR40" s="12">
        <v>135630.25200000001</v>
      </c>
      <c r="AS40" s="12">
        <v>581398</v>
      </c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>
        <v>111</v>
      </c>
      <c r="BG40" s="12">
        <v>0</v>
      </c>
      <c r="BH40" s="12">
        <v>0</v>
      </c>
      <c r="BI40" s="12">
        <v>24</v>
      </c>
      <c r="BJ40" s="12">
        <v>1</v>
      </c>
      <c r="BK40" s="12">
        <v>4.1666666666666664E-2</v>
      </c>
      <c r="BL40" s="12">
        <v>36</v>
      </c>
      <c r="BM40" s="12">
        <v>0</v>
      </c>
      <c r="BN40" s="12">
        <v>0</v>
      </c>
      <c r="BO40" s="12">
        <v>30</v>
      </c>
      <c r="BP40" s="12">
        <v>0</v>
      </c>
      <c r="BQ40" s="12">
        <v>0</v>
      </c>
      <c r="BR40" s="12">
        <v>102</v>
      </c>
      <c r="BS40" s="12">
        <v>7</v>
      </c>
      <c r="BT40" s="12">
        <v>6.8627450980392163E-2</v>
      </c>
      <c r="BU40" s="12">
        <v>303</v>
      </c>
      <c r="BV40" s="12">
        <v>8</v>
      </c>
      <c r="BW40" s="12">
        <v>2.6402640264026403E-2</v>
      </c>
      <c r="BX40" s="12"/>
      <c r="BY40" s="12"/>
      <c r="BZ40" s="12"/>
      <c r="CA40" s="12">
        <v>12846.66</v>
      </c>
      <c r="CB40" s="13"/>
      <c r="CC40" s="13"/>
      <c r="CD40" s="13"/>
      <c r="CE40" s="12">
        <v>1469</v>
      </c>
      <c r="CF40" s="12">
        <v>126</v>
      </c>
      <c r="CG40" s="13">
        <v>27368</v>
      </c>
      <c r="CH40" s="13">
        <v>53</v>
      </c>
      <c r="CI40" s="13">
        <v>2554</v>
      </c>
    </row>
    <row r="41" spans="2:87" x14ac:dyDescent="0.2">
      <c r="B41" s="5">
        <v>45814</v>
      </c>
      <c r="C41" s="12">
        <v>12</v>
      </c>
      <c r="D41" s="12">
        <v>1.8</v>
      </c>
      <c r="E41" s="12">
        <v>133823.53</v>
      </c>
      <c r="F41" s="12">
        <v>0</v>
      </c>
      <c r="G41" s="12">
        <v>1610084.04</v>
      </c>
      <c r="H41" s="12">
        <v>-4201.68</v>
      </c>
      <c r="I41" s="12">
        <v>0</v>
      </c>
      <c r="J41" s="12">
        <v>1605882.36</v>
      </c>
      <c r="K41" s="12">
        <v>74000</v>
      </c>
      <c r="L41" s="12">
        <v>0</v>
      </c>
      <c r="M41" s="12">
        <v>305117.64</v>
      </c>
      <c r="N41" s="12">
        <v>1985000</v>
      </c>
      <c r="O41" s="12">
        <v>0</v>
      </c>
      <c r="P41" s="12">
        <v>1605882.36</v>
      </c>
      <c r="Q41" s="12">
        <v>459047</v>
      </c>
      <c r="R41" s="12">
        <v>1146835.3600000001</v>
      </c>
      <c r="S41" s="12">
        <v>0</v>
      </c>
      <c r="T41" s="12">
        <v>21</v>
      </c>
      <c r="U41" s="12">
        <v>0</v>
      </c>
      <c r="V41" s="12">
        <v>0</v>
      </c>
      <c r="W41" s="35">
        <v>46144.261731053244</v>
      </c>
      <c r="X41" s="12">
        <v>6</v>
      </c>
      <c r="Y41" s="12">
        <v>6</v>
      </c>
      <c r="Z41" s="12">
        <v>605882.36</v>
      </c>
      <c r="AA41" s="12">
        <v>100980.393</v>
      </c>
      <c r="AB41" s="12">
        <v>154628</v>
      </c>
      <c r="AC41" s="12">
        <v>451254.36</v>
      </c>
      <c r="AD41" s="12">
        <v>6</v>
      </c>
      <c r="AE41" s="12">
        <v>6</v>
      </c>
      <c r="AF41" s="12">
        <v>1000000</v>
      </c>
      <c r="AG41" s="12">
        <v>166666.666</v>
      </c>
      <c r="AH41" s="12">
        <v>304419</v>
      </c>
      <c r="AI41" s="12">
        <v>695581</v>
      </c>
      <c r="AJ41" s="12"/>
      <c r="AK41" s="12"/>
      <c r="AL41" s="12"/>
      <c r="AM41" s="12"/>
      <c r="AN41" s="12"/>
      <c r="AO41" s="12"/>
      <c r="AP41" s="12">
        <v>1605882.36</v>
      </c>
      <c r="AQ41" s="12">
        <v>12</v>
      </c>
      <c r="AR41" s="12">
        <v>133823.53</v>
      </c>
      <c r="AS41" s="12">
        <v>459047</v>
      </c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>
        <v>301</v>
      </c>
      <c r="BG41" s="12">
        <v>2</v>
      </c>
      <c r="BH41" s="12">
        <v>6.6445182724252493E-3</v>
      </c>
      <c r="BI41" s="12">
        <v>26</v>
      </c>
      <c r="BJ41" s="12">
        <v>1</v>
      </c>
      <c r="BK41" s="12">
        <v>3.8461538461538464E-2</v>
      </c>
      <c r="BL41" s="12">
        <v>23</v>
      </c>
      <c r="BM41" s="12">
        <v>1</v>
      </c>
      <c r="BN41" s="12">
        <v>4.3478260869565216E-2</v>
      </c>
      <c r="BO41" s="12">
        <v>43</v>
      </c>
      <c r="BP41" s="12">
        <v>0</v>
      </c>
      <c r="BQ41" s="12">
        <v>0</v>
      </c>
      <c r="BR41" s="12">
        <v>51</v>
      </c>
      <c r="BS41" s="12">
        <v>3</v>
      </c>
      <c r="BT41" s="12">
        <v>5.8823529411764705E-2</v>
      </c>
      <c r="BU41" s="12">
        <v>444</v>
      </c>
      <c r="BV41" s="12">
        <v>7</v>
      </c>
      <c r="BW41" s="12">
        <v>1.5765765765765764E-2</v>
      </c>
      <c r="BX41" s="12"/>
      <c r="BY41" s="12"/>
      <c r="BZ41" s="12"/>
      <c r="CA41" s="12">
        <v>32547.08</v>
      </c>
      <c r="CB41" s="13"/>
      <c r="CC41" s="13"/>
      <c r="CD41" s="13"/>
      <c r="CE41" s="12">
        <v>3761</v>
      </c>
      <c r="CF41" s="12">
        <v>323</v>
      </c>
      <c r="CG41" s="13">
        <v>29861</v>
      </c>
      <c r="CH41" s="13">
        <v>38</v>
      </c>
      <c r="CI41" s="13">
        <v>2450</v>
      </c>
    </row>
    <row r="42" spans="2:87" x14ac:dyDescent="0.2">
      <c r="B42" s="5">
        <v>45815</v>
      </c>
      <c r="C42" s="12">
        <v>7</v>
      </c>
      <c r="D42" s="12">
        <v>2.6</v>
      </c>
      <c r="E42" s="12">
        <v>172148.86199999999</v>
      </c>
      <c r="F42" s="12">
        <v>0</v>
      </c>
      <c r="G42" s="12">
        <v>1230252.1200000001</v>
      </c>
      <c r="H42" s="12">
        <v>-25210.080000000002</v>
      </c>
      <c r="I42" s="12">
        <v>0</v>
      </c>
      <c r="J42" s="12">
        <v>1205042.04</v>
      </c>
      <c r="K42" s="12">
        <v>14500</v>
      </c>
      <c r="L42" s="12">
        <v>0</v>
      </c>
      <c r="M42" s="12">
        <v>228957.96</v>
      </c>
      <c r="N42" s="12">
        <v>1448500</v>
      </c>
      <c r="O42" s="12">
        <v>151260.5</v>
      </c>
      <c r="P42" s="12">
        <v>1053781.54</v>
      </c>
      <c r="Q42" s="12">
        <v>281437</v>
      </c>
      <c r="R42" s="12">
        <v>772344.54</v>
      </c>
      <c r="S42" s="12">
        <v>0</v>
      </c>
      <c r="T42" s="12">
        <v>18</v>
      </c>
      <c r="U42" s="12">
        <v>0</v>
      </c>
      <c r="V42" s="12">
        <v>0</v>
      </c>
      <c r="W42" s="35">
        <v>46144.261731053244</v>
      </c>
      <c r="X42" s="12">
        <v>3</v>
      </c>
      <c r="Y42" s="12">
        <v>3</v>
      </c>
      <c r="Z42" s="12">
        <v>754621.86</v>
      </c>
      <c r="AA42" s="12">
        <v>251540.62</v>
      </c>
      <c r="AB42" s="12">
        <v>225300</v>
      </c>
      <c r="AC42" s="12">
        <v>378061.36</v>
      </c>
      <c r="AD42" s="12">
        <v>4</v>
      </c>
      <c r="AE42" s="12">
        <v>4</v>
      </c>
      <c r="AF42" s="12">
        <v>450420.18</v>
      </c>
      <c r="AG42" s="12">
        <v>112605.045</v>
      </c>
      <c r="AH42" s="12">
        <v>56137</v>
      </c>
      <c r="AI42" s="12">
        <v>394283.18</v>
      </c>
      <c r="AJ42" s="12"/>
      <c r="AK42" s="12"/>
      <c r="AL42" s="12"/>
      <c r="AM42" s="12"/>
      <c r="AN42" s="12"/>
      <c r="AO42" s="12"/>
      <c r="AP42" s="12">
        <v>1205042.04</v>
      </c>
      <c r="AQ42" s="12">
        <v>7</v>
      </c>
      <c r="AR42" s="12">
        <v>172148.86199999999</v>
      </c>
      <c r="AS42" s="12">
        <v>281437</v>
      </c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>
        <v>166</v>
      </c>
      <c r="BG42" s="12">
        <v>0</v>
      </c>
      <c r="BH42" s="12">
        <v>0</v>
      </c>
      <c r="BI42" s="12">
        <v>33</v>
      </c>
      <c r="BJ42" s="12">
        <v>0</v>
      </c>
      <c r="BK42" s="12">
        <v>0</v>
      </c>
      <c r="BL42" s="12">
        <v>25</v>
      </c>
      <c r="BM42" s="12">
        <v>1</v>
      </c>
      <c r="BN42" s="12">
        <v>0.04</v>
      </c>
      <c r="BO42" s="12">
        <v>21</v>
      </c>
      <c r="BP42" s="12">
        <v>0</v>
      </c>
      <c r="BQ42" s="12">
        <v>0</v>
      </c>
      <c r="BR42" s="12">
        <v>48</v>
      </c>
      <c r="BS42" s="12">
        <v>0</v>
      </c>
      <c r="BT42" s="12">
        <v>0</v>
      </c>
      <c r="BU42" s="12">
        <v>293</v>
      </c>
      <c r="BV42" s="12">
        <v>1</v>
      </c>
      <c r="BW42" s="12">
        <v>3.4129692832764505E-3</v>
      </c>
      <c r="BX42" s="12"/>
      <c r="BY42" s="12"/>
      <c r="BZ42" s="12"/>
      <c r="CA42" s="12">
        <v>20959.8</v>
      </c>
      <c r="CB42" s="13"/>
      <c r="CC42" s="13"/>
      <c r="CD42" s="13"/>
      <c r="CE42" s="12">
        <v>1829</v>
      </c>
      <c r="CF42" s="12">
        <v>182</v>
      </c>
      <c r="CG42" s="13">
        <v>30791</v>
      </c>
      <c r="CH42" s="13">
        <v>67</v>
      </c>
      <c r="CI42" s="13">
        <v>2159</v>
      </c>
    </row>
    <row r="43" spans="2:87" x14ac:dyDescent="0.2">
      <c r="B43" s="5">
        <v>45816</v>
      </c>
      <c r="C43" s="12">
        <v>25</v>
      </c>
      <c r="D43" s="12">
        <v>1.9</v>
      </c>
      <c r="E43" s="12">
        <v>110890.75599999999</v>
      </c>
      <c r="F43" s="12">
        <v>0</v>
      </c>
      <c r="G43" s="12">
        <v>2772268.92</v>
      </c>
      <c r="H43" s="12">
        <v>0</v>
      </c>
      <c r="I43" s="12">
        <v>0</v>
      </c>
      <c r="J43" s="12">
        <v>2772268.92</v>
      </c>
      <c r="K43" s="12">
        <v>41500</v>
      </c>
      <c r="L43" s="12">
        <v>0</v>
      </c>
      <c r="M43" s="12">
        <v>526731.07999999996</v>
      </c>
      <c r="N43" s="12">
        <v>3340500</v>
      </c>
      <c r="O43" s="12">
        <v>58823.53</v>
      </c>
      <c r="P43" s="12">
        <v>2713445.39</v>
      </c>
      <c r="Q43" s="12">
        <v>784552</v>
      </c>
      <c r="R43" s="12">
        <v>1928893.39</v>
      </c>
      <c r="S43" s="12">
        <v>0</v>
      </c>
      <c r="T43" s="12">
        <v>48</v>
      </c>
      <c r="U43" s="12">
        <v>0</v>
      </c>
      <c r="V43" s="12">
        <v>0</v>
      </c>
      <c r="W43" s="35">
        <v>46144.261731053244</v>
      </c>
      <c r="X43" s="12">
        <v>5</v>
      </c>
      <c r="Y43" s="12">
        <v>11</v>
      </c>
      <c r="Z43" s="12">
        <v>889075.63</v>
      </c>
      <c r="AA43" s="12">
        <v>80825.057000000001</v>
      </c>
      <c r="AB43" s="12">
        <v>237012</v>
      </c>
      <c r="AC43" s="12">
        <v>652063.63</v>
      </c>
      <c r="AD43" s="12">
        <v>11</v>
      </c>
      <c r="AE43" s="12">
        <v>11</v>
      </c>
      <c r="AF43" s="12">
        <v>1736134.46</v>
      </c>
      <c r="AG43" s="12">
        <v>157830.405</v>
      </c>
      <c r="AH43" s="12">
        <v>505100</v>
      </c>
      <c r="AI43" s="12">
        <v>1172210.93</v>
      </c>
      <c r="AJ43" s="12">
        <v>1</v>
      </c>
      <c r="AK43" s="12">
        <v>3</v>
      </c>
      <c r="AL43" s="12">
        <v>147058.82999999999</v>
      </c>
      <c r="AM43" s="12">
        <v>49019.61</v>
      </c>
      <c r="AN43" s="12">
        <v>42440</v>
      </c>
      <c r="AO43" s="12">
        <v>104618.83</v>
      </c>
      <c r="AP43" s="12">
        <v>2772268.92</v>
      </c>
      <c r="AQ43" s="12">
        <v>25</v>
      </c>
      <c r="AR43" s="12">
        <v>110890.75599999999</v>
      </c>
      <c r="AS43" s="12">
        <v>784552</v>
      </c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>
        <v>173</v>
      </c>
      <c r="BG43" s="12">
        <v>1</v>
      </c>
      <c r="BH43" s="12">
        <v>5.7803468208092483E-3</v>
      </c>
      <c r="BI43" s="12">
        <v>29</v>
      </c>
      <c r="BJ43" s="12">
        <v>1</v>
      </c>
      <c r="BK43" s="12">
        <v>3.4482758620689655E-2</v>
      </c>
      <c r="BL43" s="12">
        <v>11</v>
      </c>
      <c r="BM43" s="12">
        <v>0</v>
      </c>
      <c r="BN43" s="12">
        <v>0</v>
      </c>
      <c r="BO43" s="12">
        <v>53</v>
      </c>
      <c r="BP43" s="12">
        <v>0</v>
      </c>
      <c r="BQ43" s="12">
        <v>0</v>
      </c>
      <c r="BR43" s="12">
        <v>32</v>
      </c>
      <c r="BS43" s="12">
        <v>1</v>
      </c>
      <c r="BT43" s="12">
        <v>3.125E-2</v>
      </c>
      <c r="BU43" s="12">
        <v>298</v>
      </c>
      <c r="BV43" s="12">
        <v>3</v>
      </c>
      <c r="BW43" s="12">
        <v>1.0067114093959731E-2</v>
      </c>
      <c r="BX43" s="12"/>
      <c r="BY43" s="12"/>
      <c r="BZ43" s="12"/>
      <c r="CA43" s="12">
        <v>16312.33</v>
      </c>
      <c r="CB43" s="13"/>
      <c r="CC43" s="13"/>
      <c r="CD43" s="13"/>
      <c r="CE43" s="12">
        <v>2450</v>
      </c>
      <c r="CF43" s="12">
        <v>205</v>
      </c>
      <c r="CG43" s="13">
        <v>29947</v>
      </c>
      <c r="CH43" s="13">
        <v>73</v>
      </c>
      <c r="CI43" s="13">
        <v>3311</v>
      </c>
    </row>
    <row r="44" spans="2:87" x14ac:dyDescent="0.2">
      <c r="B44" s="5">
        <v>45817</v>
      </c>
      <c r="C44" s="12">
        <v>15</v>
      </c>
      <c r="D44" s="12">
        <v>1.7</v>
      </c>
      <c r="E44" s="12">
        <v>108739.55100000001</v>
      </c>
      <c r="F44" s="12">
        <v>-2</v>
      </c>
      <c r="G44" s="12">
        <v>1765547.02</v>
      </c>
      <c r="H44" s="12">
        <v>-134453.75</v>
      </c>
      <c r="I44" s="12">
        <v>-117647.06</v>
      </c>
      <c r="J44" s="12">
        <v>1513446.21</v>
      </c>
      <c r="K44" s="12">
        <v>77500</v>
      </c>
      <c r="L44" s="12">
        <v>0</v>
      </c>
      <c r="M44" s="12">
        <v>287554.78999999998</v>
      </c>
      <c r="N44" s="12">
        <v>1878501</v>
      </c>
      <c r="O44" s="12">
        <v>0.84</v>
      </c>
      <c r="P44" s="12">
        <v>1513445.37</v>
      </c>
      <c r="Q44" s="12">
        <v>434875</v>
      </c>
      <c r="R44" s="12">
        <v>1078570.3700000001</v>
      </c>
      <c r="S44" s="12">
        <v>0</v>
      </c>
      <c r="T44" s="12">
        <v>24</v>
      </c>
      <c r="U44" s="12">
        <v>0</v>
      </c>
      <c r="V44" s="12">
        <v>0</v>
      </c>
      <c r="W44" s="35">
        <v>46144.261731053244</v>
      </c>
      <c r="X44" s="12">
        <v>10</v>
      </c>
      <c r="Y44" s="12">
        <v>10</v>
      </c>
      <c r="Z44" s="12">
        <v>1284034.45</v>
      </c>
      <c r="AA44" s="12">
        <v>128403.44500000001</v>
      </c>
      <c r="AB44" s="12">
        <v>327756</v>
      </c>
      <c r="AC44" s="12">
        <v>956277.61</v>
      </c>
      <c r="AD44" s="12">
        <v>5</v>
      </c>
      <c r="AE44" s="12">
        <v>5</v>
      </c>
      <c r="AF44" s="12">
        <v>229411.76</v>
      </c>
      <c r="AG44" s="12">
        <v>69411.763999999996</v>
      </c>
      <c r="AH44" s="12">
        <v>107119</v>
      </c>
      <c r="AI44" s="12">
        <v>122292.76</v>
      </c>
      <c r="AJ44" s="12"/>
      <c r="AK44" s="12"/>
      <c r="AL44" s="12"/>
      <c r="AM44" s="12"/>
      <c r="AN44" s="12"/>
      <c r="AO44" s="12"/>
      <c r="AP44" s="12">
        <v>1513446.21</v>
      </c>
      <c r="AQ44" s="12">
        <v>15</v>
      </c>
      <c r="AR44" s="12">
        <v>108739.55100000001</v>
      </c>
      <c r="AS44" s="12">
        <v>434875</v>
      </c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>
        <v>200</v>
      </c>
      <c r="BG44" s="12">
        <v>0</v>
      </c>
      <c r="BH44" s="12">
        <v>0</v>
      </c>
      <c r="BI44" s="12">
        <v>36</v>
      </c>
      <c r="BJ44" s="12">
        <v>1</v>
      </c>
      <c r="BK44" s="12">
        <v>2.7777777777777776E-2</v>
      </c>
      <c r="BL44" s="12">
        <v>27</v>
      </c>
      <c r="BM44" s="12">
        <v>3</v>
      </c>
      <c r="BN44" s="12">
        <v>0.1111111111111111</v>
      </c>
      <c r="BO44" s="12">
        <v>45</v>
      </c>
      <c r="BP44" s="12">
        <v>0</v>
      </c>
      <c r="BQ44" s="12">
        <v>0</v>
      </c>
      <c r="BR44" s="12">
        <v>62</v>
      </c>
      <c r="BS44" s="12">
        <v>4</v>
      </c>
      <c r="BT44" s="12">
        <v>6.4516129032258063E-2</v>
      </c>
      <c r="BU44" s="12">
        <v>370</v>
      </c>
      <c r="BV44" s="12">
        <v>8</v>
      </c>
      <c r="BW44" s="12">
        <v>2.1621621621621623E-2</v>
      </c>
      <c r="BX44" s="12"/>
      <c r="BY44" s="12"/>
      <c r="BZ44" s="12"/>
      <c r="CA44" s="12">
        <v>26169.61</v>
      </c>
      <c r="CB44" s="13"/>
      <c r="CC44" s="13"/>
      <c r="CD44" s="13"/>
      <c r="CE44" s="12">
        <v>2758</v>
      </c>
      <c r="CF44" s="12">
        <v>250</v>
      </c>
      <c r="CG44" s="13">
        <v>29266</v>
      </c>
      <c r="CH44" s="13">
        <v>45</v>
      </c>
      <c r="CI44" s="13">
        <v>2724</v>
      </c>
    </row>
    <row r="45" spans="2:87" x14ac:dyDescent="0.2">
      <c r="B45" s="5">
        <v>45818</v>
      </c>
      <c r="C45" s="12">
        <v>13</v>
      </c>
      <c r="D45" s="12">
        <v>10.199999999999999</v>
      </c>
      <c r="E45" s="12">
        <v>203910.861</v>
      </c>
      <c r="F45" s="12">
        <v>0</v>
      </c>
      <c r="G45" s="12">
        <v>2660505.06</v>
      </c>
      <c r="H45" s="12">
        <v>-9663.86</v>
      </c>
      <c r="I45" s="12">
        <v>0</v>
      </c>
      <c r="J45" s="12">
        <v>2650841.2000000002</v>
      </c>
      <c r="K45" s="12">
        <v>54000</v>
      </c>
      <c r="L45" s="12">
        <v>0</v>
      </c>
      <c r="M45" s="12">
        <v>503659.8</v>
      </c>
      <c r="N45" s="12">
        <v>3208501</v>
      </c>
      <c r="O45" s="12">
        <v>0.84</v>
      </c>
      <c r="P45" s="12">
        <v>2650840.36</v>
      </c>
      <c r="Q45" s="12">
        <v>946300</v>
      </c>
      <c r="R45" s="12">
        <v>1704540.36</v>
      </c>
      <c r="S45" s="12">
        <v>0</v>
      </c>
      <c r="T45" s="12">
        <v>132</v>
      </c>
      <c r="U45" s="12">
        <v>0</v>
      </c>
      <c r="V45" s="12">
        <v>0</v>
      </c>
      <c r="W45" s="35">
        <v>46144.261731053244</v>
      </c>
      <c r="X45" s="12">
        <v>4</v>
      </c>
      <c r="Y45" s="12">
        <v>4</v>
      </c>
      <c r="Z45" s="12">
        <v>1710084.88</v>
      </c>
      <c r="AA45" s="12">
        <v>427521.22</v>
      </c>
      <c r="AB45" s="12">
        <v>658252</v>
      </c>
      <c r="AC45" s="12">
        <v>1051832.04</v>
      </c>
      <c r="AD45" s="12">
        <v>9</v>
      </c>
      <c r="AE45" s="12">
        <v>9</v>
      </c>
      <c r="AF45" s="12">
        <v>940756.32</v>
      </c>
      <c r="AG45" s="12">
        <v>104528.48</v>
      </c>
      <c r="AH45" s="12">
        <v>288048</v>
      </c>
      <c r="AI45" s="12">
        <v>652708.31999999995</v>
      </c>
      <c r="AJ45" s="12"/>
      <c r="AK45" s="12"/>
      <c r="AL45" s="12"/>
      <c r="AM45" s="12"/>
      <c r="AN45" s="12"/>
      <c r="AO45" s="12"/>
      <c r="AP45" s="12">
        <v>2650841.2000000002</v>
      </c>
      <c r="AQ45" s="12">
        <v>13</v>
      </c>
      <c r="AR45" s="12">
        <v>203910.861</v>
      </c>
      <c r="AS45" s="12">
        <v>946300</v>
      </c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>
        <v>137</v>
      </c>
      <c r="BG45" s="12">
        <v>0</v>
      </c>
      <c r="BH45" s="12">
        <v>0</v>
      </c>
      <c r="BI45" s="12">
        <v>31</v>
      </c>
      <c r="BJ45" s="12">
        <v>3</v>
      </c>
      <c r="BK45" s="12">
        <v>9.6774193548387094E-2</v>
      </c>
      <c r="BL45" s="12">
        <v>30</v>
      </c>
      <c r="BM45" s="12">
        <v>0</v>
      </c>
      <c r="BN45" s="12">
        <v>0</v>
      </c>
      <c r="BO45" s="12">
        <v>29</v>
      </c>
      <c r="BP45" s="12">
        <v>0</v>
      </c>
      <c r="BQ45" s="12">
        <v>0</v>
      </c>
      <c r="BR45" s="12">
        <v>61</v>
      </c>
      <c r="BS45" s="12">
        <v>3</v>
      </c>
      <c r="BT45" s="12">
        <v>4.9180327868852458E-2</v>
      </c>
      <c r="BU45" s="12">
        <v>288</v>
      </c>
      <c r="BV45" s="12">
        <v>6</v>
      </c>
      <c r="BW45" s="12">
        <v>2.0833333333333332E-2</v>
      </c>
      <c r="BX45" s="12"/>
      <c r="BY45" s="12"/>
      <c r="BZ45" s="12"/>
      <c r="CA45" s="12">
        <v>16588.02</v>
      </c>
      <c r="CB45" s="13"/>
      <c r="CC45" s="13"/>
      <c r="CD45" s="13"/>
      <c r="CE45" s="12">
        <v>1749</v>
      </c>
      <c r="CF45" s="12">
        <v>167</v>
      </c>
      <c r="CG45" s="13">
        <v>34882</v>
      </c>
      <c r="CH45" s="13">
        <v>86</v>
      </c>
      <c r="CI45" s="13">
        <v>3161</v>
      </c>
    </row>
    <row r="46" spans="2:87" x14ac:dyDescent="0.2">
      <c r="B46" s="5">
        <v>45819</v>
      </c>
      <c r="C46" s="12">
        <v>6</v>
      </c>
      <c r="D46" s="12">
        <v>2.2000000000000002</v>
      </c>
      <c r="E46" s="12">
        <v>233753.50099999999</v>
      </c>
      <c r="F46" s="12">
        <v>-1</v>
      </c>
      <c r="G46" s="12">
        <v>1499159.67</v>
      </c>
      <c r="H46" s="12">
        <v>0</v>
      </c>
      <c r="I46" s="12">
        <v>-96638.66</v>
      </c>
      <c r="J46" s="12">
        <v>1402521.01</v>
      </c>
      <c r="K46" s="12">
        <v>30000</v>
      </c>
      <c r="L46" s="12">
        <v>0</v>
      </c>
      <c r="M46" s="12">
        <v>266478.99</v>
      </c>
      <c r="N46" s="12">
        <v>1699000</v>
      </c>
      <c r="O46" s="12">
        <v>420168.07</v>
      </c>
      <c r="P46" s="12">
        <v>982352.94</v>
      </c>
      <c r="Q46" s="12">
        <v>238451</v>
      </c>
      <c r="R46" s="12">
        <v>743901.94</v>
      </c>
      <c r="S46" s="12">
        <v>0</v>
      </c>
      <c r="T46" s="12">
        <v>13</v>
      </c>
      <c r="U46" s="12">
        <v>0</v>
      </c>
      <c r="V46" s="12">
        <v>0</v>
      </c>
      <c r="W46" s="35">
        <v>46144.261731053244</v>
      </c>
      <c r="X46" s="12">
        <v>3</v>
      </c>
      <c r="Y46" s="12">
        <v>3</v>
      </c>
      <c r="Z46" s="12">
        <v>1006722.69</v>
      </c>
      <c r="AA46" s="12">
        <v>335574.23</v>
      </c>
      <c r="AB46" s="12">
        <v>119262</v>
      </c>
      <c r="AC46" s="12">
        <v>467292.62</v>
      </c>
      <c r="AD46" s="12">
        <v>3</v>
      </c>
      <c r="AE46" s="12">
        <v>3</v>
      </c>
      <c r="AF46" s="12">
        <v>395798.32</v>
      </c>
      <c r="AG46" s="12">
        <v>131932.77299999999</v>
      </c>
      <c r="AH46" s="12">
        <v>119189</v>
      </c>
      <c r="AI46" s="12">
        <v>276609.32</v>
      </c>
      <c r="AJ46" s="12"/>
      <c r="AK46" s="12"/>
      <c r="AL46" s="12"/>
      <c r="AM46" s="12"/>
      <c r="AN46" s="12"/>
      <c r="AO46" s="12"/>
      <c r="AP46" s="12">
        <v>1402521.01</v>
      </c>
      <c r="AQ46" s="12">
        <v>6</v>
      </c>
      <c r="AR46" s="12">
        <v>233753.50099999999</v>
      </c>
      <c r="AS46" s="12">
        <v>238451</v>
      </c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>
        <v>336</v>
      </c>
      <c r="BG46" s="12">
        <v>0</v>
      </c>
      <c r="BH46" s="12">
        <v>0</v>
      </c>
      <c r="BI46" s="12">
        <v>22</v>
      </c>
      <c r="BJ46" s="12">
        <v>0</v>
      </c>
      <c r="BK46" s="12">
        <v>0</v>
      </c>
      <c r="BL46" s="12">
        <v>24</v>
      </c>
      <c r="BM46" s="12">
        <v>0</v>
      </c>
      <c r="BN46" s="12">
        <v>0</v>
      </c>
      <c r="BO46" s="12">
        <v>65</v>
      </c>
      <c r="BP46" s="12">
        <v>0</v>
      </c>
      <c r="BQ46" s="12">
        <v>0</v>
      </c>
      <c r="BR46" s="12">
        <v>58</v>
      </c>
      <c r="BS46" s="12">
        <v>2</v>
      </c>
      <c r="BT46" s="12">
        <v>3.4482758620689655E-2</v>
      </c>
      <c r="BU46" s="12">
        <v>505</v>
      </c>
      <c r="BV46" s="12">
        <v>2</v>
      </c>
      <c r="BW46" s="12">
        <v>3.9603960396039604E-3</v>
      </c>
      <c r="BX46" s="12"/>
      <c r="BY46" s="12"/>
      <c r="BZ46" s="12"/>
      <c r="CA46" s="12">
        <v>36186.35</v>
      </c>
      <c r="CB46" s="13"/>
      <c r="CC46" s="13"/>
      <c r="CD46" s="13"/>
      <c r="CE46" s="12">
        <v>4502</v>
      </c>
      <c r="CF46" s="12">
        <v>367</v>
      </c>
      <c r="CG46" s="13">
        <v>26899</v>
      </c>
      <c r="CH46" s="13">
        <v>52</v>
      </c>
      <c r="CI46" s="13">
        <v>2686</v>
      </c>
    </row>
    <row r="47" spans="2:87" x14ac:dyDescent="0.2">
      <c r="B47" s="5">
        <v>45820</v>
      </c>
      <c r="C47" s="12">
        <v>8</v>
      </c>
      <c r="D47" s="12">
        <v>2.4</v>
      </c>
      <c r="E47" s="12">
        <v>207878.15100000001</v>
      </c>
      <c r="F47" s="12">
        <v>0</v>
      </c>
      <c r="G47" s="12">
        <v>1753781.51</v>
      </c>
      <c r="H47" s="12">
        <v>-90756.3</v>
      </c>
      <c r="I47" s="12">
        <v>0</v>
      </c>
      <c r="J47" s="12">
        <v>1663025.21</v>
      </c>
      <c r="K47" s="12">
        <v>36000</v>
      </c>
      <c r="L47" s="12">
        <v>0</v>
      </c>
      <c r="M47" s="12">
        <v>315974.78999999998</v>
      </c>
      <c r="N47" s="12">
        <v>2015000</v>
      </c>
      <c r="O47" s="12">
        <v>0</v>
      </c>
      <c r="P47" s="12">
        <v>1663025.21</v>
      </c>
      <c r="Q47" s="12">
        <v>464016</v>
      </c>
      <c r="R47" s="12">
        <v>1199009.21</v>
      </c>
      <c r="S47" s="12">
        <v>0</v>
      </c>
      <c r="T47" s="12">
        <v>19</v>
      </c>
      <c r="U47" s="12">
        <v>0</v>
      </c>
      <c r="V47" s="12">
        <v>0</v>
      </c>
      <c r="W47" s="35">
        <v>46144.261731053244</v>
      </c>
      <c r="X47" s="12">
        <v>5</v>
      </c>
      <c r="Y47" s="12">
        <v>5</v>
      </c>
      <c r="Z47" s="12">
        <v>1036974.79</v>
      </c>
      <c r="AA47" s="12">
        <v>207394.95800000001</v>
      </c>
      <c r="AB47" s="12">
        <v>244163</v>
      </c>
      <c r="AC47" s="12">
        <v>792811.79</v>
      </c>
      <c r="AD47" s="12">
        <v>3</v>
      </c>
      <c r="AE47" s="12">
        <v>3</v>
      </c>
      <c r="AF47" s="12">
        <v>626050.42000000004</v>
      </c>
      <c r="AG47" s="12">
        <v>208683.473</v>
      </c>
      <c r="AH47" s="12">
        <v>219853</v>
      </c>
      <c r="AI47" s="12">
        <v>406197.42</v>
      </c>
      <c r="AJ47" s="12"/>
      <c r="AK47" s="12"/>
      <c r="AL47" s="12"/>
      <c r="AM47" s="12"/>
      <c r="AN47" s="12"/>
      <c r="AO47" s="12"/>
      <c r="AP47" s="12">
        <v>1663025.21</v>
      </c>
      <c r="AQ47" s="12">
        <v>8</v>
      </c>
      <c r="AR47" s="12">
        <v>207878.15100000001</v>
      </c>
      <c r="AS47" s="12">
        <v>464016</v>
      </c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>
        <v>118</v>
      </c>
      <c r="BG47" s="12">
        <v>1</v>
      </c>
      <c r="BH47" s="12">
        <v>8.4745762711864406E-3</v>
      </c>
      <c r="BI47" s="12">
        <v>27</v>
      </c>
      <c r="BJ47" s="12">
        <v>0</v>
      </c>
      <c r="BK47" s="12">
        <v>0</v>
      </c>
      <c r="BL47" s="12">
        <v>34</v>
      </c>
      <c r="BM47" s="12">
        <v>0</v>
      </c>
      <c r="BN47" s="12">
        <v>0</v>
      </c>
      <c r="BO47" s="12">
        <v>26</v>
      </c>
      <c r="BP47" s="12">
        <v>0</v>
      </c>
      <c r="BQ47" s="12">
        <v>0</v>
      </c>
      <c r="BR47" s="12">
        <v>169</v>
      </c>
      <c r="BS47" s="12">
        <v>3</v>
      </c>
      <c r="BT47" s="12">
        <v>1.7751479289940829E-2</v>
      </c>
      <c r="BU47" s="12">
        <v>374</v>
      </c>
      <c r="BV47" s="12">
        <v>4</v>
      </c>
      <c r="BW47" s="12">
        <v>1.06951871657754E-2</v>
      </c>
      <c r="BX47" s="12"/>
      <c r="BY47" s="12"/>
      <c r="BZ47" s="12"/>
      <c r="CA47" s="12">
        <v>11641.24</v>
      </c>
      <c r="CB47" s="13"/>
      <c r="CC47" s="13"/>
      <c r="CD47" s="13"/>
      <c r="CE47" s="12">
        <v>1344</v>
      </c>
      <c r="CF47" s="12">
        <v>120</v>
      </c>
      <c r="CG47" s="13">
        <v>26788</v>
      </c>
      <c r="CH47" s="13">
        <v>54</v>
      </c>
      <c r="CI47" s="13">
        <v>2786</v>
      </c>
    </row>
    <row r="48" spans="2:87" x14ac:dyDescent="0.2">
      <c r="B48" s="5">
        <v>45821</v>
      </c>
      <c r="C48" s="12">
        <v>7</v>
      </c>
      <c r="D48" s="12">
        <v>1.4</v>
      </c>
      <c r="E48" s="12">
        <v>96278.510999999999</v>
      </c>
      <c r="F48" s="12">
        <v>0</v>
      </c>
      <c r="G48" s="12">
        <v>673949.58</v>
      </c>
      <c r="H48" s="12">
        <v>0</v>
      </c>
      <c r="I48" s="12">
        <v>0</v>
      </c>
      <c r="J48" s="12">
        <v>673949.58</v>
      </c>
      <c r="K48" s="12">
        <v>27000</v>
      </c>
      <c r="L48" s="12">
        <v>0</v>
      </c>
      <c r="M48" s="12">
        <v>128050.42</v>
      </c>
      <c r="N48" s="12">
        <v>829000</v>
      </c>
      <c r="O48" s="12">
        <v>0</v>
      </c>
      <c r="P48" s="12">
        <v>673949.58</v>
      </c>
      <c r="Q48" s="12">
        <v>163184</v>
      </c>
      <c r="R48" s="12">
        <v>510765.58</v>
      </c>
      <c r="S48" s="12">
        <v>0</v>
      </c>
      <c r="T48" s="12">
        <v>10</v>
      </c>
      <c r="U48" s="12">
        <v>0</v>
      </c>
      <c r="V48" s="12">
        <v>0</v>
      </c>
      <c r="W48" s="35">
        <v>46144.261731053244</v>
      </c>
      <c r="X48" s="12">
        <v>4</v>
      </c>
      <c r="Y48" s="12">
        <v>4</v>
      </c>
      <c r="Z48" s="12">
        <v>505042.02</v>
      </c>
      <c r="AA48" s="12">
        <v>126260.505</v>
      </c>
      <c r="AB48" s="12">
        <v>120236</v>
      </c>
      <c r="AC48" s="12">
        <v>384806.02</v>
      </c>
      <c r="AD48" s="12">
        <v>3</v>
      </c>
      <c r="AE48" s="12">
        <v>3</v>
      </c>
      <c r="AF48" s="12">
        <v>168907.56</v>
      </c>
      <c r="AG48" s="12">
        <v>56302.52</v>
      </c>
      <c r="AH48" s="12">
        <v>42948</v>
      </c>
      <c r="AI48" s="12">
        <v>125959.56</v>
      </c>
      <c r="AJ48" s="12"/>
      <c r="AK48" s="12"/>
      <c r="AL48" s="12"/>
      <c r="AM48" s="12"/>
      <c r="AN48" s="12"/>
      <c r="AO48" s="12"/>
      <c r="AP48" s="12">
        <v>673949.58</v>
      </c>
      <c r="AQ48" s="12">
        <v>7</v>
      </c>
      <c r="AR48" s="12">
        <v>96278.510999999999</v>
      </c>
      <c r="AS48" s="12">
        <v>163184</v>
      </c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>
        <v>325</v>
      </c>
      <c r="BG48" s="12">
        <v>0</v>
      </c>
      <c r="BH48" s="12">
        <v>0</v>
      </c>
      <c r="BI48" s="12">
        <v>40</v>
      </c>
      <c r="BJ48" s="12">
        <v>1</v>
      </c>
      <c r="BK48" s="12">
        <v>2.5000000000000001E-2</v>
      </c>
      <c r="BL48" s="12">
        <v>18</v>
      </c>
      <c r="BM48" s="12">
        <v>1</v>
      </c>
      <c r="BN48" s="12">
        <v>5.5555555555555552E-2</v>
      </c>
      <c r="BO48" s="12">
        <v>33</v>
      </c>
      <c r="BP48" s="12">
        <v>0</v>
      </c>
      <c r="BQ48" s="12">
        <v>0</v>
      </c>
      <c r="BR48" s="12">
        <v>56</v>
      </c>
      <c r="BS48" s="12">
        <v>1</v>
      </c>
      <c r="BT48" s="12">
        <v>1.7857142857142856E-2</v>
      </c>
      <c r="BU48" s="12">
        <v>472</v>
      </c>
      <c r="BV48" s="12">
        <v>3</v>
      </c>
      <c r="BW48" s="12">
        <v>6.3559322033898309E-3</v>
      </c>
      <c r="BX48" s="12"/>
      <c r="BY48" s="12"/>
      <c r="BZ48" s="12"/>
      <c r="CA48" s="12">
        <v>36699.949999999997</v>
      </c>
      <c r="CB48" s="13"/>
      <c r="CC48" s="13"/>
      <c r="CD48" s="13"/>
      <c r="CE48" s="12">
        <v>3064</v>
      </c>
      <c r="CF48" s="12">
        <v>304</v>
      </c>
      <c r="CG48" s="13">
        <v>33756</v>
      </c>
      <c r="CH48" s="13">
        <v>79</v>
      </c>
      <c r="CI48" s="13">
        <v>2651</v>
      </c>
    </row>
    <row r="49" spans="2:87" x14ac:dyDescent="0.2">
      <c r="B49" s="5">
        <v>45822</v>
      </c>
      <c r="C49" s="12">
        <v>9</v>
      </c>
      <c r="D49" s="12">
        <v>1.7</v>
      </c>
      <c r="E49" s="12">
        <v>118113.913</v>
      </c>
      <c r="F49" s="12">
        <v>0</v>
      </c>
      <c r="G49" s="12">
        <v>1063025.22</v>
      </c>
      <c r="H49" s="12">
        <v>0</v>
      </c>
      <c r="I49" s="12">
        <v>0</v>
      </c>
      <c r="J49" s="12">
        <v>1063025.22</v>
      </c>
      <c r="K49" s="12">
        <v>57000</v>
      </c>
      <c r="L49" s="12">
        <v>0</v>
      </c>
      <c r="M49" s="12">
        <v>201974.78</v>
      </c>
      <c r="N49" s="12">
        <v>1322000</v>
      </c>
      <c r="O49" s="12">
        <v>105882.35</v>
      </c>
      <c r="P49" s="12">
        <v>957142.87</v>
      </c>
      <c r="Q49" s="12">
        <v>270677</v>
      </c>
      <c r="R49" s="12">
        <v>686465.87</v>
      </c>
      <c r="S49" s="12">
        <v>0</v>
      </c>
      <c r="T49" s="12">
        <v>15</v>
      </c>
      <c r="U49" s="12">
        <v>0</v>
      </c>
      <c r="V49" s="12">
        <v>0</v>
      </c>
      <c r="W49" s="35">
        <v>46144.261731053244</v>
      </c>
      <c r="X49" s="12">
        <v>3</v>
      </c>
      <c r="Y49" s="12">
        <v>3</v>
      </c>
      <c r="Z49" s="12">
        <v>412605.04</v>
      </c>
      <c r="AA49" s="12">
        <v>137535.01300000001</v>
      </c>
      <c r="AB49" s="12">
        <v>94071</v>
      </c>
      <c r="AC49" s="12">
        <v>212651.69</v>
      </c>
      <c r="AD49" s="12">
        <v>6</v>
      </c>
      <c r="AE49" s="12">
        <v>6</v>
      </c>
      <c r="AF49" s="12">
        <v>650420.18000000005</v>
      </c>
      <c r="AG49" s="12">
        <v>108403.363</v>
      </c>
      <c r="AH49" s="12">
        <v>176606</v>
      </c>
      <c r="AI49" s="12">
        <v>473814.18</v>
      </c>
      <c r="AJ49" s="12"/>
      <c r="AK49" s="12"/>
      <c r="AL49" s="12"/>
      <c r="AM49" s="12"/>
      <c r="AN49" s="12"/>
      <c r="AO49" s="12"/>
      <c r="AP49" s="12">
        <v>1063025.22</v>
      </c>
      <c r="AQ49" s="12">
        <v>9</v>
      </c>
      <c r="AR49" s="12">
        <v>118113.913</v>
      </c>
      <c r="AS49" s="12">
        <v>270677</v>
      </c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>
        <v>230</v>
      </c>
      <c r="BG49" s="12">
        <v>1</v>
      </c>
      <c r="BH49" s="12">
        <v>4.3478260869565218E-3</v>
      </c>
      <c r="BI49" s="12">
        <v>49</v>
      </c>
      <c r="BJ49" s="12">
        <v>1</v>
      </c>
      <c r="BK49" s="12">
        <v>2.0408163265306121E-2</v>
      </c>
      <c r="BL49" s="12">
        <v>19</v>
      </c>
      <c r="BM49" s="12">
        <v>0</v>
      </c>
      <c r="BN49" s="12">
        <v>0</v>
      </c>
      <c r="BO49" s="12">
        <v>18</v>
      </c>
      <c r="BP49" s="12">
        <v>0</v>
      </c>
      <c r="BQ49" s="12">
        <v>0</v>
      </c>
      <c r="BR49" s="12">
        <v>61</v>
      </c>
      <c r="BS49" s="12">
        <v>3</v>
      </c>
      <c r="BT49" s="12">
        <v>4.9180327868852458E-2</v>
      </c>
      <c r="BU49" s="12">
        <v>377</v>
      </c>
      <c r="BV49" s="12">
        <v>5</v>
      </c>
      <c r="BW49" s="12">
        <v>1.3262599469496022E-2</v>
      </c>
      <c r="BX49" s="12"/>
      <c r="BY49" s="12"/>
      <c r="BZ49" s="12"/>
      <c r="CA49" s="12">
        <v>24192.41</v>
      </c>
      <c r="CB49" s="13"/>
      <c r="CC49" s="13"/>
      <c r="CD49" s="13"/>
      <c r="CE49" s="12">
        <v>1709</v>
      </c>
      <c r="CF49" s="12">
        <v>216</v>
      </c>
      <c r="CG49" s="13">
        <v>37760</v>
      </c>
      <c r="CH49" s="13">
        <v>121</v>
      </c>
      <c r="CI49" s="13">
        <v>2809</v>
      </c>
    </row>
    <row r="50" spans="2:87" x14ac:dyDescent="0.2">
      <c r="B50" s="5">
        <v>45823</v>
      </c>
      <c r="C50" s="12">
        <v>7</v>
      </c>
      <c r="D50" s="12">
        <v>1.7</v>
      </c>
      <c r="E50" s="12">
        <v>109843.935</v>
      </c>
      <c r="F50" s="12">
        <v>0</v>
      </c>
      <c r="G50" s="12">
        <v>768907.55</v>
      </c>
      <c r="H50" s="12">
        <v>0</v>
      </c>
      <c r="I50" s="12">
        <v>0</v>
      </c>
      <c r="J50" s="12">
        <v>768907.55</v>
      </c>
      <c r="K50" s="12">
        <v>89500</v>
      </c>
      <c r="L50" s="12">
        <v>0</v>
      </c>
      <c r="M50" s="12">
        <v>146092.45000000001</v>
      </c>
      <c r="N50" s="12">
        <v>1004500</v>
      </c>
      <c r="O50" s="12">
        <v>0</v>
      </c>
      <c r="P50" s="12">
        <v>768907.55</v>
      </c>
      <c r="Q50" s="12">
        <v>201976</v>
      </c>
      <c r="R50" s="12">
        <v>566931.55000000005</v>
      </c>
      <c r="S50" s="12">
        <v>0</v>
      </c>
      <c r="T50" s="12">
        <v>12</v>
      </c>
      <c r="U50" s="12">
        <v>0</v>
      </c>
      <c r="V50" s="12">
        <v>0</v>
      </c>
      <c r="W50" s="35">
        <v>46144.261731053244</v>
      </c>
      <c r="X50" s="12">
        <v>3</v>
      </c>
      <c r="Y50" s="12">
        <v>3</v>
      </c>
      <c r="Z50" s="12">
        <v>222689.07</v>
      </c>
      <c r="AA50" s="12">
        <v>74229.69</v>
      </c>
      <c r="AB50" s="12">
        <v>50094</v>
      </c>
      <c r="AC50" s="12">
        <v>172595.07</v>
      </c>
      <c r="AD50" s="12">
        <v>4</v>
      </c>
      <c r="AE50" s="12">
        <v>4</v>
      </c>
      <c r="AF50" s="12">
        <v>546218.48</v>
      </c>
      <c r="AG50" s="12">
        <v>136554.62</v>
      </c>
      <c r="AH50" s="12">
        <v>151882</v>
      </c>
      <c r="AI50" s="12">
        <v>394336.48</v>
      </c>
      <c r="AJ50" s="12"/>
      <c r="AK50" s="12"/>
      <c r="AL50" s="12"/>
      <c r="AM50" s="12"/>
      <c r="AN50" s="12"/>
      <c r="AO50" s="12"/>
      <c r="AP50" s="12">
        <v>768907.55</v>
      </c>
      <c r="AQ50" s="12">
        <v>7</v>
      </c>
      <c r="AR50" s="12">
        <v>109843.935</v>
      </c>
      <c r="AS50" s="12">
        <v>201976</v>
      </c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>
        <v>685</v>
      </c>
      <c r="BG50" s="12">
        <v>0</v>
      </c>
      <c r="BH50" s="12">
        <v>0</v>
      </c>
      <c r="BI50" s="12">
        <v>48</v>
      </c>
      <c r="BJ50" s="12">
        <v>2</v>
      </c>
      <c r="BK50" s="12">
        <v>4.1666666666666664E-2</v>
      </c>
      <c r="BL50" s="12">
        <v>20</v>
      </c>
      <c r="BM50" s="12">
        <v>1</v>
      </c>
      <c r="BN50" s="12">
        <v>0.05</v>
      </c>
      <c r="BO50" s="12">
        <v>108</v>
      </c>
      <c r="BP50" s="12">
        <v>0</v>
      </c>
      <c r="BQ50" s="12">
        <v>0</v>
      </c>
      <c r="BR50" s="12">
        <v>50</v>
      </c>
      <c r="BS50" s="12">
        <v>3</v>
      </c>
      <c r="BT50" s="12">
        <v>0.06</v>
      </c>
      <c r="BU50" s="12">
        <v>911</v>
      </c>
      <c r="BV50" s="12">
        <v>6</v>
      </c>
      <c r="BW50" s="12">
        <v>6.5861690450054883E-3</v>
      </c>
      <c r="BX50" s="12"/>
      <c r="BY50" s="12"/>
      <c r="BZ50" s="12"/>
      <c r="CA50" s="12">
        <v>84764.160000000003</v>
      </c>
      <c r="CB50" s="13"/>
      <c r="CC50" s="13"/>
      <c r="CD50" s="13"/>
      <c r="CE50" s="12">
        <v>7583</v>
      </c>
      <c r="CF50" s="12">
        <v>747</v>
      </c>
      <c r="CG50" s="13">
        <v>40483</v>
      </c>
      <c r="CH50" s="13">
        <v>132</v>
      </c>
      <c r="CI50" s="13">
        <v>4037</v>
      </c>
    </row>
    <row r="51" spans="2:87" x14ac:dyDescent="0.2">
      <c r="B51" s="5">
        <v>45824</v>
      </c>
      <c r="C51" s="12">
        <v>13</v>
      </c>
      <c r="D51" s="12">
        <v>2.4</v>
      </c>
      <c r="E51" s="12">
        <v>180164.83600000001</v>
      </c>
      <c r="F51" s="12">
        <v>0</v>
      </c>
      <c r="G51" s="12">
        <v>2342142.87</v>
      </c>
      <c r="H51" s="12">
        <v>0</v>
      </c>
      <c r="I51" s="12">
        <v>0</v>
      </c>
      <c r="J51" s="12">
        <v>2342142.87</v>
      </c>
      <c r="K51" s="12">
        <v>280000</v>
      </c>
      <c r="L51" s="12">
        <v>0</v>
      </c>
      <c r="M51" s="12">
        <v>352857.13</v>
      </c>
      <c r="N51" s="12">
        <v>2975000</v>
      </c>
      <c r="O51" s="12">
        <v>226890.76</v>
      </c>
      <c r="P51" s="12">
        <v>2115252.11</v>
      </c>
      <c r="Q51" s="12">
        <v>594048</v>
      </c>
      <c r="R51" s="12">
        <v>1521204.11</v>
      </c>
      <c r="S51" s="12">
        <v>0</v>
      </c>
      <c r="T51" s="12">
        <v>31</v>
      </c>
      <c r="U51" s="12">
        <v>0</v>
      </c>
      <c r="V51" s="12">
        <v>0</v>
      </c>
      <c r="W51" s="35">
        <v>46144.261731053244</v>
      </c>
      <c r="X51" s="12">
        <v>3</v>
      </c>
      <c r="Y51" s="12">
        <v>3</v>
      </c>
      <c r="Z51" s="12">
        <v>537815.13</v>
      </c>
      <c r="AA51" s="12">
        <v>179271.71</v>
      </c>
      <c r="AB51" s="12">
        <v>82557</v>
      </c>
      <c r="AC51" s="12">
        <v>228367.37</v>
      </c>
      <c r="AD51" s="12">
        <v>10</v>
      </c>
      <c r="AE51" s="12">
        <v>10</v>
      </c>
      <c r="AF51" s="12">
        <v>1804327.74</v>
      </c>
      <c r="AG51" s="12">
        <v>180432.774</v>
      </c>
      <c r="AH51" s="12">
        <v>511491</v>
      </c>
      <c r="AI51" s="12">
        <v>1292836.74</v>
      </c>
      <c r="AJ51" s="12"/>
      <c r="AK51" s="12"/>
      <c r="AL51" s="12"/>
      <c r="AM51" s="12"/>
      <c r="AN51" s="12"/>
      <c r="AO51" s="12"/>
      <c r="AP51" s="12">
        <v>2342142.87</v>
      </c>
      <c r="AQ51" s="12">
        <v>13</v>
      </c>
      <c r="AR51" s="12">
        <v>180164.83600000001</v>
      </c>
      <c r="AS51" s="12">
        <v>594048</v>
      </c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>
        <v>460</v>
      </c>
      <c r="BG51" s="12">
        <v>0</v>
      </c>
      <c r="BH51" s="12">
        <v>0</v>
      </c>
      <c r="BI51" s="12">
        <v>35</v>
      </c>
      <c r="BJ51" s="12">
        <v>2</v>
      </c>
      <c r="BK51" s="12">
        <v>5.7142857142857141E-2</v>
      </c>
      <c r="BL51" s="12">
        <v>22</v>
      </c>
      <c r="BM51" s="12">
        <v>1</v>
      </c>
      <c r="BN51" s="12">
        <v>4.5454545454545456E-2</v>
      </c>
      <c r="BO51" s="12">
        <v>130</v>
      </c>
      <c r="BP51" s="12">
        <v>0</v>
      </c>
      <c r="BQ51" s="12">
        <v>0</v>
      </c>
      <c r="BR51" s="12">
        <v>84</v>
      </c>
      <c r="BS51" s="12">
        <v>5</v>
      </c>
      <c r="BT51" s="12">
        <v>5.9523809523809521E-2</v>
      </c>
      <c r="BU51" s="12">
        <v>731</v>
      </c>
      <c r="BV51" s="12">
        <v>8</v>
      </c>
      <c r="BW51" s="12">
        <v>1.094391244870041E-2</v>
      </c>
      <c r="BX51" s="12"/>
      <c r="BY51" s="12"/>
      <c r="BZ51" s="12"/>
      <c r="CA51" s="12">
        <v>64590.82</v>
      </c>
      <c r="CB51" s="13"/>
      <c r="CC51" s="13"/>
      <c r="CD51" s="13"/>
      <c r="CE51" s="12">
        <v>7179</v>
      </c>
      <c r="CF51" s="12">
        <v>551</v>
      </c>
      <c r="CG51" s="13">
        <v>39669</v>
      </c>
      <c r="CH51" s="13">
        <v>83</v>
      </c>
      <c r="CI51" s="13">
        <v>3872</v>
      </c>
    </row>
    <row r="52" spans="2:87" x14ac:dyDescent="0.2">
      <c r="B52" s="5">
        <v>45825</v>
      </c>
      <c r="C52" s="12">
        <v>13</v>
      </c>
      <c r="D52" s="12">
        <v>1.5</v>
      </c>
      <c r="E52" s="12">
        <v>95410.535999999993</v>
      </c>
      <c r="F52" s="12">
        <v>-7</v>
      </c>
      <c r="G52" s="12">
        <v>1240336.97</v>
      </c>
      <c r="H52" s="12">
        <v>0</v>
      </c>
      <c r="I52" s="12">
        <v>-331932.77</v>
      </c>
      <c r="J52" s="12">
        <v>908404.2</v>
      </c>
      <c r="K52" s="12">
        <v>80500</v>
      </c>
      <c r="L52" s="12">
        <v>0</v>
      </c>
      <c r="M52" s="12">
        <v>172596.8</v>
      </c>
      <c r="N52" s="12">
        <v>1161501</v>
      </c>
      <c r="O52" s="12">
        <v>42017.64</v>
      </c>
      <c r="P52" s="12">
        <v>866386.56</v>
      </c>
      <c r="Q52" s="12">
        <v>218579</v>
      </c>
      <c r="R52" s="12">
        <v>647807.56000000006</v>
      </c>
      <c r="S52" s="12">
        <v>0</v>
      </c>
      <c r="T52" s="12">
        <v>12</v>
      </c>
      <c r="U52" s="12">
        <v>0</v>
      </c>
      <c r="V52" s="12">
        <v>0</v>
      </c>
      <c r="W52" s="35">
        <v>46144.261731053244</v>
      </c>
      <c r="X52" s="12">
        <v>5</v>
      </c>
      <c r="Y52" s="12">
        <v>7</v>
      </c>
      <c r="Z52" s="12">
        <v>542016.81000000006</v>
      </c>
      <c r="AA52" s="12">
        <v>114645.85799999999</v>
      </c>
      <c r="AB52" s="12">
        <v>138163</v>
      </c>
      <c r="AC52" s="12">
        <v>361837.01</v>
      </c>
      <c r="AD52" s="12">
        <v>5</v>
      </c>
      <c r="AE52" s="12">
        <v>5</v>
      </c>
      <c r="AF52" s="12">
        <v>366386.55</v>
      </c>
      <c r="AG52" s="12">
        <v>87563.024000000005</v>
      </c>
      <c r="AH52" s="12">
        <v>80416</v>
      </c>
      <c r="AI52" s="12">
        <v>285970.55</v>
      </c>
      <c r="AJ52" s="12">
        <v>1</v>
      </c>
      <c r="AK52" s="12">
        <v>1</v>
      </c>
      <c r="AL52" s="12">
        <v>0.84</v>
      </c>
      <c r="AM52" s="12">
        <v>0.84</v>
      </c>
      <c r="AN52" s="12">
        <v>0</v>
      </c>
      <c r="AO52" s="12">
        <v>0</v>
      </c>
      <c r="AP52" s="12">
        <v>908404.2</v>
      </c>
      <c r="AQ52" s="12">
        <v>13</v>
      </c>
      <c r="AR52" s="12">
        <v>95410.535999999993</v>
      </c>
      <c r="AS52" s="12">
        <v>218579</v>
      </c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>
        <v>788</v>
      </c>
      <c r="BG52" s="12">
        <v>1</v>
      </c>
      <c r="BH52" s="12">
        <v>1.2690355329949238E-3</v>
      </c>
      <c r="BI52" s="12">
        <v>39</v>
      </c>
      <c r="BJ52" s="12">
        <v>0</v>
      </c>
      <c r="BK52" s="12">
        <v>0</v>
      </c>
      <c r="BL52" s="12">
        <v>25</v>
      </c>
      <c r="BM52" s="12">
        <v>1</v>
      </c>
      <c r="BN52" s="12">
        <v>0.04</v>
      </c>
      <c r="BO52" s="12">
        <v>154</v>
      </c>
      <c r="BP52" s="12">
        <v>0</v>
      </c>
      <c r="BQ52" s="12">
        <v>0</v>
      </c>
      <c r="BR52" s="12">
        <v>89</v>
      </c>
      <c r="BS52" s="12">
        <v>2</v>
      </c>
      <c r="BT52" s="12">
        <v>2.247191011235955E-2</v>
      </c>
      <c r="BU52" s="12">
        <v>1095</v>
      </c>
      <c r="BV52" s="12">
        <v>4</v>
      </c>
      <c r="BW52" s="12">
        <v>3.6529680365296802E-3</v>
      </c>
      <c r="BX52" s="12"/>
      <c r="BY52" s="12"/>
      <c r="BZ52" s="12"/>
      <c r="CA52" s="12">
        <v>111298.75</v>
      </c>
      <c r="CB52" s="13"/>
      <c r="CC52" s="13"/>
      <c r="CD52" s="13"/>
      <c r="CE52" s="12">
        <v>8270</v>
      </c>
      <c r="CF52" s="12">
        <v>867</v>
      </c>
      <c r="CG52" s="13">
        <v>39028</v>
      </c>
      <c r="CH52" s="13">
        <v>75</v>
      </c>
      <c r="CI52" s="13">
        <v>3475</v>
      </c>
    </row>
    <row r="53" spans="2:87" x14ac:dyDescent="0.2">
      <c r="B53" s="5">
        <v>45826</v>
      </c>
      <c r="C53" s="12">
        <v>20</v>
      </c>
      <c r="D53" s="12">
        <v>1.5</v>
      </c>
      <c r="E53" s="12">
        <v>86344.538</v>
      </c>
      <c r="F53" s="12">
        <v>-1</v>
      </c>
      <c r="G53" s="12">
        <v>1785714.3</v>
      </c>
      <c r="H53" s="12">
        <v>0</v>
      </c>
      <c r="I53" s="12">
        <v>-58823.53</v>
      </c>
      <c r="J53" s="12">
        <v>1726890.77</v>
      </c>
      <c r="K53" s="12">
        <v>101500</v>
      </c>
      <c r="L53" s="12">
        <v>0</v>
      </c>
      <c r="M53" s="12">
        <v>328109.23</v>
      </c>
      <c r="N53" s="12">
        <v>2156500</v>
      </c>
      <c r="O53" s="12">
        <v>0</v>
      </c>
      <c r="P53" s="12">
        <v>1726890.77</v>
      </c>
      <c r="Q53" s="12">
        <v>500967</v>
      </c>
      <c r="R53" s="12">
        <v>1225923.77</v>
      </c>
      <c r="S53" s="12">
        <v>0</v>
      </c>
      <c r="T53" s="12">
        <v>30</v>
      </c>
      <c r="U53" s="12">
        <v>0</v>
      </c>
      <c r="V53" s="12">
        <v>0</v>
      </c>
      <c r="W53" s="35">
        <v>46144.261731053244</v>
      </c>
      <c r="X53" s="12">
        <v>10</v>
      </c>
      <c r="Y53" s="12">
        <v>10</v>
      </c>
      <c r="Z53" s="12">
        <v>1004201.69</v>
      </c>
      <c r="AA53" s="12">
        <v>100420.16899999999</v>
      </c>
      <c r="AB53" s="12">
        <v>311483</v>
      </c>
      <c r="AC53" s="12">
        <v>692718.69</v>
      </c>
      <c r="AD53" s="12">
        <v>8</v>
      </c>
      <c r="AE53" s="12">
        <v>8</v>
      </c>
      <c r="AF53" s="12">
        <v>546218.49</v>
      </c>
      <c r="AG53" s="12">
        <v>68277.311000000002</v>
      </c>
      <c r="AH53" s="12">
        <v>152473</v>
      </c>
      <c r="AI53" s="12">
        <v>393745.49</v>
      </c>
      <c r="AJ53" s="12">
        <v>1</v>
      </c>
      <c r="AK53" s="12">
        <v>2</v>
      </c>
      <c r="AL53" s="12">
        <v>176470.59</v>
      </c>
      <c r="AM53" s="12">
        <v>88235.294999999998</v>
      </c>
      <c r="AN53" s="12">
        <v>37011</v>
      </c>
      <c r="AO53" s="12">
        <v>139459.59</v>
      </c>
      <c r="AP53" s="12">
        <v>1726890.77</v>
      </c>
      <c r="AQ53" s="12">
        <v>20</v>
      </c>
      <c r="AR53" s="12">
        <v>86344.538</v>
      </c>
      <c r="AS53" s="12">
        <v>500967</v>
      </c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>
        <v>775</v>
      </c>
      <c r="BG53" s="12">
        <v>1</v>
      </c>
      <c r="BH53" s="12">
        <v>1.2903225806451613E-3</v>
      </c>
      <c r="BI53" s="12">
        <v>37</v>
      </c>
      <c r="BJ53" s="12">
        <v>2</v>
      </c>
      <c r="BK53" s="12">
        <v>5.4054054054054057E-2</v>
      </c>
      <c r="BL53" s="12">
        <v>24</v>
      </c>
      <c r="BM53" s="12">
        <v>0</v>
      </c>
      <c r="BN53" s="12">
        <v>0</v>
      </c>
      <c r="BO53" s="12">
        <v>152</v>
      </c>
      <c r="BP53" s="12">
        <v>0</v>
      </c>
      <c r="BQ53" s="12">
        <v>0</v>
      </c>
      <c r="BR53" s="12">
        <v>43</v>
      </c>
      <c r="BS53" s="12">
        <v>3</v>
      </c>
      <c r="BT53" s="12">
        <v>6.9767441860465115E-2</v>
      </c>
      <c r="BU53" s="12">
        <v>1031</v>
      </c>
      <c r="BV53" s="12">
        <v>6</v>
      </c>
      <c r="BW53" s="12">
        <v>5.8195926285160042E-3</v>
      </c>
      <c r="BX53" s="12"/>
      <c r="BY53" s="12"/>
      <c r="BZ53" s="12"/>
      <c r="CA53" s="12">
        <v>97437.34</v>
      </c>
      <c r="CB53" s="13"/>
      <c r="CC53" s="13"/>
      <c r="CD53" s="13"/>
      <c r="CE53" s="12">
        <v>8572</v>
      </c>
      <c r="CF53" s="12">
        <v>837</v>
      </c>
      <c r="CG53" s="13">
        <v>37809</v>
      </c>
      <c r="CH53" s="13">
        <v>80</v>
      </c>
      <c r="CI53" s="13">
        <v>3176</v>
      </c>
    </row>
    <row r="54" spans="2:87" x14ac:dyDescent="0.2">
      <c r="B54" s="5">
        <v>45827</v>
      </c>
      <c r="C54" s="12">
        <v>34</v>
      </c>
      <c r="D54" s="12">
        <v>2</v>
      </c>
      <c r="E54" s="12">
        <v>104448.83900000001</v>
      </c>
      <c r="F54" s="12">
        <v>0</v>
      </c>
      <c r="G54" s="12">
        <v>3748739.51</v>
      </c>
      <c r="H54" s="12">
        <v>-197478.98</v>
      </c>
      <c r="I54" s="12">
        <v>0</v>
      </c>
      <c r="J54" s="12">
        <v>3551260.53</v>
      </c>
      <c r="K54" s="12">
        <v>68000</v>
      </c>
      <c r="L54" s="12">
        <v>0</v>
      </c>
      <c r="M54" s="12">
        <v>674739.47</v>
      </c>
      <c r="N54" s="12">
        <v>4294000</v>
      </c>
      <c r="O54" s="12">
        <v>100840.33</v>
      </c>
      <c r="P54" s="12">
        <v>3450420.2</v>
      </c>
      <c r="Q54" s="12">
        <v>1128772</v>
      </c>
      <c r="R54" s="12">
        <v>2321648.2000000002</v>
      </c>
      <c r="S54" s="12">
        <v>0</v>
      </c>
      <c r="T54" s="12">
        <v>68</v>
      </c>
      <c r="U54" s="12">
        <v>0</v>
      </c>
      <c r="V54" s="12">
        <v>0</v>
      </c>
      <c r="W54" s="35">
        <v>46144.261731053244</v>
      </c>
      <c r="X54" s="12">
        <v>7</v>
      </c>
      <c r="Y54" s="12">
        <v>8</v>
      </c>
      <c r="Z54" s="12">
        <v>420168.08</v>
      </c>
      <c r="AA54" s="12">
        <v>52521.01</v>
      </c>
      <c r="AB54" s="12">
        <v>104855</v>
      </c>
      <c r="AC54" s="12">
        <v>290103</v>
      </c>
      <c r="AD54" s="12">
        <v>21</v>
      </c>
      <c r="AE54" s="12">
        <v>21</v>
      </c>
      <c r="AF54" s="12">
        <v>2911764.71</v>
      </c>
      <c r="AG54" s="12">
        <v>138655.462</v>
      </c>
      <c r="AH54" s="12">
        <v>939995</v>
      </c>
      <c r="AI54" s="12">
        <v>1896139.46</v>
      </c>
      <c r="AJ54" s="12">
        <v>1</v>
      </c>
      <c r="AK54" s="12">
        <v>5</v>
      </c>
      <c r="AL54" s="12">
        <v>219327.74</v>
      </c>
      <c r="AM54" s="12">
        <v>43865.548000000003</v>
      </c>
      <c r="AN54" s="12">
        <v>83922</v>
      </c>
      <c r="AO54" s="12">
        <v>135405.74</v>
      </c>
      <c r="AP54" s="12">
        <v>3551260.53</v>
      </c>
      <c r="AQ54" s="12">
        <v>34</v>
      </c>
      <c r="AR54" s="12">
        <v>104448.83900000001</v>
      </c>
      <c r="AS54" s="12">
        <v>1128772</v>
      </c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>
        <v>952</v>
      </c>
      <c r="BG54" s="12">
        <v>0</v>
      </c>
      <c r="BH54" s="12">
        <v>0</v>
      </c>
      <c r="BI54" s="12">
        <v>29</v>
      </c>
      <c r="BJ54" s="12">
        <v>0</v>
      </c>
      <c r="BK54" s="12">
        <v>0</v>
      </c>
      <c r="BL54" s="12">
        <v>40</v>
      </c>
      <c r="BM54" s="12">
        <v>0</v>
      </c>
      <c r="BN54" s="12">
        <v>0</v>
      </c>
      <c r="BO54" s="12">
        <v>83</v>
      </c>
      <c r="BP54" s="12">
        <v>0</v>
      </c>
      <c r="BQ54" s="12">
        <v>0</v>
      </c>
      <c r="BR54" s="12">
        <v>73</v>
      </c>
      <c r="BS54" s="12">
        <v>2</v>
      </c>
      <c r="BT54" s="12">
        <v>2.7397260273972601E-2</v>
      </c>
      <c r="BU54" s="12">
        <v>1177</v>
      </c>
      <c r="BV54" s="12">
        <v>2</v>
      </c>
      <c r="BW54" s="12">
        <v>1.6992353440951572E-3</v>
      </c>
      <c r="BX54" s="12"/>
      <c r="BY54" s="12"/>
      <c r="BZ54" s="12"/>
      <c r="CA54" s="12">
        <v>98137.96</v>
      </c>
      <c r="CB54" s="13"/>
      <c r="CC54" s="13"/>
      <c r="CD54" s="13"/>
      <c r="CE54" s="12">
        <v>8387</v>
      </c>
      <c r="CF54" s="12">
        <v>979</v>
      </c>
      <c r="CG54" s="13">
        <v>38092</v>
      </c>
      <c r="CH54" s="13">
        <v>92</v>
      </c>
      <c r="CI54" s="13">
        <v>3089</v>
      </c>
    </row>
    <row r="55" spans="2:87" x14ac:dyDescent="0.2">
      <c r="B55" s="5">
        <v>45828</v>
      </c>
      <c r="C55" s="12">
        <v>27</v>
      </c>
      <c r="D55" s="12">
        <v>2</v>
      </c>
      <c r="E55" s="12">
        <v>102645.503</v>
      </c>
      <c r="F55" s="12">
        <v>0</v>
      </c>
      <c r="G55" s="12">
        <v>2821848.75</v>
      </c>
      <c r="H55" s="12">
        <v>-50420.160000000003</v>
      </c>
      <c r="I55" s="12">
        <v>0</v>
      </c>
      <c r="J55" s="12">
        <v>2771428.59</v>
      </c>
      <c r="K55" s="12">
        <v>62500</v>
      </c>
      <c r="L55" s="12">
        <v>0</v>
      </c>
      <c r="M55" s="12">
        <v>526571.41</v>
      </c>
      <c r="N55" s="12">
        <v>3360500</v>
      </c>
      <c r="O55" s="12">
        <v>0</v>
      </c>
      <c r="P55" s="12">
        <v>2771428.59</v>
      </c>
      <c r="Q55" s="12">
        <v>724933.12</v>
      </c>
      <c r="R55" s="12">
        <v>2046495.47</v>
      </c>
      <c r="S55" s="12">
        <v>0</v>
      </c>
      <c r="T55" s="12">
        <v>53</v>
      </c>
      <c r="U55" s="12">
        <v>0</v>
      </c>
      <c r="V55" s="12">
        <v>0</v>
      </c>
      <c r="W55" s="35">
        <v>46144.261731053244</v>
      </c>
      <c r="X55" s="12">
        <v>4</v>
      </c>
      <c r="Y55" s="12">
        <v>4</v>
      </c>
      <c r="Z55" s="12">
        <v>459663.87</v>
      </c>
      <c r="AA55" s="12">
        <v>114915.967</v>
      </c>
      <c r="AB55" s="12">
        <v>124559</v>
      </c>
      <c r="AC55" s="12">
        <v>335104.87</v>
      </c>
      <c r="AD55" s="12">
        <v>17</v>
      </c>
      <c r="AE55" s="12">
        <v>17</v>
      </c>
      <c r="AF55" s="12">
        <v>2042857.14</v>
      </c>
      <c r="AG55" s="12">
        <v>120168.067</v>
      </c>
      <c r="AH55" s="12">
        <v>553514.12</v>
      </c>
      <c r="AI55" s="12">
        <v>1489343.02</v>
      </c>
      <c r="AJ55" s="12">
        <v>1</v>
      </c>
      <c r="AK55" s="12">
        <v>6</v>
      </c>
      <c r="AL55" s="12">
        <v>268907.58</v>
      </c>
      <c r="AM55" s="12">
        <v>44817.93</v>
      </c>
      <c r="AN55" s="12">
        <v>46860</v>
      </c>
      <c r="AO55" s="12">
        <v>222047.58</v>
      </c>
      <c r="AP55" s="12">
        <v>2771428.59</v>
      </c>
      <c r="AQ55" s="12">
        <v>27</v>
      </c>
      <c r="AR55" s="12">
        <v>102645.503</v>
      </c>
      <c r="AS55" s="12">
        <v>724933.12</v>
      </c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>
        <v>903</v>
      </c>
      <c r="BG55" s="12">
        <v>1</v>
      </c>
      <c r="BH55" s="12">
        <v>1.1074197120708748E-3</v>
      </c>
      <c r="BI55" s="12">
        <v>34</v>
      </c>
      <c r="BJ55" s="12">
        <v>0</v>
      </c>
      <c r="BK55" s="12">
        <v>0</v>
      </c>
      <c r="BL55" s="12">
        <v>14</v>
      </c>
      <c r="BM55" s="12">
        <v>0</v>
      </c>
      <c r="BN55" s="12">
        <v>0</v>
      </c>
      <c r="BO55" s="12">
        <v>117</v>
      </c>
      <c r="BP55" s="12">
        <v>0</v>
      </c>
      <c r="BQ55" s="12">
        <v>0</v>
      </c>
      <c r="BR55" s="12">
        <v>36</v>
      </c>
      <c r="BS55" s="12">
        <v>3</v>
      </c>
      <c r="BT55" s="12">
        <v>8.3333333333333329E-2</v>
      </c>
      <c r="BU55" s="12">
        <v>1104</v>
      </c>
      <c r="BV55" s="12">
        <v>4</v>
      </c>
      <c r="BW55" s="12">
        <v>3.6231884057971015E-3</v>
      </c>
      <c r="BX55" s="12"/>
      <c r="BY55" s="12"/>
      <c r="BZ55" s="12"/>
      <c r="CA55" s="12">
        <v>99647.97</v>
      </c>
      <c r="CB55" s="13"/>
      <c r="CC55" s="13"/>
      <c r="CD55" s="13"/>
      <c r="CE55" s="12">
        <v>7292</v>
      </c>
      <c r="CF55" s="12">
        <v>898</v>
      </c>
      <c r="CG55" s="13">
        <v>41485</v>
      </c>
      <c r="CH55" s="13">
        <v>87</v>
      </c>
      <c r="CI55" s="13">
        <v>3532</v>
      </c>
    </row>
    <row r="56" spans="2:87" x14ac:dyDescent="0.2">
      <c r="B56" s="5">
        <v>45829</v>
      </c>
      <c r="C56" s="12">
        <v>36</v>
      </c>
      <c r="D56" s="12">
        <v>1.7</v>
      </c>
      <c r="E56" s="12">
        <v>83636.788</v>
      </c>
      <c r="F56" s="12">
        <v>0</v>
      </c>
      <c r="G56" s="12">
        <v>3010924.37</v>
      </c>
      <c r="H56" s="12">
        <v>0</v>
      </c>
      <c r="I56" s="12">
        <v>0</v>
      </c>
      <c r="J56" s="12">
        <v>3010924.37</v>
      </c>
      <c r="K56" s="12">
        <v>36000</v>
      </c>
      <c r="L56" s="12">
        <v>0</v>
      </c>
      <c r="M56" s="12">
        <v>572075.63</v>
      </c>
      <c r="N56" s="12">
        <v>3619000</v>
      </c>
      <c r="O56" s="12">
        <v>0</v>
      </c>
      <c r="P56" s="12">
        <v>3010924.37</v>
      </c>
      <c r="Q56" s="12">
        <v>757275</v>
      </c>
      <c r="R56" s="12">
        <v>2253649.37</v>
      </c>
      <c r="S56" s="12">
        <v>0</v>
      </c>
      <c r="T56" s="12">
        <v>61</v>
      </c>
      <c r="U56" s="12">
        <v>0</v>
      </c>
      <c r="V56" s="12">
        <v>0</v>
      </c>
      <c r="W56" s="35">
        <v>46144.261731053244</v>
      </c>
      <c r="X56" s="12">
        <v>4</v>
      </c>
      <c r="Y56" s="12">
        <v>5</v>
      </c>
      <c r="Z56" s="12">
        <v>311764.71000000002</v>
      </c>
      <c r="AA56" s="12">
        <v>62352.942000000003</v>
      </c>
      <c r="AB56" s="12">
        <v>75130</v>
      </c>
      <c r="AC56" s="12">
        <v>236634.71</v>
      </c>
      <c r="AD56" s="12">
        <v>21</v>
      </c>
      <c r="AE56" s="12">
        <v>21</v>
      </c>
      <c r="AF56" s="12">
        <v>1972268.91</v>
      </c>
      <c r="AG56" s="12">
        <v>93917.566999999995</v>
      </c>
      <c r="AH56" s="12">
        <v>477378</v>
      </c>
      <c r="AI56" s="12">
        <v>1494890.91</v>
      </c>
      <c r="AJ56" s="12">
        <v>1</v>
      </c>
      <c r="AK56" s="12">
        <v>10</v>
      </c>
      <c r="AL56" s="12">
        <v>726890.75</v>
      </c>
      <c r="AM56" s="12">
        <v>72689.074999999997</v>
      </c>
      <c r="AN56" s="12">
        <v>204767</v>
      </c>
      <c r="AO56" s="12">
        <v>522123.75</v>
      </c>
      <c r="AP56" s="12">
        <v>3010924.37</v>
      </c>
      <c r="AQ56" s="12">
        <v>36</v>
      </c>
      <c r="AR56" s="12">
        <v>83636.788</v>
      </c>
      <c r="AS56" s="12">
        <v>757275</v>
      </c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>
        <v>1000</v>
      </c>
      <c r="BG56" s="12">
        <v>1</v>
      </c>
      <c r="BH56" s="12">
        <v>1E-3</v>
      </c>
      <c r="BI56" s="12">
        <v>56</v>
      </c>
      <c r="BJ56" s="12">
        <v>1</v>
      </c>
      <c r="BK56" s="12">
        <v>1.7857142857142856E-2</v>
      </c>
      <c r="BL56" s="12">
        <v>21</v>
      </c>
      <c r="BM56" s="12">
        <v>1</v>
      </c>
      <c r="BN56" s="12">
        <v>4.7619047619047616E-2</v>
      </c>
      <c r="BO56" s="12">
        <v>102</v>
      </c>
      <c r="BP56" s="12">
        <v>0</v>
      </c>
      <c r="BQ56" s="12">
        <v>0</v>
      </c>
      <c r="BR56" s="12">
        <v>41</v>
      </c>
      <c r="BS56" s="12">
        <v>0</v>
      </c>
      <c r="BT56" s="12">
        <v>0</v>
      </c>
      <c r="BU56" s="12">
        <v>1220</v>
      </c>
      <c r="BV56" s="12">
        <v>3</v>
      </c>
      <c r="BW56" s="12">
        <v>2.4590163934426232E-3</v>
      </c>
      <c r="BX56" s="12"/>
      <c r="BY56" s="12"/>
      <c r="BZ56" s="12"/>
      <c r="CA56" s="12">
        <v>95417.95</v>
      </c>
      <c r="CB56" s="13"/>
      <c r="CC56" s="13"/>
      <c r="CD56" s="13"/>
      <c r="CE56" s="12">
        <v>8755</v>
      </c>
      <c r="CF56" s="12">
        <v>949</v>
      </c>
      <c r="CG56" s="13">
        <v>41780</v>
      </c>
      <c r="CH56" s="13">
        <v>123</v>
      </c>
      <c r="CI56" s="13">
        <v>3324</v>
      </c>
    </row>
    <row r="57" spans="2:87" x14ac:dyDescent="0.2">
      <c r="B57" s="5">
        <v>45830</v>
      </c>
      <c r="C57" s="12">
        <v>27</v>
      </c>
      <c r="D57" s="12">
        <v>1.7</v>
      </c>
      <c r="E57" s="12">
        <v>115610.022</v>
      </c>
      <c r="F57" s="12">
        <v>-4</v>
      </c>
      <c r="G57" s="12">
        <v>3191470.61</v>
      </c>
      <c r="H57" s="12">
        <v>-70000</v>
      </c>
      <c r="I57" s="12">
        <v>-441176.47</v>
      </c>
      <c r="J57" s="12">
        <v>2680294.14</v>
      </c>
      <c r="K57" s="12">
        <v>54000</v>
      </c>
      <c r="L57" s="12">
        <v>0</v>
      </c>
      <c r="M57" s="12">
        <v>500705.86</v>
      </c>
      <c r="N57" s="12">
        <v>3235000</v>
      </c>
      <c r="O57" s="12">
        <v>0</v>
      </c>
      <c r="P57" s="12">
        <v>2680294.14</v>
      </c>
      <c r="Q57" s="12">
        <v>793531</v>
      </c>
      <c r="R57" s="12">
        <v>1886763.14</v>
      </c>
      <c r="S57" s="12">
        <v>0</v>
      </c>
      <c r="T57" s="12">
        <v>43</v>
      </c>
      <c r="U57" s="12">
        <v>0</v>
      </c>
      <c r="V57" s="12">
        <v>0</v>
      </c>
      <c r="W57" s="35">
        <v>46144.261731053244</v>
      </c>
      <c r="X57" s="12">
        <v>5</v>
      </c>
      <c r="Y57" s="12">
        <v>5</v>
      </c>
      <c r="Z57" s="12">
        <v>491596.64</v>
      </c>
      <c r="AA57" s="12">
        <v>98319.327999999994</v>
      </c>
      <c r="AB57" s="12">
        <v>162974</v>
      </c>
      <c r="AC57" s="12">
        <v>328622.64</v>
      </c>
      <c r="AD57" s="12">
        <v>20</v>
      </c>
      <c r="AE57" s="12">
        <v>20</v>
      </c>
      <c r="AF57" s="12">
        <v>2188697.5</v>
      </c>
      <c r="AG57" s="12">
        <v>109434.875</v>
      </c>
      <c r="AH57" s="12">
        <v>630557</v>
      </c>
      <c r="AI57" s="12">
        <v>1558140.5</v>
      </c>
      <c r="AJ57" s="12">
        <v>1</v>
      </c>
      <c r="AK57" s="12">
        <v>2</v>
      </c>
      <c r="AL57" s="12">
        <v>0</v>
      </c>
      <c r="AM57" s="12">
        <v>220588.23499999999</v>
      </c>
      <c r="AN57" s="12">
        <v>0</v>
      </c>
      <c r="AO57" s="12">
        <v>0</v>
      </c>
      <c r="AP57" s="12">
        <v>2680294.14</v>
      </c>
      <c r="AQ57" s="12">
        <v>27</v>
      </c>
      <c r="AR57" s="12">
        <v>115610.022</v>
      </c>
      <c r="AS57" s="12">
        <v>793531</v>
      </c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>
        <v>1060</v>
      </c>
      <c r="BG57" s="12">
        <v>3</v>
      </c>
      <c r="BH57" s="12">
        <v>2.8301886792452828E-3</v>
      </c>
      <c r="BI57" s="12">
        <v>41</v>
      </c>
      <c r="BJ57" s="12">
        <v>0</v>
      </c>
      <c r="BK57" s="12">
        <v>0</v>
      </c>
      <c r="BL57" s="12">
        <v>12</v>
      </c>
      <c r="BM57" s="12">
        <v>1</v>
      </c>
      <c r="BN57" s="12">
        <v>8.3333333333333329E-2</v>
      </c>
      <c r="BO57" s="12">
        <v>101</v>
      </c>
      <c r="BP57" s="12">
        <v>0</v>
      </c>
      <c r="BQ57" s="12">
        <v>0</v>
      </c>
      <c r="BR57" s="12">
        <v>85</v>
      </c>
      <c r="BS57" s="12">
        <v>2</v>
      </c>
      <c r="BT57" s="12">
        <v>2.3529411764705882E-2</v>
      </c>
      <c r="BU57" s="12">
        <v>1299</v>
      </c>
      <c r="BV57" s="12">
        <v>6</v>
      </c>
      <c r="BW57" s="12">
        <v>4.6189376443418013E-3</v>
      </c>
      <c r="BX57" s="12"/>
      <c r="BY57" s="12"/>
      <c r="BZ57" s="12"/>
      <c r="CA57" s="12">
        <v>101950.57</v>
      </c>
      <c r="CB57" s="13"/>
      <c r="CC57" s="13"/>
      <c r="CD57" s="13"/>
      <c r="CE57" s="12">
        <v>10055</v>
      </c>
      <c r="CF57" s="12">
        <v>1066</v>
      </c>
      <c r="CG57" s="13">
        <v>45170</v>
      </c>
      <c r="CH57" s="13">
        <v>130</v>
      </c>
      <c r="CI57" s="13">
        <v>3927</v>
      </c>
    </row>
    <row r="58" spans="2:87" x14ac:dyDescent="0.2">
      <c r="B58" s="5">
        <v>45831</v>
      </c>
      <c r="C58" s="12">
        <v>43</v>
      </c>
      <c r="D58" s="12">
        <v>1.5</v>
      </c>
      <c r="E58" s="12">
        <v>90893.101999999999</v>
      </c>
      <c r="F58" s="12">
        <v>0</v>
      </c>
      <c r="G58" s="12">
        <v>3958823.57</v>
      </c>
      <c r="H58" s="12">
        <v>-50420.17</v>
      </c>
      <c r="I58" s="12">
        <v>0</v>
      </c>
      <c r="J58" s="12">
        <v>3908403.4</v>
      </c>
      <c r="K58" s="12">
        <v>38000</v>
      </c>
      <c r="L58" s="12">
        <v>0</v>
      </c>
      <c r="M58" s="12">
        <v>742596.6</v>
      </c>
      <c r="N58" s="12">
        <v>4689000</v>
      </c>
      <c r="O58" s="12">
        <v>0</v>
      </c>
      <c r="P58" s="12">
        <v>3908403.4</v>
      </c>
      <c r="Q58" s="12">
        <v>982570</v>
      </c>
      <c r="R58" s="12">
        <v>2925833.4</v>
      </c>
      <c r="S58" s="12">
        <v>0</v>
      </c>
      <c r="T58" s="12">
        <v>66</v>
      </c>
      <c r="U58" s="12">
        <v>0</v>
      </c>
      <c r="V58" s="12">
        <v>0</v>
      </c>
      <c r="W58" s="35">
        <v>46144.261731053244</v>
      </c>
      <c r="X58" s="12">
        <v>7</v>
      </c>
      <c r="Y58" s="12">
        <v>7</v>
      </c>
      <c r="Z58" s="12">
        <v>638655.47</v>
      </c>
      <c r="AA58" s="12">
        <v>91236.494999999995</v>
      </c>
      <c r="AB58" s="12">
        <v>156576</v>
      </c>
      <c r="AC58" s="12">
        <v>482079.47</v>
      </c>
      <c r="AD58" s="12">
        <v>29</v>
      </c>
      <c r="AE58" s="12">
        <v>29</v>
      </c>
      <c r="AF58" s="12">
        <v>2807563.05</v>
      </c>
      <c r="AG58" s="12">
        <v>96812.517999999996</v>
      </c>
      <c r="AH58" s="12">
        <v>734858</v>
      </c>
      <c r="AI58" s="12">
        <v>2072705.05</v>
      </c>
      <c r="AJ58" s="12">
        <v>1</v>
      </c>
      <c r="AK58" s="12">
        <v>7</v>
      </c>
      <c r="AL58" s="12">
        <v>462184.88</v>
      </c>
      <c r="AM58" s="12">
        <v>66026.410999999993</v>
      </c>
      <c r="AN58" s="12">
        <v>91136</v>
      </c>
      <c r="AO58" s="12">
        <v>371048.88</v>
      </c>
      <c r="AP58" s="12">
        <v>3908403.4</v>
      </c>
      <c r="AQ58" s="12">
        <v>43</v>
      </c>
      <c r="AR58" s="12">
        <v>90893.101999999999</v>
      </c>
      <c r="AS58" s="12">
        <v>982570</v>
      </c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>
        <v>826</v>
      </c>
      <c r="BG58" s="12">
        <v>0</v>
      </c>
      <c r="BH58" s="12">
        <v>0</v>
      </c>
      <c r="BI58" s="12">
        <v>44</v>
      </c>
      <c r="BJ58" s="12">
        <v>1</v>
      </c>
      <c r="BK58" s="12">
        <v>2.2727272727272728E-2</v>
      </c>
      <c r="BL58" s="12">
        <v>17</v>
      </c>
      <c r="BM58" s="12">
        <v>2</v>
      </c>
      <c r="BN58" s="12">
        <v>0.11764705882352941</v>
      </c>
      <c r="BO58" s="12">
        <v>98</v>
      </c>
      <c r="BP58" s="12">
        <v>0</v>
      </c>
      <c r="BQ58" s="12">
        <v>0</v>
      </c>
      <c r="BR58" s="12">
        <v>84</v>
      </c>
      <c r="BS58" s="12">
        <v>1</v>
      </c>
      <c r="BT58" s="12">
        <v>1.1904761904761904E-2</v>
      </c>
      <c r="BU58" s="12">
        <v>1069</v>
      </c>
      <c r="BV58" s="12">
        <v>4</v>
      </c>
      <c r="BW58" s="12">
        <v>3.7418147801683817E-3</v>
      </c>
      <c r="BX58" s="12"/>
      <c r="BY58" s="12"/>
      <c r="BZ58" s="12"/>
      <c r="CA58" s="12">
        <v>73606.14</v>
      </c>
      <c r="CB58" s="13"/>
      <c r="CC58" s="13"/>
      <c r="CD58" s="13"/>
      <c r="CE58" s="12">
        <v>9305</v>
      </c>
      <c r="CF58" s="12">
        <v>880</v>
      </c>
      <c r="CG58" s="13">
        <v>38444</v>
      </c>
      <c r="CH58" s="13">
        <v>101</v>
      </c>
      <c r="CI58" s="13">
        <v>3611</v>
      </c>
    </row>
    <row r="59" spans="2:87" x14ac:dyDescent="0.2">
      <c r="B59" s="5">
        <v>45832</v>
      </c>
      <c r="C59" s="12">
        <v>9</v>
      </c>
      <c r="D59" s="12">
        <v>11.7</v>
      </c>
      <c r="E59" s="12">
        <v>934733.89500000002</v>
      </c>
      <c r="F59" s="12">
        <v>0</v>
      </c>
      <c r="G59" s="12">
        <v>9688235.3100000005</v>
      </c>
      <c r="H59" s="12">
        <v>-1300840.33</v>
      </c>
      <c r="I59" s="12">
        <v>0</v>
      </c>
      <c r="J59" s="12">
        <v>8387394.9800000004</v>
      </c>
      <c r="K59" s="12">
        <v>176500</v>
      </c>
      <c r="L59" s="12">
        <v>0</v>
      </c>
      <c r="M59" s="12">
        <v>1593605.02</v>
      </c>
      <c r="N59" s="12">
        <v>10157500</v>
      </c>
      <c r="O59" s="12">
        <v>0</v>
      </c>
      <c r="P59" s="12">
        <v>8387394.9800000004</v>
      </c>
      <c r="Q59" s="12">
        <v>4005430</v>
      </c>
      <c r="R59" s="12">
        <v>4381964.9800000004</v>
      </c>
      <c r="S59" s="12">
        <v>0</v>
      </c>
      <c r="T59" s="12">
        <v>105</v>
      </c>
      <c r="U59" s="12">
        <v>0</v>
      </c>
      <c r="V59" s="12">
        <v>0</v>
      </c>
      <c r="W59" s="35">
        <v>46144.261731053244</v>
      </c>
      <c r="X59" s="12">
        <v>3</v>
      </c>
      <c r="Y59" s="12">
        <v>3</v>
      </c>
      <c r="Z59" s="12">
        <v>403361.35</v>
      </c>
      <c r="AA59" s="12">
        <v>134453.783</v>
      </c>
      <c r="AB59" s="12">
        <v>136477</v>
      </c>
      <c r="AC59" s="12">
        <v>266884.34999999998</v>
      </c>
      <c r="AD59" s="12">
        <v>5</v>
      </c>
      <c r="AE59" s="12">
        <v>5</v>
      </c>
      <c r="AF59" s="12">
        <v>755462.2</v>
      </c>
      <c r="AG59" s="12">
        <v>156134.45600000001</v>
      </c>
      <c r="AH59" s="12">
        <v>197593</v>
      </c>
      <c r="AI59" s="12">
        <v>557869.19999999995</v>
      </c>
      <c r="AJ59" s="12">
        <v>1</v>
      </c>
      <c r="AK59" s="12">
        <v>1</v>
      </c>
      <c r="AL59" s="12">
        <v>7228571.4299999997</v>
      </c>
      <c r="AM59" s="12">
        <v>7228571.4299999997</v>
      </c>
      <c r="AN59" s="12">
        <v>3671360</v>
      </c>
      <c r="AO59" s="12">
        <v>3557211.43</v>
      </c>
      <c r="AP59" s="12">
        <v>8387394.9800000004</v>
      </c>
      <c r="AQ59" s="12">
        <v>9</v>
      </c>
      <c r="AR59" s="12">
        <v>934733.89500000002</v>
      </c>
      <c r="AS59" s="12">
        <v>4005430</v>
      </c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>
        <v>925</v>
      </c>
      <c r="BG59" s="12">
        <v>0</v>
      </c>
      <c r="BH59" s="12">
        <v>0</v>
      </c>
      <c r="BI59" s="12">
        <v>44</v>
      </c>
      <c r="BJ59" s="12">
        <v>0</v>
      </c>
      <c r="BK59" s="12">
        <v>0</v>
      </c>
      <c r="BL59" s="12">
        <v>23</v>
      </c>
      <c r="BM59" s="12">
        <v>0</v>
      </c>
      <c r="BN59" s="12">
        <v>0</v>
      </c>
      <c r="BO59" s="12">
        <v>108</v>
      </c>
      <c r="BP59" s="12">
        <v>0</v>
      </c>
      <c r="BQ59" s="12">
        <v>0</v>
      </c>
      <c r="BR59" s="12">
        <v>97</v>
      </c>
      <c r="BS59" s="12">
        <v>7</v>
      </c>
      <c r="BT59" s="12">
        <v>7.2164948453608241E-2</v>
      </c>
      <c r="BU59" s="12">
        <v>1197</v>
      </c>
      <c r="BV59" s="12">
        <v>7</v>
      </c>
      <c r="BW59" s="12">
        <v>5.8479532163742687E-3</v>
      </c>
      <c r="BX59" s="12"/>
      <c r="BY59" s="12"/>
      <c r="BZ59" s="12"/>
      <c r="CA59" s="12">
        <v>104924.24</v>
      </c>
      <c r="CB59" s="13"/>
      <c r="CC59" s="13"/>
      <c r="CD59" s="13"/>
      <c r="CE59" s="12">
        <v>10405</v>
      </c>
      <c r="CF59" s="12">
        <v>1058</v>
      </c>
      <c r="CG59" s="13">
        <v>37139</v>
      </c>
      <c r="CH59" s="13">
        <v>92</v>
      </c>
      <c r="CI59" s="13">
        <v>3289</v>
      </c>
    </row>
    <row r="60" spans="2:87" x14ac:dyDescent="0.2">
      <c r="B60" s="5">
        <v>45833</v>
      </c>
      <c r="C60" s="12">
        <v>9</v>
      </c>
      <c r="D60" s="12">
        <v>1.8</v>
      </c>
      <c r="E60" s="12">
        <v>149112.98000000001</v>
      </c>
      <c r="F60" s="12">
        <v>-4</v>
      </c>
      <c r="G60" s="12">
        <v>1342016.82</v>
      </c>
      <c r="H60" s="12">
        <v>0</v>
      </c>
      <c r="I60" s="12">
        <v>-219067.24</v>
      </c>
      <c r="J60" s="12">
        <v>1122949.58</v>
      </c>
      <c r="K60" s="12">
        <v>128500</v>
      </c>
      <c r="L60" s="12">
        <v>0</v>
      </c>
      <c r="M60" s="12">
        <v>189800.42</v>
      </c>
      <c r="N60" s="12">
        <v>1441250</v>
      </c>
      <c r="O60" s="12">
        <v>0</v>
      </c>
      <c r="P60" s="12">
        <v>998949.58</v>
      </c>
      <c r="Q60" s="12">
        <v>467266</v>
      </c>
      <c r="R60" s="12">
        <v>531683.57999999996</v>
      </c>
      <c r="S60" s="12">
        <v>0</v>
      </c>
      <c r="T60" s="12">
        <v>12</v>
      </c>
      <c r="U60" s="12">
        <v>0</v>
      </c>
      <c r="V60" s="12">
        <v>0</v>
      </c>
      <c r="W60" s="35">
        <v>46144.261731053244</v>
      </c>
      <c r="X60" s="12">
        <v>4</v>
      </c>
      <c r="Y60" s="12">
        <v>4</v>
      </c>
      <c r="Z60" s="12">
        <v>863495.8</v>
      </c>
      <c r="AA60" s="12">
        <v>209033.61499999999</v>
      </c>
      <c r="AB60" s="12">
        <v>210241</v>
      </c>
      <c r="AC60" s="12">
        <v>529254.80000000005</v>
      </c>
      <c r="AD60" s="12">
        <v>5</v>
      </c>
      <c r="AE60" s="12">
        <v>5</v>
      </c>
      <c r="AF60" s="12">
        <v>505882.36</v>
      </c>
      <c r="AG60" s="12">
        <v>101176.47199999999</v>
      </c>
      <c r="AH60" s="12">
        <v>382185</v>
      </c>
      <c r="AI60" s="12">
        <v>123697.36</v>
      </c>
      <c r="AJ60" s="12">
        <v>0</v>
      </c>
      <c r="AK60" s="12">
        <v>0</v>
      </c>
      <c r="AL60" s="12">
        <v>-246428.58</v>
      </c>
      <c r="AM60" s="12"/>
      <c r="AN60" s="12">
        <v>-125160</v>
      </c>
      <c r="AO60" s="12">
        <v>-121268.58</v>
      </c>
      <c r="AP60" s="12">
        <v>1122949.58</v>
      </c>
      <c r="AQ60" s="12">
        <v>9</v>
      </c>
      <c r="AR60" s="12">
        <v>149112.98000000001</v>
      </c>
      <c r="AS60" s="12">
        <v>467266</v>
      </c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>
        <v>860</v>
      </c>
      <c r="BG60" s="12">
        <v>0</v>
      </c>
      <c r="BH60" s="12">
        <v>0</v>
      </c>
      <c r="BI60" s="12">
        <v>43</v>
      </c>
      <c r="BJ60" s="12">
        <v>0</v>
      </c>
      <c r="BK60" s="12">
        <v>0</v>
      </c>
      <c r="BL60" s="12">
        <v>35</v>
      </c>
      <c r="BM60" s="12">
        <v>3</v>
      </c>
      <c r="BN60" s="12">
        <v>8.5714285714285715E-2</v>
      </c>
      <c r="BO60" s="12">
        <v>112</v>
      </c>
      <c r="BP60" s="12">
        <v>0</v>
      </c>
      <c r="BQ60" s="12">
        <v>0</v>
      </c>
      <c r="BR60" s="12">
        <v>148</v>
      </c>
      <c r="BS60" s="12">
        <v>5</v>
      </c>
      <c r="BT60" s="12">
        <v>3.3783783783783786E-2</v>
      </c>
      <c r="BU60" s="12">
        <v>1198</v>
      </c>
      <c r="BV60" s="12">
        <v>8</v>
      </c>
      <c r="BW60" s="12">
        <v>6.6777963272120202E-3</v>
      </c>
      <c r="BX60" s="12"/>
      <c r="BY60" s="12"/>
      <c r="BZ60" s="12"/>
      <c r="CA60" s="12">
        <v>94456.02</v>
      </c>
      <c r="CB60" s="13"/>
      <c r="CC60" s="13"/>
      <c r="CD60" s="13"/>
      <c r="CE60" s="12">
        <v>9951</v>
      </c>
      <c r="CF60" s="12">
        <v>989</v>
      </c>
      <c r="CG60" s="13">
        <v>49665</v>
      </c>
      <c r="CH60" s="13">
        <v>121</v>
      </c>
      <c r="CI60" s="13">
        <v>5102</v>
      </c>
    </row>
    <row r="61" spans="2:87" x14ac:dyDescent="0.2">
      <c r="B61" s="5">
        <v>45834</v>
      </c>
      <c r="C61" s="12">
        <v>11</v>
      </c>
      <c r="D61" s="12">
        <v>1.8</v>
      </c>
      <c r="E61" s="12">
        <v>111027.50199999999</v>
      </c>
      <c r="F61" s="12">
        <v>0</v>
      </c>
      <c r="G61" s="12">
        <v>1221302.53</v>
      </c>
      <c r="H61" s="12">
        <v>0</v>
      </c>
      <c r="I61" s="12">
        <v>0</v>
      </c>
      <c r="J61" s="12">
        <v>1221302.53</v>
      </c>
      <c r="K61" s="12">
        <v>99500</v>
      </c>
      <c r="L61" s="12">
        <v>0</v>
      </c>
      <c r="M61" s="12">
        <v>219697.47</v>
      </c>
      <c r="N61" s="12">
        <v>1540500</v>
      </c>
      <c r="O61" s="12">
        <v>0</v>
      </c>
      <c r="P61" s="12">
        <v>1221302.53</v>
      </c>
      <c r="Q61" s="12">
        <v>351596</v>
      </c>
      <c r="R61" s="12">
        <v>869706.53</v>
      </c>
      <c r="S61" s="12">
        <v>0</v>
      </c>
      <c r="T61" s="12">
        <v>20</v>
      </c>
      <c r="U61" s="12">
        <v>0</v>
      </c>
      <c r="V61" s="12">
        <v>0</v>
      </c>
      <c r="W61" s="35">
        <v>46144.261731053244</v>
      </c>
      <c r="X61" s="12">
        <v>5</v>
      </c>
      <c r="Y61" s="12">
        <v>5</v>
      </c>
      <c r="Z61" s="12">
        <v>539789.92000000004</v>
      </c>
      <c r="AA61" s="12">
        <v>107957.984</v>
      </c>
      <c r="AB61" s="12">
        <v>112851</v>
      </c>
      <c r="AC61" s="12">
        <v>426938.92</v>
      </c>
      <c r="AD61" s="12">
        <v>6</v>
      </c>
      <c r="AE61" s="12">
        <v>6</v>
      </c>
      <c r="AF61" s="12">
        <v>681512.61</v>
      </c>
      <c r="AG61" s="12">
        <v>113585.435</v>
      </c>
      <c r="AH61" s="12">
        <v>238745</v>
      </c>
      <c r="AI61" s="12">
        <v>442767.61</v>
      </c>
      <c r="AJ61" s="12"/>
      <c r="AK61" s="12"/>
      <c r="AL61" s="12"/>
      <c r="AM61" s="12"/>
      <c r="AN61" s="12"/>
      <c r="AO61" s="12"/>
      <c r="AP61" s="12">
        <v>1221302.53</v>
      </c>
      <c r="AQ61" s="12">
        <v>11</v>
      </c>
      <c r="AR61" s="12">
        <v>111027.50199999999</v>
      </c>
      <c r="AS61" s="12">
        <v>351596</v>
      </c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>
        <v>915</v>
      </c>
      <c r="BG61" s="12">
        <v>2</v>
      </c>
      <c r="BH61" s="12">
        <v>2.185792349726776E-3</v>
      </c>
      <c r="BI61" s="12">
        <v>26</v>
      </c>
      <c r="BJ61" s="12">
        <v>0</v>
      </c>
      <c r="BK61" s="12">
        <v>0</v>
      </c>
      <c r="BL61" s="12">
        <v>21</v>
      </c>
      <c r="BM61" s="12">
        <v>1</v>
      </c>
      <c r="BN61" s="12">
        <v>4.7619047619047616E-2</v>
      </c>
      <c r="BO61" s="12">
        <v>165</v>
      </c>
      <c r="BP61" s="12">
        <v>0</v>
      </c>
      <c r="BQ61" s="12">
        <v>0</v>
      </c>
      <c r="BR61" s="12">
        <v>174</v>
      </c>
      <c r="BS61" s="12">
        <v>4</v>
      </c>
      <c r="BT61" s="12">
        <v>2.2988505747126436E-2</v>
      </c>
      <c r="BU61" s="12">
        <v>1301</v>
      </c>
      <c r="BV61" s="12">
        <v>7</v>
      </c>
      <c r="BW61" s="12">
        <v>5.3804765564950041E-3</v>
      </c>
      <c r="BX61" s="12"/>
      <c r="BY61" s="12"/>
      <c r="BZ61" s="12"/>
      <c r="CA61" s="12">
        <v>97762.15</v>
      </c>
      <c r="CB61" s="13"/>
      <c r="CC61" s="13"/>
      <c r="CD61" s="13"/>
      <c r="CE61" s="12">
        <v>11479</v>
      </c>
      <c r="CF61" s="12">
        <v>1081</v>
      </c>
      <c r="CG61" s="13">
        <v>32039</v>
      </c>
      <c r="CH61" s="13">
        <v>63</v>
      </c>
      <c r="CI61" s="13">
        <v>3001</v>
      </c>
    </row>
    <row r="62" spans="2:87" x14ac:dyDescent="0.2">
      <c r="B62" s="5">
        <v>45835</v>
      </c>
      <c r="C62" s="12">
        <v>7</v>
      </c>
      <c r="D62" s="12">
        <v>7.4</v>
      </c>
      <c r="E62" s="12">
        <v>187635.05499999999</v>
      </c>
      <c r="F62" s="12">
        <v>0</v>
      </c>
      <c r="G62" s="12">
        <v>1313445.3899999999</v>
      </c>
      <c r="H62" s="12">
        <v>0</v>
      </c>
      <c r="I62" s="12">
        <v>0</v>
      </c>
      <c r="J62" s="12">
        <v>1313445.3899999999</v>
      </c>
      <c r="K62" s="12">
        <v>32501</v>
      </c>
      <c r="L62" s="12">
        <v>0</v>
      </c>
      <c r="M62" s="12">
        <v>249554.61</v>
      </c>
      <c r="N62" s="12">
        <v>1595501</v>
      </c>
      <c r="O62" s="12">
        <v>0</v>
      </c>
      <c r="P62" s="12">
        <v>1313445.3899999999</v>
      </c>
      <c r="Q62" s="12">
        <v>422950</v>
      </c>
      <c r="R62" s="12">
        <v>890495.39</v>
      </c>
      <c r="S62" s="12">
        <v>0</v>
      </c>
      <c r="T62" s="12">
        <v>52</v>
      </c>
      <c r="U62" s="12">
        <v>0</v>
      </c>
      <c r="V62" s="12">
        <v>0</v>
      </c>
      <c r="W62" s="35">
        <v>46144.261731053244</v>
      </c>
      <c r="X62" s="12">
        <v>2</v>
      </c>
      <c r="Y62" s="12">
        <v>2</v>
      </c>
      <c r="Z62" s="12">
        <v>648739.5</v>
      </c>
      <c r="AA62" s="12">
        <v>324369.75</v>
      </c>
      <c r="AB62" s="12">
        <v>240926</v>
      </c>
      <c r="AC62" s="12">
        <v>407813.5</v>
      </c>
      <c r="AD62" s="12">
        <v>5</v>
      </c>
      <c r="AE62" s="12">
        <v>5</v>
      </c>
      <c r="AF62" s="12">
        <v>664705.89</v>
      </c>
      <c r="AG62" s="12">
        <v>132941.17800000001</v>
      </c>
      <c r="AH62" s="12">
        <v>182024</v>
      </c>
      <c r="AI62" s="12">
        <v>482681.89</v>
      </c>
      <c r="AJ62" s="12"/>
      <c r="AK62" s="12"/>
      <c r="AL62" s="12"/>
      <c r="AM62" s="12"/>
      <c r="AN62" s="12"/>
      <c r="AO62" s="12"/>
      <c r="AP62" s="12">
        <v>782352.95</v>
      </c>
      <c r="AQ62" s="12">
        <v>6</v>
      </c>
      <c r="AR62" s="12">
        <v>130392.158</v>
      </c>
      <c r="AS62" s="12">
        <v>214674</v>
      </c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>
        <v>790</v>
      </c>
      <c r="BG62" s="12">
        <v>0</v>
      </c>
      <c r="BH62" s="12">
        <v>0</v>
      </c>
      <c r="BI62" s="12">
        <v>37</v>
      </c>
      <c r="BJ62" s="12">
        <v>1</v>
      </c>
      <c r="BK62" s="12">
        <v>2.7027027027027029E-2</v>
      </c>
      <c r="BL62" s="12">
        <v>20</v>
      </c>
      <c r="BM62" s="12">
        <v>0</v>
      </c>
      <c r="BN62" s="12">
        <v>0</v>
      </c>
      <c r="BO62" s="12">
        <v>125</v>
      </c>
      <c r="BP62" s="12">
        <v>0</v>
      </c>
      <c r="BQ62" s="12">
        <v>0</v>
      </c>
      <c r="BR62" s="12">
        <v>95</v>
      </c>
      <c r="BS62" s="12">
        <v>3</v>
      </c>
      <c r="BT62" s="12">
        <v>3.1578947368421054E-2</v>
      </c>
      <c r="BU62" s="12">
        <v>1067</v>
      </c>
      <c r="BV62" s="12">
        <v>4</v>
      </c>
      <c r="BW62" s="12">
        <v>3.7488284910965324E-3</v>
      </c>
      <c r="BX62" s="12"/>
      <c r="BY62" s="12"/>
      <c r="BZ62" s="12"/>
      <c r="CA62" s="12">
        <v>91962.39</v>
      </c>
      <c r="CB62" s="13"/>
      <c r="CC62" s="13"/>
      <c r="CD62" s="13"/>
      <c r="CE62" s="12">
        <v>9498</v>
      </c>
      <c r="CF62" s="12">
        <v>969</v>
      </c>
      <c r="CG62" s="13">
        <v>36659</v>
      </c>
      <c r="CH62" s="13">
        <v>72</v>
      </c>
      <c r="CI62" s="13">
        <v>2915</v>
      </c>
    </row>
    <row r="63" spans="2:87" x14ac:dyDescent="0.2">
      <c r="B63" s="5">
        <v>45836</v>
      </c>
      <c r="C63" s="12">
        <v>4</v>
      </c>
      <c r="D63" s="12">
        <v>1.8</v>
      </c>
      <c r="E63" s="12">
        <v>194327.73199999999</v>
      </c>
      <c r="F63" s="12">
        <v>0</v>
      </c>
      <c r="G63" s="12">
        <v>781512.61</v>
      </c>
      <c r="H63" s="12">
        <v>-4201.68</v>
      </c>
      <c r="I63" s="12">
        <v>0</v>
      </c>
      <c r="J63" s="12">
        <v>777310.93</v>
      </c>
      <c r="K63" s="12">
        <v>32500</v>
      </c>
      <c r="L63" s="12">
        <v>0</v>
      </c>
      <c r="M63" s="12">
        <v>147689.07</v>
      </c>
      <c r="N63" s="12">
        <v>957500</v>
      </c>
      <c r="O63" s="12">
        <v>0</v>
      </c>
      <c r="P63" s="12">
        <v>777310.93</v>
      </c>
      <c r="Q63" s="12">
        <v>269895</v>
      </c>
      <c r="R63" s="12">
        <v>507415.93</v>
      </c>
      <c r="S63" s="12">
        <v>0</v>
      </c>
      <c r="T63" s="12">
        <v>7</v>
      </c>
      <c r="U63" s="12">
        <v>0</v>
      </c>
      <c r="V63" s="12">
        <v>0</v>
      </c>
      <c r="W63" s="35">
        <v>46144.261731053244</v>
      </c>
      <c r="X63" s="12">
        <v>1</v>
      </c>
      <c r="Y63" s="12">
        <v>1</v>
      </c>
      <c r="Z63" s="12">
        <v>100840.34</v>
      </c>
      <c r="AA63" s="12">
        <v>100840.34</v>
      </c>
      <c r="AB63" s="12">
        <v>34275</v>
      </c>
      <c r="AC63" s="12">
        <v>66565.34</v>
      </c>
      <c r="AD63" s="12">
        <v>3</v>
      </c>
      <c r="AE63" s="12">
        <v>3</v>
      </c>
      <c r="AF63" s="12">
        <v>676470.59</v>
      </c>
      <c r="AG63" s="12">
        <v>225490.196</v>
      </c>
      <c r="AH63" s="12">
        <v>235620</v>
      </c>
      <c r="AI63" s="12">
        <v>440850.59</v>
      </c>
      <c r="AJ63" s="12"/>
      <c r="AK63" s="12"/>
      <c r="AL63" s="12"/>
      <c r="AM63" s="12"/>
      <c r="AN63" s="12"/>
      <c r="AO63" s="12"/>
      <c r="AP63" s="12">
        <v>777310.93</v>
      </c>
      <c r="AQ63" s="12">
        <v>4</v>
      </c>
      <c r="AR63" s="12">
        <v>194327.73199999999</v>
      </c>
      <c r="AS63" s="12">
        <v>269895</v>
      </c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>
        <v>957</v>
      </c>
      <c r="BG63" s="12">
        <v>2</v>
      </c>
      <c r="BH63" s="12">
        <v>2.0898641588296763E-3</v>
      </c>
      <c r="BI63" s="12">
        <v>41</v>
      </c>
      <c r="BJ63" s="12">
        <v>0</v>
      </c>
      <c r="BK63" s="12">
        <v>0</v>
      </c>
      <c r="BL63" s="12">
        <v>13</v>
      </c>
      <c r="BM63" s="12">
        <v>0</v>
      </c>
      <c r="BN63" s="12">
        <v>0</v>
      </c>
      <c r="BO63" s="12">
        <v>176</v>
      </c>
      <c r="BP63" s="12">
        <v>0</v>
      </c>
      <c r="BQ63" s="12">
        <v>0</v>
      </c>
      <c r="BR63" s="12">
        <v>67</v>
      </c>
      <c r="BS63" s="12">
        <v>1</v>
      </c>
      <c r="BT63" s="12">
        <v>1.4925373134328358E-2</v>
      </c>
      <c r="BU63" s="12">
        <v>1254</v>
      </c>
      <c r="BV63" s="12">
        <v>3</v>
      </c>
      <c r="BW63" s="12">
        <v>2.3923444976076554E-3</v>
      </c>
      <c r="BX63" s="12"/>
      <c r="BY63" s="12"/>
      <c r="BZ63" s="12"/>
      <c r="CA63" s="12">
        <v>110063.14</v>
      </c>
      <c r="CB63" s="13"/>
      <c r="CC63" s="13"/>
      <c r="CD63" s="13"/>
      <c r="CE63" s="12">
        <v>11827</v>
      </c>
      <c r="CF63" s="12">
        <v>1198</v>
      </c>
      <c r="CG63" s="13">
        <v>40560</v>
      </c>
      <c r="CH63" s="13">
        <v>107</v>
      </c>
      <c r="CI63" s="13">
        <v>3739</v>
      </c>
    </row>
    <row r="64" spans="2:87" x14ac:dyDescent="0.2">
      <c r="B64" s="5">
        <v>45837</v>
      </c>
      <c r="C64" s="12">
        <v>2</v>
      </c>
      <c r="D64" s="12">
        <v>1.5</v>
      </c>
      <c r="E64" s="12">
        <v>134453.785</v>
      </c>
      <c r="F64" s="12">
        <v>0</v>
      </c>
      <c r="G64" s="12">
        <v>268907.57</v>
      </c>
      <c r="H64" s="12">
        <v>0</v>
      </c>
      <c r="I64" s="12">
        <v>0</v>
      </c>
      <c r="J64" s="12">
        <v>268907.57</v>
      </c>
      <c r="K64" s="12">
        <v>18000</v>
      </c>
      <c r="L64" s="12">
        <v>0</v>
      </c>
      <c r="M64" s="12">
        <v>51092.43</v>
      </c>
      <c r="N64" s="12">
        <v>338000</v>
      </c>
      <c r="O64" s="12">
        <v>0</v>
      </c>
      <c r="P64" s="12">
        <v>268907.57</v>
      </c>
      <c r="Q64" s="12">
        <v>64138</v>
      </c>
      <c r="R64" s="12">
        <v>204769.57</v>
      </c>
      <c r="S64" s="12">
        <v>0</v>
      </c>
      <c r="T64" s="12">
        <v>3</v>
      </c>
      <c r="U64" s="12">
        <v>0</v>
      </c>
      <c r="V64" s="12">
        <v>0</v>
      </c>
      <c r="W64" s="35">
        <v>46144.261731053244</v>
      </c>
      <c r="X64" s="12">
        <v>1</v>
      </c>
      <c r="Y64" s="12">
        <v>1</v>
      </c>
      <c r="Z64" s="12">
        <v>168067.23</v>
      </c>
      <c r="AA64" s="12">
        <v>168067.23</v>
      </c>
      <c r="AB64" s="12">
        <v>41613</v>
      </c>
      <c r="AC64" s="12">
        <v>126454.23</v>
      </c>
      <c r="AD64" s="12">
        <v>1</v>
      </c>
      <c r="AE64" s="12">
        <v>1</v>
      </c>
      <c r="AF64" s="12">
        <v>100840.34</v>
      </c>
      <c r="AG64" s="12">
        <v>100840.34</v>
      </c>
      <c r="AH64" s="12">
        <v>22525</v>
      </c>
      <c r="AI64" s="12">
        <v>78315.34</v>
      </c>
      <c r="AJ64" s="12"/>
      <c r="AK64" s="12"/>
      <c r="AL64" s="12"/>
      <c r="AM64" s="12"/>
      <c r="AN64" s="12"/>
      <c r="AO64" s="12"/>
      <c r="AP64" s="12">
        <v>268907.57</v>
      </c>
      <c r="AQ64" s="12">
        <v>2</v>
      </c>
      <c r="AR64" s="12">
        <v>134453.785</v>
      </c>
      <c r="AS64" s="12">
        <v>64138</v>
      </c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>
        <v>812</v>
      </c>
      <c r="BG64" s="12">
        <v>0</v>
      </c>
      <c r="BH64" s="12">
        <v>0</v>
      </c>
      <c r="BI64" s="12">
        <v>35</v>
      </c>
      <c r="BJ64" s="12">
        <v>1</v>
      </c>
      <c r="BK64" s="12">
        <v>2.8571428571428571E-2</v>
      </c>
      <c r="BL64" s="12">
        <v>10</v>
      </c>
      <c r="BM64" s="12">
        <v>0</v>
      </c>
      <c r="BN64" s="12">
        <v>0</v>
      </c>
      <c r="BO64" s="12">
        <v>125</v>
      </c>
      <c r="BP64" s="12">
        <v>0</v>
      </c>
      <c r="BQ64" s="12">
        <v>0</v>
      </c>
      <c r="BR64" s="12">
        <v>67</v>
      </c>
      <c r="BS64" s="12">
        <v>1</v>
      </c>
      <c r="BT64" s="12">
        <v>1.4925373134328358E-2</v>
      </c>
      <c r="BU64" s="12">
        <v>1049</v>
      </c>
      <c r="BV64" s="12">
        <v>2</v>
      </c>
      <c r="BW64" s="12">
        <v>1.9065776930409914E-3</v>
      </c>
      <c r="BX64" s="12"/>
      <c r="BY64" s="12"/>
      <c r="BZ64" s="12"/>
      <c r="CA64" s="12">
        <v>100110.94</v>
      </c>
      <c r="CB64" s="13"/>
      <c r="CC64" s="13"/>
      <c r="CD64" s="13"/>
      <c r="CE64" s="12">
        <v>9882</v>
      </c>
      <c r="CF64" s="12">
        <v>1125</v>
      </c>
      <c r="CG64" s="13">
        <v>39538</v>
      </c>
      <c r="CH64" s="13">
        <v>103</v>
      </c>
      <c r="CI64" s="13">
        <v>3194</v>
      </c>
    </row>
    <row r="65" spans="2:87" x14ac:dyDescent="0.2">
      <c r="B65" s="5">
        <v>45838</v>
      </c>
      <c r="C65" s="12">
        <v>4</v>
      </c>
      <c r="D65" s="12">
        <v>3.2</v>
      </c>
      <c r="E65" s="12">
        <v>233193.277</v>
      </c>
      <c r="F65" s="12">
        <v>0</v>
      </c>
      <c r="G65" s="12">
        <v>932773.11</v>
      </c>
      <c r="H65" s="12">
        <v>0</v>
      </c>
      <c r="I65" s="12">
        <v>0</v>
      </c>
      <c r="J65" s="12">
        <v>932773.11</v>
      </c>
      <c r="K65" s="12">
        <v>27000</v>
      </c>
      <c r="L65" s="12">
        <v>0</v>
      </c>
      <c r="M65" s="12">
        <v>177226.89</v>
      </c>
      <c r="N65" s="12">
        <v>1137000</v>
      </c>
      <c r="O65" s="12">
        <v>0</v>
      </c>
      <c r="P65" s="12">
        <v>932773.11</v>
      </c>
      <c r="Q65" s="12">
        <v>323935</v>
      </c>
      <c r="R65" s="12">
        <v>608838.11</v>
      </c>
      <c r="S65" s="12">
        <v>0</v>
      </c>
      <c r="T65" s="12">
        <v>13</v>
      </c>
      <c r="U65" s="12">
        <v>0</v>
      </c>
      <c r="V65" s="12">
        <v>0</v>
      </c>
      <c r="W65" s="35">
        <v>46144.261731053244</v>
      </c>
      <c r="X65" s="12">
        <v>1</v>
      </c>
      <c r="Y65" s="12">
        <v>1</v>
      </c>
      <c r="Z65" s="12">
        <v>210084.03</v>
      </c>
      <c r="AA65" s="12">
        <v>210084.03</v>
      </c>
      <c r="AB65" s="12">
        <v>75430</v>
      </c>
      <c r="AC65" s="12">
        <v>134654.03</v>
      </c>
      <c r="AD65" s="12">
        <v>3</v>
      </c>
      <c r="AE65" s="12">
        <v>3</v>
      </c>
      <c r="AF65" s="12">
        <v>722689.08</v>
      </c>
      <c r="AG65" s="12">
        <v>240896.36</v>
      </c>
      <c r="AH65" s="12">
        <v>248505</v>
      </c>
      <c r="AI65" s="12">
        <v>474184.08</v>
      </c>
      <c r="AJ65" s="12"/>
      <c r="AK65" s="12"/>
      <c r="AL65" s="12"/>
      <c r="AM65" s="12"/>
      <c r="AN65" s="12"/>
      <c r="AO65" s="12"/>
      <c r="AP65" s="12">
        <v>932773.11</v>
      </c>
      <c r="AQ65" s="12">
        <v>4</v>
      </c>
      <c r="AR65" s="12">
        <v>233193.277</v>
      </c>
      <c r="AS65" s="12">
        <v>323935</v>
      </c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>
        <v>870</v>
      </c>
      <c r="BG65" s="12">
        <v>1</v>
      </c>
      <c r="BH65" s="12">
        <v>1.1494252873563218E-3</v>
      </c>
      <c r="BI65" s="12">
        <v>47</v>
      </c>
      <c r="BJ65" s="12">
        <v>1</v>
      </c>
      <c r="BK65" s="12">
        <v>2.1276595744680851E-2</v>
      </c>
      <c r="BL65" s="12">
        <v>14</v>
      </c>
      <c r="BM65" s="12">
        <v>1</v>
      </c>
      <c r="BN65" s="12">
        <v>7.1428571428571425E-2</v>
      </c>
      <c r="BO65" s="12">
        <v>400</v>
      </c>
      <c r="BP65" s="12">
        <v>0</v>
      </c>
      <c r="BQ65" s="12">
        <v>0</v>
      </c>
      <c r="BR65" s="12">
        <v>131</v>
      </c>
      <c r="BS65" s="12">
        <v>1</v>
      </c>
      <c r="BT65" s="12">
        <v>7.6335877862595417E-3</v>
      </c>
      <c r="BU65" s="12">
        <v>1462</v>
      </c>
      <c r="BV65" s="12">
        <v>4</v>
      </c>
      <c r="BW65" s="12">
        <v>2.7359781121751026E-3</v>
      </c>
      <c r="BX65" s="12"/>
      <c r="BY65" s="12"/>
      <c r="BZ65" s="12"/>
      <c r="CA65" s="12">
        <v>120906.85</v>
      </c>
      <c r="CB65" s="13"/>
      <c r="CC65" s="13"/>
      <c r="CD65" s="13"/>
      <c r="CE65" s="12">
        <v>16184</v>
      </c>
      <c r="CF65" s="12">
        <v>1585</v>
      </c>
      <c r="CG65" s="13">
        <v>40737</v>
      </c>
      <c r="CH65" s="13">
        <v>111</v>
      </c>
      <c r="CI65" s="13">
        <v>3530</v>
      </c>
    </row>
    <row r="66" spans="2:87" x14ac:dyDescent="0.2">
      <c r="B66" s="5">
        <v>45839</v>
      </c>
      <c r="C66" s="12">
        <v>7</v>
      </c>
      <c r="D66" s="12">
        <v>1.3</v>
      </c>
      <c r="E66" s="12">
        <v>120528.211</v>
      </c>
      <c r="F66" s="12">
        <v>0</v>
      </c>
      <c r="G66" s="12">
        <v>852100.84</v>
      </c>
      <c r="H66" s="12">
        <v>-8403.36</v>
      </c>
      <c r="I66" s="12">
        <v>0</v>
      </c>
      <c r="J66" s="12">
        <v>843697.48</v>
      </c>
      <c r="K66" s="12">
        <v>18000</v>
      </c>
      <c r="L66" s="12">
        <v>0</v>
      </c>
      <c r="M66" s="12">
        <v>160302.51999999999</v>
      </c>
      <c r="N66" s="12">
        <v>1022000</v>
      </c>
      <c r="O66" s="12">
        <v>0</v>
      </c>
      <c r="P66" s="12">
        <v>843697.48</v>
      </c>
      <c r="Q66" s="12">
        <v>220086</v>
      </c>
      <c r="R66" s="12">
        <v>623611.48</v>
      </c>
      <c r="S66" s="12">
        <v>0</v>
      </c>
      <c r="T66" s="12">
        <v>9</v>
      </c>
      <c r="U66" s="12">
        <v>0</v>
      </c>
      <c r="V66" s="12">
        <v>0</v>
      </c>
      <c r="W66" s="35">
        <v>46144.261731053244</v>
      </c>
      <c r="X66" s="12">
        <v>4</v>
      </c>
      <c r="Y66" s="12">
        <v>4</v>
      </c>
      <c r="Z66" s="12">
        <v>332773.11</v>
      </c>
      <c r="AA66" s="12">
        <v>83193.277000000002</v>
      </c>
      <c r="AB66" s="12">
        <v>100435</v>
      </c>
      <c r="AC66" s="12">
        <v>232338.11</v>
      </c>
      <c r="AD66" s="12">
        <v>3</v>
      </c>
      <c r="AE66" s="12">
        <v>3</v>
      </c>
      <c r="AF66" s="12">
        <v>510924.37</v>
      </c>
      <c r="AG66" s="12">
        <v>170308.12299999999</v>
      </c>
      <c r="AH66" s="12">
        <v>119651</v>
      </c>
      <c r="AI66" s="12">
        <v>391273.37</v>
      </c>
      <c r="AJ66" s="12"/>
      <c r="AK66" s="12"/>
      <c r="AL66" s="12"/>
      <c r="AM66" s="12"/>
      <c r="AN66" s="12"/>
      <c r="AO66" s="12"/>
      <c r="AP66" s="12">
        <v>414285.71</v>
      </c>
      <c r="AQ66" s="12">
        <v>3</v>
      </c>
      <c r="AR66" s="12">
        <v>138095.236</v>
      </c>
      <c r="AS66" s="12">
        <v>90660</v>
      </c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>
        <v>652</v>
      </c>
      <c r="BG66" s="12">
        <v>1</v>
      </c>
      <c r="BH66" s="12">
        <v>1.5337423312883436E-3</v>
      </c>
      <c r="BI66" s="12">
        <v>67</v>
      </c>
      <c r="BJ66" s="12">
        <v>0</v>
      </c>
      <c r="BK66" s="12">
        <v>0</v>
      </c>
      <c r="BL66" s="12">
        <v>25</v>
      </c>
      <c r="BM66" s="12">
        <v>0</v>
      </c>
      <c r="BN66" s="12">
        <v>0</v>
      </c>
      <c r="BO66" s="12">
        <v>268</v>
      </c>
      <c r="BP66" s="12">
        <v>0</v>
      </c>
      <c r="BQ66" s="12">
        <v>0</v>
      </c>
      <c r="BR66" s="12">
        <v>107</v>
      </c>
      <c r="BS66" s="12">
        <v>2</v>
      </c>
      <c r="BT66" s="12">
        <v>1.8691588785046728E-2</v>
      </c>
      <c r="BU66" s="12">
        <v>1119</v>
      </c>
      <c r="BV66" s="12">
        <v>3</v>
      </c>
      <c r="BW66" s="12">
        <v>2.6809651474530832E-3</v>
      </c>
      <c r="BX66" s="12"/>
      <c r="BY66" s="12"/>
      <c r="BZ66" s="12"/>
      <c r="CA66" s="12">
        <v>69811.44</v>
      </c>
      <c r="CB66" s="13"/>
      <c r="CC66" s="13"/>
      <c r="CD66" s="13"/>
      <c r="CE66" s="12">
        <v>11073</v>
      </c>
      <c r="CF66" s="12">
        <v>1065</v>
      </c>
      <c r="CG66" s="13">
        <v>45828</v>
      </c>
      <c r="CH66" s="13">
        <v>186</v>
      </c>
      <c r="CI66" s="13">
        <v>6158</v>
      </c>
    </row>
    <row r="67" spans="2:87" x14ac:dyDescent="0.2">
      <c r="B67" s="5">
        <v>45840</v>
      </c>
      <c r="C67" s="12">
        <v>11</v>
      </c>
      <c r="D67" s="12">
        <v>2.1</v>
      </c>
      <c r="E67" s="12">
        <v>123529.412</v>
      </c>
      <c r="F67" s="12">
        <v>0</v>
      </c>
      <c r="G67" s="12">
        <v>1358823.54</v>
      </c>
      <c r="H67" s="12">
        <v>0</v>
      </c>
      <c r="I67" s="12">
        <v>0</v>
      </c>
      <c r="J67" s="12">
        <v>1358823.54</v>
      </c>
      <c r="K67" s="12">
        <v>32501</v>
      </c>
      <c r="L67" s="12">
        <v>0</v>
      </c>
      <c r="M67" s="12">
        <v>258176.46</v>
      </c>
      <c r="N67" s="12">
        <v>1649501</v>
      </c>
      <c r="O67" s="12">
        <v>46218.48</v>
      </c>
      <c r="P67" s="12">
        <v>1312605.06</v>
      </c>
      <c r="Q67" s="12">
        <v>364823</v>
      </c>
      <c r="R67" s="12">
        <v>947782.06</v>
      </c>
      <c r="S67" s="12">
        <v>0</v>
      </c>
      <c r="T67" s="12">
        <v>23</v>
      </c>
      <c r="U67" s="12">
        <v>0</v>
      </c>
      <c r="V67" s="12">
        <v>0</v>
      </c>
      <c r="W67" s="35">
        <v>46144.261731053244</v>
      </c>
      <c r="X67" s="12">
        <v>4</v>
      </c>
      <c r="Y67" s="12">
        <v>5</v>
      </c>
      <c r="Z67" s="12">
        <v>794957.99</v>
      </c>
      <c r="AA67" s="12">
        <v>158991.598</v>
      </c>
      <c r="AB67" s="12">
        <v>171248</v>
      </c>
      <c r="AC67" s="12">
        <v>577491.51</v>
      </c>
      <c r="AD67" s="12">
        <v>6</v>
      </c>
      <c r="AE67" s="12">
        <v>6</v>
      </c>
      <c r="AF67" s="12">
        <v>563865.55000000005</v>
      </c>
      <c r="AG67" s="12">
        <v>93977.591</v>
      </c>
      <c r="AH67" s="12">
        <v>193575</v>
      </c>
      <c r="AI67" s="12">
        <v>370290.55</v>
      </c>
      <c r="AJ67" s="12"/>
      <c r="AK67" s="12"/>
      <c r="AL67" s="12"/>
      <c r="AM67" s="12"/>
      <c r="AN67" s="12"/>
      <c r="AO67" s="12"/>
      <c r="AP67" s="12">
        <v>546218.49</v>
      </c>
      <c r="AQ67" s="12">
        <v>5</v>
      </c>
      <c r="AR67" s="12">
        <v>109243.698</v>
      </c>
      <c r="AS67" s="12">
        <v>193309</v>
      </c>
      <c r="AT67" s="12"/>
      <c r="AU67" s="12"/>
      <c r="AV67" s="12"/>
      <c r="AW67" s="12"/>
      <c r="AX67" s="12">
        <v>98319.33</v>
      </c>
      <c r="AY67" s="12">
        <v>3</v>
      </c>
      <c r="AZ67" s="12">
        <v>32773.11</v>
      </c>
      <c r="BA67" s="12">
        <v>21083</v>
      </c>
      <c r="BB67" s="12"/>
      <c r="BC67" s="12"/>
      <c r="BD67" s="12"/>
      <c r="BE67" s="12"/>
      <c r="BF67" s="12">
        <v>683</v>
      </c>
      <c r="BG67" s="12">
        <v>2</v>
      </c>
      <c r="BH67" s="12">
        <v>2.9282576866764276E-3</v>
      </c>
      <c r="BI67" s="12">
        <v>47</v>
      </c>
      <c r="BJ67" s="12">
        <v>0</v>
      </c>
      <c r="BK67" s="12">
        <v>0</v>
      </c>
      <c r="BL67" s="12">
        <v>23</v>
      </c>
      <c r="BM67" s="12">
        <v>1</v>
      </c>
      <c r="BN67" s="12">
        <v>4.3478260869565216E-2</v>
      </c>
      <c r="BO67" s="12">
        <v>281</v>
      </c>
      <c r="BP67" s="12">
        <v>0</v>
      </c>
      <c r="BQ67" s="12">
        <v>0</v>
      </c>
      <c r="BR67" s="12">
        <v>123</v>
      </c>
      <c r="BS67" s="12">
        <v>2</v>
      </c>
      <c r="BT67" s="12">
        <v>1.6260162601626018E-2</v>
      </c>
      <c r="BU67" s="12">
        <v>1157</v>
      </c>
      <c r="BV67" s="12">
        <v>5</v>
      </c>
      <c r="BW67" s="12">
        <v>4.3215211754537601E-3</v>
      </c>
      <c r="BX67" s="12"/>
      <c r="BY67" s="12"/>
      <c r="BZ67" s="12"/>
      <c r="CA67" s="12">
        <v>98918.88</v>
      </c>
      <c r="CB67" s="13"/>
      <c r="CC67" s="13"/>
      <c r="CD67" s="13"/>
      <c r="CE67" s="12">
        <v>15620</v>
      </c>
      <c r="CF67" s="12">
        <v>1164</v>
      </c>
      <c r="CG67" s="13">
        <v>36426</v>
      </c>
      <c r="CH67" s="13">
        <v>114</v>
      </c>
      <c r="CI67" s="13">
        <v>3484</v>
      </c>
    </row>
    <row r="68" spans="2:87" x14ac:dyDescent="0.2">
      <c r="B68" s="5">
        <v>45841</v>
      </c>
      <c r="C68" s="12">
        <v>9</v>
      </c>
      <c r="D68" s="12">
        <v>1.7</v>
      </c>
      <c r="E68" s="12">
        <v>90663.024000000005</v>
      </c>
      <c r="F68" s="12">
        <v>0</v>
      </c>
      <c r="G68" s="12">
        <v>815967.22</v>
      </c>
      <c r="H68" s="12">
        <v>0</v>
      </c>
      <c r="I68" s="12">
        <v>0</v>
      </c>
      <c r="J68" s="12">
        <v>815967.22</v>
      </c>
      <c r="K68" s="12">
        <v>77000</v>
      </c>
      <c r="L68" s="12">
        <v>0</v>
      </c>
      <c r="M68" s="12">
        <v>155033.78</v>
      </c>
      <c r="N68" s="12">
        <v>1048001</v>
      </c>
      <c r="O68" s="12">
        <v>0.84</v>
      </c>
      <c r="P68" s="12">
        <v>815966.38</v>
      </c>
      <c r="Q68" s="12">
        <v>234454</v>
      </c>
      <c r="R68" s="12">
        <v>581512.38</v>
      </c>
      <c r="S68" s="12">
        <v>0</v>
      </c>
      <c r="T68" s="12">
        <v>15</v>
      </c>
      <c r="U68" s="12">
        <v>0</v>
      </c>
      <c r="V68" s="12">
        <v>0</v>
      </c>
      <c r="W68" s="35">
        <v>46144.261731053244</v>
      </c>
      <c r="X68" s="12">
        <v>3</v>
      </c>
      <c r="Y68" s="12">
        <v>3</v>
      </c>
      <c r="Z68" s="12">
        <v>361345.38</v>
      </c>
      <c r="AA68" s="12">
        <v>120448.46</v>
      </c>
      <c r="AB68" s="12">
        <v>98077</v>
      </c>
      <c r="AC68" s="12">
        <v>263267.53999999998</v>
      </c>
      <c r="AD68" s="12">
        <v>6</v>
      </c>
      <c r="AE68" s="12">
        <v>6</v>
      </c>
      <c r="AF68" s="12">
        <v>454621.84</v>
      </c>
      <c r="AG68" s="12">
        <v>75770.305999999997</v>
      </c>
      <c r="AH68" s="12">
        <v>136377</v>
      </c>
      <c r="AI68" s="12">
        <v>318244.84000000003</v>
      </c>
      <c r="AJ68" s="12"/>
      <c r="AK68" s="12"/>
      <c r="AL68" s="12"/>
      <c r="AM68" s="12"/>
      <c r="AN68" s="12"/>
      <c r="AO68" s="12"/>
      <c r="AP68" s="12">
        <v>634454.62</v>
      </c>
      <c r="AQ68" s="12">
        <v>6</v>
      </c>
      <c r="AR68" s="12">
        <v>105742.436</v>
      </c>
      <c r="AS68" s="12">
        <v>191308</v>
      </c>
      <c r="AT68" s="12"/>
      <c r="AU68" s="12"/>
      <c r="AV68" s="12"/>
      <c r="AW68" s="12"/>
      <c r="AX68" s="12">
        <v>21848.74</v>
      </c>
      <c r="AY68" s="12">
        <v>1</v>
      </c>
      <c r="AZ68" s="12">
        <v>21848.74</v>
      </c>
      <c r="BA68" s="12">
        <v>4492</v>
      </c>
      <c r="BB68" s="12"/>
      <c r="BC68" s="12"/>
      <c r="BD68" s="12"/>
      <c r="BE68" s="12"/>
      <c r="BF68" s="12">
        <v>766</v>
      </c>
      <c r="BG68" s="12">
        <v>1</v>
      </c>
      <c r="BH68" s="12">
        <v>1.3054830287206266E-3</v>
      </c>
      <c r="BI68" s="12">
        <v>53</v>
      </c>
      <c r="BJ68" s="12">
        <v>0</v>
      </c>
      <c r="BK68" s="12">
        <v>0</v>
      </c>
      <c r="BL68" s="12">
        <v>16</v>
      </c>
      <c r="BM68" s="12">
        <v>1</v>
      </c>
      <c r="BN68" s="12">
        <v>6.25E-2</v>
      </c>
      <c r="BO68" s="12">
        <v>234</v>
      </c>
      <c r="BP68" s="12">
        <v>0</v>
      </c>
      <c r="BQ68" s="12">
        <v>0</v>
      </c>
      <c r="BR68" s="12">
        <v>77</v>
      </c>
      <c r="BS68" s="12">
        <v>3</v>
      </c>
      <c r="BT68" s="12">
        <v>3.896103896103896E-2</v>
      </c>
      <c r="BU68" s="12">
        <v>1146</v>
      </c>
      <c r="BV68" s="12">
        <v>5</v>
      </c>
      <c r="BW68" s="12">
        <v>4.3630017452006981E-3</v>
      </c>
      <c r="BX68" s="12"/>
      <c r="BY68" s="12"/>
      <c r="BZ68" s="12"/>
      <c r="CA68" s="12">
        <v>95363.32</v>
      </c>
      <c r="CB68" s="13"/>
      <c r="CC68" s="13"/>
      <c r="CD68" s="13"/>
      <c r="CE68" s="12">
        <v>12531</v>
      </c>
      <c r="CF68" s="12">
        <v>1080</v>
      </c>
      <c r="CG68" s="13">
        <v>51297</v>
      </c>
      <c r="CH68" s="13">
        <v>147</v>
      </c>
      <c r="CI68" s="13">
        <v>5650</v>
      </c>
    </row>
    <row r="69" spans="2:87" x14ac:dyDescent="0.2">
      <c r="B69" s="5">
        <v>45842</v>
      </c>
      <c r="C69" s="12">
        <v>6</v>
      </c>
      <c r="D69" s="12">
        <v>2.2000000000000002</v>
      </c>
      <c r="E69" s="12">
        <v>160364.14600000001</v>
      </c>
      <c r="F69" s="12">
        <v>0</v>
      </c>
      <c r="G69" s="12">
        <v>1214285.72</v>
      </c>
      <c r="H69" s="12">
        <v>0</v>
      </c>
      <c r="I69" s="12">
        <v>0</v>
      </c>
      <c r="J69" s="12">
        <v>1214285.72</v>
      </c>
      <c r="K69" s="12">
        <v>23500</v>
      </c>
      <c r="L69" s="12">
        <v>0</v>
      </c>
      <c r="M69" s="12">
        <v>230714.28</v>
      </c>
      <c r="N69" s="12">
        <v>1468500</v>
      </c>
      <c r="O69" s="12">
        <v>0</v>
      </c>
      <c r="P69" s="12">
        <v>1214285.72</v>
      </c>
      <c r="Q69" s="12">
        <v>242311</v>
      </c>
      <c r="R69" s="12">
        <v>971974.72</v>
      </c>
      <c r="S69" s="12">
        <v>0</v>
      </c>
      <c r="T69" s="12">
        <v>15</v>
      </c>
      <c r="U69" s="12">
        <v>0</v>
      </c>
      <c r="V69" s="12">
        <v>0</v>
      </c>
      <c r="W69" s="35">
        <v>46144.261731053244</v>
      </c>
      <c r="X69" s="12">
        <v>4</v>
      </c>
      <c r="Y69" s="12">
        <v>4</v>
      </c>
      <c r="Z69" s="12">
        <v>420168.07</v>
      </c>
      <c r="AA69" s="12">
        <v>105042.01700000001</v>
      </c>
      <c r="AB69" s="12">
        <v>67557</v>
      </c>
      <c r="AC69" s="12">
        <v>352611.07</v>
      </c>
      <c r="AD69" s="12">
        <v>2</v>
      </c>
      <c r="AE69" s="12">
        <v>2</v>
      </c>
      <c r="AF69" s="12">
        <v>794117.65</v>
      </c>
      <c r="AG69" s="12">
        <v>271008.40500000003</v>
      </c>
      <c r="AH69" s="12">
        <v>174754</v>
      </c>
      <c r="AI69" s="12">
        <v>619363.65</v>
      </c>
      <c r="AJ69" s="12"/>
      <c r="AK69" s="12"/>
      <c r="AL69" s="12"/>
      <c r="AM69" s="12"/>
      <c r="AN69" s="12"/>
      <c r="AO69" s="12"/>
      <c r="AP69" s="12">
        <v>289915.96999999997</v>
      </c>
      <c r="AQ69" s="12">
        <v>2</v>
      </c>
      <c r="AR69" s="12">
        <v>144957.98499999999</v>
      </c>
      <c r="AS69" s="12">
        <v>124001</v>
      </c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>
        <v>677</v>
      </c>
      <c r="BG69" s="12">
        <v>0</v>
      </c>
      <c r="BH69" s="12">
        <v>0</v>
      </c>
      <c r="BI69" s="12">
        <v>44</v>
      </c>
      <c r="BJ69" s="12">
        <v>0</v>
      </c>
      <c r="BK69" s="12">
        <v>0</v>
      </c>
      <c r="BL69" s="12">
        <v>26</v>
      </c>
      <c r="BM69" s="12">
        <v>0</v>
      </c>
      <c r="BN69" s="12">
        <v>0</v>
      </c>
      <c r="BO69" s="12">
        <v>273</v>
      </c>
      <c r="BP69" s="12">
        <v>0</v>
      </c>
      <c r="BQ69" s="12">
        <v>0</v>
      </c>
      <c r="BR69" s="12">
        <v>69</v>
      </c>
      <c r="BS69" s="12">
        <v>2</v>
      </c>
      <c r="BT69" s="12">
        <v>2.8985507246376812E-2</v>
      </c>
      <c r="BU69" s="12">
        <v>1089</v>
      </c>
      <c r="BV69" s="12">
        <v>2</v>
      </c>
      <c r="BW69" s="12">
        <v>1.8365472910927456E-3</v>
      </c>
      <c r="BX69" s="12"/>
      <c r="BY69" s="12"/>
      <c r="BZ69" s="12"/>
      <c r="CA69" s="12">
        <v>81696.600000000006</v>
      </c>
      <c r="CB69" s="13"/>
      <c r="CC69" s="13"/>
      <c r="CD69" s="13"/>
      <c r="CE69" s="12">
        <v>11889</v>
      </c>
      <c r="CF69" s="12">
        <v>1079</v>
      </c>
      <c r="CG69" s="13">
        <v>31105</v>
      </c>
      <c r="CH69" s="13">
        <v>92</v>
      </c>
      <c r="CI69" s="13">
        <v>3612</v>
      </c>
    </row>
    <row r="70" spans="2:87" x14ac:dyDescent="0.2">
      <c r="B70" s="5">
        <v>45843</v>
      </c>
      <c r="C70" s="12">
        <v>8</v>
      </c>
      <c r="D70" s="12">
        <v>2.4</v>
      </c>
      <c r="E70" s="12">
        <v>113970.59</v>
      </c>
      <c r="F70" s="12">
        <v>0</v>
      </c>
      <c r="G70" s="12">
        <v>987394.97</v>
      </c>
      <c r="H70" s="12">
        <v>-75630.25</v>
      </c>
      <c r="I70" s="12">
        <v>0</v>
      </c>
      <c r="J70" s="12">
        <v>911764.72</v>
      </c>
      <c r="K70" s="12">
        <v>23500</v>
      </c>
      <c r="L70" s="12">
        <v>0</v>
      </c>
      <c r="M70" s="12">
        <v>173235.28</v>
      </c>
      <c r="N70" s="12">
        <v>1108500</v>
      </c>
      <c r="O70" s="12">
        <v>0</v>
      </c>
      <c r="P70" s="12">
        <v>911764.72</v>
      </c>
      <c r="Q70" s="12">
        <v>280646</v>
      </c>
      <c r="R70" s="12">
        <v>631118.72</v>
      </c>
      <c r="S70" s="12">
        <v>0</v>
      </c>
      <c r="T70" s="12">
        <v>19</v>
      </c>
      <c r="U70" s="12">
        <v>0</v>
      </c>
      <c r="V70" s="12">
        <v>0</v>
      </c>
      <c r="W70" s="35">
        <v>46144.261731053244</v>
      </c>
      <c r="X70" s="12">
        <v>3</v>
      </c>
      <c r="Y70" s="12">
        <v>3</v>
      </c>
      <c r="Z70" s="12">
        <v>151260.51</v>
      </c>
      <c r="AA70" s="12">
        <v>50420.17</v>
      </c>
      <c r="AB70" s="12">
        <v>33095</v>
      </c>
      <c r="AC70" s="12">
        <v>118165.51</v>
      </c>
      <c r="AD70" s="12">
        <v>5</v>
      </c>
      <c r="AE70" s="12">
        <v>5</v>
      </c>
      <c r="AF70" s="12">
        <v>760504.21</v>
      </c>
      <c r="AG70" s="12">
        <v>152100.842</v>
      </c>
      <c r="AH70" s="12">
        <v>247551</v>
      </c>
      <c r="AI70" s="12">
        <v>512953.21</v>
      </c>
      <c r="AJ70" s="12"/>
      <c r="AK70" s="12"/>
      <c r="AL70" s="12"/>
      <c r="AM70" s="12"/>
      <c r="AN70" s="12"/>
      <c r="AO70" s="12"/>
      <c r="AP70" s="12">
        <v>621848.75</v>
      </c>
      <c r="AQ70" s="12">
        <v>4</v>
      </c>
      <c r="AR70" s="12">
        <v>155462.18700000001</v>
      </c>
      <c r="AS70" s="12">
        <v>212325</v>
      </c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>
        <v>828</v>
      </c>
      <c r="BG70" s="12">
        <v>0</v>
      </c>
      <c r="BH70" s="12">
        <v>0</v>
      </c>
      <c r="BI70" s="12">
        <v>39</v>
      </c>
      <c r="BJ70" s="12">
        <v>1</v>
      </c>
      <c r="BK70" s="12">
        <v>2.564102564102564E-2</v>
      </c>
      <c r="BL70" s="12">
        <v>21</v>
      </c>
      <c r="BM70" s="12">
        <v>2</v>
      </c>
      <c r="BN70" s="12">
        <v>9.5238095238095233E-2</v>
      </c>
      <c r="BO70" s="12">
        <v>365</v>
      </c>
      <c r="BP70" s="12">
        <v>0</v>
      </c>
      <c r="BQ70" s="12">
        <v>0</v>
      </c>
      <c r="BR70" s="12">
        <v>64</v>
      </c>
      <c r="BS70" s="12">
        <v>0</v>
      </c>
      <c r="BT70" s="12">
        <v>0</v>
      </c>
      <c r="BU70" s="12">
        <v>1317</v>
      </c>
      <c r="BV70" s="12">
        <v>3</v>
      </c>
      <c r="BW70" s="12">
        <v>2.2779043280182231E-3</v>
      </c>
      <c r="BX70" s="12"/>
      <c r="BY70" s="12"/>
      <c r="BZ70" s="12"/>
      <c r="CA70" s="12">
        <v>103596.91</v>
      </c>
      <c r="CB70" s="13"/>
      <c r="CC70" s="13"/>
      <c r="CD70" s="13"/>
      <c r="CE70" s="12">
        <v>13001</v>
      </c>
      <c r="CF70" s="12">
        <v>1297</v>
      </c>
      <c r="CG70" s="13">
        <v>34202</v>
      </c>
      <c r="CH70" s="13">
        <v>129</v>
      </c>
      <c r="CI70" s="13">
        <v>3280</v>
      </c>
    </row>
    <row r="71" spans="2:87" x14ac:dyDescent="0.2">
      <c r="B71" s="5">
        <v>45844</v>
      </c>
      <c r="C71" s="12">
        <v>1</v>
      </c>
      <c r="D71" s="12">
        <v>3</v>
      </c>
      <c r="E71" s="12">
        <v>176470.59</v>
      </c>
      <c r="F71" s="12">
        <v>0</v>
      </c>
      <c r="G71" s="12">
        <v>176470.59</v>
      </c>
      <c r="H71" s="12">
        <v>0</v>
      </c>
      <c r="I71" s="12">
        <v>0</v>
      </c>
      <c r="J71" s="12">
        <v>176470.59</v>
      </c>
      <c r="K71" s="12">
        <v>9000</v>
      </c>
      <c r="L71" s="12">
        <v>0</v>
      </c>
      <c r="M71" s="12">
        <v>33529.410000000003</v>
      </c>
      <c r="N71" s="12">
        <v>219000</v>
      </c>
      <c r="O71" s="12">
        <v>0</v>
      </c>
      <c r="P71" s="12">
        <v>176470.59</v>
      </c>
      <c r="Q71" s="12">
        <v>48975</v>
      </c>
      <c r="R71" s="12">
        <v>127495.59</v>
      </c>
      <c r="S71" s="12">
        <v>0</v>
      </c>
      <c r="T71" s="12">
        <v>3</v>
      </c>
      <c r="U71" s="12">
        <v>0</v>
      </c>
      <c r="V71" s="12">
        <v>0</v>
      </c>
      <c r="W71" s="35">
        <v>46144.261731053244</v>
      </c>
      <c r="X71" s="12">
        <v>1</v>
      </c>
      <c r="Y71" s="12">
        <v>1</v>
      </c>
      <c r="Z71" s="12">
        <v>176470.59</v>
      </c>
      <c r="AA71" s="12">
        <v>176470.59</v>
      </c>
      <c r="AB71" s="12">
        <v>48975</v>
      </c>
      <c r="AC71" s="12">
        <v>127495.59</v>
      </c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>
        <v>176470.59</v>
      </c>
      <c r="AQ71" s="12">
        <v>1</v>
      </c>
      <c r="AR71" s="12">
        <v>176470.59</v>
      </c>
      <c r="AS71" s="12">
        <v>48975</v>
      </c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>
        <v>691</v>
      </c>
      <c r="BG71" s="12">
        <v>0</v>
      </c>
      <c r="BH71" s="12">
        <v>0</v>
      </c>
      <c r="BI71" s="12">
        <v>54</v>
      </c>
      <c r="BJ71" s="12">
        <v>0</v>
      </c>
      <c r="BK71" s="12">
        <v>0</v>
      </c>
      <c r="BL71" s="12">
        <v>20</v>
      </c>
      <c r="BM71" s="12">
        <v>1</v>
      </c>
      <c r="BN71" s="12">
        <v>0.05</v>
      </c>
      <c r="BO71" s="12">
        <v>199</v>
      </c>
      <c r="BP71" s="12">
        <v>0</v>
      </c>
      <c r="BQ71" s="12">
        <v>0</v>
      </c>
      <c r="BR71" s="12">
        <v>45</v>
      </c>
      <c r="BS71" s="12">
        <v>0</v>
      </c>
      <c r="BT71" s="12">
        <v>0</v>
      </c>
      <c r="BU71" s="12">
        <v>1009</v>
      </c>
      <c r="BV71" s="12">
        <v>1</v>
      </c>
      <c r="BW71" s="12">
        <v>9.9108027750247768E-4</v>
      </c>
      <c r="BX71" s="12"/>
      <c r="BY71" s="12"/>
      <c r="BZ71" s="12"/>
      <c r="CA71" s="12">
        <v>82344.23</v>
      </c>
      <c r="CB71" s="13"/>
      <c r="CC71" s="13"/>
      <c r="CD71" s="13"/>
      <c r="CE71" s="12">
        <v>8663</v>
      </c>
      <c r="CF71" s="12">
        <v>917</v>
      </c>
      <c r="CG71" s="13">
        <v>39155</v>
      </c>
      <c r="CH71" s="13">
        <v>145</v>
      </c>
      <c r="CI71" s="13">
        <v>4942</v>
      </c>
    </row>
    <row r="72" spans="2:87" x14ac:dyDescent="0.2">
      <c r="B72" s="5">
        <v>45845</v>
      </c>
      <c r="C72" s="12">
        <v>8</v>
      </c>
      <c r="D72" s="12">
        <v>2.4</v>
      </c>
      <c r="E72" s="12">
        <v>139810.92499999999</v>
      </c>
      <c r="F72" s="12">
        <v>0</v>
      </c>
      <c r="G72" s="12">
        <v>1140336.1399999999</v>
      </c>
      <c r="H72" s="12">
        <v>0</v>
      </c>
      <c r="I72" s="12">
        <v>0</v>
      </c>
      <c r="J72" s="12">
        <v>1140336.1399999999</v>
      </c>
      <c r="K72" s="12">
        <v>50500</v>
      </c>
      <c r="L72" s="12">
        <v>0</v>
      </c>
      <c r="M72" s="12">
        <v>216663.86</v>
      </c>
      <c r="N72" s="12">
        <v>1407500</v>
      </c>
      <c r="O72" s="12">
        <v>0</v>
      </c>
      <c r="P72" s="12">
        <v>1140336.1399999999</v>
      </c>
      <c r="Q72" s="12">
        <v>329830</v>
      </c>
      <c r="R72" s="12">
        <v>810506.14</v>
      </c>
      <c r="S72" s="12">
        <v>0</v>
      </c>
      <c r="T72" s="12">
        <v>20</v>
      </c>
      <c r="U72" s="12">
        <v>0</v>
      </c>
      <c r="V72" s="12">
        <v>0</v>
      </c>
      <c r="W72" s="35">
        <v>46144.261731053244</v>
      </c>
      <c r="X72" s="12">
        <v>4</v>
      </c>
      <c r="Y72" s="12">
        <v>4</v>
      </c>
      <c r="Z72" s="12">
        <v>819327.73</v>
      </c>
      <c r="AA72" s="12">
        <v>204831.932</v>
      </c>
      <c r="AB72" s="12">
        <v>235349</v>
      </c>
      <c r="AC72" s="12">
        <v>583978.73</v>
      </c>
      <c r="AD72" s="12">
        <v>4</v>
      </c>
      <c r="AE72" s="12">
        <v>4</v>
      </c>
      <c r="AF72" s="12">
        <v>321008.40999999997</v>
      </c>
      <c r="AG72" s="12">
        <v>74789.917000000001</v>
      </c>
      <c r="AH72" s="12">
        <v>94481</v>
      </c>
      <c r="AI72" s="12">
        <v>226527.41</v>
      </c>
      <c r="AJ72" s="12"/>
      <c r="AK72" s="12"/>
      <c r="AL72" s="12"/>
      <c r="AM72" s="12"/>
      <c r="AN72" s="12"/>
      <c r="AO72" s="12"/>
      <c r="AP72" s="12">
        <v>1140336.1399999999</v>
      </c>
      <c r="AQ72" s="12">
        <v>8</v>
      </c>
      <c r="AR72" s="12">
        <v>139810.92499999999</v>
      </c>
      <c r="AS72" s="12">
        <v>329830</v>
      </c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>
        <v>776</v>
      </c>
      <c r="BG72" s="12">
        <v>1</v>
      </c>
      <c r="BH72" s="12">
        <v>1.288659793814433E-3</v>
      </c>
      <c r="BI72" s="12">
        <v>37</v>
      </c>
      <c r="BJ72" s="12">
        <v>2</v>
      </c>
      <c r="BK72" s="12">
        <v>5.4054054054054057E-2</v>
      </c>
      <c r="BL72" s="12">
        <v>23</v>
      </c>
      <c r="BM72" s="12">
        <v>2</v>
      </c>
      <c r="BN72" s="12">
        <v>8.6956521739130432E-2</v>
      </c>
      <c r="BO72" s="12">
        <v>116</v>
      </c>
      <c r="BP72" s="12">
        <v>0</v>
      </c>
      <c r="BQ72" s="12">
        <v>0</v>
      </c>
      <c r="BR72" s="12">
        <v>79</v>
      </c>
      <c r="BS72" s="12">
        <v>2</v>
      </c>
      <c r="BT72" s="12">
        <v>2.5316455696202531E-2</v>
      </c>
      <c r="BU72" s="12">
        <v>1031</v>
      </c>
      <c r="BV72" s="12">
        <v>7</v>
      </c>
      <c r="BW72" s="12">
        <v>6.7895247332686714E-3</v>
      </c>
      <c r="BX72" s="12"/>
      <c r="BY72" s="12"/>
      <c r="BZ72" s="12"/>
      <c r="CA72" s="12">
        <v>97024.92</v>
      </c>
      <c r="CB72" s="13"/>
      <c r="CC72" s="13"/>
      <c r="CD72" s="13"/>
      <c r="CE72" s="12">
        <v>8933</v>
      </c>
      <c r="CF72" s="12">
        <v>919</v>
      </c>
      <c r="CG72" s="13">
        <v>39854</v>
      </c>
      <c r="CH72" s="13">
        <v>99</v>
      </c>
      <c r="CI72" s="13">
        <v>3875</v>
      </c>
    </row>
    <row r="73" spans="2:87" x14ac:dyDescent="0.2">
      <c r="B73" s="5">
        <v>45846</v>
      </c>
      <c r="C73" s="12">
        <v>7</v>
      </c>
      <c r="D73" s="12">
        <v>4.0999999999999996</v>
      </c>
      <c r="E73" s="12">
        <v>80672.267999999996</v>
      </c>
      <c r="F73" s="12">
        <v>-1</v>
      </c>
      <c r="G73" s="12">
        <v>615126.05000000005</v>
      </c>
      <c r="H73" s="12">
        <v>-50420.17</v>
      </c>
      <c r="I73" s="12">
        <v>-126050.42</v>
      </c>
      <c r="J73" s="12">
        <v>438655.46</v>
      </c>
      <c r="K73" s="12">
        <v>0</v>
      </c>
      <c r="L73" s="12">
        <v>0</v>
      </c>
      <c r="M73" s="12">
        <v>83344.539999999994</v>
      </c>
      <c r="N73" s="12">
        <v>522000</v>
      </c>
      <c r="O73" s="12">
        <v>0</v>
      </c>
      <c r="P73" s="12">
        <v>438655.46</v>
      </c>
      <c r="Q73" s="12">
        <v>169844</v>
      </c>
      <c r="R73" s="12">
        <v>268811.46000000002</v>
      </c>
      <c r="S73" s="12">
        <v>0</v>
      </c>
      <c r="T73" s="12">
        <v>28</v>
      </c>
      <c r="U73" s="12">
        <v>0</v>
      </c>
      <c r="V73" s="12">
        <v>0</v>
      </c>
      <c r="W73" s="35">
        <v>46144.261731053244</v>
      </c>
      <c r="X73" s="12">
        <v>5</v>
      </c>
      <c r="Y73" s="12">
        <v>5</v>
      </c>
      <c r="Z73" s="12">
        <v>484033.61</v>
      </c>
      <c r="AA73" s="12">
        <v>96806.721999999994</v>
      </c>
      <c r="AB73" s="12">
        <v>149027</v>
      </c>
      <c r="AC73" s="12">
        <v>335006.61</v>
      </c>
      <c r="AD73" s="12">
        <v>2</v>
      </c>
      <c r="AE73" s="12">
        <v>2</v>
      </c>
      <c r="AF73" s="12">
        <v>-45378.15</v>
      </c>
      <c r="AG73" s="12">
        <v>40336.135000000002</v>
      </c>
      <c r="AH73" s="12">
        <v>20817</v>
      </c>
      <c r="AI73" s="12">
        <v>-66195.149999999994</v>
      </c>
      <c r="AJ73" s="12"/>
      <c r="AK73" s="12"/>
      <c r="AL73" s="12"/>
      <c r="AM73" s="12"/>
      <c r="AN73" s="12"/>
      <c r="AO73" s="12"/>
      <c r="AP73" s="12">
        <v>357983.19</v>
      </c>
      <c r="AQ73" s="12">
        <v>2</v>
      </c>
      <c r="AR73" s="12">
        <v>178991.595</v>
      </c>
      <c r="AS73" s="12">
        <v>123848</v>
      </c>
      <c r="AT73" s="12"/>
      <c r="AU73" s="12"/>
      <c r="AV73" s="12"/>
      <c r="AW73" s="12"/>
      <c r="AX73" s="12">
        <v>21848.74</v>
      </c>
      <c r="AY73" s="12">
        <v>1</v>
      </c>
      <c r="AZ73" s="12">
        <v>21848.74</v>
      </c>
      <c r="BA73" s="12">
        <v>4492</v>
      </c>
      <c r="BB73" s="12"/>
      <c r="BC73" s="12"/>
      <c r="BD73" s="12"/>
      <c r="BE73" s="12"/>
      <c r="BF73" s="12">
        <v>545</v>
      </c>
      <c r="BG73" s="12">
        <v>1</v>
      </c>
      <c r="BH73" s="12">
        <v>1.834862385321101E-3</v>
      </c>
      <c r="BI73" s="12">
        <v>34</v>
      </c>
      <c r="BJ73" s="12">
        <v>0</v>
      </c>
      <c r="BK73" s="12">
        <v>0</v>
      </c>
      <c r="BL73" s="12">
        <v>23</v>
      </c>
      <c r="BM73" s="12">
        <v>0</v>
      </c>
      <c r="BN73" s="12">
        <v>0</v>
      </c>
      <c r="BO73" s="12">
        <v>99</v>
      </c>
      <c r="BP73" s="12">
        <v>0</v>
      </c>
      <c r="BQ73" s="12">
        <v>0</v>
      </c>
      <c r="BR73" s="12">
        <v>66</v>
      </c>
      <c r="BS73" s="12">
        <v>0</v>
      </c>
      <c r="BT73" s="12">
        <v>0</v>
      </c>
      <c r="BU73" s="12">
        <v>767</v>
      </c>
      <c r="BV73" s="12">
        <v>1</v>
      </c>
      <c r="BW73" s="12">
        <v>1.3037809647979139E-3</v>
      </c>
      <c r="BX73" s="12"/>
      <c r="BY73" s="12"/>
      <c r="BZ73" s="12"/>
      <c r="CA73" s="12">
        <v>131575.35999999999</v>
      </c>
      <c r="CB73" s="13"/>
      <c r="CC73" s="13"/>
      <c r="CD73" s="13"/>
      <c r="CE73" s="12">
        <v>6856</v>
      </c>
      <c r="CF73" s="12">
        <v>720</v>
      </c>
      <c r="CG73" s="13">
        <v>39251</v>
      </c>
      <c r="CH73" s="13">
        <v>74</v>
      </c>
      <c r="CI73" s="13">
        <v>3412</v>
      </c>
    </row>
    <row r="74" spans="2:87" x14ac:dyDescent="0.2">
      <c r="B74" s="5">
        <v>45847</v>
      </c>
      <c r="C74" s="12">
        <v>22</v>
      </c>
      <c r="D74" s="12">
        <v>2.2999999999999998</v>
      </c>
      <c r="E74" s="12">
        <v>171896.48499999999</v>
      </c>
      <c r="F74" s="12">
        <v>-2</v>
      </c>
      <c r="G74" s="12">
        <v>3827731.05</v>
      </c>
      <c r="H74" s="12">
        <v>-46008.36</v>
      </c>
      <c r="I74" s="12">
        <v>-105042.02</v>
      </c>
      <c r="J74" s="12">
        <v>3676680.67</v>
      </c>
      <c r="K74" s="12">
        <v>104000</v>
      </c>
      <c r="L74" s="12">
        <v>0</v>
      </c>
      <c r="M74" s="12">
        <v>698569.33</v>
      </c>
      <c r="N74" s="12">
        <v>4479250</v>
      </c>
      <c r="O74" s="12">
        <v>100840.34</v>
      </c>
      <c r="P74" s="12">
        <v>3575840.33</v>
      </c>
      <c r="Q74" s="12">
        <v>1132151</v>
      </c>
      <c r="R74" s="12">
        <v>2443689.33</v>
      </c>
      <c r="S74" s="12">
        <v>0</v>
      </c>
      <c r="T74" s="12">
        <v>48</v>
      </c>
      <c r="U74" s="12">
        <v>0</v>
      </c>
      <c r="V74" s="12">
        <v>0</v>
      </c>
      <c r="W74" s="35">
        <v>46144.261731053244</v>
      </c>
      <c r="X74" s="12">
        <v>7</v>
      </c>
      <c r="Y74" s="12">
        <v>7</v>
      </c>
      <c r="Z74" s="12">
        <v>1079831.93</v>
      </c>
      <c r="AA74" s="12">
        <v>154261.704</v>
      </c>
      <c r="AB74" s="12">
        <v>295419</v>
      </c>
      <c r="AC74" s="12">
        <v>784412.93</v>
      </c>
      <c r="AD74" s="12">
        <v>14</v>
      </c>
      <c r="AE74" s="12">
        <v>14</v>
      </c>
      <c r="AF74" s="12">
        <v>2596848.7400000002</v>
      </c>
      <c r="AG74" s="12">
        <v>185489.19500000001</v>
      </c>
      <c r="AH74" s="12">
        <v>836732</v>
      </c>
      <c r="AI74" s="12">
        <v>1659276.4</v>
      </c>
      <c r="AJ74" s="12">
        <v>1</v>
      </c>
      <c r="AK74" s="12">
        <v>1</v>
      </c>
      <c r="AL74" s="12">
        <v>0</v>
      </c>
      <c r="AM74" s="12">
        <v>105042.02</v>
      </c>
      <c r="AN74" s="12">
        <v>0</v>
      </c>
      <c r="AO74" s="12">
        <v>0</v>
      </c>
      <c r="AP74" s="12">
        <v>911764.71</v>
      </c>
      <c r="AQ74" s="12">
        <v>7</v>
      </c>
      <c r="AR74" s="12">
        <v>145258.10399999999</v>
      </c>
      <c r="AS74" s="12">
        <v>268928</v>
      </c>
      <c r="AT74" s="12">
        <v>1256302.53</v>
      </c>
      <c r="AU74" s="12">
        <v>10</v>
      </c>
      <c r="AV74" s="12">
        <v>125630.253</v>
      </c>
      <c r="AW74" s="12">
        <v>362342</v>
      </c>
      <c r="AX74" s="12"/>
      <c r="AY74" s="12"/>
      <c r="AZ74" s="12"/>
      <c r="BA74" s="12"/>
      <c r="BB74" s="12"/>
      <c r="BC74" s="12"/>
      <c r="BD74" s="12"/>
      <c r="BE74" s="12"/>
      <c r="BF74" s="12">
        <v>226</v>
      </c>
      <c r="BG74" s="12">
        <v>0</v>
      </c>
      <c r="BH74" s="12">
        <v>0</v>
      </c>
      <c r="BI74" s="12">
        <v>43</v>
      </c>
      <c r="BJ74" s="12">
        <v>0</v>
      </c>
      <c r="BK74" s="12">
        <v>0</v>
      </c>
      <c r="BL74" s="12">
        <v>28</v>
      </c>
      <c r="BM74" s="12">
        <v>0</v>
      </c>
      <c r="BN74" s="12">
        <v>0</v>
      </c>
      <c r="BO74" s="12">
        <v>16</v>
      </c>
      <c r="BP74" s="12">
        <v>0</v>
      </c>
      <c r="BQ74" s="12">
        <v>0</v>
      </c>
      <c r="BR74" s="12">
        <v>161</v>
      </c>
      <c r="BS74" s="12">
        <v>7</v>
      </c>
      <c r="BT74" s="12">
        <v>4.3478260869565216E-2</v>
      </c>
      <c r="BU74" s="12">
        <v>474</v>
      </c>
      <c r="BV74" s="12">
        <v>7</v>
      </c>
      <c r="BW74" s="12">
        <v>1.4767932489451477E-2</v>
      </c>
      <c r="BX74" s="12"/>
      <c r="BY74" s="12"/>
      <c r="BZ74" s="12"/>
      <c r="CA74" s="12">
        <v>98853.83</v>
      </c>
      <c r="CB74" s="13"/>
      <c r="CC74" s="13"/>
      <c r="CD74" s="13"/>
      <c r="CE74" s="12">
        <v>2966</v>
      </c>
      <c r="CF74" s="12">
        <v>223</v>
      </c>
      <c r="CG74" s="13">
        <v>42711</v>
      </c>
      <c r="CH74" s="13">
        <v>90</v>
      </c>
      <c r="CI74" s="13">
        <v>3589</v>
      </c>
    </row>
    <row r="75" spans="2:87" x14ac:dyDescent="0.2">
      <c r="B75" s="5">
        <v>45848</v>
      </c>
      <c r="C75" s="12">
        <v>22</v>
      </c>
      <c r="D75" s="12">
        <v>1.8</v>
      </c>
      <c r="E75" s="12">
        <v>131398.01300000001</v>
      </c>
      <c r="F75" s="12">
        <v>0</v>
      </c>
      <c r="G75" s="12">
        <v>2890756.3</v>
      </c>
      <c r="H75" s="12">
        <v>0</v>
      </c>
      <c r="I75" s="12">
        <v>0</v>
      </c>
      <c r="J75" s="12">
        <v>2890756.3</v>
      </c>
      <c r="K75" s="12">
        <v>125500</v>
      </c>
      <c r="L75" s="12">
        <v>0</v>
      </c>
      <c r="M75" s="12">
        <v>549243.69999999995</v>
      </c>
      <c r="N75" s="12">
        <v>3565500</v>
      </c>
      <c r="O75" s="12">
        <v>310924.37</v>
      </c>
      <c r="P75" s="12">
        <v>2579831.9300000002</v>
      </c>
      <c r="Q75" s="12">
        <v>791891</v>
      </c>
      <c r="R75" s="12">
        <v>1787940.93</v>
      </c>
      <c r="S75" s="12">
        <v>0</v>
      </c>
      <c r="T75" s="12">
        <v>39</v>
      </c>
      <c r="U75" s="12">
        <v>0</v>
      </c>
      <c r="V75" s="12">
        <v>0</v>
      </c>
      <c r="W75" s="35">
        <v>46144.261731053244</v>
      </c>
      <c r="X75" s="12">
        <v>5</v>
      </c>
      <c r="Y75" s="12">
        <v>5</v>
      </c>
      <c r="Z75" s="12">
        <v>487394.95</v>
      </c>
      <c r="AA75" s="12">
        <v>97478.99</v>
      </c>
      <c r="AB75" s="12">
        <v>120634</v>
      </c>
      <c r="AC75" s="12">
        <v>366760.95</v>
      </c>
      <c r="AD75" s="12">
        <v>16</v>
      </c>
      <c r="AE75" s="12">
        <v>16</v>
      </c>
      <c r="AF75" s="12">
        <v>2368067.23</v>
      </c>
      <c r="AG75" s="12">
        <v>148004.201</v>
      </c>
      <c r="AH75" s="12">
        <v>661719</v>
      </c>
      <c r="AI75" s="12">
        <v>1395423.86</v>
      </c>
      <c r="AJ75" s="12">
        <v>1</v>
      </c>
      <c r="AK75" s="12">
        <v>1</v>
      </c>
      <c r="AL75" s="12">
        <v>35294.120000000003</v>
      </c>
      <c r="AM75" s="12">
        <v>35294.120000000003</v>
      </c>
      <c r="AN75" s="12">
        <v>9538</v>
      </c>
      <c r="AO75" s="12">
        <v>25756.12</v>
      </c>
      <c r="AP75" s="12">
        <v>1096638.6599999999</v>
      </c>
      <c r="AQ75" s="12">
        <v>9</v>
      </c>
      <c r="AR75" s="12">
        <v>121848.74</v>
      </c>
      <c r="AS75" s="12">
        <v>324900</v>
      </c>
      <c r="AT75" s="12">
        <v>1047899.15</v>
      </c>
      <c r="AU75" s="12">
        <v>8</v>
      </c>
      <c r="AV75" s="12">
        <v>130987.393</v>
      </c>
      <c r="AW75" s="12">
        <v>239389</v>
      </c>
      <c r="AX75" s="12">
        <v>21848.74</v>
      </c>
      <c r="AY75" s="12">
        <v>1</v>
      </c>
      <c r="AZ75" s="12">
        <v>21848.74</v>
      </c>
      <c r="BA75" s="12">
        <v>4492</v>
      </c>
      <c r="BB75" s="12"/>
      <c r="BC75" s="12"/>
      <c r="BD75" s="12"/>
      <c r="BE75" s="12"/>
      <c r="BF75" s="12">
        <v>183</v>
      </c>
      <c r="BG75" s="12">
        <v>0</v>
      </c>
      <c r="BH75" s="12">
        <v>0</v>
      </c>
      <c r="BI75" s="12">
        <v>35</v>
      </c>
      <c r="BJ75" s="12">
        <v>1</v>
      </c>
      <c r="BK75" s="12">
        <v>2.8571428571428571E-2</v>
      </c>
      <c r="BL75" s="12">
        <v>23</v>
      </c>
      <c r="BM75" s="12">
        <v>1</v>
      </c>
      <c r="BN75" s="12">
        <v>4.3478260869565216E-2</v>
      </c>
      <c r="BO75" s="12">
        <v>13</v>
      </c>
      <c r="BP75" s="12">
        <v>0</v>
      </c>
      <c r="BQ75" s="12">
        <v>0</v>
      </c>
      <c r="BR75" s="12">
        <v>78</v>
      </c>
      <c r="BS75" s="12">
        <v>8</v>
      </c>
      <c r="BT75" s="12">
        <v>0.10256410256410256</v>
      </c>
      <c r="BU75" s="12">
        <v>332</v>
      </c>
      <c r="BV75" s="12">
        <v>10</v>
      </c>
      <c r="BW75" s="12">
        <v>3.0120481927710843E-2</v>
      </c>
      <c r="BX75" s="12"/>
      <c r="BY75" s="12"/>
      <c r="BZ75" s="12"/>
      <c r="CA75" s="12">
        <v>100375.57</v>
      </c>
      <c r="CB75" s="13"/>
      <c r="CC75" s="13"/>
      <c r="CD75" s="13"/>
      <c r="CE75" s="12">
        <v>1676</v>
      </c>
      <c r="CF75" s="12">
        <v>164</v>
      </c>
      <c r="CG75" s="13">
        <v>38344</v>
      </c>
      <c r="CH75" s="13">
        <v>86</v>
      </c>
      <c r="CI75" s="13">
        <v>2947</v>
      </c>
    </row>
    <row r="76" spans="2:87" x14ac:dyDescent="0.2">
      <c r="B76" s="5">
        <v>45849</v>
      </c>
      <c r="C76" s="12">
        <v>17</v>
      </c>
      <c r="D76" s="12">
        <v>2.1</v>
      </c>
      <c r="E76" s="12">
        <v>130993.573</v>
      </c>
      <c r="F76" s="12">
        <v>0</v>
      </c>
      <c r="G76" s="12">
        <v>2226890.75</v>
      </c>
      <c r="H76" s="12">
        <v>0</v>
      </c>
      <c r="I76" s="12">
        <v>0</v>
      </c>
      <c r="J76" s="12">
        <v>2226890.75</v>
      </c>
      <c r="K76" s="12">
        <v>27000</v>
      </c>
      <c r="L76" s="12">
        <v>0</v>
      </c>
      <c r="M76" s="12">
        <v>423109.25</v>
      </c>
      <c r="N76" s="12">
        <v>2677000</v>
      </c>
      <c r="O76" s="12">
        <v>0</v>
      </c>
      <c r="P76" s="12">
        <v>2226890.75</v>
      </c>
      <c r="Q76" s="12">
        <v>714089</v>
      </c>
      <c r="R76" s="12">
        <v>1512801.75</v>
      </c>
      <c r="S76" s="12">
        <v>0</v>
      </c>
      <c r="T76" s="12">
        <v>35</v>
      </c>
      <c r="U76" s="12">
        <v>0</v>
      </c>
      <c r="V76" s="12">
        <v>0</v>
      </c>
      <c r="W76" s="35">
        <v>46144.261731053244</v>
      </c>
      <c r="X76" s="12">
        <v>11</v>
      </c>
      <c r="Y76" s="12">
        <v>11</v>
      </c>
      <c r="Z76" s="12">
        <v>1550420.16</v>
      </c>
      <c r="AA76" s="12">
        <v>140947.28700000001</v>
      </c>
      <c r="AB76" s="12">
        <v>557689</v>
      </c>
      <c r="AC76" s="12">
        <v>992731.16</v>
      </c>
      <c r="AD76" s="12">
        <v>6</v>
      </c>
      <c r="AE76" s="12">
        <v>6</v>
      </c>
      <c r="AF76" s="12">
        <v>676470.59</v>
      </c>
      <c r="AG76" s="12">
        <v>112745.098</v>
      </c>
      <c r="AH76" s="12">
        <v>156400</v>
      </c>
      <c r="AI76" s="12">
        <v>520070.59</v>
      </c>
      <c r="AJ76" s="12"/>
      <c r="AK76" s="12"/>
      <c r="AL76" s="12"/>
      <c r="AM76" s="12"/>
      <c r="AN76" s="12"/>
      <c r="AO76" s="12"/>
      <c r="AP76" s="12">
        <v>504201.69</v>
      </c>
      <c r="AQ76" s="12">
        <v>4</v>
      </c>
      <c r="AR76" s="12">
        <v>126050.42200000001</v>
      </c>
      <c r="AS76" s="12">
        <v>181474</v>
      </c>
      <c r="AT76" s="12">
        <v>1588235.28</v>
      </c>
      <c r="AU76" s="12">
        <v>11</v>
      </c>
      <c r="AV76" s="12">
        <v>144385.02499999999</v>
      </c>
      <c r="AW76" s="12">
        <v>504972</v>
      </c>
      <c r="AX76" s="12"/>
      <c r="AY76" s="12"/>
      <c r="AZ76" s="12"/>
      <c r="BA76" s="12"/>
      <c r="BB76" s="12"/>
      <c r="BC76" s="12"/>
      <c r="BD76" s="12"/>
      <c r="BE76" s="12"/>
      <c r="BF76" s="12">
        <v>411</v>
      </c>
      <c r="BG76" s="12">
        <v>0</v>
      </c>
      <c r="BH76" s="12">
        <v>0</v>
      </c>
      <c r="BI76" s="12">
        <v>40</v>
      </c>
      <c r="BJ76" s="12">
        <v>1</v>
      </c>
      <c r="BK76" s="12">
        <v>2.5000000000000001E-2</v>
      </c>
      <c r="BL76" s="12">
        <v>21</v>
      </c>
      <c r="BM76" s="12">
        <v>1</v>
      </c>
      <c r="BN76" s="12">
        <v>4.7619047619047616E-2</v>
      </c>
      <c r="BO76" s="12">
        <v>23</v>
      </c>
      <c r="BP76" s="12">
        <v>0</v>
      </c>
      <c r="BQ76" s="12">
        <v>0</v>
      </c>
      <c r="BR76" s="12">
        <v>50</v>
      </c>
      <c r="BS76" s="12">
        <v>2</v>
      </c>
      <c r="BT76" s="12">
        <v>0.04</v>
      </c>
      <c r="BU76" s="12">
        <v>545</v>
      </c>
      <c r="BV76" s="12">
        <v>4</v>
      </c>
      <c r="BW76" s="12">
        <v>7.3394495412844041E-3</v>
      </c>
      <c r="BX76" s="12"/>
      <c r="BY76" s="12"/>
      <c r="BZ76" s="12"/>
      <c r="CA76" s="12">
        <v>109250.94</v>
      </c>
      <c r="CB76" s="13"/>
      <c r="CC76" s="13"/>
      <c r="CD76" s="13"/>
      <c r="CE76" s="12">
        <v>4712</v>
      </c>
      <c r="CF76" s="12">
        <v>433</v>
      </c>
      <c r="CG76" s="13">
        <v>41178</v>
      </c>
      <c r="CH76" s="13">
        <v>85</v>
      </c>
      <c r="CI76" s="13">
        <v>3230</v>
      </c>
    </row>
    <row r="77" spans="2:87" x14ac:dyDescent="0.2">
      <c r="B77" s="5">
        <v>45850</v>
      </c>
      <c r="C77" s="12">
        <v>23</v>
      </c>
      <c r="D77" s="12">
        <v>2.2999999999999998</v>
      </c>
      <c r="E77" s="12">
        <v>160796.53599999999</v>
      </c>
      <c r="F77" s="12">
        <v>0</v>
      </c>
      <c r="G77" s="12">
        <v>3698320.35</v>
      </c>
      <c r="H77" s="12">
        <v>0</v>
      </c>
      <c r="I77" s="12">
        <v>0</v>
      </c>
      <c r="J77" s="12">
        <v>3698320.35</v>
      </c>
      <c r="K77" s="12">
        <v>39500</v>
      </c>
      <c r="L77" s="12">
        <v>0</v>
      </c>
      <c r="M77" s="12">
        <v>702680.65</v>
      </c>
      <c r="N77" s="12">
        <v>4440501</v>
      </c>
      <c r="O77" s="12">
        <v>100841.33</v>
      </c>
      <c r="P77" s="12">
        <v>3597479.02</v>
      </c>
      <c r="Q77" s="12">
        <v>1019863</v>
      </c>
      <c r="R77" s="12">
        <v>2577616.02</v>
      </c>
      <c r="S77" s="12">
        <v>0</v>
      </c>
      <c r="T77" s="12">
        <v>53</v>
      </c>
      <c r="U77" s="12">
        <v>0</v>
      </c>
      <c r="V77" s="12">
        <v>0</v>
      </c>
      <c r="W77" s="35">
        <v>46144.261731053244</v>
      </c>
      <c r="X77" s="12">
        <v>5</v>
      </c>
      <c r="Y77" s="12">
        <v>5</v>
      </c>
      <c r="Z77" s="12">
        <v>596639.65</v>
      </c>
      <c r="AA77" s="12">
        <v>119327.93</v>
      </c>
      <c r="AB77" s="12">
        <v>139480</v>
      </c>
      <c r="AC77" s="12">
        <v>457158.65</v>
      </c>
      <c r="AD77" s="12">
        <v>17</v>
      </c>
      <c r="AE77" s="12">
        <v>17</v>
      </c>
      <c r="AF77" s="12">
        <v>3059663.89</v>
      </c>
      <c r="AG77" s="12">
        <v>179980.228</v>
      </c>
      <c r="AH77" s="12">
        <v>865812</v>
      </c>
      <c r="AI77" s="12">
        <v>2093011.56</v>
      </c>
      <c r="AJ77" s="12">
        <v>1</v>
      </c>
      <c r="AK77" s="12">
        <v>1</v>
      </c>
      <c r="AL77" s="12">
        <v>42016.81</v>
      </c>
      <c r="AM77" s="12">
        <v>42016.81</v>
      </c>
      <c r="AN77" s="12">
        <v>14571</v>
      </c>
      <c r="AO77" s="12">
        <v>27445.81</v>
      </c>
      <c r="AP77" s="12">
        <v>403362.34</v>
      </c>
      <c r="AQ77" s="12">
        <v>3</v>
      </c>
      <c r="AR77" s="12">
        <v>134454.11300000001</v>
      </c>
      <c r="AS77" s="12">
        <v>129368</v>
      </c>
      <c r="AT77" s="12">
        <v>3105882.38</v>
      </c>
      <c r="AU77" s="12">
        <v>18</v>
      </c>
      <c r="AV77" s="12">
        <v>172549.02100000001</v>
      </c>
      <c r="AW77" s="12">
        <v>856431</v>
      </c>
      <c r="AX77" s="12">
        <v>37815.129999999997</v>
      </c>
      <c r="AY77" s="12">
        <v>1</v>
      </c>
      <c r="AZ77" s="12">
        <v>37815.129999999997</v>
      </c>
      <c r="BA77" s="12">
        <v>7339</v>
      </c>
      <c r="BB77" s="12"/>
      <c r="BC77" s="12"/>
      <c r="BD77" s="12"/>
      <c r="BE77" s="12"/>
      <c r="BF77" s="12">
        <v>399</v>
      </c>
      <c r="BG77" s="12">
        <v>0</v>
      </c>
      <c r="BH77" s="12">
        <v>0</v>
      </c>
      <c r="BI77" s="12">
        <v>30</v>
      </c>
      <c r="BJ77" s="12">
        <v>1</v>
      </c>
      <c r="BK77" s="12">
        <v>3.3333333333333333E-2</v>
      </c>
      <c r="BL77" s="12">
        <v>21</v>
      </c>
      <c r="BM77" s="12">
        <v>0</v>
      </c>
      <c r="BN77" s="12">
        <v>0</v>
      </c>
      <c r="BO77" s="12">
        <v>15</v>
      </c>
      <c r="BP77" s="12">
        <v>0</v>
      </c>
      <c r="BQ77" s="12">
        <v>0</v>
      </c>
      <c r="BR77" s="12">
        <v>49</v>
      </c>
      <c r="BS77" s="12">
        <v>2</v>
      </c>
      <c r="BT77" s="12">
        <v>4.0816326530612242E-2</v>
      </c>
      <c r="BU77" s="12">
        <v>514</v>
      </c>
      <c r="BV77" s="12">
        <v>3</v>
      </c>
      <c r="BW77" s="12">
        <v>5.8365758754863814E-3</v>
      </c>
      <c r="BX77" s="12"/>
      <c r="BY77" s="12"/>
      <c r="BZ77" s="12"/>
      <c r="CA77" s="12">
        <v>83080.53</v>
      </c>
      <c r="CB77" s="13"/>
      <c r="CC77" s="13"/>
      <c r="CD77" s="13"/>
      <c r="CE77" s="12">
        <v>5069</v>
      </c>
      <c r="CF77" s="12">
        <v>434</v>
      </c>
      <c r="CG77" s="13">
        <v>38311</v>
      </c>
      <c r="CH77" s="13">
        <v>90</v>
      </c>
      <c r="CI77" s="13">
        <v>3197</v>
      </c>
    </row>
    <row r="78" spans="2:87" x14ac:dyDescent="0.2">
      <c r="B78" s="5">
        <v>45851</v>
      </c>
      <c r="C78" s="12">
        <v>9</v>
      </c>
      <c r="D78" s="12">
        <v>2.8</v>
      </c>
      <c r="E78" s="12">
        <v>183006.535</v>
      </c>
      <c r="F78" s="12">
        <v>0</v>
      </c>
      <c r="G78" s="12">
        <v>1647058.82</v>
      </c>
      <c r="H78" s="12">
        <v>0</v>
      </c>
      <c r="I78" s="12">
        <v>0</v>
      </c>
      <c r="J78" s="12">
        <v>1647058.82</v>
      </c>
      <c r="K78" s="12">
        <v>18000</v>
      </c>
      <c r="L78" s="12">
        <v>0</v>
      </c>
      <c r="M78" s="12">
        <v>312941.18</v>
      </c>
      <c r="N78" s="12">
        <v>1978000</v>
      </c>
      <c r="O78" s="12">
        <v>0</v>
      </c>
      <c r="P78" s="12">
        <v>1647058.82</v>
      </c>
      <c r="Q78" s="12">
        <v>441844</v>
      </c>
      <c r="R78" s="12">
        <v>1205214.82</v>
      </c>
      <c r="S78" s="12">
        <v>0</v>
      </c>
      <c r="T78" s="12">
        <v>25</v>
      </c>
      <c r="U78" s="12">
        <v>0</v>
      </c>
      <c r="V78" s="12">
        <v>0</v>
      </c>
      <c r="W78" s="35">
        <v>46144.261731053244</v>
      </c>
      <c r="X78" s="12">
        <v>3</v>
      </c>
      <c r="Y78" s="12">
        <v>3</v>
      </c>
      <c r="Z78" s="12">
        <v>878151.26</v>
      </c>
      <c r="AA78" s="12">
        <v>292717.08600000001</v>
      </c>
      <c r="AB78" s="12">
        <v>240873</v>
      </c>
      <c r="AC78" s="12">
        <v>637278.26</v>
      </c>
      <c r="AD78" s="12">
        <v>6</v>
      </c>
      <c r="AE78" s="12">
        <v>6</v>
      </c>
      <c r="AF78" s="12">
        <v>768907.56</v>
      </c>
      <c r="AG78" s="12">
        <v>128151.26</v>
      </c>
      <c r="AH78" s="12">
        <v>200971</v>
      </c>
      <c r="AI78" s="12">
        <v>567936.56000000006</v>
      </c>
      <c r="AJ78" s="12"/>
      <c r="AK78" s="12"/>
      <c r="AL78" s="12"/>
      <c r="AM78" s="12"/>
      <c r="AN78" s="12"/>
      <c r="AO78" s="12"/>
      <c r="AP78" s="12">
        <v>142857.14000000001</v>
      </c>
      <c r="AQ78" s="12">
        <v>1</v>
      </c>
      <c r="AR78" s="12">
        <v>142857.14000000001</v>
      </c>
      <c r="AS78" s="12">
        <v>37213</v>
      </c>
      <c r="AT78" s="12">
        <v>1457983.19</v>
      </c>
      <c r="AU78" s="12">
        <v>7</v>
      </c>
      <c r="AV78" s="12">
        <v>208283.31200000001</v>
      </c>
      <c r="AW78" s="12">
        <v>394776</v>
      </c>
      <c r="AX78" s="12">
        <v>46218.49</v>
      </c>
      <c r="AY78" s="12">
        <v>1</v>
      </c>
      <c r="AZ78" s="12">
        <v>46218.49</v>
      </c>
      <c r="BA78" s="12">
        <v>9855</v>
      </c>
      <c r="BB78" s="12"/>
      <c r="BC78" s="12"/>
      <c r="BD78" s="12"/>
      <c r="BE78" s="12"/>
      <c r="BF78" s="12">
        <v>426</v>
      </c>
      <c r="BG78" s="12">
        <v>0</v>
      </c>
      <c r="BH78" s="12">
        <v>0</v>
      </c>
      <c r="BI78" s="12">
        <v>39</v>
      </c>
      <c r="BJ78" s="12">
        <v>0</v>
      </c>
      <c r="BK78" s="12">
        <v>0</v>
      </c>
      <c r="BL78" s="12">
        <v>13</v>
      </c>
      <c r="BM78" s="12">
        <v>0</v>
      </c>
      <c r="BN78" s="12">
        <v>0</v>
      </c>
      <c r="BO78" s="12">
        <v>22</v>
      </c>
      <c r="BP78" s="12">
        <v>0</v>
      </c>
      <c r="BQ78" s="12">
        <v>0</v>
      </c>
      <c r="BR78" s="12">
        <v>67</v>
      </c>
      <c r="BS78" s="12">
        <v>2</v>
      </c>
      <c r="BT78" s="12">
        <v>2.9850746268656716E-2</v>
      </c>
      <c r="BU78" s="12">
        <v>567</v>
      </c>
      <c r="BV78" s="12">
        <v>2</v>
      </c>
      <c r="BW78" s="12">
        <v>3.5273368606701938E-3</v>
      </c>
      <c r="BX78" s="12"/>
      <c r="BY78" s="12"/>
      <c r="BZ78" s="12"/>
      <c r="CA78" s="12">
        <v>96720.41</v>
      </c>
      <c r="CB78" s="13"/>
      <c r="CC78" s="13"/>
      <c r="CD78" s="13"/>
      <c r="CE78" s="12">
        <v>4765</v>
      </c>
      <c r="CF78" s="12">
        <v>434</v>
      </c>
      <c r="CG78" s="13">
        <v>43045</v>
      </c>
      <c r="CH78" s="13">
        <v>99</v>
      </c>
      <c r="CI78" s="13">
        <v>3977</v>
      </c>
    </row>
    <row r="79" spans="2:87" x14ac:dyDescent="0.2">
      <c r="B79" s="5">
        <v>45852</v>
      </c>
      <c r="C79" s="12">
        <v>14</v>
      </c>
      <c r="D79" s="12">
        <v>1.7</v>
      </c>
      <c r="E79" s="12">
        <v>100360.20299999999</v>
      </c>
      <c r="F79" s="12">
        <v>0</v>
      </c>
      <c r="G79" s="12">
        <v>1405042.85</v>
      </c>
      <c r="H79" s="12">
        <v>0</v>
      </c>
      <c r="I79" s="12">
        <v>0</v>
      </c>
      <c r="J79" s="12">
        <v>1405042.85</v>
      </c>
      <c r="K79" s="12">
        <v>14500</v>
      </c>
      <c r="L79" s="12">
        <v>0</v>
      </c>
      <c r="M79" s="12">
        <v>266958.15000000002</v>
      </c>
      <c r="N79" s="12">
        <v>1686501</v>
      </c>
      <c r="O79" s="12">
        <v>0.84</v>
      </c>
      <c r="P79" s="12">
        <v>1405042.01</v>
      </c>
      <c r="Q79" s="12">
        <v>424633</v>
      </c>
      <c r="R79" s="12">
        <v>980409.01</v>
      </c>
      <c r="S79" s="12">
        <v>0</v>
      </c>
      <c r="T79" s="12">
        <v>24</v>
      </c>
      <c r="U79" s="12">
        <v>0</v>
      </c>
      <c r="V79" s="12">
        <v>0</v>
      </c>
      <c r="W79" s="35">
        <v>46144.261731053244</v>
      </c>
      <c r="X79" s="12">
        <v>5</v>
      </c>
      <c r="Y79" s="12">
        <v>7</v>
      </c>
      <c r="Z79" s="12">
        <v>584874.79</v>
      </c>
      <c r="AA79" s="12">
        <v>83553.540999999997</v>
      </c>
      <c r="AB79" s="12">
        <v>148737</v>
      </c>
      <c r="AC79" s="12">
        <v>436136.95</v>
      </c>
      <c r="AD79" s="12">
        <v>5</v>
      </c>
      <c r="AE79" s="12">
        <v>5</v>
      </c>
      <c r="AF79" s="12">
        <v>568067.22</v>
      </c>
      <c r="AG79" s="12">
        <v>113613.444</v>
      </c>
      <c r="AH79" s="12">
        <v>191911</v>
      </c>
      <c r="AI79" s="12">
        <v>376156.22</v>
      </c>
      <c r="AJ79" s="12">
        <v>1</v>
      </c>
      <c r="AK79" s="12">
        <v>2</v>
      </c>
      <c r="AL79" s="12">
        <v>252100.84</v>
      </c>
      <c r="AM79" s="12">
        <v>126050.42</v>
      </c>
      <c r="AN79" s="12">
        <v>83985</v>
      </c>
      <c r="AO79" s="12">
        <v>168115.84</v>
      </c>
      <c r="AP79" s="12">
        <v>113446.22</v>
      </c>
      <c r="AQ79" s="12">
        <v>3</v>
      </c>
      <c r="AR79" s="12">
        <v>37815.406000000003</v>
      </c>
      <c r="AS79" s="12">
        <v>28417</v>
      </c>
      <c r="AT79" s="12">
        <v>891596.63</v>
      </c>
      <c r="AU79" s="12">
        <v>8</v>
      </c>
      <c r="AV79" s="12">
        <v>111449.57799999999</v>
      </c>
      <c r="AW79" s="12">
        <v>297576</v>
      </c>
      <c r="AX79" s="12">
        <v>21848.74</v>
      </c>
      <c r="AY79" s="12">
        <v>1</v>
      </c>
      <c r="AZ79" s="12">
        <v>21848.74</v>
      </c>
      <c r="BA79" s="12">
        <v>4738</v>
      </c>
      <c r="BB79" s="12"/>
      <c r="BC79" s="12"/>
      <c r="BD79" s="12"/>
      <c r="BE79" s="12"/>
      <c r="BF79" s="12">
        <v>430</v>
      </c>
      <c r="BG79" s="12">
        <v>1</v>
      </c>
      <c r="BH79" s="12">
        <v>2.3255813953488372E-3</v>
      </c>
      <c r="BI79" s="12">
        <v>40</v>
      </c>
      <c r="BJ79" s="12">
        <v>0</v>
      </c>
      <c r="BK79" s="12">
        <v>0</v>
      </c>
      <c r="BL79" s="12">
        <v>30</v>
      </c>
      <c r="BM79" s="12">
        <v>1</v>
      </c>
      <c r="BN79" s="12">
        <v>3.3333333333333333E-2</v>
      </c>
      <c r="BO79" s="12">
        <v>27</v>
      </c>
      <c r="BP79" s="12">
        <v>0</v>
      </c>
      <c r="BQ79" s="12">
        <v>0</v>
      </c>
      <c r="BR79" s="12">
        <v>62</v>
      </c>
      <c r="BS79" s="12">
        <v>0</v>
      </c>
      <c r="BT79" s="12">
        <v>0</v>
      </c>
      <c r="BU79" s="12">
        <v>589</v>
      </c>
      <c r="BV79" s="12">
        <v>2</v>
      </c>
      <c r="BW79" s="12">
        <v>3.3955857385398981E-3</v>
      </c>
      <c r="BX79" s="12"/>
      <c r="BY79" s="12"/>
      <c r="BZ79" s="12"/>
      <c r="CA79" s="12">
        <v>98793.29</v>
      </c>
      <c r="CB79" s="13"/>
      <c r="CC79" s="13"/>
      <c r="CD79" s="13"/>
      <c r="CE79" s="12">
        <v>4934</v>
      </c>
      <c r="CF79" s="12">
        <v>449</v>
      </c>
      <c r="CG79" s="13">
        <v>40129</v>
      </c>
      <c r="CH79" s="13">
        <v>107</v>
      </c>
      <c r="CI79" s="13">
        <v>3867</v>
      </c>
    </row>
    <row r="80" spans="2:87" x14ac:dyDescent="0.2">
      <c r="B80" s="5">
        <v>45853</v>
      </c>
      <c r="C80" s="12">
        <v>19</v>
      </c>
      <c r="D80" s="12">
        <v>1.9</v>
      </c>
      <c r="E80" s="12">
        <v>130369.747</v>
      </c>
      <c r="F80" s="12">
        <v>0</v>
      </c>
      <c r="G80" s="12">
        <v>2561058.81</v>
      </c>
      <c r="H80" s="12">
        <v>-84033.600000000006</v>
      </c>
      <c r="I80" s="12">
        <v>0</v>
      </c>
      <c r="J80" s="12">
        <v>2477025.21</v>
      </c>
      <c r="K80" s="12">
        <v>122500</v>
      </c>
      <c r="L80" s="12">
        <v>0</v>
      </c>
      <c r="M80" s="12">
        <v>448974.79</v>
      </c>
      <c r="N80" s="12">
        <v>3048500</v>
      </c>
      <c r="O80" s="12">
        <v>0</v>
      </c>
      <c r="P80" s="12">
        <v>2477025.21</v>
      </c>
      <c r="Q80" s="12">
        <v>815858</v>
      </c>
      <c r="R80" s="12">
        <v>1661167.21</v>
      </c>
      <c r="S80" s="12">
        <v>0</v>
      </c>
      <c r="T80" s="12">
        <v>37</v>
      </c>
      <c r="U80" s="12">
        <v>0</v>
      </c>
      <c r="V80" s="12">
        <v>0</v>
      </c>
      <c r="W80" s="35">
        <v>46144.261731053244</v>
      </c>
      <c r="X80" s="12">
        <v>3</v>
      </c>
      <c r="Y80" s="12">
        <v>3</v>
      </c>
      <c r="Z80" s="12">
        <v>216680.67</v>
      </c>
      <c r="AA80" s="12">
        <v>72226.89</v>
      </c>
      <c r="AB80" s="12">
        <v>56757</v>
      </c>
      <c r="AC80" s="12">
        <v>159923.67000000001</v>
      </c>
      <c r="AD80" s="12">
        <v>14</v>
      </c>
      <c r="AE80" s="12">
        <v>14</v>
      </c>
      <c r="AF80" s="12">
        <v>2139495.7999999998</v>
      </c>
      <c r="AG80" s="12">
        <v>152821.128</v>
      </c>
      <c r="AH80" s="12">
        <v>690013</v>
      </c>
      <c r="AI80" s="12">
        <v>1449482.8</v>
      </c>
      <c r="AJ80" s="12">
        <v>1</v>
      </c>
      <c r="AK80" s="12">
        <v>2</v>
      </c>
      <c r="AL80" s="12">
        <v>120848.74</v>
      </c>
      <c r="AM80" s="12">
        <v>60424.37</v>
      </c>
      <c r="AN80" s="12">
        <v>69088</v>
      </c>
      <c r="AO80" s="12">
        <v>51760.74</v>
      </c>
      <c r="AP80" s="12">
        <v>432773.11</v>
      </c>
      <c r="AQ80" s="12">
        <v>3</v>
      </c>
      <c r="AR80" s="12">
        <v>144257.70300000001</v>
      </c>
      <c r="AS80" s="12">
        <v>126950</v>
      </c>
      <c r="AT80" s="12">
        <v>1691310.93</v>
      </c>
      <c r="AU80" s="12">
        <v>13</v>
      </c>
      <c r="AV80" s="12">
        <v>130100.84</v>
      </c>
      <c r="AW80" s="12">
        <v>598479</v>
      </c>
      <c r="AX80" s="12">
        <v>71428.570000000007</v>
      </c>
      <c r="AY80" s="12">
        <v>1</v>
      </c>
      <c r="AZ80" s="12">
        <v>71428.570000000007</v>
      </c>
      <c r="BA80" s="12">
        <v>21680</v>
      </c>
      <c r="BB80" s="12"/>
      <c r="BC80" s="12"/>
      <c r="BD80" s="12"/>
      <c r="BE80" s="12"/>
      <c r="BF80" s="12">
        <v>418</v>
      </c>
      <c r="BG80" s="12">
        <v>0</v>
      </c>
      <c r="BH80" s="12">
        <v>0</v>
      </c>
      <c r="BI80" s="12">
        <v>45</v>
      </c>
      <c r="BJ80" s="12">
        <v>0</v>
      </c>
      <c r="BK80" s="12">
        <v>0</v>
      </c>
      <c r="BL80" s="12">
        <v>27</v>
      </c>
      <c r="BM80" s="12">
        <v>0</v>
      </c>
      <c r="BN80" s="12">
        <v>0</v>
      </c>
      <c r="BO80" s="12">
        <v>74</v>
      </c>
      <c r="BP80" s="12">
        <v>0</v>
      </c>
      <c r="BQ80" s="12">
        <v>0</v>
      </c>
      <c r="BR80" s="12">
        <v>57</v>
      </c>
      <c r="BS80" s="12">
        <v>4</v>
      </c>
      <c r="BT80" s="12">
        <v>7.0175438596491224E-2</v>
      </c>
      <c r="BU80" s="12">
        <v>621</v>
      </c>
      <c r="BV80" s="12">
        <v>4</v>
      </c>
      <c r="BW80" s="12">
        <v>6.4412238325281803E-3</v>
      </c>
      <c r="BX80" s="12"/>
      <c r="BY80" s="12"/>
      <c r="BZ80" s="12"/>
      <c r="CA80" s="12">
        <v>97245.19</v>
      </c>
      <c r="CB80" s="13"/>
      <c r="CC80" s="13"/>
      <c r="CD80" s="13"/>
      <c r="CE80" s="12">
        <v>5795</v>
      </c>
      <c r="CF80" s="12">
        <v>488</v>
      </c>
      <c r="CG80" s="13">
        <v>41429</v>
      </c>
      <c r="CH80" s="13">
        <v>120</v>
      </c>
      <c r="CI80" s="13">
        <v>4065</v>
      </c>
    </row>
    <row r="81" spans="2:87" x14ac:dyDescent="0.2">
      <c r="B81" s="5">
        <v>45854</v>
      </c>
      <c r="C81" s="12">
        <v>16</v>
      </c>
      <c r="D81" s="12">
        <v>4.4000000000000004</v>
      </c>
      <c r="E81" s="12">
        <v>132090.33499999999</v>
      </c>
      <c r="F81" s="12">
        <v>0</v>
      </c>
      <c r="G81" s="12">
        <v>2113445.36</v>
      </c>
      <c r="H81" s="12">
        <v>0</v>
      </c>
      <c r="I81" s="12">
        <v>0</v>
      </c>
      <c r="J81" s="12">
        <v>2113445.36</v>
      </c>
      <c r="K81" s="12">
        <v>56000</v>
      </c>
      <c r="L81" s="12">
        <v>0</v>
      </c>
      <c r="M81" s="12">
        <v>401554.64</v>
      </c>
      <c r="N81" s="12">
        <v>2571000</v>
      </c>
      <c r="O81" s="12">
        <v>0</v>
      </c>
      <c r="P81" s="12">
        <v>2113445.36</v>
      </c>
      <c r="Q81" s="12">
        <v>702371</v>
      </c>
      <c r="R81" s="12">
        <v>1411074.36</v>
      </c>
      <c r="S81" s="12">
        <v>0</v>
      </c>
      <c r="T81" s="12">
        <v>71</v>
      </c>
      <c r="U81" s="12">
        <v>0</v>
      </c>
      <c r="V81" s="12">
        <v>0</v>
      </c>
      <c r="W81" s="35">
        <v>46144.261731053244</v>
      </c>
      <c r="X81" s="12">
        <v>4</v>
      </c>
      <c r="Y81" s="12">
        <v>4</v>
      </c>
      <c r="Z81" s="12">
        <v>381512.6</v>
      </c>
      <c r="AA81" s="12">
        <v>95378.15</v>
      </c>
      <c r="AB81" s="12">
        <v>121420</v>
      </c>
      <c r="AC81" s="12">
        <v>260092.6</v>
      </c>
      <c r="AD81" s="12">
        <v>11</v>
      </c>
      <c r="AE81" s="12">
        <v>11</v>
      </c>
      <c r="AF81" s="12">
        <v>1656302.51</v>
      </c>
      <c r="AG81" s="12">
        <v>150572.95499999999</v>
      </c>
      <c r="AH81" s="12">
        <v>559491</v>
      </c>
      <c r="AI81" s="12">
        <v>1096811.51</v>
      </c>
      <c r="AJ81" s="12">
        <v>1</v>
      </c>
      <c r="AK81" s="12">
        <v>1</v>
      </c>
      <c r="AL81" s="12">
        <v>75630.25</v>
      </c>
      <c r="AM81" s="12">
        <v>75630.25</v>
      </c>
      <c r="AN81" s="12">
        <v>21460</v>
      </c>
      <c r="AO81" s="12">
        <v>54170.25</v>
      </c>
      <c r="AP81" s="12">
        <v>1138655.46</v>
      </c>
      <c r="AQ81" s="12">
        <v>7</v>
      </c>
      <c r="AR81" s="12">
        <v>162665.065</v>
      </c>
      <c r="AS81" s="12">
        <v>440871</v>
      </c>
      <c r="AT81" s="12">
        <v>953781.5</v>
      </c>
      <c r="AU81" s="12">
        <v>8</v>
      </c>
      <c r="AV81" s="12">
        <v>119222.68700000001</v>
      </c>
      <c r="AW81" s="12">
        <v>257900</v>
      </c>
      <c r="AX81" s="12"/>
      <c r="AY81" s="12"/>
      <c r="AZ81" s="12"/>
      <c r="BA81" s="12"/>
      <c r="BB81" s="12"/>
      <c r="BC81" s="12"/>
      <c r="BD81" s="12"/>
      <c r="BE81" s="12"/>
      <c r="BF81" s="12">
        <v>474</v>
      </c>
      <c r="BG81" s="12">
        <v>0</v>
      </c>
      <c r="BH81" s="12">
        <v>0</v>
      </c>
      <c r="BI81" s="12">
        <v>106</v>
      </c>
      <c r="BJ81" s="12">
        <v>0</v>
      </c>
      <c r="BK81" s="12">
        <v>0</v>
      </c>
      <c r="BL81" s="12">
        <v>40</v>
      </c>
      <c r="BM81" s="12">
        <v>1</v>
      </c>
      <c r="BN81" s="12">
        <v>2.5000000000000001E-2</v>
      </c>
      <c r="BO81" s="12">
        <v>88</v>
      </c>
      <c r="BP81" s="12">
        <v>0</v>
      </c>
      <c r="BQ81" s="12">
        <v>0</v>
      </c>
      <c r="BR81" s="12">
        <v>183</v>
      </c>
      <c r="BS81" s="12">
        <v>4</v>
      </c>
      <c r="BT81" s="12">
        <v>2.185792349726776E-2</v>
      </c>
      <c r="BU81" s="12">
        <v>891</v>
      </c>
      <c r="BV81" s="12">
        <v>5</v>
      </c>
      <c r="BW81" s="12">
        <v>5.6116722783389446E-3</v>
      </c>
      <c r="BX81" s="12"/>
      <c r="BY81" s="12"/>
      <c r="BZ81" s="12"/>
      <c r="CA81" s="12">
        <v>98983.23</v>
      </c>
      <c r="CB81" s="13"/>
      <c r="CC81" s="13"/>
      <c r="CD81" s="13"/>
      <c r="CE81" s="12">
        <v>7139</v>
      </c>
      <c r="CF81" s="12">
        <v>573</v>
      </c>
      <c r="CG81" s="13">
        <v>56013</v>
      </c>
      <c r="CH81" s="13">
        <v>168</v>
      </c>
      <c r="CI81" s="13">
        <v>5473</v>
      </c>
    </row>
    <row r="82" spans="2:87" x14ac:dyDescent="0.2">
      <c r="B82" s="5">
        <v>45855</v>
      </c>
      <c r="C82" s="12">
        <v>29</v>
      </c>
      <c r="D82" s="12">
        <v>2</v>
      </c>
      <c r="E82" s="12">
        <v>108852.53599999999</v>
      </c>
      <c r="F82" s="12">
        <v>-8</v>
      </c>
      <c r="G82" s="12">
        <v>3733194.13</v>
      </c>
      <c r="H82" s="12">
        <v>-26470.58</v>
      </c>
      <c r="I82" s="12">
        <v>-470588.24</v>
      </c>
      <c r="J82" s="12">
        <v>3236135.31</v>
      </c>
      <c r="K82" s="12">
        <v>97500</v>
      </c>
      <c r="L82" s="12">
        <v>0</v>
      </c>
      <c r="M82" s="12">
        <v>614865.68999999994</v>
      </c>
      <c r="N82" s="12">
        <v>3948501</v>
      </c>
      <c r="O82" s="12">
        <v>0.84</v>
      </c>
      <c r="P82" s="12">
        <v>3236134.47</v>
      </c>
      <c r="Q82" s="12">
        <v>961608</v>
      </c>
      <c r="R82" s="12">
        <v>2274526.4700000002</v>
      </c>
      <c r="S82" s="12">
        <v>0</v>
      </c>
      <c r="T82" s="12">
        <v>60</v>
      </c>
      <c r="U82" s="12">
        <v>0</v>
      </c>
      <c r="V82" s="12">
        <v>0</v>
      </c>
      <c r="W82" s="35">
        <v>46144.261731053244</v>
      </c>
      <c r="X82" s="12">
        <v>14</v>
      </c>
      <c r="Y82" s="12">
        <v>15</v>
      </c>
      <c r="Z82" s="12">
        <v>1575000.86</v>
      </c>
      <c r="AA82" s="12">
        <v>99285.770999999993</v>
      </c>
      <c r="AB82" s="12">
        <v>447274</v>
      </c>
      <c r="AC82" s="12">
        <v>1127726.02</v>
      </c>
      <c r="AD82" s="12">
        <v>13</v>
      </c>
      <c r="AE82" s="12">
        <v>13</v>
      </c>
      <c r="AF82" s="12">
        <v>1577100.84</v>
      </c>
      <c r="AG82" s="12">
        <v>121800.25900000001</v>
      </c>
      <c r="AH82" s="12">
        <v>485192</v>
      </c>
      <c r="AI82" s="12">
        <v>1091908.8400000001</v>
      </c>
      <c r="AJ82" s="12">
        <v>1</v>
      </c>
      <c r="AK82" s="12">
        <v>1</v>
      </c>
      <c r="AL82" s="12">
        <v>84033.61</v>
      </c>
      <c r="AM82" s="12">
        <v>84033.61</v>
      </c>
      <c r="AN82" s="12">
        <v>29142</v>
      </c>
      <c r="AO82" s="12">
        <v>54891.61</v>
      </c>
      <c r="AP82" s="12">
        <v>913656.3</v>
      </c>
      <c r="AQ82" s="12">
        <v>11</v>
      </c>
      <c r="AR82" s="12">
        <v>83632.62</v>
      </c>
      <c r="AS82" s="12">
        <v>314668</v>
      </c>
      <c r="AT82" s="12">
        <v>2230042.0299999998</v>
      </c>
      <c r="AU82" s="12">
        <v>16</v>
      </c>
      <c r="AV82" s="12">
        <v>134020.48300000001</v>
      </c>
      <c r="AW82" s="12">
        <v>627230</v>
      </c>
      <c r="AX82" s="12">
        <v>92436.98</v>
      </c>
      <c r="AY82" s="12">
        <v>2</v>
      </c>
      <c r="AZ82" s="12">
        <v>46218.49</v>
      </c>
      <c r="BA82" s="12">
        <v>19710</v>
      </c>
      <c r="BB82" s="12"/>
      <c r="BC82" s="12"/>
      <c r="BD82" s="12"/>
      <c r="BE82" s="12"/>
      <c r="BF82" s="12">
        <v>387</v>
      </c>
      <c r="BG82" s="12">
        <v>3</v>
      </c>
      <c r="BH82" s="12">
        <v>7.7519379844961239E-3</v>
      </c>
      <c r="BI82" s="12">
        <v>72</v>
      </c>
      <c r="BJ82" s="12">
        <v>2</v>
      </c>
      <c r="BK82" s="12">
        <v>2.7777777777777776E-2</v>
      </c>
      <c r="BL82" s="12">
        <v>31</v>
      </c>
      <c r="BM82" s="12">
        <v>2</v>
      </c>
      <c r="BN82" s="12">
        <v>6.4516129032258063E-2</v>
      </c>
      <c r="BO82" s="12">
        <v>82</v>
      </c>
      <c r="BP82" s="12">
        <v>0</v>
      </c>
      <c r="BQ82" s="12">
        <v>0</v>
      </c>
      <c r="BR82" s="12">
        <v>85</v>
      </c>
      <c r="BS82" s="12">
        <v>4</v>
      </c>
      <c r="BT82" s="12">
        <v>4.7058823529411764E-2</v>
      </c>
      <c r="BU82" s="12">
        <v>657</v>
      </c>
      <c r="BV82" s="12">
        <v>11</v>
      </c>
      <c r="BW82" s="12">
        <v>1.6742770167427701E-2</v>
      </c>
      <c r="BX82" s="12"/>
      <c r="BY82" s="12"/>
      <c r="BZ82" s="12"/>
      <c r="CA82" s="12">
        <v>89316.39</v>
      </c>
      <c r="CB82" s="13"/>
      <c r="CC82" s="13"/>
      <c r="CD82" s="13"/>
      <c r="CE82" s="12">
        <v>6590</v>
      </c>
      <c r="CF82" s="12">
        <v>481</v>
      </c>
      <c r="CG82" s="13">
        <v>51858</v>
      </c>
      <c r="CH82" s="13">
        <v>149</v>
      </c>
      <c r="CI82" s="13">
        <v>4506</v>
      </c>
    </row>
    <row r="83" spans="2:87" x14ac:dyDescent="0.2">
      <c r="B83" s="5">
        <v>45856</v>
      </c>
      <c r="C83" s="12">
        <v>18</v>
      </c>
      <c r="D83" s="12">
        <v>2.4</v>
      </c>
      <c r="E83" s="12">
        <v>152544.35200000001</v>
      </c>
      <c r="F83" s="12">
        <v>-4</v>
      </c>
      <c r="G83" s="12">
        <v>2938655.48</v>
      </c>
      <c r="H83" s="12">
        <v>0</v>
      </c>
      <c r="I83" s="12">
        <v>-240226.89</v>
      </c>
      <c r="J83" s="12">
        <v>2698428.59</v>
      </c>
      <c r="K83" s="12">
        <v>39000</v>
      </c>
      <c r="L83" s="12">
        <v>0</v>
      </c>
      <c r="M83" s="12">
        <v>488571.41</v>
      </c>
      <c r="N83" s="12">
        <v>3226000</v>
      </c>
      <c r="O83" s="12">
        <v>-1</v>
      </c>
      <c r="P83" s="12">
        <v>2698428.59</v>
      </c>
      <c r="Q83" s="12">
        <v>879237</v>
      </c>
      <c r="R83" s="12">
        <v>1819191.59</v>
      </c>
      <c r="S83" s="12">
        <v>0</v>
      </c>
      <c r="T83" s="12">
        <v>42</v>
      </c>
      <c r="U83" s="12">
        <v>0</v>
      </c>
      <c r="V83" s="12">
        <v>0</v>
      </c>
      <c r="W83" s="35">
        <v>46144.261731053244</v>
      </c>
      <c r="X83" s="12">
        <v>7</v>
      </c>
      <c r="Y83" s="12">
        <v>7</v>
      </c>
      <c r="Z83" s="12">
        <v>1098848.75</v>
      </c>
      <c r="AA83" s="12">
        <v>156978.39199999999</v>
      </c>
      <c r="AB83" s="12">
        <v>356049</v>
      </c>
      <c r="AC83" s="12">
        <v>742799.75</v>
      </c>
      <c r="AD83" s="12">
        <v>9</v>
      </c>
      <c r="AE83" s="12">
        <v>9</v>
      </c>
      <c r="AF83" s="12">
        <v>1431092.44</v>
      </c>
      <c r="AG83" s="12">
        <v>164273.576</v>
      </c>
      <c r="AH83" s="12">
        <v>479149</v>
      </c>
      <c r="AI83" s="12">
        <v>951943.44</v>
      </c>
      <c r="AJ83" s="12">
        <v>1</v>
      </c>
      <c r="AK83" s="12">
        <v>2</v>
      </c>
      <c r="AL83" s="12">
        <v>168487.4</v>
      </c>
      <c r="AM83" s="12">
        <v>84243.7</v>
      </c>
      <c r="AN83" s="12">
        <v>44039</v>
      </c>
      <c r="AO83" s="12">
        <v>124448.4</v>
      </c>
      <c r="AP83" s="12">
        <v>297478.99</v>
      </c>
      <c r="AQ83" s="12">
        <v>2</v>
      </c>
      <c r="AR83" s="12">
        <v>111239.495</v>
      </c>
      <c r="AS83" s="12">
        <v>59576</v>
      </c>
      <c r="AT83" s="12">
        <v>2177840.35</v>
      </c>
      <c r="AU83" s="12">
        <v>13</v>
      </c>
      <c r="AV83" s="12">
        <v>176939.23800000001</v>
      </c>
      <c r="AW83" s="12">
        <v>762750</v>
      </c>
      <c r="AX83" s="12"/>
      <c r="AY83" s="12"/>
      <c r="AZ83" s="12"/>
      <c r="BA83" s="12"/>
      <c r="BB83" s="12"/>
      <c r="BC83" s="12"/>
      <c r="BD83" s="12"/>
      <c r="BE83" s="12"/>
      <c r="BF83" s="12">
        <v>451</v>
      </c>
      <c r="BG83" s="12">
        <v>0</v>
      </c>
      <c r="BH83" s="12">
        <v>0</v>
      </c>
      <c r="BI83" s="12">
        <v>75</v>
      </c>
      <c r="BJ83" s="12">
        <v>0</v>
      </c>
      <c r="BK83" s="12">
        <v>0</v>
      </c>
      <c r="BL83" s="12">
        <v>32</v>
      </c>
      <c r="BM83" s="12">
        <v>0</v>
      </c>
      <c r="BN83" s="12">
        <v>0</v>
      </c>
      <c r="BO83" s="12">
        <v>67</v>
      </c>
      <c r="BP83" s="12">
        <v>0</v>
      </c>
      <c r="BQ83" s="12">
        <v>0</v>
      </c>
      <c r="BR83" s="12">
        <v>104</v>
      </c>
      <c r="BS83" s="12">
        <v>2</v>
      </c>
      <c r="BT83" s="12">
        <v>1.9230769230769232E-2</v>
      </c>
      <c r="BU83" s="12">
        <v>729</v>
      </c>
      <c r="BV83" s="12">
        <v>2</v>
      </c>
      <c r="BW83" s="12">
        <v>2.7434842249657062E-3</v>
      </c>
      <c r="BX83" s="12"/>
      <c r="BY83" s="12"/>
      <c r="BZ83" s="12"/>
      <c r="CA83" s="12">
        <v>101155.74</v>
      </c>
      <c r="CB83" s="13"/>
      <c r="CC83" s="13"/>
      <c r="CD83" s="13"/>
      <c r="CE83" s="12">
        <v>6841</v>
      </c>
      <c r="CF83" s="12">
        <v>520</v>
      </c>
      <c r="CG83" s="13">
        <v>58838</v>
      </c>
      <c r="CH83" s="13">
        <v>158</v>
      </c>
      <c r="CI83" s="13">
        <v>5456</v>
      </c>
    </row>
    <row r="84" spans="2:87" x14ac:dyDescent="0.2">
      <c r="B84" s="5">
        <v>45857</v>
      </c>
      <c r="C84" s="12">
        <v>15</v>
      </c>
      <c r="D84" s="12">
        <v>2</v>
      </c>
      <c r="E84" s="12">
        <v>128099.16099999999</v>
      </c>
      <c r="F84" s="12">
        <v>0</v>
      </c>
      <c r="G84" s="12">
        <v>1921487.42</v>
      </c>
      <c r="H84" s="12">
        <v>0</v>
      </c>
      <c r="I84" s="12">
        <v>0</v>
      </c>
      <c r="J84" s="12">
        <v>1921487.42</v>
      </c>
      <c r="K84" s="12">
        <v>52500</v>
      </c>
      <c r="L84" s="12">
        <v>0</v>
      </c>
      <c r="M84" s="12">
        <v>326512.58</v>
      </c>
      <c r="N84" s="12">
        <v>2300500</v>
      </c>
      <c r="O84" s="12">
        <v>0</v>
      </c>
      <c r="P84" s="12">
        <v>1921487.42</v>
      </c>
      <c r="Q84" s="12">
        <v>699642</v>
      </c>
      <c r="R84" s="12">
        <v>1221845.42</v>
      </c>
      <c r="S84" s="12">
        <v>0</v>
      </c>
      <c r="T84" s="12">
        <v>30</v>
      </c>
      <c r="U84" s="12">
        <v>0</v>
      </c>
      <c r="V84" s="12">
        <v>0</v>
      </c>
      <c r="W84" s="35">
        <v>46144.261731053244</v>
      </c>
      <c r="X84" s="12">
        <v>2</v>
      </c>
      <c r="Y84" s="12">
        <v>2</v>
      </c>
      <c r="Z84" s="12">
        <v>365546.22</v>
      </c>
      <c r="AA84" s="12">
        <v>182773.11</v>
      </c>
      <c r="AB84" s="12">
        <v>127525</v>
      </c>
      <c r="AC84" s="12">
        <v>238021.22</v>
      </c>
      <c r="AD84" s="12">
        <v>13</v>
      </c>
      <c r="AE84" s="12">
        <v>13</v>
      </c>
      <c r="AF84" s="12">
        <v>1555941.2</v>
      </c>
      <c r="AG84" s="12">
        <v>119687.784</v>
      </c>
      <c r="AH84" s="12">
        <v>572117</v>
      </c>
      <c r="AI84" s="12">
        <v>983824.2</v>
      </c>
      <c r="AJ84" s="12"/>
      <c r="AK84" s="12"/>
      <c r="AL84" s="12"/>
      <c r="AM84" s="12"/>
      <c r="AN84" s="12"/>
      <c r="AO84" s="12"/>
      <c r="AP84" s="12">
        <v>551890.76</v>
      </c>
      <c r="AQ84" s="12">
        <v>4</v>
      </c>
      <c r="AR84" s="12">
        <v>137972.69</v>
      </c>
      <c r="AS84" s="12">
        <v>178789</v>
      </c>
      <c r="AT84" s="12">
        <v>1369596.66</v>
      </c>
      <c r="AU84" s="12">
        <v>11</v>
      </c>
      <c r="AV84" s="12">
        <v>124508.787</v>
      </c>
      <c r="AW84" s="12">
        <v>520853</v>
      </c>
      <c r="AX84" s="12"/>
      <c r="AY84" s="12"/>
      <c r="AZ84" s="12"/>
      <c r="BA84" s="12"/>
      <c r="BB84" s="12"/>
      <c r="BC84" s="12"/>
      <c r="BD84" s="12"/>
      <c r="BE84" s="12"/>
      <c r="BF84" s="12">
        <v>376</v>
      </c>
      <c r="BG84" s="12">
        <v>0</v>
      </c>
      <c r="BH84" s="12">
        <v>0</v>
      </c>
      <c r="BI84" s="12">
        <v>84</v>
      </c>
      <c r="BJ84" s="12">
        <v>2</v>
      </c>
      <c r="BK84" s="12">
        <v>2.3809523809523808E-2</v>
      </c>
      <c r="BL84" s="12">
        <v>24</v>
      </c>
      <c r="BM84" s="12">
        <v>1</v>
      </c>
      <c r="BN84" s="12">
        <v>4.1666666666666664E-2</v>
      </c>
      <c r="BO84" s="12">
        <v>69</v>
      </c>
      <c r="BP84" s="12">
        <v>0</v>
      </c>
      <c r="BQ84" s="12">
        <v>0</v>
      </c>
      <c r="BR84" s="12">
        <v>75</v>
      </c>
      <c r="BS84" s="12">
        <v>1</v>
      </c>
      <c r="BT84" s="12">
        <v>1.3333333333333334E-2</v>
      </c>
      <c r="BU84" s="12">
        <v>628</v>
      </c>
      <c r="BV84" s="12">
        <v>4</v>
      </c>
      <c r="BW84" s="12">
        <v>6.369426751592357E-3</v>
      </c>
      <c r="BX84" s="12"/>
      <c r="BY84" s="12"/>
      <c r="BZ84" s="12"/>
      <c r="CA84" s="12">
        <v>94365.09</v>
      </c>
      <c r="CB84" s="13"/>
      <c r="CC84" s="13"/>
      <c r="CD84" s="13"/>
      <c r="CE84" s="12">
        <v>5744</v>
      </c>
      <c r="CF84" s="12">
        <v>437</v>
      </c>
      <c r="CG84" s="13">
        <v>57981</v>
      </c>
      <c r="CH84" s="13">
        <v>165</v>
      </c>
      <c r="CI84" s="13">
        <v>5527</v>
      </c>
    </row>
    <row r="85" spans="2:87" x14ac:dyDescent="0.2">
      <c r="B85" s="5">
        <v>45858</v>
      </c>
      <c r="C85" s="12">
        <v>23</v>
      </c>
      <c r="D85" s="12">
        <v>1.7</v>
      </c>
      <c r="E85" s="12">
        <v>126970.04</v>
      </c>
      <c r="F85" s="12">
        <v>-1</v>
      </c>
      <c r="G85" s="12">
        <v>2920310.94</v>
      </c>
      <c r="H85" s="12">
        <v>0</v>
      </c>
      <c r="I85" s="12">
        <v>-74000</v>
      </c>
      <c r="J85" s="12">
        <v>2846310.94</v>
      </c>
      <c r="K85" s="12">
        <v>65000</v>
      </c>
      <c r="L85" s="12">
        <v>0</v>
      </c>
      <c r="M85" s="12">
        <v>508689.06</v>
      </c>
      <c r="N85" s="12">
        <v>3420000</v>
      </c>
      <c r="O85" s="12">
        <v>0</v>
      </c>
      <c r="P85" s="12">
        <v>2846310.94</v>
      </c>
      <c r="Q85" s="12">
        <v>951038</v>
      </c>
      <c r="R85" s="12">
        <v>1895272.94</v>
      </c>
      <c r="S85" s="12">
        <v>0</v>
      </c>
      <c r="T85" s="12">
        <v>39</v>
      </c>
      <c r="U85" s="12">
        <v>0</v>
      </c>
      <c r="V85" s="12">
        <v>0</v>
      </c>
      <c r="W85" s="35">
        <v>46144.261731053244</v>
      </c>
      <c r="X85" s="12">
        <v>7</v>
      </c>
      <c r="Y85" s="12">
        <v>7</v>
      </c>
      <c r="Z85" s="12">
        <v>828201.69</v>
      </c>
      <c r="AA85" s="12">
        <v>118314.527</v>
      </c>
      <c r="AB85" s="12">
        <v>293849</v>
      </c>
      <c r="AC85" s="12">
        <v>534352.68999999994</v>
      </c>
      <c r="AD85" s="12">
        <v>16</v>
      </c>
      <c r="AE85" s="12">
        <v>16</v>
      </c>
      <c r="AF85" s="12">
        <v>2018109.25</v>
      </c>
      <c r="AG85" s="12">
        <v>130756.82799999999</v>
      </c>
      <c r="AH85" s="12">
        <v>657189</v>
      </c>
      <c r="AI85" s="12">
        <v>1360920.25</v>
      </c>
      <c r="AJ85" s="12"/>
      <c r="AK85" s="12"/>
      <c r="AL85" s="12"/>
      <c r="AM85" s="12"/>
      <c r="AN85" s="12"/>
      <c r="AO85" s="12"/>
      <c r="AP85" s="12">
        <v>610504.21</v>
      </c>
      <c r="AQ85" s="12">
        <v>6</v>
      </c>
      <c r="AR85" s="12">
        <v>101750.701</v>
      </c>
      <c r="AS85" s="12">
        <v>190611</v>
      </c>
      <c r="AT85" s="12">
        <v>2235806.73</v>
      </c>
      <c r="AU85" s="12">
        <v>17</v>
      </c>
      <c r="AV85" s="12">
        <v>135870.984</v>
      </c>
      <c r="AW85" s="12">
        <v>760427</v>
      </c>
      <c r="AX85" s="12"/>
      <c r="AY85" s="12"/>
      <c r="AZ85" s="12"/>
      <c r="BA85" s="12"/>
      <c r="BB85" s="12"/>
      <c r="BC85" s="12"/>
      <c r="BD85" s="12"/>
      <c r="BE85" s="12"/>
      <c r="BF85" s="12">
        <v>370</v>
      </c>
      <c r="BG85" s="12">
        <v>0</v>
      </c>
      <c r="BH85" s="12">
        <v>0</v>
      </c>
      <c r="BI85" s="12">
        <v>99</v>
      </c>
      <c r="BJ85" s="12">
        <v>1</v>
      </c>
      <c r="BK85" s="12">
        <v>1.0101010101010102E-2</v>
      </c>
      <c r="BL85" s="12">
        <v>25</v>
      </c>
      <c r="BM85" s="12">
        <v>2</v>
      </c>
      <c r="BN85" s="12">
        <v>0.08</v>
      </c>
      <c r="BO85" s="12">
        <v>109</v>
      </c>
      <c r="BP85" s="12">
        <v>0</v>
      </c>
      <c r="BQ85" s="12">
        <v>0</v>
      </c>
      <c r="BR85" s="12">
        <v>88</v>
      </c>
      <c r="BS85" s="12">
        <v>4</v>
      </c>
      <c r="BT85" s="12">
        <v>4.5454545454545456E-2</v>
      </c>
      <c r="BU85" s="12">
        <v>691</v>
      </c>
      <c r="BV85" s="12">
        <v>7</v>
      </c>
      <c r="BW85" s="12">
        <v>1.0130246020260492E-2</v>
      </c>
      <c r="BX85" s="12"/>
      <c r="BY85" s="12"/>
      <c r="BZ85" s="12"/>
      <c r="CA85" s="12">
        <v>96159.89</v>
      </c>
      <c r="CB85" s="13"/>
      <c r="CC85" s="13"/>
      <c r="CD85" s="13"/>
      <c r="CE85" s="12">
        <v>6798</v>
      </c>
      <c r="CF85" s="12">
        <v>463</v>
      </c>
      <c r="CG85" s="13">
        <v>63481</v>
      </c>
      <c r="CH85" s="13">
        <v>240</v>
      </c>
      <c r="CI85" s="13">
        <v>6626</v>
      </c>
    </row>
    <row r="86" spans="2:87" x14ac:dyDescent="0.2">
      <c r="B86" s="5">
        <v>45859</v>
      </c>
      <c r="C86" s="12">
        <v>24</v>
      </c>
      <c r="D86" s="12">
        <v>1.8</v>
      </c>
      <c r="E86" s="12">
        <v>138156.54699999999</v>
      </c>
      <c r="F86" s="12">
        <v>0</v>
      </c>
      <c r="G86" s="12">
        <v>3373740.34</v>
      </c>
      <c r="H86" s="12">
        <v>-25210.080000000002</v>
      </c>
      <c r="I86" s="12">
        <v>0</v>
      </c>
      <c r="J86" s="12">
        <v>3348530.26</v>
      </c>
      <c r="K86" s="12">
        <v>181000</v>
      </c>
      <c r="L86" s="12">
        <v>0</v>
      </c>
      <c r="M86" s="12">
        <v>636220.74</v>
      </c>
      <c r="N86" s="12">
        <v>4165751</v>
      </c>
      <c r="O86" s="12">
        <v>0</v>
      </c>
      <c r="P86" s="12">
        <v>3348530.26</v>
      </c>
      <c r="Q86" s="12">
        <v>955130</v>
      </c>
      <c r="R86" s="12">
        <v>2393400.2599999998</v>
      </c>
      <c r="S86" s="12">
        <v>0</v>
      </c>
      <c r="T86" s="12">
        <v>44</v>
      </c>
      <c r="U86" s="12">
        <v>0</v>
      </c>
      <c r="V86" s="12">
        <v>0</v>
      </c>
      <c r="W86" s="35">
        <v>46144.261731053244</v>
      </c>
      <c r="X86" s="12">
        <v>12</v>
      </c>
      <c r="Y86" s="12">
        <v>13</v>
      </c>
      <c r="Z86" s="12">
        <v>1672479.84</v>
      </c>
      <c r="AA86" s="12">
        <v>128652.295</v>
      </c>
      <c r="AB86" s="12">
        <v>478053</v>
      </c>
      <c r="AC86" s="12">
        <v>1194426.8400000001</v>
      </c>
      <c r="AD86" s="12">
        <v>10</v>
      </c>
      <c r="AE86" s="12">
        <v>10</v>
      </c>
      <c r="AF86" s="12">
        <v>1575210.08</v>
      </c>
      <c r="AG86" s="12">
        <v>154243.69699999999</v>
      </c>
      <c r="AH86" s="12">
        <v>467597</v>
      </c>
      <c r="AI86" s="12">
        <v>1107613.08</v>
      </c>
      <c r="AJ86" s="12">
        <v>1</v>
      </c>
      <c r="AK86" s="12">
        <v>1</v>
      </c>
      <c r="AL86" s="12">
        <v>100840.34</v>
      </c>
      <c r="AM86" s="12">
        <v>100840.34</v>
      </c>
      <c r="AN86" s="12">
        <v>9480</v>
      </c>
      <c r="AO86" s="12">
        <v>91360.34</v>
      </c>
      <c r="AP86" s="12">
        <v>2237815.96</v>
      </c>
      <c r="AQ86" s="12">
        <v>14</v>
      </c>
      <c r="AR86" s="12">
        <v>157503.06</v>
      </c>
      <c r="AS86" s="12">
        <v>645758</v>
      </c>
      <c r="AT86" s="12">
        <v>794117.66</v>
      </c>
      <c r="AU86" s="12">
        <v>6</v>
      </c>
      <c r="AV86" s="12">
        <v>132352.943</v>
      </c>
      <c r="AW86" s="12">
        <v>189267</v>
      </c>
      <c r="AX86" s="12">
        <v>46218.49</v>
      </c>
      <c r="AY86" s="12">
        <v>1</v>
      </c>
      <c r="AZ86" s="12">
        <v>46218.49</v>
      </c>
      <c r="BA86" s="12">
        <v>9855</v>
      </c>
      <c r="BB86" s="12"/>
      <c r="BC86" s="12"/>
      <c r="BD86" s="12"/>
      <c r="BE86" s="12"/>
      <c r="BF86" s="12">
        <v>342</v>
      </c>
      <c r="BG86" s="12">
        <v>1</v>
      </c>
      <c r="BH86" s="12">
        <v>2.9239766081871343E-3</v>
      </c>
      <c r="BI86" s="12">
        <v>110</v>
      </c>
      <c r="BJ86" s="12">
        <v>2</v>
      </c>
      <c r="BK86" s="12">
        <v>1.8181818181818181E-2</v>
      </c>
      <c r="BL86" s="12">
        <v>35</v>
      </c>
      <c r="BM86" s="12">
        <v>3</v>
      </c>
      <c r="BN86" s="12">
        <v>8.5714285714285715E-2</v>
      </c>
      <c r="BO86" s="12">
        <v>128</v>
      </c>
      <c r="BP86" s="12">
        <v>0</v>
      </c>
      <c r="BQ86" s="12">
        <v>0</v>
      </c>
      <c r="BR86" s="12">
        <v>109</v>
      </c>
      <c r="BS86" s="12">
        <v>6</v>
      </c>
      <c r="BT86" s="12">
        <v>5.5045871559633031E-2</v>
      </c>
      <c r="BU86" s="12">
        <v>724</v>
      </c>
      <c r="BV86" s="12">
        <v>12</v>
      </c>
      <c r="BW86" s="12">
        <v>1.6574585635359115E-2</v>
      </c>
      <c r="BX86" s="12"/>
      <c r="BY86" s="12"/>
      <c r="BZ86" s="12"/>
      <c r="CA86" s="12">
        <v>95099.56</v>
      </c>
      <c r="CB86" s="13"/>
      <c r="CC86" s="13"/>
      <c r="CD86" s="13"/>
      <c r="CE86" s="12">
        <v>7354</v>
      </c>
      <c r="CF86" s="12">
        <v>466</v>
      </c>
      <c r="CG86" s="13">
        <v>53730</v>
      </c>
      <c r="CH86" s="13">
        <v>204</v>
      </c>
      <c r="CI86" s="13">
        <v>5952</v>
      </c>
    </row>
    <row r="87" spans="2:87" x14ac:dyDescent="0.2">
      <c r="B87" s="5">
        <v>45860</v>
      </c>
      <c r="C87" s="12">
        <v>20</v>
      </c>
      <c r="D87" s="12">
        <v>2</v>
      </c>
      <c r="E87" s="12">
        <v>132668.234</v>
      </c>
      <c r="F87" s="12">
        <v>0</v>
      </c>
      <c r="G87" s="12">
        <v>2653364.69</v>
      </c>
      <c r="H87" s="12">
        <v>0</v>
      </c>
      <c r="I87" s="12">
        <v>0</v>
      </c>
      <c r="J87" s="12">
        <v>2653364.69</v>
      </c>
      <c r="K87" s="12">
        <v>132000</v>
      </c>
      <c r="L87" s="12">
        <v>0</v>
      </c>
      <c r="M87" s="12">
        <v>504139.31</v>
      </c>
      <c r="N87" s="12">
        <v>3289504</v>
      </c>
      <c r="O87" s="12">
        <v>192860.5</v>
      </c>
      <c r="P87" s="12">
        <v>2460504.19</v>
      </c>
      <c r="Q87" s="12">
        <v>756890</v>
      </c>
      <c r="R87" s="12">
        <v>1703614.19</v>
      </c>
      <c r="S87" s="12">
        <v>0</v>
      </c>
      <c r="T87" s="12">
        <v>41</v>
      </c>
      <c r="U87" s="12">
        <v>0</v>
      </c>
      <c r="V87" s="12">
        <v>0</v>
      </c>
      <c r="W87" s="35">
        <v>46144.261731053244</v>
      </c>
      <c r="X87" s="12">
        <v>10</v>
      </c>
      <c r="Y87" s="12">
        <v>10</v>
      </c>
      <c r="Z87" s="12">
        <v>930045.37</v>
      </c>
      <c r="AA87" s="12">
        <v>93004.536999999997</v>
      </c>
      <c r="AB87" s="12">
        <v>193649</v>
      </c>
      <c r="AC87" s="12">
        <v>543535.87</v>
      </c>
      <c r="AD87" s="12">
        <v>10</v>
      </c>
      <c r="AE87" s="12">
        <v>10</v>
      </c>
      <c r="AF87" s="12">
        <v>1723319.32</v>
      </c>
      <c r="AG87" s="12">
        <v>172331.932</v>
      </c>
      <c r="AH87" s="12">
        <v>563241</v>
      </c>
      <c r="AI87" s="12">
        <v>1160078.32</v>
      </c>
      <c r="AJ87" s="12"/>
      <c r="AK87" s="12"/>
      <c r="AL87" s="12"/>
      <c r="AM87" s="12"/>
      <c r="AN87" s="12"/>
      <c r="AO87" s="12"/>
      <c r="AP87" s="12">
        <v>1811768.06</v>
      </c>
      <c r="AQ87" s="12">
        <v>15</v>
      </c>
      <c r="AR87" s="12">
        <v>120784.537</v>
      </c>
      <c r="AS87" s="12">
        <v>535521</v>
      </c>
      <c r="AT87" s="12">
        <v>227731.09</v>
      </c>
      <c r="AU87" s="12">
        <v>3</v>
      </c>
      <c r="AV87" s="12">
        <v>75910.362999999998</v>
      </c>
      <c r="AW87" s="12">
        <v>50291</v>
      </c>
      <c r="AX87" s="12">
        <v>92436.97</v>
      </c>
      <c r="AY87" s="12">
        <v>1</v>
      </c>
      <c r="AZ87" s="12">
        <v>92436.97</v>
      </c>
      <c r="BA87" s="12">
        <v>22829</v>
      </c>
      <c r="BB87" s="12"/>
      <c r="BC87" s="12"/>
      <c r="BD87" s="12"/>
      <c r="BE87" s="12"/>
      <c r="BF87" s="12">
        <v>322</v>
      </c>
      <c r="BG87" s="12">
        <v>1</v>
      </c>
      <c r="BH87" s="12">
        <v>3.105590062111801E-3</v>
      </c>
      <c r="BI87" s="12">
        <v>103</v>
      </c>
      <c r="BJ87" s="12">
        <v>3</v>
      </c>
      <c r="BK87" s="12">
        <v>2.9126213592233011E-2</v>
      </c>
      <c r="BL87" s="12">
        <v>49</v>
      </c>
      <c r="BM87" s="12">
        <v>2</v>
      </c>
      <c r="BN87" s="12">
        <v>4.0816326530612242E-2</v>
      </c>
      <c r="BO87" s="12">
        <v>110</v>
      </c>
      <c r="BP87" s="12">
        <v>0</v>
      </c>
      <c r="BQ87" s="12">
        <v>0</v>
      </c>
      <c r="BR87" s="12">
        <v>155</v>
      </c>
      <c r="BS87" s="12">
        <v>5</v>
      </c>
      <c r="BT87" s="12">
        <v>3.2258064516129031E-2</v>
      </c>
      <c r="BU87" s="12">
        <v>739</v>
      </c>
      <c r="BV87" s="12">
        <v>11</v>
      </c>
      <c r="BW87" s="12">
        <v>1.4884979702300407E-2</v>
      </c>
      <c r="BX87" s="12"/>
      <c r="BY87" s="12"/>
      <c r="BZ87" s="12"/>
      <c r="CA87" s="12">
        <v>91106.76</v>
      </c>
      <c r="CB87" s="13"/>
      <c r="CC87" s="13"/>
      <c r="CD87" s="13"/>
      <c r="CE87" s="12">
        <v>6485</v>
      </c>
      <c r="CF87" s="12">
        <v>470</v>
      </c>
      <c r="CG87" s="13">
        <v>65447</v>
      </c>
      <c r="CH87" s="13">
        <v>224</v>
      </c>
      <c r="CI87" s="13">
        <v>5635</v>
      </c>
    </row>
    <row r="88" spans="2:87" x14ac:dyDescent="0.2">
      <c r="B88" s="5">
        <v>45861</v>
      </c>
      <c r="C88" s="12">
        <v>32</v>
      </c>
      <c r="D88" s="12">
        <v>2.2999999999999998</v>
      </c>
      <c r="E88" s="12">
        <v>138288.34</v>
      </c>
      <c r="F88" s="12">
        <v>0</v>
      </c>
      <c r="G88" s="12">
        <v>4477537.8099999996</v>
      </c>
      <c r="H88" s="12">
        <v>-52310.91</v>
      </c>
      <c r="I88" s="12">
        <v>0</v>
      </c>
      <c r="J88" s="12">
        <v>4425226.9000000004</v>
      </c>
      <c r="K88" s="12">
        <v>142000</v>
      </c>
      <c r="L88" s="12">
        <v>0</v>
      </c>
      <c r="M88" s="12">
        <v>815523.1</v>
      </c>
      <c r="N88" s="12">
        <v>5382750</v>
      </c>
      <c r="O88" s="12">
        <v>0</v>
      </c>
      <c r="P88" s="12">
        <v>4425226.9000000004</v>
      </c>
      <c r="Q88" s="12">
        <v>1509568</v>
      </c>
      <c r="R88" s="12">
        <v>2915658.9</v>
      </c>
      <c r="S88" s="12">
        <v>0</v>
      </c>
      <c r="T88" s="12">
        <v>74</v>
      </c>
      <c r="U88" s="12">
        <v>0</v>
      </c>
      <c r="V88" s="12">
        <v>0</v>
      </c>
      <c r="W88" s="35">
        <v>46144.261731053244</v>
      </c>
      <c r="X88" s="12">
        <v>17</v>
      </c>
      <c r="Y88" s="12">
        <v>18</v>
      </c>
      <c r="Z88" s="12">
        <v>2834159.67</v>
      </c>
      <c r="AA88" s="12">
        <v>157453.315</v>
      </c>
      <c r="AB88" s="12">
        <v>910469</v>
      </c>
      <c r="AC88" s="12">
        <v>1923690.67</v>
      </c>
      <c r="AD88" s="12">
        <v>14</v>
      </c>
      <c r="AE88" s="12">
        <v>14</v>
      </c>
      <c r="AF88" s="12">
        <v>1591067.23</v>
      </c>
      <c r="AG88" s="12">
        <v>113647.659</v>
      </c>
      <c r="AH88" s="12">
        <v>599099</v>
      </c>
      <c r="AI88" s="12">
        <v>991968.23</v>
      </c>
      <c r="AJ88" s="12"/>
      <c r="AK88" s="12"/>
      <c r="AL88" s="12"/>
      <c r="AM88" s="12"/>
      <c r="AN88" s="12"/>
      <c r="AO88" s="12"/>
      <c r="AP88" s="12">
        <v>882142.85</v>
      </c>
      <c r="AQ88" s="12">
        <v>9</v>
      </c>
      <c r="AR88" s="12">
        <v>98015.872000000003</v>
      </c>
      <c r="AS88" s="12">
        <v>282676</v>
      </c>
      <c r="AT88" s="12">
        <v>3029638.67</v>
      </c>
      <c r="AU88" s="12">
        <v>19</v>
      </c>
      <c r="AV88" s="12">
        <v>159454.666</v>
      </c>
      <c r="AW88" s="12">
        <v>1113367</v>
      </c>
      <c r="AX88" s="12"/>
      <c r="AY88" s="12"/>
      <c r="AZ88" s="12"/>
      <c r="BA88" s="12"/>
      <c r="BB88" s="12"/>
      <c r="BC88" s="12"/>
      <c r="BD88" s="12"/>
      <c r="BE88" s="12"/>
      <c r="BF88" s="12">
        <v>380</v>
      </c>
      <c r="BG88" s="12">
        <v>1</v>
      </c>
      <c r="BH88" s="12">
        <v>2.631578947368421E-3</v>
      </c>
      <c r="BI88" s="12">
        <v>78</v>
      </c>
      <c r="BJ88" s="12">
        <v>0</v>
      </c>
      <c r="BK88" s="12">
        <v>0</v>
      </c>
      <c r="BL88" s="12">
        <v>30</v>
      </c>
      <c r="BM88" s="12">
        <v>2</v>
      </c>
      <c r="BN88" s="12">
        <v>6.6666666666666666E-2</v>
      </c>
      <c r="BO88" s="12">
        <v>143</v>
      </c>
      <c r="BP88" s="12">
        <v>0</v>
      </c>
      <c r="BQ88" s="12">
        <v>0</v>
      </c>
      <c r="BR88" s="12">
        <v>164</v>
      </c>
      <c r="BS88" s="12">
        <v>7</v>
      </c>
      <c r="BT88" s="12">
        <v>4.2682926829268296E-2</v>
      </c>
      <c r="BU88" s="12">
        <v>795</v>
      </c>
      <c r="BV88" s="12">
        <v>10</v>
      </c>
      <c r="BW88" s="12">
        <v>1.2578616352201259E-2</v>
      </c>
      <c r="BX88" s="12"/>
      <c r="BY88" s="12"/>
      <c r="BZ88" s="12"/>
      <c r="CA88" s="12">
        <v>106342.47</v>
      </c>
      <c r="CB88" s="13"/>
      <c r="CC88" s="13"/>
      <c r="CD88" s="13"/>
      <c r="CE88" s="12">
        <v>8432</v>
      </c>
      <c r="CF88" s="12">
        <v>548</v>
      </c>
      <c r="CG88" s="13">
        <v>56844</v>
      </c>
      <c r="CH88" s="13">
        <v>182</v>
      </c>
      <c r="CI88" s="13">
        <v>5479</v>
      </c>
    </row>
    <row r="89" spans="2:87" x14ac:dyDescent="0.2">
      <c r="B89" s="5">
        <v>45862</v>
      </c>
      <c r="C89" s="12">
        <v>28</v>
      </c>
      <c r="D89" s="12">
        <v>2.2000000000000002</v>
      </c>
      <c r="E89" s="12">
        <v>152092.80300000001</v>
      </c>
      <c r="F89" s="12">
        <v>-1</v>
      </c>
      <c r="G89" s="12">
        <v>4350195.12</v>
      </c>
      <c r="H89" s="12">
        <v>-41596.629999999997</v>
      </c>
      <c r="I89" s="12">
        <v>-50000</v>
      </c>
      <c r="J89" s="12">
        <v>4258598.49</v>
      </c>
      <c r="K89" s="12">
        <v>150000</v>
      </c>
      <c r="L89" s="12">
        <v>0</v>
      </c>
      <c r="M89" s="12">
        <v>758403.51</v>
      </c>
      <c r="N89" s="12">
        <v>5167002</v>
      </c>
      <c r="O89" s="12">
        <v>1.84</v>
      </c>
      <c r="P89" s="12">
        <v>4258596.6500000004</v>
      </c>
      <c r="Q89" s="12">
        <v>1591709</v>
      </c>
      <c r="R89" s="12">
        <v>2666887.65</v>
      </c>
      <c r="S89" s="12">
        <v>0</v>
      </c>
      <c r="T89" s="12">
        <v>61</v>
      </c>
      <c r="U89" s="12">
        <v>0</v>
      </c>
      <c r="V89" s="12">
        <v>0</v>
      </c>
      <c r="W89" s="35">
        <v>46144.261731053244</v>
      </c>
      <c r="X89" s="12">
        <v>10</v>
      </c>
      <c r="Y89" s="12">
        <v>11</v>
      </c>
      <c r="Z89" s="12">
        <v>1591161.51</v>
      </c>
      <c r="AA89" s="12">
        <v>144651.046</v>
      </c>
      <c r="AB89" s="12">
        <v>791628</v>
      </c>
      <c r="AC89" s="12">
        <v>799531.67</v>
      </c>
      <c r="AD89" s="12">
        <v>15</v>
      </c>
      <c r="AE89" s="12">
        <v>15</v>
      </c>
      <c r="AF89" s="12">
        <v>2440546.2200000002</v>
      </c>
      <c r="AG89" s="12">
        <v>162703.08100000001</v>
      </c>
      <c r="AH89" s="12">
        <v>737387</v>
      </c>
      <c r="AI89" s="12">
        <v>1703159.22</v>
      </c>
      <c r="AJ89" s="12">
        <v>1</v>
      </c>
      <c r="AK89" s="12">
        <v>2</v>
      </c>
      <c r="AL89" s="12">
        <v>226890.76</v>
      </c>
      <c r="AM89" s="12">
        <v>113445.38</v>
      </c>
      <c r="AN89" s="12">
        <v>62694</v>
      </c>
      <c r="AO89" s="12">
        <v>164196.76</v>
      </c>
      <c r="AP89" s="12">
        <v>1410084.88</v>
      </c>
      <c r="AQ89" s="12">
        <v>12</v>
      </c>
      <c r="AR89" s="12">
        <v>117507.073</v>
      </c>
      <c r="AS89" s="12">
        <v>453427</v>
      </c>
      <c r="AT89" s="12">
        <v>2848513.61</v>
      </c>
      <c r="AU89" s="12">
        <v>16</v>
      </c>
      <c r="AV89" s="12">
        <v>178032.1</v>
      </c>
      <c r="AW89" s="12">
        <v>1142677</v>
      </c>
      <c r="AX89" s="12"/>
      <c r="AY89" s="12"/>
      <c r="AZ89" s="12"/>
      <c r="BA89" s="12"/>
      <c r="BB89" s="12"/>
      <c r="BC89" s="12"/>
      <c r="BD89" s="12"/>
      <c r="BE89" s="12"/>
      <c r="BF89" s="12">
        <v>388</v>
      </c>
      <c r="BG89" s="12">
        <v>3</v>
      </c>
      <c r="BH89" s="12">
        <v>7.7319587628865982E-3</v>
      </c>
      <c r="BI89" s="12">
        <v>105</v>
      </c>
      <c r="BJ89" s="12">
        <v>1</v>
      </c>
      <c r="BK89" s="12">
        <v>9.5238095238095247E-3</v>
      </c>
      <c r="BL89" s="12">
        <v>30</v>
      </c>
      <c r="BM89" s="12">
        <v>0</v>
      </c>
      <c r="BN89" s="12">
        <v>0</v>
      </c>
      <c r="BO89" s="12">
        <v>117</v>
      </c>
      <c r="BP89" s="12">
        <v>0</v>
      </c>
      <c r="BQ89" s="12">
        <v>0</v>
      </c>
      <c r="BR89" s="12">
        <v>93</v>
      </c>
      <c r="BS89" s="12">
        <v>6</v>
      </c>
      <c r="BT89" s="12">
        <v>6.4516129032258063E-2</v>
      </c>
      <c r="BU89" s="12">
        <v>733</v>
      </c>
      <c r="BV89" s="12">
        <v>10</v>
      </c>
      <c r="BW89" s="12">
        <v>1.3642564802182811E-2</v>
      </c>
      <c r="BX89" s="12"/>
      <c r="BY89" s="12"/>
      <c r="BZ89" s="12"/>
      <c r="CA89" s="12">
        <v>95771.85</v>
      </c>
      <c r="CB89" s="13"/>
      <c r="CC89" s="13"/>
      <c r="CD89" s="13"/>
      <c r="CE89" s="12">
        <v>7473</v>
      </c>
      <c r="CF89" s="12">
        <v>525</v>
      </c>
      <c r="CG89" s="13">
        <v>59789</v>
      </c>
      <c r="CH89" s="13">
        <v>227</v>
      </c>
      <c r="CI89" s="13">
        <v>6161</v>
      </c>
    </row>
    <row r="90" spans="2:87" x14ac:dyDescent="0.2">
      <c r="B90" s="5">
        <v>45863</v>
      </c>
      <c r="C90" s="12">
        <v>17</v>
      </c>
      <c r="D90" s="12">
        <v>2.2000000000000002</v>
      </c>
      <c r="E90" s="12">
        <v>145371.231</v>
      </c>
      <c r="F90" s="12">
        <v>-1</v>
      </c>
      <c r="G90" s="12">
        <v>2549462.1800000002</v>
      </c>
      <c r="H90" s="12">
        <v>-2521</v>
      </c>
      <c r="I90" s="12">
        <v>-26050.42</v>
      </c>
      <c r="J90" s="12">
        <v>2520890.7599999998</v>
      </c>
      <c r="K90" s="12">
        <v>115500</v>
      </c>
      <c r="L90" s="12">
        <v>0</v>
      </c>
      <c r="M90" s="12">
        <v>456359.24</v>
      </c>
      <c r="N90" s="12">
        <v>3092750</v>
      </c>
      <c r="O90" s="12">
        <v>0</v>
      </c>
      <c r="P90" s="12">
        <v>2520890.7599999998</v>
      </c>
      <c r="Q90" s="12">
        <v>860762</v>
      </c>
      <c r="R90" s="12">
        <v>1660128.76</v>
      </c>
      <c r="S90" s="12">
        <v>0</v>
      </c>
      <c r="T90" s="12">
        <v>38</v>
      </c>
      <c r="U90" s="12">
        <v>0</v>
      </c>
      <c r="V90" s="12">
        <v>0</v>
      </c>
      <c r="W90" s="35">
        <v>46144.261731053244</v>
      </c>
      <c r="X90" s="12">
        <v>9</v>
      </c>
      <c r="Y90" s="12">
        <v>9</v>
      </c>
      <c r="Z90" s="12">
        <v>1700302.53</v>
      </c>
      <c r="AA90" s="12">
        <v>188922.503</v>
      </c>
      <c r="AB90" s="12">
        <v>565015</v>
      </c>
      <c r="AC90" s="12">
        <v>1135287.53</v>
      </c>
      <c r="AD90" s="12">
        <v>8</v>
      </c>
      <c r="AE90" s="12">
        <v>8</v>
      </c>
      <c r="AF90" s="12">
        <v>820588.23</v>
      </c>
      <c r="AG90" s="12">
        <v>96376.05</v>
      </c>
      <c r="AH90" s="12">
        <v>295747</v>
      </c>
      <c r="AI90" s="12">
        <v>524841.23</v>
      </c>
      <c r="AJ90" s="12"/>
      <c r="AK90" s="12"/>
      <c r="AL90" s="12"/>
      <c r="AM90" s="12"/>
      <c r="AN90" s="12"/>
      <c r="AO90" s="12"/>
      <c r="AP90" s="12">
        <v>914285.72</v>
      </c>
      <c r="AQ90" s="12">
        <v>10</v>
      </c>
      <c r="AR90" s="12">
        <v>91428.572</v>
      </c>
      <c r="AS90" s="12">
        <v>318079</v>
      </c>
      <c r="AT90" s="12">
        <v>1606605.04</v>
      </c>
      <c r="AU90" s="12">
        <v>7</v>
      </c>
      <c r="AV90" s="12">
        <v>222432.17199999999</v>
      </c>
      <c r="AW90" s="12">
        <v>542683</v>
      </c>
      <c r="AX90" s="12"/>
      <c r="AY90" s="12"/>
      <c r="AZ90" s="12"/>
      <c r="BA90" s="12"/>
      <c r="BB90" s="12"/>
      <c r="BC90" s="12"/>
      <c r="BD90" s="12"/>
      <c r="BE90" s="12"/>
      <c r="BF90" s="12">
        <v>349</v>
      </c>
      <c r="BG90" s="12">
        <v>0</v>
      </c>
      <c r="BH90" s="12">
        <v>0</v>
      </c>
      <c r="BI90" s="12">
        <v>87</v>
      </c>
      <c r="BJ90" s="12">
        <v>0</v>
      </c>
      <c r="BK90" s="12">
        <v>0</v>
      </c>
      <c r="BL90" s="12">
        <v>32</v>
      </c>
      <c r="BM90" s="12">
        <v>2</v>
      </c>
      <c r="BN90" s="12">
        <v>6.25E-2</v>
      </c>
      <c r="BO90" s="12">
        <v>91</v>
      </c>
      <c r="BP90" s="12">
        <v>0</v>
      </c>
      <c r="BQ90" s="12">
        <v>0</v>
      </c>
      <c r="BR90" s="12">
        <v>96</v>
      </c>
      <c r="BS90" s="12">
        <v>6</v>
      </c>
      <c r="BT90" s="12">
        <v>6.25E-2</v>
      </c>
      <c r="BU90" s="12">
        <v>655</v>
      </c>
      <c r="BV90" s="12">
        <v>8</v>
      </c>
      <c r="BW90" s="12">
        <v>1.2213740458015267E-2</v>
      </c>
      <c r="BX90" s="12"/>
      <c r="BY90" s="12"/>
      <c r="BZ90" s="12"/>
      <c r="CA90" s="12">
        <v>83313.23</v>
      </c>
      <c r="CB90" s="13"/>
      <c r="CC90" s="13"/>
      <c r="CD90" s="13"/>
      <c r="CE90" s="12">
        <v>6435</v>
      </c>
      <c r="CF90" s="12">
        <v>444</v>
      </c>
      <c r="CG90" s="13">
        <v>60464</v>
      </c>
      <c r="CH90" s="13">
        <v>165</v>
      </c>
      <c r="CI90" s="13">
        <v>6005</v>
      </c>
    </row>
    <row r="91" spans="2:87" x14ac:dyDescent="0.2">
      <c r="B91" s="5">
        <v>45864</v>
      </c>
      <c r="C91" s="12">
        <v>14</v>
      </c>
      <c r="D91" s="12">
        <v>2.1</v>
      </c>
      <c r="E91" s="12">
        <v>119087.63499999999</v>
      </c>
      <c r="F91" s="12">
        <v>0</v>
      </c>
      <c r="G91" s="12">
        <v>1667226.9</v>
      </c>
      <c r="H91" s="12">
        <v>0</v>
      </c>
      <c r="I91" s="12">
        <v>0</v>
      </c>
      <c r="J91" s="12">
        <v>1667226.9</v>
      </c>
      <c r="K91" s="12">
        <v>36000</v>
      </c>
      <c r="L91" s="12">
        <v>0</v>
      </c>
      <c r="M91" s="12">
        <v>297773.09999999998</v>
      </c>
      <c r="N91" s="12">
        <v>2001000</v>
      </c>
      <c r="O91" s="12">
        <v>100000</v>
      </c>
      <c r="P91" s="12">
        <v>1567226.9</v>
      </c>
      <c r="Q91" s="12">
        <v>437777</v>
      </c>
      <c r="R91" s="12">
        <v>1129449.8999999999</v>
      </c>
      <c r="S91" s="12">
        <v>0</v>
      </c>
      <c r="T91" s="12">
        <v>29</v>
      </c>
      <c r="U91" s="12">
        <v>0</v>
      </c>
      <c r="V91" s="12">
        <v>0</v>
      </c>
      <c r="W91" s="35">
        <v>46144.261731053244</v>
      </c>
      <c r="X91" s="12">
        <v>5</v>
      </c>
      <c r="Y91" s="12">
        <v>5</v>
      </c>
      <c r="Z91" s="12">
        <v>546848.75</v>
      </c>
      <c r="AA91" s="12">
        <v>109369.75</v>
      </c>
      <c r="AB91" s="12">
        <v>141219</v>
      </c>
      <c r="AC91" s="12">
        <v>405629.75</v>
      </c>
      <c r="AD91" s="12">
        <v>9</v>
      </c>
      <c r="AE91" s="12">
        <v>9</v>
      </c>
      <c r="AF91" s="12">
        <v>1120378.1499999999</v>
      </c>
      <c r="AG91" s="12">
        <v>124486.461</v>
      </c>
      <c r="AH91" s="12">
        <v>296558</v>
      </c>
      <c r="AI91" s="12">
        <v>723820.15</v>
      </c>
      <c r="AJ91" s="12"/>
      <c r="AK91" s="12"/>
      <c r="AL91" s="12"/>
      <c r="AM91" s="12"/>
      <c r="AN91" s="12"/>
      <c r="AO91" s="12"/>
      <c r="AP91" s="12">
        <v>807563.03</v>
      </c>
      <c r="AQ91" s="12">
        <v>5</v>
      </c>
      <c r="AR91" s="12">
        <v>161512.606</v>
      </c>
      <c r="AS91" s="12">
        <v>258717</v>
      </c>
      <c r="AT91" s="12">
        <v>745798.32</v>
      </c>
      <c r="AU91" s="12">
        <v>8</v>
      </c>
      <c r="AV91" s="12">
        <v>93224.79</v>
      </c>
      <c r="AW91" s="12">
        <v>151276</v>
      </c>
      <c r="AX91" s="12"/>
      <c r="AY91" s="12"/>
      <c r="AZ91" s="12"/>
      <c r="BA91" s="12"/>
      <c r="BB91" s="12"/>
      <c r="BC91" s="12"/>
      <c r="BD91" s="12"/>
      <c r="BE91" s="12"/>
      <c r="BF91" s="12">
        <v>365</v>
      </c>
      <c r="BG91" s="12">
        <v>1</v>
      </c>
      <c r="BH91" s="12">
        <v>2.7397260273972603E-3</v>
      </c>
      <c r="BI91" s="12">
        <v>78</v>
      </c>
      <c r="BJ91" s="12">
        <v>1</v>
      </c>
      <c r="BK91" s="12">
        <v>1.282051282051282E-2</v>
      </c>
      <c r="BL91" s="12">
        <v>27</v>
      </c>
      <c r="BM91" s="12">
        <v>1</v>
      </c>
      <c r="BN91" s="12">
        <v>3.7037037037037035E-2</v>
      </c>
      <c r="BO91" s="12">
        <v>87</v>
      </c>
      <c r="BP91" s="12">
        <v>0</v>
      </c>
      <c r="BQ91" s="12">
        <v>0</v>
      </c>
      <c r="BR91" s="12">
        <v>81</v>
      </c>
      <c r="BS91" s="12">
        <v>1</v>
      </c>
      <c r="BT91" s="12">
        <v>1.2345679012345678E-2</v>
      </c>
      <c r="BU91" s="12">
        <v>638</v>
      </c>
      <c r="BV91" s="12">
        <v>4</v>
      </c>
      <c r="BW91" s="12">
        <v>6.269592476489028E-3</v>
      </c>
      <c r="BX91" s="12"/>
      <c r="BY91" s="12"/>
      <c r="BZ91" s="12"/>
      <c r="CA91" s="12">
        <v>88956.62</v>
      </c>
      <c r="CB91" s="13"/>
      <c r="CC91" s="13"/>
      <c r="CD91" s="13"/>
      <c r="CE91" s="12">
        <v>6409</v>
      </c>
      <c r="CF91" s="12">
        <v>482</v>
      </c>
      <c r="CG91" s="13">
        <v>58482</v>
      </c>
      <c r="CH91" s="13">
        <v>183</v>
      </c>
      <c r="CI91" s="13">
        <v>6283</v>
      </c>
    </row>
    <row r="92" spans="2:87" x14ac:dyDescent="0.2">
      <c r="B92" s="5">
        <v>45865</v>
      </c>
      <c r="C92" s="12">
        <v>32</v>
      </c>
      <c r="D92" s="12">
        <v>2.4</v>
      </c>
      <c r="E92" s="12">
        <v>130976.102</v>
      </c>
      <c r="F92" s="12">
        <v>0</v>
      </c>
      <c r="G92" s="12">
        <v>4191235.29</v>
      </c>
      <c r="H92" s="12">
        <v>0</v>
      </c>
      <c r="I92" s="12">
        <v>0</v>
      </c>
      <c r="J92" s="12">
        <v>4191235.29</v>
      </c>
      <c r="K92" s="12">
        <v>36000</v>
      </c>
      <c r="L92" s="12">
        <v>0</v>
      </c>
      <c r="M92" s="12">
        <v>734014.71</v>
      </c>
      <c r="N92" s="12">
        <v>4961250</v>
      </c>
      <c r="O92" s="12">
        <v>356100.84</v>
      </c>
      <c r="P92" s="12">
        <v>3835134.45</v>
      </c>
      <c r="Q92" s="12">
        <v>1443980</v>
      </c>
      <c r="R92" s="12">
        <v>2391154.4500000002</v>
      </c>
      <c r="S92" s="12">
        <v>0</v>
      </c>
      <c r="T92" s="12">
        <v>77</v>
      </c>
      <c r="U92" s="12">
        <v>0</v>
      </c>
      <c r="V92" s="12">
        <v>0</v>
      </c>
      <c r="W92" s="35">
        <v>46144.261731053244</v>
      </c>
      <c r="X92" s="12">
        <v>10</v>
      </c>
      <c r="Y92" s="12">
        <v>11</v>
      </c>
      <c r="Z92" s="12">
        <v>2164134.4500000002</v>
      </c>
      <c r="AA92" s="12">
        <v>196739.495</v>
      </c>
      <c r="AB92" s="12">
        <v>869371</v>
      </c>
      <c r="AC92" s="12">
        <v>938662.61</v>
      </c>
      <c r="AD92" s="12">
        <v>19</v>
      </c>
      <c r="AE92" s="12">
        <v>19</v>
      </c>
      <c r="AF92" s="12">
        <v>1732983.2</v>
      </c>
      <c r="AG92" s="12">
        <v>91209.642000000007</v>
      </c>
      <c r="AH92" s="12">
        <v>522258</v>
      </c>
      <c r="AI92" s="12">
        <v>1210725.2</v>
      </c>
      <c r="AJ92" s="12">
        <v>1</v>
      </c>
      <c r="AK92" s="12">
        <v>2</v>
      </c>
      <c r="AL92" s="12">
        <v>294117.64</v>
      </c>
      <c r="AM92" s="12">
        <v>147058.82</v>
      </c>
      <c r="AN92" s="12">
        <v>52351</v>
      </c>
      <c r="AO92" s="12">
        <v>241766.64</v>
      </c>
      <c r="AP92" s="12">
        <v>1248529.3999999999</v>
      </c>
      <c r="AQ92" s="12">
        <v>8</v>
      </c>
      <c r="AR92" s="12">
        <v>156066.17499999999</v>
      </c>
      <c r="AS92" s="12">
        <v>407348</v>
      </c>
      <c r="AT92" s="12">
        <v>2850268.92</v>
      </c>
      <c r="AU92" s="12">
        <v>23</v>
      </c>
      <c r="AV92" s="12">
        <v>123924.735</v>
      </c>
      <c r="AW92" s="12">
        <v>1017194</v>
      </c>
      <c r="AX92" s="12">
        <v>92436.97</v>
      </c>
      <c r="AY92" s="12">
        <v>1</v>
      </c>
      <c r="AZ92" s="12">
        <v>92436.97</v>
      </c>
      <c r="BA92" s="12">
        <v>19438</v>
      </c>
      <c r="BB92" s="12"/>
      <c r="BC92" s="12"/>
      <c r="BD92" s="12"/>
      <c r="BE92" s="12"/>
      <c r="BF92" s="12">
        <v>397</v>
      </c>
      <c r="BG92" s="12">
        <v>1</v>
      </c>
      <c r="BH92" s="12">
        <v>2.5188916876574307E-3</v>
      </c>
      <c r="BI92" s="12">
        <v>95</v>
      </c>
      <c r="BJ92" s="12">
        <v>5</v>
      </c>
      <c r="BK92" s="12">
        <v>5.2631578947368418E-2</v>
      </c>
      <c r="BL92" s="12">
        <v>21</v>
      </c>
      <c r="BM92" s="12">
        <v>1</v>
      </c>
      <c r="BN92" s="12">
        <v>4.7619047619047616E-2</v>
      </c>
      <c r="BO92" s="12">
        <v>94</v>
      </c>
      <c r="BP92" s="12">
        <v>0</v>
      </c>
      <c r="BQ92" s="12">
        <v>0</v>
      </c>
      <c r="BR92" s="12">
        <v>89</v>
      </c>
      <c r="BS92" s="12">
        <v>2</v>
      </c>
      <c r="BT92" s="12">
        <v>2.247191011235955E-2</v>
      </c>
      <c r="BU92" s="12">
        <v>696</v>
      </c>
      <c r="BV92" s="12">
        <v>9</v>
      </c>
      <c r="BW92" s="12">
        <v>1.2931034482758621E-2</v>
      </c>
      <c r="BX92" s="12"/>
      <c r="BY92" s="12"/>
      <c r="BZ92" s="12"/>
      <c r="CA92" s="12">
        <v>87773.119999999995</v>
      </c>
      <c r="CB92" s="13"/>
      <c r="CC92" s="13"/>
      <c r="CD92" s="13"/>
      <c r="CE92" s="12">
        <v>6952</v>
      </c>
      <c r="CF92" s="12">
        <v>502</v>
      </c>
      <c r="CG92" s="13">
        <v>61105</v>
      </c>
      <c r="CH92" s="13">
        <v>243</v>
      </c>
      <c r="CI92" s="13">
        <v>7411</v>
      </c>
    </row>
    <row r="93" spans="2:87" x14ac:dyDescent="0.2">
      <c r="B93" s="5">
        <v>45866</v>
      </c>
      <c r="C93" s="12">
        <v>24</v>
      </c>
      <c r="D93" s="12">
        <v>3.3</v>
      </c>
      <c r="E93" s="12">
        <v>273365.19500000001</v>
      </c>
      <c r="F93" s="12">
        <v>-2</v>
      </c>
      <c r="G93" s="12">
        <v>7068327.7000000002</v>
      </c>
      <c r="H93" s="12">
        <v>-415126.03</v>
      </c>
      <c r="I93" s="12">
        <v>-75630.25</v>
      </c>
      <c r="J93" s="12">
        <v>6577571.4199999999</v>
      </c>
      <c r="K93" s="12">
        <v>130500</v>
      </c>
      <c r="L93" s="12">
        <v>0</v>
      </c>
      <c r="M93" s="12">
        <v>1240428.58</v>
      </c>
      <c r="N93" s="12">
        <v>7948500</v>
      </c>
      <c r="O93" s="12">
        <v>0</v>
      </c>
      <c r="P93" s="12">
        <v>6577571.4199999999</v>
      </c>
      <c r="Q93" s="12">
        <v>2005440</v>
      </c>
      <c r="R93" s="12">
        <v>4572131.42</v>
      </c>
      <c r="S93" s="12">
        <v>0</v>
      </c>
      <c r="T93" s="12">
        <v>79</v>
      </c>
      <c r="U93" s="12">
        <v>0</v>
      </c>
      <c r="V93" s="12">
        <v>0</v>
      </c>
      <c r="W93" s="35">
        <v>46144.261731053244</v>
      </c>
      <c r="X93" s="12">
        <v>10</v>
      </c>
      <c r="Y93" s="12">
        <v>11</v>
      </c>
      <c r="Z93" s="12">
        <v>1688075.63</v>
      </c>
      <c r="AA93" s="12">
        <v>153461.42000000001</v>
      </c>
      <c r="AB93" s="12">
        <v>547711</v>
      </c>
      <c r="AC93" s="12">
        <v>1140364.6299999999</v>
      </c>
      <c r="AD93" s="12">
        <v>12</v>
      </c>
      <c r="AE93" s="12">
        <v>12</v>
      </c>
      <c r="AF93" s="12">
        <v>4813865.54</v>
      </c>
      <c r="AG93" s="12">
        <v>399754.90100000001</v>
      </c>
      <c r="AH93" s="12">
        <v>1440978</v>
      </c>
      <c r="AI93" s="12">
        <v>3372887.54</v>
      </c>
      <c r="AJ93" s="12">
        <v>1</v>
      </c>
      <c r="AK93" s="12">
        <v>1</v>
      </c>
      <c r="AL93" s="12">
        <v>75630.25</v>
      </c>
      <c r="AM93" s="12">
        <v>75630.25</v>
      </c>
      <c r="AN93" s="12">
        <v>16751</v>
      </c>
      <c r="AO93" s="12">
        <v>58879.25</v>
      </c>
      <c r="AP93" s="12">
        <v>1142436.98</v>
      </c>
      <c r="AQ93" s="12">
        <v>8</v>
      </c>
      <c r="AR93" s="12">
        <v>142804.622</v>
      </c>
      <c r="AS93" s="12">
        <v>350754</v>
      </c>
      <c r="AT93" s="12">
        <v>5246058.8099999996</v>
      </c>
      <c r="AU93" s="12">
        <v>14</v>
      </c>
      <c r="AV93" s="12">
        <v>373518.00599999999</v>
      </c>
      <c r="AW93" s="12">
        <v>1611584</v>
      </c>
      <c r="AX93" s="12">
        <v>130252.1</v>
      </c>
      <c r="AY93" s="12">
        <v>1</v>
      </c>
      <c r="AZ93" s="12">
        <v>130252.1</v>
      </c>
      <c r="BA93" s="12">
        <v>26777</v>
      </c>
      <c r="BB93" s="12"/>
      <c r="BC93" s="12"/>
      <c r="BD93" s="12"/>
      <c r="BE93" s="12"/>
      <c r="BF93" s="12">
        <v>375</v>
      </c>
      <c r="BG93" s="12">
        <v>0</v>
      </c>
      <c r="BH93" s="12">
        <v>0</v>
      </c>
      <c r="BI93" s="12">
        <v>57</v>
      </c>
      <c r="BJ93" s="12">
        <v>0</v>
      </c>
      <c r="BK93" s="12">
        <v>0</v>
      </c>
      <c r="BL93" s="12">
        <v>39</v>
      </c>
      <c r="BM93" s="12">
        <v>2</v>
      </c>
      <c r="BN93" s="12">
        <v>5.128205128205128E-2</v>
      </c>
      <c r="BO93" s="12">
        <v>62</v>
      </c>
      <c r="BP93" s="12">
        <v>0</v>
      </c>
      <c r="BQ93" s="12">
        <v>0</v>
      </c>
      <c r="BR93" s="12">
        <v>128</v>
      </c>
      <c r="BS93" s="12">
        <v>6</v>
      </c>
      <c r="BT93" s="12">
        <v>4.6875E-2</v>
      </c>
      <c r="BU93" s="12">
        <v>661</v>
      </c>
      <c r="BV93" s="12">
        <v>8</v>
      </c>
      <c r="BW93" s="12">
        <v>1.2102874432677761E-2</v>
      </c>
      <c r="BX93" s="12"/>
      <c r="BY93" s="12"/>
      <c r="BZ93" s="12"/>
      <c r="CA93" s="12">
        <v>96719.71</v>
      </c>
      <c r="CB93" s="13"/>
      <c r="CC93" s="13"/>
      <c r="CD93" s="13"/>
      <c r="CE93" s="12">
        <v>6210</v>
      </c>
      <c r="CF93" s="12">
        <v>453</v>
      </c>
      <c r="CG93" s="13">
        <v>39674</v>
      </c>
      <c r="CH93" s="13">
        <v>128</v>
      </c>
      <c r="CI93" s="13">
        <v>4317</v>
      </c>
    </row>
    <row r="94" spans="2:87" x14ac:dyDescent="0.2">
      <c r="B94" s="5">
        <v>45867</v>
      </c>
      <c r="C94" s="12">
        <v>13</v>
      </c>
      <c r="D94" s="12">
        <v>2.2000000000000002</v>
      </c>
      <c r="E94" s="12">
        <v>140084.67800000001</v>
      </c>
      <c r="F94" s="12">
        <v>0</v>
      </c>
      <c r="G94" s="12">
        <v>1838747.86</v>
      </c>
      <c r="H94" s="12">
        <v>-17647.04</v>
      </c>
      <c r="I94" s="12">
        <v>0</v>
      </c>
      <c r="J94" s="12">
        <v>1821100.82</v>
      </c>
      <c r="K94" s="12">
        <v>38000</v>
      </c>
      <c r="L94" s="12">
        <v>0</v>
      </c>
      <c r="M94" s="12">
        <v>332899.18</v>
      </c>
      <c r="N94" s="12">
        <v>2192000</v>
      </c>
      <c r="O94" s="12">
        <v>0</v>
      </c>
      <c r="P94" s="12">
        <v>1821100.82</v>
      </c>
      <c r="Q94" s="12">
        <v>567626</v>
      </c>
      <c r="R94" s="12">
        <v>1253474.82</v>
      </c>
      <c r="S94" s="12">
        <v>0</v>
      </c>
      <c r="T94" s="12">
        <v>29</v>
      </c>
      <c r="U94" s="12">
        <v>0</v>
      </c>
      <c r="V94" s="12">
        <v>0</v>
      </c>
      <c r="W94" s="35">
        <v>46144.261731053244</v>
      </c>
      <c r="X94" s="12">
        <v>4</v>
      </c>
      <c r="Y94" s="12">
        <v>4</v>
      </c>
      <c r="Z94" s="12">
        <v>372689.07</v>
      </c>
      <c r="AA94" s="12">
        <v>93172.267000000007</v>
      </c>
      <c r="AB94" s="12">
        <v>89597</v>
      </c>
      <c r="AC94" s="12">
        <v>283092.07</v>
      </c>
      <c r="AD94" s="12">
        <v>9</v>
      </c>
      <c r="AE94" s="12">
        <v>9</v>
      </c>
      <c r="AF94" s="12">
        <v>1448411.75</v>
      </c>
      <c r="AG94" s="12">
        <v>160934.63800000001</v>
      </c>
      <c r="AH94" s="12">
        <v>478029</v>
      </c>
      <c r="AI94" s="12">
        <v>970382.75</v>
      </c>
      <c r="AJ94" s="12"/>
      <c r="AK94" s="12"/>
      <c r="AL94" s="12"/>
      <c r="AM94" s="12"/>
      <c r="AN94" s="12"/>
      <c r="AO94" s="12"/>
      <c r="AP94" s="12">
        <v>625210.07999999996</v>
      </c>
      <c r="AQ94" s="12">
        <v>5</v>
      </c>
      <c r="AR94" s="12">
        <v>125042.016</v>
      </c>
      <c r="AS94" s="12">
        <v>165051</v>
      </c>
      <c r="AT94" s="12">
        <v>1023621.84</v>
      </c>
      <c r="AU94" s="12">
        <v>6</v>
      </c>
      <c r="AV94" s="12">
        <v>170603.64</v>
      </c>
      <c r="AW94" s="12">
        <v>357564</v>
      </c>
      <c r="AX94" s="12">
        <v>92436.97</v>
      </c>
      <c r="AY94" s="12">
        <v>1</v>
      </c>
      <c r="AZ94" s="12">
        <v>92436.97</v>
      </c>
      <c r="BA94" s="12">
        <v>19710</v>
      </c>
      <c r="BB94" s="12"/>
      <c r="BC94" s="12"/>
      <c r="BD94" s="12"/>
      <c r="BE94" s="12"/>
      <c r="BF94" s="12">
        <v>382</v>
      </c>
      <c r="BG94" s="12">
        <v>0</v>
      </c>
      <c r="BH94" s="12">
        <v>0</v>
      </c>
      <c r="BI94" s="12">
        <v>40</v>
      </c>
      <c r="BJ94" s="12">
        <v>0</v>
      </c>
      <c r="BK94" s="12">
        <v>0</v>
      </c>
      <c r="BL94" s="12">
        <v>24</v>
      </c>
      <c r="BM94" s="12">
        <v>1</v>
      </c>
      <c r="BN94" s="12">
        <v>4.1666666666666664E-2</v>
      </c>
      <c r="BO94" s="12">
        <v>53</v>
      </c>
      <c r="BP94" s="12">
        <v>0</v>
      </c>
      <c r="BQ94" s="12">
        <v>0</v>
      </c>
      <c r="BR94" s="12">
        <v>87</v>
      </c>
      <c r="BS94" s="12">
        <v>3</v>
      </c>
      <c r="BT94" s="12">
        <v>3.4482758620689655E-2</v>
      </c>
      <c r="BU94" s="12">
        <v>586</v>
      </c>
      <c r="BV94" s="12">
        <v>4</v>
      </c>
      <c r="BW94" s="12">
        <v>6.8259385665529011E-3</v>
      </c>
      <c r="BX94" s="12"/>
      <c r="BY94" s="12"/>
      <c r="BZ94" s="12"/>
      <c r="CA94" s="12">
        <v>96114.47</v>
      </c>
      <c r="CB94" s="13"/>
      <c r="CC94" s="13"/>
      <c r="CD94" s="13"/>
      <c r="CE94" s="12">
        <v>6674</v>
      </c>
      <c r="CF94" s="12">
        <v>459</v>
      </c>
      <c r="CG94" s="13">
        <v>40745</v>
      </c>
      <c r="CH94" s="13">
        <v>112</v>
      </c>
      <c r="CI94" s="13">
        <v>4172</v>
      </c>
    </row>
    <row r="95" spans="2:87" x14ac:dyDescent="0.2">
      <c r="B95" s="5">
        <v>45868</v>
      </c>
      <c r="C95" s="12">
        <v>23</v>
      </c>
      <c r="D95" s="12">
        <v>4.3</v>
      </c>
      <c r="E95" s="12">
        <v>113226.526</v>
      </c>
      <c r="F95" s="12">
        <v>-1</v>
      </c>
      <c r="G95" s="12">
        <v>2736941.2</v>
      </c>
      <c r="H95" s="12">
        <v>-57100.84</v>
      </c>
      <c r="I95" s="12">
        <v>-75630.25</v>
      </c>
      <c r="J95" s="12">
        <v>2604210.11</v>
      </c>
      <c r="K95" s="12">
        <v>68500</v>
      </c>
      <c r="L95" s="12">
        <v>0</v>
      </c>
      <c r="M95" s="12">
        <v>459079.89</v>
      </c>
      <c r="N95" s="12">
        <v>3131790</v>
      </c>
      <c r="O95" s="12">
        <v>0</v>
      </c>
      <c r="P95" s="12">
        <v>2604210.11</v>
      </c>
      <c r="Q95" s="12">
        <v>851254</v>
      </c>
      <c r="R95" s="12">
        <v>1752956.11</v>
      </c>
      <c r="S95" s="12">
        <v>0</v>
      </c>
      <c r="T95" s="12">
        <v>98</v>
      </c>
      <c r="U95" s="12">
        <v>0</v>
      </c>
      <c r="V95" s="12">
        <v>0</v>
      </c>
      <c r="W95" s="35">
        <v>46144.261731053244</v>
      </c>
      <c r="X95" s="12">
        <v>8</v>
      </c>
      <c r="Y95" s="12">
        <v>10</v>
      </c>
      <c r="Z95" s="12">
        <v>935428.58</v>
      </c>
      <c r="AA95" s="12">
        <v>93542.857999999993</v>
      </c>
      <c r="AB95" s="12">
        <v>321806</v>
      </c>
      <c r="AC95" s="12">
        <v>613622.57999999996</v>
      </c>
      <c r="AD95" s="12">
        <v>13</v>
      </c>
      <c r="AE95" s="12">
        <v>13</v>
      </c>
      <c r="AF95" s="12">
        <v>1668781.53</v>
      </c>
      <c r="AG95" s="12">
        <v>128367.81</v>
      </c>
      <c r="AH95" s="12">
        <v>529448</v>
      </c>
      <c r="AI95" s="12">
        <v>1139333.53</v>
      </c>
      <c r="AJ95" s="12"/>
      <c r="AK95" s="12"/>
      <c r="AL95" s="12"/>
      <c r="AM95" s="12"/>
      <c r="AN95" s="12"/>
      <c r="AO95" s="12"/>
      <c r="AP95" s="12">
        <v>1035327.74</v>
      </c>
      <c r="AQ95" s="12">
        <v>9</v>
      </c>
      <c r="AR95" s="12">
        <v>115036.41499999999</v>
      </c>
      <c r="AS95" s="12">
        <v>307517</v>
      </c>
      <c r="AT95" s="12">
        <v>1138000.01</v>
      </c>
      <c r="AU95" s="12">
        <v>9</v>
      </c>
      <c r="AV95" s="12">
        <v>126444.44500000001</v>
      </c>
      <c r="AW95" s="12">
        <v>433468</v>
      </c>
      <c r="AX95" s="12">
        <v>117647.06</v>
      </c>
      <c r="AY95" s="12">
        <v>2</v>
      </c>
      <c r="AZ95" s="12">
        <v>58823.53</v>
      </c>
      <c r="BA95" s="12">
        <v>31535</v>
      </c>
      <c r="BB95" s="12"/>
      <c r="BC95" s="12"/>
      <c r="BD95" s="12"/>
      <c r="BE95" s="12"/>
      <c r="BF95" s="12">
        <v>319</v>
      </c>
      <c r="BG95" s="12">
        <v>3</v>
      </c>
      <c r="BH95" s="12">
        <v>9.4043887147335428E-3</v>
      </c>
      <c r="BI95" s="12">
        <v>73</v>
      </c>
      <c r="BJ95" s="12">
        <v>0</v>
      </c>
      <c r="BK95" s="12">
        <v>0</v>
      </c>
      <c r="BL95" s="12">
        <v>33</v>
      </c>
      <c r="BM95" s="12">
        <v>4</v>
      </c>
      <c r="BN95" s="12">
        <v>0.12121212121212122</v>
      </c>
      <c r="BO95" s="12">
        <v>74</v>
      </c>
      <c r="BP95" s="12">
        <v>0</v>
      </c>
      <c r="BQ95" s="12">
        <v>0</v>
      </c>
      <c r="BR95" s="12">
        <v>203</v>
      </c>
      <c r="BS95" s="12">
        <v>2</v>
      </c>
      <c r="BT95" s="12">
        <v>9.852216748768473E-3</v>
      </c>
      <c r="BU95" s="12">
        <v>702</v>
      </c>
      <c r="BV95" s="12">
        <v>9</v>
      </c>
      <c r="BW95" s="12">
        <v>1.282051282051282E-2</v>
      </c>
      <c r="BX95" s="12"/>
      <c r="BY95" s="12"/>
      <c r="BZ95" s="12"/>
      <c r="CA95" s="12">
        <v>90074.3</v>
      </c>
      <c r="CB95" s="13"/>
      <c r="CC95" s="13"/>
      <c r="CD95" s="13"/>
      <c r="CE95" s="12">
        <v>6163</v>
      </c>
      <c r="CF95" s="12">
        <v>472</v>
      </c>
      <c r="CG95" s="13">
        <v>42733</v>
      </c>
      <c r="CH95" s="13">
        <v>116</v>
      </c>
      <c r="CI95" s="13">
        <v>4266</v>
      </c>
    </row>
    <row r="96" spans="2:87" x14ac:dyDescent="0.2">
      <c r="B96" s="5">
        <v>45869</v>
      </c>
      <c r="C96" s="12">
        <v>24</v>
      </c>
      <c r="D96" s="12">
        <v>2.9</v>
      </c>
      <c r="E96" s="12">
        <v>194170.20199999999</v>
      </c>
      <c r="F96" s="12">
        <v>-3</v>
      </c>
      <c r="G96" s="12">
        <v>5097899.9800000004</v>
      </c>
      <c r="H96" s="12">
        <v>-34663.839999999997</v>
      </c>
      <c r="I96" s="12">
        <v>-359663.86</v>
      </c>
      <c r="J96" s="12">
        <v>4703572.28</v>
      </c>
      <c r="K96" s="12">
        <v>5500</v>
      </c>
      <c r="L96" s="12">
        <v>0</v>
      </c>
      <c r="M96" s="12">
        <v>817678.72</v>
      </c>
      <c r="N96" s="12">
        <v>5526751</v>
      </c>
      <c r="O96" s="12">
        <v>55000</v>
      </c>
      <c r="P96" s="12">
        <v>4648572.28</v>
      </c>
      <c r="Q96" s="12">
        <v>1325451.56</v>
      </c>
      <c r="R96" s="12">
        <v>3323120.72</v>
      </c>
      <c r="S96" s="12">
        <v>0</v>
      </c>
      <c r="T96" s="12">
        <v>70</v>
      </c>
      <c r="U96" s="12">
        <v>0</v>
      </c>
      <c r="V96" s="12">
        <v>0</v>
      </c>
      <c r="W96" s="35">
        <v>46144.261731053244</v>
      </c>
      <c r="X96" s="12">
        <v>10</v>
      </c>
      <c r="Y96" s="12">
        <v>10</v>
      </c>
      <c r="Z96" s="12">
        <v>2149160.5099999998</v>
      </c>
      <c r="AA96" s="12">
        <v>207353.02499999999</v>
      </c>
      <c r="AB96" s="12">
        <v>521273</v>
      </c>
      <c r="AC96" s="12">
        <v>1627887.51</v>
      </c>
      <c r="AD96" s="12">
        <v>14</v>
      </c>
      <c r="AE96" s="12">
        <v>14</v>
      </c>
      <c r="AF96" s="12">
        <v>2554411.77</v>
      </c>
      <c r="AG96" s="12">
        <v>184753.90100000001</v>
      </c>
      <c r="AH96" s="12">
        <v>804178.56</v>
      </c>
      <c r="AI96" s="12">
        <v>1695233.21</v>
      </c>
      <c r="AJ96" s="12"/>
      <c r="AK96" s="12"/>
      <c r="AL96" s="12"/>
      <c r="AM96" s="12"/>
      <c r="AN96" s="12"/>
      <c r="AO96" s="12"/>
      <c r="AP96" s="12">
        <v>75631.09</v>
      </c>
      <c r="AQ96" s="12">
        <v>2</v>
      </c>
      <c r="AR96" s="12">
        <v>37815.544999999998</v>
      </c>
      <c r="AS96" s="12">
        <v>16752</v>
      </c>
      <c r="AT96" s="12">
        <v>4627941.1900000004</v>
      </c>
      <c r="AU96" s="12">
        <v>22</v>
      </c>
      <c r="AV96" s="12">
        <v>208384.26199999999</v>
      </c>
      <c r="AW96" s="12">
        <v>1308699.56</v>
      </c>
      <c r="AX96" s="12"/>
      <c r="AY96" s="12"/>
      <c r="AZ96" s="12"/>
      <c r="BA96" s="12"/>
      <c r="BB96" s="12"/>
      <c r="BC96" s="12"/>
      <c r="BD96" s="12"/>
      <c r="BE96" s="12"/>
      <c r="BF96" s="12">
        <v>369</v>
      </c>
      <c r="BG96" s="12">
        <v>0</v>
      </c>
      <c r="BH96" s="12">
        <v>0</v>
      </c>
      <c r="BI96" s="12">
        <v>57</v>
      </c>
      <c r="BJ96" s="12">
        <v>0</v>
      </c>
      <c r="BK96" s="12">
        <v>0</v>
      </c>
      <c r="BL96" s="12">
        <v>26</v>
      </c>
      <c r="BM96" s="12">
        <v>0</v>
      </c>
      <c r="BN96" s="12">
        <v>0</v>
      </c>
      <c r="BO96" s="12">
        <v>49</v>
      </c>
      <c r="BP96" s="12">
        <v>0</v>
      </c>
      <c r="BQ96" s="12">
        <v>0</v>
      </c>
      <c r="BR96" s="12">
        <v>105</v>
      </c>
      <c r="BS96" s="12">
        <v>0</v>
      </c>
      <c r="BT96" s="12">
        <v>0</v>
      </c>
      <c r="BU96" s="12">
        <v>606</v>
      </c>
      <c r="BV96" s="12">
        <v>0</v>
      </c>
      <c r="BW96" s="12">
        <v>0</v>
      </c>
      <c r="BX96" s="12"/>
      <c r="BY96" s="12"/>
      <c r="BZ96" s="12"/>
      <c r="CA96" s="12">
        <v>91665.11</v>
      </c>
      <c r="CB96" s="13"/>
      <c r="CC96" s="13"/>
      <c r="CD96" s="13"/>
      <c r="CE96" s="12">
        <v>5768</v>
      </c>
      <c r="CF96" s="12">
        <v>478</v>
      </c>
      <c r="CG96" s="13">
        <v>38720</v>
      </c>
      <c r="CH96" s="13">
        <v>125</v>
      </c>
      <c r="CI96" s="13">
        <v>4409</v>
      </c>
    </row>
    <row r="97" spans="2:87" x14ac:dyDescent="0.2">
      <c r="B97" s="5">
        <v>45870</v>
      </c>
      <c r="C97" s="12">
        <v>16</v>
      </c>
      <c r="D97" s="12">
        <v>1.8</v>
      </c>
      <c r="E97" s="12">
        <v>94486.346000000005</v>
      </c>
      <c r="F97" s="12">
        <v>-1</v>
      </c>
      <c r="G97" s="12">
        <v>1569428.57</v>
      </c>
      <c r="H97" s="12">
        <v>-57647.03</v>
      </c>
      <c r="I97" s="12">
        <v>223.53</v>
      </c>
      <c r="J97" s="12">
        <v>1512005.07</v>
      </c>
      <c r="K97" s="12">
        <v>56000</v>
      </c>
      <c r="L97" s="12">
        <v>0</v>
      </c>
      <c r="M97" s="12">
        <v>268394.93</v>
      </c>
      <c r="N97" s="12">
        <v>1836400</v>
      </c>
      <c r="O97" s="12">
        <v>0</v>
      </c>
      <c r="P97" s="12">
        <v>1510605.07</v>
      </c>
      <c r="Q97" s="12">
        <v>540015</v>
      </c>
      <c r="R97" s="12">
        <v>970590.07</v>
      </c>
      <c r="S97" s="12">
        <v>0</v>
      </c>
      <c r="T97" s="12">
        <v>27</v>
      </c>
      <c r="U97" s="12">
        <v>0</v>
      </c>
      <c r="V97" s="12">
        <v>0</v>
      </c>
      <c r="W97" s="35">
        <v>46144.261731053244</v>
      </c>
      <c r="X97" s="12">
        <v>4</v>
      </c>
      <c r="Y97" s="12">
        <v>6</v>
      </c>
      <c r="Z97" s="12">
        <v>301080.68</v>
      </c>
      <c r="AA97" s="12">
        <v>50142.858</v>
      </c>
      <c r="AB97" s="12">
        <v>109269</v>
      </c>
      <c r="AC97" s="12">
        <v>190411.68</v>
      </c>
      <c r="AD97" s="12">
        <v>10</v>
      </c>
      <c r="AE97" s="12">
        <v>10</v>
      </c>
      <c r="AF97" s="12">
        <v>1210924.3899999999</v>
      </c>
      <c r="AG97" s="12">
        <v>121092.439</v>
      </c>
      <c r="AH97" s="12">
        <v>430746</v>
      </c>
      <c r="AI97" s="12">
        <v>780178.39</v>
      </c>
      <c r="AJ97" s="12"/>
      <c r="AK97" s="12"/>
      <c r="AL97" s="12"/>
      <c r="AM97" s="12"/>
      <c r="AN97" s="12"/>
      <c r="AO97" s="12"/>
      <c r="AP97" s="12">
        <v>808122.7</v>
      </c>
      <c r="AQ97" s="12">
        <v>6</v>
      </c>
      <c r="AR97" s="12">
        <v>134649.861</v>
      </c>
      <c r="AS97" s="12">
        <v>316487</v>
      </c>
      <c r="AT97" s="12">
        <v>544218.5</v>
      </c>
      <c r="AU97" s="12">
        <v>8</v>
      </c>
      <c r="AV97" s="12">
        <v>68027.312000000005</v>
      </c>
      <c r="AW97" s="12">
        <v>189870</v>
      </c>
      <c r="AX97" s="12">
        <v>46218.49</v>
      </c>
      <c r="AY97" s="12">
        <v>1</v>
      </c>
      <c r="AZ97" s="12">
        <v>46218.49</v>
      </c>
      <c r="BA97" s="12">
        <v>9855</v>
      </c>
      <c r="BB97" s="12"/>
      <c r="BC97" s="12"/>
      <c r="BD97" s="12"/>
      <c r="BE97" s="12"/>
      <c r="BF97" s="12">
        <v>356</v>
      </c>
      <c r="BG97" s="12">
        <v>0</v>
      </c>
      <c r="BH97" s="12">
        <v>0</v>
      </c>
      <c r="BI97" s="12">
        <v>40</v>
      </c>
      <c r="BJ97" s="12">
        <v>0</v>
      </c>
      <c r="BK97" s="12">
        <v>0</v>
      </c>
      <c r="BL97" s="12">
        <v>26</v>
      </c>
      <c r="BM97" s="12">
        <v>1</v>
      </c>
      <c r="BN97" s="12">
        <v>3.8461538461538464E-2</v>
      </c>
      <c r="BO97" s="12">
        <v>50</v>
      </c>
      <c r="BP97" s="12">
        <v>0</v>
      </c>
      <c r="BQ97" s="12">
        <v>0</v>
      </c>
      <c r="BR97" s="12">
        <v>88</v>
      </c>
      <c r="BS97" s="12">
        <v>2</v>
      </c>
      <c r="BT97" s="12">
        <v>2.2727272727272728E-2</v>
      </c>
      <c r="BU97" s="12">
        <v>560</v>
      </c>
      <c r="BV97" s="12">
        <v>3</v>
      </c>
      <c r="BW97" s="12">
        <v>5.3571428571428572E-3</v>
      </c>
      <c r="BX97" s="12"/>
      <c r="BY97" s="12"/>
      <c r="BZ97" s="12"/>
      <c r="CA97" s="12">
        <v>93951.14</v>
      </c>
      <c r="CB97" s="13"/>
      <c r="CC97" s="13"/>
      <c r="CD97" s="13"/>
      <c r="CE97" s="12">
        <v>6152</v>
      </c>
      <c r="CF97" s="12">
        <v>456</v>
      </c>
      <c r="CG97" s="13">
        <v>37066</v>
      </c>
      <c r="CH97" s="13">
        <v>75</v>
      </c>
      <c r="CI97" s="13">
        <v>3843</v>
      </c>
    </row>
    <row r="98" spans="2:87" x14ac:dyDescent="0.2">
      <c r="B98" s="5">
        <v>45871</v>
      </c>
      <c r="C98" s="12">
        <v>24</v>
      </c>
      <c r="D98" s="12">
        <v>2</v>
      </c>
      <c r="E98" s="12">
        <v>108543.41899999999</v>
      </c>
      <c r="F98" s="12">
        <v>-2</v>
      </c>
      <c r="G98" s="12">
        <v>2663865.59</v>
      </c>
      <c r="H98" s="12">
        <v>0</v>
      </c>
      <c r="I98" s="12">
        <v>-105042.02</v>
      </c>
      <c r="J98" s="12">
        <v>2558823.5699999998</v>
      </c>
      <c r="K98" s="12">
        <v>41500</v>
      </c>
      <c r="L98" s="12">
        <v>0</v>
      </c>
      <c r="M98" s="12">
        <v>486176.43</v>
      </c>
      <c r="N98" s="12">
        <v>3086500</v>
      </c>
      <c r="O98" s="12">
        <v>0</v>
      </c>
      <c r="P98" s="12">
        <v>2558823.5699999998</v>
      </c>
      <c r="Q98" s="12">
        <v>711704</v>
      </c>
      <c r="R98" s="12">
        <v>1847119.57</v>
      </c>
      <c r="S98" s="12">
        <v>0</v>
      </c>
      <c r="T98" s="12">
        <v>48</v>
      </c>
      <c r="U98" s="12">
        <v>0</v>
      </c>
      <c r="V98" s="12">
        <v>0</v>
      </c>
      <c r="W98" s="35">
        <v>46144.261731053244</v>
      </c>
      <c r="X98" s="12">
        <v>7</v>
      </c>
      <c r="Y98" s="12">
        <v>7</v>
      </c>
      <c r="Z98" s="12">
        <v>880672.28</v>
      </c>
      <c r="AA98" s="12">
        <v>125810.325</v>
      </c>
      <c r="AB98" s="12">
        <v>237120</v>
      </c>
      <c r="AC98" s="12">
        <v>643552.28</v>
      </c>
      <c r="AD98" s="12">
        <v>17</v>
      </c>
      <c r="AE98" s="12">
        <v>17</v>
      </c>
      <c r="AF98" s="12">
        <v>1678151.29</v>
      </c>
      <c r="AG98" s="12">
        <v>101433.516</v>
      </c>
      <c r="AH98" s="12">
        <v>474584</v>
      </c>
      <c r="AI98" s="12">
        <v>1203567.29</v>
      </c>
      <c r="AJ98" s="12"/>
      <c r="AK98" s="12"/>
      <c r="AL98" s="12"/>
      <c r="AM98" s="12"/>
      <c r="AN98" s="12"/>
      <c r="AO98" s="12"/>
      <c r="AP98" s="12">
        <v>862184.88</v>
      </c>
      <c r="AQ98" s="12">
        <v>7</v>
      </c>
      <c r="AR98" s="12">
        <v>123169.268</v>
      </c>
      <c r="AS98" s="12">
        <v>286451</v>
      </c>
      <c r="AT98" s="12">
        <v>1596638.69</v>
      </c>
      <c r="AU98" s="12">
        <v>16</v>
      </c>
      <c r="AV98" s="12">
        <v>102678.573</v>
      </c>
      <c r="AW98" s="12">
        <v>399612</v>
      </c>
      <c r="AX98" s="12"/>
      <c r="AY98" s="12"/>
      <c r="AZ98" s="12"/>
      <c r="BA98" s="12"/>
      <c r="BB98" s="12"/>
      <c r="BC98" s="12"/>
      <c r="BD98" s="12"/>
      <c r="BE98" s="12"/>
      <c r="BF98" s="12">
        <v>402</v>
      </c>
      <c r="BG98" s="12">
        <v>2</v>
      </c>
      <c r="BH98" s="12">
        <v>4.9751243781094526E-3</v>
      </c>
      <c r="BI98" s="12">
        <v>55</v>
      </c>
      <c r="BJ98" s="12">
        <v>0</v>
      </c>
      <c r="BK98" s="12">
        <v>0</v>
      </c>
      <c r="BL98" s="12">
        <v>27</v>
      </c>
      <c r="BM98" s="12">
        <v>1</v>
      </c>
      <c r="BN98" s="12">
        <v>3.7037037037037035E-2</v>
      </c>
      <c r="BO98" s="12">
        <v>62</v>
      </c>
      <c r="BP98" s="12">
        <v>0</v>
      </c>
      <c r="BQ98" s="12">
        <v>0</v>
      </c>
      <c r="BR98" s="12">
        <v>74</v>
      </c>
      <c r="BS98" s="12">
        <v>3</v>
      </c>
      <c r="BT98" s="12">
        <v>4.0540540540540543E-2</v>
      </c>
      <c r="BU98" s="12">
        <v>620</v>
      </c>
      <c r="BV98" s="12">
        <v>6</v>
      </c>
      <c r="BW98" s="12">
        <v>9.6774193548387101E-3</v>
      </c>
      <c r="BX98" s="12"/>
      <c r="BY98" s="12"/>
      <c r="BZ98" s="12"/>
      <c r="CA98" s="12">
        <v>89892.14</v>
      </c>
      <c r="CB98" s="13"/>
      <c r="CC98" s="13"/>
      <c r="CD98" s="13"/>
      <c r="CE98" s="12">
        <v>6330</v>
      </c>
      <c r="CF98" s="12">
        <v>497</v>
      </c>
      <c r="CG98" s="13">
        <v>40629</v>
      </c>
      <c r="CH98" s="13">
        <v>139</v>
      </c>
      <c r="CI98" s="13">
        <v>4567</v>
      </c>
    </row>
    <row r="99" spans="2:87" x14ac:dyDescent="0.2">
      <c r="B99" s="5">
        <v>45872</v>
      </c>
      <c r="C99" s="12">
        <v>7</v>
      </c>
      <c r="D99" s="12">
        <v>2</v>
      </c>
      <c r="E99" s="12">
        <v>116418.96799999999</v>
      </c>
      <c r="F99" s="12">
        <v>0</v>
      </c>
      <c r="G99" s="12">
        <v>814932.78</v>
      </c>
      <c r="H99" s="12">
        <v>0</v>
      </c>
      <c r="I99" s="12">
        <v>0</v>
      </c>
      <c r="J99" s="12">
        <v>814932.78</v>
      </c>
      <c r="K99" s="12">
        <v>9000</v>
      </c>
      <c r="L99" s="12">
        <v>0</v>
      </c>
      <c r="M99" s="12">
        <v>120067.22</v>
      </c>
      <c r="N99" s="12">
        <v>944000</v>
      </c>
      <c r="O99" s="12">
        <v>0</v>
      </c>
      <c r="P99" s="12">
        <v>814932.78</v>
      </c>
      <c r="Q99" s="12">
        <v>315274</v>
      </c>
      <c r="R99" s="12">
        <v>499658.78</v>
      </c>
      <c r="S99" s="12">
        <v>0</v>
      </c>
      <c r="T99" s="12">
        <v>14</v>
      </c>
      <c r="U99" s="12">
        <v>0</v>
      </c>
      <c r="V99" s="12">
        <v>0</v>
      </c>
      <c r="W99" s="35">
        <v>46144.261731053244</v>
      </c>
      <c r="X99" s="12">
        <v>2</v>
      </c>
      <c r="Y99" s="12">
        <v>2</v>
      </c>
      <c r="Z99" s="12">
        <v>231092.44</v>
      </c>
      <c r="AA99" s="12">
        <v>115546.22</v>
      </c>
      <c r="AB99" s="12">
        <v>92642</v>
      </c>
      <c r="AC99" s="12">
        <v>138450.44</v>
      </c>
      <c r="AD99" s="12">
        <v>5</v>
      </c>
      <c r="AE99" s="12">
        <v>5</v>
      </c>
      <c r="AF99" s="12">
        <v>583840.34</v>
      </c>
      <c r="AG99" s="12">
        <v>116768.068</v>
      </c>
      <c r="AH99" s="12">
        <v>222632</v>
      </c>
      <c r="AI99" s="12">
        <v>361208.34</v>
      </c>
      <c r="AJ99" s="12"/>
      <c r="AK99" s="12"/>
      <c r="AL99" s="12"/>
      <c r="AM99" s="12"/>
      <c r="AN99" s="12"/>
      <c r="AO99" s="12"/>
      <c r="AP99" s="12">
        <v>79831.929999999993</v>
      </c>
      <c r="AQ99" s="12">
        <v>1</v>
      </c>
      <c r="AR99" s="12">
        <v>79831.929999999993</v>
      </c>
      <c r="AS99" s="12">
        <v>19675</v>
      </c>
      <c r="AT99" s="12">
        <v>735100.85</v>
      </c>
      <c r="AU99" s="12">
        <v>6</v>
      </c>
      <c r="AV99" s="12">
        <v>122516.808</v>
      </c>
      <c r="AW99" s="12">
        <v>295599</v>
      </c>
      <c r="AX99" s="12"/>
      <c r="AY99" s="12"/>
      <c r="AZ99" s="12"/>
      <c r="BA99" s="12"/>
      <c r="BB99" s="12"/>
      <c r="BC99" s="12"/>
      <c r="BD99" s="12"/>
      <c r="BE99" s="12"/>
      <c r="BF99" s="12">
        <v>367</v>
      </c>
      <c r="BG99" s="12">
        <v>1</v>
      </c>
      <c r="BH99" s="12">
        <v>2.7247956403269754E-3</v>
      </c>
      <c r="BI99" s="12">
        <v>53</v>
      </c>
      <c r="BJ99" s="12">
        <v>0</v>
      </c>
      <c r="BK99" s="12">
        <v>0</v>
      </c>
      <c r="BL99" s="12">
        <v>30</v>
      </c>
      <c r="BM99" s="12">
        <v>0</v>
      </c>
      <c r="BN99" s="12">
        <v>0</v>
      </c>
      <c r="BO99" s="12">
        <v>33</v>
      </c>
      <c r="BP99" s="12">
        <v>0</v>
      </c>
      <c r="BQ99" s="12">
        <v>0</v>
      </c>
      <c r="BR99" s="12">
        <v>63</v>
      </c>
      <c r="BS99" s="12">
        <v>0</v>
      </c>
      <c r="BT99" s="12">
        <v>0</v>
      </c>
      <c r="BU99" s="12">
        <v>546</v>
      </c>
      <c r="BV99" s="12">
        <v>1</v>
      </c>
      <c r="BW99" s="12">
        <v>1.8315018315018315E-3</v>
      </c>
      <c r="BX99" s="12"/>
      <c r="BY99" s="12"/>
      <c r="BZ99" s="12"/>
      <c r="CA99" s="12">
        <v>91578.559999999998</v>
      </c>
      <c r="CB99" s="13"/>
      <c r="CC99" s="13"/>
      <c r="CD99" s="13"/>
      <c r="CE99" s="12">
        <v>5950</v>
      </c>
      <c r="CF99" s="12">
        <v>428</v>
      </c>
      <c r="CG99" s="13">
        <v>41136</v>
      </c>
      <c r="CH99" s="13">
        <v>119</v>
      </c>
      <c r="CI99" s="13">
        <v>4529</v>
      </c>
    </row>
    <row r="100" spans="2:87" x14ac:dyDescent="0.2">
      <c r="B100" s="5">
        <v>45873</v>
      </c>
      <c r="C100" s="12">
        <v>11</v>
      </c>
      <c r="D100" s="12">
        <v>1.9</v>
      </c>
      <c r="E100" s="12">
        <v>133766.23300000001</v>
      </c>
      <c r="F100" s="12">
        <v>-1</v>
      </c>
      <c r="G100" s="12">
        <v>1505042.01</v>
      </c>
      <c r="H100" s="12">
        <v>-8403.36</v>
      </c>
      <c r="I100" s="12">
        <v>-21848.74</v>
      </c>
      <c r="J100" s="12">
        <v>1474789.91</v>
      </c>
      <c r="K100" s="12">
        <v>50500</v>
      </c>
      <c r="L100" s="12">
        <v>0</v>
      </c>
      <c r="M100" s="12">
        <v>280210.09000000003</v>
      </c>
      <c r="N100" s="12">
        <v>1805500</v>
      </c>
      <c r="O100" s="12">
        <v>0</v>
      </c>
      <c r="P100" s="12">
        <v>1474789.91</v>
      </c>
      <c r="Q100" s="12">
        <v>459542</v>
      </c>
      <c r="R100" s="12">
        <v>1015247.91</v>
      </c>
      <c r="S100" s="12">
        <v>0</v>
      </c>
      <c r="T100" s="12">
        <v>21</v>
      </c>
      <c r="U100" s="12">
        <v>0</v>
      </c>
      <c r="V100" s="12">
        <v>0</v>
      </c>
      <c r="W100" s="35">
        <v>46144.261731053244</v>
      </c>
      <c r="X100" s="12">
        <v>5</v>
      </c>
      <c r="Y100" s="12">
        <v>5</v>
      </c>
      <c r="Z100" s="12">
        <v>609243.69999999995</v>
      </c>
      <c r="AA100" s="12">
        <v>121848.74</v>
      </c>
      <c r="AB100" s="12">
        <v>182287</v>
      </c>
      <c r="AC100" s="12">
        <v>426956.7</v>
      </c>
      <c r="AD100" s="12">
        <v>5</v>
      </c>
      <c r="AE100" s="12">
        <v>5</v>
      </c>
      <c r="AF100" s="12">
        <v>773109.24</v>
      </c>
      <c r="AG100" s="12">
        <v>153949.57999999999</v>
      </c>
      <c r="AH100" s="12">
        <v>257545</v>
      </c>
      <c r="AI100" s="12">
        <v>515564.24</v>
      </c>
      <c r="AJ100" s="12">
        <v>1</v>
      </c>
      <c r="AK100" s="12">
        <v>1</v>
      </c>
      <c r="AL100" s="12">
        <v>92436.97</v>
      </c>
      <c r="AM100" s="12">
        <v>92436.97</v>
      </c>
      <c r="AN100" s="12">
        <v>19710</v>
      </c>
      <c r="AO100" s="12">
        <v>72726.97</v>
      </c>
      <c r="AP100" s="12">
        <v>962184.87</v>
      </c>
      <c r="AQ100" s="12">
        <v>5</v>
      </c>
      <c r="AR100" s="12">
        <v>192436.97399999999</v>
      </c>
      <c r="AS100" s="12">
        <v>331012</v>
      </c>
      <c r="AT100" s="12">
        <v>420168.07</v>
      </c>
      <c r="AU100" s="12">
        <v>5</v>
      </c>
      <c r="AV100" s="12">
        <v>83361.346000000005</v>
      </c>
      <c r="AW100" s="12">
        <v>108820</v>
      </c>
      <c r="AX100" s="12"/>
      <c r="AY100" s="12"/>
      <c r="AZ100" s="12"/>
      <c r="BA100" s="12"/>
      <c r="BB100" s="12"/>
      <c r="BC100" s="12"/>
      <c r="BD100" s="12"/>
      <c r="BE100" s="12"/>
      <c r="BF100" s="12">
        <v>386</v>
      </c>
      <c r="BG100" s="12">
        <v>0</v>
      </c>
      <c r="BH100" s="12">
        <v>0</v>
      </c>
      <c r="BI100" s="12">
        <v>32</v>
      </c>
      <c r="BJ100" s="12">
        <v>1</v>
      </c>
      <c r="BK100" s="12">
        <v>3.125E-2</v>
      </c>
      <c r="BL100" s="12">
        <v>23</v>
      </c>
      <c r="BM100" s="12">
        <v>0</v>
      </c>
      <c r="BN100" s="12">
        <v>0</v>
      </c>
      <c r="BO100" s="12">
        <v>49</v>
      </c>
      <c r="BP100" s="12">
        <v>0</v>
      </c>
      <c r="BQ100" s="12">
        <v>0</v>
      </c>
      <c r="BR100" s="12">
        <v>82</v>
      </c>
      <c r="BS100" s="12">
        <v>4</v>
      </c>
      <c r="BT100" s="12">
        <v>4.878048780487805E-2</v>
      </c>
      <c r="BU100" s="12">
        <v>572</v>
      </c>
      <c r="BV100" s="12">
        <v>5</v>
      </c>
      <c r="BW100" s="12">
        <v>8.7412587412587419E-3</v>
      </c>
      <c r="BX100" s="12"/>
      <c r="BY100" s="12"/>
      <c r="BZ100" s="12"/>
      <c r="CA100" s="12">
        <v>99661.16</v>
      </c>
      <c r="CB100" s="13"/>
      <c r="CC100" s="13"/>
      <c r="CD100" s="13"/>
      <c r="CE100" s="12">
        <v>6632</v>
      </c>
      <c r="CF100" s="12">
        <v>465</v>
      </c>
      <c r="CG100" s="13">
        <v>40432</v>
      </c>
      <c r="CH100" s="13">
        <v>90</v>
      </c>
      <c r="CI100" s="13">
        <v>4227</v>
      </c>
    </row>
    <row r="101" spans="2:87" x14ac:dyDescent="0.2">
      <c r="B101" s="5">
        <v>45874</v>
      </c>
      <c r="C101" s="12">
        <v>23</v>
      </c>
      <c r="D101" s="12">
        <v>2.9</v>
      </c>
      <c r="E101" s="12">
        <v>170272.56200000001</v>
      </c>
      <c r="F101" s="12">
        <v>0</v>
      </c>
      <c r="G101" s="12">
        <v>3979294.15</v>
      </c>
      <c r="H101" s="12">
        <v>-63025.21</v>
      </c>
      <c r="I101" s="12">
        <v>0</v>
      </c>
      <c r="J101" s="12">
        <v>3916268.94</v>
      </c>
      <c r="K101" s="12">
        <v>61500</v>
      </c>
      <c r="L101" s="12">
        <v>0</v>
      </c>
      <c r="M101" s="12">
        <v>716731.06</v>
      </c>
      <c r="N101" s="12">
        <v>4694500</v>
      </c>
      <c r="O101" s="12">
        <v>0</v>
      </c>
      <c r="P101" s="12">
        <v>3916268.94</v>
      </c>
      <c r="Q101" s="12">
        <v>1210871</v>
      </c>
      <c r="R101" s="12">
        <v>2705397.94</v>
      </c>
      <c r="S101" s="12">
        <v>0</v>
      </c>
      <c r="T101" s="12">
        <v>66</v>
      </c>
      <c r="U101" s="12">
        <v>0</v>
      </c>
      <c r="V101" s="12">
        <v>0</v>
      </c>
      <c r="W101" s="35">
        <v>46144.261731053244</v>
      </c>
      <c r="X101" s="12">
        <v>11</v>
      </c>
      <c r="Y101" s="12">
        <v>15</v>
      </c>
      <c r="Z101" s="12">
        <v>2695260.52</v>
      </c>
      <c r="AA101" s="12">
        <v>179684.03400000001</v>
      </c>
      <c r="AB101" s="12">
        <v>848645</v>
      </c>
      <c r="AC101" s="12">
        <v>1846615.52</v>
      </c>
      <c r="AD101" s="12">
        <v>8</v>
      </c>
      <c r="AE101" s="12">
        <v>8</v>
      </c>
      <c r="AF101" s="12">
        <v>1221008.42</v>
      </c>
      <c r="AG101" s="12">
        <v>152626.052</v>
      </c>
      <c r="AH101" s="12">
        <v>362226</v>
      </c>
      <c r="AI101" s="12">
        <v>858782.42</v>
      </c>
      <c r="AJ101" s="12"/>
      <c r="AK101" s="12"/>
      <c r="AL101" s="12"/>
      <c r="AM101" s="12"/>
      <c r="AN101" s="12"/>
      <c r="AO101" s="12"/>
      <c r="AP101" s="12">
        <v>1351260.52</v>
      </c>
      <c r="AQ101" s="12">
        <v>8</v>
      </c>
      <c r="AR101" s="12">
        <v>168907.565</v>
      </c>
      <c r="AS101" s="12">
        <v>386775</v>
      </c>
      <c r="AT101" s="12">
        <v>1976773.13</v>
      </c>
      <c r="AU101" s="12">
        <v>12</v>
      </c>
      <c r="AV101" s="12">
        <v>164731.09400000001</v>
      </c>
      <c r="AW101" s="12">
        <v>708523</v>
      </c>
      <c r="AX101" s="12"/>
      <c r="AY101" s="12"/>
      <c r="AZ101" s="12"/>
      <c r="BA101" s="12"/>
      <c r="BB101" s="12"/>
      <c r="BC101" s="12"/>
      <c r="BD101" s="12"/>
      <c r="BE101" s="12"/>
      <c r="BF101" s="12">
        <v>349</v>
      </c>
      <c r="BG101" s="12">
        <v>1</v>
      </c>
      <c r="BH101" s="12">
        <v>2.8653295128939827E-3</v>
      </c>
      <c r="BI101" s="12">
        <v>42</v>
      </c>
      <c r="BJ101" s="12">
        <v>1</v>
      </c>
      <c r="BK101" s="12">
        <v>2.3809523809523808E-2</v>
      </c>
      <c r="BL101" s="12">
        <v>22</v>
      </c>
      <c r="BM101" s="12">
        <v>2</v>
      </c>
      <c r="BN101" s="12">
        <v>9.0909090909090912E-2</v>
      </c>
      <c r="BO101" s="12">
        <v>41</v>
      </c>
      <c r="BP101" s="12">
        <v>0</v>
      </c>
      <c r="BQ101" s="12">
        <v>0</v>
      </c>
      <c r="BR101" s="12">
        <v>100</v>
      </c>
      <c r="BS101" s="12">
        <v>3</v>
      </c>
      <c r="BT101" s="12">
        <v>0.03</v>
      </c>
      <c r="BU101" s="12">
        <v>554</v>
      </c>
      <c r="BV101" s="12">
        <v>7</v>
      </c>
      <c r="BW101" s="12">
        <v>1.263537906137184E-2</v>
      </c>
      <c r="BX101" s="12"/>
      <c r="BY101" s="12"/>
      <c r="BZ101" s="12"/>
      <c r="CA101" s="12">
        <v>88337.45</v>
      </c>
      <c r="CB101" s="13"/>
      <c r="CC101" s="13"/>
      <c r="CD101" s="13"/>
      <c r="CE101" s="12">
        <v>5172</v>
      </c>
      <c r="CF101" s="12">
        <v>412</v>
      </c>
      <c r="CG101" s="13">
        <v>43089</v>
      </c>
      <c r="CH101" s="13">
        <v>106</v>
      </c>
      <c r="CI101" s="13">
        <v>4316</v>
      </c>
    </row>
    <row r="102" spans="2:87" x14ac:dyDescent="0.2">
      <c r="B102" s="5">
        <v>45875</v>
      </c>
      <c r="C102" s="12">
        <v>22</v>
      </c>
      <c r="D102" s="12">
        <v>1.9</v>
      </c>
      <c r="E102" s="12">
        <v>161178.38</v>
      </c>
      <c r="F102" s="12">
        <v>-82</v>
      </c>
      <c r="G102" s="12">
        <v>6198025.21</v>
      </c>
      <c r="H102" s="12">
        <v>-74789.91</v>
      </c>
      <c r="I102" s="12">
        <v>-2571176.48</v>
      </c>
      <c r="J102" s="12">
        <v>3552058.82</v>
      </c>
      <c r="K102" s="12">
        <v>68000</v>
      </c>
      <c r="L102" s="12">
        <v>0</v>
      </c>
      <c r="M102" s="12">
        <v>649241.18000000005</v>
      </c>
      <c r="N102" s="12">
        <v>4269300</v>
      </c>
      <c r="O102" s="12">
        <v>67226.89</v>
      </c>
      <c r="P102" s="12">
        <v>3484831.93</v>
      </c>
      <c r="Q102" s="12">
        <v>897392</v>
      </c>
      <c r="R102" s="12">
        <v>2587439.9300000002</v>
      </c>
      <c r="S102" s="12">
        <v>0</v>
      </c>
      <c r="T102" s="12">
        <v>-6</v>
      </c>
      <c r="U102" s="12">
        <v>0</v>
      </c>
      <c r="V102" s="12">
        <v>0</v>
      </c>
      <c r="W102" s="35">
        <v>46144.261731053244</v>
      </c>
      <c r="X102" s="12">
        <v>6</v>
      </c>
      <c r="Y102" s="12">
        <v>7</v>
      </c>
      <c r="Z102" s="12">
        <v>665865.55000000005</v>
      </c>
      <c r="AA102" s="12">
        <v>89721.487999999998</v>
      </c>
      <c r="AB102" s="12">
        <v>226254</v>
      </c>
      <c r="AC102" s="12">
        <v>439611.55</v>
      </c>
      <c r="AD102" s="12">
        <v>15</v>
      </c>
      <c r="AE102" s="12">
        <v>15</v>
      </c>
      <c r="AF102" s="12">
        <v>2886193.27</v>
      </c>
      <c r="AG102" s="12">
        <v>194524.93</v>
      </c>
      <c r="AH102" s="12">
        <v>671138</v>
      </c>
      <c r="AI102" s="12">
        <v>2147828.38</v>
      </c>
      <c r="AJ102" s="12"/>
      <c r="AK102" s="12"/>
      <c r="AL102" s="12"/>
      <c r="AM102" s="12"/>
      <c r="AN102" s="12"/>
      <c r="AO102" s="12"/>
      <c r="AP102" s="12">
        <v>568907.56999999995</v>
      </c>
      <c r="AQ102" s="12">
        <v>4</v>
      </c>
      <c r="AR102" s="12">
        <v>142226.89199999999</v>
      </c>
      <c r="AS102" s="12">
        <v>153871</v>
      </c>
      <c r="AT102" s="12">
        <v>3014831.93</v>
      </c>
      <c r="AU102" s="12">
        <v>18</v>
      </c>
      <c r="AV102" s="12">
        <v>165389.82199999999</v>
      </c>
      <c r="AW102" s="12">
        <v>972697</v>
      </c>
      <c r="AX102" s="12"/>
      <c r="AY102" s="12"/>
      <c r="AZ102" s="12"/>
      <c r="BA102" s="12"/>
      <c r="BB102" s="12"/>
      <c r="BC102" s="12"/>
      <c r="BD102" s="12"/>
      <c r="BE102" s="12"/>
      <c r="BF102" s="12">
        <v>410</v>
      </c>
      <c r="BG102" s="12">
        <v>0</v>
      </c>
      <c r="BH102" s="12">
        <v>0</v>
      </c>
      <c r="BI102" s="12">
        <v>34</v>
      </c>
      <c r="BJ102" s="12">
        <v>0</v>
      </c>
      <c r="BK102" s="12">
        <v>0</v>
      </c>
      <c r="BL102" s="12">
        <v>32</v>
      </c>
      <c r="BM102" s="12">
        <v>0</v>
      </c>
      <c r="BN102" s="12">
        <v>0</v>
      </c>
      <c r="BO102" s="12">
        <v>34</v>
      </c>
      <c r="BP102" s="12">
        <v>0</v>
      </c>
      <c r="BQ102" s="12">
        <v>0</v>
      </c>
      <c r="BR102" s="12">
        <v>132</v>
      </c>
      <c r="BS102" s="12">
        <v>4</v>
      </c>
      <c r="BT102" s="12">
        <v>3.0303030303030304E-2</v>
      </c>
      <c r="BU102" s="12">
        <v>642</v>
      </c>
      <c r="BV102" s="12">
        <v>4</v>
      </c>
      <c r="BW102" s="12">
        <v>6.2305295950155761E-3</v>
      </c>
      <c r="BX102" s="12"/>
      <c r="BY102" s="12"/>
      <c r="BZ102" s="12"/>
      <c r="CA102" s="12">
        <v>108204.98</v>
      </c>
      <c r="CB102" s="13"/>
      <c r="CC102" s="13"/>
      <c r="CD102" s="13"/>
      <c r="CE102" s="12">
        <v>6327</v>
      </c>
      <c r="CF102" s="12">
        <v>459</v>
      </c>
      <c r="CG102" s="13">
        <v>37443</v>
      </c>
      <c r="CH102" s="13">
        <v>81</v>
      </c>
      <c r="CI102" s="13">
        <v>4283</v>
      </c>
    </row>
    <row r="103" spans="2:87" x14ac:dyDescent="0.2">
      <c r="B103" s="5">
        <v>45876</v>
      </c>
      <c r="C103" s="12">
        <v>8</v>
      </c>
      <c r="D103" s="12">
        <v>1.9</v>
      </c>
      <c r="E103" s="12">
        <v>63077.731</v>
      </c>
      <c r="F103" s="12">
        <v>-2</v>
      </c>
      <c r="G103" s="12">
        <v>618067.23</v>
      </c>
      <c r="H103" s="12">
        <v>0</v>
      </c>
      <c r="I103" s="12">
        <v>-323529.40999999997</v>
      </c>
      <c r="J103" s="12">
        <v>294537.82</v>
      </c>
      <c r="K103" s="12">
        <v>41500</v>
      </c>
      <c r="L103" s="12">
        <v>0</v>
      </c>
      <c r="M103" s="12">
        <v>55962.18</v>
      </c>
      <c r="N103" s="12">
        <v>392000</v>
      </c>
      <c r="O103" s="12">
        <v>4621.8500000000004</v>
      </c>
      <c r="P103" s="12">
        <v>289915.96999999997</v>
      </c>
      <c r="Q103" s="12">
        <v>79523</v>
      </c>
      <c r="R103" s="12">
        <v>210392.97</v>
      </c>
      <c r="S103" s="12">
        <v>0</v>
      </c>
      <c r="T103" s="12">
        <v>15</v>
      </c>
      <c r="U103" s="12">
        <v>0</v>
      </c>
      <c r="V103" s="12">
        <v>0</v>
      </c>
      <c r="W103" s="35">
        <v>46144.261731053244</v>
      </c>
      <c r="X103" s="12">
        <v>3</v>
      </c>
      <c r="Y103" s="12">
        <v>3</v>
      </c>
      <c r="Z103" s="12">
        <v>234873.95</v>
      </c>
      <c r="AA103" s="12">
        <v>78291.316000000006</v>
      </c>
      <c r="AB103" s="12">
        <v>66921</v>
      </c>
      <c r="AC103" s="12">
        <v>163331.1</v>
      </c>
      <c r="AD103" s="12">
        <v>5</v>
      </c>
      <c r="AE103" s="12">
        <v>5</v>
      </c>
      <c r="AF103" s="12">
        <v>59663.87</v>
      </c>
      <c r="AG103" s="12">
        <v>53949.58</v>
      </c>
      <c r="AH103" s="12">
        <v>12602</v>
      </c>
      <c r="AI103" s="12">
        <v>47061.87</v>
      </c>
      <c r="AJ103" s="12"/>
      <c r="AK103" s="12"/>
      <c r="AL103" s="12"/>
      <c r="AM103" s="12"/>
      <c r="AN103" s="12"/>
      <c r="AO103" s="12"/>
      <c r="AP103" s="12">
        <v>159663.87</v>
      </c>
      <c r="AQ103" s="12">
        <v>3</v>
      </c>
      <c r="AR103" s="12">
        <v>53221.29</v>
      </c>
      <c r="AS103" s="12">
        <v>43028</v>
      </c>
      <c r="AT103" s="12">
        <v>134873.95000000001</v>
      </c>
      <c r="AU103" s="12">
        <v>5</v>
      </c>
      <c r="AV103" s="12">
        <v>68991.596000000005</v>
      </c>
      <c r="AW103" s="12">
        <v>36495</v>
      </c>
      <c r="AX103" s="12"/>
      <c r="AY103" s="12"/>
      <c r="AZ103" s="12"/>
      <c r="BA103" s="12"/>
      <c r="BB103" s="12"/>
      <c r="BC103" s="12"/>
      <c r="BD103" s="12"/>
      <c r="BE103" s="12"/>
      <c r="BF103" s="12">
        <v>448</v>
      </c>
      <c r="BG103" s="12">
        <v>2</v>
      </c>
      <c r="BH103" s="12">
        <v>4.464285714285714E-3</v>
      </c>
      <c r="BI103" s="12">
        <v>46</v>
      </c>
      <c r="BJ103" s="12">
        <v>2</v>
      </c>
      <c r="BK103" s="12">
        <v>4.3478260869565216E-2</v>
      </c>
      <c r="BL103" s="12">
        <v>16</v>
      </c>
      <c r="BM103" s="12">
        <v>0</v>
      </c>
      <c r="BN103" s="12">
        <v>0</v>
      </c>
      <c r="BO103" s="12">
        <v>58</v>
      </c>
      <c r="BP103" s="12">
        <v>0</v>
      </c>
      <c r="BQ103" s="12">
        <v>0</v>
      </c>
      <c r="BR103" s="12">
        <v>62</v>
      </c>
      <c r="BS103" s="12">
        <v>0</v>
      </c>
      <c r="BT103" s="12">
        <v>0</v>
      </c>
      <c r="BU103" s="12">
        <v>630</v>
      </c>
      <c r="BV103" s="12">
        <v>4</v>
      </c>
      <c r="BW103" s="12">
        <v>6.3492063492063492E-3</v>
      </c>
      <c r="BX103" s="12"/>
      <c r="BY103" s="12"/>
      <c r="BZ103" s="12"/>
      <c r="CA103" s="12">
        <v>99878.080000000002</v>
      </c>
      <c r="CB103" s="13"/>
      <c r="CC103" s="13"/>
      <c r="CD103" s="13"/>
      <c r="CE103" s="12">
        <v>7711</v>
      </c>
      <c r="CF103" s="12">
        <v>535</v>
      </c>
      <c r="CG103" s="13">
        <v>36449</v>
      </c>
      <c r="CH103" s="13">
        <v>112</v>
      </c>
      <c r="CI103" s="13">
        <v>4164</v>
      </c>
    </row>
    <row r="104" spans="2:87" x14ac:dyDescent="0.2">
      <c r="B104" s="5">
        <v>45877</v>
      </c>
      <c r="C104" s="12">
        <v>16</v>
      </c>
      <c r="D104" s="12">
        <v>2.6</v>
      </c>
      <c r="E104" s="12">
        <v>170412.29</v>
      </c>
      <c r="F104" s="12">
        <v>0</v>
      </c>
      <c r="G104" s="12">
        <v>2726596.65</v>
      </c>
      <c r="H104" s="12">
        <v>0</v>
      </c>
      <c r="I104" s="12">
        <v>0</v>
      </c>
      <c r="J104" s="12">
        <v>2726596.65</v>
      </c>
      <c r="K104" s="12">
        <v>41500</v>
      </c>
      <c r="L104" s="12">
        <v>0</v>
      </c>
      <c r="M104" s="12">
        <v>511403.35</v>
      </c>
      <c r="N104" s="12">
        <v>3279500</v>
      </c>
      <c r="O104" s="12">
        <v>0</v>
      </c>
      <c r="P104" s="12">
        <v>2726596.65</v>
      </c>
      <c r="Q104" s="12">
        <v>900195</v>
      </c>
      <c r="R104" s="12">
        <v>1826401.65</v>
      </c>
      <c r="S104" s="12">
        <v>155000</v>
      </c>
      <c r="T104" s="12">
        <v>42</v>
      </c>
      <c r="U104" s="12">
        <v>0</v>
      </c>
      <c r="V104" s="12">
        <v>155000</v>
      </c>
      <c r="W104" s="35">
        <v>46144.261731053244</v>
      </c>
      <c r="X104" s="12">
        <v>4</v>
      </c>
      <c r="Y104" s="12">
        <v>8</v>
      </c>
      <c r="Z104" s="12">
        <v>958823.54</v>
      </c>
      <c r="AA104" s="12">
        <v>119852.942</v>
      </c>
      <c r="AB104" s="12">
        <v>305887</v>
      </c>
      <c r="AC104" s="12">
        <v>652936.54</v>
      </c>
      <c r="AD104" s="12">
        <v>8</v>
      </c>
      <c r="AE104" s="12">
        <v>8</v>
      </c>
      <c r="AF104" s="12">
        <v>1767773.11</v>
      </c>
      <c r="AG104" s="12">
        <v>220971.63800000001</v>
      </c>
      <c r="AH104" s="12">
        <v>594308</v>
      </c>
      <c r="AI104" s="12">
        <v>1173465.1100000001</v>
      </c>
      <c r="AJ104" s="12">
        <v>0</v>
      </c>
      <c r="AK104" s="12">
        <v>0</v>
      </c>
      <c r="AL104" s="12">
        <v>0</v>
      </c>
      <c r="AM104" s="12"/>
      <c r="AN104" s="12">
        <v>0</v>
      </c>
      <c r="AO104" s="12">
        <v>0</v>
      </c>
      <c r="AP104" s="12">
        <v>722689.08</v>
      </c>
      <c r="AQ104" s="12">
        <v>4</v>
      </c>
      <c r="AR104" s="12">
        <v>180672.27</v>
      </c>
      <c r="AS104" s="12">
        <v>180679</v>
      </c>
      <c r="AT104" s="12">
        <v>1785420.17</v>
      </c>
      <c r="AU104" s="12">
        <v>10</v>
      </c>
      <c r="AV104" s="12">
        <v>178542.01699999999</v>
      </c>
      <c r="AW104" s="12">
        <v>666683</v>
      </c>
      <c r="AX104" s="12">
        <v>218487.4</v>
      </c>
      <c r="AY104" s="12">
        <v>2</v>
      </c>
      <c r="AZ104" s="12">
        <v>109243.7</v>
      </c>
      <c r="BA104" s="12">
        <v>52833</v>
      </c>
      <c r="BB104" s="12"/>
      <c r="BC104" s="12"/>
      <c r="BD104" s="12"/>
      <c r="BE104" s="12"/>
      <c r="BF104" s="12">
        <v>378</v>
      </c>
      <c r="BG104" s="12">
        <v>0</v>
      </c>
      <c r="BH104" s="12">
        <v>0</v>
      </c>
      <c r="BI104" s="12">
        <v>52</v>
      </c>
      <c r="BJ104" s="12">
        <v>1</v>
      </c>
      <c r="BK104" s="12">
        <v>1.9230769230769232E-2</v>
      </c>
      <c r="BL104" s="12">
        <v>22</v>
      </c>
      <c r="BM104" s="12">
        <v>1</v>
      </c>
      <c r="BN104" s="12">
        <v>4.5454545454545456E-2</v>
      </c>
      <c r="BO104" s="12">
        <v>56</v>
      </c>
      <c r="BP104" s="12">
        <v>0</v>
      </c>
      <c r="BQ104" s="12">
        <v>0</v>
      </c>
      <c r="BR104" s="12">
        <v>58</v>
      </c>
      <c r="BS104" s="12">
        <v>1</v>
      </c>
      <c r="BT104" s="12">
        <v>1.7241379310344827E-2</v>
      </c>
      <c r="BU104" s="12">
        <v>566</v>
      </c>
      <c r="BV104" s="12">
        <v>3</v>
      </c>
      <c r="BW104" s="12">
        <v>5.3003533568904597E-3</v>
      </c>
      <c r="BX104" s="12"/>
      <c r="BY104" s="12"/>
      <c r="BZ104" s="12"/>
      <c r="CA104" s="12">
        <v>83801.259999999995</v>
      </c>
      <c r="CB104" s="13"/>
      <c r="CC104" s="13"/>
      <c r="CD104" s="13"/>
      <c r="CE104" s="12">
        <v>6248</v>
      </c>
      <c r="CF104" s="12">
        <v>481</v>
      </c>
      <c r="CG104" s="13">
        <v>40321</v>
      </c>
      <c r="CH104" s="13">
        <v>115</v>
      </c>
      <c r="CI104" s="13">
        <v>4905</v>
      </c>
    </row>
    <row r="105" spans="2:87" x14ac:dyDescent="0.2">
      <c r="B105" s="5">
        <v>45878</v>
      </c>
      <c r="C105" s="12">
        <v>11</v>
      </c>
      <c r="D105" s="12">
        <v>2.5</v>
      </c>
      <c r="E105" s="12">
        <v>129984.799</v>
      </c>
      <c r="F105" s="12">
        <v>-1</v>
      </c>
      <c r="G105" s="12">
        <v>1429832.79</v>
      </c>
      <c r="H105" s="12">
        <v>0</v>
      </c>
      <c r="I105" s="12">
        <v>0</v>
      </c>
      <c r="J105" s="12">
        <v>1429832.79</v>
      </c>
      <c r="K105" s="12">
        <v>32500</v>
      </c>
      <c r="L105" s="12">
        <v>0</v>
      </c>
      <c r="M105" s="12">
        <v>271668.21000000002</v>
      </c>
      <c r="N105" s="12">
        <v>1734001</v>
      </c>
      <c r="O105" s="12">
        <v>0</v>
      </c>
      <c r="P105" s="12">
        <v>1429832.79</v>
      </c>
      <c r="Q105" s="12">
        <v>429080</v>
      </c>
      <c r="R105" s="12">
        <v>1000752.79</v>
      </c>
      <c r="S105" s="12">
        <v>45000</v>
      </c>
      <c r="T105" s="12">
        <v>28</v>
      </c>
      <c r="U105" s="12">
        <v>0</v>
      </c>
      <c r="V105" s="12">
        <v>45000</v>
      </c>
      <c r="W105" s="35">
        <v>46144.261731053244</v>
      </c>
      <c r="X105" s="12">
        <v>5</v>
      </c>
      <c r="Y105" s="12">
        <v>5</v>
      </c>
      <c r="Z105" s="12">
        <v>360925.21</v>
      </c>
      <c r="AA105" s="12">
        <v>72185.042000000001</v>
      </c>
      <c r="AB105" s="12">
        <v>131057</v>
      </c>
      <c r="AC105" s="12">
        <v>229868.21</v>
      </c>
      <c r="AD105" s="12">
        <v>6</v>
      </c>
      <c r="AE105" s="12">
        <v>6</v>
      </c>
      <c r="AF105" s="12">
        <v>1068907.58</v>
      </c>
      <c r="AG105" s="12">
        <v>178151.26300000001</v>
      </c>
      <c r="AH105" s="12">
        <v>298023</v>
      </c>
      <c r="AI105" s="12">
        <v>770884.58</v>
      </c>
      <c r="AJ105" s="12">
        <v>0</v>
      </c>
      <c r="AK105" s="12">
        <v>0</v>
      </c>
      <c r="AL105" s="12">
        <v>0</v>
      </c>
      <c r="AM105" s="12"/>
      <c r="AN105" s="12">
        <v>0</v>
      </c>
      <c r="AO105" s="12">
        <v>0</v>
      </c>
      <c r="AP105" s="12">
        <v>596639.5</v>
      </c>
      <c r="AQ105" s="12">
        <v>5</v>
      </c>
      <c r="AR105" s="12">
        <v>119327.9</v>
      </c>
      <c r="AS105" s="12">
        <v>164946</v>
      </c>
      <c r="AT105" s="12">
        <v>833193.29</v>
      </c>
      <c r="AU105" s="12">
        <v>6</v>
      </c>
      <c r="AV105" s="12">
        <v>138865.54800000001</v>
      </c>
      <c r="AW105" s="12">
        <v>264134</v>
      </c>
      <c r="AX105" s="12"/>
      <c r="AY105" s="12"/>
      <c r="AZ105" s="12"/>
      <c r="BA105" s="12"/>
      <c r="BB105" s="12"/>
      <c r="BC105" s="12"/>
      <c r="BD105" s="12"/>
      <c r="BE105" s="12"/>
      <c r="BF105" s="12">
        <v>465</v>
      </c>
      <c r="BG105" s="12">
        <v>1</v>
      </c>
      <c r="BH105" s="12">
        <v>2.1505376344086021E-3</v>
      </c>
      <c r="BI105" s="12">
        <v>62</v>
      </c>
      <c r="BJ105" s="12">
        <v>0</v>
      </c>
      <c r="BK105" s="12">
        <v>0</v>
      </c>
      <c r="BL105" s="12">
        <v>23</v>
      </c>
      <c r="BM105" s="12">
        <v>1</v>
      </c>
      <c r="BN105" s="12">
        <v>4.3478260869565216E-2</v>
      </c>
      <c r="BO105" s="12">
        <v>52</v>
      </c>
      <c r="BP105" s="12">
        <v>0</v>
      </c>
      <c r="BQ105" s="12">
        <v>0</v>
      </c>
      <c r="BR105" s="12">
        <v>94</v>
      </c>
      <c r="BS105" s="12">
        <v>2</v>
      </c>
      <c r="BT105" s="12">
        <v>2.1276595744680851E-2</v>
      </c>
      <c r="BU105" s="12">
        <v>696</v>
      </c>
      <c r="BV105" s="12">
        <v>4</v>
      </c>
      <c r="BW105" s="12">
        <v>5.7471264367816091E-3</v>
      </c>
      <c r="BX105" s="12"/>
      <c r="BY105" s="12"/>
      <c r="BZ105" s="12"/>
      <c r="CA105" s="12">
        <v>100974.04</v>
      </c>
      <c r="CB105" s="13"/>
      <c r="CC105" s="13"/>
      <c r="CD105" s="13"/>
      <c r="CE105" s="12">
        <v>6474</v>
      </c>
      <c r="CF105" s="12">
        <v>570</v>
      </c>
      <c r="CG105" s="13">
        <v>39161</v>
      </c>
      <c r="CH105" s="13">
        <v>131</v>
      </c>
      <c r="CI105" s="13">
        <v>4329</v>
      </c>
    </row>
    <row r="106" spans="2:87" x14ac:dyDescent="0.2">
      <c r="B106" s="5">
        <v>45879</v>
      </c>
      <c r="C106" s="12">
        <v>11</v>
      </c>
      <c r="D106" s="12">
        <v>1.5</v>
      </c>
      <c r="E106" s="12">
        <v>87929.718999999997</v>
      </c>
      <c r="F106" s="12">
        <v>0</v>
      </c>
      <c r="G106" s="12">
        <v>1037226.91</v>
      </c>
      <c r="H106" s="12">
        <v>-70000</v>
      </c>
      <c r="I106" s="12">
        <v>0</v>
      </c>
      <c r="J106" s="12">
        <v>967226.91</v>
      </c>
      <c r="K106" s="12">
        <v>23500</v>
      </c>
      <c r="L106" s="12">
        <v>0</v>
      </c>
      <c r="M106" s="12">
        <v>183773.09</v>
      </c>
      <c r="N106" s="12">
        <v>1174500</v>
      </c>
      <c r="O106" s="12">
        <v>0</v>
      </c>
      <c r="P106" s="12">
        <v>967226.91</v>
      </c>
      <c r="Q106" s="12">
        <v>251400</v>
      </c>
      <c r="R106" s="12">
        <v>715826.91</v>
      </c>
      <c r="S106" s="12">
        <v>0</v>
      </c>
      <c r="T106" s="12">
        <v>16</v>
      </c>
      <c r="U106" s="12">
        <v>0</v>
      </c>
      <c r="V106" s="12">
        <v>0</v>
      </c>
      <c r="W106" s="35">
        <v>46144.261731053244</v>
      </c>
      <c r="X106" s="12">
        <v>6</v>
      </c>
      <c r="Y106" s="12">
        <v>6</v>
      </c>
      <c r="Z106" s="12">
        <v>697479</v>
      </c>
      <c r="AA106" s="12">
        <v>116246.5</v>
      </c>
      <c r="AB106" s="12">
        <v>172499</v>
      </c>
      <c r="AC106" s="12">
        <v>524980</v>
      </c>
      <c r="AD106" s="12">
        <v>5</v>
      </c>
      <c r="AE106" s="12">
        <v>5</v>
      </c>
      <c r="AF106" s="12">
        <v>269747.90999999997</v>
      </c>
      <c r="AG106" s="12">
        <v>53949.582000000002</v>
      </c>
      <c r="AH106" s="12">
        <v>78901</v>
      </c>
      <c r="AI106" s="12">
        <v>190846.91</v>
      </c>
      <c r="AJ106" s="12"/>
      <c r="AK106" s="12"/>
      <c r="AL106" s="12"/>
      <c r="AM106" s="12"/>
      <c r="AN106" s="12"/>
      <c r="AO106" s="12"/>
      <c r="AP106" s="12">
        <v>512605.05</v>
      </c>
      <c r="AQ106" s="12">
        <v>5</v>
      </c>
      <c r="AR106" s="12">
        <v>102521.01</v>
      </c>
      <c r="AS106" s="12">
        <v>156387</v>
      </c>
      <c r="AT106" s="12">
        <v>454621.86</v>
      </c>
      <c r="AU106" s="12">
        <v>6</v>
      </c>
      <c r="AV106" s="12">
        <v>75770.31</v>
      </c>
      <c r="AW106" s="12">
        <v>95013</v>
      </c>
      <c r="AX106" s="12"/>
      <c r="AY106" s="12"/>
      <c r="AZ106" s="12"/>
      <c r="BA106" s="12"/>
      <c r="BB106" s="12"/>
      <c r="BC106" s="12"/>
      <c r="BD106" s="12"/>
      <c r="BE106" s="12"/>
      <c r="BF106" s="12">
        <v>514</v>
      </c>
      <c r="BG106" s="12">
        <v>0</v>
      </c>
      <c r="BH106" s="12">
        <v>0</v>
      </c>
      <c r="BI106" s="12">
        <v>52</v>
      </c>
      <c r="BJ106" s="12">
        <v>0</v>
      </c>
      <c r="BK106" s="12">
        <v>0</v>
      </c>
      <c r="BL106" s="12">
        <v>17</v>
      </c>
      <c r="BM106" s="12">
        <v>2</v>
      </c>
      <c r="BN106" s="12">
        <v>0.11764705882352941</v>
      </c>
      <c r="BO106" s="12">
        <v>54</v>
      </c>
      <c r="BP106" s="12">
        <v>0</v>
      </c>
      <c r="BQ106" s="12">
        <v>0</v>
      </c>
      <c r="BR106" s="12">
        <v>93</v>
      </c>
      <c r="BS106" s="12">
        <v>3</v>
      </c>
      <c r="BT106" s="12">
        <v>3.2258064516129031E-2</v>
      </c>
      <c r="BU106" s="12">
        <v>730</v>
      </c>
      <c r="BV106" s="12">
        <v>5</v>
      </c>
      <c r="BW106" s="12">
        <v>6.8493150684931503E-3</v>
      </c>
      <c r="BX106" s="12"/>
      <c r="BY106" s="12"/>
      <c r="BZ106" s="12"/>
      <c r="CA106" s="12">
        <v>105746.73</v>
      </c>
      <c r="CB106" s="13"/>
      <c r="CC106" s="13"/>
      <c r="CD106" s="13"/>
      <c r="CE106" s="12">
        <v>8104</v>
      </c>
      <c r="CF106" s="12">
        <v>615</v>
      </c>
      <c r="CG106" s="13">
        <v>40537</v>
      </c>
      <c r="CH106" s="13">
        <v>129</v>
      </c>
      <c r="CI106" s="13">
        <v>4739</v>
      </c>
    </row>
    <row r="107" spans="2:87" x14ac:dyDescent="0.2">
      <c r="B107" s="5">
        <v>45880</v>
      </c>
      <c r="C107" s="12">
        <v>21</v>
      </c>
      <c r="D107" s="12">
        <v>2.1</v>
      </c>
      <c r="E107" s="12">
        <v>103543.09699999999</v>
      </c>
      <c r="F107" s="12">
        <v>0</v>
      </c>
      <c r="G107" s="12">
        <v>2199615.13</v>
      </c>
      <c r="H107" s="12">
        <v>-25210.080000000002</v>
      </c>
      <c r="I107" s="12">
        <v>0</v>
      </c>
      <c r="J107" s="12">
        <v>2174405.0499999998</v>
      </c>
      <c r="K107" s="12">
        <v>97000</v>
      </c>
      <c r="L107" s="12">
        <v>0</v>
      </c>
      <c r="M107" s="12">
        <v>391096.95</v>
      </c>
      <c r="N107" s="12">
        <v>2662502</v>
      </c>
      <c r="O107" s="12">
        <v>32774.79</v>
      </c>
      <c r="P107" s="12">
        <v>2141630.2599999998</v>
      </c>
      <c r="Q107" s="12">
        <v>673089</v>
      </c>
      <c r="R107" s="12">
        <v>1468541.26</v>
      </c>
      <c r="S107" s="12">
        <v>0</v>
      </c>
      <c r="T107" s="12">
        <v>44</v>
      </c>
      <c r="U107" s="12">
        <v>0</v>
      </c>
      <c r="V107" s="12">
        <v>0</v>
      </c>
      <c r="W107" s="35">
        <v>46144.261731053244</v>
      </c>
      <c r="X107" s="12">
        <v>9</v>
      </c>
      <c r="Y107" s="12">
        <v>13</v>
      </c>
      <c r="Z107" s="12">
        <v>860119.33</v>
      </c>
      <c r="AA107" s="12">
        <v>66163.024999999994</v>
      </c>
      <c r="AB107" s="12">
        <v>290792</v>
      </c>
      <c r="AC107" s="12">
        <v>569325.65</v>
      </c>
      <c r="AD107" s="12">
        <v>8</v>
      </c>
      <c r="AE107" s="12">
        <v>8</v>
      </c>
      <c r="AF107" s="12">
        <v>1314285.72</v>
      </c>
      <c r="AG107" s="12">
        <v>164285.715</v>
      </c>
      <c r="AH107" s="12">
        <v>382297</v>
      </c>
      <c r="AI107" s="12">
        <v>899215.61</v>
      </c>
      <c r="AJ107" s="12"/>
      <c r="AK107" s="12"/>
      <c r="AL107" s="12"/>
      <c r="AM107" s="12"/>
      <c r="AN107" s="12"/>
      <c r="AO107" s="12"/>
      <c r="AP107" s="12">
        <v>1120169.76</v>
      </c>
      <c r="AQ107" s="12">
        <v>11</v>
      </c>
      <c r="AR107" s="12">
        <v>101833.614</v>
      </c>
      <c r="AS107" s="12">
        <v>351095</v>
      </c>
      <c r="AT107" s="12">
        <v>545831.93000000005</v>
      </c>
      <c r="AU107" s="12">
        <v>6</v>
      </c>
      <c r="AV107" s="12">
        <v>90971.987999999998</v>
      </c>
      <c r="AW107" s="12">
        <v>196968</v>
      </c>
      <c r="AX107" s="12">
        <v>415966.39</v>
      </c>
      <c r="AY107" s="12">
        <v>3</v>
      </c>
      <c r="AZ107" s="12">
        <v>138655.46299999999</v>
      </c>
      <c r="BA107" s="12">
        <v>95804</v>
      </c>
      <c r="BB107" s="12"/>
      <c r="BC107" s="12"/>
      <c r="BD107" s="12"/>
      <c r="BE107" s="12"/>
      <c r="BF107" s="12">
        <v>500</v>
      </c>
      <c r="BG107" s="12">
        <v>2</v>
      </c>
      <c r="BH107" s="12">
        <v>4.0000000000000001E-3</v>
      </c>
      <c r="BI107" s="12">
        <v>33</v>
      </c>
      <c r="BJ107" s="12">
        <v>0</v>
      </c>
      <c r="BK107" s="12">
        <v>0</v>
      </c>
      <c r="BL107" s="12">
        <v>37</v>
      </c>
      <c r="BM107" s="12">
        <v>1</v>
      </c>
      <c r="BN107" s="12">
        <v>2.7027027027027029E-2</v>
      </c>
      <c r="BO107" s="12">
        <v>55</v>
      </c>
      <c r="BP107" s="12">
        <v>0</v>
      </c>
      <c r="BQ107" s="12">
        <v>0</v>
      </c>
      <c r="BR107" s="12">
        <v>90</v>
      </c>
      <c r="BS107" s="12">
        <v>3</v>
      </c>
      <c r="BT107" s="12">
        <v>3.3333333333333333E-2</v>
      </c>
      <c r="BU107" s="12">
        <v>715</v>
      </c>
      <c r="BV107" s="12">
        <v>6</v>
      </c>
      <c r="BW107" s="12">
        <v>8.3916083916083916E-3</v>
      </c>
      <c r="BX107" s="12"/>
      <c r="BY107" s="12"/>
      <c r="BZ107" s="12"/>
      <c r="CA107" s="12">
        <v>98419.38</v>
      </c>
      <c r="CB107" s="13"/>
      <c r="CC107" s="13"/>
      <c r="CD107" s="13"/>
      <c r="CE107" s="12">
        <v>7686</v>
      </c>
      <c r="CF107" s="12">
        <v>580</v>
      </c>
      <c r="CG107" s="13">
        <v>40143</v>
      </c>
      <c r="CH107" s="13">
        <v>90</v>
      </c>
      <c r="CI107" s="13">
        <v>4902</v>
      </c>
    </row>
    <row r="108" spans="2:87" x14ac:dyDescent="0.2">
      <c r="B108" s="5">
        <v>45881</v>
      </c>
      <c r="C108" s="12">
        <v>21</v>
      </c>
      <c r="D108" s="12">
        <v>3.2</v>
      </c>
      <c r="E108" s="12">
        <v>155622.29</v>
      </c>
      <c r="F108" s="12">
        <v>0</v>
      </c>
      <c r="G108" s="12">
        <v>3726858.02</v>
      </c>
      <c r="H108" s="12">
        <v>-458789.93</v>
      </c>
      <c r="I108" s="12">
        <v>0</v>
      </c>
      <c r="J108" s="12">
        <v>3268068.09</v>
      </c>
      <c r="K108" s="12">
        <v>50500</v>
      </c>
      <c r="L108" s="12">
        <v>0</v>
      </c>
      <c r="M108" s="12">
        <v>604972.91</v>
      </c>
      <c r="N108" s="12">
        <v>3923541</v>
      </c>
      <c r="O108" s="12">
        <v>0.84</v>
      </c>
      <c r="P108" s="12">
        <v>3268067.25</v>
      </c>
      <c r="Q108" s="12">
        <v>989380</v>
      </c>
      <c r="R108" s="12">
        <v>2278687.25</v>
      </c>
      <c r="S108" s="12">
        <v>0</v>
      </c>
      <c r="T108" s="12">
        <v>67</v>
      </c>
      <c r="U108" s="12">
        <v>0</v>
      </c>
      <c r="V108" s="12">
        <v>0</v>
      </c>
      <c r="W108" s="35">
        <v>46144.261731053244</v>
      </c>
      <c r="X108" s="12">
        <v>11</v>
      </c>
      <c r="Y108" s="12">
        <v>11</v>
      </c>
      <c r="Z108" s="12">
        <v>1944572.28</v>
      </c>
      <c r="AA108" s="12">
        <v>176779.29800000001</v>
      </c>
      <c r="AB108" s="12">
        <v>630562</v>
      </c>
      <c r="AC108" s="12">
        <v>1314009.44</v>
      </c>
      <c r="AD108" s="12">
        <v>10</v>
      </c>
      <c r="AE108" s="12">
        <v>10</v>
      </c>
      <c r="AF108" s="12">
        <v>1323495.81</v>
      </c>
      <c r="AG108" s="12">
        <v>132349.58100000001</v>
      </c>
      <c r="AH108" s="12">
        <v>358818</v>
      </c>
      <c r="AI108" s="12">
        <v>964677.81</v>
      </c>
      <c r="AJ108" s="12"/>
      <c r="AK108" s="12"/>
      <c r="AL108" s="12"/>
      <c r="AM108" s="12"/>
      <c r="AN108" s="12"/>
      <c r="AO108" s="12"/>
      <c r="AP108" s="12">
        <v>370622.69</v>
      </c>
      <c r="AQ108" s="12">
        <v>6</v>
      </c>
      <c r="AR108" s="12">
        <v>61770.447999999997</v>
      </c>
      <c r="AS108" s="12">
        <v>104223</v>
      </c>
      <c r="AT108" s="12">
        <v>2813411.79</v>
      </c>
      <c r="AU108" s="12">
        <v>14</v>
      </c>
      <c r="AV108" s="12">
        <v>200957.98499999999</v>
      </c>
      <c r="AW108" s="12">
        <v>861632</v>
      </c>
      <c r="AX108" s="12"/>
      <c r="AY108" s="12"/>
      <c r="AZ108" s="12"/>
      <c r="BA108" s="12"/>
      <c r="BB108" s="12"/>
      <c r="BC108" s="12"/>
      <c r="BD108" s="12"/>
      <c r="BE108" s="12"/>
      <c r="BF108" s="12">
        <v>537</v>
      </c>
      <c r="BG108" s="12">
        <v>0</v>
      </c>
      <c r="BH108" s="12">
        <v>0</v>
      </c>
      <c r="BI108" s="12">
        <v>42</v>
      </c>
      <c r="BJ108" s="12">
        <v>0</v>
      </c>
      <c r="BK108" s="12">
        <v>0</v>
      </c>
      <c r="BL108" s="12">
        <v>26</v>
      </c>
      <c r="BM108" s="12">
        <v>0</v>
      </c>
      <c r="BN108" s="12">
        <v>0</v>
      </c>
      <c r="BO108" s="12">
        <v>59</v>
      </c>
      <c r="BP108" s="12">
        <v>0</v>
      </c>
      <c r="BQ108" s="12">
        <v>0</v>
      </c>
      <c r="BR108" s="12">
        <v>100</v>
      </c>
      <c r="BS108" s="12">
        <v>3</v>
      </c>
      <c r="BT108" s="12">
        <v>0.03</v>
      </c>
      <c r="BU108" s="12">
        <v>764</v>
      </c>
      <c r="BV108" s="12">
        <v>3</v>
      </c>
      <c r="BW108" s="12">
        <v>3.9267015706806281E-3</v>
      </c>
      <c r="BX108" s="12"/>
      <c r="BY108" s="12"/>
      <c r="BZ108" s="12"/>
      <c r="CA108" s="12">
        <v>141773.60999999999</v>
      </c>
      <c r="CB108" s="13"/>
      <c r="CC108" s="13"/>
      <c r="CD108" s="13"/>
      <c r="CE108" s="12">
        <v>12465</v>
      </c>
      <c r="CF108" s="12">
        <v>679</v>
      </c>
      <c r="CG108" s="13">
        <v>40793</v>
      </c>
      <c r="CH108" s="13">
        <v>70</v>
      </c>
      <c r="CI108" s="13">
        <v>4178</v>
      </c>
    </row>
    <row r="109" spans="2:87" x14ac:dyDescent="0.2">
      <c r="B109" s="5">
        <v>45882</v>
      </c>
      <c r="C109" s="12">
        <v>11</v>
      </c>
      <c r="D109" s="12">
        <v>2.2999999999999998</v>
      </c>
      <c r="E109" s="12">
        <v>102215.433</v>
      </c>
      <c r="F109" s="12">
        <v>0</v>
      </c>
      <c r="G109" s="12">
        <v>1152100.8600000001</v>
      </c>
      <c r="H109" s="12">
        <v>0</v>
      </c>
      <c r="I109" s="12">
        <v>0</v>
      </c>
      <c r="J109" s="12">
        <v>1152100.8600000001</v>
      </c>
      <c r="K109" s="12">
        <v>91500</v>
      </c>
      <c r="L109" s="12">
        <v>0</v>
      </c>
      <c r="M109" s="12">
        <v>218899.14</v>
      </c>
      <c r="N109" s="12">
        <v>1462500</v>
      </c>
      <c r="O109" s="12">
        <v>0</v>
      </c>
      <c r="P109" s="12">
        <v>1152100.8600000001</v>
      </c>
      <c r="Q109" s="12">
        <v>349922</v>
      </c>
      <c r="R109" s="12">
        <v>802178.86</v>
      </c>
      <c r="S109" s="12">
        <v>0</v>
      </c>
      <c r="T109" s="12">
        <v>27</v>
      </c>
      <c r="U109" s="12">
        <v>0</v>
      </c>
      <c r="V109" s="12">
        <v>0</v>
      </c>
      <c r="W109" s="35">
        <v>46144.261731053244</v>
      </c>
      <c r="X109" s="12">
        <v>5</v>
      </c>
      <c r="Y109" s="12">
        <v>6</v>
      </c>
      <c r="Z109" s="12">
        <v>589915.97</v>
      </c>
      <c r="AA109" s="12">
        <v>93697.48</v>
      </c>
      <c r="AB109" s="12">
        <v>196741</v>
      </c>
      <c r="AC109" s="12">
        <v>393174.97</v>
      </c>
      <c r="AD109" s="12">
        <v>5</v>
      </c>
      <c r="AE109" s="12">
        <v>5</v>
      </c>
      <c r="AF109" s="12">
        <v>562184.89</v>
      </c>
      <c r="AG109" s="12">
        <v>112436.978</v>
      </c>
      <c r="AH109" s="12">
        <v>153181</v>
      </c>
      <c r="AI109" s="12">
        <v>409003.89</v>
      </c>
      <c r="AJ109" s="12"/>
      <c r="AK109" s="12"/>
      <c r="AL109" s="12"/>
      <c r="AM109" s="12"/>
      <c r="AN109" s="12"/>
      <c r="AO109" s="12"/>
      <c r="AP109" s="12">
        <v>726890.77</v>
      </c>
      <c r="AQ109" s="12">
        <v>6</v>
      </c>
      <c r="AR109" s="12">
        <v>121148.461</v>
      </c>
      <c r="AS109" s="12">
        <v>207178</v>
      </c>
      <c r="AT109" s="12">
        <v>323529.42</v>
      </c>
      <c r="AU109" s="12">
        <v>3</v>
      </c>
      <c r="AV109" s="12">
        <v>98599.442999999999</v>
      </c>
      <c r="AW109" s="12">
        <v>118645</v>
      </c>
      <c r="AX109" s="12">
        <v>54621.85</v>
      </c>
      <c r="AY109" s="12">
        <v>1</v>
      </c>
      <c r="AZ109" s="12">
        <v>54621.85</v>
      </c>
      <c r="BA109" s="12">
        <v>12099</v>
      </c>
      <c r="BB109" s="12"/>
      <c r="BC109" s="12"/>
      <c r="BD109" s="12"/>
      <c r="BE109" s="12"/>
      <c r="BF109" s="12">
        <v>515</v>
      </c>
      <c r="BG109" s="12">
        <v>0</v>
      </c>
      <c r="BH109" s="12">
        <v>0</v>
      </c>
      <c r="BI109" s="12">
        <v>26</v>
      </c>
      <c r="BJ109" s="12">
        <v>0</v>
      </c>
      <c r="BK109" s="12">
        <v>0</v>
      </c>
      <c r="BL109" s="12">
        <v>23</v>
      </c>
      <c r="BM109" s="12">
        <v>3</v>
      </c>
      <c r="BN109" s="12">
        <v>0.13043478260869565</v>
      </c>
      <c r="BO109" s="12">
        <v>100</v>
      </c>
      <c r="BP109" s="12">
        <v>0</v>
      </c>
      <c r="BQ109" s="12">
        <v>0</v>
      </c>
      <c r="BR109" s="12">
        <v>118</v>
      </c>
      <c r="BS109" s="12">
        <v>3</v>
      </c>
      <c r="BT109" s="12">
        <v>2.5423728813559324E-2</v>
      </c>
      <c r="BU109" s="12">
        <v>782</v>
      </c>
      <c r="BV109" s="12">
        <v>6</v>
      </c>
      <c r="BW109" s="12">
        <v>7.6726342710997444E-3</v>
      </c>
      <c r="BX109" s="12"/>
      <c r="BY109" s="12"/>
      <c r="BZ109" s="12"/>
      <c r="CA109" s="12">
        <v>101427.16</v>
      </c>
      <c r="CB109" s="13"/>
      <c r="CC109" s="13"/>
      <c r="CD109" s="13"/>
      <c r="CE109" s="12">
        <v>9335</v>
      </c>
      <c r="CF109" s="12">
        <v>661</v>
      </c>
      <c r="CG109" s="13">
        <v>38862</v>
      </c>
      <c r="CH109" s="13">
        <v>56</v>
      </c>
      <c r="CI109" s="13">
        <v>4080</v>
      </c>
    </row>
    <row r="110" spans="2:87" x14ac:dyDescent="0.2">
      <c r="B110" s="5">
        <v>45883</v>
      </c>
      <c r="C110" s="12">
        <v>16</v>
      </c>
      <c r="D110" s="12">
        <v>2.5</v>
      </c>
      <c r="E110" s="12">
        <v>192017.33100000001</v>
      </c>
      <c r="F110" s="12">
        <v>-32</v>
      </c>
      <c r="G110" s="12">
        <v>4741605.03</v>
      </c>
      <c r="H110" s="12">
        <v>-569327.72</v>
      </c>
      <c r="I110" s="12">
        <v>-1079831.94</v>
      </c>
      <c r="J110" s="12">
        <v>3092445.37</v>
      </c>
      <c r="K110" s="12">
        <v>18000</v>
      </c>
      <c r="L110" s="12">
        <v>0</v>
      </c>
      <c r="M110" s="12">
        <v>582054.63</v>
      </c>
      <c r="N110" s="12">
        <v>3692500</v>
      </c>
      <c r="O110" s="12">
        <v>0</v>
      </c>
      <c r="P110" s="12">
        <v>3092445.37</v>
      </c>
      <c r="Q110" s="12">
        <v>979792</v>
      </c>
      <c r="R110" s="12">
        <v>2112653.37</v>
      </c>
      <c r="S110" s="12">
        <v>0</v>
      </c>
      <c r="T110" s="12">
        <v>42</v>
      </c>
      <c r="U110" s="12">
        <v>0</v>
      </c>
      <c r="V110" s="12">
        <v>0</v>
      </c>
      <c r="W110" s="35">
        <v>46144.261731053244</v>
      </c>
      <c r="X110" s="12">
        <v>7</v>
      </c>
      <c r="Y110" s="12">
        <v>7</v>
      </c>
      <c r="Z110" s="12">
        <v>680260.51</v>
      </c>
      <c r="AA110" s="12">
        <v>91897.96</v>
      </c>
      <c r="AB110" s="12">
        <v>316028</v>
      </c>
      <c r="AC110" s="12">
        <v>364232.51</v>
      </c>
      <c r="AD110" s="12">
        <v>9</v>
      </c>
      <c r="AE110" s="12">
        <v>9</v>
      </c>
      <c r="AF110" s="12">
        <v>2412184.86</v>
      </c>
      <c r="AG110" s="12">
        <v>269887.95400000003</v>
      </c>
      <c r="AH110" s="12">
        <v>663764</v>
      </c>
      <c r="AI110" s="12">
        <v>1748420.86</v>
      </c>
      <c r="AJ110" s="12"/>
      <c r="AK110" s="12"/>
      <c r="AL110" s="12"/>
      <c r="AM110" s="12"/>
      <c r="AN110" s="12"/>
      <c r="AO110" s="12"/>
      <c r="AP110" s="12">
        <v>189075.63</v>
      </c>
      <c r="AQ110" s="12">
        <v>2</v>
      </c>
      <c r="AR110" s="12">
        <v>94537.815000000002</v>
      </c>
      <c r="AS110" s="12">
        <v>49877</v>
      </c>
      <c r="AT110" s="12">
        <v>2881521</v>
      </c>
      <c r="AU110" s="12">
        <v>13</v>
      </c>
      <c r="AV110" s="12">
        <v>220104.07199999999</v>
      </c>
      <c r="AW110" s="12">
        <v>925423</v>
      </c>
      <c r="AX110" s="12">
        <v>21848.74</v>
      </c>
      <c r="AY110" s="12">
        <v>1</v>
      </c>
      <c r="AZ110" s="12">
        <v>21848.74</v>
      </c>
      <c r="BA110" s="12">
        <v>4492</v>
      </c>
      <c r="BB110" s="12"/>
      <c r="BC110" s="12"/>
      <c r="BD110" s="12"/>
      <c r="BE110" s="12"/>
      <c r="BF110" s="12">
        <v>403</v>
      </c>
      <c r="BG110" s="12">
        <v>0</v>
      </c>
      <c r="BH110" s="12">
        <v>0</v>
      </c>
      <c r="BI110" s="12">
        <v>42</v>
      </c>
      <c r="BJ110" s="12">
        <v>0</v>
      </c>
      <c r="BK110" s="12">
        <v>0</v>
      </c>
      <c r="BL110" s="12">
        <v>25</v>
      </c>
      <c r="BM110" s="12">
        <v>1</v>
      </c>
      <c r="BN110" s="12">
        <v>0.04</v>
      </c>
      <c r="BO110" s="12">
        <v>56</v>
      </c>
      <c r="BP110" s="12">
        <v>0</v>
      </c>
      <c r="BQ110" s="12">
        <v>0</v>
      </c>
      <c r="BR110" s="12">
        <v>115</v>
      </c>
      <c r="BS110" s="12">
        <v>2</v>
      </c>
      <c r="BT110" s="12">
        <v>1.7391304347826087E-2</v>
      </c>
      <c r="BU110" s="12">
        <v>641</v>
      </c>
      <c r="BV110" s="12">
        <v>3</v>
      </c>
      <c r="BW110" s="12">
        <v>4.6801872074882997E-3</v>
      </c>
      <c r="BX110" s="12"/>
      <c r="BY110" s="12"/>
      <c r="BZ110" s="12"/>
      <c r="CA110" s="12">
        <v>100623.62</v>
      </c>
      <c r="CB110" s="13"/>
      <c r="CC110" s="13"/>
      <c r="CD110" s="13"/>
      <c r="CE110" s="12">
        <v>7353</v>
      </c>
      <c r="CF110" s="12">
        <v>492</v>
      </c>
      <c r="CG110" s="13">
        <v>38163</v>
      </c>
      <c r="CH110" s="13">
        <v>85</v>
      </c>
      <c r="CI110" s="13">
        <v>3918</v>
      </c>
    </row>
    <row r="111" spans="2:87" x14ac:dyDescent="0.2">
      <c r="B111" s="5">
        <v>45884</v>
      </c>
      <c r="C111" s="12">
        <v>13</v>
      </c>
      <c r="D111" s="12">
        <v>3.1</v>
      </c>
      <c r="E111" s="12">
        <v>150006.465</v>
      </c>
      <c r="F111" s="12">
        <v>-3</v>
      </c>
      <c r="G111" s="12">
        <v>2004705.9</v>
      </c>
      <c r="H111" s="12">
        <v>0</v>
      </c>
      <c r="I111" s="12">
        <v>-126050.42</v>
      </c>
      <c r="J111" s="12">
        <v>1878655.48</v>
      </c>
      <c r="K111" s="12">
        <v>36000</v>
      </c>
      <c r="L111" s="12">
        <v>0</v>
      </c>
      <c r="M111" s="12">
        <v>356944.52</v>
      </c>
      <c r="N111" s="12">
        <v>2271600</v>
      </c>
      <c r="O111" s="12">
        <v>0</v>
      </c>
      <c r="P111" s="12">
        <v>1878655.48</v>
      </c>
      <c r="Q111" s="12">
        <v>488037</v>
      </c>
      <c r="R111" s="12">
        <v>1390618.48</v>
      </c>
      <c r="S111" s="12">
        <v>0</v>
      </c>
      <c r="T111" s="12">
        <v>38</v>
      </c>
      <c r="U111" s="12">
        <v>0</v>
      </c>
      <c r="V111" s="12">
        <v>0</v>
      </c>
      <c r="W111" s="35">
        <v>46144.261731053244</v>
      </c>
      <c r="X111" s="12">
        <v>6</v>
      </c>
      <c r="Y111" s="12">
        <v>6</v>
      </c>
      <c r="Z111" s="12">
        <v>950924.38</v>
      </c>
      <c r="AA111" s="12">
        <v>158487.39600000001</v>
      </c>
      <c r="AB111" s="12">
        <v>222607</v>
      </c>
      <c r="AC111" s="12">
        <v>728317.38</v>
      </c>
      <c r="AD111" s="12">
        <v>5</v>
      </c>
      <c r="AE111" s="12">
        <v>5</v>
      </c>
      <c r="AF111" s="12">
        <v>810084.04</v>
      </c>
      <c r="AG111" s="12">
        <v>162016.80799999999</v>
      </c>
      <c r="AH111" s="12">
        <v>229329</v>
      </c>
      <c r="AI111" s="12">
        <v>580755.04</v>
      </c>
      <c r="AJ111" s="12">
        <v>1</v>
      </c>
      <c r="AK111" s="12">
        <v>2</v>
      </c>
      <c r="AL111" s="12">
        <v>117647.06</v>
      </c>
      <c r="AM111" s="12">
        <v>94537.815000000002</v>
      </c>
      <c r="AN111" s="12">
        <v>36101</v>
      </c>
      <c r="AO111" s="12">
        <v>81546.06</v>
      </c>
      <c r="AP111" s="12">
        <v>1299663.8700000001</v>
      </c>
      <c r="AQ111" s="12">
        <v>8</v>
      </c>
      <c r="AR111" s="12">
        <v>178214.28599999999</v>
      </c>
      <c r="AS111" s="12">
        <v>354754</v>
      </c>
      <c r="AT111" s="12">
        <v>578991.61</v>
      </c>
      <c r="AU111" s="12">
        <v>5</v>
      </c>
      <c r="AV111" s="12">
        <v>104873.952</v>
      </c>
      <c r="AW111" s="12">
        <v>133283</v>
      </c>
      <c r="AX111" s="12"/>
      <c r="AY111" s="12"/>
      <c r="AZ111" s="12"/>
      <c r="BA111" s="12"/>
      <c r="BB111" s="12"/>
      <c r="BC111" s="12"/>
      <c r="BD111" s="12"/>
      <c r="BE111" s="12"/>
      <c r="BF111" s="12">
        <v>387</v>
      </c>
      <c r="BG111" s="12">
        <v>1</v>
      </c>
      <c r="BH111" s="12">
        <v>2.5839793281653748E-3</v>
      </c>
      <c r="BI111" s="12">
        <v>46</v>
      </c>
      <c r="BJ111" s="12">
        <v>0</v>
      </c>
      <c r="BK111" s="12">
        <v>0</v>
      </c>
      <c r="BL111" s="12">
        <v>29</v>
      </c>
      <c r="BM111" s="12">
        <v>1</v>
      </c>
      <c r="BN111" s="12">
        <v>3.4482758620689655E-2</v>
      </c>
      <c r="BO111" s="12">
        <v>39</v>
      </c>
      <c r="BP111" s="12">
        <v>0</v>
      </c>
      <c r="BQ111" s="12">
        <v>0</v>
      </c>
      <c r="BR111" s="12">
        <v>94</v>
      </c>
      <c r="BS111" s="12">
        <v>4</v>
      </c>
      <c r="BT111" s="12">
        <v>4.2553191489361701E-2</v>
      </c>
      <c r="BU111" s="12">
        <v>595</v>
      </c>
      <c r="BV111" s="12">
        <v>6</v>
      </c>
      <c r="BW111" s="12">
        <v>1.0084033613445379E-2</v>
      </c>
      <c r="BX111" s="12"/>
      <c r="BY111" s="12"/>
      <c r="BZ111" s="12"/>
      <c r="CA111" s="12">
        <v>99161</v>
      </c>
      <c r="CB111" s="13"/>
      <c r="CC111" s="13"/>
      <c r="CD111" s="13"/>
      <c r="CE111" s="12">
        <v>7086</v>
      </c>
      <c r="CF111" s="12">
        <v>473</v>
      </c>
      <c r="CG111" s="13">
        <v>38436</v>
      </c>
      <c r="CH111" s="13">
        <v>84</v>
      </c>
      <c r="CI111" s="13">
        <v>4278</v>
      </c>
    </row>
    <row r="112" spans="2:87" x14ac:dyDescent="0.2">
      <c r="B112" s="5">
        <v>45885</v>
      </c>
      <c r="C112" s="12">
        <v>23</v>
      </c>
      <c r="D112" s="12">
        <v>2.4</v>
      </c>
      <c r="E112" s="12">
        <v>183306.905</v>
      </c>
      <c r="F112" s="12">
        <v>0</v>
      </c>
      <c r="G112" s="12">
        <v>4216058.83</v>
      </c>
      <c r="H112" s="12">
        <v>0</v>
      </c>
      <c r="I112" s="12">
        <v>0</v>
      </c>
      <c r="J112" s="12">
        <v>4216058.83</v>
      </c>
      <c r="K112" s="12">
        <v>63000</v>
      </c>
      <c r="L112" s="12">
        <v>0</v>
      </c>
      <c r="M112" s="12">
        <v>787941.17</v>
      </c>
      <c r="N112" s="12">
        <v>5067000</v>
      </c>
      <c r="O112" s="12">
        <v>252100.84</v>
      </c>
      <c r="P112" s="12">
        <v>3963957.99</v>
      </c>
      <c r="Q112" s="12">
        <v>1459485</v>
      </c>
      <c r="R112" s="12">
        <v>2504472.9900000002</v>
      </c>
      <c r="S112" s="12">
        <v>0</v>
      </c>
      <c r="T112" s="12">
        <v>55</v>
      </c>
      <c r="U112" s="12">
        <v>0</v>
      </c>
      <c r="V112" s="12">
        <v>0</v>
      </c>
      <c r="W112" s="35">
        <v>46144.261731053244</v>
      </c>
      <c r="X112" s="12">
        <v>12</v>
      </c>
      <c r="Y112" s="12">
        <v>12</v>
      </c>
      <c r="Z112" s="12">
        <v>2931932.77</v>
      </c>
      <c r="AA112" s="12">
        <v>244327.73</v>
      </c>
      <c r="AB112" s="12">
        <v>977071</v>
      </c>
      <c r="AC112" s="12">
        <v>1702760.93</v>
      </c>
      <c r="AD112" s="12">
        <v>10</v>
      </c>
      <c r="AE112" s="12">
        <v>10</v>
      </c>
      <c r="AF112" s="12">
        <v>1124462.19</v>
      </c>
      <c r="AG112" s="12">
        <v>112446.219</v>
      </c>
      <c r="AH112" s="12">
        <v>423684</v>
      </c>
      <c r="AI112" s="12">
        <v>700778.19</v>
      </c>
      <c r="AJ112" s="12">
        <v>1</v>
      </c>
      <c r="AK112" s="12">
        <v>1</v>
      </c>
      <c r="AL112" s="12">
        <v>159663.87</v>
      </c>
      <c r="AM112" s="12">
        <v>159663.87</v>
      </c>
      <c r="AN112" s="12">
        <v>58730</v>
      </c>
      <c r="AO112" s="12">
        <v>100933.87</v>
      </c>
      <c r="AP112" s="12">
        <v>1972268.91</v>
      </c>
      <c r="AQ112" s="12">
        <v>6</v>
      </c>
      <c r="AR112" s="12">
        <v>328711.48499999999</v>
      </c>
      <c r="AS112" s="12">
        <v>753171</v>
      </c>
      <c r="AT112" s="12">
        <v>2159756.2999999998</v>
      </c>
      <c r="AU112" s="12">
        <v>15</v>
      </c>
      <c r="AV112" s="12">
        <v>143983.753</v>
      </c>
      <c r="AW112" s="12">
        <v>684364</v>
      </c>
      <c r="AX112" s="12">
        <v>84033.62</v>
      </c>
      <c r="AY112" s="12">
        <v>2</v>
      </c>
      <c r="AZ112" s="12">
        <v>42016.81</v>
      </c>
      <c r="BA112" s="12">
        <v>21950</v>
      </c>
      <c r="BB112" s="12"/>
      <c r="BC112" s="12"/>
      <c r="BD112" s="12"/>
      <c r="BE112" s="12"/>
      <c r="BF112" s="12">
        <v>445</v>
      </c>
      <c r="BG112" s="12">
        <v>2</v>
      </c>
      <c r="BH112" s="12">
        <v>4.4943820224719105E-3</v>
      </c>
      <c r="BI112" s="12">
        <v>52</v>
      </c>
      <c r="BJ112" s="12">
        <v>1</v>
      </c>
      <c r="BK112" s="12">
        <v>1.9230769230769232E-2</v>
      </c>
      <c r="BL112" s="12">
        <v>23</v>
      </c>
      <c r="BM112" s="12">
        <v>0</v>
      </c>
      <c r="BN112" s="12">
        <v>0</v>
      </c>
      <c r="BO112" s="12">
        <v>41</v>
      </c>
      <c r="BP112" s="12">
        <v>0</v>
      </c>
      <c r="BQ112" s="12">
        <v>0</v>
      </c>
      <c r="BR112" s="12">
        <v>82</v>
      </c>
      <c r="BS112" s="12">
        <v>2</v>
      </c>
      <c r="BT112" s="12">
        <v>2.4390243902439025E-2</v>
      </c>
      <c r="BU112" s="12">
        <v>643</v>
      </c>
      <c r="BV112" s="12">
        <v>5</v>
      </c>
      <c r="BW112" s="12">
        <v>7.7760497667185074E-3</v>
      </c>
      <c r="BX112" s="12"/>
      <c r="BY112" s="12"/>
      <c r="BZ112" s="12"/>
      <c r="CA112" s="12">
        <v>91213.84</v>
      </c>
      <c r="CB112" s="13"/>
      <c r="CC112" s="13"/>
      <c r="CD112" s="13"/>
      <c r="CE112" s="12">
        <v>6944</v>
      </c>
      <c r="CF112" s="12">
        <v>525</v>
      </c>
      <c r="CG112" s="13">
        <v>40622</v>
      </c>
      <c r="CH112" s="13">
        <v>86</v>
      </c>
      <c r="CI112" s="13">
        <v>4052</v>
      </c>
    </row>
    <row r="113" spans="2:87" x14ac:dyDescent="0.2">
      <c r="B113" s="5">
        <v>45886</v>
      </c>
      <c r="C113" s="12">
        <v>7</v>
      </c>
      <c r="D113" s="12">
        <v>2.9</v>
      </c>
      <c r="E113" s="12">
        <v>182334.935</v>
      </c>
      <c r="F113" s="12">
        <v>-3</v>
      </c>
      <c r="G113" s="12">
        <v>1654495.81</v>
      </c>
      <c r="H113" s="12">
        <v>0</v>
      </c>
      <c r="I113" s="12">
        <v>-378151.26</v>
      </c>
      <c r="J113" s="12">
        <v>1276344.55</v>
      </c>
      <c r="K113" s="12">
        <v>14500</v>
      </c>
      <c r="L113" s="12">
        <v>0</v>
      </c>
      <c r="M113" s="12">
        <v>230155.45</v>
      </c>
      <c r="N113" s="12">
        <v>1521000</v>
      </c>
      <c r="O113" s="12">
        <v>0</v>
      </c>
      <c r="P113" s="12">
        <v>1276344.55</v>
      </c>
      <c r="Q113" s="12">
        <v>265130</v>
      </c>
      <c r="R113" s="12">
        <v>1011214.55</v>
      </c>
      <c r="S113" s="12">
        <v>0</v>
      </c>
      <c r="T113" s="12">
        <v>20</v>
      </c>
      <c r="U113" s="12">
        <v>0</v>
      </c>
      <c r="V113" s="12">
        <v>0</v>
      </c>
      <c r="W113" s="35">
        <v>46144.261731053244</v>
      </c>
      <c r="X113" s="12">
        <v>5</v>
      </c>
      <c r="Y113" s="12">
        <v>6</v>
      </c>
      <c r="Z113" s="12">
        <v>1221722.7</v>
      </c>
      <c r="AA113" s="12">
        <v>203620.45</v>
      </c>
      <c r="AB113" s="12">
        <v>253031</v>
      </c>
      <c r="AC113" s="12">
        <v>968691.7</v>
      </c>
      <c r="AD113" s="12">
        <v>1</v>
      </c>
      <c r="AE113" s="12">
        <v>1</v>
      </c>
      <c r="AF113" s="12">
        <v>54621.85</v>
      </c>
      <c r="AG113" s="12">
        <v>54621.85</v>
      </c>
      <c r="AH113" s="12">
        <v>12099</v>
      </c>
      <c r="AI113" s="12">
        <v>42522.85</v>
      </c>
      <c r="AJ113" s="12"/>
      <c r="AK113" s="12"/>
      <c r="AL113" s="12"/>
      <c r="AM113" s="12"/>
      <c r="AN113" s="12"/>
      <c r="AO113" s="12"/>
      <c r="AP113" s="12">
        <v>46218.49</v>
      </c>
      <c r="AQ113" s="12">
        <v>1</v>
      </c>
      <c r="AR113" s="12">
        <v>46218.49</v>
      </c>
      <c r="AS113" s="12">
        <v>14611</v>
      </c>
      <c r="AT113" s="12">
        <v>1230126.06</v>
      </c>
      <c r="AU113" s="12">
        <v>6</v>
      </c>
      <c r="AV113" s="12">
        <v>205021.01</v>
      </c>
      <c r="AW113" s="12">
        <v>250519</v>
      </c>
      <c r="AX113" s="12"/>
      <c r="AY113" s="12"/>
      <c r="AZ113" s="12"/>
      <c r="BA113" s="12"/>
      <c r="BB113" s="12"/>
      <c r="BC113" s="12"/>
      <c r="BD113" s="12"/>
      <c r="BE113" s="12"/>
      <c r="BF113" s="12">
        <v>348</v>
      </c>
      <c r="BG113" s="12">
        <v>0</v>
      </c>
      <c r="BH113" s="12">
        <v>0</v>
      </c>
      <c r="BI113" s="12">
        <v>40</v>
      </c>
      <c r="BJ113" s="12">
        <v>0</v>
      </c>
      <c r="BK113" s="12">
        <v>0</v>
      </c>
      <c r="BL113" s="12">
        <v>20</v>
      </c>
      <c r="BM113" s="12">
        <v>0</v>
      </c>
      <c r="BN113" s="12">
        <v>0</v>
      </c>
      <c r="BO113" s="12">
        <v>29</v>
      </c>
      <c r="BP113" s="12">
        <v>0</v>
      </c>
      <c r="BQ113" s="12">
        <v>0</v>
      </c>
      <c r="BR113" s="12">
        <v>58</v>
      </c>
      <c r="BS113" s="12">
        <v>1</v>
      </c>
      <c r="BT113" s="12">
        <v>1.7241379310344827E-2</v>
      </c>
      <c r="BU113" s="12">
        <v>495</v>
      </c>
      <c r="BV113" s="12">
        <v>1</v>
      </c>
      <c r="BW113" s="12">
        <v>2.0202020202020202E-3</v>
      </c>
      <c r="BX113" s="12"/>
      <c r="BY113" s="12"/>
      <c r="BZ113" s="12"/>
      <c r="CA113" s="12">
        <v>58596.86</v>
      </c>
      <c r="CB113" s="13"/>
      <c r="CC113" s="13"/>
      <c r="CD113" s="13"/>
      <c r="CE113" s="12">
        <v>4956</v>
      </c>
      <c r="CF113" s="12">
        <v>394</v>
      </c>
      <c r="CG113" s="13">
        <v>41515</v>
      </c>
      <c r="CH113" s="13">
        <v>96</v>
      </c>
      <c r="CI113" s="13">
        <v>4285</v>
      </c>
    </row>
    <row r="114" spans="2:87" x14ac:dyDescent="0.2">
      <c r="B114" s="5">
        <v>45887</v>
      </c>
      <c r="C114" s="12">
        <v>8</v>
      </c>
      <c r="D114" s="12">
        <v>1.6</v>
      </c>
      <c r="E114" s="12">
        <v>95758.403000000006</v>
      </c>
      <c r="F114" s="12">
        <v>0</v>
      </c>
      <c r="G114" s="12">
        <v>766067.23</v>
      </c>
      <c r="H114" s="12">
        <v>0</v>
      </c>
      <c r="I114" s="12">
        <v>0</v>
      </c>
      <c r="J114" s="12">
        <v>766067.23</v>
      </c>
      <c r="K114" s="12">
        <v>32500</v>
      </c>
      <c r="L114" s="12">
        <v>0</v>
      </c>
      <c r="M114" s="12">
        <v>126932.77</v>
      </c>
      <c r="N114" s="12">
        <v>925500</v>
      </c>
      <c r="O114" s="12">
        <v>0</v>
      </c>
      <c r="P114" s="12">
        <v>766067.23</v>
      </c>
      <c r="Q114" s="12">
        <v>258839</v>
      </c>
      <c r="R114" s="12">
        <v>507228.23</v>
      </c>
      <c r="S114" s="12">
        <v>0</v>
      </c>
      <c r="T114" s="12">
        <v>13</v>
      </c>
      <c r="U114" s="12">
        <v>0</v>
      </c>
      <c r="V114" s="12">
        <v>0</v>
      </c>
      <c r="W114" s="35">
        <v>46144.261731053244</v>
      </c>
      <c r="X114" s="12">
        <v>3</v>
      </c>
      <c r="Y114" s="12">
        <v>3</v>
      </c>
      <c r="Z114" s="12">
        <v>277310.92</v>
      </c>
      <c r="AA114" s="12">
        <v>92436.972999999998</v>
      </c>
      <c r="AB114" s="12">
        <v>74039</v>
      </c>
      <c r="AC114" s="12">
        <v>203271.92</v>
      </c>
      <c r="AD114" s="12">
        <v>5</v>
      </c>
      <c r="AE114" s="12">
        <v>5</v>
      </c>
      <c r="AF114" s="12">
        <v>488756.31</v>
      </c>
      <c r="AG114" s="12">
        <v>97751.262000000002</v>
      </c>
      <c r="AH114" s="12">
        <v>184800</v>
      </c>
      <c r="AI114" s="12">
        <v>303956.31</v>
      </c>
      <c r="AJ114" s="12"/>
      <c r="AK114" s="12"/>
      <c r="AL114" s="12"/>
      <c r="AM114" s="12"/>
      <c r="AN114" s="12"/>
      <c r="AO114" s="12"/>
      <c r="AP114" s="12">
        <v>218487.39</v>
      </c>
      <c r="AQ114" s="12">
        <v>2</v>
      </c>
      <c r="AR114" s="12">
        <v>109243.69500000001</v>
      </c>
      <c r="AS114" s="12">
        <v>58135</v>
      </c>
      <c r="AT114" s="12">
        <v>547579.84</v>
      </c>
      <c r="AU114" s="12">
        <v>6</v>
      </c>
      <c r="AV114" s="12">
        <v>91263.305999999997</v>
      </c>
      <c r="AW114" s="12">
        <v>200704</v>
      </c>
      <c r="AX114" s="12"/>
      <c r="AY114" s="12"/>
      <c r="AZ114" s="12"/>
      <c r="BA114" s="12"/>
      <c r="BB114" s="12"/>
      <c r="BC114" s="12"/>
      <c r="BD114" s="12"/>
      <c r="BE114" s="12"/>
      <c r="BF114" s="12">
        <v>646</v>
      </c>
      <c r="BG114" s="12">
        <v>0</v>
      </c>
      <c r="BH114" s="12">
        <v>0</v>
      </c>
      <c r="BI114" s="12">
        <v>62</v>
      </c>
      <c r="BJ114" s="12">
        <v>0</v>
      </c>
      <c r="BK114" s="12">
        <v>0</v>
      </c>
      <c r="BL114" s="12">
        <v>16</v>
      </c>
      <c r="BM114" s="12">
        <v>0</v>
      </c>
      <c r="BN114" s="12">
        <v>0</v>
      </c>
      <c r="BO114" s="12">
        <v>76</v>
      </c>
      <c r="BP114" s="12">
        <v>0</v>
      </c>
      <c r="BQ114" s="12">
        <v>0</v>
      </c>
      <c r="BR114" s="12">
        <v>102</v>
      </c>
      <c r="BS114" s="12">
        <v>2</v>
      </c>
      <c r="BT114" s="12">
        <v>1.9607843137254902E-2</v>
      </c>
      <c r="BU114" s="12">
        <v>902</v>
      </c>
      <c r="BV114" s="12">
        <v>2</v>
      </c>
      <c r="BW114" s="12">
        <v>2.2172949002217295E-3</v>
      </c>
      <c r="BX114" s="12"/>
      <c r="BY114" s="12"/>
      <c r="BZ114" s="12"/>
      <c r="CA114" s="12">
        <v>143745.18</v>
      </c>
      <c r="CB114" s="13"/>
      <c r="CC114" s="13"/>
      <c r="CD114" s="13"/>
      <c r="CE114" s="12">
        <v>13614</v>
      </c>
      <c r="CF114" s="12">
        <v>794</v>
      </c>
      <c r="CG114" s="13">
        <v>39625</v>
      </c>
      <c r="CH114" s="13">
        <v>106</v>
      </c>
      <c r="CI114" s="13">
        <v>4074</v>
      </c>
    </row>
    <row r="115" spans="2:87" x14ac:dyDescent="0.2">
      <c r="B115" s="5">
        <v>45888</v>
      </c>
      <c r="C115" s="12">
        <v>23</v>
      </c>
      <c r="D115" s="12">
        <v>2</v>
      </c>
      <c r="E115" s="12">
        <v>167092.07199999999</v>
      </c>
      <c r="F115" s="12">
        <v>-2</v>
      </c>
      <c r="G115" s="12">
        <v>3993117.66</v>
      </c>
      <c r="H115" s="12">
        <v>-7563.02</v>
      </c>
      <c r="I115" s="12">
        <v>-113445.38</v>
      </c>
      <c r="J115" s="12">
        <v>3872109.26</v>
      </c>
      <c r="K115" s="12">
        <v>47000</v>
      </c>
      <c r="L115" s="12">
        <v>0</v>
      </c>
      <c r="M115" s="12">
        <v>726390.74</v>
      </c>
      <c r="N115" s="12">
        <v>4645500</v>
      </c>
      <c r="O115" s="12">
        <v>0</v>
      </c>
      <c r="P115" s="12">
        <v>3872109.26</v>
      </c>
      <c r="Q115" s="12">
        <v>1050395</v>
      </c>
      <c r="R115" s="12">
        <v>2821714.26</v>
      </c>
      <c r="S115" s="12">
        <v>0</v>
      </c>
      <c r="T115" s="12">
        <v>49</v>
      </c>
      <c r="U115" s="12">
        <v>0</v>
      </c>
      <c r="V115" s="12">
        <v>0</v>
      </c>
      <c r="W115" s="35">
        <v>46144.261731053244</v>
      </c>
      <c r="X115" s="12">
        <v>9</v>
      </c>
      <c r="Y115" s="12">
        <v>9</v>
      </c>
      <c r="Z115" s="12">
        <v>1890756.3</v>
      </c>
      <c r="AA115" s="12">
        <v>210084.033</v>
      </c>
      <c r="AB115" s="12">
        <v>534735</v>
      </c>
      <c r="AC115" s="12">
        <v>1356021.3</v>
      </c>
      <c r="AD115" s="12">
        <v>14</v>
      </c>
      <c r="AE115" s="12">
        <v>14</v>
      </c>
      <c r="AF115" s="12">
        <v>1981352.96</v>
      </c>
      <c r="AG115" s="12">
        <v>139454.38200000001</v>
      </c>
      <c r="AH115" s="12">
        <v>515660</v>
      </c>
      <c r="AI115" s="12">
        <v>1465692.96</v>
      </c>
      <c r="AJ115" s="12"/>
      <c r="AK115" s="12"/>
      <c r="AL115" s="12"/>
      <c r="AM115" s="12"/>
      <c r="AN115" s="12"/>
      <c r="AO115" s="12"/>
      <c r="AP115" s="12">
        <v>1696638.66</v>
      </c>
      <c r="AQ115" s="12">
        <v>9</v>
      </c>
      <c r="AR115" s="12">
        <v>188515.40599999999</v>
      </c>
      <c r="AS115" s="12">
        <v>485269</v>
      </c>
      <c r="AT115" s="12">
        <v>1608243.71</v>
      </c>
      <c r="AU115" s="12">
        <v>12</v>
      </c>
      <c r="AV115" s="12">
        <v>131604.342</v>
      </c>
      <c r="AW115" s="12">
        <v>409837</v>
      </c>
      <c r="AX115" s="12"/>
      <c r="AY115" s="12"/>
      <c r="AZ115" s="12"/>
      <c r="BA115" s="12"/>
      <c r="BB115" s="12"/>
      <c r="BC115" s="12"/>
      <c r="BD115" s="12"/>
      <c r="BE115" s="12"/>
      <c r="BF115" s="12">
        <v>345</v>
      </c>
      <c r="BG115" s="12">
        <v>0</v>
      </c>
      <c r="BH115" s="12">
        <v>0</v>
      </c>
      <c r="BI115" s="12">
        <v>29</v>
      </c>
      <c r="BJ115" s="12">
        <v>0</v>
      </c>
      <c r="BK115" s="12">
        <v>0</v>
      </c>
      <c r="BL115" s="12">
        <v>40</v>
      </c>
      <c r="BM115" s="12">
        <v>3</v>
      </c>
      <c r="BN115" s="12">
        <v>7.4999999999999997E-2</v>
      </c>
      <c r="BO115" s="12">
        <v>23</v>
      </c>
      <c r="BP115" s="12">
        <v>0</v>
      </c>
      <c r="BQ115" s="12">
        <v>0</v>
      </c>
      <c r="BR115" s="12">
        <v>94</v>
      </c>
      <c r="BS115" s="12">
        <v>4</v>
      </c>
      <c r="BT115" s="12">
        <v>4.2553191489361701E-2</v>
      </c>
      <c r="BU115" s="12">
        <v>531</v>
      </c>
      <c r="BV115" s="12">
        <v>7</v>
      </c>
      <c r="BW115" s="12">
        <v>1.3182674199623353E-2</v>
      </c>
      <c r="BX115" s="12"/>
      <c r="BY115" s="12"/>
      <c r="BZ115" s="12"/>
      <c r="CA115" s="12">
        <v>79744.95</v>
      </c>
      <c r="CB115" s="13"/>
      <c r="CC115" s="13"/>
      <c r="CD115" s="13"/>
      <c r="CE115" s="12">
        <v>5350</v>
      </c>
      <c r="CF115" s="12">
        <v>404</v>
      </c>
      <c r="CG115" s="13">
        <v>38235</v>
      </c>
      <c r="CH115" s="13">
        <v>67</v>
      </c>
      <c r="CI115" s="13">
        <v>4340</v>
      </c>
    </row>
    <row r="116" spans="2:87" x14ac:dyDescent="0.2">
      <c r="B116" s="5">
        <v>45889</v>
      </c>
      <c r="C116" s="12">
        <v>18</v>
      </c>
      <c r="D116" s="12">
        <v>1.8</v>
      </c>
      <c r="E116" s="12">
        <v>109243.698</v>
      </c>
      <c r="F116" s="12">
        <v>-2</v>
      </c>
      <c r="G116" s="12">
        <v>1966386.58</v>
      </c>
      <c r="H116" s="12">
        <v>0</v>
      </c>
      <c r="I116" s="12">
        <v>166.05</v>
      </c>
      <c r="J116" s="12">
        <v>1966552.63</v>
      </c>
      <c r="K116" s="12">
        <v>75000</v>
      </c>
      <c r="L116" s="12">
        <v>0</v>
      </c>
      <c r="M116" s="12">
        <v>373447.37</v>
      </c>
      <c r="N116" s="12">
        <v>2415000</v>
      </c>
      <c r="O116" s="12">
        <v>0</v>
      </c>
      <c r="P116" s="12">
        <v>1965512.63</v>
      </c>
      <c r="Q116" s="12">
        <v>483348</v>
      </c>
      <c r="R116" s="12">
        <v>1482164.63</v>
      </c>
      <c r="S116" s="12">
        <v>0</v>
      </c>
      <c r="T116" s="12">
        <v>31</v>
      </c>
      <c r="U116" s="12">
        <v>0</v>
      </c>
      <c r="V116" s="12">
        <v>0</v>
      </c>
      <c r="W116" s="35">
        <v>46144.261731053244</v>
      </c>
      <c r="X116" s="12">
        <v>7</v>
      </c>
      <c r="Y116" s="12">
        <v>8</v>
      </c>
      <c r="Z116" s="12">
        <v>588401.36</v>
      </c>
      <c r="AA116" s="12">
        <v>73529.413</v>
      </c>
      <c r="AB116" s="12">
        <v>155982</v>
      </c>
      <c r="AC116" s="12">
        <v>431379.36</v>
      </c>
      <c r="AD116" s="12">
        <v>10</v>
      </c>
      <c r="AE116" s="12">
        <v>10</v>
      </c>
      <c r="AF116" s="12">
        <v>1378151.27</v>
      </c>
      <c r="AG116" s="12">
        <v>137815.12700000001</v>
      </c>
      <c r="AH116" s="12">
        <v>327366</v>
      </c>
      <c r="AI116" s="12">
        <v>1050785.27</v>
      </c>
      <c r="AJ116" s="12"/>
      <c r="AK116" s="12"/>
      <c r="AL116" s="12"/>
      <c r="AM116" s="12"/>
      <c r="AN116" s="12"/>
      <c r="AO116" s="12"/>
      <c r="AP116" s="12">
        <v>890922.36</v>
      </c>
      <c r="AQ116" s="12">
        <v>7</v>
      </c>
      <c r="AR116" s="12">
        <v>127250.901</v>
      </c>
      <c r="AS116" s="12">
        <v>231115</v>
      </c>
      <c r="AT116" s="12">
        <v>1029411.78</v>
      </c>
      <c r="AU116" s="12">
        <v>10</v>
      </c>
      <c r="AV116" s="12">
        <v>102941.178</v>
      </c>
      <c r="AW116" s="12">
        <v>242378</v>
      </c>
      <c r="AX116" s="12">
        <v>46218.49</v>
      </c>
      <c r="AY116" s="12">
        <v>1</v>
      </c>
      <c r="AZ116" s="12">
        <v>46218.49</v>
      </c>
      <c r="BA116" s="12">
        <v>9855</v>
      </c>
      <c r="BB116" s="12"/>
      <c r="BC116" s="12"/>
      <c r="BD116" s="12"/>
      <c r="BE116" s="12"/>
      <c r="BF116" s="12">
        <v>508</v>
      </c>
      <c r="BG116" s="12">
        <v>1</v>
      </c>
      <c r="BH116" s="12">
        <v>1.968503937007874E-3</v>
      </c>
      <c r="BI116" s="12">
        <v>24</v>
      </c>
      <c r="BJ116" s="12">
        <v>1</v>
      </c>
      <c r="BK116" s="12">
        <v>4.1666666666666664E-2</v>
      </c>
      <c r="BL116" s="12">
        <v>36</v>
      </c>
      <c r="BM116" s="12">
        <v>1</v>
      </c>
      <c r="BN116" s="12">
        <v>2.7777777777777776E-2</v>
      </c>
      <c r="BO116" s="12">
        <v>62</v>
      </c>
      <c r="BP116" s="12">
        <v>0</v>
      </c>
      <c r="BQ116" s="12">
        <v>0</v>
      </c>
      <c r="BR116" s="12">
        <v>109</v>
      </c>
      <c r="BS116" s="12">
        <v>6</v>
      </c>
      <c r="BT116" s="12">
        <v>5.5045871559633031E-2</v>
      </c>
      <c r="BU116" s="12">
        <v>739</v>
      </c>
      <c r="BV116" s="12">
        <v>9</v>
      </c>
      <c r="BW116" s="12">
        <v>1.2178619756427604E-2</v>
      </c>
      <c r="BX116" s="12"/>
      <c r="BY116" s="12"/>
      <c r="BZ116" s="12"/>
      <c r="CA116" s="12">
        <v>110693.85</v>
      </c>
      <c r="CB116" s="13"/>
      <c r="CC116" s="13"/>
      <c r="CD116" s="13"/>
      <c r="CE116" s="12">
        <v>7902</v>
      </c>
      <c r="CF116" s="12">
        <v>615</v>
      </c>
      <c r="CG116" s="13">
        <v>39226</v>
      </c>
      <c r="CH116" s="13">
        <v>79</v>
      </c>
      <c r="CI116" s="13">
        <v>4084</v>
      </c>
    </row>
    <row r="117" spans="2:87" x14ac:dyDescent="0.2">
      <c r="B117" s="5">
        <v>45890</v>
      </c>
      <c r="C117" s="12">
        <v>20</v>
      </c>
      <c r="D117" s="12">
        <v>1.8</v>
      </c>
      <c r="E117" s="12">
        <v>167460.08499999999</v>
      </c>
      <c r="F117" s="12">
        <v>0</v>
      </c>
      <c r="G117" s="12">
        <v>3460126.04</v>
      </c>
      <c r="H117" s="12">
        <v>-110924.34</v>
      </c>
      <c r="I117" s="12">
        <v>0</v>
      </c>
      <c r="J117" s="12">
        <v>3349201.7</v>
      </c>
      <c r="K117" s="12">
        <v>38000</v>
      </c>
      <c r="L117" s="12">
        <v>0</v>
      </c>
      <c r="M117" s="12">
        <v>570798.30000000005</v>
      </c>
      <c r="N117" s="12">
        <v>3958000</v>
      </c>
      <c r="O117" s="12">
        <v>250000</v>
      </c>
      <c r="P117" s="12">
        <v>3099201.7</v>
      </c>
      <c r="Q117" s="12">
        <v>836677</v>
      </c>
      <c r="R117" s="12">
        <v>2262524.7000000002</v>
      </c>
      <c r="S117" s="12">
        <v>0</v>
      </c>
      <c r="T117" s="12">
        <v>36</v>
      </c>
      <c r="U117" s="12">
        <v>0</v>
      </c>
      <c r="V117" s="12">
        <v>0</v>
      </c>
      <c r="W117" s="35">
        <v>46144.261731053244</v>
      </c>
      <c r="X117" s="12">
        <v>10</v>
      </c>
      <c r="Y117" s="12">
        <v>11</v>
      </c>
      <c r="Z117" s="12">
        <v>2179453.79</v>
      </c>
      <c r="AA117" s="12">
        <v>198132.16200000001</v>
      </c>
      <c r="AB117" s="12">
        <v>497786</v>
      </c>
      <c r="AC117" s="12">
        <v>1431667.79</v>
      </c>
      <c r="AD117" s="12">
        <v>9</v>
      </c>
      <c r="AE117" s="12">
        <v>9</v>
      </c>
      <c r="AF117" s="12">
        <v>1169747.9099999999</v>
      </c>
      <c r="AG117" s="12">
        <v>129971.99</v>
      </c>
      <c r="AH117" s="12">
        <v>338891</v>
      </c>
      <c r="AI117" s="12">
        <v>830856.91</v>
      </c>
      <c r="AJ117" s="12"/>
      <c r="AK117" s="12"/>
      <c r="AL117" s="12"/>
      <c r="AM117" s="12"/>
      <c r="AN117" s="12"/>
      <c r="AO117" s="12"/>
      <c r="AP117" s="12">
        <v>2015126.05</v>
      </c>
      <c r="AQ117" s="12">
        <v>5</v>
      </c>
      <c r="AR117" s="12">
        <v>403025.21</v>
      </c>
      <c r="AS117" s="12">
        <v>556976</v>
      </c>
      <c r="AT117" s="12">
        <v>1241638.67</v>
      </c>
      <c r="AU117" s="12">
        <v>13</v>
      </c>
      <c r="AV117" s="12">
        <v>95510.665999999997</v>
      </c>
      <c r="AW117" s="12">
        <v>259991</v>
      </c>
      <c r="AX117" s="12">
        <v>92436.98</v>
      </c>
      <c r="AY117" s="12">
        <v>2</v>
      </c>
      <c r="AZ117" s="12">
        <v>46218.49</v>
      </c>
      <c r="BA117" s="12">
        <v>19710</v>
      </c>
      <c r="BB117" s="12"/>
      <c r="BC117" s="12"/>
      <c r="BD117" s="12"/>
      <c r="BE117" s="12"/>
      <c r="BF117" s="12">
        <v>404</v>
      </c>
      <c r="BG117" s="12">
        <v>1</v>
      </c>
      <c r="BH117" s="12">
        <v>2.4752475247524753E-3</v>
      </c>
      <c r="BI117" s="12">
        <v>30</v>
      </c>
      <c r="BJ117" s="12">
        <v>1</v>
      </c>
      <c r="BK117" s="12">
        <v>3.3333333333333333E-2</v>
      </c>
      <c r="BL117" s="12">
        <v>32</v>
      </c>
      <c r="BM117" s="12">
        <v>0</v>
      </c>
      <c r="BN117" s="12">
        <v>0</v>
      </c>
      <c r="BO117" s="12">
        <v>57</v>
      </c>
      <c r="BP117" s="12">
        <v>0</v>
      </c>
      <c r="BQ117" s="12">
        <v>0</v>
      </c>
      <c r="BR117" s="12">
        <v>107</v>
      </c>
      <c r="BS117" s="12">
        <v>2</v>
      </c>
      <c r="BT117" s="12">
        <v>1.8691588785046728E-2</v>
      </c>
      <c r="BU117" s="12">
        <v>630</v>
      </c>
      <c r="BV117" s="12">
        <v>4</v>
      </c>
      <c r="BW117" s="12">
        <v>6.3492063492063492E-3</v>
      </c>
      <c r="BX117" s="12"/>
      <c r="BY117" s="12"/>
      <c r="BZ117" s="12"/>
      <c r="CA117" s="12">
        <v>90709.96</v>
      </c>
      <c r="CB117" s="13"/>
      <c r="CC117" s="13"/>
      <c r="CD117" s="13"/>
      <c r="CE117" s="12">
        <v>6811</v>
      </c>
      <c r="CF117" s="12">
        <v>535</v>
      </c>
      <c r="CG117" s="13">
        <v>39878</v>
      </c>
      <c r="CH117" s="13">
        <v>72</v>
      </c>
      <c r="CI117" s="13">
        <v>4480</v>
      </c>
    </row>
    <row r="118" spans="2:87" x14ac:dyDescent="0.2">
      <c r="B118" s="5">
        <v>45891</v>
      </c>
      <c r="C118" s="12">
        <v>17</v>
      </c>
      <c r="D118" s="12">
        <v>3.7</v>
      </c>
      <c r="E118" s="12">
        <v>161879.88200000001</v>
      </c>
      <c r="F118" s="12">
        <v>0</v>
      </c>
      <c r="G118" s="12">
        <v>2898596.65</v>
      </c>
      <c r="H118" s="12">
        <v>-129831.93</v>
      </c>
      <c r="I118" s="12">
        <v>0</v>
      </c>
      <c r="J118" s="12">
        <v>2768764.72</v>
      </c>
      <c r="K118" s="12">
        <v>23500</v>
      </c>
      <c r="L118" s="12">
        <v>0</v>
      </c>
      <c r="M118" s="12">
        <v>500415.28</v>
      </c>
      <c r="N118" s="12">
        <v>3292680</v>
      </c>
      <c r="O118" s="12">
        <v>0</v>
      </c>
      <c r="P118" s="12">
        <v>2768764.72</v>
      </c>
      <c r="Q118" s="12">
        <v>835183</v>
      </c>
      <c r="R118" s="12">
        <v>1933581.72</v>
      </c>
      <c r="S118" s="12">
        <v>0</v>
      </c>
      <c r="T118" s="12">
        <v>64</v>
      </c>
      <c r="U118" s="12">
        <v>0</v>
      </c>
      <c r="V118" s="12">
        <v>0</v>
      </c>
      <c r="W118" s="35">
        <v>46144.261731053244</v>
      </c>
      <c r="X118" s="12">
        <v>4</v>
      </c>
      <c r="Y118" s="12">
        <v>5</v>
      </c>
      <c r="Z118" s="12">
        <v>1302672.27</v>
      </c>
      <c r="AA118" s="12">
        <v>257173.11</v>
      </c>
      <c r="AB118" s="12">
        <v>381129</v>
      </c>
      <c r="AC118" s="12">
        <v>921543.27</v>
      </c>
      <c r="AD118" s="12">
        <v>12</v>
      </c>
      <c r="AE118" s="12">
        <v>12</v>
      </c>
      <c r="AF118" s="12">
        <v>1466092.45</v>
      </c>
      <c r="AG118" s="12">
        <v>122174.37</v>
      </c>
      <c r="AH118" s="12">
        <v>454054</v>
      </c>
      <c r="AI118" s="12">
        <v>1012038.45</v>
      </c>
      <c r="AJ118" s="12"/>
      <c r="AK118" s="12"/>
      <c r="AL118" s="12"/>
      <c r="AM118" s="12"/>
      <c r="AN118" s="12"/>
      <c r="AO118" s="12"/>
      <c r="AP118" s="12">
        <v>215697.48</v>
      </c>
      <c r="AQ118" s="12">
        <v>3</v>
      </c>
      <c r="AR118" s="12">
        <v>71899.16</v>
      </c>
      <c r="AS118" s="12">
        <v>63375</v>
      </c>
      <c r="AT118" s="12">
        <v>2553067.2400000002</v>
      </c>
      <c r="AU118" s="12">
        <v>14</v>
      </c>
      <c r="AV118" s="12">
        <v>181161.465</v>
      </c>
      <c r="AW118" s="12">
        <v>771808</v>
      </c>
      <c r="AX118" s="12"/>
      <c r="AY118" s="12"/>
      <c r="AZ118" s="12"/>
      <c r="BA118" s="12"/>
      <c r="BB118" s="12"/>
      <c r="BC118" s="12"/>
      <c r="BD118" s="12"/>
      <c r="BE118" s="12"/>
      <c r="BF118" s="12">
        <v>16</v>
      </c>
      <c r="BG118" s="12">
        <v>0</v>
      </c>
      <c r="BH118" s="12">
        <v>0</v>
      </c>
      <c r="BI118" s="12">
        <v>17</v>
      </c>
      <c r="BJ118" s="12">
        <v>0</v>
      </c>
      <c r="BK118" s="12">
        <v>0</v>
      </c>
      <c r="BL118" s="12">
        <v>14</v>
      </c>
      <c r="BM118" s="12">
        <v>0</v>
      </c>
      <c r="BN118" s="12">
        <v>0</v>
      </c>
      <c r="BO118" s="12">
        <v>1</v>
      </c>
      <c r="BP118" s="12">
        <v>0</v>
      </c>
      <c r="BQ118" s="12">
        <v>0</v>
      </c>
      <c r="BR118" s="12">
        <v>61</v>
      </c>
      <c r="BS118" s="12">
        <v>1</v>
      </c>
      <c r="BT118" s="12">
        <v>1.6393442622950821E-2</v>
      </c>
      <c r="BU118" s="12">
        <v>109</v>
      </c>
      <c r="BV118" s="12">
        <v>1</v>
      </c>
      <c r="BW118" s="12">
        <v>9.1743119266055051E-3</v>
      </c>
      <c r="BX118" s="12"/>
      <c r="BY118" s="12"/>
      <c r="BZ118" s="12"/>
      <c r="CA118" s="12">
        <v>374.86</v>
      </c>
      <c r="CB118" s="13"/>
      <c r="CC118" s="13"/>
      <c r="CD118" s="13"/>
      <c r="CE118" s="12">
        <v>137</v>
      </c>
      <c r="CF118" s="12">
        <v>7</v>
      </c>
      <c r="CG118" s="13">
        <v>22758</v>
      </c>
      <c r="CH118" s="13">
        <v>43</v>
      </c>
      <c r="CI118" s="13">
        <v>2597</v>
      </c>
    </row>
    <row r="119" spans="2:87" x14ac:dyDescent="0.2">
      <c r="B119" s="5">
        <v>45892</v>
      </c>
      <c r="C119" s="12">
        <v>18</v>
      </c>
      <c r="D119" s="12">
        <v>2.1</v>
      </c>
      <c r="E119" s="12">
        <v>126454.24800000001</v>
      </c>
      <c r="F119" s="12">
        <v>0</v>
      </c>
      <c r="G119" s="12">
        <v>2376008.41</v>
      </c>
      <c r="H119" s="12">
        <v>-20000</v>
      </c>
      <c r="I119" s="12">
        <v>0</v>
      </c>
      <c r="J119" s="12">
        <v>2356008.41</v>
      </c>
      <c r="K119" s="12">
        <v>18000</v>
      </c>
      <c r="L119" s="12">
        <v>0</v>
      </c>
      <c r="M119" s="12">
        <v>440991.59</v>
      </c>
      <c r="N119" s="12">
        <v>2815000</v>
      </c>
      <c r="O119" s="12">
        <v>0</v>
      </c>
      <c r="P119" s="12">
        <v>2356008.41</v>
      </c>
      <c r="Q119" s="12">
        <v>744187</v>
      </c>
      <c r="R119" s="12">
        <v>1611821.41</v>
      </c>
      <c r="S119" s="12">
        <v>0</v>
      </c>
      <c r="T119" s="12">
        <v>40</v>
      </c>
      <c r="U119" s="12">
        <v>0</v>
      </c>
      <c r="V119" s="12">
        <v>0</v>
      </c>
      <c r="W119" s="35">
        <v>46144.261731053244</v>
      </c>
      <c r="X119" s="12">
        <v>10</v>
      </c>
      <c r="Y119" s="12">
        <v>13</v>
      </c>
      <c r="Z119" s="12">
        <v>1330252.1000000001</v>
      </c>
      <c r="AA119" s="12">
        <v>96186.165999999997</v>
      </c>
      <c r="AB119" s="12">
        <v>386049</v>
      </c>
      <c r="AC119" s="12">
        <v>944203.1</v>
      </c>
      <c r="AD119" s="12">
        <v>5</v>
      </c>
      <c r="AE119" s="12">
        <v>5</v>
      </c>
      <c r="AF119" s="12">
        <v>1025756.31</v>
      </c>
      <c r="AG119" s="12">
        <v>205151.26199999999</v>
      </c>
      <c r="AH119" s="12">
        <v>358138</v>
      </c>
      <c r="AI119" s="12">
        <v>667618.31000000006</v>
      </c>
      <c r="AJ119" s="12"/>
      <c r="AK119" s="12"/>
      <c r="AL119" s="12"/>
      <c r="AM119" s="12"/>
      <c r="AN119" s="12"/>
      <c r="AO119" s="12"/>
      <c r="AP119" s="12">
        <v>340336.14</v>
      </c>
      <c r="AQ119" s="12">
        <v>3</v>
      </c>
      <c r="AR119" s="12">
        <v>113445.38</v>
      </c>
      <c r="AS119" s="12">
        <v>93837</v>
      </c>
      <c r="AT119" s="12">
        <v>2015672.27</v>
      </c>
      <c r="AU119" s="12">
        <v>15</v>
      </c>
      <c r="AV119" s="12">
        <v>129056.022</v>
      </c>
      <c r="AW119" s="12">
        <v>650350</v>
      </c>
      <c r="AX119" s="12"/>
      <c r="AY119" s="12"/>
      <c r="AZ119" s="12"/>
      <c r="BA119" s="12"/>
      <c r="BB119" s="12"/>
      <c r="BC119" s="12"/>
      <c r="BD119" s="12"/>
      <c r="BE119" s="12"/>
      <c r="BF119" s="12">
        <v>10</v>
      </c>
      <c r="BG119" s="12">
        <v>0</v>
      </c>
      <c r="BH119" s="12">
        <v>0</v>
      </c>
      <c r="BI119" s="12">
        <v>17</v>
      </c>
      <c r="BJ119" s="12">
        <v>1</v>
      </c>
      <c r="BK119" s="12">
        <v>5.8823529411764705E-2</v>
      </c>
      <c r="BL119" s="12">
        <v>20</v>
      </c>
      <c r="BM119" s="12">
        <v>0</v>
      </c>
      <c r="BN119" s="12">
        <v>0</v>
      </c>
      <c r="BO119" s="12"/>
      <c r="BP119" s="12"/>
      <c r="BQ119" s="12"/>
      <c r="BR119" s="12">
        <v>37</v>
      </c>
      <c r="BS119" s="12">
        <v>1</v>
      </c>
      <c r="BT119" s="12">
        <v>2.7027027027027029E-2</v>
      </c>
      <c r="BU119" s="12">
        <v>84</v>
      </c>
      <c r="BV119" s="12">
        <v>2</v>
      </c>
      <c r="BW119" s="12">
        <v>2.3809523809523808E-2</v>
      </c>
      <c r="BX119" s="12"/>
      <c r="BY119" s="12"/>
      <c r="BZ119" s="12"/>
      <c r="CA119" s="12">
        <v>328.24</v>
      </c>
      <c r="CB119" s="13"/>
      <c r="CC119" s="13"/>
      <c r="CD119" s="13"/>
      <c r="CE119" s="12">
        <v>148</v>
      </c>
      <c r="CF119" s="12">
        <v>11</v>
      </c>
      <c r="CG119" s="13">
        <v>19059</v>
      </c>
      <c r="CH119" s="13">
        <v>34</v>
      </c>
      <c r="CI119" s="13">
        <v>1867</v>
      </c>
    </row>
    <row r="120" spans="2:87" x14ac:dyDescent="0.2">
      <c r="B120" s="5">
        <v>45893</v>
      </c>
      <c r="C120" s="12">
        <v>20</v>
      </c>
      <c r="D120" s="12">
        <v>2</v>
      </c>
      <c r="E120" s="12">
        <v>130284.452</v>
      </c>
      <c r="F120" s="12">
        <v>0</v>
      </c>
      <c r="G120" s="12">
        <v>2605689.0499999998</v>
      </c>
      <c r="H120" s="12">
        <v>0</v>
      </c>
      <c r="I120" s="12">
        <v>0</v>
      </c>
      <c r="J120" s="12">
        <v>2605689.0499999998</v>
      </c>
      <c r="K120" s="12">
        <v>43500</v>
      </c>
      <c r="L120" s="12">
        <v>0</v>
      </c>
      <c r="M120" s="12">
        <v>441310.95</v>
      </c>
      <c r="N120" s="12">
        <v>3090500</v>
      </c>
      <c r="O120" s="12">
        <v>96000</v>
      </c>
      <c r="P120" s="12">
        <v>2509689.0499999998</v>
      </c>
      <c r="Q120" s="12">
        <v>804180</v>
      </c>
      <c r="R120" s="12">
        <v>1705509.05</v>
      </c>
      <c r="S120" s="12">
        <v>0</v>
      </c>
      <c r="T120" s="12">
        <v>41</v>
      </c>
      <c r="U120" s="12">
        <v>0</v>
      </c>
      <c r="V120" s="12">
        <v>0</v>
      </c>
      <c r="W120" s="35">
        <v>46144.261731053244</v>
      </c>
      <c r="X120" s="12">
        <v>7</v>
      </c>
      <c r="Y120" s="12">
        <v>8</v>
      </c>
      <c r="Z120" s="12">
        <v>627731.09</v>
      </c>
      <c r="AA120" s="12">
        <v>78466.385999999999</v>
      </c>
      <c r="AB120" s="12">
        <v>166167</v>
      </c>
      <c r="AC120" s="12">
        <v>461564.09</v>
      </c>
      <c r="AD120" s="12">
        <v>12</v>
      </c>
      <c r="AE120" s="12">
        <v>12</v>
      </c>
      <c r="AF120" s="12">
        <v>1977957.96</v>
      </c>
      <c r="AG120" s="12">
        <v>164829.82999999999</v>
      </c>
      <c r="AH120" s="12">
        <v>638013</v>
      </c>
      <c r="AI120" s="12">
        <v>1243944.96</v>
      </c>
      <c r="AJ120" s="12"/>
      <c r="AK120" s="12"/>
      <c r="AL120" s="12"/>
      <c r="AM120" s="12"/>
      <c r="AN120" s="12"/>
      <c r="AO120" s="12"/>
      <c r="AP120" s="12">
        <v>235294.12</v>
      </c>
      <c r="AQ120" s="12">
        <v>2</v>
      </c>
      <c r="AR120" s="12">
        <v>117647.06</v>
      </c>
      <c r="AS120" s="12">
        <v>67836</v>
      </c>
      <c r="AT120" s="12">
        <v>2290563</v>
      </c>
      <c r="AU120" s="12">
        <v>17</v>
      </c>
      <c r="AV120" s="12">
        <v>134739</v>
      </c>
      <c r="AW120" s="12">
        <v>705419</v>
      </c>
      <c r="AX120" s="12"/>
      <c r="AY120" s="12"/>
      <c r="AZ120" s="12"/>
      <c r="BA120" s="12"/>
      <c r="BB120" s="12"/>
      <c r="BC120" s="12"/>
      <c r="BD120" s="12"/>
      <c r="BE120" s="12"/>
      <c r="BF120" s="12">
        <v>30</v>
      </c>
      <c r="BG120" s="12">
        <v>0</v>
      </c>
      <c r="BH120" s="12">
        <v>0</v>
      </c>
      <c r="BI120" s="12">
        <v>15</v>
      </c>
      <c r="BJ120" s="12">
        <v>1</v>
      </c>
      <c r="BK120" s="12">
        <v>6.6666666666666666E-2</v>
      </c>
      <c r="BL120" s="12">
        <v>19</v>
      </c>
      <c r="BM120" s="12">
        <v>0</v>
      </c>
      <c r="BN120" s="12">
        <v>0</v>
      </c>
      <c r="BO120" s="12">
        <v>1</v>
      </c>
      <c r="BP120" s="12">
        <v>0</v>
      </c>
      <c r="BQ120" s="12">
        <v>0</v>
      </c>
      <c r="BR120" s="12">
        <v>75</v>
      </c>
      <c r="BS120" s="12">
        <v>3</v>
      </c>
      <c r="BT120" s="12">
        <v>0.04</v>
      </c>
      <c r="BU120" s="12">
        <v>140</v>
      </c>
      <c r="BV120" s="12">
        <v>4</v>
      </c>
      <c r="BW120" s="12">
        <v>2.8571428571428571E-2</v>
      </c>
      <c r="BX120" s="12"/>
      <c r="BY120" s="12"/>
      <c r="BZ120" s="12"/>
      <c r="CA120" s="12">
        <v>3107.91</v>
      </c>
      <c r="CB120" s="13"/>
      <c r="CC120" s="13"/>
      <c r="CD120" s="13"/>
      <c r="CE120" s="12">
        <v>296</v>
      </c>
      <c r="CF120" s="12">
        <v>25</v>
      </c>
      <c r="CG120" s="13">
        <v>19248</v>
      </c>
      <c r="CH120" s="13">
        <v>34</v>
      </c>
      <c r="CI120" s="13">
        <v>2425</v>
      </c>
    </row>
    <row r="121" spans="2:87" x14ac:dyDescent="0.2">
      <c r="B121" s="5">
        <v>45894</v>
      </c>
      <c r="C121" s="12">
        <v>22</v>
      </c>
      <c r="D121" s="12">
        <v>2.1</v>
      </c>
      <c r="E121" s="12">
        <v>140374.37700000001</v>
      </c>
      <c r="F121" s="12">
        <v>0</v>
      </c>
      <c r="G121" s="12">
        <v>3088236.31</v>
      </c>
      <c r="H121" s="12">
        <v>0</v>
      </c>
      <c r="I121" s="12">
        <v>0</v>
      </c>
      <c r="J121" s="12">
        <v>3088236.31</v>
      </c>
      <c r="K121" s="12">
        <v>57000</v>
      </c>
      <c r="L121" s="12">
        <v>0</v>
      </c>
      <c r="M121" s="12">
        <v>586764.68999999994</v>
      </c>
      <c r="N121" s="12">
        <v>3732001</v>
      </c>
      <c r="O121" s="12">
        <v>44538.82</v>
      </c>
      <c r="P121" s="12">
        <v>3043697.49</v>
      </c>
      <c r="Q121" s="12">
        <v>1039140</v>
      </c>
      <c r="R121" s="12">
        <v>2004557.49</v>
      </c>
      <c r="S121" s="12">
        <v>0</v>
      </c>
      <c r="T121" s="12">
        <v>46</v>
      </c>
      <c r="U121" s="12">
        <v>0</v>
      </c>
      <c r="V121" s="12">
        <v>0</v>
      </c>
      <c r="W121" s="35">
        <v>46144.261731053244</v>
      </c>
      <c r="X121" s="12">
        <v>9</v>
      </c>
      <c r="Y121" s="12">
        <v>10</v>
      </c>
      <c r="Z121" s="12">
        <v>1485295.12</v>
      </c>
      <c r="AA121" s="12">
        <v>148529.51199999999</v>
      </c>
      <c r="AB121" s="12">
        <v>461768</v>
      </c>
      <c r="AC121" s="12">
        <v>999156.37</v>
      </c>
      <c r="AD121" s="12">
        <v>11</v>
      </c>
      <c r="AE121" s="12">
        <v>11</v>
      </c>
      <c r="AF121" s="12">
        <v>1590336.15</v>
      </c>
      <c r="AG121" s="12">
        <v>144576.01300000001</v>
      </c>
      <c r="AH121" s="12">
        <v>577372</v>
      </c>
      <c r="AI121" s="12">
        <v>1005401.12</v>
      </c>
      <c r="AJ121" s="12">
        <v>1</v>
      </c>
      <c r="AK121" s="12">
        <v>1</v>
      </c>
      <c r="AL121" s="12">
        <v>12605.04</v>
      </c>
      <c r="AM121" s="12">
        <v>12605.04</v>
      </c>
      <c r="AN121" s="12">
        <v>0</v>
      </c>
      <c r="AO121" s="12">
        <v>0</v>
      </c>
      <c r="AP121" s="12">
        <v>638656.46</v>
      </c>
      <c r="AQ121" s="12">
        <v>5</v>
      </c>
      <c r="AR121" s="12">
        <v>127731.292</v>
      </c>
      <c r="AS121" s="12">
        <v>245813</v>
      </c>
      <c r="AT121" s="12">
        <v>2214285.73</v>
      </c>
      <c r="AU121" s="12">
        <v>16</v>
      </c>
      <c r="AV121" s="12">
        <v>138392.85800000001</v>
      </c>
      <c r="AW121" s="12">
        <v>728027</v>
      </c>
      <c r="AX121" s="12"/>
      <c r="AY121" s="12"/>
      <c r="AZ121" s="12"/>
      <c r="BA121" s="12"/>
      <c r="BB121" s="12"/>
      <c r="BC121" s="12"/>
      <c r="BD121" s="12"/>
      <c r="BE121" s="12"/>
      <c r="BF121" s="12">
        <v>13</v>
      </c>
      <c r="BG121" s="12">
        <v>0</v>
      </c>
      <c r="BH121" s="12">
        <v>0</v>
      </c>
      <c r="BI121" s="12">
        <v>22</v>
      </c>
      <c r="BJ121" s="12">
        <v>0</v>
      </c>
      <c r="BK121" s="12">
        <v>0</v>
      </c>
      <c r="BL121" s="12">
        <v>24</v>
      </c>
      <c r="BM121" s="12">
        <v>1</v>
      </c>
      <c r="BN121" s="12">
        <v>4.1666666666666664E-2</v>
      </c>
      <c r="BO121" s="12"/>
      <c r="BP121" s="12"/>
      <c r="BQ121" s="12"/>
      <c r="BR121" s="12">
        <v>74</v>
      </c>
      <c r="BS121" s="12">
        <v>3</v>
      </c>
      <c r="BT121" s="12">
        <v>4.0540540540540543E-2</v>
      </c>
      <c r="BU121" s="12">
        <v>133</v>
      </c>
      <c r="BV121" s="12">
        <v>4</v>
      </c>
      <c r="BW121" s="12">
        <v>3.007518796992481E-2</v>
      </c>
      <c r="BX121" s="12"/>
      <c r="BY121" s="12"/>
      <c r="BZ121" s="12"/>
      <c r="CA121" s="12">
        <v>3381.76</v>
      </c>
      <c r="CB121" s="13"/>
      <c r="CC121" s="13"/>
      <c r="CD121" s="13"/>
      <c r="CE121" s="12">
        <v>244</v>
      </c>
      <c r="CF121" s="12">
        <v>31</v>
      </c>
      <c r="CG121" s="13">
        <v>19463</v>
      </c>
      <c r="CH121" s="13">
        <v>30</v>
      </c>
      <c r="CI121" s="13">
        <v>2259</v>
      </c>
    </row>
    <row r="122" spans="2:87" x14ac:dyDescent="0.2">
      <c r="B122" s="5">
        <v>45895</v>
      </c>
      <c r="C122" s="12">
        <v>19</v>
      </c>
      <c r="D122" s="12">
        <v>2.4</v>
      </c>
      <c r="E122" s="12">
        <v>140667.84599999999</v>
      </c>
      <c r="F122" s="12">
        <v>-1</v>
      </c>
      <c r="G122" s="12">
        <v>2731512.61</v>
      </c>
      <c r="H122" s="12">
        <v>0</v>
      </c>
      <c r="I122" s="12">
        <v>-84033.61</v>
      </c>
      <c r="J122" s="12">
        <v>2647479</v>
      </c>
      <c r="K122" s="12">
        <v>54000</v>
      </c>
      <c r="L122" s="12">
        <v>0</v>
      </c>
      <c r="M122" s="12">
        <v>503021</v>
      </c>
      <c r="N122" s="12">
        <v>3204500</v>
      </c>
      <c r="O122" s="12">
        <v>37815.129999999997</v>
      </c>
      <c r="P122" s="12">
        <v>2609663.87</v>
      </c>
      <c r="Q122" s="12">
        <v>644735</v>
      </c>
      <c r="R122" s="12">
        <v>1964928.87</v>
      </c>
      <c r="S122" s="12">
        <v>0</v>
      </c>
      <c r="T122" s="12">
        <v>46</v>
      </c>
      <c r="U122" s="12">
        <v>0</v>
      </c>
      <c r="V122" s="12">
        <v>0</v>
      </c>
      <c r="W122" s="35">
        <v>46144.261731053244</v>
      </c>
      <c r="X122" s="12">
        <v>9</v>
      </c>
      <c r="Y122" s="12">
        <v>10</v>
      </c>
      <c r="Z122" s="12">
        <v>1871428.58</v>
      </c>
      <c r="AA122" s="12">
        <v>189663.86600000001</v>
      </c>
      <c r="AB122" s="12">
        <v>449323</v>
      </c>
      <c r="AC122" s="12">
        <v>1384290.45</v>
      </c>
      <c r="AD122" s="12">
        <v>9</v>
      </c>
      <c r="AE122" s="12">
        <v>9</v>
      </c>
      <c r="AF122" s="12">
        <v>776050.42</v>
      </c>
      <c r="AG122" s="12">
        <v>86227.823999999993</v>
      </c>
      <c r="AH122" s="12">
        <v>195412</v>
      </c>
      <c r="AI122" s="12">
        <v>580638.42000000004</v>
      </c>
      <c r="AJ122" s="12"/>
      <c r="AK122" s="12"/>
      <c r="AL122" s="12"/>
      <c r="AM122" s="12"/>
      <c r="AN122" s="12"/>
      <c r="AO122" s="12"/>
      <c r="AP122" s="12">
        <v>542016.81000000006</v>
      </c>
      <c r="AQ122" s="12">
        <v>6</v>
      </c>
      <c r="AR122" s="12">
        <v>90336.134999999995</v>
      </c>
      <c r="AS122" s="12">
        <v>164272</v>
      </c>
      <c r="AT122" s="12">
        <v>2083613.45</v>
      </c>
      <c r="AU122" s="12">
        <v>12</v>
      </c>
      <c r="AV122" s="12">
        <v>175735.29399999999</v>
      </c>
      <c r="AW122" s="12">
        <v>475725</v>
      </c>
      <c r="AX122" s="12">
        <v>21848.74</v>
      </c>
      <c r="AY122" s="12">
        <v>1</v>
      </c>
      <c r="AZ122" s="12">
        <v>21848.74</v>
      </c>
      <c r="BA122" s="12">
        <v>4738</v>
      </c>
      <c r="BB122" s="12"/>
      <c r="BC122" s="12"/>
      <c r="BD122" s="12"/>
      <c r="BE122" s="12"/>
      <c r="BF122" s="12">
        <v>11</v>
      </c>
      <c r="BG122" s="12">
        <v>0</v>
      </c>
      <c r="BH122" s="12">
        <v>0</v>
      </c>
      <c r="BI122" s="12">
        <v>19</v>
      </c>
      <c r="BJ122" s="12">
        <v>1</v>
      </c>
      <c r="BK122" s="12">
        <v>5.2631578947368418E-2</v>
      </c>
      <c r="BL122" s="12">
        <v>40</v>
      </c>
      <c r="BM122" s="12">
        <v>0</v>
      </c>
      <c r="BN122" s="12">
        <v>0</v>
      </c>
      <c r="BO122" s="12"/>
      <c r="BP122" s="12"/>
      <c r="BQ122" s="12"/>
      <c r="BR122" s="12">
        <v>133</v>
      </c>
      <c r="BS122" s="12">
        <v>4</v>
      </c>
      <c r="BT122" s="12">
        <v>3.007518796992481E-2</v>
      </c>
      <c r="BU122" s="12">
        <v>203</v>
      </c>
      <c r="BV122" s="12">
        <v>5</v>
      </c>
      <c r="BW122" s="12">
        <v>2.4630541871921183E-2</v>
      </c>
      <c r="BX122" s="12"/>
      <c r="BY122" s="12"/>
      <c r="BZ122" s="12"/>
      <c r="CA122" s="12">
        <v>2659.55</v>
      </c>
      <c r="CB122" s="13"/>
      <c r="CC122" s="13"/>
      <c r="CD122" s="13"/>
      <c r="CE122" s="12">
        <v>284</v>
      </c>
      <c r="CF122" s="12">
        <v>28</v>
      </c>
      <c r="CG122" s="13">
        <v>23432</v>
      </c>
      <c r="CH122" s="13">
        <v>52</v>
      </c>
      <c r="CI122" s="13">
        <v>2192</v>
      </c>
    </row>
    <row r="123" spans="2:87" x14ac:dyDescent="0.2">
      <c r="B123" s="5">
        <v>45896</v>
      </c>
      <c r="C123" s="12">
        <v>16</v>
      </c>
      <c r="D123" s="12">
        <v>1.8</v>
      </c>
      <c r="E123" s="12">
        <v>105304.621</v>
      </c>
      <c r="F123" s="12">
        <v>-2</v>
      </c>
      <c r="G123" s="12">
        <v>1991176.48</v>
      </c>
      <c r="H123" s="12">
        <v>0</v>
      </c>
      <c r="I123" s="12">
        <v>-117647.06</v>
      </c>
      <c r="J123" s="12">
        <v>1873529.42</v>
      </c>
      <c r="K123" s="12">
        <v>55500</v>
      </c>
      <c r="L123" s="12">
        <v>0</v>
      </c>
      <c r="M123" s="12">
        <v>355970.58</v>
      </c>
      <c r="N123" s="12">
        <v>2285000</v>
      </c>
      <c r="O123" s="12">
        <v>0</v>
      </c>
      <c r="P123" s="12">
        <v>1873529.42</v>
      </c>
      <c r="Q123" s="12">
        <v>478108</v>
      </c>
      <c r="R123" s="12">
        <v>1395421.42</v>
      </c>
      <c r="S123" s="12">
        <v>0</v>
      </c>
      <c r="T123" s="12">
        <v>32</v>
      </c>
      <c r="U123" s="12">
        <v>0</v>
      </c>
      <c r="V123" s="12">
        <v>0</v>
      </c>
      <c r="W123" s="35">
        <v>46144.261731053244</v>
      </c>
      <c r="X123" s="12">
        <v>10</v>
      </c>
      <c r="Y123" s="12">
        <v>10</v>
      </c>
      <c r="Z123" s="12">
        <v>1113445.3700000001</v>
      </c>
      <c r="AA123" s="12">
        <v>107563.024</v>
      </c>
      <c r="AB123" s="12">
        <v>291340</v>
      </c>
      <c r="AC123" s="12">
        <v>822105.37</v>
      </c>
      <c r="AD123" s="12">
        <v>6</v>
      </c>
      <c r="AE123" s="12">
        <v>6</v>
      </c>
      <c r="AF123" s="12">
        <v>760084.05</v>
      </c>
      <c r="AG123" s="12">
        <v>101540.618</v>
      </c>
      <c r="AH123" s="12">
        <v>186768</v>
      </c>
      <c r="AI123" s="12">
        <v>573316.05000000005</v>
      </c>
      <c r="AJ123" s="12">
        <v>0</v>
      </c>
      <c r="AK123" s="12">
        <v>0</v>
      </c>
      <c r="AL123" s="12">
        <v>0</v>
      </c>
      <c r="AM123" s="12"/>
      <c r="AN123" s="12">
        <v>0</v>
      </c>
      <c r="AO123" s="12">
        <v>0</v>
      </c>
      <c r="AP123" s="12">
        <v>693277.31</v>
      </c>
      <c r="AQ123" s="12">
        <v>6</v>
      </c>
      <c r="AR123" s="12">
        <v>115546.21799999999</v>
      </c>
      <c r="AS123" s="12">
        <v>189247</v>
      </c>
      <c r="AT123" s="12">
        <v>1100420.18</v>
      </c>
      <c r="AU123" s="12">
        <v>9</v>
      </c>
      <c r="AV123" s="12">
        <v>101307.19</v>
      </c>
      <c r="AW123" s="12">
        <v>269186</v>
      </c>
      <c r="AX123" s="12"/>
      <c r="AY123" s="12"/>
      <c r="AZ123" s="12"/>
      <c r="BA123" s="12"/>
      <c r="BB123" s="12"/>
      <c r="BC123" s="12"/>
      <c r="BD123" s="12"/>
      <c r="BE123" s="12"/>
      <c r="BF123" s="12">
        <v>22</v>
      </c>
      <c r="BG123" s="12">
        <v>0</v>
      </c>
      <c r="BH123" s="12">
        <v>0</v>
      </c>
      <c r="BI123" s="12">
        <v>50</v>
      </c>
      <c r="BJ123" s="12">
        <v>0</v>
      </c>
      <c r="BK123" s="12">
        <v>0</v>
      </c>
      <c r="BL123" s="12">
        <v>24</v>
      </c>
      <c r="BM123" s="12">
        <v>1</v>
      </c>
      <c r="BN123" s="12">
        <v>4.1666666666666664E-2</v>
      </c>
      <c r="BO123" s="12"/>
      <c r="BP123" s="12"/>
      <c r="BQ123" s="12"/>
      <c r="BR123" s="12">
        <v>91</v>
      </c>
      <c r="BS123" s="12">
        <v>3</v>
      </c>
      <c r="BT123" s="12">
        <v>3.2967032967032968E-2</v>
      </c>
      <c r="BU123" s="12">
        <v>187</v>
      </c>
      <c r="BV123" s="12">
        <v>4</v>
      </c>
      <c r="BW123" s="12">
        <v>2.1390374331550801E-2</v>
      </c>
      <c r="BX123" s="12"/>
      <c r="BY123" s="12"/>
      <c r="BZ123" s="12"/>
      <c r="CA123" s="12">
        <v>3774.91</v>
      </c>
      <c r="CB123" s="13"/>
      <c r="CC123" s="13"/>
      <c r="CD123" s="13"/>
      <c r="CE123" s="12">
        <v>276</v>
      </c>
      <c r="CF123" s="12">
        <v>33</v>
      </c>
      <c r="CG123" s="13">
        <v>34826</v>
      </c>
      <c r="CH123" s="13">
        <v>70</v>
      </c>
      <c r="CI123" s="13">
        <v>9525</v>
      </c>
    </row>
    <row r="124" spans="2:87" x14ac:dyDescent="0.2">
      <c r="B124" s="5">
        <v>45897</v>
      </c>
      <c r="C124" s="12">
        <v>23</v>
      </c>
      <c r="D124" s="12">
        <v>1.7</v>
      </c>
      <c r="E124" s="12">
        <v>115875.04700000001</v>
      </c>
      <c r="F124" s="12">
        <v>0</v>
      </c>
      <c r="G124" s="12">
        <v>2747479.04</v>
      </c>
      <c r="H124" s="12">
        <v>-31932.77</v>
      </c>
      <c r="I124" s="12">
        <v>0</v>
      </c>
      <c r="J124" s="12">
        <v>2715546.27</v>
      </c>
      <c r="K124" s="12">
        <v>36000</v>
      </c>
      <c r="L124" s="12">
        <v>0</v>
      </c>
      <c r="M124" s="12">
        <v>515953.73</v>
      </c>
      <c r="N124" s="12">
        <v>3267500</v>
      </c>
      <c r="O124" s="12">
        <v>168907.57</v>
      </c>
      <c r="P124" s="12">
        <v>2546638.7000000002</v>
      </c>
      <c r="Q124" s="12">
        <v>753979</v>
      </c>
      <c r="R124" s="12">
        <v>1792659.7</v>
      </c>
      <c r="S124" s="12">
        <v>0</v>
      </c>
      <c r="T124" s="12">
        <v>41</v>
      </c>
      <c r="U124" s="12">
        <v>0</v>
      </c>
      <c r="V124" s="12">
        <v>0</v>
      </c>
      <c r="W124" s="35">
        <v>46144.261731053244</v>
      </c>
      <c r="X124" s="12">
        <v>9</v>
      </c>
      <c r="Y124" s="12">
        <v>10</v>
      </c>
      <c r="Z124" s="12">
        <v>1592436.99</v>
      </c>
      <c r="AA124" s="12">
        <v>153781.514</v>
      </c>
      <c r="AB124" s="12">
        <v>416876</v>
      </c>
      <c r="AC124" s="12">
        <v>1006653.42</v>
      </c>
      <c r="AD124" s="12">
        <v>13</v>
      </c>
      <c r="AE124" s="12">
        <v>13</v>
      </c>
      <c r="AF124" s="12">
        <v>1123109.28</v>
      </c>
      <c r="AG124" s="12">
        <v>86716.226999999999</v>
      </c>
      <c r="AH124" s="12">
        <v>337103</v>
      </c>
      <c r="AI124" s="12">
        <v>786006.28</v>
      </c>
      <c r="AJ124" s="12"/>
      <c r="AK124" s="12"/>
      <c r="AL124" s="12"/>
      <c r="AM124" s="12"/>
      <c r="AN124" s="12"/>
      <c r="AO124" s="12"/>
      <c r="AP124" s="12">
        <v>1163865.56</v>
      </c>
      <c r="AQ124" s="12">
        <v>6</v>
      </c>
      <c r="AR124" s="12">
        <v>193977.59299999999</v>
      </c>
      <c r="AS124" s="12">
        <v>321307</v>
      </c>
      <c r="AT124" s="12">
        <v>1466806.76</v>
      </c>
      <c r="AU124" s="12">
        <v>16</v>
      </c>
      <c r="AV124" s="12">
        <v>88524.160999999993</v>
      </c>
      <c r="AW124" s="12">
        <v>406079</v>
      </c>
      <c r="AX124" s="12"/>
      <c r="AY124" s="12"/>
      <c r="AZ124" s="12"/>
      <c r="BA124" s="12"/>
      <c r="BB124" s="12"/>
      <c r="BC124" s="12"/>
      <c r="BD124" s="12"/>
      <c r="BE124" s="12"/>
      <c r="BF124" s="12">
        <v>16</v>
      </c>
      <c r="BG124" s="12">
        <v>1</v>
      </c>
      <c r="BH124" s="12">
        <v>6.25E-2</v>
      </c>
      <c r="BI124" s="12">
        <v>34</v>
      </c>
      <c r="BJ124" s="12">
        <v>0</v>
      </c>
      <c r="BK124" s="12">
        <v>0</v>
      </c>
      <c r="BL124" s="12">
        <v>34</v>
      </c>
      <c r="BM124" s="12">
        <v>0</v>
      </c>
      <c r="BN124" s="12">
        <v>0</v>
      </c>
      <c r="BO124" s="12"/>
      <c r="BP124" s="12"/>
      <c r="BQ124" s="12"/>
      <c r="BR124" s="12">
        <v>78</v>
      </c>
      <c r="BS124" s="12">
        <v>4</v>
      </c>
      <c r="BT124" s="12">
        <v>5.128205128205128E-2</v>
      </c>
      <c r="BU124" s="12">
        <v>162</v>
      </c>
      <c r="BV124" s="12">
        <v>5</v>
      </c>
      <c r="BW124" s="12">
        <v>3.0864197530864196E-2</v>
      </c>
      <c r="BX124" s="12"/>
      <c r="BY124" s="12"/>
      <c r="BZ124" s="12"/>
      <c r="CA124" s="12">
        <v>4024.42</v>
      </c>
      <c r="CB124" s="13"/>
      <c r="CC124" s="13"/>
      <c r="CD124" s="13"/>
      <c r="CE124" s="12">
        <v>317</v>
      </c>
      <c r="CF124" s="12">
        <v>32</v>
      </c>
      <c r="CG124" s="13">
        <v>45865</v>
      </c>
      <c r="CH124" s="13">
        <v>82</v>
      </c>
      <c r="CI124" s="13">
        <v>15342</v>
      </c>
    </row>
    <row r="125" spans="2:87" x14ac:dyDescent="0.2">
      <c r="B125" s="5">
        <v>45898</v>
      </c>
      <c r="C125" s="12">
        <v>21</v>
      </c>
      <c r="D125" s="12">
        <v>3</v>
      </c>
      <c r="E125" s="12">
        <v>169247.69899999999</v>
      </c>
      <c r="F125" s="12">
        <v>0</v>
      </c>
      <c r="G125" s="12">
        <v>3592016.82</v>
      </c>
      <c r="H125" s="12">
        <v>0</v>
      </c>
      <c r="I125" s="12">
        <v>0</v>
      </c>
      <c r="J125" s="12">
        <v>3592016.82</v>
      </c>
      <c r="K125" s="12">
        <v>41500</v>
      </c>
      <c r="L125" s="12">
        <v>0</v>
      </c>
      <c r="M125" s="12">
        <v>682483.18</v>
      </c>
      <c r="N125" s="12">
        <v>4316000</v>
      </c>
      <c r="O125" s="12">
        <v>0</v>
      </c>
      <c r="P125" s="12">
        <v>3592016.82</v>
      </c>
      <c r="Q125" s="12">
        <v>882971</v>
      </c>
      <c r="R125" s="12">
        <v>2709045.82</v>
      </c>
      <c r="S125" s="12">
        <v>200000</v>
      </c>
      <c r="T125" s="12">
        <v>63</v>
      </c>
      <c r="U125" s="12">
        <v>0</v>
      </c>
      <c r="V125" s="12">
        <v>200000</v>
      </c>
      <c r="W125" s="35">
        <v>46144.261731053244</v>
      </c>
      <c r="X125" s="12">
        <v>6</v>
      </c>
      <c r="Y125" s="12">
        <v>6</v>
      </c>
      <c r="Z125" s="12">
        <v>1115126.06</v>
      </c>
      <c r="AA125" s="12">
        <v>185854.34299999999</v>
      </c>
      <c r="AB125" s="12">
        <v>193223</v>
      </c>
      <c r="AC125" s="12">
        <v>921903.06</v>
      </c>
      <c r="AD125" s="12">
        <v>15</v>
      </c>
      <c r="AE125" s="12">
        <v>15</v>
      </c>
      <c r="AF125" s="12">
        <v>2476890.7599999998</v>
      </c>
      <c r="AG125" s="12">
        <v>162605.04199999999</v>
      </c>
      <c r="AH125" s="12">
        <v>689748</v>
      </c>
      <c r="AI125" s="12">
        <v>1787142.76</v>
      </c>
      <c r="AJ125" s="12"/>
      <c r="AK125" s="12"/>
      <c r="AL125" s="12"/>
      <c r="AM125" s="12"/>
      <c r="AN125" s="12"/>
      <c r="AO125" s="12"/>
      <c r="AP125" s="12">
        <v>1184873.95</v>
      </c>
      <c r="AQ125" s="12">
        <v>5</v>
      </c>
      <c r="AR125" s="12">
        <v>236974.79</v>
      </c>
      <c r="AS125" s="12">
        <v>316932</v>
      </c>
      <c r="AT125" s="12">
        <v>2407142.87</v>
      </c>
      <c r="AU125" s="12">
        <v>16</v>
      </c>
      <c r="AV125" s="12">
        <v>148082.98300000001</v>
      </c>
      <c r="AW125" s="12">
        <v>566039</v>
      </c>
      <c r="AX125" s="12"/>
      <c r="AY125" s="12"/>
      <c r="AZ125" s="12"/>
      <c r="BA125" s="12"/>
      <c r="BB125" s="12"/>
      <c r="BC125" s="12"/>
      <c r="BD125" s="12"/>
      <c r="BE125" s="12"/>
      <c r="BF125" s="12">
        <v>21</v>
      </c>
      <c r="BG125" s="12">
        <v>2</v>
      </c>
      <c r="BH125" s="12">
        <v>9.5238095238095233E-2</v>
      </c>
      <c r="BI125" s="12">
        <v>35</v>
      </c>
      <c r="BJ125" s="12">
        <v>1</v>
      </c>
      <c r="BK125" s="12">
        <v>2.8571428571428571E-2</v>
      </c>
      <c r="BL125" s="12">
        <v>21</v>
      </c>
      <c r="BM125" s="12">
        <v>0</v>
      </c>
      <c r="BN125" s="12">
        <v>0</v>
      </c>
      <c r="BO125" s="12">
        <v>2</v>
      </c>
      <c r="BP125" s="12">
        <v>0</v>
      </c>
      <c r="BQ125" s="12">
        <v>0</v>
      </c>
      <c r="BR125" s="12">
        <v>88</v>
      </c>
      <c r="BS125" s="12">
        <v>1</v>
      </c>
      <c r="BT125" s="12">
        <v>1.1363636363636364E-2</v>
      </c>
      <c r="BU125" s="12">
        <v>167</v>
      </c>
      <c r="BV125" s="12">
        <v>4</v>
      </c>
      <c r="BW125" s="12">
        <v>2.3952095808383235E-2</v>
      </c>
      <c r="BX125" s="12"/>
      <c r="BY125" s="12"/>
      <c r="BZ125" s="12"/>
      <c r="CA125" s="12">
        <v>3621.09</v>
      </c>
      <c r="CB125" s="13"/>
      <c r="CC125" s="13"/>
      <c r="CD125" s="13"/>
      <c r="CE125" s="12">
        <v>268</v>
      </c>
      <c r="CF125" s="12">
        <v>19</v>
      </c>
      <c r="CG125" s="13">
        <v>53749</v>
      </c>
      <c r="CH125" s="13">
        <v>80</v>
      </c>
      <c r="CI125" s="13">
        <v>14677</v>
      </c>
    </row>
    <row r="126" spans="2:87" x14ac:dyDescent="0.2">
      <c r="B126" s="5">
        <v>45899</v>
      </c>
      <c r="C126" s="12">
        <v>15</v>
      </c>
      <c r="D126" s="12">
        <v>2</v>
      </c>
      <c r="E126" s="12">
        <v>106336.694</v>
      </c>
      <c r="F126" s="12">
        <v>-1</v>
      </c>
      <c r="G126" s="12">
        <v>1596731.08</v>
      </c>
      <c r="H126" s="12">
        <v>-1680.66</v>
      </c>
      <c r="I126" s="12">
        <v>0</v>
      </c>
      <c r="J126" s="12">
        <v>1595050.42</v>
      </c>
      <c r="K126" s="12">
        <v>0</v>
      </c>
      <c r="L126" s="12">
        <v>0</v>
      </c>
      <c r="M126" s="12">
        <v>270949.58</v>
      </c>
      <c r="N126" s="12">
        <v>1866000</v>
      </c>
      <c r="O126" s="12">
        <v>0</v>
      </c>
      <c r="P126" s="12">
        <v>1595050.42</v>
      </c>
      <c r="Q126" s="12">
        <v>663284</v>
      </c>
      <c r="R126" s="12">
        <v>931766.42</v>
      </c>
      <c r="S126" s="12">
        <v>210000</v>
      </c>
      <c r="T126" s="12">
        <v>29</v>
      </c>
      <c r="U126" s="12">
        <v>0</v>
      </c>
      <c r="V126" s="12">
        <v>210000</v>
      </c>
      <c r="W126" s="35">
        <v>46144.261731053244</v>
      </c>
      <c r="X126" s="12">
        <v>5</v>
      </c>
      <c r="Y126" s="12">
        <v>6</v>
      </c>
      <c r="Z126" s="12">
        <v>690848.74</v>
      </c>
      <c r="AA126" s="12">
        <v>115141.45600000001</v>
      </c>
      <c r="AB126" s="12">
        <v>268587</v>
      </c>
      <c r="AC126" s="12">
        <v>422261.74</v>
      </c>
      <c r="AD126" s="12">
        <v>9</v>
      </c>
      <c r="AE126" s="12">
        <v>9</v>
      </c>
      <c r="AF126" s="12">
        <v>904201.68</v>
      </c>
      <c r="AG126" s="12">
        <v>100466.853</v>
      </c>
      <c r="AH126" s="12">
        <v>394697</v>
      </c>
      <c r="AI126" s="12">
        <v>509504.68</v>
      </c>
      <c r="AJ126" s="12">
        <v>0</v>
      </c>
      <c r="AK126" s="12">
        <v>0</v>
      </c>
      <c r="AL126" s="12">
        <v>0</v>
      </c>
      <c r="AM126" s="12"/>
      <c r="AN126" s="12">
        <v>0</v>
      </c>
      <c r="AO126" s="12">
        <v>0</v>
      </c>
      <c r="AP126" s="12"/>
      <c r="AQ126" s="12"/>
      <c r="AR126" s="12"/>
      <c r="AS126" s="12"/>
      <c r="AT126" s="12">
        <v>1595050.42</v>
      </c>
      <c r="AU126" s="12">
        <v>15</v>
      </c>
      <c r="AV126" s="12">
        <v>106336.694</v>
      </c>
      <c r="AW126" s="12">
        <v>663284</v>
      </c>
      <c r="AX126" s="12"/>
      <c r="AY126" s="12"/>
      <c r="AZ126" s="12"/>
      <c r="BA126" s="12"/>
      <c r="BB126" s="12"/>
      <c r="BC126" s="12"/>
      <c r="BD126" s="12"/>
      <c r="BE126" s="12"/>
      <c r="BF126" s="12">
        <v>19</v>
      </c>
      <c r="BG126" s="12">
        <v>0</v>
      </c>
      <c r="BH126" s="12">
        <v>0</v>
      </c>
      <c r="BI126" s="12">
        <v>34</v>
      </c>
      <c r="BJ126" s="12">
        <v>0</v>
      </c>
      <c r="BK126" s="12">
        <v>0</v>
      </c>
      <c r="BL126" s="12">
        <v>23</v>
      </c>
      <c r="BM126" s="12">
        <v>0</v>
      </c>
      <c r="BN126" s="12">
        <v>0</v>
      </c>
      <c r="BO126" s="12"/>
      <c r="BP126" s="12"/>
      <c r="BQ126" s="12"/>
      <c r="BR126" s="12">
        <v>47</v>
      </c>
      <c r="BS126" s="12">
        <v>0</v>
      </c>
      <c r="BT126" s="12">
        <v>0</v>
      </c>
      <c r="BU126" s="12">
        <v>123</v>
      </c>
      <c r="BV126" s="12">
        <v>0</v>
      </c>
      <c r="BW126" s="12">
        <v>0</v>
      </c>
      <c r="BX126" s="12"/>
      <c r="BY126" s="12"/>
      <c r="BZ126" s="12"/>
      <c r="CA126" s="12">
        <v>437.31</v>
      </c>
      <c r="CB126" s="13"/>
      <c r="CC126" s="13"/>
      <c r="CD126" s="13"/>
      <c r="CE126" s="12">
        <v>221</v>
      </c>
      <c r="CF126" s="12">
        <v>16</v>
      </c>
      <c r="CG126" s="13">
        <v>49827</v>
      </c>
      <c r="CH126" s="13">
        <v>78</v>
      </c>
      <c r="CI126" s="13">
        <v>15111</v>
      </c>
    </row>
    <row r="127" spans="2:87" x14ac:dyDescent="0.2">
      <c r="B127" s="5">
        <v>45900</v>
      </c>
      <c r="C127" s="12">
        <v>17</v>
      </c>
      <c r="D127" s="12">
        <v>1.7</v>
      </c>
      <c r="E127" s="12">
        <v>124137.914</v>
      </c>
      <c r="F127" s="12">
        <v>0</v>
      </c>
      <c r="G127" s="12">
        <v>2110344.5499999998</v>
      </c>
      <c r="H127" s="12">
        <v>0</v>
      </c>
      <c r="I127" s="12">
        <v>0</v>
      </c>
      <c r="J127" s="12">
        <v>2110344.5499999998</v>
      </c>
      <c r="K127" s="12">
        <v>72000</v>
      </c>
      <c r="L127" s="12">
        <v>0</v>
      </c>
      <c r="M127" s="12">
        <v>391655.45</v>
      </c>
      <c r="N127" s="12">
        <v>2574000</v>
      </c>
      <c r="O127" s="12">
        <v>0</v>
      </c>
      <c r="P127" s="12">
        <v>2110344.5499999998</v>
      </c>
      <c r="Q127" s="12">
        <v>769144</v>
      </c>
      <c r="R127" s="12">
        <v>1341200.55</v>
      </c>
      <c r="S127" s="12">
        <v>0</v>
      </c>
      <c r="T127" s="12">
        <v>29</v>
      </c>
      <c r="U127" s="12">
        <v>0</v>
      </c>
      <c r="V127" s="12">
        <v>0</v>
      </c>
      <c r="W127" s="35">
        <v>46144.261731053244</v>
      </c>
      <c r="X127" s="12">
        <v>4</v>
      </c>
      <c r="Y127" s="12">
        <v>6</v>
      </c>
      <c r="Z127" s="12">
        <v>792436.98</v>
      </c>
      <c r="AA127" s="12">
        <v>132072.82999999999</v>
      </c>
      <c r="AB127" s="12">
        <v>218566</v>
      </c>
      <c r="AC127" s="12">
        <v>573870.98</v>
      </c>
      <c r="AD127" s="12">
        <v>11</v>
      </c>
      <c r="AE127" s="12">
        <v>11</v>
      </c>
      <c r="AF127" s="12">
        <v>1317907.57</v>
      </c>
      <c r="AG127" s="12">
        <v>119809.77899999999</v>
      </c>
      <c r="AH127" s="12">
        <v>550578</v>
      </c>
      <c r="AI127" s="12">
        <v>767329.57</v>
      </c>
      <c r="AJ127" s="12"/>
      <c r="AK127" s="12"/>
      <c r="AL127" s="12"/>
      <c r="AM127" s="12"/>
      <c r="AN127" s="12"/>
      <c r="AO127" s="12"/>
      <c r="AP127" s="12">
        <v>634453.79</v>
      </c>
      <c r="AQ127" s="12">
        <v>5</v>
      </c>
      <c r="AR127" s="12">
        <v>126890.758</v>
      </c>
      <c r="AS127" s="12">
        <v>217236</v>
      </c>
      <c r="AT127" s="12">
        <v>1429672.27</v>
      </c>
      <c r="AU127" s="12">
        <v>11</v>
      </c>
      <c r="AV127" s="12">
        <v>129970.20600000001</v>
      </c>
      <c r="AW127" s="12">
        <v>537297</v>
      </c>
      <c r="AX127" s="12">
        <v>46218.49</v>
      </c>
      <c r="AY127" s="12">
        <v>1</v>
      </c>
      <c r="AZ127" s="12">
        <v>46218.49</v>
      </c>
      <c r="BA127" s="12">
        <v>14611</v>
      </c>
      <c r="BB127" s="12"/>
      <c r="BC127" s="12"/>
      <c r="BD127" s="12"/>
      <c r="BE127" s="12"/>
      <c r="BF127" s="12">
        <v>25</v>
      </c>
      <c r="BG127" s="12">
        <v>1</v>
      </c>
      <c r="BH127" s="12">
        <v>0.04</v>
      </c>
      <c r="BI127" s="12">
        <v>36</v>
      </c>
      <c r="BJ127" s="12">
        <v>0</v>
      </c>
      <c r="BK127" s="12">
        <v>0</v>
      </c>
      <c r="BL127" s="12">
        <v>27</v>
      </c>
      <c r="BM127" s="12">
        <v>1</v>
      </c>
      <c r="BN127" s="12">
        <v>3.7037037037037035E-2</v>
      </c>
      <c r="BO127" s="12">
        <v>1</v>
      </c>
      <c r="BP127" s="12">
        <v>0</v>
      </c>
      <c r="BQ127" s="12">
        <v>0</v>
      </c>
      <c r="BR127" s="12">
        <v>52</v>
      </c>
      <c r="BS127" s="12">
        <v>5</v>
      </c>
      <c r="BT127" s="12">
        <v>9.6153846153846159E-2</v>
      </c>
      <c r="BU127" s="12">
        <v>141</v>
      </c>
      <c r="BV127" s="12">
        <v>7</v>
      </c>
      <c r="BW127" s="12">
        <v>4.9645390070921988E-2</v>
      </c>
      <c r="BX127" s="12"/>
      <c r="BY127" s="12"/>
      <c r="BZ127" s="12"/>
      <c r="CA127" s="12">
        <v>2122.64</v>
      </c>
      <c r="CB127" s="13"/>
      <c r="CC127" s="13"/>
      <c r="CD127" s="13"/>
      <c r="CE127" s="12">
        <v>208</v>
      </c>
      <c r="CF127" s="12">
        <v>21</v>
      </c>
      <c r="CG127" s="13">
        <v>51823</v>
      </c>
      <c r="CH127" s="13">
        <v>78</v>
      </c>
      <c r="CI127" s="13">
        <v>18982</v>
      </c>
    </row>
    <row r="128" spans="2:87" x14ac:dyDescent="0.2">
      <c r="B128" s="5">
        <v>45901</v>
      </c>
      <c r="C128" s="12">
        <v>17</v>
      </c>
      <c r="D128" s="12">
        <v>2.2000000000000002</v>
      </c>
      <c r="E128" s="12">
        <v>145056.845</v>
      </c>
      <c r="F128" s="12">
        <v>-1</v>
      </c>
      <c r="G128" s="12">
        <v>2529831.89</v>
      </c>
      <c r="H128" s="12">
        <v>-20168.03</v>
      </c>
      <c r="I128" s="12">
        <v>-46218.48</v>
      </c>
      <c r="J128" s="12">
        <v>2463445.38</v>
      </c>
      <c r="K128" s="12">
        <v>83000</v>
      </c>
      <c r="L128" s="12">
        <v>0</v>
      </c>
      <c r="M128" s="12">
        <v>468054.62</v>
      </c>
      <c r="N128" s="12">
        <v>3014500</v>
      </c>
      <c r="O128" s="12">
        <v>75630.25</v>
      </c>
      <c r="P128" s="12">
        <v>2387815.13</v>
      </c>
      <c r="Q128" s="12">
        <v>709333</v>
      </c>
      <c r="R128" s="12">
        <v>1678482.13</v>
      </c>
      <c r="S128" s="12">
        <v>0</v>
      </c>
      <c r="T128" s="12">
        <v>38</v>
      </c>
      <c r="U128" s="12">
        <v>0</v>
      </c>
      <c r="V128" s="12">
        <v>0</v>
      </c>
      <c r="W128" s="35">
        <v>46144.261731053244</v>
      </c>
      <c r="X128" s="12">
        <v>6</v>
      </c>
      <c r="Y128" s="12">
        <v>6</v>
      </c>
      <c r="Z128" s="12">
        <v>712605.05</v>
      </c>
      <c r="AA128" s="12">
        <v>119467.78599999999</v>
      </c>
      <c r="AB128" s="12">
        <v>175055</v>
      </c>
      <c r="AC128" s="12">
        <v>463600.47</v>
      </c>
      <c r="AD128" s="12">
        <v>11</v>
      </c>
      <c r="AE128" s="12">
        <v>11</v>
      </c>
      <c r="AF128" s="12">
        <v>1750840.33</v>
      </c>
      <c r="AG128" s="12">
        <v>159014.514</v>
      </c>
      <c r="AH128" s="12">
        <v>534278</v>
      </c>
      <c r="AI128" s="12">
        <v>1214881.6599999999</v>
      </c>
      <c r="AJ128" s="12"/>
      <c r="AK128" s="12"/>
      <c r="AL128" s="12"/>
      <c r="AM128" s="12"/>
      <c r="AN128" s="12"/>
      <c r="AO128" s="12"/>
      <c r="AP128" s="12">
        <v>773949.58</v>
      </c>
      <c r="AQ128" s="12">
        <v>6</v>
      </c>
      <c r="AR128" s="12">
        <v>128991.59600000001</v>
      </c>
      <c r="AS128" s="12">
        <v>201315</v>
      </c>
      <c r="AT128" s="12">
        <v>1613865.55</v>
      </c>
      <c r="AU128" s="12">
        <v>10</v>
      </c>
      <c r="AV128" s="12">
        <v>161638.655</v>
      </c>
      <c r="AW128" s="12">
        <v>493340</v>
      </c>
      <c r="AX128" s="12"/>
      <c r="AY128" s="12"/>
      <c r="AZ128" s="12"/>
      <c r="BA128" s="12"/>
      <c r="BB128" s="12"/>
      <c r="BC128" s="12"/>
      <c r="BD128" s="12"/>
      <c r="BE128" s="12"/>
      <c r="BF128" s="12">
        <v>75</v>
      </c>
      <c r="BG128" s="12">
        <v>0</v>
      </c>
      <c r="BH128" s="12">
        <v>0</v>
      </c>
      <c r="BI128" s="12">
        <v>63</v>
      </c>
      <c r="BJ128" s="12">
        <v>0</v>
      </c>
      <c r="BK128" s="12">
        <v>0</v>
      </c>
      <c r="BL128" s="12">
        <v>45</v>
      </c>
      <c r="BM128" s="12">
        <v>1</v>
      </c>
      <c r="BN128" s="12">
        <v>2.2222222222222223E-2</v>
      </c>
      <c r="BO128" s="12">
        <v>5</v>
      </c>
      <c r="BP128" s="12">
        <v>0</v>
      </c>
      <c r="BQ128" s="12">
        <v>0</v>
      </c>
      <c r="BR128" s="12">
        <v>95</v>
      </c>
      <c r="BS128" s="12">
        <v>5</v>
      </c>
      <c r="BT128" s="12">
        <v>5.2631578947368418E-2</v>
      </c>
      <c r="BU128" s="12">
        <v>283</v>
      </c>
      <c r="BV128" s="12">
        <v>6</v>
      </c>
      <c r="BW128" s="12">
        <v>2.1201413427561839E-2</v>
      </c>
      <c r="BX128" s="12"/>
      <c r="BY128" s="12"/>
      <c r="BZ128" s="12"/>
      <c r="CA128" s="12">
        <v>86196.98</v>
      </c>
      <c r="CB128" s="13"/>
      <c r="CC128" s="13"/>
      <c r="CD128" s="13"/>
      <c r="CE128" s="12">
        <v>1409</v>
      </c>
      <c r="CF128" s="12">
        <v>109</v>
      </c>
      <c r="CG128" s="13">
        <v>50437</v>
      </c>
      <c r="CH128" s="13">
        <v>93</v>
      </c>
      <c r="CI128" s="13">
        <v>20796</v>
      </c>
    </row>
    <row r="129" spans="2:87" x14ac:dyDescent="0.2">
      <c r="B129" s="5">
        <v>45902</v>
      </c>
      <c r="C129" s="12">
        <v>16</v>
      </c>
      <c r="D129" s="12">
        <v>2.4</v>
      </c>
      <c r="E129" s="12">
        <v>169590.33600000001</v>
      </c>
      <c r="F129" s="12">
        <v>-3</v>
      </c>
      <c r="G129" s="12">
        <v>2801680.68</v>
      </c>
      <c r="H129" s="12">
        <v>0</v>
      </c>
      <c r="I129" s="12">
        <v>-88235.29</v>
      </c>
      <c r="J129" s="12">
        <v>2713445.39</v>
      </c>
      <c r="K129" s="12">
        <v>36000</v>
      </c>
      <c r="L129" s="12">
        <v>0</v>
      </c>
      <c r="M129" s="12">
        <v>515554.61</v>
      </c>
      <c r="N129" s="12">
        <v>3265000</v>
      </c>
      <c r="O129" s="12">
        <v>88235.29</v>
      </c>
      <c r="P129" s="12">
        <v>2625210.1</v>
      </c>
      <c r="Q129" s="12">
        <v>688400</v>
      </c>
      <c r="R129" s="12">
        <v>1936810.1</v>
      </c>
      <c r="S129" s="12">
        <v>0</v>
      </c>
      <c r="T129" s="12">
        <v>38</v>
      </c>
      <c r="U129" s="12">
        <v>0</v>
      </c>
      <c r="V129" s="12">
        <v>0</v>
      </c>
      <c r="W129" s="35">
        <v>46144.261731053244</v>
      </c>
      <c r="X129" s="12">
        <v>7</v>
      </c>
      <c r="Y129" s="12">
        <v>8</v>
      </c>
      <c r="Z129" s="12">
        <v>1652941.18</v>
      </c>
      <c r="AA129" s="12">
        <v>206617.647</v>
      </c>
      <c r="AB129" s="12">
        <v>384052</v>
      </c>
      <c r="AC129" s="12">
        <v>1180653.8899999999</v>
      </c>
      <c r="AD129" s="12">
        <v>7</v>
      </c>
      <c r="AE129" s="12">
        <v>7</v>
      </c>
      <c r="AF129" s="12">
        <v>992436.98</v>
      </c>
      <c r="AG129" s="12">
        <v>141776.71100000001</v>
      </c>
      <c r="AH129" s="12">
        <v>289755</v>
      </c>
      <c r="AI129" s="12">
        <v>702681.98</v>
      </c>
      <c r="AJ129" s="12">
        <v>1</v>
      </c>
      <c r="AK129" s="12">
        <v>1</v>
      </c>
      <c r="AL129" s="12">
        <v>68067.23</v>
      </c>
      <c r="AM129" s="12">
        <v>68067.23</v>
      </c>
      <c r="AN129" s="12">
        <v>14593</v>
      </c>
      <c r="AO129" s="12">
        <v>53474.23</v>
      </c>
      <c r="AP129" s="12">
        <v>987394.96</v>
      </c>
      <c r="AQ129" s="12">
        <v>4</v>
      </c>
      <c r="AR129" s="12">
        <v>246848.74</v>
      </c>
      <c r="AS129" s="12">
        <v>232800</v>
      </c>
      <c r="AT129" s="12">
        <v>1726050.43</v>
      </c>
      <c r="AU129" s="12">
        <v>12</v>
      </c>
      <c r="AV129" s="12">
        <v>143837.535</v>
      </c>
      <c r="AW129" s="12">
        <v>455600</v>
      </c>
      <c r="AX129" s="12"/>
      <c r="AY129" s="12"/>
      <c r="AZ129" s="12"/>
      <c r="BA129" s="12"/>
      <c r="BB129" s="12"/>
      <c r="BC129" s="12"/>
      <c r="BD129" s="12"/>
      <c r="BE129" s="12"/>
      <c r="BF129" s="12">
        <v>24</v>
      </c>
      <c r="BG129" s="12">
        <v>0</v>
      </c>
      <c r="BH129" s="12">
        <v>0</v>
      </c>
      <c r="BI129" s="12">
        <v>40</v>
      </c>
      <c r="BJ129" s="12">
        <v>0</v>
      </c>
      <c r="BK129" s="12">
        <v>0</v>
      </c>
      <c r="BL129" s="12">
        <v>32</v>
      </c>
      <c r="BM129" s="12">
        <v>2</v>
      </c>
      <c r="BN129" s="12">
        <v>6.25E-2</v>
      </c>
      <c r="BO129" s="12">
        <v>3</v>
      </c>
      <c r="BP129" s="12">
        <v>0</v>
      </c>
      <c r="BQ129" s="12">
        <v>0</v>
      </c>
      <c r="BR129" s="12">
        <v>56</v>
      </c>
      <c r="BS129" s="12">
        <v>1</v>
      </c>
      <c r="BT129" s="12">
        <v>1.7857142857142856E-2</v>
      </c>
      <c r="BU129" s="12">
        <v>155</v>
      </c>
      <c r="BV129" s="12">
        <v>3</v>
      </c>
      <c r="BW129" s="12">
        <v>1.935483870967742E-2</v>
      </c>
      <c r="BX129" s="12"/>
      <c r="BY129" s="12"/>
      <c r="BZ129" s="12"/>
      <c r="CA129" s="12">
        <v>25367.98</v>
      </c>
      <c r="CB129" s="13"/>
      <c r="CC129" s="13"/>
      <c r="CD129" s="13"/>
      <c r="CE129" s="12">
        <v>417</v>
      </c>
      <c r="CF129" s="12">
        <v>47</v>
      </c>
      <c r="CG129" s="13">
        <v>53114</v>
      </c>
      <c r="CH129" s="13">
        <v>97</v>
      </c>
      <c r="CI129" s="13">
        <v>20458</v>
      </c>
    </row>
    <row r="130" spans="2:87" x14ac:dyDescent="0.2">
      <c r="B130" s="5">
        <v>45903</v>
      </c>
      <c r="C130" s="12">
        <v>16</v>
      </c>
      <c r="D130" s="12">
        <v>1.9</v>
      </c>
      <c r="E130" s="12">
        <v>142481.61799999999</v>
      </c>
      <c r="F130" s="12">
        <v>0</v>
      </c>
      <c r="G130" s="12">
        <v>2292310.91</v>
      </c>
      <c r="H130" s="12">
        <v>-12605.01</v>
      </c>
      <c r="I130" s="12">
        <v>0</v>
      </c>
      <c r="J130" s="12">
        <v>2279705.9</v>
      </c>
      <c r="K130" s="12">
        <v>18000</v>
      </c>
      <c r="L130" s="12">
        <v>0</v>
      </c>
      <c r="M130" s="12">
        <v>411294.1</v>
      </c>
      <c r="N130" s="12">
        <v>2709000</v>
      </c>
      <c r="O130" s="12">
        <v>0</v>
      </c>
      <c r="P130" s="12">
        <v>2279705.9</v>
      </c>
      <c r="Q130" s="12">
        <v>695955</v>
      </c>
      <c r="R130" s="12">
        <v>1583750.9</v>
      </c>
      <c r="S130" s="12">
        <v>0</v>
      </c>
      <c r="T130" s="12">
        <v>30</v>
      </c>
      <c r="U130" s="12">
        <v>0</v>
      </c>
      <c r="V130" s="12">
        <v>0</v>
      </c>
      <c r="W130" s="35">
        <v>46144.261731053244</v>
      </c>
      <c r="X130" s="12">
        <v>5</v>
      </c>
      <c r="Y130" s="12">
        <v>7</v>
      </c>
      <c r="Z130" s="12">
        <v>894957.98</v>
      </c>
      <c r="AA130" s="12">
        <v>127851.14</v>
      </c>
      <c r="AB130" s="12">
        <v>279199</v>
      </c>
      <c r="AC130" s="12">
        <v>615758.98</v>
      </c>
      <c r="AD130" s="12">
        <v>9</v>
      </c>
      <c r="AE130" s="12">
        <v>9</v>
      </c>
      <c r="AF130" s="12">
        <v>1384747.92</v>
      </c>
      <c r="AG130" s="12">
        <v>153860.88</v>
      </c>
      <c r="AH130" s="12">
        <v>416756</v>
      </c>
      <c r="AI130" s="12">
        <v>967991.92</v>
      </c>
      <c r="AJ130" s="12"/>
      <c r="AK130" s="12"/>
      <c r="AL130" s="12"/>
      <c r="AM130" s="12"/>
      <c r="AN130" s="12"/>
      <c r="AO130" s="12"/>
      <c r="AP130" s="12">
        <v>689075.64</v>
      </c>
      <c r="AQ130" s="12">
        <v>6</v>
      </c>
      <c r="AR130" s="12">
        <v>114845.94</v>
      </c>
      <c r="AS130" s="12">
        <v>217829</v>
      </c>
      <c r="AT130" s="12">
        <v>830126.05</v>
      </c>
      <c r="AU130" s="12">
        <v>7</v>
      </c>
      <c r="AV130" s="12">
        <v>118589.435</v>
      </c>
      <c r="AW130" s="12">
        <v>287976</v>
      </c>
      <c r="AX130" s="12"/>
      <c r="AY130" s="12"/>
      <c r="AZ130" s="12"/>
      <c r="BA130" s="12"/>
      <c r="BB130" s="12"/>
      <c r="BC130" s="12"/>
      <c r="BD130" s="12"/>
      <c r="BE130" s="12"/>
      <c r="BF130" s="12">
        <v>189</v>
      </c>
      <c r="BG130" s="12">
        <v>0</v>
      </c>
      <c r="BH130" s="12">
        <v>0</v>
      </c>
      <c r="BI130" s="12">
        <v>43</v>
      </c>
      <c r="BJ130" s="12">
        <v>0</v>
      </c>
      <c r="BK130" s="12">
        <v>0</v>
      </c>
      <c r="BL130" s="12">
        <v>33</v>
      </c>
      <c r="BM130" s="12">
        <v>1</v>
      </c>
      <c r="BN130" s="12">
        <v>3.0303030303030304E-2</v>
      </c>
      <c r="BO130" s="12">
        <v>16</v>
      </c>
      <c r="BP130" s="12">
        <v>0</v>
      </c>
      <c r="BQ130" s="12">
        <v>0</v>
      </c>
      <c r="BR130" s="12">
        <v>86</v>
      </c>
      <c r="BS130" s="12">
        <v>6</v>
      </c>
      <c r="BT130" s="12">
        <v>6.9767441860465115E-2</v>
      </c>
      <c r="BU130" s="12">
        <v>367</v>
      </c>
      <c r="BV130" s="12">
        <v>7</v>
      </c>
      <c r="BW130" s="12">
        <v>1.9073569482288829E-2</v>
      </c>
      <c r="BX130" s="12"/>
      <c r="BY130" s="12"/>
      <c r="BZ130" s="12"/>
      <c r="CA130" s="12">
        <v>85115.58</v>
      </c>
      <c r="CB130" s="13"/>
      <c r="CC130" s="13"/>
      <c r="CD130" s="13"/>
      <c r="CE130" s="12">
        <v>2262</v>
      </c>
      <c r="CF130" s="12">
        <v>256</v>
      </c>
      <c r="CG130" s="13">
        <v>49046</v>
      </c>
      <c r="CH130" s="13">
        <v>79</v>
      </c>
      <c r="CI130" s="13">
        <v>18378</v>
      </c>
    </row>
    <row r="131" spans="2:87" x14ac:dyDescent="0.2">
      <c r="B131" s="5">
        <v>45904</v>
      </c>
      <c r="C131" s="12">
        <v>26</v>
      </c>
      <c r="D131" s="12">
        <v>4.5999999999999996</v>
      </c>
      <c r="E131" s="12">
        <v>221671.00899999999</v>
      </c>
      <c r="F131" s="12">
        <v>-8</v>
      </c>
      <c r="G131" s="12">
        <v>6117227.7300000004</v>
      </c>
      <c r="H131" s="12">
        <v>-227731.07</v>
      </c>
      <c r="I131" s="12">
        <v>-478991.59</v>
      </c>
      <c r="J131" s="12">
        <v>5410505.0700000003</v>
      </c>
      <c r="K131" s="12">
        <v>79500</v>
      </c>
      <c r="L131" s="12">
        <v>0</v>
      </c>
      <c r="M131" s="12">
        <v>1027995.93</v>
      </c>
      <c r="N131" s="12">
        <v>6518001</v>
      </c>
      <c r="O131" s="12">
        <v>0.84</v>
      </c>
      <c r="P131" s="12">
        <v>5410504.2300000004</v>
      </c>
      <c r="Q131" s="12">
        <v>1721426</v>
      </c>
      <c r="R131" s="12">
        <v>3689078.23</v>
      </c>
      <c r="S131" s="12">
        <v>0</v>
      </c>
      <c r="T131" s="12">
        <v>113</v>
      </c>
      <c r="U131" s="12">
        <v>0</v>
      </c>
      <c r="V131" s="12">
        <v>0</v>
      </c>
      <c r="W131" s="35">
        <v>46144.261731053244</v>
      </c>
      <c r="X131" s="12">
        <v>8</v>
      </c>
      <c r="Y131" s="12">
        <v>10</v>
      </c>
      <c r="Z131" s="12">
        <v>1867227.74</v>
      </c>
      <c r="AA131" s="12">
        <v>186722.774</v>
      </c>
      <c r="AB131" s="12">
        <v>582243</v>
      </c>
      <c r="AC131" s="12">
        <v>1284983.8999999999</v>
      </c>
      <c r="AD131" s="12">
        <v>16</v>
      </c>
      <c r="AE131" s="12">
        <v>16</v>
      </c>
      <c r="AF131" s="12">
        <v>3543277.33</v>
      </c>
      <c r="AG131" s="12">
        <v>243513.65599999999</v>
      </c>
      <c r="AH131" s="12">
        <v>1139183</v>
      </c>
      <c r="AI131" s="12">
        <v>2404094.33</v>
      </c>
      <c r="AJ131" s="12"/>
      <c r="AK131" s="12"/>
      <c r="AL131" s="12"/>
      <c r="AM131" s="12"/>
      <c r="AN131" s="12"/>
      <c r="AO131" s="12"/>
      <c r="AP131" s="12">
        <v>2913446.23</v>
      </c>
      <c r="AQ131" s="12">
        <v>11</v>
      </c>
      <c r="AR131" s="12">
        <v>264858.74800000002</v>
      </c>
      <c r="AS131" s="12">
        <v>891313</v>
      </c>
      <c r="AT131" s="12">
        <v>2316386.56</v>
      </c>
      <c r="AU131" s="12">
        <v>12</v>
      </c>
      <c r="AV131" s="12">
        <v>222443.97700000001</v>
      </c>
      <c r="AW131" s="12">
        <v>777132</v>
      </c>
      <c r="AX131" s="12">
        <v>96638.66</v>
      </c>
      <c r="AY131" s="12">
        <v>1</v>
      </c>
      <c r="AZ131" s="12">
        <v>96638.66</v>
      </c>
      <c r="BA131" s="12">
        <v>23839</v>
      </c>
      <c r="BB131" s="12"/>
      <c r="BC131" s="12"/>
      <c r="BD131" s="12"/>
      <c r="BE131" s="12"/>
      <c r="BF131" s="12">
        <v>220</v>
      </c>
      <c r="BG131" s="12">
        <v>1</v>
      </c>
      <c r="BH131" s="12">
        <v>4.5454545454545452E-3</v>
      </c>
      <c r="BI131" s="12">
        <v>50</v>
      </c>
      <c r="BJ131" s="12">
        <v>1</v>
      </c>
      <c r="BK131" s="12">
        <v>0.02</v>
      </c>
      <c r="BL131" s="12">
        <v>33</v>
      </c>
      <c r="BM131" s="12">
        <v>1</v>
      </c>
      <c r="BN131" s="12">
        <v>3.0303030303030304E-2</v>
      </c>
      <c r="BO131" s="12">
        <v>6</v>
      </c>
      <c r="BP131" s="12">
        <v>0</v>
      </c>
      <c r="BQ131" s="12">
        <v>0</v>
      </c>
      <c r="BR131" s="12">
        <v>73</v>
      </c>
      <c r="BS131" s="12">
        <v>5</v>
      </c>
      <c r="BT131" s="12">
        <v>6.8493150684931503E-2</v>
      </c>
      <c r="BU131" s="12">
        <v>382</v>
      </c>
      <c r="BV131" s="12">
        <v>8</v>
      </c>
      <c r="BW131" s="12">
        <v>2.0942408376963352E-2</v>
      </c>
      <c r="BX131" s="12"/>
      <c r="BY131" s="12"/>
      <c r="BZ131" s="12"/>
      <c r="CA131" s="12">
        <v>37587.43</v>
      </c>
      <c r="CB131" s="13"/>
      <c r="CC131" s="13"/>
      <c r="CD131" s="13"/>
      <c r="CE131" s="12">
        <v>1843</v>
      </c>
      <c r="CF131" s="12">
        <v>227</v>
      </c>
      <c r="CG131" s="13">
        <v>46696</v>
      </c>
      <c r="CH131" s="13">
        <v>102</v>
      </c>
      <c r="CI131" s="13">
        <v>18335</v>
      </c>
    </row>
    <row r="132" spans="2:87" x14ac:dyDescent="0.2">
      <c r="B132" s="5">
        <v>45905</v>
      </c>
      <c r="C132" s="12">
        <v>18</v>
      </c>
      <c r="D132" s="12">
        <v>7.8</v>
      </c>
      <c r="E132" s="12">
        <v>231465.92</v>
      </c>
      <c r="F132" s="12">
        <v>0</v>
      </c>
      <c r="G132" s="12">
        <v>4536974.78</v>
      </c>
      <c r="H132" s="12">
        <v>-370588.21</v>
      </c>
      <c r="I132" s="12">
        <v>0</v>
      </c>
      <c r="J132" s="12">
        <v>4166386.57</v>
      </c>
      <c r="K132" s="12">
        <v>56000</v>
      </c>
      <c r="L132" s="12">
        <v>0</v>
      </c>
      <c r="M132" s="12">
        <v>791613.43</v>
      </c>
      <c r="N132" s="12">
        <v>5014000</v>
      </c>
      <c r="O132" s="12">
        <v>0</v>
      </c>
      <c r="P132" s="12">
        <v>4166386.57</v>
      </c>
      <c r="Q132" s="12">
        <v>1480498</v>
      </c>
      <c r="R132" s="12">
        <v>2685888.57</v>
      </c>
      <c r="S132" s="12">
        <v>0</v>
      </c>
      <c r="T132" s="12">
        <v>141</v>
      </c>
      <c r="U132" s="12">
        <v>0</v>
      </c>
      <c r="V132" s="12">
        <v>0</v>
      </c>
      <c r="W132" s="35">
        <v>46144.261731053244</v>
      </c>
      <c r="X132" s="12">
        <v>9</v>
      </c>
      <c r="Y132" s="12">
        <v>11</v>
      </c>
      <c r="Z132" s="12">
        <v>1052941.19</v>
      </c>
      <c r="AA132" s="12">
        <v>95721.926000000007</v>
      </c>
      <c r="AB132" s="12">
        <v>323425</v>
      </c>
      <c r="AC132" s="12">
        <v>729516.19</v>
      </c>
      <c r="AD132" s="12">
        <v>7</v>
      </c>
      <c r="AE132" s="12">
        <v>7</v>
      </c>
      <c r="AF132" s="12">
        <v>3113445.38</v>
      </c>
      <c r="AG132" s="12">
        <v>444777.91100000002</v>
      </c>
      <c r="AH132" s="12">
        <v>1157073</v>
      </c>
      <c r="AI132" s="12">
        <v>1956372.38</v>
      </c>
      <c r="AJ132" s="12"/>
      <c r="AK132" s="12"/>
      <c r="AL132" s="12"/>
      <c r="AM132" s="12"/>
      <c r="AN132" s="12"/>
      <c r="AO132" s="12"/>
      <c r="AP132" s="12">
        <v>995798.32</v>
      </c>
      <c r="AQ132" s="12">
        <v>5</v>
      </c>
      <c r="AR132" s="12">
        <v>199159.66399999999</v>
      </c>
      <c r="AS132" s="12">
        <v>279711</v>
      </c>
      <c r="AT132" s="12">
        <v>2905882.36</v>
      </c>
      <c r="AU132" s="12">
        <v>10</v>
      </c>
      <c r="AV132" s="12">
        <v>290588.23599999998</v>
      </c>
      <c r="AW132" s="12">
        <v>1136251</v>
      </c>
      <c r="AX132" s="12"/>
      <c r="AY132" s="12"/>
      <c r="AZ132" s="12"/>
      <c r="BA132" s="12"/>
      <c r="BB132" s="12"/>
      <c r="BC132" s="12"/>
      <c r="BD132" s="12"/>
      <c r="BE132" s="12"/>
      <c r="BF132" s="12">
        <v>220</v>
      </c>
      <c r="BG132" s="12">
        <v>0</v>
      </c>
      <c r="BH132" s="12">
        <v>0</v>
      </c>
      <c r="BI132" s="12">
        <v>35</v>
      </c>
      <c r="BJ132" s="12">
        <v>0</v>
      </c>
      <c r="BK132" s="12">
        <v>0</v>
      </c>
      <c r="BL132" s="12">
        <v>28</v>
      </c>
      <c r="BM132" s="12">
        <v>3</v>
      </c>
      <c r="BN132" s="12">
        <v>0.10714285714285714</v>
      </c>
      <c r="BO132" s="12">
        <v>3</v>
      </c>
      <c r="BP132" s="12">
        <v>0</v>
      </c>
      <c r="BQ132" s="12">
        <v>0</v>
      </c>
      <c r="BR132" s="12">
        <v>67</v>
      </c>
      <c r="BS132" s="12">
        <v>2</v>
      </c>
      <c r="BT132" s="12">
        <v>2.9850746268656716E-2</v>
      </c>
      <c r="BU132" s="12">
        <v>353</v>
      </c>
      <c r="BV132" s="12">
        <v>5</v>
      </c>
      <c r="BW132" s="12">
        <v>1.4164305949008499E-2</v>
      </c>
      <c r="BX132" s="12"/>
      <c r="BY132" s="12"/>
      <c r="BZ132" s="12"/>
      <c r="CA132" s="12">
        <v>47967.7</v>
      </c>
      <c r="CB132" s="13"/>
      <c r="CC132" s="13"/>
      <c r="CD132" s="13"/>
      <c r="CE132" s="12">
        <v>2148</v>
      </c>
      <c r="CF132" s="12">
        <v>217</v>
      </c>
      <c r="CG132" s="13">
        <v>47162</v>
      </c>
      <c r="CH132" s="13">
        <v>87</v>
      </c>
      <c r="CI132" s="13">
        <v>18368</v>
      </c>
    </row>
    <row r="133" spans="2:87" x14ac:dyDescent="0.2">
      <c r="B133" s="5">
        <v>45906</v>
      </c>
      <c r="C133" s="12">
        <v>22</v>
      </c>
      <c r="D133" s="12">
        <v>2.5</v>
      </c>
      <c r="E133" s="12">
        <v>137453.78099999999</v>
      </c>
      <c r="F133" s="12">
        <v>0</v>
      </c>
      <c r="G133" s="12">
        <v>3213058.83</v>
      </c>
      <c r="H133" s="12">
        <v>0</v>
      </c>
      <c r="I133" s="12">
        <v>0</v>
      </c>
      <c r="J133" s="12">
        <v>3213058.83</v>
      </c>
      <c r="K133" s="12">
        <v>38000</v>
      </c>
      <c r="L133" s="12">
        <v>0</v>
      </c>
      <c r="M133" s="12">
        <v>559941.17000000004</v>
      </c>
      <c r="N133" s="12">
        <v>3811000</v>
      </c>
      <c r="O133" s="12">
        <v>0</v>
      </c>
      <c r="P133" s="12">
        <v>3213058.83</v>
      </c>
      <c r="Q133" s="12">
        <v>963473</v>
      </c>
      <c r="R133" s="12">
        <v>2249585.83</v>
      </c>
      <c r="S133" s="12">
        <v>0</v>
      </c>
      <c r="T133" s="12">
        <v>57</v>
      </c>
      <c r="U133" s="12">
        <v>0</v>
      </c>
      <c r="V133" s="12">
        <v>0</v>
      </c>
      <c r="W133" s="35">
        <v>46144.261731053244</v>
      </c>
      <c r="X133" s="12">
        <v>8</v>
      </c>
      <c r="Y133" s="12">
        <v>11</v>
      </c>
      <c r="Z133" s="12">
        <v>1532705.89</v>
      </c>
      <c r="AA133" s="12">
        <v>122148.205</v>
      </c>
      <c r="AB133" s="12">
        <v>464037</v>
      </c>
      <c r="AC133" s="12">
        <v>1068668.8899999999</v>
      </c>
      <c r="AD133" s="12">
        <v>11</v>
      </c>
      <c r="AE133" s="12">
        <v>11</v>
      </c>
      <c r="AF133" s="12">
        <v>1680352.94</v>
      </c>
      <c r="AG133" s="12">
        <v>152759.35800000001</v>
      </c>
      <c r="AH133" s="12">
        <v>499436</v>
      </c>
      <c r="AI133" s="12">
        <v>1180916.94</v>
      </c>
      <c r="AJ133" s="12"/>
      <c r="AK133" s="12"/>
      <c r="AL133" s="12"/>
      <c r="AM133" s="12"/>
      <c r="AN133" s="12"/>
      <c r="AO133" s="12"/>
      <c r="AP133" s="12">
        <v>830252.1</v>
      </c>
      <c r="AQ133" s="12">
        <v>4</v>
      </c>
      <c r="AR133" s="12">
        <v>207563.02499999999</v>
      </c>
      <c r="AS133" s="12">
        <v>209921</v>
      </c>
      <c r="AT133" s="12">
        <v>2336588.2400000002</v>
      </c>
      <c r="AU133" s="12">
        <v>17</v>
      </c>
      <c r="AV133" s="12">
        <v>126324.27099999999</v>
      </c>
      <c r="AW133" s="12">
        <v>743697</v>
      </c>
      <c r="AX133" s="12">
        <v>46218.49</v>
      </c>
      <c r="AY133" s="12">
        <v>1</v>
      </c>
      <c r="AZ133" s="12">
        <v>46218.49</v>
      </c>
      <c r="BA133" s="12">
        <v>9855</v>
      </c>
      <c r="BB133" s="12"/>
      <c r="BC133" s="12"/>
      <c r="BD133" s="12"/>
      <c r="BE133" s="12"/>
      <c r="BF133" s="12">
        <v>344</v>
      </c>
      <c r="BG133" s="12">
        <v>0</v>
      </c>
      <c r="BH133" s="12">
        <v>0</v>
      </c>
      <c r="BI133" s="12">
        <v>39</v>
      </c>
      <c r="BJ133" s="12">
        <v>0</v>
      </c>
      <c r="BK133" s="12">
        <v>0</v>
      </c>
      <c r="BL133" s="12">
        <v>20</v>
      </c>
      <c r="BM133" s="12">
        <v>2</v>
      </c>
      <c r="BN133" s="12">
        <v>0.1</v>
      </c>
      <c r="BO133" s="12">
        <v>8</v>
      </c>
      <c r="BP133" s="12">
        <v>0</v>
      </c>
      <c r="BQ133" s="12">
        <v>0</v>
      </c>
      <c r="BR133" s="12">
        <v>62</v>
      </c>
      <c r="BS133" s="12">
        <v>2</v>
      </c>
      <c r="BT133" s="12">
        <v>3.2258064516129031E-2</v>
      </c>
      <c r="BU133" s="12">
        <v>473</v>
      </c>
      <c r="BV133" s="12">
        <v>4</v>
      </c>
      <c r="BW133" s="12">
        <v>8.4566596194503175E-3</v>
      </c>
      <c r="BX133" s="12"/>
      <c r="BY133" s="12"/>
      <c r="BZ133" s="12"/>
      <c r="CA133" s="12">
        <v>55944.79</v>
      </c>
      <c r="CB133" s="13"/>
      <c r="CC133" s="13"/>
      <c r="CD133" s="13"/>
      <c r="CE133" s="12">
        <v>2237</v>
      </c>
      <c r="CF133" s="12">
        <v>329</v>
      </c>
      <c r="CG133" s="13">
        <v>50501</v>
      </c>
      <c r="CH133" s="13">
        <v>110</v>
      </c>
      <c r="CI133" s="13">
        <v>18502</v>
      </c>
    </row>
    <row r="134" spans="2:87" x14ac:dyDescent="0.2">
      <c r="B134" s="5">
        <v>45907</v>
      </c>
      <c r="C134" s="12">
        <v>11</v>
      </c>
      <c r="D134" s="12">
        <v>3.2</v>
      </c>
      <c r="E134" s="12">
        <v>186430.864</v>
      </c>
      <c r="F134" s="12">
        <v>0</v>
      </c>
      <c r="G134" s="12">
        <v>2050739.51</v>
      </c>
      <c r="H134" s="12">
        <v>0</v>
      </c>
      <c r="I134" s="12">
        <v>0</v>
      </c>
      <c r="J134" s="12">
        <v>2050739.51</v>
      </c>
      <c r="K134" s="12">
        <v>53500</v>
      </c>
      <c r="L134" s="12">
        <v>0</v>
      </c>
      <c r="M134" s="12">
        <v>370260.49</v>
      </c>
      <c r="N134" s="12">
        <v>2474500</v>
      </c>
      <c r="O134" s="12">
        <v>126050.42</v>
      </c>
      <c r="P134" s="12">
        <v>1924689.09</v>
      </c>
      <c r="Q134" s="12">
        <v>646771</v>
      </c>
      <c r="R134" s="12">
        <v>1277918.0900000001</v>
      </c>
      <c r="S134" s="12">
        <v>0</v>
      </c>
      <c r="T134" s="12">
        <v>35</v>
      </c>
      <c r="U134" s="12">
        <v>0</v>
      </c>
      <c r="V134" s="12">
        <v>0</v>
      </c>
      <c r="W134" s="35">
        <v>46144.261731053244</v>
      </c>
      <c r="X134" s="12">
        <v>4</v>
      </c>
      <c r="Y134" s="12">
        <v>4</v>
      </c>
      <c r="Z134" s="12">
        <v>781512.61</v>
      </c>
      <c r="AA134" s="12">
        <v>195378.152</v>
      </c>
      <c r="AB134" s="12">
        <v>175839</v>
      </c>
      <c r="AC134" s="12">
        <v>479623.19</v>
      </c>
      <c r="AD134" s="12">
        <v>7</v>
      </c>
      <c r="AE134" s="12">
        <v>7</v>
      </c>
      <c r="AF134" s="12">
        <v>1269226.8999999999</v>
      </c>
      <c r="AG134" s="12">
        <v>181318.128</v>
      </c>
      <c r="AH134" s="12">
        <v>470932</v>
      </c>
      <c r="AI134" s="12">
        <v>798294.9</v>
      </c>
      <c r="AJ134" s="12"/>
      <c r="AK134" s="12"/>
      <c r="AL134" s="12"/>
      <c r="AM134" s="12"/>
      <c r="AN134" s="12"/>
      <c r="AO134" s="12"/>
      <c r="AP134" s="12">
        <v>487394.96</v>
      </c>
      <c r="AQ134" s="12">
        <v>3</v>
      </c>
      <c r="AR134" s="12">
        <v>162464.986</v>
      </c>
      <c r="AS134" s="12">
        <v>127491</v>
      </c>
      <c r="AT134" s="12">
        <v>1563344.55</v>
      </c>
      <c r="AU134" s="12">
        <v>8</v>
      </c>
      <c r="AV134" s="12">
        <v>195418.068</v>
      </c>
      <c r="AW134" s="12">
        <v>519280</v>
      </c>
      <c r="AX134" s="12"/>
      <c r="AY134" s="12"/>
      <c r="AZ134" s="12"/>
      <c r="BA134" s="12"/>
      <c r="BB134" s="12"/>
      <c r="BC134" s="12"/>
      <c r="BD134" s="12"/>
      <c r="BE134" s="12"/>
      <c r="BF134" s="12">
        <v>320</v>
      </c>
      <c r="BG134" s="12">
        <v>1</v>
      </c>
      <c r="BH134" s="12">
        <v>3.1250000000000002E-3</v>
      </c>
      <c r="BI134" s="12">
        <v>53</v>
      </c>
      <c r="BJ134" s="12">
        <v>0</v>
      </c>
      <c r="BK134" s="12">
        <v>0</v>
      </c>
      <c r="BL134" s="12">
        <v>25</v>
      </c>
      <c r="BM134" s="12">
        <v>1</v>
      </c>
      <c r="BN134" s="12">
        <v>0.04</v>
      </c>
      <c r="BO134" s="12">
        <v>7</v>
      </c>
      <c r="BP134" s="12">
        <v>0</v>
      </c>
      <c r="BQ134" s="12">
        <v>0</v>
      </c>
      <c r="BR134" s="12">
        <v>37</v>
      </c>
      <c r="BS134" s="12">
        <v>1</v>
      </c>
      <c r="BT134" s="12">
        <v>2.7027027027027029E-2</v>
      </c>
      <c r="BU134" s="12">
        <v>442</v>
      </c>
      <c r="BV134" s="12">
        <v>3</v>
      </c>
      <c r="BW134" s="12">
        <v>6.7873303167420816E-3</v>
      </c>
      <c r="BX134" s="12"/>
      <c r="BY134" s="12"/>
      <c r="BZ134" s="12"/>
      <c r="CA134" s="12">
        <v>44579.15</v>
      </c>
      <c r="CB134" s="13"/>
      <c r="CC134" s="13"/>
      <c r="CD134" s="13"/>
      <c r="CE134" s="12">
        <v>2655</v>
      </c>
      <c r="CF134" s="12">
        <v>308</v>
      </c>
      <c r="CG134" s="13">
        <v>53274</v>
      </c>
      <c r="CH134" s="13">
        <v>112</v>
      </c>
      <c r="CI134" s="13">
        <v>20767</v>
      </c>
    </row>
    <row r="135" spans="2:87" x14ac:dyDescent="0.2">
      <c r="B135" s="5">
        <v>45908</v>
      </c>
      <c r="C135" s="12">
        <v>19</v>
      </c>
      <c r="D135" s="12">
        <v>3.4</v>
      </c>
      <c r="E135" s="12">
        <v>184343.21</v>
      </c>
      <c r="F135" s="12">
        <v>0</v>
      </c>
      <c r="G135" s="12">
        <v>3527731.06</v>
      </c>
      <c r="H135" s="12">
        <v>-25210.06</v>
      </c>
      <c r="I135" s="12">
        <v>0</v>
      </c>
      <c r="J135" s="12">
        <v>3502521</v>
      </c>
      <c r="K135" s="12">
        <v>128500</v>
      </c>
      <c r="L135" s="12">
        <v>0</v>
      </c>
      <c r="M135" s="12">
        <v>665479</v>
      </c>
      <c r="N135" s="12">
        <v>4296500</v>
      </c>
      <c r="O135" s="12">
        <v>172268.88</v>
      </c>
      <c r="P135" s="12">
        <v>3330252.12</v>
      </c>
      <c r="Q135" s="12">
        <v>971980</v>
      </c>
      <c r="R135" s="12">
        <v>2358272.12</v>
      </c>
      <c r="S135" s="12">
        <v>0</v>
      </c>
      <c r="T135" s="12">
        <v>64</v>
      </c>
      <c r="U135" s="12">
        <v>0</v>
      </c>
      <c r="V135" s="12">
        <v>0</v>
      </c>
      <c r="W135" s="35">
        <v>46144.261731053244</v>
      </c>
      <c r="X135" s="12">
        <v>9</v>
      </c>
      <c r="Y135" s="12">
        <v>9</v>
      </c>
      <c r="Z135" s="12">
        <v>1844537.79</v>
      </c>
      <c r="AA135" s="12">
        <v>204948.64300000001</v>
      </c>
      <c r="AB135" s="12">
        <v>492450</v>
      </c>
      <c r="AC135" s="12">
        <v>1209230.67</v>
      </c>
      <c r="AD135" s="12">
        <v>10</v>
      </c>
      <c r="AE135" s="12">
        <v>10</v>
      </c>
      <c r="AF135" s="12">
        <v>1657983.21</v>
      </c>
      <c r="AG135" s="12">
        <v>165798.321</v>
      </c>
      <c r="AH135" s="12">
        <v>479530</v>
      </c>
      <c r="AI135" s="12">
        <v>1149041.45</v>
      </c>
      <c r="AJ135" s="12"/>
      <c r="AK135" s="12"/>
      <c r="AL135" s="12"/>
      <c r="AM135" s="12"/>
      <c r="AN135" s="12"/>
      <c r="AO135" s="12"/>
      <c r="AP135" s="12">
        <v>1429411.76</v>
      </c>
      <c r="AQ135" s="12">
        <v>6</v>
      </c>
      <c r="AR135" s="12">
        <v>238235.29300000001</v>
      </c>
      <c r="AS135" s="12">
        <v>393088</v>
      </c>
      <c r="AT135" s="12">
        <v>1489075.62</v>
      </c>
      <c r="AU135" s="12">
        <v>10</v>
      </c>
      <c r="AV135" s="12">
        <v>148907.56200000001</v>
      </c>
      <c r="AW135" s="12">
        <v>406731</v>
      </c>
      <c r="AX135" s="12">
        <v>46218.49</v>
      </c>
      <c r="AY135" s="12">
        <v>1</v>
      </c>
      <c r="AZ135" s="12">
        <v>46218.49</v>
      </c>
      <c r="BA135" s="12">
        <v>9855</v>
      </c>
      <c r="BB135" s="12"/>
      <c r="BC135" s="12"/>
      <c r="BD135" s="12"/>
      <c r="BE135" s="12"/>
      <c r="BF135" s="12">
        <v>405</v>
      </c>
      <c r="BG135" s="12">
        <v>0</v>
      </c>
      <c r="BH135" s="12">
        <v>0</v>
      </c>
      <c r="BI135" s="12">
        <v>36</v>
      </c>
      <c r="BJ135" s="12">
        <v>0</v>
      </c>
      <c r="BK135" s="12">
        <v>0</v>
      </c>
      <c r="BL135" s="12">
        <v>38</v>
      </c>
      <c r="BM135" s="12">
        <v>2</v>
      </c>
      <c r="BN135" s="12">
        <v>5.2631578947368418E-2</v>
      </c>
      <c r="BO135" s="12">
        <v>10</v>
      </c>
      <c r="BP135" s="12">
        <v>0</v>
      </c>
      <c r="BQ135" s="12">
        <v>0</v>
      </c>
      <c r="BR135" s="12">
        <v>89</v>
      </c>
      <c r="BS135" s="12">
        <v>4</v>
      </c>
      <c r="BT135" s="12">
        <v>4.49438202247191E-2</v>
      </c>
      <c r="BU135" s="12">
        <v>578</v>
      </c>
      <c r="BV135" s="12">
        <v>6</v>
      </c>
      <c r="BW135" s="12">
        <v>1.0380622837370242E-2</v>
      </c>
      <c r="BX135" s="12"/>
      <c r="BY135" s="12"/>
      <c r="BZ135" s="12"/>
      <c r="CA135" s="12">
        <v>53816.88</v>
      </c>
      <c r="CB135" s="13"/>
      <c r="CC135" s="13"/>
      <c r="CD135" s="13"/>
      <c r="CE135" s="12">
        <v>2327</v>
      </c>
      <c r="CF135" s="12">
        <v>357</v>
      </c>
      <c r="CG135" s="13">
        <v>47071</v>
      </c>
      <c r="CH135" s="13">
        <v>74</v>
      </c>
      <c r="CI135" s="13">
        <v>18990</v>
      </c>
    </row>
    <row r="136" spans="2:87" x14ac:dyDescent="0.2">
      <c r="B136" s="5">
        <v>45909</v>
      </c>
      <c r="C136" s="12">
        <v>33</v>
      </c>
      <c r="D136" s="12">
        <v>2.1</v>
      </c>
      <c r="E136" s="12">
        <v>112579.602</v>
      </c>
      <c r="F136" s="12">
        <v>-1</v>
      </c>
      <c r="G136" s="12">
        <v>3740336.94</v>
      </c>
      <c r="H136" s="12">
        <v>-4201.6499999999996</v>
      </c>
      <c r="I136" s="12">
        <v>-12605.04</v>
      </c>
      <c r="J136" s="12">
        <v>3723530.25</v>
      </c>
      <c r="K136" s="12">
        <v>68500</v>
      </c>
      <c r="L136" s="12">
        <v>0</v>
      </c>
      <c r="M136" s="12">
        <v>707470.75</v>
      </c>
      <c r="N136" s="12">
        <v>4499501</v>
      </c>
      <c r="O136" s="12">
        <v>21009.24</v>
      </c>
      <c r="P136" s="12">
        <v>3702521.01</v>
      </c>
      <c r="Q136" s="12">
        <v>1086636</v>
      </c>
      <c r="R136" s="12">
        <v>2615885.0099999998</v>
      </c>
      <c r="S136" s="12">
        <v>0</v>
      </c>
      <c r="T136" s="12">
        <v>70</v>
      </c>
      <c r="U136" s="12">
        <v>0</v>
      </c>
      <c r="V136" s="12">
        <v>0</v>
      </c>
      <c r="W136" s="35">
        <v>46144.261731053244</v>
      </c>
      <c r="X136" s="12">
        <v>14</v>
      </c>
      <c r="Y136" s="12">
        <v>16</v>
      </c>
      <c r="Z136" s="12">
        <v>2230252.94</v>
      </c>
      <c r="AA136" s="12">
        <v>138077.783</v>
      </c>
      <c r="AB136" s="12">
        <v>720640</v>
      </c>
      <c r="AC136" s="12">
        <v>1488603.7</v>
      </c>
      <c r="AD136" s="12">
        <v>14</v>
      </c>
      <c r="AE136" s="12">
        <v>14</v>
      </c>
      <c r="AF136" s="12">
        <v>1388235.3</v>
      </c>
      <c r="AG136" s="12">
        <v>99159.664000000004</v>
      </c>
      <c r="AH136" s="12">
        <v>341696</v>
      </c>
      <c r="AI136" s="12">
        <v>1046539.3</v>
      </c>
      <c r="AJ136" s="12">
        <v>1</v>
      </c>
      <c r="AK136" s="12">
        <v>3</v>
      </c>
      <c r="AL136" s="12">
        <v>105042.01</v>
      </c>
      <c r="AM136" s="12">
        <v>39215.682999999997</v>
      </c>
      <c r="AN136" s="12">
        <v>24300</v>
      </c>
      <c r="AO136" s="12">
        <v>80742.009999999995</v>
      </c>
      <c r="AP136" s="12">
        <v>972269.75</v>
      </c>
      <c r="AQ136" s="12">
        <v>12</v>
      </c>
      <c r="AR136" s="12">
        <v>82072.899000000005</v>
      </c>
      <c r="AS136" s="12">
        <v>264181</v>
      </c>
      <c r="AT136" s="12">
        <v>2523529.41</v>
      </c>
      <c r="AU136" s="12">
        <v>18</v>
      </c>
      <c r="AV136" s="12">
        <v>139028.94500000001</v>
      </c>
      <c r="AW136" s="12">
        <v>761756</v>
      </c>
      <c r="AX136" s="12">
        <v>205882.35</v>
      </c>
      <c r="AY136" s="12">
        <v>2</v>
      </c>
      <c r="AZ136" s="12">
        <v>102941.175</v>
      </c>
      <c r="BA136" s="12">
        <v>55961</v>
      </c>
      <c r="BB136" s="12"/>
      <c r="BC136" s="12"/>
      <c r="BD136" s="12"/>
      <c r="BE136" s="12"/>
      <c r="BF136" s="12">
        <v>404</v>
      </c>
      <c r="BG136" s="12">
        <v>1</v>
      </c>
      <c r="BH136" s="12">
        <v>2.4752475247524753E-3</v>
      </c>
      <c r="BI136" s="12">
        <v>45</v>
      </c>
      <c r="BJ136" s="12">
        <v>1</v>
      </c>
      <c r="BK136" s="12">
        <v>2.2222222222222223E-2</v>
      </c>
      <c r="BL136" s="12">
        <v>34</v>
      </c>
      <c r="BM136" s="12">
        <v>0</v>
      </c>
      <c r="BN136" s="12">
        <v>0</v>
      </c>
      <c r="BO136" s="12">
        <v>13</v>
      </c>
      <c r="BP136" s="12">
        <v>0</v>
      </c>
      <c r="BQ136" s="12">
        <v>0</v>
      </c>
      <c r="BR136" s="12">
        <v>148</v>
      </c>
      <c r="BS136" s="12">
        <v>6</v>
      </c>
      <c r="BT136" s="12">
        <v>4.0540540540540543E-2</v>
      </c>
      <c r="BU136" s="12">
        <v>644</v>
      </c>
      <c r="BV136" s="12">
        <v>8</v>
      </c>
      <c r="BW136" s="12">
        <v>1.2422360248447204E-2</v>
      </c>
      <c r="BX136" s="12"/>
      <c r="BY136" s="12"/>
      <c r="BZ136" s="12"/>
      <c r="CA136" s="12">
        <v>56438.400000000001</v>
      </c>
      <c r="CB136" s="13"/>
      <c r="CC136" s="13"/>
      <c r="CD136" s="13"/>
      <c r="CE136" s="12">
        <v>2872</v>
      </c>
      <c r="CF136" s="12">
        <v>403</v>
      </c>
      <c r="CG136" s="13">
        <v>55240</v>
      </c>
      <c r="CH136" s="13">
        <v>94</v>
      </c>
      <c r="CI136" s="13">
        <v>18074</v>
      </c>
    </row>
    <row r="137" spans="2:87" x14ac:dyDescent="0.2">
      <c r="B137" s="5">
        <v>45910</v>
      </c>
      <c r="C137" s="12">
        <v>15</v>
      </c>
      <c r="D137" s="12">
        <v>2.2999999999999998</v>
      </c>
      <c r="E137" s="12">
        <v>136966.386</v>
      </c>
      <c r="F137" s="12">
        <v>0</v>
      </c>
      <c r="G137" s="12">
        <v>2155336.14</v>
      </c>
      <c r="H137" s="12">
        <v>0</v>
      </c>
      <c r="I137" s="12">
        <v>0</v>
      </c>
      <c r="J137" s="12">
        <v>2155336.14</v>
      </c>
      <c r="K137" s="12">
        <v>23500</v>
      </c>
      <c r="L137" s="12">
        <v>0</v>
      </c>
      <c r="M137" s="12">
        <v>387663.86</v>
      </c>
      <c r="N137" s="12">
        <v>2566500</v>
      </c>
      <c r="O137" s="12">
        <v>0</v>
      </c>
      <c r="P137" s="12">
        <v>2155336.14</v>
      </c>
      <c r="Q137" s="12">
        <v>605989</v>
      </c>
      <c r="R137" s="12">
        <v>1549347.14</v>
      </c>
      <c r="S137" s="12">
        <v>70000</v>
      </c>
      <c r="T137" s="12">
        <v>36</v>
      </c>
      <c r="U137" s="12">
        <v>0</v>
      </c>
      <c r="V137" s="12">
        <v>70000</v>
      </c>
      <c r="W137" s="35">
        <v>46144.261731053244</v>
      </c>
      <c r="X137" s="12">
        <v>6</v>
      </c>
      <c r="Y137" s="12">
        <v>8</v>
      </c>
      <c r="Z137" s="12">
        <v>1125924.3700000001</v>
      </c>
      <c r="AA137" s="12">
        <v>140740.546</v>
      </c>
      <c r="AB137" s="12">
        <v>370455</v>
      </c>
      <c r="AC137" s="12">
        <v>755469.37</v>
      </c>
      <c r="AD137" s="12">
        <v>7</v>
      </c>
      <c r="AE137" s="12">
        <v>7</v>
      </c>
      <c r="AF137" s="12">
        <v>1029411.77</v>
      </c>
      <c r="AG137" s="12">
        <v>132653.06099999999</v>
      </c>
      <c r="AH137" s="12">
        <v>235534</v>
      </c>
      <c r="AI137" s="12">
        <v>793877.77</v>
      </c>
      <c r="AJ137" s="12">
        <v>0</v>
      </c>
      <c r="AK137" s="12">
        <v>0</v>
      </c>
      <c r="AL137" s="12">
        <v>0</v>
      </c>
      <c r="AM137" s="12"/>
      <c r="AN137" s="12">
        <v>0</v>
      </c>
      <c r="AO137" s="12">
        <v>0</v>
      </c>
      <c r="AP137" s="12">
        <v>457983.19</v>
      </c>
      <c r="AQ137" s="12">
        <v>4</v>
      </c>
      <c r="AR137" s="12">
        <v>114495.79700000001</v>
      </c>
      <c r="AS137" s="12">
        <v>109458</v>
      </c>
      <c r="AT137" s="12">
        <v>1302394.97</v>
      </c>
      <c r="AU137" s="12">
        <v>8</v>
      </c>
      <c r="AV137" s="12">
        <v>150194.32800000001</v>
      </c>
      <c r="AW137" s="12">
        <v>393025</v>
      </c>
      <c r="AX137" s="12">
        <v>243697.48</v>
      </c>
      <c r="AY137" s="12">
        <v>2</v>
      </c>
      <c r="AZ137" s="12">
        <v>121848.74</v>
      </c>
      <c r="BA137" s="12">
        <v>62270</v>
      </c>
      <c r="BB137" s="12"/>
      <c r="BC137" s="12"/>
      <c r="BD137" s="12"/>
      <c r="BE137" s="12"/>
      <c r="BF137" s="12">
        <v>383</v>
      </c>
      <c r="BG137" s="12">
        <v>1</v>
      </c>
      <c r="BH137" s="12">
        <v>2.6109660574412533E-3</v>
      </c>
      <c r="BI137" s="12">
        <v>52</v>
      </c>
      <c r="BJ137" s="12">
        <v>0</v>
      </c>
      <c r="BK137" s="12">
        <v>0</v>
      </c>
      <c r="BL137" s="12">
        <v>22</v>
      </c>
      <c r="BM137" s="12">
        <v>1</v>
      </c>
      <c r="BN137" s="12">
        <v>4.5454545454545456E-2</v>
      </c>
      <c r="BO137" s="12">
        <v>12</v>
      </c>
      <c r="BP137" s="12">
        <v>0</v>
      </c>
      <c r="BQ137" s="12">
        <v>0</v>
      </c>
      <c r="BR137" s="12">
        <v>105</v>
      </c>
      <c r="BS137" s="12">
        <v>2</v>
      </c>
      <c r="BT137" s="12">
        <v>1.9047619047619049E-2</v>
      </c>
      <c r="BU137" s="12">
        <v>574</v>
      </c>
      <c r="BV137" s="12">
        <v>4</v>
      </c>
      <c r="BW137" s="12">
        <v>6.9686411149825784E-3</v>
      </c>
      <c r="BX137" s="12"/>
      <c r="BY137" s="12"/>
      <c r="BZ137" s="12"/>
      <c r="CA137" s="12">
        <v>55041.7</v>
      </c>
      <c r="CB137" s="13"/>
      <c r="CC137" s="13"/>
      <c r="CD137" s="13"/>
      <c r="CE137" s="12">
        <v>2959</v>
      </c>
      <c r="CF137" s="12">
        <v>421</v>
      </c>
      <c r="CG137" s="13">
        <v>51935</v>
      </c>
      <c r="CH137" s="13">
        <v>97</v>
      </c>
      <c r="CI137" s="13">
        <v>17361</v>
      </c>
    </row>
    <row r="138" spans="2:87" x14ac:dyDescent="0.2">
      <c r="B138" s="5">
        <v>45911</v>
      </c>
      <c r="C138" s="12">
        <v>46</v>
      </c>
      <c r="D138" s="12">
        <v>1.8</v>
      </c>
      <c r="E138" s="12">
        <v>111929.30100000001</v>
      </c>
      <c r="F138" s="12">
        <v>-2</v>
      </c>
      <c r="G138" s="12">
        <v>5276899.1500000004</v>
      </c>
      <c r="H138" s="12">
        <v>-18907.560000000001</v>
      </c>
      <c r="I138" s="12">
        <v>-117647.05</v>
      </c>
      <c r="J138" s="12">
        <v>5140344.54</v>
      </c>
      <c r="K138" s="12">
        <v>68500</v>
      </c>
      <c r="L138" s="12">
        <v>0</v>
      </c>
      <c r="M138" s="12">
        <v>971155.46</v>
      </c>
      <c r="N138" s="12">
        <v>6180000</v>
      </c>
      <c r="O138" s="12">
        <v>0</v>
      </c>
      <c r="P138" s="12">
        <v>5140344.54</v>
      </c>
      <c r="Q138" s="12">
        <v>1414721.12</v>
      </c>
      <c r="R138" s="12">
        <v>3725623.42</v>
      </c>
      <c r="S138" s="12">
        <v>0</v>
      </c>
      <c r="T138" s="12">
        <v>83</v>
      </c>
      <c r="U138" s="12">
        <v>0</v>
      </c>
      <c r="V138" s="12">
        <v>0</v>
      </c>
      <c r="W138" s="35">
        <v>46144.261731053244</v>
      </c>
      <c r="X138" s="12">
        <v>20</v>
      </c>
      <c r="Y138" s="12">
        <v>20</v>
      </c>
      <c r="Z138" s="12">
        <v>2115134.4500000002</v>
      </c>
      <c r="AA138" s="12">
        <v>105756.72199999999</v>
      </c>
      <c r="AB138" s="12">
        <v>576018.12</v>
      </c>
      <c r="AC138" s="12">
        <v>1539116.33</v>
      </c>
      <c r="AD138" s="12">
        <v>23</v>
      </c>
      <c r="AE138" s="12">
        <v>23</v>
      </c>
      <c r="AF138" s="12">
        <v>2722689.09</v>
      </c>
      <c r="AG138" s="12">
        <v>118743.149</v>
      </c>
      <c r="AH138" s="12">
        <v>758610</v>
      </c>
      <c r="AI138" s="12">
        <v>1964079.09</v>
      </c>
      <c r="AJ138" s="12">
        <v>1</v>
      </c>
      <c r="AK138" s="12">
        <v>3</v>
      </c>
      <c r="AL138" s="12">
        <v>302521</v>
      </c>
      <c r="AM138" s="12">
        <v>100840.333</v>
      </c>
      <c r="AN138" s="12">
        <v>80093</v>
      </c>
      <c r="AO138" s="12">
        <v>222428</v>
      </c>
      <c r="AP138" s="12">
        <v>819327.75</v>
      </c>
      <c r="AQ138" s="12">
        <v>7</v>
      </c>
      <c r="AR138" s="12">
        <v>118247.3</v>
      </c>
      <c r="AS138" s="12">
        <v>269131</v>
      </c>
      <c r="AT138" s="12">
        <v>764294.11</v>
      </c>
      <c r="AU138" s="12">
        <v>10</v>
      </c>
      <c r="AV138" s="12">
        <v>76429.410999999993</v>
      </c>
      <c r="AW138" s="12">
        <v>228309</v>
      </c>
      <c r="AX138" s="12"/>
      <c r="AY138" s="12"/>
      <c r="AZ138" s="12"/>
      <c r="BA138" s="12"/>
      <c r="BB138" s="12"/>
      <c r="BC138" s="12"/>
      <c r="BD138" s="12"/>
      <c r="BE138" s="12"/>
      <c r="BF138" s="12">
        <v>306</v>
      </c>
      <c r="BG138" s="12">
        <v>0</v>
      </c>
      <c r="BH138" s="12">
        <v>0</v>
      </c>
      <c r="BI138" s="12">
        <v>43</v>
      </c>
      <c r="BJ138" s="12">
        <v>0</v>
      </c>
      <c r="BK138" s="12">
        <v>0</v>
      </c>
      <c r="BL138" s="12">
        <v>40</v>
      </c>
      <c r="BM138" s="12">
        <v>3</v>
      </c>
      <c r="BN138" s="12">
        <v>7.4999999999999997E-2</v>
      </c>
      <c r="BO138" s="12">
        <v>15</v>
      </c>
      <c r="BP138" s="12">
        <v>0</v>
      </c>
      <c r="BQ138" s="12">
        <v>0</v>
      </c>
      <c r="BR138" s="12">
        <v>88</v>
      </c>
      <c r="BS138" s="12">
        <v>3</v>
      </c>
      <c r="BT138" s="12">
        <v>3.4090909090909088E-2</v>
      </c>
      <c r="BU138" s="12">
        <v>492</v>
      </c>
      <c r="BV138" s="12">
        <v>6</v>
      </c>
      <c r="BW138" s="12">
        <v>1.2195121951219513E-2</v>
      </c>
      <c r="BX138" s="12"/>
      <c r="BY138" s="12"/>
      <c r="BZ138" s="12"/>
      <c r="CA138" s="12">
        <v>46326.94</v>
      </c>
      <c r="CB138" s="13"/>
      <c r="CC138" s="13"/>
      <c r="CD138" s="13"/>
      <c r="CE138" s="12">
        <v>2725</v>
      </c>
      <c r="CF138" s="12">
        <v>345</v>
      </c>
      <c r="CG138" s="13">
        <v>44686</v>
      </c>
      <c r="CH138" s="13">
        <v>79</v>
      </c>
      <c r="CI138" s="13">
        <v>16821</v>
      </c>
    </row>
    <row r="139" spans="2:87" x14ac:dyDescent="0.2">
      <c r="B139" s="5">
        <v>45912</v>
      </c>
      <c r="C139" s="12">
        <v>57</v>
      </c>
      <c r="D139" s="12">
        <v>1.6</v>
      </c>
      <c r="E139" s="12">
        <v>101456.435</v>
      </c>
      <c r="F139" s="12">
        <v>0</v>
      </c>
      <c r="G139" s="12">
        <v>5783016.8399999999</v>
      </c>
      <c r="H139" s="12">
        <v>0</v>
      </c>
      <c r="I139" s="12">
        <v>0</v>
      </c>
      <c r="J139" s="12">
        <v>5783016.8399999999</v>
      </c>
      <c r="K139" s="12">
        <v>59500</v>
      </c>
      <c r="L139" s="12">
        <v>0</v>
      </c>
      <c r="M139" s="12">
        <v>1052983.1599999999</v>
      </c>
      <c r="N139" s="12">
        <v>6895500</v>
      </c>
      <c r="O139" s="12">
        <v>78000</v>
      </c>
      <c r="P139" s="12">
        <v>5705016.8399999999</v>
      </c>
      <c r="Q139" s="12">
        <v>1767129</v>
      </c>
      <c r="R139" s="12">
        <v>3937887.84</v>
      </c>
      <c r="S139" s="12">
        <v>0</v>
      </c>
      <c r="T139" s="12">
        <v>94</v>
      </c>
      <c r="U139" s="12">
        <v>0</v>
      </c>
      <c r="V139" s="12">
        <v>0</v>
      </c>
      <c r="W139" s="35">
        <v>46144.261731053244</v>
      </c>
      <c r="X139" s="12">
        <v>16</v>
      </c>
      <c r="Y139" s="12">
        <v>17</v>
      </c>
      <c r="Z139" s="12">
        <v>1872092.45</v>
      </c>
      <c r="AA139" s="12">
        <v>110123.08500000001</v>
      </c>
      <c r="AB139" s="12">
        <v>599635</v>
      </c>
      <c r="AC139" s="12">
        <v>1194457.45</v>
      </c>
      <c r="AD139" s="12">
        <v>34</v>
      </c>
      <c r="AE139" s="12">
        <v>34</v>
      </c>
      <c r="AF139" s="12">
        <v>3490756.32</v>
      </c>
      <c r="AG139" s="12">
        <v>102669.303</v>
      </c>
      <c r="AH139" s="12">
        <v>1069819</v>
      </c>
      <c r="AI139" s="12">
        <v>2420937.3199999998</v>
      </c>
      <c r="AJ139" s="12">
        <v>1</v>
      </c>
      <c r="AK139" s="12">
        <v>6</v>
      </c>
      <c r="AL139" s="12">
        <v>420168.07</v>
      </c>
      <c r="AM139" s="12">
        <v>70028.010999999999</v>
      </c>
      <c r="AN139" s="12">
        <v>97675</v>
      </c>
      <c r="AO139" s="12">
        <v>322493.07</v>
      </c>
      <c r="AP139" s="12">
        <v>579831.93000000005</v>
      </c>
      <c r="AQ139" s="12">
        <v>5</v>
      </c>
      <c r="AR139" s="12">
        <v>115966.386</v>
      </c>
      <c r="AS139" s="12">
        <v>169647</v>
      </c>
      <c r="AT139" s="12">
        <v>1521672.27</v>
      </c>
      <c r="AU139" s="12">
        <v>11</v>
      </c>
      <c r="AV139" s="12">
        <v>138333.842</v>
      </c>
      <c r="AW139" s="12">
        <v>497584</v>
      </c>
      <c r="AX139" s="12">
        <v>21848.74</v>
      </c>
      <c r="AY139" s="12">
        <v>1</v>
      </c>
      <c r="AZ139" s="12">
        <v>21848.74</v>
      </c>
      <c r="BA139" s="12">
        <v>4738</v>
      </c>
      <c r="BB139" s="12"/>
      <c r="BC139" s="12"/>
      <c r="BD139" s="12"/>
      <c r="BE139" s="12"/>
      <c r="BF139" s="12">
        <v>389</v>
      </c>
      <c r="BG139" s="12">
        <v>1</v>
      </c>
      <c r="BH139" s="12">
        <v>2.5706940874035988E-3</v>
      </c>
      <c r="BI139" s="12">
        <v>45</v>
      </c>
      <c r="BJ139" s="12">
        <v>0</v>
      </c>
      <c r="BK139" s="12">
        <v>0</v>
      </c>
      <c r="BL139" s="12">
        <v>26</v>
      </c>
      <c r="BM139" s="12">
        <v>0</v>
      </c>
      <c r="BN139" s="12">
        <v>0</v>
      </c>
      <c r="BO139" s="12">
        <v>24</v>
      </c>
      <c r="BP139" s="12">
        <v>0</v>
      </c>
      <c r="BQ139" s="12">
        <v>0</v>
      </c>
      <c r="BR139" s="12">
        <v>65</v>
      </c>
      <c r="BS139" s="12">
        <v>4</v>
      </c>
      <c r="BT139" s="12">
        <v>6.1538461538461542E-2</v>
      </c>
      <c r="BU139" s="12">
        <v>549</v>
      </c>
      <c r="BV139" s="12">
        <v>5</v>
      </c>
      <c r="BW139" s="12">
        <v>9.1074681238615673E-3</v>
      </c>
      <c r="BX139" s="12"/>
      <c r="BY139" s="12"/>
      <c r="BZ139" s="12"/>
      <c r="CA139" s="12">
        <v>54186.32</v>
      </c>
      <c r="CB139" s="13"/>
      <c r="CC139" s="13"/>
      <c r="CD139" s="13"/>
      <c r="CE139" s="12">
        <v>3373</v>
      </c>
      <c r="CF139" s="12">
        <v>433</v>
      </c>
      <c r="CG139" s="13">
        <v>48282</v>
      </c>
      <c r="CH139" s="13">
        <v>90</v>
      </c>
      <c r="CI139" s="13">
        <v>17023</v>
      </c>
    </row>
    <row r="140" spans="2:87" x14ac:dyDescent="0.2">
      <c r="B140" s="5">
        <v>45913</v>
      </c>
      <c r="C140" s="12">
        <v>86</v>
      </c>
      <c r="D140" s="12">
        <v>1.8</v>
      </c>
      <c r="E140" s="12">
        <v>92255.619000000006</v>
      </c>
      <c r="F140" s="12">
        <v>-9</v>
      </c>
      <c r="G140" s="12">
        <v>8086084.0899999999</v>
      </c>
      <c r="H140" s="12">
        <v>-4201.68</v>
      </c>
      <c r="I140" s="12">
        <v>-185462.18</v>
      </c>
      <c r="J140" s="12">
        <v>7896420.2300000004</v>
      </c>
      <c r="K140" s="12">
        <v>111000</v>
      </c>
      <c r="L140" s="12">
        <v>0</v>
      </c>
      <c r="M140" s="12">
        <v>1453579.77</v>
      </c>
      <c r="N140" s="12">
        <v>9461000</v>
      </c>
      <c r="O140" s="12">
        <v>100000</v>
      </c>
      <c r="P140" s="12">
        <v>7796420.2300000004</v>
      </c>
      <c r="Q140" s="12">
        <v>2276328</v>
      </c>
      <c r="R140" s="12">
        <v>5520092.2300000004</v>
      </c>
      <c r="S140" s="12">
        <v>0</v>
      </c>
      <c r="T140" s="12">
        <v>148</v>
      </c>
      <c r="U140" s="12">
        <v>0</v>
      </c>
      <c r="V140" s="12">
        <v>0</v>
      </c>
      <c r="W140" s="35">
        <v>46144.261731053244</v>
      </c>
      <c r="X140" s="12">
        <v>12</v>
      </c>
      <c r="Y140" s="12">
        <v>13</v>
      </c>
      <c r="Z140" s="12">
        <v>1073411.76</v>
      </c>
      <c r="AA140" s="12">
        <v>82570.134999999995</v>
      </c>
      <c r="AB140" s="12">
        <v>337394</v>
      </c>
      <c r="AC140" s="12">
        <v>736017.76</v>
      </c>
      <c r="AD140" s="12">
        <v>66</v>
      </c>
      <c r="AE140" s="12">
        <v>66</v>
      </c>
      <c r="AF140" s="12">
        <v>6100319.3799999999</v>
      </c>
      <c r="AG140" s="12">
        <v>92998.217999999993</v>
      </c>
      <c r="AH140" s="12">
        <v>1781831</v>
      </c>
      <c r="AI140" s="12">
        <v>4218488.38</v>
      </c>
      <c r="AJ140" s="12">
        <v>1</v>
      </c>
      <c r="AK140" s="12">
        <v>7</v>
      </c>
      <c r="AL140" s="12">
        <v>722689.09</v>
      </c>
      <c r="AM140" s="12">
        <v>103241.298</v>
      </c>
      <c r="AN140" s="12">
        <v>157103</v>
      </c>
      <c r="AO140" s="12">
        <v>565586.09</v>
      </c>
      <c r="AP140" s="12">
        <v>155462.18</v>
      </c>
      <c r="AQ140" s="12">
        <v>1</v>
      </c>
      <c r="AR140" s="12">
        <v>155462.18</v>
      </c>
      <c r="AS140" s="12">
        <v>60581</v>
      </c>
      <c r="AT140" s="12">
        <v>1375411.76</v>
      </c>
      <c r="AU140" s="12">
        <v>15</v>
      </c>
      <c r="AV140" s="12">
        <v>91694.116999999998</v>
      </c>
      <c r="AW140" s="12">
        <v>528319</v>
      </c>
      <c r="AX140" s="12">
        <v>42016.81</v>
      </c>
      <c r="AY140" s="12">
        <v>1</v>
      </c>
      <c r="AZ140" s="12">
        <v>42016.81</v>
      </c>
      <c r="BA140" s="12">
        <v>11740</v>
      </c>
      <c r="BB140" s="12"/>
      <c r="BC140" s="12"/>
      <c r="BD140" s="12"/>
      <c r="BE140" s="12"/>
      <c r="BF140" s="12">
        <v>433</v>
      </c>
      <c r="BG140" s="12">
        <v>0</v>
      </c>
      <c r="BH140" s="12">
        <v>0</v>
      </c>
      <c r="BI140" s="12">
        <v>40</v>
      </c>
      <c r="BJ140" s="12">
        <v>0</v>
      </c>
      <c r="BK140" s="12">
        <v>0</v>
      </c>
      <c r="BL140" s="12">
        <v>24</v>
      </c>
      <c r="BM140" s="12">
        <v>0</v>
      </c>
      <c r="BN140" s="12">
        <v>0</v>
      </c>
      <c r="BO140" s="12">
        <v>17</v>
      </c>
      <c r="BP140" s="12">
        <v>0</v>
      </c>
      <c r="BQ140" s="12">
        <v>0</v>
      </c>
      <c r="BR140" s="12">
        <v>66</v>
      </c>
      <c r="BS140" s="12">
        <v>1</v>
      </c>
      <c r="BT140" s="12">
        <v>1.5151515151515152E-2</v>
      </c>
      <c r="BU140" s="12">
        <v>580</v>
      </c>
      <c r="BV140" s="12">
        <v>1</v>
      </c>
      <c r="BW140" s="12">
        <v>1.7241379310344827E-3</v>
      </c>
      <c r="BX140" s="12"/>
      <c r="BY140" s="12"/>
      <c r="BZ140" s="12"/>
      <c r="CA140" s="12">
        <v>48763.72</v>
      </c>
      <c r="CB140" s="13"/>
      <c r="CC140" s="13"/>
      <c r="CD140" s="13"/>
      <c r="CE140" s="12">
        <v>3043</v>
      </c>
      <c r="CF140" s="12">
        <v>435</v>
      </c>
      <c r="CG140" s="13">
        <v>48957</v>
      </c>
      <c r="CH140" s="13">
        <v>80</v>
      </c>
      <c r="CI140" s="13">
        <v>17508</v>
      </c>
    </row>
    <row r="141" spans="2:87" x14ac:dyDescent="0.2">
      <c r="B141" s="5">
        <v>45914</v>
      </c>
      <c r="C141" s="12">
        <v>78</v>
      </c>
      <c r="D141" s="12">
        <v>2</v>
      </c>
      <c r="E141" s="12">
        <v>106609.567</v>
      </c>
      <c r="F141" s="12">
        <v>0</v>
      </c>
      <c r="G141" s="12">
        <v>8319747.9800000004</v>
      </c>
      <c r="H141" s="12">
        <v>-4201.68</v>
      </c>
      <c r="I141" s="12">
        <v>0</v>
      </c>
      <c r="J141" s="12">
        <v>8315546.2999999998</v>
      </c>
      <c r="K141" s="12">
        <v>56000</v>
      </c>
      <c r="L141" s="12">
        <v>0</v>
      </c>
      <c r="M141" s="12">
        <v>1579953.7</v>
      </c>
      <c r="N141" s="12">
        <v>9951500</v>
      </c>
      <c r="O141" s="12">
        <v>15126.06</v>
      </c>
      <c r="P141" s="12">
        <v>8300420.2400000002</v>
      </c>
      <c r="Q141" s="12">
        <v>1995286</v>
      </c>
      <c r="R141" s="12">
        <v>6305134.2400000002</v>
      </c>
      <c r="S141" s="12">
        <v>0</v>
      </c>
      <c r="T141" s="12">
        <v>155</v>
      </c>
      <c r="U141" s="12">
        <v>0</v>
      </c>
      <c r="V141" s="12">
        <v>0</v>
      </c>
      <c r="W141" s="35">
        <v>46144.261731053244</v>
      </c>
      <c r="X141" s="12">
        <v>12</v>
      </c>
      <c r="Y141" s="12">
        <v>12</v>
      </c>
      <c r="Z141" s="12">
        <v>800840.33</v>
      </c>
      <c r="AA141" s="12">
        <v>66736.694000000003</v>
      </c>
      <c r="AB141" s="12">
        <v>215570</v>
      </c>
      <c r="AC141" s="12">
        <v>577707.30000000005</v>
      </c>
      <c r="AD141" s="12">
        <v>62</v>
      </c>
      <c r="AE141" s="12">
        <v>62</v>
      </c>
      <c r="AF141" s="12">
        <v>7245798.4000000004</v>
      </c>
      <c r="AG141" s="12">
        <v>116867.716</v>
      </c>
      <c r="AH141" s="12">
        <v>1708776</v>
      </c>
      <c r="AI141" s="12">
        <v>5529459.3700000001</v>
      </c>
      <c r="AJ141" s="12">
        <v>1</v>
      </c>
      <c r="AK141" s="12">
        <v>4</v>
      </c>
      <c r="AL141" s="12">
        <v>268907.57</v>
      </c>
      <c r="AM141" s="12">
        <v>67226.892000000007</v>
      </c>
      <c r="AN141" s="12">
        <v>70940</v>
      </c>
      <c r="AO141" s="12">
        <v>197967.57</v>
      </c>
      <c r="AP141" s="12">
        <v>651260.51</v>
      </c>
      <c r="AQ141" s="12">
        <v>4</v>
      </c>
      <c r="AR141" s="12">
        <v>162815.12700000001</v>
      </c>
      <c r="AS141" s="12">
        <v>172761</v>
      </c>
      <c r="AT141" s="12">
        <v>472689.08</v>
      </c>
      <c r="AU141" s="12">
        <v>6</v>
      </c>
      <c r="AV141" s="12">
        <v>78781.513000000006</v>
      </c>
      <c r="AW141" s="12">
        <v>117432</v>
      </c>
      <c r="AX141" s="12">
        <v>46218.49</v>
      </c>
      <c r="AY141" s="12">
        <v>1</v>
      </c>
      <c r="AZ141" s="12">
        <v>46218.49</v>
      </c>
      <c r="BA141" s="12">
        <v>9739</v>
      </c>
      <c r="BB141" s="12"/>
      <c r="BC141" s="12"/>
      <c r="BD141" s="12"/>
      <c r="BE141" s="12"/>
      <c r="BF141" s="12">
        <v>584</v>
      </c>
      <c r="BG141" s="12">
        <v>3</v>
      </c>
      <c r="BH141" s="12">
        <v>5.1369863013698627E-3</v>
      </c>
      <c r="BI141" s="12">
        <v>60</v>
      </c>
      <c r="BJ141" s="12">
        <v>0</v>
      </c>
      <c r="BK141" s="12">
        <v>0</v>
      </c>
      <c r="BL141" s="12">
        <v>30</v>
      </c>
      <c r="BM141" s="12">
        <v>1</v>
      </c>
      <c r="BN141" s="12">
        <v>3.3333333333333333E-2</v>
      </c>
      <c r="BO141" s="12">
        <v>40</v>
      </c>
      <c r="BP141" s="12">
        <v>0</v>
      </c>
      <c r="BQ141" s="12">
        <v>0</v>
      </c>
      <c r="BR141" s="12">
        <v>52</v>
      </c>
      <c r="BS141" s="12">
        <v>2</v>
      </c>
      <c r="BT141" s="12">
        <v>3.8461538461538464E-2</v>
      </c>
      <c r="BU141" s="12">
        <v>766</v>
      </c>
      <c r="BV141" s="12">
        <v>6</v>
      </c>
      <c r="BW141" s="12">
        <v>7.832898172323759E-3</v>
      </c>
      <c r="BX141" s="12"/>
      <c r="BY141" s="12"/>
      <c r="BZ141" s="12"/>
      <c r="CA141" s="12">
        <v>60043.97</v>
      </c>
      <c r="CB141" s="13"/>
      <c r="CC141" s="13"/>
      <c r="CD141" s="13"/>
      <c r="CE141" s="12">
        <v>4799</v>
      </c>
      <c r="CF141" s="12">
        <v>598</v>
      </c>
      <c r="CG141" s="13">
        <v>55772</v>
      </c>
      <c r="CH141" s="13">
        <v>102</v>
      </c>
      <c r="CI141" s="13">
        <v>19452</v>
      </c>
    </row>
    <row r="142" spans="2:87" x14ac:dyDescent="0.2">
      <c r="B142" s="5">
        <v>45915</v>
      </c>
      <c r="C142" s="12">
        <v>12</v>
      </c>
      <c r="D142" s="12">
        <v>2</v>
      </c>
      <c r="E142" s="12">
        <v>114145.658</v>
      </c>
      <c r="F142" s="12">
        <v>-3</v>
      </c>
      <c r="G142" s="12">
        <v>1524747.9</v>
      </c>
      <c r="H142" s="12">
        <v>-155000</v>
      </c>
      <c r="I142" s="12">
        <v>-1554.63</v>
      </c>
      <c r="J142" s="12">
        <v>1368193.27</v>
      </c>
      <c r="K142" s="12">
        <v>27000</v>
      </c>
      <c r="L142" s="12">
        <v>0</v>
      </c>
      <c r="M142" s="12">
        <v>243806.73</v>
      </c>
      <c r="N142" s="12">
        <v>1639000</v>
      </c>
      <c r="O142" s="12">
        <v>68907.55</v>
      </c>
      <c r="P142" s="12">
        <v>1214285.72</v>
      </c>
      <c r="Q142" s="12">
        <v>362489</v>
      </c>
      <c r="R142" s="12">
        <v>851796.72</v>
      </c>
      <c r="S142" s="12">
        <v>0</v>
      </c>
      <c r="T142" s="12">
        <v>21</v>
      </c>
      <c r="U142" s="12">
        <v>0</v>
      </c>
      <c r="V142" s="12">
        <v>0</v>
      </c>
      <c r="W142" s="35">
        <v>46144.261731053244</v>
      </c>
      <c r="X142" s="12">
        <v>2</v>
      </c>
      <c r="Y142" s="12">
        <v>2</v>
      </c>
      <c r="Z142" s="12">
        <v>378991.59</v>
      </c>
      <c r="AA142" s="12">
        <v>193277.31</v>
      </c>
      <c r="AB142" s="12">
        <v>72525</v>
      </c>
      <c r="AC142" s="12">
        <v>229996.01</v>
      </c>
      <c r="AD142" s="12">
        <v>9</v>
      </c>
      <c r="AE142" s="12">
        <v>9</v>
      </c>
      <c r="AF142" s="12">
        <v>942983.19</v>
      </c>
      <c r="AG142" s="12">
        <v>104108.31</v>
      </c>
      <c r="AH142" s="12">
        <v>280109</v>
      </c>
      <c r="AI142" s="12">
        <v>585437.22</v>
      </c>
      <c r="AJ142" s="12">
        <v>1</v>
      </c>
      <c r="AK142" s="12">
        <v>1</v>
      </c>
      <c r="AL142" s="12">
        <v>46218.49</v>
      </c>
      <c r="AM142" s="12">
        <v>46218.49</v>
      </c>
      <c r="AN142" s="12">
        <v>9855</v>
      </c>
      <c r="AO142" s="12">
        <v>36363.49</v>
      </c>
      <c r="AP142" s="12">
        <v>248865.54</v>
      </c>
      <c r="AQ142" s="12">
        <v>3</v>
      </c>
      <c r="AR142" s="12">
        <v>78431.37</v>
      </c>
      <c r="AS142" s="12">
        <v>42507</v>
      </c>
      <c r="AT142" s="12">
        <v>1008403.37</v>
      </c>
      <c r="AU142" s="12">
        <v>7</v>
      </c>
      <c r="AV142" s="12">
        <v>144057.62400000001</v>
      </c>
      <c r="AW142" s="12">
        <v>290452</v>
      </c>
      <c r="AX142" s="12">
        <v>46218.49</v>
      </c>
      <c r="AY142" s="12">
        <v>1</v>
      </c>
      <c r="AZ142" s="12">
        <v>46218.49</v>
      </c>
      <c r="BA142" s="12">
        <v>9855</v>
      </c>
      <c r="BB142" s="12"/>
      <c r="BC142" s="12"/>
      <c r="BD142" s="12"/>
      <c r="BE142" s="12"/>
      <c r="BF142" s="12">
        <v>459</v>
      </c>
      <c r="BG142" s="12">
        <v>0</v>
      </c>
      <c r="BH142" s="12">
        <v>0</v>
      </c>
      <c r="BI142" s="12">
        <v>58</v>
      </c>
      <c r="BJ142" s="12">
        <v>1</v>
      </c>
      <c r="BK142" s="12">
        <v>1.7241379310344827E-2</v>
      </c>
      <c r="BL142" s="12">
        <v>29</v>
      </c>
      <c r="BM142" s="12">
        <v>0</v>
      </c>
      <c r="BN142" s="12">
        <v>0</v>
      </c>
      <c r="BO142" s="12">
        <v>26</v>
      </c>
      <c r="BP142" s="12">
        <v>0</v>
      </c>
      <c r="BQ142" s="12">
        <v>0</v>
      </c>
      <c r="BR142" s="12">
        <v>118</v>
      </c>
      <c r="BS142" s="12">
        <v>1</v>
      </c>
      <c r="BT142" s="12">
        <v>8.4745762711864406E-3</v>
      </c>
      <c r="BU142" s="12">
        <v>690</v>
      </c>
      <c r="BV142" s="12">
        <v>2</v>
      </c>
      <c r="BW142" s="12">
        <v>2.8985507246376812E-3</v>
      </c>
      <c r="BX142" s="12"/>
      <c r="BY142" s="12"/>
      <c r="BZ142" s="12"/>
      <c r="CA142" s="12">
        <v>52936.09</v>
      </c>
      <c r="CB142" s="13"/>
      <c r="CC142" s="13"/>
      <c r="CD142" s="13"/>
      <c r="CE142" s="12">
        <v>3080</v>
      </c>
      <c r="CF142" s="12">
        <v>494</v>
      </c>
      <c r="CG142" s="13">
        <v>49358</v>
      </c>
      <c r="CH142" s="13">
        <v>75</v>
      </c>
      <c r="CI142" s="13">
        <v>16424</v>
      </c>
    </row>
    <row r="143" spans="2:87" x14ac:dyDescent="0.2">
      <c r="B143" s="5">
        <v>45916</v>
      </c>
      <c r="C143" s="12">
        <v>24</v>
      </c>
      <c r="D143" s="12">
        <v>2</v>
      </c>
      <c r="E143" s="12">
        <v>114033.96400000001</v>
      </c>
      <c r="F143" s="12">
        <v>-1</v>
      </c>
      <c r="G143" s="12">
        <v>2816647.07</v>
      </c>
      <c r="H143" s="12">
        <v>0</v>
      </c>
      <c r="I143" s="12">
        <v>-79831.929999999993</v>
      </c>
      <c r="J143" s="12">
        <v>2736815.14</v>
      </c>
      <c r="K143" s="12">
        <v>128500</v>
      </c>
      <c r="L143" s="12">
        <v>0</v>
      </c>
      <c r="M143" s="12">
        <v>510684.86</v>
      </c>
      <c r="N143" s="12">
        <v>3376000</v>
      </c>
      <c r="O143" s="12">
        <v>4621.8500000000004</v>
      </c>
      <c r="P143" s="12">
        <v>2732193.29</v>
      </c>
      <c r="Q143" s="12">
        <v>831684</v>
      </c>
      <c r="R143" s="12">
        <v>1900509.29</v>
      </c>
      <c r="S143" s="12">
        <v>0</v>
      </c>
      <c r="T143" s="12">
        <v>48</v>
      </c>
      <c r="U143" s="12">
        <v>0</v>
      </c>
      <c r="V143" s="12">
        <v>0</v>
      </c>
      <c r="W143" s="35">
        <v>46144.261731053244</v>
      </c>
      <c r="X143" s="12">
        <v>5</v>
      </c>
      <c r="Y143" s="12">
        <v>8</v>
      </c>
      <c r="Z143" s="12">
        <v>1013865.57</v>
      </c>
      <c r="AA143" s="12">
        <v>126733.196</v>
      </c>
      <c r="AB143" s="12">
        <v>306642</v>
      </c>
      <c r="AC143" s="12">
        <v>702601.72</v>
      </c>
      <c r="AD143" s="12">
        <v>16</v>
      </c>
      <c r="AE143" s="12">
        <v>16</v>
      </c>
      <c r="AF143" s="12">
        <v>1722949.57</v>
      </c>
      <c r="AG143" s="12">
        <v>107684.348</v>
      </c>
      <c r="AH143" s="12">
        <v>525042</v>
      </c>
      <c r="AI143" s="12">
        <v>1197907.57</v>
      </c>
      <c r="AJ143" s="12"/>
      <c r="AK143" s="12"/>
      <c r="AL143" s="12"/>
      <c r="AM143" s="12"/>
      <c r="AN143" s="12"/>
      <c r="AO143" s="12"/>
      <c r="AP143" s="12">
        <v>1121848.74</v>
      </c>
      <c r="AQ143" s="12">
        <v>8</v>
      </c>
      <c r="AR143" s="12">
        <v>140231.092</v>
      </c>
      <c r="AS143" s="12">
        <v>346803</v>
      </c>
      <c r="AT143" s="12">
        <v>1614966.4</v>
      </c>
      <c r="AU143" s="12">
        <v>16</v>
      </c>
      <c r="AV143" s="12">
        <v>100935.4</v>
      </c>
      <c r="AW143" s="12">
        <v>484881</v>
      </c>
      <c r="AX143" s="12"/>
      <c r="AY143" s="12"/>
      <c r="AZ143" s="12"/>
      <c r="BA143" s="12"/>
      <c r="BB143" s="12"/>
      <c r="BC143" s="12"/>
      <c r="BD143" s="12"/>
      <c r="BE143" s="12"/>
      <c r="BF143" s="12">
        <v>362</v>
      </c>
      <c r="BG143" s="12">
        <v>1</v>
      </c>
      <c r="BH143" s="12">
        <v>2.7624309392265192E-3</v>
      </c>
      <c r="BI143" s="12">
        <v>34</v>
      </c>
      <c r="BJ143" s="12">
        <v>0</v>
      </c>
      <c r="BK143" s="12">
        <v>0</v>
      </c>
      <c r="BL143" s="12">
        <v>51</v>
      </c>
      <c r="BM143" s="12">
        <v>4</v>
      </c>
      <c r="BN143" s="12">
        <v>7.8431372549019607E-2</v>
      </c>
      <c r="BO143" s="12">
        <v>9</v>
      </c>
      <c r="BP143" s="12">
        <v>0</v>
      </c>
      <c r="BQ143" s="12">
        <v>0</v>
      </c>
      <c r="BR143" s="12">
        <v>93</v>
      </c>
      <c r="BS143" s="12">
        <v>3</v>
      </c>
      <c r="BT143" s="12">
        <v>3.2258064516129031E-2</v>
      </c>
      <c r="BU143" s="12">
        <v>549</v>
      </c>
      <c r="BV143" s="12">
        <v>8</v>
      </c>
      <c r="BW143" s="12">
        <v>1.4571948998178506E-2</v>
      </c>
      <c r="BX143" s="12"/>
      <c r="BY143" s="12"/>
      <c r="BZ143" s="12"/>
      <c r="CA143" s="12">
        <v>49591.55</v>
      </c>
      <c r="CB143" s="13"/>
      <c r="CC143" s="13"/>
      <c r="CD143" s="13"/>
      <c r="CE143" s="12">
        <v>2300</v>
      </c>
      <c r="CF143" s="12">
        <v>397</v>
      </c>
      <c r="CG143" s="13">
        <v>52334</v>
      </c>
      <c r="CH143" s="13">
        <v>78</v>
      </c>
      <c r="CI143" s="13">
        <v>16725</v>
      </c>
    </row>
    <row r="144" spans="2:87" x14ac:dyDescent="0.2">
      <c r="B144" s="5">
        <v>45917</v>
      </c>
      <c r="C144" s="12">
        <v>7</v>
      </c>
      <c r="D144" s="12">
        <v>2.9</v>
      </c>
      <c r="E144" s="12">
        <v>103481.39200000001</v>
      </c>
      <c r="F144" s="12">
        <v>0</v>
      </c>
      <c r="G144" s="12">
        <v>1035294.12</v>
      </c>
      <c r="H144" s="12">
        <v>0</v>
      </c>
      <c r="I144" s="12">
        <v>0</v>
      </c>
      <c r="J144" s="12">
        <v>1035294.12</v>
      </c>
      <c r="K144" s="12">
        <v>41500</v>
      </c>
      <c r="L144" s="12">
        <v>0</v>
      </c>
      <c r="M144" s="12">
        <v>196705.88</v>
      </c>
      <c r="N144" s="12">
        <v>1273500</v>
      </c>
      <c r="O144" s="12">
        <v>0</v>
      </c>
      <c r="P144" s="12">
        <v>1035294.12</v>
      </c>
      <c r="Q144" s="12">
        <v>319680</v>
      </c>
      <c r="R144" s="12">
        <v>715614.12</v>
      </c>
      <c r="S144" s="12">
        <v>100000</v>
      </c>
      <c r="T144" s="12">
        <v>26</v>
      </c>
      <c r="U144" s="12">
        <v>0</v>
      </c>
      <c r="V144" s="12">
        <v>100000</v>
      </c>
      <c r="W144" s="35">
        <v>46144.261731053244</v>
      </c>
      <c r="X144" s="12">
        <v>2</v>
      </c>
      <c r="Y144" s="12">
        <v>2</v>
      </c>
      <c r="Z144" s="12">
        <v>149579.82999999999</v>
      </c>
      <c r="AA144" s="12">
        <v>74789.914999999994</v>
      </c>
      <c r="AB144" s="12">
        <v>32640</v>
      </c>
      <c r="AC144" s="12">
        <v>116939.83</v>
      </c>
      <c r="AD144" s="12">
        <v>5</v>
      </c>
      <c r="AE144" s="12">
        <v>5</v>
      </c>
      <c r="AF144" s="12">
        <v>885714.29</v>
      </c>
      <c r="AG144" s="12">
        <v>114957.984</v>
      </c>
      <c r="AH144" s="12">
        <v>287040</v>
      </c>
      <c r="AI144" s="12">
        <v>598674.29</v>
      </c>
      <c r="AJ144" s="12">
        <v>0</v>
      </c>
      <c r="AK144" s="12">
        <v>0</v>
      </c>
      <c r="AL144" s="12">
        <v>0</v>
      </c>
      <c r="AM144" s="12"/>
      <c r="AN144" s="12">
        <v>0</v>
      </c>
      <c r="AO144" s="12">
        <v>0</v>
      </c>
      <c r="AP144" s="12">
        <v>109243.7</v>
      </c>
      <c r="AQ144" s="12">
        <v>1</v>
      </c>
      <c r="AR144" s="12">
        <v>109243.7</v>
      </c>
      <c r="AS144" s="12">
        <v>25570</v>
      </c>
      <c r="AT144" s="12">
        <v>833613.45</v>
      </c>
      <c r="AU144" s="12">
        <v>5</v>
      </c>
      <c r="AV144" s="12">
        <v>104537.81600000001</v>
      </c>
      <c r="AW144" s="12">
        <v>274400</v>
      </c>
      <c r="AX144" s="12">
        <v>92436.97</v>
      </c>
      <c r="AY144" s="12">
        <v>1</v>
      </c>
      <c r="AZ144" s="12">
        <v>92436.97</v>
      </c>
      <c r="BA144" s="12">
        <v>19710</v>
      </c>
      <c r="BB144" s="12"/>
      <c r="BC144" s="12"/>
      <c r="BD144" s="12"/>
      <c r="BE144" s="12"/>
      <c r="BF144" s="12">
        <v>311</v>
      </c>
      <c r="BG144" s="12">
        <v>1</v>
      </c>
      <c r="BH144" s="12">
        <v>3.2154340836012861E-3</v>
      </c>
      <c r="BI144" s="12">
        <v>36</v>
      </c>
      <c r="BJ144" s="12">
        <v>0</v>
      </c>
      <c r="BK144" s="12">
        <v>0</v>
      </c>
      <c r="BL144" s="12">
        <v>32</v>
      </c>
      <c r="BM144" s="12">
        <v>0</v>
      </c>
      <c r="BN144" s="12">
        <v>0</v>
      </c>
      <c r="BO144" s="12">
        <v>13</v>
      </c>
      <c r="BP144" s="12">
        <v>0</v>
      </c>
      <c r="BQ144" s="12">
        <v>0</v>
      </c>
      <c r="BR144" s="12">
        <v>82</v>
      </c>
      <c r="BS144" s="12">
        <v>1</v>
      </c>
      <c r="BT144" s="12">
        <v>1.2195121951219513E-2</v>
      </c>
      <c r="BU144" s="12">
        <v>474</v>
      </c>
      <c r="BV144" s="12">
        <v>2</v>
      </c>
      <c r="BW144" s="12">
        <v>4.2194092827004216E-3</v>
      </c>
      <c r="BX144" s="12"/>
      <c r="BY144" s="12"/>
      <c r="BZ144" s="12"/>
      <c r="CA144" s="12">
        <v>40083.760000000002</v>
      </c>
      <c r="CB144" s="13"/>
      <c r="CC144" s="13"/>
      <c r="CD144" s="13"/>
      <c r="CE144" s="12">
        <v>2773</v>
      </c>
      <c r="CF144" s="12">
        <v>331</v>
      </c>
      <c r="CG144" s="13">
        <v>47777</v>
      </c>
      <c r="CH144" s="13">
        <v>84</v>
      </c>
      <c r="CI144" s="13">
        <v>16327</v>
      </c>
    </row>
    <row r="145" spans="2:87" x14ac:dyDescent="0.2">
      <c r="B145" s="5">
        <v>45918</v>
      </c>
      <c r="C145" s="12">
        <v>20</v>
      </c>
      <c r="D145" s="12">
        <v>3</v>
      </c>
      <c r="E145" s="12">
        <v>152521.42800000001</v>
      </c>
      <c r="F145" s="12">
        <v>0</v>
      </c>
      <c r="G145" s="12">
        <v>3159672.26</v>
      </c>
      <c r="H145" s="12">
        <v>-25210.080000000002</v>
      </c>
      <c r="I145" s="12">
        <v>0</v>
      </c>
      <c r="J145" s="12">
        <v>3134462.18</v>
      </c>
      <c r="K145" s="12">
        <v>147500</v>
      </c>
      <c r="L145" s="12">
        <v>0</v>
      </c>
      <c r="M145" s="12">
        <v>590037.81999999995</v>
      </c>
      <c r="N145" s="12">
        <v>3872000</v>
      </c>
      <c r="O145" s="12">
        <v>277310.92</v>
      </c>
      <c r="P145" s="12">
        <v>2857151.26</v>
      </c>
      <c r="Q145" s="12">
        <v>876654</v>
      </c>
      <c r="R145" s="12">
        <v>1980497.26</v>
      </c>
      <c r="S145" s="12">
        <v>0</v>
      </c>
      <c r="T145" s="12">
        <v>62</v>
      </c>
      <c r="U145" s="12">
        <v>0</v>
      </c>
      <c r="V145" s="12">
        <v>0</v>
      </c>
      <c r="W145" s="35">
        <v>46144.261731053244</v>
      </c>
      <c r="X145" s="12">
        <v>11</v>
      </c>
      <c r="Y145" s="12">
        <v>13</v>
      </c>
      <c r="Z145" s="12">
        <v>2054621.85</v>
      </c>
      <c r="AA145" s="12">
        <v>158047.834</v>
      </c>
      <c r="AB145" s="12">
        <v>631569</v>
      </c>
      <c r="AC145" s="12">
        <v>1423052.85</v>
      </c>
      <c r="AD145" s="12">
        <v>7</v>
      </c>
      <c r="AE145" s="12">
        <v>7</v>
      </c>
      <c r="AF145" s="12">
        <v>1079840.33</v>
      </c>
      <c r="AG145" s="12">
        <v>142258.10200000001</v>
      </c>
      <c r="AH145" s="12">
        <v>245085</v>
      </c>
      <c r="AI145" s="12">
        <v>557444.41</v>
      </c>
      <c r="AJ145" s="12"/>
      <c r="AK145" s="12"/>
      <c r="AL145" s="12"/>
      <c r="AM145" s="12"/>
      <c r="AN145" s="12"/>
      <c r="AO145" s="12"/>
      <c r="AP145" s="12">
        <v>256302.52</v>
      </c>
      <c r="AQ145" s="12">
        <v>3</v>
      </c>
      <c r="AR145" s="12">
        <v>85434.172999999995</v>
      </c>
      <c r="AS145" s="12">
        <v>73213</v>
      </c>
      <c r="AT145" s="12">
        <v>2529420.16</v>
      </c>
      <c r="AU145" s="12">
        <v>15</v>
      </c>
      <c r="AV145" s="12">
        <v>163025.76999999999</v>
      </c>
      <c r="AW145" s="12">
        <v>697037</v>
      </c>
      <c r="AX145" s="12">
        <v>54621.85</v>
      </c>
      <c r="AY145" s="12">
        <v>1</v>
      </c>
      <c r="AZ145" s="12">
        <v>54621.85</v>
      </c>
      <c r="BA145" s="12">
        <v>12099</v>
      </c>
      <c r="BB145" s="12"/>
      <c r="BC145" s="12"/>
      <c r="BD145" s="12"/>
      <c r="BE145" s="12"/>
      <c r="BF145" s="12">
        <v>420</v>
      </c>
      <c r="BG145" s="12">
        <v>1</v>
      </c>
      <c r="BH145" s="12">
        <v>2.3809523809523812E-3</v>
      </c>
      <c r="BI145" s="12">
        <v>40</v>
      </c>
      <c r="BJ145" s="12">
        <v>0</v>
      </c>
      <c r="BK145" s="12">
        <v>0</v>
      </c>
      <c r="BL145" s="12">
        <v>36</v>
      </c>
      <c r="BM145" s="12">
        <v>0</v>
      </c>
      <c r="BN145" s="12">
        <v>0</v>
      </c>
      <c r="BO145" s="12">
        <v>11</v>
      </c>
      <c r="BP145" s="12">
        <v>0</v>
      </c>
      <c r="BQ145" s="12">
        <v>0</v>
      </c>
      <c r="BR145" s="12">
        <v>188</v>
      </c>
      <c r="BS145" s="12">
        <v>4</v>
      </c>
      <c r="BT145" s="12">
        <v>2.1276595744680851E-2</v>
      </c>
      <c r="BU145" s="12">
        <v>695</v>
      </c>
      <c r="BV145" s="12">
        <v>5</v>
      </c>
      <c r="BW145" s="12">
        <v>7.1942446043165471E-3</v>
      </c>
      <c r="BX145" s="12"/>
      <c r="BY145" s="12"/>
      <c r="BZ145" s="12"/>
      <c r="CA145" s="12">
        <v>59410.720000000001</v>
      </c>
      <c r="CB145" s="13"/>
      <c r="CC145" s="13"/>
      <c r="CD145" s="13"/>
      <c r="CE145" s="12">
        <v>2825</v>
      </c>
      <c r="CF145" s="12">
        <v>420</v>
      </c>
      <c r="CG145" s="13">
        <v>42012</v>
      </c>
      <c r="CH145" s="13">
        <v>76</v>
      </c>
      <c r="CI145" s="13">
        <v>15802</v>
      </c>
    </row>
    <row r="146" spans="2:87" x14ac:dyDescent="0.2">
      <c r="B146" s="5">
        <v>45919</v>
      </c>
      <c r="C146" s="12">
        <v>27</v>
      </c>
      <c r="D146" s="12">
        <v>3</v>
      </c>
      <c r="E146" s="12">
        <v>162558.356</v>
      </c>
      <c r="F146" s="12">
        <v>0</v>
      </c>
      <c r="G146" s="12">
        <v>4422268.8899999997</v>
      </c>
      <c r="H146" s="12">
        <v>-33193.26</v>
      </c>
      <c r="I146" s="12">
        <v>0</v>
      </c>
      <c r="J146" s="12">
        <v>4389075.63</v>
      </c>
      <c r="K146" s="12">
        <v>262000</v>
      </c>
      <c r="L146" s="12">
        <v>0</v>
      </c>
      <c r="M146" s="12">
        <v>833924.37</v>
      </c>
      <c r="N146" s="12">
        <v>5485000</v>
      </c>
      <c r="O146" s="12">
        <v>75630.25</v>
      </c>
      <c r="P146" s="12">
        <v>4313445.38</v>
      </c>
      <c r="Q146" s="12">
        <v>1288865</v>
      </c>
      <c r="R146" s="12">
        <v>3024580.38</v>
      </c>
      <c r="S146" s="12">
        <v>100000</v>
      </c>
      <c r="T146" s="12">
        <v>80</v>
      </c>
      <c r="U146" s="12">
        <v>0</v>
      </c>
      <c r="V146" s="12">
        <v>100000</v>
      </c>
      <c r="W146" s="35">
        <v>46144.261731053244</v>
      </c>
      <c r="X146" s="12">
        <v>8</v>
      </c>
      <c r="Y146" s="12">
        <v>10</v>
      </c>
      <c r="Z146" s="12">
        <v>1641176.47</v>
      </c>
      <c r="AA146" s="12">
        <v>164117.647</v>
      </c>
      <c r="AB146" s="12">
        <v>466270</v>
      </c>
      <c r="AC146" s="12">
        <v>1174906.47</v>
      </c>
      <c r="AD146" s="12">
        <v>17</v>
      </c>
      <c r="AE146" s="12">
        <v>17</v>
      </c>
      <c r="AF146" s="12">
        <v>2747899.16</v>
      </c>
      <c r="AG146" s="12">
        <v>161641.12700000001</v>
      </c>
      <c r="AH146" s="12">
        <v>822595</v>
      </c>
      <c r="AI146" s="12">
        <v>1849673.91</v>
      </c>
      <c r="AJ146" s="12">
        <v>0</v>
      </c>
      <c r="AK146" s="12">
        <v>0</v>
      </c>
      <c r="AL146" s="12">
        <v>0</v>
      </c>
      <c r="AM146" s="12"/>
      <c r="AN146" s="12">
        <v>0</v>
      </c>
      <c r="AO146" s="12">
        <v>0</v>
      </c>
      <c r="AP146" s="12">
        <v>1376890.75</v>
      </c>
      <c r="AQ146" s="12">
        <v>7</v>
      </c>
      <c r="AR146" s="12">
        <v>196698.67800000001</v>
      </c>
      <c r="AS146" s="12">
        <v>420900</v>
      </c>
      <c r="AT146" s="12">
        <v>2717226.89</v>
      </c>
      <c r="AU146" s="12">
        <v>17</v>
      </c>
      <c r="AV146" s="12">
        <v>159836.875</v>
      </c>
      <c r="AW146" s="12">
        <v>797970</v>
      </c>
      <c r="AX146" s="12">
        <v>46218.49</v>
      </c>
      <c r="AY146" s="12">
        <v>1</v>
      </c>
      <c r="AZ146" s="12">
        <v>46218.49</v>
      </c>
      <c r="BA146" s="12">
        <v>9855</v>
      </c>
      <c r="BB146" s="12"/>
      <c r="BC146" s="12"/>
      <c r="BD146" s="12"/>
      <c r="BE146" s="12"/>
      <c r="BF146" s="12">
        <v>265</v>
      </c>
      <c r="BG146" s="12">
        <v>1</v>
      </c>
      <c r="BH146" s="12">
        <v>3.7735849056603774E-3</v>
      </c>
      <c r="BI146" s="12">
        <v>40</v>
      </c>
      <c r="BJ146" s="12">
        <v>0</v>
      </c>
      <c r="BK146" s="12">
        <v>0</v>
      </c>
      <c r="BL146" s="12">
        <v>30</v>
      </c>
      <c r="BM146" s="12">
        <v>2</v>
      </c>
      <c r="BN146" s="12">
        <v>6.6666666666666666E-2</v>
      </c>
      <c r="BO146" s="12">
        <v>9</v>
      </c>
      <c r="BP146" s="12">
        <v>0</v>
      </c>
      <c r="BQ146" s="12">
        <v>0</v>
      </c>
      <c r="BR146" s="12">
        <v>97</v>
      </c>
      <c r="BS146" s="12">
        <v>5</v>
      </c>
      <c r="BT146" s="12">
        <v>5.1546391752577317E-2</v>
      </c>
      <c r="BU146" s="12">
        <v>441</v>
      </c>
      <c r="BV146" s="12">
        <v>8</v>
      </c>
      <c r="BW146" s="12">
        <v>1.8140589569160998E-2</v>
      </c>
      <c r="BX146" s="12"/>
      <c r="BY146" s="12"/>
      <c r="BZ146" s="12"/>
      <c r="CA146" s="12">
        <v>38170.639999999999</v>
      </c>
      <c r="CB146" s="13"/>
      <c r="CC146" s="13"/>
      <c r="CD146" s="13"/>
      <c r="CE146" s="12">
        <v>2042</v>
      </c>
      <c r="CF146" s="12">
        <v>296</v>
      </c>
      <c r="CG146" s="13">
        <v>48960</v>
      </c>
      <c r="CH146" s="13">
        <v>84</v>
      </c>
      <c r="CI146" s="13">
        <v>15698</v>
      </c>
    </row>
    <row r="147" spans="2:87" x14ac:dyDescent="0.2">
      <c r="B147" s="5">
        <v>45920</v>
      </c>
      <c r="C147" s="12">
        <v>21</v>
      </c>
      <c r="D147" s="12">
        <v>3.5</v>
      </c>
      <c r="E147" s="12">
        <v>171470.609</v>
      </c>
      <c r="F147" s="12">
        <v>0</v>
      </c>
      <c r="G147" s="12">
        <v>3667489.37</v>
      </c>
      <c r="H147" s="12">
        <v>-66606.570000000007</v>
      </c>
      <c r="I147" s="12">
        <v>0</v>
      </c>
      <c r="J147" s="12">
        <v>3600882.8</v>
      </c>
      <c r="K147" s="12">
        <v>62500</v>
      </c>
      <c r="L147" s="12">
        <v>0</v>
      </c>
      <c r="M147" s="12">
        <v>609019.19999999995</v>
      </c>
      <c r="N147" s="12">
        <v>4272402</v>
      </c>
      <c r="O147" s="12">
        <v>76052.42</v>
      </c>
      <c r="P147" s="12">
        <v>3524830.38</v>
      </c>
      <c r="Q147" s="12">
        <v>1322546</v>
      </c>
      <c r="R147" s="12">
        <v>2202284.38</v>
      </c>
      <c r="S147" s="12">
        <v>0</v>
      </c>
      <c r="T147" s="12">
        <v>74</v>
      </c>
      <c r="U147" s="12">
        <v>0</v>
      </c>
      <c r="V147" s="12">
        <v>0</v>
      </c>
      <c r="W147" s="35">
        <v>46144.261731053244</v>
      </c>
      <c r="X147" s="12">
        <v>5</v>
      </c>
      <c r="Y147" s="12">
        <v>9</v>
      </c>
      <c r="Z147" s="12">
        <v>1852469.04</v>
      </c>
      <c r="AA147" s="12">
        <v>205829.89300000001</v>
      </c>
      <c r="AB147" s="12">
        <v>712133</v>
      </c>
      <c r="AC147" s="12">
        <v>1068907.47</v>
      </c>
      <c r="AD147" s="12">
        <v>12</v>
      </c>
      <c r="AE147" s="12">
        <v>12</v>
      </c>
      <c r="AF147" s="12">
        <v>1748413.76</v>
      </c>
      <c r="AG147" s="12">
        <v>145701.14600000001</v>
      </c>
      <c r="AH147" s="12">
        <v>610413</v>
      </c>
      <c r="AI147" s="12">
        <v>1133376.9099999999</v>
      </c>
      <c r="AJ147" s="12"/>
      <c r="AK147" s="12"/>
      <c r="AL147" s="12"/>
      <c r="AM147" s="12"/>
      <c r="AN147" s="12"/>
      <c r="AO147" s="12"/>
      <c r="AP147" s="12">
        <v>848741.5</v>
      </c>
      <c r="AQ147" s="12">
        <v>4</v>
      </c>
      <c r="AR147" s="12">
        <v>212185.375</v>
      </c>
      <c r="AS147" s="12">
        <v>259233</v>
      </c>
      <c r="AT147" s="12">
        <v>2521048.87</v>
      </c>
      <c r="AU147" s="12">
        <v>15</v>
      </c>
      <c r="AV147" s="12">
        <v>168069.924</v>
      </c>
      <c r="AW147" s="12">
        <v>1011373</v>
      </c>
      <c r="AX147" s="12">
        <v>138655.46</v>
      </c>
      <c r="AY147" s="12">
        <v>1</v>
      </c>
      <c r="AZ147" s="12">
        <v>138655.46</v>
      </c>
      <c r="BA147" s="12">
        <v>29565</v>
      </c>
      <c r="BB147" s="12"/>
      <c r="BC147" s="12"/>
      <c r="BD147" s="12"/>
      <c r="BE147" s="12"/>
      <c r="BF147" s="12">
        <v>329</v>
      </c>
      <c r="BG147" s="12">
        <v>1</v>
      </c>
      <c r="BH147" s="12">
        <v>3.0395136778115501E-3</v>
      </c>
      <c r="BI147" s="12">
        <v>40</v>
      </c>
      <c r="BJ147" s="12">
        <v>1</v>
      </c>
      <c r="BK147" s="12">
        <v>2.5000000000000001E-2</v>
      </c>
      <c r="BL147" s="12">
        <v>19</v>
      </c>
      <c r="BM147" s="12">
        <v>0</v>
      </c>
      <c r="BN147" s="12">
        <v>0</v>
      </c>
      <c r="BO147" s="12">
        <v>19</v>
      </c>
      <c r="BP147" s="12">
        <v>0</v>
      </c>
      <c r="BQ147" s="12">
        <v>0</v>
      </c>
      <c r="BR147" s="12">
        <v>62</v>
      </c>
      <c r="BS147" s="12">
        <v>3</v>
      </c>
      <c r="BT147" s="12">
        <v>4.8387096774193547E-2</v>
      </c>
      <c r="BU147" s="12">
        <v>469</v>
      </c>
      <c r="BV147" s="12">
        <v>5</v>
      </c>
      <c r="BW147" s="12">
        <v>1.0660980810234541E-2</v>
      </c>
      <c r="BX147" s="12"/>
      <c r="BY147" s="12"/>
      <c r="BZ147" s="12"/>
      <c r="CA147" s="12">
        <v>51515.63</v>
      </c>
      <c r="CB147" s="13"/>
      <c r="CC147" s="13"/>
      <c r="CD147" s="13"/>
      <c r="CE147" s="12">
        <v>2676</v>
      </c>
      <c r="CF147" s="12">
        <v>375</v>
      </c>
      <c r="CG147" s="13">
        <v>53413</v>
      </c>
      <c r="CH147" s="13">
        <v>88</v>
      </c>
      <c r="CI147" s="13">
        <v>15447</v>
      </c>
    </row>
    <row r="148" spans="2:87" x14ac:dyDescent="0.2">
      <c r="B148" s="5">
        <v>45921</v>
      </c>
      <c r="C148" s="12">
        <v>15</v>
      </c>
      <c r="D148" s="12">
        <v>3.3</v>
      </c>
      <c r="E148" s="12">
        <v>118960.784</v>
      </c>
      <c r="F148" s="12">
        <v>-2</v>
      </c>
      <c r="G148" s="12">
        <v>2023907.57</v>
      </c>
      <c r="H148" s="12">
        <v>0</v>
      </c>
      <c r="I148" s="12">
        <v>-126050.42</v>
      </c>
      <c r="J148" s="12">
        <v>1897857.15</v>
      </c>
      <c r="K148" s="12">
        <v>-47000</v>
      </c>
      <c r="L148" s="12">
        <v>0</v>
      </c>
      <c r="M148" s="12">
        <v>350142.85</v>
      </c>
      <c r="N148" s="12">
        <v>2201000</v>
      </c>
      <c r="O148" s="12">
        <v>81050.42</v>
      </c>
      <c r="P148" s="12">
        <v>1816806.73</v>
      </c>
      <c r="Q148" s="12">
        <v>640243</v>
      </c>
      <c r="R148" s="12">
        <v>1176563.73</v>
      </c>
      <c r="S148" s="12">
        <v>0</v>
      </c>
      <c r="T148" s="12">
        <v>51</v>
      </c>
      <c r="U148" s="12">
        <v>0</v>
      </c>
      <c r="V148" s="12">
        <v>0</v>
      </c>
      <c r="W148" s="35">
        <v>46144.261731053244</v>
      </c>
      <c r="X148" s="12">
        <v>6</v>
      </c>
      <c r="Y148" s="12">
        <v>7</v>
      </c>
      <c r="Z148" s="12">
        <v>723067.24</v>
      </c>
      <c r="AA148" s="12">
        <v>97292.918000000005</v>
      </c>
      <c r="AB148" s="12">
        <v>261917</v>
      </c>
      <c r="AC148" s="12">
        <v>472956.96</v>
      </c>
      <c r="AD148" s="12">
        <v>8</v>
      </c>
      <c r="AE148" s="12">
        <v>8</v>
      </c>
      <c r="AF148" s="12">
        <v>1174789.9099999999</v>
      </c>
      <c r="AG148" s="12">
        <v>137920.16699999999</v>
      </c>
      <c r="AH148" s="12">
        <v>378326</v>
      </c>
      <c r="AI148" s="12">
        <v>703606.77</v>
      </c>
      <c r="AJ148" s="12"/>
      <c r="AK148" s="12"/>
      <c r="AL148" s="12"/>
      <c r="AM148" s="12"/>
      <c r="AN148" s="12"/>
      <c r="AO148" s="12"/>
      <c r="AP148" s="12">
        <v>781512.61</v>
      </c>
      <c r="AQ148" s="12">
        <v>4</v>
      </c>
      <c r="AR148" s="12">
        <v>195378.152</v>
      </c>
      <c r="AS148" s="12">
        <v>274857</v>
      </c>
      <c r="AT148" s="12">
        <v>1032310.93</v>
      </c>
      <c r="AU148" s="12">
        <v>10</v>
      </c>
      <c r="AV148" s="12">
        <v>91886.554999999993</v>
      </c>
      <c r="AW148" s="12">
        <v>336244</v>
      </c>
      <c r="AX148" s="12">
        <v>84033.61</v>
      </c>
      <c r="AY148" s="12">
        <v>1</v>
      </c>
      <c r="AZ148" s="12">
        <v>84033.61</v>
      </c>
      <c r="BA148" s="12">
        <v>29142</v>
      </c>
      <c r="BB148" s="12"/>
      <c r="BC148" s="12"/>
      <c r="BD148" s="12"/>
      <c r="BE148" s="12"/>
      <c r="BF148" s="12">
        <v>276</v>
      </c>
      <c r="BG148" s="12">
        <v>0</v>
      </c>
      <c r="BH148" s="12">
        <v>0</v>
      </c>
      <c r="BI148" s="12">
        <v>50</v>
      </c>
      <c r="BJ148" s="12">
        <v>0</v>
      </c>
      <c r="BK148" s="12">
        <v>0</v>
      </c>
      <c r="BL148" s="12">
        <v>27</v>
      </c>
      <c r="BM148" s="12">
        <v>0</v>
      </c>
      <c r="BN148" s="12">
        <v>0</v>
      </c>
      <c r="BO148" s="12">
        <v>10</v>
      </c>
      <c r="BP148" s="12">
        <v>0</v>
      </c>
      <c r="BQ148" s="12">
        <v>0</v>
      </c>
      <c r="BR148" s="12">
        <v>69</v>
      </c>
      <c r="BS148" s="12">
        <v>4</v>
      </c>
      <c r="BT148" s="12">
        <v>5.7971014492753624E-2</v>
      </c>
      <c r="BU148" s="12">
        <v>432</v>
      </c>
      <c r="BV148" s="12">
        <v>4</v>
      </c>
      <c r="BW148" s="12">
        <v>9.2592592592592587E-3</v>
      </c>
      <c r="BX148" s="12"/>
      <c r="BY148" s="12"/>
      <c r="BZ148" s="12"/>
      <c r="CA148" s="12">
        <v>35490.959999999999</v>
      </c>
      <c r="CB148" s="13"/>
      <c r="CC148" s="13"/>
      <c r="CD148" s="13"/>
      <c r="CE148" s="12">
        <v>2246</v>
      </c>
      <c r="CF148" s="12">
        <v>279</v>
      </c>
      <c r="CG148" s="13">
        <v>57207</v>
      </c>
      <c r="CH148" s="13">
        <v>111</v>
      </c>
      <c r="CI148" s="13">
        <v>17638</v>
      </c>
    </row>
    <row r="149" spans="2:87" x14ac:dyDescent="0.2">
      <c r="B149" s="5">
        <v>45922</v>
      </c>
      <c r="C149" s="12">
        <v>17</v>
      </c>
      <c r="D149" s="12">
        <v>2.4</v>
      </c>
      <c r="E149" s="12">
        <v>153954.522</v>
      </c>
      <c r="F149" s="12">
        <v>-2</v>
      </c>
      <c r="G149" s="12">
        <v>2802100.8</v>
      </c>
      <c r="H149" s="12">
        <v>-50420.13</v>
      </c>
      <c r="I149" s="12">
        <v>-142857.14000000001</v>
      </c>
      <c r="J149" s="12">
        <v>2608823.5299999998</v>
      </c>
      <c r="K149" s="12">
        <v>80500</v>
      </c>
      <c r="L149" s="12">
        <v>0</v>
      </c>
      <c r="M149" s="12">
        <v>495676.47</v>
      </c>
      <c r="N149" s="12">
        <v>3185000</v>
      </c>
      <c r="O149" s="12">
        <v>-71428.570000000007</v>
      </c>
      <c r="P149" s="12">
        <v>2680252.1</v>
      </c>
      <c r="Q149" s="12">
        <v>925066</v>
      </c>
      <c r="R149" s="12">
        <v>1755186.1</v>
      </c>
      <c r="S149" s="12">
        <v>0</v>
      </c>
      <c r="T149" s="12">
        <v>40</v>
      </c>
      <c r="U149" s="12">
        <v>0</v>
      </c>
      <c r="V149" s="12">
        <v>0</v>
      </c>
      <c r="W149" s="35">
        <v>46144.261731053244</v>
      </c>
      <c r="X149" s="12">
        <v>7</v>
      </c>
      <c r="Y149" s="12">
        <v>7</v>
      </c>
      <c r="Z149" s="12">
        <v>1218487.3999999999</v>
      </c>
      <c r="AA149" s="12">
        <v>174069.628</v>
      </c>
      <c r="AB149" s="12">
        <v>424349</v>
      </c>
      <c r="AC149" s="12">
        <v>794138.4</v>
      </c>
      <c r="AD149" s="12">
        <v>10</v>
      </c>
      <c r="AE149" s="12">
        <v>10</v>
      </c>
      <c r="AF149" s="12">
        <v>1390336.13</v>
      </c>
      <c r="AG149" s="12">
        <v>139873.94899999999</v>
      </c>
      <c r="AH149" s="12">
        <v>500717</v>
      </c>
      <c r="AI149" s="12">
        <v>961047.7</v>
      </c>
      <c r="AJ149" s="12"/>
      <c r="AK149" s="12"/>
      <c r="AL149" s="12"/>
      <c r="AM149" s="12"/>
      <c r="AN149" s="12"/>
      <c r="AO149" s="12"/>
      <c r="AP149" s="12">
        <v>592016.81000000006</v>
      </c>
      <c r="AQ149" s="12">
        <v>6</v>
      </c>
      <c r="AR149" s="12">
        <v>98669.467999999993</v>
      </c>
      <c r="AS149" s="12">
        <v>177704</v>
      </c>
      <c r="AT149" s="12">
        <v>1970588.23</v>
      </c>
      <c r="AU149" s="12">
        <v>10</v>
      </c>
      <c r="AV149" s="12">
        <v>197899.15900000001</v>
      </c>
      <c r="AW149" s="12">
        <v>737507</v>
      </c>
      <c r="AX149" s="12">
        <v>46218.49</v>
      </c>
      <c r="AY149" s="12">
        <v>1</v>
      </c>
      <c r="AZ149" s="12">
        <v>46218.49</v>
      </c>
      <c r="BA149" s="12">
        <v>9855</v>
      </c>
      <c r="BB149" s="12"/>
      <c r="BC149" s="12"/>
      <c r="BD149" s="12"/>
      <c r="BE149" s="12"/>
      <c r="BF149" s="12">
        <v>416</v>
      </c>
      <c r="BG149" s="12">
        <v>0</v>
      </c>
      <c r="BH149" s="12">
        <v>0</v>
      </c>
      <c r="BI149" s="12">
        <v>35</v>
      </c>
      <c r="BJ149" s="12">
        <v>0</v>
      </c>
      <c r="BK149" s="12">
        <v>0</v>
      </c>
      <c r="BL149" s="12">
        <v>41</v>
      </c>
      <c r="BM149" s="12">
        <v>1</v>
      </c>
      <c r="BN149" s="12">
        <v>2.4390243902439025E-2</v>
      </c>
      <c r="BO149" s="12">
        <v>28</v>
      </c>
      <c r="BP149" s="12">
        <v>0</v>
      </c>
      <c r="BQ149" s="12">
        <v>0</v>
      </c>
      <c r="BR149" s="12">
        <v>83</v>
      </c>
      <c r="BS149" s="12">
        <v>4</v>
      </c>
      <c r="BT149" s="12">
        <v>4.8192771084337352E-2</v>
      </c>
      <c r="BU149" s="12">
        <v>603</v>
      </c>
      <c r="BV149" s="12">
        <v>5</v>
      </c>
      <c r="BW149" s="12">
        <v>8.291873963515755E-3</v>
      </c>
      <c r="BX149" s="12"/>
      <c r="BY149" s="12"/>
      <c r="BZ149" s="12"/>
      <c r="CA149" s="12">
        <v>72090.039999999994</v>
      </c>
      <c r="CB149" s="13"/>
      <c r="CC149" s="13"/>
      <c r="CD149" s="13"/>
      <c r="CE149" s="12">
        <v>3648</v>
      </c>
      <c r="CF149" s="12">
        <v>514</v>
      </c>
      <c r="CG149" s="13">
        <v>51324</v>
      </c>
      <c r="CH149" s="13">
        <v>99</v>
      </c>
      <c r="CI149" s="13">
        <v>17104</v>
      </c>
    </row>
    <row r="150" spans="2:87" x14ac:dyDescent="0.2">
      <c r="B150" s="5">
        <v>45923</v>
      </c>
      <c r="C150" s="12">
        <v>19</v>
      </c>
      <c r="D150" s="12">
        <v>2.2999999999999998</v>
      </c>
      <c r="E150" s="12">
        <v>162759.84099999999</v>
      </c>
      <c r="F150" s="12">
        <v>-6</v>
      </c>
      <c r="G150" s="12">
        <v>3235294.13</v>
      </c>
      <c r="H150" s="12">
        <v>0</v>
      </c>
      <c r="I150" s="12">
        <v>-656260.5</v>
      </c>
      <c r="J150" s="12">
        <v>2579033.63</v>
      </c>
      <c r="K150" s="12">
        <v>48000</v>
      </c>
      <c r="L150" s="12">
        <v>0</v>
      </c>
      <c r="M150" s="12">
        <v>490966.37</v>
      </c>
      <c r="N150" s="12">
        <v>3118000</v>
      </c>
      <c r="O150" s="12">
        <v>0</v>
      </c>
      <c r="P150" s="12">
        <v>2584033.63</v>
      </c>
      <c r="Q150" s="12">
        <v>804756</v>
      </c>
      <c r="R150" s="12">
        <v>1779277.63</v>
      </c>
      <c r="S150" s="12">
        <v>0</v>
      </c>
      <c r="T150" s="12">
        <v>38</v>
      </c>
      <c r="U150" s="12">
        <v>0</v>
      </c>
      <c r="V150" s="12">
        <v>0</v>
      </c>
      <c r="W150" s="35">
        <v>46144.261731053244</v>
      </c>
      <c r="X150" s="12">
        <v>9</v>
      </c>
      <c r="Y150" s="12">
        <v>9</v>
      </c>
      <c r="Z150" s="12">
        <v>1378151.27</v>
      </c>
      <c r="AA150" s="12">
        <v>153127.91800000001</v>
      </c>
      <c r="AB150" s="12">
        <v>424012</v>
      </c>
      <c r="AC150" s="12">
        <v>954139.27</v>
      </c>
      <c r="AD150" s="12">
        <v>10</v>
      </c>
      <c r="AE150" s="12">
        <v>10</v>
      </c>
      <c r="AF150" s="12">
        <v>1200882.3600000001</v>
      </c>
      <c r="AG150" s="12">
        <v>171428.57199999999</v>
      </c>
      <c r="AH150" s="12">
        <v>380744</v>
      </c>
      <c r="AI150" s="12">
        <v>825138.36</v>
      </c>
      <c r="AJ150" s="12"/>
      <c r="AK150" s="12"/>
      <c r="AL150" s="12"/>
      <c r="AM150" s="12"/>
      <c r="AN150" s="12"/>
      <c r="AO150" s="12"/>
      <c r="AP150" s="12">
        <v>546218.49</v>
      </c>
      <c r="AQ150" s="12">
        <v>3</v>
      </c>
      <c r="AR150" s="12">
        <v>182072.83</v>
      </c>
      <c r="AS150" s="12">
        <v>206720</v>
      </c>
      <c r="AT150" s="12">
        <v>1898361.36</v>
      </c>
      <c r="AU150" s="12">
        <v>15</v>
      </c>
      <c r="AV150" s="12">
        <v>160784.31400000001</v>
      </c>
      <c r="AW150" s="12">
        <v>565998</v>
      </c>
      <c r="AX150" s="12"/>
      <c r="AY150" s="12"/>
      <c r="AZ150" s="12"/>
      <c r="BA150" s="12"/>
      <c r="BB150" s="12"/>
      <c r="BC150" s="12"/>
      <c r="BD150" s="12"/>
      <c r="BE150" s="12"/>
      <c r="BF150" s="12">
        <v>198</v>
      </c>
      <c r="BG150" s="12">
        <v>1</v>
      </c>
      <c r="BH150" s="12">
        <v>5.0505050505050509E-3</v>
      </c>
      <c r="BI150" s="12">
        <v>35</v>
      </c>
      <c r="BJ150" s="12">
        <v>0</v>
      </c>
      <c r="BK150" s="12">
        <v>0</v>
      </c>
      <c r="BL150" s="12">
        <v>43</v>
      </c>
      <c r="BM150" s="12">
        <v>0</v>
      </c>
      <c r="BN150" s="12">
        <v>0</v>
      </c>
      <c r="BO150" s="12">
        <v>12</v>
      </c>
      <c r="BP150" s="12">
        <v>0</v>
      </c>
      <c r="BQ150" s="12">
        <v>0</v>
      </c>
      <c r="BR150" s="12">
        <v>121</v>
      </c>
      <c r="BS150" s="12">
        <v>3</v>
      </c>
      <c r="BT150" s="12">
        <v>2.4793388429752067E-2</v>
      </c>
      <c r="BU150" s="12">
        <v>409</v>
      </c>
      <c r="BV150" s="12">
        <v>4</v>
      </c>
      <c r="BW150" s="12">
        <v>9.7799511002444987E-3</v>
      </c>
      <c r="BX150" s="12"/>
      <c r="BY150" s="12"/>
      <c r="BZ150" s="12"/>
      <c r="CA150" s="12">
        <v>25996.11</v>
      </c>
      <c r="CB150" s="13"/>
      <c r="CC150" s="13"/>
      <c r="CD150" s="13"/>
      <c r="CE150" s="12">
        <v>1433</v>
      </c>
      <c r="CF150" s="12">
        <v>235</v>
      </c>
      <c r="CG150" s="13">
        <v>48383</v>
      </c>
      <c r="CH150" s="13">
        <v>91</v>
      </c>
      <c r="CI150" s="13">
        <v>15537</v>
      </c>
    </row>
    <row r="151" spans="2:87" x14ac:dyDescent="0.2">
      <c r="B151" s="5">
        <v>45924</v>
      </c>
      <c r="C151" s="12">
        <v>18</v>
      </c>
      <c r="D151" s="12">
        <v>4.0999999999999996</v>
      </c>
      <c r="E151" s="12">
        <v>183580.29800000001</v>
      </c>
      <c r="F151" s="12">
        <v>0</v>
      </c>
      <c r="G151" s="12">
        <v>3536798.31</v>
      </c>
      <c r="H151" s="12">
        <v>-13865.54</v>
      </c>
      <c r="I151" s="12">
        <v>0</v>
      </c>
      <c r="J151" s="12">
        <v>3522932.77</v>
      </c>
      <c r="K151" s="12">
        <v>198000</v>
      </c>
      <c r="L151" s="12">
        <v>0</v>
      </c>
      <c r="M151" s="12">
        <v>471567.23</v>
      </c>
      <c r="N151" s="12">
        <v>4192500</v>
      </c>
      <c r="O151" s="12">
        <v>156000</v>
      </c>
      <c r="P151" s="12">
        <v>3366932.77</v>
      </c>
      <c r="Q151" s="12">
        <v>1155047</v>
      </c>
      <c r="R151" s="12">
        <v>2211885.77</v>
      </c>
      <c r="S151" s="12">
        <v>0</v>
      </c>
      <c r="T151" s="12">
        <v>75</v>
      </c>
      <c r="U151" s="12">
        <v>0</v>
      </c>
      <c r="V151" s="12">
        <v>0</v>
      </c>
      <c r="W151" s="35">
        <v>46144.261731053244</v>
      </c>
      <c r="X151" s="12">
        <v>9</v>
      </c>
      <c r="Y151" s="12">
        <v>9</v>
      </c>
      <c r="Z151" s="12">
        <v>2010327.73</v>
      </c>
      <c r="AA151" s="12">
        <v>223369.747</v>
      </c>
      <c r="AB151" s="12">
        <v>651693</v>
      </c>
      <c r="AC151" s="12">
        <v>1202634.73</v>
      </c>
      <c r="AD151" s="12">
        <v>9</v>
      </c>
      <c r="AE151" s="12">
        <v>9</v>
      </c>
      <c r="AF151" s="12">
        <v>1512605.04</v>
      </c>
      <c r="AG151" s="12">
        <v>143790.85</v>
      </c>
      <c r="AH151" s="12">
        <v>503354</v>
      </c>
      <c r="AI151" s="12">
        <v>1009251.04</v>
      </c>
      <c r="AJ151" s="12"/>
      <c r="AK151" s="12"/>
      <c r="AL151" s="12"/>
      <c r="AM151" s="12"/>
      <c r="AN151" s="12"/>
      <c r="AO151" s="12"/>
      <c r="AP151" s="12">
        <v>1166512.6100000001</v>
      </c>
      <c r="AQ151" s="12">
        <v>3</v>
      </c>
      <c r="AR151" s="12">
        <v>388837.53600000002</v>
      </c>
      <c r="AS151" s="12">
        <v>355767</v>
      </c>
      <c r="AT151" s="12">
        <v>2356420.16</v>
      </c>
      <c r="AU151" s="12">
        <v>15</v>
      </c>
      <c r="AV151" s="12">
        <v>142528.851</v>
      </c>
      <c r="AW151" s="12">
        <v>799280</v>
      </c>
      <c r="AX151" s="12"/>
      <c r="AY151" s="12"/>
      <c r="AZ151" s="12"/>
      <c r="BA151" s="12"/>
      <c r="BB151" s="12"/>
      <c r="BC151" s="12"/>
      <c r="BD151" s="12"/>
      <c r="BE151" s="12"/>
      <c r="BF151" s="12">
        <v>321</v>
      </c>
      <c r="BG151" s="12">
        <v>1</v>
      </c>
      <c r="BH151" s="12">
        <v>3.1152647975077881E-3</v>
      </c>
      <c r="BI151" s="12">
        <v>29</v>
      </c>
      <c r="BJ151" s="12">
        <v>0</v>
      </c>
      <c r="BK151" s="12">
        <v>0</v>
      </c>
      <c r="BL151" s="12">
        <v>27</v>
      </c>
      <c r="BM151" s="12">
        <v>0</v>
      </c>
      <c r="BN151" s="12">
        <v>0</v>
      </c>
      <c r="BO151" s="12">
        <v>16</v>
      </c>
      <c r="BP151" s="12">
        <v>0</v>
      </c>
      <c r="BQ151" s="12">
        <v>0</v>
      </c>
      <c r="BR151" s="12">
        <v>70</v>
      </c>
      <c r="BS151" s="12">
        <v>1</v>
      </c>
      <c r="BT151" s="12">
        <v>1.4285714285714285E-2</v>
      </c>
      <c r="BU151" s="12">
        <v>463</v>
      </c>
      <c r="BV151" s="12">
        <v>2</v>
      </c>
      <c r="BW151" s="12">
        <v>4.3196544276457886E-3</v>
      </c>
      <c r="BX151" s="12"/>
      <c r="BY151" s="12"/>
      <c r="BZ151" s="12"/>
      <c r="CA151" s="12">
        <v>65745.97</v>
      </c>
      <c r="CB151" s="13"/>
      <c r="CC151" s="13"/>
      <c r="CD151" s="13"/>
      <c r="CE151" s="12">
        <v>2972</v>
      </c>
      <c r="CF151" s="12">
        <v>487</v>
      </c>
      <c r="CG151" s="13">
        <v>47723</v>
      </c>
      <c r="CH151" s="13">
        <v>93</v>
      </c>
      <c r="CI151" s="13">
        <v>15077</v>
      </c>
    </row>
    <row r="152" spans="2:87" x14ac:dyDescent="0.2">
      <c r="B152" s="5">
        <v>45925</v>
      </c>
      <c r="C152" s="12">
        <v>24</v>
      </c>
      <c r="D152" s="12">
        <v>2.2000000000000002</v>
      </c>
      <c r="E152" s="12">
        <v>149601.541</v>
      </c>
      <c r="F152" s="12">
        <v>-1</v>
      </c>
      <c r="G152" s="12">
        <v>3590437</v>
      </c>
      <c r="H152" s="12">
        <v>0</v>
      </c>
      <c r="I152" s="12">
        <v>-84033.61</v>
      </c>
      <c r="J152" s="12">
        <v>3506403.39</v>
      </c>
      <c r="K152" s="12">
        <v>27000</v>
      </c>
      <c r="L152" s="12">
        <v>0</v>
      </c>
      <c r="M152" s="12">
        <v>647596.61</v>
      </c>
      <c r="N152" s="12">
        <v>4181000</v>
      </c>
      <c r="O152" s="12">
        <v>0</v>
      </c>
      <c r="P152" s="12">
        <v>3506403.39</v>
      </c>
      <c r="Q152" s="12">
        <v>1133878</v>
      </c>
      <c r="R152" s="12">
        <v>2372525.39</v>
      </c>
      <c r="S152" s="12">
        <v>0</v>
      </c>
      <c r="T152" s="12">
        <v>52</v>
      </c>
      <c r="U152" s="12">
        <v>0</v>
      </c>
      <c r="V152" s="12">
        <v>0</v>
      </c>
      <c r="W152" s="35">
        <v>46144.261731053244</v>
      </c>
      <c r="X152" s="12">
        <v>8</v>
      </c>
      <c r="Y152" s="12">
        <v>10</v>
      </c>
      <c r="Z152" s="12">
        <v>1035294.12</v>
      </c>
      <c r="AA152" s="12">
        <v>103529.412</v>
      </c>
      <c r="AB152" s="12">
        <v>300172</v>
      </c>
      <c r="AC152" s="12">
        <v>735122.12</v>
      </c>
      <c r="AD152" s="12">
        <v>14</v>
      </c>
      <c r="AE152" s="12">
        <v>14</v>
      </c>
      <c r="AF152" s="12">
        <v>2471109.27</v>
      </c>
      <c r="AG152" s="12">
        <v>182510.20499999999</v>
      </c>
      <c r="AH152" s="12">
        <v>833706</v>
      </c>
      <c r="AI152" s="12">
        <v>1637403.27</v>
      </c>
      <c r="AJ152" s="12"/>
      <c r="AK152" s="12"/>
      <c r="AL152" s="12"/>
      <c r="AM152" s="12"/>
      <c r="AN152" s="12"/>
      <c r="AO152" s="12"/>
      <c r="AP152" s="12">
        <v>382352.95</v>
      </c>
      <c r="AQ152" s="12">
        <v>3</v>
      </c>
      <c r="AR152" s="12">
        <v>127450.98299999999</v>
      </c>
      <c r="AS152" s="12">
        <v>84013</v>
      </c>
      <c r="AT152" s="12">
        <v>3052621.87</v>
      </c>
      <c r="AU152" s="12">
        <v>20</v>
      </c>
      <c r="AV152" s="12">
        <v>156832.774</v>
      </c>
      <c r="AW152" s="12">
        <v>1017220</v>
      </c>
      <c r="AX152" s="12">
        <v>71428.570000000007</v>
      </c>
      <c r="AY152" s="12">
        <v>1</v>
      </c>
      <c r="AZ152" s="12">
        <v>71428.570000000007</v>
      </c>
      <c r="BA152" s="12">
        <v>32645</v>
      </c>
      <c r="BB152" s="12"/>
      <c r="BC152" s="12"/>
      <c r="BD152" s="12"/>
      <c r="BE152" s="12"/>
      <c r="BF152" s="12">
        <v>150</v>
      </c>
      <c r="BG152" s="12">
        <v>0</v>
      </c>
      <c r="BH152" s="12">
        <v>0</v>
      </c>
      <c r="BI152" s="12">
        <v>38</v>
      </c>
      <c r="BJ152" s="12">
        <v>0</v>
      </c>
      <c r="BK152" s="12">
        <v>0</v>
      </c>
      <c r="BL152" s="12">
        <v>37</v>
      </c>
      <c r="BM152" s="12">
        <v>2</v>
      </c>
      <c r="BN152" s="12">
        <v>5.4054054054054057E-2</v>
      </c>
      <c r="BO152" s="12">
        <v>1</v>
      </c>
      <c r="BP152" s="12">
        <v>0</v>
      </c>
      <c r="BQ152" s="12">
        <v>0</v>
      </c>
      <c r="BR152" s="12">
        <v>70</v>
      </c>
      <c r="BS152" s="12">
        <v>1</v>
      </c>
      <c r="BT152" s="12">
        <v>1.4285714285714285E-2</v>
      </c>
      <c r="BU152" s="12">
        <v>296</v>
      </c>
      <c r="BV152" s="12">
        <v>3</v>
      </c>
      <c r="BW152" s="12">
        <v>1.0135135135135136E-2</v>
      </c>
      <c r="BX152" s="12"/>
      <c r="BY152" s="12"/>
      <c r="BZ152" s="12"/>
      <c r="CA152" s="12">
        <v>23737.37</v>
      </c>
      <c r="CB152" s="13"/>
      <c r="CC152" s="13"/>
      <c r="CD152" s="13"/>
      <c r="CE152" s="12">
        <v>1343</v>
      </c>
      <c r="CF152" s="12">
        <v>201</v>
      </c>
      <c r="CG152" s="13">
        <v>48645</v>
      </c>
      <c r="CH152" s="13">
        <v>84</v>
      </c>
      <c r="CI152" s="13">
        <v>14619</v>
      </c>
    </row>
    <row r="153" spans="2:87" x14ac:dyDescent="0.2">
      <c r="B153" s="5">
        <v>45926</v>
      </c>
      <c r="C153" s="12">
        <v>21</v>
      </c>
      <c r="D153" s="12">
        <v>2.2000000000000002</v>
      </c>
      <c r="E153" s="12">
        <v>144317.76800000001</v>
      </c>
      <c r="F153" s="12">
        <v>-1</v>
      </c>
      <c r="G153" s="12">
        <v>3030673.13</v>
      </c>
      <c r="H153" s="12">
        <v>0</v>
      </c>
      <c r="I153" s="12">
        <v>-218487.39</v>
      </c>
      <c r="J153" s="12">
        <v>2812185.74</v>
      </c>
      <c r="K153" s="12">
        <v>132500</v>
      </c>
      <c r="L153" s="12">
        <v>0</v>
      </c>
      <c r="M153" s="12">
        <v>534315.26</v>
      </c>
      <c r="N153" s="12">
        <v>3479001</v>
      </c>
      <c r="O153" s="12">
        <v>0</v>
      </c>
      <c r="P153" s="12">
        <v>2812185.74</v>
      </c>
      <c r="Q153" s="12">
        <v>796221</v>
      </c>
      <c r="R153" s="12">
        <v>2015964.74</v>
      </c>
      <c r="S153" s="12">
        <v>0</v>
      </c>
      <c r="T153" s="12">
        <v>45</v>
      </c>
      <c r="U153" s="12">
        <v>0</v>
      </c>
      <c r="V153" s="12">
        <v>0</v>
      </c>
      <c r="W153" s="35">
        <v>46144.261731053244</v>
      </c>
      <c r="X153" s="12">
        <v>9</v>
      </c>
      <c r="Y153" s="12">
        <v>10</v>
      </c>
      <c r="Z153" s="12">
        <v>1532353.79</v>
      </c>
      <c r="AA153" s="12">
        <v>153235.37899999999</v>
      </c>
      <c r="AB153" s="12">
        <v>448992</v>
      </c>
      <c r="AC153" s="12">
        <v>1083361.79</v>
      </c>
      <c r="AD153" s="12">
        <v>11</v>
      </c>
      <c r="AE153" s="12">
        <v>11</v>
      </c>
      <c r="AF153" s="12">
        <v>1279831.95</v>
      </c>
      <c r="AG153" s="12">
        <v>136210.84899999999</v>
      </c>
      <c r="AH153" s="12">
        <v>347229</v>
      </c>
      <c r="AI153" s="12">
        <v>932602.95</v>
      </c>
      <c r="AJ153" s="12"/>
      <c r="AK153" s="12"/>
      <c r="AL153" s="12"/>
      <c r="AM153" s="12"/>
      <c r="AN153" s="12"/>
      <c r="AO153" s="12"/>
      <c r="AP153" s="12">
        <v>1113446.23</v>
      </c>
      <c r="AQ153" s="12">
        <v>8</v>
      </c>
      <c r="AR153" s="12">
        <v>139180.77799999999</v>
      </c>
      <c r="AS153" s="12">
        <v>347097</v>
      </c>
      <c r="AT153" s="12">
        <v>1698739.51</v>
      </c>
      <c r="AU153" s="12">
        <v>13</v>
      </c>
      <c r="AV153" s="12">
        <v>147478.992</v>
      </c>
      <c r="AW153" s="12">
        <v>449124</v>
      </c>
      <c r="AX153" s="12"/>
      <c r="AY153" s="12"/>
      <c r="AZ153" s="12"/>
      <c r="BA153" s="12"/>
      <c r="BB153" s="12"/>
      <c r="BC153" s="12"/>
      <c r="BD153" s="12"/>
      <c r="BE153" s="12"/>
      <c r="BF153" s="12">
        <v>437</v>
      </c>
      <c r="BG153" s="12">
        <v>3</v>
      </c>
      <c r="BH153" s="12">
        <v>6.8649885583524023E-3</v>
      </c>
      <c r="BI153" s="12">
        <v>54</v>
      </c>
      <c r="BJ153" s="12">
        <v>0</v>
      </c>
      <c r="BK153" s="12">
        <v>0</v>
      </c>
      <c r="BL153" s="12">
        <v>34</v>
      </c>
      <c r="BM153" s="12">
        <v>0</v>
      </c>
      <c r="BN153" s="12">
        <v>0</v>
      </c>
      <c r="BO153" s="12">
        <v>15</v>
      </c>
      <c r="BP153" s="12">
        <v>0</v>
      </c>
      <c r="BQ153" s="12">
        <v>0</v>
      </c>
      <c r="BR153" s="12">
        <v>91</v>
      </c>
      <c r="BS153" s="12">
        <v>4</v>
      </c>
      <c r="BT153" s="12">
        <v>4.3956043956043959E-2</v>
      </c>
      <c r="BU153" s="12">
        <v>631</v>
      </c>
      <c r="BV153" s="12">
        <v>7</v>
      </c>
      <c r="BW153" s="12">
        <v>1.1093502377179081E-2</v>
      </c>
      <c r="BX153" s="12"/>
      <c r="BY153" s="12"/>
      <c r="BZ153" s="12"/>
      <c r="CA153" s="12">
        <v>78296.5</v>
      </c>
      <c r="CB153" s="13"/>
      <c r="CC153" s="13"/>
      <c r="CD153" s="13"/>
      <c r="CE153" s="12">
        <v>2984</v>
      </c>
      <c r="CF153" s="12">
        <v>474</v>
      </c>
      <c r="CG153" s="13">
        <v>47178</v>
      </c>
      <c r="CH153" s="13">
        <v>97</v>
      </c>
      <c r="CI153" s="13">
        <v>14005</v>
      </c>
    </row>
    <row r="154" spans="2:87" x14ac:dyDescent="0.2">
      <c r="B154" s="5">
        <v>45927</v>
      </c>
      <c r="C154" s="12">
        <v>30</v>
      </c>
      <c r="D154" s="12">
        <v>2.1</v>
      </c>
      <c r="E154" s="12">
        <v>142508.96299999999</v>
      </c>
      <c r="F154" s="12">
        <v>0</v>
      </c>
      <c r="G154" s="12">
        <v>4275268.91</v>
      </c>
      <c r="H154" s="12">
        <v>0</v>
      </c>
      <c r="I154" s="12">
        <v>0</v>
      </c>
      <c r="J154" s="12">
        <v>4275268.91</v>
      </c>
      <c r="K154" s="12">
        <v>50500</v>
      </c>
      <c r="L154" s="12">
        <v>0</v>
      </c>
      <c r="M154" s="12">
        <v>764231.09</v>
      </c>
      <c r="N154" s="12">
        <v>5090000</v>
      </c>
      <c r="O154" s="12">
        <v>192436.98</v>
      </c>
      <c r="P154" s="12">
        <v>4082831.93</v>
      </c>
      <c r="Q154" s="12">
        <v>1255875</v>
      </c>
      <c r="R154" s="12">
        <v>2826956.93</v>
      </c>
      <c r="S154" s="12">
        <v>0</v>
      </c>
      <c r="T154" s="12">
        <v>63</v>
      </c>
      <c r="U154" s="12">
        <v>0</v>
      </c>
      <c r="V154" s="12">
        <v>0</v>
      </c>
      <c r="W154" s="35">
        <v>46144.261731053244</v>
      </c>
      <c r="X154" s="12">
        <v>7</v>
      </c>
      <c r="Y154" s="12">
        <v>7</v>
      </c>
      <c r="Z154" s="12">
        <v>795798.32</v>
      </c>
      <c r="AA154" s="12">
        <v>113685.474</v>
      </c>
      <c r="AB154" s="12">
        <v>217609</v>
      </c>
      <c r="AC154" s="12">
        <v>578189.31999999995</v>
      </c>
      <c r="AD154" s="12">
        <v>23</v>
      </c>
      <c r="AE154" s="12">
        <v>23</v>
      </c>
      <c r="AF154" s="12">
        <v>3479470.59</v>
      </c>
      <c r="AG154" s="12">
        <v>151281.32999999999</v>
      </c>
      <c r="AH154" s="12">
        <v>1038266</v>
      </c>
      <c r="AI154" s="12">
        <v>2248767.61</v>
      </c>
      <c r="AJ154" s="12"/>
      <c r="AK154" s="12"/>
      <c r="AL154" s="12"/>
      <c r="AM154" s="12"/>
      <c r="AN154" s="12"/>
      <c r="AO154" s="12"/>
      <c r="AP154" s="12">
        <v>584033.62</v>
      </c>
      <c r="AQ154" s="12">
        <v>5</v>
      </c>
      <c r="AR154" s="12">
        <v>116806.724</v>
      </c>
      <c r="AS154" s="12">
        <v>161320</v>
      </c>
      <c r="AT154" s="12">
        <v>3645016.8</v>
      </c>
      <c r="AU154" s="12">
        <v>24</v>
      </c>
      <c r="AV154" s="12">
        <v>151875.70000000001</v>
      </c>
      <c r="AW154" s="12">
        <v>1079944</v>
      </c>
      <c r="AX154" s="12">
        <v>46218.49</v>
      </c>
      <c r="AY154" s="12">
        <v>1</v>
      </c>
      <c r="AZ154" s="12">
        <v>46218.49</v>
      </c>
      <c r="BA154" s="12">
        <v>14611</v>
      </c>
      <c r="BB154" s="12"/>
      <c r="BC154" s="12"/>
      <c r="BD154" s="12"/>
      <c r="BE154" s="12"/>
      <c r="BF154" s="12">
        <v>282</v>
      </c>
      <c r="BG154" s="12">
        <v>0</v>
      </c>
      <c r="BH154" s="12">
        <v>0</v>
      </c>
      <c r="BI154" s="12">
        <v>60</v>
      </c>
      <c r="BJ154" s="12">
        <v>1</v>
      </c>
      <c r="BK154" s="12">
        <v>1.6666666666666666E-2</v>
      </c>
      <c r="BL154" s="12">
        <v>25</v>
      </c>
      <c r="BM154" s="12">
        <v>1</v>
      </c>
      <c r="BN154" s="12">
        <v>0.04</v>
      </c>
      <c r="BO154" s="12">
        <v>13</v>
      </c>
      <c r="BP154" s="12">
        <v>0</v>
      </c>
      <c r="BQ154" s="12">
        <v>0</v>
      </c>
      <c r="BR154" s="12">
        <v>57</v>
      </c>
      <c r="BS154" s="12">
        <v>3</v>
      </c>
      <c r="BT154" s="12">
        <v>5.2631578947368418E-2</v>
      </c>
      <c r="BU154" s="12">
        <v>437</v>
      </c>
      <c r="BV154" s="12">
        <v>5</v>
      </c>
      <c r="BW154" s="12">
        <v>1.1441647597254004E-2</v>
      </c>
      <c r="BX154" s="12"/>
      <c r="BY154" s="12"/>
      <c r="BZ154" s="12"/>
      <c r="CA154" s="12">
        <v>44659.86</v>
      </c>
      <c r="CB154" s="13"/>
      <c r="CC154" s="13"/>
      <c r="CD154" s="13"/>
      <c r="CE154" s="12">
        <v>2398</v>
      </c>
      <c r="CF154" s="12">
        <v>338</v>
      </c>
      <c r="CG154" s="13">
        <v>48614</v>
      </c>
      <c r="CH154" s="13">
        <v>91</v>
      </c>
      <c r="CI154" s="13">
        <v>14390</v>
      </c>
    </row>
    <row r="155" spans="2:87" x14ac:dyDescent="0.2">
      <c r="B155" s="5">
        <v>45928</v>
      </c>
      <c r="C155" s="12">
        <v>16</v>
      </c>
      <c r="D155" s="12">
        <v>2.2000000000000002</v>
      </c>
      <c r="E155" s="12">
        <v>137526.261</v>
      </c>
      <c r="F155" s="12">
        <v>0</v>
      </c>
      <c r="G155" s="12">
        <v>2200420.1800000002</v>
      </c>
      <c r="H155" s="12">
        <v>0</v>
      </c>
      <c r="I155" s="12">
        <v>0</v>
      </c>
      <c r="J155" s="12">
        <v>2200420.1800000002</v>
      </c>
      <c r="K155" s="12">
        <v>47000</v>
      </c>
      <c r="L155" s="12">
        <v>0</v>
      </c>
      <c r="M155" s="12">
        <v>418079.82</v>
      </c>
      <c r="N155" s="12">
        <v>2665500</v>
      </c>
      <c r="O155" s="12">
        <v>75630.259999999995</v>
      </c>
      <c r="P155" s="12">
        <v>2124789.92</v>
      </c>
      <c r="Q155" s="12">
        <v>601053</v>
      </c>
      <c r="R155" s="12">
        <v>1523736.92</v>
      </c>
      <c r="S155" s="12">
        <v>0</v>
      </c>
      <c r="T155" s="12">
        <v>36</v>
      </c>
      <c r="U155" s="12">
        <v>0</v>
      </c>
      <c r="V155" s="12">
        <v>0</v>
      </c>
      <c r="W155" s="35">
        <v>46144.261731053244</v>
      </c>
      <c r="X155" s="12">
        <v>3</v>
      </c>
      <c r="Y155" s="12">
        <v>3</v>
      </c>
      <c r="Z155" s="12">
        <v>315126.05</v>
      </c>
      <c r="AA155" s="12">
        <v>105042.016</v>
      </c>
      <c r="AB155" s="12">
        <v>108246</v>
      </c>
      <c r="AC155" s="12">
        <v>206880.05</v>
      </c>
      <c r="AD155" s="12">
        <v>13</v>
      </c>
      <c r="AE155" s="12">
        <v>13</v>
      </c>
      <c r="AF155" s="12">
        <v>1885294.13</v>
      </c>
      <c r="AG155" s="12">
        <v>145022.625</v>
      </c>
      <c r="AH155" s="12">
        <v>492807</v>
      </c>
      <c r="AI155" s="12">
        <v>1316856.8700000001</v>
      </c>
      <c r="AJ155" s="12"/>
      <c r="AK155" s="12"/>
      <c r="AL155" s="12"/>
      <c r="AM155" s="12"/>
      <c r="AN155" s="12"/>
      <c r="AO155" s="12"/>
      <c r="AP155" s="12">
        <v>533613.44999999995</v>
      </c>
      <c r="AQ155" s="12">
        <v>4</v>
      </c>
      <c r="AR155" s="12">
        <v>133403.36199999999</v>
      </c>
      <c r="AS155" s="12">
        <v>158933</v>
      </c>
      <c r="AT155" s="12">
        <v>1666806.73</v>
      </c>
      <c r="AU155" s="12">
        <v>12</v>
      </c>
      <c r="AV155" s="12">
        <v>138900.56</v>
      </c>
      <c r="AW155" s="12">
        <v>442120</v>
      </c>
      <c r="AX155" s="12"/>
      <c r="AY155" s="12"/>
      <c r="AZ155" s="12"/>
      <c r="BA155" s="12"/>
      <c r="BB155" s="12"/>
      <c r="BC155" s="12"/>
      <c r="BD155" s="12"/>
      <c r="BE155" s="12"/>
      <c r="BF155" s="12">
        <v>227</v>
      </c>
      <c r="BG155" s="12">
        <v>2</v>
      </c>
      <c r="BH155" s="12">
        <v>8.8105726872246704E-3</v>
      </c>
      <c r="BI155" s="12">
        <v>65</v>
      </c>
      <c r="BJ155" s="12">
        <v>0</v>
      </c>
      <c r="BK155" s="12">
        <v>0</v>
      </c>
      <c r="BL155" s="12">
        <v>29</v>
      </c>
      <c r="BM155" s="12">
        <v>1</v>
      </c>
      <c r="BN155" s="12">
        <v>3.4482758620689655E-2</v>
      </c>
      <c r="BO155" s="12">
        <v>6</v>
      </c>
      <c r="BP155" s="12">
        <v>0</v>
      </c>
      <c r="BQ155" s="12">
        <v>0</v>
      </c>
      <c r="BR155" s="12">
        <v>79</v>
      </c>
      <c r="BS155" s="12">
        <v>2</v>
      </c>
      <c r="BT155" s="12">
        <v>2.5316455696202531E-2</v>
      </c>
      <c r="BU155" s="12">
        <v>406</v>
      </c>
      <c r="BV155" s="12">
        <v>5</v>
      </c>
      <c r="BW155" s="12">
        <v>1.2315270935960592E-2</v>
      </c>
      <c r="BX155" s="12"/>
      <c r="BY155" s="12"/>
      <c r="BZ155" s="12"/>
      <c r="CA155" s="12">
        <v>32790.39</v>
      </c>
      <c r="CB155" s="13"/>
      <c r="CC155" s="13"/>
      <c r="CD155" s="13"/>
      <c r="CE155" s="12">
        <v>1726</v>
      </c>
      <c r="CF155" s="12">
        <v>256</v>
      </c>
      <c r="CG155" s="13">
        <v>52896</v>
      </c>
      <c r="CH155" s="13">
        <v>128</v>
      </c>
      <c r="CI155" s="13">
        <v>16926</v>
      </c>
    </row>
    <row r="156" spans="2:87" x14ac:dyDescent="0.2">
      <c r="B156" s="5">
        <v>45929</v>
      </c>
      <c r="C156" s="12">
        <v>20</v>
      </c>
      <c r="D156" s="12">
        <v>10.4</v>
      </c>
      <c r="E156" s="12">
        <v>528865.54599999997</v>
      </c>
      <c r="F156" s="12">
        <v>-307</v>
      </c>
      <c r="G156" s="12">
        <v>13594958</v>
      </c>
      <c r="H156" s="12">
        <v>-50420.160000000003</v>
      </c>
      <c r="I156" s="12">
        <v>-5442437</v>
      </c>
      <c r="J156" s="12">
        <v>8102100.8399999999</v>
      </c>
      <c r="K156" s="12">
        <v>74000</v>
      </c>
      <c r="L156" s="12">
        <v>0</v>
      </c>
      <c r="M156" s="12">
        <v>1539399.16</v>
      </c>
      <c r="N156" s="12">
        <v>9715500</v>
      </c>
      <c r="O156" s="12">
        <v>-7563.03</v>
      </c>
      <c r="P156" s="12">
        <v>8109663.8700000001</v>
      </c>
      <c r="Q156" s="12">
        <v>2275429</v>
      </c>
      <c r="R156" s="12">
        <v>5834234.8700000001</v>
      </c>
      <c r="S156" s="12">
        <v>0</v>
      </c>
      <c r="T156" s="12">
        <v>69</v>
      </c>
      <c r="U156" s="12">
        <v>0</v>
      </c>
      <c r="V156" s="12">
        <v>0</v>
      </c>
      <c r="W156" s="35">
        <v>46144.261731053244</v>
      </c>
      <c r="X156" s="12">
        <v>10</v>
      </c>
      <c r="Y156" s="12">
        <v>11</v>
      </c>
      <c r="Z156" s="12">
        <v>8811344.5399999991</v>
      </c>
      <c r="AA156" s="12">
        <v>843162.72</v>
      </c>
      <c r="AB156" s="12">
        <v>2604370</v>
      </c>
      <c r="AC156" s="12">
        <v>6206974.54</v>
      </c>
      <c r="AD156" s="12">
        <v>9</v>
      </c>
      <c r="AE156" s="12">
        <v>9</v>
      </c>
      <c r="AF156" s="12">
        <v>-709243.7</v>
      </c>
      <c r="AG156" s="12">
        <v>144724.55600000001</v>
      </c>
      <c r="AH156" s="12">
        <v>-328941</v>
      </c>
      <c r="AI156" s="12">
        <v>-372739.67</v>
      </c>
      <c r="AJ156" s="12"/>
      <c r="AK156" s="12"/>
      <c r="AL156" s="12"/>
      <c r="AM156" s="12"/>
      <c r="AN156" s="12"/>
      <c r="AO156" s="12"/>
      <c r="AP156" s="12">
        <v>5835294.1200000001</v>
      </c>
      <c r="AQ156" s="12">
        <v>6</v>
      </c>
      <c r="AR156" s="12">
        <v>972549.02</v>
      </c>
      <c r="AS156" s="12">
        <v>1497119</v>
      </c>
      <c r="AT156" s="12">
        <v>2220588.23</v>
      </c>
      <c r="AU156" s="12">
        <v>13</v>
      </c>
      <c r="AV156" s="12">
        <v>361215.255</v>
      </c>
      <c r="AW156" s="12">
        <v>768455</v>
      </c>
      <c r="AX156" s="12">
        <v>46218.49</v>
      </c>
      <c r="AY156" s="12">
        <v>1</v>
      </c>
      <c r="AZ156" s="12">
        <v>46218.49</v>
      </c>
      <c r="BA156" s="12">
        <v>9855</v>
      </c>
      <c r="BB156" s="12"/>
      <c r="BC156" s="12"/>
      <c r="BD156" s="12"/>
      <c r="BE156" s="12"/>
      <c r="BF156" s="12">
        <v>377</v>
      </c>
      <c r="BG156" s="12">
        <v>0</v>
      </c>
      <c r="BH156" s="12">
        <v>0</v>
      </c>
      <c r="BI156" s="12">
        <v>53</v>
      </c>
      <c r="BJ156" s="12">
        <v>3</v>
      </c>
      <c r="BK156" s="12">
        <v>5.6603773584905662E-2</v>
      </c>
      <c r="BL156" s="12">
        <v>39</v>
      </c>
      <c r="BM156" s="12">
        <v>1</v>
      </c>
      <c r="BN156" s="12">
        <v>2.564102564102564E-2</v>
      </c>
      <c r="BO156" s="12">
        <v>12</v>
      </c>
      <c r="BP156" s="12">
        <v>0</v>
      </c>
      <c r="BQ156" s="12">
        <v>0</v>
      </c>
      <c r="BR156" s="12">
        <v>96</v>
      </c>
      <c r="BS156" s="12">
        <v>3</v>
      </c>
      <c r="BT156" s="12">
        <v>3.125E-2</v>
      </c>
      <c r="BU156" s="12">
        <v>577</v>
      </c>
      <c r="BV156" s="12">
        <v>7</v>
      </c>
      <c r="BW156" s="12">
        <v>1.2131715771230503E-2</v>
      </c>
      <c r="BX156" s="12"/>
      <c r="BY156" s="12"/>
      <c r="BZ156" s="12"/>
      <c r="CA156" s="12">
        <v>60094.77</v>
      </c>
      <c r="CB156" s="13"/>
      <c r="CC156" s="13"/>
      <c r="CD156" s="13"/>
      <c r="CE156" s="12">
        <v>3122</v>
      </c>
      <c r="CF156" s="12">
        <v>470</v>
      </c>
      <c r="CG156" s="13">
        <v>52598</v>
      </c>
      <c r="CH156" s="13">
        <v>89</v>
      </c>
      <c r="CI156" s="13">
        <v>15366</v>
      </c>
    </row>
    <row r="157" spans="2:87" x14ac:dyDescent="0.2">
      <c r="B157" s="5">
        <v>45930</v>
      </c>
      <c r="C157" s="12">
        <v>21</v>
      </c>
      <c r="D157" s="12">
        <v>2.2000000000000002</v>
      </c>
      <c r="E157" s="12">
        <v>176950.78</v>
      </c>
      <c r="F157" s="12">
        <v>-2</v>
      </c>
      <c r="G157" s="12">
        <v>4025630.25</v>
      </c>
      <c r="H157" s="12">
        <v>-204033.61</v>
      </c>
      <c r="I157" s="12">
        <v>-100840.33</v>
      </c>
      <c r="J157" s="12">
        <v>3720756.31</v>
      </c>
      <c r="K157" s="12">
        <v>23500</v>
      </c>
      <c r="L157" s="12">
        <v>0</v>
      </c>
      <c r="M157" s="12">
        <v>701243.69</v>
      </c>
      <c r="N157" s="12">
        <v>4445500</v>
      </c>
      <c r="O157" s="12">
        <v>126050.42</v>
      </c>
      <c r="P157" s="12">
        <v>3594705.89</v>
      </c>
      <c r="Q157" s="12">
        <v>1104118</v>
      </c>
      <c r="R157" s="12">
        <v>2490587.89</v>
      </c>
      <c r="S157" s="12">
        <v>0</v>
      </c>
      <c r="T157" s="12">
        <v>47</v>
      </c>
      <c r="U157" s="12">
        <v>0</v>
      </c>
      <c r="V157" s="12">
        <v>0</v>
      </c>
      <c r="W157" s="35">
        <v>46144.261731053244</v>
      </c>
      <c r="X157" s="12">
        <v>9</v>
      </c>
      <c r="Y157" s="12">
        <v>10</v>
      </c>
      <c r="Z157" s="12">
        <v>1094117.6499999999</v>
      </c>
      <c r="AA157" s="12">
        <v>109411.765</v>
      </c>
      <c r="AB157" s="12">
        <v>416180</v>
      </c>
      <c r="AC157" s="12">
        <v>677937.65</v>
      </c>
      <c r="AD157" s="12">
        <v>9</v>
      </c>
      <c r="AE157" s="12">
        <v>9</v>
      </c>
      <c r="AF157" s="12">
        <v>1345966.39</v>
      </c>
      <c r="AG157" s="12">
        <v>149019.60699999999</v>
      </c>
      <c r="AH157" s="12">
        <v>422999</v>
      </c>
      <c r="AI157" s="12">
        <v>796916.97</v>
      </c>
      <c r="AJ157" s="12">
        <v>1</v>
      </c>
      <c r="AK157" s="12">
        <v>2</v>
      </c>
      <c r="AL157" s="12">
        <v>1280672.27</v>
      </c>
      <c r="AM157" s="12">
        <v>640336.13500000001</v>
      </c>
      <c r="AN157" s="12">
        <v>264939</v>
      </c>
      <c r="AO157" s="12">
        <v>1015733.27</v>
      </c>
      <c r="AP157" s="12">
        <v>1628571.43</v>
      </c>
      <c r="AQ157" s="12">
        <v>5</v>
      </c>
      <c r="AR157" s="12">
        <v>325714.28600000002</v>
      </c>
      <c r="AS157" s="12">
        <v>399585</v>
      </c>
      <c r="AT157" s="12">
        <v>1697226.89</v>
      </c>
      <c r="AU157" s="12">
        <v>12</v>
      </c>
      <c r="AV157" s="12">
        <v>141036.41399999999</v>
      </c>
      <c r="AW157" s="12">
        <v>598401</v>
      </c>
      <c r="AX157" s="12">
        <v>319327.74</v>
      </c>
      <c r="AY157" s="12">
        <v>3</v>
      </c>
      <c r="AZ157" s="12">
        <v>106442.58</v>
      </c>
      <c r="BA157" s="12">
        <v>89381</v>
      </c>
      <c r="BB157" s="12"/>
      <c r="BC157" s="12"/>
      <c r="BD157" s="12"/>
      <c r="BE157" s="12"/>
      <c r="BF157" s="12">
        <v>241</v>
      </c>
      <c r="BG157" s="12">
        <v>0</v>
      </c>
      <c r="BH157" s="12">
        <v>0</v>
      </c>
      <c r="BI157" s="12">
        <v>51</v>
      </c>
      <c r="BJ157" s="12">
        <v>0</v>
      </c>
      <c r="BK157" s="12">
        <v>0</v>
      </c>
      <c r="BL157" s="12">
        <v>40</v>
      </c>
      <c r="BM157" s="12">
        <v>0</v>
      </c>
      <c r="BN157" s="12">
        <v>0</v>
      </c>
      <c r="BO157" s="12">
        <v>4</v>
      </c>
      <c r="BP157" s="12">
        <v>0</v>
      </c>
      <c r="BQ157" s="12">
        <v>0</v>
      </c>
      <c r="BR157" s="12">
        <v>163</v>
      </c>
      <c r="BS157" s="12">
        <v>2</v>
      </c>
      <c r="BT157" s="12">
        <v>1.2269938650306749E-2</v>
      </c>
      <c r="BU157" s="12">
        <v>499</v>
      </c>
      <c r="BV157" s="12">
        <v>2</v>
      </c>
      <c r="BW157" s="12">
        <v>4.0080160320641279E-3</v>
      </c>
      <c r="BX157" s="12"/>
      <c r="BY157" s="12"/>
      <c r="BZ157" s="12"/>
      <c r="CA157" s="12">
        <v>37734.959999999999</v>
      </c>
      <c r="CB157" s="13"/>
      <c r="CC157" s="13"/>
      <c r="CD157" s="13"/>
      <c r="CE157" s="12">
        <v>2078</v>
      </c>
      <c r="CF157" s="12">
        <v>296</v>
      </c>
      <c r="CG157" s="13">
        <v>50863</v>
      </c>
      <c r="CH157" s="13">
        <v>89</v>
      </c>
      <c r="CI157" s="13">
        <v>15371</v>
      </c>
    </row>
    <row r="158" spans="2:87" x14ac:dyDescent="0.2">
      <c r="B158" s="5">
        <v>45931</v>
      </c>
      <c r="C158" s="12">
        <v>20</v>
      </c>
      <c r="D158" s="12">
        <v>7</v>
      </c>
      <c r="E158" s="12">
        <v>191015.21100000001</v>
      </c>
      <c r="F158" s="12">
        <v>-3</v>
      </c>
      <c r="G158" s="12">
        <v>4195462.1900000004</v>
      </c>
      <c r="H158" s="12">
        <v>-81040.320000000007</v>
      </c>
      <c r="I158" s="12">
        <v>-214285.72</v>
      </c>
      <c r="J158" s="12">
        <v>3900136.15</v>
      </c>
      <c r="K158" s="12">
        <v>175000</v>
      </c>
      <c r="L158" s="12">
        <v>0</v>
      </c>
      <c r="M158" s="12">
        <v>723925.85</v>
      </c>
      <c r="N158" s="12">
        <v>4799062</v>
      </c>
      <c r="O158" s="12">
        <v>0</v>
      </c>
      <c r="P158" s="12">
        <v>3900136.15</v>
      </c>
      <c r="Q158" s="12">
        <v>1088932</v>
      </c>
      <c r="R158" s="12">
        <v>2811204.15</v>
      </c>
      <c r="S158" s="12">
        <v>100000</v>
      </c>
      <c r="T158" s="12">
        <v>143</v>
      </c>
      <c r="U158" s="12">
        <v>0</v>
      </c>
      <c r="V158" s="12">
        <v>100000</v>
      </c>
      <c r="W158" s="35">
        <v>46144.261731053244</v>
      </c>
      <c r="X158" s="12">
        <v>9</v>
      </c>
      <c r="Y158" s="12">
        <v>11</v>
      </c>
      <c r="Z158" s="12">
        <v>1077100.8500000001</v>
      </c>
      <c r="AA158" s="12">
        <v>94862.490999999995</v>
      </c>
      <c r="AB158" s="12">
        <v>248551</v>
      </c>
      <c r="AC158" s="12">
        <v>828549.85</v>
      </c>
      <c r="AD158" s="12">
        <v>9</v>
      </c>
      <c r="AE158" s="12">
        <v>9</v>
      </c>
      <c r="AF158" s="12">
        <v>2823035.3</v>
      </c>
      <c r="AG158" s="12">
        <v>308535.201</v>
      </c>
      <c r="AH158" s="12">
        <v>840381</v>
      </c>
      <c r="AI158" s="12">
        <v>1982654.3</v>
      </c>
      <c r="AJ158" s="12">
        <v>0</v>
      </c>
      <c r="AK158" s="12">
        <v>0</v>
      </c>
      <c r="AL158" s="12">
        <v>0</v>
      </c>
      <c r="AM158" s="12"/>
      <c r="AN158" s="12">
        <v>0</v>
      </c>
      <c r="AO158" s="12">
        <v>0</v>
      </c>
      <c r="AP158" s="12">
        <v>907563.03</v>
      </c>
      <c r="AQ158" s="12">
        <v>1</v>
      </c>
      <c r="AR158" s="12">
        <v>907563.03</v>
      </c>
      <c r="AS158" s="12">
        <v>180000</v>
      </c>
      <c r="AT158" s="12">
        <v>1823823.54</v>
      </c>
      <c r="AU158" s="12">
        <v>18</v>
      </c>
      <c r="AV158" s="12">
        <v>96888.422000000006</v>
      </c>
      <c r="AW158" s="12">
        <v>528727</v>
      </c>
      <c r="AX158" s="12"/>
      <c r="AY158" s="12"/>
      <c r="AZ158" s="12"/>
      <c r="BA158" s="12"/>
      <c r="BB158" s="12">
        <v>1168749.58</v>
      </c>
      <c r="BC158" s="12">
        <v>1</v>
      </c>
      <c r="BD158" s="12">
        <v>1168749.58</v>
      </c>
      <c r="BE158" s="12">
        <v>380205</v>
      </c>
      <c r="BF158" s="12">
        <v>302</v>
      </c>
      <c r="BG158" s="12">
        <v>0</v>
      </c>
      <c r="BH158" s="12">
        <v>0</v>
      </c>
      <c r="BI158" s="12">
        <v>51</v>
      </c>
      <c r="BJ158" s="12">
        <v>0</v>
      </c>
      <c r="BK158" s="12">
        <v>0</v>
      </c>
      <c r="BL158" s="12">
        <v>28</v>
      </c>
      <c r="BM158" s="12">
        <v>0</v>
      </c>
      <c r="BN158" s="12">
        <v>0</v>
      </c>
      <c r="BO158" s="12">
        <v>10</v>
      </c>
      <c r="BP158" s="12">
        <v>0</v>
      </c>
      <c r="BQ158" s="12">
        <v>0</v>
      </c>
      <c r="BR158" s="12">
        <v>97</v>
      </c>
      <c r="BS158" s="12">
        <v>0</v>
      </c>
      <c r="BT158" s="12">
        <v>0</v>
      </c>
      <c r="BU158" s="12">
        <v>488</v>
      </c>
      <c r="BV158" s="12">
        <v>0</v>
      </c>
      <c r="BW158" s="12">
        <v>0</v>
      </c>
      <c r="BX158" s="12"/>
      <c r="BY158" s="12"/>
      <c r="BZ158" s="12"/>
      <c r="CA158" s="12">
        <v>39470.25</v>
      </c>
      <c r="CB158" s="13"/>
      <c r="CC158" s="13"/>
      <c r="CD158" s="13"/>
      <c r="CE158" s="12">
        <v>2859</v>
      </c>
      <c r="CF158" s="12">
        <v>365</v>
      </c>
      <c r="CG158" s="13">
        <v>48995</v>
      </c>
      <c r="CH158" s="13">
        <v>106</v>
      </c>
      <c r="CI158" s="13">
        <v>18839</v>
      </c>
    </row>
    <row r="159" spans="2:87" x14ac:dyDescent="0.2">
      <c r="B159" s="5">
        <v>45932</v>
      </c>
      <c r="C159" s="12">
        <v>11</v>
      </c>
      <c r="D159" s="12">
        <v>1.8</v>
      </c>
      <c r="E159" s="12">
        <v>106875.477</v>
      </c>
      <c r="F159" s="12">
        <v>0</v>
      </c>
      <c r="G159" s="12">
        <v>1175630.25</v>
      </c>
      <c r="H159" s="12">
        <v>0</v>
      </c>
      <c r="I159" s="12">
        <v>0</v>
      </c>
      <c r="J159" s="12">
        <v>1175630.25</v>
      </c>
      <c r="K159" s="12">
        <v>0</v>
      </c>
      <c r="L159" s="12">
        <v>0</v>
      </c>
      <c r="M159" s="12">
        <v>223369.75</v>
      </c>
      <c r="N159" s="12">
        <v>1399000</v>
      </c>
      <c r="O159" s="12">
        <v>0</v>
      </c>
      <c r="P159" s="12">
        <v>1175630.25</v>
      </c>
      <c r="Q159" s="12">
        <v>314764</v>
      </c>
      <c r="R159" s="12">
        <v>860866.25</v>
      </c>
      <c r="S159" s="12">
        <v>0</v>
      </c>
      <c r="T159" s="12">
        <v>20</v>
      </c>
      <c r="U159" s="12">
        <v>0</v>
      </c>
      <c r="V159" s="12">
        <v>0</v>
      </c>
      <c r="W159" s="35">
        <v>46144.261731053244</v>
      </c>
      <c r="X159" s="12">
        <v>7</v>
      </c>
      <c r="Y159" s="12">
        <v>7</v>
      </c>
      <c r="Z159" s="12">
        <v>829411.77</v>
      </c>
      <c r="AA159" s="12">
        <v>118487.395</v>
      </c>
      <c r="AB159" s="12">
        <v>241161</v>
      </c>
      <c r="AC159" s="12">
        <v>588250.77</v>
      </c>
      <c r="AD159" s="12">
        <v>4</v>
      </c>
      <c r="AE159" s="12">
        <v>4</v>
      </c>
      <c r="AF159" s="12">
        <v>346218.48</v>
      </c>
      <c r="AG159" s="12">
        <v>86554.62</v>
      </c>
      <c r="AH159" s="12">
        <v>73603</v>
      </c>
      <c r="AI159" s="12">
        <v>272615.48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>
        <v>1129411.76</v>
      </c>
      <c r="AU159" s="12">
        <v>10</v>
      </c>
      <c r="AV159" s="12">
        <v>112941.17600000001</v>
      </c>
      <c r="AW159" s="12">
        <v>300153</v>
      </c>
      <c r="AX159" s="12"/>
      <c r="AY159" s="12"/>
      <c r="AZ159" s="12"/>
      <c r="BA159" s="12"/>
      <c r="BB159" s="12"/>
      <c r="BC159" s="12"/>
      <c r="BD159" s="12"/>
      <c r="BE159" s="12"/>
      <c r="BF159" s="12">
        <v>230</v>
      </c>
      <c r="BG159" s="12">
        <v>0</v>
      </c>
      <c r="BH159" s="12">
        <v>0</v>
      </c>
      <c r="BI159" s="12">
        <v>48</v>
      </c>
      <c r="BJ159" s="12">
        <v>0</v>
      </c>
      <c r="BK159" s="12">
        <v>0</v>
      </c>
      <c r="BL159" s="12">
        <v>34</v>
      </c>
      <c r="BM159" s="12">
        <v>0</v>
      </c>
      <c r="BN159" s="12">
        <v>0</v>
      </c>
      <c r="BO159" s="12">
        <v>5</v>
      </c>
      <c r="BP159" s="12">
        <v>0</v>
      </c>
      <c r="BQ159" s="12">
        <v>0</v>
      </c>
      <c r="BR159" s="12">
        <v>81</v>
      </c>
      <c r="BS159" s="12">
        <v>0</v>
      </c>
      <c r="BT159" s="12">
        <v>0</v>
      </c>
      <c r="BU159" s="12">
        <v>398</v>
      </c>
      <c r="BV159" s="12">
        <v>0</v>
      </c>
      <c r="BW159" s="12">
        <v>0</v>
      </c>
      <c r="BX159" s="12"/>
      <c r="BY159" s="12"/>
      <c r="BZ159" s="12"/>
      <c r="CA159" s="12">
        <v>27868.5</v>
      </c>
      <c r="CB159" s="13"/>
      <c r="CC159" s="13"/>
      <c r="CD159" s="13"/>
      <c r="CE159" s="12">
        <v>1927</v>
      </c>
      <c r="CF159" s="12">
        <v>266</v>
      </c>
      <c r="CG159" s="13">
        <v>48799</v>
      </c>
      <c r="CH159" s="13">
        <v>94</v>
      </c>
      <c r="CI159" s="13">
        <v>20705</v>
      </c>
    </row>
    <row r="160" spans="2:87" x14ac:dyDescent="0.2">
      <c r="B160" s="5">
        <v>45933</v>
      </c>
      <c r="C160" s="12">
        <v>19</v>
      </c>
      <c r="D160" s="12">
        <v>1.8</v>
      </c>
      <c r="E160" s="12">
        <v>129588.677</v>
      </c>
      <c r="F160" s="12">
        <v>0</v>
      </c>
      <c r="G160" s="12">
        <v>2462184.88</v>
      </c>
      <c r="H160" s="12">
        <v>0</v>
      </c>
      <c r="I160" s="12">
        <v>0</v>
      </c>
      <c r="J160" s="12">
        <v>2462184.88</v>
      </c>
      <c r="K160" s="12">
        <v>36000</v>
      </c>
      <c r="L160" s="12">
        <v>0</v>
      </c>
      <c r="M160" s="12">
        <v>467815.12</v>
      </c>
      <c r="N160" s="12">
        <v>2966000</v>
      </c>
      <c r="O160" s="12">
        <v>159663.87</v>
      </c>
      <c r="P160" s="12">
        <v>2302521.0099999998</v>
      </c>
      <c r="Q160" s="12">
        <v>739085</v>
      </c>
      <c r="R160" s="12">
        <v>1563436.01</v>
      </c>
      <c r="S160" s="12">
        <v>0</v>
      </c>
      <c r="T160" s="12">
        <v>35</v>
      </c>
      <c r="U160" s="12">
        <v>0</v>
      </c>
      <c r="V160" s="12">
        <v>0</v>
      </c>
      <c r="W160" s="35">
        <v>46144.261731053244</v>
      </c>
      <c r="X160" s="12">
        <v>9</v>
      </c>
      <c r="Y160" s="12">
        <v>10</v>
      </c>
      <c r="Z160" s="12">
        <v>1256302.52</v>
      </c>
      <c r="AA160" s="12">
        <v>125630.25199999999</v>
      </c>
      <c r="AB160" s="12">
        <v>460692</v>
      </c>
      <c r="AC160" s="12">
        <v>795610.52</v>
      </c>
      <c r="AD160" s="12">
        <v>9</v>
      </c>
      <c r="AE160" s="12">
        <v>9</v>
      </c>
      <c r="AF160" s="12">
        <v>1205882.3600000001</v>
      </c>
      <c r="AG160" s="12">
        <v>133986.92800000001</v>
      </c>
      <c r="AH160" s="12">
        <v>278393</v>
      </c>
      <c r="AI160" s="12">
        <v>767825.49</v>
      </c>
      <c r="AJ160" s="12"/>
      <c r="AK160" s="12"/>
      <c r="AL160" s="12"/>
      <c r="AM160" s="12"/>
      <c r="AN160" s="12"/>
      <c r="AO160" s="12"/>
      <c r="AP160" s="12">
        <v>315126.05</v>
      </c>
      <c r="AQ160" s="12">
        <v>2</v>
      </c>
      <c r="AR160" s="12">
        <v>157563.02499999999</v>
      </c>
      <c r="AS160" s="12">
        <v>82230</v>
      </c>
      <c r="AT160" s="12">
        <v>2092436.98</v>
      </c>
      <c r="AU160" s="12">
        <v>16</v>
      </c>
      <c r="AV160" s="12">
        <v>130777.311</v>
      </c>
      <c r="AW160" s="12">
        <v>644756</v>
      </c>
      <c r="AX160" s="12">
        <v>54621.85</v>
      </c>
      <c r="AY160" s="12">
        <v>1</v>
      </c>
      <c r="AZ160" s="12">
        <v>54621.85</v>
      </c>
      <c r="BA160" s="12">
        <v>12099</v>
      </c>
      <c r="BB160" s="12"/>
      <c r="BC160" s="12"/>
      <c r="BD160" s="12"/>
      <c r="BE160" s="12"/>
      <c r="BF160" s="12">
        <v>489</v>
      </c>
      <c r="BG160" s="12">
        <v>0</v>
      </c>
      <c r="BH160" s="12">
        <v>0</v>
      </c>
      <c r="BI160" s="12">
        <v>29</v>
      </c>
      <c r="BJ160" s="12">
        <v>1</v>
      </c>
      <c r="BK160" s="12">
        <v>3.4482758620689655E-2</v>
      </c>
      <c r="BL160" s="12">
        <v>42</v>
      </c>
      <c r="BM160" s="12">
        <v>0</v>
      </c>
      <c r="BN160" s="12">
        <v>0</v>
      </c>
      <c r="BO160" s="12">
        <v>6</v>
      </c>
      <c r="BP160" s="12">
        <v>0</v>
      </c>
      <c r="BQ160" s="12">
        <v>0</v>
      </c>
      <c r="BR160" s="12">
        <v>70</v>
      </c>
      <c r="BS160" s="12">
        <v>4</v>
      </c>
      <c r="BT160" s="12">
        <v>5.7142857142857141E-2</v>
      </c>
      <c r="BU160" s="12">
        <v>636</v>
      </c>
      <c r="BV160" s="12">
        <v>5</v>
      </c>
      <c r="BW160" s="12">
        <v>7.8616352201257862E-3</v>
      </c>
      <c r="BX160" s="12"/>
      <c r="BY160" s="12"/>
      <c r="BZ160" s="12"/>
      <c r="CA160" s="12">
        <v>75244.67</v>
      </c>
      <c r="CB160" s="13"/>
      <c r="CC160" s="13"/>
      <c r="CD160" s="13"/>
      <c r="CE160" s="12">
        <v>3360</v>
      </c>
      <c r="CF160" s="12">
        <v>537</v>
      </c>
      <c r="CG160" s="13">
        <v>51306</v>
      </c>
      <c r="CH160" s="13">
        <v>67</v>
      </c>
      <c r="CI160" s="13">
        <v>17665</v>
      </c>
    </row>
    <row r="161" spans="2:87" x14ac:dyDescent="0.2">
      <c r="B161" s="5">
        <v>45934</v>
      </c>
      <c r="C161" s="12">
        <v>11</v>
      </c>
      <c r="D161" s="12">
        <v>4.4000000000000004</v>
      </c>
      <c r="E161" s="12">
        <v>191291.06200000001</v>
      </c>
      <c r="F161" s="12">
        <v>-1</v>
      </c>
      <c r="G161" s="12">
        <v>2168907.5699999998</v>
      </c>
      <c r="H161" s="12">
        <v>0</v>
      </c>
      <c r="I161" s="12">
        <v>-18487.39</v>
      </c>
      <c r="J161" s="12">
        <v>2150420.1800000002</v>
      </c>
      <c r="K161" s="12">
        <v>18000</v>
      </c>
      <c r="L161" s="12">
        <v>0</v>
      </c>
      <c r="M161" s="12">
        <v>408579.82</v>
      </c>
      <c r="N161" s="12">
        <v>2577000</v>
      </c>
      <c r="O161" s="12">
        <v>29411.759999999998</v>
      </c>
      <c r="P161" s="12">
        <v>2121008.42</v>
      </c>
      <c r="Q161" s="12">
        <v>573397</v>
      </c>
      <c r="R161" s="12">
        <v>1547611.42</v>
      </c>
      <c r="S161" s="12">
        <v>0</v>
      </c>
      <c r="T161" s="12">
        <v>49</v>
      </c>
      <c r="U161" s="12">
        <v>0</v>
      </c>
      <c r="V161" s="12">
        <v>0</v>
      </c>
      <c r="W161" s="35">
        <v>46144.261731053244</v>
      </c>
      <c r="X161" s="12">
        <v>6</v>
      </c>
      <c r="Y161" s="12">
        <v>7</v>
      </c>
      <c r="Z161" s="12">
        <v>1818487.4</v>
      </c>
      <c r="AA161" s="12">
        <v>253181.272</v>
      </c>
      <c r="AB161" s="12">
        <v>480064</v>
      </c>
      <c r="AC161" s="12">
        <v>1309011.6399999999</v>
      </c>
      <c r="AD161" s="12">
        <v>4</v>
      </c>
      <c r="AE161" s="12">
        <v>4</v>
      </c>
      <c r="AF161" s="12">
        <v>331932.78000000003</v>
      </c>
      <c r="AG161" s="12">
        <v>82983.195000000007</v>
      </c>
      <c r="AH161" s="12">
        <v>93333</v>
      </c>
      <c r="AI161" s="12">
        <v>238599.78</v>
      </c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>
        <v>2150420.1800000002</v>
      </c>
      <c r="AU161" s="12">
        <v>11</v>
      </c>
      <c r="AV161" s="12">
        <v>191291.06200000001</v>
      </c>
      <c r="AW161" s="12">
        <v>573397</v>
      </c>
      <c r="AX161" s="12"/>
      <c r="AY161" s="12"/>
      <c r="AZ161" s="12"/>
      <c r="BA161" s="12"/>
      <c r="BB161" s="12"/>
      <c r="BC161" s="12"/>
      <c r="BD161" s="12"/>
      <c r="BE161" s="12"/>
      <c r="BF161" s="12">
        <v>383</v>
      </c>
      <c r="BG161" s="12">
        <v>0</v>
      </c>
      <c r="BH161" s="12">
        <v>0</v>
      </c>
      <c r="BI161" s="12">
        <v>75</v>
      </c>
      <c r="BJ161" s="12">
        <v>0</v>
      </c>
      <c r="BK161" s="12">
        <v>0</v>
      </c>
      <c r="BL161" s="12">
        <v>27</v>
      </c>
      <c r="BM161" s="12">
        <v>0</v>
      </c>
      <c r="BN161" s="12">
        <v>0</v>
      </c>
      <c r="BO161" s="12">
        <v>8</v>
      </c>
      <c r="BP161" s="12">
        <v>0</v>
      </c>
      <c r="BQ161" s="12">
        <v>0</v>
      </c>
      <c r="BR161" s="12">
        <v>68</v>
      </c>
      <c r="BS161" s="12">
        <v>1</v>
      </c>
      <c r="BT161" s="12">
        <v>1.4705882352941176E-2</v>
      </c>
      <c r="BU161" s="12">
        <v>561</v>
      </c>
      <c r="BV161" s="12">
        <v>1</v>
      </c>
      <c r="BW161" s="12">
        <v>1.7825311942959001E-3</v>
      </c>
      <c r="BX161" s="12"/>
      <c r="BY161" s="12"/>
      <c r="BZ161" s="12"/>
      <c r="CA161" s="12">
        <v>45695.69</v>
      </c>
      <c r="CB161" s="13"/>
      <c r="CC161" s="13"/>
      <c r="CD161" s="13"/>
      <c r="CE161" s="12">
        <v>2940</v>
      </c>
      <c r="CF161" s="12">
        <v>420</v>
      </c>
      <c r="CG161" s="13">
        <v>51644</v>
      </c>
      <c r="CH161" s="13">
        <v>110</v>
      </c>
      <c r="CI161" s="13">
        <v>19300</v>
      </c>
    </row>
    <row r="162" spans="2:87" x14ac:dyDescent="0.2">
      <c r="B162" s="5">
        <v>45935</v>
      </c>
      <c r="C162" s="12">
        <v>14</v>
      </c>
      <c r="D162" s="12">
        <v>2</v>
      </c>
      <c r="E162" s="12">
        <v>134372.74799999999</v>
      </c>
      <c r="F162" s="12">
        <v>0</v>
      </c>
      <c r="G162" s="12">
        <v>1881218.48</v>
      </c>
      <c r="H162" s="12">
        <v>0</v>
      </c>
      <c r="I162" s="12">
        <v>0</v>
      </c>
      <c r="J162" s="12">
        <v>1881218.48</v>
      </c>
      <c r="K162" s="12">
        <v>119000</v>
      </c>
      <c r="L162" s="12">
        <v>0</v>
      </c>
      <c r="M162" s="12">
        <v>350781.52</v>
      </c>
      <c r="N162" s="12">
        <v>2351000</v>
      </c>
      <c r="O162" s="12">
        <v>0</v>
      </c>
      <c r="P162" s="12">
        <v>1881218.48</v>
      </c>
      <c r="Q162" s="12">
        <v>550722</v>
      </c>
      <c r="R162" s="12">
        <v>1330496.48</v>
      </c>
      <c r="S162" s="12">
        <v>0</v>
      </c>
      <c r="T162" s="12">
        <v>28</v>
      </c>
      <c r="U162" s="12">
        <v>0</v>
      </c>
      <c r="V162" s="12">
        <v>0</v>
      </c>
      <c r="W162" s="35">
        <v>46144.261731053244</v>
      </c>
      <c r="X162" s="12">
        <v>5</v>
      </c>
      <c r="Y162" s="12">
        <v>7</v>
      </c>
      <c r="Z162" s="12">
        <v>842016.81</v>
      </c>
      <c r="AA162" s="12">
        <v>120288.11500000001</v>
      </c>
      <c r="AB162" s="12">
        <v>248137</v>
      </c>
      <c r="AC162" s="12">
        <v>593879.81000000006</v>
      </c>
      <c r="AD162" s="12">
        <v>7</v>
      </c>
      <c r="AE162" s="12">
        <v>7</v>
      </c>
      <c r="AF162" s="12">
        <v>1039201.67</v>
      </c>
      <c r="AG162" s="12">
        <v>148457.38099999999</v>
      </c>
      <c r="AH162" s="12">
        <v>302585</v>
      </c>
      <c r="AI162" s="12">
        <v>736616.67</v>
      </c>
      <c r="AJ162" s="12"/>
      <c r="AK162" s="12"/>
      <c r="AL162" s="12"/>
      <c r="AM162" s="12"/>
      <c r="AN162" s="12"/>
      <c r="AO162" s="12"/>
      <c r="AP162" s="12">
        <v>525210.07999999996</v>
      </c>
      <c r="AQ162" s="12">
        <v>3</v>
      </c>
      <c r="AR162" s="12">
        <v>175070.02600000001</v>
      </c>
      <c r="AS162" s="12">
        <v>146628</v>
      </c>
      <c r="AT162" s="12">
        <v>1356008.4</v>
      </c>
      <c r="AU162" s="12">
        <v>11</v>
      </c>
      <c r="AV162" s="12">
        <v>123273.49</v>
      </c>
      <c r="AW162" s="12">
        <v>404094</v>
      </c>
      <c r="AX162" s="12"/>
      <c r="AY162" s="12"/>
      <c r="AZ162" s="12"/>
      <c r="BA162" s="12"/>
      <c r="BB162" s="12"/>
      <c r="BC162" s="12"/>
      <c r="BD162" s="12"/>
      <c r="BE162" s="12"/>
      <c r="BF162" s="12">
        <v>327</v>
      </c>
      <c r="BG162" s="12">
        <v>0</v>
      </c>
      <c r="BH162" s="12">
        <v>0</v>
      </c>
      <c r="BI162" s="12">
        <v>110</v>
      </c>
      <c r="BJ162" s="12">
        <v>2</v>
      </c>
      <c r="BK162" s="12">
        <v>1.8181818181818181E-2</v>
      </c>
      <c r="BL162" s="12">
        <v>22</v>
      </c>
      <c r="BM162" s="12">
        <v>0</v>
      </c>
      <c r="BN162" s="12">
        <v>0</v>
      </c>
      <c r="BO162" s="12">
        <v>3</v>
      </c>
      <c r="BP162" s="12">
        <v>0</v>
      </c>
      <c r="BQ162" s="12">
        <v>0</v>
      </c>
      <c r="BR162" s="12">
        <v>114</v>
      </c>
      <c r="BS162" s="12">
        <v>3</v>
      </c>
      <c r="BT162" s="12">
        <v>2.6315789473684209E-2</v>
      </c>
      <c r="BU162" s="12">
        <v>576</v>
      </c>
      <c r="BV162" s="12">
        <v>5</v>
      </c>
      <c r="BW162" s="12">
        <v>8.6805555555555559E-3</v>
      </c>
      <c r="BX162" s="12"/>
      <c r="BY162" s="12"/>
      <c r="BZ162" s="12"/>
      <c r="CA162" s="12">
        <v>43303.17</v>
      </c>
      <c r="CB162" s="13"/>
      <c r="CC162" s="13"/>
      <c r="CD162" s="13"/>
      <c r="CE162" s="12">
        <v>2804</v>
      </c>
      <c r="CF162" s="12">
        <v>380</v>
      </c>
      <c r="CG162" s="13">
        <v>54223</v>
      </c>
      <c r="CH162" s="13">
        <v>151</v>
      </c>
      <c r="CI162" s="13">
        <v>22106</v>
      </c>
    </row>
    <row r="163" spans="2:87" x14ac:dyDescent="0.2">
      <c r="B163" s="5">
        <v>45936</v>
      </c>
      <c r="C163" s="12">
        <v>20</v>
      </c>
      <c r="D163" s="12">
        <v>10</v>
      </c>
      <c r="E163" s="12">
        <v>189726.94</v>
      </c>
      <c r="F163" s="12">
        <v>0</v>
      </c>
      <c r="G163" s="12">
        <v>4078152.25</v>
      </c>
      <c r="H163" s="12">
        <v>-283613.44</v>
      </c>
      <c r="I163" s="12">
        <v>0</v>
      </c>
      <c r="J163" s="12">
        <v>3794538.81</v>
      </c>
      <c r="K163" s="12">
        <v>56000</v>
      </c>
      <c r="L163" s="12">
        <v>0</v>
      </c>
      <c r="M163" s="12">
        <v>720962.19</v>
      </c>
      <c r="N163" s="12">
        <v>4571501</v>
      </c>
      <c r="O163" s="12">
        <v>1607143.86</v>
      </c>
      <c r="P163" s="12">
        <v>2187394.9500000002</v>
      </c>
      <c r="Q163" s="12">
        <v>689534</v>
      </c>
      <c r="R163" s="12">
        <v>1497860.95</v>
      </c>
      <c r="S163" s="12">
        <v>0</v>
      </c>
      <c r="T163" s="12">
        <v>199</v>
      </c>
      <c r="U163" s="12">
        <v>0</v>
      </c>
      <c r="V163" s="12">
        <v>0</v>
      </c>
      <c r="W163" s="35">
        <v>46144.261731053244</v>
      </c>
      <c r="X163" s="12">
        <v>6</v>
      </c>
      <c r="Y163" s="12">
        <v>7</v>
      </c>
      <c r="Z163" s="12">
        <v>2555043.02</v>
      </c>
      <c r="AA163" s="12">
        <v>365006.14500000002</v>
      </c>
      <c r="AB163" s="12">
        <v>296868</v>
      </c>
      <c r="AC163" s="12">
        <v>651031.16</v>
      </c>
      <c r="AD163" s="12">
        <v>13</v>
      </c>
      <c r="AE163" s="12">
        <v>13</v>
      </c>
      <c r="AF163" s="12">
        <v>1239495.79</v>
      </c>
      <c r="AG163" s="12">
        <v>95345.83</v>
      </c>
      <c r="AH163" s="12">
        <v>392666</v>
      </c>
      <c r="AI163" s="12">
        <v>846829.79</v>
      </c>
      <c r="AJ163" s="12"/>
      <c r="AK163" s="12"/>
      <c r="AL163" s="12"/>
      <c r="AM163" s="12"/>
      <c r="AN163" s="12"/>
      <c r="AO163" s="12"/>
      <c r="AP163" s="12">
        <v>487394.96</v>
      </c>
      <c r="AQ163" s="12">
        <v>4</v>
      </c>
      <c r="AR163" s="12">
        <v>121848.74</v>
      </c>
      <c r="AS163" s="12">
        <v>137492</v>
      </c>
      <c r="AT163" s="12">
        <v>1645379.14</v>
      </c>
      <c r="AU163" s="12">
        <v>14</v>
      </c>
      <c r="AV163" s="12">
        <v>117527.08100000001</v>
      </c>
      <c r="AW163" s="12">
        <v>539943</v>
      </c>
      <c r="AX163" s="12">
        <v>54621.85</v>
      </c>
      <c r="AY163" s="12">
        <v>1</v>
      </c>
      <c r="AZ163" s="12">
        <v>54621.85</v>
      </c>
      <c r="BA163" s="12">
        <v>12099</v>
      </c>
      <c r="BB163" s="12">
        <v>1607142.86</v>
      </c>
      <c r="BC163" s="12">
        <v>1</v>
      </c>
      <c r="BD163" s="12">
        <v>1607142.86</v>
      </c>
      <c r="BE163" s="12">
        <v>0</v>
      </c>
      <c r="BF163" s="12">
        <v>332</v>
      </c>
      <c r="BG163" s="12">
        <v>0</v>
      </c>
      <c r="BH163" s="12">
        <v>0</v>
      </c>
      <c r="BI163" s="12">
        <v>121</v>
      </c>
      <c r="BJ163" s="12">
        <v>2</v>
      </c>
      <c r="BK163" s="12">
        <v>1.6528925619834711E-2</v>
      </c>
      <c r="BL163" s="12">
        <v>36</v>
      </c>
      <c r="BM163" s="12">
        <v>0</v>
      </c>
      <c r="BN163" s="12">
        <v>0</v>
      </c>
      <c r="BO163" s="12">
        <v>8</v>
      </c>
      <c r="BP163" s="12">
        <v>0</v>
      </c>
      <c r="BQ163" s="12">
        <v>0</v>
      </c>
      <c r="BR163" s="12">
        <v>86</v>
      </c>
      <c r="BS163" s="12">
        <v>3</v>
      </c>
      <c r="BT163" s="12">
        <v>3.4883720930232558E-2</v>
      </c>
      <c r="BU163" s="12">
        <v>583</v>
      </c>
      <c r="BV163" s="12">
        <v>5</v>
      </c>
      <c r="BW163" s="12">
        <v>8.5763293310463125E-3</v>
      </c>
      <c r="BX163" s="12"/>
      <c r="BY163" s="12"/>
      <c r="BZ163" s="12"/>
      <c r="CA163" s="12">
        <v>46592.35</v>
      </c>
      <c r="CB163" s="13"/>
      <c r="CC163" s="13"/>
      <c r="CD163" s="13"/>
      <c r="CE163" s="12">
        <v>2490</v>
      </c>
      <c r="CF163" s="12">
        <v>361</v>
      </c>
      <c r="CG163" s="13">
        <v>51071</v>
      </c>
      <c r="CH163" s="13">
        <v>125</v>
      </c>
      <c r="CI163" s="13">
        <v>21181</v>
      </c>
    </row>
    <row r="164" spans="2:87" x14ac:dyDescent="0.2">
      <c r="B164" s="5">
        <v>45937</v>
      </c>
      <c r="C164" s="12">
        <v>12</v>
      </c>
      <c r="D164" s="12">
        <v>2.2999999999999998</v>
      </c>
      <c r="E164" s="12">
        <v>116176.47</v>
      </c>
      <c r="F164" s="12">
        <v>-1</v>
      </c>
      <c r="G164" s="12">
        <v>1550420.17</v>
      </c>
      <c r="H164" s="12">
        <v>0</v>
      </c>
      <c r="I164" s="12">
        <v>-124369.75</v>
      </c>
      <c r="J164" s="12">
        <v>1426050.42</v>
      </c>
      <c r="K164" s="12">
        <v>59000</v>
      </c>
      <c r="L164" s="12">
        <v>0</v>
      </c>
      <c r="M164" s="12">
        <v>270949.58</v>
      </c>
      <c r="N164" s="12">
        <v>1756000</v>
      </c>
      <c r="O164" s="12">
        <v>0</v>
      </c>
      <c r="P164" s="12">
        <v>1426050.42</v>
      </c>
      <c r="Q164" s="12">
        <v>403217</v>
      </c>
      <c r="R164" s="12">
        <v>1022833.42</v>
      </c>
      <c r="S164" s="12">
        <v>0</v>
      </c>
      <c r="T164" s="12">
        <v>28</v>
      </c>
      <c r="U164" s="12">
        <v>0</v>
      </c>
      <c r="V164" s="12">
        <v>0</v>
      </c>
      <c r="W164" s="35">
        <v>46144.261731053244</v>
      </c>
      <c r="X164" s="12">
        <v>6</v>
      </c>
      <c r="Y164" s="12">
        <v>6</v>
      </c>
      <c r="Z164" s="12">
        <v>590756.30000000005</v>
      </c>
      <c r="AA164" s="12">
        <v>93137.255000000005</v>
      </c>
      <c r="AB164" s="12">
        <v>161207</v>
      </c>
      <c r="AC164" s="12">
        <v>429549.3</v>
      </c>
      <c r="AD164" s="12">
        <v>6</v>
      </c>
      <c r="AE164" s="12">
        <v>6</v>
      </c>
      <c r="AF164" s="12">
        <v>835294.12</v>
      </c>
      <c r="AG164" s="12">
        <v>139215.68599999999</v>
      </c>
      <c r="AH164" s="12">
        <v>242010</v>
      </c>
      <c r="AI164" s="12">
        <v>593284.12</v>
      </c>
      <c r="AJ164" s="12"/>
      <c r="AK164" s="12"/>
      <c r="AL164" s="12"/>
      <c r="AM164" s="12"/>
      <c r="AN164" s="12"/>
      <c r="AO164" s="12"/>
      <c r="AP164" s="12">
        <v>340336.14</v>
      </c>
      <c r="AQ164" s="12">
        <v>3</v>
      </c>
      <c r="AR164" s="12">
        <v>113445.38</v>
      </c>
      <c r="AS164" s="12">
        <v>117247</v>
      </c>
      <c r="AT164" s="12">
        <v>799999.99</v>
      </c>
      <c r="AU164" s="12">
        <v>7</v>
      </c>
      <c r="AV164" s="12">
        <v>109723.88800000001</v>
      </c>
      <c r="AW164" s="12">
        <v>210230</v>
      </c>
      <c r="AX164" s="12">
        <v>121848.74</v>
      </c>
      <c r="AY164" s="12">
        <v>1</v>
      </c>
      <c r="AZ164" s="12">
        <v>121848.74</v>
      </c>
      <c r="BA164" s="12">
        <v>37385</v>
      </c>
      <c r="BB164" s="12"/>
      <c r="BC164" s="12"/>
      <c r="BD164" s="12"/>
      <c r="BE164" s="12"/>
      <c r="BF164" s="12">
        <v>374</v>
      </c>
      <c r="BG164" s="12">
        <v>0</v>
      </c>
      <c r="BH164" s="12">
        <v>0</v>
      </c>
      <c r="BI164" s="12">
        <v>89</v>
      </c>
      <c r="BJ164" s="12">
        <v>1</v>
      </c>
      <c r="BK164" s="12">
        <v>1.1235955056179775E-2</v>
      </c>
      <c r="BL164" s="12">
        <v>38</v>
      </c>
      <c r="BM164" s="12">
        <v>1</v>
      </c>
      <c r="BN164" s="12">
        <v>2.6315789473684209E-2</v>
      </c>
      <c r="BO164" s="12">
        <v>10</v>
      </c>
      <c r="BP164" s="12">
        <v>0</v>
      </c>
      <c r="BQ164" s="12">
        <v>0</v>
      </c>
      <c r="BR164" s="12">
        <v>76</v>
      </c>
      <c r="BS164" s="12">
        <v>1</v>
      </c>
      <c r="BT164" s="12">
        <v>1.3157894736842105E-2</v>
      </c>
      <c r="BU164" s="12">
        <v>587</v>
      </c>
      <c r="BV164" s="12">
        <v>3</v>
      </c>
      <c r="BW164" s="12">
        <v>5.1107325383304937E-3</v>
      </c>
      <c r="BX164" s="12"/>
      <c r="BY164" s="12"/>
      <c r="BZ164" s="12"/>
      <c r="CA164" s="12">
        <v>55168.1</v>
      </c>
      <c r="CB164" s="13"/>
      <c r="CC164" s="13"/>
      <c r="CD164" s="13"/>
      <c r="CE164" s="12">
        <v>2909</v>
      </c>
      <c r="CF164" s="12">
        <v>450</v>
      </c>
      <c r="CG164" s="13">
        <v>54482</v>
      </c>
      <c r="CH164" s="13">
        <v>136</v>
      </c>
      <c r="CI164" s="13">
        <v>18442</v>
      </c>
    </row>
    <row r="165" spans="2:87" x14ac:dyDescent="0.2">
      <c r="B165" s="5">
        <v>45938</v>
      </c>
      <c r="C165" s="12">
        <v>14</v>
      </c>
      <c r="D165" s="12">
        <v>1.8</v>
      </c>
      <c r="E165" s="12">
        <v>96221.487999999998</v>
      </c>
      <c r="F165" s="12">
        <v>0</v>
      </c>
      <c r="G165" s="12">
        <v>1377100.84</v>
      </c>
      <c r="H165" s="12">
        <v>0</v>
      </c>
      <c r="I165" s="12">
        <v>0</v>
      </c>
      <c r="J165" s="12">
        <v>1377100.84</v>
      </c>
      <c r="K165" s="12">
        <v>50500</v>
      </c>
      <c r="L165" s="12">
        <v>0</v>
      </c>
      <c r="M165" s="12">
        <v>247399.16</v>
      </c>
      <c r="N165" s="12">
        <v>1675000</v>
      </c>
      <c r="O165" s="12">
        <v>0</v>
      </c>
      <c r="P165" s="12">
        <v>1377100.84</v>
      </c>
      <c r="Q165" s="12">
        <v>413793</v>
      </c>
      <c r="R165" s="12">
        <v>963307.84</v>
      </c>
      <c r="S165" s="12">
        <v>0</v>
      </c>
      <c r="T165" s="12">
        <v>26</v>
      </c>
      <c r="U165" s="12">
        <v>0</v>
      </c>
      <c r="V165" s="12">
        <v>0</v>
      </c>
      <c r="W165" s="35">
        <v>46144.261731053244</v>
      </c>
      <c r="X165" s="12">
        <v>7</v>
      </c>
      <c r="Y165" s="12">
        <v>7</v>
      </c>
      <c r="Z165" s="12">
        <v>735924.38</v>
      </c>
      <c r="AA165" s="12">
        <v>100846.34</v>
      </c>
      <c r="AB165" s="12">
        <v>232244</v>
      </c>
      <c r="AC165" s="12">
        <v>503680.38</v>
      </c>
      <c r="AD165" s="12">
        <v>7</v>
      </c>
      <c r="AE165" s="12">
        <v>7</v>
      </c>
      <c r="AF165" s="12">
        <v>641176.46</v>
      </c>
      <c r="AG165" s="12">
        <v>91596.637000000002</v>
      </c>
      <c r="AH165" s="12">
        <v>181549</v>
      </c>
      <c r="AI165" s="12">
        <v>459627.46</v>
      </c>
      <c r="AJ165" s="12"/>
      <c r="AK165" s="12"/>
      <c r="AL165" s="12"/>
      <c r="AM165" s="12"/>
      <c r="AN165" s="12"/>
      <c r="AO165" s="12"/>
      <c r="AP165" s="12">
        <v>700462.19</v>
      </c>
      <c r="AQ165" s="12">
        <v>6</v>
      </c>
      <c r="AR165" s="12">
        <v>116743.698</v>
      </c>
      <c r="AS165" s="12">
        <v>236221</v>
      </c>
      <c r="AT165" s="12">
        <v>676638.65</v>
      </c>
      <c r="AU165" s="12">
        <v>8</v>
      </c>
      <c r="AV165" s="12">
        <v>80829.831000000006</v>
      </c>
      <c r="AW165" s="12">
        <v>177572</v>
      </c>
      <c r="AX165" s="12"/>
      <c r="AY165" s="12"/>
      <c r="AZ165" s="12"/>
      <c r="BA165" s="12"/>
      <c r="BB165" s="12"/>
      <c r="BC165" s="12"/>
      <c r="BD165" s="12"/>
      <c r="BE165" s="12"/>
      <c r="BF165" s="12">
        <v>317</v>
      </c>
      <c r="BG165" s="12">
        <v>0</v>
      </c>
      <c r="BH165" s="12">
        <v>0</v>
      </c>
      <c r="BI165" s="12">
        <v>63</v>
      </c>
      <c r="BJ165" s="12">
        <v>0</v>
      </c>
      <c r="BK165" s="12">
        <v>0</v>
      </c>
      <c r="BL165" s="12">
        <v>33</v>
      </c>
      <c r="BM165" s="12">
        <v>2</v>
      </c>
      <c r="BN165" s="12">
        <v>6.0606060606060608E-2</v>
      </c>
      <c r="BO165" s="12">
        <v>6</v>
      </c>
      <c r="BP165" s="12">
        <v>0</v>
      </c>
      <c r="BQ165" s="12">
        <v>0</v>
      </c>
      <c r="BR165" s="12">
        <v>193</v>
      </c>
      <c r="BS165" s="12">
        <v>4</v>
      </c>
      <c r="BT165" s="12">
        <v>2.072538860103627E-2</v>
      </c>
      <c r="BU165" s="12">
        <v>612</v>
      </c>
      <c r="BV165" s="12">
        <v>6</v>
      </c>
      <c r="BW165" s="12">
        <v>9.8039215686274508E-3</v>
      </c>
      <c r="BX165" s="12"/>
      <c r="BY165" s="12"/>
      <c r="BZ165" s="12"/>
      <c r="CA165" s="12">
        <v>43222.879999999997</v>
      </c>
      <c r="CB165" s="13"/>
      <c r="CC165" s="13"/>
      <c r="CD165" s="13"/>
      <c r="CE165" s="12">
        <v>3177</v>
      </c>
      <c r="CF165" s="12">
        <v>364</v>
      </c>
      <c r="CG165" s="13">
        <v>50010</v>
      </c>
      <c r="CH165" s="13">
        <v>91</v>
      </c>
      <c r="CI165" s="13">
        <v>17371</v>
      </c>
    </row>
    <row r="166" spans="2:87" x14ac:dyDescent="0.2">
      <c r="B166" s="5">
        <v>45939</v>
      </c>
      <c r="C166" s="12">
        <v>19</v>
      </c>
      <c r="D166" s="12">
        <v>2.1</v>
      </c>
      <c r="E166" s="12">
        <v>117700.177</v>
      </c>
      <c r="F166" s="12">
        <v>0</v>
      </c>
      <c r="G166" s="12">
        <v>2236303.37</v>
      </c>
      <c r="H166" s="12">
        <v>0</v>
      </c>
      <c r="I166" s="12">
        <v>0</v>
      </c>
      <c r="J166" s="12">
        <v>2236303.37</v>
      </c>
      <c r="K166" s="12">
        <v>33500</v>
      </c>
      <c r="L166" s="12">
        <v>0</v>
      </c>
      <c r="M166" s="12">
        <v>419197.63</v>
      </c>
      <c r="N166" s="12">
        <v>2689001</v>
      </c>
      <c r="O166" s="12">
        <v>0.84</v>
      </c>
      <c r="P166" s="12">
        <v>2236302.5299999998</v>
      </c>
      <c r="Q166" s="12">
        <v>678608</v>
      </c>
      <c r="R166" s="12">
        <v>1557694.53</v>
      </c>
      <c r="S166" s="12">
        <v>0</v>
      </c>
      <c r="T166" s="12">
        <v>40</v>
      </c>
      <c r="U166" s="12">
        <v>0</v>
      </c>
      <c r="V166" s="12">
        <v>0</v>
      </c>
      <c r="W166" s="35">
        <v>46144.261731053244</v>
      </c>
      <c r="X166" s="12">
        <v>9</v>
      </c>
      <c r="Y166" s="12">
        <v>10</v>
      </c>
      <c r="Z166" s="12">
        <v>1625210.92</v>
      </c>
      <c r="AA166" s="12">
        <v>162521.092</v>
      </c>
      <c r="AB166" s="12">
        <v>496162</v>
      </c>
      <c r="AC166" s="12">
        <v>1129048.08</v>
      </c>
      <c r="AD166" s="12">
        <v>9</v>
      </c>
      <c r="AE166" s="12">
        <v>9</v>
      </c>
      <c r="AF166" s="12">
        <v>611092.44999999995</v>
      </c>
      <c r="AG166" s="12">
        <v>67899.160999999993</v>
      </c>
      <c r="AH166" s="12">
        <v>182446</v>
      </c>
      <c r="AI166" s="12">
        <v>428646.45</v>
      </c>
      <c r="AJ166" s="12"/>
      <c r="AK166" s="12"/>
      <c r="AL166" s="12"/>
      <c r="AM166" s="12"/>
      <c r="AN166" s="12"/>
      <c r="AO166" s="12"/>
      <c r="AP166" s="12">
        <v>134454.62</v>
      </c>
      <c r="AQ166" s="12">
        <v>3</v>
      </c>
      <c r="AR166" s="12">
        <v>44818.205999999998</v>
      </c>
      <c r="AS166" s="12">
        <v>37785</v>
      </c>
      <c r="AT166" s="12">
        <v>1950588.24</v>
      </c>
      <c r="AU166" s="12">
        <v>13</v>
      </c>
      <c r="AV166" s="12">
        <v>150045.24900000001</v>
      </c>
      <c r="AW166" s="12">
        <v>602054</v>
      </c>
      <c r="AX166" s="12">
        <v>151260.51</v>
      </c>
      <c r="AY166" s="12">
        <v>3</v>
      </c>
      <c r="AZ166" s="12">
        <v>50420.17</v>
      </c>
      <c r="BA166" s="12">
        <v>38769</v>
      </c>
      <c r="BB166" s="12"/>
      <c r="BC166" s="12"/>
      <c r="BD166" s="12"/>
      <c r="BE166" s="12"/>
      <c r="BF166" s="12">
        <v>386</v>
      </c>
      <c r="BG166" s="12">
        <v>0</v>
      </c>
      <c r="BH166" s="12">
        <v>0</v>
      </c>
      <c r="BI166" s="12">
        <v>71</v>
      </c>
      <c r="BJ166" s="12">
        <v>1</v>
      </c>
      <c r="BK166" s="12">
        <v>1.4084507042253521E-2</v>
      </c>
      <c r="BL166" s="12">
        <v>39</v>
      </c>
      <c r="BM166" s="12">
        <v>0</v>
      </c>
      <c r="BN166" s="12">
        <v>0</v>
      </c>
      <c r="BO166" s="12">
        <v>11</v>
      </c>
      <c r="BP166" s="12">
        <v>0</v>
      </c>
      <c r="BQ166" s="12">
        <v>0</v>
      </c>
      <c r="BR166" s="12">
        <v>146</v>
      </c>
      <c r="BS166" s="12">
        <v>1</v>
      </c>
      <c r="BT166" s="12">
        <v>6.8493150684931503E-3</v>
      </c>
      <c r="BU166" s="12">
        <v>653</v>
      </c>
      <c r="BV166" s="12">
        <v>2</v>
      </c>
      <c r="BW166" s="12">
        <v>3.0627871362940277E-3</v>
      </c>
      <c r="BX166" s="12"/>
      <c r="BY166" s="12"/>
      <c r="BZ166" s="12"/>
      <c r="CA166" s="12">
        <v>50614.65</v>
      </c>
      <c r="CB166" s="13"/>
      <c r="CC166" s="13"/>
      <c r="CD166" s="13"/>
      <c r="CE166" s="12">
        <v>3178</v>
      </c>
      <c r="CF166" s="12">
        <v>418</v>
      </c>
      <c r="CG166" s="13">
        <v>49319</v>
      </c>
      <c r="CH166" s="13">
        <v>107</v>
      </c>
      <c r="CI166" s="13">
        <v>16132</v>
      </c>
    </row>
    <row r="167" spans="2:87" x14ac:dyDescent="0.2">
      <c r="B167" s="5">
        <v>45940</v>
      </c>
      <c r="C167" s="12">
        <v>17</v>
      </c>
      <c r="D167" s="12">
        <v>3.7</v>
      </c>
      <c r="E167" s="12">
        <v>239271.87299999999</v>
      </c>
      <c r="F167" s="12">
        <v>0</v>
      </c>
      <c r="G167" s="12">
        <v>4239050.4000000004</v>
      </c>
      <c r="H167" s="12">
        <v>-171428.55</v>
      </c>
      <c r="I167" s="12">
        <v>0</v>
      </c>
      <c r="J167" s="12">
        <v>4067621.85</v>
      </c>
      <c r="K167" s="12">
        <v>38000</v>
      </c>
      <c r="L167" s="12">
        <v>0</v>
      </c>
      <c r="M167" s="12">
        <v>760878.15</v>
      </c>
      <c r="N167" s="12">
        <v>4866500</v>
      </c>
      <c r="O167" s="12">
        <v>4621.8500000000004</v>
      </c>
      <c r="P167" s="12">
        <v>4063000</v>
      </c>
      <c r="Q167" s="12">
        <v>1410816</v>
      </c>
      <c r="R167" s="12">
        <v>2652184</v>
      </c>
      <c r="S167" s="12">
        <v>0</v>
      </c>
      <c r="T167" s="12">
        <v>63</v>
      </c>
      <c r="U167" s="12">
        <v>0</v>
      </c>
      <c r="V167" s="12">
        <v>0</v>
      </c>
      <c r="W167" s="35">
        <v>46144.261731053244</v>
      </c>
      <c r="X167" s="12">
        <v>6</v>
      </c>
      <c r="Y167" s="12">
        <v>6</v>
      </c>
      <c r="Z167" s="12">
        <v>1509663.87</v>
      </c>
      <c r="AA167" s="12">
        <v>251610.64499999999</v>
      </c>
      <c r="AB167" s="12">
        <v>478902</v>
      </c>
      <c r="AC167" s="12">
        <v>1026140.02</v>
      </c>
      <c r="AD167" s="12">
        <v>11</v>
      </c>
      <c r="AE167" s="12">
        <v>11</v>
      </c>
      <c r="AF167" s="12">
        <v>2557957.98</v>
      </c>
      <c r="AG167" s="12">
        <v>232541.63399999999</v>
      </c>
      <c r="AH167" s="12">
        <v>931914</v>
      </c>
      <c r="AI167" s="12">
        <v>1626043.98</v>
      </c>
      <c r="AJ167" s="12"/>
      <c r="AK167" s="12"/>
      <c r="AL167" s="12"/>
      <c r="AM167" s="12"/>
      <c r="AN167" s="12"/>
      <c r="AO167" s="12"/>
      <c r="AP167" s="12">
        <v>1978991.6</v>
      </c>
      <c r="AQ167" s="12">
        <v>3</v>
      </c>
      <c r="AR167" s="12">
        <v>659663.86600000004</v>
      </c>
      <c r="AS167" s="12">
        <v>652457</v>
      </c>
      <c r="AT167" s="12">
        <v>1937369.74</v>
      </c>
      <c r="AU167" s="12">
        <v>11</v>
      </c>
      <c r="AV167" s="12">
        <v>176124.52100000001</v>
      </c>
      <c r="AW167" s="12">
        <v>719590</v>
      </c>
      <c r="AX167" s="12">
        <v>96638.66</v>
      </c>
      <c r="AY167" s="12">
        <v>2</v>
      </c>
      <c r="AZ167" s="12">
        <v>48319.33</v>
      </c>
      <c r="BA167" s="12">
        <v>26670</v>
      </c>
      <c r="BB167" s="12"/>
      <c r="BC167" s="12"/>
      <c r="BD167" s="12"/>
      <c r="BE167" s="12"/>
      <c r="BF167" s="12">
        <v>426</v>
      </c>
      <c r="BG167" s="12">
        <v>0</v>
      </c>
      <c r="BH167" s="12">
        <v>0</v>
      </c>
      <c r="BI167" s="12">
        <v>109</v>
      </c>
      <c r="BJ167" s="12">
        <v>0</v>
      </c>
      <c r="BK167" s="12">
        <v>0</v>
      </c>
      <c r="BL167" s="12">
        <v>30</v>
      </c>
      <c r="BM167" s="12">
        <v>1</v>
      </c>
      <c r="BN167" s="12">
        <v>3.3333333333333333E-2</v>
      </c>
      <c r="BO167" s="12">
        <v>10</v>
      </c>
      <c r="BP167" s="12">
        <v>0</v>
      </c>
      <c r="BQ167" s="12">
        <v>0</v>
      </c>
      <c r="BR167" s="12">
        <v>94</v>
      </c>
      <c r="BS167" s="12">
        <v>2</v>
      </c>
      <c r="BT167" s="12">
        <v>2.1276595744680851E-2</v>
      </c>
      <c r="BU167" s="12">
        <v>670</v>
      </c>
      <c r="BV167" s="12">
        <v>3</v>
      </c>
      <c r="BW167" s="12">
        <v>4.4776119402985077E-3</v>
      </c>
      <c r="BX167" s="12">
        <v>1</v>
      </c>
      <c r="BY167" s="12">
        <v>0</v>
      </c>
      <c r="BZ167" s="12">
        <v>0</v>
      </c>
      <c r="CA167" s="12">
        <v>55775.13</v>
      </c>
      <c r="CB167" s="13"/>
      <c r="CC167" s="13"/>
      <c r="CD167" s="13"/>
      <c r="CE167" s="12">
        <v>3542</v>
      </c>
      <c r="CF167" s="12">
        <v>469</v>
      </c>
      <c r="CG167" s="13">
        <v>49510</v>
      </c>
      <c r="CH167" s="13">
        <v>106</v>
      </c>
      <c r="CI167" s="13">
        <v>15649</v>
      </c>
    </row>
    <row r="168" spans="2:87" x14ac:dyDescent="0.2">
      <c r="B168" s="5">
        <v>45941</v>
      </c>
      <c r="C168" s="12">
        <v>13</v>
      </c>
      <c r="D168" s="12">
        <v>2.2000000000000002</v>
      </c>
      <c r="E168" s="12">
        <v>102682.611</v>
      </c>
      <c r="F168" s="12">
        <v>0</v>
      </c>
      <c r="G168" s="12">
        <v>1334873.95</v>
      </c>
      <c r="H168" s="12">
        <v>0</v>
      </c>
      <c r="I168" s="12">
        <v>0</v>
      </c>
      <c r="J168" s="12">
        <v>1334873.95</v>
      </c>
      <c r="K168" s="12">
        <v>9000</v>
      </c>
      <c r="L168" s="12">
        <v>0</v>
      </c>
      <c r="M168" s="12">
        <v>225126.05</v>
      </c>
      <c r="N168" s="12">
        <v>1569000</v>
      </c>
      <c r="O168" s="12">
        <v>0</v>
      </c>
      <c r="P168" s="12">
        <v>1334873.95</v>
      </c>
      <c r="Q168" s="12">
        <v>494453</v>
      </c>
      <c r="R168" s="12">
        <v>840420.95</v>
      </c>
      <c r="S168" s="12">
        <v>0</v>
      </c>
      <c r="T168" s="12">
        <v>29</v>
      </c>
      <c r="U168" s="12">
        <v>0</v>
      </c>
      <c r="V168" s="12">
        <v>0</v>
      </c>
      <c r="W168" s="35">
        <v>46144.261731053244</v>
      </c>
      <c r="X168" s="12">
        <v>4</v>
      </c>
      <c r="Y168" s="12">
        <v>4</v>
      </c>
      <c r="Z168" s="12">
        <v>315714.28000000003</v>
      </c>
      <c r="AA168" s="12">
        <v>78928.570000000007</v>
      </c>
      <c r="AB168" s="12">
        <v>142811</v>
      </c>
      <c r="AC168" s="12">
        <v>172903.28</v>
      </c>
      <c r="AD168" s="12">
        <v>9</v>
      </c>
      <c r="AE168" s="12">
        <v>9</v>
      </c>
      <c r="AF168" s="12">
        <v>1019159.67</v>
      </c>
      <c r="AG168" s="12">
        <v>113239.963</v>
      </c>
      <c r="AH168" s="12">
        <v>351642</v>
      </c>
      <c r="AI168" s="12">
        <v>667517.67000000004</v>
      </c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>
        <v>1334873.95</v>
      </c>
      <c r="AU168" s="12">
        <v>13</v>
      </c>
      <c r="AV168" s="12">
        <v>102682.611</v>
      </c>
      <c r="AW168" s="12">
        <v>494453</v>
      </c>
      <c r="AX168" s="12"/>
      <c r="AY168" s="12"/>
      <c r="AZ168" s="12"/>
      <c r="BA168" s="12"/>
      <c r="BB168" s="12"/>
      <c r="BC168" s="12"/>
      <c r="BD168" s="12"/>
      <c r="BE168" s="12"/>
      <c r="BF168" s="12">
        <v>294</v>
      </c>
      <c r="BG168" s="12">
        <v>0</v>
      </c>
      <c r="BH168" s="12">
        <v>0</v>
      </c>
      <c r="BI168" s="12">
        <v>65</v>
      </c>
      <c r="BJ168" s="12">
        <v>0</v>
      </c>
      <c r="BK168" s="12">
        <v>0</v>
      </c>
      <c r="BL168" s="12">
        <v>25</v>
      </c>
      <c r="BM168" s="12">
        <v>0</v>
      </c>
      <c r="BN168" s="12">
        <v>0</v>
      </c>
      <c r="BO168" s="12">
        <v>6</v>
      </c>
      <c r="BP168" s="12">
        <v>0</v>
      </c>
      <c r="BQ168" s="12">
        <v>0</v>
      </c>
      <c r="BR168" s="12">
        <v>81</v>
      </c>
      <c r="BS168" s="12">
        <v>0</v>
      </c>
      <c r="BT168" s="12">
        <v>0</v>
      </c>
      <c r="BU168" s="12">
        <v>471</v>
      </c>
      <c r="BV168" s="12">
        <v>0</v>
      </c>
      <c r="BW168" s="12">
        <v>0</v>
      </c>
      <c r="BX168" s="12"/>
      <c r="BY168" s="12"/>
      <c r="BZ168" s="12"/>
      <c r="CA168" s="12">
        <v>39247.760000000002</v>
      </c>
      <c r="CB168" s="13"/>
      <c r="CC168" s="13"/>
      <c r="CD168" s="13"/>
      <c r="CE168" s="12">
        <v>2349</v>
      </c>
      <c r="CF168" s="12">
        <v>345</v>
      </c>
      <c r="CG168" s="13">
        <v>54351</v>
      </c>
      <c r="CH168" s="13">
        <v>120</v>
      </c>
      <c r="CI168" s="13">
        <v>17265</v>
      </c>
    </row>
    <row r="169" spans="2:87" x14ac:dyDescent="0.2">
      <c r="B169" s="5">
        <v>45942</v>
      </c>
      <c r="C169" s="12">
        <v>22</v>
      </c>
      <c r="D169" s="12">
        <v>1.7</v>
      </c>
      <c r="E169" s="12">
        <v>125072.238</v>
      </c>
      <c r="F169" s="12">
        <v>0</v>
      </c>
      <c r="G169" s="12">
        <v>2751589.24</v>
      </c>
      <c r="H169" s="12">
        <v>0</v>
      </c>
      <c r="I169" s="12">
        <v>0</v>
      </c>
      <c r="J169" s="12">
        <v>2751589.24</v>
      </c>
      <c r="K169" s="12">
        <v>36000</v>
      </c>
      <c r="L169" s="12">
        <v>0</v>
      </c>
      <c r="M169" s="12">
        <v>478911.76</v>
      </c>
      <c r="N169" s="12">
        <v>3266501</v>
      </c>
      <c r="O169" s="12">
        <v>29412.76</v>
      </c>
      <c r="P169" s="12">
        <v>2722176.48</v>
      </c>
      <c r="Q169" s="12">
        <v>982358</v>
      </c>
      <c r="R169" s="12">
        <v>1739818.48</v>
      </c>
      <c r="S169" s="12">
        <v>0</v>
      </c>
      <c r="T169" s="12">
        <v>37</v>
      </c>
      <c r="U169" s="12">
        <v>0</v>
      </c>
      <c r="V169" s="12">
        <v>0</v>
      </c>
      <c r="W169" s="35">
        <v>46144.261731053244</v>
      </c>
      <c r="X169" s="12">
        <v>9</v>
      </c>
      <c r="Y169" s="12">
        <v>12</v>
      </c>
      <c r="Z169" s="12">
        <v>1589984.2</v>
      </c>
      <c r="AA169" s="12">
        <v>132498.68299999999</v>
      </c>
      <c r="AB169" s="12">
        <v>576161</v>
      </c>
      <c r="AC169" s="12">
        <v>984410.44</v>
      </c>
      <c r="AD169" s="12">
        <v>10</v>
      </c>
      <c r="AE169" s="12">
        <v>10</v>
      </c>
      <c r="AF169" s="12">
        <v>1161605.04</v>
      </c>
      <c r="AG169" s="12">
        <v>116160.504</v>
      </c>
      <c r="AH169" s="12">
        <v>406197</v>
      </c>
      <c r="AI169" s="12">
        <v>755408.04</v>
      </c>
      <c r="AJ169" s="12"/>
      <c r="AK169" s="12"/>
      <c r="AL169" s="12"/>
      <c r="AM169" s="12"/>
      <c r="AN169" s="12"/>
      <c r="AO169" s="12"/>
      <c r="AP169" s="12">
        <v>1172269.9099999999</v>
      </c>
      <c r="AQ169" s="12">
        <v>5</v>
      </c>
      <c r="AR169" s="12">
        <v>234453.98199999999</v>
      </c>
      <c r="AS169" s="12">
        <v>397196</v>
      </c>
      <c r="AT169" s="12">
        <v>1579319.33</v>
      </c>
      <c r="AU169" s="12">
        <v>17</v>
      </c>
      <c r="AV169" s="12">
        <v>92901.137000000002</v>
      </c>
      <c r="AW169" s="12">
        <v>585162</v>
      </c>
      <c r="AX169" s="12"/>
      <c r="AY169" s="12"/>
      <c r="AZ169" s="12"/>
      <c r="BA169" s="12"/>
      <c r="BB169" s="12"/>
      <c r="BC169" s="12"/>
      <c r="BD169" s="12"/>
      <c r="BE169" s="12"/>
      <c r="BF169" s="12">
        <v>415</v>
      </c>
      <c r="BG169" s="12">
        <v>0</v>
      </c>
      <c r="BH169" s="12">
        <v>0</v>
      </c>
      <c r="BI169" s="12">
        <v>85</v>
      </c>
      <c r="BJ169" s="12">
        <v>3</v>
      </c>
      <c r="BK169" s="12">
        <v>3.5294117647058823E-2</v>
      </c>
      <c r="BL169" s="12">
        <v>17</v>
      </c>
      <c r="BM169" s="12">
        <v>1</v>
      </c>
      <c r="BN169" s="12">
        <v>5.8823529411764705E-2</v>
      </c>
      <c r="BO169" s="12">
        <v>8</v>
      </c>
      <c r="BP169" s="12">
        <v>0</v>
      </c>
      <c r="BQ169" s="12">
        <v>0</v>
      </c>
      <c r="BR169" s="12">
        <v>83</v>
      </c>
      <c r="BS169" s="12">
        <v>3</v>
      </c>
      <c r="BT169" s="12">
        <v>3.614457831325301E-2</v>
      </c>
      <c r="BU169" s="12">
        <v>608</v>
      </c>
      <c r="BV169" s="12">
        <v>7</v>
      </c>
      <c r="BW169" s="12">
        <v>1.1513157894736841E-2</v>
      </c>
      <c r="BX169" s="12"/>
      <c r="BY169" s="12"/>
      <c r="BZ169" s="12"/>
      <c r="CA169" s="12">
        <v>57568.04</v>
      </c>
      <c r="CB169" s="13"/>
      <c r="CC169" s="13"/>
      <c r="CD169" s="13"/>
      <c r="CE169" s="12">
        <v>3630</v>
      </c>
      <c r="CF169" s="12">
        <v>471</v>
      </c>
      <c r="CG169" s="13">
        <v>54686</v>
      </c>
      <c r="CH169" s="13">
        <v>129</v>
      </c>
      <c r="CI169" s="13">
        <v>17985</v>
      </c>
    </row>
    <row r="170" spans="2:87" x14ac:dyDescent="0.2">
      <c r="B170" s="5">
        <v>45943</v>
      </c>
      <c r="C170" s="12">
        <v>9</v>
      </c>
      <c r="D170" s="12">
        <v>3.4</v>
      </c>
      <c r="E170" s="12">
        <v>175023.34299999999</v>
      </c>
      <c r="F170" s="12">
        <v>-1</v>
      </c>
      <c r="G170" s="12">
        <v>1646638.66</v>
      </c>
      <c r="H170" s="12">
        <v>0</v>
      </c>
      <c r="I170" s="12">
        <v>-71428.570000000007</v>
      </c>
      <c r="J170" s="12">
        <v>1575210.09</v>
      </c>
      <c r="K170" s="12">
        <v>9000</v>
      </c>
      <c r="L170" s="12">
        <v>0</v>
      </c>
      <c r="M170" s="12">
        <v>299289.90999999997</v>
      </c>
      <c r="N170" s="12">
        <v>1883500</v>
      </c>
      <c r="O170" s="12">
        <v>197478.99</v>
      </c>
      <c r="P170" s="12">
        <v>1377731.1</v>
      </c>
      <c r="Q170" s="12">
        <v>530380</v>
      </c>
      <c r="R170" s="12">
        <v>847351.1</v>
      </c>
      <c r="S170" s="12">
        <v>0</v>
      </c>
      <c r="T170" s="12">
        <v>31</v>
      </c>
      <c r="U170" s="12">
        <v>0</v>
      </c>
      <c r="V170" s="12">
        <v>0</v>
      </c>
      <c r="W170" s="35">
        <v>46144.261731053244</v>
      </c>
      <c r="X170" s="12">
        <v>3</v>
      </c>
      <c r="Y170" s="12">
        <v>3</v>
      </c>
      <c r="Z170" s="12">
        <v>596218.49</v>
      </c>
      <c r="AA170" s="12">
        <v>198739.49600000001</v>
      </c>
      <c r="AB170" s="12">
        <v>190109</v>
      </c>
      <c r="AC170" s="12">
        <v>406109.49</v>
      </c>
      <c r="AD170" s="12">
        <v>6</v>
      </c>
      <c r="AE170" s="12">
        <v>6</v>
      </c>
      <c r="AF170" s="12">
        <v>978991.6</v>
      </c>
      <c r="AG170" s="12">
        <v>163165.266</v>
      </c>
      <c r="AH170" s="12">
        <v>340271</v>
      </c>
      <c r="AI170" s="12">
        <v>441241.61</v>
      </c>
      <c r="AJ170" s="12"/>
      <c r="AK170" s="12"/>
      <c r="AL170" s="12"/>
      <c r="AM170" s="12"/>
      <c r="AN170" s="12"/>
      <c r="AO170" s="12"/>
      <c r="AP170" s="12">
        <v>638235.29</v>
      </c>
      <c r="AQ170" s="12">
        <v>3</v>
      </c>
      <c r="AR170" s="12">
        <v>212745.09599999999</v>
      </c>
      <c r="AS170" s="12">
        <v>124692</v>
      </c>
      <c r="AT170" s="12">
        <v>936974.8</v>
      </c>
      <c r="AU170" s="12">
        <v>6</v>
      </c>
      <c r="AV170" s="12">
        <v>156162.46599999999</v>
      </c>
      <c r="AW170" s="12">
        <v>405688</v>
      </c>
      <c r="AX170" s="12"/>
      <c r="AY170" s="12"/>
      <c r="AZ170" s="12"/>
      <c r="BA170" s="12"/>
      <c r="BB170" s="12"/>
      <c r="BC170" s="12"/>
      <c r="BD170" s="12"/>
      <c r="BE170" s="12"/>
      <c r="BF170" s="12">
        <v>344</v>
      </c>
      <c r="BG170" s="12">
        <v>0</v>
      </c>
      <c r="BH170" s="12">
        <v>0</v>
      </c>
      <c r="BI170" s="12">
        <v>94</v>
      </c>
      <c r="BJ170" s="12">
        <v>0</v>
      </c>
      <c r="BK170" s="12">
        <v>0</v>
      </c>
      <c r="BL170" s="12">
        <v>23</v>
      </c>
      <c r="BM170" s="12">
        <v>1</v>
      </c>
      <c r="BN170" s="12">
        <v>4.3478260869565216E-2</v>
      </c>
      <c r="BO170" s="12">
        <v>5</v>
      </c>
      <c r="BP170" s="12">
        <v>0</v>
      </c>
      <c r="BQ170" s="12">
        <v>0</v>
      </c>
      <c r="BR170" s="12">
        <v>50</v>
      </c>
      <c r="BS170" s="12">
        <v>0</v>
      </c>
      <c r="BT170" s="12">
        <v>0</v>
      </c>
      <c r="BU170" s="12">
        <v>516</v>
      </c>
      <c r="BV170" s="12">
        <v>1</v>
      </c>
      <c r="BW170" s="12">
        <v>1.937984496124031E-3</v>
      </c>
      <c r="BX170" s="12"/>
      <c r="BY170" s="12"/>
      <c r="BZ170" s="12"/>
      <c r="CA170" s="12">
        <v>43253.69</v>
      </c>
      <c r="CB170" s="13"/>
      <c r="CC170" s="13"/>
      <c r="CD170" s="13"/>
      <c r="CE170" s="12">
        <v>2770</v>
      </c>
      <c r="CF170" s="12">
        <v>376</v>
      </c>
      <c r="CG170" s="13">
        <v>53470</v>
      </c>
      <c r="CH170" s="13">
        <v>141</v>
      </c>
      <c r="CI170" s="13">
        <v>18582</v>
      </c>
    </row>
    <row r="171" spans="2:87" x14ac:dyDescent="0.2">
      <c r="B171" s="5">
        <v>45944</v>
      </c>
      <c r="C171" s="12">
        <v>14</v>
      </c>
      <c r="D171" s="12">
        <v>2.1</v>
      </c>
      <c r="E171" s="12">
        <v>155672.86900000001</v>
      </c>
      <c r="F171" s="12">
        <v>0</v>
      </c>
      <c r="G171" s="12">
        <v>2179420.17</v>
      </c>
      <c r="H171" s="12">
        <v>0</v>
      </c>
      <c r="I171" s="12">
        <v>0</v>
      </c>
      <c r="J171" s="12">
        <v>2179420.17</v>
      </c>
      <c r="K171" s="12">
        <v>23500</v>
      </c>
      <c r="L171" s="12">
        <v>0</v>
      </c>
      <c r="M171" s="12">
        <v>399079.83</v>
      </c>
      <c r="N171" s="12">
        <v>2602000</v>
      </c>
      <c r="O171" s="12">
        <v>4621.8500000000004</v>
      </c>
      <c r="P171" s="12">
        <v>2174798.3199999998</v>
      </c>
      <c r="Q171" s="12">
        <v>869809</v>
      </c>
      <c r="R171" s="12">
        <v>1304989.32</v>
      </c>
      <c r="S171" s="12">
        <v>0</v>
      </c>
      <c r="T171" s="12">
        <v>29</v>
      </c>
      <c r="U171" s="12">
        <v>0</v>
      </c>
      <c r="V171" s="12">
        <v>0</v>
      </c>
      <c r="W171" s="35">
        <v>46144.261731053244</v>
      </c>
      <c r="X171" s="12">
        <v>5</v>
      </c>
      <c r="Y171" s="12">
        <v>6</v>
      </c>
      <c r="Z171" s="12">
        <v>1128831.93</v>
      </c>
      <c r="AA171" s="12">
        <v>188138.655</v>
      </c>
      <c r="AB171" s="12">
        <v>424509</v>
      </c>
      <c r="AC171" s="12">
        <v>704322.93</v>
      </c>
      <c r="AD171" s="12">
        <v>8</v>
      </c>
      <c r="AE171" s="12">
        <v>8</v>
      </c>
      <c r="AF171" s="12">
        <v>1050588.24</v>
      </c>
      <c r="AG171" s="12">
        <v>131323.53</v>
      </c>
      <c r="AH171" s="12">
        <v>445300</v>
      </c>
      <c r="AI171" s="12">
        <v>600666.39</v>
      </c>
      <c r="AJ171" s="12"/>
      <c r="AK171" s="12"/>
      <c r="AL171" s="12"/>
      <c r="AM171" s="12"/>
      <c r="AN171" s="12"/>
      <c r="AO171" s="12"/>
      <c r="AP171" s="12">
        <v>907563.03</v>
      </c>
      <c r="AQ171" s="12">
        <v>3</v>
      </c>
      <c r="AR171" s="12">
        <v>302521.01</v>
      </c>
      <c r="AS171" s="12">
        <v>284635</v>
      </c>
      <c r="AT171" s="12">
        <v>1271857.1399999999</v>
      </c>
      <c r="AU171" s="12">
        <v>11</v>
      </c>
      <c r="AV171" s="12">
        <v>115623.376</v>
      </c>
      <c r="AW171" s="12">
        <v>585174</v>
      </c>
      <c r="AX171" s="12"/>
      <c r="AY171" s="12"/>
      <c r="AZ171" s="12"/>
      <c r="BA171" s="12"/>
      <c r="BB171" s="12"/>
      <c r="BC171" s="12"/>
      <c r="BD171" s="12"/>
      <c r="BE171" s="12"/>
      <c r="BF171" s="12">
        <v>451</v>
      </c>
      <c r="BG171" s="12">
        <v>0</v>
      </c>
      <c r="BH171" s="12">
        <v>0</v>
      </c>
      <c r="BI171" s="12">
        <v>58</v>
      </c>
      <c r="BJ171" s="12">
        <v>0</v>
      </c>
      <c r="BK171" s="12">
        <v>0</v>
      </c>
      <c r="BL171" s="12">
        <v>28</v>
      </c>
      <c r="BM171" s="12">
        <v>0</v>
      </c>
      <c r="BN171" s="12">
        <v>0</v>
      </c>
      <c r="BO171" s="12">
        <v>5</v>
      </c>
      <c r="BP171" s="12">
        <v>0</v>
      </c>
      <c r="BQ171" s="12">
        <v>0</v>
      </c>
      <c r="BR171" s="12">
        <v>92</v>
      </c>
      <c r="BS171" s="12">
        <v>4</v>
      </c>
      <c r="BT171" s="12">
        <v>4.3478260869565216E-2</v>
      </c>
      <c r="BU171" s="12">
        <v>634</v>
      </c>
      <c r="BV171" s="12">
        <v>4</v>
      </c>
      <c r="BW171" s="12">
        <v>6.3091482649842269E-3</v>
      </c>
      <c r="BX171" s="12"/>
      <c r="BY171" s="12"/>
      <c r="BZ171" s="12"/>
      <c r="CA171" s="12">
        <v>70130.77</v>
      </c>
      <c r="CB171" s="13"/>
      <c r="CC171" s="13"/>
      <c r="CD171" s="13"/>
      <c r="CE171" s="12">
        <v>3447</v>
      </c>
      <c r="CF171" s="12">
        <v>507</v>
      </c>
      <c r="CG171" s="13">
        <v>50627</v>
      </c>
      <c r="CH171" s="13">
        <v>92</v>
      </c>
      <c r="CI171" s="13">
        <v>17300</v>
      </c>
    </row>
    <row r="172" spans="2:87" x14ac:dyDescent="0.2">
      <c r="B172" s="5">
        <v>45945</v>
      </c>
      <c r="C172" s="12">
        <v>22</v>
      </c>
      <c r="D172" s="12">
        <v>2.2999999999999998</v>
      </c>
      <c r="E172" s="12">
        <v>151199.77100000001</v>
      </c>
      <c r="F172" s="12">
        <v>0</v>
      </c>
      <c r="G172" s="12">
        <v>3375302.52</v>
      </c>
      <c r="H172" s="12">
        <v>-18907.55</v>
      </c>
      <c r="I172" s="12">
        <v>0</v>
      </c>
      <c r="J172" s="12">
        <v>3356394.97</v>
      </c>
      <c r="K172" s="12">
        <v>95500</v>
      </c>
      <c r="L172" s="12">
        <v>0</v>
      </c>
      <c r="M172" s="12">
        <v>596105.03</v>
      </c>
      <c r="N172" s="12">
        <v>4048000</v>
      </c>
      <c r="O172" s="12">
        <v>478327.73</v>
      </c>
      <c r="P172" s="12">
        <v>2878067.24</v>
      </c>
      <c r="Q172" s="12">
        <v>937734</v>
      </c>
      <c r="R172" s="12">
        <v>1940333.24</v>
      </c>
      <c r="S172" s="12">
        <v>200000</v>
      </c>
      <c r="T172" s="12">
        <v>52</v>
      </c>
      <c r="U172" s="12">
        <v>0</v>
      </c>
      <c r="V172" s="12">
        <v>200000</v>
      </c>
      <c r="W172" s="35">
        <v>46144.261731053244</v>
      </c>
      <c r="X172" s="12">
        <v>9</v>
      </c>
      <c r="Y172" s="12">
        <v>11</v>
      </c>
      <c r="Z172" s="12">
        <v>1655638.65</v>
      </c>
      <c r="AA172" s="12">
        <v>150512.60399999999</v>
      </c>
      <c r="AB172" s="12">
        <v>405057</v>
      </c>
      <c r="AC172" s="12">
        <v>772253.92</v>
      </c>
      <c r="AD172" s="12">
        <v>11</v>
      </c>
      <c r="AE172" s="12">
        <v>11</v>
      </c>
      <c r="AF172" s="12">
        <v>1700756.32</v>
      </c>
      <c r="AG172" s="12">
        <v>151886.93799999999</v>
      </c>
      <c r="AH172" s="12">
        <v>532677</v>
      </c>
      <c r="AI172" s="12">
        <v>1168079.32</v>
      </c>
      <c r="AJ172" s="12"/>
      <c r="AK172" s="12"/>
      <c r="AL172" s="12"/>
      <c r="AM172" s="12"/>
      <c r="AN172" s="12"/>
      <c r="AO172" s="12"/>
      <c r="AP172" s="12">
        <v>1583369.75</v>
      </c>
      <c r="AQ172" s="12">
        <v>8</v>
      </c>
      <c r="AR172" s="12">
        <v>197921.21799999999</v>
      </c>
      <c r="AS172" s="12">
        <v>362078</v>
      </c>
      <c r="AT172" s="12">
        <v>1773025.22</v>
      </c>
      <c r="AU172" s="12">
        <v>14</v>
      </c>
      <c r="AV172" s="12">
        <v>124501.80100000001</v>
      </c>
      <c r="AW172" s="12">
        <v>575656</v>
      </c>
      <c r="AX172" s="12"/>
      <c r="AY172" s="12"/>
      <c r="AZ172" s="12"/>
      <c r="BA172" s="12"/>
      <c r="BB172" s="12"/>
      <c r="BC172" s="12"/>
      <c r="BD172" s="12"/>
      <c r="BE172" s="12"/>
      <c r="BF172" s="12">
        <v>270</v>
      </c>
      <c r="BG172" s="12">
        <v>0</v>
      </c>
      <c r="BH172" s="12">
        <v>0</v>
      </c>
      <c r="BI172" s="12">
        <v>64</v>
      </c>
      <c r="BJ172" s="12">
        <v>1</v>
      </c>
      <c r="BK172" s="12">
        <v>1.5625E-2</v>
      </c>
      <c r="BL172" s="12">
        <v>34</v>
      </c>
      <c r="BM172" s="12">
        <v>0</v>
      </c>
      <c r="BN172" s="12">
        <v>0</v>
      </c>
      <c r="BO172" s="12">
        <v>4</v>
      </c>
      <c r="BP172" s="12">
        <v>0</v>
      </c>
      <c r="BQ172" s="12">
        <v>0</v>
      </c>
      <c r="BR172" s="12">
        <v>94</v>
      </c>
      <c r="BS172" s="12">
        <v>7</v>
      </c>
      <c r="BT172" s="12">
        <v>7.4468085106382975E-2</v>
      </c>
      <c r="BU172" s="12">
        <v>466</v>
      </c>
      <c r="BV172" s="12">
        <v>8</v>
      </c>
      <c r="BW172" s="12">
        <v>1.7167381974248927E-2</v>
      </c>
      <c r="BX172" s="12"/>
      <c r="BY172" s="12"/>
      <c r="BZ172" s="12"/>
      <c r="CA172" s="12">
        <v>34160.99</v>
      </c>
      <c r="CB172" s="13"/>
      <c r="CC172" s="13"/>
      <c r="CD172" s="13"/>
      <c r="CE172" s="12">
        <v>2285</v>
      </c>
      <c r="CF172" s="12">
        <v>318</v>
      </c>
      <c r="CG172" s="13">
        <v>55028</v>
      </c>
      <c r="CH172" s="13">
        <v>84</v>
      </c>
      <c r="CI172" s="13">
        <v>16391</v>
      </c>
    </row>
    <row r="173" spans="2:87" x14ac:dyDescent="0.2">
      <c r="B173" s="5">
        <v>45946</v>
      </c>
      <c r="C173" s="12">
        <v>15</v>
      </c>
      <c r="D173" s="12">
        <v>5.7</v>
      </c>
      <c r="E173" s="12">
        <v>408151.261</v>
      </c>
      <c r="F173" s="12">
        <v>0</v>
      </c>
      <c r="G173" s="12">
        <v>6617647.04</v>
      </c>
      <c r="H173" s="12">
        <v>-495378.12</v>
      </c>
      <c r="I173" s="12">
        <v>0</v>
      </c>
      <c r="J173" s="12">
        <v>6122268.9199999999</v>
      </c>
      <c r="K173" s="12">
        <v>50500</v>
      </c>
      <c r="L173" s="12">
        <v>0</v>
      </c>
      <c r="M173" s="12">
        <v>1163231.08</v>
      </c>
      <c r="N173" s="12">
        <v>7336000</v>
      </c>
      <c r="O173" s="12">
        <v>420168.07</v>
      </c>
      <c r="P173" s="12">
        <v>5702100.8499999996</v>
      </c>
      <c r="Q173" s="12">
        <v>1941438</v>
      </c>
      <c r="R173" s="12">
        <v>3760662.85</v>
      </c>
      <c r="S173" s="12">
        <v>0</v>
      </c>
      <c r="T173" s="12">
        <v>85</v>
      </c>
      <c r="U173" s="12">
        <v>0</v>
      </c>
      <c r="V173" s="12">
        <v>0</v>
      </c>
      <c r="W173" s="35">
        <v>46144.261731053244</v>
      </c>
      <c r="X173" s="12">
        <v>4</v>
      </c>
      <c r="Y173" s="12">
        <v>6</v>
      </c>
      <c r="Z173" s="12">
        <v>1878151.26</v>
      </c>
      <c r="AA173" s="12">
        <v>313025.21000000002</v>
      </c>
      <c r="AB173" s="12">
        <v>464278</v>
      </c>
      <c r="AC173" s="12">
        <v>993705.19</v>
      </c>
      <c r="AD173" s="12">
        <v>9</v>
      </c>
      <c r="AE173" s="12">
        <v>9</v>
      </c>
      <c r="AF173" s="12">
        <v>4244117.66</v>
      </c>
      <c r="AG173" s="12">
        <v>471568.62800000003</v>
      </c>
      <c r="AH173" s="12">
        <v>1477160</v>
      </c>
      <c r="AI173" s="12">
        <v>2766957.66</v>
      </c>
      <c r="AJ173" s="12"/>
      <c r="AK173" s="12"/>
      <c r="AL173" s="12"/>
      <c r="AM173" s="12"/>
      <c r="AN173" s="12"/>
      <c r="AO173" s="12"/>
      <c r="AP173" s="12">
        <v>1790336.14</v>
      </c>
      <c r="AQ173" s="12">
        <v>6</v>
      </c>
      <c r="AR173" s="12">
        <v>298389.35600000003</v>
      </c>
      <c r="AS173" s="12">
        <v>489909</v>
      </c>
      <c r="AT173" s="12">
        <v>1756302.53</v>
      </c>
      <c r="AU173" s="12">
        <v>7</v>
      </c>
      <c r="AV173" s="12">
        <v>250900.361</v>
      </c>
      <c r="AW173" s="12">
        <v>491728</v>
      </c>
      <c r="AX173" s="12">
        <v>75630.25</v>
      </c>
      <c r="AY173" s="12">
        <v>1</v>
      </c>
      <c r="AZ173" s="12">
        <v>75630.25</v>
      </c>
      <c r="BA173" s="12">
        <v>16751</v>
      </c>
      <c r="BB173" s="12">
        <v>2500000</v>
      </c>
      <c r="BC173" s="12">
        <v>1</v>
      </c>
      <c r="BD173" s="12">
        <v>2500000</v>
      </c>
      <c r="BE173" s="12">
        <v>943050</v>
      </c>
      <c r="BF173" s="12">
        <v>344</v>
      </c>
      <c r="BG173" s="12">
        <v>0</v>
      </c>
      <c r="BH173" s="12">
        <v>0</v>
      </c>
      <c r="BI173" s="12">
        <v>50</v>
      </c>
      <c r="BJ173" s="12">
        <v>1</v>
      </c>
      <c r="BK173" s="12">
        <v>0.02</v>
      </c>
      <c r="BL173" s="12">
        <v>48</v>
      </c>
      <c r="BM173" s="12">
        <v>2</v>
      </c>
      <c r="BN173" s="12">
        <v>4.1666666666666664E-2</v>
      </c>
      <c r="BO173" s="12">
        <v>6</v>
      </c>
      <c r="BP173" s="12">
        <v>0</v>
      </c>
      <c r="BQ173" s="12">
        <v>0</v>
      </c>
      <c r="BR173" s="12">
        <v>77</v>
      </c>
      <c r="BS173" s="12">
        <v>3</v>
      </c>
      <c r="BT173" s="12">
        <v>3.896103896103896E-2</v>
      </c>
      <c r="BU173" s="12">
        <v>525</v>
      </c>
      <c r="BV173" s="12">
        <v>6</v>
      </c>
      <c r="BW173" s="12">
        <v>1.1428571428571429E-2</v>
      </c>
      <c r="BX173" s="12"/>
      <c r="BY173" s="12"/>
      <c r="BZ173" s="12"/>
      <c r="CA173" s="12">
        <v>55073.61</v>
      </c>
      <c r="CB173" s="13"/>
      <c r="CC173" s="13"/>
      <c r="CD173" s="13"/>
      <c r="CE173" s="12">
        <v>3265</v>
      </c>
      <c r="CF173" s="12">
        <v>423</v>
      </c>
      <c r="CG173" s="13">
        <v>47397</v>
      </c>
      <c r="CH173" s="13">
        <v>75</v>
      </c>
      <c r="CI173" s="13">
        <v>14442</v>
      </c>
    </row>
    <row r="174" spans="2:87" x14ac:dyDescent="0.2">
      <c r="B174" s="5">
        <v>45947</v>
      </c>
      <c r="C174" s="12">
        <v>16</v>
      </c>
      <c r="D174" s="12">
        <v>2.1</v>
      </c>
      <c r="E174" s="12">
        <v>119748.424</v>
      </c>
      <c r="F174" s="12">
        <v>-3</v>
      </c>
      <c r="G174" s="12">
        <v>1980680.67</v>
      </c>
      <c r="H174" s="12">
        <v>-10084.030000000001</v>
      </c>
      <c r="I174" s="12">
        <v>-163865.54999999999</v>
      </c>
      <c r="J174" s="12">
        <v>1806731.09</v>
      </c>
      <c r="K174" s="12">
        <v>50500</v>
      </c>
      <c r="L174" s="12">
        <v>0</v>
      </c>
      <c r="M174" s="12">
        <v>290268.90999999997</v>
      </c>
      <c r="N174" s="12">
        <v>2147500</v>
      </c>
      <c r="O174" s="12">
        <v>159000</v>
      </c>
      <c r="P174" s="12">
        <v>1647731.09</v>
      </c>
      <c r="Q174" s="12">
        <v>508152</v>
      </c>
      <c r="R174" s="12">
        <v>1139579.0900000001</v>
      </c>
      <c r="S174" s="12">
        <v>0</v>
      </c>
      <c r="T174" s="12">
        <v>32</v>
      </c>
      <c r="U174" s="12">
        <v>0</v>
      </c>
      <c r="V174" s="12">
        <v>0</v>
      </c>
      <c r="W174" s="35">
        <v>46144.261731053244</v>
      </c>
      <c r="X174" s="12">
        <v>8</v>
      </c>
      <c r="Y174" s="12">
        <v>8</v>
      </c>
      <c r="Z174" s="12">
        <v>1211773.1000000001</v>
      </c>
      <c r="AA174" s="12">
        <v>150421.217</v>
      </c>
      <c r="AB174" s="12">
        <v>323478</v>
      </c>
      <c r="AC174" s="12">
        <v>729295.1</v>
      </c>
      <c r="AD174" s="12">
        <v>7</v>
      </c>
      <c r="AE174" s="12">
        <v>7</v>
      </c>
      <c r="AF174" s="12">
        <v>594957.99</v>
      </c>
      <c r="AG174" s="12">
        <v>84993.998000000007</v>
      </c>
      <c r="AH174" s="12">
        <v>184674</v>
      </c>
      <c r="AI174" s="12">
        <v>410283.99</v>
      </c>
      <c r="AJ174" s="12">
        <v>1</v>
      </c>
      <c r="AK174" s="12">
        <v>1</v>
      </c>
      <c r="AL174" s="12">
        <v>0</v>
      </c>
      <c r="AM174" s="12">
        <v>117647.06</v>
      </c>
      <c r="AN174" s="12">
        <v>0</v>
      </c>
      <c r="AO174" s="12">
        <v>0</v>
      </c>
      <c r="AP174" s="12">
        <v>368067.23</v>
      </c>
      <c r="AQ174" s="12">
        <v>6</v>
      </c>
      <c r="AR174" s="12">
        <v>80952.380999999994</v>
      </c>
      <c r="AS174" s="12">
        <v>100175</v>
      </c>
      <c r="AT174" s="12">
        <v>1396647.05</v>
      </c>
      <c r="AU174" s="12">
        <v>9</v>
      </c>
      <c r="AV174" s="12">
        <v>154249.29800000001</v>
      </c>
      <c r="AW174" s="12">
        <v>393406</v>
      </c>
      <c r="AX174" s="12">
        <v>42016.81</v>
      </c>
      <c r="AY174" s="12">
        <v>1</v>
      </c>
      <c r="AZ174" s="12">
        <v>42016.81</v>
      </c>
      <c r="BA174" s="12">
        <v>14571</v>
      </c>
      <c r="BB174" s="12"/>
      <c r="BC174" s="12"/>
      <c r="BD174" s="12"/>
      <c r="BE174" s="12"/>
      <c r="BF174" s="12">
        <v>289</v>
      </c>
      <c r="BG174" s="12">
        <v>0</v>
      </c>
      <c r="BH174" s="12">
        <v>0</v>
      </c>
      <c r="BI174" s="12">
        <v>59</v>
      </c>
      <c r="BJ174" s="12">
        <v>0</v>
      </c>
      <c r="BK174" s="12">
        <v>0</v>
      </c>
      <c r="BL174" s="12">
        <v>43</v>
      </c>
      <c r="BM174" s="12">
        <v>3</v>
      </c>
      <c r="BN174" s="12">
        <v>6.9767441860465115E-2</v>
      </c>
      <c r="BO174" s="12">
        <v>1</v>
      </c>
      <c r="BP174" s="12">
        <v>0</v>
      </c>
      <c r="BQ174" s="12">
        <v>0</v>
      </c>
      <c r="BR174" s="12">
        <v>73</v>
      </c>
      <c r="BS174" s="12">
        <v>3</v>
      </c>
      <c r="BT174" s="12">
        <v>4.1095890410958902E-2</v>
      </c>
      <c r="BU174" s="12">
        <v>465</v>
      </c>
      <c r="BV174" s="12">
        <v>6</v>
      </c>
      <c r="BW174" s="12">
        <v>1.2903225806451613E-2</v>
      </c>
      <c r="BX174" s="12"/>
      <c r="BY174" s="12"/>
      <c r="BZ174" s="12"/>
      <c r="CA174" s="12">
        <v>47030.879999999997</v>
      </c>
      <c r="CB174" s="13"/>
      <c r="CC174" s="13"/>
      <c r="CD174" s="13"/>
      <c r="CE174" s="12">
        <v>2516</v>
      </c>
      <c r="CF174" s="12">
        <v>347</v>
      </c>
      <c r="CG174" s="13">
        <v>48569</v>
      </c>
      <c r="CH174" s="13">
        <v>98</v>
      </c>
      <c r="CI174" s="13">
        <v>14040</v>
      </c>
    </row>
    <row r="175" spans="2:87" x14ac:dyDescent="0.2">
      <c r="B175" s="5">
        <v>45948</v>
      </c>
      <c r="C175" s="12">
        <v>25</v>
      </c>
      <c r="D175" s="12">
        <v>2.6</v>
      </c>
      <c r="E175" s="12">
        <v>153676.639</v>
      </c>
      <c r="F175" s="12">
        <v>0</v>
      </c>
      <c r="G175" s="12">
        <v>3946958</v>
      </c>
      <c r="H175" s="12">
        <v>0</v>
      </c>
      <c r="I175" s="12">
        <v>0</v>
      </c>
      <c r="J175" s="12">
        <v>3946958</v>
      </c>
      <c r="K175" s="12">
        <v>14500</v>
      </c>
      <c r="L175" s="12">
        <v>0</v>
      </c>
      <c r="M175" s="12">
        <v>654542</v>
      </c>
      <c r="N175" s="12">
        <v>4616000</v>
      </c>
      <c r="O175" s="12">
        <v>232033.61</v>
      </c>
      <c r="P175" s="12">
        <v>3714924.39</v>
      </c>
      <c r="Q175" s="12">
        <v>1164103</v>
      </c>
      <c r="R175" s="12">
        <v>2550821.39</v>
      </c>
      <c r="S175" s="12">
        <v>0</v>
      </c>
      <c r="T175" s="12">
        <v>68</v>
      </c>
      <c r="U175" s="12">
        <v>0</v>
      </c>
      <c r="V175" s="12">
        <v>0</v>
      </c>
      <c r="W175" s="35">
        <v>46144.261731053244</v>
      </c>
      <c r="X175" s="12">
        <v>8</v>
      </c>
      <c r="Y175" s="12">
        <v>13</v>
      </c>
      <c r="Z175" s="12">
        <v>2051361.35</v>
      </c>
      <c r="AA175" s="12">
        <v>149716.87100000001</v>
      </c>
      <c r="AB175" s="12">
        <v>519296</v>
      </c>
      <c r="AC175" s="12">
        <v>1300031.74</v>
      </c>
      <c r="AD175" s="12">
        <v>12</v>
      </c>
      <c r="AE175" s="12">
        <v>12</v>
      </c>
      <c r="AF175" s="12">
        <v>1895596.65</v>
      </c>
      <c r="AG175" s="12">
        <v>157966.38699999999</v>
      </c>
      <c r="AH175" s="12">
        <v>644807</v>
      </c>
      <c r="AI175" s="12">
        <v>1250789.6499999999</v>
      </c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>
        <v>3703260.51</v>
      </c>
      <c r="AU175" s="12">
        <v>20</v>
      </c>
      <c r="AV175" s="12">
        <v>179910.924</v>
      </c>
      <c r="AW175" s="12">
        <v>1084359</v>
      </c>
      <c r="AX175" s="12">
        <v>243697.49</v>
      </c>
      <c r="AY175" s="12">
        <v>5</v>
      </c>
      <c r="AZ175" s="12">
        <v>48739.498</v>
      </c>
      <c r="BA175" s="12">
        <v>79744</v>
      </c>
      <c r="BB175" s="12"/>
      <c r="BC175" s="12"/>
      <c r="BD175" s="12"/>
      <c r="BE175" s="12"/>
      <c r="BF175" s="12">
        <v>386</v>
      </c>
      <c r="BG175" s="12">
        <v>0</v>
      </c>
      <c r="BH175" s="12">
        <v>0</v>
      </c>
      <c r="BI175" s="12">
        <v>62</v>
      </c>
      <c r="BJ175" s="12">
        <v>0</v>
      </c>
      <c r="BK175" s="12">
        <v>0</v>
      </c>
      <c r="BL175" s="12">
        <v>28</v>
      </c>
      <c r="BM175" s="12">
        <v>0</v>
      </c>
      <c r="BN175" s="12">
        <v>0</v>
      </c>
      <c r="BO175" s="12">
        <v>16</v>
      </c>
      <c r="BP175" s="12">
        <v>0</v>
      </c>
      <c r="BQ175" s="12">
        <v>0</v>
      </c>
      <c r="BR175" s="12">
        <v>60</v>
      </c>
      <c r="BS175" s="12">
        <v>1</v>
      </c>
      <c r="BT175" s="12">
        <v>1.6666666666666666E-2</v>
      </c>
      <c r="BU175" s="12">
        <v>552</v>
      </c>
      <c r="BV175" s="12">
        <v>1</v>
      </c>
      <c r="BW175" s="12">
        <v>1.8115942028985507E-3</v>
      </c>
      <c r="BX175" s="12"/>
      <c r="BY175" s="12"/>
      <c r="BZ175" s="12"/>
      <c r="CA175" s="12">
        <v>63112.4</v>
      </c>
      <c r="CB175" s="13"/>
      <c r="CC175" s="13"/>
      <c r="CD175" s="13"/>
      <c r="CE175" s="12">
        <v>3989</v>
      </c>
      <c r="CF175" s="12">
        <v>453</v>
      </c>
      <c r="CG175" s="13">
        <v>52985</v>
      </c>
      <c r="CH175" s="13">
        <v>114</v>
      </c>
      <c r="CI175" s="13">
        <v>14339</v>
      </c>
    </row>
    <row r="176" spans="2:87" x14ac:dyDescent="0.2">
      <c r="B176" s="5">
        <v>45949</v>
      </c>
      <c r="C176" s="12">
        <v>13</v>
      </c>
      <c r="D176" s="12">
        <v>2</v>
      </c>
      <c r="E176" s="12">
        <v>114137.04</v>
      </c>
      <c r="F176" s="12">
        <v>0</v>
      </c>
      <c r="G176" s="12">
        <v>1489663.88</v>
      </c>
      <c r="H176" s="12">
        <v>-5882.35</v>
      </c>
      <c r="I176" s="12">
        <v>0</v>
      </c>
      <c r="J176" s="12">
        <v>1483781.53</v>
      </c>
      <c r="K176" s="12">
        <v>27000</v>
      </c>
      <c r="L176" s="12">
        <v>0</v>
      </c>
      <c r="M176" s="12">
        <v>276218.46999999997</v>
      </c>
      <c r="N176" s="12">
        <v>1787000</v>
      </c>
      <c r="O176" s="12">
        <v>0</v>
      </c>
      <c r="P176" s="12">
        <v>1483781.53</v>
      </c>
      <c r="Q176" s="12">
        <v>533526</v>
      </c>
      <c r="R176" s="12">
        <v>950255.53</v>
      </c>
      <c r="S176" s="12">
        <v>0</v>
      </c>
      <c r="T176" s="12">
        <v>26</v>
      </c>
      <c r="U176" s="12">
        <v>0</v>
      </c>
      <c r="V176" s="12">
        <v>0</v>
      </c>
      <c r="W176" s="35">
        <v>46144.261731053244</v>
      </c>
      <c r="X176" s="12">
        <v>5</v>
      </c>
      <c r="Y176" s="12">
        <v>5</v>
      </c>
      <c r="Z176" s="12">
        <v>721848.74</v>
      </c>
      <c r="AA176" s="12">
        <v>144369.74799999999</v>
      </c>
      <c r="AB176" s="12">
        <v>270039</v>
      </c>
      <c r="AC176" s="12">
        <v>451809.74</v>
      </c>
      <c r="AD176" s="12">
        <v>7</v>
      </c>
      <c r="AE176" s="12">
        <v>7</v>
      </c>
      <c r="AF176" s="12">
        <v>686302.54</v>
      </c>
      <c r="AG176" s="12">
        <v>98043.22</v>
      </c>
      <c r="AH176" s="12">
        <v>247774</v>
      </c>
      <c r="AI176" s="12">
        <v>438528.54</v>
      </c>
      <c r="AJ176" s="12">
        <v>1</v>
      </c>
      <c r="AK176" s="12">
        <v>1</v>
      </c>
      <c r="AL176" s="12">
        <v>75630.25</v>
      </c>
      <c r="AM176" s="12">
        <v>75630.25</v>
      </c>
      <c r="AN176" s="12">
        <v>15713</v>
      </c>
      <c r="AO176" s="12">
        <v>59917.25</v>
      </c>
      <c r="AP176" s="12">
        <v>641176.48</v>
      </c>
      <c r="AQ176" s="12">
        <v>3</v>
      </c>
      <c r="AR176" s="12">
        <v>213725.49299999999</v>
      </c>
      <c r="AS176" s="12">
        <v>248450</v>
      </c>
      <c r="AT176" s="12">
        <v>842605.05</v>
      </c>
      <c r="AU176" s="12">
        <v>10</v>
      </c>
      <c r="AV176" s="12">
        <v>84260.505000000005</v>
      </c>
      <c r="AW176" s="12">
        <v>285076</v>
      </c>
      <c r="AX176" s="12"/>
      <c r="AY176" s="12"/>
      <c r="AZ176" s="12"/>
      <c r="BA176" s="12"/>
      <c r="BB176" s="12"/>
      <c r="BC176" s="12"/>
      <c r="BD176" s="12"/>
      <c r="BE176" s="12"/>
      <c r="BF176" s="12">
        <v>249</v>
      </c>
      <c r="BG176" s="12">
        <v>0</v>
      </c>
      <c r="BH176" s="12">
        <v>0</v>
      </c>
      <c r="BI176" s="12">
        <v>73</v>
      </c>
      <c r="BJ176" s="12">
        <v>0</v>
      </c>
      <c r="BK176" s="12">
        <v>0</v>
      </c>
      <c r="BL176" s="12">
        <v>27</v>
      </c>
      <c r="BM176" s="12">
        <v>2</v>
      </c>
      <c r="BN176" s="12">
        <v>7.407407407407407E-2</v>
      </c>
      <c r="BO176" s="12">
        <v>4</v>
      </c>
      <c r="BP176" s="12">
        <v>0</v>
      </c>
      <c r="BQ176" s="12">
        <v>0</v>
      </c>
      <c r="BR176" s="12">
        <v>59</v>
      </c>
      <c r="BS176" s="12">
        <v>1</v>
      </c>
      <c r="BT176" s="12">
        <v>1.6949152542372881E-2</v>
      </c>
      <c r="BU176" s="12">
        <v>413</v>
      </c>
      <c r="BV176" s="12">
        <v>3</v>
      </c>
      <c r="BW176" s="12">
        <v>7.2639225181598066E-3</v>
      </c>
      <c r="BX176" s="12">
        <v>1</v>
      </c>
      <c r="BY176" s="12">
        <v>0</v>
      </c>
      <c r="BZ176" s="12">
        <v>0</v>
      </c>
      <c r="CA176" s="12">
        <v>38147.81</v>
      </c>
      <c r="CB176" s="13"/>
      <c r="CC176" s="13"/>
      <c r="CD176" s="13"/>
      <c r="CE176" s="12">
        <v>2322</v>
      </c>
      <c r="CF176" s="12">
        <v>303</v>
      </c>
      <c r="CG176" s="13">
        <v>54262</v>
      </c>
      <c r="CH176" s="13">
        <v>111</v>
      </c>
      <c r="CI176" s="13">
        <v>16111</v>
      </c>
    </row>
    <row r="177" spans="2:87" x14ac:dyDescent="0.2">
      <c r="B177" s="5">
        <v>45950</v>
      </c>
      <c r="C177" s="12">
        <v>17</v>
      </c>
      <c r="D177" s="12">
        <v>2.4</v>
      </c>
      <c r="E177" s="12">
        <v>162234.30499999999</v>
      </c>
      <c r="F177" s="12">
        <v>-4</v>
      </c>
      <c r="G177" s="12">
        <v>2802941.17</v>
      </c>
      <c r="H177" s="12">
        <v>-44957.98</v>
      </c>
      <c r="I177" s="12">
        <v>-365546.22</v>
      </c>
      <c r="J177" s="12">
        <v>2392436.9700000002</v>
      </c>
      <c r="K177" s="12">
        <v>50500</v>
      </c>
      <c r="L177" s="12">
        <v>0</v>
      </c>
      <c r="M177" s="12">
        <v>454563.03</v>
      </c>
      <c r="N177" s="12">
        <v>2897500</v>
      </c>
      <c r="O177" s="12">
        <v>0</v>
      </c>
      <c r="P177" s="12">
        <v>2392436.9700000002</v>
      </c>
      <c r="Q177" s="12">
        <v>772247</v>
      </c>
      <c r="R177" s="12">
        <v>1620189.97</v>
      </c>
      <c r="S177" s="12">
        <v>0</v>
      </c>
      <c r="T177" s="12">
        <v>37</v>
      </c>
      <c r="U177" s="12">
        <v>0</v>
      </c>
      <c r="V177" s="12">
        <v>0</v>
      </c>
      <c r="W177" s="35">
        <v>46144.261731053244</v>
      </c>
      <c r="X177" s="12">
        <v>8</v>
      </c>
      <c r="Y177" s="12">
        <v>9</v>
      </c>
      <c r="Z177" s="12">
        <v>1360084.04</v>
      </c>
      <c r="AA177" s="12">
        <v>191736.69500000001</v>
      </c>
      <c r="AB177" s="12">
        <v>357916</v>
      </c>
      <c r="AC177" s="12">
        <v>1002168.04</v>
      </c>
      <c r="AD177" s="12">
        <v>8</v>
      </c>
      <c r="AE177" s="12">
        <v>8</v>
      </c>
      <c r="AF177" s="12">
        <v>1032352.93</v>
      </c>
      <c r="AG177" s="12">
        <v>129044.11599999999</v>
      </c>
      <c r="AH177" s="12">
        <v>414331</v>
      </c>
      <c r="AI177" s="12">
        <v>618021.93000000005</v>
      </c>
      <c r="AJ177" s="12"/>
      <c r="AK177" s="12"/>
      <c r="AL177" s="12"/>
      <c r="AM177" s="12"/>
      <c r="AN177" s="12"/>
      <c r="AO177" s="12"/>
      <c r="AP177" s="12">
        <v>1314705.8899999999</v>
      </c>
      <c r="AQ177" s="12">
        <v>8</v>
      </c>
      <c r="AR177" s="12">
        <v>210031.51300000001</v>
      </c>
      <c r="AS177" s="12">
        <v>415214</v>
      </c>
      <c r="AT177" s="12">
        <v>1023109.23</v>
      </c>
      <c r="AU177" s="12">
        <v>8</v>
      </c>
      <c r="AV177" s="12">
        <v>127888.65300000001</v>
      </c>
      <c r="AW177" s="12">
        <v>344941</v>
      </c>
      <c r="AX177" s="12"/>
      <c r="AY177" s="12"/>
      <c r="AZ177" s="12"/>
      <c r="BA177" s="12"/>
      <c r="BB177" s="12"/>
      <c r="BC177" s="12"/>
      <c r="BD177" s="12"/>
      <c r="BE177" s="12"/>
      <c r="BF177" s="12">
        <v>370</v>
      </c>
      <c r="BG177" s="12">
        <v>0</v>
      </c>
      <c r="BH177" s="12">
        <v>0</v>
      </c>
      <c r="BI177" s="12">
        <v>75</v>
      </c>
      <c r="BJ177" s="12">
        <v>0</v>
      </c>
      <c r="BK177" s="12">
        <v>0</v>
      </c>
      <c r="BL177" s="12">
        <v>42</v>
      </c>
      <c r="BM177" s="12">
        <v>1</v>
      </c>
      <c r="BN177" s="12">
        <v>2.3809523809523808E-2</v>
      </c>
      <c r="BO177" s="12">
        <v>3</v>
      </c>
      <c r="BP177" s="12">
        <v>0</v>
      </c>
      <c r="BQ177" s="12">
        <v>0</v>
      </c>
      <c r="BR177" s="12">
        <v>94</v>
      </c>
      <c r="BS177" s="12">
        <v>6</v>
      </c>
      <c r="BT177" s="12">
        <v>6.3829787234042548E-2</v>
      </c>
      <c r="BU177" s="12">
        <v>584</v>
      </c>
      <c r="BV177" s="12">
        <v>7</v>
      </c>
      <c r="BW177" s="12">
        <v>1.1986301369863013E-2</v>
      </c>
      <c r="BX177" s="12"/>
      <c r="BY177" s="12"/>
      <c r="BZ177" s="12"/>
      <c r="CA177" s="12">
        <v>59823.48</v>
      </c>
      <c r="CB177" s="13"/>
      <c r="CC177" s="13"/>
      <c r="CD177" s="13"/>
      <c r="CE177" s="12">
        <v>3689</v>
      </c>
      <c r="CF177" s="12">
        <v>444</v>
      </c>
      <c r="CG177" s="13">
        <v>52633</v>
      </c>
      <c r="CH177" s="13">
        <v>105</v>
      </c>
      <c r="CI177" s="13">
        <v>16040</v>
      </c>
    </row>
    <row r="178" spans="2:87" x14ac:dyDescent="0.2">
      <c r="B178" s="5">
        <v>45951</v>
      </c>
      <c r="C178" s="12">
        <v>24</v>
      </c>
      <c r="D178" s="12">
        <v>10</v>
      </c>
      <c r="E178" s="12">
        <v>984026.61</v>
      </c>
      <c r="F178" s="12">
        <v>-2</v>
      </c>
      <c r="G178" s="12">
        <v>28674621.859999999</v>
      </c>
      <c r="H178" s="12">
        <v>-5012605.04</v>
      </c>
      <c r="I178" s="12">
        <v>-45378.15</v>
      </c>
      <c r="J178" s="12">
        <v>23616638.670000002</v>
      </c>
      <c r="K178" s="12">
        <v>88500</v>
      </c>
      <c r="L178" s="12">
        <v>0</v>
      </c>
      <c r="M178" s="12">
        <v>4487161.33</v>
      </c>
      <c r="N178" s="12">
        <v>28192300</v>
      </c>
      <c r="O178" s="12">
        <v>45378.16</v>
      </c>
      <c r="P178" s="12">
        <v>23571260.510000002</v>
      </c>
      <c r="Q178" s="12">
        <v>7654561</v>
      </c>
      <c r="R178" s="12">
        <v>15916699.51</v>
      </c>
      <c r="S178" s="12">
        <v>0</v>
      </c>
      <c r="T178" s="12">
        <v>239</v>
      </c>
      <c r="U178" s="12">
        <v>0</v>
      </c>
      <c r="V178" s="12">
        <v>0</v>
      </c>
      <c r="W178" s="35">
        <v>46144.261731053244</v>
      </c>
      <c r="X178" s="12">
        <v>9</v>
      </c>
      <c r="Y178" s="12">
        <v>9</v>
      </c>
      <c r="Z178" s="12">
        <v>865378.16</v>
      </c>
      <c r="AA178" s="12">
        <v>96153.127999999997</v>
      </c>
      <c r="AB178" s="12">
        <v>231836</v>
      </c>
      <c r="AC178" s="12">
        <v>633542.16</v>
      </c>
      <c r="AD178" s="12">
        <v>15</v>
      </c>
      <c r="AE178" s="12">
        <v>15</v>
      </c>
      <c r="AF178" s="12">
        <v>22751260.510000002</v>
      </c>
      <c r="AG178" s="12">
        <v>1516750.7</v>
      </c>
      <c r="AH178" s="12">
        <v>7422725</v>
      </c>
      <c r="AI178" s="12">
        <v>15283157.35</v>
      </c>
      <c r="AJ178" s="12"/>
      <c r="AK178" s="12"/>
      <c r="AL178" s="12"/>
      <c r="AM178" s="12"/>
      <c r="AN178" s="12"/>
      <c r="AO178" s="12"/>
      <c r="AP178" s="12">
        <v>1565378.15</v>
      </c>
      <c r="AQ178" s="12">
        <v>11</v>
      </c>
      <c r="AR178" s="12">
        <v>142307.10399999999</v>
      </c>
      <c r="AS178" s="12">
        <v>516938</v>
      </c>
      <c r="AT178" s="12">
        <v>1013445.39</v>
      </c>
      <c r="AU178" s="12">
        <v>12</v>
      </c>
      <c r="AV178" s="12">
        <v>84453.781000000003</v>
      </c>
      <c r="AW178" s="12">
        <v>235023</v>
      </c>
      <c r="AX178" s="12"/>
      <c r="AY178" s="12"/>
      <c r="AZ178" s="12"/>
      <c r="BA178" s="12"/>
      <c r="BB178" s="12">
        <v>21037815.129999999</v>
      </c>
      <c r="BC178" s="12">
        <v>1</v>
      </c>
      <c r="BD178" s="12">
        <v>21037815.129999999</v>
      </c>
      <c r="BE178" s="12">
        <v>6902600</v>
      </c>
      <c r="BF178" s="12">
        <v>331</v>
      </c>
      <c r="BG178" s="12">
        <v>0</v>
      </c>
      <c r="BH178" s="12">
        <v>0</v>
      </c>
      <c r="BI178" s="12">
        <v>83</v>
      </c>
      <c r="BJ178" s="12">
        <v>1</v>
      </c>
      <c r="BK178" s="12">
        <v>1.2048192771084338E-2</v>
      </c>
      <c r="BL178" s="12">
        <v>37</v>
      </c>
      <c r="BM178" s="12">
        <v>1</v>
      </c>
      <c r="BN178" s="12">
        <v>2.7027027027027029E-2</v>
      </c>
      <c r="BO178" s="12">
        <v>9</v>
      </c>
      <c r="BP178" s="12">
        <v>0</v>
      </c>
      <c r="BQ178" s="12">
        <v>0</v>
      </c>
      <c r="BR178" s="12">
        <v>188</v>
      </c>
      <c r="BS178" s="12">
        <v>7</v>
      </c>
      <c r="BT178" s="12">
        <v>3.7234042553191488E-2</v>
      </c>
      <c r="BU178" s="12">
        <v>648</v>
      </c>
      <c r="BV178" s="12">
        <v>9</v>
      </c>
      <c r="BW178" s="12">
        <v>1.3888888888888888E-2</v>
      </c>
      <c r="BX178" s="12"/>
      <c r="BY178" s="12"/>
      <c r="BZ178" s="12"/>
      <c r="CA178" s="12">
        <v>82254.84</v>
      </c>
      <c r="CB178" s="13"/>
      <c r="CC178" s="13"/>
      <c r="CD178" s="13"/>
      <c r="CE178" s="12">
        <v>2910</v>
      </c>
      <c r="CF178" s="12">
        <v>458</v>
      </c>
      <c r="CG178" s="13">
        <v>51560</v>
      </c>
      <c r="CH178" s="13">
        <v>115</v>
      </c>
      <c r="CI178" s="13">
        <v>15062</v>
      </c>
    </row>
    <row r="179" spans="2:87" x14ac:dyDescent="0.2">
      <c r="B179" s="5">
        <v>45952</v>
      </c>
      <c r="C179" s="12">
        <v>13</v>
      </c>
      <c r="D179" s="12">
        <v>3.5</v>
      </c>
      <c r="E179" s="12">
        <v>219457.014</v>
      </c>
      <c r="F179" s="12">
        <v>0</v>
      </c>
      <c r="G179" s="12">
        <v>2991596.65</v>
      </c>
      <c r="H179" s="12">
        <v>-138655.46</v>
      </c>
      <c r="I179" s="12">
        <v>0</v>
      </c>
      <c r="J179" s="12">
        <v>2852941.19</v>
      </c>
      <c r="K179" s="12">
        <v>65000</v>
      </c>
      <c r="L179" s="12">
        <v>0</v>
      </c>
      <c r="M179" s="12">
        <v>542058.81000000006</v>
      </c>
      <c r="N179" s="12">
        <v>3460000</v>
      </c>
      <c r="O179" s="12">
        <v>29411.759999999998</v>
      </c>
      <c r="P179" s="12">
        <v>2823529.43</v>
      </c>
      <c r="Q179" s="12">
        <v>816675</v>
      </c>
      <c r="R179" s="12">
        <v>2006854.43</v>
      </c>
      <c r="S179" s="12">
        <v>0</v>
      </c>
      <c r="T179" s="12">
        <v>45</v>
      </c>
      <c r="U179" s="12">
        <v>0</v>
      </c>
      <c r="V179" s="12">
        <v>0</v>
      </c>
      <c r="W179" s="35">
        <v>46144.261731053244</v>
      </c>
      <c r="X179" s="12">
        <v>8</v>
      </c>
      <c r="Y179" s="12">
        <v>8</v>
      </c>
      <c r="Z179" s="12">
        <v>2487394.9700000002</v>
      </c>
      <c r="AA179" s="12">
        <v>310924.37099999998</v>
      </c>
      <c r="AB179" s="12">
        <v>707481</v>
      </c>
      <c r="AC179" s="12">
        <v>1779913.97</v>
      </c>
      <c r="AD179" s="12">
        <v>5</v>
      </c>
      <c r="AE179" s="12">
        <v>5</v>
      </c>
      <c r="AF179" s="12">
        <v>365546.22</v>
      </c>
      <c r="AG179" s="12">
        <v>73109.244000000006</v>
      </c>
      <c r="AH179" s="12">
        <v>109194</v>
      </c>
      <c r="AI179" s="12">
        <v>226940.46</v>
      </c>
      <c r="AJ179" s="12"/>
      <c r="AK179" s="12"/>
      <c r="AL179" s="12"/>
      <c r="AM179" s="12"/>
      <c r="AN179" s="12"/>
      <c r="AO179" s="12"/>
      <c r="AP179" s="12">
        <v>899159.67</v>
      </c>
      <c r="AQ179" s="12">
        <v>5</v>
      </c>
      <c r="AR179" s="12">
        <v>179831.93400000001</v>
      </c>
      <c r="AS179" s="12">
        <v>224392</v>
      </c>
      <c r="AT179" s="12">
        <v>1953781.52</v>
      </c>
      <c r="AU179" s="12">
        <v>8</v>
      </c>
      <c r="AV179" s="12">
        <v>244222.69</v>
      </c>
      <c r="AW179" s="12">
        <v>592283</v>
      </c>
      <c r="AX179" s="12"/>
      <c r="AY179" s="12"/>
      <c r="AZ179" s="12"/>
      <c r="BA179" s="12"/>
      <c r="BB179" s="12"/>
      <c r="BC179" s="12"/>
      <c r="BD179" s="12"/>
      <c r="BE179" s="12"/>
      <c r="BF179" s="12">
        <v>427</v>
      </c>
      <c r="BG179" s="12">
        <v>0</v>
      </c>
      <c r="BH179" s="12">
        <v>0</v>
      </c>
      <c r="BI179" s="12">
        <v>181</v>
      </c>
      <c r="BJ179" s="12">
        <v>2</v>
      </c>
      <c r="BK179" s="12">
        <v>1.1049723756906077E-2</v>
      </c>
      <c r="BL179" s="12">
        <v>49</v>
      </c>
      <c r="BM179" s="12">
        <v>2</v>
      </c>
      <c r="BN179" s="12">
        <v>4.0816326530612242E-2</v>
      </c>
      <c r="BO179" s="12">
        <v>5</v>
      </c>
      <c r="BP179" s="12">
        <v>0</v>
      </c>
      <c r="BQ179" s="12">
        <v>0</v>
      </c>
      <c r="BR179" s="12">
        <v>101</v>
      </c>
      <c r="BS179" s="12">
        <v>2</v>
      </c>
      <c r="BT179" s="12">
        <v>1.9801980198019802E-2</v>
      </c>
      <c r="BU179" s="12">
        <v>763</v>
      </c>
      <c r="BV179" s="12">
        <v>6</v>
      </c>
      <c r="BW179" s="12">
        <v>7.8636959370904317E-3</v>
      </c>
      <c r="BX179" s="12"/>
      <c r="BY179" s="12"/>
      <c r="BZ179" s="12"/>
      <c r="CA179" s="12">
        <v>84209</v>
      </c>
      <c r="CB179" s="13"/>
      <c r="CC179" s="13"/>
      <c r="CD179" s="13"/>
      <c r="CE179" s="12">
        <v>3264</v>
      </c>
      <c r="CF179" s="12">
        <v>561</v>
      </c>
      <c r="CG179" s="13">
        <v>52830</v>
      </c>
      <c r="CH179" s="13">
        <v>126</v>
      </c>
      <c r="CI179" s="13">
        <v>14491</v>
      </c>
    </row>
    <row r="180" spans="2:87" x14ac:dyDescent="0.2">
      <c r="B180" s="5">
        <v>45953</v>
      </c>
      <c r="C180" s="12">
        <v>14</v>
      </c>
      <c r="D180" s="12">
        <v>2</v>
      </c>
      <c r="E180" s="12">
        <v>93277.312000000005</v>
      </c>
      <c r="F180" s="12">
        <v>0</v>
      </c>
      <c r="G180" s="12">
        <v>1366386.55</v>
      </c>
      <c r="H180" s="12">
        <v>-60504.18</v>
      </c>
      <c r="I180" s="12">
        <v>0</v>
      </c>
      <c r="J180" s="12">
        <v>1305882.3700000001</v>
      </c>
      <c r="K180" s="12">
        <v>32500</v>
      </c>
      <c r="L180" s="12">
        <v>0</v>
      </c>
      <c r="M180" s="12">
        <v>248117.63</v>
      </c>
      <c r="N180" s="12">
        <v>1586500</v>
      </c>
      <c r="O180" s="12">
        <v>22689.08</v>
      </c>
      <c r="P180" s="12">
        <v>1283193.29</v>
      </c>
      <c r="Q180" s="12">
        <v>272951</v>
      </c>
      <c r="R180" s="12">
        <v>1010242.29</v>
      </c>
      <c r="S180" s="12">
        <v>0</v>
      </c>
      <c r="T180" s="12">
        <v>28</v>
      </c>
      <c r="U180" s="12">
        <v>0</v>
      </c>
      <c r="V180" s="12">
        <v>0</v>
      </c>
      <c r="W180" s="35">
        <v>46144.261731053244</v>
      </c>
      <c r="X180" s="12">
        <v>6</v>
      </c>
      <c r="Y180" s="12">
        <v>7</v>
      </c>
      <c r="Z180" s="12">
        <v>866386.57</v>
      </c>
      <c r="AA180" s="12">
        <v>123769.51</v>
      </c>
      <c r="AB180" s="12">
        <v>122539</v>
      </c>
      <c r="AC180" s="12">
        <v>721158.49</v>
      </c>
      <c r="AD180" s="12">
        <v>7</v>
      </c>
      <c r="AE180" s="12">
        <v>7</v>
      </c>
      <c r="AF180" s="12">
        <v>439495.8</v>
      </c>
      <c r="AG180" s="12">
        <v>62785.114000000001</v>
      </c>
      <c r="AH180" s="12">
        <v>150412</v>
      </c>
      <c r="AI180" s="12">
        <v>289083.8</v>
      </c>
      <c r="AJ180" s="12"/>
      <c r="AK180" s="12"/>
      <c r="AL180" s="12"/>
      <c r="AM180" s="12"/>
      <c r="AN180" s="12"/>
      <c r="AO180" s="12"/>
      <c r="AP180" s="12">
        <v>411764.71</v>
      </c>
      <c r="AQ180" s="12">
        <v>5</v>
      </c>
      <c r="AR180" s="12">
        <v>82352.941999999995</v>
      </c>
      <c r="AS180" s="12">
        <v>103460</v>
      </c>
      <c r="AT180" s="12">
        <v>852100.85</v>
      </c>
      <c r="AU180" s="12">
        <v>8</v>
      </c>
      <c r="AV180" s="12">
        <v>106512.606</v>
      </c>
      <c r="AW180" s="12">
        <v>154920</v>
      </c>
      <c r="AX180" s="12">
        <v>42016.81</v>
      </c>
      <c r="AY180" s="12">
        <v>1</v>
      </c>
      <c r="AZ180" s="12">
        <v>42016.81</v>
      </c>
      <c r="BA180" s="12">
        <v>14571</v>
      </c>
      <c r="BB180" s="12"/>
      <c r="BC180" s="12"/>
      <c r="BD180" s="12"/>
      <c r="BE180" s="12"/>
      <c r="BF180" s="12">
        <v>441</v>
      </c>
      <c r="BG180" s="12">
        <v>0</v>
      </c>
      <c r="BH180" s="12">
        <v>0</v>
      </c>
      <c r="BI180" s="12">
        <v>66</v>
      </c>
      <c r="BJ180" s="12">
        <v>3</v>
      </c>
      <c r="BK180" s="12">
        <v>4.5454545454545456E-2</v>
      </c>
      <c r="BL180" s="12">
        <v>46</v>
      </c>
      <c r="BM180" s="12">
        <v>0</v>
      </c>
      <c r="BN180" s="12">
        <v>0</v>
      </c>
      <c r="BO180" s="12">
        <v>12</v>
      </c>
      <c r="BP180" s="12">
        <v>0</v>
      </c>
      <c r="BQ180" s="12">
        <v>0</v>
      </c>
      <c r="BR180" s="12">
        <v>125</v>
      </c>
      <c r="BS180" s="12">
        <v>2</v>
      </c>
      <c r="BT180" s="12">
        <v>1.6E-2</v>
      </c>
      <c r="BU180" s="12">
        <v>690</v>
      </c>
      <c r="BV180" s="12">
        <v>5</v>
      </c>
      <c r="BW180" s="12">
        <v>7.246376811594203E-3</v>
      </c>
      <c r="BX180" s="12"/>
      <c r="BY180" s="12"/>
      <c r="BZ180" s="12"/>
      <c r="CA180" s="12">
        <v>84188.59</v>
      </c>
      <c r="CB180" s="13"/>
      <c r="CC180" s="13"/>
      <c r="CD180" s="13"/>
      <c r="CE180" s="12">
        <v>3853</v>
      </c>
      <c r="CF180" s="12">
        <v>562</v>
      </c>
      <c r="CG180" s="13">
        <v>49067</v>
      </c>
      <c r="CH180" s="13">
        <v>104</v>
      </c>
      <c r="CI180" s="13">
        <v>14009</v>
      </c>
    </row>
    <row r="181" spans="2:87" x14ac:dyDescent="0.2">
      <c r="B181" s="5">
        <v>45954</v>
      </c>
      <c r="C181" s="12">
        <v>21</v>
      </c>
      <c r="D181" s="12">
        <v>1.8</v>
      </c>
      <c r="E181" s="12">
        <v>97352.941999999995</v>
      </c>
      <c r="F181" s="12">
        <v>0</v>
      </c>
      <c r="G181" s="12">
        <v>2044411.79</v>
      </c>
      <c r="H181" s="12">
        <v>0</v>
      </c>
      <c r="I181" s="12">
        <v>0</v>
      </c>
      <c r="J181" s="12">
        <v>2044411.79</v>
      </c>
      <c r="K181" s="12">
        <v>48000</v>
      </c>
      <c r="L181" s="12">
        <v>0</v>
      </c>
      <c r="M181" s="12">
        <v>366588.21</v>
      </c>
      <c r="N181" s="12">
        <v>2459000</v>
      </c>
      <c r="O181" s="12">
        <v>77689.08</v>
      </c>
      <c r="P181" s="12">
        <v>1966722.71</v>
      </c>
      <c r="Q181" s="12">
        <v>588605</v>
      </c>
      <c r="R181" s="12">
        <v>1378117.71</v>
      </c>
      <c r="S181" s="12">
        <v>0</v>
      </c>
      <c r="T181" s="12">
        <v>37</v>
      </c>
      <c r="U181" s="12">
        <v>0</v>
      </c>
      <c r="V181" s="12">
        <v>0</v>
      </c>
      <c r="W181" s="35">
        <v>46144.261731053244</v>
      </c>
      <c r="X181" s="12">
        <v>9</v>
      </c>
      <c r="Y181" s="12">
        <v>11</v>
      </c>
      <c r="Z181" s="12">
        <v>961344.55</v>
      </c>
      <c r="AA181" s="12">
        <v>87394.959000000003</v>
      </c>
      <c r="AB181" s="12">
        <v>289058</v>
      </c>
      <c r="AC181" s="12">
        <v>672286.55</v>
      </c>
      <c r="AD181" s="12">
        <v>9</v>
      </c>
      <c r="AE181" s="12">
        <v>9</v>
      </c>
      <c r="AF181" s="12">
        <v>986428.58</v>
      </c>
      <c r="AG181" s="12">
        <v>109603.175</v>
      </c>
      <c r="AH181" s="12">
        <v>284448</v>
      </c>
      <c r="AI181" s="12">
        <v>624291.5</v>
      </c>
      <c r="AJ181" s="12">
        <v>1</v>
      </c>
      <c r="AK181" s="12">
        <v>1</v>
      </c>
      <c r="AL181" s="12">
        <v>96638.66</v>
      </c>
      <c r="AM181" s="12">
        <v>96638.66</v>
      </c>
      <c r="AN181" s="12">
        <v>15099</v>
      </c>
      <c r="AO181" s="12">
        <v>81539.66</v>
      </c>
      <c r="AP181" s="12">
        <v>336134.45</v>
      </c>
      <c r="AQ181" s="12">
        <v>2</v>
      </c>
      <c r="AR181" s="12">
        <v>168067.22500000001</v>
      </c>
      <c r="AS181" s="12">
        <v>91934</v>
      </c>
      <c r="AT181" s="12">
        <v>1708277.34</v>
      </c>
      <c r="AU181" s="12">
        <v>19</v>
      </c>
      <c r="AV181" s="12">
        <v>89909.332999999999</v>
      </c>
      <c r="AW181" s="12">
        <v>496671</v>
      </c>
      <c r="AX181" s="12"/>
      <c r="AY181" s="12"/>
      <c r="AZ181" s="12"/>
      <c r="BA181" s="12"/>
      <c r="BB181" s="12"/>
      <c r="BC181" s="12"/>
      <c r="BD181" s="12"/>
      <c r="BE181" s="12"/>
      <c r="BF181" s="12">
        <v>317</v>
      </c>
      <c r="BG181" s="12">
        <v>0</v>
      </c>
      <c r="BH181" s="12">
        <v>0</v>
      </c>
      <c r="BI181" s="12">
        <v>70</v>
      </c>
      <c r="BJ181" s="12">
        <v>0</v>
      </c>
      <c r="BK181" s="12">
        <v>0</v>
      </c>
      <c r="BL181" s="12">
        <v>23</v>
      </c>
      <c r="BM181" s="12">
        <v>0</v>
      </c>
      <c r="BN181" s="12">
        <v>0</v>
      </c>
      <c r="BO181" s="12">
        <v>6</v>
      </c>
      <c r="BP181" s="12">
        <v>0</v>
      </c>
      <c r="BQ181" s="12">
        <v>0</v>
      </c>
      <c r="BR181" s="12">
        <v>103</v>
      </c>
      <c r="BS181" s="12">
        <v>2</v>
      </c>
      <c r="BT181" s="12">
        <v>1.9417475728155338E-2</v>
      </c>
      <c r="BU181" s="12">
        <v>519</v>
      </c>
      <c r="BV181" s="12">
        <v>2</v>
      </c>
      <c r="BW181" s="12">
        <v>3.8535645472061657E-3</v>
      </c>
      <c r="BX181" s="12"/>
      <c r="BY181" s="12"/>
      <c r="BZ181" s="12"/>
      <c r="CA181" s="12">
        <v>51077.5</v>
      </c>
      <c r="CB181" s="13"/>
      <c r="CC181" s="13"/>
      <c r="CD181" s="13"/>
      <c r="CE181" s="12">
        <v>3829</v>
      </c>
      <c r="CF181" s="12">
        <v>383</v>
      </c>
      <c r="CG181" s="13">
        <v>50109</v>
      </c>
      <c r="CH181" s="13">
        <v>121</v>
      </c>
      <c r="CI181" s="13">
        <v>13896</v>
      </c>
    </row>
    <row r="182" spans="2:87" x14ac:dyDescent="0.2">
      <c r="B182" s="5">
        <v>45955</v>
      </c>
      <c r="C182" s="12">
        <v>23</v>
      </c>
      <c r="D182" s="12">
        <v>11.2</v>
      </c>
      <c r="E182" s="12">
        <v>133503.837</v>
      </c>
      <c r="F182" s="12">
        <v>0</v>
      </c>
      <c r="G182" s="12">
        <v>3831092.45</v>
      </c>
      <c r="H182" s="12">
        <v>-760504.19</v>
      </c>
      <c r="I182" s="12">
        <v>0</v>
      </c>
      <c r="J182" s="12">
        <v>3070588.26</v>
      </c>
      <c r="K182" s="12">
        <v>61500</v>
      </c>
      <c r="L182" s="12">
        <v>0</v>
      </c>
      <c r="M182" s="12">
        <v>583411.74</v>
      </c>
      <c r="N182" s="12">
        <v>3715500</v>
      </c>
      <c r="O182" s="12">
        <v>81512.61</v>
      </c>
      <c r="P182" s="12">
        <v>2989075.65</v>
      </c>
      <c r="Q182" s="12">
        <v>1088155</v>
      </c>
      <c r="R182" s="12">
        <v>1900920.65</v>
      </c>
      <c r="S182" s="12">
        <v>0</v>
      </c>
      <c r="T182" s="12">
        <v>258</v>
      </c>
      <c r="U182" s="12">
        <v>0</v>
      </c>
      <c r="V182" s="12">
        <v>0</v>
      </c>
      <c r="W182" s="35">
        <v>46144.261731053244</v>
      </c>
      <c r="X182" s="12">
        <v>10</v>
      </c>
      <c r="Y182" s="12">
        <v>12</v>
      </c>
      <c r="Z182" s="12">
        <v>1036134.47</v>
      </c>
      <c r="AA182" s="12">
        <v>86344.539000000004</v>
      </c>
      <c r="AB182" s="12">
        <v>285862</v>
      </c>
      <c r="AC182" s="12">
        <v>750272.47</v>
      </c>
      <c r="AD182" s="12">
        <v>10</v>
      </c>
      <c r="AE182" s="12">
        <v>10</v>
      </c>
      <c r="AF182" s="12">
        <v>1973949.59</v>
      </c>
      <c r="AG182" s="12">
        <v>197394.959</v>
      </c>
      <c r="AH182" s="12">
        <v>785399</v>
      </c>
      <c r="AI182" s="12">
        <v>1107037.98</v>
      </c>
      <c r="AJ182" s="12">
        <v>1</v>
      </c>
      <c r="AK182" s="12">
        <v>1</v>
      </c>
      <c r="AL182" s="12">
        <v>60504.2</v>
      </c>
      <c r="AM182" s="12">
        <v>60504.2</v>
      </c>
      <c r="AN182" s="12">
        <v>16894</v>
      </c>
      <c r="AO182" s="12">
        <v>43610.2</v>
      </c>
      <c r="AP182" s="12">
        <v>1089915.97</v>
      </c>
      <c r="AQ182" s="12">
        <v>4</v>
      </c>
      <c r="AR182" s="12">
        <v>272478.99200000003</v>
      </c>
      <c r="AS182" s="12">
        <v>511767</v>
      </c>
      <c r="AT182" s="12">
        <v>1980672.29</v>
      </c>
      <c r="AU182" s="12">
        <v>19</v>
      </c>
      <c r="AV182" s="12">
        <v>104245.91</v>
      </c>
      <c r="AW182" s="12">
        <v>576388</v>
      </c>
      <c r="AX182" s="12"/>
      <c r="AY182" s="12"/>
      <c r="AZ182" s="12"/>
      <c r="BA182" s="12"/>
      <c r="BB182" s="12"/>
      <c r="BC182" s="12"/>
      <c r="BD182" s="12"/>
      <c r="BE182" s="12"/>
      <c r="BF182" s="12">
        <v>335</v>
      </c>
      <c r="BG182" s="12">
        <v>0</v>
      </c>
      <c r="BH182" s="12">
        <v>0</v>
      </c>
      <c r="BI182" s="12">
        <v>68</v>
      </c>
      <c r="BJ182" s="12">
        <v>1</v>
      </c>
      <c r="BK182" s="12">
        <v>1.4705882352941176E-2</v>
      </c>
      <c r="BL182" s="12">
        <v>35</v>
      </c>
      <c r="BM182" s="12">
        <v>2</v>
      </c>
      <c r="BN182" s="12">
        <v>5.7142857142857141E-2</v>
      </c>
      <c r="BO182" s="12">
        <v>9</v>
      </c>
      <c r="BP182" s="12">
        <v>0</v>
      </c>
      <c r="BQ182" s="12">
        <v>0</v>
      </c>
      <c r="BR182" s="12">
        <v>114</v>
      </c>
      <c r="BS182" s="12">
        <v>2</v>
      </c>
      <c r="BT182" s="12">
        <v>1.7543859649122806E-2</v>
      </c>
      <c r="BU182" s="12">
        <v>561</v>
      </c>
      <c r="BV182" s="12">
        <v>5</v>
      </c>
      <c r="BW182" s="12">
        <v>8.9126559714795012E-3</v>
      </c>
      <c r="BX182" s="12"/>
      <c r="BY182" s="12"/>
      <c r="BZ182" s="12"/>
      <c r="CA182" s="12">
        <v>86075.1</v>
      </c>
      <c r="CB182" s="13"/>
      <c r="CC182" s="13"/>
      <c r="CD182" s="13"/>
      <c r="CE182" s="12">
        <v>5397</v>
      </c>
      <c r="CF182" s="12">
        <v>462</v>
      </c>
      <c r="CG182" s="13">
        <v>52490</v>
      </c>
      <c r="CH182" s="13">
        <v>116</v>
      </c>
      <c r="CI182" s="13">
        <v>14240</v>
      </c>
    </row>
    <row r="183" spans="2:87" x14ac:dyDescent="0.2">
      <c r="B183" s="5">
        <v>45956</v>
      </c>
      <c r="C183" s="12">
        <v>13</v>
      </c>
      <c r="D183" s="12">
        <v>2.1</v>
      </c>
      <c r="E183" s="12">
        <v>144209.43700000001</v>
      </c>
      <c r="F183" s="12">
        <v>-2</v>
      </c>
      <c r="G183" s="12">
        <v>1975563.03</v>
      </c>
      <c r="H183" s="12">
        <v>0</v>
      </c>
      <c r="I183" s="12">
        <v>-100840.34</v>
      </c>
      <c r="J183" s="12">
        <v>1874722.69</v>
      </c>
      <c r="K183" s="12">
        <v>41500</v>
      </c>
      <c r="L183" s="12">
        <v>0</v>
      </c>
      <c r="M183" s="12">
        <v>314777.31</v>
      </c>
      <c r="N183" s="12">
        <v>2231000</v>
      </c>
      <c r="O183" s="12">
        <v>22689.08</v>
      </c>
      <c r="P183" s="12">
        <v>1852033.61</v>
      </c>
      <c r="Q183" s="12">
        <v>722460</v>
      </c>
      <c r="R183" s="12">
        <v>1129573.6100000001</v>
      </c>
      <c r="S183" s="12">
        <v>0</v>
      </c>
      <c r="T183" s="12">
        <v>27</v>
      </c>
      <c r="U183" s="12">
        <v>0</v>
      </c>
      <c r="V183" s="12">
        <v>0</v>
      </c>
      <c r="W183" s="35">
        <v>46144.261731053244</v>
      </c>
      <c r="X183" s="12">
        <v>2</v>
      </c>
      <c r="Y183" s="12">
        <v>5</v>
      </c>
      <c r="Z183" s="12">
        <v>561184.87</v>
      </c>
      <c r="AA183" s="12">
        <v>112236.974</v>
      </c>
      <c r="AB183" s="12">
        <v>216508</v>
      </c>
      <c r="AC183" s="12">
        <v>344676.87</v>
      </c>
      <c r="AD183" s="12">
        <v>8</v>
      </c>
      <c r="AE183" s="12">
        <v>8</v>
      </c>
      <c r="AF183" s="12">
        <v>1313537.82</v>
      </c>
      <c r="AG183" s="12">
        <v>164192.22700000001</v>
      </c>
      <c r="AH183" s="12">
        <v>505952</v>
      </c>
      <c r="AI183" s="12">
        <v>784896.74</v>
      </c>
      <c r="AJ183" s="12"/>
      <c r="AK183" s="12"/>
      <c r="AL183" s="12"/>
      <c r="AM183" s="12"/>
      <c r="AN183" s="12"/>
      <c r="AO183" s="12"/>
      <c r="AP183" s="12">
        <v>584033.62</v>
      </c>
      <c r="AQ183" s="12">
        <v>4</v>
      </c>
      <c r="AR183" s="12">
        <v>146008.405</v>
      </c>
      <c r="AS183" s="12">
        <v>225879</v>
      </c>
      <c r="AT183" s="12">
        <v>1290689.07</v>
      </c>
      <c r="AU183" s="12">
        <v>9</v>
      </c>
      <c r="AV183" s="12">
        <v>143409.89600000001</v>
      </c>
      <c r="AW183" s="12">
        <v>496581</v>
      </c>
      <c r="AX183" s="12"/>
      <c r="AY183" s="12"/>
      <c r="AZ183" s="12"/>
      <c r="BA183" s="12"/>
      <c r="BB183" s="12"/>
      <c r="BC183" s="12"/>
      <c r="BD183" s="12"/>
      <c r="BE183" s="12"/>
      <c r="BF183" s="12">
        <v>415</v>
      </c>
      <c r="BG183" s="12">
        <v>0</v>
      </c>
      <c r="BH183" s="12">
        <v>0</v>
      </c>
      <c r="BI183" s="12">
        <v>117</v>
      </c>
      <c r="BJ183" s="12">
        <v>1</v>
      </c>
      <c r="BK183" s="12">
        <v>8.5470085470085479E-3</v>
      </c>
      <c r="BL183" s="12">
        <v>35</v>
      </c>
      <c r="BM183" s="12">
        <v>3</v>
      </c>
      <c r="BN183" s="12">
        <v>8.5714285714285715E-2</v>
      </c>
      <c r="BO183" s="12">
        <v>24</v>
      </c>
      <c r="BP183" s="12">
        <v>0</v>
      </c>
      <c r="BQ183" s="12">
        <v>0</v>
      </c>
      <c r="BR183" s="12">
        <v>83</v>
      </c>
      <c r="BS183" s="12">
        <v>0</v>
      </c>
      <c r="BT183" s="12">
        <v>0</v>
      </c>
      <c r="BU183" s="12">
        <v>674</v>
      </c>
      <c r="BV183" s="12">
        <v>4</v>
      </c>
      <c r="BW183" s="12">
        <v>5.9347181008902079E-3</v>
      </c>
      <c r="BX183" s="12"/>
      <c r="BY183" s="12"/>
      <c r="BZ183" s="12"/>
      <c r="CA183" s="12">
        <v>79838.58</v>
      </c>
      <c r="CB183" s="13"/>
      <c r="CC183" s="13"/>
      <c r="CD183" s="13"/>
      <c r="CE183" s="12">
        <v>6061</v>
      </c>
      <c r="CF183" s="12">
        <v>617</v>
      </c>
      <c r="CG183" s="13">
        <v>57184</v>
      </c>
      <c r="CH183" s="13">
        <v>148</v>
      </c>
      <c r="CI183" s="13">
        <v>15743</v>
      </c>
    </row>
    <row r="184" spans="2:87" x14ac:dyDescent="0.2">
      <c r="B184" s="5">
        <v>45957</v>
      </c>
      <c r="C184" s="12">
        <v>17</v>
      </c>
      <c r="D184" s="12">
        <v>1.9</v>
      </c>
      <c r="E184" s="12">
        <v>130708.848</v>
      </c>
      <c r="F184" s="12">
        <v>-2</v>
      </c>
      <c r="G184" s="12">
        <v>2314873.9500000002</v>
      </c>
      <c r="H184" s="12">
        <v>-34000</v>
      </c>
      <c r="I184" s="12">
        <v>-66386.559999999998</v>
      </c>
      <c r="J184" s="12">
        <v>2214487.39</v>
      </c>
      <c r="K184" s="12">
        <v>245500</v>
      </c>
      <c r="L184" s="12">
        <v>0</v>
      </c>
      <c r="M184" s="12">
        <v>345512.61</v>
      </c>
      <c r="N184" s="12">
        <v>2805500</v>
      </c>
      <c r="O184" s="12">
        <v>22689.08</v>
      </c>
      <c r="P184" s="12">
        <v>2191798.31</v>
      </c>
      <c r="Q184" s="12">
        <v>652067</v>
      </c>
      <c r="R184" s="12">
        <v>1539731.31</v>
      </c>
      <c r="S184" s="12">
        <v>0</v>
      </c>
      <c r="T184" s="12">
        <v>32</v>
      </c>
      <c r="U184" s="12">
        <v>0</v>
      </c>
      <c r="V184" s="12">
        <v>0</v>
      </c>
      <c r="W184" s="35">
        <v>46144.261731053244</v>
      </c>
      <c r="X184" s="12">
        <v>3</v>
      </c>
      <c r="Y184" s="12">
        <v>3</v>
      </c>
      <c r="Z184" s="12">
        <v>172689.08</v>
      </c>
      <c r="AA184" s="12">
        <v>57563.025999999998</v>
      </c>
      <c r="AB184" s="12">
        <v>60643</v>
      </c>
      <c r="AC184" s="12">
        <v>112046.08</v>
      </c>
      <c r="AD184" s="12">
        <v>13</v>
      </c>
      <c r="AE184" s="12">
        <v>13</v>
      </c>
      <c r="AF184" s="12">
        <v>2011126.04</v>
      </c>
      <c r="AG184" s="12">
        <v>155283.774</v>
      </c>
      <c r="AH184" s="12">
        <v>587464</v>
      </c>
      <c r="AI184" s="12">
        <v>1423662.04</v>
      </c>
      <c r="AJ184" s="12">
        <v>1</v>
      </c>
      <c r="AK184" s="12">
        <v>1</v>
      </c>
      <c r="AL184" s="12">
        <v>30672.27</v>
      </c>
      <c r="AM184" s="12">
        <v>30672.27</v>
      </c>
      <c r="AN184" s="12">
        <v>3960</v>
      </c>
      <c r="AO184" s="12">
        <v>4023.19</v>
      </c>
      <c r="AP184" s="12">
        <v>1337092.44</v>
      </c>
      <c r="AQ184" s="12">
        <v>6</v>
      </c>
      <c r="AR184" s="12">
        <v>222848.74</v>
      </c>
      <c r="AS184" s="12">
        <v>339669</v>
      </c>
      <c r="AT184" s="12">
        <v>877394.95</v>
      </c>
      <c r="AU184" s="12">
        <v>11</v>
      </c>
      <c r="AV184" s="12">
        <v>80450.725000000006</v>
      </c>
      <c r="AW184" s="12">
        <v>312398</v>
      </c>
      <c r="AX184" s="12"/>
      <c r="AY184" s="12"/>
      <c r="AZ184" s="12"/>
      <c r="BA184" s="12"/>
      <c r="BB184" s="12"/>
      <c r="BC184" s="12"/>
      <c r="BD184" s="12"/>
      <c r="BE184" s="12"/>
      <c r="BF184" s="12">
        <v>389</v>
      </c>
      <c r="BG184" s="12">
        <v>0</v>
      </c>
      <c r="BH184" s="12">
        <v>0</v>
      </c>
      <c r="BI184" s="12">
        <v>79</v>
      </c>
      <c r="BJ184" s="12">
        <v>2</v>
      </c>
      <c r="BK184" s="12">
        <v>2.5316455696202531E-2</v>
      </c>
      <c r="BL184" s="12">
        <v>44</v>
      </c>
      <c r="BM184" s="12">
        <v>0</v>
      </c>
      <c r="BN184" s="12">
        <v>0</v>
      </c>
      <c r="BO184" s="12">
        <v>46</v>
      </c>
      <c r="BP184" s="12">
        <v>0</v>
      </c>
      <c r="BQ184" s="12">
        <v>0</v>
      </c>
      <c r="BR184" s="12">
        <v>111</v>
      </c>
      <c r="BS184" s="12">
        <v>5</v>
      </c>
      <c r="BT184" s="12">
        <v>4.5045045045045043E-2</v>
      </c>
      <c r="BU184" s="12">
        <v>669</v>
      </c>
      <c r="BV184" s="12">
        <v>7</v>
      </c>
      <c r="BW184" s="12">
        <v>1.0463378176382661E-2</v>
      </c>
      <c r="BX184" s="12"/>
      <c r="BY184" s="12"/>
      <c r="BZ184" s="12"/>
      <c r="CA184" s="12">
        <v>86310.64</v>
      </c>
      <c r="CB184" s="13"/>
      <c r="CC184" s="13"/>
      <c r="CD184" s="13"/>
      <c r="CE184" s="12">
        <v>5948</v>
      </c>
      <c r="CF184" s="12">
        <v>562</v>
      </c>
      <c r="CG184" s="13">
        <v>54244</v>
      </c>
      <c r="CH184" s="13">
        <v>141</v>
      </c>
      <c r="CI184" s="13">
        <v>14943</v>
      </c>
    </row>
    <row r="185" spans="2:87" x14ac:dyDescent="0.2">
      <c r="B185" s="5">
        <v>45958</v>
      </c>
      <c r="C185" s="12">
        <v>17</v>
      </c>
      <c r="D185" s="12">
        <v>4.4000000000000004</v>
      </c>
      <c r="E185" s="12">
        <v>219523.481</v>
      </c>
      <c r="F185" s="12">
        <v>0</v>
      </c>
      <c r="G185" s="12">
        <v>3897697.45</v>
      </c>
      <c r="H185" s="12">
        <v>-165798.26999999999</v>
      </c>
      <c r="I185" s="12">
        <v>0</v>
      </c>
      <c r="J185" s="12">
        <v>3731899.18</v>
      </c>
      <c r="K185" s="12">
        <v>68500</v>
      </c>
      <c r="L185" s="12">
        <v>0</v>
      </c>
      <c r="M185" s="12">
        <v>670300.81999999995</v>
      </c>
      <c r="N185" s="12">
        <v>4470700</v>
      </c>
      <c r="O185" s="12">
        <v>436106.37</v>
      </c>
      <c r="P185" s="12">
        <v>3295792.81</v>
      </c>
      <c r="Q185" s="12">
        <v>1007602</v>
      </c>
      <c r="R185" s="12">
        <v>2288190.81</v>
      </c>
      <c r="S185" s="12">
        <v>0</v>
      </c>
      <c r="T185" s="12">
        <v>74</v>
      </c>
      <c r="U185" s="12">
        <v>0</v>
      </c>
      <c r="V185" s="12">
        <v>0</v>
      </c>
      <c r="W185" s="35">
        <v>46144.261731053244</v>
      </c>
      <c r="X185" s="12">
        <v>5</v>
      </c>
      <c r="Y185" s="12">
        <v>6</v>
      </c>
      <c r="Z185" s="12">
        <v>1307655.47</v>
      </c>
      <c r="AA185" s="12">
        <v>217942.57800000001</v>
      </c>
      <c r="AB185" s="12">
        <v>321638</v>
      </c>
      <c r="AC185" s="12">
        <v>817017.47</v>
      </c>
      <c r="AD185" s="12">
        <v>11</v>
      </c>
      <c r="AE185" s="12">
        <v>11</v>
      </c>
      <c r="AF185" s="12">
        <v>2424243.71</v>
      </c>
      <c r="AG185" s="12">
        <v>220385.791</v>
      </c>
      <c r="AH185" s="12">
        <v>685964</v>
      </c>
      <c r="AI185" s="12">
        <v>1471173.34</v>
      </c>
      <c r="AJ185" s="12"/>
      <c r="AK185" s="12"/>
      <c r="AL185" s="12"/>
      <c r="AM185" s="12"/>
      <c r="AN185" s="12"/>
      <c r="AO185" s="12"/>
      <c r="AP185" s="12">
        <v>1839075.64</v>
      </c>
      <c r="AQ185" s="12">
        <v>7</v>
      </c>
      <c r="AR185" s="12">
        <v>262725.09100000001</v>
      </c>
      <c r="AS185" s="12">
        <v>616060</v>
      </c>
      <c r="AT185" s="12">
        <v>1838201.69</v>
      </c>
      <c r="AU185" s="12">
        <v>9</v>
      </c>
      <c r="AV185" s="12">
        <v>204244.63200000001</v>
      </c>
      <c r="AW185" s="12">
        <v>370388</v>
      </c>
      <c r="AX185" s="12">
        <v>54621.85</v>
      </c>
      <c r="AY185" s="12">
        <v>1</v>
      </c>
      <c r="AZ185" s="12">
        <v>54621.85</v>
      </c>
      <c r="BA185" s="12">
        <v>21154</v>
      </c>
      <c r="BB185" s="12"/>
      <c r="BC185" s="12"/>
      <c r="BD185" s="12"/>
      <c r="BE185" s="12"/>
      <c r="BF185" s="12">
        <v>342</v>
      </c>
      <c r="BG185" s="12">
        <v>1</v>
      </c>
      <c r="BH185" s="12">
        <v>2.9239766081871343E-3</v>
      </c>
      <c r="BI185" s="12">
        <v>72</v>
      </c>
      <c r="BJ185" s="12">
        <v>2</v>
      </c>
      <c r="BK185" s="12">
        <v>2.7777777777777776E-2</v>
      </c>
      <c r="BL185" s="12">
        <v>40</v>
      </c>
      <c r="BM185" s="12">
        <v>1</v>
      </c>
      <c r="BN185" s="12">
        <v>2.5000000000000001E-2</v>
      </c>
      <c r="BO185" s="12">
        <v>35</v>
      </c>
      <c r="BP185" s="12">
        <v>0</v>
      </c>
      <c r="BQ185" s="12">
        <v>0</v>
      </c>
      <c r="BR185" s="12">
        <v>112</v>
      </c>
      <c r="BS185" s="12">
        <v>2</v>
      </c>
      <c r="BT185" s="12">
        <v>1.7857142857142856E-2</v>
      </c>
      <c r="BU185" s="12">
        <v>601</v>
      </c>
      <c r="BV185" s="12">
        <v>6</v>
      </c>
      <c r="BW185" s="12">
        <v>9.9833610648918467E-3</v>
      </c>
      <c r="BX185" s="12"/>
      <c r="BY185" s="12"/>
      <c r="BZ185" s="12"/>
      <c r="CA185" s="12">
        <v>87078.65</v>
      </c>
      <c r="CB185" s="13"/>
      <c r="CC185" s="13"/>
      <c r="CD185" s="13"/>
      <c r="CE185" s="12">
        <v>6194</v>
      </c>
      <c r="CF185" s="12">
        <v>583</v>
      </c>
      <c r="CG185" s="13">
        <v>51563</v>
      </c>
      <c r="CH185" s="13">
        <v>88</v>
      </c>
      <c r="CI185" s="13">
        <v>15219</v>
      </c>
    </row>
    <row r="186" spans="2:87" x14ac:dyDescent="0.2">
      <c r="B186" s="5">
        <v>45959</v>
      </c>
      <c r="C186" s="12">
        <v>21</v>
      </c>
      <c r="D186" s="12">
        <v>13.1</v>
      </c>
      <c r="E186" s="12">
        <v>308849.94</v>
      </c>
      <c r="F186" s="12">
        <v>-10</v>
      </c>
      <c r="G186" s="12">
        <v>6508327.7199999997</v>
      </c>
      <c r="H186" s="12">
        <v>-22478.98</v>
      </c>
      <c r="I186" s="12">
        <v>-483193.28</v>
      </c>
      <c r="J186" s="12">
        <v>6002655.46</v>
      </c>
      <c r="K186" s="12">
        <v>88500</v>
      </c>
      <c r="L186" s="12">
        <v>0</v>
      </c>
      <c r="M186" s="12">
        <v>1104594.54</v>
      </c>
      <c r="N186" s="12">
        <v>7195750</v>
      </c>
      <c r="O186" s="12">
        <v>181689.08</v>
      </c>
      <c r="P186" s="12">
        <v>5820966.3799999999</v>
      </c>
      <c r="Q186" s="12">
        <v>1673369</v>
      </c>
      <c r="R186" s="12">
        <v>4147597.38</v>
      </c>
      <c r="S186" s="12">
        <v>100000</v>
      </c>
      <c r="T186" s="12">
        <v>265</v>
      </c>
      <c r="U186" s="12">
        <v>0</v>
      </c>
      <c r="V186" s="12">
        <v>100000</v>
      </c>
      <c r="W186" s="35">
        <v>46144.261731053244</v>
      </c>
      <c r="X186" s="12">
        <v>14</v>
      </c>
      <c r="Y186" s="12">
        <v>16</v>
      </c>
      <c r="Z186" s="12">
        <v>3552235.29</v>
      </c>
      <c r="AA186" s="12">
        <v>252214.285</v>
      </c>
      <c r="AB186" s="12">
        <v>922612</v>
      </c>
      <c r="AC186" s="12">
        <v>2470623.29</v>
      </c>
      <c r="AD186" s="12">
        <v>4</v>
      </c>
      <c r="AE186" s="12">
        <v>4</v>
      </c>
      <c r="AF186" s="12">
        <v>363025.21</v>
      </c>
      <c r="AG186" s="12">
        <v>90756.301999999996</v>
      </c>
      <c r="AH186" s="12">
        <v>129757</v>
      </c>
      <c r="AI186" s="12">
        <v>210579.13</v>
      </c>
      <c r="AJ186" s="12">
        <v>1</v>
      </c>
      <c r="AK186" s="12">
        <v>1</v>
      </c>
      <c r="AL186" s="12">
        <v>2087394.96</v>
      </c>
      <c r="AM186" s="12">
        <v>2087394.96</v>
      </c>
      <c r="AN186" s="12">
        <v>621000</v>
      </c>
      <c r="AO186" s="12">
        <v>1466394.96</v>
      </c>
      <c r="AP186" s="12">
        <v>941176.47</v>
      </c>
      <c r="AQ186" s="12">
        <v>7</v>
      </c>
      <c r="AR186" s="12">
        <v>203481.39199999999</v>
      </c>
      <c r="AS186" s="12">
        <v>255836</v>
      </c>
      <c r="AT186" s="12">
        <v>2843831.93</v>
      </c>
      <c r="AU186" s="12">
        <v>12</v>
      </c>
      <c r="AV186" s="12">
        <v>236985.99400000001</v>
      </c>
      <c r="AW186" s="12">
        <v>757536</v>
      </c>
      <c r="AX186" s="12">
        <v>130252.1</v>
      </c>
      <c r="AY186" s="12">
        <v>1</v>
      </c>
      <c r="AZ186" s="12">
        <v>130252.1</v>
      </c>
      <c r="BA186" s="12">
        <v>38997</v>
      </c>
      <c r="BB186" s="12">
        <v>2087394.96</v>
      </c>
      <c r="BC186" s="12">
        <v>1</v>
      </c>
      <c r="BD186" s="12">
        <v>2087394.96</v>
      </c>
      <c r="BE186" s="12">
        <v>621000</v>
      </c>
      <c r="BF186" s="12">
        <v>351</v>
      </c>
      <c r="BG186" s="12">
        <v>0</v>
      </c>
      <c r="BH186" s="12">
        <v>0</v>
      </c>
      <c r="BI186" s="12">
        <v>70</v>
      </c>
      <c r="BJ186" s="12">
        <v>0</v>
      </c>
      <c r="BK186" s="12">
        <v>0</v>
      </c>
      <c r="BL186" s="12">
        <v>28</v>
      </c>
      <c r="BM186" s="12">
        <v>2</v>
      </c>
      <c r="BN186" s="12">
        <v>7.1428571428571425E-2</v>
      </c>
      <c r="BO186" s="12">
        <v>23</v>
      </c>
      <c r="BP186" s="12">
        <v>0</v>
      </c>
      <c r="BQ186" s="12">
        <v>0</v>
      </c>
      <c r="BR186" s="12">
        <v>305</v>
      </c>
      <c r="BS186" s="12">
        <v>5</v>
      </c>
      <c r="BT186" s="12">
        <v>1.6393442622950821E-2</v>
      </c>
      <c r="BU186" s="12">
        <v>777</v>
      </c>
      <c r="BV186" s="12">
        <v>7</v>
      </c>
      <c r="BW186" s="12">
        <v>9.0090090090090089E-3</v>
      </c>
      <c r="BX186" s="12"/>
      <c r="BY186" s="12"/>
      <c r="BZ186" s="12"/>
      <c r="CA186" s="12">
        <v>77205.56</v>
      </c>
      <c r="CB186" s="13"/>
      <c r="CC186" s="13"/>
      <c r="CD186" s="13"/>
      <c r="CE186" s="12">
        <v>4269</v>
      </c>
      <c r="CF186" s="12">
        <v>481</v>
      </c>
      <c r="CG186" s="13">
        <v>47593</v>
      </c>
      <c r="CH186" s="13">
        <v>81</v>
      </c>
      <c r="CI186" s="13">
        <v>13419</v>
      </c>
    </row>
    <row r="187" spans="2:87" x14ac:dyDescent="0.2">
      <c r="B187" s="5">
        <v>45960</v>
      </c>
      <c r="C187" s="12">
        <v>15</v>
      </c>
      <c r="D187" s="12">
        <v>1.9</v>
      </c>
      <c r="E187" s="12">
        <v>120992.156</v>
      </c>
      <c r="F187" s="12">
        <v>0</v>
      </c>
      <c r="G187" s="12">
        <v>1853957.96</v>
      </c>
      <c r="H187" s="12">
        <v>-39075.620000000003</v>
      </c>
      <c r="I187" s="12">
        <v>0</v>
      </c>
      <c r="J187" s="12">
        <v>1814882.34</v>
      </c>
      <c r="K187" s="12">
        <v>41500</v>
      </c>
      <c r="L187" s="12">
        <v>0</v>
      </c>
      <c r="M187" s="12">
        <v>314617.65999999997</v>
      </c>
      <c r="N187" s="12">
        <v>2171000</v>
      </c>
      <c r="O187" s="12">
        <v>22689.08</v>
      </c>
      <c r="P187" s="12">
        <v>1792193.26</v>
      </c>
      <c r="Q187" s="12">
        <v>608892</v>
      </c>
      <c r="R187" s="12">
        <v>1183301.26</v>
      </c>
      <c r="S187" s="12">
        <v>0</v>
      </c>
      <c r="T187" s="12">
        <v>28</v>
      </c>
      <c r="U187" s="12">
        <v>0</v>
      </c>
      <c r="V187" s="12">
        <v>0</v>
      </c>
      <c r="W187" s="35">
        <v>46144.261731053244</v>
      </c>
      <c r="X187" s="12">
        <v>9</v>
      </c>
      <c r="Y187" s="12">
        <v>11</v>
      </c>
      <c r="Z187" s="12">
        <v>1339411.75</v>
      </c>
      <c r="AA187" s="12">
        <v>121764.704</v>
      </c>
      <c r="AB187" s="12">
        <v>380052</v>
      </c>
      <c r="AC187" s="12">
        <v>936670.67</v>
      </c>
      <c r="AD187" s="12">
        <v>4</v>
      </c>
      <c r="AE187" s="12">
        <v>4</v>
      </c>
      <c r="AF187" s="12">
        <v>475470.59</v>
      </c>
      <c r="AG187" s="12">
        <v>118867.647</v>
      </c>
      <c r="AH187" s="12">
        <v>228840</v>
      </c>
      <c r="AI187" s="12">
        <v>246630.59</v>
      </c>
      <c r="AJ187" s="12"/>
      <c r="AK187" s="12"/>
      <c r="AL187" s="12"/>
      <c r="AM187" s="12"/>
      <c r="AN187" s="12"/>
      <c r="AO187" s="12"/>
      <c r="AP187" s="12">
        <v>960924.36</v>
      </c>
      <c r="AQ187" s="12">
        <v>6</v>
      </c>
      <c r="AR187" s="12">
        <v>160154.06</v>
      </c>
      <c r="AS187" s="12">
        <v>263714</v>
      </c>
      <c r="AT187" s="12">
        <v>807739.49</v>
      </c>
      <c r="AU187" s="12">
        <v>8</v>
      </c>
      <c r="AV187" s="12">
        <v>100967.436</v>
      </c>
      <c r="AW187" s="12">
        <v>335323</v>
      </c>
      <c r="AX187" s="12">
        <v>46218.49</v>
      </c>
      <c r="AY187" s="12">
        <v>1</v>
      </c>
      <c r="AZ187" s="12">
        <v>46218.49</v>
      </c>
      <c r="BA187" s="12">
        <v>9855</v>
      </c>
      <c r="BB187" s="12"/>
      <c r="BC187" s="12"/>
      <c r="BD187" s="12"/>
      <c r="BE187" s="12"/>
      <c r="BF187" s="12">
        <v>278</v>
      </c>
      <c r="BG187" s="12">
        <v>0</v>
      </c>
      <c r="BH187" s="12">
        <v>0</v>
      </c>
      <c r="BI187" s="12">
        <v>62</v>
      </c>
      <c r="BJ187" s="12">
        <v>0</v>
      </c>
      <c r="BK187" s="12">
        <v>0</v>
      </c>
      <c r="BL187" s="12">
        <v>35</v>
      </c>
      <c r="BM187" s="12">
        <v>2</v>
      </c>
      <c r="BN187" s="12">
        <v>5.7142857142857141E-2</v>
      </c>
      <c r="BO187" s="12">
        <v>17</v>
      </c>
      <c r="BP187" s="12">
        <v>0</v>
      </c>
      <c r="BQ187" s="12">
        <v>0</v>
      </c>
      <c r="BR187" s="12">
        <v>159</v>
      </c>
      <c r="BS187" s="12">
        <v>4</v>
      </c>
      <c r="BT187" s="12">
        <v>2.5157232704402517E-2</v>
      </c>
      <c r="BU187" s="12">
        <v>551</v>
      </c>
      <c r="BV187" s="12">
        <v>6</v>
      </c>
      <c r="BW187" s="12">
        <v>1.0889292196007259E-2</v>
      </c>
      <c r="BX187" s="12"/>
      <c r="BY187" s="12"/>
      <c r="BZ187" s="12"/>
      <c r="CA187" s="12">
        <v>68826.16</v>
      </c>
      <c r="CB187" s="13"/>
      <c r="CC187" s="13"/>
      <c r="CD187" s="13"/>
      <c r="CE187" s="12">
        <v>3687</v>
      </c>
      <c r="CF187" s="12">
        <v>412</v>
      </c>
      <c r="CG187" s="13">
        <v>47076</v>
      </c>
      <c r="CH187" s="13">
        <v>80</v>
      </c>
      <c r="CI187" s="13">
        <v>13263</v>
      </c>
    </row>
    <row r="188" spans="2:87" x14ac:dyDescent="0.2">
      <c r="B188" s="5">
        <v>45961</v>
      </c>
      <c r="C188" s="12">
        <v>16</v>
      </c>
      <c r="D188" s="12">
        <v>7.1</v>
      </c>
      <c r="E188" s="12">
        <v>244899.15900000001</v>
      </c>
      <c r="F188" s="12">
        <v>0</v>
      </c>
      <c r="G188" s="12">
        <v>4123008.37</v>
      </c>
      <c r="H188" s="12">
        <v>-162605.01</v>
      </c>
      <c r="I188" s="12">
        <v>0</v>
      </c>
      <c r="J188" s="12">
        <v>3960403.36</v>
      </c>
      <c r="K188" s="12">
        <v>56000</v>
      </c>
      <c r="L188" s="12">
        <v>0</v>
      </c>
      <c r="M188" s="12">
        <v>733096.64</v>
      </c>
      <c r="N188" s="12">
        <v>4749500</v>
      </c>
      <c r="O188" s="12">
        <v>22689.08</v>
      </c>
      <c r="P188" s="12">
        <v>3937714.28</v>
      </c>
      <c r="Q188" s="12">
        <v>1210749</v>
      </c>
      <c r="R188" s="12">
        <v>2726965.28</v>
      </c>
      <c r="S188" s="12">
        <v>0</v>
      </c>
      <c r="T188" s="12">
        <v>115</v>
      </c>
      <c r="U188" s="12">
        <v>0</v>
      </c>
      <c r="V188" s="12">
        <v>0</v>
      </c>
      <c r="W188" s="35">
        <v>46144.261731053244</v>
      </c>
      <c r="X188" s="12">
        <v>8</v>
      </c>
      <c r="Y188" s="12">
        <v>12</v>
      </c>
      <c r="Z188" s="12">
        <v>3353680.67</v>
      </c>
      <c r="AA188" s="12">
        <v>275971.98800000001</v>
      </c>
      <c r="AB188" s="12">
        <v>1016952</v>
      </c>
      <c r="AC188" s="12">
        <v>2336728.67</v>
      </c>
      <c r="AD188" s="12">
        <v>4</v>
      </c>
      <c r="AE188" s="12">
        <v>4</v>
      </c>
      <c r="AF188" s="12">
        <v>606722.68999999994</v>
      </c>
      <c r="AG188" s="12">
        <v>151680.67199999999</v>
      </c>
      <c r="AH188" s="12">
        <v>193797</v>
      </c>
      <c r="AI188" s="12">
        <v>390236.61</v>
      </c>
      <c r="AJ188" s="12"/>
      <c r="AK188" s="12"/>
      <c r="AL188" s="12"/>
      <c r="AM188" s="12"/>
      <c r="AN188" s="12"/>
      <c r="AO188" s="12"/>
      <c r="AP188" s="12">
        <v>2568487.39</v>
      </c>
      <c r="AQ188" s="12">
        <v>4</v>
      </c>
      <c r="AR188" s="12">
        <v>642121.84699999995</v>
      </c>
      <c r="AS188" s="12">
        <v>674449</v>
      </c>
      <c r="AT188" s="12">
        <v>1391915.97</v>
      </c>
      <c r="AU188" s="12">
        <v>12</v>
      </c>
      <c r="AV188" s="12">
        <v>112491.59600000001</v>
      </c>
      <c r="AW188" s="12">
        <v>536300</v>
      </c>
      <c r="AX188" s="12"/>
      <c r="AY188" s="12"/>
      <c r="AZ188" s="12"/>
      <c r="BA188" s="12"/>
      <c r="BB188" s="12"/>
      <c r="BC188" s="12"/>
      <c r="BD188" s="12"/>
      <c r="BE188" s="12"/>
      <c r="BF188" s="12">
        <v>486</v>
      </c>
      <c r="BG188" s="12">
        <v>1</v>
      </c>
      <c r="BH188" s="12">
        <v>2.05761316872428E-3</v>
      </c>
      <c r="BI188" s="12">
        <v>55</v>
      </c>
      <c r="BJ188" s="12">
        <v>1</v>
      </c>
      <c r="BK188" s="12">
        <v>1.8181818181818181E-2</v>
      </c>
      <c r="BL188" s="12">
        <v>32</v>
      </c>
      <c r="BM188" s="12">
        <v>2</v>
      </c>
      <c r="BN188" s="12">
        <v>6.25E-2</v>
      </c>
      <c r="BO188" s="12">
        <v>22</v>
      </c>
      <c r="BP188" s="12">
        <v>0</v>
      </c>
      <c r="BQ188" s="12">
        <v>0</v>
      </c>
      <c r="BR188" s="12">
        <v>203</v>
      </c>
      <c r="BS188" s="12">
        <v>1</v>
      </c>
      <c r="BT188" s="12">
        <v>4.9261083743842365E-3</v>
      </c>
      <c r="BU188" s="12">
        <v>798</v>
      </c>
      <c r="BV188" s="12">
        <v>5</v>
      </c>
      <c r="BW188" s="12">
        <v>6.2656641604010022E-3</v>
      </c>
      <c r="BX188" s="12"/>
      <c r="BY188" s="12"/>
      <c r="BZ188" s="12"/>
      <c r="CA188" s="12">
        <v>82228.98</v>
      </c>
      <c r="CB188" s="13"/>
      <c r="CC188" s="13"/>
      <c r="CD188" s="13"/>
      <c r="CE188" s="12">
        <v>5110</v>
      </c>
      <c r="CF188" s="12">
        <v>664</v>
      </c>
      <c r="CG188" s="13">
        <v>49660</v>
      </c>
      <c r="CH188" s="13">
        <v>89</v>
      </c>
      <c r="CI188" s="13">
        <v>13807</v>
      </c>
    </row>
    <row r="189" spans="2:87" x14ac:dyDescent="0.2">
      <c r="B189" s="5">
        <v>45962</v>
      </c>
      <c r="C189" s="12">
        <v>22</v>
      </c>
      <c r="D189" s="12">
        <v>2.7</v>
      </c>
      <c r="E189" s="12">
        <v>170187.93</v>
      </c>
      <c r="F189" s="12">
        <v>0</v>
      </c>
      <c r="G189" s="12">
        <v>4115058.83</v>
      </c>
      <c r="H189" s="12">
        <v>0</v>
      </c>
      <c r="I189" s="12">
        <v>0</v>
      </c>
      <c r="J189" s="12">
        <v>4115058.83</v>
      </c>
      <c r="K189" s="12">
        <v>38000</v>
      </c>
      <c r="L189" s="12">
        <v>0</v>
      </c>
      <c r="M189" s="12">
        <v>749941.17</v>
      </c>
      <c r="N189" s="12">
        <v>4903000</v>
      </c>
      <c r="O189" s="12">
        <v>78000</v>
      </c>
      <c r="P189" s="12">
        <v>4037058.83</v>
      </c>
      <c r="Q189" s="12">
        <v>1208009</v>
      </c>
      <c r="R189" s="12">
        <v>2829049.83</v>
      </c>
      <c r="S189" s="12">
        <v>0</v>
      </c>
      <c r="T189" s="12">
        <v>66</v>
      </c>
      <c r="U189" s="12">
        <v>0</v>
      </c>
      <c r="V189" s="12">
        <v>0</v>
      </c>
      <c r="W189" s="35">
        <v>46144.261731053244</v>
      </c>
      <c r="X189" s="12">
        <v>10</v>
      </c>
      <c r="Y189" s="12">
        <v>14</v>
      </c>
      <c r="Z189" s="12">
        <v>2871361.35</v>
      </c>
      <c r="AA189" s="12">
        <v>178602.641</v>
      </c>
      <c r="AB189" s="12">
        <v>906751</v>
      </c>
      <c r="AC189" s="12">
        <v>1886610.35</v>
      </c>
      <c r="AD189" s="12">
        <v>8</v>
      </c>
      <c r="AE189" s="12">
        <v>8</v>
      </c>
      <c r="AF189" s="12">
        <v>1243697.48</v>
      </c>
      <c r="AG189" s="12">
        <v>155462.185</v>
      </c>
      <c r="AH189" s="12">
        <v>301258</v>
      </c>
      <c r="AI189" s="12">
        <v>942439.48</v>
      </c>
      <c r="AJ189" s="12"/>
      <c r="AK189" s="12"/>
      <c r="AL189" s="12"/>
      <c r="AM189" s="12"/>
      <c r="AN189" s="12"/>
      <c r="AO189" s="12"/>
      <c r="AP189" s="12">
        <v>920168.07</v>
      </c>
      <c r="AQ189" s="12">
        <v>5</v>
      </c>
      <c r="AR189" s="12">
        <v>184033.614</v>
      </c>
      <c r="AS189" s="12">
        <v>259846</v>
      </c>
      <c r="AT189" s="12">
        <v>3064638.66</v>
      </c>
      <c r="AU189" s="12">
        <v>15</v>
      </c>
      <c r="AV189" s="12">
        <v>179580.95199999999</v>
      </c>
      <c r="AW189" s="12">
        <v>919313</v>
      </c>
      <c r="AX189" s="12">
        <v>130252.1</v>
      </c>
      <c r="AY189" s="12">
        <v>2</v>
      </c>
      <c r="AZ189" s="12">
        <v>65126.05</v>
      </c>
      <c r="BA189" s="12">
        <v>28850</v>
      </c>
      <c r="BB189" s="12"/>
      <c r="BC189" s="12"/>
      <c r="BD189" s="12"/>
      <c r="BE189" s="12"/>
      <c r="BF189" s="12">
        <v>410</v>
      </c>
      <c r="BG189" s="12">
        <v>1</v>
      </c>
      <c r="BH189" s="12">
        <v>2.4390243902439024E-3</v>
      </c>
      <c r="BI189" s="12">
        <v>67</v>
      </c>
      <c r="BJ189" s="12">
        <v>0</v>
      </c>
      <c r="BK189" s="12">
        <v>0</v>
      </c>
      <c r="BL189" s="12">
        <v>30</v>
      </c>
      <c r="BM189" s="12">
        <v>0</v>
      </c>
      <c r="BN189" s="12">
        <v>0</v>
      </c>
      <c r="BO189" s="12">
        <v>18</v>
      </c>
      <c r="BP189" s="12">
        <v>0</v>
      </c>
      <c r="BQ189" s="12">
        <v>0</v>
      </c>
      <c r="BR189" s="12">
        <v>177</v>
      </c>
      <c r="BS189" s="12">
        <v>2</v>
      </c>
      <c r="BT189" s="12">
        <v>1.1299435028248588E-2</v>
      </c>
      <c r="BU189" s="12">
        <v>702</v>
      </c>
      <c r="BV189" s="12">
        <v>3</v>
      </c>
      <c r="BW189" s="12">
        <v>4.2735042735042739E-3</v>
      </c>
      <c r="BX189" s="12"/>
      <c r="BY189" s="12"/>
      <c r="BZ189" s="12"/>
      <c r="CA189" s="12">
        <v>54546</v>
      </c>
      <c r="CB189" s="13"/>
      <c r="CC189" s="13"/>
      <c r="CD189" s="13"/>
      <c r="CE189" s="12">
        <v>3752</v>
      </c>
      <c r="CF189" s="12">
        <v>519</v>
      </c>
      <c r="CG189" s="13">
        <v>55630</v>
      </c>
      <c r="CH189" s="13">
        <v>98</v>
      </c>
      <c r="CI189" s="13">
        <v>17512</v>
      </c>
    </row>
    <row r="190" spans="2:87" x14ac:dyDescent="0.2">
      <c r="B190" s="5">
        <v>45963</v>
      </c>
      <c r="C190" s="12">
        <v>14</v>
      </c>
      <c r="D190" s="12">
        <v>3.7</v>
      </c>
      <c r="E190" s="12">
        <v>164709.484</v>
      </c>
      <c r="F190" s="12">
        <v>0</v>
      </c>
      <c r="G190" s="12">
        <v>2415176.48</v>
      </c>
      <c r="H190" s="12">
        <v>0</v>
      </c>
      <c r="I190" s="12">
        <v>0</v>
      </c>
      <c r="J190" s="12">
        <v>2415176.48</v>
      </c>
      <c r="K190" s="12">
        <v>83000</v>
      </c>
      <c r="L190" s="12">
        <v>0</v>
      </c>
      <c r="M190" s="12">
        <v>416323.52</v>
      </c>
      <c r="N190" s="12">
        <v>2914500</v>
      </c>
      <c r="O190" s="12">
        <v>103621.85</v>
      </c>
      <c r="P190" s="12">
        <v>2311554.63</v>
      </c>
      <c r="Q190" s="12">
        <v>723327</v>
      </c>
      <c r="R190" s="12">
        <v>1588227.63</v>
      </c>
      <c r="S190" s="12">
        <v>0</v>
      </c>
      <c r="T190" s="12">
        <v>54</v>
      </c>
      <c r="U190" s="12">
        <v>0</v>
      </c>
      <c r="V190" s="12">
        <v>0</v>
      </c>
      <c r="W190" s="35">
        <v>46144.261731053244</v>
      </c>
      <c r="X190" s="12">
        <v>6</v>
      </c>
      <c r="Y190" s="12">
        <v>8</v>
      </c>
      <c r="Z190" s="12">
        <v>732235.3</v>
      </c>
      <c r="AA190" s="12">
        <v>77873.95</v>
      </c>
      <c r="AB190" s="12">
        <v>222284</v>
      </c>
      <c r="AC190" s="12">
        <v>406329.45</v>
      </c>
      <c r="AD190" s="12">
        <v>6</v>
      </c>
      <c r="AE190" s="12">
        <v>6</v>
      </c>
      <c r="AF190" s="12">
        <v>1682941.18</v>
      </c>
      <c r="AG190" s="12">
        <v>280490.196</v>
      </c>
      <c r="AH190" s="12">
        <v>501043</v>
      </c>
      <c r="AI190" s="12">
        <v>1181898.18</v>
      </c>
      <c r="AJ190" s="12"/>
      <c r="AK190" s="12"/>
      <c r="AL190" s="12"/>
      <c r="AM190" s="12"/>
      <c r="AN190" s="12"/>
      <c r="AO190" s="12"/>
      <c r="AP190" s="12">
        <v>672268.91</v>
      </c>
      <c r="AQ190" s="12">
        <v>6</v>
      </c>
      <c r="AR190" s="12">
        <v>112044.818</v>
      </c>
      <c r="AS190" s="12">
        <v>160439</v>
      </c>
      <c r="AT190" s="12">
        <v>1742907.57</v>
      </c>
      <c r="AU190" s="12">
        <v>8</v>
      </c>
      <c r="AV190" s="12">
        <v>204207.98300000001</v>
      </c>
      <c r="AW190" s="12">
        <v>562888</v>
      </c>
      <c r="AX190" s="12"/>
      <c r="AY190" s="12"/>
      <c r="AZ190" s="12"/>
      <c r="BA190" s="12"/>
      <c r="BB190" s="12"/>
      <c r="BC190" s="12"/>
      <c r="BD190" s="12"/>
      <c r="BE190" s="12"/>
      <c r="BF190" s="12">
        <v>411</v>
      </c>
      <c r="BG190" s="12">
        <v>0</v>
      </c>
      <c r="BH190" s="12">
        <v>0</v>
      </c>
      <c r="BI190" s="12">
        <v>91</v>
      </c>
      <c r="BJ190" s="12">
        <v>3</v>
      </c>
      <c r="BK190" s="12">
        <v>3.2967032967032968E-2</v>
      </c>
      <c r="BL190" s="12">
        <v>20</v>
      </c>
      <c r="BM190" s="12">
        <v>1</v>
      </c>
      <c r="BN190" s="12">
        <v>0.05</v>
      </c>
      <c r="BO190" s="12">
        <v>26</v>
      </c>
      <c r="BP190" s="12">
        <v>0</v>
      </c>
      <c r="BQ190" s="12">
        <v>0</v>
      </c>
      <c r="BR190" s="12">
        <v>223</v>
      </c>
      <c r="BS190" s="12">
        <v>1</v>
      </c>
      <c r="BT190" s="12">
        <v>4.4843049327354259E-3</v>
      </c>
      <c r="BU190" s="12">
        <v>771</v>
      </c>
      <c r="BV190" s="12">
        <v>5</v>
      </c>
      <c r="BW190" s="12">
        <v>6.4850843060959796E-3</v>
      </c>
      <c r="BX190" s="12"/>
      <c r="BY190" s="12"/>
      <c r="BZ190" s="12"/>
      <c r="CA190" s="12">
        <v>58105.279999999999</v>
      </c>
      <c r="CB190" s="13"/>
      <c r="CC190" s="13"/>
      <c r="CD190" s="13"/>
      <c r="CE190" s="12">
        <v>4724</v>
      </c>
      <c r="CF190" s="12">
        <v>555</v>
      </c>
      <c r="CG190" s="13">
        <v>55930</v>
      </c>
      <c r="CH190" s="13">
        <v>136</v>
      </c>
      <c r="CI190" s="13">
        <v>21831</v>
      </c>
    </row>
    <row r="191" spans="2:87" x14ac:dyDescent="0.2">
      <c r="B191" s="5">
        <v>45964</v>
      </c>
      <c r="C191" s="12">
        <v>9</v>
      </c>
      <c r="D191" s="12">
        <v>2.2000000000000002</v>
      </c>
      <c r="E191" s="12">
        <v>187861.905</v>
      </c>
      <c r="F191" s="12">
        <v>-12</v>
      </c>
      <c r="G191" s="12">
        <v>1840337.11</v>
      </c>
      <c r="H191" s="12">
        <v>-128571.56</v>
      </c>
      <c r="I191" s="12">
        <v>0</v>
      </c>
      <c r="J191" s="12">
        <v>1711765.55</v>
      </c>
      <c r="K191" s="12">
        <v>45500</v>
      </c>
      <c r="L191" s="12">
        <v>0</v>
      </c>
      <c r="M191" s="12">
        <v>325235.3</v>
      </c>
      <c r="N191" s="12">
        <v>2082500.85</v>
      </c>
      <c r="O191" s="12">
        <v>0.85</v>
      </c>
      <c r="P191" s="12">
        <v>1711764.7</v>
      </c>
      <c r="Q191" s="12">
        <v>444397</v>
      </c>
      <c r="R191" s="12">
        <v>1267367.7</v>
      </c>
      <c r="S191" s="12">
        <v>0</v>
      </c>
      <c r="T191" s="12">
        <v>9</v>
      </c>
      <c r="U191" s="12">
        <v>0</v>
      </c>
      <c r="V191" s="12">
        <v>0</v>
      </c>
      <c r="W191" s="35">
        <v>46144.261731053244</v>
      </c>
      <c r="X191" s="12">
        <v>3</v>
      </c>
      <c r="Y191" s="12">
        <v>3</v>
      </c>
      <c r="Z191" s="12">
        <v>900841.18</v>
      </c>
      <c r="AA191" s="12">
        <v>300280.39299999998</v>
      </c>
      <c r="AB191" s="12">
        <v>292152</v>
      </c>
      <c r="AC191" s="12">
        <v>608688.32999999996</v>
      </c>
      <c r="AD191" s="12">
        <v>6</v>
      </c>
      <c r="AE191" s="12">
        <v>6</v>
      </c>
      <c r="AF191" s="12">
        <v>810924.37</v>
      </c>
      <c r="AG191" s="12">
        <v>131652.66099999999</v>
      </c>
      <c r="AH191" s="12">
        <v>152245</v>
      </c>
      <c r="AI191" s="12">
        <v>658679.37</v>
      </c>
      <c r="AJ191" s="12"/>
      <c r="AK191" s="12"/>
      <c r="AL191" s="12"/>
      <c r="AM191" s="12"/>
      <c r="AN191" s="12"/>
      <c r="AO191" s="12"/>
      <c r="AP191" s="12">
        <v>1018488.24</v>
      </c>
      <c r="AQ191" s="12">
        <v>4</v>
      </c>
      <c r="AR191" s="12">
        <v>254622.06</v>
      </c>
      <c r="AS191" s="12">
        <v>320669</v>
      </c>
      <c r="AT191" s="12">
        <v>693277.31</v>
      </c>
      <c r="AU191" s="12">
        <v>5</v>
      </c>
      <c r="AV191" s="12">
        <v>134453.78200000001</v>
      </c>
      <c r="AW191" s="12">
        <v>123728</v>
      </c>
      <c r="AX191" s="12"/>
      <c r="AY191" s="12"/>
      <c r="AZ191" s="12"/>
      <c r="BA191" s="12"/>
      <c r="BB191" s="12"/>
      <c r="BC191" s="12"/>
      <c r="BD191" s="12"/>
      <c r="BE191" s="12"/>
      <c r="BF191" s="12">
        <v>515</v>
      </c>
      <c r="BG191" s="12">
        <v>0</v>
      </c>
      <c r="BH191" s="12">
        <v>0</v>
      </c>
      <c r="BI191" s="12">
        <v>93</v>
      </c>
      <c r="BJ191" s="12">
        <v>4</v>
      </c>
      <c r="BK191" s="12">
        <v>4.3010752688172046E-2</v>
      </c>
      <c r="BL191" s="12">
        <v>36</v>
      </c>
      <c r="BM191" s="12">
        <v>2</v>
      </c>
      <c r="BN191" s="12">
        <v>5.5555555555555552E-2</v>
      </c>
      <c r="BO191" s="12">
        <v>12</v>
      </c>
      <c r="BP191" s="12">
        <v>0</v>
      </c>
      <c r="BQ191" s="12">
        <v>0</v>
      </c>
      <c r="BR191" s="12">
        <v>129</v>
      </c>
      <c r="BS191" s="12">
        <v>1</v>
      </c>
      <c r="BT191" s="12">
        <v>7.7519379844961239E-3</v>
      </c>
      <c r="BU191" s="12">
        <v>785</v>
      </c>
      <c r="BV191" s="12">
        <v>7</v>
      </c>
      <c r="BW191" s="12">
        <v>8.9171974522292991E-3</v>
      </c>
      <c r="BX191" s="12"/>
      <c r="BY191" s="12"/>
      <c r="BZ191" s="12"/>
      <c r="CA191" s="12">
        <v>97501.43</v>
      </c>
      <c r="CB191" s="13"/>
      <c r="CC191" s="13"/>
      <c r="CD191" s="13"/>
      <c r="CE191" s="12">
        <v>4702</v>
      </c>
      <c r="CF191" s="12">
        <v>648</v>
      </c>
      <c r="CG191" s="13">
        <v>52914</v>
      </c>
      <c r="CH191" s="13">
        <v>123</v>
      </c>
      <c r="CI191" s="13">
        <v>20728</v>
      </c>
    </row>
    <row r="192" spans="2:87" x14ac:dyDescent="0.2">
      <c r="B192" s="5">
        <v>45965</v>
      </c>
      <c r="C192" s="12">
        <v>15</v>
      </c>
      <c r="D192" s="12">
        <v>2.1</v>
      </c>
      <c r="E192" s="12">
        <v>202314.28599999999</v>
      </c>
      <c r="F192" s="12">
        <v>-2</v>
      </c>
      <c r="G192" s="12">
        <v>3114546.22</v>
      </c>
      <c r="H192" s="12">
        <v>0</v>
      </c>
      <c r="I192" s="12">
        <v>-15126.06</v>
      </c>
      <c r="J192" s="12">
        <v>3099420.16</v>
      </c>
      <c r="K192" s="12">
        <v>72000</v>
      </c>
      <c r="L192" s="12">
        <v>0</v>
      </c>
      <c r="M192" s="12">
        <v>579579.84</v>
      </c>
      <c r="N192" s="12">
        <v>3751000</v>
      </c>
      <c r="O192" s="12">
        <v>50420.160000000003</v>
      </c>
      <c r="P192" s="12">
        <v>3049000</v>
      </c>
      <c r="Q192" s="12">
        <v>1128413</v>
      </c>
      <c r="R192" s="12">
        <v>1920587</v>
      </c>
      <c r="S192" s="12">
        <v>0</v>
      </c>
      <c r="T192" s="12">
        <v>31</v>
      </c>
      <c r="U192" s="12">
        <v>0</v>
      </c>
      <c r="V192" s="12">
        <v>0</v>
      </c>
      <c r="W192" s="35">
        <v>46144.261731053244</v>
      </c>
      <c r="X192" s="12">
        <v>7</v>
      </c>
      <c r="Y192" s="12">
        <v>7</v>
      </c>
      <c r="Z192" s="12">
        <v>1999999.99</v>
      </c>
      <c r="AA192" s="12">
        <v>286794.717</v>
      </c>
      <c r="AB192" s="12">
        <v>725684</v>
      </c>
      <c r="AC192" s="12">
        <v>1274315.99</v>
      </c>
      <c r="AD192" s="12">
        <v>8</v>
      </c>
      <c r="AE192" s="12">
        <v>8</v>
      </c>
      <c r="AF192" s="12">
        <v>1099420.17</v>
      </c>
      <c r="AG192" s="12">
        <v>128393.908</v>
      </c>
      <c r="AH192" s="12">
        <v>402729</v>
      </c>
      <c r="AI192" s="12">
        <v>646271.01</v>
      </c>
      <c r="AJ192" s="12"/>
      <c r="AK192" s="12"/>
      <c r="AL192" s="12"/>
      <c r="AM192" s="12"/>
      <c r="AN192" s="12"/>
      <c r="AO192" s="12"/>
      <c r="AP192" s="12">
        <v>2420168.08</v>
      </c>
      <c r="AQ192" s="12">
        <v>8</v>
      </c>
      <c r="AR192" s="12">
        <v>302521.01</v>
      </c>
      <c r="AS192" s="12">
        <v>848576</v>
      </c>
      <c r="AT192" s="12">
        <v>679252.08</v>
      </c>
      <c r="AU192" s="12">
        <v>7</v>
      </c>
      <c r="AV192" s="12">
        <v>87792.315000000002</v>
      </c>
      <c r="AW192" s="12">
        <v>279837</v>
      </c>
      <c r="AX192" s="12"/>
      <c r="AY192" s="12"/>
      <c r="AZ192" s="12"/>
      <c r="BA192" s="12"/>
      <c r="BB192" s="12"/>
      <c r="BC192" s="12"/>
      <c r="BD192" s="12"/>
      <c r="BE192" s="12"/>
      <c r="BF192" s="12">
        <v>242</v>
      </c>
      <c r="BG192" s="12">
        <v>0</v>
      </c>
      <c r="BH192" s="12">
        <v>0</v>
      </c>
      <c r="BI192" s="12">
        <v>73</v>
      </c>
      <c r="BJ192" s="12">
        <v>2</v>
      </c>
      <c r="BK192" s="12">
        <v>2.7397260273972601E-2</v>
      </c>
      <c r="BL192" s="12">
        <v>52</v>
      </c>
      <c r="BM192" s="12">
        <v>2</v>
      </c>
      <c r="BN192" s="12">
        <v>3.8461538461538464E-2</v>
      </c>
      <c r="BO192" s="12">
        <v>11</v>
      </c>
      <c r="BP192" s="12">
        <v>0</v>
      </c>
      <c r="BQ192" s="12">
        <v>0</v>
      </c>
      <c r="BR192" s="12">
        <v>105</v>
      </c>
      <c r="BS192" s="12">
        <v>3</v>
      </c>
      <c r="BT192" s="12">
        <v>2.8571428571428571E-2</v>
      </c>
      <c r="BU192" s="12">
        <v>483</v>
      </c>
      <c r="BV192" s="12">
        <v>7</v>
      </c>
      <c r="BW192" s="12">
        <v>1.4492753623188406E-2</v>
      </c>
      <c r="BX192" s="12"/>
      <c r="BY192" s="12"/>
      <c r="BZ192" s="12"/>
      <c r="CA192" s="12">
        <v>52466.6</v>
      </c>
      <c r="CB192" s="13"/>
      <c r="CC192" s="13"/>
      <c r="CD192" s="13"/>
      <c r="CE192" s="12">
        <v>2388</v>
      </c>
      <c r="CF192" s="12">
        <v>305</v>
      </c>
      <c r="CG192" s="13">
        <v>50019</v>
      </c>
      <c r="CH192" s="13">
        <v>109</v>
      </c>
      <c r="CI192" s="13">
        <v>19421</v>
      </c>
    </row>
    <row r="193" spans="2:87" x14ac:dyDescent="0.2">
      <c r="B193" s="5">
        <v>45966</v>
      </c>
      <c r="C193" s="12">
        <v>19</v>
      </c>
      <c r="D193" s="12">
        <v>3.6</v>
      </c>
      <c r="E193" s="12">
        <v>237167.182</v>
      </c>
      <c r="F193" s="12">
        <v>0</v>
      </c>
      <c r="G193" s="12">
        <v>5065000</v>
      </c>
      <c r="H193" s="12">
        <v>-264705.88</v>
      </c>
      <c r="I193" s="12">
        <v>0</v>
      </c>
      <c r="J193" s="12">
        <v>4800294.12</v>
      </c>
      <c r="K193" s="12">
        <v>101500</v>
      </c>
      <c r="L193" s="12">
        <v>0</v>
      </c>
      <c r="M193" s="12">
        <v>899705.88</v>
      </c>
      <c r="N193" s="12">
        <v>5801500</v>
      </c>
      <c r="O193" s="12">
        <v>0</v>
      </c>
      <c r="P193" s="12">
        <v>4800294.12</v>
      </c>
      <c r="Q193" s="12">
        <v>1557637</v>
      </c>
      <c r="R193" s="12">
        <v>3242657.12</v>
      </c>
      <c r="S193" s="12">
        <v>0</v>
      </c>
      <c r="T193" s="12">
        <v>75</v>
      </c>
      <c r="U193" s="12">
        <v>0</v>
      </c>
      <c r="V193" s="12">
        <v>0</v>
      </c>
      <c r="W193" s="35">
        <v>46144.261731053244</v>
      </c>
      <c r="X193" s="12">
        <v>8</v>
      </c>
      <c r="Y193" s="12">
        <v>8</v>
      </c>
      <c r="Z193" s="12">
        <v>1394957.99</v>
      </c>
      <c r="AA193" s="12">
        <v>137605.04199999999</v>
      </c>
      <c r="AB193" s="12">
        <v>376144</v>
      </c>
      <c r="AC193" s="12">
        <v>1018813.99</v>
      </c>
      <c r="AD193" s="12">
        <v>11</v>
      </c>
      <c r="AE193" s="12">
        <v>11</v>
      </c>
      <c r="AF193" s="12">
        <v>3405336.13</v>
      </c>
      <c r="AG193" s="12">
        <v>309576.011</v>
      </c>
      <c r="AH193" s="12">
        <v>1181493</v>
      </c>
      <c r="AI193" s="12">
        <v>2223843.13</v>
      </c>
      <c r="AJ193" s="12"/>
      <c r="AK193" s="12"/>
      <c r="AL193" s="12"/>
      <c r="AM193" s="12"/>
      <c r="AN193" s="12"/>
      <c r="AO193" s="12"/>
      <c r="AP193" s="12">
        <v>1411764.71</v>
      </c>
      <c r="AQ193" s="12">
        <v>9</v>
      </c>
      <c r="AR193" s="12">
        <v>156862.745</v>
      </c>
      <c r="AS193" s="12">
        <v>428054</v>
      </c>
      <c r="AT193" s="12">
        <v>1888529.41</v>
      </c>
      <c r="AU193" s="12">
        <v>9</v>
      </c>
      <c r="AV193" s="12">
        <v>177156.86199999999</v>
      </c>
      <c r="AW193" s="12">
        <v>639833</v>
      </c>
      <c r="AX193" s="12"/>
      <c r="AY193" s="12"/>
      <c r="AZ193" s="12"/>
      <c r="BA193" s="12"/>
      <c r="BB193" s="12">
        <v>1500000</v>
      </c>
      <c r="BC193" s="12">
        <v>1</v>
      </c>
      <c r="BD193" s="12">
        <v>1500000</v>
      </c>
      <c r="BE193" s="12">
        <v>489750</v>
      </c>
      <c r="BF193" s="12">
        <v>409</v>
      </c>
      <c r="BG193" s="12">
        <v>1</v>
      </c>
      <c r="BH193" s="12">
        <v>2.4449877750611247E-3</v>
      </c>
      <c r="BI193" s="12">
        <v>85</v>
      </c>
      <c r="BJ193" s="12">
        <v>0</v>
      </c>
      <c r="BK193" s="12">
        <v>0</v>
      </c>
      <c r="BL193" s="12">
        <v>53</v>
      </c>
      <c r="BM193" s="12">
        <v>0</v>
      </c>
      <c r="BN193" s="12">
        <v>0</v>
      </c>
      <c r="BO193" s="12">
        <v>12</v>
      </c>
      <c r="BP193" s="12">
        <v>0</v>
      </c>
      <c r="BQ193" s="12">
        <v>0</v>
      </c>
      <c r="BR193" s="12">
        <v>300</v>
      </c>
      <c r="BS193" s="12">
        <v>9</v>
      </c>
      <c r="BT193" s="12">
        <v>0.03</v>
      </c>
      <c r="BU193" s="12">
        <v>859</v>
      </c>
      <c r="BV193" s="12">
        <v>10</v>
      </c>
      <c r="BW193" s="12">
        <v>1.1641443538998836E-2</v>
      </c>
      <c r="BX193" s="12"/>
      <c r="BY193" s="12"/>
      <c r="BZ193" s="12"/>
      <c r="CA193" s="12">
        <v>91914.51</v>
      </c>
      <c r="CB193" s="13"/>
      <c r="CC193" s="13"/>
      <c r="CD193" s="13"/>
      <c r="CE193" s="12">
        <v>3355</v>
      </c>
      <c r="CF193" s="12">
        <v>517</v>
      </c>
      <c r="CG193" s="13">
        <v>51961</v>
      </c>
      <c r="CH193" s="13">
        <v>114</v>
      </c>
      <c r="CI193" s="13">
        <v>17247</v>
      </c>
    </row>
    <row r="194" spans="2:87" x14ac:dyDescent="0.2">
      <c r="B194" s="5">
        <v>45967</v>
      </c>
      <c r="C194" s="12">
        <v>17</v>
      </c>
      <c r="D194" s="12">
        <v>2.6</v>
      </c>
      <c r="E194" s="12">
        <v>122355.413</v>
      </c>
      <c r="F194" s="12">
        <v>0</v>
      </c>
      <c r="G194" s="12">
        <v>2190966.4</v>
      </c>
      <c r="H194" s="12">
        <v>0</v>
      </c>
      <c r="I194" s="12">
        <v>0</v>
      </c>
      <c r="J194" s="12">
        <v>2190966.4</v>
      </c>
      <c r="K194" s="12">
        <v>56000</v>
      </c>
      <c r="L194" s="12">
        <v>0</v>
      </c>
      <c r="M194" s="12">
        <v>402033.6</v>
      </c>
      <c r="N194" s="12">
        <v>2649000</v>
      </c>
      <c r="O194" s="12">
        <v>75000</v>
      </c>
      <c r="P194" s="12">
        <v>2115966.4</v>
      </c>
      <c r="Q194" s="12">
        <v>634026</v>
      </c>
      <c r="R194" s="12">
        <v>1481940.4</v>
      </c>
      <c r="S194" s="12">
        <v>0</v>
      </c>
      <c r="T194" s="12">
        <v>47</v>
      </c>
      <c r="U194" s="12">
        <v>0</v>
      </c>
      <c r="V194" s="12">
        <v>0</v>
      </c>
      <c r="W194" s="35">
        <v>46144.261731053244</v>
      </c>
      <c r="X194" s="12">
        <v>11</v>
      </c>
      <c r="Y194" s="12">
        <v>12</v>
      </c>
      <c r="Z194" s="12">
        <v>1742016.81</v>
      </c>
      <c r="AA194" s="12">
        <v>135924.37</v>
      </c>
      <c r="AB194" s="12">
        <v>523150</v>
      </c>
      <c r="AC194" s="12">
        <v>1218866.81</v>
      </c>
      <c r="AD194" s="12">
        <v>5</v>
      </c>
      <c r="AE194" s="12">
        <v>5</v>
      </c>
      <c r="AF194" s="12">
        <v>448949.59</v>
      </c>
      <c r="AG194" s="12">
        <v>89789.918000000005</v>
      </c>
      <c r="AH194" s="12">
        <v>110876</v>
      </c>
      <c r="AI194" s="12">
        <v>263073.59000000003</v>
      </c>
      <c r="AJ194" s="12"/>
      <c r="AK194" s="12"/>
      <c r="AL194" s="12"/>
      <c r="AM194" s="12"/>
      <c r="AN194" s="12"/>
      <c r="AO194" s="12"/>
      <c r="AP194" s="12">
        <v>271428.58</v>
      </c>
      <c r="AQ194" s="12">
        <v>4</v>
      </c>
      <c r="AR194" s="12">
        <v>67857.145000000004</v>
      </c>
      <c r="AS194" s="12">
        <v>57812</v>
      </c>
      <c r="AT194" s="12">
        <v>1877521.01</v>
      </c>
      <c r="AU194" s="12">
        <v>12</v>
      </c>
      <c r="AV194" s="12">
        <v>147216.386</v>
      </c>
      <c r="AW194" s="12">
        <v>561643</v>
      </c>
      <c r="AX194" s="12">
        <v>42016.81</v>
      </c>
      <c r="AY194" s="12">
        <v>1</v>
      </c>
      <c r="AZ194" s="12">
        <v>42016.81</v>
      </c>
      <c r="BA194" s="12">
        <v>14571</v>
      </c>
      <c r="BB194" s="12"/>
      <c r="BC194" s="12"/>
      <c r="BD194" s="12"/>
      <c r="BE194" s="12"/>
      <c r="BF194" s="12">
        <v>209</v>
      </c>
      <c r="BG194" s="12">
        <v>0</v>
      </c>
      <c r="BH194" s="12">
        <v>0</v>
      </c>
      <c r="BI194" s="12">
        <v>98</v>
      </c>
      <c r="BJ194" s="12">
        <v>2</v>
      </c>
      <c r="BK194" s="12">
        <v>2.0408163265306121E-2</v>
      </c>
      <c r="BL194" s="12">
        <v>48</v>
      </c>
      <c r="BM194" s="12">
        <v>0</v>
      </c>
      <c r="BN194" s="12">
        <v>0</v>
      </c>
      <c r="BO194" s="12">
        <v>2</v>
      </c>
      <c r="BP194" s="12">
        <v>0</v>
      </c>
      <c r="BQ194" s="12">
        <v>0</v>
      </c>
      <c r="BR194" s="12">
        <v>209</v>
      </c>
      <c r="BS194" s="12">
        <v>2</v>
      </c>
      <c r="BT194" s="12">
        <v>9.5693779904306216E-3</v>
      </c>
      <c r="BU194" s="12">
        <v>566</v>
      </c>
      <c r="BV194" s="12">
        <v>4</v>
      </c>
      <c r="BW194" s="12">
        <v>7.0671378091872791E-3</v>
      </c>
      <c r="BX194" s="12"/>
      <c r="BY194" s="12"/>
      <c r="BZ194" s="12"/>
      <c r="CA194" s="12">
        <v>51970.25</v>
      </c>
      <c r="CB194" s="13"/>
      <c r="CC194" s="13"/>
      <c r="CD194" s="13"/>
      <c r="CE194" s="12">
        <v>1876</v>
      </c>
      <c r="CF194" s="12">
        <v>290</v>
      </c>
      <c r="CG194" s="13">
        <v>48663</v>
      </c>
      <c r="CH194" s="13">
        <v>101</v>
      </c>
      <c r="CI194" s="13">
        <v>16594</v>
      </c>
    </row>
    <row r="195" spans="2:87" x14ac:dyDescent="0.2">
      <c r="B195" s="5">
        <v>45968</v>
      </c>
      <c r="C195" s="12">
        <v>23</v>
      </c>
      <c r="D195" s="12">
        <v>2.7</v>
      </c>
      <c r="E195" s="12">
        <v>167793.204</v>
      </c>
      <c r="F195" s="12">
        <v>0</v>
      </c>
      <c r="G195" s="12">
        <v>3946638.66</v>
      </c>
      <c r="H195" s="12">
        <v>0</v>
      </c>
      <c r="I195" s="12">
        <v>0</v>
      </c>
      <c r="J195" s="12">
        <v>3946638.66</v>
      </c>
      <c r="K195" s="12">
        <v>105000</v>
      </c>
      <c r="L195" s="12">
        <v>0</v>
      </c>
      <c r="M195" s="12">
        <v>749861.34</v>
      </c>
      <c r="N195" s="12">
        <v>4801500</v>
      </c>
      <c r="O195" s="12">
        <v>435294.11</v>
      </c>
      <c r="P195" s="12">
        <v>3511344.55</v>
      </c>
      <c r="Q195" s="12">
        <v>1081736</v>
      </c>
      <c r="R195" s="12">
        <v>2429608.5499999998</v>
      </c>
      <c r="S195" s="12">
        <v>0</v>
      </c>
      <c r="T195" s="12">
        <v>65</v>
      </c>
      <c r="U195" s="12">
        <v>0</v>
      </c>
      <c r="V195" s="12">
        <v>0</v>
      </c>
      <c r="W195" s="35">
        <v>46144.261731053244</v>
      </c>
      <c r="X195" s="12">
        <v>7</v>
      </c>
      <c r="Y195" s="12">
        <v>7</v>
      </c>
      <c r="Z195" s="12">
        <v>1159663.8700000001</v>
      </c>
      <c r="AA195" s="12">
        <v>153181.272</v>
      </c>
      <c r="AB195" s="12">
        <v>354984</v>
      </c>
      <c r="AC195" s="12">
        <v>759301.72</v>
      </c>
      <c r="AD195" s="12">
        <v>16</v>
      </c>
      <c r="AE195" s="12">
        <v>16</v>
      </c>
      <c r="AF195" s="12">
        <v>2786974.79</v>
      </c>
      <c r="AG195" s="12">
        <v>174185.924</v>
      </c>
      <c r="AH195" s="12">
        <v>726752</v>
      </c>
      <c r="AI195" s="12">
        <v>1670306.83</v>
      </c>
      <c r="AJ195" s="12"/>
      <c r="AK195" s="12"/>
      <c r="AL195" s="12"/>
      <c r="AM195" s="12"/>
      <c r="AN195" s="12"/>
      <c r="AO195" s="12"/>
      <c r="AP195" s="12">
        <v>1396638.65</v>
      </c>
      <c r="AQ195" s="12">
        <v>6</v>
      </c>
      <c r="AR195" s="12">
        <v>232773.10800000001</v>
      </c>
      <c r="AS195" s="12">
        <v>267801</v>
      </c>
      <c r="AT195" s="12">
        <v>2453361.35</v>
      </c>
      <c r="AU195" s="12">
        <v>15</v>
      </c>
      <c r="AV195" s="12">
        <v>157731.092</v>
      </c>
      <c r="AW195" s="12">
        <v>787265</v>
      </c>
      <c r="AX195" s="12">
        <v>96638.66</v>
      </c>
      <c r="AY195" s="12">
        <v>2</v>
      </c>
      <c r="AZ195" s="12">
        <v>48319.33</v>
      </c>
      <c r="BA195" s="12">
        <v>26670</v>
      </c>
      <c r="BB195" s="12"/>
      <c r="BC195" s="12"/>
      <c r="BD195" s="12"/>
      <c r="BE195" s="12"/>
      <c r="BF195" s="12">
        <v>440</v>
      </c>
      <c r="BG195" s="12">
        <v>0</v>
      </c>
      <c r="BH195" s="12">
        <v>0</v>
      </c>
      <c r="BI195" s="12">
        <v>71</v>
      </c>
      <c r="BJ195" s="12">
        <v>1</v>
      </c>
      <c r="BK195" s="12">
        <v>1.4084507042253521E-2</v>
      </c>
      <c r="BL195" s="12">
        <v>40</v>
      </c>
      <c r="BM195" s="12">
        <v>1</v>
      </c>
      <c r="BN195" s="12">
        <v>2.5000000000000001E-2</v>
      </c>
      <c r="BO195" s="12">
        <v>7</v>
      </c>
      <c r="BP195" s="12">
        <v>0</v>
      </c>
      <c r="BQ195" s="12">
        <v>0</v>
      </c>
      <c r="BR195" s="12">
        <v>100</v>
      </c>
      <c r="BS195" s="12">
        <v>6</v>
      </c>
      <c r="BT195" s="12">
        <v>0.06</v>
      </c>
      <c r="BU195" s="12">
        <v>658</v>
      </c>
      <c r="BV195" s="12">
        <v>8</v>
      </c>
      <c r="BW195" s="12">
        <v>1.2158054711246201E-2</v>
      </c>
      <c r="BX195" s="12"/>
      <c r="BY195" s="12"/>
      <c r="BZ195" s="12"/>
      <c r="CA195" s="12">
        <v>93254.33</v>
      </c>
      <c r="CB195" s="13"/>
      <c r="CC195" s="13"/>
      <c r="CD195" s="13"/>
      <c r="CE195" s="12">
        <v>3108</v>
      </c>
      <c r="CF195" s="12">
        <v>558</v>
      </c>
      <c r="CG195" s="13">
        <v>48617</v>
      </c>
      <c r="CH195" s="13">
        <v>100</v>
      </c>
      <c r="CI195" s="13">
        <v>15859</v>
      </c>
    </row>
    <row r="196" spans="2:87" x14ac:dyDescent="0.2">
      <c r="B196" s="5">
        <v>45969</v>
      </c>
      <c r="C196" s="12">
        <v>19</v>
      </c>
      <c r="D196" s="12">
        <v>4.4000000000000004</v>
      </c>
      <c r="E196" s="12">
        <v>353040.69</v>
      </c>
      <c r="F196" s="12">
        <v>0</v>
      </c>
      <c r="G196" s="12">
        <v>8040924.3600000003</v>
      </c>
      <c r="H196" s="12">
        <v>-744327.71</v>
      </c>
      <c r="I196" s="12">
        <v>0</v>
      </c>
      <c r="J196" s="12">
        <v>7296596.6500000004</v>
      </c>
      <c r="K196" s="12">
        <v>18000</v>
      </c>
      <c r="L196" s="12">
        <v>0</v>
      </c>
      <c r="M196" s="12">
        <v>1380653.35</v>
      </c>
      <c r="N196" s="12">
        <v>8695250</v>
      </c>
      <c r="O196" s="12">
        <v>50420.17</v>
      </c>
      <c r="P196" s="12">
        <v>7246176.4800000004</v>
      </c>
      <c r="Q196" s="12">
        <v>2300259</v>
      </c>
      <c r="R196" s="12">
        <v>4945917.4800000004</v>
      </c>
      <c r="S196" s="12">
        <v>1400000</v>
      </c>
      <c r="T196" s="12">
        <v>91</v>
      </c>
      <c r="U196" s="12">
        <v>0</v>
      </c>
      <c r="V196" s="12">
        <v>1400000</v>
      </c>
      <c r="W196" s="35">
        <v>46144.261731053244</v>
      </c>
      <c r="X196" s="12">
        <v>7</v>
      </c>
      <c r="Y196" s="12">
        <v>7</v>
      </c>
      <c r="Z196" s="12">
        <v>1528319.33</v>
      </c>
      <c r="AA196" s="12">
        <v>163025.21</v>
      </c>
      <c r="AB196" s="12">
        <v>475080</v>
      </c>
      <c r="AC196" s="12">
        <v>1002819.16</v>
      </c>
      <c r="AD196" s="12">
        <v>12</v>
      </c>
      <c r="AE196" s="12">
        <v>12</v>
      </c>
      <c r="AF196" s="12">
        <v>5768277.3200000003</v>
      </c>
      <c r="AG196" s="12">
        <v>463883.054</v>
      </c>
      <c r="AH196" s="12">
        <v>1825179</v>
      </c>
      <c r="AI196" s="12">
        <v>3943098.32</v>
      </c>
      <c r="AJ196" s="12">
        <v>0</v>
      </c>
      <c r="AK196" s="12">
        <v>0</v>
      </c>
      <c r="AL196" s="12">
        <v>0</v>
      </c>
      <c r="AM196" s="12"/>
      <c r="AN196" s="12">
        <v>0</v>
      </c>
      <c r="AO196" s="12">
        <v>0</v>
      </c>
      <c r="AP196" s="12">
        <v>668067.23</v>
      </c>
      <c r="AQ196" s="12">
        <v>4</v>
      </c>
      <c r="AR196" s="12">
        <v>167016.807</v>
      </c>
      <c r="AS196" s="12">
        <v>236842</v>
      </c>
      <c r="AT196" s="12">
        <v>6456260.5099999998</v>
      </c>
      <c r="AU196" s="12">
        <v>13</v>
      </c>
      <c r="AV196" s="12">
        <v>451341.30599999998</v>
      </c>
      <c r="AW196" s="12">
        <v>2014333</v>
      </c>
      <c r="AX196" s="12">
        <v>42016.81</v>
      </c>
      <c r="AY196" s="12">
        <v>1</v>
      </c>
      <c r="AZ196" s="12">
        <v>42016.81</v>
      </c>
      <c r="BA196" s="12">
        <v>14571</v>
      </c>
      <c r="BB196" s="12"/>
      <c r="BC196" s="12"/>
      <c r="BD196" s="12"/>
      <c r="BE196" s="12"/>
      <c r="BF196" s="12">
        <v>237</v>
      </c>
      <c r="BG196" s="12">
        <v>0</v>
      </c>
      <c r="BH196" s="12">
        <v>0</v>
      </c>
      <c r="BI196" s="12">
        <v>81</v>
      </c>
      <c r="BJ196" s="12">
        <v>1</v>
      </c>
      <c r="BK196" s="12">
        <v>1.2345679012345678E-2</v>
      </c>
      <c r="BL196" s="12">
        <v>38</v>
      </c>
      <c r="BM196" s="12">
        <v>1</v>
      </c>
      <c r="BN196" s="12">
        <v>2.6315789473684209E-2</v>
      </c>
      <c r="BO196" s="12">
        <v>11</v>
      </c>
      <c r="BP196" s="12">
        <v>0</v>
      </c>
      <c r="BQ196" s="12">
        <v>0</v>
      </c>
      <c r="BR196" s="12">
        <v>88</v>
      </c>
      <c r="BS196" s="12">
        <v>2</v>
      </c>
      <c r="BT196" s="12">
        <v>2.2727272727272728E-2</v>
      </c>
      <c r="BU196" s="12">
        <v>455</v>
      </c>
      <c r="BV196" s="12">
        <v>4</v>
      </c>
      <c r="BW196" s="12">
        <v>8.7912087912087912E-3</v>
      </c>
      <c r="BX196" s="12"/>
      <c r="BY196" s="12"/>
      <c r="BZ196" s="12"/>
      <c r="CA196" s="12">
        <v>55264.93</v>
      </c>
      <c r="CB196" s="13"/>
      <c r="CC196" s="13"/>
      <c r="CD196" s="13"/>
      <c r="CE196" s="12">
        <v>2056</v>
      </c>
      <c r="CF196" s="12">
        <v>328</v>
      </c>
      <c r="CG196" s="13">
        <v>53869</v>
      </c>
      <c r="CH196" s="13">
        <v>124</v>
      </c>
      <c r="CI196" s="13">
        <v>16230</v>
      </c>
    </row>
    <row r="197" spans="2:87" x14ac:dyDescent="0.2">
      <c r="B197" s="5">
        <v>45970</v>
      </c>
      <c r="C197" s="12">
        <v>11</v>
      </c>
      <c r="D197" s="12">
        <v>4.3</v>
      </c>
      <c r="E197" s="12">
        <v>327453.78100000002</v>
      </c>
      <c r="F197" s="12">
        <v>-10</v>
      </c>
      <c r="G197" s="12">
        <v>3829512.58</v>
      </c>
      <c r="H197" s="12">
        <v>-257773.08</v>
      </c>
      <c r="I197" s="12">
        <v>-1047109.24</v>
      </c>
      <c r="J197" s="12">
        <v>2524630.2599999998</v>
      </c>
      <c r="K197" s="12">
        <v>18000</v>
      </c>
      <c r="L197" s="12">
        <v>0</v>
      </c>
      <c r="M197" s="12">
        <v>460869.74</v>
      </c>
      <c r="N197" s="12">
        <v>3003500</v>
      </c>
      <c r="O197" s="12">
        <v>121689.08</v>
      </c>
      <c r="P197" s="12">
        <v>2402941.1800000002</v>
      </c>
      <c r="Q197" s="12">
        <v>870633</v>
      </c>
      <c r="R197" s="12">
        <v>1532308.18</v>
      </c>
      <c r="S197" s="12">
        <v>0</v>
      </c>
      <c r="T197" s="12">
        <v>37</v>
      </c>
      <c r="U197" s="12">
        <v>0</v>
      </c>
      <c r="V197" s="12">
        <v>0</v>
      </c>
      <c r="W197" s="35">
        <v>46144.261731053244</v>
      </c>
      <c r="X197" s="12">
        <v>4</v>
      </c>
      <c r="Y197" s="12">
        <v>5</v>
      </c>
      <c r="Z197" s="12">
        <v>1286394.97</v>
      </c>
      <c r="AA197" s="12">
        <v>257278.99400000001</v>
      </c>
      <c r="AB197" s="12">
        <v>508755</v>
      </c>
      <c r="AC197" s="12">
        <v>655950.89</v>
      </c>
      <c r="AD197" s="12">
        <v>6</v>
      </c>
      <c r="AE197" s="12">
        <v>6</v>
      </c>
      <c r="AF197" s="12">
        <v>1238235.29</v>
      </c>
      <c r="AG197" s="12">
        <v>385932.77100000001</v>
      </c>
      <c r="AH197" s="12">
        <v>361878</v>
      </c>
      <c r="AI197" s="12">
        <v>876357.29</v>
      </c>
      <c r="AJ197" s="12"/>
      <c r="AK197" s="12"/>
      <c r="AL197" s="12"/>
      <c r="AM197" s="12"/>
      <c r="AN197" s="12"/>
      <c r="AO197" s="12"/>
      <c r="AP197" s="12">
        <v>277310.93</v>
      </c>
      <c r="AQ197" s="12">
        <v>3</v>
      </c>
      <c r="AR197" s="12">
        <v>441473.39</v>
      </c>
      <c r="AS197" s="12">
        <v>86300</v>
      </c>
      <c r="AT197" s="12">
        <v>2247319.33</v>
      </c>
      <c r="AU197" s="12">
        <v>8</v>
      </c>
      <c r="AV197" s="12">
        <v>284696.42800000001</v>
      </c>
      <c r="AW197" s="12">
        <v>784333</v>
      </c>
      <c r="AX197" s="12"/>
      <c r="AY197" s="12"/>
      <c r="AZ197" s="12"/>
      <c r="BA197" s="12"/>
      <c r="BB197" s="12"/>
      <c r="BC197" s="12"/>
      <c r="BD197" s="12"/>
      <c r="BE197" s="12"/>
      <c r="BF197" s="12">
        <v>286</v>
      </c>
      <c r="BG197" s="12">
        <v>0</v>
      </c>
      <c r="BH197" s="12">
        <v>0</v>
      </c>
      <c r="BI197" s="12">
        <v>95</v>
      </c>
      <c r="BJ197" s="12">
        <v>1</v>
      </c>
      <c r="BK197" s="12">
        <v>1.0526315789473684E-2</v>
      </c>
      <c r="BL197" s="12">
        <v>31</v>
      </c>
      <c r="BM197" s="12">
        <v>0</v>
      </c>
      <c r="BN197" s="12">
        <v>0</v>
      </c>
      <c r="BO197" s="12">
        <v>11</v>
      </c>
      <c r="BP197" s="12">
        <v>0</v>
      </c>
      <c r="BQ197" s="12">
        <v>0</v>
      </c>
      <c r="BR197" s="12">
        <v>77</v>
      </c>
      <c r="BS197" s="12">
        <v>1</v>
      </c>
      <c r="BT197" s="12">
        <v>1.2987012987012988E-2</v>
      </c>
      <c r="BU197" s="12">
        <v>500</v>
      </c>
      <c r="BV197" s="12">
        <v>2</v>
      </c>
      <c r="BW197" s="12">
        <v>4.0000000000000001E-3</v>
      </c>
      <c r="BX197" s="12"/>
      <c r="BY197" s="12"/>
      <c r="BZ197" s="12"/>
      <c r="CA197" s="12">
        <v>65626.09</v>
      </c>
      <c r="CB197" s="13"/>
      <c r="CC197" s="13"/>
      <c r="CD197" s="13"/>
      <c r="CE197" s="12">
        <v>2252</v>
      </c>
      <c r="CF197" s="12">
        <v>357</v>
      </c>
      <c r="CG197" s="13">
        <v>63695</v>
      </c>
      <c r="CH197" s="13">
        <v>144</v>
      </c>
      <c r="CI197" s="13">
        <v>17841</v>
      </c>
    </row>
    <row r="198" spans="2:87" x14ac:dyDescent="0.2">
      <c r="B198" s="5">
        <v>45971</v>
      </c>
      <c r="C198" s="12">
        <v>26</v>
      </c>
      <c r="D198" s="12">
        <v>2.9</v>
      </c>
      <c r="E198" s="12">
        <v>235447.64</v>
      </c>
      <c r="F198" s="12">
        <v>-1</v>
      </c>
      <c r="G198" s="12">
        <v>6245378.0899999999</v>
      </c>
      <c r="H198" s="12">
        <v>-123739.45</v>
      </c>
      <c r="I198" s="12">
        <v>-142857.14000000001</v>
      </c>
      <c r="J198" s="12">
        <v>5978781.5</v>
      </c>
      <c r="K198" s="12">
        <v>93500</v>
      </c>
      <c r="L198" s="12">
        <v>0</v>
      </c>
      <c r="M198" s="12">
        <v>1135968.5</v>
      </c>
      <c r="N198" s="12">
        <v>7208250</v>
      </c>
      <c r="O198" s="12">
        <v>83193.3</v>
      </c>
      <c r="P198" s="12">
        <v>5895588.2000000002</v>
      </c>
      <c r="Q198" s="12">
        <v>1622944</v>
      </c>
      <c r="R198" s="12">
        <v>4272644.2</v>
      </c>
      <c r="S198" s="12">
        <v>0</v>
      </c>
      <c r="T198" s="12">
        <v>74</v>
      </c>
      <c r="U198" s="12">
        <v>0</v>
      </c>
      <c r="V198" s="12">
        <v>0</v>
      </c>
      <c r="W198" s="35">
        <v>46144.261731053244</v>
      </c>
      <c r="X198" s="12">
        <v>13</v>
      </c>
      <c r="Y198" s="12">
        <v>13</v>
      </c>
      <c r="Z198" s="12">
        <v>2362815.12</v>
      </c>
      <c r="AA198" s="12">
        <v>181755.00899999999</v>
      </c>
      <c r="AB198" s="12">
        <v>741413</v>
      </c>
      <c r="AC198" s="12">
        <v>1598713.04</v>
      </c>
      <c r="AD198" s="12">
        <v>13</v>
      </c>
      <c r="AE198" s="12">
        <v>13</v>
      </c>
      <c r="AF198" s="12">
        <v>3615966.38</v>
      </c>
      <c r="AG198" s="12">
        <v>289140.27</v>
      </c>
      <c r="AH198" s="12">
        <v>881531</v>
      </c>
      <c r="AI198" s="12">
        <v>2673931.16</v>
      </c>
      <c r="AJ198" s="12"/>
      <c r="AK198" s="12"/>
      <c r="AL198" s="12"/>
      <c r="AM198" s="12"/>
      <c r="AN198" s="12"/>
      <c r="AO198" s="12"/>
      <c r="AP198" s="12">
        <v>1235924.3500000001</v>
      </c>
      <c r="AQ198" s="12">
        <v>8</v>
      </c>
      <c r="AR198" s="12">
        <v>172347.68599999999</v>
      </c>
      <c r="AS198" s="12">
        <v>318240</v>
      </c>
      <c r="AT198" s="12">
        <v>4190756.31</v>
      </c>
      <c r="AU198" s="12">
        <v>17</v>
      </c>
      <c r="AV198" s="12">
        <v>246515.07699999999</v>
      </c>
      <c r="AW198" s="12">
        <v>1054384</v>
      </c>
      <c r="AX198" s="12"/>
      <c r="AY198" s="12"/>
      <c r="AZ198" s="12"/>
      <c r="BA198" s="12"/>
      <c r="BB198" s="12">
        <v>552100.84</v>
      </c>
      <c r="BC198" s="12">
        <v>1</v>
      </c>
      <c r="BD198" s="12">
        <v>552100.84</v>
      </c>
      <c r="BE198" s="12">
        <v>250320</v>
      </c>
      <c r="BF198" s="12">
        <v>388</v>
      </c>
      <c r="BG198" s="12">
        <v>0</v>
      </c>
      <c r="BH198" s="12">
        <v>0</v>
      </c>
      <c r="BI198" s="12">
        <v>78</v>
      </c>
      <c r="BJ198" s="12">
        <v>0</v>
      </c>
      <c r="BK198" s="12">
        <v>0</v>
      </c>
      <c r="BL198" s="12">
        <v>39</v>
      </c>
      <c r="BM198" s="12">
        <v>2</v>
      </c>
      <c r="BN198" s="12">
        <v>5.128205128205128E-2</v>
      </c>
      <c r="BO198" s="12">
        <v>15</v>
      </c>
      <c r="BP198" s="12">
        <v>0</v>
      </c>
      <c r="BQ198" s="12">
        <v>0</v>
      </c>
      <c r="BR198" s="12">
        <v>101</v>
      </c>
      <c r="BS198" s="12">
        <v>5</v>
      </c>
      <c r="BT198" s="12">
        <v>4.9504950495049507E-2</v>
      </c>
      <c r="BU198" s="12">
        <v>621</v>
      </c>
      <c r="BV198" s="12">
        <v>7</v>
      </c>
      <c r="BW198" s="12">
        <v>1.1272141706924315E-2</v>
      </c>
      <c r="BX198" s="12"/>
      <c r="BY198" s="12"/>
      <c r="BZ198" s="12"/>
      <c r="CA198" s="12">
        <v>83448.62</v>
      </c>
      <c r="CB198" s="13"/>
      <c r="CC198" s="13"/>
      <c r="CD198" s="13"/>
      <c r="CE198" s="12">
        <v>2894</v>
      </c>
      <c r="CF198" s="12">
        <v>470</v>
      </c>
      <c r="CG198" s="13">
        <v>46561</v>
      </c>
      <c r="CH198" s="13">
        <v>108</v>
      </c>
      <c r="CI198" s="13">
        <v>15544</v>
      </c>
    </row>
    <row r="199" spans="2:87" x14ac:dyDescent="0.2">
      <c r="B199" s="5">
        <v>45972</v>
      </c>
      <c r="C199" s="12">
        <v>38</v>
      </c>
      <c r="D199" s="12">
        <v>3.2</v>
      </c>
      <c r="E199" s="12">
        <v>180093.54199999999</v>
      </c>
      <c r="F199" s="12">
        <v>-2</v>
      </c>
      <c r="G199" s="12">
        <v>7348806.6799999997</v>
      </c>
      <c r="H199" s="12">
        <v>-505252.06</v>
      </c>
      <c r="I199" s="12">
        <v>-15126.06</v>
      </c>
      <c r="J199" s="12">
        <v>6828428.5599999996</v>
      </c>
      <c r="K199" s="12">
        <v>132000</v>
      </c>
      <c r="L199" s="12">
        <v>0</v>
      </c>
      <c r="M199" s="12">
        <v>1272321.44</v>
      </c>
      <c r="N199" s="12">
        <v>8232750</v>
      </c>
      <c r="O199" s="12">
        <v>325277.31</v>
      </c>
      <c r="P199" s="12">
        <v>6503151.25</v>
      </c>
      <c r="Q199" s="12">
        <v>1893451</v>
      </c>
      <c r="R199" s="12">
        <v>4609700.25</v>
      </c>
      <c r="S199" s="12">
        <v>0</v>
      </c>
      <c r="T199" s="12">
        <v>118</v>
      </c>
      <c r="U199" s="12">
        <v>0</v>
      </c>
      <c r="V199" s="12">
        <v>0</v>
      </c>
      <c r="W199" s="35">
        <v>46144.261731053244</v>
      </c>
      <c r="X199" s="12">
        <v>17</v>
      </c>
      <c r="Y199" s="12">
        <v>22</v>
      </c>
      <c r="Z199" s="12">
        <v>4086344.53</v>
      </c>
      <c r="AA199" s="12">
        <v>185742.93299999999</v>
      </c>
      <c r="AB199" s="12">
        <v>1076562</v>
      </c>
      <c r="AC199" s="12">
        <v>2928269.92</v>
      </c>
      <c r="AD199" s="12">
        <v>16</v>
      </c>
      <c r="AE199" s="12">
        <v>16</v>
      </c>
      <c r="AF199" s="12">
        <v>2742084.03</v>
      </c>
      <c r="AG199" s="12">
        <v>172325.63</v>
      </c>
      <c r="AH199" s="12">
        <v>816889</v>
      </c>
      <c r="AI199" s="12">
        <v>1681430.33</v>
      </c>
      <c r="AJ199" s="12"/>
      <c r="AK199" s="12"/>
      <c r="AL199" s="12"/>
      <c r="AM199" s="12"/>
      <c r="AN199" s="12"/>
      <c r="AO199" s="12"/>
      <c r="AP199" s="12">
        <v>3703151.26</v>
      </c>
      <c r="AQ199" s="12">
        <v>10</v>
      </c>
      <c r="AR199" s="12">
        <v>370315.12599999999</v>
      </c>
      <c r="AS199" s="12">
        <v>1075933</v>
      </c>
      <c r="AT199" s="12">
        <v>2944605.03</v>
      </c>
      <c r="AU199" s="12">
        <v>25</v>
      </c>
      <c r="AV199" s="12">
        <v>118389.243</v>
      </c>
      <c r="AW199" s="12">
        <v>774038</v>
      </c>
      <c r="AX199" s="12">
        <v>180672.27</v>
      </c>
      <c r="AY199" s="12">
        <v>3</v>
      </c>
      <c r="AZ199" s="12">
        <v>60224.09</v>
      </c>
      <c r="BA199" s="12">
        <v>43480</v>
      </c>
      <c r="BB199" s="12"/>
      <c r="BC199" s="12"/>
      <c r="BD199" s="12"/>
      <c r="BE199" s="12"/>
      <c r="BF199" s="12">
        <v>294</v>
      </c>
      <c r="BG199" s="12">
        <v>1</v>
      </c>
      <c r="BH199" s="12">
        <v>3.4013605442176869E-3</v>
      </c>
      <c r="BI199" s="12">
        <v>80</v>
      </c>
      <c r="BJ199" s="12">
        <v>1</v>
      </c>
      <c r="BK199" s="12">
        <v>1.2500000000000001E-2</v>
      </c>
      <c r="BL199" s="12">
        <v>48</v>
      </c>
      <c r="BM199" s="12">
        <v>1</v>
      </c>
      <c r="BN199" s="12">
        <v>2.0833333333333332E-2</v>
      </c>
      <c r="BO199" s="12">
        <v>14</v>
      </c>
      <c r="BP199" s="12">
        <v>0</v>
      </c>
      <c r="BQ199" s="12">
        <v>0</v>
      </c>
      <c r="BR199" s="12">
        <v>110</v>
      </c>
      <c r="BS199" s="12">
        <v>5</v>
      </c>
      <c r="BT199" s="12">
        <v>4.5454545454545456E-2</v>
      </c>
      <c r="BU199" s="12">
        <v>546</v>
      </c>
      <c r="BV199" s="12">
        <v>8</v>
      </c>
      <c r="BW199" s="12">
        <v>1.4652014652014652E-2</v>
      </c>
      <c r="BX199" s="12"/>
      <c r="BY199" s="12"/>
      <c r="BZ199" s="12"/>
      <c r="CA199" s="12">
        <v>67602.679999999993</v>
      </c>
      <c r="CB199" s="13"/>
      <c r="CC199" s="13"/>
      <c r="CD199" s="13"/>
      <c r="CE199" s="12">
        <v>2223</v>
      </c>
      <c r="CF199" s="12">
        <v>381</v>
      </c>
      <c r="CG199" s="13">
        <v>53458</v>
      </c>
      <c r="CH199" s="13">
        <v>129</v>
      </c>
      <c r="CI199" s="13">
        <v>15013</v>
      </c>
    </row>
    <row r="200" spans="2:87" x14ac:dyDescent="0.2">
      <c r="B200" s="5">
        <v>45973</v>
      </c>
      <c r="C200" s="12">
        <v>18</v>
      </c>
      <c r="D200" s="12">
        <v>4.0999999999999996</v>
      </c>
      <c r="E200" s="12">
        <v>262605.04100000003</v>
      </c>
      <c r="F200" s="12">
        <v>0</v>
      </c>
      <c r="G200" s="12">
        <v>5033613.4000000004</v>
      </c>
      <c r="H200" s="12">
        <v>-121848.72</v>
      </c>
      <c r="I200" s="12">
        <v>0</v>
      </c>
      <c r="J200" s="12">
        <v>4911764.68</v>
      </c>
      <c r="K200" s="12">
        <v>52500</v>
      </c>
      <c r="L200" s="12">
        <v>0</v>
      </c>
      <c r="M200" s="12">
        <v>933235.32</v>
      </c>
      <c r="N200" s="12">
        <v>5897500</v>
      </c>
      <c r="O200" s="12">
        <v>113445.38</v>
      </c>
      <c r="P200" s="12">
        <v>4798319.3</v>
      </c>
      <c r="Q200" s="12">
        <v>1473056</v>
      </c>
      <c r="R200" s="12">
        <v>3325263.3</v>
      </c>
      <c r="S200" s="12">
        <v>0</v>
      </c>
      <c r="T200" s="12">
        <v>79</v>
      </c>
      <c r="U200" s="12">
        <v>0</v>
      </c>
      <c r="V200" s="12">
        <v>0</v>
      </c>
      <c r="W200" s="35">
        <v>46144.261731053244</v>
      </c>
      <c r="X200" s="12">
        <v>4</v>
      </c>
      <c r="Y200" s="12">
        <v>5</v>
      </c>
      <c r="Z200" s="12">
        <v>1390756.29</v>
      </c>
      <c r="AA200" s="12">
        <v>241176.47</v>
      </c>
      <c r="AB200" s="12">
        <v>375359</v>
      </c>
      <c r="AC200" s="12">
        <v>901951.91</v>
      </c>
      <c r="AD200" s="12">
        <v>13</v>
      </c>
      <c r="AE200" s="12">
        <v>13</v>
      </c>
      <c r="AF200" s="12">
        <v>3521008.39</v>
      </c>
      <c r="AG200" s="12">
        <v>270846.799</v>
      </c>
      <c r="AH200" s="12">
        <v>1097697</v>
      </c>
      <c r="AI200" s="12">
        <v>2423311.39</v>
      </c>
      <c r="AJ200" s="12"/>
      <c r="AK200" s="12"/>
      <c r="AL200" s="12"/>
      <c r="AM200" s="12"/>
      <c r="AN200" s="12"/>
      <c r="AO200" s="12"/>
      <c r="AP200" s="12">
        <v>365546.22</v>
      </c>
      <c r="AQ200" s="12">
        <v>3</v>
      </c>
      <c r="AR200" s="12">
        <v>121848.74</v>
      </c>
      <c r="AS200" s="12">
        <v>130408</v>
      </c>
      <c r="AT200" s="12">
        <v>4546218.46</v>
      </c>
      <c r="AU200" s="12">
        <v>15</v>
      </c>
      <c r="AV200" s="12">
        <v>290756.30099999998</v>
      </c>
      <c r="AW200" s="12">
        <v>1342648</v>
      </c>
      <c r="AX200" s="12"/>
      <c r="AY200" s="12"/>
      <c r="AZ200" s="12"/>
      <c r="BA200" s="12"/>
      <c r="BB200" s="12"/>
      <c r="BC200" s="12"/>
      <c r="BD200" s="12"/>
      <c r="BE200" s="12"/>
      <c r="BF200" s="12">
        <v>338</v>
      </c>
      <c r="BG200" s="12">
        <v>0</v>
      </c>
      <c r="BH200" s="12">
        <v>0</v>
      </c>
      <c r="BI200" s="12">
        <v>81</v>
      </c>
      <c r="BJ200" s="12">
        <v>0</v>
      </c>
      <c r="BK200" s="12">
        <v>0</v>
      </c>
      <c r="BL200" s="12">
        <v>68</v>
      </c>
      <c r="BM200" s="12">
        <v>2</v>
      </c>
      <c r="BN200" s="12">
        <v>2.9411764705882353E-2</v>
      </c>
      <c r="BO200" s="12">
        <v>15</v>
      </c>
      <c r="BP200" s="12">
        <v>0</v>
      </c>
      <c r="BQ200" s="12">
        <v>0</v>
      </c>
      <c r="BR200" s="12">
        <v>104</v>
      </c>
      <c r="BS200" s="12">
        <v>5</v>
      </c>
      <c r="BT200" s="12">
        <v>4.807692307692308E-2</v>
      </c>
      <c r="BU200" s="12">
        <v>606</v>
      </c>
      <c r="BV200" s="12">
        <v>7</v>
      </c>
      <c r="BW200" s="12">
        <v>1.155115511551155E-2</v>
      </c>
      <c r="BX200" s="12"/>
      <c r="BY200" s="12"/>
      <c r="BZ200" s="12"/>
      <c r="CA200" s="12">
        <v>79499.7</v>
      </c>
      <c r="CB200" s="13"/>
      <c r="CC200" s="13"/>
      <c r="CD200" s="13"/>
      <c r="CE200" s="12">
        <v>2869</v>
      </c>
      <c r="CF200" s="12">
        <v>464</v>
      </c>
      <c r="CG200" s="13">
        <v>50448</v>
      </c>
      <c r="CH200" s="13">
        <v>134</v>
      </c>
      <c r="CI200" s="13">
        <v>14310</v>
      </c>
    </row>
    <row r="201" spans="2:87" x14ac:dyDescent="0.2">
      <c r="B201" s="5">
        <v>45974</v>
      </c>
      <c r="C201" s="12">
        <v>19</v>
      </c>
      <c r="D201" s="12">
        <v>3.8</v>
      </c>
      <c r="E201" s="12">
        <v>223675.36499999999</v>
      </c>
      <c r="F201" s="12">
        <v>-3</v>
      </c>
      <c r="G201" s="12">
        <v>4471260.5</v>
      </c>
      <c r="H201" s="12">
        <v>-32352.92</v>
      </c>
      <c r="I201" s="12">
        <v>-126050.43</v>
      </c>
      <c r="J201" s="12">
        <v>4312857.1500000004</v>
      </c>
      <c r="K201" s="12">
        <v>50500</v>
      </c>
      <c r="L201" s="12">
        <v>0</v>
      </c>
      <c r="M201" s="12">
        <v>796642.85</v>
      </c>
      <c r="N201" s="12">
        <v>5160000</v>
      </c>
      <c r="O201" s="12">
        <v>21008.400000000001</v>
      </c>
      <c r="P201" s="12">
        <v>4291848.75</v>
      </c>
      <c r="Q201" s="12">
        <v>1264911</v>
      </c>
      <c r="R201" s="12">
        <v>3026937.75</v>
      </c>
      <c r="S201" s="12">
        <v>0</v>
      </c>
      <c r="T201" s="12">
        <v>73</v>
      </c>
      <c r="U201" s="12">
        <v>0</v>
      </c>
      <c r="V201" s="12">
        <v>0</v>
      </c>
      <c r="W201" s="35">
        <v>46144.261731053244</v>
      </c>
      <c r="X201" s="12">
        <v>8</v>
      </c>
      <c r="Y201" s="12">
        <v>9</v>
      </c>
      <c r="Z201" s="12">
        <v>2203613.4500000002</v>
      </c>
      <c r="AA201" s="12">
        <v>233174.603</v>
      </c>
      <c r="AB201" s="12">
        <v>613294</v>
      </c>
      <c r="AC201" s="12">
        <v>1569311.05</v>
      </c>
      <c r="AD201" s="12">
        <v>10</v>
      </c>
      <c r="AE201" s="12">
        <v>10</v>
      </c>
      <c r="AF201" s="12">
        <v>2109243.7000000002</v>
      </c>
      <c r="AG201" s="12">
        <v>215126.05100000001</v>
      </c>
      <c r="AH201" s="12">
        <v>651617</v>
      </c>
      <c r="AI201" s="12">
        <v>1457626.7</v>
      </c>
      <c r="AJ201" s="12"/>
      <c r="AK201" s="12"/>
      <c r="AL201" s="12"/>
      <c r="AM201" s="12"/>
      <c r="AN201" s="12"/>
      <c r="AO201" s="12"/>
      <c r="AP201" s="12">
        <v>785714.28</v>
      </c>
      <c r="AQ201" s="12">
        <v>7</v>
      </c>
      <c r="AR201" s="12">
        <v>118247.298</v>
      </c>
      <c r="AS201" s="12">
        <v>199446</v>
      </c>
      <c r="AT201" s="12">
        <v>3262436.98</v>
      </c>
      <c r="AU201" s="12">
        <v>10</v>
      </c>
      <c r="AV201" s="12">
        <v>320781.51299999998</v>
      </c>
      <c r="AW201" s="12">
        <v>1006822</v>
      </c>
      <c r="AX201" s="12">
        <v>46218.49</v>
      </c>
      <c r="AY201" s="12">
        <v>1</v>
      </c>
      <c r="AZ201" s="12">
        <v>46218.49</v>
      </c>
      <c r="BA201" s="12">
        <v>9855</v>
      </c>
      <c r="BB201" s="12"/>
      <c r="BC201" s="12"/>
      <c r="BD201" s="12"/>
      <c r="BE201" s="12"/>
      <c r="BF201" s="12">
        <v>264</v>
      </c>
      <c r="BG201" s="12">
        <v>0</v>
      </c>
      <c r="BH201" s="12">
        <v>0</v>
      </c>
      <c r="BI201" s="12">
        <v>48</v>
      </c>
      <c r="BJ201" s="12">
        <v>1</v>
      </c>
      <c r="BK201" s="12">
        <v>2.0833333333333332E-2</v>
      </c>
      <c r="BL201" s="12">
        <v>51</v>
      </c>
      <c r="BM201" s="12">
        <v>0</v>
      </c>
      <c r="BN201" s="12">
        <v>0</v>
      </c>
      <c r="BO201" s="12">
        <v>12</v>
      </c>
      <c r="BP201" s="12">
        <v>0</v>
      </c>
      <c r="BQ201" s="12">
        <v>0</v>
      </c>
      <c r="BR201" s="12">
        <v>229</v>
      </c>
      <c r="BS201" s="12">
        <v>9</v>
      </c>
      <c r="BT201" s="12">
        <v>3.9301310043668124E-2</v>
      </c>
      <c r="BU201" s="12">
        <v>604</v>
      </c>
      <c r="BV201" s="12">
        <v>10</v>
      </c>
      <c r="BW201" s="12">
        <v>1.6556291390728478E-2</v>
      </c>
      <c r="BX201" s="12"/>
      <c r="BY201" s="12"/>
      <c r="BZ201" s="12"/>
      <c r="CA201" s="12">
        <v>68306.97</v>
      </c>
      <c r="CB201" s="13"/>
      <c r="CC201" s="13"/>
      <c r="CD201" s="13"/>
      <c r="CE201" s="12">
        <v>2252</v>
      </c>
      <c r="CF201" s="12">
        <v>374</v>
      </c>
      <c r="CG201" s="13">
        <v>43652</v>
      </c>
      <c r="CH201" s="13">
        <v>86</v>
      </c>
      <c r="CI201" s="13">
        <v>14229</v>
      </c>
    </row>
    <row r="202" spans="2:87" x14ac:dyDescent="0.2">
      <c r="B202" s="5">
        <v>45975</v>
      </c>
      <c r="C202" s="12">
        <v>29</v>
      </c>
      <c r="D202" s="12">
        <v>2</v>
      </c>
      <c r="E202" s="12">
        <v>124169.515</v>
      </c>
      <c r="F202" s="12">
        <v>0</v>
      </c>
      <c r="G202" s="12">
        <v>3761840.23</v>
      </c>
      <c r="H202" s="12">
        <v>-160924.28</v>
      </c>
      <c r="I202" s="12">
        <v>0</v>
      </c>
      <c r="J202" s="12">
        <v>3600915.95</v>
      </c>
      <c r="K202" s="12">
        <v>45000</v>
      </c>
      <c r="L202" s="12">
        <v>0</v>
      </c>
      <c r="M202" s="12">
        <v>653584.05000000005</v>
      </c>
      <c r="N202" s="12">
        <v>4299500</v>
      </c>
      <c r="O202" s="12">
        <v>194117.64</v>
      </c>
      <c r="P202" s="12">
        <v>3406798.31</v>
      </c>
      <c r="Q202" s="12">
        <v>1079905</v>
      </c>
      <c r="R202" s="12">
        <v>2326893.31</v>
      </c>
      <c r="S202" s="12">
        <v>0</v>
      </c>
      <c r="T202" s="12">
        <v>58</v>
      </c>
      <c r="U202" s="12">
        <v>0</v>
      </c>
      <c r="V202" s="12">
        <v>0</v>
      </c>
      <c r="W202" s="35">
        <v>46144.261731053244</v>
      </c>
      <c r="X202" s="12">
        <v>13</v>
      </c>
      <c r="Y202" s="12">
        <v>15</v>
      </c>
      <c r="Z202" s="12">
        <v>2081680.66</v>
      </c>
      <c r="AA202" s="12">
        <v>138778.71</v>
      </c>
      <c r="AB202" s="12">
        <v>593914</v>
      </c>
      <c r="AC202" s="12">
        <v>1487766.66</v>
      </c>
      <c r="AD202" s="12">
        <v>14</v>
      </c>
      <c r="AE202" s="12">
        <v>14</v>
      </c>
      <c r="AF202" s="12">
        <v>1519235.29</v>
      </c>
      <c r="AG202" s="12">
        <v>108516.806</v>
      </c>
      <c r="AH202" s="12">
        <v>485991</v>
      </c>
      <c r="AI202" s="12">
        <v>839126.65</v>
      </c>
      <c r="AJ202" s="12"/>
      <c r="AK202" s="12"/>
      <c r="AL202" s="12"/>
      <c r="AM202" s="12"/>
      <c r="AN202" s="12"/>
      <c r="AO202" s="12"/>
      <c r="AP202" s="12">
        <v>925529.41</v>
      </c>
      <c r="AQ202" s="12">
        <v>8</v>
      </c>
      <c r="AR202" s="12">
        <v>115691.17600000001</v>
      </c>
      <c r="AS202" s="12">
        <v>277434</v>
      </c>
      <c r="AT202" s="12">
        <v>2629168.0499999998</v>
      </c>
      <c r="AU202" s="12">
        <v>20</v>
      </c>
      <c r="AV202" s="12">
        <v>131458.402</v>
      </c>
      <c r="AW202" s="12">
        <v>793272</v>
      </c>
      <c r="AX202" s="12">
        <v>46218.49</v>
      </c>
      <c r="AY202" s="12">
        <v>1</v>
      </c>
      <c r="AZ202" s="12">
        <v>46218.49</v>
      </c>
      <c r="BA202" s="12">
        <v>9199</v>
      </c>
      <c r="BB202" s="12"/>
      <c r="BC202" s="12"/>
      <c r="BD202" s="12"/>
      <c r="BE202" s="12"/>
      <c r="BF202" s="12">
        <v>405</v>
      </c>
      <c r="BG202" s="12">
        <v>0</v>
      </c>
      <c r="BH202" s="12">
        <v>0</v>
      </c>
      <c r="BI202" s="12">
        <v>56</v>
      </c>
      <c r="BJ202" s="12">
        <v>0</v>
      </c>
      <c r="BK202" s="12">
        <v>0</v>
      </c>
      <c r="BL202" s="12">
        <v>49</v>
      </c>
      <c r="BM202" s="12">
        <v>2</v>
      </c>
      <c r="BN202" s="12">
        <v>4.0816326530612242E-2</v>
      </c>
      <c r="BO202" s="12">
        <v>14</v>
      </c>
      <c r="BP202" s="12">
        <v>0</v>
      </c>
      <c r="BQ202" s="12">
        <v>0</v>
      </c>
      <c r="BR202" s="12">
        <v>182</v>
      </c>
      <c r="BS202" s="12">
        <v>3</v>
      </c>
      <c r="BT202" s="12">
        <v>1.6483516483516484E-2</v>
      </c>
      <c r="BU202" s="12">
        <v>706</v>
      </c>
      <c r="BV202" s="12">
        <v>5</v>
      </c>
      <c r="BW202" s="12">
        <v>7.0821529745042494E-3</v>
      </c>
      <c r="BX202" s="12"/>
      <c r="BY202" s="12"/>
      <c r="BZ202" s="12"/>
      <c r="CA202" s="12">
        <v>83390.44</v>
      </c>
      <c r="CB202" s="13"/>
      <c r="CC202" s="13"/>
      <c r="CD202" s="13"/>
      <c r="CE202" s="12">
        <v>3063</v>
      </c>
      <c r="CF202" s="12">
        <v>488</v>
      </c>
      <c r="CG202" s="13">
        <v>52531</v>
      </c>
      <c r="CH202" s="13">
        <v>98</v>
      </c>
      <c r="CI202" s="13">
        <v>14701</v>
      </c>
    </row>
    <row r="203" spans="2:87" x14ac:dyDescent="0.2">
      <c r="B203" s="5">
        <v>45976</v>
      </c>
      <c r="C203" s="12">
        <v>26</v>
      </c>
      <c r="D203" s="12">
        <v>4.8</v>
      </c>
      <c r="E203" s="12">
        <v>380184.22700000001</v>
      </c>
      <c r="F203" s="12">
        <v>0</v>
      </c>
      <c r="G203" s="12">
        <v>10883739.369999999</v>
      </c>
      <c r="H203" s="12">
        <v>-971218.36</v>
      </c>
      <c r="I203" s="12">
        <v>0</v>
      </c>
      <c r="J203" s="12">
        <v>9912521.0099999998</v>
      </c>
      <c r="K203" s="12">
        <v>47000</v>
      </c>
      <c r="L203" s="12">
        <v>0</v>
      </c>
      <c r="M203" s="12">
        <v>1876728.99</v>
      </c>
      <c r="N203" s="12">
        <v>11836250</v>
      </c>
      <c r="O203" s="12">
        <v>81512.600000000006</v>
      </c>
      <c r="P203" s="12">
        <v>9831008.4100000001</v>
      </c>
      <c r="Q203" s="12">
        <v>3182739</v>
      </c>
      <c r="R203" s="12">
        <v>6648269.4100000001</v>
      </c>
      <c r="S203" s="12">
        <v>0</v>
      </c>
      <c r="T203" s="12">
        <v>127</v>
      </c>
      <c r="U203" s="12">
        <v>0</v>
      </c>
      <c r="V203" s="12">
        <v>0</v>
      </c>
      <c r="W203" s="35">
        <v>46144.261731053244</v>
      </c>
      <c r="X203" s="12">
        <v>11</v>
      </c>
      <c r="Y203" s="12">
        <v>12</v>
      </c>
      <c r="Z203" s="12">
        <v>3707479</v>
      </c>
      <c r="AA203" s="12">
        <v>306645.65899999999</v>
      </c>
      <c r="AB203" s="12">
        <v>1136378</v>
      </c>
      <c r="AC203" s="12">
        <v>2548411.92</v>
      </c>
      <c r="AD203" s="12">
        <v>14</v>
      </c>
      <c r="AE203" s="12">
        <v>14</v>
      </c>
      <c r="AF203" s="12">
        <v>6205042.0099999998</v>
      </c>
      <c r="AG203" s="12">
        <v>443217.28600000002</v>
      </c>
      <c r="AH203" s="12">
        <v>2046361</v>
      </c>
      <c r="AI203" s="12">
        <v>4099857.49</v>
      </c>
      <c r="AJ203" s="12"/>
      <c r="AK203" s="12"/>
      <c r="AL203" s="12"/>
      <c r="AM203" s="12"/>
      <c r="AN203" s="12"/>
      <c r="AO203" s="12"/>
      <c r="AP203" s="12">
        <v>4308193.29</v>
      </c>
      <c r="AQ203" s="12">
        <v>7</v>
      </c>
      <c r="AR203" s="12">
        <v>615456.18400000001</v>
      </c>
      <c r="AS203" s="12">
        <v>1511986</v>
      </c>
      <c r="AT203" s="12">
        <v>5604327.7199999997</v>
      </c>
      <c r="AU203" s="12">
        <v>19</v>
      </c>
      <c r="AV203" s="12">
        <v>293505.08500000002</v>
      </c>
      <c r="AW203" s="12">
        <v>1670753</v>
      </c>
      <c r="AX203" s="12"/>
      <c r="AY203" s="12"/>
      <c r="AZ203" s="12"/>
      <c r="BA203" s="12"/>
      <c r="BB203" s="12"/>
      <c r="BC203" s="12"/>
      <c r="BD203" s="12"/>
      <c r="BE203" s="12"/>
      <c r="BF203" s="12">
        <v>338</v>
      </c>
      <c r="BG203" s="12">
        <v>0</v>
      </c>
      <c r="BH203" s="12">
        <v>0</v>
      </c>
      <c r="BI203" s="12">
        <v>66</v>
      </c>
      <c r="BJ203" s="12">
        <v>0</v>
      </c>
      <c r="BK203" s="12">
        <v>0</v>
      </c>
      <c r="BL203" s="12">
        <v>30</v>
      </c>
      <c r="BM203" s="12">
        <v>2</v>
      </c>
      <c r="BN203" s="12">
        <v>6.6666666666666666E-2</v>
      </c>
      <c r="BO203" s="12">
        <v>17</v>
      </c>
      <c r="BP203" s="12">
        <v>0</v>
      </c>
      <c r="BQ203" s="12">
        <v>0</v>
      </c>
      <c r="BR203" s="12">
        <v>77</v>
      </c>
      <c r="BS203" s="12">
        <v>3</v>
      </c>
      <c r="BT203" s="12">
        <v>3.896103896103896E-2</v>
      </c>
      <c r="BU203" s="12">
        <v>528</v>
      </c>
      <c r="BV203" s="12">
        <v>5</v>
      </c>
      <c r="BW203" s="12">
        <v>9.46969696969697E-3</v>
      </c>
      <c r="BX203" s="12"/>
      <c r="BY203" s="12"/>
      <c r="BZ203" s="12"/>
      <c r="CA203" s="12">
        <v>70999.33</v>
      </c>
      <c r="CB203" s="13"/>
      <c r="CC203" s="13"/>
      <c r="CD203" s="13"/>
      <c r="CE203" s="12">
        <v>2952</v>
      </c>
      <c r="CF203" s="12">
        <v>471</v>
      </c>
      <c r="CG203" s="13">
        <v>51250</v>
      </c>
      <c r="CH203" s="13">
        <v>132</v>
      </c>
      <c r="CI203" s="13">
        <v>14057</v>
      </c>
    </row>
    <row r="204" spans="2:87" x14ac:dyDescent="0.2">
      <c r="B204" s="5">
        <v>45977</v>
      </c>
      <c r="C204" s="12">
        <v>21</v>
      </c>
      <c r="D204" s="12">
        <v>1.7</v>
      </c>
      <c r="E204" s="12">
        <v>99558.222999999998</v>
      </c>
      <c r="F204" s="12">
        <v>0</v>
      </c>
      <c r="G204" s="12">
        <v>2116478.98</v>
      </c>
      <c r="H204" s="12">
        <v>-25756.28</v>
      </c>
      <c r="I204" s="12">
        <v>0</v>
      </c>
      <c r="J204" s="12">
        <v>2090722.7</v>
      </c>
      <c r="K204" s="12">
        <v>47000</v>
      </c>
      <c r="L204" s="12">
        <v>0</v>
      </c>
      <c r="M204" s="12">
        <v>355627.3</v>
      </c>
      <c r="N204" s="12">
        <v>2493350</v>
      </c>
      <c r="O204" s="12">
        <v>198782.95</v>
      </c>
      <c r="P204" s="12">
        <v>1891939.75</v>
      </c>
      <c r="Q204" s="12">
        <v>544596</v>
      </c>
      <c r="R204" s="12">
        <v>1347343.75</v>
      </c>
      <c r="S204" s="12">
        <v>0</v>
      </c>
      <c r="T204" s="12">
        <v>35</v>
      </c>
      <c r="U204" s="12">
        <v>0</v>
      </c>
      <c r="V204" s="12">
        <v>0</v>
      </c>
      <c r="W204" s="35">
        <v>46144.261731053244</v>
      </c>
      <c r="X204" s="12">
        <v>12</v>
      </c>
      <c r="Y204" s="12">
        <v>14</v>
      </c>
      <c r="Z204" s="12">
        <v>1453319.33</v>
      </c>
      <c r="AA204" s="12">
        <v>103808.523</v>
      </c>
      <c r="AB204" s="12">
        <v>325102</v>
      </c>
      <c r="AC204" s="12">
        <v>929434.38</v>
      </c>
      <c r="AD204" s="12">
        <v>6</v>
      </c>
      <c r="AE204" s="12">
        <v>6</v>
      </c>
      <c r="AF204" s="12">
        <v>591184.88</v>
      </c>
      <c r="AG204" s="12">
        <v>98530.812999999995</v>
      </c>
      <c r="AH204" s="12">
        <v>209639</v>
      </c>
      <c r="AI204" s="12">
        <v>381545.88</v>
      </c>
      <c r="AJ204" s="12">
        <v>1</v>
      </c>
      <c r="AK204" s="12">
        <v>1</v>
      </c>
      <c r="AL204" s="12">
        <v>46218.49</v>
      </c>
      <c r="AM204" s="12">
        <v>46218.49</v>
      </c>
      <c r="AN204" s="12">
        <v>9855</v>
      </c>
      <c r="AO204" s="12">
        <v>36363.49</v>
      </c>
      <c r="AP204" s="12">
        <v>588235.29</v>
      </c>
      <c r="AQ204" s="12">
        <v>4</v>
      </c>
      <c r="AR204" s="12">
        <v>147058.82199999999</v>
      </c>
      <c r="AS204" s="12">
        <v>154855</v>
      </c>
      <c r="AT204" s="12">
        <v>1460470.6</v>
      </c>
      <c r="AU204" s="12">
        <v>16</v>
      </c>
      <c r="AV204" s="12">
        <v>91279.411999999997</v>
      </c>
      <c r="AW204" s="12">
        <v>375170</v>
      </c>
      <c r="AX204" s="12">
        <v>42016.81</v>
      </c>
      <c r="AY204" s="12">
        <v>1</v>
      </c>
      <c r="AZ204" s="12">
        <v>42016.81</v>
      </c>
      <c r="BA204" s="12">
        <v>14571</v>
      </c>
      <c r="BB204" s="12"/>
      <c r="BC204" s="12"/>
      <c r="BD204" s="12"/>
      <c r="BE204" s="12"/>
      <c r="BF204" s="12">
        <v>177</v>
      </c>
      <c r="BG204" s="12">
        <v>0</v>
      </c>
      <c r="BH204" s="12">
        <v>0</v>
      </c>
      <c r="BI204" s="12">
        <v>70</v>
      </c>
      <c r="BJ204" s="12">
        <v>0</v>
      </c>
      <c r="BK204" s="12">
        <v>0</v>
      </c>
      <c r="BL204" s="12">
        <v>38</v>
      </c>
      <c r="BM204" s="12">
        <v>2</v>
      </c>
      <c r="BN204" s="12">
        <v>5.2631578947368418E-2</v>
      </c>
      <c r="BO204" s="12">
        <v>16</v>
      </c>
      <c r="BP204" s="12">
        <v>0</v>
      </c>
      <c r="BQ204" s="12">
        <v>0</v>
      </c>
      <c r="BR204" s="12">
        <v>68</v>
      </c>
      <c r="BS204" s="12">
        <v>2</v>
      </c>
      <c r="BT204" s="12">
        <v>2.9411764705882353E-2</v>
      </c>
      <c r="BU204" s="12">
        <v>369</v>
      </c>
      <c r="BV204" s="12">
        <v>4</v>
      </c>
      <c r="BW204" s="12">
        <v>1.0840108401084011E-2</v>
      </c>
      <c r="BX204" s="12"/>
      <c r="BY204" s="12"/>
      <c r="BZ204" s="12"/>
      <c r="CA204" s="12">
        <v>52109.17</v>
      </c>
      <c r="CB204" s="13"/>
      <c r="CC204" s="13"/>
      <c r="CD204" s="13"/>
      <c r="CE204" s="12">
        <v>2013</v>
      </c>
      <c r="CF204" s="12">
        <v>284</v>
      </c>
      <c r="CG204" s="13">
        <v>60587</v>
      </c>
      <c r="CH204" s="13">
        <v>148</v>
      </c>
      <c r="CI204" s="13">
        <v>16272</v>
      </c>
    </row>
    <row r="205" spans="2:87" x14ac:dyDescent="0.2">
      <c r="B205" s="5">
        <v>45978</v>
      </c>
      <c r="C205" s="12">
        <v>12</v>
      </c>
      <c r="D205" s="12">
        <v>3</v>
      </c>
      <c r="E205" s="12">
        <v>164440.476</v>
      </c>
      <c r="F205" s="12">
        <v>-5</v>
      </c>
      <c r="G205" s="12">
        <v>2208579.8199999998</v>
      </c>
      <c r="H205" s="12">
        <v>-35294.1</v>
      </c>
      <c r="I205" s="12">
        <v>-153781.53</v>
      </c>
      <c r="J205" s="12">
        <v>2019504.19</v>
      </c>
      <c r="K205" s="12">
        <v>50500</v>
      </c>
      <c r="L205" s="12">
        <v>0</v>
      </c>
      <c r="M205" s="12">
        <v>324995.81</v>
      </c>
      <c r="N205" s="12">
        <v>2395000</v>
      </c>
      <c r="O205" s="12">
        <v>136554.6</v>
      </c>
      <c r="P205" s="12">
        <v>1882949.59</v>
      </c>
      <c r="Q205" s="12">
        <v>630873</v>
      </c>
      <c r="R205" s="12">
        <v>1252076.5900000001</v>
      </c>
      <c r="S205" s="12">
        <v>0</v>
      </c>
      <c r="T205" s="12">
        <v>35</v>
      </c>
      <c r="U205" s="12">
        <v>0</v>
      </c>
      <c r="V205" s="12">
        <v>0</v>
      </c>
      <c r="W205" s="35">
        <v>46144.261731053244</v>
      </c>
      <c r="X205" s="12">
        <v>3</v>
      </c>
      <c r="Y205" s="12">
        <v>4</v>
      </c>
      <c r="Z205" s="12">
        <v>1215714.28</v>
      </c>
      <c r="AA205" s="12">
        <v>288592.43699999998</v>
      </c>
      <c r="AB205" s="12">
        <v>359860</v>
      </c>
      <c r="AC205" s="12">
        <v>738207.23</v>
      </c>
      <c r="AD205" s="12">
        <v>7</v>
      </c>
      <c r="AE205" s="12">
        <v>7</v>
      </c>
      <c r="AF205" s="12">
        <v>774378.15</v>
      </c>
      <c r="AG205" s="12">
        <v>112786.315</v>
      </c>
      <c r="AH205" s="12">
        <v>271013</v>
      </c>
      <c r="AI205" s="12">
        <v>513869.36</v>
      </c>
      <c r="AJ205" s="12">
        <v>1</v>
      </c>
      <c r="AK205" s="12">
        <v>1</v>
      </c>
      <c r="AL205" s="12">
        <v>29411.759999999998</v>
      </c>
      <c r="AM205" s="12">
        <v>29411.759999999998</v>
      </c>
      <c r="AN205" s="12">
        <v>0</v>
      </c>
      <c r="AO205" s="12">
        <v>0</v>
      </c>
      <c r="AP205" s="12">
        <v>294117.65000000002</v>
      </c>
      <c r="AQ205" s="12">
        <v>3</v>
      </c>
      <c r="AR205" s="12">
        <v>98039.216</v>
      </c>
      <c r="AS205" s="12">
        <v>74885</v>
      </c>
      <c r="AT205" s="12">
        <v>1674966.37</v>
      </c>
      <c r="AU205" s="12">
        <v>8</v>
      </c>
      <c r="AV205" s="12">
        <v>203593.48699999999</v>
      </c>
      <c r="AW205" s="12">
        <v>551248</v>
      </c>
      <c r="AX205" s="12">
        <v>50420.17</v>
      </c>
      <c r="AY205" s="12">
        <v>1</v>
      </c>
      <c r="AZ205" s="12">
        <v>50420.17</v>
      </c>
      <c r="BA205" s="12">
        <v>4740</v>
      </c>
      <c r="BB205" s="12"/>
      <c r="BC205" s="12"/>
      <c r="BD205" s="12"/>
      <c r="BE205" s="12"/>
      <c r="BF205" s="12">
        <v>407</v>
      </c>
      <c r="BG205" s="12">
        <v>0</v>
      </c>
      <c r="BH205" s="12">
        <v>0</v>
      </c>
      <c r="BI205" s="12">
        <v>97</v>
      </c>
      <c r="BJ205" s="12">
        <v>1</v>
      </c>
      <c r="BK205" s="12">
        <v>1.0309278350515464E-2</v>
      </c>
      <c r="BL205" s="12">
        <v>38</v>
      </c>
      <c r="BM205" s="12">
        <v>1</v>
      </c>
      <c r="BN205" s="12">
        <v>2.6315789473684209E-2</v>
      </c>
      <c r="BO205" s="12">
        <v>26</v>
      </c>
      <c r="BP205" s="12">
        <v>0</v>
      </c>
      <c r="BQ205" s="12">
        <v>0</v>
      </c>
      <c r="BR205" s="12">
        <v>84</v>
      </c>
      <c r="BS205" s="12">
        <v>2</v>
      </c>
      <c r="BT205" s="12">
        <v>2.3809523809523808E-2</v>
      </c>
      <c r="BU205" s="12">
        <v>652</v>
      </c>
      <c r="BV205" s="12">
        <v>4</v>
      </c>
      <c r="BW205" s="12">
        <v>6.1349693251533744E-3</v>
      </c>
      <c r="BX205" s="12"/>
      <c r="BY205" s="12"/>
      <c r="BZ205" s="12"/>
      <c r="CA205" s="12">
        <v>103601.42</v>
      </c>
      <c r="CB205" s="13"/>
      <c r="CC205" s="13"/>
      <c r="CD205" s="13"/>
      <c r="CE205" s="12">
        <v>4222</v>
      </c>
      <c r="CF205" s="12">
        <v>555</v>
      </c>
      <c r="CG205" s="13">
        <v>51140</v>
      </c>
      <c r="CH205" s="13">
        <v>128</v>
      </c>
      <c r="CI205" s="13">
        <v>16405</v>
      </c>
    </row>
    <row r="206" spans="2:87" x14ac:dyDescent="0.2">
      <c r="B206" s="5">
        <v>45979</v>
      </c>
      <c r="C206" s="12">
        <v>24</v>
      </c>
      <c r="D206" s="12">
        <v>2.4</v>
      </c>
      <c r="E206" s="12">
        <v>168837.88399999999</v>
      </c>
      <c r="F206" s="12">
        <v>0</v>
      </c>
      <c r="G206" s="12">
        <v>4215554.57</v>
      </c>
      <c r="H206" s="12">
        <v>-163445.34</v>
      </c>
      <c r="I206" s="12">
        <v>0</v>
      </c>
      <c r="J206" s="12">
        <v>4052109.23</v>
      </c>
      <c r="K206" s="12">
        <v>65000</v>
      </c>
      <c r="L206" s="12">
        <v>0</v>
      </c>
      <c r="M206" s="12">
        <v>764390.77</v>
      </c>
      <c r="N206" s="12">
        <v>4881500</v>
      </c>
      <c r="O206" s="12">
        <v>99159.65</v>
      </c>
      <c r="P206" s="12">
        <v>3952949.58</v>
      </c>
      <c r="Q206" s="12">
        <v>1168210</v>
      </c>
      <c r="R206" s="12">
        <v>2784739.58</v>
      </c>
      <c r="S206" s="12">
        <v>0</v>
      </c>
      <c r="T206" s="12">
        <v>58</v>
      </c>
      <c r="U206" s="12">
        <v>0</v>
      </c>
      <c r="V206" s="12">
        <v>0</v>
      </c>
      <c r="W206" s="35">
        <v>46144.261731053244</v>
      </c>
      <c r="X206" s="12">
        <v>15</v>
      </c>
      <c r="Y206" s="12">
        <v>15</v>
      </c>
      <c r="Z206" s="12">
        <v>2052941.17</v>
      </c>
      <c r="AA206" s="12">
        <v>136862.74400000001</v>
      </c>
      <c r="AB206" s="12">
        <v>494650</v>
      </c>
      <c r="AC206" s="12">
        <v>1496106.31</v>
      </c>
      <c r="AD206" s="12">
        <v>9</v>
      </c>
      <c r="AE206" s="12">
        <v>9</v>
      </c>
      <c r="AF206" s="12">
        <v>1999168.06</v>
      </c>
      <c r="AG206" s="12">
        <v>222129.78400000001</v>
      </c>
      <c r="AH206" s="12">
        <v>673560</v>
      </c>
      <c r="AI206" s="12">
        <v>1288633.27</v>
      </c>
      <c r="AJ206" s="12"/>
      <c r="AK206" s="12"/>
      <c r="AL206" s="12"/>
      <c r="AM206" s="12"/>
      <c r="AN206" s="12"/>
      <c r="AO206" s="12"/>
      <c r="AP206" s="12">
        <v>1916386.55</v>
      </c>
      <c r="AQ206" s="12">
        <v>8</v>
      </c>
      <c r="AR206" s="12">
        <v>239548.318</v>
      </c>
      <c r="AS206" s="12">
        <v>645722</v>
      </c>
      <c r="AT206" s="12">
        <v>2135722.6800000002</v>
      </c>
      <c r="AU206" s="12">
        <v>16</v>
      </c>
      <c r="AV206" s="12">
        <v>133482.66699999999</v>
      </c>
      <c r="AW206" s="12">
        <v>522488</v>
      </c>
      <c r="AX206" s="12"/>
      <c r="AY206" s="12"/>
      <c r="AZ206" s="12"/>
      <c r="BA206" s="12"/>
      <c r="BB206" s="12"/>
      <c r="BC206" s="12"/>
      <c r="BD206" s="12"/>
      <c r="BE206" s="12"/>
      <c r="BF206" s="12">
        <v>316</v>
      </c>
      <c r="BG206" s="12">
        <v>0</v>
      </c>
      <c r="BH206" s="12">
        <v>0</v>
      </c>
      <c r="BI206" s="12">
        <v>76</v>
      </c>
      <c r="BJ206" s="12">
        <v>2</v>
      </c>
      <c r="BK206" s="12">
        <v>2.6315789473684209E-2</v>
      </c>
      <c r="BL206" s="12">
        <v>48</v>
      </c>
      <c r="BM206" s="12">
        <v>2</v>
      </c>
      <c r="BN206" s="12">
        <v>4.1666666666666664E-2</v>
      </c>
      <c r="BO206" s="12">
        <v>11</v>
      </c>
      <c r="BP206" s="12">
        <v>0</v>
      </c>
      <c r="BQ206" s="12">
        <v>0</v>
      </c>
      <c r="BR206" s="12">
        <v>107</v>
      </c>
      <c r="BS206" s="12">
        <v>3</v>
      </c>
      <c r="BT206" s="12">
        <v>2.8037383177570093E-2</v>
      </c>
      <c r="BU206" s="12">
        <v>558</v>
      </c>
      <c r="BV206" s="12">
        <v>7</v>
      </c>
      <c r="BW206" s="12">
        <v>1.2544802867383513E-2</v>
      </c>
      <c r="BX206" s="12"/>
      <c r="BY206" s="12"/>
      <c r="BZ206" s="12"/>
      <c r="CA206" s="12">
        <v>71505.8</v>
      </c>
      <c r="CB206" s="13"/>
      <c r="CC206" s="13"/>
      <c r="CD206" s="13"/>
      <c r="CE206" s="12">
        <v>3090</v>
      </c>
      <c r="CF206" s="12">
        <v>449</v>
      </c>
      <c r="CG206" s="13">
        <v>51109</v>
      </c>
      <c r="CH206" s="13">
        <v>127</v>
      </c>
      <c r="CI206" s="13">
        <v>15235</v>
      </c>
    </row>
    <row r="207" spans="2:87" x14ac:dyDescent="0.2">
      <c r="B207" s="5">
        <v>45980</v>
      </c>
      <c r="C207" s="12">
        <v>23</v>
      </c>
      <c r="D207" s="12">
        <v>4</v>
      </c>
      <c r="E207" s="12">
        <v>245929.85</v>
      </c>
      <c r="F207" s="12">
        <v>-3</v>
      </c>
      <c r="G207" s="12">
        <v>6011008.21</v>
      </c>
      <c r="H207" s="12">
        <v>-354621.65</v>
      </c>
      <c r="I207" s="12">
        <v>-25901.3</v>
      </c>
      <c r="J207" s="12">
        <v>5630485.2599999998</v>
      </c>
      <c r="K207" s="12">
        <v>86500</v>
      </c>
      <c r="L207" s="12">
        <v>0</v>
      </c>
      <c r="M207" s="12">
        <v>1035592.2</v>
      </c>
      <c r="N207" s="12">
        <v>6752577.46</v>
      </c>
      <c r="O207" s="12">
        <v>92285.7</v>
      </c>
      <c r="P207" s="12">
        <v>5538199.5599999996</v>
      </c>
      <c r="Q207" s="12">
        <v>1662209</v>
      </c>
      <c r="R207" s="12">
        <v>3875990.56</v>
      </c>
      <c r="S207" s="12">
        <v>400000</v>
      </c>
      <c r="T207" s="12">
        <v>90</v>
      </c>
      <c r="U207" s="12">
        <v>0</v>
      </c>
      <c r="V207" s="12">
        <v>400000</v>
      </c>
      <c r="W207" s="35">
        <v>46144.261731053244</v>
      </c>
      <c r="X207" s="12">
        <v>8</v>
      </c>
      <c r="Y207" s="12">
        <v>8</v>
      </c>
      <c r="Z207" s="12">
        <v>2758737.36</v>
      </c>
      <c r="AA207" s="12">
        <v>347134.45299999998</v>
      </c>
      <c r="AB207" s="12">
        <v>735147</v>
      </c>
      <c r="AC207" s="12">
        <v>1953153.39</v>
      </c>
      <c r="AD207" s="12">
        <v>15</v>
      </c>
      <c r="AE207" s="12">
        <v>15</v>
      </c>
      <c r="AF207" s="12">
        <v>2871747.9</v>
      </c>
      <c r="AG207" s="12">
        <v>191954.06200000001</v>
      </c>
      <c r="AH207" s="12">
        <v>927062</v>
      </c>
      <c r="AI207" s="12">
        <v>1922837.17</v>
      </c>
      <c r="AJ207" s="12"/>
      <c r="AK207" s="12"/>
      <c r="AL207" s="12"/>
      <c r="AM207" s="12"/>
      <c r="AN207" s="12"/>
      <c r="AO207" s="12"/>
      <c r="AP207" s="12">
        <v>2466386.5499999998</v>
      </c>
      <c r="AQ207" s="12">
        <v>8</v>
      </c>
      <c r="AR207" s="12">
        <v>308298.31800000003</v>
      </c>
      <c r="AS207" s="12">
        <v>694659</v>
      </c>
      <c r="AT207" s="12">
        <v>3164098.71</v>
      </c>
      <c r="AU207" s="12">
        <v>15</v>
      </c>
      <c r="AV207" s="12">
        <v>212666.66699999999</v>
      </c>
      <c r="AW207" s="12">
        <v>967550</v>
      </c>
      <c r="AX207" s="12"/>
      <c r="AY207" s="12"/>
      <c r="AZ207" s="12"/>
      <c r="BA207" s="12"/>
      <c r="BB207" s="12"/>
      <c r="BC207" s="12"/>
      <c r="BD207" s="12"/>
      <c r="BE207" s="12"/>
      <c r="BF207" s="12">
        <v>267</v>
      </c>
      <c r="BG207" s="12">
        <v>0</v>
      </c>
      <c r="BH207" s="12">
        <v>0</v>
      </c>
      <c r="BI207" s="12">
        <v>52</v>
      </c>
      <c r="BJ207" s="12">
        <v>2</v>
      </c>
      <c r="BK207" s="12">
        <v>3.8461538461538464E-2</v>
      </c>
      <c r="BL207" s="12">
        <v>62</v>
      </c>
      <c r="BM207" s="12">
        <v>1</v>
      </c>
      <c r="BN207" s="12">
        <v>1.6129032258064516E-2</v>
      </c>
      <c r="BO207" s="12">
        <v>9</v>
      </c>
      <c r="BP207" s="12">
        <v>0</v>
      </c>
      <c r="BQ207" s="12">
        <v>0</v>
      </c>
      <c r="BR207" s="12">
        <v>98</v>
      </c>
      <c r="BS207" s="12">
        <v>6</v>
      </c>
      <c r="BT207" s="12">
        <v>6.1224489795918366E-2</v>
      </c>
      <c r="BU207" s="12">
        <v>488</v>
      </c>
      <c r="BV207" s="12">
        <v>9</v>
      </c>
      <c r="BW207" s="12">
        <v>1.8442622950819672E-2</v>
      </c>
      <c r="BX207" s="12"/>
      <c r="BY207" s="12"/>
      <c r="BZ207" s="12"/>
      <c r="CA207" s="12">
        <v>59265.39</v>
      </c>
      <c r="CB207" s="13"/>
      <c r="CC207" s="13"/>
      <c r="CD207" s="13"/>
      <c r="CE207" s="12">
        <v>2568</v>
      </c>
      <c r="CF207" s="12">
        <v>358</v>
      </c>
      <c r="CG207" s="13">
        <v>50960</v>
      </c>
      <c r="CH207" s="13">
        <v>103</v>
      </c>
      <c r="CI207" s="13">
        <v>13910</v>
      </c>
    </row>
    <row r="208" spans="2:87" x14ac:dyDescent="0.2">
      <c r="B208" s="5">
        <v>45981</v>
      </c>
      <c r="C208" s="12">
        <v>43</v>
      </c>
      <c r="D208" s="12">
        <v>3.7</v>
      </c>
      <c r="E208" s="12">
        <v>212093.024</v>
      </c>
      <c r="F208" s="12">
        <v>-10</v>
      </c>
      <c r="G208" s="12">
        <v>9380924.3300000001</v>
      </c>
      <c r="H208" s="12">
        <v>-260924.29</v>
      </c>
      <c r="I208" s="12">
        <v>-51955.68</v>
      </c>
      <c r="J208" s="12">
        <v>9068044.3599999994</v>
      </c>
      <c r="K208" s="12">
        <v>130000</v>
      </c>
      <c r="L208" s="12">
        <v>0</v>
      </c>
      <c r="M208" s="12">
        <v>1709628.38</v>
      </c>
      <c r="N208" s="12">
        <v>10907672.74</v>
      </c>
      <c r="O208" s="12">
        <v>592436.96</v>
      </c>
      <c r="P208" s="12">
        <v>8475607.4000000004</v>
      </c>
      <c r="Q208" s="12">
        <v>2395480</v>
      </c>
      <c r="R208" s="12">
        <v>6080127.4000000004</v>
      </c>
      <c r="S208" s="12">
        <v>0</v>
      </c>
      <c r="T208" s="12">
        <v>149</v>
      </c>
      <c r="U208" s="12">
        <v>0</v>
      </c>
      <c r="V208" s="12">
        <v>0</v>
      </c>
      <c r="W208" s="35">
        <v>46144.261731053244</v>
      </c>
      <c r="X208" s="12">
        <v>22</v>
      </c>
      <c r="Y208" s="12">
        <v>26</v>
      </c>
      <c r="Z208" s="12">
        <v>6320840.3499999996</v>
      </c>
      <c r="AA208" s="12">
        <v>243109.24400000001</v>
      </c>
      <c r="AB208" s="12">
        <v>1493820</v>
      </c>
      <c r="AC208" s="12">
        <v>4322818.68</v>
      </c>
      <c r="AD208" s="12">
        <v>16</v>
      </c>
      <c r="AE208" s="12">
        <v>16</v>
      </c>
      <c r="AF208" s="12">
        <v>2717792.25</v>
      </c>
      <c r="AG208" s="12">
        <v>173109.245</v>
      </c>
      <c r="AH208" s="12">
        <v>901660</v>
      </c>
      <c r="AI208" s="12">
        <v>1757308.72</v>
      </c>
      <c r="AJ208" s="12">
        <v>1</v>
      </c>
      <c r="AK208" s="12">
        <v>1</v>
      </c>
      <c r="AL208" s="12">
        <v>29411.759999999998</v>
      </c>
      <c r="AM208" s="12">
        <v>29411.759999999998</v>
      </c>
      <c r="AN208" s="12">
        <v>0</v>
      </c>
      <c r="AO208" s="12">
        <v>0</v>
      </c>
      <c r="AP208" s="12">
        <v>2681512.63</v>
      </c>
      <c r="AQ208" s="12">
        <v>13</v>
      </c>
      <c r="AR208" s="12">
        <v>206270.20199999999</v>
      </c>
      <c r="AS208" s="12">
        <v>769763</v>
      </c>
      <c r="AT208" s="12">
        <v>5886531.7300000004</v>
      </c>
      <c r="AU208" s="12">
        <v>29</v>
      </c>
      <c r="AV208" s="12">
        <v>204775.427</v>
      </c>
      <c r="AW208" s="12">
        <v>1525955</v>
      </c>
      <c r="AX208" s="12">
        <v>500000</v>
      </c>
      <c r="AY208" s="12">
        <v>1</v>
      </c>
      <c r="AZ208" s="12">
        <v>500000</v>
      </c>
      <c r="BA208" s="12">
        <v>99762</v>
      </c>
      <c r="BB208" s="12"/>
      <c r="BC208" s="12"/>
      <c r="BD208" s="12"/>
      <c r="BE208" s="12"/>
      <c r="BF208" s="12">
        <v>252</v>
      </c>
      <c r="BG208" s="12">
        <v>0</v>
      </c>
      <c r="BH208" s="12">
        <v>0</v>
      </c>
      <c r="BI208" s="12">
        <v>74</v>
      </c>
      <c r="BJ208" s="12">
        <v>1</v>
      </c>
      <c r="BK208" s="12">
        <v>1.3513513513513514E-2</v>
      </c>
      <c r="BL208" s="12">
        <v>51</v>
      </c>
      <c r="BM208" s="12">
        <v>2</v>
      </c>
      <c r="BN208" s="12">
        <v>3.9215686274509803E-2</v>
      </c>
      <c r="BO208" s="12">
        <v>10</v>
      </c>
      <c r="BP208" s="12">
        <v>0</v>
      </c>
      <c r="BQ208" s="12">
        <v>0</v>
      </c>
      <c r="BR208" s="12">
        <v>177</v>
      </c>
      <c r="BS208" s="12">
        <v>13</v>
      </c>
      <c r="BT208" s="12">
        <v>7.3446327683615822E-2</v>
      </c>
      <c r="BU208" s="12">
        <v>564</v>
      </c>
      <c r="BV208" s="12">
        <v>16</v>
      </c>
      <c r="BW208" s="12">
        <v>2.8368794326241134E-2</v>
      </c>
      <c r="BX208" s="12"/>
      <c r="BY208" s="12"/>
      <c r="BZ208" s="12"/>
      <c r="CA208" s="12">
        <v>63340.31</v>
      </c>
      <c r="CB208" s="13"/>
      <c r="CC208" s="13"/>
      <c r="CD208" s="13"/>
      <c r="CE208" s="12">
        <v>2484</v>
      </c>
      <c r="CF208" s="12">
        <v>351</v>
      </c>
      <c r="CG208" s="13">
        <v>49180</v>
      </c>
      <c r="CH208" s="13">
        <v>122</v>
      </c>
      <c r="CI208" s="13">
        <v>13232</v>
      </c>
    </row>
    <row r="209" spans="2:87" x14ac:dyDescent="0.2">
      <c r="B209" s="5">
        <v>45982</v>
      </c>
      <c r="C209" s="12">
        <v>18</v>
      </c>
      <c r="D209" s="12">
        <v>3.1</v>
      </c>
      <c r="E209" s="12">
        <v>192061.62400000001</v>
      </c>
      <c r="F209" s="12">
        <v>0</v>
      </c>
      <c r="G209" s="12">
        <v>3552739.44</v>
      </c>
      <c r="H209" s="12">
        <v>-95630.2</v>
      </c>
      <c r="I209" s="12">
        <v>0</v>
      </c>
      <c r="J209" s="12">
        <v>3457109.24</v>
      </c>
      <c r="K209" s="12">
        <v>41500</v>
      </c>
      <c r="L209" s="12">
        <v>0</v>
      </c>
      <c r="M209" s="12">
        <v>637090.76</v>
      </c>
      <c r="N209" s="12">
        <v>4135700</v>
      </c>
      <c r="O209" s="12">
        <v>133411.76</v>
      </c>
      <c r="P209" s="12">
        <v>3323697.48</v>
      </c>
      <c r="Q209" s="12">
        <v>1060717</v>
      </c>
      <c r="R209" s="12">
        <v>2262980.48</v>
      </c>
      <c r="S209" s="12">
        <v>0</v>
      </c>
      <c r="T209" s="12">
        <v>56</v>
      </c>
      <c r="U209" s="12">
        <v>0</v>
      </c>
      <c r="V209" s="12">
        <v>0</v>
      </c>
      <c r="W209" s="35">
        <v>46144.261731053244</v>
      </c>
      <c r="X209" s="12">
        <v>7</v>
      </c>
      <c r="Y209" s="12">
        <v>8</v>
      </c>
      <c r="Z209" s="12">
        <v>2116974.79</v>
      </c>
      <c r="AA209" s="12">
        <v>264621.848</v>
      </c>
      <c r="AB209" s="12">
        <v>718084</v>
      </c>
      <c r="AC209" s="12">
        <v>1398890.79</v>
      </c>
      <c r="AD209" s="12">
        <v>10</v>
      </c>
      <c r="AE209" s="12">
        <v>10</v>
      </c>
      <c r="AF209" s="12">
        <v>1340134.45</v>
      </c>
      <c r="AG209" s="12">
        <v>134013.44500000001</v>
      </c>
      <c r="AH209" s="12">
        <v>342633</v>
      </c>
      <c r="AI209" s="12">
        <v>864089.69</v>
      </c>
      <c r="AJ209" s="12"/>
      <c r="AK209" s="12"/>
      <c r="AL209" s="12"/>
      <c r="AM209" s="12"/>
      <c r="AN209" s="12"/>
      <c r="AO209" s="12"/>
      <c r="AP209" s="12">
        <v>2046016.8</v>
      </c>
      <c r="AQ209" s="12">
        <v>13</v>
      </c>
      <c r="AR209" s="12">
        <v>157385.90700000001</v>
      </c>
      <c r="AS209" s="12">
        <v>561087</v>
      </c>
      <c r="AT209" s="12">
        <v>1411092.44</v>
      </c>
      <c r="AU209" s="12">
        <v>5</v>
      </c>
      <c r="AV209" s="12">
        <v>282218.48800000001</v>
      </c>
      <c r="AW209" s="12">
        <v>499630</v>
      </c>
      <c r="AX209" s="12"/>
      <c r="AY209" s="12"/>
      <c r="AZ209" s="12"/>
      <c r="BA209" s="12"/>
      <c r="BB209" s="12"/>
      <c r="BC209" s="12"/>
      <c r="BD209" s="12"/>
      <c r="BE209" s="12"/>
      <c r="BF209" s="12">
        <v>429</v>
      </c>
      <c r="BG209" s="12">
        <v>0</v>
      </c>
      <c r="BH209" s="12">
        <v>0</v>
      </c>
      <c r="BI209" s="12">
        <v>70</v>
      </c>
      <c r="BJ209" s="12">
        <v>3</v>
      </c>
      <c r="BK209" s="12">
        <v>4.2857142857142858E-2</v>
      </c>
      <c r="BL209" s="12">
        <v>38</v>
      </c>
      <c r="BM209" s="12">
        <v>0</v>
      </c>
      <c r="BN209" s="12">
        <v>0</v>
      </c>
      <c r="BO209" s="12">
        <v>42</v>
      </c>
      <c r="BP209" s="12">
        <v>0</v>
      </c>
      <c r="BQ209" s="12">
        <v>0</v>
      </c>
      <c r="BR209" s="12">
        <v>122</v>
      </c>
      <c r="BS209" s="12">
        <v>1</v>
      </c>
      <c r="BT209" s="12">
        <v>8.1967213114754103E-3</v>
      </c>
      <c r="BU209" s="12">
        <v>701</v>
      </c>
      <c r="BV209" s="12">
        <v>4</v>
      </c>
      <c r="BW209" s="12">
        <v>5.7061340941512127E-3</v>
      </c>
      <c r="BX209" s="12"/>
      <c r="BY209" s="12"/>
      <c r="BZ209" s="12"/>
      <c r="CA209" s="12">
        <v>72353.679999999993</v>
      </c>
      <c r="CB209" s="13"/>
      <c r="CC209" s="13"/>
      <c r="CD209" s="13"/>
      <c r="CE209" s="12">
        <v>4710</v>
      </c>
      <c r="CF209" s="12">
        <v>604</v>
      </c>
      <c r="CG209" s="13">
        <v>48158</v>
      </c>
      <c r="CH209" s="13">
        <v>131</v>
      </c>
      <c r="CI209" s="13">
        <v>13300</v>
      </c>
    </row>
    <row r="210" spans="2:87" x14ac:dyDescent="0.2">
      <c r="B210" s="5">
        <v>45983</v>
      </c>
      <c r="C210" s="12">
        <v>28</v>
      </c>
      <c r="D210" s="12">
        <v>2.6</v>
      </c>
      <c r="E210" s="12">
        <v>141500.90100000001</v>
      </c>
      <c r="F210" s="12">
        <v>0</v>
      </c>
      <c r="G210" s="12">
        <v>3974630.26</v>
      </c>
      <c r="H210" s="12">
        <v>-12605.03</v>
      </c>
      <c r="I210" s="12">
        <v>0</v>
      </c>
      <c r="J210" s="12">
        <v>3962025.23</v>
      </c>
      <c r="K210" s="12">
        <v>242000</v>
      </c>
      <c r="L210" s="12">
        <v>0</v>
      </c>
      <c r="M210" s="12">
        <v>676974.77</v>
      </c>
      <c r="N210" s="12">
        <v>4881000</v>
      </c>
      <c r="O210" s="12">
        <v>323529.40999999997</v>
      </c>
      <c r="P210" s="12">
        <v>3638495.82</v>
      </c>
      <c r="Q210" s="12">
        <v>1016434</v>
      </c>
      <c r="R210" s="12">
        <v>2622061.8199999998</v>
      </c>
      <c r="S210" s="12">
        <v>0</v>
      </c>
      <c r="T210" s="12">
        <v>73</v>
      </c>
      <c r="U210" s="12">
        <v>0</v>
      </c>
      <c r="V210" s="12">
        <v>0</v>
      </c>
      <c r="W210" s="35">
        <v>46144.261731053244</v>
      </c>
      <c r="X210" s="12">
        <v>8</v>
      </c>
      <c r="Y210" s="12">
        <v>9</v>
      </c>
      <c r="Z210" s="12">
        <v>1663705.89</v>
      </c>
      <c r="AA210" s="12">
        <v>184856.21</v>
      </c>
      <c r="AB210" s="12">
        <v>495082</v>
      </c>
      <c r="AC210" s="12">
        <v>1168623.8899999999</v>
      </c>
      <c r="AD210" s="12">
        <v>15</v>
      </c>
      <c r="AE210" s="12">
        <v>15</v>
      </c>
      <c r="AF210" s="12">
        <v>2109243.7000000002</v>
      </c>
      <c r="AG210" s="12">
        <v>140616.24600000001</v>
      </c>
      <c r="AH210" s="12">
        <v>482355</v>
      </c>
      <c r="AI210" s="12">
        <v>1362182.82</v>
      </c>
      <c r="AJ210" s="12">
        <v>1</v>
      </c>
      <c r="AK210" s="12">
        <v>4</v>
      </c>
      <c r="AL210" s="12">
        <v>189075.64</v>
      </c>
      <c r="AM210" s="12">
        <v>47268.91</v>
      </c>
      <c r="AN210" s="12">
        <v>38997</v>
      </c>
      <c r="AO210" s="12">
        <v>91255.11</v>
      </c>
      <c r="AP210" s="12">
        <v>592436.98</v>
      </c>
      <c r="AQ210" s="12">
        <v>5</v>
      </c>
      <c r="AR210" s="12">
        <v>118487.39599999999</v>
      </c>
      <c r="AS210" s="12">
        <v>167036</v>
      </c>
      <c r="AT210" s="12">
        <v>3369588.25</v>
      </c>
      <c r="AU210" s="12">
        <v>23</v>
      </c>
      <c r="AV210" s="12">
        <v>146503.83600000001</v>
      </c>
      <c r="AW210" s="12">
        <v>849398</v>
      </c>
      <c r="AX210" s="12"/>
      <c r="AY210" s="12"/>
      <c r="AZ210" s="12"/>
      <c r="BA210" s="12"/>
      <c r="BB210" s="12"/>
      <c r="BC210" s="12"/>
      <c r="BD210" s="12"/>
      <c r="BE210" s="12"/>
      <c r="BF210" s="12">
        <v>251</v>
      </c>
      <c r="BG210" s="12">
        <v>1</v>
      </c>
      <c r="BH210" s="12">
        <v>3.9840637450199202E-3</v>
      </c>
      <c r="BI210" s="12">
        <v>68</v>
      </c>
      <c r="BJ210" s="12">
        <v>2</v>
      </c>
      <c r="BK210" s="12">
        <v>2.9411764705882353E-2</v>
      </c>
      <c r="BL210" s="12">
        <v>41</v>
      </c>
      <c r="BM210" s="12">
        <v>0</v>
      </c>
      <c r="BN210" s="12">
        <v>0</v>
      </c>
      <c r="BO210" s="12">
        <v>14</v>
      </c>
      <c r="BP210" s="12">
        <v>0</v>
      </c>
      <c r="BQ210" s="12">
        <v>0</v>
      </c>
      <c r="BR210" s="12">
        <v>92</v>
      </c>
      <c r="BS210" s="12">
        <v>1</v>
      </c>
      <c r="BT210" s="12">
        <v>1.0869565217391304E-2</v>
      </c>
      <c r="BU210" s="12">
        <v>466</v>
      </c>
      <c r="BV210" s="12">
        <v>4</v>
      </c>
      <c r="BW210" s="12">
        <v>8.5836909871244635E-3</v>
      </c>
      <c r="BX210" s="12"/>
      <c r="BY210" s="12"/>
      <c r="BZ210" s="12"/>
      <c r="CA210" s="12">
        <v>62387.79</v>
      </c>
      <c r="CB210" s="13"/>
      <c r="CC210" s="13"/>
      <c r="CD210" s="13"/>
      <c r="CE210" s="12">
        <v>2604</v>
      </c>
      <c r="CF210" s="12">
        <v>364</v>
      </c>
      <c r="CG210" s="13">
        <v>51165</v>
      </c>
      <c r="CH210" s="13">
        <v>102</v>
      </c>
      <c r="CI210" s="13">
        <v>13250</v>
      </c>
    </row>
    <row r="211" spans="2:87" x14ac:dyDescent="0.2">
      <c r="B211" s="5">
        <v>45984</v>
      </c>
      <c r="C211" s="12">
        <v>26</v>
      </c>
      <c r="D211" s="12">
        <v>2.7</v>
      </c>
      <c r="E211" s="12">
        <v>217576.6</v>
      </c>
      <c r="F211" s="12">
        <v>0</v>
      </c>
      <c r="G211" s="12">
        <v>6121067.1900000004</v>
      </c>
      <c r="H211" s="12">
        <v>-245588.2</v>
      </c>
      <c r="I211" s="12">
        <v>0</v>
      </c>
      <c r="J211" s="12">
        <v>5875478.9900000002</v>
      </c>
      <c r="K211" s="12">
        <v>18000</v>
      </c>
      <c r="L211" s="12">
        <v>0</v>
      </c>
      <c r="M211" s="12">
        <v>1058771.01</v>
      </c>
      <c r="N211" s="12">
        <v>6952250</v>
      </c>
      <c r="O211" s="12">
        <v>29411.759999999998</v>
      </c>
      <c r="P211" s="12">
        <v>5846067.2300000004</v>
      </c>
      <c r="Q211" s="12">
        <v>1992328</v>
      </c>
      <c r="R211" s="12">
        <v>3853739.23</v>
      </c>
      <c r="S211" s="12">
        <v>0</v>
      </c>
      <c r="T211" s="12">
        <v>72</v>
      </c>
      <c r="U211" s="12">
        <v>0</v>
      </c>
      <c r="V211" s="12">
        <v>0</v>
      </c>
      <c r="W211" s="35">
        <v>46144.261731053244</v>
      </c>
      <c r="X211" s="12">
        <v>14</v>
      </c>
      <c r="Y211" s="12">
        <v>14</v>
      </c>
      <c r="Z211" s="12">
        <v>2609008.41</v>
      </c>
      <c r="AA211" s="12">
        <v>186357.74299999999</v>
      </c>
      <c r="AB211" s="12">
        <v>959093</v>
      </c>
      <c r="AC211" s="12">
        <v>1649915.41</v>
      </c>
      <c r="AD211" s="12">
        <v>12</v>
      </c>
      <c r="AE211" s="12">
        <v>12</v>
      </c>
      <c r="AF211" s="12">
        <v>3266470.58</v>
      </c>
      <c r="AG211" s="12">
        <v>253998.59899999999</v>
      </c>
      <c r="AH211" s="12">
        <v>1033235</v>
      </c>
      <c r="AI211" s="12">
        <v>2203823.8199999998</v>
      </c>
      <c r="AJ211" s="12"/>
      <c r="AK211" s="12"/>
      <c r="AL211" s="12"/>
      <c r="AM211" s="12"/>
      <c r="AN211" s="12"/>
      <c r="AO211" s="12"/>
      <c r="AP211" s="12">
        <v>1092436.97</v>
      </c>
      <c r="AQ211" s="12">
        <v>4</v>
      </c>
      <c r="AR211" s="12">
        <v>218487.39499999999</v>
      </c>
      <c r="AS211" s="12">
        <v>369282</v>
      </c>
      <c r="AT211" s="12">
        <v>4783042.0199999996</v>
      </c>
      <c r="AU211" s="12">
        <v>22</v>
      </c>
      <c r="AV211" s="12">
        <v>217411</v>
      </c>
      <c r="AW211" s="12">
        <v>1623046</v>
      </c>
      <c r="AX211" s="12"/>
      <c r="AY211" s="12"/>
      <c r="AZ211" s="12"/>
      <c r="BA211" s="12"/>
      <c r="BB211" s="12"/>
      <c r="BC211" s="12"/>
      <c r="BD211" s="12"/>
      <c r="BE211" s="12"/>
      <c r="BF211" s="12">
        <v>290</v>
      </c>
      <c r="BG211" s="12">
        <v>0</v>
      </c>
      <c r="BH211" s="12">
        <v>0</v>
      </c>
      <c r="BI211" s="12">
        <v>93</v>
      </c>
      <c r="BJ211" s="12">
        <v>0</v>
      </c>
      <c r="BK211" s="12">
        <v>0</v>
      </c>
      <c r="BL211" s="12">
        <v>36</v>
      </c>
      <c r="BM211" s="12">
        <v>2</v>
      </c>
      <c r="BN211" s="12">
        <v>5.5555555555555552E-2</v>
      </c>
      <c r="BO211" s="12">
        <v>18</v>
      </c>
      <c r="BP211" s="12">
        <v>0</v>
      </c>
      <c r="BQ211" s="12">
        <v>0</v>
      </c>
      <c r="BR211" s="12">
        <v>79</v>
      </c>
      <c r="BS211" s="12">
        <v>1</v>
      </c>
      <c r="BT211" s="12">
        <v>1.2658227848101266E-2</v>
      </c>
      <c r="BU211" s="12">
        <v>516</v>
      </c>
      <c r="BV211" s="12">
        <v>3</v>
      </c>
      <c r="BW211" s="12">
        <v>5.8139534883720929E-3</v>
      </c>
      <c r="BX211" s="12"/>
      <c r="BY211" s="12"/>
      <c r="BZ211" s="12"/>
      <c r="CA211" s="12">
        <v>68658.55</v>
      </c>
      <c r="CB211" s="13"/>
      <c r="CC211" s="13"/>
      <c r="CD211" s="13"/>
      <c r="CE211" s="12">
        <v>4037</v>
      </c>
      <c r="CF211" s="12">
        <v>379</v>
      </c>
      <c r="CG211" s="13">
        <v>56505</v>
      </c>
      <c r="CH211" s="13">
        <v>132</v>
      </c>
      <c r="CI211" s="13">
        <v>14562</v>
      </c>
    </row>
    <row r="212" spans="2:87" x14ac:dyDescent="0.2">
      <c r="B212" s="5">
        <v>45985</v>
      </c>
      <c r="C212" s="12">
        <v>42</v>
      </c>
      <c r="D212" s="12">
        <v>3.6</v>
      </c>
      <c r="E212" s="12">
        <v>255534.01300000001</v>
      </c>
      <c r="F212" s="12">
        <v>0</v>
      </c>
      <c r="G212" s="12">
        <v>11918352.880000001</v>
      </c>
      <c r="H212" s="12">
        <v>-1185924.3</v>
      </c>
      <c r="I212" s="12">
        <v>0</v>
      </c>
      <c r="J212" s="12">
        <v>10732428.58</v>
      </c>
      <c r="K212" s="12">
        <v>133501</v>
      </c>
      <c r="L212" s="12">
        <v>0</v>
      </c>
      <c r="M212" s="12">
        <v>1975321.42</v>
      </c>
      <c r="N212" s="12">
        <v>12841251</v>
      </c>
      <c r="O212" s="12">
        <v>218487.39</v>
      </c>
      <c r="P212" s="12">
        <v>10513941.189999999</v>
      </c>
      <c r="Q212" s="12">
        <v>3252421</v>
      </c>
      <c r="R212" s="12">
        <v>7261520.1900000004</v>
      </c>
      <c r="S212" s="12">
        <v>0</v>
      </c>
      <c r="T212" s="12">
        <v>151</v>
      </c>
      <c r="U212" s="12">
        <v>0</v>
      </c>
      <c r="V212" s="12">
        <v>0</v>
      </c>
      <c r="W212" s="35">
        <v>46144.261731053244</v>
      </c>
      <c r="X212" s="12">
        <v>17</v>
      </c>
      <c r="Y212" s="12">
        <v>17</v>
      </c>
      <c r="Z212" s="12">
        <v>3146638.65</v>
      </c>
      <c r="AA212" s="12">
        <v>185096.391</v>
      </c>
      <c r="AB212" s="12">
        <v>930736</v>
      </c>
      <c r="AC212" s="12">
        <v>2215902.65</v>
      </c>
      <c r="AD212" s="12">
        <v>25</v>
      </c>
      <c r="AE212" s="12">
        <v>25</v>
      </c>
      <c r="AF212" s="12">
        <v>7585789.9299999997</v>
      </c>
      <c r="AG212" s="12">
        <v>303431.59700000001</v>
      </c>
      <c r="AH212" s="12">
        <v>2321685</v>
      </c>
      <c r="AI212" s="12">
        <v>5045617.54</v>
      </c>
      <c r="AJ212" s="12"/>
      <c r="AK212" s="12"/>
      <c r="AL212" s="12"/>
      <c r="AM212" s="12"/>
      <c r="AN212" s="12"/>
      <c r="AO212" s="12"/>
      <c r="AP212" s="12">
        <v>3213655.47</v>
      </c>
      <c r="AQ212" s="12">
        <v>14</v>
      </c>
      <c r="AR212" s="12">
        <v>229546.81899999999</v>
      </c>
      <c r="AS212" s="12">
        <v>866914</v>
      </c>
      <c r="AT212" s="12">
        <v>7023815.1299999999</v>
      </c>
      <c r="AU212" s="12">
        <v>27</v>
      </c>
      <c r="AV212" s="12">
        <v>260141.30100000001</v>
      </c>
      <c r="AW212" s="12">
        <v>2247455</v>
      </c>
      <c r="AX212" s="12"/>
      <c r="AY212" s="12"/>
      <c r="AZ212" s="12"/>
      <c r="BA212" s="12"/>
      <c r="BB212" s="12"/>
      <c r="BC212" s="12"/>
      <c r="BD212" s="12"/>
      <c r="BE212" s="12"/>
      <c r="BF212" s="12">
        <v>303</v>
      </c>
      <c r="BG212" s="12">
        <v>1</v>
      </c>
      <c r="BH212" s="12">
        <v>3.3003300330033004E-3</v>
      </c>
      <c r="BI212" s="12">
        <v>86</v>
      </c>
      <c r="BJ212" s="12">
        <v>2</v>
      </c>
      <c r="BK212" s="12">
        <v>2.3255813953488372E-2</v>
      </c>
      <c r="BL212" s="12">
        <v>75</v>
      </c>
      <c r="BM212" s="12">
        <v>4</v>
      </c>
      <c r="BN212" s="12">
        <v>5.3333333333333337E-2</v>
      </c>
      <c r="BO212" s="12">
        <v>20</v>
      </c>
      <c r="BP212" s="12">
        <v>0</v>
      </c>
      <c r="BQ212" s="12">
        <v>0</v>
      </c>
      <c r="BR212" s="12">
        <v>135</v>
      </c>
      <c r="BS212" s="12">
        <v>9</v>
      </c>
      <c r="BT212" s="12">
        <v>6.6666666666666666E-2</v>
      </c>
      <c r="BU212" s="12">
        <v>619</v>
      </c>
      <c r="BV212" s="12">
        <v>16</v>
      </c>
      <c r="BW212" s="12">
        <v>2.5848142164781908E-2</v>
      </c>
      <c r="BX212" s="12"/>
      <c r="BY212" s="12"/>
      <c r="BZ212" s="12"/>
      <c r="CA212" s="12">
        <v>87322.65</v>
      </c>
      <c r="CB212" s="13"/>
      <c r="CC212" s="13"/>
      <c r="CD212" s="13"/>
      <c r="CE212" s="12">
        <v>4226</v>
      </c>
      <c r="CF212" s="12">
        <v>468</v>
      </c>
      <c r="CG212" s="13">
        <v>53127</v>
      </c>
      <c r="CH212" s="13">
        <v>114</v>
      </c>
      <c r="CI212" s="13">
        <v>13342</v>
      </c>
    </row>
    <row r="213" spans="2:87" x14ac:dyDescent="0.2">
      <c r="B213" s="5">
        <v>45986</v>
      </c>
      <c r="C213" s="12">
        <v>29</v>
      </c>
      <c r="D213" s="12">
        <v>4.9000000000000004</v>
      </c>
      <c r="E213" s="12">
        <v>345882.64299999998</v>
      </c>
      <c r="F213" s="12">
        <v>0</v>
      </c>
      <c r="G213" s="12">
        <v>11232403.050000001</v>
      </c>
      <c r="H213" s="12">
        <v>-1201806.3999999999</v>
      </c>
      <c r="I213" s="12">
        <v>0</v>
      </c>
      <c r="J213" s="12">
        <v>10030596.65</v>
      </c>
      <c r="K213" s="12">
        <v>81000</v>
      </c>
      <c r="L213" s="12">
        <v>0</v>
      </c>
      <c r="M213" s="12">
        <v>1895553.35</v>
      </c>
      <c r="N213" s="12">
        <v>12007150</v>
      </c>
      <c r="O213" s="12">
        <v>54000</v>
      </c>
      <c r="P213" s="12">
        <v>9976596.6500000004</v>
      </c>
      <c r="Q213" s="12">
        <v>3182614</v>
      </c>
      <c r="R213" s="12">
        <v>6793982.6500000004</v>
      </c>
      <c r="S213" s="12">
        <v>0</v>
      </c>
      <c r="T213" s="12">
        <v>142</v>
      </c>
      <c r="U213" s="12">
        <v>0</v>
      </c>
      <c r="V213" s="12">
        <v>0</v>
      </c>
      <c r="W213" s="35">
        <v>46144.261731053244</v>
      </c>
      <c r="X213" s="12">
        <v>13</v>
      </c>
      <c r="Y213" s="12">
        <v>13</v>
      </c>
      <c r="Z213" s="12">
        <v>5433949.5800000001</v>
      </c>
      <c r="AA213" s="12">
        <v>417996.12099999998</v>
      </c>
      <c r="AB213" s="12">
        <v>1926801</v>
      </c>
      <c r="AC213" s="12">
        <v>3507148.58</v>
      </c>
      <c r="AD213" s="12">
        <v>14</v>
      </c>
      <c r="AE213" s="12">
        <v>14</v>
      </c>
      <c r="AF213" s="12">
        <v>4457991.6100000003</v>
      </c>
      <c r="AG213" s="12">
        <v>318427.97200000001</v>
      </c>
      <c r="AH213" s="12">
        <v>1223129</v>
      </c>
      <c r="AI213" s="12">
        <v>3180862.61</v>
      </c>
      <c r="AJ213" s="12">
        <v>1</v>
      </c>
      <c r="AK213" s="12">
        <v>2</v>
      </c>
      <c r="AL213" s="12">
        <v>138655.46</v>
      </c>
      <c r="AM213" s="12">
        <v>69327.73</v>
      </c>
      <c r="AN213" s="12">
        <v>32684</v>
      </c>
      <c r="AO213" s="12">
        <v>105971.46</v>
      </c>
      <c r="AP213" s="12">
        <v>1713991.6</v>
      </c>
      <c r="AQ213" s="12">
        <v>9</v>
      </c>
      <c r="AR213" s="12">
        <v>190443.511</v>
      </c>
      <c r="AS213" s="12">
        <v>548112</v>
      </c>
      <c r="AT213" s="12">
        <v>8316605.0499999998</v>
      </c>
      <c r="AU213" s="12">
        <v>20</v>
      </c>
      <c r="AV213" s="12">
        <v>415830.25199999998</v>
      </c>
      <c r="AW213" s="12">
        <v>2634502</v>
      </c>
      <c r="AX213" s="12"/>
      <c r="AY213" s="12"/>
      <c r="AZ213" s="12"/>
      <c r="BA213" s="12"/>
      <c r="BB213" s="12"/>
      <c r="BC213" s="12"/>
      <c r="BD213" s="12"/>
      <c r="BE213" s="12"/>
      <c r="BF213" s="12">
        <v>247</v>
      </c>
      <c r="BG213" s="12">
        <v>0</v>
      </c>
      <c r="BH213" s="12">
        <v>0</v>
      </c>
      <c r="BI213" s="12">
        <v>73</v>
      </c>
      <c r="BJ213" s="12">
        <v>3</v>
      </c>
      <c r="BK213" s="12">
        <v>4.1095890410958902E-2</v>
      </c>
      <c r="BL213" s="12">
        <v>69</v>
      </c>
      <c r="BM213" s="12">
        <v>2</v>
      </c>
      <c r="BN213" s="12">
        <v>2.8985507246376812E-2</v>
      </c>
      <c r="BO213" s="12">
        <v>15</v>
      </c>
      <c r="BP213" s="12">
        <v>0</v>
      </c>
      <c r="BQ213" s="12">
        <v>0</v>
      </c>
      <c r="BR213" s="12">
        <v>81</v>
      </c>
      <c r="BS213" s="12">
        <v>4</v>
      </c>
      <c r="BT213" s="12">
        <v>4.9382716049382713E-2</v>
      </c>
      <c r="BU213" s="12">
        <v>485</v>
      </c>
      <c r="BV213" s="12">
        <v>9</v>
      </c>
      <c r="BW213" s="12">
        <v>1.8556701030927835E-2</v>
      </c>
      <c r="BX213" s="12"/>
      <c r="BY213" s="12"/>
      <c r="BZ213" s="12"/>
      <c r="CA213" s="12">
        <v>68499.59</v>
      </c>
      <c r="CB213" s="13"/>
      <c r="CC213" s="13"/>
      <c r="CD213" s="13"/>
      <c r="CE213" s="12">
        <v>3222</v>
      </c>
      <c r="CF213" s="12">
        <v>407</v>
      </c>
      <c r="CG213" s="13">
        <v>52572</v>
      </c>
      <c r="CH213" s="13">
        <v>100</v>
      </c>
      <c r="CI213" s="13">
        <v>12319</v>
      </c>
    </row>
    <row r="214" spans="2:87" x14ac:dyDescent="0.2">
      <c r="B214" s="5">
        <v>45987</v>
      </c>
      <c r="C214" s="12">
        <v>45</v>
      </c>
      <c r="D214" s="12">
        <v>4.4000000000000004</v>
      </c>
      <c r="E214" s="12">
        <v>205014.005</v>
      </c>
      <c r="F214" s="12">
        <v>0</v>
      </c>
      <c r="G214" s="12">
        <v>9846638.5999999996</v>
      </c>
      <c r="H214" s="12">
        <v>-621008.35</v>
      </c>
      <c r="I214" s="12">
        <v>0</v>
      </c>
      <c r="J214" s="12">
        <v>9225630.25</v>
      </c>
      <c r="K214" s="12">
        <v>83000</v>
      </c>
      <c r="L214" s="12">
        <v>0</v>
      </c>
      <c r="M214" s="12">
        <v>1752869.75</v>
      </c>
      <c r="N214" s="12">
        <v>11061500</v>
      </c>
      <c r="O214" s="12">
        <v>654411.76</v>
      </c>
      <c r="P214" s="12">
        <v>8571218.4900000002</v>
      </c>
      <c r="Q214" s="12">
        <v>3017558</v>
      </c>
      <c r="R214" s="12">
        <v>5553660.4900000002</v>
      </c>
      <c r="S214" s="12">
        <v>0</v>
      </c>
      <c r="T214" s="12">
        <v>198</v>
      </c>
      <c r="U214" s="12">
        <v>0</v>
      </c>
      <c r="V214" s="12">
        <v>0</v>
      </c>
      <c r="W214" s="35">
        <v>46144.261731053244</v>
      </c>
      <c r="X214" s="12">
        <v>17</v>
      </c>
      <c r="Y214" s="12">
        <v>20</v>
      </c>
      <c r="Z214" s="12">
        <v>2791596.64</v>
      </c>
      <c r="AA214" s="12">
        <v>139579.83199999999</v>
      </c>
      <c r="AB214" s="12">
        <v>719714</v>
      </c>
      <c r="AC214" s="12">
        <v>2042470.88</v>
      </c>
      <c r="AD214" s="12">
        <v>24</v>
      </c>
      <c r="AE214" s="12">
        <v>24</v>
      </c>
      <c r="AF214" s="12">
        <v>6387815.1200000001</v>
      </c>
      <c r="AG214" s="12">
        <v>266158.96299999999</v>
      </c>
      <c r="AH214" s="12">
        <v>2281844</v>
      </c>
      <c r="AI214" s="12">
        <v>3480971.12</v>
      </c>
      <c r="AJ214" s="12">
        <v>1</v>
      </c>
      <c r="AK214" s="12">
        <v>1</v>
      </c>
      <c r="AL214" s="12">
        <v>46218.49</v>
      </c>
      <c r="AM214" s="12">
        <v>46218.49</v>
      </c>
      <c r="AN214" s="12">
        <v>16000</v>
      </c>
      <c r="AO214" s="12">
        <v>30218.49</v>
      </c>
      <c r="AP214" s="12">
        <v>1932773.11</v>
      </c>
      <c r="AQ214" s="12">
        <v>12</v>
      </c>
      <c r="AR214" s="12">
        <v>161064.42499999999</v>
      </c>
      <c r="AS214" s="12">
        <v>525552</v>
      </c>
      <c r="AT214" s="12">
        <v>4860714.28</v>
      </c>
      <c r="AU214" s="12">
        <v>32</v>
      </c>
      <c r="AV214" s="12">
        <v>151897.321</v>
      </c>
      <c r="AW214" s="12">
        <v>1453620</v>
      </c>
      <c r="AX214" s="12"/>
      <c r="AY214" s="12"/>
      <c r="AZ214" s="12"/>
      <c r="BA214" s="12"/>
      <c r="BB214" s="12">
        <v>2432142.86</v>
      </c>
      <c r="BC214" s="12">
        <v>1</v>
      </c>
      <c r="BD214" s="12">
        <v>2432142.86</v>
      </c>
      <c r="BE214" s="12">
        <v>1038386</v>
      </c>
      <c r="BF214" s="12">
        <v>342</v>
      </c>
      <c r="BG214" s="12">
        <v>1</v>
      </c>
      <c r="BH214" s="12">
        <v>2.9239766081871343E-3</v>
      </c>
      <c r="BI214" s="12">
        <v>67</v>
      </c>
      <c r="BJ214" s="12">
        <v>0</v>
      </c>
      <c r="BK214" s="12">
        <v>0</v>
      </c>
      <c r="BL214" s="12">
        <v>65</v>
      </c>
      <c r="BM214" s="12">
        <v>2</v>
      </c>
      <c r="BN214" s="12">
        <v>3.0769230769230771E-2</v>
      </c>
      <c r="BO214" s="12">
        <v>15</v>
      </c>
      <c r="BP214" s="12">
        <v>0</v>
      </c>
      <c r="BQ214" s="12">
        <v>0</v>
      </c>
      <c r="BR214" s="12">
        <v>238</v>
      </c>
      <c r="BS214" s="12">
        <v>8</v>
      </c>
      <c r="BT214" s="12">
        <v>3.3613445378151259E-2</v>
      </c>
      <c r="BU214" s="12">
        <v>727</v>
      </c>
      <c r="BV214" s="12">
        <v>11</v>
      </c>
      <c r="BW214" s="12">
        <v>1.5130674002751032E-2</v>
      </c>
      <c r="BX214" s="12"/>
      <c r="BY214" s="12"/>
      <c r="BZ214" s="12"/>
      <c r="CA214" s="12">
        <v>81216.22</v>
      </c>
      <c r="CB214" s="13"/>
      <c r="CC214" s="13"/>
      <c r="CD214" s="13"/>
      <c r="CE214" s="12">
        <v>4280</v>
      </c>
      <c r="CF214" s="12">
        <v>486</v>
      </c>
      <c r="CG214" s="13">
        <v>48464</v>
      </c>
      <c r="CH214" s="13">
        <v>98</v>
      </c>
      <c r="CI214" s="13">
        <v>11435</v>
      </c>
    </row>
    <row r="215" spans="2:87" x14ac:dyDescent="0.2">
      <c r="B215" s="5">
        <v>45988</v>
      </c>
      <c r="C215" s="12">
        <v>35</v>
      </c>
      <c r="D215" s="12">
        <v>3.1</v>
      </c>
      <c r="E215" s="12">
        <v>157791.14499999999</v>
      </c>
      <c r="F215" s="12">
        <v>0</v>
      </c>
      <c r="G215" s="12">
        <v>5734454.7999999998</v>
      </c>
      <c r="H215" s="12">
        <v>-211764.7</v>
      </c>
      <c r="I215" s="12">
        <v>0</v>
      </c>
      <c r="J215" s="12">
        <v>5522690.0999999996</v>
      </c>
      <c r="K215" s="12">
        <v>59500</v>
      </c>
      <c r="L215" s="12">
        <v>0</v>
      </c>
      <c r="M215" s="12">
        <v>1049310.8999999999</v>
      </c>
      <c r="N215" s="12">
        <v>6631501</v>
      </c>
      <c r="O215" s="12">
        <v>1</v>
      </c>
      <c r="P215" s="12">
        <v>5522689.0999999996</v>
      </c>
      <c r="Q215" s="12">
        <v>1846197</v>
      </c>
      <c r="R215" s="12">
        <v>3676492.1</v>
      </c>
      <c r="S215" s="12">
        <v>0</v>
      </c>
      <c r="T215" s="12">
        <v>107</v>
      </c>
      <c r="U215" s="12">
        <v>0</v>
      </c>
      <c r="V215" s="12">
        <v>0</v>
      </c>
      <c r="W215" s="35">
        <v>46144.261731053244</v>
      </c>
      <c r="X215" s="12">
        <v>19</v>
      </c>
      <c r="Y215" s="12">
        <v>23</v>
      </c>
      <c r="Z215" s="12">
        <v>4665547.2300000004</v>
      </c>
      <c r="AA215" s="12">
        <v>202849.87899999999</v>
      </c>
      <c r="AB215" s="12">
        <v>1582343</v>
      </c>
      <c r="AC215" s="12">
        <v>3083203.23</v>
      </c>
      <c r="AD215" s="12">
        <v>11</v>
      </c>
      <c r="AE215" s="12">
        <v>11</v>
      </c>
      <c r="AF215" s="12">
        <v>735294.13</v>
      </c>
      <c r="AG215" s="12">
        <v>66844.92</v>
      </c>
      <c r="AH215" s="12">
        <v>232963</v>
      </c>
      <c r="AI215" s="12">
        <v>502331.13</v>
      </c>
      <c r="AJ215" s="12">
        <v>1</v>
      </c>
      <c r="AK215" s="12">
        <v>1</v>
      </c>
      <c r="AL215" s="12">
        <v>121848.74</v>
      </c>
      <c r="AM215" s="12">
        <v>121848.74</v>
      </c>
      <c r="AN215" s="12">
        <v>30891</v>
      </c>
      <c r="AO215" s="12">
        <v>90957.74</v>
      </c>
      <c r="AP215" s="12">
        <v>1256303.53</v>
      </c>
      <c r="AQ215" s="12">
        <v>6</v>
      </c>
      <c r="AR215" s="12">
        <v>209383.921</v>
      </c>
      <c r="AS215" s="12">
        <v>330450</v>
      </c>
      <c r="AT215" s="12">
        <v>4052100.86</v>
      </c>
      <c r="AU215" s="12">
        <v>26</v>
      </c>
      <c r="AV215" s="12">
        <v>155850.033</v>
      </c>
      <c r="AW215" s="12">
        <v>1470743</v>
      </c>
      <c r="AX215" s="12">
        <v>214285.71</v>
      </c>
      <c r="AY215" s="12">
        <v>3</v>
      </c>
      <c r="AZ215" s="12">
        <v>71428.570000000007</v>
      </c>
      <c r="BA215" s="12">
        <v>45004</v>
      </c>
      <c r="BB215" s="12"/>
      <c r="BC215" s="12"/>
      <c r="BD215" s="12"/>
      <c r="BE215" s="12"/>
      <c r="BF215" s="12">
        <v>169</v>
      </c>
      <c r="BG215" s="12">
        <v>0</v>
      </c>
      <c r="BH215" s="12">
        <v>0</v>
      </c>
      <c r="BI215" s="12">
        <v>58</v>
      </c>
      <c r="BJ215" s="12">
        <v>0</v>
      </c>
      <c r="BK215" s="12">
        <v>0</v>
      </c>
      <c r="BL215" s="12">
        <v>55</v>
      </c>
      <c r="BM215" s="12">
        <v>2</v>
      </c>
      <c r="BN215" s="12">
        <v>3.6363636363636362E-2</v>
      </c>
      <c r="BO215" s="12">
        <v>3</v>
      </c>
      <c r="BP215" s="12">
        <v>0</v>
      </c>
      <c r="BQ215" s="12">
        <v>0</v>
      </c>
      <c r="BR215" s="12">
        <v>111</v>
      </c>
      <c r="BS215" s="12">
        <v>4</v>
      </c>
      <c r="BT215" s="12">
        <v>3.6036036036036036E-2</v>
      </c>
      <c r="BU215" s="12">
        <v>396</v>
      </c>
      <c r="BV215" s="12">
        <v>6</v>
      </c>
      <c r="BW215" s="12">
        <v>1.5151515151515152E-2</v>
      </c>
      <c r="BX215" s="12"/>
      <c r="BY215" s="12"/>
      <c r="BZ215" s="12"/>
      <c r="CA215" s="12">
        <v>51678.28</v>
      </c>
      <c r="CB215" s="13"/>
      <c r="CC215" s="13"/>
      <c r="CD215" s="13"/>
      <c r="CE215" s="12">
        <v>2490</v>
      </c>
      <c r="CF215" s="12">
        <v>288</v>
      </c>
      <c r="CG215" s="13">
        <v>49628</v>
      </c>
      <c r="CH215" s="13">
        <v>64</v>
      </c>
      <c r="CI215" s="13">
        <v>11160</v>
      </c>
    </row>
    <row r="216" spans="2:87" x14ac:dyDescent="0.2">
      <c r="B216" s="5">
        <v>45989</v>
      </c>
      <c r="C216" s="12">
        <v>48</v>
      </c>
      <c r="D216" s="12">
        <v>3.7</v>
      </c>
      <c r="E216" s="12">
        <v>234508.402</v>
      </c>
      <c r="F216" s="12">
        <v>-1</v>
      </c>
      <c r="G216" s="12">
        <v>12248420.02</v>
      </c>
      <c r="H216" s="12">
        <v>-487815.01</v>
      </c>
      <c r="I216" s="12">
        <v>-100840.34</v>
      </c>
      <c r="J216" s="12">
        <v>11659764.67</v>
      </c>
      <c r="K216" s="12">
        <v>114000</v>
      </c>
      <c r="L216" s="12">
        <v>0</v>
      </c>
      <c r="M216" s="12">
        <v>2196735.33</v>
      </c>
      <c r="N216" s="12">
        <v>13970500</v>
      </c>
      <c r="O216" s="12">
        <v>58823.519999999997</v>
      </c>
      <c r="P216" s="12">
        <v>11600941.15</v>
      </c>
      <c r="Q216" s="12">
        <v>3584031</v>
      </c>
      <c r="R216" s="12">
        <v>8016910.1500000004</v>
      </c>
      <c r="S216" s="12">
        <v>0</v>
      </c>
      <c r="T216" s="12">
        <v>187</v>
      </c>
      <c r="U216" s="12">
        <v>0</v>
      </c>
      <c r="V216" s="12">
        <v>0</v>
      </c>
      <c r="W216" s="35">
        <v>46144.261731053244</v>
      </c>
      <c r="X216" s="12">
        <v>20</v>
      </c>
      <c r="Y216" s="12">
        <v>21</v>
      </c>
      <c r="Z216" s="12">
        <v>5806302.5</v>
      </c>
      <c r="AA216" s="12">
        <v>281292.516</v>
      </c>
      <c r="AB216" s="12">
        <v>1845756</v>
      </c>
      <c r="AC216" s="12">
        <v>3931134.74</v>
      </c>
      <c r="AD216" s="12">
        <v>25</v>
      </c>
      <c r="AE216" s="12">
        <v>25</v>
      </c>
      <c r="AF216" s="12">
        <v>5378672.2599999998</v>
      </c>
      <c r="AG216" s="12">
        <v>194978.823</v>
      </c>
      <c r="AH216" s="12">
        <v>1594683</v>
      </c>
      <c r="AI216" s="12">
        <v>3754577.5</v>
      </c>
      <c r="AJ216" s="12">
        <v>1</v>
      </c>
      <c r="AK216" s="12">
        <v>2</v>
      </c>
      <c r="AL216" s="12">
        <v>474789.91</v>
      </c>
      <c r="AM216" s="12">
        <v>237394.95499999999</v>
      </c>
      <c r="AN216" s="12">
        <v>143592</v>
      </c>
      <c r="AO216" s="12">
        <v>331197.90999999997</v>
      </c>
      <c r="AP216" s="12">
        <v>4075210.07</v>
      </c>
      <c r="AQ216" s="12">
        <v>12</v>
      </c>
      <c r="AR216" s="12">
        <v>348004.2</v>
      </c>
      <c r="AS216" s="12">
        <v>1231518</v>
      </c>
      <c r="AT216" s="12">
        <v>7584554.5999999996</v>
      </c>
      <c r="AU216" s="12">
        <v>36</v>
      </c>
      <c r="AV216" s="12">
        <v>196676.47</v>
      </c>
      <c r="AW216" s="12">
        <v>2352513</v>
      </c>
      <c r="AX216" s="12"/>
      <c r="AY216" s="12"/>
      <c r="AZ216" s="12"/>
      <c r="BA216" s="12"/>
      <c r="BB216" s="12"/>
      <c r="BC216" s="12"/>
      <c r="BD216" s="12"/>
      <c r="BE216" s="12"/>
      <c r="BF216" s="12">
        <v>277</v>
      </c>
      <c r="BG216" s="12">
        <v>0</v>
      </c>
      <c r="BH216" s="12">
        <v>0</v>
      </c>
      <c r="BI216" s="12">
        <v>60</v>
      </c>
      <c r="BJ216" s="12">
        <v>4</v>
      </c>
      <c r="BK216" s="12">
        <v>6.6666666666666666E-2</v>
      </c>
      <c r="BL216" s="12">
        <v>52</v>
      </c>
      <c r="BM216" s="12">
        <v>2</v>
      </c>
      <c r="BN216" s="12">
        <v>3.8461538461538464E-2</v>
      </c>
      <c r="BO216" s="12">
        <v>17</v>
      </c>
      <c r="BP216" s="12">
        <v>0</v>
      </c>
      <c r="BQ216" s="12">
        <v>0</v>
      </c>
      <c r="BR216" s="12">
        <v>107</v>
      </c>
      <c r="BS216" s="12">
        <v>5</v>
      </c>
      <c r="BT216" s="12">
        <v>4.6728971962616821E-2</v>
      </c>
      <c r="BU216" s="12">
        <v>513</v>
      </c>
      <c r="BV216" s="12">
        <v>11</v>
      </c>
      <c r="BW216" s="12">
        <v>2.1442495126705652E-2</v>
      </c>
      <c r="BX216" s="12"/>
      <c r="BY216" s="12"/>
      <c r="BZ216" s="12"/>
      <c r="CA216" s="12">
        <v>78106.86</v>
      </c>
      <c r="CB216" s="13"/>
      <c r="CC216" s="13"/>
      <c r="CD216" s="13"/>
      <c r="CE216" s="12">
        <v>3942</v>
      </c>
      <c r="CF216" s="12">
        <v>424</v>
      </c>
      <c r="CG216" s="13">
        <v>52419</v>
      </c>
      <c r="CH216" s="13">
        <v>66</v>
      </c>
      <c r="CI216" s="13">
        <v>10335</v>
      </c>
    </row>
    <row r="217" spans="2:87" x14ac:dyDescent="0.2">
      <c r="B217" s="5">
        <v>45990</v>
      </c>
      <c r="C217" s="12">
        <v>41</v>
      </c>
      <c r="D217" s="12">
        <v>2.5</v>
      </c>
      <c r="E217" s="12">
        <v>146525.92800000001</v>
      </c>
      <c r="F217" s="12">
        <v>0</v>
      </c>
      <c r="G217" s="12">
        <v>6007563.0700000003</v>
      </c>
      <c r="H217" s="12">
        <v>0</v>
      </c>
      <c r="I217" s="12">
        <v>0</v>
      </c>
      <c r="J217" s="12">
        <v>6007563.0700000003</v>
      </c>
      <c r="K217" s="12">
        <v>68500</v>
      </c>
      <c r="L217" s="12">
        <v>0</v>
      </c>
      <c r="M217" s="12">
        <v>1141436.93</v>
      </c>
      <c r="N217" s="12">
        <v>7217500</v>
      </c>
      <c r="O217" s="12">
        <v>29411.759999999998</v>
      </c>
      <c r="P217" s="12">
        <v>5978151.3099999996</v>
      </c>
      <c r="Q217" s="12">
        <v>1948439</v>
      </c>
      <c r="R217" s="12">
        <v>4029712.31</v>
      </c>
      <c r="S217" s="12">
        <v>0</v>
      </c>
      <c r="T217" s="12">
        <v>103</v>
      </c>
      <c r="U217" s="12">
        <v>0</v>
      </c>
      <c r="V217" s="12">
        <v>0</v>
      </c>
      <c r="W217" s="35">
        <v>46144.261731053244</v>
      </c>
      <c r="X217" s="12">
        <v>17</v>
      </c>
      <c r="Y217" s="12">
        <v>19</v>
      </c>
      <c r="Z217" s="12">
        <v>2285714.31</v>
      </c>
      <c r="AA217" s="12">
        <v>120300.753</v>
      </c>
      <c r="AB217" s="12">
        <v>634186</v>
      </c>
      <c r="AC217" s="12">
        <v>1651528.31</v>
      </c>
      <c r="AD217" s="12">
        <v>20</v>
      </c>
      <c r="AE217" s="12">
        <v>20</v>
      </c>
      <c r="AF217" s="12">
        <v>3150420.18</v>
      </c>
      <c r="AG217" s="12">
        <v>157521.00899999999</v>
      </c>
      <c r="AH217" s="12">
        <v>1101076</v>
      </c>
      <c r="AI217" s="12">
        <v>2019932.42</v>
      </c>
      <c r="AJ217" s="12">
        <v>1</v>
      </c>
      <c r="AK217" s="12">
        <v>2</v>
      </c>
      <c r="AL217" s="12">
        <v>571428.57999999996</v>
      </c>
      <c r="AM217" s="12">
        <v>285714.28999999998</v>
      </c>
      <c r="AN217" s="12">
        <v>213177</v>
      </c>
      <c r="AO217" s="12">
        <v>358251.58</v>
      </c>
      <c r="AP217" s="12">
        <v>1163865.55</v>
      </c>
      <c r="AQ217" s="12">
        <v>9</v>
      </c>
      <c r="AR217" s="12">
        <v>129318.394</v>
      </c>
      <c r="AS217" s="12">
        <v>341768</v>
      </c>
      <c r="AT217" s="12">
        <v>4637815.16</v>
      </c>
      <c r="AU217" s="12">
        <v>30</v>
      </c>
      <c r="AV217" s="12">
        <v>154593.83799999999</v>
      </c>
      <c r="AW217" s="12">
        <v>1555803</v>
      </c>
      <c r="AX217" s="12">
        <v>205882.36</v>
      </c>
      <c r="AY217" s="12">
        <v>2</v>
      </c>
      <c r="AZ217" s="12">
        <v>102941.18</v>
      </c>
      <c r="BA217" s="12">
        <v>50868</v>
      </c>
      <c r="BB217" s="12"/>
      <c r="BC217" s="12"/>
      <c r="BD217" s="12"/>
      <c r="BE217" s="12"/>
      <c r="BF217" s="12">
        <v>231</v>
      </c>
      <c r="BG217" s="12">
        <v>0</v>
      </c>
      <c r="BH217" s="12">
        <v>0</v>
      </c>
      <c r="BI217" s="12">
        <v>83</v>
      </c>
      <c r="BJ217" s="12">
        <v>3</v>
      </c>
      <c r="BK217" s="12">
        <v>3.614457831325301E-2</v>
      </c>
      <c r="BL217" s="12">
        <v>45</v>
      </c>
      <c r="BM217" s="12">
        <v>2</v>
      </c>
      <c r="BN217" s="12">
        <v>4.4444444444444446E-2</v>
      </c>
      <c r="BO217" s="12">
        <v>17</v>
      </c>
      <c r="BP217" s="12">
        <v>0</v>
      </c>
      <c r="BQ217" s="12">
        <v>0</v>
      </c>
      <c r="BR217" s="12">
        <v>95</v>
      </c>
      <c r="BS217" s="12">
        <v>4</v>
      </c>
      <c r="BT217" s="12">
        <v>4.2105263157894736E-2</v>
      </c>
      <c r="BU217" s="12">
        <v>471</v>
      </c>
      <c r="BV217" s="12">
        <v>9</v>
      </c>
      <c r="BW217" s="12">
        <v>1.9108280254777069E-2</v>
      </c>
      <c r="BX217" s="12"/>
      <c r="BY217" s="12"/>
      <c r="BZ217" s="12"/>
      <c r="CA217" s="12">
        <v>56478.99</v>
      </c>
      <c r="CB217" s="13"/>
      <c r="CC217" s="13"/>
      <c r="CD217" s="13"/>
      <c r="CE217" s="12">
        <v>3711</v>
      </c>
      <c r="CF217" s="12">
        <v>383</v>
      </c>
      <c r="CG217" s="13">
        <v>50118</v>
      </c>
      <c r="CH217" s="13">
        <v>80</v>
      </c>
      <c r="CI217" s="13">
        <v>9592</v>
      </c>
    </row>
    <row r="218" spans="2:87" x14ac:dyDescent="0.2">
      <c r="B218" s="5">
        <v>45991</v>
      </c>
      <c r="C218" s="12">
        <v>33</v>
      </c>
      <c r="D218" s="12">
        <v>2.8</v>
      </c>
      <c r="E218" s="12">
        <v>166182.83600000001</v>
      </c>
      <c r="F218" s="12">
        <v>0</v>
      </c>
      <c r="G218" s="12">
        <v>5568067.2199999997</v>
      </c>
      <c r="H218" s="12">
        <v>0</v>
      </c>
      <c r="I218" s="12">
        <v>0</v>
      </c>
      <c r="J218" s="12">
        <v>5568067.2199999997</v>
      </c>
      <c r="K218" s="12">
        <v>110000</v>
      </c>
      <c r="L218" s="12">
        <v>0</v>
      </c>
      <c r="M218" s="12">
        <v>1057932.78</v>
      </c>
      <c r="N218" s="12">
        <v>6736000</v>
      </c>
      <c r="O218" s="12">
        <v>319747.90000000002</v>
      </c>
      <c r="P218" s="12">
        <v>5248319.32</v>
      </c>
      <c r="Q218" s="12">
        <v>1403996</v>
      </c>
      <c r="R218" s="12">
        <v>3844323.32</v>
      </c>
      <c r="S218" s="12">
        <v>0</v>
      </c>
      <c r="T218" s="12">
        <v>96</v>
      </c>
      <c r="U218" s="12">
        <v>0</v>
      </c>
      <c r="V218" s="12">
        <v>0</v>
      </c>
      <c r="W218" s="35">
        <v>46144.261731053244</v>
      </c>
      <c r="X218" s="12">
        <v>16</v>
      </c>
      <c r="Y218" s="12">
        <v>16</v>
      </c>
      <c r="Z218" s="12">
        <v>2281512.61</v>
      </c>
      <c r="AA218" s="12">
        <v>142594.538</v>
      </c>
      <c r="AB218" s="12">
        <v>592229</v>
      </c>
      <c r="AC218" s="12">
        <v>1689283.61</v>
      </c>
      <c r="AD218" s="12">
        <v>15</v>
      </c>
      <c r="AE218" s="12">
        <v>15</v>
      </c>
      <c r="AF218" s="12">
        <v>3135294.11</v>
      </c>
      <c r="AG218" s="12">
        <v>203417.36600000001</v>
      </c>
      <c r="AH218" s="12">
        <v>773556</v>
      </c>
      <c r="AI218" s="12">
        <v>2041990.21</v>
      </c>
      <c r="AJ218" s="12">
        <v>1</v>
      </c>
      <c r="AK218" s="12">
        <v>2</v>
      </c>
      <c r="AL218" s="12">
        <v>151260.5</v>
      </c>
      <c r="AM218" s="12">
        <v>75630.25</v>
      </c>
      <c r="AN218" s="12">
        <v>38211</v>
      </c>
      <c r="AO218" s="12">
        <v>113049.5</v>
      </c>
      <c r="AP218" s="12">
        <v>3193277.32</v>
      </c>
      <c r="AQ218" s="12">
        <v>13</v>
      </c>
      <c r="AR218" s="12">
        <v>245636.71599999999</v>
      </c>
      <c r="AS218" s="12">
        <v>741460</v>
      </c>
      <c r="AT218" s="12">
        <v>2374789.9</v>
      </c>
      <c r="AU218" s="12">
        <v>20</v>
      </c>
      <c r="AV218" s="12">
        <v>114537.814</v>
      </c>
      <c r="AW218" s="12">
        <v>662536</v>
      </c>
      <c r="AX218" s="12"/>
      <c r="AY218" s="12"/>
      <c r="AZ218" s="12"/>
      <c r="BA218" s="12"/>
      <c r="BB218" s="12"/>
      <c r="BC218" s="12"/>
      <c r="BD218" s="12"/>
      <c r="BE218" s="12"/>
      <c r="BF218" s="12">
        <v>291</v>
      </c>
      <c r="BG218" s="12">
        <v>1</v>
      </c>
      <c r="BH218" s="12">
        <v>3.4364261168384879E-3</v>
      </c>
      <c r="BI218" s="12">
        <v>88</v>
      </c>
      <c r="BJ218" s="12">
        <v>2</v>
      </c>
      <c r="BK218" s="12">
        <v>2.2727272727272728E-2</v>
      </c>
      <c r="BL218" s="12">
        <v>47</v>
      </c>
      <c r="BM218" s="12">
        <v>4</v>
      </c>
      <c r="BN218" s="12">
        <v>8.5106382978723402E-2</v>
      </c>
      <c r="BO218" s="12">
        <v>13</v>
      </c>
      <c r="BP218" s="12">
        <v>0</v>
      </c>
      <c r="BQ218" s="12">
        <v>0</v>
      </c>
      <c r="BR218" s="12">
        <v>97</v>
      </c>
      <c r="BS218" s="12">
        <v>6</v>
      </c>
      <c r="BT218" s="12">
        <v>6.1855670103092786E-2</v>
      </c>
      <c r="BU218" s="12">
        <v>536</v>
      </c>
      <c r="BV218" s="12">
        <v>13</v>
      </c>
      <c r="BW218" s="12">
        <v>2.4253731343283583E-2</v>
      </c>
      <c r="BX218" s="12"/>
      <c r="BY218" s="12"/>
      <c r="BZ218" s="12"/>
      <c r="CA218" s="12">
        <v>68959.839999999997</v>
      </c>
      <c r="CB218" s="13"/>
      <c r="CC218" s="13"/>
      <c r="CD218" s="13"/>
      <c r="CE218" s="12">
        <v>4232</v>
      </c>
      <c r="CF218" s="12">
        <v>449</v>
      </c>
      <c r="CG218" s="13">
        <v>57926</v>
      </c>
      <c r="CH218" s="13">
        <v>101</v>
      </c>
      <c r="CI218" s="13">
        <v>12688</v>
      </c>
    </row>
    <row r="219" spans="2:87" x14ac:dyDescent="0.2">
      <c r="B219" s="5">
        <v>45992</v>
      </c>
      <c r="C219" s="12">
        <v>33</v>
      </c>
      <c r="D219" s="12">
        <v>3.8</v>
      </c>
      <c r="E219" s="12">
        <v>273595.62</v>
      </c>
      <c r="F219" s="12">
        <v>-4</v>
      </c>
      <c r="G219" s="12">
        <v>9477731.0700000003</v>
      </c>
      <c r="H219" s="12">
        <v>-365042</v>
      </c>
      <c r="I219" s="12">
        <v>-243697.48</v>
      </c>
      <c r="J219" s="12">
        <v>8868991.5899999999</v>
      </c>
      <c r="K219" s="12">
        <v>113501</v>
      </c>
      <c r="L219" s="12">
        <v>0</v>
      </c>
      <c r="M219" s="12">
        <v>1647108.41</v>
      </c>
      <c r="N219" s="12">
        <v>10629601</v>
      </c>
      <c r="O219" s="12">
        <v>113445.38</v>
      </c>
      <c r="P219" s="12">
        <v>8755546.2100000009</v>
      </c>
      <c r="Q219" s="12">
        <v>3048098</v>
      </c>
      <c r="R219" s="12">
        <v>5707448.21</v>
      </c>
      <c r="S219" s="12">
        <v>0</v>
      </c>
      <c r="T219" s="12">
        <v>130</v>
      </c>
      <c r="U219" s="12">
        <v>0</v>
      </c>
      <c r="V219" s="12">
        <v>0</v>
      </c>
      <c r="W219" s="35">
        <v>46144.261731053244</v>
      </c>
      <c r="X219" s="12">
        <v>15</v>
      </c>
      <c r="Y219" s="12">
        <v>16</v>
      </c>
      <c r="Z219" s="12">
        <v>4497142.8600000003</v>
      </c>
      <c r="AA219" s="12">
        <v>291050.42</v>
      </c>
      <c r="AB219" s="12">
        <v>1636488</v>
      </c>
      <c r="AC219" s="12">
        <v>2747209.48</v>
      </c>
      <c r="AD219" s="12">
        <v>16</v>
      </c>
      <c r="AE219" s="12">
        <v>16</v>
      </c>
      <c r="AF219" s="12">
        <v>4338235.28</v>
      </c>
      <c r="AG219" s="12">
        <v>271139.70500000002</v>
      </c>
      <c r="AH219" s="12">
        <v>1383980</v>
      </c>
      <c r="AI219" s="12">
        <v>2954255.28</v>
      </c>
      <c r="AJ219" s="12">
        <v>1</v>
      </c>
      <c r="AK219" s="12">
        <v>1</v>
      </c>
      <c r="AL219" s="12">
        <v>33613.449999999997</v>
      </c>
      <c r="AM219" s="12">
        <v>33613.449999999997</v>
      </c>
      <c r="AN219" s="12">
        <v>27630</v>
      </c>
      <c r="AO219" s="12">
        <v>5983.45</v>
      </c>
      <c r="AP219" s="12">
        <v>4149478.97</v>
      </c>
      <c r="AQ219" s="12">
        <v>16</v>
      </c>
      <c r="AR219" s="12">
        <v>269321.42700000003</v>
      </c>
      <c r="AS219" s="12">
        <v>1209749</v>
      </c>
      <c r="AT219" s="12">
        <v>4719512.62</v>
      </c>
      <c r="AU219" s="12">
        <v>17</v>
      </c>
      <c r="AV219" s="12">
        <v>277618.38900000002</v>
      </c>
      <c r="AW219" s="12">
        <v>1838349</v>
      </c>
      <c r="AX219" s="12"/>
      <c r="AY219" s="12"/>
      <c r="AZ219" s="12"/>
      <c r="BA219" s="12"/>
      <c r="BB219" s="12"/>
      <c r="BC219" s="12"/>
      <c r="BD219" s="12"/>
      <c r="BE219" s="12"/>
      <c r="BF219" s="12">
        <v>251</v>
      </c>
      <c r="BG219" s="12">
        <v>1</v>
      </c>
      <c r="BH219" s="12">
        <v>3.9840637450199202E-3</v>
      </c>
      <c r="BI219" s="12">
        <v>90</v>
      </c>
      <c r="BJ219" s="12">
        <v>3</v>
      </c>
      <c r="BK219" s="12">
        <v>3.3333333333333333E-2</v>
      </c>
      <c r="BL219" s="12">
        <v>72</v>
      </c>
      <c r="BM219" s="12">
        <v>3</v>
      </c>
      <c r="BN219" s="12">
        <v>4.1666666666666664E-2</v>
      </c>
      <c r="BO219" s="12">
        <v>21</v>
      </c>
      <c r="BP219" s="12">
        <v>0</v>
      </c>
      <c r="BQ219" s="12">
        <v>0</v>
      </c>
      <c r="BR219" s="12">
        <v>137</v>
      </c>
      <c r="BS219" s="12">
        <v>7</v>
      </c>
      <c r="BT219" s="12">
        <v>5.1094890510948905E-2</v>
      </c>
      <c r="BU219" s="12">
        <v>571</v>
      </c>
      <c r="BV219" s="12">
        <v>14</v>
      </c>
      <c r="BW219" s="12">
        <v>2.4518388791593695E-2</v>
      </c>
      <c r="BX219" s="12"/>
      <c r="BY219" s="12"/>
      <c r="BZ219" s="12"/>
      <c r="CA219" s="12">
        <v>57050.22</v>
      </c>
      <c r="CB219" s="13"/>
      <c r="CC219" s="13"/>
      <c r="CD219" s="13"/>
      <c r="CE219" s="12">
        <v>4718</v>
      </c>
      <c r="CF219" s="12">
        <v>439</v>
      </c>
      <c r="CG219" s="13">
        <v>54858</v>
      </c>
      <c r="CH219" s="13">
        <v>107</v>
      </c>
      <c r="CI219" s="13">
        <v>14727</v>
      </c>
    </row>
    <row r="220" spans="2:87" x14ac:dyDescent="0.2">
      <c r="B220" s="5">
        <v>45993</v>
      </c>
      <c r="C220" s="12">
        <v>46</v>
      </c>
      <c r="D220" s="12">
        <v>2.8</v>
      </c>
      <c r="E220" s="12">
        <v>160724.516</v>
      </c>
      <c r="F220" s="12">
        <v>-1</v>
      </c>
      <c r="G220" s="12">
        <v>7509327.75</v>
      </c>
      <c r="H220" s="12">
        <v>0</v>
      </c>
      <c r="I220" s="12">
        <v>-116000</v>
      </c>
      <c r="J220" s="12">
        <v>7393327.75</v>
      </c>
      <c r="K220" s="12">
        <v>124500</v>
      </c>
      <c r="L220" s="12">
        <v>0</v>
      </c>
      <c r="M220" s="12">
        <v>1352672.25</v>
      </c>
      <c r="N220" s="12">
        <v>8870500</v>
      </c>
      <c r="O220" s="12">
        <v>360058.81</v>
      </c>
      <c r="P220" s="12">
        <v>7033268.9400000004</v>
      </c>
      <c r="Q220" s="12">
        <v>2418958</v>
      </c>
      <c r="R220" s="12">
        <v>4614310.9400000004</v>
      </c>
      <c r="S220" s="12">
        <v>0</v>
      </c>
      <c r="T220" s="12">
        <v>128</v>
      </c>
      <c r="U220" s="12">
        <v>0</v>
      </c>
      <c r="V220" s="12">
        <v>0</v>
      </c>
      <c r="W220" s="35">
        <v>46144.261731053244</v>
      </c>
      <c r="X220" s="12">
        <v>20</v>
      </c>
      <c r="Y220" s="12">
        <v>23</v>
      </c>
      <c r="Z220" s="12">
        <v>4297361.3499999996</v>
      </c>
      <c r="AA220" s="12">
        <v>186841.79699999999</v>
      </c>
      <c r="AB220" s="12">
        <v>1432608</v>
      </c>
      <c r="AC220" s="12">
        <v>2657341.59</v>
      </c>
      <c r="AD220" s="12">
        <v>23</v>
      </c>
      <c r="AE220" s="12">
        <v>23</v>
      </c>
      <c r="AF220" s="12">
        <v>3095966.4</v>
      </c>
      <c r="AG220" s="12">
        <v>134607.234</v>
      </c>
      <c r="AH220" s="12">
        <v>986350</v>
      </c>
      <c r="AI220" s="12">
        <v>1956969.35</v>
      </c>
      <c r="AJ220" s="12"/>
      <c r="AK220" s="12"/>
      <c r="AL220" s="12"/>
      <c r="AM220" s="12"/>
      <c r="AN220" s="12"/>
      <c r="AO220" s="12"/>
      <c r="AP220" s="12">
        <v>2436974.79</v>
      </c>
      <c r="AQ220" s="12">
        <v>13</v>
      </c>
      <c r="AR220" s="12">
        <v>187459.59899999999</v>
      </c>
      <c r="AS220" s="12">
        <v>796777</v>
      </c>
      <c r="AT220" s="12">
        <v>4956352.96</v>
      </c>
      <c r="AU220" s="12">
        <v>33</v>
      </c>
      <c r="AV220" s="12">
        <v>150192.51300000001</v>
      </c>
      <c r="AW220" s="12">
        <v>1622181</v>
      </c>
      <c r="AX220" s="12"/>
      <c r="AY220" s="12"/>
      <c r="AZ220" s="12"/>
      <c r="BA220" s="12"/>
      <c r="BB220" s="12"/>
      <c r="BC220" s="12"/>
      <c r="BD220" s="12"/>
      <c r="BE220" s="12"/>
      <c r="BF220" s="12">
        <v>277</v>
      </c>
      <c r="BG220" s="12">
        <v>0</v>
      </c>
      <c r="BH220" s="12">
        <v>0</v>
      </c>
      <c r="BI220" s="12">
        <v>86</v>
      </c>
      <c r="BJ220" s="12">
        <v>1</v>
      </c>
      <c r="BK220" s="12">
        <v>1.1627906976744186E-2</v>
      </c>
      <c r="BL220" s="12">
        <v>78</v>
      </c>
      <c r="BM220" s="12">
        <v>6</v>
      </c>
      <c r="BN220" s="12">
        <v>7.6923076923076927E-2</v>
      </c>
      <c r="BO220" s="12">
        <v>15</v>
      </c>
      <c r="BP220" s="12">
        <v>0</v>
      </c>
      <c r="BQ220" s="12">
        <v>0</v>
      </c>
      <c r="BR220" s="12">
        <v>119</v>
      </c>
      <c r="BS220" s="12">
        <v>7</v>
      </c>
      <c r="BT220" s="12">
        <v>5.8823529411764705E-2</v>
      </c>
      <c r="BU220" s="12">
        <v>575</v>
      </c>
      <c r="BV220" s="12">
        <v>14</v>
      </c>
      <c r="BW220" s="12">
        <v>2.4347826086956521E-2</v>
      </c>
      <c r="BX220" s="12"/>
      <c r="BY220" s="12"/>
      <c r="BZ220" s="12"/>
      <c r="CA220" s="12">
        <v>51712.29</v>
      </c>
      <c r="CB220" s="13"/>
      <c r="CC220" s="13"/>
      <c r="CD220" s="13"/>
      <c r="CE220" s="12">
        <v>3560</v>
      </c>
      <c r="CF220" s="12">
        <v>411</v>
      </c>
      <c r="CG220" s="13">
        <v>52563</v>
      </c>
      <c r="CH220" s="13">
        <v>125</v>
      </c>
      <c r="CI220" s="13">
        <v>14564</v>
      </c>
    </row>
    <row r="221" spans="2:87" x14ac:dyDescent="0.2">
      <c r="B221" s="5">
        <v>45994</v>
      </c>
      <c r="C221" s="12">
        <v>79</v>
      </c>
      <c r="D221" s="12">
        <v>3.6</v>
      </c>
      <c r="E221" s="12">
        <v>233183.38399999999</v>
      </c>
      <c r="F221" s="12">
        <v>0</v>
      </c>
      <c r="G221" s="12">
        <v>18520226.84</v>
      </c>
      <c r="H221" s="12">
        <v>-98739.49</v>
      </c>
      <c r="I221" s="12">
        <v>0</v>
      </c>
      <c r="J221" s="12">
        <v>18421487.350000001</v>
      </c>
      <c r="K221" s="12">
        <v>197000</v>
      </c>
      <c r="L221" s="12">
        <v>0</v>
      </c>
      <c r="M221" s="12">
        <v>3480512.65</v>
      </c>
      <c r="N221" s="12">
        <v>22099000</v>
      </c>
      <c r="O221" s="12">
        <v>958201.64</v>
      </c>
      <c r="P221" s="12">
        <v>17463285.710000001</v>
      </c>
      <c r="Q221" s="12">
        <v>5416387</v>
      </c>
      <c r="R221" s="12">
        <v>12046898.710000001</v>
      </c>
      <c r="S221" s="12">
        <v>0</v>
      </c>
      <c r="T221" s="12">
        <v>282</v>
      </c>
      <c r="U221" s="12">
        <v>0</v>
      </c>
      <c r="V221" s="12">
        <v>0</v>
      </c>
      <c r="W221" s="35">
        <v>46144.261731053244</v>
      </c>
      <c r="X221" s="12">
        <v>37</v>
      </c>
      <c r="Y221" s="12">
        <v>39</v>
      </c>
      <c r="Z221" s="12">
        <v>6231512.5800000001</v>
      </c>
      <c r="AA221" s="12">
        <v>159782.37299999999</v>
      </c>
      <c r="AB221" s="12">
        <v>1848850</v>
      </c>
      <c r="AC221" s="12">
        <v>4037704.62</v>
      </c>
      <c r="AD221" s="12">
        <v>38</v>
      </c>
      <c r="AE221" s="12">
        <v>38</v>
      </c>
      <c r="AF221" s="12">
        <v>12126949.560000001</v>
      </c>
      <c r="AG221" s="12">
        <v>319130.25099999999</v>
      </c>
      <c r="AH221" s="12">
        <v>3543867</v>
      </c>
      <c r="AI221" s="12">
        <v>7969838.8799999999</v>
      </c>
      <c r="AJ221" s="12">
        <v>1</v>
      </c>
      <c r="AK221" s="12">
        <v>2</v>
      </c>
      <c r="AL221" s="12">
        <v>63025.21</v>
      </c>
      <c r="AM221" s="12">
        <v>31512.605</v>
      </c>
      <c r="AN221" s="12">
        <v>23670</v>
      </c>
      <c r="AO221" s="12">
        <v>39355.21</v>
      </c>
      <c r="AP221" s="12">
        <v>5580512.5999999996</v>
      </c>
      <c r="AQ221" s="12">
        <v>20</v>
      </c>
      <c r="AR221" s="12">
        <v>279025.63</v>
      </c>
      <c r="AS221" s="12">
        <v>1731695</v>
      </c>
      <c r="AT221" s="12">
        <v>12840974.75</v>
      </c>
      <c r="AU221" s="12">
        <v>59</v>
      </c>
      <c r="AV221" s="12">
        <v>217643.639</v>
      </c>
      <c r="AW221" s="12">
        <v>3684692</v>
      </c>
      <c r="AX221" s="12"/>
      <c r="AY221" s="12"/>
      <c r="AZ221" s="12"/>
      <c r="BA221" s="12"/>
      <c r="BB221" s="12"/>
      <c r="BC221" s="12"/>
      <c r="BD221" s="12"/>
      <c r="BE221" s="12"/>
      <c r="BF221" s="12">
        <v>408</v>
      </c>
      <c r="BG221" s="12">
        <v>0</v>
      </c>
      <c r="BH221" s="12">
        <v>0</v>
      </c>
      <c r="BI221" s="12">
        <v>69</v>
      </c>
      <c r="BJ221" s="12">
        <v>0</v>
      </c>
      <c r="BK221" s="12">
        <v>0</v>
      </c>
      <c r="BL221" s="12">
        <v>85</v>
      </c>
      <c r="BM221" s="12">
        <v>5</v>
      </c>
      <c r="BN221" s="12">
        <v>5.8823529411764705E-2</v>
      </c>
      <c r="BO221" s="12">
        <v>34</v>
      </c>
      <c r="BP221" s="12">
        <v>0</v>
      </c>
      <c r="BQ221" s="12">
        <v>0</v>
      </c>
      <c r="BR221" s="12">
        <v>256</v>
      </c>
      <c r="BS221" s="12">
        <v>13</v>
      </c>
      <c r="BT221" s="12">
        <v>5.078125E-2</v>
      </c>
      <c r="BU221" s="12">
        <v>852</v>
      </c>
      <c r="BV221" s="12">
        <v>18</v>
      </c>
      <c r="BW221" s="12">
        <v>2.1126760563380281E-2</v>
      </c>
      <c r="BX221" s="12"/>
      <c r="BY221" s="12"/>
      <c r="BZ221" s="12"/>
      <c r="CA221" s="12">
        <v>81558.929999999993</v>
      </c>
      <c r="CB221" s="13"/>
      <c r="CC221" s="13"/>
      <c r="CD221" s="13"/>
      <c r="CE221" s="12">
        <v>5245</v>
      </c>
      <c r="CF221" s="12">
        <v>601</v>
      </c>
      <c r="CG221" s="13">
        <v>46862</v>
      </c>
      <c r="CH221" s="13">
        <v>99</v>
      </c>
      <c r="CI221" s="13">
        <v>14289</v>
      </c>
    </row>
    <row r="222" spans="2:87" x14ac:dyDescent="0.2">
      <c r="B222" s="5">
        <v>45995</v>
      </c>
      <c r="C222" s="12">
        <v>45</v>
      </c>
      <c r="D222" s="12">
        <v>3.9</v>
      </c>
      <c r="E222" s="12">
        <v>222651.728</v>
      </c>
      <c r="F222" s="12">
        <v>0</v>
      </c>
      <c r="G222" s="12">
        <v>10057142.890000001</v>
      </c>
      <c r="H222" s="12">
        <v>0</v>
      </c>
      <c r="I222" s="12">
        <v>0</v>
      </c>
      <c r="J222" s="12">
        <v>10057142.890000001</v>
      </c>
      <c r="K222" s="12">
        <v>157000</v>
      </c>
      <c r="L222" s="12">
        <v>0</v>
      </c>
      <c r="M222" s="12">
        <v>1910857.11</v>
      </c>
      <c r="N222" s="12">
        <v>12125000</v>
      </c>
      <c r="O222" s="12">
        <v>411764.7</v>
      </c>
      <c r="P222" s="12">
        <v>9645378.1899999995</v>
      </c>
      <c r="Q222" s="12">
        <v>3001977</v>
      </c>
      <c r="R222" s="12">
        <v>6643401.1900000004</v>
      </c>
      <c r="S222" s="12">
        <v>0</v>
      </c>
      <c r="T222" s="12">
        <v>178</v>
      </c>
      <c r="U222" s="12">
        <v>0</v>
      </c>
      <c r="V222" s="12">
        <v>0</v>
      </c>
      <c r="W222" s="35">
        <v>46144.261731053244</v>
      </c>
      <c r="X222" s="12">
        <v>23</v>
      </c>
      <c r="Y222" s="12">
        <v>24</v>
      </c>
      <c r="Z222" s="12">
        <v>3878991.62</v>
      </c>
      <c r="AA222" s="12">
        <v>161624.65</v>
      </c>
      <c r="AB222" s="12">
        <v>1107564</v>
      </c>
      <c r="AC222" s="12">
        <v>2536133.5099999998</v>
      </c>
      <c r="AD222" s="12">
        <v>21</v>
      </c>
      <c r="AE222" s="12">
        <v>21</v>
      </c>
      <c r="AF222" s="12">
        <v>6178151.2699999996</v>
      </c>
      <c r="AG222" s="12">
        <v>292396.95899999997</v>
      </c>
      <c r="AH222" s="12">
        <v>1894413</v>
      </c>
      <c r="AI222" s="12">
        <v>4107267.68</v>
      </c>
      <c r="AJ222" s="12"/>
      <c r="AK222" s="12"/>
      <c r="AL222" s="12"/>
      <c r="AM222" s="12"/>
      <c r="AN222" s="12"/>
      <c r="AO222" s="12"/>
      <c r="AP222" s="12">
        <v>2325210.09</v>
      </c>
      <c r="AQ222" s="12">
        <v>12</v>
      </c>
      <c r="AR222" s="12">
        <v>193767.50700000001</v>
      </c>
      <c r="AS222" s="12">
        <v>688924</v>
      </c>
      <c r="AT222" s="12">
        <v>7731932.7999999998</v>
      </c>
      <c r="AU222" s="12">
        <v>33</v>
      </c>
      <c r="AV222" s="12">
        <v>233155.08</v>
      </c>
      <c r="AW222" s="12">
        <v>2313053</v>
      </c>
      <c r="AX222" s="12"/>
      <c r="AY222" s="12"/>
      <c r="AZ222" s="12"/>
      <c r="BA222" s="12"/>
      <c r="BB222" s="12"/>
      <c r="BC222" s="12"/>
      <c r="BD222" s="12"/>
      <c r="BE222" s="12"/>
      <c r="BF222" s="12">
        <v>278</v>
      </c>
      <c r="BG222" s="12">
        <v>1</v>
      </c>
      <c r="BH222" s="12">
        <v>3.5971223021582736E-3</v>
      </c>
      <c r="BI222" s="12">
        <v>94</v>
      </c>
      <c r="BJ222" s="12">
        <v>0</v>
      </c>
      <c r="BK222" s="12">
        <v>0</v>
      </c>
      <c r="BL222" s="12">
        <v>59</v>
      </c>
      <c r="BM222" s="12">
        <v>1</v>
      </c>
      <c r="BN222" s="12">
        <v>1.6949152542372881E-2</v>
      </c>
      <c r="BO222" s="12">
        <v>28</v>
      </c>
      <c r="BP222" s="12">
        <v>0</v>
      </c>
      <c r="BQ222" s="12">
        <v>0</v>
      </c>
      <c r="BR222" s="12">
        <v>187</v>
      </c>
      <c r="BS222" s="12">
        <v>13</v>
      </c>
      <c r="BT222" s="12">
        <v>6.9518716577540107E-2</v>
      </c>
      <c r="BU222" s="12">
        <v>646</v>
      </c>
      <c r="BV222" s="12">
        <v>15</v>
      </c>
      <c r="BW222" s="12">
        <v>2.3219814241486069E-2</v>
      </c>
      <c r="BX222" s="12"/>
      <c r="BY222" s="12"/>
      <c r="BZ222" s="12"/>
      <c r="CA222" s="12">
        <v>56158.74</v>
      </c>
      <c r="CB222" s="13"/>
      <c r="CC222" s="13"/>
      <c r="CD222" s="13"/>
      <c r="CE222" s="12">
        <v>3593</v>
      </c>
      <c r="CF222" s="12">
        <v>410</v>
      </c>
      <c r="CG222" s="13">
        <v>48848</v>
      </c>
      <c r="CH222" s="13">
        <v>147</v>
      </c>
      <c r="CI222" s="13">
        <v>15092</v>
      </c>
    </row>
    <row r="223" spans="2:87" x14ac:dyDescent="0.2">
      <c r="B223" s="5">
        <v>45996</v>
      </c>
      <c r="C223" s="12">
        <v>37</v>
      </c>
      <c r="D223" s="12">
        <v>4</v>
      </c>
      <c r="E223" s="12">
        <v>190217.15100000001</v>
      </c>
      <c r="F223" s="12">
        <v>-1</v>
      </c>
      <c r="G223" s="12">
        <v>7080051.4199999999</v>
      </c>
      <c r="H223" s="12">
        <v>0</v>
      </c>
      <c r="I223" s="12">
        <v>-46218.49</v>
      </c>
      <c r="J223" s="12">
        <v>7033832.9299999997</v>
      </c>
      <c r="K223" s="12">
        <v>79500</v>
      </c>
      <c r="L223" s="12">
        <v>0</v>
      </c>
      <c r="M223" s="12">
        <v>1326168.07</v>
      </c>
      <c r="N223" s="12">
        <v>8439501</v>
      </c>
      <c r="O223" s="12">
        <v>1444757.29</v>
      </c>
      <c r="P223" s="12">
        <v>5589075.6399999997</v>
      </c>
      <c r="Q223" s="12">
        <v>1797622</v>
      </c>
      <c r="R223" s="12">
        <v>3791453.64</v>
      </c>
      <c r="S223" s="12">
        <v>0</v>
      </c>
      <c r="T223" s="12">
        <v>149</v>
      </c>
      <c r="U223" s="12">
        <v>0</v>
      </c>
      <c r="V223" s="12">
        <v>0</v>
      </c>
      <c r="W223" s="35">
        <v>46144.261731053244</v>
      </c>
      <c r="X223" s="12">
        <v>18</v>
      </c>
      <c r="Y223" s="12">
        <v>21</v>
      </c>
      <c r="Z223" s="12">
        <v>4703580.83</v>
      </c>
      <c r="AA223" s="12">
        <v>223980.03899999999</v>
      </c>
      <c r="AB223" s="12">
        <v>1098362</v>
      </c>
      <c r="AC223" s="12">
        <v>2227688.4300000002</v>
      </c>
      <c r="AD223" s="12">
        <v>15</v>
      </c>
      <c r="AE223" s="12">
        <v>15</v>
      </c>
      <c r="AF223" s="12">
        <v>2138655.46</v>
      </c>
      <c r="AG223" s="12">
        <v>142857.14199999999</v>
      </c>
      <c r="AH223" s="12">
        <v>602327</v>
      </c>
      <c r="AI223" s="12">
        <v>1469101.57</v>
      </c>
      <c r="AJ223" s="12">
        <v>1</v>
      </c>
      <c r="AK223" s="12">
        <v>1</v>
      </c>
      <c r="AL223" s="12">
        <v>191596.64</v>
      </c>
      <c r="AM223" s="12">
        <v>191596.64</v>
      </c>
      <c r="AN223" s="12">
        <v>96933</v>
      </c>
      <c r="AO223" s="12">
        <v>94663.64</v>
      </c>
      <c r="AP223" s="12">
        <v>1726891.75</v>
      </c>
      <c r="AQ223" s="12">
        <v>11</v>
      </c>
      <c r="AR223" s="12">
        <v>157372.13</v>
      </c>
      <c r="AS223" s="12">
        <v>580722</v>
      </c>
      <c r="AT223" s="12">
        <v>5306941.18</v>
      </c>
      <c r="AU223" s="12">
        <v>26</v>
      </c>
      <c r="AV223" s="12">
        <v>204113.122</v>
      </c>
      <c r="AW223" s="12">
        <v>1216900</v>
      </c>
      <c r="AX223" s="12"/>
      <c r="AY223" s="12"/>
      <c r="AZ223" s="12"/>
      <c r="BA223" s="12"/>
      <c r="BB223" s="12"/>
      <c r="BC223" s="12"/>
      <c r="BD223" s="12"/>
      <c r="BE223" s="12"/>
      <c r="BF223" s="12">
        <v>397</v>
      </c>
      <c r="BG223" s="12">
        <v>0</v>
      </c>
      <c r="BH223" s="12">
        <v>0</v>
      </c>
      <c r="BI223" s="12">
        <v>95</v>
      </c>
      <c r="BJ223" s="12">
        <v>0</v>
      </c>
      <c r="BK223" s="12">
        <v>0</v>
      </c>
      <c r="BL223" s="12">
        <v>48</v>
      </c>
      <c r="BM223" s="12">
        <v>2</v>
      </c>
      <c r="BN223" s="12">
        <v>4.1666666666666664E-2</v>
      </c>
      <c r="BO223" s="12">
        <v>65</v>
      </c>
      <c r="BP223" s="12">
        <v>0</v>
      </c>
      <c r="BQ223" s="12">
        <v>0</v>
      </c>
      <c r="BR223" s="12">
        <v>143</v>
      </c>
      <c r="BS223" s="12">
        <v>9</v>
      </c>
      <c r="BT223" s="12">
        <v>6.2937062937062943E-2</v>
      </c>
      <c r="BU223" s="12">
        <v>748</v>
      </c>
      <c r="BV223" s="12">
        <v>11</v>
      </c>
      <c r="BW223" s="12">
        <v>1.4705882352941176E-2</v>
      </c>
      <c r="BX223" s="12"/>
      <c r="BY223" s="12"/>
      <c r="BZ223" s="12"/>
      <c r="CA223" s="12">
        <v>73674.38</v>
      </c>
      <c r="CB223" s="13"/>
      <c r="CC223" s="13"/>
      <c r="CD223" s="13"/>
      <c r="CE223" s="12">
        <v>5008</v>
      </c>
      <c r="CF223" s="12">
        <v>564</v>
      </c>
      <c r="CG223" s="13">
        <v>49533</v>
      </c>
      <c r="CH223" s="13">
        <v>142</v>
      </c>
      <c r="CI223" s="13">
        <v>14884</v>
      </c>
    </row>
    <row r="224" spans="2:87" x14ac:dyDescent="0.2">
      <c r="B224" s="5">
        <v>45997</v>
      </c>
      <c r="C224" s="12">
        <v>30</v>
      </c>
      <c r="D224" s="12">
        <v>3.1</v>
      </c>
      <c r="E224" s="12">
        <v>219159.69699999999</v>
      </c>
      <c r="F224" s="12">
        <v>0</v>
      </c>
      <c r="G224" s="12">
        <v>6894118.6600000001</v>
      </c>
      <c r="H224" s="12">
        <v>0</v>
      </c>
      <c r="I224" s="12">
        <v>0</v>
      </c>
      <c r="J224" s="12">
        <v>6894118.6600000001</v>
      </c>
      <c r="K224" s="12">
        <v>97500</v>
      </c>
      <c r="L224" s="12">
        <v>0</v>
      </c>
      <c r="M224" s="12">
        <v>1309882.3400000001</v>
      </c>
      <c r="N224" s="12">
        <v>8301501</v>
      </c>
      <c r="O224" s="12">
        <v>220169.07</v>
      </c>
      <c r="P224" s="12">
        <v>6673949.5899999999</v>
      </c>
      <c r="Q224" s="12">
        <v>1863140</v>
      </c>
      <c r="R224" s="12">
        <v>4810809.59</v>
      </c>
      <c r="S224" s="12">
        <v>0</v>
      </c>
      <c r="T224" s="12">
        <v>100</v>
      </c>
      <c r="U224" s="12">
        <v>0</v>
      </c>
      <c r="V224" s="12">
        <v>0</v>
      </c>
      <c r="W224" s="35">
        <v>46144.261731053244</v>
      </c>
      <c r="X224" s="12">
        <v>11</v>
      </c>
      <c r="Y224" s="12">
        <v>12</v>
      </c>
      <c r="Z224" s="12">
        <v>2126050.44</v>
      </c>
      <c r="AA224" s="12">
        <v>150560.22500000001</v>
      </c>
      <c r="AB224" s="12">
        <v>620507</v>
      </c>
      <c r="AC224" s="12">
        <v>1308064.45</v>
      </c>
      <c r="AD224" s="12">
        <v>18</v>
      </c>
      <c r="AE224" s="12">
        <v>18</v>
      </c>
      <c r="AF224" s="12">
        <v>4768068.22</v>
      </c>
      <c r="AG224" s="12">
        <v>264892.67800000001</v>
      </c>
      <c r="AH224" s="12">
        <v>1242633</v>
      </c>
      <c r="AI224" s="12">
        <v>3502745.14</v>
      </c>
      <c r="AJ224" s="12"/>
      <c r="AK224" s="12"/>
      <c r="AL224" s="12"/>
      <c r="AM224" s="12"/>
      <c r="AN224" s="12"/>
      <c r="AO224" s="12"/>
      <c r="AP224" s="12">
        <v>1029412.76</v>
      </c>
      <c r="AQ224" s="12">
        <v>9</v>
      </c>
      <c r="AR224" s="12">
        <v>114379.19500000001</v>
      </c>
      <c r="AS224" s="12">
        <v>289398</v>
      </c>
      <c r="AT224" s="12">
        <v>5864705.9000000004</v>
      </c>
      <c r="AU224" s="12">
        <v>21</v>
      </c>
      <c r="AV224" s="12">
        <v>264065.62599999999</v>
      </c>
      <c r="AW224" s="12">
        <v>1573742</v>
      </c>
      <c r="AX224" s="12"/>
      <c r="AY224" s="12"/>
      <c r="AZ224" s="12"/>
      <c r="BA224" s="12"/>
      <c r="BB224" s="12"/>
      <c r="BC224" s="12"/>
      <c r="BD224" s="12"/>
      <c r="BE224" s="12"/>
      <c r="BF224" s="12">
        <v>166</v>
      </c>
      <c r="BG224" s="12">
        <v>1</v>
      </c>
      <c r="BH224" s="12">
        <v>6.024096385542169E-3</v>
      </c>
      <c r="BI224" s="12">
        <v>109</v>
      </c>
      <c r="BJ224" s="12">
        <v>3</v>
      </c>
      <c r="BK224" s="12">
        <v>2.7522935779816515E-2</v>
      </c>
      <c r="BL224" s="12">
        <v>60</v>
      </c>
      <c r="BM224" s="12">
        <v>2</v>
      </c>
      <c r="BN224" s="12">
        <v>3.3333333333333333E-2</v>
      </c>
      <c r="BO224" s="12">
        <v>48</v>
      </c>
      <c r="BP224" s="12">
        <v>0</v>
      </c>
      <c r="BQ224" s="12">
        <v>0</v>
      </c>
      <c r="BR224" s="12">
        <v>109</v>
      </c>
      <c r="BS224" s="12">
        <v>3</v>
      </c>
      <c r="BT224" s="12">
        <v>2.7522935779816515E-2</v>
      </c>
      <c r="BU224" s="12">
        <v>492</v>
      </c>
      <c r="BV224" s="12">
        <v>9</v>
      </c>
      <c r="BW224" s="12">
        <v>1.8292682926829267E-2</v>
      </c>
      <c r="BX224" s="12"/>
      <c r="BY224" s="12"/>
      <c r="BZ224" s="12"/>
      <c r="CA224" s="12">
        <v>37174.839999999997</v>
      </c>
      <c r="CB224" s="13"/>
      <c r="CC224" s="13"/>
      <c r="CD224" s="13"/>
      <c r="CE224" s="12">
        <v>2927</v>
      </c>
      <c r="CF224" s="12">
        <v>286</v>
      </c>
      <c r="CG224" s="13">
        <v>52823</v>
      </c>
      <c r="CH224" s="13">
        <v>138</v>
      </c>
      <c r="CI224" s="13">
        <v>14336</v>
      </c>
    </row>
    <row r="225" spans="2:87" x14ac:dyDescent="0.2">
      <c r="B225" s="5">
        <v>45998</v>
      </c>
      <c r="C225" s="12">
        <v>38</v>
      </c>
      <c r="D225" s="12">
        <v>3.8</v>
      </c>
      <c r="E225" s="12">
        <v>263069.43800000002</v>
      </c>
      <c r="F225" s="12">
        <v>-4</v>
      </c>
      <c r="G225" s="12">
        <v>10042857.16</v>
      </c>
      <c r="H225" s="12">
        <v>0</v>
      </c>
      <c r="I225" s="12">
        <v>-142857.15</v>
      </c>
      <c r="J225" s="12">
        <v>9900000.0099999998</v>
      </c>
      <c r="K225" s="12">
        <v>115500</v>
      </c>
      <c r="L225" s="12">
        <v>0</v>
      </c>
      <c r="M225" s="12">
        <v>1880999.99</v>
      </c>
      <c r="N225" s="12">
        <v>11896500</v>
      </c>
      <c r="O225" s="12">
        <v>558823.51</v>
      </c>
      <c r="P225" s="12">
        <v>9341176.5</v>
      </c>
      <c r="Q225" s="12">
        <v>3523832</v>
      </c>
      <c r="R225" s="12">
        <v>5817344.5</v>
      </c>
      <c r="S225" s="12">
        <v>0</v>
      </c>
      <c r="T225" s="12">
        <v>143</v>
      </c>
      <c r="U225" s="12">
        <v>0</v>
      </c>
      <c r="V225" s="12">
        <v>0</v>
      </c>
      <c r="W225" s="35">
        <v>46144.261731053244</v>
      </c>
      <c r="X225" s="12">
        <v>16</v>
      </c>
      <c r="Y225" s="12">
        <v>20</v>
      </c>
      <c r="Z225" s="12">
        <v>2806722.7</v>
      </c>
      <c r="AA225" s="12">
        <v>145378.152</v>
      </c>
      <c r="AB225" s="12">
        <v>849873</v>
      </c>
      <c r="AC225" s="12">
        <v>1603908.53</v>
      </c>
      <c r="AD225" s="12">
        <v>18</v>
      </c>
      <c r="AE225" s="12">
        <v>18</v>
      </c>
      <c r="AF225" s="12">
        <v>7093277.3099999996</v>
      </c>
      <c r="AG225" s="12">
        <v>393837.53499999997</v>
      </c>
      <c r="AH225" s="12">
        <v>2673959</v>
      </c>
      <c r="AI225" s="12">
        <v>4213435.97</v>
      </c>
      <c r="AJ225" s="12"/>
      <c r="AK225" s="12"/>
      <c r="AL225" s="12"/>
      <c r="AM225" s="12"/>
      <c r="AN225" s="12"/>
      <c r="AO225" s="12"/>
      <c r="AP225" s="12">
        <v>3761344.54</v>
      </c>
      <c r="AQ225" s="12">
        <v>18</v>
      </c>
      <c r="AR225" s="12">
        <v>214332.4</v>
      </c>
      <c r="AS225" s="12">
        <v>1150300</v>
      </c>
      <c r="AT225" s="12">
        <v>6138655.4699999997</v>
      </c>
      <c r="AU225" s="12">
        <v>20</v>
      </c>
      <c r="AV225" s="12">
        <v>306932.77299999999</v>
      </c>
      <c r="AW225" s="12">
        <v>2373532</v>
      </c>
      <c r="AX225" s="12"/>
      <c r="AY225" s="12"/>
      <c r="AZ225" s="12"/>
      <c r="BA225" s="12"/>
      <c r="BB225" s="12"/>
      <c r="BC225" s="12"/>
      <c r="BD225" s="12"/>
      <c r="BE225" s="12"/>
      <c r="BF225" s="12">
        <v>289</v>
      </c>
      <c r="BG225" s="12">
        <v>1</v>
      </c>
      <c r="BH225" s="12">
        <v>3.4602076124567475E-3</v>
      </c>
      <c r="BI225" s="12">
        <v>97</v>
      </c>
      <c r="BJ225" s="12">
        <v>3</v>
      </c>
      <c r="BK225" s="12">
        <v>3.0927835051546393E-2</v>
      </c>
      <c r="BL225" s="12">
        <v>47</v>
      </c>
      <c r="BM225" s="12">
        <v>3</v>
      </c>
      <c r="BN225" s="12">
        <v>6.3829787234042548E-2</v>
      </c>
      <c r="BO225" s="12">
        <v>55</v>
      </c>
      <c r="BP225" s="12">
        <v>0</v>
      </c>
      <c r="BQ225" s="12">
        <v>0</v>
      </c>
      <c r="BR225" s="12">
        <v>91</v>
      </c>
      <c r="BS225" s="12">
        <v>3</v>
      </c>
      <c r="BT225" s="12">
        <v>3.2967032967032968E-2</v>
      </c>
      <c r="BU225" s="12">
        <v>579</v>
      </c>
      <c r="BV225" s="12">
        <v>10</v>
      </c>
      <c r="BW225" s="12">
        <v>1.7271157167530225E-2</v>
      </c>
      <c r="BX225" s="12"/>
      <c r="BY225" s="12"/>
      <c r="BZ225" s="12"/>
      <c r="CA225" s="12">
        <v>43249.25</v>
      </c>
      <c r="CB225" s="13"/>
      <c r="CC225" s="13"/>
      <c r="CD225" s="13"/>
      <c r="CE225" s="12">
        <v>3654</v>
      </c>
      <c r="CF225" s="12">
        <v>420</v>
      </c>
      <c r="CG225" s="13">
        <v>54219</v>
      </c>
      <c r="CH225" s="13">
        <v>159</v>
      </c>
      <c r="CI225" s="13">
        <v>17257</v>
      </c>
    </row>
    <row r="226" spans="2:87" x14ac:dyDescent="0.2">
      <c r="B226" s="5">
        <v>45999</v>
      </c>
      <c r="C226" s="12">
        <v>39</v>
      </c>
      <c r="D226" s="12">
        <v>2.9</v>
      </c>
      <c r="E226" s="12">
        <v>202639.51699999999</v>
      </c>
      <c r="F226" s="12">
        <v>-4</v>
      </c>
      <c r="G226" s="12">
        <v>8257142.8499999996</v>
      </c>
      <c r="H226" s="12">
        <v>-23109.24</v>
      </c>
      <c r="I226" s="12">
        <v>-184873.96</v>
      </c>
      <c r="J226" s="12">
        <v>8049159.6500000004</v>
      </c>
      <c r="K226" s="12">
        <v>104500</v>
      </c>
      <c r="L226" s="12">
        <v>0</v>
      </c>
      <c r="M226" s="12">
        <v>1529340.35</v>
      </c>
      <c r="N226" s="12">
        <v>9683000</v>
      </c>
      <c r="O226" s="12">
        <v>117647.05</v>
      </c>
      <c r="P226" s="12">
        <v>7931512.5999999996</v>
      </c>
      <c r="Q226" s="12">
        <v>2565014</v>
      </c>
      <c r="R226" s="12">
        <v>5366498.5999999996</v>
      </c>
      <c r="S226" s="12">
        <v>0</v>
      </c>
      <c r="T226" s="12">
        <v>118</v>
      </c>
      <c r="U226" s="12">
        <v>0</v>
      </c>
      <c r="V226" s="12">
        <v>0</v>
      </c>
      <c r="W226" s="35">
        <v>46144.261731053244</v>
      </c>
      <c r="X226" s="12">
        <v>15</v>
      </c>
      <c r="Y226" s="12">
        <v>19</v>
      </c>
      <c r="Z226" s="12">
        <v>4165546.2</v>
      </c>
      <c r="AA226" s="12">
        <v>213489.60500000001</v>
      </c>
      <c r="AB226" s="12">
        <v>1298093</v>
      </c>
      <c r="AC226" s="12">
        <v>2779217.91</v>
      </c>
      <c r="AD226" s="12">
        <v>18</v>
      </c>
      <c r="AE226" s="12">
        <v>18</v>
      </c>
      <c r="AF226" s="12">
        <v>3728151.26</v>
      </c>
      <c r="AG226" s="12">
        <v>205065.359</v>
      </c>
      <c r="AH226" s="12">
        <v>1219898</v>
      </c>
      <c r="AI226" s="12">
        <v>2478841.5</v>
      </c>
      <c r="AJ226" s="12">
        <v>1</v>
      </c>
      <c r="AK226" s="12">
        <v>2</v>
      </c>
      <c r="AL226" s="12">
        <v>155462.19</v>
      </c>
      <c r="AM226" s="12">
        <v>77731.095000000001</v>
      </c>
      <c r="AN226" s="12">
        <v>47023</v>
      </c>
      <c r="AO226" s="12">
        <v>108439.19</v>
      </c>
      <c r="AP226" s="12">
        <v>3184033.6</v>
      </c>
      <c r="AQ226" s="12">
        <v>15</v>
      </c>
      <c r="AR226" s="12">
        <v>209803.92</v>
      </c>
      <c r="AS226" s="12">
        <v>985281</v>
      </c>
      <c r="AT226" s="12">
        <v>4056302.52</v>
      </c>
      <c r="AU226" s="12">
        <v>23</v>
      </c>
      <c r="AV226" s="12">
        <v>171611.253</v>
      </c>
      <c r="AW226" s="12">
        <v>1316735</v>
      </c>
      <c r="AX226" s="12"/>
      <c r="AY226" s="12"/>
      <c r="AZ226" s="12"/>
      <c r="BA226" s="12"/>
      <c r="BB226" s="12">
        <v>808823.53</v>
      </c>
      <c r="BC226" s="12">
        <v>1</v>
      </c>
      <c r="BD226" s="12">
        <v>808823.53</v>
      </c>
      <c r="BE226" s="12">
        <v>262998</v>
      </c>
      <c r="BF226" s="12">
        <v>148</v>
      </c>
      <c r="BG226" s="12">
        <v>0</v>
      </c>
      <c r="BH226" s="12">
        <v>0</v>
      </c>
      <c r="BI226" s="12">
        <v>105</v>
      </c>
      <c r="BJ226" s="12">
        <v>2</v>
      </c>
      <c r="BK226" s="12">
        <v>1.9047619047619049E-2</v>
      </c>
      <c r="BL226" s="12">
        <v>64</v>
      </c>
      <c r="BM226" s="12">
        <v>4</v>
      </c>
      <c r="BN226" s="12">
        <v>6.25E-2</v>
      </c>
      <c r="BO226" s="12">
        <v>28</v>
      </c>
      <c r="BP226" s="12">
        <v>0</v>
      </c>
      <c r="BQ226" s="12">
        <v>0</v>
      </c>
      <c r="BR226" s="12">
        <v>155</v>
      </c>
      <c r="BS226" s="12">
        <v>5</v>
      </c>
      <c r="BT226" s="12">
        <v>3.2258064516129031E-2</v>
      </c>
      <c r="BU226" s="12">
        <v>500</v>
      </c>
      <c r="BV226" s="12">
        <v>11</v>
      </c>
      <c r="BW226" s="12">
        <v>2.1999999999999999E-2</v>
      </c>
      <c r="BX226" s="12"/>
      <c r="BY226" s="12"/>
      <c r="BZ226" s="12"/>
      <c r="CA226" s="12">
        <v>49928.21</v>
      </c>
      <c r="CB226" s="13"/>
      <c r="CC226" s="13"/>
      <c r="CD226" s="13"/>
      <c r="CE226" s="12">
        <v>2365</v>
      </c>
      <c r="CF226" s="12">
        <v>307</v>
      </c>
      <c r="CG226" s="13">
        <v>57844</v>
      </c>
      <c r="CH226" s="13">
        <v>156</v>
      </c>
      <c r="CI226" s="13">
        <v>17732</v>
      </c>
    </row>
    <row r="227" spans="2:87" x14ac:dyDescent="0.2">
      <c r="B227" s="5">
        <v>46000</v>
      </c>
      <c r="C227" s="12">
        <v>62</v>
      </c>
      <c r="D227" s="12">
        <v>2.2000000000000002</v>
      </c>
      <c r="E227" s="12">
        <v>154455.94899999999</v>
      </c>
      <c r="F227" s="12">
        <v>-1</v>
      </c>
      <c r="G227" s="12">
        <v>9706520.9900000002</v>
      </c>
      <c r="H227" s="12">
        <v>0</v>
      </c>
      <c r="I227" s="12">
        <v>-84033.61</v>
      </c>
      <c r="J227" s="12">
        <v>9622487.3800000008</v>
      </c>
      <c r="K227" s="12">
        <v>144501</v>
      </c>
      <c r="L227" s="12">
        <v>0</v>
      </c>
      <c r="M227" s="12">
        <v>1789512.62</v>
      </c>
      <c r="N227" s="12">
        <v>11556501</v>
      </c>
      <c r="O227" s="12">
        <v>88235.28</v>
      </c>
      <c r="P227" s="12">
        <v>9534252.0999999996</v>
      </c>
      <c r="Q227" s="12">
        <v>3046918</v>
      </c>
      <c r="R227" s="12">
        <v>6487334.0999999996</v>
      </c>
      <c r="S227" s="12">
        <v>0</v>
      </c>
      <c r="T227" s="12">
        <v>135</v>
      </c>
      <c r="U227" s="12">
        <v>0</v>
      </c>
      <c r="V227" s="12">
        <v>0</v>
      </c>
      <c r="W227" s="35">
        <v>46144.261731053244</v>
      </c>
      <c r="X227" s="12">
        <v>28</v>
      </c>
      <c r="Y227" s="12">
        <v>28</v>
      </c>
      <c r="Z227" s="12">
        <v>4579243.6900000004</v>
      </c>
      <c r="AA227" s="12">
        <v>161893.75700000001</v>
      </c>
      <c r="AB227" s="12">
        <v>1450921</v>
      </c>
      <c r="AC227" s="12">
        <v>3098910.93</v>
      </c>
      <c r="AD227" s="12">
        <v>34</v>
      </c>
      <c r="AE227" s="12">
        <v>34</v>
      </c>
      <c r="AF227" s="12">
        <v>5043243.6900000004</v>
      </c>
      <c r="AG227" s="12">
        <v>148330.696</v>
      </c>
      <c r="AH227" s="12">
        <v>1595997</v>
      </c>
      <c r="AI227" s="12">
        <v>3388423.17</v>
      </c>
      <c r="AJ227" s="12"/>
      <c r="AK227" s="12"/>
      <c r="AL227" s="12"/>
      <c r="AM227" s="12"/>
      <c r="AN227" s="12"/>
      <c r="AO227" s="12"/>
      <c r="AP227" s="12">
        <v>3567226.9</v>
      </c>
      <c r="AQ227" s="12">
        <v>20</v>
      </c>
      <c r="AR227" s="12">
        <v>178361.345</v>
      </c>
      <c r="AS227" s="12">
        <v>1192095</v>
      </c>
      <c r="AT227" s="12">
        <v>6055260.4800000004</v>
      </c>
      <c r="AU227" s="12">
        <v>42</v>
      </c>
      <c r="AV227" s="12">
        <v>143072.42800000001</v>
      </c>
      <c r="AW227" s="12">
        <v>1854823</v>
      </c>
      <c r="AX227" s="12"/>
      <c r="AY227" s="12"/>
      <c r="AZ227" s="12"/>
      <c r="BA227" s="12"/>
      <c r="BB227" s="12"/>
      <c r="BC227" s="12"/>
      <c r="BD227" s="12"/>
      <c r="BE227" s="12"/>
      <c r="BF227" s="12">
        <v>260</v>
      </c>
      <c r="BG227" s="12">
        <v>0</v>
      </c>
      <c r="BH227" s="12">
        <v>0</v>
      </c>
      <c r="BI227" s="12">
        <v>128</v>
      </c>
      <c r="BJ227" s="12">
        <v>1</v>
      </c>
      <c r="BK227" s="12">
        <v>7.8125E-3</v>
      </c>
      <c r="BL227" s="12">
        <v>101</v>
      </c>
      <c r="BM227" s="12">
        <v>7</v>
      </c>
      <c r="BN227" s="12">
        <v>6.9306930693069313E-2</v>
      </c>
      <c r="BO227" s="12">
        <v>43</v>
      </c>
      <c r="BP227" s="12">
        <v>0</v>
      </c>
      <c r="BQ227" s="12">
        <v>0</v>
      </c>
      <c r="BR227" s="12">
        <v>144</v>
      </c>
      <c r="BS227" s="12">
        <v>10</v>
      </c>
      <c r="BT227" s="12">
        <v>6.9444444444444448E-2</v>
      </c>
      <c r="BU227" s="12">
        <v>676</v>
      </c>
      <c r="BV227" s="12">
        <v>18</v>
      </c>
      <c r="BW227" s="12">
        <v>2.6627218934911243E-2</v>
      </c>
      <c r="BX227" s="12"/>
      <c r="BY227" s="12"/>
      <c r="BZ227" s="12"/>
      <c r="CA227" s="12">
        <v>75081.820000000007</v>
      </c>
      <c r="CB227" s="13"/>
      <c r="CC227" s="13"/>
      <c r="CD227" s="13"/>
      <c r="CE227" s="12">
        <v>3790</v>
      </c>
      <c r="CF227" s="12">
        <v>420</v>
      </c>
      <c r="CG227" s="13">
        <v>52424</v>
      </c>
      <c r="CH227" s="13">
        <v>151</v>
      </c>
      <c r="CI227" s="13">
        <v>16447</v>
      </c>
    </row>
    <row r="228" spans="2:87" x14ac:dyDescent="0.2">
      <c r="B228" s="5">
        <v>46001</v>
      </c>
      <c r="C228" s="12">
        <v>81</v>
      </c>
      <c r="D228" s="12">
        <v>2.7</v>
      </c>
      <c r="E228" s="12">
        <v>183373.58600000001</v>
      </c>
      <c r="F228" s="12">
        <v>-3</v>
      </c>
      <c r="G228" s="12">
        <v>14853260.529999999</v>
      </c>
      <c r="H228" s="12">
        <v>0</v>
      </c>
      <c r="I228" s="12">
        <v>-205882.36</v>
      </c>
      <c r="J228" s="12">
        <v>14647378.17</v>
      </c>
      <c r="K228" s="12">
        <v>121000</v>
      </c>
      <c r="L228" s="12">
        <v>0</v>
      </c>
      <c r="M228" s="12">
        <v>2708521.83</v>
      </c>
      <c r="N228" s="12">
        <v>17476900</v>
      </c>
      <c r="O228" s="12">
        <v>345134.44</v>
      </c>
      <c r="P228" s="12">
        <v>14302243.73</v>
      </c>
      <c r="Q228" s="12">
        <v>4356913</v>
      </c>
      <c r="R228" s="12">
        <v>9945330.7300000004</v>
      </c>
      <c r="S228" s="12">
        <v>0</v>
      </c>
      <c r="T228" s="12">
        <v>215</v>
      </c>
      <c r="U228" s="12">
        <v>0</v>
      </c>
      <c r="V228" s="12">
        <v>0</v>
      </c>
      <c r="W228" s="35">
        <v>46144.261731053244</v>
      </c>
      <c r="X228" s="12">
        <v>22</v>
      </c>
      <c r="Y228" s="12">
        <v>24</v>
      </c>
      <c r="Z228" s="12">
        <v>3713630.24</v>
      </c>
      <c r="AA228" s="12">
        <v>163313.02499999999</v>
      </c>
      <c r="AB228" s="12">
        <v>1222479</v>
      </c>
      <c r="AC228" s="12">
        <v>2333327.7200000002</v>
      </c>
      <c r="AD228" s="12">
        <v>57</v>
      </c>
      <c r="AE228" s="12">
        <v>57</v>
      </c>
      <c r="AF228" s="12">
        <v>10933747.93</v>
      </c>
      <c r="AG228" s="12">
        <v>191820.139</v>
      </c>
      <c r="AH228" s="12">
        <v>3134434</v>
      </c>
      <c r="AI228" s="12">
        <v>7612003.0099999998</v>
      </c>
      <c r="AJ228" s="12"/>
      <c r="AK228" s="12"/>
      <c r="AL228" s="12"/>
      <c r="AM228" s="12"/>
      <c r="AN228" s="12"/>
      <c r="AO228" s="12"/>
      <c r="AP228" s="12">
        <v>4054621.87</v>
      </c>
      <c r="AQ228" s="12">
        <v>27</v>
      </c>
      <c r="AR228" s="12">
        <v>150171.18</v>
      </c>
      <c r="AS228" s="12">
        <v>1086466</v>
      </c>
      <c r="AT228" s="12">
        <v>9363470.5800000001</v>
      </c>
      <c r="AU228" s="12">
        <v>42</v>
      </c>
      <c r="AV228" s="12">
        <v>227841.736</v>
      </c>
      <c r="AW228" s="12">
        <v>2894146</v>
      </c>
      <c r="AX228" s="12"/>
      <c r="AY228" s="12"/>
      <c r="AZ228" s="12"/>
      <c r="BA228" s="12"/>
      <c r="BB228" s="12"/>
      <c r="BC228" s="12"/>
      <c r="BD228" s="12"/>
      <c r="BE228" s="12"/>
      <c r="BF228" s="12">
        <v>141</v>
      </c>
      <c r="BG228" s="12">
        <v>0</v>
      </c>
      <c r="BH228" s="12">
        <v>0</v>
      </c>
      <c r="BI228" s="12">
        <v>100</v>
      </c>
      <c r="BJ228" s="12">
        <v>3</v>
      </c>
      <c r="BK228" s="12">
        <v>0.03</v>
      </c>
      <c r="BL228" s="12">
        <v>106</v>
      </c>
      <c r="BM228" s="12">
        <v>4</v>
      </c>
      <c r="BN228" s="12">
        <v>3.7735849056603772E-2</v>
      </c>
      <c r="BO228" s="12">
        <v>11</v>
      </c>
      <c r="BP228" s="12">
        <v>0</v>
      </c>
      <c r="BQ228" s="12">
        <v>0</v>
      </c>
      <c r="BR228" s="12">
        <v>168</v>
      </c>
      <c r="BS228" s="12">
        <v>7</v>
      </c>
      <c r="BT228" s="12">
        <v>4.1666666666666664E-2</v>
      </c>
      <c r="BU228" s="12">
        <v>526</v>
      </c>
      <c r="BV228" s="12">
        <v>14</v>
      </c>
      <c r="BW228" s="12">
        <v>2.6615969581749048E-2</v>
      </c>
      <c r="BX228" s="12"/>
      <c r="BY228" s="12"/>
      <c r="BZ228" s="12"/>
      <c r="CA228" s="12">
        <v>45623.8</v>
      </c>
      <c r="CB228" s="13"/>
      <c r="CC228" s="13"/>
      <c r="CD228" s="13"/>
      <c r="CE228" s="12">
        <v>2223</v>
      </c>
      <c r="CF228" s="12">
        <v>295</v>
      </c>
      <c r="CG228" s="13">
        <v>45870</v>
      </c>
      <c r="CH228" s="13">
        <v>136</v>
      </c>
      <c r="CI228" s="13">
        <v>14656</v>
      </c>
    </row>
    <row r="229" spans="2:87" x14ac:dyDescent="0.2">
      <c r="B229" s="5">
        <v>46002</v>
      </c>
      <c r="C229" s="12">
        <v>119</v>
      </c>
      <c r="D229" s="12">
        <v>2.1</v>
      </c>
      <c r="E229" s="12">
        <v>123871.13400000001</v>
      </c>
      <c r="F229" s="12">
        <v>-2</v>
      </c>
      <c r="G229" s="12">
        <v>14750748.99</v>
      </c>
      <c r="H229" s="12">
        <v>0</v>
      </c>
      <c r="I229" s="12">
        <v>-18823.53</v>
      </c>
      <c r="J229" s="12">
        <v>14731925.460000001</v>
      </c>
      <c r="K229" s="12">
        <v>139000</v>
      </c>
      <c r="L229" s="12">
        <v>0</v>
      </c>
      <c r="M229" s="12">
        <v>2650675.54</v>
      </c>
      <c r="N229" s="12">
        <v>17521601</v>
      </c>
      <c r="O229" s="12">
        <v>174874.92</v>
      </c>
      <c r="P229" s="12">
        <v>14557050.539999999</v>
      </c>
      <c r="Q229" s="12">
        <v>4427725</v>
      </c>
      <c r="R229" s="12">
        <v>10129325.539999999</v>
      </c>
      <c r="S229" s="12">
        <v>0</v>
      </c>
      <c r="T229" s="12">
        <v>246</v>
      </c>
      <c r="U229" s="12">
        <v>0</v>
      </c>
      <c r="V229" s="12">
        <v>0</v>
      </c>
      <c r="W229" s="35">
        <v>46144.261731053244</v>
      </c>
      <c r="X229" s="12">
        <v>40</v>
      </c>
      <c r="Y229" s="12">
        <v>44</v>
      </c>
      <c r="Z229" s="12">
        <v>6773630.29</v>
      </c>
      <c r="AA229" s="12">
        <v>153946.14199999999</v>
      </c>
      <c r="AB229" s="12">
        <v>1977838</v>
      </c>
      <c r="AC229" s="12">
        <v>4728565.42</v>
      </c>
      <c r="AD229" s="12">
        <v>70</v>
      </c>
      <c r="AE229" s="12">
        <v>70</v>
      </c>
      <c r="AF229" s="12">
        <v>7632244.7400000002</v>
      </c>
      <c r="AG229" s="12">
        <v>109156.917</v>
      </c>
      <c r="AH229" s="12">
        <v>2365172</v>
      </c>
      <c r="AI229" s="12">
        <v>5159424.6900000004</v>
      </c>
      <c r="AJ229" s="12">
        <v>1</v>
      </c>
      <c r="AK229" s="12">
        <v>5</v>
      </c>
      <c r="AL229" s="12">
        <v>326050.43</v>
      </c>
      <c r="AM229" s="12">
        <v>65210.086000000003</v>
      </c>
      <c r="AN229" s="12">
        <v>84715</v>
      </c>
      <c r="AO229" s="12">
        <v>241335.43</v>
      </c>
      <c r="AP229" s="12">
        <v>8451261.5500000007</v>
      </c>
      <c r="AQ229" s="12">
        <v>74</v>
      </c>
      <c r="AR229" s="12">
        <v>114206.23699999999</v>
      </c>
      <c r="AS229" s="12">
        <v>2320360</v>
      </c>
      <c r="AT229" s="12">
        <v>5881840.3799999999</v>
      </c>
      <c r="AU229" s="12">
        <v>42</v>
      </c>
      <c r="AV229" s="12">
        <v>140043.818</v>
      </c>
      <c r="AW229" s="12">
        <v>1997010</v>
      </c>
      <c r="AX229" s="12"/>
      <c r="AY229" s="12"/>
      <c r="AZ229" s="12"/>
      <c r="BA229" s="12"/>
      <c r="BB229" s="12"/>
      <c r="BC229" s="12"/>
      <c r="BD229" s="12"/>
      <c r="BE229" s="12"/>
      <c r="BF229" s="12">
        <v>303</v>
      </c>
      <c r="BG229" s="12">
        <v>0</v>
      </c>
      <c r="BH229" s="12">
        <v>0</v>
      </c>
      <c r="BI229" s="12">
        <v>147</v>
      </c>
      <c r="BJ229" s="12">
        <v>1</v>
      </c>
      <c r="BK229" s="12">
        <v>6.8027210884353739E-3</v>
      </c>
      <c r="BL229" s="12">
        <v>102</v>
      </c>
      <c r="BM229" s="12">
        <v>10</v>
      </c>
      <c r="BN229" s="12">
        <v>9.8039215686274508E-2</v>
      </c>
      <c r="BO229" s="12">
        <v>27</v>
      </c>
      <c r="BP229" s="12">
        <v>0</v>
      </c>
      <c r="BQ229" s="12">
        <v>0</v>
      </c>
      <c r="BR229" s="12">
        <v>137</v>
      </c>
      <c r="BS229" s="12">
        <v>7</v>
      </c>
      <c r="BT229" s="12">
        <v>5.1094890510948905E-2</v>
      </c>
      <c r="BU229" s="12">
        <v>716</v>
      </c>
      <c r="BV229" s="12">
        <v>18</v>
      </c>
      <c r="BW229" s="12">
        <v>2.5139664804469275E-2</v>
      </c>
      <c r="BX229" s="12"/>
      <c r="BY229" s="12"/>
      <c r="BZ229" s="12"/>
      <c r="CA229" s="12">
        <v>71321.960000000006</v>
      </c>
      <c r="CB229" s="13"/>
      <c r="CC229" s="13"/>
      <c r="CD229" s="13"/>
      <c r="CE229" s="12">
        <v>3461</v>
      </c>
      <c r="CF229" s="12">
        <v>491</v>
      </c>
      <c r="CG229" s="13">
        <v>48021</v>
      </c>
      <c r="CH229" s="13">
        <v>183</v>
      </c>
      <c r="CI229" s="13">
        <v>15745</v>
      </c>
    </row>
    <row r="230" spans="2:87" x14ac:dyDescent="0.2">
      <c r="B230" s="5">
        <v>46003</v>
      </c>
      <c r="C230" s="12">
        <v>107</v>
      </c>
      <c r="D230" s="12">
        <v>2.7</v>
      </c>
      <c r="E230" s="12">
        <v>170833.51300000001</v>
      </c>
      <c r="F230" s="12">
        <v>-1</v>
      </c>
      <c r="G230" s="12">
        <v>18479185.949999999</v>
      </c>
      <c r="H230" s="12">
        <v>-141176.46</v>
      </c>
      <c r="I230" s="12">
        <v>-100840.33</v>
      </c>
      <c r="J230" s="12">
        <v>18237169.16</v>
      </c>
      <c r="K230" s="12">
        <v>79500</v>
      </c>
      <c r="L230" s="12">
        <v>0</v>
      </c>
      <c r="M230" s="12">
        <v>3423831.84</v>
      </c>
      <c r="N230" s="12">
        <v>21740501</v>
      </c>
      <c r="O230" s="12">
        <v>286555.59000000003</v>
      </c>
      <c r="P230" s="12">
        <v>17950613.57</v>
      </c>
      <c r="Q230" s="12">
        <v>5673593</v>
      </c>
      <c r="R230" s="12">
        <v>12277020.57</v>
      </c>
      <c r="S230" s="12">
        <v>0</v>
      </c>
      <c r="T230" s="12">
        <v>294</v>
      </c>
      <c r="U230" s="12">
        <v>0</v>
      </c>
      <c r="V230" s="12">
        <v>0</v>
      </c>
      <c r="W230" s="35">
        <v>46144.261731053244</v>
      </c>
      <c r="X230" s="12">
        <v>29</v>
      </c>
      <c r="Y230" s="12">
        <v>33</v>
      </c>
      <c r="Z230" s="12">
        <v>4641244.71</v>
      </c>
      <c r="AA230" s="12">
        <v>140643.77900000001</v>
      </c>
      <c r="AB230" s="12">
        <v>1312468</v>
      </c>
      <c r="AC230" s="12">
        <v>3232977.41</v>
      </c>
      <c r="AD230" s="12">
        <v>60</v>
      </c>
      <c r="AE230" s="12">
        <v>60</v>
      </c>
      <c r="AF230" s="12">
        <v>12387100.890000001</v>
      </c>
      <c r="AG230" s="12">
        <v>207151.96100000001</v>
      </c>
      <c r="AH230" s="12">
        <v>3999771</v>
      </c>
      <c r="AI230" s="12">
        <v>8196573.5999999996</v>
      </c>
      <c r="AJ230" s="12">
        <v>1</v>
      </c>
      <c r="AK230" s="12">
        <v>14</v>
      </c>
      <c r="AL230" s="12">
        <v>1208823.56</v>
      </c>
      <c r="AM230" s="12">
        <v>86344.54</v>
      </c>
      <c r="AN230" s="12">
        <v>361354</v>
      </c>
      <c r="AO230" s="12">
        <v>847469.56</v>
      </c>
      <c r="AP230" s="12">
        <v>10614706.939999999</v>
      </c>
      <c r="AQ230" s="12">
        <v>74</v>
      </c>
      <c r="AR230" s="12">
        <v>144009.78</v>
      </c>
      <c r="AS230" s="12">
        <v>3066931</v>
      </c>
      <c r="AT230" s="12">
        <v>4596411.8</v>
      </c>
      <c r="AU230" s="12">
        <v>29</v>
      </c>
      <c r="AV230" s="12">
        <v>158496.95800000001</v>
      </c>
      <c r="AW230" s="12">
        <v>1361557</v>
      </c>
      <c r="AX230" s="12"/>
      <c r="AY230" s="12"/>
      <c r="AZ230" s="12"/>
      <c r="BA230" s="12"/>
      <c r="BB230" s="12">
        <v>2682352.94</v>
      </c>
      <c r="BC230" s="12">
        <v>1</v>
      </c>
      <c r="BD230" s="12">
        <v>2682352.94</v>
      </c>
      <c r="BE230" s="12">
        <v>1168160</v>
      </c>
      <c r="BF230" s="12">
        <v>91</v>
      </c>
      <c r="BG230" s="12">
        <v>0</v>
      </c>
      <c r="BH230" s="12">
        <v>0</v>
      </c>
      <c r="BI230" s="12">
        <v>79</v>
      </c>
      <c r="BJ230" s="12">
        <v>4</v>
      </c>
      <c r="BK230" s="12">
        <v>5.0632911392405063E-2</v>
      </c>
      <c r="BL230" s="12">
        <v>83</v>
      </c>
      <c r="BM230" s="12">
        <v>2</v>
      </c>
      <c r="BN230" s="12">
        <v>2.4096385542168676E-2</v>
      </c>
      <c r="BO230" s="12">
        <v>27</v>
      </c>
      <c r="BP230" s="12">
        <v>0</v>
      </c>
      <c r="BQ230" s="12">
        <v>0</v>
      </c>
      <c r="BR230" s="12">
        <v>88</v>
      </c>
      <c r="BS230" s="12">
        <v>3</v>
      </c>
      <c r="BT230" s="12">
        <v>3.4090909090909088E-2</v>
      </c>
      <c r="BU230" s="12">
        <v>368</v>
      </c>
      <c r="BV230" s="12">
        <v>9</v>
      </c>
      <c r="BW230" s="12">
        <v>2.4456521739130436E-2</v>
      </c>
      <c r="BX230" s="12"/>
      <c r="BY230" s="12"/>
      <c r="BZ230" s="12"/>
      <c r="CA230" s="12">
        <v>31776.21</v>
      </c>
      <c r="CB230" s="13"/>
      <c r="CC230" s="13"/>
      <c r="CD230" s="13"/>
      <c r="CE230" s="12">
        <v>2504</v>
      </c>
      <c r="CF230" s="12">
        <v>260</v>
      </c>
      <c r="CG230" s="13">
        <v>51390</v>
      </c>
      <c r="CH230" s="13">
        <v>120</v>
      </c>
      <c r="CI230" s="13">
        <v>15680</v>
      </c>
    </row>
    <row r="231" spans="2:87" x14ac:dyDescent="0.2">
      <c r="B231" s="5">
        <v>46004</v>
      </c>
      <c r="C231" s="12">
        <v>141</v>
      </c>
      <c r="D231" s="12">
        <v>2.1</v>
      </c>
      <c r="E231" s="12">
        <v>128623.29300000001</v>
      </c>
      <c r="F231" s="12">
        <v>-1</v>
      </c>
      <c r="G231" s="12">
        <v>18146388.600000001</v>
      </c>
      <c r="H231" s="12">
        <v>0</v>
      </c>
      <c r="I231" s="12">
        <v>-46218.49</v>
      </c>
      <c r="J231" s="12">
        <v>18100170.109999999</v>
      </c>
      <c r="K231" s="12">
        <v>173500</v>
      </c>
      <c r="L231" s="12">
        <v>0</v>
      </c>
      <c r="M231" s="12">
        <v>3273731.89</v>
      </c>
      <c r="N231" s="12">
        <v>21547402</v>
      </c>
      <c r="O231" s="12">
        <v>150758.26999999999</v>
      </c>
      <c r="P231" s="12">
        <v>17949411.84</v>
      </c>
      <c r="Q231" s="12">
        <v>5433650</v>
      </c>
      <c r="R231" s="12">
        <v>12515761.84</v>
      </c>
      <c r="S231" s="12">
        <v>0</v>
      </c>
      <c r="T231" s="12">
        <v>296</v>
      </c>
      <c r="U231" s="12">
        <v>0</v>
      </c>
      <c r="V231" s="12">
        <v>0</v>
      </c>
      <c r="W231" s="35">
        <v>46144.261731053244</v>
      </c>
      <c r="X231" s="12">
        <v>38</v>
      </c>
      <c r="Y231" s="12">
        <v>40</v>
      </c>
      <c r="Z231" s="12">
        <v>6454033.6100000003</v>
      </c>
      <c r="AA231" s="12">
        <v>161350.84</v>
      </c>
      <c r="AB231" s="12">
        <v>2016608</v>
      </c>
      <c r="AC231" s="12">
        <v>4368518.04</v>
      </c>
      <c r="AD231" s="12">
        <v>79</v>
      </c>
      <c r="AE231" s="12">
        <v>79</v>
      </c>
      <c r="AF231" s="12">
        <v>10277228.91</v>
      </c>
      <c r="AG231" s="12">
        <v>130543.584</v>
      </c>
      <c r="AH231" s="12">
        <v>3021364</v>
      </c>
      <c r="AI231" s="12">
        <v>7174014.21</v>
      </c>
      <c r="AJ231" s="12">
        <v>1</v>
      </c>
      <c r="AK231" s="12">
        <v>22</v>
      </c>
      <c r="AL231" s="12">
        <v>1368907.59</v>
      </c>
      <c r="AM231" s="12">
        <v>62223.072</v>
      </c>
      <c r="AN231" s="12">
        <v>395678</v>
      </c>
      <c r="AO231" s="12">
        <v>973229.59</v>
      </c>
      <c r="AP231" s="12">
        <v>12328741.550000001</v>
      </c>
      <c r="AQ231" s="12">
        <v>108</v>
      </c>
      <c r="AR231" s="12">
        <v>114155.014</v>
      </c>
      <c r="AS231" s="12">
        <v>3599415</v>
      </c>
      <c r="AT231" s="12">
        <v>5771428.5599999996</v>
      </c>
      <c r="AU231" s="12">
        <v>33</v>
      </c>
      <c r="AV231" s="12">
        <v>175974.02499999999</v>
      </c>
      <c r="AW231" s="12">
        <v>1834235</v>
      </c>
      <c r="AX231" s="12"/>
      <c r="AY231" s="12"/>
      <c r="AZ231" s="12"/>
      <c r="BA231" s="12"/>
      <c r="BB231" s="12"/>
      <c r="BC231" s="12"/>
      <c r="BD231" s="12"/>
      <c r="BE231" s="12"/>
      <c r="BF231" s="12">
        <v>224</v>
      </c>
      <c r="BG231" s="12">
        <v>0</v>
      </c>
      <c r="BH231" s="12">
        <v>0</v>
      </c>
      <c r="BI231" s="12">
        <v>121</v>
      </c>
      <c r="BJ231" s="12">
        <v>5</v>
      </c>
      <c r="BK231" s="12">
        <v>4.1322314049586778E-2</v>
      </c>
      <c r="BL231" s="12">
        <v>81</v>
      </c>
      <c r="BM231" s="12">
        <v>7</v>
      </c>
      <c r="BN231" s="12">
        <v>8.6419753086419748E-2</v>
      </c>
      <c r="BO231" s="12">
        <v>25</v>
      </c>
      <c r="BP231" s="12">
        <v>0</v>
      </c>
      <c r="BQ231" s="12">
        <v>0</v>
      </c>
      <c r="BR231" s="12">
        <v>98</v>
      </c>
      <c r="BS231" s="12">
        <v>7</v>
      </c>
      <c r="BT231" s="12">
        <v>7.1428571428571425E-2</v>
      </c>
      <c r="BU231" s="12">
        <v>549</v>
      </c>
      <c r="BV231" s="12">
        <v>19</v>
      </c>
      <c r="BW231" s="12">
        <v>3.4608378870673952E-2</v>
      </c>
      <c r="BX231" s="12"/>
      <c r="BY231" s="12"/>
      <c r="BZ231" s="12"/>
      <c r="CA231" s="12">
        <v>56539.35</v>
      </c>
      <c r="CB231" s="13"/>
      <c r="CC231" s="13"/>
      <c r="CD231" s="13"/>
      <c r="CE231" s="12">
        <v>3553</v>
      </c>
      <c r="CF231" s="12">
        <v>429</v>
      </c>
      <c r="CG231" s="13">
        <v>52371</v>
      </c>
      <c r="CH231" s="13">
        <v>141</v>
      </c>
      <c r="CI231" s="13">
        <v>14743</v>
      </c>
    </row>
    <row r="232" spans="2:87" x14ac:dyDescent="0.2">
      <c r="B232" s="5">
        <v>46005</v>
      </c>
      <c r="C232" s="12">
        <v>149</v>
      </c>
      <c r="D232" s="12">
        <v>2.2000000000000002</v>
      </c>
      <c r="E232" s="12">
        <v>115679.318</v>
      </c>
      <c r="F232" s="12">
        <v>-7</v>
      </c>
      <c r="G232" s="12">
        <v>17236218.52</v>
      </c>
      <c r="H232" s="12">
        <v>0</v>
      </c>
      <c r="I232" s="12">
        <v>-52941.17</v>
      </c>
      <c r="J232" s="12">
        <v>17183277.350000001</v>
      </c>
      <c r="K232" s="12">
        <v>182000</v>
      </c>
      <c r="L232" s="12">
        <v>0</v>
      </c>
      <c r="M232" s="12">
        <v>3209722.65</v>
      </c>
      <c r="N232" s="12">
        <v>20575000</v>
      </c>
      <c r="O232" s="12">
        <v>280252.08</v>
      </c>
      <c r="P232" s="12">
        <v>16903025.27</v>
      </c>
      <c r="Q232" s="12">
        <v>4992943</v>
      </c>
      <c r="R232" s="12">
        <v>11910082.27</v>
      </c>
      <c r="S232" s="12">
        <v>0</v>
      </c>
      <c r="T232" s="12">
        <v>322</v>
      </c>
      <c r="U232" s="12">
        <v>0</v>
      </c>
      <c r="V232" s="12">
        <v>0</v>
      </c>
      <c r="W232" s="35">
        <v>46144.261731053244</v>
      </c>
      <c r="X232" s="12">
        <v>38</v>
      </c>
      <c r="Y232" s="12">
        <v>59</v>
      </c>
      <c r="Z232" s="12">
        <v>7726428.5800000001</v>
      </c>
      <c r="AA232" s="12">
        <v>131340.97700000001</v>
      </c>
      <c r="AB232" s="12">
        <v>2339590</v>
      </c>
      <c r="AC232" s="12">
        <v>5288519.25</v>
      </c>
      <c r="AD232" s="12">
        <v>73</v>
      </c>
      <c r="AE232" s="12">
        <v>73</v>
      </c>
      <c r="AF232" s="12">
        <v>8431638.6799999997</v>
      </c>
      <c r="AG232" s="12">
        <v>115916.31200000001</v>
      </c>
      <c r="AH232" s="12">
        <v>2368670</v>
      </c>
      <c r="AI232" s="12">
        <v>5881035.9299999997</v>
      </c>
      <c r="AJ232" s="12">
        <v>1</v>
      </c>
      <c r="AK232" s="12">
        <v>17</v>
      </c>
      <c r="AL232" s="12">
        <v>1025210.09</v>
      </c>
      <c r="AM232" s="12">
        <v>60306.474999999999</v>
      </c>
      <c r="AN232" s="12">
        <v>284683</v>
      </c>
      <c r="AO232" s="12">
        <v>740527.09</v>
      </c>
      <c r="AP232" s="12">
        <v>4906554.6500000004</v>
      </c>
      <c r="AQ232" s="12">
        <v>42</v>
      </c>
      <c r="AR232" s="12">
        <v>118083.23299999999</v>
      </c>
      <c r="AS232" s="12">
        <v>1406421</v>
      </c>
      <c r="AT232" s="12">
        <v>5107394.95</v>
      </c>
      <c r="AU232" s="12">
        <v>39</v>
      </c>
      <c r="AV232" s="12">
        <v>130958.844</v>
      </c>
      <c r="AW232" s="12">
        <v>1631765</v>
      </c>
      <c r="AX232" s="12"/>
      <c r="AY232" s="12"/>
      <c r="AZ232" s="12"/>
      <c r="BA232" s="12"/>
      <c r="BB232" s="12"/>
      <c r="BC232" s="12"/>
      <c r="BD232" s="12"/>
      <c r="BE232" s="12"/>
      <c r="BF232" s="12">
        <v>281</v>
      </c>
      <c r="BG232" s="12">
        <v>0</v>
      </c>
      <c r="BH232" s="12">
        <v>0</v>
      </c>
      <c r="BI232" s="12">
        <v>116</v>
      </c>
      <c r="BJ232" s="12">
        <v>5</v>
      </c>
      <c r="BK232" s="12">
        <v>4.3103448275862072E-2</v>
      </c>
      <c r="BL232" s="12">
        <v>53</v>
      </c>
      <c r="BM232" s="12">
        <v>3</v>
      </c>
      <c r="BN232" s="12">
        <v>5.6603773584905662E-2</v>
      </c>
      <c r="BO232" s="12">
        <v>75</v>
      </c>
      <c r="BP232" s="12">
        <v>0</v>
      </c>
      <c r="BQ232" s="12">
        <v>0</v>
      </c>
      <c r="BR232" s="12">
        <v>124</v>
      </c>
      <c r="BS232" s="12">
        <v>7</v>
      </c>
      <c r="BT232" s="12">
        <v>5.6451612903225805E-2</v>
      </c>
      <c r="BU232" s="12">
        <v>649</v>
      </c>
      <c r="BV232" s="12">
        <v>15</v>
      </c>
      <c r="BW232" s="12">
        <v>2.3112480739599383E-2</v>
      </c>
      <c r="BX232" s="12"/>
      <c r="BY232" s="12"/>
      <c r="BZ232" s="12"/>
      <c r="CA232" s="12">
        <v>67973.7</v>
      </c>
      <c r="CB232" s="13"/>
      <c r="CC232" s="13"/>
      <c r="CD232" s="13"/>
      <c r="CE232" s="12">
        <v>4775</v>
      </c>
      <c r="CF232" s="12">
        <v>497</v>
      </c>
      <c r="CG232" s="13">
        <v>60111</v>
      </c>
      <c r="CH232" s="13">
        <v>152</v>
      </c>
      <c r="CI232" s="13">
        <v>16701</v>
      </c>
    </row>
    <row r="233" spans="2:87" x14ac:dyDescent="0.2">
      <c r="B233" s="5">
        <v>46006</v>
      </c>
      <c r="C233" s="12">
        <v>53</v>
      </c>
      <c r="D233" s="12">
        <v>2.8</v>
      </c>
      <c r="E233" s="12">
        <v>153705.88200000001</v>
      </c>
      <c r="F233" s="12">
        <v>-4</v>
      </c>
      <c r="G233" s="12">
        <v>8196831.9299999997</v>
      </c>
      <c r="H233" s="12">
        <v>-50420.14</v>
      </c>
      <c r="I233" s="12">
        <v>-30252.09</v>
      </c>
      <c r="J233" s="12">
        <v>8116159.7000000002</v>
      </c>
      <c r="K233" s="12">
        <v>77500</v>
      </c>
      <c r="L233" s="12">
        <v>0</v>
      </c>
      <c r="M233" s="12">
        <v>1510340.3</v>
      </c>
      <c r="N233" s="12">
        <v>9704000</v>
      </c>
      <c r="O233" s="12">
        <v>98159.67</v>
      </c>
      <c r="P233" s="12">
        <v>8018000.0300000003</v>
      </c>
      <c r="Q233" s="12">
        <v>2429876</v>
      </c>
      <c r="R233" s="12">
        <v>5588124.0300000003</v>
      </c>
      <c r="S233" s="12">
        <v>500000</v>
      </c>
      <c r="T233" s="12">
        <v>142</v>
      </c>
      <c r="U233" s="12">
        <v>0</v>
      </c>
      <c r="V233" s="12">
        <v>500000</v>
      </c>
      <c r="W233" s="35">
        <v>46144.261731053244</v>
      </c>
      <c r="X233" s="12">
        <v>30</v>
      </c>
      <c r="Y233" s="12">
        <v>30</v>
      </c>
      <c r="Z233" s="12">
        <v>4838722.72</v>
      </c>
      <c r="AA233" s="12">
        <v>161542.85800000001</v>
      </c>
      <c r="AB233" s="12">
        <v>1399515</v>
      </c>
      <c r="AC233" s="12">
        <v>3318358.98</v>
      </c>
      <c r="AD233" s="12">
        <v>21</v>
      </c>
      <c r="AE233" s="12">
        <v>21</v>
      </c>
      <c r="AF233" s="12">
        <v>3091176.48</v>
      </c>
      <c r="AG233" s="12">
        <v>148279.31099999999</v>
      </c>
      <c r="AH233" s="12">
        <v>966441</v>
      </c>
      <c r="AI233" s="12">
        <v>2147424.5499999998</v>
      </c>
      <c r="AJ233" s="12">
        <v>1</v>
      </c>
      <c r="AK233" s="12">
        <v>2</v>
      </c>
      <c r="AL233" s="12">
        <v>186260.5</v>
      </c>
      <c r="AM233" s="12">
        <v>93130.25</v>
      </c>
      <c r="AN233" s="12">
        <v>63920</v>
      </c>
      <c r="AO233" s="12">
        <v>122340.5</v>
      </c>
      <c r="AP233" s="12">
        <v>1858823.54</v>
      </c>
      <c r="AQ233" s="12">
        <v>10</v>
      </c>
      <c r="AR233" s="12">
        <v>188151.261</v>
      </c>
      <c r="AS233" s="12">
        <v>529034</v>
      </c>
      <c r="AT233" s="12">
        <v>6264899.1799999997</v>
      </c>
      <c r="AU233" s="12">
        <v>43</v>
      </c>
      <c r="AV233" s="12">
        <v>145695.329</v>
      </c>
      <c r="AW233" s="12">
        <v>1900842</v>
      </c>
      <c r="AX233" s="12"/>
      <c r="AY233" s="12"/>
      <c r="AZ233" s="12"/>
      <c r="BA233" s="12"/>
      <c r="BB233" s="12"/>
      <c r="BC233" s="12"/>
      <c r="BD233" s="12"/>
      <c r="BE233" s="12"/>
      <c r="BF233" s="12">
        <v>278</v>
      </c>
      <c r="BG233" s="12">
        <v>1</v>
      </c>
      <c r="BH233" s="12">
        <v>3.5971223021582736E-3</v>
      </c>
      <c r="BI233" s="12">
        <v>96</v>
      </c>
      <c r="BJ233" s="12">
        <v>0</v>
      </c>
      <c r="BK233" s="12">
        <v>0</v>
      </c>
      <c r="BL233" s="12">
        <v>104</v>
      </c>
      <c r="BM233" s="12">
        <v>4</v>
      </c>
      <c r="BN233" s="12">
        <v>3.8461538461538464E-2</v>
      </c>
      <c r="BO233" s="12">
        <v>44</v>
      </c>
      <c r="BP233" s="12">
        <v>0</v>
      </c>
      <c r="BQ233" s="12">
        <v>0</v>
      </c>
      <c r="BR233" s="12">
        <v>232</v>
      </c>
      <c r="BS233" s="12">
        <v>3</v>
      </c>
      <c r="BT233" s="12">
        <v>1.2931034482758621E-2</v>
      </c>
      <c r="BU233" s="12">
        <v>754</v>
      </c>
      <c r="BV233" s="12">
        <v>8</v>
      </c>
      <c r="BW233" s="12">
        <v>1.0610079575596816E-2</v>
      </c>
      <c r="BX233" s="12"/>
      <c r="BY233" s="12"/>
      <c r="BZ233" s="12"/>
      <c r="CA233" s="12">
        <v>57312.71</v>
      </c>
      <c r="CB233" s="13"/>
      <c r="CC233" s="13"/>
      <c r="CD233" s="13"/>
      <c r="CE233" s="12">
        <v>4253</v>
      </c>
      <c r="CF233" s="12">
        <v>515</v>
      </c>
      <c r="CG233" s="13">
        <v>51596</v>
      </c>
      <c r="CH233" s="13">
        <v>140</v>
      </c>
      <c r="CI233" s="13">
        <v>15696</v>
      </c>
    </row>
    <row r="234" spans="2:87" x14ac:dyDescent="0.2">
      <c r="B234" s="5">
        <v>46007</v>
      </c>
      <c r="C234" s="12">
        <v>50</v>
      </c>
      <c r="D234" s="12">
        <v>2.5</v>
      </c>
      <c r="E234" s="12">
        <v>161950.42000000001</v>
      </c>
      <c r="F234" s="12">
        <v>-20</v>
      </c>
      <c r="G234" s="12">
        <v>8311806.7199999997</v>
      </c>
      <c r="H234" s="12">
        <v>0</v>
      </c>
      <c r="I234" s="12">
        <v>-509999.95</v>
      </c>
      <c r="J234" s="12">
        <v>7801806.7699999996</v>
      </c>
      <c r="K234" s="12">
        <v>546500</v>
      </c>
      <c r="L234" s="12">
        <v>0</v>
      </c>
      <c r="M234" s="12">
        <v>1255293.23</v>
      </c>
      <c r="N234" s="12">
        <v>9603600</v>
      </c>
      <c r="O234" s="12">
        <v>165210.13</v>
      </c>
      <c r="P234" s="12">
        <v>7636596.6399999997</v>
      </c>
      <c r="Q234" s="12">
        <v>2285564</v>
      </c>
      <c r="R234" s="12">
        <v>5351032.6399999997</v>
      </c>
      <c r="S234" s="12">
        <v>0</v>
      </c>
      <c r="T234" s="12">
        <v>110</v>
      </c>
      <c r="U234" s="12">
        <v>0</v>
      </c>
      <c r="V234" s="12">
        <v>0</v>
      </c>
      <c r="W234" s="35">
        <v>46144.261731053244</v>
      </c>
      <c r="X234" s="12">
        <v>20</v>
      </c>
      <c r="Y234" s="12">
        <v>27</v>
      </c>
      <c r="Z234" s="12">
        <v>3634117.64</v>
      </c>
      <c r="AA234" s="12">
        <v>135157.17300000001</v>
      </c>
      <c r="AB234" s="12">
        <v>978223</v>
      </c>
      <c r="AC234" s="12">
        <v>2396230.7799999998</v>
      </c>
      <c r="AD234" s="12">
        <v>20</v>
      </c>
      <c r="AE234" s="12">
        <v>20</v>
      </c>
      <c r="AF234" s="12">
        <v>4032815.17</v>
      </c>
      <c r="AG234" s="12">
        <v>215670.16800000001</v>
      </c>
      <c r="AH234" s="12">
        <v>1270725</v>
      </c>
      <c r="AI234" s="12">
        <v>2861165.75</v>
      </c>
      <c r="AJ234" s="12">
        <v>1</v>
      </c>
      <c r="AK234" s="12">
        <v>3</v>
      </c>
      <c r="AL234" s="12">
        <v>134873.96</v>
      </c>
      <c r="AM234" s="12">
        <v>44957.985999999997</v>
      </c>
      <c r="AN234" s="12">
        <v>36616</v>
      </c>
      <c r="AO234" s="12">
        <v>93636.11</v>
      </c>
      <c r="AP234" s="12">
        <v>2108277.34</v>
      </c>
      <c r="AQ234" s="12">
        <v>8</v>
      </c>
      <c r="AR234" s="12">
        <v>289049.36800000002</v>
      </c>
      <c r="AS234" s="12">
        <v>546104</v>
      </c>
      <c r="AT234" s="12">
        <v>5701092.4500000002</v>
      </c>
      <c r="AU234" s="12">
        <v>42</v>
      </c>
      <c r="AV234" s="12">
        <v>137741.09599999999</v>
      </c>
      <c r="AW234" s="12">
        <v>1739460</v>
      </c>
      <c r="AX234" s="12"/>
      <c r="AY234" s="12"/>
      <c r="AZ234" s="12"/>
      <c r="BA234" s="12"/>
      <c r="BB234" s="12"/>
      <c r="BC234" s="12"/>
      <c r="BD234" s="12"/>
      <c r="BE234" s="12"/>
      <c r="BF234" s="12">
        <v>161</v>
      </c>
      <c r="BG234" s="12">
        <v>0</v>
      </c>
      <c r="BH234" s="12">
        <v>0</v>
      </c>
      <c r="BI234" s="12">
        <v>86</v>
      </c>
      <c r="BJ234" s="12">
        <v>0</v>
      </c>
      <c r="BK234" s="12">
        <v>0</v>
      </c>
      <c r="BL234" s="12">
        <v>88</v>
      </c>
      <c r="BM234" s="12">
        <v>5</v>
      </c>
      <c r="BN234" s="12">
        <v>5.6818181818181816E-2</v>
      </c>
      <c r="BO234" s="12">
        <v>17</v>
      </c>
      <c r="BP234" s="12">
        <v>0</v>
      </c>
      <c r="BQ234" s="12">
        <v>0</v>
      </c>
      <c r="BR234" s="12">
        <v>94</v>
      </c>
      <c r="BS234" s="12">
        <v>3</v>
      </c>
      <c r="BT234" s="12">
        <v>3.1914893617021274E-2</v>
      </c>
      <c r="BU234" s="12">
        <v>446</v>
      </c>
      <c r="BV234" s="12">
        <v>8</v>
      </c>
      <c r="BW234" s="12">
        <v>1.7937219730941704E-2</v>
      </c>
      <c r="BX234" s="12"/>
      <c r="BY234" s="12"/>
      <c r="BZ234" s="12"/>
      <c r="CA234" s="12">
        <v>38901.29</v>
      </c>
      <c r="CB234" s="13"/>
      <c r="CC234" s="13"/>
      <c r="CD234" s="13"/>
      <c r="CE234" s="12">
        <v>2573</v>
      </c>
      <c r="CF234" s="12">
        <v>310</v>
      </c>
      <c r="CG234" s="13">
        <v>49598</v>
      </c>
      <c r="CH234" s="13">
        <v>144</v>
      </c>
      <c r="CI234" s="13">
        <v>15506</v>
      </c>
    </row>
    <row r="235" spans="2:87" x14ac:dyDescent="0.2">
      <c r="B235" s="5">
        <v>46008</v>
      </c>
      <c r="C235" s="12">
        <v>53</v>
      </c>
      <c r="D235" s="12">
        <v>3.1</v>
      </c>
      <c r="E235" s="12">
        <v>184430.94899999999</v>
      </c>
      <c r="F235" s="12">
        <v>-13</v>
      </c>
      <c r="G235" s="12">
        <v>10258293.970000001</v>
      </c>
      <c r="H235" s="12">
        <v>-157562.88</v>
      </c>
      <c r="I235" s="12">
        <v>-389756.27</v>
      </c>
      <c r="J235" s="12">
        <v>9710974.8200000003</v>
      </c>
      <c r="K235" s="12">
        <v>177000</v>
      </c>
      <c r="L235" s="12">
        <v>0</v>
      </c>
      <c r="M235" s="12">
        <v>1793025.18</v>
      </c>
      <c r="N235" s="12">
        <v>11681000</v>
      </c>
      <c r="O235" s="12">
        <v>502680.69</v>
      </c>
      <c r="P235" s="12">
        <v>9208294.1300000008</v>
      </c>
      <c r="Q235" s="12">
        <v>2955718</v>
      </c>
      <c r="R235" s="12">
        <v>6252576.1299999999</v>
      </c>
      <c r="S235" s="12">
        <v>500000</v>
      </c>
      <c r="T235" s="12">
        <v>153</v>
      </c>
      <c r="U235" s="12">
        <v>0</v>
      </c>
      <c r="V235" s="12">
        <v>500000</v>
      </c>
      <c r="W235" s="35">
        <v>46144.261731053244</v>
      </c>
      <c r="X235" s="12">
        <v>24</v>
      </c>
      <c r="Y235" s="12">
        <v>30</v>
      </c>
      <c r="Z235" s="12">
        <v>5002352.96</v>
      </c>
      <c r="AA235" s="12">
        <v>166955.182</v>
      </c>
      <c r="AB235" s="12">
        <v>1389007</v>
      </c>
      <c r="AC235" s="12">
        <v>3302682.07</v>
      </c>
      <c r="AD235" s="12">
        <v>21</v>
      </c>
      <c r="AE235" s="12">
        <v>21</v>
      </c>
      <c r="AF235" s="12">
        <v>4224042.03</v>
      </c>
      <c r="AG235" s="12">
        <v>203885.954</v>
      </c>
      <c r="AH235" s="12">
        <v>1469885</v>
      </c>
      <c r="AI235" s="12">
        <v>2650375.52</v>
      </c>
      <c r="AJ235" s="12">
        <v>1</v>
      </c>
      <c r="AK235" s="12">
        <v>2</v>
      </c>
      <c r="AL235" s="12">
        <v>484579.83</v>
      </c>
      <c r="AM235" s="12">
        <v>242289.91500000001</v>
      </c>
      <c r="AN235" s="12">
        <v>96826</v>
      </c>
      <c r="AO235" s="12">
        <v>299518.53999999998</v>
      </c>
      <c r="AP235" s="12">
        <v>4141302.53</v>
      </c>
      <c r="AQ235" s="12">
        <v>23</v>
      </c>
      <c r="AR235" s="12">
        <v>182102.66699999999</v>
      </c>
      <c r="AS235" s="12">
        <v>1182719</v>
      </c>
      <c r="AT235" s="12">
        <v>5599924.3700000001</v>
      </c>
      <c r="AU235" s="12">
        <v>30</v>
      </c>
      <c r="AV235" s="12">
        <v>186215.96599999999</v>
      </c>
      <c r="AW235" s="12">
        <v>1772999</v>
      </c>
      <c r="AX235" s="12"/>
      <c r="AY235" s="12"/>
      <c r="AZ235" s="12"/>
      <c r="BA235" s="12"/>
      <c r="BB235" s="12"/>
      <c r="BC235" s="12"/>
      <c r="BD235" s="12"/>
      <c r="BE235" s="12"/>
      <c r="BF235" s="12">
        <v>333</v>
      </c>
      <c r="BG235" s="12">
        <v>0</v>
      </c>
      <c r="BH235" s="12">
        <v>0</v>
      </c>
      <c r="BI235" s="12">
        <v>103</v>
      </c>
      <c r="BJ235" s="12">
        <v>0</v>
      </c>
      <c r="BK235" s="12">
        <v>0</v>
      </c>
      <c r="BL235" s="12">
        <v>73</v>
      </c>
      <c r="BM235" s="12">
        <v>3</v>
      </c>
      <c r="BN235" s="12">
        <v>4.1095890410958902E-2</v>
      </c>
      <c r="BO235" s="12">
        <v>21</v>
      </c>
      <c r="BP235" s="12">
        <v>0</v>
      </c>
      <c r="BQ235" s="12">
        <v>0</v>
      </c>
      <c r="BR235" s="12">
        <v>138</v>
      </c>
      <c r="BS235" s="12">
        <v>3</v>
      </c>
      <c r="BT235" s="12">
        <v>2.1739130434782608E-2</v>
      </c>
      <c r="BU235" s="12">
        <v>669</v>
      </c>
      <c r="BV235" s="12">
        <v>6</v>
      </c>
      <c r="BW235" s="12">
        <v>8.9686098654708519E-3</v>
      </c>
      <c r="BX235" s="12">
        <v>1</v>
      </c>
      <c r="BY235" s="12">
        <v>0</v>
      </c>
      <c r="BZ235" s="12">
        <v>0</v>
      </c>
      <c r="CA235" s="12">
        <v>61698.79</v>
      </c>
      <c r="CB235" s="13"/>
      <c r="CC235" s="13"/>
      <c r="CD235" s="13"/>
      <c r="CE235" s="12">
        <v>4244</v>
      </c>
      <c r="CF235" s="12">
        <v>530</v>
      </c>
      <c r="CG235" s="13">
        <v>50574</v>
      </c>
      <c r="CH235" s="13">
        <v>132</v>
      </c>
      <c r="CI235" s="13">
        <v>15416</v>
      </c>
    </row>
    <row r="236" spans="2:87" x14ac:dyDescent="0.2">
      <c r="B236" s="5">
        <v>46009</v>
      </c>
      <c r="C236" s="12">
        <v>42</v>
      </c>
      <c r="D236" s="12">
        <v>3</v>
      </c>
      <c r="E236" s="12">
        <v>194872.149</v>
      </c>
      <c r="F236" s="12">
        <v>-6</v>
      </c>
      <c r="G236" s="12">
        <v>8424126.0600000005</v>
      </c>
      <c r="H236" s="12">
        <v>0</v>
      </c>
      <c r="I236" s="12">
        <v>-351260.5</v>
      </c>
      <c r="J236" s="12">
        <v>8072865.5599999996</v>
      </c>
      <c r="K236" s="12">
        <v>36000</v>
      </c>
      <c r="L236" s="12">
        <v>0</v>
      </c>
      <c r="M236" s="12">
        <v>1475134.44</v>
      </c>
      <c r="N236" s="12">
        <v>9584000</v>
      </c>
      <c r="O236" s="12">
        <v>505882.34</v>
      </c>
      <c r="P236" s="12">
        <v>7566983.2199999997</v>
      </c>
      <c r="Q236" s="12">
        <v>2167982</v>
      </c>
      <c r="R236" s="12">
        <v>5399001.2199999997</v>
      </c>
      <c r="S236" s="12">
        <v>0</v>
      </c>
      <c r="T236" s="12">
        <v>123</v>
      </c>
      <c r="U236" s="12">
        <v>0</v>
      </c>
      <c r="V236" s="12">
        <v>0</v>
      </c>
      <c r="W236" s="35">
        <v>46144.261731053244</v>
      </c>
      <c r="X236" s="12">
        <v>22</v>
      </c>
      <c r="Y236" s="12">
        <v>23</v>
      </c>
      <c r="Z236" s="12">
        <v>4580722.6900000004</v>
      </c>
      <c r="AA236" s="12">
        <v>199527.21900000001</v>
      </c>
      <c r="AB236" s="12">
        <v>1316978</v>
      </c>
      <c r="AC236" s="12">
        <v>3104080.84</v>
      </c>
      <c r="AD236" s="12">
        <v>17</v>
      </c>
      <c r="AE236" s="12">
        <v>17</v>
      </c>
      <c r="AF236" s="12">
        <v>3456848.75</v>
      </c>
      <c r="AG236" s="12">
        <v>205321.30499999999</v>
      </c>
      <c r="AH236" s="12">
        <v>850151</v>
      </c>
      <c r="AI236" s="12">
        <v>2319302.79</v>
      </c>
      <c r="AJ236" s="12">
        <v>1</v>
      </c>
      <c r="AK236" s="12">
        <v>2</v>
      </c>
      <c r="AL236" s="12">
        <v>35294.120000000003</v>
      </c>
      <c r="AM236" s="12">
        <v>52521.01</v>
      </c>
      <c r="AN236" s="12">
        <v>853</v>
      </c>
      <c r="AO236" s="12">
        <v>-24382.41</v>
      </c>
      <c r="AP236" s="12">
        <v>2081512.61</v>
      </c>
      <c r="AQ236" s="12">
        <v>7</v>
      </c>
      <c r="AR236" s="12">
        <v>312124.84999999998</v>
      </c>
      <c r="AS236" s="12">
        <v>527953</v>
      </c>
      <c r="AT236" s="12">
        <v>5991352.9500000002</v>
      </c>
      <c r="AU236" s="12">
        <v>35</v>
      </c>
      <c r="AV236" s="12">
        <v>171421.60800000001</v>
      </c>
      <c r="AW236" s="12">
        <v>1640029</v>
      </c>
      <c r="AX236" s="12"/>
      <c r="AY236" s="12"/>
      <c r="AZ236" s="12"/>
      <c r="BA236" s="12"/>
      <c r="BB236" s="12"/>
      <c r="BC236" s="12"/>
      <c r="BD236" s="12"/>
      <c r="BE236" s="12"/>
      <c r="BF236" s="12">
        <v>139</v>
      </c>
      <c r="BG236" s="12">
        <v>0</v>
      </c>
      <c r="BH236" s="12">
        <v>0</v>
      </c>
      <c r="BI236" s="12">
        <v>103</v>
      </c>
      <c r="BJ236" s="12">
        <v>2</v>
      </c>
      <c r="BK236" s="12">
        <v>1.9417475728155338E-2</v>
      </c>
      <c r="BL236" s="12">
        <v>93</v>
      </c>
      <c r="BM236" s="12">
        <v>1</v>
      </c>
      <c r="BN236" s="12">
        <v>1.0752688172043012E-2</v>
      </c>
      <c r="BO236" s="12">
        <v>10</v>
      </c>
      <c r="BP236" s="12">
        <v>0</v>
      </c>
      <c r="BQ236" s="12">
        <v>0</v>
      </c>
      <c r="BR236" s="12">
        <v>156</v>
      </c>
      <c r="BS236" s="12">
        <v>3</v>
      </c>
      <c r="BT236" s="12">
        <v>1.9230769230769232E-2</v>
      </c>
      <c r="BU236" s="12">
        <v>501</v>
      </c>
      <c r="BV236" s="12">
        <v>6</v>
      </c>
      <c r="BW236" s="12">
        <v>1.1976047904191617E-2</v>
      </c>
      <c r="BX236" s="12"/>
      <c r="BY236" s="12"/>
      <c r="BZ236" s="12"/>
      <c r="CA236" s="12">
        <v>38539.79</v>
      </c>
      <c r="CB236" s="13"/>
      <c r="CC236" s="13"/>
      <c r="CD236" s="13"/>
      <c r="CE236" s="12">
        <v>2059</v>
      </c>
      <c r="CF236" s="12">
        <v>260</v>
      </c>
      <c r="CG236" s="13">
        <v>50838</v>
      </c>
      <c r="CH236" s="13">
        <v>152</v>
      </c>
      <c r="CI236" s="13">
        <v>15377</v>
      </c>
    </row>
    <row r="237" spans="2:87" x14ac:dyDescent="0.2">
      <c r="B237" s="5">
        <v>46010</v>
      </c>
      <c r="C237" s="12">
        <v>46</v>
      </c>
      <c r="D237" s="12">
        <v>2.6</v>
      </c>
      <c r="E237" s="12">
        <v>104725.06299999999</v>
      </c>
      <c r="F237" s="12">
        <v>0</v>
      </c>
      <c r="G237" s="12">
        <v>4871974.7699999996</v>
      </c>
      <c r="H237" s="12">
        <v>-54621.84</v>
      </c>
      <c r="I237" s="12">
        <v>0</v>
      </c>
      <c r="J237" s="12">
        <v>4817352.93</v>
      </c>
      <c r="K237" s="12">
        <v>12000</v>
      </c>
      <c r="L237" s="12">
        <v>0</v>
      </c>
      <c r="M237" s="12">
        <v>908647.07</v>
      </c>
      <c r="N237" s="12">
        <v>5738000</v>
      </c>
      <c r="O237" s="12">
        <v>354621.83</v>
      </c>
      <c r="P237" s="12">
        <v>4462731.0999999996</v>
      </c>
      <c r="Q237" s="12">
        <v>1279913</v>
      </c>
      <c r="R237" s="12">
        <v>3182818.1</v>
      </c>
      <c r="S237" s="12">
        <v>0</v>
      </c>
      <c r="T237" s="12">
        <v>121</v>
      </c>
      <c r="U237" s="12">
        <v>0</v>
      </c>
      <c r="V237" s="12">
        <v>0</v>
      </c>
      <c r="W237" s="35">
        <v>46144.261731053244</v>
      </c>
      <c r="X237" s="12">
        <v>20</v>
      </c>
      <c r="Y237" s="12">
        <v>24</v>
      </c>
      <c r="Z237" s="12">
        <v>2307268.9</v>
      </c>
      <c r="AA237" s="12">
        <v>96136.203999999998</v>
      </c>
      <c r="AB237" s="12">
        <v>606772</v>
      </c>
      <c r="AC237" s="12">
        <v>1524026.33</v>
      </c>
      <c r="AD237" s="12">
        <v>18</v>
      </c>
      <c r="AE237" s="12">
        <v>18</v>
      </c>
      <c r="AF237" s="12">
        <v>2262184.87</v>
      </c>
      <c r="AG237" s="12">
        <v>125676.93700000001</v>
      </c>
      <c r="AH237" s="12">
        <v>608254</v>
      </c>
      <c r="AI237" s="12">
        <v>1475779.61</v>
      </c>
      <c r="AJ237" s="12">
        <v>1</v>
      </c>
      <c r="AK237" s="12">
        <v>4</v>
      </c>
      <c r="AL237" s="12">
        <v>247899.16</v>
      </c>
      <c r="AM237" s="12">
        <v>61974.79</v>
      </c>
      <c r="AN237" s="12">
        <v>64887</v>
      </c>
      <c r="AO237" s="12">
        <v>183012.16</v>
      </c>
      <c r="AP237" s="12">
        <v>546218.49</v>
      </c>
      <c r="AQ237" s="12">
        <v>3</v>
      </c>
      <c r="AR237" s="12">
        <v>182072.83</v>
      </c>
      <c r="AS237" s="12">
        <v>129395</v>
      </c>
      <c r="AT237" s="12">
        <v>4271134.4400000004</v>
      </c>
      <c r="AU237" s="12">
        <v>43</v>
      </c>
      <c r="AV237" s="12">
        <v>99328.706999999995</v>
      </c>
      <c r="AW237" s="12">
        <v>1150518</v>
      </c>
      <c r="AX237" s="12"/>
      <c r="AY237" s="12"/>
      <c r="AZ237" s="12"/>
      <c r="BA237" s="12"/>
      <c r="BB237" s="12"/>
      <c r="BC237" s="12"/>
      <c r="BD237" s="12"/>
      <c r="BE237" s="12"/>
      <c r="BF237" s="12">
        <v>331</v>
      </c>
      <c r="BG237" s="12">
        <v>0</v>
      </c>
      <c r="BH237" s="12">
        <v>0</v>
      </c>
      <c r="BI237" s="12">
        <v>79</v>
      </c>
      <c r="BJ237" s="12">
        <v>2</v>
      </c>
      <c r="BK237" s="12">
        <v>2.5316455696202531E-2</v>
      </c>
      <c r="BL237" s="12">
        <v>60</v>
      </c>
      <c r="BM237" s="12">
        <v>0</v>
      </c>
      <c r="BN237" s="12">
        <v>0</v>
      </c>
      <c r="BO237" s="12">
        <v>31</v>
      </c>
      <c r="BP237" s="12">
        <v>0</v>
      </c>
      <c r="BQ237" s="12">
        <v>0</v>
      </c>
      <c r="BR237" s="12">
        <v>85</v>
      </c>
      <c r="BS237" s="12">
        <v>1</v>
      </c>
      <c r="BT237" s="12">
        <v>1.1764705882352941E-2</v>
      </c>
      <c r="BU237" s="12">
        <v>586</v>
      </c>
      <c r="BV237" s="12">
        <v>3</v>
      </c>
      <c r="BW237" s="12">
        <v>5.1194539249146756E-3</v>
      </c>
      <c r="BX237" s="12"/>
      <c r="BY237" s="12"/>
      <c r="BZ237" s="12"/>
      <c r="CA237" s="12">
        <v>70009.25</v>
      </c>
      <c r="CB237" s="13"/>
      <c r="CC237" s="13"/>
      <c r="CD237" s="13"/>
      <c r="CE237" s="12">
        <v>3786</v>
      </c>
      <c r="CF237" s="12">
        <v>480</v>
      </c>
      <c r="CG237" s="13">
        <v>50382</v>
      </c>
      <c r="CH237" s="13">
        <v>122</v>
      </c>
      <c r="CI237" s="13">
        <v>15562</v>
      </c>
    </row>
    <row r="238" spans="2:87" x14ac:dyDescent="0.2">
      <c r="B238" s="5">
        <v>46011</v>
      </c>
      <c r="C238" s="12">
        <v>45</v>
      </c>
      <c r="D238" s="12">
        <v>3.6</v>
      </c>
      <c r="E238" s="12">
        <v>166595.70499999999</v>
      </c>
      <c r="F238" s="12">
        <v>0</v>
      </c>
      <c r="G238" s="12">
        <v>7572436.9800000004</v>
      </c>
      <c r="H238" s="12">
        <v>-75630.25</v>
      </c>
      <c r="I238" s="12">
        <v>0</v>
      </c>
      <c r="J238" s="12">
        <v>7496806.7300000004</v>
      </c>
      <c r="K238" s="12">
        <v>32000</v>
      </c>
      <c r="L238" s="12">
        <v>0</v>
      </c>
      <c r="M238" s="12">
        <v>1371193.27</v>
      </c>
      <c r="N238" s="12">
        <v>8900000</v>
      </c>
      <c r="O238" s="12">
        <v>644957.97</v>
      </c>
      <c r="P238" s="12">
        <v>6851848.7599999998</v>
      </c>
      <c r="Q238" s="12">
        <v>2145496</v>
      </c>
      <c r="R238" s="12">
        <v>4706352.76</v>
      </c>
      <c r="S238" s="12">
        <v>0</v>
      </c>
      <c r="T238" s="12">
        <v>161</v>
      </c>
      <c r="U238" s="12">
        <v>0</v>
      </c>
      <c r="V238" s="12">
        <v>0</v>
      </c>
      <c r="W238" s="35">
        <v>46144.261731053244</v>
      </c>
      <c r="X238" s="12">
        <v>28</v>
      </c>
      <c r="Y238" s="12">
        <v>30</v>
      </c>
      <c r="Z238" s="12">
        <v>5311386.5599999996</v>
      </c>
      <c r="AA238" s="12">
        <v>177046.21799999999</v>
      </c>
      <c r="AB238" s="12">
        <v>1597649</v>
      </c>
      <c r="AC238" s="12">
        <v>3274661.94</v>
      </c>
      <c r="AD238" s="12">
        <v>13</v>
      </c>
      <c r="AE238" s="12">
        <v>13</v>
      </c>
      <c r="AF238" s="12">
        <v>1992983.19</v>
      </c>
      <c r="AG238" s="12">
        <v>153306.399</v>
      </c>
      <c r="AH238" s="12">
        <v>484870</v>
      </c>
      <c r="AI238" s="12">
        <v>1302230.8400000001</v>
      </c>
      <c r="AJ238" s="12">
        <v>1</v>
      </c>
      <c r="AK238" s="12">
        <v>2</v>
      </c>
      <c r="AL238" s="12">
        <v>192436.98</v>
      </c>
      <c r="AM238" s="12">
        <v>96218.49</v>
      </c>
      <c r="AN238" s="12">
        <v>62977</v>
      </c>
      <c r="AO238" s="12">
        <v>129459.98</v>
      </c>
      <c r="AP238" s="12">
        <v>382352.94</v>
      </c>
      <c r="AQ238" s="12">
        <v>3</v>
      </c>
      <c r="AR238" s="12">
        <v>127450.98</v>
      </c>
      <c r="AS238" s="12">
        <v>83629</v>
      </c>
      <c r="AT238" s="12">
        <v>7114453.79</v>
      </c>
      <c r="AU238" s="12">
        <v>42</v>
      </c>
      <c r="AV238" s="12">
        <v>169391.75599999999</v>
      </c>
      <c r="AW238" s="12">
        <v>2061867</v>
      </c>
      <c r="AX238" s="12"/>
      <c r="AY238" s="12"/>
      <c r="AZ238" s="12"/>
      <c r="BA238" s="12"/>
      <c r="BB238" s="12"/>
      <c r="BC238" s="12"/>
      <c r="BD238" s="12"/>
      <c r="BE238" s="12"/>
      <c r="BF238" s="12">
        <v>196</v>
      </c>
      <c r="BG238" s="12">
        <v>0</v>
      </c>
      <c r="BH238" s="12">
        <v>0</v>
      </c>
      <c r="BI238" s="12">
        <v>118</v>
      </c>
      <c r="BJ238" s="12">
        <v>0</v>
      </c>
      <c r="BK238" s="12">
        <v>0</v>
      </c>
      <c r="BL238" s="12">
        <v>45</v>
      </c>
      <c r="BM238" s="12">
        <v>1</v>
      </c>
      <c r="BN238" s="12">
        <v>2.2222222222222223E-2</v>
      </c>
      <c r="BO238" s="12">
        <v>13</v>
      </c>
      <c r="BP238" s="12">
        <v>0</v>
      </c>
      <c r="BQ238" s="12">
        <v>0</v>
      </c>
      <c r="BR238" s="12">
        <v>79</v>
      </c>
      <c r="BS238" s="12">
        <v>1</v>
      </c>
      <c r="BT238" s="12">
        <v>1.2658227848101266E-2</v>
      </c>
      <c r="BU238" s="12">
        <v>451</v>
      </c>
      <c r="BV238" s="12">
        <v>2</v>
      </c>
      <c r="BW238" s="12">
        <v>4.434589800443459E-3</v>
      </c>
      <c r="BX238" s="12"/>
      <c r="BY238" s="12"/>
      <c r="BZ238" s="12"/>
      <c r="CA238" s="12">
        <v>49194.45</v>
      </c>
      <c r="CB238" s="13"/>
      <c r="CC238" s="13"/>
      <c r="CD238" s="13"/>
      <c r="CE238" s="12">
        <v>2794</v>
      </c>
      <c r="CF238" s="12">
        <v>363</v>
      </c>
      <c r="CG238" s="13">
        <v>50066</v>
      </c>
      <c r="CH238" s="13">
        <v>141</v>
      </c>
      <c r="CI238" s="13">
        <v>15073</v>
      </c>
    </row>
    <row r="239" spans="2:87" x14ac:dyDescent="0.2">
      <c r="B239" s="5">
        <v>46012</v>
      </c>
      <c r="C239" s="12">
        <v>40</v>
      </c>
      <c r="D239" s="12">
        <v>3</v>
      </c>
      <c r="E239" s="12">
        <v>184746.008</v>
      </c>
      <c r="F239" s="12">
        <v>-3</v>
      </c>
      <c r="G239" s="12">
        <v>7568058.8399999999</v>
      </c>
      <c r="H239" s="12">
        <v>0</v>
      </c>
      <c r="I239" s="12">
        <v>-537815.12</v>
      </c>
      <c r="J239" s="12">
        <v>7030243.7199999997</v>
      </c>
      <c r="K239" s="12">
        <v>40000</v>
      </c>
      <c r="L239" s="12">
        <v>0</v>
      </c>
      <c r="M239" s="12">
        <v>1225356.28</v>
      </c>
      <c r="N239" s="12">
        <v>8295600</v>
      </c>
      <c r="O239" s="12">
        <v>429957.97</v>
      </c>
      <c r="P239" s="12">
        <v>6600285.75</v>
      </c>
      <c r="Q239" s="12">
        <v>2143306</v>
      </c>
      <c r="R239" s="12">
        <v>4456979.75</v>
      </c>
      <c r="S239" s="12">
        <v>0</v>
      </c>
      <c r="T239" s="12">
        <v>121</v>
      </c>
      <c r="U239" s="12">
        <v>0</v>
      </c>
      <c r="V239" s="12">
        <v>0</v>
      </c>
      <c r="W239" s="35">
        <v>46144.261731053244</v>
      </c>
      <c r="X239" s="12">
        <v>13</v>
      </c>
      <c r="Y239" s="12">
        <v>13</v>
      </c>
      <c r="Z239" s="12">
        <v>2084605.05</v>
      </c>
      <c r="AA239" s="12">
        <v>188015.51300000001</v>
      </c>
      <c r="AB239" s="12">
        <v>679425</v>
      </c>
      <c r="AC239" s="12">
        <v>1325348.1200000001</v>
      </c>
      <c r="AD239" s="12">
        <v>25</v>
      </c>
      <c r="AE239" s="12">
        <v>25</v>
      </c>
      <c r="AF239" s="12">
        <v>4794378.16</v>
      </c>
      <c r="AG239" s="12">
        <v>191775.12599999999</v>
      </c>
      <c r="AH239" s="12">
        <v>1417876</v>
      </c>
      <c r="AI239" s="12">
        <v>3026376.12</v>
      </c>
      <c r="AJ239" s="12">
        <v>1</v>
      </c>
      <c r="AK239" s="12">
        <v>2</v>
      </c>
      <c r="AL239" s="12">
        <v>151260.51</v>
      </c>
      <c r="AM239" s="12">
        <v>75630.255000000005</v>
      </c>
      <c r="AN239" s="12">
        <v>46005</v>
      </c>
      <c r="AO239" s="12">
        <v>105255.51</v>
      </c>
      <c r="AP239" s="12">
        <v>630252.11</v>
      </c>
      <c r="AQ239" s="12">
        <v>3</v>
      </c>
      <c r="AR239" s="12">
        <v>210084.03599999999</v>
      </c>
      <c r="AS239" s="12">
        <v>154114</v>
      </c>
      <c r="AT239" s="12">
        <v>6399991.6100000003</v>
      </c>
      <c r="AU239" s="12">
        <v>37</v>
      </c>
      <c r="AV239" s="12">
        <v>182691.57399999999</v>
      </c>
      <c r="AW239" s="12">
        <v>1989192</v>
      </c>
      <c r="AX239" s="12"/>
      <c r="AY239" s="12"/>
      <c r="AZ239" s="12"/>
      <c r="BA239" s="12"/>
      <c r="BB239" s="12"/>
      <c r="BC239" s="12"/>
      <c r="BD239" s="12"/>
      <c r="BE239" s="12"/>
      <c r="BF239" s="12">
        <v>267</v>
      </c>
      <c r="BG239" s="12">
        <v>0</v>
      </c>
      <c r="BH239" s="12">
        <v>0</v>
      </c>
      <c r="BI239" s="12">
        <v>113</v>
      </c>
      <c r="BJ239" s="12">
        <v>0</v>
      </c>
      <c r="BK239" s="12">
        <v>0</v>
      </c>
      <c r="BL239" s="12">
        <v>32</v>
      </c>
      <c r="BM239" s="12">
        <v>1</v>
      </c>
      <c r="BN239" s="12">
        <v>3.125E-2</v>
      </c>
      <c r="BO239" s="12">
        <v>9</v>
      </c>
      <c r="BP239" s="12">
        <v>0</v>
      </c>
      <c r="BQ239" s="12">
        <v>0</v>
      </c>
      <c r="BR239" s="12">
        <v>75</v>
      </c>
      <c r="BS239" s="12">
        <v>2</v>
      </c>
      <c r="BT239" s="12">
        <v>2.6666666666666668E-2</v>
      </c>
      <c r="BU239" s="12">
        <v>496</v>
      </c>
      <c r="BV239" s="12">
        <v>3</v>
      </c>
      <c r="BW239" s="12">
        <v>6.0483870967741934E-3</v>
      </c>
      <c r="BX239" s="12"/>
      <c r="BY239" s="12"/>
      <c r="BZ239" s="12"/>
      <c r="CA239" s="12">
        <v>44829.440000000002</v>
      </c>
      <c r="CB239" s="13"/>
      <c r="CC239" s="13"/>
      <c r="CD239" s="13"/>
      <c r="CE239" s="12">
        <v>3086</v>
      </c>
      <c r="CF239" s="12">
        <v>359</v>
      </c>
      <c r="CG239" s="13">
        <v>52847</v>
      </c>
      <c r="CH239" s="13">
        <v>154</v>
      </c>
      <c r="CI239" s="13">
        <v>18054</v>
      </c>
    </row>
    <row r="240" spans="2:87" x14ac:dyDescent="0.2">
      <c r="B240" s="5">
        <v>46013</v>
      </c>
      <c r="C240" s="12">
        <v>55</v>
      </c>
      <c r="D240" s="12">
        <v>4.0999999999999996</v>
      </c>
      <c r="E240" s="12">
        <v>241772.95499999999</v>
      </c>
      <c r="F240" s="12">
        <v>-19</v>
      </c>
      <c r="G240" s="12">
        <v>15834865.48</v>
      </c>
      <c r="H240" s="12">
        <v>-1844067.22</v>
      </c>
      <c r="I240" s="12">
        <v>-888655.47</v>
      </c>
      <c r="J240" s="12">
        <v>13102142.789999999</v>
      </c>
      <c r="K240" s="12">
        <v>40000</v>
      </c>
      <c r="L240" s="12">
        <v>0</v>
      </c>
      <c r="M240" s="12">
        <v>2467367.21</v>
      </c>
      <c r="N240" s="12">
        <v>15609510</v>
      </c>
      <c r="O240" s="12">
        <v>260504.18</v>
      </c>
      <c r="P240" s="12">
        <v>12841638.609999999</v>
      </c>
      <c r="Q240" s="12">
        <v>3822906</v>
      </c>
      <c r="R240" s="12">
        <v>9018732.6099999994</v>
      </c>
      <c r="S240" s="12">
        <v>0</v>
      </c>
      <c r="T240" s="12">
        <v>222</v>
      </c>
      <c r="U240" s="12">
        <v>0</v>
      </c>
      <c r="V240" s="12">
        <v>0</v>
      </c>
      <c r="W240" s="35">
        <v>46144.261731053244</v>
      </c>
      <c r="X240" s="12">
        <v>29</v>
      </c>
      <c r="Y240" s="12">
        <v>30</v>
      </c>
      <c r="Z240" s="12">
        <v>10091630.23</v>
      </c>
      <c r="AA240" s="12">
        <v>336387.674</v>
      </c>
      <c r="AB240" s="12">
        <v>3001205</v>
      </c>
      <c r="AC240" s="12">
        <v>7006391.6200000001</v>
      </c>
      <c r="AD240" s="12">
        <v>21</v>
      </c>
      <c r="AE240" s="12">
        <v>21</v>
      </c>
      <c r="AF240" s="12">
        <v>2544126.02</v>
      </c>
      <c r="AG240" s="12">
        <v>130452.18</v>
      </c>
      <c r="AH240" s="12">
        <v>700103</v>
      </c>
      <c r="AI240" s="12">
        <v>1696964.21</v>
      </c>
      <c r="AJ240" s="12">
        <v>1</v>
      </c>
      <c r="AK240" s="12">
        <v>4</v>
      </c>
      <c r="AL240" s="12">
        <v>466386.54</v>
      </c>
      <c r="AM240" s="12">
        <v>116596.63499999999</v>
      </c>
      <c r="AN240" s="12">
        <v>121598</v>
      </c>
      <c r="AO240" s="12">
        <v>315376.78000000003</v>
      </c>
      <c r="AP240" s="12">
        <v>399159.67</v>
      </c>
      <c r="AQ240" s="12">
        <v>4</v>
      </c>
      <c r="AR240" s="12">
        <v>99789.917000000001</v>
      </c>
      <c r="AS240" s="12">
        <v>107003</v>
      </c>
      <c r="AT240" s="12">
        <v>6431966.3200000003</v>
      </c>
      <c r="AU240" s="12">
        <v>50</v>
      </c>
      <c r="AV240" s="12">
        <v>130235.965</v>
      </c>
      <c r="AW240" s="12">
        <v>1763014</v>
      </c>
      <c r="AX240" s="12"/>
      <c r="AY240" s="12"/>
      <c r="AZ240" s="12"/>
      <c r="BA240" s="12"/>
      <c r="BB240" s="12">
        <v>6271016.7999999998</v>
      </c>
      <c r="BC240" s="12">
        <v>1</v>
      </c>
      <c r="BD240" s="12">
        <v>6386554.6200000001</v>
      </c>
      <c r="BE240" s="12">
        <v>1952889</v>
      </c>
      <c r="BF240" s="12">
        <v>289</v>
      </c>
      <c r="BG240" s="12">
        <v>1</v>
      </c>
      <c r="BH240" s="12">
        <v>3.4602076124567475E-3</v>
      </c>
      <c r="BI240" s="12">
        <v>115</v>
      </c>
      <c r="BJ240" s="12">
        <v>0</v>
      </c>
      <c r="BK240" s="12">
        <v>0</v>
      </c>
      <c r="BL240" s="12">
        <v>104</v>
      </c>
      <c r="BM240" s="12">
        <v>2</v>
      </c>
      <c r="BN240" s="12">
        <v>1.9230769230769232E-2</v>
      </c>
      <c r="BO240" s="12">
        <v>3</v>
      </c>
      <c r="BP240" s="12">
        <v>0</v>
      </c>
      <c r="BQ240" s="12">
        <v>0</v>
      </c>
      <c r="BR240" s="12">
        <v>85</v>
      </c>
      <c r="BS240" s="12">
        <v>2</v>
      </c>
      <c r="BT240" s="12">
        <v>2.3529411764705882E-2</v>
      </c>
      <c r="BU240" s="12">
        <v>596</v>
      </c>
      <c r="BV240" s="12">
        <v>5</v>
      </c>
      <c r="BW240" s="12">
        <v>8.389261744966443E-3</v>
      </c>
      <c r="BX240" s="12"/>
      <c r="BY240" s="12"/>
      <c r="BZ240" s="12"/>
      <c r="CA240" s="12">
        <v>57737.7</v>
      </c>
      <c r="CB240" s="13"/>
      <c r="CC240" s="13"/>
      <c r="CD240" s="13"/>
      <c r="CE240" s="12">
        <v>3938</v>
      </c>
      <c r="CF240" s="12">
        <v>419</v>
      </c>
      <c r="CG240" s="13">
        <v>53923</v>
      </c>
      <c r="CH240" s="13">
        <v>168</v>
      </c>
      <c r="CI240" s="13">
        <v>18278</v>
      </c>
    </row>
    <row r="241" spans="2:87" x14ac:dyDescent="0.2">
      <c r="B241" s="5">
        <v>46014</v>
      </c>
      <c r="C241" s="12">
        <v>68</v>
      </c>
      <c r="D241" s="12">
        <v>2.5</v>
      </c>
      <c r="E241" s="12">
        <v>132153.484</v>
      </c>
      <c r="F241" s="12">
        <v>0</v>
      </c>
      <c r="G241" s="12">
        <v>8986436.9299999997</v>
      </c>
      <c r="H241" s="12">
        <v>0</v>
      </c>
      <c r="I241" s="12">
        <v>0</v>
      </c>
      <c r="J241" s="12">
        <v>8986436.9299999997</v>
      </c>
      <c r="K241" s="12">
        <v>56000</v>
      </c>
      <c r="L241" s="12">
        <v>0</v>
      </c>
      <c r="M241" s="12">
        <v>1670563.07</v>
      </c>
      <c r="N241" s="12">
        <v>10713000</v>
      </c>
      <c r="O241" s="12">
        <v>315756.3</v>
      </c>
      <c r="P241" s="12">
        <v>8670680.6300000008</v>
      </c>
      <c r="Q241" s="12">
        <v>2849163</v>
      </c>
      <c r="R241" s="12">
        <v>5821517.6299999999</v>
      </c>
      <c r="S241" s="12">
        <v>0</v>
      </c>
      <c r="T241" s="12">
        <v>173</v>
      </c>
      <c r="U241" s="12">
        <v>0</v>
      </c>
      <c r="V241" s="12">
        <v>0</v>
      </c>
      <c r="W241" s="35">
        <v>46144.261731053244</v>
      </c>
      <c r="X241" s="12">
        <v>22</v>
      </c>
      <c r="Y241" s="12">
        <v>27</v>
      </c>
      <c r="Z241" s="12">
        <v>3143109.23</v>
      </c>
      <c r="AA241" s="12">
        <v>116411.452</v>
      </c>
      <c r="AB241" s="12">
        <v>971310</v>
      </c>
      <c r="AC241" s="12">
        <v>2171799.23</v>
      </c>
      <c r="AD241" s="12">
        <v>41</v>
      </c>
      <c r="AE241" s="12">
        <v>41</v>
      </c>
      <c r="AF241" s="12">
        <v>5843327.7000000002</v>
      </c>
      <c r="AG241" s="12">
        <v>142520.18700000001</v>
      </c>
      <c r="AH241" s="12">
        <v>1877853</v>
      </c>
      <c r="AI241" s="12">
        <v>3649718.4</v>
      </c>
      <c r="AJ241" s="12"/>
      <c r="AK241" s="12"/>
      <c r="AL241" s="12"/>
      <c r="AM241" s="12"/>
      <c r="AN241" s="12"/>
      <c r="AO241" s="12"/>
      <c r="AP241" s="12">
        <v>743697.48</v>
      </c>
      <c r="AQ241" s="12">
        <v>4</v>
      </c>
      <c r="AR241" s="12">
        <v>185924.37</v>
      </c>
      <c r="AS241" s="12">
        <v>225664</v>
      </c>
      <c r="AT241" s="12">
        <v>8242739.4500000002</v>
      </c>
      <c r="AU241" s="12">
        <v>64</v>
      </c>
      <c r="AV241" s="12">
        <v>128792.803</v>
      </c>
      <c r="AW241" s="12">
        <v>2623499</v>
      </c>
      <c r="AX241" s="12"/>
      <c r="AY241" s="12"/>
      <c r="AZ241" s="12"/>
      <c r="BA241" s="12"/>
      <c r="BB241" s="12"/>
      <c r="BC241" s="12"/>
      <c r="BD241" s="12"/>
      <c r="BE241" s="12"/>
      <c r="BF241" s="12">
        <v>170</v>
      </c>
      <c r="BG241" s="12">
        <v>0</v>
      </c>
      <c r="BH241" s="12">
        <v>0</v>
      </c>
      <c r="BI241" s="12">
        <v>89</v>
      </c>
      <c r="BJ241" s="12">
        <v>0</v>
      </c>
      <c r="BK241" s="12">
        <v>0</v>
      </c>
      <c r="BL241" s="12">
        <v>73</v>
      </c>
      <c r="BM241" s="12">
        <v>3</v>
      </c>
      <c r="BN241" s="12">
        <v>4.1095890410958902E-2</v>
      </c>
      <c r="BO241" s="12">
        <v>1</v>
      </c>
      <c r="BP241" s="12">
        <v>0</v>
      </c>
      <c r="BQ241" s="12">
        <v>0</v>
      </c>
      <c r="BR241" s="12">
        <v>61</v>
      </c>
      <c r="BS241" s="12">
        <v>1</v>
      </c>
      <c r="BT241" s="12">
        <v>1.6393442622950821E-2</v>
      </c>
      <c r="BU241" s="12">
        <v>394</v>
      </c>
      <c r="BV241" s="12">
        <v>4</v>
      </c>
      <c r="BW241" s="12">
        <v>1.015228426395939E-2</v>
      </c>
      <c r="BX241" s="12"/>
      <c r="BY241" s="12"/>
      <c r="BZ241" s="12"/>
      <c r="CA241" s="12">
        <v>36752.33</v>
      </c>
      <c r="CB241" s="13"/>
      <c r="CC241" s="13"/>
      <c r="CD241" s="13"/>
      <c r="CE241" s="12">
        <v>2743</v>
      </c>
      <c r="CF241" s="12">
        <v>283</v>
      </c>
      <c r="CG241" s="13">
        <v>53047</v>
      </c>
      <c r="CH241" s="13">
        <v>142</v>
      </c>
      <c r="CI241" s="13">
        <v>17256</v>
      </c>
    </row>
    <row r="242" spans="2:87" x14ac:dyDescent="0.2">
      <c r="B242" s="5">
        <v>46015</v>
      </c>
      <c r="C242" s="12">
        <v>36</v>
      </c>
      <c r="D242" s="12">
        <v>2.2000000000000002</v>
      </c>
      <c r="E242" s="12">
        <v>117979.924</v>
      </c>
      <c r="F242" s="12">
        <v>0</v>
      </c>
      <c r="G242" s="12">
        <v>4247277.29</v>
      </c>
      <c r="H242" s="12">
        <v>0</v>
      </c>
      <c r="I242" s="12">
        <v>0</v>
      </c>
      <c r="J242" s="12">
        <v>4247277.29</v>
      </c>
      <c r="K242" s="12">
        <v>32000</v>
      </c>
      <c r="L242" s="12">
        <v>0</v>
      </c>
      <c r="M242" s="12">
        <v>796722.71</v>
      </c>
      <c r="N242" s="12">
        <v>5076000</v>
      </c>
      <c r="O242" s="12">
        <v>149798.32</v>
      </c>
      <c r="P242" s="12">
        <v>4097478.97</v>
      </c>
      <c r="Q242" s="12">
        <v>1384703</v>
      </c>
      <c r="R242" s="12">
        <v>2712775.97</v>
      </c>
      <c r="S242" s="12">
        <v>100000</v>
      </c>
      <c r="T242" s="12">
        <v>79</v>
      </c>
      <c r="U242" s="12">
        <v>0</v>
      </c>
      <c r="V242" s="12">
        <v>100000</v>
      </c>
      <c r="W242" s="35">
        <v>46144.261731053244</v>
      </c>
      <c r="X242" s="12">
        <v>13</v>
      </c>
      <c r="Y242" s="12">
        <v>22</v>
      </c>
      <c r="Z242" s="12">
        <v>2880672.27</v>
      </c>
      <c r="AA242" s="12">
        <v>130939.648</v>
      </c>
      <c r="AB242" s="12">
        <v>995516</v>
      </c>
      <c r="AC242" s="12">
        <v>1789357.95</v>
      </c>
      <c r="AD242" s="12">
        <v>11</v>
      </c>
      <c r="AE242" s="12">
        <v>11</v>
      </c>
      <c r="AF242" s="12">
        <v>870806.71</v>
      </c>
      <c r="AG242" s="12">
        <v>79164.245999999999</v>
      </c>
      <c r="AH242" s="12">
        <v>235525</v>
      </c>
      <c r="AI242" s="12">
        <v>581281.71</v>
      </c>
      <c r="AJ242" s="12">
        <v>1</v>
      </c>
      <c r="AK242" s="12">
        <v>3</v>
      </c>
      <c r="AL242" s="12">
        <v>495798.31</v>
      </c>
      <c r="AM242" s="12">
        <v>165266.103</v>
      </c>
      <c r="AN242" s="12">
        <v>153662</v>
      </c>
      <c r="AO242" s="12">
        <v>342136.31</v>
      </c>
      <c r="AP242" s="12">
        <v>336134.45</v>
      </c>
      <c r="AQ242" s="12">
        <v>2</v>
      </c>
      <c r="AR242" s="12">
        <v>168067.22500000001</v>
      </c>
      <c r="AS242" s="12">
        <v>94100</v>
      </c>
      <c r="AT242" s="12">
        <v>3911142.84</v>
      </c>
      <c r="AU242" s="12">
        <v>34</v>
      </c>
      <c r="AV242" s="12">
        <v>115033.61199999999</v>
      </c>
      <c r="AW242" s="12">
        <v>1290603</v>
      </c>
      <c r="AX242" s="12"/>
      <c r="AY242" s="12"/>
      <c r="AZ242" s="12"/>
      <c r="BA242" s="12"/>
      <c r="BB242" s="12"/>
      <c r="BC242" s="12"/>
      <c r="BD242" s="12"/>
      <c r="BE242" s="12"/>
      <c r="BF242" s="12">
        <v>377</v>
      </c>
      <c r="BG242" s="12">
        <v>0</v>
      </c>
      <c r="BH242" s="12">
        <v>0</v>
      </c>
      <c r="BI242" s="12">
        <v>83</v>
      </c>
      <c r="BJ242" s="12">
        <v>1</v>
      </c>
      <c r="BK242" s="12">
        <v>1.2048192771084338E-2</v>
      </c>
      <c r="BL242" s="12">
        <v>101</v>
      </c>
      <c r="BM242" s="12">
        <v>0</v>
      </c>
      <c r="BN242" s="12">
        <v>0</v>
      </c>
      <c r="BO242" s="12">
        <v>2</v>
      </c>
      <c r="BP242" s="12">
        <v>0</v>
      </c>
      <c r="BQ242" s="12">
        <v>0</v>
      </c>
      <c r="BR242" s="12">
        <v>61</v>
      </c>
      <c r="BS242" s="12">
        <v>1</v>
      </c>
      <c r="BT242" s="12">
        <v>1.6393442622950821E-2</v>
      </c>
      <c r="BU242" s="12">
        <v>624</v>
      </c>
      <c r="BV242" s="12">
        <v>2</v>
      </c>
      <c r="BW242" s="12">
        <v>3.205128205128205E-3</v>
      </c>
      <c r="BX242" s="12"/>
      <c r="BY242" s="12"/>
      <c r="BZ242" s="12"/>
      <c r="CA242" s="12">
        <v>65800.100000000006</v>
      </c>
      <c r="CB242" s="13"/>
      <c r="CC242" s="13"/>
      <c r="CD242" s="13"/>
      <c r="CE242" s="12">
        <v>3546</v>
      </c>
      <c r="CF242" s="12">
        <v>460</v>
      </c>
      <c r="CG242" s="13">
        <v>50219</v>
      </c>
      <c r="CH242" s="13">
        <v>145</v>
      </c>
      <c r="CI242" s="13">
        <v>20173</v>
      </c>
    </row>
    <row r="243" spans="2:87" x14ac:dyDescent="0.2">
      <c r="B243" s="5">
        <v>46016</v>
      </c>
      <c r="C243" s="12">
        <v>3</v>
      </c>
      <c r="D243" s="12">
        <v>1.7</v>
      </c>
      <c r="E243" s="12">
        <v>135854.34299999999</v>
      </c>
      <c r="F243" s="12">
        <v>0</v>
      </c>
      <c r="G243" s="12">
        <v>407563.03</v>
      </c>
      <c r="H243" s="12">
        <v>0</v>
      </c>
      <c r="I243" s="12">
        <v>0</v>
      </c>
      <c r="J243" s="12">
        <v>407563.03</v>
      </c>
      <c r="K243" s="12">
        <v>28000</v>
      </c>
      <c r="L243" s="12">
        <v>0</v>
      </c>
      <c r="M243" s="12">
        <v>77436.97</v>
      </c>
      <c r="N243" s="12">
        <v>513000</v>
      </c>
      <c r="O243" s="12">
        <v>0</v>
      </c>
      <c r="P243" s="12">
        <v>407563.03</v>
      </c>
      <c r="Q243" s="12">
        <v>126794</v>
      </c>
      <c r="R243" s="12">
        <v>280769.03000000003</v>
      </c>
      <c r="S243" s="12">
        <v>0</v>
      </c>
      <c r="T243" s="12">
        <v>5</v>
      </c>
      <c r="U243" s="12">
        <v>0</v>
      </c>
      <c r="V243" s="12">
        <v>0</v>
      </c>
      <c r="W243" s="35">
        <v>46144.261731053244</v>
      </c>
      <c r="X243" s="12">
        <v>1</v>
      </c>
      <c r="Y243" s="12">
        <v>1</v>
      </c>
      <c r="Z243" s="12">
        <v>205882.35</v>
      </c>
      <c r="AA243" s="12">
        <v>205882.35</v>
      </c>
      <c r="AB243" s="12">
        <v>43354</v>
      </c>
      <c r="AC243" s="12">
        <v>162528.35</v>
      </c>
      <c r="AD243" s="12">
        <v>2</v>
      </c>
      <c r="AE243" s="12">
        <v>2</v>
      </c>
      <c r="AF243" s="12">
        <v>201680.68</v>
      </c>
      <c r="AG243" s="12">
        <v>100840.34</v>
      </c>
      <c r="AH243" s="12">
        <v>83440</v>
      </c>
      <c r="AI243" s="12">
        <v>118240.68</v>
      </c>
      <c r="AJ243" s="12"/>
      <c r="AK243" s="12"/>
      <c r="AL243" s="12"/>
      <c r="AM243" s="12"/>
      <c r="AN243" s="12"/>
      <c r="AO243" s="12"/>
      <c r="AP243" s="12">
        <v>407563.03</v>
      </c>
      <c r="AQ243" s="12">
        <v>3</v>
      </c>
      <c r="AR243" s="12">
        <v>135854.34299999999</v>
      </c>
      <c r="AS243" s="12">
        <v>126794</v>
      </c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>
        <v>183</v>
      </c>
      <c r="BG243" s="12">
        <v>0</v>
      </c>
      <c r="BH243" s="12">
        <v>0</v>
      </c>
      <c r="BI243" s="12">
        <v>139</v>
      </c>
      <c r="BJ243" s="12">
        <v>0</v>
      </c>
      <c r="BK243" s="12">
        <v>0</v>
      </c>
      <c r="BL243" s="12">
        <v>38</v>
      </c>
      <c r="BM243" s="12">
        <v>2</v>
      </c>
      <c r="BN243" s="12">
        <v>5.2631578947368418E-2</v>
      </c>
      <c r="BO243" s="12">
        <v>2</v>
      </c>
      <c r="BP243" s="12">
        <v>0</v>
      </c>
      <c r="BQ243" s="12">
        <v>0</v>
      </c>
      <c r="BR243" s="12">
        <v>49</v>
      </c>
      <c r="BS243" s="12">
        <v>1</v>
      </c>
      <c r="BT243" s="12">
        <v>2.0408163265306121E-2</v>
      </c>
      <c r="BU243" s="12">
        <v>411</v>
      </c>
      <c r="BV243" s="12">
        <v>3</v>
      </c>
      <c r="BW243" s="12">
        <v>7.2992700729927005E-3</v>
      </c>
      <c r="BX243" s="12"/>
      <c r="BY243" s="12"/>
      <c r="BZ243" s="12"/>
      <c r="CA243" s="12">
        <v>36804.730000000003</v>
      </c>
      <c r="CB243" s="13"/>
      <c r="CC243" s="13"/>
      <c r="CD243" s="13"/>
      <c r="CE243" s="12">
        <v>2090</v>
      </c>
      <c r="CF243" s="12">
        <v>243</v>
      </c>
      <c r="CG243" s="13">
        <v>50059</v>
      </c>
      <c r="CH243" s="13">
        <v>230</v>
      </c>
      <c r="CI243" s="13">
        <v>20150</v>
      </c>
    </row>
    <row r="244" spans="2:87" x14ac:dyDescent="0.2">
      <c r="B244" s="5">
        <v>46017</v>
      </c>
      <c r="C244" s="12">
        <v>23</v>
      </c>
      <c r="D244" s="12">
        <v>5.2</v>
      </c>
      <c r="E244" s="12">
        <v>475648.52</v>
      </c>
      <c r="F244" s="12">
        <v>0</v>
      </c>
      <c r="G244" s="12">
        <v>10939915.98</v>
      </c>
      <c r="H244" s="12">
        <v>0</v>
      </c>
      <c r="I244" s="12">
        <v>0</v>
      </c>
      <c r="J244" s="12">
        <v>10939915.98</v>
      </c>
      <c r="K244" s="12">
        <v>44000</v>
      </c>
      <c r="L244" s="12">
        <v>0</v>
      </c>
      <c r="M244" s="12">
        <v>2078584.02</v>
      </c>
      <c r="N244" s="12">
        <v>13062500</v>
      </c>
      <c r="O244" s="12">
        <v>0</v>
      </c>
      <c r="P244" s="12">
        <v>10939915.98</v>
      </c>
      <c r="Q244" s="12">
        <v>3123613</v>
      </c>
      <c r="R244" s="12">
        <v>7816302.9800000004</v>
      </c>
      <c r="S244" s="12">
        <v>0</v>
      </c>
      <c r="T244" s="12">
        <v>120</v>
      </c>
      <c r="U244" s="12">
        <v>0</v>
      </c>
      <c r="V244" s="12">
        <v>0</v>
      </c>
      <c r="W244" s="35">
        <v>46144.261731053244</v>
      </c>
      <c r="X244" s="12">
        <v>7</v>
      </c>
      <c r="Y244" s="12">
        <v>8</v>
      </c>
      <c r="Z244" s="12">
        <v>2821428.58</v>
      </c>
      <c r="AA244" s="12">
        <v>352678.57199999999</v>
      </c>
      <c r="AB244" s="12">
        <v>764866</v>
      </c>
      <c r="AC244" s="12">
        <v>2056562.58</v>
      </c>
      <c r="AD244" s="12">
        <v>15</v>
      </c>
      <c r="AE244" s="12">
        <v>15</v>
      </c>
      <c r="AF244" s="12">
        <v>8118487.4000000004</v>
      </c>
      <c r="AG244" s="12">
        <v>541232.49300000002</v>
      </c>
      <c r="AH244" s="12">
        <v>2358747</v>
      </c>
      <c r="AI244" s="12">
        <v>5759740.4000000004</v>
      </c>
      <c r="AJ244" s="12"/>
      <c r="AK244" s="12"/>
      <c r="AL244" s="12"/>
      <c r="AM244" s="12"/>
      <c r="AN244" s="12"/>
      <c r="AO244" s="12"/>
      <c r="AP244" s="12">
        <v>1434873.96</v>
      </c>
      <c r="AQ244" s="12">
        <v>15</v>
      </c>
      <c r="AR244" s="12">
        <v>95658.263999999996</v>
      </c>
      <c r="AS244" s="12">
        <v>475837</v>
      </c>
      <c r="AT244" s="12">
        <v>589075.63</v>
      </c>
      <c r="AU244" s="12">
        <v>6</v>
      </c>
      <c r="AV244" s="12">
        <v>98179.270999999993</v>
      </c>
      <c r="AW244" s="12">
        <v>133181</v>
      </c>
      <c r="AX244" s="12">
        <v>2109243.7000000002</v>
      </c>
      <c r="AY244" s="12">
        <v>1</v>
      </c>
      <c r="AZ244" s="12">
        <v>2109243.7000000002</v>
      </c>
      <c r="BA244" s="12">
        <v>506965</v>
      </c>
      <c r="BB244" s="12">
        <v>6806722.6900000004</v>
      </c>
      <c r="BC244" s="12">
        <v>1</v>
      </c>
      <c r="BD244" s="12">
        <v>6806722.6900000004</v>
      </c>
      <c r="BE244" s="12">
        <v>2007630</v>
      </c>
      <c r="BF244" s="12">
        <v>282</v>
      </c>
      <c r="BG244" s="12">
        <v>0</v>
      </c>
      <c r="BH244" s="12">
        <v>0</v>
      </c>
      <c r="BI244" s="12">
        <v>128</v>
      </c>
      <c r="BJ244" s="12">
        <v>3</v>
      </c>
      <c r="BK244" s="12">
        <v>2.34375E-2</v>
      </c>
      <c r="BL244" s="12">
        <v>35</v>
      </c>
      <c r="BM244" s="12">
        <v>1</v>
      </c>
      <c r="BN244" s="12">
        <v>2.8571428571428571E-2</v>
      </c>
      <c r="BO244" s="12">
        <v>6</v>
      </c>
      <c r="BP244" s="12">
        <v>0</v>
      </c>
      <c r="BQ244" s="12">
        <v>0</v>
      </c>
      <c r="BR244" s="12">
        <v>92</v>
      </c>
      <c r="BS244" s="12">
        <v>0</v>
      </c>
      <c r="BT244" s="12">
        <v>0</v>
      </c>
      <c r="BU244" s="12">
        <v>543</v>
      </c>
      <c r="BV244" s="12">
        <v>4</v>
      </c>
      <c r="BW244" s="12">
        <v>7.3664825046040518E-3</v>
      </c>
      <c r="BX244" s="12"/>
      <c r="BY244" s="12"/>
      <c r="BZ244" s="12"/>
      <c r="CA244" s="12">
        <v>63866.06</v>
      </c>
      <c r="CB244" s="13"/>
      <c r="CC244" s="13"/>
      <c r="CD244" s="13"/>
      <c r="CE244" s="12">
        <v>3558</v>
      </c>
      <c r="CF244" s="12">
        <v>381</v>
      </c>
      <c r="CG244" s="13">
        <v>49415</v>
      </c>
      <c r="CH244" s="13">
        <v>180</v>
      </c>
      <c r="CI244" s="13">
        <v>20877</v>
      </c>
    </row>
    <row r="245" spans="2:87" x14ac:dyDescent="0.2">
      <c r="B245" s="5">
        <v>46018</v>
      </c>
      <c r="C245" s="12">
        <v>11</v>
      </c>
      <c r="D245" s="12">
        <v>2.2000000000000002</v>
      </c>
      <c r="E245" s="12">
        <v>145172.649</v>
      </c>
      <c r="F245" s="12">
        <v>0</v>
      </c>
      <c r="G245" s="12">
        <v>1596899.14</v>
      </c>
      <c r="H245" s="12">
        <v>0</v>
      </c>
      <c r="I245" s="12">
        <v>0</v>
      </c>
      <c r="J245" s="12">
        <v>1596899.14</v>
      </c>
      <c r="K245" s="12">
        <v>12000</v>
      </c>
      <c r="L245" s="12">
        <v>0</v>
      </c>
      <c r="M245" s="12">
        <v>294100.86</v>
      </c>
      <c r="N245" s="12">
        <v>1903000</v>
      </c>
      <c r="O245" s="12">
        <v>131932.76999999999</v>
      </c>
      <c r="P245" s="12">
        <v>1464966.37</v>
      </c>
      <c r="Q245" s="12">
        <v>335784</v>
      </c>
      <c r="R245" s="12">
        <v>1129182.3700000001</v>
      </c>
      <c r="S245" s="12">
        <v>0</v>
      </c>
      <c r="T245" s="12">
        <v>24</v>
      </c>
      <c r="U245" s="12">
        <v>0</v>
      </c>
      <c r="V245" s="12">
        <v>0</v>
      </c>
      <c r="W245" s="35">
        <v>46144.261731053244</v>
      </c>
      <c r="X245" s="12">
        <v>6</v>
      </c>
      <c r="Y245" s="12">
        <v>6</v>
      </c>
      <c r="Z245" s="12">
        <v>1021268.89</v>
      </c>
      <c r="AA245" s="12">
        <v>170211.481</v>
      </c>
      <c r="AB245" s="12">
        <v>238021</v>
      </c>
      <c r="AC245" s="12">
        <v>722743.69</v>
      </c>
      <c r="AD245" s="12">
        <v>3</v>
      </c>
      <c r="AE245" s="12">
        <v>3</v>
      </c>
      <c r="AF245" s="12">
        <v>306722.69</v>
      </c>
      <c r="AG245" s="12">
        <v>102240.89599999999</v>
      </c>
      <c r="AH245" s="12">
        <v>36010</v>
      </c>
      <c r="AI245" s="12">
        <v>199284.12</v>
      </c>
      <c r="AJ245" s="12">
        <v>1</v>
      </c>
      <c r="AK245" s="12">
        <v>2</v>
      </c>
      <c r="AL245" s="12">
        <v>268907.56</v>
      </c>
      <c r="AM245" s="12">
        <v>134453.78</v>
      </c>
      <c r="AN245" s="12">
        <v>61753</v>
      </c>
      <c r="AO245" s="12">
        <v>207154.56</v>
      </c>
      <c r="AP245" s="12">
        <v>218487.39</v>
      </c>
      <c r="AQ245" s="12">
        <v>1</v>
      </c>
      <c r="AR245" s="12">
        <v>218487.39</v>
      </c>
      <c r="AS245" s="12">
        <v>75055</v>
      </c>
      <c r="AT245" s="12">
        <v>1378411.75</v>
      </c>
      <c r="AU245" s="12">
        <v>10</v>
      </c>
      <c r="AV245" s="12">
        <v>137841.17499999999</v>
      </c>
      <c r="AW245" s="12">
        <v>260729</v>
      </c>
      <c r="AX245" s="12"/>
      <c r="AY245" s="12"/>
      <c r="AZ245" s="12"/>
      <c r="BA245" s="12"/>
      <c r="BB245" s="12"/>
      <c r="BC245" s="12"/>
      <c r="BD245" s="12"/>
      <c r="BE245" s="12"/>
      <c r="BF245" s="12">
        <v>224</v>
      </c>
      <c r="BG245" s="12">
        <v>0</v>
      </c>
      <c r="BH245" s="12">
        <v>0</v>
      </c>
      <c r="BI245" s="12">
        <v>112</v>
      </c>
      <c r="BJ245" s="12">
        <v>0</v>
      </c>
      <c r="BK245" s="12">
        <v>0</v>
      </c>
      <c r="BL245" s="12">
        <v>26</v>
      </c>
      <c r="BM245" s="12">
        <v>0</v>
      </c>
      <c r="BN245" s="12">
        <v>0</v>
      </c>
      <c r="BO245" s="12">
        <v>2</v>
      </c>
      <c r="BP245" s="12">
        <v>0</v>
      </c>
      <c r="BQ245" s="12">
        <v>0</v>
      </c>
      <c r="BR245" s="12">
        <v>44</v>
      </c>
      <c r="BS245" s="12">
        <v>1</v>
      </c>
      <c r="BT245" s="12">
        <v>2.2727272727272728E-2</v>
      </c>
      <c r="BU245" s="12">
        <v>408</v>
      </c>
      <c r="BV245" s="12">
        <v>1</v>
      </c>
      <c r="BW245" s="12">
        <v>2.4509803921568627E-3</v>
      </c>
      <c r="BX245" s="12"/>
      <c r="BY245" s="12"/>
      <c r="BZ245" s="12"/>
      <c r="CA245" s="12">
        <v>41781.269999999997</v>
      </c>
      <c r="CB245" s="13"/>
      <c r="CC245" s="13"/>
      <c r="CD245" s="13"/>
      <c r="CE245" s="12">
        <v>2741</v>
      </c>
      <c r="CF245" s="12">
        <v>301</v>
      </c>
      <c r="CG245" s="13">
        <v>53692</v>
      </c>
      <c r="CH245" s="13">
        <v>189</v>
      </c>
      <c r="CI245" s="13">
        <v>21628</v>
      </c>
    </row>
    <row r="246" spans="2:87" x14ac:dyDescent="0.2">
      <c r="B246" s="5">
        <v>46019</v>
      </c>
      <c r="C246" s="12">
        <v>5</v>
      </c>
      <c r="D246" s="12">
        <v>1.8</v>
      </c>
      <c r="E246" s="12">
        <v>113445.378</v>
      </c>
      <c r="F246" s="12">
        <v>0</v>
      </c>
      <c r="G246" s="12">
        <v>567226.89</v>
      </c>
      <c r="H246" s="12">
        <v>0</v>
      </c>
      <c r="I246" s="12">
        <v>0</v>
      </c>
      <c r="J246" s="12">
        <v>567226.89</v>
      </c>
      <c r="K246" s="12">
        <v>64000</v>
      </c>
      <c r="L246" s="12">
        <v>0</v>
      </c>
      <c r="M246" s="12">
        <v>107773.11</v>
      </c>
      <c r="N246" s="12">
        <v>739000</v>
      </c>
      <c r="O246" s="12">
        <v>0</v>
      </c>
      <c r="P246" s="12">
        <v>567226.89</v>
      </c>
      <c r="Q246" s="12">
        <v>207069</v>
      </c>
      <c r="R246" s="12">
        <v>360157.89</v>
      </c>
      <c r="S246" s="12">
        <v>0</v>
      </c>
      <c r="T246" s="12">
        <v>9</v>
      </c>
      <c r="U246" s="12">
        <v>0</v>
      </c>
      <c r="V246" s="12">
        <v>0</v>
      </c>
      <c r="W246" s="35">
        <v>46144.261731053244</v>
      </c>
      <c r="X246" s="12">
        <v>2</v>
      </c>
      <c r="Y246" s="12">
        <v>2</v>
      </c>
      <c r="Z246" s="12">
        <v>193277.31</v>
      </c>
      <c r="AA246" s="12">
        <v>96638.654999999999</v>
      </c>
      <c r="AB246" s="12">
        <v>70942</v>
      </c>
      <c r="AC246" s="12">
        <v>122335.31</v>
      </c>
      <c r="AD246" s="12">
        <v>3</v>
      </c>
      <c r="AE246" s="12">
        <v>3</v>
      </c>
      <c r="AF246" s="12">
        <v>373949.58</v>
      </c>
      <c r="AG246" s="12">
        <v>124649.86</v>
      </c>
      <c r="AH246" s="12">
        <v>136127</v>
      </c>
      <c r="AI246" s="12">
        <v>237822.58</v>
      </c>
      <c r="AJ246" s="12"/>
      <c r="AK246" s="12"/>
      <c r="AL246" s="12"/>
      <c r="AM246" s="12"/>
      <c r="AN246" s="12"/>
      <c r="AO246" s="12"/>
      <c r="AP246" s="12">
        <v>567226.89</v>
      </c>
      <c r="AQ246" s="12">
        <v>5</v>
      </c>
      <c r="AR246" s="12">
        <v>113445.378</v>
      </c>
      <c r="AS246" s="12">
        <v>207069</v>
      </c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>
        <v>429</v>
      </c>
      <c r="BG246" s="12">
        <v>0</v>
      </c>
      <c r="BH246" s="12">
        <v>0</v>
      </c>
      <c r="BI246" s="12">
        <v>130</v>
      </c>
      <c r="BJ246" s="12">
        <v>3</v>
      </c>
      <c r="BK246" s="12">
        <v>2.3076923076923078E-2</v>
      </c>
      <c r="BL246" s="12">
        <v>21</v>
      </c>
      <c r="BM246" s="12">
        <v>1</v>
      </c>
      <c r="BN246" s="12">
        <v>4.7619047619047616E-2</v>
      </c>
      <c r="BO246" s="12">
        <v>5</v>
      </c>
      <c r="BP246" s="12">
        <v>0</v>
      </c>
      <c r="BQ246" s="12">
        <v>0</v>
      </c>
      <c r="BR246" s="12">
        <v>43</v>
      </c>
      <c r="BS246" s="12">
        <v>1</v>
      </c>
      <c r="BT246" s="12">
        <v>2.3255813953488372E-2</v>
      </c>
      <c r="BU246" s="12">
        <v>628</v>
      </c>
      <c r="BV246" s="12">
        <v>5</v>
      </c>
      <c r="BW246" s="12">
        <v>7.9617834394904458E-3</v>
      </c>
      <c r="BX246" s="12"/>
      <c r="BY246" s="12"/>
      <c r="BZ246" s="12"/>
      <c r="CA246" s="12">
        <v>58993.07</v>
      </c>
      <c r="CB246" s="13"/>
      <c r="CC246" s="13"/>
      <c r="CD246" s="13"/>
      <c r="CE246" s="12">
        <v>4817</v>
      </c>
      <c r="CF246" s="12">
        <v>542</v>
      </c>
      <c r="CG246" s="13">
        <v>55693</v>
      </c>
      <c r="CH246" s="13">
        <v>212</v>
      </c>
      <c r="CI246" s="13">
        <v>22978</v>
      </c>
    </row>
    <row r="247" spans="2:87" x14ac:dyDescent="0.2">
      <c r="B247" s="5">
        <v>46020</v>
      </c>
      <c r="C247" s="12">
        <v>14</v>
      </c>
      <c r="D247" s="12">
        <v>4.5999999999999996</v>
      </c>
      <c r="E247" s="12">
        <v>238019.20699999999</v>
      </c>
      <c r="F247" s="12">
        <v>0</v>
      </c>
      <c r="G247" s="12">
        <v>3510252.08</v>
      </c>
      <c r="H247" s="12">
        <v>-177983.18</v>
      </c>
      <c r="I247" s="12">
        <v>0</v>
      </c>
      <c r="J247" s="12">
        <v>3332268.9</v>
      </c>
      <c r="K247" s="12">
        <v>219000</v>
      </c>
      <c r="L247" s="12">
        <v>0</v>
      </c>
      <c r="M247" s="12">
        <v>515331.1</v>
      </c>
      <c r="N247" s="12">
        <v>4066600</v>
      </c>
      <c r="O247" s="12">
        <v>0</v>
      </c>
      <c r="P247" s="12">
        <v>3332268.9</v>
      </c>
      <c r="Q247" s="12">
        <v>1006515</v>
      </c>
      <c r="R247" s="12">
        <v>2325753.9</v>
      </c>
      <c r="S247" s="12">
        <v>0</v>
      </c>
      <c r="T247" s="12">
        <v>65</v>
      </c>
      <c r="U247" s="12">
        <v>0</v>
      </c>
      <c r="V247" s="12">
        <v>0</v>
      </c>
      <c r="W247" s="35">
        <v>46144.261731053244</v>
      </c>
      <c r="X247" s="12">
        <v>3</v>
      </c>
      <c r="Y247" s="12">
        <v>5</v>
      </c>
      <c r="Z247" s="12">
        <v>968739.49</v>
      </c>
      <c r="AA247" s="12">
        <v>193747.89799999999</v>
      </c>
      <c r="AB247" s="12">
        <v>241233</v>
      </c>
      <c r="AC247" s="12">
        <v>727506.49</v>
      </c>
      <c r="AD247" s="12">
        <v>8</v>
      </c>
      <c r="AE247" s="12">
        <v>8</v>
      </c>
      <c r="AF247" s="12">
        <v>2098823.5299999998</v>
      </c>
      <c r="AG247" s="12">
        <v>262352.94099999999</v>
      </c>
      <c r="AH247" s="12">
        <v>683399</v>
      </c>
      <c r="AI247" s="12">
        <v>1415424.53</v>
      </c>
      <c r="AJ247" s="12">
        <v>1</v>
      </c>
      <c r="AK247" s="12">
        <v>1</v>
      </c>
      <c r="AL247" s="12">
        <v>264705.88</v>
      </c>
      <c r="AM247" s="12">
        <v>264705.88</v>
      </c>
      <c r="AN247" s="12">
        <v>81883</v>
      </c>
      <c r="AO247" s="12">
        <v>182822.88</v>
      </c>
      <c r="AP247" s="12">
        <v>1699495.8</v>
      </c>
      <c r="AQ247" s="12">
        <v>6</v>
      </c>
      <c r="AR247" s="12">
        <v>283249.3</v>
      </c>
      <c r="AS247" s="12">
        <v>569260</v>
      </c>
      <c r="AT247" s="12">
        <v>771428.56</v>
      </c>
      <c r="AU247" s="12">
        <v>7</v>
      </c>
      <c r="AV247" s="12">
        <v>110204.08</v>
      </c>
      <c r="AW247" s="12">
        <v>236744</v>
      </c>
      <c r="AX247" s="12"/>
      <c r="AY247" s="12"/>
      <c r="AZ247" s="12"/>
      <c r="BA247" s="12"/>
      <c r="BB247" s="12">
        <v>861344.54</v>
      </c>
      <c r="BC247" s="12">
        <v>1</v>
      </c>
      <c r="BD247" s="12">
        <v>861344.54</v>
      </c>
      <c r="BE247" s="12">
        <v>200511</v>
      </c>
      <c r="BF247" s="12">
        <v>374</v>
      </c>
      <c r="BG247" s="12">
        <v>0</v>
      </c>
      <c r="BH247" s="12">
        <v>0</v>
      </c>
      <c r="BI247" s="12">
        <v>111</v>
      </c>
      <c r="BJ247" s="12">
        <v>2</v>
      </c>
      <c r="BK247" s="12">
        <v>1.8018018018018018E-2</v>
      </c>
      <c r="BL247" s="12">
        <v>32</v>
      </c>
      <c r="BM247" s="12">
        <v>0</v>
      </c>
      <c r="BN247" s="12">
        <v>0</v>
      </c>
      <c r="BO247" s="12">
        <v>4</v>
      </c>
      <c r="BP247" s="12">
        <v>0</v>
      </c>
      <c r="BQ247" s="12">
        <v>0</v>
      </c>
      <c r="BR247" s="12">
        <v>42</v>
      </c>
      <c r="BS247" s="12">
        <v>2</v>
      </c>
      <c r="BT247" s="12">
        <v>4.7619047619047616E-2</v>
      </c>
      <c r="BU247" s="12">
        <v>563</v>
      </c>
      <c r="BV247" s="12">
        <v>4</v>
      </c>
      <c r="BW247" s="12">
        <v>7.104795737122558E-3</v>
      </c>
      <c r="BX247" s="12"/>
      <c r="BY247" s="12"/>
      <c r="BZ247" s="12"/>
      <c r="CA247" s="12">
        <v>50405.81</v>
      </c>
      <c r="CB247" s="13"/>
      <c r="CC247" s="13"/>
      <c r="CD247" s="13"/>
      <c r="CE247" s="12">
        <v>3710</v>
      </c>
      <c r="CF247" s="12">
        <v>467</v>
      </c>
      <c r="CG247" s="13">
        <v>52819</v>
      </c>
      <c r="CH247" s="13">
        <v>189</v>
      </c>
      <c r="CI247" s="13">
        <v>21814</v>
      </c>
    </row>
    <row r="248" spans="2:87" x14ac:dyDescent="0.2">
      <c r="B248" s="5">
        <v>46021</v>
      </c>
      <c r="C248" s="12">
        <v>15</v>
      </c>
      <c r="D248" s="12">
        <v>8</v>
      </c>
      <c r="E248" s="12">
        <v>550372.55000000005</v>
      </c>
      <c r="F248" s="12">
        <v>0</v>
      </c>
      <c r="G248" s="12">
        <v>8255588.25</v>
      </c>
      <c r="H248" s="12">
        <v>0</v>
      </c>
      <c r="I248" s="12">
        <v>0</v>
      </c>
      <c r="J248" s="12">
        <v>8255588.25</v>
      </c>
      <c r="K248" s="12">
        <v>52000</v>
      </c>
      <c r="L248" s="12">
        <v>0</v>
      </c>
      <c r="M248" s="12">
        <v>1552411.75</v>
      </c>
      <c r="N248" s="12">
        <v>9860000</v>
      </c>
      <c r="O248" s="12">
        <v>0</v>
      </c>
      <c r="P248" s="12">
        <v>8255588.25</v>
      </c>
      <c r="Q248" s="12">
        <v>2186285</v>
      </c>
      <c r="R248" s="12">
        <v>6069303.25</v>
      </c>
      <c r="S248" s="12">
        <v>0</v>
      </c>
      <c r="T248" s="12">
        <v>120</v>
      </c>
      <c r="U248" s="12">
        <v>0</v>
      </c>
      <c r="V248" s="12">
        <v>0</v>
      </c>
      <c r="W248" s="35">
        <v>46144.261731053244</v>
      </c>
      <c r="X248" s="12">
        <v>8</v>
      </c>
      <c r="Y248" s="12">
        <v>10</v>
      </c>
      <c r="Z248" s="12">
        <v>7240462.2000000002</v>
      </c>
      <c r="AA248" s="12">
        <v>724046.22</v>
      </c>
      <c r="AB248" s="12">
        <v>1853619</v>
      </c>
      <c r="AC248" s="12">
        <v>5386843.2000000002</v>
      </c>
      <c r="AD248" s="12">
        <v>5</v>
      </c>
      <c r="AE248" s="12">
        <v>5</v>
      </c>
      <c r="AF248" s="12">
        <v>1015126.05</v>
      </c>
      <c r="AG248" s="12">
        <v>203025.21</v>
      </c>
      <c r="AH248" s="12">
        <v>332666</v>
      </c>
      <c r="AI248" s="12">
        <v>682460.05</v>
      </c>
      <c r="AJ248" s="12"/>
      <c r="AK248" s="12"/>
      <c r="AL248" s="12"/>
      <c r="AM248" s="12"/>
      <c r="AN248" s="12"/>
      <c r="AO248" s="12"/>
      <c r="AP248" s="12">
        <v>1197479</v>
      </c>
      <c r="AQ248" s="12">
        <v>5</v>
      </c>
      <c r="AR248" s="12">
        <v>239495.8</v>
      </c>
      <c r="AS248" s="12">
        <v>361426</v>
      </c>
      <c r="AT248" s="12">
        <v>671554.63</v>
      </c>
      <c r="AU248" s="12">
        <v>9</v>
      </c>
      <c r="AV248" s="12">
        <v>74617.180999999997</v>
      </c>
      <c r="AW248" s="12">
        <v>244987</v>
      </c>
      <c r="AX248" s="12"/>
      <c r="AY248" s="12"/>
      <c r="AZ248" s="12"/>
      <c r="BA248" s="12"/>
      <c r="BB248" s="12">
        <v>6386554.6200000001</v>
      </c>
      <c r="BC248" s="12">
        <v>1</v>
      </c>
      <c r="BD248" s="12">
        <v>6386554.6200000001</v>
      </c>
      <c r="BE248" s="12">
        <v>1579872</v>
      </c>
      <c r="BF248" s="12">
        <v>305</v>
      </c>
      <c r="BG248" s="12">
        <v>0</v>
      </c>
      <c r="BH248" s="12">
        <v>0</v>
      </c>
      <c r="BI248" s="12">
        <v>93</v>
      </c>
      <c r="BJ248" s="12">
        <v>0</v>
      </c>
      <c r="BK248" s="12">
        <v>0</v>
      </c>
      <c r="BL248" s="12">
        <v>27</v>
      </c>
      <c r="BM248" s="12">
        <v>1</v>
      </c>
      <c r="BN248" s="12">
        <v>3.7037037037037035E-2</v>
      </c>
      <c r="BO248" s="12">
        <v>4</v>
      </c>
      <c r="BP248" s="12">
        <v>0</v>
      </c>
      <c r="BQ248" s="12">
        <v>0</v>
      </c>
      <c r="BR248" s="12">
        <v>50</v>
      </c>
      <c r="BS248" s="12">
        <v>4</v>
      </c>
      <c r="BT248" s="12">
        <v>0.08</v>
      </c>
      <c r="BU248" s="12">
        <v>479</v>
      </c>
      <c r="BV248" s="12">
        <v>5</v>
      </c>
      <c r="BW248" s="12">
        <v>1.0438413361169102E-2</v>
      </c>
      <c r="BX248" s="12"/>
      <c r="BY248" s="12"/>
      <c r="BZ248" s="12"/>
      <c r="CA248" s="12">
        <v>44128.35</v>
      </c>
      <c r="CB248" s="13"/>
      <c r="CC248" s="13"/>
      <c r="CD248" s="13"/>
      <c r="CE248" s="12">
        <v>3040</v>
      </c>
      <c r="CF248" s="12">
        <v>405</v>
      </c>
      <c r="CG248" s="13">
        <v>50477</v>
      </c>
      <c r="CH248" s="13">
        <v>150</v>
      </c>
      <c r="CI248" s="13">
        <v>19682</v>
      </c>
    </row>
    <row r="249" spans="2:87" x14ac:dyDescent="0.2">
      <c r="B249" s="5">
        <v>46022</v>
      </c>
      <c r="C249" s="12">
        <v>11</v>
      </c>
      <c r="D249" s="12">
        <v>56.3</v>
      </c>
      <c r="E249" s="12">
        <v>1899533.9950000001</v>
      </c>
      <c r="F249" s="12">
        <v>0</v>
      </c>
      <c r="G249" s="12">
        <v>24317562.940000001</v>
      </c>
      <c r="H249" s="12">
        <v>-3422688.99</v>
      </c>
      <c r="I249" s="12">
        <v>0</v>
      </c>
      <c r="J249" s="12">
        <v>20894873.949999999</v>
      </c>
      <c r="K249" s="12">
        <v>40000</v>
      </c>
      <c r="L249" s="12">
        <v>0</v>
      </c>
      <c r="M249" s="12">
        <v>3970026.05</v>
      </c>
      <c r="N249" s="12">
        <v>24904900</v>
      </c>
      <c r="O249" s="12">
        <v>3681839.14</v>
      </c>
      <c r="P249" s="12">
        <v>17213034.809999999</v>
      </c>
      <c r="Q249" s="12">
        <v>5783740</v>
      </c>
      <c r="R249" s="12">
        <v>11429294.810000001</v>
      </c>
      <c r="S249" s="12">
        <v>0</v>
      </c>
      <c r="T249" s="12">
        <v>619</v>
      </c>
      <c r="U249" s="12">
        <v>0</v>
      </c>
      <c r="V249" s="12">
        <v>0</v>
      </c>
      <c r="W249" s="35">
        <v>46144.261731053244</v>
      </c>
      <c r="X249" s="12">
        <v>3</v>
      </c>
      <c r="Y249" s="12">
        <v>4</v>
      </c>
      <c r="Z249" s="12">
        <v>2806722.69</v>
      </c>
      <c r="AA249" s="12">
        <v>701680.67200000002</v>
      </c>
      <c r="AB249" s="12">
        <v>826962</v>
      </c>
      <c r="AC249" s="12">
        <v>979760.69</v>
      </c>
      <c r="AD249" s="12">
        <v>7</v>
      </c>
      <c r="AE249" s="12">
        <v>7</v>
      </c>
      <c r="AF249" s="12">
        <v>18088151.260000002</v>
      </c>
      <c r="AG249" s="12">
        <v>2584021.608</v>
      </c>
      <c r="AH249" s="12">
        <v>4956778</v>
      </c>
      <c r="AI249" s="12">
        <v>10449534.119999999</v>
      </c>
      <c r="AJ249" s="12"/>
      <c r="AK249" s="12"/>
      <c r="AL249" s="12"/>
      <c r="AM249" s="12"/>
      <c r="AN249" s="12"/>
      <c r="AO249" s="12"/>
      <c r="AP249" s="12">
        <v>529411.76</v>
      </c>
      <c r="AQ249" s="12">
        <v>3</v>
      </c>
      <c r="AR249" s="12">
        <v>176470.58600000001</v>
      </c>
      <c r="AS249" s="12">
        <v>392551</v>
      </c>
      <c r="AT249" s="12">
        <v>58823.53</v>
      </c>
      <c r="AU249" s="12">
        <v>1</v>
      </c>
      <c r="AV249" s="12">
        <v>58823.53</v>
      </c>
      <c r="AW249" s="12">
        <v>16325</v>
      </c>
      <c r="AX249" s="12">
        <v>134453.78</v>
      </c>
      <c r="AY249" s="12">
        <v>1</v>
      </c>
      <c r="AZ249" s="12">
        <v>134453.78</v>
      </c>
      <c r="BA249" s="12">
        <v>36166</v>
      </c>
      <c r="BB249" s="12">
        <v>20172184.879999999</v>
      </c>
      <c r="BC249" s="12">
        <v>6</v>
      </c>
      <c r="BD249" s="12">
        <v>3362030.8130000001</v>
      </c>
      <c r="BE249" s="12">
        <v>5338698</v>
      </c>
      <c r="BF249" s="12">
        <v>420</v>
      </c>
      <c r="BG249" s="12">
        <v>0</v>
      </c>
      <c r="BH249" s="12">
        <v>0</v>
      </c>
      <c r="BI249" s="12">
        <v>78</v>
      </c>
      <c r="BJ249" s="12">
        <v>0</v>
      </c>
      <c r="BK249" s="12">
        <v>0</v>
      </c>
      <c r="BL249" s="12">
        <v>21</v>
      </c>
      <c r="BM249" s="12">
        <v>0</v>
      </c>
      <c r="BN249" s="12">
        <v>0</v>
      </c>
      <c r="BO249" s="12">
        <v>1</v>
      </c>
      <c r="BP249" s="12">
        <v>0</v>
      </c>
      <c r="BQ249" s="12">
        <v>0</v>
      </c>
      <c r="BR249" s="12">
        <v>39</v>
      </c>
      <c r="BS249" s="12">
        <v>3</v>
      </c>
      <c r="BT249" s="12">
        <v>7.6923076923076927E-2</v>
      </c>
      <c r="BU249" s="12">
        <v>559</v>
      </c>
      <c r="BV249" s="12">
        <v>3</v>
      </c>
      <c r="BW249" s="12">
        <v>5.3667262969588547E-3</v>
      </c>
      <c r="BX249" s="12"/>
      <c r="BY249" s="12"/>
      <c r="BZ249" s="12"/>
      <c r="CA249" s="12">
        <v>43103.05</v>
      </c>
      <c r="CB249" s="13"/>
      <c r="CC249" s="13"/>
      <c r="CD249" s="13"/>
      <c r="CE249" s="12">
        <v>4104</v>
      </c>
      <c r="CF249" s="12">
        <v>540</v>
      </c>
      <c r="CG249" s="13">
        <v>54880</v>
      </c>
      <c r="CH249" s="13">
        <v>194</v>
      </c>
      <c r="CI249" s="13">
        <v>30723</v>
      </c>
    </row>
    <row r="250" spans="2:87" x14ac:dyDescent="0.2">
      <c r="B250" s="5">
        <v>46023</v>
      </c>
      <c r="C250" s="12">
        <v>1</v>
      </c>
      <c r="D250" s="12">
        <v>1</v>
      </c>
      <c r="E250" s="12">
        <v>100840.34</v>
      </c>
      <c r="F250" s="12">
        <v>0</v>
      </c>
      <c r="G250" s="12">
        <v>100840.34</v>
      </c>
      <c r="H250" s="12">
        <v>0</v>
      </c>
      <c r="I250" s="12">
        <v>0</v>
      </c>
      <c r="J250" s="12">
        <v>100840.34</v>
      </c>
      <c r="K250" s="12">
        <v>12000</v>
      </c>
      <c r="L250" s="12">
        <v>0</v>
      </c>
      <c r="M250" s="12">
        <v>19159.66</v>
      </c>
      <c r="N250" s="12">
        <v>132000</v>
      </c>
      <c r="O250" s="12">
        <v>0</v>
      </c>
      <c r="P250" s="12">
        <v>100840.34</v>
      </c>
      <c r="Q250" s="12">
        <v>41720</v>
      </c>
      <c r="R250" s="12">
        <v>59120.34</v>
      </c>
      <c r="S250" s="12">
        <v>0</v>
      </c>
      <c r="T250" s="12">
        <v>1</v>
      </c>
      <c r="U250" s="12">
        <v>0</v>
      </c>
      <c r="V250" s="12">
        <v>0</v>
      </c>
      <c r="W250" s="35">
        <v>46144.261731053244</v>
      </c>
      <c r="X250" s="12"/>
      <c r="Y250" s="12"/>
      <c r="Z250" s="12"/>
      <c r="AA250" s="12"/>
      <c r="AB250" s="12"/>
      <c r="AC250" s="12"/>
      <c r="AD250" s="12">
        <v>1</v>
      </c>
      <c r="AE250" s="12">
        <v>1</v>
      </c>
      <c r="AF250" s="12">
        <v>100840.34</v>
      </c>
      <c r="AG250" s="12">
        <v>100840.34</v>
      </c>
      <c r="AH250" s="12">
        <v>41720</v>
      </c>
      <c r="AI250" s="12">
        <v>59120.34</v>
      </c>
      <c r="AJ250" s="12"/>
      <c r="AK250" s="12"/>
      <c r="AL250" s="12"/>
      <c r="AM250" s="12"/>
      <c r="AN250" s="12"/>
      <c r="AO250" s="12"/>
      <c r="AP250" s="12">
        <v>100840.34</v>
      </c>
      <c r="AQ250" s="12">
        <v>1</v>
      </c>
      <c r="AR250" s="12">
        <v>100840.34</v>
      </c>
      <c r="AS250" s="12">
        <v>41720</v>
      </c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>
        <v>558</v>
      </c>
      <c r="BG250" s="12">
        <v>0</v>
      </c>
      <c r="BH250" s="12">
        <v>0</v>
      </c>
      <c r="BI250" s="12">
        <v>162</v>
      </c>
      <c r="BJ250" s="12">
        <v>1</v>
      </c>
      <c r="BK250" s="12">
        <v>6.1728395061728392E-3</v>
      </c>
      <c r="BL250" s="12">
        <v>12</v>
      </c>
      <c r="BM250" s="12">
        <v>0</v>
      </c>
      <c r="BN250" s="12">
        <v>0</v>
      </c>
      <c r="BO250" s="12">
        <v>3</v>
      </c>
      <c r="BP250" s="12">
        <v>0</v>
      </c>
      <c r="BQ250" s="12">
        <v>0</v>
      </c>
      <c r="BR250" s="12">
        <v>70</v>
      </c>
      <c r="BS250" s="12">
        <v>0</v>
      </c>
      <c r="BT250" s="12">
        <v>0</v>
      </c>
      <c r="BU250" s="12">
        <v>805</v>
      </c>
      <c r="BV250" s="12">
        <v>1</v>
      </c>
      <c r="BW250" s="12">
        <v>1.2422360248447205E-3</v>
      </c>
      <c r="BX250" s="12"/>
      <c r="BY250" s="12"/>
      <c r="BZ250" s="12"/>
      <c r="CA250" s="12">
        <v>46996.639999999999</v>
      </c>
      <c r="CB250" s="13"/>
      <c r="CC250" s="13"/>
      <c r="CD250" s="13"/>
      <c r="CE250" s="12">
        <v>5690</v>
      </c>
      <c r="CF250" s="12">
        <v>670</v>
      </c>
      <c r="CG250" s="13">
        <v>50072</v>
      </c>
      <c r="CH250" s="13">
        <v>233</v>
      </c>
      <c r="CI250" s="13">
        <v>29258</v>
      </c>
    </row>
    <row r="251" spans="2:87" x14ac:dyDescent="0.2">
      <c r="B251" s="5">
        <v>46024</v>
      </c>
      <c r="C251" s="12">
        <v>3</v>
      </c>
      <c r="D251" s="12">
        <v>1.3</v>
      </c>
      <c r="E251" s="12">
        <v>154061.62599999999</v>
      </c>
      <c r="F251" s="12">
        <v>0</v>
      </c>
      <c r="G251" s="12">
        <v>462184.88</v>
      </c>
      <c r="H251" s="12">
        <v>0</v>
      </c>
      <c r="I251" s="12">
        <v>0</v>
      </c>
      <c r="J251" s="12">
        <v>462184.88</v>
      </c>
      <c r="K251" s="12">
        <v>28000</v>
      </c>
      <c r="L251" s="12">
        <v>0</v>
      </c>
      <c r="M251" s="12">
        <v>87815.12</v>
      </c>
      <c r="N251" s="12">
        <v>578000</v>
      </c>
      <c r="O251" s="12">
        <v>0</v>
      </c>
      <c r="P251" s="12">
        <v>462184.88</v>
      </c>
      <c r="Q251" s="12">
        <v>134383</v>
      </c>
      <c r="R251" s="12">
        <v>327801.88</v>
      </c>
      <c r="S251" s="12">
        <v>0</v>
      </c>
      <c r="T251" s="12">
        <v>4</v>
      </c>
      <c r="U251" s="12">
        <v>0</v>
      </c>
      <c r="V251" s="12">
        <v>0</v>
      </c>
      <c r="W251" s="35">
        <v>46144.261731053244</v>
      </c>
      <c r="X251" s="12">
        <v>2</v>
      </c>
      <c r="Y251" s="12">
        <v>2</v>
      </c>
      <c r="Z251" s="12">
        <v>176470.59</v>
      </c>
      <c r="AA251" s="12">
        <v>88235.294999999998</v>
      </c>
      <c r="AB251" s="12">
        <v>51511</v>
      </c>
      <c r="AC251" s="12">
        <v>124959.59</v>
      </c>
      <c r="AD251" s="12">
        <v>1</v>
      </c>
      <c r="AE251" s="12">
        <v>1</v>
      </c>
      <c r="AF251" s="12">
        <v>285714.28999999998</v>
      </c>
      <c r="AG251" s="12">
        <v>285714.28999999998</v>
      </c>
      <c r="AH251" s="12">
        <v>82872</v>
      </c>
      <c r="AI251" s="12">
        <v>202842.29</v>
      </c>
      <c r="AJ251" s="12"/>
      <c r="AK251" s="12"/>
      <c r="AL251" s="12"/>
      <c r="AM251" s="12"/>
      <c r="AN251" s="12"/>
      <c r="AO251" s="12"/>
      <c r="AP251" s="12">
        <v>462184.88</v>
      </c>
      <c r="AQ251" s="12">
        <v>3</v>
      </c>
      <c r="AR251" s="12">
        <v>154061.62599999999</v>
      </c>
      <c r="AS251" s="12">
        <v>134383</v>
      </c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>
        <v>366</v>
      </c>
      <c r="BG251" s="12">
        <v>0</v>
      </c>
      <c r="BH251" s="12">
        <v>0</v>
      </c>
      <c r="BI251" s="12">
        <v>143</v>
      </c>
      <c r="BJ251" s="12">
        <v>1</v>
      </c>
      <c r="BK251" s="12">
        <v>6.993006993006993E-3</v>
      </c>
      <c r="BL251" s="12">
        <v>26</v>
      </c>
      <c r="BM251" s="12">
        <v>0</v>
      </c>
      <c r="BN251" s="12">
        <v>0</v>
      </c>
      <c r="BO251" s="12">
        <v>7</v>
      </c>
      <c r="BP251" s="12">
        <v>0</v>
      </c>
      <c r="BQ251" s="12">
        <v>0</v>
      </c>
      <c r="BR251" s="12">
        <v>75</v>
      </c>
      <c r="BS251" s="12">
        <v>2</v>
      </c>
      <c r="BT251" s="12">
        <v>2.6666666666666668E-2</v>
      </c>
      <c r="BU251" s="12">
        <v>617</v>
      </c>
      <c r="BV251" s="12">
        <v>3</v>
      </c>
      <c r="BW251" s="12">
        <v>4.8622366288492711E-3</v>
      </c>
      <c r="BX251" s="12"/>
      <c r="BY251" s="12"/>
      <c r="BZ251" s="12"/>
      <c r="CA251" s="12">
        <v>52997.09</v>
      </c>
      <c r="CB251" s="13"/>
      <c r="CC251" s="13"/>
      <c r="CD251" s="13"/>
      <c r="CE251" s="12">
        <v>3975</v>
      </c>
      <c r="CF251" s="12">
        <v>489</v>
      </c>
      <c r="CG251" s="13">
        <v>49328</v>
      </c>
      <c r="CH251" s="13">
        <v>261</v>
      </c>
      <c r="CI251" s="13">
        <v>35319</v>
      </c>
    </row>
    <row r="252" spans="2:87" x14ac:dyDescent="0.2">
      <c r="B252" s="5">
        <v>46025</v>
      </c>
      <c r="C252" s="12">
        <v>6</v>
      </c>
      <c r="D252" s="12">
        <v>1.5</v>
      </c>
      <c r="E252" s="12">
        <v>106162.466</v>
      </c>
      <c r="F252" s="12">
        <v>0</v>
      </c>
      <c r="G252" s="12">
        <v>636974.80000000005</v>
      </c>
      <c r="H252" s="12">
        <v>0</v>
      </c>
      <c r="I252" s="12">
        <v>0</v>
      </c>
      <c r="J252" s="12">
        <v>636974.80000000005</v>
      </c>
      <c r="K252" s="12">
        <v>72000</v>
      </c>
      <c r="L252" s="12">
        <v>0</v>
      </c>
      <c r="M252" s="12">
        <v>121025.2</v>
      </c>
      <c r="N252" s="12">
        <v>830000</v>
      </c>
      <c r="O252" s="12">
        <v>0</v>
      </c>
      <c r="P252" s="12">
        <v>636974.80000000005</v>
      </c>
      <c r="Q252" s="12">
        <v>216998</v>
      </c>
      <c r="R252" s="12">
        <v>419976.8</v>
      </c>
      <c r="S252" s="12">
        <v>0</v>
      </c>
      <c r="T252" s="12">
        <v>9</v>
      </c>
      <c r="U252" s="12">
        <v>0</v>
      </c>
      <c r="V252" s="12">
        <v>0</v>
      </c>
      <c r="W252" s="35">
        <v>46144.261731053244</v>
      </c>
      <c r="X252" s="12">
        <v>2</v>
      </c>
      <c r="Y252" s="12">
        <v>2</v>
      </c>
      <c r="Z252" s="12">
        <v>225210.09</v>
      </c>
      <c r="AA252" s="12">
        <v>112605.045</v>
      </c>
      <c r="AB252" s="12">
        <v>69150</v>
      </c>
      <c r="AC252" s="12">
        <v>156060.09</v>
      </c>
      <c r="AD252" s="12">
        <v>4</v>
      </c>
      <c r="AE252" s="12">
        <v>4</v>
      </c>
      <c r="AF252" s="12">
        <v>411764.71</v>
      </c>
      <c r="AG252" s="12">
        <v>102941.177</v>
      </c>
      <c r="AH252" s="12">
        <v>147848</v>
      </c>
      <c r="AI252" s="12">
        <v>263916.71000000002</v>
      </c>
      <c r="AJ252" s="12"/>
      <c r="AK252" s="12"/>
      <c r="AL252" s="12"/>
      <c r="AM252" s="12"/>
      <c r="AN252" s="12"/>
      <c r="AO252" s="12"/>
      <c r="AP252" s="12">
        <v>578151.27</v>
      </c>
      <c r="AQ252" s="12">
        <v>5</v>
      </c>
      <c r="AR252" s="12">
        <v>115630.254</v>
      </c>
      <c r="AS252" s="12">
        <v>198137</v>
      </c>
      <c r="AT252" s="12">
        <v>58823.53</v>
      </c>
      <c r="AU252" s="12">
        <v>1</v>
      </c>
      <c r="AV252" s="12">
        <v>58823.53</v>
      </c>
      <c r="AW252" s="12">
        <v>18861</v>
      </c>
      <c r="AX252" s="12"/>
      <c r="AY252" s="12"/>
      <c r="AZ252" s="12"/>
      <c r="BA252" s="12"/>
      <c r="BB252" s="12"/>
      <c r="BC252" s="12"/>
      <c r="BD252" s="12"/>
      <c r="BE252" s="12"/>
      <c r="BF252" s="12">
        <v>386</v>
      </c>
      <c r="BG252" s="12">
        <v>0</v>
      </c>
      <c r="BH252" s="12">
        <v>0</v>
      </c>
      <c r="BI252" s="12">
        <v>131</v>
      </c>
      <c r="BJ252" s="12">
        <v>3</v>
      </c>
      <c r="BK252" s="12">
        <v>2.2900763358778626E-2</v>
      </c>
      <c r="BL252" s="12">
        <v>21</v>
      </c>
      <c r="BM252" s="12">
        <v>1</v>
      </c>
      <c r="BN252" s="12">
        <v>4.7619047619047616E-2</v>
      </c>
      <c r="BO252" s="12">
        <v>2</v>
      </c>
      <c r="BP252" s="12">
        <v>0</v>
      </c>
      <c r="BQ252" s="12">
        <v>0</v>
      </c>
      <c r="BR252" s="12">
        <v>46</v>
      </c>
      <c r="BS252" s="12">
        <v>1</v>
      </c>
      <c r="BT252" s="12">
        <v>2.1739130434782608E-2</v>
      </c>
      <c r="BU252" s="12">
        <v>586</v>
      </c>
      <c r="BV252" s="12">
        <v>5</v>
      </c>
      <c r="BW252" s="12">
        <v>8.5324232081911266E-3</v>
      </c>
      <c r="BX252" s="12"/>
      <c r="BY252" s="12"/>
      <c r="BZ252" s="12"/>
      <c r="CA252" s="12">
        <v>42529.24</v>
      </c>
      <c r="CB252" s="13"/>
      <c r="CC252" s="13"/>
      <c r="CD252" s="13"/>
      <c r="CE252" s="12">
        <v>3949</v>
      </c>
      <c r="CF252" s="12">
        <v>472</v>
      </c>
      <c r="CG252" s="13">
        <v>48747</v>
      </c>
      <c r="CH252" s="13">
        <v>225</v>
      </c>
      <c r="CI252" s="13">
        <v>33424</v>
      </c>
    </row>
    <row r="253" spans="2:87" x14ac:dyDescent="0.2">
      <c r="B253" s="5">
        <v>46026</v>
      </c>
      <c r="C253" s="12">
        <v>3</v>
      </c>
      <c r="D253" s="12">
        <v>1</v>
      </c>
      <c r="E253" s="12">
        <v>114845.94</v>
      </c>
      <c r="F253" s="12">
        <v>0</v>
      </c>
      <c r="G253" s="12">
        <v>344537.82</v>
      </c>
      <c r="H253" s="12">
        <v>0</v>
      </c>
      <c r="I253" s="12">
        <v>0</v>
      </c>
      <c r="J253" s="12">
        <v>344537.82</v>
      </c>
      <c r="K253" s="12">
        <v>44000</v>
      </c>
      <c r="L253" s="12">
        <v>0</v>
      </c>
      <c r="M253" s="12">
        <v>65462.18</v>
      </c>
      <c r="N253" s="12">
        <v>454000</v>
      </c>
      <c r="O253" s="12">
        <v>0</v>
      </c>
      <c r="P253" s="12">
        <v>344537.82</v>
      </c>
      <c r="Q253" s="12">
        <v>136786</v>
      </c>
      <c r="R253" s="12">
        <v>207751.82</v>
      </c>
      <c r="S253" s="12">
        <v>0</v>
      </c>
      <c r="T253" s="12">
        <v>3</v>
      </c>
      <c r="U253" s="12">
        <v>0</v>
      </c>
      <c r="V253" s="12">
        <v>0</v>
      </c>
      <c r="W253" s="35">
        <v>46144.261731053244</v>
      </c>
      <c r="X253" s="12">
        <v>1</v>
      </c>
      <c r="Y253" s="12">
        <v>1</v>
      </c>
      <c r="Z253" s="12">
        <v>54621.85</v>
      </c>
      <c r="AA253" s="12">
        <v>54621.85</v>
      </c>
      <c r="AB253" s="12">
        <v>12785</v>
      </c>
      <c r="AC253" s="12">
        <v>41836.85</v>
      </c>
      <c r="AD253" s="12">
        <v>2</v>
      </c>
      <c r="AE253" s="12">
        <v>2</v>
      </c>
      <c r="AF253" s="12">
        <v>289915.96999999997</v>
      </c>
      <c r="AG253" s="12">
        <v>144957.98499999999</v>
      </c>
      <c r="AH253" s="12">
        <v>124001</v>
      </c>
      <c r="AI253" s="12">
        <v>165914.97</v>
      </c>
      <c r="AJ253" s="12"/>
      <c r="AK253" s="12"/>
      <c r="AL253" s="12"/>
      <c r="AM253" s="12"/>
      <c r="AN253" s="12"/>
      <c r="AO253" s="12"/>
      <c r="AP253" s="12">
        <v>344537.82</v>
      </c>
      <c r="AQ253" s="12">
        <v>3</v>
      </c>
      <c r="AR253" s="12">
        <v>114845.94</v>
      </c>
      <c r="AS253" s="12">
        <v>136786</v>
      </c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>
        <v>295</v>
      </c>
      <c r="BG253" s="12">
        <v>0</v>
      </c>
      <c r="BH253" s="12">
        <v>0</v>
      </c>
      <c r="BI253" s="12">
        <v>131</v>
      </c>
      <c r="BJ253" s="12">
        <v>1</v>
      </c>
      <c r="BK253" s="12">
        <v>7.6335877862595417E-3</v>
      </c>
      <c r="BL253" s="12">
        <v>28</v>
      </c>
      <c r="BM253" s="12">
        <v>2</v>
      </c>
      <c r="BN253" s="12">
        <v>7.1428571428571425E-2</v>
      </c>
      <c r="BO253" s="12"/>
      <c r="BP253" s="12"/>
      <c r="BQ253" s="12"/>
      <c r="BR253" s="12">
        <v>91</v>
      </c>
      <c r="BS253" s="12">
        <v>0</v>
      </c>
      <c r="BT253" s="12">
        <v>0</v>
      </c>
      <c r="BU253" s="12">
        <v>545</v>
      </c>
      <c r="BV253" s="12">
        <v>3</v>
      </c>
      <c r="BW253" s="12">
        <v>5.5045871559633031E-3</v>
      </c>
      <c r="BX253" s="12"/>
      <c r="BY253" s="12"/>
      <c r="BZ253" s="12"/>
      <c r="CA253" s="12">
        <v>48758.42</v>
      </c>
      <c r="CB253" s="13"/>
      <c r="CC253" s="13"/>
      <c r="CD253" s="13"/>
      <c r="CE253" s="12">
        <v>3363</v>
      </c>
      <c r="CF253" s="12">
        <v>401</v>
      </c>
      <c r="CG253" s="13">
        <v>56644</v>
      </c>
      <c r="CH253" s="13">
        <v>260</v>
      </c>
      <c r="CI253" s="13">
        <v>41625</v>
      </c>
    </row>
    <row r="254" spans="2:87" x14ac:dyDescent="0.2">
      <c r="B254" s="5">
        <v>46027</v>
      </c>
      <c r="C254" s="12">
        <v>13</v>
      </c>
      <c r="D254" s="12">
        <v>2.1</v>
      </c>
      <c r="E254" s="12">
        <v>138170.65299999999</v>
      </c>
      <c r="F254" s="12">
        <v>0</v>
      </c>
      <c r="G254" s="12">
        <v>1796218.5</v>
      </c>
      <c r="H254" s="12">
        <v>0</v>
      </c>
      <c r="I254" s="12">
        <v>0</v>
      </c>
      <c r="J254" s="12">
        <v>1796218.5</v>
      </c>
      <c r="K254" s="12">
        <v>40000</v>
      </c>
      <c r="L254" s="12">
        <v>0</v>
      </c>
      <c r="M254" s="12">
        <v>341281.5</v>
      </c>
      <c r="N254" s="12">
        <v>2177500</v>
      </c>
      <c r="O254" s="12">
        <v>0</v>
      </c>
      <c r="P254" s="12">
        <v>1796218.5</v>
      </c>
      <c r="Q254" s="12">
        <v>626672</v>
      </c>
      <c r="R254" s="12">
        <v>1169546.5</v>
      </c>
      <c r="S254" s="12">
        <v>0</v>
      </c>
      <c r="T254" s="12">
        <v>27</v>
      </c>
      <c r="U254" s="12">
        <v>0</v>
      </c>
      <c r="V254" s="12">
        <v>0</v>
      </c>
      <c r="W254" s="35">
        <v>46144.261731053244</v>
      </c>
      <c r="X254" s="12">
        <v>6</v>
      </c>
      <c r="Y254" s="12">
        <v>7</v>
      </c>
      <c r="Z254" s="12">
        <v>1275210.0900000001</v>
      </c>
      <c r="AA254" s="12">
        <v>182172.87</v>
      </c>
      <c r="AB254" s="12">
        <v>406791</v>
      </c>
      <c r="AC254" s="12">
        <v>868419.09</v>
      </c>
      <c r="AD254" s="12">
        <v>6</v>
      </c>
      <c r="AE254" s="12">
        <v>6</v>
      </c>
      <c r="AF254" s="12">
        <v>521008.41</v>
      </c>
      <c r="AG254" s="12">
        <v>86834.735000000001</v>
      </c>
      <c r="AH254" s="12">
        <v>219881</v>
      </c>
      <c r="AI254" s="12">
        <v>301127.40999999997</v>
      </c>
      <c r="AJ254" s="12"/>
      <c r="AK254" s="12"/>
      <c r="AL254" s="12"/>
      <c r="AM254" s="12"/>
      <c r="AN254" s="12"/>
      <c r="AO254" s="12"/>
      <c r="AP254" s="12">
        <v>1208403.3700000001</v>
      </c>
      <c r="AQ254" s="12">
        <v>6</v>
      </c>
      <c r="AR254" s="12">
        <v>201400.56099999999</v>
      </c>
      <c r="AS254" s="12">
        <v>425635</v>
      </c>
      <c r="AT254" s="12">
        <v>587815.13</v>
      </c>
      <c r="AU254" s="12">
        <v>7</v>
      </c>
      <c r="AV254" s="12">
        <v>83973.59</v>
      </c>
      <c r="AW254" s="12">
        <v>201037</v>
      </c>
      <c r="AX254" s="12"/>
      <c r="AY254" s="12"/>
      <c r="AZ254" s="12"/>
      <c r="BA254" s="12"/>
      <c r="BB254" s="12"/>
      <c r="BC254" s="12"/>
      <c r="BD254" s="12"/>
      <c r="BE254" s="12"/>
      <c r="BF254" s="12">
        <v>376</v>
      </c>
      <c r="BG254" s="12">
        <v>0</v>
      </c>
      <c r="BH254" s="12">
        <v>0</v>
      </c>
      <c r="BI254" s="12">
        <v>99</v>
      </c>
      <c r="BJ254" s="12">
        <v>1</v>
      </c>
      <c r="BK254" s="12">
        <v>1.0101010101010102E-2</v>
      </c>
      <c r="BL254" s="12">
        <v>66</v>
      </c>
      <c r="BM254" s="12">
        <v>1</v>
      </c>
      <c r="BN254" s="12">
        <v>1.5151515151515152E-2</v>
      </c>
      <c r="BO254" s="12">
        <v>3</v>
      </c>
      <c r="BP254" s="12">
        <v>0</v>
      </c>
      <c r="BQ254" s="12">
        <v>0</v>
      </c>
      <c r="BR254" s="12">
        <v>122</v>
      </c>
      <c r="BS254" s="12">
        <v>3</v>
      </c>
      <c r="BT254" s="12">
        <v>2.4590163934426229E-2</v>
      </c>
      <c r="BU254" s="12">
        <v>666</v>
      </c>
      <c r="BV254" s="12">
        <v>5</v>
      </c>
      <c r="BW254" s="12">
        <v>7.5075075075075074E-3</v>
      </c>
      <c r="BX254" s="12"/>
      <c r="BY254" s="12"/>
      <c r="BZ254" s="12"/>
      <c r="CA254" s="12">
        <v>59497.03</v>
      </c>
      <c r="CB254" s="13"/>
      <c r="CC254" s="13"/>
      <c r="CD254" s="13"/>
      <c r="CE254" s="12">
        <v>4420</v>
      </c>
      <c r="CF254" s="12">
        <v>520</v>
      </c>
      <c r="CG254" s="13">
        <v>50335</v>
      </c>
      <c r="CH254" s="13">
        <v>186</v>
      </c>
      <c r="CI254" s="13">
        <v>34108</v>
      </c>
    </row>
    <row r="255" spans="2:87" x14ac:dyDescent="0.2">
      <c r="B255" s="5">
        <v>46028</v>
      </c>
      <c r="C255" s="12">
        <v>11</v>
      </c>
      <c r="D255" s="12">
        <v>2.4</v>
      </c>
      <c r="E255" s="12">
        <v>122192.514</v>
      </c>
      <c r="F255" s="12">
        <v>0</v>
      </c>
      <c r="G255" s="12">
        <v>1344117.66</v>
      </c>
      <c r="H255" s="12">
        <v>0</v>
      </c>
      <c r="I255" s="12">
        <v>0</v>
      </c>
      <c r="J255" s="12">
        <v>1344117.66</v>
      </c>
      <c r="K255" s="12">
        <v>52000</v>
      </c>
      <c r="L255" s="12">
        <v>0</v>
      </c>
      <c r="M255" s="12">
        <v>255382.34</v>
      </c>
      <c r="N255" s="12">
        <v>1651500</v>
      </c>
      <c r="O255" s="12">
        <v>29411.759999999998</v>
      </c>
      <c r="P255" s="12">
        <v>1314705.8999999999</v>
      </c>
      <c r="Q255" s="12">
        <v>408448</v>
      </c>
      <c r="R255" s="12">
        <v>906257.9</v>
      </c>
      <c r="S255" s="12">
        <v>0</v>
      </c>
      <c r="T255" s="12">
        <v>26</v>
      </c>
      <c r="U255" s="12">
        <v>0</v>
      </c>
      <c r="V255" s="12">
        <v>0</v>
      </c>
      <c r="W255" s="35">
        <v>46144.261731053244</v>
      </c>
      <c r="X255" s="12">
        <v>6</v>
      </c>
      <c r="Y255" s="12">
        <v>6</v>
      </c>
      <c r="Z255" s="12">
        <v>617226.9</v>
      </c>
      <c r="AA255" s="12">
        <v>102871.15</v>
      </c>
      <c r="AB255" s="12">
        <v>195362</v>
      </c>
      <c r="AC255" s="12">
        <v>392453.14</v>
      </c>
      <c r="AD255" s="12">
        <v>3</v>
      </c>
      <c r="AE255" s="12">
        <v>3</v>
      </c>
      <c r="AF255" s="12">
        <v>558823.53</v>
      </c>
      <c r="AG255" s="12">
        <v>186274.51</v>
      </c>
      <c r="AH255" s="12">
        <v>153346</v>
      </c>
      <c r="AI255" s="12">
        <v>405477.53</v>
      </c>
      <c r="AJ255" s="12">
        <v>1</v>
      </c>
      <c r="AK255" s="12">
        <v>2</v>
      </c>
      <c r="AL255" s="12">
        <v>168067.23</v>
      </c>
      <c r="AM255" s="12">
        <v>84033.615000000005</v>
      </c>
      <c r="AN255" s="12">
        <v>59740</v>
      </c>
      <c r="AO255" s="12">
        <v>108327.23</v>
      </c>
      <c r="AP255" s="12">
        <v>302521.02</v>
      </c>
      <c r="AQ255" s="12">
        <v>3</v>
      </c>
      <c r="AR255" s="12">
        <v>100840.34</v>
      </c>
      <c r="AS255" s="12">
        <v>125160</v>
      </c>
      <c r="AT255" s="12">
        <v>995378.15</v>
      </c>
      <c r="AU255" s="12">
        <v>7</v>
      </c>
      <c r="AV255" s="12">
        <v>142196.878</v>
      </c>
      <c r="AW255" s="12">
        <v>271548</v>
      </c>
      <c r="AX255" s="12">
        <v>46218.49</v>
      </c>
      <c r="AY255" s="12">
        <v>1</v>
      </c>
      <c r="AZ255" s="12">
        <v>46218.49</v>
      </c>
      <c r="BA255" s="12">
        <v>11740</v>
      </c>
      <c r="BB255" s="12"/>
      <c r="BC255" s="12"/>
      <c r="BD255" s="12"/>
      <c r="BE255" s="12"/>
      <c r="BF255" s="12">
        <v>433</v>
      </c>
      <c r="BG255" s="12">
        <v>0</v>
      </c>
      <c r="BH255" s="12">
        <v>0</v>
      </c>
      <c r="BI255" s="12">
        <v>124</v>
      </c>
      <c r="BJ255" s="12">
        <v>1</v>
      </c>
      <c r="BK255" s="12">
        <v>8.0645161290322578E-3</v>
      </c>
      <c r="BL255" s="12">
        <v>35</v>
      </c>
      <c r="BM255" s="12">
        <v>2</v>
      </c>
      <c r="BN255" s="12">
        <v>5.7142857142857141E-2</v>
      </c>
      <c r="BO255" s="12">
        <v>4</v>
      </c>
      <c r="BP255" s="12">
        <v>0</v>
      </c>
      <c r="BQ255" s="12">
        <v>0</v>
      </c>
      <c r="BR255" s="12">
        <v>72</v>
      </c>
      <c r="BS255" s="12">
        <v>0</v>
      </c>
      <c r="BT255" s="12">
        <v>0</v>
      </c>
      <c r="BU255" s="12">
        <v>668</v>
      </c>
      <c r="BV255" s="12">
        <v>3</v>
      </c>
      <c r="BW255" s="12">
        <v>4.4910179640718561E-3</v>
      </c>
      <c r="BX255" s="12"/>
      <c r="BY255" s="12"/>
      <c r="BZ255" s="12"/>
      <c r="CA255" s="12">
        <v>41845.129999999997</v>
      </c>
      <c r="CB255" s="13"/>
      <c r="CC255" s="13"/>
      <c r="CD255" s="13"/>
      <c r="CE255" s="12">
        <v>5182</v>
      </c>
      <c r="CF255" s="12">
        <v>541</v>
      </c>
      <c r="CG255" s="13">
        <v>52313</v>
      </c>
      <c r="CH255" s="13">
        <v>203</v>
      </c>
      <c r="CI255" s="13">
        <v>30516</v>
      </c>
    </row>
    <row r="256" spans="2:87" x14ac:dyDescent="0.2">
      <c r="B256" s="5">
        <v>46029</v>
      </c>
      <c r="C256" s="12">
        <v>21</v>
      </c>
      <c r="D256" s="12">
        <v>2.8</v>
      </c>
      <c r="E256" s="12">
        <v>173829.533</v>
      </c>
      <c r="F256" s="12">
        <v>-2</v>
      </c>
      <c r="G256" s="12">
        <v>3709243.73</v>
      </c>
      <c r="H256" s="12">
        <v>0</v>
      </c>
      <c r="I256" s="12">
        <v>-285714.28999999998</v>
      </c>
      <c r="J256" s="12">
        <v>3423529.44</v>
      </c>
      <c r="K256" s="12">
        <v>60000</v>
      </c>
      <c r="L256" s="12">
        <v>0</v>
      </c>
      <c r="M256" s="12">
        <v>650470.56000000006</v>
      </c>
      <c r="N256" s="12">
        <v>4134000</v>
      </c>
      <c r="O256" s="12">
        <v>274789.92</v>
      </c>
      <c r="P256" s="12">
        <v>3148739.52</v>
      </c>
      <c r="Q256" s="12">
        <v>997028</v>
      </c>
      <c r="R256" s="12">
        <v>2151711.52</v>
      </c>
      <c r="S256" s="12">
        <v>0</v>
      </c>
      <c r="T256" s="12">
        <v>57</v>
      </c>
      <c r="U256" s="12">
        <v>0</v>
      </c>
      <c r="V256" s="12">
        <v>0</v>
      </c>
      <c r="W256" s="35">
        <v>46144.261731053244</v>
      </c>
      <c r="X256" s="12">
        <v>5</v>
      </c>
      <c r="Y256" s="12">
        <v>5</v>
      </c>
      <c r="Z256" s="12">
        <v>795798.32</v>
      </c>
      <c r="AA256" s="12">
        <v>159159.66399999999</v>
      </c>
      <c r="AB256" s="12">
        <v>219552</v>
      </c>
      <c r="AC256" s="12">
        <v>576246.31999999995</v>
      </c>
      <c r="AD256" s="12">
        <v>12</v>
      </c>
      <c r="AE256" s="12">
        <v>12</v>
      </c>
      <c r="AF256" s="12">
        <v>2224369.77</v>
      </c>
      <c r="AG256" s="12">
        <v>204271.71</v>
      </c>
      <c r="AH256" s="12">
        <v>649247</v>
      </c>
      <c r="AI256" s="12">
        <v>1300332.8500000001</v>
      </c>
      <c r="AJ256" s="12">
        <v>1</v>
      </c>
      <c r="AK256" s="12">
        <v>4</v>
      </c>
      <c r="AL256" s="12">
        <v>403361.35</v>
      </c>
      <c r="AM256" s="12">
        <v>100840.337</v>
      </c>
      <c r="AN256" s="12">
        <v>128229</v>
      </c>
      <c r="AO256" s="12">
        <v>275132.34999999998</v>
      </c>
      <c r="AP256" s="12">
        <v>1563025.22</v>
      </c>
      <c r="AQ256" s="12">
        <v>6</v>
      </c>
      <c r="AR256" s="12">
        <v>260504.20300000001</v>
      </c>
      <c r="AS256" s="12">
        <v>569458</v>
      </c>
      <c r="AT256" s="12">
        <v>1860504.22</v>
      </c>
      <c r="AU256" s="12">
        <v>15</v>
      </c>
      <c r="AV256" s="12">
        <v>139159.66500000001</v>
      </c>
      <c r="AW256" s="12">
        <v>427570</v>
      </c>
      <c r="AX256" s="12"/>
      <c r="AY256" s="12"/>
      <c r="AZ256" s="12"/>
      <c r="BA256" s="12"/>
      <c r="BB256" s="12"/>
      <c r="BC256" s="12"/>
      <c r="BD256" s="12"/>
      <c r="BE256" s="12"/>
      <c r="BF256" s="12">
        <v>251</v>
      </c>
      <c r="BG256" s="12">
        <v>1</v>
      </c>
      <c r="BH256" s="12">
        <v>3.9840637450199202E-3</v>
      </c>
      <c r="BI256" s="12">
        <v>142</v>
      </c>
      <c r="BJ256" s="12">
        <v>1</v>
      </c>
      <c r="BK256" s="12">
        <v>7.0422535211267607E-3</v>
      </c>
      <c r="BL256" s="12">
        <v>49</v>
      </c>
      <c r="BM256" s="12">
        <v>3</v>
      </c>
      <c r="BN256" s="12">
        <v>6.1224489795918366E-2</v>
      </c>
      <c r="BO256" s="12">
        <v>1</v>
      </c>
      <c r="BP256" s="12">
        <v>0</v>
      </c>
      <c r="BQ256" s="12">
        <v>0</v>
      </c>
      <c r="BR256" s="12">
        <v>112</v>
      </c>
      <c r="BS256" s="12">
        <v>1</v>
      </c>
      <c r="BT256" s="12">
        <v>8.9285714285714281E-3</v>
      </c>
      <c r="BU256" s="12">
        <v>555</v>
      </c>
      <c r="BV256" s="12">
        <v>6</v>
      </c>
      <c r="BW256" s="12">
        <v>1.0810810810810811E-2</v>
      </c>
      <c r="BX256" s="12"/>
      <c r="BY256" s="12"/>
      <c r="BZ256" s="12"/>
      <c r="CA256" s="12">
        <v>43985.61</v>
      </c>
      <c r="CB256" s="13"/>
      <c r="CC256" s="13"/>
      <c r="CD256" s="13"/>
      <c r="CE256" s="12">
        <v>2848</v>
      </c>
      <c r="CF256" s="12">
        <v>357</v>
      </c>
      <c r="CG256" s="13">
        <v>51858</v>
      </c>
      <c r="CH256" s="13">
        <v>201</v>
      </c>
      <c r="CI256" s="13">
        <v>27370</v>
      </c>
    </row>
    <row r="257" spans="2:87" x14ac:dyDescent="0.2">
      <c r="B257" s="5">
        <v>46030</v>
      </c>
      <c r="C257" s="12">
        <v>24</v>
      </c>
      <c r="D257" s="12">
        <v>2.6</v>
      </c>
      <c r="E257" s="12">
        <v>134786.41500000001</v>
      </c>
      <c r="F257" s="12">
        <v>-1</v>
      </c>
      <c r="G257" s="12">
        <v>3234873.97</v>
      </c>
      <c r="H257" s="12">
        <v>0</v>
      </c>
      <c r="I257" s="12">
        <v>-46218.49</v>
      </c>
      <c r="J257" s="12">
        <v>3188655.48</v>
      </c>
      <c r="K257" s="12">
        <v>116000</v>
      </c>
      <c r="L257" s="12">
        <v>0</v>
      </c>
      <c r="M257" s="12">
        <v>605844.52</v>
      </c>
      <c r="N257" s="12">
        <v>3910500</v>
      </c>
      <c r="O257" s="12">
        <v>201680.66</v>
      </c>
      <c r="P257" s="12">
        <v>2986974.82</v>
      </c>
      <c r="Q257" s="12">
        <v>789475</v>
      </c>
      <c r="R257" s="12">
        <v>2197499.8199999998</v>
      </c>
      <c r="S257" s="12">
        <v>0</v>
      </c>
      <c r="T257" s="12">
        <v>61</v>
      </c>
      <c r="U257" s="12">
        <v>0</v>
      </c>
      <c r="V257" s="12">
        <v>0</v>
      </c>
      <c r="W257" s="35">
        <v>46144.261731053244</v>
      </c>
      <c r="X257" s="12">
        <v>7</v>
      </c>
      <c r="Y257" s="12">
        <v>7</v>
      </c>
      <c r="Z257" s="12">
        <v>705882.36</v>
      </c>
      <c r="AA257" s="12">
        <v>100840.337</v>
      </c>
      <c r="AB257" s="12">
        <v>164586</v>
      </c>
      <c r="AC257" s="12">
        <v>541296.36</v>
      </c>
      <c r="AD257" s="12">
        <v>13</v>
      </c>
      <c r="AE257" s="12">
        <v>13</v>
      </c>
      <c r="AF257" s="12">
        <v>1868487.41</v>
      </c>
      <c r="AG257" s="12">
        <v>147285.06899999999</v>
      </c>
      <c r="AH257" s="12">
        <v>482358</v>
      </c>
      <c r="AI257" s="12">
        <v>1243272.27</v>
      </c>
      <c r="AJ257" s="12">
        <v>1</v>
      </c>
      <c r="AK257" s="12">
        <v>4</v>
      </c>
      <c r="AL257" s="12">
        <v>614285.71</v>
      </c>
      <c r="AM257" s="12">
        <v>153571.427</v>
      </c>
      <c r="AN257" s="12">
        <v>142531</v>
      </c>
      <c r="AO257" s="12">
        <v>412931.19</v>
      </c>
      <c r="AP257" s="12">
        <v>1012605.05</v>
      </c>
      <c r="AQ257" s="12">
        <v>10</v>
      </c>
      <c r="AR257" s="12">
        <v>105882.35400000001</v>
      </c>
      <c r="AS257" s="12">
        <v>282306</v>
      </c>
      <c r="AT257" s="12">
        <v>2176050.4300000002</v>
      </c>
      <c r="AU257" s="12">
        <v>14</v>
      </c>
      <c r="AV257" s="12">
        <v>155432.17300000001</v>
      </c>
      <c r="AW257" s="12">
        <v>507169</v>
      </c>
      <c r="AX257" s="12"/>
      <c r="AY257" s="12"/>
      <c r="AZ257" s="12"/>
      <c r="BA257" s="12"/>
      <c r="BB257" s="12"/>
      <c r="BC257" s="12"/>
      <c r="BD257" s="12"/>
      <c r="BE257" s="12"/>
      <c r="BF257" s="12">
        <v>506</v>
      </c>
      <c r="BG257" s="12">
        <v>0</v>
      </c>
      <c r="BH257" s="12">
        <v>0</v>
      </c>
      <c r="BI257" s="12">
        <v>113</v>
      </c>
      <c r="BJ257" s="12">
        <v>4</v>
      </c>
      <c r="BK257" s="12">
        <v>3.5398230088495575E-2</v>
      </c>
      <c r="BL257" s="12">
        <v>34</v>
      </c>
      <c r="BM257" s="12">
        <v>0</v>
      </c>
      <c r="BN257" s="12">
        <v>0</v>
      </c>
      <c r="BO257" s="12">
        <v>6</v>
      </c>
      <c r="BP257" s="12">
        <v>0</v>
      </c>
      <c r="BQ257" s="12">
        <v>0</v>
      </c>
      <c r="BR257" s="12">
        <v>83</v>
      </c>
      <c r="BS257" s="12">
        <v>4</v>
      </c>
      <c r="BT257" s="12">
        <v>4.8192771084337352E-2</v>
      </c>
      <c r="BU257" s="12">
        <v>742</v>
      </c>
      <c r="BV257" s="12">
        <v>8</v>
      </c>
      <c r="BW257" s="12">
        <v>1.078167115902965E-2</v>
      </c>
      <c r="BX257" s="12"/>
      <c r="BY257" s="12"/>
      <c r="BZ257" s="12"/>
      <c r="CA257" s="12">
        <v>60705.279999999999</v>
      </c>
      <c r="CB257" s="13"/>
      <c r="CC257" s="13"/>
      <c r="CD257" s="13"/>
      <c r="CE257" s="12">
        <v>5586</v>
      </c>
      <c r="CF257" s="12">
        <v>619</v>
      </c>
      <c r="CG257" s="13">
        <v>50668</v>
      </c>
      <c r="CH257" s="13">
        <v>178</v>
      </c>
      <c r="CI257" s="13">
        <v>25694</v>
      </c>
    </row>
    <row r="258" spans="2:87" x14ac:dyDescent="0.2">
      <c r="B258" s="5">
        <v>46031</v>
      </c>
      <c r="C258" s="12">
        <v>15</v>
      </c>
      <c r="D258" s="12">
        <v>2.9</v>
      </c>
      <c r="E258" s="12">
        <v>140593.83600000001</v>
      </c>
      <c r="F258" s="12">
        <v>0</v>
      </c>
      <c r="G258" s="12">
        <v>2136134.4300000002</v>
      </c>
      <c r="H258" s="12">
        <v>-27226.89</v>
      </c>
      <c r="I258" s="12">
        <v>0</v>
      </c>
      <c r="J258" s="12">
        <v>2108907.54</v>
      </c>
      <c r="K258" s="12">
        <v>56000</v>
      </c>
      <c r="L258" s="12">
        <v>0</v>
      </c>
      <c r="M258" s="12">
        <v>400692.46</v>
      </c>
      <c r="N258" s="12">
        <v>2565600</v>
      </c>
      <c r="O258" s="12">
        <v>29411.759999999998</v>
      </c>
      <c r="P258" s="12">
        <v>2079495.78</v>
      </c>
      <c r="Q258" s="12">
        <v>673404</v>
      </c>
      <c r="R258" s="12">
        <v>1406091.78</v>
      </c>
      <c r="S258" s="12">
        <v>0</v>
      </c>
      <c r="T258" s="12">
        <v>43</v>
      </c>
      <c r="U258" s="12">
        <v>0</v>
      </c>
      <c r="V258" s="12">
        <v>0</v>
      </c>
      <c r="W258" s="35">
        <v>46144.261731053244</v>
      </c>
      <c r="X258" s="12">
        <v>6</v>
      </c>
      <c r="Y258" s="12">
        <v>6</v>
      </c>
      <c r="Z258" s="12">
        <v>852605.03</v>
      </c>
      <c r="AA258" s="12">
        <v>142100.83799999999</v>
      </c>
      <c r="AB258" s="12">
        <v>228343</v>
      </c>
      <c r="AC258" s="12">
        <v>624262.03</v>
      </c>
      <c r="AD258" s="12">
        <v>8</v>
      </c>
      <c r="AE258" s="12">
        <v>8</v>
      </c>
      <c r="AF258" s="12">
        <v>869747.89</v>
      </c>
      <c r="AG258" s="12">
        <v>108718.486</v>
      </c>
      <c r="AH258" s="12">
        <v>214356</v>
      </c>
      <c r="AI258" s="12">
        <v>625980.13</v>
      </c>
      <c r="AJ258" s="12">
        <v>1</v>
      </c>
      <c r="AK258" s="12">
        <v>1</v>
      </c>
      <c r="AL258" s="12">
        <v>386554.62</v>
      </c>
      <c r="AM258" s="12">
        <v>386554.62</v>
      </c>
      <c r="AN258" s="12">
        <v>230705</v>
      </c>
      <c r="AO258" s="12">
        <v>155849.62</v>
      </c>
      <c r="AP258" s="12">
        <v>856806.71</v>
      </c>
      <c r="AQ258" s="12">
        <v>6</v>
      </c>
      <c r="AR258" s="12">
        <v>142801.11799999999</v>
      </c>
      <c r="AS258" s="12">
        <v>247985</v>
      </c>
      <c r="AT258" s="12">
        <v>1252100.83</v>
      </c>
      <c r="AU258" s="12">
        <v>9</v>
      </c>
      <c r="AV258" s="12">
        <v>139122.31400000001</v>
      </c>
      <c r="AW258" s="12">
        <v>425419</v>
      </c>
      <c r="AX258" s="12"/>
      <c r="AY258" s="12"/>
      <c r="AZ258" s="12"/>
      <c r="BA258" s="12"/>
      <c r="BB258" s="12"/>
      <c r="BC258" s="12"/>
      <c r="BD258" s="12"/>
      <c r="BE258" s="12"/>
      <c r="BF258" s="12">
        <v>286</v>
      </c>
      <c r="BG258" s="12">
        <v>0</v>
      </c>
      <c r="BH258" s="12">
        <v>0</v>
      </c>
      <c r="BI258" s="12">
        <v>92</v>
      </c>
      <c r="BJ258" s="12">
        <v>2</v>
      </c>
      <c r="BK258" s="12">
        <v>2.1739130434782608E-2</v>
      </c>
      <c r="BL258" s="12">
        <v>34</v>
      </c>
      <c r="BM258" s="12">
        <v>0</v>
      </c>
      <c r="BN258" s="12">
        <v>0</v>
      </c>
      <c r="BO258" s="12">
        <v>2</v>
      </c>
      <c r="BP258" s="12">
        <v>0</v>
      </c>
      <c r="BQ258" s="12">
        <v>0</v>
      </c>
      <c r="BR258" s="12">
        <v>49</v>
      </c>
      <c r="BS258" s="12">
        <v>2</v>
      </c>
      <c r="BT258" s="12">
        <v>4.0816326530612242E-2</v>
      </c>
      <c r="BU258" s="12">
        <v>463</v>
      </c>
      <c r="BV258" s="12">
        <v>4</v>
      </c>
      <c r="BW258" s="12">
        <v>8.6393088552915772E-3</v>
      </c>
      <c r="BX258" s="12"/>
      <c r="BY258" s="12"/>
      <c r="BZ258" s="12"/>
      <c r="CA258" s="12">
        <v>47544.45</v>
      </c>
      <c r="CB258" s="13"/>
      <c r="CC258" s="13"/>
      <c r="CD258" s="13"/>
      <c r="CE258" s="12">
        <v>3104</v>
      </c>
      <c r="CF258" s="12">
        <v>368</v>
      </c>
      <c r="CG258" s="13">
        <v>49890</v>
      </c>
      <c r="CH258" s="13">
        <v>172</v>
      </c>
      <c r="CI258" s="13">
        <v>25862</v>
      </c>
    </row>
    <row r="259" spans="2:87" x14ac:dyDescent="0.2">
      <c r="B259" s="5">
        <v>46032</v>
      </c>
      <c r="C259" s="12">
        <v>16</v>
      </c>
      <c r="D259" s="12">
        <v>3.9</v>
      </c>
      <c r="E259" s="12">
        <v>629385.50399999996</v>
      </c>
      <c r="F259" s="12">
        <v>-29</v>
      </c>
      <c r="G259" s="12">
        <v>10314621.85</v>
      </c>
      <c r="H259" s="12">
        <v>-143613.44</v>
      </c>
      <c r="I259" s="12">
        <v>-8012605.04</v>
      </c>
      <c r="J259" s="12">
        <v>2158403.37</v>
      </c>
      <c r="K259" s="12">
        <v>121000</v>
      </c>
      <c r="L259" s="12">
        <v>0</v>
      </c>
      <c r="M259" s="12">
        <v>410096.63</v>
      </c>
      <c r="N259" s="12">
        <v>2689500</v>
      </c>
      <c r="O259" s="12">
        <v>58823.519999999997</v>
      </c>
      <c r="P259" s="12">
        <v>2099579.85</v>
      </c>
      <c r="Q259" s="12">
        <v>667083</v>
      </c>
      <c r="R259" s="12">
        <v>1432496.85</v>
      </c>
      <c r="S259" s="12">
        <v>0</v>
      </c>
      <c r="T259" s="12">
        <v>34</v>
      </c>
      <c r="U259" s="12">
        <v>0</v>
      </c>
      <c r="V259" s="12">
        <v>0</v>
      </c>
      <c r="W259" s="35">
        <v>46144.261731053244</v>
      </c>
      <c r="X259" s="12">
        <v>6</v>
      </c>
      <c r="Y259" s="12">
        <v>6</v>
      </c>
      <c r="Z259" s="12">
        <v>492857.15</v>
      </c>
      <c r="AA259" s="12">
        <v>73039.216</v>
      </c>
      <c r="AB259" s="12">
        <v>176784</v>
      </c>
      <c r="AC259" s="12">
        <v>286661.39</v>
      </c>
      <c r="AD259" s="12">
        <v>9</v>
      </c>
      <c r="AE259" s="12">
        <v>9</v>
      </c>
      <c r="AF259" s="12">
        <v>1594117.65</v>
      </c>
      <c r="AG259" s="12">
        <v>1062278.2439999999</v>
      </c>
      <c r="AH259" s="12">
        <v>468619</v>
      </c>
      <c r="AI259" s="12">
        <v>1096086.8899999999</v>
      </c>
      <c r="AJ259" s="12">
        <v>1</v>
      </c>
      <c r="AK259" s="12">
        <v>1</v>
      </c>
      <c r="AL259" s="12">
        <v>71428.570000000007</v>
      </c>
      <c r="AM259" s="12">
        <v>71428.570000000007</v>
      </c>
      <c r="AN259" s="12">
        <v>21680</v>
      </c>
      <c r="AO259" s="12">
        <v>49748.57</v>
      </c>
      <c r="AP259" s="12">
        <v>1180672.28</v>
      </c>
      <c r="AQ259" s="12">
        <v>6</v>
      </c>
      <c r="AR259" s="12">
        <v>1515406.1629999999</v>
      </c>
      <c r="AS259" s="12">
        <v>340583</v>
      </c>
      <c r="AT259" s="12">
        <v>977731.09</v>
      </c>
      <c r="AU259" s="12">
        <v>10</v>
      </c>
      <c r="AV259" s="12">
        <v>97773.108999999997</v>
      </c>
      <c r="AW259" s="12">
        <v>326500</v>
      </c>
      <c r="AX259" s="12"/>
      <c r="AY259" s="12"/>
      <c r="AZ259" s="12"/>
      <c r="BA259" s="12"/>
      <c r="BB259" s="12"/>
      <c r="BC259" s="12"/>
      <c r="BD259" s="12"/>
      <c r="BE259" s="12"/>
      <c r="BF259" s="12">
        <v>538</v>
      </c>
      <c r="BG259" s="12">
        <v>0</v>
      </c>
      <c r="BH259" s="12">
        <v>0</v>
      </c>
      <c r="BI259" s="12">
        <v>94</v>
      </c>
      <c r="BJ259" s="12">
        <v>2</v>
      </c>
      <c r="BK259" s="12">
        <v>2.1276595744680851E-2</v>
      </c>
      <c r="BL259" s="12">
        <v>29</v>
      </c>
      <c r="BM259" s="12">
        <v>1</v>
      </c>
      <c r="BN259" s="12">
        <v>3.4482758620689655E-2</v>
      </c>
      <c r="BO259" s="12">
        <v>8</v>
      </c>
      <c r="BP259" s="12">
        <v>0</v>
      </c>
      <c r="BQ259" s="12">
        <v>0</v>
      </c>
      <c r="BR259" s="12">
        <v>54</v>
      </c>
      <c r="BS259" s="12">
        <v>0</v>
      </c>
      <c r="BT259" s="12">
        <v>0</v>
      </c>
      <c r="BU259" s="12">
        <v>723</v>
      </c>
      <c r="BV259" s="12">
        <v>3</v>
      </c>
      <c r="BW259" s="12">
        <v>4.1493775933609959E-3</v>
      </c>
      <c r="BX259" s="12"/>
      <c r="BY259" s="12"/>
      <c r="BZ259" s="12"/>
      <c r="CA259" s="12">
        <v>51520.17</v>
      </c>
      <c r="CB259" s="13"/>
      <c r="CC259" s="13"/>
      <c r="CD259" s="13"/>
      <c r="CE259" s="12">
        <v>6671</v>
      </c>
      <c r="CF259" s="12">
        <v>668</v>
      </c>
      <c r="CG259" s="13">
        <v>50456</v>
      </c>
      <c r="CH259" s="13">
        <v>200</v>
      </c>
      <c r="CI259" s="13">
        <v>27168</v>
      </c>
    </row>
    <row r="260" spans="2:87" x14ac:dyDescent="0.2">
      <c r="B260" s="5">
        <v>46033</v>
      </c>
      <c r="C260" s="12">
        <v>4</v>
      </c>
      <c r="D260" s="12">
        <v>2.2000000000000002</v>
      </c>
      <c r="E260" s="12">
        <v>81827.732000000004</v>
      </c>
      <c r="F260" s="12">
        <v>0</v>
      </c>
      <c r="G260" s="12">
        <v>327310.93</v>
      </c>
      <c r="H260" s="12">
        <v>0</v>
      </c>
      <c r="I260" s="12">
        <v>0</v>
      </c>
      <c r="J260" s="12">
        <v>327310.93</v>
      </c>
      <c r="K260" s="12">
        <v>16000</v>
      </c>
      <c r="L260" s="12">
        <v>0</v>
      </c>
      <c r="M260" s="12">
        <v>62189.07</v>
      </c>
      <c r="N260" s="12">
        <v>405500</v>
      </c>
      <c r="O260" s="12">
        <v>29411.77</v>
      </c>
      <c r="P260" s="12">
        <v>297899.15999999997</v>
      </c>
      <c r="Q260" s="12">
        <v>98269</v>
      </c>
      <c r="R260" s="12">
        <v>199630.16</v>
      </c>
      <c r="S260" s="12">
        <v>0</v>
      </c>
      <c r="T260" s="12">
        <v>9</v>
      </c>
      <c r="U260" s="12">
        <v>0</v>
      </c>
      <c r="V260" s="12">
        <v>0</v>
      </c>
      <c r="W260" s="35">
        <v>46144.261731053244</v>
      </c>
      <c r="X260" s="12">
        <v>2</v>
      </c>
      <c r="Y260" s="12">
        <v>2</v>
      </c>
      <c r="Z260" s="12">
        <v>218487.4</v>
      </c>
      <c r="AA260" s="12">
        <v>109243.7</v>
      </c>
      <c r="AB260" s="12">
        <v>76906</v>
      </c>
      <c r="AC260" s="12">
        <v>141581.4</v>
      </c>
      <c r="AD260" s="12">
        <v>2</v>
      </c>
      <c r="AE260" s="12">
        <v>2</v>
      </c>
      <c r="AF260" s="12">
        <v>108823.53</v>
      </c>
      <c r="AG260" s="12">
        <v>54411.764999999999</v>
      </c>
      <c r="AH260" s="12">
        <v>21363</v>
      </c>
      <c r="AI260" s="12">
        <v>58048.76</v>
      </c>
      <c r="AJ260" s="12"/>
      <c r="AK260" s="12"/>
      <c r="AL260" s="12"/>
      <c r="AM260" s="12"/>
      <c r="AN260" s="12"/>
      <c r="AO260" s="12"/>
      <c r="AP260" s="12">
        <v>117647.06</v>
      </c>
      <c r="AQ260" s="12">
        <v>1</v>
      </c>
      <c r="AR260" s="12">
        <v>117647.06</v>
      </c>
      <c r="AS260" s="12">
        <v>35186</v>
      </c>
      <c r="AT260" s="12">
        <v>209663.87</v>
      </c>
      <c r="AU260" s="12">
        <v>3</v>
      </c>
      <c r="AV260" s="12">
        <v>69887.956000000006</v>
      </c>
      <c r="AW260" s="12">
        <v>63083</v>
      </c>
      <c r="AX260" s="12"/>
      <c r="AY260" s="12"/>
      <c r="AZ260" s="12"/>
      <c r="BA260" s="12"/>
      <c r="BB260" s="12"/>
      <c r="BC260" s="12"/>
      <c r="BD260" s="12"/>
      <c r="BE260" s="12"/>
      <c r="BF260" s="12">
        <v>341</v>
      </c>
      <c r="BG260" s="12">
        <v>0</v>
      </c>
      <c r="BH260" s="12">
        <v>0</v>
      </c>
      <c r="BI260" s="12">
        <v>103</v>
      </c>
      <c r="BJ260" s="12">
        <v>1</v>
      </c>
      <c r="BK260" s="12">
        <v>9.7087378640776691E-3</v>
      </c>
      <c r="BL260" s="12">
        <v>16</v>
      </c>
      <c r="BM260" s="12">
        <v>0</v>
      </c>
      <c r="BN260" s="12">
        <v>0</v>
      </c>
      <c r="BO260" s="12">
        <v>9</v>
      </c>
      <c r="BP260" s="12">
        <v>0</v>
      </c>
      <c r="BQ260" s="12">
        <v>0</v>
      </c>
      <c r="BR260" s="12">
        <v>39</v>
      </c>
      <c r="BS260" s="12">
        <v>0</v>
      </c>
      <c r="BT260" s="12">
        <v>0</v>
      </c>
      <c r="BU260" s="12">
        <v>508</v>
      </c>
      <c r="BV260" s="12">
        <v>1</v>
      </c>
      <c r="BW260" s="12">
        <v>1.968503937007874E-3</v>
      </c>
      <c r="BX260" s="12"/>
      <c r="BY260" s="12"/>
      <c r="BZ260" s="12"/>
      <c r="CA260" s="12">
        <v>49984.45</v>
      </c>
      <c r="CB260" s="13"/>
      <c r="CC260" s="13"/>
      <c r="CD260" s="13"/>
      <c r="CE260" s="12">
        <v>4785</v>
      </c>
      <c r="CF260" s="12">
        <v>428</v>
      </c>
      <c r="CG260" s="13">
        <v>54123</v>
      </c>
      <c r="CH260" s="13">
        <v>219</v>
      </c>
      <c r="CI260" s="13">
        <v>32889</v>
      </c>
    </row>
    <row r="261" spans="2:87" x14ac:dyDescent="0.2">
      <c r="B261" s="5">
        <v>46034</v>
      </c>
      <c r="C261" s="12">
        <v>3</v>
      </c>
      <c r="D261" s="12">
        <v>1.3</v>
      </c>
      <c r="E261" s="12">
        <v>121848.74</v>
      </c>
      <c r="F261" s="12">
        <v>0</v>
      </c>
      <c r="G261" s="12">
        <v>365546.22</v>
      </c>
      <c r="H261" s="12">
        <v>0</v>
      </c>
      <c r="I261" s="12">
        <v>0</v>
      </c>
      <c r="J261" s="12">
        <v>365546.22</v>
      </c>
      <c r="K261" s="12">
        <v>16000</v>
      </c>
      <c r="L261" s="12">
        <v>0</v>
      </c>
      <c r="M261" s="12">
        <v>69453.78</v>
      </c>
      <c r="N261" s="12">
        <v>451000</v>
      </c>
      <c r="O261" s="12">
        <v>0</v>
      </c>
      <c r="P261" s="12">
        <v>365546.22</v>
      </c>
      <c r="Q261" s="12">
        <v>59952</v>
      </c>
      <c r="R261" s="12">
        <v>305594.21999999997</v>
      </c>
      <c r="S261" s="12">
        <v>0</v>
      </c>
      <c r="T261" s="12">
        <v>4</v>
      </c>
      <c r="U261" s="12">
        <v>0</v>
      </c>
      <c r="V261" s="12">
        <v>0</v>
      </c>
      <c r="W261" s="35">
        <v>46144.261731053244</v>
      </c>
      <c r="X261" s="12">
        <v>1</v>
      </c>
      <c r="Y261" s="12">
        <v>1</v>
      </c>
      <c r="Z261" s="12">
        <v>235294.12</v>
      </c>
      <c r="AA261" s="12">
        <v>235294.12</v>
      </c>
      <c r="AB261" s="12">
        <v>34312</v>
      </c>
      <c r="AC261" s="12">
        <v>200982.12</v>
      </c>
      <c r="AD261" s="12">
        <v>2</v>
      </c>
      <c r="AE261" s="12">
        <v>2</v>
      </c>
      <c r="AF261" s="12">
        <v>130252.1</v>
      </c>
      <c r="AG261" s="12">
        <v>65126.05</v>
      </c>
      <c r="AH261" s="12">
        <v>25640</v>
      </c>
      <c r="AI261" s="12">
        <v>104612.1</v>
      </c>
      <c r="AJ261" s="12"/>
      <c r="AK261" s="12"/>
      <c r="AL261" s="12"/>
      <c r="AM261" s="12"/>
      <c r="AN261" s="12"/>
      <c r="AO261" s="12"/>
      <c r="AP261" s="12">
        <v>365546.22</v>
      </c>
      <c r="AQ261" s="12">
        <v>3</v>
      </c>
      <c r="AR261" s="12">
        <v>121848.74</v>
      </c>
      <c r="AS261" s="12">
        <v>59952</v>
      </c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>
        <v>384</v>
      </c>
      <c r="BG261" s="12">
        <v>0</v>
      </c>
      <c r="BH261" s="12">
        <v>0</v>
      </c>
      <c r="BI261" s="12">
        <v>104</v>
      </c>
      <c r="BJ261" s="12">
        <v>1</v>
      </c>
      <c r="BK261" s="12">
        <v>9.6153846153846159E-3</v>
      </c>
      <c r="BL261" s="12">
        <v>32</v>
      </c>
      <c r="BM261" s="12">
        <v>0</v>
      </c>
      <c r="BN261" s="12">
        <v>0</v>
      </c>
      <c r="BO261" s="12">
        <v>9</v>
      </c>
      <c r="BP261" s="12">
        <v>0</v>
      </c>
      <c r="BQ261" s="12">
        <v>0</v>
      </c>
      <c r="BR261" s="12">
        <v>98</v>
      </c>
      <c r="BS261" s="12">
        <v>1</v>
      </c>
      <c r="BT261" s="12">
        <v>1.020408163265306E-2</v>
      </c>
      <c r="BU261" s="12">
        <v>627</v>
      </c>
      <c r="BV261" s="12">
        <v>2</v>
      </c>
      <c r="BW261" s="12">
        <v>3.189792663476874E-3</v>
      </c>
      <c r="BX261" s="12"/>
      <c r="BY261" s="12"/>
      <c r="BZ261" s="12"/>
      <c r="CA261" s="12">
        <v>50704.94</v>
      </c>
      <c r="CB261" s="13"/>
      <c r="CC261" s="13"/>
      <c r="CD261" s="13"/>
      <c r="CE261" s="12">
        <v>4896</v>
      </c>
      <c r="CF261" s="12">
        <v>483</v>
      </c>
      <c r="CG261" s="13">
        <v>54283</v>
      </c>
      <c r="CH261" s="13">
        <v>157</v>
      </c>
      <c r="CI261" s="13">
        <v>31236</v>
      </c>
    </row>
    <row r="262" spans="2:87" x14ac:dyDescent="0.2">
      <c r="B262" s="5">
        <v>46035</v>
      </c>
      <c r="C262" s="12">
        <v>18</v>
      </c>
      <c r="D262" s="12">
        <v>2.2999999999999998</v>
      </c>
      <c r="E262" s="12">
        <v>142180.204</v>
      </c>
      <c r="F262" s="12">
        <v>0</v>
      </c>
      <c r="G262" s="12">
        <v>2628151.2400000002</v>
      </c>
      <c r="H262" s="12">
        <v>-68907.56</v>
      </c>
      <c r="I262" s="12">
        <v>0</v>
      </c>
      <c r="J262" s="12">
        <v>2559243.6800000002</v>
      </c>
      <c r="K262" s="12">
        <v>24000</v>
      </c>
      <c r="L262" s="12">
        <v>0</v>
      </c>
      <c r="M262" s="12">
        <v>486256.32</v>
      </c>
      <c r="N262" s="12">
        <v>3069500</v>
      </c>
      <c r="O262" s="12">
        <v>120168.05</v>
      </c>
      <c r="P262" s="12">
        <v>2439075.63</v>
      </c>
      <c r="Q262" s="12">
        <v>612162</v>
      </c>
      <c r="R262" s="12">
        <v>1826913.63</v>
      </c>
      <c r="S262" s="12">
        <v>0</v>
      </c>
      <c r="T262" s="12">
        <v>41</v>
      </c>
      <c r="U262" s="12">
        <v>0</v>
      </c>
      <c r="V262" s="12">
        <v>0</v>
      </c>
      <c r="W262" s="35">
        <v>46144.261731053244</v>
      </c>
      <c r="X262" s="12">
        <v>8</v>
      </c>
      <c r="Y262" s="12">
        <v>12</v>
      </c>
      <c r="Z262" s="12">
        <v>1713865.53</v>
      </c>
      <c r="AA262" s="12">
        <v>142822.12700000001</v>
      </c>
      <c r="AB262" s="12">
        <v>444314</v>
      </c>
      <c r="AC262" s="12">
        <v>1149383.48</v>
      </c>
      <c r="AD262" s="12">
        <v>6</v>
      </c>
      <c r="AE262" s="12">
        <v>6</v>
      </c>
      <c r="AF262" s="12">
        <v>845378.15</v>
      </c>
      <c r="AG262" s="12">
        <v>140896.35800000001</v>
      </c>
      <c r="AH262" s="12">
        <v>167848</v>
      </c>
      <c r="AI262" s="12">
        <v>677530.15</v>
      </c>
      <c r="AJ262" s="12"/>
      <c r="AK262" s="12"/>
      <c r="AL262" s="12"/>
      <c r="AM262" s="12"/>
      <c r="AN262" s="12"/>
      <c r="AO262" s="12"/>
      <c r="AP262" s="12">
        <v>361344.54</v>
      </c>
      <c r="AQ262" s="12">
        <v>3</v>
      </c>
      <c r="AR262" s="12">
        <v>120448.18</v>
      </c>
      <c r="AS262" s="12">
        <v>100792</v>
      </c>
      <c r="AT262" s="12">
        <v>2197899.14</v>
      </c>
      <c r="AU262" s="12">
        <v>15</v>
      </c>
      <c r="AV262" s="12">
        <v>146526.609</v>
      </c>
      <c r="AW262" s="12">
        <v>511370</v>
      </c>
      <c r="AX262" s="12"/>
      <c r="AY262" s="12"/>
      <c r="AZ262" s="12"/>
      <c r="BA262" s="12"/>
      <c r="BB262" s="12"/>
      <c r="BC262" s="12"/>
      <c r="BD262" s="12"/>
      <c r="BE262" s="12"/>
      <c r="BF262" s="12">
        <v>345</v>
      </c>
      <c r="BG262" s="12">
        <v>0</v>
      </c>
      <c r="BH262" s="12">
        <v>0</v>
      </c>
      <c r="BI262" s="12">
        <v>93</v>
      </c>
      <c r="BJ262" s="12">
        <v>1</v>
      </c>
      <c r="BK262" s="12">
        <v>1.0752688172043012E-2</v>
      </c>
      <c r="BL262" s="12">
        <v>34</v>
      </c>
      <c r="BM262" s="12">
        <v>1</v>
      </c>
      <c r="BN262" s="12">
        <v>2.9411764705882353E-2</v>
      </c>
      <c r="BO262" s="12">
        <v>12</v>
      </c>
      <c r="BP262" s="12">
        <v>0</v>
      </c>
      <c r="BQ262" s="12">
        <v>0</v>
      </c>
      <c r="BR262" s="12">
        <v>54</v>
      </c>
      <c r="BS262" s="12">
        <v>1</v>
      </c>
      <c r="BT262" s="12">
        <v>1.8518518518518517E-2</v>
      </c>
      <c r="BU262" s="12">
        <v>538</v>
      </c>
      <c r="BV262" s="12">
        <v>3</v>
      </c>
      <c r="BW262" s="12">
        <v>5.5762081784386614E-3</v>
      </c>
      <c r="BX262" s="12"/>
      <c r="BY262" s="12"/>
      <c r="BZ262" s="12"/>
      <c r="CA262" s="12">
        <v>53576.86</v>
      </c>
      <c r="CB262" s="13"/>
      <c r="CC262" s="13"/>
      <c r="CD262" s="13"/>
      <c r="CE262" s="12">
        <v>4934</v>
      </c>
      <c r="CF262" s="12">
        <v>465</v>
      </c>
      <c r="CG262" s="13">
        <v>52033</v>
      </c>
      <c r="CH262" s="13">
        <v>141</v>
      </c>
      <c r="CI262" s="13">
        <v>26124</v>
      </c>
    </row>
    <row r="263" spans="2:87" x14ac:dyDescent="0.2">
      <c r="B263" s="5">
        <v>46036</v>
      </c>
      <c r="C263" s="12">
        <v>21</v>
      </c>
      <c r="D263" s="12">
        <v>3</v>
      </c>
      <c r="E263" s="12">
        <v>232277.31</v>
      </c>
      <c r="F263" s="12">
        <v>0</v>
      </c>
      <c r="G263" s="12">
        <v>4933285.6900000004</v>
      </c>
      <c r="H263" s="12">
        <v>-55462.17</v>
      </c>
      <c r="I263" s="12">
        <v>0</v>
      </c>
      <c r="J263" s="12">
        <v>4877823.5199999996</v>
      </c>
      <c r="K263" s="12">
        <v>60000</v>
      </c>
      <c r="L263" s="12">
        <v>0</v>
      </c>
      <c r="M263" s="12">
        <v>894676.47999999998</v>
      </c>
      <c r="N263" s="12">
        <v>5832500</v>
      </c>
      <c r="O263" s="12">
        <v>768907.56</v>
      </c>
      <c r="P263" s="12">
        <v>4108915.96</v>
      </c>
      <c r="Q263" s="12">
        <v>1144323</v>
      </c>
      <c r="R263" s="12">
        <v>2964592.96</v>
      </c>
      <c r="S263" s="12">
        <v>0</v>
      </c>
      <c r="T263" s="12">
        <v>64</v>
      </c>
      <c r="U263" s="12">
        <v>0</v>
      </c>
      <c r="V263" s="12">
        <v>0</v>
      </c>
      <c r="W263" s="35">
        <v>46144.261731053244</v>
      </c>
      <c r="X263" s="12">
        <v>8</v>
      </c>
      <c r="Y263" s="12">
        <v>9</v>
      </c>
      <c r="Z263" s="12">
        <v>2418907.5499999998</v>
      </c>
      <c r="AA263" s="12">
        <v>268767.505</v>
      </c>
      <c r="AB263" s="12">
        <v>530191</v>
      </c>
      <c r="AC263" s="12">
        <v>1888716.55</v>
      </c>
      <c r="AD263" s="12">
        <v>12</v>
      </c>
      <c r="AE263" s="12">
        <v>12</v>
      </c>
      <c r="AF263" s="12">
        <v>2458915.9700000002</v>
      </c>
      <c r="AG263" s="12">
        <v>204909.66399999999</v>
      </c>
      <c r="AH263" s="12">
        <v>614132</v>
      </c>
      <c r="AI263" s="12">
        <v>1075876.4099999999</v>
      </c>
      <c r="AJ263" s="12"/>
      <c r="AK263" s="12"/>
      <c r="AL263" s="12"/>
      <c r="AM263" s="12"/>
      <c r="AN263" s="12"/>
      <c r="AO263" s="12"/>
      <c r="AP263" s="12">
        <v>1407563.02</v>
      </c>
      <c r="AQ263" s="12">
        <v>5</v>
      </c>
      <c r="AR263" s="12">
        <v>281512.60399999999</v>
      </c>
      <c r="AS263" s="12">
        <v>398591</v>
      </c>
      <c r="AT263" s="12">
        <v>2440848.73</v>
      </c>
      <c r="AU263" s="12">
        <v>14</v>
      </c>
      <c r="AV263" s="12">
        <v>174346.337</v>
      </c>
      <c r="AW263" s="12">
        <v>505747</v>
      </c>
      <c r="AX263" s="12">
        <v>46218.49</v>
      </c>
      <c r="AY263" s="12">
        <v>1</v>
      </c>
      <c r="AZ263" s="12">
        <v>46218.49</v>
      </c>
      <c r="BA263" s="12">
        <v>9855</v>
      </c>
      <c r="BB263" s="12">
        <v>983193.28</v>
      </c>
      <c r="BC263" s="12">
        <v>1</v>
      </c>
      <c r="BD263" s="12">
        <v>983193.28</v>
      </c>
      <c r="BE263" s="12">
        <v>230130</v>
      </c>
      <c r="BF263" s="12">
        <v>365</v>
      </c>
      <c r="BG263" s="12">
        <v>0</v>
      </c>
      <c r="BH263" s="12">
        <v>0</v>
      </c>
      <c r="BI263" s="12">
        <v>96</v>
      </c>
      <c r="BJ263" s="12">
        <v>1</v>
      </c>
      <c r="BK263" s="12">
        <v>1.0416666666666666E-2</v>
      </c>
      <c r="BL263" s="12">
        <v>43</v>
      </c>
      <c r="BM263" s="12">
        <v>2</v>
      </c>
      <c r="BN263" s="12">
        <v>4.6511627906976744E-2</v>
      </c>
      <c r="BO263" s="12">
        <v>6</v>
      </c>
      <c r="BP263" s="12">
        <v>0</v>
      </c>
      <c r="BQ263" s="12">
        <v>0</v>
      </c>
      <c r="BR263" s="12">
        <v>83</v>
      </c>
      <c r="BS263" s="12">
        <v>2</v>
      </c>
      <c r="BT263" s="12">
        <v>2.4096385542168676E-2</v>
      </c>
      <c r="BU263" s="12">
        <v>593</v>
      </c>
      <c r="BV263" s="12">
        <v>5</v>
      </c>
      <c r="BW263" s="12">
        <v>8.4317032040472171E-3</v>
      </c>
      <c r="BX263" s="12"/>
      <c r="BY263" s="12"/>
      <c r="BZ263" s="12"/>
      <c r="CA263" s="12">
        <v>58669.89</v>
      </c>
      <c r="CB263" s="13"/>
      <c r="CC263" s="13"/>
      <c r="CD263" s="13"/>
      <c r="CE263" s="12">
        <v>4532</v>
      </c>
      <c r="CF263" s="12">
        <v>512</v>
      </c>
      <c r="CG263" s="13">
        <v>53264</v>
      </c>
      <c r="CH263" s="13">
        <v>159</v>
      </c>
      <c r="CI263" s="13">
        <v>24149</v>
      </c>
    </row>
    <row r="264" spans="2:87" x14ac:dyDescent="0.2">
      <c r="B264" s="5">
        <v>46037</v>
      </c>
      <c r="C264" s="12">
        <v>20</v>
      </c>
      <c r="D264" s="12">
        <v>1.7</v>
      </c>
      <c r="E264" s="12">
        <v>74647.899000000005</v>
      </c>
      <c r="F264" s="12">
        <v>0</v>
      </c>
      <c r="G264" s="12">
        <v>1492957.98</v>
      </c>
      <c r="H264" s="12">
        <v>0</v>
      </c>
      <c r="I264" s="12">
        <v>0</v>
      </c>
      <c r="J264" s="12">
        <v>1492957.98</v>
      </c>
      <c r="K264" s="12">
        <v>0</v>
      </c>
      <c r="L264" s="12">
        <v>0</v>
      </c>
      <c r="M264" s="12">
        <v>246042.02</v>
      </c>
      <c r="N264" s="12">
        <v>1739000</v>
      </c>
      <c r="O264" s="12">
        <v>403882.35</v>
      </c>
      <c r="P264" s="12">
        <v>1089075.6299999999</v>
      </c>
      <c r="Q264" s="12">
        <v>268453</v>
      </c>
      <c r="R264" s="12">
        <v>820622.63</v>
      </c>
      <c r="S264" s="12">
        <v>0</v>
      </c>
      <c r="T264" s="12">
        <v>34</v>
      </c>
      <c r="U264" s="12">
        <v>0</v>
      </c>
      <c r="V264" s="12">
        <v>0</v>
      </c>
      <c r="W264" s="35">
        <v>46144.261731053244</v>
      </c>
      <c r="X264" s="12">
        <v>6</v>
      </c>
      <c r="Y264" s="12">
        <v>12</v>
      </c>
      <c r="Z264" s="12">
        <v>958504.22</v>
      </c>
      <c r="AA264" s="12">
        <v>79875.350999999995</v>
      </c>
      <c r="AB264" s="12">
        <v>163011</v>
      </c>
      <c r="AC264" s="12">
        <v>509257.92</v>
      </c>
      <c r="AD264" s="12">
        <v>7</v>
      </c>
      <c r="AE264" s="12">
        <v>7</v>
      </c>
      <c r="AF264" s="12">
        <v>517647.04</v>
      </c>
      <c r="AG264" s="12">
        <v>73949.577000000005</v>
      </c>
      <c r="AH264" s="12">
        <v>91627</v>
      </c>
      <c r="AI264" s="12">
        <v>308372.99</v>
      </c>
      <c r="AJ264" s="12">
        <v>1</v>
      </c>
      <c r="AK264" s="12">
        <v>1</v>
      </c>
      <c r="AL264" s="12">
        <v>16806.72</v>
      </c>
      <c r="AM264" s="12">
        <v>16806.72</v>
      </c>
      <c r="AN264" s="12">
        <v>13815</v>
      </c>
      <c r="AO264" s="12">
        <v>2991.72</v>
      </c>
      <c r="AP264" s="12">
        <v>100840.34</v>
      </c>
      <c r="AQ264" s="12">
        <v>1</v>
      </c>
      <c r="AR264" s="12">
        <v>100840.34</v>
      </c>
      <c r="AS264" s="12">
        <v>20893</v>
      </c>
      <c r="AT264" s="12">
        <v>1169428.57</v>
      </c>
      <c r="AU264" s="12">
        <v>16</v>
      </c>
      <c r="AV264" s="12">
        <v>73089.285000000003</v>
      </c>
      <c r="AW264" s="12">
        <v>202419</v>
      </c>
      <c r="AX264" s="12">
        <v>222689.07</v>
      </c>
      <c r="AY264" s="12">
        <v>3</v>
      </c>
      <c r="AZ264" s="12">
        <v>74229.69</v>
      </c>
      <c r="BA264" s="12">
        <v>45141</v>
      </c>
      <c r="BB264" s="12"/>
      <c r="BC264" s="12"/>
      <c r="BD264" s="12"/>
      <c r="BE264" s="12"/>
      <c r="BF264" s="12">
        <v>230</v>
      </c>
      <c r="BG264" s="12">
        <v>0</v>
      </c>
      <c r="BH264" s="12">
        <v>0</v>
      </c>
      <c r="BI264" s="12">
        <v>93</v>
      </c>
      <c r="BJ264" s="12">
        <v>0</v>
      </c>
      <c r="BK264" s="12">
        <v>0</v>
      </c>
      <c r="BL264" s="12">
        <v>40</v>
      </c>
      <c r="BM264" s="12">
        <v>1</v>
      </c>
      <c r="BN264" s="12">
        <v>2.5000000000000001E-2</v>
      </c>
      <c r="BO264" s="12">
        <v>4</v>
      </c>
      <c r="BP264" s="12">
        <v>0</v>
      </c>
      <c r="BQ264" s="12">
        <v>0</v>
      </c>
      <c r="BR264" s="12">
        <v>67</v>
      </c>
      <c r="BS264" s="12">
        <v>0</v>
      </c>
      <c r="BT264" s="12">
        <v>0</v>
      </c>
      <c r="BU264" s="12">
        <v>434</v>
      </c>
      <c r="BV264" s="12">
        <v>1</v>
      </c>
      <c r="BW264" s="12">
        <v>2.304147465437788E-3</v>
      </c>
      <c r="BX264" s="12"/>
      <c r="BY264" s="12"/>
      <c r="BZ264" s="12"/>
      <c r="CA264" s="12">
        <v>41251.99</v>
      </c>
      <c r="CB264" s="13"/>
      <c r="CC264" s="13"/>
      <c r="CD264" s="13"/>
      <c r="CE264" s="12">
        <v>2995</v>
      </c>
      <c r="CF264" s="12">
        <v>331</v>
      </c>
      <c r="CG264" s="13">
        <v>48031</v>
      </c>
      <c r="CH264" s="13">
        <v>157</v>
      </c>
      <c r="CI264" s="13">
        <v>21763</v>
      </c>
    </row>
    <row r="265" spans="2:87" x14ac:dyDescent="0.2">
      <c r="B265" s="5">
        <v>46038</v>
      </c>
      <c r="C265" s="12">
        <v>16</v>
      </c>
      <c r="D265" s="12">
        <v>2.2000000000000002</v>
      </c>
      <c r="E265" s="12">
        <v>128781.512</v>
      </c>
      <c r="F265" s="12">
        <v>0</v>
      </c>
      <c r="G265" s="12">
        <v>2060504.2</v>
      </c>
      <c r="H265" s="12">
        <v>0</v>
      </c>
      <c r="I265" s="12">
        <v>0</v>
      </c>
      <c r="J265" s="12">
        <v>2060504.2</v>
      </c>
      <c r="K265" s="12">
        <v>68000</v>
      </c>
      <c r="L265" s="12">
        <v>0</v>
      </c>
      <c r="M265" s="12">
        <v>391495.8</v>
      </c>
      <c r="N265" s="12">
        <v>2520000</v>
      </c>
      <c r="O265" s="12">
        <v>151260.49</v>
      </c>
      <c r="P265" s="12">
        <v>1909243.71</v>
      </c>
      <c r="Q265" s="12">
        <v>579609</v>
      </c>
      <c r="R265" s="12">
        <v>1329634.71</v>
      </c>
      <c r="S265" s="12">
        <v>0</v>
      </c>
      <c r="T265" s="12">
        <v>35</v>
      </c>
      <c r="U265" s="12">
        <v>0</v>
      </c>
      <c r="V265" s="12">
        <v>0</v>
      </c>
      <c r="W265" s="35">
        <v>46144.261731053244</v>
      </c>
      <c r="X265" s="12">
        <v>7</v>
      </c>
      <c r="Y265" s="12">
        <v>9</v>
      </c>
      <c r="Z265" s="12">
        <v>993277.31</v>
      </c>
      <c r="AA265" s="12">
        <v>110364.145</v>
      </c>
      <c r="AB265" s="12">
        <v>319975</v>
      </c>
      <c r="AC265" s="12">
        <v>580865.34</v>
      </c>
      <c r="AD265" s="12">
        <v>7</v>
      </c>
      <c r="AE265" s="12">
        <v>7</v>
      </c>
      <c r="AF265" s="12">
        <v>1067226.8899999999</v>
      </c>
      <c r="AG265" s="12">
        <v>152460.984</v>
      </c>
      <c r="AH265" s="12">
        <v>259634</v>
      </c>
      <c r="AI265" s="12">
        <v>748769.37</v>
      </c>
      <c r="AJ265" s="12"/>
      <c r="AK265" s="12"/>
      <c r="AL265" s="12"/>
      <c r="AM265" s="12"/>
      <c r="AN265" s="12"/>
      <c r="AO265" s="12"/>
      <c r="AP265" s="12">
        <v>689075.63</v>
      </c>
      <c r="AQ265" s="12">
        <v>5</v>
      </c>
      <c r="AR265" s="12">
        <v>137815.12599999999</v>
      </c>
      <c r="AS265" s="12">
        <v>166214</v>
      </c>
      <c r="AT265" s="12">
        <v>1371428.57</v>
      </c>
      <c r="AU265" s="12">
        <v>11</v>
      </c>
      <c r="AV265" s="12">
        <v>124675.32399999999</v>
      </c>
      <c r="AW265" s="12">
        <v>413395</v>
      </c>
      <c r="AX265" s="12"/>
      <c r="AY265" s="12"/>
      <c r="AZ265" s="12"/>
      <c r="BA265" s="12"/>
      <c r="BB265" s="12"/>
      <c r="BC265" s="12"/>
      <c r="BD265" s="12"/>
      <c r="BE265" s="12"/>
      <c r="BF265" s="12">
        <v>385</v>
      </c>
      <c r="BG265" s="12">
        <v>0</v>
      </c>
      <c r="BH265" s="12">
        <v>0</v>
      </c>
      <c r="BI265" s="12">
        <v>86</v>
      </c>
      <c r="BJ265" s="12">
        <v>2</v>
      </c>
      <c r="BK265" s="12">
        <v>2.3255813953488372E-2</v>
      </c>
      <c r="BL265" s="12">
        <v>30</v>
      </c>
      <c r="BM265" s="12">
        <v>1</v>
      </c>
      <c r="BN265" s="12">
        <v>3.3333333333333333E-2</v>
      </c>
      <c r="BO265" s="12">
        <v>3</v>
      </c>
      <c r="BP265" s="12">
        <v>0</v>
      </c>
      <c r="BQ265" s="12">
        <v>0</v>
      </c>
      <c r="BR265" s="12">
        <v>64</v>
      </c>
      <c r="BS265" s="12">
        <v>2</v>
      </c>
      <c r="BT265" s="12">
        <v>3.125E-2</v>
      </c>
      <c r="BU265" s="12">
        <v>568</v>
      </c>
      <c r="BV265" s="12">
        <v>5</v>
      </c>
      <c r="BW265" s="12">
        <v>8.8028169014084511E-3</v>
      </c>
      <c r="BX265" s="12"/>
      <c r="BY265" s="12"/>
      <c r="BZ265" s="12"/>
      <c r="CA265" s="12">
        <v>59598.69</v>
      </c>
      <c r="CB265" s="13"/>
      <c r="CC265" s="13"/>
      <c r="CD265" s="13"/>
      <c r="CE265" s="12">
        <v>4447</v>
      </c>
      <c r="CF265" s="12">
        <v>510</v>
      </c>
      <c r="CG265" s="13">
        <v>50137</v>
      </c>
      <c r="CH265" s="13">
        <v>136</v>
      </c>
      <c r="CI265" s="13">
        <v>20990</v>
      </c>
    </row>
    <row r="266" spans="2:87" x14ac:dyDescent="0.2">
      <c r="B266" s="5">
        <v>46039</v>
      </c>
      <c r="C266" s="12">
        <v>28</v>
      </c>
      <c r="D266" s="12">
        <v>2.4</v>
      </c>
      <c r="E266" s="12">
        <v>163383.853</v>
      </c>
      <c r="F266" s="12">
        <v>0</v>
      </c>
      <c r="G266" s="12">
        <v>4581470.57</v>
      </c>
      <c r="H266" s="12">
        <v>-6722.68</v>
      </c>
      <c r="I266" s="12">
        <v>0</v>
      </c>
      <c r="J266" s="12">
        <v>4574747.8899999997</v>
      </c>
      <c r="K266" s="12">
        <v>52000</v>
      </c>
      <c r="L266" s="12">
        <v>0</v>
      </c>
      <c r="M266" s="12">
        <v>858752.11</v>
      </c>
      <c r="N266" s="12">
        <v>5485500</v>
      </c>
      <c r="O266" s="12">
        <v>318523.15000000002</v>
      </c>
      <c r="P266" s="12">
        <v>4256224.74</v>
      </c>
      <c r="Q266" s="12">
        <v>1272755</v>
      </c>
      <c r="R266" s="12">
        <v>2983469.74</v>
      </c>
      <c r="S266" s="12">
        <v>0</v>
      </c>
      <c r="T266" s="12">
        <v>67</v>
      </c>
      <c r="U266" s="12">
        <v>0</v>
      </c>
      <c r="V266" s="12">
        <v>0</v>
      </c>
      <c r="W266" s="35">
        <v>46144.261731053244</v>
      </c>
      <c r="X266" s="12">
        <v>17</v>
      </c>
      <c r="Y266" s="12">
        <v>22</v>
      </c>
      <c r="Z266" s="12">
        <v>3452899.15</v>
      </c>
      <c r="AA266" s="12">
        <v>156949.96100000001</v>
      </c>
      <c r="AB266" s="12">
        <v>933303</v>
      </c>
      <c r="AC266" s="12">
        <v>2254890.27</v>
      </c>
      <c r="AD266" s="12">
        <v>6</v>
      </c>
      <c r="AE266" s="12">
        <v>6</v>
      </c>
      <c r="AF266" s="12">
        <v>1121848.74</v>
      </c>
      <c r="AG266" s="12">
        <v>186974.79</v>
      </c>
      <c r="AH266" s="12">
        <v>339452</v>
      </c>
      <c r="AI266" s="12">
        <v>728579.47</v>
      </c>
      <c r="AJ266" s="12"/>
      <c r="AK266" s="12"/>
      <c r="AL266" s="12"/>
      <c r="AM266" s="12"/>
      <c r="AN266" s="12"/>
      <c r="AO266" s="12"/>
      <c r="AP266" s="12">
        <v>1008403.36</v>
      </c>
      <c r="AQ266" s="12">
        <v>6</v>
      </c>
      <c r="AR266" s="12">
        <v>168067.226</v>
      </c>
      <c r="AS266" s="12">
        <v>248524</v>
      </c>
      <c r="AT266" s="12">
        <v>3566344.53</v>
      </c>
      <c r="AU266" s="12">
        <v>22</v>
      </c>
      <c r="AV266" s="12">
        <v>162106.56899999999</v>
      </c>
      <c r="AW266" s="12">
        <v>1024231</v>
      </c>
      <c r="AX266" s="12"/>
      <c r="AY266" s="12"/>
      <c r="AZ266" s="12"/>
      <c r="BA266" s="12"/>
      <c r="BB266" s="12"/>
      <c r="BC266" s="12"/>
      <c r="BD266" s="12"/>
      <c r="BE266" s="12"/>
      <c r="BF266" s="12">
        <v>128</v>
      </c>
      <c r="BG266" s="12">
        <v>0</v>
      </c>
      <c r="BH266" s="12">
        <v>0</v>
      </c>
      <c r="BI266" s="12">
        <v>101</v>
      </c>
      <c r="BJ266" s="12">
        <v>2</v>
      </c>
      <c r="BK266" s="12">
        <v>1.9801980198019802E-2</v>
      </c>
      <c r="BL266" s="12">
        <v>35</v>
      </c>
      <c r="BM266" s="12">
        <v>0</v>
      </c>
      <c r="BN266" s="12">
        <v>0</v>
      </c>
      <c r="BO266" s="12">
        <v>2</v>
      </c>
      <c r="BP266" s="12">
        <v>0</v>
      </c>
      <c r="BQ266" s="12">
        <v>0</v>
      </c>
      <c r="BR266" s="12">
        <v>30</v>
      </c>
      <c r="BS266" s="12">
        <v>1</v>
      </c>
      <c r="BT266" s="12">
        <v>3.3333333333333333E-2</v>
      </c>
      <c r="BU266" s="12">
        <v>296</v>
      </c>
      <c r="BV266" s="12">
        <v>3</v>
      </c>
      <c r="BW266" s="12">
        <v>1.0135135135135136E-2</v>
      </c>
      <c r="BX266" s="12"/>
      <c r="BY266" s="12"/>
      <c r="BZ266" s="12"/>
      <c r="CA266" s="12">
        <v>33266.1</v>
      </c>
      <c r="CB266" s="13"/>
      <c r="CC266" s="13"/>
      <c r="CD266" s="13"/>
      <c r="CE266" s="12">
        <v>1855</v>
      </c>
      <c r="CF266" s="12">
        <v>217</v>
      </c>
      <c r="CG266" s="13">
        <v>49593</v>
      </c>
      <c r="CH266" s="13">
        <v>144</v>
      </c>
      <c r="CI266" s="13">
        <v>20237</v>
      </c>
    </row>
    <row r="267" spans="2:87" x14ac:dyDescent="0.2">
      <c r="B267" s="5">
        <v>46040</v>
      </c>
      <c r="C267" s="12">
        <v>10</v>
      </c>
      <c r="D267" s="12">
        <v>1.9</v>
      </c>
      <c r="E267" s="12">
        <v>134752.10200000001</v>
      </c>
      <c r="F267" s="12">
        <v>0</v>
      </c>
      <c r="G267" s="12">
        <v>1347521.02</v>
      </c>
      <c r="H267" s="12">
        <v>0</v>
      </c>
      <c r="I267" s="12">
        <v>0</v>
      </c>
      <c r="J267" s="12">
        <v>1347521.02</v>
      </c>
      <c r="K267" s="12">
        <v>215000</v>
      </c>
      <c r="L267" s="12">
        <v>0</v>
      </c>
      <c r="M267" s="12">
        <v>247478.98</v>
      </c>
      <c r="N267" s="12">
        <v>1810000</v>
      </c>
      <c r="O267" s="12">
        <v>29411.759999999998</v>
      </c>
      <c r="P267" s="12">
        <v>1318109.26</v>
      </c>
      <c r="Q267" s="12">
        <v>424853</v>
      </c>
      <c r="R267" s="12">
        <v>893256.26</v>
      </c>
      <c r="S267" s="12">
        <v>0</v>
      </c>
      <c r="T267" s="12">
        <v>19</v>
      </c>
      <c r="U267" s="12">
        <v>0</v>
      </c>
      <c r="V267" s="12">
        <v>0</v>
      </c>
      <c r="W267" s="35">
        <v>46144.261731053244</v>
      </c>
      <c r="X267" s="12">
        <v>2</v>
      </c>
      <c r="Y267" s="12">
        <v>3</v>
      </c>
      <c r="Z267" s="12">
        <v>361344.54</v>
      </c>
      <c r="AA267" s="12">
        <v>120448.18</v>
      </c>
      <c r="AB267" s="12">
        <v>87939</v>
      </c>
      <c r="AC267" s="12">
        <v>273405.53999999998</v>
      </c>
      <c r="AD267" s="12">
        <v>7</v>
      </c>
      <c r="AE267" s="12">
        <v>7</v>
      </c>
      <c r="AF267" s="12">
        <v>986176.48</v>
      </c>
      <c r="AG267" s="12">
        <v>140882.35399999999</v>
      </c>
      <c r="AH267" s="12">
        <v>336914</v>
      </c>
      <c r="AI267" s="12">
        <v>619850.72</v>
      </c>
      <c r="AJ267" s="12"/>
      <c r="AK267" s="12"/>
      <c r="AL267" s="12"/>
      <c r="AM267" s="12"/>
      <c r="AN267" s="12"/>
      <c r="AO267" s="12"/>
      <c r="AP267" s="12">
        <v>397941.18</v>
      </c>
      <c r="AQ267" s="12">
        <v>3</v>
      </c>
      <c r="AR267" s="12">
        <v>132647.06</v>
      </c>
      <c r="AS267" s="12">
        <v>103417</v>
      </c>
      <c r="AT267" s="12">
        <v>949579.84</v>
      </c>
      <c r="AU267" s="12">
        <v>7</v>
      </c>
      <c r="AV267" s="12">
        <v>135654.26199999999</v>
      </c>
      <c r="AW267" s="12">
        <v>321436</v>
      </c>
      <c r="AX267" s="12"/>
      <c r="AY267" s="12"/>
      <c r="AZ267" s="12"/>
      <c r="BA267" s="12"/>
      <c r="BB267" s="12"/>
      <c r="BC267" s="12"/>
      <c r="BD267" s="12"/>
      <c r="BE267" s="12"/>
      <c r="BF267" s="12">
        <v>398</v>
      </c>
      <c r="BG267" s="12">
        <v>1</v>
      </c>
      <c r="BH267" s="12">
        <v>2.5125628140703518E-3</v>
      </c>
      <c r="BI267" s="12">
        <v>101</v>
      </c>
      <c r="BJ267" s="12">
        <v>0</v>
      </c>
      <c r="BK267" s="12">
        <v>0</v>
      </c>
      <c r="BL267" s="12">
        <v>43</v>
      </c>
      <c r="BM267" s="12">
        <v>1</v>
      </c>
      <c r="BN267" s="12">
        <v>2.3255813953488372E-2</v>
      </c>
      <c r="BO267" s="12">
        <v>3</v>
      </c>
      <c r="BP267" s="12">
        <v>0</v>
      </c>
      <c r="BQ267" s="12">
        <v>0</v>
      </c>
      <c r="BR267" s="12">
        <v>53</v>
      </c>
      <c r="BS267" s="12">
        <v>1</v>
      </c>
      <c r="BT267" s="12">
        <v>1.8867924528301886E-2</v>
      </c>
      <c r="BU267" s="12">
        <v>598</v>
      </c>
      <c r="BV267" s="12">
        <v>3</v>
      </c>
      <c r="BW267" s="12">
        <v>5.016722408026756E-3</v>
      </c>
      <c r="BX267" s="12"/>
      <c r="BY267" s="12"/>
      <c r="BZ267" s="12"/>
      <c r="CA267" s="12">
        <v>64951.73</v>
      </c>
      <c r="CB267" s="13"/>
      <c r="CC267" s="13"/>
      <c r="CD267" s="13"/>
      <c r="CE267" s="12">
        <v>4567</v>
      </c>
      <c r="CF267" s="12">
        <v>501</v>
      </c>
      <c r="CG267" s="13">
        <v>54117</v>
      </c>
      <c r="CH267" s="13">
        <v>178</v>
      </c>
      <c r="CI267" s="13">
        <v>22735</v>
      </c>
    </row>
    <row r="268" spans="2:87" x14ac:dyDescent="0.2">
      <c r="B268" s="5">
        <v>46041</v>
      </c>
      <c r="C268" s="12">
        <v>17</v>
      </c>
      <c r="D268" s="12">
        <v>2.1</v>
      </c>
      <c r="E268" s="12">
        <v>152413.24799999999</v>
      </c>
      <c r="F268" s="12">
        <v>0</v>
      </c>
      <c r="G268" s="12">
        <v>2591025.23</v>
      </c>
      <c r="H268" s="12">
        <v>0</v>
      </c>
      <c r="I268" s="12">
        <v>0</v>
      </c>
      <c r="J268" s="12">
        <v>2591025.23</v>
      </c>
      <c r="K268" s="12">
        <v>44000</v>
      </c>
      <c r="L268" s="12">
        <v>0</v>
      </c>
      <c r="M268" s="12">
        <v>439474.77</v>
      </c>
      <c r="N268" s="12">
        <v>3074500</v>
      </c>
      <c r="O268" s="12">
        <v>29411.759999999998</v>
      </c>
      <c r="P268" s="12">
        <v>2561613.4700000002</v>
      </c>
      <c r="Q268" s="12">
        <v>924834</v>
      </c>
      <c r="R268" s="12">
        <v>1636779.47</v>
      </c>
      <c r="S268" s="12">
        <v>0</v>
      </c>
      <c r="T268" s="12">
        <v>35</v>
      </c>
      <c r="U268" s="12">
        <v>0</v>
      </c>
      <c r="V268" s="12">
        <v>0</v>
      </c>
      <c r="W268" s="35">
        <v>46144.261731053244</v>
      </c>
      <c r="X268" s="12">
        <v>8</v>
      </c>
      <c r="Y268" s="12">
        <v>10</v>
      </c>
      <c r="Z268" s="12">
        <v>1610462.2</v>
      </c>
      <c r="AA268" s="12">
        <v>161046.22</v>
      </c>
      <c r="AB268" s="12">
        <v>563008</v>
      </c>
      <c r="AC268" s="12">
        <v>1047454.2</v>
      </c>
      <c r="AD268" s="12">
        <v>6</v>
      </c>
      <c r="AE268" s="12">
        <v>6</v>
      </c>
      <c r="AF268" s="12">
        <v>823840.34</v>
      </c>
      <c r="AG268" s="12">
        <v>137306.723</v>
      </c>
      <c r="AH268" s="12">
        <v>275382</v>
      </c>
      <c r="AI268" s="12">
        <v>519046.58</v>
      </c>
      <c r="AJ268" s="12">
        <v>1</v>
      </c>
      <c r="AK268" s="12">
        <v>1</v>
      </c>
      <c r="AL268" s="12">
        <v>156722.69</v>
      </c>
      <c r="AM268" s="12">
        <v>156722.69</v>
      </c>
      <c r="AN268" s="12">
        <v>86444</v>
      </c>
      <c r="AO268" s="12">
        <v>70278.69</v>
      </c>
      <c r="AP268" s="12">
        <v>596638.66</v>
      </c>
      <c r="AQ268" s="12">
        <v>4</v>
      </c>
      <c r="AR268" s="12">
        <v>149159.66500000001</v>
      </c>
      <c r="AS268" s="12">
        <v>157632</v>
      </c>
      <c r="AT268" s="12">
        <v>1708672.28</v>
      </c>
      <c r="AU268" s="12">
        <v>12</v>
      </c>
      <c r="AV268" s="12">
        <v>142389.356</v>
      </c>
      <c r="AW268" s="12">
        <v>684330</v>
      </c>
      <c r="AX268" s="12"/>
      <c r="AY268" s="12"/>
      <c r="AZ268" s="12"/>
      <c r="BA268" s="12"/>
      <c r="BB268" s="12">
        <v>285714.28999999998</v>
      </c>
      <c r="BC268" s="12">
        <v>1</v>
      </c>
      <c r="BD268" s="12">
        <v>285714.28999999998</v>
      </c>
      <c r="BE268" s="12">
        <v>82872</v>
      </c>
      <c r="BF268" s="12">
        <v>223</v>
      </c>
      <c r="BG268" s="12">
        <v>0</v>
      </c>
      <c r="BH268" s="12">
        <v>0</v>
      </c>
      <c r="BI268" s="12">
        <v>80</v>
      </c>
      <c r="BJ268" s="12">
        <v>0</v>
      </c>
      <c r="BK268" s="12">
        <v>0</v>
      </c>
      <c r="BL268" s="12">
        <v>52</v>
      </c>
      <c r="BM268" s="12">
        <v>2</v>
      </c>
      <c r="BN268" s="12">
        <v>3.8461538461538464E-2</v>
      </c>
      <c r="BO268" s="12">
        <v>2</v>
      </c>
      <c r="BP268" s="12">
        <v>0</v>
      </c>
      <c r="BQ268" s="12">
        <v>0</v>
      </c>
      <c r="BR268" s="12">
        <v>76</v>
      </c>
      <c r="BS268" s="12">
        <v>2</v>
      </c>
      <c r="BT268" s="12">
        <v>2.6315789473684209E-2</v>
      </c>
      <c r="BU268" s="12">
        <v>433</v>
      </c>
      <c r="BV268" s="12">
        <v>4</v>
      </c>
      <c r="BW268" s="12">
        <v>9.2378752886836026E-3</v>
      </c>
      <c r="BX268" s="12"/>
      <c r="BY268" s="12"/>
      <c r="BZ268" s="12"/>
      <c r="CA268" s="12">
        <v>44812.02</v>
      </c>
      <c r="CB268" s="13"/>
      <c r="CC268" s="13"/>
      <c r="CD268" s="13"/>
      <c r="CE268" s="12">
        <v>3166</v>
      </c>
      <c r="CF268" s="12">
        <v>335</v>
      </c>
      <c r="CG268" s="13">
        <v>52804</v>
      </c>
      <c r="CH268" s="13">
        <v>130</v>
      </c>
      <c r="CI268" s="13">
        <v>21573</v>
      </c>
    </row>
    <row r="269" spans="2:87" x14ac:dyDescent="0.2">
      <c r="B269" s="5">
        <v>46042</v>
      </c>
      <c r="C269" s="12">
        <v>9</v>
      </c>
      <c r="D269" s="12">
        <v>2.4</v>
      </c>
      <c r="E269" s="12">
        <v>150606.91</v>
      </c>
      <c r="F269" s="12">
        <v>0</v>
      </c>
      <c r="G269" s="12">
        <v>1355462.19</v>
      </c>
      <c r="H269" s="12">
        <v>0</v>
      </c>
      <c r="I269" s="12">
        <v>0</v>
      </c>
      <c r="J269" s="12">
        <v>1355462.19</v>
      </c>
      <c r="K269" s="12">
        <v>39000</v>
      </c>
      <c r="L269" s="12">
        <v>0</v>
      </c>
      <c r="M269" s="12">
        <v>257537.81</v>
      </c>
      <c r="N269" s="12">
        <v>1652000</v>
      </c>
      <c r="O269" s="12">
        <v>88235.29</v>
      </c>
      <c r="P269" s="12">
        <v>1267226.8999999999</v>
      </c>
      <c r="Q269" s="12">
        <v>368166</v>
      </c>
      <c r="R269" s="12">
        <v>899060.9</v>
      </c>
      <c r="S269" s="12">
        <v>0</v>
      </c>
      <c r="T269" s="12">
        <v>22</v>
      </c>
      <c r="U269" s="12">
        <v>0</v>
      </c>
      <c r="V269" s="12">
        <v>0</v>
      </c>
      <c r="W269" s="35">
        <v>46144.261731053244</v>
      </c>
      <c r="X269" s="12">
        <v>3</v>
      </c>
      <c r="Y269" s="12">
        <v>3</v>
      </c>
      <c r="Z269" s="12">
        <v>239495.8</v>
      </c>
      <c r="AA269" s="12">
        <v>79831.933000000005</v>
      </c>
      <c r="AB269" s="12">
        <v>82682</v>
      </c>
      <c r="AC269" s="12">
        <v>156813.79999999999</v>
      </c>
      <c r="AD269" s="12">
        <v>6</v>
      </c>
      <c r="AE269" s="12">
        <v>6</v>
      </c>
      <c r="AF269" s="12">
        <v>1115966.3899999999</v>
      </c>
      <c r="AG269" s="12">
        <v>185994.39799999999</v>
      </c>
      <c r="AH269" s="12">
        <v>285484</v>
      </c>
      <c r="AI269" s="12">
        <v>742247.1</v>
      </c>
      <c r="AJ269" s="12"/>
      <c r="AK269" s="12"/>
      <c r="AL269" s="12"/>
      <c r="AM269" s="12"/>
      <c r="AN269" s="12"/>
      <c r="AO269" s="12"/>
      <c r="AP269" s="12">
        <v>857142.86</v>
      </c>
      <c r="AQ269" s="12">
        <v>4</v>
      </c>
      <c r="AR269" s="12">
        <v>214285.715</v>
      </c>
      <c r="AS269" s="12">
        <v>267536</v>
      </c>
      <c r="AT269" s="12">
        <v>498319.33</v>
      </c>
      <c r="AU269" s="12">
        <v>5</v>
      </c>
      <c r="AV269" s="12">
        <v>99663.865999999995</v>
      </c>
      <c r="AW269" s="12">
        <v>100630</v>
      </c>
      <c r="AX269" s="12"/>
      <c r="AY269" s="12"/>
      <c r="AZ269" s="12"/>
      <c r="BA269" s="12"/>
      <c r="BB269" s="12"/>
      <c r="BC269" s="12"/>
      <c r="BD269" s="12"/>
      <c r="BE269" s="12"/>
      <c r="BF269" s="12">
        <v>409</v>
      </c>
      <c r="BG269" s="12">
        <v>0</v>
      </c>
      <c r="BH269" s="12">
        <v>0</v>
      </c>
      <c r="BI269" s="12">
        <v>69</v>
      </c>
      <c r="BJ269" s="12">
        <v>1</v>
      </c>
      <c r="BK269" s="12">
        <v>1.4492753623188406E-2</v>
      </c>
      <c r="BL269" s="12">
        <v>48</v>
      </c>
      <c r="BM269" s="12">
        <v>1</v>
      </c>
      <c r="BN269" s="12">
        <v>2.0833333333333332E-2</v>
      </c>
      <c r="BO269" s="12">
        <v>4</v>
      </c>
      <c r="BP269" s="12">
        <v>0</v>
      </c>
      <c r="BQ269" s="12">
        <v>0</v>
      </c>
      <c r="BR269" s="12">
        <v>53</v>
      </c>
      <c r="BS269" s="12">
        <v>0</v>
      </c>
      <c r="BT269" s="12">
        <v>0</v>
      </c>
      <c r="BU269" s="12">
        <v>583</v>
      </c>
      <c r="BV269" s="12">
        <v>2</v>
      </c>
      <c r="BW269" s="12">
        <v>3.4305317324185248E-3</v>
      </c>
      <c r="BX269" s="12"/>
      <c r="BY269" s="12"/>
      <c r="BZ269" s="12"/>
      <c r="CA269" s="12">
        <v>55088.43</v>
      </c>
      <c r="CB269" s="13"/>
      <c r="CC269" s="13"/>
      <c r="CD269" s="13"/>
      <c r="CE269" s="12">
        <v>4065</v>
      </c>
      <c r="CF269" s="12">
        <v>506</v>
      </c>
      <c r="CG269" s="13">
        <v>52499</v>
      </c>
      <c r="CH269" s="13">
        <v>115</v>
      </c>
      <c r="CI269" s="13">
        <v>19864</v>
      </c>
    </row>
    <row r="270" spans="2:87" x14ac:dyDescent="0.2">
      <c r="B270" s="5">
        <v>46043</v>
      </c>
      <c r="C270" s="12">
        <v>27</v>
      </c>
      <c r="D270" s="12">
        <v>2.5</v>
      </c>
      <c r="E270" s="12">
        <v>153454.715</v>
      </c>
      <c r="F270" s="12">
        <v>0</v>
      </c>
      <c r="G270" s="12">
        <v>4260924.38</v>
      </c>
      <c r="H270" s="12">
        <v>0</v>
      </c>
      <c r="I270" s="12">
        <v>0</v>
      </c>
      <c r="J270" s="12">
        <v>4260924.38</v>
      </c>
      <c r="K270" s="12">
        <v>84000</v>
      </c>
      <c r="L270" s="12">
        <v>0</v>
      </c>
      <c r="M270" s="12">
        <v>809575.62</v>
      </c>
      <c r="N270" s="12">
        <v>5154500</v>
      </c>
      <c r="O270" s="12">
        <v>626050.41</v>
      </c>
      <c r="P270" s="12">
        <v>3634873.97</v>
      </c>
      <c r="Q270" s="12">
        <v>922530</v>
      </c>
      <c r="R270" s="12">
        <v>2712343.97</v>
      </c>
      <c r="S270" s="12">
        <v>0</v>
      </c>
      <c r="T270" s="12">
        <v>70</v>
      </c>
      <c r="U270" s="12">
        <v>0</v>
      </c>
      <c r="V270" s="12">
        <v>0</v>
      </c>
      <c r="W270" s="35">
        <v>46144.261731053244</v>
      </c>
      <c r="X270" s="12">
        <v>16</v>
      </c>
      <c r="Y270" s="12">
        <v>18</v>
      </c>
      <c r="Z270" s="12">
        <v>3067226.9</v>
      </c>
      <c r="AA270" s="12">
        <v>163865.546</v>
      </c>
      <c r="AB270" s="12">
        <v>565548</v>
      </c>
      <c r="AC270" s="12">
        <v>1905040.25</v>
      </c>
      <c r="AD270" s="12">
        <v>9</v>
      </c>
      <c r="AE270" s="12">
        <v>9</v>
      </c>
      <c r="AF270" s="12">
        <v>1193697.48</v>
      </c>
      <c r="AG270" s="12">
        <v>132633.05300000001</v>
      </c>
      <c r="AH270" s="12">
        <v>356982</v>
      </c>
      <c r="AI270" s="12">
        <v>807303.72</v>
      </c>
      <c r="AJ270" s="12"/>
      <c r="AK270" s="12"/>
      <c r="AL270" s="12"/>
      <c r="AM270" s="12"/>
      <c r="AN270" s="12"/>
      <c r="AO270" s="12"/>
      <c r="AP270" s="12">
        <v>1373949.59</v>
      </c>
      <c r="AQ270" s="12">
        <v>8</v>
      </c>
      <c r="AR270" s="12">
        <v>171743.698</v>
      </c>
      <c r="AS270" s="12">
        <v>281436</v>
      </c>
      <c r="AT270" s="12">
        <v>2886974.79</v>
      </c>
      <c r="AU270" s="12">
        <v>19</v>
      </c>
      <c r="AV270" s="12">
        <v>145754.09099999999</v>
      </c>
      <c r="AW270" s="12">
        <v>641094</v>
      </c>
      <c r="AX270" s="12"/>
      <c r="AY270" s="12"/>
      <c r="AZ270" s="12"/>
      <c r="BA270" s="12"/>
      <c r="BB270" s="12"/>
      <c r="BC270" s="12"/>
      <c r="BD270" s="12"/>
      <c r="BE270" s="12"/>
      <c r="BF270" s="12">
        <v>190</v>
      </c>
      <c r="BG270" s="12">
        <v>0</v>
      </c>
      <c r="BH270" s="12">
        <v>0</v>
      </c>
      <c r="BI270" s="12">
        <v>82</v>
      </c>
      <c r="BJ270" s="12">
        <v>1</v>
      </c>
      <c r="BK270" s="12">
        <v>1.2195121951219513E-2</v>
      </c>
      <c r="BL270" s="12">
        <v>51</v>
      </c>
      <c r="BM270" s="12">
        <v>1</v>
      </c>
      <c r="BN270" s="12">
        <v>1.9607843137254902E-2</v>
      </c>
      <c r="BO270" s="12">
        <v>4</v>
      </c>
      <c r="BP270" s="12">
        <v>0</v>
      </c>
      <c r="BQ270" s="12">
        <v>0</v>
      </c>
      <c r="BR270" s="12">
        <v>65</v>
      </c>
      <c r="BS270" s="12">
        <v>5</v>
      </c>
      <c r="BT270" s="12">
        <v>7.6923076923076927E-2</v>
      </c>
      <c r="BU270" s="12">
        <v>392</v>
      </c>
      <c r="BV270" s="12">
        <v>7</v>
      </c>
      <c r="BW270" s="12">
        <v>1.7857142857142856E-2</v>
      </c>
      <c r="BX270" s="12"/>
      <c r="BY270" s="12"/>
      <c r="BZ270" s="12"/>
      <c r="CA270" s="12">
        <v>39840.89</v>
      </c>
      <c r="CB270" s="13"/>
      <c r="CC270" s="13"/>
      <c r="CD270" s="13"/>
      <c r="CE270" s="12">
        <v>2634</v>
      </c>
      <c r="CF270" s="12">
        <v>313</v>
      </c>
      <c r="CG270" s="13">
        <v>49123</v>
      </c>
      <c r="CH270" s="13">
        <v>120</v>
      </c>
      <c r="CI270" s="13">
        <v>19322</v>
      </c>
    </row>
    <row r="271" spans="2:87" x14ac:dyDescent="0.2">
      <c r="B271" s="5">
        <v>46044</v>
      </c>
      <c r="C271" s="12">
        <v>18</v>
      </c>
      <c r="D271" s="12">
        <v>2.1</v>
      </c>
      <c r="E271" s="12">
        <v>124463.118</v>
      </c>
      <c r="F271" s="12">
        <v>-31</v>
      </c>
      <c r="G271" s="12">
        <v>9894957.9700000007</v>
      </c>
      <c r="H271" s="12">
        <v>-91596.62</v>
      </c>
      <c r="I271" s="12">
        <v>-6806722.6900000004</v>
      </c>
      <c r="J271" s="12">
        <v>2996638.66</v>
      </c>
      <c r="K271" s="12">
        <v>40000</v>
      </c>
      <c r="L271" s="12">
        <v>0</v>
      </c>
      <c r="M271" s="12">
        <v>569361.34</v>
      </c>
      <c r="N271" s="12">
        <v>3606000</v>
      </c>
      <c r="O271" s="12">
        <v>0</v>
      </c>
      <c r="P271" s="12">
        <v>2951638.66</v>
      </c>
      <c r="Q271" s="12">
        <v>1216182</v>
      </c>
      <c r="R271" s="12">
        <v>1735456.66</v>
      </c>
      <c r="S271" s="12">
        <v>0</v>
      </c>
      <c r="T271" s="12">
        <v>36</v>
      </c>
      <c r="U271" s="12">
        <v>0</v>
      </c>
      <c r="V271" s="12">
        <v>0</v>
      </c>
      <c r="W271" s="35">
        <v>46144.261731053244</v>
      </c>
      <c r="X271" s="12">
        <v>7</v>
      </c>
      <c r="Y271" s="12">
        <v>12</v>
      </c>
      <c r="Z271" s="12">
        <v>1181512.6100000001</v>
      </c>
      <c r="AA271" s="12">
        <v>98459.384000000005</v>
      </c>
      <c r="AB271" s="12">
        <v>441776</v>
      </c>
      <c r="AC271" s="12">
        <v>739736.61</v>
      </c>
      <c r="AD271" s="12">
        <v>6</v>
      </c>
      <c r="AE271" s="12">
        <v>6</v>
      </c>
      <c r="AF271" s="12">
        <v>1815126.05</v>
      </c>
      <c r="AG271" s="12">
        <v>176470.58799999999</v>
      </c>
      <c r="AH271" s="12">
        <v>774406</v>
      </c>
      <c r="AI271" s="12">
        <v>995720.05</v>
      </c>
      <c r="AJ271" s="12"/>
      <c r="AK271" s="12"/>
      <c r="AL271" s="12"/>
      <c r="AM271" s="12"/>
      <c r="AN271" s="12"/>
      <c r="AO271" s="12"/>
      <c r="AP271" s="12">
        <v>618487.4</v>
      </c>
      <c r="AQ271" s="12">
        <v>6</v>
      </c>
      <c r="AR271" s="12">
        <v>103081.23299999999</v>
      </c>
      <c r="AS271" s="12">
        <v>230237</v>
      </c>
      <c r="AT271" s="12">
        <v>1621848.74</v>
      </c>
      <c r="AU271" s="12">
        <v>12</v>
      </c>
      <c r="AV271" s="12">
        <v>135154.06099999999</v>
      </c>
      <c r="AW271" s="12">
        <v>534415</v>
      </c>
      <c r="AX271" s="12"/>
      <c r="AY271" s="12"/>
      <c r="AZ271" s="12"/>
      <c r="BA271" s="12"/>
      <c r="BB271" s="12">
        <v>756302.52</v>
      </c>
      <c r="BC271" s="12">
        <v>0</v>
      </c>
      <c r="BD271" s="12"/>
      <c r="BE271" s="12">
        <v>451530</v>
      </c>
      <c r="BF271" s="12">
        <v>379</v>
      </c>
      <c r="BG271" s="12">
        <v>0</v>
      </c>
      <c r="BH271" s="12">
        <v>0</v>
      </c>
      <c r="BI271" s="12">
        <v>115</v>
      </c>
      <c r="BJ271" s="12">
        <v>3</v>
      </c>
      <c r="BK271" s="12">
        <v>2.6086956521739129E-2</v>
      </c>
      <c r="BL271" s="12">
        <v>31</v>
      </c>
      <c r="BM271" s="12">
        <v>0</v>
      </c>
      <c r="BN271" s="12">
        <v>0</v>
      </c>
      <c r="BO271" s="12">
        <v>1</v>
      </c>
      <c r="BP271" s="12">
        <v>0</v>
      </c>
      <c r="BQ271" s="12">
        <v>0</v>
      </c>
      <c r="BR271" s="12">
        <v>67</v>
      </c>
      <c r="BS271" s="12">
        <v>3</v>
      </c>
      <c r="BT271" s="12">
        <v>4.4776119402985072E-2</v>
      </c>
      <c r="BU271" s="12">
        <v>593</v>
      </c>
      <c r="BV271" s="12">
        <v>6</v>
      </c>
      <c r="BW271" s="12">
        <v>1.0118043844856661E-2</v>
      </c>
      <c r="BX271" s="12"/>
      <c r="BY271" s="12"/>
      <c r="BZ271" s="12"/>
      <c r="CA271" s="12">
        <v>54396.04</v>
      </c>
      <c r="CB271" s="13"/>
      <c r="CC271" s="13"/>
      <c r="CD271" s="13"/>
      <c r="CE271" s="12">
        <v>4491</v>
      </c>
      <c r="CF271" s="12">
        <v>486</v>
      </c>
      <c r="CG271" s="13">
        <v>49107</v>
      </c>
      <c r="CH271" s="13">
        <v>163</v>
      </c>
      <c r="CI271" s="13">
        <v>19527</v>
      </c>
    </row>
    <row r="272" spans="2:87" x14ac:dyDescent="0.2">
      <c r="B272" s="5">
        <v>46045</v>
      </c>
      <c r="C272" s="12">
        <v>12</v>
      </c>
      <c r="D272" s="12">
        <v>2</v>
      </c>
      <c r="E272" s="12">
        <v>111344.538</v>
      </c>
      <c r="F272" s="12">
        <v>0</v>
      </c>
      <c r="G272" s="12">
        <v>1336134.46</v>
      </c>
      <c r="H272" s="12">
        <v>0</v>
      </c>
      <c r="I272" s="12">
        <v>0</v>
      </c>
      <c r="J272" s="12">
        <v>1336134.46</v>
      </c>
      <c r="K272" s="12">
        <v>16000</v>
      </c>
      <c r="L272" s="12">
        <v>0</v>
      </c>
      <c r="M272" s="12">
        <v>253865.54</v>
      </c>
      <c r="N272" s="12">
        <v>1606000</v>
      </c>
      <c r="O272" s="12">
        <v>29411.759999999998</v>
      </c>
      <c r="P272" s="12">
        <v>1306722.7</v>
      </c>
      <c r="Q272" s="12">
        <v>310755</v>
      </c>
      <c r="R272" s="12">
        <v>995967.7</v>
      </c>
      <c r="S272" s="12">
        <v>0</v>
      </c>
      <c r="T272" s="12">
        <v>24</v>
      </c>
      <c r="U272" s="12">
        <v>0</v>
      </c>
      <c r="V272" s="12">
        <v>0</v>
      </c>
      <c r="W272" s="35">
        <v>46144.261731053244</v>
      </c>
      <c r="X272" s="12">
        <v>4</v>
      </c>
      <c r="Y272" s="12">
        <v>8</v>
      </c>
      <c r="Z272" s="12">
        <v>1079831.93</v>
      </c>
      <c r="AA272" s="12">
        <v>134978.99100000001</v>
      </c>
      <c r="AB272" s="12">
        <v>233418</v>
      </c>
      <c r="AC272" s="12">
        <v>817002.17</v>
      </c>
      <c r="AD272" s="12">
        <v>4</v>
      </c>
      <c r="AE272" s="12">
        <v>4</v>
      </c>
      <c r="AF272" s="12">
        <v>256302.53</v>
      </c>
      <c r="AG272" s="12">
        <v>64075.631999999998</v>
      </c>
      <c r="AH272" s="12">
        <v>77337</v>
      </c>
      <c r="AI272" s="12">
        <v>178965.53</v>
      </c>
      <c r="AJ272" s="12"/>
      <c r="AK272" s="12"/>
      <c r="AL272" s="12"/>
      <c r="AM272" s="12"/>
      <c r="AN272" s="12"/>
      <c r="AO272" s="12"/>
      <c r="AP272" s="12">
        <v>785714.28</v>
      </c>
      <c r="AQ272" s="12">
        <v>4</v>
      </c>
      <c r="AR272" s="12">
        <v>196428.57</v>
      </c>
      <c r="AS272" s="12">
        <v>166402</v>
      </c>
      <c r="AT272" s="12">
        <v>550420.18000000005</v>
      </c>
      <c r="AU272" s="12">
        <v>8</v>
      </c>
      <c r="AV272" s="12">
        <v>68802.521999999997</v>
      </c>
      <c r="AW272" s="12">
        <v>144353</v>
      </c>
      <c r="AX272" s="12"/>
      <c r="AY272" s="12"/>
      <c r="AZ272" s="12"/>
      <c r="BA272" s="12"/>
      <c r="BB272" s="12"/>
      <c r="BC272" s="12"/>
      <c r="BD272" s="12"/>
      <c r="BE272" s="12"/>
      <c r="BF272" s="12">
        <v>275</v>
      </c>
      <c r="BG272" s="12">
        <v>0</v>
      </c>
      <c r="BH272" s="12">
        <v>0</v>
      </c>
      <c r="BI272" s="12">
        <v>81</v>
      </c>
      <c r="BJ272" s="12">
        <v>0</v>
      </c>
      <c r="BK272" s="12">
        <v>0</v>
      </c>
      <c r="BL272" s="12">
        <v>31</v>
      </c>
      <c r="BM272" s="12">
        <v>0</v>
      </c>
      <c r="BN272" s="12">
        <v>0</v>
      </c>
      <c r="BO272" s="12">
        <v>3</v>
      </c>
      <c r="BP272" s="12">
        <v>0</v>
      </c>
      <c r="BQ272" s="12">
        <v>0</v>
      </c>
      <c r="BR272" s="12">
        <v>54</v>
      </c>
      <c r="BS272" s="12">
        <v>1</v>
      </c>
      <c r="BT272" s="12">
        <v>1.8518518518518517E-2</v>
      </c>
      <c r="BU272" s="12">
        <v>444</v>
      </c>
      <c r="BV272" s="12">
        <v>1</v>
      </c>
      <c r="BW272" s="12">
        <v>2.2522522522522522E-3</v>
      </c>
      <c r="BX272" s="12"/>
      <c r="BY272" s="12"/>
      <c r="BZ272" s="12"/>
      <c r="CA272" s="12">
        <v>48910.31</v>
      </c>
      <c r="CB272" s="13"/>
      <c r="CC272" s="13"/>
      <c r="CD272" s="13"/>
      <c r="CE272" s="12">
        <v>3619</v>
      </c>
      <c r="CF272" s="12">
        <v>399</v>
      </c>
      <c r="CG272" s="13">
        <v>54714</v>
      </c>
      <c r="CH272" s="13">
        <v>167</v>
      </c>
      <c r="CI272" s="13">
        <v>20121</v>
      </c>
    </row>
    <row r="273" spans="2:87" x14ac:dyDescent="0.2">
      <c r="B273" s="5">
        <v>46046</v>
      </c>
      <c r="C273" s="12">
        <v>17</v>
      </c>
      <c r="D273" s="12">
        <v>1.6</v>
      </c>
      <c r="E273" s="12">
        <v>95600.592000000004</v>
      </c>
      <c r="F273" s="12">
        <v>0</v>
      </c>
      <c r="G273" s="12">
        <v>1625210.08</v>
      </c>
      <c r="H273" s="12">
        <v>0</v>
      </c>
      <c r="I273" s="12">
        <v>0</v>
      </c>
      <c r="J273" s="12">
        <v>1625210.08</v>
      </c>
      <c r="K273" s="12">
        <v>9000</v>
      </c>
      <c r="L273" s="12">
        <v>0</v>
      </c>
      <c r="M273" s="12">
        <v>308789.92</v>
      </c>
      <c r="N273" s="12">
        <v>1943000</v>
      </c>
      <c r="O273" s="12">
        <v>121008.4</v>
      </c>
      <c r="P273" s="12">
        <v>1504201.68</v>
      </c>
      <c r="Q273" s="12">
        <v>459870</v>
      </c>
      <c r="R273" s="12">
        <v>1044331.68</v>
      </c>
      <c r="S273" s="12">
        <v>100000</v>
      </c>
      <c r="T273" s="12">
        <v>27</v>
      </c>
      <c r="U273" s="12">
        <v>0</v>
      </c>
      <c r="V273" s="12">
        <v>100000</v>
      </c>
      <c r="W273" s="35">
        <v>46144.261731053244</v>
      </c>
      <c r="X273" s="12">
        <v>8</v>
      </c>
      <c r="Y273" s="12">
        <v>12</v>
      </c>
      <c r="Z273" s="12">
        <v>1209243.69</v>
      </c>
      <c r="AA273" s="12">
        <v>100770.307</v>
      </c>
      <c r="AB273" s="12">
        <v>329216</v>
      </c>
      <c r="AC273" s="12">
        <v>759019.29</v>
      </c>
      <c r="AD273" s="12">
        <v>5</v>
      </c>
      <c r="AE273" s="12">
        <v>5</v>
      </c>
      <c r="AF273" s="12">
        <v>415966.39</v>
      </c>
      <c r="AG273" s="12">
        <v>83193.278000000006</v>
      </c>
      <c r="AH273" s="12">
        <v>130654</v>
      </c>
      <c r="AI273" s="12">
        <v>285312.39</v>
      </c>
      <c r="AJ273" s="12">
        <v>0</v>
      </c>
      <c r="AK273" s="12">
        <v>0</v>
      </c>
      <c r="AL273" s="12">
        <v>0</v>
      </c>
      <c r="AM273" s="12"/>
      <c r="AN273" s="12">
        <v>0</v>
      </c>
      <c r="AO273" s="12">
        <v>0</v>
      </c>
      <c r="AP273" s="12">
        <v>0</v>
      </c>
      <c r="AQ273" s="12">
        <v>0</v>
      </c>
      <c r="AR273" s="12"/>
      <c r="AS273" s="12">
        <v>0</v>
      </c>
      <c r="AT273" s="12">
        <v>1625210.08</v>
      </c>
      <c r="AU273" s="12">
        <v>17</v>
      </c>
      <c r="AV273" s="12">
        <v>95600.592000000004</v>
      </c>
      <c r="AW273" s="12">
        <v>459870</v>
      </c>
      <c r="AX273" s="12"/>
      <c r="AY273" s="12"/>
      <c r="AZ273" s="12"/>
      <c r="BA273" s="12"/>
      <c r="BB273" s="12"/>
      <c r="BC273" s="12"/>
      <c r="BD273" s="12"/>
      <c r="BE273" s="12"/>
      <c r="BF273" s="12">
        <v>241</v>
      </c>
      <c r="BG273" s="12">
        <v>0</v>
      </c>
      <c r="BH273" s="12">
        <v>0</v>
      </c>
      <c r="BI273" s="12">
        <v>80</v>
      </c>
      <c r="BJ273" s="12">
        <v>0</v>
      </c>
      <c r="BK273" s="12">
        <v>0</v>
      </c>
      <c r="BL273" s="12">
        <v>26</v>
      </c>
      <c r="BM273" s="12">
        <v>0</v>
      </c>
      <c r="BN273" s="12">
        <v>0</v>
      </c>
      <c r="BO273" s="12"/>
      <c r="BP273" s="12"/>
      <c r="BQ273" s="12"/>
      <c r="BR273" s="12">
        <v>45</v>
      </c>
      <c r="BS273" s="12">
        <v>0</v>
      </c>
      <c r="BT273" s="12">
        <v>0</v>
      </c>
      <c r="BU273" s="12">
        <v>392</v>
      </c>
      <c r="BV273" s="12">
        <v>0</v>
      </c>
      <c r="BW273" s="12">
        <v>0</v>
      </c>
      <c r="BX273" s="12"/>
      <c r="BY273" s="12"/>
      <c r="BZ273" s="12"/>
      <c r="CA273" s="12">
        <v>40408.89</v>
      </c>
      <c r="CB273" s="13"/>
      <c r="CC273" s="13"/>
      <c r="CD273" s="13"/>
      <c r="CE273" s="12">
        <v>3307</v>
      </c>
      <c r="CF273" s="12">
        <v>330</v>
      </c>
      <c r="CG273" s="13">
        <v>49908</v>
      </c>
      <c r="CH273" s="13">
        <v>116</v>
      </c>
      <c r="CI273" s="13">
        <v>19044</v>
      </c>
    </row>
    <row r="274" spans="2:87" x14ac:dyDescent="0.2">
      <c r="B274" s="5">
        <v>46047</v>
      </c>
      <c r="C274" s="12">
        <v>13</v>
      </c>
      <c r="D274" s="12">
        <v>1.5</v>
      </c>
      <c r="E274" s="12">
        <v>90032.966</v>
      </c>
      <c r="F274" s="12">
        <v>0</v>
      </c>
      <c r="G274" s="12">
        <v>1170428.57</v>
      </c>
      <c r="H274" s="12">
        <v>0</v>
      </c>
      <c r="I274" s="12">
        <v>0</v>
      </c>
      <c r="J274" s="12">
        <v>1170428.57</v>
      </c>
      <c r="K274" s="12">
        <v>40000</v>
      </c>
      <c r="L274" s="12">
        <v>0</v>
      </c>
      <c r="M274" s="12">
        <v>203571.43</v>
      </c>
      <c r="N274" s="12">
        <v>1414000</v>
      </c>
      <c r="O274" s="12">
        <v>288075.63</v>
      </c>
      <c r="P274" s="12">
        <v>882352.94</v>
      </c>
      <c r="Q274" s="12">
        <v>263495</v>
      </c>
      <c r="R274" s="12">
        <v>618857.93999999994</v>
      </c>
      <c r="S274" s="12">
        <v>0</v>
      </c>
      <c r="T274" s="12">
        <v>19</v>
      </c>
      <c r="U274" s="12">
        <v>0</v>
      </c>
      <c r="V274" s="12">
        <v>0</v>
      </c>
      <c r="W274" s="35">
        <v>46144.261731053244</v>
      </c>
      <c r="X274" s="12">
        <v>6</v>
      </c>
      <c r="Y274" s="12">
        <v>8</v>
      </c>
      <c r="Z274" s="12">
        <v>683033.61</v>
      </c>
      <c r="AA274" s="12">
        <v>85379.201000000001</v>
      </c>
      <c r="AB274" s="12">
        <v>105641</v>
      </c>
      <c r="AC274" s="12">
        <v>289316.98</v>
      </c>
      <c r="AD274" s="12">
        <v>5</v>
      </c>
      <c r="AE274" s="12">
        <v>5</v>
      </c>
      <c r="AF274" s="12">
        <v>487394.96</v>
      </c>
      <c r="AG274" s="12">
        <v>97478.991999999998</v>
      </c>
      <c r="AH274" s="12">
        <v>157854</v>
      </c>
      <c r="AI274" s="12">
        <v>329540.96000000002</v>
      </c>
      <c r="AJ274" s="12"/>
      <c r="AK274" s="12"/>
      <c r="AL274" s="12"/>
      <c r="AM274" s="12"/>
      <c r="AN274" s="12"/>
      <c r="AO274" s="12"/>
      <c r="AP274" s="12">
        <v>315126.05</v>
      </c>
      <c r="AQ274" s="12">
        <v>3</v>
      </c>
      <c r="AR274" s="12">
        <v>105042.016</v>
      </c>
      <c r="AS274" s="12">
        <v>77112</v>
      </c>
      <c r="AT274" s="12">
        <v>855302.52</v>
      </c>
      <c r="AU274" s="12">
        <v>10</v>
      </c>
      <c r="AV274" s="12">
        <v>85530.251999999993</v>
      </c>
      <c r="AW274" s="12">
        <v>186383</v>
      </c>
      <c r="AX274" s="12"/>
      <c r="AY274" s="12"/>
      <c r="AZ274" s="12"/>
      <c r="BA274" s="12"/>
      <c r="BB274" s="12"/>
      <c r="BC274" s="12"/>
      <c r="BD274" s="12"/>
      <c r="BE274" s="12"/>
      <c r="BF274" s="12">
        <v>347</v>
      </c>
      <c r="BG274" s="12">
        <v>0</v>
      </c>
      <c r="BH274" s="12">
        <v>0</v>
      </c>
      <c r="BI274" s="12">
        <v>123</v>
      </c>
      <c r="BJ274" s="12">
        <v>0</v>
      </c>
      <c r="BK274" s="12">
        <v>0</v>
      </c>
      <c r="BL274" s="12">
        <v>29</v>
      </c>
      <c r="BM274" s="12">
        <v>1</v>
      </c>
      <c r="BN274" s="12">
        <v>3.4482758620689655E-2</v>
      </c>
      <c r="BO274" s="12">
        <v>6</v>
      </c>
      <c r="BP274" s="12">
        <v>0</v>
      </c>
      <c r="BQ274" s="12">
        <v>0</v>
      </c>
      <c r="BR274" s="12">
        <v>46</v>
      </c>
      <c r="BS274" s="12">
        <v>2</v>
      </c>
      <c r="BT274" s="12">
        <v>4.3478260869565216E-2</v>
      </c>
      <c r="BU274" s="12">
        <v>551</v>
      </c>
      <c r="BV274" s="12">
        <v>3</v>
      </c>
      <c r="BW274" s="12">
        <v>5.4446460980036296E-3</v>
      </c>
      <c r="BX274" s="12"/>
      <c r="BY274" s="12"/>
      <c r="BZ274" s="12"/>
      <c r="CA274" s="12">
        <v>49288.35</v>
      </c>
      <c r="CB274" s="13"/>
      <c r="CC274" s="13"/>
      <c r="CD274" s="13"/>
      <c r="CE274" s="12">
        <v>4099</v>
      </c>
      <c r="CF274" s="12">
        <v>426</v>
      </c>
      <c r="CG274" s="13">
        <v>54202</v>
      </c>
      <c r="CH274" s="13">
        <v>178</v>
      </c>
      <c r="CI274" s="13">
        <v>21725</v>
      </c>
    </row>
    <row r="275" spans="2:87" x14ac:dyDescent="0.2">
      <c r="B275" s="5">
        <v>46048</v>
      </c>
      <c r="C275" s="12">
        <v>17</v>
      </c>
      <c r="D275" s="12">
        <v>2.9</v>
      </c>
      <c r="E275" s="12">
        <v>196214.685</v>
      </c>
      <c r="F275" s="12">
        <v>-2</v>
      </c>
      <c r="G275" s="12">
        <v>3540201.68</v>
      </c>
      <c r="H275" s="12">
        <v>-35552.019999999997</v>
      </c>
      <c r="I275" s="12">
        <v>-365546.22</v>
      </c>
      <c r="J275" s="12">
        <v>3139103.44</v>
      </c>
      <c r="K275" s="12">
        <v>76000</v>
      </c>
      <c r="L275" s="12">
        <v>0</v>
      </c>
      <c r="M275" s="12">
        <v>513896.56</v>
      </c>
      <c r="N275" s="12">
        <v>3729000</v>
      </c>
      <c r="O275" s="12">
        <v>0</v>
      </c>
      <c r="P275" s="12">
        <v>3139103.44</v>
      </c>
      <c r="Q275" s="12">
        <v>900126</v>
      </c>
      <c r="R275" s="12">
        <v>2238977.44</v>
      </c>
      <c r="S275" s="12">
        <v>0</v>
      </c>
      <c r="T275" s="12">
        <v>48</v>
      </c>
      <c r="U275" s="12">
        <v>0</v>
      </c>
      <c r="V275" s="12">
        <v>0</v>
      </c>
      <c r="W275" s="35">
        <v>46144.261731053244</v>
      </c>
      <c r="X275" s="12">
        <v>10</v>
      </c>
      <c r="Y275" s="12">
        <v>10</v>
      </c>
      <c r="Z275" s="12">
        <v>2299607.63</v>
      </c>
      <c r="AA275" s="12">
        <v>249615.38500000001</v>
      </c>
      <c r="AB275" s="12">
        <v>669369</v>
      </c>
      <c r="AC275" s="12">
        <v>1630238.63</v>
      </c>
      <c r="AD275" s="12">
        <v>7</v>
      </c>
      <c r="AE275" s="12">
        <v>7</v>
      </c>
      <c r="AF275" s="12">
        <v>839495.81</v>
      </c>
      <c r="AG275" s="12">
        <v>119927.97199999999</v>
      </c>
      <c r="AH275" s="12">
        <v>230757</v>
      </c>
      <c r="AI275" s="12">
        <v>608738.81000000006</v>
      </c>
      <c r="AJ275" s="12"/>
      <c r="AK275" s="12"/>
      <c r="AL275" s="12"/>
      <c r="AM275" s="12"/>
      <c r="AN275" s="12"/>
      <c r="AO275" s="12"/>
      <c r="AP275" s="12">
        <v>1319327.74</v>
      </c>
      <c r="AQ275" s="12">
        <v>8</v>
      </c>
      <c r="AR275" s="12">
        <v>196428.57199999999</v>
      </c>
      <c r="AS275" s="12">
        <v>357970</v>
      </c>
      <c r="AT275" s="12">
        <v>1819775.7</v>
      </c>
      <c r="AU275" s="12">
        <v>9</v>
      </c>
      <c r="AV275" s="12">
        <v>196024.56400000001</v>
      </c>
      <c r="AW275" s="12">
        <v>542156</v>
      </c>
      <c r="AX275" s="12"/>
      <c r="AY275" s="12"/>
      <c r="AZ275" s="12"/>
      <c r="BA275" s="12"/>
      <c r="BB275" s="12"/>
      <c r="BC275" s="12"/>
      <c r="BD275" s="12"/>
      <c r="BE275" s="12"/>
      <c r="BF275" s="12">
        <v>302</v>
      </c>
      <c r="BG275" s="12">
        <v>0</v>
      </c>
      <c r="BH275" s="12">
        <v>0</v>
      </c>
      <c r="BI275" s="12">
        <v>91</v>
      </c>
      <c r="BJ275" s="12">
        <v>0</v>
      </c>
      <c r="BK275" s="12">
        <v>0</v>
      </c>
      <c r="BL275" s="12">
        <v>38</v>
      </c>
      <c r="BM275" s="12">
        <v>3</v>
      </c>
      <c r="BN275" s="12">
        <v>7.8947368421052627E-2</v>
      </c>
      <c r="BO275" s="12">
        <v>2</v>
      </c>
      <c r="BP275" s="12">
        <v>0</v>
      </c>
      <c r="BQ275" s="12">
        <v>0</v>
      </c>
      <c r="BR275" s="12">
        <v>59</v>
      </c>
      <c r="BS275" s="12">
        <v>3</v>
      </c>
      <c r="BT275" s="12">
        <v>5.0847457627118647E-2</v>
      </c>
      <c r="BU275" s="12">
        <v>492</v>
      </c>
      <c r="BV275" s="12">
        <v>6</v>
      </c>
      <c r="BW275" s="12">
        <v>1.2195121951219513E-2</v>
      </c>
      <c r="BX275" s="12"/>
      <c r="BY275" s="12"/>
      <c r="BZ275" s="12"/>
      <c r="CA275" s="12">
        <v>55286.23</v>
      </c>
      <c r="CB275" s="13"/>
      <c r="CC275" s="13"/>
      <c r="CD275" s="13"/>
      <c r="CE275" s="12">
        <v>4477</v>
      </c>
      <c r="CF275" s="12">
        <v>442</v>
      </c>
      <c r="CG275" s="13">
        <v>57531</v>
      </c>
      <c r="CH275" s="13">
        <v>149</v>
      </c>
      <c r="CI275" s="13">
        <v>19241</v>
      </c>
    </row>
    <row r="276" spans="2:87" x14ac:dyDescent="0.2">
      <c r="B276" s="5">
        <v>46049</v>
      </c>
      <c r="C276" s="12">
        <v>13</v>
      </c>
      <c r="D276" s="12">
        <v>1.9</v>
      </c>
      <c r="E276" s="12">
        <v>160556.56200000001</v>
      </c>
      <c r="F276" s="12">
        <v>0</v>
      </c>
      <c r="G276" s="12">
        <v>2104042.0299999998</v>
      </c>
      <c r="H276" s="12">
        <v>-16806.72</v>
      </c>
      <c r="I276" s="12">
        <v>0</v>
      </c>
      <c r="J276" s="12">
        <v>2087235.31</v>
      </c>
      <c r="K276" s="12">
        <v>68000</v>
      </c>
      <c r="L276" s="12">
        <v>0</v>
      </c>
      <c r="M276" s="12">
        <v>377764.69</v>
      </c>
      <c r="N276" s="12">
        <v>2533000</v>
      </c>
      <c r="O276" s="12">
        <v>0</v>
      </c>
      <c r="P276" s="12">
        <v>2087235.31</v>
      </c>
      <c r="Q276" s="12">
        <v>593363</v>
      </c>
      <c r="R276" s="12">
        <v>1493872.31</v>
      </c>
      <c r="S276" s="12">
        <v>0</v>
      </c>
      <c r="T276" s="12">
        <v>25</v>
      </c>
      <c r="U276" s="12">
        <v>0</v>
      </c>
      <c r="V276" s="12">
        <v>0</v>
      </c>
      <c r="W276" s="35">
        <v>46144.261731053244</v>
      </c>
      <c r="X276" s="12">
        <v>7</v>
      </c>
      <c r="Y276" s="12">
        <v>8</v>
      </c>
      <c r="Z276" s="12">
        <v>1362865.55</v>
      </c>
      <c r="AA276" s="12">
        <v>170358.193</v>
      </c>
      <c r="AB276" s="12">
        <v>415859</v>
      </c>
      <c r="AC276" s="12">
        <v>947006.55</v>
      </c>
      <c r="AD276" s="12">
        <v>4</v>
      </c>
      <c r="AE276" s="12">
        <v>4</v>
      </c>
      <c r="AF276" s="12">
        <v>682352.95</v>
      </c>
      <c r="AG276" s="12">
        <v>170588.23699999999</v>
      </c>
      <c r="AH276" s="12">
        <v>170731</v>
      </c>
      <c r="AI276" s="12">
        <v>511621.95</v>
      </c>
      <c r="AJ276" s="12">
        <v>1</v>
      </c>
      <c r="AK276" s="12">
        <v>1</v>
      </c>
      <c r="AL276" s="12">
        <v>42016.81</v>
      </c>
      <c r="AM276" s="12">
        <v>42016.81</v>
      </c>
      <c r="AN276" s="12">
        <v>6773</v>
      </c>
      <c r="AO276" s="12">
        <v>35243.81</v>
      </c>
      <c r="AP276" s="12">
        <v>1297479</v>
      </c>
      <c r="AQ276" s="12">
        <v>8</v>
      </c>
      <c r="AR276" s="12">
        <v>162184.875</v>
      </c>
      <c r="AS276" s="12">
        <v>356438</v>
      </c>
      <c r="AT276" s="12">
        <v>789756.31</v>
      </c>
      <c r="AU276" s="12">
        <v>5</v>
      </c>
      <c r="AV276" s="12">
        <v>157951.26199999999</v>
      </c>
      <c r="AW276" s="12">
        <v>236925</v>
      </c>
      <c r="AX276" s="12"/>
      <c r="AY276" s="12"/>
      <c r="AZ276" s="12"/>
      <c r="BA276" s="12"/>
      <c r="BB276" s="12"/>
      <c r="BC276" s="12"/>
      <c r="BD276" s="12"/>
      <c r="BE276" s="12"/>
      <c r="BF276" s="12">
        <v>214</v>
      </c>
      <c r="BG276" s="12">
        <v>0</v>
      </c>
      <c r="BH276" s="12">
        <v>0</v>
      </c>
      <c r="BI276" s="12">
        <v>79</v>
      </c>
      <c r="BJ276" s="12">
        <v>2</v>
      </c>
      <c r="BK276" s="12">
        <v>2.5316455696202531E-2</v>
      </c>
      <c r="BL276" s="12">
        <v>53</v>
      </c>
      <c r="BM276" s="12">
        <v>2</v>
      </c>
      <c r="BN276" s="12">
        <v>3.7735849056603772E-2</v>
      </c>
      <c r="BO276" s="12"/>
      <c r="BP276" s="12"/>
      <c r="BQ276" s="12"/>
      <c r="BR276" s="12">
        <v>86</v>
      </c>
      <c r="BS276" s="12">
        <v>4</v>
      </c>
      <c r="BT276" s="12">
        <v>4.6511627906976744E-2</v>
      </c>
      <c r="BU276" s="12">
        <v>432</v>
      </c>
      <c r="BV276" s="12">
        <v>8</v>
      </c>
      <c r="BW276" s="12">
        <v>1.8518518518518517E-2</v>
      </c>
      <c r="BX276" s="12"/>
      <c r="BY276" s="12"/>
      <c r="BZ276" s="12"/>
      <c r="CA276" s="12">
        <v>36364.400000000001</v>
      </c>
      <c r="CB276" s="13"/>
      <c r="CC276" s="13"/>
      <c r="CD276" s="13"/>
      <c r="CE276" s="12">
        <v>3214</v>
      </c>
      <c r="CF276" s="12">
        <v>320</v>
      </c>
      <c r="CG276" s="13">
        <v>50133</v>
      </c>
      <c r="CH276" s="13">
        <v>145</v>
      </c>
      <c r="CI276" s="13">
        <v>17611</v>
      </c>
    </row>
    <row r="277" spans="2:87" x14ac:dyDescent="0.2">
      <c r="B277" s="5">
        <v>46050</v>
      </c>
      <c r="C277" s="12">
        <v>16</v>
      </c>
      <c r="D277" s="12">
        <v>2.5</v>
      </c>
      <c r="E277" s="12">
        <v>168269.43299999999</v>
      </c>
      <c r="F277" s="12">
        <v>0</v>
      </c>
      <c r="G277" s="12">
        <v>2713319.31</v>
      </c>
      <c r="H277" s="12">
        <v>-21008.38</v>
      </c>
      <c r="I277" s="12">
        <v>0</v>
      </c>
      <c r="J277" s="12">
        <v>2692310.93</v>
      </c>
      <c r="K277" s="12">
        <v>56000</v>
      </c>
      <c r="L277" s="12">
        <v>0</v>
      </c>
      <c r="M277" s="12">
        <v>489689.07</v>
      </c>
      <c r="N277" s="12">
        <v>3238000</v>
      </c>
      <c r="O277" s="12">
        <v>0</v>
      </c>
      <c r="P277" s="12">
        <v>2692310.93</v>
      </c>
      <c r="Q277" s="12">
        <v>741903</v>
      </c>
      <c r="R277" s="12">
        <v>1950407.93</v>
      </c>
      <c r="S277" s="12">
        <v>0</v>
      </c>
      <c r="T277" s="12">
        <v>40</v>
      </c>
      <c r="U277" s="12">
        <v>0</v>
      </c>
      <c r="V277" s="12">
        <v>0</v>
      </c>
      <c r="W277" s="35">
        <v>46144.261731053244</v>
      </c>
      <c r="X277" s="12">
        <v>9</v>
      </c>
      <c r="Y277" s="12">
        <v>12</v>
      </c>
      <c r="Z277" s="12">
        <v>1728571.44</v>
      </c>
      <c r="AA277" s="12">
        <v>144047.62</v>
      </c>
      <c r="AB277" s="12">
        <v>403714</v>
      </c>
      <c r="AC277" s="12">
        <v>1324857.44</v>
      </c>
      <c r="AD277" s="12">
        <v>4</v>
      </c>
      <c r="AE277" s="12">
        <v>4</v>
      </c>
      <c r="AF277" s="12">
        <v>963739.49</v>
      </c>
      <c r="AG277" s="12">
        <v>240934.872</v>
      </c>
      <c r="AH277" s="12">
        <v>338189</v>
      </c>
      <c r="AI277" s="12">
        <v>625550.49</v>
      </c>
      <c r="AJ277" s="12"/>
      <c r="AK277" s="12"/>
      <c r="AL277" s="12"/>
      <c r="AM277" s="12"/>
      <c r="AN277" s="12"/>
      <c r="AO277" s="12"/>
      <c r="AP277" s="12">
        <v>763025.21</v>
      </c>
      <c r="AQ277" s="12">
        <v>5</v>
      </c>
      <c r="AR277" s="12">
        <v>152605.04199999999</v>
      </c>
      <c r="AS277" s="12">
        <v>186884</v>
      </c>
      <c r="AT277" s="12">
        <v>1929285.72</v>
      </c>
      <c r="AU277" s="12">
        <v>11</v>
      </c>
      <c r="AV277" s="12">
        <v>175389.61</v>
      </c>
      <c r="AW277" s="12">
        <v>555019</v>
      </c>
      <c r="AX277" s="12"/>
      <c r="AY277" s="12"/>
      <c r="AZ277" s="12"/>
      <c r="BA277" s="12"/>
      <c r="BB277" s="12"/>
      <c r="BC277" s="12"/>
      <c r="BD277" s="12"/>
      <c r="BE277" s="12"/>
      <c r="BF277" s="12">
        <v>294</v>
      </c>
      <c r="BG277" s="12">
        <v>0</v>
      </c>
      <c r="BH277" s="12">
        <v>0</v>
      </c>
      <c r="BI277" s="12">
        <v>80</v>
      </c>
      <c r="BJ277" s="12">
        <v>1</v>
      </c>
      <c r="BK277" s="12">
        <v>1.2500000000000001E-2</v>
      </c>
      <c r="BL277" s="12">
        <v>36</v>
      </c>
      <c r="BM277" s="12">
        <v>2</v>
      </c>
      <c r="BN277" s="12">
        <v>5.5555555555555552E-2</v>
      </c>
      <c r="BO277" s="12">
        <v>2</v>
      </c>
      <c r="BP277" s="12">
        <v>0</v>
      </c>
      <c r="BQ277" s="12">
        <v>0</v>
      </c>
      <c r="BR277" s="12">
        <v>67</v>
      </c>
      <c r="BS277" s="12">
        <v>1</v>
      </c>
      <c r="BT277" s="12">
        <v>1.4925373134328358E-2</v>
      </c>
      <c r="BU277" s="12">
        <v>479</v>
      </c>
      <c r="BV277" s="12">
        <v>4</v>
      </c>
      <c r="BW277" s="12">
        <v>8.350730688935281E-3</v>
      </c>
      <c r="BX277" s="12"/>
      <c r="BY277" s="12"/>
      <c r="BZ277" s="12"/>
      <c r="CA277" s="12">
        <v>44973.04</v>
      </c>
      <c r="CB277" s="13"/>
      <c r="CC277" s="13"/>
      <c r="CD277" s="13"/>
      <c r="CE277" s="12">
        <v>3948</v>
      </c>
      <c r="CF277" s="12">
        <v>381</v>
      </c>
      <c r="CG277" s="13">
        <v>52259</v>
      </c>
      <c r="CH277" s="13">
        <v>116</v>
      </c>
      <c r="CI277" s="13">
        <v>18579</v>
      </c>
    </row>
    <row r="278" spans="2:87" x14ac:dyDescent="0.2">
      <c r="B278" s="5">
        <v>46051</v>
      </c>
      <c r="C278" s="12">
        <v>9</v>
      </c>
      <c r="D278" s="12">
        <v>2.6</v>
      </c>
      <c r="E278" s="12">
        <v>108309.992</v>
      </c>
      <c r="F278" s="12">
        <v>0</v>
      </c>
      <c r="G278" s="12">
        <v>974789.93</v>
      </c>
      <c r="H278" s="12">
        <v>0</v>
      </c>
      <c r="I278" s="12">
        <v>0</v>
      </c>
      <c r="J278" s="12">
        <v>974789.93</v>
      </c>
      <c r="K278" s="12">
        <v>60000</v>
      </c>
      <c r="L278" s="12">
        <v>0</v>
      </c>
      <c r="M278" s="12">
        <v>185210.07</v>
      </c>
      <c r="N278" s="12">
        <v>1220000</v>
      </c>
      <c r="O278" s="12">
        <v>0</v>
      </c>
      <c r="P278" s="12">
        <v>974789.93</v>
      </c>
      <c r="Q278" s="12">
        <v>244305</v>
      </c>
      <c r="R278" s="12">
        <v>730484.93</v>
      </c>
      <c r="S278" s="12">
        <v>0</v>
      </c>
      <c r="T278" s="12">
        <v>23</v>
      </c>
      <c r="U278" s="12">
        <v>0</v>
      </c>
      <c r="V278" s="12">
        <v>0</v>
      </c>
      <c r="W278" s="35">
        <v>46144.261731053244</v>
      </c>
      <c r="X278" s="12">
        <v>6</v>
      </c>
      <c r="Y278" s="12">
        <v>6</v>
      </c>
      <c r="Z278" s="12">
        <v>571428.57999999996</v>
      </c>
      <c r="AA278" s="12">
        <v>95238.096000000005</v>
      </c>
      <c r="AB278" s="12">
        <v>137271</v>
      </c>
      <c r="AC278" s="12">
        <v>434157.58</v>
      </c>
      <c r="AD278" s="12">
        <v>3</v>
      </c>
      <c r="AE278" s="12">
        <v>3</v>
      </c>
      <c r="AF278" s="12">
        <v>403361.35</v>
      </c>
      <c r="AG278" s="12">
        <v>134453.783</v>
      </c>
      <c r="AH278" s="12">
        <v>107034</v>
      </c>
      <c r="AI278" s="12">
        <v>296327.34999999998</v>
      </c>
      <c r="AJ278" s="12"/>
      <c r="AK278" s="12"/>
      <c r="AL278" s="12"/>
      <c r="AM278" s="12"/>
      <c r="AN278" s="12"/>
      <c r="AO278" s="12"/>
      <c r="AP278" s="12">
        <v>457983.2</v>
      </c>
      <c r="AQ278" s="12">
        <v>4</v>
      </c>
      <c r="AR278" s="12">
        <v>114495.8</v>
      </c>
      <c r="AS278" s="12">
        <v>127995</v>
      </c>
      <c r="AT278" s="12">
        <v>516806.73</v>
      </c>
      <c r="AU278" s="12">
        <v>5</v>
      </c>
      <c r="AV278" s="12">
        <v>103361.34600000001</v>
      </c>
      <c r="AW278" s="12">
        <v>116310</v>
      </c>
      <c r="AX278" s="12"/>
      <c r="AY278" s="12"/>
      <c r="AZ278" s="12"/>
      <c r="BA278" s="12"/>
      <c r="BB278" s="12"/>
      <c r="BC278" s="12"/>
      <c r="BD278" s="12"/>
      <c r="BE278" s="12"/>
      <c r="BF278" s="12">
        <v>255</v>
      </c>
      <c r="BG278" s="12">
        <v>0</v>
      </c>
      <c r="BH278" s="12">
        <v>0</v>
      </c>
      <c r="BI278" s="12">
        <v>66</v>
      </c>
      <c r="BJ278" s="12">
        <v>1</v>
      </c>
      <c r="BK278" s="12">
        <v>1.5151515151515152E-2</v>
      </c>
      <c r="BL278" s="12">
        <v>29</v>
      </c>
      <c r="BM278" s="12">
        <v>0</v>
      </c>
      <c r="BN278" s="12">
        <v>0</v>
      </c>
      <c r="BO278" s="12">
        <v>1</v>
      </c>
      <c r="BP278" s="12">
        <v>0</v>
      </c>
      <c r="BQ278" s="12">
        <v>0</v>
      </c>
      <c r="BR278" s="12">
        <v>53</v>
      </c>
      <c r="BS278" s="12">
        <v>2</v>
      </c>
      <c r="BT278" s="12">
        <v>3.7735849056603772E-2</v>
      </c>
      <c r="BU278" s="12">
        <v>405</v>
      </c>
      <c r="BV278" s="12">
        <v>4</v>
      </c>
      <c r="BW278" s="12">
        <v>9.876543209876543E-3</v>
      </c>
      <c r="BX278" s="12">
        <v>1</v>
      </c>
      <c r="BY278" s="12">
        <v>1</v>
      </c>
      <c r="BZ278" s="12">
        <v>1</v>
      </c>
      <c r="CA278" s="12">
        <v>48828.6</v>
      </c>
      <c r="CB278" s="13"/>
      <c r="CC278" s="13"/>
      <c r="CD278" s="13"/>
      <c r="CE278" s="12">
        <v>3502</v>
      </c>
      <c r="CF278" s="12">
        <v>372</v>
      </c>
      <c r="CG278" s="13">
        <v>46495</v>
      </c>
      <c r="CH278" s="13">
        <v>127</v>
      </c>
      <c r="CI278" s="13">
        <v>17590</v>
      </c>
    </row>
    <row r="279" spans="2:87" x14ac:dyDescent="0.2">
      <c r="B279" s="5">
        <v>46052</v>
      </c>
      <c r="C279" s="12">
        <v>18</v>
      </c>
      <c r="D279" s="12">
        <v>2.2000000000000002</v>
      </c>
      <c r="E279" s="12">
        <v>143853.875</v>
      </c>
      <c r="F279" s="12">
        <v>0</v>
      </c>
      <c r="G279" s="12">
        <v>2589369.75</v>
      </c>
      <c r="H279" s="12">
        <v>0</v>
      </c>
      <c r="I279" s="12">
        <v>0</v>
      </c>
      <c r="J279" s="12">
        <v>2589369.75</v>
      </c>
      <c r="K279" s="12">
        <v>48000</v>
      </c>
      <c r="L279" s="12">
        <v>0</v>
      </c>
      <c r="M279" s="12">
        <v>451130.25</v>
      </c>
      <c r="N279" s="12">
        <v>3088500</v>
      </c>
      <c r="O279" s="12">
        <v>0</v>
      </c>
      <c r="P279" s="12">
        <v>2589369.75</v>
      </c>
      <c r="Q279" s="12">
        <v>1072348</v>
      </c>
      <c r="R279" s="12">
        <v>1517021.75</v>
      </c>
      <c r="S279" s="12">
        <v>0</v>
      </c>
      <c r="T279" s="12">
        <v>40</v>
      </c>
      <c r="U279" s="12">
        <v>0</v>
      </c>
      <c r="V279" s="12">
        <v>0</v>
      </c>
      <c r="W279" s="35">
        <v>46144.261731053244</v>
      </c>
      <c r="X279" s="12">
        <v>7</v>
      </c>
      <c r="Y279" s="12">
        <v>12</v>
      </c>
      <c r="Z279" s="12">
        <v>931537.82</v>
      </c>
      <c r="AA279" s="12">
        <v>77628.150999999998</v>
      </c>
      <c r="AB279" s="12">
        <v>327464</v>
      </c>
      <c r="AC279" s="12">
        <v>604073.81999999995</v>
      </c>
      <c r="AD279" s="12">
        <v>5</v>
      </c>
      <c r="AE279" s="12">
        <v>5</v>
      </c>
      <c r="AF279" s="12">
        <v>991596.64</v>
      </c>
      <c r="AG279" s="12">
        <v>198319.32800000001</v>
      </c>
      <c r="AH279" s="12">
        <v>502861</v>
      </c>
      <c r="AI279" s="12">
        <v>488735.64</v>
      </c>
      <c r="AJ279" s="12">
        <v>1</v>
      </c>
      <c r="AK279" s="12">
        <v>1</v>
      </c>
      <c r="AL279" s="12">
        <v>666235.29</v>
      </c>
      <c r="AM279" s="12">
        <v>666235.29</v>
      </c>
      <c r="AN279" s="12">
        <v>242023</v>
      </c>
      <c r="AO279" s="12">
        <v>424212.29</v>
      </c>
      <c r="AP279" s="12">
        <v>268907.56</v>
      </c>
      <c r="AQ279" s="12">
        <v>3</v>
      </c>
      <c r="AR279" s="12">
        <v>89635.853000000003</v>
      </c>
      <c r="AS279" s="12">
        <v>81739</v>
      </c>
      <c r="AT279" s="12">
        <v>2320462.19</v>
      </c>
      <c r="AU279" s="12">
        <v>15</v>
      </c>
      <c r="AV279" s="12">
        <v>154697.47899999999</v>
      </c>
      <c r="AW279" s="12">
        <v>990609</v>
      </c>
      <c r="AX279" s="12"/>
      <c r="AY279" s="12"/>
      <c r="AZ279" s="12"/>
      <c r="BA279" s="12"/>
      <c r="BB279" s="12"/>
      <c r="BC279" s="12"/>
      <c r="BD279" s="12"/>
      <c r="BE279" s="12"/>
      <c r="BF279" s="12">
        <v>346</v>
      </c>
      <c r="BG279" s="12">
        <v>0</v>
      </c>
      <c r="BH279" s="12">
        <v>0</v>
      </c>
      <c r="BI279" s="12">
        <v>68</v>
      </c>
      <c r="BJ279" s="12">
        <v>1</v>
      </c>
      <c r="BK279" s="12">
        <v>1.4705882352941176E-2</v>
      </c>
      <c r="BL279" s="12">
        <v>30</v>
      </c>
      <c r="BM279" s="12">
        <v>0</v>
      </c>
      <c r="BN279" s="12">
        <v>0</v>
      </c>
      <c r="BO279" s="12">
        <v>1</v>
      </c>
      <c r="BP279" s="12">
        <v>0</v>
      </c>
      <c r="BQ279" s="12">
        <v>0</v>
      </c>
      <c r="BR279" s="12">
        <v>136</v>
      </c>
      <c r="BS279" s="12">
        <v>1</v>
      </c>
      <c r="BT279" s="12">
        <v>7.3529411764705881E-3</v>
      </c>
      <c r="BU279" s="12">
        <v>581</v>
      </c>
      <c r="BV279" s="12">
        <v>2</v>
      </c>
      <c r="BW279" s="12">
        <v>3.4423407917383822E-3</v>
      </c>
      <c r="BX279" s="12"/>
      <c r="BY279" s="12"/>
      <c r="BZ279" s="12"/>
      <c r="CA279" s="12">
        <v>50820.800000000003</v>
      </c>
      <c r="CB279" s="13"/>
      <c r="CC279" s="13"/>
      <c r="CD279" s="13"/>
      <c r="CE279" s="12">
        <v>3957</v>
      </c>
      <c r="CF279" s="12">
        <v>466</v>
      </c>
      <c r="CG279" s="13">
        <v>52245</v>
      </c>
      <c r="CH279" s="13">
        <v>144</v>
      </c>
      <c r="CI279" s="13">
        <v>18455</v>
      </c>
    </row>
    <row r="280" spans="2:87" x14ac:dyDescent="0.2">
      <c r="B280" s="5">
        <v>46053</v>
      </c>
      <c r="C280" s="12">
        <v>15</v>
      </c>
      <c r="D280" s="12">
        <v>2.2000000000000002</v>
      </c>
      <c r="E280" s="12">
        <v>130984.314</v>
      </c>
      <c r="F280" s="12">
        <v>0</v>
      </c>
      <c r="G280" s="12">
        <v>1968966.38</v>
      </c>
      <c r="H280" s="12">
        <v>-4201.67</v>
      </c>
      <c r="I280" s="12">
        <v>0</v>
      </c>
      <c r="J280" s="12">
        <v>1964764.71</v>
      </c>
      <c r="K280" s="12">
        <v>12000</v>
      </c>
      <c r="L280" s="12">
        <v>0</v>
      </c>
      <c r="M280" s="12">
        <v>344235.29</v>
      </c>
      <c r="N280" s="12">
        <v>2321000</v>
      </c>
      <c r="O280" s="12">
        <v>0</v>
      </c>
      <c r="P280" s="12">
        <v>1964764.71</v>
      </c>
      <c r="Q280" s="12">
        <v>584141</v>
      </c>
      <c r="R280" s="12">
        <v>1380623.71</v>
      </c>
      <c r="S280" s="12">
        <v>0</v>
      </c>
      <c r="T280" s="12">
        <v>33</v>
      </c>
      <c r="U280" s="12">
        <v>0</v>
      </c>
      <c r="V280" s="12">
        <v>0</v>
      </c>
      <c r="W280" s="35">
        <v>46144.261731053244</v>
      </c>
      <c r="X280" s="12">
        <v>5</v>
      </c>
      <c r="Y280" s="12">
        <v>7</v>
      </c>
      <c r="Z280" s="12">
        <v>1124428.57</v>
      </c>
      <c r="AA280" s="12">
        <v>160632.652</v>
      </c>
      <c r="AB280" s="12">
        <v>371931</v>
      </c>
      <c r="AC280" s="12">
        <v>752497.57</v>
      </c>
      <c r="AD280" s="12">
        <v>7</v>
      </c>
      <c r="AE280" s="12">
        <v>7</v>
      </c>
      <c r="AF280" s="12">
        <v>794537.82</v>
      </c>
      <c r="AG280" s="12">
        <v>113505.402</v>
      </c>
      <c r="AH280" s="12">
        <v>202925</v>
      </c>
      <c r="AI280" s="12">
        <v>591612.81999999995</v>
      </c>
      <c r="AJ280" s="12">
        <v>1</v>
      </c>
      <c r="AK280" s="12">
        <v>1</v>
      </c>
      <c r="AL280" s="12">
        <v>45798.32</v>
      </c>
      <c r="AM280" s="12">
        <v>45798.32</v>
      </c>
      <c r="AN280" s="12">
        <v>9285</v>
      </c>
      <c r="AO280" s="12">
        <v>36513.32</v>
      </c>
      <c r="AP280" s="12">
        <v>950798.32</v>
      </c>
      <c r="AQ280" s="12">
        <v>5</v>
      </c>
      <c r="AR280" s="12">
        <v>190159.66399999999</v>
      </c>
      <c r="AS280" s="12">
        <v>311494</v>
      </c>
      <c r="AT280" s="12">
        <v>1013966.39</v>
      </c>
      <c r="AU280" s="12">
        <v>10</v>
      </c>
      <c r="AV280" s="12">
        <v>101396.639</v>
      </c>
      <c r="AW280" s="12">
        <v>272647</v>
      </c>
      <c r="AX280" s="12"/>
      <c r="AY280" s="12"/>
      <c r="AZ280" s="12"/>
      <c r="BA280" s="12"/>
      <c r="BB280" s="12"/>
      <c r="BC280" s="12"/>
      <c r="BD280" s="12"/>
      <c r="BE280" s="12"/>
      <c r="BF280" s="12">
        <v>286</v>
      </c>
      <c r="BG280" s="12">
        <v>0</v>
      </c>
      <c r="BH280" s="12">
        <v>0</v>
      </c>
      <c r="BI280" s="12">
        <v>79</v>
      </c>
      <c r="BJ280" s="12">
        <v>0</v>
      </c>
      <c r="BK280" s="12">
        <v>0</v>
      </c>
      <c r="BL280" s="12">
        <v>29</v>
      </c>
      <c r="BM280" s="12">
        <v>0</v>
      </c>
      <c r="BN280" s="12">
        <v>0</v>
      </c>
      <c r="BO280" s="12">
        <v>1</v>
      </c>
      <c r="BP280" s="12">
        <v>0</v>
      </c>
      <c r="BQ280" s="12">
        <v>0</v>
      </c>
      <c r="BR280" s="12">
        <v>82</v>
      </c>
      <c r="BS280" s="12">
        <v>1</v>
      </c>
      <c r="BT280" s="12">
        <v>1.2195121951219513E-2</v>
      </c>
      <c r="BU280" s="12">
        <v>477</v>
      </c>
      <c r="BV280" s="12">
        <v>1</v>
      </c>
      <c r="BW280" s="12">
        <v>2.0964360587002098E-3</v>
      </c>
      <c r="BX280" s="12"/>
      <c r="BY280" s="12"/>
      <c r="BZ280" s="12"/>
      <c r="CA280" s="12">
        <v>42163.39</v>
      </c>
      <c r="CB280" s="13"/>
      <c r="CC280" s="13"/>
      <c r="CD280" s="13"/>
      <c r="CE280" s="12">
        <v>3379</v>
      </c>
      <c r="CF280" s="12">
        <v>402</v>
      </c>
      <c r="CG280" s="13">
        <v>49102</v>
      </c>
      <c r="CH280" s="13">
        <v>124</v>
      </c>
      <c r="CI280" s="13">
        <v>18692</v>
      </c>
    </row>
    <row r="281" spans="2:87" x14ac:dyDescent="0.2">
      <c r="B281" s="5">
        <v>46054</v>
      </c>
      <c r="C281" s="12">
        <v>4</v>
      </c>
      <c r="D281" s="12">
        <v>1</v>
      </c>
      <c r="E281" s="12">
        <v>112394.96</v>
      </c>
      <c r="F281" s="12">
        <v>0</v>
      </c>
      <c r="G281" s="12">
        <v>449579.84</v>
      </c>
      <c r="H281" s="12">
        <v>0</v>
      </c>
      <c r="I281" s="12">
        <v>0</v>
      </c>
      <c r="J281" s="12">
        <v>449579.84</v>
      </c>
      <c r="K281" s="12">
        <v>44000</v>
      </c>
      <c r="L281" s="12">
        <v>0</v>
      </c>
      <c r="M281" s="12">
        <v>85420.160000000003</v>
      </c>
      <c r="N281" s="12">
        <v>579000</v>
      </c>
      <c r="O281" s="12">
        <v>0</v>
      </c>
      <c r="P281" s="12">
        <v>449579.84</v>
      </c>
      <c r="Q281" s="12">
        <v>213250</v>
      </c>
      <c r="R281" s="12">
        <v>236329.84</v>
      </c>
      <c r="S281" s="12">
        <v>0</v>
      </c>
      <c r="T281" s="12">
        <v>4</v>
      </c>
      <c r="U281" s="12">
        <v>0</v>
      </c>
      <c r="V281" s="12">
        <v>0</v>
      </c>
      <c r="W281" s="35">
        <v>46144.261731053244</v>
      </c>
      <c r="X281" s="12">
        <v>1</v>
      </c>
      <c r="Y281" s="12">
        <v>1</v>
      </c>
      <c r="Z281" s="12">
        <v>239495.8</v>
      </c>
      <c r="AA281" s="12">
        <v>239495.8</v>
      </c>
      <c r="AB281" s="12">
        <v>139920</v>
      </c>
      <c r="AC281" s="12">
        <v>99575.8</v>
      </c>
      <c r="AD281" s="12">
        <v>3</v>
      </c>
      <c r="AE281" s="12">
        <v>3</v>
      </c>
      <c r="AF281" s="12">
        <v>210084.04</v>
      </c>
      <c r="AG281" s="12">
        <v>70028.013000000006</v>
      </c>
      <c r="AH281" s="12">
        <v>73330</v>
      </c>
      <c r="AI281" s="12">
        <v>136754.04</v>
      </c>
      <c r="AJ281" s="12"/>
      <c r="AK281" s="12"/>
      <c r="AL281" s="12"/>
      <c r="AM281" s="12"/>
      <c r="AN281" s="12"/>
      <c r="AO281" s="12"/>
      <c r="AP281" s="12">
        <v>449579.84</v>
      </c>
      <c r="AQ281" s="12">
        <v>4</v>
      </c>
      <c r="AR281" s="12">
        <v>112394.96</v>
      </c>
      <c r="AS281" s="12">
        <v>213250</v>
      </c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>
        <v>384</v>
      </c>
      <c r="BG281" s="12">
        <v>0</v>
      </c>
      <c r="BH281" s="12">
        <v>0</v>
      </c>
      <c r="BI281" s="12">
        <v>111</v>
      </c>
      <c r="BJ281" s="12">
        <v>2</v>
      </c>
      <c r="BK281" s="12">
        <v>1.8018018018018018E-2</v>
      </c>
      <c r="BL281" s="12">
        <v>25</v>
      </c>
      <c r="BM281" s="12">
        <v>1</v>
      </c>
      <c r="BN281" s="12">
        <v>0.04</v>
      </c>
      <c r="BO281" s="12">
        <v>1</v>
      </c>
      <c r="BP281" s="12">
        <v>0</v>
      </c>
      <c r="BQ281" s="12">
        <v>0</v>
      </c>
      <c r="BR281" s="12">
        <v>55</v>
      </c>
      <c r="BS281" s="12">
        <v>1</v>
      </c>
      <c r="BT281" s="12">
        <v>1.8181818181818181E-2</v>
      </c>
      <c r="BU281" s="12">
        <v>576</v>
      </c>
      <c r="BV281" s="12">
        <v>4</v>
      </c>
      <c r="BW281" s="12">
        <v>6.9444444444444441E-3</v>
      </c>
      <c r="BX281" s="12"/>
      <c r="BY281" s="12"/>
      <c r="BZ281" s="12"/>
      <c r="CA281" s="12">
        <v>54198.49</v>
      </c>
      <c r="CB281" s="13"/>
      <c r="CC281" s="13"/>
      <c r="CD281" s="13"/>
      <c r="CE281" s="12">
        <v>4667</v>
      </c>
      <c r="CF281" s="12">
        <v>506</v>
      </c>
      <c r="CG281" s="13">
        <v>57053</v>
      </c>
      <c r="CH281" s="13">
        <v>171</v>
      </c>
      <c r="CI281" s="13">
        <v>26722</v>
      </c>
    </row>
    <row r="282" spans="2:87" x14ac:dyDescent="0.2">
      <c r="B282" s="5">
        <v>46055</v>
      </c>
      <c r="C282" s="12">
        <v>20</v>
      </c>
      <c r="D282" s="12">
        <v>1.6</v>
      </c>
      <c r="E282" s="12">
        <v>94642.857000000004</v>
      </c>
      <c r="F282" s="12">
        <v>0</v>
      </c>
      <c r="G282" s="12">
        <v>1892857.15</v>
      </c>
      <c r="H282" s="12">
        <v>0</v>
      </c>
      <c r="I282" s="12">
        <v>0</v>
      </c>
      <c r="J282" s="12">
        <v>1892857.15</v>
      </c>
      <c r="K282" s="12">
        <v>68000</v>
      </c>
      <c r="L282" s="12">
        <v>0</v>
      </c>
      <c r="M282" s="12">
        <v>359642.85</v>
      </c>
      <c r="N282" s="12">
        <v>2320500</v>
      </c>
      <c r="O282" s="12">
        <v>58823.53</v>
      </c>
      <c r="P282" s="12">
        <v>1834033.62</v>
      </c>
      <c r="Q282" s="12">
        <v>538695</v>
      </c>
      <c r="R282" s="12">
        <v>1295338.6200000001</v>
      </c>
      <c r="S282" s="12">
        <v>0</v>
      </c>
      <c r="T282" s="12">
        <v>31</v>
      </c>
      <c r="U282" s="12">
        <v>0</v>
      </c>
      <c r="V282" s="12">
        <v>0</v>
      </c>
      <c r="W282" s="35">
        <v>46144.261731053244</v>
      </c>
      <c r="X282" s="12">
        <v>5</v>
      </c>
      <c r="Y282" s="12">
        <v>7</v>
      </c>
      <c r="Z282" s="12">
        <v>447478.99</v>
      </c>
      <c r="AA282" s="12">
        <v>63925.57</v>
      </c>
      <c r="AB282" s="12">
        <v>118158</v>
      </c>
      <c r="AC282" s="12">
        <v>329320.99</v>
      </c>
      <c r="AD282" s="12">
        <v>13</v>
      </c>
      <c r="AE282" s="12">
        <v>13</v>
      </c>
      <c r="AF282" s="12">
        <v>1445378.16</v>
      </c>
      <c r="AG282" s="12">
        <v>111182.935</v>
      </c>
      <c r="AH282" s="12">
        <v>420537</v>
      </c>
      <c r="AI282" s="12">
        <v>966017.63</v>
      </c>
      <c r="AJ282" s="12"/>
      <c r="AK282" s="12"/>
      <c r="AL282" s="12"/>
      <c r="AM282" s="12"/>
      <c r="AN282" s="12"/>
      <c r="AO282" s="12"/>
      <c r="AP282" s="12">
        <v>525210.09</v>
      </c>
      <c r="AQ282" s="12">
        <v>4</v>
      </c>
      <c r="AR282" s="12">
        <v>131302.522</v>
      </c>
      <c r="AS282" s="12">
        <v>204370</v>
      </c>
      <c r="AT282" s="12">
        <v>1367647.06</v>
      </c>
      <c r="AU282" s="12">
        <v>16</v>
      </c>
      <c r="AV282" s="12">
        <v>85477.941000000006</v>
      </c>
      <c r="AW282" s="12">
        <v>334325</v>
      </c>
      <c r="AX282" s="12"/>
      <c r="AY282" s="12"/>
      <c r="AZ282" s="12"/>
      <c r="BA282" s="12"/>
      <c r="BB282" s="12"/>
      <c r="BC282" s="12"/>
      <c r="BD282" s="12"/>
      <c r="BE282" s="12"/>
      <c r="BF282" s="12">
        <v>370</v>
      </c>
      <c r="BG282" s="12">
        <v>0</v>
      </c>
      <c r="BH282" s="12">
        <v>0</v>
      </c>
      <c r="BI282" s="12">
        <v>78</v>
      </c>
      <c r="BJ282" s="12">
        <v>1</v>
      </c>
      <c r="BK282" s="12">
        <v>1.282051282051282E-2</v>
      </c>
      <c r="BL282" s="12">
        <v>37</v>
      </c>
      <c r="BM282" s="12">
        <v>2</v>
      </c>
      <c r="BN282" s="12">
        <v>5.4054054054054057E-2</v>
      </c>
      <c r="BO282" s="12">
        <v>1</v>
      </c>
      <c r="BP282" s="12">
        <v>0</v>
      </c>
      <c r="BQ282" s="12">
        <v>0</v>
      </c>
      <c r="BR282" s="12">
        <v>39</v>
      </c>
      <c r="BS282" s="12">
        <v>1</v>
      </c>
      <c r="BT282" s="12">
        <v>2.564102564102564E-2</v>
      </c>
      <c r="BU282" s="12">
        <v>525</v>
      </c>
      <c r="BV282" s="12">
        <v>4</v>
      </c>
      <c r="BW282" s="12">
        <v>7.619047619047619E-3</v>
      </c>
      <c r="BX282" s="12"/>
      <c r="BY282" s="12"/>
      <c r="BZ282" s="12"/>
      <c r="CA282" s="12">
        <v>69217.009999999995</v>
      </c>
      <c r="CB282" s="13"/>
      <c r="CC282" s="13"/>
      <c r="CD282" s="13"/>
      <c r="CE282" s="12">
        <v>4521</v>
      </c>
      <c r="CF282" s="12">
        <v>500</v>
      </c>
      <c r="CG282" s="13">
        <v>52104</v>
      </c>
      <c r="CH282" s="13">
        <v>144</v>
      </c>
      <c r="CI282" s="13">
        <v>24394</v>
      </c>
    </row>
    <row r="283" spans="2:87" x14ac:dyDescent="0.2">
      <c r="B283" s="5">
        <v>46056</v>
      </c>
      <c r="C283" s="12">
        <v>19</v>
      </c>
      <c r="D283" s="12">
        <v>2</v>
      </c>
      <c r="E283" s="12">
        <v>137214.06400000001</v>
      </c>
      <c r="F283" s="12">
        <v>0</v>
      </c>
      <c r="G283" s="12">
        <v>2611268.9</v>
      </c>
      <c r="H283" s="12">
        <v>-4201.68</v>
      </c>
      <c r="I283" s="12">
        <v>0</v>
      </c>
      <c r="J283" s="12">
        <v>2607067.2200000002</v>
      </c>
      <c r="K283" s="12">
        <v>52000</v>
      </c>
      <c r="L283" s="12">
        <v>0</v>
      </c>
      <c r="M283" s="12">
        <v>478432.78</v>
      </c>
      <c r="N283" s="12">
        <v>3137500</v>
      </c>
      <c r="O283" s="12">
        <v>29411.759999999998</v>
      </c>
      <c r="P283" s="12">
        <v>2577655.46</v>
      </c>
      <c r="Q283" s="12">
        <v>782412</v>
      </c>
      <c r="R283" s="12">
        <v>1795243.46</v>
      </c>
      <c r="S283" s="12">
        <v>0</v>
      </c>
      <c r="T283" s="12">
        <v>38</v>
      </c>
      <c r="U283" s="12">
        <v>0</v>
      </c>
      <c r="V283" s="12">
        <v>0</v>
      </c>
      <c r="W283" s="35">
        <v>46144.261731053244</v>
      </c>
      <c r="X283" s="12">
        <v>10</v>
      </c>
      <c r="Y283" s="12">
        <v>12</v>
      </c>
      <c r="Z283" s="12">
        <v>1554966.38</v>
      </c>
      <c r="AA283" s="12">
        <v>129580.531</v>
      </c>
      <c r="AB283" s="12">
        <v>456424</v>
      </c>
      <c r="AC283" s="12">
        <v>1069130.6200000001</v>
      </c>
      <c r="AD283" s="12">
        <v>7</v>
      </c>
      <c r="AE283" s="12">
        <v>7</v>
      </c>
      <c r="AF283" s="12">
        <v>1052100.8400000001</v>
      </c>
      <c r="AG283" s="12">
        <v>150300.12</v>
      </c>
      <c r="AH283" s="12">
        <v>325988</v>
      </c>
      <c r="AI283" s="12">
        <v>726112.84</v>
      </c>
      <c r="AJ283" s="12"/>
      <c r="AK283" s="12"/>
      <c r="AL283" s="12"/>
      <c r="AM283" s="12"/>
      <c r="AN283" s="12"/>
      <c r="AO283" s="12"/>
      <c r="AP283" s="12">
        <v>835294.12</v>
      </c>
      <c r="AQ283" s="12">
        <v>7</v>
      </c>
      <c r="AR283" s="12">
        <v>119327.731</v>
      </c>
      <c r="AS283" s="12">
        <v>244547</v>
      </c>
      <c r="AT283" s="12">
        <v>1771773.1</v>
      </c>
      <c r="AU283" s="12">
        <v>12</v>
      </c>
      <c r="AV283" s="12">
        <v>147647.758</v>
      </c>
      <c r="AW283" s="12">
        <v>537865</v>
      </c>
      <c r="AX283" s="12"/>
      <c r="AY283" s="12"/>
      <c r="AZ283" s="12"/>
      <c r="BA283" s="12"/>
      <c r="BB283" s="12"/>
      <c r="BC283" s="12"/>
      <c r="BD283" s="12"/>
      <c r="BE283" s="12"/>
      <c r="BF283" s="12">
        <v>114</v>
      </c>
      <c r="BG283" s="12">
        <v>0</v>
      </c>
      <c r="BH283" s="12">
        <v>0</v>
      </c>
      <c r="BI283" s="12">
        <v>73</v>
      </c>
      <c r="BJ283" s="12">
        <v>1</v>
      </c>
      <c r="BK283" s="12">
        <v>1.3698630136986301E-2</v>
      </c>
      <c r="BL283" s="12">
        <v>47</v>
      </c>
      <c r="BM283" s="12">
        <v>2</v>
      </c>
      <c r="BN283" s="12">
        <v>4.2553191489361701E-2</v>
      </c>
      <c r="BO283" s="12">
        <v>1</v>
      </c>
      <c r="BP283" s="12">
        <v>0</v>
      </c>
      <c r="BQ283" s="12">
        <v>0</v>
      </c>
      <c r="BR283" s="12">
        <v>54</v>
      </c>
      <c r="BS283" s="12">
        <v>1</v>
      </c>
      <c r="BT283" s="12">
        <v>1.8518518518518517E-2</v>
      </c>
      <c r="BU283" s="12">
        <v>289</v>
      </c>
      <c r="BV283" s="12">
        <v>4</v>
      </c>
      <c r="BW283" s="12">
        <v>1.384083044982699E-2</v>
      </c>
      <c r="BX283" s="12"/>
      <c r="BY283" s="12"/>
      <c r="BZ283" s="12"/>
      <c r="CA283" s="12">
        <v>24641.56</v>
      </c>
      <c r="CB283" s="13"/>
      <c r="CC283" s="13"/>
      <c r="CD283" s="13"/>
      <c r="CE283" s="12">
        <v>1838</v>
      </c>
      <c r="CF283" s="12">
        <v>215</v>
      </c>
      <c r="CG283" s="13">
        <v>52445</v>
      </c>
      <c r="CH283" s="13">
        <v>104</v>
      </c>
      <c r="CI283" s="13">
        <v>22123</v>
      </c>
    </row>
    <row r="284" spans="2:87" x14ac:dyDescent="0.2">
      <c r="B284" s="5">
        <v>46057</v>
      </c>
      <c r="C284" s="12">
        <v>15</v>
      </c>
      <c r="D284" s="12">
        <v>1.8</v>
      </c>
      <c r="E284" s="12">
        <v>128291.317</v>
      </c>
      <c r="F284" s="12">
        <v>0</v>
      </c>
      <c r="G284" s="12">
        <v>1924369.76</v>
      </c>
      <c r="H284" s="12">
        <v>0</v>
      </c>
      <c r="I284" s="12">
        <v>0</v>
      </c>
      <c r="J284" s="12">
        <v>1924369.76</v>
      </c>
      <c r="K284" s="12">
        <v>68000</v>
      </c>
      <c r="L284" s="12">
        <v>0</v>
      </c>
      <c r="M284" s="12">
        <v>365630.24</v>
      </c>
      <c r="N284" s="12">
        <v>2358000</v>
      </c>
      <c r="O284" s="12">
        <v>0</v>
      </c>
      <c r="P284" s="12">
        <v>1924369.76</v>
      </c>
      <c r="Q284" s="12">
        <v>509380</v>
      </c>
      <c r="R284" s="12">
        <v>1414989.76</v>
      </c>
      <c r="S284" s="12">
        <v>0</v>
      </c>
      <c r="T284" s="12">
        <v>27</v>
      </c>
      <c r="U284" s="12">
        <v>0</v>
      </c>
      <c r="V284" s="12">
        <v>0</v>
      </c>
      <c r="W284" s="35">
        <v>46144.261731053244</v>
      </c>
      <c r="X284" s="12">
        <v>6</v>
      </c>
      <c r="Y284" s="12">
        <v>6</v>
      </c>
      <c r="Z284" s="12">
        <v>621848.74</v>
      </c>
      <c r="AA284" s="12">
        <v>103641.45600000001</v>
      </c>
      <c r="AB284" s="12">
        <v>156882</v>
      </c>
      <c r="AC284" s="12">
        <v>464966.74</v>
      </c>
      <c r="AD284" s="12">
        <v>9</v>
      </c>
      <c r="AE284" s="12">
        <v>9</v>
      </c>
      <c r="AF284" s="12">
        <v>1302521.02</v>
      </c>
      <c r="AG284" s="12">
        <v>144724.557</v>
      </c>
      <c r="AH284" s="12">
        <v>352498</v>
      </c>
      <c r="AI284" s="12">
        <v>950023.02</v>
      </c>
      <c r="AJ284" s="12"/>
      <c r="AK284" s="12"/>
      <c r="AL284" s="12"/>
      <c r="AM284" s="12"/>
      <c r="AN284" s="12"/>
      <c r="AO284" s="12"/>
      <c r="AP284" s="12">
        <v>1126050.43</v>
      </c>
      <c r="AQ284" s="12">
        <v>7</v>
      </c>
      <c r="AR284" s="12">
        <v>160864.34700000001</v>
      </c>
      <c r="AS284" s="12">
        <v>324769</v>
      </c>
      <c r="AT284" s="12">
        <v>798319.33</v>
      </c>
      <c r="AU284" s="12">
        <v>8</v>
      </c>
      <c r="AV284" s="12">
        <v>99789.915999999997</v>
      </c>
      <c r="AW284" s="12">
        <v>184611</v>
      </c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>
        <v>83</v>
      </c>
      <c r="BJ284" s="12">
        <v>2</v>
      </c>
      <c r="BK284" s="12">
        <v>2.4096385542168676E-2</v>
      </c>
      <c r="BL284" s="12">
        <v>32</v>
      </c>
      <c r="BM284" s="12">
        <v>2</v>
      </c>
      <c r="BN284" s="12">
        <v>6.25E-2</v>
      </c>
      <c r="BO284" s="12"/>
      <c r="BP284" s="12"/>
      <c r="BQ284" s="12"/>
      <c r="BR284" s="12">
        <v>32</v>
      </c>
      <c r="BS284" s="12">
        <v>3</v>
      </c>
      <c r="BT284" s="12">
        <v>9.375E-2</v>
      </c>
      <c r="BU284" s="12">
        <v>147</v>
      </c>
      <c r="BV284" s="12">
        <v>7</v>
      </c>
      <c r="BW284" s="12">
        <v>4.7619047619047616E-2</v>
      </c>
      <c r="BX284" s="12"/>
      <c r="BY284" s="12"/>
      <c r="BZ284" s="12"/>
      <c r="CA284" s="12">
        <v>31188.35</v>
      </c>
      <c r="CB284" s="13"/>
      <c r="CC284" s="13"/>
      <c r="CD284" s="13"/>
      <c r="CE284" s="12">
        <v>1018</v>
      </c>
      <c r="CF284" s="12">
        <v>117</v>
      </c>
      <c r="CG284" s="13">
        <v>50108</v>
      </c>
      <c r="CH284" s="13">
        <v>115</v>
      </c>
      <c r="CI284" s="13">
        <v>19363</v>
      </c>
    </row>
    <row r="285" spans="2:87" x14ac:dyDescent="0.2">
      <c r="B285" s="5">
        <v>46058</v>
      </c>
      <c r="C285" s="12">
        <v>21</v>
      </c>
      <c r="D285" s="12">
        <v>1.5</v>
      </c>
      <c r="E285" s="12">
        <v>101617.04700000001</v>
      </c>
      <c r="F285" s="12">
        <v>0</v>
      </c>
      <c r="G285" s="12">
        <v>2133958</v>
      </c>
      <c r="H285" s="12">
        <v>0</v>
      </c>
      <c r="I285" s="12">
        <v>0</v>
      </c>
      <c r="J285" s="12">
        <v>2133958</v>
      </c>
      <c r="K285" s="12">
        <v>28000</v>
      </c>
      <c r="L285" s="12">
        <v>0</v>
      </c>
      <c r="M285" s="12">
        <v>360042</v>
      </c>
      <c r="N285" s="12">
        <v>2522000</v>
      </c>
      <c r="O285" s="12">
        <v>140000</v>
      </c>
      <c r="P285" s="12">
        <v>1993958</v>
      </c>
      <c r="Q285" s="12">
        <v>525891</v>
      </c>
      <c r="R285" s="12">
        <v>1468067</v>
      </c>
      <c r="S285" s="12">
        <v>0</v>
      </c>
      <c r="T285" s="12">
        <v>31</v>
      </c>
      <c r="U285" s="12">
        <v>0</v>
      </c>
      <c r="V285" s="12">
        <v>0</v>
      </c>
      <c r="W285" s="35">
        <v>46144.261731053244</v>
      </c>
      <c r="X285" s="12">
        <v>7</v>
      </c>
      <c r="Y285" s="12">
        <v>11</v>
      </c>
      <c r="Z285" s="12">
        <v>1120008.42</v>
      </c>
      <c r="AA285" s="12">
        <v>101818.947</v>
      </c>
      <c r="AB285" s="12">
        <v>278539</v>
      </c>
      <c r="AC285" s="12">
        <v>841469.42</v>
      </c>
      <c r="AD285" s="12">
        <v>9</v>
      </c>
      <c r="AE285" s="12">
        <v>9</v>
      </c>
      <c r="AF285" s="12">
        <v>873949.58</v>
      </c>
      <c r="AG285" s="12">
        <v>97105.508000000002</v>
      </c>
      <c r="AH285" s="12">
        <v>247352</v>
      </c>
      <c r="AI285" s="12">
        <v>626597.57999999996</v>
      </c>
      <c r="AJ285" s="12">
        <v>1</v>
      </c>
      <c r="AK285" s="12">
        <v>1</v>
      </c>
      <c r="AL285" s="12">
        <v>140000</v>
      </c>
      <c r="AM285" s="12">
        <v>140000</v>
      </c>
      <c r="AN285" s="12">
        <v>0</v>
      </c>
      <c r="AO285" s="12">
        <v>0</v>
      </c>
      <c r="AP285" s="12">
        <v>785714.28</v>
      </c>
      <c r="AQ285" s="12">
        <v>4</v>
      </c>
      <c r="AR285" s="12">
        <v>196428.57</v>
      </c>
      <c r="AS285" s="12">
        <v>194511</v>
      </c>
      <c r="AT285" s="12">
        <v>1348243.72</v>
      </c>
      <c r="AU285" s="12">
        <v>17</v>
      </c>
      <c r="AV285" s="12">
        <v>79308.453999999998</v>
      </c>
      <c r="AW285" s="12">
        <v>331380</v>
      </c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>
        <v>89</v>
      </c>
      <c r="BJ285" s="12">
        <v>2</v>
      </c>
      <c r="BK285" s="12">
        <v>2.247191011235955E-2</v>
      </c>
      <c r="BL285" s="12">
        <v>32</v>
      </c>
      <c r="BM285" s="12">
        <v>0</v>
      </c>
      <c r="BN285" s="12">
        <v>0</v>
      </c>
      <c r="BO285" s="12"/>
      <c r="BP285" s="12"/>
      <c r="BQ285" s="12"/>
      <c r="BR285" s="12">
        <v>74</v>
      </c>
      <c r="BS285" s="12">
        <v>2</v>
      </c>
      <c r="BT285" s="12">
        <v>2.7027027027027029E-2</v>
      </c>
      <c r="BU285" s="12">
        <v>195</v>
      </c>
      <c r="BV285" s="12">
        <v>4</v>
      </c>
      <c r="BW285" s="12">
        <v>2.0512820512820513E-2</v>
      </c>
      <c r="BX285" s="12"/>
      <c r="BY285" s="12"/>
      <c r="BZ285" s="12"/>
      <c r="CA285" s="12">
        <v>20075.669999999998</v>
      </c>
      <c r="CB285" s="13"/>
      <c r="CC285" s="13"/>
      <c r="CD285" s="13"/>
      <c r="CE285" s="12">
        <v>1015</v>
      </c>
      <c r="CF285" s="12">
        <v>86</v>
      </c>
      <c r="CG285" s="13">
        <v>47483</v>
      </c>
      <c r="CH285" s="13">
        <v>130</v>
      </c>
      <c r="CI285" s="13">
        <v>20088</v>
      </c>
    </row>
    <row r="286" spans="2:87" x14ac:dyDescent="0.2">
      <c r="B286" s="5">
        <v>46059</v>
      </c>
      <c r="C286" s="12">
        <v>18</v>
      </c>
      <c r="D286" s="12">
        <v>1.8</v>
      </c>
      <c r="E286" s="12">
        <v>113459.849</v>
      </c>
      <c r="F286" s="12">
        <v>0</v>
      </c>
      <c r="G286" s="12">
        <v>2042277.29</v>
      </c>
      <c r="H286" s="12">
        <v>0</v>
      </c>
      <c r="I286" s="12">
        <v>0</v>
      </c>
      <c r="J286" s="12">
        <v>2042277.29</v>
      </c>
      <c r="K286" s="12">
        <v>60000</v>
      </c>
      <c r="L286" s="12">
        <v>0</v>
      </c>
      <c r="M286" s="12">
        <v>378722.71</v>
      </c>
      <c r="N286" s="12">
        <v>2481000</v>
      </c>
      <c r="O286" s="12">
        <v>46218.49</v>
      </c>
      <c r="P286" s="12">
        <v>1996058.8</v>
      </c>
      <c r="Q286" s="12">
        <v>491791</v>
      </c>
      <c r="R286" s="12">
        <v>1504267.8</v>
      </c>
      <c r="S286" s="12">
        <v>0</v>
      </c>
      <c r="T286" s="12">
        <v>33</v>
      </c>
      <c r="U286" s="12">
        <v>0</v>
      </c>
      <c r="V286" s="12">
        <v>0</v>
      </c>
      <c r="W286" s="35">
        <v>46144.261731053244</v>
      </c>
      <c r="X286" s="12">
        <v>9</v>
      </c>
      <c r="Y286" s="12">
        <v>11</v>
      </c>
      <c r="Z286" s="12">
        <v>1084294.1000000001</v>
      </c>
      <c r="AA286" s="12">
        <v>98572.19</v>
      </c>
      <c r="AB286" s="12">
        <v>265600</v>
      </c>
      <c r="AC286" s="12">
        <v>772475.61</v>
      </c>
      <c r="AD286" s="12">
        <v>6</v>
      </c>
      <c r="AE286" s="12">
        <v>6</v>
      </c>
      <c r="AF286" s="12">
        <v>873949.58</v>
      </c>
      <c r="AG286" s="12">
        <v>145658.26300000001</v>
      </c>
      <c r="AH286" s="12">
        <v>212989</v>
      </c>
      <c r="AI286" s="12">
        <v>660960.57999999996</v>
      </c>
      <c r="AJ286" s="12">
        <v>1</v>
      </c>
      <c r="AK286" s="12">
        <v>1</v>
      </c>
      <c r="AL286" s="12">
        <v>84033.61</v>
      </c>
      <c r="AM286" s="12">
        <v>84033.61</v>
      </c>
      <c r="AN286" s="12">
        <v>13202</v>
      </c>
      <c r="AO286" s="12">
        <v>70831.61</v>
      </c>
      <c r="AP286" s="12">
        <v>798319.32</v>
      </c>
      <c r="AQ286" s="12">
        <v>5</v>
      </c>
      <c r="AR286" s="12">
        <v>159663.864</v>
      </c>
      <c r="AS286" s="12">
        <v>192209</v>
      </c>
      <c r="AT286" s="12">
        <v>1243957.97</v>
      </c>
      <c r="AU286" s="12">
        <v>13</v>
      </c>
      <c r="AV286" s="12">
        <v>95689.073999999993</v>
      </c>
      <c r="AW286" s="12">
        <v>299582</v>
      </c>
      <c r="AX286" s="12"/>
      <c r="AY286" s="12"/>
      <c r="AZ286" s="12"/>
      <c r="BA286" s="12"/>
      <c r="BB286" s="12"/>
      <c r="BC286" s="12"/>
      <c r="BD286" s="12"/>
      <c r="BE286" s="12"/>
      <c r="BF286" s="12">
        <v>3</v>
      </c>
      <c r="BG286" s="12">
        <v>0</v>
      </c>
      <c r="BH286" s="12">
        <v>0</v>
      </c>
      <c r="BI286" s="12">
        <v>81</v>
      </c>
      <c r="BJ286" s="12">
        <v>0</v>
      </c>
      <c r="BK286" s="12">
        <v>0</v>
      </c>
      <c r="BL286" s="12">
        <v>30</v>
      </c>
      <c r="BM286" s="12">
        <v>1</v>
      </c>
      <c r="BN286" s="12">
        <v>3.3333333333333333E-2</v>
      </c>
      <c r="BO286" s="12"/>
      <c r="BP286" s="12"/>
      <c r="BQ286" s="12"/>
      <c r="BR286" s="12">
        <v>171</v>
      </c>
      <c r="BS286" s="12">
        <v>4</v>
      </c>
      <c r="BT286" s="12">
        <v>2.3391812865497075E-2</v>
      </c>
      <c r="BU286" s="12">
        <v>285</v>
      </c>
      <c r="BV286" s="12">
        <v>5</v>
      </c>
      <c r="BW286" s="12">
        <v>1.7543859649122806E-2</v>
      </c>
      <c r="BX286" s="12"/>
      <c r="BY286" s="12"/>
      <c r="BZ286" s="12"/>
      <c r="CA286" s="12">
        <v>32712.46</v>
      </c>
      <c r="CB286" s="13"/>
      <c r="CC286" s="13"/>
      <c r="CD286" s="13"/>
      <c r="CE286" s="12">
        <v>1095</v>
      </c>
      <c r="CF286" s="12">
        <v>119</v>
      </c>
      <c r="CG286" s="13">
        <v>52459</v>
      </c>
      <c r="CH286" s="13">
        <v>147</v>
      </c>
      <c r="CI286" s="13">
        <v>19648</v>
      </c>
    </row>
    <row r="287" spans="2:87" x14ac:dyDescent="0.2">
      <c r="B287" s="5">
        <v>46060</v>
      </c>
      <c r="C287" s="12">
        <v>16</v>
      </c>
      <c r="D287" s="12">
        <v>1.8</v>
      </c>
      <c r="E287" s="12">
        <v>118933.823</v>
      </c>
      <c r="F287" s="12">
        <v>0</v>
      </c>
      <c r="G287" s="12">
        <v>1902941.18</v>
      </c>
      <c r="H287" s="12">
        <v>0</v>
      </c>
      <c r="I287" s="12">
        <v>0</v>
      </c>
      <c r="J287" s="12">
        <v>1902941.18</v>
      </c>
      <c r="K287" s="12">
        <v>44000</v>
      </c>
      <c r="L287" s="12">
        <v>0</v>
      </c>
      <c r="M287" s="12">
        <v>361558.82</v>
      </c>
      <c r="N287" s="12">
        <v>2308500</v>
      </c>
      <c r="O287" s="12">
        <v>0</v>
      </c>
      <c r="P287" s="12">
        <v>1902941.18</v>
      </c>
      <c r="Q287" s="12">
        <v>471929</v>
      </c>
      <c r="R287" s="12">
        <v>1431012.18</v>
      </c>
      <c r="S287" s="12">
        <v>0</v>
      </c>
      <c r="T287" s="12">
        <v>29</v>
      </c>
      <c r="U287" s="12">
        <v>0</v>
      </c>
      <c r="V287" s="12">
        <v>0</v>
      </c>
      <c r="W287" s="35">
        <v>46144.261731053244</v>
      </c>
      <c r="X287" s="12">
        <v>6</v>
      </c>
      <c r="Y287" s="12">
        <v>10</v>
      </c>
      <c r="Z287" s="12">
        <v>1314705.8899999999</v>
      </c>
      <c r="AA287" s="12">
        <v>131470.58900000001</v>
      </c>
      <c r="AB287" s="12">
        <v>322072</v>
      </c>
      <c r="AC287" s="12">
        <v>992633.89</v>
      </c>
      <c r="AD287" s="12">
        <v>5</v>
      </c>
      <c r="AE287" s="12">
        <v>5</v>
      </c>
      <c r="AF287" s="12">
        <v>512605.04</v>
      </c>
      <c r="AG287" s="12">
        <v>102521.008</v>
      </c>
      <c r="AH287" s="12">
        <v>132090</v>
      </c>
      <c r="AI287" s="12">
        <v>380515.04</v>
      </c>
      <c r="AJ287" s="12">
        <v>1</v>
      </c>
      <c r="AK287" s="12">
        <v>1</v>
      </c>
      <c r="AL287" s="12">
        <v>75630.25</v>
      </c>
      <c r="AM287" s="12">
        <v>75630.25</v>
      </c>
      <c r="AN287" s="12">
        <v>17767</v>
      </c>
      <c r="AO287" s="12">
        <v>57863.25</v>
      </c>
      <c r="AP287" s="12">
        <v>394957.98</v>
      </c>
      <c r="AQ287" s="12">
        <v>3</v>
      </c>
      <c r="AR287" s="12">
        <v>131652.66</v>
      </c>
      <c r="AS287" s="12">
        <v>90980</v>
      </c>
      <c r="AT287" s="12">
        <v>1507983.2</v>
      </c>
      <c r="AU287" s="12">
        <v>13</v>
      </c>
      <c r="AV287" s="12">
        <v>115998.70699999999</v>
      </c>
      <c r="AW287" s="12">
        <v>380949</v>
      </c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>
        <v>90</v>
      </c>
      <c r="BJ287" s="12">
        <v>0</v>
      </c>
      <c r="BK287" s="12">
        <v>0</v>
      </c>
      <c r="BL287" s="12">
        <v>30</v>
      </c>
      <c r="BM287" s="12">
        <v>1</v>
      </c>
      <c r="BN287" s="12">
        <v>3.3333333333333333E-2</v>
      </c>
      <c r="BO287" s="12"/>
      <c r="BP287" s="12"/>
      <c r="BQ287" s="12"/>
      <c r="BR287" s="12">
        <v>55</v>
      </c>
      <c r="BS287" s="12">
        <v>2</v>
      </c>
      <c r="BT287" s="12">
        <v>3.6363636363636362E-2</v>
      </c>
      <c r="BU287" s="12">
        <v>175</v>
      </c>
      <c r="BV287" s="12">
        <v>3</v>
      </c>
      <c r="BW287" s="12">
        <v>1.7142857142857144E-2</v>
      </c>
      <c r="BX287" s="12"/>
      <c r="BY287" s="12"/>
      <c r="BZ287" s="12"/>
      <c r="CA287" s="12">
        <v>22324.76</v>
      </c>
      <c r="CB287" s="13"/>
      <c r="CC287" s="13"/>
      <c r="CD287" s="13"/>
      <c r="CE287" s="12">
        <v>1226</v>
      </c>
      <c r="CF287" s="12">
        <v>106</v>
      </c>
      <c r="CG287" s="13">
        <v>49917</v>
      </c>
      <c r="CH287" s="13">
        <v>141</v>
      </c>
      <c r="CI287" s="13">
        <v>20188</v>
      </c>
    </row>
    <row r="288" spans="2:87" x14ac:dyDescent="0.2">
      <c r="B288" s="5">
        <v>46061</v>
      </c>
      <c r="C288" s="12">
        <v>3</v>
      </c>
      <c r="D288" s="12">
        <v>1</v>
      </c>
      <c r="E288" s="12">
        <v>75630.252999999997</v>
      </c>
      <c r="F288" s="12">
        <v>0</v>
      </c>
      <c r="G288" s="12">
        <v>226890.76</v>
      </c>
      <c r="H288" s="12">
        <v>0</v>
      </c>
      <c r="I288" s="12">
        <v>0</v>
      </c>
      <c r="J288" s="12">
        <v>226890.76</v>
      </c>
      <c r="K288" s="12">
        <v>32000</v>
      </c>
      <c r="L288" s="12">
        <v>0</v>
      </c>
      <c r="M288" s="12">
        <v>43109.24</v>
      </c>
      <c r="N288" s="12">
        <v>302000</v>
      </c>
      <c r="O288" s="12">
        <v>0</v>
      </c>
      <c r="P288" s="12">
        <v>226890.76</v>
      </c>
      <c r="Q288" s="12">
        <v>67098</v>
      </c>
      <c r="R288" s="12">
        <v>159792.76</v>
      </c>
      <c r="S288" s="12">
        <v>0</v>
      </c>
      <c r="T288" s="12">
        <v>3</v>
      </c>
      <c r="U288" s="12">
        <v>0</v>
      </c>
      <c r="V288" s="12">
        <v>0</v>
      </c>
      <c r="W288" s="35">
        <v>46144.261731053244</v>
      </c>
      <c r="X288" s="12">
        <v>3</v>
      </c>
      <c r="Y288" s="12">
        <v>3</v>
      </c>
      <c r="Z288" s="12">
        <v>226890.76</v>
      </c>
      <c r="AA288" s="12">
        <v>75630.252999999997</v>
      </c>
      <c r="AB288" s="12">
        <v>67098</v>
      </c>
      <c r="AC288" s="12">
        <v>159792.76</v>
      </c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>
        <v>226890.76</v>
      </c>
      <c r="AQ288" s="12">
        <v>3</v>
      </c>
      <c r="AR288" s="12">
        <v>75630.252999999997</v>
      </c>
      <c r="AS288" s="12">
        <v>67098</v>
      </c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>
        <v>2</v>
      </c>
      <c r="BG288" s="12">
        <v>0</v>
      </c>
      <c r="BH288" s="12">
        <v>0</v>
      </c>
      <c r="BI288" s="12">
        <v>101</v>
      </c>
      <c r="BJ288" s="12">
        <v>0</v>
      </c>
      <c r="BK288" s="12">
        <v>0</v>
      </c>
      <c r="BL288" s="12">
        <v>26</v>
      </c>
      <c r="BM288" s="12">
        <v>1</v>
      </c>
      <c r="BN288" s="12">
        <v>3.8461538461538464E-2</v>
      </c>
      <c r="BO288" s="12"/>
      <c r="BP288" s="12"/>
      <c r="BQ288" s="12"/>
      <c r="BR288" s="12">
        <v>45</v>
      </c>
      <c r="BS288" s="12">
        <v>2</v>
      </c>
      <c r="BT288" s="12">
        <v>4.4444444444444446E-2</v>
      </c>
      <c r="BU288" s="12">
        <v>174</v>
      </c>
      <c r="BV288" s="12">
        <v>3</v>
      </c>
      <c r="BW288" s="12">
        <v>1.7241379310344827E-2</v>
      </c>
      <c r="BX288" s="12"/>
      <c r="BY288" s="12"/>
      <c r="BZ288" s="12"/>
      <c r="CA288" s="12">
        <v>22046.48</v>
      </c>
      <c r="CB288" s="13"/>
      <c r="CC288" s="13"/>
      <c r="CD288" s="13"/>
      <c r="CE288" s="12">
        <v>1178</v>
      </c>
      <c r="CF288" s="12">
        <v>100</v>
      </c>
      <c r="CG288" s="13">
        <v>53919</v>
      </c>
      <c r="CH288" s="13">
        <v>182</v>
      </c>
      <c r="CI288" s="13">
        <v>22274</v>
      </c>
    </row>
    <row r="289" spans="2:87" x14ac:dyDescent="0.2">
      <c r="B289" s="5">
        <v>46062</v>
      </c>
      <c r="C289" s="12">
        <v>18</v>
      </c>
      <c r="D289" s="12">
        <v>1.7</v>
      </c>
      <c r="E289" s="12">
        <v>110550.887</v>
      </c>
      <c r="F289" s="12">
        <v>0</v>
      </c>
      <c r="G289" s="12">
        <v>1989915.98</v>
      </c>
      <c r="H289" s="12">
        <v>0</v>
      </c>
      <c r="I289" s="12">
        <v>0</v>
      </c>
      <c r="J289" s="12">
        <v>1989915.98</v>
      </c>
      <c r="K289" s="12">
        <v>28000</v>
      </c>
      <c r="L289" s="12">
        <v>0</v>
      </c>
      <c r="M289" s="12">
        <v>378084.02</v>
      </c>
      <c r="N289" s="12">
        <v>2396000</v>
      </c>
      <c r="O289" s="12">
        <v>0</v>
      </c>
      <c r="P289" s="12">
        <v>1989915.98</v>
      </c>
      <c r="Q289" s="12">
        <v>518108</v>
      </c>
      <c r="R289" s="12">
        <v>1471807.98</v>
      </c>
      <c r="S289" s="12">
        <v>0</v>
      </c>
      <c r="T289" s="12">
        <v>31</v>
      </c>
      <c r="U289" s="12">
        <v>0</v>
      </c>
      <c r="V289" s="12">
        <v>0</v>
      </c>
      <c r="W289" s="35">
        <v>46144.261731053244</v>
      </c>
      <c r="X289" s="12">
        <v>5</v>
      </c>
      <c r="Y289" s="12">
        <v>7</v>
      </c>
      <c r="Z289" s="12">
        <v>789915.97</v>
      </c>
      <c r="AA289" s="12">
        <v>112845.13800000001</v>
      </c>
      <c r="AB289" s="12">
        <v>164678</v>
      </c>
      <c r="AC289" s="12">
        <v>625237.97</v>
      </c>
      <c r="AD289" s="12">
        <v>10</v>
      </c>
      <c r="AE289" s="12">
        <v>10</v>
      </c>
      <c r="AF289" s="12">
        <v>1149579.8400000001</v>
      </c>
      <c r="AG289" s="12">
        <v>114957.984</v>
      </c>
      <c r="AH289" s="12">
        <v>344235</v>
      </c>
      <c r="AI289" s="12">
        <v>805344.84</v>
      </c>
      <c r="AJ289" s="12">
        <v>1</v>
      </c>
      <c r="AK289" s="12">
        <v>1</v>
      </c>
      <c r="AL289" s="12">
        <v>50420.17</v>
      </c>
      <c r="AM289" s="12">
        <v>50420.17</v>
      </c>
      <c r="AN289" s="12">
        <v>9195</v>
      </c>
      <c r="AO289" s="12">
        <v>41225.17</v>
      </c>
      <c r="AP289" s="12">
        <v>592436.98</v>
      </c>
      <c r="AQ289" s="12">
        <v>6</v>
      </c>
      <c r="AR289" s="12">
        <v>98739.495999999999</v>
      </c>
      <c r="AS289" s="12">
        <v>179872</v>
      </c>
      <c r="AT289" s="12">
        <v>1397479</v>
      </c>
      <c r="AU289" s="12">
        <v>12</v>
      </c>
      <c r="AV289" s="12">
        <v>116456.583</v>
      </c>
      <c r="AW289" s="12">
        <v>338236</v>
      </c>
      <c r="AX289" s="12"/>
      <c r="AY289" s="12"/>
      <c r="AZ289" s="12"/>
      <c r="BA289" s="12"/>
      <c r="BB289" s="12"/>
      <c r="BC289" s="12"/>
      <c r="BD289" s="12"/>
      <c r="BE289" s="12"/>
      <c r="BF289" s="12">
        <v>1</v>
      </c>
      <c r="BG289" s="12">
        <v>0</v>
      </c>
      <c r="BH289" s="12">
        <v>0</v>
      </c>
      <c r="BI289" s="12">
        <v>94</v>
      </c>
      <c r="BJ289" s="12">
        <v>1</v>
      </c>
      <c r="BK289" s="12">
        <v>1.0638297872340425E-2</v>
      </c>
      <c r="BL289" s="12">
        <v>34</v>
      </c>
      <c r="BM289" s="12">
        <v>2</v>
      </c>
      <c r="BN289" s="12">
        <v>5.8823529411764705E-2</v>
      </c>
      <c r="BO289" s="12"/>
      <c r="BP289" s="12"/>
      <c r="BQ289" s="12"/>
      <c r="BR289" s="12">
        <v>49</v>
      </c>
      <c r="BS289" s="12">
        <v>3</v>
      </c>
      <c r="BT289" s="12">
        <v>6.1224489795918366E-2</v>
      </c>
      <c r="BU289" s="12">
        <v>178</v>
      </c>
      <c r="BV289" s="12">
        <v>6</v>
      </c>
      <c r="BW289" s="12">
        <v>3.3707865168539325E-2</v>
      </c>
      <c r="BX289" s="12"/>
      <c r="BY289" s="12"/>
      <c r="BZ289" s="12"/>
      <c r="CA289" s="12">
        <v>24583.08</v>
      </c>
      <c r="CB289" s="13"/>
      <c r="CC289" s="13"/>
      <c r="CD289" s="13"/>
      <c r="CE289" s="12">
        <v>1372</v>
      </c>
      <c r="CF289" s="12">
        <v>108</v>
      </c>
      <c r="CG289" s="13">
        <v>51836</v>
      </c>
      <c r="CH289" s="13">
        <v>151</v>
      </c>
      <c r="CI289" s="13">
        <v>19976</v>
      </c>
    </row>
    <row r="290" spans="2:87" x14ac:dyDescent="0.2">
      <c r="B290" s="5">
        <v>46063</v>
      </c>
      <c r="C290" s="12">
        <v>19</v>
      </c>
      <c r="D290" s="12">
        <v>2.2000000000000002</v>
      </c>
      <c r="E290" s="12">
        <v>141242.81299999999</v>
      </c>
      <c r="F290" s="12">
        <v>-1</v>
      </c>
      <c r="G290" s="12">
        <v>2896050.42</v>
      </c>
      <c r="H290" s="12">
        <v>-120000</v>
      </c>
      <c r="I290" s="12">
        <v>-92436.97</v>
      </c>
      <c r="J290" s="12">
        <v>2683613.4500000002</v>
      </c>
      <c r="K290" s="12">
        <v>36000</v>
      </c>
      <c r="L290" s="12">
        <v>0</v>
      </c>
      <c r="M290" s="12">
        <v>509886.55</v>
      </c>
      <c r="N290" s="12">
        <v>3229500</v>
      </c>
      <c r="O290" s="12">
        <v>165546.22</v>
      </c>
      <c r="P290" s="12">
        <v>2518067.23</v>
      </c>
      <c r="Q290" s="12">
        <v>785922</v>
      </c>
      <c r="R290" s="12">
        <v>1732145.23</v>
      </c>
      <c r="S290" s="12">
        <v>0</v>
      </c>
      <c r="T290" s="12">
        <v>41</v>
      </c>
      <c r="U290" s="12">
        <v>0</v>
      </c>
      <c r="V290" s="12">
        <v>0</v>
      </c>
      <c r="W290" s="35">
        <v>46144.261731053244</v>
      </c>
      <c r="X290" s="12">
        <v>9</v>
      </c>
      <c r="Y290" s="12">
        <v>15</v>
      </c>
      <c r="Z290" s="12">
        <v>2099579.84</v>
      </c>
      <c r="AA290" s="12">
        <v>139971.989</v>
      </c>
      <c r="AB290" s="12">
        <v>601378</v>
      </c>
      <c r="AC290" s="12">
        <v>1332655.6200000001</v>
      </c>
      <c r="AD290" s="12">
        <v>4</v>
      </c>
      <c r="AE290" s="12">
        <v>4</v>
      </c>
      <c r="AF290" s="12">
        <v>584033.61</v>
      </c>
      <c r="AG290" s="12">
        <v>146008.402</v>
      </c>
      <c r="AH290" s="12">
        <v>184544</v>
      </c>
      <c r="AI290" s="12">
        <v>399489.61</v>
      </c>
      <c r="AJ290" s="12"/>
      <c r="AK290" s="12"/>
      <c r="AL290" s="12"/>
      <c r="AM290" s="12"/>
      <c r="AN290" s="12"/>
      <c r="AO290" s="12"/>
      <c r="AP290" s="12">
        <v>344537.81</v>
      </c>
      <c r="AQ290" s="12">
        <v>3</v>
      </c>
      <c r="AR290" s="12">
        <v>114845.936</v>
      </c>
      <c r="AS290" s="12">
        <v>186478</v>
      </c>
      <c r="AT290" s="12">
        <v>2339075.64</v>
      </c>
      <c r="AU290" s="12">
        <v>16</v>
      </c>
      <c r="AV290" s="12">
        <v>146192.22700000001</v>
      </c>
      <c r="AW290" s="12">
        <v>599444</v>
      </c>
      <c r="AX290" s="12"/>
      <c r="AY290" s="12"/>
      <c r="AZ290" s="12"/>
      <c r="BA290" s="12"/>
      <c r="BB290" s="12"/>
      <c r="BC290" s="12"/>
      <c r="BD290" s="12"/>
      <c r="BE290" s="12"/>
      <c r="BF290" s="12">
        <v>3</v>
      </c>
      <c r="BG290" s="12">
        <v>1</v>
      </c>
      <c r="BH290" s="12">
        <v>0.33333333333333331</v>
      </c>
      <c r="BI290" s="12">
        <v>77</v>
      </c>
      <c r="BJ290" s="12">
        <v>0</v>
      </c>
      <c r="BK290" s="12">
        <v>0</v>
      </c>
      <c r="BL290" s="12">
        <v>36</v>
      </c>
      <c r="BM290" s="12">
        <v>1</v>
      </c>
      <c r="BN290" s="12">
        <v>2.7777777777777776E-2</v>
      </c>
      <c r="BO290" s="12"/>
      <c r="BP290" s="12"/>
      <c r="BQ290" s="12"/>
      <c r="BR290" s="12">
        <v>45</v>
      </c>
      <c r="BS290" s="12">
        <v>2</v>
      </c>
      <c r="BT290" s="12">
        <v>4.4444444444444446E-2</v>
      </c>
      <c r="BU290" s="12">
        <v>161</v>
      </c>
      <c r="BV290" s="12">
        <v>4</v>
      </c>
      <c r="BW290" s="12">
        <v>2.4844720496894408E-2</v>
      </c>
      <c r="BX290" s="12"/>
      <c r="BY290" s="12"/>
      <c r="BZ290" s="12"/>
      <c r="CA290" s="12">
        <v>23433.55</v>
      </c>
      <c r="CB290" s="13"/>
      <c r="CC290" s="13"/>
      <c r="CD290" s="13"/>
      <c r="CE290" s="12">
        <v>1217</v>
      </c>
      <c r="CF290" s="12">
        <v>115</v>
      </c>
      <c r="CG290" s="13">
        <v>52150</v>
      </c>
      <c r="CH290" s="13">
        <v>129</v>
      </c>
      <c r="CI290" s="13">
        <v>18695</v>
      </c>
    </row>
    <row r="291" spans="2:87" x14ac:dyDescent="0.2">
      <c r="B291" s="5">
        <v>46064</v>
      </c>
      <c r="C291" s="12">
        <v>17</v>
      </c>
      <c r="D291" s="12">
        <v>2.2000000000000002</v>
      </c>
      <c r="E291" s="12">
        <v>162274.84</v>
      </c>
      <c r="F291" s="12">
        <v>0</v>
      </c>
      <c r="G291" s="12">
        <v>2775479.01</v>
      </c>
      <c r="H291" s="12">
        <v>-16806.72</v>
      </c>
      <c r="I291" s="12">
        <v>0</v>
      </c>
      <c r="J291" s="12">
        <v>2758672.29</v>
      </c>
      <c r="K291" s="12">
        <v>52000</v>
      </c>
      <c r="L291" s="12">
        <v>0</v>
      </c>
      <c r="M291" s="12">
        <v>509327.71</v>
      </c>
      <c r="N291" s="12">
        <v>3320000</v>
      </c>
      <c r="O291" s="12">
        <v>0</v>
      </c>
      <c r="P291" s="12">
        <v>2758672.29</v>
      </c>
      <c r="Q291" s="12">
        <v>658947</v>
      </c>
      <c r="R291" s="12">
        <v>2099725.29</v>
      </c>
      <c r="S291" s="12">
        <v>0</v>
      </c>
      <c r="T291" s="12">
        <v>37</v>
      </c>
      <c r="U291" s="12">
        <v>0</v>
      </c>
      <c r="V291" s="12">
        <v>0</v>
      </c>
      <c r="W291" s="35">
        <v>46144.261731053244</v>
      </c>
      <c r="X291" s="12">
        <v>9</v>
      </c>
      <c r="Y291" s="12">
        <v>9</v>
      </c>
      <c r="Z291" s="12">
        <v>1073798.33</v>
      </c>
      <c r="AA291" s="12">
        <v>119310.925</v>
      </c>
      <c r="AB291" s="12">
        <v>309656</v>
      </c>
      <c r="AC291" s="12">
        <v>764142.33</v>
      </c>
      <c r="AD291" s="12">
        <v>8</v>
      </c>
      <c r="AE291" s="12">
        <v>8</v>
      </c>
      <c r="AF291" s="12">
        <v>1684873.96</v>
      </c>
      <c r="AG291" s="12">
        <v>210609.245</v>
      </c>
      <c r="AH291" s="12">
        <v>349291</v>
      </c>
      <c r="AI291" s="12">
        <v>1335582.96</v>
      </c>
      <c r="AJ291" s="12"/>
      <c r="AK291" s="12"/>
      <c r="AL291" s="12"/>
      <c r="AM291" s="12"/>
      <c r="AN291" s="12"/>
      <c r="AO291" s="12"/>
      <c r="AP291" s="12">
        <v>226890.76</v>
      </c>
      <c r="AQ291" s="12">
        <v>2</v>
      </c>
      <c r="AR291" s="12">
        <v>113445.38</v>
      </c>
      <c r="AS291" s="12">
        <v>82904</v>
      </c>
      <c r="AT291" s="12">
        <v>2531781.5299999998</v>
      </c>
      <c r="AU291" s="12">
        <v>15</v>
      </c>
      <c r="AV291" s="12">
        <v>168785.435</v>
      </c>
      <c r="AW291" s="12">
        <v>576043</v>
      </c>
      <c r="AX291" s="12"/>
      <c r="AY291" s="12"/>
      <c r="AZ291" s="12"/>
      <c r="BA291" s="12"/>
      <c r="BB291" s="12"/>
      <c r="BC291" s="12"/>
      <c r="BD291" s="12"/>
      <c r="BE291" s="12"/>
      <c r="BF291" s="12">
        <v>2</v>
      </c>
      <c r="BG291" s="12">
        <v>0</v>
      </c>
      <c r="BH291" s="12">
        <v>0</v>
      </c>
      <c r="BI291" s="12">
        <v>93</v>
      </c>
      <c r="BJ291" s="12">
        <v>1</v>
      </c>
      <c r="BK291" s="12">
        <v>1.0752688172043012E-2</v>
      </c>
      <c r="BL291" s="12">
        <v>42</v>
      </c>
      <c r="BM291" s="12">
        <v>1</v>
      </c>
      <c r="BN291" s="12">
        <v>2.3809523809523808E-2</v>
      </c>
      <c r="BO291" s="12"/>
      <c r="BP291" s="12"/>
      <c r="BQ291" s="12"/>
      <c r="BR291" s="12">
        <v>65</v>
      </c>
      <c r="BS291" s="12">
        <v>1</v>
      </c>
      <c r="BT291" s="12">
        <v>1.5384615384615385E-2</v>
      </c>
      <c r="BU291" s="12">
        <v>202</v>
      </c>
      <c r="BV291" s="12">
        <v>3</v>
      </c>
      <c r="BW291" s="12">
        <v>1.4851485148514851E-2</v>
      </c>
      <c r="BX291" s="12"/>
      <c r="BY291" s="12"/>
      <c r="BZ291" s="12"/>
      <c r="CA291" s="12">
        <v>19941.580000000002</v>
      </c>
      <c r="CB291" s="13"/>
      <c r="CC291" s="13"/>
      <c r="CD291" s="13"/>
      <c r="CE291" s="12">
        <v>1251</v>
      </c>
      <c r="CF291" s="12">
        <v>105</v>
      </c>
      <c r="CG291" s="13">
        <v>52507</v>
      </c>
      <c r="CH291" s="13">
        <v>131</v>
      </c>
      <c r="CI291" s="13">
        <v>17694</v>
      </c>
    </row>
    <row r="292" spans="2:87" x14ac:dyDescent="0.2">
      <c r="B292" s="5">
        <v>46065</v>
      </c>
      <c r="C292" s="12">
        <v>21</v>
      </c>
      <c r="D292" s="12">
        <v>2.6</v>
      </c>
      <c r="E292" s="12">
        <v>158583.43299999999</v>
      </c>
      <c r="F292" s="12">
        <v>-4</v>
      </c>
      <c r="G292" s="12">
        <v>3530302.53</v>
      </c>
      <c r="H292" s="12">
        <v>-42016.81</v>
      </c>
      <c r="I292" s="12">
        <v>-298319.34000000003</v>
      </c>
      <c r="J292" s="12">
        <v>3189966.38</v>
      </c>
      <c r="K292" s="12">
        <v>24000</v>
      </c>
      <c r="L292" s="12">
        <v>0</v>
      </c>
      <c r="M292" s="12">
        <v>592033.62</v>
      </c>
      <c r="N292" s="12">
        <v>3806000</v>
      </c>
      <c r="O292" s="12">
        <v>0</v>
      </c>
      <c r="P292" s="12">
        <v>3189966.38</v>
      </c>
      <c r="Q292" s="12">
        <v>748151</v>
      </c>
      <c r="R292" s="12">
        <v>2441815.38</v>
      </c>
      <c r="S292" s="12">
        <v>300000</v>
      </c>
      <c r="T292" s="12">
        <v>53</v>
      </c>
      <c r="U292" s="12">
        <v>0</v>
      </c>
      <c r="V292" s="12">
        <v>300000</v>
      </c>
      <c r="W292" s="35">
        <v>46144.261731053244</v>
      </c>
      <c r="X292" s="12">
        <v>8</v>
      </c>
      <c r="Y292" s="12">
        <v>14</v>
      </c>
      <c r="Z292" s="12">
        <v>1921058.82</v>
      </c>
      <c r="AA292" s="12">
        <v>136134.454</v>
      </c>
      <c r="AB292" s="12">
        <v>445596</v>
      </c>
      <c r="AC292" s="12">
        <v>1475462.82</v>
      </c>
      <c r="AD292" s="12">
        <v>7</v>
      </c>
      <c r="AE292" s="12">
        <v>7</v>
      </c>
      <c r="AF292" s="12">
        <v>1268907.56</v>
      </c>
      <c r="AG292" s="12">
        <v>203481.39199999999</v>
      </c>
      <c r="AH292" s="12">
        <v>302555</v>
      </c>
      <c r="AI292" s="12">
        <v>966352.56</v>
      </c>
      <c r="AJ292" s="12"/>
      <c r="AK292" s="12"/>
      <c r="AL292" s="12"/>
      <c r="AM292" s="12"/>
      <c r="AN292" s="12"/>
      <c r="AO292" s="12"/>
      <c r="AP292" s="12">
        <v>1348739.49</v>
      </c>
      <c r="AQ292" s="12">
        <v>6</v>
      </c>
      <c r="AR292" s="12">
        <v>224789.91500000001</v>
      </c>
      <c r="AS292" s="12">
        <v>312400</v>
      </c>
      <c r="AT292" s="12">
        <v>1841226.89</v>
      </c>
      <c r="AU292" s="12">
        <v>15</v>
      </c>
      <c r="AV292" s="12">
        <v>132100.84099999999</v>
      </c>
      <c r="AW292" s="12">
        <v>435751</v>
      </c>
      <c r="AX292" s="12"/>
      <c r="AY292" s="12"/>
      <c r="AZ292" s="12"/>
      <c r="BA292" s="12"/>
      <c r="BB292" s="12"/>
      <c r="BC292" s="12"/>
      <c r="BD292" s="12"/>
      <c r="BE292" s="12"/>
      <c r="BF292" s="12">
        <v>5</v>
      </c>
      <c r="BG292" s="12">
        <v>0</v>
      </c>
      <c r="BH292" s="12">
        <v>0</v>
      </c>
      <c r="BI292" s="12">
        <v>79</v>
      </c>
      <c r="BJ292" s="12">
        <v>0</v>
      </c>
      <c r="BK292" s="12">
        <v>0</v>
      </c>
      <c r="BL292" s="12">
        <v>49</v>
      </c>
      <c r="BM292" s="12">
        <v>1</v>
      </c>
      <c r="BN292" s="12">
        <v>2.0408163265306121E-2</v>
      </c>
      <c r="BO292" s="12"/>
      <c r="BP292" s="12"/>
      <c r="BQ292" s="12"/>
      <c r="BR292" s="12">
        <v>93</v>
      </c>
      <c r="BS292" s="12">
        <v>2</v>
      </c>
      <c r="BT292" s="12">
        <v>2.1505376344086023E-2</v>
      </c>
      <c r="BU292" s="12">
        <v>226</v>
      </c>
      <c r="BV292" s="12">
        <v>3</v>
      </c>
      <c r="BW292" s="12">
        <v>1.3274336283185841E-2</v>
      </c>
      <c r="BX292" s="12"/>
      <c r="BY292" s="12"/>
      <c r="BZ292" s="12"/>
      <c r="CA292" s="12">
        <v>32290.84</v>
      </c>
      <c r="CB292" s="13"/>
      <c r="CC292" s="13"/>
      <c r="CD292" s="13"/>
      <c r="CE292" s="12">
        <v>1656</v>
      </c>
      <c r="CF292" s="12">
        <v>119</v>
      </c>
      <c r="CG292" s="13">
        <v>47973</v>
      </c>
      <c r="CH292" s="13">
        <v>127</v>
      </c>
      <c r="CI292" s="13">
        <v>17484</v>
      </c>
    </row>
    <row r="293" spans="2:87" x14ac:dyDescent="0.2">
      <c r="B293" s="5">
        <v>46066</v>
      </c>
      <c r="C293" s="12">
        <v>16</v>
      </c>
      <c r="D293" s="12">
        <v>2.2000000000000002</v>
      </c>
      <c r="E293" s="12">
        <v>94661.239000000001</v>
      </c>
      <c r="F293" s="12">
        <v>0</v>
      </c>
      <c r="G293" s="12">
        <v>1531386.55</v>
      </c>
      <c r="H293" s="12">
        <v>-16806.72</v>
      </c>
      <c r="I293" s="12">
        <v>0</v>
      </c>
      <c r="J293" s="12">
        <v>1514579.83</v>
      </c>
      <c r="K293" s="12">
        <v>28000</v>
      </c>
      <c r="L293" s="12">
        <v>0</v>
      </c>
      <c r="M293" s="12">
        <v>275420.17</v>
      </c>
      <c r="N293" s="12">
        <v>1818000</v>
      </c>
      <c r="O293" s="12">
        <v>0</v>
      </c>
      <c r="P293" s="12">
        <v>1514579.83</v>
      </c>
      <c r="Q293" s="12">
        <v>450617</v>
      </c>
      <c r="R293" s="12">
        <v>1063962.83</v>
      </c>
      <c r="S293" s="12">
        <v>0</v>
      </c>
      <c r="T293" s="12">
        <v>36</v>
      </c>
      <c r="U293" s="12">
        <v>0</v>
      </c>
      <c r="V293" s="12">
        <v>0</v>
      </c>
      <c r="W293" s="35">
        <v>46144.261731053244</v>
      </c>
      <c r="X293" s="12">
        <v>5</v>
      </c>
      <c r="Y293" s="12">
        <v>10</v>
      </c>
      <c r="Z293" s="12">
        <v>857563.02</v>
      </c>
      <c r="AA293" s="12">
        <v>85756.301999999996</v>
      </c>
      <c r="AB293" s="12">
        <v>215532</v>
      </c>
      <c r="AC293" s="12">
        <v>642031.02</v>
      </c>
      <c r="AD293" s="12">
        <v>5</v>
      </c>
      <c r="AE293" s="12">
        <v>5</v>
      </c>
      <c r="AF293" s="12">
        <v>653235.30000000005</v>
      </c>
      <c r="AG293" s="12">
        <v>130647.06</v>
      </c>
      <c r="AH293" s="12">
        <v>234421</v>
      </c>
      <c r="AI293" s="12">
        <v>418814.3</v>
      </c>
      <c r="AJ293" s="12">
        <v>1</v>
      </c>
      <c r="AK293" s="12">
        <v>1</v>
      </c>
      <c r="AL293" s="12">
        <v>3781.51</v>
      </c>
      <c r="AM293" s="12">
        <v>3781.51</v>
      </c>
      <c r="AN293" s="12">
        <v>664</v>
      </c>
      <c r="AO293" s="12">
        <v>3117.51</v>
      </c>
      <c r="AP293" s="12">
        <v>607016.81000000006</v>
      </c>
      <c r="AQ293" s="12">
        <v>4</v>
      </c>
      <c r="AR293" s="12">
        <v>151754.20199999999</v>
      </c>
      <c r="AS293" s="12">
        <v>212617</v>
      </c>
      <c r="AT293" s="12">
        <v>907563.02</v>
      </c>
      <c r="AU293" s="12">
        <v>12</v>
      </c>
      <c r="AV293" s="12">
        <v>75630.251000000004</v>
      </c>
      <c r="AW293" s="12">
        <v>238000</v>
      </c>
      <c r="AX293" s="12"/>
      <c r="AY293" s="12"/>
      <c r="AZ293" s="12"/>
      <c r="BA293" s="12"/>
      <c r="BB293" s="12"/>
      <c r="BC293" s="12"/>
      <c r="BD293" s="12"/>
      <c r="BE293" s="12"/>
      <c r="BF293" s="12">
        <v>9</v>
      </c>
      <c r="BG293" s="12">
        <v>0</v>
      </c>
      <c r="BH293" s="12">
        <v>0</v>
      </c>
      <c r="BI293" s="12">
        <v>83</v>
      </c>
      <c r="BJ293" s="12">
        <v>1</v>
      </c>
      <c r="BK293" s="12">
        <v>1.2048192771084338E-2</v>
      </c>
      <c r="BL293" s="12">
        <v>29</v>
      </c>
      <c r="BM293" s="12">
        <v>0</v>
      </c>
      <c r="BN293" s="12">
        <v>0</v>
      </c>
      <c r="BO293" s="12"/>
      <c r="BP293" s="12"/>
      <c r="BQ293" s="12"/>
      <c r="BR293" s="12">
        <v>31</v>
      </c>
      <c r="BS293" s="12">
        <v>1</v>
      </c>
      <c r="BT293" s="12">
        <v>3.2258064516129031E-2</v>
      </c>
      <c r="BU293" s="12">
        <v>152</v>
      </c>
      <c r="BV293" s="12">
        <v>2</v>
      </c>
      <c r="BW293" s="12">
        <v>1.3157894736842105E-2</v>
      </c>
      <c r="BX293" s="12"/>
      <c r="BY293" s="12"/>
      <c r="BZ293" s="12"/>
      <c r="CA293" s="12">
        <v>32588.61</v>
      </c>
      <c r="CB293" s="13"/>
      <c r="CC293" s="13"/>
      <c r="CD293" s="13"/>
      <c r="CE293" s="12">
        <v>1625</v>
      </c>
      <c r="CF293" s="12">
        <v>126</v>
      </c>
      <c r="CG293" s="13">
        <v>48475</v>
      </c>
      <c r="CH293" s="13">
        <v>111</v>
      </c>
      <c r="CI293" s="13">
        <v>17060</v>
      </c>
    </row>
    <row r="294" spans="2:87" x14ac:dyDescent="0.2">
      <c r="B294" s="5">
        <v>46067</v>
      </c>
      <c r="C294" s="12">
        <v>37</v>
      </c>
      <c r="D294" s="12">
        <v>2.2000000000000002</v>
      </c>
      <c r="E294" s="12">
        <v>137667.49900000001</v>
      </c>
      <c r="F294" s="12">
        <v>0</v>
      </c>
      <c r="G294" s="12">
        <v>5169327.68</v>
      </c>
      <c r="H294" s="12">
        <v>-75630.19</v>
      </c>
      <c r="I294" s="12">
        <v>0</v>
      </c>
      <c r="J294" s="12">
        <v>5093697.49</v>
      </c>
      <c r="K294" s="12">
        <v>44000</v>
      </c>
      <c r="L294" s="12">
        <v>0</v>
      </c>
      <c r="M294" s="12">
        <v>967802.51</v>
      </c>
      <c r="N294" s="12">
        <v>6105500</v>
      </c>
      <c r="O294" s="12">
        <v>0</v>
      </c>
      <c r="P294" s="12">
        <v>5093697.49</v>
      </c>
      <c r="Q294" s="12">
        <v>1205705</v>
      </c>
      <c r="R294" s="12">
        <v>3887992.49</v>
      </c>
      <c r="S294" s="12">
        <v>0</v>
      </c>
      <c r="T294" s="12">
        <v>83</v>
      </c>
      <c r="U294" s="12">
        <v>0</v>
      </c>
      <c r="V294" s="12">
        <v>0</v>
      </c>
      <c r="W294" s="35">
        <v>46144.261731053244</v>
      </c>
      <c r="X294" s="12">
        <v>13</v>
      </c>
      <c r="Y294" s="12">
        <v>19</v>
      </c>
      <c r="Z294" s="12">
        <v>2334453.7799999998</v>
      </c>
      <c r="AA294" s="12">
        <v>122865.988</v>
      </c>
      <c r="AB294" s="12">
        <v>540554</v>
      </c>
      <c r="AC294" s="12">
        <v>1793899.78</v>
      </c>
      <c r="AD294" s="12">
        <v>17</v>
      </c>
      <c r="AE294" s="12">
        <v>17</v>
      </c>
      <c r="AF294" s="12">
        <v>2704621.86</v>
      </c>
      <c r="AG294" s="12">
        <v>159095.40299999999</v>
      </c>
      <c r="AH294" s="12">
        <v>660355</v>
      </c>
      <c r="AI294" s="12">
        <v>2044266.86</v>
      </c>
      <c r="AJ294" s="12">
        <v>1</v>
      </c>
      <c r="AK294" s="12">
        <v>1</v>
      </c>
      <c r="AL294" s="12">
        <v>54621.85</v>
      </c>
      <c r="AM294" s="12">
        <v>54621.85</v>
      </c>
      <c r="AN294" s="12">
        <v>4796</v>
      </c>
      <c r="AO294" s="12">
        <v>49825.85</v>
      </c>
      <c r="AP294" s="12">
        <v>638655.44999999995</v>
      </c>
      <c r="AQ294" s="12">
        <v>4</v>
      </c>
      <c r="AR294" s="12">
        <v>159663.86199999999</v>
      </c>
      <c r="AS294" s="12">
        <v>140246</v>
      </c>
      <c r="AT294" s="12">
        <v>3707142.88</v>
      </c>
      <c r="AU294" s="12">
        <v>31</v>
      </c>
      <c r="AV294" s="12">
        <v>119585.254</v>
      </c>
      <c r="AW294" s="12">
        <v>922752</v>
      </c>
      <c r="AX294" s="12">
        <v>747899.16</v>
      </c>
      <c r="AY294" s="12">
        <v>2</v>
      </c>
      <c r="AZ294" s="12">
        <v>373949.58</v>
      </c>
      <c r="BA294" s="12">
        <v>142707</v>
      </c>
      <c r="BB294" s="12"/>
      <c r="BC294" s="12"/>
      <c r="BD294" s="12"/>
      <c r="BE294" s="12"/>
      <c r="BF294" s="12">
        <v>5</v>
      </c>
      <c r="BG294" s="12">
        <v>0</v>
      </c>
      <c r="BH294" s="12">
        <v>0</v>
      </c>
      <c r="BI294" s="12">
        <v>97</v>
      </c>
      <c r="BJ294" s="12">
        <v>1</v>
      </c>
      <c r="BK294" s="12">
        <v>1.0309278350515464E-2</v>
      </c>
      <c r="BL294" s="12">
        <v>36</v>
      </c>
      <c r="BM294" s="12">
        <v>1</v>
      </c>
      <c r="BN294" s="12">
        <v>2.7777777777777776E-2</v>
      </c>
      <c r="BO294" s="12"/>
      <c r="BP294" s="12"/>
      <c r="BQ294" s="12"/>
      <c r="BR294" s="12">
        <v>52</v>
      </c>
      <c r="BS294" s="12">
        <v>2</v>
      </c>
      <c r="BT294" s="12">
        <v>3.8461538461538464E-2</v>
      </c>
      <c r="BU294" s="12">
        <v>190</v>
      </c>
      <c r="BV294" s="12">
        <v>4</v>
      </c>
      <c r="BW294" s="12">
        <v>2.1052631578947368E-2</v>
      </c>
      <c r="BX294" s="12"/>
      <c r="BY294" s="12"/>
      <c r="BZ294" s="12"/>
      <c r="CA294" s="12">
        <v>27527.25</v>
      </c>
      <c r="CB294" s="13"/>
      <c r="CC294" s="13"/>
      <c r="CD294" s="13"/>
      <c r="CE294" s="12">
        <v>1466</v>
      </c>
      <c r="CF294" s="12">
        <v>142</v>
      </c>
      <c r="CG294" s="13">
        <v>55300</v>
      </c>
      <c r="CH294" s="13">
        <v>156</v>
      </c>
      <c r="CI294" s="13">
        <v>18707</v>
      </c>
    </row>
    <row r="295" spans="2:87" x14ac:dyDescent="0.2">
      <c r="B295" s="5">
        <v>46068</v>
      </c>
      <c r="C295" s="12">
        <v>3</v>
      </c>
      <c r="D295" s="12">
        <v>1</v>
      </c>
      <c r="E295" s="12">
        <v>86834.732999999993</v>
      </c>
      <c r="F295" s="12">
        <v>0</v>
      </c>
      <c r="G295" s="12">
        <v>260504.2</v>
      </c>
      <c r="H295" s="12">
        <v>0</v>
      </c>
      <c r="I295" s="12">
        <v>0</v>
      </c>
      <c r="J295" s="12">
        <v>260504.2</v>
      </c>
      <c r="K295" s="12">
        <v>36000</v>
      </c>
      <c r="L295" s="12">
        <v>0</v>
      </c>
      <c r="M295" s="12">
        <v>49495.8</v>
      </c>
      <c r="N295" s="12">
        <v>346000</v>
      </c>
      <c r="O295" s="12">
        <v>0</v>
      </c>
      <c r="P295" s="12">
        <v>260504.2</v>
      </c>
      <c r="Q295" s="12">
        <v>96507</v>
      </c>
      <c r="R295" s="12">
        <v>163997.20000000001</v>
      </c>
      <c r="S295" s="12">
        <v>0</v>
      </c>
      <c r="T295" s="12">
        <v>3</v>
      </c>
      <c r="U295" s="12">
        <v>0</v>
      </c>
      <c r="V295" s="12">
        <v>0</v>
      </c>
      <c r="W295" s="35">
        <v>46144.261731053244</v>
      </c>
      <c r="X295" s="12">
        <v>2</v>
      </c>
      <c r="Y295" s="12">
        <v>2</v>
      </c>
      <c r="Z295" s="12">
        <v>197478.99</v>
      </c>
      <c r="AA295" s="12">
        <v>98739.494999999995</v>
      </c>
      <c r="AB295" s="12">
        <v>75916</v>
      </c>
      <c r="AC295" s="12">
        <v>121562.99</v>
      </c>
      <c r="AD295" s="12">
        <v>1</v>
      </c>
      <c r="AE295" s="12">
        <v>1</v>
      </c>
      <c r="AF295" s="12">
        <v>63025.21</v>
      </c>
      <c r="AG295" s="12">
        <v>63025.21</v>
      </c>
      <c r="AH295" s="12">
        <v>20591</v>
      </c>
      <c r="AI295" s="12">
        <v>42434.21</v>
      </c>
      <c r="AJ295" s="12"/>
      <c r="AK295" s="12"/>
      <c r="AL295" s="12"/>
      <c r="AM295" s="12"/>
      <c r="AN295" s="12"/>
      <c r="AO295" s="12"/>
      <c r="AP295" s="12">
        <v>260504.2</v>
      </c>
      <c r="AQ295" s="12">
        <v>3</v>
      </c>
      <c r="AR295" s="12">
        <v>86834.732999999993</v>
      </c>
      <c r="AS295" s="12">
        <v>96507</v>
      </c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>
        <v>7</v>
      </c>
      <c r="BG295" s="12">
        <v>0</v>
      </c>
      <c r="BH295" s="12">
        <v>0</v>
      </c>
      <c r="BI295" s="12">
        <v>88</v>
      </c>
      <c r="BJ295" s="12">
        <v>0</v>
      </c>
      <c r="BK295" s="12">
        <v>0</v>
      </c>
      <c r="BL295" s="12">
        <v>20</v>
      </c>
      <c r="BM295" s="12">
        <v>1</v>
      </c>
      <c r="BN295" s="12">
        <v>0.05</v>
      </c>
      <c r="BO295" s="12"/>
      <c r="BP295" s="12"/>
      <c r="BQ295" s="12"/>
      <c r="BR295" s="12">
        <v>47</v>
      </c>
      <c r="BS295" s="12">
        <v>2</v>
      </c>
      <c r="BT295" s="12">
        <v>4.2553191489361701E-2</v>
      </c>
      <c r="BU295" s="12">
        <v>162</v>
      </c>
      <c r="BV295" s="12">
        <v>3</v>
      </c>
      <c r="BW295" s="12">
        <v>1.8518518518518517E-2</v>
      </c>
      <c r="BX295" s="12"/>
      <c r="BY295" s="12"/>
      <c r="BZ295" s="12"/>
      <c r="CA295" s="12">
        <v>24299.09</v>
      </c>
      <c r="CB295" s="13"/>
      <c r="CC295" s="13"/>
      <c r="CD295" s="13"/>
      <c r="CE295" s="12">
        <v>1241</v>
      </c>
      <c r="CF295" s="12">
        <v>117</v>
      </c>
      <c r="CG295" s="13">
        <v>53881</v>
      </c>
      <c r="CH295" s="13">
        <v>146</v>
      </c>
      <c r="CI295" s="13">
        <v>19882</v>
      </c>
    </row>
    <row r="296" spans="2:87" x14ac:dyDescent="0.2">
      <c r="B296" s="5">
        <v>46069</v>
      </c>
      <c r="C296" s="12">
        <v>22</v>
      </c>
      <c r="D296" s="12">
        <v>1.9</v>
      </c>
      <c r="E296" s="12">
        <v>127987.395</v>
      </c>
      <c r="F296" s="12">
        <v>0</v>
      </c>
      <c r="G296" s="12">
        <v>2815722.69</v>
      </c>
      <c r="H296" s="12">
        <v>0</v>
      </c>
      <c r="I296" s="12">
        <v>0</v>
      </c>
      <c r="J296" s="12">
        <v>2815722.69</v>
      </c>
      <c r="K296" s="12">
        <v>52000</v>
      </c>
      <c r="L296" s="12">
        <v>0</v>
      </c>
      <c r="M296" s="12">
        <v>504777.31</v>
      </c>
      <c r="N296" s="12">
        <v>3372500</v>
      </c>
      <c r="O296" s="12">
        <v>0</v>
      </c>
      <c r="P296" s="12">
        <v>2815722.69</v>
      </c>
      <c r="Q296" s="12">
        <v>825327</v>
      </c>
      <c r="R296" s="12">
        <v>1990395.69</v>
      </c>
      <c r="S296" s="12">
        <v>0</v>
      </c>
      <c r="T296" s="12">
        <v>41</v>
      </c>
      <c r="U296" s="12">
        <v>0</v>
      </c>
      <c r="V296" s="12">
        <v>0</v>
      </c>
      <c r="W296" s="35">
        <v>46144.261731053244</v>
      </c>
      <c r="X296" s="12">
        <v>13</v>
      </c>
      <c r="Y296" s="12">
        <v>14</v>
      </c>
      <c r="Z296" s="12">
        <v>1871352.95</v>
      </c>
      <c r="AA296" s="12">
        <v>133668.06700000001</v>
      </c>
      <c r="AB296" s="12">
        <v>479199</v>
      </c>
      <c r="AC296" s="12">
        <v>1392153.95</v>
      </c>
      <c r="AD296" s="12">
        <v>8</v>
      </c>
      <c r="AE296" s="12">
        <v>8</v>
      </c>
      <c r="AF296" s="12">
        <v>944369.74</v>
      </c>
      <c r="AG296" s="12">
        <v>118046.217</v>
      </c>
      <c r="AH296" s="12">
        <v>346128</v>
      </c>
      <c r="AI296" s="12">
        <v>598241.74</v>
      </c>
      <c r="AJ296" s="12"/>
      <c r="AK296" s="12"/>
      <c r="AL296" s="12"/>
      <c r="AM296" s="12"/>
      <c r="AN296" s="12"/>
      <c r="AO296" s="12"/>
      <c r="AP296" s="12">
        <v>882352.95</v>
      </c>
      <c r="AQ296" s="12">
        <v>5</v>
      </c>
      <c r="AR296" s="12">
        <v>176470.59</v>
      </c>
      <c r="AS296" s="12">
        <v>286076</v>
      </c>
      <c r="AT296" s="12">
        <v>1933369.74</v>
      </c>
      <c r="AU296" s="12">
        <v>17</v>
      </c>
      <c r="AV296" s="12">
        <v>113727.63099999999</v>
      </c>
      <c r="AW296" s="12">
        <v>539251</v>
      </c>
      <c r="AX296" s="12"/>
      <c r="AY296" s="12"/>
      <c r="AZ296" s="12"/>
      <c r="BA296" s="12"/>
      <c r="BB296" s="12"/>
      <c r="BC296" s="12"/>
      <c r="BD296" s="12"/>
      <c r="BE296" s="12"/>
      <c r="BF296" s="12">
        <v>400</v>
      </c>
      <c r="BG296" s="12">
        <v>0</v>
      </c>
      <c r="BH296" s="12">
        <v>0</v>
      </c>
      <c r="BI296" s="12">
        <v>74</v>
      </c>
      <c r="BJ296" s="12">
        <v>0</v>
      </c>
      <c r="BK296" s="12">
        <v>0</v>
      </c>
      <c r="BL296" s="12">
        <v>34</v>
      </c>
      <c r="BM296" s="12">
        <v>0</v>
      </c>
      <c r="BN296" s="12">
        <v>0</v>
      </c>
      <c r="BO296" s="12">
        <v>5</v>
      </c>
      <c r="BP296" s="12">
        <v>0</v>
      </c>
      <c r="BQ296" s="12">
        <v>0</v>
      </c>
      <c r="BR296" s="12">
        <v>58</v>
      </c>
      <c r="BS296" s="12">
        <v>7</v>
      </c>
      <c r="BT296" s="12">
        <v>0.1206896551724138</v>
      </c>
      <c r="BU296" s="12">
        <v>571</v>
      </c>
      <c r="BV296" s="12">
        <v>7</v>
      </c>
      <c r="BW296" s="12">
        <v>1.2259194395796848E-2</v>
      </c>
      <c r="BX296" s="12"/>
      <c r="BY296" s="12"/>
      <c r="BZ296" s="12"/>
      <c r="CA296" s="12">
        <v>72894.92</v>
      </c>
      <c r="CB296" s="13"/>
      <c r="CC296" s="13"/>
      <c r="CD296" s="13"/>
      <c r="CE296" s="12">
        <v>4142</v>
      </c>
      <c r="CF296" s="12">
        <v>493</v>
      </c>
      <c r="CG296" s="13">
        <v>50967</v>
      </c>
      <c r="CH296" s="13">
        <v>116</v>
      </c>
      <c r="CI296" s="13">
        <v>18556</v>
      </c>
    </row>
    <row r="297" spans="2:87" x14ac:dyDescent="0.2">
      <c r="B297" s="5">
        <v>46070</v>
      </c>
      <c r="C297" s="12">
        <v>28</v>
      </c>
      <c r="D297" s="12">
        <v>2.1</v>
      </c>
      <c r="E297" s="12">
        <v>185421.66800000001</v>
      </c>
      <c r="F297" s="12">
        <v>-1</v>
      </c>
      <c r="G297" s="12">
        <v>6024369.75</v>
      </c>
      <c r="H297" s="12">
        <v>-20798.310000000001</v>
      </c>
      <c r="I297" s="12">
        <v>-1777764.71</v>
      </c>
      <c r="J297" s="12">
        <v>4225806.7300000004</v>
      </c>
      <c r="K297" s="12">
        <v>40000</v>
      </c>
      <c r="L297" s="12">
        <v>0</v>
      </c>
      <c r="M297" s="12">
        <v>986443.27</v>
      </c>
      <c r="N297" s="12">
        <v>5252250</v>
      </c>
      <c r="O297" s="12">
        <v>0</v>
      </c>
      <c r="P297" s="12">
        <v>5191806.7300000004</v>
      </c>
      <c r="Q297" s="12">
        <v>1598547</v>
      </c>
      <c r="R297" s="12">
        <v>3593259.73</v>
      </c>
      <c r="S297" s="12">
        <v>0</v>
      </c>
      <c r="T297" s="12">
        <v>60</v>
      </c>
      <c r="U297" s="12">
        <v>0</v>
      </c>
      <c r="V297" s="12">
        <v>0</v>
      </c>
      <c r="W297" s="35">
        <v>46144.261731053244</v>
      </c>
      <c r="X297" s="12">
        <v>11</v>
      </c>
      <c r="Y297" s="12">
        <v>14</v>
      </c>
      <c r="Z297" s="12">
        <v>2434453.7799999998</v>
      </c>
      <c r="AA297" s="12">
        <v>173889.55499999999</v>
      </c>
      <c r="AB297" s="12">
        <v>731932</v>
      </c>
      <c r="AC297" s="12">
        <v>1702521.78</v>
      </c>
      <c r="AD297" s="12">
        <v>13</v>
      </c>
      <c r="AE297" s="12">
        <v>13</v>
      </c>
      <c r="AF297" s="12">
        <v>1690512.61</v>
      </c>
      <c r="AG297" s="12">
        <v>204347.12299999999</v>
      </c>
      <c r="AH297" s="12">
        <v>850130</v>
      </c>
      <c r="AI297" s="12">
        <v>1806382.61</v>
      </c>
      <c r="AJ297" s="12">
        <v>1</v>
      </c>
      <c r="AK297" s="12">
        <v>1</v>
      </c>
      <c r="AL297" s="12">
        <v>100840.34</v>
      </c>
      <c r="AM297" s="12">
        <v>100840.34</v>
      </c>
      <c r="AN297" s="12">
        <v>16485</v>
      </c>
      <c r="AO297" s="12">
        <v>84355.34</v>
      </c>
      <c r="AP297" s="12">
        <v>951016.81</v>
      </c>
      <c r="AQ297" s="12">
        <v>9</v>
      </c>
      <c r="AR297" s="12">
        <v>213001.867</v>
      </c>
      <c r="AS297" s="12">
        <v>719042</v>
      </c>
      <c r="AT297" s="12">
        <v>2124369.75</v>
      </c>
      <c r="AU297" s="12">
        <v>15</v>
      </c>
      <c r="AV297" s="12">
        <v>141624.65</v>
      </c>
      <c r="AW297" s="12">
        <v>467412</v>
      </c>
      <c r="AX297" s="12">
        <v>172268.91</v>
      </c>
      <c r="AY297" s="12">
        <v>3</v>
      </c>
      <c r="AZ297" s="12">
        <v>57422.97</v>
      </c>
      <c r="BA297" s="12">
        <v>27688</v>
      </c>
      <c r="BB297" s="12">
        <v>978151.26</v>
      </c>
      <c r="BC297" s="12">
        <v>1</v>
      </c>
      <c r="BD297" s="12">
        <v>978151.26</v>
      </c>
      <c r="BE297" s="12">
        <v>384405</v>
      </c>
      <c r="BF297" s="12">
        <v>1</v>
      </c>
      <c r="BG297" s="12">
        <v>0</v>
      </c>
      <c r="BH297" s="12">
        <v>0</v>
      </c>
      <c r="BI297" s="12">
        <v>81</v>
      </c>
      <c r="BJ297" s="12">
        <v>0</v>
      </c>
      <c r="BK297" s="12">
        <v>0</v>
      </c>
      <c r="BL297" s="12">
        <v>43</v>
      </c>
      <c r="BM297" s="12">
        <v>2</v>
      </c>
      <c r="BN297" s="12">
        <v>4.6511627906976744E-2</v>
      </c>
      <c r="BO297" s="12"/>
      <c r="BP297" s="12"/>
      <c r="BQ297" s="12"/>
      <c r="BR297" s="12">
        <v>91</v>
      </c>
      <c r="BS297" s="12">
        <v>7</v>
      </c>
      <c r="BT297" s="12">
        <v>7.6923076923076927E-2</v>
      </c>
      <c r="BU297" s="12">
        <v>216</v>
      </c>
      <c r="BV297" s="12">
        <v>9</v>
      </c>
      <c r="BW297" s="12">
        <v>4.1666666666666664E-2</v>
      </c>
      <c r="BX297" s="12"/>
      <c r="BY297" s="12"/>
      <c r="BZ297" s="12"/>
      <c r="CA297" s="12">
        <v>17897.990000000002</v>
      </c>
      <c r="CB297" s="13"/>
      <c r="CC297" s="13"/>
      <c r="CD297" s="13"/>
      <c r="CE297" s="12">
        <v>1105</v>
      </c>
      <c r="CF297" s="12">
        <v>125</v>
      </c>
      <c r="CG297" s="13">
        <v>51844</v>
      </c>
      <c r="CH297" s="13">
        <v>128</v>
      </c>
      <c r="CI297" s="13">
        <v>18540</v>
      </c>
    </row>
    <row r="298" spans="2:87" x14ac:dyDescent="0.2">
      <c r="B298" s="5">
        <v>46071</v>
      </c>
      <c r="C298" s="12">
        <v>17</v>
      </c>
      <c r="D298" s="12">
        <v>2.9</v>
      </c>
      <c r="E298" s="12">
        <v>200113.69399999999</v>
      </c>
      <c r="F298" s="12">
        <v>-4</v>
      </c>
      <c r="G298" s="12">
        <v>4384285.71</v>
      </c>
      <c r="H298" s="12">
        <v>-460252.07</v>
      </c>
      <c r="I298" s="12">
        <v>-395168.07</v>
      </c>
      <c r="J298" s="12">
        <v>3528865.57</v>
      </c>
      <c r="K298" s="12">
        <v>36000</v>
      </c>
      <c r="L298" s="12">
        <v>0</v>
      </c>
      <c r="M298" s="12">
        <v>657184.43000000005</v>
      </c>
      <c r="N298" s="12">
        <v>4222050</v>
      </c>
      <c r="O298" s="12">
        <v>0</v>
      </c>
      <c r="P298" s="12">
        <v>3528865.57</v>
      </c>
      <c r="Q298" s="12">
        <v>1440869</v>
      </c>
      <c r="R298" s="12">
        <v>2087996.57</v>
      </c>
      <c r="S298" s="12">
        <v>0</v>
      </c>
      <c r="T298" s="12">
        <v>49</v>
      </c>
      <c r="U298" s="12">
        <v>0</v>
      </c>
      <c r="V298" s="12">
        <v>0</v>
      </c>
      <c r="W298" s="35">
        <v>46144.261731053244</v>
      </c>
      <c r="X298" s="12">
        <v>5</v>
      </c>
      <c r="Y298" s="12">
        <v>7</v>
      </c>
      <c r="Z298" s="12">
        <v>757689.09</v>
      </c>
      <c r="AA298" s="12">
        <v>108241.298</v>
      </c>
      <c r="AB298" s="12">
        <v>199104</v>
      </c>
      <c r="AC298" s="12">
        <v>558585.09</v>
      </c>
      <c r="AD298" s="12">
        <v>10</v>
      </c>
      <c r="AE298" s="12">
        <v>10</v>
      </c>
      <c r="AF298" s="12">
        <v>2771176.48</v>
      </c>
      <c r="AG298" s="12">
        <v>264424.37099999998</v>
      </c>
      <c r="AH298" s="12">
        <v>1241765</v>
      </c>
      <c r="AI298" s="12">
        <v>1529411.48</v>
      </c>
      <c r="AJ298" s="12"/>
      <c r="AK298" s="12"/>
      <c r="AL298" s="12"/>
      <c r="AM298" s="12"/>
      <c r="AN298" s="12"/>
      <c r="AO298" s="12"/>
      <c r="AP298" s="12">
        <v>668949.57999999996</v>
      </c>
      <c r="AQ298" s="12">
        <v>4</v>
      </c>
      <c r="AR298" s="12">
        <v>135504.20199999999</v>
      </c>
      <c r="AS298" s="12">
        <v>200171</v>
      </c>
      <c r="AT298" s="12">
        <v>2859915.99</v>
      </c>
      <c r="AU298" s="12">
        <v>13</v>
      </c>
      <c r="AV298" s="12">
        <v>219993.53700000001</v>
      </c>
      <c r="AW298" s="12">
        <v>1240698</v>
      </c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>
        <v>83</v>
      </c>
      <c r="BJ298" s="12">
        <v>0</v>
      </c>
      <c r="BK298" s="12">
        <v>0</v>
      </c>
      <c r="BL298" s="12">
        <v>36</v>
      </c>
      <c r="BM298" s="12">
        <v>1</v>
      </c>
      <c r="BN298" s="12">
        <v>2.7777777777777776E-2</v>
      </c>
      <c r="BO298" s="12"/>
      <c r="BP298" s="12"/>
      <c r="BQ298" s="12"/>
      <c r="BR298" s="12">
        <v>51</v>
      </c>
      <c r="BS298" s="12">
        <v>3</v>
      </c>
      <c r="BT298" s="12">
        <v>5.8823529411764705E-2</v>
      </c>
      <c r="BU298" s="12">
        <v>170</v>
      </c>
      <c r="BV298" s="12">
        <v>4</v>
      </c>
      <c r="BW298" s="12">
        <v>2.3529411764705882E-2</v>
      </c>
      <c r="BX298" s="12"/>
      <c r="BY298" s="12"/>
      <c r="BZ298" s="12"/>
      <c r="CA298" s="12">
        <v>28364.799999999999</v>
      </c>
      <c r="CB298" s="13"/>
      <c r="CC298" s="13"/>
      <c r="CD298" s="13"/>
      <c r="CE298" s="12">
        <v>1177</v>
      </c>
      <c r="CF298" s="12">
        <v>110</v>
      </c>
      <c r="CG298" s="13">
        <v>54247</v>
      </c>
      <c r="CH298" s="13">
        <v>140</v>
      </c>
      <c r="CI298" s="13">
        <v>17654</v>
      </c>
    </row>
    <row r="299" spans="2:87" x14ac:dyDescent="0.2">
      <c r="B299" s="5">
        <v>46072</v>
      </c>
      <c r="C299" s="12">
        <v>21</v>
      </c>
      <c r="D299" s="12">
        <v>3.1</v>
      </c>
      <c r="E299" s="12">
        <v>197565.42499999999</v>
      </c>
      <c r="F299" s="12">
        <v>0</v>
      </c>
      <c r="G299" s="12">
        <v>4148873.93</v>
      </c>
      <c r="H299" s="12">
        <v>0</v>
      </c>
      <c r="I299" s="12">
        <v>0</v>
      </c>
      <c r="J299" s="12">
        <v>4148873.93</v>
      </c>
      <c r="K299" s="12">
        <v>44000</v>
      </c>
      <c r="L299" s="12">
        <v>0</v>
      </c>
      <c r="M299" s="12">
        <v>690626.07</v>
      </c>
      <c r="N299" s="12">
        <v>4883500</v>
      </c>
      <c r="O299" s="12">
        <v>0</v>
      </c>
      <c r="P299" s="12">
        <v>4148873.93</v>
      </c>
      <c r="Q299" s="12">
        <v>1329526</v>
      </c>
      <c r="R299" s="12">
        <v>2819347.93</v>
      </c>
      <c r="S299" s="12">
        <v>0</v>
      </c>
      <c r="T299" s="12">
        <v>65</v>
      </c>
      <c r="U299" s="12">
        <v>0</v>
      </c>
      <c r="V299" s="12">
        <v>0</v>
      </c>
      <c r="W299" s="35">
        <v>46144.261731053244</v>
      </c>
      <c r="X299" s="12">
        <v>9</v>
      </c>
      <c r="Y299" s="12">
        <v>13</v>
      </c>
      <c r="Z299" s="12">
        <v>2248915.9500000002</v>
      </c>
      <c r="AA299" s="12">
        <v>172993.53400000001</v>
      </c>
      <c r="AB299" s="12">
        <v>782654</v>
      </c>
      <c r="AC299" s="12">
        <v>1466261.95</v>
      </c>
      <c r="AD299" s="12">
        <v>8</v>
      </c>
      <c r="AE299" s="12">
        <v>8</v>
      </c>
      <c r="AF299" s="12">
        <v>1899957.98</v>
      </c>
      <c r="AG299" s="12">
        <v>237494.747</v>
      </c>
      <c r="AH299" s="12">
        <v>546872</v>
      </c>
      <c r="AI299" s="12">
        <v>1353085.98</v>
      </c>
      <c r="AJ299" s="12"/>
      <c r="AK299" s="12"/>
      <c r="AL299" s="12"/>
      <c r="AM299" s="12"/>
      <c r="AN299" s="12"/>
      <c r="AO299" s="12"/>
      <c r="AP299" s="12">
        <v>789915.96</v>
      </c>
      <c r="AQ299" s="12">
        <v>4</v>
      </c>
      <c r="AR299" s="12">
        <v>197478.99</v>
      </c>
      <c r="AS299" s="12">
        <v>156422</v>
      </c>
      <c r="AT299" s="12">
        <v>3358957.97</v>
      </c>
      <c r="AU299" s="12">
        <v>17</v>
      </c>
      <c r="AV299" s="12">
        <v>197585.76199999999</v>
      </c>
      <c r="AW299" s="12">
        <v>1173104</v>
      </c>
      <c r="AX299" s="12"/>
      <c r="AY299" s="12"/>
      <c r="AZ299" s="12"/>
      <c r="BA299" s="12"/>
      <c r="BB299" s="12"/>
      <c r="BC299" s="12"/>
      <c r="BD299" s="12"/>
      <c r="BE299" s="12"/>
      <c r="BF299" s="12">
        <v>5</v>
      </c>
      <c r="BG299" s="12">
        <v>0</v>
      </c>
      <c r="BH299" s="12">
        <v>0</v>
      </c>
      <c r="BI299" s="12">
        <v>88</v>
      </c>
      <c r="BJ299" s="12">
        <v>1</v>
      </c>
      <c r="BK299" s="12">
        <v>1.1363636363636364E-2</v>
      </c>
      <c r="BL299" s="12">
        <v>38</v>
      </c>
      <c r="BM299" s="12">
        <v>1</v>
      </c>
      <c r="BN299" s="12">
        <v>2.6315789473684209E-2</v>
      </c>
      <c r="BO299" s="12"/>
      <c r="BP299" s="12"/>
      <c r="BQ299" s="12"/>
      <c r="BR299" s="12">
        <v>44</v>
      </c>
      <c r="BS299" s="12">
        <v>2</v>
      </c>
      <c r="BT299" s="12">
        <v>4.5454545454545456E-2</v>
      </c>
      <c r="BU299" s="12">
        <v>175</v>
      </c>
      <c r="BV299" s="12">
        <v>4</v>
      </c>
      <c r="BW299" s="12">
        <v>2.2857142857142857E-2</v>
      </c>
      <c r="BX299" s="12"/>
      <c r="BY299" s="12"/>
      <c r="BZ299" s="12"/>
      <c r="CA299" s="12">
        <v>26237.73</v>
      </c>
      <c r="CB299" s="13"/>
      <c r="CC299" s="13"/>
      <c r="CD299" s="13"/>
      <c r="CE299" s="12">
        <v>987</v>
      </c>
      <c r="CF299" s="12">
        <v>104</v>
      </c>
      <c r="CG299" s="13">
        <v>46557</v>
      </c>
      <c r="CH299" s="13">
        <v>147</v>
      </c>
      <c r="CI299" s="13">
        <v>16776</v>
      </c>
    </row>
    <row r="300" spans="2:87" x14ac:dyDescent="0.2">
      <c r="B300" s="5">
        <v>46073</v>
      </c>
      <c r="C300" s="12">
        <v>17</v>
      </c>
      <c r="D300" s="12">
        <v>1.9</v>
      </c>
      <c r="E300" s="12">
        <v>94966.88</v>
      </c>
      <c r="F300" s="12">
        <v>0</v>
      </c>
      <c r="G300" s="12">
        <v>1618638.65</v>
      </c>
      <c r="H300" s="12">
        <v>-4201.68</v>
      </c>
      <c r="I300" s="12">
        <v>0</v>
      </c>
      <c r="J300" s="12">
        <v>1614436.97</v>
      </c>
      <c r="K300" s="12">
        <v>25000</v>
      </c>
      <c r="L300" s="12">
        <v>0</v>
      </c>
      <c r="M300" s="12">
        <v>274063.03000000003</v>
      </c>
      <c r="N300" s="12">
        <v>1913500</v>
      </c>
      <c r="O300" s="12">
        <v>0</v>
      </c>
      <c r="P300" s="12">
        <v>1614436.97</v>
      </c>
      <c r="Q300" s="12">
        <v>472759</v>
      </c>
      <c r="R300" s="12">
        <v>1141677.97</v>
      </c>
      <c r="S300" s="12">
        <v>0</v>
      </c>
      <c r="T300" s="12">
        <v>32</v>
      </c>
      <c r="U300" s="12">
        <v>0</v>
      </c>
      <c r="V300" s="12">
        <v>0</v>
      </c>
      <c r="W300" s="35">
        <v>46144.261731053244</v>
      </c>
      <c r="X300" s="12">
        <v>7</v>
      </c>
      <c r="Y300" s="12">
        <v>8</v>
      </c>
      <c r="Z300" s="12">
        <v>581243.69999999995</v>
      </c>
      <c r="AA300" s="12">
        <v>72655.462</v>
      </c>
      <c r="AB300" s="12">
        <v>202756</v>
      </c>
      <c r="AC300" s="12">
        <v>378487.7</v>
      </c>
      <c r="AD300" s="12">
        <v>8</v>
      </c>
      <c r="AE300" s="12">
        <v>8</v>
      </c>
      <c r="AF300" s="12">
        <v>974369.74</v>
      </c>
      <c r="AG300" s="12">
        <v>121796.217</v>
      </c>
      <c r="AH300" s="12">
        <v>259964</v>
      </c>
      <c r="AI300" s="12">
        <v>714405.74</v>
      </c>
      <c r="AJ300" s="12">
        <v>1</v>
      </c>
      <c r="AK300" s="12">
        <v>1</v>
      </c>
      <c r="AL300" s="12">
        <v>58823.53</v>
      </c>
      <c r="AM300" s="12">
        <v>58823.53</v>
      </c>
      <c r="AN300" s="12">
        <v>10039</v>
      </c>
      <c r="AO300" s="12">
        <v>48784.53</v>
      </c>
      <c r="AP300" s="12"/>
      <c r="AQ300" s="12"/>
      <c r="AR300" s="12"/>
      <c r="AS300" s="12"/>
      <c r="AT300" s="12">
        <v>1614436.97</v>
      </c>
      <c r="AU300" s="12">
        <v>17</v>
      </c>
      <c r="AV300" s="12">
        <v>94966.88</v>
      </c>
      <c r="AW300" s="12">
        <v>472759</v>
      </c>
      <c r="AX300" s="12"/>
      <c r="AY300" s="12"/>
      <c r="AZ300" s="12"/>
      <c r="BA300" s="12"/>
      <c r="BB300" s="12"/>
      <c r="BC300" s="12"/>
      <c r="BD300" s="12"/>
      <c r="BE300" s="12"/>
      <c r="BF300" s="12">
        <v>1</v>
      </c>
      <c r="BG300" s="12">
        <v>0</v>
      </c>
      <c r="BH300" s="12">
        <v>0</v>
      </c>
      <c r="BI300" s="12">
        <v>71</v>
      </c>
      <c r="BJ300" s="12">
        <v>0</v>
      </c>
      <c r="BK300" s="12">
        <v>0</v>
      </c>
      <c r="BL300" s="12">
        <v>40</v>
      </c>
      <c r="BM300" s="12">
        <v>0</v>
      </c>
      <c r="BN300" s="12">
        <v>0</v>
      </c>
      <c r="BO300" s="12"/>
      <c r="BP300" s="12"/>
      <c r="BQ300" s="12"/>
      <c r="BR300" s="12">
        <v>63</v>
      </c>
      <c r="BS300" s="12">
        <v>0</v>
      </c>
      <c r="BT300" s="12">
        <v>0</v>
      </c>
      <c r="BU300" s="12">
        <v>175</v>
      </c>
      <c r="BV300" s="12">
        <v>0</v>
      </c>
      <c r="BW300" s="12">
        <v>0</v>
      </c>
      <c r="BX300" s="12"/>
      <c r="BY300" s="12"/>
      <c r="BZ300" s="12"/>
      <c r="CA300" s="12">
        <v>19579.8</v>
      </c>
      <c r="CB300" s="13"/>
      <c r="CC300" s="13"/>
      <c r="CD300" s="13"/>
      <c r="CE300" s="12">
        <v>1019</v>
      </c>
      <c r="CF300" s="12">
        <v>90</v>
      </c>
      <c r="CG300" s="13">
        <v>58321</v>
      </c>
      <c r="CH300" s="13">
        <v>136</v>
      </c>
      <c r="CI300" s="13">
        <v>27385</v>
      </c>
    </row>
    <row r="301" spans="2:87" x14ac:dyDescent="0.2">
      <c r="B301" s="5">
        <v>46074</v>
      </c>
      <c r="C301" s="12">
        <v>24</v>
      </c>
      <c r="D301" s="12">
        <v>2.2000000000000002</v>
      </c>
      <c r="E301" s="12">
        <v>126354.692</v>
      </c>
      <c r="F301" s="12">
        <v>0</v>
      </c>
      <c r="G301" s="12">
        <v>3032512.62</v>
      </c>
      <c r="H301" s="12">
        <v>0</v>
      </c>
      <c r="I301" s="12">
        <v>0</v>
      </c>
      <c r="J301" s="12">
        <v>3032512.62</v>
      </c>
      <c r="K301" s="12">
        <v>48000</v>
      </c>
      <c r="L301" s="12">
        <v>0</v>
      </c>
      <c r="M301" s="12">
        <v>480987.38</v>
      </c>
      <c r="N301" s="12">
        <v>3561500</v>
      </c>
      <c r="O301" s="12">
        <v>0</v>
      </c>
      <c r="P301" s="12">
        <v>3032512.62</v>
      </c>
      <c r="Q301" s="12">
        <v>955607</v>
      </c>
      <c r="R301" s="12">
        <v>2076905.62</v>
      </c>
      <c r="S301" s="12">
        <v>0</v>
      </c>
      <c r="T301" s="12">
        <v>54</v>
      </c>
      <c r="U301" s="12">
        <v>0</v>
      </c>
      <c r="V301" s="12">
        <v>0</v>
      </c>
      <c r="W301" s="35">
        <v>46144.261731053244</v>
      </c>
      <c r="X301" s="12">
        <v>8</v>
      </c>
      <c r="Y301" s="12">
        <v>12</v>
      </c>
      <c r="Z301" s="12">
        <v>2134613.46</v>
      </c>
      <c r="AA301" s="12">
        <v>177884.45499999999</v>
      </c>
      <c r="AB301" s="12">
        <v>642507</v>
      </c>
      <c r="AC301" s="12">
        <v>1492106.46</v>
      </c>
      <c r="AD301" s="12">
        <v>11</v>
      </c>
      <c r="AE301" s="12">
        <v>11</v>
      </c>
      <c r="AF301" s="12">
        <v>851680.67</v>
      </c>
      <c r="AG301" s="12">
        <v>77425.514999999999</v>
      </c>
      <c r="AH301" s="12">
        <v>304399</v>
      </c>
      <c r="AI301" s="12">
        <v>547281.67000000004</v>
      </c>
      <c r="AJ301" s="12">
        <v>1</v>
      </c>
      <c r="AK301" s="12">
        <v>1</v>
      </c>
      <c r="AL301" s="12">
        <v>46218.49</v>
      </c>
      <c r="AM301" s="12">
        <v>46218.49</v>
      </c>
      <c r="AN301" s="12">
        <v>8701</v>
      </c>
      <c r="AO301" s="12">
        <v>37517.49</v>
      </c>
      <c r="AP301" s="12">
        <v>554621.85</v>
      </c>
      <c r="AQ301" s="12">
        <v>6</v>
      </c>
      <c r="AR301" s="12">
        <v>92436.975000000006</v>
      </c>
      <c r="AS301" s="12">
        <v>137382</v>
      </c>
      <c r="AT301" s="12">
        <v>2381252.11</v>
      </c>
      <c r="AU301" s="12">
        <v>17</v>
      </c>
      <c r="AV301" s="12">
        <v>140073.65299999999</v>
      </c>
      <c r="AW301" s="12">
        <v>802861</v>
      </c>
      <c r="AX301" s="12">
        <v>96638.66</v>
      </c>
      <c r="AY301" s="12">
        <v>1</v>
      </c>
      <c r="AZ301" s="12">
        <v>96638.66</v>
      </c>
      <c r="BA301" s="12">
        <v>15364</v>
      </c>
      <c r="BB301" s="12"/>
      <c r="BC301" s="12"/>
      <c r="BD301" s="12"/>
      <c r="BE301" s="12"/>
      <c r="BF301" s="12"/>
      <c r="BG301" s="12"/>
      <c r="BH301" s="12"/>
      <c r="BI301" s="12">
        <v>104</v>
      </c>
      <c r="BJ301" s="12">
        <v>1</v>
      </c>
      <c r="BK301" s="12">
        <v>9.6153846153846159E-3</v>
      </c>
      <c r="BL301" s="12">
        <v>37</v>
      </c>
      <c r="BM301" s="12">
        <v>1</v>
      </c>
      <c r="BN301" s="12">
        <v>2.7027027027027029E-2</v>
      </c>
      <c r="BO301" s="12"/>
      <c r="BP301" s="12"/>
      <c r="BQ301" s="12"/>
      <c r="BR301" s="12">
        <v>35</v>
      </c>
      <c r="BS301" s="12">
        <v>3</v>
      </c>
      <c r="BT301" s="12">
        <v>8.5714285714285715E-2</v>
      </c>
      <c r="BU301" s="12">
        <v>176</v>
      </c>
      <c r="BV301" s="12">
        <v>5</v>
      </c>
      <c r="BW301" s="12">
        <v>2.8409090909090908E-2</v>
      </c>
      <c r="BX301" s="12"/>
      <c r="BY301" s="12"/>
      <c r="BZ301" s="12"/>
      <c r="CA301" s="12">
        <v>40984.28</v>
      </c>
      <c r="CB301" s="13"/>
      <c r="CC301" s="13"/>
      <c r="CD301" s="13"/>
      <c r="CE301" s="12">
        <v>1332</v>
      </c>
      <c r="CF301" s="12">
        <v>132</v>
      </c>
      <c r="CG301" s="13">
        <v>45036</v>
      </c>
      <c r="CH301" s="13">
        <v>94</v>
      </c>
      <c r="CI301" s="13">
        <v>8691</v>
      </c>
    </row>
    <row r="302" spans="2:87" x14ac:dyDescent="0.2">
      <c r="B302" s="5">
        <v>46075</v>
      </c>
      <c r="C302" s="12">
        <v>5</v>
      </c>
      <c r="D302" s="12">
        <v>1.4</v>
      </c>
      <c r="E302" s="12">
        <v>100840.336</v>
      </c>
      <c r="F302" s="12">
        <v>0</v>
      </c>
      <c r="G302" s="12">
        <v>504201.68</v>
      </c>
      <c r="H302" s="12">
        <v>0</v>
      </c>
      <c r="I302" s="12">
        <v>0</v>
      </c>
      <c r="J302" s="12">
        <v>504201.68</v>
      </c>
      <c r="K302" s="12">
        <v>52000</v>
      </c>
      <c r="L302" s="12">
        <v>0</v>
      </c>
      <c r="M302" s="12">
        <v>95798.32</v>
      </c>
      <c r="N302" s="12">
        <v>652000</v>
      </c>
      <c r="O302" s="12">
        <v>0</v>
      </c>
      <c r="P302" s="12">
        <v>504201.68</v>
      </c>
      <c r="Q302" s="12">
        <v>91851</v>
      </c>
      <c r="R302" s="12">
        <v>412350.68</v>
      </c>
      <c r="S302" s="12">
        <v>0</v>
      </c>
      <c r="T302" s="12">
        <v>7</v>
      </c>
      <c r="U302" s="12">
        <v>0</v>
      </c>
      <c r="V302" s="12">
        <v>0</v>
      </c>
      <c r="W302" s="35">
        <v>46144.261731053244</v>
      </c>
      <c r="X302" s="12">
        <v>2</v>
      </c>
      <c r="Y302" s="12">
        <v>3</v>
      </c>
      <c r="Z302" s="12">
        <v>378151.26</v>
      </c>
      <c r="AA302" s="12">
        <v>126050.42</v>
      </c>
      <c r="AB302" s="12">
        <v>50669</v>
      </c>
      <c r="AC302" s="12">
        <v>327482.26</v>
      </c>
      <c r="AD302" s="12">
        <v>2</v>
      </c>
      <c r="AE302" s="12">
        <v>2</v>
      </c>
      <c r="AF302" s="12">
        <v>126050.42</v>
      </c>
      <c r="AG302" s="12">
        <v>63025.21</v>
      </c>
      <c r="AH302" s="12">
        <v>41182</v>
      </c>
      <c r="AI302" s="12">
        <v>84868.42</v>
      </c>
      <c r="AJ302" s="12"/>
      <c r="AK302" s="12"/>
      <c r="AL302" s="12"/>
      <c r="AM302" s="12"/>
      <c r="AN302" s="12"/>
      <c r="AO302" s="12"/>
      <c r="AP302" s="12">
        <v>504201.68</v>
      </c>
      <c r="AQ302" s="12">
        <v>5</v>
      </c>
      <c r="AR302" s="12">
        <v>100840.336</v>
      </c>
      <c r="AS302" s="12">
        <v>91851</v>
      </c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>
        <v>1</v>
      </c>
      <c r="BG302" s="12">
        <v>0</v>
      </c>
      <c r="BH302" s="12">
        <v>0</v>
      </c>
      <c r="BI302" s="12">
        <v>83</v>
      </c>
      <c r="BJ302" s="12">
        <v>1</v>
      </c>
      <c r="BK302" s="12">
        <v>1.2048192771084338E-2</v>
      </c>
      <c r="BL302" s="12">
        <v>37</v>
      </c>
      <c r="BM302" s="12">
        <v>1</v>
      </c>
      <c r="BN302" s="12">
        <v>2.7027027027027029E-2</v>
      </c>
      <c r="BO302" s="12"/>
      <c r="BP302" s="12"/>
      <c r="BQ302" s="12"/>
      <c r="BR302" s="12">
        <v>42</v>
      </c>
      <c r="BS302" s="12">
        <v>1</v>
      </c>
      <c r="BT302" s="12">
        <v>2.3809523809523808E-2</v>
      </c>
      <c r="BU302" s="12">
        <v>163</v>
      </c>
      <c r="BV302" s="12">
        <v>3</v>
      </c>
      <c r="BW302" s="12">
        <v>1.8404907975460124E-2</v>
      </c>
      <c r="BX302" s="12"/>
      <c r="BY302" s="12"/>
      <c r="BZ302" s="12"/>
      <c r="CA302" s="12">
        <v>20267.16</v>
      </c>
      <c r="CB302" s="13"/>
      <c r="CC302" s="13"/>
      <c r="CD302" s="13"/>
      <c r="CE302" s="12">
        <v>885</v>
      </c>
      <c r="CF302" s="12">
        <v>79</v>
      </c>
      <c r="CG302" s="13">
        <v>54037</v>
      </c>
      <c r="CH302" s="13">
        <v>151</v>
      </c>
      <c r="CI302" s="13">
        <v>21173</v>
      </c>
    </row>
    <row r="303" spans="2:87" x14ac:dyDescent="0.2">
      <c r="B303" s="5">
        <v>46076</v>
      </c>
      <c r="C303" s="12">
        <v>9</v>
      </c>
      <c r="D303" s="12">
        <v>3.8</v>
      </c>
      <c r="E303" s="12">
        <v>407913.16600000003</v>
      </c>
      <c r="F303" s="12">
        <v>0</v>
      </c>
      <c r="G303" s="12">
        <v>4138235.3</v>
      </c>
      <c r="H303" s="12">
        <v>-467016.8</v>
      </c>
      <c r="I303" s="12">
        <v>0</v>
      </c>
      <c r="J303" s="12">
        <v>3671218.5</v>
      </c>
      <c r="K303" s="12">
        <v>24000</v>
      </c>
      <c r="L303" s="12">
        <v>0</v>
      </c>
      <c r="M303" s="12">
        <v>697531.5</v>
      </c>
      <c r="N303" s="12">
        <v>4392750</v>
      </c>
      <c r="O303" s="12">
        <v>0</v>
      </c>
      <c r="P303" s="12">
        <v>3671218.5</v>
      </c>
      <c r="Q303" s="12">
        <v>688665</v>
      </c>
      <c r="R303" s="12">
        <v>2982553.5</v>
      </c>
      <c r="S303" s="12">
        <v>0</v>
      </c>
      <c r="T303" s="12">
        <v>34</v>
      </c>
      <c r="U303" s="12">
        <v>0</v>
      </c>
      <c r="V303" s="12">
        <v>0</v>
      </c>
      <c r="W303" s="35">
        <v>46144.261731053244</v>
      </c>
      <c r="X303" s="12">
        <v>5</v>
      </c>
      <c r="Y303" s="12">
        <v>6</v>
      </c>
      <c r="Z303" s="12">
        <v>3351890.76</v>
      </c>
      <c r="AA303" s="12">
        <v>558648.46</v>
      </c>
      <c r="AB303" s="12">
        <v>629859</v>
      </c>
      <c r="AC303" s="12">
        <v>2722031.76</v>
      </c>
      <c r="AD303" s="12">
        <v>3</v>
      </c>
      <c r="AE303" s="12">
        <v>3</v>
      </c>
      <c r="AF303" s="12">
        <v>319327.74</v>
      </c>
      <c r="AG303" s="12">
        <v>106442.58</v>
      </c>
      <c r="AH303" s="12">
        <v>58806</v>
      </c>
      <c r="AI303" s="12">
        <v>260521.74</v>
      </c>
      <c r="AJ303" s="12"/>
      <c r="AK303" s="12"/>
      <c r="AL303" s="12"/>
      <c r="AM303" s="12"/>
      <c r="AN303" s="12"/>
      <c r="AO303" s="12"/>
      <c r="AP303" s="12">
        <v>617647.06000000006</v>
      </c>
      <c r="AQ303" s="12">
        <v>2</v>
      </c>
      <c r="AR303" s="12">
        <v>308823.53000000003</v>
      </c>
      <c r="AS303" s="12">
        <v>210630</v>
      </c>
      <c r="AT303" s="12">
        <v>3053571.44</v>
      </c>
      <c r="AU303" s="12">
        <v>7</v>
      </c>
      <c r="AV303" s="12">
        <v>436224.49099999998</v>
      </c>
      <c r="AW303" s="12">
        <v>478035</v>
      </c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>
        <v>90</v>
      </c>
      <c r="BJ303" s="12">
        <v>0</v>
      </c>
      <c r="BK303" s="12">
        <v>0</v>
      </c>
      <c r="BL303" s="12">
        <v>53</v>
      </c>
      <c r="BM303" s="12">
        <v>0</v>
      </c>
      <c r="BN303" s="12">
        <v>0</v>
      </c>
      <c r="BO303" s="12"/>
      <c r="BP303" s="12"/>
      <c r="BQ303" s="12"/>
      <c r="BR303" s="12">
        <v>66</v>
      </c>
      <c r="BS303" s="12">
        <v>2</v>
      </c>
      <c r="BT303" s="12">
        <v>3.0303030303030304E-2</v>
      </c>
      <c r="BU303" s="12">
        <v>209</v>
      </c>
      <c r="BV303" s="12">
        <v>2</v>
      </c>
      <c r="BW303" s="12">
        <v>9.5693779904306216E-3</v>
      </c>
      <c r="BX303" s="12"/>
      <c r="BY303" s="12"/>
      <c r="BZ303" s="12"/>
      <c r="CA303" s="12">
        <v>25901.01</v>
      </c>
      <c r="CB303" s="13"/>
      <c r="CC303" s="13"/>
      <c r="CD303" s="13"/>
      <c r="CE303" s="12">
        <v>999</v>
      </c>
      <c r="CF303" s="12">
        <v>100</v>
      </c>
      <c r="CG303" s="13">
        <v>50320</v>
      </c>
      <c r="CH303" s="13">
        <v>142</v>
      </c>
      <c r="CI303" s="13">
        <v>17472</v>
      </c>
    </row>
    <row r="304" spans="2:87" x14ac:dyDescent="0.2">
      <c r="B304" s="5">
        <v>46077</v>
      </c>
      <c r="C304" s="12">
        <v>19</v>
      </c>
      <c r="D304" s="12">
        <v>1.6</v>
      </c>
      <c r="E304" s="12">
        <v>113104.37699999999</v>
      </c>
      <c r="F304" s="12">
        <v>0</v>
      </c>
      <c r="G304" s="12">
        <v>2148983.1800000002</v>
      </c>
      <c r="H304" s="12">
        <v>0</v>
      </c>
      <c r="I304" s="12">
        <v>0</v>
      </c>
      <c r="J304" s="12">
        <v>2148983.1800000002</v>
      </c>
      <c r="K304" s="12">
        <v>68000</v>
      </c>
      <c r="L304" s="12">
        <v>0</v>
      </c>
      <c r="M304" s="12">
        <v>372016.82</v>
      </c>
      <c r="N304" s="12">
        <v>2589000</v>
      </c>
      <c r="O304" s="12">
        <v>142857.14000000001</v>
      </c>
      <c r="P304" s="12">
        <v>2006126.04</v>
      </c>
      <c r="Q304" s="12">
        <v>620380</v>
      </c>
      <c r="R304" s="12">
        <v>1385746.04</v>
      </c>
      <c r="S304" s="12">
        <v>0</v>
      </c>
      <c r="T304" s="12">
        <v>31</v>
      </c>
      <c r="U304" s="12">
        <v>0</v>
      </c>
      <c r="V304" s="12">
        <v>0</v>
      </c>
      <c r="W304" s="35">
        <v>46144.261731053244</v>
      </c>
      <c r="X304" s="12">
        <v>6</v>
      </c>
      <c r="Y304" s="12">
        <v>8</v>
      </c>
      <c r="Z304" s="12">
        <v>710621.84</v>
      </c>
      <c r="AA304" s="12">
        <v>88827.73</v>
      </c>
      <c r="AB304" s="12">
        <v>204126</v>
      </c>
      <c r="AC304" s="12">
        <v>506495.84</v>
      </c>
      <c r="AD304" s="12">
        <v>11</v>
      </c>
      <c r="AE304" s="12">
        <v>11</v>
      </c>
      <c r="AF304" s="12">
        <v>1438361.34</v>
      </c>
      <c r="AG304" s="12">
        <v>130760.121</v>
      </c>
      <c r="AH304" s="12">
        <v>416254</v>
      </c>
      <c r="AI304" s="12">
        <v>879250.2</v>
      </c>
      <c r="AJ304" s="12"/>
      <c r="AK304" s="12"/>
      <c r="AL304" s="12"/>
      <c r="AM304" s="12"/>
      <c r="AN304" s="12"/>
      <c r="AO304" s="12"/>
      <c r="AP304" s="12">
        <v>386554.62</v>
      </c>
      <c r="AQ304" s="12">
        <v>3</v>
      </c>
      <c r="AR304" s="12">
        <v>128851.54</v>
      </c>
      <c r="AS304" s="12">
        <v>102000</v>
      </c>
      <c r="AT304" s="12">
        <v>1762428.56</v>
      </c>
      <c r="AU304" s="12">
        <v>16</v>
      </c>
      <c r="AV304" s="12">
        <v>110151.785</v>
      </c>
      <c r="AW304" s="12">
        <v>518380</v>
      </c>
      <c r="AX304" s="12"/>
      <c r="AY304" s="12"/>
      <c r="AZ304" s="12"/>
      <c r="BA304" s="12"/>
      <c r="BB304" s="12"/>
      <c r="BC304" s="12"/>
      <c r="BD304" s="12"/>
      <c r="BE304" s="12"/>
      <c r="BF304" s="12">
        <v>1</v>
      </c>
      <c r="BG304" s="12">
        <v>0</v>
      </c>
      <c r="BH304" s="12">
        <v>0</v>
      </c>
      <c r="BI304" s="12">
        <v>87</v>
      </c>
      <c r="BJ304" s="12">
        <v>0</v>
      </c>
      <c r="BK304" s="12">
        <v>0</v>
      </c>
      <c r="BL304" s="12">
        <v>57</v>
      </c>
      <c r="BM304" s="12">
        <v>0</v>
      </c>
      <c r="BN304" s="12">
        <v>0</v>
      </c>
      <c r="BO304" s="12"/>
      <c r="BP304" s="12"/>
      <c r="BQ304" s="12"/>
      <c r="BR304" s="12">
        <v>57</v>
      </c>
      <c r="BS304" s="12">
        <v>3</v>
      </c>
      <c r="BT304" s="12">
        <v>5.2631578947368418E-2</v>
      </c>
      <c r="BU304" s="12">
        <v>202</v>
      </c>
      <c r="BV304" s="12">
        <v>3</v>
      </c>
      <c r="BW304" s="12">
        <v>1.4851485148514851E-2</v>
      </c>
      <c r="BX304" s="12"/>
      <c r="BY304" s="12"/>
      <c r="BZ304" s="12"/>
      <c r="CA304" s="12">
        <v>23650.62</v>
      </c>
      <c r="CB304" s="13"/>
      <c r="CC304" s="13"/>
      <c r="CD304" s="13"/>
      <c r="CE304" s="12">
        <v>1108</v>
      </c>
      <c r="CF304" s="12">
        <v>107</v>
      </c>
      <c r="CG304" s="13">
        <v>51145</v>
      </c>
      <c r="CH304" s="13">
        <v>115</v>
      </c>
      <c r="CI304" s="13">
        <v>16036</v>
      </c>
    </row>
    <row r="305" spans="2:87" x14ac:dyDescent="0.2">
      <c r="B305" s="5">
        <v>46078</v>
      </c>
      <c r="C305" s="12">
        <v>25</v>
      </c>
      <c r="D305" s="12">
        <v>2.2000000000000002</v>
      </c>
      <c r="E305" s="12">
        <v>176638.68900000001</v>
      </c>
      <c r="F305" s="12">
        <v>-1</v>
      </c>
      <c r="G305" s="12">
        <v>4580210.9400000004</v>
      </c>
      <c r="H305" s="12">
        <v>-55000</v>
      </c>
      <c r="I305" s="12">
        <v>-63025.21</v>
      </c>
      <c r="J305" s="12">
        <v>4462185.7300000004</v>
      </c>
      <c r="K305" s="12">
        <v>40000</v>
      </c>
      <c r="L305" s="12">
        <v>0</v>
      </c>
      <c r="M305" s="12">
        <v>847815.27</v>
      </c>
      <c r="N305" s="12">
        <v>5350001</v>
      </c>
      <c r="O305" s="12">
        <v>1008404.2</v>
      </c>
      <c r="P305" s="12">
        <v>3453781.53</v>
      </c>
      <c r="Q305" s="12">
        <v>824483</v>
      </c>
      <c r="R305" s="12">
        <v>2629298.5299999998</v>
      </c>
      <c r="S305" s="12">
        <v>0</v>
      </c>
      <c r="T305" s="12">
        <v>57</v>
      </c>
      <c r="U305" s="12">
        <v>0</v>
      </c>
      <c r="V305" s="12">
        <v>0</v>
      </c>
      <c r="W305" s="35">
        <v>46144.261731053244</v>
      </c>
      <c r="X305" s="12">
        <v>11</v>
      </c>
      <c r="Y305" s="12">
        <v>12</v>
      </c>
      <c r="Z305" s="12">
        <v>1575630.26</v>
      </c>
      <c r="AA305" s="12">
        <v>126400.56</v>
      </c>
      <c r="AB305" s="12">
        <v>374355</v>
      </c>
      <c r="AC305" s="12">
        <v>1201275.26</v>
      </c>
      <c r="AD305" s="12">
        <v>13</v>
      </c>
      <c r="AE305" s="12">
        <v>13</v>
      </c>
      <c r="AF305" s="12">
        <v>2886555.47</v>
      </c>
      <c r="AG305" s="12">
        <v>223012.34599999999</v>
      </c>
      <c r="AH305" s="12">
        <v>450128</v>
      </c>
      <c r="AI305" s="12">
        <v>1428023.27</v>
      </c>
      <c r="AJ305" s="12"/>
      <c r="AK305" s="12"/>
      <c r="AL305" s="12"/>
      <c r="AM305" s="12"/>
      <c r="AN305" s="12"/>
      <c r="AO305" s="12"/>
      <c r="AP305" s="12">
        <v>445378.15</v>
      </c>
      <c r="AQ305" s="12">
        <v>3</v>
      </c>
      <c r="AR305" s="12">
        <v>148459.383</v>
      </c>
      <c r="AS305" s="12">
        <v>97700</v>
      </c>
      <c r="AT305" s="12">
        <v>4016807.58</v>
      </c>
      <c r="AU305" s="12">
        <v>22</v>
      </c>
      <c r="AV305" s="12">
        <v>180481.32199999999</v>
      </c>
      <c r="AW305" s="12">
        <v>726783</v>
      </c>
      <c r="AX305" s="12"/>
      <c r="AY305" s="12"/>
      <c r="AZ305" s="12"/>
      <c r="BA305" s="12"/>
      <c r="BB305" s="12"/>
      <c r="BC305" s="12"/>
      <c r="BD305" s="12"/>
      <c r="BE305" s="12"/>
      <c r="BF305" s="12">
        <v>1</v>
      </c>
      <c r="BG305" s="12">
        <v>0</v>
      </c>
      <c r="BH305" s="12">
        <v>0</v>
      </c>
      <c r="BI305" s="12">
        <v>64</v>
      </c>
      <c r="BJ305" s="12">
        <v>0</v>
      </c>
      <c r="BK305" s="12">
        <v>0</v>
      </c>
      <c r="BL305" s="12">
        <v>50</v>
      </c>
      <c r="BM305" s="12">
        <v>0</v>
      </c>
      <c r="BN305" s="12">
        <v>0</v>
      </c>
      <c r="BO305" s="12"/>
      <c r="BP305" s="12"/>
      <c r="BQ305" s="12"/>
      <c r="BR305" s="12">
        <v>51</v>
      </c>
      <c r="BS305" s="12">
        <v>3</v>
      </c>
      <c r="BT305" s="12">
        <v>5.8823529411764705E-2</v>
      </c>
      <c r="BU305" s="12">
        <v>166</v>
      </c>
      <c r="BV305" s="12">
        <v>3</v>
      </c>
      <c r="BW305" s="12">
        <v>1.8072289156626505E-2</v>
      </c>
      <c r="BX305" s="12"/>
      <c r="BY305" s="12"/>
      <c r="BZ305" s="12"/>
      <c r="CA305" s="12">
        <v>22129.39</v>
      </c>
      <c r="CB305" s="13"/>
      <c r="CC305" s="13"/>
      <c r="CD305" s="13"/>
      <c r="CE305" s="12">
        <v>920</v>
      </c>
      <c r="CF305" s="12">
        <v>93</v>
      </c>
      <c r="CG305" s="13">
        <v>47441</v>
      </c>
      <c r="CH305" s="13">
        <v>101</v>
      </c>
      <c r="CI305" s="13">
        <v>15244</v>
      </c>
    </row>
    <row r="306" spans="2:87" x14ac:dyDescent="0.2">
      <c r="B306" s="5">
        <v>46079</v>
      </c>
      <c r="C306" s="12">
        <v>17</v>
      </c>
      <c r="D306" s="12">
        <v>3.3</v>
      </c>
      <c r="E306" s="12">
        <v>195039.54500000001</v>
      </c>
      <c r="F306" s="12">
        <v>0</v>
      </c>
      <c r="G306" s="12">
        <v>3429957.94</v>
      </c>
      <c r="H306" s="12">
        <v>-114285.66</v>
      </c>
      <c r="I306" s="12">
        <v>0</v>
      </c>
      <c r="J306" s="12">
        <v>3315672.28</v>
      </c>
      <c r="K306" s="12">
        <v>52000</v>
      </c>
      <c r="L306" s="12">
        <v>0</v>
      </c>
      <c r="M306" s="12">
        <v>623327.72</v>
      </c>
      <c r="N306" s="12">
        <v>3991000</v>
      </c>
      <c r="O306" s="12">
        <v>0</v>
      </c>
      <c r="P306" s="12">
        <v>3315672.28</v>
      </c>
      <c r="Q306" s="12">
        <v>962607</v>
      </c>
      <c r="R306" s="12">
        <v>2353065.2799999998</v>
      </c>
      <c r="S306" s="12">
        <v>70000</v>
      </c>
      <c r="T306" s="12">
        <v>56</v>
      </c>
      <c r="U306" s="12">
        <v>0</v>
      </c>
      <c r="V306" s="12">
        <v>70000</v>
      </c>
      <c r="W306" s="35">
        <v>46144.261731053244</v>
      </c>
      <c r="X306" s="12">
        <v>7</v>
      </c>
      <c r="Y306" s="12">
        <v>9</v>
      </c>
      <c r="Z306" s="12">
        <v>1025756.32</v>
      </c>
      <c r="AA306" s="12">
        <v>113972.924</v>
      </c>
      <c r="AB306" s="12">
        <v>348805</v>
      </c>
      <c r="AC306" s="12">
        <v>676951.32</v>
      </c>
      <c r="AD306" s="12">
        <v>7</v>
      </c>
      <c r="AE306" s="12">
        <v>7</v>
      </c>
      <c r="AF306" s="12">
        <v>2172268.9</v>
      </c>
      <c r="AG306" s="12">
        <v>310324.12800000003</v>
      </c>
      <c r="AH306" s="12">
        <v>593724</v>
      </c>
      <c r="AI306" s="12">
        <v>1578544.9</v>
      </c>
      <c r="AJ306" s="12">
        <v>1</v>
      </c>
      <c r="AK306" s="12">
        <v>1</v>
      </c>
      <c r="AL306" s="12">
        <v>117647.06</v>
      </c>
      <c r="AM306" s="12">
        <v>117647.06</v>
      </c>
      <c r="AN306" s="12">
        <v>20078</v>
      </c>
      <c r="AO306" s="12">
        <v>97569.06</v>
      </c>
      <c r="AP306" s="12">
        <v>336134.45</v>
      </c>
      <c r="AQ306" s="12">
        <v>4</v>
      </c>
      <c r="AR306" s="12">
        <v>84033.611999999994</v>
      </c>
      <c r="AS306" s="12">
        <v>130988</v>
      </c>
      <c r="AT306" s="12">
        <v>2223235.31</v>
      </c>
      <c r="AU306" s="12">
        <v>12</v>
      </c>
      <c r="AV306" s="12">
        <v>185269.609</v>
      </c>
      <c r="AW306" s="12">
        <v>594959</v>
      </c>
      <c r="AX306" s="12"/>
      <c r="AY306" s="12"/>
      <c r="AZ306" s="12"/>
      <c r="BA306" s="12"/>
      <c r="BB306" s="12">
        <v>756302.52</v>
      </c>
      <c r="BC306" s="12">
        <v>1</v>
      </c>
      <c r="BD306" s="12">
        <v>756302.52</v>
      </c>
      <c r="BE306" s="12">
        <v>236660</v>
      </c>
      <c r="BF306" s="12">
        <v>40</v>
      </c>
      <c r="BG306" s="12">
        <v>0</v>
      </c>
      <c r="BH306" s="12">
        <v>0</v>
      </c>
      <c r="BI306" s="12">
        <v>58</v>
      </c>
      <c r="BJ306" s="12">
        <v>3</v>
      </c>
      <c r="BK306" s="12">
        <v>5.1724137931034482E-2</v>
      </c>
      <c r="BL306" s="12">
        <v>33</v>
      </c>
      <c r="BM306" s="12">
        <v>1</v>
      </c>
      <c r="BN306" s="12">
        <v>3.0303030303030304E-2</v>
      </c>
      <c r="BO306" s="12"/>
      <c r="BP306" s="12"/>
      <c r="BQ306" s="12"/>
      <c r="BR306" s="12">
        <v>43</v>
      </c>
      <c r="BS306" s="12">
        <v>1</v>
      </c>
      <c r="BT306" s="12">
        <v>2.3255813953488372E-2</v>
      </c>
      <c r="BU306" s="12">
        <v>174</v>
      </c>
      <c r="BV306" s="12">
        <v>5</v>
      </c>
      <c r="BW306" s="12">
        <v>2.8735632183908046E-2</v>
      </c>
      <c r="BX306" s="12"/>
      <c r="BY306" s="12"/>
      <c r="BZ306" s="12"/>
      <c r="CA306" s="12">
        <v>27270.03</v>
      </c>
      <c r="CB306" s="13"/>
      <c r="CC306" s="13"/>
      <c r="CD306" s="13"/>
      <c r="CE306" s="12">
        <v>1082</v>
      </c>
      <c r="CF306" s="12">
        <v>135</v>
      </c>
      <c r="CG306" s="13">
        <v>48989</v>
      </c>
      <c r="CH306" s="13">
        <v>94</v>
      </c>
      <c r="CI306" s="13">
        <v>15209</v>
      </c>
    </row>
    <row r="307" spans="2:87" x14ac:dyDescent="0.2">
      <c r="B307" s="5">
        <v>46080</v>
      </c>
      <c r="C307" s="12">
        <v>28</v>
      </c>
      <c r="D307" s="12">
        <v>2.1</v>
      </c>
      <c r="E307" s="12">
        <v>122584.034</v>
      </c>
      <c r="F307" s="12">
        <v>0</v>
      </c>
      <c r="G307" s="12">
        <v>3436554.65</v>
      </c>
      <c r="H307" s="12">
        <v>-4201.68</v>
      </c>
      <c r="I307" s="12">
        <v>0</v>
      </c>
      <c r="J307" s="12">
        <v>3432352.97</v>
      </c>
      <c r="K307" s="12">
        <v>48000</v>
      </c>
      <c r="L307" s="12">
        <v>0</v>
      </c>
      <c r="M307" s="12">
        <v>652147.03</v>
      </c>
      <c r="N307" s="12">
        <v>4132500</v>
      </c>
      <c r="O307" s="12">
        <v>0</v>
      </c>
      <c r="P307" s="12">
        <v>3432352.97</v>
      </c>
      <c r="Q307" s="12">
        <v>900713</v>
      </c>
      <c r="R307" s="12">
        <v>2531639.9700000002</v>
      </c>
      <c r="S307" s="12">
        <v>0</v>
      </c>
      <c r="T307" s="12">
        <v>59</v>
      </c>
      <c r="U307" s="12">
        <v>0</v>
      </c>
      <c r="V307" s="12">
        <v>0</v>
      </c>
      <c r="W307" s="35">
        <v>46144.261731053244</v>
      </c>
      <c r="X307" s="12">
        <v>7</v>
      </c>
      <c r="Y307" s="12">
        <v>13</v>
      </c>
      <c r="Z307" s="12">
        <v>1646638.67</v>
      </c>
      <c r="AA307" s="12">
        <v>126664.51300000001</v>
      </c>
      <c r="AB307" s="12">
        <v>494409</v>
      </c>
      <c r="AC307" s="12">
        <v>1152229.67</v>
      </c>
      <c r="AD307" s="12">
        <v>11</v>
      </c>
      <c r="AE307" s="12">
        <v>11</v>
      </c>
      <c r="AF307" s="12">
        <v>1407563.03</v>
      </c>
      <c r="AG307" s="12">
        <v>127960.27499999999</v>
      </c>
      <c r="AH307" s="12">
        <v>336126</v>
      </c>
      <c r="AI307" s="12">
        <v>1071437.03</v>
      </c>
      <c r="AJ307" s="12">
        <v>1</v>
      </c>
      <c r="AK307" s="12">
        <v>4</v>
      </c>
      <c r="AL307" s="12">
        <v>378151.27</v>
      </c>
      <c r="AM307" s="12">
        <v>94537.816999999995</v>
      </c>
      <c r="AN307" s="12">
        <v>70178</v>
      </c>
      <c r="AO307" s="12">
        <v>307973.27</v>
      </c>
      <c r="AP307" s="12">
        <v>1000000</v>
      </c>
      <c r="AQ307" s="12">
        <v>6</v>
      </c>
      <c r="AR307" s="12">
        <v>166666.666</v>
      </c>
      <c r="AS307" s="12">
        <v>389763</v>
      </c>
      <c r="AT307" s="12">
        <v>1940756.32</v>
      </c>
      <c r="AU307" s="12">
        <v>17</v>
      </c>
      <c r="AV307" s="12">
        <v>114162.136</v>
      </c>
      <c r="AW307" s="12">
        <v>422469</v>
      </c>
      <c r="AX307" s="12">
        <v>491596.65</v>
      </c>
      <c r="AY307" s="12">
        <v>5</v>
      </c>
      <c r="AZ307" s="12">
        <v>98319.33</v>
      </c>
      <c r="BA307" s="12">
        <v>88481</v>
      </c>
      <c r="BB307" s="12"/>
      <c r="BC307" s="12"/>
      <c r="BD307" s="12"/>
      <c r="BE307" s="12"/>
      <c r="BF307" s="12">
        <v>228</v>
      </c>
      <c r="BG307" s="12">
        <v>0</v>
      </c>
      <c r="BH307" s="12">
        <v>0</v>
      </c>
      <c r="BI307" s="12">
        <v>73</v>
      </c>
      <c r="BJ307" s="12">
        <v>1</v>
      </c>
      <c r="BK307" s="12">
        <v>1.3698630136986301E-2</v>
      </c>
      <c r="BL307" s="12">
        <v>36</v>
      </c>
      <c r="BM307" s="12">
        <v>2</v>
      </c>
      <c r="BN307" s="12">
        <v>5.5555555555555552E-2</v>
      </c>
      <c r="BO307" s="12"/>
      <c r="BP307" s="12"/>
      <c r="BQ307" s="12"/>
      <c r="BR307" s="12">
        <v>64</v>
      </c>
      <c r="BS307" s="12">
        <v>2</v>
      </c>
      <c r="BT307" s="12">
        <v>3.125E-2</v>
      </c>
      <c r="BU307" s="12">
        <v>401</v>
      </c>
      <c r="BV307" s="12">
        <v>5</v>
      </c>
      <c r="BW307" s="12">
        <v>1.2468827930174564E-2</v>
      </c>
      <c r="BX307" s="12"/>
      <c r="BY307" s="12"/>
      <c r="BZ307" s="12"/>
      <c r="CA307" s="12">
        <v>63105.72</v>
      </c>
      <c r="CB307" s="13"/>
      <c r="CC307" s="13"/>
      <c r="CD307" s="13"/>
      <c r="CE307" s="12">
        <v>2236</v>
      </c>
      <c r="CF307" s="12">
        <v>337</v>
      </c>
      <c r="CG307" s="13">
        <v>54629</v>
      </c>
      <c r="CH307" s="13">
        <v>97</v>
      </c>
      <c r="CI307" s="13">
        <v>15361</v>
      </c>
    </row>
    <row r="308" spans="2:87" x14ac:dyDescent="0.2">
      <c r="B308" s="5">
        <v>46081</v>
      </c>
      <c r="C308" s="12">
        <v>32</v>
      </c>
      <c r="D308" s="12">
        <v>14.8</v>
      </c>
      <c r="E308" s="12">
        <v>519688.68199999997</v>
      </c>
      <c r="F308" s="12">
        <v>0</v>
      </c>
      <c r="G308" s="12">
        <v>22228033.559999999</v>
      </c>
      <c r="H308" s="12">
        <v>-5597995.7300000004</v>
      </c>
      <c r="I308" s="12">
        <v>0</v>
      </c>
      <c r="J308" s="12">
        <v>16630037.83</v>
      </c>
      <c r="K308" s="12">
        <v>40000</v>
      </c>
      <c r="L308" s="12">
        <v>0</v>
      </c>
      <c r="M308" s="12">
        <v>3143747.17</v>
      </c>
      <c r="N308" s="12">
        <v>19813785</v>
      </c>
      <c r="O308" s="12">
        <v>285714.28000000003</v>
      </c>
      <c r="P308" s="12">
        <v>16344323.550000001</v>
      </c>
      <c r="Q308" s="12">
        <v>6504475</v>
      </c>
      <c r="R308" s="12">
        <v>9839848.5500000007</v>
      </c>
      <c r="S308" s="12">
        <v>0</v>
      </c>
      <c r="T308" s="12">
        <v>475</v>
      </c>
      <c r="U308" s="12">
        <v>0</v>
      </c>
      <c r="V308" s="12">
        <v>0</v>
      </c>
      <c r="W308" s="35">
        <v>46144.261731053244</v>
      </c>
      <c r="X308" s="12">
        <v>10</v>
      </c>
      <c r="Y308" s="12">
        <v>22</v>
      </c>
      <c r="Z308" s="12">
        <v>14131802.52</v>
      </c>
      <c r="AA308" s="12">
        <v>642354.66</v>
      </c>
      <c r="AB308" s="12">
        <v>5417964</v>
      </c>
      <c r="AC308" s="12">
        <v>8570981.3800000008</v>
      </c>
      <c r="AD308" s="12">
        <v>9</v>
      </c>
      <c r="AE308" s="12">
        <v>9</v>
      </c>
      <c r="AF308" s="12">
        <v>2463235.31</v>
      </c>
      <c r="AG308" s="12">
        <v>273692.81199999998</v>
      </c>
      <c r="AH308" s="12">
        <v>1062011</v>
      </c>
      <c r="AI308" s="12">
        <v>1258367.17</v>
      </c>
      <c r="AJ308" s="12">
        <v>1</v>
      </c>
      <c r="AK308" s="12">
        <v>1</v>
      </c>
      <c r="AL308" s="12">
        <v>35000</v>
      </c>
      <c r="AM308" s="12">
        <v>35000</v>
      </c>
      <c r="AN308" s="12">
        <v>24500</v>
      </c>
      <c r="AO308" s="12">
        <v>10500</v>
      </c>
      <c r="AP308" s="12">
        <v>172268.91</v>
      </c>
      <c r="AQ308" s="12">
        <v>2</v>
      </c>
      <c r="AR308" s="12">
        <v>86134.455000000002</v>
      </c>
      <c r="AS308" s="12">
        <v>69141</v>
      </c>
      <c r="AT308" s="12">
        <v>2963411.78</v>
      </c>
      <c r="AU308" s="12">
        <v>26</v>
      </c>
      <c r="AV308" s="12">
        <v>113977.376</v>
      </c>
      <c r="AW308" s="12">
        <v>817235</v>
      </c>
      <c r="AX308" s="12">
        <v>33613.449999999997</v>
      </c>
      <c r="AY308" s="12">
        <v>1</v>
      </c>
      <c r="AZ308" s="12">
        <v>33613.449999999997</v>
      </c>
      <c r="BA308" s="12">
        <v>5878</v>
      </c>
      <c r="BB308" s="12">
        <v>13460743.689999999</v>
      </c>
      <c r="BC308" s="12">
        <v>3</v>
      </c>
      <c r="BD308" s="12">
        <v>4486914.5630000001</v>
      </c>
      <c r="BE308" s="12">
        <v>5612221</v>
      </c>
      <c r="BF308" s="12">
        <v>279</v>
      </c>
      <c r="BG308" s="12">
        <v>0</v>
      </c>
      <c r="BH308" s="12">
        <v>0</v>
      </c>
      <c r="BI308" s="12">
        <v>53</v>
      </c>
      <c r="BJ308" s="12">
        <v>1</v>
      </c>
      <c r="BK308" s="12">
        <v>1.8867924528301886E-2</v>
      </c>
      <c r="BL308" s="12">
        <v>35</v>
      </c>
      <c r="BM308" s="12">
        <v>1</v>
      </c>
      <c r="BN308" s="12">
        <v>2.8571428571428571E-2</v>
      </c>
      <c r="BO308" s="12"/>
      <c r="BP308" s="12"/>
      <c r="BQ308" s="12"/>
      <c r="BR308" s="12">
        <v>62</v>
      </c>
      <c r="BS308" s="12">
        <v>1</v>
      </c>
      <c r="BT308" s="12">
        <v>1.6129032258064516E-2</v>
      </c>
      <c r="BU308" s="12">
        <v>429</v>
      </c>
      <c r="BV308" s="12">
        <v>3</v>
      </c>
      <c r="BW308" s="12">
        <v>6.993006993006993E-3</v>
      </c>
      <c r="BX308" s="12"/>
      <c r="BY308" s="12"/>
      <c r="BZ308" s="12"/>
      <c r="CA308" s="12">
        <v>77871.87</v>
      </c>
      <c r="CB308" s="13"/>
      <c r="CC308" s="13"/>
      <c r="CD308" s="13"/>
      <c r="CE308" s="12">
        <v>2780</v>
      </c>
      <c r="CF308" s="12">
        <v>390</v>
      </c>
      <c r="CG308" s="13">
        <v>56309</v>
      </c>
      <c r="CH308" s="13">
        <v>105</v>
      </c>
      <c r="CI308" s="13">
        <v>16307</v>
      </c>
    </row>
    <row r="309" spans="2:87" x14ac:dyDescent="0.2">
      <c r="B309" s="5">
        <v>46082</v>
      </c>
      <c r="C309" s="12">
        <v>14</v>
      </c>
      <c r="D309" s="12">
        <v>1.8</v>
      </c>
      <c r="E309" s="12">
        <v>78031.210000000006</v>
      </c>
      <c r="F309" s="12">
        <v>0</v>
      </c>
      <c r="G309" s="12">
        <v>1092436.95</v>
      </c>
      <c r="H309" s="12">
        <v>0</v>
      </c>
      <c r="I309" s="12">
        <v>0</v>
      </c>
      <c r="J309" s="12">
        <v>1092436.95</v>
      </c>
      <c r="K309" s="12">
        <v>0</v>
      </c>
      <c r="L309" s="12">
        <v>0</v>
      </c>
      <c r="M309" s="12">
        <v>207563.05</v>
      </c>
      <c r="N309" s="12">
        <v>1300000</v>
      </c>
      <c r="O309" s="12">
        <v>0</v>
      </c>
      <c r="P309" s="12">
        <v>1092436.95</v>
      </c>
      <c r="Q309" s="12">
        <v>312819</v>
      </c>
      <c r="R309" s="12">
        <v>779617.95</v>
      </c>
      <c r="S309" s="12">
        <v>0</v>
      </c>
      <c r="T309" s="12">
        <v>25</v>
      </c>
      <c r="U309" s="12">
        <v>0</v>
      </c>
      <c r="V309" s="12">
        <v>0</v>
      </c>
      <c r="W309" s="35">
        <v>46144.261731053244</v>
      </c>
      <c r="X309" s="12">
        <v>2</v>
      </c>
      <c r="Y309" s="12">
        <v>8</v>
      </c>
      <c r="Z309" s="12">
        <v>663865.53</v>
      </c>
      <c r="AA309" s="12">
        <v>82983.191000000006</v>
      </c>
      <c r="AB309" s="12">
        <v>183121</v>
      </c>
      <c r="AC309" s="12">
        <v>480744.53</v>
      </c>
      <c r="AD309" s="12">
        <v>6</v>
      </c>
      <c r="AE309" s="12">
        <v>6</v>
      </c>
      <c r="AF309" s="12">
        <v>428571.42</v>
      </c>
      <c r="AG309" s="12">
        <v>71428.570000000007</v>
      </c>
      <c r="AH309" s="12">
        <v>129698</v>
      </c>
      <c r="AI309" s="12">
        <v>298873.42</v>
      </c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>
        <v>1092436.95</v>
      </c>
      <c r="AU309" s="12">
        <v>14</v>
      </c>
      <c r="AV309" s="12">
        <v>78031.210000000006</v>
      </c>
      <c r="AW309" s="12">
        <v>312819</v>
      </c>
      <c r="AX309" s="12"/>
      <c r="AY309" s="12"/>
      <c r="AZ309" s="12"/>
      <c r="BA309" s="12"/>
      <c r="BB309" s="12"/>
      <c r="BC309" s="12"/>
      <c r="BD309" s="12"/>
      <c r="BE309" s="12"/>
      <c r="BF309" s="12">
        <v>153</v>
      </c>
      <c r="BG309" s="12">
        <v>0</v>
      </c>
      <c r="BH309" s="12">
        <v>0</v>
      </c>
      <c r="BI309" s="12">
        <v>115</v>
      </c>
      <c r="BJ309" s="12">
        <v>0</v>
      </c>
      <c r="BK309" s="12">
        <v>0</v>
      </c>
      <c r="BL309" s="12">
        <v>33</v>
      </c>
      <c r="BM309" s="12">
        <v>0</v>
      </c>
      <c r="BN309" s="12">
        <v>0</v>
      </c>
      <c r="BO309" s="12"/>
      <c r="BP309" s="12"/>
      <c r="BQ309" s="12"/>
      <c r="BR309" s="12">
        <v>51</v>
      </c>
      <c r="BS309" s="12">
        <v>0</v>
      </c>
      <c r="BT309" s="12">
        <v>0</v>
      </c>
      <c r="BU309" s="12">
        <v>352</v>
      </c>
      <c r="BV309" s="12">
        <v>0</v>
      </c>
      <c r="BW309" s="12">
        <v>0</v>
      </c>
      <c r="BX309" s="12"/>
      <c r="BY309" s="12"/>
      <c r="BZ309" s="12"/>
      <c r="CA309" s="12">
        <v>42955.93</v>
      </c>
      <c r="CB309" s="13"/>
      <c r="CC309" s="13"/>
      <c r="CD309" s="13"/>
      <c r="CE309" s="12">
        <v>2102</v>
      </c>
      <c r="CF309" s="12">
        <v>235</v>
      </c>
      <c r="CG309" s="13">
        <v>61431</v>
      </c>
      <c r="CH309" s="13">
        <v>182</v>
      </c>
      <c r="CI309" s="13">
        <v>23253</v>
      </c>
    </row>
    <row r="310" spans="2:87" x14ac:dyDescent="0.2">
      <c r="B310" s="5">
        <v>46083</v>
      </c>
      <c r="C310" s="12">
        <v>28</v>
      </c>
      <c r="D310" s="12">
        <v>2.9</v>
      </c>
      <c r="E310" s="12">
        <v>143496.69899999999</v>
      </c>
      <c r="F310" s="12">
        <v>0</v>
      </c>
      <c r="G310" s="12">
        <v>4022109.27</v>
      </c>
      <c r="H310" s="12">
        <v>-4201.68</v>
      </c>
      <c r="I310" s="12">
        <v>0</v>
      </c>
      <c r="J310" s="12">
        <v>4017907.59</v>
      </c>
      <c r="K310" s="12">
        <v>68000</v>
      </c>
      <c r="L310" s="12">
        <v>0</v>
      </c>
      <c r="M310" s="12">
        <v>678092.41</v>
      </c>
      <c r="N310" s="12">
        <v>4764000</v>
      </c>
      <c r="O310" s="12">
        <v>0</v>
      </c>
      <c r="P310" s="12">
        <v>4017907.59</v>
      </c>
      <c r="Q310" s="12">
        <v>1045598</v>
      </c>
      <c r="R310" s="12">
        <v>2972309.59</v>
      </c>
      <c r="S310" s="12">
        <v>0</v>
      </c>
      <c r="T310" s="12">
        <v>82</v>
      </c>
      <c r="U310" s="12">
        <v>0</v>
      </c>
      <c r="V310" s="12">
        <v>0</v>
      </c>
      <c r="W310" s="35">
        <v>46144.261731053244</v>
      </c>
      <c r="X310" s="12">
        <v>6</v>
      </c>
      <c r="Y310" s="12">
        <v>19</v>
      </c>
      <c r="Z310" s="12">
        <v>2805050.43</v>
      </c>
      <c r="AA310" s="12">
        <v>147634.23300000001</v>
      </c>
      <c r="AB310" s="12">
        <v>756138</v>
      </c>
      <c r="AC310" s="12">
        <v>2048912.43</v>
      </c>
      <c r="AD310" s="12">
        <v>8</v>
      </c>
      <c r="AE310" s="12">
        <v>8</v>
      </c>
      <c r="AF310" s="12">
        <v>1142857.1599999999</v>
      </c>
      <c r="AG310" s="12">
        <v>142857.14499999999</v>
      </c>
      <c r="AH310" s="12">
        <v>289460</v>
      </c>
      <c r="AI310" s="12">
        <v>853397.16</v>
      </c>
      <c r="AJ310" s="12">
        <v>1</v>
      </c>
      <c r="AK310" s="12">
        <v>1</v>
      </c>
      <c r="AL310" s="12">
        <v>70000</v>
      </c>
      <c r="AM310" s="12">
        <v>70000</v>
      </c>
      <c r="AN310" s="12">
        <v>0</v>
      </c>
      <c r="AO310" s="12">
        <v>70000</v>
      </c>
      <c r="AP310" s="12">
        <v>857142.87</v>
      </c>
      <c r="AQ310" s="12">
        <v>5</v>
      </c>
      <c r="AR310" s="12">
        <v>171428.57399999999</v>
      </c>
      <c r="AS310" s="12">
        <v>248230</v>
      </c>
      <c r="AT310" s="12">
        <v>3051521.02</v>
      </c>
      <c r="AU310" s="12">
        <v>22</v>
      </c>
      <c r="AV310" s="12">
        <v>138705.5</v>
      </c>
      <c r="AW310" s="12">
        <v>778134</v>
      </c>
      <c r="AX310" s="12">
        <v>109243.7</v>
      </c>
      <c r="AY310" s="12">
        <v>1</v>
      </c>
      <c r="AZ310" s="12">
        <v>109243.7</v>
      </c>
      <c r="BA310" s="12">
        <v>19234</v>
      </c>
      <c r="BB310" s="12"/>
      <c r="BC310" s="12"/>
      <c r="BD310" s="12"/>
      <c r="BE310" s="12"/>
      <c r="BF310" s="12">
        <v>197</v>
      </c>
      <c r="BG310" s="12">
        <v>0</v>
      </c>
      <c r="BH310" s="12">
        <v>0</v>
      </c>
      <c r="BI310" s="12">
        <v>95</v>
      </c>
      <c r="BJ310" s="12">
        <v>1</v>
      </c>
      <c r="BK310" s="12">
        <v>1.0526315789473684E-2</v>
      </c>
      <c r="BL310" s="12">
        <v>39</v>
      </c>
      <c r="BM310" s="12">
        <v>1</v>
      </c>
      <c r="BN310" s="12">
        <v>2.564102564102564E-2</v>
      </c>
      <c r="BO310" s="12">
        <v>1</v>
      </c>
      <c r="BP310" s="12">
        <v>0</v>
      </c>
      <c r="BQ310" s="12">
        <v>0</v>
      </c>
      <c r="BR310" s="12">
        <v>66</v>
      </c>
      <c r="BS310" s="12">
        <v>3</v>
      </c>
      <c r="BT310" s="12">
        <v>4.5454545454545456E-2</v>
      </c>
      <c r="BU310" s="12">
        <v>398</v>
      </c>
      <c r="BV310" s="12">
        <v>5</v>
      </c>
      <c r="BW310" s="12">
        <v>1.2562814070351759E-2</v>
      </c>
      <c r="BX310" s="12"/>
      <c r="BY310" s="12"/>
      <c r="BZ310" s="12"/>
      <c r="CA310" s="12">
        <v>46008.11</v>
      </c>
      <c r="CB310" s="13"/>
      <c r="CC310" s="13"/>
      <c r="CD310" s="13"/>
      <c r="CE310" s="12">
        <v>2992</v>
      </c>
      <c r="CF310" s="12">
        <v>290</v>
      </c>
      <c r="CG310" s="13">
        <v>52034</v>
      </c>
      <c r="CH310" s="13">
        <v>159</v>
      </c>
      <c r="CI310" s="13">
        <v>19498</v>
      </c>
    </row>
    <row r="311" spans="2:87" x14ac:dyDescent="0.2">
      <c r="B311" s="5">
        <v>46084</v>
      </c>
      <c r="C311" s="12">
        <v>16</v>
      </c>
      <c r="D311" s="12">
        <v>2.6</v>
      </c>
      <c r="E311" s="12">
        <v>158752.625</v>
      </c>
      <c r="F311" s="12">
        <v>0</v>
      </c>
      <c r="G311" s="12">
        <v>2624075.6</v>
      </c>
      <c r="H311" s="12">
        <v>-84033.59</v>
      </c>
      <c r="I311" s="12">
        <v>0</v>
      </c>
      <c r="J311" s="12">
        <v>2540042.0099999998</v>
      </c>
      <c r="K311" s="12">
        <v>76000</v>
      </c>
      <c r="L311" s="12">
        <v>0</v>
      </c>
      <c r="M311" s="12">
        <v>475957.99</v>
      </c>
      <c r="N311" s="12">
        <v>3092000</v>
      </c>
      <c r="O311" s="12">
        <v>0</v>
      </c>
      <c r="P311" s="12">
        <v>2540042.0099999998</v>
      </c>
      <c r="Q311" s="12">
        <v>765429</v>
      </c>
      <c r="R311" s="12">
        <v>1774613.01</v>
      </c>
      <c r="S311" s="12">
        <v>0</v>
      </c>
      <c r="T311" s="12">
        <v>41</v>
      </c>
      <c r="U311" s="12">
        <v>0</v>
      </c>
      <c r="V311" s="12">
        <v>0</v>
      </c>
      <c r="W311" s="35">
        <v>46144.261731053244</v>
      </c>
      <c r="X311" s="12">
        <v>9</v>
      </c>
      <c r="Y311" s="12">
        <v>10</v>
      </c>
      <c r="Z311" s="12">
        <v>1131638.6599999999</v>
      </c>
      <c r="AA311" s="12">
        <v>113163.86599999999</v>
      </c>
      <c r="AB311" s="12">
        <v>283807</v>
      </c>
      <c r="AC311" s="12">
        <v>847831.66</v>
      </c>
      <c r="AD311" s="12">
        <v>5</v>
      </c>
      <c r="AE311" s="12">
        <v>5</v>
      </c>
      <c r="AF311" s="12">
        <v>954621.84</v>
      </c>
      <c r="AG311" s="12">
        <v>190924.36799999999</v>
      </c>
      <c r="AH311" s="12">
        <v>275308</v>
      </c>
      <c r="AI311" s="12">
        <v>679313.84</v>
      </c>
      <c r="AJ311" s="12">
        <v>1</v>
      </c>
      <c r="AK311" s="12">
        <v>1</v>
      </c>
      <c r="AL311" s="12">
        <v>453781.51</v>
      </c>
      <c r="AM311" s="12">
        <v>453781.51</v>
      </c>
      <c r="AN311" s="12">
        <v>206314</v>
      </c>
      <c r="AO311" s="12">
        <v>247467.51</v>
      </c>
      <c r="AP311" s="12">
        <v>1142857.1399999999</v>
      </c>
      <c r="AQ311" s="12">
        <v>6</v>
      </c>
      <c r="AR311" s="12">
        <v>190476.19</v>
      </c>
      <c r="AS311" s="12">
        <v>377933</v>
      </c>
      <c r="AT311" s="12">
        <v>1397184.87</v>
      </c>
      <c r="AU311" s="12">
        <v>10</v>
      </c>
      <c r="AV311" s="12">
        <v>139718.48699999999</v>
      </c>
      <c r="AW311" s="12">
        <v>387496</v>
      </c>
      <c r="AX311" s="12"/>
      <c r="AY311" s="12"/>
      <c r="AZ311" s="12"/>
      <c r="BA311" s="12"/>
      <c r="BB311" s="12"/>
      <c r="BC311" s="12"/>
      <c r="BD311" s="12"/>
      <c r="BE311" s="12"/>
      <c r="BF311" s="12">
        <v>332</v>
      </c>
      <c r="BG311" s="12">
        <v>2</v>
      </c>
      <c r="BH311" s="12">
        <v>6.024096385542169E-3</v>
      </c>
      <c r="BI311" s="12">
        <v>97</v>
      </c>
      <c r="BJ311" s="12">
        <v>1</v>
      </c>
      <c r="BK311" s="12">
        <v>1.0309278350515464E-2</v>
      </c>
      <c r="BL311" s="12">
        <v>45</v>
      </c>
      <c r="BM311" s="12">
        <v>1</v>
      </c>
      <c r="BN311" s="12">
        <v>2.2222222222222223E-2</v>
      </c>
      <c r="BO311" s="12">
        <v>1</v>
      </c>
      <c r="BP311" s="12">
        <v>0</v>
      </c>
      <c r="BQ311" s="12">
        <v>0</v>
      </c>
      <c r="BR311" s="12">
        <v>58</v>
      </c>
      <c r="BS311" s="12">
        <v>1</v>
      </c>
      <c r="BT311" s="12">
        <v>1.7241379310344827E-2</v>
      </c>
      <c r="BU311" s="12">
        <v>534</v>
      </c>
      <c r="BV311" s="12">
        <v>5</v>
      </c>
      <c r="BW311" s="12">
        <v>9.3632958801498131E-3</v>
      </c>
      <c r="BX311" s="12">
        <v>1</v>
      </c>
      <c r="BY311" s="12">
        <v>0</v>
      </c>
      <c r="BZ311" s="12">
        <v>0</v>
      </c>
      <c r="CA311" s="12">
        <v>41299.81</v>
      </c>
      <c r="CB311" s="13"/>
      <c r="CC311" s="13"/>
      <c r="CD311" s="13"/>
      <c r="CE311" s="12">
        <v>3952</v>
      </c>
      <c r="CF311" s="12">
        <v>411</v>
      </c>
      <c r="CG311" s="13">
        <v>51619</v>
      </c>
      <c r="CH311" s="13">
        <v>156</v>
      </c>
      <c r="CI311" s="13">
        <v>18653</v>
      </c>
    </row>
    <row r="312" spans="2:87" x14ac:dyDescent="0.2">
      <c r="B312" s="5">
        <v>46085</v>
      </c>
      <c r="C312" s="12">
        <v>22</v>
      </c>
      <c r="D312" s="12">
        <v>2.9</v>
      </c>
      <c r="E312" s="12">
        <v>184313.98</v>
      </c>
      <c r="F312" s="12">
        <v>0</v>
      </c>
      <c r="G312" s="12">
        <v>4068352.89</v>
      </c>
      <c r="H312" s="12">
        <v>-13445.32</v>
      </c>
      <c r="I312" s="12">
        <v>0</v>
      </c>
      <c r="J312" s="12">
        <v>4054907.57</v>
      </c>
      <c r="K312" s="12">
        <v>124000</v>
      </c>
      <c r="L312" s="12">
        <v>0</v>
      </c>
      <c r="M312" s="12">
        <v>735092.43</v>
      </c>
      <c r="N312" s="12">
        <v>4914000</v>
      </c>
      <c r="O312" s="12">
        <v>159663.87</v>
      </c>
      <c r="P312" s="12">
        <v>3895243.7</v>
      </c>
      <c r="Q312" s="12">
        <v>1096062</v>
      </c>
      <c r="R312" s="12">
        <v>2799181.7</v>
      </c>
      <c r="S312" s="12">
        <v>0</v>
      </c>
      <c r="T312" s="12">
        <v>64</v>
      </c>
      <c r="U312" s="12">
        <v>0</v>
      </c>
      <c r="V312" s="12">
        <v>0</v>
      </c>
      <c r="W312" s="35">
        <v>46144.261731053244</v>
      </c>
      <c r="X312" s="12">
        <v>12</v>
      </c>
      <c r="Y312" s="12">
        <v>15</v>
      </c>
      <c r="Z312" s="12">
        <v>3118193.28</v>
      </c>
      <c r="AA312" s="12">
        <v>207879.552</v>
      </c>
      <c r="AB312" s="12">
        <v>749346</v>
      </c>
      <c r="AC312" s="12">
        <v>2209183.41</v>
      </c>
      <c r="AD312" s="12">
        <v>6</v>
      </c>
      <c r="AE312" s="12">
        <v>6</v>
      </c>
      <c r="AF312" s="12">
        <v>903100.84</v>
      </c>
      <c r="AG312" s="12">
        <v>150516.80600000001</v>
      </c>
      <c r="AH312" s="12">
        <v>337924</v>
      </c>
      <c r="AI312" s="12">
        <v>565176.84</v>
      </c>
      <c r="AJ312" s="12">
        <v>1</v>
      </c>
      <c r="AK312" s="12">
        <v>1</v>
      </c>
      <c r="AL312" s="12">
        <v>33613.449999999997</v>
      </c>
      <c r="AM312" s="12">
        <v>33613.449999999997</v>
      </c>
      <c r="AN312" s="12">
        <v>8792</v>
      </c>
      <c r="AO312" s="12">
        <v>24821.45</v>
      </c>
      <c r="AP312" s="12">
        <v>1684033.62</v>
      </c>
      <c r="AQ312" s="12">
        <v>8</v>
      </c>
      <c r="AR312" s="12">
        <v>210504.20199999999</v>
      </c>
      <c r="AS312" s="12">
        <v>396917</v>
      </c>
      <c r="AT312" s="12">
        <v>2370873.9500000002</v>
      </c>
      <c r="AU312" s="12">
        <v>14</v>
      </c>
      <c r="AV312" s="12">
        <v>169348.139</v>
      </c>
      <c r="AW312" s="12">
        <v>699145</v>
      </c>
      <c r="AX312" s="12"/>
      <c r="AY312" s="12"/>
      <c r="AZ312" s="12"/>
      <c r="BA312" s="12"/>
      <c r="BB312" s="12"/>
      <c r="BC312" s="12"/>
      <c r="BD312" s="12"/>
      <c r="BE312" s="12"/>
      <c r="BF312" s="12">
        <v>365</v>
      </c>
      <c r="BG312" s="12">
        <v>0</v>
      </c>
      <c r="BH312" s="12">
        <v>0</v>
      </c>
      <c r="BI312" s="12">
        <v>90</v>
      </c>
      <c r="BJ312" s="12">
        <v>1</v>
      </c>
      <c r="BK312" s="12">
        <v>1.1111111111111112E-2</v>
      </c>
      <c r="BL312" s="12">
        <v>42</v>
      </c>
      <c r="BM312" s="12">
        <v>2</v>
      </c>
      <c r="BN312" s="12">
        <v>4.7619047619047616E-2</v>
      </c>
      <c r="BO312" s="12">
        <v>1</v>
      </c>
      <c r="BP312" s="12">
        <v>0</v>
      </c>
      <c r="BQ312" s="12">
        <v>0</v>
      </c>
      <c r="BR312" s="12">
        <v>307</v>
      </c>
      <c r="BS312" s="12">
        <v>5</v>
      </c>
      <c r="BT312" s="12">
        <v>1.6286644951140065E-2</v>
      </c>
      <c r="BU312" s="12">
        <v>805</v>
      </c>
      <c r="BV312" s="12">
        <v>8</v>
      </c>
      <c r="BW312" s="12">
        <v>9.9378881987577643E-3</v>
      </c>
      <c r="BX312" s="12"/>
      <c r="BY312" s="12"/>
      <c r="BZ312" s="12"/>
      <c r="CA312" s="12">
        <v>52746.12</v>
      </c>
      <c r="CB312" s="13"/>
      <c r="CC312" s="13"/>
      <c r="CD312" s="13"/>
      <c r="CE312" s="12">
        <v>4860</v>
      </c>
      <c r="CF312" s="12">
        <v>463</v>
      </c>
      <c r="CG312" s="13">
        <v>52071</v>
      </c>
      <c r="CH312" s="13">
        <v>141</v>
      </c>
      <c r="CI312" s="13">
        <v>16759</v>
      </c>
    </row>
    <row r="313" spans="2:87" x14ac:dyDescent="0.2">
      <c r="B313" s="5">
        <v>46086</v>
      </c>
      <c r="C313" s="12">
        <v>29</v>
      </c>
      <c r="D313" s="12">
        <v>93.3</v>
      </c>
      <c r="E313" s="12">
        <v>338112.28499999997</v>
      </c>
      <c r="F313" s="12">
        <v>0</v>
      </c>
      <c r="G313" s="12">
        <v>9851516.7799999993</v>
      </c>
      <c r="H313" s="12">
        <v>-46260.49</v>
      </c>
      <c r="I313" s="12">
        <v>0</v>
      </c>
      <c r="J313" s="12">
        <v>9805256.2899999991</v>
      </c>
      <c r="K313" s="12">
        <v>64000</v>
      </c>
      <c r="L313" s="12">
        <v>0</v>
      </c>
      <c r="M313" s="12">
        <v>1862998.71</v>
      </c>
      <c r="N313" s="12">
        <v>11732255</v>
      </c>
      <c r="O313" s="12">
        <v>29411.759999999998</v>
      </c>
      <c r="P313" s="12">
        <v>9775844.5299999993</v>
      </c>
      <c r="Q313" s="12">
        <v>4366585</v>
      </c>
      <c r="R313" s="12">
        <v>5409259.5300000003</v>
      </c>
      <c r="S313" s="12">
        <v>0</v>
      </c>
      <c r="T313" s="12">
        <v>2705</v>
      </c>
      <c r="U313" s="12">
        <v>0</v>
      </c>
      <c r="V313" s="12">
        <v>0</v>
      </c>
      <c r="W313" s="35">
        <v>46144.261731053244</v>
      </c>
      <c r="X313" s="12">
        <v>15</v>
      </c>
      <c r="Y313" s="12">
        <v>17</v>
      </c>
      <c r="Z313" s="12">
        <v>4526369.74</v>
      </c>
      <c r="AA313" s="12">
        <v>266257.04300000001</v>
      </c>
      <c r="AB313" s="12">
        <v>1739919</v>
      </c>
      <c r="AC313" s="12">
        <v>2757038.98</v>
      </c>
      <c r="AD313" s="12">
        <v>11</v>
      </c>
      <c r="AE313" s="12">
        <v>11</v>
      </c>
      <c r="AF313" s="12">
        <v>5119222.68</v>
      </c>
      <c r="AG313" s="12">
        <v>465383.88</v>
      </c>
      <c r="AH313" s="12">
        <v>2599893</v>
      </c>
      <c r="AI313" s="12">
        <v>2519329.6800000002</v>
      </c>
      <c r="AJ313" s="12">
        <v>1</v>
      </c>
      <c r="AK313" s="12">
        <v>1</v>
      </c>
      <c r="AL313" s="12">
        <v>159663.87</v>
      </c>
      <c r="AM313" s="12">
        <v>159663.87</v>
      </c>
      <c r="AN313" s="12">
        <v>26773</v>
      </c>
      <c r="AO313" s="12">
        <v>132890.87</v>
      </c>
      <c r="AP313" s="12">
        <v>705882.35</v>
      </c>
      <c r="AQ313" s="12">
        <v>4</v>
      </c>
      <c r="AR313" s="12">
        <v>176470.587</v>
      </c>
      <c r="AS313" s="12">
        <v>159798</v>
      </c>
      <c r="AT313" s="12">
        <v>2852941.16</v>
      </c>
      <c r="AU313" s="12">
        <v>20</v>
      </c>
      <c r="AV313" s="12">
        <v>142647.05799999999</v>
      </c>
      <c r="AW313" s="12">
        <v>642118</v>
      </c>
      <c r="AX313" s="12">
        <v>37815.129999999997</v>
      </c>
      <c r="AY313" s="12">
        <v>1</v>
      </c>
      <c r="AZ313" s="12">
        <v>37815.129999999997</v>
      </c>
      <c r="BA313" s="12">
        <v>5325</v>
      </c>
      <c r="BB313" s="12">
        <v>6208617.6500000004</v>
      </c>
      <c r="BC313" s="12">
        <v>4</v>
      </c>
      <c r="BD313" s="12">
        <v>1552154.412</v>
      </c>
      <c r="BE313" s="12">
        <v>3559344</v>
      </c>
      <c r="BF313" s="12">
        <v>313</v>
      </c>
      <c r="BG313" s="12">
        <v>2</v>
      </c>
      <c r="BH313" s="12">
        <v>6.3897763578274758E-3</v>
      </c>
      <c r="BI313" s="12">
        <v>76</v>
      </c>
      <c r="BJ313" s="12">
        <v>0</v>
      </c>
      <c r="BK313" s="12">
        <v>0</v>
      </c>
      <c r="BL313" s="12">
        <v>42</v>
      </c>
      <c r="BM313" s="12">
        <v>3</v>
      </c>
      <c r="BN313" s="12">
        <v>7.1428571428571425E-2</v>
      </c>
      <c r="BO313" s="12"/>
      <c r="BP313" s="12"/>
      <c r="BQ313" s="12"/>
      <c r="BR313" s="12">
        <v>176</v>
      </c>
      <c r="BS313" s="12">
        <v>0</v>
      </c>
      <c r="BT313" s="12">
        <v>0</v>
      </c>
      <c r="BU313" s="12">
        <v>607</v>
      </c>
      <c r="BV313" s="12">
        <v>5</v>
      </c>
      <c r="BW313" s="12">
        <v>8.2372322899505763E-3</v>
      </c>
      <c r="BX313" s="12"/>
      <c r="BY313" s="12"/>
      <c r="BZ313" s="12"/>
      <c r="CA313" s="12">
        <v>57351.24</v>
      </c>
      <c r="CB313" s="13"/>
      <c r="CC313" s="13"/>
      <c r="CD313" s="13"/>
      <c r="CE313" s="12">
        <v>3717</v>
      </c>
      <c r="CF313" s="12">
        <v>395</v>
      </c>
      <c r="CG313" s="13">
        <v>48544</v>
      </c>
      <c r="CH313" s="13">
        <v>137</v>
      </c>
      <c r="CI313" s="13">
        <v>16218</v>
      </c>
    </row>
    <row r="314" spans="2:87" x14ac:dyDescent="0.2">
      <c r="B314" s="5">
        <v>46087</v>
      </c>
      <c r="C314" s="12">
        <v>25</v>
      </c>
      <c r="D314" s="12">
        <v>1.7</v>
      </c>
      <c r="E314" s="12">
        <v>113667.227</v>
      </c>
      <c r="F314" s="12">
        <v>0</v>
      </c>
      <c r="G314" s="12">
        <v>2850084.04</v>
      </c>
      <c r="H314" s="12">
        <v>-8403.36</v>
      </c>
      <c r="I314" s="12">
        <v>0</v>
      </c>
      <c r="J314" s="12">
        <v>2841680.68</v>
      </c>
      <c r="K314" s="12">
        <v>60000</v>
      </c>
      <c r="L314" s="12">
        <v>0</v>
      </c>
      <c r="M314" s="12">
        <v>513319.32</v>
      </c>
      <c r="N314" s="12">
        <v>3415000</v>
      </c>
      <c r="O314" s="12">
        <v>168067.23</v>
      </c>
      <c r="P314" s="12">
        <v>2673613.4500000002</v>
      </c>
      <c r="Q314" s="12">
        <v>762396</v>
      </c>
      <c r="R314" s="12">
        <v>1911217.45</v>
      </c>
      <c r="S314" s="12">
        <v>0</v>
      </c>
      <c r="T314" s="12">
        <v>42</v>
      </c>
      <c r="U314" s="12">
        <v>0</v>
      </c>
      <c r="V314" s="12">
        <v>0</v>
      </c>
      <c r="W314" s="35">
        <v>46144.261731053244</v>
      </c>
      <c r="X314" s="12">
        <v>9</v>
      </c>
      <c r="Y314" s="12">
        <v>10</v>
      </c>
      <c r="Z314" s="12">
        <v>907563.03</v>
      </c>
      <c r="AA314" s="12">
        <v>90756.303</v>
      </c>
      <c r="AB314" s="12">
        <v>224678</v>
      </c>
      <c r="AC314" s="12">
        <v>682885.03</v>
      </c>
      <c r="AD314" s="12">
        <v>15</v>
      </c>
      <c r="AE314" s="12">
        <v>15</v>
      </c>
      <c r="AF314" s="12">
        <v>1934117.65</v>
      </c>
      <c r="AG314" s="12">
        <v>128941.17600000001</v>
      </c>
      <c r="AH314" s="12">
        <v>537718</v>
      </c>
      <c r="AI314" s="12">
        <v>1228332.42</v>
      </c>
      <c r="AJ314" s="12"/>
      <c r="AK314" s="12"/>
      <c r="AL314" s="12"/>
      <c r="AM314" s="12"/>
      <c r="AN314" s="12"/>
      <c r="AO314" s="12"/>
      <c r="AP314" s="12">
        <v>508403.36</v>
      </c>
      <c r="AQ314" s="12">
        <v>4</v>
      </c>
      <c r="AR314" s="12">
        <v>127100.84</v>
      </c>
      <c r="AS314" s="12">
        <v>156968</v>
      </c>
      <c r="AT314" s="12">
        <v>2333277.3199999998</v>
      </c>
      <c r="AU314" s="12">
        <v>21</v>
      </c>
      <c r="AV314" s="12">
        <v>111108.443</v>
      </c>
      <c r="AW314" s="12">
        <v>605428</v>
      </c>
      <c r="AX314" s="12"/>
      <c r="AY314" s="12"/>
      <c r="AZ314" s="12"/>
      <c r="BA314" s="12"/>
      <c r="BB314" s="12"/>
      <c r="BC314" s="12"/>
      <c r="BD314" s="12"/>
      <c r="BE314" s="12"/>
      <c r="BF314" s="12">
        <v>405</v>
      </c>
      <c r="BG314" s="12">
        <v>0</v>
      </c>
      <c r="BH314" s="12">
        <v>0</v>
      </c>
      <c r="BI314" s="12">
        <v>64</v>
      </c>
      <c r="BJ314" s="12">
        <v>3</v>
      </c>
      <c r="BK314" s="12">
        <v>4.6875E-2</v>
      </c>
      <c r="BL314" s="12">
        <v>38</v>
      </c>
      <c r="BM314" s="12">
        <v>0</v>
      </c>
      <c r="BN314" s="12">
        <v>0</v>
      </c>
      <c r="BO314" s="12">
        <v>3</v>
      </c>
      <c r="BP314" s="12">
        <v>0</v>
      </c>
      <c r="BQ314" s="12">
        <v>0</v>
      </c>
      <c r="BR314" s="12">
        <v>172</v>
      </c>
      <c r="BS314" s="12">
        <v>1</v>
      </c>
      <c r="BT314" s="12">
        <v>5.8139534883720929E-3</v>
      </c>
      <c r="BU314" s="12">
        <v>682</v>
      </c>
      <c r="BV314" s="12">
        <v>4</v>
      </c>
      <c r="BW314" s="12">
        <v>5.8651026392961877E-3</v>
      </c>
      <c r="BX314" s="12"/>
      <c r="BY314" s="12"/>
      <c r="BZ314" s="12"/>
      <c r="CA314" s="12">
        <v>55294.58</v>
      </c>
      <c r="CB314" s="13"/>
      <c r="CC314" s="13"/>
      <c r="CD314" s="13"/>
      <c r="CE314" s="12">
        <v>4610</v>
      </c>
      <c r="CF314" s="12">
        <v>506</v>
      </c>
      <c r="CG314" s="13">
        <v>45305</v>
      </c>
      <c r="CH314" s="13">
        <v>102</v>
      </c>
      <c r="CI314" s="13">
        <v>15592</v>
      </c>
    </row>
    <row r="315" spans="2:87" x14ac:dyDescent="0.2">
      <c r="B315" s="5">
        <v>46088</v>
      </c>
      <c r="C315" s="12">
        <v>30</v>
      </c>
      <c r="D315" s="12">
        <v>2</v>
      </c>
      <c r="E315" s="12">
        <v>121376.19100000001</v>
      </c>
      <c r="F315" s="12">
        <v>0</v>
      </c>
      <c r="G315" s="12">
        <v>3651369.75</v>
      </c>
      <c r="H315" s="12">
        <v>-10084.02</v>
      </c>
      <c r="I315" s="12">
        <v>0</v>
      </c>
      <c r="J315" s="12">
        <v>3641285.73</v>
      </c>
      <c r="K315" s="12">
        <v>24000</v>
      </c>
      <c r="L315" s="12">
        <v>0</v>
      </c>
      <c r="M315" s="12">
        <v>648714.27</v>
      </c>
      <c r="N315" s="12">
        <v>4314000</v>
      </c>
      <c r="O315" s="12">
        <v>0</v>
      </c>
      <c r="P315" s="12">
        <v>3641285.73</v>
      </c>
      <c r="Q315" s="12">
        <v>1049441</v>
      </c>
      <c r="R315" s="12">
        <v>2591844.73</v>
      </c>
      <c r="S315" s="12">
        <v>0</v>
      </c>
      <c r="T315" s="12">
        <v>60</v>
      </c>
      <c r="U315" s="12">
        <v>0</v>
      </c>
      <c r="V315" s="12">
        <v>0</v>
      </c>
      <c r="W315" s="35">
        <v>46144.261731053244</v>
      </c>
      <c r="X315" s="12">
        <v>12</v>
      </c>
      <c r="Y315" s="12">
        <v>21</v>
      </c>
      <c r="Z315" s="12">
        <v>2262201.69</v>
      </c>
      <c r="AA315" s="12">
        <v>107723.89</v>
      </c>
      <c r="AB315" s="12">
        <v>641308</v>
      </c>
      <c r="AC315" s="12">
        <v>1620893.69</v>
      </c>
      <c r="AD315" s="12">
        <v>9</v>
      </c>
      <c r="AE315" s="12">
        <v>9</v>
      </c>
      <c r="AF315" s="12">
        <v>1379084.04</v>
      </c>
      <c r="AG315" s="12">
        <v>153231.56</v>
      </c>
      <c r="AH315" s="12">
        <v>408133</v>
      </c>
      <c r="AI315" s="12">
        <v>970951.04</v>
      </c>
      <c r="AJ315" s="12"/>
      <c r="AK315" s="12"/>
      <c r="AL315" s="12"/>
      <c r="AM315" s="12"/>
      <c r="AN315" s="12"/>
      <c r="AO315" s="12"/>
      <c r="AP315" s="12">
        <v>277310.93</v>
      </c>
      <c r="AQ315" s="12">
        <v>2</v>
      </c>
      <c r="AR315" s="12">
        <v>138655.465</v>
      </c>
      <c r="AS315" s="12">
        <v>97052</v>
      </c>
      <c r="AT315" s="12">
        <v>3237924.37</v>
      </c>
      <c r="AU315" s="12">
        <v>25</v>
      </c>
      <c r="AV315" s="12">
        <v>129516.974</v>
      </c>
      <c r="AW315" s="12">
        <v>930403</v>
      </c>
      <c r="AX315" s="12">
        <v>126050.43</v>
      </c>
      <c r="AY315" s="12">
        <v>3</v>
      </c>
      <c r="AZ315" s="12">
        <v>42016.81</v>
      </c>
      <c r="BA315" s="12">
        <v>21986</v>
      </c>
      <c r="BB315" s="12"/>
      <c r="BC315" s="12"/>
      <c r="BD315" s="12"/>
      <c r="BE315" s="12"/>
      <c r="BF315" s="12">
        <v>309</v>
      </c>
      <c r="BG315" s="12">
        <v>0</v>
      </c>
      <c r="BH315" s="12">
        <v>0</v>
      </c>
      <c r="BI315" s="12">
        <v>76</v>
      </c>
      <c r="BJ315" s="12">
        <v>1</v>
      </c>
      <c r="BK315" s="12">
        <v>1.3157894736842105E-2</v>
      </c>
      <c r="BL315" s="12">
        <v>23</v>
      </c>
      <c r="BM315" s="12">
        <v>0</v>
      </c>
      <c r="BN315" s="12">
        <v>0</v>
      </c>
      <c r="BO315" s="12">
        <v>1</v>
      </c>
      <c r="BP315" s="12">
        <v>0</v>
      </c>
      <c r="BQ315" s="12">
        <v>0</v>
      </c>
      <c r="BR315" s="12">
        <v>108</v>
      </c>
      <c r="BS315" s="12">
        <v>0</v>
      </c>
      <c r="BT315" s="12">
        <v>0</v>
      </c>
      <c r="BU315" s="12">
        <v>517</v>
      </c>
      <c r="BV315" s="12">
        <v>1</v>
      </c>
      <c r="BW315" s="12">
        <v>1.9342359767891683E-3</v>
      </c>
      <c r="BX315" s="12"/>
      <c r="BY315" s="12"/>
      <c r="BZ315" s="12"/>
      <c r="CA315" s="12">
        <v>57312.800000000003</v>
      </c>
      <c r="CB315" s="13"/>
      <c r="CC315" s="13"/>
      <c r="CD315" s="13"/>
      <c r="CE315" s="12">
        <v>3986</v>
      </c>
      <c r="CF315" s="12">
        <v>407</v>
      </c>
      <c r="CG315" s="13">
        <v>51233</v>
      </c>
      <c r="CH315" s="13">
        <v>108</v>
      </c>
      <c r="CI315" s="13">
        <v>16830</v>
      </c>
    </row>
    <row r="316" spans="2:87" x14ac:dyDescent="0.2">
      <c r="B316" s="5">
        <v>46089</v>
      </c>
      <c r="C316" s="12">
        <v>13</v>
      </c>
      <c r="D316" s="12">
        <v>2.7</v>
      </c>
      <c r="E316" s="12">
        <v>153087.91099999999</v>
      </c>
      <c r="F316" s="12">
        <v>0</v>
      </c>
      <c r="G316" s="12">
        <v>1990142.85</v>
      </c>
      <c r="H316" s="12">
        <v>0</v>
      </c>
      <c r="I316" s="12">
        <v>0</v>
      </c>
      <c r="J316" s="12">
        <v>1990142.85</v>
      </c>
      <c r="K316" s="12">
        <v>48000</v>
      </c>
      <c r="L316" s="12">
        <v>0</v>
      </c>
      <c r="M316" s="12">
        <v>352857.15</v>
      </c>
      <c r="N316" s="12">
        <v>2391000</v>
      </c>
      <c r="O316" s="12">
        <v>0</v>
      </c>
      <c r="P316" s="12">
        <v>1990142.85</v>
      </c>
      <c r="Q316" s="12">
        <v>508273</v>
      </c>
      <c r="R316" s="12">
        <v>1481869.85</v>
      </c>
      <c r="S316" s="12">
        <v>0</v>
      </c>
      <c r="T316" s="12">
        <v>35</v>
      </c>
      <c r="U316" s="12">
        <v>0</v>
      </c>
      <c r="V316" s="12">
        <v>0</v>
      </c>
      <c r="W316" s="35">
        <v>46144.261731053244</v>
      </c>
      <c r="X316" s="12">
        <v>4</v>
      </c>
      <c r="Y316" s="12">
        <v>11</v>
      </c>
      <c r="Z316" s="12">
        <v>1628798.31</v>
      </c>
      <c r="AA316" s="12">
        <v>148072.573</v>
      </c>
      <c r="AB316" s="12">
        <v>406260</v>
      </c>
      <c r="AC316" s="12">
        <v>1222538.31</v>
      </c>
      <c r="AD316" s="12">
        <v>2</v>
      </c>
      <c r="AE316" s="12">
        <v>2</v>
      </c>
      <c r="AF316" s="12">
        <v>361344.54</v>
      </c>
      <c r="AG316" s="12">
        <v>180672.27</v>
      </c>
      <c r="AH316" s="12">
        <v>102013</v>
      </c>
      <c r="AI316" s="12">
        <v>259331.54</v>
      </c>
      <c r="AJ316" s="12"/>
      <c r="AK316" s="12"/>
      <c r="AL316" s="12"/>
      <c r="AM316" s="12"/>
      <c r="AN316" s="12"/>
      <c r="AO316" s="12"/>
      <c r="AP316" s="12">
        <v>549579.82999999996</v>
      </c>
      <c r="AQ316" s="12">
        <v>3</v>
      </c>
      <c r="AR316" s="12">
        <v>183193.27600000001</v>
      </c>
      <c r="AS316" s="12">
        <v>144576</v>
      </c>
      <c r="AT316" s="12">
        <v>1440563.02</v>
      </c>
      <c r="AU316" s="12">
        <v>10</v>
      </c>
      <c r="AV316" s="12">
        <v>144056.302</v>
      </c>
      <c r="AW316" s="12">
        <v>363697</v>
      </c>
      <c r="AX316" s="12"/>
      <c r="AY316" s="12"/>
      <c r="AZ316" s="12"/>
      <c r="BA316" s="12"/>
      <c r="BB316" s="12"/>
      <c r="BC316" s="12"/>
      <c r="BD316" s="12"/>
      <c r="BE316" s="12"/>
      <c r="BF316" s="12">
        <v>292</v>
      </c>
      <c r="BG316" s="12">
        <v>0</v>
      </c>
      <c r="BH316" s="12">
        <v>0</v>
      </c>
      <c r="BI316" s="12">
        <v>87</v>
      </c>
      <c r="BJ316" s="12">
        <v>1</v>
      </c>
      <c r="BK316" s="12">
        <v>1.1494252873563218E-2</v>
      </c>
      <c r="BL316" s="12">
        <v>22</v>
      </c>
      <c r="BM316" s="12">
        <v>0</v>
      </c>
      <c r="BN316" s="12">
        <v>0</v>
      </c>
      <c r="BO316" s="12">
        <v>2</v>
      </c>
      <c r="BP316" s="12">
        <v>0</v>
      </c>
      <c r="BQ316" s="12">
        <v>0</v>
      </c>
      <c r="BR316" s="12">
        <v>77</v>
      </c>
      <c r="BS316" s="12">
        <v>2</v>
      </c>
      <c r="BT316" s="12">
        <v>2.5974025974025976E-2</v>
      </c>
      <c r="BU316" s="12">
        <v>480</v>
      </c>
      <c r="BV316" s="12">
        <v>3</v>
      </c>
      <c r="BW316" s="12">
        <v>6.2500000000000003E-3</v>
      </c>
      <c r="BX316" s="12"/>
      <c r="BY316" s="12"/>
      <c r="BZ316" s="12"/>
      <c r="CA316" s="12">
        <v>40785.01</v>
      </c>
      <c r="CB316" s="13"/>
      <c r="CC316" s="13"/>
      <c r="CD316" s="13"/>
      <c r="CE316" s="12">
        <v>3526</v>
      </c>
      <c r="CF316" s="12">
        <v>385</v>
      </c>
      <c r="CG316" s="13">
        <v>58204</v>
      </c>
      <c r="CH316" s="13">
        <v>138</v>
      </c>
      <c r="CI316" s="13">
        <v>21256</v>
      </c>
    </row>
    <row r="317" spans="2:87" x14ac:dyDescent="0.2">
      <c r="B317" s="5">
        <v>46090</v>
      </c>
      <c r="C317" s="12">
        <v>15</v>
      </c>
      <c r="D317" s="12">
        <v>1.7</v>
      </c>
      <c r="E317" s="12">
        <v>135854.342</v>
      </c>
      <c r="F317" s="12">
        <v>0</v>
      </c>
      <c r="G317" s="12">
        <v>2054621.84</v>
      </c>
      <c r="H317" s="12">
        <v>-37815.11</v>
      </c>
      <c r="I317" s="12">
        <v>0</v>
      </c>
      <c r="J317" s="12">
        <v>2016806.73</v>
      </c>
      <c r="K317" s="12">
        <v>40000</v>
      </c>
      <c r="L317" s="12">
        <v>0</v>
      </c>
      <c r="M317" s="12">
        <v>383193.27</v>
      </c>
      <c r="N317" s="12">
        <v>2440000</v>
      </c>
      <c r="O317" s="12">
        <v>0</v>
      </c>
      <c r="P317" s="12">
        <v>2016806.73</v>
      </c>
      <c r="Q317" s="12">
        <v>643793</v>
      </c>
      <c r="R317" s="12">
        <v>1373013.73</v>
      </c>
      <c r="S317" s="12">
        <v>0</v>
      </c>
      <c r="T317" s="12">
        <v>26</v>
      </c>
      <c r="U317" s="12">
        <v>0</v>
      </c>
      <c r="V317" s="12">
        <v>0</v>
      </c>
      <c r="W317" s="35">
        <v>46144.261731053244</v>
      </c>
      <c r="X317" s="12">
        <v>8</v>
      </c>
      <c r="Y317" s="12">
        <v>10</v>
      </c>
      <c r="Z317" s="12">
        <v>1596638.66</v>
      </c>
      <c r="AA317" s="12">
        <v>161764.70699999999</v>
      </c>
      <c r="AB317" s="12">
        <v>546135</v>
      </c>
      <c r="AC317" s="12">
        <v>1050503.6599999999</v>
      </c>
      <c r="AD317" s="12">
        <v>5</v>
      </c>
      <c r="AE317" s="12">
        <v>5</v>
      </c>
      <c r="AF317" s="12">
        <v>420168.07</v>
      </c>
      <c r="AG317" s="12">
        <v>84033.614000000001</v>
      </c>
      <c r="AH317" s="12">
        <v>97658</v>
      </c>
      <c r="AI317" s="12">
        <v>322510.07</v>
      </c>
      <c r="AJ317" s="12"/>
      <c r="AK317" s="12"/>
      <c r="AL317" s="12"/>
      <c r="AM317" s="12"/>
      <c r="AN317" s="12"/>
      <c r="AO317" s="12"/>
      <c r="AP317" s="12">
        <v>857142.86</v>
      </c>
      <c r="AQ317" s="12">
        <v>4</v>
      </c>
      <c r="AR317" s="12">
        <v>214285.715</v>
      </c>
      <c r="AS317" s="12">
        <v>253913</v>
      </c>
      <c r="AT317" s="12">
        <v>983193.29</v>
      </c>
      <c r="AU317" s="12">
        <v>9</v>
      </c>
      <c r="AV317" s="12">
        <v>109243.698</v>
      </c>
      <c r="AW317" s="12">
        <v>335355</v>
      </c>
      <c r="AX317" s="12">
        <v>176470.58</v>
      </c>
      <c r="AY317" s="12">
        <v>2</v>
      </c>
      <c r="AZ317" s="12">
        <v>98739.494999999995</v>
      </c>
      <c r="BA317" s="12">
        <v>54525</v>
      </c>
      <c r="BB317" s="12"/>
      <c r="BC317" s="12"/>
      <c r="BD317" s="12"/>
      <c r="BE317" s="12"/>
      <c r="BF317" s="12">
        <v>430</v>
      </c>
      <c r="BG317" s="12">
        <v>0</v>
      </c>
      <c r="BH317" s="12">
        <v>0</v>
      </c>
      <c r="BI317" s="12">
        <v>86</v>
      </c>
      <c r="BJ317" s="12">
        <v>1</v>
      </c>
      <c r="BK317" s="12">
        <v>1.1627906976744186E-2</v>
      </c>
      <c r="BL317" s="12">
        <v>39</v>
      </c>
      <c r="BM317" s="12">
        <v>1</v>
      </c>
      <c r="BN317" s="12">
        <v>2.564102564102564E-2</v>
      </c>
      <c r="BO317" s="12">
        <v>4</v>
      </c>
      <c r="BP317" s="12">
        <v>0</v>
      </c>
      <c r="BQ317" s="12">
        <v>0</v>
      </c>
      <c r="BR317" s="12">
        <v>135</v>
      </c>
      <c r="BS317" s="12">
        <v>0</v>
      </c>
      <c r="BT317" s="12">
        <v>0</v>
      </c>
      <c r="BU317" s="12">
        <v>694</v>
      </c>
      <c r="BV317" s="12">
        <v>2</v>
      </c>
      <c r="BW317" s="12">
        <v>2.881844380403458E-3</v>
      </c>
      <c r="BX317" s="12"/>
      <c r="BY317" s="12"/>
      <c r="BZ317" s="12"/>
      <c r="CA317" s="12">
        <v>57640.89</v>
      </c>
      <c r="CB317" s="13"/>
      <c r="CC317" s="13"/>
      <c r="CD317" s="13"/>
      <c r="CE317" s="12">
        <v>4534</v>
      </c>
      <c r="CF317" s="12">
        <v>515</v>
      </c>
      <c r="CG317" s="13">
        <v>48738</v>
      </c>
      <c r="CH317" s="13">
        <v>147</v>
      </c>
      <c r="CI317" s="13">
        <v>20110</v>
      </c>
    </row>
    <row r="318" spans="2:87" x14ac:dyDescent="0.2">
      <c r="B318" s="5">
        <v>46091</v>
      </c>
      <c r="C318" s="12">
        <v>12</v>
      </c>
      <c r="D318" s="12">
        <v>1.7</v>
      </c>
      <c r="E318" s="12">
        <v>162230.391</v>
      </c>
      <c r="F318" s="12">
        <v>0</v>
      </c>
      <c r="G318" s="12">
        <v>1946764.7</v>
      </c>
      <c r="H318" s="12">
        <v>0</v>
      </c>
      <c r="I318" s="12">
        <v>0</v>
      </c>
      <c r="J318" s="12">
        <v>1946764.7</v>
      </c>
      <c r="K318" s="12">
        <v>56000</v>
      </c>
      <c r="L318" s="12">
        <v>0</v>
      </c>
      <c r="M318" s="12">
        <v>363235.3</v>
      </c>
      <c r="N318" s="12">
        <v>2366000</v>
      </c>
      <c r="O318" s="12">
        <v>0</v>
      </c>
      <c r="P318" s="12">
        <v>1946764.7</v>
      </c>
      <c r="Q318" s="12">
        <v>611237</v>
      </c>
      <c r="R318" s="12">
        <v>1335527.7</v>
      </c>
      <c r="S318" s="12">
        <v>285000</v>
      </c>
      <c r="T318" s="12">
        <v>20</v>
      </c>
      <c r="U318" s="12">
        <v>0</v>
      </c>
      <c r="V318" s="12">
        <v>285000</v>
      </c>
      <c r="W318" s="35">
        <v>46144.261731053244</v>
      </c>
      <c r="X318" s="12">
        <v>7</v>
      </c>
      <c r="Y318" s="12">
        <v>7</v>
      </c>
      <c r="Z318" s="12">
        <v>1387941.17</v>
      </c>
      <c r="AA318" s="12">
        <v>198277.31</v>
      </c>
      <c r="AB318" s="12">
        <v>413735</v>
      </c>
      <c r="AC318" s="12">
        <v>974206.17</v>
      </c>
      <c r="AD318" s="12">
        <v>3</v>
      </c>
      <c r="AE318" s="12">
        <v>3</v>
      </c>
      <c r="AF318" s="12">
        <v>373949.58</v>
      </c>
      <c r="AG318" s="12">
        <v>124649.86</v>
      </c>
      <c r="AH318" s="12">
        <v>147083</v>
      </c>
      <c r="AI318" s="12">
        <v>226866.58</v>
      </c>
      <c r="AJ318" s="12">
        <v>1</v>
      </c>
      <c r="AK318" s="12">
        <v>2</v>
      </c>
      <c r="AL318" s="12">
        <v>184873.95</v>
      </c>
      <c r="AM318" s="12">
        <v>92436.975000000006</v>
      </c>
      <c r="AN318" s="12">
        <v>50419</v>
      </c>
      <c r="AO318" s="12">
        <v>134454.95000000001</v>
      </c>
      <c r="AP318" s="12">
        <v>1466386.55</v>
      </c>
      <c r="AQ318" s="12">
        <v>7</v>
      </c>
      <c r="AR318" s="12">
        <v>209483.79199999999</v>
      </c>
      <c r="AS318" s="12">
        <v>487275</v>
      </c>
      <c r="AT318" s="12">
        <v>438361.34</v>
      </c>
      <c r="AU318" s="12">
        <v>4</v>
      </c>
      <c r="AV318" s="12">
        <v>109590.33500000001</v>
      </c>
      <c r="AW318" s="12">
        <v>117189</v>
      </c>
      <c r="AX318" s="12">
        <v>42016.81</v>
      </c>
      <c r="AY318" s="12">
        <v>1</v>
      </c>
      <c r="AZ318" s="12">
        <v>42016.81</v>
      </c>
      <c r="BA318" s="12">
        <v>6773</v>
      </c>
      <c r="BB318" s="12"/>
      <c r="BC318" s="12"/>
      <c r="BD318" s="12"/>
      <c r="BE318" s="12"/>
      <c r="BF318" s="12">
        <v>271</v>
      </c>
      <c r="BG318" s="12">
        <v>2</v>
      </c>
      <c r="BH318" s="12">
        <v>7.3800738007380072E-3</v>
      </c>
      <c r="BI318" s="12">
        <v>61</v>
      </c>
      <c r="BJ318" s="12">
        <v>0</v>
      </c>
      <c r="BK318" s="12">
        <v>0</v>
      </c>
      <c r="BL318" s="12">
        <v>44</v>
      </c>
      <c r="BM318" s="12">
        <v>2</v>
      </c>
      <c r="BN318" s="12">
        <v>4.5454545454545456E-2</v>
      </c>
      <c r="BO318" s="12">
        <v>2</v>
      </c>
      <c r="BP318" s="12">
        <v>0</v>
      </c>
      <c r="BQ318" s="12">
        <v>0</v>
      </c>
      <c r="BR318" s="12">
        <v>71</v>
      </c>
      <c r="BS318" s="12">
        <v>3</v>
      </c>
      <c r="BT318" s="12">
        <v>4.2253521126760563E-2</v>
      </c>
      <c r="BU318" s="12">
        <v>449</v>
      </c>
      <c r="BV318" s="12">
        <v>7</v>
      </c>
      <c r="BW318" s="12">
        <v>1.5590200445434299E-2</v>
      </c>
      <c r="BX318" s="12"/>
      <c r="BY318" s="12"/>
      <c r="BZ318" s="12"/>
      <c r="CA318" s="12">
        <v>34939.19</v>
      </c>
      <c r="CB318" s="13"/>
      <c r="CC318" s="13"/>
      <c r="CD318" s="13"/>
      <c r="CE318" s="12">
        <v>3972</v>
      </c>
      <c r="CF318" s="12">
        <v>354</v>
      </c>
      <c r="CG318" s="13">
        <v>47536</v>
      </c>
      <c r="CH318" s="13">
        <v>99</v>
      </c>
      <c r="CI318" s="13">
        <v>17484</v>
      </c>
    </row>
    <row r="319" spans="2:87" x14ac:dyDescent="0.2">
      <c r="B319" s="5">
        <v>46092</v>
      </c>
      <c r="C319" s="12">
        <v>33</v>
      </c>
      <c r="D319" s="12">
        <v>20.100000000000001</v>
      </c>
      <c r="E319" s="12">
        <v>825965.11300000001</v>
      </c>
      <c r="F319" s="12">
        <v>0</v>
      </c>
      <c r="G319" s="12">
        <v>35104957.990000002</v>
      </c>
      <c r="H319" s="12">
        <v>-7848109.2300000004</v>
      </c>
      <c r="I319" s="12">
        <v>0</v>
      </c>
      <c r="J319" s="12">
        <v>27256848.760000002</v>
      </c>
      <c r="K319" s="12">
        <v>88000</v>
      </c>
      <c r="L319" s="12">
        <v>0</v>
      </c>
      <c r="M319" s="12">
        <v>5153151.24</v>
      </c>
      <c r="N319" s="12">
        <v>32498000</v>
      </c>
      <c r="O319" s="12">
        <v>29411.759999999998</v>
      </c>
      <c r="P319" s="12">
        <v>27227437</v>
      </c>
      <c r="Q319" s="12">
        <v>16863349</v>
      </c>
      <c r="R319" s="12">
        <v>10364088</v>
      </c>
      <c r="S319" s="12">
        <v>0</v>
      </c>
      <c r="T319" s="12">
        <v>664</v>
      </c>
      <c r="U319" s="12">
        <v>0</v>
      </c>
      <c r="V319" s="12">
        <v>0</v>
      </c>
      <c r="W319" s="35">
        <v>46144.261731053244</v>
      </c>
      <c r="X319" s="12">
        <v>11</v>
      </c>
      <c r="Y319" s="12">
        <v>15</v>
      </c>
      <c r="Z319" s="12">
        <v>2375336.15</v>
      </c>
      <c r="AA319" s="12">
        <v>158355.74299999999</v>
      </c>
      <c r="AB319" s="12">
        <v>590510</v>
      </c>
      <c r="AC319" s="12">
        <v>1784826.15</v>
      </c>
      <c r="AD319" s="12">
        <v>18</v>
      </c>
      <c r="AE319" s="12">
        <v>18</v>
      </c>
      <c r="AF319" s="12">
        <v>24881512.609999999</v>
      </c>
      <c r="AG319" s="12">
        <v>1382306.2560000001</v>
      </c>
      <c r="AH319" s="12">
        <v>16272839</v>
      </c>
      <c r="AI319" s="12">
        <v>8579261.8499999996</v>
      </c>
      <c r="AJ319" s="12"/>
      <c r="AK319" s="12"/>
      <c r="AL319" s="12"/>
      <c r="AM319" s="12"/>
      <c r="AN319" s="12"/>
      <c r="AO319" s="12"/>
      <c r="AP319" s="12">
        <v>1201680.68</v>
      </c>
      <c r="AQ319" s="12">
        <v>7</v>
      </c>
      <c r="AR319" s="12">
        <v>171668.66800000001</v>
      </c>
      <c r="AS319" s="12">
        <v>334566</v>
      </c>
      <c r="AT319" s="12">
        <v>2735840.35</v>
      </c>
      <c r="AU319" s="12">
        <v>25</v>
      </c>
      <c r="AV319" s="12">
        <v>109433.614</v>
      </c>
      <c r="AW319" s="12">
        <v>778983</v>
      </c>
      <c r="AX319" s="12"/>
      <c r="AY319" s="12"/>
      <c r="AZ319" s="12"/>
      <c r="BA319" s="12"/>
      <c r="BB319" s="12">
        <v>23319327.73</v>
      </c>
      <c r="BC319" s="12">
        <v>1</v>
      </c>
      <c r="BD319" s="12">
        <v>23319327.73</v>
      </c>
      <c r="BE319" s="12">
        <v>15749800</v>
      </c>
      <c r="BF319" s="12">
        <v>335</v>
      </c>
      <c r="BG319" s="12">
        <v>0</v>
      </c>
      <c r="BH319" s="12">
        <v>0</v>
      </c>
      <c r="BI319" s="12">
        <v>65</v>
      </c>
      <c r="BJ319" s="12">
        <v>0</v>
      </c>
      <c r="BK319" s="12">
        <v>0</v>
      </c>
      <c r="BL319" s="12">
        <v>43</v>
      </c>
      <c r="BM319" s="12">
        <v>1</v>
      </c>
      <c r="BN319" s="12">
        <v>2.3255813953488372E-2</v>
      </c>
      <c r="BO319" s="12"/>
      <c r="BP319" s="12"/>
      <c r="BQ319" s="12"/>
      <c r="BR319" s="12">
        <v>145</v>
      </c>
      <c r="BS319" s="12">
        <v>5</v>
      </c>
      <c r="BT319" s="12">
        <v>3.4482758620689655E-2</v>
      </c>
      <c r="BU319" s="12">
        <v>588</v>
      </c>
      <c r="BV319" s="12">
        <v>6</v>
      </c>
      <c r="BW319" s="12">
        <v>1.020408163265306E-2</v>
      </c>
      <c r="BX319" s="12"/>
      <c r="BY319" s="12"/>
      <c r="BZ319" s="12"/>
      <c r="CA319" s="12">
        <v>55168.7</v>
      </c>
      <c r="CB319" s="13"/>
      <c r="CC319" s="13"/>
      <c r="CD319" s="13"/>
      <c r="CE319" s="12">
        <v>4284</v>
      </c>
      <c r="CF319" s="12">
        <v>410</v>
      </c>
      <c r="CG319" s="13">
        <v>48107</v>
      </c>
      <c r="CH319" s="13">
        <v>115</v>
      </c>
      <c r="CI319" s="13">
        <v>17773</v>
      </c>
    </row>
    <row r="320" spans="2:87" x14ac:dyDescent="0.2">
      <c r="B320" s="5">
        <v>46093</v>
      </c>
      <c r="C320" s="12">
        <v>35</v>
      </c>
      <c r="D320" s="12">
        <v>4.3</v>
      </c>
      <c r="E320" s="12">
        <v>165880.671</v>
      </c>
      <c r="F320" s="12">
        <v>0</v>
      </c>
      <c r="G320" s="12">
        <v>5815907.54</v>
      </c>
      <c r="H320" s="12">
        <v>-10084.030000000001</v>
      </c>
      <c r="I320" s="12">
        <v>0</v>
      </c>
      <c r="J320" s="12">
        <v>5805823.5099999998</v>
      </c>
      <c r="K320" s="12">
        <v>84000</v>
      </c>
      <c r="L320" s="12">
        <v>0</v>
      </c>
      <c r="M320" s="12">
        <v>1056176.49</v>
      </c>
      <c r="N320" s="12">
        <v>6946000</v>
      </c>
      <c r="O320" s="12">
        <v>0</v>
      </c>
      <c r="P320" s="12">
        <v>5805823.5099999998</v>
      </c>
      <c r="Q320" s="12">
        <v>1896282</v>
      </c>
      <c r="R320" s="12">
        <v>3909541.51</v>
      </c>
      <c r="S320" s="12">
        <v>0</v>
      </c>
      <c r="T320" s="12">
        <v>151</v>
      </c>
      <c r="U320" s="12">
        <v>0</v>
      </c>
      <c r="V320" s="12">
        <v>0</v>
      </c>
      <c r="W320" s="35">
        <v>46144.261731053244</v>
      </c>
      <c r="X320" s="12">
        <v>13</v>
      </c>
      <c r="Y320" s="12">
        <v>19</v>
      </c>
      <c r="Z320" s="12">
        <v>3069596.62</v>
      </c>
      <c r="AA320" s="12">
        <v>161557.71599999999</v>
      </c>
      <c r="AB320" s="12">
        <v>941111</v>
      </c>
      <c r="AC320" s="12">
        <v>2128485.62</v>
      </c>
      <c r="AD320" s="12">
        <v>16</v>
      </c>
      <c r="AE320" s="12">
        <v>16</v>
      </c>
      <c r="AF320" s="12">
        <v>2736226.89</v>
      </c>
      <c r="AG320" s="12">
        <v>171014.18</v>
      </c>
      <c r="AH320" s="12">
        <v>955171</v>
      </c>
      <c r="AI320" s="12">
        <v>1781055.89</v>
      </c>
      <c r="AJ320" s="12"/>
      <c r="AK320" s="12"/>
      <c r="AL320" s="12"/>
      <c r="AM320" s="12"/>
      <c r="AN320" s="12"/>
      <c r="AO320" s="12"/>
      <c r="AP320" s="12">
        <v>1201680.67</v>
      </c>
      <c r="AQ320" s="12">
        <v>10</v>
      </c>
      <c r="AR320" s="12">
        <v>120168.067</v>
      </c>
      <c r="AS320" s="12">
        <v>448978</v>
      </c>
      <c r="AT320" s="12">
        <v>3452882.34</v>
      </c>
      <c r="AU320" s="12">
        <v>22</v>
      </c>
      <c r="AV320" s="12">
        <v>156949.19699999999</v>
      </c>
      <c r="AW320" s="12">
        <v>1051219</v>
      </c>
      <c r="AX320" s="12">
        <v>142857.14000000001</v>
      </c>
      <c r="AY320" s="12">
        <v>2</v>
      </c>
      <c r="AZ320" s="12">
        <v>71428.570000000007</v>
      </c>
      <c r="BA320" s="12">
        <v>23585</v>
      </c>
      <c r="BB320" s="12">
        <v>1008403.36</v>
      </c>
      <c r="BC320" s="12">
        <v>1</v>
      </c>
      <c r="BD320" s="12">
        <v>1008403.36</v>
      </c>
      <c r="BE320" s="12">
        <v>372500</v>
      </c>
      <c r="BF320" s="12">
        <v>328</v>
      </c>
      <c r="BG320" s="12">
        <v>0</v>
      </c>
      <c r="BH320" s="12">
        <v>0</v>
      </c>
      <c r="BI320" s="12">
        <v>78</v>
      </c>
      <c r="BJ320" s="12">
        <v>1</v>
      </c>
      <c r="BK320" s="12">
        <v>1.282051282051282E-2</v>
      </c>
      <c r="BL320" s="12">
        <v>47</v>
      </c>
      <c r="BM320" s="12">
        <v>0</v>
      </c>
      <c r="BN320" s="12">
        <v>0</v>
      </c>
      <c r="BO320" s="12">
        <v>8</v>
      </c>
      <c r="BP320" s="12">
        <v>0</v>
      </c>
      <c r="BQ320" s="12">
        <v>0</v>
      </c>
      <c r="BR320" s="12">
        <v>94</v>
      </c>
      <c r="BS320" s="12">
        <v>5</v>
      </c>
      <c r="BT320" s="12">
        <v>5.3191489361702128E-2</v>
      </c>
      <c r="BU320" s="12">
        <v>555</v>
      </c>
      <c r="BV320" s="12">
        <v>6</v>
      </c>
      <c r="BW320" s="12">
        <v>1.0810810810810811E-2</v>
      </c>
      <c r="BX320" s="12"/>
      <c r="BY320" s="12"/>
      <c r="BZ320" s="12"/>
      <c r="CA320" s="12">
        <v>66415.350000000006</v>
      </c>
      <c r="CB320" s="13"/>
      <c r="CC320" s="13"/>
      <c r="CD320" s="13"/>
      <c r="CE320" s="12">
        <v>4296</v>
      </c>
      <c r="CF320" s="12">
        <v>420</v>
      </c>
      <c r="CG320" s="13">
        <v>51762</v>
      </c>
      <c r="CH320" s="13">
        <v>112</v>
      </c>
      <c r="CI320" s="13">
        <v>17713</v>
      </c>
    </row>
    <row r="321" spans="2:87" x14ac:dyDescent="0.2">
      <c r="B321" s="5">
        <v>46094</v>
      </c>
      <c r="C321" s="12">
        <v>16</v>
      </c>
      <c r="D321" s="12">
        <v>1.4</v>
      </c>
      <c r="E321" s="12">
        <v>98913.341</v>
      </c>
      <c r="F321" s="12">
        <v>0</v>
      </c>
      <c r="G321" s="12">
        <v>1582613.46</v>
      </c>
      <c r="H321" s="12">
        <v>0</v>
      </c>
      <c r="I321" s="12">
        <v>0</v>
      </c>
      <c r="J321" s="12">
        <v>1582613.46</v>
      </c>
      <c r="K321" s="12">
        <v>24000</v>
      </c>
      <c r="L321" s="12">
        <v>0</v>
      </c>
      <c r="M321" s="12">
        <v>291386.53999999998</v>
      </c>
      <c r="N321" s="12">
        <v>1898000</v>
      </c>
      <c r="O321" s="12">
        <v>0</v>
      </c>
      <c r="P321" s="12">
        <v>1582613.46</v>
      </c>
      <c r="Q321" s="12">
        <v>362470</v>
      </c>
      <c r="R321" s="12">
        <v>1220143.46</v>
      </c>
      <c r="S321" s="12">
        <v>300000</v>
      </c>
      <c r="T321" s="12">
        <v>22</v>
      </c>
      <c r="U321" s="12">
        <v>0</v>
      </c>
      <c r="V321" s="12">
        <v>300000</v>
      </c>
      <c r="W321" s="35">
        <v>46144.261731053244</v>
      </c>
      <c r="X321" s="12">
        <v>10</v>
      </c>
      <c r="Y321" s="12">
        <v>12</v>
      </c>
      <c r="Z321" s="12">
        <v>1128831.95</v>
      </c>
      <c r="AA321" s="12">
        <v>94069.328999999998</v>
      </c>
      <c r="AB321" s="12">
        <v>299939</v>
      </c>
      <c r="AC321" s="12">
        <v>828892.95</v>
      </c>
      <c r="AD321" s="12">
        <v>4</v>
      </c>
      <c r="AE321" s="12">
        <v>4</v>
      </c>
      <c r="AF321" s="12">
        <v>453781.51</v>
      </c>
      <c r="AG321" s="12">
        <v>113445.37699999999</v>
      </c>
      <c r="AH321" s="12">
        <v>62531</v>
      </c>
      <c r="AI321" s="12">
        <v>391250.51</v>
      </c>
      <c r="AJ321" s="12">
        <v>0</v>
      </c>
      <c r="AK321" s="12">
        <v>0</v>
      </c>
      <c r="AL321" s="12">
        <v>0</v>
      </c>
      <c r="AM321" s="12"/>
      <c r="AN321" s="12">
        <v>0</v>
      </c>
      <c r="AO321" s="12">
        <v>0</v>
      </c>
      <c r="AP321" s="12">
        <v>487394.95</v>
      </c>
      <c r="AQ321" s="12">
        <v>3</v>
      </c>
      <c r="AR321" s="12">
        <v>162464.98300000001</v>
      </c>
      <c r="AS321" s="12">
        <v>67396</v>
      </c>
      <c r="AT321" s="12">
        <v>1053201.7</v>
      </c>
      <c r="AU321" s="12">
        <v>12</v>
      </c>
      <c r="AV321" s="12">
        <v>87766.808000000005</v>
      </c>
      <c r="AW321" s="12">
        <v>288301</v>
      </c>
      <c r="AX321" s="12">
        <v>42016.81</v>
      </c>
      <c r="AY321" s="12">
        <v>1</v>
      </c>
      <c r="AZ321" s="12">
        <v>42016.81</v>
      </c>
      <c r="BA321" s="12">
        <v>6773</v>
      </c>
      <c r="BB321" s="12"/>
      <c r="BC321" s="12"/>
      <c r="BD321" s="12"/>
      <c r="BE321" s="12"/>
      <c r="BF321" s="12">
        <v>181</v>
      </c>
      <c r="BG321" s="12">
        <v>0</v>
      </c>
      <c r="BH321" s="12">
        <v>0</v>
      </c>
      <c r="BI321" s="12">
        <v>72</v>
      </c>
      <c r="BJ321" s="12">
        <v>1</v>
      </c>
      <c r="BK321" s="12">
        <v>1.3888888888888888E-2</v>
      </c>
      <c r="BL321" s="12">
        <v>39</v>
      </c>
      <c r="BM321" s="12">
        <v>1</v>
      </c>
      <c r="BN321" s="12">
        <v>2.564102564102564E-2</v>
      </c>
      <c r="BO321" s="12">
        <v>4</v>
      </c>
      <c r="BP321" s="12">
        <v>0</v>
      </c>
      <c r="BQ321" s="12">
        <v>0</v>
      </c>
      <c r="BR321" s="12">
        <v>57</v>
      </c>
      <c r="BS321" s="12">
        <v>1</v>
      </c>
      <c r="BT321" s="12">
        <v>1.7543859649122806E-2</v>
      </c>
      <c r="BU321" s="12">
        <v>353</v>
      </c>
      <c r="BV321" s="12">
        <v>3</v>
      </c>
      <c r="BW321" s="12">
        <v>8.4985835694051E-3</v>
      </c>
      <c r="BX321" s="12"/>
      <c r="BY321" s="12"/>
      <c r="BZ321" s="12"/>
      <c r="CA321" s="12">
        <v>40099.629999999997</v>
      </c>
      <c r="CB321" s="13"/>
      <c r="CC321" s="13"/>
      <c r="CD321" s="13"/>
      <c r="CE321" s="12">
        <v>2808</v>
      </c>
      <c r="CF321" s="12">
        <v>256</v>
      </c>
      <c r="CG321" s="13">
        <v>54340</v>
      </c>
      <c r="CH321" s="13">
        <v>95</v>
      </c>
      <c r="CI321" s="13">
        <v>17417</v>
      </c>
    </row>
    <row r="322" spans="2:87" x14ac:dyDescent="0.2">
      <c r="B322" s="5">
        <v>46095</v>
      </c>
      <c r="C322" s="12">
        <v>32</v>
      </c>
      <c r="D322" s="12">
        <v>2.4</v>
      </c>
      <c r="E322" s="12">
        <v>143189.33799999999</v>
      </c>
      <c r="F322" s="12">
        <v>0</v>
      </c>
      <c r="G322" s="12">
        <v>4582058.83</v>
      </c>
      <c r="H322" s="12">
        <v>0</v>
      </c>
      <c r="I322" s="12">
        <v>0</v>
      </c>
      <c r="J322" s="12">
        <v>4582058.83</v>
      </c>
      <c r="K322" s="12">
        <v>64000</v>
      </c>
      <c r="L322" s="12">
        <v>0</v>
      </c>
      <c r="M322" s="12">
        <v>863941.17</v>
      </c>
      <c r="N322" s="12">
        <v>5510000</v>
      </c>
      <c r="O322" s="12">
        <v>368067.23</v>
      </c>
      <c r="P322" s="12">
        <v>4213991.5999999996</v>
      </c>
      <c r="Q322" s="12">
        <v>1308058</v>
      </c>
      <c r="R322" s="12">
        <v>2905933.6</v>
      </c>
      <c r="S322" s="12">
        <v>0</v>
      </c>
      <c r="T322" s="12">
        <v>76</v>
      </c>
      <c r="U322" s="12">
        <v>0</v>
      </c>
      <c r="V322" s="12">
        <v>0</v>
      </c>
      <c r="W322" s="35">
        <v>46144.261731053244</v>
      </c>
      <c r="X322" s="12">
        <v>10</v>
      </c>
      <c r="Y322" s="12">
        <v>23</v>
      </c>
      <c r="Z322" s="12">
        <v>2716512.61</v>
      </c>
      <c r="AA322" s="12">
        <v>118109.243</v>
      </c>
      <c r="AB322" s="12">
        <v>694555</v>
      </c>
      <c r="AC322" s="12">
        <v>1653890.38</v>
      </c>
      <c r="AD322" s="12">
        <v>8</v>
      </c>
      <c r="AE322" s="12">
        <v>8</v>
      </c>
      <c r="AF322" s="12">
        <v>1743697.48</v>
      </c>
      <c r="AG322" s="12">
        <v>217962.185</v>
      </c>
      <c r="AH322" s="12">
        <v>572013</v>
      </c>
      <c r="AI322" s="12">
        <v>1171684.48</v>
      </c>
      <c r="AJ322" s="12">
        <v>1</v>
      </c>
      <c r="AK322" s="12">
        <v>1</v>
      </c>
      <c r="AL322" s="12">
        <v>121848.74</v>
      </c>
      <c r="AM322" s="12">
        <v>121848.74</v>
      </c>
      <c r="AN322" s="12">
        <v>41490</v>
      </c>
      <c r="AO322" s="12">
        <v>80358.740000000005</v>
      </c>
      <c r="AP322" s="12">
        <v>915966.39</v>
      </c>
      <c r="AQ322" s="12">
        <v>5</v>
      </c>
      <c r="AR322" s="12">
        <v>183193.27799999999</v>
      </c>
      <c r="AS322" s="12">
        <v>297983</v>
      </c>
      <c r="AT322" s="12">
        <v>3544243.7</v>
      </c>
      <c r="AU322" s="12">
        <v>25</v>
      </c>
      <c r="AV322" s="12">
        <v>141769.74799999999</v>
      </c>
      <c r="AW322" s="12">
        <v>968585</v>
      </c>
      <c r="AX322" s="12">
        <v>121848.74</v>
      </c>
      <c r="AY322" s="12">
        <v>2</v>
      </c>
      <c r="AZ322" s="12">
        <v>60924.37</v>
      </c>
      <c r="BA322" s="12">
        <v>41490</v>
      </c>
      <c r="BB322" s="12"/>
      <c r="BC322" s="12"/>
      <c r="BD322" s="12"/>
      <c r="BE322" s="12"/>
      <c r="BF322" s="12">
        <v>453</v>
      </c>
      <c r="BG322" s="12">
        <v>2</v>
      </c>
      <c r="BH322" s="12">
        <v>4.4150110375275938E-3</v>
      </c>
      <c r="BI322" s="12">
        <v>86</v>
      </c>
      <c r="BJ322" s="12">
        <v>0</v>
      </c>
      <c r="BK322" s="12">
        <v>0</v>
      </c>
      <c r="BL322" s="12">
        <v>43</v>
      </c>
      <c r="BM322" s="12">
        <v>1</v>
      </c>
      <c r="BN322" s="12">
        <v>2.3255813953488372E-2</v>
      </c>
      <c r="BO322" s="12">
        <v>4</v>
      </c>
      <c r="BP322" s="12">
        <v>0</v>
      </c>
      <c r="BQ322" s="12">
        <v>0</v>
      </c>
      <c r="BR322" s="12">
        <v>53</v>
      </c>
      <c r="BS322" s="12">
        <v>2</v>
      </c>
      <c r="BT322" s="12">
        <v>3.7735849056603772E-2</v>
      </c>
      <c r="BU322" s="12">
        <v>639</v>
      </c>
      <c r="BV322" s="12">
        <v>5</v>
      </c>
      <c r="BW322" s="12">
        <v>7.8247261345852897E-3</v>
      </c>
      <c r="BX322" s="12"/>
      <c r="BY322" s="12"/>
      <c r="BZ322" s="12"/>
      <c r="CA322" s="12">
        <v>55743.360000000001</v>
      </c>
      <c r="CB322" s="13"/>
      <c r="CC322" s="13"/>
      <c r="CD322" s="13"/>
      <c r="CE322" s="12">
        <v>4758</v>
      </c>
      <c r="CF322" s="12">
        <v>532</v>
      </c>
      <c r="CG322" s="13">
        <v>54154</v>
      </c>
      <c r="CH322" s="13">
        <v>131</v>
      </c>
      <c r="CI322" s="13">
        <v>17376</v>
      </c>
    </row>
    <row r="323" spans="2:87" x14ac:dyDescent="0.2">
      <c r="B323" s="5">
        <v>46096</v>
      </c>
      <c r="C323" s="12">
        <v>11</v>
      </c>
      <c r="D323" s="12">
        <v>3.7</v>
      </c>
      <c r="E323" s="12">
        <v>161191.75</v>
      </c>
      <c r="F323" s="12">
        <v>0</v>
      </c>
      <c r="G323" s="12">
        <v>1773109.25</v>
      </c>
      <c r="H323" s="12">
        <v>0</v>
      </c>
      <c r="I323" s="12">
        <v>0</v>
      </c>
      <c r="J323" s="12">
        <v>1773109.25</v>
      </c>
      <c r="K323" s="12">
        <v>12000</v>
      </c>
      <c r="L323" s="12">
        <v>0</v>
      </c>
      <c r="M323" s="12">
        <v>336890.75</v>
      </c>
      <c r="N323" s="12">
        <v>2122000</v>
      </c>
      <c r="O323" s="12">
        <v>0</v>
      </c>
      <c r="P323" s="12">
        <v>1773109.25</v>
      </c>
      <c r="Q323" s="12">
        <v>358635</v>
      </c>
      <c r="R323" s="12">
        <v>1414474.25</v>
      </c>
      <c r="S323" s="12">
        <v>0</v>
      </c>
      <c r="T323" s="12">
        <v>41</v>
      </c>
      <c r="U323" s="12">
        <v>0</v>
      </c>
      <c r="V323" s="12">
        <v>0</v>
      </c>
      <c r="W323" s="35">
        <v>46144.261731053244</v>
      </c>
      <c r="X323" s="12">
        <v>5</v>
      </c>
      <c r="Y323" s="12">
        <v>9</v>
      </c>
      <c r="Z323" s="12">
        <v>1470588.24</v>
      </c>
      <c r="AA323" s="12">
        <v>163398.693</v>
      </c>
      <c r="AB323" s="12">
        <v>267489</v>
      </c>
      <c r="AC323" s="12">
        <v>1203099.24</v>
      </c>
      <c r="AD323" s="12">
        <v>2</v>
      </c>
      <c r="AE323" s="12">
        <v>2</v>
      </c>
      <c r="AF323" s="12">
        <v>302521.01</v>
      </c>
      <c r="AG323" s="12">
        <v>151260.505</v>
      </c>
      <c r="AH323" s="12">
        <v>91146</v>
      </c>
      <c r="AI323" s="12">
        <v>211375.01</v>
      </c>
      <c r="AJ323" s="12"/>
      <c r="AK323" s="12"/>
      <c r="AL323" s="12"/>
      <c r="AM323" s="12"/>
      <c r="AN323" s="12"/>
      <c r="AO323" s="12"/>
      <c r="AP323" s="12">
        <v>357142.86</v>
      </c>
      <c r="AQ323" s="12">
        <v>3</v>
      </c>
      <c r="AR323" s="12">
        <v>119047.62</v>
      </c>
      <c r="AS323" s="12">
        <v>64660</v>
      </c>
      <c r="AT323" s="12">
        <v>1415966.39</v>
      </c>
      <c r="AU323" s="12">
        <v>8</v>
      </c>
      <c r="AV323" s="12">
        <v>176995.79800000001</v>
      </c>
      <c r="AW323" s="12">
        <v>293975</v>
      </c>
      <c r="AX323" s="12"/>
      <c r="AY323" s="12"/>
      <c r="AZ323" s="12"/>
      <c r="BA323" s="12"/>
      <c r="BB323" s="12"/>
      <c r="BC323" s="12"/>
      <c r="BD323" s="12"/>
      <c r="BE323" s="12"/>
      <c r="BF323" s="12">
        <v>125</v>
      </c>
      <c r="BG323" s="12">
        <v>0</v>
      </c>
      <c r="BH323" s="12">
        <v>0</v>
      </c>
      <c r="BI323" s="12">
        <v>123</v>
      </c>
      <c r="BJ323" s="12">
        <v>0</v>
      </c>
      <c r="BK323" s="12">
        <v>0</v>
      </c>
      <c r="BL323" s="12">
        <v>26</v>
      </c>
      <c r="BM323" s="12">
        <v>1</v>
      </c>
      <c r="BN323" s="12">
        <v>3.8461538461538464E-2</v>
      </c>
      <c r="BO323" s="12">
        <v>2</v>
      </c>
      <c r="BP323" s="12">
        <v>0</v>
      </c>
      <c r="BQ323" s="12">
        <v>0</v>
      </c>
      <c r="BR323" s="12">
        <v>49</v>
      </c>
      <c r="BS323" s="12">
        <v>2</v>
      </c>
      <c r="BT323" s="12">
        <v>4.0816326530612242E-2</v>
      </c>
      <c r="BU323" s="12">
        <v>325</v>
      </c>
      <c r="BV323" s="12">
        <v>3</v>
      </c>
      <c r="BW323" s="12">
        <v>9.2307692307692316E-3</v>
      </c>
      <c r="BX323" s="12"/>
      <c r="BY323" s="12"/>
      <c r="BZ323" s="12"/>
      <c r="CA323" s="12">
        <v>26709.279999999999</v>
      </c>
      <c r="CB323" s="13"/>
      <c r="CC323" s="13"/>
      <c r="CD323" s="13"/>
      <c r="CE323" s="12">
        <v>1818</v>
      </c>
      <c r="CF323" s="12">
        <v>207</v>
      </c>
      <c r="CG323" s="13">
        <v>73344</v>
      </c>
      <c r="CH323" s="13">
        <v>159</v>
      </c>
      <c r="CI323" s="13">
        <v>20446</v>
      </c>
    </row>
    <row r="324" spans="2:87" x14ac:dyDescent="0.2">
      <c r="B324" s="5">
        <v>46097</v>
      </c>
      <c r="C324" s="12">
        <v>20</v>
      </c>
      <c r="D324" s="12">
        <v>1.6</v>
      </c>
      <c r="E324" s="12">
        <v>98086.975000000006</v>
      </c>
      <c r="F324" s="12">
        <v>0</v>
      </c>
      <c r="G324" s="12">
        <v>1961739.5</v>
      </c>
      <c r="H324" s="12">
        <v>0</v>
      </c>
      <c r="I324" s="12">
        <v>0</v>
      </c>
      <c r="J324" s="12">
        <v>1961739.5</v>
      </c>
      <c r="K324" s="12">
        <v>28000</v>
      </c>
      <c r="L324" s="12">
        <v>0</v>
      </c>
      <c r="M324" s="12">
        <v>351260.5</v>
      </c>
      <c r="N324" s="12">
        <v>2341000</v>
      </c>
      <c r="O324" s="12">
        <v>0</v>
      </c>
      <c r="P324" s="12">
        <v>1961739.5</v>
      </c>
      <c r="Q324" s="12">
        <v>605495</v>
      </c>
      <c r="R324" s="12">
        <v>1356244.5</v>
      </c>
      <c r="S324" s="12">
        <v>0</v>
      </c>
      <c r="T324" s="12">
        <v>33</v>
      </c>
      <c r="U324" s="12">
        <v>0</v>
      </c>
      <c r="V324" s="12">
        <v>0</v>
      </c>
      <c r="W324" s="35">
        <v>46144.261731053244</v>
      </c>
      <c r="X324" s="12">
        <v>9</v>
      </c>
      <c r="Y324" s="12">
        <v>12</v>
      </c>
      <c r="Z324" s="12">
        <v>1046218.49</v>
      </c>
      <c r="AA324" s="12">
        <v>87184.873999999996</v>
      </c>
      <c r="AB324" s="12">
        <v>269791</v>
      </c>
      <c r="AC324" s="12">
        <v>776427.49</v>
      </c>
      <c r="AD324" s="12">
        <v>8</v>
      </c>
      <c r="AE324" s="12">
        <v>8</v>
      </c>
      <c r="AF324" s="12">
        <v>915521.01</v>
      </c>
      <c r="AG324" s="12">
        <v>114440.126</v>
      </c>
      <c r="AH324" s="12">
        <v>335704</v>
      </c>
      <c r="AI324" s="12">
        <v>579817.01</v>
      </c>
      <c r="AJ324" s="12"/>
      <c r="AK324" s="12"/>
      <c r="AL324" s="12"/>
      <c r="AM324" s="12"/>
      <c r="AN324" s="12"/>
      <c r="AO324" s="12"/>
      <c r="AP324" s="12">
        <v>613445.38</v>
      </c>
      <c r="AQ324" s="12">
        <v>5</v>
      </c>
      <c r="AR324" s="12">
        <v>122689.076</v>
      </c>
      <c r="AS324" s="12">
        <v>184826</v>
      </c>
      <c r="AT324" s="12">
        <v>1348294.12</v>
      </c>
      <c r="AU324" s="12">
        <v>15</v>
      </c>
      <c r="AV324" s="12">
        <v>89886.274000000005</v>
      </c>
      <c r="AW324" s="12">
        <v>420669</v>
      </c>
      <c r="AX324" s="12"/>
      <c r="AY324" s="12"/>
      <c r="AZ324" s="12"/>
      <c r="BA324" s="12"/>
      <c r="BB324" s="12"/>
      <c r="BC324" s="12"/>
      <c r="BD324" s="12"/>
      <c r="BE324" s="12"/>
      <c r="BF324" s="12">
        <v>318</v>
      </c>
      <c r="BG324" s="12">
        <v>0</v>
      </c>
      <c r="BH324" s="12">
        <v>0</v>
      </c>
      <c r="BI324" s="12">
        <v>90</v>
      </c>
      <c r="BJ324" s="12">
        <v>1</v>
      </c>
      <c r="BK324" s="12">
        <v>1.1111111111111112E-2</v>
      </c>
      <c r="BL324" s="12">
        <v>42</v>
      </c>
      <c r="BM324" s="12">
        <v>3</v>
      </c>
      <c r="BN324" s="12">
        <v>7.1428571428571425E-2</v>
      </c>
      <c r="BO324" s="12">
        <v>3</v>
      </c>
      <c r="BP324" s="12">
        <v>0</v>
      </c>
      <c r="BQ324" s="12">
        <v>0</v>
      </c>
      <c r="BR324" s="12">
        <v>65</v>
      </c>
      <c r="BS324" s="12">
        <v>0</v>
      </c>
      <c r="BT324" s="12">
        <v>0</v>
      </c>
      <c r="BU324" s="12">
        <v>518</v>
      </c>
      <c r="BV324" s="12">
        <v>4</v>
      </c>
      <c r="BW324" s="12">
        <v>7.7220077220077222E-3</v>
      </c>
      <c r="BX324" s="12"/>
      <c r="BY324" s="12"/>
      <c r="BZ324" s="12"/>
      <c r="CA324" s="12">
        <v>60000.07</v>
      </c>
      <c r="CB324" s="13"/>
      <c r="CC324" s="13"/>
      <c r="CD324" s="13"/>
      <c r="CE324" s="12">
        <v>4191</v>
      </c>
      <c r="CF324" s="12">
        <v>428</v>
      </c>
      <c r="CG324" s="13">
        <v>59282</v>
      </c>
      <c r="CH324" s="13">
        <v>162</v>
      </c>
      <c r="CI324" s="13">
        <v>17032</v>
      </c>
    </row>
    <row r="325" spans="2:87" x14ac:dyDescent="0.2">
      <c r="B325" s="5">
        <v>46098</v>
      </c>
      <c r="C325" s="12">
        <v>28</v>
      </c>
      <c r="D325" s="12">
        <v>2.1</v>
      </c>
      <c r="E325" s="12">
        <v>150204.08100000001</v>
      </c>
      <c r="F325" s="12">
        <v>0</v>
      </c>
      <c r="G325" s="12">
        <v>4256134.46</v>
      </c>
      <c r="H325" s="12">
        <v>-50420.17</v>
      </c>
      <c r="I325" s="12">
        <v>0</v>
      </c>
      <c r="J325" s="12">
        <v>4205714.29</v>
      </c>
      <c r="K325" s="12">
        <v>72000</v>
      </c>
      <c r="L325" s="12">
        <v>0</v>
      </c>
      <c r="M325" s="12">
        <v>785785.71</v>
      </c>
      <c r="N325" s="12">
        <v>5063500</v>
      </c>
      <c r="O325" s="12">
        <v>168067.22</v>
      </c>
      <c r="P325" s="12">
        <v>4037647.07</v>
      </c>
      <c r="Q325" s="12">
        <v>1320946</v>
      </c>
      <c r="R325" s="12">
        <v>2716701.07</v>
      </c>
      <c r="S325" s="12">
        <v>0</v>
      </c>
      <c r="T325" s="12">
        <v>60</v>
      </c>
      <c r="U325" s="12">
        <v>0</v>
      </c>
      <c r="V325" s="12">
        <v>0</v>
      </c>
      <c r="W325" s="35">
        <v>46144.261731053244</v>
      </c>
      <c r="X325" s="12">
        <v>11</v>
      </c>
      <c r="Y325" s="12">
        <v>13</v>
      </c>
      <c r="Z325" s="12">
        <v>2267352.9500000002</v>
      </c>
      <c r="AA325" s="12">
        <v>174411.76500000001</v>
      </c>
      <c r="AB325" s="12">
        <v>764800</v>
      </c>
      <c r="AC325" s="12">
        <v>1502552.95</v>
      </c>
      <c r="AD325" s="12">
        <v>14</v>
      </c>
      <c r="AE325" s="12">
        <v>14</v>
      </c>
      <c r="AF325" s="12">
        <v>1827731.09</v>
      </c>
      <c r="AG325" s="12">
        <v>130552.22</v>
      </c>
      <c r="AH325" s="12">
        <v>523501</v>
      </c>
      <c r="AI325" s="12">
        <v>1136162.8700000001</v>
      </c>
      <c r="AJ325" s="12">
        <v>1</v>
      </c>
      <c r="AK325" s="12">
        <v>1</v>
      </c>
      <c r="AL325" s="12">
        <v>110630.25</v>
      </c>
      <c r="AM325" s="12">
        <v>110630.25</v>
      </c>
      <c r="AN325" s="12">
        <v>32645</v>
      </c>
      <c r="AO325" s="12">
        <v>77985.25</v>
      </c>
      <c r="AP325" s="12">
        <v>1781512.61</v>
      </c>
      <c r="AQ325" s="12">
        <v>10</v>
      </c>
      <c r="AR325" s="12">
        <v>178151.261</v>
      </c>
      <c r="AS325" s="12">
        <v>741680</v>
      </c>
      <c r="AT325" s="12">
        <v>2424201.6800000002</v>
      </c>
      <c r="AU325" s="12">
        <v>18</v>
      </c>
      <c r="AV325" s="12">
        <v>134677.87100000001</v>
      </c>
      <c r="AW325" s="12">
        <v>579266</v>
      </c>
      <c r="AX325" s="12"/>
      <c r="AY325" s="12"/>
      <c r="AZ325" s="12"/>
      <c r="BA325" s="12"/>
      <c r="BB325" s="12"/>
      <c r="BC325" s="12"/>
      <c r="BD325" s="12"/>
      <c r="BE325" s="12"/>
      <c r="BF325" s="12">
        <v>111</v>
      </c>
      <c r="BG325" s="12">
        <v>0</v>
      </c>
      <c r="BH325" s="12">
        <v>0</v>
      </c>
      <c r="BI325" s="12">
        <v>80</v>
      </c>
      <c r="BJ325" s="12">
        <v>0</v>
      </c>
      <c r="BK325" s="12">
        <v>0</v>
      </c>
      <c r="BL325" s="12">
        <v>61</v>
      </c>
      <c r="BM325" s="12">
        <v>5</v>
      </c>
      <c r="BN325" s="12">
        <v>8.1967213114754092E-2</v>
      </c>
      <c r="BO325" s="12">
        <v>7</v>
      </c>
      <c r="BP325" s="12">
        <v>0</v>
      </c>
      <c r="BQ325" s="12">
        <v>0</v>
      </c>
      <c r="BR325" s="12">
        <v>63</v>
      </c>
      <c r="BS325" s="12">
        <v>4</v>
      </c>
      <c r="BT325" s="12">
        <v>6.3492063492063489E-2</v>
      </c>
      <c r="BU325" s="12">
        <v>322</v>
      </c>
      <c r="BV325" s="12">
        <v>9</v>
      </c>
      <c r="BW325" s="12">
        <v>2.7950310559006212E-2</v>
      </c>
      <c r="BX325" s="12"/>
      <c r="BY325" s="12"/>
      <c r="BZ325" s="12"/>
      <c r="CA325" s="12">
        <v>39689.61</v>
      </c>
      <c r="CB325" s="13"/>
      <c r="CC325" s="13"/>
      <c r="CD325" s="13"/>
      <c r="CE325" s="12">
        <v>2420</v>
      </c>
      <c r="CF325" s="12">
        <v>217</v>
      </c>
      <c r="CG325" s="13">
        <v>43479</v>
      </c>
      <c r="CH325" s="13">
        <v>114</v>
      </c>
      <c r="CI325" s="13">
        <v>15653</v>
      </c>
    </row>
    <row r="326" spans="2:87" x14ac:dyDescent="0.2">
      <c r="B326" s="5">
        <v>46099</v>
      </c>
      <c r="C326" s="12">
        <v>13</v>
      </c>
      <c r="D326" s="12">
        <v>2.2000000000000002</v>
      </c>
      <c r="E326" s="12">
        <v>131286.35999999999</v>
      </c>
      <c r="F326" s="12">
        <v>0</v>
      </c>
      <c r="G326" s="12">
        <v>1706722.68</v>
      </c>
      <c r="H326" s="12">
        <v>0</v>
      </c>
      <c r="I326" s="12">
        <v>0</v>
      </c>
      <c r="J326" s="12">
        <v>1706722.68</v>
      </c>
      <c r="K326" s="12">
        <v>12000</v>
      </c>
      <c r="L326" s="12">
        <v>0</v>
      </c>
      <c r="M326" s="12">
        <v>324277.32</v>
      </c>
      <c r="N326" s="12">
        <v>2043000</v>
      </c>
      <c r="O326" s="12">
        <v>0</v>
      </c>
      <c r="P326" s="12">
        <v>1706722.68</v>
      </c>
      <c r="Q326" s="12">
        <v>452636</v>
      </c>
      <c r="R326" s="12">
        <v>1254086.68</v>
      </c>
      <c r="S326" s="12">
        <v>0</v>
      </c>
      <c r="T326" s="12">
        <v>29</v>
      </c>
      <c r="U326" s="12">
        <v>0</v>
      </c>
      <c r="V326" s="12">
        <v>0</v>
      </c>
      <c r="W326" s="35">
        <v>46144.261731053244</v>
      </c>
      <c r="X326" s="12">
        <v>6</v>
      </c>
      <c r="Y326" s="12">
        <v>8</v>
      </c>
      <c r="Z326" s="12">
        <v>841176.47</v>
      </c>
      <c r="AA326" s="12">
        <v>105147.058</v>
      </c>
      <c r="AB326" s="12">
        <v>250934</v>
      </c>
      <c r="AC326" s="12">
        <v>590242.47</v>
      </c>
      <c r="AD326" s="12">
        <v>4</v>
      </c>
      <c r="AE326" s="12">
        <v>4</v>
      </c>
      <c r="AF326" s="12">
        <v>789915.96</v>
      </c>
      <c r="AG326" s="12">
        <v>197478.99</v>
      </c>
      <c r="AH326" s="12">
        <v>169057</v>
      </c>
      <c r="AI326" s="12">
        <v>620858.96</v>
      </c>
      <c r="AJ326" s="12">
        <v>1</v>
      </c>
      <c r="AK326" s="12">
        <v>1</v>
      </c>
      <c r="AL326" s="12">
        <v>75630.25</v>
      </c>
      <c r="AM326" s="12">
        <v>75630.25</v>
      </c>
      <c r="AN326" s="12">
        <v>32645</v>
      </c>
      <c r="AO326" s="12">
        <v>42985.25</v>
      </c>
      <c r="AP326" s="12">
        <v>201680.67</v>
      </c>
      <c r="AQ326" s="12">
        <v>1</v>
      </c>
      <c r="AR326" s="12">
        <v>201680.67</v>
      </c>
      <c r="AS326" s="12">
        <v>46064</v>
      </c>
      <c r="AT326" s="12">
        <v>1421008.4</v>
      </c>
      <c r="AU326" s="12">
        <v>11</v>
      </c>
      <c r="AV326" s="12">
        <v>129182.58100000001</v>
      </c>
      <c r="AW326" s="12">
        <v>393026</v>
      </c>
      <c r="AX326" s="12">
        <v>84033.61</v>
      </c>
      <c r="AY326" s="12">
        <v>1</v>
      </c>
      <c r="AZ326" s="12">
        <v>84033.61</v>
      </c>
      <c r="BA326" s="12">
        <v>13546</v>
      </c>
      <c r="BB326" s="12"/>
      <c r="BC326" s="12"/>
      <c r="BD326" s="12"/>
      <c r="BE326" s="12"/>
      <c r="BF326" s="12">
        <v>423</v>
      </c>
      <c r="BG326" s="12">
        <v>1</v>
      </c>
      <c r="BH326" s="12">
        <v>2.3640661938534278E-3</v>
      </c>
      <c r="BI326" s="12">
        <v>82</v>
      </c>
      <c r="BJ326" s="12">
        <v>0</v>
      </c>
      <c r="BK326" s="12">
        <v>0</v>
      </c>
      <c r="BL326" s="12">
        <v>55</v>
      </c>
      <c r="BM326" s="12">
        <v>0</v>
      </c>
      <c r="BN326" s="12">
        <v>0</v>
      </c>
      <c r="BO326" s="12">
        <v>4</v>
      </c>
      <c r="BP326" s="12">
        <v>0</v>
      </c>
      <c r="BQ326" s="12">
        <v>0</v>
      </c>
      <c r="BR326" s="12">
        <v>113</v>
      </c>
      <c r="BS326" s="12">
        <v>1</v>
      </c>
      <c r="BT326" s="12">
        <v>8.8495575221238937E-3</v>
      </c>
      <c r="BU326" s="12">
        <v>677</v>
      </c>
      <c r="BV326" s="12">
        <v>2</v>
      </c>
      <c r="BW326" s="12">
        <v>2.9542097488921715E-3</v>
      </c>
      <c r="BX326" s="12"/>
      <c r="BY326" s="12"/>
      <c r="BZ326" s="12"/>
      <c r="CA326" s="12">
        <v>69477.09</v>
      </c>
      <c r="CB326" s="13"/>
      <c r="CC326" s="13"/>
      <c r="CD326" s="13"/>
      <c r="CE326" s="12">
        <v>5201</v>
      </c>
      <c r="CF326" s="12">
        <v>547</v>
      </c>
      <c r="CG326" s="13">
        <v>46177</v>
      </c>
      <c r="CH326" s="13">
        <v>138</v>
      </c>
      <c r="CI326" s="13">
        <v>16466</v>
      </c>
    </row>
    <row r="327" spans="2:87" x14ac:dyDescent="0.2">
      <c r="B327" s="5">
        <v>46100</v>
      </c>
      <c r="C327" s="12">
        <v>27</v>
      </c>
      <c r="D327" s="12">
        <v>4.3</v>
      </c>
      <c r="E327" s="12">
        <v>226157.79500000001</v>
      </c>
      <c r="F327" s="12">
        <v>0</v>
      </c>
      <c r="G327" s="12">
        <v>6535840.2699999996</v>
      </c>
      <c r="H327" s="12">
        <v>-429579.79</v>
      </c>
      <c r="I327" s="12">
        <v>0</v>
      </c>
      <c r="J327" s="12">
        <v>6106260.4800000004</v>
      </c>
      <c r="K327" s="12">
        <v>52000</v>
      </c>
      <c r="L327" s="12">
        <v>0</v>
      </c>
      <c r="M327" s="12">
        <v>1153539.52</v>
      </c>
      <c r="N327" s="12">
        <v>7311800</v>
      </c>
      <c r="O327" s="12">
        <v>364285.7</v>
      </c>
      <c r="P327" s="12">
        <v>5741974.7800000003</v>
      </c>
      <c r="Q327" s="12">
        <v>1850331</v>
      </c>
      <c r="R327" s="12">
        <v>3891643.78</v>
      </c>
      <c r="S327" s="12">
        <v>0</v>
      </c>
      <c r="T327" s="12">
        <v>117</v>
      </c>
      <c r="U327" s="12">
        <v>0</v>
      </c>
      <c r="V327" s="12">
        <v>0</v>
      </c>
      <c r="W327" s="35">
        <v>46144.261731053244</v>
      </c>
      <c r="X327" s="12">
        <v>11</v>
      </c>
      <c r="Y327" s="12">
        <v>16</v>
      </c>
      <c r="Z327" s="12">
        <v>2552941.16</v>
      </c>
      <c r="AA327" s="12">
        <v>159558.82199999999</v>
      </c>
      <c r="AB327" s="12">
        <v>759640</v>
      </c>
      <c r="AC327" s="12">
        <v>1793301.16</v>
      </c>
      <c r="AD327" s="12">
        <v>10</v>
      </c>
      <c r="AE327" s="12">
        <v>10</v>
      </c>
      <c r="AF327" s="12">
        <v>3519705.87</v>
      </c>
      <c r="AG327" s="12">
        <v>351970.587</v>
      </c>
      <c r="AH327" s="12">
        <v>1084673</v>
      </c>
      <c r="AI327" s="12">
        <v>2070747.17</v>
      </c>
      <c r="AJ327" s="12">
        <v>1</v>
      </c>
      <c r="AK327" s="12">
        <v>1</v>
      </c>
      <c r="AL327" s="12">
        <v>33613.449999999997</v>
      </c>
      <c r="AM327" s="12">
        <v>33613.449999999997</v>
      </c>
      <c r="AN327" s="12">
        <v>6018</v>
      </c>
      <c r="AO327" s="12">
        <v>27595.45</v>
      </c>
      <c r="AP327" s="12">
        <v>361344.54</v>
      </c>
      <c r="AQ327" s="12">
        <v>4</v>
      </c>
      <c r="AR327" s="12">
        <v>90336.134999999995</v>
      </c>
      <c r="AS327" s="12">
        <v>90879</v>
      </c>
      <c r="AT327" s="12">
        <v>5711302.4900000002</v>
      </c>
      <c r="AU327" s="12">
        <v>22</v>
      </c>
      <c r="AV327" s="12">
        <v>259604.658</v>
      </c>
      <c r="AW327" s="12">
        <v>1753434</v>
      </c>
      <c r="AX327" s="12">
        <v>33613.449999999997</v>
      </c>
      <c r="AY327" s="12">
        <v>1</v>
      </c>
      <c r="AZ327" s="12">
        <v>33613.449999999997</v>
      </c>
      <c r="BA327" s="12">
        <v>6018</v>
      </c>
      <c r="BB327" s="12"/>
      <c r="BC327" s="12"/>
      <c r="BD327" s="12"/>
      <c r="BE327" s="12"/>
      <c r="BF327" s="12">
        <v>318</v>
      </c>
      <c r="BG327" s="12">
        <v>0</v>
      </c>
      <c r="BH327" s="12">
        <v>0</v>
      </c>
      <c r="BI327" s="12">
        <v>70</v>
      </c>
      <c r="BJ327" s="12">
        <v>0</v>
      </c>
      <c r="BK327" s="12">
        <v>0</v>
      </c>
      <c r="BL327" s="12">
        <v>40</v>
      </c>
      <c r="BM327" s="12">
        <v>0</v>
      </c>
      <c r="BN327" s="12">
        <v>0</v>
      </c>
      <c r="BO327" s="12">
        <v>5</v>
      </c>
      <c r="BP327" s="12">
        <v>0</v>
      </c>
      <c r="BQ327" s="12">
        <v>0</v>
      </c>
      <c r="BR327" s="12">
        <v>79</v>
      </c>
      <c r="BS327" s="12">
        <v>4</v>
      </c>
      <c r="BT327" s="12">
        <v>5.0632911392405063E-2</v>
      </c>
      <c r="BU327" s="12">
        <v>512</v>
      </c>
      <c r="BV327" s="12">
        <v>4</v>
      </c>
      <c r="BW327" s="12">
        <v>7.8125E-3</v>
      </c>
      <c r="BX327" s="12"/>
      <c r="BY327" s="12"/>
      <c r="BZ327" s="12"/>
      <c r="CA327" s="12">
        <v>62938.93</v>
      </c>
      <c r="CB327" s="13"/>
      <c r="CC327" s="13"/>
      <c r="CD327" s="13"/>
      <c r="CE327" s="12">
        <v>4836</v>
      </c>
      <c r="CF327" s="12">
        <v>480</v>
      </c>
      <c r="CG327" s="13">
        <v>41795</v>
      </c>
      <c r="CH327" s="13">
        <v>119</v>
      </c>
      <c r="CI327" s="13">
        <v>15758</v>
      </c>
    </row>
    <row r="328" spans="2:87" x14ac:dyDescent="0.2">
      <c r="B328" s="5">
        <v>46101</v>
      </c>
      <c r="C328" s="12">
        <v>19</v>
      </c>
      <c r="D328" s="12">
        <v>2</v>
      </c>
      <c r="E328" s="12">
        <v>128925.253</v>
      </c>
      <c r="F328" s="12">
        <v>0</v>
      </c>
      <c r="G328" s="12">
        <v>2449579.8199999998</v>
      </c>
      <c r="H328" s="12">
        <v>0</v>
      </c>
      <c r="I328" s="12">
        <v>0</v>
      </c>
      <c r="J328" s="12">
        <v>2449579.8199999998</v>
      </c>
      <c r="K328" s="12">
        <v>44000</v>
      </c>
      <c r="L328" s="12">
        <v>0</v>
      </c>
      <c r="M328" s="12">
        <v>465420.18</v>
      </c>
      <c r="N328" s="12">
        <v>2959000</v>
      </c>
      <c r="O328" s="12">
        <v>0</v>
      </c>
      <c r="P328" s="12">
        <v>2449579.8199999998</v>
      </c>
      <c r="Q328" s="12">
        <v>708347</v>
      </c>
      <c r="R328" s="12">
        <v>1741232.82</v>
      </c>
      <c r="S328" s="12">
        <v>0</v>
      </c>
      <c r="T328" s="12">
        <v>38</v>
      </c>
      <c r="U328" s="12">
        <v>0</v>
      </c>
      <c r="V328" s="12">
        <v>0</v>
      </c>
      <c r="W328" s="35">
        <v>46144.261731053244</v>
      </c>
      <c r="X328" s="12">
        <v>4</v>
      </c>
      <c r="Y328" s="12">
        <v>7</v>
      </c>
      <c r="Z328" s="12">
        <v>890756.3</v>
      </c>
      <c r="AA328" s="12">
        <v>127250.9</v>
      </c>
      <c r="AB328" s="12">
        <v>277888</v>
      </c>
      <c r="AC328" s="12">
        <v>612868.30000000005</v>
      </c>
      <c r="AD328" s="12">
        <v>12</v>
      </c>
      <c r="AE328" s="12">
        <v>12</v>
      </c>
      <c r="AF328" s="12">
        <v>1558823.52</v>
      </c>
      <c r="AG328" s="12">
        <v>129901.96</v>
      </c>
      <c r="AH328" s="12">
        <v>430459</v>
      </c>
      <c r="AI328" s="12">
        <v>1128364.52</v>
      </c>
      <c r="AJ328" s="12"/>
      <c r="AK328" s="12"/>
      <c r="AL328" s="12"/>
      <c r="AM328" s="12"/>
      <c r="AN328" s="12"/>
      <c r="AO328" s="12"/>
      <c r="AP328" s="12">
        <v>752100.84</v>
      </c>
      <c r="AQ328" s="12">
        <v>4</v>
      </c>
      <c r="AR328" s="12">
        <v>188025.21</v>
      </c>
      <c r="AS328" s="12">
        <v>181650</v>
      </c>
      <c r="AT328" s="12">
        <v>1697478.98</v>
      </c>
      <c r="AU328" s="12">
        <v>15</v>
      </c>
      <c r="AV328" s="12">
        <v>113165.265</v>
      </c>
      <c r="AW328" s="12">
        <v>526697</v>
      </c>
      <c r="AX328" s="12"/>
      <c r="AY328" s="12"/>
      <c r="AZ328" s="12"/>
      <c r="BA328" s="12"/>
      <c r="BB328" s="12"/>
      <c r="BC328" s="12"/>
      <c r="BD328" s="12"/>
      <c r="BE328" s="12"/>
      <c r="BF328" s="12">
        <v>358</v>
      </c>
      <c r="BG328" s="12">
        <v>0</v>
      </c>
      <c r="BH328" s="12">
        <v>0</v>
      </c>
      <c r="BI328" s="12">
        <v>74</v>
      </c>
      <c r="BJ328" s="12">
        <v>1</v>
      </c>
      <c r="BK328" s="12">
        <v>1.3513513513513514E-2</v>
      </c>
      <c r="BL328" s="12">
        <v>32</v>
      </c>
      <c r="BM328" s="12">
        <v>0</v>
      </c>
      <c r="BN328" s="12">
        <v>0</v>
      </c>
      <c r="BO328" s="12">
        <v>6</v>
      </c>
      <c r="BP328" s="12">
        <v>0</v>
      </c>
      <c r="BQ328" s="12">
        <v>0</v>
      </c>
      <c r="BR328" s="12">
        <v>65</v>
      </c>
      <c r="BS328" s="12">
        <v>2</v>
      </c>
      <c r="BT328" s="12">
        <v>3.0769230769230771E-2</v>
      </c>
      <c r="BU328" s="12">
        <v>535</v>
      </c>
      <c r="BV328" s="12">
        <v>3</v>
      </c>
      <c r="BW328" s="12">
        <v>5.6074766355140183E-3</v>
      </c>
      <c r="BX328" s="12"/>
      <c r="BY328" s="12"/>
      <c r="BZ328" s="12"/>
      <c r="CA328" s="12">
        <v>47515.31</v>
      </c>
      <c r="CB328" s="13"/>
      <c r="CC328" s="13"/>
      <c r="CD328" s="13"/>
      <c r="CE328" s="12">
        <v>5146</v>
      </c>
      <c r="CF328" s="12">
        <v>489</v>
      </c>
      <c r="CG328" s="13">
        <v>46813</v>
      </c>
      <c r="CH328" s="13">
        <v>118</v>
      </c>
      <c r="CI328" s="13">
        <v>15932</v>
      </c>
    </row>
    <row r="329" spans="2:87" x14ac:dyDescent="0.2">
      <c r="B329" s="5">
        <v>46102</v>
      </c>
      <c r="C329" s="12">
        <v>20</v>
      </c>
      <c r="D329" s="12">
        <v>3</v>
      </c>
      <c r="E329" s="12">
        <v>147018.068</v>
      </c>
      <c r="F329" s="12">
        <v>0</v>
      </c>
      <c r="G329" s="12">
        <v>3053806.75</v>
      </c>
      <c r="H329" s="12">
        <v>0</v>
      </c>
      <c r="I329" s="12">
        <v>0</v>
      </c>
      <c r="J329" s="12">
        <v>3053806.75</v>
      </c>
      <c r="K329" s="12">
        <v>16000</v>
      </c>
      <c r="L329" s="12">
        <v>0</v>
      </c>
      <c r="M329" s="12">
        <v>554193.25</v>
      </c>
      <c r="N329" s="12">
        <v>3624000</v>
      </c>
      <c r="O329" s="12">
        <v>84033.61</v>
      </c>
      <c r="P329" s="12">
        <v>2969773.14</v>
      </c>
      <c r="Q329" s="12">
        <v>1003244</v>
      </c>
      <c r="R329" s="12">
        <v>1966529.14</v>
      </c>
      <c r="S329" s="12">
        <v>0</v>
      </c>
      <c r="T329" s="12">
        <v>60</v>
      </c>
      <c r="U329" s="12">
        <v>0</v>
      </c>
      <c r="V329" s="12">
        <v>0</v>
      </c>
      <c r="W329" s="35">
        <v>46144.261731053244</v>
      </c>
      <c r="X329" s="12">
        <v>6</v>
      </c>
      <c r="Y329" s="12">
        <v>9</v>
      </c>
      <c r="Z329" s="12">
        <v>1216285.72</v>
      </c>
      <c r="AA329" s="12">
        <v>135142.85699999999</v>
      </c>
      <c r="AB329" s="12">
        <v>302177</v>
      </c>
      <c r="AC329" s="12">
        <v>830075.11</v>
      </c>
      <c r="AD329" s="12">
        <v>9</v>
      </c>
      <c r="AE329" s="12">
        <v>9</v>
      </c>
      <c r="AF329" s="12">
        <v>1749285.73</v>
      </c>
      <c r="AG329" s="12">
        <v>181760.038</v>
      </c>
      <c r="AH329" s="12">
        <v>683277</v>
      </c>
      <c r="AI329" s="12">
        <v>1066008.73</v>
      </c>
      <c r="AJ329" s="12">
        <v>1</v>
      </c>
      <c r="AK329" s="12">
        <v>2</v>
      </c>
      <c r="AL329" s="12">
        <v>88235.3</v>
      </c>
      <c r="AM329" s="12">
        <v>44117.65</v>
      </c>
      <c r="AN329" s="12">
        <v>17790</v>
      </c>
      <c r="AO329" s="12">
        <v>70445.3</v>
      </c>
      <c r="AP329" s="12">
        <v>189075.63</v>
      </c>
      <c r="AQ329" s="12">
        <v>1</v>
      </c>
      <c r="AR329" s="12">
        <v>189075.63</v>
      </c>
      <c r="AS329" s="12">
        <v>66573</v>
      </c>
      <c r="AT329" s="12">
        <v>2864731.12</v>
      </c>
      <c r="AU329" s="12">
        <v>19</v>
      </c>
      <c r="AV329" s="12">
        <v>144804.51199999999</v>
      </c>
      <c r="AW329" s="12">
        <v>936671</v>
      </c>
      <c r="AX329" s="12"/>
      <c r="AY329" s="12"/>
      <c r="AZ329" s="12"/>
      <c r="BA329" s="12"/>
      <c r="BB329" s="12"/>
      <c r="BC329" s="12"/>
      <c r="BD329" s="12"/>
      <c r="BE329" s="12"/>
      <c r="BF329" s="12">
        <v>235</v>
      </c>
      <c r="BG329" s="12">
        <v>0</v>
      </c>
      <c r="BH329" s="12">
        <v>0</v>
      </c>
      <c r="BI329" s="12">
        <v>82</v>
      </c>
      <c r="BJ329" s="12">
        <v>1</v>
      </c>
      <c r="BK329" s="12">
        <v>1.2195121951219513E-2</v>
      </c>
      <c r="BL329" s="12">
        <v>35</v>
      </c>
      <c r="BM329" s="12">
        <v>0</v>
      </c>
      <c r="BN329" s="12">
        <v>0</v>
      </c>
      <c r="BO329" s="12">
        <v>10</v>
      </c>
      <c r="BP329" s="12">
        <v>0</v>
      </c>
      <c r="BQ329" s="12">
        <v>0</v>
      </c>
      <c r="BR329" s="12">
        <v>39</v>
      </c>
      <c r="BS329" s="12">
        <v>0</v>
      </c>
      <c r="BT329" s="12">
        <v>0</v>
      </c>
      <c r="BU329" s="12">
        <v>401</v>
      </c>
      <c r="BV329" s="12">
        <v>1</v>
      </c>
      <c r="BW329" s="12">
        <v>2.4937655860349127E-3</v>
      </c>
      <c r="BX329" s="12"/>
      <c r="BY329" s="12"/>
      <c r="BZ329" s="12"/>
      <c r="CA329" s="12">
        <v>33841.75</v>
      </c>
      <c r="CB329" s="13"/>
      <c r="CC329" s="13"/>
      <c r="CD329" s="13"/>
      <c r="CE329" s="12">
        <v>2990</v>
      </c>
      <c r="CF329" s="12">
        <v>322</v>
      </c>
      <c r="CG329" s="13">
        <v>51790</v>
      </c>
      <c r="CH329" s="13">
        <v>131</v>
      </c>
      <c r="CI329" s="13">
        <v>17066</v>
      </c>
    </row>
    <row r="330" spans="2:87" x14ac:dyDescent="0.2">
      <c r="B330" s="5">
        <v>46103</v>
      </c>
      <c r="C330" s="12">
        <v>9</v>
      </c>
      <c r="D330" s="12">
        <v>1.3</v>
      </c>
      <c r="E330" s="12">
        <v>56554.622000000003</v>
      </c>
      <c r="F330" s="12">
        <v>0</v>
      </c>
      <c r="G330" s="12">
        <v>508991.6</v>
      </c>
      <c r="H330" s="12">
        <v>0</v>
      </c>
      <c r="I330" s="12">
        <v>0</v>
      </c>
      <c r="J330" s="12">
        <v>508991.6</v>
      </c>
      <c r="K330" s="12">
        <v>12000</v>
      </c>
      <c r="L330" s="12">
        <v>0</v>
      </c>
      <c r="M330" s="12">
        <v>91008.4</v>
      </c>
      <c r="N330" s="12">
        <v>612000</v>
      </c>
      <c r="O330" s="12">
        <v>0</v>
      </c>
      <c r="P330" s="12">
        <v>508991.6</v>
      </c>
      <c r="Q330" s="12">
        <v>171693</v>
      </c>
      <c r="R330" s="12">
        <v>337298.6</v>
      </c>
      <c r="S330" s="12">
        <v>0</v>
      </c>
      <c r="T330" s="12">
        <v>12</v>
      </c>
      <c r="U330" s="12">
        <v>0</v>
      </c>
      <c r="V330" s="12">
        <v>0</v>
      </c>
      <c r="W330" s="35">
        <v>46144.261731053244</v>
      </c>
      <c r="X330" s="12">
        <v>2</v>
      </c>
      <c r="Y330" s="12">
        <v>7</v>
      </c>
      <c r="Z330" s="12">
        <v>374537.82</v>
      </c>
      <c r="AA330" s="12">
        <v>53505.402000000002</v>
      </c>
      <c r="AB330" s="12">
        <v>136992</v>
      </c>
      <c r="AC330" s="12">
        <v>237545.82</v>
      </c>
      <c r="AD330" s="12">
        <v>2</v>
      </c>
      <c r="AE330" s="12">
        <v>2</v>
      </c>
      <c r="AF330" s="12">
        <v>134453.78</v>
      </c>
      <c r="AG330" s="12">
        <v>67226.89</v>
      </c>
      <c r="AH330" s="12">
        <v>34701</v>
      </c>
      <c r="AI330" s="12">
        <v>99752.78</v>
      </c>
      <c r="AJ330" s="12"/>
      <c r="AK330" s="12"/>
      <c r="AL330" s="12"/>
      <c r="AM330" s="12"/>
      <c r="AN330" s="12"/>
      <c r="AO330" s="12"/>
      <c r="AP330" s="12">
        <v>54621.85</v>
      </c>
      <c r="AQ330" s="12">
        <v>1</v>
      </c>
      <c r="AR330" s="12">
        <v>54621.85</v>
      </c>
      <c r="AS330" s="12">
        <v>16435</v>
      </c>
      <c r="AT330" s="12">
        <v>454369.75</v>
      </c>
      <c r="AU330" s="12">
        <v>8</v>
      </c>
      <c r="AV330" s="12">
        <v>56796.218000000001</v>
      </c>
      <c r="AW330" s="12">
        <v>155258</v>
      </c>
      <c r="AX330" s="12"/>
      <c r="AY330" s="12"/>
      <c r="AZ330" s="12"/>
      <c r="BA330" s="12"/>
      <c r="BB330" s="12"/>
      <c r="BC330" s="12"/>
      <c r="BD330" s="12"/>
      <c r="BE330" s="12"/>
      <c r="BF330" s="12">
        <v>313</v>
      </c>
      <c r="BG330" s="12">
        <v>0</v>
      </c>
      <c r="BH330" s="12">
        <v>0</v>
      </c>
      <c r="BI330" s="12">
        <v>122</v>
      </c>
      <c r="BJ330" s="12">
        <v>0</v>
      </c>
      <c r="BK330" s="12">
        <v>0</v>
      </c>
      <c r="BL330" s="12">
        <v>31</v>
      </c>
      <c r="BM330" s="12">
        <v>0</v>
      </c>
      <c r="BN330" s="12">
        <v>0</v>
      </c>
      <c r="BO330" s="12">
        <v>5</v>
      </c>
      <c r="BP330" s="12">
        <v>0</v>
      </c>
      <c r="BQ330" s="12">
        <v>0</v>
      </c>
      <c r="BR330" s="12">
        <v>61</v>
      </c>
      <c r="BS330" s="12">
        <v>1</v>
      </c>
      <c r="BT330" s="12">
        <v>1.6393442622950821E-2</v>
      </c>
      <c r="BU330" s="12">
        <v>532</v>
      </c>
      <c r="BV330" s="12">
        <v>1</v>
      </c>
      <c r="BW330" s="12">
        <v>1.8796992481203006E-3</v>
      </c>
      <c r="BX330" s="12"/>
      <c r="BY330" s="12"/>
      <c r="BZ330" s="12"/>
      <c r="CA330" s="12">
        <v>33682.28</v>
      </c>
      <c r="CB330" s="13"/>
      <c r="CC330" s="13"/>
      <c r="CD330" s="13"/>
      <c r="CE330" s="12">
        <v>4134</v>
      </c>
      <c r="CF330" s="12">
        <v>402</v>
      </c>
      <c r="CG330" s="13">
        <v>55245</v>
      </c>
      <c r="CH330" s="13">
        <v>184</v>
      </c>
      <c r="CI330" s="13">
        <v>19900</v>
      </c>
    </row>
    <row r="331" spans="2:87" x14ac:dyDescent="0.2">
      <c r="B331" s="5">
        <v>46104</v>
      </c>
      <c r="C331" s="12">
        <v>8</v>
      </c>
      <c r="D331" s="12">
        <v>2.6</v>
      </c>
      <c r="E331" s="12">
        <v>157037.815</v>
      </c>
      <c r="F331" s="12">
        <v>0</v>
      </c>
      <c r="G331" s="12">
        <v>1256302.52</v>
      </c>
      <c r="H331" s="12">
        <v>0</v>
      </c>
      <c r="I331" s="12">
        <v>0</v>
      </c>
      <c r="J331" s="12">
        <v>1256302.52</v>
      </c>
      <c r="K331" s="12">
        <v>28000</v>
      </c>
      <c r="L331" s="12">
        <v>0</v>
      </c>
      <c r="M331" s="12">
        <v>238697.48</v>
      </c>
      <c r="N331" s="12">
        <v>1523000</v>
      </c>
      <c r="O331" s="12">
        <v>0</v>
      </c>
      <c r="P331" s="12">
        <v>1256302.52</v>
      </c>
      <c r="Q331" s="12">
        <v>313285</v>
      </c>
      <c r="R331" s="12">
        <v>943017.52</v>
      </c>
      <c r="S331" s="12">
        <v>0</v>
      </c>
      <c r="T331" s="12">
        <v>21</v>
      </c>
      <c r="U331" s="12">
        <v>0</v>
      </c>
      <c r="V331" s="12">
        <v>0</v>
      </c>
      <c r="W331" s="35">
        <v>46144.261731053244</v>
      </c>
      <c r="X331" s="12">
        <v>6</v>
      </c>
      <c r="Y331" s="12">
        <v>6</v>
      </c>
      <c r="Z331" s="12">
        <v>936974.79</v>
      </c>
      <c r="AA331" s="12">
        <v>156162.465</v>
      </c>
      <c r="AB331" s="12">
        <v>245243</v>
      </c>
      <c r="AC331" s="12">
        <v>691731.79</v>
      </c>
      <c r="AD331" s="12">
        <v>2</v>
      </c>
      <c r="AE331" s="12">
        <v>2</v>
      </c>
      <c r="AF331" s="12">
        <v>319327.73</v>
      </c>
      <c r="AG331" s="12">
        <v>159663.86499999999</v>
      </c>
      <c r="AH331" s="12">
        <v>68042</v>
      </c>
      <c r="AI331" s="12">
        <v>251285.73</v>
      </c>
      <c r="AJ331" s="12"/>
      <c r="AK331" s="12"/>
      <c r="AL331" s="12"/>
      <c r="AM331" s="12"/>
      <c r="AN331" s="12"/>
      <c r="AO331" s="12"/>
      <c r="AP331" s="12">
        <v>575630.25</v>
      </c>
      <c r="AQ331" s="12">
        <v>2</v>
      </c>
      <c r="AR331" s="12">
        <v>287815.125</v>
      </c>
      <c r="AS331" s="12">
        <v>138061</v>
      </c>
      <c r="AT331" s="12">
        <v>680672.27</v>
      </c>
      <c r="AU331" s="12">
        <v>6</v>
      </c>
      <c r="AV331" s="12">
        <v>113445.378</v>
      </c>
      <c r="AW331" s="12">
        <v>175224</v>
      </c>
      <c r="AX331" s="12"/>
      <c r="AY331" s="12"/>
      <c r="AZ331" s="12"/>
      <c r="BA331" s="12"/>
      <c r="BB331" s="12"/>
      <c r="BC331" s="12"/>
      <c r="BD331" s="12"/>
      <c r="BE331" s="12"/>
      <c r="BF331" s="12">
        <v>256</v>
      </c>
      <c r="BG331" s="12">
        <v>0</v>
      </c>
      <c r="BH331" s="12">
        <v>0</v>
      </c>
      <c r="BI331" s="12">
        <v>94</v>
      </c>
      <c r="BJ331" s="12">
        <v>0</v>
      </c>
      <c r="BK331" s="12">
        <v>0</v>
      </c>
      <c r="BL331" s="12">
        <v>19</v>
      </c>
      <c r="BM331" s="12">
        <v>0</v>
      </c>
      <c r="BN331" s="12">
        <v>0</v>
      </c>
      <c r="BO331" s="12">
        <v>2</v>
      </c>
      <c r="BP331" s="12">
        <v>0</v>
      </c>
      <c r="BQ331" s="12">
        <v>0</v>
      </c>
      <c r="BR331" s="12">
        <v>59</v>
      </c>
      <c r="BS331" s="12">
        <v>1</v>
      </c>
      <c r="BT331" s="12">
        <v>1.6949152542372881E-2</v>
      </c>
      <c r="BU331" s="12">
        <v>430</v>
      </c>
      <c r="BV331" s="12">
        <v>1</v>
      </c>
      <c r="BW331" s="12">
        <v>2.3255813953488372E-3</v>
      </c>
      <c r="BX331" s="12"/>
      <c r="BY331" s="12"/>
      <c r="BZ331" s="12"/>
      <c r="CA331" s="12">
        <v>42625.69</v>
      </c>
      <c r="CB331" s="13"/>
      <c r="CC331" s="13"/>
      <c r="CD331" s="13"/>
      <c r="CE331" s="12">
        <v>4099</v>
      </c>
      <c r="CF331" s="12">
        <v>360</v>
      </c>
      <c r="CG331" s="13">
        <v>56030</v>
      </c>
      <c r="CH331" s="13">
        <v>203</v>
      </c>
      <c r="CI331" s="13">
        <v>43253</v>
      </c>
    </row>
    <row r="332" spans="2:87" x14ac:dyDescent="0.2">
      <c r="B332" s="5">
        <v>46105</v>
      </c>
      <c r="C332" s="12">
        <v>13</v>
      </c>
      <c r="D332" s="12">
        <v>2.2999999999999998</v>
      </c>
      <c r="E332" s="12">
        <v>142921.785</v>
      </c>
      <c r="F332" s="12">
        <v>0</v>
      </c>
      <c r="G332" s="12">
        <v>2039495.8</v>
      </c>
      <c r="H332" s="12">
        <v>-181512.59</v>
      </c>
      <c r="I332" s="12">
        <v>0</v>
      </c>
      <c r="J332" s="12">
        <v>1857983.21</v>
      </c>
      <c r="K332" s="12">
        <v>56000</v>
      </c>
      <c r="L332" s="12">
        <v>0</v>
      </c>
      <c r="M332" s="12">
        <v>353016.79</v>
      </c>
      <c r="N332" s="12">
        <v>2267000</v>
      </c>
      <c r="O332" s="12">
        <v>71428.570000000007</v>
      </c>
      <c r="P332" s="12">
        <v>1786554.64</v>
      </c>
      <c r="Q332" s="12">
        <v>544861</v>
      </c>
      <c r="R332" s="12">
        <v>1241693.6399999999</v>
      </c>
      <c r="S332" s="12">
        <v>0</v>
      </c>
      <c r="T332" s="12">
        <v>30</v>
      </c>
      <c r="U332" s="12">
        <v>0</v>
      </c>
      <c r="V332" s="12">
        <v>0</v>
      </c>
      <c r="W332" s="35">
        <v>46144.261731053244</v>
      </c>
      <c r="X332" s="12">
        <v>5</v>
      </c>
      <c r="Y332" s="12">
        <v>10</v>
      </c>
      <c r="Z332" s="12">
        <v>1254621.8600000001</v>
      </c>
      <c r="AA332" s="12">
        <v>125462.186</v>
      </c>
      <c r="AB332" s="12">
        <v>356657</v>
      </c>
      <c r="AC332" s="12">
        <v>826536.29</v>
      </c>
      <c r="AD332" s="12">
        <v>3</v>
      </c>
      <c r="AE332" s="12">
        <v>3</v>
      </c>
      <c r="AF332" s="12">
        <v>603361.35</v>
      </c>
      <c r="AG332" s="12">
        <v>201120.45</v>
      </c>
      <c r="AH332" s="12">
        <v>188204</v>
      </c>
      <c r="AI332" s="12">
        <v>415157.35</v>
      </c>
      <c r="AJ332" s="12"/>
      <c r="AK332" s="12"/>
      <c r="AL332" s="12"/>
      <c r="AM332" s="12"/>
      <c r="AN332" s="12"/>
      <c r="AO332" s="12"/>
      <c r="AP332" s="12">
        <v>603361.35</v>
      </c>
      <c r="AQ332" s="12">
        <v>3</v>
      </c>
      <c r="AR332" s="12">
        <v>201120.45</v>
      </c>
      <c r="AS332" s="12">
        <v>188204</v>
      </c>
      <c r="AT332" s="12">
        <v>1254621.8600000001</v>
      </c>
      <c r="AU332" s="12">
        <v>10</v>
      </c>
      <c r="AV332" s="12">
        <v>125462.186</v>
      </c>
      <c r="AW332" s="12">
        <v>356657</v>
      </c>
      <c r="AX332" s="12"/>
      <c r="AY332" s="12"/>
      <c r="AZ332" s="12"/>
      <c r="BA332" s="12"/>
      <c r="BB332" s="12"/>
      <c r="BC332" s="12"/>
      <c r="BD332" s="12"/>
      <c r="BE332" s="12"/>
      <c r="BF332" s="12">
        <v>476</v>
      </c>
      <c r="BG332" s="12">
        <v>0</v>
      </c>
      <c r="BH332" s="12">
        <v>0</v>
      </c>
      <c r="BI332" s="12">
        <v>72</v>
      </c>
      <c r="BJ332" s="12">
        <v>0</v>
      </c>
      <c r="BK332" s="12">
        <v>0</v>
      </c>
      <c r="BL332" s="12">
        <v>36</v>
      </c>
      <c r="BM332" s="12">
        <v>1</v>
      </c>
      <c r="BN332" s="12">
        <v>2.7777777777777776E-2</v>
      </c>
      <c r="BO332" s="12">
        <v>9</v>
      </c>
      <c r="BP332" s="12">
        <v>0</v>
      </c>
      <c r="BQ332" s="12">
        <v>0</v>
      </c>
      <c r="BR332" s="12">
        <v>70</v>
      </c>
      <c r="BS332" s="12">
        <v>2</v>
      </c>
      <c r="BT332" s="12">
        <v>2.8571428571428571E-2</v>
      </c>
      <c r="BU332" s="12">
        <v>663</v>
      </c>
      <c r="BV332" s="12">
        <v>3</v>
      </c>
      <c r="BW332" s="12">
        <v>4.5248868778280547E-3</v>
      </c>
      <c r="BX332" s="12"/>
      <c r="BY332" s="12"/>
      <c r="BZ332" s="12"/>
      <c r="CA332" s="12">
        <v>59101.39</v>
      </c>
      <c r="CB332" s="13"/>
      <c r="CC332" s="13"/>
      <c r="CD332" s="13"/>
      <c r="CE332" s="12">
        <v>6111</v>
      </c>
      <c r="CF332" s="12">
        <v>616</v>
      </c>
      <c r="CG332" s="13">
        <v>52339</v>
      </c>
      <c r="CH332" s="13">
        <v>116</v>
      </c>
      <c r="CI332" s="13">
        <v>15144</v>
      </c>
    </row>
    <row r="333" spans="2:87" x14ac:dyDescent="0.2">
      <c r="B333" s="5">
        <v>46106</v>
      </c>
      <c r="C333" s="12">
        <v>20</v>
      </c>
      <c r="D333" s="12">
        <v>2.2000000000000002</v>
      </c>
      <c r="E333" s="12">
        <v>146378.99100000001</v>
      </c>
      <c r="F333" s="12">
        <v>0</v>
      </c>
      <c r="G333" s="12">
        <v>2927579.82</v>
      </c>
      <c r="H333" s="12">
        <v>0</v>
      </c>
      <c r="I333" s="12">
        <v>0</v>
      </c>
      <c r="J333" s="12">
        <v>2927579.82</v>
      </c>
      <c r="K333" s="12">
        <v>76000</v>
      </c>
      <c r="L333" s="12">
        <v>0</v>
      </c>
      <c r="M333" s="12">
        <v>541420.18000000005</v>
      </c>
      <c r="N333" s="12">
        <v>3545000</v>
      </c>
      <c r="O333" s="12">
        <v>159663.87</v>
      </c>
      <c r="P333" s="12">
        <v>2767915.95</v>
      </c>
      <c r="Q333" s="12">
        <v>750999</v>
      </c>
      <c r="R333" s="12">
        <v>2016916.95</v>
      </c>
      <c r="S333" s="12">
        <v>230000</v>
      </c>
      <c r="T333" s="12">
        <v>45</v>
      </c>
      <c r="U333" s="12">
        <v>0</v>
      </c>
      <c r="V333" s="12">
        <v>230000</v>
      </c>
      <c r="W333" s="35">
        <v>46144.261731053244</v>
      </c>
      <c r="X333" s="12">
        <v>10</v>
      </c>
      <c r="Y333" s="12">
        <v>11</v>
      </c>
      <c r="Z333" s="12">
        <v>2045226.89</v>
      </c>
      <c r="AA333" s="12">
        <v>185929.717</v>
      </c>
      <c r="AB333" s="12">
        <v>469643</v>
      </c>
      <c r="AC333" s="12">
        <v>1415920.02</v>
      </c>
      <c r="AD333" s="12">
        <v>9</v>
      </c>
      <c r="AE333" s="12">
        <v>9</v>
      </c>
      <c r="AF333" s="12">
        <v>882352.93</v>
      </c>
      <c r="AG333" s="12">
        <v>98039.214000000007</v>
      </c>
      <c r="AH333" s="12">
        <v>281356</v>
      </c>
      <c r="AI333" s="12">
        <v>600996.93000000005</v>
      </c>
      <c r="AJ333" s="12"/>
      <c r="AK333" s="12"/>
      <c r="AL333" s="12"/>
      <c r="AM333" s="12"/>
      <c r="AN333" s="12"/>
      <c r="AO333" s="12"/>
      <c r="AP333" s="12">
        <v>647058.81999999995</v>
      </c>
      <c r="AQ333" s="12">
        <v>6</v>
      </c>
      <c r="AR333" s="12">
        <v>107843.136</v>
      </c>
      <c r="AS333" s="12">
        <v>190865</v>
      </c>
      <c r="AT333" s="12">
        <v>2280521</v>
      </c>
      <c r="AU333" s="12">
        <v>14</v>
      </c>
      <c r="AV333" s="12">
        <v>162894.35699999999</v>
      </c>
      <c r="AW333" s="12">
        <v>560134</v>
      </c>
      <c r="AX333" s="12"/>
      <c r="AY333" s="12"/>
      <c r="AZ333" s="12"/>
      <c r="BA333" s="12"/>
      <c r="BB333" s="12"/>
      <c r="BC333" s="12"/>
      <c r="BD333" s="12"/>
      <c r="BE333" s="12"/>
      <c r="BF333" s="12">
        <v>230</v>
      </c>
      <c r="BG333" s="12">
        <v>0</v>
      </c>
      <c r="BH333" s="12">
        <v>0</v>
      </c>
      <c r="BI333" s="12">
        <v>90</v>
      </c>
      <c r="BJ333" s="12">
        <v>2</v>
      </c>
      <c r="BK333" s="12">
        <v>2.2222222222222223E-2</v>
      </c>
      <c r="BL333" s="12">
        <v>40</v>
      </c>
      <c r="BM333" s="12">
        <v>1</v>
      </c>
      <c r="BN333" s="12">
        <v>2.5000000000000001E-2</v>
      </c>
      <c r="BO333" s="12">
        <v>6</v>
      </c>
      <c r="BP333" s="12">
        <v>0</v>
      </c>
      <c r="BQ333" s="12">
        <v>0</v>
      </c>
      <c r="BR333" s="12">
        <v>80</v>
      </c>
      <c r="BS333" s="12">
        <v>1</v>
      </c>
      <c r="BT333" s="12">
        <v>1.2500000000000001E-2</v>
      </c>
      <c r="BU333" s="12">
        <v>446</v>
      </c>
      <c r="BV333" s="12">
        <v>4</v>
      </c>
      <c r="BW333" s="12">
        <v>8.9686098654708519E-3</v>
      </c>
      <c r="BX333" s="12"/>
      <c r="BY333" s="12"/>
      <c r="BZ333" s="12"/>
      <c r="CA333" s="12">
        <v>36918.18</v>
      </c>
      <c r="CB333" s="13"/>
      <c r="CC333" s="13"/>
      <c r="CD333" s="13"/>
      <c r="CE333" s="12">
        <v>3873</v>
      </c>
      <c r="CF333" s="12">
        <v>343</v>
      </c>
      <c r="CG333" s="13">
        <v>52724</v>
      </c>
      <c r="CH333" s="13">
        <v>129</v>
      </c>
      <c r="CI333" s="13">
        <v>16410</v>
      </c>
    </row>
    <row r="334" spans="2:87" x14ac:dyDescent="0.2">
      <c r="B334" s="5">
        <v>46107</v>
      </c>
      <c r="C334" s="12">
        <v>20</v>
      </c>
      <c r="D334" s="12">
        <v>1.9</v>
      </c>
      <c r="E334" s="12">
        <v>109523.11</v>
      </c>
      <c r="F334" s="12">
        <v>0</v>
      </c>
      <c r="G334" s="12">
        <v>2190462.2000000002</v>
      </c>
      <c r="H334" s="12">
        <v>0</v>
      </c>
      <c r="I334" s="12">
        <v>0</v>
      </c>
      <c r="J334" s="12">
        <v>2190462.2000000002</v>
      </c>
      <c r="K334" s="12">
        <v>16000</v>
      </c>
      <c r="L334" s="12">
        <v>0</v>
      </c>
      <c r="M334" s="12">
        <v>409537.8</v>
      </c>
      <c r="N334" s="12">
        <v>2616000</v>
      </c>
      <c r="O334" s="12">
        <v>0</v>
      </c>
      <c r="P334" s="12">
        <v>2190462.2000000002</v>
      </c>
      <c r="Q334" s="12">
        <v>504534</v>
      </c>
      <c r="R334" s="12">
        <v>1685928.2</v>
      </c>
      <c r="S334" s="12">
        <v>0</v>
      </c>
      <c r="T334" s="12">
        <v>38</v>
      </c>
      <c r="U334" s="12">
        <v>0</v>
      </c>
      <c r="V334" s="12">
        <v>0</v>
      </c>
      <c r="W334" s="35">
        <v>46144.261731053244</v>
      </c>
      <c r="X334" s="12">
        <v>6</v>
      </c>
      <c r="Y334" s="12">
        <v>16</v>
      </c>
      <c r="Z334" s="12">
        <v>1592436.99</v>
      </c>
      <c r="AA334" s="12">
        <v>99527.311000000002</v>
      </c>
      <c r="AB334" s="12">
        <v>352364</v>
      </c>
      <c r="AC334" s="12">
        <v>1240072.99</v>
      </c>
      <c r="AD334" s="12">
        <v>4</v>
      </c>
      <c r="AE334" s="12">
        <v>4</v>
      </c>
      <c r="AF334" s="12">
        <v>598025.21</v>
      </c>
      <c r="AG334" s="12">
        <v>149506.302</v>
      </c>
      <c r="AH334" s="12">
        <v>152170</v>
      </c>
      <c r="AI334" s="12">
        <v>445855.21</v>
      </c>
      <c r="AJ334" s="12"/>
      <c r="AK334" s="12"/>
      <c r="AL334" s="12"/>
      <c r="AM334" s="12"/>
      <c r="AN334" s="12"/>
      <c r="AO334" s="12"/>
      <c r="AP334" s="12">
        <v>453781.51</v>
      </c>
      <c r="AQ334" s="12">
        <v>1</v>
      </c>
      <c r="AR334" s="12">
        <v>453781.51</v>
      </c>
      <c r="AS334" s="12">
        <v>125542</v>
      </c>
      <c r="AT334" s="12">
        <v>1606428.59</v>
      </c>
      <c r="AU334" s="12">
        <v>18</v>
      </c>
      <c r="AV334" s="12">
        <v>89246.032000000007</v>
      </c>
      <c r="AW334" s="12">
        <v>355977</v>
      </c>
      <c r="AX334" s="12">
        <v>130252.1</v>
      </c>
      <c r="AY334" s="12">
        <v>1</v>
      </c>
      <c r="AZ334" s="12">
        <v>130252.1</v>
      </c>
      <c r="BA334" s="12">
        <v>23015</v>
      </c>
      <c r="BB334" s="12"/>
      <c r="BC334" s="12"/>
      <c r="BD334" s="12"/>
      <c r="BE334" s="12"/>
      <c r="BF334" s="12">
        <v>563</v>
      </c>
      <c r="BG334" s="12">
        <v>1</v>
      </c>
      <c r="BH334" s="12">
        <v>1.7761989342806395E-3</v>
      </c>
      <c r="BI334" s="12">
        <v>74</v>
      </c>
      <c r="BJ334" s="12">
        <v>0</v>
      </c>
      <c r="BK334" s="12">
        <v>0</v>
      </c>
      <c r="BL334" s="12">
        <v>29</v>
      </c>
      <c r="BM334" s="12">
        <v>0</v>
      </c>
      <c r="BN334" s="12">
        <v>0</v>
      </c>
      <c r="BO334" s="12">
        <v>20</v>
      </c>
      <c r="BP334" s="12">
        <v>0</v>
      </c>
      <c r="BQ334" s="12">
        <v>0</v>
      </c>
      <c r="BR334" s="12">
        <v>84</v>
      </c>
      <c r="BS334" s="12">
        <v>0</v>
      </c>
      <c r="BT334" s="12">
        <v>0</v>
      </c>
      <c r="BU334" s="12">
        <v>770</v>
      </c>
      <c r="BV334" s="12">
        <v>1</v>
      </c>
      <c r="BW334" s="12">
        <v>1.2987012987012987E-3</v>
      </c>
      <c r="BX334" s="12"/>
      <c r="BY334" s="12"/>
      <c r="BZ334" s="12"/>
      <c r="CA334" s="12">
        <v>61517.66</v>
      </c>
      <c r="CB334" s="13"/>
      <c r="CC334" s="13"/>
      <c r="CD334" s="13"/>
      <c r="CE334" s="12">
        <v>7035</v>
      </c>
      <c r="CF334" s="12">
        <v>738</v>
      </c>
      <c r="CG334" s="13">
        <v>47546</v>
      </c>
      <c r="CH334" s="13">
        <v>125</v>
      </c>
      <c r="CI334" s="13">
        <v>16224</v>
      </c>
    </row>
    <row r="335" spans="2:87" x14ac:dyDescent="0.2">
      <c r="B335" s="5">
        <v>46108</v>
      </c>
      <c r="C335" s="12">
        <v>22</v>
      </c>
      <c r="D335" s="12">
        <v>2</v>
      </c>
      <c r="E335" s="12">
        <v>126621.466</v>
      </c>
      <c r="F335" s="12">
        <v>0</v>
      </c>
      <c r="G335" s="12">
        <v>2785672.27</v>
      </c>
      <c r="H335" s="12">
        <v>0</v>
      </c>
      <c r="I335" s="12">
        <v>0</v>
      </c>
      <c r="J335" s="12">
        <v>2785672.27</v>
      </c>
      <c r="K335" s="12">
        <v>90000</v>
      </c>
      <c r="L335" s="12">
        <v>0</v>
      </c>
      <c r="M335" s="12">
        <v>509327.73</v>
      </c>
      <c r="N335" s="12">
        <v>3385000</v>
      </c>
      <c r="O335" s="12">
        <v>0</v>
      </c>
      <c r="P335" s="12">
        <v>2785672.27</v>
      </c>
      <c r="Q335" s="12">
        <v>798919</v>
      </c>
      <c r="R335" s="12">
        <v>1986753.27</v>
      </c>
      <c r="S335" s="12">
        <v>0</v>
      </c>
      <c r="T335" s="12">
        <v>44</v>
      </c>
      <c r="U335" s="12">
        <v>0</v>
      </c>
      <c r="V335" s="12">
        <v>0</v>
      </c>
      <c r="W335" s="35">
        <v>46144.261731053244</v>
      </c>
      <c r="X335" s="12">
        <v>7</v>
      </c>
      <c r="Y335" s="12">
        <v>13</v>
      </c>
      <c r="Z335" s="12">
        <v>1599411.77</v>
      </c>
      <c r="AA335" s="12">
        <v>123031.674</v>
      </c>
      <c r="AB335" s="12">
        <v>459012</v>
      </c>
      <c r="AC335" s="12">
        <v>1140399.77</v>
      </c>
      <c r="AD335" s="12">
        <v>9</v>
      </c>
      <c r="AE335" s="12">
        <v>9</v>
      </c>
      <c r="AF335" s="12">
        <v>1186260.5</v>
      </c>
      <c r="AG335" s="12">
        <v>131806.72200000001</v>
      </c>
      <c r="AH335" s="12">
        <v>339907</v>
      </c>
      <c r="AI335" s="12">
        <v>846353.5</v>
      </c>
      <c r="AJ335" s="12"/>
      <c r="AK335" s="12"/>
      <c r="AL335" s="12"/>
      <c r="AM335" s="12"/>
      <c r="AN335" s="12"/>
      <c r="AO335" s="12"/>
      <c r="AP335" s="12">
        <v>1008403.36</v>
      </c>
      <c r="AQ335" s="12">
        <v>7</v>
      </c>
      <c r="AR335" s="12">
        <v>144057.622</v>
      </c>
      <c r="AS335" s="12">
        <v>296261</v>
      </c>
      <c r="AT335" s="12">
        <v>1777268.91</v>
      </c>
      <c r="AU335" s="12">
        <v>15</v>
      </c>
      <c r="AV335" s="12">
        <v>118484.594</v>
      </c>
      <c r="AW335" s="12">
        <v>502658</v>
      </c>
      <c r="AX335" s="12"/>
      <c r="AY335" s="12"/>
      <c r="AZ335" s="12"/>
      <c r="BA335" s="12"/>
      <c r="BB335" s="12"/>
      <c r="BC335" s="12"/>
      <c r="BD335" s="12"/>
      <c r="BE335" s="12"/>
      <c r="BF335" s="12">
        <v>321</v>
      </c>
      <c r="BG335" s="12">
        <v>0</v>
      </c>
      <c r="BH335" s="12">
        <v>0</v>
      </c>
      <c r="BI335" s="12">
        <v>87</v>
      </c>
      <c r="BJ335" s="12">
        <v>0</v>
      </c>
      <c r="BK335" s="12">
        <v>0</v>
      </c>
      <c r="BL335" s="12">
        <v>30</v>
      </c>
      <c r="BM335" s="12">
        <v>0</v>
      </c>
      <c r="BN335" s="12">
        <v>0</v>
      </c>
      <c r="BO335" s="12">
        <v>6</v>
      </c>
      <c r="BP335" s="12">
        <v>0</v>
      </c>
      <c r="BQ335" s="12">
        <v>0</v>
      </c>
      <c r="BR335" s="12">
        <v>66</v>
      </c>
      <c r="BS335" s="12">
        <v>5</v>
      </c>
      <c r="BT335" s="12">
        <v>7.575757575757576E-2</v>
      </c>
      <c r="BU335" s="12">
        <v>510</v>
      </c>
      <c r="BV335" s="12">
        <v>5</v>
      </c>
      <c r="BW335" s="12">
        <v>9.8039215686274508E-3</v>
      </c>
      <c r="BX335" s="12"/>
      <c r="BY335" s="12"/>
      <c r="BZ335" s="12"/>
      <c r="CA335" s="12">
        <v>54098.02</v>
      </c>
      <c r="CB335" s="13"/>
      <c r="CC335" s="13"/>
      <c r="CD335" s="13"/>
      <c r="CE335" s="12">
        <v>4979</v>
      </c>
      <c r="CF335" s="12">
        <v>457</v>
      </c>
      <c r="CG335" s="13">
        <v>47899</v>
      </c>
      <c r="CH335" s="13">
        <v>131</v>
      </c>
      <c r="CI335" s="13">
        <v>16599</v>
      </c>
    </row>
    <row r="336" spans="2:87" x14ac:dyDescent="0.2">
      <c r="B336" s="5">
        <v>46109</v>
      </c>
      <c r="C336" s="12">
        <v>29</v>
      </c>
      <c r="D336" s="12">
        <v>2.9</v>
      </c>
      <c r="E336" s="12">
        <v>195264.56099999999</v>
      </c>
      <c r="F336" s="12">
        <v>-1</v>
      </c>
      <c r="G336" s="12">
        <v>5804689.04</v>
      </c>
      <c r="H336" s="12">
        <v>-142016.76999999999</v>
      </c>
      <c r="I336" s="12">
        <v>-113445.38</v>
      </c>
      <c r="J336" s="12">
        <v>5549226.8899999997</v>
      </c>
      <c r="K336" s="12">
        <v>28000</v>
      </c>
      <c r="L336" s="12">
        <v>0</v>
      </c>
      <c r="M336" s="12">
        <v>896273.11</v>
      </c>
      <c r="N336" s="12">
        <v>6473500</v>
      </c>
      <c r="O336" s="12">
        <v>71428.570000000007</v>
      </c>
      <c r="P336" s="12">
        <v>5477798.3200000003</v>
      </c>
      <c r="Q336" s="12">
        <v>1552848</v>
      </c>
      <c r="R336" s="12">
        <v>3924950.32</v>
      </c>
      <c r="S336" s="12">
        <v>0</v>
      </c>
      <c r="T336" s="12">
        <v>82</v>
      </c>
      <c r="U336" s="12">
        <v>0</v>
      </c>
      <c r="V336" s="12">
        <v>0</v>
      </c>
      <c r="W336" s="35">
        <v>46144.261731053244</v>
      </c>
      <c r="X336" s="12">
        <v>15</v>
      </c>
      <c r="Y336" s="12">
        <v>24</v>
      </c>
      <c r="Z336" s="12">
        <v>3822336.13</v>
      </c>
      <c r="AA336" s="12">
        <v>163990.89600000001</v>
      </c>
      <c r="AB336" s="12">
        <v>1045304</v>
      </c>
      <c r="AC336" s="12">
        <v>2705603.56</v>
      </c>
      <c r="AD336" s="12">
        <v>5</v>
      </c>
      <c r="AE336" s="12">
        <v>5</v>
      </c>
      <c r="AF336" s="12">
        <v>1726890.76</v>
      </c>
      <c r="AG336" s="12">
        <v>345378.152</v>
      </c>
      <c r="AH336" s="12">
        <v>507544</v>
      </c>
      <c r="AI336" s="12">
        <v>1219346.76</v>
      </c>
      <c r="AJ336" s="12"/>
      <c r="AK336" s="12"/>
      <c r="AL336" s="12"/>
      <c r="AM336" s="12"/>
      <c r="AN336" s="12"/>
      <c r="AO336" s="12"/>
      <c r="AP336" s="12">
        <v>1357142.86</v>
      </c>
      <c r="AQ336" s="12">
        <v>2</v>
      </c>
      <c r="AR336" s="12">
        <v>678571.43</v>
      </c>
      <c r="AS336" s="12">
        <v>404830</v>
      </c>
      <c r="AT336" s="12">
        <v>4192084.03</v>
      </c>
      <c r="AU336" s="12">
        <v>27</v>
      </c>
      <c r="AV336" s="12">
        <v>159464.052</v>
      </c>
      <c r="AW336" s="12">
        <v>1148018</v>
      </c>
      <c r="AX336" s="12"/>
      <c r="AY336" s="12"/>
      <c r="AZ336" s="12"/>
      <c r="BA336" s="12"/>
      <c r="BB336" s="12"/>
      <c r="BC336" s="12"/>
      <c r="BD336" s="12"/>
      <c r="BE336" s="12"/>
      <c r="BF336" s="12">
        <v>397</v>
      </c>
      <c r="BG336" s="12">
        <v>0</v>
      </c>
      <c r="BH336" s="12">
        <v>0</v>
      </c>
      <c r="BI336" s="12">
        <v>87</v>
      </c>
      <c r="BJ336" s="12">
        <v>0</v>
      </c>
      <c r="BK336" s="12">
        <v>0</v>
      </c>
      <c r="BL336" s="12">
        <v>27</v>
      </c>
      <c r="BM336" s="12">
        <v>0</v>
      </c>
      <c r="BN336" s="12">
        <v>0</v>
      </c>
      <c r="BO336" s="12">
        <v>21</v>
      </c>
      <c r="BP336" s="12">
        <v>0</v>
      </c>
      <c r="BQ336" s="12">
        <v>0</v>
      </c>
      <c r="BR336" s="12">
        <v>55</v>
      </c>
      <c r="BS336" s="12">
        <v>2</v>
      </c>
      <c r="BT336" s="12">
        <v>3.6363636363636362E-2</v>
      </c>
      <c r="BU336" s="12">
        <v>587</v>
      </c>
      <c r="BV336" s="12">
        <v>2</v>
      </c>
      <c r="BW336" s="12">
        <v>3.4071550255536627E-3</v>
      </c>
      <c r="BX336" s="12"/>
      <c r="BY336" s="12"/>
      <c r="BZ336" s="12"/>
      <c r="CA336" s="12">
        <v>47914.7</v>
      </c>
      <c r="CB336" s="13"/>
      <c r="CC336" s="13"/>
      <c r="CD336" s="13"/>
      <c r="CE336" s="12">
        <v>5080</v>
      </c>
      <c r="CF336" s="12">
        <v>518</v>
      </c>
      <c r="CG336" s="13">
        <v>51414</v>
      </c>
      <c r="CH336" s="13">
        <v>127</v>
      </c>
      <c r="CI336" s="13">
        <v>17773</v>
      </c>
    </row>
    <row r="337" spans="2:87" x14ac:dyDescent="0.2">
      <c r="B337" s="5">
        <v>46110</v>
      </c>
      <c r="C337" s="12">
        <v>10</v>
      </c>
      <c r="D337" s="12">
        <v>3.6</v>
      </c>
      <c r="E337" s="12">
        <v>228823.52900000001</v>
      </c>
      <c r="F337" s="12">
        <v>0</v>
      </c>
      <c r="G337" s="12">
        <v>2288235.29</v>
      </c>
      <c r="H337" s="12">
        <v>0</v>
      </c>
      <c r="I337" s="12">
        <v>0</v>
      </c>
      <c r="J337" s="12">
        <v>2288235.29</v>
      </c>
      <c r="K337" s="12">
        <v>0</v>
      </c>
      <c r="L337" s="12">
        <v>0</v>
      </c>
      <c r="M337" s="12">
        <v>434764.71</v>
      </c>
      <c r="N337" s="12">
        <v>2723000</v>
      </c>
      <c r="O337" s="12">
        <v>0</v>
      </c>
      <c r="P337" s="12">
        <v>2288235.29</v>
      </c>
      <c r="Q337" s="12">
        <v>658555</v>
      </c>
      <c r="R337" s="12">
        <v>1629680.29</v>
      </c>
      <c r="S337" s="12">
        <v>0</v>
      </c>
      <c r="T337" s="12">
        <v>36</v>
      </c>
      <c r="U337" s="12">
        <v>0</v>
      </c>
      <c r="V337" s="12">
        <v>0</v>
      </c>
      <c r="W337" s="35">
        <v>46144.261731053244</v>
      </c>
      <c r="X337" s="12">
        <v>5</v>
      </c>
      <c r="Y337" s="12">
        <v>9</v>
      </c>
      <c r="Z337" s="12">
        <v>1775630.25</v>
      </c>
      <c r="AA337" s="12">
        <v>197292.25</v>
      </c>
      <c r="AB337" s="12">
        <v>494881</v>
      </c>
      <c r="AC337" s="12">
        <v>1280749.25</v>
      </c>
      <c r="AD337" s="12">
        <v>1</v>
      </c>
      <c r="AE337" s="12">
        <v>1</v>
      </c>
      <c r="AF337" s="12">
        <v>512605.04</v>
      </c>
      <c r="AG337" s="12">
        <v>512605.04</v>
      </c>
      <c r="AH337" s="12">
        <v>163674</v>
      </c>
      <c r="AI337" s="12">
        <v>348931.04</v>
      </c>
      <c r="AJ337" s="12"/>
      <c r="AK337" s="12"/>
      <c r="AL337" s="12"/>
      <c r="AM337" s="12"/>
      <c r="AN337" s="12"/>
      <c r="AO337" s="12"/>
      <c r="AP337" s="12">
        <v>15126.05</v>
      </c>
      <c r="AQ337" s="12">
        <v>1</v>
      </c>
      <c r="AR337" s="12">
        <v>15126.05</v>
      </c>
      <c r="AS337" s="12">
        <v>664</v>
      </c>
      <c r="AT337" s="12">
        <v>2273109.2400000002</v>
      </c>
      <c r="AU337" s="12">
        <v>9</v>
      </c>
      <c r="AV337" s="12">
        <v>252567.693</v>
      </c>
      <c r="AW337" s="12">
        <v>657891</v>
      </c>
      <c r="AX337" s="12"/>
      <c r="AY337" s="12"/>
      <c r="AZ337" s="12"/>
      <c r="BA337" s="12"/>
      <c r="BB337" s="12"/>
      <c r="BC337" s="12"/>
      <c r="BD337" s="12"/>
      <c r="BE337" s="12"/>
      <c r="BF337" s="12">
        <v>291</v>
      </c>
      <c r="BG337" s="12">
        <v>0</v>
      </c>
      <c r="BH337" s="12">
        <v>0</v>
      </c>
      <c r="BI337" s="12">
        <v>89</v>
      </c>
      <c r="BJ337" s="12">
        <v>0</v>
      </c>
      <c r="BK337" s="12">
        <v>0</v>
      </c>
      <c r="BL337" s="12">
        <v>23</v>
      </c>
      <c r="BM337" s="12">
        <v>0</v>
      </c>
      <c r="BN337" s="12">
        <v>0</v>
      </c>
      <c r="BO337" s="12">
        <v>12</v>
      </c>
      <c r="BP337" s="12">
        <v>0</v>
      </c>
      <c r="BQ337" s="12">
        <v>0</v>
      </c>
      <c r="BR337" s="12">
        <v>42</v>
      </c>
      <c r="BS337" s="12">
        <v>0</v>
      </c>
      <c r="BT337" s="12">
        <v>0</v>
      </c>
      <c r="BU337" s="12">
        <v>457</v>
      </c>
      <c r="BV337" s="12">
        <v>0</v>
      </c>
      <c r="BW337" s="12">
        <v>0</v>
      </c>
      <c r="BX337" s="12"/>
      <c r="BY337" s="12"/>
      <c r="BZ337" s="12"/>
      <c r="CA337" s="12">
        <v>37351.1</v>
      </c>
      <c r="CB337" s="13"/>
      <c r="CC337" s="13"/>
      <c r="CD337" s="13"/>
      <c r="CE337" s="12">
        <v>3973</v>
      </c>
      <c r="CF337" s="12">
        <v>372</v>
      </c>
      <c r="CG337" s="13">
        <v>53996</v>
      </c>
      <c r="CH337" s="13">
        <v>147</v>
      </c>
      <c r="CI337" s="13">
        <v>20135</v>
      </c>
    </row>
    <row r="338" spans="2:87" x14ac:dyDescent="0.2">
      <c r="B338" s="5">
        <v>46111</v>
      </c>
      <c r="C338" s="12">
        <v>10</v>
      </c>
      <c r="D338" s="12">
        <v>3.6</v>
      </c>
      <c r="E338" s="12">
        <v>238235.29399999999</v>
      </c>
      <c r="F338" s="12">
        <v>0</v>
      </c>
      <c r="G338" s="12">
        <v>2382352.94</v>
      </c>
      <c r="H338" s="12">
        <v>0</v>
      </c>
      <c r="I338" s="12">
        <v>0</v>
      </c>
      <c r="J338" s="12">
        <v>2382352.94</v>
      </c>
      <c r="K338" s="12">
        <v>48000</v>
      </c>
      <c r="L338" s="12">
        <v>0</v>
      </c>
      <c r="M338" s="12">
        <v>452647.06</v>
      </c>
      <c r="N338" s="12">
        <v>2883000</v>
      </c>
      <c r="O338" s="12">
        <v>0</v>
      </c>
      <c r="P338" s="12">
        <v>2382352.94</v>
      </c>
      <c r="Q338" s="12">
        <v>648284</v>
      </c>
      <c r="R338" s="12">
        <v>1734068.94</v>
      </c>
      <c r="S338" s="12">
        <v>0</v>
      </c>
      <c r="T338" s="12">
        <v>36</v>
      </c>
      <c r="U338" s="12">
        <v>0</v>
      </c>
      <c r="V338" s="12">
        <v>0</v>
      </c>
      <c r="W338" s="35">
        <v>46144.261731053244</v>
      </c>
      <c r="X338" s="12">
        <v>7</v>
      </c>
      <c r="Y338" s="12">
        <v>8</v>
      </c>
      <c r="Z338" s="12">
        <v>2243697.48</v>
      </c>
      <c r="AA338" s="12">
        <v>280462.185</v>
      </c>
      <c r="AB338" s="12">
        <v>593448</v>
      </c>
      <c r="AC338" s="12">
        <v>1650249.48</v>
      </c>
      <c r="AD338" s="12">
        <v>2</v>
      </c>
      <c r="AE338" s="12">
        <v>2</v>
      </c>
      <c r="AF338" s="12">
        <v>138655.46</v>
      </c>
      <c r="AG338" s="12">
        <v>69327.73</v>
      </c>
      <c r="AH338" s="12">
        <v>54836</v>
      </c>
      <c r="AI338" s="12">
        <v>83819.460000000006</v>
      </c>
      <c r="AJ338" s="12"/>
      <c r="AK338" s="12"/>
      <c r="AL338" s="12"/>
      <c r="AM338" s="12"/>
      <c r="AN338" s="12"/>
      <c r="AO338" s="12"/>
      <c r="AP338" s="12">
        <v>407563.03</v>
      </c>
      <c r="AQ338" s="12">
        <v>3</v>
      </c>
      <c r="AR338" s="12">
        <v>135854.34299999999</v>
      </c>
      <c r="AS338" s="12">
        <v>132313</v>
      </c>
      <c r="AT338" s="12">
        <v>1974789.91</v>
      </c>
      <c r="AU338" s="12">
        <v>7</v>
      </c>
      <c r="AV338" s="12">
        <v>282112.84399999998</v>
      </c>
      <c r="AW338" s="12">
        <v>515971</v>
      </c>
      <c r="AX338" s="12"/>
      <c r="AY338" s="12"/>
      <c r="AZ338" s="12"/>
      <c r="BA338" s="12"/>
      <c r="BB338" s="12"/>
      <c r="BC338" s="12"/>
      <c r="BD338" s="12"/>
      <c r="BE338" s="12"/>
      <c r="BF338" s="12">
        <v>324</v>
      </c>
      <c r="BG338" s="12">
        <v>0</v>
      </c>
      <c r="BH338" s="12">
        <v>0</v>
      </c>
      <c r="BI338" s="12">
        <v>95</v>
      </c>
      <c r="BJ338" s="12">
        <v>0</v>
      </c>
      <c r="BK338" s="12">
        <v>0</v>
      </c>
      <c r="BL338" s="12">
        <v>25</v>
      </c>
      <c r="BM338" s="12">
        <v>0</v>
      </c>
      <c r="BN338" s="12">
        <v>0</v>
      </c>
      <c r="BO338" s="12">
        <v>11</v>
      </c>
      <c r="BP338" s="12">
        <v>0</v>
      </c>
      <c r="BQ338" s="12">
        <v>0</v>
      </c>
      <c r="BR338" s="12">
        <v>70</v>
      </c>
      <c r="BS338" s="12">
        <v>4</v>
      </c>
      <c r="BT338" s="12">
        <v>5.7142857142857141E-2</v>
      </c>
      <c r="BU338" s="12">
        <v>525</v>
      </c>
      <c r="BV338" s="12">
        <v>4</v>
      </c>
      <c r="BW338" s="12">
        <v>7.619047619047619E-3</v>
      </c>
      <c r="BX338" s="12"/>
      <c r="BY338" s="12"/>
      <c r="BZ338" s="12"/>
      <c r="CA338" s="12">
        <v>55574.55</v>
      </c>
      <c r="CB338" s="13"/>
      <c r="CC338" s="13"/>
      <c r="CD338" s="13"/>
      <c r="CE338" s="12">
        <v>5159</v>
      </c>
      <c r="CF338" s="12">
        <v>426</v>
      </c>
      <c r="CG338" s="13">
        <v>50356</v>
      </c>
      <c r="CH338" s="13">
        <v>149</v>
      </c>
      <c r="CI338" s="13">
        <v>18391</v>
      </c>
    </row>
    <row r="339" spans="2:87" x14ac:dyDescent="0.2">
      <c r="B339" s="5">
        <v>46112</v>
      </c>
      <c r="C339" s="12">
        <v>14</v>
      </c>
      <c r="D339" s="12">
        <v>5.3</v>
      </c>
      <c r="E339" s="12">
        <v>180023.40900000001</v>
      </c>
      <c r="F339" s="12">
        <v>0</v>
      </c>
      <c r="G339" s="12">
        <v>2520327.73</v>
      </c>
      <c r="H339" s="12">
        <v>0</v>
      </c>
      <c r="I339" s="12">
        <v>0</v>
      </c>
      <c r="J339" s="12">
        <v>2520327.73</v>
      </c>
      <c r="K339" s="12">
        <v>64000</v>
      </c>
      <c r="L339" s="12">
        <v>0</v>
      </c>
      <c r="M339" s="12">
        <v>456822.27</v>
      </c>
      <c r="N339" s="12">
        <v>3041150</v>
      </c>
      <c r="O339" s="12">
        <v>0</v>
      </c>
      <c r="P339" s="12">
        <v>2520327.73</v>
      </c>
      <c r="Q339" s="12">
        <v>470874</v>
      </c>
      <c r="R339" s="12">
        <v>2049453.73</v>
      </c>
      <c r="S339" s="12">
        <v>0</v>
      </c>
      <c r="T339" s="12">
        <v>74</v>
      </c>
      <c r="U339" s="12">
        <v>0</v>
      </c>
      <c r="V339" s="12">
        <v>0</v>
      </c>
      <c r="W339" s="35">
        <v>46144.261731053244</v>
      </c>
      <c r="X339" s="12">
        <v>6</v>
      </c>
      <c r="Y339" s="12">
        <v>9</v>
      </c>
      <c r="Z339" s="12">
        <v>1835453.78</v>
      </c>
      <c r="AA339" s="12">
        <v>203939.30799999999</v>
      </c>
      <c r="AB339" s="12">
        <v>339756</v>
      </c>
      <c r="AC339" s="12">
        <v>1495697.78</v>
      </c>
      <c r="AD339" s="12">
        <v>5</v>
      </c>
      <c r="AE339" s="12">
        <v>5</v>
      </c>
      <c r="AF339" s="12">
        <v>684873.95</v>
      </c>
      <c r="AG339" s="12">
        <v>136974.79</v>
      </c>
      <c r="AH339" s="12">
        <v>131118</v>
      </c>
      <c r="AI339" s="12">
        <v>553755.94999999995</v>
      </c>
      <c r="AJ339" s="12"/>
      <c r="AK339" s="12"/>
      <c r="AL339" s="12"/>
      <c r="AM339" s="12"/>
      <c r="AN339" s="12"/>
      <c r="AO339" s="12"/>
      <c r="AP339" s="12">
        <v>474789.91</v>
      </c>
      <c r="AQ339" s="12">
        <v>4</v>
      </c>
      <c r="AR339" s="12">
        <v>118697.477</v>
      </c>
      <c r="AS339" s="12">
        <v>154295</v>
      </c>
      <c r="AT339" s="12">
        <v>1300873.95</v>
      </c>
      <c r="AU339" s="12">
        <v>9</v>
      </c>
      <c r="AV339" s="12">
        <v>144541.54999999999</v>
      </c>
      <c r="AW339" s="12">
        <v>316579</v>
      </c>
      <c r="AX339" s="12"/>
      <c r="AY339" s="12"/>
      <c r="AZ339" s="12"/>
      <c r="BA339" s="12"/>
      <c r="BB339" s="12">
        <v>744663.87</v>
      </c>
      <c r="BC339" s="12">
        <v>1</v>
      </c>
      <c r="BD339" s="12">
        <v>744663.87</v>
      </c>
      <c r="BE339" s="12">
        <v>0</v>
      </c>
      <c r="BF339" s="12">
        <v>330</v>
      </c>
      <c r="BG339" s="12">
        <v>0</v>
      </c>
      <c r="BH339" s="12">
        <v>0</v>
      </c>
      <c r="BI339" s="12">
        <v>78</v>
      </c>
      <c r="BJ339" s="12">
        <v>2</v>
      </c>
      <c r="BK339" s="12">
        <v>2.564102564102564E-2</v>
      </c>
      <c r="BL339" s="12">
        <v>34</v>
      </c>
      <c r="BM339" s="12">
        <v>1</v>
      </c>
      <c r="BN339" s="12">
        <v>2.9411764705882353E-2</v>
      </c>
      <c r="BO339" s="12">
        <v>9</v>
      </c>
      <c r="BP339" s="12">
        <v>0</v>
      </c>
      <c r="BQ339" s="12">
        <v>0</v>
      </c>
      <c r="BR339" s="12">
        <v>75</v>
      </c>
      <c r="BS339" s="12">
        <v>2</v>
      </c>
      <c r="BT339" s="12">
        <v>2.6666666666666668E-2</v>
      </c>
      <c r="BU339" s="12">
        <v>526</v>
      </c>
      <c r="BV339" s="12">
        <v>5</v>
      </c>
      <c r="BW339" s="12">
        <v>9.5057034220532317E-3</v>
      </c>
      <c r="BX339" s="12"/>
      <c r="BY339" s="12"/>
      <c r="BZ339" s="12"/>
      <c r="CA339" s="12">
        <v>45753.16</v>
      </c>
      <c r="CB339" s="13"/>
      <c r="CC339" s="13"/>
      <c r="CD339" s="13"/>
      <c r="CE339" s="12">
        <v>4471</v>
      </c>
      <c r="CF339" s="12">
        <v>463</v>
      </c>
      <c r="CG339" s="13">
        <v>55942</v>
      </c>
      <c r="CH339" s="13">
        <v>130</v>
      </c>
      <c r="CI339" s="13">
        <v>19364</v>
      </c>
    </row>
    <row r="340" spans="2:87" x14ac:dyDescent="0.2">
      <c r="B340" s="5">
        <v>46113</v>
      </c>
      <c r="C340" s="12">
        <v>17</v>
      </c>
      <c r="D340" s="12">
        <v>1.5</v>
      </c>
      <c r="E340" s="12">
        <v>99140.385999999999</v>
      </c>
      <c r="F340" s="12">
        <v>0</v>
      </c>
      <c r="G340" s="12">
        <v>1685386.57</v>
      </c>
      <c r="H340" s="12">
        <v>0</v>
      </c>
      <c r="I340" s="12">
        <v>0</v>
      </c>
      <c r="J340" s="12">
        <v>1685386.57</v>
      </c>
      <c r="K340" s="12">
        <v>12000</v>
      </c>
      <c r="L340" s="12">
        <v>0</v>
      </c>
      <c r="M340" s="12">
        <v>288113.43</v>
      </c>
      <c r="N340" s="12">
        <v>1985500</v>
      </c>
      <c r="O340" s="12">
        <v>0</v>
      </c>
      <c r="P340" s="12">
        <v>1685386.57</v>
      </c>
      <c r="Q340" s="12">
        <v>469452</v>
      </c>
      <c r="R340" s="12">
        <v>1215934.57</v>
      </c>
      <c r="S340" s="12">
        <v>0</v>
      </c>
      <c r="T340" s="12">
        <v>25</v>
      </c>
      <c r="U340" s="12">
        <v>0</v>
      </c>
      <c r="V340" s="12">
        <v>0</v>
      </c>
      <c r="W340" s="35">
        <v>46144.261731053244</v>
      </c>
      <c r="X340" s="12">
        <v>7</v>
      </c>
      <c r="Y340" s="12">
        <v>14</v>
      </c>
      <c r="Z340" s="12">
        <v>1513117.66</v>
      </c>
      <c r="AA340" s="12">
        <v>108079.83199999999</v>
      </c>
      <c r="AB340" s="12">
        <v>437515</v>
      </c>
      <c r="AC340" s="12">
        <v>1075602.6599999999</v>
      </c>
      <c r="AD340" s="12">
        <v>2</v>
      </c>
      <c r="AE340" s="12">
        <v>2</v>
      </c>
      <c r="AF340" s="12">
        <v>134453.78</v>
      </c>
      <c r="AG340" s="12">
        <v>67226.89</v>
      </c>
      <c r="AH340" s="12">
        <v>26914</v>
      </c>
      <c r="AI340" s="12">
        <v>107539.78</v>
      </c>
      <c r="AJ340" s="12">
        <v>1</v>
      </c>
      <c r="AK340" s="12">
        <v>1</v>
      </c>
      <c r="AL340" s="12">
        <v>37815.129999999997</v>
      </c>
      <c r="AM340" s="12">
        <v>37815.129999999997</v>
      </c>
      <c r="AN340" s="12">
        <v>5023</v>
      </c>
      <c r="AO340" s="12">
        <v>32792.129999999997</v>
      </c>
      <c r="AP340" s="12">
        <v>210084.03</v>
      </c>
      <c r="AQ340" s="12">
        <v>1</v>
      </c>
      <c r="AR340" s="12">
        <v>210084.03</v>
      </c>
      <c r="AS340" s="12">
        <v>28884</v>
      </c>
      <c r="AT340" s="12">
        <v>1475302.54</v>
      </c>
      <c r="AU340" s="12">
        <v>16</v>
      </c>
      <c r="AV340" s="12">
        <v>92206.407999999996</v>
      </c>
      <c r="AW340" s="12">
        <v>440568</v>
      </c>
      <c r="AX340" s="12"/>
      <c r="AY340" s="12"/>
      <c r="AZ340" s="12"/>
      <c r="BA340" s="12"/>
      <c r="BB340" s="12"/>
      <c r="BC340" s="12"/>
      <c r="BD340" s="12"/>
      <c r="BE340" s="12"/>
      <c r="BF340" s="12">
        <v>397</v>
      </c>
      <c r="BG340" s="12">
        <v>0</v>
      </c>
      <c r="BH340" s="12">
        <v>0</v>
      </c>
      <c r="BI340" s="12">
        <v>87</v>
      </c>
      <c r="BJ340" s="12">
        <v>0</v>
      </c>
      <c r="BK340" s="12">
        <v>0</v>
      </c>
      <c r="BL340" s="12">
        <v>23</v>
      </c>
      <c r="BM340" s="12">
        <v>0</v>
      </c>
      <c r="BN340" s="12">
        <v>0</v>
      </c>
      <c r="BO340" s="12">
        <v>9</v>
      </c>
      <c r="BP340" s="12">
        <v>0</v>
      </c>
      <c r="BQ340" s="12">
        <v>0</v>
      </c>
      <c r="BR340" s="12">
        <v>51</v>
      </c>
      <c r="BS340" s="12">
        <v>1</v>
      </c>
      <c r="BT340" s="12">
        <v>1.9607843137254902E-2</v>
      </c>
      <c r="BU340" s="12">
        <v>567</v>
      </c>
      <c r="BV340" s="12">
        <v>1</v>
      </c>
      <c r="BW340" s="12">
        <v>1.7636684303350969E-3</v>
      </c>
      <c r="BX340" s="12"/>
      <c r="BY340" s="12"/>
      <c r="BZ340" s="12"/>
      <c r="CA340" s="12">
        <v>49164.6</v>
      </c>
      <c r="CB340" s="13"/>
      <c r="CC340" s="13"/>
      <c r="CD340" s="13"/>
      <c r="CE340" s="12">
        <v>5109</v>
      </c>
      <c r="CF340" s="12">
        <v>518</v>
      </c>
      <c r="CG340" s="13">
        <v>57783</v>
      </c>
      <c r="CH340" s="13">
        <v>153</v>
      </c>
      <c r="CI340" s="13">
        <v>21399</v>
      </c>
    </row>
    <row r="341" spans="2:87" x14ac:dyDescent="0.2">
      <c r="B341" s="5">
        <v>46114</v>
      </c>
      <c r="C341" s="12">
        <v>13</v>
      </c>
      <c r="D341" s="12">
        <v>1.5</v>
      </c>
      <c r="E341" s="12">
        <v>88061.409</v>
      </c>
      <c r="F341" s="12">
        <v>0</v>
      </c>
      <c r="G341" s="12">
        <v>1144798.32</v>
      </c>
      <c r="H341" s="12">
        <v>0</v>
      </c>
      <c r="I341" s="12">
        <v>0</v>
      </c>
      <c r="J341" s="12">
        <v>1144798.32</v>
      </c>
      <c r="K341" s="12">
        <v>48000</v>
      </c>
      <c r="L341" s="12">
        <v>0</v>
      </c>
      <c r="M341" s="12">
        <v>189201.68</v>
      </c>
      <c r="N341" s="12">
        <v>1382000</v>
      </c>
      <c r="O341" s="12">
        <v>0</v>
      </c>
      <c r="P341" s="12">
        <v>1144798.32</v>
      </c>
      <c r="Q341" s="12">
        <v>390300</v>
      </c>
      <c r="R341" s="12">
        <v>754498.32</v>
      </c>
      <c r="S341" s="12">
        <v>0</v>
      </c>
      <c r="T341" s="12">
        <v>19</v>
      </c>
      <c r="U341" s="12">
        <v>0</v>
      </c>
      <c r="V341" s="12">
        <v>0</v>
      </c>
      <c r="W341" s="35">
        <v>46144.261731053244</v>
      </c>
      <c r="X341" s="12">
        <v>3</v>
      </c>
      <c r="Y341" s="12">
        <v>9</v>
      </c>
      <c r="Z341" s="12">
        <v>670008.4</v>
      </c>
      <c r="AA341" s="12">
        <v>74445.376999999993</v>
      </c>
      <c r="AB341" s="12">
        <v>233674</v>
      </c>
      <c r="AC341" s="12">
        <v>436334.4</v>
      </c>
      <c r="AD341" s="12">
        <v>4</v>
      </c>
      <c r="AE341" s="12">
        <v>4</v>
      </c>
      <c r="AF341" s="12">
        <v>474789.92</v>
      </c>
      <c r="AG341" s="12">
        <v>118697.48</v>
      </c>
      <c r="AH341" s="12">
        <v>156626</v>
      </c>
      <c r="AI341" s="12">
        <v>318163.92</v>
      </c>
      <c r="AJ341" s="12"/>
      <c r="AK341" s="12"/>
      <c r="AL341" s="12"/>
      <c r="AM341" s="12"/>
      <c r="AN341" s="12"/>
      <c r="AO341" s="12"/>
      <c r="AP341" s="12">
        <v>319327.73</v>
      </c>
      <c r="AQ341" s="12">
        <v>3</v>
      </c>
      <c r="AR341" s="12">
        <v>106442.576</v>
      </c>
      <c r="AS341" s="12">
        <v>97613</v>
      </c>
      <c r="AT341" s="12">
        <v>825470.59</v>
      </c>
      <c r="AU341" s="12">
        <v>10</v>
      </c>
      <c r="AV341" s="12">
        <v>82547.058999999994</v>
      </c>
      <c r="AW341" s="12">
        <v>292687</v>
      </c>
      <c r="AX341" s="12"/>
      <c r="AY341" s="12"/>
      <c r="AZ341" s="12"/>
      <c r="BA341" s="12"/>
      <c r="BB341" s="12"/>
      <c r="BC341" s="12"/>
      <c r="BD341" s="12"/>
      <c r="BE341" s="12"/>
      <c r="BF341" s="12">
        <v>443</v>
      </c>
      <c r="BG341" s="12">
        <v>0</v>
      </c>
      <c r="BH341" s="12">
        <v>0</v>
      </c>
      <c r="BI341" s="12">
        <v>50</v>
      </c>
      <c r="BJ341" s="12">
        <v>0</v>
      </c>
      <c r="BK341" s="12">
        <v>0</v>
      </c>
      <c r="BL341" s="12">
        <v>24</v>
      </c>
      <c r="BM341" s="12">
        <v>1</v>
      </c>
      <c r="BN341" s="12">
        <v>4.1666666666666664E-2</v>
      </c>
      <c r="BO341" s="12">
        <v>14</v>
      </c>
      <c r="BP341" s="12">
        <v>0</v>
      </c>
      <c r="BQ341" s="12">
        <v>0</v>
      </c>
      <c r="BR341" s="12">
        <v>49</v>
      </c>
      <c r="BS341" s="12">
        <v>3</v>
      </c>
      <c r="BT341" s="12">
        <v>6.1224489795918366E-2</v>
      </c>
      <c r="BU341" s="12">
        <v>580</v>
      </c>
      <c r="BV341" s="12">
        <v>4</v>
      </c>
      <c r="BW341" s="12">
        <v>6.8965517241379309E-3</v>
      </c>
      <c r="BX341" s="12"/>
      <c r="BY341" s="12"/>
      <c r="BZ341" s="12"/>
      <c r="CA341" s="12">
        <v>40333.03</v>
      </c>
      <c r="CB341" s="13"/>
      <c r="CC341" s="13"/>
      <c r="CD341" s="13"/>
      <c r="CE341" s="12">
        <v>5583</v>
      </c>
      <c r="CF341" s="12">
        <v>515</v>
      </c>
      <c r="CG341" s="13">
        <v>46287</v>
      </c>
      <c r="CH341" s="13">
        <v>99</v>
      </c>
      <c r="CI341" s="13">
        <v>20656</v>
      </c>
    </row>
    <row r="342" spans="2:87" x14ac:dyDescent="0.2">
      <c r="B342" s="5">
        <v>46116</v>
      </c>
      <c r="C342" s="12">
        <v>8</v>
      </c>
      <c r="D342" s="12">
        <v>1.5</v>
      </c>
      <c r="E342" s="12">
        <v>73488.445999999996</v>
      </c>
      <c r="F342" s="12">
        <v>-1</v>
      </c>
      <c r="G342" s="12">
        <v>617319.32999999996</v>
      </c>
      <c r="H342" s="12">
        <v>0</v>
      </c>
      <c r="I342" s="12">
        <v>-46218.49</v>
      </c>
      <c r="J342" s="12">
        <v>571100.84</v>
      </c>
      <c r="K342" s="12">
        <v>28000</v>
      </c>
      <c r="L342" s="12">
        <v>0</v>
      </c>
      <c r="M342" s="12">
        <v>85899.16</v>
      </c>
      <c r="N342" s="12">
        <v>685000</v>
      </c>
      <c r="O342" s="12">
        <v>0</v>
      </c>
      <c r="P342" s="12">
        <v>571100.84</v>
      </c>
      <c r="Q342" s="12">
        <v>179120</v>
      </c>
      <c r="R342" s="12">
        <v>391980.84</v>
      </c>
      <c r="S342" s="12">
        <v>0</v>
      </c>
      <c r="T342" s="12">
        <v>12</v>
      </c>
      <c r="U342" s="12">
        <v>0</v>
      </c>
      <c r="V342" s="12">
        <v>0</v>
      </c>
      <c r="W342" s="35">
        <v>46144.261731053244</v>
      </c>
      <c r="X342" s="12">
        <v>2</v>
      </c>
      <c r="Y342" s="12">
        <v>6</v>
      </c>
      <c r="Z342" s="12">
        <v>373621.85</v>
      </c>
      <c r="AA342" s="12">
        <v>65071.43</v>
      </c>
      <c r="AB342" s="12">
        <v>120272</v>
      </c>
      <c r="AC342" s="12">
        <v>253349.85</v>
      </c>
      <c r="AD342" s="12">
        <v>2</v>
      </c>
      <c r="AE342" s="12">
        <v>2</v>
      </c>
      <c r="AF342" s="12">
        <v>197478.99</v>
      </c>
      <c r="AG342" s="12">
        <v>98739.494999999995</v>
      </c>
      <c r="AH342" s="12">
        <v>58848</v>
      </c>
      <c r="AI342" s="12">
        <v>138630.99</v>
      </c>
      <c r="AJ342" s="12"/>
      <c r="AK342" s="12"/>
      <c r="AL342" s="12"/>
      <c r="AM342" s="12"/>
      <c r="AN342" s="12"/>
      <c r="AO342" s="12"/>
      <c r="AP342" s="12">
        <v>197478.99</v>
      </c>
      <c r="AQ342" s="12">
        <v>2</v>
      </c>
      <c r="AR342" s="12">
        <v>98739.494999999995</v>
      </c>
      <c r="AS342" s="12">
        <v>58848</v>
      </c>
      <c r="AT342" s="12">
        <v>373621.85</v>
      </c>
      <c r="AU342" s="12">
        <v>6</v>
      </c>
      <c r="AV342" s="12">
        <v>65071.43</v>
      </c>
      <c r="AW342" s="12">
        <v>120272</v>
      </c>
      <c r="AX342" s="12"/>
      <c r="AY342" s="12"/>
      <c r="AZ342" s="12"/>
      <c r="BA342" s="12"/>
      <c r="BB342" s="12"/>
      <c r="BC342" s="12"/>
      <c r="BD342" s="12"/>
      <c r="BE342" s="12"/>
      <c r="BF342" s="12">
        <v>541</v>
      </c>
      <c r="BG342" s="12">
        <v>0</v>
      </c>
      <c r="BH342" s="12">
        <v>0</v>
      </c>
      <c r="BI342" s="12">
        <v>62</v>
      </c>
      <c r="BJ342" s="12">
        <v>1</v>
      </c>
      <c r="BK342" s="12">
        <v>1.6129032258064516E-2</v>
      </c>
      <c r="BL342" s="12">
        <v>17</v>
      </c>
      <c r="BM342" s="12">
        <v>1</v>
      </c>
      <c r="BN342" s="12">
        <v>5.8823529411764705E-2</v>
      </c>
      <c r="BO342" s="12">
        <v>16</v>
      </c>
      <c r="BP342" s="12">
        <v>0</v>
      </c>
      <c r="BQ342" s="12">
        <v>0</v>
      </c>
      <c r="BR342" s="12">
        <v>51</v>
      </c>
      <c r="BS342" s="12">
        <v>0</v>
      </c>
      <c r="BT342" s="12">
        <v>0</v>
      </c>
      <c r="BU342" s="12">
        <v>687</v>
      </c>
      <c r="BV342" s="12">
        <v>2</v>
      </c>
      <c r="BW342" s="12">
        <v>2.911208151382824E-3</v>
      </c>
      <c r="BX342" s="12"/>
      <c r="BY342" s="12"/>
      <c r="BZ342" s="12"/>
      <c r="CA342" s="12">
        <v>62561.17</v>
      </c>
      <c r="CB342" s="13"/>
      <c r="CC342" s="13"/>
      <c r="CD342" s="13"/>
      <c r="CE342" s="12">
        <v>6887</v>
      </c>
      <c r="CF342" s="12">
        <v>698</v>
      </c>
      <c r="CG342" s="13">
        <v>52061</v>
      </c>
      <c r="CH342" s="13">
        <v>150</v>
      </c>
      <c r="CI342" s="13">
        <v>23354</v>
      </c>
    </row>
    <row r="343" spans="2:87" x14ac:dyDescent="0.2">
      <c r="B343" s="5">
        <v>46117</v>
      </c>
      <c r="C343" s="12">
        <v>3</v>
      </c>
      <c r="D343" s="12">
        <v>2.2999999999999998</v>
      </c>
      <c r="E343" s="12">
        <v>233893.55600000001</v>
      </c>
      <c r="F343" s="12">
        <v>0</v>
      </c>
      <c r="G343" s="12">
        <v>701680.67</v>
      </c>
      <c r="H343" s="12">
        <v>0</v>
      </c>
      <c r="I343" s="12">
        <v>0</v>
      </c>
      <c r="J343" s="12">
        <v>701680.67</v>
      </c>
      <c r="K343" s="12">
        <v>44000</v>
      </c>
      <c r="L343" s="12">
        <v>0</v>
      </c>
      <c r="M343" s="12">
        <v>133319.32999999999</v>
      </c>
      <c r="N343" s="12">
        <v>879000</v>
      </c>
      <c r="O343" s="12">
        <v>0</v>
      </c>
      <c r="P343" s="12">
        <v>701680.67</v>
      </c>
      <c r="Q343" s="12">
        <v>219239</v>
      </c>
      <c r="R343" s="12">
        <v>482441.67</v>
      </c>
      <c r="S343" s="12">
        <v>0</v>
      </c>
      <c r="T343" s="12">
        <v>7</v>
      </c>
      <c r="U343" s="12">
        <v>0</v>
      </c>
      <c r="V343" s="12">
        <v>0</v>
      </c>
      <c r="W343" s="35">
        <v>46144.261731053244</v>
      </c>
      <c r="X343" s="12">
        <v>3</v>
      </c>
      <c r="Y343" s="12">
        <v>3</v>
      </c>
      <c r="Z343" s="12">
        <v>701680.67</v>
      </c>
      <c r="AA343" s="12">
        <v>233893.55600000001</v>
      </c>
      <c r="AB343" s="12">
        <v>219239</v>
      </c>
      <c r="AC343" s="12">
        <v>482441.67</v>
      </c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>
        <v>701680.67</v>
      </c>
      <c r="AQ343" s="12">
        <v>3</v>
      </c>
      <c r="AR343" s="12">
        <v>233893.55600000001</v>
      </c>
      <c r="AS343" s="12">
        <v>219239</v>
      </c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>
        <v>367</v>
      </c>
      <c r="BG343" s="12">
        <v>0</v>
      </c>
      <c r="BH343" s="12">
        <v>0</v>
      </c>
      <c r="BI343" s="12">
        <v>126</v>
      </c>
      <c r="BJ343" s="12">
        <v>1</v>
      </c>
      <c r="BK343" s="12">
        <v>7.9365079365079361E-3</v>
      </c>
      <c r="BL343" s="12">
        <v>21</v>
      </c>
      <c r="BM343" s="12">
        <v>1</v>
      </c>
      <c r="BN343" s="12">
        <v>4.7619047619047616E-2</v>
      </c>
      <c r="BO343" s="12">
        <v>11</v>
      </c>
      <c r="BP343" s="12">
        <v>0</v>
      </c>
      <c r="BQ343" s="12">
        <v>0</v>
      </c>
      <c r="BR343" s="12">
        <v>55</v>
      </c>
      <c r="BS343" s="12">
        <v>1</v>
      </c>
      <c r="BT343" s="12">
        <v>1.8181818181818181E-2</v>
      </c>
      <c r="BU343" s="12">
        <v>580</v>
      </c>
      <c r="BV343" s="12">
        <v>3</v>
      </c>
      <c r="BW343" s="12">
        <v>5.1724137931034482E-3</v>
      </c>
      <c r="BX343" s="12"/>
      <c r="BY343" s="12"/>
      <c r="BZ343" s="12"/>
      <c r="CA343" s="12">
        <v>48401.04</v>
      </c>
      <c r="CB343" s="13"/>
      <c r="CC343" s="13"/>
      <c r="CD343" s="13"/>
      <c r="CE343" s="12">
        <v>5521</v>
      </c>
      <c r="CF343" s="12">
        <v>498</v>
      </c>
      <c r="CG343" s="13">
        <v>56390</v>
      </c>
      <c r="CH343" s="13">
        <v>188</v>
      </c>
      <c r="CI343" s="13">
        <v>25741</v>
      </c>
    </row>
    <row r="344" spans="2:87" x14ac:dyDescent="0.2">
      <c r="B344" s="5">
        <v>46118</v>
      </c>
      <c r="C344" s="12">
        <v>19</v>
      </c>
      <c r="D344" s="12">
        <v>1.7</v>
      </c>
      <c r="E344" s="12">
        <v>105188.414</v>
      </c>
      <c r="F344" s="12">
        <v>-5</v>
      </c>
      <c r="G344" s="12">
        <v>2771689.11</v>
      </c>
      <c r="H344" s="12">
        <v>0</v>
      </c>
      <c r="I344" s="12">
        <v>-726890.75</v>
      </c>
      <c r="J344" s="12">
        <v>2044798.36</v>
      </c>
      <c r="K344" s="12">
        <v>40000</v>
      </c>
      <c r="L344" s="12">
        <v>0</v>
      </c>
      <c r="M344" s="12">
        <v>379201.64</v>
      </c>
      <c r="N344" s="12">
        <v>2464000</v>
      </c>
      <c r="O344" s="12">
        <v>0</v>
      </c>
      <c r="P344" s="12">
        <v>2044798.36</v>
      </c>
      <c r="Q344" s="12">
        <v>727912</v>
      </c>
      <c r="R344" s="12">
        <v>1316886.3600000001</v>
      </c>
      <c r="S344" s="12">
        <v>0</v>
      </c>
      <c r="T344" s="12">
        <v>33</v>
      </c>
      <c r="U344" s="12">
        <v>0</v>
      </c>
      <c r="V344" s="12">
        <v>0</v>
      </c>
      <c r="W344" s="35">
        <v>46144.261731053244</v>
      </c>
      <c r="X344" s="12">
        <v>9</v>
      </c>
      <c r="Y344" s="12">
        <v>14</v>
      </c>
      <c r="Z344" s="12">
        <v>1435554.66</v>
      </c>
      <c r="AA344" s="12">
        <v>100738.897</v>
      </c>
      <c r="AB344" s="12">
        <v>524826</v>
      </c>
      <c r="AC344" s="12">
        <v>910728.66</v>
      </c>
      <c r="AD344" s="12">
        <v>5</v>
      </c>
      <c r="AE344" s="12">
        <v>5</v>
      </c>
      <c r="AF344" s="12">
        <v>609243.69999999995</v>
      </c>
      <c r="AG344" s="12">
        <v>117647.06</v>
      </c>
      <c r="AH344" s="12">
        <v>203086</v>
      </c>
      <c r="AI344" s="12">
        <v>406157.7</v>
      </c>
      <c r="AJ344" s="12"/>
      <c r="AK344" s="12"/>
      <c r="AL344" s="12"/>
      <c r="AM344" s="12"/>
      <c r="AN344" s="12"/>
      <c r="AO344" s="12"/>
      <c r="AP344" s="12">
        <v>588235.30000000005</v>
      </c>
      <c r="AQ344" s="12">
        <v>5</v>
      </c>
      <c r="AR344" s="12">
        <v>113445.38</v>
      </c>
      <c r="AS344" s="12">
        <v>182038</v>
      </c>
      <c r="AT344" s="12">
        <v>1456563.06</v>
      </c>
      <c r="AU344" s="12">
        <v>14</v>
      </c>
      <c r="AV344" s="12">
        <v>102239.497</v>
      </c>
      <c r="AW344" s="12">
        <v>545874</v>
      </c>
      <c r="AX344" s="12"/>
      <c r="AY344" s="12"/>
      <c r="AZ344" s="12"/>
      <c r="BA344" s="12"/>
      <c r="BB344" s="12"/>
      <c r="BC344" s="12"/>
      <c r="BD344" s="12"/>
      <c r="BE344" s="12"/>
      <c r="BF344" s="12">
        <v>415</v>
      </c>
      <c r="BG344" s="12">
        <v>0</v>
      </c>
      <c r="BH344" s="12">
        <v>0</v>
      </c>
      <c r="BI344" s="12">
        <v>83</v>
      </c>
      <c r="BJ344" s="12">
        <v>2</v>
      </c>
      <c r="BK344" s="12">
        <v>2.4096385542168676E-2</v>
      </c>
      <c r="BL344" s="12">
        <v>36</v>
      </c>
      <c r="BM344" s="12">
        <v>2</v>
      </c>
      <c r="BN344" s="12">
        <v>5.5555555555555552E-2</v>
      </c>
      <c r="BO344" s="12">
        <v>7</v>
      </c>
      <c r="BP344" s="12">
        <v>0</v>
      </c>
      <c r="BQ344" s="12">
        <v>0</v>
      </c>
      <c r="BR344" s="12">
        <v>90</v>
      </c>
      <c r="BS344" s="12">
        <v>0</v>
      </c>
      <c r="BT344" s="12">
        <v>0</v>
      </c>
      <c r="BU344" s="12">
        <v>631</v>
      </c>
      <c r="BV344" s="12">
        <v>4</v>
      </c>
      <c r="BW344" s="12">
        <v>6.3391442155309036E-3</v>
      </c>
      <c r="BX344" s="12"/>
      <c r="BY344" s="12"/>
      <c r="BZ344" s="12"/>
      <c r="CA344" s="12">
        <v>45748.73</v>
      </c>
      <c r="CB344" s="13"/>
      <c r="CC344" s="13"/>
      <c r="CD344" s="13"/>
      <c r="CE344" s="12">
        <v>5091</v>
      </c>
      <c r="CF344" s="12">
        <v>529</v>
      </c>
      <c r="CG344" s="13">
        <v>56637</v>
      </c>
      <c r="CH344" s="13">
        <v>128</v>
      </c>
      <c r="CI344" s="13">
        <v>21811</v>
      </c>
    </row>
    <row r="345" spans="2:87" x14ac:dyDescent="0.2">
      <c r="B345" s="5">
        <v>46119</v>
      </c>
      <c r="C345" s="12">
        <v>21</v>
      </c>
      <c r="D345" s="12">
        <v>2</v>
      </c>
      <c r="E345" s="12">
        <v>148499.4</v>
      </c>
      <c r="F345" s="12">
        <v>-1</v>
      </c>
      <c r="G345" s="12">
        <v>3181512.61</v>
      </c>
      <c r="H345" s="12">
        <v>0</v>
      </c>
      <c r="I345" s="12">
        <v>-63025.21</v>
      </c>
      <c r="J345" s="12">
        <v>3118487.4</v>
      </c>
      <c r="K345" s="12">
        <v>72000</v>
      </c>
      <c r="L345" s="12">
        <v>0</v>
      </c>
      <c r="M345" s="12">
        <v>592512.6</v>
      </c>
      <c r="N345" s="12">
        <v>3783000</v>
      </c>
      <c r="O345" s="12">
        <v>0</v>
      </c>
      <c r="P345" s="12">
        <v>3118487.4</v>
      </c>
      <c r="Q345" s="12">
        <v>977460</v>
      </c>
      <c r="R345" s="12">
        <v>2141027.4</v>
      </c>
      <c r="S345" s="12">
        <v>0</v>
      </c>
      <c r="T345" s="12">
        <v>42</v>
      </c>
      <c r="U345" s="12">
        <v>0</v>
      </c>
      <c r="V345" s="12">
        <v>0</v>
      </c>
      <c r="W345" s="35">
        <v>46144.261731053244</v>
      </c>
      <c r="X345" s="12">
        <v>9</v>
      </c>
      <c r="Y345" s="12">
        <v>13</v>
      </c>
      <c r="Z345" s="12">
        <v>1456302.52</v>
      </c>
      <c r="AA345" s="12">
        <v>112023.27</v>
      </c>
      <c r="AB345" s="12">
        <v>502401</v>
      </c>
      <c r="AC345" s="12">
        <v>953901.52</v>
      </c>
      <c r="AD345" s="12">
        <v>8</v>
      </c>
      <c r="AE345" s="12">
        <v>8</v>
      </c>
      <c r="AF345" s="12">
        <v>1662184.88</v>
      </c>
      <c r="AG345" s="12">
        <v>207773.11</v>
      </c>
      <c r="AH345" s="12">
        <v>475059</v>
      </c>
      <c r="AI345" s="12">
        <v>1187125.8799999999</v>
      </c>
      <c r="AJ345" s="12"/>
      <c r="AK345" s="12"/>
      <c r="AL345" s="12"/>
      <c r="AM345" s="12"/>
      <c r="AN345" s="12"/>
      <c r="AO345" s="12"/>
      <c r="AP345" s="12">
        <v>802521.01</v>
      </c>
      <c r="AQ345" s="12">
        <v>7</v>
      </c>
      <c r="AR345" s="12">
        <v>114645.85799999999</v>
      </c>
      <c r="AS345" s="12">
        <v>201399</v>
      </c>
      <c r="AT345" s="12">
        <v>1975630.25</v>
      </c>
      <c r="AU345" s="12">
        <v>12</v>
      </c>
      <c r="AV345" s="12">
        <v>164635.85399999999</v>
      </c>
      <c r="AW345" s="12">
        <v>517216</v>
      </c>
      <c r="AX345" s="12">
        <v>46218.49</v>
      </c>
      <c r="AY345" s="12">
        <v>1</v>
      </c>
      <c r="AZ345" s="12">
        <v>46218.49</v>
      </c>
      <c r="BA345" s="12">
        <v>8845</v>
      </c>
      <c r="BB345" s="12">
        <v>294117.65000000002</v>
      </c>
      <c r="BC345" s="12">
        <v>1</v>
      </c>
      <c r="BD345" s="12">
        <v>294117.65000000002</v>
      </c>
      <c r="BE345" s="12">
        <v>250000</v>
      </c>
      <c r="BF345" s="12">
        <v>510</v>
      </c>
      <c r="BG345" s="12">
        <v>0</v>
      </c>
      <c r="BH345" s="12">
        <v>0</v>
      </c>
      <c r="BI345" s="12">
        <v>82</v>
      </c>
      <c r="BJ345" s="12">
        <v>1</v>
      </c>
      <c r="BK345" s="12">
        <v>1.2195121951219513E-2</v>
      </c>
      <c r="BL345" s="12">
        <v>50</v>
      </c>
      <c r="BM345" s="12">
        <v>2</v>
      </c>
      <c r="BN345" s="12">
        <v>0.04</v>
      </c>
      <c r="BO345" s="12">
        <v>26</v>
      </c>
      <c r="BP345" s="12">
        <v>0</v>
      </c>
      <c r="BQ345" s="12">
        <v>0</v>
      </c>
      <c r="BR345" s="12">
        <v>96</v>
      </c>
      <c r="BS345" s="12">
        <v>2</v>
      </c>
      <c r="BT345" s="12">
        <v>2.0833333333333332E-2</v>
      </c>
      <c r="BU345" s="12">
        <v>764</v>
      </c>
      <c r="BV345" s="12">
        <v>5</v>
      </c>
      <c r="BW345" s="12">
        <v>6.5445026178010471E-3</v>
      </c>
      <c r="BX345" s="12"/>
      <c r="BY345" s="12"/>
      <c r="BZ345" s="12"/>
      <c r="CA345" s="12">
        <v>52079.15</v>
      </c>
      <c r="CB345" s="13"/>
      <c r="CC345" s="13"/>
      <c r="CD345" s="13"/>
      <c r="CE345" s="12">
        <v>6756</v>
      </c>
      <c r="CF345" s="12">
        <v>676</v>
      </c>
      <c r="CG345" s="13">
        <v>54135</v>
      </c>
      <c r="CH345" s="13">
        <v>133</v>
      </c>
      <c r="CI345" s="13">
        <v>19846</v>
      </c>
    </row>
    <row r="346" spans="2:87" x14ac:dyDescent="0.2">
      <c r="B346" s="5">
        <v>46120</v>
      </c>
      <c r="C346" s="12">
        <v>22</v>
      </c>
      <c r="D346" s="12">
        <v>1.6</v>
      </c>
      <c r="E346" s="12">
        <v>101222.307</v>
      </c>
      <c r="F346" s="12">
        <v>0</v>
      </c>
      <c r="G346" s="12">
        <v>2231092.44</v>
      </c>
      <c r="H346" s="12">
        <v>-4201.68</v>
      </c>
      <c r="I346" s="12">
        <v>0</v>
      </c>
      <c r="J346" s="12">
        <v>2226890.7599999998</v>
      </c>
      <c r="K346" s="12">
        <v>24000</v>
      </c>
      <c r="L346" s="12">
        <v>0</v>
      </c>
      <c r="M346" s="12">
        <v>423109.24</v>
      </c>
      <c r="N346" s="12">
        <v>2674000</v>
      </c>
      <c r="O346" s="12">
        <v>0</v>
      </c>
      <c r="P346" s="12">
        <v>2226890.7599999998</v>
      </c>
      <c r="Q346" s="12">
        <v>596534</v>
      </c>
      <c r="R346" s="12">
        <v>1630356.76</v>
      </c>
      <c r="S346" s="12">
        <v>0</v>
      </c>
      <c r="T346" s="12">
        <v>35</v>
      </c>
      <c r="U346" s="12">
        <v>0</v>
      </c>
      <c r="V346" s="12">
        <v>0</v>
      </c>
      <c r="W346" s="35">
        <v>46144.261731053244</v>
      </c>
      <c r="X346" s="12">
        <v>6</v>
      </c>
      <c r="Y346" s="12">
        <v>16</v>
      </c>
      <c r="Z346" s="12">
        <v>1676470.58</v>
      </c>
      <c r="AA346" s="12">
        <v>104779.41099999999</v>
      </c>
      <c r="AB346" s="12">
        <v>467341</v>
      </c>
      <c r="AC346" s="12">
        <v>1209129.58</v>
      </c>
      <c r="AD346" s="12">
        <v>6</v>
      </c>
      <c r="AE346" s="12">
        <v>6</v>
      </c>
      <c r="AF346" s="12">
        <v>550420.18000000005</v>
      </c>
      <c r="AG346" s="12">
        <v>91736.695999999996</v>
      </c>
      <c r="AH346" s="12">
        <v>129193</v>
      </c>
      <c r="AI346" s="12">
        <v>421227.18</v>
      </c>
      <c r="AJ346" s="12"/>
      <c r="AK346" s="12"/>
      <c r="AL346" s="12"/>
      <c r="AM346" s="12"/>
      <c r="AN346" s="12"/>
      <c r="AO346" s="12"/>
      <c r="AP346" s="12">
        <v>100840.34</v>
      </c>
      <c r="AQ346" s="12">
        <v>1</v>
      </c>
      <c r="AR346" s="12">
        <v>100840.34</v>
      </c>
      <c r="AS346" s="12">
        <v>27516</v>
      </c>
      <c r="AT346" s="12">
        <v>1991596.63</v>
      </c>
      <c r="AU346" s="12">
        <v>18</v>
      </c>
      <c r="AV346" s="12">
        <v>110644.257</v>
      </c>
      <c r="AW346" s="12">
        <v>544555</v>
      </c>
      <c r="AX346" s="12">
        <v>134453.79</v>
      </c>
      <c r="AY346" s="12">
        <v>3</v>
      </c>
      <c r="AZ346" s="12">
        <v>44817.93</v>
      </c>
      <c r="BA346" s="12">
        <v>24463</v>
      </c>
      <c r="BB346" s="12"/>
      <c r="BC346" s="12"/>
      <c r="BD346" s="12"/>
      <c r="BE346" s="12"/>
      <c r="BF346" s="12">
        <v>441</v>
      </c>
      <c r="BG346" s="12">
        <v>0</v>
      </c>
      <c r="BH346" s="12">
        <v>0</v>
      </c>
      <c r="BI346" s="12">
        <v>83</v>
      </c>
      <c r="BJ346" s="12">
        <v>0</v>
      </c>
      <c r="BK346" s="12">
        <v>0</v>
      </c>
      <c r="BL346" s="12">
        <v>32</v>
      </c>
      <c r="BM346" s="12">
        <v>1</v>
      </c>
      <c r="BN346" s="12">
        <v>3.125E-2</v>
      </c>
      <c r="BO346" s="12">
        <v>12</v>
      </c>
      <c r="BP346" s="12">
        <v>0</v>
      </c>
      <c r="BQ346" s="12">
        <v>0</v>
      </c>
      <c r="BR346" s="12">
        <v>65</v>
      </c>
      <c r="BS346" s="12">
        <v>3</v>
      </c>
      <c r="BT346" s="12">
        <v>4.6153846153846156E-2</v>
      </c>
      <c r="BU346" s="12">
        <v>633</v>
      </c>
      <c r="BV346" s="12">
        <v>4</v>
      </c>
      <c r="BW346" s="12">
        <v>6.3191153238546603E-3</v>
      </c>
      <c r="BX346" s="12"/>
      <c r="BY346" s="12"/>
      <c r="BZ346" s="12"/>
      <c r="CA346" s="12">
        <v>59636.89</v>
      </c>
      <c r="CB346" s="13"/>
      <c r="CC346" s="13"/>
      <c r="CD346" s="13"/>
      <c r="CE346" s="12">
        <v>6464</v>
      </c>
      <c r="CF346" s="12">
        <v>583</v>
      </c>
      <c r="CG346" s="13">
        <v>48790</v>
      </c>
      <c r="CH346" s="13">
        <v>124</v>
      </c>
      <c r="CI346" s="13">
        <v>18483</v>
      </c>
    </row>
    <row r="347" spans="2:87" x14ac:dyDescent="0.2">
      <c r="B347" s="5">
        <v>46121</v>
      </c>
      <c r="C347" s="12">
        <v>31</v>
      </c>
      <c r="D347" s="12">
        <v>2.2999999999999998</v>
      </c>
      <c r="E347" s="12">
        <v>148312.82199999999</v>
      </c>
      <c r="F347" s="12">
        <v>-1</v>
      </c>
      <c r="G347" s="12">
        <v>4729714.3</v>
      </c>
      <c r="H347" s="12">
        <v>-90000</v>
      </c>
      <c r="I347" s="12">
        <v>-42016.81</v>
      </c>
      <c r="J347" s="12">
        <v>4597697.49</v>
      </c>
      <c r="K347" s="12">
        <v>116012</v>
      </c>
      <c r="L347" s="12">
        <v>0</v>
      </c>
      <c r="M347" s="12">
        <v>806302.51</v>
      </c>
      <c r="N347" s="12">
        <v>5520012</v>
      </c>
      <c r="O347" s="12">
        <v>29411.759999999998</v>
      </c>
      <c r="P347" s="12">
        <v>4568285.7300000004</v>
      </c>
      <c r="Q347" s="12">
        <v>1540221</v>
      </c>
      <c r="R347" s="12">
        <v>3028064.73</v>
      </c>
      <c r="S347" s="12">
        <v>0</v>
      </c>
      <c r="T347" s="12">
        <v>70</v>
      </c>
      <c r="U347" s="12">
        <v>0</v>
      </c>
      <c r="V347" s="12">
        <v>0</v>
      </c>
      <c r="W347" s="35">
        <v>46144.261731053244</v>
      </c>
      <c r="X347" s="12">
        <v>14</v>
      </c>
      <c r="Y347" s="12">
        <v>18</v>
      </c>
      <c r="Z347" s="12">
        <v>3224840.34</v>
      </c>
      <c r="AA347" s="12">
        <v>179157.796</v>
      </c>
      <c r="AB347" s="12">
        <v>1048123</v>
      </c>
      <c r="AC347" s="12">
        <v>2147305.58</v>
      </c>
      <c r="AD347" s="12">
        <v>13</v>
      </c>
      <c r="AE347" s="12">
        <v>13</v>
      </c>
      <c r="AF347" s="12">
        <v>1372857.15</v>
      </c>
      <c r="AG347" s="12">
        <v>105604.39599999999</v>
      </c>
      <c r="AH347" s="12">
        <v>492098</v>
      </c>
      <c r="AI347" s="12">
        <v>880759.15</v>
      </c>
      <c r="AJ347" s="12"/>
      <c r="AK347" s="12"/>
      <c r="AL347" s="12"/>
      <c r="AM347" s="12"/>
      <c r="AN347" s="12"/>
      <c r="AO347" s="12"/>
      <c r="AP347" s="12">
        <v>865546.22</v>
      </c>
      <c r="AQ347" s="12">
        <v>8</v>
      </c>
      <c r="AR347" s="12">
        <v>108193.277</v>
      </c>
      <c r="AS347" s="12">
        <v>278877</v>
      </c>
      <c r="AT347" s="12">
        <v>3732151.27</v>
      </c>
      <c r="AU347" s="12">
        <v>23</v>
      </c>
      <c r="AV347" s="12">
        <v>162267.446</v>
      </c>
      <c r="AW347" s="12">
        <v>1261344</v>
      </c>
      <c r="AX347" s="12"/>
      <c r="AY347" s="12"/>
      <c r="AZ347" s="12"/>
      <c r="BA347" s="12"/>
      <c r="BB347" s="12"/>
      <c r="BC347" s="12"/>
      <c r="BD347" s="12"/>
      <c r="BE347" s="12"/>
      <c r="BF347" s="12">
        <v>501</v>
      </c>
      <c r="BG347" s="12">
        <v>0</v>
      </c>
      <c r="BH347" s="12">
        <v>0</v>
      </c>
      <c r="BI347" s="12">
        <v>85</v>
      </c>
      <c r="BJ347" s="12">
        <v>0</v>
      </c>
      <c r="BK347" s="12">
        <v>0</v>
      </c>
      <c r="BL347" s="12">
        <v>46</v>
      </c>
      <c r="BM347" s="12">
        <v>3</v>
      </c>
      <c r="BN347" s="12">
        <v>6.5217391304347824E-2</v>
      </c>
      <c r="BO347" s="12">
        <v>8</v>
      </c>
      <c r="BP347" s="12">
        <v>0</v>
      </c>
      <c r="BQ347" s="12">
        <v>0</v>
      </c>
      <c r="BR347" s="12">
        <v>177</v>
      </c>
      <c r="BS347" s="12">
        <v>9</v>
      </c>
      <c r="BT347" s="12">
        <v>5.0847457627118647E-2</v>
      </c>
      <c r="BU347" s="12">
        <v>817</v>
      </c>
      <c r="BV347" s="12">
        <v>12</v>
      </c>
      <c r="BW347" s="12">
        <v>1.4687882496940025E-2</v>
      </c>
      <c r="BX347" s="12"/>
      <c r="BY347" s="12"/>
      <c r="BZ347" s="12"/>
      <c r="CA347" s="12">
        <v>48073.95</v>
      </c>
      <c r="CB347" s="13"/>
      <c r="CC347" s="13"/>
      <c r="CD347" s="13"/>
      <c r="CE347" s="12">
        <v>6311</v>
      </c>
      <c r="CF347" s="12">
        <v>661</v>
      </c>
      <c r="CG347" s="13">
        <v>61511</v>
      </c>
      <c r="CH347" s="13">
        <v>117</v>
      </c>
      <c r="CI347" s="13">
        <v>18919</v>
      </c>
    </row>
    <row r="348" spans="2:87" x14ac:dyDescent="0.2">
      <c r="B348" s="5">
        <v>46122</v>
      </c>
      <c r="C348" s="12">
        <v>36</v>
      </c>
      <c r="D348" s="12">
        <v>3.1</v>
      </c>
      <c r="E348" s="12">
        <v>180722.45499999999</v>
      </c>
      <c r="F348" s="12">
        <v>-2</v>
      </c>
      <c r="G348" s="12">
        <v>6775336.0800000001</v>
      </c>
      <c r="H348" s="12">
        <v>-269327.7</v>
      </c>
      <c r="I348" s="12">
        <v>0</v>
      </c>
      <c r="J348" s="12">
        <v>6506008.3799999999</v>
      </c>
      <c r="K348" s="12">
        <v>48000</v>
      </c>
      <c r="L348" s="12">
        <v>0</v>
      </c>
      <c r="M348" s="12">
        <v>1229491.6200000001</v>
      </c>
      <c r="N348" s="12">
        <v>7783500</v>
      </c>
      <c r="O348" s="12">
        <v>0</v>
      </c>
      <c r="P348" s="12">
        <v>6506008.3799999999</v>
      </c>
      <c r="Q348" s="12">
        <v>1782412</v>
      </c>
      <c r="R348" s="12">
        <v>4723596.38</v>
      </c>
      <c r="S348" s="12">
        <v>0</v>
      </c>
      <c r="T348" s="12">
        <v>109</v>
      </c>
      <c r="U348" s="12">
        <v>0</v>
      </c>
      <c r="V348" s="12">
        <v>0</v>
      </c>
      <c r="W348" s="35">
        <v>46144.261731053244</v>
      </c>
      <c r="X348" s="12">
        <v>16</v>
      </c>
      <c r="Y348" s="12">
        <v>25</v>
      </c>
      <c r="Z348" s="12">
        <v>5295924.3600000003</v>
      </c>
      <c r="AA348" s="12">
        <v>211836.97399999999</v>
      </c>
      <c r="AB348" s="12">
        <v>1413795</v>
      </c>
      <c r="AC348" s="12">
        <v>3882129.36</v>
      </c>
      <c r="AD348" s="12">
        <v>11</v>
      </c>
      <c r="AE348" s="12">
        <v>11</v>
      </c>
      <c r="AF348" s="12">
        <v>1210084.02</v>
      </c>
      <c r="AG348" s="12">
        <v>110007.63800000001</v>
      </c>
      <c r="AH348" s="12">
        <v>368617</v>
      </c>
      <c r="AI348" s="12">
        <v>841467.02</v>
      </c>
      <c r="AJ348" s="12"/>
      <c r="AK348" s="12"/>
      <c r="AL348" s="12"/>
      <c r="AM348" s="12"/>
      <c r="AN348" s="12"/>
      <c r="AO348" s="12"/>
      <c r="AP348" s="12">
        <v>903361.34</v>
      </c>
      <c r="AQ348" s="12">
        <v>5</v>
      </c>
      <c r="AR348" s="12">
        <v>180672.26800000001</v>
      </c>
      <c r="AS348" s="12">
        <v>200380</v>
      </c>
      <c r="AT348" s="12">
        <v>5552226.8700000001</v>
      </c>
      <c r="AU348" s="12">
        <v>30</v>
      </c>
      <c r="AV348" s="12">
        <v>185074.22899999999</v>
      </c>
      <c r="AW348" s="12">
        <v>1572837</v>
      </c>
      <c r="AX348" s="12">
        <v>50420.17</v>
      </c>
      <c r="AY348" s="12">
        <v>1</v>
      </c>
      <c r="AZ348" s="12">
        <v>50420.17</v>
      </c>
      <c r="BA348" s="12">
        <v>9195</v>
      </c>
      <c r="BB348" s="12"/>
      <c r="BC348" s="12"/>
      <c r="BD348" s="12"/>
      <c r="BE348" s="12"/>
      <c r="BF348" s="12">
        <v>378</v>
      </c>
      <c r="BG348" s="12">
        <v>0</v>
      </c>
      <c r="BH348" s="12">
        <v>0</v>
      </c>
      <c r="BI348" s="12">
        <v>104</v>
      </c>
      <c r="BJ348" s="12">
        <v>2</v>
      </c>
      <c r="BK348" s="12">
        <v>1.9230769230769232E-2</v>
      </c>
      <c r="BL348" s="12">
        <v>35</v>
      </c>
      <c r="BM348" s="12">
        <v>0</v>
      </c>
      <c r="BN348" s="12">
        <v>0</v>
      </c>
      <c r="BO348" s="12">
        <v>9</v>
      </c>
      <c r="BP348" s="12">
        <v>0</v>
      </c>
      <c r="BQ348" s="12">
        <v>0</v>
      </c>
      <c r="BR348" s="12">
        <v>97</v>
      </c>
      <c r="BS348" s="12">
        <v>3</v>
      </c>
      <c r="BT348" s="12">
        <v>3.0927835051546393E-2</v>
      </c>
      <c r="BU348" s="12">
        <v>623</v>
      </c>
      <c r="BV348" s="12">
        <v>5</v>
      </c>
      <c r="BW348" s="12">
        <v>8.0256821829855531E-3</v>
      </c>
      <c r="BX348" s="12"/>
      <c r="BY348" s="12"/>
      <c r="BZ348" s="12"/>
      <c r="CA348" s="12">
        <v>49629.599999999999</v>
      </c>
      <c r="CB348" s="13"/>
      <c r="CC348" s="13"/>
      <c r="CD348" s="13"/>
      <c r="CE348" s="12">
        <v>5311</v>
      </c>
      <c r="CF348" s="12">
        <v>499</v>
      </c>
      <c r="CG348" s="13">
        <v>78438</v>
      </c>
      <c r="CH348" s="13">
        <v>153</v>
      </c>
      <c r="CI348" s="13">
        <v>20183</v>
      </c>
    </row>
    <row r="349" spans="2:87" x14ac:dyDescent="0.2">
      <c r="B349" s="5">
        <v>46123</v>
      </c>
      <c r="C349" s="12">
        <v>27</v>
      </c>
      <c r="D349" s="12">
        <v>1.5</v>
      </c>
      <c r="E349" s="12">
        <v>120261.43799999999</v>
      </c>
      <c r="F349" s="12">
        <v>-1</v>
      </c>
      <c r="G349" s="12">
        <v>3247058.83</v>
      </c>
      <c r="H349" s="12">
        <v>0</v>
      </c>
      <c r="I349" s="12">
        <v>-63025.21</v>
      </c>
      <c r="J349" s="12">
        <v>3184033.62</v>
      </c>
      <c r="K349" s="12">
        <v>12000</v>
      </c>
      <c r="L349" s="12">
        <v>0</v>
      </c>
      <c r="M349" s="12">
        <v>604966.38</v>
      </c>
      <c r="N349" s="12">
        <v>3801000</v>
      </c>
      <c r="O349" s="12">
        <v>0</v>
      </c>
      <c r="P349" s="12">
        <v>3184033.62</v>
      </c>
      <c r="Q349" s="12">
        <v>1108729</v>
      </c>
      <c r="R349" s="12">
        <v>2075304.62</v>
      </c>
      <c r="S349" s="12">
        <v>0</v>
      </c>
      <c r="T349" s="12">
        <v>40</v>
      </c>
      <c r="U349" s="12">
        <v>0</v>
      </c>
      <c r="V349" s="12">
        <v>0</v>
      </c>
      <c r="W349" s="35">
        <v>46144.261731053244</v>
      </c>
      <c r="X349" s="12">
        <v>12</v>
      </c>
      <c r="Y349" s="12">
        <v>14</v>
      </c>
      <c r="Z349" s="12">
        <v>1599159.66</v>
      </c>
      <c r="AA349" s="12">
        <v>114225.69</v>
      </c>
      <c r="AB349" s="12">
        <v>526458</v>
      </c>
      <c r="AC349" s="12">
        <v>1072701.6599999999</v>
      </c>
      <c r="AD349" s="12">
        <v>12</v>
      </c>
      <c r="AE349" s="12">
        <v>12</v>
      </c>
      <c r="AF349" s="12">
        <v>1584873.96</v>
      </c>
      <c r="AG349" s="12">
        <v>132072.82999999999</v>
      </c>
      <c r="AH349" s="12">
        <v>582271</v>
      </c>
      <c r="AI349" s="12">
        <v>1002602.96</v>
      </c>
      <c r="AJ349" s="12">
        <v>1</v>
      </c>
      <c r="AK349" s="12">
        <v>1</v>
      </c>
      <c r="AL349" s="12">
        <v>0</v>
      </c>
      <c r="AM349" s="12">
        <v>63025.21</v>
      </c>
      <c r="AN349" s="12">
        <v>0</v>
      </c>
      <c r="AO349" s="12">
        <v>0</v>
      </c>
      <c r="AP349" s="12">
        <v>390756.3</v>
      </c>
      <c r="AQ349" s="12">
        <v>3</v>
      </c>
      <c r="AR349" s="12">
        <v>151260.503</v>
      </c>
      <c r="AS349" s="12">
        <v>80605</v>
      </c>
      <c r="AT349" s="12">
        <v>2700840.34</v>
      </c>
      <c r="AU349" s="12">
        <v>22</v>
      </c>
      <c r="AV349" s="12">
        <v>122765.47</v>
      </c>
      <c r="AW349" s="12">
        <v>1012156</v>
      </c>
      <c r="AX349" s="12">
        <v>92436.98</v>
      </c>
      <c r="AY349" s="12">
        <v>2</v>
      </c>
      <c r="AZ349" s="12">
        <v>46218.49</v>
      </c>
      <c r="BA349" s="12">
        <v>15968</v>
      </c>
      <c r="BB349" s="12"/>
      <c r="BC349" s="12"/>
      <c r="BD349" s="12"/>
      <c r="BE349" s="12"/>
      <c r="BF349" s="12">
        <v>360</v>
      </c>
      <c r="BG349" s="12">
        <v>0</v>
      </c>
      <c r="BH349" s="12">
        <v>0</v>
      </c>
      <c r="BI349" s="12">
        <v>120</v>
      </c>
      <c r="BJ349" s="12">
        <v>0</v>
      </c>
      <c r="BK349" s="12">
        <v>0</v>
      </c>
      <c r="BL349" s="12">
        <v>43</v>
      </c>
      <c r="BM349" s="12">
        <v>0</v>
      </c>
      <c r="BN349" s="12">
        <v>0</v>
      </c>
      <c r="BO349" s="12">
        <v>9</v>
      </c>
      <c r="BP349" s="12">
        <v>0</v>
      </c>
      <c r="BQ349" s="12">
        <v>0</v>
      </c>
      <c r="BR349" s="12">
        <v>77</v>
      </c>
      <c r="BS349" s="12">
        <v>2</v>
      </c>
      <c r="BT349" s="12">
        <v>2.5974025974025976E-2</v>
      </c>
      <c r="BU349" s="12">
        <v>609</v>
      </c>
      <c r="BV349" s="12">
        <v>2</v>
      </c>
      <c r="BW349" s="12">
        <v>3.2840722495894909E-3</v>
      </c>
      <c r="BX349" s="12"/>
      <c r="BY349" s="12"/>
      <c r="BZ349" s="12"/>
      <c r="CA349" s="12">
        <v>62945.94</v>
      </c>
      <c r="CB349" s="13"/>
      <c r="CC349" s="13"/>
      <c r="CD349" s="13"/>
      <c r="CE349" s="12">
        <v>5885</v>
      </c>
      <c r="CF349" s="12">
        <v>505</v>
      </c>
      <c r="CG349" s="13">
        <v>73995</v>
      </c>
      <c r="CH349" s="13">
        <v>191</v>
      </c>
      <c r="CI349" s="13">
        <v>22109</v>
      </c>
    </row>
    <row r="350" spans="2:87" x14ac:dyDescent="0.2">
      <c r="B350" s="5">
        <v>46124</v>
      </c>
      <c r="C350" s="12">
        <v>18</v>
      </c>
      <c r="D350" s="12">
        <v>2.6</v>
      </c>
      <c r="E350" s="12">
        <v>146823.52900000001</v>
      </c>
      <c r="F350" s="12">
        <v>0</v>
      </c>
      <c r="G350" s="12">
        <v>2642823.5299999998</v>
      </c>
      <c r="H350" s="12">
        <v>0</v>
      </c>
      <c r="I350" s="12">
        <v>0</v>
      </c>
      <c r="J350" s="12">
        <v>2642823.5299999998</v>
      </c>
      <c r="K350" s="12">
        <v>64000</v>
      </c>
      <c r="L350" s="12">
        <v>0</v>
      </c>
      <c r="M350" s="12">
        <v>486176.47</v>
      </c>
      <c r="N350" s="12">
        <v>3193000</v>
      </c>
      <c r="O350" s="12">
        <v>0</v>
      </c>
      <c r="P350" s="12">
        <v>2642823.5299999998</v>
      </c>
      <c r="Q350" s="12">
        <v>774824</v>
      </c>
      <c r="R350" s="12">
        <v>1867999.53</v>
      </c>
      <c r="S350" s="12">
        <v>0</v>
      </c>
      <c r="T350" s="12">
        <v>46</v>
      </c>
      <c r="U350" s="12">
        <v>0</v>
      </c>
      <c r="V350" s="12">
        <v>0</v>
      </c>
      <c r="W350" s="35">
        <v>46144.261731053244</v>
      </c>
      <c r="X350" s="12">
        <v>7</v>
      </c>
      <c r="Y350" s="12">
        <v>11</v>
      </c>
      <c r="Z350" s="12">
        <v>1172235.29</v>
      </c>
      <c r="AA350" s="12">
        <v>106566.844</v>
      </c>
      <c r="AB350" s="12">
        <v>381510</v>
      </c>
      <c r="AC350" s="12">
        <v>790725.29</v>
      </c>
      <c r="AD350" s="12">
        <v>7</v>
      </c>
      <c r="AE350" s="12">
        <v>7</v>
      </c>
      <c r="AF350" s="12">
        <v>1470588.24</v>
      </c>
      <c r="AG350" s="12">
        <v>210084.03400000001</v>
      </c>
      <c r="AH350" s="12">
        <v>393314</v>
      </c>
      <c r="AI350" s="12">
        <v>1077274.24</v>
      </c>
      <c r="AJ350" s="12"/>
      <c r="AK350" s="12"/>
      <c r="AL350" s="12"/>
      <c r="AM350" s="12"/>
      <c r="AN350" s="12"/>
      <c r="AO350" s="12"/>
      <c r="AP350" s="12">
        <v>621848.75</v>
      </c>
      <c r="AQ350" s="12">
        <v>5</v>
      </c>
      <c r="AR350" s="12">
        <v>124369.75</v>
      </c>
      <c r="AS350" s="12">
        <v>235327</v>
      </c>
      <c r="AT350" s="12">
        <v>2020974.78</v>
      </c>
      <c r="AU350" s="12">
        <v>13</v>
      </c>
      <c r="AV350" s="12">
        <v>155459.598</v>
      </c>
      <c r="AW350" s="12">
        <v>539497</v>
      </c>
      <c r="AX350" s="12"/>
      <c r="AY350" s="12"/>
      <c r="AZ350" s="12"/>
      <c r="BA350" s="12"/>
      <c r="BB350" s="12"/>
      <c r="BC350" s="12"/>
      <c r="BD350" s="12"/>
      <c r="BE350" s="12"/>
      <c r="BF350" s="12">
        <v>438</v>
      </c>
      <c r="BG350" s="12">
        <v>0</v>
      </c>
      <c r="BH350" s="12">
        <v>0</v>
      </c>
      <c r="BI350" s="12">
        <v>129</v>
      </c>
      <c r="BJ350" s="12">
        <v>0</v>
      </c>
      <c r="BK350" s="12">
        <v>0</v>
      </c>
      <c r="BL350" s="12">
        <v>35</v>
      </c>
      <c r="BM350" s="12">
        <v>1</v>
      </c>
      <c r="BN350" s="12">
        <v>2.8571428571428571E-2</v>
      </c>
      <c r="BO350" s="12">
        <v>8</v>
      </c>
      <c r="BP350" s="12">
        <v>0</v>
      </c>
      <c r="BQ350" s="12">
        <v>0</v>
      </c>
      <c r="BR350" s="12">
        <v>68</v>
      </c>
      <c r="BS350" s="12">
        <v>5</v>
      </c>
      <c r="BT350" s="12">
        <v>7.3529411764705885E-2</v>
      </c>
      <c r="BU350" s="12">
        <v>678</v>
      </c>
      <c r="BV350" s="12">
        <v>6</v>
      </c>
      <c r="BW350" s="12">
        <v>8.8495575221238937E-3</v>
      </c>
      <c r="BX350" s="12"/>
      <c r="BY350" s="12"/>
      <c r="BZ350" s="12"/>
      <c r="CA350" s="12">
        <v>49079.839999999997</v>
      </c>
      <c r="CB350" s="13"/>
      <c r="CC350" s="13"/>
      <c r="CD350" s="13"/>
      <c r="CE350" s="12">
        <v>6131</v>
      </c>
      <c r="CF350" s="12">
        <v>575</v>
      </c>
      <c r="CG350" s="13">
        <v>75184</v>
      </c>
      <c r="CH350" s="13">
        <v>200</v>
      </c>
      <c r="CI350" s="13">
        <v>23877</v>
      </c>
    </row>
    <row r="351" spans="2:87" x14ac:dyDescent="0.2">
      <c r="B351" s="5">
        <v>46125</v>
      </c>
      <c r="C351" s="12">
        <v>33</v>
      </c>
      <c r="D351" s="12">
        <v>2.2000000000000002</v>
      </c>
      <c r="E351" s="12">
        <v>139868.856</v>
      </c>
      <c r="F351" s="12">
        <v>-2</v>
      </c>
      <c r="G351" s="12">
        <v>4870294.07</v>
      </c>
      <c r="H351" s="12">
        <v>-111764.67</v>
      </c>
      <c r="I351" s="12">
        <v>-84033.61</v>
      </c>
      <c r="J351" s="12">
        <v>4674495.79</v>
      </c>
      <c r="K351" s="12">
        <v>72000</v>
      </c>
      <c r="L351" s="12">
        <v>0</v>
      </c>
      <c r="M351" s="12">
        <v>862504.21</v>
      </c>
      <c r="N351" s="12">
        <v>5609000</v>
      </c>
      <c r="O351" s="12">
        <v>142857.15</v>
      </c>
      <c r="P351" s="12">
        <v>4531638.6399999997</v>
      </c>
      <c r="Q351" s="12">
        <v>1371002</v>
      </c>
      <c r="R351" s="12">
        <v>3160636.64</v>
      </c>
      <c r="S351" s="12">
        <v>0</v>
      </c>
      <c r="T351" s="12">
        <v>74</v>
      </c>
      <c r="U351" s="12">
        <v>0</v>
      </c>
      <c r="V351" s="12">
        <v>0</v>
      </c>
      <c r="W351" s="35">
        <v>46144.261731053244</v>
      </c>
      <c r="X351" s="12">
        <v>18</v>
      </c>
      <c r="Y351" s="12">
        <v>23</v>
      </c>
      <c r="Z351" s="12">
        <v>3456008.38</v>
      </c>
      <c r="AA351" s="12">
        <v>150261.23300000001</v>
      </c>
      <c r="AB351" s="12">
        <v>1049529</v>
      </c>
      <c r="AC351" s="12">
        <v>2335050.81</v>
      </c>
      <c r="AD351" s="12">
        <v>10</v>
      </c>
      <c r="AE351" s="12">
        <v>10</v>
      </c>
      <c r="AF351" s="12">
        <v>1218487.4099999999</v>
      </c>
      <c r="AG351" s="12">
        <v>115966.387</v>
      </c>
      <c r="AH351" s="12">
        <v>321473</v>
      </c>
      <c r="AI351" s="12">
        <v>825585.83</v>
      </c>
      <c r="AJ351" s="12"/>
      <c r="AK351" s="12"/>
      <c r="AL351" s="12"/>
      <c r="AM351" s="12"/>
      <c r="AN351" s="12"/>
      <c r="AO351" s="12"/>
      <c r="AP351" s="12">
        <v>967773.11</v>
      </c>
      <c r="AQ351" s="12">
        <v>8</v>
      </c>
      <c r="AR351" s="12">
        <v>120971.63800000001</v>
      </c>
      <c r="AS351" s="12">
        <v>196798</v>
      </c>
      <c r="AT351" s="12">
        <v>3622689.07</v>
      </c>
      <c r="AU351" s="12">
        <v>24</v>
      </c>
      <c r="AV351" s="12">
        <v>148494.397</v>
      </c>
      <c r="AW351" s="12">
        <v>1161002</v>
      </c>
      <c r="AX351" s="12">
        <v>84033.61</v>
      </c>
      <c r="AY351" s="12">
        <v>1</v>
      </c>
      <c r="AZ351" s="12">
        <v>84033.61</v>
      </c>
      <c r="BA351" s="12">
        <v>13202</v>
      </c>
      <c r="BB351" s="12"/>
      <c r="BC351" s="12"/>
      <c r="BD351" s="12"/>
      <c r="BE351" s="12"/>
      <c r="BF351" s="12">
        <v>417</v>
      </c>
      <c r="BG351" s="12">
        <v>0</v>
      </c>
      <c r="BH351" s="12">
        <v>0</v>
      </c>
      <c r="BI351" s="12">
        <v>104</v>
      </c>
      <c r="BJ351" s="12">
        <v>0</v>
      </c>
      <c r="BK351" s="12">
        <v>0</v>
      </c>
      <c r="BL351" s="12">
        <v>54</v>
      </c>
      <c r="BM351" s="12">
        <v>4</v>
      </c>
      <c r="BN351" s="12">
        <v>7.407407407407407E-2</v>
      </c>
      <c r="BO351" s="12">
        <v>7</v>
      </c>
      <c r="BP351" s="12">
        <v>0</v>
      </c>
      <c r="BQ351" s="12">
        <v>0</v>
      </c>
      <c r="BR351" s="12">
        <v>135</v>
      </c>
      <c r="BS351" s="12">
        <v>3</v>
      </c>
      <c r="BT351" s="12">
        <v>2.2222222222222223E-2</v>
      </c>
      <c r="BU351" s="12">
        <v>717</v>
      </c>
      <c r="BV351" s="12">
        <v>7</v>
      </c>
      <c r="BW351" s="12">
        <v>9.7629009762900971E-3</v>
      </c>
      <c r="BX351" s="12"/>
      <c r="BY351" s="12"/>
      <c r="BZ351" s="12"/>
      <c r="CA351" s="12">
        <v>53192.3</v>
      </c>
      <c r="CB351" s="13"/>
      <c r="CC351" s="13"/>
      <c r="CD351" s="13"/>
      <c r="CE351" s="12">
        <v>6415</v>
      </c>
      <c r="CF351" s="12">
        <v>557</v>
      </c>
      <c r="CG351" s="13">
        <v>85745</v>
      </c>
      <c r="CH351" s="13">
        <v>171</v>
      </c>
      <c r="CI351" s="13">
        <v>22503</v>
      </c>
    </row>
    <row r="352" spans="2:87" x14ac:dyDescent="0.2">
      <c r="B352" s="5">
        <v>46126</v>
      </c>
      <c r="C352" s="12">
        <v>25</v>
      </c>
      <c r="D352" s="12">
        <v>1.5</v>
      </c>
      <c r="E352" s="12">
        <v>100504.202</v>
      </c>
      <c r="F352" s="12">
        <v>0</v>
      </c>
      <c r="G352" s="12">
        <v>2512605.0499999998</v>
      </c>
      <c r="H352" s="12">
        <v>0</v>
      </c>
      <c r="I352" s="12">
        <v>0</v>
      </c>
      <c r="J352" s="12">
        <v>2512605.0499999998</v>
      </c>
      <c r="K352" s="12">
        <v>72000</v>
      </c>
      <c r="L352" s="12">
        <v>0</v>
      </c>
      <c r="M352" s="12">
        <v>477394.95</v>
      </c>
      <c r="N352" s="12">
        <v>3062000</v>
      </c>
      <c r="O352" s="12">
        <v>0</v>
      </c>
      <c r="P352" s="12">
        <v>2512605.0499999998</v>
      </c>
      <c r="Q352" s="12">
        <v>803079</v>
      </c>
      <c r="R352" s="12">
        <v>1709526.05</v>
      </c>
      <c r="S352" s="12">
        <v>0</v>
      </c>
      <c r="T352" s="12">
        <v>37</v>
      </c>
      <c r="U352" s="12">
        <v>0</v>
      </c>
      <c r="V352" s="12">
        <v>0</v>
      </c>
      <c r="W352" s="35">
        <v>46144.261731053244</v>
      </c>
      <c r="X352" s="12">
        <v>10</v>
      </c>
      <c r="Y352" s="12">
        <v>13</v>
      </c>
      <c r="Z352" s="12">
        <v>987394.95</v>
      </c>
      <c r="AA352" s="12">
        <v>75953.456999999995</v>
      </c>
      <c r="AB352" s="12">
        <v>349342</v>
      </c>
      <c r="AC352" s="12">
        <v>638052.94999999995</v>
      </c>
      <c r="AD352" s="12">
        <v>12</v>
      </c>
      <c r="AE352" s="12">
        <v>12</v>
      </c>
      <c r="AF352" s="12">
        <v>1525210.1</v>
      </c>
      <c r="AG352" s="12">
        <v>127100.841</v>
      </c>
      <c r="AH352" s="12">
        <v>453737</v>
      </c>
      <c r="AI352" s="12">
        <v>1071473.1000000001</v>
      </c>
      <c r="AJ352" s="12"/>
      <c r="AK352" s="12"/>
      <c r="AL352" s="12"/>
      <c r="AM352" s="12"/>
      <c r="AN352" s="12"/>
      <c r="AO352" s="12"/>
      <c r="AP352" s="12">
        <v>138655.47</v>
      </c>
      <c r="AQ352" s="12">
        <v>2</v>
      </c>
      <c r="AR352" s="12">
        <v>69327.735000000001</v>
      </c>
      <c r="AS352" s="12">
        <v>32539</v>
      </c>
      <c r="AT352" s="12">
        <v>2176470.59</v>
      </c>
      <c r="AU352" s="12">
        <v>19</v>
      </c>
      <c r="AV352" s="12">
        <v>114551.083</v>
      </c>
      <c r="AW352" s="12">
        <v>733066</v>
      </c>
      <c r="AX352" s="12">
        <v>197478.99</v>
      </c>
      <c r="AY352" s="12">
        <v>4</v>
      </c>
      <c r="AZ352" s="12">
        <v>49369.747000000003</v>
      </c>
      <c r="BA352" s="12">
        <v>37474</v>
      </c>
      <c r="BB352" s="12"/>
      <c r="BC352" s="12"/>
      <c r="BD352" s="12"/>
      <c r="BE352" s="12"/>
      <c r="BF352" s="12">
        <v>401</v>
      </c>
      <c r="BG352" s="12">
        <v>0</v>
      </c>
      <c r="BH352" s="12">
        <v>0</v>
      </c>
      <c r="BI352" s="12">
        <v>91</v>
      </c>
      <c r="BJ352" s="12">
        <v>0</v>
      </c>
      <c r="BK352" s="12">
        <v>0</v>
      </c>
      <c r="BL352" s="12">
        <v>56</v>
      </c>
      <c r="BM352" s="12">
        <v>1</v>
      </c>
      <c r="BN352" s="12">
        <v>1.7857142857142856E-2</v>
      </c>
      <c r="BO352" s="12">
        <v>6</v>
      </c>
      <c r="BP352" s="12">
        <v>0</v>
      </c>
      <c r="BQ352" s="12">
        <v>0</v>
      </c>
      <c r="BR352" s="12">
        <v>172</v>
      </c>
      <c r="BS352" s="12">
        <v>3</v>
      </c>
      <c r="BT352" s="12">
        <v>1.7441860465116279E-2</v>
      </c>
      <c r="BU352" s="12">
        <v>726</v>
      </c>
      <c r="BV352" s="12">
        <v>4</v>
      </c>
      <c r="BW352" s="12">
        <v>5.5096418732782371E-3</v>
      </c>
      <c r="BX352" s="12"/>
      <c r="BY352" s="12"/>
      <c r="BZ352" s="12"/>
      <c r="CA352" s="12">
        <v>46282.33</v>
      </c>
      <c r="CB352" s="13"/>
      <c r="CC352" s="13"/>
      <c r="CD352" s="13"/>
      <c r="CE352" s="12">
        <v>6213</v>
      </c>
      <c r="CF352" s="12">
        <v>542</v>
      </c>
      <c r="CG352" s="13">
        <v>87582</v>
      </c>
      <c r="CH352" s="13">
        <v>140</v>
      </c>
      <c r="CI352" s="13">
        <v>19548</v>
      </c>
    </row>
    <row r="353" spans="2:87" x14ac:dyDescent="0.2">
      <c r="B353" s="5">
        <v>46127</v>
      </c>
      <c r="C353" s="12">
        <v>30</v>
      </c>
      <c r="D353" s="12">
        <v>2</v>
      </c>
      <c r="E353" s="12">
        <v>142156.86199999999</v>
      </c>
      <c r="F353" s="12">
        <v>0</v>
      </c>
      <c r="G353" s="12">
        <v>4264705.8600000003</v>
      </c>
      <c r="H353" s="12">
        <v>0</v>
      </c>
      <c r="I353" s="12">
        <v>0</v>
      </c>
      <c r="J353" s="12">
        <v>4264705.8600000003</v>
      </c>
      <c r="K353" s="12">
        <v>48000</v>
      </c>
      <c r="L353" s="12">
        <v>0</v>
      </c>
      <c r="M353" s="12">
        <v>810294.14</v>
      </c>
      <c r="N353" s="12">
        <v>5123000</v>
      </c>
      <c r="O353" s="12">
        <v>58823.519999999997</v>
      </c>
      <c r="P353" s="12">
        <v>4205882.34</v>
      </c>
      <c r="Q353" s="12">
        <v>1225767</v>
      </c>
      <c r="R353" s="12">
        <v>2980115.34</v>
      </c>
      <c r="S353" s="12">
        <v>0</v>
      </c>
      <c r="T353" s="12">
        <v>59</v>
      </c>
      <c r="U353" s="12">
        <v>0</v>
      </c>
      <c r="V353" s="12">
        <v>0</v>
      </c>
      <c r="W353" s="35">
        <v>46144.261731053244</v>
      </c>
      <c r="X353" s="12">
        <v>11</v>
      </c>
      <c r="Y353" s="12">
        <v>19</v>
      </c>
      <c r="Z353" s="12">
        <v>2487394.9500000002</v>
      </c>
      <c r="AA353" s="12">
        <v>130915.523</v>
      </c>
      <c r="AB353" s="12">
        <v>694359</v>
      </c>
      <c r="AC353" s="12">
        <v>1734212.43</v>
      </c>
      <c r="AD353" s="12">
        <v>11</v>
      </c>
      <c r="AE353" s="12">
        <v>11</v>
      </c>
      <c r="AF353" s="12">
        <v>1777310.91</v>
      </c>
      <c r="AG353" s="12">
        <v>161573.71900000001</v>
      </c>
      <c r="AH353" s="12">
        <v>531408</v>
      </c>
      <c r="AI353" s="12">
        <v>1245902.9099999999</v>
      </c>
      <c r="AJ353" s="12"/>
      <c r="AK353" s="12"/>
      <c r="AL353" s="12"/>
      <c r="AM353" s="12"/>
      <c r="AN353" s="12"/>
      <c r="AO353" s="12"/>
      <c r="AP353" s="12">
        <v>1096638.6499999999</v>
      </c>
      <c r="AQ353" s="12">
        <v>6</v>
      </c>
      <c r="AR353" s="12">
        <v>182773.10800000001</v>
      </c>
      <c r="AS353" s="12">
        <v>363095</v>
      </c>
      <c r="AT353" s="12">
        <v>2957983.18</v>
      </c>
      <c r="AU353" s="12">
        <v>21</v>
      </c>
      <c r="AV353" s="12">
        <v>140856.34099999999</v>
      </c>
      <c r="AW353" s="12">
        <v>826272</v>
      </c>
      <c r="AX353" s="12">
        <v>210084.03</v>
      </c>
      <c r="AY353" s="12">
        <v>3</v>
      </c>
      <c r="AZ353" s="12">
        <v>70028.009999999995</v>
      </c>
      <c r="BA353" s="12">
        <v>36400</v>
      </c>
      <c r="BB353" s="12"/>
      <c r="BC353" s="12"/>
      <c r="BD353" s="12"/>
      <c r="BE353" s="12"/>
      <c r="BF353" s="12">
        <v>348</v>
      </c>
      <c r="BG353" s="12">
        <v>0</v>
      </c>
      <c r="BH353" s="12">
        <v>0</v>
      </c>
      <c r="BI353" s="12">
        <v>96</v>
      </c>
      <c r="BJ353" s="12">
        <v>0</v>
      </c>
      <c r="BK353" s="12">
        <v>0</v>
      </c>
      <c r="BL353" s="12">
        <v>47</v>
      </c>
      <c r="BM353" s="12">
        <v>2</v>
      </c>
      <c r="BN353" s="12">
        <v>4.2553191489361701E-2</v>
      </c>
      <c r="BO353" s="12">
        <v>4</v>
      </c>
      <c r="BP353" s="12">
        <v>0</v>
      </c>
      <c r="BQ353" s="12">
        <v>0</v>
      </c>
      <c r="BR353" s="12">
        <v>106</v>
      </c>
      <c r="BS353" s="12">
        <v>4</v>
      </c>
      <c r="BT353" s="12">
        <v>3.7735849056603772E-2</v>
      </c>
      <c r="BU353" s="12">
        <v>601</v>
      </c>
      <c r="BV353" s="12">
        <v>6</v>
      </c>
      <c r="BW353" s="12">
        <v>9.9833610648918467E-3</v>
      </c>
      <c r="BX353" s="12"/>
      <c r="BY353" s="12"/>
      <c r="BZ353" s="12"/>
      <c r="CA353" s="12">
        <v>50500.72</v>
      </c>
      <c r="CB353" s="13"/>
      <c r="CC353" s="13"/>
      <c r="CD353" s="13"/>
      <c r="CE353" s="12">
        <v>5314</v>
      </c>
      <c r="CF353" s="12">
        <v>499</v>
      </c>
      <c r="CG353" s="13">
        <v>79438</v>
      </c>
      <c r="CH353" s="13">
        <v>162</v>
      </c>
      <c r="CI353" s="13">
        <v>19179</v>
      </c>
    </row>
    <row r="354" spans="2:87" x14ac:dyDescent="0.2">
      <c r="B354" s="5">
        <v>46128</v>
      </c>
      <c r="C354" s="12">
        <v>24</v>
      </c>
      <c r="D354" s="12">
        <v>4.2</v>
      </c>
      <c r="E354" s="12">
        <v>191695.02600000001</v>
      </c>
      <c r="F354" s="12">
        <v>0</v>
      </c>
      <c r="G354" s="12">
        <v>4751941.1399999997</v>
      </c>
      <c r="H354" s="12">
        <v>-117647.05</v>
      </c>
      <c r="I354" s="12">
        <v>0</v>
      </c>
      <c r="J354" s="12">
        <v>4634294.09</v>
      </c>
      <c r="K354" s="12">
        <v>56000</v>
      </c>
      <c r="L354" s="12">
        <v>0</v>
      </c>
      <c r="M354" s="12">
        <v>861705.91</v>
      </c>
      <c r="N354" s="12">
        <v>5552000</v>
      </c>
      <c r="O354" s="12">
        <v>42016.81</v>
      </c>
      <c r="P354" s="12">
        <v>4592277.28</v>
      </c>
      <c r="Q354" s="12">
        <v>1469776</v>
      </c>
      <c r="R354" s="12">
        <v>3122501.28</v>
      </c>
      <c r="S354" s="12">
        <v>170000</v>
      </c>
      <c r="T354" s="12">
        <v>102</v>
      </c>
      <c r="U354" s="12">
        <v>0</v>
      </c>
      <c r="V354" s="12">
        <v>170000</v>
      </c>
      <c r="W354" s="35">
        <v>46144.261731053244</v>
      </c>
      <c r="X354" s="12">
        <v>13</v>
      </c>
      <c r="Y354" s="12">
        <v>15</v>
      </c>
      <c r="Z354" s="12">
        <v>1312445.3500000001</v>
      </c>
      <c r="AA354" s="12">
        <v>87496.356</v>
      </c>
      <c r="AB354" s="12">
        <v>390501</v>
      </c>
      <c r="AC354" s="12">
        <v>879927.54</v>
      </c>
      <c r="AD354" s="12">
        <v>9</v>
      </c>
      <c r="AE354" s="12">
        <v>9</v>
      </c>
      <c r="AF354" s="12">
        <v>3321848.74</v>
      </c>
      <c r="AG354" s="12">
        <v>365359.47600000002</v>
      </c>
      <c r="AH354" s="12">
        <v>1079275</v>
      </c>
      <c r="AI354" s="12">
        <v>2242573.7400000002</v>
      </c>
      <c r="AJ354" s="12">
        <v>0</v>
      </c>
      <c r="AK354" s="12">
        <v>0</v>
      </c>
      <c r="AL354" s="12">
        <v>0</v>
      </c>
      <c r="AM354" s="12"/>
      <c r="AN354" s="12">
        <v>0</v>
      </c>
      <c r="AO354" s="12">
        <v>0</v>
      </c>
      <c r="AP354" s="12">
        <v>752100.83</v>
      </c>
      <c r="AQ354" s="12">
        <v>6</v>
      </c>
      <c r="AR354" s="12">
        <v>125350.13800000001</v>
      </c>
      <c r="AS354" s="12">
        <v>198866</v>
      </c>
      <c r="AT354" s="12">
        <v>3882193.26</v>
      </c>
      <c r="AU354" s="12">
        <v>18</v>
      </c>
      <c r="AV354" s="12">
        <v>213809.989</v>
      </c>
      <c r="AW354" s="12">
        <v>1270910</v>
      </c>
      <c r="AX354" s="12"/>
      <c r="AY354" s="12"/>
      <c r="AZ354" s="12"/>
      <c r="BA354" s="12"/>
      <c r="BB354" s="12"/>
      <c r="BC354" s="12"/>
      <c r="BD354" s="12"/>
      <c r="BE354" s="12"/>
      <c r="BF354" s="12">
        <v>463</v>
      </c>
      <c r="BG354" s="12">
        <v>0</v>
      </c>
      <c r="BH354" s="12">
        <v>0</v>
      </c>
      <c r="BI354" s="12">
        <v>79</v>
      </c>
      <c r="BJ354" s="12">
        <v>0</v>
      </c>
      <c r="BK354" s="12">
        <v>0</v>
      </c>
      <c r="BL354" s="12">
        <v>49</v>
      </c>
      <c r="BM354" s="12">
        <v>3</v>
      </c>
      <c r="BN354" s="12">
        <v>6.1224489795918366E-2</v>
      </c>
      <c r="BO354" s="12">
        <v>5</v>
      </c>
      <c r="BP354" s="12">
        <v>0</v>
      </c>
      <c r="BQ354" s="12">
        <v>0</v>
      </c>
      <c r="BR354" s="12">
        <v>125</v>
      </c>
      <c r="BS354" s="12">
        <v>2</v>
      </c>
      <c r="BT354" s="12">
        <v>1.6E-2</v>
      </c>
      <c r="BU354" s="12">
        <v>721</v>
      </c>
      <c r="BV354" s="12">
        <v>5</v>
      </c>
      <c r="BW354" s="12">
        <v>6.9348127600554789E-3</v>
      </c>
      <c r="BX354" s="12"/>
      <c r="BY354" s="12"/>
      <c r="BZ354" s="12"/>
      <c r="CA354" s="12">
        <v>51250.65</v>
      </c>
      <c r="CB354" s="13"/>
      <c r="CC354" s="13"/>
      <c r="CD354" s="13"/>
      <c r="CE354" s="12">
        <v>6215</v>
      </c>
      <c r="CF354" s="12">
        <v>583</v>
      </c>
      <c r="CG354" s="13">
        <v>76053</v>
      </c>
      <c r="CH354" s="13">
        <v>135</v>
      </c>
      <c r="CI354" s="13">
        <v>18680</v>
      </c>
    </row>
    <row r="355" spans="2:87" x14ac:dyDescent="0.2">
      <c r="B355" s="5">
        <v>46129</v>
      </c>
      <c r="C355" s="12">
        <v>23</v>
      </c>
      <c r="D355" s="12">
        <v>1.8</v>
      </c>
      <c r="E355" s="12">
        <v>142854.58499999999</v>
      </c>
      <c r="F355" s="12">
        <v>0</v>
      </c>
      <c r="G355" s="12">
        <v>3285655.46</v>
      </c>
      <c r="H355" s="12">
        <v>0</v>
      </c>
      <c r="I355" s="12">
        <v>0</v>
      </c>
      <c r="J355" s="12">
        <v>3285655.46</v>
      </c>
      <c r="K355" s="12">
        <v>100000</v>
      </c>
      <c r="L355" s="12">
        <v>0</v>
      </c>
      <c r="M355" s="12">
        <v>596344.54</v>
      </c>
      <c r="N355" s="12">
        <v>3982000</v>
      </c>
      <c r="O355" s="12">
        <v>0</v>
      </c>
      <c r="P355" s="12">
        <v>3285655.46</v>
      </c>
      <c r="Q355" s="12">
        <v>1135847</v>
      </c>
      <c r="R355" s="12">
        <v>2149808.46</v>
      </c>
      <c r="S355" s="12">
        <v>0</v>
      </c>
      <c r="T355" s="12">
        <v>41</v>
      </c>
      <c r="U355" s="12">
        <v>0</v>
      </c>
      <c r="V355" s="12">
        <v>0</v>
      </c>
      <c r="W355" s="35">
        <v>46144.261731053244</v>
      </c>
      <c r="X355" s="12">
        <v>9</v>
      </c>
      <c r="Y355" s="12">
        <v>10</v>
      </c>
      <c r="Z355" s="12">
        <v>1033554.61</v>
      </c>
      <c r="AA355" s="12">
        <v>103355.461</v>
      </c>
      <c r="AB355" s="12">
        <v>312507</v>
      </c>
      <c r="AC355" s="12">
        <v>721047.61</v>
      </c>
      <c r="AD355" s="12">
        <v>13</v>
      </c>
      <c r="AE355" s="12">
        <v>13</v>
      </c>
      <c r="AF355" s="12">
        <v>2252100.85</v>
      </c>
      <c r="AG355" s="12">
        <v>173238.52600000001</v>
      </c>
      <c r="AH355" s="12">
        <v>823340</v>
      </c>
      <c r="AI355" s="12">
        <v>1428760.85</v>
      </c>
      <c r="AJ355" s="12"/>
      <c r="AK355" s="12"/>
      <c r="AL355" s="12"/>
      <c r="AM355" s="12"/>
      <c r="AN355" s="12"/>
      <c r="AO355" s="12"/>
      <c r="AP355" s="12">
        <v>2155462.19</v>
      </c>
      <c r="AQ355" s="12">
        <v>8</v>
      </c>
      <c r="AR355" s="12">
        <v>269432.77299999999</v>
      </c>
      <c r="AS355" s="12">
        <v>791456</v>
      </c>
      <c r="AT355" s="12">
        <v>558764.69999999995</v>
      </c>
      <c r="AU355" s="12">
        <v>8</v>
      </c>
      <c r="AV355" s="12">
        <v>69845.587</v>
      </c>
      <c r="AW355" s="12">
        <v>206718</v>
      </c>
      <c r="AX355" s="12">
        <v>571428.56999999995</v>
      </c>
      <c r="AY355" s="12">
        <v>7</v>
      </c>
      <c r="AZ355" s="12">
        <v>81632.652000000002</v>
      </c>
      <c r="BA355" s="12">
        <v>137673</v>
      </c>
      <c r="BB355" s="12"/>
      <c r="BC355" s="12"/>
      <c r="BD355" s="12"/>
      <c r="BE355" s="12"/>
      <c r="BF355" s="12">
        <v>422</v>
      </c>
      <c r="BG355" s="12">
        <v>0</v>
      </c>
      <c r="BH355" s="12">
        <v>0</v>
      </c>
      <c r="BI355" s="12">
        <v>75</v>
      </c>
      <c r="BJ355" s="12">
        <v>0</v>
      </c>
      <c r="BK355" s="12">
        <v>0</v>
      </c>
      <c r="BL355" s="12">
        <v>28</v>
      </c>
      <c r="BM355" s="12">
        <v>1</v>
      </c>
      <c r="BN355" s="12">
        <v>3.5714285714285712E-2</v>
      </c>
      <c r="BO355" s="12">
        <v>11</v>
      </c>
      <c r="BP355" s="12">
        <v>0</v>
      </c>
      <c r="BQ355" s="12">
        <v>0</v>
      </c>
      <c r="BR355" s="12">
        <v>128</v>
      </c>
      <c r="BS355" s="12">
        <v>5</v>
      </c>
      <c r="BT355" s="12">
        <v>3.90625E-2</v>
      </c>
      <c r="BU355" s="12">
        <v>664</v>
      </c>
      <c r="BV355" s="12">
        <v>6</v>
      </c>
      <c r="BW355" s="12">
        <v>9.0361445783132526E-3</v>
      </c>
      <c r="BX355" s="12"/>
      <c r="BY355" s="12"/>
      <c r="BZ355" s="12"/>
      <c r="CA355" s="12">
        <v>52413.89</v>
      </c>
      <c r="CB355" s="13"/>
      <c r="CC355" s="13"/>
      <c r="CD355" s="13"/>
      <c r="CE355" s="12">
        <v>5929</v>
      </c>
      <c r="CF355" s="12">
        <v>539</v>
      </c>
      <c r="CG355" s="13">
        <v>78903</v>
      </c>
      <c r="CH355" s="13">
        <v>119</v>
      </c>
      <c r="CI355" s="13">
        <v>18615</v>
      </c>
    </row>
    <row r="356" spans="2:87" x14ac:dyDescent="0.2">
      <c r="B356" s="5">
        <v>46130</v>
      </c>
      <c r="C356" s="12">
        <v>28</v>
      </c>
      <c r="D356" s="12">
        <v>2.4</v>
      </c>
      <c r="E356" s="12">
        <v>154141.65700000001</v>
      </c>
      <c r="F356" s="12">
        <v>0</v>
      </c>
      <c r="G356" s="12">
        <v>4315966.4000000004</v>
      </c>
      <c r="H356" s="12">
        <v>0</v>
      </c>
      <c r="I356" s="12">
        <v>0</v>
      </c>
      <c r="J356" s="12">
        <v>4315966.4000000004</v>
      </c>
      <c r="K356" s="12">
        <v>36000</v>
      </c>
      <c r="L356" s="12">
        <v>0</v>
      </c>
      <c r="M356" s="12">
        <v>782033.6</v>
      </c>
      <c r="N356" s="12">
        <v>5134000</v>
      </c>
      <c r="O356" s="12">
        <v>0</v>
      </c>
      <c r="P356" s="12">
        <v>4315966.4000000004</v>
      </c>
      <c r="Q356" s="12">
        <v>1281506</v>
      </c>
      <c r="R356" s="12">
        <v>3034460.4</v>
      </c>
      <c r="S356" s="12">
        <v>0</v>
      </c>
      <c r="T356" s="12">
        <v>67</v>
      </c>
      <c r="U356" s="12">
        <v>0</v>
      </c>
      <c r="V356" s="12">
        <v>0</v>
      </c>
      <c r="W356" s="35">
        <v>46144.261731053244</v>
      </c>
      <c r="X356" s="12">
        <v>11</v>
      </c>
      <c r="Y356" s="12">
        <v>15</v>
      </c>
      <c r="Z356" s="12">
        <v>1763781.53</v>
      </c>
      <c r="AA356" s="12">
        <v>117585.435</v>
      </c>
      <c r="AB356" s="12">
        <v>555783</v>
      </c>
      <c r="AC356" s="12">
        <v>1207998.53</v>
      </c>
      <c r="AD356" s="12">
        <v>13</v>
      </c>
      <c r="AE356" s="12">
        <v>13</v>
      </c>
      <c r="AF356" s="12">
        <v>2552184.87</v>
      </c>
      <c r="AG356" s="12">
        <v>196321.913</v>
      </c>
      <c r="AH356" s="12">
        <v>725723</v>
      </c>
      <c r="AI356" s="12">
        <v>1826461.87</v>
      </c>
      <c r="AJ356" s="12"/>
      <c r="AK356" s="12"/>
      <c r="AL356" s="12"/>
      <c r="AM356" s="12"/>
      <c r="AN356" s="12"/>
      <c r="AO356" s="12"/>
      <c r="AP356" s="12">
        <v>668823.53</v>
      </c>
      <c r="AQ356" s="12">
        <v>5</v>
      </c>
      <c r="AR356" s="12">
        <v>133764.70600000001</v>
      </c>
      <c r="AS356" s="12">
        <v>189187</v>
      </c>
      <c r="AT356" s="12">
        <v>3647142.87</v>
      </c>
      <c r="AU356" s="12">
        <v>23</v>
      </c>
      <c r="AV356" s="12">
        <v>158571.429</v>
      </c>
      <c r="AW356" s="12">
        <v>1092319</v>
      </c>
      <c r="AX356" s="12"/>
      <c r="AY356" s="12"/>
      <c r="AZ356" s="12"/>
      <c r="BA356" s="12"/>
      <c r="BB356" s="12"/>
      <c r="BC356" s="12"/>
      <c r="BD356" s="12"/>
      <c r="BE356" s="12"/>
      <c r="BF356" s="12">
        <v>364</v>
      </c>
      <c r="BG356" s="12">
        <v>0</v>
      </c>
      <c r="BH356" s="12">
        <v>0</v>
      </c>
      <c r="BI356" s="12">
        <v>112</v>
      </c>
      <c r="BJ356" s="12">
        <v>1</v>
      </c>
      <c r="BK356" s="12">
        <v>8.9285714285714281E-3</v>
      </c>
      <c r="BL356" s="12">
        <v>34</v>
      </c>
      <c r="BM356" s="12">
        <v>2</v>
      </c>
      <c r="BN356" s="12">
        <v>5.8823529411764705E-2</v>
      </c>
      <c r="BO356" s="12">
        <v>6</v>
      </c>
      <c r="BP356" s="12">
        <v>0</v>
      </c>
      <c r="BQ356" s="12">
        <v>0</v>
      </c>
      <c r="BR356" s="12">
        <v>83</v>
      </c>
      <c r="BS356" s="12">
        <v>0</v>
      </c>
      <c r="BT356" s="12">
        <v>0</v>
      </c>
      <c r="BU356" s="12">
        <v>599</v>
      </c>
      <c r="BV356" s="12">
        <v>3</v>
      </c>
      <c r="BW356" s="12">
        <v>5.008347245409015E-3</v>
      </c>
      <c r="BX356" s="12"/>
      <c r="BY356" s="12"/>
      <c r="BZ356" s="12"/>
      <c r="CA356" s="12">
        <v>60324.1</v>
      </c>
      <c r="CB356" s="13"/>
      <c r="CC356" s="13"/>
      <c r="CD356" s="13"/>
      <c r="CE356" s="12">
        <v>6112</v>
      </c>
      <c r="CF356" s="12">
        <v>505</v>
      </c>
      <c r="CG356" s="13">
        <v>85002</v>
      </c>
      <c r="CH356" s="13">
        <v>182</v>
      </c>
      <c r="CI356" s="13">
        <v>20138</v>
      </c>
    </row>
    <row r="357" spans="2:87" x14ac:dyDescent="0.2">
      <c r="B357" s="5">
        <v>46131</v>
      </c>
      <c r="C357" s="12">
        <v>14</v>
      </c>
      <c r="D357" s="12">
        <v>1.6</v>
      </c>
      <c r="E357" s="12">
        <v>105162.064</v>
      </c>
      <c r="F357" s="12">
        <v>0</v>
      </c>
      <c r="G357" s="12">
        <v>1472268.9</v>
      </c>
      <c r="H357" s="12">
        <v>0</v>
      </c>
      <c r="I357" s="12">
        <v>0</v>
      </c>
      <c r="J357" s="12">
        <v>1472268.9</v>
      </c>
      <c r="K357" s="12">
        <v>64000</v>
      </c>
      <c r="L357" s="12">
        <v>0</v>
      </c>
      <c r="M357" s="12">
        <v>279731.09999999998</v>
      </c>
      <c r="N357" s="12">
        <v>1816000</v>
      </c>
      <c r="O357" s="12">
        <v>0</v>
      </c>
      <c r="P357" s="12">
        <v>1472268.9</v>
      </c>
      <c r="Q357" s="12">
        <v>537849</v>
      </c>
      <c r="R357" s="12">
        <v>934419.9</v>
      </c>
      <c r="S357" s="12">
        <v>0</v>
      </c>
      <c r="T357" s="12">
        <v>23</v>
      </c>
      <c r="U357" s="12">
        <v>0</v>
      </c>
      <c r="V357" s="12">
        <v>0</v>
      </c>
      <c r="W357" s="35">
        <v>46144.261731053244</v>
      </c>
      <c r="X357" s="12">
        <v>4</v>
      </c>
      <c r="Y357" s="12">
        <v>9</v>
      </c>
      <c r="Z357" s="12">
        <v>872268.9</v>
      </c>
      <c r="AA357" s="12">
        <v>96918.766000000003</v>
      </c>
      <c r="AB357" s="12">
        <v>363721</v>
      </c>
      <c r="AC357" s="12">
        <v>508547.9</v>
      </c>
      <c r="AD357" s="12">
        <v>5</v>
      </c>
      <c r="AE357" s="12">
        <v>5</v>
      </c>
      <c r="AF357" s="12">
        <v>600000</v>
      </c>
      <c r="AG357" s="12">
        <v>120000</v>
      </c>
      <c r="AH357" s="12">
        <v>174128</v>
      </c>
      <c r="AI357" s="12">
        <v>425872</v>
      </c>
      <c r="AJ357" s="12"/>
      <c r="AK357" s="12"/>
      <c r="AL357" s="12"/>
      <c r="AM357" s="12"/>
      <c r="AN357" s="12"/>
      <c r="AO357" s="12"/>
      <c r="AP357" s="12">
        <v>126050.42</v>
      </c>
      <c r="AQ357" s="12">
        <v>2</v>
      </c>
      <c r="AR357" s="12">
        <v>63025.21</v>
      </c>
      <c r="AS357" s="12">
        <v>39477</v>
      </c>
      <c r="AT357" s="12">
        <v>1346218.48</v>
      </c>
      <c r="AU357" s="12">
        <v>12</v>
      </c>
      <c r="AV357" s="12">
        <v>112184.87300000001</v>
      </c>
      <c r="AW357" s="12">
        <v>498372</v>
      </c>
      <c r="AX357" s="12"/>
      <c r="AY357" s="12"/>
      <c r="AZ357" s="12"/>
      <c r="BA357" s="12"/>
      <c r="BB357" s="12"/>
      <c r="BC357" s="12"/>
      <c r="BD357" s="12"/>
      <c r="BE357" s="12"/>
      <c r="BF357" s="12">
        <v>403</v>
      </c>
      <c r="BG357" s="12">
        <v>0</v>
      </c>
      <c r="BH357" s="12">
        <v>0</v>
      </c>
      <c r="BI357" s="12">
        <v>97</v>
      </c>
      <c r="BJ357" s="12">
        <v>0</v>
      </c>
      <c r="BK357" s="12">
        <v>0</v>
      </c>
      <c r="BL357" s="12">
        <v>20</v>
      </c>
      <c r="BM357" s="12">
        <v>1</v>
      </c>
      <c r="BN357" s="12">
        <v>0.05</v>
      </c>
      <c r="BO357" s="12">
        <v>11</v>
      </c>
      <c r="BP357" s="12">
        <v>0</v>
      </c>
      <c r="BQ357" s="12">
        <v>0</v>
      </c>
      <c r="BR357" s="12">
        <v>83</v>
      </c>
      <c r="BS357" s="12">
        <v>0</v>
      </c>
      <c r="BT357" s="12">
        <v>0</v>
      </c>
      <c r="BU357" s="12">
        <v>614</v>
      </c>
      <c r="BV357" s="12">
        <v>1</v>
      </c>
      <c r="BW357" s="12">
        <v>1.6286644951140066E-3</v>
      </c>
      <c r="BX357" s="12"/>
      <c r="BY357" s="12"/>
      <c r="BZ357" s="12"/>
      <c r="CA357" s="12">
        <v>50539.14</v>
      </c>
      <c r="CB357" s="13"/>
      <c r="CC357" s="13"/>
      <c r="CD357" s="13"/>
      <c r="CE357" s="12">
        <v>6620</v>
      </c>
      <c r="CF357" s="12">
        <v>547</v>
      </c>
      <c r="CG357" s="13">
        <v>71161</v>
      </c>
      <c r="CH357" s="13">
        <v>136</v>
      </c>
      <c r="CI357" s="13">
        <v>20065</v>
      </c>
    </row>
    <row r="358" spans="2:87" x14ac:dyDescent="0.2">
      <c r="B358" s="5">
        <v>46132</v>
      </c>
      <c r="C358" s="12">
        <v>30</v>
      </c>
      <c r="D358" s="12">
        <v>2.4</v>
      </c>
      <c r="E358" s="12">
        <v>160431.372</v>
      </c>
      <c r="F358" s="12">
        <v>-3</v>
      </c>
      <c r="G358" s="12">
        <v>5153025.2</v>
      </c>
      <c r="H358" s="12">
        <v>0</v>
      </c>
      <c r="I358" s="12">
        <v>-247647.06</v>
      </c>
      <c r="J358" s="12">
        <v>4905378.1399999997</v>
      </c>
      <c r="K358" s="12">
        <v>40000</v>
      </c>
      <c r="L358" s="12">
        <v>0</v>
      </c>
      <c r="M358" s="12">
        <v>882621.86</v>
      </c>
      <c r="N358" s="12">
        <v>5828000</v>
      </c>
      <c r="O358" s="12">
        <v>0</v>
      </c>
      <c r="P358" s="12">
        <v>4905378.1399999997</v>
      </c>
      <c r="Q358" s="12">
        <v>1298282</v>
      </c>
      <c r="R358" s="12">
        <v>3607096.14</v>
      </c>
      <c r="S358" s="12">
        <v>100000</v>
      </c>
      <c r="T358" s="12">
        <v>73</v>
      </c>
      <c r="U358" s="12">
        <v>0</v>
      </c>
      <c r="V358" s="12">
        <v>100000</v>
      </c>
      <c r="W358" s="35">
        <v>46144.261731053244</v>
      </c>
      <c r="X358" s="12">
        <v>18</v>
      </c>
      <c r="Y358" s="12">
        <v>23</v>
      </c>
      <c r="Z358" s="12">
        <v>3985210.08</v>
      </c>
      <c r="AA358" s="12">
        <v>173270.003</v>
      </c>
      <c r="AB358" s="12">
        <v>987378</v>
      </c>
      <c r="AC358" s="12">
        <v>2997832.08</v>
      </c>
      <c r="AD358" s="12">
        <v>7</v>
      </c>
      <c r="AE358" s="12">
        <v>7</v>
      </c>
      <c r="AF358" s="12">
        <v>920168.06</v>
      </c>
      <c r="AG358" s="12">
        <v>118247.298</v>
      </c>
      <c r="AH358" s="12">
        <v>310904</v>
      </c>
      <c r="AI358" s="12">
        <v>609264.06000000006</v>
      </c>
      <c r="AJ358" s="12">
        <v>0</v>
      </c>
      <c r="AK358" s="12">
        <v>0</v>
      </c>
      <c r="AL358" s="12">
        <v>0</v>
      </c>
      <c r="AM358" s="12"/>
      <c r="AN358" s="12">
        <v>0</v>
      </c>
      <c r="AO358" s="12">
        <v>0</v>
      </c>
      <c r="AP358" s="12">
        <v>415966.38</v>
      </c>
      <c r="AQ358" s="12">
        <v>3</v>
      </c>
      <c r="AR358" s="12">
        <v>138655.46</v>
      </c>
      <c r="AS358" s="12">
        <v>94721</v>
      </c>
      <c r="AT358" s="12">
        <v>4434789.91</v>
      </c>
      <c r="AU358" s="12">
        <v>26</v>
      </c>
      <c r="AV358" s="12">
        <v>167013.57399999999</v>
      </c>
      <c r="AW358" s="12">
        <v>1194366</v>
      </c>
      <c r="AX358" s="12">
        <v>54621.85</v>
      </c>
      <c r="AY358" s="12">
        <v>1</v>
      </c>
      <c r="AZ358" s="12">
        <v>54621.85</v>
      </c>
      <c r="BA358" s="12">
        <v>9195</v>
      </c>
      <c r="BB358" s="12"/>
      <c r="BC358" s="12"/>
      <c r="BD358" s="12"/>
      <c r="BE358" s="12"/>
      <c r="BF358" s="12">
        <v>373</v>
      </c>
      <c r="BG358" s="12">
        <v>0</v>
      </c>
      <c r="BH358" s="12">
        <v>0</v>
      </c>
      <c r="BI358" s="12">
        <v>93</v>
      </c>
      <c r="BJ358" s="12">
        <v>0</v>
      </c>
      <c r="BK358" s="12">
        <v>0</v>
      </c>
      <c r="BL358" s="12">
        <v>38</v>
      </c>
      <c r="BM358" s="12">
        <v>0</v>
      </c>
      <c r="BN358" s="12">
        <v>0</v>
      </c>
      <c r="BO358" s="12">
        <v>8</v>
      </c>
      <c r="BP358" s="12">
        <v>0</v>
      </c>
      <c r="BQ358" s="12">
        <v>0</v>
      </c>
      <c r="BR358" s="12">
        <v>76</v>
      </c>
      <c r="BS358" s="12">
        <v>4</v>
      </c>
      <c r="BT358" s="12">
        <v>5.2631578947368418E-2</v>
      </c>
      <c r="BU358" s="12">
        <v>588</v>
      </c>
      <c r="BV358" s="12">
        <v>4</v>
      </c>
      <c r="BW358" s="12">
        <v>6.8027210884353739E-3</v>
      </c>
      <c r="BX358" s="12"/>
      <c r="BY358" s="12"/>
      <c r="BZ358" s="12"/>
      <c r="CA358" s="12">
        <v>40818.019999999997</v>
      </c>
      <c r="CB358" s="13"/>
      <c r="CC358" s="13"/>
      <c r="CD358" s="13"/>
      <c r="CE358" s="12">
        <v>5906</v>
      </c>
      <c r="CF358" s="12">
        <v>485</v>
      </c>
      <c r="CG358" s="13">
        <v>79468</v>
      </c>
      <c r="CH358" s="13">
        <v>136</v>
      </c>
      <c r="CI358" s="13">
        <v>20335</v>
      </c>
    </row>
    <row r="359" spans="2:87" x14ac:dyDescent="0.2">
      <c r="B359" s="5">
        <v>46133</v>
      </c>
      <c r="C359" s="12">
        <v>26</v>
      </c>
      <c r="D359" s="12">
        <v>2.8</v>
      </c>
      <c r="E359" s="12">
        <v>167404.65299999999</v>
      </c>
      <c r="F359" s="12">
        <v>0</v>
      </c>
      <c r="G359" s="12">
        <v>4405882.32</v>
      </c>
      <c r="H359" s="12">
        <v>-11344.53</v>
      </c>
      <c r="I359" s="12">
        <v>0</v>
      </c>
      <c r="J359" s="12">
        <v>4394537.79</v>
      </c>
      <c r="K359" s="12">
        <v>100000</v>
      </c>
      <c r="L359" s="12">
        <v>0</v>
      </c>
      <c r="M359" s="12">
        <v>834962.21</v>
      </c>
      <c r="N359" s="12">
        <v>5329500</v>
      </c>
      <c r="O359" s="12">
        <v>0</v>
      </c>
      <c r="P359" s="12">
        <v>4394537.79</v>
      </c>
      <c r="Q359" s="12">
        <v>1365625</v>
      </c>
      <c r="R359" s="12">
        <v>3028912.79</v>
      </c>
      <c r="S359" s="12">
        <v>0</v>
      </c>
      <c r="T359" s="12">
        <v>75</v>
      </c>
      <c r="U359" s="12">
        <v>0</v>
      </c>
      <c r="V359" s="12">
        <v>0</v>
      </c>
      <c r="W359" s="35">
        <v>46144.261731053244</v>
      </c>
      <c r="X359" s="12">
        <v>11</v>
      </c>
      <c r="Y359" s="12">
        <v>14</v>
      </c>
      <c r="Z359" s="12">
        <v>2186134.44</v>
      </c>
      <c r="AA359" s="12">
        <v>156152.46</v>
      </c>
      <c r="AB359" s="12">
        <v>719306</v>
      </c>
      <c r="AC359" s="12">
        <v>1466828.44</v>
      </c>
      <c r="AD359" s="12">
        <v>12</v>
      </c>
      <c r="AE359" s="12">
        <v>12</v>
      </c>
      <c r="AF359" s="12">
        <v>2208403.35</v>
      </c>
      <c r="AG359" s="12">
        <v>180532.21100000001</v>
      </c>
      <c r="AH359" s="12">
        <v>646319</v>
      </c>
      <c r="AI359" s="12">
        <v>1562084.35</v>
      </c>
      <c r="AJ359" s="12"/>
      <c r="AK359" s="12"/>
      <c r="AL359" s="12"/>
      <c r="AM359" s="12"/>
      <c r="AN359" s="12"/>
      <c r="AO359" s="12"/>
      <c r="AP359" s="12">
        <v>1085294.1200000001</v>
      </c>
      <c r="AQ359" s="12">
        <v>7</v>
      </c>
      <c r="AR359" s="12">
        <v>155042.01699999999</v>
      </c>
      <c r="AS359" s="12">
        <v>422821</v>
      </c>
      <c r="AT359" s="12">
        <v>3178991.57</v>
      </c>
      <c r="AU359" s="12">
        <v>17</v>
      </c>
      <c r="AV359" s="12">
        <v>184527.927</v>
      </c>
      <c r="AW359" s="12">
        <v>917534</v>
      </c>
      <c r="AX359" s="12">
        <v>130252.1</v>
      </c>
      <c r="AY359" s="12">
        <v>2</v>
      </c>
      <c r="AZ359" s="12">
        <v>65126.05</v>
      </c>
      <c r="BA359" s="12">
        <v>25270</v>
      </c>
      <c r="BB359" s="12"/>
      <c r="BC359" s="12"/>
      <c r="BD359" s="12"/>
      <c r="BE359" s="12"/>
      <c r="BF359" s="12">
        <v>342</v>
      </c>
      <c r="BG359" s="12">
        <v>0</v>
      </c>
      <c r="BH359" s="12">
        <v>0</v>
      </c>
      <c r="BI359" s="12">
        <v>96</v>
      </c>
      <c r="BJ359" s="12">
        <v>1</v>
      </c>
      <c r="BK359" s="12">
        <v>1.0416666666666666E-2</v>
      </c>
      <c r="BL359" s="12">
        <v>29</v>
      </c>
      <c r="BM359" s="12">
        <v>2</v>
      </c>
      <c r="BN359" s="12">
        <v>6.8965517241379309E-2</v>
      </c>
      <c r="BO359" s="12">
        <v>7</v>
      </c>
      <c r="BP359" s="12">
        <v>0</v>
      </c>
      <c r="BQ359" s="12">
        <v>0</v>
      </c>
      <c r="BR359" s="12">
        <v>83</v>
      </c>
      <c r="BS359" s="12">
        <v>5</v>
      </c>
      <c r="BT359" s="12">
        <v>6.0240963855421686E-2</v>
      </c>
      <c r="BU359" s="12">
        <v>557</v>
      </c>
      <c r="BV359" s="12">
        <v>8</v>
      </c>
      <c r="BW359" s="12">
        <v>1.4362657091561939E-2</v>
      </c>
      <c r="BX359" s="12"/>
      <c r="BY359" s="12"/>
      <c r="BZ359" s="12"/>
      <c r="CA359" s="12">
        <v>44081.49</v>
      </c>
      <c r="CB359" s="13"/>
      <c r="CC359" s="13"/>
      <c r="CD359" s="13"/>
      <c r="CE359" s="12">
        <v>5051</v>
      </c>
      <c r="CF359" s="12">
        <v>468</v>
      </c>
      <c r="CG359" s="13">
        <v>85551</v>
      </c>
      <c r="CH359" s="13">
        <v>146</v>
      </c>
      <c r="CI359" s="13">
        <v>18847</v>
      </c>
    </row>
    <row r="360" spans="2:87" x14ac:dyDescent="0.2">
      <c r="B360" s="5">
        <v>46134</v>
      </c>
      <c r="C360" s="12">
        <v>23</v>
      </c>
      <c r="D360" s="12">
        <v>2</v>
      </c>
      <c r="E360" s="12">
        <v>130378.51700000001</v>
      </c>
      <c r="F360" s="12">
        <v>0</v>
      </c>
      <c r="G360" s="12">
        <v>2998705.9</v>
      </c>
      <c r="H360" s="12">
        <v>0</v>
      </c>
      <c r="I360" s="12">
        <v>0</v>
      </c>
      <c r="J360" s="12">
        <v>2998705.9</v>
      </c>
      <c r="K360" s="12">
        <v>108000</v>
      </c>
      <c r="L360" s="12">
        <v>0</v>
      </c>
      <c r="M360" s="12">
        <v>525294.1</v>
      </c>
      <c r="N360" s="12">
        <v>3632000</v>
      </c>
      <c r="O360" s="12">
        <v>0</v>
      </c>
      <c r="P360" s="12">
        <v>2998705.9</v>
      </c>
      <c r="Q360" s="12">
        <v>992995</v>
      </c>
      <c r="R360" s="12">
        <v>2005710.9</v>
      </c>
      <c r="S360" s="12">
        <v>0</v>
      </c>
      <c r="T360" s="12">
        <v>46</v>
      </c>
      <c r="U360" s="12">
        <v>0</v>
      </c>
      <c r="V360" s="12">
        <v>0</v>
      </c>
      <c r="W360" s="35">
        <v>46144.261731053244</v>
      </c>
      <c r="X360" s="12">
        <v>15</v>
      </c>
      <c r="Y360" s="12">
        <v>17</v>
      </c>
      <c r="Z360" s="12">
        <v>2040722.69</v>
      </c>
      <c r="AA360" s="12">
        <v>120042.511</v>
      </c>
      <c r="AB360" s="12">
        <v>721305</v>
      </c>
      <c r="AC360" s="12">
        <v>1319417.69</v>
      </c>
      <c r="AD360" s="12">
        <v>6</v>
      </c>
      <c r="AE360" s="12">
        <v>6</v>
      </c>
      <c r="AF360" s="12">
        <v>957983.21</v>
      </c>
      <c r="AG360" s="12">
        <v>159663.86799999999</v>
      </c>
      <c r="AH360" s="12">
        <v>271690</v>
      </c>
      <c r="AI360" s="12">
        <v>686293.21</v>
      </c>
      <c r="AJ360" s="12"/>
      <c r="AK360" s="12"/>
      <c r="AL360" s="12"/>
      <c r="AM360" s="12"/>
      <c r="AN360" s="12"/>
      <c r="AO360" s="12"/>
      <c r="AP360" s="12">
        <v>890756.3</v>
      </c>
      <c r="AQ360" s="12">
        <v>8</v>
      </c>
      <c r="AR360" s="12">
        <v>111344.537</v>
      </c>
      <c r="AS360" s="12">
        <v>280456</v>
      </c>
      <c r="AT360" s="12">
        <v>2107949.6</v>
      </c>
      <c r="AU360" s="12">
        <v>15</v>
      </c>
      <c r="AV360" s="12">
        <v>140529.973</v>
      </c>
      <c r="AW360" s="12">
        <v>712539</v>
      </c>
      <c r="AX360" s="12"/>
      <c r="AY360" s="12"/>
      <c r="AZ360" s="12"/>
      <c r="BA360" s="12"/>
      <c r="BB360" s="12"/>
      <c r="BC360" s="12"/>
      <c r="BD360" s="12"/>
      <c r="BE360" s="12"/>
      <c r="BF360" s="12">
        <v>403</v>
      </c>
      <c r="BG360" s="12">
        <v>0</v>
      </c>
      <c r="BH360" s="12">
        <v>0</v>
      </c>
      <c r="BI360" s="12">
        <v>111</v>
      </c>
      <c r="BJ360" s="12">
        <v>2</v>
      </c>
      <c r="BK360" s="12">
        <v>1.8018018018018018E-2</v>
      </c>
      <c r="BL360" s="12">
        <v>46</v>
      </c>
      <c r="BM360" s="12">
        <v>0</v>
      </c>
      <c r="BN360" s="12">
        <v>0</v>
      </c>
      <c r="BO360" s="12">
        <v>6</v>
      </c>
      <c r="BP360" s="12">
        <v>0</v>
      </c>
      <c r="BQ360" s="12">
        <v>0</v>
      </c>
      <c r="BR360" s="12">
        <v>239</v>
      </c>
      <c r="BS360" s="12">
        <v>5</v>
      </c>
      <c r="BT360" s="12">
        <v>2.0920502092050208E-2</v>
      </c>
      <c r="BU360" s="12">
        <v>805</v>
      </c>
      <c r="BV360" s="12">
        <v>7</v>
      </c>
      <c r="BW360" s="12">
        <v>8.6956521739130436E-3</v>
      </c>
      <c r="BX360" s="12"/>
      <c r="BY360" s="12"/>
      <c r="BZ360" s="12"/>
      <c r="CA360" s="12">
        <v>49855.09</v>
      </c>
      <c r="CB360" s="13"/>
      <c r="CC360" s="13"/>
      <c r="CD360" s="13"/>
      <c r="CE360" s="12">
        <v>5746</v>
      </c>
      <c r="CF360" s="12">
        <v>562</v>
      </c>
      <c r="CG360" s="13">
        <v>90011</v>
      </c>
      <c r="CH360" s="13">
        <v>165</v>
      </c>
      <c r="CI360" s="13">
        <v>18498</v>
      </c>
    </row>
    <row r="361" spans="2:87" x14ac:dyDescent="0.2">
      <c r="B361" s="5">
        <v>46135</v>
      </c>
      <c r="C361" s="12">
        <v>19</v>
      </c>
      <c r="D361" s="12">
        <v>2.1</v>
      </c>
      <c r="E361" s="12">
        <v>154721.804</v>
      </c>
      <c r="F361" s="12">
        <v>0</v>
      </c>
      <c r="G361" s="12">
        <v>2939714.29</v>
      </c>
      <c r="H361" s="12">
        <v>0</v>
      </c>
      <c r="I361" s="12">
        <v>0</v>
      </c>
      <c r="J361" s="12">
        <v>2939714.29</v>
      </c>
      <c r="K361" s="12">
        <v>48000</v>
      </c>
      <c r="L361" s="12">
        <v>0</v>
      </c>
      <c r="M361" s="12">
        <v>538785.71</v>
      </c>
      <c r="N361" s="12">
        <v>3526500</v>
      </c>
      <c r="O361" s="12">
        <v>0</v>
      </c>
      <c r="P361" s="12">
        <v>2939714.29</v>
      </c>
      <c r="Q361" s="12">
        <v>1009018</v>
      </c>
      <c r="R361" s="12">
        <v>1930696.29</v>
      </c>
      <c r="S361" s="12">
        <v>0</v>
      </c>
      <c r="T361" s="12">
        <v>40</v>
      </c>
      <c r="U361" s="12">
        <v>0</v>
      </c>
      <c r="V361" s="12">
        <v>0</v>
      </c>
      <c r="W361" s="35">
        <v>46144.261731053244</v>
      </c>
      <c r="X361" s="12">
        <v>10</v>
      </c>
      <c r="Y361" s="12">
        <v>11</v>
      </c>
      <c r="Z361" s="12">
        <v>2163445.37</v>
      </c>
      <c r="AA361" s="12">
        <v>196676.851</v>
      </c>
      <c r="AB361" s="12">
        <v>691500</v>
      </c>
      <c r="AC361" s="12">
        <v>1471945.37</v>
      </c>
      <c r="AD361" s="12">
        <v>8</v>
      </c>
      <c r="AE361" s="12">
        <v>8</v>
      </c>
      <c r="AF361" s="12">
        <v>776268.92</v>
      </c>
      <c r="AG361" s="12">
        <v>97033.615000000005</v>
      </c>
      <c r="AH361" s="12">
        <v>317518</v>
      </c>
      <c r="AI361" s="12">
        <v>458750.92</v>
      </c>
      <c r="AJ361" s="12"/>
      <c r="AK361" s="12"/>
      <c r="AL361" s="12"/>
      <c r="AM361" s="12"/>
      <c r="AN361" s="12"/>
      <c r="AO361" s="12"/>
      <c r="AP361" s="12">
        <v>781512.61</v>
      </c>
      <c r="AQ361" s="12">
        <v>5</v>
      </c>
      <c r="AR361" s="12">
        <v>156302.522</v>
      </c>
      <c r="AS361" s="12">
        <v>273977</v>
      </c>
      <c r="AT361" s="12">
        <v>2111983.19</v>
      </c>
      <c r="AU361" s="12">
        <v>13</v>
      </c>
      <c r="AV361" s="12">
        <v>162460.245</v>
      </c>
      <c r="AW361" s="12">
        <v>726196</v>
      </c>
      <c r="AX361" s="12">
        <v>46218.49</v>
      </c>
      <c r="AY361" s="12">
        <v>1</v>
      </c>
      <c r="AZ361" s="12">
        <v>46218.49</v>
      </c>
      <c r="BA361" s="12">
        <v>8845</v>
      </c>
      <c r="BB361" s="12"/>
      <c r="BC361" s="12"/>
      <c r="BD361" s="12"/>
      <c r="BE361" s="12"/>
      <c r="BF361" s="12">
        <v>280</v>
      </c>
      <c r="BG361" s="12">
        <v>1</v>
      </c>
      <c r="BH361" s="12">
        <v>3.5714285714285713E-3</v>
      </c>
      <c r="BI361" s="12">
        <v>101</v>
      </c>
      <c r="BJ361" s="12">
        <v>0</v>
      </c>
      <c r="BK361" s="12">
        <v>0</v>
      </c>
      <c r="BL361" s="12">
        <v>57</v>
      </c>
      <c r="BM361" s="12">
        <v>2</v>
      </c>
      <c r="BN361" s="12">
        <v>3.5087719298245612E-2</v>
      </c>
      <c r="BO361" s="12">
        <v>8</v>
      </c>
      <c r="BP361" s="12">
        <v>0</v>
      </c>
      <c r="BQ361" s="12">
        <v>0</v>
      </c>
      <c r="BR361" s="12">
        <v>127</v>
      </c>
      <c r="BS361" s="12">
        <v>2</v>
      </c>
      <c r="BT361" s="12">
        <v>1.5748031496062992E-2</v>
      </c>
      <c r="BU361" s="12">
        <v>573</v>
      </c>
      <c r="BV361" s="12">
        <v>5</v>
      </c>
      <c r="BW361" s="12">
        <v>8.7260034904013961E-3</v>
      </c>
      <c r="BX361" s="12"/>
      <c r="BY361" s="12"/>
      <c r="BZ361" s="12"/>
      <c r="CA361" s="12">
        <v>35259.660000000003</v>
      </c>
      <c r="CB361" s="13"/>
      <c r="CC361" s="13"/>
      <c r="CD361" s="13"/>
      <c r="CE361" s="12">
        <v>4416</v>
      </c>
      <c r="CF361" s="12">
        <v>379</v>
      </c>
      <c r="CG361" s="13">
        <v>90260</v>
      </c>
      <c r="CH361" s="13">
        <v>162</v>
      </c>
      <c r="CI361" s="13">
        <v>18995</v>
      </c>
    </row>
    <row r="362" spans="2:87" x14ac:dyDescent="0.2">
      <c r="B362" s="5">
        <v>46136</v>
      </c>
      <c r="C362" s="12">
        <v>22</v>
      </c>
      <c r="D362" s="12">
        <v>2.2000000000000002</v>
      </c>
      <c r="E362" s="12">
        <v>124522.575</v>
      </c>
      <c r="F362" s="12">
        <v>0</v>
      </c>
      <c r="G362" s="12">
        <v>2739496.65</v>
      </c>
      <c r="H362" s="12">
        <v>0</v>
      </c>
      <c r="I362" s="12">
        <v>0</v>
      </c>
      <c r="J362" s="12">
        <v>2739496.65</v>
      </c>
      <c r="K362" s="12">
        <v>60000</v>
      </c>
      <c r="L362" s="12">
        <v>0</v>
      </c>
      <c r="M362" s="12">
        <v>520504.35</v>
      </c>
      <c r="N362" s="12">
        <v>3320001</v>
      </c>
      <c r="O362" s="12">
        <v>0.84</v>
      </c>
      <c r="P362" s="12">
        <v>2739495.81</v>
      </c>
      <c r="Q362" s="12">
        <v>821179</v>
      </c>
      <c r="R362" s="12">
        <v>1918316.81</v>
      </c>
      <c r="S362" s="12">
        <v>0</v>
      </c>
      <c r="T362" s="12">
        <v>49</v>
      </c>
      <c r="U362" s="12">
        <v>0</v>
      </c>
      <c r="V362" s="12">
        <v>0</v>
      </c>
      <c r="W362" s="35">
        <v>46144.261731053244</v>
      </c>
      <c r="X362" s="12">
        <v>11</v>
      </c>
      <c r="Y362" s="12">
        <v>13</v>
      </c>
      <c r="Z362" s="12">
        <v>1231093.28</v>
      </c>
      <c r="AA362" s="12">
        <v>94699.482999999993</v>
      </c>
      <c r="AB362" s="12">
        <v>243109</v>
      </c>
      <c r="AC362" s="12">
        <v>987983.44</v>
      </c>
      <c r="AD362" s="12">
        <v>9</v>
      </c>
      <c r="AE362" s="12">
        <v>9</v>
      </c>
      <c r="AF362" s="12">
        <v>1508403.37</v>
      </c>
      <c r="AG362" s="12">
        <v>167600.37400000001</v>
      </c>
      <c r="AH362" s="12">
        <v>578070</v>
      </c>
      <c r="AI362" s="12">
        <v>930333.37</v>
      </c>
      <c r="AJ362" s="12"/>
      <c r="AK362" s="12"/>
      <c r="AL362" s="12"/>
      <c r="AM362" s="12"/>
      <c r="AN362" s="12"/>
      <c r="AO362" s="12"/>
      <c r="AP362" s="12">
        <v>542017.64</v>
      </c>
      <c r="AQ362" s="12">
        <v>5</v>
      </c>
      <c r="AR362" s="12">
        <v>108403.52800000001</v>
      </c>
      <c r="AS362" s="12">
        <v>134986</v>
      </c>
      <c r="AT362" s="12">
        <v>2197479.0099999998</v>
      </c>
      <c r="AU362" s="12">
        <v>17</v>
      </c>
      <c r="AV362" s="12">
        <v>129263.47100000001</v>
      </c>
      <c r="AW362" s="12">
        <v>686193</v>
      </c>
      <c r="AX362" s="12"/>
      <c r="AY362" s="12"/>
      <c r="AZ362" s="12"/>
      <c r="BA362" s="12"/>
      <c r="BB362" s="12"/>
      <c r="BC362" s="12"/>
      <c r="BD362" s="12"/>
      <c r="BE362" s="12"/>
      <c r="BF362" s="12">
        <v>583</v>
      </c>
      <c r="BG362" s="12">
        <v>1</v>
      </c>
      <c r="BH362" s="12">
        <v>1.7152658662092624E-3</v>
      </c>
      <c r="BI362" s="12">
        <v>166</v>
      </c>
      <c r="BJ362" s="12">
        <v>1</v>
      </c>
      <c r="BK362" s="12">
        <v>6.024096385542169E-3</v>
      </c>
      <c r="BL362" s="12">
        <v>41</v>
      </c>
      <c r="BM362" s="12">
        <v>0</v>
      </c>
      <c r="BN362" s="12">
        <v>0</v>
      </c>
      <c r="BO362" s="12">
        <v>7</v>
      </c>
      <c r="BP362" s="12">
        <v>0</v>
      </c>
      <c r="BQ362" s="12">
        <v>0</v>
      </c>
      <c r="BR362" s="12">
        <v>91</v>
      </c>
      <c r="BS362" s="12">
        <v>2</v>
      </c>
      <c r="BT362" s="12">
        <v>2.197802197802198E-2</v>
      </c>
      <c r="BU362" s="12">
        <v>888</v>
      </c>
      <c r="BV362" s="12">
        <v>4</v>
      </c>
      <c r="BW362" s="12">
        <v>4.5045045045045045E-3</v>
      </c>
      <c r="BX362" s="12"/>
      <c r="BY362" s="12"/>
      <c r="BZ362" s="12"/>
      <c r="CA362" s="12">
        <v>69189.48</v>
      </c>
      <c r="CB362" s="13"/>
      <c r="CC362" s="13"/>
      <c r="CD362" s="13"/>
      <c r="CE362" s="12">
        <v>7279</v>
      </c>
      <c r="CF362" s="12">
        <v>720</v>
      </c>
      <c r="CG362" s="13">
        <v>120468</v>
      </c>
      <c r="CH362" s="13">
        <v>253</v>
      </c>
      <c r="CI362" s="13">
        <v>19366</v>
      </c>
    </row>
    <row r="363" spans="2:87" x14ac:dyDescent="0.2">
      <c r="B363" s="5">
        <v>46137</v>
      </c>
      <c r="C363" s="12">
        <v>38</v>
      </c>
      <c r="D363" s="12">
        <v>1.8</v>
      </c>
      <c r="E363" s="12">
        <v>125279.522</v>
      </c>
      <c r="F363" s="12">
        <v>0</v>
      </c>
      <c r="G363" s="12">
        <v>4866084.0199999996</v>
      </c>
      <c r="H363" s="12">
        <v>-105462.17</v>
      </c>
      <c r="I363" s="12">
        <v>0</v>
      </c>
      <c r="J363" s="12">
        <v>4760621.8499999996</v>
      </c>
      <c r="K363" s="12">
        <v>48000</v>
      </c>
      <c r="L363" s="12">
        <v>0</v>
      </c>
      <c r="M363" s="12">
        <v>865378.15</v>
      </c>
      <c r="N363" s="12">
        <v>5674000</v>
      </c>
      <c r="O363" s="12">
        <v>335092.44</v>
      </c>
      <c r="P363" s="12">
        <v>4425529.41</v>
      </c>
      <c r="Q363" s="12">
        <v>1314787</v>
      </c>
      <c r="R363" s="12">
        <v>3110742.41</v>
      </c>
      <c r="S363" s="12">
        <v>0</v>
      </c>
      <c r="T363" s="12">
        <v>70</v>
      </c>
      <c r="U363" s="12">
        <v>0</v>
      </c>
      <c r="V363" s="12">
        <v>0</v>
      </c>
      <c r="W363" s="35">
        <v>46144.261731053244</v>
      </c>
      <c r="X363" s="12">
        <v>20</v>
      </c>
      <c r="Y363" s="12">
        <v>27</v>
      </c>
      <c r="Z363" s="12">
        <v>3797277.3</v>
      </c>
      <c r="AA363" s="12">
        <v>140639.9</v>
      </c>
      <c r="AB363" s="12">
        <v>1041480</v>
      </c>
      <c r="AC363" s="12">
        <v>2580368.73</v>
      </c>
      <c r="AD363" s="12">
        <v>11</v>
      </c>
      <c r="AE363" s="12">
        <v>11</v>
      </c>
      <c r="AF363" s="12">
        <v>963344.55</v>
      </c>
      <c r="AG363" s="12">
        <v>87576.777000000002</v>
      </c>
      <c r="AH363" s="12">
        <v>273307</v>
      </c>
      <c r="AI363" s="12">
        <v>530373.68000000005</v>
      </c>
      <c r="AJ363" s="12"/>
      <c r="AK363" s="12"/>
      <c r="AL363" s="12"/>
      <c r="AM363" s="12"/>
      <c r="AN363" s="12"/>
      <c r="AO363" s="12"/>
      <c r="AP363" s="12">
        <v>865966.39</v>
      </c>
      <c r="AQ363" s="12">
        <v>7</v>
      </c>
      <c r="AR363" s="12">
        <v>123709.484</v>
      </c>
      <c r="AS363" s="12">
        <v>237540</v>
      </c>
      <c r="AT363" s="12">
        <v>3840033.61</v>
      </c>
      <c r="AU363" s="12">
        <v>30</v>
      </c>
      <c r="AV363" s="12">
        <v>128001.12</v>
      </c>
      <c r="AW363" s="12">
        <v>1068913</v>
      </c>
      <c r="AX363" s="12">
        <v>54621.85</v>
      </c>
      <c r="AY363" s="12">
        <v>1</v>
      </c>
      <c r="AZ363" s="12">
        <v>54621.85</v>
      </c>
      <c r="BA363" s="12">
        <v>8334</v>
      </c>
      <c r="BB363" s="12"/>
      <c r="BC363" s="12"/>
      <c r="BD363" s="12"/>
      <c r="BE363" s="12"/>
      <c r="BF363" s="12">
        <v>212</v>
      </c>
      <c r="BG363" s="12">
        <v>0</v>
      </c>
      <c r="BH363" s="12">
        <v>0</v>
      </c>
      <c r="BI363" s="12">
        <v>201</v>
      </c>
      <c r="BJ363" s="12">
        <v>0</v>
      </c>
      <c r="BK363" s="12">
        <v>0</v>
      </c>
      <c r="BL363" s="12">
        <v>32</v>
      </c>
      <c r="BM363" s="12">
        <v>2</v>
      </c>
      <c r="BN363" s="12">
        <v>6.25E-2</v>
      </c>
      <c r="BO363" s="12">
        <v>3</v>
      </c>
      <c r="BP363" s="12">
        <v>0</v>
      </c>
      <c r="BQ363" s="12">
        <v>0</v>
      </c>
      <c r="BR363" s="12">
        <v>99</v>
      </c>
      <c r="BS363" s="12">
        <v>4</v>
      </c>
      <c r="BT363" s="12">
        <v>4.0404040404040407E-2</v>
      </c>
      <c r="BU363" s="12">
        <v>547</v>
      </c>
      <c r="BV363" s="12">
        <v>6</v>
      </c>
      <c r="BW363" s="12">
        <v>1.0968921389396709E-2</v>
      </c>
      <c r="BX363" s="12"/>
      <c r="BY363" s="12"/>
      <c r="BZ363" s="12"/>
      <c r="CA363" s="12">
        <v>39831.74</v>
      </c>
      <c r="CB363" s="13"/>
      <c r="CC363" s="13"/>
      <c r="CD363" s="13"/>
      <c r="CE363" s="12">
        <v>3764</v>
      </c>
      <c r="CF363" s="12">
        <v>327</v>
      </c>
      <c r="CG363" s="13">
        <v>123495</v>
      </c>
      <c r="CH363" s="13">
        <v>322</v>
      </c>
      <c r="CI363" s="13">
        <v>21724</v>
      </c>
    </row>
    <row r="364" spans="2:87" x14ac:dyDescent="0.2">
      <c r="B364" s="5">
        <v>46138</v>
      </c>
      <c r="C364" s="12">
        <v>18</v>
      </c>
      <c r="D364" s="12">
        <v>1.8</v>
      </c>
      <c r="E364" s="12">
        <v>115079.36599999999</v>
      </c>
      <c r="F364" s="12">
        <v>0</v>
      </c>
      <c r="G364" s="12">
        <v>2071428.59</v>
      </c>
      <c r="H364" s="12">
        <v>0</v>
      </c>
      <c r="I364" s="12">
        <v>0</v>
      </c>
      <c r="J364" s="12">
        <v>2071428.59</v>
      </c>
      <c r="K364" s="12">
        <v>68000</v>
      </c>
      <c r="L364" s="12">
        <v>0</v>
      </c>
      <c r="M364" s="12">
        <v>393571.41</v>
      </c>
      <c r="N364" s="12">
        <v>2533000</v>
      </c>
      <c r="O364" s="12">
        <v>0</v>
      </c>
      <c r="P364" s="12">
        <v>2071428.59</v>
      </c>
      <c r="Q364" s="12">
        <v>639616</v>
      </c>
      <c r="R364" s="12">
        <v>1431812.59</v>
      </c>
      <c r="S364" s="12">
        <v>0</v>
      </c>
      <c r="T364" s="12">
        <v>33</v>
      </c>
      <c r="U364" s="12">
        <v>0</v>
      </c>
      <c r="V364" s="12">
        <v>0</v>
      </c>
      <c r="W364" s="35">
        <v>46144.261731053244</v>
      </c>
      <c r="X364" s="12">
        <v>7</v>
      </c>
      <c r="Y364" s="12">
        <v>11</v>
      </c>
      <c r="Z364" s="12">
        <v>1033613.46</v>
      </c>
      <c r="AA364" s="12">
        <v>93964.86</v>
      </c>
      <c r="AB364" s="12">
        <v>343069</v>
      </c>
      <c r="AC364" s="12">
        <v>690544.46</v>
      </c>
      <c r="AD364" s="12">
        <v>7</v>
      </c>
      <c r="AE364" s="12">
        <v>7</v>
      </c>
      <c r="AF364" s="12">
        <v>1037815.13</v>
      </c>
      <c r="AG364" s="12">
        <v>148259.304</v>
      </c>
      <c r="AH364" s="12">
        <v>296547</v>
      </c>
      <c r="AI364" s="12">
        <v>741268.13</v>
      </c>
      <c r="AJ364" s="12"/>
      <c r="AK364" s="12"/>
      <c r="AL364" s="12"/>
      <c r="AM364" s="12"/>
      <c r="AN364" s="12"/>
      <c r="AO364" s="12"/>
      <c r="AP364" s="12">
        <v>735294.11</v>
      </c>
      <c r="AQ364" s="12">
        <v>4</v>
      </c>
      <c r="AR364" s="12">
        <v>183823.527</v>
      </c>
      <c r="AS364" s="12">
        <v>205504</v>
      </c>
      <c r="AT364" s="12">
        <v>1235294.1399999999</v>
      </c>
      <c r="AU364" s="12">
        <v>13</v>
      </c>
      <c r="AV364" s="12">
        <v>95022.626000000004</v>
      </c>
      <c r="AW364" s="12">
        <v>416422</v>
      </c>
      <c r="AX364" s="12">
        <v>100840.34</v>
      </c>
      <c r="AY364" s="12">
        <v>1</v>
      </c>
      <c r="AZ364" s="12">
        <v>100840.34</v>
      </c>
      <c r="BA364" s="12">
        <v>17690</v>
      </c>
      <c r="BB364" s="12"/>
      <c r="BC364" s="12"/>
      <c r="BD364" s="12"/>
      <c r="BE364" s="12"/>
      <c r="BF364" s="12">
        <v>191</v>
      </c>
      <c r="BG364" s="12">
        <v>0</v>
      </c>
      <c r="BH364" s="12">
        <v>0</v>
      </c>
      <c r="BI364" s="12">
        <v>243</v>
      </c>
      <c r="BJ364" s="12">
        <v>1</v>
      </c>
      <c r="BK364" s="12">
        <v>4.11522633744856E-3</v>
      </c>
      <c r="BL364" s="12">
        <v>31</v>
      </c>
      <c r="BM364" s="12">
        <v>0</v>
      </c>
      <c r="BN364" s="12">
        <v>0</v>
      </c>
      <c r="BO364" s="12">
        <v>4</v>
      </c>
      <c r="BP364" s="12">
        <v>0</v>
      </c>
      <c r="BQ364" s="12">
        <v>0</v>
      </c>
      <c r="BR364" s="12">
        <v>98</v>
      </c>
      <c r="BS364" s="12">
        <v>3</v>
      </c>
      <c r="BT364" s="12">
        <v>3.0612244897959183E-2</v>
      </c>
      <c r="BU364" s="12">
        <v>567</v>
      </c>
      <c r="BV364" s="12">
        <v>4</v>
      </c>
      <c r="BW364" s="12">
        <v>7.0546737213403876E-3</v>
      </c>
      <c r="BX364" s="12"/>
      <c r="BY364" s="12"/>
      <c r="BZ364" s="12"/>
      <c r="CA364" s="12">
        <v>36429.18</v>
      </c>
      <c r="CB364" s="13"/>
      <c r="CC364" s="13"/>
      <c r="CD364" s="13"/>
      <c r="CE364" s="12">
        <v>2505</v>
      </c>
      <c r="CF364" s="12">
        <v>272</v>
      </c>
      <c r="CG364" s="13">
        <v>146103</v>
      </c>
      <c r="CH364" s="13">
        <v>354</v>
      </c>
      <c r="CI364" s="13">
        <v>22172</v>
      </c>
    </row>
    <row r="365" spans="2:87" x14ac:dyDescent="0.2">
      <c r="B365" s="5">
        <v>46139</v>
      </c>
      <c r="C365" s="12">
        <v>22</v>
      </c>
      <c r="D365" s="12">
        <v>3.3</v>
      </c>
      <c r="E365" s="12">
        <v>227544.30900000001</v>
      </c>
      <c r="F365" s="12">
        <v>0</v>
      </c>
      <c r="G365" s="12">
        <v>5005974.8099999996</v>
      </c>
      <c r="H365" s="12">
        <v>0</v>
      </c>
      <c r="I365" s="12">
        <v>0</v>
      </c>
      <c r="J365" s="12">
        <v>5005974.8099999996</v>
      </c>
      <c r="K365" s="12">
        <v>48000</v>
      </c>
      <c r="L365" s="12">
        <v>0</v>
      </c>
      <c r="M365" s="12">
        <v>919025.19</v>
      </c>
      <c r="N365" s="12">
        <v>5973000</v>
      </c>
      <c r="O365" s="12">
        <v>240428.57</v>
      </c>
      <c r="P365" s="12">
        <v>4765546.24</v>
      </c>
      <c r="Q365" s="12">
        <v>1524333</v>
      </c>
      <c r="R365" s="12">
        <v>3241213.24</v>
      </c>
      <c r="S365" s="12">
        <v>0</v>
      </c>
      <c r="T365" s="12">
        <v>73</v>
      </c>
      <c r="U365" s="12">
        <v>0</v>
      </c>
      <c r="V365" s="12">
        <v>0</v>
      </c>
      <c r="W365" s="35">
        <v>46144.261731053244</v>
      </c>
      <c r="X365" s="12">
        <v>14</v>
      </c>
      <c r="Y365" s="12">
        <v>17</v>
      </c>
      <c r="Z365" s="12">
        <v>3745470.6</v>
      </c>
      <c r="AA365" s="12">
        <v>220321.8</v>
      </c>
      <c r="AB365" s="12">
        <v>980993</v>
      </c>
      <c r="AC365" s="12">
        <v>2524049.0299999998</v>
      </c>
      <c r="AD365" s="12">
        <v>5</v>
      </c>
      <c r="AE365" s="12">
        <v>5</v>
      </c>
      <c r="AF365" s="12">
        <v>1260504.21</v>
      </c>
      <c r="AG365" s="12">
        <v>252100.842</v>
      </c>
      <c r="AH365" s="12">
        <v>543340</v>
      </c>
      <c r="AI365" s="12">
        <v>717164.21</v>
      </c>
      <c r="AJ365" s="12"/>
      <c r="AK365" s="12"/>
      <c r="AL365" s="12"/>
      <c r="AM365" s="12"/>
      <c r="AN365" s="12"/>
      <c r="AO365" s="12"/>
      <c r="AP365" s="12">
        <v>1710084.04</v>
      </c>
      <c r="AQ365" s="12">
        <v>7</v>
      </c>
      <c r="AR365" s="12">
        <v>244297.72</v>
      </c>
      <c r="AS365" s="12">
        <v>637657</v>
      </c>
      <c r="AT365" s="12">
        <v>3295890.77</v>
      </c>
      <c r="AU365" s="12">
        <v>15</v>
      </c>
      <c r="AV365" s="12">
        <v>219726.05100000001</v>
      </c>
      <c r="AW365" s="12">
        <v>886676</v>
      </c>
      <c r="AX365" s="12"/>
      <c r="AY365" s="12"/>
      <c r="AZ365" s="12"/>
      <c r="BA365" s="12"/>
      <c r="BB365" s="12"/>
      <c r="BC365" s="12"/>
      <c r="BD365" s="12"/>
      <c r="BE365" s="12"/>
      <c r="BF365" s="12">
        <v>71</v>
      </c>
      <c r="BG365" s="12">
        <v>0</v>
      </c>
      <c r="BH365" s="12">
        <v>0</v>
      </c>
      <c r="BI365" s="12">
        <v>195</v>
      </c>
      <c r="BJ365" s="12">
        <v>1</v>
      </c>
      <c r="BK365" s="12">
        <v>5.1282051282051282E-3</v>
      </c>
      <c r="BL365" s="12">
        <v>49</v>
      </c>
      <c r="BM365" s="12">
        <v>0</v>
      </c>
      <c r="BN365" s="12">
        <v>0</v>
      </c>
      <c r="BO365" s="12">
        <v>1</v>
      </c>
      <c r="BP365" s="12">
        <v>0</v>
      </c>
      <c r="BQ365" s="12">
        <v>0</v>
      </c>
      <c r="BR365" s="12">
        <v>135</v>
      </c>
      <c r="BS365" s="12">
        <v>5</v>
      </c>
      <c r="BT365" s="12">
        <v>3.7037037037037035E-2</v>
      </c>
      <c r="BU365" s="12">
        <v>451</v>
      </c>
      <c r="BV365" s="12">
        <v>6</v>
      </c>
      <c r="BW365" s="12">
        <v>1.3303769401330377E-2</v>
      </c>
      <c r="BX365" s="12"/>
      <c r="BY365" s="12"/>
      <c r="BZ365" s="12"/>
      <c r="CA365" s="12">
        <v>27592.61</v>
      </c>
      <c r="CB365" s="13"/>
      <c r="CC365" s="13"/>
      <c r="CD365" s="13"/>
      <c r="CE365" s="12">
        <v>1635</v>
      </c>
      <c r="CF365" s="12">
        <v>149</v>
      </c>
      <c r="CG365" s="13">
        <v>124162</v>
      </c>
      <c r="CH365" s="13">
        <v>267</v>
      </c>
      <c r="CI365" s="13">
        <v>19068</v>
      </c>
    </row>
    <row r="366" spans="2:87" x14ac:dyDescent="0.2">
      <c r="B366" s="5">
        <v>46140</v>
      </c>
      <c r="C366" s="12">
        <v>29</v>
      </c>
      <c r="D366" s="12">
        <v>1.7</v>
      </c>
      <c r="E366" s="12">
        <v>113155.605</v>
      </c>
      <c r="F366" s="12">
        <v>-3</v>
      </c>
      <c r="G366" s="12">
        <v>3495714.25</v>
      </c>
      <c r="H366" s="12">
        <v>-214201.68</v>
      </c>
      <c r="I366" s="12">
        <v>0</v>
      </c>
      <c r="J366" s="12">
        <v>3281512.57</v>
      </c>
      <c r="K366" s="12">
        <v>80000</v>
      </c>
      <c r="L366" s="12">
        <v>0</v>
      </c>
      <c r="M366" s="12">
        <v>623487.43000000005</v>
      </c>
      <c r="N366" s="12">
        <v>3985000</v>
      </c>
      <c r="O366" s="12">
        <v>0</v>
      </c>
      <c r="P366" s="12">
        <v>3281512.57</v>
      </c>
      <c r="Q366" s="12">
        <v>1004580</v>
      </c>
      <c r="R366" s="12">
        <v>2276932.5699999998</v>
      </c>
      <c r="S366" s="12">
        <v>0</v>
      </c>
      <c r="T366" s="12">
        <v>46</v>
      </c>
      <c r="U366" s="12">
        <v>0</v>
      </c>
      <c r="V366" s="12">
        <v>0</v>
      </c>
      <c r="W366" s="35">
        <v>46144.261731053244</v>
      </c>
      <c r="X366" s="12">
        <v>9</v>
      </c>
      <c r="Y366" s="12">
        <v>10</v>
      </c>
      <c r="Z366" s="12">
        <v>966386.54</v>
      </c>
      <c r="AA366" s="12">
        <v>96638.653999999995</v>
      </c>
      <c r="AB366" s="12">
        <v>265485</v>
      </c>
      <c r="AC366" s="12">
        <v>700901.54</v>
      </c>
      <c r="AD366" s="12">
        <v>19</v>
      </c>
      <c r="AE366" s="12">
        <v>19</v>
      </c>
      <c r="AF366" s="12">
        <v>2315126.0299999998</v>
      </c>
      <c r="AG366" s="12">
        <v>121848.738</v>
      </c>
      <c r="AH366" s="12">
        <v>739095</v>
      </c>
      <c r="AI366" s="12">
        <v>1576031.03</v>
      </c>
      <c r="AJ366" s="12"/>
      <c r="AK366" s="12"/>
      <c r="AL366" s="12"/>
      <c r="AM366" s="12"/>
      <c r="AN366" s="12"/>
      <c r="AO366" s="12"/>
      <c r="AP366" s="12">
        <v>995798.32</v>
      </c>
      <c r="AQ366" s="12">
        <v>9</v>
      </c>
      <c r="AR366" s="12">
        <v>110644.257</v>
      </c>
      <c r="AS366" s="12">
        <v>285457</v>
      </c>
      <c r="AT366" s="12">
        <v>2285714.25</v>
      </c>
      <c r="AU366" s="12">
        <v>20</v>
      </c>
      <c r="AV366" s="12">
        <v>114285.712</v>
      </c>
      <c r="AW366" s="12">
        <v>719123</v>
      </c>
      <c r="AX366" s="12"/>
      <c r="AY366" s="12"/>
      <c r="AZ366" s="12"/>
      <c r="BA366" s="12"/>
      <c r="BB366" s="12"/>
      <c r="BC366" s="12"/>
      <c r="BD366" s="12"/>
      <c r="BE366" s="12"/>
      <c r="BF366" s="12">
        <v>3</v>
      </c>
      <c r="BG366" s="12">
        <v>0</v>
      </c>
      <c r="BH366" s="12">
        <v>0</v>
      </c>
      <c r="BI366" s="12">
        <v>162</v>
      </c>
      <c r="BJ366" s="12">
        <v>1</v>
      </c>
      <c r="BK366" s="12">
        <v>6.1728395061728392E-3</v>
      </c>
      <c r="BL366" s="12">
        <v>70</v>
      </c>
      <c r="BM366" s="12">
        <v>4</v>
      </c>
      <c r="BN366" s="12">
        <v>5.7142857142857141E-2</v>
      </c>
      <c r="BO366" s="12"/>
      <c r="BP366" s="12"/>
      <c r="BQ366" s="12"/>
      <c r="BR366" s="12">
        <v>110</v>
      </c>
      <c r="BS366" s="12">
        <v>2</v>
      </c>
      <c r="BT366" s="12">
        <v>1.8181818181818181E-2</v>
      </c>
      <c r="BU366" s="12">
        <v>345</v>
      </c>
      <c r="BV366" s="12">
        <v>7</v>
      </c>
      <c r="BW366" s="12">
        <v>2.0289855072463767E-2</v>
      </c>
      <c r="BX366" s="12"/>
      <c r="BY366" s="12"/>
      <c r="BZ366" s="12"/>
      <c r="CA366" s="12">
        <v>21042.81</v>
      </c>
      <c r="CB366" s="13"/>
      <c r="CC366" s="13"/>
      <c r="CD366" s="13"/>
      <c r="CE366" s="12">
        <v>1315</v>
      </c>
      <c r="CF366" s="12">
        <v>99</v>
      </c>
      <c r="CG366" s="13">
        <v>120659</v>
      </c>
      <c r="CH366" s="13">
        <v>249</v>
      </c>
      <c r="CI366" s="13">
        <v>17304</v>
      </c>
    </row>
    <row r="367" spans="2:87" x14ac:dyDescent="0.2">
      <c r="B367" s="5">
        <v>46141</v>
      </c>
      <c r="C367" s="12">
        <v>25</v>
      </c>
      <c r="D367" s="12">
        <v>1.8</v>
      </c>
      <c r="E367" s="12">
        <v>134655.462</v>
      </c>
      <c r="F367" s="12">
        <v>0</v>
      </c>
      <c r="G367" s="12">
        <v>3366386.57</v>
      </c>
      <c r="H367" s="12">
        <v>0</v>
      </c>
      <c r="I367" s="12">
        <v>0</v>
      </c>
      <c r="J367" s="12">
        <v>3366386.57</v>
      </c>
      <c r="K367" s="12">
        <v>88000</v>
      </c>
      <c r="L367" s="12">
        <v>0</v>
      </c>
      <c r="M367" s="12">
        <v>639613.43000000005</v>
      </c>
      <c r="N367" s="12">
        <v>4094000</v>
      </c>
      <c r="O367" s="12">
        <v>0</v>
      </c>
      <c r="P367" s="12">
        <v>3366386.57</v>
      </c>
      <c r="Q367" s="12">
        <v>986494</v>
      </c>
      <c r="R367" s="12">
        <v>2379892.5699999998</v>
      </c>
      <c r="S367" s="12">
        <v>0</v>
      </c>
      <c r="T367" s="12">
        <v>44</v>
      </c>
      <c r="U367" s="12">
        <v>0</v>
      </c>
      <c r="V367" s="12">
        <v>0</v>
      </c>
      <c r="W367" s="35">
        <v>46144.261731053244</v>
      </c>
      <c r="X367" s="12">
        <v>16</v>
      </c>
      <c r="Y367" s="12">
        <v>19</v>
      </c>
      <c r="Z367" s="12">
        <v>2715126.06</v>
      </c>
      <c r="AA367" s="12">
        <v>142901.37100000001</v>
      </c>
      <c r="AB367" s="12">
        <v>754848</v>
      </c>
      <c r="AC367" s="12">
        <v>1960278.06</v>
      </c>
      <c r="AD367" s="12">
        <v>6</v>
      </c>
      <c r="AE367" s="12">
        <v>6</v>
      </c>
      <c r="AF367" s="12">
        <v>651260.51</v>
      </c>
      <c r="AG367" s="12">
        <v>108543.41800000001</v>
      </c>
      <c r="AH367" s="12">
        <v>231646</v>
      </c>
      <c r="AI367" s="12">
        <v>419614.51</v>
      </c>
      <c r="AJ367" s="12"/>
      <c r="AK367" s="12"/>
      <c r="AL367" s="12"/>
      <c r="AM367" s="12"/>
      <c r="AN367" s="12"/>
      <c r="AO367" s="12"/>
      <c r="AP367" s="12">
        <v>1718487.41</v>
      </c>
      <c r="AQ367" s="12">
        <v>9</v>
      </c>
      <c r="AR367" s="12">
        <v>190943.04500000001</v>
      </c>
      <c r="AS367" s="12">
        <v>540902</v>
      </c>
      <c r="AT367" s="12">
        <v>1647899.16</v>
      </c>
      <c r="AU367" s="12">
        <v>16</v>
      </c>
      <c r="AV367" s="12">
        <v>102993.697</v>
      </c>
      <c r="AW367" s="12">
        <v>445592</v>
      </c>
      <c r="AX367" s="12"/>
      <c r="AY367" s="12"/>
      <c r="AZ367" s="12"/>
      <c r="BA367" s="12"/>
      <c r="BB367" s="12"/>
      <c r="BC367" s="12"/>
      <c r="BD367" s="12"/>
      <c r="BE367" s="12"/>
      <c r="BF367" s="12">
        <v>6</v>
      </c>
      <c r="BG367" s="12">
        <v>0</v>
      </c>
      <c r="BH367" s="12">
        <v>0</v>
      </c>
      <c r="BI367" s="12">
        <v>144</v>
      </c>
      <c r="BJ367" s="12">
        <v>1</v>
      </c>
      <c r="BK367" s="12">
        <v>6.9444444444444441E-3</v>
      </c>
      <c r="BL367" s="12">
        <v>39</v>
      </c>
      <c r="BM367" s="12">
        <v>2</v>
      </c>
      <c r="BN367" s="12">
        <v>5.128205128205128E-2</v>
      </c>
      <c r="BO367" s="12"/>
      <c r="BP367" s="12"/>
      <c r="BQ367" s="12"/>
      <c r="BR367" s="12">
        <v>139</v>
      </c>
      <c r="BS367" s="12">
        <v>5</v>
      </c>
      <c r="BT367" s="12">
        <v>3.5971223021582732E-2</v>
      </c>
      <c r="BU367" s="12">
        <v>328</v>
      </c>
      <c r="BV367" s="12">
        <v>8</v>
      </c>
      <c r="BW367" s="12">
        <v>2.4390243902439025E-2</v>
      </c>
      <c r="BX367" s="12"/>
      <c r="BY367" s="12"/>
      <c r="BZ367" s="12"/>
      <c r="CA367" s="12">
        <v>15887.18</v>
      </c>
      <c r="CB367" s="13"/>
      <c r="CC367" s="13"/>
      <c r="CD367" s="13"/>
      <c r="CE367" s="12">
        <v>1111</v>
      </c>
      <c r="CF367" s="12">
        <v>72</v>
      </c>
      <c r="CG367" s="13">
        <v>113319</v>
      </c>
      <c r="CH367" s="13">
        <v>245</v>
      </c>
      <c r="CI367" s="13">
        <v>17150</v>
      </c>
    </row>
    <row r="368" spans="2:87" x14ac:dyDescent="0.2">
      <c r="B368" s="5">
        <v>46142</v>
      </c>
      <c r="C368" s="12">
        <v>41</v>
      </c>
      <c r="D368" s="12">
        <v>2.5</v>
      </c>
      <c r="E368" s="12">
        <v>162392.318</v>
      </c>
      <c r="F368" s="12">
        <v>-2</v>
      </c>
      <c r="G368" s="12">
        <v>6742118.6600000001</v>
      </c>
      <c r="H368" s="12">
        <v>0</v>
      </c>
      <c r="I368" s="12">
        <v>-94117.64</v>
      </c>
      <c r="J368" s="12">
        <v>6648001.0199999996</v>
      </c>
      <c r="K368" s="12">
        <v>52000</v>
      </c>
      <c r="L368" s="12">
        <v>0</v>
      </c>
      <c r="M368" s="12">
        <v>1244499.98</v>
      </c>
      <c r="N368" s="12">
        <v>7944501</v>
      </c>
      <c r="O368" s="12">
        <v>390757.3</v>
      </c>
      <c r="P368" s="12">
        <v>6257243.7199999997</v>
      </c>
      <c r="Q368" s="12">
        <v>1725692</v>
      </c>
      <c r="R368" s="12">
        <v>4531551.72</v>
      </c>
      <c r="S368" s="12">
        <v>0</v>
      </c>
      <c r="T368" s="12">
        <v>101</v>
      </c>
      <c r="U368" s="12">
        <v>0</v>
      </c>
      <c r="V368" s="12">
        <v>0</v>
      </c>
      <c r="W368" s="35">
        <v>46144.261731053244</v>
      </c>
      <c r="X368" s="12">
        <v>16</v>
      </c>
      <c r="Y368" s="12">
        <v>26</v>
      </c>
      <c r="Z368" s="12">
        <v>4895899.18</v>
      </c>
      <c r="AA368" s="12">
        <v>188303.81400000001</v>
      </c>
      <c r="AB368" s="12">
        <v>1273159</v>
      </c>
      <c r="AC368" s="12">
        <v>3303412.45</v>
      </c>
      <c r="AD368" s="12">
        <v>14</v>
      </c>
      <c r="AE368" s="12">
        <v>14</v>
      </c>
      <c r="AF368" s="12">
        <v>1630253.1</v>
      </c>
      <c r="AG368" s="12">
        <v>117166.93700000001</v>
      </c>
      <c r="AH368" s="12">
        <v>424417</v>
      </c>
      <c r="AI368" s="12">
        <v>1134406.53</v>
      </c>
      <c r="AJ368" s="12">
        <v>1</v>
      </c>
      <c r="AK368" s="12">
        <v>1</v>
      </c>
      <c r="AL368" s="12">
        <v>121848.74</v>
      </c>
      <c r="AM368" s="12">
        <v>121848.74</v>
      </c>
      <c r="AN368" s="12">
        <v>28116</v>
      </c>
      <c r="AO368" s="12">
        <v>93732.74</v>
      </c>
      <c r="AP368" s="12">
        <v>575631.25</v>
      </c>
      <c r="AQ368" s="12">
        <v>4</v>
      </c>
      <c r="AR368" s="12">
        <v>143907.81200000001</v>
      </c>
      <c r="AS368" s="12">
        <v>185163</v>
      </c>
      <c r="AT368" s="12">
        <v>2282453.77</v>
      </c>
      <c r="AU368" s="12">
        <v>15</v>
      </c>
      <c r="AV368" s="12">
        <v>152163.584</v>
      </c>
      <c r="AW368" s="12">
        <v>666652</v>
      </c>
      <c r="AX368" s="12"/>
      <c r="AY368" s="12"/>
      <c r="AZ368" s="12"/>
      <c r="BA368" s="12"/>
      <c r="BB368" s="12"/>
      <c r="BC368" s="12"/>
      <c r="BD368" s="12"/>
      <c r="BE368" s="12"/>
      <c r="BF368" s="12">
        <v>14</v>
      </c>
      <c r="BG368" s="12">
        <v>0</v>
      </c>
      <c r="BH368" s="12">
        <v>0</v>
      </c>
      <c r="BI368" s="12">
        <v>172</v>
      </c>
      <c r="BJ368" s="12">
        <v>1</v>
      </c>
      <c r="BK368" s="12">
        <v>5.8139534883720929E-3</v>
      </c>
      <c r="BL368" s="12">
        <v>42</v>
      </c>
      <c r="BM368" s="12">
        <v>0</v>
      </c>
      <c r="BN368" s="12">
        <v>0</v>
      </c>
      <c r="BO368" s="12"/>
      <c r="BP368" s="12"/>
      <c r="BQ368" s="12"/>
      <c r="BR368" s="12">
        <v>80</v>
      </c>
      <c r="BS368" s="12">
        <v>1</v>
      </c>
      <c r="BT368" s="12">
        <v>1.2500000000000001E-2</v>
      </c>
      <c r="BU368" s="12">
        <v>308</v>
      </c>
      <c r="BV368" s="12">
        <v>2</v>
      </c>
      <c r="BW368" s="12">
        <v>6.4935064935064939E-3</v>
      </c>
      <c r="BX368" s="12"/>
      <c r="BY368" s="12"/>
      <c r="BZ368" s="12"/>
      <c r="CA368" s="12">
        <v>25869.95</v>
      </c>
      <c r="CB368" s="13"/>
      <c r="CC368" s="13"/>
      <c r="CD368" s="13"/>
      <c r="CE368" s="12">
        <v>1374</v>
      </c>
      <c r="CF368" s="12">
        <v>107</v>
      </c>
      <c r="CG368" s="13">
        <v>128435</v>
      </c>
      <c r="CH368" s="13">
        <v>237</v>
      </c>
      <c r="CI368" s="13">
        <v>19510</v>
      </c>
    </row>
    <row r="369" spans="2:87" x14ac:dyDescent="0.2">
      <c r="B369" s="5">
        <v>46143</v>
      </c>
      <c r="C369" s="12">
        <v>80</v>
      </c>
      <c r="D369" s="12">
        <v>3.8</v>
      </c>
      <c r="E369" s="12">
        <v>129213.446</v>
      </c>
      <c r="F369" s="12">
        <v>-10</v>
      </c>
      <c r="G369" s="12">
        <v>10587764.779999999</v>
      </c>
      <c r="H369" s="12">
        <v>-28000</v>
      </c>
      <c r="I369" s="12">
        <v>-218487.38</v>
      </c>
      <c r="J369" s="12">
        <v>10341277.4</v>
      </c>
      <c r="K369" s="12">
        <v>108000</v>
      </c>
      <c r="L369" s="12">
        <v>0</v>
      </c>
      <c r="M369" s="12">
        <v>1936722.6</v>
      </c>
      <c r="N369" s="12">
        <v>12386000</v>
      </c>
      <c r="O369" s="12">
        <v>0</v>
      </c>
      <c r="P369" s="12">
        <v>10341277.4</v>
      </c>
      <c r="Q369" s="12">
        <v>3818840</v>
      </c>
      <c r="R369" s="12">
        <v>6522437.4000000004</v>
      </c>
      <c r="S369" s="12">
        <v>0</v>
      </c>
      <c r="T369" s="12">
        <v>294</v>
      </c>
      <c r="U369" s="12">
        <v>0</v>
      </c>
      <c r="V369" s="12">
        <v>0</v>
      </c>
      <c r="W369" s="35">
        <v>46144.261731053244</v>
      </c>
      <c r="X369" s="12">
        <v>14</v>
      </c>
      <c r="Y369" s="12">
        <v>17</v>
      </c>
      <c r="Z369" s="12">
        <v>1584033.62</v>
      </c>
      <c r="AA369" s="12">
        <v>96490.361000000004</v>
      </c>
      <c r="AB369" s="12">
        <v>439227</v>
      </c>
      <c r="AC369" s="12">
        <v>1144806.6200000001</v>
      </c>
      <c r="AD369" s="12">
        <v>59</v>
      </c>
      <c r="AE369" s="12">
        <v>59</v>
      </c>
      <c r="AF369" s="12">
        <v>8639596.7200000007</v>
      </c>
      <c r="AG369" s="12">
        <v>145408.34700000001</v>
      </c>
      <c r="AH369" s="12">
        <v>3357801</v>
      </c>
      <c r="AI369" s="12">
        <v>5281795.72</v>
      </c>
      <c r="AJ369" s="12">
        <v>1</v>
      </c>
      <c r="AK369" s="12">
        <v>4</v>
      </c>
      <c r="AL369" s="12">
        <v>117647.06</v>
      </c>
      <c r="AM369" s="12">
        <v>29411.764999999999</v>
      </c>
      <c r="AN369" s="12">
        <v>21812</v>
      </c>
      <c r="AO369" s="12">
        <v>95835.06</v>
      </c>
      <c r="AP369" s="12">
        <v>1067226.8899999999</v>
      </c>
      <c r="AQ369" s="12">
        <v>6</v>
      </c>
      <c r="AR369" s="12">
        <v>162745.098</v>
      </c>
      <c r="AS369" s="12">
        <v>526359</v>
      </c>
      <c r="AT369" s="12">
        <v>4068168.08</v>
      </c>
      <c r="AU369" s="12">
        <v>15</v>
      </c>
      <c r="AV369" s="12">
        <v>271211.20500000002</v>
      </c>
      <c r="AW369" s="12">
        <v>2069223</v>
      </c>
      <c r="AX369" s="12"/>
      <c r="AY369" s="12"/>
      <c r="AZ369" s="12"/>
      <c r="BA369" s="12"/>
      <c r="BB369" s="12"/>
      <c r="BC369" s="12"/>
      <c r="BD369" s="12"/>
      <c r="BE369" s="12"/>
      <c r="BF369" s="12">
        <v>77</v>
      </c>
      <c r="BG369" s="12">
        <v>0</v>
      </c>
      <c r="BH369" s="12">
        <v>0</v>
      </c>
      <c r="BI369" s="12">
        <v>255</v>
      </c>
      <c r="BJ369" s="12">
        <v>2</v>
      </c>
      <c r="BK369" s="12">
        <v>7.8431372549019607E-3</v>
      </c>
      <c r="BL369" s="12">
        <v>31</v>
      </c>
      <c r="BM369" s="12">
        <v>1</v>
      </c>
      <c r="BN369" s="12">
        <v>3.2258064516129031E-2</v>
      </c>
      <c r="BO369" s="12">
        <v>1</v>
      </c>
      <c r="BP369" s="12">
        <v>0</v>
      </c>
      <c r="BQ369" s="12">
        <v>0</v>
      </c>
      <c r="BR369" s="12">
        <v>103</v>
      </c>
      <c r="BS369" s="12">
        <v>1</v>
      </c>
      <c r="BT369" s="12">
        <v>9.7087378640776691E-3</v>
      </c>
      <c r="BU369" s="12">
        <v>467</v>
      </c>
      <c r="BV369" s="12">
        <v>4</v>
      </c>
      <c r="BW369" s="12">
        <v>8.5653104925053538E-3</v>
      </c>
      <c r="BX369" s="12"/>
      <c r="BY369" s="12"/>
      <c r="BZ369" s="12"/>
      <c r="CA369" s="12">
        <v>21305.96</v>
      </c>
      <c r="CB369" s="13"/>
      <c r="CC369" s="13"/>
      <c r="CD369" s="13"/>
      <c r="CE369" s="12">
        <v>1355</v>
      </c>
      <c r="CF369" s="12">
        <v>135</v>
      </c>
      <c r="CG369" s="13">
        <v>119912</v>
      </c>
      <c r="CH369" s="13">
        <v>332</v>
      </c>
      <c r="CI369" s="13">
        <v>22173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A0AB-3379-4D96-82FF-D7021FECE4F5}">
  <sheetPr codeName="Sheet8"/>
  <dimension ref="B5:H2842"/>
  <sheetViews>
    <sheetView workbookViewId="0">
      <selection activeCell="B5" sqref="B5:G11396"/>
    </sheetView>
  </sheetViews>
  <sheetFormatPr defaultRowHeight="12" x14ac:dyDescent="0.2"/>
  <cols>
    <col min="2" max="2" width="10.83203125" bestFit="1" customWidth="1"/>
    <col min="3" max="3" width="21.1640625" bestFit="1" customWidth="1"/>
    <col min="4" max="4" width="81.33203125" bestFit="1" customWidth="1"/>
    <col min="5" max="5" width="27.6640625" bestFit="1" customWidth="1"/>
    <col min="6" max="6" width="18.1640625" bestFit="1" customWidth="1"/>
    <col min="7" max="7" width="11.6640625" bestFit="1" customWidth="1"/>
    <col min="8" max="8" width="14.33203125" bestFit="1" customWidth="1"/>
  </cols>
  <sheetData>
    <row r="5" spans="2:8" x14ac:dyDescent="0.2">
      <c r="B5" t="s">
        <v>42</v>
      </c>
      <c r="C5" t="s">
        <v>137</v>
      </c>
      <c r="D5" t="s">
        <v>138</v>
      </c>
      <c r="E5" t="s">
        <v>528</v>
      </c>
      <c r="F5" t="s">
        <v>139</v>
      </c>
      <c r="G5" t="s">
        <v>45</v>
      </c>
      <c r="H5" t="s">
        <v>1875</v>
      </c>
    </row>
    <row r="6" spans="2:8" x14ac:dyDescent="0.2">
      <c r="B6" s="32">
        <v>45967</v>
      </c>
      <c r="C6" t="s">
        <v>109</v>
      </c>
      <c r="D6" t="s">
        <v>142</v>
      </c>
      <c r="E6" s="13" t="s">
        <v>529</v>
      </c>
      <c r="F6" s="12">
        <v>15</v>
      </c>
      <c r="G6" s="12">
        <v>252100.84</v>
      </c>
      <c r="H6" s="35">
        <v>46147.398143344908</v>
      </c>
    </row>
    <row r="7" spans="2:8" x14ac:dyDescent="0.2">
      <c r="B7" s="32">
        <v>45967</v>
      </c>
      <c r="C7" t="s">
        <v>109</v>
      </c>
      <c r="D7" t="s">
        <v>249</v>
      </c>
      <c r="E7" s="13" t="s">
        <v>529</v>
      </c>
      <c r="F7" s="12">
        <v>2</v>
      </c>
      <c r="G7" s="12">
        <v>142857.15</v>
      </c>
      <c r="H7" s="35">
        <v>46147.398143344908</v>
      </c>
    </row>
    <row r="8" spans="2:8" x14ac:dyDescent="0.2">
      <c r="B8" s="32">
        <v>45967</v>
      </c>
      <c r="C8" t="s">
        <v>109</v>
      </c>
      <c r="D8" t="s">
        <v>1583</v>
      </c>
      <c r="E8" s="13" t="s">
        <v>529</v>
      </c>
      <c r="F8" s="12">
        <v>3</v>
      </c>
      <c r="G8" s="12">
        <v>138655.46</v>
      </c>
      <c r="H8" s="35">
        <v>46147.398143344908</v>
      </c>
    </row>
    <row r="9" spans="2:8" x14ac:dyDescent="0.2">
      <c r="B9" s="32">
        <v>45968</v>
      </c>
      <c r="C9" t="s">
        <v>140</v>
      </c>
      <c r="D9" t="s">
        <v>1567</v>
      </c>
      <c r="E9" s="13" t="s">
        <v>530</v>
      </c>
      <c r="F9" s="12">
        <v>2</v>
      </c>
      <c r="G9" s="12">
        <v>75630.25</v>
      </c>
      <c r="H9" s="35">
        <v>46147.398143344908</v>
      </c>
    </row>
    <row r="10" spans="2:8" x14ac:dyDescent="0.2">
      <c r="B10" s="32">
        <v>45968</v>
      </c>
      <c r="C10" t="s">
        <v>109</v>
      </c>
      <c r="D10" t="s">
        <v>525</v>
      </c>
      <c r="E10" s="13" t="s">
        <v>530</v>
      </c>
      <c r="F10" s="12">
        <v>2</v>
      </c>
      <c r="G10" s="12">
        <v>142857.15</v>
      </c>
      <c r="H10" s="35">
        <v>46147.398143344908</v>
      </c>
    </row>
    <row r="11" spans="2:8" x14ac:dyDescent="0.2">
      <c r="B11" s="32">
        <v>45968</v>
      </c>
      <c r="C11" t="s">
        <v>109</v>
      </c>
      <c r="D11" t="s">
        <v>142</v>
      </c>
      <c r="E11" s="13" t="s">
        <v>529</v>
      </c>
      <c r="F11" s="12">
        <v>3</v>
      </c>
      <c r="G11" s="12">
        <v>139495.79999999999</v>
      </c>
      <c r="H11" s="35">
        <v>46147.398143344908</v>
      </c>
    </row>
    <row r="12" spans="2:8" x14ac:dyDescent="0.2">
      <c r="B12" s="32">
        <v>45968</v>
      </c>
      <c r="C12" t="s">
        <v>109</v>
      </c>
      <c r="D12" t="s">
        <v>363</v>
      </c>
      <c r="E12" s="13" t="s">
        <v>529</v>
      </c>
      <c r="F12" s="12">
        <v>2</v>
      </c>
      <c r="G12" s="12">
        <v>117647.06</v>
      </c>
      <c r="H12" s="35">
        <v>46147.398143344908</v>
      </c>
    </row>
    <row r="13" spans="2:8" x14ac:dyDescent="0.2">
      <c r="B13" s="32">
        <v>45968</v>
      </c>
      <c r="C13" t="s">
        <v>109</v>
      </c>
      <c r="D13" t="s">
        <v>142</v>
      </c>
      <c r="E13" s="13" t="s">
        <v>530</v>
      </c>
      <c r="F13" s="12">
        <v>6</v>
      </c>
      <c r="G13" s="12">
        <v>113865.54</v>
      </c>
      <c r="H13" s="35">
        <v>46147.398143344908</v>
      </c>
    </row>
    <row r="14" spans="2:8" x14ac:dyDescent="0.2">
      <c r="B14" s="32">
        <v>45968</v>
      </c>
      <c r="C14" t="s">
        <v>109</v>
      </c>
      <c r="D14" t="s">
        <v>403</v>
      </c>
      <c r="E14" s="13" t="s">
        <v>529</v>
      </c>
      <c r="F14" s="12">
        <v>2</v>
      </c>
      <c r="G14" s="12">
        <v>58823.519999999997</v>
      </c>
      <c r="H14" s="35">
        <v>46147.398143344908</v>
      </c>
    </row>
    <row r="15" spans="2:8" x14ac:dyDescent="0.2">
      <c r="B15" s="32">
        <v>45968</v>
      </c>
      <c r="C15" t="s">
        <v>109</v>
      </c>
      <c r="D15" t="s">
        <v>143</v>
      </c>
      <c r="E15" s="13" t="s">
        <v>530</v>
      </c>
      <c r="F15" s="12">
        <v>2</v>
      </c>
      <c r="G15" s="12">
        <v>45378.15</v>
      </c>
      <c r="H15" s="35">
        <v>46147.398143344908</v>
      </c>
    </row>
    <row r="16" spans="2:8" x14ac:dyDescent="0.2">
      <c r="B16" s="32">
        <v>45969</v>
      </c>
      <c r="C16" t="s">
        <v>140</v>
      </c>
      <c r="D16" t="s">
        <v>1571</v>
      </c>
      <c r="E16" s="13" t="s">
        <v>530</v>
      </c>
      <c r="F16" s="12">
        <v>2</v>
      </c>
      <c r="G16" s="12">
        <v>117647.06</v>
      </c>
      <c r="H16" s="35">
        <v>46147.398143344908</v>
      </c>
    </row>
    <row r="17" spans="2:8" x14ac:dyDescent="0.2">
      <c r="B17" s="32">
        <v>45969</v>
      </c>
      <c r="C17" t="s">
        <v>109</v>
      </c>
      <c r="D17" t="s">
        <v>1585</v>
      </c>
      <c r="E17" s="13" t="s">
        <v>530</v>
      </c>
      <c r="F17" s="12">
        <v>13</v>
      </c>
      <c r="G17" s="12">
        <v>2089285.72</v>
      </c>
      <c r="H17" s="35">
        <v>46147.398143344908</v>
      </c>
    </row>
    <row r="18" spans="2:8" x14ac:dyDescent="0.2">
      <c r="B18" s="32">
        <v>45969</v>
      </c>
      <c r="C18" t="s">
        <v>109</v>
      </c>
      <c r="D18" t="s">
        <v>1536</v>
      </c>
      <c r="E18" s="13" t="s">
        <v>530</v>
      </c>
      <c r="F18" s="12">
        <v>12</v>
      </c>
      <c r="G18" s="12">
        <v>942857.14</v>
      </c>
      <c r="H18" s="35">
        <v>46147.398143344908</v>
      </c>
    </row>
    <row r="19" spans="2:8" x14ac:dyDescent="0.2">
      <c r="B19" s="32">
        <v>45969</v>
      </c>
      <c r="C19" t="s">
        <v>109</v>
      </c>
      <c r="D19" t="s">
        <v>412</v>
      </c>
      <c r="E19" s="13" t="s">
        <v>530</v>
      </c>
      <c r="F19" s="12">
        <v>6</v>
      </c>
      <c r="G19" s="12">
        <v>921428.57</v>
      </c>
      <c r="H19" s="35">
        <v>46147.398143344908</v>
      </c>
    </row>
    <row r="20" spans="2:8" x14ac:dyDescent="0.2">
      <c r="B20" s="32">
        <v>45969</v>
      </c>
      <c r="C20" t="s">
        <v>109</v>
      </c>
      <c r="D20" t="s">
        <v>354</v>
      </c>
      <c r="E20" s="13" t="s">
        <v>529</v>
      </c>
      <c r="F20" s="12">
        <v>2</v>
      </c>
      <c r="G20" s="12">
        <v>159663.85999999999</v>
      </c>
      <c r="H20" s="35">
        <v>46147.398143344908</v>
      </c>
    </row>
    <row r="21" spans="2:8" x14ac:dyDescent="0.2">
      <c r="B21" s="32">
        <v>45969</v>
      </c>
      <c r="C21" t="s">
        <v>109</v>
      </c>
      <c r="D21" t="s">
        <v>142</v>
      </c>
      <c r="E21" s="13" t="s">
        <v>529</v>
      </c>
      <c r="F21" s="12">
        <v>6</v>
      </c>
      <c r="G21" s="12">
        <v>82352.94</v>
      </c>
      <c r="H21" s="35">
        <v>46147.398143344908</v>
      </c>
    </row>
    <row r="22" spans="2:8" x14ac:dyDescent="0.2">
      <c r="B22" s="32">
        <v>45969</v>
      </c>
      <c r="C22" t="s">
        <v>109</v>
      </c>
      <c r="D22" t="s">
        <v>326</v>
      </c>
      <c r="E22" s="13" t="s">
        <v>529</v>
      </c>
      <c r="F22" s="12">
        <v>2</v>
      </c>
      <c r="G22" s="12">
        <v>75630.25</v>
      </c>
      <c r="H22" s="35">
        <v>46147.398143344908</v>
      </c>
    </row>
    <row r="23" spans="2:8" x14ac:dyDescent="0.2">
      <c r="B23" s="32">
        <v>45969</v>
      </c>
      <c r="C23" t="s">
        <v>109</v>
      </c>
      <c r="D23" t="s">
        <v>180</v>
      </c>
      <c r="E23" s="13" t="s">
        <v>529</v>
      </c>
      <c r="F23" s="12">
        <v>2</v>
      </c>
      <c r="G23" s="12">
        <v>50420.17</v>
      </c>
      <c r="H23" s="35">
        <v>46147.398143344908</v>
      </c>
    </row>
    <row r="24" spans="2:8" x14ac:dyDescent="0.2">
      <c r="B24" s="32">
        <v>45969</v>
      </c>
      <c r="C24" t="s">
        <v>109</v>
      </c>
      <c r="D24" t="s">
        <v>566</v>
      </c>
      <c r="E24" s="13"/>
      <c r="F24" s="12">
        <v>7</v>
      </c>
      <c r="G24" s="12">
        <v>0</v>
      </c>
      <c r="H24" s="35">
        <v>46147.398143344908</v>
      </c>
    </row>
    <row r="25" spans="2:8" x14ac:dyDescent="0.2">
      <c r="B25" s="32">
        <v>45970</v>
      </c>
      <c r="C25" t="s">
        <v>140</v>
      </c>
      <c r="D25" t="s">
        <v>390</v>
      </c>
      <c r="E25" s="13" t="s">
        <v>530</v>
      </c>
      <c r="F25" s="12">
        <v>4</v>
      </c>
      <c r="G25" s="12">
        <v>0</v>
      </c>
      <c r="H25" s="35">
        <v>46147.398143344908</v>
      </c>
    </row>
    <row r="26" spans="2:8" x14ac:dyDescent="0.2">
      <c r="B26" s="32">
        <v>45970</v>
      </c>
      <c r="C26" t="s">
        <v>140</v>
      </c>
      <c r="D26" t="s">
        <v>519</v>
      </c>
      <c r="E26" s="13" t="s">
        <v>530</v>
      </c>
      <c r="F26" s="12">
        <v>2</v>
      </c>
      <c r="G26" s="12">
        <v>0</v>
      </c>
      <c r="H26" s="35">
        <v>46147.398143344908</v>
      </c>
    </row>
    <row r="27" spans="2:8" x14ac:dyDescent="0.2">
      <c r="B27" s="32">
        <v>45970</v>
      </c>
      <c r="C27" t="s">
        <v>140</v>
      </c>
      <c r="D27" t="s">
        <v>182</v>
      </c>
      <c r="E27" s="13" t="s">
        <v>530</v>
      </c>
      <c r="F27" s="12">
        <v>2</v>
      </c>
      <c r="G27" s="12">
        <v>0</v>
      </c>
      <c r="H27" s="35">
        <v>46147.398143344908</v>
      </c>
    </row>
    <row r="28" spans="2:8" x14ac:dyDescent="0.2">
      <c r="B28" s="32">
        <v>45970</v>
      </c>
      <c r="C28" t="s">
        <v>109</v>
      </c>
      <c r="D28" t="s">
        <v>519</v>
      </c>
      <c r="E28" s="13" t="s">
        <v>529</v>
      </c>
      <c r="F28" s="12">
        <v>2</v>
      </c>
      <c r="G28" s="12">
        <v>407142.86</v>
      </c>
      <c r="H28" s="35">
        <v>46147.398143344908</v>
      </c>
    </row>
    <row r="29" spans="2:8" x14ac:dyDescent="0.2">
      <c r="B29" s="32">
        <v>45970</v>
      </c>
      <c r="C29" t="s">
        <v>109</v>
      </c>
      <c r="D29" t="s">
        <v>182</v>
      </c>
      <c r="E29" s="13" t="s">
        <v>529</v>
      </c>
      <c r="F29" s="12">
        <v>2</v>
      </c>
      <c r="G29" s="12">
        <v>201680.67</v>
      </c>
      <c r="H29" s="35">
        <v>46147.398143344908</v>
      </c>
    </row>
    <row r="30" spans="2:8" x14ac:dyDescent="0.2">
      <c r="B30" s="32">
        <v>45970</v>
      </c>
      <c r="C30" t="s">
        <v>109</v>
      </c>
      <c r="D30" t="s">
        <v>390</v>
      </c>
      <c r="E30" s="13" t="s">
        <v>529</v>
      </c>
      <c r="F30" s="12">
        <v>2</v>
      </c>
      <c r="G30" s="12">
        <v>135714.29</v>
      </c>
      <c r="H30" s="35">
        <v>46147.398143344908</v>
      </c>
    </row>
    <row r="31" spans="2:8" x14ac:dyDescent="0.2">
      <c r="B31" s="32">
        <v>45970</v>
      </c>
      <c r="C31" t="s">
        <v>109</v>
      </c>
      <c r="D31" t="s">
        <v>142</v>
      </c>
      <c r="E31" s="13" t="s">
        <v>530</v>
      </c>
      <c r="F31" s="12">
        <v>6</v>
      </c>
      <c r="G31" s="12">
        <v>100420.17</v>
      </c>
      <c r="H31" s="35">
        <v>46147.398143344908</v>
      </c>
    </row>
    <row r="32" spans="2:8" x14ac:dyDescent="0.2">
      <c r="B32" s="32">
        <v>45971</v>
      </c>
      <c r="C32" t="s">
        <v>108</v>
      </c>
      <c r="D32" t="s">
        <v>167</v>
      </c>
      <c r="E32" s="13" t="s">
        <v>529</v>
      </c>
      <c r="F32" s="12">
        <v>6</v>
      </c>
      <c r="G32" s="12">
        <v>552100.84</v>
      </c>
      <c r="H32" s="35">
        <v>46147.398143344908</v>
      </c>
    </row>
    <row r="33" spans="2:8" x14ac:dyDescent="0.2">
      <c r="B33" s="32">
        <v>45971</v>
      </c>
      <c r="C33" t="s">
        <v>140</v>
      </c>
      <c r="D33" t="s">
        <v>342</v>
      </c>
      <c r="E33" s="13" t="s">
        <v>529</v>
      </c>
      <c r="F33" s="12">
        <v>2</v>
      </c>
      <c r="G33" s="12">
        <v>103781.51</v>
      </c>
      <c r="H33" s="35">
        <v>46147.398143344908</v>
      </c>
    </row>
    <row r="34" spans="2:8" x14ac:dyDescent="0.2">
      <c r="B34" s="32">
        <v>45971</v>
      </c>
      <c r="C34" t="s">
        <v>140</v>
      </c>
      <c r="D34" t="s">
        <v>1563</v>
      </c>
      <c r="E34" s="13" t="s">
        <v>529</v>
      </c>
      <c r="F34" s="12">
        <v>2</v>
      </c>
      <c r="G34" s="12">
        <v>103781.51</v>
      </c>
      <c r="H34" s="35">
        <v>46147.398143344908</v>
      </c>
    </row>
    <row r="35" spans="2:8" x14ac:dyDescent="0.2">
      <c r="B35" s="32">
        <v>45971</v>
      </c>
      <c r="C35" t="s">
        <v>109</v>
      </c>
      <c r="D35" t="s">
        <v>1556</v>
      </c>
      <c r="E35" s="13" t="s">
        <v>530</v>
      </c>
      <c r="F35" s="12">
        <v>6</v>
      </c>
      <c r="G35" s="12">
        <v>1134453.78</v>
      </c>
      <c r="H35" s="35">
        <v>46147.398143344908</v>
      </c>
    </row>
    <row r="36" spans="2:8" x14ac:dyDescent="0.2">
      <c r="B36" s="32">
        <v>45971</v>
      </c>
      <c r="C36" t="s">
        <v>109</v>
      </c>
      <c r="D36" t="s">
        <v>1554</v>
      </c>
      <c r="E36" s="13" t="s">
        <v>530</v>
      </c>
      <c r="F36" s="12">
        <v>8</v>
      </c>
      <c r="G36" s="12">
        <v>605042.01</v>
      </c>
      <c r="H36" s="35">
        <v>46147.398143344908</v>
      </c>
    </row>
    <row r="37" spans="2:8" x14ac:dyDescent="0.2">
      <c r="B37" s="32">
        <v>45971</v>
      </c>
      <c r="C37" t="s">
        <v>109</v>
      </c>
      <c r="D37" t="s">
        <v>1586</v>
      </c>
      <c r="E37" s="13" t="s">
        <v>529</v>
      </c>
      <c r="F37" s="12">
        <v>2</v>
      </c>
      <c r="G37" s="12">
        <v>285714.28999999998</v>
      </c>
      <c r="H37" s="35">
        <v>46147.398143344908</v>
      </c>
    </row>
    <row r="38" spans="2:8" x14ac:dyDescent="0.2">
      <c r="B38" s="32">
        <v>45971</v>
      </c>
      <c r="C38" t="s">
        <v>109</v>
      </c>
      <c r="D38" t="s">
        <v>518</v>
      </c>
      <c r="E38" s="13" t="s">
        <v>530</v>
      </c>
      <c r="F38" s="12">
        <v>3</v>
      </c>
      <c r="G38" s="12">
        <v>243697.48</v>
      </c>
      <c r="H38" s="35">
        <v>46147.398143344908</v>
      </c>
    </row>
    <row r="39" spans="2:8" x14ac:dyDescent="0.2">
      <c r="B39" s="32">
        <v>45971</v>
      </c>
      <c r="C39" t="s">
        <v>109</v>
      </c>
      <c r="D39" t="s">
        <v>390</v>
      </c>
      <c r="E39" s="13" t="s">
        <v>530</v>
      </c>
      <c r="F39" s="12">
        <v>3</v>
      </c>
      <c r="G39" s="12">
        <v>203571.43</v>
      </c>
      <c r="H39" s="35">
        <v>46147.398143344908</v>
      </c>
    </row>
    <row r="40" spans="2:8" x14ac:dyDescent="0.2">
      <c r="B40" s="32">
        <v>45971</v>
      </c>
      <c r="C40" t="s">
        <v>109</v>
      </c>
      <c r="D40" t="s">
        <v>158</v>
      </c>
      <c r="E40" s="13" t="s">
        <v>529</v>
      </c>
      <c r="F40" s="12">
        <v>3</v>
      </c>
      <c r="G40" s="12">
        <v>138655.46</v>
      </c>
      <c r="H40" s="35">
        <v>46147.398143344908</v>
      </c>
    </row>
    <row r="41" spans="2:8" x14ac:dyDescent="0.2">
      <c r="B41" s="32">
        <v>45971</v>
      </c>
      <c r="C41" t="s">
        <v>109</v>
      </c>
      <c r="D41" t="s">
        <v>143</v>
      </c>
      <c r="E41" s="13" t="s">
        <v>530</v>
      </c>
      <c r="F41" s="12">
        <v>2</v>
      </c>
      <c r="G41" s="12">
        <v>45378.16</v>
      </c>
      <c r="H41" s="35">
        <v>46147.398143344908</v>
      </c>
    </row>
    <row r="42" spans="2:8" x14ac:dyDescent="0.2">
      <c r="B42" s="32">
        <v>45971</v>
      </c>
      <c r="C42" t="s">
        <v>109</v>
      </c>
      <c r="D42" t="s">
        <v>142</v>
      </c>
      <c r="E42" s="13" t="s">
        <v>529</v>
      </c>
      <c r="F42" s="12">
        <v>2</v>
      </c>
      <c r="G42" s="12">
        <v>16806.72</v>
      </c>
      <c r="H42" s="35">
        <v>46147.398143344908</v>
      </c>
    </row>
    <row r="43" spans="2:8" x14ac:dyDescent="0.2">
      <c r="B43" s="32">
        <v>45971</v>
      </c>
      <c r="C43" t="s">
        <v>109</v>
      </c>
      <c r="D43" t="s">
        <v>1518</v>
      </c>
      <c r="E43" s="13" t="s">
        <v>530</v>
      </c>
      <c r="F43" s="12">
        <v>2</v>
      </c>
      <c r="G43" s="12">
        <v>15126.06</v>
      </c>
      <c r="H43" s="35">
        <v>46147.398143344908</v>
      </c>
    </row>
    <row r="44" spans="2:8" x14ac:dyDescent="0.2">
      <c r="B44" s="32">
        <v>45972</v>
      </c>
      <c r="C44" t="s">
        <v>140</v>
      </c>
      <c r="D44" t="s">
        <v>290</v>
      </c>
      <c r="E44" s="13" t="s">
        <v>529</v>
      </c>
      <c r="F44" s="12">
        <v>11</v>
      </c>
      <c r="G44" s="12">
        <v>510714.29</v>
      </c>
      <c r="H44" s="35">
        <v>46147.398143344908</v>
      </c>
    </row>
    <row r="45" spans="2:8" x14ac:dyDescent="0.2">
      <c r="B45" s="32">
        <v>45972</v>
      </c>
      <c r="C45" t="s">
        <v>140</v>
      </c>
      <c r="D45" t="s">
        <v>1542</v>
      </c>
      <c r="E45" s="13" t="s">
        <v>530</v>
      </c>
      <c r="F45" s="12">
        <v>2</v>
      </c>
      <c r="G45" s="12">
        <v>428571.43</v>
      </c>
      <c r="H45" s="35">
        <v>46147.398143344908</v>
      </c>
    </row>
    <row r="46" spans="2:8" x14ac:dyDescent="0.2">
      <c r="B46" s="32">
        <v>45972</v>
      </c>
      <c r="C46" t="s">
        <v>140</v>
      </c>
      <c r="D46" t="s">
        <v>281</v>
      </c>
      <c r="E46" s="13" t="s">
        <v>529</v>
      </c>
      <c r="F46" s="12">
        <v>8</v>
      </c>
      <c r="G46" s="12">
        <v>371428.57</v>
      </c>
      <c r="H46" s="35">
        <v>46147.398143344908</v>
      </c>
    </row>
    <row r="47" spans="2:8" x14ac:dyDescent="0.2">
      <c r="B47" s="32">
        <v>45972</v>
      </c>
      <c r="C47" t="s">
        <v>140</v>
      </c>
      <c r="D47" t="s">
        <v>241</v>
      </c>
      <c r="E47" s="13" t="s">
        <v>529</v>
      </c>
      <c r="F47" s="12">
        <v>8</v>
      </c>
      <c r="G47" s="12">
        <v>371428.56</v>
      </c>
      <c r="H47" s="35">
        <v>46147.398143344908</v>
      </c>
    </row>
    <row r="48" spans="2:8" x14ac:dyDescent="0.2">
      <c r="B48" s="32">
        <v>45972</v>
      </c>
      <c r="C48" t="s">
        <v>140</v>
      </c>
      <c r="D48" t="s">
        <v>374</v>
      </c>
      <c r="E48" s="13" t="s">
        <v>529</v>
      </c>
      <c r="F48" s="12">
        <v>7</v>
      </c>
      <c r="G48" s="12">
        <v>325000</v>
      </c>
      <c r="H48" s="35">
        <v>46147.398143344908</v>
      </c>
    </row>
    <row r="49" spans="2:8" x14ac:dyDescent="0.2">
      <c r="B49" s="32">
        <v>45972</v>
      </c>
      <c r="C49" t="s">
        <v>140</v>
      </c>
      <c r="D49" t="s">
        <v>388</v>
      </c>
      <c r="E49" s="13" t="s">
        <v>529</v>
      </c>
      <c r="F49" s="12">
        <v>5</v>
      </c>
      <c r="G49" s="12">
        <v>232142.86</v>
      </c>
      <c r="H49" s="35">
        <v>46147.398143344908</v>
      </c>
    </row>
    <row r="50" spans="2:8" x14ac:dyDescent="0.2">
      <c r="B50" s="32">
        <v>45972</v>
      </c>
      <c r="C50" t="s">
        <v>140</v>
      </c>
      <c r="D50" t="s">
        <v>240</v>
      </c>
      <c r="E50" s="13" t="s">
        <v>530</v>
      </c>
      <c r="F50" s="12">
        <v>2</v>
      </c>
      <c r="G50" s="12">
        <v>221428.57</v>
      </c>
      <c r="H50" s="35">
        <v>46147.398143344908</v>
      </c>
    </row>
    <row r="51" spans="2:8" x14ac:dyDescent="0.2">
      <c r="B51" s="32">
        <v>45972</v>
      </c>
      <c r="C51" t="s">
        <v>140</v>
      </c>
      <c r="D51" t="s">
        <v>226</v>
      </c>
      <c r="E51" s="13" t="s">
        <v>529</v>
      </c>
      <c r="F51" s="12">
        <v>4</v>
      </c>
      <c r="G51" s="12">
        <v>185714.29</v>
      </c>
      <c r="H51" s="35">
        <v>46147.398143344908</v>
      </c>
    </row>
    <row r="52" spans="2:8" x14ac:dyDescent="0.2">
      <c r="B52" s="32">
        <v>45972</v>
      </c>
      <c r="C52" t="s">
        <v>140</v>
      </c>
      <c r="D52" t="s">
        <v>480</v>
      </c>
      <c r="E52" s="13" t="s">
        <v>529</v>
      </c>
      <c r="F52" s="12">
        <v>2</v>
      </c>
      <c r="G52" s="12">
        <v>75630.25</v>
      </c>
      <c r="H52" s="35">
        <v>46147.398143344908</v>
      </c>
    </row>
    <row r="53" spans="2:8" x14ac:dyDescent="0.2">
      <c r="B53" s="32">
        <v>45972</v>
      </c>
      <c r="C53" t="s">
        <v>140</v>
      </c>
      <c r="D53" t="s">
        <v>227</v>
      </c>
      <c r="E53" s="13" t="s">
        <v>530</v>
      </c>
      <c r="F53" s="12">
        <v>2</v>
      </c>
      <c r="G53" s="12">
        <v>71428.570000000007</v>
      </c>
      <c r="H53" s="35">
        <v>46147.398143344908</v>
      </c>
    </row>
    <row r="54" spans="2:8" x14ac:dyDescent="0.2">
      <c r="B54" s="32">
        <v>45972</v>
      </c>
      <c r="C54" t="s">
        <v>140</v>
      </c>
      <c r="D54" t="s">
        <v>403</v>
      </c>
      <c r="E54" s="13" t="s">
        <v>530</v>
      </c>
      <c r="F54" s="12">
        <v>2</v>
      </c>
      <c r="G54" s="12">
        <v>50000</v>
      </c>
      <c r="H54" s="35">
        <v>46147.398143344908</v>
      </c>
    </row>
    <row r="55" spans="2:8" x14ac:dyDescent="0.2">
      <c r="B55" s="32">
        <v>45972</v>
      </c>
      <c r="C55" t="s">
        <v>109</v>
      </c>
      <c r="D55" t="s">
        <v>439</v>
      </c>
      <c r="E55" s="13" t="s">
        <v>530</v>
      </c>
      <c r="F55" s="12">
        <v>3</v>
      </c>
      <c r="G55" s="12">
        <v>243697.48</v>
      </c>
      <c r="H55" s="35">
        <v>46147.398143344908</v>
      </c>
    </row>
    <row r="56" spans="2:8" x14ac:dyDescent="0.2">
      <c r="B56" s="32">
        <v>45972</v>
      </c>
      <c r="C56" t="s">
        <v>109</v>
      </c>
      <c r="D56" t="s">
        <v>154</v>
      </c>
      <c r="E56" s="13" t="s">
        <v>529</v>
      </c>
      <c r="F56" s="12">
        <v>4</v>
      </c>
      <c r="G56" s="12">
        <v>168067.23</v>
      </c>
      <c r="H56" s="35">
        <v>46147.398143344908</v>
      </c>
    </row>
    <row r="57" spans="2:8" x14ac:dyDescent="0.2">
      <c r="B57" s="32">
        <v>45972</v>
      </c>
      <c r="C57" t="s">
        <v>109</v>
      </c>
      <c r="D57" t="s">
        <v>472</v>
      </c>
      <c r="E57" s="13" t="s">
        <v>530</v>
      </c>
      <c r="F57" s="12">
        <v>2</v>
      </c>
      <c r="G57" s="12">
        <v>132000</v>
      </c>
      <c r="H57" s="35">
        <v>46147.398143344908</v>
      </c>
    </row>
    <row r="58" spans="2:8" x14ac:dyDescent="0.2">
      <c r="B58" s="32">
        <v>45972</v>
      </c>
      <c r="C58" t="s">
        <v>109</v>
      </c>
      <c r="D58" t="s">
        <v>370</v>
      </c>
      <c r="E58" s="13" t="s">
        <v>529</v>
      </c>
      <c r="F58" s="12">
        <v>3</v>
      </c>
      <c r="G58" s="12">
        <v>113445.38</v>
      </c>
      <c r="H58" s="35">
        <v>46147.398143344908</v>
      </c>
    </row>
    <row r="59" spans="2:8" x14ac:dyDescent="0.2">
      <c r="B59" s="32">
        <v>45972</v>
      </c>
      <c r="C59" t="s">
        <v>109</v>
      </c>
      <c r="D59" t="s">
        <v>1555</v>
      </c>
      <c r="E59" s="13" t="s">
        <v>529</v>
      </c>
      <c r="F59" s="12">
        <v>3</v>
      </c>
      <c r="G59" s="12">
        <v>113445.37</v>
      </c>
      <c r="H59" s="35">
        <v>46147.398143344908</v>
      </c>
    </row>
    <row r="60" spans="2:8" x14ac:dyDescent="0.2">
      <c r="B60" s="32">
        <v>45972</v>
      </c>
      <c r="C60" t="s">
        <v>109</v>
      </c>
      <c r="D60" t="s">
        <v>143</v>
      </c>
      <c r="E60" s="13" t="s">
        <v>530</v>
      </c>
      <c r="F60" s="12">
        <v>3</v>
      </c>
      <c r="G60" s="12">
        <v>68067.23</v>
      </c>
      <c r="H60" s="35">
        <v>46147.398143344908</v>
      </c>
    </row>
    <row r="61" spans="2:8" x14ac:dyDescent="0.2">
      <c r="B61" s="32">
        <v>45972</v>
      </c>
      <c r="C61" t="s">
        <v>109</v>
      </c>
      <c r="D61" t="s">
        <v>1543</v>
      </c>
      <c r="E61" s="13" t="s">
        <v>529</v>
      </c>
      <c r="F61" s="12">
        <v>3</v>
      </c>
      <c r="G61" s="12">
        <v>63025.21</v>
      </c>
      <c r="H61" s="35">
        <v>46147.398143344908</v>
      </c>
    </row>
    <row r="62" spans="2:8" x14ac:dyDescent="0.2">
      <c r="B62" s="32">
        <v>45972</v>
      </c>
      <c r="C62" t="s">
        <v>109</v>
      </c>
      <c r="D62" t="s">
        <v>180</v>
      </c>
      <c r="E62" s="13" t="s">
        <v>529</v>
      </c>
      <c r="F62" s="12">
        <v>2</v>
      </c>
      <c r="G62" s="12">
        <v>58823.53</v>
      </c>
      <c r="H62" s="35">
        <v>46147.398143344908</v>
      </c>
    </row>
    <row r="63" spans="2:8" x14ac:dyDescent="0.2">
      <c r="B63" s="32">
        <v>45972</v>
      </c>
      <c r="C63" t="s">
        <v>109</v>
      </c>
      <c r="D63" t="s">
        <v>180</v>
      </c>
      <c r="E63" s="13" t="s">
        <v>530</v>
      </c>
      <c r="F63" s="12">
        <v>2</v>
      </c>
      <c r="G63" s="12">
        <v>58823.53</v>
      </c>
      <c r="H63" s="35">
        <v>46147.398143344908</v>
      </c>
    </row>
    <row r="64" spans="2:8" x14ac:dyDescent="0.2">
      <c r="B64" s="32">
        <v>45972</v>
      </c>
      <c r="C64" t="s">
        <v>109</v>
      </c>
      <c r="D64" t="s">
        <v>142</v>
      </c>
      <c r="E64" s="13" t="s">
        <v>529</v>
      </c>
      <c r="F64" s="12">
        <v>2</v>
      </c>
      <c r="G64" s="12">
        <v>26890.75</v>
      </c>
      <c r="H64" s="35">
        <v>46147.398143344908</v>
      </c>
    </row>
    <row r="65" spans="2:8" x14ac:dyDescent="0.2">
      <c r="B65" s="32">
        <v>45973</v>
      </c>
      <c r="C65" t="s">
        <v>140</v>
      </c>
      <c r="D65" t="s">
        <v>148</v>
      </c>
      <c r="E65" s="13" t="s">
        <v>530</v>
      </c>
      <c r="F65" s="12">
        <v>2</v>
      </c>
      <c r="G65" s="12">
        <v>84033.61</v>
      </c>
      <c r="H65" s="35">
        <v>46147.398143344908</v>
      </c>
    </row>
    <row r="66" spans="2:8" x14ac:dyDescent="0.2">
      <c r="B66" s="32">
        <v>45973</v>
      </c>
      <c r="C66" t="s">
        <v>109</v>
      </c>
      <c r="D66" t="s">
        <v>463</v>
      </c>
      <c r="E66" s="13" t="s">
        <v>529</v>
      </c>
      <c r="F66" s="12">
        <v>5</v>
      </c>
      <c r="G66" s="12">
        <v>504201.68</v>
      </c>
      <c r="H66" s="35">
        <v>46147.398143344908</v>
      </c>
    </row>
    <row r="67" spans="2:8" x14ac:dyDescent="0.2">
      <c r="B67" s="32">
        <v>45973</v>
      </c>
      <c r="C67" t="s">
        <v>109</v>
      </c>
      <c r="D67" t="s">
        <v>610</v>
      </c>
      <c r="E67" s="13" t="s">
        <v>530</v>
      </c>
      <c r="F67" s="12">
        <v>2</v>
      </c>
      <c r="G67" s="12">
        <v>359243.69</v>
      </c>
      <c r="H67" s="35">
        <v>46147.398143344908</v>
      </c>
    </row>
    <row r="68" spans="2:8" x14ac:dyDescent="0.2">
      <c r="B68" s="32">
        <v>45973</v>
      </c>
      <c r="C68" t="s">
        <v>109</v>
      </c>
      <c r="D68" t="s">
        <v>514</v>
      </c>
      <c r="E68" s="13" t="s">
        <v>530</v>
      </c>
      <c r="F68" s="12">
        <v>2</v>
      </c>
      <c r="G68" s="12">
        <v>201680.67</v>
      </c>
      <c r="H68" s="35">
        <v>46147.398143344908</v>
      </c>
    </row>
    <row r="69" spans="2:8" x14ac:dyDescent="0.2">
      <c r="B69" s="32">
        <v>45973</v>
      </c>
      <c r="C69" t="s">
        <v>109</v>
      </c>
      <c r="D69" t="s">
        <v>1564</v>
      </c>
      <c r="E69" s="13" t="s">
        <v>530</v>
      </c>
      <c r="F69" s="12">
        <v>5</v>
      </c>
      <c r="G69" s="12">
        <v>189075.63</v>
      </c>
      <c r="H69" s="35">
        <v>46147.398143344908</v>
      </c>
    </row>
    <row r="70" spans="2:8" x14ac:dyDescent="0.2">
      <c r="B70" s="32">
        <v>45973</v>
      </c>
      <c r="C70" t="s">
        <v>109</v>
      </c>
      <c r="D70" t="s">
        <v>238</v>
      </c>
      <c r="E70" s="13" t="s">
        <v>530</v>
      </c>
      <c r="F70" s="12">
        <v>5</v>
      </c>
      <c r="G70" s="12">
        <v>189075.63</v>
      </c>
      <c r="H70" s="35">
        <v>46147.398143344908</v>
      </c>
    </row>
    <row r="71" spans="2:8" x14ac:dyDescent="0.2">
      <c r="B71" s="32">
        <v>45973</v>
      </c>
      <c r="C71" t="s">
        <v>109</v>
      </c>
      <c r="D71" t="s">
        <v>166</v>
      </c>
      <c r="E71" s="13" t="s">
        <v>530</v>
      </c>
      <c r="F71" s="12">
        <v>5</v>
      </c>
      <c r="G71" s="12">
        <v>189075.63</v>
      </c>
      <c r="H71" s="35">
        <v>46147.398143344908</v>
      </c>
    </row>
    <row r="72" spans="2:8" x14ac:dyDescent="0.2">
      <c r="B72" s="32">
        <v>45973</v>
      </c>
      <c r="C72" t="s">
        <v>109</v>
      </c>
      <c r="D72" t="s">
        <v>151</v>
      </c>
      <c r="E72" s="13" t="s">
        <v>530</v>
      </c>
      <c r="F72" s="12">
        <v>5</v>
      </c>
      <c r="G72" s="12">
        <v>189075.63</v>
      </c>
      <c r="H72" s="35">
        <v>46147.398143344908</v>
      </c>
    </row>
    <row r="73" spans="2:8" x14ac:dyDescent="0.2">
      <c r="B73" s="32">
        <v>45973</v>
      </c>
      <c r="C73" t="s">
        <v>109</v>
      </c>
      <c r="D73" t="s">
        <v>413</v>
      </c>
      <c r="E73" s="13" t="s">
        <v>530</v>
      </c>
      <c r="F73" s="12">
        <v>3</v>
      </c>
      <c r="G73" s="12">
        <v>176470.59</v>
      </c>
      <c r="H73" s="35">
        <v>46147.398143344908</v>
      </c>
    </row>
    <row r="74" spans="2:8" x14ac:dyDescent="0.2">
      <c r="B74" s="32">
        <v>45973</v>
      </c>
      <c r="C74" t="s">
        <v>109</v>
      </c>
      <c r="D74" t="s">
        <v>143</v>
      </c>
      <c r="E74" s="13" t="s">
        <v>529</v>
      </c>
      <c r="F74" s="12">
        <v>5</v>
      </c>
      <c r="G74" s="12">
        <v>113445.38</v>
      </c>
      <c r="H74" s="35">
        <v>46147.398143344908</v>
      </c>
    </row>
    <row r="75" spans="2:8" x14ac:dyDescent="0.2">
      <c r="B75" s="32">
        <v>45973</v>
      </c>
      <c r="C75" t="s">
        <v>109</v>
      </c>
      <c r="D75" t="s">
        <v>177</v>
      </c>
      <c r="E75" s="13" t="s">
        <v>530</v>
      </c>
      <c r="F75" s="12">
        <v>2</v>
      </c>
      <c r="G75" s="12">
        <v>92436.98</v>
      </c>
      <c r="H75" s="35">
        <v>46147.398143344908</v>
      </c>
    </row>
    <row r="76" spans="2:8" x14ac:dyDescent="0.2">
      <c r="B76" s="32">
        <v>45973</v>
      </c>
      <c r="C76" t="s">
        <v>109</v>
      </c>
      <c r="D76" t="s">
        <v>307</v>
      </c>
      <c r="E76" s="13" t="s">
        <v>530</v>
      </c>
      <c r="F76" s="12">
        <v>2</v>
      </c>
      <c r="G76" s="12">
        <v>84033.61</v>
      </c>
      <c r="H76" s="35">
        <v>46147.398143344908</v>
      </c>
    </row>
    <row r="77" spans="2:8" x14ac:dyDescent="0.2">
      <c r="B77" s="32">
        <v>45973</v>
      </c>
      <c r="C77" t="s">
        <v>109</v>
      </c>
      <c r="D77" t="s">
        <v>166</v>
      </c>
      <c r="E77" s="13" t="s">
        <v>529</v>
      </c>
      <c r="F77" s="12">
        <v>2</v>
      </c>
      <c r="G77" s="12">
        <v>84033.61</v>
      </c>
      <c r="H77" s="35">
        <v>46147.398143344908</v>
      </c>
    </row>
    <row r="78" spans="2:8" x14ac:dyDescent="0.2">
      <c r="B78" s="32">
        <v>45974</v>
      </c>
      <c r="C78" t="s">
        <v>140</v>
      </c>
      <c r="D78" t="s">
        <v>148</v>
      </c>
      <c r="E78" s="13" t="s">
        <v>529</v>
      </c>
      <c r="F78" s="12">
        <v>2</v>
      </c>
      <c r="G78" s="12">
        <v>84033.61</v>
      </c>
      <c r="H78" s="35">
        <v>46147.398143344908</v>
      </c>
    </row>
    <row r="79" spans="2:8" x14ac:dyDescent="0.2">
      <c r="B79" s="32">
        <v>45974</v>
      </c>
      <c r="C79" t="s">
        <v>1530</v>
      </c>
      <c r="D79" t="s">
        <v>346</v>
      </c>
      <c r="E79" s="13" t="s">
        <v>529</v>
      </c>
      <c r="F79" s="12">
        <v>2</v>
      </c>
      <c r="G79" s="12">
        <v>92436.97</v>
      </c>
      <c r="H79" s="35">
        <v>46147.398143344908</v>
      </c>
    </row>
    <row r="80" spans="2:8" x14ac:dyDescent="0.2">
      <c r="B80" s="32">
        <v>45974</v>
      </c>
      <c r="C80" t="s">
        <v>1530</v>
      </c>
      <c r="D80" t="s">
        <v>558</v>
      </c>
      <c r="E80" s="13" t="s">
        <v>529</v>
      </c>
      <c r="F80" s="12">
        <v>2</v>
      </c>
      <c r="G80" s="12">
        <v>75630.259999999995</v>
      </c>
      <c r="H80" s="35">
        <v>46147.398143344908</v>
      </c>
    </row>
    <row r="81" spans="2:8" x14ac:dyDescent="0.2">
      <c r="B81" s="32">
        <v>45974</v>
      </c>
      <c r="C81" t="s">
        <v>109</v>
      </c>
      <c r="D81" t="s">
        <v>1588</v>
      </c>
      <c r="E81" s="13" t="s">
        <v>530</v>
      </c>
      <c r="F81" s="12">
        <v>6</v>
      </c>
      <c r="G81" s="12">
        <v>504201.68</v>
      </c>
      <c r="H81" s="35">
        <v>46147.398143344908</v>
      </c>
    </row>
    <row r="82" spans="2:8" x14ac:dyDescent="0.2">
      <c r="B82" s="32">
        <v>45974</v>
      </c>
      <c r="C82" t="s">
        <v>109</v>
      </c>
      <c r="D82" t="s">
        <v>407</v>
      </c>
      <c r="E82" s="13" t="s">
        <v>530</v>
      </c>
      <c r="F82" s="12">
        <v>6</v>
      </c>
      <c r="G82" s="12">
        <v>453781.51</v>
      </c>
      <c r="H82" s="35">
        <v>46147.398143344908</v>
      </c>
    </row>
    <row r="83" spans="2:8" x14ac:dyDescent="0.2">
      <c r="B83" s="32">
        <v>45974</v>
      </c>
      <c r="C83" t="s">
        <v>109</v>
      </c>
      <c r="D83" t="s">
        <v>644</v>
      </c>
      <c r="E83" s="13" t="s">
        <v>529</v>
      </c>
      <c r="F83" s="12">
        <v>4</v>
      </c>
      <c r="G83" s="12">
        <v>223529.41</v>
      </c>
      <c r="H83" s="35">
        <v>46147.398143344908</v>
      </c>
    </row>
    <row r="84" spans="2:8" x14ac:dyDescent="0.2">
      <c r="B84" s="32">
        <v>45974</v>
      </c>
      <c r="C84" t="s">
        <v>109</v>
      </c>
      <c r="D84" t="s">
        <v>165</v>
      </c>
      <c r="E84" s="13" t="s">
        <v>530</v>
      </c>
      <c r="F84" s="12">
        <v>2</v>
      </c>
      <c r="G84" s="12">
        <v>201680.68</v>
      </c>
      <c r="H84" s="35">
        <v>46147.398143344908</v>
      </c>
    </row>
    <row r="85" spans="2:8" x14ac:dyDescent="0.2">
      <c r="B85" s="32">
        <v>45974</v>
      </c>
      <c r="C85" t="s">
        <v>109</v>
      </c>
      <c r="D85" t="s">
        <v>196</v>
      </c>
      <c r="E85" s="13" t="s">
        <v>529</v>
      </c>
      <c r="F85" s="12">
        <v>4</v>
      </c>
      <c r="G85" s="12">
        <v>184873.95</v>
      </c>
      <c r="H85" s="35">
        <v>46147.398143344908</v>
      </c>
    </row>
    <row r="86" spans="2:8" x14ac:dyDescent="0.2">
      <c r="B86" s="32">
        <v>45974</v>
      </c>
      <c r="C86" t="s">
        <v>109</v>
      </c>
      <c r="D86" t="s">
        <v>179</v>
      </c>
      <c r="E86" s="13" t="s">
        <v>530</v>
      </c>
      <c r="F86" s="12">
        <v>2</v>
      </c>
      <c r="G86" s="12">
        <v>168067.23</v>
      </c>
      <c r="H86" s="35">
        <v>46147.398143344908</v>
      </c>
    </row>
    <row r="87" spans="2:8" x14ac:dyDescent="0.2">
      <c r="B87" s="32">
        <v>45974</v>
      </c>
      <c r="C87" t="s">
        <v>109</v>
      </c>
      <c r="D87" t="s">
        <v>316</v>
      </c>
      <c r="E87" s="13" t="s">
        <v>529</v>
      </c>
      <c r="F87" s="12">
        <v>3</v>
      </c>
      <c r="G87" s="12">
        <v>167647.06</v>
      </c>
      <c r="H87" s="35">
        <v>46147.398143344908</v>
      </c>
    </row>
    <row r="88" spans="2:8" x14ac:dyDescent="0.2">
      <c r="B88" s="32">
        <v>45974</v>
      </c>
      <c r="C88" t="s">
        <v>109</v>
      </c>
      <c r="D88" t="s">
        <v>325</v>
      </c>
      <c r="E88" s="13" t="s">
        <v>529</v>
      </c>
      <c r="F88" s="12">
        <v>4</v>
      </c>
      <c r="G88" s="12">
        <v>120000</v>
      </c>
      <c r="H88" s="35">
        <v>46147.398143344908</v>
      </c>
    </row>
    <row r="89" spans="2:8" x14ac:dyDescent="0.2">
      <c r="B89" s="32">
        <v>45974</v>
      </c>
      <c r="C89" t="s">
        <v>109</v>
      </c>
      <c r="D89" t="s">
        <v>434</v>
      </c>
      <c r="E89" s="13" t="s">
        <v>529</v>
      </c>
      <c r="F89" s="12">
        <v>2</v>
      </c>
      <c r="G89" s="12">
        <v>111764.71</v>
      </c>
      <c r="H89" s="35">
        <v>46147.398143344908</v>
      </c>
    </row>
    <row r="90" spans="2:8" x14ac:dyDescent="0.2">
      <c r="B90" s="32">
        <v>45974</v>
      </c>
      <c r="C90" t="s">
        <v>109</v>
      </c>
      <c r="D90" t="s">
        <v>1549</v>
      </c>
      <c r="E90" s="13" t="s">
        <v>529</v>
      </c>
      <c r="F90" s="12">
        <v>2</v>
      </c>
      <c r="G90" s="12">
        <v>111764.71</v>
      </c>
      <c r="H90" s="35">
        <v>46147.398143344908</v>
      </c>
    </row>
    <row r="91" spans="2:8" x14ac:dyDescent="0.2">
      <c r="B91" s="32">
        <v>45974</v>
      </c>
      <c r="C91" t="s">
        <v>109</v>
      </c>
      <c r="D91" t="s">
        <v>170</v>
      </c>
      <c r="E91" s="13" t="s">
        <v>529</v>
      </c>
      <c r="F91" s="12">
        <v>2</v>
      </c>
      <c r="G91" s="12">
        <v>92436.97</v>
      </c>
      <c r="H91" s="35">
        <v>46147.398143344908</v>
      </c>
    </row>
    <row r="92" spans="2:8" x14ac:dyDescent="0.2">
      <c r="B92" s="32">
        <v>45974</v>
      </c>
      <c r="C92" t="s">
        <v>109</v>
      </c>
      <c r="D92" t="s">
        <v>258</v>
      </c>
      <c r="E92" s="13" t="s">
        <v>529</v>
      </c>
      <c r="F92" s="12">
        <v>2</v>
      </c>
      <c r="G92" s="12">
        <v>92436.97</v>
      </c>
      <c r="H92" s="35">
        <v>46147.398143344908</v>
      </c>
    </row>
    <row r="93" spans="2:8" x14ac:dyDescent="0.2">
      <c r="B93" s="32">
        <v>45975</v>
      </c>
      <c r="C93" t="s">
        <v>140</v>
      </c>
      <c r="D93" t="s">
        <v>343</v>
      </c>
      <c r="E93" s="13" t="s">
        <v>529</v>
      </c>
      <c r="F93" s="12">
        <v>2</v>
      </c>
      <c r="G93" s="12">
        <v>151260.5</v>
      </c>
      <c r="H93" s="35">
        <v>46147.398143344908</v>
      </c>
    </row>
    <row r="94" spans="2:8" x14ac:dyDescent="0.2">
      <c r="B94" s="32">
        <v>45975</v>
      </c>
      <c r="C94" t="s">
        <v>140</v>
      </c>
      <c r="D94" t="s">
        <v>500</v>
      </c>
      <c r="E94" s="13" t="s">
        <v>530</v>
      </c>
      <c r="F94" s="12">
        <v>2</v>
      </c>
      <c r="G94" s="12">
        <v>117647.06</v>
      </c>
      <c r="H94" s="35">
        <v>46147.398143344908</v>
      </c>
    </row>
    <row r="95" spans="2:8" x14ac:dyDescent="0.2">
      <c r="B95" s="32">
        <v>45975</v>
      </c>
      <c r="C95" t="s">
        <v>109</v>
      </c>
      <c r="D95" t="s">
        <v>392</v>
      </c>
      <c r="E95" s="13" t="s">
        <v>530</v>
      </c>
      <c r="F95" s="12">
        <v>2</v>
      </c>
      <c r="G95" s="12">
        <v>272268.90000000002</v>
      </c>
      <c r="H95" s="35">
        <v>46147.398143344908</v>
      </c>
    </row>
    <row r="96" spans="2:8" x14ac:dyDescent="0.2">
      <c r="B96" s="32">
        <v>45975</v>
      </c>
      <c r="C96" t="s">
        <v>109</v>
      </c>
      <c r="D96" t="s">
        <v>152</v>
      </c>
      <c r="E96" s="13" t="s">
        <v>530</v>
      </c>
      <c r="F96" s="12">
        <v>2</v>
      </c>
      <c r="G96" s="12">
        <v>201680.67</v>
      </c>
      <c r="H96" s="35">
        <v>46147.398143344908</v>
      </c>
    </row>
    <row r="97" spans="2:8" x14ac:dyDescent="0.2">
      <c r="B97" s="32">
        <v>45975</v>
      </c>
      <c r="C97" t="s">
        <v>109</v>
      </c>
      <c r="D97" t="s">
        <v>180</v>
      </c>
      <c r="E97" s="13" t="s">
        <v>530</v>
      </c>
      <c r="F97" s="12">
        <v>3</v>
      </c>
      <c r="G97" s="12">
        <v>88235.29</v>
      </c>
      <c r="H97" s="35">
        <v>46147.398143344908</v>
      </c>
    </row>
    <row r="98" spans="2:8" x14ac:dyDescent="0.2">
      <c r="B98" s="32">
        <v>45975</v>
      </c>
      <c r="C98" t="s">
        <v>109</v>
      </c>
      <c r="D98" t="s">
        <v>154</v>
      </c>
      <c r="E98" s="13" t="s">
        <v>529</v>
      </c>
      <c r="F98" s="12">
        <v>2</v>
      </c>
      <c r="G98" s="12">
        <v>84033.61</v>
      </c>
      <c r="H98" s="35">
        <v>46147.398143344908</v>
      </c>
    </row>
    <row r="99" spans="2:8" x14ac:dyDescent="0.2">
      <c r="B99" s="32">
        <v>45975</v>
      </c>
      <c r="C99" t="s">
        <v>109</v>
      </c>
      <c r="D99" t="s">
        <v>142</v>
      </c>
      <c r="E99" s="13" t="s">
        <v>529</v>
      </c>
      <c r="F99" s="12">
        <v>2</v>
      </c>
      <c r="G99" s="12">
        <v>31932.77</v>
      </c>
      <c r="H99" s="35">
        <v>46147.398143344908</v>
      </c>
    </row>
    <row r="100" spans="2:8" x14ac:dyDescent="0.2">
      <c r="B100" s="32">
        <v>45975</v>
      </c>
      <c r="C100" t="s">
        <v>109</v>
      </c>
      <c r="D100" t="s">
        <v>1518</v>
      </c>
      <c r="E100" s="13" t="s">
        <v>530</v>
      </c>
      <c r="F100" s="12">
        <v>2</v>
      </c>
      <c r="G100" s="12">
        <v>15126.06</v>
      </c>
      <c r="H100" s="35">
        <v>46147.398143344908</v>
      </c>
    </row>
    <row r="101" spans="2:8" x14ac:dyDescent="0.2">
      <c r="B101" s="32">
        <v>45976</v>
      </c>
      <c r="C101" t="s">
        <v>140</v>
      </c>
      <c r="D101" t="s">
        <v>1589</v>
      </c>
      <c r="E101" s="13" t="s">
        <v>530</v>
      </c>
      <c r="F101" s="12">
        <v>4</v>
      </c>
      <c r="G101" s="12">
        <v>857142.86</v>
      </c>
      <c r="H101" s="35">
        <v>46147.398143344908</v>
      </c>
    </row>
    <row r="102" spans="2:8" x14ac:dyDescent="0.2">
      <c r="B102" s="32">
        <v>45976</v>
      </c>
      <c r="C102" t="s">
        <v>140</v>
      </c>
      <c r="D102" t="s">
        <v>1590</v>
      </c>
      <c r="E102" s="13" t="s">
        <v>530</v>
      </c>
      <c r="F102" s="12">
        <v>3</v>
      </c>
      <c r="G102" s="12">
        <v>642857.14</v>
      </c>
      <c r="H102" s="35">
        <v>46147.398143344908</v>
      </c>
    </row>
    <row r="103" spans="2:8" x14ac:dyDescent="0.2">
      <c r="B103" s="32">
        <v>45976</v>
      </c>
      <c r="C103" t="s">
        <v>140</v>
      </c>
      <c r="D103" t="s">
        <v>446</v>
      </c>
      <c r="E103" s="13" t="s">
        <v>530</v>
      </c>
      <c r="F103" s="12">
        <v>3</v>
      </c>
      <c r="G103" s="12">
        <v>642857.14</v>
      </c>
      <c r="H103" s="35">
        <v>46147.398143344908</v>
      </c>
    </row>
    <row r="104" spans="2:8" x14ac:dyDescent="0.2">
      <c r="B104" s="32">
        <v>45976</v>
      </c>
      <c r="C104" t="s">
        <v>140</v>
      </c>
      <c r="D104" t="s">
        <v>141</v>
      </c>
      <c r="E104" s="13" t="s">
        <v>530</v>
      </c>
      <c r="F104" s="12">
        <v>2</v>
      </c>
      <c r="G104" s="12">
        <v>428571.43</v>
      </c>
      <c r="H104" s="35">
        <v>46147.398143344908</v>
      </c>
    </row>
    <row r="105" spans="2:8" x14ac:dyDescent="0.2">
      <c r="B105" s="32">
        <v>45976</v>
      </c>
      <c r="C105" t="s">
        <v>140</v>
      </c>
      <c r="D105" t="s">
        <v>395</v>
      </c>
      <c r="E105" s="13" t="s">
        <v>529</v>
      </c>
      <c r="F105" s="12">
        <v>4</v>
      </c>
      <c r="G105" s="12">
        <v>420168.07</v>
      </c>
      <c r="H105" s="35">
        <v>46147.398143344908</v>
      </c>
    </row>
    <row r="106" spans="2:8" x14ac:dyDescent="0.2">
      <c r="B106" s="32">
        <v>45976</v>
      </c>
      <c r="C106" t="s">
        <v>109</v>
      </c>
      <c r="D106" t="s">
        <v>1560</v>
      </c>
      <c r="E106" s="13" t="s">
        <v>529</v>
      </c>
      <c r="F106" s="12">
        <v>3</v>
      </c>
      <c r="G106" s="12">
        <v>396428.57</v>
      </c>
      <c r="H106" s="35">
        <v>46147.398143344908</v>
      </c>
    </row>
    <row r="107" spans="2:8" x14ac:dyDescent="0.2">
      <c r="B107" s="32">
        <v>45976</v>
      </c>
      <c r="C107" t="s">
        <v>109</v>
      </c>
      <c r="D107" t="s">
        <v>1584</v>
      </c>
      <c r="E107" s="13" t="s">
        <v>529</v>
      </c>
      <c r="F107" s="12">
        <v>10</v>
      </c>
      <c r="G107" s="12">
        <v>392857.15</v>
      </c>
      <c r="H107" s="35">
        <v>46147.398143344908</v>
      </c>
    </row>
    <row r="108" spans="2:8" x14ac:dyDescent="0.2">
      <c r="B108" s="32">
        <v>45976</v>
      </c>
      <c r="C108" t="s">
        <v>109</v>
      </c>
      <c r="D108" t="s">
        <v>1581</v>
      </c>
      <c r="E108" s="13" t="s">
        <v>529</v>
      </c>
      <c r="F108" s="12">
        <v>10</v>
      </c>
      <c r="G108" s="12">
        <v>392857.14</v>
      </c>
      <c r="H108" s="35">
        <v>46147.398143344908</v>
      </c>
    </row>
    <row r="109" spans="2:8" x14ac:dyDescent="0.2">
      <c r="B109" s="32">
        <v>45976</v>
      </c>
      <c r="C109" t="s">
        <v>109</v>
      </c>
      <c r="D109" t="s">
        <v>142</v>
      </c>
      <c r="E109" s="13" t="s">
        <v>529</v>
      </c>
      <c r="F109" s="12">
        <v>4</v>
      </c>
      <c r="G109" s="12">
        <v>229411.77</v>
      </c>
      <c r="H109" s="35">
        <v>46147.398143344908</v>
      </c>
    </row>
    <row r="110" spans="2:8" x14ac:dyDescent="0.2">
      <c r="B110" s="32">
        <v>45976</v>
      </c>
      <c r="C110" t="s">
        <v>109</v>
      </c>
      <c r="D110" t="s">
        <v>306</v>
      </c>
      <c r="E110" s="13" t="s">
        <v>530</v>
      </c>
      <c r="F110" s="12">
        <v>2</v>
      </c>
      <c r="G110" s="12">
        <v>196638.66</v>
      </c>
      <c r="H110" s="35">
        <v>46147.398143344908</v>
      </c>
    </row>
    <row r="111" spans="2:8" x14ac:dyDescent="0.2">
      <c r="B111" s="32">
        <v>45976</v>
      </c>
      <c r="C111" t="s">
        <v>109</v>
      </c>
      <c r="D111" t="s">
        <v>152</v>
      </c>
      <c r="E111" s="13" t="s">
        <v>530</v>
      </c>
      <c r="F111" s="12">
        <v>2</v>
      </c>
      <c r="G111" s="12">
        <v>196638.64</v>
      </c>
      <c r="H111" s="35">
        <v>46147.398143344908</v>
      </c>
    </row>
    <row r="112" spans="2:8" x14ac:dyDescent="0.2">
      <c r="B112" s="32">
        <v>45976</v>
      </c>
      <c r="C112" t="s">
        <v>109</v>
      </c>
      <c r="D112" t="s">
        <v>1592</v>
      </c>
      <c r="E112" s="13" t="s">
        <v>529</v>
      </c>
      <c r="F112" s="12">
        <v>5</v>
      </c>
      <c r="G112" s="12">
        <v>196428.57</v>
      </c>
      <c r="H112" s="35">
        <v>46147.398143344908</v>
      </c>
    </row>
    <row r="113" spans="2:8" x14ac:dyDescent="0.2">
      <c r="B113" s="32">
        <v>45976</v>
      </c>
      <c r="C113" t="s">
        <v>109</v>
      </c>
      <c r="D113" t="s">
        <v>359</v>
      </c>
      <c r="E113" s="13" t="s">
        <v>530</v>
      </c>
      <c r="F113" s="12">
        <v>2</v>
      </c>
      <c r="G113" s="12">
        <v>151260.5</v>
      </c>
      <c r="H113" s="35">
        <v>46147.398143344908</v>
      </c>
    </row>
    <row r="114" spans="2:8" x14ac:dyDescent="0.2">
      <c r="B114" s="32">
        <v>45976</v>
      </c>
      <c r="C114" t="s">
        <v>109</v>
      </c>
      <c r="D114" t="s">
        <v>1574</v>
      </c>
      <c r="E114" s="13" t="s">
        <v>529</v>
      </c>
      <c r="F114" s="12">
        <v>2</v>
      </c>
      <c r="G114" s="12">
        <v>142857.14000000001</v>
      </c>
      <c r="H114" s="35">
        <v>46147.398143344908</v>
      </c>
    </row>
    <row r="115" spans="2:8" x14ac:dyDescent="0.2">
      <c r="B115" s="32">
        <v>45976</v>
      </c>
      <c r="C115" t="s">
        <v>109</v>
      </c>
      <c r="D115" t="s">
        <v>1591</v>
      </c>
      <c r="E115" s="13" t="s">
        <v>530</v>
      </c>
      <c r="F115" s="12">
        <v>3</v>
      </c>
      <c r="G115" s="12">
        <v>138655.46</v>
      </c>
      <c r="H115" s="35">
        <v>46147.398143344908</v>
      </c>
    </row>
    <row r="116" spans="2:8" x14ac:dyDescent="0.2">
      <c r="B116" s="32">
        <v>45976</v>
      </c>
      <c r="C116" t="s">
        <v>109</v>
      </c>
      <c r="D116" t="s">
        <v>142</v>
      </c>
      <c r="E116" s="13" t="s">
        <v>530</v>
      </c>
      <c r="F116" s="12">
        <v>2</v>
      </c>
      <c r="G116" s="12">
        <v>126050.42</v>
      </c>
      <c r="H116" s="35">
        <v>46147.398143344908</v>
      </c>
    </row>
    <row r="117" spans="2:8" x14ac:dyDescent="0.2">
      <c r="B117" s="32">
        <v>45976</v>
      </c>
      <c r="C117" t="s">
        <v>109</v>
      </c>
      <c r="D117" t="s">
        <v>210</v>
      </c>
      <c r="E117" s="13" t="s">
        <v>530</v>
      </c>
      <c r="F117" s="12">
        <v>2</v>
      </c>
      <c r="G117" s="12">
        <v>109243.7</v>
      </c>
      <c r="H117" s="35">
        <v>46147.398143344908</v>
      </c>
    </row>
    <row r="118" spans="2:8" x14ac:dyDescent="0.2">
      <c r="B118" s="32">
        <v>45976</v>
      </c>
      <c r="C118" t="s">
        <v>109</v>
      </c>
      <c r="D118" t="s">
        <v>227</v>
      </c>
      <c r="E118" s="13" t="s">
        <v>530</v>
      </c>
      <c r="F118" s="12">
        <v>2</v>
      </c>
      <c r="G118" s="12">
        <v>84033.61</v>
      </c>
      <c r="H118" s="35">
        <v>46147.398143344908</v>
      </c>
    </row>
    <row r="119" spans="2:8" x14ac:dyDescent="0.2">
      <c r="B119" s="32">
        <v>45976</v>
      </c>
      <c r="C119" t="s">
        <v>109</v>
      </c>
      <c r="D119" t="s">
        <v>148</v>
      </c>
      <c r="E119" s="13" t="s">
        <v>529</v>
      </c>
      <c r="F119" s="12">
        <v>2</v>
      </c>
      <c r="G119" s="12">
        <v>84033.600000000006</v>
      </c>
      <c r="H119" s="35">
        <v>46147.398143344908</v>
      </c>
    </row>
    <row r="120" spans="2:8" x14ac:dyDescent="0.2">
      <c r="B120" s="32">
        <v>45976</v>
      </c>
      <c r="C120" t="s">
        <v>109</v>
      </c>
      <c r="D120" t="s">
        <v>166</v>
      </c>
      <c r="E120" s="13" t="s">
        <v>530</v>
      </c>
      <c r="F120" s="12">
        <v>2</v>
      </c>
      <c r="G120" s="12">
        <v>81932.789999999994</v>
      </c>
      <c r="H120" s="35">
        <v>46147.398143344908</v>
      </c>
    </row>
    <row r="121" spans="2:8" x14ac:dyDescent="0.2">
      <c r="B121" s="32">
        <v>45976</v>
      </c>
      <c r="C121" t="s">
        <v>109</v>
      </c>
      <c r="D121" t="s">
        <v>339</v>
      </c>
      <c r="E121" s="13" t="s">
        <v>530</v>
      </c>
      <c r="F121" s="12">
        <v>2</v>
      </c>
      <c r="G121" s="12">
        <v>75630.25</v>
      </c>
      <c r="H121" s="35">
        <v>46147.398143344908</v>
      </c>
    </row>
    <row r="122" spans="2:8" x14ac:dyDescent="0.2">
      <c r="B122" s="32">
        <v>45976</v>
      </c>
      <c r="C122" t="s">
        <v>109</v>
      </c>
      <c r="D122" t="s">
        <v>143</v>
      </c>
      <c r="E122" s="13" t="s">
        <v>530</v>
      </c>
      <c r="F122" s="12">
        <v>2</v>
      </c>
      <c r="G122" s="12">
        <v>58823.519999999997</v>
      </c>
      <c r="H122" s="35">
        <v>46147.398143344908</v>
      </c>
    </row>
    <row r="123" spans="2:8" x14ac:dyDescent="0.2">
      <c r="B123" s="32">
        <v>45976</v>
      </c>
      <c r="C123" t="s">
        <v>109</v>
      </c>
      <c r="D123" t="s">
        <v>1543</v>
      </c>
      <c r="E123" s="13" t="s">
        <v>530</v>
      </c>
      <c r="F123" s="12">
        <v>2</v>
      </c>
      <c r="G123" s="12">
        <v>42016.81</v>
      </c>
      <c r="H123" s="35">
        <v>46147.398143344908</v>
      </c>
    </row>
    <row r="124" spans="2:8" x14ac:dyDescent="0.2">
      <c r="B124" s="32">
        <v>45976</v>
      </c>
      <c r="C124" t="s">
        <v>109</v>
      </c>
      <c r="D124" t="s">
        <v>450</v>
      </c>
      <c r="E124" s="13" t="s">
        <v>530</v>
      </c>
      <c r="F124" s="12">
        <v>2</v>
      </c>
      <c r="G124" s="12">
        <v>33613.449999999997</v>
      </c>
      <c r="H124" s="35">
        <v>46147.398143344908</v>
      </c>
    </row>
    <row r="125" spans="2:8" x14ac:dyDescent="0.2">
      <c r="B125" s="32">
        <v>45977</v>
      </c>
      <c r="C125" t="s">
        <v>109</v>
      </c>
      <c r="D125" t="s">
        <v>466</v>
      </c>
      <c r="E125" s="13" t="s">
        <v>529</v>
      </c>
      <c r="F125" s="12">
        <v>2</v>
      </c>
      <c r="G125" s="12">
        <v>285798.32</v>
      </c>
      <c r="H125" s="35">
        <v>46147.398143344908</v>
      </c>
    </row>
    <row r="126" spans="2:8" x14ac:dyDescent="0.2">
      <c r="B126" s="32">
        <v>45977</v>
      </c>
      <c r="C126" t="s">
        <v>109</v>
      </c>
      <c r="D126" t="s">
        <v>143</v>
      </c>
      <c r="E126" s="13" t="s">
        <v>529</v>
      </c>
      <c r="F126" s="12">
        <v>4</v>
      </c>
      <c r="G126" s="12">
        <v>117647.05</v>
      </c>
      <c r="H126" s="35">
        <v>46147.398143344908</v>
      </c>
    </row>
    <row r="127" spans="2:8" x14ac:dyDescent="0.2">
      <c r="B127" s="32">
        <v>45977</v>
      </c>
      <c r="C127" t="s">
        <v>109</v>
      </c>
      <c r="D127" t="s">
        <v>325</v>
      </c>
      <c r="E127" s="13" t="s">
        <v>529</v>
      </c>
      <c r="F127" s="12">
        <v>3</v>
      </c>
      <c r="G127" s="12">
        <v>90000</v>
      </c>
      <c r="H127" s="35">
        <v>46147.398143344908</v>
      </c>
    </row>
    <row r="128" spans="2:8" x14ac:dyDescent="0.2">
      <c r="B128" s="32">
        <v>45977</v>
      </c>
      <c r="C128" t="s">
        <v>109</v>
      </c>
      <c r="D128" t="s">
        <v>232</v>
      </c>
      <c r="E128" s="13" t="s">
        <v>529</v>
      </c>
      <c r="F128" s="12">
        <v>2</v>
      </c>
      <c r="G128" s="12">
        <v>73022.320000000007</v>
      </c>
      <c r="H128" s="35">
        <v>46147.398143344908</v>
      </c>
    </row>
    <row r="129" spans="2:8" x14ac:dyDescent="0.2">
      <c r="B129" s="32">
        <v>45978</v>
      </c>
      <c r="C129" t="s">
        <v>109</v>
      </c>
      <c r="D129" t="s">
        <v>143</v>
      </c>
      <c r="E129" s="13" t="s">
        <v>529</v>
      </c>
      <c r="F129" s="12">
        <v>4</v>
      </c>
      <c r="G129" s="12">
        <v>117647.05</v>
      </c>
      <c r="H129" s="35">
        <v>46147.398143344908</v>
      </c>
    </row>
    <row r="130" spans="2:8" x14ac:dyDescent="0.2">
      <c r="B130" s="32">
        <v>45978</v>
      </c>
      <c r="C130" t="s">
        <v>109</v>
      </c>
      <c r="D130" t="s">
        <v>1547</v>
      </c>
      <c r="E130" s="13" t="s">
        <v>529</v>
      </c>
      <c r="F130" s="12">
        <v>2</v>
      </c>
      <c r="G130" s="12">
        <v>109243.7</v>
      </c>
      <c r="H130" s="35">
        <v>46147.398143344908</v>
      </c>
    </row>
    <row r="131" spans="2:8" x14ac:dyDescent="0.2">
      <c r="B131" s="32">
        <v>45978</v>
      </c>
      <c r="C131" t="s">
        <v>109</v>
      </c>
      <c r="D131" t="s">
        <v>176</v>
      </c>
      <c r="E131" s="13" t="s">
        <v>529</v>
      </c>
      <c r="F131" s="12">
        <v>2</v>
      </c>
      <c r="G131" s="12">
        <v>109243.7</v>
      </c>
      <c r="H131" s="35">
        <v>46147.398143344908</v>
      </c>
    </row>
    <row r="132" spans="2:8" x14ac:dyDescent="0.2">
      <c r="B132" s="32">
        <v>45978</v>
      </c>
      <c r="C132" t="s">
        <v>109</v>
      </c>
      <c r="D132" t="s">
        <v>467</v>
      </c>
      <c r="E132" s="13" t="s">
        <v>529</v>
      </c>
      <c r="F132" s="12">
        <v>2</v>
      </c>
      <c r="G132" s="12">
        <v>109243.7</v>
      </c>
      <c r="H132" s="35">
        <v>46147.398143344908</v>
      </c>
    </row>
    <row r="133" spans="2:8" x14ac:dyDescent="0.2">
      <c r="B133" s="32">
        <v>45978</v>
      </c>
      <c r="C133" t="s">
        <v>109</v>
      </c>
      <c r="D133" t="s">
        <v>384</v>
      </c>
      <c r="E133" s="13" t="s">
        <v>529</v>
      </c>
      <c r="F133" s="12">
        <v>2</v>
      </c>
      <c r="G133" s="12">
        <v>109243.7</v>
      </c>
      <c r="H133" s="35">
        <v>46147.398143344908</v>
      </c>
    </row>
    <row r="134" spans="2:8" x14ac:dyDescent="0.2">
      <c r="B134" s="32">
        <v>45979</v>
      </c>
      <c r="C134" t="s">
        <v>140</v>
      </c>
      <c r="D134" t="s">
        <v>594</v>
      </c>
      <c r="E134" s="13" t="s">
        <v>529</v>
      </c>
      <c r="F134" s="12">
        <v>2</v>
      </c>
      <c r="G134" s="12">
        <v>151260.51</v>
      </c>
      <c r="H134" s="35">
        <v>46147.398143344908</v>
      </c>
    </row>
    <row r="135" spans="2:8" x14ac:dyDescent="0.2">
      <c r="B135" s="32">
        <v>45979</v>
      </c>
      <c r="C135" t="s">
        <v>140</v>
      </c>
      <c r="D135" t="s">
        <v>142</v>
      </c>
      <c r="E135" s="13" t="s">
        <v>530</v>
      </c>
      <c r="F135" s="12">
        <v>2</v>
      </c>
      <c r="G135" s="12">
        <v>100840.32000000001</v>
      </c>
      <c r="H135" s="35">
        <v>46147.398143344908</v>
      </c>
    </row>
    <row r="136" spans="2:8" x14ac:dyDescent="0.2">
      <c r="B136" s="32">
        <v>45979</v>
      </c>
      <c r="C136" t="s">
        <v>109</v>
      </c>
      <c r="D136" t="s">
        <v>1537</v>
      </c>
      <c r="E136" s="13" t="s">
        <v>529</v>
      </c>
      <c r="F136" s="12">
        <v>2</v>
      </c>
      <c r="G136" s="12">
        <v>136854.75</v>
      </c>
      <c r="H136" s="35">
        <v>46147.398143344908</v>
      </c>
    </row>
    <row r="137" spans="2:8" x14ac:dyDescent="0.2">
      <c r="B137" s="32">
        <v>45979</v>
      </c>
      <c r="C137" t="s">
        <v>109</v>
      </c>
      <c r="D137" t="s">
        <v>285</v>
      </c>
      <c r="E137" s="13" t="s">
        <v>529</v>
      </c>
      <c r="F137" s="12">
        <v>2</v>
      </c>
      <c r="G137" s="12">
        <v>117647.06</v>
      </c>
      <c r="H137" s="35">
        <v>46147.398143344908</v>
      </c>
    </row>
    <row r="138" spans="2:8" x14ac:dyDescent="0.2">
      <c r="B138" s="32">
        <v>45979</v>
      </c>
      <c r="C138" t="s">
        <v>109</v>
      </c>
      <c r="D138" t="s">
        <v>338</v>
      </c>
      <c r="E138" s="13" t="s">
        <v>529</v>
      </c>
      <c r="F138" s="12">
        <v>2</v>
      </c>
      <c r="G138" s="12">
        <v>117647.06</v>
      </c>
      <c r="H138" s="35">
        <v>46147.398143344908</v>
      </c>
    </row>
    <row r="139" spans="2:8" x14ac:dyDescent="0.2">
      <c r="B139" s="32">
        <v>45979</v>
      </c>
      <c r="C139" t="s">
        <v>109</v>
      </c>
      <c r="D139" t="s">
        <v>143</v>
      </c>
      <c r="E139" s="13" t="s">
        <v>529</v>
      </c>
      <c r="F139" s="12">
        <v>2</v>
      </c>
      <c r="G139" s="12">
        <v>54621.83</v>
      </c>
      <c r="H139" s="35">
        <v>46147.398143344908</v>
      </c>
    </row>
    <row r="140" spans="2:8" x14ac:dyDescent="0.2">
      <c r="B140" s="32">
        <v>45979</v>
      </c>
      <c r="C140" t="s">
        <v>109</v>
      </c>
      <c r="D140" t="s">
        <v>142</v>
      </c>
      <c r="E140" s="13" t="s">
        <v>529</v>
      </c>
      <c r="F140" s="12">
        <v>2</v>
      </c>
      <c r="G140" s="12">
        <v>36974.79</v>
      </c>
      <c r="H140" s="35">
        <v>46147.398143344908</v>
      </c>
    </row>
    <row r="141" spans="2:8" x14ac:dyDescent="0.2">
      <c r="B141" s="32">
        <v>45980</v>
      </c>
      <c r="C141" t="s">
        <v>140</v>
      </c>
      <c r="D141" t="s">
        <v>557</v>
      </c>
      <c r="E141" s="13" t="s">
        <v>529</v>
      </c>
      <c r="F141" s="12">
        <v>2</v>
      </c>
      <c r="G141" s="12">
        <v>117647.06</v>
      </c>
      <c r="H141" s="35">
        <v>46147.398143344908</v>
      </c>
    </row>
    <row r="142" spans="2:8" x14ac:dyDescent="0.2">
      <c r="B142" s="32">
        <v>45980</v>
      </c>
      <c r="C142" t="s">
        <v>140</v>
      </c>
      <c r="D142" t="s">
        <v>1596</v>
      </c>
      <c r="E142" s="13" t="s">
        <v>530</v>
      </c>
      <c r="F142" s="12">
        <v>2</v>
      </c>
      <c r="G142" s="12">
        <v>100000</v>
      </c>
      <c r="H142" s="35">
        <v>46147.398143344908</v>
      </c>
    </row>
    <row r="143" spans="2:8" x14ac:dyDescent="0.2">
      <c r="B143" s="32">
        <v>45980</v>
      </c>
      <c r="C143" t="s">
        <v>140</v>
      </c>
      <c r="D143" t="s">
        <v>393</v>
      </c>
      <c r="E143" s="13" t="s">
        <v>530</v>
      </c>
      <c r="F143" s="12">
        <v>2</v>
      </c>
      <c r="G143" s="12">
        <v>100000</v>
      </c>
      <c r="H143" s="35">
        <v>46147.398143344908</v>
      </c>
    </row>
    <row r="144" spans="2:8" x14ac:dyDescent="0.2">
      <c r="B144" s="32">
        <v>45980</v>
      </c>
      <c r="C144" t="s">
        <v>140</v>
      </c>
      <c r="D144" t="s">
        <v>476</v>
      </c>
      <c r="E144" s="13" t="s">
        <v>530</v>
      </c>
      <c r="F144" s="12">
        <v>2</v>
      </c>
      <c r="G144" s="12">
        <v>100000</v>
      </c>
      <c r="H144" s="35">
        <v>46147.398143344908</v>
      </c>
    </row>
    <row r="145" spans="2:8" x14ac:dyDescent="0.2">
      <c r="B145" s="32">
        <v>45980</v>
      </c>
      <c r="C145" t="s">
        <v>140</v>
      </c>
      <c r="D145" t="s">
        <v>437</v>
      </c>
      <c r="E145" s="13" t="s">
        <v>530</v>
      </c>
      <c r="F145" s="12">
        <v>2</v>
      </c>
      <c r="G145" s="12">
        <v>100000</v>
      </c>
      <c r="H145" s="35">
        <v>46147.398143344908</v>
      </c>
    </row>
    <row r="146" spans="2:8" x14ac:dyDescent="0.2">
      <c r="B146" s="32">
        <v>45980</v>
      </c>
      <c r="C146" t="s">
        <v>140</v>
      </c>
      <c r="D146" t="s">
        <v>1548</v>
      </c>
      <c r="E146" s="13" t="s">
        <v>530</v>
      </c>
      <c r="F146" s="12">
        <v>2</v>
      </c>
      <c r="G146" s="12">
        <v>100000</v>
      </c>
      <c r="H146" s="35">
        <v>46147.398143344908</v>
      </c>
    </row>
    <row r="147" spans="2:8" x14ac:dyDescent="0.2">
      <c r="B147" s="32">
        <v>45980</v>
      </c>
      <c r="C147" t="s">
        <v>140</v>
      </c>
      <c r="D147" t="s">
        <v>285</v>
      </c>
      <c r="E147" s="13" t="s">
        <v>530</v>
      </c>
      <c r="F147" s="12">
        <v>2</v>
      </c>
      <c r="G147" s="12">
        <v>100000</v>
      </c>
      <c r="H147" s="35">
        <v>46147.398143344908</v>
      </c>
    </row>
    <row r="148" spans="2:8" x14ac:dyDescent="0.2">
      <c r="B148" s="32">
        <v>45980</v>
      </c>
      <c r="C148" t="s">
        <v>140</v>
      </c>
      <c r="D148" t="s">
        <v>1595</v>
      </c>
      <c r="E148" s="13" t="s">
        <v>530</v>
      </c>
      <c r="F148" s="12">
        <v>2</v>
      </c>
      <c r="G148" s="12">
        <v>100000</v>
      </c>
      <c r="H148" s="35">
        <v>46147.398143344908</v>
      </c>
    </row>
    <row r="149" spans="2:8" x14ac:dyDescent="0.2">
      <c r="B149" s="32">
        <v>45980</v>
      </c>
      <c r="C149" t="s">
        <v>109</v>
      </c>
      <c r="D149" t="s">
        <v>489</v>
      </c>
      <c r="E149" s="13" t="s">
        <v>529</v>
      </c>
      <c r="F149" s="12">
        <v>2</v>
      </c>
      <c r="G149" s="12">
        <v>192857.14</v>
      </c>
      <c r="H149" s="35">
        <v>46147.398143344908</v>
      </c>
    </row>
    <row r="150" spans="2:8" x14ac:dyDescent="0.2">
      <c r="B150" s="32">
        <v>45980</v>
      </c>
      <c r="C150" t="s">
        <v>109</v>
      </c>
      <c r="D150" t="s">
        <v>407</v>
      </c>
      <c r="E150" s="13" t="s">
        <v>530</v>
      </c>
      <c r="F150" s="12">
        <v>2</v>
      </c>
      <c r="G150" s="12">
        <v>151260.5</v>
      </c>
      <c r="H150" s="35">
        <v>46147.398143344908</v>
      </c>
    </row>
    <row r="151" spans="2:8" x14ac:dyDescent="0.2">
      <c r="B151" s="32">
        <v>45980</v>
      </c>
      <c r="C151" t="s">
        <v>109</v>
      </c>
      <c r="D151" t="s">
        <v>1597</v>
      </c>
      <c r="E151" s="13" t="s">
        <v>530</v>
      </c>
      <c r="F151" s="12">
        <v>2</v>
      </c>
      <c r="G151" s="12">
        <v>75630.25</v>
      </c>
      <c r="H151" s="35">
        <v>46147.398143344908</v>
      </c>
    </row>
    <row r="152" spans="2:8" x14ac:dyDescent="0.2">
      <c r="B152" s="32">
        <v>45980</v>
      </c>
      <c r="C152" t="s">
        <v>109</v>
      </c>
      <c r="D152" t="s">
        <v>328</v>
      </c>
      <c r="E152" s="13" t="s">
        <v>529</v>
      </c>
      <c r="F152" s="12">
        <v>2</v>
      </c>
      <c r="G152" s="12">
        <v>75630.25</v>
      </c>
      <c r="H152" s="35">
        <v>46147.398143344908</v>
      </c>
    </row>
    <row r="153" spans="2:8" x14ac:dyDescent="0.2">
      <c r="B153" s="32">
        <v>45980</v>
      </c>
      <c r="C153" t="s">
        <v>109</v>
      </c>
      <c r="D153" t="s">
        <v>142</v>
      </c>
      <c r="E153" s="13" t="s">
        <v>529</v>
      </c>
      <c r="F153" s="12">
        <v>3</v>
      </c>
      <c r="G153" s="12">
        <v>55462.18</v>
      </c>
      <c r="H153" s="35">
        <v>46147.398143344908</v>
      </c>
    </row>
    <row r="154" spans="2:8" x14ac:dyDescent="0.2">
      <c r="B154" s="32">
        <v>45980</v>
      </c>
      <c r="C154" t="s">
        <v>109</v>
      </c>
      <c r="D154" t="s">
        <v>566</v>
      </c>
      <c r="E154" s="13" t="s">
        <v>530</v>
      </c>
      <c r="F154" s="12">
        <v>2</v>
      </c>
      <c r="G154" s="12">
        <v>0</v>
      </c>
      <c r="H154" s="35">
        <v>46147.398143344908</v>
      </c>
    </row>
    <row r="155" spans="2:8" x14ac:dyDescent="0.2">
      <c r="B155" s="32">
        <v>45981</v>
      </c>
      <c r="C155" t="s">
        <v>140</v>
      </c>
      <c r="D155" t="s">
        <v>1598</v>
      </c>
      <c r="E155" s="13" t="s">
        <v>530</v>
      </c>
      <c r="F155" s="12">
        <v>3</v>
      </c>
      <c r="G155" s="12">
        <v>239495.79</v>
      </c>
      <c r="H155" s="35">
        <v>46147.398143344908</v>
      </c>
    </row>
    <row r="156" spans="2:8" x14ac:dyDescent="0.2">
      <c r="B156" s="32">
        <v>45981</v>
      </c>
      <c r="C156" t="s">
        <v>140</v>
      </c>
      <c r="D156" t="s">
        <v>1596</v>
      </c>
      <c r="E156" s="13" t="s">
        <v>529</v>
      </c>
      <c r="F156" s="12">
        <v>3</v>
      </c>
      <c r="G156" s="12">
        <v>176470.59</v>
      </c>
      <c r="H156" s="35">
        <v>46147.398143344908</v>
      </c>
    </row>
    <row r="157" spans="2:8" x14ac:dyDescent="0.2">
      <c r="B157" s="32">
        <v>45981</v>
      </c>
      <c r="C157" t="s">
        <v>140</v>
      </c>
      <c r="D157" t="s">
        <v>1599</v>
      </c>
      <c r="E157" s="13" t="s">
        <v>529</v>
      </c>
      <c r="F157" s="12">
        <v>2</v>
      </c>
      <c r="G157" s="12">
        <v>159663.87</v>
      </c>
      <c r="H157" s="35">
        <v>46147.398143344908</v>
      </c>
    </row>
    <row r="158" spans="2:8" x14ac:dyDescent="0.2">
      <c r="B158" s="32">
        <v>45981</v>
      </c>
      <c r="C158" t="s">
        <v>140</v>
      </c>
      <c r="D158" t="s">
        <v>279</v>
      </c>
      <c r="E158" s="13" t="s">
        <v>530</v>
      </c>
      <c r="F158" s="12">
        <v>2</v>
      </c>
      <c r="G158" s="12">
        <v>117647.06</v>
      </c>
      <c r="H158" s="35">
        <v>46147.398143344908</v>
      </c>
    </row>
    <row r="159" spans="2:8" x14ac:dyDescent="0.2">
      <c r="B159" s="32">
        <v>45981</v>
      </c>
      <c r="C159" t="s">
        <v>140</v>
      </c>
      <c r="D159" t="s">
        <v>624</v>
      </c>
      <c r="E159" s="13" t="s">
        <v>529</v>
      </c>
      <c r="F159" s="12">
        <v>2</v>
      </c>
      <c r="G159" s="12">
        <v>117647.06</v>
      </c>
      <c r="H159" s="35">
        <v>46147.398143344908</v>
      </c>
    </row>
    <row r="160" spans="2:8" x14ac:dyDescent="0.2">
      <c r="B160" s="32">
        <v>45981</v>
      </c>
      <c r="C160" t="s">
        <v>140</v>
      </c>
      <c r="D160" t="s">
        <v>1535</v>
      </c>
      <c r="E160" s="13" t="s">
        <v>530</v>
      </c>
      <c r="F160" s="12">
        <v>5</v>
      </c>
      <c r="G160" s="12">
        <v>105042.02</v>
      </c>
      <c r="H160" s="35">
        <v>46147.398143344908</v>
      </c>
    </row>
    <row r="161" spans="2:8" x14ac:dyDescent="0.2">
      <c r="B161" s="32">
        <v>45981</v>
      </c>
      <c r="C161" t="s">
        <v>110</v>
      </c>
      <c r="D161" t="s">
        <v>196</v>
      </c>
      <c r="E161" s="13" t="s">
        <v>529</v>
      </c>
      <c r="F161" s="12">
        <v>5</v>
      </c>
      <c r="G161" s="12">
        <v>231092.44</v>
      </c>
      <c r="H161" s="35">
        <v>46147.398143344908</v>
      </c>
    </row>
    <row r="162" spans="2:8" x14ac:dyDescent="0.2">
      <c r="B162" s="32">
        <v>45981</v>
      </c>
      <c r="C162" t="s">
        <v>110</v>
      </c>
      <c r="D162" t="s">
        <v>170</v>
      </c>
      <c r="E162" s="13" t="s">
        <v>529</v>
      </c>
      <c r="F162" s="12">
        <v>5</v>
      </c>
      <c r="G162" s="12">
        <v>231092.44</v>
      </c>
      <c r="H162" s="35">
        <v>46147.398143344908</v>
      </c>
    </row>
    <row r="163" spans="2:8" x14ac:dyDescent="0.2">
      <c r="B163" s="32">
        <v>45981</v>
      </c>
      <c r="C163" t="s">
        <v>109</v>
      </c>
      <c r="D163" t="s">
        <v>618</v>
      </c>
      <c r="E163" s="13" t="s">
        <v>529</v>
      </c>
      <c r="F163" s="12">
        <v>4</v>
      </c>
      <c r="G163" s="12">
        <v>504201.67</v>
      </c>
      <c r="H163" s="35">
        <v>46147.398143344908</v>
      </c>
    </row>
    <row r="164" spans="2:8" x14ac:dyDescent="0.2">
      <c r="B164" s="32">
        <v>45981</v>
      </c>
      <c r="C164" t="s">
        <v>109</v>
      </c>
      <c r="D164" t="s">
        <v>489</v>
      </c>
      <c r="E164" s="13" t="s">
        <v>529</v>
      </c>
      <c r="F164" s="12">
        <v>3</v>
      </c>
      <c r="G164" s="12">
        <v>327731.09000000003</v>
      </c>
      <c r="H164" s="35">
        <v>46147.398143344908</v>
      </c>
    </row>
    <row r="165" spans="2:8" x14ac:dyDescent="0.2">
      <c r="B165" s="32">
        <v>45981</v>
      </c>
      <c r="C165" t="s">
        <v>109</v>
      </c>
      <c r="D165" t="s">
        <v>290</v>
      </c>
      <c r="E165" s="13" t="s">
        <v>529</v>
      </c>
      <c r="F165" s="12">
        <v>5</v>
      </c>
      <c r="G165" s="12">
        <v>294747.90999999997</v>
      </c>
      <c r="H165" s="35">
        <v>46147.398143344908</v>
      </c>
    </row>
    <row r="166" spans="2:8" x14ac:dyDescent="0.2">
      <c r="B166" s="32">
        <v>45981</v>
      </c>
      <c r="C166" t="s">
        <v>109</v>
      </c>
      <c r="D166" t="s">
        <v>281</v>
      </c>
      <c r="E166" s="13" t="s">
        <v>529</v>
      </c>
      <c r="F166" s="12">
        <v>6</v>
      </c>
      <c r="G166" s="12">
        <v>278571.43</v>
      </c>
      <c r="H166" s="35">
        <v>46147.398143344908</v>
      </c>
    </row>
    <row r="167" spans="2:8" x14ac:dyDescent="0.2">
      <c r="B167" s="32">
        <v>45981</v>
      </c>
      <c r="C167" t="s">
        <v>109</v>
      </c>
      <c r="D167" t="s">
        <v>166</v>
      </c>
      <c r="E167" s="13" t="s">
        <v>529</v>
      </c>
      <c r="F167" s="12">
        <v>6</v>
      </c>
      <c r="G167" s="12">
        <v>252100.84</v>
      </c>
      <c r="H167" s="35">
        <v>46147.398143344908</v>
      </c>
    </row>
    <row r="168" spans="2:8" x14ac:dyDescent="0.2">
      <c r="B168" s="32">
        <v>45981</v>
      </c>
      <c r="C168" t="s">
        <v>109</v>
      </c>
      <c r="D168" t="s">
        <v>337</v>
      </c>
      <c r="E168" s="13" t="s">
        <v>529</v>
      </c>
      <c r="F168" s="12">
        <v>2</v>
      </c>
      <c r="G168" s="12">
        <v>151260.5</v>
      </c>
      <c r="H168" s="35">
        <v>46147.398143344908</v>
      </c>
    </row>
    <row r="169" spans="2:8" x14ac:dyDescent="0.2">
      <c r="B169" s="32">
        <v>45981</v>
      </c>
      <c r="C169" t="s">
        <v>109</v>
      </c>
      <c r="D169" t="s">
        <v>195</v>
      </c>
      <c r="E169" s="13" t="s">
        <v>529</v>
      </c>
      <c r="F169" s="12">
        <v>3</v>
      </c>
      <c r="G169" s="12">
        <v>139285.71</v>
      </c>
      <c r="H169" s="35">
        <v>46147.398143344908</v>
      </c>
    </row>
    <row r="170" spans="2:8" x14ac:dyDescent="0.2">
      <c r="B170" s="32">
        <v>45981</v>
      </c>
      <c r="C170" t="s">
        <v>109</v>
      </c>
      <c r="D170" t="s">
        <v>226</v>
      </c>
      <c r="E170" s="13" t="s">
        <v>529</v>
      </c>
      <c r="F170" s="12">
        <v>2</v>
      </c>
      <c r="G170" s="12">
        <v>101050.43</v>
      </c>
      <c r="H170" s="35">
        <v>46147.398143344908</v>
      </c>
    </row>
    <row r="171" spans="2:8" x14ac:dyDescent="0.2">
      <c r="B171" s="32">
        <v>45981</v>
      </c>
      <c r="C171" t="s">
        <v>109</v>
      </c>
      <c r="D171" t="s">
        <v>521</v>
      </c>
      <c r="E171" s="13" t="s">
        <v>529</v>
      </c>
      <c r="F171" s="12">
        <v>2</v>
      </c>
      <c r="G171" s="12">
        <v>100840.33</v>
      </c>
      <c r="H171" s="35">
        <v>46147.398143344908</v>
      </c>
    </row>
    <row r="172" spans="2:8" x14ac:dyDescent="0.2">
      <c r="B172" s="32">
        <v>45981</v>
      </c>
      <c r="C172" t="s">
        <v>109</v>
      </c>
      <c r="D172" t="s">
        <v>575</v>
      </c>
      <c r="E172" s="13" t="s">
        <v>529</v>
      </c>
      <c r="F172" s="12">
        <v>2</v>
      </c>
      <c r="G172" s="12">
        <v>92857.14</v>
      </c>
      <c r="H172" s="35">
        <v>46147.398143344908</v>
      </c>
    </row>
    <row r="173" spans="2:8" x14ac:dyDescent="0.2">
      <c r="B173" s="32">
        <v>45981</v>
      </c>
      <c r="C173" t="s">
        <v>109</v>
      </c>
      <c r="D173" t="s">
        <v>293</v>
      </c>
      <c r="E173" s="13" t="s">
        <v>529</v>
      </c>
      <c r="F173" s="12">
        <v>2</v>
      </c>
      <c r="G173" s="12">
        <v>92857.14</v>
      </c>
      <c r="H173" s="35">
        <v>46147.398143344908</v>
      </c>
    </row>
    <row r="174" spans="2:8" x14ac:dyDescent="0.2">
      <c r="B174" s="32">
        <v>45981</v>
      </c>
      <c r="C174" t="s">
        <v>109</v>
      </c>
      <c r="D174" t="s">
        <v>142</v>
      </c>
      <c r="E174" s="13" t="s">
        <v>529</v>
      </c>
      <c r="F174" s="12">
        <v>4</v>
      </c>
      <c r="G174" s="12">
        <v>87394.95</v>
      </c>
      <c r="H174" s="35">
        <v>46147.398143344908</v>
      </c>
    </row>
    <row r="175" spans="2:8" x14ac:dyDescent="0.2">
      <c r="B175" s="32">
        <v>45981</v>
      </c>
      <c r="C175" t="s">
        <v>109</v>
      </c>
      <c r="D175" t="s">
        <v>1565</v>
      </c>
      <c r="E175" s="13" t="s">
        <v>529</v>
      </c>
      <c r="F175" s="12">
        <v>2</v>
      </c>
      <c r="G175" s="12">
        <v>84033.61</v>
      </c>
      <c r="H175" s="35">
        <v>46147.398143344908</v>
      </c>
    </row>
    <row r="176" spans="2:8" x14ac:dyDescent="0.2">
      <c r="B176" s="32">
        <v>45981</v>
      </c>
      <c r="C176" t="s">
        <v>109</v>
      </c>
      <c r="D176" t="s">
        <v>204</v>
      </c>
      <c r="E176" s="13" t="s">
        <v>530</v>
      </c>
      <c r="F176" s="12">
        <v>2</v>
      </c>
      <c r="G176" s="12">
        <v>75630.259999999995</v>
      </c>
      <c r="H176" s="35">
        <v>46147.398143344908</v>
      </c>
    </row>
    <row r="177" spans="2:8" x14ac:dyDescent="0.2">
      <c r="B177" s="32">
        <v>45981</v>
      </c>
      <c r="C177" t="s">
        <v>109</v>
      </c>
      <c r="D177" t="s">
        <v>458</v>
      </c>
      <c r="E177" s="13" t="s">
        <v>529</v>
      </c>
      <c r="F177" s="12">
        <v>2</v>
      </c>
      <c r="G177" s="12">
        <v>70000</v>
      </c>
      <c r="H177" s="35">
        <v>46147.398143344908</v>
      </c>
    </row>
    <row r="178" spans="2:8" x14ac:dyDescent="0.2">
      <c r="B178" s="32">
        <v>45981</v>
      </c>
      <c r="C178" t="s">
        <v>109</v>
      </c>
      <c r="D178" t="s">
        <v>143</v>
      </c>
      <c r="E178" s="13" t="s">
        <v>530</v>
      </c>
      <c r="F178" s="12">
        <v>2</v>
      </c>
      <c r="G178" s="12">
        <v>58823.53</v>
      </c>
      <c r="H178" s="35">
        <v>46147.398143344908</v>
      </c>
    </row>
    <row r="179" spans="2:8" x14ac:dyDescent="0.2">
      <c r="B179" s="32">
        <v>45981</v>
      </c>
      <c r="C179" t="s">
        <v>109</v>
      </c>
      <c r="D179" t="s">
        <v>1543</v>
      </c>
      <c r="E179" s="13" t="s">
        <v>529</v>
      </c>
      <c r="F179" s="12">
        <v>2</v>
      </c>
      <c r="G179" s="12">
        <v>42016.81</v>
      </c>
      <c r="H179" s="35">
        <v>46147.398143344908</v>
      </c>
    </row>
    <row r="180" spans="2:8" x14ac:dyDescent="0.2">
      <c r="B180" s="32">
        <v>45982</v>
      </c>
      <c r="C180" t="s">
        <v>109</v>
      </c>
      <c r="D180" t="s">
        <v>152</v>
      </c>
      <c r="E180" s="13" t="s">
        <v>529</v>
      </c>
      <c r="F180" s="12">
        <v>2</v>
      </c>
      <c r="G180" s="12">
        <v>181512.61</v>
      </c>
      <c r="H180" s="35">
        <v>46147.398143344908</v>
      </c>
    </row>
    <row r="181" spans="2:8" x14ac:dyDescent="0.2">
      <c r="B181" s="32">
        <v>45982</v>
      </c>
      <c r="C181" t="s">
        <v>109</v>
      </c>
      <c r="D181" t="s">
        <v>187</v>
      </c>
      <c r="E181" s="13" t="s">
        <v>529</v>
      </c>
      <c r="F181" s="12">
        <v>2</v>
      </c>
      <c r="G181" s="12">
        <v>128571.43</v>
      </c>
      <c r="H181" s="35">
        <v>46147.398143344908</v>
      </c>
    </row>
    <row r="182" spans="2:8" x14ac:dyDescent="0.2">
      <c r="B182" s="32">
        <v>45982</v>
      </c>
      <c r="C182" t="s">
        <v>109</v>
      </c>
      <c r="D182" t="s">
        <v>194</v>
      </c>
      <c r="E182" s="13" t="s">
        <v>530</v>
      </c>
      <c r="F182" s="12">
        <v>2</v>
      </c>
      <c r="G182" s="12">
        <v>84033.61</v>
      </c>
      <c r="H182" s="35">
        <v>46147.398143344908</v>
      </c>
    </row>
    <row r="183" spans="2:8" x14ac:dyDescent="0.2">
      <c r="B183" s="32">
        <v>45982</v>
      </c>
      <c r="C183" t="s">
        <v>109</v>
      </c>
      <c r="D183" t="s">
        <v>213</v>
      </c>
      <c r="E183" s="13" t="s">
        <v>529</v>
      </c>
      <c r="F183" s="12">
        <v>2</v>
      </c>
      <c r="G183" s="12">
        <v>83193.279999999999</v>
      </c>
      <c r="H183" s="35">
        <v>46147.398143344908</v>
      </c>
    </row>
    <row r="184" spans="2:8" x14ac:dyDescent="0.2">
      <c r="B184" s="32">
        <v>45983</v>
      </c>
      <c r="C184" t="s">
        <v>109</v>
      </c>
      <c r="D184" t="s">
        <v>143</v>
      </c>
      <c r="E184" s="13" t="s">
        <v>530</v>
      </c>
      <c r="F184" s="12">
        <v>9</v>
      </c>
      <c r="G184" s="12">
        <v>264705.88</v>
      </c>
      <c r="H184" s="35">
        <v>46147.398143344908</v>
      </c>
    </row>
    <row r="185" spans="2:8" x14ac:dyDescent="0.2">
      <c r="B185" s="32">
        <v>45983</v>
      </c>
      <c r="C185" t="s">
        <v>109</v>
      </c>
      <c r="D185" t="s">
        <v>328</v>
      </c>
      <c r="E185" s="13" t="s">
        <v>530</v>
      </c>
      <c r="F185" s="12">
        <v>4</v>
      </c>
      <c r="G185" s="12">
        <v>148424.37</v>
      </c>
      <c r="H185" s="35">
        <v>46147.398143344908</v>
      </c>
    </row>
    <row r="186" spans="2:8" x14ac:dyDescent="0.2">
      <c r="B186" s="32">
        <v>45983</v>
      </c>
      <c r="C186" t="s">
        <v>109</v>
      </c>
      <c r="D186" t="s">
        <v>144</v>
      </c>
      <c r="E186" s="13" t="s">
        <v>530</v>
      </c>
      <c r="F186" s="12">
        <v>3</v>
      </c>
      <c r="G186" s="12">
        <v>138655.46</v>
      </c>
      <c r="H186" s="35">
        <v>46147.398143344908</v>
      </c>
    </row>
    <row r="187" spans="2:8" x14ac:dyDescent="0.2">
      <c r="B187" s="32">
        <v>45983</v>
      </c>
      <c r="C187" t="s">
        <v>109</v>
      </c>
      <c r="D187" t="s">
        <v>448</v>
      </c>
      <c r="E187" s="13" t="s">
        <v>530</v>
      </c>
      <c r="F187" s="12">
        <v>2</v>
      </c>
      <c r="G187" s="12">
        <v>97058.82</v>
      </c>
      <c r="H187" s="35">
        <v>46147.398143344908</v>
      </c>
    </row>
    <row r="188" spans="2:8" x14ac:dyDescent="0.2">
      <c r="B188" s="32">
        <v>45983</v>
      </c>
      <c r="C188" t="s">
        <v>109</v>
      </c>
      <c r="D188" t="s">
        <v>202</v>
      </c>
      <c r="E188" s="13" t="s">
        <v>530</v>
      </c>
      <c r="F188" s="12">
        <v>2</v>
      </c>
      <c r="G188" s="12">
        <v>75630.25</v>
      </c>
      <c r="H188" s="35">
        <v>46147.398143344908</v>
      </c>
    </row>
    <row r="189" spans="2:8" x14ac:dyDescent="0.2">
      <c r="B189" s="32">
        <v>45983</v>
      </c>
      <c r="C189" t="s">
        <v>109</v>
      </c>
      <c r="D189" t="s">
        <v>180</v>
      </c>
      <c r="E189" s="13"/>
      <c r="F189" s="12">
        <v>2</v>
      </c>
      <c r="G189" s="12">
        <v>58823.53</v>
      </c>
      <c r="H189" s="35">
        <v>46147.398143344908</v>
      </c>
    </row>
    <row r="190" spans="2:8" x14ac:dyDescent="0.2">
      <c r="B190" s="32">
        <v>45984</v>
      </c>
      <c r="C190" t="s">
        <v>109</v>
      </c>
      <c r="D190" t="s">
        <v>1603</v>
      </c>
      <c r="E190" s="13" t="s">
        <v>530</v>
      </c>
      <c r="F190" s="12">
        <v>8</v>
      </c>
      <c r="G190" s="12">
        <v>1185714.29</v>
      </c>
      <c r="H190" s="35">
        <v>46147.398143344908</v>
      </c>
    </row>
    <row r="191" spans="2:8" x14ac:dyDescent="0.2">
      <c r="B191" s="32">
        <v>45984</v>
      </c>
      <c r="C191" t="s">
        <v>109</v>
      </c>
      <c r="D191" t="s">
        <v>1602</v>
      </c>
      <c r="E191" s="13" t="s">
        <v>530</v>
      </c>
      <c r="F191" s="12">
        <v>2</v>
      </c>
      <c r="G191" s="12">
        <v>137519.59</v>
      </c>
      <c r="H191" s="35">
        <v>46147.398143344908</v>
      </c>
    </row>
    <row r="192" spans="2:8" x14ac:dyDescent="0.2">
      <c r="B192" s="32">
        <v>45984</v>
      </c>
      <c r="C192" t="s">
        <v>109</v>
      </c>
      <c r="D192" t="s">
        <v>1565</v>
      </c>
      <c r="E192" s="13" t="s">
        <v>530</v>
      </c>
      <c r="F192" s="12">
        <v>3</v>
      </c>
      <c r="G192" s="12">
        <v>126050.42</v>
      </c>
      <c r="H192" s="35">
        <v>46147.398143344908</v>
      </c>
    </row>
    <row r="193" spans="2:8" x14ac:dyDescent="0.2">
      <c r="B193" s="32">
        <v>45984</v>
      </c>
      <c r="C193" t="s">
        <v>109</v>
      </c>
      <c r="D193" t="s">
        <v>1568</v>
      </c>
      <c r="E193" s="13" t="s">
        <v>529</v>
      </c>
      <c r="F193" s="12">
        <v>2</v>
      </c>
      <c r="G193" s="12">
        <v>109243.7</v>
      </c>
      <c r="H193" s="35">
        <v>46147.398143344908</v>
      </c>
    </row>
    <row r="194" spans="2:8" x14ac:dyDescent="0.2">
      <c r="B194" s="32">
        <v>45984</v>
      </c>
      <c r="C194" t="s">
        <v>109</v>
      </c>
      <c r="D194" t="s">
        <v>151</v>
      </c>
      <c r="E194" s="13" t="s">
        <v>530</v>
      </c>
      <c r="F194" s="12">
        <v>2</v>
      </c>
      <c r="G194" s="12">
        <v>84033.62</v>
      </c>
      <c r="H194" s="35">
        <v>46147.398143344908</v>
      </c>
    </row>
    <row r="195" spans="2:8" x14ac:dyDescent="0.2">
      <c r="B195" s="32">
        <v>45984</v>
      </c>
      <c r="C195" t="s">
        <v>109</v>
      </c>
      <c r="D195" t="s">
        <v>171</v>
      </c>
      <c r="E195" s="13" t="s">
        <v>529</v>
      </c>
      <c r="F195" s="12">
        <v>2</v>
      </c>
      <c r="G195" s="12">
        <v>75630.259999999995</v>
      </c>
      <c r="H195" s="35">
        <v>46147.398143344908</v>
      </c>
    </row>
    <row r="196" spans="2:8" x14ac:dyDescent="0.2">
      <c r="B196" s="32">
        <v>45984</v>
      </c>
      <c r="C196" t="s">
        <v>109</v>
      </c>
      <c r="D196" t="s">
        <v>1597</v>
      </c>
      <c r="E196" s="13" t="s">
        <v>529</v>
      </c>
      <c r="F196" s="12">
        <v>2</v>
      </c>
      <c r="G196" s="12">
        <v>75630.259999999995</v>
      </c>
      <c r="H196" s="35">
        <v>46147.398143344908</v>
      </c>
    </row>
    <row r="197" spans="2:8" x14ac:dyDescent="0.2">
      <c r="B197" s="32">
        <v>45984</v>
      </c>
      <c r="C197" t="s">
        <v>109</v>
      </c>
      <c r="D197" t="s">
        <v>1600</v>
      </c>
      <c r="E197" s="13" t="s">
        <v>529</v>
      </c>
      <c r="F197" s="12">
        <v>2</v>
      </c>
      <c r="G197" s="12">
        <v>75630.25</v>
      </c>
      <c r="H197" s="35">
        <v>46147.398143344908</v>
      </c>
    </row>
    <row r="198" spans="2:8" x14ac:dyDescent="0.2">
      <c r="B198" s="32">
        <v>45984</v>
      </c>
      <c r="C198" t="s">
        <v>109</v>
      </c>
      <c r="D198" t="s">
        <v>142</v>
      </c>
      <c r="E198" s="13" t="s">
        <v>529</v>
      </c>
      <c r="F198" s="12">
        <v>2</v>
      </c>
      <c r="G198" s="12">
        <v>60504.2</v>
      </c>
      <c r="H198" s="35">
        <v>46147.398143344908</v>
      </c>
    </row>
    <row r="199" spans="2:8" x14ac:dyDescent="0.2">
      <c r="B199" s="32">
        <v>45985</v>
      </c>
      <c r="C199" t="s">
        <v>140</v>
      </c>
      <c r="D199" t="s">
        <v>1558</v>
      </c>
      <c r="E199" s="13" t="s">
        <v>530</v>
      </c>
      <c r="F199" s="12">
        <v>11</v>
      </c>
      <c r="G199" s="12">
        <v>1217857.1399999999</v>
      </c>
      <c r="H199" s="35">
        <v>46147.398143344908</v>
      </c>
    </row>
    <row r="200" spans="2:8" x14ac:dyDescent="0.2">
      <c r="B200" s="32">
        <v>45985</v>
      </c>
      <c r="C200" t="s">
        <v>140</v>
      </c>
      <c r="D200" t="s">
        <v>150</v>
      </c>
      <c r="E200" s="13" t="s">
        <v>529</v>
      </c>
      <c r="F200" s="12">
        <v>10</v>
      </c>
      <c r="G200" s="12">
        <v>756302.52</v>
      </c>
      <c r="H200" s="35">
        <v>46147.398143344908</v>
      </c>
    </row>
    <row r="201" spans="2:8" x14ac:dyDescent="0.2">
      <c r="B201" s="32">
        <v>45985</v>
      </c>
      <c r="C201" t="s">
        <v>140</v>
      </c>
      <c r="D201" t="s">
        <v>1605</v>
      </c>
      <c r="E201" s="13" t="s">
        <v>530</v>
      </c>
      <c r="F201" s="12">
        <v>6</v>
      </c>
      <c r="G201" s="12">
        <v>352941.18</v>
      </c>
      <c r="H201" s="35">
        <v>46147.398143344908</v>
      </c>
    </row>
    <row r="202" spans="2:8" x14ac:dyDescent="0.2">
      <c r="B202" s="32">
        <v>45985</v>
      </c>
      <c r="C202" t="s">
        <v>109</v>
      </c>
      <c r="D202" t="s">
        <v>463</v>
      </c>
      <c r="E202" s="13" t="s">
        <v>530</v>
      </c>
      <c r="F202" s="12">
        <v>6</v>
      </c>
      <c r="G202" s="12">
        <v>1071428.57</v>
      </c>
      <c r="H202" s="35">
        <v>46147.398143344908</v>
      </c>
    </row>
    <row r="203" spans="2:8" x14ac:dyDescent="0.2">
      <c r="B203" s="32">
        <v>45985</v>
      </c>
      <c r="C203" t="s">
        <v>109</v>
      </c>
      <c r="D203" t="s">
        <v>464</v>
      </c>
      <c r="E203" s="13" t="s">
        <v>529</v>
      </c>
      <c r="F203" s="12">
        <v>21</v>
      </c>
      <c r="G203" s="12">
        <v>1050000</v>
      </c>
      <c r="H203" s="35">
        <v>46147.398143344908</v>
      </c>
    </row>
    <row r="204" spans="2:8" x14ac:dyDescent="0.2">
      <c r="B204" s="32">
        <v>45985</v>
      </c>
      <c r="C204" t="s">
        <v>109</v>
      </c>
      <c r="D204" t="s">
        <v>365</v>
      </c>
      <c r="E204" s="13" t="s">
        <v>530</v>
      </c>
      <c r="F204" s="12">
        <v>6</v>
      </c>
      <c r="G204" s="12">
        <v>557142.86</v>
      </c>
      <c r="H204" s="35">
        <v>46147.398143344908</v>
      </c>
    </row>
    <row r="205" spans="2:8" x14ac:dyDescent="0.2">
      <c r="B205" s="32">
        <v>45985</v>
      </c>
      <c r="C205" t="s">
        <v>109</v>
      </c>
      <c r="D205" t="s">
        <v>203</v>
      </c>
      <c r="E205" s="13" t="s">
        <v>530</v>
      </c>
      <c r="F205" s="12">
        <v>7</v>
      </c>
      <c r="G205" s="12">
        <v>414285.71</v>
      </c>
      <c r="H205" s="35">
        <v>46147.398143344908</v>
      </c>
    </row>
    <row r="206" spans="2:8" x14ac:dyDescent="0.2">
      <c r="B206" s="32">
        <v>45985</v>
      </c>
      <c r="C206" t="s">
        <v>109</v>
      </c>
      <c r="D206" t="s">
        <v>395</v>
      </c>
      <c r="E206" s="13" t="s">
        <v>530</v>
      </c>
      <c r="F206" s="12">
        <v>3</v>
      </c>
      <c r="G206" s="12">
        <v>278571.43</v>
      </c>
      <c r="H206" s="35">
        <v>46147.398143344908</v>
      </c>
    </row>
    <row r="207" spans="2:8" x14ac:dyDescent="0.2">
      <c r="B207" s="32">
        <v>45985</v>
      </c>
      <c r="C207" t="s">
        <v>109</v>
      </c>
      <c r="D207" t="s">
        <v>279</v>
      </c>
      <c r="E207" s="13" t="s">
        <v>530</v>
      </c>
      <c r="F207" s="12">
        <v>2</v>
      </c>
      <c r="G207" s="12">
        <v>142857.14000000001</v>
      </c>
      <c r="H207" s="35">
        <v>46147.398143344908</v>
      </c>
    </row>
    <row r="208" spans="2:8" x14ac:dyDescent="0.2">
      <c r="B208" s="32">
        <v>45985</v>
      </c>
      <c r="C208" t="s">
        <v>109</v>
      </c>
      <c r="D208" t="s">
        <v>1604</v>
      </c>
      <c r="E208" s="13" t="s">
        <v>530</v>
      </c>
      <c r="F208" s="12">
        <v>3</v>
      </c>
      <c r="G208" s="12">
        <v>113445.39</v>
      </c>
      <c r="H208" s="35">
        <v>46147.398143344908</v>
      </c>
    </row>
    <row r="209" spans="2:8" x14ac:dyDescent="0.2">
      <c r="B209" s="32">
        <v>45985</v>
      </c>
      <c r="C209" t="s">
        <v>109</v>
      </c>
      <c r="D209" t="s">
        <v>1597</v>
      </c>
      <c r="E209" s="13" t="s">
        <v>530</v>
      </c>
      <c r="F209" s="12">
        <v>3</v>
      </c>
      <c r="G209" s="12">
        <v>113445.39</v>
      </c>
      <c r="H209" s="35">
        <v>46147.398143344908</v>
      </c>
    </row>
    <row r="210" spans="2:8" x14ac:dyDescent="0.2">
      <c r="B210" s="32">
        <v>45985</v>
      </c>
      <c r="C210" t="s">
        <v>109</v>
      </c>
      <c r="D210" t="s">
        <v>171</v>
      </c>
      <c r="E210" s="13" t="s">
        <v>530</v>
      </c>
      <c r="F210" s="12">
        <v>3</v>
      </c>
      <c r="G210" s="12">
        <v>113445.38</v>
      </c>
      <c r="H210" s="35">
        <v>46147.398143344908</v>
      </c>
    </row>
    <row r="211" spans="2:8" x14ac:dyDescent="0.2">
      <c r="B211" s="32">
        <v>45985</v>
      </c>
      <c r="C211" t="s">
        <v>109</v>
      </c>
      <c r="D211" t="s">
        <v>328</v>
      </c>
      <c r="E211" s="13" t="s">
        <v>529</v>
      </c>
      <c r="F211" s="12">
        <v>2</v>
      </c>
      <c r="G211" s="12">
        <v>75630.259999999995</v>
      </c>
      <c r="H211" s="35">
        <v>46147.398143344908</v>
      </c>
    </row>
    <row r="212" spans="2:8" x14ac:dyDescent="0.2">
      <c r="B212" s="32">
        <v>45985</v>
      </c>
      <c r="C212" t="s">
        <v>109</v>
      </c>
      <c r="D212" t="s">
        <v>143</v>
      </c>
      <c r="E212" s="13" t="s">
        <v>530</v>
      </c>
      <c r="F212" s="12">
        <v>2</v>
      </c>
      <c r="G212" s="12">
        <v>58823.519999999997</v>
      </c>
      <c r="H212" s="35">
        <v>46147.398143344908</v>
      </c>
    </row>
    <row r="213" spans="2:8" x14ac:dyDescent="0.2">
      <c r="B213" s="32">
        <v>45985</v>
      </c>
      <c r="C213" t="s">
        <v>109</v>
      </c>
      <c r="D213" t="s">
        <v>1548</v>
      </c>
      <c r="E213" s="13" t="s">
        <v>529</v>
      </c>
      <c r="F213" s="12">
        <v>2</v>
      </c>
      <c r="G213" s="12">
        <v>0</v>
      </c>
      <c r="H213" s="35">
        <v>46147.398143344908</v>
      </c>
    </row>
    <row r="214" spans="2:8" x14ac:dyDescent="0.2">
      <c r="B214" s="32">
        <v>45986</v>
      </c>
      <c r="C214" t="s">
        <v>140</v>
      </c>
      <c r="D214" t="s">
        <v>1607</v>
      </c>
      <c r="E214" s="13" t="s">
        <v>529</v>
      </c>
      <c r="F214" s="12">
        <v>2</v>
      </c>
      <c r="G214" s="12">
        <v>342857.14</v>
      </c>
      <c r="H214" s="35">
        <v>46147.398143344908</v>
      </c>
    </row>
    <row r="215" spans="2:8" x14ac:dyDescent="0.2">
      <c r="B215" s="32">
        <v>45986</v>
      </c>
      <c r="C215" t="s">
        <v>140</v>
      </c>
      <c r="D215" t="s">
        <v>1608</v>
      </c>
      <c r="E215" s="13" t="s">
        <v>529</v>
      </c>
      <c r="F215" s="12">
        <v>2</v>
      </c>
      <c r="G215" s="12">
        <v>231428.57</v>
      </c>
      <c r="H215" s="35">
        <v>46147.398143344908</v>
      </c>
    </row>
    <row r="216" spans="2:8" x14ac:dyDescent="0.2">
      <c r="B216" s="32">
        <v>45986</v>
      </c>
      <c r="C216" t="s">
        <v>140</v>
      </c>
      <c r="D216" t="s">
        <v>326</v>
      </c>
      <c r="E216" s="13" t="s">
        <v>530</v>
      </c>
      <c r="F216" s="12">
        <v>2</v>
      </c>
      <c r="G216" s="12">
        <v>75630.25</v>
      </c>
      <c r="H216" s="35">
        <v>46147.398143344908</v>
      </c>
    </row>
    <row r="217" spans="2:8" x14ac:dyDescent="0.2">
      <c r="B217" s="32">
        <v>45986</v>
      </c>
      <c r="C217" t="s">
        <v>109</v>
      </c>
      <c r="D217" t="s">
        <v>300</v>
      </c>
      <c r="E217" s="13" t="s">
        <v>529</v>
      </c>
      <c r="F217" s="12">
        <v>6</v>
      </c>
      <c r="G217" s="12">
        <v>514285.71</v>
      </c>
      <c r="H217" s="35">
        <v>46147.398143344908</v>
      </c>
    </row>
    <row r="218" spans="2:8" x14ac:dyDescent="0.2">
      <c r="B218" s="32">
        <v>45986</v>
      </c>
      <c r="C218" t="s">
        <v>109</v>
      </c>
      <c r="D218" t="s">
        <v>489</v>
      </c>
      <c r="E218" s="13" t="s">
        <v>530</v>
      </c>
      <c r="F218" s="12">
        <v>10</v>
      </c>
      <c r="G218" s="12">
        <v>500000</v>
      </c>
      <c r="H218" s="35">
        <v>46147.398143344908</v>
      </c>
    </row>
    <row r="219" spans="2:8" x14ac:dyDescent="0.2">
      <c r="B219" s="32">
        <v>45986</v>
      </c>
      <c r="C219" t="s">
        <v>109</v>
      </c>
      <c r="D219" t="s">
        <v>463</v>
      </c>
      <c r="E219" s="13" t="s">
        <v>529</v>
      </c>
      <c r="F219" s="12">
        <v>4</v>
      </c>
      <c r="G219" s="12">
        <v>403361.34</v>
      </c>
      <c r="H219" s="35">
        <v>46147.398143344908</v>
      </c>
    </row>
    <row r="220" spans="2:8" x14ac:dyDescent="0.2">
      <c r="B220" s="32">
        <v>45986</v>
      </c>
      <c r="C220" t="s">
        <v>109</v>
      </c>
      <c r="D220" t="s">
        <v>365</v>
      </c>
      <c r="E220" s="13" t="s">
        <v>530</v>
      </c>
      <c r="F220" s="12">
        <v>7</v>
      </c>
      <c r="G220" s="12">
        <v>350000</v>
      </c>
      <c r="H220" s="35">
        <v>46147.398143344908</v>
      </c>
    </row>
    <row r="221" spans="2:8" x14ac:dyDescent="0.2">
      <c r="B221" s="32">
        <v>45986</v>
      </c>
      <c r="C221" t="s">
        <v>109</v>
      </c>
      <c r="D221" t="s">
        <v>1592</v>
      </c>
      <c r="E221" s="13" t="s">
        <v>529</v>
      </c>
      <c r="F221" s="12">
        <v>6</v>
      </c>
      <c r="G221" s="12">
        <v>277310.93</v>
      </c>
      <c r="H221" s="35">
        <v>46147.398143344908</v>
      </c>
    </row>
    <row r="222" spans="2:8" x14ac:dyDescent="0.2">
      <c r="B222" s="32">
        <v>45986</v>
      </c>
      <c r="C222" t="s">
        <v>109</v>
      </c>
      <c r="D222" t="s">
        <v>394</v>
      </c>
      <c r="E222" s="13" t="s">
        <v>529</v>
      </c>
      <c r="F222" s="12">
        <v>3</v>
      </c>
      <c r="G222" s="12">
        <v>257142.86</v>
      </c>
      <c r="H222" s="35">
        <v>46147.398143344908</v>
      </c>
    </row>
    <row r="223" spans="2:8" x14ac:dyDescent="0.2">
      <c r="B223" s="32">
        <v>45986</v>
      </c>
      <c r="C223" t="s">
        <v>109</v>
      </c>
      <c r="D223" t="s">
        <v>165</v>
      </c>
      <c r="E223" s="13" t="s">
        <v>529</v>
      </c>
      <c r="F223" s="12">
        <v>3</v>
      </c>
      <c r="G223" s="12">
        <v>257142.86</v>
      </c>
      <c r="H223" s="35">
        <v>46147.398143344908</v>
      </c>
    </row>
    <row r="224" spans="2:8" x14ac:dyDescent="0.2">
      <c r="B224" s="32">
        <v>45986</v>
      </c>
      <c r="C224" t="s">
        <v>109</v>
      </c>
      <c r="D224" t="s">
        <v>152</v>
      </c>
      <c r="E224" s="13" t="s">
        <v>529</v>
      </c>
      <c r="F224" s="12">
        <v>3</v>
      </c>
      <c r="G224" s="12">
        <v>257142.86</v>
      </c>
      <c r="H224" s="35">
        <v>46147.398143344908</v>
      </c>
    </row>
    <row r="225" spans="2:8" x14ac:dyDescent="0.2">
      <c r="B225" s="32">
        <v>45986</v>
      </c>
      <c r="C225" t="s">
        <v>109</v>
      </c>
      <c r="D225" t="s">
        <v>224</v>
      </c>
      <c r="E225" s="13" t="s">
        <v>529</v>
      </c>
      <c r="F225" s="12">
        <v>2</v>
      </c>
      <c r="G225" s="12">
        <v>200000</v>
      </c>
      <c r="H225" s="35">
        <v>46147.398143344908</v>
      </c>
    </row>
    <row r="226" spans="2:8" x14ac:dyDescent="0.2">
      <c r="B226" s="32">
        <v>45986</v>
      </c>
      <c r="C226" t="s">
        <v>109</v>
      </c>
      <c r="D226" t="s">
        <v>524</v>
      </c>
      <c r="E226" s="13" t="s">
        <v>529</v>
      </c>
      <c r="F226" s="12">
        <v>2</v>
      </c>
      <c r="G226" s="12">
        <v>171428.57</v>
      </c>
      <c r="H226" s="35">
        <v>46147.398143344908</v>
      </c>
    </row>
    <row r="227" spans="2:8" x14ac:dyDescent="0.2">
      <c r="B227" s="32">
        <v>45986</v>
      </c>
      <c r="C227" t="s">
        <v>109</v>
      </c>
      <c r="D227" t="s">
        <v>594</v>
      </c>
      <c r="E227" s="13" t="s">
        <v>530</v>
      </c>
      <c r="F227" s="12">
        <v>2</v>
      </c>
      <c r="G227" s="12">
        <v>151260.5</v>
      </c>
      <c r="H227" s="35">
        <v>46147.398143344908</v>
      </c>
    </row>
    <row r="228" spans="2:8" x14ac:dyDescent="0.2">
      <c r="B228" s="32">
        <v>45986</v>
      </c>
      <c r="C228" t="s">
        <v>109</v>
      </c>
      <c r="D228" t="s">
        <v>405</v>
      </c>
      <c r="E228" s="13" t="s">
        <v>529</v>
      </c>
      <c r="F228" s="12">
        <v>2</v>
      </c>
      <c r="G228" s="12">
        <v>146428.57</v>
      </c>
      <c r="H228" s="35">
        <v>46147.398143344908</v>
      </c>
    </row>
    <row r="229" spans="2:8" x14ac:dyDescent="0.2">
      <c r="B229" s="32">
        <v>45986</v>
      </c>
      <c r="C229" t="s">
        <v>109</v>
      </c>
      <c r="D229" t="s">
        <v>1538</v>
      </c>
      <c r="E229" s="13" t="s">
        <v>529</v>
      </c>
      <c r="F229" s="12">
        <v>2</v>
      </c>
      <c r="G229" s="12">
        <v>132142.85999999999</v>
      </c>
      <c r="H229" s="35">
        <v>46147.398143344908</v>
      </c>
    </row>
    <row r="230" spans="2:8" x14ac:dyDescent="0.2">
      <c r="B230" s="32">
        <v>45986</v>
      </c>
      <c r="C230" t="s">
        <v>109</v>
      </c>
      <c r="D230" t="s">
        <v>1604</v>
      </c>
      <c r="E230" s="13" t="s">
        <v>529</v>
      </c>
      <c r="F230" s="12">
        <v>3</v>
      </c>
      <c r="G230" s="12">
        <v>107773.12</v>
      </c>
      <c r="H230" s="35">
        <v>46147.398143344908</v>
      </c>
    </row>
    <row r="231" spans="2:8" x14ac:dyDescent="0.2">
      <c r="B231" s="32">
        <v>45986</v>
      </c>
      <c r="C231" t="s">
        <v>109</v>
      </c>
      <c r="D231" t="s">
        <v>256</v>
      </c>
      <c r="E231" s="13" t="s">
        <v>530</v>
      </c>
      <c r="F231" s="12">
        <v>2</v>
      </c>
      <c r="G231" s="12">
        <v>101050.42</v>
      </c>
      <c r="H231" s="35">
        <v>46147.398143344908</v>
      </c>
    </row>
    <row r="232" spans="2:8" x14ac:dyDescent="0.2">
      <c r="B232" s="32">
        <v>45986</v>
      </c>
      <c r="C232" t="s">
        <v>109</v>
      </c>
      <c r="D232" t="s">
        <v>1532</v>
      </c>
      <c r="E232" s="13" t="s">
        <v>529</v>
      </c>
      <c r="F232" s="12">
        <v>2</v>
      </c>
      <c r="G232" s="12">
        <v>92857.14</v>
      </c>
      <c r="H232" s="35">
        <v>46147.398143344908</v>
      </c>
    </row>
    <row r="233" spans="2:8" x14ac:dyDescent="0.2">
      <c r="B233" s="32">
        <v>45986</v>
      </c>
      <c r="C233" t="s">
        <v>109</v>
      </c>
      <c r="D233" t="s">
        <v>208</v>
      </c>
      <c r="E233" s="13" t="s">
        <v>529</v>
      </c>
      <c r="F233" s="12">
        <v>2</v>
      </c>
      <c r="G233" s="12">
        <v>92436.97</v>
      </c>
      <c r="H233" s="35">
        <v>46147.398143344908</v>
      </c>
    </row>
    <row r="234" spans="2:8" x14ac:dyDescent="0.2">
      <c r="B234" s="32">
        <v>45986</v>
      </c>
      <c r="C234" t="s">
        <v>109</v>
      </c>
      <c r="D234" t="s">
        <v>158</v>
      </c>
      <c r="E234" s="13" t="s">
        <v>530</v>
      </c>
      <c r="F234" s="12">
        <v>2</v>
      </c>
      <c r="G234" s="12">
        <v>85504.2</v>
      </c>
      <c r="H234" s="35">
        <v>46147.398143344908</v>
      </c>
    </row>
    <row r="235" spans="2:8" x14ac:dyDescent="0.2">
      <c r="B235" s="32">
        <v>45986</v>
      </c>
      <c r="C235" t="s">
        <v>109</v>
      </c>
      <c r="D235" t="s">
        <v>1597</v>
      </c>
      <c r="E235" s="13" t="s">
        <v>529</v>
      </c>
      <c r="F235" s="12">
        <v>2</v>
      </c>
      <c r="G235" s="12">
        <v>69957.98</v>
      </c>
      <c r="H235" s="35">
        <v>46147.398143344908</v>
      </c>
    </row>
    <row r="236" spans="2:8" x14ac:dyDescent="0.2">
      <c r="B236" s="32">
        <v>45986</v>
      </c>
      <c r="C236" t="s">
        <v>109</v>
      </c>
      <c r="D236" t="s">
        <v>204</v>
      </c>
      <c r="E236" s="13" t="s">
        <v>530</v>
      </c>
      <c r="F236" s="12">
        <v>2</v>
      </c>
      <c r="G236" s="12">
        <v>64285.72</v>
      </c>
      <c r="H236" s="35">
        <v>46147.398143344908</v>
      </c>
    </row>
    <row r="237" spans="2:8" x14ac:dyDescent="0.2">
      <c r="B237" s="32">
        <v>45987</v>
      </c>
      <c r="C237" t="s">
        <v>108</v>
      </c>
      <c r="D237" t="s">
        <v>143</v>
      </c>
      <c r="E237" s="13" t="s">
        <v>530</v>
      </c>
      <c r="F237" s="12">
        <v>25</v>
      </c>
      <c r="G237" s="12">
        <v>625000</v>
      </c>
      <c r="H237" s="35">
        <v>46147.398143344908</v>
      </c>
    </row>
    <row r="238" spans="2:8" x14ac:dyDescent="0.2">
      <c r="B238" s="32">
        <v>45987</v>
      </c>
      <c r="C238" t="s">
        <v>108</v>
      </c>
      <c r="D238" t="s">
        <v>333</v>
      </c>
      <c r="E238" s="13" t="s">
        <v>530</v>
      </c>
      <c r="F238" s="12">
        <v>9</v>
      </c>
      <c r="G238" s="12">
        <v>546428.56999999995</v>
      </c>
      <c r="H238" s="35">
        <v>46147.398143344908</v>
      </c>
    </row>
    <row r="239" spans="2:8" x14ac:dyDescent="0.2">
      <c r="B239" s="32">
        <v>45987</v>
      </c>
      <c r="C239" t="s">
        <v>108</v>
      </c>
      <c r="D239" t="s">
        <v>348</v>
      </c>
      <c r="E239" s="13" t="s">
        <v>530</v>
      </c>
      <c r="F239" s="12">
        <v>8</v>
      </c>
      <c r="G239" s="12">
        <v>485714.29</v>
      </c>
      <c r="H239" s="35">
        <v>46147.398143344908</v>
      </c>
    </row>
    <row r="240" spans="2:8" x14ac:dyDescent="0.2">
      <c r="B240" s="32">
        <v>45987</v>
      </c>
      <c r="C240" t="s">
        <v>108</v>
      </c>
      <c r="D240" t="s">
        <v>162</v>
      </c>
      <c r="E240" s="13" t="s">
        <v>530</v>
      </c>
      <c r="F240" s="12">
        <v>8</v>
      </c>
      <c r="G240" s="12">
        <v>485714.29</v>
      </c>
      <c r="H240" s="35">
        <v>46147.398143344908</v>
      </c>
    </row>
    <row r="241" spans="2:8" x14ac:dyDescent="0.2">
      <c r="B241" s="32">
        <v>45987</v>
      </c>
      <c r="C241" t="s">
        <v>108</v>
      </c>
      <c r="D241" t="s">
        <v>1546</v>
      </c>
      <c r="E241" s="13" t="s">
        <v>530</v>
      </c>
      <c r="F241" s="12">
        <v>25</v>
      </c>
      <c r="G241" s="12">
        <v>128571.43</v>
      </c>
      <c r="H241" s="35">
        <v>46147.398143344908</v>
      </c>
    </row>
    <row r="242" spans="2:8" x14ac:dyDescent="0.2">
      <c r="B242" s="32">
        <v>45987</v>
      </c>
      <c r="C242" t="s">
        <v>108</v>
      </c>
      <c r="D242" t="s">
        <v>339</v>
      </c>
      <c r="E242" s="13" t="s">
        <v>530</v>
      </c>
      <c r="F242" s="12">
        <v>2</v>
      </c>
      <c r="G242" s="12">
        <v>64285.71</v>
      </c>
      <c r="H242" s="35">
        <v>46147.398143344908</v>
      </c>
    </row>
    <row r="243" spans="2:8" x14ac:dyDescent="0.2">
      <c r="B243" s="32">
        <v>45987</v>
      </c>
      <c r="C243" t="s">
        <v>108</v>
      </c>
      <c r="D243" t="s">
        <v>261</v>
      </c>
      <c r="E243" s="13" t="s">
        <v>530</v>
      </c>
      <c r="F243" s="12">
        <v>2</v>
      </c>
      <c r="G243" s="12">
        <v>64285.71</v>
      </c>
      <c r="H243" s="35">
        <v>46147.398143344908</v>
      </c>
    </row>
    <row r="244" spans="2:8" x14ac:dyDescent="0.2">
      <c r="B244" s="32">
        <v>45987</v>
      </c>
      <c r="C244" t="s">
        <v>140</v>
      </c>
      <c r="D244" t="s">
        <v>1582</v>
      </c>
      <c r="E244" s="13" t="s">
        <v>529</v>
      </c>
      <c r="F244" s="12">
        <v>4</v>
      </c>
      <c r="G244" s="12">
        <v>184873.95</v>
      </c>
      <c r="H244" s="35">
        <v>46147.398143344908</v>
      </c>
    </row>
    <row r="245" spans="2:8" x14ac:dyDescent="0.2">
      <c r="B245" s="32">
        <v>45987</v>
      </c>
      <c r="C245" t="s">
        <v>109</v>
      </c>
      <c r="D245" t="s">
        <v>457</v>
      </c>
      <c r="E245" s="13" t="s">
        <v>530</v>
      </c>
      <c r="F245" s="12">
        <v>11</v>
      </c>
      <c r="G245" s="12">
        <v>825000</v>
      </c>
      <c r="H245" s="35">
        <v>46147.398143344908</v>
      </c>
    </row>
    <row r="246" spans="2:8" x14ac:dyDescent="0.2">
      <c r="B246" s="32">
        <v>45987</v>
      </c>
      <c r="C246" t="s">
        <v>109</v>
      </c>
      <c r="D246" t="s">
        <v>441</v>
      </c>
      <c r="E246" s="13" t="s">
        <v>530</v>
      </c>
      <c r="F246" s="12">
        <v>6</v>
      </c>
      <c r="G246" s="12">
        <v>466386.56</v>
      </c>
      <c r="H246" s="35">
        <v>46147.398143344908</v>
      </c>
    </row>
    <row r="247" spans="2:8" x14ac:dyDescent="0.2">
      <c r="B247" s="32">
        <v>45987</v>
      </c>
      <c r="C247" t="s">
        <v>109</v>
      </c>
      <c r="D247" t="s">
        <v>198</v>
      </c>
      <c r="E247" s="13" t="s">
        <v>530</v>
      </c>
      <c r="F247" s="12">
        <v>2</v>
      </c>
      <c r="G247" s="12">
        <v>285714.28000000003</v>
      </c>
      <c r="H247" s="35">
        <v>46147.398143344908</v>
      </c>
    </row>
    <row r="248" spans="2:8" x14ac:dyDescent="0.2">
      <c r="B248" s="32">
        <v>45987</v>
      </c>
      <c r="C248" t="s">
        <v>109</v>
      </c>
      <c r="D248" t="s">
        <v>1609</v>
      </c>
      <c r="E248" s="13" t="s">
        <v>530</v>
      </c>
      <c r="F248" s="12">
        <v>3</v>
      </c>
      <c r="G248" s="12">
        <v>189075.63</v>
      </c>
      <c r="H248" s="35">
        <v>46147.398143344908</v>
      </c>
    </row>
    <row r="249" spans="2:8" x14ac:dyDescent="0.2">
      <c r="B249" s="32">
        <v>45987</v>
      </c>
      <c r="C249" t="s">
        <v>109</v>
      </c>
      <c r="D249" t="s">
        <v>150</v>
      </c>
      <c r="E249" s="13" t="s">
        <v>529</v>
      </c>
      <c r="F249" s="12">
        <v>2</v>
      </c>
      <c r="G249" s="12">
        <v>151260.49</v>
      </c>
      <c r="H249" s="35">
        <v>46147.398143344908</v>
      </c>
    </row>
    <row r="250" spans="2:8" x14ac:dyDescent="0.2">
      <c r="B250" s="32">
        <v>45987</v>
      </c>
      <c r="C250" t="s">
        <v>109</v>
      </c>
      <c r="D250" t="s">
        <v>353</v>
      </c>
      <c r="E250" s="13" t="s">
        <v>530</v>
      </c>
      <c r="F250" s="12">
        <v>2</v>
      </c>
      <c r="G250" s="12">
        <v>142857.14000000001</v>
      </c>
      <c r="H250" s="35">
        <v>46147.398143344908</v>
      </c>
    </row>
    <row r="251" spans="2:8" x14ac:dyDescent="0.2">
      <c r="B251" s="32">
        <v>45987</v>
      </c>
      <c r="C251" t="s">
        <v>109</v>
      </c>
      <c r="D251" t="s">
        <v>333</v>
      </c>
      <c r="E251" s="13" t="s">
        <v>530</v>
      </c>
      <c r="F251" s="12">
        <v>2</v>
      </c>
      <c r="G251" s="12">
        <v>142857.14000000001</v>
      </c>
      <c r="H251" s="35">
        <v>46147.398143344908</v>
      </c>
    </row>
    <row r="252" spans="2:8" x14ac:dyDescent="0.2">
      <c r="B252" s="32">
        <v>45987</v>
      </c>
      <c r="C252" t="s">
        <v>109</v>
      </c>
      <c r="D252" t="s">
        <v>1609</v>
      </c>
      <c r="E252" s="13" t="s">
        <v>529</v>
      </c>
      <c r="F252" s="12">
        <v>2</v>
      </c>
      <c r="G252" s="12">
        <v>126050.42</v>
      </c>
      <c r="H252" s="35">
        <v>46147.398143344908</v>
      </c>
    </row>
    <row r="253" spans="2:8" x14ac:dyDescent="0.2">
      <c r="B253" s="32">
        <v>45987</v>
      </c>
      <c r="C253" t="s">
        <v>109</v>
      </c>
      <c r="D253" t="s">
        <v>154</v>
      </c>
      <c r="E253" s="13" t="s">
        <v>529</v>
      </c>
      <c r="F253" s="12">
        <v>3</v>
      </c>
      <c r="G253" s="12">
        <v>126050.42</v>
      </c>
      <c r="H253" s="35">
        <v>46147.398143344908</v>
      </c>
    </row>
    <row r="254" spans="2:8" x14ac:dyDescent="0.2">
      <c r="B254" s="32">
        <v>45987</v>
      </c>
      <c r="C254" t="s">
        <v>109</v>
      </c>
      <c r="D254" t="s">
        <v>142</v>
      </c>
      <c r="E254" s="13" t="s">
        <v>530</v>
      </c>
      <c r="F254" s="12">
        <v>7</v>
      </c>
      <c r="G254" s="12">
        <v>105462.17</v>
      </c>
      <c r="H254" s="35">
        <v>46147.398143344908</v>
      </c>
    </row>
    <row r="255" spans="2:8" x14ac:dyDescent="0.2">
      <c r="B255" s="32">
        <v>45987</v>
      </c>
      <c r="C255" t="s">
        <v>109</v>
      </c>
      <c r="D255" t="s">
        <v>1597</v>
      </c>
      <c r="E255" s="13" t="s">
        <v>529</v>
      </c>
      <c r="F255" s="12">
        <v>2</v>
      </c>
      <c r="G255" s="12">
        <v>75630.259999999995</v>
      </c>
      <c r="H255" s="35">
        <v>46147.398143344908</v>
      </c>
    </row>
    <row r="256" spans="2:8" x14ac:dyDescent="0.2">
      <c r="B256" s="32">
        <v>45987</v>
      </c>
      <c r="C256" t="s">
        <v>109</v>
      </c>
      <c r="D256" t="s">
        <v>423</v>
      </c>
      <c r="E256" s="13" t="s">
        <v>529</v>
      </c>
      <c r="F256" s="12">
        <v>2</v>
      </c>
      <c r="G256" s="12">
        <v>75630.25</v>
      </c>
      <c r="H256" s="35">
        <v>46147.398143344908</v>
      </c>
    </row>
    <row r="257" spans="2:8" x14ac:dyDescent="0.2">
      <c r="B257" s="32">
        <v>45987</v>
      </c>
      <c r="C257" t="s">
        <v>109</v>
      </c>
      <c r="D257" t="s">
        <v>1573</v>
      </c>
      <c r="E257" s="13" t="s">
        <v>530</v>
      </c>
      <c r="F257" s="12">
        <v>3</v>
      </c>
      <c r="G257" s="12">
        <v>50420.17</v>
      </c>
      <c r="H257" s="35">
        <v>46147.398143344908</v>
      </c>
    </row>
    <row r="258" spans="2:8" x14ac:dyDescent="0.2">
      <c r="B258" s="32">
        <v>45987</v>
      </c>
      <c r="C258" t="s">
        <v>109</v>
      </c>
      <c r="D258" t="s">
        <v>1577</v>
      </c>
      <c r="E258" s="13" t="s">
        <v>530</v>
      </c>
      <c r="F258" s="12">
        <v>2</v>
      </c>
      <c r="G258" s="12">
        <v>33613.449999999997</v>
      </c>
      <c r="H258" s="35">
        <v>46147.398143344908</v>
      </c>
    </row>
    <row r="259" spans="2:8" x14ac:dyDescent="0.2">
      <c r="B259" s="32">
        <v>45988</v>
      </c>
      <c r="C259" t="s">
        <v>140</v>
      </c>
      <c r="D259" t="s">
        <v>403</v>
      </c>
      <c r="E259" s="13" t="s">
        <v>529</v>
      </c>
      <c r="F259" s="12">
        <v>2</v>
      </c>
      <c r="G259" s="12">
        <v>58823.53</v>
      </c>
      <c r="H259" s="35">
        <v>46147.398143344908</v>
      </c>
    </row>
    <row r="260" spans="2:8" x14ac:dyDescent="0.2">
      <c r="B260" s="32">
        <v>45988</v>
      </c>
      <c r="C260" t="s">
        <v>110</v>
      </c>
      <c r="D260" t="s">
        <v>170</v>
      </c>
      <c r="E260" s="13" t="s">
        <v>529</v>
      </c>
      <c r="F260" s="12">
        <v>2</v>
      </c>
      <c r="G260" s="12">
        <v>92436.97</v>
      </c>
      <c r="H260" s="35">
        <v>46147.398143344908</v>
      </c>
    </row>
    <row r="261" spans="2:8" x14ac:dyDescent="0.2">
      <c r="B261" s="32">
        <v>45988</v>
      </c>
      <c r="C261" t="s">
        <v>109</v>
      </c>
      <c r="D261" t="s">
        <v>300</v>
      </c>
      <c r="E261" s="13" t="s">
        <v>529</v>
      </c>
      <c r="F261" s="12">
        <v>14</v>
      </c>
      <c r="G261" s="12">
        <v>1200000</v>
      </c>
      <c r="H261" s="35">
        <v>46147.398143344908</v>
      </c>
    </row>
    <row r="262" spans="2:8" x14ac:dyDescent="0.2">
      <c r="B262" s="32">
        <v>45988</v>
      </c>
      <c r="C262" t="s">
        <v>109</v>
      </c>
      <c r="D262" t="s">
        <v>142</v>
      </c>
      <c r="E262" s="13" t="s">
        <v>529</v>
      </c>
      <c r="F262" s="12">
        <v>22</v>
      </c>
      <c r="G262" s="12">
        <v>389915.96</v>
      </c>
      <c r="H262" s="35">
        <v>46147.398143344908</v>
      </c>
    </row>
    <row r="263" spans="2:8" x14ac:dyDescent="0.2">
      <c r="B263" s="32">
        <v>45988</v>
      </c>
      <c r="C263" t="s">
        <v>109</v>
      </c>
      <c r="D263" t="s">
        <v>577</v>
      </c>
      <c r="E263" s="13" t="s">
        <v>529</v>
      </c>
      <c r="F263" s="12">
        <v>2</v>
      </c>
      <c r="G263" s="12">
        <v>151260.5</v>
      </c>
      <c r="H263" s="35">
        <v>46147.398143344908</v>
      </c>
    </row>
    <row r="264" spans="2:8" x14ac:dyDescent="0.2">
      <c r="B264" s="32">
        <v>45988</v>
      </c>
      <c r="C264" t="s">
        <v>109</v>
      </c>
      <c r="D264" t="s">
        <v>1609</v>
      </c>
      <c r="E264" s="13" t="s">
        <v>529</v>
      </c>
      <c r="F264" s="12">
        <v>2</v>
      </c>
      <c r="G264" s="12">
        <v>126050.42</v>
      </c>
      <c r="H264" s="35">
        <v>46147.398143344908</v>
      </c>
    </row>
    <row r="265" spans="2:8" x14ac:dyDescent="0.2">
      <c r="B265" s="32">
        <v>45988</v>
      </c>
      <c r="C265" t="s">
        <v>109</v>
      </c>
      <c r="D265" t="s">
        <v>149</v>
      </c>
      <c r="E265" s="13" t="s">
        <v>529</v>
      </c>
      <c r="F265" s="12">
        <v>2</v>
      </c>
      <c r="G265" s="12">
        <v>92436.97</v>
      </c>
      <c r="H265" s="35">
        <v>46147.398143344908</v>
      </c>
    </row>
    <row r="266" spans="2:8" x14ac:dyDescent="0.2">
      <c r="B266" s="32">
        <v>45988</v>
      </c>
      <c r="C266" t="s">
        <v>109</v>
      </c>
      <c r="D266" t="s">
        <v>346</v>
      </c>
      <c r="E266" s="13" t="s">
        <v>530</v>
      </c>
      <c r="F266" s="12">
        <v>2</v>
      </c>
      <c r="G266" s="12">
        <v>92436.97</v>
      </c>
      <c r="H266" s="35">
        <v>46147.398143344908</v>
      </c>
    </row>
    <row r="267" spans="2:8" x14ac:dyDescent="0.2">
      <c r="B267" s="32">
        <v>45988</v>
      </c>
      <c r="C267" t="s">
        <v>109</v>
      </c>
      <c r="D267" t="s">
        <v>154</v>
      </c>
      <c r="E267" s="13" t="s">
        <v>530</v>
      </c>
      <c r="F267" s="12">
        <v>2</v>
      </c>
      <c r="G267" s="12">
        <v>84033.62</v>
      </c>
      <c r="H267" s="35">
        <v>46147.398143344908</v>
      </c>
    </row>
    <row r="268" spans="2:8" x14ac:dyDescent="0.2">
      <c r="B268" s="32">
        <v>45988</v>
      </c>
      <c r="C268" t="s">
        <v>109</v>
      </c>
      <c r="D268" t="s">
        <v>146</v>
      </c>
      <c r="E268" s="13" t="s">
        <v>529</v>
      </c>
      <c r="F268" s="12">
        <v>2</v>
      </c>
      <c r="G268" s="12">
        <v>75630.25</v>
      </c>
      <c r="H268" s="35">
        <v>46147.398143344908</v>
      </c>
    </row>
    <row r="269" spans="2:8" x14ac:dyDescent="0.2">
      <c r="B269" s="32">
        <v>45988</v>
      </c>
      <c r="C269" t="s">
        <v>109</v>
      </c>
      <c r="D269" t="s">
        <v>1539</v>
      </c>
      <c r="E269" s="13" t="s">
        <v>529</v>
      </c>
      <c r="F269" s="12">
        <v>2</v>
      </c>
      <c r="G269" s="12">
        <v>75630.25</v>
      </c>
      <c r="H269" s="35">
        <v>46147.398143344908</v>
      </c>
    </row>
    <row r="270" spans="2:8" x14ac:dyDescent="0.2">
      <c r="B270" s="32">
        <v>45989</v>
      </c>
      <c r="C270" t="s">
        <v>140</v>
      </c>
      <c r="D270" t="s">
        <v>195</v>
      </c>
      <c r="E270" s="13" t="s">
        <v>530</v>
      </c>
      <c r="F270" s="12">
        <v>2</v>
      </c>
      <c r="G270" s="12">
        <v>201680.67</v>
      </c>
      <c r="H270" s="35">
        <v>46147.398143344908</v>
      </c>
    </row>
    <row r="271" spans="2:8" x14ac:dyDescent="0.2">
      <c r="B271" s="32">
        <v>45989</v>
      </c>
      <c r="C271" t="s">
        <v>140</v>
      </c>
      <c r="D271" t="s">
        <v>241</v>
      </c>
      <c r="E271" s="13" t="s">
        <v>530</v>
      </c>
      <c r="F271" s="12">
        <v>2</v>
      </c>
      <c r="G271" s="12">
        <v>201680.67</v>
      </c>
      <c r="H271" s="35">
        <v>46147.398143344908</v>
      </c>
    </row>
    <row r="272" spans="2:8" x14ac:dyDescent="0.2">
      <c r="B272" s="32">
        <v>45989</v>
      </c>
      <c r="C272" t="s">
        <v>140</v>
      </c>
      <c r="D272" t="s">
        <v>280</v>
      </c>
      <c r="E272" s="13" t="s">
        <v>530</v>
      </c>
      <c r="F272" s="12">
        <v>3</v>
      </c>
      <c r="G272" s="12">
        <v>176470.59</v>
      </c>
      <c r="H272" s="35">
        <v>46147.398143344908</v>
      </c>
    </row>
    <row r="273" spans="2:8" x14ac:dyDescent="0.2">
      <c r="B273" s="32">
        <v>45989</v>
      </c>
      <c r="C273" t="s">
        <v>140</v>
      </c>
      <c r="D273" t="s">
        <v>395</v>
      </c>
      <c r="E273" s="13" t="s">
        <v>529</v>
      </c>
      <c r="F273" s="12">
        <v>2</v>
      </c>
      <c r="G273" s="12">
        <v>121428.57</v>
      </c>
      <c r="H273" s="35">
        <v>46147.398143344908</v>
      </c>
    </row>
    <row r="274" spans="2:8" x14ac:dyDescent="0.2">
      <c r="B274" s="32">
        <v>45989</v>
      </c>
      <c r="C274" t="s">
        <v>140</v>
      </c>
      <c r="D274" t="s">
        <v>631</v>
      </c>
      <c r="E274" s="13" t="s">
        <v>529</v>
      </c>
      <c r="F274" s="12">
        <v>2</v>
      </c>
      <c r="G274" s="12">
        <v>100000</v>
      </c>
      <c r="H274" s="35">
        <v>46147.398143344908</v>
      </c>
    </row>
    <row r="275" spans="2:8" x14ac:dyDescent="0.2">
      <c r="B275" s="32">
        <v>45989</v>
      </c>
      <c r="C275" t="s">
        <v>140</v>
      </c>
      <c r="D275" t="s">
        <v>1611</v>
      </c>
      <c r="E275" s="13" t="s">
        <v>529</v>
      </c>
      <c r="F275" s="12">
        <v>2</v>
      </c>
      <c r="G275" s="12">
        <v>100000</v>
      </c>
      <c r="H275" s="35">
        <v>46147.398143344908</v>
      </c>
    </row>
    <row r="276" spans="2:8" x14ac:dyDescent="0.2">
      <c r="B276" s="32">
        <v>45989</v>
      </c>
      <c r="C276" t="s">
        <v>140</v>
      </c>
      <c r="D276" t="s">
        <v>235</v>
      </c>
      <c r="E276" s="13" t="s">
        <v>529</v>
      </c>
      <c r="F276" s="12">
        <v>2</v>
      </c>
      <c r="G276" s="12">
        <v>92857.14</v>
      </c>
      <c r="H276" s="35">
        <v>46147.398143344908</v>
      </c>
    </row>
    <row r="277" spans="2:8" x14ac:dyDescent="0.2">
      <c r="B277" s="32">
        <v>45989</v>
      </c>
      <c r="C277" t="s">
        <v>109</v>
      </c>
      <c r="D277" t="s">
        <v>395</v>
      </c>
      <c r="E277" s="13" t="s">
        <v>529</v>
      </c>
      <c r="F277" s="12">
        <v>6</v>
      </c>
      <c r="G277" s="12">
        <v>470588.24</v>
      </c>
      <c r="H277" s="35">
        <v>46147.398143344908</v>
      </c>
    </row>
    <row r="278" spans="2:8" x14ac:dyDescent="0.2">
      <c r="B278" s="32">
        <v>45989</v>
      </c>
      <c r="C278" t="s">
        <v>109</v>
      </c>
      <c r="D278" t="s">
        <v>142</v>
      </c>
      <c r="E278" s="13" t="s">
        <v>529</v>
      </c>
      <c r="F278" s="12">
        <v>7</v>
      </c>
      <c r="G278" s="12">
        <v>314285.71999999997</v>
      </c>
      <c r="H278" s="35">
        <v>46147.398143344908</v>
      </c>
    </row>
    <row r="279" spans="2:8" x14ac:dyDescent="0.2">
      <c r="B279" s="32">
        <v>45989</v>
      </c>
      <c r="C279" t="s">
        <v>109</v>
      </c>
      <c r="D279" t="s">
        <v>182</v>
      </c>
      <c r="E279" s="13" t="s">
        <v>529</v>
      </c>
      <c r="F279" s="12">
        <v>3</v>
      </c>
      <c r="G279" s="12">
        <v>272268.90999999997</v>
      </c>
      <c r="H279" s="35">
        <v>46147.398143344908</v>
      </c>
    </row>
    <row r="280" spans="2:8" x14ac:dyDescent="0.2">
      <c r="B280" s="32">
        <v>45989</v>
      </c>
      <c r="C280" t="s">
        <v>109</v>
      </c>
      <c r="D280" t="s">
        <v>1568</v>
      </c>
      <c r="E280" s="13" t="s">
        <v>529</v>
      </c>
      <c r="F280" s="12">
        <v>4</v>
      </c>
      <c r="G280" s="12">
        <v>218487.39</v>
      </c>
      <c r="H280" s="35">
        <v>46147.398143344908</v>
      </c>
    </row>
    <row r="281" spans="2:8" x14ac:dyDescent="0.2">
      <c r="B281" s="32">
        <v>45989</v>
      </c>
      <c r="C281" t="s">
        <v>109</v>
      </c>
      <c r="D281" t="s">
        <v>166</v>
      </c>
      <c r="E281" s="13" t="s">
        <v>530</v>
      </c>
      <c r="F281" s="12">
        <v>4</v>
      </c>
      <c r="G281" s="12">
        <v>168067.22</v>
      </c>
      <c r="H281" s="35">
        <v>46147.398143344908</v>
      </c>
    </row>
    <row r="282" spans="2:8" x14ac:dyDescent="0.2">
      <c r="B282" s="32">
        <v>45989</v>
      </c>
      <c r="C282" t="s">
        <v>109</v>
      </c>
      <c r="D282" t="s">
        <v>1570</v>
      </c>
      <c r="E282" s="13" t="s">
        <v>530</v>
      </c>
      <c r="F282" s="12">
        <v>2</v>
      </c>
      <c r="G282" s="12">
        <v>151260.5</v>
      </c>
      <c r="H282" s="35">
        <v>46147.398143344908</v>
      </c>
    </row>
    <row r="283" spans="2:8" x14ac:dyDescent="0.2">
      <c r="B283" s="32">
        <v>45989</v>
      </c>
      <c r="C283" t="s">
        <v>109</v>
      </c>
      <c r="D283" t="s">
        <v>1569</v>
      </c>
      <c r="E283" s="13" t="s">
        <v>530</v>
      </c>
      <c r="F283" s="12">
        <v>2</v>
      </c>
      <c r="G283" s="12">
        <v>142857.14000000001</v>
      </c>
      <c r="H283" s="35">
        <v>46147.398143344908</v>
      </c>
    </row>
    <row r="284" spans="2:8" x14ac:dyDescent="0.2">
      <c r="B284" s="32">
        <v>45989</v>
      </c>
      <c r="C284" t="s">
        <v>109</v>
      </c>
      <c r="D284" t="s">
        <v>1576</v>
      </c>
      <c r="E284" s="13" t="s">
        <v>530</v>
      </c>
      <c r="F284" s="12">
        <v>8</v>
      </c>
      <c r="G284" s="12">
        <v>134453.79</v>
      </c>
      <c r="H284" s="35">
        <v>46147.398143344908</v>
      </c>
    </row>
    <row r="285" spans="2:8" x14ac:dyDescent="0.2">
      <c r="B285" s="32">
        <v>45989</v>
      </c>
      <c r="C285" t="s">
        <v>109</v>
      </c>
      <c r="D285" t="s">
        <v>148</v>
      </c>
      <c r="E285" s="13" t="s">
        <v>530</v>
      </c>
      <c r="F285" s="12">
        <v>3</v>
      </c>
      <c r="G285" s="12">
        <v>126050.42</v>
      </c>
      <c r="H285" s="35">
        <v>46147.398143344908</v>
      </c>
    </row>
    <row r="286" spans="2:8" x14ac:dyDescent="0.2">
      <c r="B286" s="32">
        <v>45989</v>
      </c>
      <c r="C286" t="s">
        <v>109</v>
      </c>
      <c r="D286" t="s">
        <v>1609</v>
      </c>
      <c r="E286" s="13" t="s">
        <v>529</v>
      </c>
      <c r="F286" s="12">
        <v>2</v>
      </c>
      <c r="G286" s="12">
        <v>126050.41</v>
      </c>
      <c r="H286" s="35">
        <v>46147.398143344908</v>
      </c>
    </row>
    <row r="287" spans="2:8" x14ac:dyDescent="0.2">
      <c r="B287" s="32">
        <v>45989</v>
      </c>
      <c r="C287" t="s">
        <v>109</v>
      </c>
      <c r="D287" t="s">
        <v>445</v>
      </c>
      <c r="E287" s="13" t="s">
        <v>530</v>
      </c>
      <c r="F287" s="12">
        <v>2</v>
      </c>
      <c r="G287" s="12">
        <v>117647.06</v>
      </c>
      <c r="H287" s="35">
        <v>46147.398143344908</v>
      </c>
    </row>
    <row r="288" spans="2:8" x14ac:dyDescent="0.2">
      <c r="B288" s="32">
        <v>45989</v>
      </c>
      <c r="C288" t="s">
        <v>109</v>
      </c>
      <c r="D288" t="s">
        <v>1555</v>
      </c>
      <c r="E288" s="13" t="s">
        <v>529</v>
      </c>
      <c r="F288" s="12">
        <v>3</v>
      </c>
      <c r="G288" s="12">
        <v>113445.38</v>
      </c>
      <c r="H288" s="35">
        <v>46147.398143344908</v>
      </c>
    </row>
    <row r="289" spans="2:8" x14ac:dyDescent="0.2">
      <c r="B289" s="32">
        <v>45989</v>
      </c>
      <c r="C289" t="s">
        <v>109</v>
      </c>
      <c r="D289" t="s">
        <v>344</v>
      </c>
      <c r="E289" s="13" t="s">
        <v>529</v>
      </c>
      <c r="F289" s="12">
        <v>2</v>
      </c>
      <c r="G289" s="12">
        <v>109243.69</v>
      </c>
      <c r="H289" s="35">
        <v>46147.398143344908</v>
      </c>
    </row>
    <row r="290" spans="2:8" x14ac:dyDescent="0.2">
      <c r="B290" s="32">
        <v>45989</v>
      </c>
      <c r="C290" t="s">
        <v>109</v>
      </c>
      <c r="D290" t="s">
        <v>256</v>
      </c>
      <c r="E290" s="13" t="s">
        <v>530</v>
      </c>
      <c r="F290" s="12">
        <v>2</v>
      </c>
      <c r="G290" s="12">
        <v>109243.68</v>
      </c>
      <c r="H290" s="35">
        <v>46147.398143344908</v>
      </c>
    </row>
    <row r="291" spans="2:8" x14ac:dyDescent="0.2">
      <c r="B291" s="32">
        <v>45989</v>
      </c>
      <c r="C291" t="s">
        <v>109</v>
      </c>
      <c r="D291" t="s">
        <v>1565</v>
      </c>
      <c r="E291" s="13" t="s">
        <v>530</v>
      </c>
      <c r="F291" s="12">
        <v>2</v>
      </c>
      <c r="G291" s="12">
        <v>84033.62</v>
      </c>
      <c r="H291" s="35">
        <v>46147.398143344908</v>
      </c>
    </row>
    <row r="292" spans="2:8" x14ac:dyDescent="0.2">
      <c r="B292" s="32">
        <v>45989</v>
      </c>
      <c r="C292" t="s">
        <v>109</v>
      </c>
      <c r="D292" t="s">
        <v>154</v>
      </c>
      <c r="E292" s="13" t="s">
        <v>529</v>
      </c>
      <c r="F292" s="12">
        <v>2</v>
      </c>
      <c r="G292" s="12">
        <v>84033.61</v>
      </c>
      <c r="H292" s="35">
        <v>46147.398143344908</v>
      </c>
    </row>
    <row r="293" spans="2:8" x14ac:dyDescent="0.2">
      <c r="B293" s="32">
        <v>45989</v>
      </c>
      <c r="C293" t="s">
        <v>109</v>
      </c>
      <c r="D293" t="s">
        <v>425</v>
      </c>
      <c r="E293" s="13" t="s">
        <v>529</v>
      </c>
      <c r="F293" s="12">
        <v>2</v>
      </c>
      <c r="G293" s="12">
        <v>75630.25</v>
      </c>
      <c r="H293" s="35">
        <v>46147.398143344908</v>
      </c>
    </row>
    <row r="294" spans="2:8" x14ac:dyDescent="0.2">
      <c r="B294" s="32">
        <v>45989</v>
      </c>
      <c r="C294" t="s">
        <v>109</v>
      </c>
      <c r="D294" t="s">
        <v>370</v>
      </c>
      <c r="E294" s="13" t="s">
        <v>529</v>
      </c>
      <c r="F294" s="12">
        <v>2</v>
      </c>
      <c r="G294" s="12">
        <v>75630.25</v>
      </c>
      <c r="H294" s="35">
        <v>46147.398143344908</v>
      </c>
    </row>
    <row r="295" spans="2:8" x14ac:dyDescent="0.2">
      <c r="B295" s="32">
        <v>45989</v>
      </c>
      <c r="C295" t="s">
        <v>109</v>
      </c>
      <c r="D295" t="s">
        <v>411</v>
      </c>
      <c r="E295" s="13" t="s">
        <v>529</v>
      </c>
      <c r="F295" s="12">
        <v>2</v>
      </c>
      <c r="G295" s="12">
        <v>75630.25</v>
      </c>
      <c r="H295" s="35">
        <v>46147.398143344908</v>
      </c>
    </row>
    <row r="296" spans="2:8" x14ac:dyDescent="0.2">
      <c r="B296" s="32">
        <v>45989</v>
      </c>
      <c r="C296" t="s">
        <v>109</v>
      </c>
      <c r="D296" t="s">
        <v>1544</v>
      </c>
      <c r="E296" s="13" t="s">
        <v>529</v>
      </c>
      <c r="F296" s="12">
        <v>2</v>
      </c>
      <c r="G296" s="12">
        <v>42016.800000000003</v>
      </c>
      <c r="H296" s="35">
        <v>46147.398143344908</v>
      </c>
    </row>
    <row r="297" spans="2:8" x14ac:dyDescent="0.2">
      <c r="B297" s="32">
        <v>45989</v>
      </c>
      <c r="C297" t="s">
        <v>109</v>
      </c>
      <c r="D297" t="s">
        <v>1578</v>
      </c>
      <c r="E297" s="13" t="s">
        <v>530</v>
      </c>
      <c r="F297" s="12">
        <v>2</v>
      </c>
      <c r="G297" s="12">
        <v>33613.440000000002</v>
      </c>
      <c r="H297" s="35">
        <v>46147.398143344908</v>
      </c>
    </row>
    <row r="298" spans="2:8" x14ac:dyDescent="0.2">
      <c r="B298" s="32">
        <v>45990</v>
      </c>
      <c r="C298" t="s">
        <v>140</v>
      </c>
      <c r="D298" t="s">
        <v>1583</v>
      </c>
      <c r="E298" s="13" t="s">
        <v>530</v>
      </c>
      <c r="F298" s="12">
        <v>2</v>
      </c>
      <c r="G298" s="12">
        <v>92436.97</v>
      </c>
      <c r="H298" s="35">
        <v>46147.398143344908</v>
      </c>
    </row>
    <row r="299" spans="2:8" x14ac:dyDescent="0.2">
      <c r="B299" s="32">
        <v>45990</v>
      </c>
      <c r="C299" t="s">
        <v>109</v>
      </c>
      <c r="D299" t="s">
        <v>205</v>
      </c>
      <c r="E299" s="13" t="s">
        <v>530</v>
      </c>
      <c r="F299" s="12">
        <v>2</v>
      </c>
      <c r="G299" s="12">
        <v>201680.68</v>
      </c>
      <c r="H299" s="35">
        <v>46147.398143344908</v>
      </c>
    </row>
    <row r="300" spans="2:8" x14ac:dyDescent="0.2">
      <c r="B300" s="32">
        <v>45990</v>
      </c>
      <c r="C300" t="s">
        <v>109</v>
      </c>
      <c r="D300" t="s">
        <v>1539</v>
      </c>
      <c r="E300" s="13"/>
      <c r="F300" s="12">
        <v>3</v>
      </c>
      <c r="G300" s="12">
        <v>113445.38</v>
      </c>
      <c r="H300" s="35">
        <v>46147.398143344908</v>
      </c>
    </row>
    <row r="301" spans="2:8" x14ac:dyDescent="0.2">
      <c r="B301" s="32">
        <v>45990</v>
      </c>
      <c r="C301" t="s">
        <v>109</v>
      </c>
      <c r="D301" t="s">
        <v>1539</v>
      </c>
      <c r="E301" s="13" t="s">
        <v>529</v>
      </c>
      <c r="F301" s="12">
        <v>3</v>
      </c>
      <c r="G301" s="12">
        <v>113445.38</v>
      </c>
      <c r="H301" s="35">
        <v>46147.398143344908</v>
      </c>
    </row>
    <row r="302" spans="2:8" x14ac:dyDescent="0.2">
      <c r="B302" s="32">
        <v>45990</v>
      </c>
      <c r="C302" t="s">
        <v>109</v>
      </c>
      <c r="D302" t="s">
        <v>1568</v>
      </c>
      <c r="E302" s="13" t="s">
        <v>530</v>
      </c>
      <c r="F302" s="12">
        <v>2</v>
      </c>
      <c r="G302" s="12">
        <v>109243.7</v>
      </c>
      <c r="H302" s="35">
        <v>46147.398143344908</v>
      </c>
    </row>
    <row r="303" spans="2:8" x14ac:dyDescent="0.2">
      <c r="B303" s="32">
        <v>45990</v>
      </c>
      <c r="C303" t="s">
        <v>109</v>
      </c>
      <c r="D303" t="s">
        <v>598</v>
      </c>
      <c r="E303" s="13" t="s">
        <v>529</v>
      </c>
      <c r="F303" s="12">
        <v>2</v>
      </c>
      <c r="G303" s="12">
        <v>92436.97</v>
      </c>
      <c r="H303" s="35">
        <v>46147.398143344908</v>
      </c>
    </row>
    <row r="304" spans="2:8" x14ac:dyDescent="0.2">
      <c r="B304" s="32">
        <v>45990</v>
      </c>
      <c r="C304" t="s">
        <v>109</v>
      </c>
      <c r="D304" t="s">
        <v>154</v>
      </c>
      <c r="E304" s="13" t="s">
        <v>529</v>
      </c>
      <c r="F304" s="12">
        <v>2</v>
      </c>
      <c r="G304" s="12">
        <v>84033.62</v>
      </c>
      <c r="H304" s="35">
        <v>46147.398143344908</v>
      </c>
    </row>
    <row r="305" spans="2:8" x14ac:dyDescent="0.2">
      <c r="B305" s="32">
        <v>45990</v>
      </c>
      <c r="C305" t="s">
        <v>109</v>
      </c>
      <c r="D305" t="s">
        <v>201</v>
      </c>
      <c r="E305" s="13" t="s">
        <v>530</v>
      </c>
      <c r="F305" s="12">
        <v>2</v>
      </c>
      <c r="G305" s="12">
        <v>84033.62</v>
      </c>
      <c r="H305" s="35">
        <v>46147.398143344908</v>
      </c>
    </row>
    <row r="306" spans="2:8" x14ac:dyDescent="0.2">
      <c r="B306" s="32">
        <v>45990</v>
      </c>
      <c r="C306" t="s">
        <v>109</v>
      </c>
      <c r="D306" t="s">
        <v>1580</v>
      </c>
      <c r="E306" s="13" t="s">
        <v>530</v>
      </c>
      <c r="F306" s="12">
        <v>2</v>
      </c>
      <c r="G306" s="12">
        <v>84033.61</v>
      </c>
      <c r="H306" s="35">
        <v>46147.398143344908</v>
      </c>
    </row>
    <row r="307" spans="2:8" x14ac:dyDescent="0.2">
      <c r="B307" s="32">
        <v>45990</v>
      </c>
      <c r="C307" t="s">
        <v>109</v>
      </c>
      <c r="D307" t="s">
        <v>328</v>
      </c>
      <c r="E307" s="13" t="s">
        <v>529</v>
      </c>
      <c r="F307" s="12">
        <v>2</v>
      </c>
      <c r="G307" s="12">
        <v>75630.259999999995</v>
      </c>
      <c r="H307" s="35">
        <v>46147.398143344908</v>
      </c>
    </row>
    <row r="308" spans="2:8" x14ac:dyDescent="0.2">
      <c r="B308" s="32">
        <v>45990</v>
      </c>
      <c r="C308" t="s">
        <v>109</v>
      </c>
      <c r="D308" t="s">
        <v>142</v>
      </c>
      <c r="E308" s="13" t="s">
        <v>530</v>
      </c>
      <c r="F308" s="12">
        <v>6</v>
      </c>
      <c r="G308" s="12">
        <v>68907.56</v>
      </c>
      <c r="H308" s="35">
        <v>46147.398143344908</v>
      </c>
    </row>
    <row r="309" spans="2:8" x14ac:dyDescent="0.2">
      <c r="B309" s="32">
        <v>45990</v>
      </c>
      <c r="C309" t="s">
        <v>109</v>
      </c>
      <c r="D309" t="s">
        <v>1544</v>
      </c>
      <c r="E309" s="13" t="s">
        <v>530</v>
      </c>
      <c r="F309" s="12">
        <v>2</v>
      </c>
      <c r="G309" s="12">
        <v>42016.81</v>
      </c>
      <c r="H309" s="35">
        <v>46147.398143344908</v>
      </c>
    </row>
    <row r="310" spans="2:8" x14ac:dyDescent="0.2">
      <c r="B310" s="32">
        <v>45991</v>
      </c>
      <c r="C310" t="s">
        <v>140</v>
      </c>
      <c r="D310" t="s">
        <v>1612</v>
      </c>
      <c r="E310" s="13" t="s">
        <v>529</v>
      </c>
      <c r="F310" s="12">
        <v>2</v>
      </c>
      <c r="G310" s="12">
        <v>201680.67</v>
      </c>
      <c r="H310" s="35">
        <v>46147.398143344908</v>
      </c>
    </row>
    <row r="311" spans="2:8" x14ac:dyDescent="0.2">
      <c r="B311" s="32">
        <v>45991</v>
      </c>
      <c r="C311" t="s">
        <v>140</v>
      </c>
      <c r="D311" t="s">
        <v>290</v>
      </c>
      <c r="E311" s="13" t="s">
        <v>529</v>
      </c>
      <c r="F311" s="12">
        <v>3</v>
      </c>
      <c r="G311" s="12">
        <v>163865.54999999999</v>
      </c>
      <c r="H311" s="35">
        <v>46147.398143344908</v>
      </c>
    </row>
    <row r="312" spans="2:8" x14ac:dyDescent="0.2">
      <c r="B312" s="32">
        <v>45991</v>
      </c>
      <c r="C312" t="s">
        <v>140</v>
      </c>
      <c r="D312" t="s">
        <v>236</v>
      </c>
      <c r="E312" s="13" t="s">
        <v>530</v>
      </c>
      <c r="F312" s="12">
        <v>3</v>
      </c>
      <c r="G312" s="12">
        <v>138655.46</v>
      </c>
      <c r="H312" s="35">
        <v>46147.398143344908</v>
      </c>
    </row>
    <row r="313" spans="2:8" x14ac:dyDescent="0.2">
      <c r="B313" s="32">
        <v>45991</v>
      </c>
      <c r="C313" t="s">
        <v>140</v>
      </c>
      <c r="D313" t="s">
        <v>292</v>
      </c>
      <c r="E313" s="13" t="s">
        <v>530</v>
      </c>
      <c r="F313" s="12">
        <v>2</v>
      </c>
      <c r="G313" s="12">
        <v>117647.06</v>
      </c>
      <c r="H313" s="35">
        <v>46147.398143344908</v>
      </c>
    </row>
    <row r="314" spans="2:8" x14ac:dyDescent="0.2">
      <c r="B314" s="32">
        <v>45991</v>
      </c>
      <c r="C314" t="s">
        <v>140</v>
      </c>
      <c r="D314" t="s">
        <v>216</v>
      </c>
      <c r="E314" s="13" t="s">
        <v>529</v>
      </c>
      <c r="F314" s="12">
        <v>4</v>
      </c>
      <c r="G314" s="12">
        <v>117647.06</v>
      </c>
      <c r="H314" s="35">
        <v>46147.398143344908</v>
      </c>
    </row>
    <row r="315" spans="2:8" x14ac:dyDescent="0.2">
      <c r="B315" s="32">
        <v>45991</v>
      </c>
      <c r="C315" t="s">
        <v>140</v>
      </c>
      <c r="D315" t="s">
        <v>549</v>
      </c>
      <c r="E315" s="13" t="s">
        <v>529</v>
      </c>
      <c r="F315" s="12">
        <v>2</v>
      </c>
      <c r="G315" s="12">
        <v>117647.06</v>
      </c>
      <c r="H315" s="35">
        <v>46147.398143344908</v>
      </c>
    </row>
    <row r="316" spans="2:8" x14ac:dyDescent="0.2">
      <c r="B316" s="32">
        <v>45991</v>
      </c>
      <c r="C316" t="s">
        <v>140</v>
      </c>
      <c r="D316" t="s">
        <v>272</v>
      </c>
      <c r="E316" s="13" t="s">
        <v>530</v>
      </c>
      <c r="F316" s="12">
        <v>2</v>
      </c>
      <c r="G316" s="12">
        <v>109243.7</v>
      </c>
      <c r="H316" s="35">
        <v>46147.398143344908</v>
      </c>
    </row>
    <row r="317" spans="2:8" x14ac:dyDescent="0.2">
      <c r="B317" s="32">
        <v>45991</v>
      </c>
      <c r="C317" t="s">
        <v>140</v>
      </c>
      <c r="D317" t="s">
        <v>281</v>
      </c>
      <c r="E317" s="13" t="s">
        <v>529</v>
      </c>
      <c r="F317" s="12">
        <v>2</v>
      </c>
      <c r="G317" s="12">
        <v>109243.7</v>
      </c>
      <c r="H317" s="35">
        <v>46147.398143344908</v>
      </c>
    </row>
    <row r="318" spans="2:8" x14ac:dyDescent="0.2">
      <c r="B318" s="32">
        <v>45991</v>
      </c>
      <c r="C318" t="s">
        <v>140</v>
      </c>
      <c r="D318" t="s">
        <v>158</v>
      </c>
      <c r="E318" s="13" t="s">
        <v>530</v>
      </c>
      <c r="F318" s="12">
        <v>2</v>
      </c>
      <c r="G318" s="12">
        <v>92436.97</v>
      </c>
      <c r="H318" s="35">
        <v>46147.398143344908</v>
      </c>
    </row>
    <row r="319" spans="2:8" x14ac:dyDescent="0.2">
      <c r="B319" s="32">
        <v>45991</v>
      </c>
      <c r="C319" t="s">
        <v>140</v>
      </c>
      <c r="D319" t="s">
        <v>258</v>
      </c>
      <c r="E319" s="13" t="s">
        <v>530</v>
      </c>
      <c r="F319" s="12">
        <v>2</v>
      </c>
      <c r="G319" s="12">
        <v>92436.97</v>
      </c>
      <c r="H319" s="35">
        <v>46147.398143344908</v>
      </c>
    </row>
    <row r="320" spans="2:8" x14ac:dyDescent="0.2">
      <c r="B320" s="32">
        <v>45991</v>
      </c>
      <c r="C320" t="s">
        <v>140</v>
      </c>
      <c r="D320" t="s">
        <v>1553</v>
      </c>
      <c r="E320" s="13" t="s">
        <v>530</v>
      </c>
      <c r="F320" s="12">
        <v>2</v>
      </c>
      <c r="G320" s="12">
        <v>92436.97</v>
      </c>
      <c r="H320" s="35">
        <v>46147.398143344908</v>
      </c>
    </row>
    <row r="321" spans="2:8" x14ac:dyDescent="0.2">
      <c r="B321" s="32">
        <v>45991</v>
      </c>
      <c r="C321" t="s">
        <v>140</v>
      </c>
      <c r="D321" t="s">
        <v>156</v>
      </c>
      <c r="E321" s="13" t="s">
        <v>530</v>
      </c>
      <c r="F321" s="12">
        <v>2</v>
      </c>
      <c r="G321" s="12">
        <v>92436.97</v>
      </c>
      <c r="H321" s="35">
        <v>46147.398143344908</v>
      </c>
    </row>
    <row r="322" spans="2:8" x14ac:dyDescent="0.2">
      <c r="B322" s="32">
        <v>45991</v>
      </c>
      <c r="C322" t="s">
        <v>109</v>
      </c>
      <c r="D322" t="s">
        <v>237</v>
      </c>
      <c r="E322" s="13" t="s">
        <v>529</v>
      </c>
      <c r="F322" s="12">
        <v>2</v>
      </c>
      <c r="G322" s="12">
        <v>92436.97</v>
      </c>
      <c r="H322" s="35">
        <v>46147.398143344908</v>
      </c>
    </row>
    <row r="323" spans="2:8" x14ac:dyDescent="0.2">
      <c r="B323" s="32">
        <v>45991</v>
      </c>
      <c r="C323" t="s">
        <v>109</v>
      </c>
      <c r="D323" t="s">
        <v>180</v>
      </c>
      <c r="E323" s="13" t="s">
        <v>530</v>
      </c>
      <c r="F323" s="12">
        <v>3</v>
      </c>
      <c r="G323" s="12">
        <v>88235.29</v>
      </c>
      <c r="H323" s="35">
        <v>46147.398143344908</v>
      </c>
    </row>
    <row r="324" spans="2:8" x14ac:dyDescent="0.2">
      <c r="B324" s="32">
        <v>45991</v>
      </c>
      <c r="C324" t="s">
        <v>109</v>
      </c>
      <c r="D324" t="s">
        <v>1539</v>
      </c>
      <c r="E324" s="13"/>
      <c r="F324" s="12">
        <v>2</v>
      </c>
      <c r="G324" s="12">
        <v>75630.25</v>
      </c>
      <c r="H324" s="35">
        <v>46147.398143344908</v>
      </c>
    </row>
    <row r="325" spans="2:8" x14ac:dyDescent="0.2">
      <c r="B325" s="32">
        <v>45991</v>
      </c>
      <c r="C325" t="s">
        <v>109</v>
      </c>
      <c r="D325" t="s">
        <v>1539</v>
      </c>
      <c r="E325" s="13" t="s">
        <v>530</v>
      </c>
      <c r="F325" s="12">
        <v>2</v>
      </c>
      <c r="G325" s="12">
        <v>75630.25</v>
      </c>
      <c r="H325" s="35">
        <v>46147.398143344908</v>
      </c>
    </row>
    <row r="326" spans="2:8" x14ac:dyDescent="0.2">
      <c r="B326" s="32">
        <v>45991</v>
      </c>
      <c r="C326" t="s">
        <v>109</v>
      </c>
      <c r="D326" t="s">
        <v>1539</v>
      </c>
      <c r="E326" s="13" t="s">
        <v>529</v>
      </c>
      <c r="F326" s="12">
        <v>2</v>
      </c>
      <c r="G326" s="12">
        <v>75630.25</v>
      </c>
      <c r="H326" s="35">
        <v>46147.398143344908</v>
      </c>
    </row>
    <row r="327" spans="2:8" x14ac:dyDescent="0.2">
      <c r="B327" s="32">
        <v>45991</v>
      </c>
      <c r="C327" t="s">
        <v>109</v>
      </c>
      <c r="D327" t="s">
        <v>142</v>
      </c>
      <c r="E327" s="13" t="s">
        <v>530</v>
      </c>
      <c r="F327" s="12">
        <v>2</v>
      </c>
      <c r="G327" s="12">
        <v>8403.36</v>
      </c>
      <c r="H327" s="35">
        <v>46147.398143344908</v>
      </c>
    </row>
    <row r="328" spans="2:8" x14ac:dyDescent="0.2">
      <c r="B328" s="32">
        <v>45992</v>
      </c>
      <c r="C328" t="s">
        <v>140</v>
      </c>
      <c r="D328" t="s">
        <v>226</v>
      </c>
      <c r="E328" s="13" t="s">
        <v>529</v>
      </c>
      <c r="F328" s="12">
        <v>4</v>
      </c>
      <c r="G328" s="12">
        <v>218487.4</v>
      </c>
      <c r="H328" s="35">
        <v>46147.398143344908</v>
      </c>
    </row>
    <row r="329" spans="2:8" x14ac:dyDescent="0.2">
      <c r="B329" s="32">
        <v>45992</v>
      </c>
      <c r="C329" t="s">
        <v>140</v>
      </c>
      <c r="D329" t="s">
        <v>1534</v>
      </c>
      <c r="E329" s="13" t="s">
        <v>530</v>
      </c>
      <c r="F329" s="12">
        <v>2</v>
      </c>
      <c r="G329" s="12">
        <v>117647.06</v>
      </c>
      <c r="H329" s="35">
        <v>46147.398143344908</v>
      </c>
    </row>
    <row r="330" spans="2:8" x14ac:dyDescent="0.2">
      <c r="B330" s="32">
        <v>45992</v>
      </c>
      <c r="C330" t="s">
        <v>140</v>
      </c>
      <c r="D330" t="s">
        <v>1582</v>
      </c>
      <c r="E330" s="13" t="s">
        <v>530</v>
      </c>
      <c r="F330" s="12">
        <v>2</v>
      </c>
      <c r="G330" s="12">
        <v>92436.97</v>
      </c>
      <c r="H330" s="35">
        <v>46147.398143344908</v>
      </c>
    </row>
    <row r="331" spans="2:8" x14ac:dyDescent="0.2">
      <c r="B331" s="32">
        <v>45992</v>
      </c>
      <c r="C331" t="s">
        <v>140</v>
      </c>
      <c r="D331" t="s">
        <v>1539</v>
      </c>
      <c r="E331" s="13" t="s">
        <v>529</v>
      </c>
      <c r="F331" s="12">
        <v>2</v>
      </c>
      <c r="G331" s="12">
        <v>75630.25</v>
      </c>
      <c r="H331" s="35">
        <v>46147.398143344908</v>
      </c>
    </row>
    <row r="332" spans="2:8" x14ac:dyDescent="0.2">
      <c r="B332" s="32">
        <v>45992</v>
      </c>
      <c r="C332" t="s">
        <v>140</v>
      </c>
      <c r="D332" t="s">
        <v>403</v>
      </c>
      <c r="E332" s="13" t="s">
        <v>529</v>
      </c>
      <c r="F332" s="12">
        <v>2</v>
      </c>
      <c r="G332" s="12">
        <v>58823.53</v>
      </c>
      <c r="H332" s="35">
        <v>46147.398143344908</v>
      </c>
    </row>
    <row r="333" spans="2:8" x14ac:dyDescent="0.2">
      <c r="B333" s="32">
        <v>45992</v>
      </c>
      <c r="C333" t="s">
        <v>109</v>
      </c>
      <c r="E333" s="13" t="s">
        <v>529</v>
      </c>
      <c r="F333" s="12">
        <v>6</v>
      </c>
      <c r="G333" s="12">
        <v>731092.44</v>
      </c>
      <c r="H333" s="35">
        <v>46147.398143344908</v>
      </c>
    </row>
    <row r="334" spans="2:8" x14ac:dyDescent="0.2">
      <c r="B334" s="32">
        <v>45992</v>
      </c>
      <c r="C334" t="s">
        <v>109</v>
      </c>
      <c r="D334" t="s">
        <v>165</v>
      </c>
      <c r="E334" s="13" t="s">
        <v>529</v>
      </c>
      <c r="F334" s="12">
        <v>6</v>
      </c>
      <c r="G334" s="12">
        <v>462857.15</v>
      </c>
      <c r="H334" s="35">
        <v>46147.398143344908</v>
      </c>
    </row>
    <row r="335" spans="2:8" x14ac:dyDescent="0.2">
      <c r="B335" s="32">
        <v>45992</v>
      </c>
      <c r="C335" t="s">
        <v>109</v>
      </c>
      <c r="D335" t="s">
        <v>394</v>
      </c>
      <c r="E335" s="13" t="s">
        <v>529</v>
      </c>
      <c r="F335" s="12">
        <v>6</v>
      </c>
      <c r="G335" s="12">
        <v>462857.14</v>
      </c>
      <c r="H335" s="35">
        <v>46147.398143344908</v>
      </c>
    </row>
    <row r="336" spans="2:8" x14ac:dyDescent="0.2">
      <c r="B336" s="32">
        <v>45992</v>
      </c>
      <c r="C336" t="s">
        <v>109</v>
      </c>
      <c r="D336" t="s">
        <v>179</v>
      </c>
      <c r="E336" s="13" t="s">
        <v>529</v>
      </c>
      <c r="F336" s="12">
        <v>6</v>
      </c>
      <c r="G336" s="12">
        <v>317647.06</v>
      </c>
      <c r="H336" s="35">
        <v>46147.398143344908</v>
      </c>
    </row>
    <row r="337" spans="2:8" x14ac:dyDescent="0.2">
      <c r="B337" s="32">
        <v>45992</v>
      </c>
      <c r="C337" t="s">
        <v>109</v>
      </c>
      <c r="D337" t="s">
        <v>514</v>
      </c>
      <c r="E337" s="13" t="s">
        <v>529</v>
      </c>
      <c r="F337" s="12">
        <v>3</v>
      </c>
      <c r="G337" s="12">
        <v>257142.86</v>
      </c>
      <c r="H337" s="35">
        <v>46147.398143344908</v>
      </c>
    </row>
    <row r="338" spans="2:8" x14ac:dyDescent="0.2">
      <c r="B338" s="32">
        <v>45992</v>
      </c>
      <c r="C338" t="s">
        <v>109</v>
      </c>
      <c r="E338" s="13" t="s">
        <v>530</v>
      </c>
      <c r="F338" s="12">
        <v>2</v>
      </c>
      <c r="G338" s="12">
        <v>243697.48</v>
      </c>
      <c r="H338" s="35">
        <v>46147.398143344908</v>
      </c>
    </row>
    <row r="339" spans="2:8" x14ac:dyDescent="0.2">
      <c r="B339" s="32">
        <v>45992</v>
      </c>
      <c r="C339" t="s">
        <v>109</v>
      </c>
      <c r="D339" t="s">
        <v>1591</v>
      </c>
      <c r="E339" s="13" t="s">
        <v>530</v>
      </c>
      <c r="F339" s="12">
        <v>4</v>
      </c>
      <c r="G339" s="12">
        <v>184873.96</v>
      </c>
      <c r="H339" s="35">
        <v>46147.398143344908</v>
      </c>
    </row>
    <row r="340" spans="2:8" x14ac:dyDescent="0.2">
      <c r="B340" s="32">
        <v>45992</v>
      </c>
      <c r="C340" t="s">
        <v>109</v>
      </c>
      <c r="D340" t="s">
        <v>1569</v>
      </c>
      <c r="E340" s="13" t="s">
        <v>529</v>
      </c>
      <c r="F340" s="12">
        <v>2</v>
      </c>
      <c r="G340" s="12">
        <v>142857.14000000001</v>
      </c>
      <c r="H340" s="35">
        <v>46147.398143344908</v>
      </c>
    </row>
    <row r="341" spans="2:8" x14ac:dyDescent="0.2">
      <c r="B341" s="32">
        <v>45992</v>
      </c>
      <c r="C341" t="s">
        <v>109</v>
      </c>
      <c r="D341" t="s">
        <v>142</v>
      </c>
      <c r="E341" s="13" t="s">
        <v>530</v>
      </c>
      <c r="F341" s="12">
        <v>3</v>
      </c>
      <c r="G341" s="12">
        <v>124369.74</v>
      </c>
      <c r="H341" s="35">
        <v>46147.398143344908</v>
      </c>
    </row>
    <row r="342" spans="2:8" x14ac:dyDescent="0.2">
      <c r="B342" s="32">
        <v>45992</v>
      </c>
      <c r="C342" t="s">
        <v>109</v>
      </c>
      <c r="D342" t="s">
        <v>1606</v>
      </c>
      <c r="E342" s="13" t="s">
        <v>530</v>
      </c>
      <c r="F342" s="12">
        <v>2</v>
      </c>
      <c r="G342" s="12">
        <v>92436.97</v>
      </c>
      <c r="H342" s="35">
        <v>46147.398143344908</v>
      </c>
    </row>
    <row r="343" spans="2:8" x14ac:dyDescent="0.2">
      <c r="B343" s="32">
        <v>45992</v>
      </c>
      <c r="C343" t="s">
        <v>109</v>
      </c>
      <c r="D343" t="s">
        <v>1593</v>
      </c>
      <c r="E343" s="13" t="s">
        <v>530</v>
      </c>
      <c r="F343" s="12">
        <v>2</v>
      </c>
      <c r="G343" s="12">
        <v>92436.97</v>
      </c>
      <c r="H343" s="35">
        <v>46147.398143344908</v>
      </c>
    </row>
    <row r="344" spans="2:8" x14ac:dyDescent="0.2">
      <c r="B344" s="32">
        <v>45992</v>
      </c>
      <c r="C344" t="s">
        <v>109</v>
      </c>
      <c r="D344" t="s">
        <v>180</v>
      </c>
      <c r="E344" s="13" t="s">
        <v>529</v>
      </c>
      <c r="F344" s="12">
        <v>2</v>
      </c>
      <c r="G344" s="12">
        <v>58823.53</v>
      </c>
      <c r="H344" s="35">
        <v>46147.398143344908</v>
      </c>
    </row>
    <row r="345" spans="2:8" x14ac:dyDescent="0.2">
      <c r="B345" s="32">
        <v>45992</v>
      </c>
      <c r="C345" t="s">
        <v>109</v>
      </c>
      <c r="D345" t="s">
        <v>307</v>
      </c>
      <c r="E345" s="13" t="s">
        <v>530</v>
      </c>
      <c r="F345" s="12">
        <v>2</v>
      </c>
      <c r="G345" s="12">
        <v>0</v>
      </c>
      <c r="H345" s="35">
        <v>46147.398143344908</v>
      </c>
    </row>
    <row r="346" spans="2:8" x14ac:dyDescent="0.2">
      <c r="B346" s="32">
        <v>45993</v>
      </c>
      <c r="C346" t="s">
        <v>140</v>
      </c>
      <c r="D346" t="s">
        <v>1613</v>
      </c>
      <c r="E346" s="13" t="s">
        <v>529</v>
      </c>
      <c r="F346" s="12">
        <v>3</v>
      </c>
      <c r="G346" s="12">
        <v>415966.39</v>
      </c>
      <c r="H346" s="35">
        <v>46147.398143344908</v>
      </c>
    </row>
    <row r="347" spans="2:8" x14ac:dyDescent="0.2">
      <c r="B347" s="32">
        <v>45993</v>
      </c>
      <c r="C347" t="s">
        <v>140</v>
      </c>
      <c r="D347" t="s">
        <v>257</v>
      </c>
      <c r="E347" s="13" t="s">
        <v>529</v>
      </c>
      <c r="F347" s="12">
        <v>3</v>
      </c>
      <c r="G347" s="12">
        <v>176470.59</v>
      </c>
      <c r="H347" s="35">
        <v>46147.398143344908</v>
      </c>
    </row>
    <row r="348" spans="2:8" x14ac:dyDescent="0.2">
      <c r="B348" s="32">
        <v>45993</v>
      </c>
      <c r="C348" t="s">
        <v>140</v>
      </c>
      <c r="D348" t="s">
        <v>326</v>
      </c>
      <c r="E348" s="13" t="s">
        <v>530</v>
      </c>
      <c r="F348" s="12">
        <v>2</v>
      </c>
      <c r="G348" s="12">
        <v>75630.25</v>
      </c>
      <c r="H348" s="35">
        <v>46147.398143344908</v>
      </c>
    </row>
    <row r="349" spans="2:8" x14ac:dyDescent="0.2">
      <c r="B349" s="32">
        <v>45993</v>
      </c>
      <c r="C349" t="s">
        <v>109</v>
      </c>
      <c r="D349" t="s">
        <v>157</v>
      </c>
      <c r="E349" s="13" t="s">
        <v>529</v>
      </c>
      <c r="F349" s="12">
        <v>2</v>
      </c>
      <c r="G349" s="12">
        <v>487394.96</v>
      </c>
      <c r="H349" s="35">
        <v>46147.398143344908</v>
      </c>
    </row>
    <row r="350" spans="2:8" x14ac:dyDescent="0.2">
      <c r="B350" s="32">
        <v>45993</v>
      </c>
      <c r="C350" t="s">
        <v>109</v>
      </c>
      <c r="E350" s="13" t="s">
        <v>529</v>
      </c>
      <c r="F350" s="12">
        <v>5</v>
      </c>
      <c r="G350" s="12">
        <v>373109.24</v>
      </c>
      <c r="H350" s="35">
        <v>46147.398143344908</v>
      </c>
    </row>
    <row r="351" spans="2:8" x14ac:dyDescent="0.2">
      <c r="B351" s="32">
        <v>45993</v>
      </c>
      <c r="C351" t="s">
        <v>109</v>
      </c>
      <c r="D351" t="s">
        <v>210</v>
      </c>
      <c r="E351" s="13" t="s">
        <v>530</v>
      </c>
      <c r="F351" s="12">
        <v>3</v>
      </c>
      <c r="G351" s="12">
        <v>163865.54999999999</v>
      </c>
      <c r="H351" s="35">
        <v>46147.398143344908</v>
      </c>
    </row>
    <row r="352" spans="2:8" x14ac:dyDescent="0.2">
      <c r="B352" s="32">
        <v>45993</v>
      </c>
      <c r="C352" t="s">
        <v>109</v>
      </c>
      <c r="D352" t="s">
        <v>543</v>
      </c>
      <c r="E352" s="13" t="s">
        <v>529</v>
      </c>
      <c r="F352" s="12">
        <v>2</v>
      </c>
      <c r="G352" s="12">
        <v>151260.51</v>
      </c>
      <c r="H352" s="35">
        <v>46147.398143344908</v>
      </c>
    </row>
    <row r="353" spans="2:8" x14ac:dyDescent="0.2">
      <c r="B353" s="32">
        <v>45993</v>
      </c>
      <c r="C353" t="s">
        <v>109</v>
      </c>
      <c r="D353" t="s">
        <v>348</v>
      </c>
      <c r="E353" s="13" t="s">
        <v>529</v>
      </c>
      <c r="F353" s="12">
        <v>2</v>
      </c>
      <c r="G353" s="12">
        <v>142857.14000000001</v>
      </c>
      <c r="H353" s="35">
        <v>46147.398143344908</v>
      </c>
    </row>
    <row r="354" spans="2:8" x14ac:dyDescent="0.2">
      <c r="B354" s="32">
        <v>45993</v>
      </c>
      <c r="C354" t="s">
        <v>109</v>
      </c>
      <c r="D354" t="s">
        <v>142</v>
      </c>
      <c r="E354" s="13" t="s">
        <v>529</v>
      </c>
      <c r="F354" s="12">
        <v>9</v>
      </c>
      <c r="G354" s="12">
        <v>121008.4</v>
      </c>
      <c r="H354" s="35">
        <v>46147.398143344908</v>
      </c>
    </row>
    <row r="355" spans="2:8" x14ac:dyDescent="0.2">
      <c r="B355" s="32">
        <v>45993</v>
      </c>
      <c r="C355" t="s">
        <v>109</v>
      </c>
      <c r="D355" t="s">
        <v>1540</v>
      </c>
      <c r="E355" s="13" t="s">
        <v>530</v>
      </c>
      <c r="F355" s="12">
        <v>2</v>
      </c>
      <c r="G355" s="12">
        <v>117647.06</v>
      </c>
      <c r="H355" s="35">
        <v>46147.398143344908</v>
      </c>
    </row>
    <row r="356" spans="2:8" x14ac:dyDescent="0.2">
      <c r="B356" s="32">
        <v>45993</v>
      </c>
      <c r="C356" t="s">
        <v>109</v>
      </c>
      <c r="D356" t="s">
        <v>647</v>
      </c>
      <c r="E356" s="13" t="s">
        <v>530</v>
      </c>
      <c r="F356" s="12">
        <v>2</v>
      </c>
      <c r="G356" s="12">
        <v>117647.06</v>
      </c>
      <c r="H356" s="35">
        <v>46147.398143344908</v>
      </c>
    </row>
    <row r="357" spans="2:8" x14ac:dyDescent="0.2">
      <c r="B357" s="32">
        <v>45993</v>
      </c>
      <c r="C357" t="s">
        <v>109</v>
      </c>
      <c r="D357" t="s">
        <v>180</v>
      </c>
      <c r="E357" s="13" t="s">
        <v>530</v>
      </c>
      <c r="F357" s="12">
        <v>4</v>
      </c>
      <c r="G357" s="12">
        <v>117647.05</v>
      </c>
      <c r="H357" s="35">
        <v>46147.398143344908</v>
      </c>
    </row>
    <row r="358" spans="2:8" x14ac:dyDescent="0.2">
      <c r="B358" s="32">
        <v>45993</v>
      </c>
      <c r="C358" t="s">
        <v>109</v>
      </c>
      <c r="D358" t="s">
        <v>1568</v>
      </c>
      <c r="E358" s="13" t="s">
        <v>529</v>
      </c>
      <c r="F358" s="12">
        <v>2</v>
      </c>
      <c r="G358" s="12">
        <v>109243.7</v>
      </c>
      <c r="H358" s="35">
        <v>46147.398143344908</v>
      </c>
    </row>
    <row r="359" spans="2:8" x14ac:dyDescent="0.2">
      <c r="B359" s="32">
        <v>45993</v>
      </c>
      <c r="C359" t="s">
        <v>109</v>
      </c>
      <c r="D359" t="s">
        <v>200</v>
      </c>
      <c r="E359" s="13" t="s">
        <v>530</v>
      </c>
      <c r="F359" s="12">
        <v>2</v>
      </c>
      <c r="G359" s="12">
        <v>92436.98</v>
      </c>
      <c r="H359" s="35">
        <v>46147.398143344908</v>
      </c>
    </row>
    <row r="360" spans="2:8" x14ac:dyDescent="0.2">
      <c r="B360" s="32">
        <v>45993</v>
      </c>
      <c r="C360" t="s">
        <v>109</v>
      </c>
      <c r="D360" t="s">
        <v>156</v>
      </c>
      <c r="E360" s="13" t="s">
        <v>530</v>
      </c>
      <c r="F360" s="12">
        <v>2</v>
      </c>
      <c r="G360" s="12">
        <v>92436.98</v>
      </c>
      <c r="H360" s="35">
        <v>46147.398143344908</v>
      </c>
    </row>
    <row r="361" spans="2:8" x14ac:dyDescent="0.2">
      <c r="B361" s="32">
        <v>45993</v>
      </c>
      <c r="C361" t="s">
        <v>109</v>
      </c>
      <c r="D361" t="s">
        <v>154</v>
      </c>
      <c r="E361" s="13" t="s">
        <v>529</v>
      </c>
      <c r="F361" s="12">
        <v>2</v>
      </c>
      <c r="G361" s="12">
        <v>84033.62</v>
      </c>
      <c r="H361" s="35">
        <v>46147.398143344908</v>
      </c>
    </row>
    <row r="362" spans="2:8" x14ac:dyDescent="0.2">
      <c r="B362" s="32">
        <v>45993</v>
      </c>
      <c r="C362" t="s">
        <v>109</v>
      </c>
      <c r="D362" t="s">
        <v>339</v>
      </c>
      <c r="E362" s="13" t="s">
        <v>530</v>
      </c>
      <c r="F362" s="12">
        <v>2</v>
      </c>
      <c r="G362" s="12">
        <v>82815.13</v>
      </c>
      <c r="H362" s="35">
        <v>46147.398143344908</v>
      </c>
    </row>
    <row r="363" spans="2:8" x14ac:dyDescent="0.2">
      <c r="B363" s="32">
        <v>45993</v>
      </c>
      <c r="C363" t="s">
        <v>109</v>
      </c>
      <c r="D363" t="s">
        <v>232</v>
      </c>
      <c r="E363" s="13" t="s">
        <v>529</v>
      </c>
      <c r="F363" s="12">
        <v>2</v>
      </c>
      <c r="G363" s="12">
        <v>75630.259999999995</v>
      </c>
      <c r="H363" s="35">
        <v>46147.398143344908</v>
      </c>
    </row>
    <row r="364" spans="2:8" x14ac:dyDescent="0.2">
      <c r="B364" s="32">
        <v>45993</v>
      </c>
      <c r="C364" t="s">
        <v>109</v>
      </c>
      <c r="D364" t="s">
        <v>1600</v>
      </c>
      <c r="E364" s="13" t="s">
        <v>530</v>
      </c>
      <c r="F364" s="12">
        <v>2</v>
      </c>
      <c r="G364" s="12">
        <v>75630.259999999995</v>
      </c>
      <c r="H364" s="35">
        <v>46147.398143344908</v>
      </c>
    </row>
    <row r="365" spans="2:8" x14ac:dyDescent="0.2">
      <c r="B365" s="32">
        <v>45993</v>
      </c>
      <c r="C365" t="s">
        <v>109</v>
      </c>
      <c r="D365" t="s">
        <v>1604</v>
      </c>
      <c r="E365" s="13" t="s">
        <v>530</v>
      </c>
      <c r="F365" s="12">
        <v>2</v>
      </c>
      <c r="G365" s="12">
        <v>75630.259999999995</v>
      </c>
      <c r="H365" s="35">
        <v>46147.398143344908</v>
      </c>
    </row>
    <row r="366" spans="2:8" x14ac:dyDescent="0.2">
      <c r="B366" s="32">
        <v>45993</v>
      </c>
      <c r="C366" t="s">
        <v>109</v>
      </c>
      <c r="D366" t="s">
        <v>142</v>
      </c>
      <c r="E366" s="13" t="s">
        <v>530</v>
      </c>
      <c r="F366" s="12">
        <v>2</v>
      </c>
      <c r="G366" s="12">
        <v>70588.23</v>
      </c>
      <c r="H366" s="35">
        <v>46147.398143344908</v>
      </c>
    </row>
    <row r="367" spans="2:8" x14ac:dyDescent="0.2">
      <c r="B367" s="32">
        <v>45993</v>
      </c>
      <c r="C367" t="s">
        <v>109</v>
      </c>
      <c r="D367" t="s">
        <v>178</v>
      </c>
      <c r="E367" s="13" t="s">
        <v>530</v>
      </c>
      <c r="F367" s="12">
        <v>2</v>
      </c>
      <c r="G367" s="12">
        <v>33613.440000000002</v>
      </c>
      <c r="H367" s="35">
        <v>46147.398143344908</v>
      </c>
    </row>
    <row r="368" spans="2:8" x14ac:dyDescent="0.2">
      <c r="B368" s="32">
        <v>45994</v>
      </c>
      <c r="C368" t="s">
        <v>140</v>
      </c>
      <c r="D368" t="s">
        <v>616</v>
      </c>
      <c r="E368" s="13" t="s">
        <v>530</v>
      </c>
      <c r="F368" s="12">
        <v>13</v>
      </c>
      <c r="G368" s="12">
        <v>910084.03</v>
      </c>
      <c r="H368" s="35">
        <v>46147.398143344908</v>
      </c>
    </row>
    <row r="369" spans="2:8" x14ac:dyDescent="0.2">
      <c r="B369" s="32">
        <v>45994</v>
      </c>
      <c r="C369" t="s">
        <v>140</v>
      </c>
      <c r="D369" t="s">
        <v>616</v>
      </c>
      <c r="E369" s="13" t="s">
        <v>529</v>
      </c>
      <c r="F369" s="12">
        <v>8</v>
      </c>
      <c r="G369" s="12">
        <v>579411.76</v>
      </c>
      <c r="H369" s="35">
        <v>46147.398143344908</v>
      </c>
    </row>
    <row r="370" spans="2:8" x14ac:dyDescent="0.2">
      <c r="B370" s="32">
        <v>45994</v>
      </c>
      <c r="C370" t="s">
        <v>140</v>
      </c>
      <c r="D370" t="s">
        <v>384</v>
      </c>
      <c r="E370" s="13" t="s">
        <v>530</v>
      </c>
      <c r="F370" s="12">
        <v>3</v>
      </c>
      <c r="G370" s="12">
        <v>302521.01</v>
      </c>
      <c r="H370" s="35">
        <v>46147.398143344908</v>
      </c>
    </row>
    <row r="371" spans="2:8" x14ac:dyDescent="0.2">
      <c r="B371" s="32">
        <v>45994</v>
      </c>
      <c r="C371" t="s">
        <v>140</v>
      </c>
      <c r="D371" t="s">
        <v>1579</v>
      </c>
      <c r="E371" s="13" t="s">
        <v>529</v>
      </c>
      <c r="F371" s="12">
        <v>2</v>
      </c>
      <c r="G371" s="12">
        <v>235294.13</v>
      </c>
      <c r="H371" s="35">
        <v>46147.398143344908</v>
      </c>
    </row>
    <row r="372" spans="2:8" x14ac:dyDescent="0.2">
      <c r="B372" s="32">
        <v>45994</v>
      </c>
      <c r="C372" t="s">
        <v>140</v>
      </c>
      <c r="D372" t="s">
        <v>1551</v>
      </c>
      <c r="E372" s="13" t="s">
        <v>529</v>
      </c>
      <c r="F372" s="12">
        <v>2</v>
      </c>
      <c r="G372" s="12">
        <v>168067.22</v>
      </c>
      <c r="H372" s="35">
        <v>46147.398143344908</v>
      </c>
    </row>
    <row r="373" spans="2:8" x14ac:dyDescent="0.2">
      <c r="B373" s="32">
        <v>45994</v>
      </c>
      <c r="C373" t="s">
        <v>140</v>
      </c>
      <c r="D373" t="s">
        <v>142</v>
      </c>
      <c r="E373" s="13" t="s">
        <v>529</v>
      </c>
      <c r="F373" s="12">
        <v>3</v>
      </c>
      <c r="G373" s="12">
        <v>126050.42</v>
      </c>
      <c r="H373" s="35">
        <v>46147.398143344908</v>
      </c>
    </row>
    <row r="374" spans="2:8" x14ac:dyDescent="0.2">
      <c r="B374" s="32">
        <v>45994</v>
      </c>
      <c r="C374" t="s">
        <v>140</v>
      </c>
      <c r="D374" t="s">
        <v>289</v>
      </c>
      <c r="E374" s="13" t="s">
        <v>530</v>
      </c>
      <c r="F374" s="12">
        <v>2</v>
      </c>
      <c r="G374" s="12">
        <v>92436.96</v>
      </c>
      <c r="H374" s="35">
        <v>46147.398143344908</v>
      </c>
    </row>
    <row r="375" spans="2:8" x14ac:dyDescent="0.2">
      <c r="B375" s="32">
        <v>45994</v>
      </c>
      <c r="C375" t="s">
        <v>109</v>
      </c>
      <c r="D375" t="s">
        <v>157</v>
      </c>
      <c r="E375" s="13" t="s">
        <v>530</v>
      </c>
      <c r="F375" s="12">
        <v>3</v>
      </c>
      <c r="G375" s="12">
        <v>731092.44</v>
      </c>
      <c r="H375" s="35">
        <v>46147.398143344908</v>
      </c>
    </row>
    <row r="376" spans="2:8" x14ac:dyDescent="0.2">
      <c r="B376" s="32">
        <v>45994</v>
      </c>
      <c r="C376" t="s">
        <v>109</v>
      </c>
      <c r="D376" t="s">
        <v>1533</v>
      </c>
      <c r="E376" s="13" t="s">
        <v>530</v>
      </c>
      <c r="F376" s="12">
        <v>4</v>
      </c>
      <c r="G376" s="12">
        <v>521008.4</v>
      </c>
      <c r="H376" s="35">
        <v>46147.398143344908</v>
      </c>
    </row>
    <row r="377" spans="2:8" x14ac:dyDescent="0.2">
      <c r="B377" s="32">
        <v>45994</v>
      </c>
      <c r="C377" t="s">
        <v>109</v>
      </c>
      <c r="D377" t="s">
        <v>143</v>
      </c>
      <c r="E377" s="13" t="s">
        <v>530</v>
      </c>
      <c r="F377" s="12">
        <v>17</v>
      </c>
      <c r="G377" s="12">
        <v>499999.99</v>
      </c>
      <c r="H377" s="35">
        <v>46147.398143344908</v>
      </c>
    </row>
    <row r="378" spans="2:8" x14ac:dyDescent="0.2">
      <c r="B378" s="32">
        <v>45994</v>
      </c>
      <c r="C378" t="s">
        <v>109</v>
      </c>
      <c r="D378" t="s">
        <v>603</v>
      </c>
      <c r="E378" s="13" t="s">
        <v>530</v>
      </c>
      <c r="F378" s="12">
        <v>2</v>
      </c>
      <c r="G378" s="12">
        <v>487394.96</v>
      </c>
      <c r="H378" s="35">
        <v>46147.398143344908</v>
      </c>
    </row>
    <row r="379" spans="2:8" x14ac:dyDescent="0.2">
      <c r="B379" s="32">
        <v>45994</v>
      </c>
      <c r="C379" t="s">
        <v>109</v>
      </c>
      <c r="D379" t="s">
        <v>1614</v>
      </c>
      <c r="E379" s="13" t="s">
        <v>530</v>
      </c>
      <c r="F379" s="12">
        <v>4</v>
      </c>
      <c r="G379" s="12">
        <v>453781.51</v>
      </c>
      <c r="H379" s="35">
        <v>46147.398143344908</v>
      </c>
    </row>
    <row r="380" spans="2:8" x14ac:dyDescent="0.2">
      <c r="B380" s="32">
        <v>45994</v>
      </c>
      <c r="C380" t="s">
        <v>109</v>
      </c>
      <c r="D380" t="s">
        <v>146</v>
      </c>
      <c r="E380" s="13" t="s">
        <v>530</v>
      </c>
      <c r="F380" s="12">
        <v>11</v>
      </c>
      <c r="G380" s="12">
        <v>415966.38</v>
      </c>
      <c r="H380" s="35">
        <v>46147.398143344908</v>
      </c>
    </row>
    <row r="381" spans="2:8" x14ac:dyDescent="0.2">
      <c r="B381" s="32">
        <v>45994</v>
      </c>
      <c r="C381" t="s">
        <v>109</v>
      </c>
      <c r="D381" t="s">
        <v>187</v>
      </c>
      <c r="E381" s="13" t="s">
        <v>530</v>
      </c>
      <c r="F381" s="12">
        <v>5</v>
      </c>
      <c r="G381" s="12">
        <v>357142.86</v>
      </c>
      <c r="H381" s="35">
        <v>46147.398143344908</v>
      </c>
    </row>
    <row r="382" spans="2:8" x14ac:dyDescent="0.2">
      <c r="B382" s="32">
        <v>45994</v>
      </c>
      <c r="C382" t="s">
        <v>109</v>
      </c>
      <c r="D382" t="s">
        <v>465</v>
      </c>
      <c r="E382" s="13" t="s">
        <v>530</v>
      </c>
      <c r="F382" s="12">
        <v>5</v>
      </c>
      <c r="G382" s="12">
        <v>357142.85</v>
      </c>
      <c r="H382" s="35">
        <v>46147.398143344908</v>
      </c>
    </row>
    <row r="383" spans="2:8" x14ac:dyDescent="0.2">
      <c r="B383" s="32">
        <v>45994</v>
      </c>
      <c r="C383" t="s">
        <v>109</v>
      </c>
      <c r="D383" t="s">
        <v>189</v>
      </c>
      <c r="E383" s="13" t="s">
        <v>530</v>
      </c>
      <c r="F383" s="12">
        <v>2</v>
      </c>
      <c r="G383" s="12">
        <v>285714.28999999998</v>
      </c>
      <c r="H383" s="35">
        <v>46147.398143344908</v>
      </c>
    </row>
    <row r="384" spans="2:8" x14ac:dyDescent="0.2">
      <c r="B384" s="32">
        <v>45994</v>
      </c>
      <c r="C384" t="s">
        <v>109</v>
      </c>
      <c r="D384" t="s">
        <v>343</v>
      </c>
      <c r="E384" s="13" t="s">
        <v>529</v>
      </c>
      <c r="F384" s="12">
        <v>3</v>
      </c>
      <c r="G384" s="12">
        <v>226890.75</v>
      </c>
      <c r="H384" s="35">
        <v>46147.398143344908</v>
      </c>
    </row>
    <row r="385" spans="2:8" x14ac:dyDescent="0.2">
      <c r="B385" s="32">
        <v>45994</v>
      </c>
      <c r="C385" t="s">
        <v>109</v>
      </c>
      <c r="D385" t="s">
        <v>194</v>
      </c>
      <c r="E385" s="13" t="s">
        <v>529</v>
      </c>
      <c r="F385" s="12">
        <v>5</v>
      </c>
      <c r="G385" s="12">
        <v>210084.03</v>
      </c>
      <c r="H385" s="35">
        <v>46147.398143344908</v>
      </c>
    </row>
    <row r="386" spans="2:8" x14ac:dyDescent="0.2">
      <c r="B386" s="32">
        <v>45994</v>
      </c>
      <c r="C386" t="s">
        <v>109</v>
      </c>
      <c r="D386" t="s">
        <v>167</v>
      </c>
      <c r="E386" s="13" t="s">
        <v>530</v>
      </c>
      <c r="F386" s="12">
        <v>2</v>
      </c>
      <c r="G386" s="12">
        <v>201680.68</v>
      </c>
      <c r="H386" s="35">
        <v>46147.398143344908</v>
      </c>
    </row>
    <row r="387" spans="2:8" x14ac:dyDescent="0.2">
      <c r="B387" s="32">
        <v>45994</v>
      </c>
      <c r="C387" t="s">
        <v>109</v>
      </c>
      <c r="D387" t="s">
        <v>449</v>
      </c>
      <c r="E387" s="13" t="s">
        <v>530</v>
      </c>
      <c r="F387" s="12">
        <v>2</v>
      </c>
      <c r="G387" s="12">
        <v>201680.67</v>
      </c>
      <c r="H387" s="35">
        <v>46147.398143344908</v>
      </c>
    </row>
    <row r="388" spans="2:8" x14ac:dyDescent="0.2">
      <c r="B388" s="32">
        <v>45994</v>
      </c>
      <c r="C388" t="s">
        <v>109</v>
      </c>
      <c r="D388" t="s">
        <v>156</v>
      </c>
      <c r="E388" s="13" t="s">
        <v>530</v>
      </c>
      <c r="F388" s="12">
        <v>4</v>
      </c>
      <c r="G388" s="12">
        <v>184873.95</v>
      </c>
      <c r="H388" s="35">
        <v>46147.398143344908</v>
      </c>
    </row>
    <row r="389" spans="2:8" x14ac:dyDescent="0.2">
      <c r="B389" s="32">
        <v>45994</v>
      </c>
      <c r="C389" t="s">
        <v>109</v>
      </c>
      <c r="D389" t="s">
        <v>143</v>
      </c>
      <c r="E389" s="13" t="s">
        <v>529</v>
      </c>
      <c r="F389" s="12">
        <v>6</v>
      </c>
      <c r="G389" s="12">
        <v>176470.57</v>
      </c>
      <c r="H389" s="35">
        <v>46147.398143344908</v>
      </c>
    </row>
    <row r="390" spans="2:8" x14ac:dyDescent="0.2">
      <c r="B390" s="32">
        <v>45994</v>
      </c>
      <c r="C390" t="s">
        <v>109</v>
      </c>
      <c r="D390" t="s">
        <v>523</v>
      </c>
      <c r="E390" s="13" t="s">
        <v>529</v>
      </c>
      <c r="F390" s="12">
        <v>3</v>
      </c>
      <c r="G390" s="12">
        <v>163865.54</v>
      </c>
      <c r="H390" s="35">
        <v>46147.398143344908</v>
      </c>
    </row>
    <row r="391" spans="2:8" x14ac:dyDescent="0.2">
      <c r="B391" s="32">
        <v>45994</v>
      </c>
      <c r="C391" t="s">
        <v>109</v>
      </c>
      <c r="D391" t="s">
        <v>197</v>
      </c>
      <c r="E391" s="13" t="s">
        <v>530</v>
      </c>
      <c r="F391" s="12">
        <v>2</v>
      </c>
      <c r="G391" s="12">
        <v>151260.5</v>
      </c>
      <c r="H391" s="35">
        <v>46147.398143344908</v>
      </c>
    </row>
    <row r="392" spans="2:8" x14ac:dyDescent="0.2">
      <c r="B392" s="32">
        <v>45994</v>
      </c>
      <c r="C392" t="s">
        <v>109</v>
      </c>
      <c r="D392" t="s">
        <v>359</v>
      </c>
      <c r="E392" s="13" t="s">
        <v>530</v>
      </c>
      <c r="F392" s="12">
        <v>2</v>
      </c>
      <c r="G392" s="12">
        <v>151260.49</v>
      </c>
      <c r="H392" s="35">
        <v>46147.398143344908</v>
      </c>
    </row>
    <row r="393" spans="2:8" x14ac:dyDescent="0.2">
      <c r="B393" s="32">
        <v>45994</v>
      </c>
      <c r="C393" t="s">
        <v>109</v>
      </c>
      <c r="D393" t="s">
        <v>147</v>
      </c>
      <c r="E393" s="13" t="s">
        <v>530</v>
      </c>
      <c r="F393" s="12">
        <v>2</v>
      </c>
      <c r="G393" s="12">
        <v>142857.14000000001</v>
      </c>
      <c r="H393" s="35">
        <v>46147.398143344908</v>
      </c>
    </row>
    <row r="394" spans="2:8" x14ac:dyDescent="0.2">
      <c r="B394" s="32">
        <v>45994</v>
      </c>
      <c r="C394" t="s">
        <v>109</v>
      </c>
      <c r="D394" t="s">
        <v>333</v>
      </c>
      <c r="E394" s="13" t="s">
        <v>529</v>
      </c>
      <c r="F394" s="12">
        <v>2</v>
      </c>
      <c r="G394" s="12">
        <v>142857.14000000001</v>
      </c>
      <c r="H394" s="35">
        <v>46147.398143344908</v>
      </c>
    </row>
    <row r="395" spans="2:8" x14ac:dyDescent="0.2">
      <c r="B395" s="32">
        <v>45994</v>
      </c>
      <c r="C395" t="s">
        <v>109</v>
      </c>
      <c r="D395" t="s">
        <v>348</v>
      </c>
      <c r="E395" s="13" t="s">
        <v>529</v>
      </c>
      <c r="F395" s="12">
        <v>2</v>
      </c>
      <c r="G395" s="12">
        <v>142857.14000000001</v>
      </c>
      <c r="H395" s="35">
        <v>46147.398143344908</v>
      </c>
    </row>
    <row r="396" spans="2:8" x14ac:dyDescent="0.2">
      <c r="B396" s="32">
        <v>45994</v>
      </c>
      <c r="C396" t="s">
        <v>109</v>
      </c>
      <c r="D396" t="s">
        <v>149</v>
      </c>
      <c r="E396" s="13" t="s">
        <v>529</v>
      </c>
      <c r="F396" s="12">
        <v>3</v>
      </c>
      <c r="G396" s="12">
        <v>138655.46</v>
      </c>
      <c r="H396" s="35">
        <v>46147.398143344908</v>
      </c>
    </row>
    <row r="397" spans="2:8" x14ac:dyDescent="0.2">
      <c r="B397" s="32">
        <v>45994</v>
      </c>
      <c r="C397" t="s">
        <v>109</v>
      </c>
      <c r="D397" t="s">
        <v>1553</v>
      </c>
      <c r="E397" s="13" t="s">
        <v>530</v>
      </c>
      <c r="F397" s="12">
        <v>3</v>
      </c>
      <c r="G397" s="12">
        <v>138655.46</v>
      </c>
      <c r="H397" s="35">
        <v>46147.398143344908</v>
      </c>
    </row>
    <row r="398" spans="2:8" x14ac:dyDescent="0.2">
      <c r="B398" s="32">
        <v>45994</v>
      </c>
      <c r="C398" t="s">
        <v>109</v>
      </c>
      <c r="D398" t="s">
        <v>1565</v>
      </c>
      <c r="E398" s="13" t="s">
        <v>529</v>
      </c>
      <c r="F398" s="12">
        <v>3</v>
      </c>
      <c r="G398" s="12">
        <v>126050.42</v>
      </c>
      <c r="H398" s="35">
        <v>46147.398143344908</v>
      </c>
    </row>
    <row r="399" spans="2:8" x14ac:dyDescent="0.2">
      <c r="B399" s="32">
        <v>45994</v>
      </c>
      <c r="C399" t="s">
        <v>109</v>
      </c>
      <c r="D399" t="s">
        <v>148</v>
      </c>
      <c r="E399" s="13" t="s">
        <v>529</v>
      </c>
      <c r="F399" s="12">
        <v>3</v>
      </c>
      <c r="G399" s="12">
        <v>126050.42</v>
      </c>
      <c r="H399" s="35">
        <v>46147.398143344908</v>
      </c>
    </row>
    <row r="400" spans="2:8" x14ac:dyDescent="0.2">
      <c r="B400" s="32">
        <v>45994</v>
      </c>
      <c r="C400" t="s">
        <v>109</v>
      </c>
      <c r="D400" t="s">
        <v>244</v>
      </c>
      <c r="E400" s="13" t="s">
        <v>530</v>
      </c>
      <c r="F400" s="12">
        <v>3</v>
      </c>
      <c r="G400" s="12">
        <v>126050.41</v>
      </c>
      <c r="H400" s="35">
        <v>46147.398143344908</v>
      </c>
    </row>
    <row r="401" spans="2:8" x14ac:dyDescent="0.2">
      <c r="B401" s="32">
        <v>45994</v>
      </c>
      <c r="C401" t="s">
        <v>109</v>
      </c>
      <c r="D401" t="s">
        <v>1615</v>
      </c>
      <c r="E401" s="13" t="s">
        <v>529</v>
      </c>
      <c r="F401" s="12">
        <v>3</v>
      </c>
      <c r="G401" s="12">
        <v>113445.38</v>
      </c>
      <c r="H401" s="35">
        <v>46147.398143344908</v>
      </c>
    </row>
    <row r="402" spans="2:8" x14ac:dyDescent="0.2">
      <c r="B402" s="32">
        <v>45994</v>
      </c>
      <c r="C402" t="s">
        <v>109</v>
      </c>
      <c r="D402" t="s">
        <v>232</v>
      </c>
      <c r="E402" s="13" t="s">
        <v>529</v>
      </c>
      <c r="F402" s="12">
        <v>3</v>
      </c>
      <c r="G402" s="12">
        <v>113445.38</v>
      </c>
      <c r="H402" s="35">
        <v>46147.398143344908</v>
      </c>
    </row>
    <row r="403" spans="2:8" x14ac:dyDescent="0.2">
      <c r="B403" s="32">
        <v>45994</v>
      </c>
      <c r="C403" t="s">
        <v>109</v>
      </c>
      <c r="D403" t="s">
        <v>550</v>
      </c>
      <c r="E403" s="13" t="s">
        <v>530</v>
      </c>
      <c r="F403" s="12">
        <v>2</v>
      </c>
      <c r="G403" s="12">
        <v>109243.7</v>
      </c>
      <c r="H403" s="35">
        <v>46147.398143344908</v>
      </c>
    </row>
    <row r="404" spans="2:8" x14ac:dyDescent="0.2">
      <c r="B404" s="32">
        <v>45994</v>
      </c>
      <c r="C404" t="s">
        <v>109</v>
      </c>
      <c r="D404" t="s">
        <v>344</v>
      </c>
      <c r="E404" s="13" t="s">
        <v>530</v>
      </c>
      <c r="F404" s="12">
        <v>2</v>
      </c>
      <c r="G404" s="12">
        <v>109243.69</v>
      </c>
      <c r="H404" s="35">
        <v>46147.398143344908</v>
      </c>
    </row>
    <row r="405" spans="2:8" x14ac:dyDescent="0.2">
      <c r="B405" s="32">
        <v>45994</v>
      </c>
      <c r="C405" t="s">
        <v>109</v>
      </c>
      <c r="D405" t="s">
        <v>223</v>
      </c>
      <c r="E405" s="13" t="s">
        <v>530</v>
      </c>
      <c r="F405" s="12">
        <v>2</v>
      </c>
      <c r="G405" s="12">
        <v>92436.98</v>
      </c>
      <c r="H405" s="35">
        <v>46147.398143344908</v>
      </c>
    </row>
    <row r="406" spans="2:8" x14ac:dyDescent="0.2">
      <c r="B406" s="32">
        <v>45994</v>
      </c>
      <c r="C406" t="s">
        <v>109</v>
      </c>
      <c r="D406" t="s">
        <v>1565</v>
      </c>
      <c r="E406" s="13" t="s">
        <v>530</v>
      </c>
      <c r="F406" s="12">
        <v>2</v>
      </c>
      <c r="G406" s="12">
        <v>84033.61</v>
      </c>
      <c r="H406" s="35">
        <v>46147.398143344908</v>
      </c>
    </row>
    <row r="407" spans="2:8" x14ac:dyDescent="0.2">
      <c r="B407" s="32">
        <v>45994</v>
      </c>
      <c r="C407" t="s">
        <v>109</v>
      </c>
      <c r="D407" t="s">
        <v>370</v>
      </c>
      <c r="E407" s="13" t="s">
        <v>530</v>
      </c>
      <c r="F407" s="12">
        <v>2</v>
      </c>
      <c r="G407" s="12">
        <v>75630.259999999995</v>
      </c>
      <c r="H407" s="35">
        <v>46147.398143344908</v>
      </c>
    </row>
    <row r="408" spans="2:8" x14ac:dyDescent="0.2">
      <c r="B408" s="32">
        <v>45994</v>
      </c>
      <c r="C408" t="s">
        <v>109</v>
      </c>
      <c r="D408" t="s">
        <v>1601</v>
      </c>
      <c r="E408" s="13" t="s">
        <v>530</v>
      </c>
      <c r="F408" s="12">
        <v>2</v>
      </c>
      <c r="G408" s="12">
        <v>75630.259999999995</v>
      </c>
      <c r="H408" s="35">
        <v>46147.398143344908</v>
      </c>
    </row>
    <row r="409" spans="2:8" x14ac:dyDescent="0.2">
      <c r="B409" s="32">
        <v>45994</v>
      </c>
      <c r="C409" t="s">
        <v>109</v>
      </c>
      <c r="D409" t="s">
        <v>1610</v>
      </c>
      <c r="E409" s="13" t="s">
        <v>530</v>
      </c>
      <c r="F409" s="12">
        <v>2</v>
      </c>
      <c r="G409" s="12">
        <v>75630.25</v>
      </c>
      <c r="H409" s="35">
        <v>46147.398143344908</v>
      </c>
    </row>
    <row r="410" spans="2:8" x14ac:dyDescent="0.2">
      <c r="B410" s="32">
        <v>45994</v>
      </c>
      <c r="C410" t="s">
        <v>109</v>
      </c>
      <c r="D410" t="s">
        <v>298</v>
      </c>
      <c r="E410" s="13" t="s">
        <v>530</v>
      </c>
      <c r="F410" s="12">
        <v>2</v>
      </c>
      <c r="G410" s="12">
        <v>75630.25</v>
      </c>
      <c r="H410" s="35">
        <v>46147.398143344908</v>
      </c>
    </row>
    <row r="411" spans="2:8" x14ac:dyDescent="0.2">
      <c r="B411" s="32">
        <v>45994</v>
      </c>
      <c r="C411" t="s">
        <v>109</v>
      </c>
      <c r="D411" t="s">
        <v>326</v>
      </c>
      <c r="E411" s="13" t="s">
        <v>529</v>
      </c>
      <c r="F411" s="12">
        <v>2</v>
      </c>
      <c r="G411" s="12">
        <v>75630.25</v>
      </c>
      <c r="H411" s="35">
        <v>46147.398143344908</v>
      </c>
    </row>
    <row r="412" spans="2:8" x14ac:dyDescent="0.2">
      <c r="B412" s="32">
        <v>45994</v>
      </c>
      <c r="C412" t="s">
        <v>109</v>
      </c>
      <c r="D412" t="s">
        <v>142</v>
      </c>
      <c r="E412" s="13" t="s">
        <v>529</v>
      </c>
      <c r="F412" s="12">
        <v>6</v>
      </c>
      <c r="G412" s="12">
        <v>68067.22</v>
      </c>
      <c r="H412" s="35">
        <v>46147.398143344908</v>
      </c>
    </row>
    <row r="413" spans="2:8" x14ac:dyDescent="0.2">
      <c r="B413" s="32">
        <v>45995</v>
      </c>
      <c r="C413" t="s">
        <v>140</v>
      </c>
      <c r="D413" t="s">
        <v>1616</v>
      </c>
      <c r="E413" s="13" t="s">
        <v>530</v>
      </c>
      <c r="F413" s="12">
        <v>3</v>
      </c>
      <c r="G413" s="12">
        <v>415966.39</v>
      </c>
      <c r="H413" s="35">
        <v>46147.398143344908</v>
      </c>
    </row>
    <row r="414" spans="2:8" x14ac:dyDescent="0.2">
      <c r="B414" s="32">
        <v>45995</v>
      </c>
      <c r="C414" t="s">
        <v>140</v>
      </c>
      <c r="D414" t="s">
        <v>199</v>
      </c>
      <c r="E414" s="13" t="s">
        <v>529</v>
      </c>
      <c r="F414" s="12">
        <v>6</v>
      </c>
      <c r="G414" s="12">
        <v>262184.87</v>
      </c>
      <c r="H414" s="35">
        <v>46147.398143344908</v>
      </c>
    </row>
    <row r="415" spans="2:8" x14ac:dyDescent="0.2">
      <c r="B415" s="32">
        <v>45995</v>
      </c>
      <c r="C415" t="s">
        <v>140</v>
      </c>
      <c r="D415" t="s">
        <v>636</v>
      </c>
      <c r="E415" s="13" t="s">
        <v>530</v>
      </c>
      <c r="F415" s="12">
        <v>2</v>
      </c>
      <c r="G415" s="12">
        <v>155462.19</v>
      </c>
      <c r="H415" s="35">
        <v>46147.398143344908</v>
      </c>
    </row>
    <row r="416" spans="2:8" x14ac:dyDescent="0.2">
      <c r="B416" s="32">
        <v>45995</v>
      </c>
      <c r="C416" t="s">
        <v>140</v>
      </c>
      <c r="D416" t="s">
        <v>377</v>
      </c>
      <c r="E416" s="13" t="s">
        <v>530</v>
      </c>
      <c r="F416" s="12">
        <v>2</v>
      </c>
      <c r="G416" s="12">
        <v>92436.98</v>
      </c>
      <c r="H416" s="35">
        <v>46147.398143344908</v>
      </c>
    </row>
    <row r="417" spans="2:8" x14ac:dyDescent="0.2">
      <c r="B417" s="32">
        <v>45995</v>
      </c>
      <c r="C417" t="s">
        <v>140</v>
      </c>
      <c r="D417" t="s">
        <v>216</v>
      </c>
      <c r="E417" s="13" t="s">
        <v>530</v>
      </c>
      <c r="F417" s="12">
        <v>2</v>
      </c>
      <c r="G417" s="12">
        <v>58823.519999999997</v>
      </c>
      <c r="H417" s="35">
        <v>46147.398143344908</v>
      </c>
    </row>
    <row r="418" spans="2:8" x14ac:dyDescent="0.2">
      <c r="B418" s="32">
        <v>45995</v>
      </c>
      <c r="C418" t="s">
        <v>109</v>
      </c>
      <c r="D418" t="s">
        <v>620</v>
      </c>
      <c r="E418" s="13" t="s">
        <v>530</v>
      </c>
      <c r="F418" s="12">
        <v>13</v>
      </c>
      <c r="G418" s="12">
        <v>764705.88</v>
      </c>
      <c r="H418" s="35">
        <v>46147.398143344908</v>
      </c>
    </row>
    <row r="419" spans="2:8" x14ac:dyDescent="0.2">
      <c r="B419" s="32">
        <v>45995</v>
      </c>
      <c r="C419" t="s">
        <v>109</v>
      </c>
      <c r="D419" t="s">
        <v>569</v>
      </c>
      <c r="E419" s="13" t="s">
        <v>530</v>
      </c>
      <c r="F419" s="12">
        <v>12</v>
      </c>
      <c r="G419" s="12">
        <v>705882.35</v>
      </c>
      <c r="H419" s="35">
        <v>46147.398143344908</v>
      </c>
    </row>
    <row r="420" spans="2:8" x14ac:dyDescent="0.2">
      <c r="B420" s="32">
        <v>45995</v>
      </c>
      <c r="C420" t="s">
        <v>109</v>
      </c>
      <c r="D420" t="s">
        <v>1570</v>
      </c>
      <c r="E420" s="13" t="s">
        <v>530</v>
      </c>
      <c r="F420" s="12">
        <v>5</v>
      </c>
      <c r="G420" s="12">
        <v>378151.26</v>
      </c>
      <c r="H420" s="35">
        <v>46147.398143344908</v>
      </c>
    </row>
    <row r="421" spans="2:8" x14ac:dyDescent="0.2">
      <c r="B421" s="32">
        <v>45995</v>
      </c>
      <c r="C421" t="s">
        <v>109</v>
      </c>
      <c r="E421" s="13" t="s">
        <v>529</v>
      </c>
      <c r="F421" s="12">
        <v>3</v>
      </c>
      <c r="G421" s="12">
        <v>365546.21</v>
      </c>
      <c r="H421" s="35">
        <v>46147.398143344908</v>
      </c>
    </row>
    <row r="422" spans="2:8" x14ac:dyDescent="0.2">
      <c r="B422" s="32">
        <v>45995</v>
      </c>
      <c r="C422" t="s">
        <v>109</v>
      </c>
      <c r="D422" t="s">
        <v>180</v>
      </c>
      <c r="E422" s="13" t="s">
        <v>530</v>
      </c>
      <c r="F422" s="12">
        <v>6</v>
      </c>
      <c r="G422" s="12">
        <v>176470.59</v>
      </c>
      <c r="H422" s="35">
        <v>46147.398143344908</v>
      </c>
    </row>
    <row r="423" spans="2:8" x14ac:dyDescent="0.2">
      <c r="B423" s="32">
        <v>45995</v>
      </c>
      <c r="C423" t="s">
        <v>109</v>
      </c>
      <c r="D423" t="s">
        <v>1562</v>
      </c>
      <c r="E423" s="13" t="s">
        <v>530</v>
      </c>
      <c r="F423" s="12">
        <v>3</v>
      </c>
      <c r="G423" s="12">
        <v>176470.59</v>
      </c>
      <c r="H423" s="35">
        <v>46147.398143344908</v>
      </c>
    </row>
    <row r="424" spans="2:8" x14ac:dyDescent="0.2">
      <c r="B424" s="32">
        <v>45995</v>
      </c>
      <c r="C424" t="s">
        <v>109</v>
      </c>
      <c r="D424" t="s">
        <v>1602</v>
      </c>
      <c r="E424" s="13" t="s">
        <v>530</v>
      </c>
      <c r="F424" s="12">
        <v>2</v>
      </c>
      <c r="G424" s="12">
        <v>159663.85999999999</v>
      </c>
      <c r="H424" s="35">
        <v>46147.398143344908</v>
      </c>
    </row>
    <row r="425" spans="2:8" x14ac:dyDescent="0.2">
      <c r="B425" s="32">
        <v>45995</v>
      </c>
      <c r="C425" t="s">
        <v>109</v>
      </c>
      <c r="D425" t="s">
        <v>142</v>
      </c>
      <c r="E425" s="13" t="s">
        <v>530</v>
      </c>
      <c r="F425" s="12">
        <v>13</v>
      </c>
      <c r="G425" s="12">
        <v>157142.85</v>
      </c>
      <c r="H425" s="35">
        <v>46147.398143344908</v>
      </c>
    </row>
    <row r="426" spans="2:8" x14ac:dyDescent="0.2">
      <c r="B426" s="32">
        <v>45995</v>
      </c>
      <c r="C426" t="s">
        <v>109</v>
      </c>
      <c r="D426" t="s">
        <v>262</v>
      </c>
      <c r="E426" s="13" t="s">
        <v>529</v>
      </c>
      <c r="F426" s="12">
        <v>2</v>
      </c>
      <c r="G426" s="12">
        <v>151260.5</v>
      </c>
      <c r="H426" s="35">
        <v>46147.398143344908</v>
      </c>
    </row>
    <row r="427" spans="2:8" x14ac:dyDescent="0.2">
      <c r="B427" s="32">
        <v>45995</v>
      </c>
      <c r="C427" t="s">
        <v>109</v>
      </c>
      <c r="D427" t="s">
        <v>333</v>
      </c>
      <c r="E427" s="13" t="s">
        <v>529</v>
      </c>
      <c r="F427" s="12">
        <v>2</v>
      </c>
      <c r="G427" s="12">
        <v>142857.14000000001</v>
      </c>
      <c r="H427" s="35">
        <v>46147.398143344908</v>
      </c>
    </row>
    <row r="428" spans="2:8" x14ac:dyDescent="0.2">
      <c r="B428" s="32">
        <v>45995</v>
      </c>
      <c r="C428" t="s">
        <v>109</v>
      </c>
      <c r="D428" t="s">
        <v>154</v>
      </c>
      <c r="E428" s="13" t="s">
        <v>529</v>
      </c>
      <c r="F428" s="12">
        <v>3</v>
      </c>
      <c r="G428" s="12">
        <v>126050.42</v>
      </c>
      <c r="H428" s="35">
        <v>46147.398143344908</v>
      </c>
    </row>
    <row r="429" spans="2:8" x14ac:dyDescent="0.2">
      <c r="B429" s="32">
        <v>45995</v>
      </c>
      <c r="C429" t="s">
        <v>109</v>
      </c>
      <c r="D429" t="s">
        <v>180</v>
      </c>
      <c r="E429" s="13" t="s">
        <v>529</v>
      </c>
      <c r="F429" s="12">
        <v>4</v>
      </c>
      <c r="G429" s="12">
        <v>117647.06</v>
      </c>
      <c r="H429" s="35">
        <v>46147.398143344908</v>
      </c>
    </row>
    <row r="430" spans="2:8" x14ac:dyDescent="0.2">
      <c r="B430" s="32">
        <v>45995</v>
      </c>
      <c r="C430" t="s">
        <v>109</v>
      </c>
      <c r="D430" t="s">
        <v>489</v>
      </c>
      <c r="E430" s="13" t="s">
        <v>529</v>
      </c>
      <c r="F430" s="12">
        <v>2</v>
      </c>
      <c r="G430" s="12">
        <v>117647.06</v>
      </c>
      <c r="H430" s="35">
        <v>46147.398143344908</v>
      </c>
    </row>
    <row r="431" spans="2:8" x14ac:dyDescent="0.2">
      <c r="B431" s="32">
        <v>45995</v>
      </c>
      <c r="C431" t="s">
        <v>109</v>
      </c>
      <c r="D431" t="s">
        <v>143</v>
      </c>
      <c r="E431" s="13" t="s">
        <v>529</v>
      </c>
      <c r="F431" s="12">
        <v>4</v>
      </c>
      <c r="G431" s="12">
        <v>117647.05</v>
      </c>
      <c r="H431" s="35">
        <v>46147.398143344908</v>
      </c>
    </row>
    <row r="432" spans="2:8" x14ac:dyDescent="0.2">
      <c r="B432" s="32">
        <v>45995</v>
      </c>
      <c r="C432" t="s">
        <v>109</v>
      </c>
      <c r="D432" t="s">
        <v>216</v>
      </c>
      <c r="E432" s="13" t="s">
        <v>530</v>
      </c>
      <c r="F432" s="12">
        <v>4</v>
      </c>
      <c r="G432" s="12">
        <v>117647.05</v>
      </c>
      <c r="H432" s="35">
        <v>46147.398143344908</v>
      </c>
    </row>
    <row r="433" spans="2:8" x14ac:dyDescent="0.2">
      <c r="B433" s="32">
        <v>45995</v>
      </c>
      <c r="C433" t="s">
        <v>109</v>
      </c>
      <c r="D433" t="s">
        <v>146</v>
      </c>
      <c r="E433" s="13" t="s">
        <v>530</v>
      </c>
      <c r="F433" s="12">
        <v>3</v>
      </c>
      <c r="G433" s="12">
        <v>113445.38</v>
      </c>
      <c r="H433" s="35">
        <v>46147.398143344908</v>
      </c>
    </row>
    <row r="434" spans="2:8" x14ac:dyDescent="0.2">
      <c r="B434" s="32">
        <v>45995</v>
      </c>
      <c r="C434" t="s">
        <v>109</v>
      </c>
      <c r="D434" t="s">
        <v>628</v>
      </c>
      <c r="E434" s="13" t="s">
        <v>530</v>
      </c>
      <c r="F434" s="12">
        <v>2</v>
      </c>
      <c r="G434" s="12">
        <v>92436.97</v>
      </c>
      <c r="H434" s="35">
        <v>46147.398143344908</v>
      </c>
    </row>
    <row r="435" spans="2:8" x14ac:dyDescent="0.2">
      <c r="B435" s="32">
        <v>45995</v>
      </c>
      <c r="C435" t="s">
        <v>109</v>
      </c>
      <c r="D435" t="s">
        <v>148</v>
      </c>
      <c r="E435" s="13" t="s">
        <v>530</v>
      </c>
      <c r="F435" s="12">
        <v>2</v>
      </c>
      <c r="G435" s="12">
        <v>84033.62</v>
      </c>
      <c r="H435" s="35">
        <v>46147.398143344908</v>
      </c>
    </row>
    <row r="436" spans="2:8" x14ac:dyDescent="0.2">
      <c r="B436" s="32">
        <v>45995</v>
      </c>
      <c r="C436" t="s">
        <v>109</v>
      </c>
      <c r="D436" t="s">
        <v>216</v>
      </c>
      <c r="E436" s="13" t="s">
        <v>529</v>
      </c>
      <c r="F436" s="12">
        <v>2</v>
      </c>
      <c r="G436" s="12">
        <v>84033.61</v>
      </c>
      <c r="H436" s="35">
        <v>46147.398143344908</v>
      </c>
    </row>
    <row r="437" spans="2:8" x14ac:dyDescent="0.2">
      <c r="B437" s="32">
        <v>45995</v>
      </c>
      <c r="C437" t="s">
        <v>109</v>
      </c>
      <c r="D437" t="s">
        <v>238</v>
      </c>
      <c r="E437" s="13" t="s">
        <v>530</v>
      </c>
      <c r="F437" s="12">
        <v>2</v>
      </c>
      <c r="G437" s="12">
        <v>84033.61</v>
      </c>
      <c r="H437" s="35">
        <v>46147.398143344908</v>
      </c>
    </row>
    <row r="438" spans="2:8" x14ac:dyDescent="0.2">
      <c r="B438" s="32">
        <v>45995</v>
      </c>
      <c r="C438" t="s">
        <v>109</v>
      </c>
      <c r="D438" t="s">
        <v>151</v>
      </c>
      <c r="E438" s="13" t="s">
        <v>530</v>
      </c>
      <c r="F438" s="12">
        <v>2</v>
      </c>
      <c r="G438" s="12">
        <v>84033.61</v>
      </c>
      <c r="H438" s="35">
        <v>46147.398143344908</v>
      </c>
    </row>
    <row r="439" spans="2:8" x14ac:dyDescent="0.2">
      <c r="B439" s="32">
        <v>45995</v>
      </c>
      <c r="C439" t="s">
        <v>109</v>
      </c>
      <c r="D439" t="s">
        <v>1604</v>
      </c>
      <c r="E439" s="13" t="s">
        <v>529</v>
      </c>
      <c r="F439" s="12">
        <v>2</v>
      </c>
      <c r="G439" s="12">
        <v>75630.259999999995</v>
      </c>
      <c r="H439" s="35">
        <v>46147.398143344908</v>
      </c>
    </row>
    <row r="440" spans="2:8" x14ac:dyDescent="0.2">
      <c r="B440" s="32">
        <v>45995</v>
      </c>
      <c r="C440" t="s">
        <v>109</v>
      </c>
      <c r="D440" t="s">
        <v>1594</v>
      </c>
      <c r="E440" s="13" t="s">
        <v>529</v>
      </c>
      <c r="F440" s="12">
        <v>2</v>
      </c>
      <c r="G440" s="12">
        <v>75630.25</v>
      </c>
      <c r="H440" s="35">
        <v>46147.398143344908</v>
      </c>
    </row>
    <row r="441" spans="2:8" x14ac:dyDescent="0.2">
      <c r="B441" s="32">
        <v>45995</v>
      </c>
      <c r="C441" t="s">
        <v>109</v>
      </c>
      <c r="D441" t="s">
        <v>142</v>
      </c>
      <c r="E441" s="13" t="s">
        <v>529</v>
      </c>
      <c r="F441" s="12">
        <v>3</v>
      </c>
      <c r="G441" s="12">
        <v>45378.16</v>
      </c>
      <c r="H441" s="35">
        <v>46147.398143344908</v>
      </c>
    </row>
    <row r="442" spans="2:8" x14ac:dyDescent="0.2">
      <c r="B442" s="32">
        <v>45996</v>
      </c>
      <c r="C442" t="s">
        <v>140</v>
      </c>
      <c r="D442" t="s">
        <v>165</v>
      </c>
      <c r="E442" s="13" t="s">
        <v>529</v>
      </c>
      <c r="F442" s="12">
        <v>2</v>
      </c>
      <c r="G442" s="12">
        <v>201680.67</v>
      </c>
      <c r="H442" s="35">
        <v>46147.398143344908</v>
      </c>
    </row>
    <row r="443" spans="2:8" x14ac:dyDescent="0.2">
      <c r="B443" s="32">
        <v>45996</v>
      </c>
      <c r="C443" t="s">
        <v>140</v>
      </c>
      <c r="D443" t="s">
        <v>1582</v>
      </c>
      <c r="E443" s="13" t="s">
        <v>529</v>
      </c>
      <c r="F443" s="12">
        <v>4</v>
      </c>
      <c r="G443" s="12">
        <v>184873.95</v>
      </c>
      <c r="H443" s="35">
        <v>46147.398143344908</v>
      </c>
    </row>
    <row r="444" spans="2:8" x14ac:dyDescent="0.2">
      <c r="B444" s="32">
        <v>45996</v>
      </c>
      <c r="C444" t="s">
        <v>109</v>
      </c>
      <c r="D444" t="s">
        <v>143</v>
      </c>
      <c r="E444" s="13" t="s">
        <v>529</v>
      </c>
      <c r="F444" s="12">
        <v>45</v>
      </c>
      <c r="G444" s="12">
        <v>1323529.3999999999</v>
      </c>
      <c r="H444" s="35">
        <v>46147.398143344908</v>
      </c>
    </row>
    <row r="445" spans="2:8" x14ac:dyDescent="0.2">
      <c r="B445" s="32">
        <v>45996</v>
      </c>
      <c r="C445" t="s">
        <v>109</v>
      </c>
      <c r="D445" t="s">
        <v>489</v>
      </c>
      <c r="E445" s="13" t="s">
        <v>529</v>
      </c>
      <c r="F445" s="12">
        <v>4</v>
      </c>
      <c r="G445" s="12">
        <v>235294.12</v>
      </c>
      <c r="H445" s="35">
        <v>46147.398143344908</v>
      </c>
    </row>
    <row r="446" spans="2:8" x14ac:dyDescent="0.2">
      <c r="B446" s="32">
        <v>45996</v>
      </c>
      <c r="C446" t="s">
        <v>109</v>
      </c>
      <c r="D446" t="s">
        <v>291</v>
      </c>
      <c r="E446" s="13" t="s">
        <v>529</v>
      </c>
      <c r="F446" s="12">
        <v>5</v>
      </c>
      <c r="G446" s="12">
        <v>189075.63</v>
      </c>
      <c r="H446" s="35">
        <v>46147.398143344908</v>
      </c>
    </row>
    <row r="447" spans="2:8" x14ac:dyDescent="0.2">
      <c r="B447" s="32">
        <v>45996</v>
      </c>
      <c r="C447" t="s">
        <v>109</v>
      </c>
      <c r="D447" t="s">
        <v>154</v>
      </c>
      <c r="E447" s="13" t="s">
        <v>529</v>
      </c>
      <c r="F447" s="12">
        <v>4</v>
      </c>
      <c r="G447" s="12">
        <v>168067.23</v>
      </c>
      <c r="H447" s="35">
        <v>46147.398143344908</v>
      </c>
    </row>
    <row r="448" spans="2:8" x14ac:dyDescent="0.2">
      <c r="B448" s="32">
        <v>45996</v>
      </c>
      <c r="C448" t="s">
        <v>109</v>
      </c>
      <c r="D448" t="s">
        <v>316</v>
      </c>
      <c r="E448" s="13" t="s">
        <v>529</v>
      </c>
      <c r="F448" s="12">
        <v>2</v>
      </c>
      <c r="G448" s="12">
        <v>117647.06</v>
      </c>
      <c r="H448" s="35">
        <v>46147.398143344908</v>
      </c>
    </row>
    <row r="449" spans="2:8" x14ac:dyDescent="0.2">
      <c r="B449" s="32">
        <v>45996</v>
      </c>
      <c r="C449" t="s">
        <v>109</v>
      </c>
      <c r="D449" t="s">
        <v>1597</v>
      </c>
      <c r="E449" s="13" t="s">
        <v>529</v>
      </c>
      <c r="F449" s="12">
        <v>3</v>
      </c>
      <c r="G449" s="12">
        <v>113445.38</v>
      </c>
      <c r="H449" s="35">
        <v>46147.398143344908</v>
      </c>
    </row>
    <row r="450" spans="2:8" x14ac:dyDescent="0.2">
      <c r="B450" s="32">
        <v>45996</v>
      </c>
      <c r="C450" t="s">
        <v>109</v>
      </c>
      <c r="D450" t="s">
        <v>1539</v>
      </c>
      <c r="E450" s="13" t="s">
        <v>529</v>
      </c>
      <c r="F450" s="12">
        <v>3</v>
      </c>
      <c r="G450" s="12">
        <v>113445.38</v>
      </c>
      <c r="H450" s="35">
        <v>46147.398143344908</v>
      </c>
    </row>
    <row r="451" spans="2:8" x14ac:dyDescent="0.2">
      <c r="B451" s="32">
        <v>45996</v>
      </c>
      <c r="C451" t="s">
        <v>109</v>
      </c>
      <c r="D451" t="s">
        <v>629</v>
      </c>
      <c r="E451" s="13" t="s">
        <v>530</v>
      </c>
      <c r="F451" s="12">
        <v>2</v>
      </c>
      <c r="G451" s="12">
        <v>109243.7</v>
      </c>
      <c r="H451" s="35">
        <v>46147.398143344908</v>
      </c>
    </row>
    <row r="452" spans="2:8" x14ac:dyDescent="0.2">
      <c r="B452" s="32">
        <v>45996</v>
      </c>
      <c r="C452" t="s">
        <v>109</v>
      </c>
      <c r="D452" t="s">
        <v>158</v>
      </c>
      <c r="E452" s="13" t="s">
        <v>530</v>
      </c>
      <c r="F452" s="12">
        <v>2</v>
      </c>
      <c r="G452" s="12">
        <v>92436.98</v>
      </c>
      <c r="H452" s="35">
        <v>46147.398143344908</v>
      </c>
    </row>
    <row r="453" spans="2:8" x14ac:dyDescent="0.2">
      <c r="B453" s="32">
        <v>45996</v>
      </c>
      <c r="C453" t="s">
        <v>109</v>
      </c>
      <c r="D453" t="s">
        <v>1610</v>
      </c>
      <c r="E453" s="13" t="s">
        <v>529</v>
      </c>
      <c r="F453" s="12">
        <v>2</v>
      </c>
      <c r="G453" s="12">
        <v>75630.25</v>
      </c>
      <c r="H453" s="35">
        <v>46147.398143344908</v>
      </c>
    </row>
    <row r="454" spans="2:8" x14ac:dyDescent="0.2">
      <c r="B454" s="32">
        <v>45996</v>
      </c>
      <c r="C454" t="s">
        <v>109</v>
      </c>
      <c r="D454" t="s">
        <v>326</v>
      </c>
      <c r="E454" s="13" t="s">
        <v>529</v>
      </c>
      <c r="F454" s="12">
        <v>2</v>
      </c>
      <c r="G454" s="12">
        <v>75630.25</v>
      </c>
      <c r="H454" s="35">
        <v>46147.398143344908</v>
      </c>
    </row>
    <row r="455" spans="2:8" x14ac:dyDescent="0.2">
      <c r="B455" s="32">
        <v>45996</v>
      </c>
      <c r="C455" t="s">
        <v>109</v>
      </c>
      <c r="D455" t="s">
        <v>1555</v>
      </c>
      <c r="E455" s="13" t="s">
        <v>529</v>
      </c>
      <c r="F455" s="12">
        <v>2</v>
      </c>
      <c r="G455" s="12">
        <v>75630.25</v>
      </c>
      <c r="H455" s="35">
        <v>46147.398143344908</v>
      </c>
    </row>
    <row r="456" spans="2:8" x14ac:dyDescent="0.2">
      <c r="B456" s="32">
        <v>45996</v>
      </c>
      <c r="C456" t="s">
        <v>109</v>
      </c>
      <c r="D456" t="s">
        <v>478</v>
      </c>
      <c r="E456" s="13" t="s">
        <v>529</v>
      </c>
      <c r="F456" s="12">
        <v>2</v>
      </c>
      <c r="G456" s="12">
        <v>33613.440000000002</v>
      </c>
      <c r="H456" s="35">
        <v>46147.398143344908</v>
      </c>
    </row>
    <row r="457" spans="2:8" x14ac:dyDescent="0.2">
      <c r="B457" s="32">
        <v>45996</v>
      </c>
      <c r="C457" t="s">
        <v>109</v>
      </c>
      <c r="D457" t="s">
        <v>142</v>
      </c>
      <c r="E457" s="13" t="s">
        <v>529</v>
      </c>
      <c r="F457" s="12">
        <v>2</v>
      </c>
      <c r="G457" s="12">
        <v>31932.78</v>
      </c>
      <c r="H457" s="35">
        <v>46147.398143344908</v>
      </c>
    </row>
    <row r="458" spans="2:8" x14ac:dyDescent="0.2">
      <c r="B458" s="32">
        <v>45997</v>
      </c>
      <c r="C458" t="s">
        <v>109</v>
      </c>
      <c r="D458" t="s">
        <v>453</v>
      </c>
      <c r="E458" s="13" t="s">
        <v>530</v>
      </c>
      <c r="F458" s="12">
        <v>2</v>
      </c>
      <c r="G458" s="12">
        <v>420168.07</v>
      </c>
      <c r="H458" s="35">
        <v>46147.398143344908</v>
      </c>
    </row>
    <row r="459" spans="2:8" x14ac:dyDescent="0.2">
      <c r="B459" s="32">
        <v>45997</v>
      </c>
      <c r="C459" t="s">
        <v>109</v>
      </c>
      <c r="D459" t="s">
        <v>465</v>
      </c>
      <c r="E459" s="13" t="s">
        <v>530</v>
      </c>
      <c r="F459" s="12">
        <v>4</v>
      </c>
      <c r="G459" s="12">
        <v>285714.28000000003</v>
      </c>
      <c r="H459" s="35">
        <v>46147.398143344908</v>
      </c>
    </row>
    <row r="460" spans="2:8" x14ac:dyDescent="0.2">
      <c r="B460" s="32">
        <v>45997</v>
      </c>
      <c r="C460" t="s">
        <v>109</v>
      </c>
      <c r="D460" t="s">
        <v>1545</v>
      </c>
      <c r="E460" s="13" t="s">
        <v>530</v>
      </c>
      <c r="F460" s="12">
        <v>2</v>
      </c>
      <c r="G460" s="12">
        <v>277310.92</v>
      </c>
      <c r="H460" s="35">
        <v>46147.398143344908</v>
      </c>
    </row>
    <row r="461" spans="2:8" x14ac:dyDescent="0.2">
      <c r="B461" s="32">
        <v>45997</v>
      </c>
      <c r="C461" t="s">
        <v>109</v>
      </c>
      <c r="D461" t="s">
        <v>253</v>
      </c>
      <c r="E461" s="13" t="s">
        <v>530</v>
      </c>
      <c r="F461" s="12">
        <v>2</v>
      </c>
      <c r="G461" s="12">
        <v>277310.90999999997</v>
      </c>
      <c r="H461" s="35">
        <v>46147.398143344908</v>
      </c>
    </row>
    <row r="462" spans="2:8" x14ac:dyDescent="0.2">
      <c r="B462" s="32">
        <v>45997</v>
      </c>
      <c r="C462" t="s">
        <v>109</v>
      </c>
      <c r="E462" s="13" t="s">
        <v>530</v>
      </c>
      <c r="F462" s="12">
        <v>3</v>
      </c>
      <c r="G462" s="12">
        <v>266386.56</v>
      </c>
      <c r="H462" s="35">
        <v>46147.398143344908</v>
      </c>
    </row>
    <row r="463" spans="2:8" x14ac:dyDescent="0.2">
      <c r="B463" s="32">
        <v>45997</v>
      </c>
      <c r="C463" t="s">
        <v>109</v>
      </c>
      <c r="E463" s="13" t="s">
        <v>529</v>
      </c>
      <c r="F463" s="12">
        <v>2</v>
      </c>
      <c r="G463" s="12">
        <v>243697.48</v>
      </c>
      <c r="H463" s="35">
        <v>46147.398143344908</v>
      </c>
    </row>
    <row r="464" spans="2:8" x14ac:dyDescent="0.2">
      <c r="B464" s="32">
        <v>45997</v>
      </c>
      <c r="C464" t="s">
        <v>109</v>
      </c>
      <c r="D464" t="s">
        <v>190</v>
      </c>
      <c r="E464" s="13" t="s">
        <v>530</v>
      </c>
      <c r="F464" s="12">
        <v>3</v>
      </c>
      <c r="G464" s="12">
        <v>214285.71</v>
      </c>
      <c r="H464" s="35">
        <v>46147.398143344908</v>
      </c>
    </row>
    <row r="465" spans="2:8" x14ac:dyDescent="0.2">
      <c r="B465" s="32">
        <v>45997</v>
      </c>
      <c r="C465" t="s">
        <v>109</v>
      </c>
      <c r="D465" t="s">
        <v>432</v>
      </c>
      <c r="E465" s="13" t="s">
        <v>530</v>
      </c>
      <c r="F465" s="12">
        <v>2</v>
      </c>
      <c r="G465" s="12">
        <v>142857.14000000001</v>
      </c>
      <c r="H465" s="35">
        <v>46147.398143344908</v>
      </c>
    </row>
    <row r="466" spans="2:8" x14ac:dyDescent="0.2">
      <c r="B466" s="32">
        <v>45997</v>
      </c>
      <c r="C466" t="s">
        <v>109</v>
      </c>
      <c r="D466" t="s">
        <v>200</v>
      </c>
      <c r="E466" s="13" t="s">
        <v>530</v>
      </c>
      <c r="F466" s="12">
        <v>3</v>
      </c>
      <c r="G466" s="12">
        <v>138655.46</v>
      </c>
      <c r="H466" s="35">
        <v>46147.398143344908</v>
      </c>
    </row>
    <row r="467" spans="2:8" x14ac:dyDescent="0.2">
      <c r="B467" s="32">
        <v>45997</v>
      </c>
      <c r="C467" t="s">
        <v>109</v>
      </c>
      <c r="D467" t="s">
        <v>1561</v>
      </c>
      <c r="E467" s="13" t="s">
        <v>529</v>
      </c>
      <c r="F467" s="12">
        <v>2</v>
      </c>
      <c r="G467" s="12">
        <v>134453.78</v>
      </c>
      <c r="H467" s="35">
        <v>46147.398143344908</v>
      </c>
    </row>
    <row r="468" spans="2:8" x14ac:dyDescent="0.2">
      <c r="B468" s="32">
        <v>45997</v>
      </c>
      <c r="C468" t="s">
        <v>109</v>
      </c>
      <c r="D468" t="s">
        <v>339</v>
      </c>
      <c r="E468" s="13" t="s">
        <v>529</v>
      </c>
      <c r="F468" s="12">
        <v>3</v>
      </c>
      <c r="G468" s="12">
        <v>113445.38</v>
      </c>
      <c r="H468" s="35">
        <v>46147.398143344908</v>
      </c>
    </row>
    <row r="469" spans="2:8" x14ac:dyDescent="0.2">
      <c r="B469" s="32">
        <v>45997</v>
      </c>
      <c r="C469" t="s">
        <v>109</v>
      </c>
      <c r="D469" t="s">
        <v>193</v>
      </c>
      <c r="E469" s="13" t="s">
        <v>529</v>
      </c>
      <c r="F469" s="12">
        <v>2</v>
      </c>
      <c r="G469" s="12">
        <v>92436.98</v>
      </c>
      <c r="H469" s="35">
        <v>46147.398143344908</v>
      </c>
    </row>
    <row r="470" spans="2:8" x14ac:dyDescent="0.2">
      <c r="B470" s="32">
        <v>45997</v>
      </c>
      <c r="C470" t="s">
        <v>109</v>
      </c>
      <c r="D470" t="s">
        <v>143</v>
      </c>
      <c r="E470" s="13" t="s">
        <v>529</v>
      </c>
      <c r="F470" s="12">
        <v>2</v>
      </c>
      <c r="G470" s="12">
        <v>58823.53</v>
      </c>
      <c r="H470" s="35">
        <v>46147.398143344908</v>
      </c>
    </row>
    <row r="471" spans="2:8" x14ac:dyDescent="0.2">
      <c r="B471" s="32">
        <v>45998</v>
      </c>
      <c r="C471" t="s">
        <v>140</v>
      </c>
      <c r="D471" t="s">
        <v>306</v>
      </c>
      <c r="E471" s="13" t="s">
        <v>530</v>
      </c>
      <c r="F471" s="12">
        <v>8</v>
      </c>
      <c r="G471" s="12">
        <v>806722.69</v>
      </c>
      <c r="H471" s="35">
        <v>46147.398143344908</v>
      </c>
    </row>
    <row r="472" spans="2:8" x14ac:dyDescent="0.2">
      <c r="B472" s="32">
        <v>45998</v>
      </c>
      <c r="C472" t="s">
        <v>140</v>
      </c>
      <c r="D472" t="s">
        <v>192</v>
      </c>
      <c r="E472" s="13" t="s">
        <v>530</v>
      </c>
      <c r="F472" s="12">
        <v>4</v>
      </c>
      <c r="G472" s="12">
        <v>403361.35</v>
      </c>
      <c r="H472" s="35">
        <v>46147.398143344908</v>
      </c>
    </row>
    <row r="473" spans="2:8" x14ac:dyDescent="0.2">
      <c r="B473" s="32">
        <v>45998</v>
      </c>
      <c r="C473" t="s">
        <v>140</v>
      </c>
      <c r="D473" t="s">
        <v>143</v>
      </c>
      <c r="E473" s="13" t="s">
        <v>529</v>
      </c>
      <c r="F473" s="12">
        <v>9</v>
      </c>
      <c r="G473" s="12">
        <v>205882.34</v>
      </c>
      <c r="H473" s="35">
        <v>46147.398143344908</v>
      </c>
    </row>
    <row r="474" spans="2:8" x14ac:dyDescent="0.2">
      <c r="B474" s="32">
        <v>45998</v>
      </c>
      <c r="C474" t="s">
        <v>140</v>
      </c>
      <c r="D474" t="s">
        <v>143</v>
      </c>
      <c r="E474" s="13" t="s">
        <v>530</v>
      </c>
      <c r="F474" s="12">
        <v>5</v>
      </c>
      <c r="G474" s="12">
        <v>147058.82</v>
      </c>
      <c r="H474" s="35">
        <v>46147.398143344908</v>
      </c>
    </row>
    <row r="475" spans="2:8" x14ac:dyDescent="0.2">
      <c r="B475" s="32">
        <v>45998</v>
      </c>
      <c r="C475" t="s">
        <v>140</v>
      </c>
      <c r="D475" t="s">
        <v>196</v>
      </c>
      <c r="E475" s="13" t="s">
        <v>530</v>
      </c>
      <c r="F475" s="12">
        <v>3</v>
      </c>
      <c r="G475" s="12">
        <v>138655.46</v>
      </c>
      <c r="H475" s="35">
        <v>46147.398143344908</v>
      </c>
    </row>
    <row r="476" spans="2:8" x14ac:dyDescent="0.2">
      <c r="B476" s="32">
        <v>45998</v>
      </c>
      <c r="C476" t="s">
        <v>140</v>
      </c>
      <c r="D476" t="s">
        <v>387</v>
      </c>
      <c r="E476" s="13" t="s">
        <v>529</v>
      </c>
      <c r="F476" s="12">
        <v>2</v>
      </c>
      <c r="G476" s="12">
        <v>117647.06</v>
      </c>
      <c r="H476" s="35">
        <v>46147.398143344908</v>
      </c>
    </row>
    <row r="477" spans="2:8" x14ac:dyDescent="0.2">
      <c r="B477" s="32">
        <v>45998</v>
      </c>
      <c r="C477" t="s">
        <v>140</v>
      </c>
      <c r="D477" t="s">
        <v>1618</v>
      </c>
      <c r="E477" s="13" t="s">
        <v>530</v>
      </c>
      <c r="F477" s="12">
        <v>2</v>
      </c>
      <c r="G477" s="12">
        <v>92436.98</v>
      </c>
      <c r="H477" s="35">
        <v>46147.398143344908</v>
      </c>
    </row>
    <row r="478" spans="2:8" x14ac:dyDescent="0.2">
      <c r="B478" s="32">
        <v>45998</v>
      </c>
      <c r="C478" t="s">
        <v>140</v>
      </c>
      <c r="D478" t="s">
        <v>144</v>
      </c>
      <c r="E478" s="13" t="s">
        <v>530</v>
      </c>
      <c r="F478" s="12">
        <v>2</v>
      </c>
      <c r="G478" s="12">
        <v>92436.97</v>
      </c>
      <c r="H478" s="35">
        <v>46147.398143344908</v>
      </c>
    </row>
    <row r="479" spans="2:8" x14ac:dyDescent="0.2">
      <c r="B479" s="32">
        <v>45998</v>
      </c>
      <c r="C479" t="s">
        <v>140</v>
      </c>
      <c r="D479" t="s">
        <v>142</v>
      </c>
      <c r="E479" s="13" t="s">
        <v>530</v>
      </c>
      <c r="F479" s="12">
        <v>3</v>
      </c>
      <c r="G479" s="12">
        <v>55462.18</v>
      </c>
      <c r="H479" s="35">
        <v>46147.398143344908</v>
      </c>
    </row>
    <row r="480" spans="2:8" x14ac:dyDescent="0.2">
      <c r="B480" s="32">
        <v>45998</v>
      </c>
      <c r="C480" t="s">
        <v>109</v>
      </c>
      <c r="D480" t="s">
        <v>192</v>
      </c>
      <c r="E480" s="13" t="s">
        <v>530</v>
      </c>
      <c r="F480" s="12">
        <v>12</v>
      </c>
      <c r="G480" s="12">
        <v>1210084.03</v>
      </c>
      <c r="H480" s="35">
        <v>46147.398143344908</v>
      </c>
    </row>
    <row r="481" spans="2:8" x14ac:dyDescent="0.2">
      <c r="B481" s="32">
        <v>45998</v>
      </c>
      <c r="C481" t="s">
        <v>109</v>
      </c>
      <c r="D481" t="s">
        <v>165</v>
      </c>
      <c r="E481" s="13" t="s">
        <v>530</v>
      </c>
      <c r="F481" s="12">
        <v>5</v>
      </c>
      <c r="G481" s="12">
        <v>504201.68</v>
      </c>
      <c r="H481" s="35">
        <v>46147.398143344908</v>
      </c>
    </row>
    <row r="482" spans="2:8" x14ac:dyDescent="0.2">
      <c r="B482" s="32">
        <v>45998</v>
      </c>
      <c r="C482" t="s">
        <v>109</v>
      </c>
      <c r="D482" t="s">
        <v>152</v>
      </c>
      <c r="E482" s="13" t="s">
        <v>530</v>
      </c>
      <c r="F482" s="12">
        <v>4</v>
      </c>
      <c r="G482" s="12">
        <v>403361.34</v>
      </c>
      <c r="H482" s="35">
        <v>46147.398143344908</v>
      </c>
    </row>
    <row r="483" spans="2:8" x14ac:dyDescent="0.2">
      <c r="B483" s="32">
        <v>45998</v>
      </c>
      <c r="C483" t="s">
        <v>109</v>
      </c>
      <c r="D483" t="s">
        <v>167</v>
      </c>
      <c r="E483" s="13" t="s">
        <v>530</v>
      </c>
      <c r="F483" s="12">
        <v>4</v>
      </c>
      <c r="G483" s="12">
        <v>403361.34</v>
      </c>
      <c r="H483" s="35">
        <v>46147.398143344908</v>
      </c>
    </row>
    <row r="484" spans="2:8" x14ac:dyDescent="0.2">
      <c r="B484" s="32">
        <v>45998</v>
      </c>
      <c r="C484" t="s">
        <v>109</v>
      </c>
      <c r="E484" s="13" t="s">
        <v>530</v>
      </c>
      <c r="F484" s="12">
        <v>2</v>
      </c>
      <c r="G484" s="12">
        <v>243697.48</v>
      </c>
      <c r="H484" s="35">
        <v>46147.398143344908</v>
      </c>
    </row>
    <row r="485" spans="2:8" x14ac:dyDescent="0.2">
      <c r="B485" s="32">
        <v>45998</v>
      </c>
      <c r="C485" t="s">
        <v>109</v>
      </c>
      <c r="D485" t="s">
        <v>363</v>
      </c>
      <c r="E485" s="13" t="s">
        <v>529</v>
      </c>
      <c r="F485" s="12">
        <v>3</v>
      </c>
      <c r="G485" s="12">
        <v>176470.59</v>
      </c>
      <c r="H485" s="35">
        <v>46147.398143344908</v>
      </c>
    </row>
    <row r="486" spans="2:8" x14ac:dyDescent="0.2">
      <c r="B486" s="32">
        <v>45998</v>
      </c>
      <c r="C486" t="s">
        <v>109</v>
      </c>
      <c r="D486" t="s">
        <v>482</v>
      </c>
      <c r="E486" s="13" t="s">
        <v>529</v>
      </c>
      <c r="F486" s="12">
        <v>2</v>
      </c>
      <c r="G486" s="12">
        <v>151260.5</v>
      </c>
      <c r="H486" s="35">
        <v>46147.398143344908</v>
      </c>
    </row>
    <row r="487" spans="2:8" x14ac:dyDescent="0.2">
      <c r="B487" s="32">
        <v>45998</v>
      </c>
      <c r="C487" t="s">
        <v>109</v>
      </c>
      <c r="D487" t="s">
        <v>1570</v>
      </c>
      <c r="E487" s="13" t="s">
        <v>530</v>
      </c>
      <c r="F487" s="12">
        <v>2</v>
      </c>
      <c r="G487" s="12">
        <v>151260.5</v>
      </c>
      <c r="H487" s="35">
        <v>46147.398143344908</v>
      </c>
    </row>
    <row r="488" spans="2:8" x14ac:dyDescent="0.2">
      <c r="B488" s="32">
        <v>45998</v>
      </c>
      <c r="C488" t="s">
        <v>109</v>
      </c>
      <c r="D488" t="s">
        <v>143</v>
      </c>
      <c r="E488" s="13" t="s">
        <v>529</v>
      </c>
      <c r="F488" s="12">
        <v>5</v>
      </c>
      <c r="G488" s="12">
        <v>147058.82999999999</v>
      </c>
      <c r="H488" s="35">
        <v>46147.398143344908</v>
      </c>
    </row>
    <row r="489" spans="2:8" x14ac:dyDescent="0.2">
      <c r="B489" s="32">
        <v>45998</v>
      </c>
      <c r="C489" t="s">
        <v>109</v>
      </c>
      <c r="D489" t="s">
        <v>333</v>
      </c>
      <c r="E489" s="13" t="s">
        <v>529</v>
      </c>
      <c r="F489" s="12">
        <v>2</v>
      </c>
      <c r="G489" s="12">
        <v>142857.15</v>
      </c>
      <c r="H489" s="35">
        <v>46147.398143344908</v>
      </c>
    </row>
    <row r="490" spans="2:8" x14ac:dyDescent="0.2">
      <c r="B490" s="32">
        <v>45998</v>
      </c>
      <c r="C490" t="s">
        <v>109</v>
      </c>
      <c r="D490" t="s">
        <v>348</v>
      </c>
      <c r="E490" s="13" t="s">
        <v>530</v>
      </c>
      <c r="F490" s="12">
        <v>2</v>
      </c>
      <c r="G490" s="12">
        <v>142857.14000000001</v>
      </c>
      <c r="H490" s="35">
        <v>46147.398143344908</v>
      </c>
    </row>
    <row r="491" spans="2:8" x14ac:dyDescent="0.2">
      <c r="B491" s="32">
        <v>45998</v>
      </c>
      <c r="C491" t="s">
        <v>109</v>
      </c>
      <c r="D491" t="s">
        <v>1600</v>
      </c>
      <c r="E491" s="13" t="s">
        <v>529</v>
      </c>
      <c r="F491" s="12">
        <v>3</v>
      </c>
      <c r="G491" s="12">
        <v>113445.38</v>
      </c>
      <c r="H491" s="35">
        <v>46147.398143344908</v>
      </c>
    </row>
    <row r="492" spans="2:8" x14ac:dyDescent="0.2">
      <c r="B492" s="32">
        <v>45998</v>
      </c>
      <c r="C492" t="s">
        <v>109</v>
      </c>
      <c r="D492" t="s">
        <v>1568</v>
      </c>
      <c r="E492" s="13" t="s">
        <v>530</v>
      </c>
      <c r="F492" s="12">
        <v>2</v>
      </c>
      <c r="G492" s="12">
        <v>109243.7</v>
      </c>
      <c r="H492" s="35">
        <v>46147.398143344908</v>
      </c>
    </row>
    <row r="493" spans="2:8" x14ac:dyDescent="0.2">
      <c r="B493" s="32">
        <v>45998</v>
      </c>
      <c r="C493" t="s">
        <v>109</v>
      </c>
      <c r="D493" t="s">
        <v>156</v>
      </c>
      <c r="E493" s="13" t="s">
        <v>530</v>
      </c>
      <c r="F493" s="12">
        <v>2</v>
      </c>
      <c r="G493" s="12">
        <v>92436.98</v>
      </c>
      <c r="H493" s="35">
        <v>46147.398143344908</v>
      </c>
    </row>
    <row r="494" spans="2:8" x14ac:dyDescent="0.2">
      <c r="B494" s="32">
        <v>45998</v>
      </c>
      <c r="C494" t="s">
        <v>109</v>
      </c>
      <c r="D494" t="s">
        <v>1539</v>
      </c>
      <c r="E494" s="13" t="s">
        <v>529</v>
      </c>
      <c r="F494" s="12">
        <v>2</v>
      </c>
      <c r="G494" s="12">
        <v>75630.25</v>
      </c>
      <c r="H494" s="35">
        <v>46147.398143344908</v>
      </c>
    </row>
    <row r="495" spans="2:8" x14ac:dyDescent="0.2">
      <c r="B495" s="32">
        <v>45998</v>
      </c>
      <c r="C495" t="s">
        <v>109</v>
      </c>
      <c r="D495" t="s">
        <v>143</v>
      </c>
      <c r="E495" s="13" t="s">
        <v>530</v>
      </c>
      <c r="F495" s="12">
        <v>2</v>
      </c>
      <c r="G495" s="12">
        <v>58823.519999999997</v>
      </c>
      <c r="H495" s="35">
        <v>46147.398143344908</v>
      </c>
    </row>
    <row r="496" spans="2:8" x14ac:dyDescent="0.2">
      <c r="B496" s="32">
        <v>45999</v>
      </c>
      <c r="C496" t="s">
        <v>108</v>
      </c>
      <c r="D496" t="s">
        <v>1582</v>
      </c>
      <c r="E496" s="13" t="s">
        <v>530</v>
      </c>
      <c r="F496" s="12">
        <v>18</v>
      </c>
      <c r="G496" s="12">
        <v>808823.53</v>
      </c>
      <c r="H496" s="35">
        <v>46147.398143344908</v>
      </c>
    </row>
    <row r="497" spans="2:8" x14ac:dyDescent="0.2">
      <c r="B497" s="32">
        <v>45999</v>
      </c>
      <c r="C497" t="s">
        <v>140</v>
      </c>
      <c r="D497" t="s">
        <v>167</v>
      </c>
      <c r="E497" s="13" t="s">
        <v>530</v>
      </c>
      <c r="F497" s="12">
        <v>2</v>
      </c>
      <c r="G497" s="12">
        <v>201680.67</v>
      </c>
      <c r="H497" s="35">
        <v>46147.398143344908</v>
      </c>
    </row>
    <row r="498" spans="2:8" x14ac:dyDescent="0.2">
      <c r="B498" s="32">
        <v>45999</v>
      </c>
      <c r="C498" t="s">
        <v>140</v>
      </c>
      <c r="D498" t="s">
        <v>231</v>
      </c>
      <c r="E498" s="13" t="s">
        <v>529</v>
      </c>
      <c r="F498" s="12">
        <v>2</v>
      </c>
      <c r="G498" s="12">
        <v>117647.06</v>
      </c>
      <c r="H498" s="35">
        <v>46147.398143344908</v>
      </c>
    </row>
    <row r="499" spans="2:8" x14ac:dyDescent="0.2">
      <c r="B499" s="32">
        <v>45999</v>
      </c>
      <c r="C499" t="s">
        <v>140</v>
      </c>
      <c r="D499" t="s">
        <v>200</v>
      </c>
      <c r="E499" s="13" t="s">
        <v>530</v>
      </c>
      <c r="F499" s="12">
        <v>2</v>
      </c>
      <c r="G499" s="12">
        <v>92436.98</v>
      </c>
      <c r="H499" s="35">
        <v>46147.398143344908</v>
      </c>
    </row>
    <row r="500" spans="2:8" x14ac:dyDescent="0.2">
      <c r="B500" s="32">
        <v>45999</v>
      </c>
      <c r="C500" t="s">
        <v>140</v>
      </c>
      <c r="D500" t="s">
        <v>170</v>
      </c>
      <c r="E500" s="13" t="s">
        <v>530</v>
      </c>
      <c r="F500" s="12">
        <v>2</v>
      </c>
      <c r="G500" s="12">
        <v>92436.97</v>
      </c>
      <c r="H500" s="35">
        <v>46147.398143344908</v>
      </c>
    </row>
    <row r="501" spans="2:8" x14ac:dyDescent="0.2">
      <c r="B501" s="32">
        <v>45999</v>
      </c>
      <c r="C501" t="s">
        <v>140</v>
      </c>
      <c r="D501" t="s">
        <v>1582</v>
      </c>
      <c r="E501" s="13" t="s">
        <v>529</v>
      </c>
      <c r="F501" s="12">
        <v>2</v>
      </c>
      <c r="G501" s="12">
        <v>92436.97</v>
      </c>
      <c r="H501" s="35">
        <v>46147.398143344908</v>
      </c>
    </row>
    <row r="502" spans="2:8" x14ac:dyDescent="0.2">
      <c r="B502" s="32">
        <v>45999</v>
      </c>
      <c r="C502" t="s">
        <v>140</v>
      </c>
      <c r="D502" t="s">
        <v>1583</v>
      </c>
      <c r="E502" s="13" t="s">
        <v>529</v>
      </c>
      <c r="F502" s="12">
        <v>2</v>
      </c>
      <c r="G502" s="12">
        <v>92436.97</v>
      </c>
      <c r="H502" s="35">
        <v>46147.398143344908</v>
      </c>
    </row>
    <row r="503" spans="2:8" x14ac:dyDescent="0.2">
      <c r="B503" s="32">
        <v>45999</v>
      </c>
      <c r="C503" t="s">
        <v>140</v>
      </c>
      <c r="D503" t="s">
        <v>1581</v>
      </c>
      <c r="E503" s="13" t="s">
        <v>529</v>
      </c>
      <c r="F503" s="12">
        <v>2</v>
      </c>
      <c r="G503" s="12">
        <v>92436.97</v>
      </c>
      <c r="H503" s="35">
        <v>46147.398143344908</v>
      </c>
    </row>
    <row r="504" spans="2:8" x14ac:dyDescent="0.2">
      <c r="B504" s="32">
        <v>45999</v>
      </c>
      <c r="C504" t="s">
        <v>140</v>
      </c>
      <c r="D504" t="s">
        <v>1535</v>
      </c>
      <c r="E504" s="13" t="s">
        <v>529</v>
      </c>
      <c r="F504" s="12">
        <v>2</v>
      </c>
      <c r="G504" s="12">
        <v>42016.800000000003</v>
      </c>
      <c r="H504" s="35">
        <v>46147.398143344908</v>
      </c>
    </row>
    <row r="505" spans="2:8" x14ac:dyDescent="0.2">
      <c r="B505" s="32">
        <v>45999</v>
      </c>
      <c r="C505" t="s">
        <v>109</v>
      </c>
      <c r="D505" t="s">
        <v>465</v>
      </c>
      <c r="E505" s="13" t="s">
        <v>530</v>
      </c>
      <c r="F505" s="12">
        <v>2</v>
      </c>
      <c r="G505" s="12">
        <v>142857.14000000001</v>
      </c>
      <c r="H505" s="35">
        <v>46147.398143344908</v>
      </c>
    </row>
    <row r="506" spans="2:8" x14ac:dyDescent="0.2">
      <c r="B506" s="32">
        <v>45999</v>
      </c>
      <c r="C506" t="s">
        <v>109</v>
      </c>
      <c r="D506" t="s">
        <v>216</v>
      </c>
      <c r="E506" s="13" t="s">
        <v>529</v>
      </c>
      <c r="F506" s="12">
        <v>4</v>
      </c>
      <c r="G506" s="12">
        <v>117647.05</v>
      </c>
      <c r="H506" s="35">
        <v>46147.398143344908</v>
      </c>
    </row>
    <row r="507" spans="2:8" x14ac:dyDescent="0.2">
      <c r="B507" s="32">
        <v>45999</v>
      </c>
      <c r="C507" t="s">
        <v>109</v>
      </c>
      <c r="D507" t="s">
        <v>143</v>
      </c>
      <c r="E507" s="13" t="s">
        <v>529</v>
      </c>
      <c r="F507" s="12">
        <v>3</v>
      </c>
      <c r="G507" s="12">
        <v>88235.29</v>
      </c>
      <c r="H507" s="35">
        <v>46147.398143344908</v>
      </c>
    </row>
    <row r="508" spans="2:8" x14ac:dyDescent="0.2">
      <c r="B508" s="32">
        <v>46000</v>
      </c>
      <c r="C508" t="s">
        <v>140</v>
      </c>
      <c r="D508" t="s">
        <v>559</v>
      </c>
      <c r="E508" s="13" t="s">
        <v>530</v>
      </c>
      <c r="F508" s="12">
        <v>2</v>
      </c>
      <c r="G508" s="12">
        <v>487394.96</v>
      </c>
      <c r="H508" s="35">
        <v>46147.398143344908</v>
      </c>
    </row>
    <row r="509" spans="2:8" x14ac:dyDescent="0.2">
      <c r="B509" s="32">
        <v>46000</v>
      </c>
      <c r="C509" t="s">
        <v>140</v>
      </c>
      <c r="D509" t="s">
        <v>152</v>
      </c>
      <c r="E509" s="13" t="s">
        <v>529</v>
      </c>
      <c r="F509" s="12">
        <v>3</v>
      </c>
      <c r="G509" s="12">
        <v>302521.01</v>
      </c>
      <c r="H509" s="35">
        <v>46147.398143344908</v>
      </c>
    </row>
    <row r="510" spans="2:8" x14ac:dyDescent="0.2">
      <c r="B510" s="32">
        <v>46000</v>
      </c>
      <c r="C510" t="s">
        <v>140</v>
      </c>
      <c r="D510" t="s">
        <v>153</v>
      </c>
      <c r="E510" s="13" t="s">
        <v>530</v>
      </c>
      <c r="F510" s="12">
        <v>2</v>
      </c>
      <c r="G510" s="12">
        <v>201680.68</v>
      </c>
      <c r="H510" s="35">
        <v>46147.398143344908</v>
      </c>
    </row>
    <row r="511" spans="2:8" x14ac:dyDescent="0.2">
      <c r="B511" s="32">
        <v>46000</v>
      </c>
      <c r="C511" t="s">
        <v>140</v>
      </c>
      <c r="D511" t="s">
        <v>167</v>
      </c>
      <c r="E511" s="13" t="s">
        <v>529</v>
      </c>
      <c r="F511" s="12">
        <v>2</v>
      </c>
      <c r="G511" s="12">
        <v>201680.67</v>
      </c>
      <c r="H511" s="35">
        <v>46147.398143344908</v>
      </c>
    </row>
    <row r="512" spans="2:8" x14ac:dyDescent="0.2">
      <c r="B512" s="32">
        <v>46000</v>
      </c>
      <c r="C512" t="s">
        <v>140</v>
      </c>
      <c r="D512" t="s">
        <v>378</v>
      </c>
      <c r="E512" s="13" t="s">
        <v>530</v>
      </c>
      <c r="F512" s="12">
        <v>2</v>
      </c>
      <c r="G512" s="12">
        <v>159663.85999999999</v>
      </c>
      <c r="H512" s="35">
        <v>46147.398143344908</v>
      </c>
    </row>
    <row r="513" spans="2:8" x14ac:dyDescent="0.2">
      <c r="B513" s="32">
        <v>46000</v>
      </c>
      <c r="C513" t="s">
        <v>109</v>
      </c>
      <c r="D513" t="s">
        <v>243</v>
      </c>
      <c r="E513" s="13" t="s">
        <v>530</v>
      </c>
      <c r="F513" s="12">
        <v>2</v>
      </c>
      <c r="G513" s="12">
        <v>252100.83</v>
      </c>
      <c r="H513" s="35">
        <v>46147.398143344908</v>
      </c>
    </row>
    <row r="514" spans="2:8" x14ac:dyDescent="0.2">
      <c r="B514" s="32">
        <v>46000</v>
      </c>
      <c r="C514" t="s">
        <v>109</v>
      </c>
      <c r="E514" s="13" t="s">
        <v>530</v>
      </c>
      <c r="F514" s="12">
        <v>2</v>
      </c>
      <c r="G514" s="12">
        <v>243697.48</v>
      </c>
      <c r="H514" s="35">
        <v>46147.398143344908</v>
      </c>
    </row>
    <row r="515" spans="2:8" x14ac:dyDescent="0.2">
      <c r="B515" s="32">
        <v>46000</v>
      </c>
      <c r="C515" t="s">
        <v>109</v>
      </c>
      <c r="E515" s="13" t="s">
        <v>529</v>
      </c>
      <c r="F515" s="12">
        <v>2</v>
      </c>
      <c r="G515" s="12">
        <v>243697.48</v>
      </c>
      <c r="H515" s="35">
        <v>46147.398143344908</v>
      </c>
    </row>
    <row r="516" spans="2:8" x14ac:dyDescent="0.2">
      <c r="B516" s="32">
        <v>46000</v>
      </c>
      <c r="C516" t="s">
        <v>109</v>
      </c>
      <c r="D516" t="s">
        <v>197</v>
      </c>
      <c r="E516" s="13" t="s">
        <v>529</v>
      </c>
      <c r="F516" s="12">
        <v>3</v>
      </c>
      <c r="G516" s="12">
        <v>226890.75</v>
      </c>
      <c r="H516" s="35">
        <v>46147.398143344908</v>
      </c>
    </row>
    <row r="517" spans="2:8" x14ac:dyDescent="0.2">
      <c r="B517" s="32">
        <v>46000</v>
      </c>
      <c r="C517" t="s">
        <v>109</v>
      </c>
      <c r="D517" t="s">
        <v>343</v>
      </c>
      <c r="E517" s="13" t="s">
        <v>530</v>
      </c>
      <c r="F517" s="12">
        <v>2</v>
      </c>
      <c r="G517" s="12">
        <v>151260.51</v>
      </c>
      <c r="H517" s="35">
        <v>46147.398143344908</v>
      </c>
    </row>
    <row r="518" spans="2:8" x14ac:dyDescent="0.2">
      <c r="B518" s="32">
        <v>46000</v>
      </c>
      <c r="C518" t="s">
        <v>109</v>
      </c>
      <c r="D518" t="s">
        <v>150</v>
      </c>
      <c r="E518" s="13" t="s">
        <v>530</v>
      </c>
      <c r="F518" s="12">
        <v>2</v>
      </c>
      <c r="G518" s="12">
        <v>151260.5</v>
      </c>
      <c r="H518" s="35">
        <v>46147.398143344908</v>
      </c>
    </row>
    <row r="519" spans="2:8" x14ac:dyDescent="0.2">
      <c r="B519" s="32">
        <v>46000</v>
      </c>
      <c r="C519" t="s">
        <v>109</v>
      </c>
      <c r="D519" t="s">
        <v>187</v>
      </c>
      <c r="E519" s="13" t="s">
        <v>530</v>
      </c>
      <c r="F519" s="12">
        <v>2</v>
      </c>
      <c r="G519" s="12">
        <v>142857.14000000001</v>
      </c>
      <c r="H519" s="35">
        <v>46147.398143344908</v>
      </c>
    </row>
    <row r="520" spans="2:8" x14ac:dyDescent="0.2">
      <c r="B520" s="32">
        <v>46000</v>
      </c>
      <c r="C520" t="s">
        <v>109</v>
      </c>
      <c r="D520" t="s">
        <v>465</v>
      </c>
      <c r="E520" s="13" t="s">
        <v>529</v>
      </c>
      <c r="F520" s="12">
        <v>2</v>
      </c>
      <c r="G520" s="12">
        <v>142857.14000000001</v>
      </c>
      <c r="H520" s="35">
        <v>46147.398143344908</v>
      </c>
    </row>
    <row r="521" spans="2:8" x14ac:dyDescent="0.2">
      <c r="B521" s="32">
        <v>46000</v>
      </c>
      <c r="C521" t="s">
        <v>109</v>
      </c>
      <c r="D521" t="s">
        <v>162</v>
      </c>
      <c r="E521" s="13" t="s">
        <v>529</v>
      </c>
      <c r="F521" s="12">
        <v>2</v>
      </c>
      <c r="G521" s="12">
        <v>142857.14000000001</v>
      </c>
      <c r="H521" s="35">
        <v>46147.398143344908</v>
      </c>
    </row>
    <row r="522" spans="2:8" x14ac:dyDescent="0.2">
      <c r="B522" s="32">
        <v>46000</v>
      </c>
      <c r="C522" t="s">
        <v>109</v>
      </c>
      <c r="D522" t="s">
        <v>193</v>
      </c>
      <c r="E522" s="13" t="s">
        <v>529</v>
      </c>
      <c r="F522" s="12">
        <v>3</v>
      </c>
      <c r="G522" s="12">
        <v>138655.46</v>
      </c>
      <c r="H522" s="35">
        <v>46147.398143344908</v>
      </c>
    </row>
    <row r="523" spans="2:8" x14ac:dyDescent="0.2">
      <c r="B523" s="32">
        <v>46000</v>
      </c>
      <c r="C523" t="s">
        <v>109</v>
      </c>
      <c r="D523" t="s">
        <v>154</v>
      </c>
      <c r="E523" s="13" t="s">
        <v>529</v>
      </c>
      <c r="F523" s="12">
        <v>3</v>
      </c>
      <c r="G523" s="12">
        <v>126050.43</v>
      </c>
      <c r="H523" s="35">
        <v>46147.398143344908</v>
      </c>
    </row>
    <row r="524" spans="2:8" x14ac:dyDescent="0.2">
      <c r="B524" s="32">
        <v>46000</v>
      </c>
      <c r="C524" t="s">
        <v>109</v>
      </c>
      <c r="D524" t="s">
        <v>1615</v>
      </c>
      <c r="E524" s="13" t="s">
        <v>529</v>
      </c>
      <c r="F524" s="12">
        <v>3</v>
      </c>
      <c r="G524" s="12">
        <v>113445.38</v>
      </c>
      <c r="H524" s="35">
        <v>46147.398143344908</v>
      </c>
    </row>
    <row r="525" spans="2:8" x14ac:dyDescent="0.2">
      <c r="B525" s="32">
        <v>46000</v>
      </c>
      <c r="C525" t="s">
        <v>109</v>
      </c>
      <c r="D525" t="s">
        <v>355</v>
      </c>
      <c r="E525" s="13" t="s">
        <v>529</v>
      </c>
      <c r="F525" s="12">
        <v>2</v>
      </c>
      <c r="G525" s="12">
        <v>109243.7</v>
      </c>
      <c r="H525" s="35">
        <v>46147.398143344908</v>
      </c>
    </row>
    <row r="526" spans="2:8" x14ac:dyDescent="0.2">
      <c r="B526" s="32">
        <v>46000</v>
      </c>
      <c r="C526" t="s">
        <v>109</v>
      </c>
      <c r="D526" t="s">
        <v>210</v>
      </c>
      <c r="E526" s="13" t="s">
        <v>530</v>
      </c>
      <c r="F526" s="12">
        <v>2</v>
      </c>
      <c r="G526" s="12">
        <v>109243.7</v>
      </c>
      <c r="H526" s="35">
        <v>46147.398143344908</v>
      </c>
    </row>
    <row r="527" spans="2:8" x14ac:dyDescent="0.2">
      <c r="B527" s="32">
        <v>46000</v>
      </c>
      <c r="C527" t="s">
        <v>109</v>
      </c>
      <c r="D527" t="s">
        <v>210</v>
      </c>
      <c r="E527" s="13" t="s">
        <v>529</v>
      </c>
      <c r="F527" s="12">
        <v>2</v>
      </c>
      <c r="G527" s="12">
        <v>109243.7</v>
      </c>
      <c r="H527" s="35">
        <v>46147.398143344908</v>
      </c>
    </row>
    <row r="528" spans="2:8" x14ac:dyDescent="0.2">
      <c r="B528" s="32">
        <v>46000</v>
      </c>
      <c r="C528" t="s">
        <v>109</v>
      </c>
      <c r="D528" t="s">
        <v>1591</v>
      </c>
      <c r="E528" s="13" t="s">
        <v>529</v>
      </c>
      <c r="F528" s="12">
        <v>2</v>
      </c>
      <c r="G528" s="12">
        <v>92436.97</v>
      </c>
      <c r="H528" s="35">
        <v>46147.398143344908</v>
      </c>
    </row>
    <row r="529" spans="2:8" x14ac:dyDescent="0.2">
      <c r="B529" s="32">
        <v>46000</v>
      </c>
      <c r="C529" t="s">
        <v>109</v>
      </c>
      <c r="D529" t="s">
        <v>1618</v>
      </c>
      <c r="E529" s="13" t="s">
        <v>530</v>
      </c>
      <c r="F529" s="12">
        <v>2</v>
      </c>
      <c r="G529" s="12">
        <v>92436.97</v>
      </c>
      <c r="H529" s="35">
        <v>46147.398143344908</v>
      </c>
    </row>
    <row r="530" spans="2:8" x14ac:dyDescent="0.2">
      <c r="B530" s="32">
        <v>46000</v>
      </c>
      <c r="C530" t="s">
        <v>109</v>
      </c>
      <c r="D530" t="s">
        <v>1597</v>
      </c>
      <c r="E530" s="13" t="s">
        <v>529</v>
      </c>
      <c r="F530" s="12">
        <v>2</v>
      </c>
      <c r="G530" s="12">
        <v>75630.25</v>
      </c>
      <c r="H530" s="35">
        <v>46147.398143344908</v>
      </c>
    </row>
    <row r="531" spans="2:8" x14ac:dyDescent="0.2">
      <c r="B531" s="32">
        <v>46000</v>
      </c>
      <c r="C531" t="s">
        <v>109</v>
      </c>
      <c r="D531" t="s">
        <v>1604</v>
      </c>
      <c r="E531" s="13" t="s">
        <v>529</v>
      </c>
      <c r="F531" s="12">
        <v>2</v>
      </c>
      <c r="G531" s="12">
        <v>75630.25</v>
      </c>
      <c r="H531" s="35">
        <v>46147.398143344908</v>
      </c>
    </row>
    <row r="532" spans="2:8" x14ac:dyDescent="0.2">
      <c r="B532" s="32">
        <v>46000</v>
      </c>
      <c r="C532" t="s">
        <v>109</v>
      </c>
      <c r="D532" t="s">
        <v>146</v>
      </c>
      <c r="E532" s="13" t="s">
        <v>530</v>
      </c>
      <c r="F532" s="12">
        <v>2</v>
      </c>
      <c r="G532" s="12">
        <v>75630.25</v>
      </c>
      <c r="H532" s="35">
        <v>46147.398143344908</v>
      </c>
    </row>
    <row r="533" spans="2:8" x14ac:dyDescent="0.2">
      <c r="B533" s="32">
        <v>46000</v>
      </c>
      <c r="C533" t="s">
        <v>109</v>
      </c>
      <c r="D533" t="s">
        <v>325</v>
      </c>
      <c r="E533" s="13" t="s">
        <v>529</v>
      </c>
      <c r="F533" s="12">
        <v>2</v>
      </c>
      <c r="G533" s="12">
        <v>70000</v>
      </c>
      <c r="H533" s="35">
        <v>46147.398143344908</v>
      </c>
    </row>
    <row r="534" spans="2:8" x14ac:dyDescent="0.2">
      <c r="B534" s="32">
        <v>46000</v>
      </c>
      <c r="C534" t="s">
        <v>109</v>
      </c>
      <c r="D534" t="s">
        <v>142</v>
      </c>
      <c r="E534" s="13" t="s">
        <v>529</v>
      </c>
      <c r="F534" s="12">
        <v>3</v>
      </c>
      <c r="G534" s="12">
        <v>55462.18</v>
      </c>
      <c r="H534" s="35">
        <v>46147.398143344908</v>
      </c>
    </row>
    <row r="535" spans="2:8" x14ac:dyDescent="0.2">
      <c r="B535" s="32">
        <v>46001</v>
      </c>
      <c r="C535" t="s">
        <v>1517</v>
      </c>
      <c r="D535" t="s">
        <v>298</v>
      </c>
      <c r="E535" s="13" t="s">
        <v>530</v>
      </c>
      <c r="F535" s="12">
        <v>3</v>
      </c>
      <c r="G535" s="12">
        <v>113445.38</v>
      </c>
      <c r="H535" s="35">
        <v>46147.398143344908</v>
      </c>
    </row>
    <row r="536" spans="2:8" x14ac:dyDescent="0.2">
      <c r="B536" s="32">
        <v>46001</v>
      </c>
      <c r="C536" t="s">
        <v>1517</v>
      </c>
      <c r="D536" t="s">
        <v>143</v>
      </c>
      <c r="E536" s="13" t="s">
        <v>530</v>
      </c>
      <c r="F536" s="12">
        <v>2</v>
      </c>
      <c r="G536" s="12">
        <v>58823.519999999997</v>
      </c>
      <c r="H536" s="35">
        <v>46147.398143344908</v>
      </c>
    </row>
    <row r="537" spans="2:8" x14ac:dyDescent="0.2">
      <c r="B537" s="32">
        <v>46001</v>
      </c>
      <c r="C537" t="s">
        <v>140</v>
      </c>
      <c r="D537" t="s">
        <v>560</v>
      </c>
      <c r="E537" s="13" t="s">
        <v>530</v>
      </c>
      <c r="F537" s="12">
        <v>4</v>
      </c>
      <c r="G537" s="12">
        <v>235294.12</v>
      </c>
      <c r="H537" s="35">
        <v>46147.398143344908</v>
      </c>
    </row>
    <row r="538" spans="2:8" x14ac:dyDescent="0.2">
      <c r="B538" s="32">
        <v>46001</v>
      </c>
      <c r="C538" t="s">
        <v>140</v>
      </c>
      <c r="D538" t="s">
        <v>344</v>
      </c>
      <c r="E538" s="13" t="s">
        <v>530</v>
      </c>
      <c r="F538" s="12">
        <v>3</v>
      </c>
      <c r="G538" s="12">
        <v>163865.54999999999</v>
      </c>
      <c r="H538" s="35">
        <v>46147.398143344908</v>
      </c>
    </row>
    <row r="539" spans="2:8" x14ac:dyDescent="0.2">
      <c r="B539" s="32">
        <v>46001</v>
      </c>
      <c r="C539" t="s">
        <v>140</v>
      </c>
      <c r="D539" t="s">
        <v>279</v>
      </c>
      <c r="E539" s="13" t="s">
        <v>530</v>
      </c>
      <c r="F539" s="12">
        <v>2</v>
      </c>
      <c r="G539" s="12">
        <v>117647.06</v>
      </c>
      <c r="H539" s="35">
        <v>46147.398143344908</v>
      </c>
    </row>
    <row r="540" spans="2:8" x14ac:dyDescent="0.2">
      <c r="B540" s="32">
        <v>46001</v>
      </c>
      <c r="C540" t="s">
        <v>140</v>
      </c>
      <c r="D540" t="s">
        <v>280</v>
      </c>
      <c r="E540" s="13" t="s">
        <v>530</v>
      </c>
      <c r="F540" s="12">
        <v>2</v>
      </c>
      <c r="G540" s="12">
        <v>117647.06</v>
      </c>
      <c r="H540" s="35">
        <v>46147.398143344908</v>
      </c>
    </row>
    <row r="541" spans="2:8" x14ac:dyDescent="0.2">
      <c r="B541" s="32">
        <v>46001</v>
      </c>
      <c r="C541" t="s">
        <v>140</v>
      </c>
      <c r="D541" t="s">
        <v>231</v>
      </c>
      <c r="E541" s="13" t="s">
        <v>530</v>
      </c>
      <c r="F541" s="12">
        <v>2</v>
      </c>
      <c r="G541" s="12">
        <v>117647.06</v>
      </c>
      <c r="H541" s="35">
        <v>46147.398143344908</v>
      </c>
    </row>
    <row r="542" spans="2:8" x14ac:dyDescent="0.2">
      <c r="B542" s="32">
        <v>46001</v>
      </c>
      <c r="C542" t="s">
        <v>140</v>
      </c>
      <c r="D542" t="s">
        <v>158</v>
      </c>
      <c r="E542" s="13" t="s">
        <v>530</v>
      </c>
      <c r="F542" s="12">
        <v>2</v>
      </c>
      <c r="G542" s="12">
        <v>92436.98</v>
      </c>
      <c r="H542" s="35">
        <v>46147.398143344908</v>
      </c>
    </row>
    <row r="543" spans="2:8" x14ac:dyDescent="0.2">
      <c r="B543" s="32">
        <v>46001</v>
      </c>
      <c r="C543" t="s">
        <v>140</v>
      </c>
      <c r="D543" t="s">
        <v>143</v>
      </c>
      <c r="E543" s="13" t="s">
        <v>530</v>
      </c>
      <c r="F543" s="12">
        <v>2</v>
      </c>
      <c r="G543" s="12">
        <v>58823.53</v>
      </c>
      <c r="H543" s="35">
        <v>46147.398143344908</v>
      </c>
    </row>
    <row r="544" spans="2:8" x14ac:dyDescent="0.2">
      <c r="B544" s="32">
        <v>46001</v>
      </c>
      <c r="C544" t="s">
        <v>1530</v>
      </c>
      <c r="D544" t="s">
        <v>154</v>
      </c>
      <c r="E544" s="13" t="s">
        <v>530</v>
      </c>
      <c r="F544" s="12">
        <v>2</v>
      </c>
      <c r="G544" s="12">
        <v>84033.61</v>
      </c>
      <c r="H544" s="35">
        <v>46147.398143344908</v>
      </c>
    </row>
    <row r="545" spans="2:8" x14ac:dyDescent="0.2">
      <c r="B545" s="32">
        <v>46001</v>
      </c>
      <c r="C545" t="s">
        <v>109</v>
      </c>
      <c r="D545" t="s">
        <v>1552</v>
      </c>
      <c r="E545" s="13" t="s">
        <v>530</v>
      </c>
      <c r="F545" s="12">
        <v>8</v>
      </c>
      <c r="G545" s="12">
        <v>1512605.04</v>
      </c>
      <c r="H545" s="35">
        <v>46147.398143344908</v>
      </c>
    </row>
    <row r="546" spans="2:8" x14ac:dyDescent="0.2">
      <c r="B546" s="32">
        <v>46001</v>
      </c>
      <c r="C546" t="s">
        <v>109</v>
      </c>
      <c r="E546" s="13" t="s">
        <v>530</v>
      </c>
      <c r="F546" s="12">
        <v>5</v>
      </c>
      <c r="G546" s="12">
        <v>609243.69999999995</v>
      </c>
      <c r="H546" s="35">
        <v>46147.398143344908</v>
      </c>
    </row>
    <row r="547" spans="2:8" x14ac:dyDescent="0.2">
      <c r="B547" s="32">
        <v>46001</v>
      </c>
      <c r="C547" t="s">
        <v>109</v>
      </c>
      <c r="D547" t="s">
        <v>210</v>
      </c>
      <c r="E547" s="13" t="s">
        <v>530</v>
      </c>
      <c r="F547" s="12">
        <v>8</v>
      </c>
      <c r="G547" s="12">
        <v>436974.79</v>
      </c>
      <c r="H547" s="35">
        <v>46147.398143344908</v>
      </c>
    </row>
    <row r="548" spans="2:8" x14ac:dyDescent="0.2">
      <c r="B548" s="32">
        <v>46001</v>
      </c>
      <c r="C548" t="s">
        <v>109</v>
      </c>
      <c r="D548" t="s">
        <v>396</v>
      </c>
      <c r="E548" s="13" t="s">
        <v>530</v>
      </c>
      <c r="F548" s="12">
        <v>8</v>
      </c>
      <c r="G548" s="12">
        <v>436974.78</v>
      </c>
      <c r="H548" s="35">
        <v>46147.398143344908</v>
      </c>
    </row>
    <row r="549" spans="2:8" x14ac:dyDescent="0.2">
      <c r="B549" s="32">
        <v>46001</v>
      </c>
      <c r="C549" t="s">
        <v>109</v>
      </c>
      <c r="D549" t="s">
        <v>152</v>
      </c>
      <c r="E549" s="13" t="s">
        <v>530</v>
      </c>
      <c r="F549" s="12">
        <v>3</v>
      </c>
      <c r="G549" s="12">
        <v>302521.01</v>
      </c>
      <c r="H549" s="35">
        <v>46147.398143344908</v>
      </c>
    </row>
    <row r="550" spans="2:8" x14ac:dyDescent="0.2">
      <c r="B550" s="32">
        <v>46001</v>
      </c>
      <c r="C550" t="s">
        <v>109</v>
      </c>
      <c r="D550" t="s">
        <v>167</v>
      </c>
      <c r="E550" s="13" t="s">
        <v>530</v>
      </c>
      <c r="F550" s="12">
        <v>2</v>
      </c>
      <c r="G550" s="12">
        <v>201680.67</v>
      </c>
      <c r="H550" s="35">
        <v>46147.398143344908</v>
      </c>
    </row>
    <row r="551" spans="2:8" x14ac:dyDescent="0.2">
      <c r="B551" s="32">
        <v>46001</v>
      </c>
      <c r="C551" t="s">
        <v>109</v>
      </c>
      <c r="D551" t="s">
        <v>172</v>
      </c>
      <c r="E551" s="13" t="s">
        <v>529</v>
      </c>
      <c r="F551" s="12">
        <v>2</v>
      </c>
      <c r="G551" s="12">
        <v>151260.51</v>
      </c>
      <c r="H551" s="35">
        <v>46147.398143344908</v>
      </c>
    </row>
    <row r="552" spans="2:8" x14ac:dyDescent="0.2">
      <c r="B552" s="32">
        <v>46001</v>
      </c>
      <c r="C552" t="s">
        <v>109</v>
      </c>
      <c r="D552" t="s">
        <v>325</v>
      </c>
      <c r="E552" s="13" t="s">
        <v>529</v>
      </c>
      <c r="F552" s="12">
        <v>4</v>
      </c>
      <c r="G552" s="12">
        <v>140000</v>
      </c>
      <c r="H552" s="35">
        <v>46147.398143344908</v>
      </c>
    </row>
    <row r="553" spans="2:8" x14ac:dyDescent="0.2">
      <c r="B553" s="32">
        <v>46001</v>
      </c>
      <c r="C553" t="s">
        <v>109</v>
      </c>
      <c r="D553" t="s">
        <v>1592</v>
      </c>
      <c r="E553" s="13" t="s">
        <v>529</v>
      </c>
      <c r="F553" s="12">
        <v>3</v>
      </c>
      <c r="G553" s="12">
        <v>138655.46</v>
      </c>
      <c r="H553" s="35">
        <v>46147.398143344908</v>
      </c>
    </row>
    <row r="554" spans="2:8" x14ac:dyDescent="0.2">
      <c r="B554" s="32">
        <v>46001</v>
      </c>
      <c r="C554" t="s">
        <v>109</v>
      </c>
      <c r="D554" t="s">
        <v>1541</v>
      </c>
      <c r="E554" s="13" t="s">
        <v>530</v>
      </c>
      <c r="F554" s="12">
        <v>3</v>
      </c>
      <c r="G554" s="12">
        <v>126050.42</v>
      </c>
      <c r="H554" s="35">
        <v>46147.398143344908</v>
      </c>
    </row>
    <row r="555" spans="2:8" x14ac:dyDescent="0.2">
      <c r="B555" s="32">
        <v>46001</v>
      </c>
      <c r="C555" t="s">
        <v>109</v>
      </c>
      <c r="D555" t="s">
        <v>154</v>
      </c>
      <c r="E555" s="13" t="s">
        <v>530</v>
      </c>
      <c r="F555" s="12">
        <v>3</v>
      </c>
      <c r="G555" s="12">
        <v>126050.42</v>
      </c>
      <c r="H555" s="35">
        <v>46147.398143344908</v>
      </c>
    </row>
    <row r="556" spans="2:8" x14ac:dyDescent="0.2">
      <c r="B556" s="32">
        <v>46001</v>
      </c>
      <c r="C556" t="s">
        <v>109</v>
      </c>
      <c r="E556" s="13" t="s">
        <v>529</v>
      </c>
      <c r="F556" s="12">
        <v>2</v>
      </c>
      <c r="G556" s="12">
        <v>121848.74</v>
      </c>
      <c r="H556" s="35">
        <v>46147.398143344908</v>
      </c>
    </row>
    <row r="557" spans="2:8" x14ac:dyDescent="0.2">
      <c r="B557" s="32">
        <v>46001</v>
      </c>
      <c r="C557" t="s">
        <v>109</v>
      </c>
      <c r="D557" t="s">
        <v>1593</v>
      </c>
      <c r="E557" s="13" t="s">
        <v>530</v>
      </c>
      <c r="F557" s="12">
        <v>2</v>
      </c>
      <c r="G557" s="12">
        <v>92436.97</v>
      </c>
      <c r="H557" s="35">
        <v>46147.398143344908</v>
      </c>
    </row>
    <row r="558" spans="2:8" x14ac:dyDescent="0.2">
      <c r="B558" s="32">
        <v>46001</v>
      </c>
      <c r="C558" t="s">
        <v>109</v>
      </c>
      <c r="D558" t="s">
        <v>146</v>
      </c>
      <c r="E558" s="13" t="s">
        <v>530</v>
      </c>
      <c r="F558" s="12">
        <v>2</v>
      </c>
      <c r="G558" s="12">
        <v>75630.259999999995</v>
      </c>
      <c r="H558" s="35">
        <v>46147.398143344908</v>
      </c>
    </row>
    <row r="559" spans="2:8" x14ac:dyDescent="0.2">
      <c r="B559" s="32">
        <v>46001</v>
      </c>
      <c r="C559" t="s">
        <v>109</v>
      </c>
      <c r="D559" t="s">
        <v>1601</v>
      </c>
      <c r="E559" s="13" t="s">
        <v>529</v>
      </c>
      <c r="F559" s="12">
        <v>2</v>
      </c>
      <c r="G559" s="12">
        <v>75630.259999999995</v>
      </c>
      <c r="H559" s="35">
        <v>46147.398143344908</v>
      </c>
    </row>
    <row r="560" spans="2:8" x14ac:dyDescent="0.2">
      <c r="B560" s="32">
        <v>46001</v>
      </c>
      <c r="C560" t="s">
        <v>109</v>
      </c>
      <c r="D560" t="s">
        <v>326</v>
      </c>
      <c r="E560" s="13" t="s">
        <v>530</v>
      </c>
      <c r="F560" s="12">
        <v>2</v>
      </c>
      <c r="G560" s="12">
        <v>75630.259999999995</v>
      </c>
      <c r="H560" s="35">
        <v>46147.398143344908</v>
      </c>
    </row>
    <row r="561" spans="2:8" x14ac:dyDescent="0.2">
      <c r="B561" s="32">
        <v>46001</v>
      </c>
      <c r="C561" t="s">
        <v>109</v>
      </c>
      <c r="D561" t="s">
        <v>1539</v>
      </c>
      <c r="E561" s="13" t="s">
        <v>530</v>
      </c>
      <c r="F561" s="12">
        <v>2</v>
      </c>
      <c r="G561" s="12">
        <v>75630.259999999995</v>
      </c>
      <c r="H561" s="35">
        <v>46147.398143344908</v>
      </c>
    </row>
    <row r="562" spans="2:8" x14ac:dyDescent="0.2">
      <c r="B562" s="32">
        <v>46001</v>
      </c>
      <c r="C562" t="s">
        <v>109</v>
      </c>
      <c r="D562" t="s">
        <v>1610</v>
      </c>
      <c r="E562" s="13" t="s">
        <v>530</v>
      </c>
      <c r="F562" s="12">
        <v>2</v>
      </c>
      <c r="G562" s="12">
        <v>75630.259999999995</v>
      </c>
      <c r="H562" s="35">
        <v>46147.398143344908</v>
      </c>
    </row>
    <row r="563" spans="2:8" x14ac:dyDescent="0.2">
      <c r="B563" s="32">
        <v>46001</v>
      </c>
      <c r="C563" t="s">
        <v>109</v>
      </c>
      <c r="D563" t="s">
        <v>191</v>
      </c>
      <c r="E563" s="13" t="s">
        <v>530</v>
      </c>
      <c r="F563" s="12">
        <v>2</v>
      </c>
      <c r="G563" s="12">
        <v>75630.25</v>
      </c>
      <c r="H563" s="35">
        <v>46147.398143344908</v>
      </c>
    </row>
    <row r="564" spans="2:8" x14ac:dyDescent="0.2">
      <c r="B564" s="32">
        <v>46001</v>
      </c>
      <c r="C564" t="s">
        <v>109</v>
      </c>
      <c r="D564" t="s">
        <v>1600</v>
      </c>
      <c r="E564" s="13" t="s">
        <v>529</v>
      </c>
      <c r="F564" s="12">
        <v>2</v>
      </c>
      <c r="G564" s="12">
        <v>75630.25</v>
      </c>
      <c r="H564" s="35">
        <v>46147.398143344908</v>
      </c>
    </row>
    <row r="565" spans="2:8" x14ac:dyDescent="0.2">
      <c r="B565" s="32">
        <v>46001</v>
      </c>
      <c r="C565" t="s">
        <v>109</v>
      </c>
      <c r="D565" t="s">
        <v>1597</v>
      </c>
      <c r="E565" s="13" t="s">
        <v>529</v>
      </c>
      <c r="F565" s="12">
        <v>2</v>
      </c>
      <c r="G565" s="12">
        <v>75630.25</v>
      </c>
      <c r="H565" s="35">
        <v>46147.398143344908</v>
      </c>
    </row>
    <row r="566" spans="2:8" x14ac:dyDescent="0.2">
      <c r="B566" s="32">
        <v>46001</v>
      </c>
      <c r="C566" t="s">
        <v>109</v>
      </c>
      <c r="D566" t="s">
        <v>291</v>
      </c>
      <c r="E566" s="13" t="s">
        <v>530</v>
      </c>
      <c r="F566" s="12">
        <v>2</v>
      </c>
      <c r="G566" s="12">
        <v>75630.25</v>
      </c>
      <c r="H566" s="35">
        <v>46147.398143344908</v>
      </c>
    </row>
    <row r="567" spans="2:8" x14ac:dyDescent="0.2">
      <c r="B567" s="32">
        <v>46002</v>
      </c>
      <c r="C567" t="s">
        <v>140</v>
      </c>
      <c r="D567" t="s">
        <v>348</v>
      </c>
      <c r="E567" s="13" t="s">
        <v>529</v>
      </c>
      <c r="F567" s="12">
        <v>4</v>
      </c>
      <c r="G567" s="12">
        <v>285714.28000000003</v>
      </c>
      <c r="H567" s="35">
        <v>46147.398143344908</v>
      </c>
    </row>
    <row r="568" spans="2:8" x14ac:dyDescent="0.2">
      <c r="B568" s="32">
        <v>46002</v>
      </c>
      <c r="C568" t="s">
        <v>140</v>
      </c>
      <c r="D568" t="s">
        <v>189</v>
      </c>
      <c r="E568" s="13" t="s">
        <v>530</v>
      </c>
      <c r="F568" s="12">
        <v>2</v>
      </c>
      <c r="G568" s="12">
        <v>281512.59999999998</v>
      </c>
      <c r="H568" s="35">
        <v>46147.398143344908</v>
      </c>
    </row>
    <row r="569" spans="2:8" x14ac:dyDescent="0.2">
      <c r="B569" s="32">
        <v>46002</v>
      </c>
      <c r="C569" t="s">
        <v>140</v>
      </c>
      <c r="D569" t="s">
        <v>146</v>
      </c>
      <c r="E569" s="13" t="s">
        <v>530</v>
      </c>
      <c r="F569" s="12">
        <v>5</v>
      </c>
      <c r="G569" s="12">
        <v>189075.63</v>
      </c>
      <c r="H569" s="35">
        <v>46147.398143344908</v>
      </c>
    </row>
    <row r="570" spans="2:8" x14ac:dyDescent="0.2">
      <c r="B570" s="32">
        <v>46002</v>
      </c>
      <c r="C570" t="s">
        <v>140</v>
      </c>
      <c r="E570" s="13" t="s">
        <v>529</v>
      </c>
      <c r="F570" s="12">
        <v>6</v>
      </c>
      <c r="G570" s="12">
        <v>159663.85</v>
      </c>
      <c r="H570" s="35">
        <v>46147.398143344908</v>
      </c>
    </row>
    <row r="571" spans="2:8" x14ac:dyDescent="0.2">
      <c r="B571" s="32">
        <v>46002</v>
      </c>
      <c r="C571" t="s">
        <v>140</v>
      </c>
      <c r="E571" s="13" t="s">
        <v>530</v>
      </c>
      <c r="F571" s="12">
        <v>6</v>
      </c>
      <c r="G571" s="12">
        <v>152101.84</v>
      </c>
      <c r="H571" s="35">
        <v>46147.398143344908</v>
      </c>
    </row>
    <row r="572" spans="2:8" x14ac:dyDescent="0.2">
      <c r="B572" s="32">
        <v>46002</v>
      </c>
      <c r="C572" t="s">
        <v>140</v>
      </c>
      <c r="D572" t="s">
        <v>456</v>
      </c>
      <c r="E572" s="13" t="s">
        <v>530</v>
      </c>
      <c r="F572" s="12">
        <v>3</v>
      </c>
      <c r="G572" s="12">
        <v>151260.51</v>
      </c>
      <c r="H572" s="35">
        <v>46147.398143344908</v>
      </c>
    </row>
    <row r="573" spans="2:8" x14ac:dyDescent="0.2">
      <c r="B573" s="32">
        <v>46002</v>
      </c>
      <c r="C573" t="s">
        <v>140</v>
      </c>
      <c r="D573" t="s">
        <v>1600</v>
      </c>
      <c r="E573" s="13" t="s">
        <v>530</v>
      </c>
      <c r="F573" s="12">
        <v>4</v>
      </c>
      <c r="G573" s="12">
        <v>151260.51</v>
      </c>
      <c r="H573" s="35">
        <v>46147.398143344908</v>
      </c>
    </row>
    <row r="574" spans="2:8" x14ac:dyDescent="0.2">
      <c r="B574" s="32">
        <v>46002</v>
      </c>
      <c r="C574" t="s">
        <v>140</v>
      </c>
      <c r="D574" t="s">
        <v>171</v>
      </c>
      <c r="E574" s="13" t="s">
        <v>530</v>
      </c>
      <c r="F574" s="12">
        <v>4</v>
      </c>
      <c r="G574" s="12">
        <v>151260.5</v>
      </c>
      <c r="H574" s="35">
        <v>46147.398143344908</v>
      </c>
    </row>
    <row r="575" spans="2:8" x14ac:dyDescent="0.2">
      <c r="B575" s="32">
        <v>46002</v>
      </c>
      <c r="C575" t="s">
        <v>140</v>
      </c>
      <c r="D575" t="s">
        <v>145</v>
      </c>
      <c r="E575" s="13" t="s">
        <v>529</v>
      </c>
      <c r="F575" s="12">
        <v>2</v>
      </c>
      <c r="G575" s="12">
        <v>142857.14000000001</v>
      </c>
      <c r="H575" s="35">
        <v>46147.398143344908</v>
      </c>
    </row>
    <row r="576" spans="2:8" x14ac:dyDescent="0.2">
      <c r="B576" s="32">
        <v>46002</v>
      </c>
      <c r="C576" t="s">
        <v>140</v>
      </c>
      <c r="D576" t="s">
        <v>206</v>
      </c>
      <c r="E576" s="13" t="s">
        <v>529</v>
      </c>
      <c r="F576" s="12">
        <v>2</v>
      </c>
      <c r="G576" s="12">
        <v>117647.06</v>
      </c>
      <c r="H576" s="35">
        <v>46147.398143344908</v>
      </c>
    </row>
    <row r="577" spans="2:8" x14ac:dyDescent="0.2">
      <c r="B577" s="32">
        <v>46002</v>
      </c>
      <c r="C577" t="s">
        <v>140</v>
      </c>
      <c r="D577" t="s">
        <v>149</v>
      </c>
      <c r="E577" s="13" t="s">
        <v>529</v>
      </c>
      <c r="F577" s="12">
        <v>2</v>
      </c>
      <c r="G577" s="12">
        <v>92436.98</v>
      </c>
      <c r="H577" s="35">
        <v>46147.398143344908</v>
      </c>
    </row>
    <row r="578" spans="2:8" x14ac:dyDescent="0.2">
      <c r="B578" s="32">
        <v>46002</v>
      </c>
      <c r="C578" t="s">
        <v>140</v>
      </c>
      <c r="D578" t="s">
        <v>193</v>
      </c>
      <c r="E578" s="13" t="s">
        <v>529</v>
      </c>
      <c r="F578" s="12">
        <v>2</v>
      </c>
      <c r="G578" s="12">
        <v>92436.98</v>
      </c>
      <c r="H578" s="35">
        <v>46147.398143344908</v>
      </c>
    </row>
    <row r="579" spans="2:8" x14ac:dyDescent="0.2">
      <c r="B579" s="32">
        <v>46002</v>
      </c>
      <c r="C579" t="s">
        <v>140</v>
      </c>
      <c r="D579" t="s">
        <v>515</v>
      </c>
      <c r="E579" s="13" t="s">
        <v>529</v>
      </c>
      <c r="F579" s="12">
        <v>2</v>
      </c>
      <c r="G579" s="12">
        <v>92436.97</v>
      </c>
      <c r="H579" s="35">
        <v>46147.398143344908</v>
      </c>
    </row>
    <row r="580" spans="2:8" x14ac:dyDescent="0.2">
      <c r="B580" s="32">
        <v>46002</v>
      </c>
      <c r="C580" t="s">
        <v>140</v>
      </c>
      <c r="D580" t="s">
        <v>484</v>
      </c>
      <c r="E580" s="13" t="s">
        <v>529</v>
      </c>
      <c r="F580" s="12">
        <v>2</v>
      </c>
      <c r="G580" s="12">
        <v>92436.97</v>
      </c>
      <c r="H580" s="35">
        <v>46147.398143344908</v>
      </c>
    </row>
    <row r="581" spans="2:8" x14ac:dyDescent="0.2">
      <c r="B581" s="32">
        <v>46002</v>
      </c>
      <c r="C581" t="s">
        <v>140</v>
      </c>
      <c r="D581" t="s">
        <v>516</v>
      </c>
      <c r="E581" s="13" t="s">
        <v>529</v>
      </c>
      <c r="F581" s="12">
        <v>2</v>
      </c>
      <c r="G581" s="12">
        <v>92436.97</v>
      </c>
      <c r="H581" s="35">
        <v>46147.398143344908</v>
      </c>
    </row>
    <row r="582" spans="2:8" x14ac:dyDescent="0.2">
      <c r="B582" s="32">
        <v>46002</v>
      </c>
      <c r="C582" t="s">
        <v>140</v>
      </c>
      <c r="D582" t="s">
        <v>154</v>
      </c>
      <c r="E582" s="13" t="s">
        <v>530</v>
      </c>
      <c r="F582" s="12">
        <v>2</v>
      </c>
      <c r="G582" s="12">
        <v>84033.61</v>
      </c>
      <c r="H582" s="35">
        <v>46147.398143344908</v>
      </c>
    </row>
    <row r="583" spans="2:8" x14ac:dyDescent="0.2">
      <c r="B583" s="32">
        <v>46002</v>
      </c>
      <c r="C583" t="s">
        <v>140</v>
      </c>
      <c r="D583" t="s">
        <v>291</v>
      </c>
      <c r="E583" s="13" t="s">
        <v>530</v>
      </c>
      <c r="F583" s="12">
        <v>2</v>
      </c>
      <c r="G583" s="12">
        <v>75630.259999999995</v>
      </c>
      <c r="H583" s="35">
        <v>46147.398143344908</v>
      </c>
    </row>
    <row r="584" spans="2:8" x14ac:dyDescent="0.2">
      <c r="B584" s="32">
        <v>46002</v>
      </c>
      <c r="C584" t="s">
        <v>140</v>
      </c>
      <c r="D584" t="s">
        <v>1604</v>
      </c>
      <c r="E584" s="13" t="s">
        <v>529</v>
      </c>
      <c r="F584" s="12">
        <v>2</v>
      </c>
      <c r="G584" s="12">
        <v>75630.259999999995</v>
      </c>
      <c r="H584" s="35">
        <v>46147.398143344908</v>
      </c>
    </row>
    <row r="585" spans="2:8" x14ac:dyDescent="0.2">
      <c r="B585" s="32">
        <v>46002</v>
      </c>
      <c r="C585" t="s">
        <v>140</v>
      </c>
      <c r="D585" t="s">
        <v>1610</v>
      </c>
      <c r="E585" s="13" t="s">
        <v>530</v>
      </c>
      <c r="F585" s="12">
        <v>2</v>
      </c>
      <c r="G585" s="12">
        <v>75630.25</v>
      </c>
      <c r="H585" s="35">
        <v>46147.398143344908</v>
      </c>
    </row>
    <row r="586" spans="2:8" x14ac:dyDescent="0.2">
      <c r="B586" s="32">
        <v>46002</v>
      </c>
      <c r="C586" t="s">
        <v>140</v>
      </c>
      <c r="D586" t="s">
        <v>1597</v>
      </c>
      <c r="E586" s="13" t="s">
        <v>530</v>
      </c>
      <c r="F586" s="12">
        <v>2</v>
      </c>
      <c r="G586" s="12">
        <v>75630.25</v>
      </c>
      <c r="H586" s="35">
        <v>46147.398143344908</v>
      </c>
    </row>
    <row r="587" spans="2:8" x14ac:dyDescent="0.2">
      <c r="B587" s="32">
        <v>46002</v>
      </c>
      <c r="C587" t="s">
        <v>140</v>
      </c>
      <c r="D587" t="s">
        <v>143</v>
      </c>
      <c r="E587" s="13" t="s">
        <v>530</v>
      </c>
      <c r="F587" s="12">
        <v>2</v>
      </c>
      <c r="G587" s="12">
        <v>58823.53</v>
      </c>
      <c r="H587" s="35">
        <v>46147.398143344908</v>
      </c>
    </row>
    <row r="588" spans="2:8" x14ac:dyDescent="0.2">
      <c r="B588" s="32">
        <v>46002</v>
      </c>
      <c r="C588" t="s">
        <v>109</v>
      </c>
      <c r="D588" t="s">
        <v>172</v>
      </c>
      <c r="E588" s="13" t="s">
        <v>529</v>
      </c>
      <c r="F588" s="12">
        <v>3</v>
      </c>
      <c r="G588" s="12">
        <v>226890.76</v>
      </c>
      <c r="H588" s="35">
        <v>46147.398143344908</v>
      </c>
    </row>
    <row r="589" spans="2:8" x14ac:dyDescent="0.2">
      <c r="B589" s="32">
        <v>46002</v>
      </c>
      <c r="C589" t="s">
        <v>109</v>
      </c>
      <c r="D589" t="s">
        <v>154</v>
      </c>
      <c r="E589" s="13" t="s">
        <v>530</v>
      </c>
      <c r="F589" s="12">
        <v>5</v>
      </c>
      <c r="G589" s="12">
        <v>210084.03</v>
      </c>
      <c r="H589" s="35">
        <v>46147.398143344908</v>
      </c>
    </row>
    <row r="590" spans="2:8" x14ac:dyDescent="0.2">
      <c r="B590" s="32">
        <v>46002</v>
      </c>
      <c r="C590" t="s">
        <v>109</v>
      </c>
      <c r="D590" t="s">
        <v>577</v>
      </c>
      <c r="E590" s="13" t="s">
        <v>529</v>
      </c>
      <c r="F590" s="12">
        <v>2</v>
      </c>
      <c r="G590" s="12">
        <v>151260.5</v>
      </c>
      <c r="H590" s="35">
        <v>46147.398143344908</v>
      </c>
    </row>
    <row r="591" spans="2:8" x14ac:dyDescent="0.2">
      <c r="B591" s="32">
        <v>46002</v>
      </c>
      <c r="C591" t="s">
        <v>109</v>
      </c>
      <c r="D591" t="s">
        <v>1569</v>
      </c>
      <c r="E591" s="13" t="s">
        <v>529</v>
      </c>
      <c r="F591" s="12">
        <v>2</v>
      </c>
      <c r="G591" s="12">
        <v>142857.14000000001</v>
      </c>
      <c r="H591" s="35">
        <v>46147.398143344908</v>
      </c>
    </row>
    <row r="592" spans="2:8" x14ac:dyDescent="0.2">
      <c r="B592" s="32">
        <v>46002</v>
      </c>
      <c r="C592" t="s">
        <v>109</v>
      </c>
      <c r="D592" t="s">
        <v>325</v>
      </c>
      <c r="E592" s="13" t="s">
        <v>530</v>
      </c>
      <c r="F592" s="12">
        <v>4</v>
      </c>
      <c r="G592" s="12">
        <v>140000</v>
      </c>
      <c r="H592" s="35">
        <v>46147.398143344908</v>
      </c>
    </row>
    <row r="593" spans="2:8" x14ac:dyDescent="0.2">
      <c r="B593" s="32">
        <v>46002</v>
      </c>
      <c r="C593" t="s">
        <v>109</v>
      </c>
      <c r="D593" t="s">
        <v>1619</v>
      </c>
      <c r="E593" s="13" t="s">
        <v>530</v>
      </c>
      <c r="F593" s="12">
        <v>3</v>
      </c>
      <c r="G593" s="12">
        <v>138655.46</v>
      </c>
      <c r="H593" s="35">
        <v>46147.398143344908</v>
      </c>
    </row>
    <row r="594" spans="2:8" x14ac:dyDescent="0.2">
      <c r="B594" s="32">
        <v>46002</v>
      </c>
      <c r="C594" t="s">
        <v>109</v>
      </c>
      <c r="D594" t="s">
        <v>149</v>
      </c>
      <c r="E594" s="13" t="s">
        <v>529</v>
      </c>
      <c r="F594" s="12">
        <v>3</v>
      </c>
      <c r="G594" s="12">
        <v>138655.46</v>
      </c>
      <c r="H594" s="35">
        <v>46147.398143344908</v>
      </c>
    </row>
    <row r="595" spans="2:8" x14ac:dyDescent="0.2">
      <c r="B595" s="32">
        <v>46002</v>
      </c>
      <c r="C595" t="s">
        <v>109</v>
      </c>
      <c r="D595" t="s">
        <v>1601</v>
      </c>
      <c r="E595" s="13" t="s">
        <v>529</v>
      </c>
      <c r="F595" s="12">
        <v>3</v>
      </c>
      <c r="G595" s="12">
        <v>113445.39</v>
      </c>
      <c r="H595" s="35">
        <v>46147.398143344908</v>
      </c>
    </row>
    <row r="596" spans="2:8" x14ac:dyDescent="0.2">
      <c r="B596" s="32">
        <v>46002</v>
      </c>
      <c r="C596" t="s">
        <v>109</v>
      </c>
      <c r="D596" t="s">
        <v>281</v>
      </c>
      <c r="E596" s="13" t="s">
        <v>530</v>
      </c>
      <c r="F596" s="12">
        <v>2</v>
      </c>
      <c r="G596" s="12">
        <v>109243.7</v>
      </c>
      <c r="H596" s="35">
        <v>46147.398143344908</v>
      </c>
    </row>
    <row r="597" spans="2:8" x14ac:dyDescent="0.2">
      <c r="B597" s="32">
        <v>46002</v>
      </c>
      <c r="C597" t="s">
        <v>109</v>
      </c>
      <c r="D597" t="s">
        <v>538</v>
      </c>
      <c r="E597" s="13" t="s">
        <v>529</v>
      </c>
      <c r="F597" s="12">
        <v>2</v>
      </c>
      <c r="G597" s="12">
        <v>98000</v>
      </c>
      <c r="H597" s="35">
        <v>46147.398143344908</v>
      </c>
    </row>
    <row r="598" spans="2:8" x14ac:dyDescent="0.2">
      <c r="B598" s="32">
        <v>46002</v>
      </c>
      <c r="C598" t="s">
        <v>109</v>
      </c>
      <c r="D598" t="s">
        <v>158</v>
      </c>
      <c r="E598" s="13" t="s">
        <v>530</v>
      </c>
      <c r="F598" s="12">
        <v>2</v>
      </c>
      <c r="G598" s="12">
        <v>92436.98</v>
      </c>
      <c r="H598" s="35">
        <v>46147.398143344908</v>
      </c>
    </row>
    <row r="599" spans="2:8" x14ac:dyDescent="0.2">
      <c r="B599" s="32">
        <v>46002</v>
      </c>
      <c r="C599" t="s">
        <v>109</v>
      </c>
      <c r="D599" t="s">
        <v>156</v>
      </c>
      <c r="E599" s="13" t="s">
        <v>530</v>
      </c>
      <c r="F599" s="12">
        <v>2</v>
      </c>
      <c r="G599" s="12">
        <v>92436.98</v>
      </c>
      <c r="H599" s="35">
        <v>46147.398143344908</v>
      </c>
    </row>
    <row r="600" spans="2:8" x14ac:dyDescent="0.2">
      <c r="B600" s="32">
        <v>46002</v>
      </c>
      <c r="C600" t="s">
        <v>109</v>
      </c>
      <c r="D600" t="s">
        <v>334</v>
      </c>
      <c r="E600" s="13" t="s">
        <v>529</v>
      </c>
      <c r="F600" s="12">
        <v>2</v>
      </c>
      <c r="G600" s="12">
        <v>92436.97</v>
      </c>
      <c r="H600" s="35">
        <v>46147.398143344908</v>
      </c>
    </row>
    <row r="601" spans="2:8" x14ac:dyDescent="0.2">
      <c r="B601" s="32">
        <v>46002</v>
      </c>
      <c r="C601" t="s">
        <v>109</v>
      </c>
      <c r="D601" t="s">
        <v>1591</v>
      </c>
      <c r="E601" s="13" t="s">
        <v>529</v>
      </c>
      <c r="F601" s="12">
        <v>2</v>
      </c>
      <c r="G601" s="12">
        <v>92436.97</v>
      </c>
      <c r="H601" s="35">
        <v>46147.398143344908</v>
      </c>
    </row>
    <row r="602" spans="2:8" x14ac:dyDescent="0.2">
      <c r="B602" s="32">
        <v>46002</v>
      </c>
      <c r="C602" t="s">
        <v>109</v>
      </c>
      <c r="D602" t="s">
        <v>170</v>
      </c>
      <c r="E602" s="13" t="s">
        <v>529</v>
      </c>
      <c r="F602" s="12">
        <v>2</v>
      </c>
      <c r="G602" s="12">
        <v>92436.97</v>
      </c>
      <c r="H602" s="35">
        <v>46147.398143344908</v>
      </c>
    </row>
    <row r="603" spans="2:8" x14ac:dyDescent="0.2">
      <c r="B603" s="32">
        <v>46002</v>
      </c>
      <c r="C603" t="s">
        <v>109</v>
      </c>
      <c r="D603" t="s">
        <v>1606</v>
      </c>
      <c r="E603" s="13" t="s">
        <v>529</v>
      </c>
      <c r="F603" s="12">
        <v>2</v>
      </c>
      <c r="G603" s="12">
        <v>92436.97</v>
      </c>
      <c r="H603" s="35">
        <v>46147.398143344908</v>
      </c>
    </row>
    <row r="604" spans="2:8" x14ac:dyDescent="0.2">
      <c r="B604" s="32">
        <v>46002</v>
      </c>
      <c r="C604" t="s">
        <v>109</v>
      </c>
      <c r="D604" t="s">
        <v>154</v>
      </c>
      <c r="E604" s="13" t="s">
        <v>529</v>
      </c>
      <c r="F604" s="12">
        <v>2</v>
      </c>
      <c r="G604" s="12">
        <v>84033.61</v>
      </c>
      <c r="H604" s="35">
        <v>46147.398143344908</v>
      </c>
    </row>
    <row r="605" spans="2:8" x14ac:dyDescent="0.2">
      <c r="B605" s="32">
        <v>46002</v>
      </c>
      <c r="C605" t="s">
        <v>109</v>
      </c>
      <c r="D605" t="s">
        <v>1610</v>
      </c>
      <c r="E605" s="13" t="s">
        <v>529</v>
      </c>
      <c r="F605" s="12">
        <v>2</v>
      </c>
      <c r="G605" s="12">
        <v>75630.259999999995</v>
      </c>
      <c r="H605" s="35">
        <v>46147.398143344908</v>
      </c>
    </row>
    <row r="606" spans="2:8" x14ac:dyDescent="0.2">
      <c r="B606" s="32">
        <v>46002</v>
      </c>
      <c r="C606" t="s">
        <v>109</v>
      </c>
      <c r="D606" t="s">
        <v>1600</v>
      </c>
      <c r="E606" s="13" t="s">
        <v>529</v>
      </c>
      <c r="F606" s="12">
        <v>2</v>
      </c>
      <c r="G606" s="12">
        <v>75630.25</v>
      </c>
      <c r="H606" s="35">
        <v>46147.398143344908</v>
      </c>
    </row>
    <row r="607" spans="2:8" x14ac:dyDescent="0.2">
      <c r="B607" s="32">
        <v>46002</v>
      </c>
      <c r="C607" t="s">
        <v>109</v>
      </c>
      <c r="D607" t="s">
        <v>142</v>
      </c>
      <c r="E607" s="13" t="s">
        <v>529</v>
      </c>
      <c r="F607" s="12">
        <v>2</v>
      </c>
      <c r="G607" s="12">
        <v>53781.51</v>
      </c>
      <c r="H607" s="35">
        <v>46147.398143344908</v>
      </c>
    </row>
    <row r="608" spans="2:8" x14ac:dyDescent="0.2">
      <c r="B608" s="32">
        <v>46002</v>
      </c>
      <c r="C608" t="s">
        <v>109</v>
      </c>
      <c r="D608" t="s">
        <v>142</v>
      </c>
      <c r="E608" s="13" t="s">
        <v>530</v>
      </c>
      <c r="F608" s="12">
        <v>2</v>
      </c>
      <c r="G608" s="12">
        <v>27731.1</v>
      </c>
      <c r="H608" s="35">
        <v>46147.398143344908</v>
      </c>
    </row>
    <row r="609" spans="2:8" x14ac:dyDescent="0.2">
      <c r="B609" s="32">
        <v>46003</v>
      </c>
      <c r="C609" t="s">
        <v>108</v>
      </c>
      <c r="D609" t="s">
        <v>296</v>
      </c>
      <c r="E609" s="13" t="s">
        <v>530</v>
      </c>
      <c r="F609" s="12">
        <v>12</v>
      </c>
      <c r="G609" s="12">
        <v>1149579.83</v>
      </c>
      <c r="H609" s="35">
        <v>46147.398143344908</v>
      </c>
    </row>
    <row r="610" spans="2:8" x14ac:dyDescent="0.2">
      <c r="B610" s="32">
        <v>46003</v>
      </c>
      <c r="C610" t="s">
        <v>108</v>
      </c>
      <c r="D610" t="s">
        <v>205</v>
      </c>
      <c r="E610" s="13" t="s">
        <v>530</v>
      </c>
      <c r="F610" s="12">
        <v>4</v>
      </c>
      <c r="G610" s="12">
        <v>383193.27</v>
      </c>
      <c r="H610" s="35">
        <v>46147.398143344908</v>
      </c>
    </row>
    <row r="611" spans="2:8" x14ac:dyDescent="0.2">
      <c r="B611" s="32">
        <v>46003</v>
      </c>
      <c r="C611" t="s">
        <v>108</v>
      </c>
      <c r="D611" t="s">
        <v>302</v>
      </c>
      <c r="E611" s="13" t="s">
        <v>530</v>
      </c>
      <c r="F611" s="12">
        <v>3</v>
      </c>
      <c r="G611" s="12">
        <v>287394.96000000002</v>
      </c>
      <c r="H611" s="35">
        <v>46147.398143344908</v>
      </c>
    </row>
    <row r="612" spans="2:8" x14ac:dyDescent="0.2">
      <c r="B612" s="32">
        <v>46003</v>
      </c>
      <c r="C612" t="s">
        <v>108</v>
      </c>
      <c r="D612" t="s">
        <v>248</v>
      </c>
      <c r="E612" s="13" t="s">
        <v>530</v>
      </c>
      <c r="F612" s="12">
        <v>3</v>
      </c>
      <c r="G612" s="12">
        <v>287394.96000000002</v>
      </c>
      <c r="H612" s="35">
        <v>46147.398143344908</v>
      </c>
    </row>
    <row r="613" spans="2:8" x14ac:dyDescent="0.2">
      <c r="B613" s="32">
        <v>46003</v>
      </c>
      <c r="C613" t="s">
        <v>108</v>
      </c>
      <c r="D613" t="s">
        <v>165</v>
      </c>
      <c r="E613" s="13" t="s">
        <v>530</v>
      </c>
      <c r="F613" s="12">
        <v>3</v>
      </c>
      <c r="G613" s="12">
        <v>287394.96000000002</v>
      </c>
      <c r="H613" s="35">
        <v>46147.398143344908</v>
      </c>
    </row>
    <row r="614" spans="2:8" x14ac:dyDescent="0.2">
      <c r="B614" s="32">
        <v>46003</v>
      </c>
      <c r="C614" t="s">
        <v>108</v>
      </c>
      <c r="D614" t="s">
        <v>311</v>
      </c>
      <c r="E614" s="13" t="s">
        <v>530</v>
      </c>
      <c r="F614" s="12">
        <v>3</v>
      </c>
      <c r="G614" s="12">
        <v>287394.96000000002</v>
      </c>
      <c r="H614" s="35">
        <v>46147.398143344908</v>
      </c>
    </row>
    <row r="615" spans="2:8" x14ac:dyDescent="0.2">
      <c r="B615" s="32">
        <v>46003</v>
      </c>
      <c r="C615" t="s">
        <v>140</v>
      </c>
      <c r="E615" s="13" t="s">
        <v>530</v>
      </c>
      <c r="F615" s="12">
        <v>11</v>
      </c>
      <c r="G615" s="12">
        <v>435294.11</v>
      </c>
      <c r="H615" s="35">
        <v>46147.398143344908</v>
      </c>
    </row>
    <row r="616" spans="2:8" x14ac:dyDescent="0.2">
      <c r="B616" s="32">
        <v>46003</v>
      </c>
      <c r="C616" t="s">
        <v>140</v>
      </c>
      <c r="D616" t="s">
        <v>187</v>
      </c>
      <c r="E616" s="13"/>
      <c r="F616" s="12">
        <v>5</v>
      </c>
      <c r="G616" s="12">
        <v>357142.86</v>
      </c>
      <c r="H616" s="35">
        <v>46147.398143344908</v>
      </c>
    </row>
    <row r="617" spans="2:8" x14ac:dyDescent="0.2">
      <c r="B617" s="32">
        <v>46003</v>
      </c>
      <c r="C617" t="s">
        <v>140</v>
      </c>
      <c r="D617" t="s">
        <v>302</v>
      </c>
      <c r="E617" s="13" t="s">
        <v>530</v>
      </c>
      <c r="F617" s="12">
        <v>3</v>
      </c>
      <c r="G617" s="12">
        <v>302521.01</v>
      </c>
      <c r="H617" s="35">
        <v>46147.398143344908</v>
      </c>
    </row>
    <row r="618" spans="2:8" x14ac:dyDescent="0.2">
      <c r="B618" s="32">
        <v>46003</v>
      </c>
      <c r="C618" t="s">
        <v>140</v>
      </c>
      <c r="D618" t="s">
        <v>146</v>
      </c>
      <c r="E618" s="13" t="s">
        <v>530</v>
      </c>
      <c r="F618" s="12">
        <v>8</v>
      </c>
      <c r="G618" s="12">
        <v>302520.99</v>
      </c>
      <c r="H618" s="35">
        <v>46147.398143344908</v>
      </c>
    </row>
    <row r="619" spans="2:8" x14ac:dyDescent="0.2">
      <c r="B619" s="32">
        <v>46003</v>
      </c>
      <c r="C619" t="s">
        <v>140</v>
      </c>
      <c r="D619" t="s">
        <v>348</v>
      </c>
      <c r="E619" s="13" t="s">
        <v>530</v>
      </c>
      <c r="F619" s="12">
        <v>3</v>
      </c>
      <c r="G619" s="12">
        <v>214285.71</v>
      </c>
      <c r="H619" s="35">
        <v>46147.398143344908</v>
      </c>
    </row>
    <row r="620" spans="2:8" x14ac:dyDescent="0.2">
      <c r="B620" s="32">
        <v>46003</v>
      </c>
      <c r="C620" t="s">
        <v>140</v>
      </c>
      <c r="D620" t="s">
        <v>162</v>
      </c>
      <c r="E620" s="13" t="s">
        <v>530</v>
      </c>
      <c r="F620" s="12">
        <v>3</v>
      </c>
      <c r="G620" s="12">
        <v>214285.71</v>
      </c>
      <c r="H620" s="35">
        <v>46147.398143344908</v>
      </c>
    </row>
    <row r="621" spans="2:8" x14ac:dyDescent="0.2">
      <c r="B621" s="32">
        <v>46003</v>
      </c>
      <c r="C621" t="s">
        <v>140</v>
      </c>
      <c r="D621" t="s">
        <v>333</v>
      </c>
      <c r="E621" s="13" t="s">
        <v>530</v>
      </c>
      <c r="F621" s="12">
        <v>3</v>
      </c>
      <c r="G621" s="12">
        <v>214285.71</v>
      </c>
      <c r="H621" s="35">
        <v>46147.398143344908</v>
      </c>
    </row>
    <row r="622" spans="2:8" x14ac:dyDescent="0.2">
      <c r="B622" s="32">
        <v>46003</v>
      </c>
      <c r="C622" t="s">
        <v>140</v>
      </c>
      <c r="D622" t="s">
        <v>1618</v>
      </c>
      <c r="E622" s="13" t="s">
        <v>530</v>
      </c>
      <c r="F622" s="12">
        <v>4</v>
      </c>
      <c r="G622" s="12">
        <v>184873.95</v>
      </c>
      <c r="H622" s="35">
        <v>46147.398143344908</v>
      </c>
    </row>
    <row r="623" spans="2:8" x14ac:dyDescent="0.2">
      <c r="B623" s="32">
        <v>46003</v>
      </c>
      <c r="C623" t="s">
        <v>140</v>
      </c>
      <c r="D623" t="s">
        <v>396</v>
      </c>
      <c r="E623" s="13" t="s">
        <v>530</v>
      </c>
      <c r="F623" s="12">
        <v>3</v>
      </c>
      <c r="G623" s="12">
        <v>163865.54999999999</v>
      </c>
      <c r="H623" s="35">
        <v>46147.398143344908</v>
      </c>
    </row>
    <row r="624" spans="2:8" x14ac:dyDescent="0.2">
      <c r="B624" s="32">
        <v>46003</v>
      </c>
      <c r="C624" t="s">
        <v>140</v>
      </c>
      <c r="D624" t="s">
        <v>482</v>
      </c>
      <c r="E624" s="13" t="s">
        <v>530</v>
      </c>
      <c r="F624" s="12">
        <v>2</v>
      </c>
      <c r="G624" s="12">
        <v>151260.5</v>
      </c>
      <c r="H624" s="35">
        <v>46147.398143344908</v>
      </c>
    </row>
    <row r="625" spans="2:8" x14ac:dyDescent="0.2">
      <c r="B625" s="32">
        <v>46003</v>
      </c>
      <c r="C625" t="s">
        <v>140</v>
      </c>
      <c r="D625" t="s">
        <v>379</v>
      </c>
      <c r="E625" s="13" t="s">
        <v>530</v>
      </c>
      <c r="F625" s="12">
        <v>2</v>
      </c>
      <c r="G625" s="12">
        <v>151260.5</v>
      </c>
      <c r="H625" s="35">
        <v>46147.398143344908</v>
      </c>
    </row>
    <row r="626" spans="2:8" x14ac:dyDescent="0.2">
      <c r="B626" s="32">
        <v>46003</v>
      </c>
      <c r="C626" t="s">
        <v>140</v>
      </c>
      <c r="D626" t="s">
        <v>145</v>
      </c>
      <c r="E626" s="13" t="s">
        <v>530</v>
      </c>
      <c r="F626" s="12">
        <v>2</v>
      </c>
      <c r="G626" s="12">
        <v>142857.14000000001</v>
      </c>
      <c r="H626" s="35">
        <v>46147.398143344908</v>
      </c>
    </row>
    <row r="627" spans="2:8" x14ac:dyDescent="0.2">
      <c r="B627" s="32">
        <v>46003</v>
      </c>
      <c r="C627" t="s">
        <v>140</v>
      </c>
      <c r="D627" t="s">
        <v>149</v>
      </c>
      <c r="E627" s="13" t="s">
        <v>530</v>
      </c>
      <c r="F627" s="12">
        <v>3</v>
      </c>
      <c r="G627" s="12">
        <v>138655.47</v>
      </c>
      <c r="H627" s="35">
        <v>46147.398143344908</v>
      </c>
    </row>
    <row r="628" spans="2:8" x14ac:dyDescent="0.2">
      <c r="B628" s="32">
        <v>46003</v>
      </c>
      <c r="C628" t="s">
        <v>140</v>
      </c>
      <c r="D628" t="s">
        <v>228</v>
      </c>
      <c r="E628" s="13" t="s">
        <v>529</v>
      </c>
      <c r="F628" s="12">
        <v>2</v>
      </c>
      <c r="G628" s="12">
        <v>117647.06</v>
      </c>
      <c r="H628" s="35">
        <v>46147.398143344908</v>
      </c>
    </row>
    <row r="629" spans="2:8" x14ac:dyDescent="0.2">
      <c r="B629" s="32">
        <v>46003</v>
      </c>
      <c r="C629" t="s">
        <v>140</v>
      </c>
      <c r="D629" t="s">
        <v>221</v>
      </c>
      <c r="E629" s="13" t="s">
        <v>530</v>
      </c>
      <c r="F629" s="12">
        <v>2</v>
      </c>
      <c r="G629" s="12">
        <v>117647.06</v>
      </c>
      <c r="H629" s="35">
        <v>46147.398143344908</v>
      </c>
    </row>
    <row r="630" spans="2:8" x14ac:dyDescent="0.2">
      <c r="B630" s="32">
        <v>46003</v>
      </c>
      <c r="C630" t="s">
        <v>140</v>
      </c>
      <c r="D630" t="s">
        <v>1539</v>
      </c>
      <c r="E630" s="13" t="s">
        <v>529</v>
      </c>
      <c r="F630" s="12">
        <v>3</v>
      </c>
      <c r="G630" s="12">
        <v>113445.38</v>
      </c>
      <c r="H630" s="35">
        <v>46147.398143344908</v>
      </c>
    </row>
    <row r="631" spans="2:8" x14ac:dyDescent="0.2">
      <c r="B631" s="32">
        <v>46003</v>
      </c>
      <c r="C631" t="s">
        <v>140</v>
      </c>
      <c r="D631" t="s">
        <v>146</v>
      </c>
      <c r="E631" s="13" t="s">
        <v>529</v>
      </c>
      <c r="F631" s="12">
        <v>3</v>
      </c>
      <c r="G631" s="12">
        <v>113445.38</v>
      </c>
      <c r="H631" s="35">
        <v>46147.398143344908</v>
      </c>
    </row>
    <row r="632" spans="2:8" x14ac:dyDescent="0.2">
      <c r="B632" s="32">
        <v>46003</v>
      </c>
      <c r="C632" t="s">
        <v>140</v>
      </c>
      <c r="D632" t="s">
        <v>522</v>
      </c>
      <c r="E632" s="13" t="s">
        <v>530</v>
      </c>
      <c r="F632" s="12">
        <v>2</v>
      </c>
      <c r="G632" s="12">
        <v>109243.7</v>
      </c>
      <c r="H632" s="35">
        <v>46147.398143344908</v>
      </c>
    </row>
    <row r="633" spans="2:8" x14ac:dyDescent="0.2">
      <c r="B633" s="32">
        <v>46003</v>
      </c>
      <c r="C633" t="s">
        <v>140</v>
      </c>
      <c r="D633" t="s">
        <v>210</v>
      </c>
      <c r="E633" s="13" t="s">
        <v>530</v>
      </c>
      <c r="F633" s="12">
        <v>2</v>
      </c>
      <c r="G633" s="12">
        <v>109243.7</v>
      </c>
      <c r="H633" s="35">
        <v>46147.398143344908</v>
      </c>
    </row>
    <row r="634" spans="2:8" x14ac:dyDescent="0.2">
      <c r="B634" s="32">
        <v>46003</v>
      </c>
      <c r="C634" t="s">
        <v>140</v>
      </c>
      <c r="D634" t="s">
        <v>629</v>
      </c>
      <c r="E634" s="13" t="s">
        <v>529</v>
      </c>
      <c r="F634" s="12">
        <v>2</v>
      </c>
      <c r="G634" s="12">
        <v>109243.7</v>
      </c>
      <c r="H634" s="35">
        <v>46147.398143344908</v>
      </c>
    </row>
    <row r="635" spans="2:8" x14ac:dyDescent="0.2">
      <c r="B635" s="32">
        <v>46003</v>
      </c>
      <c r="C635" t="s">
        <v>140</v>
      </c>
      <c r="D635" t="s">
        <v>301</v>
      </c>
      <c r="E635" s="13" t="s">
        <v>530</v>
      </c>
      <c r="F635" s="12">
        <v>2</v>
      </c>
      <c r="G635" s="12">
        <v>100840.34</v>
      </c>
      <c r="H635" s="35">
        <v>46147.398143344908</v>
      </c>
    </row>
    <row r="636" spans="2:8" x14ac:dyDescent="0.2">
      <c r="B636" s="32">
        <v>46003</v>
      </c>
      <c r="C636" t="s">
        <v>140</v>
      </c>
      <c r="D636" t="s">
        <v>193</v>
      </c>
      <c r="E636" s="13" t="s">
        <v>530</v>
      </c>
      <c r="F636" s="12">
        <v>2</v>
      </c>
      <c r="G636" s="12">
        <v>92436.98</v>
      </c>
      <c r="H636" s="35">
        <v>46147.398143344908</v>
      </c>
    </row>
    <row r="637" spans="2:8" x14ac:dyDescent="0.2">
      <c r="B637" s="32">
        <v>46003</v>
      </c>
      <c r="C637" t="s">
        <v>140</v>
      </c>
      <c r="D637" t="s">
        <v>223</v>
      </c>
      <c r="E637" s="13" t="s">
        <v>530</v>
      </c>
      <c r="F637" s="12">
        <v>2</v>
      </c>
      <c r="G637" s="12">
        <v>92436.98</v>
      </c>
      <c r="H637" s="35">
        <v>46147.398143344908</v>
      </c>
    </row>
    <row r="638" spans="2:8" x14ac:dyDescent="0.2">
      <c r="B638" s="32">
        <v>46003</v>
      </c>
      <c r="C638" t="s">
        <v>140</v>
      </c>
      <c r="D638" t="s">
        <v>236</v>
      </c>
      <c r="E638" s="13" t="s">
        <v>530</v>
      </c>
      <c r="F638" s="12">
        <v>2</v>
      </c>
      <c r="G638" s="12">
        <v>92436.98</v>
      </c>
      <c r="H638" s="35">
        <v>46147.398143344908</v>
      </c>
    </row>
    <row r="639" spans="2:8" x14ac:dyDescent="0.2">
      <c r="B639" s="32">
        <v>46003</v>
      </c>
      <c r="C639" t="s">
        <v>140</v>
      </c>
      <c r="D639" t="s">
        <v>158</v>
      </c>
      <c r="E639" s="13" t="s">
        <v>530</v>
      </c>
      <c r="F639" s="12">
        <v>2</v>
      </c>
      <c r="G639" s="12">
        <v>92436.97</v>
      </c>
      <c r="H639" s="35">
        <v>46147.398143344908</v>
      </c>
    </row>
    <row r="640" spans="2:8" x14ac:dyDescent="0.2">
      <c r="B640" s="32">
        <v>46003</v>
      </c>
      <c r="C640" t="s">
        <v>140</v>
      </c>
      <c r="D640" t="s">
        <v>171</v>
      </c>
      <c r="E640" s="13" t="s">
        <v>530</v>
      </c>
      <c r="F640" s="12">
        <v>2</v>
      </c>
      <c r="G640" s="12">
        <v>75630.259999999995</v>
      </c>
      <c r="H640" s="35">
        <v>46147.398143344908</v>
      </c>
    </row>
    <row r="641" spans="2:8" x14ac:dyDescent="0.2">
      <c r="B641" s="32">
        <v>46003</v>
      </c>
      <c r="C641" t="s">
        <v>140</v>
      </c>
      <c r="D641" t="s">
        <v>328</v>
      </c>
      <c r="E641" s="13"/>
      <c r="F641" s="12">
        <v>2</v>
      </c>
      <c r="G641" s="12">
        <v>75630.25</v>
      </c>
      <c r="H641" s="35">
        <v>46147.398143344908</v>
      </c>
    </row>
    <row r="642" spans="2:8" x14ac:dyDescent="0.2">
      <c r="B642" s="32">
        <v>46003</v>
      </c>
      <c r="C642" t="s">
        <v>140</v>
      </c>
      <c r="D642" t="s">
        <v>143</v>
      </c>
      <c r="E642" s="13" t="s">
        <v>529</v>
      </c>
      <c r="F642" s="12">
        <v>2</v>
      </c>
      <c r="G642" s="12">
        <v>58823.519999999997</v>
      </c>
      <c r="H642" s="35">
        <v>46147.398143344908</v>
      </c>
    </row>
    <row r="643" spans="2:8" x14ac:dyDescent="0.2">
      <c r="B643" s="32">
        <v>46003</v>
      </c>
      <c r="C643" t="s">
        <v>140</v>
      </c>
      <c r="D643" t="s">
        <v>142</v>
      </c>
      <c r="E643" s="13"/>
      <c r="F643" s="12">
        <v>4</v>
      </c>
      <c r="G643" s="12">
        <v>49159.67</v>
      </c>
      <c r="H643" s="35">
        <v>46147.398143344908</v>
      </c>
    </row>
    <row r="644" spans="2:8" x14ac:dyDescent="0.2">
      <c r="B644" s="32">
        <v>46003</v>
      </c>
      <c r="C644" t="s">
        <v>140</v>
      </c>
      <c r="D644" t="s">
        <v>142</v>
      </c>
      <c r="E644" s="13" t="s">
        <v>529</v>
      </c>
      <c r="F644" s="12">
        <v>3</v>
      </c>
      <c r="G644" s="12">
        <v>30252.09</v>
      </c>
      <c r="H644" s="35">
        <v>46147.398143344908</v>
      </c>
    </row>
    <row r="645" spans="2:8" x14ac:dyDescent="0.2">
      <c r="B645" s="32">
        <v>46003</v>
      </c>
      <c r="C645" t="s">
        <v>140</v>
      </c>
      <c r="E645" s="13" t="s">
        <v>529</v>
      </c>
      <c r="F645" s="12">
        <v>2</v>
      </c>
      <c r="G645" s="12">
        <v>7564.02</v>
      </c>
      <c r="H645" s="35">
        <v>46147.398143344908</v>
      </c>
    </row>
    <row r="646" spans="2:8" x14ac:dyDescent="0.2">
      <c r="B646" s="32">
        <v>46003</v>
      </c>
      <c r="C646" t="s">
        <v>109</v>
      </c>
      <c r="E646" s="13" t="s">
        <v>530</v>
      </c>
      <c r="F646" s="12">
        <v>4</v>
      </c>
      <c r="G646" s="12">
        <v>449579.83</v>
      </c>
      <c r="H646" s="35">
        <v>46147.398143344908</v>
      </c>
    </row>
    <row r="647" spans="2:8" x14ac:dyDescent="0.2">
      <c r="B647" s="32">
        <v>46003</v>
      </c>
      <c r="C647" t="s">
        <v>109</v>
      </c>
      <c r="D647" t="s">
        <v>541</v>
      </c>
      <c r="E647" s="13" t="s">
        <v>529</v>
      </c>
      <c r="F647" s="12">
        <v>2</v>
      </c>
      <c r="G647" s="12">
        <v>302521.01</v>
      </c>
      <c r="H647" s="35">
        <v>46147.398143344908</v>
      </c>
    </row>
    <row r="648" spans="2:8" x14ac:dyDescent="0.2">
      <c r="B648" s="32">
        <v>46003</v>
      </c>
      <c r="C648" t="s">
        <v>109</v>
      </c>
      <c r="D648" t="s">
        <v>192</v>
      </c>
      <c r="E648" s="13" t="s">
        <v>529</v>
      </c>
      <c r="F648" s="12">
        <v>2</v>
      </c>
      <c r="G648" s="12">
        <v>201680.68</v>
      </c>
      <c r="H648" s="35">
        <v>46147.398143344908</v>
      </c>
    </row>
    <row r="649" spans="2:8" x14ac:dyDescent="0.2">
      <c r="B649" s="32">
        <v>46003</v>
      </c>
      <c r="C649" t="s">
        <v>109</v>
      </c>
      <c r="D649" t="s">
        <v>538</v>
      </c>
      <c r="E649" s="13" t="s">
        <v>529</v>
      </c>
      <c r="F649" s="12">
        <v>3</v>
      </c>
      <c r="G649" s="12">
        <v>147000</v>
      </c>
      <c r="H649" s="35">
        <v>46147.398143344908</v>
      </c>
    </row>
    <row r="650" spans="2:8" x14ac:dyDescent="0.2">
      <c r="B650" s="32">
        <v>46003</v>
      </c>
      <c r="C650" t="s">
        <v>109</v>
      </c>
      <c r="D650" t="s">
        <v>156</v>
      </c>
      <c r="E650" s="13" t="s">
        <v>529</v>
      </c>
      <c r="F650" s="12">
        <v>3</v>
      </c>
      <c r="G650" s="12">
        <v>138655.46</v>
      </c>
      <c r="H650" s="35">
        <v>46147.398143344908</v>
      </c>
    </row>
    <row r="651" spans="2:8" x14ac:dyDescent="0.2">
      <c r="B651" s="32">
        <v>46003</v>
      </c>
      <c r="C651" t="s">
        <v>109</v>
      </c>
      <c r="D651" t="s">
        <v>196</v>
      </c>
      <c r="E651" s="13" t="s">
        <v>529</v>
      </c>
      <c r="F651" s="12">
        <v>2</v>
      </c>
      <c r="G651" s="12">
        <v>92436.98</v>
      </c>
      <c r="H651" s="35">
        <v>46147.398143344908</v>
      </c>
    </row>
    <row r="652" spans="2:8" x14ac:dyDescent="0.2">
      <c r="B652" s="32">
        <v>46003</v>
      </c>
      <c r="C652" t="s">
        <v>109</v>
      </c>
      <c r="D652" t="s">
        <v>191</v>
      </c>
      <c r="E652" s="13" t="s">
        <v>530</v>
      </c>
      <c r="F652" s="12">
        <v>2</v>
      </c>
      <c r="G652" s="12">
        <v>75630.259999999995</v>
      </c>
      <c r="H652" s="35">
        <v>46147.398143344908</v>
      </c>
    </row>
    <row r="653" spans="2:8" x14ac:dyDescent="0.2">
      <c r="B653" s="32">
        <v>46004</v>
      </c>
      <c r="C653" t="s">
        <v>140</v>
      </c>
      <c r="D653" t="s">
        <v>157</v>
      </c>
      <c r="E653" s="13" t="s">
        <v>530</v>
      </c>
      <c r="F653" s="12">
        <v>2</v>
      </c>
      <c r="G653" s="12">
        <v>487394.96</v>
      </c>
      <c r="H653" s="35">
        <v>46147.398143344908</v>
      </c>
    </row>
    <row r="654" spans="2:8" x14ac:dyDescent="0.2">
      <c r="B654" s="32">
        <v>46004</v>
      </c>
      <c r="C654" t="s">
        <v>140</v>
      </c>
      <c r="D654" t="s">
        <v>253</v>
      </c>
      <c r="E654" s="13" t="s">
        <v>530</v>
      </c>
      <c r="F654" s="12">
        <v>3</v>
      </c>
      <c r="G654" s="12">
        <v>415966.39</v>
      </c>
      <c r="H654" s="35">
        <v>46147.398143344908</v>
      </c>
    </row>
    <row r="655" spans="2:8" x14ac:dyDescent="0.2">
      <c r="B655" s="32">
        <v>46004</v>
      </c>
      <c r="C655" t="s">
        <v>140</v>
      </c>
      <c r="E655" s="13" t="s">
        <v>530</v>
      </c>
      <c r="F655" s="12">
        <v>12</v>
      </c>
      <c r="G655" s="12">
        <v>315043.98</v>
      </c>
      <c r="H655" s="35">
        <v>46147.398143344908</v>
      </c>
    </row>
    <row r="656" spans="2:8" x14ac:dyDescent="0.2">
      <c r="B656" s="32">
        <v>46004</v>
      </c>
      <c r="C656" t="s">
        <v>140</v>
      </c>
      <c r="D656" t="s">
        <v>1621</v>
      </c>
      <c r="E656" s="13" t="s">
        <v>530</v>
      </c>
      <c r="F656" s="12">
        <v>2</v>
      </c>
      <c r="G656" s="12">
        <v>273109.24</v>
      </c>
      <c r="H656" s="35">
        <v>46147.398143344908</v>
      </c>
    </row>
    <row r="657" spans="2:8" x14ac:dyDescent="0.2">
      <c r="B657" s="32">
        <v>46004</v>
      </c>
      <c r="C657" t="s">
        <v>140</v>
      </c>
      <c r="D657" t="s">
        <v>189</v>
      </c>
      <c r="E657" s="13" t="s">
        <v>530</v>
      </c>
      <c r="F657" s="12">
        <v>2</v>
      </c>
      <c r="G657" s="12">
        <v>260504.2</v>
      </c>
      <c r="H657" s="35">
        <v>46147.398143344908</v>
      </c>
    </row>
    <row r="658" spans="2:8" x14ac:dyDescent="0.2">
      <c r="B658" s="32">
        <v>46004</v>
      </c>
      <c r="C658" t="s">
        <v>140</v>
      </c>
      <c r="D658" t="s">
        <v>187</v>
      </c>
      <c r="E658" s="13" t="s">
        <v>529</v>
      </c>
      <c r="F658" s="12">
        <v>3</v>
      </c>
      <c r="G658" s="12">
        <v>214285.71</v>
      </c>
      <c r="H658" s="35">
        <v>46147.398143344908</v>
      </c>
    </row>
    <row r="659" spans="2:8" x14ac:dyDescent="0.2">
      <c r="B659" s="32">
        <v>46004</v>
      </c>
      <c r="C659" t="s">
        <v>140</v>
      </c>
      <c r="D659" t="s">
        <v>167</v>
      </c>
      <c r="E659" s="13" t="s">
        <v>529</v>
      </c>
      <c r="F659" s="12">
        <v>2</v>
      </c>
      <c r="G659" s="12">
        <v>201680.68</v>
      </c>
      <c r="H659" s="35">
        <v>46147.398143344908</v>
      </c>
    </row>
    <row r="660" spans="2:8" x14ac:dyDescent="0.2">
      <c r="B660" s="32">
        <v>46004</v>
      </c>
      <c r="C660" t="s">
        <v>140</v>
      </c>
      <c r="D660" t="s">
        <v>200</v>
      </c>
      <c r="E660" s="13" t="s">
        <v>530</v>
      </c>
      <c r="F660" s="12">
        <v>4</v>
      </c>
      <c r="G660" s="12">
        <v>184873.95</v>
      </c>
      <c r="H660" s="35">
        <v>46147.398143344908</v>
      </c>
    </row>
    <row r="661" spans="2:8" x14ac:dyDescent="0.2">
      <c r="B661" s="32">
        <v>46004</v>
      </c>
      <c r="C661" t="s">
        <v>140</v>
      </c>
      <c r="D661" t="s">
        <v>156</v>
      </c>
      <c r="E661" s="13" t="s">
        <v>530</v>
      </c>
      <c r="F661" s="12">
        <v>4</v>
      </c>
      <c r="G661" s="12">
        <v>184873.95</v>
      </c>
      <c r="H661" s="35">
        <v>46147.398143344908</v>
      </c>
    </row>
    <row r="662" spans="2:8" x14ac:dyDescent="0.2">
      <c r="B662" s="32">
        <v>46004</v>
      </c>
      <c r="C662" t="s">
        <v>140</v>
      </c>
      <c r="D662" t="s">
        <v>1606</v>
      </c>
      <c r="E662" s="13" t="s">
        <v>530</v>
      </c>
      <c r="F662" s="12">
        <v>4</v>
      </c>
      <c r="G662" s="12">
        <v>184873.95</v>
      </c>
      <c r="H662" s="35">
        <v>46147.398143344908</v>
      </c>
    </row>
    <row r="663" spans="2:8" x14ac:dyDescent="0.2">
      <c r="B663" s="32">
        <v>46004</v>
      </c>
      <c r="C663" t="s">
        <v>140</v>
      </c>
      <c r="D663" t="s">
        <v>226</v>
      </c>
      <c r="E663" s="13" t="s">
        <v>530</v>
      </c>
      <c r="F663" s="12">
        <v>3</v>
      </c>
      <c r="G663" s="12">
        <v>163865.54999999999</v>
      </c>
      <c r="H663" s="35">
        <v>46147.398143344908</v>
      </c>
    </row>
    <row r="664" spans="2:8" x14ac:dyDescent="0.2">
      <c r="B664" s="32">
        <v>46004</v>
      </c>
      <c r="C664" t="s">
        <v>140</v>
      </c>
      <c r="D664" t="s">
        <v>486</v>
      </c>
      <c r="E664" s="13" t="s">
        <v>529</v>
      </c>
      <c r="F664" s="12">
        <v>2</v>
      </c>
      <c r="G664" s="12">
        <v>159663.87</v>
      </c>
      <c r="H664" s="35">
        <v>46147.398143344908</v>
      </c>
    </row>
    <row r="665" spans="2:8" x14ac:dyDescent="0.2">
      <c r="B665" s="32">
        <v>46004</v>
      </c>
      <c r="C665" t="s">
        <v>140</v>
      </c>
      <c r="D665" t="s">
        <v>1597</v>
      </c>
      <c r="E665" s="13" t="s">
        <v>530</v>
      </c>
      <c r="F665" s="12">
        <v>4</v>
      </c>
      <c r="G665" s="12">
        <v>151260.51</v>
      </c>
      <c r="H665" s="35">
        <v>46147.398143344908</v>
      </c>
    </row>
    <row r="666" spans="2:8" x14ac:dyDescent="0.2">
      <c r="B666" s="32">
        <v>46004</v>
      </c>
      <c r="C666" t="s">
        <v>140</v>
      </c>
      <c r="D666" t="s">
        <v>262</v>
      </c>
      <c r="E666" s="13"/>
      <c r="F666" s="12">
        <v>2</v>
      </c>
      <c r="G666" s="12">
        <v>151260.5</v>
      </c>
      <c r="H666" s="35">
        <v>46147.398143344908</v>
      </c>
    </row>
    <row r="667" spans="2:8" x14ac:dyDescent="0.2">
      <c r="B667" s="32">
        <v>46004</v>
      </c>
      <c r="C667" t="s">
        <v>140</v>
      </c>
      <c r="D667" t="s">
        <v>318</v>
      </c>
      <c r="E667" s="13" t="s">
        <v>530</v>
      </c>
      <c r="F667" s="12">
        <v>2</v>
      </c>
      <c r="G667" s="12">
        <v>142857.14000000001</v>
      </c>
      <c r="H667" s="35">
        <v>46147.398143344908</v>
      </c>
    </row>
    <row r="668" spans="2:8" x14ac:dyDescent="0.2">
      <c r="B668" s="32">
        <v>46004</v>
      </c>
      <c r="C668" t="s">
        <v>140</v>
      </c>
      <c r="D668" t="s">
        <v>156</v>
      </c>
      <c r="E668" s="13"/>
      <c r="F668" s="12">
        <v>3</v>
      </c>
      <c r="G668" s="12">
        <v>138655.47</v>
      </c>
      <c r="H668" s="35">
        <v>46147.398143344908</v>
      </c>
    </row>
    <row r="669" spans="2:8" x14ac:dyDescent="0.2">
      <c r="B669" s="32">
        <v>46004</v>
      </c>
      <c r="C669" t="s">
        <v>140</v>
      </c>
      <c r="D669" t="s">
        <v>166</v>
      </c>
      <c r="E669" s="13"/>
      <c r="F669" s="12">
        <v>3</v>
      </c>
      <c r="G669" s="12">
        <v>138655.46</v>
      </c>
      <c r="H669" s="35">
        <v>46147.398143344908</v>
      </c>
    </row>
    <row r="670" spans="2:8" x14ac:dyDescent="0.2">
      <c r="B670" s="32">
        <v>46004</v>
      </c>
      <c r="C670" t="s">
        <v>140</v>
      </c>
      <c r="D670" t="s">
        <v>258</v>
      </c>
      <c r="E670" s="13" t="s">
        <v>530</v>
      </c>
      <c r="F670" s="12">
        <v>3</v>
      </c>
      <c r="G670" s="12">
        <v>138655.46</v>
      </c>
      <c r="H670" s="35">
        <v>46147.398143344908</v>
      </c>
    </row>
    <row r="671" spans="2:8" x14ac:dyDescent="0.2">
      <c r="B671" s="32">
        <v>46004</v>
      </c>
      <c r="C671" t="s">
        <v>140</v>
      </c>
      <c r="D671" t="s">
        <v>158</v>
      </c>
      <c r="E671" s="13" t="s">
        <v>530</v>
      </c>
      <c r="F671" s="12">
        <v>3</v>
      </c>
      <c r="G671" s="12">
        <v>138655.46</v>
      </c>
      <c r="H671" s="35">
        <v>46147.398143344908</v>
      </c>
    </row>
    <row r="672" spans="2:8" x14ac:dyDescent="0.2">
      <c r="B672" s="32">
        <v>46004</v>
      </c>
      <c r="C672" t="s">
        <v>140</v>
      </c>
      <c r="D672" t="s">
        <v>203</v>
      </c>
      <c r="E672" s="13" t="s">
        <v>530</v>
      </c>
      <c r="F672" s="12">
        <v>2</v>
      </c>
      <c r="G672" s="12">
        <v>117647.06</v>
      </c>
      <c r="H672" s="35">
        <v>46147.398143344908</v>
      </c>
    </row>
    <row r="673" spans="2:8" x14ac:dyDescent="0.2">
      <c r="B673" s="32">
        <v>46004</v>
      </c>
      <c r="C673" t="s">
        <v>140</v>
      </c>
      <c r="D673" t="s">
        <v>249</v>
      </c>
      <c r="E673" s="13" t="s">
        <v>530</v>
      </c>
      <c r="F673" s="12">
        <v>2</v>
      </c>
      <c r="G673" s="12">
        <v>117647.06</v>
      </c>
      <c r="H673" s="35">
        <v>46147.398143344908</v>
      </c>
    </row>
    <row r="674" spans="2:8" x14ac:dyDescent="0.2">
      <c r="B674" s="32">
        <v>46004</v>
      </c>
      <c r="C674" t="s">
        <v>140</v>
      </c>
      <c r="D674" t="s">
        <v>210</v>
      </c>
      <c r="E674" s="13" t="s">
        <v>530</v>
      </c>
      <c r="F674" s="12">
        <v>2</v>
      </c>
      <c r="G674" s="12">
        <v>109243.7</v>
      </c>
      <c r="H674" s="35">
        <v>46147.398143344908</v>
      </c>
    </row>
    <row r="675" spans="2:8" x14ac:dyDescent="0.2">
      <c r="B675" s="32">
        <v>46004</v>
      </c>
      <c r="C675" t="s">
        <v>140</v>
      </c>
      <c r="D675" t="s">
        <v>1581</v>
      </c>
      <c r="E675" s="13" t="s">
        <v>529</v>
      </c>
      <c r="F675" s="12">
        <v>2</v>
      </c>
      <c r="G675" s="12">
        <v>92436.98</v>
      </c>
      <c r="H675" s="35">
        <v>46147.398143344908</v>
      </c>
    </row>
    <row r="676" spans="2:8" x14ac:dyDescent="0.2">
      <c r="B676" s="32">
        <v>46004</v>
      </c>
      <c r="C676" t="s">
        <v>140</v>
      </c>
      <c r="D676" t="s">
        <v>334</v>
      </c>
      <c r="E676" s="13" t="s">
        <v>530</v>
      </c>
      <c r="F676" s="12">
        <v>2</v>
      </c>
      <c r="G676" s="12">
        <v>92436.98</v>
      </c>
      <c r="H676" s="35">
        <v>46147.398143344908</v>
      </c>
    </row>
    <row r="677" spans="2:8" x14ac:dyDescent="0.2">
      <c r="B677" s="32">
        <v>46004</v>
      </c>
      <c r="C677" t="s">
        <v>140</v>
      </c>
      <c r="D677" t="s">
        <v>193</v>
      </c>
      <c r="E677" s="13" t="s">
        <v>530</v>
      </c>
      <c r="F677" s="12">
        <v>2</v>
      </c>
      <c r="G677" s="12">
        <v>92436.98</v>
      </c>
      <c r="H677" s="35">
        <v>46147.398143344908</v>
      </c>
    </row>
    <row r="678" spans="2:8" x14ac:dyDescent="0.2">
      <c r="B678" s="32">
        <v>46004</v>
      </c>
      <c r="C678" t="s">
        <v>140</v>
      </c>
      <c r="D678" t="s">
        <v>275</v>
      </c>
      <c r="E678" s="13"/>
      <c r="F678" s="12">
        <v>2</v>
      </c>
      <c r="G678" s="12">
        <v>92436.97</v>
      </c>
      <c r="H678" s="35">
        <v>46147.398143344908</v>
      </c>
    </row>
    <row r="679" spans="2:8" x14ac:dyDescent="0.2">
      <c r="B679" s="32">
        <v>46004</v>
      </c>
      <c r="C679" t="s">
        <v>140</v>
      </c>
      <c r="D679" t="s">
        <v>1584</v>
      </c>
      <c r="E679" s="13" t="s">
        <v>529</v>
      </c>
      <c r="F679" s="12">
        <v>2</v>
      </c>
      <c r="G679" s="12">
        <v>92436.97</v>
      </c>
      <c r="H679" s="35">
        <v>46147.398143344908</v>
      </c>
    </row>
    <row r="680" spans="2:8" x14ac:dyDescent="0.2">
      <c r="B680" s="32">
        <v>46004</v>
      </c>
      <c r="C680" t="s">
        <v>140</v>
      </c>
      <c r="D680" t="s">
        <v>1583</v>
      </c>
      <c r="E680" s="13" t="s">
        <v>529</v>
      </c>
      <c r="F680" s="12">
        <v>2</v>
      </c>
      <c r="G680" s="12">
        <v>92436.97</v>
      </c>
      <c r="H680" s="35">
        <v>46147.398143344908</v>
      </c>
    </row>
    <row r="681" spans="2:8" x14ac:dyDescent="0.2">
      <c r="B681" s="32">
        <v>46004</v>
      </c>
      <c r="C681" t="s">
        <v>140</v>
      </c>
      <c r="D681" t="s">
        <v>1601</v>
      </c>
      <c r="E681" s="13" t="s">
        <v>530</v>
      </c>
      <c r="F681" s="12">
        <v>2</v>
      </c>
      <c r="G681" s="12">
        <v>75630.259999999995</v>
      </c>
      <c r="H681" s="35">
        <v>46147.398143344908</v>
      </c>
    </row>
    <row r="682" spans="2:8" x14ac:dyDescent="0.2">
      <c r="B682" s="32">
        <v>46004</v>
      </c>
      <c r="C682" t="s">
        <v>140</v>
      </c>
      <c r="D682" t="s">
        <v>1539</v>
      </c>
      <c r="E682" s="13" t="s">
        <v>530</v>
      </c>
      <c r="F682" s="12">
        <v>2</v>
      </c>
      <c r="G682" s="12">
        <v>75630.259999999995</v>
      </c>
      <c r="H682" s="35">
        <v>46147.398143344908</v>
      </c>
    </row>
    <row r="683" spans="2:8" x14ac:dyDescent="0.2">
      <c r="B683" s="32">
        <v>46004</v>
      </c>
      <c r="C683" t="s">
        <v>140</v>
      </c>
      <c r="D683" t="s">
        <v>1600</v>
      </c>
      <c r="E683" s="13" t="s">
        <v>530</v>
      </c>
      <c r="F683" s="12">
        <v>2</v>
      </c>
      <c r="G683" s="12">
        <v>75630.259999999995</v>
      </c>
      <c r="H683" s="35">
        <v>46147.398143344908</v>
      </c>
    </row>
    <row r="684" spans="2:8" x14ac:dyDescent="0.2">
      <c r="B684" s="32">
        <v>46004</v>
      </c>
      <c r="C684" t="s">
        <v>140</v>
      </c>
      <c r="D684" t="s">
        <v>1594</v>
      </c>
      <c r="E684" s="13" t="s">
        <v>530</v>
      </c>
      <c r="F684" s="12">
        <v>2</v>
      </c>
      <c r="G684" s="12">
        <v>75630.240000000005</v>
      </c>
      <c r="H684" s="35">
        <v>46147.398143344908</v>
      </c>
    </row>
    <row r="685" spans="2:8" x14ac:dyDescent="0.2">
      <c r="B685" s="32">
        <v>46004</v>
      </c>
      <c r="C685" t="s">
        <v>140</v>
      </c>
      <c r="D685" t="s">
        <v>142</v>
      </c>
      <c r="E685" s="13" t="s">
        <v>529</v>
      </c>
      <c r="F685" s="12">
        <v>3</v>
      </c>
      <c r="G685" s="12">
        <v>55462.18</v>
      </c>
      <c r="H685" s="35">
        <v>46147.398143344908</v>
      </c>
    </row>
    <row r="686" spans="2:8" x14ac:dyDescent="0.2">
      <c r="B686" s="32">
        <v>46004</v>
      </c>
      <c r="C686" t="s">
        <v>140</v>
      </c>
      <c r="D686" t="s">
        <v>142</v>
      </c>
      <c r="E686" s="13"/>
      <c r="F686" s="12">
        <v>2</v>
      </c>
      <c r="G686" s="12">
        <v>20168.07</v>
      </c>
      <c r="H686" s="35">
        <v>46147.398143344908</v>
      </c>
    </row>
    <row r="687" spans="2:8" x14ac:dyDescent="0.2">
      <c r="B687" s="32">
        <v>46004</v>
      </c>
      <c r="C687" t="s">
        <v>109</v>
      </c>
      <c r="D687" t="s">
        <v>152</v>
      </c>
      <c r="E687" s="13" t="s">
        <v>529</v>
      </c>
      <c r="F687" s="12">
        <v>6</v>
      </c>
      <c r="G687" s="12">
        <v>605042.02</v>
      </c>
      <c r="H687" s="35">
        <v>46147.398143344908</v>
      </c>
    </row>
    <row r="688" spans="2:8" x14ac:dyDescent="0.2">
      <c r="B688" s="32">
        <v>46004</v>
      </c>
      <c r="C688" t="s">
        <v>109</v>
      </c>
      <c r="D688" t="s">
        <v>353</v>
      </c>
      <c r="E688" s="13" t="s">
        <v>529</v>
      </c>
      <c r="F688" s="12">
        <v>5</v>
      </c>
      <c r="G688" s="12">
        <v>357142.85</v>
      </c>
      <c r="H688" s="35">
        <v>46147.398143344908</v>
      </c>
    </row>
    <row r="689" spans="2:8" x14ac:dyDescent="0.2">
      <c r="B689" s="32">
        <v>46004</v>
      </c>
      <c r="C689" t="s">
        <v>109</v>
      </c>
      <c r="E689" s="13" t="s">
        <v>529</v>
      </c>
      <c r="F689" s="12">
        <v>3</v>
      </c>
      <c r="G689" s="12">
        <v>351344.54</v>
      </c>
      <c r="H689" s="35">
        <v>46147.398143344908</v>
      </c>
    </row>
    <row r="690" spans="2:8" x14ac:dyDescent="0.2">
      <c r="B690" s="32">
        <v>46004</v>
      </c>
      <c r="C690" t="s">
        <v>109</v>
      </c>
      <c r="D690" t="s">
        <v>1553</v>
      </c>
      <c r="E690" s="13" t="s">
        <v>529</v>
      </c>
      <c r="F690" s="12">
        <v>7</v>
      </c>
      <c r="G690" s="12">
        <v>323529.40999999997</v>
      </c>
      <c r="H690" s="35">
        <v>46147.398143344908</v>
      </c>
    </row>
    <row r="691" spans="2:8" x14ac:dyDescent="0.2">
      <c r="B691" s="32">
        <v>46004</v>
      </c>
      <c r="C691" t="s">
        <v>109</v>
      </c>
      <c r="D691" t="s">
        <v>187</v>
      </c>
      <c r="E691" s="13" t="s">
        <v>530</v>
      </c>
      <c r="F691" s="12">
        <v>2</v>
      </c>
      <c r="G691" s="12">
        <v>142857.14000000001</v>
      </c>
      <c r="H691" s="35">
        <v>46147.398143344908</v>
      </c>
    </row>
    <row r="692" spans="2:8" x14ac:dyDescent="0.2">
      <c r="B692" s="32">
        <v>46004</v>
      </c>
      <c r="C692" t="s">
        <v>109</v>
      </c>
      <c r="D692" t="s">
        <v>348</v>
      </c>
      <c r="E692" s="13" t="s">
        <v>529</v>
      </c>
      <c r="F692" s="12">
        <v>2</v>
      </c>
      <c r="G692" s="12">
        <v>142857.14000000001</v>
      </c>
      <c r="H692" s="35">
        <v>46147.398143344908</v>
      </c>
    </row>
    <row r="693" spans="2:8" x14ac:dyDescent="0.2">
      <c r="B693" s="32">
        <v>46004</v>
      </c>
      <c r="C693" t="s">
        <v>109</v>
      </c>
      <c r="D693" t="s">
        <v>1580</v>
      </c>
      <c r="E693" s="13" t="s">
        <v>530</v>
      </c>
      <c r="F693" s="12">
        <v>3</v>
      </c>
      <c r="G693" s="12">
        <v>126050.42</v>
      </c>
      <c r="H693" s="35">
        <v>46147.398143344908</v>
      </c>
    </row>
    <row r="694" spans="2:8" x14ac:dyDescent="0.2">
      <c r="B694" s="32">
        <v>46004</v>
      </c>
      <c r="C694" t="s">
        <v>109</v>
      </c>
      <c r="D694" t="s">
        <v>365</v>
      </c>
      <c r="E694" s="13" t="s">
        <v>529</v>
      </c>
      <c r="F694" s="12">
        <v>2</v>
      </c>
      <c r="G694" s="12">
        <v>117647.06</v>
      </c>
      <c r="H694" s="35">
        <v>46147.398143344908</v>
      </c>
    </row>
    <row r="695" spans="2:8" x14ac:dyDescent="0.2">
      <c r="B695" s="32">
        <v>46004</v>
      </c>
      <c r="C695" t="s">
        <v>109</v>
      </c>
      <c r="D695" t="s">
        <v>1557</v>
      </c>
      <c r="E695" s="13" t="s">
        <v>529</v>
      </c>
      <c r="F695" s="12">
        <v>2</v>
      </c>
      <c r="G695" s="12">
        <v>92436.97</v>
      </c>
      <c r="H695" s="35">
        <v>46147.398143344908</v>
      </c>
    </row>
    <row r="696" spans="2:8" x14ac:dyDescent="0.2">
      <c r="B696" s="32">
        <v>46004</v>
      </c>
      <c r="C696" t="s">
        <v>109</v>
      </c>
      <c r="D696" t="s">
        <v>1600</v>
      </c>
      <c r="E696" s="13" t="s">
        <v>529</v>
      </c>
      <c r="F696" s="12">
        <v>2</v>
      </c>
      <c r="G696" s="12">
        <v>75630.25</v>
      </c>
      <c r="H696" s="35">
        <v>46147.398143344908</v>
      </c>
    </row>
    <row r="697" spans="2:8" x14ac:dyDescent="0.2">
      <c r="B697" s="32">
        <v>46004</v>
      </c>
      <c r="C697" t="s">
        <v>109</v>
      </c>
      <c r="D697" t="s">
        <v>142</v>
      </c>
      <c r="E697" s="13" t="s">
        <v>530</v>
      </c>
      <c r="F697" s="12">
        <v>3</v>
      </c>
      <c r="G697" s="12">
        <v>52941.17</v>
      </c>
      <c r="H697" s="35">
        <v>46147.398143344908</v>
      </c>
    </row>
    <row r="698" spans="2:8" x14ac:dyDescent="0.2">
      <c r="B698" s="32">
        <v>46005</v>
      </c>
      <c r="C698" t="s">
        <v>1517</v>
      </c>
      <c r="E698" s="13" t="s">
        <v>530</v>
      </c>
      <c r="F698" s="12">
        <v>6</v>
      </c>
      <c r="G698" s="12">
        <v>273949.56</v>
      </c>
      <c r="H698" s="35">
        <v>46147.398143344908</v>
      </c>
    </row>
    <row r="699" spans="2:8" x14ac:dyDescent="0.2">
      <c r="B699" s="32">
        <v>46005</v>
      </c>
      <c r="C699" t="s">
        <v>1517</v>
      </c>
      <c r="D699" t="s">
        <v>482</v>
      </c>
      <c r="E699" s="13" t="s">
        <v>529</v>
      </c>
      <c r="F699" s="12">
        <v>3</v>
      </c>
      <c r="G699" s="12">
        <v>226890.75</v>
      </c>
      <c r="H699" s="35">
        <v>46147.398143344908</v>
      </c>
    </row>
    <row r="700" spans="2:8" x14ac:dyDescent="0.2">
      <c r="B700" s="32">
        <v>46005</v>
      </c>
      <c r="C700" t="s">
        <v>1517</v>
      </c>
      <c r="D700" t="s">
        <v>386</v>
      </c>
      <c r="E700" s="13" t="s">
        <v>529</v>
      </c>
      <c r="F700" s="12">
        <v>3</v>
      </c>
      <c r="G700" s="12">
        <v>226890.75</v>
      </c>
      <c r="H700" s="35">
        <v>46147.398143344908</v>
      </c>
    </row>
    <row r="701" spans="2:8" x14ac:dyDescent="0.2">
      <c r="B701" s="32">
        <v>46005</v>
      </c>
      <c r="C701" t="s">
        <v>1517</v>
      </c>
      <c r="D701" t="s">
        <v>394</v>
      </c>
      <c r="E701" s="13" t="s">
        <v>530</v>
      </c>
      <c r="F701" s="12">
        <v>2</v>
      </c>
      <c r="G701" s="12">
        <v>201680.67</v>
      </c>
      <c r="H701" s="35">
        <v>46147.398143344908</v>
      </c>
    </row>
    <row r="702" spans="2:8" x14ac:dyDescent="0.2">
      <c r="B702" s="32">
        <v>46005</v>
      </c>
      <c r="C702" t="s">
        <v>1517</v>
      </c>
      <c r="D702" t="s">
        <v>1604</v>
      </c>
      <c r="E702" s="13" t="s">
        <v>530</v>
      </c>
      <c r="F702" s="12">
        <v>5</v>
      </c>
      <c r="G702" s="12">
        <v>189075.65</v>
      </c>
      <c r="H702" s="35">
        <v>46147.398143344908</v>
      </c>
    </row>
    <row r="703" spans="2:8" x14ac:dyDescent="0.2">
      <c r="B703" s="32">
        <v>46005</v>
      </c>
      <c r="C703" t="s">
        <v>1517</v>
      </c>
      <c r="D703" t="s">
        <v>359</v>
      </c>
      <c r="E703" s="13" t="s">
        <v>529</v>
      </c>
      <c r="F703" s="12">
        <v>2</v>
      </c>
      <c r="G703" s="12">
        <v>151260.51</v>
      </c>
      <c r="H703" s="35">
        <v>46147.398143344908</v>
      </c>
    </row>
    <row r="704" spans="2:8" x14ac:dyDescent="0.2">
      <c r="B704" s="32">
        <v>46005</v>
      </c>
      <c r="C704" t="s">
        <v>1517</v>
      </c>
      <c r="D704" t="s">
        <v>187</v>
      </c>
      <c r="E704" s="13" t="s">
        <v>529</v>
      </c>
      <c r="F704" s="12">
        <v>2</v>
      </c>
      <c r="G704" s="12">
        <v>142857.15</v>
      </c>
      <c r="H704" s="35">
        <v>46147.398143344908</v>
      </c>
    </row>
    <row r="705" spans="2:8" x14ac:dyDescent="0.2">
      <c r="B705" s="32">
        <v>46005</v>
      </c>
      <c r="C705" t="s">
        <v>1517</v>
      </c>
      <c r="D705" t="s">
        <v>348</v>
      </c>
      <c r="E705" s="13" t="s">
        <v>530</v>
      </c>
      <c r="F705" s="12">
        <v>2</v>
      </c>
      <c r="G705" s="12">
        <v>142857.14000000001</v>
      </c>
      <c r="H705" s="35">
        <v>46147.398143344908</v>
      </c>
    </row>
    <row r="706" spans="2:8" x14ac:dyDescent="0.2">
      <c r="B706" s="32">
        <v>46005</v>
      </c>
      <c r="C706" t="s">
        <v>1517</v>
      </c>
      <c r="D706" t="s">
        <v>148</v>
      </c>
      <c r="E706" s="13" t="s">
        <v>529</v>
      </c>
      <c r="F706" s="12">
        <v>3</v>
      </c>
      <c r="G706" s="12">
        <v>138655.45000000001</v>
      </c>
      <c r="H706" s="35">
        <v>46147.398143344908</v>
      </c>
    </row>
    <row r="707" spans="2:8" x14ac:dyDescent="0.2">
      <c r="B707" s="32">
        <v>46005</v>
      </c>
      <c r="C707" t="s">
        <v>1517</v>
      </c>
      <c r="D707" t="s">
        <v>1622</v>
      </c>
      <c r="E707" s="13" t="s">
        <v>530</v>
      </c>
      <c r="F707" s="12">
        <v>2</v>
      </c>
      <c r="G707" s="12">
        <v>117647.06</v>
      </c>
      <c r="H707" s="35">
        <v>46147.398143344908</v>
      </c>
    </row>
    <row r="708" spans="2:8" x14ac:dyDescent="0.2">
      <c r="B708" s="32">
        <v>46005</v>
      </c>
      <c r="C708" t="s">
        <v>1517</v>
      </c>
      <c r="D708" t="s">
        <v>1604</v>
      </c>
      <c r="E708" s="13" t="s">
        <v>529</v>
      </c>
      <c r="F708" s="12">
        <v>3</v>
      </c>
      <c r="G708" s="12">
        <v>113445.38</v>
      </c>
      <c r="H708" s="35">
        <v>46147.398143344908</v>
      </c>
    </row>
    <row r="709" spans="2:8" x14ac:dyDescent="0.2">
      <c r="B709" s="32">
        <v>46005</v>
      </c>
      <c r="C709" t="s">
        <v>1517</v>
      </c>
      <c r="D709" t="s">
        <v>156</v>
      </c>
      <c r="E709" s="13" t="s">
        <v>530</v>
      </c>
      <c r="F709" s="12">
        <v>2</v>
      </c>
      <c r="G709" s="12">
        <v>92436.98</v>
      </c>
      <c r="H709" s="35">
        <v>46147.398143344908</v>
      </c>
    </row>
    <row r="710" spans="2:8" x14ac:dyDescent="0.2">
      <c r="B710" s="32">
        <v>46005</v>
      </c>
      <c r="C710" t="s">
        <v>1517</v>
      </c>
      <c r="D710" t="s">
        <v>151</v>
      </c>
      <c r="E710" s="13"/>
      <c r="F710" s="12">
        <v>2</v>
      </c>
      <c r="G710" s="12">
        <v>92436.97</v>
      </c>
      <c r="H710" s="35">
        <v>46147.398143344908</v>
      </c>
    </row>
    <row r="711" spans="2:8" x14ac:dyDescent="0.2">
      <c r="B711" s="32">
        <v>46005</v>
      </c>
      <c r="C711" t="s">
        <v>1517</v>
      </c>
      <c r="D711" t="s">
        <v>258</v>
      </c>
      <c r="E711" s="13" t="s">
        <v>529</v>
      </c>
      <c r="F711" s="12">
        <v>2</v>
      </c>
      <c r="G711" s="12">
        <v>92436.97</v>
      </c>
      <c r="H711" s="35">
        <v>46147.398143344908</v>
      </c>
    </row>
    <row r="712" spans="2:8" x14ac:dyDescent="0.2">
      <c r="B712" s="32">
        <v>46005</v>
      </c>
      <c r="C712" t="s">
        <v>1517</v>
      </c>
      <c r="D712" t="s">
        <v>1580</v>
      </c>
      <c r="E712" s="13" t="s">
        <v>529</v>
      </c>
      <c r="F712" s="12">
        <v>2</v>
      </c>
      <c r="G712" s="12">
        <v>84033.62</v>
      </c>
      <c r="H712" s="35">
        <v>46147.398143344908</v>
      </c>
    </row>
    <row r="713" spans="2:8" x14ac:dyDescent="0.2">
      <c r="B713" s="32">
        <v>46005</v>
      </c>
      <c r="C713" t="s">
        <v>1517</v>
      </c>
      <c r="D713" t="s">
        <v>1580</v>
      </c>
      <c r="E713" s="13" t="s">
        <v>530</v>
      </c>
      <c r="F713" s="12">
        <v>2</v>
      </c>
      <c r="G713" s="12">
        <v>84033.62</v>
      </c>
      <c r="H713" s="35">
        <v>46147.398143344908</v>
      </c>
    </row>
    <row r="714" spans="2:8" x14ac:dyDescent="0.2">
      <c r="B714" s="32">
        <v>46005</v>
      </c>
      <c r="C714" t="s">
        <v>1517</v>
      </c>
      <c r="D714" t="s">
        <v>425</v>
      </c>
      <c r="E714" s="13" t="s">
        <v>530</v>
      </c>
      <c r="F714" s="12">
        <v>2</v>
      </c>
      <c r="G714" s="12">
        <v>75630.25</v>
      </c>
      <c r="H714" s="35">
        <v>46147.398143344908</v>
      </c>
    </row>
    <row r="715" spans="2:8" x14ac:dyDescent="0.2">
      <c r="B715" s="32">
        <v>46005</v>
      </c>
      <c r="C715" t="s">
        <v>1517</v>
      </c>
      <c r="D715" t="s">
        <v>1623</v>
      </c>
      <c r="E715" s="13" t="s">
        <v>529</v>
      </c>
      <c r="F715" s="12">
        <v>2</v>
      </c>
      <c r="G715" s="12">
        <v>75630.25</v>
      </c>
      <c r="H715" s="35">
        <v>46147.398143344908</v>
      </c>
    </row>
    <row r="716" spans="2:8" x14ac:dyDescent="0.2">
      <c r="B716" s="32">
        <v>46005</v>
      </c>
      <c r="C716" t="s">
        <v>1517</v>
      </c>
      <c r="D716" t="s">
        <v>142</v>
      </c>
      <c r="E716" s="13" t="s">
        <v>530</v>
      </c>
      <c r="F716" s="12">
        <v>7</v>
      </c>
      <c r="G716" s="12">
        <v>70588.23</v>
      </c>
      <c r="H716" s="35">
        <v>46147.398143344908</v>
      </c>
    </row>
    <row r="717" spans="2:8" x14ac:dyDescent="0.2">
      <c r="B717" s="32">
        <v>46005</v>
      </c>
      <c r="C717" t="s">
        <v>1517</v>
      </c>
      <c r="D717" t="s">
        <v>142</v>
      </c>
      <c r="E717" s="13" t="s">
        <v>529</v>
      </c>
      <c r="F717" s="12">
        <v>5</v>
      </c>
      <c r="G717" s="12">
        <v>23109.24</v>
      </c>
      <c r="H717" s="35">
        <v>46147.398143344908</v>
      </c>
    </row>
    <row r="718" spans="2:8" x14ac:dyDescent="0.2">
      <c r="B718" s="32">
        <v>46005</v>
      </c>
      <c r="C718" t="s">
        <v>140</v>
      </c>
      <c r="D718" t="s">
        <v>146</v>
      </c>
      <c r="E718" s="13" t="s">
        <v>530</v>
      </c>
      <c r="F718" s="12">
        <v>5</v>
      </c>
      <c r="G718" s="12">
        <v>189075.63</v>
      </c>
      <c r="H718" s="35">
        <v>46147.398143344908</v>
      </c>
    </row>
    <row r="719" spans="2:8" x14ac:dyDescent="0.2">
      <c r="B719" s="32">
        <v>46005</v>
      </c>
      <c r="C719" t="s">
        <v>140</v>
      </c>
      <c r="D719" t="s">
        <v>1535</v>
      </c>
      <c r="E719" s="13" t="s">
        <v>529</v>
      </c>
      <c r="F719" s="12">
        <v>7</v>
      </c>
      <c r="G719" s="12">
        <v>147058.82999999999</v>
      </c>
      <c r="H719" s="35">
        <v>46147.398143344908</v>
      </c>
    </row>
    <row r="720" spans="2:8" x14ac:dyDescent="0.2">
      <c r="B720" s="32">
        <v>46005</v>
      </c>
      <c r="C720" t="s">
        <v>140</v>
      </c>
      <c r="D720" t="s">
        <v>156</v>
      </c>
      <c r="E720" s="13" t="s">
        <v>530</v>
      </c>
      <c r="F720" s="12">
        <v>3</v>
      </c>
      <c r="G720" s="12">
        <v>138655.46</v>
      </c>
      <c r="H720" s="35">
        <v>46147.398143344908</v>
      </c>
    </row>
    <row r="721" spans="2:8" x14ac:dyDescent="0.2">
      <c r="B721" s="32">
        <v>46005</v>
      </c>
      <c r="C721" t="s">
        <v>140</v>
      </c>
      <c r="D721" t="s">
        <v>223</v>
      </c>
      <c r="E721" s="13" t="s">
        <v>530</v>
      </c>
      <c r="F721" s="12">
        <v>3</v>
      </c>
      <c r="G721" s="12">
        <v>138655.46</v>
      </c>
      <c r="H721" s="35">
        <v>46147.398143344908</v>
      </c>
    </row>
    <row r="722" spans="2:8" x14ac:dyDescent="0.2">
      <c r="B722" s="32">
        <v>46005</v>
      </c>
      <c r="C722" t="s">
        <v>140</v>
      </c>
      <c r="D722" t="s">
        <v>318</v>
      </c>
      <c r="E722" s="13" t="s">
        <v>529</v>
      </c>
      <c r="F722" s="12">
        <v>2</v>
      </c>
      <c r="G722" s="12">
        <v>117647.06</v>
      </c>
      <c r="H722" s="35">
        <v>46147.398143344908</v>
      </c>
    </row>
    <row r="723" spans="2:8" x14ac:dyDescent="0.2">
      <c r="B723" s="32">
        <v>46005</v>
      </c>
      <c r="C723" t="s">
        <v>140</v>
      </c>
      <c r="D723" t="s">
        <v>366</v>
      </c>
      <c r="E723" s="13" t="s">
        <v>530</v>
      </c>
      <c r="F723" s="12">
        <v>2</v>
      </c>
      <c r="G723" s="12">
        <v>117647.06</v>
      </c>
      <c r="H723" s="35">
        <v>46147.398143344908</v>
      </c>
    </row>
    <row r="724" spans="2:8" x14ac:dyDescent="0.2">
      <c r="B724" s="32">
        <v>46005</v>
      </c>
      <c r="C724" t="s">
        <v>140</v>
      </c>
      <c r="D724" t="s">
        <v>285</v>
      </c>
      <c r="E724" s="13" t="s">
        <v>529</v>
      </c>
      <c r="F724" s="12">
        <v>2</v>
      </c>
      <c r="G724" s="12">
        <v>117647.06</v>
      </c>
      <c r="H724" s="35">
        <v>46147.398143344908</v>
      </c>
    </row>
    <row r="725" spans="2:8" x14ac:dyDescent="0.2">
      <c r="B725" s="32">
        <v>46005</v>
      </c>
      <c r="C725" t="s">
        <v>140</v>
      </c>
      <c r="D725" t="s">
        <v>193</v>
      </c>
      <c r="E725" s="13" t="s">
        <v>530</v>
      </c>
      <c r="F725" s="12">
        <v>2</v>
      </c>
      <c r="G725" s="12">
        <v>92436.98</v>
      </c>
      <c r="H725" s="35">
        <v>46147.398143344908</v>
      </c>
    </row>
    <row r="726" spans="2:8" x14ac:dyDescent="0.2">
      <c r="B726" s="32">
        <v>46005</v>
      </c>
      <c r="C726" t="s">
        <v>140</v>
      </c>
      <c r="D726" t="s">
        <v>177</v>
      </c>
      <c r="E726" s="13" t="s">
        <v>529</v>
      </c>
      <c r="F726" s="12">
        <v>2</v>
      </c>
      <c r="G726" s="12">
        <v>92436.97</v>
      </c>
      <c r="H726" s="35">
        <v>46147.398143344908</v>
      </c>
    </row>
    <row r="727" spans="2:8" x14ac:dyDescent="0.2">
      <c r="B727" s="32">
        <v>46005</v>
      </c>
      <c r="C727" t="s">
        <v>140</v>
      </c>
      <c r="D727" t="s">
        <v>1587</v>
      </c>
      <c r="E727" s="13" t="s">
        <v>530</v>
      </c>
      <c r="F727" s="12">
        <v>2</v>
      </c>
      <c r="G727" s="12">
        <v>92436.97</v>
      </c>
      <c r="H727" s="35">
        <v>46147.398143344908</v>
      </c>
    </row>
    <row r="728" spans="2:8" x14ac:dyDescent="0.2">
      <c r="B728" s="32">
        <v>46005</v>
      </c>
      <c r="C728" t="s">
        <v>140</v>
      </c>
      <c r="D728" t="s">
        <v>1620</v>
      </c>
      <c r="E728" s="13" t="s">
        <v>530</v>
      </c>
      <c r="F728" s="12">
        <v>2</v>
      </c>
      <c r="G728" s="12">
        <v>92436.97</v>
      </c>
      <c r="H728" s="35">
        <v>46147.398143344908</v>
      </c>
    </row>
    <row r="729" spans="2:8" x14ac:dyDescent="0.2">
      <c r="B729" s="32">
        <v>46005</v>
      </c>
      <c r="C729" t="s">
        <v>140</v>
      </c>
      <c r="D729" t="s">
        <v>1539</v>
      </c>
      <c r="E729" s="13" t="s">
        <v>530</v>
      </c>
      <c r="F729" s="12">
        <v>2</v>
      </c>
      <c r="G729" s="12">
        <v>75630.25</v>
      </c>
      <c r="H729" s="35">
        <v>46147.398143344908</v>
      </c>
    </row>
    <row r="730" spans="2:8" x14ac:dyDescent="0.2">
      <c r="B730" s="32">
        <v>46005</v>
      </c>
      <c r="C730" t="s">
        <v>140</v>
      </c>
      <c r="D730" t="s">
        <v>1604</v>
      </c>
      <c r="E730" s="13" t="s">
        <v>529</v>
      </c>
      <c r="F730" s="12">
        <v>2</v>
      </c>
      <c r="G730" s="12">
        <v>75630.25</v>
      </c>
      <c r="H730" s="35">
        <v>46147.398143344908</v>
      </c>
    </row>
    <row r="731" spans="2:8" x14ac:dyDescent="0.2">
      <c r="B731" s="32">
        <v>46005</v>
      </c>
      <c r="C731" t="s">
        <v>140</v>
      </c>
      <c r="D731" t="s">
        <v>325</v>
      </c>
      <c r="E731" s="13" t="s">
        <v>529</v>
      </c>
      <c r="F731" s="12">
        <v>2</v>
      </c>
      <c r="G731" s="12">
        <v>70000</v>
      </c>
      <c r="H731" s="35">
        <v>46147.398143344908</v>
      </c>
    </row>
    <row r="732" spans="2:8" x14ac:dyDescent="0.2">
      <c r="B732" s="32">
        <v>46005</v>
      </c>
      <c r="C732" t="s">
        <v>140</v>
      </c>
      <c r="D732" t="s">
        <v>1535</v>
      </c>
      <c r="E732" s="13" t="s">
        <v>530</v>
      </c>
      <c r="F732" s="12">
        <v>2</v>
      </c>
      <c r="G732" s="12">
        <v>42016.800000000003</v>
      </c>
      <c r="H732" s="35">
        <v>46147.398143344908</v>
      </c>
    </row>
    <row r="733" spans="2:8" x14ac:dyDescent="0.2">
      <c r="B733" s="32">
        <v>46005</v>
      </c>
      <c r="C733" t="s">
        <v>140</v>
      </c>
      <c r="E733" s="13" t="s">
        <v>530</v>
      </c>
      <c r="F733" s="12">
        <v>3</v>
      </c>
      <c r="G733" s="12">
        <v>-2941.17</v>
      </c>
      <c r="H733" s="35">
        <v>46147.398143344908</v>
      </c>
    </row>
    <row r="734" spans="2:8" x14ac:dyDescent="0.2">
      <c r="B734" s="32">
        <v>46005</v>
      </c>
      <c r="C734" t="s">
        <v>109</v>
      </c>
      <c r="E734" s="13" t="s">
        <v>530</v>
      </c>
      <c r="F734" s="12">
        <v>5</v>
      </c>
      <c r="G734" s="12">
        <v>398319.32</v>
      </c>
      <c r="H734" s="35">
        <v>46147.398143344908</v>
      </c>
    </row>
    <row r="735" spans="2:8" x14ac:dyDescent="0.2">
      <c r="B735" s="32">
        <v>46005</v>
      </c>
      <c r="C735" t="s">
        <v>109</v>
      </c>
      <c r="D735" t="s">
        <v>172</v>
      </c>
      <c r="E735" s="13" t="s">
        <v>529</v>
      </c>
      <c r="F735" s="12">
        <v>2</v>
      </c>
      <c r="G735" s="12">
        <v>151260.5</v>
      </c>
      <c r="H735" s="35">
        <v>46147.398143344908</v>
      </c>
    </row>
    <row r="736" spans="2:8" x14ac:dyDescent="0.2">
      <c r="B736" s="32">
        <v>46005</v>
      </c>
      <c r="C736" t="s">
        <v>109</v>
      </c>
      <c r="D736" t="s">
        <v>1569</v>
      </c>
      <c r="E736" s="13" t="s">
        <v>529</v>
      </c>
      <c r="F736" s="12">
        <v>2</v>
      </c>
      <c r="G736" s="12">
        <v>142857.14000000001</v>
      </c>
      <c r="H736" s="35">
        <v>46147.398143344908</v>
      </c>
    </row>
    <row r="737" spans="2:8" x14ac:dyDescent="0.2">
      <c r="B737" s="32">
        <v>46005</v>
      </c>
      <c r="C737" t="s">
        <v>109</v>
      </c>
      <c r="D737" t="s">
        <v>231</v>
      </c>
      <c r="E737" s="13" t="s">
        <v>529</v>
      </c>
      <c r="F737" s="12">
        <v>2</v>
      </c>
      <c r="G737" s="12">
        <v>117647.06</v>
      </c>
      <c r="H737" s="35">
        <v>46147.398143344908</v>
      </c>
    </row>
    <row r="738" spans="2:8" x14ac:dyDescent="0.2">
      <c r="B738" s="32">
        <v>46005</v>
      </c>
      <c r="C738" t="s">
        <v>109</v>
      </c>
      <c r="D738" t="s">
        <v>203</v>
      </c>
      <c r="E738" s="13" t="s">
        <v>529</v>
      </c>
      <c r="F738" s="12">
        <v>2</v>
      </c>
      <c r="G738" s="12">
        <v>117647.06</v>
      </c>
      <c r="H738" s="35">
        <v>46147.398143344908</v>
      </c>
    </row>
    <row r="739" spans="2:8" x14ac:dyDescent="0.2">
      <c r="B739" s="32">
        <v>46005</v>
      </c>
      <c r="C739" t="s">
        <v>109</v>
      </c>
      <c r="D739" t="s">
        <v>441</v>
      </c>
      <c r="E739" s="13" t="s">
        <v>530</v>
      </c>
      <c r="F739" s="12">
        <v>2</v>
      </c>
      <c r="G739" s="12">
        <v>109243.7</v>
      </c>
      <c r="H739" s="35">
        <v>46147.398143344908</v>
      </c>
    </row>
    <row r="740" spans="2:8" x14ac:dyDescent="0.2">
      <c r="B740" s="32">
        <v>46005</v>
      </c>
      <c r="C740" t="s">
        <v>109</v>
      </c>
      <c r="D740" t="s">
        <v>194</v>
      </c>
      <c r="E740" s="13" t="s">
        <v>529</v>
      </c>
      <c r="F740" s="12">
        <v>2</v>
      </c>
      <c r="G740" s="12">
        <v>92436.98</v>
      </c>
      <c r="H740" s="35">
        <v>46147.398143344908</v>
      </c>
    </row>
    <row r="741" spans="2:8" x14ac:dyDescent="0.2">
      <c r="B741" s="32">
        <v>46005</v>
      </c>
      <c r="C741" t="s">
        <v>109</v>
      </c>
      <c r="D741" t="s">
        <v>166</v>
      </c>
      <c r="E741" s="13" t="s">
        <v>529</v>
      </c>
      <c r="F741" s="12">
        <v>2</v>
      </c>
      <c r="G741" s="12">
        <v>92436.97</v>
      </c>
      <c r="H741" s="35">
        <v>46147.398143344908</v>
      </c>
    </row>
    <row r="742" spans="2:8" x14ac:dyDescent="0.2">
      <c r="B742" s="32">
        <v>46005</v>
      </c>
      <c r="C742" t="s">
        <v>109</v>
      </c>
      <c r="D742" t="s">
        <v>328</v>
      </c>
      <c r="E742" s="13" t="s">
        <v>529</v>
      </c>
      <c r="F742" s="12">
        <v>2</v>
      </c>
      <c r="G742" s="12">
        <v>75630.259999999995</v>
      </c>
      <c r="H742" s="35">
        <v>46147.398143344908</v>
      </c>
    </row>
    <row r="743" spans="2:8" x14ac:dyDescent="0.2">
      <c r="B743" s="32">
        <v>46005</v>
      </c>
      <c r="C743" t="s">
        <v>109</v>
      </c>
      <c r="D743" t="s">
        <v>1604</v>
      </c>
      <c r="E743" s="13" t="s">
        <v>530</v>
      </c>
      <c r="F743" s="12">
        <v>2</v>
      </c>
      <c r="G743" s="12">
        <v>75630.259999999995</v>
      </c>
      <c r="H743" s="35">
        <v>46147.398143344908</v>
      </c>
    </row>
    <row r="744" spans="2:8" x14ac:dyDescent="0.2">
      <c r="B744" s="32">
        <v>46005</v>
      </c>
      <c r="C744" t="s">
        <v>109</v>
      </c>
      <c r="D744" t="s">
        <v>291</v>
      </c>
      <c r="E744" s="13" t="s">
        <v>529</v>
      </c>
      <c r="F744" s="12">
        <v>2</v>
      </c>
      <c r="G744" s="12">
        <v>75630.25</v>
      </c>
      <c r="H744" s="35">
        <v>46147.398143344908</v>
      </c>
    </row>
    <row r="745" spans="2:8" x14ac:dyDescent="0.2">
      <c r="B745" s="32">
        <v>46005</v>
      </c>
      <c r="C745" t="s">
        <v>109</v>
      </c>
      <c r="D745" t="s">
        <v>146</v>
      </c>
      <c r="E745" s="13" t="s">
        <v>529</v>
      </c>
      <c r="F745" s="12">
        <v>2</v>
      </c>
      <c r="G745" s="12">
        <v>75630.25</v>
      </c>
      <c r="H745" s="35">
        <v>46147.398143344908</v>
      </c>
    </row>
    <row r="746" spans="2:8" x14ac:dyDescent="0.2">
      <c r="B746" s="32">
        <v>46005</v>
      </c>
      <c r="C746" t="s">
        <v>109</v>
      </c>
      <c r="D746" t="s">
        <v>458</v>
      </c>
      <c r="E746" s="13" t="s">
        <v>529</v>
      </c>
      <c r="F746" s="12">
        <v>2</v>
      </c>
      <c r="G746" s="12">
        <v>70000</v>
      </c>
      <c r="H746" s="35">
        <v>46147.398143344908</v>
      </c>
    </row>
    <row r="747" spans="2:8" x14ac:dyDescent="0.2">
      <c r="B747" s="32">
        <v>46005</v>
      </c>
      <c r="C747" t="s">
        <v>109</v>
      </c>
      <c r="D747" t="s">
        <v>180</v>
      </c>
      <c r="E747" s="13" t="s">
        <v>529</v>
      </c>
      <c r="F747" s="12">
        <v>2</v>
      </c>
      <c r="G747" s="12">
        <v>58823.53</v>
      </c>
      <c r="H747" s="35">
        <v>46147.398143344908</v>
      </c>
    </row>
    <row r="748" spans="2:8" x14ac:dyDescent="0.2">
      <c r="B748" s="32">
        <v>46005</v>
      </c>
      <c r="C748" t="s">
        <v>109</v>
      </c>
      <c r="D748" t="s">
        <v>142</v>
      </c>
      <c r="E748" s="13" t="s">
        <v>530</v>
      </c>
      <c r="F748" s="12">
        <v>2</v>
      </c>
      <c r="G748" s="12">
        <v>43277.31</v>
      </c>
      <c r="H748" s="35">
        <v>46147.398143344908</v>
      </c>
    </row>
    <row r="749" spans="2:8" x14ac:dyDescent="0.2">
      <c r="B749" s="32">
        <v>46006</v>
      </c>
      <c r="C749" t="s">
        <v>140</v>
      </c>
      <c r="D749" t="s">
        <v>1582</v>
      </c>
      <c r="E749" s="13" t="s">
        <v>530</v>
      </c>
      <c r="F749" s="12">
        <v>6</v>
      </c>
      <c r="G749" s="12">
        <v>277310.92</v>
      </c>
      <c r="H749" s="35">
        <v>46147.398143344908</v>
      </c>
    </row>
    <row r="750" spans="2:8" x14ac:dyDescent="0.2">
      <c r="B750" s="32">
        <v>46006</v>
      </c>
      <c r="C750" t="s">
        <v>140</v>
      </c>
      <c r="D750" t="s">
        <v>156</v>
      </c>
      <c r="E750" s="13" t="s">
        <v>529</v>
      </c>
      <c r="F750" s="12">
        <v>4</v>
      </c>
      <c r="G750" s="12">
        <v>184873.95</v>
      </c>
      <c r="H750" s="35">
        <v>46147.398143344908</v>
      </c>
    </row>
    <row r="751" spans="2:8" x14ac:dyDescent="0.2">
      <c r="B751" s="32">
        <v>46006</v>
      </c>
      <c r="C751" t="s">
        <v>109</v>
      </c>
      <c r="D751" t="s">
        <v>142</v>
      </c>
      <c r="E751" s="13" t="s">
        <v>530</v>
      </c>
      <c r="F751" s="12">
        <v>9</v>
      </c>
      <c r="G751" s="12">
        <v>223109.24</v>
      </c>
      <c r="H751" s="35">
        <v>46147.398143344908</v>
      </c>
    </row>
    <row r="752" spans="2:8" x14ac:dyDescent="0.2">
      <c r="B752" s="32">
        <v>46006</v>
      </c>
      <c r="C752" t="s">
        <v>109</v>
      </c>
      <c r="D752" t="s">
        <v>165</v>
      </c>
      <c r="E752" s="13" t="s">
        <v>529</v>
      </c>
      <c r="F752" s="12">
        <v>2</v>
      </c>
      <c r="G752" s="12">
        <v>201680.68</v>
      </c>
      <c r="H752" s="35">
        <v>46147.398143344908</v>
      </c>
    </row>
    <row r="753" spans="2:8" x14ac:dyDescent="0.2">
      <c r="B753" s="32">
        <v>46006</v>
      </c>
      <c r="C753" t="s">
        <v>109</v>
      </c>
      <c r="D753" t="s">
        <v>182</v>
      </c>
      <c r="E753" s="13" t="s">
        <v>529</v>
      </c>
      <c r="F753" s="12">
        <v>2</v>
      </c>
      <c r="G753" s="12">
        <v>201680.68</v>
      </c>
      <c r="H753" s="35">
        <v>46147.398143344908</v>
      </c>
    </row>
    <row r="754" spans="2:8" x14ac:dyDescent="0.2">
      <c r="B754" s="32">
        <v>46006</v>
      </c>
      <c r="C754" t="s">
        <v>109</v>
      </c>
      <c r="D754" t="s">
        <v>151</v>
      </c>
      <c r="E754" s="13" t="s">
        <v>529</v>
      </c>
      <c r="F754" s="12">
        <v>4</v>
      </c>
      <c r="G754" s="12">
        <v>184873.95</v>
      </c>
      <c r="H754" s="35">
        <v>46147.398143344908</v>
      </c>
    </row>
    <row r="755" spans="2:8" x14ac:dyDescent="0.2">
      <c r="B755" s="32">
        <v>46006</v>
      </c>
      <c r="C755" t="s">
        <v>109</v>
      </c>
      <c r="D755" t="s">
        <v>1606</v>
      </c>
      <c r="E755" s="13" t="s">
        <v>529</v>
      </c>
      <c r="F755" s="12">
        <v>4</v>
      </c>
      <c r="G755" s="12">
        <v>184873.95</v>
      </c>
      <c r="H755" s="35">
        <v>46147.398143344908</v>
      </c>
    </row>
    <row r="756" spans="2:8" x14ac:dyDescent="0.2">
      <c r="B756" s="32">
        <v>46006</v>
      </c>
      <c r="C756" t="s">
        <v>109</v>
      </c>
      <c r="D756" t="s">
        <v>1539</v>
      </c>
      <c r="E756" s="13"/>
      <c r="F756" s="12">
        <v>4</v>
      </c>
      <c r="G756" s="12">
        <v>151260.5</v>
      </c>
      <c r="H756" s="35">
        <v>46147.398143344908</v>
      </c>
    </row>
    <row r="757" spans="2:8" x14ac:dyDescent="0.2">
      <c r="B757" s="32">
        <v>46006</v>
      </c>
      <c r="C757" t="s">
        <v>109</v>
      </c>
      <c r="D757" t="s">
        <v>162</v>
      </c>
      <c r="E757" s="13" t="s">
        <v>530</v>
      </c>
      <c r="F757" s="12">
        <v>2</v>
      </c>
      <c r="G757" s="12">
        <v>142857.14000000001</v>
      </c>
      <c r="H757" s="35">
        <v>46147.398143344908</v>
      </c>
    </row>
    <row r="758" spans="2:8" x14ac:dyDescent="0.2">
      <c r="B758" s="32">
        <v>46006</v>
      </c>
      <c r="C758" t="s">
        <v>109</v>
      </c>
      <c r="D758" t="s">
        <v>362</v>
      </c>
      <c r="E758" s="13" t="s">
        <v>529</v>
      </c>
      <c r="F758" s="12">
        <v>2</v>
      </c>
      <c r="G758" s="12">
        <v>117647.06</v>
      </c>
      <c r="H758" s="35">
        <v>46147.398143344908</v>
      </c>
    </row>
    <row r="759" spans="2:8" x14ac:dyDescent="0.2">
      <c r="B759" s="32">
        <v>46006</v>
      </c>
      <c r="C759" t="s">
        <v>109</v>
      </c>
      <c r="D759" t="s">
        <v>146</v>
      </c>
      <c r="E759" s="13" t="s">
        <v>529</v>
      </c>
      <c r="F759" s="12">
        <v>3</v>
      </c>
      <c r="G759" s="12">
        <v>113445.38</v>
      </c>
      <c r="H759" s="35">
        <v>46147.398143344908</v>
      </c>
    </row>
    <row r="760" spans="2:8" x14ac:dyDescent="0.2">
      <c r="B760" s="32">
        <v>46006</v>
      </c>
      <c r="C760" t="s">
        <v>109</v>
      </c>
      <c r="D760" t="s">
        <v>1568</v>
      </c>
      <c r="E760" s="13" t="s">
        <v>529</v>
      </c>
      <c r="F760" s="12">
        <v>2</v>
      </c>
      <c r="G760" s="12">
        <v>109243.7</v>
      </c>
      <c r="H760" s="35">
        <v>46147.398143344908</v>
      </c>
    </row>
    <row r="761" spans="2:8" x14ac:dyDescent="0.2">
      <c r="B761" s="32">
        <v>46006</v>
      </c>
      <c r="C761" t="s">
        <v>109</v>
      </c>
      <c r="D761" t="s">
        <v>355</v>
      </c>
      <c r="E761" s="13" t="s">
        <v>529</v>
      </c>
      <c r="F761" s="12">
        <v>2</v>
      </c>
      <c r="G761" s="12">
        <v>98319.33</v>
      </c>
      <c r="H761" s="35">
        <v>46147.398143344908</v>
      </c>
    </row>
    <row r="762" spans="2:8" x14ac:dyDescent="0.2">
      <c r="B762" s="32">
        <v>46006</v>
      </c>
      <c r="C762" t="s">
        <v>109</v>
      </c>
      <c r="D762" t="s">
        <v>166</v>
      </c>
      <c r="E762" s="13" t="s">
        <v>529</v>
      </c>
      <c r="F762" s="12">
        <v>2</v>
      </c>
      <c r="G762" s="12">
        <v>92436.97</v>
      </c>
      <c r="H762" s="35">
        <v>46147.398143344908</v>
      </c>
    </row>
    <row r="763" spans="2:8" x14ac:dyDescent="0.2">
      <c r="B763" s="32">
        <v>46006</v>
      </c>
      <c r="C763" t="s">
        <v>109</v>
      </c>
      <c r="D763" t="s">
        <v>1564</v>
      </c>
      <c r="E763" s="13" t="s">
        <v>529</v>
      </c>
      <c r="F763" s="12">
        <v>2</v>
      </c>
      <c r="G763" s="12">
        <v>92436.97</v>
      </c>
      <c r="H763" s="35">
        <v>46147.398143344908</v>
      </c>
    </row>
    <row r="764" spans="2:8" x14ac:dyDescent="0.2">
      <c r="B764" s="32">
        <v>46006</v>
      </c>
      <c r="C764" t="s">
        <v>109</v>
      </c>
      <c r="D764" t="s">
        <v>1580</v>
      </c>
      <c r="E764" s="13" t="s">
        <v>530</v>
      </c>
      <c r="F764" s="12">
        <v>2</v>
      </c>
      <c r="G764" s="12">
        <v>84033.61</v>
      </c>
      <c r="H764" s="35">
        <v>46147.398143344908</v>
      </c>
    </row>
    <row r="765" spans="2:8" x14ac:dyDescent="0.2">
      <c r="B765" s="32">
        <v>46006</v>
      </c>
      <c r="C765" t="s">
        <v>109</v>
      </c>
      <c r="D765" t="s">
        <v>171</v>
      </c>
      <c r="E765" s="13" t="s">
        <v>529</v>
      </c>
      <c r="F765" s="12">
        <v>2</v>
      </c>
      <c r="G765" s="12">
        <v>75630.259999999995</v>
      </c>
      <c r="H765" s="35">
        <v>46147.398143344908</v>
      </c>
    </row>
    <row r="766" spans="2:8" x14ac:dyDescent="0.2">
      <c r="B766" s="32">
        <v>46006</v>
      </c>
      <c r="C766" t="s">
        <v>109</v>
      </c>
      <c r="D766" t="s">
        <v>370</v>
      </c>
      <c r="E766" s="13" t="s">
        <v>529</v>
      </c>
      <c r="F766" s="12">
        <v>2</v>
      </c>
      <c r="G766" s="12">
        <v>75630.25</v>
      </c>
      <c r="H766" s="35">
        <v>46147.398143344908</v>
      </c>
    </row>
    <row r="767" spans="2:8" x14ac:dyDescent="0.2">
      <c r="B767" s="32">
        <v>46006</v>
      </c>
      <c r="C767" t="s">
        <v>109</v>
      </c>
      <c r="D767" t="s">
        <v>202</v>
      </c>
      <c r="E767" s="13" t="s">
        <v>529</v>
      </c>
      <c r="F767" s="12">
        <v>2</v>
      </c>
      <c r="G767" s="12">
        <v>75630.25</v>
      </c>
      <c r="H767" s="35">
        <v>46147.398143344908</v>
      </c>
    </row>
    <row r="768" spans="2:8" x14ac:dyDescent="0.2">
      <c r="B768" s="32">
        <v>46007</v>
      </c>
      <c r="C768" t="s">
        <v>140</v>
      </c>
      <c r="D768" t="s">
        <v>453</v>
      </c>
      <c r="E768" s="13" t="s">
        <v>529</v>
      </c>
      <c r="F768" s="12">
        <v>2</v>
      </c>
      <c r="G768" s="12">
        <v>235294.12</v>
      </c>
      <c r="H768" s="35">
        <v>46147.398143344908</v>
      </c>
    </row>
    <row r="769" spans="2:8" x14ac:dyDescent="0.2">
      <c r="B769" s="32">
        <v>46007</v>
      </c>
      <c r="C769" t="s">
        <v>140</v>
      </c>
      <c r="D769" t="s">
        <v>321</v>
      </c>
      <c r="E769" s="13" t="s">
        <v>529</v>
      </c>
      <c r="F769" s="12">
        <v>2</v>
      </c>
      <c r="G769" s="12">
        <v>168067.23</v>
      </c>
      <c r="H769" s="35">
        <v>46147.398143344908</v>
      </c>
    </row>
    <row r="770" spans="2:8" x14ac:dyDescent="0.2">
      <c r="B770" s="32">
        <v>46007</v>
      </c>
      <c r="C770" t="s">
        <v>109</v>
      </c>
      <c r="D770" t="s">
        <v>157</v>
      </c>
      <c r="E770" s="13" t="s">
        <v>530</v>
      </c>
      <c r="F770" s="12">
        <v>2</v>
      </c>
      <c r="G770" s="12">
        <v>487394.96</v>
      </c>
      <c r="H770" s="35">
        <v>46147.398143344908</v>
      </c>
    </row>
    <row r="771" spans="2:8" x14ac:dyDescent="0.2">
      <c r="B771" s="32">
        <v>46007</v>
      </c>
      <c r="C771" t="s">
        <v>109</v>
      </c>
      <c r="D771" t="s">
        <v>1591</v>
      </c>
      <c r="E771" s="13" t="s">
        <v>530</v>
      </c>
      <c r="F771" s="12">
        <v>6</v>
      </c>
      <c r="G771" s="12">
        <v>277310.92</v>
      </c>
      <c r="H771" s="35">
        <v>46147.398143344908</v>
      </c>
    </row>
    <row r="772" spans="2:8" x14ac:dyDescent="0.2">
      <c r="B772" s="32">
        <v>46007</v>
      </c>
      <c r="C772" t="s">
        <v>109</v>
      </c>
      <c r="E772" s="13" t="s">
        <v>529</v>
      </c>
      <c r="F772" s="12">
        <v>4</v>
      </c>
      <c r="G772" s="12">
        <v>274789.90999999997</v>
      </c>
      <c r="H772" s="35">
        <v>46147.398143344908</v>
      </c>
    </row>
    <row r="773" spans="2:8" x14ac:dyDescent="0.2">
      <c r="B773" s="32">
        <v>46007</v>
      </c>
      <c r="C773" t="s">
        <v>109</v>
      </c>
      <c r="D773" t="s">
        <v>465</v>
      </c>
      <c r="E773" s="13" t="s">
        <v>529</v>
      </c>
      <c r="F773" s="12">
        <v>3</v>
      </c>
      <c r="G773" s="12">
        <v>214285.71</v>
      </c>
      <c r="H773" s="35">
        <v>46147.398143344908</v>
      </c>
    </row>
    <row r="774" spans="2:8" x14ac:dyDescent="0.2">
      <c r="B774" s="32">
        <v>46007</v>
      </c>
      <c r="C774" t="s">
        <v>109</v>
      </c>
      <c r="D774" t="s">
        <v>194</v>
      </c>
      <c r="E774" s="13" t="s">
        <v>530</v>
      </c>
      <c r="F774" s="12">
        <v>4</v>
      </c>
      <c r="G774" s="12">
        <v>184873.95</v>
      </c>
      <c r="H774" s="35">
        <v>46147.398143344908</v>
      </c>
    </row>
    <row r="775" spans="2:8" x14ac:dyDescent="0.2">
      <c r="B775" s="32">
        <v>46007</v>
      </c>
      <c r="C775" t="s">
        <v>109</v>
      </c>
      <c r="D775" t="s">
        <v>359</v>
      </c>
      <c r="E775" s="13" t="s">
        <v>529</v>
      </c>
      <c r="F775" s="12">
        <v>2</v>
      </c>
      <c r="G775" s="12">
        <v>151260.5</v>
      </c>
      <c r="H775" s="35">
        <v>46147.398143344908</v>
      </c>
    </row>
    <row r="776" spans="2:8" x14ac:dyDescent="0.2">
      <c r="B776" s="32">
        <v>46007</v>
      </c>
      <c r="C776" t="s">
        <v>109</v>
      </c>
      <c r="D776" t="s">
        <v>147</v>
      </c>
      <c r="E776" s="13" t="s">
        <v>530</v>
      </c>
      <c r="F776" s="12">
        <v>2</v>
      </c>
      <c r="G776" s="12">
        <v>142857.14000000001</v>
      </c>
      <c r="H776" s="35">
        <v>46147.398143344908</v>
      </c>
    </row>
    <row r="777" spans="2:8" x14ac:dyDescent="0.2">
      <c r="B777" s="32">
        <v>46007</v>
      </c>
      <c r="C777" t="s">
        <v>109</v>
      </c>
      <c r="D777" t="s">
        <v>162</v>
      </c>
      <c r="E777" s="13" t="s">
        <v>529</v>
      </c>
      <c r="F777" s="12">
        <v>2</v>
      </c>
      <c r="G777" s="12">
        <v>142857.14000000001</v>
      </c>
      <c r="H777" s="35">
        <v>46147.398143344908</v>
      </c>
    </row>
    <row r="778" spans="2:8" x14ac:dyDescent="0.2">
      <c r="B778" s="32">
        <v>46007</v>
      </c>
      <c r="C778" t="s">
        <v>109</v>
      </c>
      <c r="D778" t="s">
        <v>147</v>
      </c>
      <c r="E778" s="13" t="s">
        <v>529</v>
      </c>
      <c r="F778" s="12">
        <v>2</v>
      </c>
      <c r="G778" s="12">
        <v>142857.14000000001</v>
      </c>
      <c r="H778" s="35">
        <v>46147.398143344908</v>
      </c>
    </row>
    <row r="779" spans="2:8" x14ac:dyDescent="0.2">
      <c r="B779" s="32">
        <v>46007</v>
      </c>
      <c r="C779" t="s">
        <v>109</v>
      </c>
      <c r="D779" t="s">
        <v>166</v>
      </c>
      <c r="E779" s="13" t="s">
        <v>529</v>
      </c>
      <c r="F779" s="12">
        <v>2</v>
      </c>
      <c r="G779" s="12">
        <v>92436.98</v>
      </c>
      <c r="H779" s="35">
        <v>46147.398143344908</v>
      </c>
    </row>
    <row r="780" spans="2:8" x14ac:dyDescent="0.2">
      <c r="B780" s="32">
        <v>46007</v>
      </c>
      <c r="C780" t="s">
        <v>109</v>
      </c>
      <c r="D780" t="s">
        <v>156</v>
      </c>
      <c r="E780" s="13" t="s">
        <v>530</v>
      </c>
      <c r="F780" s="12">
        <v>2</v>
      </c>
      <c r="G780" s="12">
        <v>92436.98</v>
      </c>
      <c r="H780" s="35">
        <v>46147.398143344908</v>
      </c>
    </row>
    <row r="781" spans="2:8" x14ac:dyDescent="0.2">
      <c r="B781" s="32">
        <v>46007</v>
      </c>
      <c r="C781" t="s">
        <v>109</v>
      </c>
      <c r="D781" t="s">
        <v>166</v>
      </c>
      <c r="E781" s="13" t="s">
        <v>530</v>
      </c>
      <c r="F781" s="12">
        <v>2</v>
      </c>
      <c r="G781" s="12">
        <v>92436.97</v>
      </c>
      <c r="H781" s="35">
        <v>46147.398143344908</v>
      </c>
    </row>
    <row r="782" spans="2:8" x14ac:dyDescent="0.2">
      <c r="B782" s="32">
        <v>46007</v>
      </c>
      <c r="C782" t="s">
        <v>109</v>
      </c>
      <c r="D782" t="s">
        <v>244</v>
      </c>
      <c r="E782" s="13" t="s">
        <v>530</v>
      </c>
      <c r="F782" s="12">
        <v>2</v>
      </c>
      <c r="G782" s="12">
        <v>84033.61</v>
      </c>
      <c r="H782" s="35">
        <v>46147.398143344908</v>
      </c>
    </row>
    <row r="783" spans="2:8" x14ac:dyDescent="0.2">
      <c r="B783" s="32">
        <v>46007</v>
      </c>
      <c r="C783" t="s">
        <v>109</v>
      </c>
      <c r="D783" t="s">
        <v>1604</v>
      </c>
      <c r="E783" s="13" t="s">
        <v>529</v>
      </c>
      <c r="F783" s="12">
        <v>2</v>
      </c>
      <c r="G783" s="12">
        <v>75630.259999999995</v>
      </c>
      <c r="H783" s="35">
        <v>46147.398143344908</v>
      </c>
    </row>
    <row r="784" spans="2:8" x14ac:dyDescent="0.2">
      <c r="B784" s="32">
        <v>46007</v>
      </c>
      <c r="C784" t="s">
        <v>109</v>
      </c>
      <c r="D784" t="s">
        <v>175</v>
      </c>
      <c r="E784" s="13" t="s">
        <v>530</v>
      </c>
      <c r="F784" s="12">
        <v>2</v>
      </c>
      <c r="G784" s="12">
        <v>75630.25</v>
      </c>
      <c r="H784" s="35">
        <v>46147.398143344908</v>
      </c>
    </row>
    <row r="785" spans="2:8" x14ac:dyDescent="0.2">
      <c r="B785" s="32">
        <v>46007</v>
      </c>
      <c r="C785" t="s">
        <v>109</v>
      </c>
      <c r="D785" t="s">
        <v>142</v>
      </c>
      <c r="E785" s="13" t="s">
        <v>530</v>
      </c>
      <c r="F785" s="12">
        <v>3</v>
      </c>
      <c r="G785" s="12">
        <v>23109.25</v>
      </c>
      <c r="H785" s="35">
        <v>46147.398143344908</v>
      </c>
    </row>
    <row r="786" spans="2:8" x14ac:dyDescent="0.2">
      <c r="B786" s="32">
        <v>46008</v>
      </c>
      <c r="C786" t="s">
        <v>140</v>
      </c>
      <c r="D786" t="s">
        <v>142</v>
      </c>
      <c r="E786" s="13"/>
      <c r="F786" s="12">
        <v>3</v>
      </c>
      <c r="G786" s="12">
        <v>184873.95</v>
      </c>
      <c r="H786" s="35">
        <v>46147.398143344908</v>
      </c>
    </row>
    <row r="787" spans="2:8" x14ac:dyDescent="0.2">
      <c r="B787" s="32">
        <v>46008</v>
      </c>
      <c r="C787" t="s">
        <v>140</v>
      </c>
      <c r="D787" t="s">
        <v>197</v>
      </c>
      <c r="E787" s="13" t="s">
        <v>529</v>
      </c>
      <c r="F787" s="12">
        <v>2</v>
      </c>
      <c r="G787" s="12">
        <v>151260.5</v>
      </c>
      <c r="H787" s="35">
        <v>46147.398143344908</v>
      </c>
    </row>
    <row r="788" spans="2:8" x14ac:dyDescent="0.2">
      <c r="B788" s="32">
        <v>46008</v>
      </c>
      <c r="C788" t="s">
        <v>140</v>
      </c>
      <c r="D788" t="s">
        <v>285</v>
      </c>
      <c r="E788" s="13" t="s">
        <v>529</v>
      </c>
      <c r="F788" s="12">
        <v>3</v>
      </c>
      <c r="G788" s="12">
        <v>150000</v>
      </c>
      <c r="H788" s="35">
        <v>46147.398143344908</v>
      </c>
    </row>
    <row r="789" spans="2:8" x14ac:dyDescent="0.2">
      <c r="B789" s="32">
        <v>46008</v>
      </c>
      <c r="C789" t="s">
        <v>140</v>
      </c>
      <c r="D789" t="s">
        <v>434</v>
      </c>
      <c r="E789" s="13" t="s">
        <v>529</v>
      </c>
      <c r="F789" s="12">
        <v>2</v>
      </c>
      <c r="G789" s="12">
        <v>108823.53</v>
      </c>
      <c r="H789" s="35">
        <v>46147.398143344908</v>
      </c>
    </row>
    <row r="790" spans="2:8" x14ac:dyDescent="0.2">
      <c r="B790" s="32">
        <v>46008</v>
      </c>
      <c r="C790" t="s">
        <v>140</v>
      </c>
      <c r="D790" t="s">
        <v>193</v>
      </c>
      <c r="E790" s="13" t="s">
        <v>529</v>
      </c>
      <c r="F790" s="12">
        <v>2</v>
      </c>
      <c r="G790" s="12">
        <v>92436.97</v>
      </c>
      <c r="H790" s="35">
        <v>46147.398143344908</v>
      </c>
    </row>
    <row r="791" spans="2:8" x14ac:dyDescent="0.2">
      <c r="B791" s="32">
        <v>46008</v>
      </c>
      <c r="C791" t="s">
        <v>140</v>
      </c>
      <c r="D791" t="s">
        <v>171</v>
      </c>
      <c r="E791" s="13" t="s">
        <v>530</v>
      </c>
      <c r="F791" s="12">
        <v>2</v>
      </c>
      <c r="G791" s="12">
        <v>75630.259999999995</v>
      </c>
      <c r="H791" s="35">
        <v>46147.398143344908</v>
      </c>
    </row>
    <row r="792" spans="2:8" x14ac:dyDescent="0.2">
      <c r="B792" s="32">
        <v>46008</v>
      </c>
      <c r="C792" t="s">
        <v>109</v>
      </c>
      <c r="D792" t="s">
        <v>157</v>
      </c>
      <c r="E792" s="13" t="s">
        <v>530</v>
      </c>
      <c r="F792" s="12">
        <v>5</v>
      </c>
      <c r="G792" s="12">
        <v>1218487.3999999999</v>
      </c>
      <c r="H792" s="35">
        <v>46147.398143344908</v>
      </c>
    </row>
    <row r="793" spans="2:8" x14ac:dyDescent="0.2">
      <c r="B793" s="32">
        <v>46008</v>
      </c>
      <c r="C793" t="s">
        <v>109</v>
      </c>
      <c r="D793" t="s">
        <v>143</v>
      </c>
      <c r="E793" s="13" t="s">
        <v>529</v>
      </c>
      <c r="F793" s="12">
        <v>20</v>
      </c>
      <c r="G793" s="12">
        <v>588235.30000000005</v>
      </c>
      <c r="H793" s="35">
        <v>46147.398143344908</v>
      </c>
    </row>
    <row r="794" spans="2:8" x14ac:dyDescent="0.2">
      <c r="B794" s="32">
        <v>46008</v>
      </c>
      <c r="C794" t="s">
        <v>109</v>
      </c>
      <c r="D794" t="s">
        <v>148</v>
      </c>
      <c r="E794" s="13" t="s">
        <v>529</v>
      </c>
      <c r="F794" s="12">
        <v>4</v>
      </c>
      <c r="G794" s="12">
        <v>184873.95</v>
      </c>
      <c r="H794" s="35">
        <v>46147.398143344908</v>
      </c>
    </row>
    <row r="795" spans="2:8" x14ac:dyDescent="0.2">
      <c r="B795" s="32">
        <v>46008</v>
      </c>
      <c r="C795" t="s">
        <v>109</v>
      </c>
      <c r="D795" t="s">
        <v>346</v>
      </c>
      <c r="E795" s="13" t="s">
        <v>530</v>
      </c>
      <c r="F795" s="12">
        <v>4</v>
      </c>
      <c r="G795" s="12">
        <v>184873.95</v>
      </c>
      <c r="H795" s="35">
        <v>46147.398143344908</v>
      </c>
    </row>
    <row r="796" spans="2:8" x14ac:dyDescent="0.2">
      <c r="B796" s="32">
        <v>46008</v>
      </c>
      <c r="C796" t="s">
        <v>109</v>
      </c>
      <c r="D796" t="s">
        <v>194</v>
      </c>
      <c r="E796" s="13" t="s">
        <v>529</v>
      </c>
      <c r="F796" s="12">
        <v>4</v>
      </c>
      <c r="G796" s="12">
        <v>184873.95</v>
      </c>
      <c r="H796" s="35">
        <v>46147.398143344908</v>
      </c>
    </row>
    <row r="797" spans="2:8" x14ac:dyDescent="0.2">
      <c r="B797" s="32">
        <v>46008</v>
      </c>
      <c r="C797" t="s">
        <v>109</v>
      </c>
      <c r="D797" t="s">
        <v>166</v>
      </c>
      <c r="E797" s="13" t="s">
        <v>529</v>
      </c>
      <c r="F797" s="12">
        <v>4</v>
      </c>
      <c r="G797" s="12">
        <v>184873.94</v>
      </c>
      <c r="H797" s="35">
        <v>46147.398143344908</v>
      </c>
    </row>
    <row r="798" spans="2:8" x14ac:dyDescent="0.2">
      <c r="B798" s="32">
        <v>46008</v>
      </c>
      <c r="C798" t="s">
        <v>109</v>
      </c>
      <c r="D798" t="s">
        <v>1597</v>
      </c>
      <c r="E798" s="13" t="s">
        <v>529</v>
      </c>
      <c r="F798" s="12">
        <v>3</v>
      </c>
      <c r="G798" s="12">
        <v>113445.37</v>
      </c>
      <c r="H798" s="35">
        <v>46147.398143344908</v>
      </c>
    </row>
    <row r="799" spans="2:8" x14ac:dyDescent="0.2">
      <c r="B799" s="32">
        <v>46008</v>
      </c>
      <c r="C799" t="s">
        <v>109</v>
      </c>
      <c r="D799" t="s">
        <v>144</v>
      </c>
      <c r="E799" s="13" t="s">
        <v>530</v>
      </c>
      <c r="F799" s="12">
        <v>2</v>
      </c>
      <c r="G799" s="12">
        <v>92436.98</v>
      </c>
      <c r="H799" s="35">
        <v>46147.398143344908</v>
      </c>
    </row>
    <row r="800" spans="2:8" x14ac:dyDescent="0.2">
      <c r="B800" s="32">
        <v>46008</v>
      </c>
      <c r="C800" t="s">
        <v>109</v>
      </c>
      <c r="D800" t="s">
        <v>1597</v>
      </c>
      <c r="E800" s="13" t="s">
        <v>530</v>
      </c>
      <c r="F800" s="12">
        <v>2</v>
      </c>
      <c r="G800" s="12">
        <v>75630.259999999995</v>
      </c>
      <c r="H800" s="35">
        <v>46147.398143344908</v>
      </c>
    </row>
    <row r="801" spans="2:8" x14ac:dyDescent="0.2">
      <c r="B801" s="32">
        <v>46008</v>
      </c>
      <c r="C801" t="s">
        <v>109</v>
      </c>
      <c r="D801" t="s">
        <v>1594</v>
      </c>
      <c r="E801" s="13" t="s">
        <v>529</v>
      </c>
      <c r="F801" s="12">
        <v>2</v>
      </c>
      <c r="G801" s="12">
        <v>75630.240000000005</v>
      </c>
      <c r="H801" s="35">
        <v>46147.398143344908</v>
      </c>
    </row>
    <row r="802" spans="2:8" x14ac:dyDescent="0.2">
      <c r="B802" s="32">
        <v>46009</v>
      </c>
      <c r="C802" t="s">
        <v>140</v>
      </c>
      <c r="D802" t="s">
        <v>597</v>
      </c>
      <c r="E802" s="13" t="s">
        <v>530</v>
      </c>
      <c r="F802" s="12">
        <v>2</v>
      </c>
      <c r="G802" s="12">
        <v>378151.26</v>
      </c>
      <c r="H802" s="35">
        <v>46147.398143344908</v>
      </c>
    </row>
    <row r="803" spans="2:8" x14ac:dyDescent="0.2">
      <c r="B803" s="32">
        <v>46009</v>
      </c>
      <c r="C803" t="s">
        <v>140</v>
      </c>
      <c r="D803" t="s">
        <v>1551</v>
      </c>
      <c r="E803" s="13" t="s">
        <v>529</v>
      </c>
      <c r="F803" s="12">
        <v>2</v>
      </c>
      <c r="G803" s="12">
        <v>168067.23</v>
      </c>
      <c r="H803" s="35">
        <v>46147.398143344908</v>
      </c>
    </row>
    <row r="804" spans="2:8" x14ac:dyDescent="0.2">
      <c r="B804" s="32">
        <v>46009</v>
      </c>
      <c r="C804" t="s">
        <v>109</v>
      </c>
      <c r="D804" t="s">
        <v>379</v>
      </c>
      <c r="E804" s="13" t="s">
        <v>529</v>
      </c>
      <c r="F804" s="12">
        <v>6</v>
      </c>
      <c r="G804" s="12">
        <v>453781.51</v>
      </c>
      <c r="H804" s="35">
        <v>46147.398143344908</v>
      </c>
    </row>
    <row r="805" spans="2:8" x14ac:dyDescent="0.2">
      <c r="B805" s="32">
        <v>46009</v>
      </c>
      <c r="C805" t="s">
        <v>109</v>
      </c>
      <c r="D805" t="s">
        <v>197</v>
      </c>
      <c r="E805" s="13" t="s">
        <v>529</v>
      </c>
      <c r="F805" s="12">
        <v>5</v>
      </c>
      <c r="G805" s="12">
        <v>378151.26</v>
      </c>
      <c r="H805" s="35">
        <v>46147.398143344908</v>
      </c>
    </row>
    <row r="806" spans="2:8" x14ac:dyDescent="0.2">
      <c r="B806" s="32">
        <v>46009</v>
      </c>
      <c r="C806" t="s">
        <v>109</v>
      </c>
      <c r="D806" t="s">
        <v>543</v>
      </c>
      <c r="E806" s="13" t="s">
        <v>529</v>
      </c>
      <c r="F806" s="12">
        <v>4</v>
      </c>
      <c r="G806" s="12">
        <v>302521.01</v>
      </c>
      <c r="H806" s="35">
        <v>46147.398143344908</v>
      </c>
    </row>
    <row r="807" spans="2:8" x14ac:dyDescent="0.2">
      <c r="B807" s="32">
        <v>46009</v>
      </c>
      <c r="C807" t="s">
        <v>109</v>
      </c>
      <c r="D807" t="s">
        <v>359</v>
      </c>
      <c r="E807" s="13" t="s">
        <v>529</v>
      </c>
      <c r="F807" s="12">
        <v>4</v>
      </c>
      <c r="G807" s="12">
        <v>302521.01</v>
      </c>
      <c r="H807" s="35">
        <v>46147.398143344908</v>
      </c>
    </row>
    <row r="808" spans="2:8" x14ac:dyDescent="0.2">
      <c r="B808" s="32">
        <v>46009</v>
      </c>
      <c r="C808" t="s">
        <v>109</v>
      </c>
      <c r="D808" t="s">
        <v>1624</v>
      </c>
      <c r="E808" s="13" t="s">
        <v>529</v>
      </c>
      <c r="F808" s="12">
        <v>5</v>
      </c>
      <c r="G808" s="12">
        <v>210084.02</v>
      </c>
      <c r="H808" s="35">
        <v>46147.398143344908</v>
      </c>
    </row>
    <row r="809" spans="2:8" x14ac:dyDescent="0.2">
      <c r="B809" s="32">
        <v>46009</v>
      </c>
      <c r="C809" t="s">
        <v>109</v>
      </c>
      <c r="D809" t="s">
        <v>482</v>
      </c>
      <c r="E809" s="13" t="s">
        <v>530</v>
      </c>
      <c r="F809" s="12">
        <v>2</v>
      </c>
      <c r="G809" s="12">
        <v>151260.5</v>
      </c>
      <c r="H809" s="35">
        <v>46147.398143344908</v>
      </c>
    </row>
    <row r="810" spans="2:8" x14ac:dyDescent="0.2">
      <c r="B810" s="32">
        <v>46009</v>
      </c>
      <c r="C810" t="s">
        <v>109</v>
      </c>
      <c r="D810" t="s">
        <v>147</v>
      </c>
      <c r="E810" s="13" t="s">
        <v>529</v>
      </c>
      <c r="F810" s="12">
        <v>2</v>
      </c>
      <c r="G810" s="12">
        <v>142857.14000000001</v>
      </c>
      <c r="H810" s="35">
        <v>46147.398143344908</v>
      </c>
    </row>
    <row r="811" spans="2:8" x14ac:dyDescent="0.2">
      <c r="B811" s="32">
        <v>46009</v>
      </c>
      <c r="C811" t="s">
        <v>109</v>
      </c>
      <c r="D811" t="s">
        <v>166</v>
      </c>
      <c r="E811" s="13" t="s">
        <v>530</v>
      </c>
      <c r="F811" s="12">
        <v>3</v>
      </c>
      <c r="G811" s="12">
        <v>138655.47</v>
      </c>
      <c r="H811" s="35">
        <v>46147.398143344908</v>
      </c>
    </row>
    <row r="812" spans="2:8" x14ac:dyDescent="0.2">
      <c r="B812" s="32">
        <v>46009</v>
      </c>
      <c r="C812" t="s">
        <v>109</v>
      </c>
      <c r="D812" t="s">
        <v>1580</v>
      </c>
      <c r="E812" s="13" t="s">
        <v>529</v>
      </c>
      <c r="F812" s="12">
        <v>3</v>
      </c>
      <c r="G812" s="12">
        <v>126050.42</v>
      </c>
      <c r="H812" s="35">
        <v>46147.398143344908</v>
      </c>
    </row>
    <row r="813" spans="2:8" x14ac:dyDescent="0.2">
      <c r="B813" s="32">
        <v>46009</v>
      </c>
      <c r="C813" t="s">
        <v>109</v>
      </c>
      <c r="D813" t="s">
        <v>1597</v>
      </c>
      <c r="E813" s="13" t="s">
        <v>529</v>
      </c>
      <c r="F813" s="12">
        <v>3</v>
      </c>
      <c r="G813" s="12">
        <v>113445.38</v>
      </c>
      <c r="H813" s="35">
        <v>46147.398143344908</v>
      </c>
    </row>
    <row r="814" spans="2:8" x14ac:dyDescent="0.2">
      <c r="B814" s="32">
        <v>46009</v>
      </c>
      <c r="C814" t="s">
        <v>109</v>
      </c>
      <c r="D814" t="s">
        <v>256</v>
      </c>
      <c r="E814" s="13" t="s">
        <v>530</v>
      </c>
      <c r="F814" s="12">
        <v>2</v>
      </c>
      <c r="G814" s="12">
        <v>109243.7</v>
      </c>
      <c r="H814" s="35">
        <v>46147.398143344908</v>
      </c>
    </row>
    <row r="815" spans="2:8" x14ac:dyDescent="0.2">
      <c r="B815" s="32">
        <v>46009</v>
      </c>
      <c r="C815" t="s">
        <v>109</v>
      </c>
      <c r="D815" t="s">
        <v>210</v>
      </c>
      <c r="E815" s="13" t="s">
        <v>529</v>
      </c>
      <c r="F815" s="12">
        <v>2</v>
      </c>
      <c r="G815" s="12">
        <v>109243.7</v>
      </c>
      <c r="H815" s="35">
        <v>46147.398143344908</v>
      </c>
    </row>
    <row r="816" spans="2:8" x14ac:dyDescent="0.2">
      <c r="B816" s="32">
        <v>46009</v>
      </c>
      <c r="C816" t="s">
        <v>109</v>
      </c>
      <c r="D816" t="s">
        <v>396</v>
      </c>
      <c r="E816" s="13" t="s">
        <v>529</v>
      </c>
      <c r="F816" s="12">
        <v>2</v>
      </c>
      <c r="G816" s="12">
        <v>109243.7</v>
      </c>
      <c r="H816" s="35">
        <v>46147.398143344908</v>
      </c>
    </row>
    <row r="817" spans="2:8" x14ac:dyDescent="0.2">
      <c r="B817" s="32">
        <v>46009</v>
      </c>
      <c r="C817" t="s">
        <v>109</v>
      </c>
      <c r="D817" t="s">
        <v>325</v>
      </c>
      <c r="E817" s="13" t="s">
        <v>529</v>
      </c>
      <c r="F817" s="12">
        <v>3</v>
      </c>
      <c r="G817" s="12">
        <v>105000</v>
      </c>
      <c r="H817" s="35">
        <v>46147.398143344908</v>
      </c>
    </row>
    <row r="818" spans="2:8" x14ac:dyDescent="0.2">
      <c r="B818" s="32">
        <v>46009</v>
      </c>
      <c r="C818" t="s">
        <v>109</v>
      </c>
      <c r="D818" t="s">
        <v>1625</v>
      </c>
      <c r="E818" s="13" t="s">
        <v>529</v>
      </c>
      <c r="F818" s="12">
        <v>2</v>
      </c>
      <c r="G818" s="12">
        <v>100840.33</v>
      </c>
      <c r="H818" s="35">
        <v>46147.398143344908</v>
      </c>
    </row>
    <row r="819" spans="2:8" x14ac:dyDescent="0.2">
      <c r="B819" s="32">
        <v>46009</v>
      </c>
      <c r="C819" t="s">
        <v>109</v>
      </c>
      <c r="D819" t="s">
        <v>196</v>
      </c>
      <c r="E819" s="13" t="s">
        <v>530</v>
      </c>
      <c r="F819" s="12">
        <v>2</v>
      </c>
      <c r="G819" s="12">
        <v>92436.97</v>
      </c>
      <c r="H819" s="35">
        <v>46147.398143344908</v>
      </c>
    </row>
    <row r="820" spans="2:8" x14ac:dyDescent="0.2">
      <c r="B820" s="32">
        <v>46009</v>
      </c>
      <c r="C820" t="s">
        <v>109</v>
      </c>
      <c r="D820" t="s">
        <v>1601</v>
      </c>
      <c r="E820" s="13" t="s">
        <v>529</v>
      </c>
      <c r="F820" s="12">
        <v>2</v>
      </c>
      <c r="G820" s="12">
        <v>75630.25</v>
      </c>
      <c r="H820" s="35">
        <v>46147.398143344908</v>
      </c>
    </row>
    <row r="821" spans="2:8" x14ac:dyDescent="0.2">
      <c r="B821" s="32">
        <v>46009</v>
      </c>
      <c r="C821" t="s">
        <v>109</v>
      </c>
      <c r="D821" t="s">
        <v>180</v>
      </c>
      <c r="E821" s="13"/>
      <c r="F821" s="12">
        <v>2</v>
      </c>
      <c r="G821" s="12">
        <v>58823.53</v>
      </c>
      <c r="H821" s="35">
        <v>46147.398143344908</v>
      </c>
    </row>
    <row r="822" spans="2:8" x14ac:dyDescent="0.2">
      <c r="B822" s="32">
        <v>46009</v>
      </c>
      <c r="C822" t="s">
        <v>109</v>
      </c>
      <c r="D822" t="s">
        <v>180</v>
      </c>
      <c r="E822" s="13" t="s">
        <v>529</v>
      </c>
      <c r="F822" s="12">
        <v>2</v>
      </c>
      <c r="G822" s="12">
        <v>58823.519999999997</v>
      </c>
      <c r="H822" s="35">
        <v>46147.398143344908</v>
      </c>
    </row>
    <row r="823" spans="2:8" x14ac:dyDescent="0.2">
      <c r="B823" s="32">
        <v>46010</v>
      </c>
      <c r="C823" t="s">
        <v>140</v>
      </c>
      <c r="D823" t="s">
        <v>256</v>
      </c>
      <c r="E823" s="13" t="s">
        <v>530</v>
      </c>
      <c r="F823" s="12">
        <v>2</v>
      </c>
      <c r="G823" s="12">
        <v>109243.7</v>
      </c>
      <c r="H823" s="35">
        <v>46147.398143344908</v>
      </c>
    </row>
    <row r="824" spans="2:8" x14ac:dyDescent="0.2">
      <c r="B824" s="32">
        <v>46010</v>
      </c>
      <c r="C824" t="s">
        <v>140</v>
      </c>
      <c r="D824" t="s">
        <v>258</v>
      </c>
      <c r="E824" s="13" t="s">
        <v>530</v>
      </c>
      <c r="F824" s="12">
        <v>2</v>
      </c>
      <c r="G824" s="12">
        <v>92436.97</v>
      </c>
      <c r="H824" s="35">
        <v>46147.398143344908</v>
      </c>
    </row>
    <row r="825" spans="2:8" x14ac:dyDescent="0.2">
      <c r="B825" s="32">
        <v>46010</v>
      </c>
      <c r="C825" t="s">
        <v>109</v>
      </c>
      <c r="D825" t="s">
        <v>142</v>
      </c>
      <c r="E825" s="13" t="s">
        <v>529</v>
      </c>
      <c r="F825" s="12">
        <v>5</v>
      </c>
      <c r="G825" s="12">
        <v>238655.46</v>
      </c>
      <c r="H825" s="35">
        <v>46147.398143344908</v>
      </c>
    </row>
    <row r="826" spans="2:8" x14ac:dyDescent="0.2">
      <c r="B826" s="32">
        <v>46010</v>
      </c>
      <c r="C826" t="s">
        <v>109</v>
      </c>
      <c r="D826" t="s">
        <v>194</v>
      </c>
      <c r="E826" s="13" t="s">
        <v>530</v>
      </c>
      <c r="F826" s="12">
        <v>4</v>
      </c>
      <c r="G826" s="12">
        <v>184873.95</v>
      </c>
      <c r="H826" s="35">
        <v>46147.398143344908</v>
      </c>
    </row>
    <row r="827" spans="2:8" x14ac:dyDescent="0.2">
      <c r="B827" s="32">
        <v>46010</v>
      </c>
      <c r="C827" t="s">
        <v>109</v>
      </c>
      <c r="D827" t="s">
        <v>143</v>
      </c>
      <c r="E827" s="13" t="s">
        <v>529</v>
      </c>
      <c r="F827" s="12">
        <v>6</v>
      </c>
      <c r="G827" s="12">
        <v>176470.57</v>
      </c>
      <c r="H827" s="35">
        <v>46147.398143344908</v>
      </c>
    </row>
    <row r="828" spans="2:8" x14ac:dyDescent="0.2">
      <c r="B828" s="32">
        <v>46010</v>
      </c>
      <c r="C828" t="s">
        <v>109</v>
      </c>
      <c r="D828" t="s">
        <v>632</v>
      </c>
      <c r="E828" s="13" t="s">
        <v>529</v>
      </c>
      <c r="F828" s="12">
        <v>3</v>
      </c>
      <c r="G828" s="12">
        <v>163865.54999999999</v>
      </c>
      <c r="H828" s="35">
        <v>46147.398143344908</v>
      </c>
    </row>
    <row r="829" spans="2:8" x14ac:dyDescent="0.2">
      <c r="B829" s="32">
        <v>46010</v>
      </c>
      <c r="C829" t="s">
        <v>109</v>
      </c>
      <c r="D829" t="s">
        <v>147</v>
      </c>
      <c r="E829" s="13" t="s">
        <v>530</v>
      </c>
      <c r="F829" s="12">
        <v>2</v>
      </c>
      <c r="G829" s="12">
        <v>142857.14000000001</v>
      </c>
      <c r="H829" s="35">
        <v>46147.398143344908</v>
      </c>
    </row>
    <row r="830" spans="2:8" x14ac:dyDescent="0.2">
      <c r="B830" s="32">
        <v>46010</v>
      </c>
      <c r="C830" t="s">
        <v>109</v>
      </c>
      <c r="D830" t="s">
        <v>164</v>
      </c>
      <c r="E830" s="13" t="s">
        <v>529</v>
      </c>
      <c r="F830" s="12">
        <v>3</v>
      </c>
      <c r="G830" s="12">
        <v>126050.42</v>
      </c>
      <c r="H830" s="35">
        <v>46147.398143344908</v>
      </c>
    </row>
    <row r="831" spans="2:8" x14ac:dyDescent="0.2">
      <c r="B831" s="32">
        <v>46010</v>
      </c>
      <c r="C831" t="s">
        <v>109</v>
      </c>
      <c r="D831" t="s">
        <v>1624</v>
      </c>
      <c r="E831" s="13" t="s">
        <v>529</v>
      </c>
      <c r="F831" s="12">
        <v>3</v>
      </c>
      <c r="G831" s="12">
        <v>126050.41</v>
      </c>
      <c r="H831" s="35">
        <v>46147.398143344908</v>
      </c>
    </row>
    <row r="832" spans="2:8" x14ac:dyDescent="0.2">
      <c r="B832" s="32">
        <v>46010</v>
      </c>
      <c r="C832" t="s">
        <v>109</v>
      </c>
      <c r="D832" t="s">
        <v>1604</v>
      </c>
      <c r="E832" s="13" t="s">
        <v>530</v>
      </c>
      <c r="F832" s="12">
        <v>3</v>
      </c>
      <c r="G832" s="12">
        <v>113445.39</v>
      </c>
      <c r="H832" s="35">
        <v>46147.398143344908</v>
      </c>
    </row>
    <row r="833" spans="2:8" x14ac:dyDescent="0.2">
      <c r="B833" s="32">
        <v>46010</v>
      </c>
      <c r="C833" t="s">
        <v>109</v>
      </c>
      <c r="D833" t="s">
        <v>232</v>
      </c>
      <c r="E833" s="13" t="s">
        <v>530</v>
      </c>
      <c r="F833" s="12">
        <v>3</v>
      </c>
      <c r="G833" s="12">
        <v>113445.39</v>
      </c>
      <c r="H833" s="35">
        <v>46147.398143344908</v>
      </c>
    </row>
    <row r="834" spans="2:8" x14ac:dyDescent="0.2">
      <c r="B834" s="32">
        <v>46010</v>
      </c>
      <c r="C834" t="s">
        <v>109</v>
      </c>
      <c r="D834" t="s">
        <v>1539</v>
      </c>
      <c r="E834" s="13" t="s">
        <v>530</v>
      </c>
      <c r="F834" s="12">
        <v>3</v>
      </c>
      <c r="G834" s="12">
        <v>113445.37</v>
      </c>
      <c r="H834" s="35">
        <v>46147.398143344908</v>
      </c>
    </row>
    <row r="835" spans="2:8" x14ac:dyDescent="0.2">
      <c r="B835" s="32">
        <v>46010</v>
      </c>
      <c r="C835" t="s">
        <v>109</v>
      </c>
      <c r="D835" t="s">
        <v>210</v>
      </c>
      <c r="E835" s="13" t="s">
        <v>530</v>
      </c>
      <c r="F835" s="12">
        <v>2</v>
      </c>
      <c r="G835" s="12">
        <v>109243.69</v>
      </c>
      <c r="H835" s="35">
        <v>46147.398143344908</v>
      </c>
    </row>
    <row r="836" spans="2:8" x14ac:dyDescent="0.2">
      <c r="B836" s="32">
        <v>46010</v>
      </c>
      <c r="C836" t="s">
        <v>109</v>
      </c>
      <c r="D836" t="s">
        <v>346</v>
      </c>
      <c r="E836" s="13" t="s">
        <v>529</v>
      </c>
      <c r="F836" s="12">
        <v>2</v>
      </c>
      <c r="G836" s="12">
        <v>92436.98</v>
      </c>
      <c r="H836" s="35">
        <v>46147.398143344908</v>
      </c>
    </row>
    <row r="837" spans="2:8" x14ac:dyDescent="0.2">
      <c r="B837" s="32">
        <v>46010</v>
      </c>
      <c r="C837" t="s">
        <v>109</v>
      </c>
      <c r="D837" t="s">
        <v>193</v>
      </c>
      <c r="E837" s="13"/>
      <c r="F837" s="12">
        <v>2</v>
      </c>
      <c r="G837" s="12">
        <v>92436.98</v>
      </c>
      <c r="H837" s="35">
        <v>46147.398143344908</v>
      </c>
    </row>
    <row r="838" spans="2:8" x14ac:dyDescent="0.2">
      <c r="B838" s="32">
        <v>46010</v>
      </c>
      <c r="C838" t="s">
        <v>109</v>
      </c>
      <c r="D838" t="s">
        <v>294</v>
      </c>
      <c r="E838" s="13" t="s">
        <v>530</v>
      </c>
      <c r="F838" s="12">
        <v>2</v>
      </c>
      <c r="G838" s="12">
        <v>92436.97</v>
      </c>
      <c r="H838" s="35">
        <v>46147.398143344908</v>
      </c>
    </row>
    <row r="839" spans="2:8" x14ac:dyDescent="0.2">
      <c r="B839" s="32">
        <v>46010</v>
      </c>
      <c r="C839" t="s">
        <v>109</v>
      </c>
      <c r="D839" t="s">
        <v>151</v>
      </c>
      <c r="E839" s="13" t="s">
        <v>530</v>
      </c>
      <c r="F839" s="12">
        <v>2</v>
      </c>
      <c r="G839" s="12">
        <v>92436.97</v>
      </c>
      <c r="H839" s="35">
        <v>46147.398143344908</v>
      </c>
    </row>
    <row r="840" spans="2:8" x14ac:dyDescent="0.2">
      <c r="B840" s="32">
        <v>46010</v>
      </c>
      <c r="C840" t="s">
        <v>109</v>
      </c>
      <c r="D840" t="s">
        <v>168</v>
      </c>
      <c r="E840" s="13" t="s">
        <v>529</v>
      </c>
      <c r="F840" s="12">
        <v>2</v>
      </c>
      <c r="G840" s="12">
        <v>92436.97</v>
      </c>
      <c r="H840" s="35">
        <v>46147.398143344908</v>
      </c>
    </row>
    <row r="841" spans="2:8" x14ac:dyDescent="0.2">
      <c r="B841" s="32">
        <v>46010</v>
      </c>
      <c r="C841" t="s">
        <v>109</v>
      </c>
      <c r="D841" t="s">
        <v>168</v>
      </c>
      <c r="E841" s="13" t="s">
        <v>530</v>
      </c>
      <c r="F841" s="12">
        <v>2</v>
      </c>
      <c r="G841" s="12">
        <v>92436.97</v>
      </c>
      <c r="H841" s="35">
        <v>46147.398143344908</v>
      </c>
    </row>
    <row r="842" spans="2:8" x14ac:dyDescent="0.2">
      <c r="B842" s="32">
        <v>46010</v>
      </c>
      <c r="C842" t="s">
        <v>109</v>
      </c>
      <c r="D842" t="s">
        <v>166</v>
      </c>
      <c r="E842" s="13" t="s">
        <v>529</v>
      </c>
      <c r="F842" s="12">
        <v>3</v>
      </c>
      <c r="G842" s="12">
        <v>84033.61</v>
      </c>
      <c r="H842" s="35">
        <v>46147.398143344908</v>
      </c>
    </row>
    <row r="843" spans="2:8" x14ac:dyDescent="0.2">
      <c r="B843" s="32">
        <v>46010</v>
      </c>
      <c r="C843" t="s">
        <v>109</v>
      </c>
      <c r="D843" t="s">
        <v>146</v>
      </c>
      <c r="E843" s="13" t="s">
        <v>530</v>
      </c>
      <c r="F843" s="12">
        <v>2</v>
      </c>
      <c r="G843" s="12">
        <v>75630.259999999995</v>
      </c>
      <c r="H843" s="35">
        <v>46147.398143344908</v>
      </c>
    </row>
    <row r="844" spans="2:8" x14ac:dyDescent="0.2">
      <c r="B844" s="32">
        <v>46010</v>
      </c>
      <c r="C844" t="s">
        <v>109</v>
      </c>
      <c r="D844" t="s">
        <v>531</v>
      </c>
      <c r="E844" s="13" t="s">
        <v>530</v>
      </c>
      <c r="F844" s="12">
        <v>20</v>
      </c>
      <c r="G844" s="12">
        <v>58823.53</v>
      </c>
      <c r="H844" s="35">
        <v>46147.398143344908</v>
      </c>
    </row>
    <row r="845" spans="2:8" x14ac:dyDescent="0.2">
      <c r="B845" s="32">
        <v>46010</v>
      </c>
      <c r="C845" t="s">
        <v>109</v>
      </c>
      <c r="D845" t="s">
        <v>143</v>
      </c>
      <c r="E845" s="13" t="s">
        <v>530</v>
      </c>
      <c r="F845" s="12">
        <v>2</v>
      </c>
      <c r="G845" s="12">
        <v>58823.53</v>
      </c>
      <c r="H845" s="35">
        <v>46147.398143344908</v>
      </c>
    </row>
    <row r="846" spans="2:8" x14ac:dyDescent="0.2">
      <c r="B846" s="32">
        <v>46010</v>
      </c>
      <c r="C846" t="s">
        <v>109</v>
      </c>
      <c r="D846" t="s">
        <v>180</v>
      </c>
      <c r="E846" s="13" t="s">
        <v>530</v>
      </c>
      <c r="F846" s="12">
        <v>2</v>
      </c>
      <c r="G846" s="12">
        <v>58823.53</v>
      </c>
      <c r="H846" s="35">
        <v>46147.398143344908</v>
      </c>
    </row>
    <row r="847" spans="2:8" x14ac:dyDescent="0.2">
      <c r="B847" s="32">
        <v>46011</v>
      </c>
      <c r="C847" t="s">
        <v>109</v>
      </c>
      <c r="E847" s="13" t="s">
        <v>529</v>
      </c>
      <c r="F847" s="12">
        <v>4</v>
      </c>
      <c r="G847" s="12">
        <v>388235.29</v>
      </c>
      <c r="H847" s="35">
        <v>46147.398143344908</v>
      </c>
    </row>
    <row r="848" spans="2:8" x14ac:dyDescent="0.2">
      <c r="B848" s="32">
        <v>46011</v>
      </c>
      <c r="C848" t="s">
        <v>109</v>
      </c>
      <c r="D848" t="s">
        <v>238</v>
      </c>
      <c r="E848" s="13" t="s">
        <v>529</v>
      </c>
      <c r="F848" s="12">
        <v>8</v>
      </c>
      <c r="G848" s="12">
        <v>369747.92</v>
      </c>
      <c r="H848" s="35">
        <v>46147.398143344908</v>
      </c>
    </row>
    <row r="849" spans="2:8" x14ac:dyDescent="0.2">
      <c r="B849" s="32">
        <v>46011</v>
      </c>
      <c r="C849" t="s">
        <v>109</v>
      </c>
      <c r="D849" t="s">
        <v>166</v>
      </c>
      <c r="E849" s="13" t="s">
        <v>529</v>
      </c>
      <c r="F849" s="12">
        <v>7</v>
      </c>
      <c r="G849" s="12">
        <v>323529.40000000002</v>
      </c>
      <c r="H849" s="35">
        <v>46147.398143344908</v>
      </c>
    </row>
    <row r="850" spans="2:8" x14ac:dyDescent="0.2">
      <c r="B850" s="32">
        <v>46011</v>
      </c>
      <c r="C850" t="s">
        <v>109</v>
      </c>
      <c r="D850" t="s">
        <v>325</v>
      </c>
      <c r="E850" s="13" t="s">
        <v>529</v>
      </c>
      <c r="F850" s="12">
        <v>7</v>
      </c>
      <c r="G850" s="12">
        <v>245000</v>
      </c>
      <c r="H850" s="35">
        <v>46147.398143344908</v>
      </c>
    </row>
    <row r="851" spans="2:8" x14ac:dyDescent="0.2">
      <c r="B851" s="32">
        <v>46011</v>
      </c>
      <c r="C851" t="s">
        <v>109</v>
      </c>
      <c r="D851" t="s">
        <v>180</v>
      </c>
      <c r="E851" s="13" t="s">
        <v>529</v>
      </c>
      <c r="F851" s="12">
        <v>8</v>
      </c>
      <c r="G851" s="12">
        <v>235294.12</v>
      </c>
      <c r="H851" s="35">
        <v>46147.398143344908</v>
      </c>
    </row>
    <row r="852" spans="2:8" x14ac:dyDescent="0.2">
      <c r="B852" s="32">
        <v>46011</v>
      </c>
      <c r="C852" t="s">
        <v>109</v>
      </c>
      <c r="D852" t="s">
        <v>154</v>
      </c>
      <c r="E852" s="13" t="s">
        <v>529</v>
      </c>
      <c r="F852" s="12">
        <v>5</v>
      </c>
      <c r="G852" s="12">
        <v>210084.03</v>
      </c>
      <c r="H852" s="35">
        <v>46147.398143344908</v>
      </c>
    </row>
    <row r="853" spans="2:8" x14ac:dyDescent="0.2">
      <c r="B853" s="32">
        <v>46011</v>
      </c>
      <c r="C853" t="s">
        <v>109</v>
      </c>
      <c r="D853" t="s">
        <v>143</v>
      </c>
      <c r="E853" s="13" t="s">
        <v>529</v>
      </c>
      <c r="F853" s="12">
        <v>6</v>
      </c>
      <c r="G853" s="12">
        <v>176470.58</v>
      </c>
      <c r="H853" s="35">
        <v>46147.398143344908</v>
      </c>
    </row>
    <row r="854" spans="2:8" x14ac:dyDescent="0.2">
      <c r="B854" s="32">
        <v>46011</v>
      </c>
      <c r="C854" t="s">
        <v>109</v>
      </c>
      <c r="D854" t="s">
        <v>142</v>
      </c>
      <c r="E854" s="13" t="s">
        <v>529</v>
      </c>
      <c r="F854" s="12">
        <v>12</v>
      </c>
      <c r="G854" s="12">
        <v>164705.88</v>
      </c>
      <c r="H854" s="35">
        <v>46147.398143344908</v>
      </c>
    </row>
    <row r="855" spans="2:8" x14ac:dyDescent="0.2">
      <c r="B855" s="32">
        <v>46011</v>
      </c>
      <c r="C855" t="s">
        <v>109</v>
      </c>
      <c r="D855" t="s">
        <v>543</v>
      </c>
      <c r="E855" s="13" t="s">
        <v>529</v>
      </c>
      <c r="F855" s="12">
        <v>2</v>
      </c>
      <c r="G855" s="12">
        <v>151260.5</v>
      </c>
      <c r="H855" s="35">
        <v>46147.398143344908</v>
      </c>
    </row>
    <row r="856" spans="2:8" x14ac:dyDescent="0.2">
      <c r="B856" s="32">
        <v>46011</v>
      </c>
      <c r="C856" t="s">
        <v>109</v>
      </c>
      <c r="D856" t="s">
        <v>143</v>
      </c>
      <c r="E856" s="13" t="s">
        <v>530</v>
      </c>
      <c r="F856" s="12">
        <v>5</v>
      </c>
      <c r="G856" s="12">
        <v>147058.82</v>
      </c>
      <c r="H856" s="35">
        <v>46147.398143344908</v>
      </c>
    </row>
    <row r="857" spans="2:8" x14ac:dyDescent="0.2">
      <c r="B857" s="32">
        <v>46011</v>
      </c>
      <c r="C857" t="s">
        <v>109</v>
      </c>
      <c r="D857" t="s">
        <v>187</v>
      </c>
      <c r="E857" s="13" t="s">
        <v>529</v>
      </c>
      <c r="F857" s="12">
        <v>2</v>
      </c>
      <c r="G857" s="12">
        <v>142857.14000000001</v>
      </c>
      <c r="H857" s="35">
        <v>46147.398143344908</v>
      </c>
    </row>
    <row r="858" spans="2:8" x14ac:dyDescent="0.2">
      <c r="B858" s="32">
        <v>46011</v>
      </c>
      <c r="C858" t="s">
        <v>109</v>
      </c>
      <c r="D858" t="s">
        <v>168</v>
      </c>
      <c r="E858" s="13" t="s">
        <v>529</v>
      </c>
      <c r="F858" s="12">
        <v>3</v>
      </c>
      <c r="G858" s="12">
        <v>138655.47</v>
      </c>
      <c r="H858" s="35">
        <v>46147.398143344908</v>
      </c>
    </row>
    <row r="859" spans="2:8" x14ac:dyDescent="0.2">
      <c r="B859" s="32">
        <v>46011</v>
      </c>
      <c r="C859" t="s">
        <v>109</v>
      </c>
      <c r="D859" t="s">
        <v>148</v>
      </c>
      <c r="E859" s="13" t="s">
        <v>529</v>
      </c>
      <c r="F859" s="12">
        <v>3</v>
      </c>
      <c r="G859" s="12">
        <v>138655.47</v>
      </c>
      <c r="H859" s="35">
        <v>46147.398143344908</v>
      </c>
    </row>
    <row r="860" spans="2:8" x14ac:dyDescent="0.2">
      <c r="B860" s="32">
        <v>46011</v>
      </c>
      <c r="C860" t="s">
        <v>109</v>
      </c>
      <c r="D860" t="s">
        <v>194</v>
      </c>
      <c r="E860" s="13" t="s">
        <v>529</v>
      </c>
      <c r="F860" s="12">
        <v>3</v>
      </c>
      <c r="G860" s="12">
        <v>138655.46</v>
      </c>
      <c r="H860" s="35">
        <v>46147.398143344908</v>
      </c>
    </row>
    <row r="861" spans="2:8" x14ac:dyDescent="0.2">
      <c r="B861" s="32">
        <v>46011</v>
      </c>
      <c r="C861" t="s">
        <v>109</v>
      </c>
      <c r="D861" t="s">
        <v>1580</v>
      </c>
      <c r="E861" s="13" t="s">
        <v>529</v>
      </c>
      <c r="F861" s="12">
        <v>3</v>
      </c>
      <c r="G861" s="12">
        <v>126050.42</v>
      </c>
      <c r="H861" s="35">
        <v>46147.398143344908</v>
      </c>
    </row>
    <row r="862" spans="2:8" x14ac:dyDescent="0.2">
      <c r="B862" s="32">
        <v>46011</v>
      </c>
      <c r="C862" t="s">
        <v>109</v>
      </c>
      <c r="D862" t="s">
        <v>1575</v>
      </c>
      <c r="E862" s="13" t="s">
        <v>529</v>
      </c>
      <c r="F862" s="12">
        <v>2</v>
      </c>
      <c r="G862" s="12">
        <v>122689.08</v>
      </c>
      <c r="H862" s="35">
        <v>46147.398143344908</v>
      </c>
    </row>
    <row r="863" spans="2:8" x14ac:dyDescent="0.2">
      <c r="B863" s="32">
        <v>46011</v>
      </c>
      <c r="C863" t="s">
        <v>109</v>
      </c>
      <c r="D863" t="s">
        <v>210</v>
      </c>
      <c r="E863" s="13" t="s">
        <v>530</v>
      </c>
      <c r="F863" s="12">
        <v>2</v>
      </c>
      <c r="G863" s="12">
        <v>109243.7</v>
      </c>
      <c r="H863" s="35">
        <v>46147.398143344908</v>
      </c>
    </row>
    <row r="864" spans="2:8" x14ac:dyDescent="0.2">
      <c r="B864" s="32">
        <v>46011</v>
      </c>
      <c r="C864" t="s">
        <v>109</v>
      </c>
      <c r="D864" t="s">
        <v>344</v>
      </c>
      <c r="E864" s="13" t="s">
        <v>529</v>
      </c>
      <c r="F864" s="12">
        <v>2</v>
      </c>
      <c r="G864" s="12">
        <v>109243.69</v>
      </c>
      <c r="H864" s="35">
        <v>46147.398143344908</v>
      </c>
    </row>
    <row r="865" spans="2:8" x14ac:dyDescent="0.2">
      <c r="B865" s="32">
        <v>46011</v>
      </c>
      <c r="C865" t="s">
        <v>109</v>
      </c>
      <c r="D865" t="s">
        <v>406</v>
      </c>
      <c r="E865" s="13" t="s">
        <v>530</v>
      </c>
      <c r="F865" s="12">
        <v>2</v>
      </c>
      <c r="G865" s="12">
        <v>100840.34</v>
      </c>
      <c r="H865" s="35">
        <v>46147.398143344908</v>
      </c>
    </row>
    <row r="866" spans="2:8" x14ac:dyDescent="0.2">
      <c r="B866" s="32">
        <v>46011</v>
      </c>
      <c r="C866" t="s">
        <v>109</v>
      </c>
      <c r="D866" t="s">
        <v>151</v>
      </c>
      <c r="E866" s="13" t="s">
        <v>529</v>
      </c>
      <c r="F866" s="12">
        <v>2</v>
      </c>
      <c r="G866" s="12">
        <v>92436.98</v>
      </c>
      <c r="H866" s="35">
        <v>46147.398143344908</v>
      </c>
    </row>
    <row r="867" spans="2:8" x14ac:dyDescent="0.2">
      <c r="B867" s="32">
        <v>46011</v>
      </c>
      <c r="C867" t="s">
        <v>109</v>
      </c>
      <c r="D867" t="s">
        <v>193</v>
      </c>
      <c r="E867" s="13" t="s">
        <v>529</v>
      </c>
      <c r="F867" s="12">
        <v>2</v>
      </c>
      <c r="G867" s="12">
        <v>92436.98</v>
      </c>
      <c r="H867" s="35">
        <v>46147.398143344908</v>
      </c>
    </row>
    <row r="868" spans="2:8" x14ac:dyDescent="0.2">
      <c r="B868" s="32">
        <v>46011</v>
      </c>
      <c r="C868" t="s">
        <v>109</v>
      </c>
      <c r="D868" t="s">
        <v>196</v>
      </c>
      <c r="E868" s="13" t="s">
        <v>529</v>
      </c>
      <c r="F868" s="12">
        <v>2</v>
      </c>
      <c r="G868" s="12">
        <v>92436.98</v>
      </c>
      <c r="H868" s="35">
        <v>46147.398143344908</v>
      </c>
    </row>
    <row r="869" spans="2:8" x14ac:dyDescent="0.2">
      <c r="B869" s="32">
        <v>46011</v>
      </c>
      <c r="C869" t="s">
        <v>109</v>
      </c>
      <c r="D869" t="s">
        <v>1624</v>
      </c>
      <c r="E869" s="13" t="s">
        <v>529</v>
      </c>
      <c r="F869" s="12">
        <v>2</v>
      </c>
      <c r="G869" s="12">
        <v>84033.61</v>
      </c>
      <c r="H869" s="35">
        <v>46147.398143344908</v>
      </c>
    </row>
    <row r="870" spans="2:8" x14ac:dyDescent="0.2">
      <c r="B870" s="32">
        <v>46011</v>
      </c>
      <c r="C870" t="s">
        <v>109</v>
      </c>
      <c r="D870" t="s">
        <v>232</v>
      </c>
      <c r="E870" s="13" t="s">
        <v>529</v>
      </c>
      <c r="F870" s="12">
        <v>2</v>
      </c>
      <c r="G870" s="12">
        <v>75630.25</v>
      </c>
      <c r="H870" s="35">
        <v>46147.398143344908</v>
      </c>
    </row>
    <row r="871" spans="2:8" x14ac:dyDescent="0.2">
      <c r="B871" s="32">
        <v>46011</v>
      </c>
      <c r="C871" t="s">
        <v>109</v>
      </c>
      <c r="D871" t="s">
        <v>328</v>
      </c>
      <c r="E871" s="13" t="s">
        <v>530</v>
      </c>
      <c r="F871" s="12">
        <v>2</v>
      </c>
      <c r="G871" s="12">
        <v>75630.240000000005</v>
      </c>
      <c r="H871" s="35">
        <v>46147.398143344908</v>
      </c>
    </row>
    <row r="872" spans="2:8" x14ac:dyDescent="0.2">
      <c r="B872" s="32">
        <v>46011</v>
      </c>
      <c r="C872" t="s">
        <v>109</v>
      </c>
      <c r="D872" t="s">
        <v>142</v>
      </c>
      <c r="E872" s="13"/>
      <c r="F872" s="12">
        <v>2</v>
      </c>
      <c r="G872" s="12">
        <v>70588.240000000005</v>
      </c>
      <c r="H872" s="35">
        <v>46147.398143344908</v>
      </c>
    </row>
    <row r="873" spans="2:8" x14ac:dyDescent="0.2">
      <c r="B873" s="32">
        <v>46012</v>
      </c>
      <c r="C873" t="s">
        <v>140</v>
      </c>
      <c r="D873" t="s">
        <v>1531</v>
      </c>
      <c r="E873" s="13" t="s">
        <v>530</v>
      </c>
      <c r="F873" s="12">
        <v>2</v>
      </c>
      <c r="G873" s="12">
        <v>109243.7</v>
      </c>
      <c r="H873" s="35">
        <v>46147.398143344908</v>
      </c>
    </row>
    <row r="874" spans="2:8" x14ac:dyDescent="0.2">
      <c r="B874" s="32">
        <v>46012</v>
      </c>
      <c r="C874" t="s">
        <v>109</v>
      </c>
      <c r="E874" s="13" t="s">
        <v>530</v>
      </c>
      <c r="F874" s="12">
        <v>7</v>
      </c>
      <c r="G874" s="12">
        <v>773109.25</v>
      </c>
      <c r="H874" s="35">
        <v>46147.398143344908</v>
      </c>
    </row>
    <row r="875" spans="2:8" x14ac:dyDescent="0.2">
      <c r="B875" s="32">
        <v>46012</v>
      </c>
      <c r="C875" t="s">
        <v>109</v>
      </c>
      <c r="E875" s="13" t="s">
        <v>529</v>
      </c>
      <c r="F875" s="12">
        <v>4</v>
      </c>
      <c r="G875" s="12">
        <v>365546.22</v>
      </c>
      <c r="H875" s="35">
        <v>46147.398143344908</v>
      </c>
    </row>
    <row r="876" spans="2:8" x14ac:dyDescent="0.2">
      <c r="B876" s="32">
        <v>46012</v>
      </c>
      <c r="C876" t="s">
        <v>109</v>
      </c>
      <c r="D876" t="s">
        <v>142</v>
      </c>
      <c r="E876" s="13" t="s">
        <v>530</v>
      </c>
      <c r="F876" s="12">
        <v>5</v>
      </c>
      <c r="G876" s="12">
        <v>285714.28000000003</v>
      </c>
      <c r="H876" s="35">
        <v>46147.398143344908</v>
      </c>
    </row>
    <row r="877" spans="2:8" x14ac:dyDescent="0.2">
      <c r="B877" s="32">
        <v>46012</v>
      </c>
      <c r="C877" t="s">
        <v>109</v>
      </c>
      <c r="D877" t="s">
        <v>149</v>
      </c>
      <c r="E877" s="13" t="s">
        <v>530</v>
      </c>
      <c r="F877" s="12">
        <v>6</v>
      </c>
      <c r="G877" s="12">
        <v>277310.93</v>
      </c>
      <c r="H877" s="35">
        <v>46147.398143344908</v>
      </c>
    </row>
    <row r="878" spans="2:8" x14ac:dyDescent="0.2">
      <c r="B878" s="32">
        <v>46012</v>
      </c>
      <c r="C878" t="s">
        <v>109</v>
      </c>
      <c r="D878" t="s">
        <v>396</v>
      </c>
      <c r="E878" s="13" t="s">
        <v>530</v>
      </c>
      <c r="F878" s="12">
        <v>5</v>
      </c>
      <c r="G878" s="12">
        <v>273109.24</v>
      </c>
      <c r="H878" s="35">
        <v>46147.398143344908</v>
      </c>
    </row>
    <row r="879" spans="2:8" x14ac:dyDescent="0.2">
      <c r="B879" s="32">
        <v>46012</v>
      </c>
      <c r="C879" t="s">
        <v>109</v>
      </c>
      <c r="D879" t="s">
        <v>1580</v>
      </c>
      <c r="E879" s="13" t="s">
        <v>529</v>
      </c>
      <c r="F879" s="12">
        <v>4</v>
      </c>
      <c r="G879" s="12">
        <v>168067.23</v>
      </c>
      <c r="H879" s="35">
        <v>46147.398143344908</v>
      </c>
    </row>
    <row r="880" spans="2:8" x14ac:dyDescent="0.2">
      <c r="B880" s="32">
        <v>46012</v>
      </c>
      <c r="C880" t="s">
        <v>109</v>
      </c>
      <c r="D880" t="s">
        <v>143</v>
      </c>
      <c r="E880" s="13" t="s">
        <v>530</v>
      </c>
      <c r="F880" s="12">
        <v>5</v>
      </c>
      <c r="G880" s="12">
        <v>152647.04999999999</v>
      </c>
      <c r="H880" s="35">
        <v>46147.398143344908</v>
      </c>
    </row>
    <row r="881" spans="2:8" x14ac:dyDescent="0.2">
      <c r="B881" s="32">
        <v>46012</v>
      </c>
      <c r="C881" t="s">
        <v>109</v>
      </c>
      <c r="D881" t="s">
        <v>238</v>
      </c>
      <c r="E881" s="13" t="s">
        <v>529</v>
      </c>
      <c r="F881" s="12">
        <v>3</v>
      </c>
      <c r="G881" s="12">
        <v>138655.46</v>
      </c>
      <c r="H881" s="35">
        <v>46147.398143344908</v>
      </c>
    </row>
    <row r="882" spans="2:8" x14ac:dyDescent="0.2">
      <c r="B882" s="32">
        <v>46012</v>
      </c>
      <c r="C882" t="s">
        <v>109</v>
      </c>
      <c r="D882" t="s">
        <v>1624</v>
      </c>
      <c r="E882" s="13" t="s">
        <v>529</v>
      </c>
      <c r="F882" s="12">
        <v>3</v>
      </c>
      <c r="G882" s="12">
        <v>126050.42</v>
      </c>
      <c r="H882" s="35">
        <v>46147.398143344908</v>
      </c>
    </row>
    <row r="883" spans="2:8" x14ac:dyDescent="0.2">
      <c r="B883" s="32">
        <v>46012</v>
      </c>
      <c r="C883" t="s">
        <v>109</v>
      </c>
      <c r="D883" t="s">
        <v>346</v>
      </c>
      <c r="E883" s="13" t="s">
        <v>530</v>
      </c>
      <c r="F883" s="12">
        <v>2</v>
      </c>
      <c r="G883" s="12">
        <v>92436.98</v>
      </c>
      <c r="H883" s="35">
        <v>46147.398143344908</v>
      </c>
    </row>
    <row r="884" spans="2:8" x14ac:dyDescent="0.2">
      <c r="B884" s="32">
        <v>46012</v>
      </c>
      <c r="C884" t="s">
        <v>109</v>
      </c>
      <c r="D884" t="s">
        <v>194</v>
      </c>
      <c r="E884" s="13" t="s">
        <v>529</v>
      </c>
      <c r="F884" s="12">
        <v>2</v>
      </c>
      <c r="G884" s="12">
        <v>92436.98</v>
      </c>
      <c r="H884" s="35">
        <v>46147.398143344908</v>
      </c>
    </row>
    <row r="885" spans="2:8" x14ac:dyDescent="0.2">
      <c r="B885" s="32">
        <v>46012</v>
      </c>
      <c r="C885" t="s">
        <v>109</v>
      </c>
      <c r="D885" t="s">
        <v>223</v>
      </c>
      <c r="E885" s="13" t="s">
        <v>530</v>
      </c>
      <c r="F885" s="12">
        <v>2</v>
      </c>
      <c r="G885" s="12">
        <v>92436.98</v>
      </c>
      <c r="H885" s="35">
        <v>46147.398143344908</v>
      </c>
    </row>
    <row r="886" spans="2:8" x14ac:dyDescent="0.2">
      <c r="B886" s="32">
        <v>46012</v>
      </c>
      <c r="C886" t="s">
        <v>109</v>
      </c>
      <c r="D886" t="s">
        <v>232</v>
      </c>
      <c r="E886" s="13"/>
      <c r="F886" s="12">
        <v>2</v>
      </c>
      <c r="G886" s="12">
        <v>75630.25</v>
      </c>
      <c r="H886" s="35">
        <v>46147.398143344908</v>
      </c>
    </row>
    <row r="887" spans="2:8" x14ac:dyDescent="0.2">
      <c r="B887" s="32">
        <v>46012</v>
      </c>
      <c r="C887" t="s">
        <v>109</v>
      </c>
      <c r="D887" t="s">
        <v>325</v>
      </c>
      <c r="E887" s="13" t="s">
        <v>530</v>
      </c>
      <c r="F887" s="12">
        <v>2</v>
      </c>
      <c r="G887" s="12">
        <v>70000</v>
      </c>
      <c r="H887" s="35">
        <v>46147.398143344908</v>
      </c>
    </row>
    <row r="888" spans="2:8" x14ac:dyDescent="0.2">
      <c r="B888" s="32">
        <v>46012</v>
      </c>
      <c r="C888" t="s">
        <v>109</v>
      </c>
      <c r="D888" t="s">
        <v>142</v>
      </c>
      <c r="E888" s="13" t="s">
        <v>529</v>
      </c>
      <c r="F888" s="12">
        <v>2</v>
      </c>
      <c r="G888" s="12">
        <v>60504.2</v>
      </c>
      <c r="H888" s="35">
        <v>46147.398143344908</v>
      </c>
    </row>
    <row r="889" spans="2:8" x14ac:dyDescent="0.2">
      <c r="B889" s="32">
        <v>46012</v>
      </c>
      <c r="C889" t="s">
        <v>109</v>
      </c>
      <c r="D889" t="s">
        <v>178</v>
      </c>
      <c r="E889" s="13" t="s">
        <v>529</v>
      </c>
      <c r="F889" s="12">
        <v>2</v>
      </c>
      <c r="G889" s="12">
        <v>33613.449999999997</v>
      </c>
      <c r="H889" s="35">
        <v>46147.398143344908</v>
      </c>
    </row>
    <row r="890" spans="2:8" x14ac:dyDescent="0.2">
      <c r="B890" s="32">
        <v>46012</v>
      </c>
      <c r="C890" t="s">
        <v>109</v>
      </c>
      <c r="D890" t="s">
        <v>1546</v>
      </c>
      <c r="E890" s="13" t="s">
        <v>529</v>
      </c>
      <c r="F890" s="12">
        <v>4</v>
      </c>
      <c r="G890" s="12">
        <v>29915.97</v>
      </c>
      <c r="H890" s="35">
        <v>46147.398143344908</v>
      </c>
    </row>
    <row r="891" spans="2:8" x14ac:dyDescent="0.2">
      <c r="B891" s="32">
        <v>46013</v>
      </c>
      <c r="C891" t="s">
        <v>108</v>
      </c>
      <c r="D891" t="s">
        <v>390</v>
      </c>
      <c r="E891" s="13" t="s">
        <v>529</v>
      </c>
      <c r="F891" s="12">
        <v>100</v>
      </c>
      <c r="G891" s="12">
        <v>6386554.6200000001</v>
      </c>
      <c r="H891" s="35">
        <v>46147.398143344908</v>
      </c>
    </row>
    <row r="892" spans="2:8" x14ac:dyDescent="0.2">
      <c r="B892" s="32">
        <v>46013</v>
      </c>
      <c r="C892" t="s">
        <v>109</v>
      </c>
      <c r="E892" s="13" t="s">
        <v>530</v>
      </c>
      <c r="F892" s="12">
        <v>4</v>
      </c>
      <c r="G892" s="12">
        <v>483193.27</v>
      </c>
      <c r="H892" s="35">
        <v>46147.398143344908</v>
      </c>
    </row>
    <row r="893" spans="2:8" x14ac:dyDescent="0.2">
      <c r="B893" s="32">
        <v>46013</v>
      </c>
      <c r="C893" t="s">
        <v>109</v>
      </c>
      <c r="D893" t="s">
        <v>1579</v>
      </c>
      <c r="E893" s="13" t="s">
        <v>529</v>
      </c>
      <c r="F893" s="12">
        <v>3</v>
      </c>
      <c r="G893" s="12">
        <v>277310.92</v>
      </c>
      <c r="H893" s="35">
        <v>46147.398143344908</v>
      </c>
    </row>
    <row r="894" spans="2:8" x14ac:dyDescent="0.2">
      <c r="B894" s="32">
        <v>46013</v>
      </c>
      <c r="C894" t="s">
        <v>109</v>
      </c>
      <c r="D894" t="s">
        <v>243</v>
      </c>
      <c r="E894" s="13" t="s">
        <v>530</v>
      </c>
      <c r="F894" s="12">
        <v>2</v>
      </c>
      <c r="G894" s="12">
        <v>252100.84</v>
      </c>
      <c r="H894" s="35">
        <v>46147.398143344908</v>
      </c>
    </row>
    <row r="895" spans="2:8" x14ac:dyDescent="0.2">
      <c r="B895" s="32">
        <v>46013</v>
      </c>
      <c r="C895" t="s">
        <v>109</v>
      </c>
      <c r="D895" t="s">
        <v>291</v>
      </c>
      <c r="E895" s="13" t="s">
        <v>530</v>
      </c>
      <c r="F895" s="12">
        <v>5</v>
      </c>
      <c r="G895" s="12">
        <v>189075.62</v>
      </c>
      <c r="H895" s="35">
        <v>46147.398143344908</v>
      </c>
    </row>
    <row r="896" spans="2:8" x14ac:dyDescent="0.2">
      <c r="B896" s="32">
        <v>46013</v>
      </c>
      <c r="C896" t="s">
        <v>109</v>
      </c>
      <c r="D896" t="s">
        <v>154</v>
      </c>
      <c r="E896" s="13" t="s">
        <v>530</v>
      </c>
      <c r="F896" s="12">
        <v>4</v>
      </c>
      <c r="G896" s="12">
        <v>168067.23</v>
      </c>
      <c r="H896" s="35">
        <v>46147.398143344908</v>
      </c>
    </row>
    <row r="897" spans="2:8" x14ac:dyDescent="0.2">
      <c r="B897" s="32">
        <v>46013</v>
      </c>
      <c r="C897" t="s">
        <v>109</v>
      </c>
      <c r="D897" t="s">
        <v>154</v>
      </c>
      <c r="E897" s="13" t="s">
        <v>529</v>
      </c>
      <c r="F897" s="12">
        <v>4</v>
      </c>
      <c r="G897" s="12">
        <v>168067.22</v>
      </c>
      <c r="H897" s="35">
        <v>46147.398143344908</v>
      </c>
    </row>
    <row r="898" spans="2:8" x14ac:dyDescent="0.2">
      <c r="B898" s="32">
        <v>46013</v>
      </c>
      <c r="C898" t="s">
        <v>109</v>
      </c>
      <c r="D898" t="s">
        <v>262</v>
      </c>
      <c r="E898" s="13" t="s">
        <v>529</v>
      </c>
      <c r="F898" s="12">
        <v>2</v>
      </c>
      <c r="G898" s="12">
        <v>151260.5</v>
      </c>
      <c r="H898" s="35">
        <v>46147.398143344908</v>
      </c>
    </row>
    <row r="899" spans="2:8" x14ac:dyDescent="0.2">
      <c r="B899" s="32">
        <v>46013</v>
      </c>
      <c r="C899" t="s">
        <v>109</v>
      </c>
      <c r="D899" t="s">
        <v>359</v>
      </c>
      <c r="E899" s="13" t="s">
        <v>530</v>
      </c>
      <c r="F899" s="12">
        <v>2</v>
      </c>
      <c r="G899" s="12">
        <v>151260.5</v>
      </c>
      <c r="H899" s="35">
        <v>46147.398143344908</v>
      </c>
    </row>
    <row r="900" spans="2:8" x14ac:dyDescent="0.2">
      <c r="B900" s="32">
        <v>46013</v>
      </c>
      <c r="C900" t="s">
        <v>109</v>
      </c>
      <c r="D900" t="s">
        <v>143</v>
      </c>
      <c r="E900" s="13" t="s">
        <v>530</v>
      </c>
      <c r="F900" s="12">
        <v>5</v>
      </c>
      <c r="G900" s="12">
        <v>147058.81</v>
      </c>
      <c r="H900" s="35">
        <v>46147.398143344908</v>
      </c>
    </row>
    <row r="901" spans="2:8" x14ac:dyDescent="0.2">
      <c r="B901" s="32">
        <v>46013</v>
      </c>
      <c r="C901" t="s">
        <v>109</v>
      </c>
      <c r="D901" t="s">
        <v>502</v>
      </c>
      <c r="E901" s="13" t="s">
        <v>529</v>
      </c>
      <c r="F901" s="12">
        <v>2</v>
      </c>
      <c r="G901" s="12">
        <v>142857.14000000001</v>
      </c>
      <c r="H901" s="35">
        <v>46147.398143344908</v>
      </c>
    </row>
    <row r="902" spans="2:8" x14ac:dyDescent="0.2">
      <c r="B902" s="32">
        <v>46013</v>
      </c>
      <c r="C902" t="s">
        <v>109</v>
      </c>
      <c r="D902" t="s">
        <v>166</v>
      </c>
      <c r="E902" s="13" t="s">
        <v>529</v>
      </c>
      <c r="F902" s="12">
        <v>3</v>
      </c>
      <c r="G902" s="12">
        <v>138655.45000000001</v>
      </c>
      <c r="H902" s="35">
        <v>46147.398143344908</v>
      </c>
    </row>
    <row r="903" spans="2:8" x14ac:dyDescent="0.2">
      <c r="B903" s="32">
        <v>46013</v>
      </c>
      <c r="C903" t="s">
        <v>109</v>
      </c>
      <c r="D903" t="s">
        <v>598</v>
      </c>
      <c r="E903" s="13" t="s">
        <v>529</v>
      </c>
      <c r="F903" s="12">
        <v>2</v>
      </c>
      <c r="G903" s="12">
        <v>92436.98</v>
      </c>
      <c r="H903" s="35">
        <v>46147.398143344908</v>
      </c>
    </row>
    <row r="904" spans="2:8" x14ac:dyDescent="0.2">
      <c r="B904" s="32">
        <v>46013</v>
      </c>
      <c r="C904" t="s">
        <v>109</v>
      </c>
      <c r="D904" t="s">
        <v>148</v>
      </c>
      <c r="E904" s="13" t="s">
        <v>529</v>
      </c>
      <c r="F904" s="12">
        <v>2</v>
      </c>
      <c r="G904" s="12">
        <v>92436.98</v>
      </c>
      <c r="H904" s="35">
        <v>46147.398143344908</v>
      </c>
    </row>
    <row r="905" spans="2:8" x14ac:dyDescent="0.2">
      <c r="B905" s="32">
        <v>46013</v>
      </c>
      <c r="C905" t="s">
        <v>109</v>
      </c>
      <c r="D905" t="s">
        <v>151</v>
      </c>
      <c r="E905" s="13" t="s">
        <v>529</v>
      </c>
      <c r="F905" s="12">
        <v>2</v>
      </c>
      <c r="G905" s="12">
        <v>92436.96</v>
      </c>
      <c r="H905" s="35">
        <v>46147.398143344908</v>
      </c>
    </row>
    <row r="906" spans="2:8" x14ac:dyDescent="0.2">
      <c r="B906" s="32">
        <v>46013</v>
      </c>
      <c r="C906" t="s">
        <v>109</v>
      </c>
      <c r="D906" t="s">
        <v>201</v>
      </c>
      <c r="E906" s="13"/>
      <c r="F906" s="12">
        <v>2</v>
      </c>
      <c r="G906" s="12">
        <v>84033.62</v>
      </c>
      <c r="H906" s="35">
        <v>46147.398143344908</v>
      </c>
    </row>
    <row r="907" spans="2:8" x14ac:dyDescent="0.2">
      <c r="B907" s="32">
        <v>46013</v>
      </c>
      <c r="C907" t="s">
        <v>109</v>
      </c>
      <c r="D907" t="s">
        <v>201</v>
      </c>
      <c r="E907" s="13" t="s">
        <v>529</v>
      </c>
      <c r="F907" s="12">
        <v>2</v>
      </c>
      <c r="G907" s="12">
        <v>84033.600000000006</v>
      </c>
      <c r="H907" s="35">
        <v>46147.398143344908</v>
      </c>
    </row>
    <row r="908" spans="2:8" x14ac:dyDescent="0.2">
      <c r="B908" s="32">
        <v>46013</v>
      </c>
      <c r="C908" t="s">
        <v>109</v>
      </c>
      <c r="D908" t="s">
        <v>298</v>
      </c>
      <c r="E908" s="13" t="s">
        <v>529</v>
      </c>
      <c r="F908" s="12">
        <v>2</v>
      </c>
      <c r="G908" s="12">
        <v>75630.259999999995</v>
      </c>
      <c r="H908" s="35">
        <v>46147.398143344908</v>
      </c>
    </row>
    <row r="909" spans="2:8" x14ac:dyDescent="0.2">
      <c r="B909" s="32">
        <v>46013</v>
      </c>
      <c r="C909" t="s">
        <v>109</v>
      </c>
      <c r="D909" t="s">
        <v>328</v>
      </c>
      <c r="E909" s="13" t="s">
        <v>529</v>
      </c>
      <c r="F909" s="12">
        <v>2</v>
      </c>
      <c r="G909" s="12">
        <v>75630.25</v>
      </c>
      <c r="H909" s="35">
        <v>46147.398143344908</v>
      </c>
    </row>
    <row r="910" spans="2:8" x14ac:dyDescent="0.2">
      <c r="B910" s="32">
        <v>46013</v>
      </c>
      <c r="C910" t="s">
        <v>109</v>
      </c>
      <c r="D910" t="s">
        <v>425</v>
      </c>
      <c r="E910" s="13" t="s">
        <v>529</v>
      </c>
      <c r="F910" s="12">
        <v>2</v>
      </c>
      <c r="G910" s="12">
        <v>75630.240000000005</v>
      </c>
      <c r="H910" s="35">
        <v>46147.398143344908</v>
      </c>
    </row>
    <row r="911" spans="2:8" x14ac:dyDescent="0.2">
      <c r="B911" s="32">
        <v>46013</v>
      </c>
      <c r="C911" t="s">
        <v>109</v>
      </c>
      <c r="D911" t="s">
        <v>142</v>
      </c>
      <c r="E911" s="13" t="s">
        <v>529</v>
      </c>
      <c r="F911" s="12">
        <v>3</v>
      </c>
      <c r="G911" s="12">
        <v>72268.899999999994</v>
      </c>
      <c r="H911" s="35">
        <v>46147.398143344908</v>
      </c>
    </row>
    <row r="912" spans="2:8" x14ac:dyDescent="0.2">
      <c r="B912" s="32">
        <v>46013</v>
      </c>
      <c r="C912" t="s">
        <v>109</v>
      </c>
      <c r="D912" t="s">
        <v>142</v>
      </c>
      <c r="E912" s="13" t="s">
        <v>530</v>
      </c>
      <c r="F912" s="12">
        <v>2</v>
      </c>
      <c r="G912" s="12">
        <v>18487.400000000001</v>
      </c>
      <c r="H912" s="35">
        <v>46147.398143344908</v>
      </c>
    </row>
    <row r="913" spans="2:8" x14ac:dyDescent="0.2">
      <c r="B913" s="32">
        <v>46014</v>
      </c>
      <c r="C913" t="s">
        <v>140</v>
      </c>
      <c r="D913" t="s">
        <v>165</v>
      </c>
      <c r="E913" s="13" t="s">
        <v>530</v>
      </c>
      <c r="F913" s="12">
        <v>2</v>
      </c>
      <c r="G913" s="12">
        <v>201680.67</v>
      </c>
      <c r="H913" s="35">
        <v>46147.398143344908</v>
      </c>
    </row>
    <row r="914" spans="2:8" x14ac:dyDescent="0.2">
      <c r="B914" s="32">
        <v>46014</v>
      </c>
      <c r="C914" t="s">
        <v>109</v>
      </c>
      <c r="E914" s="13" t="s">
        <v>530</v>
      </c>
      <c r="F914" s="12">
        <v>7</v>
      </c>
      <c r="G914" s="12">
        <v>614285.72</v>
      </c>
      <c r="H914" s="35">
        <v>46147.398143344908</v>
      </c>
    </row>
    <row r="915" spans="2:8" x14ac:dyDescent="0.2">
      <c r="B915" s="32">
        <v>46014</v>
      </c>
      <c r="C915" t="s">
        <v>109</v>
      </c>
      <c r="D915" t="s">
        <v>166</v>
      </c>
      <c r="E915" s="13" t="s">
        <v>530</v>
      </c>
      <c r="F915" s="12">
        <v>8</v>
      </c>
      <c r="G915" s="12">
        <v>369747.9</v>
      </c>
      <c r="H915" s="35">
        <v>46147.398143344908</v>
      </c>
    </row>
    <row r="916" spans="2:8" x14ac:dyDescent="0.2">
      <c r="B916" s="32">
        <v>46014</v>
      </c>
      <c r="C916" t="s">
        <v>109</v>
      </c>
      <c r="D916" t="s">
        <v>162</v>
      </c>
      <c r="E916" s="13" t="s">
        <v>530</v>
      </c>
      <c r="F916" s="12">
        <v>4</v>
      </c>
      <c r="G916" s="12">
        <v>285714.28000000003</v>
      </c>
      <c r="H916" s="35">
        <v>46147.398143344908</v>
      </c>
    </row>
    <row r="917" spans="2:8" x14ac:dyDescent="0.2">
      <c r="B917" s="32">
        <v>46014</v>
      </c>
      <c r="C917" t="s">
        <v>109</v>
      </c>
      <c r="D917" t="s">
        <v>142</v>
      </c>
      <c r="E917" s="13" t="s">
        <v>530</v>
      </c>
      <c r="F917" s="12">
        <v>18</v>
      </c>
      <c r="G917" s="12">
        <v>273109.25</v>
      </c>
      <c r="H917" s="35">
        <v>46147.398143344908</v>
      </c>
    </row>
    <row r="918" spans="2:8" x14ac:dyDescent="0.2">
      <c r="B918" s="32">
        <v>46014</v>
      </c>
      <c r="C918" t="s">
        <v>109</v>
      </c>
      <c r="D918" t="s">
        <v>154</v>
      </c>
      <c r="E918" s="13" t="s">
        <v>530</v>
      </c>
      <c r="F918" s="12">
        <v>6</v>
      </c>
      <c r="G918" s="12">
        <v>252100.84</v>
      </c>
      <c r="H918" s="35">
        <v>46147.398143344908</v>
      </c>
    </row>
    <row r="919" spans="2:8" x14ac:dyDescent="0.2">
      <c r="B919" s="32">
        <v>46014</v>
      </c>
      <c r="C919" t="s">
        <v>109</v>
      </c>
      <c r="D919" t="s">
        <v>145</v>
      </c>
      <c r="E919" s="13" t="s">
        <v>530</v>
      </c>
      <c r="F919" s="12">
        <v>3</v>
      </c>
      <c r="G919" s="12">
        <v>214285.71</v>
      </c>
      <c r="H919" s="35">
        <v>46147.398143344908</v>
      </c>
    </row>
    <row r="920" spans="2:8" x14ac:dyDescent="0.2">
      <c r="B920" s="32">
        <v>46014</v>
      </c>
      <c r="C920" t="s">
        <v>109</v>
      </c>
      <c r="D920" t="s">
        <v>147</v>
      </c>
      <c r="E920" s="13" t="s">
        <v>530</v>
      </c>
      <c r="F920" s="12">
        <v>3</v>
      </c>
      <c r="G920" s="12">
        <v>214285.71</v>
      </c>
      <c r="H920" s="35">
        <v>46147.398143344908</v>
      </c>
    </row>
    <row r="921" spans="2:8" x14ac:dyDescent="0.2">
      <c r="B921" s="32">
        <v>46014</v>
      </c>
      <c r="C921" t="s">
        <v>109</v>
      </c>
      <c r="D921" t="s">
        <v>1565</v>
      </c>
      <c r="E921" s="13" t="s">
        <v>530</v>
      </c>
      <c r="F921" s="12">
        <v>4</v>
      </c>
      <c r="G921" s="12">
        <v>184873.95</v>
      </c>
      <c r="H921" s="35">
        <v>46147.398143344908</v>
      </c>
    </row>
    <row r="922" spans="2:8" x14ac:dyDescent="0.2">
      <c r="B922" s="32">
        <v>46014</v>
      </c>
      <c r="C922" t="s">
        <v>109</v>
      </c>
      <c r="D922" t="s">
        <v>210</v>
      </c>
      <c r="E922" s="13" t="s">
        <v>530</v>
      </c>
      <c r="F922" s="12">
        <v>3</v>
      </c>
      <c r="G922" s="12">
        <v>163865.54999999999</v>
      </c>
      <c r="H922" s="35">
        <v>46147.398143344908</v>
      </c>
    </row>
    <row r="923" spans="2:8" x14ac:dyDescent="0.2">
      <c r="B923" s="32">
        <v>46014</v>
      </c>
      <c r="C923" t="s">
        <v>109</v>
      </c>
      <c r="D923" t="s">
        <v>204</v>
      </c>
      <c r="E923" s="13" t="s">
        <v>530</v>
      </c>
      <c r="F923" s="12">
        <v>4</v>
      </c>
      <c r="G923" s="12">
        <v>151260.51</v>
      </c>
      <c r="H923" s="35">
        <v>46147.398143344908</v>
      </c>
    </row>
    <row r="924" spans="2:8" x14ac:dyDescent="0.2">
      <c r="B924" s="32">
        <v>46014</v>
      </c>
      <c r="C924" t="s">
        <v>109</v>
      </c>
      <c r="D924" t="s">
        <v>150</v>
      </c>
      <c r="E924" s="13" t="s">
        <v>530</v>
      </c>
      <c r="F924" s="12">
        <v>2</v>
      </c>
      <c r="G924" s="12">
        <v>151260.5</v>
      </c>
      <c r="H924" s="35">
        <v>46147.398143344908</v>
      </c>
    </row>
    <row r="925" spans="2:8" x14ac:dyDescent="0.2">
      <c r="B925" s="32">
        <v>46014</v>
      </c>
      <c r="C925" t="s">
        <v>109</v>
      </c>
      <c r="D925" t="s">
        <v>359</v>
      </c>
      <c r="E925" s="13" t="s">
        <v>529</v>
      </c>
      <c r="F925" s="12">
        <v>2</v>
      </c>
      <c r="G925" s="12">
        <v>151260.5</v>
      </c>
      <c r="H925" s="35">
        <v>46147.398143344908</v>
      </c>
    </row>
    <row r="926" spans="2:8" x14ac:dyDescent="0.2">
      <c r="B926" s="32">
        <v>46014</v>
      </c>
      <c r="C926" t="s">
        <v>109</v>
      </c>
      <c r="D926" t="s">
        <v>197</v>
      </c>
      <c r="E926" s="13" t="s">
        <v>530</v>
      </c>
      <c r="F926" s="12">
        <v>2</v>
      </c>
      <c r="G926" s="12">
        <v>151260.5</v>
      </c>
      <c r="H926" s="35">
        <v>46147.398143344908</v>
      </c>
    </row>
    <row r="927" spans="2:8" x14ac:dyDescent="0.2">
      <c r="B927" s="32">
        <v>46014</v>
      </c>
      <c r="C927" t="s">
        <v>109</v>
      </c>
      <c r="D927" t="s">
        <v>348</v>
      </c>
      <c r="E927" s="13" t="s">
        <v>529</v>
      </c>
      <c r="F927" s="12">
        <v>2</v>
      </c>
      <c r="G927" s="12">
        <v>142857.14000000001</v>
      </c>
      <c r="H927" s="35">
        <v>46147.398143344908</v>
      </c>
    </row>
    <row r="928" spans="2:8" x14ac:dyDescent="0.2">
      <c r="B928" s="32">
        <v>46014</v>
      </c>
      <c r="C928" t="s">
        <v>109</v>
      </c>
      <c r="D928" t="s">
        <v>162</v>
      </c>
      <c r="E928" s="13" t="s">
        <v>529</v>
      </c>
      <c r="F928" s="12">
        <v>2</v>
      </c>
      <c r="G928" s="12">
        <v>142857.14000000001</v>
      </c>
      <c r="H928" s="35">
        <v>46147.398143344908</v>
      </c>
    </row>
    <row r="929" spans="2:8" x14ac:dyDescent="0.2">
      <c r="B929" s="32">
        <v>46014</v>
      </c>
      <c r="C929" t="s">
        <v>109</v>
      </c>
      <c r="D929" t="s">
        <v>190</v>
      </c>
      <c r="E929" s="13" t="s">
        <v>530</v>
      </c>
      <c r="F929" s="12">
        <v>2</v>
      </c>
      <c r="G929" s="12">
        <v>142857.14000000001</v>
      </c>
      <c r="H929" s="35">
        <v>46147.398143344908</v>
      </c>
    </row>
    <row r="930" spans="2:8" x14ac:dyDescent="0.2">
      <c r="B930" s="32">
        <v>46014</v>
      </c>
      <c r="C930" t="s">
        <v>109</v>
      </c>
      <c r="D930" t="s">
        <v>522</v>
      </c>
      <c r="E930" s="13" t="s">
        <v>530</v>
      </c>
      <c r="F930" s="12">
        <v>2</v>
      </c>
      <c r="G930" s="12">
        <v>109243.7</v>
      </c>
      <c r="H930" s="35">
        <v>46147.398143344908</v>
      </c>
    </row>
    <row r="931" spans="2:8" x14ac:dyDescent="0.2">
      <c r="B931" s="32">
        <v>46014</v>
      </c>
      <c r="C931" t="s">
        <v>109</v>
      </c>
      <c r="D931" t="s">
        <v>256</v>
      </c>
      <c r="E931" s="13" t="s">
        <v>530</v>
      </c>
      <c r="F931" s="12">
        <v>2</v>
      </c>
      <c r="G931" s="12">
        <v>109243.69</v>
      </c>
      <c r="H931" s="35">
        <v>46147.398143344908</v>
      </c>
    </row>
    <row r="932" spans="2:8" x14ac:dyDescent="0.2">
      <c r="B932" s="32">
        <v>46014</v>
      </c>
      <c r="C932" t="s">
        <v>109</v>
      </c>
      <c r="D932" t="s">
        <v>180</v>
      </c>
      <c r="E932" s="13" t="s">
        <v>530</v>
      </c>
      <c r="F932" s="12">
        <v>4</v>
      </c>
      <c r="G932" s="12">
        <v>109243.69</v>
      </c>
      <c r="H932" s="35">
        <v>46147.398143344908</v>
      </c>
    </row>
    <row r="933" spans="2:8" x14ac:dyDescent="0.2">
      <c r="B933" s="32">
        <v>46014</v>
      </c>
      <c r="C933" t="s">
        <v>109</v>
      </c>
      <c r="D933" t="s">
        <v>238</v>
      </c>
      <c r="E933" s="13" t="s">
        <v>530</v>
      </c>
      <c r="F933" s="12">
        <v>2</v>
      </c>
      <c r="G933" s="12">
        <v>92436.98</v>
      </c>
      <c r="H933" s="35">
        <v>46147.398143344908</v>
      </c>
    </row>
    <row r="934" spans="2:8" x14ac:dyDescent="0.2">
      <c r="B934" s="32">
        <v>46014</v>
      </c>
      <c r="C934" t="s">
        <v>109</v>
      </c>
      <c r="D934" t="s">
        <v>168</v>
      </c>
      <c r="E934" s="13" t="s">
        <v>530</v>
      </c>
      <c r="F934" s="12">
        <v>2</v>
      </c>
      <c r="G934" s="12">
        <v>92436.98</v>
      </c>
      <c r="H934" s="35">
        <v>46147.398143344908</v>
      </c>
    </row>
    <row r="935" spans="2:8" x14ac:dyDescent="0.2">
      <c r="B935" s="32">
        <v>46014</v>
      </c>
      <c r="C935" t="s">
        <v>109</v>
      </c>
      <c r="D935" t="s">
        <v>168</v>
      </c>
      <c r="E935" s="13" t="s">
        <v>529</v>
      </c>
      <c r="F935" s="12">
        <v>2</v>
      </c>
      <c r="G935" s="12">
        <v>92436.98</v>
      </c>
      <c r="H935" s="35">
        <v>46147.398143344908</v>
      </c>
    </row>
    <row r="936" spans="2:8" x14ac:dyDescent="0.2">
      <c r="B936" s="32">
        <v>46014</v>
      </c>
      <c r="C936" t="s">
        <v>109</v>
      </c>
      <c r="D936" t="s">
        <v>151</v>
      </c>
      <c r="E936" s="13" t="s">
        <v>529</v>
      </c>
      <c r="F936" s="12">
        <v>2</v>
      </c>
      <c r="G936" s="12">
        <v>92436.98</v>
      </c>
      <c r="H936" s="35">
        <v>46147.398143344908</v>
      </c>
    </row>
    <row r="937" spans="2:8" x14ac:dyDescent="0.2">
      <c r="B937" s="32">
        <v>46014</v>
      </c>
      <c r="C937" t="s">
        <v>109</v>
      </c>
      <c r="D937" t="s">
        <v>148</v>
      </c>
      <c r="E937" s="13" t="s">
        <v>529</v>
      </c>
      <c r="F937" s="12">
        <v>2</v>
      </c>
      <c r="G937" s="12">
        <v>92436.98</v>
      </c>
      <c r="H937" s="35">
        <v>46147.398143344908</v>
      </c>
    </row>
    <row r="938" spans="2:8" x14ac:dyDescent="0.2">
      <c r="B938" s="32">
        <v>46014</v>
      </c>
      <c r="C938" t="s">
        <v>109</v>
      </c>
      <c r="D938" t="s">
        <v>213</v>
      </c>
      <c r="E938" s="13" t="s">
        <v>530</v>
      </c>
      <c r="F938" s="12">
        <v>2</v>
      </c>
      <c r="G938" s="12">
        <v>92436.97</v>
      </c>
      <c r="H938" s="35">
        <v>46147.398143344908</v>
      </c>
    </row>
    <row r="939" spans="2:8" x14ac:dyDescent="0.2">
      <c r="B939" s="32">
        <v>46014</v>
      </c>
      <c r="C939" t="s">
        <v>109</v>
      </c>
      <c r="D939" t="s">
        <v>166</v>
      </c>
      <c r="E939" s="13" t="s">
        <v>529</v>
      </c>
      <c r="F939" s="12">
        <v>2</v>
      </c>
      <c r="G939" s="12">
        <v>92436.97</v>
      </c>
      <c r="H939" s="35">
        <v>46147.398143344908</v>
      </c>
    </row>
    <row r="940" spans="2:8" x14ac:dyDescent="0.2">
      <c r="B940" s="32">
        <v>46014</v>
      </c>
      <c r="C940" t="s">
        <v>109</v>
      </c>
      <c r="D940" t="s">
        <v>158</v>
      </c>
      <c r="E940" s="13" t="s">
        <v>530</v>
      </c>
      <c r="F940" s="12">
        <v>2</v>
      </c>
      <c r="G940" s="12">
        <v>92436.97</v>
      </c>
      <c r="H940" s="35">
        <v>46147.398143344908</v>
      </c>
    </row>
    <row r="941" spans="2:8" x14ac:dyDescent="0.2">
      <c r="B941" s="32">
        <v>46014</v>
      </c>
      <c r="C941" t="s">
        <v>109</v>
      </c>
      <c r="D941" t="s">
        <v>232</v>
      </c>
      <c r="E941" s="13" t="s">
        <v>530</v>
      </c>
      <c r="F941" s="12">
        <v>2</v>
      </c>
      <c r="G941" s="12">
        <v>75630.259999999995</v>
      </c>
      <c r="H941" s="35">
        <v>46147.398143344908</v>
      </c>
    </row>
    <row r="942" spans="2:8" x14ac:dyDescent="0.2">
      <c r="B942" s="32">
        <v>46014</v>
      </c>
      <c r="C942" t="s">
        <v>109</v>
      </c>
      <c r="D942" t="s">
        <v>1601</v>
      </c>
      <c r="E942" s="13" t="s">
        <v>529</v>
      </c>
      <c r="F942" s="12">
        <v>2</v>
      </c>
      <c r="G942" s="12">
        <v>75630.25</v>
      </c>
      <c r="H942" s="35">
        <v>46147.398143344908</v>
      </c>
    </row>
    <row r="943" spans="2:8" x14ac:dyDescent="0.2">
      <c r="B943" s="32">
        <v>46014</v>
      </c>
      <c r="C943" t="s">
        <v>109</v>
      </c>
      <c r="D943" t="s">
        <v>458</v>
      </c>
      <c r="E943" s="13" t="s">
        <v>529</v>
      </c>
      <c r="F943" s="12">
        <v>2</v>
      </c>
      <c r="G943" s="12">
        <v>70000</v>
      </c>
      <c r="H943" s="35">
        <v>46147.398143344908</v>
      </c>
    </row>
    <row r="944" spans="2:8" x14ac:dyDescent="0.2">
      <c r="B944" s="32">
        <v>46014</v>
      </c>
      <c r="C944" t="s">
        <v>109</v>
      </c>
      <c r="D944" t="s">
        <v>1617</v>
      </c>
      <c r="E944" s="13" t="s">
        <v>530</v>
      </c>
      <c r="F944" s="12">
        <v>2</v>
      </c>
      <c r="G944" s="12">
        <v>33613.440000000002</v>
      </c>
      <c r="H944" s="35">
        <v>46147.398143344908</v>
      </c>
    </row>
    <row r="945" spans="2:8" x14ac:dyDescent="0.2">
      <c r="B945" s="32">
        <v>46015</v>
      </c>
      <c r="C945" t="s">
        <v>109</v>
      </c>
      <c r="D945" t="s">
        <v>162</v>
      </c>
      <c r="E945" s="13" t="s">
        <v>529</v>
      </c>
      <c r="F945" s="12">
        <v>5</v>
      </c>
      <c r="G945" s="12">
        <v>357142.85</v>
      </c>
      <c r="H945" s="35">
        <v>46147.398143344908</v>
      </c>
    </row>
    <row r="946" spans="2:8" x14ac:dyDescent="0.2">
      <c r="B946" s="32">
        <v>46015</v>
      </c>
      <c r="C946" t="s">
        <v>109</v>
      </c>
      <c r="D946" t="s">
        <v>168</v>
      </c>
      <c r="E946" s="13" t="s">
        <v>529</v>
      </c>
      <c r="F946" s="12">
        <v>5</v>
      </c>
      <c r="G946" s="12">
        <v>231092.44</v>
      </c>
      <c r="H946" s="35">
        <v>46147.398143344908</v>
      </c>
    </row>
    <row r="947" spans="2:8" x14ac:dyDescent="0.2">
      <c r="B947" s="32">
        <v>46015</v>
      </c>
      <c r="C947" t="s">
        <v>109</v>
      </c>
      <c r="D947" t="s">
        <v>333</v>
      </c>
      <c r="E947" s="13" t="s">
        <v>529</v>
      </c>
      <c r="F947" s="12">
        <v>3</v>
      </c>
      <c r="G947" s="12">
        <v>214285.72</v>
      </c>
      <c r="H947" s="35">
        <v>46147.398143344908</v>
      </c>
    </row>
    <row r="948" spans="2:8" x14ac:dyDescent="0.2">
      <c r="B948" s="32">
        <v>46015</v>
      </c>
      <c r="C948" t="s">
        <v>109</v>
      </c>
      <c r="D948" t="s">
        <v>166</v>
      </c>
      <c r="E948" s="13" t="s">
        <v>529</v>
      </c>
      <c r="F948" s="12">
        <v>4</v>
      </c>
      <c r="G948" s="12">
        <v>184873.94</v>
      </c>
      <c r="H948" s="35">
        <v>46147.398143344908</v>
      </c>
    </row>
    <row r="949" spans="2:8" x14ac:dyDescent="0.2">
      <c r="B949" s="32">
        <v>46015</v>
      </c>
      <c r="C949" t="s">
        <v>109</v>
      </c>
      <c r="D949" t="s">
        <v>147</v>
      </c>
      <c r="E949" s="13" t="s">
        <v>529</v>
      </c>
      <c r="F949" s="12">
        <v>2</v>
      </c>
      <c r="G949" s="12">
        <v>142857.14000000001</v>
      </c>
      <c r="H949" s="35">
        <v>46147.398143344908</v>
      </c>
    </row>
    <row r="950" spans="2:8" x14ac:dyDescent="0.2">
      <c r="B950" s="32">
        <v>46015</v>
      </c>
      <c r="C950" t="s">
        <v>109</v>
      </c>
      <c r="D950" t="s">
        <v>158</v>
      </c>
      <c r="E950" s="13" t="s">
        <v>529</v>
      </c>
      <c r="F950" s="12">
        <v>2</v>
      </c>
      <c r="G950" s="12">
        <v>92436.98</v>
      </c>
      <c r="H950" s="35">
        <v>46147.398143344908</v>
      </c>
    </row>
    <row r="951" spans="2:8" x14ac:dyDescent="0.2">
      <c r="B951" s="32">
        <v>46015</v>
      </c>
      <c r="C951" t="s">
        <v>109</v>
      </c>
      <c r="D951" t="s">
        <v>142</v>
      </c>
      <c r="E951" s="13" t="s">
        <v>529</v>
      </c>
      <c r="F951" s="12">
        <v>4</v>
      </c>
      <c r="G951" s="12">
        <v>70588.23</v>
      </c>
      <c r="H951" s="35">
        <v>46147.398143344908</v>
      </c>
    </row>
    <row r="952" spans="2:8" x14ac:dyDescent="0.2">
      <c r="B952" s="32">
        <v>46015</v>
      </c>
      <c r="C952" t="s">
        <v>109</v>
      </c>
      <c r="D952" t="s">
        <v>169</v>
      </c>
      <c r="E952" s="13" t="s">
        <v>529</v>
      </c>
      <c r="F952" s="12">
        <v>2</v>
      </c>
      <c r="G952" s="12">
        <v>45378.15</v>
      </c>
      <c r="H952" s="35">
        <v>46147.398143344908</v>
      </c>
    </row>
    <row r="953" spans="2:8" x14ac:dyDescent="0.2">
      <c r="B953" s="32">
        <v>46015</v>
      </c>
      <c r="C953" t="s">
        <v>109</v>
      </c>
      <c r="D953" t="s">
        <v>142</v>
      </c>
      <c r="E953" s="13" t="s">
        <v>530</v>
      </c>
      <c r="F953" s="12">
        <v>2</v>
      </c>
      <c r="G953" s="12">
        <v>26890.76</v>
      </c>
      <c r="H953" s="35">
        <v>46147.398143344908</v>
      </c>
    </row>
    <row r="954" spans="2:8" x14ac:dyDescent="0.2">
      <c r="B954" s="32">
        <v>46017</v>
      </c>
      <c r="C954" t="s">
        <v>108</v>
      </c>
      <c r="D954" t="s">
        <v>324</v>
      </c>
      <c r="E954" s="13" t="s">
        <v>530</v>
      </c>
      <c r="F954" s="12">
        <v>30</v>
      </c>
      <c r="G954" s="12">
        <v>6806722.6900000004</v>
      </c>
      <c r="H954" s="35">
        <v>46147.398143344908</v>
      </c>
    </row>
    <row r="955" spans="2:8" x14ac:dyDescent="0.2">
      <c r="B955" s="32">
        <v>46017</v>
      </c>
      <c r="C955" t="s">
        <v>140</v>
      </c>
      <c r="D955" t="s">
        <v>146</v>
      </c>
      <c r="E955" s="13" t="s">
        <v>530</v>
      </c>
      <c r="F955" s="12">
        <v>4</v>
      </c>
      <c r="G955" s="12">
        <v>151260.51</v>
      </c>
      <c r="H955" s="35">
        <v>46147.398143344908</v>
      </c>
    </row>
    <row r="956" spans="2:8" x14ac:dyDescent="0.2">
      <c r="B956" s="32">
        <v>46017</v>
      </c>
      <c r="C956" t="s">
        <v>140</v>
      </c>
      <c r="D956" t="s">
        <v>145</v>
      </c>
      <c r="E956" s="13" t="s">
        <v>530</v>
      </c>
      <c r="F956" s="12">
        <v>2</v>
      </c>
      <c r="G956" s="12">
        <v>142857.14000000001</v>
      </c>
      <c r="H956" s="35">
        <v>46147.398143344908</v>
      </c>
    </row>
    <row r="957" spans="2:8" x14ac:dyDescent="0.2">
      <c r="B957" s="32">
        <v>46017</v>
      </c>
      <c r="C957" t="s">
        <v>140</v>
      </c>
      <c r="D957" t="s">
        <v>232</v>
      </c>
      <c r="E957" s="13" t="s">
        <v>530</v>
      </c>
      <c r="F957" s="12">
        <v>3</v>
      </c>
      <c r="G957" s="12">
        <v>113445.38</v>
      </c>
      <c r="H957" s="35">
        <v>46147.398143344908</v>
      </c>
    </row>
    <row r="958" spans="2:8" x14ac:dyDescent="0.2">
      <c r="B958" s="32">
        <v>46017</v>
      </c>
      <c r="C958" t="s">
        <v>140</v>
      </c>
      <c r="D958" t="s">
        <v>142</v>
      </c>
      <c r="E958" s="13" t="s">
        <v>529</v>
      </c>
      <c r="F958" s="12">
        <v>5</v>
      </c>
      <c r="G958" s="12">
        <v>81932.77</v>
      </c>
      <c r="H958" s="35">
        <v>46147.398143344908</v>
      </c>
    </row>
    <row r="959" spans="2:8" x14ac:dyDescent="0.2">
      <c r="B959" s="32">
        <v>46017</v>
      </c>
      <c r="C959" t="s">
        <v>140</v>
      </c>
      <c r="D959" t="s">
        <v>142</v>
      </c>
      <c r="E959" s="13" t="s">
        <v>530</v>
      </c>
      <c r="F959" s="12">
        <v>3</v>
      </c>
      <c r="G959" s="12">
        <v>50420.17</v>
      </c>
      <c r="H959" s="35">
        <v>46147.398143344908</v>
      </c>
    </row>
    <row r="960" spans="2:8" x14ac:dyDescent="0.2">
      <c r="B960" s="32">
        <v>46017</v>
      </c>
      <c r="C960" t="s">
        <v>110</v>
      </c>
      <c r="D960" t="s">
        <v>193</v>
      </c>
      <c r="E960" s="13" t="s">
        <v>529</v>
      </c>
      <c r="F960" s="12">
        <v>8</v>
      </c>
      <c r="G960" s="12">
        <v>369747.89</v>
      </c>
      <c r="H960" s="35">
        <v>46147.398143344908</v>
      </c>
    </row>
    <row r="961" spans="2:8" x14ac:dyDescent="0.2">
      <c r="B961" s="32">
        <v>46017</v>
      </c>
      <c r="C961" t="s">
        <v>110</v>
      </c>
      <c r="D961" t="s">
        <v>1601</v>
      </c>
      <c r="E961" s="13" t="s">
        <v>529</v>
      </c>
      <c r="F961" s="12">
        <v>5</v>
      </c>
      <c r="G961" s="12">
        <v>189075.63</v>
      </c>
      <c r="H961" s="35">
        <v>46147.398143344908</v>
      </c>
    </row>
    <row r="962" spans="2:8" x14ac:dyDescent="0.2">
      <c r="B962" s="32">
        <v>46017</v>
      </c>
      <c r="C962" t="s">
        <v>110</v>
      </c>
      <c r="D962" t="s">
        <v>346</v>
      </c>
      <c r="E962" s="13" t="s">
        <v>529</v>
      </c>
      <c r="F962" s="12">
        <v>4</v>
      </c>
      <c r="G962" s="12">
        <v>184873.95</v>
      </c>
      <c r="H962" s="35">
        <v>46147.398143344908</v>
      </c>
    </row>
    <row r="963" spans="2:8" x14ac:dyDescent="0.2">
      <c r="B963" s="32">
        <v>46017</v>
      </c>
      <c r="C963" t="s">
        <v>110</v>
      </c>
      <c r="D963" t="s">
        <v>148</v>
      </c>
      <c r="E963" s="13" t="s">
        <v>529</v>
      </c>
      <c r="F963" s="12">
        <v>4</v>
      </c>
      <c r="G963" s="12">
        <v>184873.95</v>
      </c>
      <c r="H963" s="35">
        <v>46147.398143344908</v>
      </c>
    </row>
    <row r="964" spans="2:8" x14ac:dyDescent="0.2">
      <c r="B964" s="32">
        <v>46017</v>
      </c>
      <c r="C964" t="s">
        <v>110</v>
      </c>
      <c r="D964" t="s">
        <v>396</v>
      </c>
      <c r="E964" s="13" t="s">
        <v>529</v>
      </c>
      <c r="F964" s="12">
        <v>3</v>
      </c>
      <c r="G964" s="12">
        <v>163865.54999999999</v>
      </c>
      <c r="H964" s="35">
        <v>46147.398143344908</v>
      </c>
    </row>
    <row r="965" spans="2:8" x14ac:dyDescent="0.2">
      <c r="B965" s="32">
        <v>46017</v>
      </c>
      <c r="C965" t="s">
        <v>110</v>
      </c>
      <c r="D965" t="s">
        <v>187</v>
      </c>
      <c r="E965" s="13" t="s">
        <v>529</v>
      </c>
      <c r="F965" s="12">
        <v>2</v>
      </c>
      <c r="G965" s="12">
        <v>142857.14000000001</v>
      </c>
      <c r="H965" s="35">
        <v>46147.398143344908</v>
      </c>
    </row>
    <row r="966" spans="2:8" x14ac:dyDescent="0.2">
      <c r="B966" s="32">
        <v>46017</v>
      </c>
      <c r="C966" t="s">
        <v>110</v>
      </c>
      <c r="D966" t="s">
        <v>170</v>
      </c>
      <c r="E966" s="13" t="s">
        <v>529</v>
      </c>
      <c r="F966" s="12">
        <v>3</v>
      </c>
      <c r="G966" s="12">
        <v>138655.46</v>
      </c>
      <c r="H966" s="35">
        <v>46147.398143344908</v>
      </c>
    </row>
    <row r="967" spans="2:8" x14ac:dyDescent="0.2">
      <c r="B967" s="32">
        <v>46017</v>
      </c>
      <c r="C967" t="s">
        <v>110</v>
      </c>
      <c r="D967" t="s">
        <v>149</v>
      </c>
      <c r="E967" s="13" t="s">
        <v>529</v>
      </c>
      <c r="F967" s="12">
        <v>2</v>
      </c>
      <c r="G967" s="12">
        <v>92436.97</v>
      </c>
      <c r="H967" s="35">
        <v>46147.398143344908</v>
      </c>
    </row>
    <row r="968" spans="2:8" x14ac:dyDescent="0.2">
      <c r="B968" s="32">
        <v>46017</v>
      </c>
      <c r="C968" t="s">
        <v>109</v>
      </c>
      <c r="D968" t="s">
        <v>166</v>
      </c>
      <c r="E968" s="13" t="s">
        <v>530</v>
      </c>
      <c r="F968" s="12">
        <v>2</v>
      </c>
      <c r="G968" s="12">
        <v>92436.98</v>
      </c>
      <c r="H968" s="35">
        <v>46147.398143344908</v>
      </c>
    </row>
    <row r="969" spans="2:8" x14ac:dyDescent="0.2">
      <c r="B969" s="32">
        <v>46017</v>
      </c>
      <c r="C969" t="s">
        <v>109</v>
      </c>
      <c r="D969" t="s">
        <v>142</v>
      </c>
      <c r="E969" s="13" t="s">
        <v>530</v>
      </c>
      <c r="F969" s="12">
        <v>4</v>
      </c>
      <c r="G969" s="12">
        <v>55462.18</v>
      </c>
      <c r="H969" s="35">
        <v>46147.398143344908</v>
      </c>
    </row>
    <row r="970" spans="2:8" x14ac:dyDescent="0.2">
      <c r="B970" s="32">
        <v>46018</v>
      </c>
      <c r="C970" t="s">
        <v>109</v>
      </c>
      <c r="D970" t="s">
        <v>150</v>
      </c>
      <c r="E970" s="13"/>
      <c r="F970" s="12">
        <v>2</v>
      </c>
      <c r="G970" s="12">
        <v>151260.5</v>
      </c>
      <c r="H970" s="35">
        <v>46147.398143344908</v>
      </c>
    </row>
    <row r="971" spans="2:8" x14ac:dyDescent="0.2">
      <c r="B971" s="32">
        <v>46020</v>
      </c>
      <c r="C971" t="s">
        <v>108</v>
      </c>
      <c r="D971" t="s">
        <v>290</v>
      </c>
      <c r="E971" s="13" t="s">
        <v>530</v>
      </c>
      <c r="F971" s="12">
        <v>2</v>
      </c>
      <c r="G971" s="12">
        <v>109243.7</v>
      </c>
      <c r="H971" s="35">
        <v>46147.398143344908</v>
      </c>
    </row>
    <row r="972" spans="2:8" x14ac:dyDescent="0.2">
      <c r="B972" s="32">
        <v>46020</v>
      </c>
      <c r="C972" t="s">
        <v>140</v>
      </c>
      <c r="D972" t="s">
        <v>1626</v>
      </c>
      <c r="E972" s="13" t="s">
        <v>530</v>
      </c>
      <c r="F972" s="12">
        <v>7</v>
      </c>
      <c r="G972" s="12">
        <v>510883.29</v>
      </c>
      <c r="H972" s="35">
        <v>46147.398143344908</v>
      </c>
    </row>
    <row r="973" spans="2:8" x14ac:dyDescent="0.2">
      <c r="B973" s="32">
        <v>46020</v>
      </c>
      <c r="C973" t="s">
        <v>140</v>
      </c>
      <c r="D973" t="s">
        <v>623</v>
      </c>
      <c r="E973" s="13" t="s">
        <v>530</v>
      </c>
      <c r="F973" s="12">
        <v>5</v>
      </c>
      <c r="G973" s="12">
        <v>105095.99</v>
      </c>
      <c r="H973" s="35">
        <v>46147.398143344908</v>
      </c>
    </row>
    <row r="974" spans="2:8" x14ac:dyDescent="0.2">
      <c r="B974" s="32">
        <v>46020</v>
      </c>
      <c r="C974" t="s">
        <v>140</v>
      </c>
      <c r="D974" t="s">
        <v>1566</v>
      </c>
      <c r="E974" s="13" t="s">
        <v>530</v>
      </c>
      <c r="F974" s="12">
        <v>12</v>
      </c>
      <c r="G974" s="12">
        <v>51751.81</v>
      </c>
      <c r="H974" s="35">
        <v>46147.398143344908</v>
      </c>
    </row>
    <row r="975" spans="2:8" x14ac:dyDescent="0.2">
      <c r="B975" s="32">
        <v>46020</v>
      </c>
      <c r="C975" t="s">
        <v>109</v>
      </c>
      <c r="D975" t="s">
        <v>166</v>
      </c>
      <c r="E975" s="13" t="s">
        <v>529</v>
      </c>
      <c r="F975" s="12">
        <v>2</v>
      </c>
      <c r="G975" s="12">
        <v>92436.97</v>
      </c>
      <c r="H975" s="35">
        <v>46147.398143344908</v>
      </c>
    </row>
    <row r="976" spans="2:8" x14ac:dyDescent="0.2">
      <c r="B976" s="32">
        <v>46020</v>
      </c>
      <c r="C976" t="s">
        <v>109</v>
      </c>
      <c r="D976" t="s">
        <v>154</v>
      </c>
      <c r="E976" s="13" t="s">
        <v>530</v>
      </c>
      <c r="F976" s="12">
        <v>2</v>
      </c>
      <c r="G976" s="12">
        <v>84033.61</v>
      </c>
      <c r="H976" s="35">
        <v>46147.398143344908</v>
      </c>
    </row>
    <row r="977" spans="2:8" x14ac:dyDescent="0.2">
      <c r="B977" s="32">
        <v>46020</v>
      </c>
      <c r="C977" t="s">
        <v>109</v>
      </c>
      <c r="D977" t="s">
        <v>142</v>
      </c>
      <c r="E977" s="13" t="s">
        <v>530</v>
      </c>
      <c r="F977" s="12">
        <v>2</v>
      </c>
      <c r="G977" s="12">
        <v>27731.09</v>
      </c>
      <c r="H977" s="35">
        <v>46147.398143344908</v>
      </c>
    </row>
    <row r="978" spans="2:8" x14ac:dyDescent="0.2">
      <c r="B978" s="32">
        <v>46021</v>
      </c>
      <c r="C978" t="s">
        <v>108</v>
      </c>
      <c r="D978" t="s">
        <v>533</v>
      </c>
      <c r="E978" s="13" t="s">
        <v>529</v>
      </c>
      <c r="F978" s="12">
        <v>16</v>
      </c>
      <c r="G978" s="12">
        <v>873949.58</v>
      </c>
      <c r="H978" s="35">
        <v>46147.398143344908</v>
      </c>
    </row>
    <row r="979" spans="2:8" x14ac:dyDescent="0.2">
      <c r="B979" s="32">
        <v>46021</v>
      </c>
      <c r="C979" t="s">
        <v>108</v>
      </c>
      <c r="D979" t="s">
        <v>537</v>
      </c>
      <c r="E979" s="13" t="s">
        <v>529</v>
      </c>
      <c r="F979" s="12">
        <v>15</v>
      </c>
      <c r="G979" s="12">
        <v>819327.73</v>
      </c>
      <c r="H979" s="35">
        <v>46147.398143344908</v>
      </c>
    </row>
    <row r="980" spans="2:8" x14ac:dyDescent="0.2">
      <c r="B980" s="32">
        <v>46021</v>
      </c>
      <c r="C980" t="s">
        <v>108</v>
      </c>
      <c r="D980" t="s">
        <v>265</v>
      </c>
      <c r="E980" s="13" t="s">
        <v>529</v>
      </c>
      <c r="F980" s="12">
        <v>15</v>
      </c>
      <c r="G980" s="12">
        <v>819327.72</v>
      </c>
      <c r="H980" s="35">
        <v>46147.398143344908</v>
      </c>
    </row>
    <row r="981" spans="2:8" x14ac:dyDescent="0.2">
      <c r="B981" s="32">
        <v>46021</v>
      </c>
      <c r="C981" t="s">
        <v>108</v>
      </c>
      <c r="D981" t="s">
        <v>636</v>
      </c>
      <c r="E981" s="13" t="s">
        <v>529</v>
      </c>
      <c r="F981" s="12">
        <v>14</v>
      </c>
      <c r="G981" s="12">
        <v>764705.88</v>
      </c>
      <c r="H981" s="35">
        <v>46147.398143344908</v>
      </c>
    </row>
    <row r="982" spans="2:8" x14ac:dyDescent="0.2">
      <c r="B982" s="32">
        <v>46021</v>
      </c>
      <c r="C982" t="s">
        <v>108</v>
      </c>
      <c r="D982" t="s">
        <v>506</v>
      </c>
      <c r="E982" s="13" t="s">
        <v>529</v>
      </c>
      <c r="F982" s="12">
        <v>13</v>
      </c>
      <c r="G982" s="12">
        <v>710084.03</v>
      </c>
      <c r="H982" s="35">
        <v>46147.398143344908</v>
      </c>
    </row>
    <row r="983" spans="2:8" x14ac:dyDescent="0.2">
      <c r="B983" s="32">
        <v>46021</v>
      </c>
      <c r="C983" t="s">
        <v>108</v>
      </c>
      <c r="D983" t="s">
        <v>536</v>
      </c>
      <c r="E983" s="13" t="s">
        <v>529</v>
      </c>
      <c r="F983" s="12">
        <v>11</v>
      </c>
      <c r="G983" s="12">
        <v>600840.34</v>
      </c>
      <c r="H983" s="35">
        <v>46147.398143344908</v>
      </c>
    </row>
    <row r="984" spans="2:8" x14ac:dyDescent="0.2">
      <c r="B984" s="32">
        <v>46021</v>
      </c>
      <c r="C984" t="s">
        <v>108</v>
      </c>
      <c r="D984" t="s">
        <v>216</v>
      </c>
      <c r="E984" s="13" t="s">
        <v>529</v>
      </c>
      <c r="F984" s="12">
        <v>2</v>
      </c>
      <c r="G984" s="12">
        <v>58823.519999999997</v>
      </c>
      <c r="H984" s="35">
        <v>46147.398143344908</v>
      </c>
    </row>
    <row r="985" spans="2:8" x14ac:dyDescent="0.2">
      <c r="B985" s="32">
        <v>46021</v>
      </c>
      <c r="C985" t="s">
        <v>109</v>
      </c>
      <c r="D985" t="s">
        <v>142</v>
      </c>
      <c r="E985" s="13" t="s">
        <v>530</v>
      </c>
      <c r="F985" s="12">
        <v>2</v>
      </c>
      <c r="G985" s="12">
        <v>27731.09</v>
      </c>
      <c r="H985" s="35">
        <v>46147.398143344908</v>
      </c>
    </row>
    <row r="986" spans="2:8" x14ac:dyDescent="0.2">
      <c r="B986" s="32">
        <v>46022</v>
      </c>
      <c r="C986" t="s">
        <v>108</v>
      </c>
      <c r="D986" t="s">
        <v>1559</v>
      </c>
      <c r="E986" s="13" t="s">
        <v>530</v>
      </c>
      <c r="F986" s="12">
        <v>11</v>
      </c>
      <c r="G986" s="12">
        <v>2579389.65</v>
      </c>
      <c r="H986" s="35">
        <v>46147.398143344908</v>
      </c>
    </row>
    <row r="987" spans="2:8" x14ac:dyDescent="0.2">
      <c r="B987" s="32">
        <v>46022</v>
      </c>
      <c r="C987" t="s">
        <v>108</v>
      </c>
      <c r="D987" t="s">
        <v>352</v>
      </c>
      <c r="E987" s="13" t="s">
        <v>530</v>
      </c>
      <c r="F987" s="12">
        <v>100</v>
      </c>
      <c r="G987" s="12">
        <v>2517574.69</v>
      </c>
      <c r="H987" s="35">
        <v>46147.398143344908</v>
      </c>
    </row>
    <row r="988" spans="2:8" x14ac:dyDescent="0.2">
      <c r="B988" s="32">
        <v>46022</v>
      </c>
      <c r="C988" t="s">
        <v>108</v>
      </c>
      <c r="D988" t="s">
        <v>1627</v>
      </c>
      <c r="E988" s="13" t="s">
        <v>530</v>
      </c>
      <c r="F988" s="12">
        <v>10</v>
      </c>
      <c r="G988" s="12">
        <v>2344899.6800000002</v>
      </c>
      <c r="H988" s="35">
        <v>46147.398143344908</v>
      </c>
    </row>
    <row r="989" spans="2:8" x14ac:dyDescent="0.2">
      <c r="B989" s="32">
        <v>46022</v>
      </c>
      <c r="C989" t="s">
        <v>108</v>
      </c>
      <c r="D989" t="s">
        <v>352</v>
      </c>
      <c r="E989" s="13" t="s">
        <v>529</v>
      </c>
      <c r="F989" s="12">
        <v>40</v>
      </c>
      <c r="G989" s="12">
        <v>1285714.29</v>
      </c>
      <c r="H989" s="35">
        <v>46147.398143344908</v>
      </c>
    </row>
    <row r="990" spans="2:8" x14ac:dyDescent="0.2">
      <c r="B990" s="32">
        <v>46022</v>
      </c>
      <c r="C990" t="s">
        <v>108</v>
      </c>
      <c r="D990" t="s">
        <v>180</v>
      </c>
      <c r="E990" s="13" t="s">
        <v>530</v>
      </c>
      <c r="F990" s="12">
        <v>50</v>
      </c>
      <c r="G990" s="12">
        <v>1271839.1399999999</v>
      </c>
      <c r="H990" s="35">
        <v>46147.398143344908</v>
      </c>
    </row>
    <row r="991" spans="2:8" x14ac:dyDescent="0.2">
      <c r="B991" s="32">
        <v>46022</v>
      </c>
      <c r="C991" t="s">
        <v>108</v>
      </c>
      <c r="D991" t="s">
        <v>401</v>
      </c>
      <c r="E991" s="13" t="s">
        <v>530</v>
      </c>
      <c r="F991" s="12">
        <v>26</v>
      </c>
      <c r="G991" s="12">
        <v>1228233.23</v>
      </c>
      <c r="H991" s="35">
        <v>46147.398143344908</v>
      </c>
    </row>
    <row r="992" spans="2:8" x14ac:dyDescent="0.2">
      <c r="B992" s="32">
        <v>46022</v>
      </c>
      <c r="C992" t="s">
        <v>108</v>
      </c>
      <c r="D992" t="s">
        <v>1628</v>
      </c>
      <c r="E992" s="13" t="s">
        <v>530</v>
      </c>
      <c r="F992" s="12">
        <v>14</v>
      </c>
      <c r="G992" s="12">
        <v>1081355.93</v>
      </c>
      <c r="H992" s="35">
        <v>46147.398143344908</v>
      </c>
    </row>
    <row r="993" spans="2:8" x14ac:dyDescent="0.2">
      <c r="B993" s="32">
        <v>46022</v>
      </c>
      <c r="C993" t="s">
        <v>108</v>
      </c>
      <c r="D993" t="s">
        <v>180</v>
      </c>
      <c r="E993" s="13" t="s">
        <v>529</v>
      </c>
      <c r="F993" s="12">
        <v>40</v>
      </c>
      <c r="G993" s="12">
        <v>1000000</v>
      </c>
      <c r="H993" s="35">
        <v>46147.398143344908</v>
      </c>
    </row>
    <row r="994" spans="2:8" x14ac:dyDescent="0.2">
      <c r="B994" s="32">
        <v>46022</v>
      </c>
      <c r="C994" t="s">
        <v>108</v>
      </c>
      <c r="D994" t="s">
        <v>346</v>
      </c>
      <c r="E994" s="13" t="s">
        <v>530</v>
      </c>
      <c r="F994" s="12">
        <v>20</v>
      </c>
      <c r="G994" s="12">
        <v>859796.55</v>
      </c>
      <c r="H994" s="35">
        <v>46147.398143344908</v>
      </c>
    </row>
    <row r="995" spans="2:8" x14ac:dyDescent="0.2">
      <c r="B995" s="32">
        <v>46022</v>
      </c>
      <c r="C995" t="s">
        <v>108</v>
      </c>
      <c r="D995" t="s">
        <v>196</v>
      </c>
      <c r="E995" s="13" t="s">
        <v>530</v>
      </c>
      <c r="F995" s="12">
        <v>20</v>
      </c>
      <c r="G995" s="12">
        <v>859796.55</v>
      </c>
      <c r="H995" s="35">
        <v>46147.398143344908</v>
      </c>
    </row>
    <row r="996" spans="2:8" x14ac:dyDescent="0.2">
      <c r="B996" s="32">
        <v>46022</v>
      </c>
      <c r="C996" t="s">
        <v>108</v>
      </c>
      <c r="D996" t="s">
        <v>227</v>
      </c>
      <c r="E996" s="13" t="s">
        <v>530</v>
      </c>
      <c r="F996" s="12">
        <v>21</v>
      </c>
      <c r="G996" s="12">
        <v>820714.88</v>
      </c>
      <c r="H996" s="35">
        <v>46147.398143344908</v>
      </c>
    </row>
    <row r="997" spans="2:8" x14ac:dyDescent="0.2">
      <c r="B997" s="32">
        <v>46022</v>
      </c>
      <c r="C997" t="s">
        <v>108</v>
      </c>
      <c r="D997" t="s">
        <v>1552</v>
      </c>
      <c r="E997" s="13" t="s">
        <v>530</v>
      </c>
      <c r="F997" s="12">
        <v>3</v>
      </c>
      <c r="G997" s="12">
        <v>492428.93</v>
      </c>
      <c r="H997" s="35">
        <v>46147.398143344908</v>
      </c>
    </row>
    <row r="998" spans="2:8" x14ac:dyDescent="0.2">
      <c r="B998" s="32">
        <v>46022</v>
      </c>
      <c r="C998" t="s">
        <v>108</v>
      </c>
      <c r="D998" t="s">
        <v>531</v>
      </c>
      <c r="E998" s="13" t="s">
        <v>530</v>
      </c>
      <c r="F998" s="12">
        <v>200</v>
      </c>
      <c r="G998" s="12">
        <v>491525.43</v>
      </c>
      <c r="H998" s="35">
        <v>46147.398143344908</v>
      </c>
    </row>
    <row r="999" spans="2:8" x14ac:dyDescent="0.2">
      <c r="B999" s="32">
        <v>46022</v>
      </c>
      <c r="C999" t="s">
        <v>108</v>
      </c>
      <c r="D999" t="s">
        <v>149</v>
      </c>
      <c r="E999" s="13" t="s">
        <v>530</v>
      </c>
      <c r="F999" s="12">
        <v>11</v>
      </c>
      <c r="G999" s="12">
        <v>472888.1</v>
      </c>
      <c r="H999" s="35">
        <v>46147.398143344908</v>
      </c>
    </row>
    <row r="1000" spans="2:8" x14ac:dyDescent="0.2">
      <c r="B1000" s="32">
        <v>46022</v>
      </c>
      <c r="C1000" t="s">
        <v>108</v>
      </c>
      <c r="D1000" t="s">
        <v>144</v>
      </c>
      <c r="E1000" s="13" t="s">
        <v>530</v>
      </c>
      <c r="F1000" s="12">
        <v>10</v>
      </c>
      <c r="G1000" s="12">
        <v>429898.28</v>
      </c>
      <c r="H1000" s="35">
        <v>46147.398143344908</v>
      </c>
    </row>
    <row r="1001" spans="2:8" x14ac:dyDescent="0.2">
      <c r="B1001" s="32">
        <v>46022</v>
      </c>
      <c r="C1001" t="s">
        <v>108</v>
      </c>
      <c r="D1001" t="s">
        <v>177</v>
      </c>
      <c r="E1001" s="13" t="s">
        <v>530</v>
      </c>
      <c r="F1001" s="12">
        <v>10</v>
      </c>
      <c r="G1001" s="12">
        <v>429898.28</v>
      </c>
      <c r="H1001" s="35">
        <v>46147.398143344908</v>
      </c>
    </row>
    <row r="1002" spans="2:8" x14ac:dyDescent="0.2">
      <c r="B1002" s="32">
        <v>46022</v>
      </c>
      <c r="C1002" t="s">
        <v>108</v>
      </c>
      <c r="D1002" t="s">
        <v>193</v>
      </c>
      <c r="E1002" s="13" t="s">
        <v>530</v>
      </c>
      <c r="F1002" s="12">
        <v>10</v>
      </c>
      <c r="G1002" s="12">
        <v>429898.28</v>
      </c>
      <c r="H1002" s="35">
        <v>46147.398143344908</v>
      </c>
    </row>
    <row r="1003" spans="2:8" x14ac:dyDescent="0.2">
      <c r="B1003" s="32">
        <v>46022</v>
      </c>
      <c r="C1003" t="s">
        <v>108</v>
      </c>
      <c r="D1003" t="s">
        <v>403</v>
      </c>
      <c r="E1003" s="13" t="s">
        <v>530</v>
      </c>
      <c r="F1003" s="12">
        <v>3</v>
      </c>
      <c r="G1003" s="12">
        <v>82071.490000000005</v>
      </c>
      <c r="H1003" s="35">
        <v>46147.398143344908</v>
      </c>
    </row>
    <row r="1004" spans="2:8" x14ac:dyDescent="0.2">
      <c r="B1004" s="32">
        <v>46022</v>
      </c>
      <c r="C1004" t="s">
        <v>140</v>
      </c>
      <c r="D1004" t="s">
        <v>407</v>
      </c>
      <c r="E1004" s="13" t="s">
        <v>529</v>
      </c>
      <c r="F1004" s="12">
        <v>8</v>
      </c>
      <c r="G1004" s="12">
        <v>302521.01</v>
      </c>
      <c r="H1004" s="35">
        <v>46147.398143344908</v>
      </c>
    </row>
    <row r="1005" spans="2:8" x14ac:dyDescent="0.2">
      <c r="B1005" s="32">
        <v>46022</v>
      </c>
      <c r="C1005" t="s">
        <v>140</v>
      </c>
      <c r="D1005" t="s">
        <v>142</v>
      </c>
      <c r="E1005" s="13" t="s">
        <v>529</v>
      </c>
      <c r="F1005" s="12">
        <v>3</v>
      </c>
      <c r="G1005" s="12">
        <v>25210.080000000002</v>
      </c>
      <c r="H1005" s="35">
        <v>46147.398143344908</v>
      </c>
    </row>
    <row r="1006" spans="2:8" x14ac:dyDescent="0.2">
      <c r="B1006" s="32">
        <v>46024</v>
      </c>
      <c r="C1006" t="s">
        <v>140</v>
      </c>
      <c r="D1006" t="s">
        <v>141</v>
      </c>
      <c r="E1006" s="13" t="s">
        <v>530</v>
      </c>
      <c r="F1006" s="12">
        <v>1</v>
      </c>
      <c r="G1006" s="12">
        <v>285714.28999999998</v>
      </c>
      <c r="H1006" s="35">
        <v>46147.398143344908</v>
      </c>
    </row>
    <row r="1007" spans="2:8" x14ac:dyDescent="0.2">
      <c r="B1007" s="32">
        <v>46024</v>
      </c>
      <c r="C1007" t="s">
        <v>140</v>
      </c>
      <c r="D1007" t="s">
        <v>547</v>
      </c>
      <c r="E1007" s="13" t="s">
        <v>529</v>
      </c>
      <c r="F1007" s="12">
        <v>1</v>
      </c>
      <c r="G1007" s="12">
        <v>58823.53</v>
      </c>
      <c r="H1007" s="35">
        <v>46147.398143344908</v>
      </c>
    </row>
    <row r="1008" spans="2:8" x14ac:dyDescent="0.2">
      <c r="B1008" s="32">
        <v>46024</v>
      </c>
      <c r="C1008" t="s">
        <v>140</v>
      </c>
      <c r="D1008" t="s">
        <v>483</v>
      </c>
      <c r="E1008" s="13" t="s">
        <v>529</v>
      </c>
      <c r="F1008" s="12">
        <v>1</v>
      </c>
      <c r="G1008" s="12">
        <v>58823.53</v>
      </c>
      <c r="H1008" s="35">
        <v>46147.398143344908</v>
      </c>
    </row>
    <row r="1009" spans="2:8" x14ac:dyDescent="0.2">
      <c r="B1009" s="32">
        <v>46024</v>
      </c>
      <c r="C1009" t="s">
        <v>140</v>
      </c>
      <c r="D1009" t="s">
        <v>584</v>
      </c>
      <c r="E1009" s="13" t="s">
        <v>529</v>
      </c>
      <c r="F1009" s="12">
        <v>1</v>
      </c>
      <c r="G1009" s="12">
        <v>58823.53</v>
      </c>
      <c r="H1009" s="35">
        <v>46147.398143344908</v>
      </c>
    </row>
    <row r="1010" spans="2:8" x14ac:dyDescent="0.2">
      <c r="B1010" s="32">
        <v>46024</v>
      </c>
      <c r="C1010" t="s">
        <v>140</v>
      </c>
      <c r="E1010" s="13" t="s">
        <v>529</v>
      </c>
      <c r="F1010" s="12">
        <v>0</v>
      </c>
      <c r="G1010" s="12">
        <v>0</v>
      </c>
      <c r="H1010" s="35">
        <v>46147.398143344908</v>
      </c>
    </row>
    <row r="1011" spans="2:8" x14ac:dyDescent="0.2">
      <c r="B1011" s="32">
        <v>46024</v>
      </c>
      <c r="C1011" t="s">
        <v>140</v>
      </c>
      <c r="E1011" s="13" t="s">
        <v>530</v>
      </c>
      <c r="F1011" s="12">
        <v>0</v>
      </c>
      <c r="G1011" s="12">
        <v>0</v>
      </c>
      <c r="H1011" s="35">
        <v>46147.398143344908</v>
      </c>
    </row>
    <row r="1012" spans="2:8" x14ac:dyDescent="0.2">
      <c r="B1012" s="32">
        <v>46025</v>
      </c>
      <c r="C1012" t="s">
        <v>140</v>
      </c>
      <c r="D1012" t="s">
        <v>561</v>
      </c>
      <c r="E1012" s="13" t="s">
        <v>529</v>
      </c>
      <c r="F1012" s="12">
        <v>1</v>
      </c>
      <c r="G1012" s="12">
        <v>107563.03</v>
      </c>
      <c r="H1012" s="35">
        <v>46147.398143344908</v>
      </c>
    </row>
    <row r="1013" spans="2:8" x14ac:dyDescent="0.2">
      <c r="B1013" s="32">
        <v>46025</v>
      </c>
      <c r="C1013" t="s">
        <v>140</v>
      </c>
      <c r="D1013" t="s">
        <v>205</v>
      </c>
      <c r="E1013" s="13" t="s">
        <v>530</v>
      </c>
      <c r="F1013" s="12">
        <v>1</v>
      </c>
      <c r="G1013" s="12">
        <v>100840.34</v>
      </c>
      <c r="H1013" s="35">
        <v>46147.398143344908</v>
      </c>
    </row>
    <row r="1014" spans="2:8" x14ac:dyDescent="0.2">
      <c r="B1014" s="32">
        <v>46025</v>
      </c>
      <c r="C1014" t="s">
        <v>140</v>
      </c>
      <c r="D1014" t="s">
        <v>311</v>
      </c>
      <c r="E1014" s="13" t="s">
        <v>530</v>
      </c>
      <c r="F1014" s="12">
        <v>1</v>
      </c>
      <c r="G1014" s="12">
        <v>100840.34</v>
      </c>
      <c r="H1014" s="35">
        <v>46147.398143344908</v>
      </c>
    </row>
    <row r="1015" spans="2:8" x14ac:dyDescent="0.2">
      <c r="B1015" s="32">
        <v>46025</v>
      </c>
      <c r="C1015" t="s">
        <v>140</v>
      </c>
      <c r="D1015" t="s">
        <v>582</v>
      </c>
      <c r="E1015" s="13" t="s">
        <v>529</v>
      </c>
      <c r="F1015" s="12">
        <v>1</v>
      </c>
      <c r="G1015" s="12">
        <v>58823.53</v>
      </c>
      <c r="H1015" s="35">
        <v>46147.398143344908</v>
      </c>
    </row>
    <row r="1016" spans="2:8" x14ac:dyDescent="0.2">
      <c r="B1016" s="32">
        <v>46025</v>
      </c>
      <c r="C1016" t="s">
        <v>140</v>
      </c>
      <c r="D1016" t="s">
        <v>283</v>
      </c>
      <c r="E1016" s="13" t="s">
        <v>530</v>
      </c>
      <c r="F1016" s="12">
        <v>1</v>
      </c>
      <c r="G1016" s="12">
        <v>58823.53</v>
      </c>
      <c r="H1016" s="35">
        <v>46147.398143344908</v>
      </c>
    </row>
    <row r="1017" spans="2:8" x14ac:dyDescent="0.2">
      <c r="B1017" s="32">
        <v>46025</v>
      </c>
      <c r="C1017" t="s">
        <v>140</v>
      </c>
      <c r="D1017" t="s">
        <v>173</v>
      </c>
      <c r="E1017" s="13" t="s">
        <v>529</v>
      </c>
      <c r="F1017" s="12">
        <v>1</v>
      </c>
      <c r="G1017" s="12">
        <v>58823.53</v>
      </c>
      <c r="H1017" s="35">
        <v>46147.398143344908</v>
      </c>
    </row>
    <row r="1018" spans="2:8" x14ac:dyDescent="0.2">
      <c r="B1018" s="32">
        <v>46025</v>
      </c>
      <c r="C1018" t="s">
        <v>140</v>
      </c>
      <c r="D1018" t="s">
        <v>237</v>
      </c>
      <c r="E1018" s="13" t="s">
        <v>530</v>
      </c>
      <c r="F1018" s="12">
        <v>1</v>
      </c>
      <c r="G1018" s="12">
        <v>46218.49</v>
      </c>
      <c r="H1018" s="35">
        <v>46147.398143344908</v>
      </c>
    </row>
    <row r="1019" spans="2:8" x14ac:dyDescent="0.2">
      <c r="B1019" s="32">
        <v>46025</v>
      </c>
      <c r="C1019" t="s">
        <v>140</v>
      </c>
      <c r="D1019" t="s">
        <v>208</v>
      </c>
      <c r="E1019" s="13" t="s">
        <v>530</v>
      </c>
      <c r="F1019" s="12">
        <v>1</v>
      </c>
      <c r="G1019" s="12">
        <v>46218.48</v>
      </c>
      <c r="H1019" s="35">
        <v>46147.398143344908</v>
      </c>
    </row>
    <row r="1020" spans="2:8" x14ac:dyDescent="0.2">
      <c r="B1020" s="32">
        <v>46025</v>
      </c>
      <c r="C1020" t="s">
        <v>140</v>
      </c>
      <c r="E1020" s="13" t="s">
        <v>530</v>
      </c>
      <c r="F1020" s="12">
        <v>0</v>
      </c>
      <c r="G1020" s="12">
        <v>0</v>
      </c>
      <c r="H1020" s="35">
        <v>46147.398143344908</v>
      </c>
    </row>
    <row r="1021" spans="2:8" x14ac:dyDescent="0.2">
      <c r="B1021" s="32">
        <v>46025</v>
      </c>
      <c r="C1021" t="s">
        <v>140</v>
      </c>
      <c r="E1021" s="13" t="s">
        <v>529</v>
      </c>
      <c r="F1021" s="12">
        <v>0</v>
      </c>
      <c r="G1021" s="12">
        <v>0</v>
      </c>
      <c r="H1021" s="35">
        <v>46147.398143344908</v>
      </c>
    </row>
    <row r="1022" spans="2:8" x14ac:dyDescent="0.2">
      <c r="B1022" s="32">
        <v>46025</v>
      </c>
      <c r="C1022" t="s">
        <v>109</v>
      </c>
      <c r="D1022" t="s">
        <v>317</v>
      </c>
      <c r="E1022" s="13" t="s">
        <v>530</v>
      </c>
      <c r="F1022" s="12">
        <v>1</v>
      </c>
      <c r="G1022" s="12">
        <v>58823.53</v>
      </c>
      <c r="H1022" s="35">
        <v>46147.398143344908</v>
      </c>
    </row>
    <row r="1023" spans="2:8" x14ac:dyDescent="0.2">
      <c r="B1023" s="32">
        <v>46025</v>
      </c>
      <c r="C1023" t="s">
        <v>109</v>
      </c>
      <c r="E1023" s="13" t="s">
        <v>530</v>
      </c>
      <c r="F1023" s="12">
        <v>0</v>
      </c>
      <c r="G1023" s="12">
        <v>0</v>
      </c>
      <c r="H1023" s="35">
        <v>46147.398143344908</v>
      </c>
    </row>
    <row r="1024" spans="2:8" x14ac:dyDescent="0.2">
      <c r="B1024" s="32">
        <v>46026</v>
      </c>
      <c r="C1024" t="s">
        <v>140</v>
      </c>
      <c r="D1024" t="s">
        <v>250</v>
      </c>
      <c r="E1024" s="13" t="s">
        <v>530</v>
      </c>
      <c r="F1024" s="12">
        <v>1</v>
      </c>
      <c r="G1024" s="12">
        <v>243697.48</v>
      </c>
      <c r="H1024" s="35">
        <v>46147.398143344908</v>
      </c>
    </row>
    <row r="1025" spans="2:8" x14ac:dyDescent="0.2">
      <c r="B1025" s="32">
        <v>46026</v>
      </c>
      <c r="C1025" t="s">
        <v>140</v>
      </c>
      <c r="D1025" t="s">
        <v>552</v>
      </c>
      <c r="E1025" s="13" t="s">
        <v>529</v>
      </c>
      <c r="F1025" s="12">
        <v>1</v>
      </c>
      <c r="G1025" s="12">
        <v>54621.85</v>
      </c>
      <c r="H1025" s="35">
        <v>46147.398143344908</v>
      </c>
    </row>
    <row r="1026" spans="2:8" x14ac:dyDescent="0.2">
      <c r="B1026" s="32">
        <v>46026</v>
      </c>
      <c r="C1026" t="s">
        <v>140</v>
      </c>
      <c r="D1026" t="s">
        <v>213</v>
      </c>
      <c r="E1026" s="13" t="s">
        <v>530</v>
      </c>
      <c r="F1026" s="12">
        <v>1</v>
      </c>
      <c r="G1026" s="12">
        <v>46218.49</v>
      </c>
      <c r="H1026" s="35">
        <v>46147.398143344908</v>
      </c>
    </row>
    <row r="1027" spans="2:8" x14ac:dyDescent="0.2">
      <c r="B1027" s="32">
        <v>46026</v>
      </c>
      <c r="C1027" t="s">
        <v>140</v>
      </c>
      <c r="E1027" s="13" t="s">
        <v>530</v>
      </c>
      <c r="F1027" s="12">
        <v>0</v>
      </c>
      <c r="G1027" s="12">
        <v>0</v>
      </c>
      <c r="H1027" s="35">
        <v>46147.398143344908</v>
      </c>
    </row>
    <row r="1028" spans="2:8" x14ac:dyDescent="0.2">
      <c r="B1028" s="32">
        <v>46026</v>
      </c>
      <c r="C1028" t="s">
        <v>140</v>
      </c>
      <c r="E1028" s="13" t="s">
        <v>529</v>
      </c>
      <c r="F1028" s="12">
        <v>0</v>
      </c>
      <c r="G1028" s="12">
        <v>0</v>
      </c>
      <c r="H1028" s="35">
        <v>46147.398143344908</v>
      </c>
    </row>
    <row r="1029" spans="2:8" x14ac:dyDescent="0.2">
      <c r="B1029" s="32">
        <v>46027</v>
      </c>
      <c r="C1029" t="s">
        <v>140</v>
      </c>
      <c r="D1029" t="s">
        <v>460</v>
      </c>
      <c r="E1029" s="13" t="s">
        <v>529</v>
      </c>
      <c r="F1029" s="12">
        <v>1</v>
      </c>
      <c r="G1029" s="12">
        <v>285714.28999999998</v>
      </c>
      <c r="H1029" s="35">
        <v>46147.398143344908</v>
      </c>
    </row>
    <row r="1030" spans="2:8" x14ac:dyDescent="0.2">
      <c r="B1030" s="32">
        <v>46027</v>
      </c>
      <c r="C1030" t="s">
        <v>140</v>
      </c>
      <c r="D1030" t="s">
        <v>559</v>
      </c>
      <c r="E1030" s="13" t="s">
        <v>529</v>
      </c>
      <c r="F1030" s="12">
        <v>1</v>
      </c>
      <c r="G1030" s="12">
        <v>243697.48</v>
      </c>
      <c r="H1030" s="35">
        <v>46147.398143344908</v>
      </c>
    </row>
    <row r="1031" spans="2:8" x14ac:dyDescent="0.2">
      <c r="B1031" s="32">
        <v>46027</v>
      </c>
      <c r="C1031" t="s">
        <v>140</v>
      </c>
      <c r="D1031" t="s">
        <v>553</v>
      </c>
      <c r="E1031" s="13" t="s">
        <v>529</v>
      </c>
      <c r="F1031" s="12">
        <v>1</v>
      </c>
      <c r="G1031" s="12">
        <v>124369.75</v>
      </c>
      <c r="H1031" s="35">
        <v>46147.398143344908</v>
      </c>
    </row>
    <row r="1032" spans="2:8" x14ac:dyDescent="0.2">
      <c r="B1032" s="32">
        <v>46027</v>
      </c>
      <c r="C1032" t="s">
        <v>140</v>
      </c>
      <c r="D1032" t="s">
        <v>302</v>
      </c>
      <c r="E1032" s="13" t="s">
        <v>530</v>
      </c>
      <c r="F1032" s="12">
        <v>1</v>
      </c>
      <c r="G1032" s="12">
        <v>100840.34</v>
      </c>
      <c r="H1032" s="35">
        <v>46147.398143344908</v>
      </c>
    </row>
    <row r="1033" spans="2:8" x14ac:dyDescent="0.2">
      <c r="B1033" s="32">
        <v>46027</v>
      </c>
      <c r="C1033" t="s">
        <v>140</v>
      </c>
      <c r="D1033" t="s">
        <v>311</v>
      </c>
      <c r="E1033" s="13" t="s">
        <v>529</v>
      </c>
      <c r="F1033" s="12">
        <v>1</v>
      </c>
      <c r="G1033" s="12">
        <v>100840.34</v>
      </c>
      <c r="H1033" s="35">
        <v>46147.398143344908</v>
      </c>
    </row>
    <row r="1034" spans="2:8" x14ac:dyDescent="0.2">
      <c r="B1034" s="32">
        <v>46027</v>
      </c>
      <c r="C1034" t="s">
        <v>140</v>
      </c>
      <c r="D1034" t="s">
        <v>391</v>
      </c>
      <c r="E1034" s="13" t="s">
        <v>529</v>
      </c>
      <c r="F1034" s="12">
        <v>2</v>
      </c>
      <c r="G1034" s="12">
        <v>92436.96</v>
      </c>
      <c r="H1034" s="35">
        <v>46147.398143344908</v>
      </c>
    </row>
    <row r="1035" spans="2:8" x14ac:dyDescent="0.2">
      <c r="B1035" s="32">
        <v>46027</v>
      </c>
      <c r="C1035" t="s">
        <v>140</v>
      </c>
      <c r="D1035" t="s">
        <v>147</v>
      </c>
      <c r="E1035" s="13" t="s">
        <v>530</v>
      </c>
      <c r="F1035" s="12">
        <v>1</v>
      </c>
      <c r="G1035" s="12">
        <v>71428.570000000007</v>
      </c>
      <c r="H1035" s="35">
        <v>46147.398143344908</v>
      </c>
    </row>
    <row r="1036" spans="2:8" x14ac:dyDescent="0.2">
      <c r="B1036" s="32">
        <v>46027</v>
      </c>
      <c r="C1036" t="s">
        <v>140</v>
      </c>
      <c r="D1036" t="s">
        <v>160</v>
      </c>
      <c r="E1036" s="13" t="s">
        <v>530</v>
      </c>
      <c r="F1036" s="12">
        <v>1</v>
      </c>
      <c r="G1036" s="12">
        <v>58823.53</v>
      </c>
      <c r="H1036" s="35">
        <v>46147.398143344908</v>
      </c>
    </row>
    <row r="1037" spans="2:8" x14ac:dyDescent="0.2">
      <c r="B1037" s="32">
        <v>46027</v>
      </c>
      <c r="C1037" t="s">
        <v>140</v>
      </c>
      <c r="D1037" t="s">
        <v>455</v>
      </c>
      <c r="E1037" s="13" t="s">
        <v>529</v>
      </c>
      <c r="F1037" s="12">
        <v>1</v>
      </c>
      <c r="G1037" s="12">
        <v>46218.49</v>
      </c>
      <c r="H1037" s="35">
        <v>46147.398143344908</v>
      </c>
    </row>
    <row r="1038" spans="2:8" x14ac:dyDescent="0.2">
      <c r="B1038" s="32">
        <v>46027</v>
      </c>
      <c r="C1038" t="s">
        <v>140</v>
      </c>
      <c r="D1038" t="s">
        <v>372</v>
      </c>
      <c r="E1038" s="13" t="s">
        <v>529</v>
      </c>
      <c r="F1038" s="12">
        <v>1</v>
      </c>
      <c r="G1038" s="12">
        <v>46218.49</v>
      </c>
      <c r="H1038" s="35">
        <v>46147.398143344908</v>
      </c>
    </row>
    <row r="1039" spans="2:8" x14ac:dyDescent="0.2">
      <c r="B1039" s="32">
        <v>46027</v>
      </c>
      <c r="C1039" t="s">
        <v>140</v>
      </c>
      <c r="D1039" t="s">
        <v>171</v>
      </c>
      <c r="E1039" s="13" t="s">
        <v>529</v>
      </c>
      <c r="F1039" s="12">
        <v>1</v>
      </c>
      <c r="G1039" s="12">
        <v>37815.129999999997</v>
      </c>
      <c r="H1039" s="35">
        <v>46147.398143344908</v>
      </c>
    </row>
    <row r="1040" spans="2:8" x14ac:dyDescent="0.2">
      <c r="B1040" s="32">
        <v>46027</v>
      </c>
      <c r="C1040" t="s">
        <v>140</v>
      </c>
      <c r="E1040" s="13" t="s">
        <v>529</v>
      </c>
      <c r="F1040" s="12">
        <v>0</v>
      </c>
      <c r="G1040" s="12">
        <v>0</v>
      </c>
      <c r="H1040" s="35">
        <v>46147.398143344908</v>
      </c>
    </row>
    <row r="1041" spans="2:8" x14ac:dyDescent="0.2">
      <c r="B1041" s="32">
        <v>46027</v>
      </c>
      <c r="C1041" t="s">
        <v>140</v>
      </c>
      <c r="E1041" s="13" t="s">
        <v>530</v>
      </c>
      <c r="F1041" s="12">
        <v>0</v>
      </c>
      <c r="G1041" s="12">
        <v>0</v>
      </c>
      <c r="H1041" s="35">
        <v>46147.398143344908</v>
      </c>
    </row>
    <row r="1042" spans="2:8" x14ac:dyDescent="0.2">
      <c r="B1042" s="32">
        <v>46027</v>
      </c>
      <c r="C1042" t="s">
        <v>109</v>
      </c>
      <c r="D1042" t="s">
        <v>147</v>
      </c>
      <c r="E1042" s="13" t="s">
        <v>530</v>
      </c>
      <c r="F1042" s="12">
        <v>1</v>
      </c>
      <c r="G1042" s="12">
        <v>71428.570000000007</v>
      </c>
      <c r="H1042" s="35">
        <v>46147.398143344908</v>
      </c>
    </row>
    <row r="1043" spans="2:8" x14ac:dyDescent="0.2">
      <c r="B1043" s="32">
        <v>46027</v>
      </c>
      <c r="C1043" t="s">
        <v>109</v>
      </c>
      <c r="D1043" t="s">
        <v>382</v>
      </c>
      <c r="E1043" s="13" t="s">
        <v>529</v>
      </c>
      <c r="F1043" s="12">
        <v>1</v>
      </c>
      <c r="G1043" s="12">
        <v>58823.53</v>
      </c>
      <c r="H1043" s="35">
        <v>46147.398143344908</v>
      </c>
    </row>
    <row r="1044" spans="2:8" x14ac:dyDescent="0.2">
      <c r="B1044" s="32">
        <v>46027</v>
      </c>
      <c r="C1044" t="s">
        <v>109</v>
      </c>
      <c r="D1044" t="s">
        <v>174</v>
      </c>
      <c r="E1044" s="13" t="s">
        <v>529</v>
      </c>
      <c r="F1044" s="12">
        <v>1</v>
      </c>
      <c r="G1044" s="12">
        <v>58823.519999999997</v>
      </c>
      <c r="H1044" s="35">
        <v>46147.398143344908</v>
      </c>
    </row>
    <row r="1045" spans="2:8" x14ac:dyDescent="0.2">
      <c r="B1045" s="32">
        <v>46027</v>
      </c>
      <c r="C1045" t="s">
        <v>109</v>
      </c>
      <c r="D1045" t="s">
        <v>151</v>
      </c>
      <c r="E1045" s="13" t="s">
        <v>529</v>
      </c>
      <c r="F1045" s="12">
        <v>1</v>
      </c>
      <c r="G1045" s="12">
        <v>46218.49</v>
      </c>
      <c r="H1045" s="35">
        <v>46147.398143344908</v>
      </c>
    </row>
    <row r="1046" spans="2:8" x14ac:dyDescent="0.2">
      <c r="B1046" s="32">
        <v>46027</v>
      </c>
      <c r="C1046" t="s">
        <v>109</v>
      </c>
      <c r="D1046" t="s">
        <v>238</v>
      </c>
      <c r="E1046" s="13" t="s">
        <v>529</v>
      </c>
      <c r="F1046" s="12">
        <v>1</v>
      </c>
      <c r="G1046" s="12">
        <v>46218.49</v>
      </c>
      <c r="H1046" s="35">
        <v>46147.398143344908</v>
      </c>
    </row>
    <row r="1047" spans="2:8" x14ac:dyDescent="0.2">
      <c r="B1047" s="32">
        <v>46027</v>
      </c>
      <c r="C1047" t="s">
        <v>109</v>
      </c>
      <c r="D1047" t="s">
        <v>239</v>
      </c>
      <c r="E1047" s="13" t="s">
        <v>530</v>
      </c>
      <c r="F1047" s="12">
        <v>1</v>
      </c>
      <c r="G1047" s="12">
        <v>46218.49</v>
      </c>
      <c r="H1047" s="35">
        <v>46147.398143344908</v>
      </c>
    </row>
    <row r="1048" spans="2:8" x14ac:dyDescent="0.2">
      <c r="B1048" s="32">
        <v>46027</v>
      </c>
      <c r="C1048" t="s">
        <v>109</v>
      </c>
      <c r="D1048" t="s">
        <v>236</v>
      </c>
      <c r="E1048" s="13" t="s">
        <v>530</v>
      </c>
      <c r="F1048" s="12">
        <v>1</v>
      </c>
      <c r="G1048" s="12">
        <v>46218.49</v>
      </c>
      <c r="H1048" s="35">
        <v>46147.398143344908</v>
      </c>
    </row>
    <row r="1049" spans="2:8" x14ac:dyDescent="0.2">
      <c r="B1049" s="32">
        <v>46027</v>
      </c>
      <c r="C1049" t="s">
        <v>109</v>
      </c>
      <c r="D1049" t="s">
        <v>148</v>
      </c>
      <c r="E1049" s="13" t="s">
        <v>529</v>
      </c>
      <c r="F1049" s="12">
        <v>1</v>
      </c>
      <c r="G1049" s="12">
        <v>46218.49</v>
      </c>
      <c r="H1049" s="35">
        <v>46147.398143344908</v>
      </c>
    </row>
    <row r="1050" spans="2:8" x14ac:dyDescent="0.2">
      <c r="B1050" s="32">
        <v>46027</v>
      </c>
      <c r="C1050" t="s">
        <v>109</v>
      </c>
      <c r="D1050" t="s">
        <v>204</v>
      </c>
      <c r="E1050" s="13" t="s">
        <v>529</v>
      </c>
      <c r="F1050" s="12">
        <v>1</v>
      </c>
      <c r="G1050" s="12">
        <v>37815.129999999997</v>
      </c>
      <c r="H1050" s="35">
        <v>46147.398143344908</v>
      </c>
    </row>
    <row r="1051" spans="2:8" x14ac:dyDescent="0.2">
      <c r="B1051" s="32">
        <v>46027</v>
      </c>
      <c r="C1051" t="s">
        <v>109</v>
      </c>
      <c r="D1051" t="s">
        <v>191</v>
      </c>
      <c r="E1051" s="13" t="s">
        <v>530</v>
      </c>
      <c r="F1051" s="12">
        <v>1</v>
      </c>
      <c r="G1051" s="12">
        <v>37815.129999999997</v>
      </c>
      <c r="H1051" s="35">
        <v>46147.398143344908</v>
      </c>
    </row>
    <row r="1052" spans="2:8" x14ac:dyDescent="0.2">
      <c r="B1052" s="32">
        <v>46027</v>
      </c>
      <c r="C1052" t="s">
        <v>109</v>
      </c>
      <c r="D1052" t="s">
        <v>146</v>
      </c>
      <c r="E1052" s="13" t="s">
        <v>530</v>
      </c>
      <c r="F1052" s="12">
        <v>1</v>
      </c>
      <c r="G1052" s="12">
        <v>37815.120000000003</v>
      </c>
      <c r="H1052" s="35">
        <v>46147.398143344908</v>
      </c>
    </row>
    <row r="1053" spans="2:8" x14ac:dyDescent="0.2">
      <c r="B1053" s="32">
        <v>46027</v>
      </c>
      <c r="C1053" t="s">
        <v>109</v>
      </c>
      <c r="D1053" t="s">
        <v>207</v>
      </c>
      <c r="E1053" s="13" t="s">
        <v>530</v>
      </c>
      <c r="F1053" s="12">
        <v>2</v>
      </c>
      <c r="G1053" s="12">
        <v>33613.449999999997</v>
      </c>
      <c r="H1053" s="35">
        <v>46147.398143344908</v>
      </c>
    </row>
    <row r="1054" spans="2:8" x14ac:dyDescent="0.2">
      <c r="B1054" s="32">
        <v>46027</v>
      </c>
      <c r="C1054" t="s">
        <v>109</v>
      </c>
      <c r="D1054" t="s">
        <v>308</v>
      </c>
      <c r="E1054" s="13" t="s">
        <v>530</v>
      </c>
      <c r="F1054" s="12">
        <v>1</v>
      </c>
      <c r="G1054" s="12">
        <v>16806.72</v>
      </c>
      <c r="H1054" s="35">
        <v>46147.398143344908</v>
      </c>
    </row>
    <row r="1055" spans="2:8" x14ac:dyDescent="0.2">
      <c r="B1055" s="32">
        <v>46027</v>
      </c>
      <c r="C1055" t="s">
        <v>109</v>
      </c>
      <c r="D1055" t="s">
        <v>142</v>
      </c>
      <c r="E1055" s="13" t="s">
        <v>529</v>
      </c>
      <c r="F1055" s="12">
        <v>1</v>
      </c>
      <c r="G1055" s="12">
        <v>3781.51</v>
      </c>
      <c r="H1055" s="35">
        <v>46147.398143344908</v>
      </c>
    </row>
    <row r="1056" spans="2:8" x14ac:dyDescent="0.2">
      <c r="B1056" s="32">
        <v>46028</v>
      </c>
      <c r="C1056" t="s">
        <v>140</v>
      </c>
      <c r="D1056" t="s">
        <v>501</v>
      </c>
      <c r="E1056" s="13" t="s">
        <v>529</v>
      </c>
      <c r="F1056" s="12">
        <v>1</v>
      </c>
      <c r="G1056" s="12">
        <v>100840.34</v>
      </c>
      <c r="H1056" s="35">
        <v>46147.398143344908</v>
      </c>
    </row>
    <row r="1057" spans="2:8" x14ac:dyDescent="0.2">
      <c r="B1057" s="32">
        <v>46028</v>
      </c>
      <c r="C1057" t="s">
        <v>140</v>
      </c>
      <c r="D1057" t="s">
        <v>153</v>
      </c>
      <c r="E1057" s="13" t="s">
        <v>530</v>
      </c>
      <c r="F1057" s="12">
        <v>1</v>
      </c>
      <c r="G1057" s="12">
        <v>100840.34</v>
      </c>
      <c r="H1057" s="35">
        <v>46147.398143344908</v>
      </c>
    </row>
    <row r="1058" spans="2:8" x14ac:dyDescent="0.2">
      <c r="B1058" s="32">
        <v>46028</v>
      </c>
      <c r="C1058" t="s">
        <v>140</v>
      </c>
      <c r="D1058" t="s">
        <v>205</v>
      </c>
      <c r="E1058" s="13" t="s">
        <v>529</v>
      </c>
      <c r="F1058" s="12">
        <v>1</v>
      </c>
      <c r="G1058" s="12">
        <v>100840.34</v>
      </c>
      <c r="H1058" s="35">
        <v>46147.398143344908</v>
      </c>
    </row>
    <row r="1059" spans="2:8" x14ac:dyDescent="0.2">
      <c r="B1059" s="32">
        <v>46028</v>
      </c>
      <c r="C1059" t="s">
        <v>140</v>
      </c>
      <c r="E1059" s="13" t="s">
        <v>529</v>
      </c>
      <c r="F1059" s="12">
        <v>0</v>
      </c>
      <c r="G1059" s="12">
        <v>0</v>
      </c>
      <c r="H1059" s="35">
        <v>46147.398143344908</v>
      </c>
    </row>
    <row r="1060" spans="2:8" x14ac:dyDescent="0.2">
      <c r="B1060" s="32">
        <v>46028</v>
      </c>
      <c r="C1060" t="s">
        <v>140</v>
      </c>
      <c r="E1060" s="13" t="s">
        <v>530</v>
      </c>
      <c r="F1060" s="12">
        <v>0</v>
      </c>
      <c r="G1060" s="12">
        <v>0</v>
      </c>
      <c r="H1060" s="35">
        <v>46147.398143344908</v>
      </c>
    </row>
    <row r="1061" spans="2:8" x14ac:dyDescent="0.2">
      <c r="B1061" s="32">
        <v>46028</v>
      </c>
      <c r="C1061" t="s">
        <v>110</v>
      </c>
      <c r="D1061" t="s">
        <v>148</v>
      </c>
      <c r="E1061" s="13"/>
      <c r="F1061" s="12">
        <v>1</v>
      </c>
      <c r="G1061" s="12">
        <v>46218.49</v>
      </c>
      <c r="H1061" s="35">
        <v>46147.398143344908</v>
      </c>
    </row>
    <row r="1062" spans="2:8" x14ac:dyDescent="0.2">
      <c r="B1062" s="32">
        <v>46028</v>
      </c>
      <c r="C1062" t="s">
        <v>109</v>
      </c>
      <c r="D1062" t="s">
        <v>314</v>
      </c>
      <c r="E1062" s="13" t="s">
        <v>530</v>
      </c>
      <c r="F1062" s="12">
        <v>1</v>
      </c>
      <c r="G1062" s="12">
        <v>184873.95</v>
      </c>
      <c r="H1062" s="35">
        <v>46147.398143344908</v>
      </c>
    </row>
    <row r="1063" spans="2:8" x14ac:dyDescent="0.2">
      <c r="B1063" s="32">
        <v>46028</v>
      </c>
      <c r="C1063" t="s">
        <v>109</v>
      </c>
      <c r="E1063" s="13" t="s">
        <v>529</v>
      </c>
      <c r="F1063" s="12">
        <v>1</v>
      </c>
      <c r="G1063" s="12">
        <v>121848.74</v>
      </c>
      <c r="H1063" s="35">
        <v>46147.398143344908</v>
      </c>
    </row>
    <row r="1064" spans="2:8" x14ac:dyDescent="0.2">
      <c r="B1064" s="32">
        <v>46028</v>
      </c>
      <c r="C1064" t="s">
        <v>109</v>
      </c>
      <c r="E1064" s="13"/>
      <c r="F1064" s="12">
        <v>1</v>
      </c>
      <c r="G1064" s="12">
        <v>121848.74</v>
      </c>
      <c r="H1064" s="35">
        <v>46147.398143344908</v>
      </c>
    </row>
    <row r="1065" spans="2:8" x14ac:dyDescent="0.2">
      <c r="B1065" s="32">
        <v>46028</v>
      </c>
      <c r="C1065" t="s">
        <v>109</v>
      </c>
      <c r="D1065" t="s">
        <v>142</v>
      </c>
      <c r="E1065" s="13" t="s">
        <v>529</v>
      </c>
      <c r="F1065" s="12">
        <v>10</v>
      </c>
      <c r="G1065" s="12">
        <v>113025.21</v>
      </c>
      <c r="H1065" s="35">
        <v>46147.398143344908</v>
      </c>
    </row>
    <row r="1066" spans="2:8" x14ac:dyDescent="0.2">
      <c r="B1066" s="32">
        <v>46028</v>
      </c>
      <c r="C1066" t="s">
        <v>109</v>
      </c>
      <c r="D1066" t="s">
        <v>271</v>
      </c>
      <c r="E1066" s="13" t="s">
        <v>530</v>
      </c>
      <c r="F1066" s="12">
        <v>1</v>
      </c>
      <c r="G1066" s="12">
        <v>100840.34</v>
      </c>
      <c r="H1066" s="35">
        <v>46147.398143344908</v>
      </c>
    </row>
    <row r="1067" spans="2:8" x14ac:dyDescent="0.2">
      <c r="B1067" s="32">
        <v>46028</v>
      </c>
      <c r="C1067" t="s">
        <v>109</v>
      </c>
      <c r="D1067" t="s">
        <v>246</v>
      </c>
      <c r="E1067" s="13" t="s">
        <v>529</v>
      </c>
      <c r="F1067" s="12">
        <v>2</v>
      </c>
      <c r="G1067" s="12">
        <v>75630.259999999995</v>
      </c>
      <c r="H1067" s="35">
        <v>46147.398143344908</v>
      </c>
    </row>
    <row r="1068" spans="2:8" x14ac:dyDescent="0.2">
      <c r="B1068" s="32">
        <v>46028</v>
      </c>
      <c r="C1068" t="s">
        <v>109</v>
      </c>
      <c r="D1068" t="s">
        <v>233</v>
      </c>
      <c r="E1068" s="13" t="s">
        <v>530</v>
      </c>
      <c r="F1068" s="12">
        <v>1</v>
      </c>
      <c r="G1068" s="12">
        <v>58823.53</v>
      </c>
      <c r="H1068" s="35">
        <v>46147.398143344908</v>
      </c>
    </row>
    <row r="1069" spans="2:8" x14ac:dyDescent="0.2">
      <c r="B1069" s="32">
        <v>46028</v>
      </c>
      <c r="C1069" t="s">
        <v>109</v>
      </c>
      <c r="D1069" t="s">
        <v>318</v>
      </c>
      <c r="E1069" s="13" t="s">
        <v>530</v>
      </c>
      <c r="F1069" s="12">
        <v>1</v>
      </c>
      <c r="G1069" s="12">
        <v>58823.519999999997</v>
      </c>
      <c r="H1069" s="35">
        <v>46147.398143344908</v>
      </c>
    </row>
    <row r="1070" spans="2:8" x14ac:dyDescent="0.2">
      <c r="B1070" s="32">
        <v>46028</v>
      </c>
      <c r="C1070" t="s">
        <v>109</v>
      </c>
      <c r="D1070" t="s">
        <v>210</v>
      </c>
      <c r="E1070" s="13" t="s">
        <v>530</v>
      </c>
      <c r="F1070" s="12">
        <v>1</v>
      </c>
      <c r="G1070" s="12">
        <v>54621.85</v>
      </c>
      <c r="H1070" s="35">
        <v>46147.398143344908</v>
      </c>
    </row>
    <row r="1071" spans="2:8" x14ac:dyDescent="0.2">
      <c r="B1071" s="32">
        <v>46028</v>
      </c>
      <c r="C1071" t="s">
        <v>109</v>
      </c>
      <c r="D1071" t="s">
        <v>166</v>
      </c>
      <c r="E1071" s="13" t="s">
        <v>529</v>
      </c>
      <c r="F1071" s="12">
        <v>1</v>
      </c>
      <c r="G1071" s="12">
        <v>46218.49</v>
      </c>
      <c r="H1071" s="35">
        <v>46147.398143344908</v>
      </c>
    </row>
    <row r="1072" spans="2:8" x14ac:dyDescent="0.2">
      <c r="B1072" s="32">
        <v>46028</v>
      </c>
      <c r="C1072" t="s">
        <v>109</v>
      </c>
      <c r="D1072" t="s">
        <v>216</v>
      </c>
      <c r="E1072" s="13" t="s">
        <v>529</v>
      </c>
      <c r="F1072" s="12">
        <v>1</v>
      </c>
      <c r="G1072" s="12">
        <v>29411.759999999998</v>
      </c>
      <c r="H1072" s="35">
        <v>46147.398143344908</v>
      </c>
    </row>
    <row r="1073" spans="2:8" x14ac:dyDescent="0.2">
      <c r="B1073" s="32">
        <v>46028</v>
      </c>
      <c r="C1073" t="s">
        <v>109</v>
      </c>
      <c r="D1073" t="s">
        <v>180</v>
      </c>
      <c r="E1073" s="13" t="s">
        <v>529</v>
      </c>
      <c r="F1073" s="12">
        <v>1</v>
      </c>
      <c r="G1073" s="12">
        <v>29411.759999999998</v>
      </c>
      <c r="H1073" s="35">
        <v>46147.398143344908</v>
      </c>
    </row>
    <row r="1074" spans="2:8" x14ac:dyDescent="0.2">
      <c r="B1074" s="32">
        <v>46028</v>
      </c>
      <c r="C1074" t="s">
        <v>109</v>
      </c>
      <c r="E1074" s="13" t="s">
        <v>530</v>
      </c>
      <c r="F1074" s="12">
        <v>0</v>
      </c>
      <c r="G1074" s="12">
        <v>0</v>
      </c>
      <c r="H1074" s="35">
        <v>46147.398143344908</v>
      </c>
    </row>
    <row r="1075" spans="2:8" x14ac:dyDescent="0.2">
      <c r="B1075" s="32">
        <v>46029</v>
      </c>
      <c r="C1075" t="s">
        <v>140</v>
      </c>
      <c r="D1075" t="s">
        <v>152</v>
      </c>
      <c r="E1075" s="13" t="s">
        <v>530</v>
      </c>
      <c r="F1075" s="12">
        <v>3</v>
      </c>
      <c r="G1075" s="12">
        <v>302521</v>
      </c>
      <c r="H1075" s="35">
        <v>46147.398143344908</v>
      </c>
    </row>
    <row r="1076" spans="2:8" x14ac:dyDescent="0.2">
      <c r="B1076" s="32">
        <v>46029</v>
      </c>
      <c r="C1076" t="s">
        <v>140</v>
      </c>
      <c r="D1076" t="s">
        <v>583</v>
      </c>
      <c r="E1076" s="13" t="s">
        <v>529</v>
      </c>
      <c r="F1076" s="12">
        <v>1</v>
      </c>
      <c r="G1076" s="12">
        <v>142857.14000000001</v>
      </c>
      <c r="H1076" s="35">
        <v>46147.398143344908</v>
      </c>
    </row>
    <row r="1077" spans="2:8" x14ac:dyDescent="0.2">
      <c r="B1077" s="32">
        <v>46029</v>
      </c>
      <c r="C1077" t="s">
        <v>140</v>
      </c>
      <c r="D1077" t="s">
        <v>165</v>
      </c>
      <c r="E1077" s="13" t="s">
        <v>530</v>
      </c>
      <c r="F1077" s="12">
        <v>1</v>
      </c>
      <c r="G1077" s="12">
        <v>100840.34</v>
      </c>
      <c r="H1077" s="35">
        <v>46147.398143344908</v>
      </c>
    </row>
    <row r="1078" spans="2:8" x14ac:dyDescent="0.2">
      <c r="B1078" s="32">
        <v>46029</v>
      </c>
      <c r="C1078" t="s">
        <v>140</v>
      </c>
      <c r="D1078" t="s">
        <v>192</v>
      </c>
      <c r="E1078" s="13" t="s">
        <v>530</v>
      </c>
      <c r="F1078" s="12">
        <v>1</v>
      </c>
      <c r="G1078" s="12">
        <v>100840.34</v>
      </c>
      <c r="H1078" s="35">
        <v>46147.398143344908</v>
      </c>
    </row>
    <row r="1079" spans="2:8" x14ac:dyDescent="0.2">
      <c r="B1079" s="32">
        <v>46029</v>
      </c>
      <c r="C1079" t="s">
        <v>140</v>
      </c>
      <c r="D1079" t="s">
        <v>276</v>
      </c>
      <c r="E1079" s="13" t="s">
        <v>530</v>
      </c>
      <c r="F1079" s="12">
        <v>1</v>
      </c>
      <c r="G1079" s="12">
        <v>100840.34</v>
      </c>
      <c r="H1079" s="35">
        <v>46147.398143344908</v>
      </c>
    </row>
    <row r="1080" spans="2:8" x14ac:dyDescent="0.2">
      <c r="B1080" s="32">
        <v>46029</v>
      </c>
      <c r="C1080" t="s">
        <v>140</v>
      </c>
      <c r="D1080" t="s">
        <v>205</v>
      </c>
      <c r="E1080" s="13" t="s">
        <v>530</v>
      </c>
      <c r="F1080" s="12">
        <v>1</v>
      </c>
      <c r="G1080" s="12">
        <v>100840.34</v>
      </c>
      <c r="H1080" s="35">
        <v>46147.398143344908</v>
      </c>
    </row>
    <row r="1081" spans="2:8" x14ac:dyDescent="0.2">
      <c r="B1081" s="32">
        <v>46029</v>
      </c>
      <c r="C1081" t="s">
        <v>140</v>
      </c>
      <c r="D1081" t="s">
        <v>306</v>
      </c>
      <c r="E1081" s="13" t="s">
        <v>529</v>
      </c>
      <c r="F1081" s="12">
        <v>1</v>
      </c>
      <c r="G1081" s="12">
        <v>100840.34</v>
      </c>
      <c r="H1081" s="35">
        <v>46147.398143344908</v>
      </c>
    </row>
    <row r="1082" spans="2:8" x14ac:dyDescent="0.2">
      <c r="B1082" s="32">
        <v>46029</v>
      </c>
      <c r="C1082" t="s">
        <v>140</v>
      </c>
      <c r="D1082" t="s">
        <v>183</v>
      </c>
      <c r="E1082" s="13" t="s">
        <v>530</v>
      </c>
      <c r="F1082" s="12">
        <v>1</v>
      </c>
      <c r="G1082" s="12">
        <v>100840.34</v>
      </c>
      <c r="H1082" s="35">
        <v>46147.398143344908</v>
      </c>
    </row>
    <row r="1083" spans="2:8" x14ac:dyDescent="0.2">
      <c r="B1083" s="32">
        <v>46029</v>
      </c>
      <c r="C1083" t="s">
        <v>140</v>
      </c>
      <c r="D1083" t="s">
        <v>153</v>
      </c>
      <c r="E1083" s="13" t="s">
        <v>530</v>
      </c>
      <c r="F1083" s="12">
        <v>1</v>
      </c>
      <c r="G1083" s="12">
        <v>100840.33</v>
      </c>
      <c r="H1083" s="35">
        <v>46147.398143344908</v>
      </c>
    </row>
    <row r="1084" spans="2:8" x14ac:dyDescent="0.2">
      <c r="B1084" s="32">
        <v>46029</v>
      </c>
      <c r="C1084" t="s">
        <v>140</v>
      </c>
      <c r="D1084" t="s">
        <v>187</v>
      </c>
      <c r="E1084" s="13" t="s">
        <v>530</v>
      </c>
      <c r="F1084" s="12">
        <v>1</v>
      </c>
      <c r="G1084" s="12">
        <v>71428.570000000007</v>
      </c>
      <c r="H1084" s="35">
        <v>46147.398143344908</v>
      </c>
    </row>
    <row r="1085" spans="2:8" x14ac:dyDescent="0.2">
      <c r="B1085" s="32">
        <v>46029</v>
      </c>
      <c r="C1085" t="s">
        <v>140</v>
      </c>
      <c r="D1085" t="s">
        <v>313</v>
      </c>
      <c r="E1085" s="13" t="s">
        <v>530</v>
      </c>
      <c r="F1085" s="12">
        <v>1</v>
      </c>
      <c r="G1085" s="12">
        <v>58823.53</v>
      </c>
      <c r="H1085" s="35">
        <v>46147.398143344908</v>
      </c>
    </row>
    <row r="1086" spans="2:8" x14ac:dyDescent="0.2">
      <c r="B1086" s="32">
        <v>46029</v>
      </c>
      <c r="C1086" t="s">
        <v>140</v>
      </c>
      <c r="D1086" t="s">
        <v>163</v>
      </c>
      <c r="E1086" s="13" t="s">
        <v>530</v>
      </c>
      <c r="F1086" s="12">
        <v>1</v>
      </c>
      <c r="G1086" s="12">
        <v>58823.53</v>
      </c>
      <c r="H1086" s="35">
        <v>46147.398143344908</v>
      </c>
    </row>
    <row r="1087" spans="2:8" x14ac:dyDescent="0.2">
      <c r="B1087" s="32">
        <v>46029</v>
      </c>
      <c r="C1087" t="s">
        <v>140</v>
      </c>
      <c r="D1087" t="s">
        <v>292</v>
      </c>
      <c r="E1087" s="13" t="s">
        <v>530</v>
      </c>
      <c r="F1087" s="12">
        <v>1</v>
      </c>
      <c r="G1087" s="12">
        <v>58823.53</v>
      </c>
      <c r="H1087" s="35">
        <v>46147.398143344908</v>
      </c>
    </row>
    <row r="1088" spans="2:8" x14ac:dyDescent="0.2">
      <c r="B1088" s="32">
        <v>46029</v>
      </c>
      <c r="C1088" t="s">
        <v>140</v>
      </c>
      <c r="D1088" t="s">
        <v>173</v>
      </c>
      <c r="E1088" s="13" t="s">
        <v>530</v>
      </c>
      <c r="F1088" s="12">
        <v>1</v>
      </c>
      <c r="G1088" s="12">
        <v>58823.53</v>
      </c>
      <c r="H1088" s="35">
        <v>46147.398143344908</v>
      </c>
    </row>
    <row r="1089" spans="2:8" x14ac:dyDescent="0.2">
      <c r="B1089" s="32">
        <v>46029</v>
      </c>
      <c r="C1089" t="s">
        <v>140</v>
      </c>
      <c r="D1089" t="s">
        <v>160</v>
      </c>
      <c r="E1089" s="13" t="s">
        <v>530</v>
      </c>
      <c r="F1089" s="12">
        <v>1</v>
      </c>
      <c r="G1089" s="12">
        <v>58823.53</v>
      </c>
      <c r="H1089" s="35">
        <v>46147.398143344908</v>
      </c>
    </row>
    <row r="1090" spans="2:8" x14ac:dyDescent="0.2">
      <c r="B1090" s="32">
        <v>46029</v>
      </c>
      <c r="C1090" t="s">
        <v>140</v>
      </c>
      <c r="D1090" t="s">
        <v>166</v>
      </c>
      <c r="E1090" s="13" t="s">
        <v>530</v>
      </c>
      <c r="F1090" s="12">
        <v>1</v>
      </c>
      <c r="G1090" s="12">
        <v>46218.49</v>
      </c>
      <c r="H1090" s="35">
        <v>46147.398143344908</v>
      </c>
    </row>
    <row r="1091" spans="2:8" x14ac:dyDescent="0.2">
      <c r="B1091" s="32">
        <v>46029</v>
      </c>
      <c r="C1091" t="s">
        <v>140</v>
      </c>
      <c r="E1091" s="13" t="s">
        <v>530</v>
      </c>
      <c r="F1091" s="12">
        <v>0</v>
      </c>
      <c r="G1091" s="12">
        <v>0</v>
      </c>
      <c r="H1091" s="35">
        <v>46147.398143344908</v>
      </c>
    </row>
    <row r="1092" spans="2:8" x14ac:dyDescent="0.2">
      <c r="B1092" s="32">
        <v>46029</v>
      </c>
      <c r="C1092" t="s">
        <v>140</v>
      </c>
      <c r="E1092" s="13" t="s">
        <v>529</v>
      </c>
      <c r="F1092" s="12">
        <v>0</v>
      </c>
      <c r="G1092" s="12">
        <v>0</v>
      </c>
      <c r="H1092" s="35">
        <v>46147.398143344908</v>
      </c>
    </row>
    <row r="1093" spans="2:8" x14ac:dyDescent="0.2">
      <c r="B1093" s="32">
        <v>46029</v>
      </c>
      <c r="C1093" t="s">
        <v>109</v>
      </c>
      <c r="D1093" t="s">
        <v>155</v>
      </c>
      <c r="E1093" s="13" t="s">
        <v>530</v>
      </c>
      <c r="F1093" s="12">
        <v>3</v>
      </c>
      <c r="G1093" s="12">
        <v>252100.84</v>
      </c>
      <c r="H1093" s="35">
        <v>46147.398143344908</v>
      </c>
    </row>
    <row r="1094" spans="2:8" x14ac:dyDescent="0.2">
      <c r="B1094" s="32">
        <v>46029</v>
      </c>
      <c r="C1094" t="s">
        <v>109</v>
      </c>
      <c r="D1094" t="s">
        <v>184</v>
      </c>
      <c r="E1094" s="13" t="s">
        <v>530</v>
      </c>
      <c r="F1094" s="12">
        <v>2</v>
      </c>
      <c r="G1094" s="12">
        <v>168067.23</v>
      </c>
      <c r="H1094" s="35">
        <v>46147.398143344908</v>
      </c>
    </row>
    <row r="1095" spans="2:8" x14ac:dyDescent="0.2">
      <c r="B1095" s="32">
        <v>46029</v>
      </c>
      <c r="C1095" t="s">
        <v>109</v>
      </c>
      <c r="D1095" t="s">
        <v>172</v>
      </c>
      <c r="E1095" s="13" t="s">
        <v>530</v>
      </c>
      <c r="F1095" s="12">
        <v>2</v>
      </c>
      <c r="G1095" s="12">
        <v>151260.5</v>
      </c>
      <c r="H1095" s="35">
        <v>46147.398143344908</v>
      </c>
    </row>
    <row r="1096" spans="2:8" x14ac:dyDescent="0.2">
      <c r="B1096" s="32">
        <v>46029</v>
      </c>
      <c r="C1096" t="s">
        <v>109</v>
      </c>
      <c r="D1096" t="s">
        <v>187</v>
      </c>
      <c r="E1096" s="13" t="s">
        <v>529</v>
      </c>
      <c r="F1096" s="12">
        <v>2</v>
      </c>
      <c r="G1096" s="12">
        <v>142857.14000000001</v>
      </c>
      <c r="H1096" s="35">
        <v>46147.398143344908</v>
      </c>
    </row>
    <row r="1097" spans="2:8" x14ac:dyDescent="0.2">
      <c r="B1097" s="32">
        <v>46029</v>
      </c>
      <c r="C1097" t="s">
        <v>109</v>
      </c>
      <c r="E1097" s="13" t="s">
        <v>530</v>
      </c>
      <c r="F1097" s="12">
        <v>1</v>
      </c>
      <c r="G1097" s="12">
        <v>121848.75</v>
      </c>
      <c r="H1097" s="35">
        <v>46147.398143344908</v>
      </c>
    </row>
    <row r="1098" spans="2:8" x14ac:dyDescent="0.2">
      <c r="B1098" s="32">
        <v>46029</v>
      </c>
      <c r="C1098" t="s">
        <v>109</v>
      </c>
      <c r="E1098" s="13"/>
      <c r="F1098" s="12">
        <v>1</v>
      </c>
      <c r="G1098" s="12">
        <v>121848.74</v>
      </c>
      <c r="H1098" s="35">
        <v>46147.398143344908</v>
      </c>
    </row>
    <row r="1099" spans="2:8" x14ac:dyDescent="0.2">
      <c r="B1099" s="32">
        <v>46029</v>
      </c>
      <c r="C1099" t="s">
        <v>109</v>
      </c>
      <c r="D1099" t="s">
        <v>148</v>
      </c>
      <c r="E1099" s="13" t="s">
        <v>530</v>
      </c>
      <c r="F1099" s="12">
        <v>2</v>
      </c>
      <c r="G1099" s="12">
        <v>92436.98</v>
      </c>
      <c r="H1099" s="35">
        <v>46147.398143344908</v>
      </c>
    </row>
    <row r="1100" spans="2:8" x14ac:dyDescent="0.2">
      <c r="B1100" s="32">
        <v>46029</v>
      </c>
      <c r="C1100" t="s">
        <v>109</v>
      </c>
      <c r="D1100" t="s">
        <v>142</v>
      </c>
      <c r="E1100" s="13" t="s">
        <v>529</v>
      </c>
      <c r="F1100" s="12">
        <v>6</v>
      </c>
      <c r="G1100" s="12">
        <v>89915.97</v>
      </c>
      <c r="H1100" s="35">
        <v>46147.398143344908</v>
      </c>
    </row>
    <row r="1101" spans="2:8" x14ac:dyDescent="0.2">
      <c r="B1101" s="32">
        <v>46029</v>
      </c>
      <c r="C1101" t="s">
        <v>109</v>
      </c>
      <c r="D1101" t="s">
        <v>181</v>
      </c>
      <c r="E1101" s="13" t="s">
        <v>530</v>
      </c>
      <c r="F1101" s="12">
        <v>1</v>
      </c>
      <c r="G1101" s="12">
        <v>84033.61</v>
      </c>
      <c r="H1101" s="35">
        <v>46147.398143344908</v>
      </c>
    </row>
    <row r="1102" spans="2:8" x14ac:dyDescent="0.2">
      <c r="B1102" s="32">
        <v>46029</v>
      </c>
      <c r="C1102" t="s">
        <v>109</v>
      </c>
      <c r="D1102" t="s">
        <v>147</v>
      </c>
      <c r="E1102" s="13" t="s">
        <v>530</v>
      </c>
      <c r="F1102" s="12">
        <v>1</v>
      </c>
      <c r="G1102" s="12">
        <v>71428.570000000007</v>
      </c>
      <c r="H1102" s="35">
        <v>46147.398143344908</v>
      </c>
    </row>
    <row r="1103" spans="2:8" x14ac:dyDescent="0.2">
      <c r="B1103" s="32">
        <v>46029</v>
      </c>
      <c r="C1103" t="s">
        <v>109</v>
      </c>
      <c r="D1103" t="s">
        <v>432</v>
      </c>
      <c r="E1103" s="13" t="s">
        <v>529</v>
      </c>
      <c r="F1103" s="12">
        <v>1</v>
      </c>
      <c r="G1103" s="12">
        <v>71428.570000000007</v>
      </c>
      <c r="H1103" s="35">
        <v>46147.398143344908</v>
      </c>
    </row>
    <row r="1104" spans="2:8" x14ac:dyDescent="0.2">
      <c r="B1104" s="32">
        <v>46029</v>
      </c>
      <c r="C1104" t="s">
        <v>109</v>
      </c>
      <c r="D1104" t="s">
        <v>332</v>
      </c>
      <c r="E1104" s="13"/>
      <c r="F1104" s="12">
        <v>1</v>
      </c>
      <c r="G1104" s="12">
        <v>71428.570000000007</v>
      </c>
      <c r="H1104" s="35">
        <v>46147.398143344908</v>
      </c>
    </row>
    <row r="1105" spans="2:8" x14ac:dyDescent="0.2">
      <c r="B1105" s="32">
        <v>46029</v>
      </c>
      <c r="C1105" t="s">
        <v>109</v>
      </c>
      <c r="D1105" t="s">
        <v>323</v>
      </c>
      <c r="E1105" s="13" t="s">
        <v>530</v>
      </c>
      <c r="F1105" s="12">
        <v>0</v>
      </c>
      <c r="G1105" s="12">
        <v>58823.53</v>
      </c>
      <c r="H1105" s="35">
        <v>46147.398143344908</v>
      </c>
    </row>
    <row r="1106" spans="2:8" x14ac:dyDescent="0.2">
      <c r="B1106" s="32">
        <v>46029</v>
      </c>
      <c r="C1106" t="s">
        <v>109</v>
      </c>
      <c r="D1106" t="s">
        <v>550</v>
      </c>
      <c r="E1106" s="13" t="s">
        <v>529</v>
      </c>
      <c r="F1106" s="12">
        <v>1</v>
      </c>
      <c r="G1106" s="12">
        <v>54621.85</v>
      </c>
      <c r="H1106" s="35">
        <v>46147.398143344908</v>
      </c>
    </row>
    <row r="1107" spans="2:8" x14ac:dyDescent="0.2">
      <c r="B1107" s="32">
        <v>46029</v>
      </c>
      <c r="C1107" t="s">
        <v>109</v>
      </c>
      <c r="D1107" t="s">
        <v>396</v>
      </c>
      <c r="E1107" s="13"/>
      <c r="F1107" s="12">
        <v>1</v>
      </c>
      <c r="G1107" s="12">
        <v>54621.85</v>
      </c>
      <c r="H1107" s="35">
        <v>46147.398143344908</v>
      </c>
    </row>
    <row r="1108" spans="2:8" x14ac:dyDescent="0.2">
      <c r="B1108" s="32">
        <v>46029</v>
      </c>
      <c r="C1108" t="s">
        <v>109</v>
      </c>
      <c r="D1108" t="s">
        <v>355</v>
      </c>
      <c r="E1108" s="13" t="s">
        <v>529</v>
      </c>
      <c r="F1108" s="12">
        <v>1</v>
      </c>
      <c r="G1108" s="12">
        <v>54621.85</v>
      </c>
      <c r="H1108" s="35">
        <v>46147.398143344908</v>
      </c>
    </row>
    <row r="1109" spans="2:8" x14ac:dyDescent="0.2">
      <c r="B1109" s="32">
        <v>46029</v>
      </c>
      <c r="C1109" t="s">
        <v>109</v>
      </c>
      <c r="D1109" t="s">
        <v>166</v>
      </c>
      <c r="E1109" s="13" t="s">
        <v>530</v>
      </c>
      <c r="F1109" s="12">
        <v>1</v>
      </c>
      <c r="G1109" s="12">
        <v>46218.49</v>
      </c>
      <c r="H1109" s="35">
        <v>46147.398143344908</v>
      </c>
    </row>
    <row r="1110" spans="2:8" x14ac:dyDescent="0.2">
      <c r="B1110" s="32">
        <v>46029</v>
      </c>
      <c r="C1110" t="s">
        <v>109</v>
      </c>
      <c r="D1110" t="s">
        <v>238</v>
      </c>
      <c r="E1110" s="13"/>
      <c r="F1110" s="12">
        <v>1</v>
      </c>
      <c r="G1110" s="12">
        <v>46218.49</v>
      </c>
      <c r="H1110" s="35">
        <v>46147.398143344908</v>
      </c>
    </row>
    <row r="1111" spans="2:8" x14ac:dyDescent="0.2">
      <c r="B1111" s="32">
        <v>46029</v>
      </c>
      <c r="C1111" t="s">
        <v>109</v>
      </c>
      <c r="D1111" t="s">
        <v>148</v>
      </c>
      <c r="E1111" s="13" t="s">
        <v>529</v>
      </c>
      <c r="F1111" s="12">
        <v>1</v>
      </c>
      <c r="G1111" s="12">
        <v>46218.49</v>
      </c>
      <c r="H1111" s="35">
        <v>46147.398143344908</v>
      </c>
    </row>
    <row r="1112" spans="2:8" x14ac:dyDescent="0.2">
      <c r="B1112" s="32">
        <v>46029</v>
      </c>
      <c r="C1112" t="s">
        <v>109</v>
      </c>
      <c r="D1112" t="s">
        <v>144</v>
      </c>
      <c r="E1112" s="13" t="s">
        <v>529</v>
      </c>
      <c r="F1112" s="12">
        <v>1</v>
      </c>
      <c r="G1112" s="12">
        <v>46218.49</v>
      </c>
      <c r="H1112" s="35">
        <v>46147.398143344908</v>
      </c>
    </row>
    <row r="1113" spans="2:8" x14ac:dyDescent="0.2">
      <c r="B1113" s="32">
        <v>46029</v>
      </c>
      <c r="C1113" t="s">
        <v>109</v>
      </c>
      <c r="D1113" t="s">
        <v>144</v>
      </c>
      <c r="E1113" s="13"/>
      <c r="F1113" s="12">
        <v>1</v>
      </c>
      <c r="G1113" s="12">
        <v>46218.49</v>
      </c>
      <c r="H1113" s="35">
        <v>46147.398143344908</v>
      </c>
    </row>
    <row r="1114" spans="2:8" x14ac:dyDescent="0.2">
      <c r="B1114" s="32">
        <v>46029</v>
      </c>
      <c r="C1114" t="s">
        <v>109</v>
      </c>
      <c r="D1114" t="s">
        <v>194</v>
      </c>
      <c r="E1114" s="13" t="s">
        <v>530</v>
      </c>
      <c r="F1114" s="12">
        <v>1</v>
      </c>
      <c r="G1114" s="12">
        <v>46218.49</v>
      </c>
      <c r="H1114" s="35">
        <v>46147.398143344908</v>
      </c>
    </row>
    <row r="1115" spans="2:8" x14ac:dyDescent="0.2">
      <c r="B1115" s="32">
        <v>46029</v>
      </c>
      <c r="C1115" t="s">
        <v>109</v>
      </c>
      <c r="D1115" t="s">
        <v>194</v>
      </c>
      <c r="E1115" s="13"/>
      <c r="F1115" s="12">
        <v>1</v>
      </c>
      <c r="G1115" s="12">
        <v>46218.49</v>
      </c>
      <c r="H1115" s="35">
        <v>46147.398143344908</v>
      </c>
    </row>
    <row r="1116" spans="2:8" x14ac:dyDescent="0.2">
      <c r="B1116" s="32">
        <v>46029</v>
      </c>
      <c r="C1116" t="s">
        <v>109</v>
      </c>
      <c r="D1116" t="s">
        <v>194</v>
      </c>
      <c r="E1116" s="13" t="s">
        <v>529</v>
      </c>
      <c r="F1116" s="12">
        <v>1</v>
      </c>
      <c r="G1116" s="12">
        <v>46218.48</v>
      </c>
      <c r="H1116" s="35">
        <v>46147.398143344908</v>
      </c>
    </row>
    <row r="1117" spans="2:8" x14ac:dyDescent="0.2">
      <c r="B1117" s="32">
        <v>46029</v>
      </c>
      <c r="C1117" t="s">
        <v>109</v>
      </c>
      <c r="D1117" t="s">
        <v>261</v>
      </c>
      <c r="E1117" s="13" t="s">
        <v>530</v>
      </c>
      <c r="F1117" s="12">
        <v>1</v>
      </c>
      <c r="G1117" s="12">
        <v>37815.129999999997</v>
      </c>
      <c r="H1117" s="35">
        <v>46147.398143344908</v>
      </c>
    </row>
    <row r="1118" spans="2:8" x14ac:dyDescent="0.2">
      <c r="B1118" s="32">
        <v>46029</v>
      </c>
      <c r="C1118" t="s">
        <v>109</v>
      </c>
      <c r="D1118" t="s">
        <v>142</v>
      </c>
      <c r="E1118" s="13" t="s">
        <v>530</v>
      </c>
      <c r="F1118" s="12">
        <v>3</v>
      </c>
      <c r="G1118" s="12">
        <v>37815.120000000003</v>
      </c>
      <c r="H1118" s="35">
        <v>46147.398143344908</v>
      </c>
    </row>
    <row r="1119" spans="2:8" x14ac:dyDescent="0.2">
      <c r="B1119" s="32">
        <v>46029</v>
      </c>
      <c r="C1119" t="s">
        <v>109</v>
      </c>
      <c r="D1119" t="s">
        <v>169</v>
      </c>
      <c r="E1119" s="13" t="s">
        <v>530</v>
      </c>
      <c r="F1119" s="12">
        <v>1</v>
      </c>
      <c r="G1119" s="12">
        <v>22689.08</v>
      </c>
      <c r="H1119" s="35">
        <v>46147.398143344908</v>
      </c>
    </row>
    <row r="1120" spans="2:8" x14ac:dyDescent="0.2">
      <c r="B1120" s="32">
        <v>46029</v>
      </c>
      <c r="C1120" t="s">
        <v>109</v>
      </c>
      <c r="D1120" t="s">
        <v>347</v>
      </c>
      <c r="E1120" s="13"/>
      <c r="F1120" s="12">
        <v>1</v>
      </c>
      <c r="G1120" s="12">
        <v>16806.72</v>
      </c>
      <c r="H1120" s="35">
        <v>46147.398143344908</v>
      </c>
    </row>
    <row r="1121" spans="2:8" x14ac:dyDescent="0.2">
      <c r="B1121" s="32">
        <v>46029</v>
      </c>
      <c r="C1121" t="s">
        <v>109</v>
      </c>
      <c r="D1121" t="s">
        <v>271</v>
      </c>
      <c r="E1121" s="13" t="s">
        <v>530</v>
      </c>
      <c r="F1121" s="12">
        <v>0</v>
      </c>
      <c r="G1121" s="12">
        <v>-100840.34</v>
      </c>
      <c r="H1121" s="35">
        <v>46147.398143344908</v>
      </c>
    </row>
    <row r="1122" spans="2:8" x14ac:dyDescent="0.2">
      <c r="B1122" s="32">
        <v>46029</v>
      </c>
      <c r="C1122" t="s">
        <v>109</v>
      </c>
      <c r="D1122" t="s">
        <v>314</v>
      </c>
      <c r="E1122" s="13" t="s">
        <v>530</v>
      </c>
      <c r="F1122" s="12">
        <v>0</v>
      </c>
      <c r="G1122" s="12">
        <v>-184873.95</v>
      </c>
      <c r="H1122" s="35">
        <v>46147.398143344908</v>
      </c>
    </row>
    <row r="1123" spans="2:8" x14ac:dyDescent="0.2">
      <c r="B1123" s="32">
        <v>46030</v>
      </c>
      <c r="C1123" t="s">
        <v>140</v>
      </c>
      <c r="D1123" t="s">
        <v>534</v>
      </c>
      <c r="E1123" s="13" t="s">
        <v>529</v>
      </c>
      <c r="F1123" s="12">
        <v>4</v>
      </c>
      <c r="G1123" s="12">
        <v>218487.39</v>
      </c>
      <c r="H1123" s="35">
        <v>46147.398143344908</v>
      </c>
    </row>
    <row r="1124" spans="2:8" x14ac:dyDescent="0.2">
      <c r="B1124" s="32">
        <v>46030</v>
      </c>
      <c r="C1124" t="s">
        <v>140</v>
      </c>
      <c r="D1124" t="s">
        <v>167</v>
      </c>
      <c r="E1124" s="13" t="s">
        <v>530</v>
      </c>
      <c r="F1124" s="12">
        <v>2</v>
      </c>
      <c r="G1124" s="12">
        <v>201680.68</v>
      </c>
      <c r="H1124" s="35">
        <v>46147.398143344908</v>
      </c>
    </row>
    <row r="1125" spans="2:8" x14ac:dyDescent="0.2">
      <c r="B1125" s="32">
        <v>46030</v>
      </c>
      <c r="C1125" t="s">
        <v>140</v>
      </c>
      <c r="D1125" t="s">
        <v>300</v>
      </c>
      <c r="E1125" s="13" t="s">
        <v>530</v>
      </c>
      <c r="F1125" s="12">
        <v>1</v>
      </c>
      <c r="G1125" s="12">
        <v>100840.34</v>
      </c>
      <c r="H1125" s="35">
        <v>46147.398143344908</v>
      </c>
    </row>
    <row r="1126" spans="2:8" x14ac:dyDescent="0.2">
      <c r="B1126" s="32">
        <v>46030</v>
      </c>
      <c r="C1126" t="s">
        <v>140</v>
      </c>
      <c r="D1126" t="s">
        <v>285</v>
      </c>
      <c r="E1126" s="13" t="s">
        <v>530</v>
      </c>
      <c r="F1126" s="12">
        <v>1</v>
      </c>
      <c r="G1126" s="12">
        <v>58823.53</v>
      </c>
      <c r="H1126" s="35">
        <v>46147.398143344908</v>
      </c>
    </row>
    <row r="1127" spans="2:8" x14ac:dyDescent="0.2">
      <c r="B1127" s="32">
        <v>46030</v>
      </c>
      <c r="C1127" t="s">
        <v>140</v>
      </c>
      <c r="D1127" t="s">
        <v>363</v>
      </c>
      <c r="E1127" s="13" t="s">
        <v>529</v>
      </c>
      <c r="F1127" s="12">
        <v>1</v>
      </c>
      <c r="G1127" s="12">
        <v>58823.53</v>
      </c>
      <c r="H1127" s="35">
        <v>46147.398143344908</v>
      </c>
    </row>
    <row r="1128" spans="2:8" x14ac:dyDescent="0.2">
      <c r="B1128" s="32">
        <v>46030</v>
      </c>
      <c r="C1128" t="s">
        <v>140</v>
      </c>
      <c r="D1128" t="s">
        <v>279</v>
      </c>
      <c r="E1128" s="13" t="s">
        <v>530</v>
      </c>
      <c r="F1128" s="12">
        <v>1</v>
      </c>
      <c r="G1128" s="12">
        <v>58823.53</v>
      </c>
      <c r="H1128" s="35">
        <v>46147.398143344908</v>
      </c>
    </row>
    <row r="1129" spans="2:8" x14ac:dyDescent="0.2">
      <c r="B1129" s="32">
        <v>46030</v>
      </c>
      <c r="C1129" t="s">
        <v>140</v>
      </c>
      <c r="D1129" t="s">
        <v>143</v>
      </c>
      <c r="E1129" s="13" t="s">
        <v>530</v>
      </c>
      <c r="F1129" s="12">
        <v>2</v>
      </c>
      <c r="G1129" s="12">
        <v>58823.53</v>
      </c>
      <c r="H1129" s="35">
        <v>46147.398143344908</v>
      </c>
    </row>
    <row r="1130" spans="2:8" x14ac:dyDescent="0.2">
      <c r="B1130" s="32">
        <v>46030</v>
      </c>
      <c r="C1130" t="s">
        <v>140</v>
      </c>
      <c r="D1130" t="s">
        <v>228</v>
      </c>
      <c r="E1130" s="13" t="s">
        <v>530</v>
      </c>
      <c r="F1130" s="12">
        <v>1</v>
      </c>
      <c r="G1130" s="12">
        <v>58823.519999999997</v>
      </c>
      <c r="H1130" s="35">
        <v>46147.398143344908</v>
      </c>
    </row>
    <row r="1131" spans="2:8" x14ac:dyDescent="0.2">
      <c r="B1131" s="32">
        <v>46030</v>
      </c>
      <c r="C1131" t="s">
        <v>140</v>
      </c>
      <c r="D1131" t="s">
        <v>200</v>
      </c>
      <c r="E1131" s="13" t="s">
        <v>530</v>
      </c>
      <c r="F1131" s="12">
        <v>1</v>
      </c>
      <c r="G1131" s="12">
        <v>46218.49</v>
      </c>
      <c r="H1131" s="35">
        <v>46147.398143344908</v>
      </c>
    </row>
    <row r="1132" spans="2:8" x14ac:dyDescent="0.2">
      <c r="B1132" s="32">
        <v>46030</v>
      </c>
      <c r="C1132" t="s">
        <v>140</v>
      </c>
      <c r="D1132" t="s">
        <v>232</v>
      </c>
      <c r="E1132" s="13" t="s">
        <v>530</v>
      </c>
      <c r="F1132" s="12">
        <v>1</v>
      </c>
      <c r="G1132" s="12">
        <v>37815.129999999997</v>
      </c>
      <c r="H1132" s="35">
        <v>46147.398143344908</v>
      </c>
    </row>
    <row r="1133" spans="2:8" x14ac:dyDescent="0.2">
      <c r="B1133" s="32">
        <v>46030</v>
      </c>
      <c r="C1133" t="s">
        <v>140</v>
      </c>
      <c r="D1133" t="s">
        <v>370</v>
      </c>
      <c r="E1133" s="13"/>
      <c r="F1133" s="12">
        <v>1</v>
      </c>
      <c r="G1133" s="12">
        <v>37815.129999999997</v>
      </c>
      <c r="H1133" s="35">
        <v>46147.398143344908</v>
      </c>
    </row>
    <row r="1134" spans="2:8" x14ac:dyDescent="0.2">
      <c r="B1134" s="32">
        <v>46030</v>
      </c>
      <c r="C1134" t="s">
        <v>140</v>
      </c>
      <c r="D1134" t="s">
        <v>171</v>
      </c>
      <c r="E1134" s="13" t="s">
        <v>530</v>
      </c>
      <c r="F1134" s="12">
        <v>1</v>
      </c>
      <c r="G1134" s="12">
        <v>37815.129999999997</v>
      </c>
      <c r="H1134" s="35">
        <v>46147.398143344908</v>
      </c>
    </row>
    <row r="1135" spans="2:8" x14ac:dyDescent="0.2">
      <c r="B1135" s="32">
        <v>46030</v>
      </c>
      <c r="C1135" t="s">
        <v>140</v>
      </c>
      <c r="D1135" t="s">
        <v>202</v>
      </c>
      <c r="E1135" s="13"/>
      <c r="F1135" s="12">
        <v>1</v>
      </c>
      <c r="G1135" s="12">
        <v>37815.120000000003</v>
      </c>
      <c r="H1135" s="35">
        <v>46147.398143344908</v>
      </c>
    </row>
    <row r="1136" spans="2:8" x14ac:dyDescent="0.2">
      <c r="B1136" s="32">
        <v>46030</v>
      </c>
      <c r="C1136" t="s">
        <v>140</v>
      </c>
      <c r="E1136" s="13" t="s">
        <v>530</v>
      </c>
      <c r="F1136" s="12">
        <v>0</v>
      </c>
      <c r="G1136" s="12">
        <v>0</v>
      </c>
      <c r="H1136" s="35">
        <v>46147.398143344908</v>
      </c>
    </row>
    <row r="1137" spans="2:8" x14ac:dyDescent="0.2">
      <c r="B1137" s="32">
        <v>46030</v>
      </c>
      <c r="C1137" t="s">
        <v>140</v>
      </c>
      <c r="D1137" t="s">
        <v>156</v>
      </c>
      <c r="E1137" s="13" t="s">
        <v>530</v>
      </c>
      <c r="F1137" s="12">
        <v>1</v>
      </c>
      <c r="G1137" s="12">
        <v>0</v>
      </c>
      <c r="H1137" s="35">
        <v>46147.398143344908</v>
      </c>
    </row>
    <row r="1138" spans="2:8" x14ac:dyDescent="0.2">
      <c r="B1138" s="32">
        <v>46030</v>
      </c>
      <c r="C1138" t="s">
        <v>140</v>
      </c>
      <c r="E1138" s="13" t="s">
        <v>529</v>
      </c>
      <c r="F1138" s="12">
        <v>0</v>
      </c>
      <c r="G1138" s="12">
        <v>0</v>
      </c>
      <c r="H1138" s="35">
        <v>46147.398143344908</v>
      </c>
    </row>
    <row r="1139" spans="2:8" x14ac:dyDescent="0.2">
      <c r="B1139" s="32">
        <v>46030</v>
      </c>
      <c r="C1139" t="s">
        <v>109</v>
      </c>
      <c r="D1139" t="s">
        <v>230</v>
      </c>
      <c r="E1139" s="13" t="s">
        <v>530</v>
      </c>
      <c r="F1139" s="12">
        <v>1</v>
      </c>
      <c r="G1139" s="12">
        <v>176470.59</v>
      </c>
      <c r="H1139" s="35">
        <v>46147.398143344908</v>
      </c>
    </row>
    <row r="1140" spans="2:8" x14ac:dyDescent="0.2">
      <c r="B1140" s="32">
        <v>46030</v>
      </c>
      <c r="C1140" t="s">
        <v>109</v>
      </c>
      <c r="D1140" t="s">
        <v>243</v>
      </c>
      <c r="E1140" s="13" t="s">
        <v>529</v>
      </c>
      <c r="F1140" s="12">
        <v>1</v>
      </c>
      <c r="G1140" s="12">
        <v>126050.42</v>
      </c>
      <c r="H1140" s="35">
        <v>46147.398143344908</v>
      </c>
    </row>
    <row r="1141" spans="2:8" x14ac:dyDescent="0.2">
      <c r="B1141" s="32">
        <v>46030</v>
      </c>
      <c r="C1141" t="s">
        <v>109</v>
      </c>
      <c r="D1141" t="s">
        <v>224</v>
      </c>
      <c r="E1141" s="13" t="s">
        <v>529</v>
      </c>
      <c r="F1141" s="12">
        <v>1</v>
      </c>
      <c r="G1141" s="12">
        <v>117647.06</v>
      </c>
      <c r="H1141" s="35">
        <v>46147.398143344908</v>
      </c>
    </row>
    <row r="1142" spans="2:8" x14ac:dyDescent="0.2">
      <c r="B1142" s="32">
        <v>46030</v>
      </c>
      <c r="C1142" t="s">
        <v>109</v>
      </c>
      <c r="D1142" t="s">
        <v>205</v>
      </c>
      <c r="E1142" s="13" t="s">
        <v>529</v>
      </c>
      <c r="F1142" s="12">
        <v>1</v>
      </c>
      <c r="G1142" s="12">
        <v>100840.34</v>
      </c>
      <c r="H1142" s="35">
        <v>46147.398143344908</v>
      </c>
    </row>
    <row r="1143" spans="2:8" x14ac:dyDescent="0.2">
      <c r="B1143" s="32">
        <v>46030</v>
      </c>
      <c r="C1143" t="s">
        <v>109</v>
      </c>
      <c r="D1143" t="s">
        <v>156</v>
      </c>
      <c r="E1143" s="13" t="s">
        <v>530</v>
      </c>
      <c r="F1143" s="12">
        <v>2</v>
      </c>
      <c r="G1143" s="12">
        <v>92436.98</v>
      </c>
      <c r="H1143" s="35">
        <v>46147.398143344908</v>
      </c>
    </row>
    <row r="1144" spans="2:8" x14ac:dyDescent="0.2">
      <c r="B1144" s="32">
        <v>46030</v>
      </c>
      <c r="C1144" t="s">
        <v>109</v>
      </c>
      <c r="D1144" t="s">
        <v>170</v>
      </c>
      <c r="E1144" s="13"/>
      <c r="F1144" s="12">
        <v>2</v>
      </c>
      <c r="G1144" s="12">
        <v>92436.97</v>
      </c>
      <c r="H1144" s="35">
        <v>46147.398143344908</v>
      </c>
    </row>
    <row r="1145" spans="2:8" x14ac:dyDescent="0.2">
      <c r="B1145" s="32">
        <v>46030</v>
      </c>
      <c r="C1145" t="s">
        <v>109</v>
      </c>
      <c r="D1145" t="s">
        <v>144</v>
      </c>
      <c r="E1145" s="13" t="s">
        <v>530</v>
      </c>
      <c r="F1145" s="12">
        <v>2</v>
      </c>
      <c r="G1145" s="12">
        <v>92436.97</v>
      </c>
      <c r="H1145" s="35">
        <v>46147.398143344908</v>
      </c>
    </row>
    <row r="1146" spans="2:8" x14ac:dyDescent="0.2">
      <c r="B1146" s="32">
        <v>46030</v>
      </c>
      <c r="C1146" t="s">
        <v>109</v>
      </c>
      <c r="D1146" t="s">
        <v>155</v>
      </c>
      <c r="E1146" s="13" t="s">
        <v>530</v>
      </c>
      <c r="F1146" s="12">
        <v>1</v>
      </c>
      <c r="G1146" s="12">
        <v>84033.61</v>
      </c>
      <c r="H1146" s="35">
        <v>46147.398143344908</v>
      </c>
    </row>
    <row r="1147" spans="2:8" x14ac:dyDescent="0.2">
      <c r="B1147" s="32">
        <v>46030</v>
      </c>
      <c r="C1147" t="s">
        <v>109</v>
      </c>
      <c r="D1147" t="s">
        <v>181</v>
      </c>
      <c r="E1147" s="13" t="s">
        <v>530</v>
      </c>
      <c r="F1147" s="12">
        <v>1</v>
      </c>
      <c r="G1147" s="12">
        <v>84033.61</v>
      </c>
      <c r="H1147" s="35">
        <v>46147.398143344908</v>
      </c>
    </row>
    <row r="1148" spans="2:8" x14ac:dyDescent="0.2">
      <c r="B1148" s="32">
        <v>46030</v>
      </c>
      <c r="C1148" t="s">
        <v>109</v>
      </c>
      <c r="D1148" t="s">
        <v>154</v>
      </c>
      <c r="E1148" s="13" t="s">
        <v>530</v>
      </c>
      <c r="F1148" s="12">
        <v>2</v>
      </c>
      <c r="G1148" s="12">
        <v>84033.61</v>
      </c>
      <c r="H1148" s="35">
        <v>46147.398143344908</v>
      </c>
    </row>
    <row r="1149" spans="2:8" x14ac:dyDescent="0.2">
      <c r="B1149" s="32">
        <v>46030</v>
      </c>
      <c r="C1149" t="s">
        <v>109</v>
      </c>
      <c r="D1149" t="s">
        <v>190</v>
      </c>
      <c r="E1149" s="13" t="s">
        <v>530</v>
      </c>
      <c r="F1149" s="12">
        <v>1</v>
      </c>
      <c r="G1149" s="12">
        <v>71428.570000000007</v>
      </c>
      <c r="H1149" s="35">
        <v>46147.398143344908</v>
      </c>
    </row>
    <row r="1150" spans="2:8" x14ac:dyDescent="0.2">
      <c r="B1150" s="32">
        <v>46030</v>
      </c>
      <c r="C1150" t="s">
        <v>109</v>
      </c>
      <c r="D1150" t="s">
        <v>274</v>
      </c>
      <c r="E1150" s="13" t="s">
        <v>530</v>
      </c>
      <c r="F1150" s="12">
        <v>1</v>
      </c>
      <c r="G1150" s="12">
        <v>58823.53</v>
      </c>
      <c r="H1150" s="35">
        <v>46147.398143344908</v>
      </c>
    </row>
    <row r="1151" spans="2:8" x14ac:dyDescent="0.2">
      <c r="B1151" s="32">
        <v>46030</v>
      </c>
      <c r="C1151" t="s">
        <v>109</v>
      </c>
      <c r="D1151" t="s">
        <v>277</v>
      </c>
      <c r="E1151" s="13" t="s">
        <v>530</v>
      </c>
      <c r="F1151" s="12">
        <v>1</v>
      </c>
      <c r="G1151" s="12">
        <v>58823.53</v>
      </c>
      <c r="H1151" s="35">
        <v>46147.398143344908</v>
      </c>
    </row>
    <row r="1152" spans="2:8" x14ac:dyDescent="0.2">
      <c r="B1152" s="32">
        <v>46030</v>
      </c>
      <c r="C1152" t="s">
        <v>109</v>
      </c>
      <c r="D1152" t="s">
        <v>143</v>
      </c>
      <c r="E1152" s="13"/>
      <c r="F1152" s="12">
        <v>2</v>
      </c>
      <c r="G1152" s="12">
        <v>58823.519999999997</v>
      </c>
      <c r="H1152" s="35">
        <v>46147.398143344908</v>
      </c>
    </row>
    <row r="1153" spans="2:8" x14ac:dyDescent="0.2">
      <c r="B1153" s="32">
        <v>46030</v>
      </c>
      <c r="C1153" t="s">
        <v>109</v>
      </c>
      <c r="D1153" t="s">
        <v>550</v>
      </c>
      <c r="E1153" s="13"/>
      <c r="F1153" s="12">
        <v>1</v>
      </c>
      <c r="G1153" s="12">
        <v>54621.85</v>
      </c>
      <c r="H1153" s="35">
        <v>46147.398143344908</v>
      </c>
    </row>
    <row r="1154" spans="2:8" x14ac:dyDescent="0.2">
      <c r="B1154" s="32">
        <v>46030</v>
      </c>
      <c r="C1154" t="s">
        <v>109</v>
      </c>
      <c r="D1154" t="s">
        <v>256</v>
      </c>
      <c r="E1154" s="13" t="s">
        <v>530</v>
      </c>
      <c r="F1154" s="12">
        <v>1</v>
      </c>
      <c r="G1154" s="12">
        <v>54621.84</v>
      </c>
      <c r="H1154" s="35">
        <v>46147.398143344908</v>
      </c>
    </row>
    <row r="1155" spans="2:8" x14ac:dyDescent="0.2">
      <c r="B1155" s="32">
        <v>46030</v>
      </c>
      <c r="C1155" t="s">
        <v>109</v>
      </c>
      <c r="D1155" t="s">
        <v>158</v>
      </c>
      <c r="E1155" s="13" t="s">
        <v>530</v>
      </c>
      <c r="F1155" s="12">
        <v>1</v>
      </c>
      <c r="G1155" s="12">
        <v>46218.49</v>
      </c>
      <c r="H1155" s="35">
        <v>46147.398143344908</v>
      </c>
    </row>
    <row r="1156" spans="2:8" x14ac:dyDescent="0.2">
      <c r="B1156" s="32">
        <v>46030</v>
      </c>
      <c r="C1156" t="s">
        <v>109</v>
      </c>
      <c r="D1156" t="s">
        <v>170</v>
      </c>
      <c r="E1156" s="13" t="s">
        <v>530</v>
      </c>
      <c r="F1156" s="12">
        <v>1</v>
      </c>
      <c r="G1156" s="12">
        <v>46218.49</v>
      </c>
      <c r="H1156" s="35">
        <v>46147.398143344908</v>
      </c>
    </row>
    <row r="1157" spans="2:8" x14ac:dyDescent="0.2">
      <c r="B1157" s="32">
        <v>46030</v>
      </c>
      <c r="C1157" t="s">
        <v>109</v>
      </c>
      <c r="D1157" t="s">
        <v>166</v>
      </c>
      <c r="E1157" s="13" t="s">
        <v>529</v>
      </c>
      <c r="F1157" s="12">
        <v>1</v>
      </c>
      <c r="G1157" s="12">
        <v>46218.49</v>
      </c>
      <c r="H1157" s="35">
        <v>46147.398143344908</v>
      </c>
    </row>
    <row r="1158" spans="2:8" x14ac:dyDescent="0.2">
      <c r="B1158" s="32">
        <v>46030</v>
      </c>
      <c r="C1158" t="s">
        <v>109</v>
      </c>
      <c r="D1158" t="s">
        <v>200</v>
      </c>
      <c r="E1158" s="13"/>
      <c r="F1158" s="12">
        <v>1</v>
      </c>
      <c r="G1158" s="12">
        <v>46218.49</v>
      </c>
      <c r="H1158" s="35">
        <v>46147.398143344908</v>
      </c>
    </row>
    <row r="1159" spans="2:8" x14ac:dyDescent="0.2">
      <c r="B1159" s="32">
        <v>46030</v>
      </c>
      <c r="C1159" t="s">
        <v>109</v>
      </c>
      <c r="D1159" t="s">
        <v>193</v>
      </c>
      <c r="E1159" s="13" t="s">
        <v>530</v>
      </c>
      <c r="F1159" s="12">
        <v>1</v>
      </c>
      <c r="G1159" s="12">
        <v>46218.49</v>
      </c>
      <c r="H1159" s="35">
        <v>46147.398143344908</v>
      </c>
    </row>
    <row r="1160" spans="2:8" x14ac:dyDescent="0.2">
      <c r="B1160" s="32">
        <v>46030</v>
      </c>
      <c r="C1160" t="s">
        <v>109</v>
      </c>
      <c r="D1160" t="s">
        <v>258</v>
      </c>
      <c r="E1160" s="13"/>
      <c r="F1160" s="12">
        <v>1</v>
      </c>
      <c r="G1160" s="12">
        <v>46218.49</v>
      </c>
      <c r="H1160" s="35">
        <v>46147.398143344908</v>
      </c>
    </row>
    <row r="1161" spans="2:8" x14ac:dyDescent="0.2">
      <c r="B1161" s="32">
        <v>46030</v>
      </c>
      <c r="C1161" t="s">
        <v>109</v>
      </c>
      <c r="D1161" t="s">
        <v>236</v>
      </c>
      <c r="E1161" s="13"/>
      <c r="F1161" s="12">
        <v>1</v>
      </c>
      <c r="G1161" s="12">
        <v>46218.49</v>
      </c>
      <c r="H1161" s="35">
        <v>46147.398143344908</v>
      </c>
    </row>
    <row r="1162" spans="2:8" x14ac:dyDescent="0.2">
      <c r="B1162" s="32">
        <v>46030</v>
      </c>
      <c r="C1162" t="s">
        <v>109</v>
      </c>
      <c r="D1162" t="s">
        <v>238</v>
      </c>
      <c r="E1162" s="13" t="s">
        <v>530</v>
      </c>
      <c r="F1162" s="12">
        <v>1</v>
      </c>
      <c r="G1162" s="12">
        <v>46218.49</v>
      </c>
      <c r="H1162" s="35">
        <v>46147.398143344908</v>
      </c>
    </row>
    <row r="1163" spans="2:8" x14ac:dyDescent="0.2">
      <c r="B1163" s="32">
        <v>46030</v>
      </c>
      <c r="C1163" t="s">
        <v>109</v>
      </c>
      <c r="D1163" t="s">
        <v>166</v>
      </c>
      <c r="E1163" s="13" t="s">
        <v>530</v>
      </c>
      <c r="F1163" s="12">
        <v>1</v>
      </c>
      <c r="G1163" s="12">
        <v>46218.49</v>
      </c>
      <c r="H1163" s="35">
        <v>46147.398143344908</v>
      </c>
    </row>
    <row r="1164" spans="2:8" x14ac:dyDescent="0.2">
      <c r="B1164" s="32">
        <v>46030</v>
      </c>
      <c r="C1164" t="s">
        <v>109</v>
      </c>
      <c r="D1164" t="s">
        <v>194</v>
      </c>
      <c r="E1164" s="13" t="s">
        <v>530</v>
      </c>
      <c r="F1164" s="12">
        <v>1</v>
      </c>
      <c r="G1164" s="12">
        <v>46218.49</v>
      </c>
      <c r="H1164" s="35">
        <v>46147.398143344908</v>
      </c>
    </row>
    <row r="1165" spans="2:8" x14ac:dyDescent="0.2">
      <c r="B1165" s="32">
        <v>46030</v>
      </c>
      <c r="C1165" t="s">
        <v>109</v>
      </c>
      <c r="D1165" t="s">
        <v>156</v>
      </c>
      <c r="E1165" s="13"/>
      <c r="F1165" s="12">
        <v>1</v>
      </c>
      <c r="G1165" s="12">
        <v>46218.48</v>
      </c>
      <c r="H1165" s="35">
        <v>46147.398143344908</v>
      </c>
    </row>
    <row r="1166" spans="2:8" x14ac:dyDescent="0.2">
      <c r="B1166" s="32">
        <v>46030</v>
      </c>
      <c r="C1166" t="s">
        <v>109</v>
      </c>
      <c r="D1166" t="s">
        <v>164</v>
      </c>
      <c r="E1166" s="13" t="s">
        <v>530</v>
      </c>
      <c r="F1166" s="12">
        <v>1</v>
      </c>
      <c r="G1166" s="12">
        <v>42016.81</v>
      </c>
      <c r="H1166" s="35">
        <v>46147.398143344908</v>
      </c>
    </row>
    <row r="1167" spans="2:8" x14ac:dyDescent="0.2">
      <c r="B1167" s="32">
        <v>46030</v>
      </c>
      <c r="C1167" t="s">
        <v>109</v>
      </c>
      <c r="D1167" t="s">
        <v>142</v>
      </c>
      <c r="E1167" s="13"/>
      <c r="F1167" s="12">
        <v>3</v>
      </c>
      <c r="G1167" s="12">
        <v>38655.46</v>
      </c>
      <c r="H1167" s="35">
        <v>46147.398143344908</v>
      </c>
    </row>
    <row r="1168" spans="2:8" x14ac:dyDescent="0.2">
      <c r="B1168" s="32">
        <v>46030</v>
      </c>
      <c r="C1168" t="s">
        <v>109</v>
      </c>
      <c r="D1168" t="s">
        <v>291</v>
      </c>
      <c r="E1168" s="13"/>
      <c r="F1168" s="12">
        <v>1</v>
      </c>
      <c r="G1168" s="12">
        <v>37815.129999999997</v>
      </c>
      <c r="H1168" s="35">
        <v>46147.398143344908</v>
      </c>
    </row>
    <row r="1169" spans="2:8" x14ac:dyDescent="0.2">
      <c r="B1169" s="32">
        <v>46030</v>
      </c>
      <c r="C1169" t="s">
        <v>109</v>
      </c>
      <c r="D1169" t="s">
        <v>291</v>
      </c>
      <c r="E1169" s="13" t="s">
        <v>529</v>
      </c>
      <c r="F1169" s="12">
        <v>1</v>
      </c>
      <c r="G1169" s="12">
        <v>37815.129999999997</v>
      </c>
      <c r="H1169" s="35">
        <v>46147.398143344908</v>
      </c>
    </row>
    <row r="1170" spans="2:8" x14ac:dyDescent="0.2">
      <c r="B1170" s="32">
        <v>46030</v>
      </c>
      <c r="C1170" t="s">
        <v>109</v>
      </c>
      <c r="D1170" t="s">
        <v>171</v>
      </c>
      <c r="E1170" s="13"/>
      <c r="F1170" s="12">
        <v>1</v>
      </c>
      <c r="G1170" s="12">
        <v>37815.129999999997</v>
      </c>
      <c r="H1170" s="35">
        <v>46147.398143344908</v>
      </c>
    </row>
    <row r="1171" spans="2:8" x14ac:dyDescent="0.2">
      <c r="B1171" s="32">
        <v>46030</v>
      </c>
      <c r="C1171" t="s">
        <v>109</v>
      </c>
      <c r="D1171" t="s">
        <v>142</v>
      </c>
      <c r="E1171" s="13" t="s">
        <v>530</v>
      </c>
      <c r="F1171" s="12">
        <v>2</v>
      </c>
      <c r="G1171" s="12">
        <v>32352.94</v>
      </c>
      <c r="H1171" s="35">
        <v>46147.398143344908</v>
      </c>
    </row>
    <row r="1172" spans="2:8" x14ac:dyDescent="0.2">
      <c r="B1172" s="32">
        <v>46030</v>
      </c>
      <c r="C1172" t="s">
        <v>109</v>
      </c>
      <c r="D1172" t="s">
        <v>510</v>
      </c>
      <c r="E1172" s="13"/>
      <c r="F1172" s="12">
        <v>1</v>
      </c>
      <c r="G1172" s="12">
        <v>16806.73</v>
      </c>
      <c r="H1172" s="35">
        <v>46147.398143344908</v>
      </c>
    </row>
    <row r="1173" spans="2:8" x14ac:dyDescent="0.2">
      <c r="B1173" s="32">
        <v>46030</v>
      </c>
      <c r="C1173" t="s">
        <v>109</v>
      </c>
      <c r="D1173" t="s">
        <v>415</v>
      </c>
      <c r="E1173" s="13"/>
      <c r="F1173" s="12">
        <v>1</v>
      </c>
      <c r="G1173" s="12">
        <v>16806.72</v>
      </c>
      <c r="H1173" s="35">
        <v>46147.398143344908</v>
      </c>
    </row>
    <row r="1174" spans="2:8" x14ac:dyDescent="0.2">
      <c r="B1174" s="32">
        <v>46031</v>
      </c>
      <c r="C1174" t="s">
        <v>140</v>
      </c>
      <c r="D1174" t="s">
        <v>546</v>
      </c>
      <c r="E1174" s="13" t="s">
        <v>529</v>
      </c>
      <c r="F1174" s="12">
        <v>1</v>
      </c>
      <c r="G1174" s="12">
        <v>108907.56</v>
      </c>
      <c r="H1174" s="35">
        <v>46147.398143344908</v>
      </c>
    </row>
    <row r="1175" spans="2:8" x14ac:dyDescent="0.2">
      <c r="B1175" s="32">
        <v>46031</v>
      </c>
      <c r="C1175" t="s">
        <v>140</v>
      </c>
      <c r="D1175" t="s">
        <v>192</v>
      </c>
      <c r="E1175" s="13" t="s">
        <v>530</v>
      </c>
      <c r="F1175" s="12">
        <v>1</v>
      </c>
      <c r="G1175" s="12">
        <v>100840.34</v>
      </c>
      <c r="H1175" s="35">
        <v>46147.398143344908</v>
      </c>
    </row>
    <row r="1176" spans="2:8" x14ac:dyDescent="0.2">
      <c r="B1176" s="32">
        <v>46031</v>
      </c>
      <c r="C1176" t="s">
        <v>140</v>
      </c>
      <c r="D1176" t="s">
        <v>405</v>
      </c>
      <c r="E1176" s="13" t="s">
        <v>529</v>
      </c>
      <c r="F1176" s="12">
        <v>1</v>
      </c>
      <c r="G1176" s="12">
        <v>92436.97</v>
      </c>
      <c r="H1176" s="35">
        <v>46147.398143344908</v>
      </c>
    </row>
    <row r="1177" spans="2:8" x14ac:dyDescent="0.2">
      <c r="B1177" s="32">
        <v>46031</v>
      </c>
      <c r="C1177" t="s">
        <v>140</v>
      </c>
      <c r="D1177" t="s">
        <v>285</v>
      </c>
      <c r="E1177" s="13" t="s">
        <v>529</v>
      </c>
      <c r="F1177" s="12">
        <v>1</v>
      </c>
      <c r="G1177" s="12">
        <v>84033.61</v>
      </c>
      <c r="H1177" s="35">
        <v>46147.398143344908</v>
      </c>
    </row>
    <row r="1178" spans="2:8" x14ac:dyDescent="0.2">
      <c r="B1178" s="32">
        <v>46031</v>
      </c>
      <c r="C1178" t="s">
        <v>140</v>
      </c>
      <c r="D1178" t="s">
        <v>585</v>
      </c>
      <c r="E1178" s="13" t="s">
        <v>529</v>
      </c>
      <c r="F1178" s="12">
        <v>1</v>
      </c>
      <c r="G1178" s="12">
        <v>79831.94</v>
      </c>
      <c r="H1178" s="35">
        <v>46147.398143344908</v>
      </c>
    </row>
    <row r="1179" spans="2:8" x14ac:dyDescent="0.2">
      <c r="B1179" s="32">
        <v>46031</v>
      </c>
      <c r="C1179" t="s">
        <v>140</v>
      </c>
      <c r="D1179" t="s">
        <v>562</v>
      </c>
      <c r="E1179" s="13" t="s">
        <v>529</v>
      </c>
      <c r="F1179" s="12">
        <v>1</v>
      </c>
      <c r="G1179" s="12">
        <v>79831.929999999993</v>
      </c>
      <c r="H1179" s="35">
        <v>46147.398143344908</v>
      </c>
    </row>
    <row r="1180" spans="2:8" x14ac:dyDescent="0.2">
      <c r="B1180" s="32">
        <v>46031</v>
      </c>
      <c r="C1180" t="s">
        <v>140</v>
      </c>
      <c r="D1180" t="s">
        <v>587</v>
      </c>
      <c r="E1180" s="13" t="s">
        <v>529</v>
      </c>
      <c r="F1180" s="12">
        <v>1</v>
      </c>
      <c r="G1180" s="12">
        <v>79831.929999999993</v>
      </c>
      <c r="H1180" s="35">
        <v>46147.398143344908</v>
      </c>
    </row>
    <row r="1181" spans="2:8" x14ac:dyDescent="0.2">
      <c r="B1181" s="32">
        <v>46031</v>
      </c>
      <c r="C1181" t="s">
        <v>140</v>
      </c>
      <c r="D1181" t="s">
        <v>232</v>
      </c>
      <c r="E1181" s="13" t="s">
        <v>529</v>
      </c>
      <c r="F1181" s="12">
        <v>2</v>
      </c>
      <c r="G1181" s="12">
        <v>75630.25</v>
      </c>
      <c r="H1181" s="35">
        <v>46147.398143344908</v>
      </c>
    </row>
    <row r="1182" spans="2:8" x14ac:dyDescent="0.2">
      <c r="B1182" s="32">
        <v>46031</v>
      </c>
      <c r="C1182" t="s">
        <v>140</v>
      </c>
      <c r="D1182" t="s">
        <v>174</v>
      </c>
      <c r="E1182" s="13" t="s">
        <v>530</v>
      </c>
      <c r="F1182" s="12">
        <v>1</v>
      </c>
      <c r="G1182" s="12">
        <v>58823.53</v>
      </c>
      <c r="H1182" s="35">
        <v>46147.398143344908</v>
      </c>
    </row>
    <row r="1183" spans="2:8" x14ac:dyDescent="0.2">
      <c r="B1183" s="32">
        <v>46031</v>
      </c>
      <c r="C1183" t="s">
        <v>140</v>
      </c>
      <c r="D1183" t="s">
        <v>163</v>
      </c>
      <c r="E1183" s="13" t="s">
        <v>529</v>
      </c>
      <c r="F1183" s="12">
        <v>1</v>
      </c>
      <c r="G1183" s="12">
        <v>58823.53</v>
      </c>
      <c r="H1183" s="35">
        <v>46147.398143344908</v>
      </c>
    </row>
    <row r="1184" spans="2:8" x14ac:dyDescent="0.2">
      <c r="B1184" s="32">
        <v>46031</v>
      </c>
      <c r="C1184" t="s">
        <v>140</v>
      </c>
      <c r="D1184" t="s">
        <v>146</v>
      </c>
      <c r="E1184" s="13" t="s">
        <v>530</v>
      </c>
      <c r="F1184" s="12">
        <v>1</v>
      </c>
      <c r="G1184" s="12">
        <v>37815.120000000003</v>
      </c>
      <c r="H1184" s="35">
        <v>46147.398143344908</v>
      </c>
    </row>
    <row r="1185" spans="2:8" x14ac:dyDescent="0.2">
      <c r="B1185" s="32">
        <v>46031</v>
      </c>
      <c r="C1185" t="s">
        <v>140</v>
      </c>
      <c r="E1185" s="13" t="s">
        <v>529</v>
      </c>
      <c r="F1185" s="12">
        <v>0</v>
      </c>
      <c r="G1185" s="12">
        <v>0</v>
      </c>
      <c r="H1185" s="35">
        <v>46147.398143344908</v>
      </c>
    </row>
    <row r="1186" spans="2:8" x14ac:dyDescent="0.2">
      <c r="B1186" s="32">
        <v>46031</v>
      </c>
      <c r="C1186" t="s">
        <v>140</v>
      </c>
      <c r="E1186" s="13" t="s">
        <v>530</v>
      </c>
      <c r="F1186" s="12">
        <v>0</v>
      </c>
      <c r="G1186" s="12">
        <v>0</v>
      </c>
      <c r="H1186" s="35">
        <v>46147.398143344908</v>
      </c>
    </row>
    <row r="1187" spans="2:8" x14ac:dyDescent="0.2">
      <c r="B1187" s="32">
        <v>46031</v>
      </c>
      <c r="C1187" t="s">
        <v>109</v>
      </c>
      <c r="D1187" t="s">
        <v>253</v>
      </c>
      <c r="E1187" s="13" t="s">
        <v>530</v>
      </c>
      <c r="F1187" s="12">
        <v>1</v>
      </c>
      <c r="G1187" s="12">
        <v>138655.46</v>
      </c>
      <c r="H1187" s="35">
        <v>46147.398143344908</v>
      </c>
    </row>
    <row r="1188" spans="2:8" x14ac:dyDescent="0.2">
      <c r="B1188" s="32">
        <v>46031</v>
      </c>
      <c r="C1188" t="s">
        <v>109</v>
      </c>
      <c r="E1188" s="13" t="s">
        <v>530</v>
      </c>
      <c r="F1188" s="12">
        <v>1</v>
      </c>
      <c r="G1188" s="12">
        <v>121848.74</v>
      </c>
      <c r="H1188" s="35">
        <v>46147.398143344908</v>
      </c>
    </row>
    <row r="1189" spans="2:8" x14ac:dyDescent="0.2">
      <c r="B1189" s="32">
        <v>46031</v>
      </c>
      <c r="C1189" t="s">
        <v>109</v>
      </c>
      <c r="D1189" t="s">
        <v>231</v>
      </c>
      <c r="E1189" s="13" t="s">
        <v>530</v>
      </c>
      <c r="F1189" s="12">
        <v>1</v>
      </c>
      <c r="G1189" s="12">
        <v>84033.61</v>
      </c>
      <c r="H1189" s="35">
        <v>46147.398143344908</v>
      </c>
    </row>
    <row r="1190" spans="2:8" x14ac:dyDescent="0.2">
      <c r="B1190" s="32">
        <v>46031</v>
      </c>
      <c r="C1190" t="s">
        <v>109</v>
      </c>
      <c r="D1190" t="s">
        <v>482</v>
      </c>
      <c r="E1190" s="13" t="s">
        <v>529</v>
      </c>
      <c r="F1190" s="12">
        <v>1</v>
      </c>
      <c r="G1190" s="12">
        <v>75630.25</v>
      </c>
      <c r="H1190" s="35">
        <v>46147.398143344908</v>
      </c>
    </row>
    <row r="1191" spans="2:8" x14ac:dyDescent="0.2">
      <c r="B1191" s="32">
        <v>46031</v>
      </c>
      <c r="C1191" t="s">
        <v>109</v>
      </c>
      <c r="D1191" t="s">
        <v>190</v>
      </c>
      <c r="E1191" s="13" t="s">
        <v>529</v>
      </c>
      <c r="F1191" s="12">
        <v>1</v>
      </c>
      <c r="G1191" s="12">
        <v>71428.570000000007</v>
      </c>
      <c r="H1191" s="35">
        <v>46147.398143344908</v>
      </c>
    </row>
    <row r="1192" spans="2:8" x14ac:dyDescent="0.2">
      <c r="B1192" s="32">
        <v>46031</v>
      </c>
      <c r="C1192" t="s">
        <v>109</v>
      </c>
      <c r="D1192" t="s">
        <v>301</v>
      </c>
      <c r="E1192" s="13" t="s">
        <v>530</v>
      </c>
      <c r="F1192" s="12">
        <v>1</v>
      </c>
      <c r="G1192" s="12">
        <v>50420.17</v>
      </c>
      <c r="H1192" s="35">
        <v>46147.398143344908</v>
      </c>
    </row>
    <row r="1193" spans="2:8" x14ac:dyDescent="0.2">
      <c r="B1193" s="32">
        <v>46031</v>
      </c>
      <c r="C1193" t="s">
        <v>109</v>
      </c>
      <c r="D1193" t="s">
        <v>267</v>
      </c>
      <c r="E1193" s="13" t="s">
        <v>530</v>
      </c>
      <c r="F1193" s="12">
        <v>1</v>
      </c>
      <c r="G1193" s="12">
        <v>50420.17</v>
      </c>
      <c r="H1193" s="35">
        <v>46147.398143344908</v>
      </c>
    </row>
    <row r="1194" spans="2:8" x14ac:dyDescent="0.2">
      <c r="B1194" s="32">
        <v>46031</v>
      </c>
      <c r="C1194" t="s">
        <v>109</v>
      </c>
      <c r="D1194" t="s">
        <v>315</v>
      </c>
      <c r="E1194" s="13" t="s">
        <v>530</v>
      </c>
      <c r="F1194" s="12">
        <v>1</v>
      </c>
      <c r="G1194" s="12">
        <v>50420.17</v>
      </c>
      <c r="H1194" s="35">
        <v>46147.398143344908</v>
      </c>
    </row>
    <row r="1195" spans="2:8" x14ac:dyDescent="0.2">
      <c r="B1195" s="32">
        <v>46031</v>
      </c>
      <c r="C1195" t="s">
        <v>109</v>
      </c>
      <c r="D1195" t="s">
        <v>308</v>
      </c>
      <c r="E1195" s="13"/>
      <c r="F1195" s="12">
        <v>3</v>
      </c>
      <c r="G1195" s="12">
        <v>50420.17</v>
      </c>
      <c r="H1195" s="35">
        <v>46147.398143344908</v>
      </c>
    </row>
    <row r="1196" spans="2:8" x14ac:dyDescent="0.2">
      <c r="B1196" s="32">
        <v>46031</v>
      </c>
      <c r="C1196" t="s">
        <v>109</v>
      </c>
      <c r="D1196" t="s">
        <v>358</v>
      </c>
      <c r="E1196" s="13"/>
      <c r="F1196" s="12">
        <v>3</v>
      </c>
      <c r="G1196" s="12">
        <v>50420.17</v>
      </c>
      <c r="H1196" s="35">
        <v>46147.398143344908</v>
      </c>
    </row>
    <row r="1197" spans="2:8" x14ac:dyDescent="0.2">
      <c r="B1197" s="32">
        <v>46031</v>
      </c>
      <c r="C1197" t="s">
        <v>109</v>
      </c>
      <c r="D1197" t="s">
        <v>252</v>
      </c>
      <c r="E1197" s="13" t="s">
        <v>530</v>
      </c>
      <c r="F1197" s="12">
        <v>1</v>
      </c>
      <c r="G1197" s="12">
        <v>50420.17</v>
      </c>
      <c r="H1197" s="35">
        <v>46147.398143344908</v>
      </c>
    </row>
    <row r="1198" spans="2:8" x14ac:dyDescent="0.2">
      <c r="B1198" s="32">
        <v>46031</v>
      </c>
      <c r="C1198" t="s">
        <v>109</v>
      </c>
      <c r="D1198" t="s">
        <v>478</v>
      </c>
      <c r="E1198" s="13"/>
      <c r="F1198" s="12">
        <v>3</v>
      </c>
      <c r="G1198" s="12">
        <v>50420.17</v>
      </c>
      <c r="H1198" s="35">
        <v>46147.398143344908</v>
      </c>
    </row>
    <row r="1199" spans="2:8" x14ac:dyDescent="0.2">
      <c r="B1199" s="32">
        <v>46031</v>
      </c>
      <c r="C1199" t="s">
        <v>109</v>
      </c>
      <c r="D1199" t="s">
        <v>305</v>
      </c>
      <c r="E1199" s="13" t="s">
        <v>530</v>
      </c>
      <c r="F1199" s="12">
        <v>1</v>
      </c>
      <c r="G1199" s="12">
        <v>50420.160000000003</v>
      </c>
      <c r="H1199" s="35">
        <v>46147.398143344908</v>
      </c>
    </row>
    <row r="1200" spans="2:8" x14ac:dyDescent="0.2">
      <c r="B1200" s="32">
        <v>46031</v>
      </c>
      <c r="C1200" t="s">
        <v>109</v>
      </c>
      <c r="D1200" t="s">
        <v>207</v>
      </c>
      <c r="E1200" s="13"/>
      <c r="F1200" s="12">
        <v>3</v>
      </c>
      <c r="G1200" s="12">
        <v>50420.160000000003</v>
      </c>
      <c r="H1200" s="35">
        <v>46147.398143344908</v>
      </c>
    </row>
    <row r="1201" spans="2:8" x14ac:dyDescent="0.2">
      <c r="B1201" s="32">
        <v>46031</v>
      </c>
      <c r="C1201" t="s">
        <v>109</v>
      </c>
      <c r="D1201" t="s">
        <v>450</v>
      </c>
      <c r="E1201" s="13"/>
      <c r="F1201" s="12">
        <v>3</v>
      </c>
      <c r="G1201" s="12">
        <v>50420.160000000003</v>
      </c>
      <c r="H1201" s="35">
        <v>46147.398143344908</v>
      </c>
    </row>
    <row r="1202" spans="2:8" x14ac:dyDescent="0.2">
      <c r="B1202" s="32">
        <v>46031</v>
      </c>
      <c r="C1202" t="s">
        <v>109</v>
      </c>
      <c r="D1202" t="s">
        <v>194</v>
      </c>
      <c r="E1202" s="13" t="s">
        <v>529</v>
      </c>
      <c r="F1202" s="12">
        <v>1</v>
      </c>
      <c r="G1202" s="12">
        <v>46218.49</v>
      </c>
      <c r="H1202" s="35">
        <v>46147.398143344908</v>
      </c>
    </row>
    <row r="1203" spans="2:8" x14ac:dyDescent="0.2">
      <c r="B1203" s="32">
        <v>46031</v>
      </c>
      <c r="C1203" t="s">
        <v>109</v>
      </c>
      <c r="D1203" t="s">
        <v>166</v>
      </c>
      <c r="E1203" s="13"/>
      <c r="F1203" s="12">
        <v>1</v>
      </c>
      <c r="G1203" s="12">
        <v>46218.49</v>
      </c>
      <c r="H1203" s="35">
        <v>46147.398143344908</v>
      </c>
    </row>
    <row r="1204" spans="2:8" x14ac:dyDescent="0.2">
      <c r="B1204" s="32">
        <v>46031</v>
      </c>
      <c r="C1204" t="s">
        <v>109</v>
      </c>
      <c r="D1204" t="s">
        <v>168</v>
      </c>
      <c r="E1204" s="13" t="s">
        <v>530</v>
      </c>
      <c r="F1204" s="12">
        <v>1</v>
      </c>
      <c r="G1204" s="12">
        <v>46218.49</v>
      </c>
      <c r="H1204" s="35">
        <v>46147.398143344908</v>
      </c>
    </row>
    <row r="1205" spans="2:8" x14ac:dyDescent="0.2">
      <c r="B1205" s="32">
        <v>46031</v>
      </c>
      <c r="C1205" t="s">
        <v>109</v>
      </c>
      <c r="D1205" t="s">
        <v>151</v>
      </c>
      <c r="E1205" s="13"/>
      <c r="F1205" s="12">
        <v>1</v>
      </c>
      <c r="G1205" s="12">
        <v>46218.49</v>
      </c>
      <c r="H1205" s="35">
        <v>46147.398143344908</v>
      </c>
    </row>
    <row r="1206" spans="2:8" x14ac:dyDescent="0.2">
      <c r="B1206" s="32">
        <v>46031</v>
      </c>
      <c r="C1206" t="s">
        <v>109</v>
      </c>
      <c r="D1206" t="s">
        <v>227</v>
      </c>
      <c r="E1206" s="13"/>
      <c r="F1206" s="12">
        <v>1</v>
      </c>
      <c r="G1206" s="12">
        <v>42016.81</v>
      </c>
      <c r="H1206" s="35">
        <v>46147.398143344908</v>
      </c>
    </row>
    <row r="1207" spans="2:8" x14ac:dyDescent="0.2">
      <c r="B1207" s="32">
        <v>46031</v>
      </c>
      <c r="C1207" t="s">
        <v>109</v>
      </c>
      <c r="D1207" t="s">
        <v>143</v>
      </c>
      <c r="E1207" s="13" t="s">
        <v>530</v>
      </c>
      <c r="F1207" s="12">
        <v>1</v>
      </c>
      <c r="G1207" s="12">
        <v>29411.759999999998</v>
      </c>
      <c r="H1207" s="35">
        <v>46147.398143344908</v>
      </c>
    </row>
    <row r="1208" spans="2:8" x14ac:dyDescent="0.2">
      <c r="B1208" s="32">
        <v>46032</v>
      </c>
      <c r="C1208" t="s">
        <v>140</v>
      </c>
      <c r="D1208" t="s">
        <v>198</v>
      </c>
      <c r="E1208" s="13" t="s">
        <v>530</v>
      </c>
      <c r="F1208" s="12">
        <v>2</v>
      </c>
      <c r="G1208" s="12">
        <v>260504.21</v>
      </c>
      <c r="H1208" s="35">
        <v>46147.398143344908</v>
      </c>
    </row>
    <row r="1209" spans="2:8" x14ac:dyDescent="0.2">
      <c r="B1209" s="32">
        <v>46032</v>
      </c>
      <c r="C1209" t="s">
        <v>140</v>
      </c>
      <c r="D1209" t="s">
        <v>209</v>
      </c>
      <c r="E1209" s="13" t="s">
        <v>530</v>
      </c>
      <c r="F1209" s="12">
        <v>2</v>
      </c>
      <c r="G1209" s="12">
        <v>260504.2</v>
      </c>
      <c r="H1209" s="35">
        <v>46147.398143344908</v>
      </c>
    </row>
    <row r="1210" spans="2:8" x14ac:dyDescent="0.2">
      <c r="B1210" s="32">
        <v>46032</v>
      </c>
      <c r="C1210" t="s">
        <v>140</v>
      </c>
      <c r="D1210" t="s">
        <v>189</v>
      </c>
      <c r="E1210" s="13" t="s">
        <v>530</v>
      </c>
      <c r="F1210" s="12">
        <v>2</v>
      </c>
      <c r="G1210" s="12">
        <v>260504.2</v>
      </c>
      <c r="H1210" s="35">
        <v>46147.398143344908</v>
      </c>
    </row>
    <row r="1211" spans="2:8" x14ac:dyDescent="0.2">
      <c r="B1211" s="32">
        <v>46032</v>
      </c>
      <c r="C1211" t="s">
        <v>140</v>
      </c>
      <c r="D1211" t="s">
        <v>176</v>
      </c>
      <c r="E1211" s="13" t="s">
        <v>530</v>
      </c>
      <c r="F1211" s="12">
        <v>2</v>
      </c>
      <c r="G1211" s="12">
        <v>109243.7</v>
      </c>
      <c r="H1211" s="35">
        <v>46147.398143344908</v>
      </c>
    </row>
    <row r="1212" spans="2:8" x14ac:dyDescent="0.2">
      <c r="B1212" s="32">
        <v>46032</v>
      </c>
      <c r="C1212" t="s">
        <v>140</v>
      </c>
      <c r="D1212" t="s">
        <v>453</v>
      </c>
      <c r="E1212" s="13" t="s">
        <v>529</v>
      </c>
      <c r="F1212" s="12">
        <v>0</v>
      </c>
      <c r="G1212" s="12">
        <v>100840.34</v>
      </c>
      <c r="H1212" s="35">
        <v>46147.398143344908</v>
      </c>
    </row>
    <row r="1213" spans="2:8" x14ac:dyDescent="0.2">
      <c r="B1213" s="32">
        <v>46032</v>
      </c>
      <c r="C1213" t="s">
        <v>140</v>
      </c>
      <c r="D1213" t="s">
        <v>163</v>
      </c>
      <c r="E1213" s="13" t="s">
        <v>530</v>
      </c>
      <c r="F1213" s="12">
        <v>1</v>
      </c>
      <c r="G1213" s="12">
        <v>58823.53</v>
      </c>
      <c r="H1213" s="35">
        <v>46147.398143344908</v>
      </c>
    </row>
    <row r="1214" spans="2:8" x14ac:dyDescent="0.2">
      <c r="B1214" s="32">
        <v>46032</v>
      </c>
      <c r="C1214" t="s">
        <v>140</v>
      </c>
      <c r="D1214" t="s">
        <v>160</v>
      </c>
      <c r="E1214" s="13" t="s">
        <v>530</v>
      </c>
      <c r="F1214" s="12">
        <v>1</v>
      </c>
      <c r="G1214" s="12">
        <v>58823.53</v>
      </c>
      <c r="H1214" s="35">
        <v>46147.398143344908</v>
      </c>
    </row>
    <row r="1215" spans="2:8" x14ac:dyDescent="0.2">
      <c r="B1215" s="32">
        <v>46032</v>
      </c>
      <c r="C1215" t="s">
        <v>140</v>
      </c>
      <c r="D1215" t="s">
        <v>304</v>
      </c>
      <c r="E1215" s="13" t="s">
        <v>530</v>
      </c>
      <c r="F1215" s="12">
        <v>1</v>
      </c>
      <c r="G1215" s="12">
        <v>58823.53</v>
      </c>
      <c r="H1215" s="35">
        <v>46147.398143344908</v>
      </c>
    </row>
    <row r="1216" spans="2:8" x14ac:dyDescent="0.2">
      <c r="B1216" s="32">
        <v>46032</v>
      </c>
      <c r="C1216" t="s">
        <v>140</v>
      </c>
      <c r="D1216" t="s">
        <v>234</v>
      </c>
      <c r="E1216" s="13" t="s">
        <v>530</v>
      </c>
      <c r="F1216" s="12">
        <v>1</v>
      </c>
      <c r="G1216" s="12">
        <v>58823.53</v>
      </c>
      <c r="H1216" s="35">
        <v>46147.398143344908</v>
      </c>
    </row>
    <row r="1217" spans="2:8" x14ac:dyDescent="0.2">
      <c r="B1217" s="32">
        <v>46032</v>
      </c>
      <c r="C1217" t="s">
        <v>140</v>
      </c>
      <c r="E1217" s="13" t="s">
        <v>530</v>
      </c>
      <c r="F1217" s="12">
        <v>0</v>
      </c>
      <c r="G1217" s="12">
        <v>0</v>
      </c>
      <c r="H1217" s="35">
        <v>46147.398143344908</v>
      </c>
    </row>
    <row r="1218" spans="2:8" x14ac:dyDescent="0.2">
      <c r="B1218" s="32">
        <v>46032</v>
      </c>
      <c r="C1218" t="s">
        <v>140</v>
      </c>
      <c r="E1218" s="13" t="s">
        <v>529</v>
      </c>
      <c r="F1218" s="12">
        <v>0</v>
      </c>
      <c r="G1218" s="12">
        <v>0</v>
      </c>
      <c r="H1218" s="35">
        <v>46147.398143344908</v>
      </c>
    </row>
    <row r="1219" spans="2:8" x14ac:dyDescent="0.2">
      <c r="B1219" s="32">
        <v>46032</v>
      </c>
      <c r="C1219" t="s">
        <v>140</v>
      </c>
      <c r="D1219" t="s">
        <v>141</v>
      </c>
      <c r="E1219" s="13" t="s">
        <v>530</v>
      </c>
      <c r="F1219" s="12">
        <v>28</v>
      </c>
      <c r="G1219" s="12">
        <v>0</v>
      </c>
      <c r="H1219" s="35">
        <v>46147.398143344908</v>
      </c>
    </row>
    <row r="1220" spans="2:8" x14ac:dyDescent="0.2">
      <c r="B1220" s="32">
        <v>46032</v>
      </c>
      <c r="C1220" t="s">
        <v>140</v>
      </c>
      <c r="D1220" t="s">
        <v>572</v>
      </c>
      <c r="E1220" s="13" t="s">
        <v>529</v>
      </c>
      <c r="F1220" s="12">
        <v>1</v>
      </c>
      <c r="G1220" s="12">
        <v>0</v>
      </c>
      <c r="H1220" s="35">
        <v>46147.398143344908</v>
      </c>
    </row>
    <row r="1221" spans="2:8" x14ac:dyDescent="0.2">
      <c r="B1221" s="32">
        <v>46032</v>
      </c>
      <c r="C1221" t="s">
        <v>140</v>
      </c>
      <c r="D1221" t="s">
        <v>193</v>
      </c>
      <c r="E1221" s="13" t="s">
        <v>529</v>
      </c>
      <c r="F1221" s="12">
        <v>0</v>
      </c>
      <c r="G1221" s="12">
        <v>-46218.49</v>
      </c>
      <c r="H1221" s="35">
        <v>46147.398143344908</v>
      </c>
    </row>
    <row r="1222" spans="2:8" x14ac:dyDescent="0.2">
      <c r="B1222" s="32">
        <v>46032</v>
      </c>
      <c r="C1222" t="s">
        <v>109</v>
      </c>
      <c r="D1222" t="s">
        <v>162</v>
      </c>
      <c r="E1222" s="13" t="s">
        <v>530</v>
      </c>
      <c r="F1222" s="12">
        <v>2</v>
      </c>
      <c r="G1222" s="12">
        <v>142857.14000000001</v>
      </c>
      <c r="H1222" s="35">
        <v>46147.398143344908</v>
      </c>
    </row>
    <row r="1223" spans="2:8" x14ac:dyDescent="0.2">
      <c r="B1223" s="32">
        <v>46032</v>
      </c>
      <c r="C1223" t="s">
        <v>109</v>
      </c>
      <c r="D1223" t="s">
        <v>151</v>
      </c>
      <c r="E1223" s="13" t="s">
        <v>530</v>
      </c>
      <c r="F1223" s="12">
        <v>2</v>
      </c>
      <c r="G1223" s="12">
        <v>92436.98</v>
      </c>
      <c r="H1223" s="35">
        <v>46147.398143344908</v>
      </c>
    </row>
    <row r="1224" spans="2:8" x14ac:dyDescent="0.2">
      <c r="B1224" s="32">
        <v>46032</v>
      </c>
      <c r="C1224" t="s">
        <v>109</v>
      </c>
      <c r="D1224" t="s">
        <v>150</v>
      </c>
      <c r="E1224" s="13" t="s">
        <v>529</v>
      </c>
      <c r="F1224" s="12">
        <v>1</v>
      </c>
      <c r="G1224" s="12">
        <v>75630.25</v>
      </c>
      <c r="H1224" s="35">
        <v>46147.398143344908</v>
      </c>
    </row>
    <row r="1225" spans="2:8" x14ac:dyDescent="0.2">
      <c r="B1225" s="32">
        <v>46032</v>
      </c>
      <c r="C1225" t="s">
        <v>109</v>
      </c>
      <c r="D1225" t="s">
        <v>353</v>
      </c>
      <c r="E1225" s="13" t="s">
        <v>529</v>
      </c>
      <c r="F1225" s="12">
        <v>1</v>
      </c>
      <c r="G1225" s="12">
        <v>71428.570000000007</v>
      </c>
      <c r="H1225" s="35">
        <v>46147.398143344908</v>
      </c>
    </row>
    <row r="1226" spans="2:8" x14ac:dyDescent="0.2">
      <c r="B1226" s="32">
        <v>46032</v>
      </c>
      <c r="C1226" t="s">
        <v>109</v>
      </c>
      <c r="D1226" t="s">
        <v>145</v>
      </c>
      <c r="E1226" s="13" t="s">
        <v>529</v>
      </c>
      <c r="F1226" s="12">
        <v>1</v>
      </c>
      <c r="G1226" s="12">
        <v>71428.570000000007</v>
      </c>
      <c r="H1226" s="35">
        <v>46147.398143344908</v>
      </c>
    </row>
    <row r="1227" spans="2:8" x14ac:dyDescent="0.2">
      <c r="B1227" s="32">
        <v>46032</v>
      </c>
      <c r="C1227" t="s">
        <v>109</v>
      </c>
      <c r="D1227" t="s">
        <v>432</v>
      </c>
      <c r="E1227" s="13"/>
      <c r="F1227" s="12">
        <v>1</v>
      </c>
      <c r="G1227" s="12">
        <v>71428.570000000007</v>
      </c>
      <c r="H1227" s="35">
        <v>46147.398143344908</v>
      </c>
    </row>
    <row r="1228" spans="2:8" x14ac:dyDescent="0.2">
      <c r="B1228" s="32">
        <v>46032</v>
      </c>
      <c r="C1228" t="s">
        <v>109</v>
      </c>
      <c r="D1228" t="s">
        <v>142</v>
      </c>
      <c r="E1228" s="13" t="s">
        <v>530</v>
      </c>
      <c r="F1228" s="12">
        <v>3</v>
      </c>
      <c r="G1228" s="12">
        <v>68907.56</v>
      </c>
      <c r="H1228" s="35">
        <v>46147.398143344908</v>
      </c>
    </row>
    <row r="1229" spans="2:8" x14ac:dyDescent="0.2">
      <c r="B1229" s="32">
        <v>46032</v>
      </c>
      <c r="C1229" t="s">
        <v>109</v>
      </c>
      <c r="D1229" t="s">
        <v>413</v>
      </c>
      <c r="E1229" s="13" t="s">
        <v>529</v>
      </c>
      <c r="F1229" s="12">
        <v>1</v>
      </c>
      <c r="G1229" s="12">
        <v>58823.53</v>
      </c>
      <c r="H1229" s="35">
        <v>46147.398143344908</v>
      </c>
    </row>
    <row r="1230" spans="2:8" x14ac:dyDescent="0.2">
      <c r="B1230" s="32">
        <v>46032</v>
      </c>
      <c r="C1230" t="s">
        <v>109</v>
      </c>
      <c r="D1230" t="s">
        <v>223</v>
      </c>
      <c r="E1230" s="13" t="s">
        <v>530</v>
      </c>
      <c r="F1230" s="12">
        <v>1</v>
      </c>
      <c r="G1230" s="12">
        <v>46218.49</v>
      </c>
      <c r="H1230" s="35">
        <v>46147.398143344908</v>
      </c>
    </row>
    <row r="1231" spans="2:8" x14ac:dyDescent="0.2">
      <c r="B1231" s="32">
        <v>46032</v>
      </c>
      <c r="C1231" t="s">
        <v>109</v>
      </c>
      <c r="D1231" t="s">
        <v>166</v>
      </c>
      <c r="E1231" s="13" t="s">
        <v>530</v>
      </c>
      <c r="F1231" s="12">
        <v>1</v>
      </c>
      <c r="G1231" s="12">
        <v>46218.48</v>
      </c>
      <c r="H1231" s="35">
        <v>46147.398143344908</v>
      </c>
    </row>
    <row r="1232" spans="2:8" x14ac:dyDescent="0.2">
      <c r="B1232" s="32">
        <v>46032</v>
      </c>
      <c r="C1232" t="s">
        <v>109</v>
      </c>
      <c r="D1232" t="s">
        <v>244</v>
      </c>
      <c r="E1232" s="13" t="s">
        <v>529</v>
      </c>
      <c r="F1232" s="12">
        <v>1</v>
      </c>
      <c r="G1232" s="12">
        <v>42016.81</v>
      </c>
      <c r="H1232" s="35">
        <v>46147.398143344908</v>
      </c>
    </row>
    <row r="1233" spans="2:8" x14ac:dyDescent="0.2">
      <c r="B1233" s="32">
        <v>46032</v>
      </c>
      <c r="C1233" t="s">
        <v>109</v>
      </c>
      <c r="D1233" t="s">
        <v>307</v>
      </c>
      <c r="E1233" s="13" t="s">
        <v>530</v>
      </c>
      <c r="F1233" s="12">
        <v>1</v>
      </c>
      <c r="G1233" s="12">
        <v>42016.81</v>
      </c>
      <c r="H1233" s="35">
        <v>46147.398143344908</v>
      </c>
    </row>
    <row r="1234" spans="2:8" x14ac:dyDescent="0.2">
      <c r="B1234" s="32">
        <v>46032</v>
      </c>
      <c r="C1234" t="s">
        <v>109</v>
      </c>
      <c r="D1234" t="s">
        <v>146</v>
      </c>
      <c r="E1234" s="13" t="s">
        <v>529</v>
      </c>
      <c r="F1234" s="12">
        <v>1</v>
      </c>
      <c r="G1234" s="12">
        <v>37815.129999999997</v>
      </c>
      <c r="H1234" s="35">
        <v>46147.398143344908</v>
      </c>
    </row>
    <row r="1235" spans="2:8" x14ac:dyDescent="0.2">
      <c r="B1235" s="32">
        <v>46032</v>
      </c>
      <c r="C1235" t="s">
        <v>109</v>
      </c>
      <c r="D1235" t="s">
        <v>328</v>
      </c>
      <c r="E1235" s="13" t="s">
        <v>529</v>
      </c>
      <c r="F1235" s="12">
        <v>1</v>
      </c>
      <c r="G1235" s="12">
        <v>37815.129999999997</v>
      </c>
      <c r="H1235" s="35">
        <v>46147.398143344908</v>
      </c>
    </row>
    <row r="1236" spans="2:8" x14ac:dyDescent="0.2">
      <c r="B1236" s="32">
        <v>46032</v>
      </c>
      <c r="C1236" t="s">
        <v>109</v>
      </c>
      <c r="D1236" t="s">
        <v>143</v>
      </c>
      <c r="E1236" s="13" t="s">
        <v>529</v>
      </c>
      <c r="F1236" s="12">
        <v>1</v>
      </c>
      <c r="G1236" s="12">
        <v>29411.759999999998</v>
      </c>
      <c r="H1236" s="35">
        <v>46147.398143344908</v>
      </c>
    </row>
    <row r="1237" spans="2:8" x14ac:dyDescent="0.2">
      <c r="B1237" s="32">
        <v>46032</v>
      </c>
      <c r="C1237" t="s">
        <v>109</v>
      </c>
      <c r="D1237" t="s">
        <v>143</v>
      </c>
      <c r="E1237" s="13" t="s">
        <v>530</v>
      </c>
      <c r="F1237" s="12">
        <v>1</v>
      </c>
      <c r="G1237" s="12">
        <v>29411.759999999998</v>
      </c>
      <c r="H1237" s="35">
        <v>46147.398143344908</v>
      </c>
    </row>
    <row r="1238" spans="2:8" x14ac:dyDescent="0.2">
      <c r="B1238" s="32">
        <v>46032</v>
      </c>
      <c r="C1238" t="s">
        <v>109</v>
      </c>
      <c r="D1238" t="s">
        <v>142</v>
      </c>
      <c r="E1238" s="13" t="s">
        <v>529</v>
      </c>
      <c r="F1238" s="12">
        <v>1</v>
      </c>
      <c r="G1238" s="12">
        <v>13865.55</v>
      </c>
      <c r="H1238" s="35">
        <v>46147.398143344908</v>
      </c>
    </row>
    <row r="1239" spans="2:8" x14ac:dyDescent="0.2">
      <c r="B1239" s="32">
        <v>46033</v>
      </c>
      <c r="C1239" t="s">
        <v>140</v>
      </c>
      <c r="D1239" t="s">
        <v>576</v>
      </c>
      <c r="E1239" s="13" t="s">
        <v>529</v>
      </c>
      <c r="F1239" s="12">
        <v>1</v>
      </c>
      <c r="G1239" s="12">
        <v>58823.53</v>
      </c>
      <c r="H1239" s="35">
        <v>46147.398143344908</v>
      </c>
    </row>
    <row r="1240" spans="2:8" x14ac:dyDescent="0.2">
      <c r="B1240" s="32">
        <v>46033</v>
      </c>
      <c r="C1240" t="s">
        <v>140</v>
      </c>
      <c r="D1240" t="s">
        <v>549</v>
      </c>
      <c r="E1240" s="13" t="s">
        <v>529</v>
      </c>
      <c r="F1240" s="12">
        <v>1</v>
      </c>
      <c r="G1240" s="12">
        <v>58823.53</v>
      </c>
      <c r="H1240" s="35">
        <v>46147.398143344908</v>
      </c>
    </row>
    <row r="1241" spans="2:8" x14ac:dyDescent="0.2">
      <c r="B1241" s="32">
        <v>46033</v>
      </c>
      <c r="C1241" t="s">
        <v>140</v>
      </c>
      <c r="E1241" s="13" t="s">
        <v>529</v>
      </c>
      <c r="F1241" s="12">
        <v>0</v>
      </c>
      <c r="G1241" s="12">
        <v>0</v>
      </c>
      <c r="H1241" s="35">
        <v>46147.398143344908</v>
      </c>
    </row>
    <row r="1242" spans="2:8" x14ac:dyDescent="0.2">
      <c r="B1242" s="32">
        <v>46033</v>
      </c>
      <c r="C1242" t="s">
        <v>109</v>
      </c>
      <c r="D1242" t="s">
        <v>183</v>
      </c>
      <c r="E1242" s="13" t="s">
        <v>529</v>
      </c>
      <c r="F1242" s="12">
        <v>1</v>
      </c>
      <c r="G1242" s="12">
        <v>100840.34</v>
      </c>
      <c r="H1242" s="35">
        <v>46147.398143344908</v>
      </c>
    </row>
    <row r="1243" spans="2:8" x14ac:dyDescent="0.2">
      <c r="B1243" s="32">
        <v>46033</v>
      </c>
      <c r="C1243" t="s">
        <v>109</v>
      </c>
      <c r="D1243" t="s">
        <v>146</v>
      </c>
      <c r="E1243" s="13" t="s">
        <v>530</v>
      </c>
      <c r="F1243" s="12">
        <v>1</v>
      </c>
      <c r="G1243" s="12">
        <v>37815.129999999997</v>
      </c>
      <c r="H1243" s="35">
        <v>46147.398143344908</v>
      </c>
    </row>
    <row r="1244" spans="2:8" x14ac:dyDescent="0.2">
      <c r="B1244" s="32">
        <v>46033</v>
      </c>
      <c r="C1244" t="s">
        <v>109</v>
      </c>
      <c r="D1244" t="s">
        <v>143</v>
      </c>
      <c r="E1244" s="13" t="s">
        <v>530</v>
      </c>
      <c r="F1244" s="12">
        <v>1</v>
      </c>
      <c r="G1244" s="12">
        <v>29411.77</v>
      </c>
      <c r="H1244" s="35">
        <v>46147.398143344908</v>
      </c>
    </row>
    <row r="1245" spans="2:8" x14ac:dyDescent="0.2">
      <c r="B1245" s="32">
        <v>46033</v>
      </c>
      <c r="C1245" t="s">
        <v>109</v>
      </c>
      <c r="D1245" t="s">
        <v>216</v>
      </c>
      <c r="E1245" s="13" t="s">
        <v>530</v>
      </c>
      <c r="F1245" s="12">
        <v>1</v>
      </c>
      <c r="G1245" s="12">
        <v>29411.759999999998</v>
      </c>
      <c r="H1245" s="35">
        <v>46147.398143344908</v>
      </c>
    </row>
    <row r="1246" spans="2:8" x14ac:dyDescent="0.2">
      <c r="B1246" s="32">
        <v>46033</v>
      </c>
      <c r="C1246" t="s">
        <v>109</v>
      </c>
      <c r="D1246" t="s">
        <v>142</v>
      </c>
      <c r="E1246" s="13" t="s">
        <v>530</v>
      </c>
      <c r="F1246" s="12">
        <v>3</v>
      </c>
      <c r="G1246" s="12">
        <v>12184.87</v>
      </c>
      <c r="H1246" s="35">
        <v>46147.398143344908</v>
      </c>
    </row>
    <row r="1247" spans="2:8" x14ac:dyDescent="0.2">
      <c r="B1247" s="32">
        <v>46034</v>
      </c>
      <c r="C1247" t="s">
        <v>140</v>
      </c>
      <c r="D1247" t="s">
        <v>512</v>
      </c>
      <c r="E1247" s="13" t="s">
        <v>529</v>
      </c>
      <c r="F1247" s="12">
        <v>1</v>
      </c>
      <c r="G1247" s="12">
        <v>235294.12</v>
      </c>
      <c r="H1247" s="35">
        <v>46147.398143344908</v>
      </c>
    </row>
    <row r="1248" spans="2:8" x14ac:dyDescent="0.2">
      <c r="B1248" s="32">
        <v>46034</v>
      </c>
      <c r="C1248" t="s">
        <v>140</v>
      </c>
      <c r="D1248" t="s">
        <v>212</v>
      </c>
      <c r="E1248" s="13" t="s">
        <v>530</v>
      </c>
      <c r="F1248" s="12">
        <v>1</v>
      </c>
      <c r="G1248" s="12">
        <v>54621.85</v>
      </c>
      <c r="H1248" s="35">
        <v>46147.398143344908</v>
      </c>
    </row>
    <row r="1249" spans="2:8" x14ac:dyDescent="0.2">
      <c r="B1249" s="32">
        <v>46034</v>
      </c>
      <c r="C1249" t="s">
        <v>140</v>
      </c>
      <c r="D1249" t="s">
        <v>193</v>
      </c>
      <c r="E1249" s="13" t="s">
        <v>530</v>
      </c>
      <c r="F1249" s="12">
        <v>1</v>
      </c>
      <c r="G1249" s="12">
        <v>46218.49</v>
      </c>
      <c r="H1249" s="35">
        <v>46147.398143344908</v>
      </c>
    </row>
    <row r="1250" spans="2:8" x14ac:dyDescent="0.2">
      <c r="B1250" s="32">
        <v>46034</v>
      </c>
      <c r="C1250" t="s">
        <v>140</v>
      </c>
      <c r="D1250" t="s">
        <v>216</v>
      </c>
      <c r="E1250" s="13" t="s">
        <v>530</v>
      </c>
      <c r="F1250" s="12">
        <v>1</v>
      </c>
      <c r="G1250" s="12">
        <v>29411.759999999998</v>
      </c>
      <c r="H1250" s="35">
        <v>46147.398143344908</v>
      </c>
    </row>
    <row r="1251" spans="2:8" x14ac:dyDescent="0.2">
      <c r="B1251" s="32">
        <v>46034</v>
      </c>
      <c r="C1251" t="s">
        <v>140</v>
      </c>
      <c r="E1251" s="13" t="s">
        <v>529</v>
      </c>
      <c r="F1251" s="12">
        <v>0</v>
      </c>
      <c r="G1251" s="12">
        <v>0</v>
      </c>
      <c r="H1251" s="35">
        <v>46147.398143344908</v>
      </c>
    </row>
    <row r="1252" spans="2:8" x14ac:dyDescent="0.2">
      <c r="B1252" s="32">
        <v>46034</v>
      </c>
      <c r="C1252" t="s">
        <v>140</v>
      </c>
      <c r="E1252" s="13" t="s">
        <v>530</v>
      </c>
      <c r="F1252" s="12">
        <v>0</v>
      </c>
      <c r="G1252" s="12">
        <v>0</v>
      </c>
      <c r="H1252" s="35">
        <v>46147.398143344908</v>
      </c>
    </row>
    <row r="1253" spans="2:8" x14ac:dyDescent="0.2">
      <c r="B1253" s="32">
        <v>46035</v>
      </c>
      <c r="C1253" t="s">
        <v>140</v>
      </c>
      <c r="D1253" t="s">
        <v>150</v>
      </c>
      <c r="E1253" s="13" t="s">
        <v>530</v>
      </c>
      <c r="F1253" s="12">
        <v>2</v>
      </c>
      <c r="G1253" s="12">
        <v>151260.5</v>
      </c>
      <c r="H1253" s="35">
        <v>46147.398143344908</v>
      </c>
    </row>
    <row r="1254" spans="2:8" x14ac:dyDescent="0.2">
      <c r="B1254" s="32">
        <v>46035</v>
      </c>
      <c r="C1254" t="s">
        <v>140</v>
      </c>
      <c r="D1254" t="s">
        <v>153</v>
      </c>
      <c r="E1254" s="13" t="s">
        <v>530</v>
      </c>
      <c r="F1254" s="12">
        <v>1</v>
      </c>
      <c r="G1254" s="12">
        <v>100840.34</v>
      </c>
      <c r="H1254" s="35">
        <v>46147.398143344908</v>
      </c>
    </row>
    <row r="1255" spans="2:8" x14ac:dyDescent="0.2">
      <c r="B1255" s="32">
        <v>46035</v>
      </c>
      <c r="C1255" t="s">
        <v>140</v>
      </c>
      <c r="D1255" t="s">
        <v>303</v>
      </c>
      <c r="E1255" s="13" t="s">
        <v>530</v>
      </c>
      <c r="F1255" s="12">
        <v>1</v>
      </c>
      <c r="G1255" s="12">
        <v>54621.85</v>
      </c>
      <c r="H1255" s="35">
        <v>46147.398143344908</v>
      </c>
    </row>
    <row r="1256" spans="2:8" x14ac:dyDescent="0.2">
      <c r="B1256" s="32">
        <v>46035</v>
      </c>
      <c r="C1256" t="s">
        <v>140</v>
      </c>
      <c r="D1256" t="s">
        <v>310</v>
      </c>
      <c r="E1256" s="13" t="s">
        <v>530</v>
      </c>
      <c r="F1256" s="12">
        <v>1</v>
      </c>
      <c r="G1256" s="12">
        <v>54621.85</v>
      </c>
      <c r="H1256" s="35">
        <v>46147.398143344908</v>
      </c>
    </row>
    <row r="1257" spans="2:8" x14ac:dyDescent="0.2">
      <c r="B1257" s="32">
        <v>46035</v>
      </c>
      <c r="C1257" t="s">
        <v>140</v>
      </c>
      <c r="E1257" s="13" t="s">
        <v>530</v>
      </c>
      <c r="F1257" s="12">
        <v>0</v>
      </c>
      <c r="G1257" s="12">
        <v>0</v>
      </c>
      <c r="H1257" s="35">
        <v>46147.398143344908</v>
      </c>
    </row>
    <row r="1258" spans="2:8" x14ac:dyDescent="0.2">
      <c r="B1258" s="32">
        <v>46035</v>
      </c>
      <c r="C1258" t="s">
        <v>109</v>
      </c>
      <c r="D1258" t="s">
        <v>567</v>
      </c>
      <c r="E1258" s="13" t="s">
        <v>529</v>
      </c>
      <c r="F1258" s="12">
        <v>1</v>
      </c>
      <c r="G1258" s="12">
        <v>344537.82</v>
      </c>
      <c r="H1258" s="35">
        <v>46147.398143344908</v>
      </c>
    </row>
    <row r="1259" spans="2:8" x14ac:dyDescent="0.2">
      <c r="B1259" s="32">
        <v>46035</v>
      </c>
      <c r="C1259" t="s">
        <v>109</v>
      </c>
      <c r="D1259" t="s">
        <v>142</v>
      </c>
      <c r="E1259" s="13" t="s">
        <v>529</v>
      </c>
      <c r="F1259" s="12">
        <v>5</v>
      </c>
      <c r="G1259" s="12">
        <v>202941.17</v>
      </c>
      <c r="H1259" s="35">
        <v>46147.398143344908</v>
      </c>
    </row>
    <row r="1260" spans="2:8" x14ac:dyDescent="0.2">
      <c r="B1260" s="32">
        <v>46035</v>
      </c>
      <c r="C1260" t="s">
        <v>109</v>
      </c>
      <c r="D1260" t="s">
        <v>287</v>
      </c>
      <c r="E1260" s="13" t="s">
        <v>530</v>
      </c>
      <c r="F1260" s="12">
        <v>1</v>
      </c>
      <c r="G1260" s="12">
        <v>186554.62</v>
      </c>
      <c r="H1260" s="35">
        <v>46147.398143344908</v>
      </c>
    </row>
    <row r="1261" spans="2:8" x14ac:dyDescent="0.2">
      <c r="B1261" s="32">
        <v>46035</v>
      </c>
      <c r="C1261" t="s">
        <v>109</v>
      </c>
      <c r="D1261" t="s">
        <v>333</v>
      </c>
      <c r="E1261" s="13" t="s">
        <v>529</v>
      </c>
      <c r="F1261" s="12">
        <v>2</v>
      </c>
      <c r="G1261" s="12">
        <v>142857.15</v>
      </c>
      <c r="H1261" s="35">
        <v>46147.398143344908</v>
      </c>
    </row>
    <row r="1262" spans="2:8" x14ac:dyDescent="0.2">
      <c r="B1262" s="32">
        <v>46035</v>
      </c>
      <c r="C1262" t="s">
        <v>109</v>
      </c>
      <c r="D1262" t="s">
        <v>243</v>
      </c>
      <c r="E1262" s="13" t="s">
        <v>530</v>
      </c>
      <c r="F1262" s="12">
        <v>1</v>
      </c>
      <c r="G1262" s="12">
        <v>126050.42</v>
      </c>
      <c r="H1262" s="35">
        <v>46147.398143344908</v>
      </c>
    </row>
    <row r="1263" spans="2:8" x14ac:dyDescent="0.2">
      <c r="B1263" s="32">
        <v>46035</v>
      </c>
      <c r="C1263" t="s">
        <v>109</v>
      </c>
      <c r="E1263" s="13" t="s">
        <v>529</v>
      </c>
      <c r="F1263" s="12">
        <v>1</v>
      </c>
      <c r="G1263" s="12">
        <v>121848.74</v>
      </c>
      <c r="H1263" s="35">
        <v>46147.398143344908</v>
      </c>
    </row>
    <row r="1264" spans="2:8" x14ac:dyDescent="0.2">
      <c r="B1264" s="32">
        <v>46035</v>
      </c>
      <c r="C1264" t="s">
        <v>109</v>
      </c>
      <c r="D1264" t="s">
        <v>149</v>
      </c>
      <c r="E1264" s="13" t="s">
        <v>529</v>
      </c>
      <c r="F1264" s="12">
        <v>2</v>
      </c>
      <c r="G1264" s="12">
        <v>92436.97</v>
      </c>
      <c r="H1264" s="35">
        <v>46147.398143344908</v>
      </c>
    </row>
    <row r="1265" spans="2:8" x14ac:dyDescent="0.2">
      <c r="B1265" s="32">
        <v>46035</v>
      </c>
      <c r="C1265" t="s">
        <v>109</v>
      </c>
      <c r="D1265" t="s">
        <v>169</v>
      </c>
      <c r="E1265" s="13" t="s">
        <v>529</v>
      </c>
      <c r="F1265" s="12">
        <v>4</v>
      </c>
      <c r="G1265" s="12">
        <v>90756.29</v>
      </c>
      <c r="H1265" s="35">
        <v>46147.398143344908</v>
      </c>
    </row>
    <row r="1266" spans="2:8" x14ac:dyDescent="0.2">
      <c r="B1266" s="32">
        <v>46035</v>
      </c>
      <c r="C1266" t="s">
        <v>109</v>
      </c>
      <c r="D1266" t="s">
        <v>218</v>
      </c>
      <c r="E1266" s="13" t="s">
        <v>529</v>
      </c>
      <c r="F1266" s="12">
        <v>1</v>
      </c>
      <c r="G1266" s="12">
        <v>84033.600000000006</v>
      </c>
      <c r="H1266" s="35">
        <v>46147.398143344908</v>
      </c>
    </row>
    <row r="1267" spans="2:8" x14ac:dyDescent="0.2">
      <c r="B1267" s="32">
        <v>46035</v>
      </c>
      <c r="C1267" t="s">
        <v>109</v>
      </c>
      <c r="D1267" t="s">
        <v>150</v>
      </c>
      <c r="E1267" s="13" t="s">
        <v>530</v>
      </c>
      <c r="F1267" s="12">
        <v>1</v>
      </c>
      <c r="G1267" s="12">
        <v>75630.25</v>
      </c>
      <c r="H1267" s="35">
        <v>46147.398143344908</v>
      </c>
    </row>
    <row r="1268" spans="2:8" x14ac:dyDescent="0.2">
      <c r="B1268" s="32">
        <v>46035</v>
      </c>
      <c r="C1268" t="s">
        <v>109</v>
      </c>
      <c r="D1268" t="s">
        <v>190</v>
      </c>
      <c r="E1268" s="13" t="s">
        <v>529</v>
      </c>
      <c r="F1268" s="12">
        <v>1</v>
      </c>
      <c r="G1268" s="12">
        <v>71428.570000000007</v>
      </c>
      <c r="H1268" s="35">
        <v>46147.398143344908</v>
      </c>
    </row>
    <row r="1269" spans="2:8" x14ac:dyDescent="0.2">
      <c r="B1269" s="32">
        <v>46035</v>
      </c>
      <c r="C1269" t="s">
        <v>109</v>
      </c>
      <c r="D1269" t="s">
        <v>221</v>
      </c>
      <c r="E1269" s="13" t="s">
        <v>530</v>
      </c>
      <c r="F1269" s="12">
        <v>1</v>
      </c>
      <c r="G1269" s="12">
        <v>58823.53</v>
      </c>
      <c r="H1269" s="35">
        <v>46147.398143344908</v>
      </c>
    </row>
    <row r="1270" spans="2:8" x14ac:dyDescent="0.2">
      <c r="B1270" s="32">
        <v>46035</v>
      </c>
      <c r="C1270" t="s">
        <v>109</v>
      </c>
      <c r="D1270" t="s">
        <v>365</v>
      </c>
      <c r="E1270" s="13" t="s">
        <v>529</v>
      </c>
      <c r="F1270" s="12">
        <v>1</v>
      </c>
      <c r="G1270" s="12">
        <v>58823.519999999997</v>
      </c>
      <c r="H1270" s="35">
        <v>46147.398143344908</v>
      </c>
    </row>
    <row r="1271" spans="2:8" x14ac:dyDescent="0.2">
      <c r="B1271" s="32">
        <v>46035</v>
      </c>
      <c r="C1271" t="s">
        <v>109</v>
      </c>
      <c r="D1271" t="s">
        <v>315</v>
      </c>
      <c r="E1271" s="13" t="s">
        <v>529</v>
      </c>
      <c r="F1271" s="12">
        <v>1</v>
      </c>
      <c r="G1271" s="12">
        <v>50420.17</v>
      </c>
      <c r="H1271" s="35">
        <v>46147.398143344908</v>
      </c>
    </row>
    <row r="1272" spans="2:8" x14ac:dyDescent="0.2">
      <c r="B1272" s="32">
        <v>46035</v>
      </c>
      <c r="C1272" t="s">
        <v>109</v>
      </c>
      <c r="D1272" t="s">
        <v>574</v>
      </c>
      <c r="E1272" s="13" t="s">
        <v>529</v>
      </c>
      <c r="F1272" s="12">
        <v>1</v>
      </c>
      <c r="G1272" s="12">
        <v>50420.17</v>
      </c>
      <c r="H1272" s="35">
        <v>46147.398143344908</v>
      </c>
    </row>
    <row r="1273" spans="2:8" x14ac:dyDescent="0.2">
      <c r="B1273" s="32">
        <v>46035</v>
      </c>
      <c r="C1273" t="s">
        <v>109</v>
      </c>
      <c r="D1273" t="s">
        <v>507</v>
      </c>
      <c r="E1273" s="13" t="s">
        <v>529</v>
      </c>
      <c r="F1273" s="12">
        <v>1</v>
      </c>
      <c r="G1273" s="12">
        <v>50420.17</v>
      </c>
      <c r="H1273" s="35">
        <v>46147.398143344908</v>
      </c>
    </row>
    <row r="1274" spans="2:8" x14ac:dyDescent="0.2">
      <c r="B1274" s="32">
        <v>46035</v>
      </c>
      <c r="C1274" t="s">
        <v>109</v>
      </c>
      <c r="D1274" t="s">
        <v>238</v>
      </c>
      <c r="E1274" s="13" t="s">
        <v>529</v>
      </c>
      <c r="F1274" s="12">
        <v>1</v>
      </c>
      <c r="G1274" s="12">
        <v>46218.49</v>
      </c>
      <c r="H1274" s="35">
        <v>46147.398143344908</v>
      </c>
    </row>
    <row r="1275" spans="2:8" x14ac:dyDescent="0.2">
      <c r="B1275" s="32">
        <v>46035</v>
      </c>
      <c r="C1275" t="s">
        <v>109</v>
      </c>
      <c r="D1275" t="s">
        <v>223</v>
      </c>
      <c r="E1275" s="13" t="s">
        <v>529</v>
      </c>
      <c r="F1275" s="12">
        <v>1</v>
      </c>
      <c r="G1275" s="12">
        <v>46218.49</v>
      </c>
      <c r="H1275" s="35">
        <v>46147.398143344908</v>
      </c>
    </row>
    <row r="1276" spans="2:8" x14ac:dyDescent="0.2">
      <c r="B1276" s="32">
        <v>46035</v>
      </c>
      <c r="C1276" t="s">
        <v>109</v>
      </c>
      <c r="D1276" t="s">
        <v>289</v>
      </c>
      <c r="E1276" s="13" t="s">
        <v>529</v>
      </c>
      <c r="F1276" s="12">
        <v>1</v>
      </c>
      <c r="G1276" s="12">
        <v>46218.49</v>
      </c>
      <c r="H1276" s="35">
        <v>46147.398143344908</v>
      </c>
    </row>
    <row r="1277" spans="2:8" x14ac:dyDescent="0.2">
      <c r="B1277" s="32">
        <v>46035</v>
      </c>
      <c r="C1277" t="s">
        <v>109</v>
      </c>
      <c r="D1277" t="s">
        <v>151</v>
      </c>
      <c r="E1277" s="13" t="s">
        <v>529</v>
      </c>
      <c r="F1277" s="12">
        <v>1</v>
      </c>
      <c r="G1277" s="12">
        <v>46218.49</v>
      </c>
      <c r="H1277" s="35">
        <v>46147.398143344908</v>
      </c>
    </row>
    <row r="1278" spans="2:8" x14ac:dyDescent="0.2">
      <c r="B1278" s="32">
        <v>46035</v>
      </c>
      <c r="C1278" t="s">
        <v>109</v>
      </c>
      <c r="D1278" t="s">
        <v>194</v>
      </c>
      <c r="E1278" s="13" t="s">
        <v>529</v>
      </c>
      <c r="F1278" s="12">
        <v>1</v>
      </c>
      <c r="G1278" s="12">
        <v>46218.49</v>
      </c>
      <c r="H1278" s="35">
        <v>46147.398143344908</v>
      </c>
    </row>
    <row r="1279" spans="2:8" x14ac:dyDescent="0.2">
      <c r="B1279" s="32">
        <v>46035</v>
      </c>
      <c r="C1279" t="s">
        <v>109</v>
      </c>
      <c r="D1279" t="s">
        <v>291</v>
      </c>
      <c r="E1279" s="13" t="s">
        <v>529</v>
      </c>
      <c r="F1279" s="12">
        <v>1</v>
      </c>
      <c r="G1279" s="12">
        <v>37815.129999999997</v>
      </c>
      <c r="H1279" s="35">
        <v>46147.398143344908</v>
      </c>
    </row>
    <row r="1280" spans="2:8" x14ac:dyDescent="0.2">
      <c r="B1280" s="32">
        <v>46035</v>
      </c>
      <c r="C1280" t="s">
        <v>109</v>
      </c>
      <c r="D1280" t="s">
        <v>328</v>
      </c>
      <c r="E1280" s="13" t="s">
        <v>529</v>
      </c>
      <c r="F1280" s="12">
        <v>1</v>
      </c>
      <c r="G1280" s="12">
        <v>37815.129999999997</v>
      </c>
      <c r="H1280" s="35">
        <v>46147.398143344908</v>
      </c>
    </row>
    <row r="1281" spans="2:8" x14ac:dyDescent="0.2">
      <c r="B1281" s="32">
        <v>46035</v>
      </c>
      <c r="C1281" t="s">
        <v>109</v>
      </c>
      <c r="D1281" t="s">
        <v>142</v>
      </c>
      <c r="E1281" s="13" t="s">
        <v>530</v>
      </c>
      <c r="F1281" s="12">
        <v>2</v>
      </c>
      <c r="G1281" s="12">
        <v>36974.79</v>
      </c>
      <c r="H1281" s="35">
        <v>46147.398143344908</v>
      </c>
    </row>
    <row r="1282" spans="2:8" x14ac:dyDescent="0.2">
      <c r="B1282" s="32">
        <v>46035</v>
      </c>
      <c r="C1282" t="s">
        <v>109</v>
      </c>
      <c r="D1282" t="s">
        <v>143</v>
      </c>
      <c r="E1282" s="13" t="s">
        <v>529</v>
      </c>
      <c r="F1282" s="12">
        <v>1</v>
      </c>
      <c r="G1282" s="12">
        <v>29411.759999999998</v>
      </c>
      <c r="H1282" s="35">
        <v>46147.398143344908</v>
      </c>
    </row>
    <row r="1283" spans="2:8" x14ac:dyDescent="0.2">
      <c r="B1283" s="32">
        <v>46035</v>
      </c>
      <c r="C1283" t="s">
        <v>109</v>
      </c>
      <c r="D1283" t="s">
        <v>415</v>
      </c>
      <c r="E1283" s="13" t="s">
        <v>529</v>
      </c>
      <c r="F1283" s="12">
        <v>1</v>
      </c>
      <c r="G1283" s="12">
        <v>16806.72</v>
      </c>
      <c r="H1283" s="35">
        <v>46147.398143344908</v>
      </c>
    </row>
    <row r="1284" spans="2:8" x14ac:dyDescent="0.2">
      <c r="B1284" s="32">
        <v>46036</v>
      </c>
      <c r="C1284" t="s">
        <v>108</v>
      </c>
      <c r="D1284" t="s">
        <v>265</v>
      </c>
      <c r="E1284" s="13" t="s">
        <v>529</v>
      </c>
      <c r="F1284" s="12">
        <v>5</v>
      </c>
      <c r="G1284" s="12">
        <v>273109.25</v>
      </c>
      <c r="H1284" s="35">
        <v>46147.398143344908</v>
      </c>
    </row>
    <row r="1285" spans="2:8" x14ac:dyDescent="0.2">
      <c r="B1285" s="32">
        <v>46036</v>
      </c>
      <c r="C1285" t="s">
        <v>108</v>
      </c>
      <c r="D1285" t="s">
        <v>533</v>
      </c>
      <c r="E1285" s="13" t="s">
        <v>529</v>
      </c>
      <c r="F1285" s="12">
        <v>5</v>
      </c>
      <c r="G1285" s="12">
        <v>273109.24</v>
      </c>
      <c r="H1285" s="35">
        <v>46147.398143344908</v>
      </c>
    </row>
    <row r="1286" spans="2:8" x14ac:dyDescent="0.2">
      <c r="B1286" s="32">
        <v>46036</v>
      </c>
      <c r="C1286" t="s">
        <v>108</v>
      </c>
      <c r="D1286" t="s">
        <v>537</v>
      </c>
      <c r="E1286" s="13" t="s">
        <v>529</v>
      </c>
      <c r="F1286" s="12">
        <v>4</v>
      </c>
      <c r="G1286" s="12">
        <v>218487.4</v>
      </c>
      <c r="H1286" s="35">
        <v>46147.398143344908</v>
      </c>
    </row>
    <row r="1287" spans="2:8" x14ac:dyDescent="0.2">
      <c r="B1287" s="32">
        <v>46036</v>
      </c>
      <c r="C1287" t="s">
        <v>108</v>
      </c>
      <c r="D1287" t="s">
        <v>536</v>
      </c>
      <c r="E1287" s="13" t="s">
        <v>529</v>
      </c>
      <c r="F1287" s="12">
        <v>4</v>
      </c>
      <c r="G1287" s="12">
        <v>218487.39</v>
      </c>
      <c r="H1287" s="35">
        <v>46147.398143344908</v>
      </c>
    </row>
    <row r="1288" spans="2:8" x14ac:dyDescent="0.2">
      <c r="B1288" s="32">
        <v>46036</v>
      </c>
      <c r="C1288" t="s">
        <v>140</v>
      </c>
      <c r="D1288" t="s">
        <v>167</v>
      </c>
      <c r="E1288" s="13" t="s">
        <v>530</v>
      </c>
      <c r="F1288" s="12">
        <v>1</v>
      </c>
      <c r="G1288" s="12">
        <v>100840.34</v>
      </c>
      <c r="H1288" s="35">
        <v>46147.398143344908</v>
      </c>
    </row>
    <row r="1289" spans="2:8" x14ac:dyDescent="0.2">
      <c r="B1289" s="32">
        <v>46036</v>
      </c>
      <c r="C1289" t="s">
        <v>140</v>
      </c>
      <c r="D1289" t="s">
        <v>544</v>
      </c>
      <c r="E1289" s="13" t="s">
        <v>529</v>
      </c>
      <c r="F1289" s="12">
        <v>1</v>
      </c>
      <c r="G1289" s="12">
        <v>100840.34</v>
      </c>
      <c r="H1289" s="35">
        <v>46147.398143344908</v>
      </c>
    </row>
    <row r="1290" spans="2:8" x14ac:dyDescent="0.2">
      <c r="B1290" s="32">
        <v>46036</v>
      </c>
      <c r="C1290" t="s">
        <v>140</v>
      </c>
      <c r="D1290" t="s">
        <v>575</v>
      </c>
      <c r="E1290" s="13" t="s">
        <v>529</v>
      </c>
      <c r="F1290" s="12">
        <v>1</v>
      </c>
      <c r="G1290" s="12">
        <v>100840.34</v>
      </c>
      <c r="H1290" s="35">
        <v>46147.398143344908</v>
      </c>
    </row>
    <row r="1291" spans="2:8" x14ac:dyDescent="0.2">
      <c r="B1291" s="32">
        <v>46036</v>
      </c>
      <c r="C1291" t="s">
        <v>140</v>
      </c>
      <c r="D1291" t="s">
        <v>225</v>
      </c>
      <c r="E1291" s="13" t="s">
        <v>530</v>
      </c>
      <c r="F1291" s="12">
        <v>1</v>
      </c>
      <c r="G1291" s="12">
        <v>100840.34</v>
      </c>
      <c r="H1291" s="35">
        <v>46147.398143344908</v>
      </c>
    </row>
    <row r="1292" spans="2:8" x14ac:dyDescent="0.2">
      <c r="B1292" s="32">
        <v>46036</v>
      </c>
      <c r="C1292" t="s">
        <v>140</v>
      </c>
      <c r="D1292" t="s">
        <v>278</v>
      </c>
      <c r="E1292" s="13" t="s">
        <v>529</v>
      </c>
      <c r="F1292" s="12">
        <v>1</v>
      </c>
      <c r="G1292" s="12">
        <v>100840.34</v>
      </c>
      <c r="H1292" s="35">
        <v>46147.398143344908</v>
      </c>
    </row>
    <row r="1293" spans="2:8" x14ac:dyDescent="0.2">
      <c r="B1293" s="32">
        <v>46036</v>
      </c>
      <c r="C1293" t="s">
        <v>140</v>
      </c>
      <c r="D1293" t="s">
        <v>226</v>
      </c>
      <c r="E1293" s="13" t="s">
        <v>529</v>
      </c>
      <c r="F1293" s="12">
        <v>1</v>
      </c>
      <c r="G1293" s="12">
        <v>100840.34</v>
      </c>
      <c r="H1293" s="35">
        <v>46147.398143344908</v>
      </c>
    </row>
    <row r="1294" spans="2:8" x14ac:dyDescent="0.2">
      <c r="B1294" s="32">
        <v>46036</v>
      </c>
      <c r="C1294" t="s">
        <v>140</v>
      </c>
      <c r="D1294" t="s">
        <v>152</v>
      </c>
      <c r="E1294" s="13" t="s">
        <v>530</v>
      </c>
      <c r="F1294" s="12">
        <v>1</v>
      </c>
      <c r="G1294" s="12">
        <v>100840.34</v>
      </c>
      <c r="H1294" s="35">
        <v>46147.398143344908</v>
      </c>
    </row>
    <row r="1295" spans="2:8" x14ac:dyDescent="0.2">
      <c r="B1295" s="32">
        <v>46036</v>
      </c>
      <c r="C1295" t="s">
        <v>140</v>
      </c>
      <c r="D1295" t="s">
        <v>165</v>
      </c>
      <c r="E1295" s="13" t="s">
        <v>530</v>
      </c>
      <c r="F1295" s="12">
        <v>1</v>
      </c>
      <c r="G1295" s="12">
        <v>100840.33</v>
      </c>
      <c r="H1295" s="35">
        <v>46147.398143344908</v>
      </c>
    </row>
    <row r="1296" spans="2:8" x14ac:dyDescent="0.2">
      <c r="B1296" s="32">
        <v>46036</v>
      </c>
      <c r="C1296" t="s">
        <v>140</v>
      </c>
      <c r="D1296" t="s">
        <v>306</v>
      </c>
      <c r="E1296" s="13" t="s">
        <v>530</v>
      </c>
      <c r="F1296" s="12">
        <v>1</v>
      </c>
      <c r="G1296" s="12">
        <v>100840.33</v>
      </c>
      <c r="H1296" s="35">
        <v>46147.398143344908</v>
      </c>
    </row>
    <row r="1297" spans="2:8" x14ac:dyDescent="0.2">
      <c r="B1297" s="32">
        <v>46036</v>
      </c>
      <c r="C1297" t="s">
        <v>140</v>
      </c>
      <c r="D1297" t="s">
        <v>281</v>
      </c>
      <c r="E1297" s="13" t="s">
        <v>529</v>
      </c>
      <c r="F1297" s="12">
        <v>1</v>
      </c>
      <c r="G1297" s="12">
        <v>100840.33</v>
      </c>
      <c r="H1297" s="35">
        <v>46147.398143344908</v>
      </c>
    </row>
    <row r="1298" spans="2:8" x14ac:dyDescent="0.2">
      <c r="B1298" s="32">
        <v>46036</v>
      </c>
      <c r="C1298" t="s">
        <v>140</v>
      </c>
      <c r="D1298" t="s">
        <v>235</v>
      </c>
      <c r="E1298" s="13" t="s">
        <v>529</v>
      </c>
      <c r="F1298" s="12">
        <v>1</v>
      </c>
      <c r="G1298" s="12">
        <v>100840.33</v>
      </c>
      <c r="H1298" s="35">
        <v>46147.398143344908</v>
      </c>
    </row>
    <row r="1299" spans="2:8" x14ac:dyDescent="0.2">
      <c r="B1299" s="32">
        <v>46036</v>
      </c>
      <c r="C1299" t="s">
        <v>140</v>
      </c>
      <c r="D1299" t="s">
        <v>290</v>
      </c>
      <c r="E1299" s="13" t="s">
        <v>529</v>
      </c>
      <c r="F1299" s="12">
        <v>1</v>
      </c>
      <c r="G1299" s="12">
        <v>100840.33</v>
      </c>
      <c r="H1299" s="35">
        <v>46147.398143344908</v>
      </c>
    </row>
    <row r="1300" spans="2:8" x14ac:dyDescent="0.2">
      <c r="B1300" s="32">
        <v>46036</v>
      </c>
      <c r="C1300" t="s">
        <v>140</v>
      </c>
      <c r="D1300" t="s">
        <v>316</v>
      </c>
      <c r="E1300" s="13" t="s">
        <v>530</v>
      </c>
      <c r="F1300" s="12">
        <v>1</v>
      </c>
      <c r="G1300" s="12">
        <v>84033.61</v>
      </c>
      <c r="H1300" s="35">
        <v>46147.398143344908</v>
      </c>
    </row>
    <row r="1301" spans="2:8" x14ac:dyDescent="0.2">
      <c r="B1301" s="32">
        <v>46036</v>
      </c>
      <c r="C1301" t="s">
        <v>140</v>
      </c>
      <c r="D1301" t="s">
        <v>179</v>
      </c>
      <c r="E1301" s="13" t="s">
        <v>530</v>
      </c>
      <c r="F1301" s="12">
        <v>1</v>
      </c>
      <c r="G1301" s="12">
        <v>58823.53</v>
      </c>
      <c r="H1301" s="35">
        <v>46147.398143344908</v>
      </c>
    </row>
    <row r="1302" spans="2:8" x14ac:dyDescent="0.2">
      <c r="B1302" s="32">
        <v>46036</v>
      </c>
      <c r="C1302" t="s">
        <v>140</v>
      </c>
      <c r="D1302" t="s">
        <v>272</v>
      </c>
      <c r="E1302" s="13" t="s">
        <v>530</v>
      </c>
      <c r="F1302" s="12">
        <v>1</v>
      </c>
      <c r="G1302" s="12">
        <v>54621.85</v>
      </c>
      <c r="H1302" s="35">
        <v>46147.398143344908</v>
      </c>
    </row>
    <row r="1303" spans="2:8" x14ac:dyDescent="0.2">
      <c r="B1303" s="32">
        <v>46036</v>
      </c>
      <c r="C1303" t="s">
        <v>140</v>
      </c>
      <c r="E1303" s="13" t="s">
        <v>529</v>
      </c>
      <c r="F1303" s="12">
        <v>0</v>
      </c>
      <c r="G1303" s="12">
        <v>0</v>
      </c>
      <c r="H1303" s="35">
        <v>46147.398143344908</v>
      </c>
    </row>
    <row r="1304" spans="2:8" x14ac:dyDescent="0.2">
      <c r="B1304" s="32">
        <v>46036</v>
      </c>
      <c r="C1304" t="s">
        <v>140</v>
      </c>
      <c r="E1304" s="13" t="s">
        <v>530</v>
      </c>
      <c r="F1304" s="12">
        <v>0</v>
      </c>
      <c r="G1304" s="12">
        <v>0</v>
      </c>
      <c r="H1304" s="35">
        <v>46147.398143344908</v>
      </c>
    </row>
    <row r="1305" spans="2:8" x14ac:dyDescent="0.2">
      <c r="B1305" s="32">
        <v>46036</v>
      </c>
      <c r="C1305" t="s">
        <v>110</v>
      </c>
      <c r="D1305" t="s">
        <v>346</v>
      </c>
      <c r="E1305" s="13" t="s">
        <v>529</v>
      </c>
      <c r="F1305" s="12">
        <v>1</v>
      </c>
      <c r="G1305" s="12">
        <v>46218.49</v>
      </c>
      <c r="H1305" s="35">
        <v>46147.398143344908</v>
      </c>
    </row>
    <row r="1306" spans="2:8" x14ac:dyDescent="0.2">
      <c r="B1306" s="32">
        <v>46036</v>
      </c>
      <c r="C1306" t="s">
        <v>109</v>
      </c>
      <c r="D1306" t="s">
        <v>322</v>
      </c>
      <c r="E1306" s="13" t="s">
        <v>530</v>
      </c>
      <c r="F1306" s="12">
        <v>1</v>
      </c>
      <c r="G1306" s="12">
        <v>680672.27</v>
      </c>
      <c r="H1306" s="35">
        <v>46147.398143344908</v>
      </c>
    </row>
    <row r="1307" spans="2:8" x14ac:dyDescent="0.2">
      <c r="B1307" s="32">
        <v>46036</v>
      </c>
      <c r="C1307" t="s">
        <v>109</v>
      </c>
      <c r="E1307" s="13" t="s">
        <v>530</v>
      </c>
      <c r="F1307" s="12">
        <v>3</v>
      </c>
      <c r="G1307" s="12">
        <v>365546.22</v>
      </c>
      <c r="H1307" s="35">
        <v>46147.398143344908</v>
      </c>
    </row>
    <row r="1308" spans="2:8" x14ac:dyDescent="0.2">
      <c r="B1308" s="32">
        <v>46036</v>
      </c>
      <c r="C1308" t="s">
        <v>109</v>
      </c>
      <c r="D1308" t="s">
        <v>541</v>
      </c>
      <c r="E1308" s="13" t="s">
        <v>529</v>
      </c>
      <c r="F1308" s="12">
        <v>2</v>
      </c>
      <c r="G1308" s="12">
        <v>302521</v>
      </c>
      <c r="H1308" s="35">
        <v>46147.398143344908</v>
      </c>
    </row>
    <row r="1309" spans="2:8" x14ac:dyDescent="0.2">
      <c r="B1309" s="32">
        <v>46036</v>
      </c>
      <c r="C1309" t="s">
        <v>109</v>
      </c>
      <c r="D1309" t="s">
        <v>299</v>
      </c>
      <c r="E1309" s="13" t="s">
        <v>530</v>
      </c>
      <c r="F1309" s="12">
        <v>1</v>
      </c>
      <c r="G1309" s="12">
        <v>169000</v>
      </c>
      <c r="H1309" s="35">
        <v>46147.398143344908</v>
      </c>
    </row>
    <row r="1310" spans="2:8" x14ac:dyDescent="0.2">
      <c r="B1310" s="32">
        <v>46036</v>
      </c>
      <c r="C1310" t="s">
        <v>109</v>
      </c>
      <c r="D1310" t="s">
        <v>168</v>
      </c>
      <c r="E1310" s="13" t="s">
        <v>530</v>
      </c>
      <c r="F1310" s="12">
        <v>2</v>
      </c>
      <c r="G1310" s="12">
        <v>92436.98</v>
      </c>
      <c r="H1310" s="35">
        <v>46147.398143344908</v>
      </c>
    </row>
    <row r="1311" spans="2:8" x14ac:dyDescent="0.2">
      <c r="B1311" s="32">
        <v>46036</v>
      </c>
      <c r="C1311" t="s">
        <v>109</v>
      </c>
      <c r="D1311" t="s">
        <v>143</v>
      </c>
      <c r="E1311" s="13" t="s">
        <v>530</v>
      </c>
      <c r="F1311" s="12">
        <v>3</v>
      </c>
      <c r="G1311" s="12">
        <v>88235.29</v>
      </c>
      <c r="H1311" s="35">
        <v>46147.398143344908</v>
      </c>
    </row>
    <row r="1312" spans="2:8" x14ac:dyDescent="0.2">
      <c r="B1312" s="32">
        <v>46036</v>
      </c>
      <c r="C1312" t="s">
        <v>109</v>
      </c>
      <c r="D1312" t="s">
        <v>262</v>
      </c>
      <c r="E1312" s="13" t="s">
        <v>530</v>
      </c>
      <c r="F1312" s="12">
        <v>1</v>
      </c>
      <c r="G1312" s="12">
        <v>75630.25</v>
      </c>
      <c r="H1312" s="35">
        <v>46147.398143344908</v>
      </c>
    </row>
    <row r="1313" spans="2:8" x14ac:dyDescent="0.2">
      <c r="B1313" s="32">
        <v>46036</v>
      </c>
      <c r="C1313" t="s">
        <v>109</v>
      </c>
      <c r="D1313" t="s">
        <v>372</v>
      </c>
      <c r="E1313" s="13" t="s">
        <v>529</v>
      </c>
      <c r="F1313" s="12">
        <v>2</v>
      </c>
      <c r="G1313" s="12">
        <v>64705.88</v>
      </c>
      <c r="H1313" s="35">
        <v>46147.398143344908</v>
      </c>
    </row>
    <row r="1314" spans="2:8" x14ac:dyDescent="0.2">
      <c r="B1314" s="32">
        <v>46036</v>
      </c>
      <c r="C1314" t="s">
        <v>109</v>
      </c>
      <c r="D1314" t="s">
        <v>280</v>
      </c>
      <c r="E1314" s="13" t="s">
        <v>530</v>
      </c>
      <c r="F1314" s="12">
        <v>1</v>
      </c>
      <c r="G1314" s="12">
        <v>58823.53</v>
      </c>
      <c r="H1314" s="35">
        <v>46147.398143344908</v>
      </c>
    </row>
    <row r="1315" spans="2:8" x14ac:dyDescent="0.2">
      <c r="B1315" s="32">
        <v>46036</v>
      </c>
      <c r="C1315" t="s">
        <v>109</v>
      </c>
      <c r="D1315" t="s">
        <v>245</v>
      </c>
      <c r="E1315" s="13" t="s">
        <v>529</v>
      </c>
      <c r="F1315" s="12">
        <v>1</v>
      </c>
      <c r="G1315" s="12">
        <v>58823.53</v>
      </c>
      <c r="H1315" s="35">
        <v>46147.398143344908</v>
      </c>
    </row>
    <row r="1316" spans="2:8" x14ac:dyDescent="0.2">
      <c r="B1316" s="32">
        <v>46036</v>
      </c>
      <c r="C1316" t="s">
        <v>109</v>
      </c>
      <c r="D1316" t="s">
        <v>194</v>
      </c>
      <c r="E1316" s="13" t="s">
        <v>529</v>
      </c>
      <c r="F1316" s="12">
        <v>1</v>
      </c>
      <c r="G1316" s="12">
        <v>46218.49</v>
      </c>
      <c r="H1316" s="35">
        <v>46147.398143344908</v>
      </c>
    </row>
    <row r="1317" spans="2:8" x14ac:dyDescent="0.2">
      <c r="B1317" s="32">
        <v>46036</v>
      </c>
      <c r="C1317" t="s">
        <v>109</v>
      </c>
      <c r="D1317" t="s">
        <v>144</v>
      </c>
      <c r="E1317" s="13" t="s">
        <v>530</v>
      </c>
      <c r="F1317" s="12">
        <v>1</v>
      </c>
      <c r="G1317" s="12">
        <v>46218.49</v>
      </c>
      <c r="H1317" s="35">
        <v>46147.398143344908</v>
      </c>
    </row>
    <row r="1318" spans="2:8" x14ac:dyDescent="0.2">
      <c r="B1318" s="32">
        <v>46036</v>
      </c>
      <c r="C1318" t="s">
        <v>109</v>
      </c>
      <c r="D1318" t="s">
        <v>193</v>
      </c>
      <c r="E1318" s="13" t="s">
        <v>530</v>
      </c>
      <c r="F1318" s="12">
        <v>1</v>
      </c>
      <c r="G1318" s="12">
        <v>46218.49</v>
      </c>
      <c r="H1318" s="35">
        <v>46147.398143344908</v>
      </c>
    </row>
    <row r="1319" spans="2:8" x14ac:dyDescent="0.2">
      <c r="B1319" s="32">
        <v>46036</v>
      </c>
      <c r="C1319" t="s">
        <v>109</v>
      </c>
      <c r="D1319" t="s">
        <v>177</v>
      </c>
      <c r="E1319" s="13" t="s">
        <v>530</v>
      </c>
      <c r="F1319" s="12">
        <v>1</v>
      </c>
      <c r="G1319" s="12">
        <v>46218.49</v>
      </c>
      <c r="H1319" s="35">
        <v>46147.398143344908</v>
      </c>
    </row>
    <row r="1320" spans="2:8" x14ac:dyDescent="0.2">
      <c r="B1320" s="32">
        <v>46036</v>
      </c>
      <c r="C1320" t="s">
        <v>109</v>
      </c>
      <c r="D1320" t="s">
        <v>149</v>
      </c>
      <c r="E1320" s="13" t="s">
        <v>530</v>
      </c>
      <c r="F1320" s="12">
        <v>1</v>
      </c>
      <c r="G1320" s="12">
        <v>46218.48</v>
      </c>
      <c r="H1320" s="35">
        <v>46147.398143344908</v>
      </c>
    </row>
    <row r="1321" spans="2:8" x14ac:dyDescent="0.2">
      <c r="B1321" s="32">
        <v>46036</v>
      </c>
      <c r="C1321" t="s">
        <v>109</v>
      </c>
      <c r="D1321" t="s">
        <v>154</v>
      </c>
      <c r="E1321" s="13" t="s">
        <v>530</v>
      </c>
      <c r="F1321" s="12">
        <v>1</v>
      </c>
      <c r="G1321" s="12">
        <v>42016.81</v>
      </c>
      <c r="H1321" s="35">
        <v>46147.398143344908</v>
      </c>
    </row>
    <row r="1322" spans="2:8" x14ac:dyDescent="0.2">
      <c r="B1322" s="32">
        <v>46036</v>
      </c>
      <c r="C1322" t="s">
        <v>109</v>
      </c>
      <c r="D1322" t="s">
        <v>154</v>
      </c>
      <c r="E1322" s="13" t="s">
        <v>529</v>
      </c>
      <c r="F1322" s="12">
        <v>1</v>
      </c>
      <c r="G1322" s="12">
        <v>42016.81</v>
      </c>
      <c r="H1322" s="35">
        <v>46147.398143344908</v>
      </c>
    </row>
    <row r="1323" spans="2:8" x14ac:dyDescent="0.2">
      <c r="B1323" s="32">
        <v>46036</v>
      </c>
      <c r="C1323" t="s">
        <v>109</v>
      </c>
      <c r="D1323" t="s">
        <v>171</v>
      </c>
      <c r="E1323" s="13" t="s">
        <v>529</v>
      </c>
      <c r="F1323" s="12">
        <v>1</v>
      </c>
      <c r="G1323" s="12">
        <v>37815.129999999997</v>
      </c>
      <c r="H1323" s="35">
        <v>46147.398143344908</v>
      </c>
    </row>
    <row r="1324" spans="2:8" x14ac:dyDescent="0.2">
      <c r="B1324" s="32">
        <v>46036</v>
      </c>
      <c r="C1324" t="s">
        <v>109</v>
      </c>
      <c r="D1324" t="s">
        <v>328</v>
      </c>
      <c r="E1324" s="13" t="s">
        <v>529</v>
      </c>
      <c r="F1324" s="12">
        <v>1</v>
      </c>
      <c r="G1324" s="12">
        <v>37815.120000000003</v>
      </c>
      <c r="H1324" s="35">
        <v>46147.398143344908</v>
      </c>
    </row>
    <row r="1325" spans="2:8" x14ac:dyDescent="0.2">
      <c r="B1325" s="32">
        <v>46036</v>
      </c>
      <c r="C1325" t="s">
        <v>109</v>
      </c>
      <c r="D1325" t="s">
        <v>263</v>
      </c>
      <c r="E1325" s="13" t="s">
        <v>529</v>
      </c>
      <c r="F1325" s="12">
        <v>1</v>
      </c>
      <c r="G1325" s="12">
        <v>32352.94</v>
      </c>
      <c r="H1325" s="35">
        <v>46147.398143344908</v>
      </c>
    </row>
    <row r="1326" spans="2:8" x14ac:dyDescent="0.2">
      <c r="B1326" s="32">
        <v>46036</v>
      </c>
      <c r="C1326" t="s">
        <v>109</v>
      </c>
      <c r="D1326" t="s">
        <v>376</v>
      </c>
      <c r="E1326" s="13" t="s">
        <v>529</v>
      </c>
      <c r="F1326" s="12">
        <v>1</v>
      </c>
      <c r="G1326" s="12">
        <v>32352.94</v>
      </c>
      <c r="H1326" s="35">
        <v>46147.398143344908</v>
      </c>
    </row>
    <row r="1327" spans="2:8" x14ac:dyDescent="0.2">
      <c r="B1327" s="32">
        <v>46036</v>
      </c>
      <c r="C1327" t="s">
        <v>109</v>
      </c>
      <c r="D1327" t="s">
        <v>142</v>
      </c>
      <c r="E1327" s="13" t="s">
        <v>529</v>
      </c>
      <c r="F1327" s="12">
        <v>2</v>
      </c>
      <c r="G1327" s="12">
        <v>28991.59</v>
      </c>
      <c r="H1327" s="35">
        <v>46147.398143344908</v>
      </c>
    </row>
    <row r="1328" spans="2:8" x14ac:dyDescent="0.2">
      <c r="B1328" s="32">
        <v>46037</v>
      </c>
      <c r="C1328" t="s">
        <v>140</v>
      </c>
      <c r="D1328" t="s">
        <v>364</v>
      </c>
      <c r="E1328" s="13" t="s">
        <v>529</v>
      </c>
      <c r="F1328" s="12">
        <v>1</v>
      </c>
      <c r="G1328" s="12">
        <v>100840.34</v>
      </c>
      <c r="H1328" s="35">
        <v>46147.398143344908</v>
      </c>
    </row>
    <row r="1329" spans="2:8" x14ac:dyDescent="0.2">
      <c r="B1329" s="32">
        <v>46037</v>
      </c>
      <c r="C1329" t="s">
        <v>140</v>
      </c>
      <c r="E1329" s="13" t="s">
        <v>529</v>
      </c>
      <c r="F1329" s="12">
        <v>0</v>
      </c>
      <c r="G1329" s="12">
        <v>0</v>
      </c>
      <c r="H1329" s="35">
        <v>46147.398143344908</v>
      </c>
    </row>
    <row r="1330" spans="2:8" x14ac:dyDescent="0.2">
      <c r="B1330" s="32">
        <v>46037</v>
      </c>
      <c r="C1330" t="s">
        <v>110</v>
      </c>
      <c r="D1330" t="s">
        <v>193</v>
      </c>
      <c r="E1330" s="13" t="s">
        <v>529</v>
      </c>
      <c r="F1330" s="12">
        <v>1</v>
      </c>
      <c r="G1330" s="12">
        <v>46218.49</v>
      </c>
      <c r="H1330" s="35">
        <v>46147.398143344908</v>
      </c>
    </row>
    <row r="1331" spans="2:8" x14ac:dyDescent="0.2">
      <c r="B1331" s="32">
        <v>46037</v>
      </c>
      <c r="C1331" t="s">
        <v>110</v>
      </c>
      <c r="D1331" t="s">
        <v>148</v>
      </c>
      <c r="E1331" s="13" t="s">
        <v>529</v>
      </c>
      <c r="F1331" s="12">
        <v>1</v>
      </c>
      <c r="G1331" s="12">
        <v>46218.49</v>
      </c>
      <c r="H1331" s="35">
        <v>46147.398143344908</v>
      </c>
    </row>
    <row r="1332" spans="2:8" x14ac:dyDescent="0.2">
      <c r="B1332" s="32">
        <v>46037</v>
      </c>
      <c r="C1332" t="s">
        <v>110</v>
      </c>
      <c r="D1332" t="s">
        <v>149</v>
      </c>
      <c r="E1332" s="13" t="s">
        <v>529</v>
      </c>
      <c r="F1332" s="12">
        <v>1</v>
      </c>
      <c r="G1332" s="12">
        <v>46218.48</v>
      </c>
      <c r="H1332" s="35">
        <v>46147.398143344908</v>
      </c>
    </row>
    <row r="1333" spans="2:8" x14ac:dyDescent="0.2">
      <c r="B1333" s="32">
        <v>46037</v>
      </c>
      <c r="C1333" t="s">
        <v>110</v>
      </c>
      <c r="D1333" t="s">
        <v>200</v>
      </c>
      <c r="E1333" s="13" t="s">
        <v>529</v>
      </c>
      <c r="F1333" s="12">
        <v>1</v>
      </c>
      <c r="G1333" s="12">
        <v>46218.48</v>
      </c>
      <c r="H1333" s="35">
        <v>46147.398143344908</v>
      </c>
    </row>
    <row r="1334" spans="2:8" x14ac:dyDescent="0.2">
      <c r="B1334" s="32">
        <v>46037</v>
      </c>
      <c r="C1334" t="s">
        <v>110</v>
      </c>
      <c r="D1334" t="s">
        <v>423</v>
      </c>
      <c r="E1334" s="13" t="s">
        <v>529</v>
      </c>
      <c r="F1334" s="12">
        <v>1</v>
      </c>
      <c r="G1334" s="12">
        <v>37815.129999999997</v>
      </c>
      <c r="H1334" s="35">
        <v>46147.398143344908</v>
      </c>
    </row>
    <row r="1335" spans="2:8" x14ac:dyDescent="0.2">
      <c r="B1335" s="32">
        <v>46037</v>
      </c>
      <c r="C1335" t="s">
        <v>109</v>
      </c>
      <c r="D1335" t="s">
        <v>535</v>
      </c>
      <c r="E1335" s="13" t="s">
        <v>529</v>
      </c>
      <c r="F1335" s="12">
        <v>2</v>
      </c>
      <c r="G1335" s="12">
        <v>198000</v>
      </c>
      <c r="H1335" s="35">
        <v>46147.398143344908</v>
      </c>
    </row>
    <row r="1336" spans="2:8" x14ac:dyDescent="0.2">
      <c r="B1336" s="32">
        <v>46037</v>
      </c>
      <c r="C1336" t="s">
        <v>109</v>
      </c>
      <c r="D1336" t="s">
        <v>142</v>
      </c>
      <c r="E1336" s="13" t="s">
        <v>530</v>
      </c>
      <c r="F1336" s="12">
        <v>5</v>
      </c>
      <c r="G1336" s="12">
        <v>156302.51999999999</v>
      </c>
      <c r="H1336" s="35">
        <v>46147.398143344908</v>
      </c>
    </row>
    <row r="1337" spans="2:8" x14ac:dyDescent="0.2">
      <c r="B1337" s="32">
        <v>46037</v>
      </c>
      <c r="C1337" t="s">
        <v>109</v>
      </c>
      <c r="D1337" t="s">
        <v>143</v>
      </c>
      <c r="E1337" s="13" t="s">
        <v>530</v>
      </c>
      <c r="F1337" s="12">
        <v>4</v>
      </c>
      <c r="G1337" s="12">
        <v>117647.05</v>
      </c>
      <c r="H1337" s="35">
        <v>46147.398143344908</v>
      </c>
    </row>
    <row r="1338" spans="2:8" x14ac:dyDescent="0.2">
      <c r="B1338" s="32">
        <v>46037</v>
      </c>
      <c r="C1338" t="s">
        <v>109</v>
      </c>
      <c r="D1338" t="s">
        <v>247</v>
      </c>
      <c r="E1338" s="13" t="s">
        <v>530</v>
      </c>
      <c r="F1338" s="12">
        <v>1</v>
      </c>
      <c r="G1338" s="12">
        <v>79831.929999999993</v>
      </c>
      <c r="H1338" s="35">
        <v>46147.398143344908</v>
      </c>
    </row>
    <row r="1339" spans="2:8" x14ac:dyDescent="0.2">
      <c r="B1339" s="32">
        <v>46037</v>
      </c>
      <c r="C1339" t="s">
        <v>109</v>
      </c>
      <c r="D1339" t="s">
        <v>197</v>
      </c>
      <c r="E1339" s="13" t="s">
        <v>530</v>
      </c>
      <c r="F1339" s="12">
        <v>1</v>
      </c>
      <c r="G1339" s="12">
        <v>75630.25</v>
      </c>
      <c r="H1339" s="35">
        <v>46147.398143344908</v>
      </c>
    </row>
    <row r="1340" spans="2:8" x14ac:dyDescent="0.2">
      <c r="B1340" s="32">
        <v>46037</v>
      </c>
      <c r="C1340" t="s">
        <v>109</v>
      </c>
      <c r="D1340" t="s">
        <v>232</v>
      </c>
      <c r="E1340" s="13" t="s">
        <v>529</v>
      </c>
      <c r="F1340" s="12">
        <v>2</v>
      </c>
      <c r="G1340" s="12">
        <v>75630.25</v>
      </c>
      <c r="H1340" s="35">
        <v>46147.398143344908</v>
      </c>
    </row>
    <row r="1341" spans="2:8" x14ac:dyDescent="0.2">
      <c r="B1341" s="32">
        <v>46037</v>
      </c>
      <c r="C1341" t="s">
        <v>109</v>
      </c>
      <c r="D1341" t="s">
        <v>143</v>
      </c>
      <c r="E1341" s="13" t="s">
        <v>529</v>
      </c>
      <c r="F1341" s="12">
        <v>2</v>
      </c>
      <c r="G1341" s="12">
        <v>58823.53</v>
      </c>
      <c r="H1341" s="35">
        <v>46147.398143344908</v>
      </c>
    </row>
    <row r="1342" spans="2:8" x14ac:dyDescent="0.2">
      <c r="B1342" s="32">
        <v>46037</v>
      </c>
      <c r="C1342" t="s">
        <v>109</v>
      </c>
      <c r="D1342" t="s">
        <v>258</v>
      </c>
      <c r="E1342" s="13" t="s">
        <v>529</v>
      </c>
      <c r="F1342" s="12">
        <v>1</v>
      </c>
      <c r="G1342" s="12">
        <v>46218.49</v>
      </c>
      <c r="H1342" s="35">
        <v>46147.398143344908</v>
      </c>
    </row>
    <row r="1343" spans="2:8" x14ac:dyDescent="0.2">
      <c r="B1343" s="32">
        <v>46037</v>
      </c>
      <c r="C1343" t="s">
        <v>109</v>
      </c>
      <c r="D1343" t="s">
        <v>158</v>
      </c>
      <c r="E1343" s="13" t="s">
        <v>530</v>
      </c>
      <c r="F1343" s="12">
        <v>1</v>
      </c>
      <c r="G1343" s="12">
        <v>46218.49</v>
      </c>
      <c r="H1343" s="35">
        <v>46147.398143344908</v>
      </c>
    </row>
    <row r="1344" spans="2:8" x14ac:dyDescent="0.2">
      <c r="B1344" s="32">
        <v>46037</v>
      </c>
      <c r="C1344" t="s">
        <v>109</v>
      </c>
      <c r="D1344" t="s">
        <v>263</v>
      </c>
      <c r="E1344" s="13" t="s">
        <v>529</v>
      </c>
      <c r="F1344" s="12">
        <v>1</v>
      </c>
      <c r="G1344" s="12">
        <v>46218.49</v>
      </c>
      <c r="H1344" s="35">
        <v>46147.398143344908</v>
      </c>
    </row>
    <row r="1345" spans="2:8" x14ac:dyDescent="0.2">
      <c r="B1345" s="32">
        <v>46037</v>
      </c>
      <c r="C1345" t="s">
        <v>109</v>
      </c>
      <c r="D1345" t="s">
        <v>196</v>
      </c>
      <c r="E1345" s="13" t="s">
        <v>529</v>
      </c>
      <c r="F1345" s="12">
        <v>1</v>
      </c>
      <c r="G1345" s="12">
        <v>46218.49</v>
      </c>
      <c r="H1345" s="35">
        <v>46147.398143344908</v>
      </c>
    </row>
    <row r="1346" spans="2:8" x14ac:dyDescent="0.2">
      <c r="B1346" s="32">
        <v>46037</v>
      </c>
      <c r="C1346" t="s">
        <v>109</v>
      </c>
      <c r="D1346" t="s">
        <v>164</v>
      </c>
      <c r="E1346" s="13" t="s">
        <v>529</v>
      </c>
      <c r="F1346" s="12">
        <v>1</v>
      </c>
      <c r="G1346" s="12">
        <v>42016.81</v>
      </c>
      <c r="H1346" s="35">
        <v>46147.398143344908</v>
      </c>
    </row>
    <row r="1347" spans="2:8" x14ac:dyDescent="0.2">
      <c r="B1347" s="32">
        <v>46037</v>
      </c>
      <c r="C1347" t="s">
        <v>109</v>
      </c>
      <c r="D1347" t="s">
        <v>159</v>
      </c>
      <c r="E1347" s="13" t="s">
        <v>530</v>
      </c>
      <c r="F1347" s="12">
        <v>1</v>
      </c>
      <c r="G1347" s="12">
        <v>42016.800000000003</v>
      </c>
      <c r="H1347" s="35">
        <v>46147.398143344908</v>
      </c>
    </row>
    <row r="1348" spans="2:8" x14ac:dyDescent="0.2">
      <c r="B1348" s="32">
        <v>46037</v>
      </c>
      <c r="C1348" t="s">
        <v>109</v>
      </c>
      <c r="D1348" t="s">
        <v>558</v>
      </c>
      <c r="E1348" s="13" t="s">
        <v>529</v>
      </c>
      <c r="F1348" s="12">
        <v>1</v>
      </c>
      <c r="G1348" s="12">
        <v>37815.129999999997</v>
      </c>
      <c r="H1348" s="35">
        <v>46147.398143344908</v>
      </c>
    </row>
    <row r="1349" spans="2:8" x14ac:dyDescent="0.2">
      <c r="B1349" s="32">
        <v>46037</v>
      </c>
      <c r="C1349" t="s">
        <v>109</v>
      </c>
      <c r="D1349" t="s">
        <v>191</v>
      </c>
      <c r="E1349" s="13" t="s">
        <v>529</v>
      </c>
      <c r="F1349" s="12">
        <v>1</v>
      </c>
      <c r="G1349" s="12">
        <v>37815.129999999997</v>
      </c>
      <c r="H1349" s="35">
        <v>46147.398143344908</v>
      </c>
    </row>
    <row r="1350" spans="2:8" x14ac:dyDescent="0.2">
      <c r="B1350" s="32">
        <v>46037</v>
      </c>
      <c r="C1350" t="s">
        <v>109</v>
      </c>
      <c r="D1350" t="s">
        <v>180</v>
      </c>
      <c r="E1350" s="13" t="s">
        <v>529</v>
      </c>
      <c r="F1350" s="12">
        <v>1</v>
      </c>
      <c r="G1350" s="12">
        <v>29411.77</v>
      </c>
      <c r="H1350" s="35">
        <v>46147.398143344908</v>
      </c>
    </row>
    <row r="1351" spans="2:8" x14ac:dyDescent="0.2">
      <c r="B1351" s="32">
        <v>46037</v>
      </c>
      <c r="C1351" t="s">
        <v>109</v>
      </c>
      <c r="D1351" t="s">
        <v>207</v>
      </c>
      <c r="E1351" s="13"/>
      <c r="F1351" s="12">
        <v>1</v>
      </c>
      <c r="G1351" s="12">
        <v>16806.72</v>
      </c>
      <c r="H1351" s="35">
        <v>46147.398143344908</v>
      </c>
    </row>
    <row r="1352" spans="2:8" x14ac:dyDescent="0.2">
      <c r="B1352" s="32">
        <v>46037</v>
      </c>
      <c r="C1352" t="s">
        <v>109</v>
      </c>
      <c r="D1352" t="s">
        <v>415</v>
      </c>
      <c r="E1352" s="13" t="s">
        <v>529</v>
      </c>
      <c r="F1352" s="12">
        <v>1</v>
      </c>
      <c r="G1352" s="12">
        <v>16806.72</v>
      </c>
      <c r="H1352" s="35">
        <v>46147.398143344908</v>
      </c>
    </row>
    <row r="1353" spans="2:8" x14ac:dyDescent="0.2">
      <c r="B1353" s="32">
        <v>46038</v>
      </c>
      <c r="C1353" t="s">
        <v>140</v>
      </c>
      <c r="D1353" t="s">
        <v>192</v>
      </c>
      <c r="E1353" s="13" t="s">
        <v>529</v>
      </c>
      <c r="F1353" s="12">
        <v>1</v>
      </c>
      <c r="G1353" s="12">
        <v>100840.34</v>
      </c>
      <c r="H1353" s="35">
        <v>46147.398143344908</v>
      </c>
    </row>
    <row r="1354" spans="2:8" x14ac:dyDescent="0.2">
      <c r="B1354" s="32">
        <v>46038</v>
      </c>
      <c r="C1354" t="s">
        <v>140</v>
      </c>
      <c r="D1354" t="s">
        <v>161</v>
      </c>
      <c r="E1354" s="13" t="s">
        <v>530</v>
      </c>
      <c r="F1354" s="12">
        <v>1</v>
      </c>
      <c r="G1354" s="12">
        <v>84033.61</v>
      </c>
      <c r="H1354" s="35">
        <v>46147.398143344908</v>
      </c>
    </row>
    <row r="1355" spans="2:8" x14ac:dyDescent="0.2">
      <c r="B1355" s="32">
        <v>46038</v>
      </c>
      <c r="C1355" t="s">
        <v>140</v>
      </c>
      <c r="D1355" t="s">
        <v>581</v>
      </c>
      <c r="E1355" s="13" t="s">
        <v>529</v>
      </c>
      <c r="F1355" s="12">
        <v>1</v>
      </c>
      <c r="G1355" s="12">
        <v>63025.21</v>
      </c>
      <c r="H1355" s="35">
        <v>46147.398143344908</v>
      </c>
    </row>
    <row r="1356" spans="2:8" x14ac:dyDescent="0.2">
      <c r="B1356" s="32">
        <v>46038</v>
      </c>
      <c r="C1356" t="s">
        <v>140</v>
      </c>
      <c r="D1356" t="s">
        <v>163</v>
      </c>
      <c r="E1356" s="13" t="s">
        <v>530</v>
      </c>
      <c r="F1356" s="12">
        <v>1</v>
      </c>
      <c r="G1356" s="12">
        <v>58823.53</v>
      </c>
      <c r="H1356" s="35">
        <v>46147.398143344908</v>
      </c>
    </row>
    <row r="1357" spans="2:8" x14ac:dyDescent="0.2">
      <c r="B1357" s="32">
        <v>46038</v>
      </c>
      <c r="C1357" t="s">
        <v>140</v>
      </c>
      <c r="D1357" t="s">
        <v>290</v>
      </c>
      <c r="E1357" s="13" t="s">
        <v>530</v>
      </c>
      <c r="F1357" s="12">
        <v>1</v>
      </c>
      <c r="G1357" s="12">
        <v>54621.85</v>
      </c>
      <c r="H1357" s="35">
        <v>46147.398143344908</v>
      </c>
    </row>
    <row r="1358" spans="2:8" x14ac:dyDescent="0.2">
      <c r="B1358" s="32">
        <v>46038</v>
      </c>
      <c r="C1358" t="s">
        <v>140</v>
      </c>
      <c r="D1358" t="s">
        <v>226</v>
      </c>
      <c r="E1358" s="13" t="s">
        <v>530</v>
      </c>
      <c r="F1358" s="12">
        <v>1</v>
      </c>
      <c r="G1358" s="12">
        <v>54621.85</v>
      </c>
      <c r="H1358" s="35">
        <v>46147.398143344908</v>
      </c>
    </row>
    <row r="1359" spans="2:8" x14ac:dyDescent="0.2">
      <c r="B1359" s="32">
        <v>46038</v>
      </c>
      <c r="C1359" t="s">
        <v>140</v>
      </c>
      <c r="D1359" t="s">
        <v>278</v>
      </c>
      <c r="E1359" s="13" t="s">
        <v>530</v>
      </c>
      <c r="F1359" s="12">
        <v>1</v>
      </c>
      <c r="G1359" s="12">
        <v>54621.85</v>
      </c>
      <c r="H1359" s="35">
        <v>46147.398143344908</v>
      </c>
    </row>
    <row r="1360" spans="2:8" x14ac:dyDescent="0.2">
      <c r="B1360" s="32">
        <v>46038</v>
      </c>
      <c r="C1360" t="s">
        <v>140</v>
      </c>
      <c r="D1360" t="s">
        <v>220</v>
      </c>
      <c r="E1360" s="13" t="s">
        <v>530</v>
      </c>
      <c r="F1360" s="12">
        <v>1</v>
      </c>
      <c r="G1360" s="12">
        <v>54621.85</v>
      </c>
      <c r="H1360" s="35">
        <v>46147.398143344908</v>
      </c>
    </row>
    <row r="1361" spans="2:8" x14ac:dyDescent="0.2">
      <c r="B1361" s="32">
        <v>46038</v>
      </c>
      <c r="C1361" t="s">
        <v>140</v>
      </c>
      <c r="D1361" t="s">
        <v>281</v>
      </c>
      <c r="E1361" s="13" t="s">
        <v>530</v>
      </c>
      <c r="F1361" s="12">
        <v>1</v>
      </c>
      <c r="G1361" s="12">
        <v>54621.85</v>
      </c>
      <c r="H1361" s="35">
        <v>46147.398143344908</v>
      </c>
    </row>
    <row r="1362" spans="2:8" x14ac:dyDescent="0.2">
      <c r="B1362" s="32">
        <v>46038</v>
      </c>
      <c r="C1362" t="s">
        <v>140</v>
      </c>
      <c r="D1362" t="s">
        <v>309</v>
      </c>
      <c r="E1362" s="13" t="s">
        <v>530</v>
      </c>
      <c r="F1362" s="12">
        <v>1</v>
      </c>
      <c r="G1362" s="12">
        <v>54621.85</v>
      </c>
      <c r="H1362" s="35">
        <v>46147.398143344908</v>
      </c>
    </row>
    <row r="1363" spans="2:8" x14ac:dyDescent="0.2">
      <c r="B1363" s="32">
        <v>46038</v>
      </c>
      <c r="C1363" t="s">
        <v>140</v>
      </c>
      <c r="D1363" t="s">
        <v>241</v>
      </c>
      <c r="E1363" s="13" t="s">
        <v>530</v>
      </c>
      <c r="F1363" s="12">
        <v>1</v>
      </c>
      <c r="G1363" s="12">
        <v>54621.84</v>
      </c>
      <c r="H1363" s="35">
        <v>46147.398143344908</v>
      </c>
    </row>
    <row r="1364" spans="2:8" x14ac:dyDescent="0.2">
      <c r="B1364" s="32">
        <v>46038</v>
      </c>
      <c r="C1364" t="s">
        <v>140</v>
      </c>
      <c r="E1364" s="13" t="s">
        <v>529</v>
      </c>
      <c r="F1364" s="12">
        <v>0</v>
      </c>
      <c r="G1364" s="12">
        <v>0</v>
      </c>
      <c r="H1364" s="35">
        <v>46147.398143344908</v>
      </c>
    </row>
    <row r="1365" spans="2:8" x14ac:dyDescent="0.2">
      <c r="B1365" s="32">
        <v>46038</v>
      </c>
      <c r="C1365" t="s">
        <v>140</v>
      </c>
      <c r="E1365" s="13" t="s">
        <v>530</v>
      </c>
      <c r="F1365" s="12">
        <v>0</v>
      </c>
      <c r="G1365" s="12">
        <v>0</v>
      </c>
      <c r="H1365" s="35">
        <v>46147.398143344908</v>
      </c>
    </row>
    <row r="1366" spans="2:8" x14ac:dyDescent="0.2">
      <c r="B1366" s="32">
        <v>46038</v>
      </c>
      <c r="C1366" t="s">
        <v>109</v>
      </c>
      <c r="D1366" t="s">
        <v>152</v>
      </c>
      <c r="E1366" s="13" t="s">
        <v>529</v>
      </c>
      <c r="F1366" s="12">
        <v>3</v>
      </c>
      <c r="G1366" s="12">
        <v>302521.01</v>
      </c>
      <c r="H1366" s="35">
        <v>46147.398143344908</v>
      </c>
    </row>
    <row r="1367" spans="2:8" x14ac:dyDescent="0.2">
      <c r="B1367" s="32">
        <v>46038</v>
      </c>
      <c r="C1367" t="s">
        <v>109</v>
      </c>
      <c r="D1367" t="s">
        <v>195</v>
      </c>
      <c r="E1367" s="13" t="s">
        <v>530</v>
      </c>
      <c r="F1367" s="12">
        <v>2</v>
      </c>
      <c r="G1367" s="12">
        <v>155462.19</v>
      </c>
      <c r="H1367" s="35">
        <v>46147.398143344908</v>
      </c>
    </row>
    <row r="1368" spans="2:8" x14ac:dyDescent="0.2">
      <c r="B1368" s="32">
        <v>46038</v>
      </c>
      <c r="C1368" t="s">
        <v>109</v>
      </c>
      <c r="D1368" t="s">
        <v>152</v>
      </c>
      <c r="E1368" s="13" t="s">
        <v>530</v>
      </c>
      <c r="F1368" s="12">
        <v>1</v>
      </c>
      <c r="G1368" s="12">
        <v>100840.34</v>
      </c>
      <c r="H1368" s="35">
        <v>46147.398143344908</v>
      </c>
    </row>
    <row r="1369" spans="2:8" x14ac:dyDescent="0.2">
      <c r="B1369" s="32">
        <v>46038</v>
      </c>
      <c r="C1369" t="s">
        <v>109</v>
      </c>
      <c r="D1369" t="s">
        <v>258</v>
      </c>
      <c r="E1369" s="13" t="s">
        <v>529</v>
      </c>
      <c r="F1369" s="12">
        <v>2</v>
      </c>
      <c r="G1369" s="12">
        <v>92436.97</v>
      </c>
      <c r="H1369" s="35">
        <v>46147.398143344908</v>
      </c>
    </row>
    <row r="1370" spans="2:8" x14ac:dyDescent="0.2">
      <c r="B1370" s="32">
        <v>46038</v>
      </c>
      <c r="C1370" t="s">
        <v>109</v>
      </c>
      <c r="D1370" t="s">
        <v>179</v>
      </c>
      <c r="E1370" s="13" t="s">
        <v>530</v>
      </c>
      <c r="F1370" s="12">
        <v>1</v>
      </c>
      <c r="G1370" s="12">
        <v>84033.61</v>
      </c>
      <c r="H1370" s="35">
        <v>46147.398143344908</v>
      </c>
    </row>
    <row r="1371" spans="2:8" x14ac:dyDescent="0.2">
      <c r="B1371" s="32">
        <v>46038</v>
      </c>
      <c r="C1371" t="s">
        <v>109</v>
      </c>
      <c r="D1371" t="s">
        <v>353</v>
      </c>
      <c r="E1371" s="13" t="s">
        <v>529</v>
      </c>
      <c r="F1371" s="12">
        <v>1</v>
      </c>
      <c r="G1371" s="12">
        <v>71428.570000000007</v>
      </c>
      <c r="H1371" s="35">
        <v>46147.398143344908</v>
      </c>
    </row>
    <row r="1372" spans="2:8" x14ac:dyDescent="0.2">
      <c r="B1372" s="32">
        <v>46038</v>
      </c>
      <c r="C1372" t="s">
        <v>109</v>
      </c>
      <c r="D1372" t="s">
        <v>179</v>
      </c>
      <c r="E1372" s="13" t="s">
        <v>529</v>
      </c>
      <c r="F1372" s="12">
        <v>1</v>
      </c>
      <c r="G1372" s="12">
        <v>58823.53</v>
      </c>
      <c r="H1372" s="35">
        <v>46147.398143344908</v>
      </c>
    </row>
    <row r="1373" spans="2:8" x14ac:dyDescent="0.2">
      <c r="B1373" s="32">
        <v>46038</v>
      </c>
      <c r="C1373" t="s">
        <v>109</v>
      </c>
      <c r="D1373" t="s">
        <v>249</v>
      </c>
      <c r="E1373" s="13" t="s">
        <v>530</v>
      </c>
      <c r="F1373" s="12">
        <v>1</v>
      </c>
      <c r="G1373" s="12">
        <v>58823.53</v>
      </c>
      <c r="H1373" s="35">
        <v>46147.398143344908</v>
      </c>
    </row>
    <row r="1374" spans="2:8" x14ac:dyDescent="0.2">
      <c r="B1374" s="32">
        <v>46038</v>
      </c>
      <c r="C1374" t="s">
        <v>109</v>
      </c>
      <c r="D1374" t="s">
        <v>143</v>
      </c>
      <c r="E1374" s="13" t="s">
        <v>530</v>
      </c>
      <c r="F1374" s="12">
        <v>2</v>
      </c>
      <c r="G1374" s="12">
        <v>58823.519999999997</v>
      </c>
      <c r="H1374" s="35">
        <v>46147.398143344908</v>
      </c>
    </row>
    <row r="1375" spans="2:8" x14ac:dyDescent="0.2">
      <c r="B1375" s="32">
        <v>46038</v>
      </c>
      <c r="C1375" t="s">
        <v>109</v>
      </c>
      <c r="D1375" t="s">
        <v>196</v>
      </c>
      <c r="E1375" s="13" t="s">
        <v>530</v>
      </c>
      <c r="F1375" s="12">
        <v>1</v>
      </c>
      <c r="G1375" s="12">
        <v>46218.49</v>
      </c>
      <c r="H1375" s="35">
        <v>46147.398143344908</v>
      </c>
    </row>
    <row r="1376" spans="2:8" x14ac:dyDescent="0.2">
      <c r="B1376" s="32">
        <v>46038</v>
      </c>
      <c r="C1376" t="s">
        <v>109</v>
      </c>
      <c r="D1376" t="s">
        <v>470</v>
      </c>
      <c r="E1376" s="13" t="s">
        <v>529</v>
      </c>
      <c r="F1376" s="12">
        <v>1</v>
      </c>
      <c r="G1376" s="12">
        <v>46218.49</v>
      </c>
      <c r="H1376" s="35">
        <v>46147.398143344908</v>
      </c>
    </row>
    <row r="1377" spans="2:8" x14ac:dyDescent="0.2">
      <c r="B1377" s="32">
        <v>46038</v>
      </c>
      <c r="C1377" t="s">
        <v>109</v>
      </c>
      <c r="D1377" t="s">
        <v>346</v>
      </c>
      <c r="E1377" s="13" t="s">
        <v>529</v>
      </c>
      <c r="F1377" s="12">
        <v>1</v>
      </c>
      <c r="G1377" s="12">
        <v>46218.49</v>
      </c>
      <c r="H1377" s="35">
        <v>46147.398143344908</v>
      </c>
    </row>
    <row r="1378" spans="2:8" x14ac:dyDescent="0.2">
      <c r="B1378" s="32">
        <v>46038</v>
      </c>
      <c r="C1378" t="s">
        <v>109</v>
      </c>
      <c r="D1378" t="s">
        <v>263</v>
      </c>
      <c r="E1378" s="13" t="s">
        <v>529</v>
      </c>
      <c r="F1378" s="12">
        <v>1</v>
      </c>
      <c r="G1378" s="12">
        <v>46218.49</v>
      </c>
      <c r="H1378" s="35">
        <v>46147.398143344908</v>
      </c>
    </row>
    <row r="1379" spans="2:8" x14ac:dyDescent="0.2">
      <c r="B1379" s="32">
        <v>46038</v>
      </c>
      <c r="C1379" t="s">
        <v>109</v>
      </c>
      <c r="D1379" t="s">
        <v>289</v>
      </c>
      <c r="E1379" s="13" t="s">
        <v>529</v>
      </c>
      <c r="F1379" s="12">
        <v>1</v>
      </c>
      <c r="G1379" s="12">
        <v>46218.48</v>
      </c>
      <c r="H1379" s="35">
        <v>46147.398143344908</v>
      </c>
    </row>
    <row r="1380" spans="2:8" x14ac:dyDescent="0.2">
      <c r="B1380" s="32">
        <v>46038</v>
      </c>
      <c r="C1380" t="s">
        <v>109</v>
      </c>
      <c r="D1380" t="s">
        <v>159</v>
      </c>
      <c r="E1380" s="13" t="s">
        <v>529</v>
      </c>
      <c r="F1380" s="12">
        <v>1</v>
      </c>
      <c r="G1380" s="12">
        <v>42016.81</v>
      </c>
      <c r="H1380" s="35">
        <v>46147.398143344908</v>
      </c>
    </row>
    <row r="1381" spans="2:8" x14ac:dyDescent="0.2">
      <c r="B1381" s="32">
        <v>46038</v>
      </c>
      <c r="C1381" t="s">
        <v>109</v>
      </c>
      <c r="D1381" t="s">
        <v>204</v>
      </c>
      <c r="E1381" s="13" t="s">
        <v>530</v>
      </c>
      <c r="F1381" s="12">
        <v>1</v>
      </c>
      <c r="G1381" s="12">
        <v>37815.129999999997</v>
      </c>
      <c r="H1381" s="35">
        <v>46147.398143344908</v>
      </c>
    </row>
    <row r="1382" spans="2:8" x14ac:dyDescent="0.2">
      <c r="B1382" s="32">
        <v>46038</v>
      </c>
      <c r="C1382" t="s">
        <v>109</v>
      </c>
      <c r="D1382" t="s">
        <v>232</v>
      </c>
      <c r="E1382" s="13" t="s">
        <v>529</v>
      </c>
      <c r="F1382" s="12">
        <v>1</v>
      </c>
      <c r="G1382" s="12">
        <v>37815.129999999997</v>
      </c>
      <c r="H1382" s="35">
        <v>46147.398143344908</v>
      </c>
    </row>
    <row r="1383" spans="2:8" x14ac:dyDescent="0.2">
      <c r="B1383" s="32">
        <v>46038</v>
      </c>
      <c r="C1383" t="s">
        <v>109</v>
      </c>
      <c r="D1383" t="s">
        <v>143</v>
      </c>
      <c r="E1383" s="13" t="s">
        <v>529</v>
      </c>
      <c r="F1383" s="12">
        <v>1</v>
      </c>
      <c r="G1383" s="12">
        <v>29411.759999999998</v>
      </c>
      <c r="H1383" s="35">
        <v>46147.398143344908</v>
      </c>
    </row>
    <row r="1384" spans="2:8" x14ac:dyDescent="0.2">
      <c r="B1384" s="32">
        <v>46038</v>
      </c>
      <c r="C1384" t="s">
        <v>109</v>
      </c>
      <c r="D1384" t="s">
        <v>142</v>
      </c>
      <c r="E1384" s="13" t="s">
        <v>529</v>
      </c>
      <c r="F1384" s="12">
        <v>1</v>
      </c>
      <c r="G1384" s="12">
        <v>10084.030000000001</v>
      </c>
      <c r="H1384" s="35">
        <v>46147.398143344908</v>
      </c>
    </row>
    <row r="1385" spans="2:8" x14ac:dyDescent="0.2">
      <c r="B1385" s="32">
        <v>46039</v>
      </c>
      <c r="C1385" t="s">
        <v>140</v>
      </c>
      <c r="D1385" t="s">
        <v>569</v>
      </c>
      <c r="E1385" s="13" t="s">
        <v>529</v>
      </c>
      <c r="F1385" s="12">
        <v>1</v>
      </c>
      <c r="G1385" s="12">
        <v>109243.7</v>
      </c>
      <c r="H1385" s="35">
        <v>46147.398143344908</v>
      </c>
    </row>
    <row r="1386" spans="2:8" x14ac:dyDescent="0.2">
      <c r="B1386" s="32">
        <v>46039</v>
      </c>
      <c r="C1386" t="s">
        <v>140</v>
      </c>
      <c r="D1386" t="s">
        <v>557</v>
      </c>
      <c r="E1386" s="13" t="s">
        <v>529</v>
      </c>
      <c r="F1386" s="12">
        <v>1</v>
      </c>
      <c r="G1386" s="12">
        <v>109243.7</v>
      </c>
      <c r="H1386" s="35">
        <v>46147.398143344908</v>
      </c>
    </row>
    <row r="1387" spans="2:8" x14ac:dyDescent="0.2">
      <c r="B1387" s="32">
        <v>46039</v>
      </c>
      <c r="C1387" t="s">
        <v>140</v>
      </c>
      <c r="D1387" t="s">
        <v>555</v>
      </c>
      <c r="E1387" s="13" t="s">
        <v>529</v>
      </c>
      <c r="F1387" s="12">
        <v>1</v>
      </c>
      <c r="G1387" s="12">
        <v>79831.929999999993</v>
      </c>
      <c r="H1387" s="35">
        <v>46147.398143344908</v>
      </c>
    </row>
    <row r="1388" spans="2:8" x14ac:dyDescent="0.2">
      <c r="B1388" s="32">
        <v>46039</v>
      </c>
      <c r="C1388" t="s">
        <v>140</v>
      </c>
      <c r="D1388" t="s">
        <v>508</v>
      </c>
      <c r="E1388" s="13" t="s">
        <v>529</v>
      </c>
      <c r="F1388" s="12">
        <v>1</v>
      </c>
      <c r="G1388" s="12">
        <v>79831.929999999993</v>
      </c>
      <c r="H1388" s="35">
        <v>46147.398143344908</v>
      </c>
    </row>
    <row r="1389" spans="2:8" x14ac:dyDescent="0.2">
      <c r="B1389" s="32">
        <v>46039</v>
      </c>
      <c r="C1389" t="s">
        <v>140</v>
      </c>
      <c r="D1389" t="s">
        <v>337</v>
      </c>
      <c r="E1389" s="13" t="s">
        <v>529</v>
      </c>
      <c r="F1389" s="12">
        <v>1</v>
      </c>
      <c r="G1389" s="12">
        <v>75630.25</v>
      </c>
      <c r="H1389" s="35">
        <v>46147.398143344908</v>
      </c>
    </row>
    <row r="1390" spans="2:8" x14ac:dyDescent="0.2">
      <c r="B1390" s="32">
        <v>46039</v>
      </c>
      <c r="C1390" t="s">
        <v>140</v>
      </c>
      <c r="D1390" t="s">
        <v>359</v>
      </c>
      <c r="E1390" s="13" t="s">
        <v>529</v>
      </c>
      <c r="F1390" s="12">
        <v>1</v>
      </c>
      <c r="G1390" s="12">
        <v>75630.25</v>
      </c>
      <c r="H1390" s="35">
        <v>46147.398143344908</v>
      </c>
    </row>
    <row r="1391" spans="2:8" x14ac:dyDescent="0.2">
      <c r="B1391" s="32">
        <v>46039</v>
      </c>
      <c r="C1391" t="s">
        <v>140</v>
      </c>
      <c r="D1391" t="s">
        <v>348</v>
      </c>
      <c r="E1391" s="13" t="s">
        <v>529</v>
      </c>
      <c r="F1391" s="12">
        <v>1</v>
      </c>
      <c r="G1391" s="12">
        <v>71428.570000000007</v>
      </c>
      <c r="H1391" s="35">
        <v>46147.398143344908</v>
      </c>
    </row>
    <row r="1392" spans="2:8" x14ac:dyDescent="0.2">
      <c r="B1392" s="32">
        <v>46039</v>
      </c>
      <c r="C1392" t="s">
        <v>140</v>
      </c>
      <c r="E1392" s="13" t="s">
        <v>529</v>
      </c>
      <c r="F1392" s="12">
        <v>1</v>
      </c>
      <c r="G1392" s="12">
        <v>67226.880000000005</v>
      </c>
      <c r="H1392" s="35">
        <v>46147.398143344908</v>
      </c>
    </row>
    <row r="1393" spans="2:8" x14ac:dyDescent="0.2">
      <c r="B1393" s="32">
        <v>46039</v>
      </c>
      <c r="C1393" t="s">
        <v>140</v>
      </c>
      <c r="D1393" t="s">
        <v>257</v>
      </c>
      <c r="E1393" s="13" t="s">
        <v>530</v>
      </c>
      <c r="F1393" s="12">
        <v>1</v>
      </c>
      <c r="G1393" s="12">
        <v>58823.53</v>
      </c>
      <c r="H1393" s="35">
        <v>46147.398143344908</v>
      </c>
    </row>
    <row r="1394" spans="2:8" x14ac:dyDescent="0.2">
      <c r="B1394" s="32">
        <v>46039</v>
      </c>
      <c r="C1394" t="s">
        <v>140</v>
      </c>
      <c r="D1394" t="s">
        <v>222</v>
      </c>
      <c r="E1394" s="13" t="s">
        <v>530</v>
      </c>
      <c r="F1394" s="12">
        <v>1</v>
      </c>
      <c r="G1394" s="12">
        <v>58823.53</v>
      </c>
      <c r="H1394" s="35">
        <v>46147.398143344908</v>
      </c>
    </row>
    <row r="1395" spans="2:8" x14ac:dyDescent="0.2">
      <c r="B1395" s="32">
        <v>46039</v>
      </c>
      <c r="C1395" t="s">
        <v>140</v>
      </c>
      <c r="D1395" t="s">
        <v>444</v>
      </c>
      <c r="E1395" s="13" t="s">
        <v>529</v>
      </c>
      <c r="F1395" s="12">
        <v>1</v>
      </c>
      <c r="G1395" s="12">
        <v>58823.53</v>
      </c>
      <c r="H1395" s="35">
        <v>46147.398143344908</v>
      </c>
    </row>
    <row r="1396" spans="2:8" x14ac:dyDescent="0.2">
      <c r="B1396" s="32">
        <v>46039</v>
      </c>
      <c r="C1396" t="s">
        <v>140</v>
      </c>
      <c r="D1396" t="s">
        <v>166</v>
      </c>
      <c r="E1396" s="13" t="s">
        <v>529</v>
      </c>
      <c r="F1396" s="12">
        <v>1</v>
      </c>
      <c r="G1396" s="12">
        <v>46218.49</v>
      </c>
      <c r="H1396" s="35">
        <v>46147.398143344908</v>
      </c>
    </row>
    <row r="1397" spans="2:8" x14ac:dyDescent="0.2">
      <c r="B1397" s="32">
        <v>46039</v>
      </c>
      <c r="C1397" t="s">
        <v>140</v>
      </c>
      <c r="D1397" t="s">
        <v>480</v>
      </c>
      <c r="E1397" s="13" t="s">
        <v>529</v>
      </c>
      <c r="F1397" s="12">
        <v>1</v>
      </c>
      <c r="G1397" s="12">
        <v>46218.49</v>
      </c>
      <c r="H1397" s="35">
        <v>46147.398143344908</v>
      </c>
    </row>
    <row r="1398" spans="2:8" x14ac:dyDescent="0.2">
      <c r="B1398" s="32">
        <v>46039</v>
      </c>
      <c r="C1398" t="s">
        <v>140</v>
      </c>
      <c r="D1398" t="s">
        <v>154</v>
      </c>
      <c r="E1398" s="13" t="s">
        <v>529</v>
      </c>
      <c r="F1398" s="12">
        <v>1</v>
      </c>
      <c r="G1398" s="12">
        <v>42016.81</v>
      </c>
      <c r="H1398" s="35">
        <v>46147.398143344908</v>
      </c>
    </row>
    <row r="1399" spans="2:8" x14ac:dyDescent="0.2">
      <c r="B1399" s="32">
        <v>46039</v>
      </c>
      <c r="C1399" t="s">
        <v>140</v>
      </c>
      <c r="D1399" t="s">
        <v>143</v>
      </c>
      <c r="E1399" s="13" t="s">
        <v>529</v>
      </c>
      <c r="F1399" s="12">
        <v>1</v>
      </c>
      <c r="G1399" s="12">
        <v>29411.77</v>
      </c>
      <c r="H1399" s="35">
        <v>46147.398143344908</v>
      </c>
    </row>
    <row r="1400" spans="2:8" x14ac:dyDescent="0.2">
      <c r="B1400" s="32">
        <v>46039</v>
      </c>
      <c r="C1400" t="s">
        <v>140</v>
      </c>
      <c r="E1400" s="13" t="s">
        <v>530</v>
      </c>
      <c r="F1400" s="12">
        <v>0</v>
      </c>
      <c r="G1400" s="12">
        <v>0</v>
      </c>
      <c r="H1400" s="35">
        <v>46147.398143344908</v>
      </c>
    </row>
    <row r="1401" spans="2:8" x14ac:dyDescent="0.2">
      <c r="B1401" s="32">
        <v>46039</v>
      </c>
      <c r="C1401" t="s">
        <v>109</v>
      </c>
      <c r="D1401" t="s">
        <v>312</v>
      </c>
      <c r="E1401" s="13" t="s">
        <v>530</v>
      </c>
      <c r="F1401" s="12">
        <v>1</v>
      </c>
      <c r="G1401" s="12">
        <v>252100.84</v>
      </c>
      <c r="H1401" s="35">
        <v>46147.398143344908</v>
      </c>
    </row>
    <row r="1402" spans="2:8" x14ac:dyDescent="0.2">
      <c r="B1402" s="32">
        <v>46039</v>
      </c>
      <c r="C1402" t="s">
        <v>109</v>
      </c>
      <c r="D1402" t="s">
        <v>297</v>
      </c>
      <c r="E1402" s="13" t="s">
        <v>530</v>
      </c>
      <c r="F1402" s="12">
        <v>1</v>
      </c>
      <c r="G1402" s="12">
        <v>252100.84</v>
      </c>
      <c r="H1402" s="35">
        <v>46147.398143344908</v>
      </c>
    </row>
    <row r="1403" spans="2:8" x14ac:dyDescent="0.2">
      <c r="B1403" s="32">
        <v>46039</v>
      </c>
      <c r="C1403" t="s">
        <v>109</v>
      </c>
      <c r="D1403" t="s">
        <v>579</v>
      </c>
      <c r="E1403" s="13" t="s">
        <v>529</v>
      </c>
      <c r="F1403" s="12">
        <v>1</v>
      </c>
      <c r="G1403" s="12">
        <v>243697.48</v>
      </c>
      <c r="H1403" s="35">
        <v>46147.398143344908</v>
      </c>
    </row>
    <row r="1404" spans="2:8" x14ac:dyDescent="0.2">
      <c r="B1404" s="32">
        <v>46039</v>
      </c>
      <c r="C1404" t="s">
        <v>109</v>
      </c>
      <c r="D1404" t="s">
        <v>454</v>
      </c>
      <c r="E1404" s="13" t="s">
        <v>529</v>
      </c>
      <c r="F1404" s="12">
        <v>1</v>
      </c>
      <c r="G1404" s="12">
        <v>176470.59</v>
      </c>
      <c r="H1404" s="35">
        <v>46147.398143344908</v>
      </c>
    </row>
    <row r="1405" spans="2:8" x14ac:dyDescent="0.2">
      <c r="B1405" s="32">
        <v>46039</v>
      </c>
      <c r="C1405" t="s">
        <v>109</v>
      </c>
      <c r="D1405" t="s">
        <v>155</v>
      </c>
      <c r="E1405" s="13" t="s">
        <v>529</v>
      </c>
      <c r="F1405" s="12">
        <v>2</v>
      </c>
      <c r="G1405" s="12">
        <v>168067.23</v>
      </c>
      <c r="H1405" s="35">
        <v>46147.398143344908</v>
      </c>
    </row>
    <row r="1406" spans="2:8" x14ac:dyDescent="0.2">
      <c r="B1406" s="32">
        <v>46039</v>
      </c>
      <c r="C1406" t="s">
        <v>109</v>
      </c>
      <c r="D1406" t="s">
        <v>348</v>
      </c>
      <c r="E1406" s="13" t="s">
        <v>529</v>
      </c>
      <c r="F1406" s="12">
        <v>2</v>
      </c>
      <c r="G1406" s="12">
        <v>142857.14000000001</v>
      </c>
      <c r="H1406" s="35">
        <v>46147.398143344908</v>
      </c>
    </row>
    <row r="1407" spans="2:8" x14ac:dyDescent="0.2">
      <c r="B1407" s="32">
        <v>46039</v>
      </c>
      <c r="C1407" t="s">
        <v>109</v>
      </c>
      <c r="D1407" t="s">
        <v>243</v>
      </c>
      <c r="E1407" s="13" t="s">
        <v>529</v>
      </c>
      <c r="F1407" s="12">
        <v>1</v>
      </c>
      <c r="G1407" s="12">
        <v>126050.42</v>
      </c>
      <c r="H1407" s="35">
        <v>46147.398143344908</v>
      </c>
    </row>
    <row r="1408" spans="2:8" x14ac:dyDescent="0.2">
      <c r="B1408" s="32">
        <v>46039</v>
      </c>
      <c r="C1408" t="s">
        <v>109</v>
      </c>
      <c r="E1408" s="13" t="s">
        <v>529</v>
      </c>
      <c r="F1408" s="12">
        <v>1</v>
      </c>
      <c r="G1408" s="12">
        <v>121848.74</v>
      </c>
      <c r="H1408" s="35">
        <v>46147.398143344908</v>
      </c>
    </row>
    <row r="1409" spans="2:8" x14ac:dyDescent="0.2">
      <c r="B1409" s="32">
        <v>46039</v>
      </c>
      <c r="C1409" t="s">
        <v>109</v>
      </c>
      <c r="D1409" t="s">
        <v>238</v>
      </c>
      <c r="E1409" s="13" t="s">
        <v>529</v>
      </c>
      <c r="F1409" s="12">
        <v>2</v>
      </c>
      <c r="G1409" s="12">
        <v>92436.98</v>
      </c>
      <c r="H1409" s="35">
        <v>46147.398143344908</v>
      </c>
    </row>
    <row r="1410" spans="2:8" x14ac:dyDescent="0.2">
      <c r="B1410" s="32">
        <v>46039</v>
      </c>
      <c r="C1410" t="s">
        <v>109</v>
      </c>
      <c r="D1410" t="s">
        <v>181</v>
      </c>
      <c r="E1410" s="13" t="s">
        <v>529</v>
      </c>
      <c r="F1410" s="12">
        <v>1</v>
      </c>
      <c r="G1410" s="12">
        <v>84033.61</v>
      </c>
      <c r="H1410" s="35">
        <v>46147.398143344908</v>
      </c>
    </row>
    <row r="1411" spans="2:8" x14ac:dyDescent="0.2">
      <c r="B1411" s="32">
        <v>46039</v>
      </c>
      <c r="C1411" t="s">
        <v>109</v>
      </c>
      <c r="D1411" t="s">
        <v>184</v>
      </c>
      <c r="E1411" s="13" t="s">
        <v>529</v>
      </c>
      <c r="F1411" s="12">
        <v>1</v>
      </c>
      <c r="G1411" s="12">
        <v>84033.61</v>
      </c>
      <c r="H1411" s="35">
        <v>46147.398143344908</v>
      </c>
    </row>
    <row r="1412" spans="2:8" x14ac:dyDescent="0.2">
      <c r="B1412" s="32">
        <v>46039</v>
      </c>
      <c r="C1412" t="s">
        <v>109</v>
      </c>
      <c r="D1412" t="s">
        <v>298</v>
      </c>
      <c r="E1412" s="13" t="s">
        <v>529</v>
      </c>
      <c r="F1412" s="12">
        <v>2</v>
      </c>
      <c r="G1412" s="12">
        <v>75630.25</v>
      </c>
      <c r="H1412" s="35">
        <v>46147.398143344908</v>
      </c>
    </row>
    <row r="1413" spans="2:8" x14ac:dyDescent="0.2">
      <c r="B1413" s="32">
        <v>46039</v>
      </c>
      <c r="C1413" t="s">
        <v>109</v>
      </c>
      <c r="D1413" t="s">
        <v>172</v>
      </c>
      <c r="E1413" s="13" t="s">
        <v>529</v>
      </c>
      <c r="F1413" s="12">
        <v>1</v>
      </c>
      <c r="G1413" s="12">
        <v>75630.25</v>
      </c>
      <c r="H1413" s="35">
        <v>46147.398143344908</v>
      </c>
    </row>
    <row r="1414" spans="2:8" x14ac:dyDescent="0.2">
      <c r="B1414" s="32">
        <v>46039</v>
      </c>
      <c r="C1414" t="s">
        <v>109</v>
      </c>
      <c r="D1414" t="s">
        <v>379</v>
      </c>
      <c r="E1414" s="13" t="s">
        <v>529</v>
      </c>
      <c r="F1414" s="12">
        <v>1</v>
      </c>
      <c r="G1414" s="12">
        <v>75630.25</v>
      </c>
      <c r="H1414" s="35">
        <v>46147.398143344908</v>
      </c>
    </row>
    <row r="1415" spans="2:8" x14ac:dyDescent="0.2">
      <c r="B1415" s="32">
        <v>46039</v>
      </c>
      <c r="C1415" t="s">
        <v>109</v>
      </c>
      <c r="D1415" t="s">
        <v>577</v>
      </c>
      <c r="E1415" s="13" t="s">
        <v>529</v>
      </c>
      <c r="F1415" s="12">
        <v>1</v>
      </c>
      <c r="G1415" s="12">
        <v>75630.25</v>
      </c>
      <c r="H1415" s="35">
        <v>46147.398143344908</v>
      </c>
    </row>
    <row r="1416" spans="2:8" x14ac:dyDescent="0.2">
      <c r="B1416" s="32">
        <v>46039</v>
      </c>
      <c r="C1416" t="s">
        <v>109</v>
      </c>
      <c r="D1416" t="s">
        <v>150</v>
      </c>
      <c r="E1416" s="13" t="s">
        <v>530</v>
      </c>
      <c r="F1416" s="12">
        <v>1</v>
      </c>
      <c r="G1416" s="12">
        <v>75630.25</v>
      </c>
      <c r="H1416" s="35">
        <v>46147.398143344908</v>
      </c>
    </row>
    <row r="1417" spans="2:8" x14ac:dyDescent="0.2">
      <c r="B1417" s="32">
        <v>46039</v>
      </c>
      <c r="C1417" t="s">
        <v>109</v>
      </c>
      <c r="D1417" t="s">
        <v>337</v>
      </c>
      <c r="E1417" s="13" t="s">
        <v>529</v>
      </c>
      <c r="F1417" s="12">
        <v>1</v>
      </c>
      <c r="G1417" s="12">
        <v>75630.25</v>
      </c>
      <c r="H1417" s="35">
        <v>46147.398143344908</v>
      </c>
    </row>
    <row r="1418" spans="2:8" x14ac:dyDescent="0.2">
      <c r="B1418" s="32">
        <v>46039</v>
      </c>
      <c r="C1418" t="s">
        <v>109</v>
      </c>
      <c r="D1418" t="s">
        <v>147</v>
      </c>
      <c r="E1418" s="13" t="s">
        <v>529</v>
      </c>
      <c r="F1418" s="12">
        <v>1</v>
      </c>
      <c r="G1418" s="12">
        <v>71428.570000000007</v>
      </c>
      <c r="H1418" s="35">
        <v>46147.398143344908</v>
      </c>
    </row>
    <row r="1419" spans="2:8" x14ac:dyDescent="0.2">
      <c r="B1419" s="32">
        <v>46039</v>
      </c>
      <c r="C1419" t="s">
        <v>109</v>
      </c>
      <c r="D1419" t="s">
        <v>190</v>
      </c>
      <c r="E1419" s="13" t="s">
        <v>529</v>
      </c>
      <c r="F1419" s="12">
        <v>1</v>
      </c>
      <c r="G1419" s="12">
        <v>71428.570000000007</v>
      </c>
      <c r="H1419" s="35">
        <v>46147.398143344908</v>
      </c>
    </row>
    <row r="1420" spans="2:8" x14ac:dyDescent="0.2">
      <c r="B1420" s="32">
        <v>46039</v>
      </c>
      <c r="C1420" t="s">
        <v>109</v>
      </c>
      <c r="D1420" t="s">
        <v>333</v>
      </c>
      <c r="E1420" s="13" t="s">
        <v>529</v>
      </c>
      <c r="F1420" s="12">
        <v>1</v>
      </c>
      <c r="G1420" s="12">
        <v>71428.570000000007</v>
      </c>
      <c r="H1420" s="35">
        <v>46147.398143344908</v>
      </c>
    </row>
    <row r="1421" spans="2:8" x14ac:dyDescent="0.2">
      <c r="B1421" s="32">
        <v>46039</v>
      </c>
      <c r="C1421" t="s">
        <v>109</v>
      </c>
      <c r="D1421" t="s">
        <v>145</v>
      </c>
      <c r="E1421" s="13" t="s">
        <v>530</v>
      </c>
      <c r="F1421" s="12">
        <v>1</v>
      </c>
      <c r="G1421" s="12">
        <v>71428.570000000007</v>
      </c>
      <c r="H1421" s="35">
        <v>46147.398143344908</v>
      </c>
    </row>
    <row r="1422" spans="2:8" x14ac:dyDescent="0.2">
      <c r="B1422" s="32">
        <v>46039</v>
      </c>
      <c r="C1422" t="s">
        <v>109</v>
      </c>
      <c r="D1422" t="s">
        <v>145</v>
      </c>
      <c r="E1422" s="13" t="s">
        <v>529</v>
      </c>
      <c r="F1422" s="12">
        <v>1</v>
      </c>
      <c r="G1422" s="12">
        <v>71428.570000000007</v>
      </c>
      <c r="H1422" s="35">
        <v>46147.398143344908</v>
      </c>
    </row>
    <row r="1423" spans="2:8" x14ac:dyDescent="0.2">
      <c r="B1423" s="32">
        <v>46039</v>
      </c>
      <c r="C1423" t="s">
        <v>109</v>
      </c>
      <c r="D1423" t="s">
        <v>142</v>
      </c>
      <c r="E1423" s="13" t="s">
        <v>529</v>
      </c>
      <c r="F1423" s="12">
        <v>4</v>
      </c>
      <c r="G1423" s="12">
        <v>65966.38</v>
      </c>
      <c r="H1423" s="35">
        <v>46147.398143344908</v>
      </c>
    </row>
    <row r="1424" spans="2:8" x14ac:dyDescent="0.2">
      <c r="B1424" s="32">
        <v>46039</v>
      </c>
      <c r="C1424" t="s">
        <v>109</v>
      </c>
      <c r="D1424" t="s">
        <v>284</v>
      </c>
      <c r="E1424" s="13" t="s">
        <v>530</v>
      </c>
      <c r="F1424" s="12">
        <v>1</v>
      </c>
      <c r="G1424" s="12">
        <v>58823.53</v>
      </c>
      <c r="H1424" s="35">
        <v>46147.398143344908</v>
      </c>
    </row>
    <row r="1425" spans="2:8" x14ac:dyDescent="0.2">
      <c r="B1425" s="32">
        <v>46039</v>
      </c>
      <c r="C1425" t="s">
        <v>109</v>
      </c>
      <c r="D1425" t="s">
        <v>160</v>
      </c>
      <c r="E1425" s="13" t="s">
        <v>529</v>
      </c>
      <c r="F1425" s="12">
        <v>1</v>
      </c>
      <c r="G1425" s="12">
        <v>58823.53</v>
      </c>
      <c r="H1425" s="35">
        <v>46147.398143344908</v>
      </c>
    </row>
    <row r="1426" spans="2:8" x14ac:dyDescent="0.2">
      <c r="B1426" s="32">
        <v>46039</v>
      </c>
      <c r="C1426" t="s">
        <v>109</v>
      </c>
      <c r="D1426" t="s">
        <v>257</v>
      </c>
      <c r="E1426" s="13" t="s">
        <v>530</v>
      </c>
      <c r="F1426" s="12">
        <v>1</v>
      </c>
      <c r="G1426" s="12">
        <v>58823.53</v>
      </c>
      <c r="H1426" s="35">
        <v>46147.398143344908</v>
      </c>
    </row>
    <row r="1427" spans="2:8" x14ac:dyDescent="0.2">
      <c r="B1427" s="32">
        <v>46039</v>
      </c>
      <c r="C1427" t="s">
        <v>109</v>
      </c>
      <c r="D1427" t="s">
        <v>203</v>
      </c>
      <c r="E1427" s="13" t="s">
        <v>529</v>
      </c>
      <c r="F1427" s="12">
        <v>1</v>
      </c>
      <c r="G1427" s="12">
        <v>58823.53</v>
      </c>
      <c r="H1427" s="35">
        <v>46147.398143344908</v>
      </c>
    </row>
    <row r="1428" spans="2:8" x14ac:dyDescent="0.2">
      <c r="B1428" s="32">
        <v>46039</v>
      </c>
      <c r="C1428" t="s">
        <v>109</v>
      </c>
      <c r="D1428" t="s">
        <v>442</v>
      </c>
      <c r="E1428" s="13" t="s">
        <v>529</v>
      </c>
      <c r="F1428" s="12">
        <v>1</v>
      </c>
      <c r="G1428" s="12">
        <v>58823.53</v>
      </c>
      <c r="H1428" s="35">
        <v>46147.398143344908</v>
      </c>
    </row>
    <row r="1429" spans="2:8" x14ac:dyDescent="0.2">
      <c r="B1429" s="32">
        <v>46039</v>
      </c>
      <c r="C1429" t="s">
        <v>109</v>
      </c>
      <c r="D1429" t="s">
        <v>538</v>
      </c>
      <c r="E1429" s="13" t="s">
        <v>529</v>
      </c>
      <c r="F1429" s="12">
        <v>1</v>
      </c>
      <c r="G1429" s="12">
        <v>55000</v>
      </c>
      <c r="H1429" s="35">
        <v>46147.398143344908</v>
      </c>
    </row>
    <row r="1430" spans="2:8" x14ac:dyDescent="0.2">
      <c r="B1430" s="32">
        <v>46039</v>
      </c>
      <c r="C1430" t="s">
        <v>109</v>
      </c>
      <c r="D1430" t="s">
        <v>210</v>
      </c>
      <c r="E1430" s="13" t="s">
        <v>529</v>
      </c>
      <c r="F1430" s="12">
        <v>1</v>
      </c>
      <c r="G1430" s="12">
        <v>54621.85</v>
      </c>
      <c r="H1430" s="35">
        <v>46147.398143344908</v>
      </c>
    </row>
    <row r="1431" spans="2:8" x14ac:dyDescent="0.2">
      <c r="B1431" s="32">
        <v>46039</v>
      </c>
      <c r="C1431" t="s">
        <v>109</v>
      </c>
      <c r="D1431" t="s">
        <v>239</v>
      </c>
      <c r="E1431" s="13" t="s">
        <v>529</v>
      </c>
      <c r="F1431" s="12">
        <v>1</v>
      </c>
      <c r="G1431" s="12">
        <v>46218.49</v>
      </c>
      <c r="H1431" s="35">
        <v>46147.398143344908</v>
      </c>
    </row>
    <row r="1432" spans="2:8" x14ac:dyDescent="0.2">
      <c r="B1432" s="32">
        <v>46039</v>
      </c>
      <c r="C1432" t="s">
        <v>109</v>
      </c>
      <c r="D1432" t="s">
        <v>151</v>
      </c>
      <c r="E1432" s="13" t="s">
        <v>529</v>
      </c>
      <c r="F1432" s="12">
        <v>1</v>
      </c>
      <c r="G1432" s="12">
        <v>46218.49</v>
      </c>
      <c r="H1432" s="35">
        <v>46147.398143344908</v>
      </c>
    </row>
    <row r="1433" spans="2:8" x14ac:dyDescent="0.2">
      <c r="B1433" s="32">
        <v>46039</v>
      </c>
      <c r="C1433" t="s">
        <v>109</v>
      </c>
      <c r="D1433" t="s">
        <v>237</v>
      </c>
      <c r="E1433" s="13" t="s">
        <v>529</v>
      </c>
      <c r="F1433" s="12">
        <v>1</v>
      </c>
      <c r="G1433" s="12">
        <v>46218.49</v>
      </c>
      <c r="H1433" s="35">
        <v>46147.398143344908</v>
      </c>
    </row>
    <row r="1434" spans="2:8" x14ac:dyDescent="0.2">
      <c r="B1434" s="32">
        <v>46039</v>
      </c>
      <c r="C1434" t="s">
        <v>109</v>
      </c>
      <c r="D1434" t="s">
        <v>148</v>
      </c>
      <c r="E1434" s="13" t="s">
        <v>529</v>
      </c>
      <c r="F1434" s="12">
        <v>1</v>
      </c>
      <c r="G1434" s="12">
        <v>46218.49</v>
      </c>
      <c r="H1434" s="35">
        <v>46147.398143344908</v>
      </c>
    </row>
    <row r="1435" spans="2:8" x14ac:dyDescent="0.2">
      <c r="B1435" s="32">
        <v>46039</v>
      </c>
      <c r="C1435" t="s">
        <v>109</v>
      </c>
      <c r="D1435" t="s">
        <v>258</v>
      </c>
      <c r="E1435" s="13" t="s">
        <v>529</v>
      </c>
      <c r="F1435" s="12">
        <v>1</v>
      </c>
      <c r="G1435" s="12">
        <v>46218.49</v>
      </c>
      <c r="H1435" s="35">
        <v>46147.398143344908</v>
      </c>
    </row>
    <row r="1436" spans="2:8" x14ac:dyDescent="0.2">
      <c r="B1436" s="32">
        <v>46039</v>
      </c>
      <c r="C1436" t="s">
        <v>109</v>
      </c>
      <c r="D1436" t="s">
        <v>144</v>
      </c>
      <c r="E1436" s="13" t="s">
        <v>530</v>
      </c>
      <c r="F1436" s="12">
        <v>1</v>
      </c>
      <c r="G1436" s="12">
        <v>46218.49</v>
      </c>
      <c r="H1436" s="35">
        <v>46147.398143344908</v>
      </c>
    </row>
    <row r="1437" spans="2:8" x14ac:dyDescent="0.2">
      <c r="B1437" s="32">
        <v>46039</v>
      </c>
      <c r="C1437" t="s">
        <v>109</v>
      </c>
      <c r="D1437" t="s">
        <v>246</v>
      </c>
      <c r="E1437" s="13" t="s">
        <v>529</v>
      </c>
      <c r="F1437" s="12">
        <v>1</v>
      </c>
      <c r="G1437" s="12">
        <v>37815.129999999997</v>
      </c>
      <c r="H1437" s="35">
        <v>46147.398143344908</v>
      </c>
    </row>
    <row r="1438" spans="2:8" x14ac:dyDescent="0.2">
      <c r="B1438" s="32">
        <v>46039</v>
      </c>
      <c r="C1438" t="s">
        <v>109</v>
      </c>
      <c r="D1438" t="s">
        <v>204</v>
      </c>
      <c r="E1438" s="13" t="s">
        <v>530</v>
      </c>
      <c r="F1438" s="12">
        <v>1</v>
      </c>
      <c r="G1438" s="12">
        <v>37815.129999999997</v>
      </c>
      <c r="H1438" s="35">
        <v>46147.398143344908</v>
      </c>
    </row>
    <row r="1439" spans="2:8" x14ac:dyDescent="0.2">
      <c r="B1439" s="32">
        <v>46039</v>
      </c>
      <c r="C1439" t="s">
        <v>109</v>
      </c>
      <c r="D1439" t="s">
        <v>171</v>
      </c>
      <c r="E1439" s="13" t="s">
        <v>530</v>
      </c>
      <c r="F1439" s="12">
        <v>1</v>
      </c>
      <c r="G1439" s="12">
        <v>37815.129999999997</v>
      </c>
      <c r="H1439" s="35">
        <v>46147.398143344908</v>
      </c>
    </row>
    <row r="1440" spans="2:8" x14ac:dyDescent="0.2">
      <c r="B1440" s="32">
        <v>46039</v>
      </c>
      <c r="C1440" t="s">
        <v>109</v>
      </c>
      <c r="D1440" t="s">
        <v>232</v>
      </c>
      <c r="E1440" s="13" t="s">
        <v>530</v>
      </c>
      <c r="F1440" s="12">
        <v>1</v>
      </c>
      <c r="G1440" s="12">
        <v>37815.120000000003</v>
      </c>
      <c r="H1440" s="35">
        <v>46147.398143344908</v>
      </c>
    </row>
    <row r="1441" spans="2:8" x14ac:dyDescent="0.2">
      <c r="B1441" s="32">
        <v>46039</v>
      </c>
      <c r="C1441" t="s">
        <v>109</v>
      </c>
      <c r="D1441" t="s">
        <v>352</v>
      </c>
      <c r="E1441" s="13" t="s">
        <v>529</v>
      </c>
      <c r="F1441" s="12">
        <v>1</v>
      </c>
      <c r="G1441" s="12">
        <v>37815.120000000003</v>
      </c>
      <c r="H1441" s="35">
        <v>46147.398143344908</v>
      </c>
    </row>
    <row r="1442" spans="2:8" x14ac:dyDescent="0.2">
      <c r="B1442" s="32">
        <v>46039</v>
      </c>
      <c r="C1442" t="s">
        <v>109</v>
      </c>
      <c r="D1442" t="s">
        <v>143</v>
      </c>
      <c r="E1442" s="13" t="s">
        <v>530</v>
      </c>
      <c r="F1442" s="12">
        <v>1</v>
      </c>
      <c r="G1442" s="12">
        <v>29411.759999999998</v>
      </c>
      <c r="H1442" s="35">
        <v>46147.398143344908</v>
      </c>
    </row>
    <row r="1443" spans="2:8" x14ac:dyDescent="0.2">
      <c r="B1443" s="32">
        <v>46039</v>
      </c>
      <c r="C1443" t="s">
        <v>109</v>
      </c>
      <c r="D1443" t="s">
        <v>169</v>
      </c>
      <c r="E1443" s="13" t="s">
        <v>530</v>
      </c>
      <c r="F1443" s="12">
        <v>1</v>
      </c>
      <c r="G1443" s="12">
        <v>24405.51</v>
      </c>
      <c r="H1443" s="35">
        <v>46147.398143344908</v>
      </c>
    </row>
    <row r="1444" spans="2:8" x14ac:dyDescent="0.2">
      <c r="B1444" s="32">
        <v>46039</v>
      </c>
      <c r="C1444" t="s">
        <v>109</v>
      </c>
      <c r="D1444" t="s">
        <v>142</v>
      </c>
      <c r="E1444" s="13" t="s">
        <v>530</v>
      </c>
      <c r="F1444" s="12">
        <v>2</v>
      </c>
      <c r="G1444" s="12">
        <v>21812.98</v>
      </c>
      <c r="H1444" s="35">
        <v>46147.398143344908</v>
      </c>
    </row>
    <row r="1445" spans="2:8" x14ac:dyDescent="0.2">
      <c r="B1445" s="32">
        <v>46039</v>
      </c>
      <c r="C1445" t="s">
        <v>109</v>
      </c>
      <c r="E1445" s="13" t="s">
        <v>530</v>
      </c>
      <c r="F1445" s="12">
        <v>0</v>
      </c>
      <c r="G1445" s="12">
        <v>0</v>
      </c>
      <c r="H1445" s="35">
        <v>46147.398143344908</v>
      </c>
    </row>
    <row r="1446" spans="2:8" x14ac:dyDescent="0.2">
      <c r="B1446" s="32">
        <v>46040</v>
      </c>
      <c r="C1446" t="s">
        <v>140</v>
      </c>
      <c r="D1446" t="s">
        <v>240</v>
      </c>
      <c r="E1446" s="13" t="s">
        <v>530</v>
      </c>
      <c r="F1446" s="12">
        <v>1</v>
      </c>
      <c r="G1446" s="12">
        <v>130252.1</v>
      </c>
      <c r="H1446" s="35">
        <v>46147.398143344908</v>
      </c>
    </row>
    <row r="1447" spans="2:8" x14ac:dyDescent="0.2">
      <c r="B1447" s="32">
        <v>46040</v>
      </c>
      <c r="C1447" t="s">
        <v>140</v>
      </c>
      <c r="D1447" t="s">
        <v>161</v>
      </c>
      <c r="E1447" s="13" t="s">
        <v>530</v>
      </c>
      <c r="F1447" s="12">
        <v>2</v>
      </c>
      <c r="G1447" s="12">
        <v>117647.06</v>
      </c>
      <c r="H1447" s="35">
        <v>46147.398143344908</v>
      </c>
    </row>
    <row r="1448" spans="2:8" x14ac:dyDescent="0.2">
      <c r="B1448" s="32">
        <v>46040</v>
      </c>
      <c r="C1448" t="s">
        <v>140</v>
      </c>
      <c r="D1448" t="s">
        <v>174</v>
      </c>
      <c r="E1448" s="13" t="s">
        <v>530</v>
      </c>
      <c r="F1448" s="12">
        <v>1</v>
      </c>
      <c r="G1448" s="12">
        <v>58823.53</v>
      </c>
      <c r="H1448" s="35">
        <v>46147.398143344908</v>
      </c>
    </row>
    <row r="1449" spans="2:8" x14ac:dyDescent="0.2">
      <c r="B1449" s="32">
        <v>46040</v>
      </c>
      <c r="C1449" t="s">
        <v>140</v>
      </c>
      <c r="D1449" t="s">
        <v>200</v>
      </c>
      <c r="E1449" s="13" t="s">
        <v>529</v>
      </c>
      <c r="F1449" s="12">
        <v>1</v>
      </c>
      <c r="G1449" s="12">
        <v>46218.49</v>
      </c>
      <c r="H1449" s="35">
        <v>46147.398143344908</v>
      </c>
    </row>
    <row r="1450" spans="2:8" x14ac:dyDescent="0.2">
      <c r="B1450" s="32">
        <v>46040</v>
      </c>
      <c r="C1450" t="s">
        <v>140</v>
      </c>
      <c r="D1450" t="s">
        <v>291</v>
      </c>
      <c r="E1450" s="13" t="s">
        <v>530</v>
      </c>
      <c r="F1450" s="12">
        <v>1</v>
      </c>
      <c r="G1450" s="12">
        <v>45000</v>
      </c>
      <c r="H1450" s="35">
        <v>46147.398143344908</v>
      </c>
    </row>
    <row r="1451" spans="2:8" x14ac:dyDescent="0.2">
      <c r="B1451" s="32">
        <v>46040</v>
      </c>
      <c r="C1451" t="s">
        <v>140</v>
      </c>
      <c r="E1451" s="13" t="s">
        <v>530</v>
      </c>
      <c r="F1451" s="12">
        <v>0</v>
      </c>
      <c r="G1451" s="12">
        <v>0</v>
      </c>
      <c r="H1451" s="35">
        <v>46147.398143344908</v>
      </c>
    </row>
    <row r="1452" spans="2:8" x14ac:dyDescent="0.2">
      <c r="B1452" s="32">
        <v>46040</v>
      </c>
      <c r="C1452" t="s">
        <v>140</v>
      </c>
      <c r="E1452" s="13" t="s">
        <v>529</v>
      </c>
      <c r="F1452" s="12">
        <v>0</v>
      </c>
      <c r="G1452" s="12">
        <v>0</v>
      </c>
      <c r="H1452" s="35">
        <v>46147.398143344908</v>
      </c>
    </row>
    <row r="1453" spans="2:8" x14ac:dyDescent="0.2">
      <c r="B1453" s="32">
        <v>46040</v>
      </c>
      <c r="C1453" t="s">
        <v>109</v>
      </c>
      <c r="D1453" t="s">
        <v>157</v>
      </c>
      <c r="E1453" s="13" t="s">
        <v>530</v>
      </c>
      <c r="F1453" s="12">
        <v>1</v>
      </c>
      <c r="G1453" s="12">
        <v>243697.48</v>
      </c>
      <c r="H1453" s="35">
        <v>46147.398143344908</v>
      </c>
    </row>
    <row r="1454" spans="2:8" x14ac:dyDescent="0.2">
      <c r="B1454" s="32">
        <v>46040</v>
      </c>
      <c r="C1454" t="s">
        <v>109</v>
      </c>
      <c r="D1454" t="s">
        <v>142</v>
      </c>
      <c r="E1454" s="13" t="s">
        <v>529</v>
      </c>
      <c r="F1454" s="12">
        <v>3</v>
      </c>
      <c r="G1454" s="12">
        <v>151260.5</v>
      </c>
      <c r="H1454" s="35">
        <v>46147.398143344908</v>
      </c>
    </row>
    <row r="1455" spans="2:8" x14ac:dyDescent="0.2">
      <c r="B1455" s="32">
        <v>46040</v>
      </c>
      <c r="C1455" t="s">
        <v>109</v>
      </c>
      <c r="D1455" t="s">
        <v>266</v>
      </c>
      <c r="E1455" s="13" t="s">
        <v>530</v>
      </c>
      <c r="F1455" s="12">
        <v>1</v>
      </c>
      <c r="G1455" s="12">
        <v>130252.1</v>
      </c>
      <c r="H1455" s="35">
        <v>46147.398143344908</v>
      </c>
    </row>
    <row r="1456" spans="2:8" x14ac:dyDescent="0.2">
      <c r="B1456" s="32">
        <v>46040</v>
      </c>
      <c r="C1456" t="s">
        <v>109</v>
      </c>
      <c r="D1456" t="s">
        <v>147</v>
      </c>
      <c r="E1456" s="13" t="s">
        <v>530</v>
      </c>
      <c r="F1456" s="12">
        <v>1</v>
      </c>
      <c r="G1456" s="12">
        <v>71428.58</v>
      </c>
      <c r="H1456" s="35">
        <v>46147.398143344908</v>
      </c>
    </row>
    <row r="1457" spans="2:8" x14ac:dyDescent="0.2">
      <c r="B1457" s="32">
        <v>46040</v>
      </c>
      <c r="C1457" t="s">
        <v>109</v>
      </c>
      <c r="D1457" t="s">
        <v>348</v>
      </c>
      <c r="E1457" s="13" t="s">
        <v>529</v>
      </c>
      <c r="F1457" s="12">
        <v>1</v>
      </c>
      <c r="G1457" s="12">
        <v>71428.570000000007</v>
      </c>
      <c r="H1457" s="35">
        <v>46147.398143344908</v>
      </c>
    </row>
    <row r="1458" spans="2:8" x14ac:dyDescent="0.2">
      <c r="B1458" s="32">
        <v>46040</v>
      </c>
      <c r="C1458" t="s">
        <v>109</v>
      </c>
      <c r="D1458" t="s">
        <v>145</v>
      </c>
      <c r="E1458" s="13" t="s">
        <v>530</v>
      </c>
      <c r="F1458" s="12">
        <v>1</v>
      </c>
      <c r="G1458" s="12">
        <v>71428.570000000007</v>
      </c>
      <c r="H1458" s="35">
        <v>46147.398143344908</v>
      </c>
    </row>
    <row r="1459" spans="2:8" x14ac:dyDescent="0.2">
      <c r="B1459" s="32">
        <v>46040</v>
      </c>
      <c r="C1459" t="s">
        <v>109</v>
      </c>
      <c r="D1459" t="s">
        <v>238</v>
      </c>
      <c r="E1459" s="13" t="s">
        <v>529</v>
      </c>
      <c r="F1459" s="12">
        <v>1</v>
      </c>
      <c r="G1459" s="12">
        <v>46218.49</v>
      </c>
      <c r="H1459" s="35">
        <v>46147.398143344908</v>
      </c>
    </row>
    <row r="1460" spans="2:8" x14ac:dyDescent="0.2">
      <c r="B1460" s="32">
        <v>46040</v>
      </c>
      <c r="C1460" t="s">
        <v>109</v>
      </c>
      <c r="D1460" t="s">
        <v>223</v>
      </c>
      <c r="E1460" s="13" t="s">
        <v>529</v>
      </c>
      <c r="F1460" s="12">
        <v>1</v>
      </c>
      <c r="G1460" s="12">
        <v>46218.49</v>
      </c>
      <c r="H1460" s="35">
        <v>46147.398143344908</v>
      </c>
    </row>
    <row r="1461" spans="2:8" x14ac:dyDescent="0.2">
      <c r="B1461" s="32">
        <v>46040</v>
      </c>
      <c r="C1461" t="s">
        <v>109</v>
      </c>
      <c r="D1461" t="s">
        <v>144</v>
      </c>
      <c r="E1461" s="13" t="s">
        <v>530</v>
      </c>
      <c r="F1461" s="12">
        <v>1</v>
      </c>
      <c r="G1461" s="12">
        <v>46218.49</v>
      </c>
      <c r="H1461" s="35">
        <v>46147.398143344908</v>
      </c>
    </row>
    <row r="1462" spans="2:8" x14ac:dyDescent="0.2">
      <c r="B1462" s="32">
        <v>46040</v>
      </c>
      <c r="C1462" t="s">
        <v>109</v>
      </c>
      <c r="D1462" t="s">
        <v>201</v>
      </c>
      <c r="E1462" s="13" t="s">
        <v>530</v>
      </c>
      <c r="F1462" s="12">
        <v>1</v>
      </c>
      <c r="G1462" s="12">
        <v>42016.81</v>
      </c>
      <c r="H1462" s="35">
        <v>46147.398143344908</v>
      </c>
    </row>
    <row r="1463" spans="2:8" x14ac:dyDescent="0.2">
      <c r="B1463" s="32">
        <v>46040</v>
      </c>
      <c r="C1463" t="s">
        <v>109</v>
      </c>
      <c r="D1463" t="s">
        <v>169</v>
      </c>
      <c r="E1463" s="13" t="s">
        <v>530</v>
      </c>
      <c r="F1463" s="12">
        <v>1</v>
      </c>
      <c r="G1463" s="12">
        <v>29411.759999999998</v>
      </c>
      <c r="H1463" s="35">
        <v>46147.398143344908</v>
      </c>
    </row>
    <row r="1464" spans="2:8" x14ac:dyDescent="0.2">
      <c r="B1464" s="32">
        <v>46040</v>
      </c>
      <c r="C1464" t="s">
        <v>109</v>
      </c>
      <c r="E1464" s="13" t="s">
        <v>530</v>
      </c>
      <c r="F1464" s="12">
        <v>0</v>
      </c>
      <c r="G1464" s="12">
        <v>0</v>
      </c>
      <c r="H1464" s="35">
        <v>46147.398143344908</v>
      </c>
    </row>
    <row r="1465" spans="2:8" x14ac:dyDescent="0.2">
      <c r="B1465" s="32">
        <v>46041</v>
      </c>
      <c r="C1465" t="s">
        <v>108</v>
      </c>
      <c r="D1465" t="s">
        <v>479</v>
      </c>
      <c r="E1465" s="13" t="s">
        <v>529</v>
      </c>
      <c r="F1465" s="12">
        <v>1</v>
      </c>
      <c r="G1465" s="12">
        <v>285714.28999999998</v>
      </c>
      <c r="H1465" s="35">
        <v>46147.398143344908</v>
      </c>
    </row>
    <row r="1466" spans="2:8" x14ac:dyDescent="0.2">
      <c r="B1466" s="32">
        <v>46041</v>
      </c>
      <c r="C1466" t="s">
        <v>140</v>
      </c>
      <c r="D1466" t="s">
        <v>590</v>
      </c>
      <c r="E1466" s="13" t="s">
        <v>529</v>
      </c>
      <c r="F1466" s="12">
        <v>1</v>
      </c>
      <c r="G1466" s="12">
        <v>142857.15</v>
      </c>
      <c r="H1466" s="35">
        <v>46147.398143344908</v>
      </c>
    </row>
    <row r="1467" spans="2:8" x14ac:dyDescent="0.2">
      <c r="B1467" s="32">
        <v>46041</v>
      </c>
      <c r="C1467" t="s">
        <v>140</v>
      </c>
      <c r="D1467" t="s">
        <v>548</v>
      </c>
      <c r="E1467" s="13" t="s">
        <v>529</v>
      </c>
      <c r="F1467" s="12">
        <v>1</v>
      </c>
      <c r="G1467" s="12">
        <v>142857.14000000001</v>
      </c>
      <c r="H1467" s="35">
        <v>46147.398143344908</v>
      </c>
    </row>
    <row r="1468" spans="2:8" x14ac:dyDescent="0.2">
      <c r="B1468" s="32">
        <v>46041</v>
      </c>
      <c r="C1468" t="s">
        <v>140</v>
      </c>
      <c r="D1468" t="s">
        <v>167</v>
      </c>
      <c r="E1468" s="13" t="s">
        <v>529</v>
      </c>
      <c r="F1468" s="12">
        <v>1</v>
      </c>
      <c r="G1468" s="12">
        <v>100840.34</v>
      </c>
      <c r="H1468" s="35">
        <v>46147.398143344908</v>
      </c>
    </row>
    <row r="1469" spans="2:8" x14ac:dyDescent="0.2">
      <c r="B1469" s="32">
        <v>46041</v>
      </c>
      <c r="C1469" t="s">
        <v>140</v>
      </c>
      <c r="D1469" t="s">
        <v>184</v>
      </c>
      <c r="E1469" s="13" t="s">
        <v>530</v>
      </c>
      <c r="F1469" s="12">
        <v>1</v>
      </c>
      <c r="G1469" s="12">
        <v>84033.61</v>
      </c>
      <c r="H1469" s="35">
        <v>46147.398143344908</v>
      </c>
    </row>
    <row r="1470" spans="2:8" x14ac:dyDescent="0.2">
      <c r="B1470" s="32">
        <v>46041</v>
      </c>
      <c r="C1470" t="s">
        <v>140</v>
      </c>
      <c r="D1470" t="s">
        <v>461</v>
      </c>
      <c r="E1470" s="13" t="s">
        <v>529</v>
      </c>
      <c r="F1470" s="12">
        <v>1</v>
      </c>
      <c r="G1470" s="12">
        <v>79831.929999999993</v>
      </c>
      <c r="H1470" s="35">
        <v>46147.398143344908</v>
      </c>
    </row>
    <row r="1471" spans="2:8" x14ac:dyDescent="0.2">
      <c r="B1471" s="32">
        <v>46041</v>
      </c>
      <c r="C1471" t="s">
        <v>140</v>
      </c>
      <c r="D1471" t="s">
        <v>237</v>
      </c>
      <c r="E1471" s="13" t="s">
        <v>529</v>
      </c>
      <c r="F1471" s="12">
        <v>1</v>
      </c>
      <c r="G1471" s="12">
        <v>46218.49</v>
      </c>
      <c r="H1471" s="35">
        <v>46147.398143344908</v>
      </c>
    </row>
    <row r="1472" spans="2:8" x14ac:dyDescent="0.2">
      <c r="B1472" s="32">
        <v>46041</v>
      </c>
      <c r="C1472" t="s">
        <v>140</v>
      </c>
      <c r="E1472" s="13" t="s">
        <v>529</v>
      </c>
      <c r="F1472" s="12">
        <v>0</v>
      </c>
      <c r="G1472" s="12">
        <v>0</v>
      </c>
      <c r="H1472" s="35">
        <v>46147.398143344908</v>
      </c>
    </row>
    <row r="1473" spans="2:8" x14ac:dyDescent="0.2">
      <c r="B1473" s="32">
        <v>46041</v>
      </c>
      <c r="C1473" t="s">
        <v>140</v>
      </c>
      <c r="E1473" s="13" t="s">
        <v>530</v>
      </c>
      <c r="F1473" s="12">
        <v>0</v>
      </c>
      <c r="G1473" s="12">
        <v>0</v>
      </c>
      <c r="H1473" s="35">
        <v>46147.398143344908</v>
      </c>
    </row>
    <row r="1474" spans="2:8" x14ac:dyDescent="0.2">
      <c r="B1474" s="32">
        <v>46041</v>
      </c>
      <c r="C1474" t="s">
        <v>109</v>
      </c>
      <c r="D1474" t="s">
        <v>185</v>
      </c>
      <c r="E1474" s="13" t="s">
        <v>530</v>
      </c>
      <c r="F1474" s="12">
        <v>2</v>
      </c>
      <c r="G1474" s="12">
        <v>190000</v>
      </c>
      <c r="H1474" s="35">
        <v>46147.398143344908</v>
      </c>
    </row>
    <row r="1475" spans="2:8" x14ac:dyDescent="0.2">
      <c r="B1475" s="32">
        <v>46041</v>
      </c>
      <c r="C1475" t="s">
        <v>109</v>
      </c>
      <c r="D1475" t="s">
        <v>150</v>
      </c>
      <c r="E1475" s="13" t="s">
        <v>530</v>
      </c>
      <c r="F1475" s="12">
        <v>2</v>
      </c>
      <c r="G1475" s="12">
        <v>151260.5</v>
      </c>
      <c r="H1475" s="35">
        <v>46147.398143344908</v>
      </c>
    </row>
    <row r="1476" spans="2:8" x14ac:dyDescent="0.2">
      <c r="B1476" s="32">
        <v>46041</v>
      </c>
      <c r="C1476" t="s">
        <v>109</v>
      </c>
      <c r="D1476" t="s">
        <v>333</v>
      </c>
      <c r="E1476" s="13"/>
      <c r="F1476" s="12">
        <v>2</v>
      </c>
      <c r="G1476" s="12">
        <v>142857.14000000001</v>
      </c>
      <c r="H1476" s="35">
        <v>46147.398143344908</v>
      </c>
    </row>
    <row r="1477" spans="2:8" x14ac:dyDescent="0.2">
      <c r="B1477" s="32">
        <v>46041</v>
      </c>
      <c r="C1477" t="s">
        <v>109</v>
      </c>
      <c r="D1477" t="s">
        <v>356</v>
      </c>
      <c r="E1477" s="13" t="s">
        <v>529</v>
      </c>
      <c r="F1477" s="12">
        <v>1</v>
      </c>
      <c r="G1477" s="12">
        <v>100840.34</v>
      </c>
      <c r="H1477" s="35">
        <v>46147.398143344908</v>
      </c>
    </row>
    <row r="1478" spans="2:8" x14ac:dyDescent="0.2">
      <c r="B1478" s="32">
        <v>46041</v>
      </c>
      <c r="C1478" t="s">
        <v>109</v>
      </c>
      <c r="D1478" t="s">
        <v>248</v>
      </c>
      <c r="E1478" s="13" t="s">
        <v>529</v>
      </c>
      <c r="F1478" s="12">
        <v>1</v>
      </c>
      <c r="G1478" s="12">
        <v>100840.34</v>
      </c>
      <c r="H1478" s="35">
        <v>46147.398143344908</v>
      </c>
    </row>
    <row r="1479" spans="2:8" x14ac:dyDescent="0.2">
      <c r="B1479" s="32">
        <v>46041</v>
      </c>
      <c r="C1479" t="s">
        <v>109</v>
      </c>
      <c r="D1479" t="s">
        <v>302</v>
      </c>
      <c r="E1479" s="13" t="s">
        <v>529</v>
      </c>
      <c r="F1479" s="12">
        <v>1</v>
      </c>
      <c r="G1479" s="12">
        <v>100840.34</v>
      </c>
      <c r="H1479" s="35">
        <v>46147.398143344908</v>
      </c>
    </row>
    <row r="1480" spans="2:8" x14ac:dyDescent="0.2">
      <c r="B1480" s="32">
        <v>46041</v>
      </c>
      <c r="C1480" t="s">
        <v>109</v>
      </c>
      <c r="D1480" t="s">
        <v>394</v>
      </c>
      <c r="E1480" s="13" t="s">
        <v>529</v>
      </c>
      <c r="F1480" s="12">
        <v>1</v>
      </c>
      <c r="G1480" s="12">
        <v>100840.33</v>
      </c>
      <c r="H1480" s="35">
        <v>46147.398143344908</v>
      </c>
    </row>
    <row r="1481" spans="2:8" x14ac:dyDescent="0.2">
      <c r="B1481" s="32">
        <v>46041</v>
      </c>
      <c r="C1481" t="s">
        <v>109</v>
      </c>
      <c r="D1481" t="s">
        <v>311</v>
      </c>
      <c r="E1481" s="13" t="s">
        <v>529</v>
      </c>
      <c r="F1481" s="12">
        <v>1</v>
      </c>
      <c r="G1481" s="12">
        <v>100840.33</v>
      </c>
      <c r="H1481" s="35">
        <v>46147.398143344908</v>
      </c>
    </row>
    <row r="1482" spans="2:8" x14ac:dyDescent="0.2">
      <c r="B1482" s="32">
        <v>46041</v>
      </c>
      <c r="C1482" t="s">
        <v>109</v>
      </c>
      <c r="D1482" t="s">
        <v>171</v>
      </c>
      <c r="E1482" s="13" t="s">
        <v>530</v>
      </c>
      <c r="F1482" s="12">
        <v>2</v>
      </c>
      <c r="G1482" s="12">
        <v>75630.259999999995</v>
      </c>
      <c r="H1482" s="35">
        <v>46147.398143344908</v>
      </c>
    </row>
    <row r="1483" spans="2:8" x14ac:dyDescent="0.2">
      <c r="B1483" s="32">
        <v>46041</v>
      </c>
      <c r="C1483" t="s">
        <v>109</v>
      </c>
      <c r="D1483" t="s">
        <v>145</v>
      </c>
      <c r="E1483" s="13" t="s">
        <v>529</v>
      </c>
      <c r="F1483" s="12">
        <v>1</v>
      </c>
      <c r="G1483" s="12">
        <v>71428.570000000007</v>
      </c>
      <c r="H1483" s="35">
        <v>46147.398143344908</v>
      </c>
    </row>
    <row r="1484" spans="2:8" x14ac:dyDescent="0.2">
      <c r="B1484" s="32">
        <v>46041</v>
      </c>
      <c r="C1484" t="s">
        <v>109</v>
      </c>
      <c r="D1484" t="s">
        <v>190</v>
      </c>
      <c r="E1484" s="13" t="s">
        <v>530</v>
      </c>
      <c r="F1484" s="12">
        <v>1</v>
      </c>
      <c r="G1484" s="12">
        <v>71428.570000000007</v>
      </c>
      <c r="H1484" s="35">
        <v>46147.398143344908</v>
      </c>
    </row>
    <row r="1485" spans="2:8" x14ac:dyDescent="0.2">
      <c r="B1485" s="32">
        <v>46041</v>
      </c>
      <c r="C1485" t="s">
        <v>109</v>
      </c>
      <c r="D1485" t="s">
        <v>211</v>
      </c>
      <c r="E1485" s="13" t="s">
        <v>530</v>
      </c>
      <c r="F1485" s="12">
        <v>1</v>
      </c>
      <c r="G1485" s="12">
        <v>58823.53</v>
      </c>
      <c r="H1485" s="35">
        <v>46147.398143344908</v>
      </c>
    </row>
    <row r="1486" spans="2:8" x14ac:dyDescent="0.2">
      <c r="B1486" s="32">
        <v>46041</v>
      </c>
      <c r="C1486" t="s">
        <v>109</v>
      </c>
      <c r="D1486" t="s">
        <v>538</v>
      </c>
      <c r="E1486" s="13" t="s">
        <v>529</v>
      </c>
      <c r="F1486" s="12">
        <v>1</v>
      </c>
      <c r="G1486" s="12">
        <v>55000</v>
      </c>
      <c r="H1486" s="35">
        <v>46147.398143344908</v>
      </c>
    </row>
    <row r="1487" spans="2:8" x14ac:dyDescent="0.2">
      <c r="B1487" s="32">
        <v>46041</v>
      </c>
      <c r="C1487" t="s">
        <v>109</v>
      </c>
      <c r="D1487" t="s">
        <v>396</v>
      </c>
      <c r="E1487" s="13" t="s">
        <v>529</v>
      </c>
      <c r="F1487" s="12">
        <v>1</v>
      </c>
      <c r="G1487" s="12">
        <v>54621.85</v>
      </c>
      <c r="H1487" s="35">
        <v>46147.398143344908</v>
      </c>
    </row>
    <row r="1488" spans="2:8" x14ac:dyDescent="0.2">
      <c r="B1488" s="32">
        <v>46041</v>
      </c>
      <c r="C1488" t="s">
        <v>109</v>
      </c>
      <c r="D1488" t="s">
        <v>148</v>
      </c>
      <c r="E1488" s="13" t="s">
        <v>530</v>
      </c>
      <c r="F1488" s="12">
        <v>1</v>
      </c>
      <c r="G1488" s="12">
        <v>46218.49</v>
      </c>
      <c r="H1488" s="35">
        <v>46147.398143344908</v>
      </c>
    </row>
    <row r="1489" spans="2:8" x14ac:dyDescent="0.2">
      <c r="B1489" s="32">
        <v>46041</v>
      </c>
      <c r="C1489" t="s">
        <v>109</v>
      </c>
      <c r="D1489" t="s">
        <v>156</v>
      </c>
      <c r="E1489" s="13" t="s">
        <v>530</v>
      </c>
      <c r="F1489" s="12">
        <v>1</v>
      </c>
      <c r="G1489" s="12">
        <v>46218.49</v>
      </c>
      <c r="H1489" s="35">
        <v>46147.398143344908</v>
      </c>
    </row>
    <row r="1490" spans="2:8" x14ac:dyDescent="0.2">
      <c r="B1490" s="32">
        <v>46041</v>
      </c>
      <c r="C1490" t="s">
        <v>109</v>
      </c>
      <c r="D1490" t="s">
        <v>166</v>
      </c>
      <c r="E1490" s="13" t="s">
        <v>529</v>
      </c>
      <c r="F1490" s="12">
        <v>1</v>
      </c>
      <c r="G1490" s="12">
        <v>46218.49</v>
      </c>
      <c r="H1490" s="35">
        <v>46147.398143344908</v>
      </c>
    </row>
    <row r="1491" spans="2:8" x14ac:dyDescent="0.2">
      <c r="B1491" s="32">
        <v>46041</v>
      </c>
      <c r="C1491" t="s">
        <v>109</v>
      </c>
      <c r="D1491" t="s">
        <v>154</v>
      </c>
      <c r="E1491" s="13" t="s">
        <v>529</v>
      </c>
      <c r="F1491" s="12">
        <v>1</v>
      </c>
      <c r="G1491" s="12">
        <v>42016.81</v>
      </c>
      <c r="H1491" s="35">
        <v>46147.398143344908</v>
      </c>
    </row>
    <row r="1492" spans="2:8" x14ac:dyDescent="0.2">
      <c r="B1492" s="32">
        <v>46041</v>
      </c>
      <c r="C1492" t="s">
        <v>109</v>
      </c>
      <c r="D1492" t="s">
        <v>142</v>
      </c>
      <c r="E1492" s="13" t="s">
        <v>529</v>
      </c>
      <c r="F1492" s="12">
        <v>2</v>
      </c>
      <c r="G1492" s="12">
        <v>38655.46</v>
      </c>
      <c r="H1492" s="35">
        <v>46147.398143344908</v>
      </c>
    </row>
    <row r="1493" spans="2:8" x14ac:dyDescent="0.2">
      <c r="B1493" s="32">
        <v>46041</v>
      </c>
      <c r="C1493" t="s">
        <v>109</v>
      </c>
      <c r="D1493" t="s">
        <v>202</v>
      </c>
      <c r="E1493" s="13" t="s">
        <v>530</v>
      </c>
      <c r="F1493" s="12">
        <v>1</v>
      </c>
      <c r="G1493" s="12">
        <v>37815.129999999997</v>
      </c>
      <c r="H1493" s="35">
        <v>46147.398143344908</v>
      </c>
    </row>
    <row r="1494" spans="2:8" x14ac:dyDescent="0.2">
      <c r="B1494" s="32">
        <v>46041</v>
      </c>
      <c r="C1494" t="s">
        <v>109</v>
      </c>
      <c r="D1494" t="s">
        <v>320</v>
      </c>
      <c r="E1494" s="13" t="s">
        <v>530</v>
      </c>
      <c r="F1494" s="12">
        <v>1</v>
      </c>
      <c r="G1494" s="12">
        <v>33000</v>
      </c>
      <c r="H1494" s="35">
        <v>46147.398143344908</v>
      </c>
    </row>
    <row r="1495" spans="2:8" x14ac:dyDescent="0.2">
      <c r="B1495" s="32">
        <v>46041</v>
      </c>
      <c r="C1495" t="s">
        <v>109</v>
      </c>
      <c r="D1495" t="s">
        <v>180</v>
      </c>
      <c r="E1495" s="13" t="s">
        <v>530</v>
      </c>
      <c r="F1495" s="12">
        <v>1</v>
      </c>
      <c r="G1495" s="12">
        <v>29411.759999999998</v>
      </c>
      <c r="H1495" s="35">
        <v>46147.398143344908</v>
      </c>
    </row>
    <row r="1496" spans="2:8" x14ac:dyDescent="0.2">
      <c r="B1496" s="32">
        <v>46041</v>
      </c>
      <c r="C1496" t="s">
        <v>109</v>
      </c>
      <c r="D1496" t="s">
        <v>142</v>
      </c>
      <c r="E1496" s="13"/>
      <c r="F1496" s="12">
        <v>1</v>
      </c>
      <c r="G1496" s="12">
        <v>13865.55</v>
      </c>
      <c r="H1496" s="35">
        <v>46147.398143344908</v>
      </c>
    </row>
    <row r="1497" spans="2:8" x14ac:dyDescent="0.2">
      <c r="B1497" s="32">
        <v>46042</v>
      </c>
      <c r="C1497" t="s">
        <v>140</v>
      </c>
      <c r="D1497" t="s">
        <v>141</v>
      </c>
      <c r="E1497" s="13" t="s">
        <v>530</v>
      </c>
      <c r="F1497" s="12">
        <v>1</v>
      </c>
      <c r="G1497" s="12">
        <v>252100.84</v>
      </c>
      <c r="H1497" s="35">
        <v>46147.398143344908</v>
      </c>
    </row>
    <row r="1498" spans="2:8" x14ac:dyDescent="0.2">
      <c r="B1498" s="32">
        <v>46042</v>
      </c>
      <c r="C1498" t="s">
        <v>140</v>
      </c>
      <c r="D1498" t="s">
        <v>229</v>
      </c>
      <c r="E1498" s="13" t="s">
        <v>530</v>
      </c>
      <c r="F1498" s="12">
        <v>1</v>
      </c>
      <c r="G1498" s="12">
        <v>252100.84</v>
      </c>
      <c r="H1498" s="35">
        <v>46147.398143344908</v>
      </c>
    </row>
    <row r="1499" spans="2:8" x14ac:dyDescent="0.2">
      <c r="B1499" s="32">
        <v>46042</v>
      </c>
      <c r="C1499" t="s">
        <v>140</v>
      </c>
      <c r="D1499" t="s">
        <v>306</v>
      </c>
      <c r="E1499" s="13" t="s">
        <v>529</v>
      </c>
      <c r="F1499" s="12">
        <v>1</v>
      </c>
      <c r="G1499" s="12">
        <v>100840.34</v>
      </c>
      <c r="H1499" s="35">
        <v>46147.398143344908</v>
      </c>
    </row>
    <row r="1500" spans="2:8" x14ac:dyDescent="0.2">
      <c r="B1500" s="32">
        <v>46042</v>
      </c>
      <c r="C1500" t="s">
        <v>140</v>
      </c>
      <c r="D1500" t="s">
        <v>255</v>
      </c>
      <c r="E1500" s="13" t="s">
        <v>530</v>
      </c>
      <c r="F1500" s="12">
        <v>1</v>
      </c>
      <c r="G1500" s="12">
        <v>58823.53</v>
      </c>
      <c r="H1500" s="35">
        <v>46147.398143344908</v>
      </c>
    </row>
    <row r="1501" spans="2:8" x14ac:dyDescent="0.2">
      <c r="B1501" s="32">
        <v>46042</v>
      </c>
      <c r="C1501" t="s">
        <v>140</v>
      </c>
      <c r="D1501" t="s">
        <v>231</v>
      </c>
      <c r="E1501" s="13" t="s">
        <v>530</v>
      </c>
      <c r="F1501" s="12">
        <v>1</v>
      </c>
      <c r="G1501" s="12">
        <v>58823.53</v>
      </c>
      <c r="H1501" s="35">
        <v>46147.398143344908</v>
      </c>
    </row>
    <row r="1502" spans="2:8" x14ac:dyDescent="0.2">
      <c r="B1502" s="32">
        <v>46042</v>
      </c>
      <c r="C1502" t="s">
        <v>140</v>
      </c>
      <c r="D1502" t="s">
        <v>377</v>
      </c>
      <c r="E1502" s="13" t="s">
        <v>529</v>
      </c>
      <c r="F1502" s="12">
        <v>1</v>
      </c>
      <c r="G1502" s="12">
        <v>46218.49</v>
      </c>
      <c r="H1502" s="35">
        <v>46147.398143344908</v>
      </c>
    </row>
    <row r="1503" spans="2:8" x14ac:dyDescent="0.2">
      <c r="B1503" s="32">
        <v>46042</v>
      </c>
      <c r="C1503" t="s">
        <v>140</v>
      </c>
      <c r="D1503" t="s">
        <v>470</v>
      </c>
      <c r="E1503" s="13" t="s">
        <v>529</v>
      </c>
      <c r="F1503" s="12">
        <v>1</v>
      </c>
      <c r="G1503" s="12">
        <v>46218.48</v>
      </c>
      <c r="H1503" s="35">
        <v>46147.398143344908</v>
      </c>
    </row>
    <row r="1504" spans="2:8" x14ac:dyDescent="0.2">
      <c r="B1504" s="32">
        <v>46042</v>
      </c>
      <c r="C1504" t="s">
        <v>140</v>
      </c>
      <c r="D1504" t="s">
        <v>227</v>
      </c>
      <c r="E1504" s="13" t="s">
        <v>530</v>
      </c>
      <c r="F1504" s="12">
        <v>1</v>
      </c>
      <c r="G1504" s="12">
        <v>42016.81</v>
      </c>
      <c r="H1504" s="35">
        <v>46147.398143344908</v>
      </c>
    </row>
    <row r="1505" spans="2:8" x14ac:dyDescent="0.2">
      <c r="B1505" s="32">
        <v>46042</v>
      </c>
      <c r="C1505" t="s">
        <v>140</v>
      </c>
      <c r="E1505" s="13" t="s">
        <v>529</v>
      </c>
      <c r="F1505" s="12">
        <v>0</v>
      </c>
      <c r="G1505" s="12">
        <v>0</v>
      </c>
      <c r="H1505" s="35">
        <v>46147.398143344908</v>
      </c>
    </row>
    <row r="1506" spans="2:8" x14ac:dyDescent="0.2">
      <c r="B1506" s="32">
        <v>46042</v>
      </c>
      <c r="C1506" t="s">
        <v>140</v>
      </c>
      <c r="E1506" s="13" t="s">
        <v>530</v>
      </c>
      <c r="F1506" s="12">
        <v>0</v>
      </c>
      <c r="G1506" s="12">
        <v>0</v>
      </c>
      <c r="H1506" s="35">
        <v>46147.398143344908</v>
      </c>
    </row>
    <row r="1507" spans="2:8" x14ac:dyDescent="0.2">
      <c r="B1507" s="32">
        <v>46042</v>
      </c>
      <c r="C1507" t="s">
        <v>109</v>
      </c>
      <c r="D1507" t="s">
        <v>203</v>
      </c>
      <c r="E1507" s="13" t="s">
        <v>530</v>
      </c>
      <c r="F1507" s="12">
        <v>2</v>
      </c>
      <c r="G1507" s="12">
        <v>117647.06</v>
      </c>
      <c r="H1507" s="35">
        <v>46147.398143344908</v>
      </c>
    </row>
    <row r="1508" spans="2:8" x14ac:dyDescent="0.2">
      <c r="B1508" s="32">
        <v>46042</v>
      </c>
      <c r="C1508" t="s">
        <v>109</v>
      </c>
      <c r="D1508" t="s">
        <v>143</v>
      </c>
      <c r="E1508" s="13" t="s">
        <v>530</v>
      </c>
      <c r="F1508" s="12">
        <v>3</v>
      </c>
      <c r="G1508" s="12">
        <v>88235.29</v>
      </c>
      <c r="H1508" s="35">
        <v>46147.398143344908</v>
      </c>
    </row>
    <row r="1509" spans="2:8" x14ac:dyDescent="0.2">
      <c r="B1509" s="32">
        <v>46042</v>
      </c>
      <c r="C1509" t="s">
        <v>109</v>
      </c>
      <c r="D1509" t="s">
        <v>218</v>
      </c>
      <c r="E1509" s="13" t="s">
        <v>530</v>
      </c>
      <c r="F1509" s="12">
        <v>1</v>
      </c>
      <c r="G1509" s="12">
        <v>84033.61</v>
      </c>
      <c r="H1509" s="35">
        <v>46147.398143344908</v>
      </c>
    </row>
    <row r="1510" spans="2:8" x14ac:dyDescent="0.2">
      <c r="B1510" s="32">
        <v>46042</v>
      </c>
      <c r="C1510" t="s">
        <v>109</v>
      </c>
      <c r="D1510" t="s">
        <v>146</v>
      </c>
      <c r="E1510" s="13" t="s">
        <v>530</v>
      </c>
      <c r="F1510" s="12">
        <v>2</v>
      </c>
      <c r="G1510" s="12">
        <v>75630.259999999995</v>
      </c>
      <c r="H1510" s="35">
        <v>46147.398143344908</v>
      </c>
    </row>
    <row r="1511" spans="2:8" x14ac:dyDescent="0.2">
      <c r="B1511" s="32">
        <v>46042</v>
      </c>
      <c r="C1511" t="s">
        <v>109</v>
      </c>
      <c r="D1511" t="s">
        <v>239</v>
      </c>
      <c r="E1511" s="13" t="s">
        <v>529</v>
      </c>
      <c r="F1511" s="12">
        <v>1</v>
      </c>
      <c r="G1511" s="12">
        <v>46218.49</v>
      </c>
      <c r="H1511" s="35">
        <v>46147.398143344908</v>
      </c>
    </row>
    <row r="1512" spans="2:8" x14ac:dyDescent="0.2">
      <c r="B1512" s="32">
        <v>46042</v>
      </c>
      <c r="C1512" t="s">
        <v>109</v>
      </c>
      <c r="D1512" t="s">
        <v>151</v>
      </c>
      <c r="E1512" s="13" t="s">
        <v>530</v>
      </c>
      <c r="F1512" s="12">
        <v>1</v>
      </c>
      <c r="G1512" s="12">
        <v>46218.49</v>
      </c>
      <c r="H1512" s="35">
        <v>46147.398143344908</v>
      </c>
    </row>
    <row r="1513" spans="2:8" x14ac:dyDescent="0.2">
      <c r="B1513" s="32">
        <v>46042</v>
      </c>
      <c r="C1513" t="s">
        <v>109</v>
      </c>
      <c r="D1513" t="s">
        <v>142</v>
      </c>
      <c r="E1513" s="13" t="s">
        <v>530</v>
      </c>
      <c r="F1513" s="12">
        <v>4</v>
      </c>
      <c r="G1513" s="12">
        <v>40336.129999999997</v>
      </c>
      <c r="H1513" s="35">
        <v>46147.398143344908</v>
      </c>
    </row>
    <row r="1514" spans="2:8" x14ac:dyDescent="0.2">
      <c r="B1514" s="32">
        <v>46043</v>
      </c>
      <c r="C1514" t="s">
        <v>140</v>
      </c>
      <c r="D1514" t="s">
        <v>532</v>
      </c>
      <c r="E1514" s="13" t="s">
        <v>529</v>
      </c>
      <c r="F1514" s="12">
        <v>8</v>
      </c>
      <c r="G1514" s="12">
        <v>369747.9</v>
      </c>
      <c r="H1514" s="35">
        <v>46147.398143344908</v>
      </c>
    </row>
    <row r="1515" spans="2:8" x14ac:dyDescent="0.2">
      <c r="B1515" s="32">
        <v>46043</v>
      </c>
      <c r="C1515" t="s">
        <v>140</v>
      </c>
      <c r="D1515" t="s">
        <v>586</v>
      </c>
      <c r="E1515" s="13" t="s">
        <v>529</v>
      </c>
      <c r="F1515" s="12">
        <v>1</v>
      </c>
      <c r="G1515" s="12">
        <v>294117.65000000002</v>
      </c>
      <c r="H1515" s="35">
        <v>46147.398143344908</v>
      </c>
    </row>
    <row r="1516" spans="2:8" x14ac:dyDescent="0.2">
      <c r="B1516" s="32">
        <v>46043</v>
      </c>
      <c r="C1516" t="s">
        <v>140</v>
      </c>
      <c r="D1516" t="s">
        <v>551</v>
      </c>
      <c r="E1516" s="13" t="s">
        <v>529</v>
      </c>
      <c r="F1516" s="12">
        <v>1</v>
      </c>
      <c r="G1516" s="12">
        <v>117647.06</v>
      </c>
      <c r="H1516" s="35">
        <v>46147.398143344908</v>
      </c>
    </row>
    <row r="1517" spans="2:8" x14ac:dyDescent="0.2">
      <c r="B1517" s="32">
        <v>46043</v>
      </c>
      <c r="C1517" t="s">
        <v>140</v>
      </c>
      <c r="D1517" t="s">
        <v>278</v>
      </c>
      <c r="E1517" s="13" t="s">
        <v>529</v>
      </c>
      <c r="F1517" s="12">
        <v>1</v>
      </c>
      <c r="G1517" s="12">
        <v>100840.34</v>
      </c>
      <c r="H1517" s="35">
        <v>46147.398143344908</v>
      </c>
    </row>
    <row r="1518" spans="2:8" x14ac:dyDescent="0.2">
      <c r="B1518" s="32">
        <v>46043</v>
      </c>
      <c r="C1518" t="s">
        <v>140</v>
      </c>
      <c r="D1518" t="s">
        <v>573</v>
      </c>
      <c r="E1518" s="13" t="s">
        <v>529</v>
      </c>
      <c r="F1518" s="12">
        <v>1</v>
      </c>
      <c r="G1518" s="12">
        <v>58823.53</v>
      </c>
      <c r="H1518" s="35">
        <v>46147.398143344908</v>
      </c>
    </row>
    <row r="1519" spans="2:8" x14ac:dyDescent="0.2">
      <c r="B1519" s="32">
        <v>46043</v>
      </c>
      <c r="C1519" t="s">
        <v>140</v>
      </c>
      <c r="D1519" t="s">
        <v>560</v>
      </c>
      <c r="E1519" s="13" t="s">
        <v>529</v>
      </c>
      <c r="F1519" s="12">
        <v>1</v>
      </c>
      <c r="G1519" s="12">
        <v>58823.53</v>
      </c>
      <c r="H1519" s="35">
        <v>46147.398143344908</v>
      </c>
    </row>
    <row r="1520" spans="2:8" x14ac:dyDescent="0.2">
      <c r="B1520" s="32">
        <v>46043</v>
      </c>
      <c r="C1520" t="s">
        <v>140</v>
      </c>
      <c r="D1520" t="s">
        <v>363</v>
      </c>
      <c r="E1520" s="13" t="s">
        <v>529</v>
      </c>
      <c r="F1520" s="12">
        <v>1</v>
      </c>
      <c r="G1520" s="12">
        <v>58823.519999999997</v>
      </c>
      <c r="H1520" s="35">
        <v>46147.398143344908</v>
      </c>
    </row>
    <row r="1521" spans="2:8" x14ac:dyDescent="0.2">
      <c r="B1521" s="32">
        <v>46043</v>
      </c>
      <c r="C1521" t="s">
        <v>140</v>
      </c>
      <c r="D1521" t="s">
        <v>534</v>
      </c>
      <c r="E1521" s="13" t="s">
        <v>529</v>
      </c>
      <c r="F1521" s="12">
        <v>1</v>
      </c>
      <c r="G1521" s="12">
        <v>54621.85</v>
      </c>
      <c r="H1521" s="35">
        <v>46147.398143344908</v>
      </c>
    </row>
    <row r="1522" spans="2:8" x14ac:dyDescent="0.2">
      <c r="B1522" s="32">
        <v>46043</v>
      </c>
      <c r="C1522" t="s">
        <v>140</v>
      </c>
      <c r="D1522" t="s">
        <v>294</v>
      </c>
      <c r="E1522" s="13" t="s">
        <v>530</v>
      </c>
      <c r="F1522" s="12">
        <v>1</v>
      </c>
      <c r="G1522" s="12">
        <v>46218.49</v>
      </c>
      <c r="H1522" s="35">
        <v>46147.398143344908</v>
      </c>
    </row>
    <row r="1523" spans="2:8" x14ac:dyDescent="0.2">
      <c r="B1523" s="32">
        <v>46043</v>
      </c>
      <c r="C1523" t="s">
        <v>140</v>
      </c>
      <c r="D1523" t="s">
        <v>254</v>
      </c>
      <c r="E1523" s="13" t="s">
        <v>530</v>
      </c>
      <c r="F1523" s="12">
        <v>1</v>
      </c>
      <c r="G1523" s="12">
        <v>46218.49</v>
      </c>
      <c r="H1523" s="35">
        <v>46147.398143344908</v>
      </c>
    </row>
    <row r="1524" spans="2:8" x14ac:dyDescent="0.2">
      <c r="B1524" s="32">
        <v>46043</v>
      </c>
      <c r="C1524" t="s">
        <v>140</v>
      </c>
      <c r="D1524" t="s">
        <v>289</v>
      </c>
      <c r="E1524" s="13" t="s">
        <v>530</v>
      </c>
      <c r="F1524" s="12">
        <v>1</v>
      </c>
      <c r="G1524" s="12">
        <v>46218.49</v>
      </c>
      <c r="H1524" s="35">
        <v>46147.398143344908</v>
      </c>
    </row>
    <row r="1525" spans="2:8" x14ac:dyDescent="0.2">
      <c r="B1525" s="32">
        <v>46043</v>
      </c>
      <c r="C1525" t="s">
        <v>140</v>
      </c>
      <c r="D1525" t="s">
        <v>263</v>
      </c>
      <c r="E1525" s="13" t="s">
        <v>530</v>
      </c>
      <c r="F1525" s="12">
        <v>1</v>
      </c>
      <c r="G1525" s="12">
        <v>46218.48</v>
      </c>
      <c r="H1525" s="35">
        <v>46147.398143344908</v>
      </c>
    </row>
    <row r="1526" spans="2:8" x14ac:dyDescent="0.2">
      <c r="B1526" s="32">
        <v>46043</v>
      </c>
      <c r="C1526" t="s">
        <v>140</v>
      </c>
      <c r="D1526" t="s">
        <v>232</v>
      </c>
      <c r="E1526" s="13" t="s">
        <v>529</v>
      </c>
      <c r="F1526" s="12">
        <v>1</v>
      </c>
      <c r="G1526" s="12">
        <v>37815.129999999997</v>
      </c>
      <c r="H1526" s="35">
        <v>46147.398143344908</v>
      </c>
    </row>
    <row r="1527" spans="2:8" x14ac:dyDescent="0.2">
      <c r="B1527" s="32">
        <v>46043</v>
      </c>
      <c r="C1527" t="s">
        <v>140</v>
      </c>
      <c r="D1527" t="s">
        <v>326</v>
      </c>
      <c r="E1527" s="13" t="s">
        <v>529</v>
      </c>
      <c r="F1527" s="12">
        <v>1</v>
      </c>
      <c r="G1527" s="12">
        <v>37815.129999999997</v>
      </c>
      <c r="H1527" s="35">
        <v>46147.398143344908</v>
      </c>
    </row>
    <row r="1528" spans="2:8" x14ac:dyDescent="0.2">
      <c r="B1528" s="32">
        <v>46043</v>
      </c>
      <c r="C1528" t="s">
        <v>140</v>
      </c>
      <c r="E1528" s="13" t="s">
        <v>530</v>
      </c>
      <c r="F1528" s="12">
        <v>0</v>
      </c>
      <c r="G1528" s="12">
        <v>0</v>
      </c>
      <c r="H1528" s="35">
        <v>46147.398143344908</v>
      </c>
    </row>
    <row r="1529" spans="2:8" x14ac:dyDescent="0.2">
      <c r="B1529" s="32">
        <v>46043</v>
      </c>
      <c r="C1529" t="s">
        <v>140</v>
      </c>
      <c r="E1529" s="13" t="s">
        <v>529</v>
      </c>
      <c r="F1529" s="12">
        <v>0</v>
      </c>
      <c r="G1529" s="12">
        <v>0</v>
      </c>
      <c r="H1529" s="35">
        <v>46147.398143344908</v>
      </c>
    </row>
    <row r="1530" spans="2:8" x14ac:dyDescent="0.2">
      <c r="B1530" s="32">
        <v>46043</v>
      </c>
      <c r="C1530" t="s">
        <v>109</v>
      </c>
      <c r="D1530" t="s">
        <v>243</v>
      </c>
      <c r="E1530" s="13" t="s">
        <v>529</v>
      </c>
      <c r="F1530" s="12">
        <v>2</v>
      </c>
      <c r="G1530" s="12">
        <v>252100.84</v>
      </c>
      <c r="H1530" s="35">
        <v>46147.398143344908</v>
      </c>
    </row>
    <row r="1531" spans="2:8" x14ac:dyDescent="0.2">
      <c r="B1531" s="32">
        <v>46043</v>
      </c>
      <c r="C1531" t="s">
        <v>109</v>
      </c>
      <c r="D1531" t="s">
        <v>157</v>
      </c>
      <c r="E1531" s="13" t="s">
        <v>530</v>
      </c>
      <c r="F1531" s="12">
        <v>1</v>
      </c>
      <c r="G1531" s="12">
        <v>243697.48</v>
      </c>
      <c r="H1531" s="35">
        <v>46147.398143344908</v>
      </c>
    </row>
    <row r="1532" spans="2:8" x14ac:dyDescent="0.2">
      <c r="B1532" s="32">
        <v>46043</v>
      </c>
      <c r="C1532" t="s">
        <v>109</v>
      </c>
      <c r="D1532" t="s">
        <v>316</v>
      </c>
      <c r="E1532" s="13" t="s">
        <v>529</v>
      </c>
      <c r="F1532" s="12">
        <v>2</v>
      </c>
      <c r="G1532" s="12">
        <v>235294.12</v>
      </c>
      <c r="H1532" s="35">
        <v>46147.398143344908</v>
      </c>
    </row>
    <row r="1533" spans="2:8" x14ac:dyDescent="0.2">
      <c r="B1533" s="32">
        <v>46043</v>
      </c>
      <c r="C1533" t="s">
        <v>109</v>
      </c>
      <c r="D1533" t="s">
        <v>142</v>
      </c>
      <c r="E1533" s="13" t="s">
        <v>530</v>
      </c>
      <c r="F1533" s="12">
        <v>5</v>
      </c>
      <c r="G1533" s="12">
        <v>172689.07</v>
      </c>
      <c r="H1533" s="35">
        <v>46147.398143344908</v>
      </c>
    </row>
    <row r="1534" spans="2:8" x14ac:dyDescent="0.2">
      <c r="B1534" s="32">
        <v>46043</v>
      </c>
      <c r="C1534" t="s">
        <v>109</v>
      </c>
      <c r="D1534" t="s">
        <v>155</v>
      </c>
      <c r="E1534" s="13" t="s">
        <v>529</v>
      </c>
      <c r="F1534" s="12">
        <v>2</v>
      </c>
      <c r="G1534" s="12">
        <v>168067.23</v>
      </c>
      <c r="H1534" s="35">
        <v>46147.398143344908</v>
      </c>
    </row>
    <row r="1535" spans="2:8" x14ac:dyDescent="0.2">
      <c r="B1535" s="32">
        <v>46043</v>
      </c>
      <c r="C1535" t="s">
        <v>109</v>
      </c>
      <c r="D1535" t="s">
        <v>224</v>
      </c>
      <c r="E1535" s="13" t="s">
        <v>530</v>
      </c>
      <c r="F1535" s="12">
        <v>1</v>
      </c>
      <c r="G1535" s="12">
        <v>117647.06</v>
      </c>
      <c r="H1535" s="35">
        <v>46147.398143344908</v>
      </c>
    </row>
    <row r="1536" spans="2:8" x14ac:dyDescent="0.2">
      <c r="B1536" s="32">
        <v>46043</v>
      </c>
      <c r="C1536" t="s">
        <v>109</v>
      </c>
      <c r="D1536" t="s">
        <v>177</v>
      </c>
      <c r="E1536" s="13" t="s">
        <v>529</v>
      </c>
      <c r="F1536" s="12">
        <v>2</v>
      </c>
      <c r="G1536" s="12">
        <v>92436.97</v>
      </c>
      <c r="H1536" s="35">
        <v>46147.398143344908</v>
      </c>
    </row>
    <row r="1537" spans="2:8" x14ac:dyDescent="0.2">
      <c r="B1537" s="32">
        <v>46043</v>
      </c>
      <c r="C1537" t="s">
        <v>109</v>
      </c>
      <c r="D1537" t="s">
        <v>238</v>
      </c>
      <c r="E1537" s="13" t="s">
        <v>529</v>
      </c>
      <c r="F1537" s="12">
        <v>2</v>
      </c>
      <c r="G1537" s="12">
        <v>92436.97</v>
      </c>
      <c r="H1537" s="35">
        <v>46147.398143344908</v>
      </c>
    </row>
    <row r="1538" spans="2:8" x14ac:dyDescent="0.2">
      <c r="B1538" s="32">
        <v>46043</v>
      </c>
      <c r="C1538" t="s">
        <v>109</v>
      </c>
      <c r="D1538" t="s">
        <v>181</v>
      </c>
      <c r="E1538" s="13" t="s">
        <v>529</v>
      </c>
      <c r="F1538" s="12">
        <v>1</v>
      </c>
      <c r="G1538" s="12">
        <v>84033.61</v>
      </c>
      <c r="H1538" s="35">
        <v>46147.398143344908</v>
      </c>
    </row>
    <row r="1539" spans="2:8" x14ac:dyDescent="0.2">
      <c r="B1539" s="32">
        <v>46043</v>
      </c>
      <c r="C1539" t="s">
        <v>109</v>
      </c>
      <c r="D1539" t="s">
        <v>184</v>
      </c>
      <c r="E1539" s="13" t="s">
        <v>529</v>
      </c>
      <c r="F1539" s="12">
        <v>1</v>
      </c>
      <c r="G1539" s="12">
        <v>84033.61</v>
      </c>
      <c r="H1539" s="35">
        <v>46147.398143344908</v>
      </c>
    </row>
    <row r="1540" spans="2:8" x14ac:dyDescent="0.2">
      <c r="B1540" s="32">
        <v>46043</v>
      </c>
      <c r="C1540" t="s">
        <v>109</v>
      </c>
      <c r="D1540" t="s">
        <v>343</v>
      </c>
      <c r="E1540" s="13" t="s">
        <v>529</v>
      </c>
      <c r="F1540" s="12">
        <v>1</v>
      </c>
      <c r="G1540" s="12">
        <v>75630.259999999995</v>
      </c>
      <c r="H1540" s="35">
        <v>46147.398143344908</v>
      </c>
    </row>
    <row r="1541" spans="2:8" x14ac:dyDescent="0.2">
      <c r="B1541" s="32">
        <v>46043</v>
      </c>
      <c r="C1541" t="s">
        <v>109</v>
      </c>
      <c r="D1541" t="s">
        <v>197</v>
      </c>
      <c r="E1541" s="13" t="s">
        <v>530</v>
      </c>
      <c r="F1541" s="12">
        <v>1</v>
      </c>
      <c r="G1541" s="12">
        <v>75630.25</v>
      </c>
      <c r="H1541" s="35">
        <v>46147.398143344908</v>
      </c>
    </row>
    <row r="1542" spans="2:8" x14ac:dyDescent="0.2">
      <c r="B1542" s="32">
        <v>46043</v>
      </c>
      <c r="C1542" t="s">
        <v>109</v>
      </c>
      <c r="D1542" t="s">
        <v>386</v>
      </c>
      <c r="E1542" s="13" t="s">
        <v>529</v>
      </c>
      <c r="F1542" s="12">
        <v>1</v>
      </c>
      <c r="G1542" s="12">
        <v>75630.25</v>
      </c>
      <c r="H1542" s="35">
        <v>46147.398143344908</v>
      </c>
    </row>
    <row r="1543" spans="2:8" x14ac:dyDescent="0.2">
      <c r="B1543" s="32">
        <v>46043</v>
      </c>
      <c r="C1543" t="s">
        <v>109</v>
      </c>
      <c r="D1543" t="s">
        <v>187</v>
      </c>
      <c r="E1543" s="13" t="s">
        <v>530</v>
      </c>
      <c r="F1543" s="12">
        <v>1</v>
      </c>
      <c r="G1543" s="12">
        <v>71428.570000000007</v>
      </c>
      <c r="H1543" s="35">
        <v>46147.398143344908</v>
      </c>
    </row>
    <row r="1544" spans="2:8" x14ac:dyDescent="0.2">
      <c r="B1544" s="32">
        <v>46043</v>
      </c>
      <c r="C1544" t="s">
        <v>109</v>
      </c>
      <c r="D1544" t="s">
        <v>348</v>
      </c>
      <c r="E1544" s="13" t="s">
        <v>529</v>
      </c>
      <c r="F1544" s="12">
        <v>1</v>
      </c>
      <c r="G1544" s="12">
        <v>71428.570000000007</v>
      </c>
      <c r="H1544" s="35">
        <v>46147.398143344908</v>
      </c>
    </row>
    <row r="1545" spans="2:8" x14ac:dyDescent="0.2">
      <c r="B1545" s="32">
        <v>46043</v>
      </c>
      <c r="C1545" t="s">
        <v>109</v>
      </c>
      <c r="D1545" t="s">
        <v>292</v>
      </c>
      <c r="E1545" s="13" t="s">
        <v>529</v>
      </c>
      <c r="F1545" s="12">
        <v>1</v>
      </c>
      <c r="G1545" s="12">
        <v>58823.53</v>
      </c>
      <c r="H1545" s="35">
        <v>46147.398143344908</v>
      </c>
    </row>
    <row r="1546" spans="2:8" x14ac:dyDescent="0.2">
      <c r="B1546" s="32">
        <v>46043</v>
      </c>
      <c r="C1546" t="s">
        <v>109</v>
      </c>
      <c r="D1546" t="s">
        <v>206</v>
      </c>
      <c r="E1546" s="13" t="s">
        <v>530</v>
      </c>
      <c r="F1546" s="12">
        <v>1</v>
      </c>
      <c r="G1546" s="12">
        <v>58823.53</v>
      </c>
      <c r="H1546" s="35">
        <v>46147.398143344908</v>
      </c>
    </row>
    <row r="1547" spans="2:8" x14ac:dyDescent="0.2">
      <c r="B1547" s="32">
        <v>46043</v>
      </c>
      <c r="C1547" t="s">
        <v>109</v>
      </c>
      <c r="D1547" t="s">
        <v>274</v>
      </c>
      <c r="E1547" s="13" t="s">
        <v>529</v>
      </c>
      <c r="F1547" s="12">
        <v>1</v>
      </c>
      <c r="G1547" s="12">
        <v>58823.53</v>
      </c>
      <c r="H1547" s="35">
        <v>46147.398143344908</v>
      </c>
    </row>
    <row r="1548" spans="2:8" x14ac:dyDescent="0.2">
      <c r="B1548" s="32">
        <v>46043</v>
      </c>
      <c r="C1548" t="s">
        <v>109</v>
      </c>
      <c r="D1548" t="s">
        <v>399</v>
      </c>
      <c r="E1548" s="13" t="s">
        <v>529</v>
      </c>
      <c r="F1548" s="12">
        <v>1</v>
      </c>
      <c r="G1548" s="12">
        <v>58823.53</v>
      </c>
      <c r="H1548" s="35">
        <v>46147.398143344908</v>
      </c>
    </row>
    <row r="1549" spans="2:8" x14ac:dyDescent="0.2">
      <c r="B1549" s="32">
        <v>46043</v>
      </c>
      <c r="C1549" t="s">
        <v>109</v>
      </c>
      <c r="D1549" t="s">
        <v>408</v>
      </c>
      <c r="E1549" s="13" t="s">
        <v>529</v>
      </c>
      <c r="F1549" s="12">
        <v>1</v>
      </c>
      <c r="G1549" s="12">
        <v>58823.53</v>
      </c>
      <c r="H1549" s="35">
        <v>46147.398143344908</v>
      </c>
    </row>
    <row r="1550" spans="2:8" x14ac:dyDescent="0.2">
      <c r="B1550" s="32">
        <v>46043</v>
      </c>
      <c r="C1550" t="s">
        <v>109</v>
      </c>
      <c r="D1550" t="s">
        <v>217</v>
      </c>
      <c r="E1550" s="13" t="s">
        <v>530</v>
      </c>
      <c r="F1550" s="12">
        <v>1</v>
      </c>
      <c r="G1550" s="12">
        <v>58823.53</v>
      </c>
      <c r="H1550" s="35">
        <v>46147.398143344908</v>
      </c>
    </row>
    <row r="1551" spans="2:8" x14ac:dyDescent="0.2">
      <c r="B1551" s="32">
        <v>46043</v>
      </c>
      <c r="C1551" t="s">
        <v>109</v>
      </c>
      <c r="D1551" t="s">
        <v>443</v>
      </c>
      <c r="E1551" s="13" t="s">
        <v>529</v>
      </c>
      <c r="F1551" s="12">
        <v>1</v>
      </c>
      <c r="G1551" s="12">
        <v>54621.85</v>
      </c>
      <c r="H1551" s="35">
        <v>46147.398143344908</v>
      </c>
    </row>
    <row r="1552" spans="2:8" x14ac:dyDescent="0.2">
      <c r="B1552" s="32">
        <v>46043</v>
      </c>
      <c r="C1552" t="s">
        <v>109</v>
      </c>
      <c r="D1552" t="s">
        <v>568</v>
      </c>
      <c r="E1552" s="13" t="s">
        <v>529</v>
      </c>
      <c r="F1552" s="12">
        <v>1</v>
      </c>
      <c r="G1552" s="12">
        <v>50420.17</v>
      </c>
      <c r="H1552" s="35">
        <v>46147.398143344908</v>
      </c>
    </row>
    <row r="1553" spans="2:8" x14ac:dyDescent="0.2">
      <c r="B1553" s="32">
        <v>46043</v>
      </c>
      <c r="C1553" t="s">
        <v>109</v>
      </c>
      <c r="D1553" t="s">
        <v>148</v>
      </c>
      <c r="E1553" s="13" t="s">
        <v>530</v>
      </c>
      <c r="F1553" s="12">
        <v>1</v>
      </c>
      <c r="G1553" s="12">
        <v>46218.49</v>
      </c>
      <c r="H1553" s="35">
        <v>46147.398143344908</v>
      </c>
    </row>
    <row r="1554" spans="2:8" x14ac:dyDescent="0.2">
      <c r="B1554" s="32">
        <v>46043</v>
      </c>
      <c r="C1554" t="s">
        <v>109</v>
      </c>
      <c r="D1554" t="s">
        <v>158</v>
      </c>
      <c r="E1554" s="13" t="s">
        <v>530</v>
      </c>
      <c r="F1554" s="12">
        <v>1</v>
      </c>
      <c r="G1554" s="12">
        <v>46218.49</v>
      </c>
      <c r="H1554" s="35">
        <v>46147.398143344908</v>
      </c>
    </row>
    <row r="1555" spans="2:8" x14ac:dyDescent="0.2">
      <c r="B1555" s="32">
        <v>46043</v>
      </c>
      <c r="C1555" t="s">
        <v>109</v>
      </c>
      <c r="D1555" t="s">
        <v>289</v>
      </c>
      <c r="E1555" s="13" t="s">
        <v>529</v>
      </c>
      <c r="F1555" s="12">
        <v>1</v>
      </c>
      <c r="G1555" s="12">
        <v>46218.49</v>
      </c>
      <c r="H1555" s="35">
        <v>46147.398143344908</v>
      </c>
    </row>
    <row r="1556" spans="2:8" x14ac:dyDescent="0.2">
      <c r="B1556" s="32">
        <v>46043</v>
      </c>
      <c r="C1556" t="s">
        <v>109</v>
      </c>
      <c r="D1556" t="s">
        <v>391</v>
      </c>
      <c r="E1556" s="13" t="s">
        <v>529</v>
      </c>
      <c r="F1556" s="12">
        <v>1</v>
      </c>
      <c r="G1556" s="12">
        <v>46218.49</v>
      </c>
      <c r="H1556" s="35">
        <v>46147.398143344908</v>
      </c>
    </row>
    <row r="1557" spans="2:8" x14ac:dyDescent="0.2">
      <c r="B1557" s="32">
        <v>46043</v>
      </c>
      <c r="C1557" t="s">
        <v>109</v>
      </c>
      <c r="D1557" t="s">
        <v>151</v>
      </c>
      <c r="E1557" s="13" t="s">
        <v>530</v>
      </c>
      <c r="F1557" s="12">
        <v>1</v>
      </c>
      <c r="G1557" s="12">
        <v>46218.49</v>
      </c>
      <c r="H1557" s="35">
        <v>46147.398143344908</v>
      </c>
    </row>
    <row r="1558" spans="2:8" x14ac:dyDescent="0.2">
      <c r="B1558" s="32">
        <v>46043</v>
      </c>
      <c r="C1558" t="s">
        <v>109</v>
      </c>
      <c r="D1558" t="s">
        <v>294</v>
      </c>
      <c r="E1558" s="13" t="s">
        <v>529</v>
      </c>
      <c r="F1558" s="12">
        <v>1</v>
      </c>
      <c r="G1558" s="12">
        <v>46218.49</v>
      </c>
      <c r="H1558" s="35">
        <v>46147.398143344908</v>
      </c>
    </row>
    <row r="1559" spans="2:8" x14ac:dyDescent="0.2">
      <c r="B1559" s="32">
        <v>46043</v>
      </c>
      <c r="C1559" t="s">
        <v>109</v>
      </c>
      <c r="D1559" t="s">
        <v>159</v>
      </c>
      <c r="E1559" s="13" t="s">
        <v>530</v>
      </c>
      <c r="F1559" s="12">
        <v>1</v>
      </c>
      <c r="G1559" s="12">
        <v>42016.81</v>
      </c>
      <c r="H1559" s="35">
        <v>46147.398143344908</v>
      </c>
    </row>
    <row r="1560" spans="2:8" x14ac:dyDescent="0.2">
      <c r="B1560" s="32">
        <v>46043</v>
      </c>
      <c r="C1560" t="s">
        <v>109</v>
      </c>
      <c r="D1560" t="s">
        <v>154</v>
      </c>
      <c r="E1560" s="13" t="s">
        <v>529</v>
      </c>
      <c r="F1560" s="12">
        <v>1</v>
      </c>
      <c r="G1560" s="12">
        <v>42016.800000000003</v>
      </c>
      <c r="H1560" s="35">
        <v>46147.398143344908</v>
      </c>
    </row>
    <row r="1561" spans="2:8" x14ac:dyDescent="0.2">
      <c r="B1561" s="32">
        <v>46043</v>
      </c>
      <c r="C1561" t="s">
        <v>109</v>
      </c>
      <c r="D1561" t="s">
        <v>588</v>
      </c>
      <c r="E1561" s="13" t="s">
        <v>529</v>
      </c>
      <c r="F1561" s="12">
        <v>1</v>
      </c>
      <c r="G1561" s="12">
        <v>37815.129999999997</v>
      </c>
      <c r="H1561" s="35">
        <v>46147.398143344908</v>
      </c>
    </row>
    <row r="1562" spans="2:8" x14ac:dyDescent="0.2">
      <c r="B1562" s="32">
        <v>46043</v>
      </c>
      <c r="C1562" t="s">
        <v>109</v>
      </c>
      <c r="D1562" t="s">
        <v>142</v>
      </c>
      <c r="E1562" s="13" t="s">
        <v>529</v>
      </c>
      <c r="F1562" s="12">
        <v>3</v>
      </c>
      <c r="G1562" s="12">
        <v>29411.77</v>
      </c>
      <c r="H1562" s="35">
        <v>46147.398143344908</v>
      </c>
    </row>
    <row r="1563" spans="2:8" x14ac:dyDescent="0.2">
      <c r="B1563" s="32">
        <v>46043</v>
      </c>
      <c r="C1563" t="s">
        <v>109</v>
      </c>
      <c r="D1563" t="s">
        <v>169</v>
      </c>
      <c r="E1563" s="13" t="s">
        <v>529</v>
      </c>
      <c r="F1563" s="12">
        <v>1</v>
      </c>
      <c r="G1563" s="12">
        <v>29411.759999999998</v>
      </c>
      <c r="H1563" s="35">
        <v>46147.398143344908</v>
      </c>
    </row>
    <row r="1564" spans="2:8" x14ac:dyDescent="0.2">
      <c r="B1564" s="32">
        <v>46043</v>
      </c>
      <c r="C1564" t="s">
        <v>109</v>
      </c>
      <c r="D1564" t="s">
        <v>180</v>
      </c>
      <c r="E1564" s="13" t="s">
        <v>530</v>
      </c>
      <c r="F1564" s="12">
        <v>1</v>
      </c>
      <c r="G1564" s="12">
        <v>29411.759999999998</v>
      </c>
      <c r="H1564" s="35">
        <v>46147.398143344908</v>
      </c>
    </row>
    <row r="1565" spans="2:8" x14ac:dyDescent="0.2">
      <c r="B1565" s="32">
        <v>46043</v>
      </c>
      <c r="C1565" t="s">
        <v>109</v>
      </c>
      <c r="D1565" t="s">
        <v>143</v>
      </c>
      <c r="E1565" s="13" t="s">
        <v>529</v>
      </c>
      <c r="F1565" s="12">
        <v>1</v>
      </c>
      <c r="G1565" s="12">
        <v>29411.759999999998</v>
      </c>
      <c r="H1565" s="35">
        <v>46147.398143344908</v>
      </c>
    </row>
    <row r="1566" spans="2:8" x14ac:dyDescent="0.2">
      <c r="B1566" s="32">
        <v>46044</v>
      </c>
      <c r="C1566" t="s">
        <v>108</v>
      </c>
      <c r="D1566" t="s">
        <v>141</v>
      </c>
      <c r="E1566" s="13" t="s">
        <v>530</v>
      </c>
      <c r="F1566" s="12">
        <v>0</v>
      </c>
      <c r="G1566" s="12">
        <v>7563025.21</v>
      </c>
      <c r="H1566" s="35">
        <v>46147.398143344908</v>
      </c>
    </row>
    <row r="1567" spans="2:8" x14ac:dyDescent="0.2">
      <c r="B1567" s="32">
        <v>46044</v>
      </c>
      <c r="C1567" t="s">
        <v>108</v>
      </c>
      <c r="D1567" t="s">
        <v>324</v>
      </c>
      <c r="E1567" s="13" t="s">
        <v>530</v>
      </c>
      <c r="F1567" s="12">
        <v>0</v>
      </c>
      <c r="G1567" s="12">
        <v>-6806722.6900000004</v>
      </c>
      <c r="H1567" s="35">
        <v>46147.398143344908</v>
      </c>
    </row>
    <row r="1568" spans="2:8" x14ac:dyDescent="0.2">
      <c r="B1568" s="32">
        <v>46044</v>
      </c>
      <c r="C1568" t="s">
        <v>140</v>
      </c>
      <c r="D1568" t="s">
        <v>183</v>
      </c>
      <c r="E1568" s="13" t="s">
        <v>529</v>
      </c>
      <c r="F1568" s="12">
        <v>1</v>
      </c>
      <c r="G1568" s="12">
        <v>100840.34</v>
      </c>
      <c r="H1568" s="35">
        <v>46147.398143344908</v>
      </c>
    </row>
    <row r="1569" spans="2:8" x14ac:dyDescent="0.2">
      <c r="B1569" s="32">
        <v>46044</v>
      </c>
      <c r="C1569" t="s">
        <v>140</v>
      </c>
      <c r="D1569" t="s">
        <v>165</v>
      </c>
      <c r="E1569" s="13" t="s">
        <v>529</v>
      </c>
      <c r="F1569" s="12">
        <v>1</v>
      </c>
      <c r="G1569" s="12">
        <v>65383.58</v>
      </c>
      <c r="H1569" s="35">
        <v>46147.398143344908</v>
      </c>
    </row>
    <row r="1570" spans="2:8" x14ac:dyDescent="0.2">
      <c r="B1570" s="32">
        <v>46044</v>
      </c>
      <c r="C1570" t="s">
        <v>140</v>
      </c>
      <c r="D1570" t="s">
        <v>394</v>
      </c>
      <c r="E1570" s="13" t="s">
        <v>529</v>
      </c>
      <c r="F1570" s="12">
        <v>1</v>
      </c>
      <c r="G1570" s="12">
        <v>65383.57</v>
      </c>
      <c r="H1570" s="35">
        <v>46147.398143344908</v>
      </c>
    </row>
    <row r="1571" spans="2:8" x14ac:dyDescent="0.2">
      <c r="B1571" s="32">
        <v>46044</v>
      </c>
      <c r="C1571" t="s">
        <v>140</v>
      </c>
      <c r="D1571" t="s">
        <v>273</v>
      </c>
      <c r="E1571" s="13" t="s">
        <v>530</v>
      </c>
      <c r="F1571" s="12">
        <v>1</v>
      </c>
      <c r="G1571" s="12">
        <v>58823.53</v>
      </c>
      <c r="H1571" s="35">
        <v>46147.398143344908</v>
      </c>
    </row>
    <row r="1572" spans="2:8" x14ac:dyDescent="0.2">
      <c r="B1572" s="32">
        <v>46044</v>
      </c>
      <c r="C1572" t="s">
        <v>140</v>
      </c>
      <c r="D1572" t="s">
        <v>173</v>
      </c>
      <c r="E1572" s="13" t="s">
        <v>530</v>
      </c>
      <c r="F1572" s="12">
        <v>1</v>
      </c>
      <c r="G1572" s="12">
        <v>58823.53</v>
      </c>
      <c r="H1572" s="35">
        <v>46147.398143344908</v>
      </c>
    </row>
    <row r="1573" spans="2:8" x14ac:dyDescent="0.2">
      <c r="B1573" s="32">
        <v>46044</v>
      </c>
      <c r="C1573" t="s">
        <v>140</v>
      </c>
      <c r="D1573" t="s">
        <v>203</v>
      </c>
      <c r="E1573" s="13" t="s">
        <v>530</v>
      </c>
      <c r="F1573" s="12">
        <v>1</v>
      </c>
      <c r="G1573" s="12">
        <v>58823.53</v>
      </c>
      <c r="H1573" s="35">
        <v>46147.398143344908</v>
      </c>
    </row>
    <row r="1574" spans="2:8" x14ac:dyDescent="0.2">
      <c r="B1574" s="32">
        <v>46044</v>
      </c>
      <c r="C1574" t="s">
        <v>140</v>
      </c>
      <c r="D1574" t="s">
        <v>242</v>
      </c>
      <c r="E1574" s="13" t="s">
        <v>529</v>
      </c>
      <c r="F1574" s="12">
        <v>1</v>
      </c>
      <c r="G1574" s="12">
        <v>58823.53</v>
      </c>
      <c r="H1574" s="35">
        <v>46147.398143344908</v>
      </c>
    </row>
    <row r="1575" spans="2:8" x14ac:dyDescent="0.2">
      <c r="B1575" s="32">
        <v>46044</v>
      </c>
      <c r="C1575" t="s">
        <v>140</v>
      </c>
      <c r="D1575" t="s">
        <v>274</v>
      </c>
      <c r="E1575" s="13" t="s">
        <v>529</v>
      </c>
      <c r="F1575" s="12">
        <v>1</v>
      </c>
      <c r="G1575" s="12">
        <v>58823.53</v>
      </c>
      <c r="H1575" s="35">
        <v>46147.398143344908</v>
      </c>
    </row>
    <row r="1576" spans="2:8" x14ac:dyDescent="0.2">
      <c r="B1576" s="32">
        <v>46044</v>
      </c>
      <c r="C1576" t="s">
        <v>140</v>
      </c>
      <c r="D1576" t="s">
        <v>554</v>
      </c>
      <c r="E1576" s="13" t="s">
        <v>529</v>
      </c>
      <c r="F1576" s="12">
        <v>1</v>
      </c>
      <c r="G1576" s="12">
        <v>54621.85</v>
      </c>
      <c r="H1576" s="35">
        <v>46147.398143344908</v>
      </c>
    </row>
    <row r="1577" spans="2:8" x14ac:dyDescent="0.2">
      <c r="B1577" s="32">
        <v>46044</v>
      </c>
      <c r="C1577" t="s">
        <v>140</v>
      </c>
      <c r="E1577" s="13" t="s">
        <v>530</v>
      </c>
      <c r="F1577" s="12">
        <v>0</v>
      </c>
      <c r="G1577" s="12">
        <v>45000</v>
      </c>
      <c r="H1577" s="35">
        <v>46147.398143344908</v>
      </c>
    </row>
    <row r="1578" spans="2:8" x14ac:dyDescent="0.2">
      <c r="B1578" s="32">
        <v>46044</v>
      </c>
      <c r="C1578" t="s">
        <v>140</v>
      </c>
      <c r="D1578" t="s">
        <v>206</v>
      </c>
      <c r="E1578" s="13" t="s">
        <v>529</v>
      </c>
      <c r="F1578" s="12">
        <v>1</v>
      </c>
      <c r="G1578" s="12">
        <v>38140.410000000003</v>
      </c>
      <c r="H1578" s="35">
        <v>46147.398143344908</v>
      </c>
    </row>
    <row r="1579" spans="2:8" x14ac:dyDescent="0.2">
      <c r="B1579" s="32">
        <v>46044</v>
      </c>
      <c r="C1579" t="s">
        <v>140</v>
      </c>
      <c r="E1579" s="13" t="s">
        <v>529</v>
      </c>
      <c r="F1579" s="12">
        <v>0</v>
      </c>
      <c r="G1579" s="12">
        <v>0</v>
      </c>
      <c r="H1579" s="35">
        <v>46147.398143344908</v>
      </c>
    </row>
    <row r="1580" spans="2:8" x14ac:dyDescent="0.2">
      <c r="B1580" s="32">
        <v>46044</v>
      </c>
      <c r="C1580" t="s">
        <v>140</v>
      </c>
      <c r="D1580" t="s">
        <v>291</v>
      </c>
      <c r="E1580" s="13" t="s">
        <v>530</v>
      </c>
      <c r="F1580" s="12">
        <v>0</v>
      </c>
      <c r="G1580" s="12">
        <v>-45000</v>
      </c>
      <c r="H1580" s="35">
        <v>46147.398143344908</v>
      </c>
    </row>
    <row r="1581" spans="2:8" x14ac:dyDescent="0.2">
      <c r="B1581" s="32">
        <v>46044</v>
      </c>
      <c r="C1581" t="s">
        <v>109</v>
      </c>
      <c r="E1581" s="13" t="s">
        <v>530</v>
      </c>
      <c r="F1581" s="12">
        <v>1</v>
      </c>
      <c r="G1581" s="12">
        <v>121848.74</v>
      </c>
      <c r="H1581" s="35">
        <v>46147.398143344908</v>
      </c>
    </row>
    <row r="1582" spans="2:8" x14ac:dyDescent="0.2">
      <c r="B1582" s="32">
        <v>46044</v>
      </c>
      <c r="C1582" t="s">
        <v>109</v>
      </c>
      <c r="D1582" t="s">
        <v>186</v>
      </c>
      <c r="E1582" s="13" t="s">
        <v>530</v>
      </c>
      <c r="F1582" s="12">
        <v>2</v>
      </c>
      <c r="G1582" s="12">
        <v>117647.05</v>
      </c>
      <c r="H1582" s="35">
        <v>46147.398143344908</v>
      </c>
    </row>
    <row r="1583" spans="2:8" x14ac:dyDescent="0.2">
      <c r="B1583" s="32">
        <v>46044</v>
      </c>
      <c r="C1583" t="s">
        <v>109</v>
      </c>
      <c r="D1583" t="s">
        <v>542</v>
      </c>
      <c r="E1583" s="13" t="s">
        <v>529</v>
      </c>
      <c r="F1583" s="12">
        <v>1</v>
      </c>
      <c r="G1583" s="12">
        <v>113445.38</v>
      </c>
      <c r="H1583" s="35">
        <v>46147.398143344908</v>
      </c>
    </row>
    <row r="1584" spans="2:8" x14ac:dyDescent="0.2">
      <c r="B1584" s="32">
        <v>46044</v>
      </c>
      <c r="C1584" t="s">
        <v>109</v>
      </c>
      <c r="D1584" t="s">
        <v>357</v>
      </c>
      <c r="E1584" s="13" t="s">
        <v>529</v>
      </c>
      <c r="F1584" s="12">
        <v>1</v>
      </c>
      <c r="G1584" s="12">
        <v>100840.34</v>
      </c>
      <c r="H1584" s="35">
        <v>46147.398143344908</v>
      </c>
    </row>
    <row r="1585" spans="2:8" x14ac:dyDescent="0.2">
      <c r="B1585" s="32">
        <v>46044</v>
      </c>
      <c r="C1585" t="s">
        <v>109</v>
      </c>
      <c r="D1585" t="s">
        <v>248</v>
      </c>
      <c r="E1585" s="13" t="s">
        <v>530</v>
      </c>
      <c r="F1585" s="12">
        <v>1</v>
      </c>
      <c r="G1585" s="12">
        <v>100840.34</v>
      </c>
      <c r="H1585" s="35">
        <v>46147.398143344908</v>
      </c>
    </row>
    <row r="1586" spans="2:8" x14ac:dyDescent="0.2">
      <c r="B1586" s="32">
        <v>46044</v>
      </c>
      <c r="C1586" t="s">
        <v>109</v>
      </c>
      <c r="D1586" t="s">
        <v>225</v>
      </c>
      <c r="E1586" s="13" t="s">
        <v>530</v>
      </c>
      <c r="F1586" s="12">
        <v>1</v>
      </c>
      <c r="G1586" s="12">
        <v>100840.33</v>
      </c>
      <c r="H1586" s="35">
        <v>46147.398143344908</v>
      </c>
    </row>
    <row r="1587" spans="2:8" x14ac:dyDescent="0.2">
      <c r="B1587" s="32">
        <v>46044</v>
      </c>
      <c r="C1587" t="s">
        <v>109</v>
      </c>
      <c r="D1587" t="s">
        <v>170</v>
      </c>
      <c r="E1587" s="13" t="s">
        <v>530</v>
      </c>
      <c r="F1587" s="12">
        <v>2</v>
      </c>
      <c r="G1587" s="12">
        <v>92436.98</v>
      </c>
      <c r="H1587" s="35">
        <v>46147.398143344908</v>
      </c>
    </row>
    <row r="1588" spans="2:8" x14ac:dyDescent="0.2">
      <c r="B1588" s="32">
        <v>46044</v>
      </c>
      <c r="C1588" t="s">
        <v>109</v>
      </c>
      <c r="D1588" t="s">
        <v>475</v>
      </c>
      <c r="E1588" s="13" t="s">
        <v>529</v>
      </c>
      <c r="F1588" s="12">
        <v>2</v>
      </c>
      <c r="G1588" s="12">
        <v>92436.97</v>
      </c>
      <c r="H1588" s="35">
        <v>46147.398143344908</v>
      </c>
    </row>
    <row r="1589" spans="2:8" x14ac:dyDescent="0.2">
      <c r="B1589" s="32">
        <v>46044</v>
      </c>
      <c r="C1589" t="s">
        <v>109</v>
      </c>
      <c r="D1589" t="s">
        <v>353</v>
      </c>
      <c r="E1589" s="13" t="s">
        <v>529</v>
      </c>
      <c r="F1589" s="12">
        <v>1</v>
      </c>
      <c r="G1589" s="12">
        <v>71428.570000000007</v>
      </c>
      <c r="H1589" s="35">
        <v>46147.398143344908</v>
      </c>
    </row>
    <row r="1590" spans="2:8" x14ac:dyDescent="0.2">
      <c r="B1590" s="32">
        <v>46044</v>
      </c>
      <c r="C1590" t="s">
        <v>109</v>
      </c>
      <c r="D1590" t="s">
        <v>162</v>
      </c>
      <c r="E1590" s="13" t="s">
        <v>530</v>
      </c>
      <c r="F1590" s="12">
        <v>1</v>
      </c>
      <c r="G1590" s="12">
        <v>71428.570000000007</v>
      </c>
      <c r="H1590" s="35">
        <v>46147.398143344908</v>
      </c>
    </row>
    <row r="1591" spans="2:8" x14ac:dyDescent="0.2">
      <c r="B1591" s="32">
        <v>46044</v>
      </c>
      <c r="C1591" t="s">
        <v>109</v>
      </c>
      <c r="D1591" t="s">
        <v>554</v>
      </c>
      <c r="E1591" s="13" t="s">
        <v>529</v>
      </c>
      <c r="F1591" s="12">
        <v>1</v>
      </c>
      <c r="G1591" s="12">
        <v>54621.85</v>
      </c>
      <c r="H1591" s="35">
        <v>46147.398143344908</v>
      </c>
    </row>
    <row r="1592" spans="2:8" x14ac:dyDescent="0.2">
      <c r="B1592" s="32">
        <v>46044</v>
      </c>
      <c r="C1592" t="s">
        <v>109</v>
      </c>
      <c r="D1592" t="s">
        <v>239</v>
      </c>
      <c r="E1592" s="13" t="s">
        <v>529</v>
      </c>
      <c r="F1592" s="12">
        <v>1</v>
      </c>
      <c r="G1592" s="12">
        <v>46218.49</v>
      </c>
      <c r="H1592" s="35">
        <v>46147.398143344908</v>
      </c>
    </row>
    <row r="1593" spans="2:8" x14ac:dyDescent="0.2">
      <c r="B1593" s="32">
        <v>46044</v>
      </c>
      <c r="C1593" t="s">
        <v>109</v>
      </c>
      <c r="D1593" t="s">
        <v>258</v>
      </c>
      <c r="E1593" s="13" t="s">
        <v>530</v>
      </c>
      <c r="F1593" s="12">
        <v>1</v>
      </c>
      <c r="G1593" s="12">
        <v>46218.49</v>
      </c>
      <c r="H1593" s="35">
        <v>46147.398143344908</v>
      </c>
    </row>
    <row r="1594" spans="2:8" x14ac:dyDescent="0.2">
      <c r="B1594" s="32">
        <v>46044</v>
      </c>
      <c r="C1594" t="s">
        <v>109</v>
      </c>
      <c r="D1594" t="s">
        <v>149</v>
      </c>
      <c r="E1594" s="13" t="s">
        <v>530</v>
      </c>
      <c r="F1594" s="12">
        <v>1</v>
      </c>
      <c r="G1594" s="12">
        <v>46218.49</v>
      </c>
      <c r="H1594" s="35">
        <v>46147.398143344908</v>
      </c>
    </row>
    <row r="1595" spans="2:8" x14ac:dyDescent="0.2">
      <c r="B1595" s="32">
        <v>46044</v>
      </c>
      <c r="C1595" t="s">
        <v>109</v>
      </c>
      <c r="D1595" t="s">
        <v>200</v>
      </c>
      <c r="E1595" s="13" t="s">
        <v>529</v>
      </c>
      <c r="F1595" s="12">
        <v>1</v>
      </c>
      <c r="G1595" s="12">
        <v>46218.49</v>
      </c>
      <c r="H1595" s="35">
        <v>46147.398143344908</v>
      </c>
    </row>
    <row r="1596" spans="2:8" x14ac:dyDescent="0.2">
      <c r="B1596" s="32">
        <v>46044</v>
      </c>
      <c r="C1596" t="s">
        <v>109</v>
      </c>
      <c r="D1596" t="s">
        <v>158</v>
      </c>
      <c r="E1596" s="13" t="s">
        <v>529</v>
      </c>
      <c r="F1596" s="12">
        <v>1</v>
      </c>
      <c r="G1596" s="12">
        <v>46218.49</v>
      </c>
      <c r="H1596" s="35">
        <v>46147.398143344908</v>
      </c>
    </row>
    <row r="1597" spans="2:8" x14ac:dyDescent="0.2">
      <c r="B1597" s="32">
        <v>46044</v>
      </c>
      <c r="C1597" t="s">
        <v>109</v>
      </c>
      <c r="D1597" t="s">
        <v>275</v>
      </c>
      <c r="E1597" s="13" t="s">
        <v>530</v>
      </c>
      <c r="F1597" s="12">
        <v>1</v>
      </c>
      <c r="G1597" s="12">
        <v>46218.49</v>
      </c>
      <c r="H1597" s="35">
        <v>46147.398143344908</v>
      </c>
    </row>
    <row r="1598" spans="2:8" x14ac:dyDescent="0.2">
      <c r="B1598" s="32">
        <v>46044</v>
      </c>
      <c r="C1598" t="s">
        <v>109</v>
      </c>
      <c r="D1598" t="s">
        <v>156</v>
      </c>
      <c r="E1598" s="13" t="s">
        <v>530</v>
      </c>
      <c r="F1598" s="12">
        <v>1</v>
      </c>
      <c r="G1598" s="12">
        <v>46218.49</v>
      </c>
      <c r="H1598" s="35">
        <v>46147.398143344908</v>
      </c>
    </row>
    <row r="1599" spans="2:8" x14ac:dyDescent="0.2">
      <c r="B1599" s="32">
        <v>46044</v>
      </c>
      <c r="C1599" t="s">
        <v>109</v>
      </c>
      <c r="D1599" t="s">
        <v>484</v>
      </c>
      <c r="E1599" s="13" t="s">
        <v>529</v>
      </c>
      <c r="F1599" s="12">
        <v>1</v>
      </c>
      <c r="G1599" s="12">
        <v>46218.49</v>
      </c>
      <c r="H1599" s="35">
        <v>46147.398143344908</v>
      </c>
    </row>
    <row r="1600" spans="2:8" x14ac:dyDescent="0.2">
      <c r="B1600" s="32">
        <v>46044</v>
      </c>
      <c r="C1600" t="s">
        <v>109</v>
      </c>
      <c r="D1600" t="s">
        <v>144</v>
      </c>
      <c r="E1600" s="13" t="s">
        <v>530</v>
      </c>
      <c r="F1600" s="12">
        <v>1</v>
      </c>
      <c r="G1600" s="12">
        <v>46218.49</v>
      </c>
      <c r="H1600" s="35">
        <v>46147.398143344908</v>
      </c>
    </row>
    <row r="1601" spans="2:8" x14ac:dyDescent="0.2">
      <c r="B1601" s="32">
        <v>46044</v>
      </c>
      <c r="C1601" t="s">
        <v>109</v>
      </c>
      <c r="D1601" t="s">
        <v>148</v>
      </c>
      <c r="E1601" s="13" t="s">
        <v>530</v>
      </c>
      <c r="F1601" s="12">
        <v>1</v>
      </c>
      <c r="G1601" s="12">
        <v>46218.48</v>
      </c>
      <c r="H1601" s="35">
        <v>46147.398143344908</v>
      </c>
    </row>
    <row r="1602" spans="2:8" x14ac:dyDescent="0.2">
      <c r="B1602" s="32">
        <v>46044</v>
      </c>
      <c r="C1602" t="s">
        <v>109</v>
      </c>
      <c r="D1602" t="s">
        <v>156</v>
      </c>
      <c r="E1602" s="13" t="s">
        <v>529</v>
      </c>
      <c r="F1602" s="12">
        <v>1</v>
      </c>
      <c r="G1602" s="12">
        <v>46218.48</v>
      </c>
      <c r="H1602" s="35">
        <v>46147.398143344908</v>
      </c>
    </row>
    <row r="1603" spans="2:8" x14ac:dyDescent="0.2">
      <c r="B1603" s="32">
        <v>46044</v>
      </c>
      <c r="C1603" t="s">
        <v>109</v>
      </c>
      <c r="D1603" t="s">
        <v>171</v>
      </c>
      <c r="E1603" s="13" t="s">
        <v>529</v>
      </c>
      <c r="F1603" s="12">
        <v>1</v>
      </c>
      <c r="G1603" s="12">
        <v>37815.129999999997</v>
      </c>
      <c r="H1603" s="35">
        <v>46147.398143344908</v>
      </c>
    </row>
    <row r="1604" spans="2:8" x14ac:dyDescent="0.2">
      <c r="B1604" s="32">
        <v>46044</v>
      </c>
      <c r="C1604" t="s">
        <v>109</v>
      </c>
      <c r="D1604" t="s">
        <v>146</v>
      </c>
      <c r="E1604" s="13" t="s">
        <v>529</v>
      </c>
      <c r="F1604" s="12">
        <v>1</v>
      </c>
      <c r="G1604" s="12">
        <v>37815.120000000003</v>
      </c>
      <c r="H1604" s="35">
        <v>46147.398143344908</v>
      </c>
    </row>
    <row r="1605" spans="2:8" x14ac:dyDescent="0.2">
      <c r="B1605" s="32">
        <v>46044</v>
      </c>
      <c r="C1605" t="s">
        <v>109</v>
      </c>
      <c r="E1605" s="13" t="s">
        <v>529</v>
      </c>
      <c r="F1605" s="12">
        <v>0</v>
      </c>
      <c r="G1605" s="12">
        <v>0</v>
      </c>
      <c r="H1605" s="35">
        <v>46147.398143344908</v>
      </c>
    </row>
    <row r="1606" spans="2:8" x14ac:dyDescent="0.2">
      <c r="B1606" s="32">
        <v>46045</v>
      </c>
      <c r="C1606" t="s">
        <v>140</v>
      </c>
      <c r="D1606" t="s">
        <v>290</v>
      </c>
      <c r="E1606" s="13" t="s">
        <v>529</v>
      </c>
      <c r="F1606" s="12">
        <v>2</v>
      </c>
      <c r="G1606" s="12">
        <v>109243.7</v>
      </c>
      <c r="H1606" s="35">
        <v>46147.398143344908</v>
      </c>
    </row>
    <row r="1607" spans="2:8" x14ac:dyDescent="0.2">
      <c r="B1607" s="32">
        <v>46045</v>
      </c>
      <c r="C1607" t="s">
        <v>140</v>
      </c>
      <c r="D1607" t="s">
        <v>281</v>
      </c>
      <c r="E1607" s="13" t="s">
        <v>529</v>
      </c>
      <c r="F1607" s="12">
        <v>2</v>
      </c>
      <c r="G1607" s="12">
        <v>109243.7</v>
      </c>
      <c r="H1607" s="35">
        <v>46147.398143344908</v>
      </c>
    </row>
    <row r="1608" spans="2:8" x14ac:dyDescent="0.2">
      <c r="B1608" s="32">
        <v>46045</v>
      </c>
      <c r="C1608" t="s">
        <v>140</v>
      </c>
      <c r="D1608" t="s">
        <v>241</v>
      </c>
      <c r="E1608" s="13" t="s">
        <v>529</v>
      </c>
      <c r="F1608" s="12">
        <v>2</v>
      </c>
      <c r="G1608" s="12">
        <v>109243.69</v>
      </c>
      <c r="H1608" s="35">
        <v>46147.398143344908</v>
      </c>
    </row>
    <row r="1609" spans="2:8" x14ac:dyDescent="0.2">
      <c r="B1609" s="32">
        <v>46045</v>
      </c>
      <c r="C1609" t="s">
        <v>140</v>
      </c>
      <c r="D1609" t="s">
        <v>278</v>
      </c>
      <c r="E1609" s="13" t="s">
        <v>529</v>
      </c>
      <c r="F1609" s="12">
        <v>2</v>
      </c>
      <c r="G1609" s="12">
        <v>109243.69</v>
      </c>
      <c r="H1609" s="35">
        <v>46147.398143344908</v>
      </c>
    </row>
    <row r="1610" spans="2:8" x14ac:dyDescent="0.2">
      <c r="B1610" s="32">
        <v>46045</v>
      </c>
      <c r="C1610" t="s">
        <v>140</v>
      </c>
      <c r="D1610" t="s">
        <v>389</v>
      </c>
      <c r="E1610" s="13" t="s">
        <v>529</v>
      </c>
      <c r="F1610" s="12">
        <v>1</v>
      </c>
      <c r="G1610" s="12">
        <v>54621.85</v>
      </c>
      <c r="H1610" s="35">
        <v>46147.398143344908</v>
      </c>
    </row>
    <row r="1611" spans="2:8" x14ac:dyDescent="0.2">
      <c r="B1611" s="32">
        <v>46045</v>
      </c>
      <c r="C1611" t="s">
        <v>140</v>
      </c>
      <c r="D1611" t="s">
        <v>210</v>
      </c>
      <c r="E1611" s="13" t="s">
        <v>529</v>
      </c>
      <c r="F1611" s="12">
        <v>1</v>
      </c>
      <c r="G1611" s="12">
        <v>54621.85</v>
      </c>
      <c r="H1611" s="35">
        <v>46147.398143344908</v>
      </c>
    </row>
    <row r="1612" spans="2:8" x14ac:dyDescent="0.2">
      <c r="B1612" s="32">
        <v>46045</v>
      </c>
      <c r="C1612" t="s">
        <v>140</v>
      </c>
      <c r="D1612" t="s">
        <v>220</v>
      </c>
      <c r="E1612" s="13" t="s">
        <v>529</v>
      </c>
      <c r="F1612" s="12">
        <v>1</v>
      </c>
      <c r="G1612" s="12">
        <v>54621.85</v>
      </c>
      <c r="H1612" s="35">
        <v>46147.398143344908</v>
      </c>
    </row>
    <row r="1613" spans="2:8" x14ac:dyDescent="0.2">
      <c r="B1613" s="32">
        <v>46045</v>
      </c>
      <c r="C1613" t="s">
        <v>140</v>
      </c>
      <c r="D1613" t="s">
        <v>226</v>
      </c>
      <c r="E1613" s="13" t="s">
        <v>529</v>
      </c>
      <c r="F1613" s="12">
        <v>1</v>
      </c>
      <c r="G1613" s="12">
        <v>54621.85</v>
      </c>
      <c r="H1613" s="35">
        <v>46147.398143344908</v>
      </c>
    </row>
    <row r="1614" spans="2:8" x14ac:dyDescent="0.2">
      <c r="B1614" s="32">
        <v>46045</v>
      </c>
      <c r="C1614" t="s">
        <v>140</v>
      </c>
      <c r="D1614" t="s">
        <v>309</v>
      </c>
      <c r="E1614" s="13" t="s">
        <v>529</v>
      </c>
      <c r="F1614" s="12">
        <v>1</v>
      </c>
      <c r="G1614" s="12">
        <v>54621.85</v>
      </c>
      <c r="H1614" s="35">
        <v>46147.398143344908</v>
      </c>
    </row>
    <row r="1615" spans="2:8" x14ac:dyDescent="0.2">
      <c r="B1615" s="32">
        <v>46045</v>
      </c>
      <c r="C1615" t="s">
        <v>140</v>
      </c>
      <c r="D1615" t="s">
        <v>200</v>
      </c>
      <c r="E1615" s="13" t="s">
        <v>530</v>
      </c>
      <c r="F1615" s="12">
        <v>1</v>
      </c>
      <c r="G1615" s="12">
        <v>46218.49</v>
      </c>
      <c r="H1615" s="35">
        <v>46147.398143344908</v>
      </c>
    </row>
    <row r="1616" spans="2:8" x14ac:dyDescent="0.2">
      <c r="B1616" s="32">
        <v>46045</v>
      </c>
      <c r="C1616" t="s">
        <v>140</v>
      </c>
      <c r="D1616" t="s">
        <v>143</v>
      </c>
      <c r="E1616" s="13" t="s">
        <v>529</v>
      </c>
      <c r="F1616" s="12">
        <v>1</v>
      </c>
      <c r="G1616" s="12">
        <v>29411.759999999998</v>
      </c>
      <c r="H1616" s="35">
        <v>46147.398143344908</v>
      </c>
    </row>
    <row r="1617" spans="2:8" x14ac:dyDescent="0.2">
      <c r="B1617" s="32">
        <v>46045</v>
      </c>
      <c r="C1617" t="s">
        <v>140</v>
      </c>
      <c r="E1617" s="13" t="s">
        <v>529</v>
      </c>
      <c r="F1617" s="12">
        <v>0</v>
      </c>
      <c r="G1617" s="12">
        <v>0</v>
      </c>
      <c r="H1617" s="35">
        <v>46147.398143344908</v>
      </c>
    </row>
    <row r="1618" spans="2:8" x14ac:dyDescent="0.2">
      <c r="B1618" s="32">
        <v>46045</v>
      </c>
      <c r="C1618" t="s">
        <v>109</v>
      </c>
      <c r="D1618" t="s">
        <v>192</v>
      </c>
      <c r="E1618" s="13" t="s">
        <v>530</v>
      </c>
      <c r="F1618" s="12">
        <v>1</v>
      </c>
      <c r="G1618" s="12">
        <v>100840.34</v>
      </c>
      <c r="H1618" s="35">
        <v>46147.398143344908</v>
      </c>
    </row>
    <row r="1619" spans="2:8" x14ac:dyDescent="0.2">
      <c r="B1619" s="32">
        <v>46045</v>
      </c>
      <c r="C1619" t="s">
        <v>109</v>
      </c>
      <c r="D1619" t="s">
        <v>482</v>
      </c>
      <c r="E1619" s="13" t="s">
        <v>529</v>
      </c>
      <c r="F1619" s="12">
        <v>1</v>
      </c>
      <c r="G1619" s="12">
        <v>75630.25</v>
      </c>
      <c r="H1619" s="35">
        <v>46147.398143344908</v>
      </c>
    </row>
    <row r="1620" spans="2:8" x14ac:dyDescent="0.2">
      <c r="B1620" s="32">
        <v>46045</v>
      </c>
      <c r="C1620" t="s">
        <v>109</v>
      </c>
      <c r="D1620" t="s">
        <v>187</v>
      </c>
      <c r="E1620" s="13" t="s">
        <v>530</v>
      </c>
      <c r="F1620" s="12">
        <v>1</v>
      </c>
      <c r="G1620" s="12">
        <v>71428.570000000007</v>
      </c>
      <c r="H1620" s="35">
        <v>46147.398143344908</v>
      </c>
    </row>
    <row r="1621" spans="2:8" x14ac:dyDescent="0.2">
      <c r="B1621" s="32">
        <v>46045</v>
      </c>
      <c r="C1621" t="s">
        <v>109</v>
      </c>
      <c r="D1621" t="s">
        <v>525</v>
      </c>
      <c r="E1621" s="13" t="s">
        <v>529</v>
      </c>
      <c r="F1621" s="12">
        <v>1</v>
      </c>
      <c r="G1621" s="12">
        <v>71428.570000000007</v>
      </c>
      <c r="H1621" s="35">
        <v>46147.398143344908</v>
      </c>
    </row>
    <row r="1622" spans="2:8" x14ac:dyDescent="0.2">
      <c r="B1622" s="32">
        <v>46045</v>
      </c>
      <c r="C1622" t="s">
        <v>109</v>
      </c>
      <c r="D1622" t="s">
        <v>522</v>
      </c>
      <c r="E1622" s="13" t="s">
        <v>529</v>
      </c>
      <c r="F1622" s="12">
        <v>1</v>
      </c>
      <c r="G1622" s="12">
        <v>54621.85</v>
      </c>
      <c r="H1622" s="35">
        <v>46147.398143344908</v>
      </c>
    </row>
    <row r="1623" spans="2:8" x14ac:dyDescent="0.2">
      <c r="B1623" s="32">
        <v>46045</v>
      </c>
      <c r="C1623" t="s">
        <v>109</v>
      </c>
      <c r="D1623" t="s">
        <v>344</v>
      </c>
      <c r="E1623" s="13" t="s">
        <v>529</v>
      </c>
      <c r="F1623" s="12">
        <v>1</v>
      </c>
      <c r="G1623" s="12">
        <v>54621.85</v>
      </c>
      <c r="H1623" s="35">
        <v>46147.398143344908</v>
      </c>
    </row>
    <row r="1624" spans="2:8" x14ac:dyDescent="0.2">
      <c r="B1624" s="32">
        <v>46045</v>
      </c>
      <c r="C1624" t="s">
        <v>109</v>
      </c>
      <c r="D1624" t="s">
        <v>156</v>
      </c>
      <c r="E1624" s="13" t="s">
        <v>529</v>
      </c>
      <c r="F1624" s="12">
        <v>1</v>
      </c>
      <c r="G1624" s="12">
        <v>46218.49</v>
      </c>
      <c r="H1624" s="35">
        <v>46147.398143344908</v>
      </c>
    </row>
    <row r="1625" spans="2:8" x14ac:dyDescent="0.2">
      <c r="B1625" s="32">
        <v>46045</v>
      </c>
      <c r="C1625" t="s">
        <v>109</v>
      </c>
      <c r="D1625" t="s">
        <v>261</v>
      </c>
      <c r="E1625" s="13" t="s">
        <v>529</v>
      </c>
      <c r="F1625" s="12">
        <v>1</v>
      </c>
      <c r="G1625" s="12">
        <v>37815.129999999997</v>
      </c>
      <c r="H1625" s="35">
        <v>46147.398143344908</v>
      </c>
    </row>
    <row r="1626" spans="2:8" x14ac:dyDescent="0.2">
      <c r="B1626" s="32">
        <v>46045</v>
      </c>
      <c r="C1626" t="s">
        <v>109</v>
      </c>
      <c r="D1626" t="s">
        <v>246</v>
      </c>
      <c r="E1626" s="13" t="s">
        <v>530</v>
      </c>
      <c r="F1626" s="12">
        <v>1</v>
      </c>
      <c r="G1626" s="12">
        <v>37815.129999999997</v>
      </c>
      <c r="H1626" s="35">
        <v>46147.398143344908</v>
      </c>
    </row>
    <row r="1627" spans="2:8" x14ac:dyDescent="0.2">
      <c r="B1627" s="32">
        <v>46046</v>
      </c>
      <c r="C1627" t="s">
        <v>140</v>
      </c>
      <c r="D1627" t="s">
        <v>566</v>
      </c>
      <c r="E1627" s="13"/>
      <c r="F1627" s="12">
        <v>1</v>
      </c>
      <c r="G1627" s="12">
        <v>0</v>
      </c>
      <c r="H1627" s="35">
        <v>46147.398143344908</v>
      </c>
    </row>
    <row r="1628" spans="2:8" x14ac:dyDescent="0.2">
      <c r="B1628" s="32">
        <v>46046</v>
      </c>
      <c r="C1628" t="s">
        <v>109</v>
      </c>
      <c r="D1628" t="s">
        <v>286</v>
      </c>
      <c r="E1628" s="13" t="s">
        <v>530</v>
      </c>
      <c r="F1628" s="12">
        <v>1</v>
      </c>
      <c r="G1628" s="12">
        <v>130252.1</v>
      </c>
      <c r="H1628" s="35">
        <v>46147.398143344908</v>
      </c>
    </row>
    <row r="1629" spans="2:8" x14ac:dyDescent="0.2">
      <c r="B1629" s="32">
        <v>46046</v>
      </c>
      <c r="C1629" t="s">
        <v>109</v>
      </c>
      <c r="D1629" t="s">
        <v>539</v>
      </c>
      <c r="E1629" s="13" t="s">
        <v>529</v>
      </c>
      <c r="F1629" s="12">
        <v>2</v>
      </c>
      <c r="G1629" s="12">
        <v>121008.4</v>
      </c>
      <c r="H1629" s="35">
        <v>46147.398143344908</v>
      </c>
    </row>
    <row r="1630" spans="2:8" x14ac:dyDescent="0.2">
      <c r="B1630" s="32">
        <v>46046</v>
      </c>
      <c r="C1630" t="s">
        <v>109</v>
      </c>
      <c r="D1630" t="s">
        <v>489</v>
      </c>
      <c r="E1630" s="13" t="s">
        <v>529</v>
      </c>
      <c r="F1630" s="12">
        <v>1</v>
      </c>
      <c r="G1630" s="12">
        <v>109243.7</v>
      </c>
      <c r="H1630" s="35">
        <v>46147.398143344908</v>
      </c>
    </row>
    <row r="1631" spans="2:8" x14ac:dyDescent="0.2">
      <c r="B1631" s="32">
        <v>46046</v>
      </c>
      <c r="C1631" t="s">
        <v>109</v>
      </c>
      <c r="D1631" t="s">
        <v>152</v>
      </c>
      <c r="E1631" s="13" t="s">
        <v>530</v>
      </c>
      <c r="F1631" s="12">
        <v>1</v>
      </c>
      <c r="G1631" s="12">
        <v>100840.34</v>
      </c>
      <c r="H1631" s="35">
        <v>46147.398143344908</v>
      </c>
    </row>
    <row r="1632" spans="2:8" x14ac:dyDescent="0.2">
      <c r="B1632" s="32">
        <v>46046</v>
      </c>
      <c r="C1632" t="s">
        <v>109</v>
      </c>
      <c r="D1632" t="s">
        <v>179</v>
      </c>
      <c r="E1632" s="13" t="s">
        <v>530</v>
      </c>
      <c r="F1632" s="12">
        <v>1</v>
      </c>
      <c r="G1632" s="12">
        <v>84033.61</v>
      </c>
      <c r="H1632" s="35">
        <v>46147.398143344908</v>
      </c>
    </row>
    <row r="1633" spans="2:8" x14ac:dyDescent="0.2">
      <c r="B1633" s="32">
        <v>46046</v>
      </c>
      <c r="C1633" t="s">
        <v>109</v>
      </c>
      <c r="D1633" t="s">
        <v>379</v>
      </c>
      <c r="E1633" s="13" t="s">
        <v>529</v>
      </c>
      <c r="F1633" s="12">
        <v>1</v>
      </c>
      <c r="G1633" s="12">
        <v>75630.25</v>
      </c>
      <c r="H1633" s="35">
        <v>46147.398143344908</v>
      </c>
    </row>
    <row r="1634" spans="2:8" x14ac:dyDescent="0.2">
      <c r="B1634" s="32">
        <v>46046</v>
      </c>
      <c r="C1634" t="s">
        <v>109</v>
      </c>
      <c r="D1634" t="s">
        <v>262</v>
      </c>
      <c r="E1634" s="13" t="s">
        <v>529</v>
      </c>
      <c r="F1634" s="12">
        <v>1</v>
      </c>
      <c r="G1634" s="12">
        <v>75630.25</v>
      </c>
      <c r="H1634" s="35">
        <v>46147.398143344908</v>
      </c>
    </row>
    <row r="1635" spans="2:8" x14ac:dyDescent="0.2">
      <c r="B1635" s="32">
        <v>46046</v>
      </c>
      <c r="C1635" t="s">
        <v>109</v>
      </c>
      <c r="D1635" t="s">
        <v>150</v>
      </c>
      <c r="E1635" s="13" t="s">
        <v>529</v>
      </c>
      <c r="F1635" s="12">
        <v>1</v>
      </c>
      <c r="G1635" s="12">
        <v>75630.25</v>
      </c>
      <c r="H1635" s="35">
        <v>46147.398143344908</v>
      </c>
    </row>
    <row r="1636" spans="2:8" x14ac:dyDescent="0.2">
      <c r="B1636" s="32">
        <v>46046</v>
      </c>
      <c r="C1636" t="s">
        <v>109</v>
      </c>
      <c r="D1636" t="s">
        <v>232</v>
      </c>
      <c r="E1636" s="13" t="s">
        <v>529</v>
      </c>
      <c r="F1636" s="12">
        <v>2</v>
      </c>
      <c r="G1636" s="12">
        <v>75630.25</v>
      </c>
      <c r="H1636" s="35">
        <v>46147.398143344908</v>
      </c>
    </row>
    <row r="1637" spans="2:8" x14ac:dyDescent="0.2">
      <c r="B1637" s="32">
        <v>46046</v>
      </c>
      <c r="C1637" t="s">
        <v>109</v>
      </c>
      <c r="D1637" t="s">
        <v>145</v>
      </c>
      <c r="E1637" s="13" t="s">
        <v>529</v>
      </c>
      <c r="F1637" s="12">
        <v>1</v>
      </c>
      <c r="G1637" s="12">
        <v>71428.58</v>
      </c>
      <c r="H1637" s="35">
        <v>46147.398143344908</v>
      </c>
    </row>
    <row r="1638" spans="2:8" x14ac:dyDescent="0.2">
      <c r="B1638" s="32">
        <v>46046</v>
      </c>
      <c r="C1638" t="s">
        <v>109</v>
      </c>
      <c r="D1638" t="s">
        <v>353</v>
      </c>
      <c r="E1638" s="13" t="s">
        <v>529</v>
      </c>
      <c r="F1638" s="12">
        <v>1</v>
      </c>
      <c r="G1638" s="12">
        <v>71428.570000000007</v>
      </c>
      <c r="H1638" s="35">
        <v>46147.398143344908</v>
      </c>
    </row>
    <row r="1639" spans="2:8" x14ac:dyDescent="0.2">
      <c r="B1639" s="32">
        <v>46046</v>
      </c>
      <c r="C1639" t="s">
        <v>109</v>
      </c>
      <c r="D1639" t="s">
        <v>333</v>
      </c>
      <c r="E1639" s="13" t="s">
        <v>529</v>
      </c>
      <c r="F1639" s="12">
        <v>1</v>
      </c>
      <c r="G1639" s="12">
        <v>71428.570000000007</v>
      </c>
      <c r="H1639" s="35">
        <v>46147.398143344908</v>
      </c>
    </row>
    <row r="1640" spans="2:8" x14ac:dyDescent="0.2">
      <c r="B1640" s="32">
        <v>46046</v>
      </c>
      <c r="C1640" t="s">
        <v>109</v>
      </c>
      <c r="D1640" t="s">
        <v>332</v>
      </c>
      <c r="E1640" s="13" t="s">
        <v>529</v>
      </c>
      <c r="F1640" s="12">
        <v>1</v>
      </c>
      <c r="G1640" s="12">
        <v>71428.570000000007</v>
      </c>
      <c r="H1640" s="35">
        <v>46147.398143344908</v>
      </c>
    </row>
    <row r="1641" spans="2:8" x14ac:dyDescent="0.2">
      <c r="B1641" s="32">
        <v>46046</v>
      </c>
      <c r="C1641" t="s">
        <v>109</v>
      </c>
      <c r="D1641" t="s">
        <v>288</v>
      </c>
      <c r="E1641" s="13" t="s">
        <v>530</v>
      </c>
      <c r="F1641" s="12">
        <v>1</v>
      </c>
      <c r="G1641" s="12">
        <v>58823.53</v>
      </c>
      <c r="H1641" s="35">
        <v>46147.398143344908</v>
      </c>
    </row>
    <row r="1642" spans="2:8" x14ac:dyDescent="0.2">
      <c r="B1642" s="32">
        <v>46046</v>
      </c>
      <c r="C1642" t="s">
        <v>109</v>
      </c>
      <c r="D1642" t="s">
        <v>179</v>
      </c>
      <c r="E1642" s="13" t="s">
        <v>529</v>
      </c>
      <c r="F1642" s="12">
        <v>1</v>
      </c>
      <c r="G1642" s="12">
        <v>58823.519999999997</v>
      </c>
      <c r="H1642" s="35">
        <v>46147.398143344908</v>
      </c>
    </row>
    <row r="1643" spans="2:8" x14ac:dyDescent="0.2">
      <c r="B1643" s="32">
        <v>46046</v>
      </c>
      <c r="C1643" t="s">
        <v>109</v>
      </c>
      <c r="D1643" t="s">
        <v>148</v>
      </c>
      <c r="E1643" s="13" t="s">
        <v>529</v>
      </c>
      <c r="F1643" s="12">
        <v>1</v>
      </c>
      <c r="G1643" s="12">
        <v>46218.49</v>
      </c>
      <c r="H1643" s="35">
        <v>46147.398143344908</v>
      </c>
    </row>
    <row r="1644" spans="2:8" x14ac:dyDescent="0.2">
      <c r="B1644" s="32">
        <v>46046</v>
      </c>
      <c r="C1644" t="s">
        <v>109</v>
      </c>
      <c r="D1644" t="s">
        <v>177</v>
      </c>
      <c r="E1644" s="13" t="s">
        <v>529</v>
      </c>
      <c r="F1644" s="12">
        <v>1</v>
      </c>
      <c r="G1644" s="12">
        <v>46218.49</v>
      </c>
      <c r="H1644" s="35">
        <v>46147.398143344908</v>
      </c>
    </row>
    <row r="1645" spans="2:8" x14ac:dyDescent="0.2">
      <c r="B1645" s="32">
        <v>46046</v>
      </c>
      <c r="C1645" t="s">
        <v>109</v>
      </c>
      <c r="D1645" t="s">
        <v>193</v>
      </c>
      <c r="E1645" s="13" t="s">
        <v>529</v>
      </c>
      <c r="F1645" s="12">
        <v>1</v>
      </c>
      <c r="G1645" s="12">
        <v>46218.49</v>
      </c>
      <c r="H1645" s="35">
        <v>46147.398143344908</v>
      </c>
    </row>
    <row r="1646" spans="2:8" x14ac:dyDescent="0.2">
      <c r="B1646" s="32">
        <v>46046</v>
      </c>
      <c r="C1646" t="s">
        <v>109</v>
      </c>
      <c r="D1646" t="s">
        <v>149</v>
      </c>
      <c r="E1646" s="13" t="s">
        <v>529</v>
      </c>
      <c r="F1646" s="12">
        <v>1</v>
      </c>
      <c r="G1646" s="12">
        <v>46218.49</v>
      </c>
      <c r="H1646" s="35">
        <v>46147.398143344908</v>
      </c>
    </row>
    <row r="1647" spans="2:8" x14ac:dyDescent="0.2">
      <c r="B1647" s="32">
        <v>46046</v>
      </c>
      <c r="C1647" t="s">
        <v>109</v>
      </c>
      <c r="D1647" t="s">
        <v>159</v>
      </c>
      <c r="E1647" s="13" t="s">
        <v>529</v>
      </c>
      <c r="F1647" s="12">
        <v>1</v>
      </c>
      <c r="G1647" s="12">
        <v>42016.81</v>
      </c>
      <c r="H1647" s="35">
        <v>46147.398143344908</v>
      </c>
    </row>
    <row r="1648" spans="2:8" x14ac:dyDescent="0.2">
      <c r="B1648" s="32">
        <v>46046</v>
      </c>
      <c r="C1648" t="s">
        <v>109</v>
      </c>
      <c r="D1648" t="s">
        <v>164</v>
      </c>
      <c r="E1648" s="13" t="s">
        <v>530</v>
      </c>
      <c r="F1648" s="12">
        <v>1</v>
      </c>
      <c r="G1648" s="12">
        <v>42016.81</v>
      </c>
      <c r="H1648" s="35">
        <v>46147.398143344908</v>
      </c>
    </row>
    <row r="1649" spans="2:8" x14ac:dyDescent="0.2">
      <c r="B1649" s="32">
        <v>46046</v>
      </c>
      <c r="C1649" t="s">
        <v>109</v>
      </c>
      <c r="D1649" t="s">
        <v>201</v>
      </c>
      <c r="E1649" s="13" t="s">
        <v>529</v>
      </c>
      <c r="F1649" s="12">
        <v>1</v>
      </c>
      <c r="G1649" s="12">
        <v>42016.800000000003</v>
      </c>
      <c r="H1649" s="35">
        <v>46147.398143344908</v>
      </c>
    </row>
    <row r="1650" spans="2:8" x14ac:dyDescent="0.2">
      <c r="B1650" s="32">
        <v>46046</v>
      </c>
      <c r="C1650" t="s">
        <v>109</v>
      </c>
      <c r="D1650" t="s">
        <v>171</v>
      </c>
      <c r="E1650" s="13" t="s">
        <v>529</v>
      </c>
      <c r="F1650" s="12">
        <v>1</v>
      </c>
      <c r="G1650" s="12">
        <v>37815.129999999997</v>
      </c>
      <c r="H1650" s="35">
        <v>46147.398143344908</v>
      </c>
    </row>
    <row r="1651" spans="2:8" x14ac:dyDescent="0.2">
      <c r="B1651" s="32">
        <v>46046</v>
      </c>
      <c r="C1651" t="s">
        <v>109</v>
      </c>
      <c r="D1651" t="s">
        <v>142</v>
      </c>
      <c r="E1651" s="13" t="s">
        <v>529</v>
      </c>
      <c r="F1651" s="12">
        <v>1</v>
      </c>
      <c r="G1651" s="12">
        <v>25210.080000000002</v>
      </c>
      <c r="H1651" s="35">
        <v>46147.398143344908</v>
      </c>
    </row>
    <row r="1652" spans="2:8" x14ac:dyDescent="0.2">
      <c r="B1652" s="32">
        <v>46046</v>
      </c>
      <c r="C1652" t="s">
        <v>109</v>
      </c>
      <c r="E1652" s="13" t="s">
        <v>530</v>
      </c>
      <c r="F1652" s="12">
        <v>0</v>
      </c>
      <c r="G1652" s="12">
        <v>0</v>
      </c>
      <c r="H1652" s="35">
        <v>46147.398143344908</v>
      </c>
    </row>
    <row r="1653" spans="2:8" x14ac:dyDescent="0.2">
      <c r="B1653" s="32">
        <v>46047</v>
      </c>
      <c r="C1653" t="s">
        <v>140</v>
      </c>
      <c r="D1653" t="s">
        <v>158</v>
      </c>
      <c r="E1653" s="13" t="s">
        <v>530</v>
      </c>
      <c r="F1653" s="12">
        <v>2</v>
      </c>
      <c r="G1653" s="12">
        <v>92436.97</v>
      </c>
      <c r="H1653" s="35">
        <v>46147.398143344908</v>
      </c>
    </row>
    <row r="1654" spans="2:8" x14ac:dyDescent="0.2">
      <c r="B1654" s="32">
        <v>46047</v>
      </c>
      <c r="C1654" t="s">
        <v>140</v>
      </c>
      <c r="D1654" t="s">
        <v>279</v>
      </c>
      <c r="E1654" s="13" t="s">
        <v>529</v>
      </c>
      <c r="F1654" s="12">
        <v>1</v>
      </c>
      <c r="G1654" s="12">
        <v>58823.53</v>
      </c>
      <c r="H1654" s="35">
        <v>46147.398143344908</v>
      </c>
    </row>
    <row r="1655" spans="2:8" x14ac:dyDescent="0.2">
      <c r="B1655" s="32">
        <v>46047</v>
      </c>
      <c r="C1655" t="s">
        <v>140</v>
      </c>
      <c r="D1655" t="s">
        <v>231</v>
      </c>
      <c r="E1655" s="13" t="s">
        <v>529</v>
      </c>
      <c r="F1655" s="12">
        <v>1</v>
      </c>
      <c r="G1655" s="12">
        <v>58823.53</v>
      </c>
      <c r="H1655" s="35">
        <v>46147.398143344908</v>
      </c>
    </row>
    <row r="1656" spans="2:8" x14ac:dyDescent="0.2">
      <c r="B1656" s="32">
        <v>46047</v>
      </c>
      <c r="C1656" t="s">
        <v>140</v>
      </c>
      <c r="D1656" t="s">
        <v>270</v>
      </c>
      <c r="E1656" s="13" t="s">
        <v>529</v>
      </c>
      <c r="F1656" s="12">
        <v>1</v>
      </c>
      <c r="G1656" s="12">
        <v>58823.53</v>
      </c>
      <c r="H1656" s="35">
        <v>46147.398143344908</v>
      </c>
    </row>
    <row r="1657" spans="2:8" x14ac:dyDescent="0.2">
      <c r="B1657" s="32">
        <v>46047</v>
      </c>
      <c r="C1657" t="s">
        <v>140</v>
      </c>
      <c r="D1657" t="s">
        <v>236</v>
      </c>
      <c r="E1657" s="13" t="s">
        <v>530</v>
      </c>
      <c r="F1657" s="12">
        <v>1</v>
      </c>
      <c r="G1657" s="12">
        <v>46218.49</v>
      </c>
      <c r="H1657" s="35">
        <v>46147.398143344908</v>
      </c>
    </row>
    <row r="1658" spans="2:8" x14ac:dyDescent="0.2">
      <c r="B1658" s="32">
        <v>46047</v>
      </c>
      <c r="C1658" t="s">
        <v>140</v>
      </c>
      <c r="E1658" s="13" t="s">
        <v>530</v>
      </c>
      <c r="F1658" s="12">
        <v>0</v>
      </c>
      <c r="G1658" s="12">
        <v>0</v>
      </c>
      <c r="H1658" s="35">
        <v>46147.398143344908</v>
      </c>
    </row>
    <row r="1659" spans="2:8" x14ac:dyDescent="0.2">
      <c r="B1659" s="32">
        <v>46047</v>
      </c>
      <c r="C1659" t="s">
        <v>140</v>
      </c>
      <c r="E1659" s="13" t="s">
        <v>529</v>
      </c>
      <c r="F1659" s="12">
        <v>0</v>
      </c>
      <c r="G1659" s="12">
        <v>0</v>
      </c>
      <c r="H1659" s="35">
        <v>46147.398143344908</v>
      </c>
    </row>
    <row r="1660" spans="2:8" x14ac:dyDescent="0.2">
      <c r="B1660" s="32">
        <v>46047</v>
      </c>
      <c r="C1660" t="s">
        <v>109</v>
      </c>
      <c r="D1660" t="s">
        <v>188</v>
      </c>
      <c r="E1660" s="13" t="s">
        <v>530</v>
      </c>
      <c r="F1660" s="12">
        <v>2</v>
      </c>
      <c r="G1660" s="12">
        <v>159663.87</v>
      </c>
      <c r="H1660" s="35">
        <v>46147.398143344908</v>
      </c>
    </row>
    <row r="1661" spans="2:8" x14ac:dyDescent="0.2">
      <c r="B1661" s="32">
        <v>46047</v>
      </c>
      <c r="C1661" t="s">
        <v>109</v>
      </c>
      <c r="D1661" t="s">
        <v>570</v>
      </c>
      <c r="E1661" s="13" t="s">
        <v>529</v>
      </c>
      <c r="F1661" s="12">
        <v>1</v>
      </c>
      <c r="G1661" s="12">
        <v>159663.87</v>
      </c>
      <c r="H1661" s="35">
        <v>46147.398143344908</v>
      </c>
    </row>
    <row r="1662" spans="2:8" x14ac:dyDescent="0.2">
      <c r="B1662" s="32">
        <v>46047</v>
      </c>
      <c r="C1662" t="s">
        <v>109</v>
      </c>
      <c r="D1662" t="s">
        <v>535</v>
      </c>
      <c r="E1662" s="13" t="s">
        <v>529</v>
      </c>
      <c r="F1662" s="12">
        <v>1</v>
      </c>
      <c r="G1662" s="12">
        <v>99000</v>
      </c>
      <c r="H1662" s="35">
        <v>46147.398143344908</v>
      </c>
    </row>
    <row r="1663" spans="2:8" x14ac:dyDescent="0.2">
      <c r="B1663" s="32">
        <v>46047</v>
      </c>
      <c r="C1663" t="s">
        <v>109</v>
      </c>
      <c r="D1663" t="s">
        <v>145</v>
      </c>
      <c r="E1663" s="13" t="s">
        <v>530</v>
      </c>
      <c r="F1663" s="12">
        <v>1</v>
      </c>
      <c r="G1663" s="12">
        <v>71428.570000000007</v>
      </c>
      <c r="H1663" s="35">
        <v>46147.398143344908</v>
      </c>
    </row>
    <row r="1664" spans="2:8" x14ac:dyDescent="0.2">
      <c r="B1664" s="32">
        <v>46047</v>
      </c>
      <c r="C1664" t="s">
        <v>109</v>
      </c>
      <c r="D1664" t="s">
        <v>147</v>
      </c>
      <c r="E1664" s="13" t="s">
        <v>530</v>
      </c>
      <c r="F1664" s="12">
        <v>1</v>
      </c>
      <c r="G1664" s="12">
        <v>71428.570000000007</v>
      </c>
      <c r="H1664" s="35">
        <v>46147.398143344908</v>
      </c>
    </row>
    <row r="1665" spans="2:8" x14ac:dyDescent="0.2">
      <c r="B1665" s="32">
        <v>46047</v>
      </c>
      <c r="C1665" t="s">
        <v>109</v>
      </c>
      <c r="D1665" t="s">
        <v>289</v>
      </c>
      <c r="E1665" s="13" t="s">
        <v>530</v>
      </c>
      <c r="F1665" s="12">
        <v>1</v>
      </c>
      <c r="G1665" s="12">
        <v>46218.49</v>
      </c>
      <c r="H1665" s="35">
        <v>46147.398143344908</v>
      </c>
    </row>
    <row r="1666" spans="2:8" x14ac:dyDescent="0.2">
      <c r="B1666" s="32">
        <v>46047</v>
      </c>
      <c r="C1666" t="s">
        <v>109</v>
      </c>
      <c r="D1666" t="s">
        <v>236</v>
      </c>
      <c r="E1666" s="13" t="s">
        <v>529</v>
      </c>
      <c r="F1666" s="12">
        <v>1</v>
      </c>
      <c r="G1666" s="12">
        <v>46218.49</v>
      </c>
      <c r="H1666" s="35">
        <v>46147.398143344908</v>
      </c>
    </row>
    <row r="1667" spans="2:8" x14ac:dyDescent="0.2">
      <c r="B1667" s="32">
        <v>46047</v>
      </c>
      <c r="C1667" t="s">
        <v>109</v>
      </c>
      <c r="D1667" t="s">
        <v>156</v>
      </c>
      <c r="E1667" s="13" t="s">
        <v>529</v>
      </c>
      <c r="F1667" s="12">
        <v>1</v>
      </c>
      <c r="G1667" s="12">
        <v>46218.48</v>
      </c>
      <c r="H1667" s="35">
        <v>46147.398143344908</v>
      </c>
    </row>
    <row r="1668" spans="2:8" x14ac:dyDescent="0.2">
      <c r="B1668" s="32">
        <v>46047</v>
      </c>
      <c r="C1668" t="s">
        <v>109</v>
      </c>
      <c r="D1668" t="s">
        <v>148</v>
      </c>
      <c r="E1668" s="13" t="s">
        <v>529</v>
      </c>
      <c r="F1668" s="12">
        <v>1</v>
      </c>
      <c r="G1668" s="12">
        <v>46218.48</v>
      </c>
      <c r="H1668" s="35">
        <v>46147.398143344908</v>
      </c>
    </row>
    <row r="1669" spans="2:8" x14ac:dyDescent="0.2">
      <c r="B1669" s="32">
        <v>46047</v>
      </c>
      <c r="C1669" t="s">
        <v>109</v>
      </c>
      <c r="D1669" t="s">
        <v>164</v>
      </c>
      <c r="E1669" s="13" t="s">
        <v>529</v>
      </c>
      <c r="F1669" s="12">
        <v>1</v>
      </c>
      <c r="G1669" s="12">
        <v>42016.81</v>
      </c>
      <c r="H1669" s="35">
        <v>46147.398143344908</v>
      </c>
    </row>
    <row r="1670" spans="2:8" x14ac:dyDescent="0.2">
      <c r="B1670" s="32">
        <v>46047</v>
      </c>
      <c r="C1670" t="s">
        <v>109</v>
      </c>
      <c r="D1670" t="s">
        <v>232</v>
      </c>
      <c r="E1670" s="13" t="s">
        <v>529</v>
      </c>
      <c r="F1670" s="12">
        <v>1</v>
      </c>
      <c r="G1670" s="12">
        <v>37815.129999999997</v>
      </c>
      <c r="H1670" s="35">
        <v>46147.398143344908</v>
      </c>
    </row>
    <row r="1671" spans="2:8" x14ac:dyDescent="0.2">
      <c r="B1671" s="32">
        <v>46047</v>
      </c>
      <c r="C1671" t="s">
        <v>109</v>
      </c>
      <c r="D1671" t="s">
        <v>169</v>
      </c>
      <c r="E1671" s="13" t="s">
        <v>529</v>
      </c>
      <c r="F1671" s="12">
        <v>1</v>
      </c>
      <c r="G1671" s="12">
        <v>29411.759999999998</v>
      </c>
      <c r="H1671" s="35">
        <v>46147.398143344908</v>
      </c>
    </row>
    <row r="1672" spans="2:8" x14ac:dyDescent="0.2">
      <c r="B1672" s="32">
        <v>46048</v>
      </c>
      <c r="C1672" t="s">
        <v>140</v>
      </c>
      <c r="D1672" t="s">
        <v>479</v>
      </c>
      <c r="E1672" s="13" t="s">
        <v>529</v>
      </c>
      <c r="F1672" s="12">
        <v>3</v>
      </c>
      <c r="G1672" s="12">
        <v>563025.21</v>
      </c>
      <c r="H1672" s="35">
        <v>46147.398143344908</v>
      </c>
    </row>
    <row r="1673" spans="2:8" x14ac:dyDescent="0.2">
      <c r="B1673" s="32">
        <v>46048</v>
      </c>
      <c r="C1673" t="s">
        <v>140</v>
      </c>
      <c r="D1673" t="s">
        <v>540</v>
      </c>
      <c r="E1673" s="13" t="s">
        <v>529</v>
      </c>
      <c r="F1673" s="12">
        <v>2</v>
      </c>
      <c r="G1673" s="12">
        <v>126050.42</v>
      </c>
      <c r="H1673" s="35">
        <v>46147.398143344908</v>
      </c>
    </row>
    <row r="1674" spans="2:8" x14ac:dyDescent="0.2">
      <c r="B1674" s="32">
        <v>46048</v>
      </c>
      <c r="C1674" t="s">
        <v>140</v>
      </c>
      <c r="D1674" t="s">
        <v>226</v>
      </c>
      <c r="E1674" s="13" t="s">
        <v>529</v>
      </c>
      <c r="F1674" s="12">
        <v>2</v>
      </c>
      <c r="G1674" s="12">
        <v>109243.7</v>
      </c>
      <c r="H1674" s="35">
        <v>46147.398143344908</v>
      </c>
    </row>
    <row r="1675" spans="2:8" x14ac:dyDescent="0.2">
      <c r="B1675" s="32">
        <v>46048</v>
      </c>
      <c r="C1675" t="s">
        <v>140</v>
      </c>
      <c r="D1675" t="s">
        <v>237</v>
      </c>
      <c r="E1675" s="13" t="s">
        <v>529</v>
      </c>
      <c r="F1675" s="12">
        <v>2</v>
      </c>
      <c r="G1675" s="12">
        <v>100840.34</v>
      </c>
      <c r="H1675" s="35">
        <v>46147.398143344908</v>
      </c>
    </row>
    <row r="1676" spans="2:8" x14ac:dyDescent="0.2">
      <c r="B1676" s="32">
        <v>46048</v>
      </c>
      <c r="C1676" t="s">
        <v>140</v>
      </c>
      <c r="D1676" t="s">
        <v>296</v>
      </c>
      <c r="E1676" s="13" t="s">
        <v>530</v>
      </c>
      <c r="F1676" s="12">
        <v>1</v>
      </c>
      <c r="G1676" s="12">
        <v>100840.34</v>
      </c>
      <c r="H1676" s="35">
        <v>46147.398143344908</v>
      </c>
    </row>
    <row r="1677" spans="2:8" x14ac:dyDescent="0.2">
      <c r="B1677" s="32">
        <v>46048</v>
      </c>
      <c r="C1677" t="s">
        <v>140</v>
      </c>
      <c r="D1677" t="s">
        <v>361</v>
      </c>
      <c r="E1677" s="13" t="s">
        <v>529</v>
      </c>
      <c r="F1677" s="12">
        <v>1</v>
      </c>
      <c r="G1677" s="12">
        <v>84033.61</v>
      </c>
      <c r="H1677" s="35">
        <v>46147.398143344908</v>
      </c>
    </row>
    <row r="1678" spans="2:8" x14ac:dyDescent="0.2">
      <c r="B1678" s="32">
        <v>46048</v>
      </c>
      <c r="C1678" t="s">
        <v>140</v>
      </c>
      <c r="D1678" t="s">
        <v>211</v>
      </c>
      <c r="E1678" s="13" t="s">
        <v>530</v>
      </c>
      <c r="F1678" s="12">
        <v>1</v>
      </c>
      <c r="G1678" s="12">
        <v>63025.21</v>
      </c>
      <c r="H1678" s="35">
        <v>46147.398143344908</v>
      </c>
    </row>
    <row r="1679" spans="2:8" x14ac:dyDescent="0.2">
      <c r="B1679" s="32">
        <v>46048</v>
      </c>
      <c r="C1679" t="s">
        <v>140</v>
      </c>
      <c r="D1679" t="s">
        <v>285</v>
      </c>
      <c r="E1679" s="13" t="s">
        <v>529</v>
      </c>
      <c r="F1679" s="12">
        <v>1</v>
      </c>
      <c r="G1679" s="12">
        <v>63025.21</v>
      </c>
      <c r="H1679" s="35">
        <v>46147.398143344908</v>
      </c>
    </row>
    <row r="1680" spans="2:8" x14ac:dyDescent="0.2">
      <c r="B1680" s="32">
        <v>46048</v>
      </c>
      <c r="C1680" t="s">
        <v>140</v>
      </c>
      <c r="D1680" t="s">
        <v>265</v>
      </c>
      <c r="E1680" s="13" t="s">
        <v>530</v>
      </c>
      <c r="F1680" s="12">
        <v>1</v>
      </c>
      <c r="G1680" s="12">
        <v>58823.53</v>
      </c>
      <c r="H1680" s="35">
        <v>46147.398143344908</v>
      </c>
    </row>
    <row r="1681" spans="2:8" x14ac:dyDescent="0.2">
      <c r="B1681" s="32">
        <v>46048</v>
      </c>
      <c r="C1681" t="s">
        <v>140</v>
      </c>
      <c r="D1681" t="s">
        <v>208</v>
      </c>
      <c r="E1681" s="13" t="s">
        <v>530</v>
      </c>
      <c r="F1681" s="12">
        <v>1</v>
      </c>
      <c r="G1681" s="12">
        <v>50420.17</v>
      </c>
      <c r="H1681" s="35">
        <v>46147.398143344908</v>
      </c>
    </row>
    <row r="1682" spans="2:8" x14ac:dyDescent="0.2">
      <c r="B1682" s="32">
        <v>46048</v>
      </c>
      <c r="C1682" t="s">
        <v>140</v>
      </c>
      <c r="E1682" s="13" t="s">
        <v>530</v>
      </c>
      <c r="F1682" s="12">
        <v>0</v>
      </c>
      <c r="G1682" s="12">
        <v>0</v>
      </c>
      <c r="H1682" s="35">
        <v>46147.398143344908</v>
      </c>
    </row>
    <row r="1683" spans="2:8" x14ac:dyDescent="0.2">
      <c r="B1683" s="32">
        <v>46048</v>
      </c>
      <c r="C1683" t="s">
        <v>140</v>
      </c>
      <c r="E1683" s="13" t="s">
        <v>529</v>
      </c>
      <c r="F1683" s="12">
        <v>0</v>
      </c>
      <c r="G1683" s="12">
        <v>0</v>
      </c>
      <c r="H1683" s="35">
        <v>46147.398143344908</v>
      </c>
    </row>
    <row r="1684" spans="2:8" x14ac:dyDescent="0.2">
      <c r="B1684" s="32">
        <v>46048</v>
      </c>
      <c r="C1684" t="s">
        <v>109</v>
      </c>
      <c r="D1684" t="s">
        <v>299</v>
      </c>
      <c r="E1684" s="13" t="s">
        <v>529</v>
      </c>
      <c r="F1684" s="12">
        <v>1</v>
      </c>
      <c r="G1684" s="12">
        <v>336977.53</v>
      </c>
      <c r="H1684" s="35">
        <v>46147.398143344908</v>
      </c>
    </row>
    <row r="1685" spans="2:8" x14ac:dyDescent="0.2">
      <c r="B1685" s="32">
        <v>46048</v>
      </c>
      <c r="C1685" t="s">
        <v>109</v>
      </c>
      <c r="D1685" t="s">
        <v>143</v>
      </c>
      <c r="E1685" s="13" t="s">
        <v>529</v>
      </c>
      <c r="F1685" s="12">
        <v>5</v>
      </c>
      <c r="G1685" s="12">
        <v>147058.82</v>
      </c>
      <c r="H1685" s="35">
        <v>46147.398143344908</v>
      </c>
    </row>
    <row r="1686" spans="2:8" x14ac:dyDescent="0.2">
      <c r="B1686" s="32">
        <v>46048</v>
      </c>
      <c r="C1686" t="s">
        <v>109</v>
      </c>
      <c r="D1686" t="s">
        <v>243</v>
      </c>
      <c r="E1686" s="13" t="s">
        <v>529</v>
      </c>
      <c r="F1686" s="12">
        <v>1</v>
      </c>
      <c r="G1686" s="12">
        <v>125287.8</v>
      </c>
      <c r="H1686" s="35">
        <v>46147.398143344908</v>
      </c>
    </row>
    <row r="1687" spans="2:8" x14ac:dyDescent="0.2">
      <c r="B1687" s="32">
        <v>46048</v>
      </c>
      <c r="C1687" t="s">
        <v>109</v>
      </c>
      <c r="D1687" t="s">
        <v>143</v>
      </c>
      <c r="E1687" s="13" t="s">
        <v>530</v>
      </c>
      <c r="F1687" s="12">
        <v>4</v>
      </c>
      <c r="G1687" s="12">
        <v>117647.06</v>
      </c>
      <c r="H1687" s="35">
        <v>46147.398143344908</v>
      </c>
    </row>
    <row r="1688" spans="2:8" x14ac:dyDescent="0.2">
      <c r="B1688" s="32">
        <v>46048</v>
      </c>
      <c r="C1688" t="s">
        <v>109</v>
      </c>
      <c r="D1688" t="s">
        <v>571</v>
      </c>
      <c r="E1688" s="13" t="s">
        <v>529</v>
      </c>
      <c r="F1688" s="12">
        <v>1</v>
      </c>
      <c r="G1688" s="12">
        <v>97407.09</v>
      </c>
      <c r="H1688" s="35">
        <v>46147.398143344908</v>
      </c>
    </row>
    <row r="1689" spans="2:8" x14ac:dyDescent="0.2">
      <c r="B1689" s="32">
        <v>46048</v>
      </c>
      <c r="C1689" t="s">
        <v>109</v>
      </c>
      <c r="D1689" t="s">
        <v>264</v>
      </c>
      <c r="E1689" s="13" t="s">
        <v>530</v>
      </c>
      <c r="F1689" s="12">
        <v>1</v>
      </c>
      <c r="G1689" s="12">
        <v>84033.61</v>
      </c>
      <c r="H1689" s="35">
        <v>46147.398143344908</v>
      </c>
    </row>
    <row r="1690" spans="2:8" x14ac:dyDescent="0.2">
      <c r="B1690" s="32">
        <v>46048</v>
      </c>
      <c r="C1690" t="s">
        <v>109</v>
      </c>
      <c r="D1690" t="s">
        <v>175</v>
      </c>
      <c r="E1690" s="13" t="s">
        <v>530</v>
      </c>
      <c r="F1690" s="12">
        <v>2</v>
      </c>
      <c r="G1690" s="12">
        <v>84033.61</v>
      </c>
      <c r="H1690" s="35">
        <v>46147.398143344908</v>
      </c>
    </row>
    <row r="1691" spans="2:8" x14ac:dyDescent="0.2">
      <c r="B1691" s="32">
        <v>46048</v>
      </c>
      <c r="C1691" t="s">
        <v>109</v>
      </c>
      <c r="D1691" t="s">
        <v>155</v>
      </c>
      <c r="E1691" s="13" t="s">
        <v>529</v>
      </c>
      <c r="F1691" s="12">
        <v>1</v>
      </c>
      <c r="G1691" s="12">
        <v>83525.2</v>
      </c>
      <c r="H1691" s="35">
        <v>46147.398143344908</v>
      </c>
    </row>
    <row r="1692" spans="2:8" x14ac:dyDescent="0.2">
      <c r="B1692" s="32">
        <v>46048</v>
      </c>
      <c r="C1692" t="s">
        <v>109</v>
      </c>
      <c r="D1692" t="s">
        <v>564</v>
      </c>
      <c r="E1692" s="13" t="s">
        <v>529</v>
      </c>
      <c r="F1692" s="12">
        <v>1</v>
      </c>
      <c r="G1692" s="12">
        <v>83525.19</v>
      </c>
      <c r="H1692" s="35">
        <v>46147.398143344908</v>
      </c>
    </row>
    <row r="1693" spans="2:8" x14ac:dyDescent="0.2">
      <c r="B1693" s="32">
        <v>46048</v>
      </c>
      <c r="C1693" t="s">
        <v>109</v>
      </c>
      <c r="D1693" t="s">
        <v>269</v>
      </c>
      <c r="E1693" s="13" t="s">
        <v>530</v>
      </c>
      <c r="F1693" s="12">
        <v>1</v>
      </c>
      <c r="G1693" s="12">
        <v>83193.279999999999</v>
      </c>
      <c r="H1693" s="35">
        <v>46147.398143344908</v>
      </c>
    </row>
    <row r="1694" spans="2:8" x14ac:dyDescent="0.2">
      <c r="B1694" s="32">
        <v>46048</v>
      </c>
      <c r="C1694" t="s">
        <v>109</v>
      </c>
      <c r="D1694" t="s">
        <v>328</v>
      </c>
      <c r="E1694" s="13" t="s">
        <v>529</v>
      </c>
      <c r="F1694" s="12">
        <v>2</v>
      </c>
      <c r="G1694" s="12">
        <v>75172.679999999993</v>
      </c>
      <c r="H1694" s="35">
        <v>46147.398143344908</v>
      </c>
    </row>
    <row r="1695" spans="2:8" x14ac:dyDescent="0.2">
      <c r="B1695" s="32">
        <v>46048</v>
      </c>
      <c r="C1695" t="s">
        <v>109</v>
      </c>
      <c r="D1695" t="s">
        <v>146</v>
      </c>
      <c r="E1695" s="13" t="s">
        <v>529</v>
      </c>
      <c r="F1695" s="12">
        <v>2</v>
      </c>
      <c r="G1695" s="12">
        <v>75172.679999999993</v>
      </c>
      <c r="H1695" s="35">
        <v>46147.398143344908</v>
      </c>
    </row>
    <row r="1696" spans="2:8" x14ac:dyDescent="0.2">
      <c r="B1696" s="32">
        <v>46048</v>
      </c>
      <c r="C1696" t="s">
        <v>109</v>
      </c>
      <c r="D1696" t="s">
        <v>232</v>
      </c>
      <c r="E1696" s="13" t="s">
        <v>529</v>
      </c>
      <c r="F1696" s="12">
        <v>2</v>
      </c>
      <c r="G1696" s="12">
        <v>75172.679999999993</v>
      </c>
      <c r="H1696" s="35">
        <v>46147.398143344908</v>
      </c>
    </row>
    <row r="1697" spans="2:8" x14ac:dyDescent="0.2">
      <c r="B1697" s="32">
        <v>46048</v>
      </c>
      <c r="C1697" t="s">
        <v>109</v>
      </c>
      <c r="D1697" t="s">
        <v>171</v>
      </c>
      <c r="E1697" s="13" t="s">
        <v>529</v>
      </c>
      <c r="F1697" s="12">
        <v>2</v>
      </c>
      <c r="G1697" s="12">
        <v>75172.679999999993</v>
      </c>
      <c r="H1697" s="35">
        <v>46147.398143344908</v>
      </c>
    </row>
    <row r="1698" spans="2:8" x14ac:dyDescent="0.2">
      <c r="B1698" s="32">
        <v>46048</v>
      </c>
      <c r="C1698" t="s">
        <v>109</v>
      </c>
      <c r="D1698" t="s">
        <v>147</v>
      </c>
      <c r="E1698" s="13" t="s">
        <v>530</v>
      </c>
      <c r="F1698" s="12">
        <v>1</v>
      </c>
      <c r="G1698" s="12">
        <v>71428.570000000007</v>
      </c>
      <c r="H1698" s="35">
        <v>46147.398143344908</v>
      </c>
    </row>
    <row r="1699" spans="2:8" x14ac:dyDescent="0.2">
      <c r="B1699" s="32">
        <v>46048</v>
      </c>
      <c r="C1699" t="s">
        <v>109</v>
      </c>
      <c r="D1699" t="s">
        <v>391</v>
      </c>
      <c r="E1699" s="13" t="s">
        <v>529</v>
      </c>
      <c r="F1699" s="12">
        <v>1</v>
      </c>
      <c r="G1699" s="12">
        <v>50115.12</v>
      </c>
      <c r="H1699" s="35">
        <v>46147.398143344908</v>
      </c>
    </row>
    <row r="1700" spans="2:8" x14ac:dyDescent="0.2">
      <c r="B1700" s="32">
        <v>46048</v>
      </c>
      <c r="C1700" t="s">
        <v>109</v>
      </c>
      <c r="D1700" t="s">
        <v>263</v>
      </c>
      <c r="E1700" s="13" t="s">
        <v>529</v>
      </c>
      <c r="F1700" s="12">
        <v>1</v>
      </c>
      <c r="G1700" s="12">
        <v>50115.12</v>
      </c>
      <c r="H1700" s="35">
        <v>46147.398143344908</v>
      </c>
    </row>
    <row r="1701" spans="2:8" x14ac:dyDescent="0.2">
      <c r="B1701" s="32">
        <v>46048</v>
      </c>
      <c r="C1701" t="s">
        <v>109</v>
      </c>
      <c r="D1701" t="s">
        <v>480</v>
      </c>
      <c r="E1701" s="13" t="s">
        <v>529</v>
      </c>
      <c r="F1701" s="12">
        <v>1</v>
      </c>
      <c r="G1701" s="12">
        <v>50115.12</v>
      </c>
      <c r="H1701" s="35">
        <v>46147.398143344908</v>
      </c>
    </row>
    <row r="1702" spans="2:8" x14ac:dyDescent="0.2">
      <c r="B1702" s="32">
        <v>46048</v>
      </c>
      <c r="C1702" t="s">
        <v>109</v>
      </c>
      <c r="D1702" t="s">
        <v>202</v>
      </c>
      <c r="E1702" s="13" t="s">
        <v>530</v>
      </c>
      <c r="F1702" s="12">
        <v>1</v>
      </c>
      <c r="G1702" s="12">
        <v>42016.81</v>
      </c>
      <c r="H1702" s="35">
        <v>46147.398143344908</v>
      </c>
    </row>
    <row r="1703" spans="2:8" x14ac:dyDescent="0.2">
      <c r="B1703" s="32">
        <v>46048</v>
      </c>
      <c r="C1703" t="s">
        <v>109</v>
      </c>
      <c r="D1703" t="s">
        <v>282</v>
      </c>
      <c r="E1703" s="13" t="s">
        <v>530</v>
      </c>
      <c r="F1703" s="12">
        <v>1</v>
      </c>
      <c r="G1703" s="12">
        <v>42016.81</v>
      </c>
      <c r="H1703" s="35">
        <v>46147.398143344908</v>
      </c>
    </row>
    <row r="1704" spans="2:8" x14ac:dyDescent="0.2">
      <c r="B1704" s="32">
        <v>46048</v>
      </c>
      <c r="C1704" t="s">
        <v>109</v>
      </c>
      <c r="D1704" t="s">
        <v>370</v>
      </c>
      <c r="E1704" s="13" t="s">
        <v>529</v>
      </c>
      <c r="F1704" s="12">
        <v>1</v>
      </c>
      <c r="G1704" s="12">
        <v>42016.81</v>
      </c>
      <c r="H1704" s="35">
        <v>46147.398143344908</v>
      </c>
    </row>
    <row r="1705" spans="2:8" x14ac:dyDescent="0.2">
      <c r="B1705" s="32">
        <v>46048</v>
      </c>
      <c r="C1705" t="s">
        <v>109</v>
      </c>
      <c r="D1705" t="s">
        <v>298</v>
      </c>
      <c r="E1705" s="13" t="s">
        <v>530</v>
      </c>
      <c r="F1705" s="12">
        <v>1</v>
      </c>
      <c r="G1705" s="12">
        <v>42016.81</v>
      </c>
      <c r="H1705" s="35">
        <v>46147.398143344908</v>
      </c>
    </row>
    <row r="1706" spans="2:8" x14ac:dyDescent="0.2">
      <c r="B1706" s="32">
        <v>46048</v>
      </c>
      <c r="C1706" t="s">
        <v>109</v>
      </c>
      <c r="D1706" t="s">
        <v>542</v>
      </c>
      <c r="E1706" s="13" t="s">
        <v>529</v>
      </c>
      <c r="F1706" s="12">
        <v>0</v>
      </c>
      <c r="G1706" s="12">
        <v>-113445.38</v>
      </c>
      <c r="H1706" s="35">
        <v>46147.398143344908</v>
      </c>
    </row>
    <row r="1707" spans="2:8" x14ac:dyDescent="0.2">
      <c r="B1707" s="32">
        <v>46049</v>
      </c>
      <c r="C1707" t="s">
        <v>140</v>
      </c>
      <c r="D1707" t="s">
        <v>479</v>
      </c>
      <c r="E1707" s="13" t="s">
        <v>529</v>
      </c>
      <c r="F1707" s="12">
        <v>1</v>
      </c>
      <c r="G1707" s="12">
        <v>323529.40999999997</v>
      </c>
      <c r="H1707" s="35">
        <v>46147.398143344908</v>
      </c>
    </row>
    <row r="1708" spans="2:8" x14ac:dyDescent="0.2">
      <c r="B1708" s="32">
        <v>46049</v>
      </c>
      <c r="C1708" t="s">
        <v>140</v>
      </c>
      <c r="D1708" t="s">
        <v>457</v>
      </c>
      <c r="E1708" s="13" t="s">
        <v>529</v>
      </c>
      <c r="F1708" s="12">
        <v>2</v>
      </c>
      <c r="G1708" s="12">
        <v>201680.67</v>
      </c>
      <c r="H1708" s="35">
        <v>46147.398143344908</v>
      </c>
    </row>
    <row r="1709" spans="2:8" x14ac:dyDescent="0.2">
      <c r="B1709" s="32">
        <v>46049</v>
      </c>
      <c r="C1709" t="s">
        <v>140</v>
      </c>
      <c r="D1709" t="s">
        <v>195</v>
      </c>
      <c r="E1709" s="13" t="s">
        <v>530</v>
      </c>
      <c r="F1709" s="12">
        <v>1</v>
      </c>
      <c r="G1709" s="12">
        <v>109243.7</v>
      </c>
      <c r="H1709" s="35">
        <v>46147.398143344908</v>
      </c>
    </row>
    <row r="1710" spans="2:8" x14ac:dyDescent="0.2">
      <c r="B1710" s="32">
        <v>46049</v>
      </c>
      <c r="C1710" t="s">
        <v>140</v>
      </c>
      <c r="D1710" t="s">
        <v>183</v>
      </c>
      <c r="E1710" s="13" t="s">
        <v>529</v>
      </c>
      <c r="F1710" s="12">
        <v>1</v>
      </c>
      <c r="G1710" s="12">
        <v>100840.34</v>
      </c>
      <c r="H1710" s="35">
        <v>46147.398143344908</v>
      </c>
    </row>
    <row r="1711" spans="2:8" x14ac:dyDescent="0.2">
      <c r="B1711" s="32">
        <v>46049</v>
      </c>
      <c r="C1711" t="s">
        <v>140</v>
      </c>
      <c r="D1711" t="s">
        <v>321</v>
      </c>
      <c r="E1711" s="13" t="s">
        <v>530</v>
      </c>
      <c r="F1711" s="12">
        <v>1</v>
      </c>
      <c r="G1711" s="12">
        <v>83193.279999999999</v>
      </c>
      <c r="H1711" s="35">
        <v>46147.398143344908</v>
      </c>
    </row>
    <row r="1712" spans="2:8" x14ac:dyDescent="0.2">
      <c r="B1712" s="32">
        <v>46049</v>
      </c>
      <c r="C1712" t="s">
        <v>140</v>
      </c>
      <c r="D1712" t="s">
        <v>398</v>
      </c>
      <c r="E1712" s="13" t="s">
        <v>529</v>
      </c>
      <c r="F1712" s="12">
        <v>1</v>
      </c>
      <c r="G1712" s="12">
        <v>63025.21</v>
      </c>
      <c r="H1712" s="35">
        <v>46147.398143344908</v>
      </c>
    </row>
    <row r="1713" spans="2:8" x14ac:dyDescent="0.2">
      <c r="B1713" s="32">
        <v>46049</v>
      </c>
      <c r="C1713" t="s">
        <v>140</v>
      </c>
      <c r="D1713" t="s">
        <v>245</v>
      </c>
      <c r="E1713" s="13" t="s">
        <v>529</v>
      </c>
      <c r="F1713" s="12">
        <v>1</v>
      </c>
      <c r="G1713" s="12">
        <v>63025.21</v>
      </c>
      <c r="H1713" s="35">
        <v>46147.398143344908</v>
      </c>
    </row>
    <row r="1714" spans="2:8" x14ac:dyDescent="0.2">
      <c r="B1714" s="32">
        <v>46049</v>
      </c>
      <c r="C1714" t="s">
        <v>140</v>
      </c>
      <c r="D1714" t="s">
        <v>231</v>
      </c>
      <c r="E1714" s="13" t="s">
        <v>529</v>
      </c>
      <c r="F1714" s="12">
        <v>1</v>
      </c>
      <c r="G1714" s="12">
        <v>63025.21</v>
      </c>
      <c r="H1714" s="35">
        <v>46147.398143344908</v>
      </c>
    </row>
    <row r="1715" spans="2:8" x14ac:dyDescent="0.2">
      <c r="B1715" s="32">
        <v>46049</v>
      </c>
      <c r="C1715" t="s">
        <v>140</v>
      </c>
      <c r="D1715" t="s">
        <v>280</v>
      </c>
      <c r="E1715" s="13" t="s">
        <v>529</v>
      </c>
      <c r="F1715" s="12">
        <v>1</v>
      </c>
      <c r="G1715" s="12">
        <v>63025.21</v>
      </c>
      <c r="H1715" s="35">
        <v>46147.398143344908</v>
      </c>
    </row>
    <row r="1716" spans="2:8" x14ac:dyDescent="0.2">
      <c r="B1716" s="32">
        <v>46049</v>
      </c>
      <c r="C1716" t="s">
        <v>140</v>
      </c>
      <c r="D1716" t="s">
        <v>273</v>
      </c>
      <c r="E1716" s="13" t="s">
        <v>529</v>
      </c>
      <c r="F1716" s="12">
        <v>1</v>
      </c>
      <c r="G1716" s="12">
        <v>63025.21</v>
      </c>
      <c r="H1716" s="35">
        <v>46147.398143344908</v>
      </c>
    </row>
    <row r="1717" spans="2:8" x14ac:dyDescent="0.2">
      <c r="B1717" s="32">
        <v>46049</v>
      </c>
      <c r="C1717" t="s">
        <v>140</v>
      </c>
      <c r="D1717" t="s">
        <v>281</v>
      </c>
      <c r="E1717" s="13" t="s">
        <v>529</v>
      </c>
      <c r="F1717" s="12">
        <v>1</v>
      </c>
      <c r="G1717" s="12">
        <v>54621.85</v>
      </c>
      <c r="H1717" s="35">
        <v>46147.398143344908</v>
      </c>
    </row>
    <row r="1718" spans="2:8" x14ac:dyDescent="0.2">
      <c r="B1718" s="32">
        <v>46049</v>
      </c>
      <c r="C1718" t="s">
        <v>140</v>
      </c>
      <c r="D1718" t="s">
        <v>220</v>
      </c>
      <c r="E1718" s="13" t="s">
        <v>529</v>
      </c>
      <c r="F1718" s="12">
        <v>1</v>
      </c>
      <c r="G1718" s="12">
        <v>54621.85</v>
      </c>
      <c r="H1718" s="35">
        <v>46147.398143344908</v>
      </c>
    </row>
    <row r="1719" spans="2:8" x14ac:dyDescent="0.2">
      <c r="B1719" s="32">
        <v>46049</v>
      </c>
      <c r="C1719" t="s">
        <v>140</v>
      </c>
      <c r="D1719" t="s">
        <v>241</v>
      </c>
      <c r="E1719" s="13" t="s">
        <v>529</v>
      </c>
      <c r="F1719" s="12">
        <v>1</v>
      </c>
      <c r="G1719" s="12">
        <v>54621.85</v>
      </c>
      <c r="H1719" s="35">
        <v>46147.398143344908</v>
      </c>
    </row>
    <row r="1720" spans="2:8" x14ac:dyDescent="0.2">
      <c r="B1720" s="32">
        <v>46049</v>
      </c>
      <c r="C1720" t="s">
        <v>140</v>
      </c>
      <c r="E1720" s="13" t="s">
        <v>530</v>
      </c>
      <c r="F1720" s="12">
        <v>0</v>
      </c>
      <c r="G1720" s="12">
        <v>0</v>
      </c>
      <c r="H1720" s="35">
        <v>46147.398143344908</v>
      </c>
    </row>
    <row r="1721" spans="2:8" x14ac:dyDescent="0.2">
      <c r="B1721" s="32">
        <v>46049</v>
      </c>
      <c r="C1721" t="s">
        <v>140</v>
      </c>
      <c r="E1721" s="13" t="s">
        <v>529</v>
      </c>
      <c r="F1721" s="12">
        <v>0</v>
      </c>
      <c r="G1721" s="12">
        <v>0</v>
      </c>
      <c r="H1721" s="35">
        <v>46147.398143344908</v>
      </c>
    </row>
    <row r="1722" spans="2:8" x14ac:dyDescent="0.2">
      <c r="B1722" s="32">
        <v>46049</v>
      </c>
      <c r="C1722" t="s">
        <v>109</v>
      </c>
      <c r="D1722" t="s">
        <v>260</v>
      </c>
      <c r="E1722" s="13" t="s">
        <v>530</v>
      </c>
      <c r="F1722" s="12">
        <v>1</v>
      </c>
      <c r="G1722" s="12">
        <v>323529.40999999997</v>
      </c>
      <c r="H1722" s="35">
        <v>46147.398143344908</v>
      </c>
    </row>
    <row r="1723" spans="2:8" x14ac:dyDescent="0.2">
      <c r="B1723" s="32">
        <v>46049</v>
      </c>
      <c r="C1723" t="s">
        <v>109</v>
      </c>
      <c r="D1723" t="s">
        <v>149</v>
      </c>
      <c r="E1723" s="13" t="s">
        <v>530</v>
      </c>
      <c r="F1723" s="12">
        <v>2</v>
      </c>
      <c r="G1723" s="12">
        <v>100840.34</v>
      </c>
      <c r="H1723" s="35">
        <v>46147.398143344908</v>
      </c>
    </row>
    <row r="1724" spans="2:8" x14ac:dyDescent="0.2">
      <c r="B1724" s="32">
        <v>46049</v>
      </c>
      <c r="C1724" t="s">
        <v>109</v>
      </c>
      <c r="D1724" t="s">
        <v>535</v>
      </c>
      <c r="E1724" s="13" t="s">
        <v>529</v>
      </c>
      <c r="F1724" s="12">
        <v>1</v>
      </c>
      <c r="G1724" s="12">
        <v>99000</v>
      </c>
      <c r="H1724" s="35">
        <v>46147.398143344908</v>
      </c>
    </row>
    <row r="1725" spans="2:8" x14ac:dyDescent="0.2">
      <c r="B1725" s="32">
        <v>46049</v>
      </c>
      <c r="C1725" t="s">
        <v>109</v>
      </c>
      <c r="D1725" t="s">
        <v>379</v>
      </c>
      <c r="E1725" s="13" t="s">
        <v>529</v>
      </c>
      <c r="F1725" s="12">
        <v>1</v>
      </c>
      <c r="G1725" s="12">
        <v>75630.25</v>
      </c>
      <c r="H1725" s="35">
        <v>46147.398143344908</v>
      </c>
    </row>
    <row r="1726" spans="2:8" x14ac:dyDescent="0.2">
      <c r="B1726" s="32">
        <v>46049</v>
      </c>
      <c r="C1726" t="s">
        <v>109</v>
      </c>
      <c r="D1726" t="s">
        <v>197</v>
      </c>
      <c r="E1726" s="13" t="s">
        <v>529</v>
      </c>
      <c r="F1726" s="12">
        <v>1</v>
      </c>
      <c r="G1726" s="12">
        <v>75630.25</v>
      </c>
      <c r="H1726" s="35">
        <v>46147.398143344908</v>
      </c>
    </row>
    <row r="1727" spans="2:8" x14ac:dyDescent="0.2">
      <c r="B1727" s="32">
        <v>46049</v>
      </c>
      <c r="C1727" t="s">
        <v>109</v>
      </c>
      <c r="D1727" t="s">
        <v>199</v>
      </c>
      <c r="E1727" s="13" t="s">
        <v>530</v>
      </c>
      <c r="F1727" s="12">
        <v>2</v>
      </c>
      <c r="G1727" s="12">
        <v>65546.22</v>
      </c>
      <c r="H1727" s="35">
        <v>46147.398143344908</v>
      </c>
    </row>
    <row r="1728" spans="2:8" x14ac:dyDescent="0.2">
      <c r="B1728" s="32">
        <v>46049</v>
      </c>
      <c r="C1728" t="s">
        <v>109</v>
      </c>
      <c r="D1728" t="s">
        <v>164</v>
      </c>
      <c r="E1728" s="13"/>
      <c r="F1728" s="12">
        <v>1</v>
      </c>
      <c r="G1728" s="12">
        <v>42016.81</v>
      </c>
      <c r="H1728" s="35">
        <v>46147.398143344908</v>
      </c>
    </row>
    <row r="1729" spans="2:8" x14ac:dyDescent="0.2">
      <c r="B1729" s="32">
        <v>46049</v>
      </c>
      <c r="C1729" t="s">
        <v>109</v>
      </c>
      <c r="D1729" t="s">
        <v>142</v>
      </c>
      <c r="E1729" s="13" t="s">
        <v>529</v>
      </c>
      <c r="F1729" s="12">
        <v>2</v>
      </c>
      <c r="G1729" s="12">
        <v>7563.03</v>
      </c>
      <c r="H1729" s="35">
        <v>46147.398143344908</v>
      </c>
    </row>
    <row r="1730" spans="2:8" x14ac:dyDescent="0.2">
      <c r="B1730" s="32">
        <v>46049</v>
      </c>
      <c r="C1730" t="s">
        <v>109</v>
      </c>
      <c r="E1730" s="13" t="s">
        <v>530</v>
      </c>
      <c r="F1730" s="12">
        <v>0</v>
      </c>
      <c r="G1730" s="12">
        <v>0</v>
      </c>
      <c r="H1730" s="35">
        <v>46147.398143344908</v>
      </c>
    </row>
    <row r="1731" spans="2:8" x14ac:dyDescent="0.2">
      <c r="B1731" s="32">
        <v>46050</v>
      </c>
      <c r="C1731" t="s">
        <v>140</v>
      </c>
      <c r="D1731" t="s">
        <v>556</v>
      </c>
      <c r="E1731" s="13" t="s">
        <v>529</v>
      </c>
      <c r="F1731" s="12">
        <v>1</v>
      </c>
      <c r="G1731" s="12">
        <v>252100.84</v>
      </c>
      <c r="H1731" s="35">
        <v>46147.398143344908</v>
      </c>
    </row>
    <row r="1732" spans="2:8" x14ac:dyDescent="0.2">
      <c r="B1732" s="32">
        <v>46050</v>
      </c>
      <c r="C1732" t="s">
        <v>140</v>
      </c>
      <c r="D1732" t="s">
        <v>578</v>
      </c>
      <c r="E1732" s="13" t="s">
        <v>529</v>
      </c>
      <c r="F1732" s="12">
        <v>1</v>
      </c>
      <c r="G1732" s="12">
        <v>193277.31</v>
      </c>
      <c r="H1732" s="35">
        <v>46147.398143344908</v>
      </c>
    </row>
    <row r="1733" spans="2:8" x14ac:dyDescent="0.2">
      <c r="B1733" s="32">
        <v>46050</v>
      </c>
      <c r="C1733" t="s">
        <v>140</v>
      </c>
      <c r="D1733" t="s">
        <v>545</v>
      </c>
      <c r="E1733" s="13" t="s">
        <v>529</v>
      </c>
      <c r="F1733" s="12">
        <v>1</v>
      </c>
      <c r="G1733" s="12">
        <v>184873.95</v>
      </c>
      <c r="H1733" s="35">
        <v>46147.398143344908</v>
      </c>
    </row>
    <row r="1734" spans="2:8" x14ac:dyDescent="0.2">
      <c r="B1734" s="32">
        <v>46050</v>
      </c>
      <c r="C1734" t="s">
        <v>140</v>
      </c>
      <c r="D1734" t="s">
        <v>179</v>
      </c>
      <c r="E1734" s="13" t="s">
        <v>529</v>
      </c>
      <c r="F1734" s="12">
        <v>1</v>
      </c>
      <c r="G1734" s="12">
        <v>63025.21</v>
      </c>
      <c r="H1734" s="35">
        <v>46147.398143344908</v>
      </c>
    </row>
    <row r="1735" spans="2:8" x14ac:dyDescent="0.2">
      <c r="B1735" s="32">
        <v>46050</v>
      </c>
      <c r="C1735" t="s">
        <v>140</v>
      </c>
      <c r="D1735" t="s">
        <v>158</v>
      </c>
      <c r="E1735" s="13" t="s">
        <v>530</v>
      </c>
      <c r="F1735" s="12">
        <v>1</v>
      </c>
      <c r="G1735" s="12">
        <v>46218.49</v>
      </c>
      <c r="H1735" s="35">
        <v>46147.398143344908</v>
      </c>
    </row>
    <row r="1736" spans="2:8" x14ac:dyDescent="0.2">
      <c r="B1736" s="32">
        <v>46050</v>
      </c>
      <c r="C1736" t="s">
        <v>140</v>
      </c>
      <c r="D1736" t="s">
        <v>403</v>
      </c>
      <c r="E1736" s="13" t="s">
        <v>529</v>
      </c>
      <c r="F1736" s="12">
        <v>1</v>
      </c>
      <c r="G1736" s="12">
        <v>21008.400000000001</v>
      </c>
      <c r="H1736" s="35">
        <v>46147.398143344908</v>
      </c>
    </row>
    <row r="1737" spans="2:8" x14ac:dyDescent="0.2">
      <c r="B1737" s="32">
        <v>46050</v>
      </c>
      <c r="C1737" t="s">
        <v>140</v>
      </c>
      <c r="D1737" t="s">
        <v>216</v>
      </c>
      <c r="E1737" s="13" t="s">
        <v>529</v>
      </c>
      <c r="F1737" s="12">
        <v>1</v>
      </c>
      <c r="G1737" s="12">
        <v>2521.0100000000002</v>
      </c>
      <c r="H1737" s="35">
        <v>46147.398143344908</v>
      </c>
    </row>
    <row r="1738" spans="2:8" x14ac:dyDescent="0.2">
      <c r="B1738" s="32">
        <v>46050</v>
      </c>
      <c r="C1738" t="s">
        <v>140</v>
      </c>
      <c r="E1738" s="13" t="s">
        <v>529</v>
      </c>
      <c r="F1738" s="12">
        <v>0</v>
      </c>
      <c r="G1738" s="12">
        <v>0</v>
      </c>
      <c r="H1738" s="35">
        <v>46147.398143344908</v>
      </c>
    </row>
    <row r="1739" spans="2:8" x14ac:dyDescent="0.2">
      <c r="B1739" s="32">
        <v>46050</v>
      </c>
      <c r="C1739" t="s">
        <v>140</v>
      </c>
      <c r="E1739" s="13" t="s">
        <v>530</v>
      </c>
      <c r="F1739" s="12">
        <v>0</v>
      </c>
      <c r="G1739" s="12">
        <v>0</v>
      </c>
      <c r="H1739" s="35">
        <v>46147.398143344908</v>
      </c>
    </row>
    <row r="1740" spans="2:8" x14ac:dyDescent="0.2">
      <c r="B1740" s="32">
        <v>46050</v>
      </c>
      <c r="C1740" t="s">
        <v>109</v>
      </c>
      <c r="D1740" t="s">
        <v>145</v>
      </c>
      <c r="E1740" s="13" t="s">
        <v>530</v>
      </c>
      <c r="F1740" s="12">
        <v>2</v>
      </c>
      <c r="G1740" s="12">
        <v>151260.5</v>
      </c>
      <c r="H1740" s="35">
        <v>46147.398143344908</v>
      </c>
    </row>
    <row r="1741" spans="2:8" x14ac:dyDescent="0.2">
      <c r="B1741" s="32">
        <v>46050</v>
      </c>
      <c r="C1741" t="s">
        <v>109</v>
      </c>
      <c r="D1741" t="s">
        <v>187</v>
      </c>
      <c r="E1741" s="13" t="s">
        <v>529</v>
      </c>
      <c r="F1741" s="12">
        <v>2</v>
      </c>
      <c r="G1741" s="12">
        <v>142857.15</v>
      </c>
      <c r="H1741" s="35">
        <v>46147.398143344908</v>
      </c>
    </row>
    <row r="1742" spans="2:8" x14ac:dyDescent="0.2">
      <c r="B1742" s="32">
        <v>46050</v>
      </c>
      <c r="C1742" t="s">
        <v>109</v>
      </c>
      <c r="D1742" t="s">
        <v>580</v>
      </c>
      <c r="E1742" s="13" t="s">
        <v>529</v>
      </c>
      <c r="F1742" s="12">
        <v>1</v>
      </c>
      <c r="G1742" s="12">
        <v>142857.14000000001</v>
      </c>
      <c r="H1742" s="35">
        <v>46147.398143344908</v>
      </c>
    </row>
    <row r="1743" spans="2:8" x14ac:dyDescent="0.2">
      <c r="B1743" s="32">
        <v>46050</v>
      </c>
      <c r="C1743" t="s">
        <v>109</v>
      </c>
      <c r="D1743" t="s">
        <v>214</v>
      </c>
      <c r="E1743" s="13" t="s">
        <v>530</v>
      </c>
      <c r="F1743" s="12">
        <v>1</v>
      </c>
      <c r="G1743" s="12">
        <v>115000</v>
      </c>
      <c r="H1743" s="35">
        <v>46147.398143344908</v>
      </c>
    </row>
    <row r="1744" spans="2:8" x14ac:dyDescent="0.2">
      <c r="B1744" s="32">
        <v>46050</v>
      </c>
      <c r="C1744" t="s">
        <v>109</v>
      </c>
      <c r="D1744" t="s">
        <v>152</v>
      </c>
      <c r="E1744" s="13" t="s">
        <v>530</v>
      </c>
      <c r="F1744" s="12">
        <v>1</v>
      </c>
      <c r="G1744" s="12">
        <v>100840.34</v>
      </c>
      <c r="H1744" s="35">
        <v>46147.398143344908</v>
      </c>
    </row>
    <row r="1745" spans="2:8" x14ac:dyDescent="0.2">
      <c r="B1745" s="32">
        <v>46050</v>
      </c>
      <c r="C1745" t="s">
        <v>109</v>
      </c>
      <c r="D1745" t="s">
        <v>158</v>
      </c>
      <c r="E1745" s="13" t="s">
        <v>529</v>
      </c>
      <c r="F1745" s="12">
        <v>2</v>
      </c>
      <c r="G1745" s="12">
        <v>92436.97</v>
      </c>
      <c r="H1745" s="35">
        <v>46147.398143344908</v>
      </c>
    </row>
    <row r="1746" spans="2:8" x14ac:dyDescent="0.2">
      <c r="B1746" s="32">
        <v>46050</v>
      </c>
      <c r="C1746" t="s">
        <v>109</v>
      </c>
      <c r="D1746" t="s">
        <v>150</v>
      </c>
      <c r="E1746" s="13" t="s">
        <v>529</v>
      </c>
      <c r="F1746" s="12">
        <v>1</v>
      </c>
      <c r="G1746" s="12">
        <v>84033.62</v>
      </c>
      <c r="H1746" s="35">
        <v>46147.398143344908</v>
      </c>
    </row>
    <row r="1747" spans="2:8" x14ac:dyDescent="0.2">
      <c r="B1747" s="32">
        <v>46050</v>
      </c>
      <c r="C1747" t="s">
        <v>109</v>
      </c>
      <c r="D1747" t="s">
        <v>359</v>
      </c>
      <c r="E1747" s="13" t="s">
        <v>529</v>
      </c>
      <c r="F1747" s="12">
        <v>1</v>
      </c>
      <c r="G1747" s="12">
        <v>84033.61</v>
      </c>
      <c r="H1747" s="35">
        <v>46147.398143344908</v>
      </c>
    </row>
    <row r="1748" spans="2:8" x14ac:dyDescent="0.2">
      <c r="B1748" s="32">
        <v>46050</v>
      </c>
      <c r="C1748" t="s">
        <v>109</v>
      </c>
      <c r="D1748" t="s">
        <v>145</v>
      </c>
      <c r="E1748" s="13" t="s">
        <v>529</v>
      </c>
      <c r="F1748" s="12">
        <v>1</v>
      </c>
      <c r="G1748" s="12">
        <v>73829.539999999994</v>
      </c>
      <c r="H1748" s="35">
        <v>46147.398143344908</v>
      </c>
    </row>
    <row r="1749" spans="2:8" x14ac:dyDescent="0.2">
      <c r="B1749" s="32">
        <v>46050</v>
      </c>
      <c r="C1749" t="s">
        <v>109</v>
      </c>
      <c r="D1749" t="s">
        <v>332</v>
      </c>
      <c r="E1749" s="13" t="s">
        <v>529</v>
      </c>
      <c r="F1749" s="12">
        <v>1</v>
      </c>
      <c r="G1749" s="12">
        <v>71428.570000000007</v>
      </c>
      <c r="H1749" s="35">
        <v>46147.398143344908</v>
      </c>
    </row>
    <row r="1750" spans="2:8" x14ac:dyDescent="0.2">
      <c r="B1750" s="32">
        <v>46050</v>
      </c>
      <c r="C1750" t="s">
        <v>109</v>
      </c>
      <c r="D1750" t="s">
        <v>190</v>
      </c>
      <c r="E1750" s="13" t="s">
        <v>529</v>
      </c>
      <c r="F1750" s="12">
        <v>1</v>
      </c>
      <c r="G1750" s="12">
        <v>71428.570000000007</v>
      </c>
      <c r="H1750" s="35">
        <v>46147.398143344908</v>
      </c>
    </row>
    <row r="1751" spans="2:8" x14ac:dyDescent="0.2">
      <c r="B1751" s="32">
        <v>46050</v>
      </c>
      <c r="C1751" t="s">
        <v>109</v>
      </c>
      <c r="D1751" t="s">
        <v>206</v>
      </c>
      <c r="E1751" s="13" t="s">
        <v>530</v>
      </c>
      <c r="F1751" s="12">
        <v>1</v>
      </c>
      <c r="G1751" s="12">
        <v>58823.53</v>
      </c>
      <c r="H1751" s="35">
        <v>46147.398143344908</v>
      </c>
    </row>
    <row r="1752" spans="2:8" x14ac:dyDescent="0.2">
      <c r="B1752" s="32">
        <v>46050</v>
      </c>
      <c r="C1752" t="s">
        <v>109</v>
      </c>
      <c r="D1752" t="s">
        <v>242</v>
      </c>
      <c r="E1752" s="13" t="s">
        <v>530</v>
      </c>
      <c r="F1752" s="12">
        <v>1</v>
      </c>
      <c r="G1752" s="12">
        <v>58823.519999999997</v>
      </c>
      <c r="H1752" s="35">
        <v>46147.398143344908</v>
      </c>
    </row>
    <row r="1753" spans="2:8" x14ac:dyDescent="0.2">
      <c r="B1753" s="32">
        <v>46050</v>
      </c>
      <c r="C1753" t="s">
        <v>109</v>
      </c>
      <c r="D1753" t="s">
        <v>235</v>
      </c>
      <c r="E1753" s="13" t="s">
        <v>530</v>
      </c>
      <c r="F1753" s="12">
        <v>1</v>
      </c>
      <c r="G1753" s="12">
        <v>54621.85</v>
      </c>
      <c r="H1753" s="35">
        <v>46147.398143344908</v>
      </c>
    </row>
    <row r="1754" spans="2:8" x14ac:dyDescent="0.2">
      <c r="B1754" s="32">
        <v>46050</v>
      </c>
      <c r="C1754" t="s">
        <v>109</v>
      </c>
      <c r="D1754" t="s">
        <v>293</v>
      </c>
      <c r="E1754" s="13" t="s">
        <v>530</v>
      </c>
      <c r="F1754" s="12">
        <v>1</v>
      </c>
      <c r="G1754" s="12">
        <v>54621.85</v>
      </c>
      <c r="H1754" s="35">
        <v>46147.398143344908</v>
      </c>
    </row>
    <row r="1755" spans="2:8" x14ac:dyDescent="0.2">
      <c r="B1755" s="32">
        <v>46050</v>
      </c>
      <c r="C1755" t="s">
        <v>109</v>
      </c>
      <c r="D1755" t="s">
        <v>215</v>
      </c>
      <c r="E1755" s="13" t="s">
        <v>530</v>
      </c>
      <c r="F1755" s="12">
        <v>1</v>
      </c>
      <c r="G1755" s="12">
        <v>54621.85</v>
      </c>
      <c r="H1755" s="35">
        <v>46147.398143344908</v>
      </c>
    </row>
    <row r="1756" spans="2:8" x14ac:dyDescent="0.2">
      <c r="B1756" s="32">
        <v>46050</v>
      </c>
      <c r="C1756" t="s">
        <v>109</v>
      </c>
      <c r="D1756" t="s">
        <v>177</v>
      </c>
      <c r="E1756" s="13" t="s">
        <v>529</v>
      </c>
      <c r="F1756" s="12">
        <v>1</v>
      </c>
      <c r="G1756" s="12">
        <v>50420.17</v>
      </c>
      <c r="H1756" s="35">
        <v>46147.398143344908</v>
      </c>
    </row>
    <row r="1757" spans="2:8" x14ac:dyDescent="0.2">
      <c r="B1757" s="32">
        <v>46050</v>
      </c>
      <c r="C1757" t="s">
        <v>109</v>
      </c>
      <c r="D1757" t="s">
        <v>237</v>
      </c>
      <c r="E1757" s="13" t="s">
        <v>530</v>
      </c>
      <c r="F1757" s="12">
        <v>1</v>
      </c>
      <c r="G1757" s="12">
        <v>50420.17</v>
      </c>
      <c r="H1757" s="35">
        <v>46147.398143344908</v>
      </c>
    </row>
    <row r="1758" spans="2:8" x14ac:dyDescent="0.2">
      <c r="B1758" s="32">
        <v>46050</v>
      </c>
      <c r="C1758" t="s">
        <v>109</v>
      </c>
      <c r="D1758" t="s">
        <v>219</v>
      </c>
      <c r="E1758" s="13" t="s">
        <v>530</v>
      </c>
      <c r="F1758" s="12">
        <v>1</v>
      </c>
      <c r="G1758" s="12">
        <v>50420.160000000003</v>
      </c>
      <c r="H1758" s="35">
        <v>46147.398143344908</v>
      </c>
    </row>
    <row r="1759" spans="2:8" x14ac:dyDescent="0.2">
      <c r="B1759" s="32">
        <v>46050</v>
      </c>
      <c r="C1759" t="s">
        <v>109</v>
      </c>
      <c r="D1759" t="s">
        <v>295</v>
      </c>
      <c r="E1759" s="13" t="s">
        <v>530</v>
      </c>
      <c r="F1759" s="12">
        <v>1</v>
      </c>
      <c r="G1759" s="12">
        <v>50420.160000000003</v>
      </c>
      <c r="H1759" s="35">
        <v>46147.398143344908</v>
      </c>
    </row>
    <row r="1760" spans="2:8" x14ac:dyDescent="0.2">
      <c r="B1760" s="32">
        <v>46050</v>
      </c>
      <c r="C1760" t="s">
        <v>109</v>
      </c>
      <c r="D1760" t="s">
        <v>144</v>
      </c>
      <c r="E1760" s="13" t="s">
        <v>529</v>
      </c>
      <c r="F1760" s="12">
        <v>1</v>
      </c>
      <c r="G1760" s="12">
        <v>49219.69</v>
      </c>
      <c r="H1760" s="35">
        <v>46147.398143344908</v>
      </c>
    </row>
    <row r="1761" spans="2:8" x14ac:dyDescent="0.2">
      <c r="B1761" s="32">
        <v>46050</v>
      </c>
      <c r="C1761" t="s">
        <v>109</v>
      </c>
      <c r="D1761" t="s">
        <v>149</v>
      </c>
      <c r="E1761" s="13" t="s">
        <v>529</v>
      </c>
      <c r="F1761" s="12">
        <v>1</v>
      </c>
      <c r="G1761" s="12">
        <v>49219.68</v>
      </c>
      <c r="H1761" s="35">
        <v>46147.398143344908</v>
      </c>
    </row>
    <row r="1762" spans="2:8" x14ac:dyDescent="0.2">
      <c r="B1762" s="32">
        <v>46050</v>
      </c>
      <c r="C1762" t="s">
        <v>109</v>
      </c>
      <c r="D1762" t="s">
        <v>148</v>
      </c>
      <c r="E1762" s="13" t="s">
        <v>529</v>
      </c>
      <c r="F1762" s="12">
        <v>1</v>
      </c>
      <c r="G1762" s="12">
        <v>46218.49</v>
      </c>
      <c r="H1762" s="35">
        <v>46147.398143344908</v>
      </c>
    </row>
    <row r="1763" spans="2:8" x14ac:dyDescent="0.2">
      <c r="B1763" s="32">
        <v>46050</v>
      </c>
      <c r="C1763" t="s">
        <v>109</v>
      </c>
      <c r="D1763" t="s">
        <v>244</v>
      </c>
      <c r="E1763" s="13" t="s">
        <v>530</v>
      </c>
      <c r="F1763" s="12">
        <v>1</v>
      </c>
      <c r="G1763" s="12">
        <v>42016.81</v>
      </c>
      <c r="H1763" s="35">
        <v>46147.398143344908</v>
      </c>
    </row>
    <row r="1764" spans="2:8" x14ac:dyDescent="0.2">
      <c r="B1764" s="32">
        <v>46050</v>
      </c>
      <c r="C1764" t="s">
        <v>109</v>
      </c>
      <c r="D1764" t="s">
        <v>164</v>
      </c>
      <c r="E1764" s="13" t="s">
        <v>530</v>
      </c>
      <c r="F1764" s="12">
        <v>1</v>
      </c>
      <c r="G1764" s="12">
        <v>42016.81</v>
      </c>
      <c r="H1764" s="35">
        <v>46147.398143344908</v>
      </c>
    </row>
    <row r="1765" spans="2:8" x14ac:dyDescent="0.2">
      <c r="B1765" s="32">
        <v>46050</v>
      </c>
      <c r="C1765" t="s">
        <v>109</v>
      </c>
      <c r="D1765" t="s">
        <v>146</v>
      </c>
      <c r="E1765" s="13" t="s">
        <v>529</v>
      </c>
      <c r="F1765" s="12">
        <v>1</v>
      </c>
      <c r="G1765" s="12">
        <v>37815.129999999997</v>
      </c>
      <c r="H1765" s="35">
        <v>46147.398143344908</v>
      </c>
    </row>
    <row r="1766" spans="2:8" x14ac:dyDescent="0.2">
      <c r="B1766" s="32">
        <v>46050</v>
      </c>
      <c r="C1766" t="s">
        <v>109</v>
      </c>
      <c r="D1766" t="s">
        <v>178</v>
      </c>
      <c r="E1766" s="13" t="s">
        <v>530</v>
      </c>
      <c r="F1766" s="12">
        <v>2</v>
      </c>
      <c r="G1766" s="12">
        <v>33613.449999999997</v>
      </c>
      <c r="H1766" s="35">
        <v>46147.398143344908</v>
      </c>
    </row>
    <row r="1767" spans="2:8" x14ac:dyDescent="0.2">
      <c r="B1767" s="32">
        <v>46050</v>
      </c>
      <c r="C1767" t="s">
        <v>109</v>
      </c>
      <c r="D1767" t="s">
        <v>142</v>
      </c>
      <c r="E1767" s="13" t="s">
        <v>529</v>
      </c>
      <c r="F1767" s="12">
        <v>2</v>
      </c>
      <c r="G1767" s="12">
        <v>15966.39</v>
      </c>
      <c r="H1767" s="35">
        <v>46147.398143344908</v>
      </c>
    </row>
    <row r="1768" spans="2:8" x14ac:dyDescent="0.2">
      <c r="B1768" s="32">
        <v>46051</v>
      </c>
      <c r="C1768" t="s">
        <v>140</v>
      </c>
      <c r="D1768" t="s">
        <v>259</v>
      </c>
      <c r="E1768" s="13" t="s">
        <v>530</v>
      </c>
      <c r="F1768" s="12">
        <v>1</v>
      </c>
      <c r="G1768" s="12">
        <v>109243.7</v>
      </c>
      <c r="H1768" s="35">
        <v>46147.398143344908</v>
      </c>
    </row>
    <row r="1769" spans="2:8" x14ac:dyDescent="0.2">
      <c r="B1769" s="32">
        <v>46051</v>
      </c>
      <c r="C1769" t="s">
        <v>140</v>
      </c>
      <c r="D1769" t="s">
        <v>183</v>
      </c>
      <c r="E1769" s="13" t="s">
        <v>530</v>
      </c>
      <c r="F1769" s="12">
        <v>1</v>
      </c>
      <c r="G1769" s="12">
        <v>100840.34</v>
      </c>
      <c r="H1769" s="35">
        <v>46147.398143344908</v>
      </c>
    </row>
    <row r="1770" spans="2:8" x14ac:dyDescent="0.2">
      <c r="B1770" s="32">
        <v>46051</v>
      </c>
      <c r="C1770" t="s">
        <v>140</v>
      </c>
      <c r="D1770" t="s">
        <v>172</v>
      </c>
      <c r="E1770" s="13" t="s">
        <v>529</v>
      </c>
      <c r="F1770" s="12">
        <v>1</v>
      </c>
      <c r="G1770" s="12">
        <v>84033.61</v>
      </c>
      <c r="H1770" s="35">
        <v>46147.398143344908</v>
      </c>
    </row>
    <row r="1771" spans="2:8" x14ac:dyDescent="0.2">
      <c r="B1771" s="32">
        <v>46051</v>
      </c>
      <c r="C1771" t="s">
        <v>140</v>
      </c>
      <c r="D1771" t="s">
        <v>442</v>
      </c>
      <c r="E1771" s="13" t="s">
        <v>529</v>
      </c>
      <c r="F1771" s="12">
        <v>1</v>
      </c>
      <c r="G1771" s="12">
        <v>63025.21</v>
      </c>
      <c r="H1771" s="35">
        <v>46147.398143344908</v>
      </c>
    </row>
    <row r="1772" spans="2:8" x14ac:dyDescent="0.2">
      <c r="B1772" s="32">
        <v>46051</v>
      </c>
      <c r="C1772" t="s">
        <v>140</v>
      </c>
      <c r="D1772" t="s">
        <v>467</v>
      </c>
      <c r="E1772" s="13" t="s">
        <v>529</v>
      </c>
      <c r="F1772" s="12">
        <v>1</v>
      </c>
      <c r="G1772" s="12">
        <v>58823.53</v>
      </c>
      <c r="H1772" s="35">
        <v>46147.398143344908</v>
      </c>
    </row>
    <row r="1773" spans="2:8" x14ac:dyDescent="0.2">
      <c r="B1773" s="32">
        <v>46051</v>
      </c>
      <c r="C1773" t="s">
        <v>140</v>
      </c>
      <c r="D1773" t="s">
        <v>216</v>
      </c>
      <c r="E1773" s="13" t="s">
        <v>529</v>
      </c>
      <c r="F1773" s="12">
        <v>1</v>
      </c>
      <c r="G1773" s="12">
        <v>42016.81</v>
      </c>
      <c r="H1773" s="35">
        <v>46147.398143344908</v>
      </c>
    </row>
    <row r="1774" spans="2:8" x14ac:dyDescent="0.2">
      <c r="B1774" s="32">
        <v>46051</v>
      </c>
      <c r="C1774" t="s">
        <v>140</v>
      </c>
      <c r="E1774" s="13" t="s">
        <v>530</v>
      </c>
      <c r="F1774" s="12">
        <v>0</v>
      </c>
      <c r="G1774" s="12">
        <v>0</v>
      </c>
      <c r="H1774" s="35">
        <v>46147.398143344908</v>
      </c>
    </row>
    <row r="1775" spans="2:8" x14ac:dyDescent="0.2">
      <c r="B1775" s="32">
        <v>46051</v>
      </c>
      <c r="C1775" t="s">
        <v>140</v>
      </c>
      <c r="E1775" s="13" t="s">
        <v>529</v>
      </c>
      <c r="F1775" s="12">
        <v>0</v>
      </c>
      <c r="G1775" s="12">
        <v>0</v>
      </c>
      <c r="H1775" s="35">
        <v>46147.398143344908</v>
      </c>
    </row>
    <row r="1776" spans="2:8" x14ac:dyDescent="0.2">
      <c r="B1776" s="32">
        <v>46051</v>
      </c>
      <c r="C1776" t="s">
        <v>109</v>
      </c>
      <c r="D1776" t="s">
        <v>319</v>
      </c>
      <c r="E1776" s="13" t="s">
        <v>530</v>
      </c>
      <c r="F1776" s="12">
        <v>1</v>
      </c>
      <c r="G1776" s="12">
        <v>193277.31</v>
      </c>
      <c r="H1776" s="35">
        <v>46147.398143344908</v>
      </c>
    </row>
    <row r="1777" spans="2:8" x14ac:dyDescent="0.2">
      <c r="B1777" s="32">
        <v>46051</v>
      </c>
      <c r="C1777" t="s">
        <v>109</v>
      </c>
      <c r="D1777" t="s">
        <v>144</v>
      </c>
      <c r="E1777" s="13" t="s">
        <v>529</v>
      </c>
      <c r="F1777" s="12">
        <v>2</v>
      </c>
      <c r="G1777" s="12">
        <v>100840.34</v>
      </c>
      <c r="H1777" s="35">
        <v>46147.398143344908</v>
      </c>
    </row>
    <row r="1778" spans="2:8" x14ac:dyDescent="0.2">
      <c r="B1778" s="32">
        <v>46051</v>
      </c>
      <c r="C1778" t="s">
        <v>109</v>
      </c>
      <c r="D1778" t="s">
        <v>355</v>
      </c>
      <c r="E1778" s="13" t="s">
        <v>529</v>
      </c>
      <c r="F1778" s="12">
        <v>1</v>
      </c>
      <c r="G1778" s="12">
        <v>58823.53</v>
      </c>
      <c r="H1778" s="35">
        <v>46147.398143344908</v>
      </c>
    </row>
    <row r="1779" spans="2:8" x14ac:dyDescent="0.2">
      <c r="B1779" s="32">
        <v>46051</v>
      </c>
      <c r="C1779" t="s">
        <v>109</v>
      </c>
      <c r="D1779" t="s">
        <v>194</v>
      </c>
      <c r="E1779" s="13" t="s">
        <v>529</v>
      </c>
      <c r="F1779" s="12">
        <v>1</v>
      </c>
      <c r="G1779" s="12">
        <v>46218.49</v>
      </c>
      <c r="H1779" s="35">
        <v>46147.398143344908</v>
      </c>
    </row>
    <row r="1780" spans="2:8" x14ac:dyDescent="0.2">
      <c r="B1780" s="32">
        <v>46051</v>
      </c>
      <c r="C1780" t="s">
        <v>109</v>
      </c>
      <c r="D1780" t="s">
        <v>239</v>
      </c>
      <c r="E1780" s="13" t="s">
        <v>529</v>
      </c>
      <c r="F1780" s="12">
        <v>1</v>
      </c>
      <c r="G1780" s="12">
        <v>46218.49</v>
      </c>
      <c r="H1780" s="35">
        <v>46147.398143344908</v>
      </c>
    </row>
    <row r="1781" spans="2:8" x14ac:dyDescent="0.2">
      <c r="B1781" s="32">
        <v>46051</v>
      </c>
      <c r="C1781" t="s">
        <v>109</v>
      </c>
      <c r="D1781" t="s">
        <v>298</v>
      </c>
      <c r="E1781" s="13" t="s">
        <v>529</v>
      </c>
      <c r="F1781" s="12">
        <v>1</v>
      </c>
      <c r="G1781" s="12">
        <v>42016.81</v>
      </c>
      <c r="H1781" s="35">
        <v>46147.398143344908</v>
      </c>
    </row>
    <row r="1782" spans="2:8" x14ac:dyDescent="0.2">
      <c r="B1782" s="32">
        <v>46051</v>
      </c>
      <c r="C1782" t="s">
        <v>109</v>
      </c>
      <c r="D1782" t="s">
        <v>531</v>
      </c>
      <c r="E1782" s="13" t="s">
        <v>529</v>
      </c>
      <c r="F1782" s="12">
        <v>10</v>
      </c>
      <c r="G1782" s="12">
        <v>29411.759999999998</v>
      </c>
      <c r="H1782" s="35">
        <v>46147.398143344908</v>
      </c>
    </row>
    <row r="1783" spans="2:8" x14ac:dyDescent="0.2">
      <c r="B1783" s="32">
        <v>46052</v>
      </c>
      <c r="C1783" t="s">
        <v>140</v>
      </c>
      <c r="D1783" t="s">
        <v>268</v>
      </c>
      <c r="E1783" s="13" t="s">
        <v>530</v>
      </c>
      <c r="F1783" s="12">
        <v>1</v>
      </c>
      <c r="G1783" s="12">
        <v>84033.61</v>
      </c>
      <c r="H1783" s="35">
        <v>46147.398143344908</v>
      </c>
    </row>
    <row r="1784" spans="2:8" x14ac:dyDescent="0.2">
      <c r="B1784" s="32">
        <v>46052</v>
      </c>
      <c r="C1784" t="s">
        <v>140</v>
      </c>
      <c r="D1784" t="s">
        <v>245</v>
      </c>
      <c r="E1784" s="13" t="s">
        <v>530</v>
      </c>
      <c r="F1784" s="12">
        <v>1</v>
      </c>
      <c r="G1784" s="12">
        <v>63025.21</v>
      </c>
      <c r="H1784" s="35">
        <v>46147.398143344908</v>
      </c>
    </row>
    <row r="1785" spans="2:8" x14ac:dyDescent="0.2">
      <c r="B1785" s="32">
        <v>46052</v>
      </c>
      <c r="C1785" t="s">
        <v>140</v>
      </c>
      <c r="D1785" t="s">
        <v>270</v>
      </c>
      <c r="E1785" s="13" t="s">
        <v>530</v>
      </c>
      <c r="F1785" s="12">
        <v>1</v>
      </c>
      <c r="G1785" s="12">
        <v>63025.21</v>
      </c>
      <c r="H1785" s="35">
        <v>46147.398143344908</v>
      </c>
    </row>
    <row r="1786" spans="2:8" x14ac:dyDescent="0.2">
      <c r="B1786" s="32">
        <v>46052</v>
      </c>
      <c r="C1786" t="s">
        <v>140</v>
      </c>
      <c r="D1786" t="s">
        <v>589</v>
      </c>
      <c r="E1786" s="13" t="s">
        <v>529</v>
      </c>
      <c r="F1786" s="12">
        <v>1</v>
      </c>
      <c r="G1786" s="12">
        <v>58823.53</v>
      </c>
      <c r="H1786" s="35">
        <v>46147.398143344908</v>
      </c>
    </row>
    <row r="1787" spans="2:8" x14ac:dyDescent="0.2">
      <c r="B1787" s="32">
        <v>46052</v>
      </c>
      <c r="C1787" t="s">
        <v>140</v>
      </c>
      <c r="E1787" s="13" t="s">
        <v>530</v>
      </c>
      <c r="F1787" s="12">
        <v>0</v>
      </c>
      <c r="G1787" s="12">
        <v>0</v>
      </c>
      <c r="H1787" s="35">
        <v>46147.398143344908</v>
      </c>
    </row>
    <row r="1788" spans="2:8" x14ac:dyDescent="0.2">
      <c r="B1788" s="32">
        <v>46052</v>
      </c>
      <c r="C1788" t="s">
        <v>140</v>
      </c>
      <c r="E1788" s="13" t="s">
        <v>529</v>
      </c>
      <c r="F1788" s="12">
        <v>0</v>
      </c>
      <c r="G1788" s="12">
        <v>0</v>
      </c>
      <c r="H1788" s="35">
        <v>46147.398143344908</v>
      </c>
    </row>
    <row r="1789" spans="2:8" x14ac:dyDescent="0.2">
      <c r="B1789" s="32">
        <v>46052</v>
      </c>
      <c r="C1789" t="s">
        <v>109</v>
      </c>
      <c r="D1789" t="s">
        <v>157</v>
      </c>
      <c r="E1789" s="13" t="s">
        <v>530</v>
      </c>
      <c r="F1789" s="12">
        <v>2</v>
      </c>
      <c r="G1789" s="12">
        <v>478991.6</v>
      </c>
      <c r="H1789" s="35">
        <v>46147.398143344908</v>
      </c>
    </row>
    <row r="1790" spans="2:8" x14ac:dyDescent="0.2">
      <c r="B1790" s="32">
        <v>46052</v>
      </c>
      <c r="C1790" t="s">
        <v>109</v>
      </c>
      <c r="E1790" s="13"/>
      <c r="F1790" s="12">
        <v>2</v>
      </c>
      <c r="G1790" s="12">
        <v>252100.84</v>
      </c>
      <c r="H1790" s="35">
        <v>46147.398143344908</v>
      </c>
    </row>
    <row r="1791" spans="2:8" x14ac:dyDescent="0.2">
      <c r="B1791" s="32">
        <v>46052</v>
      </c>
      <c r="C1791" t="s">
        <v>109</v>
      </c>
      <c r="D1791" t="s">
        <v>182</v>
      </c>
      <c r="E1791" s="13" t="s">
        <v>530</v>
      </c>
      <c r="F1791" s="12">
        <v>2</v>
      </c>
      <c r="G1791" s="12">
        <v>201680.67</v>
      </c>
      <c r="H1791" s="35">
        <v>46147.398143344908</v>
      </c>
    </row>
    <row r="1792" spans="2:8" x14ac:dyDescent="0.2">
      <c r="B1792" s="32">
        <v>46052</v>
      </c>
      <c r="C1792" t="s">
        <v>109</v>
      </c>
      <c r="D1792" t="s">
        <v>543</v>
      </c>
      <c r="E1792" s="13"/>
      <c r="F1792" s="12">
        <v>2</v>
      </c>
      <c r="G1792" s="12">
        <v>168067.23</v>
      </c>
      <c r="H1792" s="35">
        <v>46147.398143344908</v>
      </c>
    </row>
    <row r="1793" spans="2:8" x14ac:dyDescent="0.2">
      <c r="B1793" s="32">
        <v>46052</v>
      </c>
      <c r="C1793" t="s">
        <v>109</v>
      </c>
      <c r="D1793" t="s">
        <v>298</v>
      </c>
      <c r="E1793" s="13" t="s">
        <v>529</v>
      </c>
      <c r="F1793" s="12">
        <v>3</v>
      </c>
      <c r="G1793" s="12">
        <v>126050.42</v>
      </c>
      <c r="H1793" s="35">
        <v>46147.398143344908</v>
      </c>
    </row>
    <row r="1794" spans="2:8" x14ac:dyDescent="0.2">
      <c r="B1794" s="32">
        <v>46052</v>
      </c>
      <c r="C1794" t="s">
        <v>109</v>
      </c>
      <c r="D1794" t="s">
        <v>143</v>
      </c>
      <c r="E1794" s="13" t="s">
        <v>529</v>
      </c>
      <c r="F1794" s="12">
        <v>4</v>
      </c>
      <c r="G1794" s="12">
        <v>117647.05</v>
      </c>
      <c r="H1794" s="35">
        <v>46147.398143344908</v>
      </c>
    </row>
    <row r="1795" spans="2:8" x14ac:dyDescent="0.2">
      <c r="B1795" s="32">
        <v>46052</v>
      </c>
      <c r="C1795" t="s">
        <v>109</v>
      </c>
      <c r="D1795" t="s">
        <v>542</v>
      </c>
      <c r="E1795" s="13" t="s">
        <v>529</v>
      </c>
      <c r="F1795" s="12">
        <v>1</v>
      </c>
      <c r="G1795" s="12">
        <v>113445.38</v>
      </c>
      <c r="H1795" s="35">
        <v>46147.398143344908</v>
      </c>
    </row>
    <row r="1796" spans="2:8" x14ac:dyDescent="0.2">
      <c r="B1796" s="32">
        <v>46052</v>
      </c>
      <c r="C1796" t="s">
        <v>109</v>
      </c>
      <c r="D1796" t="s">
        <v>565</v>
      </c>
      <c r="E1796" s="13" t="s">
        <v>529</v>
      </c>
      <c r="F1796" s="12">
        <v>1</v>
      </c>
      <c r="G1796" s="12">
        <v>102000</v>
      </c>
      <c r="H1796" s="35">
        <v>46147.398143344908</v>
      </c>
    </row>
    <row r="1797" spans="2:8" x14ac:dyDescent="0.2">
      <c r="B1797" s="32">
        <v>46052</v>
      </c>
      <c r="C1797" t="s">
        <v>109</v>
      </c>
      <c r="D1797" t="s">
        <v>380</v>
      </c>
      <c r="E1797" s="13"/>
      <c r="F1797" s="12">
        <v>2</v>
      </c>
      <c r="G1797" s="12">
        <v>92436.97</v>
      </c>
      <c r="H1797" s="35">
        <v>46147.398143344908</v>
      </c>
    </row>
    <row r="1798" spans="2:8" x14ac:dyDescent="0.2">
      <c r="B1798" s="32">
        <v>46052</v>
      </c>
      <c r="C1798" t="s">
        <v>109</v>
      </c>
      <c r="D1798" t="s">
        <v>563</v>
      </c>
      <c r="E1798" s="13"/>
      <c r="F1798" s="12">
        <v>1</v>
      </c>
      <c r="G1798" s="12">
        <v>78000</v>
      </c>
      <c r="H1798" s="35">
        <v>46147.398143344908</v>
      </c>
    </row>
    <row r="1799" spans="2:8" x14ac:dyDescent="0.2">
      <c r="B1799" s="32">
        <v>46052</v>
      </c>
      <c r="C1799" t="s">
        <v>109</v>
      </c>
      <c r="D1799" t="s">
        <v>145</v>
      </c>
      <c r="E1799" s="13"/>
      <c r="F1799" s="12">
        <v>1</v>
      </c>
      <c r="G1799" s="12">
        <v>75630.25</v>
      </c>
      <c r="H1799" s="35">
        <v>46147.398143344908</v>
      </c>
    </row>
    <row r="1800" spans="2:8" x14ac:dyDescent="0.2">
      <c r="B1800" s="32">
        <v>46052</v>
      </c>
      <c r="C1800" t="s">
        <v>109</v>
      </c>
      <c r="D1800" t="s">
        <v>251</v>
      </c>
      <c r="E1800" s="13" t="s">
        <v>530</v>
      </c>
      <c r="F1800" s="12">
        <v>1</v>
      </c>
      <c r="G1800" s="12">
        <v>58823.53</v>
      </c>
      <c r="H1800" s="35">
        <v>46147.398143344908</v>
      </c>
    </row>
    <row r="1801" spans="2:8" x14ac:dyDescent="0.2">
      <c r="B1801" s="32">
        <v>46052</v>
      </c>
      <c r="C1801" t="s">
        <v>109</v>
      </c>
      <c r="D1801" t="s">
        <v>544</v>
      </c>
      <c r="E1801" s="13" t="s">
        <v>529</v>
      </c>
      <c r="F1801" s="12">
        <v>1</v>
      </c>
      <c r="G1801" s="12">
        <v>54621.85</v>
      </c>
      <c r="H1801" s="35">
        <v>46147.398143344908</v>
      </c>
    </row>
    <row r="1802" spans="2:8" x14ac:dyDescent="0.2">
      <c r="B1802" s="32">
        <v>46052</v>
      </c>
      <c r="C1802" t="s">
        <v>109</v>
      </c>
      <c r="D1802" t="s">
        <v>383</v>
      </c>
      <c r="E1802" s="13" t="s">
        <v>529</v>
      </c>
      <c r="F1802" s="12">
        <v>1</v>
      </c>
      <c r="G1802" s="12">
        <v>54621.85</v>
      </c>
      <c r="H1802" s="35">
        <v>46147.398143344908</v>
      </c>
    </row>
    <row r="1803" spans="2:8" x14ac:dyDescent="0.2">
      <c r="B1803" s="32">
        <v>46052</v>
      </c>
      <c r="C1803" t="s">
        <v>109</v>
      </c>
      <c r="D1803" t="s">
        <v>170</v>
      </c>
      <c r="E1803" s="13" t="s">
        <v>529</v>
      </c>
      <c r="F1803" s="12">
        <v>1</v>
      </c>
      <c r="G1803" s="12">
        <v>46218.49</v>
      </c>
      <c r="H1803" s="35">
        <v>46147.398143344908</v>
      </c>
    </row>
    <row r="1804" spans="2:8" x14ac:dyDescent="0.2">
      <c r="B1804" s="32">
        <v>46052</v>
      </c>
      <c r="C1804" t="s">
        <v>109</v>
      </c>
      <c r="D1804" t="s">
        <v>156</v>
      </c>
      <c r="E1804" s="13" t="s">
        <v>529</v>
      </c>
      <c r="F1804" s="12">
        <v>1</v>
      </c>
      <c r="G1804" s="12">
        <v>46218.49</v>
      </c>
      <c r="H1804" s="35">
        <v>46147.398143344908</v>
      </c>
    </row>
    <row r="1805" spans="2:8" x14ac:dyDescent="0.2">
      <c r="B1805" s="32">
        <v>46052</v>
      </c>
      <c r="C1805" t="s">
        <v>109</v>
      </c>
      <c r="D1805" t="s">
        <v>151</v>
      </c>
      <c r="E1805" s="13" t="s">
        <v>529</v>
      </c>
      <c r="F1805" s="12">
        <v>1</v>
      </c>
      <c r="G1805" s="12">
        <v>46218.49</v>
      </c>
      <c r="H1805" s="35">
        <v>46147.398143344908</v>
      </c>
    </row>
    <row r="1806" spans="2:8" x14ac:dyDescent="0.2">
      <c r="B1806" s="32">
        <v>46052</v>
      </c>
      <c r="C1806" t="s">
        <v>109</v>
      </c>
      <c r="D1806" t="s">
        <v>159</v>
      </c>
      <c r="E1806" s="13" t="s">
        <v>529</v>
      </c>
      <c r="F1806" s="12">
        <v>1</v>
      </c>
      <c r="G1806" s="12">
        <v>42016.82</v>
      </c>
      <c r="H1806" s="35">
        <v>46147.398143344908</v>
      </c>
    </row>
    <row r="1807" spans="2:8" x14ac:dyDescent="0.2">
      <c r="B1807" s="32">
        <v>46052</v>
      </c>
      <c r="C1807" t="s">
        <v>109</v>
      </c>
      <c r="D1807" t="s">
        <v>159</v>
      </c>
      <c r="E1807" s="13" t="s">
        <v>530</v>
      </c>
      <c r="F1807" s="12">
        <v>1</v>
      </c>
      <c r="G1807" s="12">
        <v>42016.81</v>
      </c>
      <c r="H1807" s="35">
        <v>46147.398143344908</v>
      </c>
    </row>
    <row r="1808" spans="2:8" x14ac:dyDescent="0.2">
      <c r="B1808" s="32">
        <v>46052</v>
      </c>
      <c r="C1808" t="s">
        <v>109</v>
      </c>
      <c r="D1808" t="s">
        <v>458</v>
      </c>
      <c r="E1808" s="13" t="s">
        <v>529</v>
      </c>
      <c r="F1808" s="12">
        <v>1</v>
      </c>
      <c r="G1808" s="12">
        <v>35000</v>
      </c>
      <c r="H1808" s="35">
        <v>46147.398143344908</v>
      </c>
    </row>
    <row r="1809" spans="2:8" x14ac:dyDescent="0.2">
      <c r="B1809" s="32">
        <v>46052</v>
      </c>
      <c r="C1809" t="s">
        <v>109</v>
      </c>
      <c r="D1809" t="s">
        <v>142</v>
      </c>
      <c r="E1809" s="13" t="s">
        <v>529</v>
      </c>
      <c r="F1809" s="12">
        <v>2</v>
      </c>
      <c r="G1809" s="12">
        <v>21428.57</v>
      </c>
      <c r="H1809" s="35">
        <v>46147.398143344908</v>
      </c>
    </row>
    <row r="1810" spans="2:8" x14ac:dyDescent="0.2">
      <c r="B1810" s="32">
        <v>46052</v>
      </c>
      <c r="C1810" t="s">
        <v>109</v>
      </c>
      <c r="D1810" t="s">
        <v>358</v>
      </c>
      <c r="E1810" s="13" t="s">
        <v>529</v>
      </c>
      <c r="F1810" s="12">
        <v>1</v>
      </c>
      <c r="G1810" s="12">
        <v>16806.72</v>
      </c>
      <c r="H1810" s="35">
        <v>46147.398143344908</v>
      </c>
    </row>
    <row r="1811" spans="2:8" x14ac:dyDescent="0.2">
      <c r="B1811" s="32">
        <v>46052</v>
      </c>
      <c r="C1811" t="s">
        <v>109</v>
      </c>
      <c r="D1811" t="s">
        <v>331</v>
      </c>
      <c r="E1811" s="13" t="s">
        <v>529</v>
      </c>
      <c r="F1811" s="12">
        <v>1</v>
      </c>
      <c r="G1811" s="12">
        <v>16806.72</v>
      </c>
      <c r="H1811" s="35">
        <v>46147.398143344908</v>
      </c>
    </row>
    <row r="1812" spans="2:8" x14ac:dyDescent="0.2">
      <c r="B1812" s="32">
        <v>46052</v>
      </c>
      <c r="C1812" t="s">
        <v>109</v>
      </c>
      <c r="D1812" t="s">
        <v>207</v>
      </c>
      <c r="E1812" s="13" t="s">
        <v>529</v>
      </c>
      <c r="F1812" s="12">
        <v>1</v>
      </c>
      <c r="G1812" s="12">
        <v>16806.72</v>
      </c>
      <c r="H1812" s="35">
        <v>46147.398143344908</v>
      </c>
    </row>
    <row r="1813" spans="2:8" x14ac:dyDescent="0.2">
      <c r="B1813" s="32">
        <v>46052</v>
      </c>
      <c r="C1813" t="s">
        <v>109</v>
      </c>
      <c r="D1813" t="s">
        <v>450</v>
      </c>
      <c r="E1813" s="13" t="s">
        <v>529</v>
      </c>
      <c r="F1813" s="12">
        <v>1</v>
      </c>
      <c r="G1813" s="12">
        <v>16806.72</v>
      </c>
      <c r="H1813" s="35">
        <v>46147.398143344908</v>
      </c>
    </row>
    <row r="1814" spans="2:8" x14ac:dyDescent="0.2">
      <c r="B1814" s="32">
        <v>46052</v>
      </c>
      <c r="C1814" t="s">
        <v>109</v>
      </c>
      <c r="E1814" s="13" t="s">
        <v>530</v>
      </c>
      <c r="F1814" s="12">
        <v>0</v>
      </c>
      <c r="G1814" s="12">
        <v>0</v>
      </c>
      <c r="H1814" s="35">
        <v>46147.398143344908</v>
      </c>
    </row>
    <row r="1815" spans="2:8" x14ac:dyDescent="0.2">
      <c r="B1815" s="32">
        <v>46053</v>
      </c>
      <c r="C1815" t="s">
        <v>140</v>
      </c>
      <c r="D1815" t="s">
        <v>514</v>
      </c>
      <c r="E1815" s="13" t="s">
        <v>529</v>
      </c>
      <c r="F1815" s="12">
        <v>3</v>
      </c>
      <c r="G1815" s="12">
        <v>365546.22</v>
      </c>
      <c r="H1815" s="35">
        <v>46147.398143344908</v>
      </c>
    </row>
    <row r="1816" spans="2:8" x14ac:dyDescent="0.2">
      <c r="B1816" s="32">
        <v>46053</v>
      </c>
      <c r="C1816" t="s">
        <v>140</v>
      </c>
      <c r="D1816" t="s">
        <v>153</v>
      </c>
      <c r="E1816" s="13" t="s">
        <v>530</v>
      </c>
      <c r="F1816" s="12">
        <v>1</v>
      </c>
      <c r="G1816" s="12">
        <v>100840.34</v>
      </c>
      <c r="H1816" s="35">
        <v>46147.398143344908</v>
      </c>
    </row>
    <row r="1817" spans="2:8" x14ac:dyDescent="0.2">
      <c r="B1817" s="32">
        <v>46053</v>
      </c>
      <c r="C1817" t="s">
        <v>140</v>
      </c>
      <c r="D1817" t="s">
        <v>390</v>
      </c>
      <c r="E1817" s="13" t="s">
        <v>529</v>
      </c>
      <c r="F1817" s="12">
        <v>1</v>
      </c>
      <c r="G1817" s="12">
        <v>100840.34</v>
      </c>
      <c r="H1817" s="35">
        <v>46147.398143344908</v>
      </c>
    </row>
    <row r="1818" spans="2:8" x14ac:dyDescent="0.2">
      <c r="B1818" s="32">
        <v>46053</v>
      </c>
      <c r="C1818" t="s">
        <v>140</v>
      </c>
      <c r="D1818" t="s">
        <v>247</v>
      </c>
      <c r="E1818" s="13" t="s">
        <v>529</v>
      </c>
      <c r="F1818" s="12">
        <v>1</v>
      </c>
      <c r="G1818" s="12">
        <v>100840.33</v>
      </c>
      <c r="H1818" s="35">
        <v>46147.398143344908</v>
      </c>
    </row>
    <row r="1819" spans="2:8" x14ac:dyDescent="0.2">
      <c r="B1819" s="32">
        <v>46053</v>
      </c>
      <c r="C1819" t="s">
        <v>140</v>
      </c>
      <c r="D1819" t="s">
        <v>165</v>
      </c>
      <c r="E1819" s="13" t="s">
        <v>529</v>
      </c>
      <c r="F1819" s="12">
        <v>1</v>
      </c>
      <c r="G1819" s="12">
        <v>100840.33</v>
      </c>
      <c r="H1819" s="35">
        <v>46147.398143344908</v>
      </c>
    </row>
    <row r="1820" spans="2:8" x14ac:dyDescent="0.2">
      <c r="B1820" s="32">
        <v>46053</v>
      </c>
      <c r="C1820" t="s">
        <v>140</v>
      </c>
      <c r="D1820" t="s">
        <v>468</v>
      </c>
      <c r="E1820" s="13" t="s">
        <v>529</v>
      </c>
      <c r="F1820" s="12">
        <v>1</v>
      </c>
      <c r="G1820" s="12">
        <v>63025.21</v>
      </c>
      <c r="H1820" s="35">
        <v>46147.398143344908</v>
      </c>
    </row>
    <row r="1821" spans="2:8" x14ac:dyDescent="0.2">
      <c r="B1821" s="32">
        <v>46053</v>
      </c>
      <c r="C1821" t="s">
        <v>140</v>
      </c>
      <c r="D1821" t="s">
        <v>520</v>
      </c>
      <c r="E1821" s="13" t="s">
        <v>529</v>
      </c>
      <c r="F1821" s="12">
        <v>1</v>
      </c>
      <c r="G1821" s="12">
        <v>55000</v>
      </c>
      <c r="H1821" s="35">
        <v>46147.398143344908</v>
      </c>
    </row>
    <row r="1822" spans="2:8" x14ac:dyDescent="0.2">
      <c r="B1822" s="32">
        <v>46053</v>
      </c>
      <c r="C1822" t="s">
        <v>140</v>
      </c>
      <c r="D1822" t="s">
        <v>455</v>
      </c>
      <c r="E1822" s="13" t="s">
        <v>529</v>
      </c>
      <c r="F1822" s="12">
        <v>1</v>
      </c>
      <c r="G1822" s="12">
        <v>50420.17</v>
      </c>
      <c r="H1822" s="35">
        <v>46147.398143344908</v>
      </c>
    </row>
    <row r="1823" spans="2:8" x14ac:dyDescent="0.2">
      <c r="B1823" s="32">
        <v>46053</v>
      </c>
      <c r="C1823" t="s">
        <v>140</v>
      </c>
      <c r="D1823" t="s">
        <v>142</v>
      </c>
      <c r="E1823" s="13" t="s">
        <v>529</v>
      </c>
      <c r="F1823" s="12">
        <v>1</v>
      </c>
      <c r="G1823" s="12">
        <v>13445.38</v>
      </c>
      <c r="H1823" s="35">
        <v>46147.398143344908</v>
      </c>
    </row>
    <row r="1824" spans="2:8" x14ac:dyDescent="0.2">
      <c r="B1824" s="32">
        <v>46053</v>
      </c>
      <c r="C1824" t="s">
        <v>140</v>
      </c>
      <c r="E1824" s="13" t="s">
        <v>529</v>
      </c>
      <c r="F1824" s="12">
        <v>0</v>
      </c>
      <c r="G1824" s="12">
        <v>0</v>
      </c>
      <c r="H1824" s="35">
        <v>46147.398143344908</v>
      </c>
    </row>
    <row r="1825" spans="2:8" x14ac:dyDescent="0.2">
      <c r="B1825" s="32">
        <v>46053</v>
      </c>
      <c r="C1825" t="s">
        <v>140</v>
      </c>
      <c r="E1825" s="13" t="s">
        <v>530</v>
      </c>
      <c r="F1825" s="12">
        <v>0</v>
      </c>
      <c r="G1825" s="12">
        <v>0</v>
      </c>
      <c r="H1825" s="35">
        <v>46147.398143344908</v>
      </c>
    </row>
    <row r="1826" spans="2:8" x14ac:dyDescent="0.2">
      <c r="B1826" s="32">
        <v>46053</v>
      </c>
      <c r="C1826" t="s">
        <v>109</v>
      </c>
      <c r="E1826" s="13" t="s">
        <v>530</v>
      </c>
      <c r="F1826" s="12">
        <v>1</v>
      </c>
      <c r="G1826" s="12">
        <v>122818.36</v>
      </c>
      <c r="H1826" s="35">
        <v>46147.398143344908</v>
      </c>
    </row>
    <row r="1827" spans="2:8" x14ac:dyDescent="0.2">
      <c r="B1827" s="32">
        <v>46053</v>
      </c>
      <c r="C1827" t="s">
        <v>109</v>
      </c>
      <c r="D1827" t="s">
        <v>538</v>
      </c>
      <c r="E1827" s="13" t="s">
        <v>529</v>
      </c>
      <c r="F1827" s="12">
        <v>2</v>
      </c>
      <c r="G1827" s="12">
        <v>98000</v>
      </c>
      <c r="H1827" s="35">
        <v>46147.398143344908</v>
      </c>
    </row>
    <row r="1828" spans="2:8" x14ac:dyDescent="0.2">
      <c r="B1828" s="32">
        <v>46053</v>
      </c>
      <c r="C1828" t="s">
        <v>109</v>
      </c>
      <c r="D1828" t="s">
        <v>194</v>
      </c>
      <c r="E1828" s="13" t="s">
        <v>529</v>
      </c>
      <c r="F1828" s="12">
        <v>2</v>
      </c>
      <c r="G1828" s="12">
        <v>92436.98</v>
      </c>
      <c r="H1828" s="35">
        <v>46147.398143344908</v>
      </c>
    </row>
    <row r="1829" spans="2:8" x14ac:dyDescent="0.2">
      <c r="B1829" s="32">
        <v>46053</v>
      </c>
      <c r="C1829" t="s">
        <v>109</v>
      </c>
      <c r="D1829" t="s">
        <v>143</v>
      </c>
      <c r="E1829" s="13" t="s">
        <v>530</v>
      </c>
      <c r="F1829" s="12">
        <v>3</v>
      </c>
      <c r="G1829" s="12">
        <v>88235.29</v>
      </c>
      <c r="H1829" s="35">
        <v>46147.398143344908</v>
      </c>
    </row>
    <row r="1830" spans="2:8" x14ac:dyDescent="0.2">
      <c r="B1830" s="32">
        <v>46053</v>
      </c>
      <c r="C1830" t="s">
        <v>109</v>
      </c>
      <c r="D1830" t="s">
        <v>386</v>
      </c>
      <c r="E1830" s="13" t="s">
        <v>529</v>
      </c>
      <c r="F1830" s="12">
        <v>1</v>
      </c>
      <c r="G1830" s="12">
        <v>84033.61</v>
      </c>
      <c r="H1830" s="35">
        <v>46147.398143344908</v>
      </c>
    </row>
    <row r="1831" spans="2:8" x14ac:dyDescent="0.2">
      <c r="B1831" s="32">
        <v>46053</v>
      </c>
      <c r="C1831" t="s">
        <v>109</v>
      </c>
      <c r="D1831" t="s">
        <v>145</v>
      </c>
      <c r="E1831" s="13" t="s">
        <v>530</v>
      </c>
      <c r="F1831" s="12">
        <v>1</v>
      </c>
      <c r="G1831" s="12">
        <v>75630.25</v>
      </c>
      <c r="H1831" s="35">
        <v>46147.398143344908</v>
      </c>
    </row>
    <row r="1832" spans="2:8" x14ac:dyDescent="0.2">
      <c r="B1832" s="32">
        <v>46053</v>
      </c>
      <c r="C1832" t="s">
        <v>109</v>
      </c>
      <c r="D1832" t="s">
        <v>146</v>
      </c>
      <c r="E1832" s="13" t="s">
        <v>530</v>
      </c>
      <c r="F1832" s="12">
        <v>2</v>
      </c>
      <c r="G1832" s="12">
        <v>75630.25</v>
      </c>
      <c r="H1832" s="35">
        <v>46147.398143344908</v>
      </c>
    </row>
    <row r="1833" spans="2:8" x14ac:dyDescent="0.2">
      <c r="B1833" s="32">
        <v>46053</v>
      </c>
      <c r="C1833" t="s">
        <v>109</v>
      </c>
      <c r="D1833" t="s">
        <v>177</v>
      </c>
      <c r="E1833" s="13" t="s">
        <v>530</v>
      </c>
      <c r="F1833" s="12">
        <v>1</v>
      </c>
      <c r="G1833" s="12">
        <v>50420.17</v>
      </c>
      <c r="H1833" s="35">
        <v>46147.398143344908</v>
      </c>
    </row>
    <row r="1834" spans="2:8" x14ac:dyDescent="0.2">
      <c r="B1834" s="32">
        <v>46053</v>
      </c>
      <c r="C1834" t="s">
        <v>109</v>
      </c>
      <c r="D1834" t="s">
        <v>196</v>
      </c>
      <c r="E1834" s="13" t="s">
        <v>530</v>
      </c>
      <c r="F1834" s="12">
        <v>1</v>
      </c>
      <c r="G1834" s="12">
        <v>50420.17</v>
      </c>
      <c r="H1834" s="35">
        <v>46147.398143344908</v>
      </c>
    </row>
    <row r="1835" spans="2:8" x14ac:dyDescent="0.2">
      <c r="B1835" s="32">
        <v>46053</v>
      </c>
      <c r="C1835" t="s">
        <v>109</v>
      </c>
      <c r="D1835" t="s">
        <v>144</v>
      </c>
      <c r="E1835" s="13" t="s">
        <v>530</v>
      </c>
      <c r="F1835" s="12">
        <v>1</v>
      </c>
      <c r="G1835" s="12">
        <v>50420.17</v>
      </c>
      <c r="H1835" s="35">
        <v>46147.398143344908</v>
      </c>
    </row>
    <row r="1836" spans="2:8" x14ac:dyDescent="0.2">
      <c r="B1836" s="32">
        <v>46053</v>
      </c>
      <c r="C1836" t="s">
        <v>109</v>
      </c>
      <c r="D1836" t="s">
        <v>149</v>
      </c>
      <c r="E1836" s="13" t="s">
        <v>530</v>
      </c>
      <c r="F1836" s="12">
        <v>1</v>
      </c>
      <c r="G1836" s="12">
        <v>50420.160000000003</v>
      </c>
      <c r="H1836" s="35">
        <v>46147.398143344908</v>
      </c>
    </row>
    <row r="1837" spans="2:8" x14ac:dyDescent="0.2">
      <c r="B1837" s="32">
        <v>46053</v>
      </c>
      <c r="C1837" t="s">
        <v>109</v>
      </c>
      <c r="D1837" t="s">
        <v>154</v>
      </c>
      <c r="E1837" s="13" t="s">
        <v>530</v>
      </c>
      <c r="F1837" s="12">
        <v>1</v>
      </c>
      <c r="G1837" s="12">
        <v>46218.49</v>
      </c>
      <c r="H1837" s="35">
        <v>46147.398143344908</v>
      </c>
    </row>
    <row r="1838" spans="2:8" x14ac:dyDescent="0.2">
      <c r="B1838" s="32">
        <v>46053</v>
      </c>
      <c r="C1838" t="s">
        <v>109</v>
      </c>
      <c r="D1838" t="s">
        <v>201</v>
      </c>
      <c r="E1838" s="13" t="s">
        <v>530</v>
      </c>
      <c r="F1838" s="12">
        <v>1</v>
      </c>
      <c r="G1838" s="12">
        <v>42016.81</v>
      </c>
      <c r="H1838" s="35">
        <v>46147.398143344908</v>
      </c>
    </row>
    <row r="1839" spans="2:8" x14ac:dyDescent="0.2">
      <c r="B1839" s="32">
        <v>46053</v>
      </c>
      <c r="C1839" t="s">
        <v>109</v>
      </c>
      <c r="D1839" t="s">
        <v>191</v>
      </c>
      <c r="E1839" s="13"/>
      <c r="F1839" s="12">
        <v>1</v>
      </c>
      <c r="G1839" s="12">
        <v>37815.129999999997</v>
      </c>
      <c r="H1839" s="35">
        <v>46147.398143344908</v>
      </c>
    </row>
    <row r="1840" spans="2:8" x14ac:dyDescent="0.2">
      <c r="B1840" s="32">
        <v>46053</v>
      </c>
      <c r="C1840" t="s">
        <v>109</v>
      </c>
      <c r="D1840" t="s">
        <v>191</v>
      </c>
      <c r="E1840" s="13" t="s">
        <v>530</v>
      </c>
      <c r="F1840" s="12">
        <v>1</v>
      </c>
      <c r="G1840" s="12">
        <v>36845.51</v>
      </c>
      <c r="H1840" s="35">
        <v>46147.398143344908</v>
      </c>
    </row>
    <row r="1841" spans="2:8" x14ac:dyDescent="0.2">
      <c r="B1841" s="32">
        <v>46053</v>
      </c>
      <c r="C1841" t="s">
        <v>109</v>
      </c>
      <c r="D1841" t="s">
        <v>142</v>
      </c>
      <c r="E1841" s="13"/>
      <c r="F1841" s="12">
        <v>1</v>
      </c>
      <c r="G1841" s="12">
        <v>7983.19</v>
      </c>
      <c r="H1841" s="35">
        <v>46147.398143344908</v>
      </c>
    </row>
    <row r="1842" spans="2:8" x14ac:dyDescent="0.2">
      <c r="B1842" s="32">
        <v>46053</v>
      </c>
      <c r="C1842" t="s">
        <v>109</v>
      </c>
      <c r="D1842" t="s">
        <v>142</v>
      </c>
      <c r="E1842" s="13" t="s">
        <v>530</v>
      </c>
      <c r="F1842" s="12">
        <v>1</v>
      </c>
      <c r="G1842" s="12">
        <v>4621.8500000000004</v>
      </c>
      <c r="H1842" s="35">
        <v>46147.398143344908</v>
      </c>
    </row>
    <row r="1843" spans="2:8" x14ac:dyDescent="0.2">
      <c r="B1843" s="32">
        <v>46055</v>
      </c>
      <c r="C1843" t="s">
        <v>140</v>
      </c>
      <c r="D1843" t="s">
        <v>167</v>
      </c>
      <c r="E1843" s="13" t="s">
        <v>530</v>
      </c>
      <c r="F1843" s="12">
        <v>2</v>
      </c>
      <c r="G1843" s="12">
        <v>201680.67</v>
      </c>
      <c r="H1843" s="35">
        <v>46147.398143344908</v>
      </c>
    </row>
    <row r="1844" spans="2:8" x14ac:dyDescent="0.2">
      <c r="B1844" s="32">
        <v>46055</v>
      </c>
      <c r="C1844" t="s">
        <v>109</v>
      </c>
      <c r="D1844" t="s">
        <v>189</v>
      </c>
      <c r="E1844" s="13" t="s">
        <v>530</v>
      </c>
      <c r="F1844" s="12">
        <v>1</v>
      </c>
      <c r="G1844" s="12">
        <v>142857.14000000001</v>
      </c>
      <c r="H1844" s="35">
        <v>46147.398143344908</v>
      </c>
    </row>
    <row r="1845" spans="2:8" x14ac:dyDescent="0.2">
      <c r="B1845" s="32">
        <v>46055</v>
      </c>
      <c r="C1845" t="s">
        <v>109</v>
      </c>
      <c r="D1845" t="s">
        <v>222</v>
      </c>
      <c r="E1845" s="13" t="s">
        <v>530</v>
      </c>
      <c r="F1845" s="12">
        <v>1</v>
      </c>
      <c r="G1845" s="12">
        <v>58823.53</v>
      </c>
      <c r="H1845" s="35">
        <v>46147.398143344908</v>
      </c>
    </row>
    <row r="1846" spans="2:8" x14ac:dyDescent="0.2">
      <c r="B1846" s="32">
        <v>46055</v>
      </c>
      <c r="C1846" t="s">
        <v>109</v>
      </c>
      <c r="D1846" t="s">
        <v>180</v>
      </c>
      <c r="E1846" s="13" t="s">
        <v>530</v>
      </c>
      <c r="F1846" s="12">
        <v>2</v>
      </c>
      <c r="G1846" s="12">
        <v>58823.53</v>
      </c>
      <c r="H1846" s="35">
        <v>46147.398143344908</v>
      </c>
    </row>
    <row r="1847" spans="2:8" x14ac:dyDescent="0.2">
      <c r="B1847" s="32">
        <v>46055</v>
      </c>
      <c r="C1847" t="s">
        <v>109</v>
      </c>
      <c r="D1847" t="s">
        <v>208</v>
      </c>
      <c r="E1847" s="13" t="s">
        <v>530</v>
      </c>
      <c r="F1847" s="12">
        <v>1</v>
      </c>
      <c r="G1847" s="12">
        <v>50420.17</v>
      </c>
      <c r="H1847" s="35">
        <v>46147.398143344908</v>
      </c>
    </row>
    <row r="1848" spans="2:8" x14ac:dyDescent="0.2">
      <c r="B1848" s="32">
        <v>46055</v>
      </c>
      <c r="C1848" t="s">
        <v>109</v>
      </c>
      <c r="D1848" t="s">
        <v>326</v>
      </c>
      <c r="E1848" s="13" t="s">
        <v>530</v>
      </c>
      <c r="F1848" s="12">
        <v>1</v>
      </c>
      <c r="G1848" s="12">
        <v>37815.129999999997</v>
      </c>
      <c r="H1848" s="35">
        <v>46147.398143344908</v>
      </c>
    </row>
    <row r="1849" spans="2:8" x14ac:dyDescent="0.2">
      <c r="B1849" s="32">
        <v>46055</v>
      </c>
      <c r="C1849" t="s">
        <v>109</v>
      </c>
      <c r="D1849" t="s">
        <v>232</v>
      </c>
      <c r="E1849" s="13" t="s">
        <v>529</v>
      </c>
      <c r="F1849" s="12">
        <v>1</v>
      </c>
      <c r="G1849" s="12">
        <v>37815.120000000003</v>
      </c>
      <c r="H1849" s="35">
        <v>46147.398143344908</v>
      </c>
    </row>
    <row r="1850" spans="2:8" x14ac:dyDescent="0.2">
      <c r="B1850" s="32">
        <v>46055</v>
      </c>
      <c r="C1850" t="s">
        <v>109</v>
      </c>
      <c r="D1850" t="s">
        <v>352</v>
      </c>
      <c r="E1850" s="13" t="s">
        <v>530</v>
      </c>
      <c r="F1850" s="12">
        <v>1</v>
      </c>
      <c r="G1850" s="12">
        <v>37815.120000000003</v>
      </c>
      <c r="H1850" s="35">
        <v>46147.398143344908</v>
      </c>
    </row>
    <row r="1851" spans="2:8" x14ac:dyDescent="0.2">
      <c r="B1851" s="32">
        <v>46055</v>
      </c>
      <c r="C1851" t="s">
        <v>109</v>
      </c>
      <c r="D1851" t="s">
        <v>142</v>
      </c>
      <c r="E1851" s="13" t="s">
        <v>529</v>
      </c>
      <c r="F1851" s="12">
        <v>3</v>
      </c>
      <c r="G1851" s="12">
        <v>35714.28</v>
      </c>
      <c r="H1851" s="35">
        <v>46147.398143344908</v>
      </c>
    </row>
    <row r="1852" spans="2:8" x14ac:dyDescent="0.2">
      <c r="B1852" s="32">
        <v>46056</v>
      </c>
      <c r="C1852" t="s">
        <v>140</v>
      </c>
      <c r="D1852" t="s">
        <v>313</v>
      </c>
      <c r="E1852" s="13" t="s">
        <v>529</v>
      </c>
      <c r="F1852" s="12">
        <v>1</v>
      </c>
      <c r="G1852" s="12">
        <v>63025.21</v>
      </c>
      <c r="H1852" s="35">
        <v>46147.398143344908</v>
      </c>
    </row>
    <row r="1853" spans="2:8" x14ac:dyDescent="0.2">
      <c r="B1853" s="32">
        <v>46056</v>
      </c>
      <c r="C1853" t="s">
        <v>140</v>
      </c>
      <c r="D1853" t="s">
        <v>304</v>
      </c>
      <c r="E1853" s="13" t="s">
        <v>529</v>
      </c>
      <c r="F1853" s="12">
        <v>1</v>
      </c>
      <c r="G1853" s="12">
        <v>63025.21</v>
      </c>
      <c r="H1853" s="35">
        <v>46147.398143344908</v>
      </c>
    </row>
    <row r="1854" spans="2:8" x14ac:dyDescent="0.2">
      <c r="B1854" s="32">
        <v>46056</v>
      </c>
      <c r="C1854" t="s">
        <v>109</v>
      </c>
      <c r="D1854" t="s">
        <v>410</v>
      </c>
      <c r="E1854" s="13" t="s">
        <v>530</v>
      </c>
      <c r="F1854" s="12">
        <v>1</v>
      </c>
      <c r="G1854" s="12">
        <v>163865.54999999999</v>
      </c>
      <c r="H1854" s="35">
        <v>46147.398143344908</v>
      </c>
    </row>
    <row r="1855" spans="2:8" x14ac:dyDescent="0.2">
      <c r="B1855" s="32">
        <v>46056</v>
      </c>
      <c r="C1855" t="s">
        <v>109</v>
      </c>
      <c r="D1855" t="s">
        <v>367</v>
      </c>
      <c r="E1855" s="13" t="s">
        <v>530</v>
      </c>
      <c r="F1855" s="12">
        <v>1</v>
      </c>
      <c r="G1855" s="12">
        <v>67226.880000000005</v>
      </c>
      <c r="H1855" s="35">
        <v>46147.398143344908</v>
      </c>
    </row>
    <row r="1856" spans="2:8" x14ac:dyDescent="0.2">
      <c r="B1856" s="32">
        <v>46056</v>
      </c>
      <c r="C1856" t="s">
        <v>109</v>
      </c>
      <c r="D1856" t="s">
        <v>236</v>
      </c>
      <c r="E1856" s="13" t="s">
        <v>529</v>
      </c>
      <c r="F1856" s="12">
        <v>1</v>
      </c>
      <c r="G1856" s="12">
        <v>46218.49</v>
      </c>
      <c r="H1856" s="35">
        <v>46147.398143344908</v>
      </c>
    </row>
    <row r="1857" spans="2:8" x14ac:dyDescent="0.2">
      <c r="B1857" s="32">
        <v>46056</v>
      </c>
      <c r="C1857" t="s">
        <v>109</v>
      </c>
      <c r="D1857" t="s">
        <v>458</v>
      </c>
      <c r="E1857" s="13" t="s">
        <v>529</v>
      </c>
      <c r="F1857" s="12">
        <v>1</v>
      </c>
      <c r="G1857" s="12">
        <v>35000</v>
      </c>
      <c r="H1857" s="35">
        <v>46147.398143344908</v>
      </c>
    </row>
    <row r="1858" spans="2:8" x14ac:dyDescent="0.2">
      <c r="B1858" s="32">
        <v>46057</v>
      </c>
      <c r="C1858" t="s">
        <v>140</v>
      </c>
      <c r="D1858" t="s">
        <v>346</v>
      </c>
      <c r="E1858" s="13" t="s">
        <v>530</v>
      </c>
      <c r="F1858" s="12">
        <v>2</v>
      </c>
      <c r="G1858" s="12">
        <v>100840.34</v>
      </c>
      <c r="H1858" s="35">
        <v>46147.398143344908</v>
      </c>
    </row>
    <row r="1859" spans="2:8" x14ac:dyDescent="0.2">
      <c r="B1859" s="32">
        <v>46057</v>
      </c>
      <c r="C1859" t="s">
        <v>140</v>
      </c>
      <c r="D1859" t="s">
        <v>582</v>
      </c>
      <c r="E1859" s="13" t="s">
        <v>529</v>
      </c>
      <c r="F1859" s="12">
        <v>1</v>
      </c>
      <c r="G1859" s="12">
        <v>63025.21</v>
      </c>
      <c r="H1859" s="35">
        <v>46147.398143344908</v>
      </c>
    </row>
    <row r="1860" spans="2:8" x14ac:dyDescent="0.2">
      <c r="B1860" s="32">
        <v>46057</v>
      </c>
      <c r="C1860" t="s">
        <v>109</v>
      </c>
      <c r="D1860" t="s">
        <v>156</v>
      </c>
      <c r="E1860" s="13" t="s">
        <v>530</v>
      </c>
      <c r="F1860" s="12">
        <v>2</v>
      </c>
      <c r="G1860" s="12">
        <v>92436.98</v>
      </c>
      <c r="H1860" s="35">
        <v>46147.398143344908</v>
      </c>
    </row>
    <row r="1861" spans="2:8" x14ac:dyDescent="0.2">
      <c r="B1861" s="32">
        <v>46057</v>
      </c>
      <c r="C1861" t="s">
        <v>109</v>
      </c>
      <c r="D1861" t="s">
        <v>166</v>
      </c>
      <c r="E1861" s="13" t="s">
        <v>529</v>
      </c>
      <c r="F1861" s="12">
        <v>1</v>
      </c>
      <c r="G1861" s="12">
        <v>46218.49</v>
      </c>
      <c r="H1861" s="35">
        <v>46147.398143344908</v>
      </c>
    </row>
    <row r="1862" spans="2:8" x14ac:dyDescent="0.2">
      <c r="B1862" s="32">
        <v>46057</v>
      </c>
      <c r="C1862" t="s">
        <v>109</v>
      </c>
      <c r="D1862" t="s">
        <v>154</v>
      </c>
      <c r="E1862" s="13" t="s">
        <v>529</v>
      </c>
      <c r="F1862" s="12">
        <v>1</v>
      </c>
      <c r="G1862" s="12">
        <v>46218.49</v>
      </c>
      <c r="H1862" s="35">
        <v>46147.398143344908</v>
      </c>
    </row>
    <row r="1863" spans="2:8" x14ac:dyDescent="0.2">
      <c r="B1863" s="32">
        <v>46057</v>
      </c>
      <c r="C1863" t="s">
        <v>109</v>
      </c>
      <c r="D1863" t="s">
        <v>331</v>
      </c>
      <c r="E1863" s="13" t="s">
        <v>530</v>
      </c>
      <c r="F1863" s="12">
        <v>2</v>
      </c>
      <c r="G1863" s="12">
        <v>33613.449999999997</v>
      </c>
      <c r="H1863" s="35">
        <v>46147.398143344908</v>
      </c>
    </row>
    <row r="1864" spans="2:8" x14ac:dyDescent="0.2">
      <c r="B1864" s="32">
        <v>46057</v>
      </c>
      <c r="C1864" t="s">
        <v>109</v>
      </c>
      <c r="D1864" t="s">
        <v>308</v>
      </c>
      <c r="E1864" s="13" t="s">
        <v>530</v>
      </c>
      <c r="F1864" s="12">
        <v>2</v>
      </c>
      <c r="G1864" s="12">
        <v>33613.440000000002</v>
      </c>
      <c r="H1864" s="35">
        <v>46147.398143344908</v>
      </c>
    </row>
    <row r="1865" spans="2:8" x14ac:dyDescent="0.2">
      <c r="B1865" s="32">
        <v>46058</v>
      </c>
      <c r="C1865" t="s">
        <v>140</v>
      </c>
      <c r="D1865" t="s">
        <v>609</v>
      </c>
      <c r="E1865" s="13" t="s">
        <v>529</v>
      </c>
      <c r="F1865" s="12">
        <v>1</v>
      </c>
      <c r="G1865" s="12">
        <v>277310.92</v>
      </c>
      <c r="H1865" s="35">
        <v>46147.398143344908</v>
      </c>
    </row>
    <row r="1866" spans="2:8" x14ac:dyDescent="0.2">
      <c r="B1866" s="32">
        <v>46058</v>
      </c>
      <c r="C1866" t="s">
        <v>140</v>
      </c>
      <c r="D1866" t="s">
        <v>595</v>
      </c>
      <c r="E1866" s="13" t="s">
        <v>529</v>
      </c>
      <c r="F1866" s="12">
        <v>2</v>
      </c>
      <c r="G1866" s="12">
        <v>142857.14000000001</v>
      </c>
      <c r="H1866" s="35">
        <v>46147.398143344908</v>
      </c>
    </row>
    <row r="1867" spans="2:8" x14ac:dyDescent="0.2">
      <c r="B1867" s="32">
        <v>46058</v>
      </c>
      <c r="C1867" t="s">
        <v>140</v>
      </c>
      <c r="D1867" t="s">
        <v>600</v>
      </c>
      <c r="E1867" s="13" t="s">
        <v>529</v>
      </c>
      <c r="F1867" s="12">
        <v>1</v>
      </c>
      <c r="G1867" s="12">
        <v>50420.17</v>
      </c>
      <c r="H1867" s="35">
        <v>46147.398143344908</v>
      </c>
    </row>
    <row r="1868" spans="2:8" x14ac:dyDescent="0.2">
      <c r="B1868" s="32">
        <v>46058</v>
      </c>
      <c r="C1868" t="s">
        <v>109</v>
      </c>
      <c r="E1868" s="13" t="s">
        <v>530</v>
      </c>
      <c r="F1868" s="12">
        <v>2</v>
      </c>
      <c r="G1868" s="12">
        <v>252100.84</v>
      </c>
      <c r="H1868" s="35">
        <v>46147.398143344908</v>
      </c>
    </row>
    <row r="1869" spans="2:8" x14ac:dyDescent="0.2">
      <c r="B1869" s="32">
        <v>46058</v>
      </c>
      <c r="C1869" t="s">
        <v>109</v>
      </c>
      <c r="D1869" t="s">
        <v>472</v>
      </c>
      <c r="E1869" s="13"/>
      <c r="F1869" s="12">
        <v>1</v>
      </c>
      <c r="G1869" s="12">
        <v>140000</v>
      </c>
      <c r="H1869" s="35">
        <v>46147.398143344908</v>
      </c>
    </row>
    <row r="1870" spans="2:8" x14ac:dyDescent="0.2">
      <c r="B1870" s="32">
        <v>46058</v>
      </c>
      <c r="C1870" t="s">
        <v>109</v>
      </c>
      <c r="D1870" t="s">
        <v>190</v>
      </c>
      <c r="E1870" s="13" t="s">
        <v>530</v>
      </c>
      <c r="F1870" s="12">
        <v>1</v>
      </c>
      <c r="G1870" s="12">
        <v>75630.259999999995</v>
      </c>
      <c r="H1870" s="35">
        <v>46147.398143344908</v>
      </c>
    </row>
    <row r="1871" spans="2:8" x14ac:dyDescent="0.2">
      <c r="B1871" s="32">
        <v>46058</v>
      </c>
      <c r="C1871" t="s">
        <v>109</v>
      </c>
      <c r="D1871" t="s">
        <v>147</v>
      </c>
      <c r="E1871" s="13" t="s">
        <v>530</v>
      </c>
      <c r="F1871" s="12">
        <v>1</v>
      </c>
      <c r="G1871" s="12">
        <v>75630.25</v>
      </c>
      <c r="H1871" s="35">
        <v>46147.398143344908</v>
      </c>
    </row>
    <row r="1872" spans="2:8" x14ac:dyDescent="0.2">
      <c r="B1872" s="32">
        <v>46058</v>
      </c>
      <c r="C1872" t="s">
        <v>109</v>
      </c>
      <c r="D1872" t="s">
        <v>200</v>
      </c>
      <c r="E1872" s="13" t="s">
        <v>529</v>
      </c>
      <c r="F1872" s="12">
        <v>1</v>
      </c>
      <c r="G1872" s="12">
        <v>46218.49</v>
      </c>
      <c r="H1872" s="35">
        <v>46147.398143344908</v>
      </c>
    </row>
    <row r="1873" spans="2:8" x14ac:dyDescent="0.2">
      <c r="B1873" s="32">
        <v>46058</v>
      </c>
      <c r="C1873" t="s">
        <v>109</v>
      </c>
      <c r="D1873" t="s">
        <v>146</v>
      </c>
      <c r="E1873" s="13" t="s">
        <v>530</v>
      </c>
      <c r="F1873" s="12">
        <v>1</v>
      </c>
      <c r="G1873" s="12">
        <v>37815.129999999997</v>
      </c>
      <c r="H1873" s="35">
        <v>46147.398143344908</v>
      </c>
    </row>
    <row r="1874" spans="2:8" x14ac:dyDescent="0.2">
      <c r="B1874" s="32">
        <v>46058</v>
      </c>
      <c r="C1874" t="s">
        <v>109</v>
      </c>
      <c r="D1874" t="s">
        <v>142</v>
      </c>
      <c r="E1874" s="13" t="s">
        <v>529</v>
      </c>
      <c r="F1874" s="12">
        <v>1</v>
      </c>
      <c r="G1874" s="12">
        <v>25210.080000000002</v>
      </c>
      <c r="H1874" s="35">
        <v>46147.398143344908</v>
      </c>
    </row>
    <row r="1875" spans="2:8" x14ac:dyDescent="0.2">
      <c r="B1875" s="32">
        <v>46058</v>
      </c>
      <c r="C1875" t="s">
        <v>109</v>
      </c>
      <c r="D1875" t="s">
        <v>369</v>
      </c>
      <c r="E1875" s="13" t="s">
        <v>530</v>
      </c>
      <c r="F1875" s="12">
        <v>1</v>
      </c>
      <c r="G1875" s="12">
        <v>16806.72</v>
      </c>
      <c r="H1875" s="35">
        <v>46147.398143344908</v>
      </c>
    </row>
    <row r="1876" spans="2:8" x14ac:dyDescent="0.2">
      <c r="B1876" s="32">
        <v>46059</v>
      </c>
      <c r="C1876" t="s">
        <v>140</v>
      </c>
      <c r="D1876" t="s">
        <v>225</v>
      </c>
      <c r="E1876" s="13" t="s">
        <v>530</v>
      </c>
      <c r="F1876" s="12">
        <v>1</v>
      </c>
      <c r="G1876" s="12">
        <v>100840.34</v>
      </c>
      <c r="H1876" s="35">
        <v>46147.398143344908</v>
      </c>
    </row>
    <row r="1877" spans="2:8" x14ac:dyDescent="0.2">
      <c r="B1877" s="32">
        <v>46059</v>
      </c>
      <c r="C1877" t="s">
        <v>140</v>
      </c>
      <c r="D1877" t="s">
        <v>602</v>
      </c>
      <c r="E1877" s="13" t="s">
        <v>529</v>
      </c>
      <c r="F1877" s="12">
        <v>1</v>
      </c>
      <c r="G1877" s="12">
        <v>63025.21</v>
      </c>
      <c r="H1877" s="35">
        <v>46147.398143344908</v>
      </c>
    </row>
    <row r="1878" spans="2:8" x14ac:dyDescent="0.2">
      <c r="B1878" s="32">
        <v>46059</v>
      </c>
      <c r="C1878" t="s">
        <v>109</v>
      </c>
      <c r="E1878" s="13" t="s">
        <v>530</v>
      </c>
      <c r="F1878" s="12">
        <v>1</v>
      </c>
      <c r="G1878" s="12">
        <v>126050.42</v>
      </c>
      <c r="H1878" s="35">
        <v>46147.398143344908</v>
      </c>
    </row>
    <row r="1879" spans="2:8" x14ac:dyDescent="0.2">
      <c r="B1879" s="32">
        <v>46059</v>
      </c>
      <c r="C1879" t="s">
        <v>109</v>
      </c>
      <c r="D1879" t="s">
        <v>194</v>
      </c>
      <c r="E1879" s="13" t="s">
        <v>529</v>
      </c>
      <c r="F1879" s="12">
        <v>2</v>
      </c>
      <c r="G1879" s="12">
        <v>92436.97</v>
      </c>
      <c r="H1879" s="35">
        <v>46147.398143344908</v>
      </c>
    </row>
    <row r="1880" spans="2:8" x14ac:dyDescent="0.2">
      <c r="B1880" s="32">
        <v>46059</v>
      </c>
      <c r="C1880" t="s">
        <v>109</v>
      </c>
      <c r="D1880" t="s">
        <v>143</v>
      </c>
      <c r="E1880" s="13" t="s">
        <v>529</v>
      </c>
      <c r="F1880" s="12">
        <v>3</v>
      </c>
      <c r="G1880" s="12">
        <v>88235.28</v>
      </c>
      <c r="H1880" s="35">
        <v>46147.398143344908</v>
      </c>
    </row>
    <row r="1881" spans="2:8" x14ac:dyDescent="0.2">
      <c r="B1881" s="32">
        <v>46059</v>
      </c>
      <c r="C1881" t="s">
        <v>109</v>
      </c>
      <c r="D1881" t="s">
        <v>411</v>
      </c>
      <c r="E1881" s="13" t="s">
        <v>529</v>
      </c>
      <c r="F1881" s="12">
        <v>2</v>
      </c>
      <c r="G1881" s="12">
        <v>84033.61</v>
      </c>
      <c r="H1881" s="35">
        <v>46147.398143344908</v>
      </c>
    </row>
    <row r="1882" spans="2:8" x14ac:dyDescent="0.2">
      <c r="B1882" s="32">
        <v>46059</v>
      </c>
      <c r="C1882" t="s">
        <v>109</v>
      </c>
      <c r="D1882" t="s">
        <v>148</v>
      </c>
      <c r="E1882" s="13" t="s">
        <v>529</v>
      </c>
      <c r="F1882" s="12">
        <v>1</v>
      </c>
      <c r="G1882" s="12">
        <v>46218.49</v>
      </c>
      <c r="H1882" s="35">
        <v>46147.398143344908</v>
      </c>
    </row>
    <row r="1883" spans="2:8" x14ac:dyDescent="0.2">
      <c r="B1883" s="32">
        <v>46059</v>
      </c>
      <c r="C1883" t="s">
        <v>109</v>
      </c>
      <c r="D1883" t="s">
        <v>411</v>
      </c>
      <c r="E1883" s="13"/>
      <c r="F1883" s="12">
        <v>1</v>
      </c>
      <c r="G1883" s="12">
        <v>42016.800000000003</v>
      </c>
      <c r="H1883" s="35">
        <v>46147.398143344908</v>
      </c>
    </row>
    <row r="1884" spans="2:8" x14ac:dyDescent="0.2">
      <c r="B1884" s="32">
        <v>46059</v>
      </c>
      <c r="C1884" t="s">
        <v>109</v>
      </c>
      <c r="D1884" t="s">
        <v>369</v>
      </c>
      <c r="E1884" s="13" t="s">
        <v>529</v>
      </c>
      <c r="F1884" s="12">
        <v>1</v>
      </c>
      <c r="G1884" s="12">
        <v>16806.72</v>
      </c>
      <c r="H1884" s="35">
        <v>46147.398143344908</v>
      </c>
    </row>
    <row r="1885" spans="2:8" x14ac:dyDescent="0.2">
      <c r="B1885" s="32">
        <v>46060</v>
      </c>
      <c r="C1885" t="s">
        <v>140</v>
      </c>
      <c r="D1885" t="s">
        <v>601</v>
      </c>
      <c r="E1885" s="13" t="s">
        <v>529</v>
      </c>
      <c r="F1885" s="12">
        <v>1</v>
      </c>
      <c r="G1885" s="12">
        <v>63025.21</v>
      </c>
      <c r="H1885" s="35">
        <v>46147.398143344908</v>
      </c>
    </row>
    <row r="1886" spans="2:8" x14ac:dyDescent="0.2">
      <c r="B1886" s="32">
        <v>46060</v>
      </c>
      <c r="C1886" t="s">
        <v>109</v>
      </c>
      <c r="D1886" t="s">
        <v>608</v>
      </c>
      <c r="E1886" s="13" t="s">
        <v>529</v>
      </c>
      <c r="F1886" s="12">
        <v>1</v>
      </c>
      <c r="G1886" s="12">
        <v>323529.40999999997</v>
      </c>
      <c r="H1886" s="35">
        <v>46147.398143344908</v>
      </c>
    </row>
    <row r="1887" spans="2:8" x14ac:dyDescent="0.2">
      <c r="B1887" s="32">
        <v>46060</v>
      </c>
      <c r="C1887" t="s">
        <v>109</v>
      </c>
      <c r="D1887" t="s">
        <v>359</v>
      </c>
      <c r="E1887" s="13" t="s">
        <v>529</v>
      </c>
      <c r="F1887" s="12">
        <v>2</v>
      </c>
      <c r="G1887" s="12">
        <v>168067.23</v>
      </c>
      <c r="H1887" s="35">
        <v>46147.398143344908</v>
      </c>
    </row>
    <row r="1888" spans="2:8" x14ac:dyDescent="0.2">
      <c r="B1888" s="32">
        <v>46060</v>
      </c>
      <c r="C1888" t="s">
        <v>109</v>
      </c>
      <c r="D1888" t="s">
        <v>156</v>
      </c>
      <c r="E1888" s="13" t="s">
        <v>529</v>
      </c>
      <c r="F1888" s="12">
        <v>2</v>
      </c>
      <c r="G1888" s="12">
        <v>92436.98</v>
      </c>
      <c r="H1888" s="35">
        <v>46147.398143344908</v>
      </c>
    </row>
    <row r="1889" spans="2:8" x14ac:dyDescent="0.2">
      <c r="B1889" s="32">
        <v>46060</v>
      </c>
      <c r="C1889" t="s">
        <v>109</v>
      </c>
      <c r="D1889" t="s">
        <v>187</v>
      </c>
      <c r="E1889" s="13" t="s">
        <v>529</v>
      </c>
      <c r="F1889" s="12">
        <v>1</v>
      </c>
      <c r="G1889" s="12">
        <v>75630.25</v>
      </c>
      <c r="H1889" s="35">
        <v>46147.398143344908</v>
      </c>
    </row>
    <row r="1890" spans="2:8" x14ac:dyDescent="0.2">
      <c r="B1890" s="32">
        <v>46060</v>
      </c>
      <c r="C1890" t="s">
        <v>109</v>
      </c>
      <c r="D1890" t="s">
        <v>191</v>
      </c>
      <c r="E1890" s="13" t="s">
        <v>530</v>
      </c>
      <c r="F1890" s="12">
        <v>1</v>
      </c>
      <c r="G1890" s="12">
        <v>37815.129999999997</v>
      </c>
      <c r="H1890" s="35">
        <v>46147.398143344908</v>
      </c>
    </row>
    <row r="1891" spans="2:8" x14ac:dyDescent="0.2">
      <c r="B1891" s="32">
        <v>46061</v>
      </c>
      <c r="C1891" t="s">
        <v>140</v>
      </c>
      <c r="D1891" t="s">
        <v>508</v>
      </c>
      <c r="E1891" s="13" t="s">
        <v>529</v>
      </c>
      <c r="F1891" s="12">
        <v>1</v>
      </c>
      <c r="G1891" s="12">
        <v>100840.34</v>
      </c>
      <c r="H1891" s="35">
        <v>46147.398143344908</v>
      </c>
    </row>
    <row r="1892" spans="2:8" x14ac:dyDescent="0.2">
      <c r="B1892" s="32">
        <v>46062</v>
      </c>
      <c r="C1892" t="s">
        <v>140</v>
      </c>
      <c r="D1892" t="s">
        <v>273</v>
      </c>
      <c r="E1892" s="13" t="s">
        <v>529</v>
      </c>
      <c r="F1892" s="12">
        <v>1</v>
      </c>
      <c r="G1892" s="12">
        <v>63025.21</v>
      </c>
      <c r="H1892" s="35">
        <v>46147.398143344908</v>
      </c>
    </row>
    <row r="1893" spans="2:8" x14ac:dyDescent="0.2">
      <c r="B1893" s="32">
        <v>46062</v>
      </c>
      <c r="C1893" t="s">
        <v>140</v>
      </c>
      <c r="D1893" t="s">
        <v>281</v>
      </c>
      <c r="E1893" s="13" t="s">
        <v>530</v>
      </c>
      <c r="F1893" s="12">
        <v>1</v>
      </c>
      <c r="G1893" s="12">
        <v>54621.85</v>
      </c>
      <c r="H1893" s="35">
        <v>46147.398143344908</v>
      </c>
    </row>
    <row r="1894" spans="2:8" x14ac:dyDescent="0.2">
      <c r="B1894" s="32">
        <v>46062</v>
      </c>
      <c r="C1894" t="s">
        <v>109</v>
      </c>
      <c r="D1894" t="s">
        <v>168</v>
      </c>
      <c r="E1894" s="13" t="s">
        <v>529</v>
      </c>
      <c r="F1894" s="12">
        <v>2</v>
      </c>
      <c r="G1894" s="12">
        <v>100840.34</v>
      </c>
      <c r="H1894" s="35">
        <v>46147.398143344908</v>
      </c>
    </row>
    <row r="1895" spans="2:8" x14ac:dyDescent="0.2">
      <c r="B1895" s="32">
        <v>46062</v>
      </c>
      <c r="C1895" t="s">
        <v>109</v>
      </c>
      <c r="D1895" t="s">
        <v>142</v>
      </c>
      <c r="E1895" s="13" t="s">
        <v>530</v>
      </c>
      <c r="F1895" s="12">
        <v>3</v>
      </c>
      <c r="G1895" s="12">
        <v>69747.899999999994</v>
      </c>
      <c r="H1895" s="35">
        <v>46147.398143344908</v>
      </c>
    </row>
    <row r="1896" spans="2:8" x14ac:dyDescent="0.2">
      <c r="B1896" s="32">
        <v>46062</v>
      </c>
      <c r="C1896" t="s">
        <v>109</v>
      </c>
      <c r="D1896" t="s">
        <v>193</v>
      </c>
      <c r="E1896" s="13"/>
      <c r="F1896" s="12">
        <v>1</v>
      </c>
      <c r="G1896" s="12">
        <v>50420.17</v>
      </c>
      <c r="H1896" s="35">
        <v>46147.398143344908</v>
      </c>
    </row>
    <row r="1897" spans="2:8" x14ac:dyDescent="0.2">
      <c r="B1897" s="32">
        <v>46063</v>
      </c>
      <c r="C1897" t="s">
        <v>140</v>
      </c>
      <c r="D1897" t="s">
        <v>169</v>
      </c>
      <c r="E1897" s="13" t="s">
        <v>530</v>
      </c>
      <c r="F1897" s="12">
        <v>1</v>
      </c>
      <c r="G1897" s="12">
        <v>29411.759999999998</v>
      </c>
      <c r="H1897" s="35">
        <v>46147.398143344908</v>
      </c>
    </row>
    <row r="1898" spans="2:8" x14ac:dyDescent="0.2">
      <c r="B1898" s="32">
        <v>46063</v>
      </c>
      <c r="C1898" t="s">
        <v>140</v>
      </c>
      <c r="D1898" t="s">
        <v>306</v>
      </c>
      <c r="E1898" s="13" t="s">
        <v>529</v>
      </c>
      <c r="F1898" s="12">
        <v>1</v>
      </c>
      <c r="G1898" s="12">
        <v>0</v>
      </c>
      <c r="H1898" s="35">
        <v>46147.398143344908</v>
      </c>
    </row>
    <row r="1899" spans="2:8" x14ac:dyDescent="0.2">
      <c r="B1899" s="32">
        <v>46063</v>
      </c>
      <c r="C1899" t="s">
        <v>109</v>
      </c>
      <c r="D1899" t="s">
        <v>179</v>
      </c>
      <c r="E1899" s="13" t="s">
        <v>530</v>
      </c>
      <c r="F1899" s="12">
        <v>4</v>
      </c>
      <c r="G1899" s="12">
        <v>281512.61</v>
      </c>
      <c r="H1899" s="35">
        <v>46147.398143344908</v>
      </c>
    </row>
    <row r="1900" spans="2:8" x14ac:dyDescent="0.2">
      <c r="B1900" s="32">
        <v>46063</v>
      </c>
      <c r="C1900" t="s">
        <v>109</v>
      </c>
      <c r="D1900" t="s">
        <v>596</v>
      </c>
      <c r="E1900" s="13" t="s">
        <v>529</v>
      </c>
      <c r="F1900" s="12">
        <v>2</v>
      </c>
      <c r="G1900" s="12">
        <v>277310.92</v>
      </c>
      <c r="H1900" s="35">
        <v>46147.398143344908</v>
      </c>
    </row>
    <row r="1901" spans="2:8" x14ac:dyDescent="0.2">
      <c r="B1901" s="32">
        <v>46063</v>
      </c>
      <c r="C1901" t="s">
        <v>109</v>
      </c>
      <c r="E1901" s="13" t="s">
        <v>529</v>
      </c>
      <c r="F1901" s="12">
        <v>2</v>
      </c>
      <c r="G1901" s="12">
        <v>165546.22</v>
      </c>
      <c r="H1901" s="35">
        <v>46147.398143344908</v>
      </c>
    </row>
    <row r="1902" spans="2:8" x14ac:dyDescent="0.2">
      <c r="B1902" s="32">
        <v>46063</v>
      </c>
      <c r="C1902" t="s">
        <v>109</v>
      </c>
      <c r="D1902" t="s">
        <v>575</v>
      </c>
      <c r="E1902" s="13" t="s">
        <v>529</v>
      </c>
      <c r="F1902" s="12">
        <v>2</v>
      </c>
      <c r="G1902" s="12">
        <v>109243.7</v>
      </c>
      <c r="H1902" s="35">
        <v>46147.398143344908</v>
      </c>
    </row>
    <row r="1903" spans="2:8" x14ac:dyDescent="0.2">
      <c r="B1903" s="32">
        <v>46063</v>
      </c>
      <c r="C1903" t="s">
        <v>109</v>
      </c>
      <c r="D1903" t="s">
        <v>333</v>
      </c>
      <c r="E1903" s="13" t="s">
        <v>530</v>
      </c>
      <c r="F1903" s="12">
        <v>1</v>
      </c>
      <c r="G1903" s="12">
        <v>75630.25</v>
      </c>
      <c r="H1903" s="35">
        <v>46147.398143344908</v>
      </c>
    </row>
    <row r="1904" spans="2:8" x14ac:dyDescent="0.2">
      <c r="B1904" s="32">
        <v>46063</v>
      </c>
      <c r="C1904" t="s">
        <v>109</v>
      </c>
      <c r="D1904" t="s">
        <v>333</v>
      </c>
      <c r="E1904" s="13" t="s">
        <v>529</v>
      </c>
      <c r="F1904" s="12">
        <v>1</v>
      </c>
      <c r="G1904" s="12">
        <v>75630.25</v>
      </c>
      <c r="H1904" s="35">
        <v>46147.398143344908</v>
      </c>
    </row>
    <row r="1905" spans="2:8" x14ac:dyDescent="0.2">
      <c r="B1905" s="32">
        <v>46063</v>
      </c>
      <c r="C1905" t="s">
        <v>109</v>
      </c>
      <c r="D1905" t="s">
        <v>142</v>
      </c>
      <c r="E1905" s="13" t="s">
        <v>529</v>
      </c>
      <c r="F1905" s="12">
        <v>6</v>
      </c>
      <c r="G1905" s="12">
        <v>66806.720000000001</v>
      </c>
      <c r="H1905" s="35">
        <v>46147.398143344908</v>
      </c>
    </row>
    <row r="1906" spans="2:8" x14ac:dyDescent="0.2">
      <c r="B1906" s="32">
        <v>46063</v>
      </c>
      <c r="C1906" t="s">
        <v>109</v>
      </c>
      <c r="D1906" t="s">
        <v>344</v>
      </c>
      <c r="E1906" s="13" t="s">
        <v>529</v>
      </c>
      <c r="F1906" s="12">
        <v>1</v>
      </c>
      <c r="G1906" s="12">
        <v>58823.53</v>
      </c>
      <c r="H1906" s="35">
        <v>46147.398143344908</v>
      </c>
    </row>
    <row r="1907" spans="2:8" x14ac:dyDescent="0.2">
      <c r="B1907" s="32">
        <v>46063</v>
      </c>
      <c r="C1907" t="s">
        <v>109</v>
      </c>
      <c r="D1907" t="s">
        <v>169</v>
      </c>
      <c r="E1907" s="13" t="s">
        <v>529</v>
      </c>
      <c r="F1907" s="12">
        <v>2</v>
      </c>
      <c r="G1907" s="12">
        <v>58823.53</v>
      </c>
      <c r="H1907" s="35">
        <v>46147.398143344908</v>
      </c>
    </row>
    <row r="1908" spans="2:8" x14ac:dyDescent="0.2">
      <c r="B1908" s="32">
        <v>46063</v>
      </c>
      <c r="C1908" t="s">
        <v>109</v>
      </c>
      <c r="D1908" t="s">
        <v>193</v>
      </c>
      <c r="E1908" s="13" t="s">
        <v>529</v>
      </c>
      <c r="F1908" s="12">
        <v>1</v>
      </c>
      <c r="G1908" s="12">
        <v>50420.17</v>
      </c>
      <c r="H1908" s="35">
        <v>46147.398143344908</v>
      </c>
    </row>
    <row r="1909" spans="2:8" x14ac:dyDescent="0.2">
      <c r="B1909" s="32">
        <v>46063</v>
      </c>
      <c r="C1909" t="s">
        <v>109</v>
      </c>
      <c r="D1909" t="s">
        <v>166</v>
      </c>
      <c r="E1909" s="13" t="s">
        <v>529</v>
      </c>
      <c r="F1909" s="12">
        <v>1</v>
      </c>
      <c r="G1909" s="12">
        <v>46218.49</v>
      </c>
      <c r="H1909" s="35">
        <v>46147.398143344908</v>
      </c>
    </row>
    <row r="1910" spans="2:8" x14ac:dyDescent="0.2">
      <c r="B1910" s="32">
        <v>46063</v>
      </c>
      <c r="C1910" t="s">
        <v>109</v>
      </c>
      <c r="D1910" t="s">
        <v>178</v>
      </c>
      <c r="E1910" s="13" t="s">
        <v>529</v>
      </c>
      <c r="F1910" s="12">
        <v>1</v>
      </c>
      <c r="G1910" s="12">
        <v>16806.72</v>
      </c>
      <c r="H1910" s="35">
        <v>46147.398143344908</v>
      </c>
    </row>
    <row r="1911" spans="2:8" x14ac:dyDescent="0.2">
      <c r="B1911" s="32">
        <v>46064</v>
      </c>
      <c r="C1911" t="s">
        <v>140</v>
      </c>
      <c r="D1911" t="s">
        <v>296</v>
      </c>
      <c r="E1911" s="13" t="s">
        <v>530</v>
      </c>
      <c r="F1911" s="12">
        <v>1</v>
      </c>
      <c r="G1911" s="12">
        <v>100840.34</v>
      </c>
      <c r="H1911" s="35">
        <v>46147.398143344908</v>
      </c>
    </row>
    <row r="1912" spans="2:8" x14ac:dyDescent="0.2">
      <c r="B1912" s="32">
        <v>46064</v>
      </c>
      <c r="C1912" t="s">
        <v>109</v>
      </c>
      <c r="D1912" t="s">
        <v>327</v>
      </c>
      <c r="E1912" s="13" t="s">
        <v>530</v>
      </c>
      <c r="F1912" s="12">
        <v>4</v>
      </c>
      <c r="G1912" s="12">
        <v>840336.13</v>
      </c>
      <c r="H1912" s="35">
        <v>46147.398143344908</v>
      </c>
    </row>
    <row r="1913" spans="2:8" x14ac:dyDescent="0.2">
      <c r="B1913" s="32">
        <v>46064</v>
      </c>
      <c r="C1913" t="s">
        <v>109</v>
      </c>
      <c r="D1913" t="s">
        <v>221</v>
      </c>
      <c r="E1913" s="13" t="s">
        <v>529</v>
      </c>
      <c r="F1913" s="12">
        <v>3</v>
      </c>
      <c r="G1913" s="12">
        <v>189075.63</v>
      </c>
      <c r="H1913" s="35">
        <v>46147.398143344908</v>
      </c>
    </row>
    <row r="1914" spans="2:8" x14ac:dyDescent="0.2">
      <c r="B1914" s="32">
        <v>46064</v>
      </c>
      <c r="C1914" t="s">
        <v>109</v>
      </c>
      <c r="D1914" t="s">
        <v>187</v>
      </c>
      <c r="E1914" s="13" t="s">
        <v>530</v>
      </c>
      <c r="F1914" s="12">
        <v>2</v>
      </c>
      <c r="G1914" s="12">
        <v>151260.51</v>
      </c>
      <c r="H1914" s="35">
        <v>46147.398143344908</v>
      </c>
    </row>
    <row r="1915" spans="2:8" x14ac:dyDescent="0.2">
      <c r="B1915" s="32">
        <v>46064</v>
      </c>
      <c r="C1915" t="s">
        <v>109</v>
      </c>
      <c r="D1915" t="s">
        <v>171</v>
      </c>
      <c r="E1915" s="13" t="s">
        <v>530</v>
      </c>
      <c r="F1915" s="12">
        <v>3</v>
      </c>
      <c r="G1915" s="12">
        <v>113445.38</v>
      </c>
      <c r="H1915" s="35">
        <v>46147.398143344908</v>
      </c>
    </row>
    <row r="1916" spans="2:8" x14ac:dyDescent="0.2">
      <c r="B1916" s="32">
        <v>46064</v>
      </c>
      <c r="C1916" t="s">
        <v>109</v>
      </c>
      <c r="D1916" t="s">
        <v>172</v>
      </c>
      <c r="E1916" s="13" t="s">
        <v>529</v>
      </c>
      <c r="F1916" s="12">
        <v>1</v>
      </c>
      <c r="G1916" s="12">
        <v>84033.61</v>
      </c>
      <c r="H1916" s="35">
        <v>46147.398143344908</v>
      </c>
    </row>
    <row r="1917" spans="2:8" x14ac:dyDescent="0.2">
      <c r="B1917" s="32">
        <v>46064</v>
      </c>
      <c r="C1917" t="s">
        <v>109</v>
      </c>
      <c r="D1917" t="s">
        <v>605</v>
      </c>
      <c r="E1917" s="13" t="s">
        <v>529</v>
      </c>
      <c r="F1917" s="12">
        <v>1</v>
      </c>
      <c r="G1917" s="12">
        <v>63025.21</v>
      </c>
      <c r="H1917" s="35">
        <v>46147.398143344908</v>
      </c>
    </row>
    <row r="1918" spans="2:8" x14ac:dyDescent="0.2">
      <c r="B1918" s="32">
        <v>46064</v>
      </c>
      <c r="C1918" t="s">
        <v>109</v>
      </c>
      <c r="D1918" t="s">
        <v>342</v>
      </c>
      <c r="E1918" s="13" t="s">
        <v>530</v>
      </c>
      <c r="F1918" s="12">
        <v>1</v>
      </c>
      <c r="G1918" s="12">
        <v>54621.85</v>
      </c>
      <c r="H1918" s="35">
        <v>46147.398143344908</v>
      </c>
    </row>
    <row r="1919" spans="2:8" x14ac:dyDescent="0.2">
      <c r="B1919" s="32">
        <v>46064</v>
      </c>
      <c r="C1919" t="s">
        <v>109</v>
      </c>
      <c r="D1919" t="s">
        <v>328</v>
      </c>
      <c r="E1919" s="13" t="s">
        <v>529</v>
      </c>
      <c r="F1919" s="12">
        <v>1</v>
      </c>
      <c r="G1919" s="12">
        <v>37815.129999999997</v>
      </c>
      <c r="H1919" s="35">
        <v>46147.398143344908</v>
      </c>
    </row>
    <row r="1920" spans="2:8" x14ac:dyDescent="0.2">
      <c r="B1920" s="32">
        <v>46064</v>
      </c>
      <c r="C1920" t="s">
        <v>109</v>
      </c>
      <c r="D1920" t="s">
        <v>143</v>
      </c>
      <c r="E1920" s="13" t="s">
        <v>529</v>
      </c>
      <c r="F1920" s="12">
        <v>1</v>
      </c>
      <c r="G1920" s="12">
        <v>22058.82</v>
      </c>
      <c r="H1920" s="35">
        <v>46147.398143344908</v>
      </c>
    </row>
    <row r="1921" spans="2:8" x14ac:dyDescent="0.2">
      <c r="B1921" s="32">
        <v>46065</v>
      </c>
      <c r="C1921" t="s">
        <v>140</v>
      </c>
      <c r="D1921" t="s">
        <v>190</v>
      </c>
      <c r="E1921" s="13" t="s">
        <v>529</v>
      </c>
      <c r="F1921" s="12">
        <v>2</v>
      </c>
      <c r="G1921" s="12">
        <v>151260.5</v>
      </c>
      <c r="H1921" s="35">
        <v>46147.398143344908</v>
      </c>
    </row>
    <row r="1922" spans="2:8" x14ac:dyDescent="0.2">
      <c r="B1922" s="32">
        <v>46065</v>
      </c>
      <c r="C1922" t="s">
        <v>140</v>
      </c>
      <c r="D1922" t="s">
        <v>512</v>
      </c>
      <c r="E1922" s="13" t="s">
        <v>529</v>
      </c>
      <c r="F1922" s="12">
        <v>1</v>
      </c>
      <c r="G1922" s="12">
        <v>138655.45000000001</v>
      </c>
      <c r="H1922" s="35">
        <v>46147.398143344908</v>
      </c>
    </row>
    <row r="1923" spans="2:8" x14ac:dyDescent="0.2">
      <c r="B1923" s="32">
        <v>46065</v>
      </c>
      <c r="C1923" t="s">
        <v>140</v>
      </c>
      <c r="D1923" t="s">
        <v>604</v>
      </c>
      <c r="E1923" s="13" t="s">
        <v>529</v>
      </c>
      <c r="F1923" s="12">
        <v>1</v>
      </c>
      <c r="G1923" s="12">
        <v>42016.81</v>
      </c>
      <c r="H1923" s="35">
        <v>46147.398143344908</v>
      </c>
    </row>
    <row r="1924" spans="2:8" x14ac:dyDescent="0.2">
      <c r="B1924" s="32">
        <v>46065</v>
      </c>
      <c r="C1924" t="s">
        <v>109</v>
      </c>
      <c r="D1924" t="s">
        <v>156</v>
      </c>
      <c r="E1924" s="13" t="s">
        <v>530</v>
      </c>
      <c r="F1924" s="12">
        <v>8</v>
      </c>
      <c r="G1924" s="12">
        <v>369747.9</v>
      </c>
      <c r="H1924" s="35">
        <v>46147.398143344908</v>
      </c>
    </row>
    <row r="1925" spans="2:8" x14ac:dyDescent="0.2">
      <c r="B1925" s="32">
        <v>46065</v>
      </c>
      <c r="C1925" t="s">
        <v>109</v>
      </c>
      <c r="D1925" t="s">
        <v>150</v>
      </c>
      <c r="E1925" s="13" t="s">
        <v>529</v>
      </c>
      <c r="F1925" s="12">
        <v>2</v>
      </c>
      <c r="G1925" s="12">
        <v>168067.23</v>
      </c>
      <c r="H1925" s="35">
        <v>46147.398143344908</v>
      </c>
    </row>
    <row r="1926" spans="2:8" x14ac:dyDescent="0.2">
      <c r="B1926" s="32">
        <v>46065</v>
      </c>
      <c r="C1926" t="s">
        <v>109</v>
      </c>
      <c r="D1926" t="s">
        <v>343</v>
      </c>
      <c r="E1926" s="13" t="s">
        <v>529</v>
      </c>
      <c r="F1926" s="12">
        <v>2</v>
      </c>
      <c r="G1926" s="12">
        <v>168067.22</v>
      </c>
      <c r="H1926" s="35">
        <v>46147.398143344908</v>
      </c>
    </row>
    <row r="1927" spans="2:8" x14ac:dyDescent="0.2">
      <c r="B1927" s="32">
        <v>46065</v>
      </c>
      <c r="C1927" t="s">
        <v>109</v>
      </c>
      <c r="D1927" t="s">
        <v>196</v>
      </c>
      <c r="E1927" s="13" t="s">
        <v>530</v>
      </c>
      <c r="F1927" s="12">
        <v>3</v>
      </c>
      <c r="G1927" s="12">
        <v>151260.5</v>
      </c>
      <c r="H1927" s="35">
        <v>46147.398143344908</v>
      </c>
    </row>
    <row r="1928" spans="2:8" x14ac:dyDescent="0.2">
      <c r="B1928" s="32">
        <v>46065</v>
      </c>
      <c r="C1928" t="s">
        <v>109</v>
      </c>
      <c r="D1928" t="s">
        <v>193</v>
      </c>
      <c r="E1928" s="13" t="s">
        <v>530</v>
      </c>
      <c r="F1928" s="12">
        <v>2</v>
      </c>
      <c r="G1928" s="12">
        <v>100840.34</v>
      </c>
      <c r="H1928" s="35">
        <v>46147.398143344908</v>
      </c>
    </row>
    <row r="1929" spans="2:8" x14ac:dyDescent="0.2">
      <c r="B1929" s="32">
        <v>46065</v>
      </c>
      <c r="C1929" t="s">
        <v>109</v>
      </c>
      <c r="D1929" t="s">
        <v>143</v>
      </c>
      <c r="E1929" s="13" t="s">
        <v>530</v>
      </c>
      <c r="F1929" s="12">
        <v>3</v>
      </c>
      <c r="G1929" s="12">
        <v>88235.29</v>
      </c>
      <c r="H1929" s="35">
        <v>46147.398143344908</v>
      </c>
    </row>
    <row r="1930" spans="2:8" x14ac:dyDescent="0.2">
      <c r="B1930" s="32">
        <v>46065</v>
      </c>
      <c r="C1930" t="s">
        <v>109</v>
      </c>
      <c r="D1930" t="s">
        <v>171</v>
      </c>
      <c r="E1930" s="13" t="s">
        <v>530</v>
      </c>
      <c r="F1930" s="12">
        <v>2</v>
      </c>
      <c r="G1930" s="12">
        <v>75630.25</v>
      </c>
      <c r="H1930" s="35">
        <v>46147.398143344908</v>
      </c>
    </row>
    <row r="1931" spans="2:8" x14ac:dyDescent="0.2">
      <c r="B1931" s="32">
        <v>46065</v>
      </c>
      <c r="C1931" t="s">
        <v>109</v>
      </c>
      <c r="D1931" t="s">
        <v>142</v>
      </c>
      <c r="E1931" s="13" t="s">
        <v>529</v>
      </c>
      <c r="F1931" s="12">
        <v>2</v>
      </c>
      <c r="G1931" s="12">
        <v>27731.1</v>
      </c>
      <c r="H1931" s="35">
        <v>46147.398143344908</v>
      </c>
    </row>
    <row r="1932" spans="2:8" x14ac:dyDescent="0.2">
      <c r="B1932" s="32">
        <v>46065</v>
      </c>
      <c r="C1932" t="s">
        <v>109</v>
      </c>
      <c r="D1932" t="s">
        <v>171</v>
      </c>
      <c r="E1932" s="13" t="s">
        <v>529</v>
      </c>
      <c r="F1932" s="12">
        <v>1</v>
      </c>
      <c r="G1932" s="12">
        <v>16806.73</v>
      </c>
      <c r="H1932" s="35">
        <v>46147.398143344908</v>
      </c>
    </row>
    <row r="1933" spans="2:8" x14ac:dyDescent="0.2">
      <c r="B1933" s="32">
        <v>46065</v>
      </c>
      <c r="C1933" t="s">
        <v>109</v>
      </c>
      <c r="D1933" t="s">
        <v>308</v>
      </c>
      <c r="E1933" s="13" t="s">
        <v>529</v>
      </c>
      <c r="F1933" s="12">
        <v>1</v>
      </c>
      <c r="G1933" s="12">
        <v>16806.72</v>
      </c>
      <c r="H1933" s="35">
        <v>46147.398143344908</v>
      </c>
    </row>
    <row r="1934" spans="2:8" x14ac:dyDescent="0.2">
      <c r="B1934" s="32">
        <v>46065</v>
      </c>
      <c r="C1934" t="s">
        <v>109</v>
      </c>
      <c r="D1934" t="s">
        <v>204</v>
      </c>
      <c r="E1934" s="13" t="s">
        <v>529</v>
      </c>
      <c r="F1934" s="12">
        <v>1</v>
      </c>
      <c r="G1934" s="12">
        <v>16806.72</v>
      </c>
      <c r="H1934" s="35">
        <v>46147.398143344908</v>
      </c>
    </row>
    <row r="1935" spans="2:8" x14ac:dyDescent="0.2">
      <c r="B1935" s="32">
        <v>46066</v>
      </c>
      <c r="C1935" t="s">
        <v>140</v>
      </c>
      <c r="D1935" t="s">
        <v>179</v>
      </c>
      <c r="E1935" s="13" t="s">
        <v>529</v>
      </c>
      <c r="F1935" s="12">
        <v>4</v>
      </c>
      <c r="G1935" s="12">
        <v>235294.12</v>
      </c>
      <c r="H1935" s="35">
        <v>46147.398143344908</v>
      </c>
    </row>
    <row r="1936" spans="2:8" x14ac:dyDescent="0.2">
      <c r="B1936" s="32">
        <v>46066</v>
      </c>
      <c r="C1936" t="s">
        <v>140</v>
      </c>
      <c r="D1936" t="s">
        <v>394</v>
      </c>
      <c r="E1936" s="13" t="s">
        <v>530</v>
      </c>
      <c r="F1936" s="12">
        <v>1</v>
      </c>
      <c r="G1936" s="12">
        <v>100840.34</v>
      </c>
      <c r="H1936" s="35">
        <v>46147.398143344908</v>
      </c>
    </row>
    <row r="1937" spans="2:8" x14ac:dyDescent="0.2">
      <c r="B1937" s="32">
        <v>46066</v>
      </c>
      <c r="C1937" t="s">
        <v>140</v>
      </c>
      <c r="D1937" t="s">
        <v>164</v>
      </c>
      <c r="E1937" s="13" t="s">
        <v>530</v>
      </c>
      <c r="F1937" s="12">
        <v>1</v>
      </c>
      <c r="G1937" s="12">
        <v>42016.81</v>
      </c>
      <c r="H1937" s="35">
        <v>46147.398143344908</v>
      </c>
    </row>
    <row r="1938" spans="2:8" x14ac:dyDescent="0.2">
      <c r="B1938" s="32">
        <v>46066</v>
      </c>
      <c r="C1938" t="s">
        <v>109</v>
      </c>
      <c r="D1938" t="s">
        <v>151</v>
      </c>
      <c r="E1938" s="13" t="s">
        <v>530</v>
      </c>
      <c r="F1938" s="12">
        <v>2</v>
      </c>
      <c r="G1938" s="12">
        <v>92436.98</v>
      </c>
      <c r="H1938" s="35">
        <v>46147.398143344908</v>
      </c>
    </row>
    <row r="1939" spans="2:8" x14ac:dyDescent="0.2">
      <c r="B1939" s="32">
        <v>46066</v>
      </c>
      <c r="C1939" t="s">
        <v>109</v>
      </c>
      <c r="D1939" t="s">
        <v>142</v>
      </c>
      <c r="E1939" s="13" t="s">
        <v>529</v>
      </c>
      <c r="F1939" s="12">
        <v>9</v>
      </c>
      <c r="G1939" s="12">
        <v>80252.100000000006</v>
      </c>
      <c r="H1939" s="35">
        <v>46147.398143344908</v>
      </c>
    </row>
    <row r="1940" spans="2:8" x14ac:dyDescent="0.2">
      <c r="B1940" s="32">
        <v>46066</v>
      </c>
      <c r="C1940" t="s">
        <v>109</v>
      </c>
      <c r="D1940" t="s">
        <v>166</v>
      </c>
      <c r="E1940" s="13" t="s">
        <v>529</v>
      </c>
      <c r="F1940" s="12">
        <v>1</v>
      </c>
      <c r="G1940" s="12">
        <v>46218.49</v>
      </c>
      <c r="H1940" s="35">
        <v>46147.398143344908</v>
      </c>
    </row>
    <row r="1941" spans="2:8" x14ac:dyDescent="0.2">
      <c r="B1941" s="32">
        <v>46067</v>
      </c>
      <c r="C1941" t="s">
        <v>140</v>
      </c>
      <c r="D1941" t="s">
        <v>373</v>
      </c>
      <c r="E1941" s="13" t="s">
        <v>530</v>
      </c>
      <c r="F1941" s="12">
        <v>1</v>
      </c>
      <c r="G1941" s="12">
        <v>67226.89</v>
      </c>
      <c r="H1941" s="35">
        <v>46147.398143344908</v>
      </c>
    </row>
    <row r="1942" spans="2:8" x14ac:dyDescent="0.2">
      <c r="B1942" s="32">
        <v>46067</v>
      </c>
      <c r="C1942" t="s">
        <v>140</v>
      </c>
      <c r="D1942" t="s">
        <v>257</v>
      </c>
      <c r="E1942" s="13" t="s">
        <v>529</v>
      </c>
      <c r="F1942" s="12">
        <v>1</v>
      </c>
      <c r="G1942" s="12">
        <v>44476.32</v>
      </c>
      <c r="H1942" s="35">
        <v>46147.398143344908</v>
      </c>
    </row>
    <row r="1943" spans="2:8" x14ac:dyDescent="0.2">
      <c r="B1943" s="32">
        <v>46067</v>
      </c>
      <c r="C1943" t="s">
        <v>110</v>
      </c>
      <c r="D1943" t="s">
        <v>256</v>
      </c>
      <c r="E1943" s="13" t="s">
        <v>529</v>
      </c>
      <c r="F1943" s="12">
        <v>3</v>
      </c>
      <c r="G1943" s="12">
        <v>168262.66</v>
      </c>
      <c r="H1943" s="35">
        <v>46147.398143344908</v>
      </c>
    </row>
    <row r="1944" spans="2:8" x14ac:dyDescent="0.2">
      <c r="B1944" s="32">
        <v>46067</v>
      </c>
      <c r="C1944" t="s">
        <v>110</v>
      </c>
      <c r="D1944" t="s">
        <v>190</v>
      </c>
      <c r="E1944" s="13" t="s">
        <v>529</v>
      </c>
      <c r="F1944" s="12">
        <v>2</v>
      </c>
      <c r="G1944" s="12">
        <v>144717.6</v>
      </c>
      <c r="H1944" s="35">
        <v>46147.398143344908</v>
      </c>
    </row>
    <row r="1945" spans="2:8" x14ac:dyDescent="0.2">
      <c r="B1945" s="32">
        <v>46067</v>
      </c>
      <c r="C1945" t="s">
        <v>110</v>
      </c>
      <c r="D1945" t="s">
        <v>244</v>
      </c>
      <c r="E1945" s="13" t="s">
        <v>529</v>
      </c>
      <c r="F1945" s="12">
        <v>3</v>
      </c>
      <c r="G1945" s="12">
        <v>120734.81</v>
      </c>
      <c r="H1945" s="35">
        <v>46147.398143344908</v>
      </c>
    </row>
    <row r="1946" spans="2:8" x14ac:dyDescent="0.2">
      <c r="B1946" s="32">
        <v>46067</v>
      </c>
      <c r="C1946" t="s">
        <v>110</v>
      </c>
      <c r="D1946" t="s">
        <v>159</v>
      </c>
      <c r="E1946" s="13" t="s">
        <v>529</v>
      </c>
      <c r="F1946" s="12">
        <v>2</v>
      </c>
      <c r="G1946" s="12">
        <v>80672.27</v>
      </c>
      <c r="H1946" s="35">
        <v>46147.398143344908</v>
      </c>
    </row>
    <row r="1947" spans="2:8" x14ac:dyDescent="0.2">
      <c r="B1947" s="32">
        <v>46067</v>
      </c>
      <c r="C1947" t="s">
        <v>110</v>
      </c>
      <c r="D1947" t="s">
        <v>510</v>
      </c>
      <c r="E1947" s="13" t="s">
        <v>529</v>
      </c>
      <c r="F1947" s="12">
        <v>1</v>
      </c>
      <c r="G1947" s="12">
        <v>16025.02</v>
      </c>
      <c r="H1947" s="35">
        <v>46147.398143344908</v>
      </c>
    </row>
    <row r="1948" spans="2:8" x14ac:dyDescent="0.2">
      <c r="B1948" s="32">
        <v>46067</v>
      </c>
      <c r="C1948" t="s">
        <v>109</v>
      </c>
      <c r="D1948" t="s">
        <v>327</v>
      </c>
      <c r="E1948" s="13" t="s">
        <v>530</v>
      </c>
      <c r="F1948" s="12">
        <v>1</v>
      </c>
      <c r="G1948" s="12">
        <v>210084.03</v>
      </c>
      <c r="H1948" s="35">
        <v>46147.398143344908</v>
      </c>
    </row>
    <row r="1949" spans="2:8" x14ac:dyDescent="0.2">
      <c r="B1949" s="32">
        <v>46067</v>
      </c>
      <c r="C1949" t="s">
        <v>109</v>
      </c>
      <c r="D1949" t="s">
        <v>336</v>
      </c>
      <c r="E1949" s="13" t="s">
        <v>530</v>
      </c>
      <c r="F1949" s="12">
        <v>2</v>
      </c>
      <c r="G1949" s="12">
        <v>151260.51</v>
      </c>
      <c r="H1949" s="35">
        <v>46147.398143344908</v>
      </c>
    </row>
    <row r="1950" spans="2:8" x14ac:dyDescent="0.2">
      <c r="B1950" s="32">
        <v>46067</v>
      </c>
      <c r="C1950" t="s">
        <v>109</v>
      </c>
      <c r="E1950" s="13" t="s">
        <v>529</v>
      </c>
      <c r="F1950" s="12">
        <v>1</v>
      </c>
      <c r="G1950" s="12">
        <v>126050.42</v>
      </c>
      <c r="H1950" s="35">
        <v>46147.398143344908</v>
      </c>
    </row>
    <row r="1951" spans="2:8" x14ac:dyDescent="0.2">
      <c r="B1951" s="32">
        <v>46067</v>
      </c>
      <c r="C1951" t="s">
        <v>109</v>
      </c>
      <c r="D1951" t="s">
        <v>142</v>
      </c>
      <c r="E1951" s="13" t="s">
        <v>530</v>
      </c>
      <c r="F1951" s="12">
        <v>5</v>
      </c>
      <c r="G1951" s="12">
        <v>124789.92</v>
      </c>
      <c r="H1951" s="35">
        <v>46147.398143344908</v>
      </c>
    </row>
    <row r="1952" spans="2:8" x14ac:dyDescent="0.2">
      <c r="B1952" s="32">
        <v>46067</v>
      </c>
      <c r="C1952" t="s">
        <v>109</v>
      </c>
      <c r="D1952" t="s">
        <v>449</v>
      </c>
      <c r="E1952" s="13" t="s">
        <v>529</v>
      </c>
      <c r="F1952" s="12">
        <v>1</v>
      </c>
      <c r="G1952" s="12">
        <v>109243.7</v>
      </c>
      <c r="H1952" s="35">
        <v>46147.398143344908</v>
      </c>
    </row>
    <row r="1953" spans="2:8" x14ac:dyDescent="0.2">
      <c r="B1953" s="32">
        <v>46067</v>
      </c>
      <c r="C1953" t="s">
        <v>109</v>
      </c>
      <c r="D1953" t="s">
        <v>158</v>
      </c>
      <c r="E1953" s="13" t="s">
        <v>529</v>
      </c>
      <c r="F1953" s="12">
        <v>2</v>
      </c>
      <c r="G1953" s="12">
        <v>92436.98</v>
      </c>
      <c r="H1953" s="35">
        <v>46147.398143344908</v>
      </c>
    </row>
    <row r="1954" spans="2:8" x14ac:dyDescent="0.2">
      <c r="B1954" s="32">
        <v>46067</v>
      </c>
      <c r="C1954" t="s">
        <v>109</v>
      </c>
      <c r="D1954" t="s">
        <v>382</v>
      </c>
      <c r="E1954" s="13" t="s">
        <v>530</v>
      </c>
      <c r="F1954" s="12">
        <v>1</v>
      </c>
      <c r="G1954" s="12">
        <v>92436.98</v>
      </c>
      <c r="H1954" s="35">
        <v>46147.398143344908</v>
      </c>
    </row>
    <row r="1955" spans="2:8" x14ac:dyDescent="0.2">
      <c r="B1955" s="32">
        <v>46067</v>
      </c>
      <c r="C1955" t="s">
        <v>109</v>
      </c>
      <c r="D1955" t="s">
        <v>236</v>
      </c>
      <c r="E1955" s="13" t="s">
        <v>529</v>
      </c>
      <c r="F1955" s="12">
        <v>2</v>
      </c>
      <c r="G1955" s="12">
        <v>92436.98</v>
      </c>
      <c r="H1955" s="35">
        <v>46147.398143344908</v>
      </c>
    </row>
    <row r="1956" spans="2:8" x14ac:dyDescent="0.2">
      <c r="B1956" s="32">
        <v>46067</v>
      </c>
      <c r="C1956" t="s">
        <v>109</v>
      </c>
      <c r="D1956" t="s">
        <v>143</v>
      </c>
      <c r="E1956" s="13" t="s">
        <v>529</v>
      </c>
      <c r="F1956" s="12">
        <v>3</v>
      </c>
      <c r="G1956" s="12">
        <v>88235.29</v>
      </c>
      <c r="H1956" s="35">
        <v>46147.398143344908</v>
      </c>
    </row>
    <row r="1957" spans="2:8" x14ac:dyDescent="0.2">
      <c r="B1957" s="32">
        <v>46067</v>
      </c>
      <c r="C1957" t="s">
        <v>109</v>
      </c>
      <c r="D1957" t="s">
        <v>482</v>
      </c>
      <c r="E1957" s="13" t="s">
        <v>529</v>
      </c>
      <c r="F1957" s="12">
        <v>1</v>
      </c>
      <c r="G1957" s="12">
        <v>84033.61</v>
      </c>
      <c r="H1957" s="35">
        <v>46147.398143344908</v>
      </c>
    </row>
    <row r="1958" spans="2:8" x14ac:dyDescent="0.2">
      <c r="B1958" s="32">
        <v>46067</v>
      </c>
      <c r="C1958" t="s">
        <v>109</v>
      </c>
      <c r="D1958" t="s">
        <v>269</v>
      </c>
      <c r="E1958" s="13" t="s">
        <v>529</v>
      </c>
      <c r="F1958" s="12">
        <v>1</v>
      </c>
      <c r="G1958" s="12">
        <v>83193.279999999999</v>
      </c>
      <c r="H1958" s="35">
        <v>46147.398143344908</v>
      </c>
    </row>
    <row r="1959" spans="2:8" x14ac:dyDescent="0.2">
      <c r="B1959" s="32">
        <v>46067</v>
      </c>
      <c r="C1959" t="s">
        <v>109</v>
      </c>
      <c r="D1959" t="s">
        <v>143</v>
      </c>
      <c r="E1959" s="13" t="s">
        <v>530</v>
      </c>
      <c r="F1959" s="12">
        <v>2</v>
      </c>
      <c r="G1959" s="12">
        <v>58823.519999999997</v>
      </c>
      <c r="H1959" s="35">
        <v>46147.398143344908</v>
      </c>
    </row>
    <row r="1960" spans="2:8" x14ac:dyDescent="0.2">
      <c r="B1960" s="32">
        <v>46067</v>
      </c>
      <c r="C1960" t="s">
        <v>109</v>
      </c>
      <c r="D1960" t="s">
        <v>387</v>
      </c>
      <c r="E1960" s="13" t="s">
        <v>530</v>
      </c>
      <c r="F1960" s="12">
        <v>1</v>
      </c>
      <c r="G1960" s="12">
        <v>58823.519999999997</v>
      </c>
      <c r="H1960" s="35">
        <v>46147.398143344908</v>
      </c>
    </row>
    <row r="1961" spans="2:8" x14ac:dyDescent="0.2">
      <c r="B1961" s="32">
        <v>46067</v>
      </c>
      <c r="C1961" t="s">
        <v>109</v>
      </c>
      <c r="D1961" t="s">
        <v>252</v>
      </c>
      <c r="E1961" s="13"/>
      <c r="F1961" s="12">
        <v>1</v>
      </c>
      <c r="G1961" s="12">
        <v>54621.85</v>
      </c>
      <c r="H1961" s="35">
        <v>46147.398143344908</v>
      </c>
    </row>
    <row r="1962" spans="2:8" x14ac:dyDescent="0.2">
      <c r="B1962" s="32">
        <v>46067</v>
      </c>
      <c r="C1962" t="s">
        <v>109</v>
      </c>
      <c r="D1962" t="s">
        <v>391</v>
      </c>
      <c r="E1962" s="13" t="s">
        <v>530</v>
      </c>
      <c r="F1962" s="12">
        <v>1</v>
      </c>
      <c r="G1962" s="12">
        <v>50420.17</v>
      </c>
      <c r="H1962" s="35">
        <v>46147.398143344908</v>
      </c>
    </row>
    <row r="1963" spans="2:8" x14ac:dyDescent="0.2">
      <c r="B1963" s="32">
        <v>46067</v>
      </c>
      <c r="C1963" t="s">
        <v>109</v>
      </c>
      <c r="D1963" t="s">
        <v>294</v>
      </c>
      <c r="E1963" s="13" t="s">
        <v>530</v>
      </c>
      <c r="F1963" s="12">
        <v>1</v>
      </c>
      <c r="G1963" s="12">
        <v>50420.17</v>
      </c>
      <c r="H1963" s="35">
        <v>46147.398143344908</v>
      </c>
    </row>
    <row r="1964" spans="2:8" x14ac:dyDescent="0.2">
      <c r="B1964" s="32">
        <v>46067</v>
      </c>
      <c r="C1964" t="s">
        <v>109</v>
      </c>
      <c r="D1964" t="s">
        <v>166</v>
      </c>
      <c r="E1964" s="13" t="s">
        <v>530</v>
      </c>
      <c r="F1964" s="12">
        <v>1</v>
      </c>
      <c r="G1964" s="12">
        <v>46218.49</v>
      </c>
      <c r="H1964" s="35">
        <v>46147.398143344908</v>
      </c>
    </row>
    <row r="1965" spans="2:8" x14ac:dyDescent="0.2">
      <c r="B1965" s="32">
        <v>46067</v>
      </c>
      <c r="C1965" t="s">
        <v>109</v>
      </c>
      <c r="D1965" t="s">
        <v>598</v>
      </c>
      <c r="E1965" s="13" t="s">
        <v>529</v>
      </c>
      <c r="F1965" s="12">
        <v>1</v>
      </c>
      <c r="G1965" s="12">
        <v>46218.49</v>
      </c>
      <c r="H1965" s="35">
        <v>46147.398143344908</v>
      </c>
    </row>
    <row r="1966" spans="2:8" x14ac:dyDescent="0.2">
      <c r="B1966" s="32">
        <v>46067</v>
      </c>
      <c r="C1966" t="s">
        <v>109</v>
      </c>
      <c r="D1966" t="s">
        <v>291</v>
      </c>
      <c r="E1966" s="13" t="s">
        <v>530</v>
      </c>
      <c r="F1966" s="12">
        <v>1</v>
      </c>
      <c r="G1966" s="12">
        <v>37815.129999999997</v>
      </c>
      <c r="H1966" s="35">
        <v>46147.398143344908</v>
      </c>
    </row>
    <row r="1967" spans="2:8" x14ac:dyDescent="0.2">
      <c r="B1967" s="32">
        <v>46068</v>
      </c>
      <c r="C1967" t="s">
        <v>140</v>
      </c>
      <c r="D1967" t="s">
        <v>562</v>
      </c>
      <c r="E1967" s="13" t="s">
        <v>529</v>
      </c>
      <c r="F1967" s="12">
        <v>1</v>
      </c>
      <c r="G1967" s="12">
        <v>84033.61</v>
      </c>
      <c r="H1967" s="35">
        <v>46147.398143344908</v>
      </c>
    </row>
    <row r="1968" spans="2:8" x14ac:dyDescent="0.2">
      <c r="B1968" s="32">
        <v>46069</v>
      </c>
      <c r="C1968" t="s">
        <v>140</v>
      </c>
      <c r="D1968" t="s">
        <v>597</v>
      </c>
      <c r="E1968" s="13" t="s">
        <v>529</v>
      </c>
      <c r="F1968" s="12">
        <v>2</v>
      </c>
      <c r="G1968" s="12">
        <v>411764.71</v>
      </c>
      <c r="H1968" s="35">
        <v>46147.398143344908</v>
      </c>
    </row>
    <row r="1969" spans="2:8" x14ac:dyDescent="0.2">
      <c r="B1969" s="32">
        <v>46069</v>
      </c>
      <c r="C1969" t="s">
        <v>140</v>
      </c>
      <c r="D1969" t="s">
        <v>410</v>
      </c>
      <c r="E1969" s="13" t="s">
        <v>529</v>
      </c>
      <c r="F1969" s="12">
        <v>1</v>
      </c>
      <c r="G1969" s="12">
        <v>42016.81</v>
      </c>
      <c r="H1969" s="35">
        <v>46147.398143344908</v>
      </c>
    </row>
    <row r="1970" spans="2:8" x14ac:dyDescent="0.2">
      <c r="B1970" s="32">
        <v>46069</v>
      </c>
      <c r="C1970" t="s">
        <v>109</v>
      </c>
      <c r="D1970" t="s">
        <v>216</v>
      </c>
      <c r="E1970" s="13" t="s">
        <v>529</v>
      </c>
      <c r="F1970" s="12">
        <v>3</v>
      </c>
      <c r="G1970" s="12">
        <v>126050.43</v>
      </c>
      <c r="H1970" s="35">
        <v>46147.398143344908</v>
      </c>
    </row>
    <row r="1971" spans="2:8" x14ac:dyDescent="0.2">
      <c r="B1971" s="32">
        <v>46069</v>
      </c>
      <c r="C1971" t="s">
        <v>109</v>
      </c>
      <c r="D1971" t="s">
        <v>143</v>
      </c>
      <c r="E1971" s="13" t="s">
        <v>529</v>
      </c>
      <c r="F1971" s="12">
        <v>3</v>
      </c>
      <c r="G1971" s="12">
        <v>88235.29</v>
      </c>
      <c r="H1971" s="35">
        <v>46147.398143344908</v>
      </c>
    </row>
    <row r="1972" spans="2:8" x14ac:dyDescent="0.2">
      <c r="B1972" s="32">
        <v>46069</v>
      </c>
      <c r="C1972" t="s">
        <v>109</v>
      </c>
      <c r="D1972" t="s">
        <v>482</v>
      </c>
      <c r="E1972" s="13" t="s">
        <v>529</v>
      </c>
      <c r="F1972" s="12">
        <v>1</v>
      </c>
      <c r="G1972" s="12">
        <v>84033.61</v>
      </c>
      <c r="H1972" s="35">
        <v>46147.398143344908</v>
      </c>
    </row>
    <row r="1973" spans="2:8" x14ac:dyDescent="0.2">
      <c r="B1973" s="32">
        <v>46069</v>
      </c>
      <c r="C1973" t="s">
        <v>109</v>
      </c>
      <c r="D1973" t="s">
        <v>187</v>
      </c>
      <c r="E1973" s="13" t="s">
        <v>529</v>
      </c>
      <c r="F1973" s="12">
        <v>1</v>
      </c>
      <c r="G1973" s="12">
        <v>75630.25</v>
      </c>
      <c r="H1973" s="35">
        <v>46147.398143344908</v>
      </c>
    </row>
    <row r="1974" spans="2:8" x14ac:dyDescent="0.2">
      <c r="B1974" s="32">
        <v>46069</v>
      </c>
      <c r="C1974" t="s">
        <v>109</v>
      </c>
      <c r="D1974" t="s">
        <v>325</v>
      </c>
      <c r="E1974" s="13" t="s">
        <v>530</v>
      </c>
      <c r="F1974" s="12">
        <v>2</v>
      </c>
      <c r="G1974" s="12">
        <v>70000</v>
      </c>
      <c r="H1974" s="35">
        <v>46147.398143344908</v>
      </c>
    </row>
    <row r="1975" spans="2:8" x14ac:dyDescent="0.2">
      <c r="B1975" s="32">
        <v>46069</v>
      </c>
      <c r="C1975" t="s">
        <v>109</v>
      </c>
      <c r="D1975" t="s">
        <v>142</v>
      </c>
      <c r="E1975" s="13" t="s">
        <v>530</v>
      </c>
      <c r="F1975" s="12">
        <v>3</v>
      </c>
      <c r="G1975" s="12">
        <v>29831.94</v>
      </c>
      <c r="H1975" s="35">
        <v>46147.398143344908</v>
      </c>
    </row>
    <row r="1976" spans="2:8" x14ac:dyDescent="0.2">
      <c r="B1976" s="32">
        <v>46070</v>
      </c>
      <c r="C1976" t="s">
        <v>140</v>
      </c>
      <c r="D1976" t="s">
        <v>329</v>
      </c>
      <c r="E1976" s="13" t="s">
        <v>530</v>
      </c>
      <c r="F1976" s="12">
        <v>4</v>
      </c>
      <c r="G1976" s="12">
        <v>395168.07</v>
      </c>
      <c r="H1976" s="35">
        <v>46147.398143344908</v>
      </c>
    </row>
    <row r="1977" spans="2:8" x14ac:dyDescent="0.2">
      <c r="B1977" s="32">
        <v>46070</v>
      </c>
      <c r="C1977" t="s">
        <v>140</v>
      </c>
      <c r="D1977" t="s">
        <v>152</v>
      </c>
      <c r="E1977" s="13" t="s">
        <v>530</v>
      </c>
      <c r="F1977" s="12">
        <v>2</v>
      </c>
      <c r="G1977" s="12">
        <v>226890.76</v>
      </c>
      <c r="H1977" s="35">
        <v>46147.398143344908</v>
      </c>
    </row>
    <row r="1978" spans="2:8" x14ac:dyDescent="0.2">
      <c r="B1978" s="32">
        <v>46070</v>
      </c>
      <c r="C1978" t="s">
        <v>140</v>
      </c>
      <c r="D1978" t="s">
        <v>288</v>
      </c>
      <c r="E1978" s="13" t="s">
        <v>529</v>
      </c>
      <c r="F1978" s="12">
        <v>1</v>
      </c>
      <c r="G1978" s="12">
        <v>63025.21</v>
      </c>
      <c r="H1978" s="35">
        <v>46147.398143344908</v>
      </c>
    </row>
    <row r="1979" spans="2:8" x14ac:dyDescent="0.2">
      <c r="B1979" s="32">
        <v>46070</v>
      </c>
      <c r="C1979" t="s">
        <v>140</v>
      </c>
      <c r="D1979" t="s">
        <v>179</v>
      </c>
      <c r="E1979" s="13" t="s">
        <v>530</v>
      </c>
      <c r="F1979" s="12">
        <v>1</v>
      </c>
      <c r="G1979" s="12">
        <v>63025.21</v>
      </c>
      <c r="H1979" s="35">
        <v>46147.398143344908</v>
      </c>
    </row>
    <row r="1980" spans="2:8" x14ac:dyDescent="0.2">
      <c r="B1980" s="32">
        <v>46070</v>
      </c>
      <c r="C1980" t="s">
        <v>140</v>
      </c>
      <c r="D1980" t="s">
        <v>290</v>
      </c>
      <c r="E1980" s="13" t="s">
        <v>529</v>
      </c>
      <c r="F1980" s="12">
        <v>1</v>
      </c>
      <c r="G1980" s="12">
        <v>54621.85</v>
      </c>
      <c r="H1980" s="35">
        <v>46147.398143344908</v>
      </c>
    </row>
    <row r="1981" spans="2:8" x14ac:dyDescent="0.2">
      <c r="B1981" s="32">
        <v>46070</v>
      </c>
      <c r="C1981" t="s">
        <v>110</v>
      </c>
      <c r="D1981" t="s">
        <v>415</v>
      </c>
      <c r="E1981" s="13" t="s">
        <v>529</v>
      </c>
      <c r="F1981" s="12">
        <v>2</v>
      </c>
      <c r="G1981" s="12">
        <v>33613.440000000002</v>
      </c>
      <c r="H1981" s="35">
        <v>46147.398143344908</v>
      </c>
    </row>
    <row r="1982" spans="2:8" x14ac:dyDescent="0.2">
      <c r="B1982" s="32">
        <v>46070</v>
      </c>
      <c r="C1982" t="s">
        <v>109</v>
      </c>
      <c r="D1982" t="s">
        <v>143</v>
      </c>
      <c r="E1982" s="13" t="s">
        <v>529</v>
      </c>
      <c r="F1982" s="12">
        <v>9</v>
      </c>
      <c r="G1982" s="12">
        <v>264705.88</v>
      </c>
      <c r="H1982" s="35">
        <v>46147.398143344908</v>
      </c>
    </row>
    <row r="1983" spans="2:8" x14ac:dyDescent="0.2">
      <c r="B1983" s="32">
        <v>46070</v>
      </c>
      <c r="C1983" t="s">
        <v>109</v>
      </c>
      <c r="D1983" t="s">
        <v>216</v>
      </c>
      <c r="E1983" s="13" t="s">
        <v>530</v>
      </c>
      <c r="F1983" s="12">
        <v>5</v>
      </c>
      <c r="G1983" s="12">
        <v>210084.03</v>
      </c>
      <c r="H1983" s="35">
        <v>46147.398143344908</v>
      </c>
    </row>
    <row r="1984" spans="2:8" x14ac:dyDescent="0.2">
      <c r="B1984" s="32">
        <v>46070</v>
      </c>
      <c r="C1984" t="s">
        <v>109</v>
      </c>
      <c r="D1984" t="s">
        <v>500</v>
      </c>
      <c r="E1984" s="13" t="s">
        <v>529</v>
      </c>
      <c r="F1984" s="12">
        <v>1</v>
      </c>
      <c r="G1984" s="12">
        <v>117647.06</v>
      </c>
      <c r="H1984" s="35">
        <v>46147.398143344908</v>
      </c>
    </row>
    <row r="1985" spans="2:8" x14ac:dyDescent="0.2">
      <c r="B1985" s="32">
        <v>46070</v>
      </c>
      <c r="C1985" t="s">
        <v>109</v>
      </c>
      <c r="D1985" t="s">
        <v>355</v>
      </c>
      <c r="E1985" s="13" t="s">
        <v>529</v>
      </c>
      <c r="F1985" s="12">
        <v>2</v>
      </c>
      <c r="G1985" s="12">
        <v>117647.06</v>
      </c>
      <c r="H1985" s="35">
        <v>46147.398143344908</v>
      </c>
    </row>
    <row r="1986" spans="2:8" x14ac:dyDescent="0.2">
      <c r="B1986" s="32">
        <v>46070</v>
      </c>
      <c r="C1986" t="s">
        <v>109</v>
      </c>
      <c r="D1986" t="s">
        <v>396</v>
      </c>
      <c r="E1986" s="13" t="s">
        <v>529</v>
      </c>
      <c r="F1986" s="12">
        <v>2</v>
      </c>
      <c r="G1986" s="12">
        <v>117647.06</v>
      </c>
      <c r="H1986" s="35">
        <v>46147.398143344908</v>
      </c>
    </row>
    <row r="1987" spans="2:8" x14ac:dyDescent="0.2">
      <c r="B1987" s="32">
        <v>46070</v>
      </c>
      <c r="C1987" t="s">
        <v>109</v>
      </c>
      <c r="D1987" t="s">
        <v>402</v>
      </c>
      <c r="E1987" s="13" t="s">
        <v>530</v>
      </c>
      <c r="F1987" s="12">
        <v>1</v>
      </c>
      <c r="G1987" s="12">
        <v>117647.06</v>
      </c>
      <c r="H1987" s="35">
        <v>46147.398143344908</v>
      </c>
    </row>
    <row r="1988" spans="2:8" x14ac:dyDescent="0.2">
      <c r="B1988" s="32">
        <v>46070</v>
      </c>
      <c r="C1988" t="s">
        <v>109</v>
      </c>
      <c r="D1988" t="s">
        <v>166</v>
      </c>
      <c r="E1988" s="13" t="s">
        <v>529</v>
      </c>
      <c r="F1988" s="12">
        <v>2</v>
      </c>
      <c r="G1988" s="12">
        <v>92436.98</v>
      </c>
      <c r="H1988" s="35">
        <v>46147.398143344908</v>
      </c>
    </row>
    <row r="1989" spans="2:8" x14ac:dyDescent="0.2">
      <c r="B1989" s="32">
        <v>46070</v>
      </c>
      <c r="C1989" t="s">
        <v>109</v>
      </c>
      <c r="D1989" t="s">
        <v>162</v>
      </c>
      <c r="E1989" s="13" t="s">
        <v>529</v>
      </c>
      <c r="F1989" s="12">
        <v>1</v>
      </c>
      <c r="G1989" s="12">
        <v>75630.25</v>
      </c>
      <c r="H1989" s="35">
        <v>46147.398143344908</v>
      </c>
    </row>
    <row r="1990" spans="2:8" x14ac:dyDescent="0.2">
      <c r="B1990" s="32">
        <v>46070</v>
      </c>
      <c r="C1990" t="s">
        <v>109</v>
      </c>
      <c r="D1990" t="s">
        <v>168</v>
      </c>
      <c r="E1990" s="13" t="s">
        <v>530</v>
      </c>
      <c r="F1990" s="12">
        <v>1</v>
      </c>
      <c r="G1990" s="12">
        <v>50420.17</v>
      </c>
      <c r="H1990" s="35">
        <v>46147.398143344908</v>
      </c>
    </row>
    <row r="1991" spans="2:8" x14ac:dyDescent="0.2">
      <c r="B1991" s="32">
        <v>46070</v>
      </c>
      <c r="C1991" t="s">
        <v>109</v>
      </c>
      <c r="D1991" t="s">
        <v>232</v>
      </c>
      <c r="E1991" s="13" t="s">
        <v>529</v>
      </c>
      <c r="F1991" s="12">
        <v>1</v>
      </c>
      <c r="G1991" s="12">
        <v>37815.120000000003</v>
      </c>
      <c r="H1991" s="35">
        <v>46147.398143344908</v>
      </c>
    </row>
    <row r="1992" spans="2:8" x14ac:dyDescent="0.2">
      <c r="B1992" s="32">
        <v>46070</v>
      </c>
      <c r="C1992" t="s">
        <v>109</v>
      </c>
      <c r="D1992" t="s">
        <v>142</v>
      </c>
      <c r="E1992" s="13" t="s">
        <v>529</v>
      </c>
      <c r="F1992" s="12">
        <v>2</v>
      </c>
      <c r="G1992" s="12">
        <v>27731.1</v>
      </c>
      <c r="H1992" s="35">
        <v>46147.398143344908</v>
      </c>
    </row>
    <row r="1993" spans="2:8" x14ac:dyDescent="0.2">
      <c r="B1993" s="32">
        <v>46070</v>
      </c>
      <c r="C1993" t="s">
        <v>109</v>
      </c>
      <c r="D1993" t="s">
        <v>450</v>
      </c>
      <c r="E1993" s="13" t="s">
        <v>529</v>
      </c>
      <c r="F1993" s="12">
        <v>1</v>
      </c>
      <c r="G1993" s="12">
        <v>16806.72</v>
      </c>
      <c r="H1993" s="35">
        <v>46147.398143344908</v>
      </c>
    </row>
    <row r="1994" spans="2:8" x14ac:dyDescent="0.2">
      <c r="B1994" s="32">
        <v>46071</v>
      </c>
      <c r="C1994" t="s">
        <v>140</v>
      </c>
      <c r="D1994" t="s">
        <v>174</v>
      </c>
      <c r="E1994" s="13" t="s">
        <v>530</v>
      </c>
      <c r="F1994" s="12">
        <v>2</v>
      </c>
      <c r="G1994" s="12">
        <v>126050.42</v>
      </c>
      <c r="H1994" s="35">
        <v>46147.398143344908</v>
      </c>
    </row>
    <row r="1995" spans="2:8" x14ac:dyDescent="0.2">
      <c r="B1995" s="32">
        <v>46071</v>
      </c>
      <c r="C1995" t="s">
        <v>140</v>
      </c>
      <c r="D1995" t="s">
        <v>278</v>
      </c>
      <c r="E1995" s="13" t="s">
        <v>530</v>
      </c>
      <c r="F1995" s="12">
        <v>1</v>
      </c>
      <c r="G1995" s="12">
        <v>54621.85</v>
      </c>
      <c r="H1995" s="35">
        <v>46147.398143344908</v>
      </c>
    </row>
    <row r="1996" spans="2:8" x14ac:dyDescent="0.2">
      <c r="B1996" s="32">
        <v>46071</v>
      </c>
      <c r="C1996" t="s">
        <v>109</v>
      </c>
      <c r="D1996" t="s">
        <v>311</v>
      </c>
      <c r="E1996" s="13" t="s">
        <v>530</v>
      </c>
      <c r="F1996" s="12">
        <v>5</v>
      </c>
      <c r="G1996" s="12">
        <v>453781.52</v>
      </c>
      <c r="H1996" s="35">
        <v>46147.398143344908</v>
      </c>
    </row>
    <row r="1997" spans="2:8" x14ac:dyDescent="0.2">
      <c r="B1997" s="32">
        <v>46071</v>
      </c>
      <c r="C1997" t="s">
        <v>109</v>
      </c>
      <c r="D1997" t="s">
        <v>152</v>
      </c>
      <c r="E1997" s="13" t="s">
        <v>530</v>
      </c>
      <c r="F1997" s="12">
        <v>5</v>
      </c>
      <c r="G1997" s="12">
        <v>453781.51</v>
      </c>
      <c r="H1997" s="35">
        <v>46147.398143344908</v>
      </c>
    </row>
    <row r="1998" spans="2:8" x14ac:dyDescent="0.2">
      <c r="B1998" s="32">
        <v>46071</v>
      </c>
      <c r="C1998" t="s">
        <v>109</v>
      </c>
      <c r="D1998" t="s">
        <v>248</v>
      </c>
      <c r="E1998" s="13" t="s">
        <v>530</v>
      </c>
      <c r="F1998" s="12">
        <v>5</v>
      </c>
      <c r="G1998" s="12">
        <v>453781.51</v>
      </c>
      <c r="H1998" s="35">
        <v>46147.398143344908</v>
      </c>
    </row>
    <row r="1999" spans="2:8" x14ac:dyDescent="0.2">
      <c r="B1999" s="32">
        <v>46071</v>
      </c>
      <c r="C1999" t="s">
        <v>109</v>
      </c>
      <c r="D1999" t="s">
        <v>269</v>
      </c>
      <c r="E1999" s="13" t="s">
        <v>529</v>
      </c>
      <c r="F1999" s="12">
        <v>3</v>
      </c>
      <c r="G1999" s="12">
        <v>189075.63</v>
      </c>
      <c r="H1999" s="35">
        <v>46147.398143344908</v>
      </c>
    </row>
    <row r="2000" spans="2:8" x14ac:dyDescent="0.2">
      <c r="B2000" s="32">
        <v>46071</v>
      </c>
      <c r="C2000" t="s">
        <v>109</v>
      </c>
      <c r="D2000" t="s">
        <v>210</v>
      </c>
      <c r="E2000" s="13" t="s">
        <v>529</v>
      </c>
      <c r="F2000" s="12">
        <v>2</v>
      </c>
      <c r="G2000" s="12">
        <v>117647.06</v>
      </c>
      <c r="H2000" s="35">
        <v>46147.398143344908</v>
      </c>
    </row>
    <row r="2001" spans="2:8" x14ac:dyDescent="0.2">
      <c r="B2001" s="32">
        <v>46071</v>
      </c>
      <c r="C2001" t="s">
        <v>109</v>
      </c>
      <c r="D2001" t="s">
        <v>330</v>
      </c>
      <c r="E2001" s="13" t="s">
        <v>530</v>
      </c>
      <c r="F2001" s="12">
        <v>1</v>
      </c>
      <c r="G2001" s="12">
        <v>63025.21</v>
      </c>
      <c r="H2001" s="35">
        <v>46147.398143344908</v>
      </c>
    </row>
    <row r="2002" spans="2:8" x14ac:dyDescent="0.2">
      <c r="B2002" s="32">
        <v>46071</v>
      </c>
      <c r="C2002" t="s">
        <v>109</v>
      </c>
      <c r="D2002" t="s">
        <v>163</v>
      </c>
      <c r="E2002" s="13" t="s">
        <v>530</v>
      </c>
      <c r="F2002" s="12">
        <v>1</v>
      </c>
      <c r="G2002" s="12">
        <v>63025.21</v>
      </c>
      <c r="H2002" s="35">
        <v>46147.398143344908</v>
      </c>
    </row>
    <row r="2003" spans="2:8" x14ac:dyDescent="0.2">
      <c r="B2003" s="32">
        <v>46071</v>
      </c>
      <c r="C2003" t="s">
        <v>109</v>
      </c>
      <c r="D2003" t="s">
        <v>273</v>
      </c>
      <c r="E2003" s="13" t="s">
        <v>529</v>
      </c>
      <c r="F2003" s="12">
        <v>1</v>
      </c>
      <c r="G2003" s="12">
        <v>63025.21</v>
      </c>
      <c r="H2003" s="35">
        <v>46147.398143344908</v>
      </c>
    </row>
    <row r="2004" spans="2:8" x14ac:dyDescent="0.2">
      <c r="B2004" s="32">
        <v>46071</v>
      </c>
      <c r="C2004" t="s">
        <v>109</v>
      </c>
      <c r="D2004" t="s">
        <v>177</v>
      </c>
      <c r="E2004" s="13" t="s">
        <v>530</v>
      </c>
      <c r="F2004" s="12">
        <v>1</v>
      </c>
      <c r="G2004" s="12">
        <v>50420.17</v>
      </c>
      <c r="H2004" s="35">
        <v>46147.398143344908</v>
      </c>
    </row>
    <row r="2005" spans="2:8" x14ac:dyDescent="0.2">
      <c r="B2005" s="32">
        <v>46071</v>
      </c>
      <c r="C2005" t="s">
        <v>109</v>
      </c>
      <c r="D2005" t="s">
        <v>282</v>
      </c>
      <c r="E2005" s="13" t="s">
        <v>530</v>
      </c>
      <c r="F2005" s="12">
        <v>2</v>
      </c>
      <c r="G2005" s="12">
        <v>38415.370000000003</v>
      </c>
      <c r="H2005" s="35">
        <v>46147.398143344908</v>
      </c>
    </row>
    <row r="2006" spans="2:8" x14ac:dyDescent="0.2">
      <c r="B2006" s="32">
        <v>46071</v>
      </c>
      <c r="C2006" t="s">
        <v>109</v>
      </c>
      <c r="D2006" t="s">
        <v>325</v>
      </c>
      <c r="E2006" s="13" t="s">
        <v>529</v>
      </c>
      <c r="F2006" s="12">
        <v>1</v>
      </c>
      <c r="G2006" s="12">
        <v>35000</v>
      </c>
      <c r="H2006" s="35">
        <v>46147.398143344908</v>
      </c>
    </row>
    <row r="2007" spans="2:8" x14ac:dyDescent="0.2">
      <c r="B2007" s="32">
        <v>46072</v>
      </c>
      <c r="C2007" t="s">
        <v>140</v>
      </c>
      <c r="D2007" t="s">
        <v>357</v>
      </c>
      <c r="E2007" s="13" t="s">
        <v>530</v>
      </c>
      <c r="F2007" s="12">
        <v>1</v>
      </c>
      <c r="G2007" s="12">
        <v>121848.74</v>
      </c>
      <c r="H2007" s="35">
        <v>46147.398143344908</v>
      </c>
    </row>
    <row r="2008" spans="2:8" x14ac:dyDescent="0.2">
      <c r="B2008" s="32">
        <v>46072</v>
      </c>
      <c r="C2008" t="s">
        <v>140</v>
      </c>
      <c r="D2008" t="s">
        <v>606</v>
      </c>
      <c r="E2008" s="13" t="s">
        <v>529</v>
      </c>
      <c r="F2008" s="12">
        <v>1</v>
      </c>
      <c r="G2008" s="12">
        <v>92436.97</v>
      </c>
      <c r="H2008" s="35">
        <v>46147.398143344908</v>
      </c>
    </row>
    <row r="2009" spans="2:8" x14ac:dyDescent="0.2">
      <c r="B2009" s="32">
        <v>46072</v>
      </c>
      <c r="C2009" t="s">
        <v>109</v>
      </c>
      <c r="D2009" t="s">
        <v>167</v>
      </c>
      <c r="E2009" s="13" t="s">
        <v>529</v>
      </c>
      <c r="F2009" s="12">
        <v>2</v>
      </c>
      <c r="G2009" s="12">
        <v>226890.76</v>
      </c>
      <c r="H2009" s="35">
        <v>46147.398143344908</v>
      </c>
    </row>
    <row r="2010" spans="2:8" x14ac:dyDescent="0.2">
      <c r="B2010" s="32">
        <v>46072</v>
      </c>
      <c r="C2010" t="s">
        <v>109</v>
      </c>
      <c r="D2010" t="s">
        <v>143</v>
      </c>
      <c r="E2010" s="13" t="s">
        <v>529</v>
      </c>
      <c r="F2010" s="12">
        <v>7</v>
      </c>
      <c r="G2010" s="12">
        <v>205882.34</v>
      </c>
      <c r="H2010" s="35">
        <v>46147.398143344908</v>
      </c>
    </row>
    <row r="2011" spans="2:8" x14ac:dyDescent="0.2">
      <c r="B2011" s="32">
        <v>46072</v>
      </c>
      <c r="C2011" t="s">
        <v>109</v>
      </c>
      <c r="D2011" t="s">
        <v>309</v>
      </c>
      <c r="E2011" s="13" t="s">
        <v>530</v>
      </c>
      <c r="F2011" s="12">
        <v>3</v>
      </c>
      <c r="G2011" s="12">
        <v>163865.54999999999</v>
      </c>
      <c r="H2011" s="35">
        <v>46147.398143344908</v>
      </c>
    </row>
    <row r="2012" spans="2:8" x14ac:dyDescent="0.2">
      <c r="B2012" s="32">
        <v>46072</v>
      </c>
      <c r="C2012" t="s">
        <v>109</v>
      </c>
      <c r="D2012" t="s">
        <v>563</v>
      </c>
      <c r="E2012" s="13" t="s">
        <v>529</v>
      </c>
      <c r="F2012" s="12">
        <v>2</v>
      </c>
      <c r="G2012" s="12">
        <v>156000</v>
      </c>
      <c r="H2012" s="35">
        <v>46147.398143344908</v>
      </c>
    </row>
    <row r="2013" spans="2:8" x14ac:dyDescent="0.2">
      <c r="B2013" s="32">
        <v>46072</v>
      </c>
      <c r="C2013" t="s">
        <v>109</v>
      </c>
      <c r="D2013" t="s">
        <v>192</v>
      </c>
      <c r="E2013" s="13" t="s">
        <v>530</v>
      </c>
      <c r="F2013" s="12">
        <v>1</v>
      </c>
      <c r="G2013" s="12">
        <v>113445.38</v>
      </c>
      <c r="H2013" s="35">
        <v>46147.398143344908</v>
      </c>
    </row>
    <row r="2014" spans="2:8" x14ac:dyDescent="0.2">
      <c r="B2014" s="32">
        <v>46072</v>
      </c>
      <c r="C2014" t="s">
        <v>109</v>
      </c>
      <c r="D2014" t="s">
        <v>293</v>
      </c>
      <c r="E2014" s="13" t="s">
        <v>530</v>
      </c>
      <c r="F2014" s="12">
        <v>2</v>
      </c>
      <c r="G2014" s="12">
        <v>109243.7</v>
      </c>
      <c r="H2014" s="35">
        <v>46147.398143344908</v>
      </c>
    </row>
    <row r="2015" spans="2:8" x14ac:dyDescent="0.2">
      <c r="B2015" s="32">
        <v>46072</v>
      </c>
      <c r="C2015" t="s">
        <v>109</v>
      </c>
      <c r="D2015" t="s">
        <v>226</v>
      </c>
      <c r="E2015" s="13" t="s">
        <v>530</v>
      </c>
      <c r="F2015" s="12">
        <v>2</v>
      </c>
      <c r="G2015" s="12">
        <v>109243.7</v>
      </c>
      <c r="H2015" s="35">
        <v>46147.398143344908</v>
      </c>
    </row>
    <row r="2016" spans="2:8" x14ac:dyDescent="0.2">
      <c r="B2016" s="32">
        <v>46072</v>
      </c>
      <c r="C2016" t="s">
        <v>109</v>
      </c>
      <c r="D2016" t="s">
        <v>241</v>
      </c>
      <c r="E2016" s="13" t="s">
        <v>530</v>
      </c>
      <c r="F2016" s="12">
        <v>2</v>
      </c>
      <c r="G2016" s="12">
        <v>109243.7</v>
      </c>
      <c r="H2016" s="35">
        <v>46147.398143344908</v>
      </c>
    </row>
    <row r="2017" spans="2:8" x14ac:dyDescent="0.2">
      <c r="B2017" s="32">
        <v>46072</v>
      </c>
      <c r="C2017" t="s">
        <v>109</v>
      </c>
      <c r="D2017" t="s">
        <v>281</v>
      </c>
      <c r="E2017" s="13" t="s">
        <v>530</v>
      </c>
      <c r="F2017" s="12">
        <v>2</v>
      </c>
      <c r="G2017" s="12">
        <v>109243.69</v>
      </c>
      <c r="H2017" s="35">
        <v>46147.398143344908</v>
      </c>
    </row>
    <row r="2018" spans="2:8" x14ac:dyDescent="0.2">
      <c r="B2018" s="32">
        <v>46072</v>
      </c>
      <c r="C2018" t="s">
        <v>109</v>
      </c>
      <c r="D2018" t="s">
        <v>325</v>
      </c>
      <c r="E2018" s="13" t="s">
        <v>530</v>
      </c>
      <c r="F2018" s="12">
        <v>3</v>
      </c>
      <c r="G2018" s="12">
        <v>105000</v>
      </c>
      <c r="H2018" s="35">
        <v>46147.398143344908</v>
      </c>
    </row>
    <row r="2019" spans="2:8" x14ac:dyDescent="0.2">
      <c r="B2019" s="32">
        <v>46072</v>
      </c>
      <c r="C2019" t="s">
        <v>109</v>
      </c>
      <c r="D2019" t="s">
        <v>232</v>
      </c>
      <c r="E2019" s="13" t="s">
        <v>529</v>
      </c>
      <c r="F2019" s="12">
        <v>2</v>
      </c>
      <c r="G2019" s="12">
        <v>75630.25</v>
      </c>
      <c r="H2019" s="35">
        <v>46147.398143344908</v>
      </c>
    </row>
    <row r="2020" spans="2:8" x14ac:dyDescent="0.2">
      <c r="B2020" s="32">
        <v>46072</v>
      </c>
      <c r="C2020" t="s">
        <v>109</v>
      </c>
      <c r="D2020" t="s">
        <v>290</v>
      </c>
      <c r="E2020" s="13" t="s">
        <v>530</v>
      </c>
      <c r="F2020" s="12">
        <v>1</v>
      </c>
      <c r="G2020" s="12">
        <v>54621.84</v>
      </c>
      <c r="H2020" s="35">
        <v>46147.398143344908</v>
      </c>
    </row>
    <row r="2021" spans="2:8" x14ac:dyDescent="0.2">
      <c r="B2021" s="32">
        <v>46072</v>
      </c>
      <c r="C2021" t="s">
        <v>109</v>
      </c>
      <c r="D2021" t="s">
        <v>154</v>
      </c>
      <c r="E2021" s="13" t="s">
        <v>529</v>
      </c>
      <c r="F2021" s="12">
        <v>1</v>
      </c>
      <c r="G2021" s="12">
        <v>46218.49</v>
      </c>
      <c r="H2021" s="35">
        <v>46147.398143344908</v>
      </c>
    </row>
    <row r="2022" spans="2:8" x14ac:dyDescent="0.2">
      <c r="B2022" s="32">
        <v>46072</v>
      </c>
      <c r="C2022" t="s">
        <v>109</v>
      </c>
      <c r="D2022" t="s">
        <v>142</v>
      </c>
      <c r="E2022" s="13" t="s">
        <v>529</v>
      </c>
      <c r="F2022" s="12">
        <v>4</v>
      </c>
      <c r="G2022" s="12">
        <v>37394.959999999999</v>
      </c>
      <c r="H2022" s="35">
        <v>46147.398143344908</v>
      </c>
    </row>
    <row r="2023" spans="2:8" x14ac:dyDescent="0.2">
      <c r="B2023" s="32">
        <v>46072</v>
      </c>
      <c r="C2023" t="s">
        <v>109</v>
      </c>
      <c r="D2023" t="s">
        <v>143</v>
      </c>
      <c r="E2023" s="13" t="s">
        <v>530</v>
      </c>
      <c r="F2023" s="12">
        <v>1</v>
      </c>
      <c r="G2023" s="12">
        <v>29411.759999999998</v>
      </c>
      <c r="H2023" s="35">
        <v>46147.398143344908</v>
      </c>
    </row>
    <row r="2024" spans="2:8" x14ac:dyDescent="0.2">
      <c r="B2024" s="32">
        <v>46073</v>
      </c>
      <c r="C2024" t="s">
        <v>109</v>
      </c>
      <c r="D2024" t="s">
        <v>390</v>
      </c>
      <c r="E2024" s="13" t="s">
        <v>530</v>
      </c>
      <c r="F2024" s="12">
        <v>1</v>
      </c>
      <c r="G2024" s="12">
        <v>84033.62</v>
      </c>
      <c r="H2024" s="35">
        <v>46147.398143344908</v>
      </c>
    </row>
    <row r="2025" spans="2:8" x14ac:dyDescent="0.2">
      <c r="B2025" s="32">
        <v>46073</v>
      </c>
      <c r="C2025" t="s">
        <v>109</v>
      </c>
      <c r="D2025" t="s">
        <v>246</v>
      </c>
      <c r="E2025" s="13" t="s">
        <v>529</v>
      </c>
      <c r="F2025" s="12">
        <v>2</v>
      </c>
      <c r="G2025" s="12">
        <v>75630.25</v>
      </c>
      <c r="H2025" s="35">
        <v>46147.398143344908</v>
      </c>
    </row>
    <row r="2026" spans="2:8" x14ac:dyDescent="0.2">
      <c r="B2026" s="32">
        <v>46073</v>
      </c>
      <c r="C2026" t="s">
        <v>109</v>
      </c>
      <c r="D2026" t="s">
        <v>142</v>
      </c>
      <c r="E2026" s="13" t="s">
        <v>529</v>
      </c>
      <c r="F2026" s="12">
        <v>9</v>
      </c>
      <c r="G2026" s="12">
        <v>73109.240000000005</v>
      </c>
      <c r="H2026" s="35">
        <v>46147.398143344908</v>
      </c>
    </row>
    <row r="2027" spans="2:8" x14ac:dyDescent="0.2">
      <c r="B2027" s="32">
        <v>46073</v>
      </c>
      <c r="C2027" t="s">
        <v>109</v>
      </c>
      <c r="D2027" t="s">
        <v>325</v>
      </c>
      <c r="E2027" s="13" t="s">
        <v>529</v>
      </c>
      <c r="F2027" s="12">
        <v>2</v>
      </c>
      <c r="G2027" s="12">
        <v>70000</v>
      </c>
      <c r="H2027" s="35">
        <v>46147.398143344908</v>
      </c>
    </row>
    <row r="2028" spans="2:8" x14ac:dyDescent="0.2">
      <c r="B2028" s="32">
        <v>46073</v>
      </c>
      <c r="C2028" t="s">
        <v>109</v>
      </c>
      <c r="D2028" t="s">
        <v>142</v>
      </c>
      <c r="E2028" s="13" t="s">
        <v>530</v>
      </c>
      <c r="F2028" s="12">
        <v>1</v>
      </c>
      <c r="G2028" s="12">
        <v>3781.51</v>
      </c>
      <c r="H2028" s="35">
        <v>46147.398143344908</v>
      </c>
    </row>
    <row r="2029" spans="2:8" x14ac:dyDescent="0.2">
      <c r="B2029" s="32">
        <v>46074</v>
      </c>
      <c r="C2029" t="s">
        <v>140</v>
      </c>
      <c r="D2029" t="s">
        <v>351</v>
      </c>
      <c r="E2029" s="13" t="s">
        <v>530</v>
      </c>
      <c r="F2029" s="12">
        <v>2</v>
      </c>
      <c r="G2029" s="12">
        <v>180672.27</v>
      </c>
      <c r="H2029" s="35">
        <v>46147.398143344908</v>
      </c>
    </row>
    <row r="2030" spans="2:8" x14ac:dyDescent="0.2">
      <c r="B2030" s="32">
        <v>46074</v>
      </c>
      <c r="C2030" t="s">
        <v>140</v>
      </c>
      <c r="D2030" t="s">
        <v>599</v>
      </c>
      <c r="E2030" s="13" t="s">
        <v>529</v>
      </c>
      <c r="F2030" s="12">
        <v>1</v>
      </c>
      <c r="G2030" s="12">
        <v>63025.21</v>
      </c>
      <c r="H2030" s="35">
        <v>46147.398143344908</v>
      </c>
    </row>
    <row r="2031" spans="2:8" x14ac:dyDescent="0.2">
      <c r="B2031" s="32">
        <v>46074</v>
      </c>
      <c r="C2031" t="s">
        <v>140</v>
      </c>
      <c r="D2031" t="s">
        <v>547</v>
      </c>
      <c r="E2031" s="13" t="s">
        <v>529</v>
      </c>
      <c r="F2031" s="12">
        <v>1</v>
      </c>
      <c r="G2031" s="12">
        <v>58823.53</v>
      </c>
      <c r="H2031" s="35">
        <v>46147.398143344908</v>
      </c>
    </row>
    <row r="2032" spans="2:8" x14ac:dyDescent="0.2">
      <c r="B2032" s="32">
        <v>46074</v>
      </c>
      <c r="C2032" t="s">
        <v>109</v>
      </c>
      <c r="E2032" s="13" t="s">
        <v>529</v>
      </c>
      <c r="F2032" s="12">
        <v>3</v>
      </c>
      <c r="G2032" s="12">
        <v>378151.26</v>
      </c>
      <c r="H2032" s="35">
        <v>46147.398143344908</v>
      </c>
    </row>
    <row r="2033" spans="2:8" x14ac:dyDescent="0.2">
      <c r="B2033" s="32">
        <v>46074</v>
      </c>
      <c r="C2033" t="s">
        <v>109</v>
      </c>
      <c r="D2033" t="s">
        <v>299</v>
      </c>
      <c r="E2033" s="13" t="s">
        <v>529</v>
      </c>
      <c r="F2033" s="12">
        <v>1</v>
      </c>
      <c r="G2033" s="12">
        <v>169000</v>
      </c>
      <c r="H2033" s="35">
        <v>46147.398143344908</v>
      </c>
    </row>
    <row r="2034" spans="2:8" x14ac:dyDescent="0.2">
      <c r="B2034" s="32">
        <v>46074</v>
      </c>
      <c r="C2034" t="s">
        <v>109</v>
      </c>
      <c r="D2034" t="s">
        <v>218</v>
      </c>
      <c r="E2034" s="13" t="s">
        <v>529</v>
      </c>
      <c r="F2034" s="12">
        <v>2</v>
      </c>
      <c r="G2034" s="12">
        <v>168067.22</v>
      </c>
      <c r="H2034" s="35">
        <v>46147.398143344908</v>
      </c>
    </row>
    <row r="2035" spans="2:8" x14ac:dyDescent="0.2">
      <c r="B2035" s="32">
        <v>46074</v>
      </c>
      <c r="C2035" t="s">
        <v>109</v>
      </c>
      <c r="D2035" t="s">
        <v>155</v>
      </c>
      <c r="E2035" s="13" t="s">
        <v>529</v>
      </c>
      <c r="F2035" s="12">
        <v>2</v>
      </c>
      <c r="G2035" s="12">
        <v>168067.22</v>
      </c>
      <c r="H2035" s="35">
        <v>46147.398143344908</v>
      </c>
    </row>
    <row r="2036" spans="2:8" x14ac:dyDescent="0.2">
      <c r="B2036" s="32">
        <v>46074</v>
      </c>
      <c r="C2036" t="s">
        <v>109</v>
      </c>
      <c r="D2036" t="s">
        <v>538</v>
      </c>
      <c r="E2036" s="13" t="s">
        <v>529</v>
      </c>
      <c r="F2036" s="12">
        <v>3</v>
      </c>
      <c r="G2036" s="12">
        <v>147000</v>
      </c>
      <c r="H2036" s="35">
        <v>46147.398143344908</v>
      </c>
    </row>
    <row r="2037" spans="2:8" x14ac:dyDescent="0.2">
      <c r="B2037" s="32">
        <v>46074</v>
      </c>
      <c r="C2037" t="s">
        <v>109</v>
      </c>
      <c r="D2037" t="s">
        <v>159</v>
      </c>
      <c r="E2037" s="13" t="s">
        <v>529</v>
      </c>
      <c r="F2037" s="12">
        <v>3</v>
      </c>
      <c r="G2037" s="12">
        <v>126050.42</v>
      </c>
      <c r="H2037" s="35">
        <v>46147.398143344908</v>
      </c>
    </row>
    <row r="2038" spans="2:8" x14ac:dyDescent="0.2">
      <c r="B2038" s="32">
        <v>46074</v>
      </c>
      <c r="C2038" t="s">
        <v>109</v>
      </c>
      <c r="D2038" t="s">
        <v>214</v>
      </c>
      <c r="E2038" s="13" t="s">
        <v>530</v>
      </c>
      <c r="F2038" s="12">
        <v>1</v>
      </c>
      <c r="G2038" s="12">
        <v>115000</v>
      </c>
      <c r="H2038" s="35">
        <v>46147.398143344908</v>
      </c>
    </row>
    <row r="2039" spans="2:8" x14ac:dyDescent="0.2">
      <c r="B2039" s="32">
        <v>46074</v>
      </c>
      <c r="C2039" t="s">
        <v>109</v>
      </c>
      <c r="D2039" t="s">
        <v>143</v>
      </c>
      <c r="E2039" s="13" t="s">
        <v>529</v>
      </c>
      <c r="F2039" s="12">
        <v>3</v>
      </c>
      <c r="G2039" s="12">
        <v>88235.3</v>
      </c>
      <c r="H2039" s="35">
        <v>46147.398143344908</v>
      </c>
    </row>
    <row r="2040" spans="2:8" x14ac:dyDescent="0.2">
      <c r="B2040" s="32">
        <v>46074</v>
      </c>
      <c r="C2040" t="s">
        <v>109</v>
      </c>
      <c r="D2040" t="s">
        <v>262</v>
      </c>
      <c r="E2040" s="13" t="s">
        <v>529</v>
      </c>
      <c r="F2040" s="12">
        <v>1</v>
      </c>
      <c r="G2040" s="12">
        <v>84033.61</v>
      </c>
      <c r="H2040" s="35">
        <v>46147.398143344908</v>
      </c>
    </row>
    <row r="2041" spans="2:8" x14ac:dyDescent="0.2">
      <c r="B2041" s="32">
        <v>46074</v>
      </c>
      <c r="C2041" t="s">
        <v>109</v>
      </c>
      <c r="D2041" t="s">
        <v>142</v>
      </c>
      <c r="E2041" s="13" t="s">
        <v>530</v>
      </c>
      <c r="F2041" s="12">
        <v>1</v>
      </c>
      <c r="G2041" s="12">
        <v>84033.61</v>
      </c>
      <c r="H2041" s="35">
        <v>46147.398143344908</v>
      </c>
    </row>
    <row r="2042" spans="2:8" x14ac:dyDescent="0.2">
      <c r="B2042" s="32">
        <v>46074</v>
      </c>
      <c r="C2042" t="s">
        <v>109</v>
      </c>
      <c r="D2042" t="s">
        <v>352</v>
      </c>
      <c r="E2042" s="13" t="s">
        <v>529</v>
      </c>
      <c r="F2042" s="12">
        <v>2</v>
      </c>
      <c r="G2042" s="12">
        <v>75630.259999999995</v>
      </c>
      <c r="H2042" s="35">
        <v>46147.398143344908</v>
      </c>
    </row>
    <row r="2043" spans="2:8" x14ac:dyDescent="0.2">
      <c r="B2043" s="32">
        <v>46074</v>
      </c>
      <c r="C2043" t="s">
        <v>109</v>
      </c>
      <c r="D2043" t="s">
        <v>236</v>
      </c>
      <c r="E2043" s="13"/>
      <c r="F2043" s="12">
        <v>1</v>
      </c>
      <c r="G2043" s="12">
        <v>46218.49</v>
      </c>
      <c r="H2043" s="35">
        <v>46147.398143344908</v>
      </c>
    </row>
    <row r="2044" spans="2:8" x14ac:dyDescent="0.2">
      <c r="B2044" s="32">
        <v>46074</v>
      </c>
      <c r="C2044" t="s">
        <v>109</v>
      </c>
      <c r="D2044" t="s">
        <v>216</v>
      </c>
      <c r="E2044" s="13" t="s">
        <v>529</v>
      </c>
      <c r="F2044" s="12">
        <v>1</v>
      </c>
      <c r="G2044" s="12">
        <v>42016.81</v>
      </c>
      <c r="H2044" s="35">
        <v>46147.398143344908</v>
      </c>
    </row>
    <row r="2045" spans="2:8" x14ac:dyDescent="0.2">
      <c r="B2045" s="32">
        <v>46074</v>
      </c>
      <c r="C2045" t="s">
        <v>109</v>
      </c>
      <c r="D2045" t="s">
        <v>142</v>
      </c>
      <c r="E2045" s="13" t="s">
        <v>529</v>
      </c>
      <c r="F2045" s="12">
        <v>5</v>
      </c>
      <c r="G2045" s="12">
        <v>39915.97</v>
      </c>
      <c r="H2045" s="35">
        <v>46147.398143344908</v>
      </c>
    </row>
    <row r="2046" spans="2:8" x14ac:dyDescent="0.2">
      <c r="B2046" s="32">
        <v>46075</v>
      </c>
      <c r="C2046" t="s">
        <v>140</v>
      </c>
      <c r="D2046" t="s">
        <v>216</v>
      </c>
      <c r="E2046" s="13" t="s">
        <v>529</v>
      </c>
      <c r="F2046" s="12">
        <v>2</v>
      </c>
      <c r="G2046" s="12">
        <v>84033.61</v>
      </c>
      <c r="H2046" s="35">
        <v>46147.398143344908</v>
      </c>
    </row>
    <row r="2047" spans="2:8" x14ac:dyDescent="0.2">
      <c r="B2047" s="32">
        <v>46076</v>
      </c>
      <c r="C2047" t="s">
        <v>109</v>
      </c>
      <c r="D2047" t="s">
        <v>593</v>
      </c>
      <c r="E2047" s="13" t="s">
        <v>529</v>
      </c>
      <c r="F2047" s="12">
        <v>19</v>
      </c>
      <c r="G2047" s="12">
        <v>2646428.5699999998</v>
      </c>
      <c r="H2047" s="35">
        <v>46147.398143344908</v>
      </c>
    </row>
    <row r="2048" spans="2:8" x14ac:dyDescent="0.2">
      <c r="B2048" s="32">
        <v>46076</v>
      </c>
      <c r="C2048" t="s">
        <v>109</v>
      </c>
      <c r="D2048" t="s">
        <v>343</v>
      </c>
      <c r="E2048" s="13" t="s">
        <v>530</v>
      </c>
      <c r="F2048" s="12">
        <v>2</v>
      </c>
      <c r="G2048" s="12">
        <v>168067.23</v>
      </c>
      <c r="H2048" s="35">
        <v>46147.398143344908</v>
      </c>
    </row>
    <row r="2049" spans="2:8" x14ac:dyDescent="0.2">
      <c r="B2049" s="32">
        <v>46076</v>
      </c>
      <c r="C2049" t="s">
        <v>109</v>
      </c>
      <c r="D2049" t="s">
        <v>256</v>
      </c>
      <c r="E2049" s="13" t="s">
        <v>530</v>
      </c>
      <c r="F2049" s="12">
        <v>2</v>
      </c>
      <c r="G2049" s="12">
        <v>117647.06</v>
      </c>
      <c r="H2049" s="35">
        <v>46147.398143344908</v>
      </c>
    </row>
    <row r="2050" spans="2:8" x14ac:dyDescent="0.2">
      <c r="B2050" s="32">
        <v>46076</v>
      </c>
      <c r="C2050" t="s">
        <v>109</v>
      </c>
      <c r="D2050" t="s">
        <v>142</v>
      </c>
      <c r="E2050" s="13" t="s">
        <v>529</v>
      </c>
      <c r="F2050" s="12">
        <v>4</v>
      </c>
      <c r="G2050" s="12">
        <v>20588.240000000002</v>
      </c>
      <c r="H2050" s="35">
        <v>46147.398143344908</v>
      </c>
    </row>
    <row r="2051" spans="2:8" x14ac:dyDescent="0.2">
      <c r="B2051" s="32">
        <v>46077</v>
      </c>
      <c r="C2051" t="s">
        <v>109</v>
      </c>
      <c r="D2051" t="s">
        <v>349</v>
      </c>
      <c r="E2051" s="13" t="s">
        <v>530</v>
      </c>
      <c r="F2051" s="12">
        <v>1</v>
      </c>
      <c r="G2051" s="12">
        <v>142857.14000000001</v>
      </c>
      <c r="H2051" s="35">
        <v>46147.398143344908</v>
      </c>
    </row>
    <row r="2052" spans="2:8" x14ac:dyDescent="0.2">
      <c r="B2052" s="32">
        <v>46077</v>
      </c>
      <c r="C2052" t="s">
        <v>109</v>
      </c>
      <c r="E2052" s="13" t="s">
        <v>530</v>
      </c>
      <c r="F2052" s="12">
        <v>1</v>
      </c>
      <c r="G2052" s="12">
        <v>126050.42</v>
      </c>
      <c r="H2052" s="35">
        <v>46147.398143344908</v>
      </c>
    </row>
    <row r="2053" spans="2:8" x14ac:dyDescent="0.2">
      <c r="B2053" s="32">
        <v>46077</v>
      </c>
      <c r="C2053" t="s">
        <v>109</v>
      </c>
      <c r="D2053" t="s">
        <v>143</v>
      </c>
      <c r="E2053" s="13" t="s">
        <v>530</v>
      </c>
      <c r="F2053" s="12">
        <v>2</v>
      </c>
      <c r="G2053" s="12">
        <v>58823.53</v>
      </c>
      <c r="H2053" s="35">
        <v>46147.398143344908</v>
      </c>
    </row>
    <row r="2054" spans="2:8" x14ac:dyDescent="0.2">
      <c r="B2054" s="32">
        <v>46077</v>
      </c>
      <c r="C2054" t="s">
        <v>109</v>
      </c>
      <c r="D2054" t="s">
        <v>142</v>
      </c>
      <c r="E2054" s="13" t="s">
        <v>529</v>
      </c>
      <c r="F2054" s="12">
        <v>4</v>
      </c>
      <c r="G2054" s="12">
        <v>16806.72</v>
      </c>
      <c r="H2054" s="35">
        <v>46147.398143344908</v>
      </c>
    </row>
    <row r="2055" spans="2:8" x14ac:dyDescent="0.2">
      <c r="B2055" s="32">
        <v>46078</v>
      </c>
      <c r="C2055" t="s">
        <v>140</v>
      </c>
      <c r="D2055" t="s">
        <v>239</v>
      </c>
      <c r="E2055" s="13" t="s">
        <v>530</v>
      </c>
      <c r="F2055" s="12">
        <v>1</v>
      </c>
      <c r="G2055" s="12">
        <v>0</v>
      </c>
      <c r="H2055" s="35">
        <v>46147.398143344908</v>
      </c>
    </row>
    <row r="2056" spans="2:8" x14ac:dyDescent="0.2">
      <c r="B2056" s="32">
        <v>46078</v>
      </c>
      <c r="C2056" t="s">
        <v>109</v>
      </c>
      <c r="D2056" t="s">
        <v>345</v>
      </c>
      <c r="E2056" s="13" t="s">
        <v>530</v>
      </c>
      <c r="F2056" s="12">
        <v>2</v>
      </c>
      <c r="G2056" s="12">
        <v>840336.13</v>
      </c>
      <c r="H2056" s="35">
        <v>46147.398143344908</v>
      </c>
    </row>
    <row r="2057" spans="2:8" x14ac:dyDescent="0.2">
      <c r="B2057" s="32">
        <v>46078</v>
      </c>
      <c r="C2057" t="s">
        <v>109</v>
      </c>
      <c r="D2057" t="s">
        <v>142</v>
      </c>
      <c r="E2057" s="13" t="s">
        <v>530</v>
      </c>
      <c r="F2057" s="12">
        <v>4</v>
      </c>
      <c r="G2057" s="12">
        <v>226890.76</v>
      </c>
      <c r="H2057" s="35">
        <v>46147.398143344908</v>
      </c>
    </row>
    <row r="2058" spans="2:8" x14ac:dyDescent="0.2">
      <c r="B2058" s="32">
        <v>46078</v>
      </c>
      <c r="C2058" t="s">
        <v>109</v>
      </c>
      <c r="D2058" t="s">
        <v>221</v>
      </c>
      <c r="E2058" s="13" t="s">
        <v>530</v>
      </c>
      <c r="F2058" s="12">
        <v>3</v>
      </c>
      <c r="G2058" s="12">
        <v>218487.4</v>
      </c>
      <c r="H2058" s="35">
        <v>46147.398143344908</v>
      </c>
    </row>
    <row r="2059" spans="2:8" x14ac:dyDescent="0.2">
      <c r="B2059" s="32">
        <v>46078</v>
      </c>
      <c r="C2059" t="s">
        <v>109</v>
      </c>
      <c r="E2059" s="13" t="s">
        <v>530</v>
      </c>
      <c r="F2059" s="12">
        <v>5</v>
      </c>
      <c r="G2059" s="12">
        <v>168068.07</v>
      </c>
      <c r="H2059" s="35">
        <v>46147.398143344908</v>
      </c>
    </row>
    <row r="2060" spans="2:8" x14ac:dyDescent="0.2">
      <c r="B2060" s="32">
        <v>46078</v>
      </c>
      <c r="C2060" t="s">
        <v>109</v>
      </c>
      <c r="D2060" t="s">
        <v>407</v>
      </c>
      <c r="E2060" s="13" t="s">
        <v>529</v>
      </c>
      <c r="F2060" s="12">
        <v>2</v>
      </c>
      <c r="G2060" s="12">
        <v>151260.5</v>
      </c>
      <c r="H2060" s="35">
        <v>46147.398143344908</v>
      </c>
    </row>
    <row r="2061" spans="2:8" x14ac:dyDescent="0.2">
      <c r="B2061" s="32">
        <v>46078</v>
      </c>
      <c r="C2061" t="s">
        <v>109</v>
      </c>
      <c r="D2061" t="s">
        <v>344</v>
      </c>
      <c r="E2061" s="13" t="s">
        <v>530</v>
      </c>
      <c r="F2061" s="12">
        <v>2</v>
      </c>
      <c r="G2061" s="12">
        <v>117647.06</v>
      </c>
      <c r="H2061" s="35">
        <v>46147.398143344908</v>
      </c>
    </row>
    <row r="2062" spans="2:8" x14ac:dyDescent="0.2">
      <c r="B2062" s="32">
        <v>46078</v>
      </c>
      <c r="C2062" t="s">
        <v>109</v>
      </c>
      <c r="D2062" t="s">
        <v>305</v>
      </c>
      <c r="E2062" s="13" t="s">
        <v>529</v>
      </c>
      <c r="F2062" s="12">
        <v>2</v>
      </c>
      <c r="G2062" s="12">
        <v>109243.7</v>
      </c>
      <c r="H2062" s="35">
        <v>46147.398143344908</v>
      </c>
    </row>
    <row r="2063" spans="2:8" x14ac:dyDescent="0.2">
      <c r="B2063" s="32">
        <v>46078</v>
      </c>
      <c r="C2063" t="s">
        <v>109</v>
      </c>
      <c r="D2063" t="s">
        <v>177</v>
      </c>
      <c r="E2063" s="13" t="s">
        <v>529</v>
      </c>
      <c r="F2063" s="12">
        <v>2</v>
      </c>
      <c r="G2063" s="12">
        <v>100840.34</v>
      </c>
      <c r="H2063" s="35">
        <v>46147.398143344908</v>
      </c>
    </row>
    <row r="2064" spans="2:8" x14ac:dyDescent="0.2">
      <c r="B2064" s="32">
        <v>46078</v>
      </c>
      <c r="C2064" t="s">
        <v>109</v>
      </c>
      <c r="D2064" t="s">
        <v>337</v>
      </c>
      <c r="E2064" s="13" t="s">
        <v>530</v>
      </c>
      <c r="F2064" s="12">
        <v>1</v>
      </c>
      <c r="G2064" s="12">
        <v>84033.61</v>
      </c>
      <c r="H2064" s="35">
        <v>46147.398143344908</v>
      </c>
    </row>
    <row r="2065" spans="2:8" x14ac:dyDescent="0.2">
      <c r="B2065" s="32">
        <v>46078</v>
      </c>
      <c r="C2065" t="s">
        <v>109</v>
      </c>
      <c r="D2065" t="s">
        <v>339</v>
      </c>
      <c r="E2065" s="13" t="s">
        <v>530</v>
      </c>
      <c r="F2065" s="12">
        <v>2</v>
      </c>
      <c r="G2065" s="12">
        <v>75630.259999999995</v>
      </c>
      <c r="H2065" s="35">
        <v>46147.398143344908</v>
      </c>
    </row>
    <row r="2066" spans="2:8" x14ac:dyDescent="0.2">
      <c r="B2066" s="32">
        <v>46079</v>
      </c>
      <c r="C2066" t="s">
        <v>108</v>
      </c>
      <c r="D2066" t="s">
        <v>390</v>
      </c>
      <c r="E2066" s="13" t="s">
        <v>530</v>
      </c>
      <c r="F2066" s="12">
        <v>1</v>
      </c>
      <c r="G2066" s="12">
        <v>75630.259999999995</v>
      </c>
      <c r="H2066" s="35">
        <v>46147.398143344908</v>
      </c>
    </row>
    <row r="2067" spans="2:8" x14ac:dyDescent="0.2">
      <c r="B2067" s="32">
        <v>46079</v>
      </c>
      <c r="C2067" t="s">
        <v>108</v>
      </c>
      <c r="D2067" t="s">
        <v>354</v>
      </c>
      <c r="E2067" s="13" t="s">
        <v>530</v>
      </c>
      <c r="F2067" s="12">
        <v>1</v>
      </c>
      <c r="G2067" s="12">
        <v>75630.259999999995</v>
      </c>
      <c r="H2067" s="35">
        <v>46147.398143344908</v>
      </c>
    </row>
    <row r="2068" spans="2:8" x14ac:dyDescent="0.2">
      <c r="B2068" s="32">
        <v>46079</v>
      </c>
      <c r="C2068" t="s">
        <v>108</v>
      </c>
      <c r="D2068" t="s">
        <v>368</v>
      </c>
      <c r="E2068" s="13" t="s">
        <v>530</v>
      </c>
      <c r="F2068" s="12">
        <v>1</v>
      </c>
      <c r="G2068" s="12">
        <v>75630.25</v>
      </c>
      <c r="H2068" s="35">
        <v>46147.398143344908</v>
      </c>
    </row>
    <row r="2069" spans="2:8" x14ac:dyDescent="0.2">
      <c r="B2069" s="32">
        <v>46079</v>
      </c>
      <c r="C2069" t="s">
        <v>140</v>
      </c>
      <c r="D2069" t="s">
        <v>150</v>
      </c>
      <c r="E2069" s="13" t="s">
        <v>530</v>
      </c>
      <c r="F2069" s="12">
        <v>1</v>
      </c>
      <c r="G2069" s="12">
        <v>84033.61</v>
      </c>
      <c r="H2069" s="35">
        <v>46147.398143344908</v>
      </c>
    </row>
    <row r="2070" spans="2:8" x14ac:dyDescent="0.2">
      <c r="B2070" s="32">
        <v>46079</v>
      </c>
      <c r="C2070" t="s">
        <v>109</v>
      </c>
      <c r="D2070" t="s">
        <v>239</v>
      </c>
      <c r="E2070" s="13" t="s">
        <v>530</v>
      </c>
      <c r="F2070" s="12">
        <v>4</v>
      </c>
      <c r="G2070" s="12">
        <v>184873.95</v>
      </c>
      <c r="H2070" s="35">
        <v>46147.398143344908</v>
      </c>
    </row>
    <row r="2071" spans="2:8" x14ac:dyDescent="0.2">
      <c r="B2071" s="32">
        <v>46079</v>
      </c>
      <c r="C2071" t="s">
        <v>109</v>
      </c>
      <c r="D2071" t="s">
        <v>144</v>
      </c>
      <c r="E2071" s="13" t="s">
        <v>530</v>
      </c>
      <c r="F2071" s="12">
        <v>3</v>
      </c>
      <c r="G2071" s="12">
        <v>151260.5</v>
      </c>
      <c r="H2071" s="35">
        <v>46147.398143344908</v>
      </c>
    </row>
    <row r="2072" spans="2:8" x14ac:dyDescent="0.2">
      <c r="B2072" s="32">
        <v>46079</v>
      </c>
      <c r="C2072" t="s">
        <v>109</v>
      </c>
      <c r="D2072" t="s">
        <v>193</v>
      </c>
      <c r="E2072" s="13" t="s">
        <v>530</v>
      </c>
      <c r="F2072" s="12">
        <v>3</v>
      </c>
      <c r="G2072" s="12">
        <v>151260.5</v>
      </c>
      <c r="H2072" s="35">
        <v>46147.398143344908</v>
      </c>
    </row>
    <row r="2073" spans="2:8" x14ac:dyDescent="0.2">
      <c r="B2073" s="32">
        <v>46079</v>
      </c>
      <c r="C2073" t="s">
        <v>109</v>
      </c>
      <c r="D2073" t="s">
        <v>374</v>
      </c>
      <c r="E2073" s="13" t="s">
        <v>530</v>
      </c>
      <c r="F2073" s="12">
        <v>1</v>
      </c>
      <c r="G2073" s="12">
        <v>109243.7</v>
      </c>
      <c r="H2073" s="35">
        <v>46147.398143344908</v>
      </c>
    </row>
    <row r="2074" spans="2:8" x14ac:dyDescent="0.2">
      <c r="B2074" s="32">
        <v>46079</v>
      </c>
      <c r="C2074" t="s">
        <v>109</v>
      </c>
      <c r="D2074" t="s">
        <v>149</v>
      </c>
      <c r="E2074" s="13" t="s">
        <v>530</v>
      </c>
      <c r="F2074" s="12">
        <v>2</v>
      </c>
      <c r="G2074" s="12">
        <v>100840.34</v>
      </c>
      <c r="H2074" s="35">
        <v>46147.398143344908</v>
      </c>
    </row>
    <row r="2075" spans="2:8" x14ac:dyDescent="0.2">
      <c r="B2075" s="32">
        <v>46079</v>
      </c>
      <c r="C2075" t="s">
        <v>109</v>
      </c>
      <c r="D2075" t="s">
        <v>143</v>
      </c>
      <c r="E2075" s="13" t="s">
        <v>529</v>
      </c>
      <c r="F2075" s="12">
        <v>3</v>
      </c>
      <c r="G2075" s="12">
        <v>88235.29</v>
      </c>
      <c r="H2075" s="35">
        <v>46147.398143344908</v>
      </c>
    </row>
    <row r="2076" spans="2:8" x14ac:dyDescent="0.2">
      <c r="B2076" s="32">
        <v>46079</v>
      </c>
      <c r="C2076" t="s">
        <v>109</v>
      </c>
      <c r="D2076" t="s">
        <v>143</v>
      </c>
      <c r="E2076" s="13" t="s">
        <v>530</v>
      </c>
      <c r="F2076" s="12">
        <v>2</v>
      </c>
      <c r="G2076" s="12">
        <v>58823.53</v>
      </c>
      <c r="H2076" s="35">
        <v>46147.398143344908</v>
      </c>
    </row>
    <row r="2077" spans="2:8" x14ac:dyDescent="0.2">
      <c r="B2077" s="32">
        <v>46079</v>
      </c>
      <c r="C2077" t="s">
        <v>109</v>
      </c>
      <c r="D2077" t="s">
        <v>177</v>
      </c>
      <c r="E2077" s="13" t="s">
        <v>530</v>
      </c>
      <c r="F2077" s="12">
        <v>1</v>
      </c>
      <c r="G2077" s="12">
        <v>50420.17</v>
      </c>
      <c r="H2077" s="35">
        <v>46147.398143344908</v>
      </c>
    </row>
    <row r="2078" spans="2:8" x14ac:dyDescent="0.2">
      <c r="B2078" s="32">
        <v>46080</v>
      </c>
      <c r="C2078" t="s">
        <v>140</v>
      </c>
      <c r="D2078" t="s">
        <v>341</v>
      </c>
      <c r="E2078" s="13" t="s">
        <v>530</v>
      </c>
      <c r="F2078" s="12">
        <v>2</v>
      </c>
      <c r="G2078" s="12">
        <v>218487.39</v>
      </c>
      <c r="H2078" s="35">
        <v>46147.398143344908</v>
      </c>
    </row>
    <row r="2079" spans="2:8" x14ac:dyDescent="0.2">
      <c r="B2079" s="32">
        <v>46080</v>
      </c>
      <c r="C2079" t="s">
        <v>140</v>
      </c>
      <c r="D2079" t="s">
        <v>464</v>
      </c>
      <c r="E2079" s="13" t="s">
        <v>529</v>
      </c>
      <c r="F2079" s="12">
        <v>2</v>
      </c>
      <c r="G2079" s="12">
        <v>126050.42</v>
      </c>
      <c r="H2079" s="35">
        <v>46147.398143344908</v>
      </c>
    </row>
    <row r="2080" spans="2:8" x14ac:dyDescent="0.2">
      <c r="B2080" s="32">
        <v>46080</v>
      </c>
      <c r="C2080" t="s">
        <v>140</v>
      </c>
      <c r="D2080" t="s">
        <v>413</v>
      </c>
      <c r="E2080" s="13" t="s">
        <v>530</v>
      </c>
      <c r="F2080" s="12">
        <v>1</v>
      </c>
      <c r="G2080" s="12">
        <v>63025.21</v>
      </c>
      <c r="H2080" s="35">
        <v>46147.398143344908</v>
      </c>
    </row>
    <row r="2081" spans="2:8" x14ac:dyDescent="0.2">
      <c r="B2081" s="32">
        <v>46080</v>
      </c>
      <c r="C2081" t="s">
        <v>110</v>
      </c>
      <c r="D2081" t="s">
        <v>159</v>
      </c>
      <c r="E2081" s="13"/>
      <c r="F2081" s="12">
        <v>2</v>
      </c>
      <c r="G2081" s="12">
        <v>84033.61</v>
      </c>
      <c r="H2081" s="35">
        <v>46147.398143344908</v>
      </c>
    </row>
    <row r="2082" spans="2:8" x14ac:dyDescent="0.2">
      <c r="B2082" s="32">
        <v>46080</v>
      </c>
      <c r="C2082" t="s">
        <v>109</v>
      </c>
      <c r="D2082" t="s">
        <v>327</v>
      </c>
      <c r="E2082" s="13" t="s">
        <v>529</v>
      </c>
      <c r="F2082" s="12">
        <v>1</v>
      </c>
      <c r="G2082" s="12">
        <v>235294.12</v>
      </c>
      <c r="H2082" s="35">
        <v>46147.398143344908</v>
      </c>
    </row>
    <row r="2083" spans="2:8" x14ac:dyDescent="0.2">
      <c r="B2083" s="32">
        <v>46080</v>
      </c>
      <c r="C2083" t="s">
        <v>109</v>
      </c>
      <c r="D2083" t="s">
        <v>154</v>
      </c>
      <c r="E2083" s="13" t="s">
        <v>529</v>
      </c>
      <c r="F2083" s="12">
        <v>2</v>
      </c>
      <c r="G2083" s="12">
        <v>92436.97</v>
      </c>
      <c r="H2083" s="35">
        <v>46147.398143344908</v>
      </c>
    </row>
    <row r="2084" spans="2:8" x14ac:dyDescent="0.2">
      <c r="B2084" s="32">
        <v>46080</v>
      </c>
      <c r="C2084" t="s">
        <v>109</v>
      </c>
      <c r="D2084" t="s">
        <v>201</v>
      </c>
      <c r="E2084" s="13" t="s">
        <v>530</v>
      </c>
      <c r="F2084" s="12">
        <v>2</v>
      </c>
      <c r="G2084" s="12">
        <v>84033.62</v>
      </c>
      <c r="H2084" s="35">
        <v>46147.398143344908</v>
      </c>
    </row>
    <row r="2085" spans="2:8" x14ac:dyDescent="0.2">
      <c r="B2085" s="32">
        <v>46080</v>
      </c>
      <c r="C2085" t="s">
        <v>109</v>
      </c>
      <c r="D2085" t="s">
        <v>328</v>
      </c>
      <c r="E2085" s="13" t="s">
        <v>530</v>
      </c>
      <c r="F2085" s="12">
        <v>2</v>
      </c>
      <c r="G2085" s="12">
        <v>75630.25</v>
      </c>
      <c r="H2085" s="35">
        <v>46147.398143344908</v>
      </c>
    </row>
    <row r="2086" spans="2:8" x14ac:dyDescent="0.2">
      <c r="B2086" s="32">
        <v>46080</v>
      </c>
      <c r="C2086" t="s">
        <v>109</v>
      </c>
      <c r="D2086" t="s">
        <v>146</v>
      </c>
      <c r="E2086" s="13" t="s">
        <v>530</v>
      </c>
      <c r="F2086" s="12">
        <v>2</v>
      </c>
      <c r="G2086" s="12">
        <v>75630.25</v>
      </c>
      <c r="H2086" s="35">
        <v>46147.398143344908</v>
      </c>
    </row>
    <row r="2087" spans="2:8" x14ac:dyDescent="0.2">
      <c r="B2087" s="32">
        <v>46080</v>
      </c>
      <c r="C2087" t="s">
        <v>109</v>
      </c>
      <c r="D2087" t="s">
        <v>147</v>
      </c>
      <c r="E2087" s="13" t="s">
        <v>529</v>
      </c>
      <c r="F2087" s="12">
        <v>1</v>
      </c>
      <c r="G2087" s="12">
        <v>75630.25</v>
      </c>
      <c r="H2087" s="35">
        <v>46147.398143344908</v>
      </c>
    </row>
    <row r="2088" spans="2:8" x14ac:dyDescent="0.2">
      <c r="B2088" s="32">
        <v>46080</v>
      </c>
      <c r="C2088" t="s">
        <v>109</v>
      </c>
      <c r="D2088" t="s">
        <v>448</v>
      </c>
      <c r="E2088" s="13" t="s">
        <v>529</v>
      </c>
      <c r="F2088" s="12">
        <v>1</v>
      </c>
      <c r="G2088" s="12">
        <v>54621.85</v>
      </c>
      <c r="H2088" s="35">
        <v>46147.398143344908</v>
      </c>
    </row>
    <row r="2089" spans="2:8" x14ac:dyDescent="0.2">
      <c r="B2089" s="32">
        <v>46080</v>
      </c>
      <c r="C2089" t="s">
        <v>109</v>
      </c>
      <c r="D2089" t="s">
        <v>414</v>
      </c>
      <c r="E2089" s="13" t="s">
        <v>530</v>
      </c>
      <c r="F2089" s="12">
        <v>1</v>
      </c>
      <c r="G2089" s="12">
        <v>54621.85</v>
      </c>
      <c r="H2089" s="35">
        <v>46147.398143344908</v>
      </c>
    </row>
    <row r="2090" spans="2:8" x14ac:dyDescent="0.2">
      <c r="B2090" s="32">
        <v>46080</v>
      </c>
      <c r="C2090" t="s">
        <v>109</v>
      </c>
      <c r="D2090" t="s">
        <v>142</v>
      </c>
      <c r="E2090" s="13" t="s">
        <v>529</v>
      </c>
      <c r="F2090" s="12">
        <v>2</v>
      </c>
      <c r="G2090" s="12">
        <v>50000</v>
      </c>
      <c r="H2090" s="35">
        <v>46147.398143344908</v>
      </c>
    </row>
    <row r="2091" spans="2:8" x14ac:dyDescent="0.2">
      <c r="B2091" s="32">
        <v>46080</v>
      </c>
      <c r="C2091" t="s">
        <v>109</v>
      </c>
      <c r="D2091" t="s">
        <v>352</v>
      </c>
      <c r="E2091" s="13" t="s">
        <v>530</v>
      </c>
      <c r="F2091" s="12">
        <v>1</v>
      </c>
      <c r="G2091" s="12">
        <v>37815.129999999997</v>
      </c>
      <c r="H2091" s="35">
        <v>46147.398143344908</v>
      </c>
    </row>
    <row r="2092" spans="2:8" x14ac:dyDescent="0.2">
      <c r="B2092" s="32">
        <v>46080</v>
      </c>
      <c r="C2092" t="s">
        <v>109</v>
      </c>
      <c r="D2092" t="s">
        <v>326</v>
      </c>
      <c r="E2092" s="13" t="s">
        <v>530</v>
      </c>
      <c r="F2092" s="12">
        <v>1</v>
      </c>
      <c r="G2092" s="12">
        <v>37815.120000000003</v>
      </c>
      <c r="H2092" s="35">
        <v>46147.398143344908</v>
      </c>
    </row>
    <row r="2093" spans="2:8" x14ac:dyDescent="0.2">
      <c r="B2093" s="32">
        <v>46081</v>
      </c>
      <c r="C2093" t="s">
        <v>108</v>
      </c>
      <c r="D2093" t="s">
        <v>143</v>
      </c>
      <c r="E2093" s="13" t="s">
        <v>529</v>
      </c>
      <c r="F2093" s="12">
        <v>241</v>
      </c>
      <c r="G2093" s="12">
        <v>4424371.3899999997</v>
      </c>
      <c r="H2093" s="35">
        <v>46147.398143344908</v>
      </c>
    </row>
    <row r="2094" spans="2:8" x14ac:dyDescent="0.2">
      <c r="B2094" s="32">
        <v>46081</v>
      </c>
      <c r="C2094" t="s">
        <v>108</v>
      </c>
      <c r="D2094" t="s">
        <v>418</v>
      </c>
      <c r="E2094" s="13" t="s">
        <v>529</v>
      </c>
      <c r="F2094" s="12">
        <v>41</v>
      </c>
      <c r="G2094" s="12">
        <v>2301324.7599999998</v>
      </c>
      <c r="H2094" s="35">
        <v>46147.398143344908</v>
      </c>
    </row>
    <row r="2095" spans="2:8" x14ac:dyDescent="0.2">
      <c r="B2095" s="32">
        <v>46081</v>
      </c>
      <c r="C2095" t="s">
        <v>108</v>
      </c>
      <c r="D2095" t="s">
        <v>592</v>
      </c>
      <c r="E2095" s="13" t="s">
        <v>529</v>
      </c>
      <c r="F2095" s="12">
        <v>40</v>
      </c>
      <c r="G2095" s="12">
        <v>1870995.75</v>
      </c>
      <c r="H2095" s="35">
        <v>46147.398143344908</v>
      </c>
    </row>
    <row r="2096" spans="2:8" x14ac:dyDescent="0.2">
      <c r="B2096" s="32">
        <v>46081</v>
      </c>
      <c r="C2096" t="s">
        <v>108</v>
      </c>
      <c r="D2096" t="s">
        <v>167</v>
      </c>
      <c r="E2096" s="13" t="s">
        <v>530</v>
      </c>
      <c r="F2096" s="12">
        <v>15</v>
      </c>
      <c r="G2096" s="12">
        <v>1446428.57</v>
      </c>
      <c r="H2096" s="35">
        <v>46147.398143344908</v>
      </c>
    </row>
    <row r="2097" spans="2:8" x14ac:dyDescent="0.2">
      <c r="B2097" s="32">
        <v>46081</v>
      </c>
      <c r="C2097" t="s">
        <v>108</v>
      </c>
      <c r="D2097" t="s">
        <v>591</v>
      </c>
      <c r="E2097" s="13" t="s">
        <v>529</v>
      </c>
      <c r="F2097" s="12">
        <v>41</v>
      </c>
      <c r="G2097" s="12">
        <v>994683.7</v>
      </c>
      <c r="H2097" s="35">
        <v>46147.398143344908</v>
      </c>
    </row>
    <row r="2098" spans="2:8" x14ac:dyDescent="0.2">
      <c r="B2098" s="32">
        <v>46081</v>
      </c>
      <c r="C2098" t="s">
        <v>108</v>
      </c>
      <c r="D2098" t="s">
        <v>348</v>
      </c>
      <c r="E2098" s="13" t="s">
        <v>529</v>
      </c>
      <c r="F2098" s="12">
        <v>11</v>
      </c>
      <c r="G2098" s="12">
        <v>617428.61</v>
      </c>
      <c r="H2098" s="35">
        <v>46147.398143344908</v>
      </c>
    </row>
    <row r="2099" spans="2:8" x14ac:dyDescent="0.2">
      <c r="B2099" s="32">
        <v>46081</v>
      </c>
      <c r="C2099" t="s">
        <v>108</v>
      </c>
      <c r="D2099" t="s">
        <v>145</v>
      </c>
      <c r="E2099" s="13" t="s">
        <v>529</v>
      </c>
      <c r="F2099" s="12">
        <v>11</v>
      </c>
      <c r="G2099" s="12">
        <v>617428.61</v>
      </c>
      <c r="H2099" s="35">
        <v>46147.398143344908</v>
      </c>
    </row>
    <row r="2100" spans="2:8" x14ac:dyDescent="0.2">
      <c r="B2100" s="32">
        <v>46081</v>
      </c>
      <c r="C2100" t="s">
        <v>108</v>
      </c>
      <c r="D2100" t="s">
        <v>162</v>
      </c>
      <c r="E2100" s="13" t="s">
        <v>529</v>
      </c>
      <c r="F2100" s="12">
        <v>10</v>
      </c>
      <c r="G2100" s="12">
        <v>561298.72</v>
      </c>
      <c r="H2100" s="35">
        <v>46147.398143344908</v>
      </c>
    </row>
    <row r="2101" spans="2:8" x14ac:dyDescent="0.2">
      <c r="B2101" s="32">
        <v>46081</v>
      </c>
      <c r="C2101" t="s">
        <v>108</v>
      </c>
      <c r="D2101" t="s">
        <v>333</v>
      </c>
      <c r="E2101" s="13" t="s">
        <v>529</v>
      </c>
      <c r="F2101" s="12">
        <v>9</v>
      </c>
      <c r="G2101" s="12">
        <v>505168.85</v>
      </c>
      <c r="H2101" s="35">
        <v>46147.398143344908</v>
      </c>
    </row>
    <row r="2102" spans="2:8" x14ac:dyDescent="0.2">
      <c r="B2102" s="32">
        <v>46081</v>
      </c>
      <c r="C2102" t="s">
        <v>110</v>
      </c>
      <c r="D2102" t="s">
        <v>347</v>
      </c>
      <c r="E2102" s="13" t="s">
        <v>529</v>
      </c>
      <c r="F2102" s="12">
        <v>2</v>
      </c>
      <c r="G2102" s="12">
        <v>33613.449999999997</v>
      </c>
      <c r="H2102" s="35">
        <v>46147.398143344908</v>
      </c>
    </row>
    <row r="2103" spans="2:8" x14ac:dyDescent="0.2">
      <c r="B2103" s="32">
        <v>46081</v>
      </c>
      <c r="C2103" t="s">
        <v>109</v>
      </c>
      <c r="E2103" s="13" t="s">
        <v>529</v>
      </c>
      <c r="F2103" s="12">
        <v>2</v>
      </c>
      <c r="G2103" s="12">
        <v>260504.2</v>
      </c>
      <c r="H2103" s="35">
        <v>46147.398143344908</v>
      </c>
    </row>
    <row r="2104" spans="2:8" x14ac:dyDescent="0.2">
      <c r="B2104" s="32">
        <v>46081</v>
      </c>
      <c r="C2104" t="s">
        <v>109</v>
      </c>
      <c r="D2104" t="s">
        <v>603</v>
      </c>
      <c r="E2104" s="13" t="s">
        <v>529</v>
      </c>
      <c r="F2104" s="12">
        <v>1</v>
      </c>
      <c r="G2104" s="12">
        <v>239495.8</v>
      </c>
      <c r="H2104" s="35">
        <v>46147.398143344908</v>
      </c>
    </row>
    <row r="2105" spans="2:8" x14ac:dyDescent="0.2">
      <c r="B2105" s="32">
        <v>46081</v>
      </c>
      <c r="C2105" t="s">
        <v>109</v>
      </c>
      <c r="D2105" t="s">
        <v>340</v>
      </c>
      <c r="E2105" s="13" t="s">
        <v>530</v>
      </c>
      <c r="F2105" s="12">
        <v>2</v>
      </c>
      <c r="G2105" s="12">
        <v>218487.39</v>
      </c>
      <c r="H2105" s="35">
        <v>46147.398143344908</v>
      </c>
    </row>
    <row r="2106" spans="2:8" x14ac:dyDescent="0.2">
      <c r="B2106" s="32">
        <v>46081</v>
      </c>
      <c r="C2106" t="s">
        <v>109</v>
      </c>
      <c r="D2106" t="s">
        <v>142</v>
      </c>
      <c r="E2106" s="13" t="s">
        <v>529</v>
      </c>
      <c r="F2106" s="12">
        <v>15</v>
      </c>
      <c r="G2106" s="12">
        <v>198739.5</v>
      </c>
      <c r="H2106" s="35">
        <v>46147.398143344908</v>
      </c>
    </row>
    <row r="2107" spans="2:8" x14ac:dyDescent="0.2">
      <c r="B2107" s="32">
        <v>46081</v>
      </c>
      <c r="C2107" t="s">
        <v>109</v>
      </c>
      <c r="D2107" t="s">
        <v>332</v>
      </c>
      <c r="E2107" s="13" t="s">
        <v>530</v>
      </c>
      <c r="F2107" s="12">
        <v>1</v>
      </c>
      <c r="G2107" s="12">
        <v>75630.25</v>
      </c>
      <c r="H2107" s="35">
        <v>46147.398143344908</v>
      </c>
    </row>
    <row r="2108" spans="2:8" x14ac:dyDescent="0.2">
      <c r="B2108" s="32">
        <v>46081</v>
      </c>
      <c r="C2108" t="s">
        <v>109</v>
      </c>
      <c r="D2108" t="s">
        <v>145</v>
      </c>
      <c r="E2108" s="13" t="s">
        <v>529</v>
      </c>
      <c r="F2108" s="12">
        <v>1</v>
      </c>
      <c r="G2108" s="12">
        <v>75630.25</v>
      </c>
      <c r="H2108" s="35">
        <v>46147.398143344908</v>
      </c>
    </row>
    <row r="2109" spans="2:8" x14ac:dyDescent="0.2">
      <c r="B2109" s="32">
        <v>46081</v>
      </c>
      <c r="C2109" t="s">
        <v>109</v>
      </c>
      <c r="D2109" t="s">
        <v>180</v>
      </c>
      <c r="E2109" s="13" t="s">
        <v>529</v>
      </c>
      <c r="F2109" s="12">
        <v>2</v>
      </c>
      <c r="G2109" s="12">
        <v>58823.53</v>
      </c>
      <c r="H2109" s="35">
        <v>46147.398143344908</v>
      </c>
    </row>
    <row r="2110" spans="2:8" x14ac:dyDescent="0.2">
      <c r="B2110" s="32">
        <v>46081</v>
      </c>
      <c r="C2110" t="s">
        <v>109</v>
      </c>
      <c r="D2110" t="s">
        <v>538</v>
      </c>
      <c r="E2110" s="13" t="s">
        <v>529</v>
      </c>
      <c r="F2110" s="12">
        <v>1</v>
      </c>
      <c r="G2110" s="12">
        <v>49000</v>
      </c>
      <c r="H2110" s="35">
        <v>46147.398143344908</v>
      </c>
    </row>
    <row r="2111" spans="2:8" x14ac:dyDescent="0.2">
      <c r="B2111" s="32">
        <v>46082</v>
      </c>
      <c r="C2111" t="s">
        <v>109</v>
      </c>
      <c r="D2111" t="s">
        <v>142</v>
      </c>
      <c r="E2111" s="13" t="s">
        <v>529</v>
      </c>
      <c r="F2111" s="12">
        <v>7</v>
      </c>
      <c r="G2111" s="12">
        <v>113445.37</v>
      </c>
      <c r="H2111" s="35">
        <v>46147.398143344908</v>
      </c>
    </row>
    <row r="2112" spans="2:8" x14ac:dyDescent="0.2">
      <c r="B2112" s="32">
        <v>46082</v>
      </c>
      <c r="C2112" t="s">
        <v>109</v>
      </c>
      <c r="D2112" t="s">
        <v>348</v>
      </c>
      <c r="E2112" s="13" t="s">
        <v>529</v>
      </c>
      <c r="F2112" s="12">
        <v>1</v>
      </c>
      <c r="G2112" s="12">
        <v>75630.25</v>
      </c>
      <c r="H2112" s="35">
        <v>46147.398143344908</v>
      </c>
    </row>
    <row r="2113" spans="2:8" x14ac:dyDescent="0.2">
      <c r="B2113" s="32">
        <v>46082</v>
      </c>
      <c r="C2113" t="s">
        <v>109</v>
      </c>
      <c r="D2113" t="s">
        <v>522</v>
      </c>
      <c r="E2113" s="13" t="s">
        <v>529</v>
      </c>
      <c r="F2113" s="12">
        <v>1</v>
      </c>
      <c r="G2113" s="12">
        <v>58823.53</v>
      </c>
      <c r="H2113" s="35">
        <v>46147.398143344908</v>
      </c>
    </row>
    <row r="2114" spans="2:8" x14ac:dyDescent="0.2">
      <c r="B2114" s="32">
        <v>46082</v>
      </c>
      <c r="C2114" t="s">
        <v>109</v>
      </c>
      <c r="D2114" t="s">
        <v>427</v>
      </c>
      <c r="E2114" s="13" t="s">
        <v>530</v>
      </c>
      <c r="F2114" s="12">
        <v>1</v>
      </c>
      <c r="G2114" s="12">
        <v>54621.85</v>
      </c>
      <c r="H2114" s="35">
        <v>46147.398143344908</v>
      </c>
    </row>
    <row r="2115" spans="2:8" x14ac:dyDescent="0.2">
      <c r="B2115" s="32">
        <v>46082</v>
      </c>
      <c r="C2115" t="s">
        <v>109</v>
      </c>
      <c r="D2115" t="s">
        <v>154</v>
      </c>
      <c r="E2115" s="13" t="s">
        <v>530</v>
      </c>
      <c r="F2115" s="12">
        <v>1</v>
      </c>
      <c r="G2115" s="12">
        <v>46218.49</v>
      </c>
      <c r="H2115" s="35">
        <v>46147.398143344908</v>
      </c>
    </row>
    <row r="2116" spans="2:8" x14ac:dyDescent="0.2">
      <c r="B2116" s="32">
        <v>46082</v>
      </c>
      <c r="C2116" t="s">
        <v>109</v>
      </c>
      <c r="D2116" t="s">
        <v>169</v>
      </c>
      <c r="E2116" s="13" t="s">
        <v>529</v>
      </c>
      <c r="F2116" s="12">
        <v>1</v>
      </c>
      <c r="G2116" s="12">
        <v>29411.759999999998</v>
      </c>
      <c r="H2116" s="35">
        <v>46147.398143344908</v>
      </c>
    </row>
    <row r="2117" spans="2:8" x14ac:dyDescent="0.2">
      <c r="B2117" s="32">
        <v>46083</v>
      </c>
      <c r="C2117" t="s">
        <v>140</v>
      </c>
      <c r="D2117" t="s">
        <v>190</v>
      </c>
      <c r="E2117" s="13" t="s">
        <v>530</v>
      </c>
      <c r="F2117" s="12">
        <v>1</v>
      </c>
      <c r="G2117" s="12">
        <v>75630.25</v>
      </c>
      <c r="H2117" s="35">
        <v>46147.398143344908</v>
      </c>
    </row>
    <row r="2118" spans="2:8" x14ac:dyDescent="0.2">
      <c r="B2118" s="32">
        <v>46083</v>
      </c>
      <c r="C2118" t="s">
        <v>140</v>
      </c>
      <c r="D2118" t="s">
        <v>318</v>
      </c>
      <c r="E2118" s="13" t="s">
        <v>529</v>
      </c>
      <c r="F2118" s="12">
        <v>1</v>
      </c>
      <c r="G2118" s="12">
        <v>63025.21</v>
      </c>
      <c r="H2118" s="35">
        <v>46147.398143344908</v>
      </c>
    </row>
    <row r="2119" spans="2:8" x14ac:dyDescent="0.2">
      <c r="B2119" s="32">
        <v>46083</v>
      </c>
      <c r="C2119" t="s">
        <v>109</v>
      </c>
      <c r="E2119" s="13" t="s">
        <v>529</v>
      </c>
      <c r="F2119" s="12">
        <v>3</v>
      </c>
      <c r="G2119" s="12">
        <v>378151.26</v>
      </c>
      <c r="H2119" s="35">
        <v>46147.398143344908</v>
      </c>
    </row>
    <row r="2120" spans="2:8" x14ac:dyDescent="0.2">
      <c r="B2120" s="32">
        <v>46083</v>
      </c>
      <c r="C2120" t="s">
        <v>109</v>
      </c>
      <c r="D2120" t="s">
        <v>142</v>
      </c>
      <c r="E2120" s="13" t="s">
        <v>529</v>
      </c>
      <c r="F2120" s="12">
        <v>21</v>
      </c>
      <c r="G2120" s="12">
        <v>371428.56</v>
      </c>
      <c r="H2120" s="35">
        <v>46147.398143344908</v>
      </c>
    </row>
    <row r="2121" spans="2:8" x14ac:dyDescent="0.2">
      <c r="B2121" s="32">
        <v>46083</v>
      </c>
      <c r="C2121" t="s">
        <v>109</v>
      </c>
      <c r="D2121" t="s">
        <v>538</v>
      </c>
      <c r="E2121" s="13" t="s">
        <v>529</v>
      </c>
      <c r="F2121" s="12">
        <v>3</v>
      </c>
      <c r="G2121" s="12">
        <v>147000</v>
      </c>
      <c r="H2121" s="35">
        <v>46147.398143344908</v>
      </c>
    </row>
    <row r="2122" spans="2:8" x14ac:dyDescent="0.2">
      <c r="B2122" s="32">
        <v>46083</v>
      </c>
      <c r="C2122" t="s">
        <v>109</v>
      </c>
      <c r="D2122" t="s">
        <v>325</v>
      </c>
      <c r="E2122" s="13"/>
      <c r="F2122" s="12">
        <v>2</v>
      </c>
      <c r="G2122" s="12">
        <v>70000</v>
      </c>
      <c r="H2122" s="35">
        <v>46147.398143344908</v>
      </c>
    </row>
    <row r="2123" spans="2:8" x14ac:dyDescent="0.2">
      <c r="B2123" s="32">
        <v>46083</v>
      </c>
      <c r="C2123" t="s">
        <v>109</v>
      </c>
      <c r="D2123" t="s">
        <v>406</v>
      </c>
      <c r="E2123" s="13" t="s">
        <v>529</v>
      </c>
      <c r="F2123" s="12">
        <v>1</v>
      </c>
      <c r="G2123" s="12">
        <v>54621.85</v>
      </c>
      <c r="H2123" s="35">
        <v>46147.398143344908</v>
      </c>
    </row>
    <row r="2124" spans="2:8" x14ac:dyDescent="0.2">
      <c r="B2124" s="32">
        <v>46083</v>
      </c>
      <c r="C2124" t="s">
        <v>109</v>
      </c>
      <c r="D2124" t="s">
        <v>521</v>
      </c>
      <c r="E2124" s="13" t="s">
        <v>529</v>
      </c>
      <c r="F2124" s="12">
        <v>1</v>
      </c>
      <c r="G2124" s="12">
        <v>54621.85</v>
      </c>
      <c r="H2124" s="35">
        <v>46147.398143344908</v>
      </c>
    </row>
    <row r="2125" spans="2:8" x14ac:dyDescent="0.2">
      <c r="B2125" s="32">
        <v>46083</v>
      </c>
      <c r="C2125" t="s">
        <v>109</v>
      </c>
      <c r="D2125" t="s">
        <v>226</v>
      </c>
      <c r="E2125" s="13" t="s">
        <v>530</v>
      </c>
      <c r="F2125" s="12">
        <v>1</v>
      </c>
      <c r="G2125" s="12">
        <v>54621.85</v>
      </c>
      <c r="H2125" s="35">
        <v>46147.398143344908</v>
      </c>
    </row>
    <row r="2126" spans="2:8" x14ac:dyDescent="0.2">
      <c r="B2126" s="32">
        <v>46083</v>
      </c>
      <c r="C2126" t="s">
        <v>109</v>
      </c>
      <c r="D2126" t="s">
        <v>294</v>
      </c>
      <c r="E2126" s="13" t="s">
        <v>529</v>
      </c>
      <c r="F2126" s="12">
        <v>1</v>
      </c>
      <c r="G2126" s="12">
        <v>50420.17</v>
      </c>
      <c r="H2126" s="35">
        <v>46147.398143344908</v>
      </c>
    </row>
    <row r="2127" spans="2:8" x14ac:dyDescent="0.2">
      <c r="B2127" s="32">
        <v>46083</v>
      </c>
      <c r="C2127" t="s">
        <v>109</v>
      </c>
      <c r="D2127" t="s">
        <v>146</v>
      </c>
      <c r="E2127" s="13" t="s">
        <v>529</v>
      </c>
      <c r="F2127" s="12">
        <v>1</v>
      </c>
      <c r="G2127" s="12">
        <v>37815.129999999997</v>
      </c>
      <c r="H2127" s="35">
        <v>46147.398143344908</v>
      </c>
    </row>
    <row r="2128" spans="2:8" x14ac:dyDescent="0.2">
      <c r="B2128" s="32">
        <v>46084</v>
      </c>
      <c r="C2128" t="s">
        <v>140</v>
      </c>
      <c r="D2128" t="s">
        <v>519</v>
      </c>
      <c r="E2128" s="13"/>
      <c r="F2128" s="12">
        <v>1</v>
      </c>
      <c r="G2128" s="12">
        <v>239495.8</v>
      </c>
      <c r="H2128" s="35">
        <v>46147.398143344908</v>
      </c>
    </row>
    <row r="2129" spans="2:8" x14ac:dyDescent="0.2">
      <c r="B2129" s="32">
        <v>46084</v>
      </c>
      <c r="C2129" t="s">
        <v>140</v>
      </c>
      <c r="D2129" t="s">
        <v>631</v>
      </c>
      <c r="E2129" s="13"/>
      <c r="F2129" s="12">
        <v>1</v>
      </c>
      <c r="G2129" s="12">
        <v>63025.21</v>
      </c>
      <c r="H2129" s="35">
        <v>46147.398143344908</v>
      </c>
    </row>
    <row r="2130" spans="2:8" x14ac:dyDescent="0.2">
      <c r="B2130" s="32">
        <v>46084</v>
      </c>
      <c r="C2130" t="s">
        <v>109</v>
      </c>
      <c r="D2130" t="s">
        <v>142</v>
      </c>
      <c r="E2130" s="13" t="s">
        <v>529</v>
      </c>
      <c r="F2130" s="12">
        <v>7</v>
      </c>
      <c r="G2130" s="12">
        <v>117647.06</v>
      </c>
      <c r="H2130" s="35">
        <v>46147.398143344908</v>
      </c>
    </row>
    <row r="2131" spans="2:8" x14ac:dyDescent="0.2">
      <c r="B2131" s="32">
        <v>46084</v>
      </c>
      <c r="C2131" t="s">
        <v>109</v>
      </c>
      <c r="D2131" t="s">
        <v>432</v>
      </c>
      <c r="E2131" s="13" t="s">
        <v>530</v>
      </c>
      <c r="F2131" s="12">
        <v>1</v>
      </c>
      <c r="G2131" s="12">
        <v>75630.25</v>
      </c>
      <c r="H2131" s="35">
        <v>46147.398143344908</v>
      </c>
    </row>
    <row r="2132" spans="2:8" x14ac:dyDescent="0.2">
      <c r="B2132" s="32">
        <v>46084</v>
      </c>
      <c r="C2132" t="s">
        <v>109</v>
      </c>
      <c r="D2132" t="s">
        <v>474</v>
      </c>
      <c r="E2132" s="13" t="s">
        <v>530</v>
      </c>
      <c r="F2132" s="12">
        <v>1</v>
      </c>
      <c r="G2132" s="12">
        <v>74081.2</v>
      </c>
      <c r="H2132" s="35">
        <v>46147.398143344908</v>
      </c>
    </row>
    <row r="2133" spans="2:8" x14ac:dyDescent="0.2">
      <c r="B2133" s="32">
        <v>46084</v>
      </c>
      <c r="C2133" t="s">
        <v>109</v>
      </c>
      <c r="D2133" t="s">
        <v>193</v>
      </c>
      <c r="E2133" s="13" t="s">
        <v>529</v>
      </c>
      <c r="F2133" s="12">
        <v>1</v>
      </c>
      <c r="G2133" s="12">
        <v>50420.17</v>
      </c>
      <c r="H2133" s="35">
        <v>46147.398143344908</v>
      </c>
    </row>
    <row r="2134" spans="2:8" x14ac:dyDescent="0.2">
      <c r="B2134" s="32">
        <v>46084</v>
      </c>
      <c r="C2134" t="s">
        <v>109</v>
      </c>
      <c r="D2134" t="s">
        <v>195</v>
      </c>
      <c r="E2134" s="13" t="s">
        <v>530</v>
      </c>
      <c r="F2134" s="12">
        <v>1</v>
      </c>
      <c r="G2134" s="12">
        <v>48639.18</v>
      </c>
      <c r="H2134" s="35">
        <v>46147.398143344908</v>
      </c>
    </row>
    <row r="2135" spans="2:8" x14ac:dyDescent="0.2">
      <c r="B2135" s="32">
        <v>46084</v>
      </c>
      <c r="C2135" t="s">
        <v>109</v>
      </c>
      <c r="D2135" t="s">
        <v>142</v>
      </c>
      <c r="E2135" s="13" t="s">
        <v>530</v>
      </c>
      <c r="F2135" s="12">
        <v>1</v>
      </c>
      <c r="G2135" s="12">
        <v>15126.05</v>
      </c>
      <c r="H2135" s="35">
        <v>46147.398143344908</v>
      </c>
    </row>
    <row r="2136" spans="2:8" x14ac:dyDescent="0.2">
      <c r="B2136" s="32">
        <v>46085</v>
      </c>
      <c r="C2136" t="s">
        <v>140</v>
      </c>
      <c r="D2136" t="s">
        <v>459</v>
      </c>
      <c r="E2136" s="13" t="s">
        <v>529</v>
      </c>
      <c r="F2136" s="12">
        <v>2</v>
      </c>
      <c r="G2136" s="12">
        <v>432773.11</v>
      </c>
      <c r="H2136" s="35">
        <v>46147.398143344908</v>
      </c>
    </row>
    <row r="2137" spans="2:8" x14ac:dyDescent="0.2">
      <c r="B2137" s="32">
        <v>46085</v>
      </c>
      <c r="C2137" t="s">
        <v>140</v>
      </c>
      <c r="D2137" t="s">
        <v>143</v>
      </c>
      <c r="E2137" s="13" t="s">
        <v>529</v>
      </c>
      <c r="F2137" s="12">
        <v>4</v>
      </c>
      <c r="G2137" s="12">
        <v>117647.06</v>
      </c>
      <c r="H2137" s="35">
        <v>46147.398143344908</v>
      </c>
    </row>
    <row r="2138" spans="2:8" x14ac:dyDescent="0.2">
      <c r="B2138" s="32">
        <v>46085</v>
      </c>
      <c r="C2138" t="s">
        <v>140</v>
      </c>
      <c r="D2138" t="s">
        <v>237</v>
      </c>
      <c r="E2138" s="13" t="s">
        <v>529</v>
      </c>
      <c r="F2138" s="12">
        <v>2</v>
      </c>
      <c r="G2138" s="12">
        <v>99226.89</v>
      </c>
      <c r="H2138" s="35">
        <v>46147.398143344908</v>
      </c>
    </row>
    <row r="2139" spans="2:8" x14ac:dyDescent="0.2">
      <c r="B2139" s="32">
        <v>46085</v>
      </c>
      <c r="C2139" t="s">
        <v>140</v>
      </c>
      <c r="D2139" t="s">
        <v>146</v>
      </c>
      <c r="E2139" s="13" t="s">
        <v>529</v>
      </c>
      <c r="F2139" s="12">
        <v>1</v>
      </c>
      <c r="G2139" s="12">
        <v>37815.120000000003</v>
      </c>
      <c r="H2139" s="35">
        <v>46147.398143344908</v>
      </c>
    </row>
    <row r="2140" spans="2:8" x14ac:dyDescent="0.2">
      <c r="B2140" s="32">
        <v>46085</v>
      </c>
      <c r="C2140" t="s">
        <v>109</v>
      </c>
      <c r="D2140" t="s">
        <v>618</v>
      </c>
      <c r="E2140" s="13" t="s">
        <v>529</v>
      </c>
      <c r="F2140" s="12">
        <v>1</v>
      </c>
      <c r="G2140" s="12">
        <v>159663.87</v>
      </c>
      <c r="H2140" s="35">
        <v>46147.398143344908</v>
      </c>
    </row>
    <row r="2141" spans="2:8" x14ac:dyDescent="0.2">
      <c r="B2141" s="32">
        <v>46085</v>
      </c>
      <c r="C2141" t="s">
        <v>109</v>
      </c>
      <c r="D2141" t="s">
        <v>146</v>
      </c>
      <c r="E2141" s="13" t="s">
        <v>529</v>
      </c>
      <c r="F2141" s="12">
        <v>3</v>
      </c>
      <c r="G2141" s="12">
        <v>113445.38</v>
      </c>
      <c r="H2141" s="35">
        <v>46147.398143344908</v>
      </c>
    </row>
    <row r="2142" spans="2:8" x14ac:dyDescent="0.2">
      <c r="B2142" s="32">
        <v>46085</v>
      </c>
      <c r="C2142" t="s">
        <v>109</v>
      </c>
      <c r="D2142" t="s">
        <v>477</v>
      </c>
      <c r="E2142" s="13" t="s">
        <v>529</v>
      </c>
      <c r="F2142" s="12">
        <v>1</v>
      </c>
      <c r="G2142" s="12">
        <v>113445.38</v>
      </c>
      <c r="H2142" s="35">
        <v>46147.398143344908</v>
      </c>
    </row>
    <row r="2143" spans="2:8" x14ac:dyDescent="0.2">
      <c r="B2143" s="32">
        <v>46085</v>
      </c>
      <c r="C2143" t="s">
        <v>109</v>
      </c>
      <c r="D2143" t="s">
        <v>326</v>
      </c>
      <c r="E2143" s="13" t="s">
        <v>529</v>
      </c>
      <c r="F2143" s="12">
        <v>3</v>
      </c>
      <c r="G2143" s="12">
        <v>113445.37</v>
      </c>
      <c r="H2143" s="35">
        <v>46147.398143344908</v>
      </c>
    </row>
    <row r="2144" spans="2:8" x14ac:dyDescent="0.2">
      <c r="B2144" s="32">
        <v>46085</v>
      </c>
      <c r="C2144" t="s">
        <v>109</v>
      </c>
      <c r="D2144" t="s">
        <v>162</v>
      </c>
      <c r="E2144" s="13" t="s">
        <v>529</v>
      </c>
      <c r="F2144" s="12">
        <v>1</v>
      </c>
      <c r="G2144" s="12">
        <v>75630.25</v>
      </c>
      <c r="H2144" s="35">
        <v>46147.398143344908</v>
      </c>
    </row>
    <row r="2145" spans="2:8" x14ac:dyDescent="0.2">
      <c r="B2145" s="32">
        <v>46085</v>
      </c>
      <c r="C2145" t="s">
        <v>109</v>
      </c>
      <c r="D2145" t="s">
        <v>142</v>
      </c>
      <c r="E2145" s="13" t="s">
        <v>530</v>
      </c>
      <c r="F2145" s="12">
        <v>4</v>
      </c>
      <c r="G2145" s="12">
        <v>75630.25</v>
      </c>
      <c r="H2145" s="35">
        <v>46147.398143344908</v>
      </c>
    </row>
    <row r="2146" spans="2:8" x14ac:dyDescent="0.2">
      <c r="B2146" s="32">
        <v>46085</v>
      </c>
      <c r="C2146" t="s">
        <v>109</v>
      </c>
      <c r="D2146" t="s">
        <v>142</v>
      </c>
      <c r="E2146" s="13" t="s">
        <v>529</v>
      </c>
      <c r="F2146" s="12">
        <v>4</v>
      </c>
      <c r="G2146" s="12">
        <v>67226.89</v>
      </c>
      <c r="H2146" s="35">
        <v>46147.398143344908</v>
      </c>
    </row>
    <row r="2147" spans="2:8" x14ac:dyDescent="0.2">
      <c r="B2147" s="32">
        <v>46085</v>
      </c>
      <c r="C2147" t="s">
        <v>109</v>
      </c>
      <c r="D2147" t="s">
        <v>142</v>
      </c>
      <c r="E2147" s="13"/>
      <c r="F2147" s="12">
        <v>2</v>
      </c>
      <c r="G2147" s="12">
        <v>33613.449999999997</v>
      </c>
      <c r="H2147" s="35">
        <v>46147.398143344908</v>
      </c>
    </row>
    <row r="2148" spans="2:8" x14ac:dyDescent="0.2">
      <c r="B2148" s="32">
        <v>46085</v>
      </c>
      <c r="C2148" t="s">
        <v>109</v>
      </c>
      <c r="D2148" t="s">
        <v>143</v>
      </c>
      <c r="E2148" s="13" t="s">
        <v>529</v>
      </c>
      <c r="F2148" s="12">
        <v>1</v>
      </c>
      <c r="G2148" s="12">
        <v>29411.759999999998</v>
      </c>
      <c r="H2148" s="35">
        <v>46147.398143344908</v>
      </c>
    </row>
    <row r="2149" spans="2:8" x14ac:dyDescent="0.2">
      <c r="B2149" s="32">
        <v>46086</v>
      </c>
      <c r="C2149" t="s">
        <v>108</v>
      </c>
      <c r="D2149" t="s">
        <v>416</v>
      </c>
      <c r="E2149" s="13" t="s">
        <v>530</v>
      </c>
      <c r="F2149" s="12">
        <v>2500</v>
      </c>
      <c r="G2149" s="12">
        <v>3812500</v>
      </c>
      <c r="H2149" s="35">
        <v>46147.398143344908</v>
      </c>
    </row>
    <row r="2150" spans="2:8" x14ac:dyDescent="0.2">
      <c r="B2150" s="32">
        <v>46086</v>
      </c>
      <c r="C2150" t="s">
        <v>108</v>
      </c>
      <c r="D2150" t="s">
        <v>613</v>
      </c>
      <c r="E2150" s="13" t="s">
        <v>529</v>
      </c>
      <c r="F2150" s="12">
        <v>14</v>
      </c>
      <c r="G2150" s="12">
        <v>1253000</v>
      </c>
      <c r="H2150" s="35">
        <v>46147.398143344908</v>
      </c>
    </row>
    <row r="2151" spans="2:8" x14ac:dyDescent="0.2">
      <c r="B2151" s="32">
        <v>46086</v>
      </c>
      <c r="C2151" t="s">
        <v>108</v>
      </c>
      <c r="D2151" t="s">
        <v>616</v>
      </c>
      <c r="E2151" s="13" t="s">
        <v>529</v>
      </c>
      <c r="F2151" s="12">
        <v>4</v>
      </c>
      <c r="G2151" s="12">
        <v>302521.01</v>
      </c>
      <c r="H2151" s="35">
        <v>46147.398143344908</v>
      </c>
    </row>
    <row r="2152" spans="2:8" x14ac:dyDescent="0.2">
      <c r="B2152" s="32">
        <v>46086</v>
      </c>
      <c r="C2152" t="s">
        <v>108</v>
      </c>
      <c r="D2152" t="s">
        <v>531</v>
      </c>
      <c r="E2152" s="13" t="s">
        <v>529</v>
      </c>
      <c r="F2152" s="12">
        <v>60</v>
      </c>
      <c r="G2152" s="12">
        <v>226890.76</v>
      </c>
      <c r="H2152" s="35">
        <v>46147.398143344908</v>
      </c>
    </row>
    <row r="2153" spans="2:8" x14ac:dyDescent="0.2">
      <c r="B2153" s="32">
        <v>46086</v>
      </c>
      <c r="C2153" t="s">
        <v>108</v>
      </c>
      <c r="D2153" t="s">
        <v>614</v>
      </c>
      <c r="E2153" s="13" t="s">
        <v>529</v>
      </c>
      <c r="F2153" s="12">
        <v>6</v>
      </c>
      <c r="G2153" s="12">
        <v>201680.67</v>
      </c>
      <c r="H2153" s="35">
        <v>46147.398143344908</v>
      </c>
    </row>
    <row r="2154" spans="2:8" x14ac:dyDescent="0.2">
      <c r="B2154" s="32">
        <v>46086</v>
      </c>
      <c r="C2154" t="s">
        <v>108</v>
      </c>
      <c r="D2154" t="s">
        <v>612</v>
      </c>
      <c r="E2154" s="13" t="s">
        <v>529</v>
      </c>
      <c r="F2154" s="12">
        <v>58</v>
      </c>
      <c r="G2154" s="12">
        <v>141344.54</v>
      </c>
      <c r="H2154" s="35">
        <v>46147.398143344908</v>
      </c>
    </row>
    <row r="2155" spans="2:8" x14ac:dyDescent="0.2">
      <c r="B2155" s="32">
        <v>46086</v>
      </c>
      <c r="C2155" t="s">
        <v>108</v>
      </c>
      <c r="D2155" t="s">
        <v>615</v>
      </c>
      <c r="E2155" s="13" t="s">
        <v>529</v>
      </c>
      <c r="F2155" s="12">
        <v>6</v>
      </c>
      <c r="G2155" s="12">
        <v>121008.4</v>
      </c>
      <c r="H2155" s="35">
        <v>46147.398143344908</v>
      </c>
    </row>
    <row r="2156" spans="2:8" x14ac:dyDescent="0.2">
      <c r="B2156" s="32">
        <v>46086</v>
      </c>
      <c r="C2156" t="s">
        <v>108</v>
      </c>
      <c r="D2156" t="s">
        <v>623</v>
      </c>
      <c r="E2156" s="13" t="s">
        <v>529</v>
      </c>
      <c r="F2156" s="12">
        <v>2</v>
      </c>
      <c r="G2156" s="12">
        <v>53243.7</v>
      </c>
      <c r="H2156" s="35">
        <v>46147.398143344908</v>
      </c>
    </row>
    <row r="2157" spans="2:8" x14ac:dyDescent="0.2">
      <c r="B2157" s="32">
        <v>46086</v>
      </c>
      <c r="C2157" t="s">
        <v>109</v>
      </c>
      <c r="D2157" t="s">
        <v>621</v>
      </c>
      <c r="E2157" s="13" t="s">
        <v>529</v>
      </c>
      <c r="F2157" s="12">
        <v>2</v>
      </c>
      <c r="G2157" s="12">
        <v>319327.74</v>
      </c>
      <c r="H2157" s="35">
        <v>46147.398143344908</v>
      </c>
    </row>
    <row r="2158" spans="2:8" x14ac:dyDescent="0.2">
      <c r="B2158" s="32">
        <v>46086</v>
      </c>
      <c r="C2158" t="s">
        <v>109</v>
      </c>
      <c r="D2158" t="s">
        <v>364</v>
      </c>
      <c r="E2158" s="13" t="s">
        <v>529</v>
      </c>
      <c r="F2158" s="12">
        <v>2</v>
      </c>
      <c r="G2158" s="12">
        <v>218487.39</v>
      </c>
      <c r="H2158" s="35">
        <v>46147.398143344908</v>
      </c>
    </row>
    <row r="2159" spans="2:8" x14ac:dyDescent="0.2">
      <c r="B2159" s="32">
        <v>46086</v>
      </c>
      <c r="C2159" t="s">
        <v>109</v>
      </c>
      <c r="D2159" t="s">
        <v>434</v>
      </c>
      <c r="E2159" s="13" t="s">
        <v>530</v>
      </c>
      <c r="F2159" s="12">
        <v>2</v>
      </c>
      <c r="G2159" s="12">
        <v>180672.27</v>
      </c>
      <c r="H2159" s="35">
        <v>46147.398143344908</v>
      </c>
    </row>
    <row r="2160" spans="2:8" x14ac:dyDescent="0.2">
      <c r="B2160" s="32">
        <v>46086</v>
      </c>
      <c r="C2160" t="s">
        <v>109</v>
      </c>
      <c r="D2160" t="s">
        <v>232</v>
      </c>
      <c r="E2160" s="13" t="s">
        <v>529</v>
      </c>
      <c r="F2160" s="12">
        <v>4</v>
      </c>
      <c r="G2160" s="12">
        <v>151260.51</v>
      </c>
      <c r="H2160" s="35">
        <v>46147.398143344908</v>
      </c>
    </row>
    <row r="2161" spans="2:8" x14ac:dyDescent="0.2">
      <c r="B2161" s="32">
        <v>46086</v>
      </c>
      <c r="C2161" t="s">
        <v>109</v>
      </c>
      <c r="D2161" t="s">
        <v>143</v>
      </c>
      <c r="E2161" s="13" t="s">
        <v>529</v>
      </c>
      <c r="F2161" s="12">
        <v>4</v>
      </c>
      <c r="G2161" s="12">
        <v>117647.06</v>
      </c>
      <c r="H2161" s="35">
        <v>46147.398143344908</v>
      </c>
    </row>
    <row r="2162" spans="2:8" x14ac:dyDescent="0.2">
      <c r="B2162" s="32">
        <v>46086</v>
      </c>
      <c r="C2162" t="s">
        <v>109</v>
      </c>
      <c r="D2162" t="s">
        <v>146</v>
      </c>
      <c r="E2162" s="13" t="s">
        <v>529</v>
      </c>
      <c r="F2162" s="12">
        <v>2</v>
      </c>
      <c r="G2162" s="12">
        <v>75630.25</v>
      </c>
      <c r="H2162" s="35">
        <v>46147.398143344908</v>
      </c>
    </row>
    <row r="2163" spans="2:8" x14ac:dyDescent="0.2">
      <c r="B2163" s="32">
        <v>46086</v>
      </c>
      <c r="C2163" t="s">
        <v>109</v>
      </c>
      <c r="D2163" t="s">
        <v>430</v>
      </c>
      <c r="E2163" s="13" t="s">
        <v>530</v>
      </c>
      <c r="F2163" s="12">
        <v>1</v>
      </c>
      <c r="G2163" s="12">
        <v>54621.84</v>
      </c>
      <c r="H2163" s="35">
        <v>46147.398143344908</v>
      </c>
    </row>
    <row r="2164" spans="2:8" x14ac:dyDescent="0.2">
      <c r="B2164" s="32">
        <v>46086</v>
      </c>
      <c r="C2164" t="s">
        <v>109</v>
      </c>
      <c r="D2164" t="s">
        <v>142</v>
      </c>
      <c r="E2164" s="13" t="s">
        <v>529</v>
      </c>
      <c r="F2164" s="12">
        <v>3</v>
      </c>
      <c r="G2164" s="12">
        <v>50420.17</v>
      </c>
      <c r="H2164" s="35">
        <v>46147.398143344908</v>
      </c>
    </row>
    <row r="2165" spans="2:8" x14ac:dyDescent="0.2">
      <c r="B2165" s="32">
        <v>46086</v>
      </c>
      <c r="C2165" t="s">
        <v>109</v>
      </c>
      <c r="D2165" t="s">
        <v>246</v>
      </c>
      <c r="E2165" s="13"/>
      <c r="F2165" s="12">
        <v>1</v>
      </c>
      <c r="G2165" s="12">
        <v>37815.129999999997</v>
      </c>
      <c r="H2165" s="35">
        <v>46147.398143344908</v>
      </c>
    </row>
    <row r="2166" spans="2:8" x14ac:dyDescent="0.2">
      <c r="B2166" s="32">
        <v>46087</v>
      </c>
      <c r="C2166" t="s">
        <v>140</v>
      </c>
      <c r="D2166" t="s">
        <v>462</v>
      </c>
      <c r="E2166" s="13" t="s">
        <v>530</v>
      </c>
      <c r="F2166" s="12">
        <v>1</v>
      </c>
      <c r="G2166" s="12">
        <v>323529.40999999997</v>
      </c>
      <c r="H2166" s="35">
        <v>46147.398143344908</v>
      </c>
    </row>
    <row r="2167" spans="2:8" x14ac:dyDescent="0.2">
      <c r="B2167" s="32">
        <v>46087</v>
      </c>
      <c r="C2167" t="s">
        <v>109</v>
      </c>
      <c r="D2167" t="s">
        <v>436</v>
      </c>
      <c r="E2167" s="13" t="s">
        <v>530</v>
      </c>
      <c r="F2167" s="12">
        <v>1</v>
      </c>
      <c r="G2167" s="12">
        <v>168067.23</v>
      </c>
      <c r="H2167" s="35">
        <v>46147.398143344908</v>
      </c>
    </row>
    <row r="2168" spans="2:8" x14ac:dyDescent="0.2">
      <c r="B2168" s="32">
        <v>46087</v>
      </c>
      <c r="C2168" t="s">
        <v>109</v>
      </c>
      <c r="D2168" t="s">
        <v>325</v>
      </c>
      <c r="E2168" s="13" t="s">
        <v>530</v>
      </c>
      <c r="F2168" s="12">
        <v>4</v>
      </c>
      <c r="G2168" s="12">
        <v>140000</v>
      </c>
      <c r="H2168" s="35">
        <v>46147.398143344908</v>
      </c>
    </row>
    <row r="2169" spans="2:8" x14ac:dyDescent="0.2">
      <c r="B2169" s="32">
        <v>46087</v>
      </c>
      <c r="C2169" t="s">
        <v>109</v>
      </c>
      <c r="D2169" t="s">
        <v>154</v>
      </c>
      <c r="E2169" s="13" t="s">
        <v>529</v>
      </c>
      <c r="F2169" s="12">
        <v>3</v>
      </c>
      <c r="G2169" s="12">
        <v>138655.46</v>
      </c>
      <c r="H2169" s="35">
        <v>46147.398143344908</v>
      </c>
    </row>
    <row r="2170" spans="2:8" x14ac:dyDescent="0.2">
      <c r="B2170" s="32">
        <v>46087</v>
      </c>
      <c r="C2170" t="s">
        <v>109</v>
      </c>
      <c r="D2170" t="s">
        <v>339</v>
      </c>
      <c r="E2170" s="13" t="s">
        <v>530</v>
      </c>
      <c r="F2170" s="12">
        <v>2</v>
      </c>
      <c r="G2170" s="12">
        <v>75630.259999999995</v>
      </c>
      <c r="H2170" s="35">
        <v>46147.398143344908</v>
      </c>
    </row>
    <row r="2171" spans="2:8" x14ac:dyDescent="0.2">
      <c r="B2171" s="32">
        <v>46087</v>
      </c>
      <c r="C2171" t="s">
        <v>109</v>
      </c>
      <c r="D2171" t="s">
        <v>142</v>
      </c>
      <c r="E2171" s="13" t="s">
        <v>529</v>
      </c>
      <c r="F2171" s="12">
        <v>3</v>
      </c>
      <c r="G2171" s="12">
        <v>67226.89</v>
      </c>
      <c r="H2171" s="35">
        <v>46147.398143344908</v>
      </c>
    </row>
    <row r="2172" spans="2:8" x14ac:dyDescent="0.2">
      <c r="B2172" s="32">
        <v>46087</v>
      </c>
      <c r="C2172" t="s">
        <v>109</v>
      </c>
      <c r="D2172" t="s">
        <v>470</v>
      </c>
      <c r="E2172" s="13" t="s">
        <v>530</v>
      </c>
      <c r="F2172" s="12">
        <v>1</v>
      </c>
      <c r="G2172" s="12">
        <v>50420.17</v>
      </c>
      <c r="H2172" s="35">
        <v>46147.398143344908</v>
      </c>
    </row>
    <row r="2173" spans="2:8" x14ac:dyDescent="0.2">
      <c r="B2173" s="32">
        <v>46087</v>
      </c>
      <c r="C2173" t="s">
        <v>109</v>
      </c>
      <c r="D2173" t="s">
        <v>232</v>
      </c>
      <c r="E2173" s="13" t="s">
        <v>529</v>
      </c>
      <c r="F2173" s="12">
        <v>1</v>
      </c>
      <c r="G2173" s="12">
        <v>37815.129999999997</v>
      </c>
      <c r="H2173" s="35">
        <v>46147.398143344908</v>
      </c>
    </row>
    <row r="2174" spans="2:8" x14ac:dyDescent="0.2">
      <c r="B2174" s="32">
        <v>46087</v>
      </c>
      <c r="C2174" t="s">
        <v>109</v>
      </c>
      <c r="D2174" t="s">
        <v>142</v>
      </c>
      <c r="E2174" s="13" t="s">
        <v>530</v>
      </c>
      <c r="F2174" s="12">
        <v>2</v>
      </c>
      <c r="G2174" s="12">
        <v>37815.120000000003</v>
      </c>
      <c r="H2174" s="35">
        <v>46147.398143344908</v>
      </c>
    </row>
    <row r="2175" spans="2:8" x14ac:dyDescent="0.2">
      <c r="B2175" s="32">
        <v>46088</v>
      </c>
      <c r="C2175" t="s">
        <v>140</v>
      </c>
      <c r="D2175" t="s">
        <v>457</v>
      </c>
      <c r="E2175" s="13" t="s">
        <v>530</v>
      </c>
      <c r="F2175" s="12">
        <v>1</v>
      </c>
      <c r="G2175" s="12">
        <v>100840.34</v>
      </c>
      <c r="H2175" s="35">
        <v>46147.398143344908</v>
      </c>
    </row>
    <row r="2176" spans="2:8" x14ac:dyDescent="0.2">
      <c r="B2176" s="32">
        <v>46088</v>
      </c>
      <c r="C2176" t="s">
        <v>109</v>
      </c>
      <c r="D2176" t="s">
        <v>142</v>
      </c>
      <c r="E2176" s="13" t="s">
        <v>529</v>
      </c>
      <c r="F2176" s="12">
        <v>12</v>
      </c>
      <c r="G2176" s="12">
        <v>172268.89</v>
      </c>
      <c r="H2176" s="35">
        <v>46147.398143344908</v>
      </c>
    </row>
    <row r="2177" spans="2:8" x14ac:dyDescent="0.2">
      <c r="B2177" s="32">
        <v>46088</v>
      </c>
      <c r="C2177" t="s">
        <v>109</v>
      </c>
      <c r="E2177" s="13" t="s">
        <v>529</v>
      </c>
      <c r="F2177" s="12">
        <v>1</v>
      </c>
      <c r="G2177" s="12">
        <v>126050.42</v>
      </c>
      <c r="H2177" s="35">
        <v>46147.398143344908</v>
      </c>
    </row>
    <row r="2178" spans="2:8" x14ac:dyDescent="0.2">
      <c r="B2178" s="32">
        <v>46088</v>
      </c>
      <c r="C2178" t="s">
        <v>109</v>
      </c>
      <c r="D2178" t="s">
        <v>167</v>
      </c>
      <c r="E2178" s="13" t="s">
        <v>529</v>
      </c>
      <c r="F2178" s="12">
        <v>1</v>
      </c>
      <c r="G2178" s="12">
        <v>113445.38</v>
      </c>
      <c r="H2178" s="35">
        <v>46147.398143344908</v>
      </c>
    </row>
    <row r="2179" spans="2:8" x14ac:dyDescent="0.2">
      <c r="B2179" s="32">
        <v>46088</v>
      </c>
      <c r="C2179" t="s">
        <v>109</v>
      </c>
      <c r="D2179" t="s">
        <v>326</v>
      </c>
      <c r="E2179" s="13" t="s">
        <v>529</v>
      </c>
      <c r="F2179" s="12">
        <v>2</v>
      </c>
      <c r="G2179" s="12">
        <v>75630.259999999995</v>
      </c>
      <c r="H2179" s="35">
        <v>46147.398143344908</v>
      </c>
    </row>
    <row r="2180" spans="2:8" x14ac:dyDescent="0.2">
      <c r="B2180" s="32">
        <v>46088</v>
      </c>
      <c r="C2180" t="s">
        <v>109</v>
      </c>
      <c r="D2180" t="s">
        <v>407</v>
      </c>
      <c r="E2180" s="13" t="s">
        <v>529</v>
      </c>
      <c r="F2180" s="12">
        <v>1</v>
      </c>
      <c r="G2180" s="12">
        <v>75630.25</v>
      </c>
      <c r="H2180" s="35">
        <v>46147.398143344908</v>
      </c>
    </row>
    <row r="2181" spans="2:8" x14ac:dyDescent="0.2">
      <c r="B2181" s="32">
        <v>46088</v>
      </c>
      <c r="C2181" t="s">
        <v>109</v>
      </c>
      <c r="D2181" t="s">
        <v>320</v>
      </c>
      <c r="E2181" s="13" t="s">
        <v>529</v>
      </c>
      <c r="F2181" s="12">
        <v>2</v>
      </c>
      <c r="G2181" s="12">
        <v>58000</v>
      </c>
      <c r="H2181" s="35">
        <v>46147.398143344908</v>
      </c>
    </row>
    <row r="2182" spans="2:8" x14ac:dyDescent="0.2">
      <c r="B2182" s="32">
        <v>46088</v>
      </c>
      <c r="C2182" t="s">
        <v>109</v>
      </c>
      <c r="D2182" t="s">
        <v>263</v>
      </c>
      <c r="E2182" s="13" t="s">
        <v>529</v>
      </c>
      <c r="F2182" s="12">
        <v>1</v>
      </c>
      <c r="G2182" s="12">
        <v>50420.17</v>
      </c>
      <c r="H2182" s="35">
        <v>46147.398143344908</v>
      </c>
    </row>
    <row r="2183" spans="2:8" x14ac:dyDescent="0.2">
      <c r="B2183" s="32">
        <v>46088</v>
      </c>
      <c r="C2183" t="s">
        <v>109</v>
      </c>
      <c r="D2183" t="s">
        <v>478</v>
      </c>
      <c r="E2183" s="13" t="s">
        <v>530</v>
      </c>
      <c r="F2183" s="12">
        <v>1</v>
      </c>
      <c r="G2183" s="12">
        <v>16806.72</v>
      </c>
      <c r="H2183" s="35">
        <v>46147.398143344908</v>
      </c>
    </row>
    <row r="2184" spans="2:8" x14ac:dyDescent="0.2">
      <c r="B2184" s="32">
        <v>46089</v>
      </c>
      <c r="C2184" t="s">
        <v>140</v>
      </c>
      <c r="D2184" t="s">
        <v>620</v>
      </c>
      <c r="E2184" s="13" t="s">
        <v>529</v>
      </c>
      <c r="F2184" s="12">
        <v>2</v>
      </c>
      <c r="G2184" s="12">
        <v>242857.14</v>
      </c>
      <c r="H2184" s="35">
        <v>46147.398143344908</v>
      </c>
    </row>
    <row r="2185" spans="2:8" x14ac:dyDescent="0.2">
      <c r="B2185" s="32">
        <v>46089</v>
      </c>
      <c r="C2185" t="s">
        <v>140</v>
      </c>
      <c r="D2185" t="s">
        <v>397</v>
      </c>
      <c r="E2185" s="13" t="s">
        <v>530</v>
      </c>
      <c r="F2185" s="12">
        <v>1</v>
      </c>
      <c r="G2185" s="12">
        <v>109243.7</v>
      </c>
      <c r="H2185" s="35">
        <v>46147.398143344908</v>
      </c>
    </row>
    <row r="2186" spans="2:8" x14ac:dyDescent="0.2">
      <c r="B2186" s="32">
        <v>46089</v>
      </c>
      <c r="C2186" t="s">
        <v>140</v>
      </c>
      <c r="D2186" t="s">
        <v>465</v>
      </c>
      <c r="E2186" s="13" t="s">
        <v>529</v>
      </c>
      <c r="F2186" s="12">
        <v>1</v>
      </c>
      <c r="G2186" s="12">
        <v>75630.25</v>
      </c>
      <c r="H2186" s="35">
        <v>46147.398143344908</v>
      </c>
    </row>
    <row r="2187" spans="2:8" x14ac:dyDescent="0.2">
      <c r="B2187" s="32">
        <v>46089</v>
      </c>
      <c r="C2187" t="s">
        <v>140</v>
      </c>
      <c r="D2187" t="s">
        <v>151</v>
      </c>
      <c r="E2187" s="13" t="s">
        <v>529</v>
      </c>
      <c r="F2187" s="12">
        <v>1</v>
      </c>
      <c r="G2187" s="12">
        <v>46218.49</v>
      </c>
      <c r="H2187" s="35">
        <v>46147.398143344908</v>
      </c>
    </row>
    <row r="2188" spans="2:8" x14ac:dyDescent="0.2">
      <c r="B2188" s="32">
        <v>46089</v>
      </c>
      <c r="C2188" t="s">
        <v>109</v>
      </c>
      <c r="D2188" t="s">
        <v>143</v>
      </c>
      <c r="E2188" s="13" t="s">
        <v>529</v>
      </c>
      <c r="F2188" s="12">
        <v>11</v>
      </c>
      <c r="G2188" s="12">
        <v>323529.40999999997</v>
      </c>
      <c r="H2188" s="35">
        <v>46147.398143344908</v>
      </c>
    </row>
    <row r="2189" spans="2:8" x14ac:dyDescent="0.2">
      <c r="B2189" s="32">
        <v>46089</v>
      </c>
      <c r="C2189" t="s">
        <v>109</v>
      </c>
      <c r="E2189" s="13" t="s">
        <v>529</v>
      </c>
      <c r="F2189" s="12">
        <v>2</v>
      </c>
      <c r="G2189" s="12">
        <v>252100.84</v>
      </c>
      <c r="H2189" s="35">
        <v>46147.398143344908</v>
      </c>
    </row>
    <row r="2190" spans="2:8" x14ac:dyDescent="0.2">
      <c r="B2190" s="32">
        <v>46089</v>
      </c>
      <c r="C2190" t="s">
        <v>109</v>
      </c>
      <c r="E2190" s="13" t="s">
        <v>530</v>
      </c>
      <c r="F2190" s="12">
        <v>2</v>
      </c>
      <c r="G2190" s="12">
        <v>252100.84</v>
      </c>
      <c r="H2190" s="35">
        <v>46147.398143344908</v>
      </c>
    </row>
    <row r="2191" spans="2:8" x14ac:dyDescent="0.2">
      <c r="B2191" s="32">
        <v>46089</v>
      </c>
      <c r="C2191" t="s">
        <v>109</v>
      </c>
      <c r="D2191" t="s">
        <v>328</v>
      </c>
      <c r="E2191" s="13" t="s">
        <v>529</v>
      </c>
      <c r="F2191" s="12">
        <v>3</v>
      </c>
      <c r="G2191" s="12">
        <v>113445.38</v>
      </c>
      <c r="H2191" s="35">
        <v>46147.398143344908</v>
      </c>
    </row>
    <row r="2192" spans="2:8" x14ac:dyDescent="0.2">
      <c r="B2192" s="32">
        <v>46089</v>
      </c>
      <c r="C2192" t="s">
        <v>109</v>
      </c>
      <c r="D2192" t="s">
        <v>281</v>
      </c>
      <c r="E2192" s="13" t="s">
        <v>529</v>
      </c>
      <c r="F2192" s="12">
        <v>1</v>
      </c>
      <c r="G2192" s="12">
        <v>109243.7</v>
      </c>
      <c r="H2192" s="35">
        <v>46147.398143344908</v>
      </c>
    </row>
    <row r="2193" spans="2:8" x14ac:dyDescent="0.2">
      <c r="B2193" s="32">
        <v>46089</v>
      </c>
      <c r="C2193" t="s">
        <v>109</v>
      </c>
      <c r="D2193" t="s">
        <v>571</v>
      </c>
      <c r="E2193" s="13" t="s">
        <v>529</v>
      </c>
      <c r="F2193" s="12">
        <v>1</v>
      </c>
      <c r="G2193" s="12">
        <v>98000</v>
      </c>
      <c r="H2193" s="35">
        <v>46147.398143344908</v>
      </c>
    </row>
    <row r="2194" spans="2:8" x14ac:dyDescent="0.2">
      <c r="B2194" s="32">
        <v>46089</v>
      </c>
      <c r="C2194" t="s">
        <v>109</v>
      </c>
      <c r="D2194" t="s">
        <v>146</v>
      </c>
      <c r="E2194" s="13" t="s">
        <v>529</v>
      </c>
      <c r="F2194" s="12">
        <v>2</v>
      </c>
      <c r="G2194" s="12">
        <v>75630.259999999995</v>
      </c>
      <c r="H2194" s="35">
        <v>46147.398143344908</v>
      </c>
    </row>
    <row r="2195" spans="2:8" x14ac:dyDescent="0.2">
      <c r="B2195" s="32">
        <v>46089</v>
      </c>
      <c r="C2195" t="s">
        <v>109</v>
      </c>
      <c r="D2195" t="s">
        <v>142</v>
      </c>
      <c r="E2195" s="13" t="s">
        <v>529</v>
      </c>
      <c r="F2195" s="12">
        <v>3</v>
      </c>
      <c r="G2195" s="12">
        <v>47058.82</v>
      </c>
      <c r="H2195" s="35">
        <v>46147.398143344908</v>
      </c>
    </row>
    <row r="2196" spans="2:8" x14ac:dyDescent="0.2">
      <c r="B2196" s="32">
        <v>46090</v>
      </c>
      <c r="C2196" t="s">
        <v>140</v>
      </c>
      <c r="D2196" t="s">
        <v>626</v>
      </c>
      <c r="E2196" s="13" t="s">
        <v>529</v>
      </c>
      <c r="F2196" s="12">
        <v>2</v>
      </c>
      <c r="G2196" s="12">
        <v>554621.85</v>
      </c>
      <c r="H2196" s="35">
        <v>46147.398143344908</v>
      </c>
    </row>
    <row r="2197" spans="2:8" x14ac:dyDescent="0.2">
      <c r="B2197" s="32">
        <v>46090</v>
      </c>
      <c r="C2197" t="s">
        <v>140</v>
      </c>
      <c r="D2197" t="s">
        <v>232</v>
      </c>
      <c r="E2197" s="13" t="s">
        <v>530</v>
      </c>
      <c r="F2197" s="12">
        <v>2</v>
      </c>
      <c r="G2197" s="12">
        <v>75630.25</v>
      </c>
      <c r="H2197" s="35">
        <v>46147.398143344908</v>
      </c>
    </row>
    <row r="2198" spans="2:8" x14ac:dyDescent="0.2">
      <c r="B2198" s="32">
        <v>46090</v>
      </c>
      <c r="C2198" t="s">
        <v>110</v>
      </c>
      <c r="D2198" t="s">
        <v>164</v>
      </c>
      <c r="E2198" s="13" t="s">
        <v>529</v>
      </c>
      <c r="F2198" s="12">
        <v>2</v>
      </c>
      <c r="G2198" s="12">
        <v>75187.960000000006</v>
      </c>
      <c r="H2198" s="35">
        <v>46147.398143344908</v>
      </c>
    </row>
    <row r="2199" spans="2:8" x14ac:dyDescent="0.2">
      <c r="B2199" s="32">
        <v>46090</v>
      </c>
      <c r="C2199" t="s">
        <v>109</v>
      </c>
      <c r="D2199" t="s">
        <v>253</v>
      </c>
      <c r="E2199" s="13" t="s">
        <v>529</v>
      </c>
      <c r="F2199" s="12">
        <v>2</v>
      </c>
      <c r="G2199" s="12">
        <v>277310.93</v>
      </c>
      <c r="H2199" s="35">
        <v>46147.398143344908</v>
      </c>
    </row>
    <row r="2200" spans="2:8" x14ac:dyDescent="0.2">
      <c r="B2200" s="32">
        <v>46090</v>
      </c>
      <c r="C2200" t="s">
        <v>109</v>
      </c>
      <c r="D2200" t="s">
        <v>146</v>
      </c>
      <c r="E2200" s="13" t="s">
        <v>529</v>
      </c>
      <c r="F2200" s="12">
        <v>2</v>
      </c>
      <c r="G2200" s="12">
        <v>75630.259999999995</v>
      </c>
      <c r="H2200" s="35">
        <v>46147.398143344908</v>
      </c>
    </row>
    <row r="2201" spans="2:8" x14ac:dyDescent="0.2">
      <c r="B2201" s="32">
        <v>46091</v>
      </c>
      <c r="C2201" t="s">
        <v>140</v>
      </c>
      <c r="D2201" t="s">
        <v>433</v>
      </c>
      <c r="E2201" s="13" t="s">
        <v>530</v>
      </c>
      <c r="F2201" s="12">
        <v>2</v>
      </c>
      <c r="G2201" s="12">
        <v>226890.76</v>
      </c>
      <c r="H2201" s="35">
        <v>46147.398143344908</v>
      </c>
    </row>
    <row r="2202" spans="2:8" x14ac:dyDescent="0.2">
      <c r="B2202" s="32">
        <v>46091</v>
      </c>
      <c r="C2202" t="s">
        <v>140</v>
      </c>
      <c r="D2202" t="s">
        <v>231</v>
      </c>
      <c r="E2202" s="13" t="s">
        <v>530</v>
      </c>
      <c r="F2202" s="12">
        <v>1</v>
      </c>
      <c r="G2202" s="12">
        <v>63025.21</v>
      </c>
      <c r="H2202" s="35">
        <v>46147.398143344908</v>
      </c>
    </row>
    <row r="2203" spans="2:8" x14ac:dyDescent="0.2">
      <c r="B2203" s="32">
        <v>46092</v>
      </c>
      <c r="C2203" t="s">
        <v>108</v>
      </c>
      <c r="D2203" t="s">
        <v>417</v>
      </c>
      <c r="E2203" s="13" t="s">
        <v>530</v>
      </c>
      <c r="F2203" s="12">
        <v>200</v>
      </c>
      <c r="G2203" s="12">
        <v>11344537.82</v>
      </c>
      <c r="H2203" s="35">
        <v>46147.398143344908</v>
      </c>
    </row>
    <row r="2204" spans="2:8" x14ac:dyDescent="0.2">
      <c r="B2204" s="32">
        <v>46092</v>
      </c>
      <c r="C2204" t="s">
        <v>108</v>
      </c>
      <c r="D2204" t="s">
        <v>418</v>
      </c>
      <c r="E2204" s="13" t="s">
        <v>530</v>
      </c>
      <c r="F2204" s="12">
        <v>200</v>
      </c>
      <c r="G2204" s="12">
        <v>11344537.810000001</v>
      </c>
      <c r="H2204" s="35">
        <v>46147.398143344908</v>
      </c>
    </row>
    <row r="2205" spans="2:8" x14ac:dyDescent="0.2">
      <c r="B2205" s="32">
        <v>46092</v>
      </c>
      <c r="C2205" t="s">
        <v>108</v>
      </c>
      <c r="D2205" t="s">
        <v>199</v>
      </c>
      <c r="E2205" s="13" t="s">
        <v>530</v>
      </c>
      <c r="F2205" s="12">
        <v>200</v>
      </c>
      <c r="G2205" s="12">
        <v>630252.1</v>
      </c>
      <c r="H2205" s="35">
        <v>46147.398143344908</v>
      </c>
    </row>
    <row r="2206" spans="2:8" x14ac:dyDescent="0.2">
      <c r="B2206" s="32">
        <v>46092</v>
      </c>
      <c r="C2206" t="s">
        <v>140</v>
      </c>
      <c r="D2206" t="s">
        <v>464</v>
      </c>
      <c r="E2206" s="13" t="s">
        <v>529</v>
      </c>
      <c r="F2206" s="12">
        <v>1</v>
      </c>
      <c r="G2206" s="12">
        <v>63025.21</v>
      </c>
      <c r="H2206" s="35">
        <v>46147.398143344908</v>
      </c>
    </row>
    <row r="2207" spans="2:8" x14ac:dyDescent="0.2">
      <c r="B2207" s="32">
        <v>46092</v>
      </c>
      <c r="C2207" t="s">
        <v>140</v>
      </c>
      <c r="D2207" t="s">
        <v>628</v>
      </c>
      <c r="E2207" s="13" t="s">
        <v>529</v>
      </c>
      <c r="F2207" s="12">
        <v>1</v>
      </c>
      <c r="G2207" s="12">
        <v>50420.17</v>
      </c>
      <c r="H2207" s="35">
        <v>46147.398143344908</v>
      </c>
    </row>
    <row r="2208" spans="2:8" x14ac:dyDescent="0.2">
      <c r="B2208" s="32">
        <v>46092</v>
      </c>
      <c r="C2208" t="s">
        <v>109</v>
      </c>
      <c r="D2208" t="s">
        <v>142</v>
      </c>
      <c r="E2208" s="13" t="s">
        <v>530</v>
      </c>
      <c r="F2208" s="12">
        <v>5</v>
      </c>
      <c r="G2208" s="12">
        <v>109243.71</v>
      </c>
      <c r="H2208" s="35">
        <v>46147.398143344908</v>
      </c>
    </row>
    <row r="2209" spans="2:8" x14ac:dyDescent="0.2">
      <c r="B2209" s="32">
        <v>46092</v>
      </c>
      <c r="C2209" t="s">
        <v>109</v>
      </c>
      <c r="D2209" t="s">
        <v>166</v>
      </c>
      <c r="E2209" s="13" t="s">
        <v>529</v>
      </c>
      <c r="F2209" s="12">
        <v>2</v>
      </c>
      <c r="G2209" s="12">
        <v>92436.98</v>
      </c>
      <c r="H2209" s="35">
        <v>46147.398143344908</v>
      </c>
    </row>
    <row r="2210" spans="2:8" x14ac:dyDescent="0.2">
      <c r="B2210" s="32">
        <v>46092</v>
      </c>
      <c r="C2210" t="s">
        <v>109</v>
      </c>
      <c r="D2210" t="s">
        <v>143</v>
      </c>
      <c r="E2210" s="13" t="s">
        <v>529</v>
      </c>
      <c r="F2210" s="12">
        <v>3</v>
      </c>
      <c r="G2210" s="12">
        <v>88235.28</v>
      </c>
      <c r="H2210" s="35">
        <v>46147.398143344908</v>
      </c>
    </row>
    <row r="2211" spans="2:8" x14ac:dyDescent="0.2">
      <c r="B2211" s="32">
        <v>46092</v>
      </c>
      <c r="C2211" t="s">
        <v>109</v>
      </c>
      <c r="D2211" t="s">
        <v>594</v>
      </c>
      <c r="E2211" s="13" t="s">
        <v>529</v>
      </c>
      <c r="F2211" s="12">
        <v>1</v>
      </c>
      <c r="G2211" s="12">
        <v>84033.61</v>
      </c>
      <c r="H2211" s="35">
        <v>46147.398143344908</v>
      </c>
    </row>
    <row r="2212" spans="2:8" x14ac:dyDescent="0.2">
      <c r="B2212" s="32">
        <v>46092</v>
      </c>
      <c r="C2212" t="s">
        <v>109</v>
      </c>
      <c r="D2212" t="s">
        <v>483</v>
      </c>
      <c r="E2212" s="13" t="s">
        <v>530</v>
      </c>
      <c r="F2212" s="12">
        <v>1</v>
      </c>
      <c r="G2212" s="12">
        <v>63025.21</v>
      </c>
      <c r="H2212" s="35">
        <v>46147.398143344908</v>
      </c>
    </row>
    <row r="2213" spans="2:8" x14ac:dyDescent="0.2">
      <c r="B2213" s="32">
        <v>46092</v>
      </c>
      <c r="C2213" t="s">
        <v>109</v>
      </c>
      <c r="D2213" t="s">
        <v>464</v>
      </c>
      <c r="E2213" s="13" t="s">
        <v>529</v>
      </c>
      <c r="F2213" s="12">
        <v>1</v>
      </c>
      <c r="G2213" s="12">
        <v>63025.21</v>
      </c>
      <c r="H2213" s="35">
        <v>46147.398143344908</v>
      </c>
    </row>
    <row r="2214" spans="2:8" x14ac:dyDescent="0.2">
      <c r="B2214" s="32">
        <v>46092</v>
      </c>
      <c r="C2214" t="s">
        <v>109</v>
      </c>
      <c r="D2214" t="s">
        <v>334</v>
      </c>
      <c r="E2214" s="13" t="s">
        <v>529</v>
      </c>
      <c r="F2214" s="12">
        <v>1</v>
      </c>
      <c r="G2214" s="12">
        <v>50420.17</v>
      </c>
      <c r="H2214" s="35">
        <v>46147.398143344908</v>
      </c>
    </row>
    <row r="2215" spans="2:8" x14ac:dyDescent="0.2">
      <c r="B2215" s="32">
        <v>46092</v>
      </c>
      <c r="C2215" t="s">
        <v>109</v>
      </c>
      <c r="D2215" t="s">
        <v>239</v>
      </c>
      <c r="E2215" s="13" t="s">
        <v>529</v>
      </c>
      <c r="F2215" s="12">
        <v>1</v>
      </c>
      <c r="G2215" s="12">
        <v>46218.49</v>
      </c>
      <c r="H2215" s="35">
        <v>46147.398143344908</v>
      </c>
    </row>
    <row r="2216" spans="2:8" x14ac:dyDescent="0.2">
      <c r="B2216" s="32">
        <v>46092</v>
      </c>
      <c r="C2216" t="s">
        <v>109</v>
      </c>
      <c r="D2216" t="s">
        <v>232</v>
      </c>
      <c r="E2216" s="13" t="s">
        <v>529</v>
      </c>
      <c r="F2216" s="12">
        <v>1</v>
      </c>
      <c r="G2216" s="12">
        <v>37815.129999999997</v>
      </c>
      <c r="H2216" s="35">
        <v>46147.398143344908</v>
      </c>
    </row>
    <row r="2217" spans="2:8" x14ac:dyDescent="0.2">
      <c r="B2217" s="32">
        <v>46092</v>
      </c>
      <c r="C2217" t="s">
        <v>109</v>
      </c>
      <c r="D2217" t="s">
        <v>146</v>
      </c>
      <c r="E2217" s="13" t="s">
        <v>529</v>
      </c>
      <c r="F2217" s="12">
        <v>1</v>
      </c>
      <c r="G2217" s="12">
        <v>37815.129999999997</v>
      </c>
      <c r="H2217" s="35">
        <v>46147.398143344908</v>
      </c>
    </row>
    <row r="2218" spans="2:8" x14ac:dyDescent="0.2">
      <c r="B2218" s="32">
        <v>46092</v>
      </c>
      <c r="C2218" t="s">
        <v>109</v>
      </c>
      <c r="D2218" t="s">
        <v>142</v>
      </c>
      <c r="E2218" s="13" t="s">
        <v>529</v>
      </c>
      <c r="F2218" s="12">
        <v>2</v>
      </c>
      <c r="G2218" s="12">
        <v>21008.400000000001</v>
      </c>
      <c r="H2218" s="35">
        <v>46147.398143344908</v>
      </c>
    </row>
    <row r="2219" spans="2:8" x14ac:dyDescent="0.2">
      <c r="B2219" s="32">
        <v>46092</v>
      </c>
      <c r="C2219" t="s">
        <v>109</v>
      </c>
      <c r="D2219" t="s">
        <v>331</v>
      </c>
      <c r="E2219" s="13" t="s">
        <v>530</v>
      </c>
      <c r="F2219" s="12">
        <v>1</v>
      </c>
      <c r="G2219" s="12">
        <v>16806.72</v>
      </c>
      <c r="H2219" s="35">
        <v>46147.398143344908</v>
      </c>
    </row>
    <row r="2220" spans="2:8" x14ac:dyDescent="0.2">
      <c r="B2220" s="32">
        <v>46093</v>
      </c>
      <c r="C2220" t="s">
        <v>108</v>
      </c>
      <c r="D2220" t="s">
        <v>616</v>
      </c>
      <c r="E2220" s="13" t="s">
        <v>529</v>
      </c>
      <c r="F2220" s="12">
        <v>5</v>
      </c>
      <c r="G2220" s="12">
        <v>378151.26</v>
      </c>
      <c r="H2220" s="35">
        <v>46147.398143344908</v>
      </c>
    </row>
    <row r="2221" spans="2:8" x14ac:dyDescent="0.2">
      <c r="B2221" s="32">
        <v>46093</v>
      </c>
      <c r="C2221" t="s">
        <v>108</v>
      </c>
      <c r="D2221" t="s">
        <v>531</v>
      </c>
      <c r="E2221" s="13" t="s">
        <v>529</v>
      </c>
      <c r="F2221" s="12">
        <v>60</v>
      </c>
      <c r="G2221" s="12">
        <v>226890.76</v>
      </c>
      <c r="H2221" s="35">
        <v>46147.398143344908</v>
      </c>
    </row>
    <row r="2222" spans="2:8" x14ac:dyDescent="0.2">
      <c r="B2222" s="32">
        <v>46093</v>
      </c>
      <c r="C2222" t="s">
        <v>108</v>
      </c>
      <c r="D2222" t="s">
        <v>614</v>
      </c>
      <c r="E2222" s="13" t="s">
        <v>529</v>
      </c>
      <c r="F2222" s="12">
        <v>6</v>
      </c>
      <c r="G2222" s="12">
        <v>201680.67</v>
      </c>
      <c r="H2222" s="35">
        <v>46147.398143344908</v>
      </c>
    </row>
    <row r="2223" spans="2:8" x14ac:dyDescent="0.2">
      <c r="B2223" s="32">
        <v>46093</v>
      </c>
      <c r="C2223" t="s">
        <v>108</v>
      </c>
      <c r="D2223" t="s">
        <v>615</v>
      </c>
      <c r="E2223" s="13" t="s">
        <v>529</v>
      </c>
      <c r="F2223" s="12">
        <v>5</v>
      </c>
      <c r="G2223" s="12">
        <v>110924.37</v>
      </c>
      <c r="H2223" s="35">
        <v>46147.398143344908</v>
      </c>
    </row>
    <row r="2224" spans="2:8" x14ac:dyDescent="0.2">
      <c r="B2224" s="32">
        <v>46093</v>
      </c>
      <c r="C2224" t="s">
        <v>140</v>
      </c>
      <c r="D2224" t="s">
        <v>173</v>
      </c>
      <c r="E2224" s="13" t="s">
        <v>529</v>
      </c>
      <c r="F2224" s="12">
        <v>1</v>
      </c>
      <c r="G2224" s="12">
        <v>92436.97</v>
      </c>
      <c r="H2224" s="35">
        <v>46147.398143344908</v>
      </c>
    </row>
    <row r="2225" spans="2:8" x14ac:dyDescent="0.2">
      <c r="B2225" s="32">
        <v>46093</v>
      </c>
      <c r="C2225" t="s">
        <v>140</v>
      </c>
      <c r="D2225" t="s">
        <v>145</v>
      </c>
      <c r="E2225" s="13" t="s">
        <v>530</v>
      </c>
      <c r="F2225" s="12">
        <v>1</v>
      </c>
      <c r="G2225" s="12">
        <v>75630.25</v>
      </c>
      <c r="H2225" s="35">
        <v>46147.398143344908</v>
      </c>
    </row>
    <row r="2226" spans="2:8" x14ac:dyDescent="0.2">
      <c r="B2226" s="32">
        <v>46093</v>
      </c>
      <c r="C2226" t="s">
        <v>140</v>
      </c>
      <c r="D2226" t="s">
        <v>285</v>
      </c>
      <c r="E2226" s="13" t="s">
        <v>530</v>
      </c>
      <c r="F2226" s="12">
        <v>1</v>
      </c>
      <c r="G2226" s="12">
        <v>63025.21</v>
      </c>
      <c r="H2226" s="35">
        <v>46147.398143344908</v>
      </c>
    </row>
    <row r="2227" spans="2:8" x14ac:dyDescent="0.2">
      <c r="B2227" s="32">
        <v>46093</v>
      </c>
      <c r="C2227" t="s">
        <v>140</v>
      </c>
      <c r="D2227" t="s">
        <v>238</v>
      </c>
      <c r="E2227" s="13" t="s">
        <v>529</v>
      </c>
      <c r="F2227" s="12">
        <v>1</v>
      </c>
      <c r="G2227" s="12">
        <v>46218.49</v>
      </c>
      <c r="H2227" s="35">
        <v>46147.398143344908</v>
      </c>
    </row>
    <row r="2228" spans="2:8" x14ac:dyDescent="0.2">
      <c r="B2228" s="32">
        <v>46093</v>
      </c>
      <c r="C2228" t="s">
        <v>140</v>
      </c>
      <c r="D2228" t="s">
        <v>201</v>
      </c>
      <c r="E2228" s="13" t="s">
        <v>530</v>
      </c>
      <c r="F2228" s="12">
        <v>1</v>
      </c>
      <c r="G2228" s="12">
        <v>42016.81</v>
      </c>
      <c r="H2228" s="35">
        <v>46147.398143344908</v>
      </c>
    </row>
    <row r="2229" spans="2:8" x14ac:dyDescent="0.2">
      <c r="B2229" s="32">
        <v>46093</v>
      </c>
      <c r="C2229" t="s">
        <v>109</v>
      </c>
      <c r="D2229" t="s">
        <v>151</v>
      </c>
      <c r="E2229" s="13" t="s">
        <v>529</v>
      </c>
      <c r="F2229" s="12">
        <v>5</v>
      </c>
      <c r="G2229" s="12">
        <v>231092.43</v>
      </c>
      <c r="H2229" s="35">
        <v>46147.398143344908</v>
      </c>
    </row>
    <row r="2230" spans="2:8" x14ac:dyDescent="0.2">
      <c r="B2230" s="32">
        <v>46093</v>
      </c>
      <c r="C2230" t="s">
        <v>109</v>
      </c>
      <c r="D2230" t="s">
        <v>154</v>
      </c>
      <c r="E2230" s="13" t="s">
        <v>530</v>
      </c>
      <c r="F2230" s="12">
        <v>4</v>
      </c>
      <c r="G2230" s="12">
        <v>184873.95</v>
      </c>
      <c r="H2230" s="35">
        <v>46147.398143344908</v>
      </c>
    </row>
    <row r="2231" spans="2:8" x14ac:dyDescent="0.2">
      <c r="B2231" s="32">
        <v>46093</v>
      </c>
      <c r="C2231" t="s">
        <v>109</v>
      </c>
      <c r="D2231" t="s">
        <v>155</v>
      </c>
      <c r="E2231" s="13" t="s">
        <v>530</v>
      </c>
      <c r="F2231" s="12">
        <v>2</v>
      </c>
      <c r="G2231" s="12">
        <v>168067.23</v>
      </c>
      <c r="H2231" s="35">
        <v>46147.398143344908</v>
      </c>
    </row>
    <row r="2232" spans="2:8" x14ac:dyDescent="0.2">
      <c r="B2232" s="32">
        <v>46093</v>
      </c>
      <c r="C2232" t="s">
        <v>109</v>
      </c>
      <c r="D2232" t="s">
        <v>471</v>
      </c>
      <c r="E2232" s="13" t="s">
        <v>530</v>
      </c>
      <c r="F2232" s="12">
        <v>1</v>
      </c>
      <c r="G2232" s="12">
        <v>159663.87</v>
      </c>
      <c r="H2232" s="35">
        <v>46147.398143344908</v>
      </c>
    </row>
    <row r="2233" spans="2:8" x14ac:dyDescent="0.2">
      <c r="B2233" s="32">
        <v>46093</v>
      </c>
      <c r="C2233" t="s">
        <v>109</v>
      </c>
      <c r="D2233" t="s">
        <v>391</v>
      </c>
      <c r="E2233" s="13" t="s">
        <v>529</v>
      </c>
      <c r="F2233" s="12">
        <v>2</v>
      </c>
      <c r="G2233" s="12">
        <v>100840.34</v>
      </c>
      <c r="H2233" s="35">
        <v>46147.398143344908</v>
      </c>
    </row>
    <row r="2234" spans="2:8" x14ac:dyDescent="0.2">
      <c r="B2234" s="32">
        <v>46093</v>
      </c>
      <c r="C2234" t="s">
        <v>109</v>
      </c>
      <c r="D2234" t="s">
        <v>238</v>
      </c>
      <c r="E2234" s="13" t="s">
        <v>529</v>
      </c>
      <c r="F2234" s="12">
        <v>2</v>
      </c>
      <c r="G2234" s="12">
        <v>92436.98</v>
      </c>
      <c r="H2234" s="35">
        <v>46147.398143344908</v>
      </c>
    </row>
    <row r="2235" spans="2:8" x14ac:dyDescent="0.2">
      <c r="B2235" s="32">
        <v>46093</v>
      </c>
      <c r="C2235" t="s">
        <v>109</v>
      </c>
      <c r="D2235" t="s">
        <v>326</v>
      </c>
      <c r="E2235" s="13" t="s">
        <v>529</v>
      </c>
      <c r="F2235" s="12">
        <v>2</v>
      </c>
      <c r="G2235" s="12">
        <v>75630.240000000005</v>
      </c>
      <c r="H2235" s="35">
        <v>46147.398143344908</v>
      </c>
    </row>
    <row r="2236" spans="2:8" x14ac:dyDescent="0.2">
      <c r="B2236" s="32">
        <v>46093</v>
      </c>
      <c r="C2236" t="s">
        <v>109</v>
      </c>
      <c r="D2236" t="s">
        <v>252</v>
      </c>
      <c r="E2236" s="13" t="s">
        <v>530</v>
      </c>
      <c r="F2236" s="12">
        <v>1</v>
      </c>
      <c r="G2236" s="12">
        <v>54621.85</v>
      </c>
      <c r="H2236" s="35">
        <v>46147.398143344908</v>
      </c>
    </row>
    <row r="2237" spans="2:8" x14ac:dyDescent="0.2">
      <c r="B2237" s="32">
        <v>46093</v>
      </c>
      <c r="C2237" t="s">
        <v>109</v>
      </c>
      <c r="D2237" t="s">
        <v>427</v>
      </c>
      <c r="E2237" s="13" t="s">
        <v>530</v>
      </c>
      <c r="F2237" s="12">
        <v>1</v>
      </c>
      <c r="G2237" s="12">
        <v>54621.84</v>
      </c>
      <c r="H2237" s="35">
        <v>46147.398143344908</v>
      </c>
    </row>
    <row r="2238" spans="2:8" x14ac:dyDescent="0.2">
      <c r="B2238" s="32">
        <v>46093</v>
      </c>
      <c r="C2238" t="s">
        <v>109</v>
      </c>
      <c r="D2238" t="s">
        <v>622</v>
      </c>
      <c r="E2238" s="13" t="s">
        <v>529</v>
      </c>
      <c r="F2238" s="12">
        <v>1</v>
      </c>
      <c r="G2238" s="12">
        <v>50420.17</v>
      </c>
      <c r="H2238" s="35">
        <v>46147.398143344908</v>
      </c>
    </row>
    <row r="2239" spans="2:8" x14ac:dyDescent="0.2">
      <c r="B2239" s="32">
        <v>46093</v>
      </c>
      <c r="C2239" t="s">
        <v>109</v>
      </c>
      <c r="D2239" t="s">
        <v>239</v>
      </c>
      <c r="E2239" s="13" t="s">
        <v>529</v>
      </c>
      <c r="F2239" s="12">
        <v>1</v>
      </c>
      <c r="G2239" s="12">
        <v>46218.49</v>
      </c>
      <c r="H2239" s="35">
        <v>46147.398143344908</v>
      </c>
    </row>
    <row r="2240" spans="2:8" x14ac:dyDescent="0.2">
      <c r="B2240" s="32">
        <v>46093</v>
      </c>
      <c r="C2240" t="s">
        <v>109</v>
      </c>
      <c r="D2240" t="s">
        <v>164</v>
      </c>
      <c r="E2240" s="13" t="s">
        <v>530</v>
      </c>
      <c r="F2240" s="12">
        <v>1</v>
      </c>
      <c r="G2240" s="12">
        <v>42016.81</v>
      </c>
      <c r="H2240" s="35">
        <v>46147.398143344908</v>
      </c>
    </row>
    <row r="2241" spans="2:8" x14ac:dyDescent="0.2">
      <c r="B2241" s="32">
        <v>46093</v>
      </c>
      <c r="C2241" t="s">
        <v>109</v>
      </c>
      <c r="D2241" t="s">
        <v>146</v>
      </c>
      <c r="E2241" s="13" t="s">
        <v>529</v>
      </c>
      <c r="F2241" s="12">
        <v>1</v>
      </c>
      <c r="G2241" s="12">
        <v>37815.129999999997</v>
      </c>
      <c r="H2241" s="35">
        <v>46147.398143344908</v>
      </c>
    </row>
    <row r="2242" spans="2:8" x14ac:dyDescent="0.2">
      <c r="B2242" s="32">
        <v>46093</v>
      </c>
      <c r="C2242" t="s">
        <v>109</v>
      </c>
      <c r="D2242" t="s">
        <v>142</v>
      </c>
      <c r="E2242" s="13" t="s">
        <v>530</v>
      </c>
      <c r="F2242" s="12">
        <v>2</v>
      </c>
      <c r="G2242" s="12">
        <v>29411.759999999998</v>
      </c>
      <c r="H2242" s="35">
        <v>46147.398143344908</v>
      </c>
    </row>
    <row r="2243" spans="2:8" x14ac:dyDescent="0.2">
      <c r="B2243" s="32">
        <v>46094</v>
      </c>
      <c r="C2243" t="s">
        <v>140</v>
      </c>
      <c r="D2243" t="s">
        <v>438</v>
      </c>
      <c r="E2243" s="13" t="s">
        <v>530</v>
      </c>
      <c r="F2243" s="12">
        <v>1</v>
      </c>
      <c r="G2243" s="12">
        <v>277310.92</v>
      </c>
      <c r="H2243" s="35">
        <v>46147.398143344908</v>
      </c>
    </row>
    <row r="2244" spans="2:8" x14ac:dyDescent="0.2">
      <c r="B2244" s="32">
        <v>46094</v>
      </c>
      <c r="C2244" t="s">
        <v>109</v>
      </c>
      <c r="D2244" t="s">
        <v>142</v>
      </c>
      <c r="E2244" s="13" t="s">
        <v>529</v>
      </c>
      <c r="F2244" s="12">
        <v>3</v>
      </c>
      <c r="G2244" s="12">
        <v>142857.15</v>
      </c>
      <c r="H2244" s="35">
        <v>46147.398143344908</v>
      </c>
    </row>
    <row r="2245" spans="2:8" x14ac:dyDescent="0.2">
      <c r="B2245" s="32">
        <v>46094</v>
      </c>
      <c r="C2245" t="s">
        <v>109</v>
      </c>
      <c r="D2245" t="s">
        <v>210</v>
      </c>
      <c r="E2245" s="13" t="s">
        <v>529</v>
      </c>
      <c r="F2245" s="12">
        <v>2</v>
      </c>
      <c r="G2245" s="12">
        <v>117647.06</v>
      </c>
      <c r="H2245" s="35">
        <v>46147.398143344908</v>
      </c>
    </row>
    <row r="2246" spans="2:8" x14ac:dyDescent="0.2">
      <c r="B2246" s="32">
        <v>46094</v>
      </c>
      <c r="C2246" t="s">
        <v>109</v>
      </c>
      <c r="D2246" t="s">
        <v>379</v>
      </c>
      <c r="E2246" s="13" t="s">
        <v>529</v>
      </c>
      <c r="F2246" s="12">
        <v>1</v>
      </c>
      <c r="G2246" s="12">
        <v>84033.61</v>
      </c>
      <c r="H2246" s="35">
        <v>46147.398143344908</v>
      </c>
    </row>
    <row r="2247" spans="2:8" x14ac:dyDescent="0.2">
      <c r="B2247" s="32">
        <v>46094</v>
      </c>
      <c r="C2247" t="s">
        <v>109</v>
      </c>
      <c r="D2247" t="s">
        <v>191</v>
      </c>
      <c r="E2247" s="13" t="s">
        <v>529</v>
      </c>
      <c r="F2247" s="12">
        <v>2</v>
      </c>
      <c r="G2247" s="12">
        <v>75630.259999999995</v>
      </c>
      <c r="H2247" s="35">
        <v>46147.398143344908</v>
      </c>
    </row>
    <row r="2248" spans="2:8" x14ac:dyDescent="0.2">
      <c r="B2248" s="32">
        <v>46094</v>
      </c>
      <c r="C2248" t="s">
        <v>109</v>
      </c>
      <c r="D2248" t="s">
        <v>149</v>
      </c>
      <c r="E2248" s="13" t="s">
        <v>530</v>
      </c>
      <c r="F2248" s="12">
        <v>1</v>
      </c>
      <c r="G2248" s="12">
        <v>50420.17</v>
      </c>
      <c r="H2248" s="35">
        <v>46147.398143344908</v>
      </c>
    </row>
    <row r="2249" spans="2:8" x14ac:dyDescent="0.2">
      <c r="B2249" s="32">
        <v>46095</v>
      </c>
      <c r="C2249" t="s">
        <v>140</v>
      </c>
      <c r="D2249" t="s">
        <v>409</v>
      </c>
      <c r="E2249" s="13" t="s">
        <v>529</v>
      </c>
      <c r="F2249" s="12">
        <v>1</v>
      </c>
      <c r="G2249" s="12">
        <v>411764.71</v>
      </c>
      <c r="H2249" s="35">
        <v>46147.398143344908</v>
      </c>
    </row>
    <row r="2250" spans="2:8" x14ac:dyDescent="0.2">
      <c r="B2250" s="32">
        <v>46095</v>
      </c>
      <c r="C2250" t="s">
        <v>109</v>
      </c>
      <c r="D2250" t="s">
        <v>141</v>
      </c>
      <c r="E2250" s="13" t="s">
        <v>530</v>
      </c>
      <c r="F2250" s="12">
        <v>1</v>
      </c>
      <c r="G2250" s="12">
        <v>277310.92</v>
      </c>
      <c r="H2250" s="35">
        <v>46147.398143344908</v>
      </c>
    </row>
    <row r="2251" spans="2:8" x14ac:dyDescent="0.2">
      <c r="B2251" s="32">
        <v>46095</v>
      </c>
      <c r="C2251" t="s">
        <v>109</v>
      </c>
      <c r="D2251" t="s">
        <v>142</v>
      </c>
      <c r="E2251" s="13" t="s">
        <v>529</v>
      </c>
      <c r="F2251" s="12">
        <v>11</v>
      </c>
      <c r="G2251" s="12">
        <v>191596.63</v>
      </c>
      <c r="H2251" s="35">
        <v>46147.398143344908</v>
      </c>
    </row>
    <row r="2252" spans="2:8" x14ac:dyDescent="0.2">
      <c r="B2252" s="32">
        <v>46095</v>
      </c>
      <c r="C2252" t="s">
        <v>109</v>
      </c>
      <c r="D2252" t="s">
        <v>142</v>
      </c>
      <c r="E2252" s="13" t="s">
        <v>530</v>
      </c>
      <c r="F2252" s="12">
        <v>12</v>
      </c>
      <c r="G2252" s="12">
        <v>180672.28</v>
      </c>
      <c r="H2252" s="35">
        <v>46147.398143344908</v>
      </c>
    </row>
    <row r="2253" spans="2:8" x14ac:dyDescent="0.2">
      <c r="B2253" s="32">
        <v>46095</v>
      </c>
      <c r="C2253" t="s">
        <v>109</v>
      </c>
      <c r="D2253" t="s">
        <v>164</v>
      </c>
      <c r="E2253" s="13" t="s">
        <v>529</v>
      </c>
      <c r="F2253" s="12">
        <v>3</v>
      </c>
      <c r="G2253" s="12">
        <v>126050.43</v>
      </c>
      <c r="H2253" s="35">
        <v>46147.398143344908</v>
      </c>
    </row>
    <row r="2254" spans="2:8" x14ac:dyDescent="0.2">
      <c r="B2254" s="32">
        <v>46095</v>
      </c>
      <c r="C2254" t="s">
        <v>109</v>
      </c>
      <c r="D2254" t="s">
        <v>216</v>
      </c>
      <c r="E2254" s="13" t="s">
        <v>530</v>
      </c>
      <c r="F2254" s="12">
        <v>3</v>
      </c>
      <c r="G2254" s="12">
        <v>126050.42</v>
      </c>
      <c r="H2254" s="35">
        <v>46147.398143344908</v>
      </c>
    </row>
    <row r="2255" spans="2:8" x14ac:dyDescent="0.2">
      <c r="B2255" s="32">
        <v>46095</v>
      </c>
      <c r="C2255" t="s">
        <v>109</v>
      </c>
      <c r="D2255" t="s">
        <v>190</v>
      </c>
      <c r="E2255" s="13" t="s">
        <v>529</v>
      </c>
      <c r="F2255" s="12">
        <v>1</v>
      </c>
      <c r="G2255" s="12">
        <v>75630.25</v>
      </c>
      <c r="H2255" s="35">
        <v>46147.398143344908</v>
      </c>
    </row>
    <row r="2256" spans="2:8" x14ac:dyDescent="0.2">
      <c r="B2256" s="32">
        <v>46095</v>
      </c>
      <c r="C2256" t="s">
        <v>109</v>
      </c>
      <c r="D2256" t="s">
        <v>147</v>
      </c>
      <c r="E2256" s="13" t="s">
        <v>529</v>
      </c>
      <c r="F2256" s="12">
        <v>1</v>
      </c>
      <c r="G2256" s="12">
        <v>75630.25</v>
      </c>
      <c r="H2256" s="35">
        <v>46147.398143344908</v>
      </c>
    </row>
    <row r="2257" spans="2:8" x14ac:dyDescent="0.2">
      <c r="B2257" s="32">
        <v>46095</v>
      </c>
      <c r="C2257" t="s">
        <v>109</v>
      </c>
      <c r="D2257" t="s">
        <v>143</v>
      </c>
      <c r="E2257" s="13" t="s">
        <v>530</v>
      </c>
      <c r="F2257" s="12">
        <v>2</v>
      </c>
      <c r="G2257" s="12">
        <v>58823.519999999997</v>
      </c>
      <c r="H2257" s="35">
        <v>46147.398143344908</v>
      </c>
    </row>
    <row r="2258" spans="2:8" x14ac:dyDescent="0.2">
      <c r="B2258" s="32">
        <v>46095</v>
      </c>
      <c r="C2258" t="s">
        <v>109</v>
      </c>
      <c r="D2258" t="s">
        <v>238</v>
      </c>
      <c r="E2258" s="13" t="s">
        <v>529</v>
      </c>
      <c r="F2258" s="12">
        <v>1</v>
      </c>
      <c r="G2258" s="12">
        <v>46218.49</v>
      </c>
      <c r="H2258" s="35">
        <v>46147.398143344908</v>
      </c>
    </row>
    <row r="2259" spans="2:8" x14ac:dyDescent="0.2">
      <c r="B2259" s="32">
        <v>46095</v>
      </c>
      <c r="C2259" t="s">
        <v>109</v>
      </c>
      <c r="D2259" t="s">
        <v>458</v>
      </c>
      <c r="E2259" s="13" t="s">
        <v>529</v>
      </c>
      <c r="F2259" s="12">
        <v>1</v>
      </c>
      <c r="G2259" s="12">
        <v>35000</v>
      </c>
      <c r="H2259" s="35">
        <v>46147.398143344908</v>
      </c>
    </row>
    <row r="2260" spans="2:8" x14ac:dyDescent="0.2">
      <c r="B2260" s="32">
        <v>46096</v>
      </c>
      <c r="C2260" t="s">
        <v>140</v>
      </c>
      <c r="D2260" t="s">
        <v>619</v>
      </c>
      <c r="E2260" s="13" t="s">
        <v>529</v>
      </c>
      <c r="F2260" s="12">
        <v>3</v>
      </c>
      <c r="G2260" s="12">
        <v>151260.5</v>
      </c>
      <c r="H2260" s="35">
        <v>46147.398143344908</v>
      </c>
    </row>
    <row r="2261" spans="2:8" x14ac:dyDescent="0.2">
      <c r="B2261" s="32">
        <v>46096</v>
      </c>
      <c r="C2261" t="s">
        <v>109</v>
      </c>
      <c r="D2261" t="s">
        <v>216</v>
      </c>
      <c r="E2261" s="13" t="s">
        <v>529</v>
      </c>
      <c r="F2261" s="12">
        <v>6</v>
      </c>
      <c r="G2261" s="12">
        <v>252100.84</v>
      </c>
      <c r="H2261" s="35">
        <v>46147.398143344908</v>
      </c>
    </row>
    <row r="2262" spans="2:8" x14ac:dyDescent="0.2">
      <c r="B2262" s="32">
        <v>46096</v>
      </c>
      <c r="C2262" t="s">
        <v>109</v>
      </c>
      <c r="D2262" t="s">
        <v>142</v>
      </c>
      <c r="E2262" s="13" t="s">
        <v>529</v>
      </c>
      <c r="F2262" s="12">
        <v>11</v>
      </c>
      <c r="G2262" s="12">
        <v>117647.05</v>
      </c>
      <c r="H2262" s="35">
        <v>46147.398143344908</v>
      </c>
    </row>
    <row r="2263" spans="2:8" x14ac:dyDescent="0.2">
      <c r="B2263" s="32">
        <v>46096</v>
      </c>
      <c r="C2263" t="s">
        <v>109</v>
      </c>
      <c r="D2263" t="s">
        <v>148</v>
      </c>
      <c r="E2263" s="13" t="s">
        <v>529</v>
      </c>
      <c r="F2263" s="12">
        <v>1</v>
      </c>
      <c r="G2263" s="12">
        <v>46218.49</v>
      </c>
      <c r="H2263" s="35">
        <v>46147.398143344908</v>
      </c>
    </row>
    <row r="2264" spans="2:8" x14ac:dyDescent="0.2">
      <c r="B2264" s="32">
        <v>46097</v>
      </c>
      <c r="C2264" t="s">
        <v>140</v>
      </c>
      <c r="D2264" t="s">
        <v>165</v>
      </c>
      <c r="E2264" s="13" t="s">
        <v>529</v>
      </c>
      <c r="F2264" s="12">
        <v>1</v>
      </c>
      <c r="G2264" s="12">
        <v>113445.38</v>
      </c>
      <c r="H2264" s="35">
        <v>46147.398143344908</v>
      </c>
    </row>
    <row r="2265" spans="2:8" x14ac:dyDescent="0.2">
      <c r="B2265" s="32">
        <v>46097</v>
      </c>
      <c r="C2265" t="s">
        <v>140</v>
      </c>
      <c r="D2265" t="s">
        <v>633</v>
      </c>
      <c r="E2265" s="13" t="s">
        <v>529</v>
      </c>
      <c r="F2265" s="12">
        <v>1</v>
      </c>
      <c r="G2265" s="12">
        <v>109243.7</v>
      </c>
      <c r="H2265" s="35">
        <v>46147.398143344908</v>
      </c>
    </row>
    <row r="2266" spans="2:8" x14ac:dyDescent="0.2">
      <c r="B2266" s="32">
        <v>46097</v>
      </c>
      <c r="C2266" t="s">
        <v>140</v>
      </c>
      <c r="D2266" t="s">
        <v>505</v>
      </c>
      <c r="E2266" s="13" t="s">
        <v>529</v>
      </c>
      <c r="F2266" s="12">
        <v>1</v>
      </c>
      <c r="G2266" s="12">
        <v>84033.61</v>
      </c>
      <c r="H2266" s="35">
        <v>46147.398143344908</v>
      </c>
    </row>
    <row r="2267" spans="2:8" x14ac:dyDescent="0.2">
      <c r="B2267" s="32">
        <v>46097</v>
      </c>
      <c r="C2267" t="s">
        <v>140</v>
      </c>
      <c r="D2267" t="s">
        <v>367</v>
      </c>
      <c r="E2267" s="13" t="s">
        <v>529</v>
      </c>
      <c r="F2267" s="12">
        <v>1</v>
      </c>
      <c r="G2267" s="12">
        <v>67226.89</v>
      </c>
      <c r="H2267" s="35">
        <v>46147.398143344908</v>
      </c>
    </row>
    <row r="2268" spans="2:8" x14ac:dyDescent="0.2">
      <c r="B2268" s="32">
        <v>46097</v>
      </c>
      <c r="C2268" t="s">
        <v>109</v>
      </c>
      <c r="D2268" t="s">
        <v>150</v>
      </c>
      <c r="E2268" s="13" t="s">
        <v>529</v>
      </c>
      <c r="F2268" s="12">
        <v>1</v>
      </c>
      <c r="G2268" s="12">
        <v>84033.61</v>
      </c>
      <c r="H2268" s="35">
        <v>46147.398143344908</v>
      </c>
    </row>
    <row r="2269" spans="2:8" x14ac:dyDescent="0.2">
      <c r="B2269" s="32">
        <v>46097</v>
      </c>
      <c r="C2269" t="s">
        <v>109</v>
      </c>
      <c r="D2269" t="s">
        <v>472</v>
      </c>
      <c r="E2269" s="13" t="s">
        <v>530</v>
      </c>
      <c r="F2269" s="12">
        <v>1</v>
      </c>
      <c r="G2269" s="12">
        <v>78000</v>
      </c>
      <c r="H2269" s="35">
        <v>46147.398143344908</v>
      </c>
    </row>
    <row r="2270" spans="2:8" x14ac:dyDescent="0.2">
      <c r="B2270" s="32">
        <v>46097</v>
      </c>
      <c r="C2270" t="s">
        <v>109</v>
      </c>
      <c r="D2270" t="s">
        <v>142</v>
      </c>
      <c r="E2270" s="13" t="s">
        <v>530</v>
      </c>
      <c r="F2270" s="12">
        <v>4</v>
      </c>
      <c r="G2270" s="12">
        <v>58823.53</v>
      </c>
      <c r="H2270" s="35">
        <v>46147.398143344908</v>
      </c>
    </row>
    <row r="2271" spans="2:8" x14ac:dyDescent="0.2">
      <c r="B2271" s="32">
        <v>46098</v>
      </c>
      <c r="C2271" t="s">
        <v>140</v>
      </c>
      <c r="D2271" t="s">
        <v>385</v>
      </c>
      <c r="E2271" s="13" t="s">
        <v>530</v>
      </c>
      <c r="F2271" s="12">
        <v>1</v>
      </c>
      <c r="G2271" s="12">
        <v>210084.03</v>
      </c>
      <c r="H2271" s="35">
        <v>46147.398143344908</v>
      </c>
    </row>
    <row r="2272" spans="2:8" x14ac:dyDescent="0.2">
      <c r="B2272" s="32">
        <v>46098</v>
      </c>
      <c r="C2272" t="s">
        <v>140</v>
      </c>
      <c r="D2272" t="s">
        <v>161</v>
      </c>
      <c r="E2272" s="13" t="s">
        <v>530</v>
      </c>
      <c r="F2272" s="12">
        <v>1</v>
      </c>
      <c r="G2272" s="12">
        <v>63025.21</v>
      </c>
      <c r="H2272" s="35">
        <v>46147.398143344908</v>
      </c>
    </row>
    <row r="2273" spans="2:8" x14ac:dyDescent="0.2">
      <c r="B2273" s="32">
        <v>46098</v>
      </c>
      <c r="C2273" t="s">
        <v>140</v>
      </c>
      <c r="D2273" t="s">
        <v>242</v>
      </c>
      <c r="E2273" s="13" t="s">
        <v>529</v>
      </c>
      <c r="F2273" s="12">
        <v>1</v>
      </c>
      <c r="G2273" s="12">
        <v>58823.53</v>
      </c>
      <c r="H2273" s="35">
        <v>46147.398143344908</v>
      </c>
    </row>
    <row r="2274" spans="2:8" x14ac:dyDescent="0.2">
      <c r="B2274" s="32">
        <v>46098</v>
      </c>
      <c r="C2274" t="s">
        <v>109</v>
      </c>
      <c r="D2274" t="s">
        <v>454</v>
      </c>
      <c r="E2274" s="13" t="s">
        <v>529</v>
      </c>
      <c r="F2274" s="12">
        <v>1</v>
      </c>
      <c r="G2274" s="12">
        <v>193277.31</v>
      </c>
      <c r="H2274" s="35">
        <v>46147.398143344908</v>
      </c>
    </row>
    <row r="2275" spans="2:8" x14ac:dyDescent="0.2">
      <c r="B2275" s="32">
        <v>46098</v>
      </c>
      <c r="C2275" t="s">
        <v>109</v>
      </c>
      <c r="D2275" t="s">
        <v>2077</v>
      </c>
      <c r="E2275" s="13" t="s">
        <v>529</v>
      </c>
      <c r="F2275" s="12">
        <v>1</v>
      </c>
      <c r="G2275" s="12">
        <v>184873.95</v>
      </c>
      <c r="H2275" s="35">
        <v>46147.398143344908</v>
      </c>
    </row>
    <row r="2276" spans="2:8" x14ac:dyDescent="0.2">
      <c r="B2276" s="32">
        <v>46098</v>
      </c>
      <c r="C2276" t="s">
        <v>109</v>
      </c>
      <c r="D2276" t="s">
        <v>143</v>
      </c>
      <c r="E2276" s="13" t="s">
        <v>529</v>
      </c>
      <c r="F2276" s="12">
        <v>4</v>
      </c>
      <c r="G2276" s="12">
        <v>117647.06</v>
      </c>
      <c r="H2276" s="35">
        <v>46147.398143344908</v>
      </c>
    </row>
    <row r="2277" spans="2:8" x14ac:dyDescent="0.2">
      <c r="B2277" s="32">
        <v>46098</v>
      </c>
      <c r="C2277" t="s">
        <v>109</v>
      </c>
      <c r="D2277" t="s">
        <v>232</v>
      </c>
      <c r="E2277" s="13" t="s">
        <v>529</v>
      </c>
      <c r="F2277" s="12">
        <v>2</v>
      </c>
      <c r="G2277" s="12">
        <v>75630.25</v>
      </c>
      <c r="H2277" s="35">
        <v>46147.398143344908</v>
      </c>
    </row>
    <row r="2278" spans="2:8" x14ac:dyDescent="0.2">
      <c r="B2278" s="32">
        <v>46098</v>
      </c>
      <c r="C2278" t="s">
        <v>109</v>
      </c>
      <c r="D2278" t="s">
        <v>348</v>
      </c>
      <c r="E2278" s="13"/>
      <c r="F2278" s="12">
        <v>1</v>
      </c>
      <c r="G2278" s="12">
        <v>75630.25</v>
      </c>
      <c r="H2278" s="35">
        <v>46147.398143344908</v>
      </c>
    </row>
    <row r="2279" spans="2:8" x14ac:dyDescent="0.2">
      <c r="B2279" s="32">
        <v>46098</v>
      </c>
      <c r="C2279" t="s">
        <v>109</v>
      </c>
      <c r="D2279" t="s">
        <v>423</v>
      </c>
      <c r="E2279" s="13" t="s">
        <v>530</v>
      </c>
      <c r="F2279" s="12">
        <v>2</v>
      </c>
      <c r="G2279" s="12">
        <v>75630.25</v>
      </c>
      <c r="H2279" s="35">
        <v>46147.398143344908</v>
      </c>
    </row>
    <row r="2280" spans="2:8" x14ac:dyDescent="0.2">
      <c r="B2280" s="32">
        <v>46098</v>
      </c>
      <c r="C2280" t="s">
        <v>109</v>
      </c>
      <c r="D2280" t="s">
        <v>316</v>
      </c>
      <c r="E2280" s="13" t="s">
        <v>529</v>
      </c>
      <c r="F2280" s="12">
        <v>1</v>
      </c>
      <c r="G2280" s="12">
        <v>63025.21</v>
      </c>
      <c r="H2280" s="35">
        <v>46147.398143344908</v>
      </c>
    </row>
    <row r="2281" spans="2:8" x14ac:dyDescent="0.2">
      <c r="B2281" s="32">
        <v>46098</v>
      </c>
      <c r="C2281" t="s">
        <v>109</v>
      </c>
      <c r="D2281" t="s">
        <v>238</v>
      </c>
      <c r="E2281" s="13" t="s">
        <v>529</v>
      </c>
      <c r="F2281" s="12">
        <v>1</v>
      </c>
      <c r="G2281" s="12">
        <v>46218.49</v>
      </c>
      <c r="H2281" s="35">
        <v>46147.398143344908</v>
      </c>
    </row>
    <row r="2282" spans="2:8" x14ac:dyDescent="0.2">
      <c r="B2282" s="32">
        <v>46098</v>
      </c>
      <c r="C2282" t="s">
        <v>109</v>
      </c>
      <c r="D2282" t="s">
        <v>164</v>
      </c>
      <c r="E2282" s="13" t="s">
        <v>530</v>
      </c>
      <c r="F2282" s="12">
        <v>1</v>
      </c>
      <c r="G2282" s="12">
        <v>42016.81</v>
      </c>
      <c r="H2282" s="35">
        <v>46147.398143344908</v>
      </c>
    </row>
    <row r="2283" spans="2:8" x14ac:dyDescent="0.2">
      <c r="B2283" s="32">
        <v>46098</v>
      </c>
      <c r="C2283" t="s">
        <v>109</v>
      </c>
      <c r="D2283" t="s">
        <v>146</v>
      </c>
      <c r="E2283" s="13" t="s">
        <v>530</v>
      </c>
      <c r="F2283" s="12">
        <v>1</v>
      </c>
      <c r="G2283" s="12">
        <v>37815.129999999997</v>
      </c>
      <c r="H2283" s="35">
        <v>46147.398143344908</v>
      </c>
    </row>
    <row r="2284" spans="2:8" x14ac:dyDescent="0.2">
      <c r="B2284" s="32">
        <v>46098</v>
      </c>
      <c r="C2284" t="s">
        <v>109</v>
      </c>
      <c r="D2284" t="s">
        <v>143</v>
      </c>
      <c r="E2284" s="13" t="s">
        <v>530</v>
      </c>
      <c r="F2284" s="12">
        <v>1</v>
      </c>
      <c r="G2284" s="12">
        <v>29411.759999999998</v>
      </c>
      <c r="H2284" s="35">
        <v>46147.398143344908</v>
      </c>
    </row>
    <row r="2285" spans="2:8" x14ac:dyDescent="0.2">
      <c r="B2285" s="32">
        <v>46098</v>
      </c>
      <c r="C2285" t="s">
        <v>109</v>
      </c>
      <c r="D2285" t="s">
        <v>142</v>
      </c>
      <c r="E2285" s="13" t="s">
        <v>529</v>
      </c>
      <c r="F2285" s="12">
        <v>2</v>
      </c>
      <c r="G2285" s="12">
        <v>22268.91</v>
      </c>
      <c r="H2285" s="35">
        <v>46147.398143344908</v>
      </c>
    </row>
    <row r="2286" spans="2:8" x14ac:dyDescent="0.2">
      <c r="B2286" s="32">
        <v>46099</v>
      </c>
      <c r="C2286" t="s">
        <v>140</v>
      </c>
      <c r="D2286" t="s">
        <v>452</v>
      </c>
      <c r="E2286" s="13" t="s">
        <v>530</v>
      </c>
      <c r="F2286" s="12">
        <v>1</v>
      </c>
      <c r="G2286" s="12">
        <v>50420.17</v>
      </c>
      <c r="H2286" s="35">
        <v>46147.398143344908</v>
      </c>
    </row>
    <row r="2287" spans="2:8" x14ac:dyDescent="0.2">
      <c r="B2287" s="32">
        <v>46099</v>
      </c>
      <c r="C2287" t="s">
        <v>109</v>
      </c>
      <c r="D2287" t="s">
        <v>422</v>
      </c>
      <c r="E2287" s="13" t="s">
        <v>530</v>
      </c>
      <c r="F2287" s="12">
        <v>1</v>
      </c>
      <c r="G2287" s="12">
        <v>210084.03</v>
      </c>
      <c r="H2287" s="35">
        <v>46147.398143344908</v>
      </c>
    </row>
    <row r="2288" spans="2:8" x14ac:dyDescent="0.2">
      <c r="B2288" s="32">
        <v>46099</v>
      </c>
      <c r="C2288" t="s">
        <v>109</v>
      </c>
      <c r="D2288" t="s">
        <v>146</v>
      </c>
      <c r="E2288" s="13" t="s">
        <v>529</v>
      </c>
      <c r="F2288" s="12">
        <v>1</v>
      </c>
      <c r="G2288" s="12">
        <v>37815.129999999997</v>
      </c>
      <c r="H2288" s="35">
        <v>46147.398143344908</v>
      </c>
    </row>
    <row r="2289" spans="2:8" x14ac:dyDescent="0.2">
      <c r="B2289" s="32">
        <v>46099</v>
      </c>
      <c r="C2289" t="s">
        <v>109</v>
      </c>
      <c r="D2289" t="s">
        <v>450</v>
      </c>
      <c r="E2289" s="13" t="s">
        <v>529</v>
      </c>
      <c r="F2289" s="12">
        <v>2</v>
      </c>
      <c r="G2289" s="12">
        <v>33613.449999999997</v>
      </c>
      <c r="H2289" s="35">
        <v>46147.398143344908</v>
      </c>
    </row>
    <row r="2290" spans="2:8" x14ac:dyDescent="0.2">
      <c r="B2290" s="32">
        <v>46099</v>
      </c>
      <c r="C2290" t="s">
        <v>109</v>
      </c>
      <c r="D2290" t="s">
        <v>143</v>
      </c>
      <c r="E2290" s="13" t="s">
        <v>529</v>
      </c>
      <c r="F2290" s="12">
        <v>1</v>
      </c>
      <c r="G2290" s="12">
        <v>29411.759999999998</v>
      </c>
      <c r="H2290" s="35">
        <v>46147.398143344908</v>
      </c>
    </row>
    <row r="2291" spans="2:8" x14ac:dyDescent="0.2">
      <c r="B2291" s="32">
        <v>46100</v>
      </c>
      <c r="C2291" t="s">
        <v>140</v>
      </c>
      <c r="D2291" t="s">
        <v>624</v>
      </c>
      <c r="E2291" s="13" t="s">
        <v>529</v>
      </c>
      <c r="F2291" s="12">
        <v>2</v>
      </c>
      <c r="G2291" s="12">
        <v>126050.42</v>
      </c>
      <c r="H2291" s="35">
        <v>46147.398143344908</v>
      </c>
    </row>
    <row r="2292" spans="2:8" x14ac:dyDescent="0.2">
      <c r="B2292" s="32">
        <v>46100</v>
      </c>
      <c r="C2292" t="s">
        <v>109</v>
      </c>
      <c r="D2292" t="s">
        <v>420</v>
      </c>
      <c r="E2292" s="13" t="s">
        <v>530</v>
      </c>
      <c r="F2292" s="12">
        <v>3</v>
      </c>
      <c r="G2292" s="12">
        <v>1285714.29</v>
      </c>
      <c r="H2292" s="35">
        <v>46147.398143344908</v>
      </c>
    </row>
    <row r="2293" spans="2:8" x14ac:dyDescent="0.2">
      <c r="B2293" s="32">
        <v>46100</v>
      </c>
      <c r="C2293" t="s">
        <v>109</v>
      </c>
      <c r="E2293" s="13" t="s">
        <v>530</v>
      </c>
      <c r="F2293" s="12">
        <v>47</v>
      </c>
      <c r="G2293" s="12">
        <v>364285.7</v>
      </c>
      <c r="H2293" s="35">
        <v>46147.398143344908</v>
      </c>
    </row>
    <row r="2294" spans="2:8" x14ac:dyDescent="0.2">
      <c r="B2294" s="32">
        <v>46100</v>
      </c>
      <c r="C2294" t="s">
        <v>109</v>
      </c>
      <c r="D2294" t="s">
        <v>435</v>
      </c>
      <c r="E2294" s="13" t="s">
        <v>530</v>
      </c>
      <c r="F2294" s="12">
        <v>2</v>
      </c>
      <c r="G2294" s="12">
        <v>278571.43</v>
      </c>
      <c r="H2294" s="35">
        <v>46147.398143344908</v>
      </c>
    </row>
    <row r="2295" spans="2:8" x14ac:dyDescent="0.2">
      <c r="B2295" s="32">
        <v>46100</v>
      </c>
      <c r="C2295" t="s">
        <v>109</v>
      </c>
      <c r="D2295" t="s">
        <v>156</v>
      </c>
      <c r="E2295" s="13" t="s">
        <v>530</v>
      </c>
      <c r="F2295" s="12">
        <v>2</v>
      </c>
      <c r="G2295" s="12">
        <v>92436.97</v>
      </c>
      <c r="H2295" s="35">
        <v>46147.398143344908</v>
      </c>
    </row>
    <row r="2296" spans="2:8" x14ac:dyDescent="0.2">
      <c r="B2296" s="32">
        <v>46100</v>
      </c>
      <c r="C2296" t="s">
        <v>109</v>
      </c>
      <c r="D2296" t="s">
        <v>154</v>
      </c>
      <c r="E2296" s="13" t="s">
        <v>529</v>
      </c>
      <c r="F2296" s="12">
        <v>2</v>
      </c>
      <c r="G2296" s="12">
        <v>92436.97</v>
      </c>
      <c r="H2296" s="35">
        <v>46147.398143344908</v>
      </c>
    </row>
    <row r="2297" spans="2:8" x14ac:dyDescent="0.2">
      <c r="B2297" s="32">
        <v>46100</v>
      </c>
      <c r="C2297" t="s">
        <v>109</v>
      </c>
      <c r="D2297" t="s">
        <v>343</v>
      </c>
      <c r="E2297" s="13" t="s">
        <v>530</v>
      </c>
      <c r="F2297" s="12">
        <v>1</v>
      </c>
      <c r="G2297" s="12">
        <v>84033.61</v>
      </c>
      <c r="H2297" s="35">
        <v>46147.398143344908</v>
      </c>
    </row>
    <row r="2298" spans="2:8" x14ac:dyDescent="0.2">
      <c r="B2298" s="32">
        <v>46100</v>
      </c>
      <c r="C2298" t="s">
        <v>109</v>
      </c>
      <c r="D2298" t="s">
        <v>147</v>
      </c>
      <c r="E2298" s="13" t="s">
        <v>529</v>
      </c>
      <c r="F2298" s="12">
        <v>1</v>
      </c>
      <c r="G2298" s="12">
        <v>75630.25</v>
      </c>
      <c r="H2298" s="35">
        <v>46147.398143344908</v>
      </c>
    </row>
    <row r="2299" spans="2:8" x14ac:dyDescent="0.2">
      <c r="B2299" s="32">
        <v>46100</v>
      </c>
      <c r="C2299" t="s">
        <v>109</v>
      </c>
      <c r="D2299" t="s">
        <v>419</v>
      </c>
      <c r="E2299" s="13" t="s">
        <v>530</v>
      </c>
      <c r="F2299" s="12">
        <v>3</v>
      </c>
      <c r="G2299" s="12">
        <v>66428.570000000007</v>
      </c>
      <c r="H2299" s="35">
        <v>46147.398143344908</v>
      </c>
    </row>
    <row r="2300" spans="2:8" x14ac:dyDescent="0.2">
      <c r="B2300" s="32">
        <v>46100</v>
      </c>
      <c r="C2300" t="s">
        <v>109</v>
      </c>
      <c r="D2300" t="s">
        <v>142</v>
      </c>
      <c r="E2300" s="13" t="s">
        <v>529</v>
      </c>
      <c r="F2300" s="12">
        <v>4</v>
      </c>
      <c r="G2300" s="12">
        <v>65546.22</v>
      </c>
      <c r="H2300" s="35">
        <v>46147.398143344908</v>
      </c>
    </row>
    <row r="2301" spans="2:8" x14ac:dyDescent="0.2">
      <c r="B2301" s="32">
        <v>46100</v>
      </c>
      <c r="C2301" t="s">
        <v>109</v>
      </c>
      <c r="D2301" t="s">
        <v>267</v>
      </c>
      <c r="E2301" s="13" t="s">
        <v>529</v>
      </c>
      <c r="F2301" s="12">
        <v>1</v>
      </c>
      <c r="G2301" s="12">
        <v>54621.85</v>
      </c>
      <c r="H2301" s="35">
        <v>46147.398143344908</v>
      </c>
    </row>
    <row r="2302" spans="2:8" x14ac:dyDescent="0.2">
      <c r="B2302" s="32">
        <v>46100</v>
      </c>
      <c r="C2302" t="s">
        <v>109</v>
      </c>
      <c r="D2302" t="s">
        <v>236</v>
      </c>
      <c r="E2302" s="13" t="s">
        <v>529</v>
      </c>
      <c r="F2302" s="12">
        <v>1</v>
      </c>
      <c r="G2302" s="12">
        <v>46218.49</v>
      </c>
      <c r="H2302" s="35">
        <v>46147.398143344908</v>
      </c>
    </row>
    <row r="2303" spans="2:8" x14ac:dyDescent="0.2">
      <c r="B2303" s="32">
        <v>46100</v>
      </c>
      <c r="C2303" t="s">
        <v>109</v>
      </c>
      <c r="D2303" t="s">
        <v>415</v>
      </c>
      <c r="E2303" s="13" t="s">
        <v>529</v>
      </c>
      <c r="F2303" s="12">
        <v>1</v>
      </c>
      <c r="G2303" s="12">
        <v>16806.72</v>
      </c>
      <c r="H2303" s="35">
        <v>46147.398143344908</v>
      </c>
    </row>
    <row r="2304" spans="2:8" x14ac:dyDescent="0.2">
      <c r="B2304" s="32">
        <v>46101</v>
      </c>
      <c r="C2304" t="s">
        <v>140</v>
      </c>
      <c r="D2304" t="s">
        <v>625</v>
      </c>
      <c r="E2304" s="13" t="s">
        <v>529</v>
      </c>
      <c r="F2304" s="12">
        <v>2</v>
      </c>
      <c r="G2304" s="12">
        <v>184873.95</v>
      </c>
      <c r="H2304" s="35">
        <v>46147.398143344908</v>
      </c>
    </row>
    <row r="2305" spans="2:8" x14ac:dyDescent="0.2">
      <c r="B2305" s="32">
        <v>46101</v>
      </c>
      <c r="C2305" t="s">
        <v>140</v>
      </c>
      <c r="D2305" t="s">
        <v>269</v>
      </c>
      <c r="E2305" s="13" t="s">
        <v>530</v>
      </c>
      <c r="F2305" s="12">
        <v>1</v>
      </c>
      <c r="G2305" s="12">
        <v>63025.21</v>
      </c>
      <c r="H2305" s="35">
        <v>46147.398143344908</v>
      </c>
    </row>
    <row r="2306" spans="2:8" x14ac:dyDescent="0.2">
      <c r="B2306" s="32">
        <v>46101</v>
      </c>
      <c r="C2306" t="s">
        <v>109</v>
      </c>
      <c r="D2306" t="s">
        <v>429</v>
      </c>
      <c r="E2306" s="13" t="s">
        <v>530</v>
      </c>
      <c r="F2306" s="12">
        <v>2</v>
      </c>
      <c r="G2306" s="12">
        <v>252100.84</v>
      </c>
      <c r="H2306" s="35">
        <v>46147.398143344908</v>
      </c>
    </row>
    <row r="2307" spans="2:8" x14ac:dyDescent="0.2">
      <c r="B2307" s="32">
        <v>46101</v>
      </c>
      <c r="C2307" t="s">
        <v>109</v>
      </c>
      <c r="D2307" t="s">
        <v>189</v>
      </c>
      <c r="E2307" s="13" t="s">
        <v>530</v>
      </c>
      <c r="F2307" s="12">
        <v>1</v>
      </c>
      <c r="G2307" s="12">
        <v>142857.14000000001</v>
      </c>
      <c r="H2307" s="35">
        <v>46147.398143344908</v>
      </c>
    </row>
    <row r="2308" spans="2:8" x14ac:dyDescent="0.2">
      <c r="B2308" s="32">
        <v>46101</v>
      </c>
      <c r="C2308" t="s">
        <v>109</v>
      </c>
      <c r="D2308" t="s">
        <v>156</v>
      </c>
      <c r="E2308" s="13" t="s">
        <v>529</v>
      </c>
      <c r="F2308" s="12">
        <v>2</v>
      </c>
      <c r="G2308" s="12">
        <v>92436.97</v>
      </c>
      <c r="H2308" s="35">
        <v>46147.398143344908</v>
      </c>
    </row>
    <row r="2309" spans="2:8" x14ac:dyDescent="0.2">
      <c r="B2309" s="32">
        <v>46101</v>
      </c>
      <c r="C2309" t="s">
        <v>109</v>
      </c>
      <c r="D2309" t="s">
        <v>143</v>
      </c>
      <c r="E2309" s="13" t="s">
        <v>530</v>
      </c>
      <c r="F2309" s="12">
        <v>3</v>
      </c>
      <c r="G2309" s="12">
        <v>88235.29</v>
      </c>
      <c r="H2309" s="35">
        <v>46147.398143344908</v>
      </c>
    </row>
    <row r="2310" spans="2:8" x14ac:dyDescent="0.2">
      <c r="B2310" s="32">
        <v>46101</v>
      </c>
      <c r="C2310" t="s">
        <v>109</v>
      </c>
      <c r="D2310" t="s">
        <v>333</v>
      </c>
      <c r="E2310" s="13" t="s">
        <v>530</v>
      </c>
      <c r="F2310" s="12">
        <v>1</v>
      </c>
      <c r="G2310" s="12">
        <v>75630.25</v>
      </c>
      <c r="H2310" s="35">
        <v>46147.398143344908</v>
      </c>
    </row>
    <row r="2311" spans="2:8" x14ac:dyDescent="0.2">
      <c r="B2311" s="32">
        <v>46101</v>
      </c>
      <c r="C2311" t="s">
        <v>109</v>
      </c>
      <c r="D2311" t="s">
        <v>488</v>
      </c>
      <c r="E2311" s="13" t="s">
        <v>529</v>
      </c>
      <c r="F2311" s="12">
        <v>3</v>
      </c>
      <c r="G2311" s="12">
        <v>50420.160000000003</v>
      </c>
      <c r="H2311" s="35">
        <v>46147.398143344908</v>
      </c>
    </row>
    <row r="2312" spans="2:8" x14ac:dyDescent="0.2">
      <c r="B2312" s="32">
        <v>46101</v>
      </c>
      <c r="C2312" t="s">
        <v>109</v>
      </c>
      <c r="D2312" t="s">
        <v>142</v>
      </c>
      <c r="E2312" s="13" t="s">
        <v>530</v>
      </c>
      <c r="F2312" s="12">
        <v>2</v>
      </c>
      <c r="G2312" s="12">
        <v>46218.49</v>
      </c>
      <c r="H2312" s="35">
        <v>46147.398143344908</v>
      </c>
    </row>
    <row r="2313" spans="2:8" x14ac:dyDescent="0.2">
      <c r="B2313" s="32">
        <v>46102</v>
      </c>
      <c r="C2313" t="s">
        <v>109</v>
      </c>
      <c r="D2313" t="s">
        <v>157</v>
      </c>
      <c r="E2313" s="13" t="s">
        <v>530</v>
      </c>
      <c r="F2313" s="12">
        <v>2</v>
      </c>
      <c r="G2313" s="12">
        <v>478991.6</v>
      </c>
      <c r="H2313" s="35">
        <v>46147.398143344908</v>
      </c>
    </row>
    <row r="2314" spans="2:8" x14ac:dyDescent="0.2">
      <c r="B2314" s="32">
        <v>46102</v>
      </c>
      <c r="C2314" t="s">
        <v>109</v>
      </c>
      <c r="D2314" t="s">
        <v>142</v>
      </c>
      <c r="E2314" s="13" t="s">
        <v>529</v>
      </c>
      <c r="F2314" s="12">
        <v>17</v>
      </c>
      <c r="G2314" s="12">
        <v>189915.96</v>
      </c>
      <c r="H2314" s="35">
        <v>46147.398143344908</v>
      </c>
    </row>
    <row r="2315" spans="2:8" x14ac:dyDescent="0.2">
      <c r="B2315" s="32">
        <v>46102</v>
      </c>
      <c r="C2315" t="s">
        <v>109</v>
      </c>
      <c r="D2315" t="s">
        <v>421</v>
      </c>
      <c r="E2315" s="13" t="s">
        <v>530</v>
      </c>
      <c r="F2315" s="12">
        <v>1</v>
      </c>
      <c r="G2315" s="12">
        <v>142857.14000000001</v>
      </c>
      <c r="H2315" s="35">
        <v>46147.398143344908</v>
      </c>
    </row>
    <row r="2316" spans="2:8" x14ac:dyDescent="0.2">
      <c r="B2316" s="32">
        <v>46102</v>
      </c>
      <c r="C2316" t="s">
        <v>109</v>
      </c>
      <c r="D2316" t="s">
        <v>143</v>
      </c>
      <c r="E2316" s="13" t="s">
        <v>529</v>
      </c>
      <c r="F2316" s="12">
        <v>4</v>
      </c>
      <c r="G2316" s="12">
        <v>117647.06</v>
      </c>
      <c r="H2316" s="35">
        <v>46147.398143344908</v>
      </c>
    </row>
    <row r="2317" spans="2:8" x14ac:dyDescent="0.2">
      <c r="B2317" s="32">
        <v>46102</v>
      </c>
      <c r="C2317" t="s">
        <v>109</v>
      </c>
      <c r="D2317" t="s">
        <v>148</v>
      </c>
      <c r="E2317" s="13" t="s">
        <v>529</v>
      </c>
      <c r="F2317" s="12">
        <v>2</v>
      </c>
      <c r="G2317" s="12">
        <v>92436.98</v>
      </c>
      <c r="H2317" s="35">
        <v>46147.398143344908</v>
      </c>
    </row>
    <row r="2318" spans="2:8" x14ac:dyDescent="0.2">
      <c r="B2318" s="32">
        <v>46102</v>
      </c>
      <c r="C2318" t="s">
        <v>109</v>
      </c>
      <c r="D2318" t="s">
        <v>313</v>
      </c>
      <c r="E2318" s="13" t="s">
        <v>530</v>
      </c>
      <c r="F2318" s="12">
        <v>1</v>
      </c>
      <c r="G2318" s="12">
        <v>63025.21</v>
      </c>
      <c r="H2318" s="35">
        <v>46147.398143344908</v>
      </c>
    </row>
    <row r="2319" spans="2:8" x14ac:dyDescent="0.2">
      <c r="B2319" s="32">
        <v>46102</v>
      </c>
      <c r="C2319" t="s">
        <v>109</v>
      </c>
      <c r="D2319" t="s">
        <v>307</v>
      </c>
      <c r="E2319" s="13" t="s">
        <v>530</v>
      </c>
      <c r="F2319" s="12">
        <v>1</v>
      </c>
      <c r="G2319" s="12">
        <v>42016.81</v>
      </c>
      <c r="H2319" s="35">
        <v>46147.398143344908</v>
      </c>
    </row>
    <row r="2320" spans="2:8" x14ac:dyDescent="0.2">
      <c r="B2320" s="32">
        <v>46102</v>
      </c>
      <c r="C2320" t="s">
        <v>109</v>
      </c>
      <c r="D2320" t="s">
        <v>142</v>
      </c>
      <c r="E2320" s="13" t="s">
        <v>530</v>
      </c>
      <c r="F2320" s="12">
        <v>2</v>
      </c>
      <c r="G2320" s="12">
        <v>33613.440000000002</v>
      </c>
      <c r="H2320" s="35">
        <v>46147.398143344908</v>
      </c>
    </row>
    <row r="2321" spans="2:8" x14ac:dyDescent="0.2">
      <c r="B2321" s="32">
        <v>46104</v>
      </c>
      <c r="C2321" t="s">
        <v>140</v>
      </c>
      <c r="D2321" t="s">
        <v>517</v>
      </c>
      <c r="E2321" s="13" t="s">
        <v>529</v>
      </c>
      <c r="F2321" s="12">
        <v>2</v>
      </c>
      <c r="G2321" s="12">
        <v>319327.73</v>
      </c>
      <c r="H2321" s="35">
        <v>46147.398143344908</v>
      </c>
    </row>
    <row r="2322" spans="2:8" x14ac:dyDescent="0.2">
      <c r="B2322" s="32">
        <v>46104</v>
      </c>
      <c r="C2322" t="s">
        <v>140</v>
      </c>
      <c r="D2322" t="s">
        <v>213</v>
      </c>
      <c r="E2322" s="13" t="s">
        <v>529</v>
      </c>
      <c r="F2322" s="12">
        <v>2</v>
      </c>
      <c r="G2322" s="12">
        <v>100840.33</v>
      </c>
      <c r="H2322" s="35">
        <v>46147.398143344908</v>
      </c>
    </row>
    <row r="2323" spans="2:8" x14ac:dyDescent="0.2">
      <c r="B2323" s="32">
        <v>46104</v>
      </c>
      <c r="C2323" t="s">
        <v>140</v>
      </c>
      <c r="D2323" t="s">
        <v>142</v>
      </c>
      <c r="E2323" s="13" t="s">
        <v>529</v>
      </c>
      <c r="F2323" s="12">
        <v>3</v>
      </c>
      <c r="G2323" s="12">
        <v>50420.17</v>
      </c>
      <c r="H2323" s="35">
        <v>46147.398143344908</v>
      </c>
    </row>
    <row r="2324" spans="2:8" x14ac:dyDescent="0.2">
      <c r="B2324" s="32">
        <v>46104</v>
      </c>
      <c r="C2324" t="s">
        <v>109</v>
      </c>
      <c r="D2324" t="s">
        <v>142</v>
      </c>
      <c r="E2324" s="13" t="s">
        <v>530</v>
      </c>
      <c r="F2324" s="12">
        <v>2</v>
      </c>
      <c r="G2324" s="12">
        <v>33613.440000000002</v>
      </c>
      <c r="H2324" s="35">
        <v>46147.398143344908</v>
      </c>
    </row>
    <row r="2325" spans="2:8" x14ac:dyDescent="0.2">
      <c r="B2325" s="32">
        <v>46105</v>
      </c>
      <c r="C2325" t="s">
        <v>140</v>
      </c>
      <c r="D2325" t="s">
        <v>447</v>
      </c>
      <c r="E2325" s="13" t="s">
        <v>530</v>
      </c>
      <c r="F2325" s="12">
        <v>1</v>
      </c>
      <c r="G2325" s="12">
        <v>252100.84</v>
      </c>
      <c r="H2325" s="35">
        <v>46147.398143344908</v>
      </c>
    </row>
    <row r="2326" spans="2:8" x14ac:dyDescent="0.2">
      <c r="B2326" s="32">
        <v>46105</v>
      </c>
      <c r="C2326" t="s">
        <v>140</v>
      </c>
      <c r="D2326" t="s">
        <v>234</v>
      </c>
      <c r="E2326" s="13" t="s">
        <v>530</v>
      </c>
      <c r="F2326" s="12">
        <v>1</v>
      </c>
      <c r="G2326" s="12">
        <v>63025.21</v>
      </c>
      <c r="H2326" s="35">
        <v>46147.398143344908</v>
      </c>
    </row>
    <row r="2327" spans="2:8" x14ac:dyDescent="0.2">
      <c r="B2327" s="32">
        <v>46105</v>
      </c>
      <c r="C2327" t="s">
        <v>140</v>
      </c>
      <c r="D2327" t="s">
        <v>473</v>
      </c>
      <c r="E2327" s="13" t="s">
        <v>530</v>
      </c>
      <c r="F2327" s="12">
        <v>1</v>
      </c>
      <c r="G2327" s="12">
        <v>50420.17</v>
      </c>
      <c r="H2327" s="35">
        <v>46147.398143344908</v>
      </c>
    </row>
    <row r="2328" spans="2:8" x14ac:dyDescent="0.2">
      <c r="B2328" s="32">
        <v>46105</v>
      </c>
      <c r="C2328" t="s">
        <v>140</v>
      </c>
      <c r="D2328" t="s">
        <v>216</v>
      </c>
      <c r="E2328" s="13" t="s">
        <v>530</v>
      </c>
      <c r="F2328" s="12">
        <v>1</v>
      </c>
      <c r="G2328" s="12">
        <v>2521.0100000000002</v>
      </c>
      <c r="H2328" s="35">
        <v>46147.398143344908</v>
      </c>
    </row>
    <row r="2329" spans="2:8" x14ac:dyDescent="0.2">
      <c r="B2329" s="32">
        <v>46105</v>
      </c>
      <c r="C2329" t="s">
        <v>109</v>
      </c>
      <c r="D2329" t="s">
        <v>142</v>
      </c>
      <c r="E2329" s="13" t="s">
        <v>529</v>
      </c>
      <c r="F2329" s="12">
        <v>5</v>
      </c>
      <c r="G2329" s="12">
        <v>216806.72</v>
      </c>
      <c r="H2329" s="35">
        <v>46147.398143344908</v>
      </c>
    </row>
    <row r="2330" spans="2:8" x14ac:dyDescent="0.2">
      <c r="B2330" s="32">
        <v>46105</v>
      </c>
      <c r="C2330" t="s">
        <v>109</v>
      </c>
      <c r="D2330" t="s">
        <v>627</v>
      </c>
      <c r="E2330" s="13" t="s">
        <v>529</v>
      </c>
      <c r="F2330" s="12">
        <v>1</v>
      </c>
      <c r="G2330" s="12">
        <v>180672.27</v>
      </c>
      <c r="H2330" s="35">
        <v>46147.398143344908</v>
      </c>
    </row>
    <row r="2331" spans="2:8" x14ac:dyDescent="0.2">
      <c r="B2331" s="32">
        <v>46105</v>
      </c>
      <c r="C2331" t="s">
        <v>109</v>
      </c>
      <c r="D2331" t="s">
        <v>392</v>
      </c>
      <c r="E2331" s="13" t="s">
        <v>529</v>
      </c>
      <c r="F2331" s="12">
        <v>1</v>
      </c>
      <c r="G2331" s="12">
        <v>160619.94</v>
      </c>
      <c r="H2331" s="35">
        <v>46147.398143344908</v>
      </c>
    </row>
    <row r="2332" spans="2:8" x14ac:dyDescent="0.2">
      <c r="B2332" s="32">
        <v>46105</v>
      </c>
      <c r="C2332" t="s">
        <v>109</v>
      </c>
      <c r="D2332" t="s">
        <v>232</v>
      </c>
      <c r="E2332" s="13" t="s">
        <v>529</v>
      </c>
      <c r="F2332" s="12">
        <v>2</v>
      </c>
      <c r="G2332" s="12">
        <v>75630.259999999995</v>
      </c>
      <c r="H2332" s="35">
        <v>46147.398143344908</v>
      </c>
    </row>
    <row r="2333" spans="2:8" x14ac:dyDescent="0.2">
      <c r="B2333" s="32">
        <v>46105</v>
      </c>
      <c r="C2333" t="s">
        <v>109</v>
      </c>
      <c r="D2333" t="s">
        <v>146</v>
      </c>
      <c r="E2333" s="13" t="s">
        <v>529</v>
      </c>
      <c r="F2333" s="12">
        <v>2</v>
      </c>
      <c r="G2333" s="12">
        <v>75630.25</v>
      </c>
      <c r="H2333" s="35">
        <v>46147.398143344908</v>
      </c>
    </row>
    <row r="2334" spans="2:8" x14ac:dyDescent="0.2">
      <c r="B2334" s="32">
        <v>46106</v>
      </c>
      <c r="C2334" t="s">
        <v>140</v>
      </c>
      <c r="D2334" t="s">
        <v>261</v>
      </c>
      <c r="E2334" s="13" t="s">
        <v>529</v>
      </c>
      <c r="F2334" s="12">
        <v>4</v>
      </c>
      <c r="G2334" s="12">
        <v>151260.5</v>
      </c>
      <c r="H2334" s="35">
        <v>46147.398143344908</v>
      </c>
    </row>
    <row r="2335" spans="2:8" x14ac:dyDescent="0.2">
      <c r="B2335" s="32">
        <v>46106</v>
      </c>
      <c r="C2335" t="s">
        <v>140</v>
      </c>
      <c r="D2335" t="s">
        <v>195</v>
      </c>
      <c r="E2335" s="13" t="s">
        <v>530</v>
      </c>
      <c r="F2335" s="12">
        <v>1</v>
      </c>
      <c r="G2335" s="12">
        <v>109243.7</v>
      </c>
      <c r="H2335" s="35">
        <v>46147.398143344908</v>
      </c>
    </row>
    <row r="2336" spans="2:8" x14ac:dyDescent="0.2">
      <c r="B2336" s="32">
        <v>46106</v>
      </c>
      <c r="C2336" t="s">
        <v>109</v>
      </c>
      <c r="D2336" t="s">
        <v>469</v>
      </c>
      <c r="E2336" s="13" t="s">
        <v>529</v>
      </c>
      <c r="F2336" s="12">
        <v>2</v>
      </c>
      <c r="G2336" s="12">
        <v>168067.23</v>
      </c>
      <c r="H2336" s="35">
        <v>46147.398143344908</v>
      </c>
    </row>
    <row r="2337" spans="2:8" x14ac:dyDescent="0.2">
      <c r="B2337" s="32">
        <v>46106</v>
      </c>
      <c r="C2337" t="s">
        <v>109</v>
      </c>
      <c r="D2337" t="s">
        <v>245</v>
      </c>
      <c r="E2337" s="13" t="s">
        <v>530</v>
      </c>
      <c r="F2337" s="12">
        <v>2</v>
      </c>
      <c r="G2337" s="12">
        <v>126050.42</v>
      </c>
      <c r="H2337" s="35">
        <v>46147.398143344908</v>
      </c>
    </row>
    <row r="2338" spans="2:8" x14ac:dyDescent="0.2">
      <c r="B2338" s="32">
        <v>46106</v>
      </c>
      <c r="C2338" t="s">
        <v>109</v>
      </c>
      <c r="D2338" t="s">
        <v>425</v>
      </c>
      <c r="E2338" s="13" t="s">
        <v>530</v>
      </c>
      <c r="F2338" s="12">
        <v>2</v>
      </c>
      <c r="G2338" s="12">
        <v>84033.61</v>
      </c>
      <c r="H2338" s="35">
        <v>46147.398143344908</v>
      </c>
    </row>
    <row r="2339" spans="2:8" x14ac:dyDescent="0.2">
      <c r="B2339" s="32">
        <v>46106</v>
      </c>
      <c r="C2339" t="s">
        <v>109</v>
      </c>
      <c r="D2339" t="s">
        <v>232</v>
      </c>
      <c r="E2339" s="13" t="s">
        <v>529</v>
      </c>
      <c r="F2339" s="12">
        <v>2</v>
      </c>
      <c r="G2339" s="12">
        <v>75630.259999999995</v>
      </c>
      <c r="H2339" s="35">
        <v>46147.398143344908</v>
      </c>
    </row>
    <row r="2340" spans="2:8" x14ac:dyDescent="0.2">
      <c r="B2340" s="32">
        <v>46106</v>
      </c>
      <c r="C2340" t="s">
        <v>109</v>
      </c>
      <c r="D2340" t="s">
        <v>162</v>
      </c>
      <c r="E2340" s="13" t="s">
        <v>529</v>
      </c>
      <c r="F2340" s="12">
        <v>1</v>
      </c>
      <c r="G2340" s="12">
        <v>75630.25</v>
      </c>
      <c r="H2340" s="35">
        <v>46147.398143344908</v>
      </c>
    </row>
    <row r="2341" spans="2:8" x14ac:dyDescent="0.2">
      <c r="B2341" s="32">
        <v>46106</v>
      </c>
      <c r="C2341" t="s">
        <v>109</v>
      </c>
      <c r="D2341" t="s">
        <v>171</v>
      </c>
      <c r="E2341" s="13" t="s">
        <v>529</v>
      </c>
      <c r="F2341" s="12">
        <v>2</v>
      </c>
      <c r="G2341" s="12">
        <v>75630.25</v>
      </c>
      <c r="H2341" s="35">
        <v>46147.398143344908</v>
      </c>
    </row>
    <row r="2342" spans="2:8" x14ac:dyDescent="0.2">
      <c r="B2342" s="32">
        <v>46106</v>
      </c>
      <c r="C2342" t="s">
        <v>109</v>
      </c>
      <c r="D2342" t="s">
        <v>328</v>
      </c>
      <c r="E2342" s="13" t="s">
        <v>529</v>
      </c>
      <c r="F2342" s="12">
        <v>2</v>
      </c>
      <c r="G2342" s="12">
        <v>75630.25</v>
      </c>
      <c r="H2342" s="35">
        <v>46147.398143344908</v>
      </c>
    </row>
    <row r="2343" spans="2:8" x14ac:dyDescent="0.2">
      <c r="B2343" s="32">
        <v>46106</v>
      </c>
      <c r="C2343" t="s">
        <v>109</v>
      </c>
      <c r="D2343" t="s">
        <v>142</v>
      </c>
      <c r="E2343" s="13" t="s">
        <v>529</v>
      </c>
      <c r="F2343" s="12">
        <v>3</v>
      </c>
      <c r="G2343" s="12">
        <v>47058.83</v>
      </c>
      <c r="H2343" s="35">
        <v>46147.398143344908</v>
      </c>
    </row>
    <row r="2344" spans="2:8" x14ac:dyDescent="0.2">
      <c r="B2344" s="32">
        <v>46106</v>
      </c>
      <c r="C2344" t="s">
        <v>109</v>
      </c>
      <c r="D2344" t="s">
        <v>154</v>
      </c>
      <c r="E2344" s="13" t="s">
        <v>529</v>
      </c>
      <c r="F2344" s="12">
        <v>1</v>
      </c>
      <c r="G2344" s="12">
        <v>46218.49</v>
      </c>
      <c r="H2344" s="35">
        <v>46147.398143344908</v>
      </c>
    </row>
    <row r="2345" spans="2:8" x14ac:dyDescent="0.2">
      <c r="B2345" s="32">
        <v>46107</v>
      </c>
      <c r="C2345" t="s">
        <v>140</v>
      </c>
      <c r="D2345" t="s">
        <v>439</v>
      </c>
      <c r="E2345" s="13" t="s">
        <v>529</v>
      </c>
      <c r="F2345" s="12">
        <v>2</v>
      </c>
      <c r="G2345" s="12">
        <v>235294.12</v>
      </c>
      <c r="H2345" s="35">
        <v>46147.398143344908</v>
      </c>
    </row>
    <row r="2346" spans="2:8" x14ac:dyDescent="0.2">
      <c r="B2346" s="32">
        <v>46107</v>
      </c>
      <c r="C2346" t="s">
        <v>109</v>
      </c>
      <c r="D2346" t="s">
        <v>146</v>
      </c>
      <c r="E2346" s="13" t="s">
        <v>529</v>
      </c>
      <c r="F2346" s="12">
        <v>2</v>
      </c>
      <c r="G2346" s="12">
        <v>75630.259999999995</v>
      </c>
      <c r="H2346" s="35">
        <v>46147.398143344908</v>
      </c>
    </row>
    <row r="2347" spans="2:8" x14ac:dyDescent="0.2">
      <c r="B2347" s="32">
        <v>46107</v>
      </c>
      <c r="C2347" t="s">
        <v>109</v>
      </c>
      <c r="D2347" t="s">
        <v>246</v>
      </c>
      <c r="E2347" s="13" t="s">
        <v>529</v>
      </c>
      <c r="F2347" s="12">
        <v>2</v>
      </c>
      <c r="G2347" s="12">
        <v>75630.25</v>
      </c>
      <c r="H2347" s="35">
        <v>46147.398143344908</v>
      </c>
    </row>
    <row r="2348" spans="2:8" x14ac:dyDescent="0.2">
      <c r="B2348" s="32">
        <v>46107</v>
      </c>
      <c r="C2348" t="s">
        <v>109</v>
      </c>
      <c r="D2348" t="s">
        <v>231</v>
      </c>
      <c r="E2348" s="13" t="s">
        <v>530</v>
      </c>
      <c r="F2348" s="12">
        <v>1</v>
      </c>
      <c r="G2348" s="12">
        <v>63025.21</v>
      </c>
      <c r="H2348" s="35">
        <v>46147.398143344908</v>
      </c>
    </row>
    <row r="2349" spans="2:8" x14ac:dyDescent="0.2">
      <c r="B2349" s="32">
        <v>46107</v>
      </c>
      <c r="C2349" t="s">
        <v>109</v>
      </c>
      <c r="D2349" t="s">
        <v>423</v>
      </c>
      <c r="E2349" s="13" t="s">
        <v>529</v>
      </c>
      <c r="F2349" s="12">
        <v>1</v>
      </c>
      <c r="G2349" s="12">
        <v>37815.129999999997</v>
      </c>
      <c r="H2349" s="35">
        <v>46147.398143344908</v>
      </c>
    </row>
    <row r="2350" spans="2:8" x14ac:dyDescent="0.2">
      <c r="B2350" s="32">
        <v>46107</v>
      </c>
      <c r="C2350" t="s">
        <v>109</v>
      </c>
      <c r="D2350" t="s">
        <v>142</v>
      </c>
      <c r="E2350" s="13" t="s">
        <v>529</v>
      </c>
      <c r="F2350" s="12">
        <v>2</v>
      </c>
      <c r="G2350" s="12">
        <v>33613.440000000002</v>
      </c>
      <c r="H2350" s="35">
        <v>46147.398143344908</v>
      </c>
    </row>
    <row r="2351" spans="2:8" x14ac:dyDescent="0.2">
      <c r="B2351" s="32">
        <v>46107</v>
      </c>
      <c r="C2351" t="s">
        <v>109</v>
      </c>
      <c r="D2351" t="s">
        <v>450</v>
      </c>
      <c r="E2351" s="13" t="s">
        <v>529</v>
      </c>
      <c r="F2351" s="12">
        <v>1</v>
      </c>
      <c r="G2351" s="12">
        <v>16806.72</v>
      </c>
      <c r="H2351" s="35">
        <v>46147.398143344908</v>
      </c>
    </row>
    <row r="2352" spans="2:8" x14ac:dyDescent="0.2">
      <c r="B2352" s="32">
        <v>46108</v>
      </c>
      <c r="C2352" t="s">
        <v>140</v>
      </c>
      <c r="D2352" t="s">
        <v>426</v>
      </c>
      <c r="E2352" s="13" t="s">
        <v>530</v>
      </c>
      <c r="F2352" s="12">
        <v>2</v>
      </c>
      <c r="G2352" s="12">
        <v>126050.42</v>
      </c>
      <c r="H2352" s="35">
        <v>46147.398143344908</v>
      </c>
    </row>
    <row r="2353" spans="2:8" x14ac:dyDescent="0.2">
      <c r="B2353" s="32">
        <v>46108</v>
      </c>
      <c r="C2353" t="s">
        <v>109</v>
      </c>
      <c r="D2353" t="s">
        <v>142</v>
      </c>
      <c r="E2353" s="13" t="s">
        <v>529</v>
      </c>
      <c r="F2353" s="12">
        <v>13</v>
      </c>
      <c r="G2353" s="12">
        <v>273949.59000000003</v>
      </c>
      <c r="H2353" s="35">
        <v>46147.398143344908</v>
      </c>
    </row>
    <row r="2354" spans="2:8" x14ac:dyDescent="0.2">
      <c r="B2354" s="32">
        <v>46108</v>
      </c>
      <c r="C2354" t="s">
        <v>109</v>
      </c>
      <c r="D2354" t="s">
        <v>630</v>
      </c>
      <c r="E2354" s="13" t="s">
        <v>529</v>
      </c>
      <c r="F2354" s="12">
        <v>1</v>
      </c>
      <c r="G2354" s="12">
        <v>210084.03</v>
      </c>
      <c r="H2354" s="35">
        <v>46147.398143344908</v>
      </c>
    </row>
    <row r="2355" spans="2:8" x14ac:dyDescent="0.2">
      <c r="B2355" s="32">
        <v>46108</v>
      </c>
      <c r="C2355" t="s">
        <v>109</v>
      </c>
      <c r="D2355" t="s">
        <v>266</v>
      </c>
      <c r="E2355" s="13" t="s">
        <v>530</v>
      </c>
      <c r="F2355" s="12">
        <v>1</v>
      </c>
      <c r="G2355" s="12">
        <v>142857.14000000001</v>
      </c>
      <c r="H2355" s="35">
        <v>46147.398143344908</v>
      </c>
    </row>
    <row r="2356" spans="2:8" x14ac:dyDescent="0.2">
      <c r="B2356" s="32">
        <v>46108</v>
      </c>
      <c r="C2356" t="s">
        <v>109</v>
      </c>
      <c r="D2356" t="s">
        <v>432</v>
      </c>
      <c r="E2356" s="13" t="s">
        <v>529</v>
      </c>
      <c r="F2356" s="12">
        <v>1</v>
      </c>
      <c r="G2356" s="12">
        <v>75630.25</v>
      </c>
      <c r="H2356" s="35">
        <v>46147.398143344908</v>
      </c>
    </row>
    <row r="2357" spans="2:8" x14ac:dyDescent="0.2">
      <c r="B2357" s="32">
        <v>46108</v>
      </c>
      <c r="C2357" t="s">
        <v>109</v>
      </c>
      <c r="D2357" t="s">
        <v>333</v>
      </c>
      <c r="E2357" s="13" t="s">
        <v>529</v>
      </c>
      <c r="F2357" s="12">
        <v>1</v>
      </c>
      <c r="G2357" s="12">
        <v>75630.25</v>
      </c>
      <c r="H2357" s="35">
        <v>46147.398143344908</v>
      </c>
    </row>
    <row r="2358" spans="2:8" x14ac:dyDescent="0.2">
      <c r="B2358" s="32">
        <v>46108</v>
      </c>
      <c r="C2358" t="s">
        <v>109</v>
      </c>
      <c r="D2358" t="s">
        <v>325</v>
      </c>
      <c r="E2358" s="13" t="s">
        <v>529</v>
      </c>
      <c r="F2358" s="12">
        <v>2</v>
      </c>
      <c r="G2358" s="12">
        <v>70000</v>
      </c>
      <c r="H2358" s="35">
        <v>46147.398143344908</v>
      </c>
    </row>
    <row r="2359" spans="2:8" x14ac:dyDescent="0.2">
      <c r="B2359" s="32">
        <v>46108</v>
      </c>
      <c r="C2359" t="s">
        <v>109</v>
      </c>
      <c r="D2359" t="s">
        <v>281</v>
      </c>
      <c r="E2359" s="13" t="s">
        <v>529</v>
      </c>
      <c r="F2359" s="12">
        <v>1</v>
      </c>
      <c r="G2359" s="12">
        <v>54621.85</v>
      </c>
      <c r="H2359" s="35">
        <v>46147.398143344908</v>
      </c>
    </row>
    <row r="2360" spans="2:8" x14ac:dyDescent="0.2">
      <c r="B2360" s="32">
        <v>46108</v>
      </c>
      <c r="C2360" t="s">
        <v>109</v>
      </c>
      <c r="D2360" t="s">
        <v>325</v>
      </c>
      <c r="E2360" s="13" t="s">
        <v>530</v>
      </c>
      <c r="F2360" s="12">
        <v>1</v>
      </c>
      <c r="G2360" s="12">
        <v>35000</v>
      </c>
      <c r="H2360" s="35">
        <v>46147.398143344908</v>
      </c>
    </row>
    <row r="2361" spans="2:8" x14ac:dyDescent="0.2">
      <c r="B2361" s="32">
        <v>46108</v>
      </c>
      <c r="C2361" t="s">
        <v>109</v>
      </c>
      <c r="D2361" t="s">
        <v>207</v>
      </c>
      <c r="E2361" s="13" t="s">
        <v>529</v>
      </c>
      <c r="F2361" s="12">
        <v>1</v>
      </c>
      <c r="G2361" s="12">
        <v>16806.72</v>
      </c>
      <c r="H2361" s="35">
        <v>46147.398143344908</v>
      </c>
    </row>
    <row r="2362" spans="2:8" x14ac:dyDescent="0.2">
      <c r="B2362" s="32">
        <v>46109</v>
      </c>
      <c r="C2362" t="s">
        <v>140</v>
      </c>
      <c r="D2362" t="s">
        <v>242</v>
      </c>
      <c r="E2362" s="13" t="s">
        <v>530</v>
      </c>
      <c r="F2362" s="12">
        <v>4</v>
      </c>
      <c r="G2362" s="12">
        <v>235294.12</v>
      </c>
      <c r="H2362" s="35">
        <v>46147.398143344908</v>
      </c>
    </row>
    <row r="2363" spans="2:8" x14ac:dyDescent="0.2">
      <c r="B2363" s="32">
        <v>46109</v>
      </c>
      <c r="C2363" t="s">
        <v>140</v>
      </c>
      <c r="D2363" t="s">
        <v>160</v>
      </c>
      <c r="E2363" s="13" t="s">
        <v>530</v>
      </c>
      <c r="F2363" s="12">
        <v>3</v>
      </c>
      <c r="G2363" s="12">
        <v>189075.63</v>
      </c>
      <c r="H2363" s="35">
        <v>46147.398143344908</v>
      </c>
    </row>
    <row r="2364" spans="2:8" x14ac:dyDescent="0.2">
      <c r="B2364" s="32">
        <v>46109</v>
      </c>
      <c r="C2364" t="s">
        <v>140</v>
      </c>
      <c r="D2364" t="s">
        <v>269</v>
      </c>
      <c r="E2364" s="13" t="s">
        <v>530</v>
      </c>
      <c r="F2364" s="12">
        <v>2</v>
      </c>
      <c r="G2364" s="12">
        <v>126050.42</v>
      </c>
      <c r="H2364" s="35">
        <v>46147.398143344908</v>
      </c>
    </row>
    <row r="2365" spans="2:8" x14ac:dyDescent="0.2">
      <c r="B2365" s="32">
        <v>46109</v>
      </c>
      <c r="C2365" t="s">
        <v>109</v>
      </c>
      <c r="E2365" s="13" t="s">
        <v>529</v>
      </c>
      <c r="F2365" s="12">
        <v>3</v>
      </c>
      <c r="G2365" s="12">
        <v>380881.29</v>
      </c>
      <c r="H2365" s="35">
        <v>46147.398143344908</v>
      </c>
    </row>
    <row r="2366" spans="2:8" x14ac:dyDescent="0.2">
      <c r="B2366" s="32">
        <v>46109</v>
      </c>
      <c r="C2366" t="s">
        <v>109</v>
      </c>
      <c r="D2366" t="s">
        <v>392</v>
      </c>
      <c r="E2366" s="13" t="s">
        <v>529</v>
      </c>
      <c r="F2366" s="12">
        <v>2</v>
      </c>
      <c r="G2366" s="12">
        <v>234821.17</v>
      </c>
      <c r="H2366" s="35">
        <v>46147.398143344908</v>
      </c>
    </row>
    <row r="2367" spans="2:8" x14ac:dyDescent="0.2">
      <c r="B2367" s="32">
        <v>46109</v>
      </c>
      <c r="C2367" t="s">
        <v>109</v>
      </c>
      <c r="D2367" t="s">
        <v>203</v>
      </c>
      <c r="E2367" s="13" t="s">
        <v>530</v>
      </c>
      <c r="F2367" s="12">
        <v>3</v>
      </c>
      <c r="G2367" s="12">
        <v>189075.63</v>
      </c>
      <c r="H2367" s="35">
        <v>46147.398143344908</v>
      </c>
    </row>
    <row r="2368" spans="2:8" x14ac:dyDescent="0.2">
      <c r="B2368" s="32">
        <v>46109</v>
      </c>
      <c r="C2368" t="s">
        <v>109</v>
      </c>
      <c r="D2368" t="s">
        <v>231</v>
      </c>
      <c r="E2368" s="13" t="s">
        <v>529</v>
      </c>
      <c r="F2368" s="12">
        <v>3</v>
      </c>
      <c r="G2368" s="12">
        <v>189075.63</v>
      </c>
      <c r="H2368" s="35">
        <v>46147.398143344908</v>
      </c>
    </row>
    <row r="2369" spans="2:8" x14ac:dyDescent="0.2">
      <c r="B2369" s="32">
        <v>46109</v>
      </c>
      <c r="C2369" t="s">
        <v>109</v>
      </c>
      <c r="D2369" t="s">
        <v>527</v>
      </c>
      <c r="E2369" s="13" t="s">
        <v>529</v>
      </c>
      <c r="F2369" s="12">
        <v>1</v>
      </c>
      <c r="G2369" s="12">
        <v>184873.95</v>
      </c>
      <c r="H2369" s="35">
        <v>46147.398143344908</v>
      </c>
    </row>
    <row r="2370" spans="2:8" x14ac:dyDescent="0.2">
      <c r="B2370" s="32">
        <v>46109</v>
      </c>
      <c r="C2370" t="s">
        <v>109</v>
      </c>
      <c r="D2370" t="s">
        <v>218</v>
      </c>
      <c r="E2370" s="13" t="s">
        <v>530</v>
      </c>
      <c r="F2370" s="12">
        <v>2</v>
      </c>
      <c r="G2370" s="12">
        <v>168067.23</v>
      </c>
      <c r="H2370" s="35">
        <v>46147.398143344908</v>
      </c>
    </row>
    <row r="2371" spans="2:8" x14ac:dyDescent="0.2">
      <c r="B2371" s="32">
        <v>46109</v>
      </c>
      <c r="C2371" t="s">
        <v>109</v>
      </c>
      <c r="D2371" t="s">
        <v>172</v>
      </c>
      <c r="E2371" s="13" t="s">
        <v>529</v>
      </c>
      <c r="F2371" s="12">
        <v>2</v>
      </c>
      <c r="G2371" s="12">
        <v>168067.22</v>
      </c>
      <c r="H2371" s="35">
        <v>46147.398143344908</v>
      </c>
    </row>
    <row r="2372" spans="2:8" x14ac:dyDescent="0.2">
      <c r="B2372" s="32">
        <v>46109</v>
      </c>
      <c r="C2372" t="s">
        <v>109</v>
      </c>
      <c r="D2372" t="s">
        <v>375</v>
      </c>
      <c r="E2372" s="13" t="s">
        <v>529</v>
      </c>
      <c r="F2372" s="12">
        <v>1</v>
      </c>
      <c r="G2372" s="12">
        <v>151260.5</v>
      </c>
      <c r="H2372" s="35">
        <v>46147.398143344908</v>
      </c>
    </row>
    <row r="2373" spans="2:8" x14ac:dyDescent="0.2">
      <c r="B2373" s="32">
        <v>46109</v>
      </c>
      <c r="C2373" t="s">
        <v>109</v>
      </c>
      <c r="D2373" t="s">
        <v>143</v>
      </c>
      <c r="E2373" s="13" t="s">
        <v>529</v>
      </c>
      <c r="F2373" s="12">
        <v>4</v>
      </c>
      <c r="G2373" s="12">
        <v>140000</v>
      </c>
      <c r="H2373" s="35">
        <v>46147.398143344908</v>
      </c>
    </row>
    <row r="2374" spans="2:8" x14ac:dyDescent="0.2">
      <c r="B2374" s="32">
        <v>46109</v>
      </c>
      <c r="C2374" t="s">
        <v>109</v>
      </c>
      <c r="D2374" t="s">
        <v>232</v>
      </c>
      <c r="E2374" s="13" t="s">
        <v>529</v>
      </c>
      <c r="F2374" s="12">
        <v>3</v>
      </c>
      <c r="G2374" s="12">
        <v>120630.26</v>
      </c>
      <c r="H2374" s="35">
        <v>46147.398143344908</v>
      </c>
    </row>
    <row r="2375" spans="2:8" x14ac:dyDescent="0.2">
      <c r="B2375" s="32">
        <v>46109</v>
      </c>
      <c r="C2375" t="s">
        <v>109</v>
      </c>
      <c r="D2375" t="s">
        <v>428</v>
      </c>
      <c r="E2375" s="13" t="s">
        <v>530</v>
      </c>
      <c r="F2375" s="12">
        <v>2</v>
      </c>
      <c r="G2375" s="12">
        <v>104146.58</v>
      </c>
      <c r="H2375" s="35">
        <v>46147.398143344908</v>
      </c>
    </row>
    <row r="2376" spans="2:8" x14ac:dyDescent="0.2">
      <c r="B2376" s="32">
        <v>46109</v>
      </c>
      <c r="C2376" t="s">
        <v>109</v>
      </c>
      <c r="D2376" t="s">
        <v>538</v>
      </c>
      <c r="E2376" s="13" t="s">
        <v>529</v>
      </c>
      <c r="F2376" s="12">
        <v>2</v>
      </c>
      <c r="G2376" s="12">
        <v>98000</v>
      </c>
      <c r="H2376" s="35">
        <v>46147.398143344908</v>
      </c>
    </row>
    <row r="2377" spans="2:8" x14ac:dyDescent="0.2">
      <c r="B2377" s="32">
        <v>46109</v>
      </c>
      <c r="C2377" t="s">
        <v>109</v>
      </c>
      <c r="D2377" t="s">
        <v>325</v>
      </c>
      <c r="E2377" s="13" t="s">
        <v>529</v>
      </c>
      <c r="F2377" s="12">
        <v>2</v>
      </c>
      <c r="G2377" s="12">
        <v>70000</v>
      </c>
      <c r="H2377" s="35">
        <v>46147.398143344908</v>
      </c>
    </row>
    <row r="2378" spans="2:8" x14ac:dyDescent="0.2">
      <c r="B2378" s="32">
        <v>46109</v>
      </c>
      <c r="C2378" t="s">
        <v>109</v>
      </c>
      <c r="D2378" t="s">
        <v>547</v>
      </c>
      <c r="E2378" s="13" t="s">
        <v>529</v>
      </c>
      <c r="F2378" s="12">
        <v>1</v>
      </c>
      <c r="G2378" s="12">
        <v>58823.53</v>
      </c>
      <c r="H2378" s="35">
        <v>46147.398143344908</v>
      </c>
    </row>
    <row r="2379" spans="2:8" x14ac:dyDescent="0.2">
      <c r="B2379" s="32">
        <v>46109</v>
      </c>
      <c r="C2379" t="s">
        <v>109</v>
      </c>
      <c r="D2379" t="s">
        <v>142</v>
      </c>
      <c r="E2379" s="13" t="s">
        <v>529</v>
      </c>
      <c r="F2379" s="12">
        <v>6</v>
      </c>
      <c r="G2379" s="12">
        <v>51680.67</v>
      </c>
      <c r="H2379" s="35">
        <v>46147.398143344908</v>
      </c>
    </row>
    <row r="2380" spans="2:8" x14ac:dyDescent="0.2">
      <c r="B2380" s="32">
        <v>46109</v>
      </c>
      <c r="C2380" t="s">
        <v>109</v>
      </c>
      <c r="D2380" t="s">
        <v>347</v>
      </c>
      <c r="E2380" s="13" t="s">
        <v>529</v>
      </c>
      <c r="F2380" s="12">
        <v>3</v>
      </c>
      <c r="G2380" s="12">
        <v>50420.160000000003</v>
      </c>
      <c r="H2380" s="35">
        <v>46147.398143344908</v>
      </c>
    </row>
    <row r="2381" spans="2:8" x14ac:dyDescent="0.2">
      <c r="B2381" s="32">
        <v>46109</v>
      </c>
      <c r="C2381" t="s">
        <v>109</v>
      </c>
      <c r="D2381" t="s">
        <v>216</v>
      </c>
      <c r="E2381" s="13" t="s">
        <v>529</v>
      </c>
      <c r="F2381" s="12">
        <v>1</v>
      </c>
      <c r="G2381" s="12">
        <v>50000</v>
      </c>
      <c r="H2381" s="35">
        <v>46147.398143344908</v>
      </c>
    </row>
    <row r="2382" spans="2:8" x14ac:dyDescent="0.2">
      <c r="B2382" s="32">
        <v>46110</v>
      </c>
      <c r="C2382" t="s">
        <v>109</v>
      </c>
      <c r="D2382" t="s">
        <v>431</v>
      </c>
      <c r="E2382" s="13" t="s">
        <v>530</v>
      </c>
      <c r="F2382" s="12">
        <v>2</v>
      </c>
      <c r="G2382" s="12">
        <v>386554.62</v>
      </c>
      <c r="H2382" s="35">
        <v>46147.398143344908</v>
      </c>
    </row>
    <row r="2383" spans="2:8" x14ac:dyDescent="0.2">
      <c r="B2383" s="32">
        <v>46110</v>
      </c>
      <c r="C2383" t="s">
        <v>109</v>
      </c>
      <c r="E2383" s="13" t="s">
        <v>529</v>
      </c>
      <c r="F2383" s="12">
        <v>3</v>
      </c>
      <c r="G2383" s="12">
        <v>378151.26</v>
      </c>
      <c r="H2383" s="35">
        <v>46147.398143344908</v>
      </c>
    </row>
    <row r="2384" spans="2:8" x14ac:dyDescent="0.2">
      <c r="B2384" s="32">
        <v>46110</v>
      </c>
      <c r="C2384" t="s">
        <v>109</v>
      </c>
      <c r="D2384" t="s">
        <v>166</v>
      </c>
      <c r="E2384" s="13" t="s">
        <v>529</v>
      </c>
      <c r="F2384" s="12">
        <v>3</v>
      </c>
      <c r="G2384" s="12">
        <v>138655.47</v>
      </c>
      <c r="H2384" s="35">
        <v>46147.398143344908</v>
      </c>
    </row>
    <row r="2385" spans="2:8" x14ac:dyDescent="0.2">
      <c r="B2385" s="32">
        <v>46110</v>
      </c>
      <c r="C2385" t="s">
        <v>109</v>
      </c>
      <c r="D2385" t="s">
        <v>143</v>
      </c>
      <c r="E2385" s="13" t="s">
        <v>529</v>
      </c>
      <c r="F2385" s="12">
        <v>4</v>
      </c>
      <c r="G2385" s="12">
        <v>117647.03999999999</v>
      </c>
      <c r="H2385" s="35">
        <v>46147.398143344908</v>
      </c>
    </row>
    <row r="2386" spans="2:8" x14ac:dyDescent="0.2">
      <c r="B2386" s="32">
        <v>46110</v>
      </c>
      <c r="C2386" t="s">
        <v>109</v>
      </c>
      <c r="D2386" t="s">
        <v>172</v>
      </c>
      <c r="E2386" s="13" t="s">
        <v>529</v>
      </c>
      <c r="F2386" s="12">
        <v>1</v>
      </c>
      <c r="G2386" s="12">
        <v>84033.62</v>
      </c>
      <c r="H2386" s="35">
        <v>46147.398143344908</v>
      </c>
    </row>
    <row r="2387" spans="2:8" x14ac:dyDescent="0.2">
      <c r="B2387" s="32">
        <v>46110</v>
      </c>
      <c r="C2387" t="s">
        <v>109</v>
      </c>
      <c r="D2387" t="s">
        <v>333</v>
      </c>
      <c r="E2387" s="13" t="s">
        <v>529</v>
      </c>
      <c r="F2387" s="12">
        <v>1</v>
      </c>
      <c r="G2387" s="12">
        <v>75630.25</v>
      </c>
      <c r="H2387" s="35">
        <v>46147.398143344908</v>
      </c>
    </row>
    <row r="2388" spans="2:8" x14ac:dyDescent="0.2">
      <c r="B2388" s="32">
        <v>46110</v>
      </c>
      <c r="C2388" t="s">
        <v>109</v>
      </c>
      <c r="D2388" t="s">
        <v>162</v>
      </c>
      <c r="E2388" s="13" t="s">
        <v>529</v>
      </c>
      <c r="F2388" s="12">
        <v>1</v>
      </c>
      <c r="G2388" s="12">
        <v>75630.25</v>
      </c>
      <c r="H2388" s="35">
        <v>46147.398143344908</v>
      </c>
    </row>
    <row r="2389" spans="2:8" x14ac:dyDescent="0.2">
      <c r="B2389" s="32">
        <v>46110</v>
      </c>
      <c r="C2389" t="s">
        <v>109</v>
      </c>
      <c r="D2389" t="s">
        <v>145</v>
      </c>
      <c r="E2389" s="13" t="s">
        <v>529</v>
      </c>
      <c r="F2389" s="12">
        <v>1</v>
      </c>
      <c r="G2389" s="12">
        <v>75630.25</v>
      </c>
      <c r="H2389" s="35">
        <v>46147.398143344908</v>
      </c>
    </row>
    <row r="2390" spans="2:8" x14ac:dyDescent="0.2">
      <c r="B2390" s="32">
        <v>46110</v>
      </c>
      <c r="C2390" t="s">
        <v>109</v>
      </c>
      <c r="D2390" t="s">
        <v>465</v>
      </c>
      <c r="E2390" s="13" t="s">
        <v>529</v>
      </c>
      <c r="F2390" s="12">
        <v>1</v>
      </c>
      <c r="G2390" s="12">
        <v>75630.25</v>
      </c>
      <c r="H2390" s="35">
        <v>46147.398143344908</v>
      </c>
    </row>
    <row r="2391" spans="2:8" x14ac:dyDescent="0.2">
      <c r="B2391" s="32">
        <v>46110</v>
      </c>
      <c r="C2391" t="s">
        <v>109</v>
      </c>
      <c r="D2391" t="s">
        <v>142</v>
      </c>
      <c r="E2391" s="13" t="s">
        <v>529</v>
      </c>
      <c r="F2391" s="12">
        <v>4</v>
      </c>
      <c r="G2391" s="12">
        <v>54621.85</v>
      </c>
      <c r="H2391" s="35">
        <v>46147.398143344908</v>
      </c>
    </row>
    <row r="2392" spans="2:8" x14ac:dyDescent="0.2">
      <c r="B2392" s="32">
        <v>46110</v>
      </c>
      <c r="C2392" t="s">
        <v>109</v>
      </c>
      <c r="D2392" t="s">
        <v>326</v>
      </c>
      <c r="E2392" s="13" t="s">
        <v>529</v>
      </c>
      <c r="F2392" s="12">
        <v>1</v>
      </c>
      <c r="G2392" s="12">
        <v>37815.129999999997</v>
      </c>
      <c r="H2392" s="35">
        <v>46147.398143344908</v>
      </c>
    </row>
    <row r="2393" spans="2:8" x14ac:dyDescent="0.2">
      <c r="B2393" s="32">
        <v>46111</v>
      </c>
      <c r="C2393" t="s">
        <v>140</v>
      </c>
      <c r="D2393" t="s">
        <v>290</v>
      </c>
      <c r="E2393" s="13" t="s">
        <v>529</v>
      </c>
      <c r="F2393" s="12">
        <v>1</v>
      </c>
      <c r="G2393" s="12">
        <v>54621.85</v>
      </c>
      <c r="H2393" s="35">
        <v>46147.398143344908</v>
      </c>
    </row>
    <row r="2394" spans="2:8" x14ac:dyDescent="0.2">
      <c r="B2394" s="32">
        <v>46111</v>
      </c>
      <c r="C2394" t="s">
        <v>109</v>
      </c>
      <c r="D2394" t="s">
        <v>617</v>
      </c>
      <c r="E2394" s="13" t="s">
        <v>529</v>
      </c>
      <c r="F2394" s="12">
        <v>3</v>
      </c>
      <c r="G2394" s="12">
        <v>428571.43</v>
      </c>
      <c r="H2394" s="35">
        <v>46147.398143344908</v>
      </c>
    </row>
    <row r="2395" spans="2:8" x14ac:dyDescent="0.2">
      <c r="B2395" s="32">
        <v>46111</v>
      </c>
      <c r="C2395" t="s">
        <v>109</v>
      </c>
      <c r="D2395" t="s">
        <v>143</v>
      </c>
      <c r="E2395" s="13" t="s">
        <v>529</v>
      </c>
      <c r="F2395" s="12">
        <v>4</v>
      </c>
      <c r="G2395" s="12">
        <v>117647.05</v>
      </c>
      <c r="H2395" s="35">
        <v>46147.398143344908</v>
      </c>
    </row>
    <row r="2396" spans="2:8" x14ac:dyDescent="0.2">
      <c r="B2396" s="32">
        <v>46111</v>
      </c>
      <c r="C2396" t="s">
        <v>109</v>
      </c>
      <c r="D2396" t="s">
        <v>326</v>
      </c>
      <c r="E2396" s="13" t="s">
        <v>529</v>
      </c>
      <c r="F2396" s="12">
        <v>3</v>
      </c>
      <c r="G2396" s="12">
        <v>113445.38</v>
      </c>
      <c r="H2396" s="35">
        <v>46147.398143344908</v>
      </c>
    </row>
    <row r="2397" spans="2:8" x14ac:dyDescent="0.2">
      <c r="B2397" s="32">
        <v>46111</v>
      </c>
      <c r="C2397" t="s">
        <v>109</v>
      </c>
      <c r="D2397" t="s">
        <v>204</v>
      </c>
      <c r="E2397" s="13" t="s">
        <v>529</v>
      </c>
      <c r="F2397" s="12">
        <v>3</v>
      </c>
      <c r="G2397" s="12">
        <v>113445.38</v>
      </c>
      <c r="H2397" s="35">
        <v>46147.398143344908</v>
      </c>
    </row>
    <row r="2398" spans="2:8" x14ac:dyDescent="0.2">
      <c r="B2398" s="32">
        <v>46111</v>
      </c>
      <c r="C2398" t="s">
        <v>109</v>
      </c>
      <c r="D2398" t="s">
        <v>166</v>
      </c>
      <c r="E2398" s="13" t="s">
        <v>529</v>
      </c>
      <c r="F2398" s="12">
        <v>2</v>
      </c>
      <c r="G2398" s="12">
        <v>92436.98</v>
      </c>
      <c r="H2398" s="35">
        <v>46147.398143344908</v>
      </c>
    </row>
    <row r="2399" spans="2:8" x14ac:dyDescent="0.2">
      <c r="B2399" s="32">
        <v>46111</v>
      </c>
      <c r="C2399" t="s">
        <v>109</v>
      </c>
      <c r="D2399" t="s">
        <v>627</v>
      </c>
      <c r="E2399" s="13" t="s">
        <v>529</v>
      </c>
      <c r="F2399" s="12">
        <v>1</v>
      </c>
      <c r="G2399" s="12">
        <v>92436.97</v>
      </c>
      <c r="H2399" s="35">
        <v>46147.398143344908</v>
      </c>
    </row>
    <row r="2400" spans="2:8" x14ac:dyDescent="0.2">
      <c r="B2400" s="32">
        <v>46111</v>
      </c>
      <c r="C2400" t="s">
        <v>109</v>
      </c>
      <c r="D2400" t="s">
        <v>154</v>
      </c>
      <c r="E2400" s="13" t="s">
        <v>529</v>
      </c>
      <c r="F2400" s="12">
        <v>2</v>
      </c>
      <c r="G2400" s="12">
        <v>92436.97</v>
      </c>
      <c r="H2400" s="35">
        <v>46147.398143344908</v>
      </c>
    </row>
    <row r="2401" spans="2:8" x14ac:dyDescent="0.2">
      <c r="B2401" s="32">
        <v>46111</v>
      </c>
      <c r="C2401" t="s">
        <v>109</v>
      </c>
      <c r="D2401" t="s">
        <v>355</v>
      </c>
      <c r="E2401" s="13" t="s">
        <v>529</v>
      </c>
      <c r="F2401" s="12">
        <v>1</v>
      </c>
      <c r="G2401" s="12">
        <v>58823.53</v>
      </c>
      <c r="H2401" s="35">
        <v>46147.398143344908</v>
      </c>
    </row>
    <row r="2402" spans="2:8" x14ac:dyDescent="0.2">
      <c r="B2402" s="32">
        <v>46112</v>
      </c>
      <c r="C2402" t="s">
        <v>108</v>
      </c>
      <c r="D2402" t="s">
        <v>360</v>
      </c>
      <c r="E2402" s="13" t="s">
        <v>529</v>
      </c>
      <c r="F2402" s="12">
        <v>50</v>
      </c>
      <c r="G2402" s="12">
        <v>744663.87</v>
      </c>
      <c r="H2402" s="35">
        <v>46147.398143344908</v>
      </c>
    </row>
    <row r="2403" spans="2:8" x14ac:dyDescent="0.2">
      <c r="B2403" s="32">
        <v>46112</v>
      </c>
      <c r="C2403" t="s">
        <v>140</v>
      </c>
      <c r="D2403" t="s">
        <v>279</v>
      </c>
      <c r="E2403" s="13" t="s">
        <v>529</v>
      </c>
      <c r="F2403" s="12">
        <v>1</v>
      </c>
      <c r="G2403" s="12">
        <v>92436.98</v>
      </c>
      <c r="H2403" s="35">
        <v>46147.398143344908</v>
      </c>
    </row>
    <row r="2404" spans="2:8" x14ac:dyDescent="0.2">
      <c r="B2404" s="32">
        <v>46112</v>
      </c>
      <c r="C2404" t="s">
        <v>109</v>
      </c>
      <c r="D2404" t="s">
        <v>422</v>
      </c>
      <c r="E2404" s="13" t="s">
        <v>530</v>
      </c>
      <c r="F2404" s="12">
        <v>2</v>
      </c>
      <c r="G2404" s="12">
        <v>348739.5</v>
      </c>
      <c r="H2404" s="35">
        <v>46147.398143344908</v>
      </c>
    </row>
    <row r="2405" spans="2:8" x14ac:dyDescent="0.2">
      <c r="B2405" s="32">
        <v>46112</v>
      </c>
      <c r="C2405" t="s">
        <v>109</v>
      </c>
      <c r="D2405" t="s">
        <v>156</v>
      </c>
      <c r="E2405" s="13" t="s">
        <v>529</v>
      </c>
      <c r="F2405" s="12">
        <v>2</v>
      </c>
      <c r="G2405" s="12">
        <v>92436.98</v>
      </c>
      <c r="H2405" s="35">
        <v>46147.398143344908</v>
      </c>
    </row>
    <row r="2406" spans="2:8" x14ac:dyDescent="0.2">
      <c r="B2406" s="32">
        <v>46112</v>
      </c>
      <c r="C2406" t="s">
        <v>109</v>
      </c>
      <c r="D2406" t="s">
        <v>298</v>
      </c>
      <c r="E2406" s="13" t="s">
        <v>529</v>
      </c>
      <c r="F2406" s="12">
        <v>2</v>
      </c>
      <c r="G2406" s="12">
        <v>84033.62</v>
      </c>
      <c r="H2406" s="35">
        <v>46147.398143344908</v>
      </c>
    </row>
    <row r="2407" spans="2:8" x14ac:dyDescent="0.2">
      <c r="B2407" s="32">
        <v>46112</v>
      </c>
      <c r="C2407" t="s">
        <v>109</v>
      </c>
      <c r="D2407" t="s">
        <v>333</v>
      </c>
      <c r="E2407" s="13" t="s">
        <v>529</v>
      </c>
      <c r="F2407" s="12">
        <v>1</v>
      </c>
      <c r="G2407" s="12">
        <v>75630.25</v>
      </c>
      <c r="H2407" s="35">
        <v>46147.398143344908</v>
      </c>
    </row>
    <row r="2408" spans="2:8" x14ac:dyDescent="0.2">
      <c r="B2408" s="32">
        <v>46113</v>
      </c>
      <c r="C2408" t="s">
        <v>109</v>
      </c>
      <c r="D2408" t="s">
        <v>650</v>
      </c>
      <c r="E2408" s="13" t="s">
        <v>529</v>
      </c>
      <c r="F2408" s="12">
        <v>1</v>
      </c>
      <c r="G2408" s="12">
        <v>100840.34</v>
      </c>
      <c r="H2408" s="35">
        <v>46147.398143344908</v>
      </c>
    </row>
    <row r="2409" spans="2:8" x14ac:dyDescent="0.2">
      <c r="B2409" s="32">
        <v>46113</v>
      </c>
      <c r="C2409" t="s">
        <v>109</v>
      </c>
      <c r="D2409" t="s">
        <v>143</v>
      </c>
      <c r="E2409" s="13" t="s">
        <v>529</v>
      </c>
      <c r="F2409" s="12">
        <v>2</v>
      </c>
      <c r="G2409" s="12">
        <v>58823.53</v>
      </c>
      <c r="H2409" s="35">
        <v>46147.398143344908</v>
      </c>
    </row>
    <row r="2410" spans="2:8" x14ac:dyDescent="0.2">
      <c r="B2410" s="32">
        <v>46113</v>
      </c>
      <c r="C2410" t="s">
        <v>109</v>
      </c>
      <c r="D2410" t="s">
        <v>201</v>
      </c>
      <c r="E2410" s="13" t="s">
        <v>529</v>
      </c>
      <c r="F2410" s="12">
        <v>1</v>
      </c>
      <c r="G2410" s="12">
        <v>42016.81</v>
      </c>
      <c r="H2410" s="35">
        <v>46147.398143344908</v>
      </c>
    </row>
    <row r="2411" spans="2:8" x14ac:dyDescent="0.2">
      <c r="B2411" s="32">
        <v>46113</v>
      </c>
      <c r="C2411" t="s">
        <v>109</v>
      </c>
      <c r="D2411" t="s">
        <v>204</v>
      </c>
      <c r="E2411" s="13" t="s">
        <v>529</v>
      </c>
      <c r="F2411" s="12">
        <v>1</v>
      </c>
      <c r="G2411" s="12">
        <v>37815.129999999997</v>
      </c>
      <c r="H2411" s="35">
        <v>46147.398143344908</v>
      </c>
    </row>
    <row r="2412" spans="2:8" x14ac:dyDescent="0.2">
      <c r="B2412" s="32">
        <v>46113</v>
      </c>
      <c r="C2412" t="s">
        <v>109</v>
      </c>
      <c r="D2412" t="s">
        <v>232</v>
      </c>
      <c r="E2412" s="13" t="s">
        <v>529</v>
      </c>
      <c r="F2412" s="12">
        <v>1</v>
      </c>
      <c r="G2412" s="12">
        <v>37815.129999999997</v>
      </c>
      <c r="H2412" s="35">
        <v>46147.398143344908</v>
      </c>
    </row>
    <row r="2413" spans="2:8" x14ac:dyDescent="0.2">
      <c r="B2413" s="32">
        <v>46113</v>
      </c>
      <c r="C2413" t="s">
        <v>109</v>
      </c>
      <c r="D2413" t="s">
        <v>142</v>
      </c>
      <c r="E2413" s="13" t="s">
        <v>529</v>
      </c>
      <c r="F2413" s="12">
        <v>2</v>
      </c>
      <c r="G2413" s="12">
        <v>16386.55</v>
      </c>
      <c r="H2413" s="35">
        <v>46147.398143344908</v>
      </c>
    </row>
    <row r="2414" spans="2:8" x14ac:dyDescent="0.2">
      <c r="B2414" s="32">
        <v>46114</v>
      </c>
      <c r="C2414" t="s">
        <v>140</v>
      </c>
      <c r="D2414" t="s">
        <v>461</v>
      </c>
      <c r="E2414" s="13" t="s">
        <v>529</v>
      </c>
      <c r="F2414" s="12">
        <v>1</v>
      </c>
      <c r="G2414" s="12">
        <v>84033.61</v>
      </c>
      <c r="H2414" s="35">
        <v>46147.398143344908</v>
      </c>
    </row>
    <row r="2415" spans="2:8" x14ac:dyDescent="0.2">
      <c r="B2415" s="32">
        <v>46114</v>
      </c>
      <c r="C2415" t="s">
        <v>140</v>
      </c>
      <c r="D2415" t="s">
        <v>269</v>
      </c>
      <c r="E2415" s="13" t="s">
        <v>529</v>
      </c>
      <c r="F2415" s="12">
        <v>1</v>
      </c>
      <c r="G2415" s="12">
        <v>63025.21</v>
      </c>
      <c r="H2415" s="35">
        <v>46147.398143344908</v>
      </c>
    </row>
    <row r="2416" spans="2:8" x14ac:dyDescent="0.2">
      <c r="B2416" s="32">
        <v>46114</v>
      </c>
      <c r="C2416" t="s">
        <v>109</v>
      </c>
      <c r="D2416" t="s">
        <v>325</v>
      </c>
      <c r="E2416" s="13" t="s">
        <v>529</v>
      </c>
      <c r="F2416" s="12">
        <v>2</v>
      </c>
      <c r="G2416" s="12">
        <v>70000</v>
      </c>
      <c r="H2416" s="35">
        <v>46147.398143344908</v>
      </c>
    </row>
    <row r="2417" spans="2:8" x14ac:dyDescent="0.2">
      <c r="B2417" s="32">
        <v>46114</v>
      </c>
      <c r="C2417" t="s">
        <v>109</v>
      </c>
      <c r="D2417" t="s">
        <v>381</v>
      </c>
      <c r="E2417" s="13" t="s">
        <v>529</v>
      </c>
      <c r="F2417" s="12">
        <v>1</v>
      </c>
      <c r="G2417" s="12">
        <v>54621.85</v>
      </c>
      <c r="H2417" s="35">
        <v>46147.398143344908</v>
      </c>
    </row>
    <row r="2418" spans="2:8" x14ac:dyDescent="0.2">
      <c r="B2418" s="32">
        <v>46114</v>
      </c>
      <c r="C2418" t="s">
        <v>109</v>
      </c>
      <c r="D2418" t="s">
        <v>142</v>
      </c>
      <c r="E2418" s="13" t="s">
        <v>529</v>
      </c>
      <c r="F2418" s="12">
        <v>3</v>
      </c>
      <c r="G2418" s="12">
        <v>16806.72</v>
      </c>
      <c r="H2418" s="35">
        <v>46147.398143344908</v>
      </c>
    </row>
    <row r="2419" spans="2:8" x14ac:dyDescent="0.2">
      <c r="B2419" s="32">
        <v>46116</v>
      </c>
      <c r="C2419" t="s">
        <v>109</v>
      </c>
      <c r="D2419" t="s">
        <v>143</v>
      </c>
      <c r="E2419" s="13" t="s">
        <v>529</v>
      </c>
      <c r="F2419" s="12">
        <v>1</v>
      </c>
      <c r="G2419" s="12">
        <v>58823.519999999997</v>
      </c>
      <c r="H2419" s="35">
        <v>46147.398143344908</v>
      </c>
    </row>
    <row r="2420" spans="2:8" x14ac:dyDescent="0.2">
      <c r="B2420" s="32">
        <v>46116</v>
      </c>
      <c r="C2420" t="s">
        <v>109</v>
      </c>
      <c r="D2420" t="s">
        <v>142</v>
      </c>
      <c r="E2420" s="13" t="s">
        <v>529</v>
      </c>
      <c r="F2420" s="12">
        <v>2</v>
      </c>
      <c r="G2420" s="12">
        <v>57142.86</v>
      </c>
      <c r="H2420" s="35">
        <v>46147.398143344908</v>
      </c>
    </row>
    <row r="2421" spans="2:8" x14ac:dyDescent="0.2">
      <c r="B2421" s="32">
        <v>46117</v>
      </c>
      <c r="C2421" t="s">
        <v>140</v>
      </c>
      <c r="D2421" t="s">
        <v>229</v>
      </c>
      <c r="E2421" s="13" t="s">
        <v>529</v>
      </c>
      <c r="F2421" s="12">
        <v>1</v>
      </c>
      <c r="G2421" s="12">
        <v>277310.92</v>
      </c>
      <c r="H2421" s="35">
        <v>46147.398143344908</v>
      </c>
    </row>
    <row r="2422" spans="2:8" x14ac:dyDescent="0.2">
      <c r="B2422" s="32">
        <v>46117</v>
      </c>
      <c r="C2422" t="s">
        <v>140</v>
      </c>
      <c r="D2422" t="s">
        <v>643</v>
      </c>
      <c r="E2422" s="13" t="s">
        <v>529</v>
      </c>
      <c r="F2422" s="12">
        <v>1</v>
      </c>
      <c r="G2422" s="12">
        <v>63025.21</v>
      </c>
      <c r="H2422" s="35">
        <v>46147.398143344908</v>
      </c>
    </row>
    <row r="2423" spans="2:8" x14ac:dyDescent="0.2">
      <c r="B2423" s="32">
        <v>46118</v>
      </c>
      <c r="C2423" t="s">
        <v>109</v>
      </c>
      <c r="E2423" s="13" t="s">
        <v>529</v>
      </c>
      <c r="F2423" s="12">
        <v>3</v>
      </c>
      <c r="G2423" s="12">
        <v>252100.84</v>
      </c>
      <c r="H2423" s="35">
        <v>46147.398143344908</v>
      </c>
    </row>
    <row r="2424" spans="2:8" x14ac:dyDescent="0.2">
      <c r="B2424" s="32">
        <v>46118</v>
      </c>
      <c r="C2424" t="s">
        <v>109</v>
      </c>
      <c r="D2424" t="s">
        <v>638</v>
      </c>
      <c r="E2424" s="13" t="s">
        <v>529</v>
      </c>
      <c r="F2424" s="12">
        <v>2</v>
      </c>
      <c r="G2424" s="12">
        <v>100840.34</v>
      </c>
      <c r="H2424" s="35">
        <v>46147.398143344908</v>
      </c>
    </row>
    <row r="2425" spans="2:8" x14ac:dyDescent="0.2">
      <c r="B2425" s="32">
        <v>46118</v>
      </c>
      <c r="C2425" t="s">
        <v>109</v>
      </c>
      <c r="D2425" t="s">
        <v>232</v>
      </c>
      <c r="E2425" s="13" t="s">
        <v>529</v>
      </c>
      <c r="F2425" s="12">
        <v>2</v>
      </c>
      <c r="G2425" s="12">
        <v>75630.259999999995</v>
      </c>
      <c r="H2425" s="35">
        <v>46147.398143344908</v>
      </c>
    </row>
    <row r="2426" spans="2:8" x14ac:dyDescent="0.2">
      <c r="B2426" s="32">
        <v>46118</v>
      </c>
      <c r="C2426" t="s">
        <v>109</v>
      </c>
      <c r="D2426" t="s">
        <v>147</v>
      </c>
      <c r="E2426" s="13" t="s">
        <v>529</v>
      </c>
      <c r="F2426" s="12">
        <v>1</v>
      </c>
      <c r="G2426" s="12">
        <v>75630.25</v>
      </c>
      <c r="H2426" s="35">
        <v>46147.398143344908</v>
      </c>
    </row>
    <row r="2427" spans="2:8" x14ac:dyDescent="0.2">
      <c r="B2427" s="32">
        <v>46118</v>
      </c>
      <c r="C2427" t="s">
        <v>109</v>
      </c>
      <c r="D2427" t="s">
        <v>358</v>
      </c>
      <c r="E2427" s="13" t="s">
        <v>529</v>
      </c>
      <c r="F2427" s="12">
        <v>3</v>
      </c>
      <c r="G2427" s="12">
        <v>50420.18</v>
      </c>
      <c r="H2427" s="35">
        <v>46147.398143344908</v>
      </c>
    </row>
    <row r="2428" spans="2:8" x14ac:dyDescent="0.2">
      <c r="B2428" s="32">
        <v>46118</v>
      </c>
      <c r="C2428" t="s">
        <v>109</v>
      </c>
      <c r="D2428" t="s">
        <v>538</v>
      </c>
      <c r="E2428" s="13" t="s">
        <v>529</v>
      </c>
      <c r="F2428" s="12">
        <v>1</v>
      </c>
      <c r="G2428" s="12">
        <v>49000</v>
      </c>
      <c r="H2428" s="35">
        <v>46147.398143344908</v>
      </c>
    </row>
    <row r="2429" spans="2:8" x14ac:dyDescent="0.2">
      <c r="B2429" s="32">
        <v>46118</v>
      </c>
      <c r="C2429" t="s">
        <v>109</v>
      </c>
      <c r="D2429" t="s">
        <v>246</v>
      </c>
      <c r="E2429" s="13" t="s">
        <v>529</v>
      </c>
      <c r="F2429" s="12">
        <v>1</v>
      </c>
      <c r="G2429" s="12">
        <v>37815.129999999997</v>
      </c>
      <c r="H2429" s="35">
        <v>46147.398143344908</v>
      </c>
    </row>
    <row r="2430" spans="2:8" x14ac:dyDescent="0.2">
      <c r="B2430" s="32">
        <v>46118</v>
      </c>
      <c r="C2430" t="s">
        <v>109</v>
      </c>
      <c r="D2430" t="s">
        <v>142</v>
      </c>
      <c r="E2430" s="13" t="s">
        <v>530</v>
      </c>
      <c r="F2430" s="12">
        <v>2</v>
      </c>
      <c r="G2430" s="12">
        <v>8403.36</v>
      </c>
      <c r="H2430" s="35">
        <v>46147.398143344908</v>
      </c>
    </row>
    <row r="2431" spans="2:8" x14ac:dyDescent="0.2">
      <c r="B2431" s="32">
        <v>46119</v>
      </c>
      <c r="C2431" t="s">
        <v>140</v>
      </c>
      <c r="D2431" t="s">
        <v>432</v>
      </c>
      <c r="E2431" s="13" t="s">
        <v>530</v>
      </c>
      <c r="F2431" s="12">
        <v>1</v>
      </c>
      <c r="G2431" s="12">
        <v>75630.25</v>
      </c>
      <c r="H2431" s="35">
        <v>46147.398143344908</v>
      </c>
    </row>
    <row r="2432" spans="2:8" x14ac:dyDescent="0.2">
      <c r="B2432" s="32">
        <v>46119</v>
      </c>
      <c r="C2432" t="s">
        <v>140</v>
      </c>
      <c r="D2432" t="s">
        <v>203</v>
      </c>
      <c r="E2432" s="13" t="s">
        <v>530</v>
      </c>
      <c r="F2432" s="12">
        <v>1</v>
      </c>
      <c r="G2432" s="12">
        <v>63025.21</v>
      </c>
      <c r="H2432" s="35">
        <v>46147.398143344908</v>
      </c>
    </row>
    <row r="2433" spans="2:8" x14ac:dyDescent="0.2">
      <c r="B2433" s="32">
        <v>46119</v>
      </c>
      <c r="C2433" t="s">
        <v>109</v>
      </c>
      <c r="D2433" t="s">
        <v>210</v>
      </c>
      <c r="E2433" s="13" t="s">
        <v>530</v>
      </c>
      <c r="F2433" s="12">
        <v>2</v>
      </c>
      <c r="G2433" s="12">
        <v>117647.06</v>
      </c>
      <c r="H2433" s="35">
        <v>46147.398143344908</v>
      </c>
    </row>
    <row r="2434" spans="2:8" x14ac:dyDescent="0.2">
      <c r="B2434" s="32">
        <v>46119</v>
      </c>
      <c r="C2434" t="s">
        <v>109</v>
      </c>
      <c r="D2434" t="s">
        <v>143</v>
      </c>
      <c r="E2434" s="13" t="s">
        <v>530</v>
      </c>
      <c r="F2434" s="12">
        <v>4</v>
      </c>
      <c r="G2434" s="12">
        <v>117647.06</v>
      </c>
      <c r="H2434" s="35">
        <v>46147.398143344908</v>
      </c>
    </row>
    <row r="2435" spans="2:8" x14ac:dyDescent="0.2">
      <c r="B2435" s="32">
        <v>46119</v>
      </c>
      <c r="C2435" t="s">
        <v>109</v>
      </c>
      <c r="D2435" t="s">
        <v>216</v>
      </c>
      <c r="E2435" s="13" t="s">
        <v>530</v>
      </c>
      <c r="F2435" s="12">
        <v>2</v>
      </c>
      <c r="G2435" s="12">
        <v>84033.61</v>
      </c>
      <c r="H2435" s="35">
        <v>46147.398143344908</v>
      </c>
    </row>
    <row r="2436" spans="2:8" x14ac:dyDescent="0.2">
      <c r="B2436" s="32">
        <v>46119</v>
      </c>
      <c r="C2436" t="s">
        <v>109</v>
      </c>
      <c r="D2436" t="s">
        <v>142</v>
      </c>
      <c r="E2436" s="13" t="s">
        <v>529</v>
      </c>
      <c r="F2436" s="12">
        <v>4</v>
      </c>
      <c r="G2436" s="12">
        <v>40336.129999999997</v>
      </c>
      <c r="H2436" s="35">
        <v>46147.398143344908</v>
      </c>
    </row>
    <row r="2437" spans="2:8" x14ac:dyDescent="0.2">
      <c r="B2437" s="32">
        <v>46119</v>
      </c>
      <c r="C2437" t="s">
        <v>109</v>
      </c>
      <c r="D2437" t="s">
        <v>488</v>
      </c>
      <c r="E2437" s="13" t="s">
        <v>529</v>
      </c>
      <c r="F2437" s="12">
        <v>2</v>
      </c>
      <c r="G2437" s="12">
        <v>33613.449999999997</v>
      </c>
      <c r="H2437" s="35">
        <v>46147.398143344908</v>
      </c>
    </row>
    <row r="2438" spans="2:8" x14ac:dyDescent="0.2">
      <c r="B2438" s="32">
        <v>46120</v>
      </c>
      <c r="C2438" t="s">
        <v>140</v>
      </c>
      <c r="D2438" t="s">
        <v>508</v>
      </c>
      <c r="E2438" s="13" t="s">
        <v>530</v>
      </c>
      <c r="F2438" s="12">
        <v>1</v>
      </c>
      <c r="G2438" s="12">
        <v>100840.34</v>
      </c>
      <c r="H2438" s="35">
        <v>46147.398143344908</v>
      </c>
    </row>
    <row r="2439" spans="2:8" x14ac:dyDescent="0.2">
      <c r="B2439" s="32">
        <v>46120</v>
      </c>
      <c r="C2439" t="s">
        <v>109</v>
      </c>
      <c r="D2439" t="s">
        <v>407</v>
      </c>
      <c r="E2439" s="13" t="s">
        <v>529</v>
      </c>
      <c r="F2439" s="12">
        <v>3</v>
      </c>
      <c r="G2439" s="12">
        <v>226890.75</v>
      </c>
      <c r="H2439" s="35">
        <v>46147.398143344908</v>
      </c>
    </row>
    <row r="2440" spans="2:8" x14ac:dyDescent="0.2">
      <c r="B2440" s="32">
        <v>46120</v>
      </c>
      <c r="C2440" t="s">
        <v>109</v>
      </c>
      <c r="D2440" t="s">
        <v>143</v>
      </c>
      <c r="E2440" s="13" t="s">
        <v>529</v>
      </c>
      <c r="F2440" s="12">
        <v>3</v>
      </c>
      <c r="G2440" s="12">
        <v>88235.28</v>
      </c>
      <c r="H2440" s="35">
        <v>46147.398143344908</v>
      </c>
    </row>
    <row r="2441" spans="2:8" x14ac:dyDescent="0.2">
      <c r="B2441" s="32">
        <v>46120</v>
      </c>
      <c r="C2441" t="s">
        <v>109</v>
      </c>
      <c r="D2441" t="s">
        <v>440</v>
      </c>
      <c r="E2441" s="13" t="s">
        <v>529</v>
      </c>
      <c r="F2441" s="12">
        <v>1</v>
      </c>
      <c r="G2441" s="12">
        <v>54621.85</v>
      </c>
      <c r="H2441" s="35">
        <v>46147.398143344908</v>
      </c>
    </row>
    <row r="2442" spans="2:8" x14ac:dyDescent="0.2">
      <c r="B2442" s="32">
        <v>46120</v>
      </c>
      <c r="C2442" t="s">
        <v>109</v>
      </c>
      <c r="D2442" t="s">
        <v>450</v>
      </c>
      <c r="E2442" s="13" t="s">
        <v>529</v>
      </c>
      <c r="F2442" s="12">
        <v>1</v>
      </c>
      <c r="G2442" s="12">
        <v>16806.72</v>
      </c>
      <c r="H2442" s="35">
        <v>46147.398143344908</v>
      </c>
    </row>
    <row r="2443" spans="2:8" x14ac:dyDescent="0.2">
      <c r="B2443" s="32">
        <v>46120</v>
      </c>
      <c r="C2443" t="s">
        <v>109</v>
      </c>
      <c r="D2443" t="s">
        <v>142</v>
      </c>
      <c r="E2443" s="13" t="s">
        <v>529</v>
      </c>
      <c r="F2443" s="12">
        <v>2</v>
      </c>
      <c r="G2443" s="12">
        <v>16806.72</v>
      </c>
      <c r="H2443" s="35">
        <v>46147.398143344908</v>
      </c>
    </row>
    <row r="2444" spans="2:8" x14ac:dyDescent="0.2">
      <c r="B2444" s="32">
        <v>46121</v>
      </c>
      <c r="C2444" t="s">
        <v>140</v>
      </c>
      <c r="D2444" t="s">
        <v>170</v>
      </c>
      <c r="E2444" s="13" t="s">
        <v>529</v>
      </c>
      <c r="F2444" s="12">
        <v>2</v>
      </c>
      <c r="G2444" s="12">
        <v>92436.97</v>
      </c>
      <c r="H2444" s="35">
        <v>46147.398143344908</v>
      </c>
    </row>
    <row r="2445" spans="2:8" x14ac:dyDescent="0.2">
      <c r="B2445" s="32">
        <v>46121</v>
      </c>
      <c r="C2445" t="s">
        <v>140</v>
      </c>
      <c r="D2445" t="s">
        <v>171</v>
      </c>
      <c r="E2445" s="13" t="s">
        <v>529</v>
      </c>
      <c r="F2445" s="12">
        <v>2</v>
      </c>
      <c r="G2445" s="12">
        <v>0</v>
      </c>
      <c r="H2445" s="35">
        <v>46147.398143344908</v>
      </c>
    </row>
    <row r="2446" spans="2:8" x14ac:dyDescent="0.2">
      <c r="B2446" s="32">
        <v>46121</v>
      </c>
      <c r="C2446" t="s">
        <v>109</v>
      </c>
      <c r="D2446" t="s">
        <v>281</v>
      </c>
      <c r="E2446" s="13" t="s">
        <v>529</v>
      </c>
      <c r="F2446" s="12">
        <v>12</v>
      </c>
      <c r="G2446" s="12">
        <v>655462.18000000005</v>
      </c>
      <c r="H2446" s="35">
        <v>46147.398143344908</v>
      </c>
    </row>
    <row r="2447" spans="2:8" x14ac:dyDescent="0.2">
      <c r="B2447" s="32">
        <v>46121</v>
      </c>
      <c r="C2447" t="s">
        <v>109</v>
      </c>
      <c r="D2447" t="s">
        <v>472</v>
      </c>
      <c r="E2447" s="13" t="s">
        <v>530</v>
      </c>
      <c r="F2447" s="12">
        <v>1</v>
      </c>
      <c r="G2447" s="12">
        <v>195000</v>
      </c>
      <c r="H2447" s="35">
        <v>46147.398143344908</v>
      </c>
    </row>
    <row r="2448" spans="2:8" x14ac:dyDescent="0.2">
      <c r="B2448" s="32">
        <v>46121</v>
      </c>
      <c r="C2448" t="s">
        <v>109</v>
      </c>
      <c r="E2448" s="13" t="s">
        <v>529</v>
      </c>
      <c r="F2448" s="12">
        <v>1</v>
      </c>
      <c r="G2448" s="12">
        <v>126050.42</v>
      </c>
      <c r="H2448" s="35">
        <v>46147.398143344908</v>
      </c>
    </row>
    <row r="2449" spans="2:8" x14ac:dyDescent="0.2">
      <c r="B2449" s="32">
        <v>46121</v>
      </c>
      <c r="C2449" t="s">
        <v>109</v>
      </c>
      <c r="D2449" t="s">
        <v>210</v>
      </c>
      <c r="E2449" s="13" t="s">
        <v>529</v>
      </c>
      <c r="F2449" s="12">
        <v>2</v>
      </c>
      <c r="G2449" s="12">
        <v>117647.06</v>
      </c>
      <c r="H2449" s="35">
        <v>46147.398143344908</v>
      </c>
    </row>
    <row r="2450" spans="2:8" x14ac:dyDescent="0.2">
      <c r="B2450" s="32">
        <v>46121</v>
      </c>
      <c r="C2450" t="s">
        <v>109</v>
      </c>
      <c r="D2450" t="s">
        <v>143</v>
      </c>
      <c r="E2450" s="13" t="s">
        <v>530</v>
      </c>
      <c r="F2450" s="12">
        <v>3</v>
      </c>
      <c r="G2450" s="12">
        <v>88235.29</v>
      </c>
      <c r="H2450" s="35">
        <v>46147.398143344908</v>
      </c>
    </row>
    <row r="2451" spans="2:8" x14ac:dyDescent="0.2">
      <c r="B2451" s="32">
        <v>46121</v>
      </c>
      <c r="C2451" t="s">
        <v>109</v>
      </c>
      <c r="D2451" t="s">
        <v>216</v>
      </c>
      <c r="E2451" s="13" t="s">
        <v>530</v>
      </c>
      <c r="F2451" s="12">
        <v>2</v>
      </c>
      <c r="G2451" s="12">
        <v>84033.62</v>
      </c>
      <c r="H2451" s="35">
        <v>46147.398143344908</v>
      </c>
    </row>
    <row r="2452" spans="2:8" x14ac:dyDescent="0.2">
      <c r="B2452" s="32">
        <v>46121</v>
      </c>
      <c r="C2452" t="s">
        <v>109</v>
      </c>
      <c r="D2452" t="s">
        <v>424</v>
      </c>
      <c r="E2452" s="13" t="s">
        <v>529</v>
      </c>
      <c r="F2452" s="12">
        <v>1</v>
      </c>
      <c r="G2452" s="12">
        <v>84033.61</v>
      </c>
      <c r="H2452" s="35">
        <v>46147.398143344908</v>
      </c>
    </row>
    <row r="2453" spans="2:8" x14ac:dyDescent="0.2">
      <c r="B2453" s="32">
        <v>46121</v>
      </c>
      <c r="C2453" t="s">
        <v>109</v>
      </c>
      <c r="D2453" t="s">
        <v>458</v>
      </c>
      <c r="E2453" s="13" t="s">
        <v>529</v>
      </c>
      <c r="F2453" s="12">
        <v>2</v>
      </c>
      <c r="G2453" s="12">
        <v>70000</v>
      </c>
      <c r="H2453" s="35">
        <v>46147.398143344908</v>
      </c>
    </row>
    <row r="2454" spans="2:8" x14ac:dyDescent="0.2">
      <c r="B2454" s="32">
        <v>46121</v>
      </c>
      <c r="C2454" t="s">
        <v>109</v>
      </c>
      <c r="D2454" t="s">
        <v>400</v>
      </c>
      <c r="E2454" s="13" t="s">
        <v>530</v>
      </c>
      <c r="F2454" s="12">
        <v>1</v>
      </c>
      <c r="G2454" s="12">
        <v>58823.53</v>
      </c>
      <c r="H2454" s="35">
        <v>46147.398143344908</v>
      </c>
    </row>
    <row r="2455" spans="2:8" x14ac:dyDescent="0.2">
      <c r="B2455" s="32">
        <v>46121</v>
      </c>
      <c r="C2455" t="s">
        <v>109</v>
      </c>
      <c r="D2455" t="s">
        <v>143</v>
      </c>
      <c r="E2455" s="13" t="s">
        <v>529</v>
      </c>
      <c r="F2455" s="12">
        <v>2</v>
      </c>
      <c r="G2455" s="12">
        <v>58823.519999999997</v>
      </c>
      <c r="H2455" s="35">
        <v>46147.398143344908</v>
      </c>
    </row>
    <row r="2456" spans="2:8" x14ac:dyDescent="0.2">
      <c r="B2456" s="32">
        <v>46121</v>
      </c>
      <c r="C2456" t="s">
        <v>109</v>
      </c>
      <c r="D2456" t="s">
        <v>156</v>
      </c>
      <c r="E2456" s="13" t="s">
        <v>530</v>
      </c>
      <c r="F2456" s="12">
        <v>1</v>
      </c>
      <c r="G2456" s="12">
        <v>46218.49</v>
      </c>
      <c r="H2456" s="35">
        <v>46147.398143344908</v>
      </c>
    </row>
    <row r="2457" spans="2:8" x14ac:dyDescent="0.2">
      <c r="B2457" s="32">
        <v>46121</v>
      </c>
      <c r="C2457" t="s">
        <v>109</v>
      </c>
      <c r="D2457" t="s">
        <v>170</v>
      </c>
      <c r="E2457" s="13" t="s">
        <v>530</v>
      </c>
      <c r="F2457" s="12">
        <v>1</v>
      </c>
      <c r="G2457" s="12">
        <v>46218.49</v>
      </c>
      <c r="H2457" s="35">
        <v>46147.398143344908</v>
      </c>
    </row>
    <row r="2458" spans="2:8" x14ac:dyDescent="0.2">
      <c r="B2458" s="32">
        <v>46121</v>
      </c>
      <c r="C2458" t="s">
        <v>109</v>
      </c>
      <c r="D2458" t="s">
        <v>191</v>
      </c>
      <c r="E2458" s="13" t="s">
        <v>530</v>
      </c>
      <c r="F2458" s="12">
        <v>1</v>
      </c>
      <c r="G2458" s="12">
        <v>37815.129999999997</v>
      </c>
      <c r="H2458" s="35">
        <v>46147.398143344908</v>
      </c>
    </row>
    <row r="2459" spans="2:8" x14ac:dyDescent="0.2">
      <c r="B2459" s="32">
        <v>46121</v>
      </c>
      <c r="C2459" t="s">
        <v>109</v>
      </c>
      <c r="D2459" t="s">
        <v>325</v>
      </c>
      <c r="E2459" s="13" t="s">
        <v>530</v>
      </c>
      <c r="F2459" s="12">
        <v>1</v>
      </c>
      <c r="G2459" s="12">
        <v>35000</v>
      </c>
      <c r="H2459" s="35">
        <v>46147.398143344908</v>
      </c>
    </row>
    <row r="2460" spans="2:8" x14ac:dyDescent="0.2">
      <c r="B2460" s="32">
        <v>46121</v>
      </c>
      <c r="C2460" t="s">
        <v>109</v>
      </c>
      <c r="D2460" t="s">
        <v>142</v>
      </c>
      <c r="E2460" s="13" t="s">
        <v>529</v>
      </c>
      <c r="F2460" s="12">
        <v>2</v>
      </c>
      <c r="G2460" s="12">
        <v>33613.449999999997</v>
      </c>
      <c r="H2460" s="35">
        <v>46147.398143344908</v>
      </c>
    </row>
    <row r="2461" spans="2:8" x14ac:dyDescent="0.2">
      <c r="B2461" s="32">
        <v>46121</v>
      </c>
      <c r="C2461" t="s">
        <v>109</v>
      </c>
      <c r="D2461" t="s">
        <v>488</v>
      </c>
      <c r="E2461" s="13" t="s">
        <v>529</v>
      </c>
      <c r="F2461" s="12">
        <v>1</v>
      </c>
      <c r="G2461" s="12">
        <v>16806.72</v>
      </c>
      <c r="H2461" s="35">
        <v>46147.398143344908</v>
      </c>
    </row>
    <row r="2462" spans="2:8" x14ac:dyDescent="0.2">
      <c r="B2462" s="32">
        <v>46122</v>
      </c>
      <c r="C2462" t="s">
        <v>140</v>
      </c>
      <c r="D2462" t="s">
        <v>503</v>
      </c>
      <c r="E2462" s="13" t="s">
        <v>530</v>
      </c>
      <c r="F2462" s="12">
        <v>1</v>
      </c>
      <c r="G2462" s="12">
        <v>67226.89</v>
      </c>
      <c r="H2462" s="35">
        <v>46147.398143344908</v>
      </c>
    </row>
    <row r="2463" spans="2:8" x14ac:dyDescent="0.2">
      <c r="B2463" s="32">
        <v>46122</v>
      </c>
      <c r="C2463" t="s">
        <v>140</v>
      </c>
      <c r="D2463" t="s">
        <v>516</v>
      </c>
      <c r="E2463" s="13" t="s">
        <v>530</v>
      </c>
      <c r="F2463" s="12">
        <v>1</v>
      </c>
      <c r="G2463" s="12">
        <v>50420.17</v>
      </c>
      <c r="H2463" s="35">
        <v>46147.398143344908</v>
      </c>
    </row>
    <row r="2464" spans="2:8" x14ac:dyDescent="0.2">
      <c r="B2464" s="32">
        <v>46122</v>
      </c>
      <c r="C2464" t="s">
        <v>109</v>
      </c>
      <c r="D2464" t="s">
        <v>432</v>
      </c>
      <c r="E2464" s="13" t="s">
        <v>529</v>
      </c>
      <c r="F2464" s="12">
        <v>10</v>
      </c>
      <c r="G2464" s="12">
        <v>667801.31999999995</v>
      </c>
      <c r="H2464" s="35">
        <v>46147.398143344908</v>
      </c>
    </row>
    <row r="2465" spans="2:8" x14ac:dyDescent="0.2">
      <c r="B2465" s="32">
        <v>46122</v>
      </c>
      <c r="C2465" t="s">
        <v>109</v>
      </c>
      <c r="E2465" s="13" t="s">
        <v>529</v>
      </c>
      <c r="F2465" s="12">
        <v>4</v>
      </c>
      <c r="G2465" s="12">
        <v>504201.68</v>
      </c>
      <c r="H2465" s="35">
        <v>46147.398143344908</v>
      </c>
    </row>
    <row r="2466" spans="2:8" x14ac:dyDescent="0.2">
      <c r="B2466" s="32">
        <v>46122</v>
      </c>
      <c r="C2466" t="s">
        <v>109</v>
      </c>
      <c r="D2466" t="s">
        <v>187</v>
      </c>
      <c r="E2466" s="13" t="s">
        <v>529</v>
      </c>
      <c r="F2466" s="12">
        <v>6</v>
      </c>
      <c r="G2466" s="12">
        <v>394780.71</v>
      </c>
      <c r="H2466" s="35">
        <v>46147.398143344908</v>
      </c>
    </row>
    <row r="2467" spans="2:8" x14ac:dyDescent="0.2">
      <c r="B2467" s="32">
        <v>46122</v>
      </c>
      <c r="C2467" t="s">
        <v>109</v>
      </c>
      <c r="D2467" t="s">
        <v>148</v>
      </c>
      <c r="E2467" s="13" t="s">
        <v>529</v>
      </c>
      <c r="F2467" s="12">
        <v>9</v>
      </c>
      <c r="G2467" s="12">
        <v>361882.32</v>
      </c>
      <c r="H2467" s="35">
        <v>46147.398143344908</v>
      </c>
    </row>
    <row r="2468" spans="2:8" x14ac:dyDescent="0.2">
      <c r="B2468" s="32">
        <v>46122</v>
      </c>
      <c r="C2468" t="s">
        <v>109</v>
      </c>
      <c r="D2468" t="s">
        <v>166</v>
      </c>
      <c r="E2468" s="13" t="s">
        <v>529</v>
      </c>
      <c r="F2468" s="12">
        <v>8</v>
      </c>
      <c r="G2468" s="12">
        <v>333691.86</v>
      </c>
      <c r="H2468" s="35">
        <v>46147.398143344908</v>
      </c>
    </row>
    <row r="2469" spans="2:8" x14ac:dyDescent="0.2">
      <c r="B2469" s="32">
        <v>46122</v>
      </c>
      <c r="C2469" t="s">
        <v>109</v>
      </c>
      <c r="D2469" t="s">
        <v>143</v>
      </c>
      <c r="E2469" s="13" t="s">
        <v>529</v>
      </c>
      <c r="F2469" s="12">
        <v>7</v>
      </c>
      <c r="G2469" s="12">
        <v>205882.35</v>
      </c>
      <c r="H2469" s="35">
        <v>46147.398143344908</v>
      </c>
    </row>
    <row r="2470" spans="2:8" x14ac:dyDescent="0.2">
      <c r="B2470" s="32">
        <v>46122</v>
      </c>
      <c r="C2470" t="s">
        <v>109</v>
      </c>
      <c r="D2470" t="s">
        <v>497</v>
      </c>
      <c r="E2470" s="13" t="s">
        <v>529</v>
      </c>
      <c r="F2470" s="12">
        <v>2</v>
      </c>
      <c r="G2470" s="12">
        <v>164705.88</v>
      </c>
      <c r="H2470" s="35">
        <v>46147.398143344908</v>
      </c>
    </row>
    <row r="2471" spans="2:8" x14ac:dyDescent="0.2">
      <c r="B2471" s="32">
        <v>46122</v>
      </c>
      <c r="C2471" t="s">
        <v>109</v>
      </c>
      <c r="D2471" t="s">
        <v>333</v>
      </c>
      <c r="E2471" s="13" t="s">
        <v>529</v>
      </c>
      <c r="F2471" s="12">
        <v>2</v>
      </c>
      <c r="G2471" s="12">
        <v>151260.5</v>
      </c>
      <c r="H2471" s="35">
        <v>46147.398143344908</v>
      </c>
    </row>
    <row r="2472" spans="2:8" x14ac:dyDescent="0.2">
      <c r="B2472" s="32">
        <v>46122</v>
      </c>
      <c r="C2472" t="s">
        <v>109</v>
      </c>
      <c r="D2472" t="s">
        <v>166</v>
      </c>
      <c r="E2472" s="13" t="s">
        <v>530</v>
      </c>
      <c r="F2472" s="12">
        <v>3</v>
      </c>
      <c r="G2472" s="12">
        <v>138655.47</v>
      </c>
      <c r="H2472" s="35">
        <v>46147.398143344908</v>
      </c>
    </row>
    <row r="2473" spans="2:8" x14ac:dyDescent="0.2">
      <c r="B2473" s="32">
        <v>46122</v>
      </c>
      <c r="C2473" t="s">
        <v>109</v>
      </c>
      <c r="D2473" t="s">
        <v>236</v>
      </c>
      <c r="E2473" s="13" t="s">
        <v>529</v>
      </c>
      <c r="F2473" s="12">
        <v>2</v>
      </c>
      <c r="G2473" s="12">
        <v>92436.97</v>
      </c>
      <c r="H2473" s="35">
        <v>46147.398143344908</v>
      </c>
    </row>
    <row r="2474" spans="2:8" x14ac:dyDescent="0.2">
      <c r="B2474" s="32">
        <v>46122</v>
      </c>
      <c r="C2474" t="s">
        <v>109</v>
      </c>
      <c r="D2474" t="s">
        <v>496</v>
      </c>
      <c r="E2474" s="13" t="s">
        <v>529</v>
      </c>
      <c r="F2474" s="12">
        <v>1</v>
      </c>
      <c r="G2474" s="12">
        <v>92436.97</v>
      </c>
      <c r="H2474" s="35">
        <v>46147.398143344908</v>
      </c>
    </row>
    <row r="2475" spans="2:8" x14ac:dyDescent="0.2">
      <c r="B2475" s="32">
        <v>46122</v>
      </c>
      <c r="C2475" t="s">
        <v>109</v>
      </c>
      <c r="D2475" t="s">
        <v>200</v>
      </c>
      <c r="E2475" s="13" t="s">
        <v>529</v>
      </c>
      <c r="F2475" s="12">
        <v>2</v>
      </c>
      <c r="G2475" s="12">
        <v>92436.97</v>
      </c>
      <c r="H2475" s="35">
        <v>46147.398143344908</v>
      </c>
    </row>
    <row r="2476" spans="2:8" x14ac:dyDescent="0.2">
      <c r="B2476" s="32">
        <v>46122</v>
      </c>
      <c r="C2476" t="s">
        <v>109</v>
      </c>
      <c r="D2476" t="s">
        <v>142</v>
      </c>
      <c r="E2476" s="13" t="s">
        <v>530</v>
      </c>
      <c r="F2476" s="12">
        <v>4</v>
      </c>
      <c r="G2476" s="12">
        <v>50420.17</v>
      </c>
      <c r="H2476" s="35">
        <v>46147.398143344908</v>
      </c>
    </row>
    <row r="2477" spans="2:8" x14ac:dyDescent="0.2">
      <c r="B2477" s="32">
        <v>46122</v>
      </c>
      <c r="C2477" t="s">
        <v>109</v>
      </c>
      <c r="D2477" t="s">
        <v>376</v>
      </c>
      <c r="E2477" s="13" t="s">
        <v>529</v>
      </c>
      <c r="F2477" s="12">
        <v>1</v>
      </c>
      <c r="G2477" s="12">
        <v>50420.17</v>
      </c>
      <c r="H2477" s="35">
        <v>46147.398143344908</v>
      </c>
    </row>
    <row r="2478" spans="2:8" x14ac:dyDescent="0.2">
      <c r="B2478" s="32">
        <v>46122</v>
      </c>
      <c r="C2478" t="s">
        <v>109</v>
      </c>
      <c r="D2478" t="s">
        <v>232</v>
      </c>
      <c r="E2478" s="13" t="s">
        <v>529</v>
      </c>
      <c r="F2478" s="12">
        <v>1</v>
      </c>
      <c r="G2478" s="12">
        <v>37815.129999999997</v>
      </c>
      <c r="H2478" s="35">
        <v>46147.398143344908</v>
      </c>
    </row>
    <row r="2479" spans="2:8" x14ac:dyDescent="0.2">
      <c r="B2479" s="32">
        <v>46123</v>
      </c>
      <c r="C2479" t="s">
        <v>109</v>
      </c>
      <c r="E2479" s="13" t="s">
        <v>530</v>
      </c>
      <c r="F2479" s="12">
        <v>2</v>
      </c>
      <c r="G2479" s="12">
        <v>252100.85</v>
      </c>
      <c r="H2479" s="35">
        <v>46147.398143344908</v>
      </c>
    </row>
    <row r="2480" spans="2:8" x14ac:dyDescent="0.2">
      <c r="B2480" s="32">
        <v>46123</v>
      </c>
      <c r="C2480" t="s">
        <v>109</v>
      </c>
      <c r="E2480" s="13" t="s">
        <v>529</v>
      </c>
      <c r="F2480" s="12">
        <v>2</v>
      </c>
      <c r="G2480" s="12">
        <v>252100.84</v>
      </c>
      <c r="H2480" s="35">
        <v>46147.398143344908</v>
      </c>
    </row>
    <row r="2481" spans="2:8" x14ac:dyDescent="0.2">
      <c r="B2481" s="32">
        <v>46123</v>
      </c>
      <c r="C2481" t="s">
        <v>109</v>
      </c>
      <c r="D2481" t="s">
        <v>142</v>
      </c>
      <c r="E2481" s="13" t="s">
        <v>530</v>
      </c>
      <c r="F2481" s="12">
        <v>8</v>
      </c>
      <c r="G2481" s="12">
        <v>132773.10999999999</v>
      </c>
      <c r="H2481" s="35">
        <v>46147.398143344908</v>
      </c>
    </row>
    <row r="2482" spans="2:8" x14ac:dyDescent="0.2">
      <c r="B2482" s="32">
        <v>46123</v>
      </c>
      <c r="C2482" t="s">
        <v>109</v>
      </c>
      <c r="D2482" t="s">
        <v>489</v>
      </c>
      <c r="E2482" s="13" t="s">
        <v>530</v>
      </c>
      <c r="F2482" s="12">
        <v>1</v>
      </c>
      <c r="G2482" s="12">
        <v>117647.06</v>
      </c>
      <c r="H2482" s="35">
        <v>46147.398143344908</v>
      </c>
    </row>
    <row r="2483" spans="2:8" x14ac:dyDescent="0.2">
      <c r="B2483" s="32">
        <v>46123</v>
      </c>
      <c r="C2483" t="s">
        <v>109</v>
      </c>
      <c r="D2483" t="s">
        <v>154</v>
      </c>
      <c r="E2483" s="13" t="s">
        <v>530</v>
      </c>
      <c r="F2483" s="12">
        <v>2</v>
      </c>
      <c r="G2483" s="12">
        <v>92436.97</v>
      </c>
      <c r="H2483" s="35">
        <v>46147.398143344908</v>
      </c>
    </row>
    <row r="2484" spans="2:8" x14ac:dyDescent="0.2">
      <c r="B2484" s="32">
        <v>46123</v>
      </c>
      <c r="C2484" t="s">
        <v>109</v>
      </c>
      <c r="D2484" t="s">
        <v>348</v>
      </c>
      <c r="E2484" s="13" t="s">
        <v>529</v>
      </c>
      <c r="F2484" s="12">
        <v>1</v>
      </c>
      <c r="G2484" s="12">
        <v>75630.25</v>
      </c>
      <c r="H2484" s="35">
        <v>46147.398143344908</v>
      </c>
    </row>
    <row r="2485" spans="2:8" x14ac:dyDescent="0.2">
      <c r="B2485" s="32">
        <v>46123</v>
      </c>
      <c r="C2485" t="s">
        <v>109</v>
      </c>
      <c r="D2485" t="s">
        <v>468</v>
      </c>
      <c r="E2485" s="13" t="s">
        <v>530</v>
      </c>
      <c r="F2485" s="12">
        <v>1</v>
      </c>
      <c r="G2485" s="12">
        <v>63025.21</v>
      </c>
      <c r="H2485" s="35">
        <v>46147.398143344908</v>
      </c>
    </row>
    <row r="2486" spans="2:8" x14ac:dyDescent="0.2">
      <c r="B2486" s="32">
        <v>46123</v>
      </c>
      <c r="C2486" t="s">
        <v>109</v>
      </c>
      <c r="D2486" t="s">
        <v>151</v>
      </c>
      <c r="E2486" s="13" t="s">
        <v>530</v>
      </c>
      <c r="F2486" s="12">
        <v>1</v>
      </c>
      <c r="G2486" s="12">
        <v>46218.49</v>
      </c>
      <c r="H2486" s="35">
        <v>46147.398143344908</v>
      </c>
    </row>
    <row r="2487" spans="2:8" x14ac:dyDescent="0.2">
      <c r="B2487" s="32">
        <v>46124</v>
      </c>
      <c r="C2487" t="s">
        <v>140</v>
      </c>
      <c r="D2487" t="s">
        <v>394</v>
      </c>
      <c r="E2487" s="13" t="s">
        <v>530</v>
      </c>
      <c r="F2487" s="12">
        <v>1</v>
      </c>
      <c r="G2487" s="12">
        <v>113445.38</v>
      </c>
      <c r="H2487" s="35">
        <v>46147.398143344908</v>
      </c>
    </row>
    <row r="2488" spans="2:8" x14ac:dyDescent="0.2">
      <c r="B2488" s="32">
        <v>46124</v>
      </c>
      <c r="C2488" t="s">
        <v>109</v>
      </c>
      <c r="E2488" s="13" t="s">
        <v>530</v>
      </c>
      <c r="F2488" s="12">
        <v>3</v>
      </c>
      <c r="G2488" s="12">
        <v>378151.26</v>
      </c>
      <c r="H2488" s="35">
        <v>46147.398143344908</v>
      </c>
    </row>
    <row r="2489" spans="2:8" x14ac:dyDescent="0.2">
      <c r="B2489" s="32">
        <v>46124</v>
      </c>
      <c r="C2489" t="s">
        <v>109</v>
      </c>
      <c r="D2489" t="s">
        <v>575</v>
      </c>
      <c r="E2489" s="13" t="s">
        <v>529</v>
      </c>
      <c r="F2489" s="12">
        <v>6</v>
      </c>
      <c r="G2489" s="12">
        <v>327731.09000000003</v>
      </c>
      <c r="H2489" s="35">
        <v>46147.398143344908</v>
      </c>
    </row>
    <row r="2490" spans="2:8" x14ac:dyDescent="0.2">
      <c r="B2490" s="32">
        <v>46124</v>
      </c>
      <c r="C2490" t="s">
        <v>109</v>
      </c>
      <c r="D2490" t="s">
        <v>348</v>
      </c>
      <c r="E2490" s="13" t="s">
        <v>530</v>
      </c>
      <c r="F2490" s="12">
        <v>2</v>
      </c>
      <c r="G2490" s="12">
        <v>151260.5</v>
      </c>
      <c r="H2490" s="35">
        <v>46147.398143344908</v>
      </c>
    </row>
    <row r="2491" spans="2:8" x14ac:dyDescent="0.2">
      <c r="B2491" s="32">
        <v>46124</v>
      </c>
      <c r="C2491" t="s">
        <v>109</v>
      </c>
      <c r="D2491" t="s">
        <v>142</v>
      </c>
      <c r="E2491" s="13" t="s">
        <v>529</v>
      </c>
      <c r="F2491" s="12">
        <v>6</v>
      </c>
      <c r="G2491" s="12">
        <v>67226.880000000005</v>
      </c>
      <c r="H2491" s="35">
        <v>46147.398143344908</v>
      </c>
    </row>
    <row r="2492" spans="2:8" x14ac:dyDescent="0.2">
      <c r="B2492" s="32">
        <v>46124</v>
      </c>
      <c r="C2492" t="s">
        <v>109</v>
      </c>
      <c r="D2492" t="s">
        <v>143</v>
      </c>
      <c r="E2492" s="13" t="s">
        <v>529</v>
      </c>
      <c r="F2492" s="12">
        <v>2</v>
      </c>
      <c r="G2492" s="12">
        <v>58823.53</v>
      </c>
      <c r="H2492" s="35">
        <v>46147.398143344908</v>
      </c>
    </row>
    <row r="2493" spans="2:8" x14ac:dyDescent="0.2">
      <c r="B2493" s="32">
        <v>46124</v>
      </c>
      <c r="C2493" t="s">
        <v>109</v>
      </c>
      <c r="D2493" t="s">
        <v>480</v>
      </c>
      <c r="E2493" s="13" t="s">
        <v>530</v>
      </c>
      <c r="F2493" s="12">
        <v>1</v>
      </c>
      <c r="G2493" s="12">
        <v>50420.17</v>
      </c>
      <c r="H2493" s="35">
        <v>46147.398143344908</v>
      </c>
    </row>
    <row r="2494" spans="2:8" x14ac:dyDescent="0.2">
      <c r="B2494" s="32">
        <v>46125</v>
      </c>
      <c r="C2494" t="s">
        <v>140</v>
      </c>
      <c r="D2494" t="s">
        <v>265</v>
      </c>
      <c r="E2494" s="13" t="s">
        <v>530</v>
      </c>
      <c r="F2494" s="12">
        <v>2</v>
      </c>
      <c r="G2494" s="12">
        <v>117647.06</v>
      </c>
      <c r="H2494" s="35">
        <v>46147.398143344908</v>
      </c>
    </row>
    <row r="2495" spans="2:8" x14ac:dyDescent="0.2">
      <c r="B2495" s="32">
        <v>46125</v>
      </c>
      <c r="C2495" t="s">
        <v>140</v>
      </c>
      <c r="D2495" t="s">
        <v>232</v>
      </c>
      <c r="E2495" s="13" t="s">
        <v>529</v>
      </c>
      <c r="F2495" s="12">
        <v>2</v>
      </c>
      <c r="G2495" s="12">
        <v>90000</v>
      </c>
      <c r="H2495" s="35">
        <v>46147.398143344908</v>
      </c>
    </row>
    <row r="2496" spans="2:8" x14ac:dyDescent="0.2">
      <c r="B2496" s="32">
        <v>46125</v>
      </c>
      <c r="C2496" t="s">
        <v>110</v>
      </c>
      <c r="D2496" t="s">
        <v>370</v>
      </c>
      <c r="E2496" s="13" t="s">
        <v>529</v>
      </c>
      <c r="F2496" s="12">
        <v>2</v>
      </c>
      <c r="G2496" s="12">
        <v>84033.61</v>
      </c>
      <c r="H2496" s="35">
        <v>46147.398143344908</v>
      </c>
    </row>
    <row r="2497" spans="2:8" x14ac:dyDescent="0.2">
      <c r="B2497" s="32">
        <v>46125</v>
      </c>
      <c r="C2497" t="s">
        <v>109</v>
      </c>
      <c r="D2497" t="s">
        <v>162</v>
      </c>
      <c r="E2497" s="13" t="s">
        <v>529</v>
      </c>
      <c r="F2497" s="12">
        <v>3</v>
      </c>
      <c r="G2497" s="12">
        <v>219327.73</v>
      </c>
      <c r="H2497" s="35">
        <v>46147.398143344908</v>
      </c>
    </row>
    <row r="2498" spans="2:8" x14ac:dyDescent="0.2">
      <c r="B2498" s="32">
        <v>46125</v>
      </c>
      <c r="C2498" t="s">
        <v>109</v>
      </c>
      <c r="D2498" t="s">
        <v>145</v>
      </c>
      <c r="E2498" s="13" t="s">
        <v>529</v>
      </c>
      <c r="F2498" s="12">
        <v>2</v>
      </c>
      <c r="G2498" s="12">
        <v>136134.45000000001</v>
      </c>
      <c r="H2498" s="35">
        <v>46147.398143344908</v>
      </c>
    </row>
    <row r="2499" spans="2:8" x14ac:dyDescent="0.2">
      <c r="B2499" s="32">
        <v>46125</v>
      </c>
      <c r="C2499" t="s">
        <v>109</v>
      </c>
      <c r="D2499" t="s">
        <v>332</v>
      </c>
      <c r="E2499" s="13" t="s">
        <v>529</v>
      </c>
      <c r="F2499" s="12">
        <v>2</v>
      </c>
      <c r="G2499" s="12">
        <v>136134.45000000001</v>
      </c>
      <c r="H2499" s="35">
        <v>46147.398143344908</v>
      </c>
    </row>
    <row r="2500" spans="2:8" x14ac:dyDescent="0.2">
      <c r="B2500" s="32">
        <v>46125</v>
      </c>
      <c r="C2500" t="s">
        <v>109</v>
      </c>
      <c r="D2500" t="s">
        <v>432</v>
      </c>
      <c r="E2500" s="13" t="s">
        <v>529</v>
      </c>
      <c r="F2500" s="12">
        <v>2</v>
      </c>
      <c r="G2500" s="12">
        <v>136134.45000000001</v>
      </c>
      <c r="H2500" s="35">
        <v>46147.398143344908</v>
      </c>
    </row>
    <row r="2501" spans="2:8" x14ac:dyDescent="0.2">
      <c r="B2501" s="32">
        <v>46125</v>
      </c>
      <c r="C2501" t="s">
        <v>109</v>
      </c>
      <c r="D2501" t="s">
        <v>290</v>
      </c>
      <c r="E2501" s="13" t="s">
        <v>530</v>
      </c>
      <c r="F2501" s="12">
        <v>2</v>
      </c>
      <c r="G2501" s="12">
        <v>109243.7</v>
      </c>
      <c r="H2501" s="35">
        <v>46147.398143344908</v>
      </c>
    </row>
    <row r="2502" spans="2:8" x14ac:dyDescent="0.2">
      <c r="B2502" s="32">
        <v>46125</v>
      </c>
      <c r="C2502" t="s">
        <v>109</v>
      </c>
      <c r="D2502" t="s">
        <v>182</v>
      </c>
      <c r="E2502" s="13" t="s">
        <v>530</v>
      </c>
      <c r="F2502" s="12">
        <v>1</v>
      </c>
      <c r="G2502" s="12">
        <v>100840.34</v>
      </c>
      <c r="H2502" s="35">
        <v>46147.398143344908</v>
      </c>
    </row>
    <row r="2503" spans="2:8" x14ac:dyDescent="0.2">
      <c r="B2503" s="32">
        <v>46125</v>
      </c>
      <c r="C2503" t="s">
        <v>109</v>
      </c>
      <c r="D2503" t="s">
        <v>177</v>
      </c>
      <c r="E2503" s="13" t="s">
        <v>529</v>
      </c>
      <c r="F2503" s="12">
        <v>2</v>
      </c>
      <c r="G2503" s="12">
        <v>100840.33</v>
      </c>
      <c r="H2503" s="35">
        <v>46147.398143344908</v>
      </c>
    </row>
    <row r="2504" spans="2:8" x14ac:dyDescent="0.2">
      <c r="B2504" s="32">
        <v>46125</v>
      </c>
      <c r="C2504" t="s">
        <v>109</v>
      </c>
      <c r="D2504" t="s">
        <v>142</v>
      </c>
      <c r="E2504" s="13" t="s">
        <v>529</v>
      </c>
      <c r="F2504" s="12">
        <v>6</v>
      </c>
      <c r="G2504" s="12">
        <v>100840.32000000001</v>
      </c>
      <c r="H2504" s="35">
        <v>46147.398143344908</v>
      </c>
    </row>
    <row r="2505" spans="2:8" x14ac:dyDescent="0.2">
      <c r="B2505" s="32">
        <v>46125</v>
      </c>
      <c r="C2505" t="s">
        <v>109</v>
      </c>
      <c r="D2505" t="s">
        <v>154</v>
      </c>
      <c r="E2505" s="13" t="s">
        <v>529</v>
      </c>
      <c r="F2505" s="12">
        <v>2</v>
      </c>
      <c r="G2505" s="12">
        <v>92436.97</v>
      </c>
      <c r="H2505" s="35">
        <v>46147.398143344908</v>
      </c>
    </row>
    <row r="2506" spans="2:8" x14ac:dyDescent="0.2">
      <c r="B2506" s="32">
        <v>46125</v>
      </c>
      <c r="C2506" t="s">
        <v>109</v>
      </c>
      <c r="D2506" t="s">
        <v>649</v>
      </c>
      <c r="E2506" s="13" t="s">
        <v>529</v>
      </c>
      <c r="F2506" s="12">
        <v>1</v>
      </c>
      <c r="G2506" s="12">
        <v>79831.929999999993</v>
      </c>
      <c r="H2506" s="35">
        <v>46147.398143344908</v>
      </c>
    </row>
    <row r="2507" spans="2:8" x14ac:dyDescent="0.2">
      <c r="B2507" s="32">
        <v>46125</v>
      </c>
      <c r="C2507" t="s">
        <v>109</v>
      </c>
      <c r="D2507" t="s">
        <v>348</v>
      </c>
      <c r="E2507" s="13" t="s">
        <v>529</v>
      </c>
      <c r="F2507" s="12">
        <v>1</v>
      </c>
      <c r="G2507" s="12">
        <v>68067.23</v>
      </c>
      <c r="H2507" s="35">
        <v>46147.398143344908</v>
      </c>
    </row>
    <row r="2508" spans="2:8" x14ac:dyDescent="0.2">
      <c r="B2508" s="32">
        <v>46125</v>
      </c>
      <c r="C2508" t="s">
        <v>109</v>
      </c>
      <c r="D2508" t="s">
        <v>187</v>
      </c>
      <c r="E2508" s="13" t="s">
        <v>529</v>
      </c>
      <c r="F2508" s="12">
        <v>1</v>
      </c>
      <c r="G2508" s="12">
        <v>68067.23</v>
      </c>
      <c r="H2508" s="35">
        <v>46147.398143344908</v>
      </c>
    </row>
    <row r="2509" spans="2:8" x14ac:dyDescent="0.2">
      <c r="B2509" s="32">
        <v>46125</v>
      </c>
      <c r="C2509" t="s">
        <v>109</v>
      </c>
      <c r="D2509" t="s">
        <v>321</v>
      </c>
      <c r="E2509" s="13" t="s">
        <v>529</v>
      </c>
      <c r="F2509" s="12">
        <v>1</v>
      </c>
      <c r="G2509" s="12">
        <v>63025.21</v>
      </c>
      <c r="H2509" s="35">
        <v>46147.398143344908</v>
      </c>
    </row>
    <row r="2510" spans="2:8" x14ac:dyDescent="0.2">
      <c r="B2510" s="32">
        <v>46125</v>
      </c>
      <c r="C2510" t="s">
        <v>109</v>
      </c>
      <c r="D2510" t="s">
        <v>143</v>
      </c>
      <c r="E2510" s="13" t="s">
        <v>530</v>
      </c>
      <c r="F2510" s="12">
        <v>2</v>
      </c>
      <c r="G2510" s="12">
        <v>58823.53</v>
      </c>
      <c r="H2510" s="35">
        <v>46147.398143344908</v>
      </c>
    </row>
    <row r="2511" spans="2:8" x14ac:dyDescent="0.2">
      <c r="B2511" s="32">
        <v>46125</v>
      </c>
      <c r="C2511" t="s">
        <v>109</v>
      </c>
      <c r="D2511" t="s">
        <v>242</v>
      </c>
      <c r="E2511" s="13" t="s">
        <v>529</v>
      </c>
      <c r="F2511" s="12">
        <v>1</v>
      </c>
      <c r="G2511" s="12">
        <v>58823.53</v>
      </c>
      <c r="H2511" s="35">
        <v>46147.398143344908</v>
      </c>
    </row>
    <row r="2512" spans="2:8" x14ac:dyDescent="0.2">
      <c r="B2512" s="32">
        <v>46125</v>
      </c>
      <c r="C2512" t="s">
        <v>109</v>
      </c>
      <c r="D2512" t="s">
        <v>522</v>
      </c>
      <c r="E2512" s="13" t="s">
        <v>530</v>
      </c>
      <c r="F2512" s="12">
        <v>1</v>
      </c>
      <c r="G2512" s="12">
        <v>58823.53</v>
      </c>
      <c r="H2512" s="35">
        <v>46147.398143344908</v>
      </c>
    </row>
    <row r="2513" spans="2:8" x14ac:dyDescent="0.2">
      <c r="B2513" s="32">
        <v>46125</v>
      </c>
      <c r="C2513" t="s">
        <v>109</v>
      </c>
      <c r="D2513" t="s">
        <v>342</v>
      </c>
      <c r="E2513" s="13" t="s">
        <v>530</v>
      </c>
      <c r="F2513" s="12">
        <v>1</v>
      </c>
      <c r="G2513" s="12">
        <v>54621.85</v>
      </c>
      <c r="H2513" s="35">
        <v>46147.398143344908</v>
      </c>
    </row>
    <row r="2514" spans="2:8" x14ac:dyDescent="0.2">
      <c r="B2514" s="32">
        <v>46125</v>
      </c>
      <c r="C2514" t="s">
        <v>109</v>
      </c>
      <c r="D2514" t="s">
        <v>154</v>
      </c>
      <c r="E2514" s="13" t="s">
        <v>530</v>
      </c>
      <c r="F2514" s="12">
        <v>1</v>
      </c>
      <c r="G2514" s="12">
        <v>46218.49</v>
      </c>
      <c r="H2514" s="35">
        <v>46147.398143344908</v>
      </c>
    </row>
    <row r="2515" spans="2:8" x14ac:dyDescent="0.2">
      <c r="B2515" s="32">
        <v>46125</v>
      </c>
      <c r="C2515" t="s">
        <v>109</v>
      </c>
      <c r="D2515" t="s">
        <v>488</v>
      </c>
      <c r="E2515" s="13" t="s">
        <v>529</v>
      </c>
      <c r="F2515" s="12">
        <v>2</v>
      </c>
      <c r="G2515" s="12">
        <v>33613.449999999997</v>
      </c>
      <c r="H2515" s="35">
        <v>46147.398143344908</v>
      </c>
    </row>
    <row r="2516" spans="2:8" x14ac:dyDescent="0.2">
      <c r="B2516" s="32">
        <v>46125</v>
      </c>
      <c r="C2516" t="s">
        <v>109</v>
      </c>
      <c r="D2516" t="s">
        <v>142</v>
      </c>
      <c r="E2516" s="13" t="s">
        <v>530</v>
      </c>
      <c r="F2516" s="12">
        <v>1</v>
      </c>
      <c r="G2516" s="12">
        <v>16806.72</v>
      </c>
      <c r="H2516" s="35">
        <v>46147.398143344908</v>
      </c>
    </row>
    <row r="2517" spans="2:8" x14ac:dyDescent="0.2">
      <c r="B2517" s="32">
        <v>46126</v>
      </c>
      <c r="C2517" t="s">
        <v>110</v>
      </c>
      <c r="D2517" t="s">
        <v>158</v>
      </c>
      <c r="E2517" s="13" t="s">
        <v>530</v>
      </c>
      <c r="F2517" s="12">
        <v>1</v>
      </c>
      <c r="G2517" s="12">
        <v>46218.49</v>
      </c>
      <c r="H2517" s="35">
        <v>46147.398143344908</v>
      </c>
    </row>
    <row r="2518" spans="2:8" x14ac:dyDescent="0.2">
      <c r="B2518" s="32">
        <v>46126</v>
      </c>
      <c r="C2518" t="s">
        <v>109</v>
      </c>
      <c r="D2518" t="s">
        <v>495</v>
      </c>
      <c r="E2518" s="13" t="s">
        <v>530</v>
      </c>
      <c r="F2518" s="12">
        <v>2</v>
      </c>
      <c r="G2518" s="12">
        <v>415966.39</v>
      </c>
      <c r="H2518" s="35">
        <v>46147.398143344908</v>
      </c>
    </row>
    <row r="2519" spans="2:8" x14ac:dyDescent="0.2">
      <c r="B2519" s="32">
        <v>46126</v>
      </c>
      <c r="C2519" t="s">
        <v>109</v>
      </c>
      <c r="D2519" t="s">
        <v>509</v>
      </c>
      <c r="E2519" s="13" t="s">
        <v>529</v>
      </c>
      <c r="F2519" s="12">
        <v>1</v>
      </c>
      <c r="G2519" s="12">
        <v>79831.929999999993</v>
      </c>
      <c r="H2519" s="35">
        <v>46147.398143344908</v>
      </c>
    </row>
    <row r="2520" spans="2:8" x14ac:dyDescent="0.2">
      <c r="B2520" s="32">
        <v>46126</v>
      </c>
      <c r="C2520" t="s">
        <v>109</v>
      </c>
      <c r="D2520" t="s">
        <v>223</v>
      </c>
      <c r="E2520" s="13" t="s">
        <v>530</v>
      </c>
      <c r="F2520" s="12">
        <v>1</v>
      </c>
      <c r="G2520" s="12">
        <v>46218.49</v>
      </c>
      <c r="H2520" s="35">
        <v>46147.398143344908</v>
      </c>
    </row>
    <row r="2521" spans="2:8" x14ac:dyDescent="0.2">
      <c r="B2521" s="32">
        <v>46126</v>
      </c>
      <c r="C2521" t="s">
        <v>109</v>
      </c>
      <c r="D2521" t="s">
        <v>201</v>
      </c>
      <c r="E2521" s="13" t="s">
        <v>530</v>
      </c>
      <c r="F2521" s="12">
        <v>1</v>
      </c>
      <c r="G2521" s="12">
        <v>42016.81</v>
      </c>
      <c r="H2521" s="35">
        <v>46147.398143344908</v>
      </c>
    </row>
    <row r="2522" spans="2:8" x14ac:dyDescent="0.2">
      <c r="B2522" s="32">
        <v>46126</v>
      </c>
      <c r="C2522" t="s">
        <v>109</v>
      </c>
      <c r="D2522" t="s">
        <v>488</v>
      </c>
      <c r="E2522" s="13" t="s">
        <v>530</v>
      </c>
      <c r="F2522" s="12">
        <v>2</v>
      </c>
      <c r="G2522" s="12">
        <v>33613.449999999997</v>
      </c>
      <c r="H2522" s="35">
        <v>46147.398143344908</v>
      </c>
    </row>
    <row r="2523" spans="2:8" x14ac:dyDescent="0.2">
      <c r="B2523" s="32">
        <v>46126</v>
      </c>
      <c r="C2523" t="s">
        <v>109</v>
      </c>
      <c r="D2523" t="s">
        <v>143</v>
      </c>
      <c r="E2523" s="13" t="s">
        <v>530</v>
      </c>
      <c r="F2523" s="12">
        <v>1</v>
      </c>
      <c r="G2523" s="12">
        <v>29411.759999999998</v>
      </c>
      <c r="H2523" s="35">
        <v>46147.398143344908</v>
      </c>
    </row>
    <row r="2524" spans="2:8" x14ac:dyDescent="0.2">
      <c r="B2524" s="32">
        <v>46126</v>
      </c>
      <c r="C2524" t="s">
        <v>109</v>
      </c>
      <c r="D2524" t="s">
        <v>142</v>
      </c>
      <c r="E2524" s="13" t="s">
        <v>529</v>
      </c>
      <c r="F2524" s="12">
        <v>2</v>
      </c>
      <c r="G2524" s="12">
        <v>16806.72</v>
      </c>
      <c r="H2524" s="35">
        <v>46147.398143344908</v>
      </c>
    </row>
    <row r="2525" spans="2:8" x14ac:dyDescent="0.2">
      <c r="B2525" s="32">
        <v>46127</v>
      </c>
      <c r="C2525" t="s">
        <v>140</v>
      </c>
      <c r="D2525" t="s">
        <v>180</v>
      </c>
      <c r="E2525" s="13" t="s">
        <v>529</v>
      </c>
      <c r="F2525" s="12">
        <v>2</v>
      </c>
      <c r="G2525" s="12">
        <v>58823.519999999997</v>
      </c>
      <c r="H2525" s="35">
        <v>46147.398143344908</v>
      </c>
    </row>
    <row r="2526" spans="2:8" x14ac:dyDescent="0.2">
      <c r="B2526" s="32">
        <v>46127</v>
      </c>
      <c r="C2526" t="s">
        <v>110</v>
      </c>
      <c r="D2526" t="s">
        <v>202</v>
      </c>
      <c r="E2526" s="13" t="s">
        <v>529</v>
      </c>
      <c r="F2526" s="12">
        <v>1</v>
      </c>
      <c r="G2526" s="12">
        <v>42016.800000000003</v>
      </c>
      <c r="H2526" s="35">
        <v>46147.398143344908</v>
      </c>
    </row>
    <row r="2527" spans="2:8" x14ac:dyDescent="0.2">
      <c r="B2527" s="32">
        <v>46127</v>
      </c>
      <c r="C2527" t="s">
        <v>109</v>
      </c>
      <c r="D2527" t="s">
        <v>485</v>
      </c>
      <c r="E2527" s="13" t="s">
        <v>529</v>
      </c>
      <c r="F2527" s="12">
        <v>2</v>
      </c>
      <c r="G2527" s="12">
        <v>285714.28000000003</v>
      </c>
      <c r="H2527" s="35">
        <v>46147.398143344908</v>
      </c>
    </row>
    <row r="2528" spans="2:8" x14ac:dyDescent="0.2">
      <c r="B2528" s="32">
        <v>46127</v>
      </c>
      <c r="C2528" t="s">
        <v>109</v>
      </c>
      <c r="D2528" t="s">
        <v>651</v>
      </c>
      <c r="E2528" s="13" t="s">
        <v>529</v>
      </c>
      <c r="F2528" s="12">
        <v>1</v>
      </c>
      <c r="G2528" s="12">
        <v>243697.48</v>
      </c>
      <c r="H2528" s="35">
        <v>46147.398143344908</v>
      </c>
    </row>
    <row r="2529" spans="2:8" x14ac:dyDescent="0.2">
      <c r="B2529" s="32">
        <v>46127</v>
      </c>
      <c r="C2529" t="s">
        <v>109</v>
      </c>
      <c r="D2529" t="s">
        <v>363</v>
      </c>
      <c r="E2529" s="13" t="s">
        <v>530</v>
      </c>
      <c r="F2529" s="12">
        <v>2</v>
      </c>
      <c r="G2529" s="12">
        <v>117647.06</v>
      </c>
      <c r="H2529" s="35">
        <v>46147.398143344908</v>
      </c>
    </row>
    <row r="2530" spans="2:8" x14ac:dyDescent="0.2">
      <c r="B2530" s="32">
        <v>46127</v>
      </c>
      <c r="C2530" t="s">
        <v>109</v>
      </c>
      <c r="D2530" t="s">
        <v>192</v>
      </c>
      <c r="E2530" s="13" t="s">
        <v>530</v>
      </c>
      <c r="F2530" s="12">
        <v>1</v>
      </c>
      <c r="G2530" s="12">
        <v>113445.37</v>
      </c>
      <c r="H2530" s="35">
        <v>46147.398143344908</v>
      </c>
    </row>
    <row r="2531" spans="2:8" x14ac:dyDescent="0.2">
      <c r="B2531" s="32">
        <v>46127</v>
      </c>
      <c r="C2531" t="s">
        <v>109</v>
      </c>
      <c r="D2531" t="s">
        <v>143</v>
      </c>
      <c r="E2531" s="13" t="s">
        <v>529</v>
      </c>
      <c r="F2531" s="12">
        <v>3</v>
      </c>
      <c r="G2531" s="12">
        <v>88235.29</v>
      </c>
      <c r="H2531" s="35">
        <v>46147.398143344908</v>
      </c>
    </row>
    <row r="2532" spans="2:8" x14ac:dyDescent="0.2">
      <c r="B2532" s="32">
        <v>46127</v>
      </c>
      <c r="C2532" t="s">
        <v>109</v>
      </c>
      <c r="D2532" t="s">
        <v>490</v>
      </c>
      <c r="E2532" s="13" t="s">
        <v>529</v>
      </c>
      <c r="F2532" s="12">
        <v>2</v>
      </c>
      <c r="G2532" s="12">
        <v>75630.259999999995</v>
      </c>
      <c r="H2532" s="35">
        <v>46147.398143344908</v>
      </c>
    </row>
    <row r="2533" spans="2:8" x14ac:dyDescent="0.2">
      <c r="B2533" s="32">
        <v>46127</v>
      </c>
      <c r="C2533" t="s">
        <v>109</v>
      </c>
      <c r="D2533" t="s">
        <v>236</v>
      </c>
      <c r="E2533" s="13" t="s">
        <v>529</v>
      </c>
      <c r="F2533" s="12">
        <v>1</v>
      </c>
      <c r="G2533" s="12">
        <v>46218.49</v>
      </c>
      <c r="H2533" s="35">
        <v>46147.398143344908</v>
      </c>
    </row>
    <row r="2534" spans="2:8" x14ac:dyDescent="0.2">
      <c r="B2534" s="32">
        <v>46127</v>
      </c>
      <c r="C2534" t="s">
        <v>109</v>
      </c>
      <c r="D2534" t="s">
        <v>204</v>
      </c>
      <c r="E2534" s="13" t="s">
        <v>529</v>
      </c>
      <c r="F2534" s="12">
        <v>1</v>
      </c>
      <c r="G2534" s="12">
        <v>37815.129999999997</v>
      </c>
      <c r="H2534" s="35">
        <v>46147.398143344908</v>
      </c>
    </row>
    <row r="2535" spans="2:8" x14ac:dyDescent="0.2">
      <c r="B2535" s="32">
        <v>46127</v>
      </c>
      <c r="C2535" t="s">
        <v>109</v>
      </c>
      <c r="D2535" t="s">
        <v>142</v>
      </c>
      <c r="E2535" s="13" t="s">
        <v>530</v>
      </c>
      <c r="F2535" s="12">
        <v>2</v>
      </c>
      <c r="G2535" s="12">
        <v>25210.080000000002</v>
      </c>
      <c r="H2535" s="35">
        <v>46147.398143344908</v>
      </c>
    </row>
    <row r="2536" spans="2:8" x14ac:dyDescent="0.2">
      <c r="B2536" s="32">
        <v>46128</v>
      </c>
      <c r="C2536" t="s">
        <v>140</v>
      </c>
      <c r="D2536" t="s">
        <v>498</v>
      </c>
      <c r="E2536" s="13" t="s">
        <v>530</v>
      </c>
      <c r="F2536" s="12">
        <v>1</v>
      </c>
      <c r="G2536" s="12">
        <v>63025.21</v>
      </c>
      <c r="H2536" s="35">
        <v>46147.398143344908</v>
      </c>
    </row>
    <row r="2537" spans="2:8" x14ac:dyDescent="0.2">
      <c r="B2537" s="32">
        <v>46128</v>
      </c>
      <c r="C2537" t="s">
        <v>109</v>
      </c>
      <c r="D2537" t="s">
        <v>487</v>
      </c>
      <c r="E2537" s="13" t="s">
        <v>530</v>
      </c>
      <c r="F2537" s="12">
        <v>50</v>
      </c>
      <c r="G2537" s="12">
        <v>1058823.53</v>
      </c>
      <c r="H2537" s="35">
        <v>46147.398143344908</v>
      </c>
    </row>
    <row r="2538" spans="2:8" x14ac:dyDescent="0.2">
      <c r="B2538" s="32">
        <v>46128</v>
      </c>
      <c r="C2538" t="s">
        <v>109</v>
      </c>
      <c r="E2538" s="13" t="s">
        <v>530</v>
      </c>
      <c r="F2538" s="12">
        <v>1</v>
      </c>
      <c r="G2538" s="12">
        <v>126050.42</v>
      </c>
      <c r="H2538" s="35">
        <v>46147.398143344908</v>
      </c>
    </row>
    <row r="2539" spans="2:8" x14ac:dyDescent="0.2">
      <c r="B2539" s="32">
        <v>46128</v>
      </c>
      <c r="C2539" t="s">
        <v>109</v>
      </c>
      <c r="D2539" t="s">
        <v>489</v>
      </c>
      <c r="E2539" s="13" t="s">
        <v>530</v>
      </c>
      <c r="F2539" s="12">
        <v>2</v>
      </c>
      <c r="G2539" s="12">
        <v>126050.42</v>
      </c>
      <c r="H2539" s="35">
        <v>46147.398143344908</v>
      </c>
    </row>
    <row r="2540" spans="2:8" x14ac:dyDescent="0.2">
      <c r="B2540" s="32">
        <v>46128</v>
      </c>
      <c r="C2540" t="s">
        <v>109</v>
      </c>
      <c r="D2540" t="s">
        <v>311</v>
      </c>
      <c r="E2540" s="13" t="s">
        <v>530</v>
      </c>
      <c r="F2540" s="12">
        <v>1</v>
      </c>
      <c r="G2540" s="12">
        <v>113445.38</v>
      </c>
      <c r="H2540" s="35">
        <v>46147.398143344908</v>
      </c>
    </row>
    <row r="2541" spans="2:8" x14ac:dyDescent="0.2">
      <c r="B2541" s="32">
        <v>46128</v>
      </c>
      <c r="C2541" t="s">
        <v>109</v>
      </c>
      <c r="D2541" t="s">
        <v>491</v>
      </c>
      <c r="E2541" s="13" t="s">
        <v>529</v>
      </c>
      <c r="F2541" s="12">
        <v>1</v>
      </c>
      <c r="G2541" s="12">
        <v>109243.69</v>
      </c>
      <c r="H2541" s="35">
        <v>46147.398143344908</v>
      </c>
    </row>
    <row r="2542" spans="2:8" x14ac:dyDescent="0.2">
      <c r="B2542" s="32">
        <v>46128</v>
      </c>
      <c r="C2542" t="s">
        <v>109</v>
      </c>
      <c r="D2542" t="s">
        <v>154</v>
      </c>
      <c r="E2542" s="13" t="s">
        <v>530</v>
      </c>
      <c r="F2542" s="12">
        <v>2</v>
      </c>
      <c r="G2542" s="12">
        <v>92436.97</v>
      </c>
      <c r="H2542" s="35">
        <v>46147.398143344908</v>
      </c>
    </row>
    <row r="2543" spans="2:8" x14ac:dyDescent="0.2">
      <c r="B2543" s="32">
        <v>46128</v>
      </c>
      <c r="C2543" t="s">
        <v>109</v>
      </c>
      <c r="D2543" t="s">
        <v>509</v>
      </c>
      <c r="E2543" s="13" t="s">
        <v>530</v>
      </c>
      <c r="F2543" s="12">
        <v>1</v>
      </c>
      <c r="G2543" s="12">
        <v>79831.929999999993</v>
      </c>
      <c r="H2543" s="35">
        <v>46147.398143344908</v>
      </c>
    </row>
    <row r="2544" spans="2:8" x14ac:dyDescent="0.2">
      <c r="B2544" s="32">
        <v>46128</v>
      </c>
      <c r="C2544" t="s">
        <v>109</v>
      </c>
      <c r="D2544" t="s">
        <v>232</v>
      </c>
      <c r="E2544" s="13" t="s">
        <v>529</v>
      </c>
      <c r="F2544" s="12">
        <v>2</v>
      </c>
      <c r="G2544" s="12">
        <v>75630.25</v>
      </c>
      <c r="H2544" s="35">
        <v>46147.398143344908</v>
      </c>
    </row>
    <row r="2545" spans="2:8" x14ac:dyDescent="0.2">
      <c r="B2545" s="32">
        <v>46128</v>
      </c>
      <c r="C2545" t="s">
        <v>109</v>
      </c>
      <c r="D2545" t="s">
        <v>263</v>
      </c>
      <c r="E2545" s="13" t="s">
        <v>529</v>
      </c>
      <c r="F2545" s="12">
        <v>1</v>
      </c>
      <c r="G2545" s="12">
        <v>50420.17</v>
      </c>
      <c r="H2545" s="35">
        <v>46147.398143344908</v>
      </c>
    </row>
    <row r="2546" spans="2:8" x14ac:dyDescent="0.2">
      <c r="B2546" s="32">
        <v>46128</v>
      </c>
      <c r="C2546" t="s">
        <v>109</v>
      </c>
      <c r="D2546" t="s">
        <v>142</v>
      </c>
      <c r="E2546" s="13" t="s">
        <v>529</v>
      </c>
      <c r="F2546" s="12">
        <v>3</v>
      </c>
      <c r="G2546" s="12">
        <v>45378.15</v>
      </c>
      <c r="H2546" s="35">
        <v>46147.398143344908</v>
      </c>
    </row>
    <row r="2547" spans="2:8" x14ac:dyDescent="0.2">
      <c r="B2547" s="32">
        <v>46128</v>
      </c>
      <c r="C2547" t="s">
        <v>109</v>
      </c>
      <c r="D2547" t="s">
        <v>641</v>
      </c>
      <c r="E2547" s="13" t="s">
        <v>529</v>
      </c>
      <c r="F2547" s="12">
        <v>1</v>
      </c>
      <c r="G2547" s="12">
        <v>42016.81</v>
      </c>
      <c r="H2547" s="35">
        <v>46147.398143344908</v>
      </c>
    </row>
    <row r="2548" spans="2:8" x14ac:dyDescent="0.2">
      <c r="B2548" s="32">
        <v>46129</v>
      </c>
      <c r="C2548" t="s">
        <v>140</v>
      </c>
      <c r="D2548" t="s">
        <v>499</v>
      </c>
      <c r="E2548" s="13" t="s">
        <v>530</v>
      </c>
      <c r="F2548" s="12">
        <v>2</v>
      </c>
      <c r="G2548" s="12">
        <v>327731.09000000003</v>
      </c>
      <c r="H2548" s="35">
        <v>46147.398143344908</v>
      </c>
    </row>
    <row r="2549" spans="2:8" x14ac:dyDescent="0.2">
      <c r="B2549" s="32">
        <v>46129</v>
      </c>
      <c r="C2549" t="s">
        <v>140</v>
      </c>
      <c r="D2549" t="s">
        <v>646</v>
      </c>
      <c r="E2549" s="13" t="s">
        <v>529</v>
      </c>
      <c r="F2549" s="12">
        <v>1</v>
      </c>
      <c r="G2549" s="12">
        <v>277310.92</v>
      </c>
      <c r="H2549" s="35">
        <v>46147.398143344908</v>
      </c>
    </row>
    <row r="2550" spans="2:8" x14ac:dyDescent="0.2">
      <c r="B2550" s="32">
        <v>46129</v>
      </c>
      <c r="C2550" t="s">
        <v>140</v>
      </c>
      <c r="D2550" t="s">
        <v>636</v>
      </c>
      <c r="E2550" s="13" t="s">
        <v>529</v>
      </c>
      <c r="F2550" s="12">
        <v>2</v>
      </c>
      <c r="G2550" s="12">
        <v>117647.06</v>
      </c>
      <c r="H2550" s="35">
        <v>46147.398143344908</v>
      </c>
    </row>
    <row r="2551" spans="2:8" x14ac:dyDescent="0.2">
      <c r="B2551" s="32">
        <v>46129</v>
      </c>
      <c r="C2551" t="s">
        <v>140</v>
      </c>
      <c r="D2551" t="s">
        <v>494</v>
      </c>
      <c r="E2551" s="13" t="s">
        <v>530</v>
      </c>
      <c r="F2551" s="12">
        <v>2</v>
      </c>
      <c r="G2551" s="12">
        <v>100840.34</v>
      </c>
      <c r="H2551" s="35">
        <v>46147.398143344908</v>
      </c>
    </row>
    <row r="2552" spans="2:8" x14ac:dyDescent="0.2">
      <c r="B2552" s="32">
        <v>46129</v>
      </c>
      <c r="C2552" t="s">
        <v>110</v>
      </c>
      <c r="D2552" t="s">
        <v>639</v>
      </c>
      <c r="E2552" s="13" t="s">
        <v>529</v>
      </c>
      <c r="F2552" s="12">
        <v>2</v>
      </c>
      <c r="G2552" s="12">
        <v>92436.97</v>
      </c>
      <c r="H2552" s="35">
        <v>46147.398143344908</v>
      </c>
    </row>
    <row r="2553" spans="2:8" x14ac:dyDescent="0.2">
      <c r="B2553" s="32">
        <v>46129</v>
      </c>
      <c r="C2553" t="s">
        <v>109</v>
      </c>
      <c r="D2553" t="s">
        <v>538</v>
      </c>
      <c r="E2553" s="13" t="s">
        <v>529</v>
      </c>
      <c r="F2553" s="12">
        <v>3</v>
      </c>
      <c r="G2553" s="12">
        <v>147000</v>
      </c>
      <c r="H2553" s="35">
        <v>46147.398143344908</v>
      </c>
    </row>
    <row r="2554" spans="2:8" x14ac:dyDescent="0.2">
      <c r="B2554" s="32">
        <v>46129</v>
      </c>
      <c r="C2554" t="s">
        <v>109</v>
      </c>
      <c r="D2554" t="s">
        <v>143</v>
      </c>
      <c r="E2554" s="13" t="s">
        <v>529</v>
      </c>
      <c r="F2554" s="12">
        <v>2</v>
      </c>
      <c r="G2554" s="12">
        <v>58823.53</v>
      </c>
      <c r="H2554" s="35">
        <v>46147.398143344908</v>
      </c>
    </row>
    <row r="2555" spans="2:8" x14ac:dyDescent="0.2">
      <c r="B2555" s="32">
        <v>46129</v>
      </c>
      <c r="C2555" t="s">
        <v>109</v>
      </c>
      <c r="D2555" t="s">
        <v>151</v>
      </c>
      <c r="E2555" s="13" t="s">
        <v>530</v>
      </c>
      <c r="F2555" s="12">
        <v>1</v>
      </c>
      <c r="G2555" s="12">
        <v>46218.49</v>
      </c>
      <c r="H2555" s="35">
        <v>46147.398143344908</v>
      </c>
    </row>
    <row r="2556" spans="2:8" x14ac:dyDescent="0.2">
      <c r="B2556" s="32">
        <v>46129</v>
      </c>
      <c r="C2556" t="s">
        <v>109</v>
      </c>
      <c r="D2556" t="s">
        <v>151</v>
      </c>
      <c r="E2556" s="13" t="s">
        <v>529</v>
      </c>
      <c r="F2556" s="12">
        <v>1</v>
      </c>
      <c r="G2556" s="12">
        <v>46218.49</v>
      </c>
      <c r="H2556" s="35">
        <v>46147.398143344908</v>
      </c>
    </row>
    <row r="2557" spans="2:8" x14ac:dyDescent="0.2">
      <c r="B2557" s="32">
        <v>46130</v>
      </c>
      <c r="C2557" t="s">
        <v>140</v>
      </c>
      <c r="D2557" t="s">
        <v>216</v>
      </c>
      <c r="E2557" s="13" t="s">
        <v>529</v>
      </c>
      <c r="F2557" s="12">
        <v>1</v>
      </c>
      <c r="G2557" s="12">
        <v>50000</v>
      </c>
      <c r="H2557" s="35">
        <v>46147.398143344908</v>
      </c>
    </row>
    <row r="2558" spans="2:8" x14ac:dyDescent="0.2">
      <c r="B2558" s="32">
        <v>46130</v>
      </c>
      <c r="C2558" t="s">
        <v>109</v>
      </c>
      <c r="D2558" t="s">
        <v>253</v>
      </c>
      <c r="E2558" s="13" t="s">
        <v>530</v>
      </c>
      <c r="F2558" s="12">
        <v>2</v>
      </c>
      <c r="G2558" s="12">
        <v>277310.90999999997</v>
      </c>
      <c r="H2558" s="35">
        <v>46147.398143344908</v>
      </c>
    </row>
    <row r="2559" spans="2:8" x14ac:dyDescent="0.2">
      <c r="B2559" s="32">
        <v>46130</v>
      </c>
      <c r="C2559" t="s">
        <v>109</v>
      </c>
      <c r="D2559" t="s">
        <v>491</v>
      </c>
      <c r="E2559" s="13" t="s">
        <v>529</v>
      </c>
      <c r="F2559" s="12">
        <v>2</v>
      </c>
      <c r="G2559" s="12">
        <v>218487.39</v>
      </c>
      <c r="H2559" s="35">
        <v>46147.398143344908</v>
      </c>
    </row>
    <row r="2560" spans="2:8" x14ac:dyDescent="0.2">
      <c r="B2560" s="32">
        <v>46130</v>
      </c>
      <c r="C2560" t="s">
        <v>109</v>
      </c>
      <c r="D2560" t="s">
        <v>150</v>
      </c>
      <c r="E2560" s="13" t="s">
        <v>529</v>
      </c>
      <c r="F2560" s="12">
        <v>2</v>
      </c>
      <c r="G2560" s="12">
        <v>168067.24</v>
      </c>
      <c r="H2560" s="35">
        <v>46147.398143344908</v>
      </c>
    </row>
    <row r="2561" spans="2:8" x14ac:dyDescent="0.2">
      <c r="B2561" s="32">
        <v>46130</v>
      </c>
      <c r="C2561" t="s">
        <v>109</v>
      </c>
      <c r="D2561" t="s">
        <v>187</v>
      </c>
      <c r="E2561" s="13" t="s">
        <v>530</v>
      </c>
      <c r="F2561" s="12">
        <v>2</v>
      </c>
      <c r="G2561" s="12">
        <v>151260.5</v>
      </c>
      <c r="H2561" s="35">
        <v>46147.398143344908</v>
      </c>
    </row>
    <row r="2562" spans="2:8" x14ac:dyDescent="0.2">
      <c r="B2562" s="32">
        <v>46130</v>
      </c>
      <c r="C2562" t="s">
        <v>109</v>
      </c>
      <c r="D2562" t="s">
        <v>143</v>
      </c>
      <c r="E2562" s="13" t="s">
        <v>529</v>
      </c>
      <c r="F2562" s="12">
        <v>4</v>
      </c>
      <c r="G2562" s="12">
        <v>117647.06</v>
      </c>
      <c r="H2562" s="35">
        <v>46147.398143344908</v>
      </c>
    </row>
    <row r="2563" spans="2:8" x14ac:dyDescent="0.2">
      <c r="B2563" s="32">
        <v>46130</v>
      </c>
      <c r="C2563" t="s">
        <v>109</v>
      </c>
      <c r="D2563" t="s">
        <v>491</v>
      </c>
      <c r="E2563" s="13" t="s">
        <v>530</v>
      </c>
      <c r="F2563" s="12">
        <v>1</v>
      </c>
      <c r="G2563" s="12">
        <v>109243.7</v>
      </c>
      <c r="H2563" s="35">
        <v>46147.398143344908</v>
      </c>
    </row>
    <row r="2564" spans="2:8" x14ac:dyDescent="0.2">
      <c r="B2564" s="32">
        <v>46130</v>
      </c>
      <c r="C2564" t="s">
        <v>109</v>
      </c>
      <c r="D2564" t="s">
        <v>171</v>
      </c>
      <c r="E2564" s="13" t="s">
        <v>529</v>
      </c>
      <c r="F2564" s="12">
        <v>2</v>
      </c>
      <c r="G2564" s="12">
        <v>75630.259999999995</v>
      </c>
      <c r="H2564" s="35">
        <v>46147.398143344908</v>
      </c>
    </row>
    <row r="2565" spans="2:8" x14ac:dyDescent="0.2">
      <c r="B2565" s="32">
        <v>46130</v>
      </c>
      <c r="C2565" t="s">
        <v>109</v>
      </c>
      <c r="D2565" t="s">
        <v>190</v>
      </c>
      <c r="E2565" s="13" t="s">
        <v>530</v>
      </c>
      <c r="F2565" s="12">
        <v>1</v>
      </c>
      <c r="G2565" s="12">
        <v>75630.25</v>
      </c>
      <c r="H2565" s="35">
        <v>46147.398143344908</v>
      </c>
    </row>
    <row r="2566" spans="2:8" x14ac:dyDescent="0.2">
      <c r="B2566" s="32">
        <v>46130</v>
      </c>
      <c r="C2566" t="s">
        <v>109</v>
      </c>
      <c r="D2566" t="s">
        <v>346</v>
      </c>
      <c r="E2566" s="13" t="s">
        <v>530</v>
      </c>
      <c r="F2566" s="12">
        <v>1</v>
      </c>
      <c r="G2566" s="12">
        <v>50420.17</v>
      </c>
      <c r="H2566" s="35">
        <v>46147.398143344908</v>
      </c>
    </row>
    <row r="2567" spans="2:8" x14ac:dyDescent="0.2">
      <c r="B2567" s="32">
        <v>46130</v>
      </c>
      <c r="C2567" t="s">
        <v>109</v>
      </c>
      <c r="D2567" t="s">
        <v>325</v>
      </c>
      <c r="E2567" s="13" t="s">
        <v>530</v>
      </c>
      <c r="F2567" s="12">
        <v>1</v>
      </c>
      <c r="G2567" s="12">
        <v>35000</v>
      </c>
      <c r="H2567" s="35">
        <v>46147.398143344908</v>
      </c>
    </row>
    <row r="2568" spans="2:8" x14ac:dyDescent="0.2">
      <c r="B2568" s="32">
        <v>46130</v>
      </c>
      <c r="C2568" t="s">
        <v>109</v>
      </c>
      <c r="D2568" t="s">
        <v>142</v>
      </c>
      <c r="E2568" s="13" t="s">
        <v>530</v>
      </c>
      <c r="F2568" s="12">
        <v>2</v>
      </c>
      <c r="G2568" s="12">
        <v>33613.440000000002</v>
      </c>
      <c r="H2568" s="35">
        <v>46147.398143344908</v>
      </c>
    </row>
    <row r="2569" spans="2:8" x14ac:dyDescent="0.2">
      <c r="B2569" s="32">
        <v>46130</v>
      </c>
      <c r="C2569" t="s">
        <v>109</v>
      </c>
      <c r="D2569" t="s">
        <v>142</v>
      </c>
      <c r="E2569" s="13" t="s">
        <v>529</v>
      </c>
      <c r="F2569" s="12">
        <v>3</v>
      </c>
      <c r="G2569" s="12">
        <v>31932.77</v>
      </c>
      <c r="H2569" s="35">
        <v>46147.398143344908</v>
      </c>
    </row>
    <row r="2570" spans="2:8" x14ac:dyDescent="0.2">
      <c r="B2570" s="32">
        <v>46130</v>
      </c>
      <c r="C2570" t="s">
        <v>109</v>
      </c>
      <c r="D2570" t="s">
        <v>178</v>
      </c>
      <c r="E2570" s="13" t="s">
        <v>529</v>
      </c>
      <c r="F2570" s="12">
        <v>1</v>
      </c>
      <c r="G2570" s="12">
        <v>16806.72</v>
      </c>
      <c r="H2570" s="35">
        <v>46147.398143344908</v>
      </c>
    </row>
    <row r="2571" spans="2:8" x14ac:dyDescent="0.2">
      <c r="B2571" s="32">
        <v>46130</v>
      </c>
      <c r="C2571" t="s">
        <v>109</v>
      </c>
      <c r="D2571" t="s">
        <v>488</v>
      </c>
      <c r="E2571" s="13" t="s">
        <v>530</v>
      </c>
      <c r="F2571" s="12">
        <v>1</v>
      </c>
      <c r="G2571" s="12">
        <v>16806.72</v>
      </c>
      <c r="H2571" s="35">
        <v>46147.398143344908</v>
      </c>
    </row>
    <row r="2572" spans="2:8" x14ac:dyDescent="0.2">
      <c r="B2572" s="32">
        <v>46131</v>
      </c>
      <c r="C2572" t="s">
        <v>109</v>
      </c>
      <c r="D2572" t="s">
        <v>225</v>
      </c>
      <c r="E2572" s="13" t="s">
        <v>529</v>
      </c>
      <c r="F2572" s="12">
        <v>2</v>
      </c>
      <c r="G2572" s="12">
        <v>226890.75</v>
      </c>
      <c r="H2572" s="35">
        <v>46147.398143344908</v>
      </c>
    </row>
    <row r="2573" spans="2:8" x14ac:dyDescent="0.2">
      <c r="B2573" s="32">
        <v>46131</v>
      </c>
      <c r="C2573" t="s">
        <v>109</v>
      </c>
      <c r="D2573" t="s">
        <v>142</v>
      </c>
      <c r="E2573" s="13" t="s">
        <v>529</v>
      </c>
      <c r="F2573" s="12">
        <v>5</v>
      </c>
      <c r="G2573" s="12">
        <v>166386.56</v>
      </c>
      <c r="H2573" s="35">
        <v>46147.398143344908</v>
      </c>
    </row>
    <row r="2574" spans="2:8" x14ac:dyDescent="0.2">
      <c r="B2574" s="32">
        <v>46131</v>
      </c>
      <c r="C2574" t="s">
        <v>109</v>
      </c>
      <c r="D2574" t="s">
        <v>162</v>
      </c>
      <c r="E2574" s="13" t="s">
        <v>529</v>
      </c>
      <c r="F2574" s="12">
        <v>1</v>
      </c>
      <c r="G2574" s="12">
        <v>75630.25</v>
      </c>
      <c r="H2574" s="35">
        <v>46147.398143344908</v>
      </c>
    </row>
    <row r="2575" spans="2:8" x14ac:dyDescent="0.2">
      <c r="B2575" s="32">
        <v>46131</v>
      </c>
      <c r="C2575" t="s">
        <v>109</v>
      </c>
      <c r="D2575" t="s">
        <v>338</v>
      </c>
      <c r="E2575" s="13" t="s">
        <v>530</v>
      </c>
      <c r="F2575" s="12">
        <v>1</v>
      </c>
      <c r="G2575" s="12">
        <v>63025.21</v>
      </c>
      <c r="H2575" s="35">
        <v>46147.398143344908</v>
      </c>
    </row>
    <row r="2576" spans="2:8" x14ac:dyDescent="0.2">
      <c r="B2576" s="32">
        <v>46131</v>
      </c>
      <c r="C2576" t="s">
        <v>109</v>
      </c>
      <c r="D2576" t="s">
        <v>450</v>
      </c>
      <c r="E2576" s="13" t="s">
        <v>529</v>
      </c>
      <c r="F2576" s="12">
        <v>1</v>
      </c>
      <c r="G2576" s="12">
        <v>16806.72</v>
      </c>
      <c r="H2576" s="35">
        <v>46147.398143344908</v>
      </c>
    </row>
    <row r="2577" spans="2:8" x14ac:dyDescent="0.2">
      <c r="B2577" s="32">
        <v>46132</v>
      </c>
      <c r="C2577" t="s">
        <v>140</v>
      </c>
      <c r="D2577" t="s">
        <v>634</v>
      </c>
      <c r="E2577" s="13" t="s">
        <v>529</v>
      </c>
      <c r="F2577" s="12">
        <v>1</v>
      </c>
      <c r="G2577" s="12">
        <v>210084.03</v>
      </c>
      <c r="H2577" s="35">
        <v>46147.398143344908</v>
      </c>
    </row>
    <row r="2578" spans="2:8" x14ac:dyDescent="0.2">
      <c r="B2578" s="32">
        <v>46132</v>
      </c>
      <c r="C2578" t="s">
        <v>109</v>
      </c>
      <c r="D2578" t="s">
        <v>459</v>
      </c>
      <c r="E2578" s="13" t="s">
        <v>529</v>
      </c>
      <c r="F2578" s="12">
        <v>2</v>
      </c>
      <c r="G2578" s="12">
        <v>432773.11</v>
      </c>
      <c r="H2578" s="35">
        <v>46147.398143344908</v>
      </c>
    </row>
    <row r="2579" spans="2:8" x14ac:dyDescent="0.2">
      <c r="B2579" s="32">
        <v>46132</v>
      </c>
      <c r="C2579" t="s">
        <v>109</v>
      </c>
      <c r="D2579" t="s">
        <v>614</v>
      </c>
      <c r="E2579" s="13" t="s">
        <v>529</v>
      </c>
      <c r="F2579" s="12">
        <v>5</v>
      </c>
      <c r="G2579" s="12">
        <v>168067.23</v>
      </c>
      <c r="H2579" s="35">
        <v>46147.398143344908</v>
      </c>
    </row>
    <row r="2580" spans="2:8" x14ac:dyDescent="0.2">
      <c r="B2580" s="32">
        <v>46132</v>
      </c>
      <c r="C2580" t="s">
        <v>109</v>
      </c>
      <c r="D2580" t="s">
        <v>388</v>
      </c>
      <c r="E2580" s="13" t="s">
        <v>529</v>
      </c>
      <c r="F2580" s="12">
        <v>2</v>
      </c>
      <c r="G2580" s="12">
        <v>163865.54</v>
      </c>
      <c r="H2580" s="35">
        <v>46147.398143344908</v>
      </c>
    </row>
    <row r="2581" spans="2:8" x14ac:dyDescent="0.2">
      <c r="B2581" s="32">
        <v>46132</v>
      </c>
      <c r="C2581" t="s">
        <v>109</v>
      </c>
      <c r="D2581" t="s">
        <v>595</v>
      </c>
      <c r="E2581" s="13" t="s">
        <v>529</v>
      </c>
      <c r="F2581" s="12">
        <v>2</v>
      </c>
      <c r="G2581" s="12">
        <v>142857.14000000001</v>
      </c>
      <c r="H2581" s="35">
        <v>46147.398143344908</v>
      </c>
    </row>
    <row r="2582" spans="2:8" x14ac:dyDescent="0.2">
      <c r="B2582" s="32">
        <v>46132</v>
      </c>
      <c r="C2582" t="s">
        <v>109</v>
      </c>
      <c r="D2582" t="s">
        <v>143</v>
      </c>
      <c r="E2582" s="13" t="s">
        <v>529</v>
      </c>
      <c r="F2582" s="12">
        <v>4</v>
      </c>
      <c r="G2582" s="12">
        <v>117647.05</v>
      </c>
      <c r="H2582" s="35">
        <v>46147.398143344908</v>
      </c>
    </row>
    <row r="2583" spans="2:8" x14ac:dyDescent="0.2">
      <c r="B2583" s="32">
        <v>46132</v>
      </c>
      <c r="C2583" t="s">
        <v>109</v>
      </c>
      <c r="D2583" t="s">
        <v>142</v>
      </c>
      <c r="E2583" s="13" t="s">
        <v>529</v>
      </c>
      <c r="F2583" s="12">
        <v>10</v>
      </c>
      <c r="G2583" s="12">
        <v>114285.71</v>
      </c>
      <c r="H2583" s="35">
        <v>46147.398143344908</v>
      </c>
    </row>
    <row r="2584" spans="2:8" x14ac:dyDescent="0.2">
      <c r="B2584" s="32">
        <v>46132</v>
      </c>
      <c r="C2584" t="s">
        <v>109</v>
      </c>
      <c r="D2584" t="s">
        <v>146</v>
      </c>
      <c r="E2584" s="13" t="s">
        <v>529</v>
      </c>
      <c r="F2584" s="12">
        <v>2</v>
      </c>
      <c r="G2584" s="12">
        <v>75630.259999999995</v>
      </c>
      <c r="H2584" s="35">
        <v>46147.398143344908</v>
      </c>
    </row>
    <row r="2585" spans="2:8" x14ac:dyDescent="0.2">
      <c r="B2585" s="32">
        <v>46132</v>
      </c>
      <c r="C2585" t="s">
        <v>109</v>
      </c>
      <c r="D2585" t="s">
        <v>246</v>
      </c>
      <c r="E2585" s="13" t="s">
        <v>529</v>
      </c>
      <c r="F2585" s="12">
        <v>2</v>
      </c>
      <c r="G2585" s="12">
        <v>75630.25</v>
      </c>
      <c r="H2585" s="35">
        <v>46147.398143344908</v>
      </c>
    </row>
    <row r="2586" spans="2:8" x14ac:dyDescent="0.2">
      <c r="B2586" s="32">
        <v>46132</v>
      </c>
      <c r="C2586" t="s">
        <v>109</v>
      </c>
      <c r="D2586" t="s">
        <v>191</v>
      </c>
      <c r="E2586" s="13" t="s">
        <v>529</v>
      </c>
      <c r="F2586" s="12">
        <v>2</v>
      </c>
      <c r="G2586" s="12">
        <v>75630.25</v>
      </c>
      <c r="H2586" s="35">
        <v>46147.398143344908</v>
      </c>
    </row>
    <row r="2587" spans="2:8" x14ac:dyDescent="0.2">
      <c r="B2587" s="32">
        <v>46132</v>
      </c>
      <c r="C2587" t="s">
        <v>109</v>
      </c>
      <c r="D2587" t="s">
        <v>645</v>
      </c>
      <c r="E2587" s="13" t="s">
        <v>529</v>
      </c>
      <c r="F2587" s="12">
        <v>1</v>
      </c>
      <c r="G2587" s="12">
        <v>65000</v>
      </c>
      <c r="H2587" s="35">
        <v>46147.398143344908</v>
      </c>
    </row>
    <row r="2588" spans="2:8" x14ac:dyDescent="0.2">
      <c r="B2588" s="32">
        <v>46132</v>
      </c>
      <c r="C2588" t="s">
        <v>109</v>
      </c>
      <c r="D2588" t="s">
        <v>210</v>
      </c>
      <c r="E2588" s="13" t="s">
        <v>529</v>
      </c>
      <c r="F2588" s="12">
        <v>1</v>
      </c>
      <c r="G2588" s="12">
        <v>58823.53</v>
      </c>
      <c r="H2588" s="35">
        <v>46147.398143344908</v>
      </c>
    </row>
    <row r="2589" spans="2:8" x14ac:dyDescent="0.2">
      <c r="B2589" s="32">
        <v>46132</v>
      </c>
      <c r="C2589" t="s">
        <v>109</v>
      </c>
      <c r="D2589" t="s">
        <v>637</v>
      </c>
      <c r="E2589" s="13" t="s">
        <v>529</v>
      </c>
      <c r="F2589" s="12">
        <v>2</v>
      </c>
      <c r="G2589" s="12">
        <v>52100.84</v>
      </c>
      <c r="H2589" s="35">
        <v>46147.398143344908</v>
      </c>
    </row>
    <row r="2590" spans="2:8" x14ac:dyDescent="0.2">
      <c r="B2590" s="32">
        <v>46132</v>
      </c>
      <c r="C2590" t="s">
        <v>109</v>
      </c>
      <c r="D2590" t="s">
        <v>395</v>
      </c>
      <c r="E2590" s="13" t="s">
        <v>530</v>
      </c>
      <c r="F2590" s="12">
        <v>1</v>
      </c>
      <c r="G2590" s="12">
        <v>0</v>
      </c>
      <c r="H2590" s="35">
        <v>46147.398143344908</v>
      </c>
    </row>
    <row r="2591" spans="2:8" x14ac:dyDescent="0.2">
      <c r="B2591" s="32">
        <v>46133</v>
      </c>
      <c r="C2591" t="s">
        <v>110</v>
      </c>
      <c r="D2591" t="s">
        <v>150</v>
      </c>
      <c r="E2591" s="13" t="s">
        <v>530</v>
      </c>
      <c r="F2591" s="12">
        <v>1</v>
      </c>
      <c r="G2591" s="12">
        <v>84033.61</v>
      </c>
      <c r="H2591" s="35">
        <v>46147.398143344908</v>
      </c>
    </row>
    <row r="2592" spans="2:8" x14ac:dyDescent="0.2">
      <c r="B2592" s="32">
        <v>46133</v>
      </c>
      <c r="C2592" t="s">
        <v>109</v>
      </c>
      <c r="D2592" t="s">
        <v>1879</v>
      </c>
      <c r="E2592" s="13" t="s">
        <v>529</v>
      </c>
      <c r="F2592" s="12">
        <v>25</v>
      </c>
      <c r="G2592" s="12">
        <v>693277.31</v>
      </c>
      <c r="H2592" s="35">
        <v>46147.398143344908</v>
      </c>
    </row>
    <row r="2593" spans="2:8" x14ac:dyDescent="0.2">
      <c r="B2593" s="32">
        <v>46133</v>
      </c>
      <c r="C2593" t="s">
        <v>109</v>
      </c>
      <c r="D2593" t="s">
        <v>481</v>
      </c>
      <c r="E2593" s="13" t="s">
        <v>530</v>
      </c>
      <c r="F2593" s="12">
        <v>2</v>
      </c>
      <c r="G2593" s="12">
        <v>348739.49</v>
      </c>
      <c r="H2593" s="35">
        <v>46147.398143344908</v>
      </c>
    </row>
    <row r="2594" spans="2:8" x14ac:dyDescent="0.2">
      <c r="B2594" s="32">
        <v>46133</v>
      </c>
      <c r="C2594" t="s">
        <v>109</v>
      </c>
      <c r="D2594" t="s">
        <v>634</v>
      </c>
      <c r="E2594" s="13" t="s">
        <v>529</v>
      </c>
      <c r="F2594" s="12">
        <v>3</v>
      </c>
      <c r="G2594" s="12">
        <v>214285.71</v>
      </c>
      <c r="H2594" s="35">
        <v>46147.398143344908</v>
      </c>
    </row>
    <row r="2595" spans="2:8" x14ac:dyDescent="0.2">
      <c r="B2595" s="32">
        <v>46133</v>
      </c>
      <c r="C2595" t="s">
        <v>109</v>
      </c>
      <c r="D2595" t="s">
        <v>526</v>
      </c>
      <c r="E2595" s="13" t="s">
        <v>530</v>
      </c>
      <c r="F2595" s="12">
        <v>1</v>
      </c>
      <c r="G2595" s="12">
        <v>163865.54999999999</v>
      </c>
      <c r="H2595" s="35">
        <v>46147.398143344908</v>
      </c>
    </row>
    <row r="2596" spans="2:8" x14ac:dyDescent="0.2">
      <c r="B2596" s="32">
        <v>46133</v>
      </c>
      <c r="C2596" t="s">
        <v>109</v>
      </c>
      <c r="D2596" t="s">
        <v>142</v>
      </c>
      <c r="E2596" s="13" t="s">
        <v>530</v>
      </c>
      <c r="F2596" s="12">
        <v>2</v>
      </c>
      <c r="G2596" s="12">
        <v>142857.15</v>
      </c>
      <c r="H2596" s="35">
        <v>46147.398143344908</v>
      </c>
    </row>
    <row r="2597" spans="2:8" x14ac:dyDescent="0.2">
      <c r="B2597" s="32">
        <v>46133</v>
      </c>
      <c r="C2597" t="s">
        <v>109</v>
      </c>
      <c r="D2597" t="s">
        <v>163</v>
      </c>
      <c r="E2597" s="13" t="s">
        <v>530</v>
      </c>
      <c r="F2597" s="12">
        <v>2</v>
      </c>
      <c r="G2597" s="12">
        <v>126050.42</v>
      </c>
      <c r="H2597" s="35">
        <v>46147.398143344908</v>
      </c>
    </row>
    <row r="2598" spans="2:8" x14ac:dyDescent="0.2">
      <c r="B2598" s="32">
        <v>46133</v>
      </c>
      <c r="C2598" t="s">
        <v>109</v>
      </c>
      <c r="D2598" t="s">
        <v>492</v>
      </c>
      <c r="E2598" s="13" t="s">
        <v>530</v>
      </c>
      <c r="F2598" s="12">
        <v>3</v>
      </c>
      <c r="G2598" s="12">
        <v>78151.259999999995</v>
      </c>
      <c r="H2598" s="35">
        <v>46147.398143344908</v>
      </c>
    </row>
    <row r="2599" spans="2:8" x14ac:dyDescent="0.2">
      <c r="B2599" s="32">
        <v>46133</v>
      </c>
      <c r="C2599" t="s">
        <v>109</v>
      </c>
      <c r="D2599" t="s">
        <v>344</v>
      </c>
      <c r="E2599" s="13" t="s">
        <v>529</v>
      </c>
      <c r="F2599" s="12">
        <v>1</v>
      </c>
      <c r="G2599" s="12">
        <v>58823.53</v>
      </c>
      <c r="H2599" s="35">
        <v>46147.398143344908</v>
      </c>
    </row>
    <row r="2600" spans="2:8" x14ac:dyDescent="0.2">
      <c r="B2600" s="32">
        <v>46133</v>
      </c>
      <c r="C2600" t="s">
        <v>109</v>
      </c>
      <c r="D2600" t="s">
        <v>143</v>
      </c>
      <c r="E2600" s="13" t="s">
        <v>529</v>
      </c>
      <c r="F2600" s="12">
        <v>2</v>
      </c>
      <c r="G2600" s="12">
        <v>58823.519999999997</v>
      </c>
      <c r="H2600" s="35">
        <v>46147.398143344908</v>
      </c>
    </row>
    <row r="2601" spans="2:8" x14ac:dyDescent="0.2">
      <c r="B2601" s="32">
        <v>46133</v>
      </c>
      <c r="C2601" t="s">
        <v>109</v>
      </c>
      <c r="D2601" t="s">
        <v>648</v>
      </c>
      <c r="E2601" s="13" t="s">
        <v>529</v>
      </c>
      <c r="F2601" s="12">
        <v>1</v>
      </c>
      <c r="G2601" s="12">
        <v>50420.17</v>
      </c>
      <c r="H2601" s="35">
        <v>46147.398143344908</v>
      </c>
    </row>
    <row r="2602" spans="2:8" x14ac:dyDescent="0.2">
      <c r="B2602" s="32">
        <v>46133</v>
      </c>
      <c r="C2602" t="s">
        <v>109</v>
      </c>
      <c r="D2602" t="s">
        <v>156</v>
      </c>
      <c r="E2602" s="13" t="s">
        <v>529</v>
      </c>
      <c r="F2602" s="12">
        <v>1</v>
      </c>
      <c r="G2602" s="12">
        <v>46218.49</v>
      </c>
      <c r="H2602" s="35">
        <v>46147.398143344908</v>
      </c>
    </row>
    <row r="2603" spans="2:8" x14ac:dyDescent="0.2">
      <c r="B2603" s="32">
        <v>46133</v>
      </c>
      <c r="C2603" t="s">
        <v>109</v>
      </c>
      <c r="D2603" t="s">
        <v>142</v>
      </c>
      <c r="E2603" s="13" t="s">
        <v>529</v>
      </c>
      <c r="F2603" s="12">
        <v>4</v>
      </c>
      <c r="G2603" s="12">
        <v>42016.81</v>
      </c>
      <c r="H2603" s="35">
        <v>46147.398143344908</v>
      </c>
    </row>
    <row r="2604" spans="2:8" x14ac:dyDescent="0.2">
      <c r="B2604" s="32">
        <v>46134</v>
      </c>
      <c r="C2604" t="s">
        <v>140</v>
      </c>
      <c r="D2604" t="s">
        <v>263</v>
      </c>
      <c r="E2604" s="13" t="s">
        <v>529</v>
      </c>
      <c r="F2604" s="12">
        <v>1</v>
      </c>
      <c r="G2604" s="12">
        <v>50420.17</v>
      </c>
      <c r="H2604" s="35">
        <v>46147.398143344908</v>
      </c>
    </row>
    <row r="2605" spans="2:8" x14ac:dyDescent="0.2">
      <c r="B2605" s="32">
        <v>46134</v>
      </c>
      <c r="C2605" t="s">
        <v>109</v>
      </c>
      <c r="D2605" t="s">
        <v>299</v>
      </c>
      <c r="E2605" s="13" t="s">
        <v>529</v>
      </c>
      <c r="F2605" s="12">
        <v>1</v>
      </c>
      <c r="G2605" s="12">
        <v>169000</v>
      </c>
      <c r="H2605" s="35">
        <v>46147.398143344908</v>
      </c>
    </row>
    <row r="2606" spans="2:8" x14ac:dyDescent="0.2">
      <c r="B2606" s="32">
        <v>46134</v>
      </c>
      <c r="C2606" t="s">
        <v>109</v>
      </c>
      <c r="D2606" t="s">
        <v>640</v>
      </c>
      <c r="E2606" s="13" t="s">
        <v>529</v>
      </c>
      <c r="F2606" s="12">
        <v>1</v>
      </c>
      <c r="G2606" s="12">
        <v>126050.42</v>
      </c>
      <c r="H2606" s="35">
        <v>46147.398143344908</v>
      </c>
    </row>
    <row r="2607" spans="2:8" x14ac:dyDescent="0.2">
      <c r="B2607" s="32">
        <v>46134</v>
      </c>
      <c r="C2607" t="s">
        <v>109</v>
      </c>
      <c r="D2607" t="s">
        <v>511</v>
      </c>
      <c r="E2607" s="13" t="s">
        <v>530</v>
      </c>
      <c r="F2607" s="12">
        <v>1</v>
      </c>
      <c r="G2607" s="12">
        <v>92436.98</v>
      </c>
      <c r="H2607" s="35">
        <v>46147.398143344908</v>
      </c>
    </row>
    <row r="2608" spans="2:8" x14ac:dyDescent="0.2">
      <c r="B2608" s="32">
        <v>46134</v>
      </c>
      <c r="C2608" t="s">
        <v>109</v>
      </c>
      <c r="D2608" t="s">
        <v>390</v>
      </c>
      <c r="E2608" s="13" t="s">
        <v>529</v>
      </c>
      <c r="F2608" s="12">
        <v>1</v>
      </c>
      <c r="G2608" s="12">
        <v>84033.61</v>
      </c>
      <c r="H2608" s="35">
        <v>46147.398143344908</v>
      </c>
    </row>
    <row r="2609" spans="2:8" x14ac:dyDescent="0.2">
      <c r="B2609" s="32">
        <v>46134</v>
      </c>
      <c r="C2609" t="s">
        <v>109</v>
      </c>
      <c r="D2609" t="s">
        <v>216</v>
      </c>
      <c r="E2609" s="13" t="s">
        <v>530</v>
      </c>
      <c r="F2609" s="12">
        <v>2</v>
      </c>
      <c r="G2609" s="12">
        <v>84033.61</v>
      </c>
      <c r="H2609" s="35">
        <v>46147.398143344908</v>
      </c>
    </row>
    <row r="2610" spans="2:8" x14ac:dyDescent="0.2">
      <c r="B2610" s="32">
        <v>46134</v>
      </c>
      <c r="C2610" t="s">
        <v>109</v>
      </c>
      <c r="D2610" t="s">
        <v>204</v>
      </c>
      <c r="E2610" s="13" t="s">
        <v>529</v>
      </c>
      <c r="F2610" s="12">
        <v>2</v>
      </c>
      <c r="G2610" s="12">
        <v>75630.259999999995</v>
      </c>
      <c r="H2610" s="35">
        <v>46147.398143344908</v>
      </c>
    </row>
    <row r="2611" spans="2:8" x14ac:dyDescent="0.2">
      <c r="B2611" s="32">
        <v>46134</v>
      </c>
      <c r="C2611" t="s">
        <v>109</v>
      </c>
      <c r="D2611" t="s">
        <v>169</v>
      </c>
      <c r="E2611" s="13" t="s">
        <v>529</v>
      </c>
      <c r="F2611" s="12">
        <v>2</v>
      </c>
      <c r="G2611" s="12">
        <v>58823.53</v>
      </c>
      <c r="H2611" s="35">
        <v>46147.398143344908</v>
      </c>
    </row>
    <row r="2612" spans="2:8" x14ac:dyDescent="0.2">
      <c r="B2612" s="32">
        <v>46134</v>
      </c>
      <c r="C2612" t="s">
        <v>109</v>
      </c>
      <c r="D2612" t="s">
        <v>404</v>
      </c>
      <c r="E2612" s="13" t="s">
        <v>530</v>
      </c>
      <c r="F2612" s="12">
        <v>1</v>
      </c>
      <c r="G2612" s="12">
        <v>54621.85</v>
      </c>
      <c r="H2612" s="35">
        <v>46147.398143344908</v>
      </c>
    </row>
    <row r="2613" spans="2:8" x14ac:dyDescent="0.2">
      <c r="B2613" s="32">
        <v>46134</v>
      </c>
      <c r="C2613" t="s">
        <v>109</v>
      </c>
      <c r="D2613" t="s">
        <v>488</v>
      </c>
      <c r="E2613" s="13" t="s">
        <v>530</v>
      </c>
      <c r="F2613" s="12">
        <v>3</v>
      </c>
      <c r="G2613" s="12">
        <v>50420.17</v>
      </c>
      <c r="H2613" s="35">
        <v>46147.398143344908</v>
      </c>
    </row>
    <row r="2614" spans="2:8" x14ac:dyDescent="0.2">
      <c r="B2614" s="32">
        <v>46134</v>
      </c>
      <c r="C2614" t="s">
        <v>109</v>
      </c>
      <c r="D2614" t="s">
        <v>326</v>
      </c>
      <c r="E2614" s="13" t="s">
        <v>529</v>
      </c>
      <c r="F2614" s="12">
        <v>1</v>
      </c>
      <c r="G2614" s="12">
        <v>37815.120000000003</v>
      </c>
      <c r="H2614" s="35">
        <v>46147.398143344908</v>
      </c>
    </row>
    <row r="2615" spans="2:8" x14ac:dyDescent="0.2">
      <c r="B2615" s="32">
        <v>46134</v>
      </c>
      <c r="C2615" t="s">
        <v>109</v>
      </c>
      <c r="D2615" t="s">
        <v>142</v>
      </c>
      <c r="E2615" s="13" t="s">
        <v>529</v>
      </c>
      <c r="F2615" s="12">
        <v>2</v>
      </c>
      <c r="G2615" s="12">
        <v>30252.1</v>
      </c>
      <c r="H2615" s="35">
        <v>46147.398143344908</v>
      </c>
    </row>
    <row r="2616" spans="2:8" x14ac:dyDescent="0.2">
      <c r="B2616" s="32">
        <v>46135</v>
      </c>
      <c r="C2616" t="s">
        <v>140</v>
      </c>
      <c r="D2616" t="s">
        <v>165</v>
      </c>
      <c r="E2616" s="13" t="s">
        <v>530</v>
      </c>
      <c r="F2616" s="12">
        <v>1</v>
      </c>
      <c r="G2616" s="12">
        <v>113445.38</v>
      </c>
      <c r="H2616" s="35">
        <v>46147.398143344908</v>
      </c>
    </row>
    <row r="2617" spans="2:8" x14ac:dyDescent="0.2">
      <c r="B2617" s="32">
        <v>46135</v>
      </c>
      <c r="C2617" t="s">
        <v>140</v>
      </c>
      <c r="D2617" t="s">
        <v>160</v>
      </c>
      <c r="E2617" s="13" t="s">
        <v>529</v>
      </c>
      <c r="F2617" s="12">
        <v>1</v>
      </c>
      <c r="G2617" s="12">
        <v>63025.21</v>
      </c>
      <c r="H2617" s="35">
        <v>46147.398143344908</v>
      </c>
    </row>
    <row r="2618" spans="2:8" x14ac:dyDescent="0.2">
      <c r="B2618" s="32">
        <v>46135</v>
      </c>
      <c r="C2618" t="s">
        <v>110</v>
      </c>
      <c r="D2618" t="s">
        <v>642</v>
      </c>
      <c r="E2618" s="13" t="s">
        <v>529</v>
      </c>
      <c r="F2618" s="12">
        <v>1</v>
      </c>
      <c r="G2618" s="12">
        <v>46218.49</v>
      </c>
      <c r="H2618" s="35">
        <v>46147.398143344908</v>
      </c>
    </row>
    <row r="2619" spans="2:8" x14ac:dyDescent="0.2">
      <c r="B2619" s="32">
        <v>46135</v>
      </c>
      <c r="C2619" t="s">
        <v>109</v>
      </c>
      <c r="D2619" t="s">
        <v>407</v>
      </c>
      <c r="E2619" s="13" t="s">
        <v>529</v>
      </c>
      <c r="F2619" s="12">
        <v>4</v>
      </c>
      <c r="G2619" s="12">
        <v>302521.01</v>
      </c>
      <c r="H2619" s="35">
        <v>46147.398143344908</v>
      </c>
    </row>
    <row r="2620" spans="2:8" x14ac:dyDescent="0.2">
      <c r="B2620" s="32">
        <v>46135</v>
      </c>
      <c r="C2620" t="s">
        <v>109</v>
      </c>
      <c r="D2620" t="s">
        <v>509</v>
      </c>
      <c r="E2620" s="13" t="s">
        <v>529</v>
      </c>
      <c r="F2620" s="12">
        <v>1</v>
      </c>
      <c r="G2620" s="12">
        <v>79831.929999999993</v>
      </c>
      <c r="H2620" s="35">
        <v>46147.398143344908</v>
      </c>
    </row>
    <row r="2621" spans="2:8" x14ac:dyDescent="0.2">
      <c r="B2621" s="32">
        <v>46135</v>
      </c>
      <c r="C2621" t="s">
        <v>109</v>
      </c>
      <c r="D2621" t="s">
        <v>448</v>
      </c>
      <c r="E2621" s="13" t="s">
        <v>529</v>
      </c>
      <c r="F2621" s="12">
        <v>1</v>
      </c>
      <c r="G2621" s="12">
        <v>54621.85</v>
      </c>
      <c r="H2621" s="35">
        <v>46147.398143344908</v>
      </c>
    </row>
    <row r="2622" spans="2:8" x14ac:dyDescent="0.2">
      <c r="B2622" s="32">
        <v>46135</v>
      </c>
      <c r="C2622" t="s">
        <v>109</v>
      </c>
      <c r="D2622" t="s">
        <v>315</v>
      </c>
      <c r="E2622" s="13" t="s">
        <v>529</v>
      </c>
      <c r="F2622" s="12">
        <v>1</v>
      </c>
      <c r="G2622" s="12">
        <v>54621.85</v>
      </c>
      <c r="H2622" s="35">
        <v>46147.398143344908</v>
      </c>
    </row>
    <row r="2623" spans="2:8" x14ac:dyDescent="0.2">
      <c r="B2623" s="32">
        <v>46135</v>
      </c>
      <c r="C2623" t="s">
        <v>109</v>
      </c>
      <c r="D2623" t="s">
        <v>246</v>
      </c>
      <c r="E2623" s="13" t="s">
        <v>530</v>
      </c>
      <c r="F2623" s="12">
        <v>1</v>
      </c>
      <c r="G2623" s="12">
        <v>37815.129999999997</v>
      </c>
      <c r="H2623" s="35">
        <v>46147.398143344908</v>
      </c>
    </row>
    <row r="2624" spans="2:8" x14ac:dyDescent="0.2">
      <c r="B2624" s="32">
        <v>46135</v>
      </c>
      <c r="C2624" t="s">
        <v>109</v>
      </c>
      <c r="D2624" t="s">
        <v>171</v>
      </c>
      <c r="E2624" s="13" t="s">
        <v>529</v>
      </c>
      <c r="F2624" s="12">
        <v>1</v>
      </c>
      <c r="G2624" s="12">
        <v>37815.129999999997</v>
      </c>
      <c r="H2624" s="35">
        <v>46147.398143344908</v>
      </c>
    </row>
    <row r="2625" spans="2:8" x14ac:dyDescent="0.2">
      <c r="B2625" s="32">
        <v>46135</v>
      </c>
      <c r="C2625" t="s">
        <v>109</v>
      </c>
      <c r="D2625" t="s">
        <v>142</v>
      </c>
      <c r="E2625" s="13" t="s">
        <v>529</v>
      </c>
      <c r="F2625" s="12">
        <v>2</v>
      </c>
      <c r="G2625" s="12">
        <v>24789.91</v>
      </c>
      <c r="H2625" s="35">
        <v>46147.398143344908</v>
      </c>
    </row>
    <row r="2626" spans="2:8" x14ac:dyDescent="0.2">
      <c r="B2626" s="32">
        <v>46135</v>
      </c>
      <c r="C2626" t="s">
        <v>109</v>
      </c>
      <c r="D2626" t="s">
        <v>488</v>
      </c>
      <c r="E2626" s="13" t="s">
        <v>529</v>
      </c>
      <c r="F2626" s="12">
        <v>1</v>
      </c>
      <c r="G2626" s="12">
        <v>16806.72</v>
      </c>
      <c r="H2626" s="35">
        <v>46147.398143344908</v>
      </c>
    </row>
    <row r="2627" spans="2:8" x14ac:dyDescent="0.2">
      <c r="B2627" s="32">
        <v>46136</v>
      </c>
      <c r="C2627" t="s">
        <v>140</v>
      </c>
      <c r="D2627" t="s">
        <v>216</v>
      </c>
      <c r="E2627" s="13" t="s">
        <v>529</v>
      </c>
      <c r="F2627" s="12">
        <v>3</v>
      </c>
      <c r="G2627" s="12">
        <v>126050.42</v>
      </c>
      <c r="H2627" s="35">
        <v>46147.398143344908</v>
      </c>
    </row>
    <row r="2628" spans="2:8" x14ac:dyDescent="0.2">
      <c r="B2628" s="32">
        <v>46136</v>
      </c>
      <c r="C2628" t="s">
        <v>140</v>
      </c>
      <c r="D2628" t="s">
        <v>483</v>
      </c>
      <c r="E2628" s="13" t="s">
        <v>529</v>
      </c>
      <c r="F2628" s="12">
        <v>1</v>
      </c>
      <c r="G2628" s="12">
        <v>63025.21</v>
      </c>
      <c r="H2628" s="35">
        <v>46147.398143344908</v>
      </c>
    </row>
    <row r="2629" spans="2:8" x14ac:dyDescent="0.2">
      <c r="B2629" s="32">
        <v>46136</v>
      </c>
      <c r="C2629" t="s">
        <v>140</v>
      </c>
      <c r="D2629" t="s">
        <v>242</v>
      </c>
      <c r="E2629" s="13" t="s">
        <v>529</v>
      </c>
      <c r="F2629" s="12">
        <v>1</v>
      </c>
      <c r="G2629" s="12">
        <v>58823.53</v>
      </c>
      <c r="H2629" s="35">
        <v>46147.398143344908</v>
      </c>
    </row>
    <row r="2630" spans="2:8" x14ac:dyDescent="0.2">
      <c r="B2630" s="32">
        <v>46136</v>
      </c>
      <c r="C2630" t="s">
        <v>109</v>
      </c>
      <c r="D2630" t="s">
        <v>154</v>
      </c>
      <c r="E2630" s="13" t="s">
        <v>530</v>
      </c>
      <c r="F2630" s="12">
        <v>3</v>
      </c>
      <c r="G2630" s="12">
        <v>138655.46</v>
      </c>
      <c r="H2630" s="35">
        <v>46147.398143344908</v>
      </c>
    </row>
    <row r="2631" spans="2:8" x14ac:dyDescent="0.2">
      <c r="B2631" s="32">
        <v>46136</v>
      </c>
      <c r="C2631" t="s">
        <v>109</v>
      </c>
      <c r="D2631" t="s">
        <v>635</v>
      </c>
      <c r="E2631" s="13" t="s">
        <v>529</v>
      </c>
      <c r="F2631" s="12">
        <v>1</v>
      </c>
      <c r="G2631" s="12">
        <v>126050.42</v>
      </c>
      <c r="H2631" s="35">
        <v>46147.398143344908</v>
      </c>
    </row>
    <row r="2632" spans="2:8" x14ac:dyDescent="0.2">
      <c r="B2632" s="32">
        <v>46136</v>
      </c>
      <c r="C2632" t="s">
        <v>109</v>
      </c>
      <c r="D2632" t="s">
        <v>210</v>
      </c>
      <c r="E2632" s="13" t="s">
        <v>529</v>
      </c>
      <c r="F2632" s="12">
        <v>2</v>
      </c>
      <c r="G2632" s="12">
        <v>117647.06</v>
      </c>
      <c r="H2632" s="35">
        <v>46147.398143344908</v>
      </c>
    </row>
    <row r="2633" spans="2:8" x14ac:dyDescent="0.2">
      <c r="B2633" s="32">
        <v>46136</v>
      </c>
      <c r="C2633" t="s">
        <v>109</v>
      </c>
      <c r="D2633" t="s">
        <v>326</v>
      </c>
      <c r="E2633" s="13" t="s">
        <v>529</v>
      </c>
      <c r="F2633" s="12">
        <v>2</v>
      </c>
      <c r="G2633" s="12">
        <v>75630.25</v>
      </c>
      <c r="H2633" s="35">
        <v>46147.398143344908</v>
      </c>
    </row>
    <row r="2634" spans="2:8" x14ac:dyDescent="0.2">
      <c r="B2634" s="32">
        <v>46136</v>
      </c>
      <c r="C2634" t="s">
        <v>109</v>
      </c>
      <c r="D2634" t="s">
        <v>146</v>
      </c>
      <c r="E2634" s="13" t="s">
        <v>529</v>
      </c>
      <c r="F2634" s="12">
        <v>2</v>
      </c>
      <c r="G2634" s="12">
        <v>75630.25</v>
      </c>
      <c r="H2634" s="35">
        <v>46147.398143344908</v>
      </c>
    </row>
    <row r="2635" spans="2:8" x14ac:dyDescent="0.2">
      <c r="B2635" s="32">
        <v>46136</v>
      </c>
      <c r="C2635" t="s">
        <v>109</v>
      </c>
      <c r="D2635" t="s">
        <v>475</v>
      </c>
      <c r="E2635" s="13" t="s">
        <v>530</v>
      </c>
      <c r="F2635" s="12">
        <v>1</v>
      </c>
      <c r="G2635" s="12">
        <v>46218.49</v>
      </c>
      <c r="H2635" s="35">
        <v>46147.398143344908</v>
      </c>
    </row>
    <row r="2636" spans="2:8" x14ac:dyDescent="0.2">
      <c r="B2636" s="32">
        <v>46137</v>
      </c>
      <c r="C2636" t="s">
        <v>140</v>
      </c>
      <c r="D2636" t="s">
        <v>413</v>
      </c>
      <c r="E2636" s="13" t="s">
        <v>529</v>
      </c>
      <c r="F2636" s="12">
        <v>1</v>
      </c>
      <c r="G2636" s="12">
        <v>92436.97</v>
      </c>
      <c r="H2636" s="35">
        <v>46147.398143344908</v>
      </c>
    </row>
    <row r="2637" spans="2:8" x14ac:dyDescent="0.2">
      <c r="B2637" s="32">
        <v>46137</v>
      </c>
      <c r="C2637" t="s">
        <v>110</v>
      </c>
      <c r="D2637" t="s">
        <v>191</v>
      </c>
      <c r="E2637" s="13" t="s">
        <v>529</v>
      </c>
      <c r="F2637" s="12">
        <v>1</v>
      </c>
      <c r="G2637" s="12">
        <v>37815.129999999997</v>
      </c>
      <c r="H2637" s="35">
        <v>46147.398143344908</v>
      </c>
    </row>
    <row r="2638" spans="2:8" x14ac:dyDescent="0.2">
      <c r="B2638" s="32">
        <v>46137</v>
      </c>
      <c r="C2638" t="s">
        <v>109</v>
      </c>
      <c r="D2638" t="s">
        <v>496</v>
      </c>
      <c r="E2638" s="13" t="s">
        <v>529</v>
      </c>
      <c r="F2638" s="12">
        <v>2</v>
      </c>
      <c r="G2638" s="12">
        <v>184873.94</v>
      </c>
      <c r="H2638" s="35">
        <v>46147.398143344908</v>
      </c>
    </row>
    <row r="2639" spans="2:8" x14ac:dyDescent="0.2">
      <c r="B2639" s="32">
        <v>46137</v>
      </c>
      <c r="C2639" t="s">
        <v>109</v>
      </c>
      <c r="D2639" t="s">
        <v>150</v>
      </c>
      <c r="E2639" s="13" t="s">
        <v>529</v>
      </c>
      <c r="F2639" s="12">
        <v>2</v>
      </c>
      <c r="G2639" s="12">
        <v>168067.24</v>
      </c>
      <c r="H2639" s="35">
        <v>46147.398143344908</v>
      </c>
    </row>
    <row r="2640" spans="2:8" x14ac:dyDescent="0.2">
      <c r="B2640" s="32">
        <v>46137</v>
      </c>
      <c r="C2640" t="s">
        <v>109</v>
      </c>
      <c r="D2640" t="s">
        <v>594</v>
      </c>
      <c r="E2640" s="13" t="s">
        <v>529</v>
      </c>
      <c r="F2640" s="12">
        <v>2</v>
      </c>
      <c r="G2640" s="12">
        <v>168067.23</v>
      </c>
      <c r="H2640" s="35">
        <v>46147.398143344908</v>
      </c>
    </row>
    <row r="2641" spans="2:8" x14ac:dyDescent="0.2">
      <c r="B2641" s="32">
        <v>46137</v>
      </c>
      <c r="C2641" t="s">
        <v>109</v>
      </c>
      <c r="D2641" t="s">
        <v>162</v>
      </c>
      <c r="E2641" s="13" t="s">
        <v>529</v>
      </c>
      <c r="F2641" s="12">
        <v>2</v>
      </c>
      <c r="G2641" s="12">
        <v>151260.5</v>
      </c>
      <c r="H2641" s="35">
        <v>46147.398143344908</v>
      </c>
    </row>
    <row r="2642" spans="2:8" x14ac:dyDescent="0.2">
      <c r="B2642" s="32">
        <v>46137</v>
      </c>
      <c r="C2642" t="s">
        <v>109</v>
      </c>
      <c r="D2642" t="s">
        <v>142</v>
      </c>
      <c r="E2642" s="13" t="s">
        <v>530</v>
      </c>
      <c r="F2642" s="12">
        <v>3</v>
      </c>
      <c r="G2642" s="12">
        <v>92436.98</v>
      </c>
      <c r="H2642" s="35">
        <v>46147.398143344908</v>
      </c>
    </row>
    <row r="2643" spans="2:8" x14ac:dyDescent="0.2">
      <c r="B2643" s="32">
        <v>46137</v>
      </c>
      <c r="C2643" t="s">
        <v>109</v>
      </c>
      <c r="D2643" t="s">
        <v>1503</v>
      </c>
      <c r="E2643" s="13" t="s">
        <v>529</v>
      </c>
      <c r="F2643" s="12">
        <v>2</v>
      </c>
      <c r="G2643" s="12">
        <v>82833.13</v>
      </c>
      <c r="H2643" s="35">
        <v>46147.398143344908</v>
      </c>
    </row>
    <row r="2644" spans="2:8" x14ac:dyDescent="0.2">
      <c r="B2644" s="32">
        <v>46137</v>
      </c>
      <c r="C2644" t="s">
        <v>109</v>
      </c>
      <c r="D2644" t="s">
        <v>509</v>
      </c>
      <c r="E2644" s="13" t="s">
        <v>529</v>
      </c>
      <c r="F2644" s="12">
        <v>1</v>
      </c>
      <c r="G2644" s="12">
        <v>79831.94</v>
      </c>
      <c r="H2644" s="35">
        <v>46147.398143344908</v>
      </c>
    </row>
    <row r="2645" spans="2:8" x14ac:dyDescent="0.2">
      <c r="B2645" s="32">
        <v>46137</v>
      </c>
      <c r="C2645" t="s">
        <v>109</v>
      </c>
      <c r="D2645" t="s">
        <v>273</v>
      </c>
      <c r="E2645" s="13" t="s">
        <v>530</v>
      </c>
      <c r="F2645" s="12">
        <v>1</v>
      </c>
      <c r="G2645" s="12">
        <v>63025.21</v>
      </c>
      <c r="H2645" s="35">
        <v>46147.398143344908</v>
      </c>
    </row>
    <row r="2646" spans="2:8" x14ac:dyDescent="0.2">
      <c r="B2646" s="32">
        <v>46137</v>
      </c>
      <c r="C2646" t="s">
        <v>109</v>
      </c>
      <c r="D2646" t="s">
        <v>169</v>
      </c>
      <c r="E2646" s="13" t="s">
        <v>529</v>
      </c>
      <c r="F2646" s="12">
        <v>2</v>
      </c>
      <c r="G2646" s="12">
        <v>58823.53</v>
      </c>
      <c r="H2646" s="35">
        <v>46147.398143344908</v>
      </c>
    </row>
    <row r="2647" spans="2:8" x14ac:dyDescent="0.2">
      <c r="B2647" s="32">
        <v>46137</v>
      </c>
      <c r="C2647" t="s">
        <v>109</v>
      </c>
      <c r="D2647" t="s">
        <v>142</v>
      </c>
      <c r="E2647" s="13" t="s">
        <v>529</v>
      </c>
      <c r="F2647" s="12">
        <v>3</v>
      </c>
      <c r="G2647" s="12">
        <v>49999.99</v>
      </c>
      <c r="H2647" s="35">
        <v>46147.398143344908</v>
      </c>
    </row>
    <row r="2648" spans="2:8" x14ac:dyDescent="0.2">
      <c r="B2648" s="32">
        <v>46137</v>
      </c>
      <c r="C2648" t="s">
        <v>109</v>
      </c>
      <c r="D2648" t="s">
        <v>201</v>
      </c>
      <c r="E2648" s="13" t="s">
        <v>529</v>
      </c>
      <c r="F2648" s="12">
        <v>1</v>
      </c>
      <c r="G2648" s="12">
        <v>42016.81</v>
      </c>
      <c r="H2648" s="35">
        <v>46147.398143344908</v>
      </c>
    </row>
    <row r="2649" spans="2:8" x14ac:dyDescent="0.2">
      <c r="B2649" s="32">
        <v>46137</v>
      </c>
      <c r="C2649" t="s">
        <v>109</v>
      </c>
      <c r="D2649" t="s">
        <v>178</v>
      </c>
      <c r="E2649" s="13" t="s">
        <v>529</v>
      </c>
      <c r="F2649" s="12">
        <v>2</v>
      </c>
      <c r="G2649" s="12">
        <v>33613.440000000002</v>
      </c>
      <c r="H2649" s="35">
        <v>46147.398143344908</v>
      </c>
    </row>
    <row r="2650" spans="2:8" x14ac:dyDescent="0.2">
      <c r="B2650" s="32">
        <v>46137</v>
      </c>
      <c r="C2650" t="s">
        <v>109</v>
      </c>
      <c r="D2650" t="s">
        <v>510</v>
      </c>
      <c r="E2650" s="13" t="s">
        <v>529</v>
      </c>
      <c r="F2650" s="12">
        <v>1</v>
      </c>
      <c r="G2650" s="12">
        <v>16806.72</v>
      </c>
      <c r="H2650" s="35">
        <v>46147.398143344908</v>
      </c>
    </row>
    <row r="2651" spans="2:8" x14ac:dyDescent="0.2">
      <c r="B2651" s="32">
        <v>46137</v>
      </c>
      <c r="C2651" t="s">
        <v>109</v>
      </c>
      <c r="D2651" t="s">
        <v>159</v>
      </c>
      <c r="E2651" s="13" t="s">
        <v>529</v>
      </c>
      <c r="F2651" s="12">
        <v>1</v>
      </c>
      <c r="G2651" s="12">
        <v>13205.29</v>
      </c>
      <c r="H2651" s="35">
        <v>46147.398143344908</v>
      </c>
    </row>
    <row r="2652" spans="2:8" x14ac:dyDescent="0.2">
      <c r="B2652" s="32">
        <v>46138</v>
      </c>
      <c r="C2652" t="s">
        <v>140</v>
      </c>
      <c r="D2652" t="s">
        <v>513</v>
      </c>
      <c r="E2652" s="13" t="s">
        <v>529</v>
      </c>
      <c r="F2652" s="12">
        <v>1</v>
      </c>
      <c r="G2652" s="12">
        <v>63025.21</v>
      </c>
      <c r="H2652" s="35">
        <v>46147.398143344908</v>
      </c>
    </row>
    <row r="2653" spans="2:8" x14ac:dyDescent="0.2">
      <c r="B2653" s="32">
        <v>46138</v>
      </c>
      <c r="C2653" t="s">
        <v>140</v>
      </c>
      <c r="D2653" t="s">
        <v>398</v>
      </c>
      <c r="E2653" s="13" t="s">
        <v>530</v>
      </c>
      <c r="F2653" s="12">
        <v>1</v>
      </c>
      <c r="G2653" s="12">
        <v>63025.21</v>
      </c>
      <c r="H2653" s="35">
        <v>46147.398143344908</v>
      </c>
    </row>
    <row r="2654" spans="2:8" x14ac:dyDescent="0.2">
      <c r="B2654" s="32">
        <v>46138</v>
      </c>
      <c r="C2654" t="s">
        <v>140</v>
      </c>
      <c r="D2654" t="s">
        <v>216</v>
      </c>
      <c r="E2654" s="13" t="s">
        <v>530</v>
      </c>
      <c r="F2654" s="12">
        <v>1</v>
      </c>
      <c r="G2654" s="12">
        <v>42016.800000000003</v>
      </c>
      <c r="H2654" s="35">
        <v>46147.398143344908</v>
      </c>
    </row>
    <row r="2655" spans="2:8" x14ac:dyDescent="0.2">
      <c r="B2655" s="32">
        <v>46138</v>
      </c>
      <c r="C2655" t="s">
        <v>109</v>
      </c>
      <c r="D2655" t="s">
        <v>504</v>
      </c>
      <c r="E2655" s="13" t="s">
        <v>529</v>
      </c>
      <c r="F2655" s="12">
        <v>1</v>
      </c>
      <c r="G2655" s="12">
        <v>126050.42</v>
      </c>
      <c r="H2655" s="35">
        <v>46147.398143344908</v>
      </c>
    </row>
    <row r="2656" spans="2:8" x14ac:dyDescent="0.2">
      <c r="B2656" s="32">
        <v>46138</v>
      </c>
      <c r="C2656" t="s">
        <v>109</v>
      </c>
      <c r="D2656" t="s">
        <v>493</v>
      </c>
      <c r="E2656" s="13" t="s">
        <v>529</v>
      </c>
      <c r="F2656" s="12">
        <v>1</v>
      </c>
      <c r="G2656" s="12">
        <v>109243.7</v>
      </c>
      <c r="H2656" s="35">
        <v>46147.398143344908</v>
      </c>
    </row>
    <row r="2657" spans="2:8" x14ac:dyDescent="0.2">
      <c r="B2657" s="32">
        <v>46138</v>
      </c>
      <c r="C2657" t="s">
        <v>109</v>
      </c>
      <c r="D2657" t="s">
        <v>259</v>
      </c>
      <c r="E2657" s="13" t="s">
        <v>529</v>
      </c>
      <c r="F2657" s="12">
        <v>1</v>
      </c>
      <c r="G2657" s="12">
        <v>109243.7</v>
      </c>
      <c r="H2657" s="35">
        <v>46147.398143344908</v>
      </c>
    </row>
    <row r="2658" spans="2:8" x14ac:dyDescent="0.2">
      <c r="B2658" s="32">
        <v>46138</v>
      </c>
      <c r="C2658" t="s">
        <v>109</v>
      </c>
      <c r="D2658" t="s">
        <v>439</v>
      </c>
      <c r="E2658" s="13" t="s">
        <v>529</v>
      </c>
      <c r="F2658" s="12">
        <v>1</v>
      </c>
      <c r="G2658" s="12">
        <v>63025.21</v>
      </c>
      <c r="H2658" s="35">
        <v>46147.398143344908</v>
      </c>
    </row>
    <row r="2659" spans="2:8" x14ac:dyDescent="0.2">
      <c r="B2659" s="32">
        <v>46138</v>
      </c>
      <c r="C2659" t="s">
        <v>109</v>
      </c>
      <c r="D2659" t="s">
        <v>169</v>
      </c>
      <c r="E2659" s="13" t="s">
        <v>530</v>
      </c>
      <c r="F2659" s="12">
        <v>2</v>
      </c>
      <c r="G2659" s="12">
        <v>58823.53</v>
      </c>
      <c r="H2659" s="35">
        <v>46147.398143344908</v>
      </c>
    </row>
    <row r="2660" spans="2:8" x14ac:dyDescent="0.2">
      <c r="B2660" s="32">
        <v>46138</v>
      </c>
      <c r="C2660" t="s">
        <v>109</v>
      </c>
      <c r="D2660" t="s">
        <v>142</v>
      </c>
      <c r="E2660" s="13" t="s">
        <v>530</v>
      </c>
      <c r="F2660" s="12">
        <v>3</v>
      </c>
      <c r="G2660" s="12">
        <v>50420.17</v>
      </c>
      <c r="H2660" s="35">
        <v>46147.398143344908</v>
      </c>
    </row>
    <row r="2661" spans="2:8" x14ac:dyDescent="0.2">
      <c r="B2661" s="32">
        <v>46139</v>
      </c>
      <c r="C2661" t="s">
        <v>140</v>
      </c>
      <c r="D2661" t="s">
        <v>620</v>
      </c>
      <c r="E2661" s="13" t="s">
        <v>529</v>
      </c>
      <c r="F2661" s="12">
        <v>1</v>
      </c>
      <c r="G2661" s="12">
        <v>63025.21</v>
      </c>
      <c r="H2661" s="35">
        <v>46147.398143344908</v>
      </c>
    </row>
    <row r="2662" spans="2:8" x14ac:dyDescent="0.2">
      <c r="B2662" s="32">
        <v>46139</v>
      </c>
      <c r="C2662" t="s">
        <v>140</v>
      </c>
      <c r="D2662" t="s">
        <v>175</v>
      </c>
      <c r="E2662" s="13" t="s">
        <v>529</v>
      </c>
      <c r="F2662" s="12">
        <v>1</v>
      </c>
      <c r="G2662" s="12">
        <v>42016.81</v>
      </c>
      <c r="H2662" s="35">
        <v>46147.398143344908</v>
      </c>
    </row>
    <row r="2663" spans="2:8" x14ac:dyDescent="0.2">
      <c r="B2663" s="32">
        <v>46139</v>
      </c>
      <c r="C2663" t="s">
        <v>109</v>
      </c>
      <c r="D2663" t="s">
        <v>595</v>
      </c>
      <c r="E2663" s="13" t="s">
        <v>529</v>
      </c>
      <c r="F2663" s="12">
        <v>2</v>
      </c>
      <c r="G2663" s="12">
        <v>487394.96</v>
      </c>
      <c r="H2663" s="35">
        <v>46147.398143344908</v>
      </c>
    </row>
    <row r="2664" spans="2:8" x14ac:dyDescent="0.2">
      <c r="B2664" s="32">
        <v>46139</v>
      </c>
      <c r="C2664" t="s">
        <v>109</v>
      </c>
      <c r="D2664" t="s">
        <v>1505</v>
      </c>
      <c r="E2664" s="13" t="s">
        <v>529</v>
      </c>
      <c r="F2664" s="12">
        <v>2</v>
      </c>
      <c r="G2664" s="12">
        <v>285714.28000000003</v>
      </c>
      <c r="H2664" s="35">
        <v>46147.398143344908</v>
      </c>
    </row>
    <row r="2665" spans="2:8" x14ac:dyDescent="0.2">
      <c r="B2665" s="32">
        <v>46139</v>
      </c>
      <c r="C2665" t="s">
        <v>109</v>
      </c>
      <c r="D2665" t="s">
        <v>371</v>
      </c>
      <c r="E2665" s="13" t="s">
        <v>530</v>
      </c>
      <c r="F2665" s="12">
        <v>1</v>
      </c>
      <c r="G2665" s="12">
        <v>239495.8</v>
      </c>
      <c r="H2665" s="35">
        <v>46147.398143344908</v>
      </c>
    </row>
    <row r="2666" spans="2:8" x14ac:dyDescent="0.2">
      <c r="B2666" s="32">
        <v>46139</v>
      </c>
      <c r="C2666" t="s">
        <v>109</v>
      </c>
      <c r="D2666" t="s">
        <v>142</v>
      </c>
      <c r="E2666" s="13" t="s">
        <v>529</v>
      </c>
      <c r="F2666" s="12">
        <v>17</v>
      </c>
      <c r="G2666" s="12">
        <v>173109.25</v>
      </c>
      <c r="H2666" s="35">
        <v>46147.398143344908</v>
      </c>
    </row>
    <row r="2667" spans="2:8" x14ac:dyDescent="0.2">
      <c r="B2667" s="32">
        <v>46139</v>
      </c>
      <c r="C2667" t="s">
        <v>109</v>
      </c>
      <c r="D2667" t="s">
        <v>299</v>
      </c>
      <c r="E2667" s="13" t="s">
        <v>529</v>
      </c>
      <c r="F2667" s="12">
        <v>1</v>
      </c>
      <c r="G2667" s="12">
        <v>169000</v>
      </c>
      <c r="H2667" s="35">
        <v>46147.398143344908</v>
      </c>
    </row>
    <row r="2668" spans="2:8" x14ac:dyDescent="0.2">
      <c r="B2668" s="32">
        <v>46139</v>
      </c>
      <c r="C2668" t="s">
        <v>109</v>
      </c>
      <c r="D2668" t="s">
        <v>301</v>
      </c>
      <c r="E2668" s="13" t="s">
        <v>529</v>
      </c>
      <c r="F2668" s="12">
        <v>3</v>
      </c>
      <c r="G2668" s="12">
        <v>163865.54999999999</v>
      </c>
      <c r="H2668" s="35">
        <v>46147.398143344908</v>
      </c>
    </row>
    <row r="2669" spans="2:8" x14ac:dyDescent="0.2">
      <c r="B2669" s="32">
        <v>46139</v>
      </c>
      <c r="C2669" t="s">
        <v>109</v>
      </c>
      <c r="D2669" t="s">
        <v>496</v>
      </c>
      <c r="E2669" s="13" t="s">
        <v>529</v>
      </c>
      <c r="F2669" s="12">
        <v>1</v>
      </c>
      <c r="G2669" s="12">
        <v>92436.97</v>
      </c>
      <c r="H2669" s="35">
        <v>46147.398143344908</v>
      </c>
    </row>
    <row r="2670" spans="2:8" x14ac:dyDescent="0.2">
      <c r="B2670" s="32">
        <v>46139</v>
      </c>
      <c r="C2670" t="s">
        <v>109</v>
      </c>
      <c r="D2670" t="s">
        <v>359</v>
      </c>
      <c r="E2670" s="13" t="s">
        <v>529</v>
      </c>
      <c r="F2670" s="12">
        <v>1</v>
      </c>
      <c r="G2670" s="12">
        <v>84033.62</v>
      </c>
      <c r="H2670" s="35">
        <v>46147.398143344908</v>
      </c>
    </row>
    <row r="2671" spans="2:8" x14ac:dyDescent="0.2">
      <c r="B2671" s="32">
        <v>46139</v>
      </c>
      <c r="C2671" t="s">
        <v>109</v>
      </c>
      <c r="D2671" t="s">
        <v>197</v>
      </c>
      <c r="E2671" s="13" t="s">
        <v>529</v>
      </c>
      <c r="F2671" s="12">
        <v>1</v>
      </c>
      <c r="G2671" s="12">
        <v>84033.61</v>
      </c>
      <c r="H2671" s="35">
        <v>46147.398143344908</v>
      </c>
    </row>
    <row r="2672" spans="2:8" x14ac:dyDescent="0.2">
      <c r="B2672" s="32">
        <v>46139</v>
      </c>
      <c r="C2672" t="s">
        <v>109</v>
      </c>
      <c r="D2672" t="s">
        <v>298</v>
      </c>
      <c r="E2672" s="13" t="s">
        <v>529</v>
      </c>
      <c r="F2672" s="12">
        <v>2</v>
      </c>
      <c r="G2672" s="12">
        <v>84033.61</v>
      </c>
      <c r="H2672" s="35">
        <v>46147.398143344908</v>
      </c>
    </row>
    <row r="2673" spans="2:8" x14ac:dyDescent="0.2">
      <c r="B2673" s="32">
        <v>46139</v>
      </c>
      <c r="C2673" t="s">
        <v>109</v>
      </c>
      <c r="D2673" t="s">
        <v>509</v>
      </c>
      <c r="E2673" s="13" t="s">
        <v>530</v>
      </c>
      <c r="F2673" s="12">
        <v>1</v>
      </c>
      <c r="G2673" s="12">
        <v>79831.929999999993</v>
      </c>
      <c r="H2673" s="35">
        <v>46147.398143344908</v>
      </c>
    </row>
    <row r="2674" spans="2:8" x14ac:dyDescent="0.2">
      <c r="B2674" s="32">
        <v>46139</v>
      </c>
      <c r="C2674" t="s">
        <v>109</v>
      </c>
      <c r="D2674" t="s">
        <v>291</v>
      </c>
      <c r="E2674" s="13" t="s">
        <v>529</v>
      </c>
      <c r="F2674" s="12">
        <v>2</v>
      </c>
      <c r="G2674" s="12">
        <v>75630.259999999995</v>
      </c>
      <c r="H2674" s="35">
        <v>46147.398143344908</v>
      </c>
    </row>
    <row r="2675" spans="2:8" x14ac:dyDescent="0.2">
      <c r="B2675" s="32">
        <v>46140</v>
      </c>
      <c r="C2675" t="s">
        <v>140</v>
      </c>
      <c r="D2675" t="s">
        <v>249</v>
      </c>
      <c r="E2675" s="13" t="s">
        <v>530</v>
      </c>
      <c r="F2675" s="12">
        <v>1</v>
      </c>
      <c r="G2675" s="12">
        <v>63025.21</v>
      </c>
      <c r="H2675" s="35">
        <v>46147.398143344908</v>
      </c>
    </row>
    <row r="2676" spans="2:8" x14ac:dyDescent="0.2">
      <c r="B2676" s="32">
        <v>46140</v>
      </c>
      <c r="C2676" t="s">
        <v>140</v>
      </c>
      <c r="D2676" t="s">
        <v>1506</v>
      </c>
      <c r="E2676" s="13" t="s">
        <v>530</v>
      </c>
      <c r="F2676" s="12">
        <v>3</v>
      </c>
      <c r="G2676" s="12">
        <v>0</v>
      </c>
      <c r="H2676" s="35">
        <v>46147.398143344908</v>
      </c>
    </row>
    <row r="2677" spans="2:8" x14ac:dyDescent="0.2">
      <c r="B2677" s="32">
        <v>46140</v>
      </c>
      <c r="C2677" t="s">
        <v>109</v>
      </c>
      <c r="D2677" t="s">
        <v>145</v>
      </c>
      <c r="E2677" s="13" t="s">
        <v>530</v>
      </c>
      <c r="F2677" s="12">
        <v>2</v>
      </c>
      <c r="G2677" s="12">
        <v>151260.5</v>
      </c>
      <c r="H2677" s="35">
        <v>46147.398143344908</v>
      </c>
    </row>
    <row r="2678" spans="2:8" x14ac:dyDescent="0.2">
      <c r="B2678" s="32">
        <v>46140</v>
      </c>
      <c r="C2678" t="s">
        <v>109</v>
      </c>
      <c r="D2678" t="s">
        <v>154</v>
      </c>
      <c r="E2678" s="13" t="s">
        <v>529</v>
      </c>
      <c r="F2678" s="12">
        <v>2</v>
      </c>
      <c r="G2678" s="12">
        <v>92436.98</v>
      </c>
      <c r="H2678" s="35">
        <v>46147.398143344908</v>
      </c>
    </row>
    <row r="2679" spans="2:8" x14ac:dyDescent="0.2">
      <c r="B2679" s="32">
        <v>46140</v>
      </c>
      <c r="C2679" t="s">
        <v>109</v>
      </c>
      <c r="D2679" t="s">
        <v>496</v>
      </c>
      <c r="E2679" s="13" t="s">
        <v>530</v>
      </c>
      <c r="F2679" s="12">
        <v>1</v>
      </c>
      <c r="G2679" s="12">
        <v>92436.97</v>
      </c>
      <c r="H2679" s="35">
        <v>46147.398143344908</v>
      </c>
    </row>
    <row r="2680" spans="2:8" x14ac:dyDescent="0.2">
      <c r="B2680" s="32">
        <v>46140</v>
      </c>
      <c r="C2680" t="s">
        <v>109</v>
      </c>
      <c r="D2680" t="s">
        <v>344</v>
      </c>
      <c r="E2680" s="13" t="s">
        <v>529</v>
      </c>
      <c r="F2680" s="12">
        <v>1</v>
      </c>
      <c r="G2680" s="12">
        <v>58823.53</v>
      </c>
      <c r="H2680" s="35">
        <v>46147.398143344908</v>
      </c>
    </row>
    <row r="2681" spans="2:8" x14ac:dyDescent="0.2">
      <c r="B2681" s="32">
        <v>46140</v>
      </c>
      <c r="C2681" t="s">
        <v>109</v>
      </c>
      <c r="D2681" t="s">
        <v>344</v>
      </c>
      <c r="E2681" s="13" t="s">
        <v>530</v>
      </c>
      <c r="F2681" s="12">
        <v>1</v>
      </c>
      <c r="G2681" s="12">
        <v>58823.53</v>
      </c>
      <c r="H2681" s="35">
        <v>46147.398143344908</v>
      </c>
    </row>
    <row r="2682" spans="2:8" x14ac:dyDescent="0.2">
      <c r="B2682" s="32">
        <v>46140</v>
      </c>
      <c r="C2682" t="s">
        <v>109</v>
      </c>
      <c r="D2682" t="s">
        <v>391</v>
      </c>
      <c r="E2682" s="13" t="s">
        <v>529</v>
      </c>
      <c r="F2682" s="12">
        <v>1</v>
      </c>
      <c r="G2682" s="12">
        <v>50420.17</v>
      </c>
      <c r="H2682" s="35">
        <v>46147.398143344908</v>
      </c>
    </row>
    <row r="2683" spans="2:8" x14ac:dyDescent="0.2">
      <c r="B2683" s="32">
        <v>46141</v>
      </c>
      <c r="C2683" t="s">
        <v>140</v>
      </c>
      <c r="D2683" t="s">
        <v>1508</v>
      </c>
      <c r="E2683" s="13" t="s">
        <v>529</v>
      </c>
      <c r="F2683" s="12">
        <v>3</v>
      </c>
      <c r="G2683" s="12">
        <v>449579.83</v>
      </c>
      <c r="H2683" s="35">
        <v>46147.398143344908</v>
      </c>
    </row>
    <row r="2684" spans="2:8" x14ac:dyDescent="0.2">
      <c r="B2684" s="32">
        <v>46141</v>
      </c>
      <c r="C2684" t="s">
        <v>140</v>
      </c>
      <c r="D2684" t="s">
        <v>227</v>
      </c>
      <c r="E2684" s="13" t="s">
        <v>529</v>
      </c>
      <c r="F2684" s="12">
        <v>3</v>
      </c>
      <c r="G2684" s="12">
        <v>126050.42</v>
      </c>
      <c r="H2684" s="35">
        <v>46147.398143344908</v>
      </c>
    </row>
    <row r="2685" spans="2:8" x14ac:dyDescent="0.2">
      <c r="B2685" s="32">
        <v>46141</v>
      </c>
      <c r="C2685" t="s">
        <v>140</v>
      </c>
      <c r="D2685" t="s">
        <v>1504</v>
      </c>
      <c r="E2685" s="13" t="s">
        <v>529</v>
      </c>
      <c r="F2685" s="12">
        <v>2</v>
      </c>
      <c r="G2685" s="12">
        <v>117647.06</v>
      </c>
      <c r="H2685" s="35">
        <v>46147.398143344908</v>
      </c>
    </row>
    <row r="2686" spans="2:8" x14ac:dyDescent="0.2">
      <c r="B2686" s="32">
        <v>46141</v>
      </c>
      <c r="C2686" t="s">
        <v>140</v>
      </c>
      <c r="D2686" t="s">
        <v>280</v>
      </c>
      <c r="E2686" s="13" t="s">
        <v>529</v>
      </c>
      <c r="F2686" s="12">
        <v>1</v>
      </c>
      <c r="G2686" s="12">
        <v>63025.21</v>
      </c>
      <c r="H2686" s="35">
        <v>46147.398143344908</v>
      </c>
    </row>
    <row r="2687" spans="2:8" x14ac:dyDescent="0.2">
      <c r="B2687" s="32">
        <v>46141</v>
      </c>
      <c r="C2687" t="s">
        <v>140</v>
      </c>
      <c r="D2687" t="s">
        <v>241</v>
      </c>
      <c r="E2687" s="13" t="s">
        <v>529</v>
      </c>
      <c r="F2687" s="12">
        <v>1</v>
      </c>
      <c r="G2687" s="12">
        <v>54621.85</v>
      </c>
      <c r="H2687" s="35">
        <v>46147.398143344908</v>
      </c>
    </row>
    <row r="2688" spans="2:8" x14ac:dyDescent="0.2">
      <c r="B2688" s="32">
        <v>46141</v>
      </c>
      <c r="C2688" t="s">
        <v>140</v>
      </c>
      <c r="D2688" t="s">
        <v>383</v>
      </c>
      <c r="E2688" s="13" t="s">
        <v>529</v>
      </c>
      <c r="F2688" s="12">
        <v>1</v>
      </c>
      <c r="G2688" s="12">
        <v>54621.85</v>
      </c>
      <c r="H2688" s="35">
        <v>46147.398143344908</v>
      </c>
    </row>
    <row r="2689" spans="2:8" x14ac:dyDescent="0.2">
      <c r="B2689" s="32">
        <v>46141</v>
      </c>
      <c r="C2689" t="s">
        <v>109</v>
      </c>
      <c r="D2689" t="s">
        <v>156</v>
      </c>
      <c r="E2689" s="13" t="s">
        <v>529</v>
      </c>
      <c r="F2689" s="12">
        <v>2</v>
      </c>
      <c r="G2689" s="12">
        <v>92436.98</v>
      </c>
      <c r="H2689" s="35">
        <v>46147.398143344908</v>
      </c>
    </row>
    <row r="2690" spans="2:8" x14ac:dyDescent="0.2">
      <c r="B2690" s="32">
        <v>46141</v>
      </c>
      <c r="C2690" t="s">
        <v>109</v>
      </c>
      <c r="D2690" t="s">
        <v>496</v>
      </c>
      <c r="E2690" s="13" t="s">
        <v>530</v>
      </c>
      <c r="F2690" s="12">
        <v>1</v>
      </c>
      <c r="G2690" s="12">
        <v>92436.97</v>
      </c>
      <c r="H2690" s="35">
        <v>46147.398143344908</v>
      </c>
    </row>
    <row r="2691" spans="2:8" x14ac:dyDescent="0.2">
      <c r="B2691" s="32">
        <v>46141</v>
      </c>
      <c r="C2691" t="s">
        <v>109</v>
      </c>
      <c r="D2691" t="s">
        <v>242</v>
      </c>
      <c r="E2691" s="13" t="s">
        <v>529</v>
      </c>
      <c r="F2691" s="12">
        <v>1</v>
      </c>
      <c r="G2691" s="12">
        <v>58823.53</v>
      </c>
      <c r="H2691" s="35">
        <v>46147.398143344908</v>
      </c>
    </row>
    <row r="2692" spans="2:8" x14ac:dyDescent="0.2">
      <c r="B2692" s="32">
        <v>46141</v>
      </c>
      <c r="C2692" t="s">
        <v>109</v>
      </c>
      <c r="D2692" t="s">
        <v>1509</v>
      </c>
      <c r="E2692" s="13" t="s">
        <v>529</v>
      </c>
      <c r="F2692" s="12">
        <v>1</v>
      </c>
      <c r="G2692" s="12">
        <v>57142.86</v>
      </c>
      <c r="H2692" s="35">
        <v>46147.398143344908</v>
      </c>
    </row>
    <row r="2693" spans="2:8" x14ac:dyDescent="0.2">
      <c r="B2693" s="32">
        <v>46141</v>
      </c>
      <c r="C2693" t="s">
        <v>109</v>
      </c>
      <c r="D2693" t="s">
        <v>168</v>
      </c>
      <c r="E2693" s="13" t="s">
        <v>529</v>
      </c>
      <c r="F2693" s="12">
        <v>1</v>
      </c>
      <c r="G2693" s="12">
        <v>50420.17</v>
      </c>
      <c r="H2693" s="35">
        <v>46147.398143344908</v>
      </c>
    </row>
    <row r="2694" spans="2:8" x14ac:dyDescent="0.2">
      <c r="B2694" s="32">
        <v>46141</v>
      </c>
      <c r="C2694" t="s">
        <v>109</v>
      </c>
      <c r="D2694" t="s">
        <v>1510</v>
      </c>
      <c r="E2694" s="13" t="s">
        <v>529</v>
      </c>
      <c r="F2694" s="12">
        <v>1</v>
      </c>
      <c r="G2694" s="12">
        <v>50420.160000000003</v>
      </c>
      <c r="H2694" s="35">
        <v>46147.398143344908</v>
      </c>
    </row>
    <row r="2695" spans="2:8" x14ac:dyDescent="0.2">
      <c r="B2695" s="32">
        <v>46142</v>
      </c>
      <c r="C2695" t="s">
        <v>1517</v>
      </c>
      <c r="D2695" t="s">
        <v>504</v>
      </c>
      <c r="E2695" s="13" t="s">
        <v>529</v>
      </c>
      <c r="F2695" s="12">
        <v>6</v>
      </c>
      <c r="G2695" s="12">
        <v>756302.52</v>
      </c>
      <c r="H2695" s="35">
        <v>46147.398143344908</v>
      </c>
    </row>
    <row r="2696" spans="2:8" x14ac:dyDescent="0.2">
      <c r="B2696" s="32">
        <v>46142</v>
      </c>
      <c r="C2696" t="s">
        <v>1517</v>
      </c>
      <c r="D2696" t="s">
        <v>618</v>
      </c>
      <c r="E2696" s="13" t="s">
        <v>529</v>
      </c>
      <c r="F2696" s="12">
        <v>2</v>
      </c>
      <c r="G2696" s="12">
        <v>319327.73</v>
      </c>
      <c r="H2696" s="35">
        <v>46147.398143344908</v>
      </c>
    </row>
    <row r="2697" spans="2:8" x14ac:dyDescent="0.2">
      <c r="B2697" s="32">
        <v>46142</v>
      </c>
      <c r="C2697" t="s">
        <v>1517</v>
      </c>
      <c r="D2697" t="s">
        <v>166</v>
      </c>
      <c r="E2697" s="13" t="s">
        <v>529</v>
      </c>
      <c r="F2697" s="12">
        <v>3</v>
      </c>
      <c r="G2697" s="12">
        <v>138655.46</v>
      </c>
      <c r="H2697" s="35">
        <v>46147.398143344908</v>
      </c>
    </row>
    <row r="2698" spans="2:8" x14ac:dyDescent="0.2">
      <c r="B2698" s="32">
        <v>46142</v>
      </c>
      <c r="C2698" t="s">
        <v>1517</v>
      </c>
      <c r="D2698" t="s">
        <v>468</v>
      </c>
      <c r="E2698" s="13" t="s">
        <v>530</v>
      </c>
      <c r="F2698" s="12">
        <v>2</v>
      </c>
      <c r="G2698" s="12">
        <v>126050.42</v>
      </c>
      <c r="H2698" s="35">
        <v>46147.398143344908</v>
      </c>
    </row>
    <row r="2699" spans="2:8" x14ac:dyDescent="0.2">
      <c r="B2699" s="32">
        <v>46142</v>
      </c>
      <c r="C2699" t="s">
        <v>1517</v>
      </c>
      <c r="D2699" t="s">
        <v>291</v>
      </c>
      <c r="E2699" s="13" t="s">
        <v>529</v>
      </c>
      <c r="F2699" s="12">
        <v>3</v>
      </c>
      <c r="G2699" s="12">
        <v>113445.38</v>
      </c>
      <c r="H2699" s="35">
        <v>46147.398143344908</v>
      </c>
    </row>
    <row r="2700" spans="2:8" x14ac:dyDescent="0.2">
      <c r="B2700" s="32">
        <v>46142</v>
      </c>
      <c r="C2700" t="s">
        <v>1517</v>
      </c>
      <c r="D2700" t="s">
        <v>238</v>
      </c>
      <c r="E2700" s="13" t="s">
        <v>529</v>
      </c>
      <c r="F2700" s="12">
        <v>2</v>
      </c>
      <c r="G2700" s="12">
        <v>92436.98</v>
      </c>
      <c r="H2700" s="35">
        <v>46147.398143344908</v>
      </c>
    </row>
    <row r="2701" spans="2:8" x14ac:dyDescent="0.2">
      <c r="B2701" s="32">
        <v>46142</v>
      </c>
      <c r="C2701" t="s">
        <v>1517</v>
      </c>
      <c r="D2701" t="s">
        <v>490</v>
      </c>
      <c r="E2701" s="13" t="s">
        <v>529</v>
      </c>
      <c r="F2701" s="12">
        <v>2</v>
      </c>
      <c r="G2701" s="12">
        <v>75630.259999999995</v>
      </c>
      <c r="H2701" s="35">
        <v>46147.398143344908</v>
      </c>
    </row>
    <row r="2702" spans="2:8" x14ac:dyDescent="0.2">
      <c r="B2702" s="32">
        <v>46142</v>
      </c>
      <c r="C2702" t="s">
        <v>1517</v>
      </c>
      <c r="D2702" t="s">
        <v>285</v>
      </c>
      <c r="E2702" s="13" t="s">
        <v>530</v>
      </c>
      <c r="F2702" s="12">
        <v>1</v>
      </c>
      <c r="G2702" s="12">
        <v>63025.21</v>
      </c>
      <c r="H2702" s="35">
        <v>46147.398143344908</v>
      </c>
    </row>
    <row r="2703" spans="2:8" x14ac:dyDescent="0.2">
      <c r="B2703" s="32">
        <v>46142</v>
      </c>
      <c r="C2703" t="s">
        <v>1517</v>
      </c>
      <c r="D2703" t="s">
        <v>451</v>
      </c>
      <c r="E2703" s="13" t="s">
        <v>529</v>
      </c>
      <c r="F2703" s="12">
        <v>1</v>
      </c>
      <c r="G2703" s="12">
        <v>54621.85</v>
      </c>
      <c r="H2703" s="35">
        <v>46147.398143344908</v>
      </c>
    </row>
    <row r="2704" spans="2:8" x14ac:dyDescent="0.2">
      <c r="B2704" s="32">
        <v>46142</v>
      </c>
      <c r="C2704" t="s">
        <v>1517</v>
      </c>
      <c r="D2704" t="s">
        <v>232</v>
      </c>
      <c r="E2704" s="13" t="s">
        <v>529</v>
      </c>
      <c r="F2704" s="12">
        <v>1</v>
      </c>
      <c r="G2704" s="12">
        <v>37815.129999999997</v>
      </c>
      <c r="H2704" s="35">
        <v>46147.398143344908</v>
      </c>
    </row>
    <row r="2705" spans="2:8" x14ac:dyDescent="0.2">
      <c r="B2705" s="32">
        <v>46142</v>
      </c>
      <c r="C2705" t="s">
        <v>1517</v>
      </c>
      <c r="D2705" t="s">
        <v>358</v>
      </c>
      <c r="E2705" s="13" t="s">
        <v>529</v>
      </c>
      <c r="F2705" s="12">
        <v>1</v>
      </c>
      <c r="G2705" s="12">
        <v>16806.73</v>
      </c>
      <c r="H2705" s="35">
        <v>46147.398143344908</v>
      </c>
    </row>
    <row r="2706" spans="2:8" x14ac:dyDescent="0.2">
      <c r="B2706" s="32">
        <v>46142</v>
      </c>
      <c r="C2706" t="s">
        <v>1517</v>
      </c>
      <c r="D2706" t="s">
        <v>478</v>
      </c>
      <c r="E2706" s="13" t="s">
        <v>529</v>
      </c>
      <c r="F2706" s="12">
        <v>1</v>
      </c>
      <c r="G2706" s="12">
        <v>16806.72</v>
      </c>
      <c r="H2706" s="35">
        <v>46147.398143344908</v>
      </c>
    </row>
    <row r="2707" spans="2:8" x14ac:dyDescent="0.2">
      <c r="B2707" s="32">
        <v>46142</v>
      </c>
      <c r="C2707" t="s">
        <v>140</v>
      </c>
      <c r="D2707" t="s">
        <v>311</v>
      </c>
      <c r="E2707" s="13" t="s">
        <v>529</v>
      </c>
      <c r="F2707" s="12">
        <v>1</v>
      </c>
      <c r="G2707" s="12">
        <v>113445.38</v>
      </c>
      <c r="H2707" s="35">
        <v>46147.398143344908</v>
      </c>
    </row>
    <row r="2708" spans="2:8" x14ac:dyDescent="0.2">
      <c r="B2708" s="32">
        <v>46142</v>
      </c>
      <c r="C2708" t="s">
        <v>109</v>
      </c>
      <c r="D2708" t="s">
        <v>142</v>
      </c>
      <c r="E2708" s="13" t="s">
        <v>529</v>
      </c>
      <c r="F2708" s="12">
        <v>9</v>
      </c>
      <c r="G2708" s="12">
        <v>268487.39</v>
      </c>
      <c r="H2708" s="35">
        <v>46147.398143344908</v>
      </c>
    </row>
    <row r="2709" spans="2:8" x14ac:dyDescent="0.2">
      <c r="B2709" s="32">
        <v>46142</v>
      </c>
      <c r="C2709" t="s">
        <v>109</v>
      </c>
      <c r="D2709" t="s">
        <v>232</v>
      </c>
      <c r="E2709" s="13" t="s">
        <v>529</v>
      </c>
      <c r="F2709" s="12">
        <v>4</v>
      </c>
      <c r="G2709" s="12">
        <v>151260.51</v>
      </c>
      <c r="H2709" s="35">
        <v>46147.398143344908</v>
      </c>
    </row>
    <row r="2710" spans="2:8" x14ac:dyDescent="0.2">
      <c r="B2710" s="32">
        <v>46142</v>
      </c>
      <c r="C2710" t="s">
        <v>109</v>
      </c>
      <c r="D2710" t="s">
        <v>162</v>
      </c>
      <c r="E2710" s="13" t="s">
        <v>529</v>
      </c>
      <c r="F2710" s="12">
        <v>2</v>
      </c>
      <c r="G2710" s="12">
        <v>151260.51</v>
      </c>
      <c r="H2710" s="35">
        <v>46147.398143344908</v>
      </c>
    </row>
    <row r="2711" spans="2:8" x14ac:dyDescent="0.2">
      <c r="B2711" s="32">
        <v>46142</v>
      </c>
      <c r="C2711" t="s">
        <v>109</v>
      </c>
      <c r="D2711" t="s">
        <v>166</v>
      </c>
      <c r="E2711" s="13" t="s">
        <v>529</v>
      </c>
      <c r="F2711" s="12">
        <v>2</v>
      </c>
      <c r="G2711" s="12">
        <v>92436.97</v>
      </c>
      <c r="H2711" s="35">
        <v>46147.398143344908</v>
      </c>
    </row>
    <row r="2712" spans="2:8" x14ac:dyDescent="0.2">
      <c r="B2712" s="32">
        <v>46142</v>
      </c>
      <c r="C2712" t="s">
        <v>109</v>
      </c>
      <c r="D2712" t="s">
        <v>164</v>
      </c>
      <c r="E2712" s="13" t="s">
        <v>530</v>
      </c>
      <c r="F2712" s="12">
        <v>2</v>
      </c>
      <c r="G2712" s="12">
        <v>84033.61</v>
      </c>
      <c r="H2712" s="35">
        <v>46147.398143344908</v>
      </c>
    </row>
    <row r="2713" spans="2:8" x14ac:dyDescent="0.2">
      <c r="B2713" s="32">
        <v>46142</v>
      </c>
      <c r="C2713" t="s">
        <v>109</v>
      </c>
      <c r="D2713" t="s">
        <v>343</v>
      </c>
      <c r="E2713" s="13" t="s">
        <v>530</v>
      </c>
      <c r="F2713" s="12">
        <v>1</v>
      </c>
      <c r="G2713" s="12">
        <v>84033.61</v>
      </c>
      <c r="H2713" s="35">
        <v>46147.398143344908</v>
      </c>
    </row>
    <row r="2714" spans="2:8" x14ac:dyDescent="0.2">
      <c r="B2714" s="32">
        <v>46142</v>
      </c>
      <c r="C2714" t="s">
        <v>109</v>
      </c>
      <c r="D2714" t="s">
        <v>339</v>
      </c>
      <c r="E2714" s="13" t="s">
        <v>529</v>
      </c>
      <c r="F2714" s="12">
        <v>2</v>
      </c>
      <c r="G2714" s="12">
        <v>75630.25</v>
      </c>
      <c r="H2714" s="35">
        <v>46147.398143344908</v>
      </c>
    </row>
    <row r="2715" spans="2:8" x14ac:dyDescent="0.2">
      <c r="B2715" s="32">
        <v>46142</v>
      </c>
      <c r="C2715" t="s">
        <v>109</v>
      </c>
      <c r="D2715" t="s">
        <v>523</v>
      </c>
      <c r="E2715" s="13" t="s">
        <v>530</v>
      </c>
      <c r="F2715" s="12">
        <v>1</v>
      </c>
      <c r="G2715" s="12">
        <v>71428.570000000007</v>
      </c>
      <c r="H2715" s="35">
        <v>46147.398143344908</v>
      </c>
    </row>
    <row r="2716" spans="2:8" x14ac:dyDescent="0.2">
      <c r="B2716" s="32">
        <v>46143</v>
      </c>
      <c r="C2716" t="s">
        <v>1517</v>
      </c>
      <c r="D2716" t="s">
        <v>143</v>
      </c>
      <c r="E2716" s="13" t="s">
        <v>530</v>
      </c>
      <c r="F2716" s="12">
        <v>8</v>
      </c>
      <c r="G2716" s="12">
        <v>235294.09</v>
      </c>
      <c r="H2716" s="35">
        <v>46147.398143344908</v>
      </c>
    </row>
    <row r="2717" spans="2:8" x14ac:dyDescent="0.2">
      <c r="B2717" s="32">
        <v>46143</v>
      </c>
      <c r="C2717" t="s">
        <v>1517</v>
      </c>
      <c r="D2717" t="s">
        <v>148</v>
      </c>
      <c r="E2717" s="13" t="s">
        <v>530</v>
      </c>
      <c r="F2717" s="12">
        <v>4</v>
      </c>
      <c r="G2717" s="12">
        <v>184873.95</v>
      </c>
      <c r="H2717" s="35">
        <v>46147.398143344908</v>
      </c>
    </row>
    <row r="2718" spans="2:8" x14ac:dyDescent="0.2">
      <c r="B2718" s="32">
        <v>46143</v>
      </c>
      <c r="C2718" t="s">
        <v>1517</v>
      </c>
      <c r="D2718" t="s">
        <v>164</v>
      </c>
      <c r="E2718" s="13" t="s">
        <v>530</v>
      </c>
      <c r="F2718" s="12">
        <v>4</v>
      </c>
      <c r="G2718" s="12">
        <v>168067.24</v>
      </c>
      <c r="H2718" s="35">
        <v>46147.398143344908</v>
      </c>
    </row>
    <row r="2719" spans="2:8" x14ac:dyDescent="0.2">
      <c r="B2719" s="32">
        <v>46143</v>
      </c>
      <c r="C2719" t="s">
        <v>1517</v>
      </c>
      <c r="D2719" t="s">
        <v>411</v>
      </c>
      <c r="E2719" s="13" t="s">
        <v>530</v>
      </c>
      <c r="F2719" s="12">
        <v>3</v>
      </c>
      <c r="G2719" s="12">
        <v>126050.43</v>
      </c>
      <c r="H2719" s="35">
        <v>46147.398143344908</v>
      </c>
    </row>
    <row r="2720" spans="2:8" x14ac:dyDescent="0.2">
      <c r="B2720" s="32">
        <v>46143</v>
      </c>
      <c r="C2720" t="s">
        <v>1517</v>
      </c>
      <c r="D2720" t="s">
        <v>352</v>
      </c>
      <c r="E2720" s="13" t="s">
        <v>530</v>
      </c>
      <c r="F2720" s="12">
        <v>3</v>
      </c>
      <c r="G2720" s="12">
        <v>113445.39</v>
      </c>
      <c r="H2720" s="35">
        <v>46147.398143344908</v>
      </c>
    </row>
    <row r="2721" spans="2:8" x14ac:dyDescent="0.2">
      <c r="B2721" s="32">
        <v>46143</v>
      </c>
      <c r="C2721" t="s">
        <v>1517</v>
      </c>
      <c r="D2721" t="s">
        <v>305</v>
      </c>
      <c r="E2721" s="13" t="s">
        <v>530</v>
      </c>
      <c r="F2721" s="12">
        <v>2</v>
      </c>
      <c r="G2721" s="12">
        <v>109243.7</v>
      </c>
      <c r="H2721" s="35">
        <v>46147.398143344908</v>
      </c>
    </row>
    <row r="2722" spans="2:8" x14ac:dyDescent="0.2">
      <c r="B2722" s="32">
        <v>46143</v>
      </c>
      <c r="C2722" t="s">
        <v>1517</v>
      </c>
      <c r="D2722" t="s">
        <v>346</v>
      </c>
      <c r="E2722" s="13" t="s">
        <v>530</v>
      </c>
      <c r="F2722" s="12">
        <v>2</v>
      </c>
      <c r="G2722" s="12">
        <v>100840.34</v>
      </c>
      <c r="H2722" s="35">
        <v>46147.398143344908</v>
      </c>
    </row>
    <row r="2723" spans="2:8" x14ac:dyDescent="0.2">
      <c r="B2723" s="32">
        <v>46143</v>
      </c>
      <c r="C2723" t="s">
        <v>1517</v>
      </c>
      <c r="D2723" t="s">
        <v>334</v>
      </c>
      <c r="E2723" s="13" t="s">
        <v>530</v>
      </c>
      <c r="F2723" s="12">
        <v>2</v>
      </c>
      <c r="G2723" s="12">
        <v>100840.34</v>
      </c>
      <c r="H2723" s="35">
        <v>46147.398143344908</v>
      </c>
    </row>
    <row r="2724" spans="2:8" x14ac:dyDescent="0.2">
      <c r="B2724" s="32">
        <v>46143</v>
      </c>
      <c r="C2724" t="s">
        <v>1517</v>
      </c>
      <c r="D2724" t="s">
        <v>177</v>
      </c>
      <c r="E2724" s="13" t="s">
        <v>530</v>
      </c>
      <c r="F2724" s="12">
        <v>2</v>
      </c>
      <c r="G2724" s="12">
        <v>100840.34</v>
      </c>
      <c r="H2724" s="35">
        <v>46147.398143344908</v>
      </c>
    </row>
    <row r="2725" spans="2:8" x14ac:dyDescent="0.2">
      <c r="B2725" s="32">
        <v>46143</v>
      </c>
      <c r="C2725" t="s">
        <v>1517</v>
      </c>
      <c r="D2725" t="s">
        <v>196</v>
      </c>
      <c r="E2725" s="13" t="s">
        <v>530</v>
      </c>
      <c r="F2725" s="12">
        <v>2</v>
      </c>
      <c r="G2725" s="12">
        <v>100840.33</v>
      </c>
      <c r="H2725" s="35">
        <v>46147.398143344908</v>
      </c>
    </row>
    <row r="2726" spans="2:8" x14ac:dyDescent="0.2">
      <c r="B2726" s="32">
        <v>46143</v>
      </c>
      <c r="C2726" t="s">
        <v>1517</v>
      </c>
      <c r="D2726" t="s">
        <v>149</v>
      </c>
      <c r="E2726" s="13" t="s">
        <v>530</v>
      </c>
      <c r="F2726" s="12">
        <v>2</v>
      </c>
      <c r="G2726" s="12">
        <v>100840.33</v>
      </c>
      <c r="H2726" s="35">
        <v>46147.398143344908</v>
      </c>
    </row>
    <row r="2727" spans="2:8" x14ac:dyDescent="0.2">
      <c r="B2727" s="32">
        <v>46143</v>
      </c>
      <c r="C2727" t="s">
        <v>1517</v>
      </c>
      <c r="D2727" t="s">
        <v>151</v>
      </c>
      <c r="E2727" s="13" t="s">
        <v>530</v>
      </c>
      <c r="F2727" s="12">
        <v>2</v>
      </c>
      <c r="G2727" s="12">
        <v>92436.98</v>
      </c>
      <c r="H2727" s="35">
        <v>46147.398143344908</v>
      </c>
    </row>
    <row r="2728" spans="2:8" x14ac:dyDescent="0.2">
      <c r="B2728" s="32">
        <v>46143</v>
      </c>
      <c r="C2728" t="s">
        <v>1517</v>
      </c>
      <c r="D2728" t="s">
        <v>161</v>
      </c>
      <c r="E2728" s="13" t="s">
        <v>529</v>
      </c>
      <c r="F2728" s="12">
        <v>1</v>
      </c>
      <c r="G2728" s="12">
        <v>92436.98</v>
      </c>
      <c r="H2728" s="35">
        <v>46147.398143344908</v>
      </c>
    </row>
    <row r="2729" spans="2:8" x14ac:dyDescent="0.2">
      <c r="B2729" s="32">
        <v>46143</v>
      </c>
      <c r="C2729" t="s">
        <v>1517</v>
      </c>
      <c r="D2729" t="s">
        <v>298</v>
      </c>
      <c r="E2729" s="13" t="s">
        <v>530</v>
      </c>
      <c r="F2729" s="12">
        <v>2</v>
      </c>
      <c r="G2729" s="12">
        <v>84033.62</v>
      </c>
      <c r="H2729" s="35">
        <v>46147.398143344908</v>
      </c>
    </row>
    <row r="2730" spans="2:8" x14ac:dyDescent="0.2">
      <c r="B2730" s="32">
        <v>46143</v>
      </c>
      <c r="C2730" t="s">
        <v>1517</v>
      </c>
      <c r="D2730" t="s">
        <v>202</v>
      </c>
      <c r="E2730" s="13" t="s">
        <v>530</v>
      </c>
      <c r="F2730" s="12">
        <v>2</v>
      </c>
      <c r="G2730" s="12">
        <v>84033.61</v>
      </c>
      <c r="H2730" s="35">
        <v>46147.398143344908</v>
      </c>
    </row>
    <row r="2731" spans="2:8" x14ac:dyDescent="0.2">
      <c r="B2731" s="32">
        <v>46143</v>
      </c>
      <c r="C2731" t="s">
        <v>1517</v>
      </c>
      <c r="D2731" t="s">
        <v>261</v>
      </c>
      <c r="E2731" s="13" t="s">
        <v>530</v>
      </c>
      <c r="F2731" s="12">
        <v>2</v>
      </c>
      <c r="G2731" s="12">
        <v>75630.259999999995</v>
      </c>
      <c r="H2731" s="35">
        <v>46147.398143344908</v>
      </c>
    </row>
    <row r="2732" spans="2:8" x14ac:dyDescent="0.2">
      <c r="B2732" s="32">
        <v>46143</v>
      </c>
      <c r="C2732" t="s">
        <v>1517</v>
      </c>
      <c r="D2732" t="s">
        <v>440</v>
      </c>
      <c r="E2732" s="13" t="s">
        <v>530</v>
      </c>
      <c r="F2732" s="12">
        <v>1</v>
      </c>
      <c r="G2732" s="12">
        <v>54621.85</v>
      </c>
      <c r="H2732" s="35">
        <v>46147.398143344908</v>
      </c>
    </row>
    <row r="2733" spans="2:8" x14ac:dyDescent="0.2">
      <c r="B2733" s="32">
        <v>46143</v>
      </c>
      <c r="C2733" t="s">
        <v>1517</v>
      </c>
      <c r="D2733" t="s">
        <v>154</v>
      </c>
      <c r="E2733" s="13" t="s">
        <v>529</v>
      </c>
      <c r="F2733" s="12">
        <v>2</v>
      </c>
      <c r="G2733" s="12">
        <v>46218.48</v>
      </c>
      <c r="H2733" s="35">
        <v>46147.398143344908</v>
      </c>
    </row>
    <row r="2734" spans="2:8" x14ac:dyDescent="0.2">
      <c r="B2734" s="32">
        <v>46143</v>
      </c>
      <c r="C2734" t="s">
        <v>1517</v>
      </c>
      <c r="D2734" t="s">
        <v>558</v>
      </c>
      <c r="E2734" s="13" t="s">
        <v>530</v>
      </c>
      <c r="F2734" s="12">
        <v>1</v>
      </c>
      <c r="G2734" s="12">
        <v>42016.81</v>
      </c>
      <c r="H2734" s="35">
        <v>46147.398143344908</v>
      </c>
    </row>
    <row r="2735" spans="2:8" x14ac:dyDescent="0.2">
      <c r="B2735" s="32">
        <v>46143</v>
      </c>
      <c r="C2735" t="s">
        <v>1517</v>
      </c>
      <c r="D2735" t="s">
        <v>607</v>
      </c>
      <c r="E2735" s="13" t="s">
        <v>530</v>
      </c>
      <c r="F2735" s="12">
        <v>1</v>
      </c>
      <c r="G2735" s="12">
        <v>42016.81</v>
      </c>
      <c r="H2735" s="35">
        <v>46147.398143344908</v>
      </c>
    </row>
    <row r="2736" spans="2:8" x14ac:dyDescent="0.2">
      <c r="B2736" s="32">
        <v>46143</v>
      </c>
      <c r="C2736" t="s">
        <v>1517</v>
      </c>
      <c r="D2736" t="s">
        <v>1880</v>
      </c>
      <c r="E2736" s="13" t="s">
        <v>530</v>
      </c>
      <c r="F2736" s="12">
        <v>2</v>
      </c>
      <c r="G2736" s="12">
        <v>42016.800000000003</v>
      </c>
      <c r="H2736" s="35">
        <v>46147.398143344908</v>
      </c>
    </row>
    <row r="2737" spans="2:8" x14ac:dyDescent="0.2">
      <c r="B2737" s="32">
        <v>46143</v>
      </c>
      <c r="C2737" t="s">
        <v>1517</v>
      </c>
      <c r="D2737" t="s">
        <v>143</v>
      </c>
      <c r="E2737" s="13" t="s">
        <v>529</v>
      </c>
      <c r="F2737" s="12">
        <v>1</v>
      </c>
      <c r="G2737" s="12">
        <v>29411.759999999998</v>
      </c>
      <c r="H2737" s="35">
        <v>46147.398143344908</v>
      </c>
    </row>
    <row r="2738" spans="2:8" x14ac:dyDescent="0.2">
      <c r="B2738" s="32">
        <v>46143</v>
      </c>
      <c r="C2738" t="s">
        <v>1517</v>
      </c>
      <c r="D2738" t="s">
        <v>1572</v>
      </c>
      <c r="E2738" s="13" t="s">
        <v>530</v>
      </c>
      <c r="F2738" s="12">
        <v>1</v>
      </c>
      <c r="G2738" s="12">
        <v>12605.04</v>
      </c>
      <c r="H2738" s="35">
        <v>46147.398143344908</v>
      </c>
    </row>
    <row r="2739" spans="2:8" x14ac:dyDescent="0.2">
      <c r="B2739" s="32">
        <v>46143</v>
      </c>
      <c r="C2739" t="s">
        <v>1517</v>
      </c>
      <c r="D2739" t="s">
        <v>1518</v>
      </c>
      <c r="E2739" s="13" t="s">
        <v>529</v>
      </c>
      <c r="F2739" s="12">
        <v>1</v>
      </c>
      <c r="G2739" s="12">
        <v>0</v>
      </c>
      <c r="H2739" s="35">
        <v>46147.398143344908</v>
      </c>
    </row>
    <row r="2740" spans="2:8" x14ac:dyDescent="0.2">
      <c r="B2740" s="32">
        <v>46143</v>
      </c>
      <c r="C2740" t="s">
        <v>1517</v>
      </c>
      <c r="E2740" s="13" t="s">
        <v>530</v>
      </c>
      <c r="F2740" s="12">
        <v>2</v>
      </c>
      <c r="G2740" s="12">
        <v>0</v>
      </c>
      <c r="H2740" s="35">
        <v>46147.398143344908</v>
      </c>
    </row>
    <row r="2741" spans="2:8" x14ac:dyDescent="0.2">
      <c r="B2741" s="32">
        <v>46143</v>
      </c>
      <c r="C2741" t="s">
        <v>140</v>
      </c>
      <c r="D2741" t="s">
        <v>182</v>
      </c>
      <c r="E2741" s="13" t="s">
        <v>530</v>
      </c>
      <c r="F2741" s="12">
        <v>4</v>
      </c>
      <c r="G2741" s="12">
        <v>226890.76</v>
      </c>
      <c r="H2741" s="35">
        <v>46147.398143344908</v>
      </c>
    </row>
    <row r="2742" spans="2:8" x14ac:dyDescent="0.2">
      <c r="B2742" s="32">
        <v>46143</v>
      </c>
      <c r="C2742" t="s">
        <v>140</v>
      </c>
      <c r="D2742" t="s">
        <v>158</v>
      </c>
      <c r="E2742" s="13" t="s">
        <v>530</v>
      </c>
      <c r="F2742" s="12">
        <v>1</v>
      </c>
      <c r="G2742" s="12">
        <v>46218.49</v>
      </c>
      <c r="H2742" s="35">
        <v>46147.398143344908</v>
      </c>
    </row>
    <row r="2743" spans="2:8" x14ac:dyDescent="0.2">
      <c r="B2743" s="32">
        <v>46143</v>
      </c>
      <c r="C2743" t="s">
        <v>109</v>
      </c>
      <c r="D2743" t="s">
        <v>1879</v>
      </c>
      <c r="E2743" s="13" t="s">
        <v>530</v>
      </c>
      <c r="F2743" s="12">
        <v>150</v>
      </c>
      <c r="G2743" s="12">
        <v>1848739.5</v>
      </c>
      <c r="H2743" s="35">
        <v>46147.398143344908</v>
      </c>
    </row>
    <row r="2744" spans="2:8" x14ac:dyDescent="0.2">
      <c r="B2744" s="32">
        <v>46143</v>
      </c>
      <c r="C2744" t="s">
        <v>109</v>
      </c>
      <c r="D2744" t="s">
        <v>365</v>
      </c>
      <c r="E2744" s="13" t="s">
        <v>530</v>
      </c>
      <c r="F2744" s="12">
        <v>2</v>
      </c>
      <c r="G2744" s="12">
        <v>235294.12</v>
      </c>
      <c r="H2744" s="35">
        <v>46147.398143344908</v>
      </c>
    </row>
    <row r="2745" spans="2:8" x14ac:dyDescent="0.2">
      <c r="B2745" s="32">
        <v>46143</v>
      </c>
      <c r="C2745" t="s">
        <v>109</v>
      </c>
      <c r="D2745" t="s">
        <v>142</v>
      </c>
      <c r="E2745" s="13" t="s">
        <v>530</v>
      </c>
      <c r="F2745" s="12">
        <v>2</v>
      </c>
      <c r="G2745" s="12">
        <v>126050.42</v>
      </c>
      <c r="H2745" s="35">
        <v>46147.398143344908</v>
      </c>
    </row>
    <row r="2746" spans="2:8" x14ac:dyDescent="0.2">
      <c r="B2746" s="32">
        <v>46143</v>
      </c>
      <c r="C2746" t="s">
        <v>109</v>
      </c>
      <c r="D2746" t="s">
        <v>143</v>
      </c>
      <c r="E2746" s="13" t="s">
        <v>530</v>
      </c>
      <c r="F2746" s="12">
        <v>2</v>
      </c>
      <c r="G2746" s="12">
        <v>58823.53</v>
      </c>
      <c r="H2746" s="35">
        <v>46147.398143344908</v>
      </c>
    </row>
    <row r="2747" spans="2:8" x14ac:dyDescent="0.2">
      <c r="B2747" s="32">
        <v>46143</v>
      </c>
      <c r="C2747" t="s">
        <v>109</v>
      </c>
      <c r="D2747" t="s">
        <v>210</v>
      </c>
      <c r="E2747" s="13" t="s">
        <v>529</v>
      </c>
      <c r="F2747" s="12">
        <v>1</v>
      </c>
      <c r="G2747" s="12">
        <v>58823.53</v>
      </c>
      <c r="H2747" s="35">
        <v>46147.398143344908</v>
      </c>
    </row>
    <row r="2748" spans="2:8" x14ac:dyDescent="0.2">
      <c r="B2748" s="32">
        <v>46143</v>
      </c>
      <c r="C2748" t="s">
        <v>109</v>
      </c>
      <c r="D2748" t="s">
        <v>196</v>
      </c>
      <c r="E2748" s="13" t="s">
        <v>529</v>
      </c>
      <c r="F2748" s="12">
        <v>1</v>
      </c>
      <c r="G2748" s="12">
        <v>50420.17</v>
      </c>
      <c r="H2748" s="35">
        <v>46147.398143344908</v>
      </c>
    </row>
    <row r="2749" spans="2:8" x14ac:dyDescent="0.2">
      <c r="B2749" s="32">
        <v>46144</v>
      </c>
      <c r="C2749" t="s">
        <v>1517</v>
      </c>
      <c r="D2749" t="s">
        <v>232</v>
      </c>
      <c r="E2749" s="13" t="s">
        <v>530</v>
      </c>
      <c r="F2749" s="12">
        <v>8</v>
      </c>
      <c r="G2749" s="12">
        <v>302521.01</v>
      </c>
      <c r="H2749" s="35">
        <v>46147.398143344908</v>
      </c>
    </row>
    <row r="2750" spans="2:8" x14ac:dyDescent="0.2">
      <c r="B2750" s="32">
        <v>46144</v>
      </c>
      <c r="C2750" t="s">
        <v>1517</v>
      </c>
      <c r="D2750" t="s">
        <v>635</v>
      </c>
      <c r="E2750" s="13" t="s">
        <v>530</v>
      </c>
      <c r="F2750" s="12">
        <v>2</v>
      </c>
      <c r="G2750" s="12">
        <v>252100.84</v>
      </c>
      <c r="H2750" s="35">
        <v>46147.398143344908</v>
      </c>
    </row>
    <row r="2751" spans="2:8" x14ac:dyDescent="0.2">
      <c r="B2751" s="32">
        <v>46144</v>
      </c>
      <c r="C2751" t="s">
        <v>1517</v>
      </c>
      <c r="D2751" t="s">
        <v>328</v>
      </c>
      <c r="E2751" s="13" t="s">
        <v>530</v>
      </c>
      <c r="F2751" s="12">
        <v>5</v>
      </c>
      <c r="G2751" s="12">
        <v>189075.63</v>
      </c>
      <c r="H2751" s="35">
        <v>46147.398143344908</v>
      </c>
    </row>
    <row r="2752" spans="2:8" x14ac:dyDescent="0.2">
      <c r="B2752" s="32">
        <v>46144</v>
      </c>
      <c r="C2752" t="s">
        <v>1517</v>
      </c>
      <c r="D2752" t="s">
        <v>149</v>
      </c>
      <c r="E2752" s="13" t="s">
        <v>530</v>
      </c>
      <c r="F2752" s="12">
        <v>3</v>
      </c>
      <c r="G2752" s="12">
        <v>151260.51</v>
      </c>
      <c r="H2752" s="35">
        <v>46147.398143344908</v>
      </c>
    </row>
    <row r="2753" spans="2:8" x14ac:dyDescent="0.2">
      <c r="B2753" s="32">
        <v>46144</v>
      </c>
      <c r="C2753" t="s">
        <v>1517</v>
      </c>
      <c r="D2753" t="s">
        <v>348</v>
      </c>
      <c r="E2753" s="13" t="s">
        <v>530</v>
      </c>
      <c r="F2753" s="12">
        <v>2</v>
      </c>
      <c r="G2753" s="12">
        <v>151260.5</v>
      </c>
      <c r="H2753" s="35">
        <v>46147.398143344908</v>
      </c>
    </row>
    <row r="2754" spans="2:8" x14ac:dyDescent="0.2">
      <c r="B2754" s="32">
        <v>46144</v>
      </c>
      <c r="C2754" t="s">
        <v>1517</v>
      </c>
      <c r="D2754" t="s">
        <v>334</v>
      </c>
      <c r="E2754" s="13" t="s">
        <v>529</v>
      </c>
      <c r="F2754" s="12">
        <v>3</v>
      </c>
      <c r="G2754" s="12">
        <v>151260.5</v>
      </c>
      <c r="H2754" s="35">
        <v>46147.398143344908</v>
      </c>
    </row>
    <row r="2755" spans="2:8" x14ac:dyDescent="0.2">
      <c r="B2755" s="32">
        <v>46144</v>
      </c>
      <c r="C2755" t="s">
        <v>1517</v>
      </c>
      <c r="D2755" t="s">
        <v>166</v>
      </c>
      <c r="E2755" s="13" t="s">
        <v>530</v>
      </c>
      <c r="F2755" s="12">
        <v>3</v>
      </c>
      <c r="G2755" s="12">
        <v>138655.45000000001</v>
      </c>
      <c r="H2755" s="35">
        <v>46147.398143344908</v>
      </c>
    </row>
    <row r="2756" spans="2:8" x14ac:dyDescent="0.2">
      <c r="B2756" s="32">
        <v>46144</v>
      </c>
      <c r="C2756" t="s">
        <v>1517</v>
      </c>
      <c r="D2756" t="s">
        <v>352</v>
      </c>
      <c r="E2756" s="13" t="s">
        <v>530</v>
      </c>
      <c r="F2756" s="12">
        <v>3</v>
      </c>
      <c r="G2756" s="12">
        <v>113445.38</v>
      </c>
      <c r="H2756" s="35">
        <v>46147.398143344908</v>
      </c>
    </row>
    <row r="2757" spans="2:8" x14ac:dyDescent="0.2">
      <c r="B2757" s="32">
        <v>46144</v>
      </c>
      <c r="C2757" t="s">
        <v>1517</v>
      </c>
      <c r="D2757" t="s">
        <v>177</v>
      </c>
      <c r="E2757" s="13" t="s">
        <v>530</v>
      </c>
      <c r="F2757" s="12">
        <v>2</v>
      </c>
      <c r="G2757" s="12">
        <v>100840.34</v>
      </c>
      <c r="H2757" s="35">
        <v>46147.398143344908</v>
      </c>
    </row>
    <row r="2758" spans="2:8" x14ac:dyDescent="0.2">
      <c r="B2758" s="32">
        <v>46144</v>
      </c>
      <c r="C2758" t="s">
        <v>1517</v>
      </c>
      <c r="D2758" t="s">
        <v>334</v>
      </c>
      <c r="E2758" s="13" t="s">
        <v>530</v>
      </c>
      <c r="F2758" s="12">
        <v>2</v>
      </c>
      <c r="G2758" s="12">
        <v>100840.34</v>
      </c>
      <c r="H2758" s="35">
        <v>46147.398143344908</v>
      </c>
    </row>
    <row r="2759" spans="2:8" x14ac:dyDescent="0.2">
      <c r="B2759" s="32">
        <v>46144</v>
      </c>
      <c r="C2759" t="s">
        <v>1517</v>
      </c>
      <c r="D2759" t="s">
        <v>151</v>
      </c>
      <c r="E2759" s="13" t="s">
        <v>530</v>
      </c>
      <c r="F2759" s="12">
        <v>2</v>
      </c>
      <c r="G2759" s="12">
        <v>92436.98</v>
      </c>
      <c r="H2759" s="35">
        <v>46147.398143344908</v>
      </c>
    </row>
    <row r="2760" spans="2:8" x14ac:dyDescent="0.2">
      <c r="B2760" s="32">
        <v>46144</v>
      </c>
      <c r="C2760" t="s">
        <v>1517</v>
      </c>
      <c r="D2760" t="s">
        <v>154</v>
      </c>
      <c r="E2760" s="13" t="s">
        <v>529</v>
      </c>
      <c r="F2760" s="12">
        <v>2</v>
      </c>
      <c r="G2760" s="12">
        <v>92436.97</v>
      </c>
      <c r="H2760" s="35">
        <v>46147.398143344908</v>
      </c>
    </row>
    <row r="2761" spans="2:8" x14ac:dyDescent="0.2">
      <c r="B2761" s="32">
        <v>46144</v>
      </c>
      <c r="C2761" t="s">
        <v>1517</v>
      </c>
      <c r="D2761" t="s">
        <v>411</v>
      </c>
      <c r="E2761" s="13" t="s">
        <v>530</v>
      </c>
      <c r="F2761" s="12">
        <v>2</v>
      </c>
      <c r="G2761" s="12">
        <v>84033.62</v>
      </c>
      <c r="H2761" s="35">
        <v>46147.398143344908</v>
      </c>
    </row>
    <row r="2762" spans="2:8" x14ac:dyDescent="0.2">
      <c r="B2762" s="32">
        <v>46144</v>
      </c>
      <c r="C2762" t="s">
        <v>1517</v>
      </c>
      <c r="D2762" t="s">
        <v>2078</v>
      </c>
      <c r="E2762" s="13" t="s">
        <v>529</v>
      </c>
      <c r="F2762" s="12">
        <v>2</v>
      </c>
      <c r="G2762" s="12">
        <v>84033.61</v>
      </c>
      <c r="H2762" s="35">
        <v>46147.398143344908</v>
      </c>
    </row>
    <row r="2763" spans="2:8" x14ac:dyDescent="0.2">
      <c r="B2763" s="32">
        <v>46144</v>
      </c>
      <c r="C2763" t="s">
        <v>1517</v>
      </c>
      <c r="D2763" t="s">
        <v>2078</v>
      </c>
      <c r="E2763" s="13" t="s">
        <v>530</v>
      </c>
      <c r="F2763" s="12">
        <v>2</v>
      </c>
      <c r="G2763" s="12">
        <v>84033.61</v>
      </c>
      <c r="H2763" s="35">
        <v>46147.398143344908</v>
      </c>
    </row>
    <row r="2764" spans="2:8" x14ac:dyDescent="0.2">
      <c r="B2764" s="32">
        <v>46144</v>
      </c>
      <c r="C2764" t="s">
        <v>1517</v>
      </c>
      <c r="D2764" t="s">
        <v>348</v>
      </c>
      <c r="E2764" s="13" t="s">
        <v>529</v>
      </c>
      <c r="F2764" s="12">
        <v>1</v>
      </c>
      <c r="G2764" s="12">
        <v>75630.25</v>
      </c>
      <c r="H2764" s="35">
        <v>46147.398143344908</v>
      </c>
    </row>
    <row r="2765" spans="2:8" x14ac:dyDescent="0.2">
      <c r="B2765" s="32">
        <v>46144</v>
      </c>
      <c r="C2765" t="s">
        <v>1517</v>
      </c>
      <c r="D2765" t="s">
        <v>146</v>
      </c>
      <c r="E2765" s="13" t="s">
        <v>530</v>
      </c>
      <c r="F2765" s="12">
        <v>2</v>
      </c>
      <c r="G2765" s="12">
        <v>75630.25</v>
      </c>
      <c r="H2765" s="35">
        <v>46147.398143344908</v>
      </c>
    </row>
    <row r="2766" spans="2:8" x14ac:dyDescent="0.2">
      <c r="B2766" s="32">
        <v>46144</v>
      </c>
      <c r="C2766" t="s">
        <v>1517</v>
      </c>
      <c r="D2766" t="s">
        <v>143</v>
      </c>
      <c r="E2766" s="13" t="s">
        <v>530</v>
      </c>
      <c r="F2766" s="12">
        <v>2</v>
      </c>
      <c r="G2766" s="12">
        <v>58823.519999999997</v>
      </c>
      <c r="H2766" s="35">
        <v>46147.398143344908</v>
      </c>
    </row>
    <row r="2767" spans="2:8" x14ac:dyDescent="0.2">
      <c r="B2767" s="32">
        <v>46144</v>
      </c>
      <c r="C2767" t="s">
        <v>1517</v>
      </c>
      <c r="D2767" t="s">
        <v>2078</v>
      </c>
      <c r="E2767" s="13"/>
      <c r="F2767" s="12">
        <v>1</v>
      </c>
      <c r="G2767" s="12">
        <v>42016.81</v>
      </c>
      <c r="H2767" s="35">
        <v>46147.398143344908</v>
      </c>
    </row>
    <row r="2768" spans="2:8" x14ac:dyDescent="0.2">
      <c r="B2768" s="32">
        <v>46144</v>
      </c>
      <c r="C2768" t="s">
        <v>1517</v>
      </c>
      <c r="D2768" t="s">
        <v>146</v>
      </c>
      <c r="E2768" s="13" t="s">
        <v>529</v>
      </c>
      <c r="F2768" s="12">
        <v>1</v>
      </c>
      <c r="G2768" s="12">
        <v>37815.129999999997</v>
      </c>
      <c r="H2768" s="35">
        <v>46147.398143344908</v>
      </c>
    </row>
    <row r="2769" spans="2:8" x14ac:dyDescent="0.2">
      <c r="B2769" s="32">
        <v>46144</v>
      </c>
      <c r="C2769" t="s">
        <v>1517</v>
      </c>
      <c r="D2769" t="s">
        <v>171</v>
      </c>
      <c r="E2769" s="13" t="s">
        <v>529</v>
      </c>
      <c r="F2769" s="12">
        <v>1</v>
      </c>
      <c r="G2769" s="12">
        <v>37815.129999999997</v>
      </c>
      <c r="H2769" s="35">
        <v>46147.398143344908</v>
      </c>
    </row>
    <row r="2770" spans="2:8" x14ac:dyDescent="0.2">
      <c r="B2770" s="32">
        <v>46144</v>
      </c>
      <c r="C2770" t="s">
        <v>1517</v>
      </c>
      <c r="D2770" t="s">
        <v>178</v>
      </c>
      <c r="E2770" s="13" t="s">
        <v>530</v>
      </c>
      <c r="F2770" s="12">
        <v>2</v>
      </c>
      <c r="G2770" s="12">
        <v>33613.449999999997</v>
      </c>
      <c r="H2770" s="35">
        <v>46147.398143344908</v>
      </c>
    </row>
    <row r="2771" spans="2:8" x14ac:dyDescent="0.2">
      <c r="B2771" s="32">
        <v>46144</v>
      </c>
      <c r="C2771" t="s">
        <v>1517</v>
      </c>
      <c r="D2771" t="s">
        <v>1518</v>
      </c>
      <c r="E2771" s="13" t="s">
        <v>530</v>
      </c>
      <c r="F2771" s="12">
        <v>2</v>
      </c>
      <c r="G2771" s="12">
        <v>0</v>
      </c>
      <c r="H2771" s="35">
        <v>46147.398143344908</v>
      </c>
    </row>
    <row r="2772" spans="2:8" x14ac:dyDescent="0.2">
      <c r="B2772" s="32">
        <v>46144</v>
      </c>
      <c r="C2772" t="s">
        <v>140</v>
      </c>
      <c r="D2772" t="s">
        <v>350</v>
      </c>
      <c r="E2772" s="13" t="s">
        <v>529</v>
      </c>
      <c r="F2772" s="12">
        <v>2</v>
      </c>
      <c r="G2772" s="12">
        <v>126050.42</v>
      </c>
      <c r="H2772" s="35">
        <v>46147.398143344908</v>
      </c>
    </row>
    <row r="2773" spans="2:8" x14ac:dyDescent="0.2">
      <c r="B2773" s="32">
        <v>46144</v>
      </c>
      <c r="C2773" t="s">
        <v>140</v>
      </c>
      <c r="D2773" t="s">
        <v>562</v>
      </c>
      <c r="E2773" s="13" t="s">
        <v>530</v>
      </c>
      <c r="F2773" s="12">
        <v>1</v>
      </c>
      <c r="G2773" s="12">
        <v>100840.34</v>
      </c>
      <c r="H2773" s="35">
        <v>46147.398143344908</v>
      </c>
    </row>
    <row r="2774" spans="2:8" x14ac:dyDescent="0.2">
      <c r="B2774" s="32">
        <v>46144</v>
      </c>
      <c r="C2774" t="s">
        <v>140</v>
      </c>
      <c r="D2774" t="s">
        <v>164</v>
      </c>
      <c r="E2774" s="13" t="s">
        <v>529</v>
      </c>
      <c r="F2774" s="12">
        <v>2</v>
      </c>
      <c r="G2774" s="12">
        <v>84033.62</v>
      </c>
      <c r="H2774" s="35">
        <v>46147.398143344908</v>
      </c>
    </row>
    <row r="2775" spans="2:8" x14ac:dyDescent="0.2">
      <c r="B2775" s="32">
        <v>46144</v>
      </c>
      <c r="C2775" t="s">
        <v>140</v>
      </c>
      <c r="D2775" t="s">
        <v>307</v>
      </c>
      <c r="E2775" s="13" t="s">
        <v>529</v>
      </c>
      <c r="F2775" s="12">
        <v>2</v>
      </c>
      <c r="G2775" s="12">
        <v>84033.61</v>
      </c>
      <c r="H2775" s="35">
        <v>46147.398143344908</v>
      </c>
    </row>
    <row r="2776" spans="2:8" x14ac:dyDescent="0.2">
      <c r="B2776" s="32">
        <v>46144</v>
      </c>
      <c r="C2776" t="s">
        <v>140</v>
      </c>
      <c r="D2776" t="s">
        <v>181</v>
      </c>
      <c r="E2776" s="13" t="s">
        <v>529</v>
      </c>
      <c r="F2776" s="12">
        <v>1</v>
      </c>
      <c r="G2776" s="12">
        <v>84033.61</v>
      </c>
      <c r="H2776" s="35">
        <v>46147.398143344908</v>
      </c>
    </row>
    <row r="2777" spans="2:8" x14ac:dyDescent="0.2">
      <c r="B2777" s="32">
        <v>46144</v>
      </c>
      <c r="C2777" t="s">
        <v>140</v>
      </c>
      <c r="D2777" t="s">
        <v>244</v>
      </c>
      <c r="E2777" s="13" t="s">
        <v>529</v>
      </c>
      <c r="F2777" s="12">
        <v>2</v>
      </c>
      <c r="G2777" s="12">
        <v>84033.61</v>
      </c>
      <c r="H2777" s="35">
        <v>46147.398143344908</v>
      </c>
    </row>
    <row r="2778" spans="2:8" x14ac:dyDescent="0.2">
      <c r="B2778" s="32">
        <v>46144</v>
      </c>
      <c r="C2778" t="s">
        <v>140</v>
      </c>
      <c r="D2778" t="s">
        <v>272</v>
      </c>
      <c r="E2778" s="13" t="s">
        <v>529</v>
      </c>
      <c r="F2778" s="12">
        <v>1</v>
      </c>
      <c r="G2778" s="12">
        <v>58823.519999999997</v>
      </c>
      <c r="H2778" s="35">
        <v>46147.398143344908</v>
      </c>
    </row>
    <row r="2779" spans="2:8" x14ac:dyDescent="0.2">
      <c r="B2779" s="32">
        <v>46144</v>
      </c>
      <c r="C2779" t="s">
        <v>140</v>
      </c>
      <c r="D2779" t="s">
        <v>414</v>
      </c>
      <c r="E2779" s="13" t="s">
        <v>530</v>
      </c>
      <c r="F2779" s="12">
        <v>1</v>
      </c>
      <c r="G2779" s="12">
        <v>54621.85</v>
      </c>
      <c r="H2779" s="35">
        <v>46147.398143344908</v>
      </c>
    </row>
    <row r="2780" spans="2:8" x14ac:dyDescent="0.2">
      <c r="B2780" s="32">
        <v>46144</v>
      </c>
      <c r="C2780" t="s">
        <v>109</v>
      </c>
      <c r="D2780" t="s">
        <v>610</v>
      </c>
      <c r="E2780" s="13" t="s">
        <v>530</v>
      </c>
      <c r="F2780" s="12">
        <v>1</v>
      </c>
      <c r="G2780" s="12">
        <v>193277.31</v>
      </c>
      <c r="H2780" s="35">
        <v>46147.398143344908</v>
      </c>
    </row>
    <row r="2781" spans="2:8" x14ac:dyDescent="0.2">
      <c r="B2781" s="32">
        <v>46144</v>
      </c>
      <c r="C2781" t="s">
        <v>109</v>
      </c>
      <c r="D2781" t="s">
        <v>346</v>
      </c>
      <c r="E2781" s="13" t="s">
        <v>529</v>
      </c>
      <c r="F2781" s="12">
        <v>2</v>
      </c>
      <c r="G2781" s="12">
        <v>100840.34</v>
      </c>
      <c r="H2781" s="35">
        <v>46147.398143344908</v>
      </c>
    </row>
    <row r="2782" spans="2:8" x14ac:dyDescent="0.2">
      <c r="B2782" s="32">
        <v>46144</v>
      </c>
      <c r="C2782" t="s">
        <v>109</v>
      </c>
      <c r="D2782" t="s">
        <v>156</v>
      </c>
      <c r="E2782" s="13" t="s">
        <v>529</v>
      </c>
      <c r="F2782" s="12">
        <v>2</v>
      </c>
      <c r="G2782" s="12">
        <v>92436.97</v>
      </c>
      <c r="H2782" s="35">
        <v>46147.398143344908</v>
      </c>
    </row>
    <row r="2783" spans="2:8" x14ac:dyDescent="0.2">
      <c r="B2783" s="32">
        <v>46144</v>
      </c>
      <c r="C2783" t="s">
        <v>109</v>
      </c>
      <c r="D2783" t="s">
        <v>641</v>
      </c>
      <c r="E2783" s="13" t="s">
        <v>529</v>
      </c>
      <c r="F2783" s="12">
        <v>2</v>
      </c>
      <c r="G2783" s="12">
        <v>84033.61</v>
      </c>
      <c r="H2783" s="35">
        <v>46147.398143344908</v>
      </c>
    </row>
    <row r="2784" spans="2:8" x14ac:dyDescent="0.2">
      <c r="B2784" s="32">
        <v>46144</v>
      </c>
      <c r="C2784" t="s">
        <v>109</v>
      </c>
      <c r="D2784" t="s">
        <v>490</v>
      </c>
      <c r="E2784" s="13" t="s">
        <v>529</v>
      </c>
      <c r="F2784" s="12">
        <v>2</v>
      </c>
      <c r="G2784" s="12">
        <v>75630.259999999995</v>
      </c>
      <c r="H2784" s="35">
        <v>46147.398143344908</v>
      </c>
    </row>
    <row r="2785" spans="2:8" x14ac:dyDescent="0.2">
      <c r="B2785" s="32">
        <v>46144</v>
      </c>
      <c r="C2785" t="s">
        <v>109</v>
      </c>
      <c r="D2785" t="s">
        <v>177</v>
      </c>
      <c r="E2785" s="13" t="s">
        <v>529</v>
      </c>
      <c r="F2785" s="12">
        <v>1</v>
      </c>
      <c r="G2785" s="12">
        <v>50420.17</v>
      </c>
      <c r="H2785" s="35">
        <v>46147.398143344908</v>
      </c>
    </row>
    <row r="2786" spans="2:8" x14ac:dyDescent="0.2">
      <c r="B2786" s="32">
        <v>46144</v>
      </c>
      <c r="C2786" t="s">
        <v>109</v>
      </c>
      <c r="D2786" t="s">
        <v>142</v>
      </c>
      <c r="E2786" s="13" t="s">
        <v>530</v>
      </c>
      <c r="F2786" s="12">
        <v>3</v>
      </c>
      <c r="G2786" s="12">
        <v>47058.82</v>
      </c>
      <c r="H2786" s="35">
        <v>46147.398143344908</v>
      </c>
    </row>
    <row r="2787" spans="2:8" x14ac:dyDescent="0.2">
      <c r="B2787" s="32">
        <v>46144</v>
      </c>
      <c r="C2787" t="s">
        <v>109</v>
      </c>
      <c r="D2787" t="s">
        <v>238</v>
      </c>
      <c r="E2787" s="13" t="s">
        <v>530</v>
      </c>
      <c r="F2787" s="12">
        <v>1</v>
      </c>
      <c r="G2787" s="12">
        <v>46218.49</v>
      </c>
      <c r="H2787" s="35">
        <v>46147.398143344908</v>
      </c>
    </row>
    <row r="2788" spans="2:8" x14ac:dyDescent="0.2">
      <c r="B2788" s="32">
        <v>46144</v>
      </c>
      <c r="C2788" t="s">
        <v>109</v>
      </c>
      <c r="D2788" t="s">
        <v>178</v>
      </c>
      <c r="E2788" s="13" t="s">
        <v>530</v>
      </c>
      <c r="F2788" s="12">
        <v>1</v>
      </c>
      <c r="G2788" s="12">
        <v>16806.72</v>
      </c>
      <c r="H2788" s="35">
        <v>46147.398143344908</v>
      </c>
    </row>
    <row r="2789" spans="2:8" x14ac:dyDescent="0.2">
      <c r="B2789" s="32">
        <v>46145</v>
      </c>
      <c r="C2789" t="s">
        <v>1517</v>
      </c>
      <c r="D2789" t="s">
        <v>635</v>
      </c>
      <c r="E2789" s="13" t="s">
        <v>529</v>
      </c>
      <c r="F2789" s="12">
        <v>3</v>
      </c>
      <c r="G2789" s="12">
        <v>378151.26</v>
      </c>
      <c r="H2789" s="35">
        <v>46147.398143344908</v>
      </c>
    </row>
    <row r="2790" spans="2:8" x14ac:dyDescent="0.2">
      <c r="B2790" s="32">
        <v>46145</v>
      </c>
      <c r="C2790" t="s">
        <v>1517</v>
      </c>
      <c r="D2790" t="s">
        <v>342</v>
      </c>
      <c r="E2790" s="13" t="s">
        <v>530</v>
      </c>
      <c r="F2790" s="12">
        <v>2</v>
      </c>
      <c r="G2790" s="12">
        <v>218487.4</v>
      </c>
      <c r="H2790" s="35">
        <v>46147.398143344908</v>
      </c>
    </row>
    <row r="2791" spans="2:8" x14ac:dyDescent="0.2">
      <c r="B2791" s="32">
        <v>46145</v>
      </c>
      <c r="C2791" t="s">
        <v>1517</v>
      </c>
      <c r="D2791" t="s">
        <v>154</v>
      </c>
      <c r="E2791" s="13" t="s">
        <v>530</v>
      </c>
      <c r="F2791" s="12">
        <v>4</v>
      </c>
      <c r="G2791" s="12">
        <v>184873.95</v>
      </c>
      <c r="H2791" s="35">
        <v>46147.398143344908</v>
      </c>
    </row>
    <row r="2792" spans="2:8" x14ac:dyDescent="0.2">
      <c r="B2792" s="32">
        <v>46145</v>
      </c>
      <c r="C2792" t="s">
        <v>1517</v>
      </c>
      <c r="D2792" t="s">
        <v>154</v>
      </c>
      <c r="E2792" s="13" t="s">
        <v>529</v>
      </c>
      <c r="F2792" s="12">
        <v>4</v>
      </c>
      <c r="G2792" s="12">
        <v>184873.94</v>
      </c>
      <c r="H2792" s="35">
        <v>46147.398143344908</v>
      </c>
    </row>
    <row r="2793" spans="2:8" x14ac:dyDescent="0.2">
      <c r="B2793" s="32">
        <v>46145</v>
      </c>
      <c r="C2793" t="s">
        <v>1517</v>
      </c>
      <c r="D2793" t="s">
        <v>554</v>
      </c>
      <c r="E2793" s="13" t="s">
        <v>530</v>
      </c>
      <c r="F2793" s="12">
        <v>2</v>
      </c>
      <c r="G2793" s="12">
        <v>168067.24</v>
      </c>
      <c r="H2793" s="35">
        <v>46147.398143344908</v>
      </c>
    </row>
    <row r="2794" spans="2:8" x14ac:dyDescent="0.2">
      <c r="B2794" s="32">
        <v>46145</v>
      </c>
      <c r="C2794" t="s">
        <v>1517</v>
      </c>
      <c r="D2794" t="s">
        <v>315</v>
      </c>
      <c r="E2794" s="13" t="s">
        <v>530</v>
      </c>
      <c r="F2794" s="12">
        <v>3</v>
      </c>
      <c r="G2794" s="12">
        <v>163865.54999999999</v>
      </c>
      <c r="H2794" s="35">
        <v>46147.398143344908</v>
      </c>
    </row>
    <row r="2795" spans="2:8" x14ac:dyDescent="0.2">
      <c r="B2795" s="32">
        <v>46145</v>
      </c>
      <c r="C2795" t="s">
        <v>1517</v>
      </c>
      <c r="D2795" t="s">
        <v>283</v>
      </c>
      <c r="E2795" s="13" t="s">
        <v>530</v>
      </c>
      <c r="F2795" s="12">
        <v>2</v>
      </c>
      <c r="G2795" s="12">
        <v>155462.18</v>
      </c>
      <c r="H2795" s="35">
        <v>46147.398143344908</v>
      </c>
    </row>
    <row r="2796" spans="2:8" x14ac:dyDescent="0.2">
      <c r="B2796" s="32">
        <v>46145</v>
      </c>
      <c r="C2796" t="s">
        <v>1517</v>
      </c>
      <c r="D2796" t="s">
        <v>1511</v>
      </c>
      <c r="E2796" s="13" t="s">
        <v>530</v>
      </c>
      <c r="F2796" s="12">
        <v>1</v>
      </c>
      <c r="G2796" s="12">
        <v>109243.7</v>
      </c>
      <c r="H2796" s="35">
        <v>46147.398143344908</v>
      </c>
    </row>
    <row r="2797" spans="2:8" x14ac:dyDescent="0.2">
      <c r="B2797" s="32">
        <v>46145</v>
      </c>
      <c r="C2797" t="s">
        <v>1517</v>
      </c>
      <c r="D2797" t="s">
        <v>507</v>
      </c>
      <c r="E2797" s="13" t="s">
        <v>530</v>
      </c>
      <c r="F2797" s="12">
        <v>2</v>
      </c>
      <c r="G2797" s="12">
        <v>109243.7</v>
      </c>
      <c r="H2797" s="35">
        <v>46147.398143344908</v>
      </c>
    </row>
    <row r="2798" spans="2:8" x14ac:dyDescent="0.2">
      <c r="B2798" s="32">
        <v>46145</v>
      </c>
      <c r="C2798" t="s">
        <v>1517</v>
      </c>
      <c r="D2798" t="s">
        <v>314</v>
      </c>
      <c r="E2798" s="13" t="s">
        <v>530</v>
      </c>
      <c r="F2798" s="12">
        <v>1</v>
      </c>
      <c r="G2798" s="12">
        <v>109243.7</v>
      </c>
      <c r="H2798" s="35">
        <v>46147.398143344908</v>
      </c>
    </row>
    <row r="2799" spans="2:8" x14ac:dyDescent="0.2">
      <c r="B2799" s="32">
        <v>46145</v>
      </c>
      <c r="C2799" t="s">
        <v>1517</v>
      </c>
      <c r="D2799" t="s">
        <v>611</v>
      </c>
      <c r="E2799" s="13" t="s">
        <v>530</v>
      </c>
      <c r="F2799" s="12">
        <v>2</v>
      </c>
      <c r="G2799" s="12">
        <v>100840.34</v>
      </c>
      <c r="H2799" s="35">
        <v>46147.398143344908</v>
      </c>
    </row>
    <row r="2800" spans="2:8" x14ac:dyDescent="0.2">
      <c r="B2800" s="32">
        <v>46145</v>
      </c>
      <c r="C2800" t="s">
        <v>1517</v>
      </c>
      <c r="D2800" t="s">
        <v>149</v>
      </c>
      <c r="E2800" s="13" t="s">
        <v>530</v>
      </c>
      <c r="F2800" s="12">
        <v>2</v>
      </c>
      <c r="G2800" s="12">
        <v>100840.34</v>
      </c>
      <c r="H2800" s="35">
        <v>46147.398143344908</v>
      </c>
    </row>
    <row r="2801" spans="2:8" x14ac:dyDescent="0.2">
      <c r="B2801" s="32">
        <v>46145</v>
      </c>
      <c r="C2801" t="s">
        <v>1517</v>
      </c>
      <c r="D2801" t="s">
        <v>151</v>
      </c>
      <c r="E2801" s="13" t="s">
        <v>529</v>
      </c>
      <c r="F2801" s="12">
        <v>2</v>
      </c>
      <c r="G2801" s="12">
        <v>92436.98</v>
      </c>
      <c r="H2801" s="35">
        <v>46147.398143344908</v>
      </c>
    </row>
    <row r="2802" spans="2:8" x14ac:dyDescent="0.2">
      <c r="B2802" s="32">
        <v>46145</v>
      </c>
      <c r="C2802" t="s">
        <v>1517</v>
      </c>
      <c r="D2802" t="s">
        <v>166</v>
      </c>
      <c r="E2802" s="13" t="s">
        <v>529</v>
      </c>
      <c r="F2802" s="12">
        <v>2</v>
      </c>
      <c r="G2802" s="12">
        <v>92436.98</v>
      </c>
      <c r="H2802" s="35">
        <v>46147.398143344908</v>
      </c>
    </row>
    <row r="2803" spans="2:8" x14ac:dyDescent="0.2">
      <c r="B2803" s="32">
        <v>46145</v>
      </c>
      <c r="C2803" t="s">
        <v>1517</v>
      </c>
      <c r="D2803" t="s">
        <v>238</v>
      </c>
      <c r="E2803" s="13" t="s">
        <v>529</v>
      </c>
      <c r="F2803" s="12">
        <v>2</v>
      </c>
      <c r="G2803" s="12">
        <v>92436.97</v>
      </c>
      <c r="H2803" s="35">
        <v>46147.398143344908</v>
      </c>
    </row>
    <row r="2804" spans="2:8" x14ac:dyDescent="0.2">
      <c r="B2804" s="32">
        <v>46145</v>
      </c>
      <c r="C2804" t="s">
        <v>1517</v>
      </c>
      <c r="D2804" t="s">
        <v>148</v>
      </c>
      <c r="E2804" s="13" t="s">
        <v>529</v>
      </c>
      <c r="F2804" s="12">
        <v>2</v>
      </c>
      <c r="G2804" s="12">
        <v>92436.97</v>
      </c>
      <c r="H2804" s="35">
        <v>46147.398143344908</v>
      </c>
    </row>
    <row r="2805" spans="2:8" x14ac:dyDescent="0.2">
      <c r="B2805" s="32">
        <v>46145</v>
      </c>
      <c r="C2805" t="s">
        <v>1517</v>
      </c>
      <c r="D2805" t="s">
        <v>143</v>
      </c>
      <c r="E2805" s="13" t="s">
        <v>530</v>
      </c>
      <c r="F2805" s="12">
        <v>3</v>
      </c>
      <c r="G2805" s="12">
        <v>88235.28</v>
      </c>
      <c r="H2805" s="35">
        <v>46147.398143344908</v>
      </c>
    </row>
    <row r="2806" spans="2:8" x14ac:dyDescent="0.2">
      <c r="B2806" s="32">
        <v>46145</v>
      </c>
      <c r="C2806" t="s">
        <v>1517</v>
      </c>
      <c r="D2806" t="s">
        <v>201</v>
      </c>
      <c r="E2806" s="13" t="s">
        <v>530</v>
      </c>
      <c r="F2806" s="12">
        <v>2</v>
      </c>
      <c r="G2806" s="12">
        <v>84033.62</v>
      </c>
      <c r="H2806" s="35">
        <v>46147.398143344908</v>
      </c>
    </row>
    <row r="2807" spans="2:8" x14ac:dyDescent="0.2">
      <c r="B2807" s="32">
        <v>46145</v>
      </c>
      <c r="C2807" t="s">
        <v>1517</v>
      </c>
      <c r="D2807" t="s">
        <v>2078</v>
      </c>
      <c r="E2807" s="13" t="s">
        <v>530</v>
      </c>
      <c r="F2807" s="12">
        <v>2</v>
      </c>
      <c r="G2807" s="12">
        <v>84033.61</v>
      </c>
      <c r="H2807" s="35">
        <v>46147.398143344908</v>
      </c>
    </row>
    <row r="2808" spans="2:8" x14ac:dyDescent="0.2">
      <c r="B2808" s="32">
        <v>46145</v>
      </c>
      <c r="C2808" t="s">
        <v>1517</v>
      </c>
      <c r="D2808" t="s">
        <v>1880</v>
      </c>
      <c r="E2808" s="13" t="s">
        <v>530</v>
      </c>
      <c r="F2808" s="12">
        <v>4</v>
      </c>
      <c r="G2808" s="12">
        <v>84033.600000000006</v>
      </c>
      <c r="H2808" s="35">
        <v>46147.398143344908</v>
      </c>
    </row>
    <row r="2809" spans="2:8" x14ac:dyDescent="0.2">
      <c r="B2809" s="32">
        <v>46145</v>
      </c>
      <c r="C2809" t="s">
        <v>1517</v>
      </c>
      <c r="D2809" t="s">
        <v>423</v>
      </c>
      <c r="E2809" s="13" t="s">
        <v>530</v>
      </c>
      <c r="F2809" s="12">
        <v>2</v>
      </c>
      <c r="G2809" s="12">
        <v>75630.259999999995</v>
      </c>
      <c r="H2809" s="35">
        <v>46147.398143344908</v>
      </c>
    </row>
    <row r="2810" spans="2:8" x14ac:dyDescent="0.2">
      <c r="B2810" s="32">
        <v>46145</v>
      </c>
      <c r="C2810" t="s">
        <v>1517</v>
      </c>
      <c r="D2810" t="s">
        <v>204</v>
      </c>
      <c r="E2810" s="13" t="s">
        <v>529</v>
      </c>
      <c r="F2810" s="12">
        <v>2</v>
      </c>
      <c r="G2810" s="12">
        <v>75630.25</v>
      </c>
      <c r="H2810" s="35">
        <v>46147.398143344908</v>
      </c>
    </row>
    <row r="2811" spans="2:8" x14ac:dyDescent="0.2">
      <c r="B2811" s="32">
        <v>46145</v>
      </c>
      <c r="C2811" t="s">
        <v>1517</v>
      </c>
      <c r="D2811" t="s">
        <v>465</v>
      </c>
      <c r="E2811" s="13" t="s">
        <v>530</v>
      </c>
      <c r="F2811" s="12">
        <v>1</v>
      </c>
      <c r="G2811" s="12">
        <v>75630.25</v>
      </c>
      <c r="H2811" s="35">
        <v>46147.398143344908</v>
      </c>
    </row>
    <row r="2812" spans="2:8" x14ac:dyDescent="0.2">
      <c r="B2812" s="32">
        <v>46145</v>
      </c>
      <c r="C2812" t="s">
        <v>1517</v>
      </c>
      <c r="D2812" t="s">
        <v>468</v>
      </c>
      <c r="E2812" s="13" t="s">
        <v>530</v>
      </c>
      <c r="F2812" s="12">
        <v>1</v>
      </c>
      <c r="G2812" s="12">
        <v>63025.21</v>
      </c>
      <c r="H2812" s="35">
        <v>46147.398143344908</v>
      </c>
    </row>
    <row r="2813" spans="2:8" x14ac:dyDescent="0.2">
      <c r="B2813" s="32">
        <v>46145</v>
      </c>
      <c r="C2813" t="s">
        <v>1517</v>
      </c>
      <c r="D2813" t="s">
        <v>143</v>
      </c>
      <c r="E2813" s="13" t="s">
        <v>529</v>
      </c>
      <c r="F2813" s="12">
        <v>2</v>
      </c>
      <c r="G2813" s="12">
        <v>58823.519999999997</v>
      </c>
      <c r="H2813" s="35">
        <v>46147.398143344908</v>
      </c>
    </row>
    <row r="2814" spans="2:8" x14ac:dyDescent="0.2">
      <c r="B2814" s="32">
        <v>46145</v>
      </c>
      <c r="C2814" t="s">
        <v>1517</v>
      </c>
      <c r="D2814" t="s">
        <v>305</v>
      </c>
      <c r="E2814" s="13" t="s">
        <v>530</v>
      </c>
      <c r="F2814" s="12">
        <v>1</v>
      </c>
      <c r="G2814" s="12">
        <v>54621.85</v>
      </c>
      <c r="H2814" s="35">
        <v>46147.398143344908</v>
      </c>
    </row>
    <row r="2815" spans="2:8" x14ac:dyDescent="0.2">
      <c r="B2815" s="32">
        <v>46145</v>
      </c>
      <c r="C2815" t="s">
        <v>1517</v>
      </c>
      <c r="D2815" t="s">
        <v>193</v>
      </c>
      <c r="E2815" s="13" t="s">
        <v>529</v>
      </c>
      <c r="F2815" s="12">
        <v>1</v>
      </c>
      <c r="G2815" s="12">
        <v>50420.17</v>
      </c>
      <c r="H2815" s="35">
        <v>46147.398143344908</v>
      </c>
    </row>
    <row r="2816" spans="2:8" x14ac:dyDescent="0.2">
      <c r="B2816" s="32">
        <v>46145</v>
      </c>
      <c r="C2816" t="s">
        <v>1517</v>
      </c>
      <c r="D2816" t="s">
        <v>144</v>
      </c>
      <c r="E2816" s="13" t="s">
        <v>529</v>
      </c>
      <c r="F2816" s="12">
        <v>1</v>
      </c>
      <c r="G2816" s="12">
        <v>50420.17</v>
      </c>
      <c r="H2816" s="35">
        <v>46147.398143344908</v>
      </c>
    </row>
    <row r="2817" spans="2:8" x14ac:dyDescent="0.2">
      <c r="B2817" s="32">
        <v>46145</v>
      </c>
      <c r="C2817" t="s">
        <v>1517</v>
      </c>
      <c r="D2817" t="s">
        <v>335</v>
      </c>
      <c r="E2817" s="13" t="s">
        <v>530</v>
      </c>
      <c r="F2817" s="12">
        <v>1</v>
      </c>
      <c r="G2817" s="12">
        <v>50420.160000000003</v>
      </c>
      <c r="H2817" s="35">
        <v>46147.398143344908</v>
      </c>
    </row>
    <row r="2818" spans="2:8" x14ac:dyDescent="0.2">
      <c r="B2818" s="32">
        <v>46145</v>
      </c>
      <c r="C2818" t="s">
        <v>1517</v>
      </c>
      <c r="D2818" t="s">
        <v>490</v>
      </c>
      <c r="E2818" s="13" t="s">
        <v>529</v>
      </c>
      <c r="F2818" s="12">
        <v>1</v>
      </c>
      <c r="G2818" s="12">
        <v>37815.129999999997</v>
      </c>
      <c r="H2818" s="35">
        <v>46147.398143344908</v>
      </c>
    </row>
    <row r="2819" spans="2:8" x14ac:dyDescent="0.2">
      <c r="B2819" s="32">
        <v>46145</v>
      </c>
      <c r="C2819" t="s">
        <v>1517</v>
      </c>
      <c r="D2819" t="s">
        <v>291</v>
      </c>
      <c r="E2819" s="13" t="s">
        <v>530</v>
      </c>
      <c r="F2819" s="12">
        <v>1</v>
      </c>
      <c r="G2819" s="12">
        <v>37815.120000000003</v>
      </c>
      <c r="H2819" s="35">
        <v>46147.398143344908</v>
      </c>
    </row>
    <row r="2820" spans="2:8" x14ac:dyDescent="0.2">
      <c r="B2820" s="32">
        <v>46145</v>
      </c>
      <c r="C2820" t="s">
        <v>1517</v>
      </c>
      <c r="E2820" s="13" t="s">
        <v>530</v>
      </c>
      <c r="F2820" s="12">
        <v>2</v>
      </c>
      <c r="G2820" s="12">
        <v>0</v>
      </c>
      <c r="H2820" s="35">
        <v>46147.398143344908</v>
      </c>
    </row>
    <row r="2821" spans="2:8" x14ac:dyDescent="0.2">
      <c r="B2821" s="32">
        <v>46145</v>
      </c>
      <c r="C2821" t="s">
        <v>1517</v>
      </c>
      <c r="D2821" t="s">
        <v>1518</v>
      </c>
      <c r="E2821" s="13" t="s">
        <v>530</v>
      </c>
      <c r="F2821" s="12">
        <v>4</v>
      </c>
      <c r="G2821" s="12">
        <v>0</v>
      </c>
      <c r="H2821" s="35">
        <v>46147.398143344908</v>
      </c>
    </row>
    <row r="2822" spans="2:8" x14ac:dyDescent="0.2">
      <c r="B2822" s="32">
        <v>46145</v>
      </c>
      <c r="C2822" t="s">
        <v>140</v>
      </c>
      <c r="D2822" t="s">
        <v>489</v>
      </c>
      <c r="E2822" s="13" t="s">
        <v>529</v>
      </c>
      <c r="F2822" s="12">
        <v>2</v>
      </c>
      <c r="G2822" s="12">
        <v>84033.61</v>
      </c>
      <c r="H2822" s="35">
        <v>46147.398143344908</v>
      </c>
    </row>
    <row r="2823" spans="2:8" x14ac:dyDescent="0.2">
      <c r="B2823" s="32">
        <v>46145</v>
      </c>
      <c r="C2823" t="s">
        <v>140</v>
      </c>
      <c r="D2823" t="s">
        <v>1550</v>
      </c>
      <c r="E2823" s="13" t="s">
        <v>529</v>
      </c>
      <c r="F2823" s="12">
        <v>1</v>
      </c>
      <c r="G2823" s="12">
        <v>63025.21</v>
      </c>
      <c r="H2823" s="35">
        <v>46147.398143344908</v>
      </c>
    </row>
    <row r="2824" spans="2:8" x14ac:dyDescent="0.2">
      <c r="B2824" s="32">
        <v>46145</v>
      </c>
      <c r="C2824" t="s">
        <v>109</v>
      </c>
      <c r="D2824" t="s">
        <v>545</v>
      </c>
      <c r="E2824" s="13" t="s">
        <v>529</v>
      </c>
      <c r="F2824" s="12">
        <v>1</v>
      </c>
      <c r="G2824" s="12">
        <v>184873.95</v>
      </c>
      <c r="H2824" s="35">
        <v>46147.398143344908</v>
      </c>
    </row>
    <row r="2825" spans="2:8" x14ac:dyDescent="0.2">
      <c r="B2825" s="32">
        <v>46145</v>
      </c>
      <c r="C2825" t="s">
        <v>109</v>
      </c>
      <c r="D2825" t="s">
        <v>143</v>
      </c>
      <c r="E2825" s="13" t="s">
        <v>530</v>
      </c>
      <c r="F2825" s="12">
        <v>6</v>
      </c>
      <c r="G2825" s="12">
        <v>176470.59</v>
      </c>
      <c r="H2825" s="35">
        <v>46147.398143344908</v>
      </c>
    </row>
    <row r="2826" spans="2:8" x14ac:dyDescent="0.2">
      <c r="B2826" s="32">
        <v>46145</v>
      </c>
      <c r="C2826" t="s">
        <v>109</v>
      </c>
      <c r="D2826" t="s">
        <v>337</v>
      </c>
      <c r="E2826" s="13" t="s">
        <v>530</v>
      </c>
      <c r="F2826" s="12">
        <v>2</v>
      </c>
      <c r="G2826" s="12">
        <v>168067.23</v>
      </c>
      <c r="H2826" s="35">
        <v>46147.398143344908</v>
      </c>
    </row>
    <row r="2827" spans="2:8" x14ac:dyDescent="0.2">
      <c r="B2827" s="32">
        <v>46145</v>
      </c>
      <c r="C2827" t="s">
        <v>109</v>
      </c>
      <c r="D2827" t="s">
        <v>386</v>
      </c>
      <c r="E2827" s="13" t="s">
        <v>530</v>
      </c>
      <c r="F2827" s="12">
        <v>1</v>
      </c>
      <c r="G2827" s="12">
        <v>84033.61</v>
      </c>
      <c r="H2827" s="35">
        <v>46147.398143344908</v>
      </c>
    </row>
    <row r="2828" spans="2:8" x14ac:dyDescent="0.2">
      <c r="B2828" s="32">
        <v>46145</v>
      </c>
      <c r="C2828" t="s">
        <v>109</v>
      </c>
      <c r="D2828" t="s">
        <v>348</v>
      </c>
      <c r="E2828" s="13" t="s">
        <v>529</v>
      </c>
      <c r="F2828" s="12">
        <v>1</v>
      </c>
      <c r="G2828" s="12">
        <v>75630.25</v>
      </c>
      <c r="H2828" s="35">
        <v>46147.398143344908</v>
      </c>
    </row>
    <row r="2829" spans="2:8" x14ac:dyDescent="0.2">
      <c r="B2829" s="32">
        <v>46145</v>
      </c>
      <c r="C2829" t="s">
        <v>109</v>
      </c>
      <c r="D2829" t="s">
        <v>142</v>
      </c>
      <c r="E2829" s="13" t="s">
        <v>529</v>
      </c>
      <c r="F2829" s="12">
        <v>3</v>
      </c>
      <c r="G2829" s="12">
        <v>42016.800000000003</v>
      </c>
      <c r="H2829" s="35">
        <v>46147.398143344908</v>
      </c>
    </row>
    <row r="2830" spans="2:8" x14ac:dyDescent="0.2">
      <c r="B2830" s="32">
        <v>46145</v>
      </c>
      <c r="C2830" t="s">
        <v>109</v>
      </c>
      <c r="D2830" t="s">
        <v>191</v>
      </c>
      <c r="E2830" s="13" t="s">
        <v>530</v>
      </c>
      <c r="F2830" s="12">
        <v>1</v>
      </c>
      <c r="G2830" s="12">
        <v>37815.129999999997</v>
      </c>
      <c r="H2830" s="35">
        <v>46147.398143344908</v>
      </c>
    </row>
    <row r="2831" spans="2:8" x14ac:dyDescent="0.2">
      <c r="B2831" s="32">
        <v>46146</v>
      </c>
      <c r="C2831" t="s">
        <v>140</v>
      </c>
      <c r="D2831" t="s">
        <v>651</v>
      </c>
      <c r="E2831" s="13" t="s">
        <v>530</v>
      </c>
      <c r="F2831" s="12">
        <v>1</v>
      </c>
      <c r="G2831" s="12">
        <v>413445.38</v>
      </c>
      <c r="H2831" s="35">
        <v>46147.398143344908</v>
      </c>
    </row>
    <row r="2832" spans="2:8" x14ac:dyDescent="0.2">
      <c r="B2832" s="32">
        <v>46146</v>
      </c>
      <c r="C2832" t="s">
        <v>140</v>
      </c>
      <c r="D2832" t="s">
        <v>394</v>
      </c>
      <c r="E2832" s="13" t="s">
        <v>529</v>
      </c>
      <c r="F2832" s="12">
        <v>1</v>
      </c>
      <c r="G2832" s="12">
        <v>113445.38</v>
      </c>
      <c r="H2832" s="35">
        <v>46147.398143344908</v>
      </c>
    </row>
    <row r="2833" spans="2:8" x14ac:dyDescent="0.2">
      <c r="B2833" s="32">
        <v>46146</v>
      </c>
      <c r="C2833" t="s">
        <v>140</v>
      </c>
      <c r="D2833" t="s">
        <v>225</v>
      </c>
      <c r="E2833" s="13" t="s">
        <v>530</v>
      </c>
      <c r="F2833" s="12">
        <v>1</v>
      </c>
      <c r="G2833" s="12">
        <v>113445.38</v>
      </c>
      <c r="H2833" s="35">
        <v>46147.398143344908</v>
      </c>
    </row>
    <row r="2834" spans="2:8" x14ac:dyDescent="0.2">
      <c r="B2834" s="32">
        <v>46146</v>
      </c>
      <c r="C2834" t="s">
        <v>140</v>
      </c>
      <c r="D2834" t="s">
        <v>249</v>
      </c>
      <c r="E2834" s="13" t="s">
        <v>530</v>
      </c>
      <c r="F2834" s="12">
        <v>1</v>
      </c>
      <c r="G2834" s="12">
        <v>63025.21</v>
      </c>
      <c r="H2834" s="35">
        <v>46147.398143344908</v>
      </c>
    </row>
    <row r="2835" spans="2:8" x14ac:dyDescent="0.2">
      <c r="B2835" s="32">
        <v>46146</v>
      </c>
      <c r="C2835" t="s">
        <v>109</v>
      </c>
      <c r="D2835" t="s">
        <v>392</v>
      </c>
      <c r="E2835" s="13" t="s">
        <v>529</v>
      </c>
      <c r="F2835" s="12">
        <v>21</v>
      </c>
      <c r="G2835" s="12">
        <v>307651.48</v>
      </c>
      <c r="H2835" s="35">
        <v>46147.398143344908</v>
      </c>
    </row>
    <row r="2836" spans="2:8" x14ac:dyDescent="0.2">
      <c r="B2836" s="32">
        <v>46146</v>
      </c>
      <c r="C2836" t="s">
        <v>109</v>
      </c>
      <c r="D2836" t="s">
        <v>2079</v>
      </c>
      <c r="E2836" s="13" t="s">
        <v>529</v>
      </c>
      <c r="F2836" s="12">
        <v>2</v>
      </c>
      <c r="G2836" s="12">
        <v>277310.92</v>
      </c>
      <c r="H2836" s="35">
        <v>46147.398143344908</v>
      </c>
    </row>
    <row r="2837" spans="2:8" x14ac:dyDescent="0.2">
      <c r="B2837" s="32">
        <v>46146</v>
      </c>
      <c r="C2837" t="s">
        <v>109</v>
      </c>
      <c r="D2837" t="s">
        <v>154</v>
      </c>
      <c r="E2837" s="13" t="s">
        <v>530</v>
      </c>
      <c r="F2837" s="12">
        <v>2</v>
      </c>
      <c r="G2837" s="12">
        <v>92436.97</v>
      </c>
      <c r="H2837" s="35">
        <v>46147.398143344908</v>
      </c>
    </row>
    <row r="2838" spans="2:8" x14ac:dyDescent="0.2">
      <c r="B2838" s="32">
        <v>46146</v>
      </c>
      <c r="C2838" t="s">
        <v>109</v>
      </c>
      <c r="D2838" t="s">
        <v>169</v>
      </c>
      <c r="E2838" s="13" t="s">
        <v>529</v>
      </c>
      <c r="F2838" s="12">
        <v>3</v>
      </c>
      <c r="G2838" s="12">
        <v>88235.29</v>
      </c>
      <c r="H2838" s="35">
        <v>46147.398143344908</v>
      </c>
    </row>
    <row r="2839" spans="2:8" x14ac:dyDescent="0.2">
      <c r="B2839" s="32">
        <v>46146</v>
      </c>
      <c r="C2839" t="s">
        <v>109</v>
      </c>
      <c r="D2839" t="s">
        <v>155</v>
      </c>
      <c r="E2839" s="13" t="s">
        <v>530</v>
      </c>
      <c r="F2839" s="12">
        <v>1</v>
      </c>
      <c r="G2839" s="12">
        <v>84033.61</v>
      </c>
      <c r="H2839" s="35">
        <v>46147.398143344908</v>
      </c>
    </row>
    <row r="2840" spans="2:8" x14ac:dyDescent="0.2">
      <c r="B2840" s="32">
        <v>46146</v>
      </c>
      <c r="C2840" t="s">
        <v>109</v>
      </c>
      <c r="D2840" t="s">
        <v>1509</v>
      </c>
      <c r="E2840" s="13" t="s">
        <v>530</v>
      </c>
      <c r="F2840" s="12">
        <v>1</v>
      </c>
      <c r="G2840" s="12">
        <v>57142.86</v>
      </c>
      <c r="H2840" s="35">
        <v>46147.398143344908</v>
      </c>
    </row>
    <row r="2841" spans="2:8" x14ac:dyDescent="0.2">
      <c r="B2841" s="32">
        <v>46146</v>
      </c>
      <c r="C2841" t="s">
        <v>109</v>
      </c>
      <c r="D2841" t="s">
        <v>175</v>
      </c>
      <c r="E2841" s="13" t="s">
        <v>530</v>
      </c>
      <c r="F2841" s="12">
        <v>1</v>
      </c>
      <c r="G2841" s="12">
        <v>42016.81</v>
      </c>
      <c r="H2841" s="35">
        <v>46147.398143344908</v>
      </c>
    </row>
    <row r="2842" spans="2:8" x14ac:dyDescent="0.2">
      <c r="B2842" s="32">
        <v>46147</v>
      </c>
      <c r="C2842" t="s">
        <v>140</v>
      </c>
      <c r="D2842" t="s">
        <v>304</v>
      </c>
      <c r="E2842" s="13" t="s">
        <v>529</v>
      </c>
      <c r="F2842" s="12">
        <v>1</v>
      </c>
      <c r="G2842" s="12">
        <v>63025.21</v>
      </c>
      <c r="H2842" s="35">
        <v>46147.398143344908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6BA8-BA82-41F9-A8DE-217686B65859}">
  <sheetPr codeName="Sheet10"/>
  <dimension ref="B5:L277"/>
  <sheetViews>
    <sheetView workbookViewId="0">
      <selection activeCell="B5" sqref="B5:L277"/>
    </sheetView>
  </sheetViews>
  <sheetFormatPr defaultRowHeight="12" x14ac:dyDescent="0.2"/>
  <cols>
    <col min="2" max="2" width="10.83203125" bestFit="1" customWidth="1"/>
    <col min="3" max="3" width="60.83203125" bestFit="1" customWidth="1"/>
    <col min="4" max="4" width="22.1640625" bestFit="1" customWidth="1"/>
    <col min="5" max="5" width="22.83203125" bestFit="1" customWidth="1"/>
    <col min="6" max="6" width="14.33203125" bestFit="1" customWidth="1"/>
    <col min="7" max="7" width="10.5" bestFit="1" customWidth="1"/>
    <col min="8" max="8" width="11.33203125" bestFit="1" customWidth="1"/>
    <col min="9" max="9" width="9" bestFit="1" customWidth="1"/>
    <col min="10" max="10" width="12.6640625" bestFit="1" customWidth="1"/>
    <col min="11" max="11" width="14" bestFit="1" customWidth="1"/>
    <col min="12" max="12" width="9" bestFit="1" customWidth="1"/>
    <col min="13" max="13" width="14.33203125" customWidth="1"/>
    <col min="14" max="14" width="12.6640625" bestFit="1" customWidth="1"/>
    <col min="15" max="15" width="22.83203125" bestFit="1" customWidth="1"/>
    <col min="16" max="16" width="14.33203125" bestFit="1" customWidth="1"/>
  </cols>
  <sheetData>
    <row r="5" spans="2:12" x14ac:dyDescent="0.2">
      <c r="B5" t="s">
        <v>42</v>
      </c>
      <c r="C5" t="s">
        <v>77</v>
      </c>
      <c r="D5" t="s">
        <v>78</v>
      </c>
      <c r="E5" t="s">
        <v>82</v>
      </c>
      <c r="F5" t="s">
        <v>1875</v>
      </c>
      <c r="G5" t="s">
        <v>79</v>
      </c>
      <c r="H5" t="s">
        <v>80</v>
      </c>
      <c r="I5" t="s">
        <v>2068</v>
      </c>
      <c r="J5" t="s">
        <v>2071</v>
      </c>
      <c r="K5" t="s">
        <v>2072</v>
      </c>
      <c r="L5" t="s">
        <v>1869</v>
      </c>
    </row>
    <row r="6" spans="2:12" x14ac:dyDescent="0.2">
      <c r="B6" s="5">
        <v>45779</v>
      </c>
      <c r="C6" t="s">
        <v>1870</v>
      </c>
      <c r="D6" t="s">
        <v>84</v>
      </c>
      <c r="E6" s="12">
        <v>79000</v>
      </c>
      <c r="F6" s="35">
        <v>46144.558876631942</v>
      </c>
      <c r="G6" s="12"/>
      <c r="H6" s="12">
        <v>79000</v>
      </c>
      <c r="I6" s="12"/>
      <c r="J6" s="12"/>
      <c r="K6" s="12"/>
      <c r="L6" s="12"/>
    </row>
    <row r="7" spans="2:12" x14ac:dyDescent="0.2">
      <c r="B7" s="5">
        <v>45780</v>
      </c>
      <c r="C7" t="s">
        <v>1870</v>
      </c>
      <c r="D7" t="s">
        <v>81</v>
      </c>
      <c r="E7" s="12">
        <v>84500</v>
      </c>
      <c r="F7" s="35">
        <v>46144.558876631942</v>
      </c>
      <c r="G7" s="12"/>
      <c r="H7" s="12">
        <v>84500</v>
      </c>
      <c r="I7" s="12"/>
      <c r="J7" s="12"/>
      <c r="K7" s="12"/>
      <c r="L7" s="12"/>
    </row>
    <row r="8" spans="2:12" x14ac:dyDescent="0.2">
      <c r="B8" s="5">
        <v>45785</v>
      </c>
      <c r="C8" t="s">
        <v>1870</v>
      </c>
      <c r="D8" t="s">
        <v>84</v>
      </c>
      <c r="E8" s="12">
        <v>140000</v>
      </c>
      <c r="F8" s="35">
        <v>46144.558876631942</v>
      </c>
      <c r="G8" s="12"/>
      <c r="H8" s="12">
        <v>140000</v>
      </c>
      <c r="I8" s="12"/>
      <c r="J8" s="12"/>
      <c r="K8" s="12"/>
      <c r="L8" s="12"/>
    </row>
    <row r="9" spans="2:12" x14ac:dyDescent="0.2">
      <c r="B9" s="5">
        <v>45787</v>
      </c>
      <c r="C9" t="s">
        <v>1870</v>
      </c>
      <c r="D9" t="s">
        <v>84</v>
      </c>
      <c r="E9" s="12">
        <v>229000</v>
      </c>
      <c r="F9" s="35">
        <v>46144.558876631942</v>
      </c>
      <c r="G9" s="12"/>
      <c r="H9" s="12">
        <v>84500</v>
      </c>
      <c r="I9" s="12"/>
      <c r="J9" s="12"/>
      <c r="K9" s="12"/>
      <c r="L9" s="12">
        <v>144500</v>
      </c>
    </row>
    <row r="10" spans="2:12" x14ac:dyDescent="0.2">
      <c r="B10" s="5">
        <v>45791</v>
      </c>
      <c r="C10" t="s">
        <v>1870</v>
      </c>
      <c r="D10" t="s">
        <v>84</v>
      </c>
      <c r="E10" s="12">
        <v>84500</v>
      </c>
      <c r="F10" s="35">
        <v>46144.558876631942</v>
      </c>
      <c r="G10" s="12"/>
      <c r="H10" s="12">
        <v>84500</v>
      </c>
      <c r="I10" s="12"/>
      <c r="J10" s="12"/>
      <c r="K10" s="12"/>
      <c r="L10" s="12"/>
    </row>
    <row r="11" spans="2:12" x14ac:dyDescent="0.2">
      <c r="B11" s="5">
        <v>45802</v>
      </c>
      <c r="C11" t="s">
        <v>1870</v>
      </c>
      <c r="D11" t="s">
        <v>84</v>
      </c>
      <c r="E11" s="12">
        <v>98000</v>
      </c>
      <c r="F11" s="35">
        <v>46144.558876631942</v>
      </c>
      <c r="G11" s="12"/>
      <c r="H11" s="12">
        <v>98000</v>
      </c>
      <c r="I11" s="12"/>
      <c r="J11" s="12"/>
      <c r="K11" s="12"/>
      <c r="L11" s="12"/>
    </row>
    <row r="12" spans="2:12" x14ac:dyDescent="0.2">
      <c r="B12" s="5">
        <v>45804</v>
      </c>
      <c r="C12" t="s">
        <v>1870</v>
      </c>
      <c r="D12" t="s">
        <v>84</v>
      </c>
      <c r="E12" s="12"/>
      <c r="F12" s="35">
        <v>46144.558876631942</v>
      </c>
      <c r="G12" s="12"/>
      <c r="H12" s="12"/>
      <c r="I12" s="12"/>
      <c r="J12" s="12"/>
      <c r="K12" s="12"/>
      <c r="L12" s="12"/>
    </row>
    <row r="13" spans="2:12" x14ac:dyDescent="0.2">
      <c r="B13" s="5">
        <v>45809</v>
      </c>
      <c r="C13" t="s">
        <v>1870</v>
      </c>
      <c r="D13" t="s">
        <v>84</v>
      </c>
      <c r="E13" s="12">
        <v>587000</v>
      </c>
      <c r="F13" s="35">
        <v>46144.558876631942</v>
      </c>
      <c r="G13" s="12"/>
      <c r="H13" s="12">
        <v>522500</v>
      </c>
      <c r="I13" s="12"/>
      <c r="J13" s="12"/>
      <c r="K13" s="12"/>
      <c r="L13" s="12">
        <v>64500</v>
      </c>
    </row>
    <row r="14" spans="2:12" x14ac:dyDescent="0.2">
      <c r="B14" s="5">
        <v>45812</v>
      </c>
      <c r="C14" t="s">
        <v>1870</v>
      </c>
      <c r="D14" t="s">
        <v>84</v>
      </c>
      <c r="E14" s="12">
        <v>404500</v>
      </c>
      <c r="F14" s="35">
        <v>46144.558876631942</v>
      </c>
      <c r="G14" s="12"/>
      <c r="H14" s="12">
        <v>404500</v>
      </c>
      <c r="I14" s="12"/>
      <c r="J14" s="12"/>
      <c r="K14" s="12"/>
      <c r="L14" s="12"/>
    </row>
    <row r="15" spans="2:12" x14ac:dyDescent="0.2">
      <c r="B15" s="5">
        <v>45813</v>
      </c>
      <c r="C15" t="s">
        <v>1870</v>
      </c>
      <c r="D15" t="s">
        <v>84</v>
      </c>
      <c r="E15" s="12">
        <v>70000</v>
      </c>
      <c r="F15" s="35">
        <v>46144.558876631942</v>
      </c>
      <c r="G15" s="12"/>
      <c r="H15" s="12">
        <v>70000</v>
      </c>
      <c r="I15" s="12"/>
      <c r="J15" s="12"/>
      <c r="K15" s="12"/>
      <c r="L15" s="12"/>
    </row>
    <row r="16" spans="2:12" x14ac:dyDescent="0.2">
      <c r="B16" s="5">
        <v>45814</v>
      </c>
      <c r="C16" t="s">
        <v>1870</v>
      </c>
      <c r="D16" t="s">
        <v>81</v>
      </c>
      <c r="E16" s="12"/>
      <c r="F16" s="35">
        <v>46144.558876631942</v>
      </c>
      <c r="G16" s="12"/>
      <c r="H16" s="12"/>
      <c r="I16" s="12"/>
      <c r="J16" s="12"/>
      <c r="K16" s="12"/>
      <c r="L16" s="12"/>
    </row>
    <row r="17" spans="2:12" x14ac:dyDescent="0.2">
      <c r="B17" s="5">
        <v>45814</v>
      </c>
      <c r="C17" t="s">
        <v>1870</v>
      </c>
      <c r="D17" t="s">
        <v>84</v>
      </c>
      <c r="E17" s="12">
        <v>79000</v>
      </c>
      <c r="F17" s="35">
        <v>46144.558876631942</v>
      </c>
      <c r="G17" s="12"/>
      <c r="H17" s="12">
        <v>79000</v>
      </c>
      <c r="I17" s="12"/>
      <c r="J17" s="12"/>
      <c r="K17" s="12"/>
      <c r="L17" s="12"/>
    </row>
    <row r="18" spans="2:12" x14ac:dyDescent="0.2">
      <c r="B18" s="5">
        <v>45816</v>
      </c>
      <c r="C18" t="s">
        <v>1870</v>
      </c>
      <c r="D18" t="s">
        <v>84</v>
      </c>
      <c r="E18" s="12">
        <v>177000</v>
      </c>
      <c r="F18" s="35">
        <v>46144.558876631942</v>
      </c>
      <c r="G18" s="12"/>
      <c r="H18" s="12"/>
      <c r="I18" s="12"/>
      <c r="J18" s="12"/>
      <c r="K18" s="12"/>
      <c r="L18" s="12">
        <v>177000</v>
      </c>
    </row>
    <row r="19" spans="2:12" x14ac:dyDescent="0.2">
      <c r="B19" s="5">
        <v>45817</v>
      </c>
      <c r="C19" t="s">
        <v>1870</v>
      </c>
      <c r="D19" t="s">
        <v>84</v>
      </c>
      <c r="E19" s="12"/>
      <c r="F19" s="35">
        <v>46144.558876631942</v>
      </c>
      <c r="G19" s="12"/>
      <c r="H19" s="12"/>
      <c r="I19" s="12"/>
      <c r="J19" s="12"/>
      <c r="K19" s="12"/>
      <c r="L19" s="12"/>
    </row>
    <row r="20" spans="2:12" x14ac:dyDescent="0.2">
      <c r="B20" s="5">
        <v>45818</v>
      </c>
      <c r="C20" t="s">
        <v>1870</v>
      </c>
      <c r="D20" t="s">
        <v>84</v>
      </c>
      <c r="E20" s="12">
        <v>124000</v>
      </c>
      <c r="F20" s="35">
        <v>46144.558876631942</v>
      </c>
      <c r="G20" s="12"/>
      <c r="H20" s="12">
        <v>124000</v>
      </c>
      <c r="I20" s="12"/>
      <c r="J20" s="12"/>
      <c r="K20" s="12"/>
      <c r="L20" s="12"/>
    </row>
    <row r="21" spans="2:12" x14ac:dyDescent="0.2">
      <c r="B21" s="5">
        <v>45819</v>
      </c>
      <c r="C21" t="s">
        <v>1870</v>
      </c>
      <c r="D21" t="s">
        <v>84</v>
      </c>
      <c r="E21" s="12"/>
      <c r="F21" s="35">
        <v>46144.558876631942</v>
      </c>
      <c r="G21" s="12"/>
      <c r="H21" s="12"/>
      <c r="I21" s="12"/>
      <c r="J21" s="12"/>
      <c r="K21" s="12"/>
      <c r="L21" s="12"/>
    </row>
    <row r="22" spans="2:12" x14ac:dyDescent="0.2">
      <c r="B22" s="5">
        <v>45821</v>
      </c>
      <c r="C22" t="s">
        <v>1870</v>
      </c>
      <c r="D22" t="s">
        <v>84</v>
      </c>
      <c r="E22" s="12">
        <v>79000</v>
      </c>
      <c r="F22" s="35">
        <v>46144.558876631942</v>
      </c>
      <c r="G22" s="12"/>
      <c r="H22" s="12">
        <v>79000</v>
      </c>
      <c r="I22" s="12"/>
      <c r="J22" s="12"/>
      <c r="K22" s="12"/>
      <c r="L22" s="12"/>
    </row>
    <row r="23" spans="2:12" x14ac:dyDescent="0.2">
      <c r="B23" s="5">
        <v>45823</v>
      </c>
      <c r="C23" t="s">
        <v>1870</v>
      </c>
      <c r="D23" t="s">
        <v>84</v>
      </c>
      <c r="E23" s="12">
        <v>457500</v>
      </c>
      <c r="F23" s="35">
        <v>46144.558876631942</v>
      </c>
      <c r="G23" s="12"/>
      <c r="H23" s="12">
        <v>457500</v>
      </c>
      <c r="I23" s="12"/>
      <c r="J23" s="12"/>
      <c r="K23" s="12"/>
      <c r="L23" s="12"/>
    </row>
    <row r="24" spans="2:12" x14ac:dyDescent="0.2">
      <c r="B24" s="5">
        <v>45824</v>
      </c>
      <c r="C24" t="s">
        <v>1870</v>
      </c>
      <c r="D24" t="s">
        <v>81</v>
      </c>
      <c r="E24" s="12"/>
      <c r="F24" s="35">
        <v>46144.558876631942</v>
      </c>
      <c r="G24" s="12"/>
      <c r="H24" s="12"/>
      <c r="I24" s="12"/>
      <c r="J24" s="12"/>
      <c r="K24" s="12"/>
      <c r="L24" s="12"/>
    </row>
    <row r="25" spans="2:12" x14ac:dyDescent="0.2">
      <c r="B25" s="5">
        <v>45824</v>
      </c>
      <c r="C25" t="s">
        <v>1870</v>
      </c>
      <c r="D25" t="s">
        <v>84</v>
      </c>
      <c r="E25" s="12">
        <v>663500</v>
      </c>
      <c r="F25" s="35">
        <v>46144.558876631942</v>
      </c>
      <c r="G25" s="12"/>
      <c r="H25" s="12">
        <v>663500</v>
      </c>
      <c r="I25" s="12"/>
      <c r="J25" s="12"/>
      <c r="K25" s="12"/>
      <c r="L25" s="12"/>
    </row>
    <row r="26" spans="2:12" x14ac:dyDescent="0.2">
      <c r="B26" s="5">
        <v>45826</v>
      </c>
      <c r="C26" t="s">
        <v>1870</v>
      </c>
      <c r="D26" t="s">
        <v>84</v>
      </c>
      <c r="E26" s="12">
        <v>194000</v>
      </c>
      <c r="F26" s="35">
        <v>46144.558876631942</v>
      </c>
      <c r="G26" s="12"/>
      <c r="H26" s="12">
        <v>194000</v>
      </c>
      <c r="I26" s="12"/>
      <c r="J26" s="12"/>
      <c r="K26" s="12"/>
      <c r="L26" s="12"/>
    </row>
    <row r="27" spans="2:12" x14ac:dyDescent="0.2">
      <c r="B27" s="5">
        <v>45831</v>
      </c>
      <c r="C27" t="s">
        <v>1870</v>
      </c>
      <c r="D27" t="s">
        <v>84</v>
      </c>
      <c r="E27" s="12">
        <v>139500</v>
      </c>
      <c r="F27" s="35">
        <v>46144.558876631942</v>
      </c>
      <c r="G27" s="12"/>
      <c r="H27" s="12">
        <v>139500</v>
      </c>
      <c r="I27" s="12"/>
      <c r="J27" s="12"/>
      <c r="K27" s="12"/>
      <c r="L27" s="12"/>
    </row>
    <row r="28" spans="2:12" x14ac:dyDescent="0.2">
      <c r="B28" s="5">
        <v>45832</v>
      </c>
      <c r="C28" t="s">
        <v>1870</v>
      </c>
      <c r="D28" t="s">
        <v>81</v>
      </c>
      <c r="E28" s="12">
        <v>79000</v>
      </c>
      <c r="F28" s="35">
        <v>46144.558876631942</v>
      </c>
      <c r="G28" s="12"/>
      <c r="H28" s="12">
        <v>79000</v>
      </c>
      <c r="I28" s="12"/>
      <c r="J28" s="12"/>
      <c r="K28" s="12"/>
      <c r="L28" s="12"/>
    </row>
    <row r="29" spans="2:12" x14ac:dyDescent="0.2">
      <c r="B29" s="5">
        <v>45835</v>
      </c>
      <c r="C29" t="s">
        <v>1870</v>
      </c>
      <c r="D29" t="s">
        <v>84</v>
      </c>
      <c r="E29" s="12"/>
      <c r="F29" s="35">
        <v>46144.558876631942</v>
      </c>
      <c r="G29" s="12"/>
      <c r="H29" s="12"/>
      <c r="I29" s="12"/>
      <c r="J29" s="12"/>
      <c r="K29" s="12"/>
      <c r="L29" s="12"/>
    </row>
    <row r="30" spans="2:12" x14ac:dyDescent="0.2">
      <c r="B30" s="5">
        <v>45836</v>
      </c>
      <c r="C30" t="s">
        <v>1870</v>
      </c>
      <c r="D30" t="s">
        <v>84</v>
      </c>
      <c r="E30" s="12"/>
      <c r="F30" s="35">
        <v>46144.558876631942</v>
      </c>
      <c r="G30" s="12"/>
      <c r="H30" s="12"/>
      <c r="I30" s="12"/>
      <c r="J30" s="12"/>
      <c r="K30" s="12"/>
      <c r="L30" s="12"/>
    </row>
    <row r="31" spans="2:12" x14ac:dyDescent="0.2">
      <c r="B31" s="5">
        <v>45837</v>
      </c>
      <c r="C31" t="s">
        <v>1870</v>
      </c>
      <c r="D31" t="s">
        <v>81</v>
      </c>
      <c r="E31" s="12">
        <v>129000</v>
      </c>
      <c r="F31" s="35">
        <v>46144.558876631942</v>
      </c>
      <c r="G31" s="12"/>
      <c r="H31" s="12">
        <v>129000</v>
      </c>
      <c r="I31" s="12"/>
      <c r="J31" s="12"/>
      <c r="K31" s="12"/>
      <c r="L31" s="12"/>
    </row>
    <row r="32" spans="2:12" x14ac:dyDescent="0.2">
      <c r="B32" s="5">
        <v>45837</v>
      </c>
      <c r="C32" t="s">
        <v>1870</v>
      </c>
      <c r="D32" t="s">
        <v>84</v>
      </c>
      <c r="E32" s="12"/>
      <c r="F32" s="35">
        <v>46144.558876631942</v>
      </c>
      <c r="G32" s="12"/>
      <c r="H32" s="12"/>
      <c r="I32" s="12"/>
      <c r="J32" s="12"/>
      <c r="K32" s="12"/>
      <c r="L32" s="12"/>
    </row>
    <row r="33" spans="2:12" x14ac:dyDescent="0.2">
      <c r="B33" s="5">
        <v>45841</v>
      </c>
      <c r="C33" t="s">
        <v>1870</v>
      </c>
      <c r="D33" t="s">
        <v>81</v>
      </c>
      <c r="E33" s="12"/>
      <c r="F33" s="35">
        <v>46144.558876631942</v>
      </c>
      <c r="G33" s="12"/>
      <c r="H33" s="12"/>
      <c r="I33" s="12"/>
      <c r="J33" s="12"/>
      <c r="K33" s="12"/>
      <c r="L33" s="12"/>
    </row>
    <row r="34" spans="2:12" x14ac:dyDescent="0.2">
      <c r="B34" s="5">
        <v>45845</v>
      </c>
      <c r="C34" t="s">
        <v>1870</v>
      </c>
      <c r="D34" t="s">
        <v>84</v>
      </c>
      <c r="E34" s="12">
        <v>79000</v>
      </c>
      <c r="F34" s="35">
        <v>46144.558876631942</v>
      </c>
      <c r="G34" s="12"/>
      <c r="H34" s="12">
        <v>79000</v>
      </c>
      <c r="I34" s="12"/>
      <c r="J34" s="12"/>
      <c r="K34" s="12"/>
      <c r="L34" s="12"/>
    </row>
    <row r="35" spans="2:12" x14ac:dyDescent="0.2">
      <c r="B35" s="5">
        <v>45848</v>
      </c>
      <c r="C35" t="s">
        <v>1870</v>
      </c>
      <c r="D35" t="s">
        <v>84</v>
      </c>
      <c r="E35" s="12">
        <v>124000</v>
      </c>
      <c r="F35" s="35">
        <v>46144.558876631942</v>
      </c>
      <c r="G35" s="12"/>
      <c r="H35" s="12">
        <v>124000</v>
      </c>
      <c r="I35" s="12"/>
      <c r="J35" s="12"/>
      <c r="K35" s="12"/>
      <c r="L35" s="12"/>
    </row>
    <row r="36" spans="2:12" x14ac:dyDescent="0.2">
      <c r="B36" s="5">
        <v>45848</v>
      </c>
      <c r="C36" t="s">
        <v>87</v>
      </c>
      <c r="D36" t="s">
        <v>86</v>
      </c>
      <c r="E36" s="12">
        <v>230000</v>
      </c>
      <c r="F36" s="35">
        <v>46144.558876631942</v>
      </c>
      <c r="G36" s="12">
        <v>230000</v>
      </c>
      <c r="H36" s="12"/>
      <c r="I36" s="12"/>
      <c r="J36" s="12"/>
      <c r="K36" s="12"/>
      <c r="L36" s="12"/>
    </row>
    <row r="37" spans="2:12" x14ac:dyDescent="0.2">
      <c r="B37" s="5">
        <v>45849</v>
      </c>
      <c r="C37" t="s">
        <v>1870</v>
      </c>
      <c r="D37" t="s">
        <v>84</v>
      </c>
      <c r="E37" s="12">
        <v>124000</v>
      </c>
      <c r="F37" s="35">
        <v>46144.558876631942</v>
      </c>
      <c r="G37" s="12"/>
      <c r="H37" s="12">
        <v>124000</v>
      </c>
      <c r="I37" s="12"/>
      <c r="J37" s="12"/>
      <c r="K37" s="12"/>
      <c r="L37" s="12"/>
    </row>
    <row r="38" spans="2:12" x14ac:dyDescent="0.2">
      <c r="B38" s="5">
        <v>45850</v>
      </c>
      <c r="C38" t="s">
        <v>1870</v>
      </c>
      <c r="D38" t="s">
        <v>84</v>
      </c>
      <c r="E38" s="12"/>
      <c r="F38" s="35">
        <v>46144.558876631942</v>
      </c>
      <c r="G38" s="12"/>
      <c r="H38" s="12"/>
      <c r="I38" s="12"/>
      <c r="J38" s="12"/>
      <c r="K38" s="12"/>
      <c r="L38" s="12"/>
    </row>
    <row r="39" spans="2:12" x14ac:dyDescent="0.2">
      <c r="B39" s="5">
        <v>45854</v>
      </c>
      <c r="C39" t="s">
        <v>1871</v>
      </c>
      <c r="D39" t="s">
        <v>84</v>
      </c>
      <c r="E39" s="12">
        <v>74000</v>
      </c>
      <c r="F39" s="35">
        <v>46144.558876631942</v>
      </c>
      <c r="G39" s="12"/>
      <c r="H39" s="12">
        <v>74000</v>
      </c>
      <c r="I39" s="12"/>
      <c r="J39" s="12"/>
      <c r="K39" s="12"/>
      <c r="L39" s="12"/>
    </row>
    <row r="40" spans="2:12" x14ac:dyDescent="0.2">
      <c r="B40" s="5">
        <v>45855</v>
      </c>
      <c r="C40" t="s">
        <v>1870</v>
      </c>
      <c r="D40" t="s">
        <v>84</v>
      </c>
      <c r="E40" s="12">
        <v>240000</v>
      </c>
      <c r="F40" s="35">
        <v>46144.558876631942</v>
      </c>
      <c r="G40" s="12"/>
      <c r="H40" s="12">
        <v>129500</v>
      </c>
      <c r="I40" s="12"/>
      <c r="J40" s="12"/>
      <c r="K40" s="12"/>
      <c r="L40" s="12">
        <v>110500</v>
      </c>
    </row>
    <row r="41" spans="2:12" x14ac:dyDescent="0.2">
      <c r="B41" s="5">
        <v>45855</v>
      </c>
      <c r="C41" t="s">
        <v>1871</v>
      </c>
      <c r="D41" t="s">
        <v>84</v>
      </c>
      <c r="E41" s="12"/>
      <c r="F41" s="35">
        <v>46144.558876631942</v>
      </c>
      <c r="G41" s="12"/>
      <c r="H41" s="12"/>
      <c r="I41" s="12"/>
      <c r="J41" s="12"/>
      <c r="K41" s="12"/>
      <c r="L41" s="12"/>
    </row>
    <row r="42" spans="2:12" x14ac:dyDescent="0.2">
      <c r="B42" s="5">
        <v>45857</v>
      </c>
      <c r="C42" t="s">
        <v>1870</v>
      </c>
      <c r="D42" t="s">
        <v>84</v>
      </c>
      <c r="E42" s="12">
        <v>146250</v>
      </c>
      <c r="F42" s="35">
        <v>46144.558876631942</v>
      </c>
      <c r="G42" s="12"/>
      <c r="H42" s="12"/>
      <c r="I42" s="12"/>
      <c r="J42" s="12"/>
      <c r="K42" s="12"/>
      <c r="L42" s="12">
        <v>146250</v>
      </c>
    </row>
    <row r="43" spans="2:12" x14ac:dyDescent="0.2">
      <c r="B43" s="5">
        <v>45858</v>
      </c>
      <c r="C43" t="s">
        <v>1871</v>
      </c>
      <c r="D43" t="s">
        <v>81</v>
      </c>
      <c r="E43" s="12"/>
      <c r="F43" s="35">
        <v>46144.558876631942</v>
      </c>
      <c r="G43" s="12"/>
      <c r="H43" s="12"/>
      <c r="I43" s="12"/>
      <c r="J43" s="12"/>
      <c r="K43" s="12"/>
      <c r="L43" s="12"/>
    </row>
    <row r="44" spans="2:12" x14ac:dyDescent="0.2">
      <c r="B44" s="5">
        <v>45858</v>
      </c>
      <c r="C44" t="s">
        <v>1871</v>
      </c>
      <c r="D44" t="s">
        <v>84</v>
      </c>
      <c r="E44" s="12"/>
      <c r="F44" s="35">
        <v>46144.558876631942</v>
      </c>
      <c r="G44" s="12"/>
      <c r="H44" s="12"/>
      <c r="I44" s="12"/>
      <c r="J44" s="12"/>
      <c r="K44" s="12"/>
      <c r="L44" s="12"/>
    </row>
    <row r="45" spans="2:12" x14ac:dyDescent="0.2">
      <c r="B45" s="5">
        <v>45859</v>
      </c>
      <c r="C45" t="s">
        <v>1870</v>
      </c>
      <c r="D45" t="s">
        <v>84</v>
      </c>
      <c r="E45" s="12">
        <v>174000</v>
      </c>
      <c r="F45" s="35">
        <v>46144.558876631942</v>
      </c>
      <c r="G45" s="12"/>
      <c r="H45" s="12">
        <v>174000</v>
      </c>
      <c r="I45" s="12"/>
      <c r="J45" s="12"/>
      <c r="K45" s="12"/>
      <c r="L45" s="12"/>
    </row>
    <row r="46" spans="2:12" x14ac:dyDescent="0.2">
      <c r="B46" s="5">
        <v>45859</v>
      </c>
      <c r="C46" t="s">
        <v>1871</v>
      </c>
      <c r="D46" t="s">
        <v>84</v>
      </c>
      <c r="E46" s="12"/>
      <c r="F46" s="35">
        <v>46144.558876631942</v>
      </c>
      <c r="G46" s="12"/>
      <c r="H46" s="12"/>
      <c r="I46" s="12"/>
      <c r="J46" s="12"/>
      <c r="K46" s="12"/>
      <c r="L46" s="12"/>
    </row>
    <row r="47" spans="2:12" x14ac:dyDescent="0.2">
      <c r="B47" s="5">
        <v>45859</v>
      </c>
      <c r="C47" t="s">
        <v>85</v>
      </c>
      <c r="D47" t="s">
        <v>86</v>
      </c>
      <c r="E47" s="12">
        <v>179250</v>
      </c>
      <c r="F47" s="35">
        <v>46144.558876631942</v>
      </c>
      <c r="G47" s="12">
        <v>179250</v>
      </c>
      <c r="H47" s="12"/>
      <c r="I47" s="12"/>
      <c r="J47" s="12"/>
      <c r="K47" s="12"/>
      <c r="L47" s="12"/>
    </row>
    <row r="48" spans="2:12" x14ac:dyDescent="0.2">
      <c r="B48" s="5">
        <v>45860</v>
      </c>
      <c r="C48" t="s">
        <v>85</v>
      </c>
      <c r="D48" t="s">
        <v>86</v>
      </c>
      <c r="E48" s="12">
        <v>45000</v>
      </c>
      <c r="F48" s="35">
        <v>46144.558876631942</v>
      </c>
      <c r="G48" s="12">
        <v>45000</v>
      </c>
      <c r="H48" s="12"/>
      <c r="I48" s="12"/>
      <c r="J48" s="12"/>
      <c r="K48" s="12"/>
      <c r="L48" s="12"/>
    </row>
    <row r="49" spans="2:12" x14ac:dyDescent="0.2">
      <c r="B49" s="5">
        <v>45860</v>
      </c>
      <c r="C49" t="s">
        <v>1870</v>
      </c>
      <c r="D49" t="s">
        <v>84</v>
      </c>
      <c r="E49" s="12"/>
      <c r="F49" s="35">
        <v>46144.558876631942</v>
      </c>
      <c r="G49" s="12"/>
      <c r="H49" s="12"/>
      <c r="I49" s="12"/>
      <c r="J49" s="12"/>
      <c r="K49" s="12"/>
      <c r="L49" s="12"/>
    </row>
    <row r="50" spans="2:12" x14ac:dyDescent="0.2">
      <c r="B50" s="5">
        <v>45860</v>
      </c>
      <c r="C50" t="s">
        <v>1872</v>
      </c>
      <c r="D50" t="s">
        <v>84</v>
      </c>
      <c r="E50" s="12">
        <v>507500</v>
      </c>
      <c r="F50" s="35">
        <v>46144.558876631942</v>
      </c>
      <c r="G50" s="12"/>
      <c r="H50" s="12"/>
      <c r="I50" s="12"/>
      <c r="J50" s="12"/>
      <c r="K50" s="12">
        <v>507500</v>
      </c>
      <c r="L50" s="12"/>
    </row>
    <row r="51" spans="2:12" x14ac:dyDescent="0.2">
      <c r="B51" s="5">
        <v>45861</v>
      </c>
      <c r="C51" t="s">
        <v>85</v>
      </c>
      <c r="D51" t="s">
        <v>86</v>
      </c>
      <c r="E51" s="12">
        <v>258500</v>
      </c>
      <c r="F51" s="35">
        <v>46144.558876631942</v>
      </c>
      <c r="G51" s="12">
        <v>258500</v>
      </c>
      <c r="H51" s="12"/>
      <c r="I51" s="12"/>
      <c r="J51" s="12"/>
      <c r="K51" s="12"/>
      <c r="L51" s="12"/>
    </row>
    <row r="52" spans="2:12" x14ac:dyDescent="0.2">
      <c r="B52" s="5">
        <v>45862</v>
      </c>
      <c r="C52" t="s">
        <v>1872</v>
      </c>
      <c r="D52" t="s">
        <v>84</v>
      </c>
      <c r="E52" s="12">
        <v>187500</v>
      </c>
      <c r="F52" s="35">
        <v>46144.558876631942</v>
      </c>
      <c r="G52" s="12"/>
      <c r="H52" s="12"/>
      <c r="I52" s="12"/>
      <c r="J52" s="12"/>
      <c r="K52" s="12">
        <v>187500</v>
      </c>
      <c r="L52" s="12"/>
    </row>
    <row r="53" spans="2:12" x14ac:dyDescent="0.2">
      <c r="B53" s="5">
        <v>45862</v>
      </c>
      <c r="C53" t="s">
        <v>85</v>
      </c>
      <c r="D53" t="s">
        <v>86</v>
      </c>
      <c r="E53" s="12">
        <v>252500</v>
      </c>
      <c r="F53" s="35">
        <v>46144.558876631942</v>
      </c>
      <c r="G53" s="12">
        <v>252500</v>
      </c>
      <c r="H53" s="12"/>
      <c r="I53" s="12"/>
      <c r="J53" s="12"/>
      <c r="K53" s="12"/>
      <c r="L53" s="12"/>
    </row>
    <row r="54" spans="2:12" x14ac:dyDescent="0.2">
      <c r="B54" s="5">
        <v>45863</v>
      </c>
      <c r="C54" t="s">
        <v>85</v>
      </c>
      <c r="D54" t="s">
        <v>86</v>
      </c>
      <c r="E54" s="12">
        <v>347000</v>
      </c>
      <c r="F54" s="35">
        <v>46144.558876631942</v>
      </c>
      <c r="G54" s="12">
        <v>347000</v>
      </c>
      <c r="H54" s="12"/>
      <c r="I54" s="12"/>
      <c r="J54" s="12"/>
      <c r="K54" s="12"/>
      <c r="L54" s="12"/>
    </row>
    <row r="55" spans="2:12" x14ac:dyDescent="0.2">
      <c r="B55" s="5">
        <v>45863</v>
      </c>
      <c r="C55" t="s">
        <v>1872</v>
      </c>
      <c r="D55" t="s">
        <v>81</v>
      </c>
      <c r="E55" s="12">
        <v>74000</v>
      </c>
      <c r="F55" s="35">
        <v>46144.558876631942</v>
      </c>
      <c r="G55" s="12"/>
      <c r="H55" s="12"/>
      <c r="I55" s="12"/>
      <c r="J55" s="12"/>
      <c r="K55" s="12">
        <v>74000</v>
      </c>
      <c r="L55" s="12"/>
    </row>
    <row r="56" spans="2:12" x14ac:dyDescent="0.2">
      <c r="B56" s="5">
        <v>45864</v>
      </c>
      <c r="C56" t="s">
        <v>85</v>
      </c>
      <c r="D56" t="s">
        <v>86</v>
      </c>
      <c r="E56" s="12">
        <v>213000</v>
      </c>
      <c r="F56" s="35">
        <v>46144.558876631942</v>
      </c>
      <c r="G56" s="12">
        <v>213000</v>
      </c>
      <c r="H56" s="12"/>
      <c r="I56" s="12"/>
      <c r="J56" s="12"/>
      <c r="K56" s="12"/>
      <c r="L56" s="12"/>
    </row>
    <row r="57" spans="2:12" x14ac:dyDescent="0.2">
      <c r="B57" s="5">
        <v>45864</v>
      </c>
      <c r="C57" t="s">
        <v>1870</v>
      </c>
      <c r="D57" t="s">
        <v>81</v>
      </c>
      <c r="E57" s="12"/>
      <c r="F57" s="35">
        <v>46144.558876631942</v>
      </c>
      <c r="G57" s="12"/>
      <c r="H57" s="12"/>
      <c r="I57" s="12"/>
      <c r="J57" s="12"/>
      <c r="K57" s="12"/>
      <c r="L57" s="12"/>
    </row>
    <row r="58" spans="2:12" x14ac:dyDescent="0.2">
      <c r="B58" s="5">
        <v>45864</v>
      </c>
      <c r="C58" t="s">
        <v>1872</v>
      </c>
      <c r="D58" t="s">
        <v>84</v>
      </c>
      <c r="E58" s="12">
        <v>238000</v>
      </c>
      <c r="F58" s="35">
        <v>46144.558876631942</v>
      </c>
      <c r="G58" s="12"/>
      <c r="H58" s="12"/>
      <c r="I58" s="12"/>
      <c r="J58" s="12"/>
      <c r="K58" s="12">
        <v>238000</v>
      </c>
      <c r="L58" s="12"/>
    </row>
    <row r="59" spans="2:12" x14ac:dyDescent="0.2">
      <c r="B59" s="5">
        <v>45865</v>
      </c>
      <c r="C59" t="s">
        <v>1870</v>
      </c>
      <c r="D59" t="s">
        <v>84</v>
      </c>
      <c r="E59" s="12">
        <v>70000</v>
      </c>
      <c r="F59" s="35">
        <v>46144.558876631942</v>
      </c>
      <c r="G59" s="12"/>
      <c r="H59" s="12">
        <v>70000</v>
      </c>
      <c r="I59" s="12"/>
      <c r="J59" s="12"/>
      <c r="K59" s="12"/>
      <c r="L59" s="12"/>
    </row>
    <row r="60" spans="2:12" x14ac:dyDescent="0.2">
      <c r="B60" s="5">
        <v>45865</v>
      </c>
      <c r="C60" t="s">
        <v>1872</v>
      </c>
      <c r="D60" t="s">
        <v>84</v>
      </c>
      <c r="E60" s="12">
        <v>119000</v>
      </c>
      <c r="F60" s="35">
        <v>46144.558876631942</v>
      </c>
      <c r="G60" s="12"/>
      <c r="H60" s="12"/>
      <c r="I60" s="12"/>
      <c r="J60" s="12"/>
      <c r="K60" s="12">
        <v>119000</v>
      </c>
      <c r="L60" s="12"/>
    </row>
    <row r="61" spans="2:12" x14ac:dyDescent="0.2">
      <c r="B61" s="5">
        <v>45865</v>
      </c>
      <c r="C61" t="s">
        <v>85</v>
      </c>
      <c r="D61" t="s">
        <v>86</v>
      </c>
      <c r="E61" s="12">
        <v>208750</v>
      </c>
      <c r="F61" s="35">
        <v>46144.558876631942</v>
      </c>
      <c r="G61" s="12">
        <v>208750</v>
      </c>
      <c r="H61" s="12"/>
      <c r="I61" s="12"/>
      <c r="J61" s="12"/>
      <c r="K61" s="12"/>
      <c r="L61" s="12"/>
    </row>
    <row r="62" spans="2:12" x14ac:dyDescent="0.2">
      <c r="B62" s="5">
        <v>45866</v>
      </c>
      <c r="C62" t="s">
        <v>85</v>
      </c>
      <c r="D62" t="s">
        <v>86</v>
      </c>
      <c r="E62" s="12">
        <v>79000</v>
      </c>
      <c r="F62" s="35">
        <v>46144.558876631942</v>
      </c>
      <c r="G62" s="12">
        <v>79000</v>
      </c>
      <c r="H62" s="12"/>
      <c r="I62" s="12"/>
      <c r="J62" s="12"/>
      <c r="K62" s="12"/>
      <c r="L62" s="12"/>
    </row>
    <row r="63" spans="2:12" x14ac:dyDescent="0.2">
      <c r="B63" s="5">
        <v>45867</v>
      </c>
      <c r="C63" t="s">
        <v>1870</v>
      </c>
      <c r="D63" t="s">
        <v>81</v>
      </c>
      <c r="E63" s="12"/>
      <c r="F63" s="35">
        <v>46144.558876631942</v>
      </c>
      <c r="G63" s="12"/>
      <c r="H63" s="12"/>
      <c r="I63" s="12"/>
      <c r="J63" s="12"/>
      <c r="K63" s="12"/>
      <c r="L63" s="12"/>
    </row>
    <row r="64" spans="2:12" x14ac:dyDescent="0.2">
      <c r="B64" s="5">
        <v>45868</v>
      </c>
      <c r="C64" t="s">
        <v>1870</v>
      </c>
      <c r="D64" t="s">
        <v>86</v>
      </c>
      <c r="E64" s="12">
        <v>115000</v>
      </c>
      <c r="F64" s="35">
        <v>46144.558876631942</v>
      </c>
      <c r="G64" s="12"/>
      <c r="H64" s="12">
        <v>115000</v>
      </c>
      <c r="I64" s="12"/>
      <c r="J64" s="12"/>
      <c r="K64" s="12"/>
      <c r="L64" s="12"/>
    </row>
    <row r="65" spans="2:12" x14ac:dyDescent="0.2">
      <c r="B65" s="5">
        <v>45868</v>
      </c>
      <c r="C65" t="s">
        <v>85</v>
      </c>
      <c r="D65" t="s">
        <v>86</v>
      </c>
      <c r="E65" s="12">
        <v>278500</v>
      </c>
      <c r="F65" s="35">
        <v>46144.558876631942</v>
      </c>
      <c r="G65" s="12">
        <v>278500</v>
      </c>
      <c r="H65" s="12"/>
      <c r="I65" s="12"/>
      <c r="J65" s="12"/>
      <c r="K65" s="12"/>
      <c r="L65" s="12"/>
    </row>
    <row r="66" spans="2:12" x14ac:dyDescent="0.2">
      <c r="B66" s="5">
        <v>45871</v>
      </c>
      <c r="C66" t="s">
        <v>1870</v>
      </c>
      <c r="D66" t="s">
        <v>81</v>
      </c>
      <c r="E66" s="12"/>
      <c r="F66" s="35">
        <v>46144.558876631942</v>
      </c>
      <c r="G66" s="12"/>
      <c r="H66" s="12"/>
      <c r="I66" s="12"/>
      <c r="J66" s="12"/>
      <c r="K66" s="12"/>
      <c r="L66" s="12"/>
    </row>
    <row r="67" spans="2:12" x14ac:dyDescent="0.2">
      <c r="B67" s="5">
        <v>45874</v>
      </c>
      <c r="C67" t="s">
        <v>1873</v>
      </c>
      <c r="D67" t="s">
        <v>84</v>
      </c>
      <c r="E67" s="12">
        <v>79500</v>
      </c>
      <c r="F67" s="35">
        <v>46144.558876631942</v>
      </c>
      <c r="G67" s="12"/>
      <c r="H67" s="12"/>
      <c r="I67" s="12"/>
      <c r="J67" s="12">
        <v>79500</v>
      </c>
      <c r="K67" s="12"/>
      <c r="L67" s="12"/>
    </row>
    <row r="68" spans="2:12" x14ac:dyDescent="0.2">
      <c r="B68" s="5">
        <v>45874</v>
      </c>
      <c r="C68" t="s">
        <v>85</v>
      </c>
      <c r="D68" t="s">
        <v>86</v>
      </c>
      <c r="E68" s="12">
        <v>79500</v>
      </c>
      <c r="F68" s="35">
        <v>46144.558876631942</v>
      </c>
      <c r="G68" s="12">
        <v>79500</v>
      </c>
      <c r="H68" s="12"/>
      <c r="I68" s="12"/>
      <c r="J68" s="12"/>
      <c r="K68" s="12"/>
      <c r="L68" s="12"/>
    </row>
    <row r="69" spans="2:12" x14ac:dyDescent="0.2">
      <c r="B69" s="5">
        <v>45876</v>
      </c>
      <c r="C69" t="s">
        <v>1873</v>
      </c>
      <c r="D69" t="s">
        <v>84</v>
      </c>
      <c r="E69" s="12">
        <v>153000</v>
      </c>
      <c r="F69" s="35">
        <v>46144.558876631942</v>
      </c>
      <c r="G69" s="12"/>
      <c r="H69" s="12"/>
      <c r="I69" s="12"/>
      <c r="J69" s="12">
        <v>153000</v>
      </c>
      <c r="K69" s="12"/>
      <c r="L69" s="12"/>
    </row>
    <row r="70" spans="2:12" x14ac:dyDescent="0.2">
      <c r="B70" s="5">
        <v>45877</v>
      </c>
      <c r="C70" t="s">
        <v>85</v>
      </c>
      <c r="D70" t="s">
        <v>86</v>
      </c>
      <c r="E70" s="12">
        <v>219000</v>
      </c>
      <c r="F70" s="35">
        <v>46144.558876631942</v>
      </c>
      <c r="G70" s="12">
        <v>219000</v>
      </c>
      <c r="H70" s="12"/>
      <c r="I70" s="12"/>
      <c r="J70" s="12"/>
      <c r="K70" s="12"/>
      <c r="L70" s="12"/>
    </row>
    <row r="71" spans="2:12" x14ac:dyDescent="0.2">
      <c r="B71" s="5">
        <v>45877</v>
      </c>
      <c r="C71" t="s">
        <v>1873</v>
      </c>
      <c r="D71" t="s">
        <v>84</v>
      </c>
      <c r="E71" s="12">
        <v>74000</v>
      </c>
      <c r="F71" s="35">
        <v>46144.558876631942</v>
      </c>
      <c r="G71" s="12"/>
      <c r="H71" s="12"/>
      <c r="I71" s="12"/>
      <c r="J71" s="12">
        <v>74000</v>
      </c>
      <c r="K71" s="12"/>
      <c r="L71" s="12"/>
    </row>
    <row r="72" spans="2:12" x14ac:dyDescent="0.2">
      <c r="B72" s="5">
        <v>45879</v>
      </c>
      <c r="C72" t="s">
        <v>1870</v>
      </c>
      <c r="D72" t="s">
        <v>81</v>
      </c>
      <c r="E72" s="12">
        <v>124000</v>
      </c>
      <c r="F72" s="35">
        <v>46144.558876631942</v>
      </c>
      <c r="G72" s="12"/>
      <c r="H72" s="12">
        <v>124000</v>
      </c>
      <c r="I72" s="12"/>
      <c r="J72" s="12"/>
      <c r="K72" s="12"/>
      <c r="L72" s="12"/>
    </row>
    <row r="73" spans="2:12" x14ac:dyDescent="0.2">
      <c r="B73" s="5">
        <v>45882</v>
      </c>
      <c r="C73" t="s">
        <v>1873</v>
      </c>
      <c r="D73" t="s">
        <v>81</v>
      </c>
      <c r="E73" s="12">
        <v>129500</v>
      </c>
      <c r="F73" s="35">
        <v>46144.558876631942</v>
      </c>
      <c r="G73" s="12"/>
      <c r="H73" s="12"/>
      <c r="I73" s="12"/>
      <c r="J73" s="12">
        <v>129500</v>
      </c>
      <c r="K73" s="12"/>
      <c r="L73" s="12"/>
    </row>
    <row r="74" spans="2:12" x14ac:dyDescent="0.2">
      <c r="B74" s="5">
        <v>45885</v>
      </c>
      <c r="C74" t="s">
        <v>1873</v>
      </c>
      <c r="D74" t="s">
        <v>84</v>
      </c>
      <c r="E74" s="12">
        <v>169000</v>
      </c>
      <c r="F74" s="35">
        <v>46144.558876631942</v>
      </c>
      <c r="G74" s="12"/>
      <c r="H74" s="12"/>
      <c r="I74" s="12"/>
      <c r="J74" s="12">
        <v>169000</v>
      </c>
      <c r="K74" s="12"/>
      <c r="L74" s="12"/>
    </row>
    <row r="75" spans="2:12" x14ac:dyDescent="0.2">
      <c r="B75" s="5">
        <v>45886</v>
      </c>
      <c r="C75" t="s">
        <v>1874</v>
      </c>
      <c r="D75" t="s">
        <v>81</v>
      </c>
      <c r="E75" s="12">
        <v>69500</v>
      </c>
      <c r="F75" s="35">
        <v>46144.558876631942</v>
      </c>
      <c r="G75" s="12"/>
      <c r="H75" s="12"/>
      <c r="I75" s="12"/>
      <c r="J75" s="12">
        <v>69500</v>
      </c>
      <c r="K75" s="12"/>
      <c r="L75" s="12"/>
    </row>
    <row r="76" spans="2:12" x14ac:dyDescent="0.2">
      <c r="B76" s="5">
        <v>45887</v>
      </c>
      <c r="C76" t="s">
        <v>1873</v>
      </c>
      <c r="D76" t="s">
        <v>81</v>
      </c>
      <c r="E76" s="12">
        <v>278000</v>
      </c>
      <c r="F76" s="35">
        <v>46144.558876631942</v>
      </c>
      <c r="G76" s="12"/>
      <c r="H76" s="12"/>
      <c r="I76" s="12"/>
      <c r="J76" s="12">
        <v>278000</v>
      </c>
      <c r="K76" s="12"/>
      <c r="L76" s="12"/>
    </row>
    <row r="77" spans="2:12" x14ac:dyDescent="0.2">
      <c r="B77" s="5">
        <v>45889</v>
      </c>
      <c r="C77" t="s">
        <v>1873</v>
      </c>
      <c r="D77" t="s">
        <v>81</v>
      </c>
      <c r="E77" s="12">
        <v>355000</v>
      </c>
      <c r="F77" s="35">
        <v>46144.558876631942</v>
      </c>
      <c r="G77" s="12"/>
      <c r="H77" s="12"/>
      <c r="I77" s="12"/>
      <c r="J77" s="12">
        <v>355000</v>
      </c>
      <c r="K77" s="12"/>
      <c r="L77" s="12"/>
    </row>
    <row r="78" spans="2:12" x14ac:dyDescent="0.2">
      <c r="B78" s="5">
        <v>45889</v>
      </c>
      <c r="C78" t="s">
        <v>1873</v>
      </c>
      <c r="D78" t="s">
        <v>84</v>
      </c>
      <c r="E78" s="12">
        <v>79000</v>
      </c>
      <c r="F78" s="35">
        <v>46144.558876631942</v>
      </c>
      <c r="G78" s="12"/>
      <c r="H78" s="12"/>
      <c r="I78" s="12"/>
      <c r="J78" s="12">
        <v>79000</v>
      </c>
      <c r="K78" s="12"/>
      <c r="L78" s="12"/>
    </row>
    <row r="79" spans="2:12" x14ac:dyDescent="0.2">
      <c r="B79" s="5">
        <v>45890</v>
      </c>
      <c r="C79" t="s">
        <v>1873</v>
      </c>
      <c r="D79" t="s">
        <v>84</v>
      </c>
      <c r="E79" s="12">
        <v>604500</v>
      </c>
      <c r="F79" s="35">
        <v>46144.558876631942</v>
      </c>
      <c r="G79" s="12"/>
      <c r="H79" s="12"/>
      <c r="I79" s="12"/>
      <c r="J79" s="12">
        <v>604500</v>
      </c>
      <c r="K79" s="12"/>
      <c r="L79" s="12"/>
    </row>
    <row r="80" spans="2:12" x14ac:dyDescent="0.2">
      <c r="B80" s="5">
        <v>45893</v>
      </c>
      <c r="C80" t="s">
        <v>1873</v>
      </c>
      <c r="D80" t="s">
        <v>84</v>
      </c>
      <c r="E80" s="12">
        <v>154500</v>
      </c>
      <c r="F80" s="35">
        <v>46144.558876631942</v>
      </c>
      <c r="G80" s="12"/>
      <c r="H80" s="12"/>
      <c r="I80" s="12"/>
      <c r="J80" s="12">
        <v>154500</v>
      </c>
      <c r="K80" s="12"/>
      <c r="L80" s="12"/>
    </row>
    <row r="81" spans="2:12" x14ac:dyDescent="0.2">
      <c r="B81" s="5">
        <v>45894</v>
      </c>
      <c r="C81" t="s">
        <v>85</v>
      </c>
      <c r="D81" t="s">
        <v>81</v>
      </c>
      <c r="E81" s="12">
        <v>230000</v>
      </c>
      <c r="F81" s="35">
        <v>46144.558876631942</v>
      </c>
      <c r="G81" s="12">
        <v>230000</v>
      </c>
      <c r="H81" s="12"/>
      <c r="I81" s="12"/>
      <c r="J81" s="12"/>
      <c r="K81" s="12"/>
      <c r="L81" s="12"/>
    </row>
    <row r="82" spans="2:12" x14ac:dyDescent="0.2">
      <c r="B82" s="5">
        <v>45894</v>
      </c>
      <c r="C82" t="s">
        <v>85</v>
      </c>
      <c r="D82" t="s">
        <v>86</v>
      </c>
      <c r="E82" s="12">
        <v>200001</v>
      </c>
      <c r="F82" s="35">
        <v>46144.558876631942</v>
      </c>
      <c r="G82" s="12">
        <v>200001</v>
      </c>
      <c r="H82" s="12"/>
      <c r="I82" s="12"/>
      <c r="J82" s="12"/>
      <c r="K82" s="12"/>
      <c r="L82" s="12"/>
    </row>
    <row r="83" spans="2:12" x14ac:dyDescent="0.2">
      <c r="B83" s="5">
        <v>45895</v>
      </c>
      <c r="C83" t="s">
        <v>1874</v>
      </c>
      <c r="D83" t="s">
        <v>81</v>
      </c>
      <c r="E83" s="12">
        <v>79000</v>
      </c>
      <c r="F83" s="35">
        <v>46144.558876631942</v>
      </c>
      <c r="G83" s="12"/>
      <c r="H83" s="12"/>
      <c r="I83" s="12"/>
      <c r="J83" s="12">
        <v>79000</v>
      </c>
      <c r="K83" s="12"/>
      <c r="L83" s="12"/>
    </row>
    <row r="84" spans="2:12" x14ac:dyDescent="0.2">
      <c r="B84" s="5">
        <v>45895</v>
      </c>
      <c r="C84" t="s">
        <v>1873</v>
      </c>
      <c r="D84" t="s">
        <v>84</v>
      </c>
      <c r="E84" s="12">
        <v>74000</v>
      </c>
      <c r="F84" s="35">
        <v>46144.558876631942</v>
      </c>
      <c r="G84" s="12"/>
      <c r="H84" s="12"/>
      <c r="I84" s="12"/>
      <c r="J84" s="12">
        <v>74000</v>
      </c>
      <c r="K84" s="12"/>
      <c r="L84" s="12"/>
    </row>
    <row r="85" spans="2:12" x14ac:dyDescent="0.2">
      <c r="B85" s="5">
        <v>45895</v>
      </c>
      <c r="C85" t="s">
        <v>85</v>
      </c>
      <c r="D85" t="s">
        <v>81</v>
      </c>
      <c r="E85" s="12">
        <v>70000</v>
      </c>
      <c r="F85" s="35">
        <v>46144.558876631942</v>
      </c>
      <c r="G85" s="12">
        <v>70000</v>
      </c>
      <c r="H85" s="12"/>
      <c r="I85" s="12"/>
      <c r="J85" s="12"/>
      <c r="K85" s="12"/>
      <c r="L85" s="12"/>
    </row>
    <row r="86" spans="2:12" x14ac:dyDescent="0.2">
      <c r="B86" s="5">
        <v>45896</v>
      </c>
      <c r="C86" t="s">
        <v>85</v>
      </c>
      <c r="D86" t="s">
        <v>86</v>
      </c>
      <c r="E86" s="12">
        <v>64000</v>
      </c>
      <c r="F86" s="35">
        <v>46144.558876631942</v>
      </c>
      <c r="G86" s="12">
        <v>64000</v>
      </c>
      <c r="H86" s="12"/>
      <c r="I86" s="12"/>
      <c r="J86" s="12"/>
      <c r="K86" s="12"/>
      <c r="L86" s="12"/>
    </row>
    <row r="87" spans="2:12" x14ac:dyDescent="0.2">
      <c r="B87" s="5">
        <v>45898</v>
      </c>
      <c r="C87" t="s">
        <v>83</v>
      </c>
      <c r="D87" t="s">
        <v>84</v>
      </c>
      <c r="E87" s="12">
        <v>264000</v>
      </c>
      <c r="F87" s="35">
        <v>46144.558876631942</v>
      </c>
      <c r="G87" s="12"/>
      <c r="H87" s="12">
        <v>264000</v>
      </c>
      <c r="I87" s="12"/>
      <c r="J87" s="12"/>
      <c r="K87" s="12"/>
      <c r="L87" s="12"/>
    </row>
    <row r="88" spans="2:12" x14ac:dyDescent="0.2">
      <c r="B88" s="5">
        <v>45900</v>
      </c>
      <c r="C88" t="s">
        <v>85</v>
      </c>
      <c r="D88" t="s">
        <v>86</v>
      </c>
      <c r="E88" s="12">
        <v>309000</v>
      </c>
      <c r="F88" s="35">
        <v>46144.558876631942</v>
      </c>
      <c r="G88" s="12">
        <v>309000</v>
      </c>
      <c r="H88" s="12"/>
      <c r="I88" s="12"/>
      <c r="J88" s="12"/>
      <c r="K88" s="12"/>
      <c r="L88" s="12"/>
    </row>
    <row r="89" spans="2:12" x14ac:dyDescent="0.2">
      <c r="B89" s="5">
        <v>45901</v>
      </c>
      <c r="C89" t="s">
        <v>85</v>
      </c>
      <c r="D89" t="s">
        <v>86</v>
      </c>
      <c r="E89" s="12">
        <v>84500</v>
      </c>
      <c r="F89" s="35">
        <v>46144.558876631942</v>
      </c>
      <c r="G89" s="12">
        <v>84500</v>
      </c>
      <c r="H89" s="12"/>
      <c r="I89" s="12"/>
      <c r="J89" s="12"/>
      <c r="K89" s="12"/>
      <c r="L89" s="12"/>
    </row>
    <row r="90" spans="2:12" x14ac:dyDescent="0.2">
      <c r="B90" s="5">
        <v>45902</v>
      </c>
      <c r="C90" t="s">
        <v>85</v>
      </c>
      <c r="D90" t="s">
        <v>86</v>
      </c>
      <c r="E90" s="12">
        <v>243000</v>
      </c>
      <c r="F90" s="35">
        <v>46144.558876631942</v>
      </c>
      <c r="G90" s="12">
        <v>243000</v>
      </c>
      <c r="H90" s="12"/>
      <c r="I90" s="12"/>
      <c r="J90" s="12"/>
      <c r="K90" s="12"/>
      <c r="L90" s="12"/>
    </row>
    <row r="91" spans="2:12" x14ac:dyDescent="0.2">
      <c r="B91" s="5">
        <v>45902</v>
      </c>
      <c r="C91" t="s">
        <v>83</v>
      </c>
      <c r="D91" t="s">
        <v>81</v>
      </c>
      <c r="E91" s="12">
        <v>209000</v>
      </c>
      <c r="F91" s="35">
        <v>46144.558876631942</v>
      </c>
      <c r="G91" s="12"/>
      <c r="H91" s="12">
        <v>209000</v>
      </c>
      <c r="I91" s="12"/>
      <c r="J91" s="12"/>
      <c r="K91" s="12"/>
      <c r="L91" s="12"/>
    </row>
    <row r="92" spans="2:12" x14ac:dyDescent="0.2">
      <c r="B92" s="5">
        <v>45903</v>
      </c>
      <c r="C92" t="s">
        <v>85</v>
      </c>
      <c r="D92" t="s">
        <v>86</v>
      </c>
      <c r="E92" s="12">
        <v>283000</v>
      </c>
      <c r="F92" s="35">
        <v>46144.558876631942</v>
      </c>
      <c r="G92" s="12">
        <v>283000</v>
      </c>
      <c r="H92" s="12"/>
      <c r="I92" s="12"/>
      <c r="J92" s="12"/>
      <c r="K92" s="12"/>
      <c r="L92" s="12"/>
    </row>
    <row r="93" spans="2:12" x14ac:dyDescent="0.2">
      <c r="B93" s="5">
        <v>45904</v>
      </c>
      <c r="C93" t="s">
        <v>83</v>
      </c>
      <c r="D93" t="s">
        <v>84</v>
      </c>
      <c r="E93" s="12"/>
      <c r="F93" s="35">
        <v>46144.558876631942</v>
      </c>
      <c r="G93" s="12"/>
      <c r="H93" s="12"/>
      <c r="I93" s="12"/>
      <c r="J93" s="12"/>
      <c r="K93" s="12"/>
      <c r="L93" s="12"/>
    </row>
    <row r="94" spans="2:12" x14ac:dyDescent="0.2">
      <c r="B94" s="5">
        <v>45905</v>
      </c>
      <c r="C94" t="s">
        <v>85</v>
      </c>
      <c r="D94" t="s">
        <v>86</v>
      </c>
      <c r="E94" s="12">
        <v>639000</v>
      </c>
      <c r="F94" s="35">
        <v>46144.558876631942</v>
      </c>
      <c r="G94" s="12">
        <v>639000</v>
      </c>
      <c r="H94" s="12"/>
      <c r="I94" s="12"/>
      <c r="J94" s="12"/>
      <c r="K94" s="12"/>
      <c r="L94" s="12"/>
    </row>
    <row r="95" spans="2:12" x14ac:dyDescent="0.2">
      <c r="B95" s="5">
        <v>45906</v>
      </c>
      <c r="C95" t="s">
        <v>85</v>
      </c>
      <c r="D95" t="s">
        <v>81</v>
      </c>
      <c r="E95" s="12">
        <v>124500</v>
      </c>
      <c r="F95" s="35">
        <v>46144.558876631942</v>
      </c>
      <c r="G95" s="12">
        <v>124500</v>
      </c>
      <c r="H95" s="12"/>
      <c r="I95" s="12"/>
      <c r="J95" s="12"/>
      <c r="K95" s="12"/>
      <c r="L95" s="12"/>
    </row>
    <row r="96" spans="2:12" x14ac:dyDescent="0.2">
      <c r="B96" s="5">
        <v>45907</v>
      </c>
      <c r="C96" t="s">
        <v>83</v>
      </c>
      <c r="D96" t="s">
        <v>81</v>
      </c>
      <c r="E96" s="12"/>
      <c r="F96" s="35">
        <v>46144.558876631942</v>
      </c>
      <c r="G96" s="12"/>
      <c r="H96" s="12"/>
      <c r="I96" s="12"/>
      <c r="J96" s="12"/>
      <c r="K96" s="12"/>
      <c r="L96" s="12"/>
    </row>
    <row r="97" spans="2:12" x14ac:dyDescent="0.2">
      <c r="B97" s="5">
        <v>45908</v>
      </c>
      <c r="C97" t="s">
        <v>85</v>
      </c>
      <c r="D97" t="s">
        <v>86</v>
      </c>
      <c r="E97" s="12">
        <v>240000</v>
      </c>
      <c r="F97" s="35">
        <v>46144.558876631942</v>
      </c>
      <c r="G97" s="12">
        <v>240000</v>
      </c>
      <c r="H97" s="12"/>
      <c r="I97" s="12"/>
      <c r="J97" s="12"/>
      <c r="K97" s="12"/>
      <c r="L97" s="12"/>
    </row>
    <row r="98" spans="2:12" x14ac:dyDescent="0.2">
      <c r="B98" s="5">
        <v>45909</v>
      </c>
      <c r="C98" t="s">
        <v>83</v>
      </c>
      <c r="D98" t="s">
        <v>84</v>
      </c>
      <c r="E98" s="12">
        <v>55000</v>
      </c>
      <c r="F98" s="35">
        <v>46144.558876631942</v>
      </c>
      <c r="G98" s="12"/>
      <c r="H98" s="12">
        <v>55000</v>
      </c>
      <c r="I98" s="12"/>
      <c r="J98" s="12"/>
      <c r="K98" s="12"/>
      <c r="L98" s="12"/>
    </row>
    <row r="99" spans="2:12" x14ac:dyDescent="0.2">
      <c r="B99" s="5">
        <v>45910</v>
      </c>
      <c r="C99" t="s">
        <v>85</v>
      </c>
      <c r="D99" t="s">
        <v>86</v>
      </c>
      <c r="E99" s="12">
        <v>250000</v>
      </c>
      <c r="F99" s="35">
        <v>46144.558876631942</v>
      </c>
      <c r="G99" s="12">
        <v>250000</v>
      </c>
      <c r="H99" s="12"/>
      <c r="I99" s="12"/>
      <c r="J99" s="12"/>
      <c r="K99" s="12"/>
      <c r="L99" s="12"/>
    </row>
    <row r="100" spans="2:12" x14ac:dyDescent="0.2">
      <c r="B100" s="5">
        <v>45911</v>
      </c>
      <c r="C100" t="s">
        <v>85</v>
      </c>
      <c r="D100" t="s">
        <v>86</v>
      </c>
      <c r="E100" s="12">
        <v>55000</v>
      </c>
      <c r="F100" s="35">
        <v>46144.558876631942</v>
      </c>
      <c r="G100" s="12">
        <v>55000</v>
      </c>
      <c r="H100" s="12"/>
      <c r="I100" s="12"/>
      <c r="J100" s="12"/>
      <c r="K100" s="12"/>
      <c r="L100" s="12"/>
    </row>
    <row r="101" spans="2:12" x14ac:dyDescent="0.2">
      <c r="B101" s="5">
        <v>45914</v>
      </c>
      <c r="C101" t="s">
        <v>85</v>
      </c>
      <c r="D101" t="s">
        <v>86</v>
      </c>
      <c r="E101" s="12">
        <v>109000</v>
      </c>
      <c r="F101" s="35">
        <v>46144.558876631942</v>
      </c>
      <c r="G101" s="12">
        <v>109000</v>
      </c>
      <c r="H101" s="12"/>
      <c r="I101" s="12"/>
      <c r="J101" s="12"/>
      <c r="K101" s="12"/>
      <c r="L101" s="12"/>
    </row>
    <row r="102" spans="2:12" x14ac:dyDescent="0.2">
      <c r="B102" s="5">
        <v>45916</v>
      </c>
      <c r="C102" t="s">
        <v>85</v>
      </c>
      <c r="D102" t="s">
        <v>86</v>
      </c>
      <c r="E102" s="12">
        <v>263000</v>
      </c>
      <c r="F102" s="35">
        <v>46144.558876631942</v>
      </c>
      <c r="G102" s="12">
        <v>263000</v>
      </c>
      <c r="H102" s="12"/>
      <c r="I102" s="12"/>
      <c r="J102" s="12"/>
      <c r="K102" s="12"/>
      <c r="L102" s="12"/>
    </row>
    <row r="103" spans="2:12" x14ac:dyDescent="0.2">
      <c r="B103" s="5">
        <v>45919</v>
      </c>
      <c r="C103" t="s">
        <v>85</v>
      </c>
      <c r="D103" t="s">
        <v>86</v>
      </c>
      <c r="E103" s="12">
        <v>85500</v>
      </c>
      <c r="F103" s="35">
        <v>46144.558876631942</v>
      </c>
      <c r="G103" s="12">
        <v>85500</v>
      </c>
      <c r="H103" s="12"/>
      <c r="I103" s="12"/>
      <c r="J103" s="12"/>
      <c r="K103" s="12"/>
      <c r="L103" s="12"/>
    </row>
    <row r="104" spans="2:12" x14ac:dyDescent="0.2">
      <c r="B104" s="5">
        <v>45922</v>
      </c>
      <c r="C104" t="s">
        <v>85</v>
      </c>
      <c r="D104" t="s">
        <v>86</v>
      </c>
      <c r="E104" s="12">
        <v>144000</v>
      </c>
      <c r="F104" s="35">
        <v>46144.558876631942</v>
      </c>
      <c r="G104" s="12">
        <v>144000</v>
      </c>
      <c r="H104" s="12"/>
      <c r="I104" s="12"/>
      <c r="J104" s="12"/>
      <c r="K104" s="12"/>
      <c r="L104" s="12"/>
    </row>
    <row r="105" spans="2:12" x14ac:dyDescent="0.2">
      <c r="B105" s="5">
        <v>45922</v>
      </c>
      <c r="C105" t="s">
        <v>85</v>
      </c>
      <c r="D105" t="s">
        <v>81</v>
      </c>
      <c r="E105" s="12">
        <v>70000</v>
      </c>
      <c r="F105" s="35">
        <v>46144.558876631942</v>
      </c>
      <c r="G105" s="12">
        <v>70000</v>
      </c>
      <c r="H105" s="12"/>
      <c r="I105" s="12"/>
      <c r="J105" s="12"/>
      <c r="K105" s="12"/>
      <c r="L105" s="12"/>
    </row>
    <row r="106" spans="2:12" x14ac:dyDescent="0.2">
      <c r="B106" s="5">
        <v>45923</v>
      </c>
      <c r="C106" t="s">
        <v>83</v>
      </c>
      <c r="D106" t="s">
        <v>81</v>
      </c>
      <c r="E106" s="12"/>
      <c r="F106" s="35">
        <v>46144.558876631942</v>
      </c>
      <c r="G106" s="12"/>
      <c r="H106" s="12"/>
      <c r="I106" s="12"/>
      <c r="J106" s="12"/>
      <c r="K106" s="12"/>
      <c r="L106" s="12"/>
    </row>
    <row r="107" spans="2:12" x14ac:dyDescent="0.2">
      <c r="B107" s="5">
        <v>45925</v>
      </c>
      <c r="C107" t="s">
        <v>85</v>
      </c>
      <c r="D107" t="s">
        <v>81</v>
      </c>
      <c r="E107" s="12">
        <v>120000</v>
      </c>
      <c r="F107" s="35">
        <v>46144.558876631942</v>
      </c>
      <c r="G107" s="12">
        <v>120000</v>
      </c>
      <c r="H107" s="12"/>
      <c r="I107" s="12"/>
      <c r="J107" s="12"/>
      <c r="K107" s="12"/>
      <c r="L107" s="12"/>
    </row>
    <row r="108" spans="2:12" x14ac:dyDescent="0.2">
      <c r="B108" s="5">
        <v>45927</v>
      </c>
      <c r="C108" t="s">
        <v>83</v>
      </c>
      <c r="D108" t="s">
        <v>81</v>
      </c>
      <c r="E108" s="12"/>
      <c r="F108" s="35">
        <v>46144.558876631942</v>
      </c>
      <c r="G108" s="12"/>
      <c r="H108" s="12"/>
      <c r="I108" s="12"/>
      <c r="J108" s="12"/>
      <c r="K108" s="12"/>
      <c r="L108" s="12"/>
    </row>
    <row r="109" spans="2:12" x14ac:dyDescent="0.2">
      <c r="B109" s="5">
        <v>45927</v>
      </c>
      <c r="C109" t="s">
        <v>83</v>
      </c>
      <c r="D109" t="s">
        <v>84</v>
      </c>
      <c r="E109" s="12">
        <v>214500</v>
      </c>
      <c r="F109" s="35">
        <v>46144.558876631942</v>
      </c>
      <c r="G109" s="12"/>
      <c r="H109" s="12">
        <v>214500</v>
      </c>
      <c r="I109" s="12"/>
      <c r="J109" s="12"/>
      <c r="K109" s="12"/>
      <c r="L109" s="12"/>
    </row>
    <row r="110" spans="2:12" x14ac:dyDescent="0.2">
      <c r="B110" s="5">
        <v>45927</v>
      </c>
      <c r="C110" t="s">
        <v>85</v>
      </c>
      <c r="D110" t="s">
        <v>86</v>
      </c>
      <c r="E110" s="12">
        <v>69000</v>
      </c>
      <c r="F110" s="35">
        <v>46144.558876631942</v>
      </c>
      <c r="G110" s="12">
        <v>69000</v>
      </c>
      <c r="H110" s="12"/>
      <c r="I110" s="12"/>
      <c r="J110" s="12"/>
      <c r="K110" s="12"/>
      <c r="L110" s="12"/>
    </row>
    <row r="111" spans="2:12" x14ac:dyDescent="0.2">
      <c r="B111" s="5">
        <v>45928</v>
      </c>
      <c r="C111" t="s">
        <v>85</v>
      </c>
      <c r="D111" t="s">
        <v>86</v>
      </c>
      <c r="E111" s="12">
        <v>249500</v>
      </c>
      <c r="F111" s="35">
        <v>46144.558876631942</v>
      </c>
      <c r="G111" s="12">
        <v>249500</v>
      </c>
      <c r="H111" s="12"/>
      <c r="I111" s="12"/>
      <c r="J111" s="12"/>
      <c r="K111" s="12"/>
      <c r="L111" s="12"/>
    </row>
    <row r="112" spans="2:12" x14ac:dyDescent="0.2">
      <c r="B112" s="5">
        <v>45929</v>
      </c>
      <c r="C112" t="s">
        <v>83</v>
      </c>
      <c r="D112" t="s">
        <v>84</v>
      </c>
      <c r="E112" s="12">
        <v>163500</v>
      </c>
      <c r="F112" s="35">
        <v>46144.558876631942</v>
      </c>
      <c r="G112" s="12"/>
      <c r="H112" s="12">
        <v>163500</v>
      </c>
      <c r="I112" s="12"/>
      <c r="J112" s="12"/>
      <c r="K112" s="12"/>
      <c r="L112" s="12"/>
    </row>
    <row r="113" spans="2:12" x14ac:dyDescent="0.2">
      <c r="B113" s="5">
        <v>45929</v>
      </c>
      <c r="C113" t="s">
        <v>85</v>
      </c>
      <c r="D113" t="s">
        <v>86</v>
      </c>
      <c r="E113" s="12">
        <v>574000</v>
      </c>
      <c r="F113" s="35">
        <v>46144.558876631942</v>
      </c>
      <c r="G113" s="12">
        <v>574000</v>
      </c>
      <c r="H113" s="12"/>
      <c r="I113" s="12"/>
      <c r="J113" s="12"/>
      <c r="K113" s="12"/>
      <c r="L113" s="12"/>
    </row>
    <row r="114" spans="2:12" x14ac:dyDescent="0.2">
      <c r="B114" s="5">
        <v>45930</v>
      </c>
      <c r="C114" t="s">
        <v>85</v>
      </c>
      <c r="D114" t="s">
        <v>86</v>
      </c>
      <c r="E114" s="12">
        <v>210000</v>
      </c>
      <c r="F114" s="35">
        <v>46144.558876631942</v>
      </c>
      <c r="G114" s="12">
        <v>210000</v>
      </c>
      <c r="H114" s="12"/>
      <c r="I114" s="12"/>
      <c r="J114" s="12"/>
      <c r="K114" s="12"/>
      <c r="L114" s="12"/>
    </row>
    <row r="115" spans="2:12" x14ac:dyDescent="0.2">
      <c r="B115" s="5">
        <v>45930</v>
      </c>
      <c r="C115" t="s">
        <v>85</v>
      </c>
      <c r="D115" t="s">
        <v>81</v>
      </c>
      <c r="E115" s="12">
        <v>164000</v>
      </c>
      <c r="F115" s="35">
        <v>46144.558876631942</v>
      </c>
      <c r="G115" s="12">
        <v>164000</v>
      </c>
      <c r="H115" s="12"/>
      <c r="I115" s="12"/>
      <c r="J115" s="12"/>
      <c r="K115" s="12"/>
      <c r="L115" s="12"/>
    </row>
    <row r="116" spans="2:12" x14ac:dyDescent="0.2">
      <c r="B116" s="5">
        <v>45933</v>
      </c>
      <c r="C116" t="s">
        <v>83</v>
      </c>
      <c r="D116" t="s">
        <v>84</v>
      </c>
      <c r="E116" s="12">
        <v>174000</v>
      </c>
      <c r="F116" s="35">
        <v>46144.558876631942</v>
      </c>
      <c r="G116" s="12"/>
      <c r="H116" s="12">
        <v>174000</v>
      </c>
      <c r="I116" s="12"/>
      <c r="J116" s="12"/>
      <c r="K116" s="12"/>
      <c r="L116" s="12"/>
    </row>
    <row r="117" spans="2:12" x14ac:dyDescent="0.2">
      <c r="B117" s="5">
        <v>45933</v>
      </c>
      <c r="C117" t="s">
        <v>85</v>
      </c>
      <c r="D117" t="s">
        <v>81</v>
      </c>
      <c r="E117" s="12">
        <v>409000</v>
      </c>
      <c r="F117" s="35">
        <v>46144.558876631942</v>
      </c>
      <c r="G117" s="12">
        <v>409000</v>
      </c>
      <c r="H117" s="12"/>
      <c r="I117" s="12"/>
      <c r="J117" s="12"/>
      <c r="K117" s="12"/>
      <c r="L117" s="12"/>
    </row>
    <row r="118" spans="2:12" x14ac:dyDescent="0.2">
      <c r="B118" s="5">
        <v>45936</v>
      </c>
      <c r="C118" t="s">
        <v>83</v>
      </c>
      <c r="D118" t="s">
        <v>84</v>
      </c>
      <c r="E118" s="12"/>
      <c r="F118" s="35">
        <v>46144.558876631942</v>
      </c>
      <c r="G118" s="12"/>
      <c r="H118" s="12"/>
      <c r="I118" s="12"/>
      <c r="J118" s="12"/>
      <c r="K118" s="12"/>
      <c r="L118" s="12"/>
    </row>
    <row r="119" spans="2:12" x14ac:dyDescent="0.2">
      <c r="B119" s="5">
        <v>45937</v>
      </c>
      <c r="C119" t="s">
        <v>83</v>
      </c>
      <c r="D119" t="s">
        <v>84</v>
      </c>
      <c r="E119" s="12">
        <v>94000</v>
      </c>
      <c r="F119" s="35">
        <v>46144.558876631942</v>
      </c>
      <c r="G119" s="12"/>
      <c r="H119" s="12">
        <v>94000</v>
      </c>
      <c r="I119" s="12"/>
      <c r="J119" s="12"/>
      <c r="K119" s="12"/>
      <c r="L119" s="12"/>
    </row>
    <row r="120" spans="2:12" x14ac:dyDescent="0.2">
      <c r="B120" s="5">
        <v>45937</v>
      </c>
      <c r="C120" t="s">
        <v>85</v>
      </c>
      <c r="D120" t="s">
        <v>86</v>
      </c>
      <c r="E120" s="12">
        <v>144500</v>
      </c>
      <c r="F120" s="35">
        <v>46144.558876631942</v>
      </c>
      <c r="G120" s="12">
        <v>144500</v>
      </c>
      <c r="H120" s="12"/>
      <c r="I120" s="12"/>
      <c r="J120" s="12"/>
      <c r="K120" s="12"/>
      <c r="L120" s="12"/>
    </row>
    <row r="121" spans="2:12" x14ac:dyDescent="0.2">
      <c r="B121" s="5">
        <v>45938</v>
      </c>
      <c r="C121" t="s">
        <v>85</v>
      </c>
      <c r="D121" t="s">
        <v>86</v>
      </c>
      <c r="E121" s="12">
        <v>253000</v>
      </c>
      <c r="F121" s="35">
        <v>46144.558876631942</v>
      </c>
      <c r="G121" s="12">
        <v>253000</v>
      </c>
      <c r="H121" s="12"/>
      <c r="I121" s="12"/>
      <c r="J121" s="12"/>
      <c r="K121" s="12"/>
      <c r="L121" s="12"/>
    </row>
    <row r="122" spans="2:12" x14ac:dyDescent="0.2">
      <c r="B122" s="5">
        <v>45942</v>
      </c>
      <c r="C122" t="s">
        <v>83</v>
      </c>
      <c r="D122" t="s">
        <v>84</v>
      </c>
      <c r="E122" s="12">
        <v>129000</v>
      </c>
      <c r="F122" s="35">
        <v>46144.558876631942</v>
      </c>
      <c r="G122" s="12"/>
      <c r="H122" s="12">
        <v>129000</v>
      </c>
      <c r="I122" s="12"/>
      <c r="J122" s="12"/>
      <c r="K122" s="12"/>
      <c r="L122" s="12"/>
    </row>
    <row r="123" spans="2:12" x14ac:dyDescent="0.2">
      <c r="B123" s="5">
        <v>45946</v>
      </c>
      <c r="C123" t="s">
        <v>85</v>
      </c>
      <c r="D123" t="s">
        <v>86</v>
      </c>
      <c r="E123" s="12">
        <v>788500</v>
      </c>
      <c r="F123" s="35">
        <v>46144.558876631942</v>
      </c>
      <c r="G123" s="12">
        <v>788500</v>
      </c>
      <c r="H123" s="12"/>
      <c r="I123" s="12"/>
      <c r="J123" s="12"/>
      <c r="K123" s="12"/>
      <c r="L123" s="12"/>
    </row>
    <row r="124" spans="2:12" x14ac:dyDescent="0.2">
      <c r="B124" s="5">
        <v>45946</v>
      </c>
      <c r="C124" t="s">
        <v>83</v>
      </c>
      <c r="D124" t="s">
        <v>84</v>
      </c>
      <c r="E124" s="12"/>
      <c r="F124" s="35">
        <v>46144.558876631942</v>
      </c>
      <c r="G124" s="12"/>
      <c r="H124" s="12"/>
      <c r="I124" s="12"/>
      <c r="J124" s="12"/>
      <c r="K124" s="12"/>
      <c r="L124" s="12"/>
    </row>
    <row r="125" spans="2:12" x14ac:dyDescent="0.2">
      <c r="B125" s="5">
        <v>45947</v>
      </c>
      <c r="C125" t="s">
        <v>85</v>
      </c>
      <c r="D125" t="s">
        <v>86</v>
      </c>
      <c r="E125" s="12">
        <v>275000</v>
      </c>
      <c r="F125" s="35">
        <v>46144.558876631942</v>
      </c>
      <c r="G125" s="12">
        <v>275000</v>
      </c>
      <c r="H125" s="12"/>
      <c r="I125" s="12"/>
      <c r="J125" s="12"/>
      <c r="K125" s="12"/>
      <c r="L125" s="12"/>
    </row>
    <row r="126" spans="2:12" x14ac:dyDescent="0.2">
      <c r="B126" s="5">
        <v>45947</v>
      </c>
      <c r="C126" t="s">
        <v>85</v>
      </c>
      <c r="D126" t="s">
        <v>81</v>
      </c>
      <c r="E126" s="12">
        <v>84500</v>
      </c>
      <c r="F126" s="35">
        <v>46144.558876631942</v>
      </c>
      <c r="G126" s="12">
        <v>84500</v>
      </c>
      <c r="H126" s="12"/>
      <c r="I126" s="12"/>
      <c r="J126" s="12"/>
      <c r="K126" s="12"/>
      <c r="L126" s="12"/>
    </row>
    <row r="127" spans="2:12" x14ac:dyDescent="0.2">
      <c r="B127" s="5">
        <v>45949</v>
      </c>
      <c r="C127" t="s">
        <v>85</v>
      </c>
      <c r="D127" t="s">
        <v>86</v>
      </c>
      <c r="E127" s="12">
        <v>661000</v>
      </c>
      <c r="F127" s="35">
        <v>46144.558876631942</v>
      </c>
      <c r="G127" s="12">
        <v>661000</v>
      </c>
      <c r="H127" s="12"/>
      <c r="I127" s="12"/>
      <c r="J127" s="12"/>
      <c r="K127" s="12"/>
      <c r="L127" s="12"/>
    </row>
    <row r="128" spans="2:12" x14ac:dyDescent="0.2">
      <c r="B128" s="5">
        <v>45949</v>
      </c>
      <c r="C128" t="s">
        <v>85</v>
      </c>
      <c r="D128" t="s">
        <v>81</v>
      </c>
      <c r="E128" s="12">
        <v>129000</v>
      </c>
      <c r="F128" s="35">
        <v>46144.558876631942</v>
      </c>
      <c r="G128" s="12">
        <v>129000</v>
      </c>
      <c r="H128" s="12"/>
      <c r="I128" s="12"/>
      <c r="J128" s="12"/>
      <c r="K128" s="12"/>
      <c r="L128" s="12"/>
    </row>
    <row r="129" spans="2:12" x14ac:dyDescent="0.2">
      <c r="B129" s="5">
        <v>45951</v>
      </c>
      <c r="C129" t="s">
        <v>85</v>
      </c>
      <c r="D129" t="s">
        <v>86</v>
      </c>
      <c r="E129" s="12">
        <v>149500</v>
      </c>
      <c r="F129" s="35">
        <v>46144.558876631942</v>
      </c>
      <c r="G129" s="12">
        <v>149500</v>
      </c>
      <c r="H129" s="12"/>
      <c r="I129" s="12"/>
      <c r="J129" s="12"/>
      <c r="K129" s="12"/>
      <c r="L129" s="12"/>
    </row>
    <row r="130" spans="2:12" x14ac:dyDescent="0.2">
      <c r="B130" s="5">
        <v>45951</v>
      </c>
      <c r="C130" t="s">
        <v>85</v>
      </c>
      <c r="D130" t="s">
        <v>81</v>
      </c>
      <c r="E130" s="12">
        <v>104500</v>
      </c>
      <c r="F130" s="35">
        <v>46144.558876631942</v>
      </c>
      <c r="G130" s="12">
        <v>104500</v>
      </c>
      <c r="H130" s="12"/>
      <c r="I130" s="12"/>
      <c r="J130" s="12"/>
      <c r="K130" s="12"/>
      <c r="L130" s="12"/>
    </row>
    <row r="131" spans="2:12" x14ac:dyDescent="0.2">
      <c r="B131" s="5">
        <v>45952</v>
      </c>
      <c r="C131" t="s">
        <v>85</v>
      </c>
      <c r="D131" t="s">
        <v>86</v>
      </c>
      <c r="E131" s="12">
        <v>398500</v>
      </c>
      <c r="F131" s="35">
        <v>46144.558876631942</v>
      </c>
      <c r="G131" s="12">
        <v>398500</v>
      </c>
      <c r="H131" s="12"/>
      <c r="I131" s="12"/>
      <c r="J131" s="12"/>
      <c r="K131" s="12"/>
      <c r="L131" s="12"/>
    </row>
    <row r="132" spans="2:12" x14ac:dyDescent="0.2">
      <c r="B132" s="5">
        <v>45953</v>
      </c>
      <c r="C132" t="s">
        <v>83</v>
      </c>
      <c r="D132" t="s">
        <v>84</v>
      </c>
      <c r="E132" s="12">
        <v>79000</v>
      </c>
      <c r="F132" s="35">
        <v>46144.558876631942</v>
      </c>
      <c r="G132" s="12"/>
      <c r="H132" s="12">
        <v>79000</v>
      </c>
      <c r="I132" s="12"/>
      <c r="J132" s="12"/>
      <c r="K132" s="12"/>
      <c r="L132" s="12"/>
    </row>
    <row r="133" spans="2:12" x14ac:dyDescent="0.2">
      <c r="B133" s="5">
        <v>45955</v>
      </c>
      <c r="C133" t="s">
        <v>83</v>
      </c>
      <c r="D133" t="s">
        <v>84</v>
      </c>
      <c r="E133" s="12">
        <v>79500</v>
      </c>
      <c r="F133" s="35">
        <v>46144.558876631942</v>
      </c>
      <c r="G133" s="12"/>
      <c r="H133" s="12">
        <v>79500</v>
      </c>
      <c r="I133" s="12"/>
      <c r="J133" s="12"/>
      <c r="K133" s="12"/>
      <c r="L133" s="12"/>
    </row>
    <row r="134" spans="2:12" x14ac:dyDescent="0.2">
      <c r="B134" s="5">
        <v>45956</v>
      </c>
      <c r="C134" t="s">
        <v>83</v>
      </c>
      <c r="D134" t="s">
        <v>84</v>
      </c>
      <c r="E134" s="12">
        <v>129000</v>
      </c>
      <c r="F134" s="35">
        <v>46144.558876631942</v>
      </c>
      <c r="G134" s="12"/>
      <c r="H134" s="12">
        <v>129000</v>
      </c>
      <c r="I134" s="12"/>
      <c r="J134" s="12"/>
      <c r="K134" s="12"/>
      <c r="L134" s="12"/>
    </row>
    <row r="135" spans="2:12" x14ac:dyDescent="0.2">
      <c r="B135" s="5">
        <v>45958</v>
      </c>
      <c r="C135" t="s">
        <v>83</v>
      </c>
      <c r="D135" t="s">
        <v>84</v>
      </c>
      <c r="E135" s="12">
        <v>204000</v>
      </c>
      <c r="F135" s="35">
        <v>46144.558876631942</v>
      </c>
      <c r="G135" s="12"/>
      <c r="H135" s="12">
        <v>204000</v>
      </c>
      <c r="I135" s="12"/>
      <c r="J135" s="12"/>
      <c r="K135" s="12"/>
      <c r="L135" s="12"/>
    </row>
    <row r="136" spans="2:12" x14ac:dyDescent="0.2">
      <c r="B136" s="5">
        <v>45961</v>
      </c>
      <c r="C136" t="s">
        <v>83</v>
      </c>
      <c r="D136" t="s">
        <v>84</v>
      </c>
      <c r="E136" s="12">
        <v>254500</v>
      </c>
      <c r="F136" s="35">
        <v>46144.558876631942</v>
      </c>
      <c r="G136" s="12"/>
      <c r="H136" s="12">
        <v>254500</v>
      </c>
      <c r="I136" s="12"/>
      <c r="J136" s="12"/>
      <c r="K136" s="12"/>
      <c r="L136" s="12"/>
    </row>
    <row r="137" spans="2:12" x14ac:dyDescent="0.2">
      <c r="B137" s="5">
        <v>45963</v>
      </c>
      <c r="C137" t="s">
        <v>83</v>
      </c>
      <c r="D137" t="s">
        <v>84</v>
      </c>
      <c r="E137" s="12">
        <v>84500</v>
      </c>
      <c r="F137" s="35">
        <v>46144.558876631942</v>
      </c>
      <c r="G137" s="12"/>
      <c r="H137" s="12">
        <v>84500</v>
      </c>
      <c r="I137" s="12"/>
      <c r="J137" s="12"/>
      <c r="K137" s="12"/>
      <c r="L137" s="12"/>
    </row>
    <row r="138" spans="2:12" x14ac:dyDescent="0.2">
      <c r="B138" s="5">
        <v>45964</v>
      </c>
      <c r="C138" t="s">
        <v>83</v>
      </c>
      <c r="D138" t="s">
        <v>84</v>
      </c>
      <c r="E138" s="12">
        <v>539000</v>
      </c>
      <c r="F138" s="35">
        <v>46144.558876631942</v>
      </c>
      <c r="G138" s="12"/>
      <c r="H138" s="12">
        <v>539000</v>
      </c>
      <c r="I138" s="12"/>
      <c r="J138" s="12"/>
      <c r="K138" s="12"/>
      <c r="L138" s="12"/>
    </row>
    <row r="139" spans="2:12" x14ac:dyDescent="0.2">
      <c r="B139" s="5">
        <v>45965</v>
      </c>
      <c r="C139" t="s">
        <v>83</v>
      </c>
      <c r="D139" t="s">
        <v>84</v>
      </c>
      <c r="E139" s="12">
        <v>129000</v>
      </c>
      <c r="F139" s="35">
        <v>46144.558876631942</v>
      </c>
      <c r="G139" s="12"/>
      <c r="H139" s="12">
        <v>129000</v>
      </c>
      <c r="I139" s="12"/>
      <c r="J139" s="12"/>
      <c r="K139" s="12"/>
      <c r="L139" s="12"/>
    </row>
    <row r="140" spans="2:12" x14ac:dyDescent="0.2">
      <c r="B140" s="5">
        <v>45967</v>
      </c>
      <c r="C140" t="s">
        <v>83</v>
      </c>
      <c r="D140" t="s">
        <v>84</v>
      </c>
      <c r="E140" s="12">
        <v>45000</v>
      </c>
      <c r="F140" s="35">
        <v>46144.558876631942</v>
      </c>
      <c r="G140" s="12"/>
      <c r="H140" s="12">
        <v>45000</v>
      </c>
      <c r="I140" s="12"/>
      <c r="J140" s="12"/>
      <c r="K140" s="12"/>
      <c r="L140" s="12"/>
    </row>
    <row r="141" spans="2:12" x14ac:dyDescent="0.2">
      <c r="B141" s="5">
        <v>45969</v>
      </c>
      <c r="C141" t="s">
        <v>83</v>
      </c>
      <c r="D141" t="s">
        <v>84</v>
      </c>
      <c r="E141" s="12">
        <v>110000</v>
      </c>
      <c r="F141" s="35">
        <v>46144.558876631942</v>
      </c>
      <c r="G141" s="12"/>
      <c r="H141" s="12">
        <v>110000</v>
      </c>
      <c r="I141" s="12"/>
      <c r="J141" s="12"/>
      <c r="K141" s="12"/>
      <c r="L141" s="12"/>
    </row>
    <row r="142" spans="2:12" x14ac:dyDescent="0.2">
      <c r="B142" s="5">
        <v>45971</v>
      </c>
      <c r="C142" t="s">
        <v>85</v>
      </c>
      <c r="D142" t="s">
        <v>86</v>
      </c>
      <c r="E142" s="12">
        <v>84500</v>
      </c>
      <c r="F142" s="35">
        <v>46144.558876631942</v>
      </c>
      <c r="G142" s="12">
        <v>84500</v>
      </c>
      <c r="H142" s="12"/>
      <c r="I142" s="12"/>
      <c r="J142" s="12"/>
      <c r="K142" s="12"/>
      <c r="L142" s="12"/>
    </row>
    <row r="143" spans="2:12" x14ac:dyDescent="0.2">
      <c r="B143" s="5">
        <v>45972</v>
      </c>
      <c r="C143" t="s">
        <v>85</v>
      </c>
      <c r="D143" t="s">
        <v>86</v>
      </c>
      <c r="E143" s="12">
        <v>55000</v>
      </c>
      <c r="F143" s="35">
        <v>46144.558876631942</v>
      </c>
      <c r="G143" s="12">
        <v>55000</v>
      </c>
      <c r="H143" s="12"/>
      <c r="I143" s="12"/>
      <c r="J143" s="12"/>
      <c r="K143" s="12"/>
      <c r="L143" s="12"/>
    </row>
    <row r="144" spans="2:12" x14ac:dyDescent="0.2">
      <c r="B144" s="5">
        <v>45975</v>
      </c>
      <c r="C144" t="s">
        <v>85</v>
      </c>
      <c r="D144" t="s">
        <v>86</v>
      </c>
      <c r="E144" s="12">
        <v>149000</v>
      </c>
      <c r="F144" s="35">
        <v>46144.558876631942</v>
      </c>
      <c r="G144" s="12">
        <v>149000</v>
      </c>
      <c r="H144" s="12"/>
      <c r="I144" s="12"/>
      <c r="J144" s="12"/>
      <c r="K144" s="12"/>
      <c r="L144" s="12"/>
    </row>
    <row r="145" spans="2:12" x14ac:dyDescent="0.2">
      <c r="B145" s="5">
        <v>45977</v>
      </c>
      <c r="C145" t="s">
        <v>85</v>
      </c>
      <c r="D145" t="s">
        <v>86</v>
      </c>
      <c r="E145" s="12">
        <v>129000</v>
      </c>
      <c r="F145" s="35">
        <v>46144.558876631942</v>
      </c>
      <c r="G145" s="12">
        <v>129000</v>
      </c>
      <c r="H145" s="12"/>
      <c r="I145" s="12"/>
      <c r="J145" s="12"/>
      <c r="K145" s="12"/>
      <c r="L145" s="12"/>
    </row>
    <row r="146" spans="2:12" x14ac:dyDescent="0.2">
      <c r="B146" s="5">
        <v>45979</v>
      </c>
      <c r="C146" t="s">
        <v>85</v>
      </c>
      <c r="D146" t="s">
        <v>81</v>
      </c>
      <c r="E146" s="12">
        <v>79000</v>
      </c>
      <c r="F146" s="35">
        <v>46144.558876631942</v>
      </c>
      <c r="G146" s="12">
        <v>79000</v>
      </c>
      <c r="H146" s="12"/>
      <c r="I146" s="12"/>
      <c r="J146" s="12"/>
      <c r="K146" s="12"/>
      <c r="L146" s="12"/>
    </row>
    <row r="147" spans="2:12" x14ac:dyDescent="0.2">
      <c r="B147" s="5">
        <v>45981</v>
      </c>
      <c r="C147" t="s">
        <v>83</v>
      </c>
      <c r="D147" t="s">
        <v>84</v>
      </c>
      <c r="E147" s="12">
        <v>129000</v>
      </c>
      <c r="F147" s="35">
        <v>46144.558876631942</v>
      </c>
      <c r="G147" s="12"/>
      <c r="H147" s="12">
        <v>129000</v>
      </c>
      <c r="I147" s="12"/>
      <c r="J147" s="12"/>
      <c r="K147" s="12"/>
      <c r="L147" s="12"/>
    </row>
    <row r="148" spans="2:12" x14ac:dyDescent="0.2">
      <c r="B148" s="5">
        <v>45981</v>
      </c>
      <c r="C148" t="s">
        <v>85</v>
      </c>
      <c r="D148" t="s">
        <v>86</v>
      </c>
      <c r="E148" s="12">
        <v>199000</v>
      </c>
      <c r="F148" s="35">
        <v>46144.558876631942</v>
      </c>
      <c r="G148" s="12">
        <v>199000</v>
      </c>
      <c r="H148" s="12"/>
      <c r="I148" s="12"/>
      <c r="J148" s="12"/>
      <c r="K148" s="12"/>
      <c r="L148" s="12"/>
    </row>
    <row r="149" spans="2:12" x14ac:dyDescent="0.2">
      <c r="B149" s="5">
        <v>45983</v>
      </c>
      <c r="C149" t="s">
        <v>83</v>
      </c>
      <c r="D149" t="s">
        <v>84</v>
      </c>
      <c r="E149" s="12">
        <v>84500</v>
      </c>
      <c r="F149" s="35">
        <v>46144.558876631942</v>
      </c>
      <c r="G149" s="12"/>
      <c r="H149" s="12">
        <v>84500</v>
      </c>
      <c r="I149" s="12"/>
      <c r="J149" s="12"/>
      <c r="K149" s="12"/>
      <c r="L149" s="12"/>
    </row>
    <row r="150" spans="2:12" x14ac:dyDescent="0.2">
      <c r="B150" s="5">
        <v>45984</v>
      </c>
      <c r="C150" t="s">
        <v>85</v>
      </c>
      <c r="D150" t="s">
        <v>86</v>
      </c>
      <c r="E150" s="12">
        <v>129000</v>
      </c>
      <c r="F150" s="35">
        <v>46144.558876631942</v>
      </c>
      <c r="G150" s="12">
        <v>129000</v>
      </c>
      <c r="H150" s="12"/>
      <c r="I150" s="12"/>
      <c r="J150" s="12"/>
      <c r="K150" s="12"/>
      <c r="L150" s="12"/>
    </row>
    <row r="151" spans="2:12" x14ac:dyDescent="0.2">
      <c r="B151" s="5">
        <v>45985</v>
      </c>
      <c r="C151" t="s">
        <v>83</v>
      </c>
      <c r="D151" t="s">
        <v>84</v>
      </c>
      <c r="E151" s="12">
        <v>79000</v>
      </c>
      <c r="F151" s="35">
        <v>46144.558876631942</v>
      </c>
      <c r="G151" s="12"/>
      <c r="H151" s="12">
        <v>79000</v>
      </c>
      <c r="I151" s="12"/>
      <c r="J151" s="12"/>
      <c r="K151" s="12"/>
      <c r="L151" s="12"/>
    </row>
    <row r="152" spans="2:12" x14ac:dyDescent="0.2">
      <c r="B152" s="5">
        <v>45985</v>
      </c>
      <c r="C152" t="s">
        <v>85</v>
      </c>
      <c r="D152" t="s">
        <v>86</v>
      </c>
      <c r="E152" s="12">
        <v>179000</v>
      </c>
      <c r="F152" s="35">
        <v>46144.558876631942</v>
      </c>
      <c r="G152" s="12">
        <v>179000</v>
      </c>
      <c r="H152" s="12"/>
      <c r="I152" s="12"/>
      <c r="J152" s="12"/>
      <c r="K152" s="12"/>
      <c r="L152" s="12"/>
    </row>
    <row r="153" spans="2:12" x14ac:dyDescent="0.2">
      <c r="B153" s="5">
        <v>45986</v>
      </c>
      <c r="C153" t="s">
        <v>83</v>
      </c>
      <c r="D153" t="s">
        <v>84</v>
      </c>
      <c r="E153" s="12">
        <v>523000</v>
      </c>
      <c r="F153" s="35">
        <v>46144.558876631942</v>
      </c>
      <c r="G153" s="12"/>
      <c r="H153" s="12">
        <v>523000</v>
      </c>
      <c r="I153" s="12"/>
      <c r="J153" s="12"/>
      <c r="K153" s="12"/>
      <c r="L153" s="12"/>
    </row>
    <row r="154" spans="2:12" x14ac:dyDescent="0.2">
      <c r="B154" s="5">
        <v>45986</v>
      </c>
      <c r="C154" t="s">
        <v>85</v>
      </c>
      <c r="D154" t="s">
        <v>81</v>
      </c>
      <c r="E154" s="12">
        <v>139000</v>
      </c>
      <c r="F154" s="35">
        <v>46144.558876631942</v>
      </c>
      <c r="G154" s="12">
        <v>139000</v>
      </c>
      <c r="H154" s="12"/>
      <c r="I154" s="12"/>
      <c r="J154" s="12"/>
      <c r="K154" s="12"/>
      <c r="L154" s="12"/>
    </row>
    <row r="155" spans="2:12" x14ac:dyDescent="0.2">
      <c r="B155" s="5">
        <v>45987</v>
      </c>
      <c r="C155" t="s">
        <v>85</v>
      </c>
      <c r="D155" t="s">
        <v>86</v>
      </c>
      <c r="E155" s="12">
        <v>165000</v>
      </c>
      <c r="F155" s="35">
        <v>46144.558876631942</v>
      </c>
      <c r="G155" s="12">
        <v>165000</v>
      </c>
      <c r="H155" s="12"/>
      <c r="I155" s="12"/>
      <c r="J155" s="12"/>
      <c r="K155" s="12"/>
      <c r="L155" s="12"/>
    </row>
    <row r="156" spans="2:12" x14ac:dyDescent="0.2">
      <c r="B156" s="5">
        <v>45988</v>
      </c>
      <c r="C156" t="s">
        <v>85</v>
      </c>
      <c r="D156" t="s">
        <v>86</v>
      </c>
      <c r="E156" s="12">
        <v>214001</v>
      </c>
      <c r="F156" s="35">
        <v>46144.558876631942</v>
      </c>
      <c r="G156" s="12">
        <v>214001</v>
      </c>
      <c r="H156" s="12"/>
      <c r="I156" s="12"/>
      <c r="J156" s="12"/>
      <c r="K156" s="12"/>
      <c r="L156" s="12"/>
    </row>
    <row r="157" spans="2:12" x14ac:dyDescent="0.2">
      <c r="B157" s="5">
        <v>45989</v>
      </c>
      <c r="C157" t="s">
        <v>85</v>
      </c>
      <c r="D157" t="s">
        <v>86</v>
      </c>
      <c r="E157" s="12">
        <v>694500</v>
      </c>
      <c r="F157" s="35">
        <v>46144.558876631942</v>
      </c>
      <c r="G157" s="12">
        <v>694500</v>
      </c>
      <c r="H157" s="12"/>
      <c r="I157" s="12"/>
      <c r="J157" s="12"/>
      <c r="K157" s="12"/>
      <c r="L157" s="12"/>
    </row>
    <row r="158" spans="2:12" x14ac:dyDescent="0.2">
      <c r="B158" s="5">
        <v>45990</v>
      </c>
      <c r="C158" t="s">
        <v>83</v>
      </c>
      <c r="D158" t="s">
        <v>84</v>
      </c>
      <c r="E158" s="12">
        <v>129000</v>
      </c>
      <c r="F158" s="35">
        <v>46144.558876631942</v>
      </c>
      <c r="G158" s="12"/>
      <c r="H158" s="12">
        <v>129000</v>
      </c>
      <c r="I158" s="12"/>
      <c r="J158" s="12"/>
      <c r="K158" s="12"/>
      <c r="L158" s="12"/>
    </row>
    <row r="159" spans="2:12" x14ac:dyDescent="0.2">
      <c r="B159" s="5">
        <v>45990</v>
      </c>
      <c r="C159" t="s">
        <v>85</v>
      </c>
      <c r="D159" t="s">
        <v>81</v>
      </c>
      <c r="E159" s="12">
        <v>119000</v>
      </c>
      <c r="F159" s="35">
        <v>46144.558876631942</v>
      </c>
      <c r="G159" s="12">
        <v>119000</v>
      </c>
      <c r="H159" s="12"/>
      <c r="I159" s="12"/>
      <c r="J159" s="12"/>
      <c r="K159" s="12"/>
      <c r="L159" s="12"/>
    </row>
    <row r="160" spans="2:12" x14ac:dyDescent="0.2">
      <c r="B160" s="5">
        <v>45991</v>
      </c>
      <c r="C160" t="s">
        <v>83</v>
      </c>
      <c r="D160" t="s">
        <v>84</v>
      </c>
      <c r="E160" s="12"/>
      <c r="F160" s="35">
        <v>46144.558876631942</v>
      </c>
      <c r="G160" s="12"/>
      <c r="H160" s="12"/>
      <c r="I160" s="12"/>
      <c r="J160" s="12"/>
      <c r="K160" s="12"/>
      <c r="L160" s="12"/>
    </row>
    <row r="161" spans="2:12" x14ac:dyDescent="0.2">
      <c r="B161" s="5">
        <v>45991</v>
      </c>
      <c r="C161" t="s">
        <v>85</v>
      </c>
      <c r="D161" t="s">
        <v>86</v>
      </c>
      <c r="E161" s="12">
        <v>264000</v>
      </c>
      <c r="F161" s="35">
        <v>46144.558876631942</v>
      </c>
      <c r="G161" s="12">
        <v>264000</v>
      </c>
      <c r="H161" s="12"/>
      <c r="I161" s="12"/>
      <c r="J161" s="12"/>
      <c r="K161" s="12"/>
      <c r="L161" s="12"/>
    </row>
    <row r="162" spans="2:12" x14ac:dyDescent="0.2">
      <c r="B162" s="5">
        <v>45992</v>
      </c>
      <c r="C162" t="s">
        <v>83</v>
      </c>
      <c r="D162" t="s">
        <v>84</v>
      </c>
      <c r="E162" s="12">
        <v>179000</v>
      </c>
      <c r="F162" s="35">
        <v>46144.558876631942</v>
      </c>
      <c r="G162" s="12"/>
      <c r="H162" s="12">
        <v>179000</v>
      </c>
      <c r="I162" s="12"/>
      <c r="J162" s="12"/>
      <c r="K162" s="12"/>
      <c r="L162" s="12"/>
    </row>
    <row r="163" spans="2:12" x14ac:dyDescent="0.2">
      <c r="B163" s="5">
        <v>45992</v>
      </c>
      <c r="C163" t="s">
        <v>85</v>
      </c>
      <c r="D163" t="s">
        <v>86</v>
      </c>
      <c r="E163" s="12">
        <v>-199000</v>
      </c>
      <c r="F163" s="35">
        <v>46144.558876631942</v>
      </c>
      <c r="G163" s="12">
        <v>-199000</v>
      </c>
      <c r="H163" s="12"/>
      <c r="I163" s="12"/>
      <c r="J163" s="12"/>
      <c r="K163" s="12"/>
      <c r="L163" s="12"/>
    </row>
    <row r="164" spans="2:12" x14ac:dyDescent="0.2">
      <c r="B164" s="5">
        <v>45997</v>
      </c>
      <c r="C164" t="s">
        <v>83</v>
      </c>
      <c r="D164" t="s">
        <v>84</v>
      </c>
      <c r="E164" s="12"/>
      <c r="F164" s="35">
        <v>46144.558876631942</v>
      </c>
      <c r="G164" s="12"/>
      <c r="H164" s="12"/>
      <c r="I164" s="12"/>
      <c r="J164" s="12"/>
      <c r="K164" s="12"/>
      <c r="L164" s="12"/>
    </row>
    <row r="165" spans="2:12" x14ac:dyDescent="0.2">
      <c r="B165" s="5">
        <v>45997</v>
      </c>
      <c r="C165" t="s">
        <v>85</v>
      </c>
      <c r="D165" t="s">
        <v>86</v>
      </c>
      <c r="E165" s="12">
        <v>194000</v>
      </c>
      <c r="F165" s="35">
        <v>46144.558876631942</v>
      </c>
      <c r="G165" s="12">
        <v>194000</v>
      </c>
      <c r="H165" s="12"/>
      <c r="I165" s="12"/>
      <c r="J165" s="12"/>
      <c r="K165" s="12"/>
      <c r="L165" s="12"/>
    </row>
    <row r="166" spans="2:12" x14ac:dyDescent="0.2">
      <c r="B166" s="5">
        <v>45998</v>
      </c>
      <c r="C166" t="s">
        <v>83</v>
      </c>
      <c r="D166" t="s">
        <v>81</v>
      </c>
      <c r="E166" s="12"/>
      <c r="F166" s="35">
        <v>46144.558876631942</v>
      </c>
      <c r="G166" s="12"/>
      <c r="H166" s="12"/>
      <c r="I166" s="12"/>
      <c r="J166" s="12"/>
      <c r="K166" s="12"/>
      <c r="L166" s="12"/>
    </row>
    <row r="167" spans="2:12" x14ac:dyDescent="0.2">
      <c r="B167" s="5">
        <v>45998</v>
      </c>
      <c r="C167" t="s">
        <v>85</v>
      </c>
      <c r="D167" t="s">
        <v>86</v>
      </c>
      <c r="E167" s="12">
        <v>79000</v>
      </c>
      <c r="F167" s="35">
        <v>46144.558876631942</v>
      </c>
      <c r="G167" s="12">
        <v>79000</v>
      </c>
      <c r="H167" s="12"/>
      <c r="I167" s="12"/>
      <c r="J167" s="12"/>
      <c r="K167" s="12"/>
      <c r="L167" s="12"/>
    </row>
    <row r="168" spans="2:12" x14ac:dyDescent="0.2">
      <c r="B168" s="5">
        <v>45999</v>
      </c>
      <c r="C168" t="s">
        <v>83</v>
      </c>
      <c r="D168" t="s">
        <v>84</v>
      </c>
      <c r="E168" s="12">
        <v>249000</v>
      </c>
      <c r="F168" s="35">
        <v>46144.558876631942</v>
      </c>
      <c r="G168" s="12"/>
      <c r="H168" s="12">
        <v>249000</v>
      </c>
      <c r="I168" s="12"/>
      <c r="J168" s="12"/>
      <c r="K168" s="12"/>
      <c r="L168" s="12"/>
    </row>
    <row r="169" spans="2:12" x14ac:dyDescent="0.2">
      <c r="B169" s="5">
        <v>45999</v>
      </c>
      <c r="C169" t="s">
        <v>85</v>
      </c>
      <c r="D169" t="s">
        <v>86</v>
      </c>
      <c r="E169" s="12">
        <v>557000</v>
      </c>
      <c r="F169" s="35">
        <v>46144.558876631942</v>
      </c>
      <c r="G169" s="12">
        <v>557000</v>
      </c>
      <c r="H169" s="12"/>
      <c r="I169" s="12"/>
      <c r="J169" s="12"/>
      <c r="K169" s="12"/>
      <c r="L169" s="12"/>
    </row>
    <row r="170" spans="2:12" x14ac:dyDescent="0.2">
      <c r="B170" s="5">
        <v>45999</v>
      </c>
      <c r="C170" t="s">
        <v>87</v>
      </c>
      <c r="D170" t="s">
        <v>86</v>
      </c>
      <c r="E170" s="12">
        <v>629000</v>
      </c>
      <c r="F170" s="35">
        <v>46144.558876631942</v>
      </c>
      <c r="G170" s="12">
        <v>629000</v>
      </c>
      <c r="H170" s="12"/>
      <c r="I170" s="12"/>
      <c r="J170" s="12"/>
      <c r="K170" s="12"/>
      <c r="L170" s="12"/>
    </row>
    <row r="171" spans="2:12" x14ac:dyDescent="0.2">
      <c r="B171" s="5">
        <v>46000</v>
      </c>
      <c r="C171" t="s">
        <v>85</v>
      </c>
      <c r="D171" t="s">
        <v>86</v>
      </c>
      <c r="E171" s="12">
        <v>854500</v>
      </c>
      <c r="F171" s="35">
        <v>46144.558876631942</v>
      </c>
      <c r="G171" s="12">
        <v>854500</v>
      </c>
      <c r="H171" s="12"/>
      <c r="I171" s="12"/>
      <c r="J171" s="12"/>
      <c r="K171" s="12"/>
      <c r="L171" s="12"/>
    </row>
    <row r="172" spans="2:12" x14ac:dyDescent="0.2">
      <c r="B172" s="5">
        <v>46001</v>
      </c>
      <c r="C172" t="s">
        <v>85</v>
      </c>
      <c r="D172" t="s">
        <v>86</v>
      </c>
      <c r="E172" s="12">
        <v>373000</v>
      </c>
      <c r="F172" s="35">
        <v>46144.558876631942</v>
      </c>
      <c r="G172" s="12">
        <v>373000</v>
      </c>
      <c r="H172" s="12"/>
      <c r="I172" s="12"/>
      <c r="J172" s="12"/>
      <c r="K172" s="12"/>
      <c r="L172" s="12"/>
    </row>
    <row r="173" spans="2:12" x14ac:dyDescent="0.2">
      <c r="B173" s="5">
        <v>46002</v>
      </c>
      <c r="C173" t="s">
        <v>85</v>
      </c>
      <c r="D173" t="s">
        <v>86</v>
      </c>
      <c r="E173" s="12">
        <v>353500</v>
      </c>
      <c r="F173" s="35">
        <v>46144.558876631942</v>
      </c>
      <c r="G173" s="12">
        <v>353500</v>
      </c>
      <c r="H173" s="12"/>
      <c r="I173" s="12"/>
      <c r="J173" s="12"/>
      <c r="K173" s="12"/>
      <c r="L173" s="12"/>
    </row>
    <row r="174" spans="2:12" x14ac:dyDescent="0.2">
      <c r="B174" s="5">
        <v>46002</v>
      </c>
      <c r="C174" t="s">
        <v>87</v>
      </c>
      <c r="D174" t="s">
        <v>86</v>
      </c>
      <c r="E174" s="12">
        <v>70000</v>
      </c>
      <c r="F174" s="35">
        <v>46144.558876631942</v>
      </c>
      <c r="G174" s="12">
        <v>70000</v>
      </c>
      <c r="H174" s="12"/>
      <c r="I174" s="12"/>
      <c r="J174" s="12"/>
      <c r="K174" s="12"/>
      <c r="L174" s="12"/>
    </row>
    <row r="175" spans="2:12" x14ac:dyDescent="0.2">
      <c r="B175" s="5">
        <v>46002</v>
      </c>
      <c r="C175" t="s">
        <v>83</v>
      </c>
      <c r="D175" t="s">
        <v>84</v>
      </c>
      <c r="E175" s="12">
        <v>70000</v>
      </c>
      <c r="F175" s="35">
        <v>46144.558876631942</v>
      </c>
      <c r="G175" s="12"/>
      <c r="H175" s="12">
        <v>70000</v>
      </c>
      <c r="I175" s="12"/>
      <c r="J175" s="12"/>
      <c r="K175" s="12"/>
      <c r="L175" s="12"/>
    </row>
    <row r="176" spans="2:12" x14ac:dyDescent="0.2">
      <c r="B176" s="5">
        <v>46003</v>
      </c>
      <c r="C176" t="s">
        <v>83</v>
      </c>
      <c r="D176" t="s">
        <v>84</v>
      </c>
      <c r="E176" s="12">
        <v>413500</v>
      </c>
      <c r="F176" s="35">
        <v>46144.558876631942</v>
      </c>
      <c r="G176" s="12"/>
      <c r="H176" s="12">
        <v>413500</v>
      </c>
      <c r="I176" s="12"/>
      <c r="J176" s="12"/>
      <c r="K176" s="12"/>
      <c r="L176" s="12"/>
    </row>
    <row r="177" spans="2:12" x14ac:dyDescent="0.2">
      <c r="B177" s="5">
        <v>46003</v>
      </c>
      <c r="C177" t="s">
        <v>85</v>
      </c>
      <c r="D177" t="s">
        <v>86</v>
      </c>
      <c r="E177" s="12">
        <v>583501</v>
      </c>
      <c r="F177" s="35">
        <v>46144.558876631942</v>
      </c>
      <c r="G177" s="12">
        <v>583501</v>
      </c>
      <c r="H177" s="12"/>
      <c r="I177" s="12"/>
      <c r="J177" s="12"/>
      <c r="K177" s="12"/>
      <c r="L177" s="12"/>
    </row>
    <row r="178" spans="2:12" x14ac:dyDescent="0.2">
      <c r="B178" s="5">
        <v>46004</v>
      </c>
      <c r="C178" t="s">
        <v>83</v>
      </c>
      <c r="D178" t="s">
        <v>84</v>
      </c>
      <c r="E178" s="12">
        <v>313500</v>
      </c>
      <c r="F178" s="35">
        <v>46144.558876631942</v>
      </c>
      <c r="G178" s="12"/>
      <c r="H178" s="12">
        <v>313500</v>
      </c>
      <c r="I178" s="12"/>
      <c r="J178" s="12"/>
      <c r="K178" s="12"/>
      <c r="L178" s="12"/>
    </row>
    <row r="179" spans="2:12" x14ac:dyDescent="0.2">
      <c r="B179" s="5">
        <v>46004</v>
      </c>
      <c r="C179" t="s">
        <v>85</v>
      </c>
      <c r="D179" t="s">
        <v>86</v>
      </c>
      <c r="E179" s="12">
        <v>389000</v>
      </c>
      <c r="F179" s="35">
        <v>46144.558876631942</v>
      </c>
      <c r="G179" s="12">
        <v>389000</v>
      </c>
      <c r="H179" s="12"/>
      <c r="I179" s="12"/>
      <c r="J179" s="12"/>
      <c r="K179" s="12"/>
      <c r="L179" s="12"/>
    </row>
    <row r="180" spans="2:12" x14ac:dyDescent="0.2">
      <c r="B180" s="5">
        <v>46005</v>
      </c>
      <c r="C180" t="s">
        <v>85</v>
      </c>
      <c r="D180" t="s">
        <v>86</v>
      </c>
      <c r="E180" s="12">
        <v>144000</v>
      </c>
      <c r="F180" s="35">
        <v>46144.558876631942</v>
      </c>
      <c r="G180" s="12">
        <v>144000</v>
      </c>
      <c r="H180" s="12"/>
      <c r="I180" s="12"/>
      <c r="J180" s="12"/>
      <c r="K180" s="12"/>
      <c r="L180" s="12"/>
    </row>
    <row r="181" spans="2:12" x14ac:dyDescent="0.2">
      <c r="B181" s="5">
        <v>46005</v>
      </c>
      <c r="C181" t="s">
        <v>85</v>
      </c>
      <c r="D181" t="s">
        <v>81</v>
      </c>
      <c r="E181" s="12">
        <v>145000</v>
      </c>
      <c r="F181" s="35">
        <v>46144.558876631942</v>
      </c>
      <c r="G181" s="12">
        <v>145000</v>
      </c>
      <c r="H181" s="12"/>
      <c r="I181" s="12"/>
      <c r="J181" s="12"/>
      <c r="K181" s="12"/>
      <c r="L181" s="12"/>
    </row>
    <row r="182" spans="2:12" x14ac:dyDescent="0.2">
      <c r="B182" s="5">
        <v>46006</v>
      </c>
      <c r="C182" t="s">
        <v>85</v>
      </c>
      <c r="D182" t="s">
        <v>86</v>
      </c>
      <c r="E182" s="12">
        <v>155000</v>
      </c>
      <c r="F182" s="35">
        <v>46144.558876631942</v>
      </c>
      <c r="G182" s="12">
        <v>155000</v>
      </c>
      <c r="H182" s="12"/>
      <c r="I182" s="12"/>
      <c r="J182" s="12"/>
      <c r="K182" s="12"/>
      <c r="L182" s="12"/>
    </row>
    <row r="183" spans="2:12" x14ac:dyDescent="0.2">
      <c r="B183" s="5">
        <v>46007</v>
      </c>
      <c r="C183" t="s">
        <v>85</v>
      </c>
      <c r="D183" t="s">
        <v>86</v>
      </c>
      <c r="E183" s="12">
        <v>219000</v>
      </c>
      <c r="F183" s="35">
        <v>46144.558876631942</v>
      </c>
      <c r="G183" s="12">
        <v>219000</v>
      </c>
      <c r="H183" s="12"/>
      <c r="I183" s="12"/>
      <c r="J183" s="12"/>
      <c r="K183" s="12"/>
      <c r="L183" s="12"/>
    </row>
    <row r="184" spans="2:12" x14ac:dyDescent="0.2">
      <c r="B184" s="5">
        <v>46008</v>
      </c>
      <c r="C184" t="s">
        <v>85</v>
      </c>
      <c r="D184" t="s">
        <v>86</v>
      </c>
      <c r="E184" s="12">
        <v>382000</v>
      </c>
      <c r="F184" s="35">
        <v>46144.558876631942</v>
      </c>
      <c r="G184" s="12">
        <v>382000</v>
      </c>
      <c r="H184" s="12"/>
      <c r="I184" s="12"/>
      <c r="J184" s="12"/>
      <c r="K184" s="12"/>
      <c r="L184" s="12"/>
    </row>
    <row r="185" spans="2:12" x14ac:dyDescent="0.2">
      <c r="B185" s="5">
        <v>46009</v>
      </c>
      <c r="C185" t="s">
        <v>85</v>
      </c>
      <c r="D185" t="s">
        <v>86</v>
      </c>
      <c r="E185" s="12">
        <v>1527000</v>
      </c>
      <c r="F185" s="35">
        <v>46144.558876631942</v>
      </c>
      <c r="G185" s="12">
        <v>1527000</v>
      </c>
      <c r="H185" s="12"/>
      <c r="I185" s="12"/>
      <c r="J185" s="12"/>
      <c r="K185" s="12"/>
      <c r="L185" s="12"/>
    </row>
    <row r="186" spans="2:12" x14ac:dyDescent="0.2">
      <c r="B186" s="5">
        <v>46010</v>
      </c>
      <c r="C186" t="s">
        <v>83</v>
      </c>
      <c r="D186" t="s">
        <v>84</v>
      </c>
      <c r="E186" s="12">
        <v>140000</v>
      </c>
      <c r="F186" s="35">
        <v>46144.558876631942</v>
      </c>
      <c r="G186" s="12"/>
      <c r="H186" s="12">
        <v>140000</v>
      </c>
      <c r="I186" s="12"/>
      <c r="J186" s="12"/>
      <c r="K186" s="12"/>
      <c r="L186" s="12"/>
    </row>
    <row r="187" spans="2:12" x14ac:dyDescent="0.2">
      <c r="B187" s="5">
        <v>46014</v>
      </c>
      <c r="C187" t="s">
        <v>83</v>
      </c>
      <c r="D187" t="s">
        <v>81</v>
      </c>
      <c r="E187" s="12">
        <v>392000</v>
      </c>
      <c r="F187" s="35">
        <v>46144.558876631942</v>
      </c>
      <c r="G187" s="12"/>
      <c r="H187" s="12">
        <v>392000</v>
      </c>
      <c r="I187" s="12"/>
      <c r="J187" s="12"/>
      <c r="K187" s="12"/>
      <c r="L187" s="12"/>
    </row>
    <row r="188" spans="2:12" x14ac:dyDescent="0.2">
      <c r="B188" s="5">
        <v>46014</v>
      </c>
      <c r="C188" t="s">
        <v>85</v>
      </c>
      <c r="D188" t="s">
        <v>86</v>
      </c>
      <c r="E188" s="12">
        <v>323000</v>
      </c>
      <c r="F188" s="35">
        <v>46144.558876631942</v>
      </c>
      <c r="G188" s="12">
        <v>323000</v>
      </c>
      <c r="H188" s="12"/>
      <c r="I188" s="12"/>
      <c r="J188" s="12"/>
      <c r="K188" s="12"/>
      <c r="L188" s="12"/>
    </row>
    <row r="189" spans="2:12" x14ac:dyDescent="0.2">
      <c r="B189" s="5">
        <v>46017</v>
      </c>
      <c r="C189" t="s">
        <v>83</v>
      </c>
      <c r="D189" t="s">
        <v>84</v>
      </c>
      <c r="E189" s="12">
        <v>101000</v>
      </c>
      <c r="F189" s="35">
        <v>46144.558876631942</v>
      </c>
      <c r="G189" s="12"/>
      <c r="H189" s="12">
        <v>101000</v>
      </c>
      <c r="I189" s="12"/>
      <c r="J189" s="12"/>
      <c r="K189" s="12"/>
      <c r="L189" s="12"/>
    </row>
    <row r="190" spans="2:12" x14ac:dyDescent="0.2">
      <c r="B190" s="5">
        <v>46019</v>
      </c>
      <c r="C190" t="s">
        <v>83</v>
      </c>
      <c r="D190" t="s">
        <v>84</v>
      </c>
      <c r="E190" s="12">
        <v>358000</v>
      </c>
      <c r="F190" s="35">
        <v>46144.558876631942</v>
      </c>
      <c r="G190" s="12"/>
      <c r="H190" s="12">
        <v>358000</v>
      </c>
      <c r="I190" s="12"/>
      <c r="J190" s="12"/>
      <c r="K190" s="12"/>
      <c r="L190" s="12"/>
    </row>
    <row r="191" spans="2:12" x14ac:dyDescent="0.2">
      <c r="B191" s="5">
        <v>46021</v>
      </c>
      <c r="C191" t="s">
        <v>85</v>
      </c>
      <c r="D191" t="s">
        <v>86</v>
      </c>
      <c r="E191" s="12">
        <v>132000</v>
      </c>
      <c r="F191" s="35">
        <v>46144.558876631942</v>
      </c>
      <c r="G191" s="12">
        <v>132000</v>
      </c>
      <c r="H191" s="12"/>
      <c r="I191" s="12"/>
      <c r="J191" s="12"/>
      <c r="K191" s="12"/>
      <c r="L191" s="12"/>
    </row>
    <row r="192" spans="2:12" x14ac:dyDescent="0.2">
      <c r="B192" s="5">
        <v>46023</v>
      </c>
      <c r="C192" t="s">
        <v>83</v>
      </c>
      <c r="D192" t="s">
        <v>84</v>
      </c>
      <c r="E192" s="12">
        <v>132000</v>
      </c>
      <c r="F192" s="35">
        <v>46144.558876631942</v>
      </c>
      <c r="G192" s="12"/>
      <c r="H192" s="12">
        <v>132000</v>
      </c>
      <c r="I192" s="12"/>
      <c r="J192" s="12"/>
      <c r="K192" s="12"/>
      <c r="L192" s="12"/>
    </row>
    <row r="193" spans="2:12" x14ac:dyDescent="0.2">
      <c r="B193" s="5">
        <v>46025</v>
      </c>
      <c r="C193" t="s">
        <v>83</v>
      </c>
      <c r="D193" t="s">
        <v>84</v>
      </c>
      <c r="E193" s="12">
        <v>456000</v>
      </c>
      <c r="F193" s="35">
        <v>46144.558876631942</v>
      </c>
      <c r="G193" s="12"/>
      <c r="H193" s="12">
        <v>456000</v>
      </c>
      <c r="I193" s="12"/>
      <c r="J193" s="12"/>
      <c r="K193" s="12"/>
      <c r="L193" s="12"/>
    </row>
    <row r="194" spans="2:12" x14ac:dyDescent="0.2">
      <c r="B194" s="5">
        <v>46028</v>
      </c>
      <c r="C194" t="s">
        <v>83</v>
      </c>
      <c r="D194" t="s">
        <v>84</v>
      </c>
      <c r="E194" s="12">
        <v>132000</v>
      </c>
      <c r="F194" s="35">
        <v>46144.558876631942</v>
      </c>
      <c r="G194" s="12"/>
      <c r="H194" s="12">
        <v>132000</v>
      </c>
      <c r="I194" s="12"/>
      <c r="J194" s="12"/>
      <c r="K194" s="12"/>
      <c r="L194" s="12"/>
    </row>
    <row r="195" spans="2:12" x14ac:dyDescent="0.2">
      <c r="B195" s="5">
        <v>46029</v>
      </c>
      <c r="C195" t="s">
        <v>85</v>
      </c>
      <c r="D195" t="s">
        <v>86</v>
      </c>
      <c r="E195" s="12">
        <v>252000</v>
      </c>
      <c r="F195" s="35">
        <v>46144.558876631942</v>
      </c>
      <c r="G195" s="12">
        <v>252000</v>
      </c>
      <c r="H195" s="12"/>
      <c r="I195" s="12"/>
      <c r="J195" s="12"/>
      <c r="K195" s="12"/>
      <c r="L195" s="12"/>
    </row>
    <row r="196" spans="2:12" x14ac:dyDescent="0.2">
      <c r="B196" s="5">
        <v>46030</v>
      </c>
      <c r="C196" t="s">
        <v>83</v>
      </c>
      <c r="D196" t="s">
        <v>84</v>
      </c>
      <c r="E196" s="12">
        <v>136000</v>
      </c>
      <c r="F196" s="35">
        <v>46144.558876631942</v>
      </c>
      <c r="G196" s="12"/>
      <c r="H196" s="12">
        <v>136000</v>
      </c>
      <c r="I196" s="12"/>
      <c r="J196" s="12"/>
      <c r="K196" s="12"/>
      <c r="L196" s="12"/>
    </row>
    <row r="197" spans="2:12" x14ac:dyDescent="0.2">
      <c r="B197" s="5">
        <v>46031</v>
      </c>
      <c r="C197" t="s">
        <v>83</v>
      </c>
      <c r="D197" t="s">
        <v>84</v>
      </c>
      <c r="E197" s="12">
        <v>86000</v>
      </c>
      <c r="F197" s="35">
        <v>46144.558876631942</v>
      </c>
      <c r="G197" s="12"/>
      <c r="H197" s="12">
        <v>86000</v>
      </c>
      <c r="I197" s="12"/>
      <c r="J197" s="12"/>
      <c r="K197" s="12"/>
      <c r="L197" s="12"/>
    </row>
    <row r="198" spans="2:12" x14ac:dyDescent="0.2">
      <c r="B198" s="5">
        <v>46032</v>
      </c>
      <c r="C198" t="s">
        <v>83</v>
      </c>
      <c r="D198" t="s">
        <v>84</v>
      </c>
      <c r="E198" s="12">
        <v>224000</v>
      </c>
      <c r="F198" s="35">
        <v>46144.558876631942</v>
      </c>
      <c r="G198" s="12"/>
      <c r="H198" s="12">
        <v>224000</v>
      </c>
      <c r="I198" s="12"/>
      <c r="J198" s="12"/>
      <c r="K198" s="12"/>
      <c r="L198" s="12"/>
    </row>
    <row r="199" spans="2:12" x14ac:dyDescent="0.2">
      <c r="B199" s="5">
        <v>46033</v>
      </c>
      <c r="C199" t="s">
        <v>83</v>
      </c>
      <c r="D199" t="s">
        <v>84</v>
      </c>
      <c r="E199" s="12"/>
      <c r="F199" s="35">
        <v>46144.558876631942</v>
      </c>
      <c r="G199" s="12"/>
      <c r="H199" s="12"/>
      <c r="I199" s="12"/>
      <c r="J199" s="12"/>
      <c r="K199" s="12"/>
      <c r="L199" s="12"/>
    </row>
    <row r="200" spans="2:12" x14ac:dyDescent="0.2">
      <c r="B200" s="5">
        <v>46035</v>
      </c>
      <c r="C200" t="s">
        <v>83</v>
      </c>
      <c r="D200" t="s">
        <v>84</v>
      </c>
      <c r="E200" s="12">
        <v>130000</v>
      </c>
      <c r="F200" s="35">
        <v>46144.558876631942</v>
      </c>
      <c r="G200" s="12"/>
      <c r="H200" s="12">
        <v>130000</v>
      </c>
      <c r="I200" s="12"/>
      <c r="J200" s="12"/>
      <c r="K200" s="12"/>
      <c r="L200" s="12"/>
    </row>
    <row r="201" spans="2:12" x14ac:dyDescent="0.2">
      <c r="B201" s="5">
        <v>46035</v>
      </c>
      <c r="C201" t="s">
        <v>85</v>
      </c>
      <c r="D201" t="s">
        <v>86</v>
      </c>
      <c r="E201" s="12">
        <v>192000</v>
      </c>
      <c r="F201" s="35">
        <v>46144.558876631942</v>
      </c>
      <c r="G201" s="12">
        <v>192000</v>
      </c>
      <c r="H201" s="12"/>
      <c r="I201" s="12"/>
      <c r="J201" s="12"/>
      <c r="K201" s="12"/>
      <c r="L201" s="12"/>
    </row>
    <row r="202" spans="2:12" x14ac:dyDescent="0.2">
      <c r="B202" s="5">
        <v>46036</v>
      </c>
      <c r="C202" t="s">
        <v>83</v>
      </c>
      <c r="D202" t="s">
        <v>84</v>
      </c>
      <c r="E202" s="12">
        <v>136000</v>
      </c>
      <c r="F202" s="35">
        <v>46144.558876631942</v>
      </c>
      <c r="G202" s="12"/>
      <c r="H202" s="12">
        <v>136000</v>
      </c>
      <c r="I202" s="12"/>
      <c r="J202" s="12"/>
      <c r="K202" s="12"/>
      <c r="L202" s="12"/>
    </row>
    <row r="203" spans="2:12" x14ac:dyDescent="0.2">
      <c r="B203" s="5">
        <v>46036</v>
      </c>
      <c r="C203" t="s">
        <v>85</v>
      </c>
      <c r="D203" t="s">
        <v>86</v>
      </c>
      <c r="E203" s="12">
        <v>65000</v>
      </c>
      <c r="F203" s="35">
        <v>46144.558876631942</v>
      </c>
      <c r="G203" s="12">
        <v>65000</v>
      </c>
      <c r="H203" s="12"/>
      <c r="I203" s="12"/>
      <c r="J203" s="12"/>
      <c r="K203" s="12"/>
      <c r="L203" s="12"/>
    </row>
    <row r="204" spans="2:12" x14ac:dyDescent="0.2">
      <c r="B204" s="5">
        <v>46039</v>
      </c>
      <c r="C204" t="s">
        <v>83</v>
      </c>
      <c r="D204" t="s">
        <v>84</v>
      </c>
      <c r="E204" s="12">
        <v>86000</v>
      </c>
      <c r="F204" s="35">
        <v>46144.558876631942</v>
      </c>
      <c r="G204" s="12"/>
      <c r="H204" s="12">
        <v>86000</v>
      </c>
      <c r="I204" s="12"/>
      <c r="J204" s="12"/>
      <c r="K204" s="12"/>
      <c r="L204" s="12"/>
    </row>
    <row r="205" spans="2:12" x14ac:dyDescent="0.2">
      <c r="B205" s="5">
        <v>46042</v>
      </c>
      <c r="C205" t="s">
        <v>83</v>
      </c>
      <c r="D205" t="s">
        <v>84</v>
      </c>
      <c r="E205" s="12"/>
      <c r="F205" s="35">
        <v>46144.558876631942</v>
      </c>
      <c r="G205" s="12"/>
      <c r="H205" s="12"/>
      <c r="I205" s="12"/>
      <c r="J205" s="12"/>
      <c r="K205" s="12"/>
      <c r="L205" s="12"/>
    </row>
    <row r="206" spans="2:12" x14ac:dyDescent="0.2">
      <c r="B206" s="5">
        <v>46042</v>
      </c>
      <c r="C206" t="s">
        <v>87</v>
      </c>
      <c r="D206" t="s">
        <v>86</v>
      </c>
      <c r="E206" s="12">
        <v>122000</v>
      </c>
      <c r="F206" s="35">
        <v>46144.558876631942</v>
      </c>
      <c r="G206" s="12">
        <v>122000</v>
      </c>
      <c r="H206" s="12"/>
      <c r="I206" s="12"/>
      <c r="J206" s="12"/>
      <c r="K206" s="12"/>
      <c r="L206" s="12"/>
    </row>
    <row r="207" spans="2:12" x14ac:dyDescent="0.2">
      <c r="B207" s="5">
        <v>46043</v>
      </c>
      <c r="C207" t="s">
        <v>83</v>
      </c>
      <c r="D207" t="s">
        <v>84</v>
      </c>
      <c r="E207" s="12">
        <v>156000</v>
      </c>
      <c r="F207" s="35">
        <v>46144.558876631942</v>
      </c>
      <c r="G207" s="12"/>
      <c r="H207" s="12">
        <v>156000</v>
      </c>
      <c r="I207" s="12"/>
      <c r="J207" s="12"/>
      <c r="K207" s="12"/>
      <c r="L207" s="12"/>
    </row>
    <row r="208" spans="2:12" x14ac:dyDescent="0.2">
      <c r="B208" s="5">
        <v>46044</v>
      </c>
      <c r="C208" t="s">
        <v>83</v>
      </c>
      <c r="D208" t="s">
        <v>84</v>
      </c>
      <c r="E208" s="12">
        <v>214000</v>
      </c>
      <c r="F208" s="35">
        <v>46144.558876631942</v>
      </c>
      <c r="G208" s="12"/>
      <c r="H208" s="12">
        <v>214000</v>
      </c>
      <c r="I208" s="12"/>
      <c r="J208" s="12"/>
      <c r="K208" s="12"/>
      <c r="L208" s="12"/>
    </row>
    <row r="209" spans="2:12" x14ac:dyDescent="0.2">
      <c r="B209" s="5">
        <v>46048</v>
      </c>
      <c r="C209" t="s">
        <v>85</v>
      </c>
      <c r="D209" t="s">
        <v>86</v>
      </c>
      <c r="E209" s="12">
        <v>491000</v>
      </c>
      <c r="F209" s="35">
        <v>46144.558876631942</v>
      </c>
      <c r="G209" s="12">
        <v>491000</v>
      </c>
      <c r="H209" s="12"/>
      <c r="I209" s="12"/>
      <c r="J209" s="12"/>
      <c r="K209" s="12"/>
      <c r="L209" s="12"/>
    </row>
    <row r="210" spans="2:12" x14ac:dyDescent="0.2">
      <c r="B210" s="5">
        <v>46050</v>
      </c>
      <c r="C210" t="s">
        <v>83</v>
      </c>
      <c r="D210" t="s">
        <v>84</v>
      </c>
      <c r="E210" s="12">
        <v>274000</v>
      </c>
      <c r="F210" s="35">
        <v>46144.558876631942</v>
      </c>
      <c r="G210" s="12"/>
      <c r="H210" s="12">
        <v>274000</v>
      </c>
      <c r="I210" s="12"/>
      <c r="J210" s="12"/>
      <c r="K210" s="12"/>
      <c r="L210" s="12"/>
    </row>
    <row r="211" spans="2:12" x14ac:dyDescent="0.2">
      <c r="B211" s="5">
        <v>46051</v>
      </c>
      <c r="C211" t="s">
        <v>85</v>
      </c>
      <c r="D211" t="s">
        <v>86</v>
      </c>
      <c r="E211" s="12">
        <v>136000</v>
      </c>
      <c r="F211" s="35">
        <v>46144.558876631942</v>
      </c>
      <c r="G211" s="12">
        <v>136000</v>
      </c>
      <c r="H211" s="12"/>
      <c r="I211" s="12"/>
      <c r="J211" s="12"/>
      <c r="K211" s="12"/>
      <c r="L211" s="12"/>
    </row>
    <row r="212" spans="2:12" x14ac:dyDescent="0.2">
      <c r="B212" s="5">
        <v>46052</v>
      </c>
      <c r="C212" t="s">
        <v>83</v>
      </c>
      <c r="D212" t="s">
        <v>84</v>
      </c>
      <c r="E212" s="12">
        <v>86000</v>
      </c>
      <c r="F212" s="35">
        <v>46144.558876631942</v>
      </c>
      <c r="G212" s="12"/>
      <c r="H212" s="12">
        <v>86000</v>
      </c>
      <c r="I212" s="12"/>
      <c r="J212" s="12"/>
      <c r="K212" s="12"/>
      <c r="L212" s="12"/>
    </row>
    <row r="213" spans="2:12" x14ac:dyDescent="0.2">
      <c r="B213" s="5">
        <v>46054</v>
      </c>
      <c r="C213" t="s">
        <v>85</v>
      </c>
      <c r="D213" t="s">
        <v>86</v>
      </c>
      <c r="E213" s="12">
        <v>91000</v>
      </c>
      <c r="F213" s="35">
        <v>46144.558876631942</v>
      </c>
      <c r="G213" s="12">
        <v>91000</v>
      </c>
      <c r="H213" s="12"/>
      <c r="I213" s="12"/>
      <c r="J213" s="12"/>
      <c r="K213" s="12"/>
      <c r="L213" s="12"/>
    </row>
    <row r="214" spans="2:12" x14ac:dyDescent="0.2">
      <c r="B214" s="5">
        <v>46055</v>
      </c>
      <c r="C214" t="s">
        <v>85</v>
      </c>
      <c r="D214" t="s">
        <v>86</v>
      </c>
      <c r="E214" s="12">
        <v>82000</v>
      </c>
      <c r="F214" s="35">
        <v>46144.558876631942</v>
      </c>
      <c r="G214" s="12">
        <v>82000</v>
      </c>
      <c r="H214" s="12"/>
      <c r="I214" s="12"/>
      <c r="J214" s="12"/>
      <c r="K214" s="12"/>
      <c r="L214" s="12"/>
    </row>
    <row r="215" spans="2:12" x14ac:dyDescent="0.2">
      <c r="B215" s="5">
        <v>46056</v>
      </c>
      <c r="C215" t="s">
        <v>85</v>
      </c>
      <c r="D215" t="s">
        <v>86</v>
      </c>
      <c r="E215" s="12">
        <v>136000</v>
      </c>
      <c r="F215" s="35">
        <v>46144.558876631942</v>
      </c>
      <c r="G215" s="12">
        <v>136000</v>
      </c>
      <c r="H215" s="12"/>
      <c r="I215" s="12"/>
      <c r="J215" s="12"/>
      <c r="K215" s="12"/>
      <c r="L215" s="12"/>
    </row>
    <row r="216" spans="2:12" x14ac:dyDescent="0.2">
      <c r="B216" s="5">
        <v>46057</v>
      </c>
      <c r="C216" t="s">
        <v>85</v>
      </c>
      <c r="D216" t="s">
        <v>86</v>
      </c>
      <c r="E216" s="12">
        <v>268000</v>
      </c>
      <c r="F216" s="35">
        <v>46144.558876631942</v>
      </c>
      <c r="G216" s="12">
        <v>268000</v>
      </c>
      <c r="H216" s="12"/>
      <c r="I216" s="12"/>
      <c r="J216" s="12"/>
      <c r="K216" s="12"/>
      <c r="L216" s="12"/>
    </row>
    <row r="217" spans="2:12" x14ac:dyDescent="0.2">
      <c r="B217" s="5">
        <v>46061</v>
      </c>
      <c r="C217" t="s">
        <v>85</v>
      </c>
      <c r="D217" t="s">
        <v>86</v>
      </c>
      <c r="E217" s="12">
        <v>91000</v>
      </c>
      <c r="F217" s="35">
        <v>46144.558876631942</v>
      </c>
      <c r="G217" s="12">
        <v>91000</v>
      </c>
      <c r="H217" s="12"/>
      <c r="I217" s="12"/>
      <c r="J217" s="12"/>
      <c r="K217" s="12"/>
      <c r="L217" s="12"/>
    </row>
    <row r="218" spans="2:12" x14ac:dyDescent="0.2">
      <c r="B218" s="5">
        <v>46062</v>
      </c>
      <c r="C218" t="s">
        <v>85</v>
      </c>
      <c r="D218" t="s">
        <v>86</v>
      </c>
      <c r="E218" s="12">
        <v>368000</v>
      </c>
      <c r="F218" s="35">
        <v>46144.558876631942</v>
      </c>
      <c r="G218" s="12">
        <v>368000</v>
      </c>
      <c r="H218" s="12"/>
      <c r="I218" s="12"/>
      <c r="J218" s="12"/>
      <c r="K218" s="12"/>
      <c r="L218" s="12"/>
    </row>
    <row r="219" spans="2:12" x14ac:dyDescent="0.2">
      <c r="B219" s="5">
        <v>46063</v>
      </c>
      <c r="C219" t="s">
        <v>85</v>
      </c>
      <c r="D219" t="s">
        <v>86</v>
      </c>
      <c r="E219" s="12">
        <v>252000</v>
      </c>
      <c r="F219" s="35">
        <v>46144.558876631942</v>
      </c>
      <c r="G219" s="12">
        <v>252000</v>
      </c>
      <c r="H219" s="12"/>
      <c r="I219" s="12"/>
      <c r="J219" s="12"/>
      <c r="K219" s="12"/>
      <c r="L219" s="12"/>
    </row>
    <row r="220" spans="2:12" x14ac:dyDescent="0.2">
      <c r="B220" s="5">
        <v>46064</v>
      </c>
      <c r="C220" t="s">
        <v>85</v>
      </c>
      <c r="D220" t="s">
        <v>86</v>
      </c>
      <c r="E220" s="12">
        <v>136000</v>
      </c>
      <c r="F220" s="35">
        <v>46144.558876631942</v>
      </c>
      <c r="G220" s="12">
        <v>136000</v>
      </c>
      <c r="H220" s="12"/>
      <c r="I220" s="12"/>
      <c r="J220" s="12"/>
      <c r="K220" s="12"/>
      <c r="L220" s="12"/>
    </row>
    <row r="221" spans="2:12" x14ac:dyDescent="0.2">
      <c r="B221" s="5">
        <v>46065</v>
      </c>
      <c r="C221" t="s">
        <v>83</v>
      </c>
      <c r="D221" t="s">
        <v>81</v>
      </c>
      <c r="E221" s="12">
        <v>77000</v>
      </c>
      <c r="F221" s="35">
        <v>46144.558876631942</v>
      </c>
      <c r="G221" s="12"/>
      <c r="H221" s="12">
        <v>77000</v>
      </c>
      <c r="I221" s="12"/>
      <c r="J221" s="12"/>
      <c r="K221" s="12"/>
      <c r="L221" s="12"/>
    </row>
    <row r="222" spans="2:12" x14ac:dyDescent="0.2">
      <c r="B222" s="5">
        <v>46065</v>
      </c>
      <c r="C222" t="s">
        <v>85</v>
      </c>
      <c r="D222" t="s">
        <v>86</v>
      </c>
      <c r="E222" s="12">
        <v>252000</v>
      </c>
      <c r="F222" s="35">
        <v>46144.558876631942</v>
      </c>
      <c r="G222" s="12">
        <v>252000</v>
      </c>
      <c r="H222" s="12"/>
      <c r="I222" s="12"/>
      <c r="J222" s="12"/>
      <c r="K222" s="12"/>
      <c r="L222" s="12"/>
    </row>
    <row r="223" spans="2:12" x14ac:dyDescent="0.2">
      <c r="B223" s="5">
        <v>46067</v>
      </c>
      <c r="C223" t="s">
        <v>83</v>
      </c>
      <c r="D223" t="s">
        <v>84</v>
      </c>
      <c r="E223" s="12"/>
      <c r="F223" s="35">
        <v>46144.558876631942</v>
      </c>
      <c r="G223" s="12"/>
      <c r="H223" s="12"/>
      <c r="I223" s="12"/>
      <c r="J223" s="12"/>
      <c r="K223" s="12"/>
      <c r="L223" s="12"/>
    </row>
    <row r="224" spans="2:12" x14ac:dyDescent="0.2">
      <c r="B224" s="5">
        <v>46068</v>
      </c>
      <c r="C224" t="s">
        <v>85</v>
      </c>
      <c r="D224" t="s">
        <v>86</v>
      </c>
      <c r="E224" s="12">
        <v>87000</v>
      </c>
      <c r="F224" s="35">
        <v>46144.558876631942</v>
      </c>
      <c r="G224" s="12">
        <v>87000</v>
      </c>
      <c r="H224" s="12"/>
      <c r="I224" s="12"/>
      <c r="J224" s="12"/>
      <c r="K224" s="12"/>
      <c r="L224" s="12"/>
    </row>
    <row r="225" spans="2:12" x14ac:dyDescent="0.2">
      <c r="B225" s="5">
        <v>46069</v>
      </c>
      <c r="C225" t="s">
        <v>83</v>
      </c>
      <c r="D225" t="s">
        <v>81</v>
      </c>
      <c r="E225" s="12">
        <v>182000</v>
      </c>
      <c r="F225" s="35">
        <v>46144.558876631942</v>
      </c>
      <c r="G225" s="12"/>
      <c r="H225" s="12">
        <v>182000</v>
      </c>
      <c r="I225" s="12"/>
      <c r="J225" s="12"/>
      <c r="K225" s="12"/>
      <c r="L225" s="12"/>
    </row>
    <row r="226" spans="2:12" x14ac:dyDescent="0.2">
      <c r="B226" s="5">
        <v>46070</v>
      </c>
      <c r="C226" t="s">
        <v>85</v>
      </c>
      <c r="D226" t="s">
        <v>86</v>
      </c>
      <c r="E226" s="12">
        <v>620250</v>
      </c>
      <c r="F226" s="35">
        <v>46144.558876631942</v>
      </c>
      <c r="G226" s="12">
        <v>620250</v>
      </c>
      <c r="H226" s="12"/>
      <c r="I226" s="12"/>
      <c r="J226" s="12"/>
      <c r="K226" s="12"/>
      <c r="L226" s="12"/>
    </row>
    <row r="227" spans="2:12" x14ac:dyDescent="0.2">
      <c r="B227" s="5">
        <v>46071</v>
      </c>
      <c r="C227" t="s">
        <v>83</v>
      </c>
      <c r="D227" t="s">
        <v>81</v>
      </c>
      <c r="E227" s="12">
        <v>147000</v>
      </c>
      <c r="F227" s="35">
        <v>46144.558876631942</v>
      </c>
      <c r="G227" s="12"/>
      <c r="H227" s="12">
        <v>147000</v>
      </c>
      <c r="I227" s="12"/>
      <c r="J227" s="12"/>
      <c r="K227" s="12"/>
      <c r="L227" s="12"/>
    </row>
    <row r="228" spans="2:12" x14ac:dyDescent="0.2">
      <c r="B228" s="5">
        <v>46071</v>
      </c>
      <c r="C228" t="s">
        <v>85</v>
      </c>
      <c r="D228" t="s">
        <v>86</v>
      </c>
      <c r="E228" s="12">
        <v>376050</v>
      </c>
      <c r="F228" s="35">
        <v>46144.558876631942</v>
      </c>
      <c r="G228" s="12">
        <v>376050</v>
      </c>
      <c r="H228" s="12"/>
      <c r="I228" s="12"/>
      <c r="J228" s="12"/>
      <c r="K228" s="12"/>
      <c r="L228" s="12"/>
    </row>
    <row r="229" spans="2:12" x14ac:dyDescent="0.2">
      <c r="B229" s="5">
        <v>46072</v>
      </c>
      <c r="C229" t="s">
        <v>83</v>
      </c>
      <c r="D229" t="s">
        <v>84</v>
      </c>
      <c r="E229" s="12">
        <v>122000</v>
      </c>
      <c r="F229" s="35">
        <v>46144.558876631942</v>
      </c>
      <c r="G229" s="12"/>
      <c r="H229" s="12">
        <v>122000</v>
      </c>
      <c r="I229" s="12"/>
      <c r="J229" s="12"/>
      <c r="K229" s="12"/>
      <c r="L229" s="12"/>
    </row>
    <row r="230" spans="2:12" x14ac:dyDescent="0.2">
      <c r="B230" s="5">
        <v>46072</v>
      </c>
      <c r="C230" t="s">
        <v>85</v>
      </c>
      <c r="D230" t="s">
        <v>86</v>
      </c>
      <c r="E230" s="12">
        <v>311000</v>
      </c>
      <c r="F230" s="35">
        <v>46144.558876631942</v>
      </c>
      <c r="G230" s="12">
        <v>311000</v>
      </c>
      <c r="H230" s="12"/>
      <c r="I230" s="12"/>
      <c r="J230" s="12"/>
      <c r="K230" s="12"/>
      <c r="L230" s="12"/>
    </row>
    <row r="231" spans="2:12" x14ac:dyDescent="0.2">
      <c r="B231" s="5">
        <v>46074</v>
      </c>
      <c r="C231" t="s">
        <v>85</v>
      </c>
      <c r="D231" t="s">
        <v>86</v>
      </c>
      <c r="E231" s="12">
        <v>87000</v>
      </c>
      <c r="F231" s="35">
        <v>46144.558876631942</v>
      </c>
      <c r="G231" s="12">
        <v>87000</v>
      </c>
      <c r="H231" s="12"/>
      <c r="I231" s="12"/>
      <c r="J231" s="12"/>
      <c r="K231" s="12"/>
      <c r="L231" s="12"/>
    </row>
    <row r="232" spans="2:12" x14ac:dyDescent="0.2">
      <c r="B232" s="5">
        <v>46074</v>
      </c>
      <c r="C232" t="s">
        <v>87</v>
      </c>
      <c r="D232" t="s">
        <v>81</v>
      </c>
      <c r="E232" s="12">
        <v>72000</v>
      </c>
      <c r="F232" s="35">
        <v>46144.558876631942</v>
      </c>
      <c r="G232" s="12">
        <v>72000</v>
      </c>
      <c r="H232" s="12"/>
      <c r="I232" s="12"/>
      <c r="J232" s="12"/>
      <c r="K232" s="12"/>
      <c r="L232" s="12"/>
    </row>
    <row r="233" spans="2:12" x14ac:dyDescent="0.2">
      <c r="B233" s="5">
        <v>46075</v>
      </c>
      <c r="C233" t="s">
        <v>83</v>
      </c>
      <c r="D233" t="s">
        <v>84</v>
      </c>
      <c r="E233" s="12">
        <v>87000</v>
      </c>
      <c r="F233" s="35">
        <v>46144.558876631942</v>
      </c>
      <c r="G233" s="12"/>
      <c r="H233" s="12">
        <v>87000</v>
      </c>
      <c r="I233" s="12"/>
      <c r="J233" s="12"/>
      <c r="K233" s="12"/>
      <c r="L233" s="12"/>
    </row>
    <row r="234" spans="2:12" x14ac:dyDescent="0.2">
      <c r="B234" s="5">
        <v>46075</v>
      </c>
      <c r="C234" t="s">
        <v>85</v>
      </c>
      <c r="D234" t="s">
        <v>86</v>
      </c>
      <c r="E234" s="12">
        <v>323000</v>
      </c>
      <c r="F234" s="35">
        <v>46144.558876631942</v>
      </c>
      <c r="G234" s="12">
        <v>323000</v>
      </c>
      <c r="H234" s="12"/>
      <c r="I234" s="12"/>
      <c r="J234" s="12"/>
      <c r="K234" s="12"/>
      <c r="L234" s="12"/>
    </row>
    <row r="235" spans="2:12" x14ac:dyDescent="0.2">
      <c r="B235" s="5">
        <v>46077</v>
      </c>
      <c r="C235" t="s">
        <v>85</v>
      </c>
      <c r="D235" t="s">
        <v>86</v>
      </c>
      <c r="E235" s="12">
        <v>106000</v>
      </c>
      <c r="F235" s="35">
        <v>46144.558876631942</v>
      </c>
      <c r="G235" s="12">
        <v>106000</v>
      </c>
      <c r="H235" s="12"/>
      <c r="I235" s="12"/>
      <c r="J235" s="12"/>
      <c r="K235" s="12"/>
      <c r="L235" s="12"/>
    </row>
    <row r="236" spans="2:12" x14ac:dyDescent="0.2">
      <c r="B236" s="5">
        <v>46079</v>
      </c>
      <c r="C236" t="s">
        <v>85</v>
      </c>
      <c r="D236" t="s">
        <v>86</v>
      </c>
      <c r="E236" s="12">
        <v>102000</v>
      </c>
      <c r="F236" s="35">
        <v>46144.558876631942</v>
      </c>
      <c r="G236" s="12">
        <v>102000</v>
      </c>
      <c r="H236" s="12"/>
      <c r="I236" s="12"/>
      <c r="J236" s="12"/>
      <c r="K236" s="12"/>
      <c r="L236" s="12"/>
    </row>
    <row r="237" spans="2:12" x14ac:dyDescent="0.2">
      <c r="B237" s="5">
        <v>46080</v>
      </c>
      <c r="C237" t="s">
        <v>85</v>
      </c>
      <c r="D237" t="s">
        <v>86</v>
      </c>
      <c r="E237" s="12">
        <v>362000</v>
      </c>
      <c r="F237" s="35">
        <v>46144.558876631942</v>
      </c>
      <c r="G237" s="12">
        <v>362000</v>
      </c>
      <c r="H237" s="12"/>
      <c r="I237" s="12"/>
      <c r="J237" s="12"/>
      <c r="K237" s="12"/>
      <c r="L237" s="12"/>
    </row>
    <row r="238" spans="2:12" x14ac:dyDescent="0.2">
      <c r="B238" s="5">
        <v>46083</v>
      </c>
      <c r="C238" t="s">
        <v>85</v>
      </c>
      <c r="D238" t="s">
        <v>86</v>
      </c>
      <c r="E238" s="12">
        <v>287000</v>
      </c>
      <c r="F238" s="35">
        <v>46144.558876631942</v>
      </c>
      <c r="G238" s="12">
        <v>287000</v>
      </c>
      <c r="H238" s="12"/>
      <c r="I238" s="12"/>
      <c r="J238" s="12"/>
      <c r="K238" s="12"/>
      <c r="L238" s="12"/>
    </row>
    <row r="239" spans="2:12" x14ac:dyDescent="0.2">
      <c r="B239" s="5">
        <v>46084</v>
      </c>
      <c r="C239" t="s">
        <v>83</v>
      </c>
      <c r="D239" t="s">
        <v>84</v>
      </c>
      <c r="E239" s="12">
        <v>75000</v>
      </c>
      <c r="F239" s="35">
        <v>46144.558876631942</v>
      </c>
      <c r="G239" s="12"/>
      <c r="H239" s="12">
        <v>75000</v>
      </c>
      <c r="I239" s="12"/>
      <c r="J239" s="12"/>
      <c r="K239" s="12"/>
      <c r="L239" s="12"/>
    </row>
    <row r="240" spans="2:12" x14ac:dyDescent="0.2">
      <c r="B240" s="5">
        <v>46084</v>
      </c>
      <c r="C240" t="s">
        <v>85</v>
      </c>
      <c r="D240" t="s">
        <v>86</v>
      </c>
      <c r="E240" s="12">
        <v>67000</v>
      </c>
      <c r="F240" s="35">
        <v>46144.558876631942</v>
      </c>
      <c r="G240" s="12">
        <v>67000</v>
      </c>
      <c r="H240" s="12"/>
      <c r="I240" s="12"/>
      <c r="J240" s="12"/>
      <c r="K240" s="12"/>
      <c r="L240" s="12"/>
    </row>
    <row r="241" spans="2:12" x14ac:dyDescent="0.2">
      <c r="B241" s="5">
        <v>46086</v>
      </c>
      <c r="C241" t="s">
        <v>85</v>
      </c>
      <c r="D241" t="s">
        <v>86</v>
      </c>
      <c r="E241" s="12">
        <v>262000</v>
      </c>
      <c r="F241" s="35">
        <v>46144.558876631942</v>
      </c>
      <c r="G241" s="12">
        <v>262000</v>
      </c>
      <c r="H241" s="12"/>
      <c r="I241" s="12"/>
      <c r="J241" s="12"/>
      <c r="K241" s="12"/>
      <c r="L241" s="12"/>
    </row>
    <row r="242" spans="2:12" x14ac:dyDescent="0.2">
      <c r="B242" s="5">
        <v>46087</v>
      </c>
      <c r="C242" t="s">
        <v>83</v>
      </c>
      <c r="D242" t="s">
        <v>84</v>
      </c>
      <c r="E242" s="12">
        <v>91000</v>
      </c>
      <c r="F242" s="35">
        <v>46144.558876631942</v>
      </c>
      <c r="G242" s="12"/>
      <c r="H242" s="12">
        <v>91000</v>
      </c>
      <c r="I242" s="12"/>
      <c r="J242" s="12"/>
      <c r="K242" s="12"/>
      <c r="L242" s="12"/>
    </row>
    <row r="243" spans="2:12" x14ac:dyDescent="0.2">
      <c r="B243" s="5">
        <v>46091</v>
      </c>
      <c r="C243" t="s">
        <v>85</v>
      </c>
      <c r="D243" t="s">
        <v>86</v>
      </c>
      <c r="E243" s="12">
        <v>321000</v>
      </c>
      <c r="F243" s="35">
        <v>46144.558876631942</v>
      </c>
      <c r="G243" s="12">
        <v>321000</v>
      </c>
      <c r="H243" s="12"/>
      <c r="I243" s="12"/>
      <c r="J243" s="12"/>
      <c r="K243" s="12"/>
      <c r="L243" s="12"/>
    </row>
    <row r="244" spans="2:12" x14ac:dyDescent="0.2">
      <c r="B244" s="5">
        <v>46092</v>
      </c>
      <c r="C244" t="s">
        <v>85</v>
      </c>
      <c r="D244" t="s">
        <v>86</v>
      </c>
      <c r="E244" s="12">
        <v>77000</v>
      </c>
      <c r="F244" s="35">
        <v>46144.558876631942</v>
      </c>
      <c r="G244" s="12">
        <v>77000</v>
      </c>
      <c r="H244" s="12"/>
      <c r="I244" s="12"/>
      <c r="J244" s="12"/>
      <c r="K244" s="12"/>
      <c r="L244" s="12"/>
    </row>
    <row r="245" spans="2:12" x14ac:dyDescent="0.2">
      <c r="B245" s="5">
        <v>46095</v>
      </c>
      <c r="C245" t="s">
        <v>85</v>
      </c>
      <c r="D245" t="s">
        <v>86</v>
      </c>
      <c r="E245" s="12">
        <v>82000</v>
      </c>
      <c r="F245" s="35">
        <v>46144.558876631942</v>
      </c>
      <c r="G245" s="12">
        <v>82000</v>
      </c>
      <c r="H245" s="12"/>
      <c r="I245" s="12"/>
      <c r="J245" s="12"/>
      <c r="K245" s="12"/>
      <c r="L245" s="12"/>
    </row>
    <row r="246" spans="2:12" x14ac:dyDescent="0.2">
      <c r="B246" s="5">
        <v>46097</v>
      </c>
      <c r="C246" t="s">
        <v>83</v>
      </c>
      <c r="D246" t="s">
        <v>84</v>
      </c>
      <c r="E246" s="12">
        <v>241000</v>
      </c>
      <c r="F246" s="35">
        <v>46144.558876631942</v>
      </c>
      <c r="G246" s="12"/>
      <c r="H246" s="12">
        <v>241000</v>
      </c>
      <c r="I246" s="12"/>
      <c r="J246" s="12"/>
      <c r="K246" s="12"/>
      <c r="L246" s="12"/>
    </row>
    <row r="247" spans="2:12" x14ac:dyDescent="0.2">
      <c r="B247" s="5">
        <v>46097</v>
      </c>
      <c r="C247" t="s">
        <v>85</v>
      </c>
      <c r="D247" t="s">
        <v>86</v>
      </c>
      <c r="E247" s="12">
        <v>357000</v>
      </c>
      <c r="F247" s="35">
        <v>46144.558876631942</v>
      </c>
      <c r="G247" s="12">
        <v>357000</v>
      </c>
      <c r="H247" s="12"/>
      <c r="I247" s="12"/>
      <c r="J247" s="12"/>
      <c r="K247" s="12"/>
      <c r="L247" s="12"/>
    </row>
    <row r="248" spans="2:12" x14ac:dyDescent="0.2">
      <c r="B248" s="5">
        <v>46098</v>
      </c>
      <c r="C248" t="s">
        <v>85</v>
      </c>
      <c r="D248" t="s">
        <v>86</v>
      </c>
      <c r="E248" s="12">
        <v>924000</v>
      </c>
      <c r="F248" s="35">
        <v>46144.558876631942</v>
      </c>
      <c r="G248" s="12">
        <v>924000</v>
      </c>
      <c r="H248" s="12"/>
      <c r="I248" s="12"/>
      <c r="J248" s="12"/>
      <c r="K248" s="12"/>
      <c r="L248" s="12"/>
    </row>
    <row r="249" spans="2:12" x14ac:dyDescent="0.2">
      <c r="B249" s="5">
        <v>46099</v>
      </c>
      <c r="C249" t="s">
        <v>85</v>
      </c>
      <c r="D249" t="s">
        <v>86</v>
      </c>
      <c r="E249" s="12">
        <v>252000</v>
      </c>
      <c r="F249" s="35">
        <v>46144.558876631942</v>
      </c>
      <c r="G249" s="12">
        <v>252000</v>
      </c>
      <c r="H249" s="12"/>
      <c r="I249" s="12"/>
      <c r="J249" s="12"/>
      <c r="K249" s="12"/>
      <c r="L249" s="12"/>
    </row>
    <row r="250" spans="2:12" x14ac:dyDescent="0.2">
      <c r="B250" s="5">
        <v>46101</v>
      </c>
      <c r="C250" t="s">
        <v>83</v>
      </c>
      <c r="D250" t="s">
        <v>81</v>
      </c>
      <c r="E250" s="12">
        <v>91000</v>
      </c>
      <c r="F250" s="35">
        <v>46144.558876631942</v>
      </c>
      <c r="G250" s="12"/>
      <c r="H250" s="12">
        <v>91000</v>
      </c>
      <c r="I250" s="12"/>
      <c r="J250" s="12"/>
      <c r="K250" s="12"/>
      <c r="L250" s="12"/>
    </row>
    <row r="251" spans="2:12" x14ac:dyDescent="0.2">
      <c r="B251" s="5">
        <v>46102</v>
      </c>
      <c r="C251" t="s">
        <v>83</v>
      </c>
      <c r="D251" t="s">
        <v>84</v>
      </c>
      <c r="E251" s="12">
        <v>241000</v>
      </c>
      <c r="F251" s="35">
        <v>46144.558876631942</v>
      </c>
      <c r="G251" s="12"/>
      <c r="H251" s="12">
        <v>241000</v>
      </c>
      <c r="I251" s="12"/>
      <c r="J251" s="12"/>
      <c r="K251" s="12"/>
      <c r="L251" s="12"/>
    </row>
    <row r="252" spans="2:12" x14ac:dyDescent="0.2">
      <c r="B252" s="5">
        <v>46105</v>
      </c>
      <c r="C252" t="s">
        <v>85</v>
      </c>
      <c r="D252" t="s">
        <v>86</v>
      </c>
      <c r="E252" s="12">
        <v>166000</v>
      </c>
      <c r="F252" s="35">
        <v>46144.558876631942</v>
      </c>
      <c r="G252" s="12">
        <v>166000</v>
      </c>
      <c r="H252" s="12"/>
      <c r="I252" s="12"/>
      <c r="J252" s="12"/>
      <c r="K252" s="12"/>
      <c r="L252" s="12"/>
    </row>
    <row r="253" spans="2:12" x14ac:dyDescent="0.2">
      <c r="B253" s="5">
        <v>46106</v>
      </c>
      <c r="C253" t="s">
        <v>85</v>
      </c>
      <c r="D253" t="s">
        <v>86</v>
      </c>
      <c r="E253" s="12">
        <v>70000</v>
      </c>
      <c r="F253" s="35">
        <v>46144.558876631942</v>
      </c>
      <c r="G253" s="12">
        <v>70000</v>
      </c>
      <c r="H253" s="12"/>
      <c r="I253" s="12"/>
      <c r="J253" s="12"/>
      <c r="K253" s="12"/>
      <c r="L253" s="12"/>
    </row>
    <row r="254" spans="2:12" x14ac:dyDescent="0.2">
      <c r="B254" s="5">
        <v>46112</v>
      </c>
      <c r="C254" t="s">
        <v>83</v>
      </c>
      <c r="D254" t="s">
        <v>84</v>
      </c>
      <c r="E254" s="12"/>
      <c r="F254" s="35">
        <v>46144.558876631942</v>
      </c>
      <c r="G254" s="12"/>
      <c r="H254" s="12"/>
      <c r="I254" s="12"/>
      <c r="J254" s="12"/>
      <c r="K254" s="12"/>
      <c r="L254" s="12"/>
    </row>
    <row r="255" spans="2:12" x14ac:dyDescent="0.2">
      <c r="B255" s="5">
        <v>46112</v>
      </c>
      <c r="C255" t="s">
        <v>85</v>
      </c>
      <c r="D255" t="s">
        <v>86</v>
      </c>
      <c r="E255" s="12">
        <v>112000</v>
      </c>
      <c r="F255" s="35">
        <v>46144.558876631942</v>
      </c>
      <c r="G255" s="12">
        <v>112000</v>
      </c>
      <c r="H255" s="12"/>
      <c r="I255" s="12"/>
      <c r="J255" s="12"/>
      <c r="K255" s="12"/>
      <c r="L255" s="12"/>
    </row>
    <row r="256" spans="2:12" x14ac:dyDescent="0.2">
      <c r="B256" s="5">
        <v>46114</v>
      </c>
      <c r="C256" t="s">
        <v>85</v>
      </c>
      <c r="D256" t="s">
        <v>86</v>
      </c>
      <c r="E256" s="12">
        <v>142000</v>
      </c>
      <c r="F256" s="35">
        <v>46144.558876631942</v>
      </c>
      <c r="G256" s="12">
        <v>142000</v>
      </c>
      <c r="H256" s="12"/>
      <c r="I256" s="12"/>
      <c r="J256" s="12"/>
      <c r="K256" s="12"/>
      <c r="L256" s="12"/>
    </row>
    <row r="257" spans="2:12" x14ac:dyDescent="0.2">
      <c r="B257" s="5">
        <v>46118</v>
      </c>
      <c r="C257" t="s">
        <v>83</v>
      </c>
      <c r="D257" t="s">
        <v>84</v>
      </c>
      <c r="E257" s="12">
        <v>75000</v>
      </c>
      <c r="F257" s="35">
        <v>46144.558876631942</v>
      </c>
      <c r="G257" s="12"/>
      <c r="H257" s="12">
        <v>75000</v>
      </c>
      <c r="I257" s="12"/>
      <c r="J257" s="12"/>
      <c r="K257" s="12"/>
      <c r="L257" s="12"/>
    </row>
    <row r="258" spans="2:12" x14ac:dyDescent="0.2">
      <c r="B258" s="5">
        <v>46119</v>
      </c>
      <c r="C258" t="s">
        <v>83</v>
      </c>
      <c r="D258" t="s">
        <v>84</v>
      </c>
      <c r="E258" s="12"/>
      <c r="F258" s="35">
        <v>46144.558876631942</v>
      </c>
      <c r="G258" s="12"/>
      <c r="H258" s="12"/>
      <c r="I258" s="12"/>
      <c r="J258" s="12"/>
      <c r="K258" s="12"/>
      <c r="L258" s="12"/>
    </row>
    <row r="259" spans="2:12" x14ac:dyDescent="0.2">
      <c r="B259" s="5">
        <v>46119</v>
      </c>
      <c r="C259" t="s">
        <v>85</v>
      </c>
      <c r="D259" t="s">
        <v>86</v>
      </c>
      <c r="E259" s="12">
        <v>165000</v>
      </c>
      <c r="F259" s="35">
        <v>46144.558876631942</v>
      </c>
      <c r="G259" s="12">
        <v>165000</v>
      </c>
      <c r="H259" s="12"/>
      <c r="I259" s="12"/>
      <c r="J259" s="12"/>
      <c r="K259" s="12"/>
      <c r="L259" s="12"/>
    </row>
    <row r="260" spans="2:12" x14ac:dyDescent="0.2">
      <c r="B260" s="5">
        <v>46120</v>
      </c>
      <c r="C260" t="s">
        <v>85</v>
      </c>
      <c r="D260" t="s">
        <v>86</v>
      </c>
      <c r="E260" s="12">
        <v>132000</v>
      </c>
      <c r="F260" s="35">
        <v>46144.558876631942</v>
      </c>
      <c r="G260" s="12">
        <v>132000</v>
      </c>
      <c r="H260" s="12"/>
      <c r="I260" s="12"/>
      <c r="J260" s="12"/>
      <c r="K260" s="12"/>
      <c r="L260" s="12"/>
    </row>
    <row r="261" spans="2:12" x14ac:dyDescent="0.2">
      <c r="B261" s="5">
        <v>46121</v>
      </c>
      <c r="C261" t="s">
        <v>85</v>
      </c>
      <c r="D261" t="s">
        <v>86</v>
      </c>
      <c r="E261" s="12">
        <v>749000</v>
      </c>
      <c r="F261" s="35">
        <v>46144.558876631942</v>
      </c>
      <c r="G261" s="12">
        <v>749000</v>
      </c>
      <c r="H261" s="12"/>
      <c r="I261" s="12"/>
      <c r="J261" s="12"/>
      <c r="K261" s="12"/>
      <c r="L261" s="12"/>
    </row>
    <row r="262" spans="2:12" x14ac:dyDescent="0.2">
      <c r="B262" s="5">
        <v>46121</v>
      </c>
      <c r="C262" t="s">
        <v>87</v>
      </c>
      <c r="D262" t="s">
        <v>86</v>
      </c>
      <c r="E262" s="12">
        <v>55000</v>
      </c>
      <c r="F262" s="35">
        <v>46144.558876631942</v>
      </c>
      <c r="G262" s="12">
        <v>55000</v>
      </c>
      <c r="H262" s="12"/>
      <c r="I262" s="12"/>
      <c r="J262" s="12"/>
      <c r="K262" s="12"/>
      <c r="L262" s="12"/>
    </row>
    <row r="263" spans="2:12" x14ac:dyDescent="0.2">
      <c r="B263" s="5">
        <v>46122</v>
      </c>
      <c r="C263" t="s">
        <v>83</v>
      </c>
      <c r="D263" t="s">
        <v>84</v>
      </c>
      <c r="E263" s="12">
        <v>72000</v>
      </c>
      <c r="F263" s="35">
        <v>46144.558876631942</v>
      </c>
      <c r="G263" s="12"/>
      <c r="H263" s="12">
        <v>72000</v>
      </c>
      <c r="I263" s="12"/>
      <c r="J263" s="12"/>
      <c r="K263" s="12"/>
      <c r="L263" s="12"/>
    </row>
    <row r="264" spans="2:12" x14ac:dyDescent="0.2">
      <c r="B264" s="5">
        <v>46127</v>
      </c>
      <c r="C264" t="s">
        <v>85</v>
      </c>
      <c r="D264" t="s">
        <v>86</v>
      </c>
      <c r="E264" s="12">
        <v>75000</v>
      </c>
      <c r="F264" s="35">
        <v>46144.558876631942</v>
      </c>
      <c r="G264" s="12">
        <v>75000</v>
      </c>
      <c r="H264" s="12"/>
      <c r="I264" s="12"/>
      <c r="J264" s="12"/>
      <c r="K264" s="12"/>
      <c r="L264" s="12"/>
    </row>
    <row r="265" spans="2:12" x14ac:dyDescent="0.2">
      <c r="B265" s="5">
        <v>46130</v>
      </c>
      <c r="C265" t="s">
        <v>83</v>
      </c>
      <c r="D265" t="s">
        <v>84</v>
      </c>
      <c r="E265" s="12">
        <v>87000</v>
      </c>
      <c r="F265" s="35">
        <v>46144.558876631942</v>
      </c>
      <c r="G265" s="12"/>
      <c r="H265" s="12">
        <v>87000</v>
      </c>
      <c r="I265" s="12"/>
      <c r="J265" s="12"/>
      <c r="K265" s="12"/>
      <c r="L265" s="12"/>
    </row>
    <row r="266" spans="2:12" x14ac:dyDescent="0.2">
      <c r="B266" s="5">
        <v>46133</v>
      </c>
      <c r="C266" t="s">
        <v>85</v>
      </c>
      <c r="D266" t="s">
        <v>86</v>
      </c>
      <c r="E266" s="12">
        <v>357000</v>
      </c>
      <c r="F266" s="35">
        <v>46144.558876631942</v>
      </c>
      <c r="G266" s="12">
        <v>357000</v>
      </c>
      <c r="H266" s="12"/>
      <c r="I266" s="12"/>
      <c r="J266" s="12"/>
      <c r="K266" s="12"/>
      <c r="L266" s="12"/>
    </row>
    <row r="267" spans="2:12" x14ac:dyDescent="0.2">
      <c r="B267" s="5">
        <v>46137</v>
      </c>
      <c r="C267" t="s">
        <v>85</v>
      </c>
      <c r="D267" t="s">
        <v>86</v>
      </c>
      <c r="E267" s="12">
        <v>332000</v>
      </c>
      <c r="F267" s="35">
        <v>46144.558876631942</v>
      </c>
      <c r="G267" s="12">
        <v>332000</v>
      </c>
      <c r="H267" s="12"/>
      <c r="I267" s="12"/>
      <c r="J267" s="12"/>
      <c r="K267" s="12"/>
      <c r="L267" s="12"/>
    </row>
    <row r="268" spans="2:12" x14ac:dyDescent="0.2">
      <c r="B268" s="5">
        <v>46138</v>
      </c>
      <c r="C268" t="s">
        <v>83</v>
      </c>
      <c r="D268" t="s">
        <v>84</v>
      </c>
      <c r="E268" s="12">
        <v>346000</v>
      </c>
      <c r="F268" s="35">
        <v>46144.558876631942</v>
      </c>
      <c r="G268" s="12"/>
      <c r="H268" s="12">
        <v>346000</v>
      </c>
      <c r="I268" s="12"/>
      <c r="J268" s="12"/>
      <c r="K268" s="12"/>
      <c r="L268" s="12"/>
    </row>
    <row r="269" spans="2:12" x14ac:dyDescent="0.2">
      <c r="B269" s="5">
        <v>46139</v>
      </c>
      <c r="C269" t="s">
        <v>83</v>
      </c>
      <c r="D269" t="s">
        <v>81</v>
      </c>
      <c r="E269" s="12">
        <v>367000</v>
      </c>
      <c r="F269" s="35">
        <v>46144.558876631942</v>
      </c>
      <c r="G269" s="12"/>
      <c r="H269" s="12">
        <v>367000</v>
      </c>
      <c r="I269" s="12"/>
      <c r="J269" s="12"/>
      <c r="K269" s="12"/>
      <c r="L269" s="12"/>
    </row>
    <row r="270" spans="2:12" x14ac:dyDescent="0.2">
      <c r="B270" s="5">
        <v>46140</v>
      </c>
      <c r="C270" t="s">
        <v>85</v>
      </c>
      <c r="D270" t="s">
        <v>86</v>
      </c>
      <c r="E270" s="12">
        <v>401000</v>
      </c>
      <c r="F270" s="35">
        <v>46144.558876631942</v>
      </c>
      <c r="G270" s="12">
        <v>401000</v>
      </c>
      <c r="H270" s="12"/>
      <c r="I270" s="12"/>
      <c r="J270" s="12"/>
      <c r="K270" s="12"/>
      <c r="L270" s="12"/>
    </row>
    <row r="271" spans="2:12" x14ac:dyDescent="0.2">
      <c r="B271" s="5">
        <v>46141</v>
      </c>
      <c r="C271" t="s">
        <v>85</v>
      </c>
      <c r="D271" t="s">
        <v>86</v>
      </c>
      <c r="E271" s="12">
        <v>142000</v>
      </c>
      <c r="F271" s="35">
        <v>46144.558876631942</v>
      </c>
      <c r="G271" s="12">
        <v>142000</v>
      </c>
      <c r="H271" s="12"/>
      <c r="I271" s="12"/>
      <c r="J271" s="12"/>
      <c r="K271" s="12"/>
      <c r="L271" s="12"/>
    </row>
    <row r="272" spans="2:12" x14ac:dyDescent="0.2">
      <c r="B272" s="5">
        <v>46143</v>
      </c>
      <c r="C272" t="s">
        <v>1877</v>
      </c>
      <c r="D272" t="s">
        <v>84</v>
      </c>
      <c r="E272" s="12">
        <v>232000</v>
      </c>
      <c r="F272" s="35">
        <v>46144.558876631942</v>
      </c>
      <c r="G272" s="12"/>
      <c r="H272" s="12">
        <v>232000</v>
      </c>
      <c r="I272" s="12"/>
      <c r="J272" s="12"/>
      <c r="K272" s="12"/>
      <c r="L272" s="12"/>
    </row>
    <row r="273" spans="2:12" x14ac:dyDescent="0.2">
      <c r="B273" s="5">
        <v>46143</v>
      </c>
      <c r="C273" t="s">
        <v>85</v>
      </c>
      <c r="D273" t="s">
        <v>86</v>
      </c>
      <c r="E273" s="12">
        <v>302000</v>
      </c>
      <c r="F273" s="35">
        <v>46144.558876631942</v>
      </c>
      <c r="G273" s="12">
        <v>302000</v>
      </c>
      <c r="H273" s="12"/>
      <c r="I273" s="12"/>
      <c r="J273" s="12"/>
      <c r="K273" s="12"/>
      <c r="L273" s="12"/>
    </row>
    <row r="274" spans="2:12" x14ac:dyDescent="0.2">
      <c r="B274" s="5">
        <v>46143</v>
      </c>
      <c r="C274" t="s">
        <v>85</v>
      </c>
      <c r="D274" t="s">
        <v>81</v>
      </c>
      <c r="E274" s="12">
        <v>112000</v>
      </c>
      <c r="F274" s="35">
        <v>46144.558876631942</v>
      </c>
      <c r="G274" s="12">
        <v>112000</v>
      </c>
      <c r="H274" s="12"/>
      <c r="I274" s="12"/>
      <c r="J274" s="12"/>
      <c r="K274" s="12"/>
      <c r="L274" s="12"/>
    </row>
    <row r="275" spans="2:12" x14ac:dyDescent="0.2">
      <c r="B275" s="5">
        <v>46144</v>
      </c>
      <c r="C275" t="s">
        <v>85</v>
      </c>
      <c r="D275" t="s">
        <v>86</v>
      </c>
      <c r="E275" s="12">
        <v>237000</v>
      </c>
      <c r="F275" s="35">
        <v>46144.558876631942</v>
      </c>
      <c r="G275" s="12">
        <v>237000</v>
      </c>
      <c r="H275" s="12"/>
      <c r="I275" s="12"/>
      <c r="J275" s="12"/>
      <c r="K275" s="12"/>
      <c r="L275" s="12"/>
    </row>
    <row r="276" spans="2:12" x14ac:dyDescent="0.2">
      <c r="B276" s="5">
        <v>46144</v>
      </c>
      <c r="C276" t="s">
        <v>2069</v>
      </c>
      <c r="D276" t="s">
        <v>84</v>
      </c>
      <c r="E276" s="12">
        <v>72000</v>
      </c>
      <c r="F276" s="35">
        <v>46144.558876631942</v>
      </c>
      <c r="G276" s="12"/>
      <c r="H276" s="12">
        <v>72000</v>
      </c>
      <c r="I276" s="12"/>
      <c r="J276" s="12"/>
      <c r="K276" s="12"/>
      <c r="L276" s="12"/>
    </row>
    <row r="277" spans="2:12" x14ac:dyDescent="0.2">
      <c r="B277" s="5">
        <v>46144</v>
      </c>
      <c r="C277" t="s">
        <v>2070</v>
      </c>
      <c r="D277" t="s">
        <v>84</v>
      </c>
      <c r="E277" s="12">
        <v>626000</v>
      </c>
      <c r="F277" s="35">
        <v>46144.558876631942</v>
      </c>
      <c r="G277" s="12"/>
      <c r="H277" s="12"/>
      <c r="I277" s="12">
        <v>626000</v>
      </c>
      <c r="J277" s="12"/>
      <c r="K277" s="12"/>
      <c r="L277" s="12"/>
    </row>
  </sheetData>
  <phoneticPr fontId="4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5F821A-EBBC-4E67-9D3D-6D921F2969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14</vt:i4>
      </vt:variant>
    </vt:vector>
  </HeadingPairs>
  <TitlesOfParts>
    <vt:vector size="26" baseType="lpstr">
      <vt:lpstr>Dashboard</vt:lpstr>
      <vt:lpstr>Mensual</vt:lpstr>
      <vt:lpstr>Semanal</vt:lpstr>
      <vt:lpstr>Diario</vt:lpstr>
      <vt:lpstr>Params</vt:lpstr>
      <vt:lpstr>Datos</vt:lpstr>
      <vt:lpstr>SummaryMonthlyData</vt:lpstr>
      <vt:lpstr>SummaryMonthly</vt:lpstr>
      <vt:lpstr>SalesBreakdownMonthly</vt:lpstr>
      <vt:lpstr>Shopify-Summary</vt:lpstr>
      <vt:lpstr>Shopify-SalesQuantityOrderedByS</vt:lpstr>
      <vt:lpstr>Shopify-SalesByUTM</vt:lpstr>
      <vt:lpstr>ParamAccessToken</vt:lpstr>
      <vt:lpstr>ParamAccountingCOGS</vt:lpstr>
      <vt:lpstr>ParamApiVersion</vt:lpstr>
      <vt:lpstr>ParamDiaSemanaReporte</vt:lpstr>
      <vt:lpstr>ParamFechaFinReporte</vt:lpstr>
      <vt:lpstr>ParamFechaInicioReporte</vt:lpstr>
      <vt:lpstr>ParamFechaRefrescarHistorico</vt:lpstr>
      <vt:lpstr>ParamGoogleReportSource</vt:lpstr>
      <vt:lpstr>ParamMetaAccountID</vt:lpstr>
      <vt:lpstr>ParamMetaSystemToken</vt:lpstr>
      <vt:lpstr>ParamNombreTablaHistDiario</vt:lpstr>
      <vt:lpstr>ParamNombreTablaHistMensual</vt:lpstr>
      <vt:lpstr>ParamNombreTablaHistSemanal</vt:lpstr>
      <vt:lpstr>ParamShopName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Diaz</dc:creator>
  <cp:lastModifiedBy>Ricardo Diaz</cp:lastModifiedBy>
  <dcterms:created xsi:type="dcterms:W3CDTF">2026-04-09T09:35:09Z</dcterms:created>
  <dcterms:modified xsi:type="dcterms:W3CDTF">2026-05-07T11:44:30Z</dcterms:modified>
</cp:coreProperties>
</file>